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Trainer Order" sheetId="2" r:id="rId6"/>
    <sheet state="visible" name="Kanto Leaders" sheetId="3" r:id="rId7"/>
    <sheet state="visible" name="Kanto Rematch" sheetId="4" r:id="rId8"/>
    <sheet state="visible" name="Johto Leaders" sheetId="5" r:id="rId9"/>
    <sheet state="visible" name="Rivals" sheetId="6" r:id="rId10"/>
    <sheet state="visible" name="Team Rocket" sheetId="7" r:id="rId11"/>
    <sheet state="visible" name="Mini Bosses" sheetId="8" r:id="rId12"/>
    <sheet state="visible" name="Optional Bosses" sheetId="9" r:id="rId13"/>
    <sheet state="visible" name="Indigo League" sheetId="10" r:id="rId14"/>
    <sheet state="visible" name="Postgame" sheetId="11" r:id="rId15"/>
    <sheet state="hidden" name="Dex"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Based on earliest level cap you can fight the trainer at.</t>
      </text>
    </comment>
    <comment authorId="0" ref="F163">
      <text>
        <t xml:space="preserve">Technically can be fought as soon as you reach Saffron City.</t>
      </text>
    </comment>
    <comment authorId="0" ref="F274">
      <text>
        <t xml:space="preserve">Can be fought as soon as you obtain the Mega Ring.</t>
      </text>
    </comment>
    <comment authorId="0" ref="F111">
      <text>
        <t xml:space="preserve">HEAVILY recommended, despite being technically possible at 34.
Erika's Pokémon have a fixed level.</t>
      </text>
    </comment>
    <comment authorId="0" ref="F270">
      <text>
        <t xml:space="preserve">Can be fought as soon as you obtain the Mega Ring.</t>
      </text>
    </comment>
    <comment authorId="0" ref="F266">
      <text>
        <t xml:space="preserve">Can be fought as soon as you obtain the Mega Ring.</t>
      </text>
    </comment>
  </commentList>
</comments>
</file>

<file path=xl/sharedStrings.xml><?xml version="1.0" encoding="utf-8"?>
<sst xmlns="http://schemas.openxmlformats.org/spreadsheetml/2006/main" count="19562" uniqueCount="3991">
  <si>
    <t>PLEASE CHECK THE OTHER TABS AT THE BOTTOM! THIS IS ONLY THE FIRST TAB.</t>
  </si>
  <si>
    <t>IT IS RECOMMENDED THAT YOU ZOOM OUT TO SEE EVERYTHING BETTER.</t>
  </si>
  <si>
    <t>CLICK/TAP THE LINK INSIDE THAT BOX TO ACCESS THE TRAINER ORDER.</t>
  </si>
  <si>
    <r>
      <rPr>
        <rFont val="Lexend"/>
        <b/>
        <color rgb="FF3E3A3A"/>
        <sz val="16.0"/>
      </rPr>
      <t xml:space="preserve">REPORT MISTAKES IN THE #DOCUMENTATION-REPORTS CHANNEL ON OUR </t>
    </r>
    <r>
      <rPr>
        <rFont val="Lexend"/>
        <b/>
        <color rgb="FF1155CC"/>
        <sz val="16.0"/>
        <u/>
      </rPr>
      <t>DISCORD SERVER</t>
    </r>
    <r>
      <rPr>
        <rFont val="Lexend"/>
        <b/>
        <color rgb="FF3E3A3A"/>
        <sz val="16.0"/>
      </rPr>
      <t>.</t>
    </r>
  </si>
  <si>
    <t>LEVEL CAPS</t>
  </si>
  <si>
    <t>Pre-Brock (15)</t>
  </si>
  <si>
    <t>Pre-Mt. Moon Archer (22)</t>
  </si>
  <si>
    <t>Pre-Misty (27)</t>
  </si>
  <si>
    <t>Pre-Lt. Surge (34)</t>
  </si>
  <si>
    <t>Pre-Erika (44)</t>
  </si>
  <si>
    <t>Pre-Game Corner Giovanni (47)</t>
  </si>
  <si>
    <t>Pre-Silph Co. Archer &amp; Ariana (56)</t>
  </si>
  <si>
    <t>Pre-Giovanni Silph Co. (57)</t>
  </si>
  <si>
    <t>Pre-Sabrina (59)</t>
  </si>
  <si>
    <t>Pre-Koga (68)</t>
  </si>
  <si>
    <t>Pre-May (73)</t>
  </si>
  <si>
    <t>Pre-Blaine (76)</t>
  </si>
  <si>
    <t>Pre-Cerulean Cave Archer &amp; Ariana (79)</t>
  </si>
  <si>
    <t>Pre-Cerulean Cave Giovanni (80)</t>
  </si>
  <si>
    <t>Pre-Clair (81)</t>
  </si>
  <si>
    <t>Pre-Brendan (82)</t>
  </si>
  <si>
    <t>Pre-Elite 4 (85)</t>
  </si>
  <si>
    <t>Post Game (100)</t>
  </si>
  <si>
    <t>HOW TO GET FOCUS SASH AND CHOICE ITEMS FROM QUESTS (MGM)</t>
  </si>
  <si>
    <t>Show a Pokémon with 125+ base stat in the respective stat (Chuck asks for a Pokémon with strong attack, show a mon with 125+ base attack like Terrakion).</t>
  </si>
  <si>
    <t>ABOUT THE SHEET</t>
  </si>
  <si>
    <t>All of the info in this sheet should be 100% accurate, because it was obtained via byte copying and using the Stat Scanner for EVs and IVs.</t>
  </si>
  <si>
    <t>Even if something looks VERY wrong, that's how it is in-game. Though, feel free to report text typos if you ever find those.</t>
  </si>
  <si>
    <t>Most of the opposing Pokémon's moves in this sheet are PP maxed. If the team has a Paldea Pokémon, it's likely that all the Pokémon in the team have PP maxed moves.</t>
  </si>
  <si>
    <r>
      <rPr>
        <rFont val="Lexend"/>
        <i/>
        <color theme="1"/>
        <sz val="11.0"/>
      </rPr>
      <t>Generally</t>
    </r>
    <r>
      <rPr>
        <rFont val="Lexend"/>
        <color theme="1"/>
        <sz val="11.0"/>
      </rPr>
      <t>, if a Pokémon has Gyro Ball in its moveset or is part of a Trick Room team, you can safely assume 0 speed IVs.</t>
    </r>
  </si>
  <si>
    <t>Rival's chosen starter determines what team he gets. If he has the Squirtle team, that means the player chose a Fire-type starter Pokémon.</t>
  </si>
  <si>
    <t>Status moves don't have a type icon near them, for the reader to identify damaging moves and their types better.</t>
  </si>
  <si>
    <t>In Minimal Grinding Mode, opponents don't have EVs. Except for one specific case which is the Ghost Marowak, having 252 HP EVs.</t>
  </si>
  <si>
    <t>After you become the Champion, every level scale (excluding Postgame trainers) will be two levels higher.</t>
  </si>
  <si>
    <t>All speed stats are determined based on the point when you're expected to battle with the trainer at that specific juncture in the game.</t>
  </si>
  <si>
    <t xml:space="preserve">(!) CLICK ON TRAINER'S NAME </t>
  </si>
  <si>
    <t>TO INSTANTLY GO TO PAGE!</t>
  </si>
  <si>
    <t>(OPTIONAL)</t>
  </si>
  <si>
    <t>RIVAL</t>
  </si>
  <si>
    <t>ROUTE 22</t>
  </si>
  <si>
    <t>BRENDAN</t>
  </si>
  <si>
    <t>VIRIDIAN FOREST</t>
  </si>
  <si>
    <t>LASS ANNE</t>
  </si>
  <si>
    <t>ACE NELLE</t>
  </si>
  <si>
    <t>FALKNER</t>
  </si>
  <si>
    <t>PEWTER CITY</t>
  </si>
  <si>
    <t>BROCK</t>
  </si>
  <si>
    <t>SUPER NERD MIGUEL</t>
  </si>
  <si>
    <t>MT. MOON</t>
  </si>
  <si>
    <t>ARCHER</t>
  </si>
  <si>
    <t>CERULEAN CITY</t>
  </si>
  <si>
    <t>CATCHER CALE</t>
  </si>
  <si>
    <t>NUGGET BRIDGE</t>
  </si>
  <si>
    <t>LASS ALI</t>
  </si>
  <si>
    <t>YOUNGSTER TIMMY</t>
  </si>
  <si>
    <t>LASS RELI</t>
  </si>
  <si>
    <t>CAMPER ETHAN</t>
  </si>
  <si>
    <t>GRUNT</t>
  </si>
  <si>
    <t>BUGSY</t>
  </si>
  <si>
    <r>
      <rPr>
        <rFont val="IBM Plex Sans Condensed"/>
        <b/>
        <i/>
        <color rgb="FFFFFFFF"/>
        <sz val="12.0"/>
      </rPr>
      <t>ROUTE</t>
    </r>
    <r>
      <rPr>
        <rFont val="IBM Plex Sans Condensed"/>
        <b/>
        <i/>
        <color rgb="FFFFFFFF"/>
        <sz val="12.0"/>
      </rPr>
      <t xml:space="preserve"> 25</t>
    </r>
  </si>
  <si>
    <t>MISTY</t>
  </si>
  <si>
    <t>DIG HOUSE</t>
  </si>
  <si>
    <t>ANN &amp; BROOKS</t>
  </si>
  <si>
    <t>S.S. ANNE</t>
  </si>
  <si>
    <t>EDMOND &amp; TREVOR</t>
  </si>
  <si>
    <t>WHITNEY</t>
  </si>
  <si>
    <t>ROUTE 11</t>
  </si>
  <si>
    <t>LT. SURGE</t>
  </si>
  <si>
    <t>VERMILLION CITY</t>
  </si>
  <si>
    <t>PICNICKER CAITLIN</t>
  </si>
  <si>
    <t>ROUTE 9</t>
  </si>
  <si>
    <t>MORTY</t>
  </si>
  <si>
    <t>LAVENDER TOWN</t>
  </si>
  <si>
    <t>ERIKA</t>
  </si>
  <si>
    <t>CELADON CITY</t>
  </si>
  <si>
    <t>GUARD</t>
  </si>
  <si>
    <t>GAME CORNER</t>
  </si>
  <si>
    <t>LEFT GUARD</t>
  </si>
  <si>
    <t>ROCKET HIDEOUT</t>
  </si>
  <si>
    <t>RIGHT GUARD</t>
  </si>
  <si>
    <t>GIOVANNI</t>
  </si>
  <si>
    <t>ACE COLE</t>
  </si>
  <si>
    <t>ROUTE 8</t>
  </si>
  <si>
    <t>BEAUTY SAM</t>
  </si>
  <si>
    <t>CELADON CITY HOTEL</t>
  </si>
  <si>
    <t>BEAUTY SHELLY</t>
  </si>
  <si>
    <t>GHOST</t>
  </si>
  <si>
    <t>POKEMON TOWER</t>
  </si>
  <si>
    <t>SILPH CO.</t>
  </si>
  <si>
    <t>ARIANA &amp; ARCHER</t>
  </si>
  <si>
    <t>CHUCK</t>
  </si>
  <si>
    <t>SAFFRON CITY</t>
  </si>
  <si>
    <t>SABRINA</t>
  </si>
  <si>
    <t>DUMASS KID</t>
  </si>
  <si>
    <t>ROCKER LUCA</t>
  </si>
  <si>
    <t>ROUTE 12</t>
  </si>
  <si>
    <t>CAMPER JUSTIN</t>
  </si>
  <si>
    <t>FISHERMAN ANDREW</t>
  </si>
  <si>
    <t>BIRD KE. SEBASTIAN</t>
  </si>
  <si>
    <t>ROUTE 13</t>
  </si>
  <si>
    <t>PICNICKER SUSIE</t>
  </si>
  <si>
    <t>PICNICKER ALMA</t>
  </si>
  <si>
    <t>LOLA &amp; SHEILA</t>
  </si>
  <si>
    <t>BIRD KEEPER PERRY</t>
  </si>
  <si>
    <t>BIKER JARED</t>
  </si>
  <si>
    <t>BIRD KEEPER ROBERT</t>
  </si>
  <si>
    <t>ACE HALEY</t>
  </si>
  <si>
    <t>ROUTE 15</t>
  </si>
  <si>
    <t>BIKER LAO</t>
  </si>
  <si>
    <t>ROUTE 16</t>
  </si>
  <si>
    <t>CUE BALL KOJI</t>
  </si>
  <si>
    <t>CUE BALL LUKE</t>
  </si>
  <si>
    <t>BIKER RUBEN</t>
  </si>
  <si>
    <t>CUE BALL CAMRON</t>
  </si>
  <si>
    <t>BIKER HIDEO</t>
  </si>
  <si>
    <t>BIKER WILLIAM</t>
  </si>
  <si>
    <t>ROUTE 18</t>
  </si>
  <si>
    <t>BIRD KEEPER JACOB</t>
  </si>
  <si>
    <t>TAMER RAMIRO</t>
  </si>
  <si>
    <t>ACE WILTON</t>
  </si>
  <si>
    <t>SAFARI ZONE</t>
  </si>
  <si>
    <t>BROCK (REMATCH)</t>
  </si>
  <si>
    <t>MISTY (REMATCH)</t>
  </si>
  <si>
    <t>LT. SURGE (REMATCH)</t>
  </si>
  <si>
    <t>ERIKA (REMATCH)</t>
  </si>
  <si>
    <t>KOGA</t>
  </si>
  <si>
    <t>FUCHSIA CITY</t>
  </si>
  <si>
    <t>DUMASS JOJO FAN</t>
  </si>
  <si>
    <t>POWER PLANT</t>
  </si>
  <si>
    <t>PRYCE</t>
  </si>
  <si>
    <t>SEAFOAM ISLANDS</t>
  </si>
  <si>
    <t>MAY</t>
  </si>
  <si>
    <t>CINNABAR ISLAND</t>
  </si>
  <si>
    <t>JASMINE</t>
  </si>
  <si>
    <t>CINNABAR ISLAND LAB</t>
  </si>
  <si>
    <t>ACE DEREK</t>
  </si>
  <si>
    <t>CINNABAR ISLAND GYM</t>
  </si>
  <si>
    <t>ACE LUCY</t>
  </si>
  <si>
    <t>ACE ZAC</t>
  </si>
  <si>
    <t>BLAINE</t>
  </si>
  <si>
    <t>CERULEAN CAVE</t>
  </si>
  <si>
    <t>ARIANA</t>
  </si>
  <si>
    <t>BLACK BELT KETCHUP</t>
  </si>
  <si>
    <t>CLAIR</t>
  </si>
  <si>
    <t>VIRIDIAN CITY</t>
  </si>
  <si>
    <t>BURGLAR MAX</t>
  </si>
  <si>
    <t>POKEMON MANSION 4F</t>
  </si>
  <si>
    <t>BURGLAR ANSON</t>
  </si>
  <si>
    <t>ROUTE 23</t>
  </si>
  <si>
    <t>ACE NAOMI</t>
  </si>
  <si>
    <t>VICTORY ROAD</t>
  </si>
  <si>
    <t>ACE ROLANDO</t>
  </si>
  <si>
    <t>ACE GEORGE</t>
  </si>
  <si>
    <t>ACE CAROLINE</t>
  </si>
  <si>
    <t>ACE COLBY</t>
  </si>
  <si>
    <t>ACE ALEXA</t>
  </si>
  <si>
    <t>DUMASS CREATOR</t>
  </si>
  <si>
    <t>INDIGO PLATEAU</t>
  </si>
  <si>
    <t>LORELEI</t>
  </si>
  <si>
    <t>ELITE FOUR</t>
  </si>
  <si>
    <t>BRUNO</t>
  </si>
  <si>
    <t>AGATHA</t>
  </si>
  <si>
    <t>LANCE</t>
  </si>
  <si>
    <t>CHAMPION</t>
  </si>
  <si>
    <r>
      <rPr>
        <rFont val="IBM Plex Sans Condensed"/>
        <b val="0"/>
        <color rgb="FF000000"/>
        <sz val="13.0"/>
      </rPr>
      <t>GYM LEADER</t>
    </r>
    <r>
      <rPr>
        <rFont val="IBM Plex Sans Condensed"/>
        <b/>
        <color rgb="FF000000"/>
        <sz val="13.0"/>
      </rPr>
      <t xml:space="preserve">
BROCK</t>
    </r>
  </si>
  <si>
    <t>Geodude-A</t>
  </si>
  <si>
    <t>Varoom</t>
  </si>
  <si>
    <t>Onix</t>
  </si>
  <si>
    <t>Archen</t>
  </si>
  <si>
    <t>Adamant</t>
  </si>
  <si>
    <t>Brave</t>
  </si>
  <si>
    <t>Bashful</t>
  </si>
  <si>
    <t>Jolly</t>
  </si>
  <si>
    <t>Sturdy</t>
  </si>
  <si>
    <t>Filter</t>
  </si>
  <si>
    <t>Defeatist</t>
  </si>
  <si>
    <t>Custap Berry</t>
  </si>
  <si>
    <t>Air Balloon</t>
  </si>
  <si>
    <t>Berry Juice</t>
  </si>
  <si>
    <t>Bulldoze</t>
  </si>
  <si>
    <t>Gyro Ball</t>
  </si>
  <si>
    <t>Rock Tomb</t>
  </si>
  <si>
    <t>Pluck</t>
  </si>
  <si>
    <t>Spark</t>
  </si>
  <si>
    <t>Toxic</t>
  </si>
  <si>
    <t>Sleep Talk</t>
  </si>
  <si>
    <t>Self-Destruct</t>
  </si>
  <si>
    <t>Protect</t>
  </si>
  <si>
    <t>-</t>
  </si>
  <si>
    <t>Facade</t>
  </si>
  <si>
    <t>BASE STATS</t>
  </si>
  <si>
    <t>EVs</t>
  </si>
  <si>
    <t>HP</t>
  </si>
  <si>
    <t>ATK</t>
  </si>
  <si>
    <t>DEF</t>
  </si>
  <si>
    <t>SPA</t>
  </si>
  <si>
    <t>SPD</t>
  </si>
  <si>
    <t>SPE</t>
  </si>
  <si>
    <t>SPEED STAT:</t>
  </si>
  <si>
    <r>
      <rPr>
        <rFont val="IBM Plex Sans Condensed"/>
        <b val="0"/>
        <color theme="1"/>
        <sz val="13.0"/>
      </rPr>
      <t>GYM LEADER</t>
    </r>
    <r>
      <rPr>
        <rFont val="IBM Plex Sans Condensed"/>
        <b/>
        <color theme="1"/>
        <sz val="13.0"/>
      </rPr>
      <t xml:space="preserve">
MISTY</t>
    </r>
  </si>
  <si>
    <t>Frogadier</t>
  </si>
  <si>
    <t>Floatzel</t>
  </si>
  <si>
    <t>Starmie</t>
  </si>
  <si>
    <t>Clodsire</t>
  </si>
  <si>
    <t>Lonely</t>
  </si>
  <si>
    <t>Timid</t>
  </si>
  <si>
    <t>Bold</t>
  </si>
  <si>
    <t>Protean</t>
  </si>
  <si>
    <t>Technician</t>
  </si>
  <si>
    <t>Analytic</t>
  </si>
  <si>
    <t>Water Absorb</t>
  </si>
  <si>
    <t>Eviolite</t>
  </si>
  <si>
    <t>Mystic Water</t>
  </si>
  <si>
    <t>Sitrus Berry</t>
  </si>
  <si>
    <t>Iapapa Berry</t>
  </si>
  <si>
    <t>Ice Punch</t>
  </si>
  <si>
    <t>Water Pulse</t>
  </si>
  <si>
    <t>Psyshock</t>
  </si>
  <si>
    <t>Poison Jab</t>
  </si>
  <si>
    <t>Flip Turn</t>
  </si>
  <si>
    <t>Icy Wind</t>
  </si>
  <si>
    <t>Recover</t>
  </si>
  <si>
    <t>Grass Knot</t>
  </si>
  <si>
    <t>HP Grass</t>
  </si>
  <si>
    <t>Aurora Beam</t>
  </si>
  <si>
    <r>
      <rPr>
        <rFont val="IBM Plex Sans Condensed"/>
        <color theme="1"/>
        <sz val="13.0"/>
      </rPr>
      <t xml:space="preserve">GYM LEADER
</t>
    </r>
    <r>
      <rPr>
        <rFont val="IBM Plex Sans Condensed"/>
        <b/>
        <color theme="1"/>
        <sz val="13.0"/>
      </rPr>
      <t>LT. SURGE</t>
    </r>
  </si>
  <si>
    <t>Pincurchin</t>
  </si>
  <si>
    <t>Vikavolt</t>
  </si>
  <si>
    <t>Bellibolt</t>
  </si>
  <si>
    <t>Pawmot</t>
  </si>
  <si>
    <t>Manectric-Mega</t>
  </si>
  <si>
    <t>Calm</t>
  </si>
  <si>
    <t>Electric Surge</t>
  </si>
  <si>
    <t>Levitate</t>
  </si>
  <si>
    <t>Electromorphosis</t>
  </si>
  <si>
    <t>Iron Fist</t>
  </si>
  <si>
    <t>Intimidate (Both)</t>
  </si>
  <si>
    <t>Terrain Extend.</t>
  </si>
  <si>
    <t>Occa Berry</t>
  </si>
  <si>
    <t>Shuca Berry</t>
  </si>
  <si>
    <t>Focus Sash</t>
  </si>
  <si>
    <t>Manectite</t>
  </si>
  <si>
    <t>Volt Switch</t>
  </si>
  <si>
    <t>Parab. Charge</t>
  </si>
  <si>
    <t>Drain Punch</t>
  </si>
  <si>
    <t>Charge Beam</t>
  </si>
  <si>
    <t>Scald</t>
  </si>
  <si>
    <t>Bug Buzz</t>
  </si>
  <si>
    <t>Muddy Water</t>
  </si>
  <si>
    <t>Thunder Punch</t>
  </si>
  <si>
    <t>Discharge</t>
  </si>
  <si>
    <t>Roost</t>
  </si>
  <si>
    <t>Thunder Wave</t>
  </si>
  <si>
    <t>Flame Burst</t>
  </si>
  <si>
    <t>HP Ice</t>
  </si>
  <si>
    <t>Mud Shot</t>
  </si>
  <si>
    <t>Mach Punch</t>
  </si>
  <si>
    <r>
      <rPr>
        <rFont val="IBM Plex Sans Condensed"/>
        <color theme="1"/>
        <sz val="13.0"/>
      </rPr>
      <t xml:space="preserve">GYM LEADER
</t>
    </r>
    <r>
      <rPr>
        <rFont val="IBM Plex Sans Condensed"/>
        <b/>
        <color theme="1"/>
        <sz val="13.0"/>
      </rPr>
      <t>ERIKA</t>
    </r>
  </si>
  <si>
    <t>Rillaboom</t>
  </si>
  <si>
    <t>Meowscarada</t>
  </si>
  <si>
    <t>Venusaur-Mega</t>
  </si>
  <si>
    <t>Meganium</t>
  </si>
  <si>
    <t>Electrode-H</t>
  </si>
  <si>
    <t>Modest</t>
  </si>
  <si>
    <t>Naive</t>
  </si>
  <si>
    <t>Grassy Surge</t>
  </si>
  <si>
    <r>
      <rPr>
        <rFont val="IBM Plex Sans Condensed"/>
        <color rgb="FF000000"/>
        <sz val="11.0"/>
      </rPr>
      <t xml:space="preserve">Overgrow
</t>
    </r>
    <r>
      <rPr>
        <rFont val="IBM Plex Sans Condensed"/>
        <b/>
        <color rgb="FF000000"/>
        <sz val="11.0"/>
      </rPr>
      <t>Thick Fat</t>
    </r>
  </si>
  <si>
    <t>Triage</t>
  </si>
  <si>
    <t>Reckless</t>
  </si>
  <si>
    <t>Terrain Exten.</t>
  </si>
  <si>
    <t>Venusaurite</t>
  </si>
  <si>
    <t>Grassy Seed</t>
  </si>
  <si>
    <t>Life Orb</t>
  </si>
  <si>
    <t>Grassy Glide</t>
  </si>
  <si>
    <t>Flower Trick</t>
  </si>
  <si>
    <t>Giga Drain</t>
  </si>
  <si>
    <t>Ancient Power</t>
  </si>
  <si>
    <t>Thunderbolt</t>
  </si>
  <si>
    <t>U-Turn</t>
  </si>
  <si>
    <t>Knock Off</t>
  </si>
  <si>
    <t>Sludge Bomb</t>
  </si>
  <si>
    <t>Chloroblast</t>
  </si>
  <si>
    <t>High Horsep.</t>
  </si>
  <si>
    <t>Sleep Powder</t>
  </si>
  <si>
    <t>Dazz. Gleam</t>
  </si>
  <si>
    <t>Triple Axel</t>
  </si>
  <si>
    <t>Earth Power</t>
  </si>
  <si>
    <t>HP Fire</t>
  </si>
  <si>
    <t>Explosion</t>
  </si>
  <si>
    <r>
      <rPr>
        <rFont val="IBM Plex Sans Condensed"/>
        <b/>
        <color rgb="FF000000"/>
        <sz val="13.0"/>
        <u/>
      </rPr>
      <t xml:space="preserve">BATTLE EFFECT: </t>
    </r>
    <r>
      <rPr>
        <rFont val="IBM Plex Sans Condensed"/>
        <b/>
        <color rgb="FFEA4335"/>
        <sz val="13.0"/>
        <u/>
      </rPr>
      <t>DOUBLES</t>
    </r>
  </si>
  <si>
    <r>
      <rPr>
        <rFont val="IBM Plex Sans Condensed"/>
        <color theme="1"/>
        <sz val="13.0"/>
      </rPr>
      <t xml:space="preserve">GYM LEADER
</t>
    </r>
    <r>
      <rPr>
        <rFont val="IBM Plex Sans Condensed"/>
        <b/>
        <color theme="1"/>
        <sz val="13.0"/>
      </rPr>
      <t>SABRINA</t>
    </r>
  </si>
  <si>
    <t>Hatterene</t>
  </si>
  <si>
    <t>Indeedee-F</t>
  </si>
  <si>
    <t>Brute Bonnet</t>
  </si>
  <si>
    <t>Porygon2</t>
  </si>
  <si>
    <t>Ursaluna</t>
  </si>
  <si>
    <t>Gardevoir-Mega</t>
  </si>
  <si>
    <t>Quiet</t>
  </si>
  <si>
    <t>Relaxed</t>
  </si>
  <si>
    <t>Magic Bounce</t>
  </si>
  <si>
    <t>Psychic Surge</t>
  </si>
  <si>
    <t>Protosynthesis</t>
  </si>
  <si>
    <t>Trace</t>
  </si>
  <si>
    <t>Guts</t>
  </si>
  <si>
    <r>
      <rPr>
        <rFont val="IBM Plex Sans Condensed"/>
        <color rgb="FF000000"/>
        <sz val="11.0"/>
      </rPr>
      <t xml:space="preserve">Trace
</t>
    </r>
    <r>
      <rPr>
        <rFont val="IBM Plex Sans Condensed"/>
        <b/>
        <color rgb="FF000000"/>
        <sz val="11.0"/>
      </rPr>
      <t>Pixilate</t>
    </r>
  </si>
  <si>
    <t>Psychic Seed</t>
  </si>
  <si>
    <t>Booster Energy</t>
  </si>
  <si>
    <t>Flame Orb</t>
  </si>
  <si>
    <t>Gardevoirite</t>
  </si>
  <si>
    <t>Trick Room</t>
  </si>
  <si>
    <t>Expand. Force</t>
  </si>
  <si>
    <t>Hyper Voice</t>
  </si>
  <si>
    <t>Leaf Blade</t>
  </si>
  <si>
    <t>Teleport</t>
  </si>
  <si>
    <t>Draining Kiss</t>
  </si>
  <si>
    <t>Mystical Fire</t>
  </si>
  <si>
    <t>Close Combat</t>
  </si>
  <si>
    <t>Ice Beam</t>
  </si>
  <si>
    <t>Shadow Ball</t>
  </si>
  <si>
    <t>Spore</t>
  </si>
  <si>
    <t>Crunch</t>
  </si>
  <si>
    <r>
      <rPr>
        <rFont val="IBM Plex Sans Condensed"/>
        <color theme="1"/>
        <sz val="13.0"/>
      </rPr>
      <t xml:space="preserve">GYM LEADER
</t>
    </r>
    <r>
      <rPr>
        <rFont val="IBM Plex Sans Condensed"/>
        <b/>
        <color theme="1"/>
        <sz val="13.0"/>
      </rPr>
      <t>KOGA</t>
    </r>
  </si>
  <si>
    <t>Swellow</t>
  </si>
  <si>
    <t>Accelgor</t>
  </si>
  <si>
    <t>Greninja</t>
  </si>
  <si>
    <t>Drapion</t>
  </si>
  <si>
    <t>Iron Valiant</t>
  </si>
  <si>
    <t>Toxtricity-Mega</t>
  </si>
  <si>
    <t>Aerilate</t>
  </si>
  <si>
    <t>Sheer Force</t>
  </si>
  <si>
    <t>Battle Bond</t>
  </si>
  <si>
    <t>Sniper</t>
  </si>
  <si>
    <t>Quark Drive</t>
  </si>
  <si>
    <t>Punk Rock (Both)</t>
  </si>
  <si>
    <t>Choice Specs</t>
  </si>
  <si>
    <t>Choice Scarf</t>
  </si>
  <si>
    <t>Toxtricitite</t>
  </si>
  <si>
    <t>Boomburst</t>
  </si>
  <si>
    <t>Hydro Pump</t>
  </si>
  <si>
    <t>Wicked Blow</t>
  </si>
  <si>
    <t>Water Shurik.</t>
  </si>
  <si>
    <t>Cross Poison</t>
  </si>
  <si>
    <t>Spirit Break</t>
  </si>
  <si>
    <t>Overdrive</t>
  </si>
  <si>
    <t>Focus Blast</t>
  </si>
  <si>
    <t>Dark Pulse</t>
  </si>
  <si>
    <t>Liquidation</t>
  </si>
  <si>
    <t>BATTLE BOND:</t>
  </si>
  <si>
    <t>CHOI. SCARF:</t>
  </si>
  <si>
    <t>QUAR. DRIVE:</t>
  </si>
  <si>
    <r>
      <rPr>
        <rFont val="IBM Plex Sans Condensed"/>
        <b/>
        <color rgb="FF000000"/>
        <sz val="13.0"/>
        <u/>
      </rPr>
      <t xml:space="preserve">BATTLE EFFECT: </t>
    </r>
    <r>
      <rPr>
        <rFont val="IBM Plex Sans Condensed"/>
        <b/>
        <color rgb="FFEA4335"/>
        <sz val="13.0"/>
        <u/>
      </rPr>
      <t>PERMANENT SUN</t>
    </r>
  </si>
  <si>
    <r>
      <rPr>
        <rFont val="IBM Plex Sans Condensed"/>
        <color theme="1"/>
        <sz val="13.0"/>
      </rPr>
      <t xml:space="preserve">GYM LEADER
</t>
    </r>
    <r>
      <rPr>
        <rFont val="IBM Plex Sans Condensed"/>
        <b/>
        <color theme="1"/>
        <sz val="13.0"/>
      </rPr>
      <t>BLAINE</t>
    </r>
  </si>
  <si>
    <t>Armarouge</t>
  </si>
  <si>
    <t>Slither Wing</t>
  </si>
  <si>
    <t>Exeggutor</t>
  </si>
  <si>
    <t>Typhlosion</t>
  </si>
  <si>
    <t>Ogerpon-H</t>
  </si>
  <si>
    <t>Charizard-MegaY</t>
  </si>
  <si>
    <t>Mega Launcher</t>
  </si>
  <si>
    <t>Chlorophyll</t>
  </si>
  <si>
    <t>Blazing Soul</t>
  </si>
  <si>
    <t>Mold Breaker</t>
  </si>
  <si>
    <r>
      <rPr>
        <rFont val="IBM Plex Sans Condensed"/>
        <color rgb="FF000000"/>
        <sz val="11.0"/>
      </rPr>
      <t xml:space="preserve">Solar Power
</t>
    </r>
    <r>
      <rPr>
        <rFont val="IBM Plex Sans Condensed"/>
        <b/>
        <color rgb="FF000000"/>
        <sz val="11.0"/>
      </rPr>
      <t>Drought</t>
    </r>
  </si>
  <si>
    <t>Lum Berry</t>
  </si>
  <si>
    <t>HeavyD. Boots</t>
  </si>
  <si>
    <t>Hearth. Mask</t>
  </si>
  <si>
    <t>Charizardite Y</t>
  </si>
  <si>
    <t>Armor Cannon</t>
  </si>
  <si>
    <t>First Impress.</t>
  </si>
  <si>
    <t>Growth</t>
  </si>
  <si>
    <t>Eruption</t>
  </si>
  <si>
    <t>Ivy Cudgel</t>
  </si>
  <si>
    <t>Flamethrower</t>
  </si>
  <si>
    <t>Horn Leech</t>
  </si>
  <si>
    <t>Air Slash</t>
  </si>
  <si>
    <t>Aura Sphere</t>
  </si>
  <si>
    <t>Solar Beam</t>
  </si>
  <si>
    <t>Energy Ball</t>
  </si>
  <si>
    <t>Flare Blitz</t>
  </si>
  <si>
    <t>Weather Ball</t>
  </si>
  <si>
    <t>Dragon Pulse</t>
  </si>
  <si>
    <t>CHLOROPHY.:</t>
  </si>
  <si>
    <r>
      <rPr>
        <rFont val="IBM Plex Sans Condensed"/>
        <color theme="1"/>
        <sz val="13.0"/>
      </rPr>
      <t xml:space="preserve">GYM LEADER
</t>
    </r>
    <r>
      <rPr>
        <rFont val="IBM Plex Sans Condensed"/>
        <b/>
        <color theme="1"/>
        <sz val="13.0"/>
      </rPr>
      <t>CLAIR</t>
    </r>
  </si>
  <si>
    <t>Aerodactyl</t>
  </si>
  <si>
    <t>Roaring Moon</t>
  </si>
  <si>
    <t>Dragonite</t>
  </si>
  <si>
    <t>Magearna</t>
  </si>
  <si>
    <t>Gouging Fire</t>
  </si>
  <si>
    <t>Naganadel</t>
  </si>
  <si>
    <t>Unnerve</t>
  </si>
  <si>
    <t>Multiscale</t>
  </si>
  <si>
    <t>Soul-Heart</t>
  </si>
  <si>
    <t>Beast Boost</t>
  </si>
  <si>
    <t>Weakness Pol.</t>
  </si>
  <si>
    <t>Leftovers</t>
  </si>
  <si>
    <t>Stealth Rock</t>
  </si>
  <si>
    <t>Dragon Dance</t>
  </si>
  <si>
    <t>Extreme Speed</t>
  </si>
  <si>
    <t>Shift Gear</t>
  </si>
  <si>
    <t>Stone Edge</t>
  </si>
  <si>
    <t>Fleur Cannon</t>
  </si>
  <si>
    <t>Nasty Plot</t>
  </si>
  <si>
    <t>Earthquake</t>
  </si>
  <si>
    <t>Fire Punch</t>
  </si>
  <si>
    <t>Flash Cannon</t>
  </si>
  <si>
    <t>Sludge Wave</t>
  </si>
  <si>
    <t>Taunt</t>
  </si>
  <si>
    <t>Iron Head</t>
  </si>
  <si>
    <t>Dual Wingbeat</t>
  </si>
  <si>
    <t>Dragon Claw</t>
  </si>
  <si>
    <t>Draco Meteor</t>
  </si>
  <si>
    <t>1 B. BOOST:</t>
  </si>
  <si>
    <r>
      <rPr>
        <rFont val="IBM Plex Sans Condensed"/>
        <b/>
        <color rgb="FF000000"/>
        <sz val="13.0"/>
        <u/>
      </rPr>
      <t>BATTLE EFFECT:</t>
    </r>
    <r>
      <rPr>
        <rFont val="IBM Plex Sans Condensed"/>
        <b/>
        <color rgb="FFEA4335"/>
        <sz val="13.0"/>
        <u/>
      </rPr>
      <t xml:space="preserve"> PERMANENT SANDSTORM</t>
    </r>
  </si>
  <si>
    <r>
      <rPr>
        <rFont val="IBM Plex Sans Condensed"/>
        <b val="0"/>
        <color rgb="FF000000"/>
        <sz val="13.0"/>
      </rPr>
      <t>GYM LEADER</t>
    </r>
    <r>
      <rPr>
        <rFont val="IBM Plex Sans Condensed"/>
        <b/>
        <color rgb="FF000000"/>
        <sz val="13.0"/>
      </rPr>
      <t xml:space="preserve">
BROCK</t>
    </r>
  </si>
  <si>
    <t>Great Tusk</t>
  </si>
  <si>
    <t>Omastar</t>
  </si>
  <si>
    <t>Ursaluna-BM</t>
  </si>
  <si>
    <t>Tyranitar</t>
  </si>
  <si>
    <t>Arcanine-H</t>
  </si>
  <si>
    <t>Aerodactyl-Mega</t>
  </si>
  <si>
    <t>Highest Lv -2</t>
  </si>
  <si>
    <t>Weak Armor</t>
  </si>
  <si>
    <t>Scrappy</t>
  </si>
  <si>
    <t>Sand Stream</t>
  </si>
  <si>
    <t>Rock Head</t>
  </si>
  <si>
    <r>
      <rPr>
        <rFont val="IBM Plex Sans Condensed"/>
        <color theme="1"/>
        <sz val="11.0"/>
      </rPr>
      <t xml:space="preserve">Pressure
</t>
    </r>
    <r>
      <rPr>
        <rFont val="IBM Plex Sans Condensed"/>
        <b/>
        <color theme="1"/>
        <sz val="11.0"/>
      </rPr>
      <t>Tough Claws</t>
    </r>
  </si>
  <si>
    <t>Power Herb</t>
  </si>
  <si>
    <t>Aerodactylite</t>
  </si>
  <si>
    <t>Shell Smash</t>
  </si>
  <si>
    <t>Meteor Beam</t>
  </si>
  <si>
    <t>Blood Moon</t>
  </si>
  <si>
    <t>Head Smash</t>
  </si>
  <si>
    <t>Headlon. Rush</t>
  </si>
  <si>
    <t>Surf</t>
  </si>
  <si>
    <t>Vacuum Wave</t>
  </si>
  <si>
    <t>Wild Charge</t>
  </si>
  <si>
    <t>IF YOU'RE</t>
  </si>
  <si>
    <t>LEVEL 68 -&gt;&gt;</t>
  </si>
  <si>
    <t>1 WEAK ARM.:</t>
  </si>
  <si>
    <r>
      <rPr>
        <rFont val="IBM Plex Sans Condensed"/>
        <b/>
        <color rgb="FF000000"/>
        <sz val="13.0"/>
        <u/>
      </rPr>
      <t>BATTLE EFFECT:</t>
    </r>
    <r>
      <rPr>
        <rFont val="IBM Plex Sans Condensed"/>
        <b/>
        <color rgb="FFEA4335"/>
        <sz val="13.0"/>
        <u/>
      </rPr>
      <t xml:space="preserve"> PERMANENT RAIN</t>
    </r>
  </si>
  <si>
    <r>
      <rPr>
        <rFont val="IBM Plex Sans Condensed"/>
        <b val="0"/>
        <color theme="1"/>
        <sz val="13.0"/>
      </rPr>
      <t>GYM LEADER</t>
    </r>
    <r>
      <rPr>
        <rFont val="IBM Plex Sans Condensed"/>
        <b/>
        <color theme="1"/>
        <sz val="13.0"/>
      </rPr>
      <t xml:space="preserve">
MISTY</t>
    </r>
  </si>
  <si>
    <t>Palafin-Hero</t>
  </si>
  <si>
    <t>Kingdra</t>
  </si>
  <si>
    <t>Archaludon</t>
  </si>
  <si>
    <t>Gyarados-Mega</t>
  </si>
  <si>
    <t>Ferrothorn</t>
  </si>
  <si>
    <t>Gorebyss</t>
  </si>
  <si>
    <t>Zero To Hero</t>
  </si>
  <si>
    <t>Swift Swim</t>
  </si>
  <si>
    <r>
      <rPr>
        <rFont val="IBM Plex Sans Condensed"/>
        <color theme="1"/>
        <sz val="11.0"/>
      </rPr>
      <t xml:space="preserve">Intimidate
</t>
    </r>
    <r>
      <rPr>
        <rFont val="IBM Plex Sans Condensed"/>
        <b/>
        <color theme="1"/>
        <sz val="11.0"/>
      </rPr>
      <t>Mold Breaker</t>
    </r>
  </si>
  <si>
    <t>Iron Barbs</t>
  </si>
  <si>
    <t>Dazzling</t>
  </si>
  <si>
    <t>Scope Lens</t>
  </si>
  <si>
    <t>Gyaradosite</t>
  </si>
  <si>
    <t>Rocky Helmet</t>
  </si>
  <si>
    <t>Snipe Shot</t>
  </si>
  <si>
    <t>Electro Shot</t>
  </si>
  <si>
    <t>Leech Seed</t>
  </si>
  <si>
    <t>Wave Crash</t>
  </si>
  <si>
    <t>Waterfall</t>
  </si>
  <si>
    <t>Jet Punch</t>
  </si>
  <si>
    <t>Hurricane</t>
  </si>
  <si>
    <t>Power Whip</t>
  </si>
  <si>
    <t>Body Press</t>
  </si>
  <si>
    <t>Moonblast</t>
  </si>
  <si>
    <t>SWIFT SWIM:</t>
  </si>
  <si>
    <r>
      <rPr>
        <rFont val="IBM Plex Sans Condensed"/>
        <b/>
        <color rgb="FF000000"/>
        <sz val="13.0"/>
        <u/>
      </rPr>
      <t>BATTLE EFFECT:</t>
    </r>
    <r>
      <rPr>
        <rFont val="IBM Plex Sans Condensed"/>
        <b/>
        <color rgb="FFEA4335"/>
        <sz val="13.0"/>
        <u/>
      </rPr>
      <t xml:space="preserve"> PERMANENT ELECTRIC TERRAIN</t>
    </r>
  </si>
  <si>
    <r>
      <rPr>
        <rFont val="IBM Plex Sans Condensed"/>
        <color theme="1"/>
        <sz val="13.0"/>
      </rPr>
      <t xml:space="preserve">GYM LEADER
</t>
    </r>
    <r>
      <rPr>
        <rFont val="IBM Plex Sans Condensed"/>
        <b/>
        <color theme="1"/>
        <sz val="13.0"/>
      </rPr>
      <t>LT. SURGE</t>
    </r>
  </si>
  <si>
    <t>Iron Treads</t>
  </si>
  <si>
    <t>Rotom-W</t>
  </si>
  <si>
    <t>Iron Hands</t>
  </si>
  <si>
    <t>Careful</t>
  </si>
  <si>
    <t>Punching Glove</t>
  </si>
  <si>
    <t>Assault Vest</t>
  </si>
  <si>
    <t>Plasma Fists</t>
  </si>
  <si>
    <t>Rising Voltage</t>
  </si>
  <si>
    <t>Fake Out</t>
  </si>
  <si>
    <r>
      <rPr>
        <rFont val="IBM Plex Sans Condensed"/>
        <b/>
        <color rgb="FF000000"/>
        <sz val="13.0"/>
        <u/>
      </rPr>
      <t xml:space="preserve">BATTLE EFFECT: </t>
    </r>
    <r>
      <rPr>
        <rFont val="IBM Plex Sans Condensed"/>
        <b/>
        <color rgb="FFEA4335"/>
        <sz val="13.0"/>
        <u/>
      </rPr>
      <t>PERMANENT GRASSY TERRAIN</t>
    </r>
  </si>
  <si>
    <r>
      <rPr>
        <rFont val="IBM Plex Sans Condensed"/>
        <color theme="1"/>
        <sz val="13.0"/>
      </rPr>
      <t xml:space="preserve">GYM LEADER
</t>
    </r>
    <r>
      <rPr>
        <rFont val="IBM Plex Sans Condensed"/>
        <b/>
        <color theme="1"/>
        <sz val="13.0"/>
      </rPr>
      <t>ERIKA</t>
    </r>
  </si>
  <si>
    <t>Ogerpon-C</t>
  </si>
  <si>
    <t>Hawlucha</t>
  </si>
  <si>
    <t>Sinistcha</t>
  </si>
  <si>
    <t>Lilligant-H</t>
  </si>
  <si>
    <t>Unburden</t>
  </si>
  <si>
    <t>Heatproof</t>
  </si>
  <si>
    <t>Hustle</t>
  </si>
  <si>
    <r>
      <rPr>
        <rFont val="IBM Plex Sans Condensed"/>
        <color theme="1"/>
        <sz val="11.0"/>
      </rPr>
      <t xml:space="preserve">Overgrow
</t>
    </r>
    <r>
      <rPr>
        <rFont val="IBM Plex Sans Condensed"/>
        <b/>
        <color theme="1"/>
        <sz val="11.0"/>
      </rPr>
      <t>Thick Fat (Mega)</t>
    </r>
  </si>
  <si>
    <t>Corner. Mask</t>
  </si>
  <si>
    <t>Wide Lens</t>
  </si>
  <si>
    <t>Swords Dance</t>
  </si>
  <si>
    <t>Strength Sap</t>
  </si>
  <si>
    <t>Victory Dance</t>
  </si>
  <si>
    <t>Will-O-Wisp</t>
  </si>
  <si>
    <t>Acrobatics</t>
  </si>
  <si>
    <t>Synthesis</t>
  </si>
  <si>
    <t>Matcha Got.</t>
  </si>
  <si>
    <t>Ice Spinner</t>
  </si>
  <si>
    <t>UNBURDEN:</t>
  </si>
  <si>
    <r>
      <rPr>
        <rFont val="IBM Plex Sans Condensed"/>
        <color theme="1"/>
        <sz val="11.0"/>
      </rPr>
      <t>PEWTER MUSEUM</t>
    </r>
    <r>
      <rPr>
        <rFont val="IBM Plex Sans Condensed"/>
        <color theme="1"/>
        <sz val="13.0"/>
      </rPr>
      <t xml:space="preserve">
LEADER
</t>
    </r>
    <r>
      <rPr>
        <rFont val="IBM Plex Sans Condensed"/>
        <b/>
        <color theme="1"/>
        <sz val="13.0"/>
      </rPr>
      <t>FALKNER</t>
    </r>
  </si>
  <si>
    <t>Rufflet</t>
  </si>
  <si>
    <t>Wattrel</t>
  </si>
  <si>
    <t>Flittle</t>
  </si>
  <si>
    <t>Volt Absorb</t>
  </si>
  <si>
    <t>Speed Boost</t>
  </si>
  <si>
    <t>Aerial Ace</t>
  </si>
  <si>
    <t>Flash</t>
  </si>
  <si>
    <t>Disarm. Voice</t>
  </si>
  <si>
    <t>Rock Smash</t>
  </si>
  <si>
    <t>Psybeam</t>
  </si>
  <si>
    <t>Calm Mind</t>
  </si>
  <si>
    <t>1 S. BOOST:</t>
  </si>
  <si>
    <t>(!) PRE LT. SURGE</t>
  </si>
  <si>
    <r>
      <rPr>
        <rFont val="IBM Plex Sans Condensed"/>
        <b/>
        <color theme="1"/>
        <sz val="13.0"/>
        <u/>
      </rPr>
      <t xml:space="preserve">BATTLE EFFECT: </t>
    </r>
    <r>
      <rPr>
        <rFont val="IBM Plex Sans Condensed"/>
        <b/>
        <color rgb="FFEA4335"/>
        <sz val="13.0"/>
        <u/>
      </rPr>
      <t>PERMANENT RAIN</t>
    </r>
  </si>
  <si>
    <r>
      <rPr>
        <rFont val="IBM Plex Sans Condensed"/>
        <color theme="1"/>
        <sz val="13.0"/>
      </rPr>
      <t xml:space="preserve">ROUTE 25
LEADER
</t>
    </r>
    <r>
      <rPr>
        <rFont val="IBM Plex Sans Condensed"/>
        <b/>
        <color theme="1"/>
        <sz val="13.0"/>
      </rPr>
      <t>BUGSY</t>
    </r>
  </si>
  <si>
    <t>Lokix</t>
  </si>
  <si>
    <t>Ledian</t>
  </si>
  <si>
    <t>Scyther</t>
  </si>
  <si>
    <t>Scizor</t>
  </si>
  <si>
    <t>Tinted Lens</t>
  </si>
  <si>
    <t>Silver Powder</t>
  </si>
  <si>
    <t>Charti Berry</t>
  </si>
  <si>
    <t>Bug Bite</t>
  </si>
  <si>
    <t>Bullet Punch</t>
  </si>
  <si>
    <t>Leech Life</t>
  </si>
  <si>
    <t>LEVEL 27 -&gt;&gt;</t>
  </si>
  <si>
    <t>(!) POST LT. SURGE</t>
  </si>
  <si>
    <r>
      <rPr>
        <rFont val="IBM Plex Sans Condensed"/>
        <b/>
        <color theme="1"/>
        <sz val="13.0"/>
        <u/>
      </rPr>
      <t xml:space="preserve">BATTLE EFFECT: </t>
    </r>
    <r>
      <rPr>
        <rFont val="IBM Plex Sans Condensed"/>
        <b/>
        <color rgb="FFEA4335"/>
        <sz val="13.0"/>
        <u/>
      </rPr>
      <t>PERMANENT RAIN</t>
    </r>
  </si>
  <si>
    <r>
      <rPr>
        <rFont val="IBM Plex Sans Condensed"/>
        <color theme="1"/>
        <sz val="13.0"/>
      </rPr>
      <t xml:space="preserve">ROUTE 25
LEADER
</t>
    </r>
    <r>
      <rPr>
        <rFont val="IBM Plex Sans Condensed"/>
        <b/>
        <color theme="1"/>
        <sz val="13.0"/>
      </rPr>
      <t>BUGSY</t>
    </r>
  </si>
  <si>
    <t>Kleavor</t>
  </si>
  <si>
    <t>Scizor-Mega</t>
  </si>
  <si>
    <t>Araquanid</t>
  </si>
  <si>
    <t>Impish</t>
  </si>
  <si>
    <t>Sharpness</t>
  </si>
  <si>
    <t>Technician (Both)</t>
  </si>
  <si>
    <t>Water Bubble</t>
  </si>
  <si>
    <t>Scizorite</t>
  </si>
  <si>
    <t>Magnet</t>
  </si>
  <si>
    <t>Stone Axe</t>
  </si>
  <si>
    <t>X-Scissor</t>
  </si>
  <si>
    <t>Thunder</t>
  </si>
  <si>
    <t>Night Slash</t>
  </si>
  <si>
    <t>Sucker Punch</t>
  </si>
  <si>
    <t>LEVEL 44 -&gt;&gt;</t>
  </si>
  <si>
    <r>
      <rPr>
        <rFont val="IBM Plex Sans Condensed"/>
        <color theme="1"/>
        <sz val="13.0"/>
      </rPr>
      <t xml:space="preserve">ROUTE 11
LEADER
</t>
    </r>
    <r>
      <rPr>
        <rFont val="IBM Plex Sans Condensed"/>
        <b/>
        <color theme="1"/>
        <sz val="13.0"/>
      </rPr>
      <t>WHITNEY</t>
    </r>
  </si>
  <si>
    <t>Tinkaton</t>
  </si>
  <si>
    <t>Farigiraf</t>
  </si>
  <si>
    <t>Miltank</t>
  </si>
  <si>
    <t>Drampa</t>
  </si>
  <si>
    <t>Dudunsparce</t>
  </si>
  <si>
    <t>Parental Bond</t>
  </si>
  <si>
    <t>Thick Fat</t>
  </si>
  <si>
    <t>Sap Sipper</t>
  </si>
  <si>
    <t>Serene Grace</t>
  </si>
  <si>
    <t>Twisted Spoon</t>
  </si>
  <si>
    <t>Chople Berry</t>
  </si>
  <si>
    <t>Normal Gem</t>
  </si>
  <si>
    <t>Play Rough</t>
  </si>
  <si>
    <t>Body Slam</t>
  </si>
  <si>
    <t>Dragon Breath</t>
  </si>
  <si>
    <t>Giga. Hammer</t>
  </si>
  <si>
    <t>Slack Off</t>
  </si>
  <si>
    <t>Psychic</t>
  </si>
  <si>
    <t>Zen Headbutt</t>
  </si>
  <si>
    <t>Bite</t>
  </si>
  <si>
    <t>Encore</t>
  </si>
  <si>
    <t>Coil</t>
  </si>
  <si>
    <t>LEVEL 34 -&gt;&gt;</t>
  </si>
  <si>
    <r>
      <rPr>
        <rFont val="IBM Plex Sans Condensed"/>
        <color theme="1"/>
        <sz val="12.0"/>
      </rPr>
      <t xml:space="preserve">LAVENDER TOWN
</t>
    </r>
    <r>
      <rPr>
        <rFont val="IBM Plex Sans Condensed"/>
        <color theme="1"/>
        <sz val="13.0"/>
      </rPr>
      <t xml:space="preserve">LEADER
</t>
    </r>
    <r>
      <rPr>
        <rFont val="IBM Plex Sans Condensed"/>
        <b/>
        <color theme="1"/>
        <sz val="13.0"/>
      </rPr>
      <t>MORTY</t>
    </r>
  </si>
  <si>
    <t>Mimikyu</t>
  </si>
  <si>
    <t>Dusknoir</t>
  </si>
  <si>
    <t>Zoroark-H</t>
  </si>
  <si>
    <t>Skeledirge</t>
  </si>
  <si>
    <t>Gengar-Mega</t>
  </si>
  <si>
    <t>Ceruledge</t>
  </si>
  <si>
    <t>Disguise</t>
  </si>
  <si>
    <t>Illusion</t>
  </si>
  <si>
    <t>Unaware</t>
  </si>
  <si>
    <r>
      <rPr>
        <rFont val="IBM Plex Sans Condensed"/>
        <color theme="1"/>
        <sz val="11.0"/>
      </rPr>
      <t xml:space="preserve">Levitate
</t>
    </r>
    <r>
      <rPr>
        <rFont val="IBM Plex Sans Condensed"/>
        <b/>
        <color theme="1"/>
        <sz val="11.0"/>
      </rPr>
      <t>Shadow Tag</t>
    </r>
  </si>
  <si>
    <t>Reaper Cloth</t>
  </si>
  <si>
    <t>Colbur Berry</t>
  </si>
  <si>
    <t>Gengarite</t>
  </si>
  <si>
    <t>Shadow Punch</t>
  </si>
  <si>
    <t>Torch Song</t>
  </si>
  <si>
    <t>Bitter Blade</t>
  </si>
  <si>
    <t>Shadow Claw</t>
  </si>
  <si>
    <t>Shadow Sneak</t>
  </si>
  <si>
    <t>Dynam. Punch</t>
  </si>
  <si>
    <t>Hex</t>
  </si>
  <si>
    <r>
      <rPr>
        <rFont val="IBM Plex Sans Condensed"/>
        <color theme="1"/>
        <sz val="13.0"/>
      </rPr>
      <t xml:space="preserve">SAFFRON DOJO
LEADER
</t>
    </r>
    <r>
      <rPr>
        <rFont val="IBM Plex Sans Condensed"/>
        <b/>
        <color theme="1"/>
        <sz val="13.0"/>
      </rPr>
      <t>CHUCK</t>
    </r>
  </si>
  <si>
    <t>Hitmontop</t>
  </si>
  <si>
    <t>Sneasler</t>
  </si>
  <si>
    <t>Breloom</t>
  </si>
  <si>
    <t>Quaquaval</t>
  </si>
  <si>
    <t>Lucario</t>
  </si>
  <si>
    <t>Gallade-Mega</t>
  </si>
  <si>
    <t>Poison Touch</t>
  </si>
  <si>
    <t>Poison Heal</t>
  </si>
  <si>
    <t>Moxie</t>
  </si>
  <si>
    <t>Inner Focus</t>
  </si>
  <si>
    <r>
      <rPr>
        <rFont val="IBM Plex Sans Condensed"/>
        <color theme="1"/>
        <sz val="11.0"/>
      </rPr>
      <t xml:space="preserve">Steadfast
</t>
    </r>
    <r>
      <rPr>
        <rFont val="IBM Plex Sans Condensed"/>
        <b/>
        <color theme="1"/>
        <sz val="11.0"/>
      </rPr>
      <t>Sharpness</t>
    </r>
  </si>
  <si>
    <t>Toxic Orb</t>
  </si>
  <si>
    <t>Galladite</t>
  </si>
  <si>
    <t>Triple Kick</t>
  </si>
  <si>
    <t>Aqua Step</t>
  </si>
  <si>
    <t>Bulk Up</t>
  </si>
  <si>
    <t>Substitute</t>
  </si>
  <si>
    <t>Sacred Sword</t>
  </si>
  <si>
    <t>Focus Punch</t>
  </si>
  <si>
    <t>Psycho Cut</t>
  </si>
  <si>
    <t>Brutal Swing</t>
  </si>
  <si>
    <t>Rock Slide</t>
  </si>
  <si>
    <t>LEVEL 59 -&gt;&gt;</t>
  </si>
  <si>
    <r>
      <rPr>
        <rFont val="IBM Plex Sans Condensed"/>
        <b/>
        <color rgb="FF000000"/>
        <sz val="13.0"/>
        <u/>
      </rPr>
      <t>BATTLE EFFECT:</t>
    </r>
    <r>
      <rPr>
        <rFont val="IBM Plex Sans Condensed"/>
        <b/>
        <color rgb="FFEA4335"/>
        <sz val="13.0"/>
        <u/>
      </rPr>
      <t xml:space="preserve"> PERMANENT SNOW</t>
    </r>
  </si>
  <si>
    <r>
      <rPr>
        <rFont val="IBM Plex Sans Condensed"/>
        <color theme="1"/>
        <sz val="13.0"/>
      </rPr>
      <t xml:space="preserve">SEAFOAM ISL.
LEADER
</t>
    </r>
    <r>
      <rPr>
        <rFont val="IBM Plex Sans Condensed"/>
        <b/>
        <color theme="1"/>
        <sz val="13.0"/>
      </rPr>
      <t>PRYCE</t>
    </r>
  </si>
  <si>
    <t>Jynx</t>
  </si>
  <si>
    <t>Cloyster</t>
  </si>
  <si>
    <t>Walrein</t>
  </si>
  <si>
    <t>Baxcalibur</t>
  </si>
  <si>
    <t>Arctozolt</t>
  </si>
  <si>
    <t>Glalie-Mega</t>
  </si>
  <si>
    <t>Dry Skin</t>
  </si>
  <si>
    <t>Skill Link</t>
  </si>
  <si>
    <t>Fur Coat</t>
  </si>
  <si>
    <t>Thermal Exchange</t>
  </si>
  <si>
    <t>Slush Rush</t>
  </si>
  <si>
    <r>
      <rPr>
        <rFont val="IBM Plex Sans Condensed"/>
        <color theme="1"/>
        <sz val="11.0"/>
      </rPr>
      <t xml:space="preserve">Ice Body
</t>
    </r>
    <r>
      <rPr>
        <rFont val="IBM Plex Sans Condensed"/>
        <b/>
        <color theme="1"/>
        <sz val="11.0"/>
      </rPr>
      <t>Refrigerate</t>
    </r>
  </si>
  <si>
    <t>White Herb</t>
  </si>
  <si>
    <t>Dragon Fang</t>
  </si>
  <si>
    <t>Glalitite</t>
  </si>
  <si>
    <t>Lovely Kiss</t>
  </si>
  <si>
    <t>Bolt Beak</t>
  </si>
  <si>
    <t>Psystrike</t>
  </si>
  <si>
    <t>Icicle Spear</t>
  </si>
  <si>
    <t>Rest</t>
  </si>
  <si>
    <t>Icicle Crash</t>
  </si>
  <si>
    <t>Quick Attack</t>
  </si>
  <si>
    <t>Freeze-Dry</t>
  </si>
  <si>
    <t>Glaive Rush</t>
  </si>
  <si>
    <t>Rock Blast</t>
  </si>
  <si>
    <t>Low Kick</t>
  </si>
  <si>
    <t>Double-Edge</t>
  </si>
  <si>
    <t>LEVEL 73 -&gt;&gt;</t>
  </si>
  <si>
    <t>SLUSH RUSH:</t>
  </si>
  <si>
    <t>(!) TEAM ONE</t>
  </si>
  <si>
    <r>
      <rPr>
        <rFont val="IBM Plex Sans Condensed"/>
        <color theme="1"/>
        <sz val="13.0"/>
      </rPr>
      <t xml:space="preserve">CINNABAR LAB
LEADER
</t>
    </r>
    <r>
      <rPr>
        <rFont val="IBM Plex Sans Condensed"/>
        <b/>
        <color theme="1"/>
        <sz val="13.0"/>
      </rPr>
      <t>JASMINE</t>
    </r>
  </si>
  <si>
    <t>Steelix</t>
  </si>
  <si>
    <t>Melmetal</t>
  </si>
  <si>
    <t>Duraludon</t>
  </si>
  <si>
    <t>Durant</t>
  </si>
  <si>
    <t>Samurott</t>
  </si>
  <si>
    <t>Aggron-Mega</t>
  </si>
  <si>
    <t>Stalwart</t>
  </si>
  <si>
    <r>
      <rPr>
        <rFont val="IBM Plex Sans Condensed"/>
        <color theme="1"/>
        <sz val="11.0"/>
      </rPr>
      <t xml:space="preserve">Rock Head
</t>
    </r>
    <r>
      <rPr>
        <rFont val="IBM Plex Sans Condensed"/>
        <b/>
        <color theme="1"/>
        <sz val="11.0"/>
      </rPr>
      <t>Filter</t>
    </r>
  </si>
  <si>
    <t>Aggronite</t>
  </si>
  <si>
    <t>Double I. Bash</t>
  </si>
  <si>
    <t>Heavy Slam</t>
  </si>
  <si>
    <t>Cut</t>
  </si>
  <si>
    <t>Razor Shell</t>
  </si>
  <si>
    <t>Roar</t>
  </si>
  <si>
    <t>Hone Claws</t>
  </si>
  <si>
    <t>(!) TEAM TWO</t>
  </si>
  <si>
    <r>
      <rPr>
        <rFont val="IBM Plex Sans Condensed"/>
        <color theme="1"/>
        <sz val="13.0"/>
      </rPr>
      <t xml:space="preserve">CINNABAR LAB
LEADER
</t>
    </r>
    <r>
      <rPr>
        <rFont val="IBM Plex Sans Condensed"/>
        <b/>
        <color theme="1"/>
        <sz val="13.0"/>
      </rPr>
      <t>JASMINE</t>
    </r>
  </si>
  <si>
    <t>Bronzong</t>
  </si>
  <si>
    <t>Magnezone</t>
  </si>
  <si>
    <t>Excadrill</t>
  </si>
  <si>
    <t>Magnet Pull</t>
  </si>
  <si>
    <r>
      <rPr>
        <rFont val="IBM Plex Sans Condensed"/>
        <color theme="1"/>
        <sz val="11.0"/>
      </rPr>
      <t xml:space="preserve">Rock Head
</t>
    </r>
    <r>
      <rPr>
        <rFont val="IBM Plex Sans Condensed"/>
        <b/>
        <color theme="1"/>
        <sz val="11.0"/>
      </rPr>
      <t>Filter</t>
    </r>
  </si>
  <si>
    <t>(!) TEAM THREE</t>
  </si>
  <si>
    <r>
      <rPr>
        <rFont val="IBM Plex Sans Condensed"/>
        <color theme="1"/>
        <sz val="13.0"/>
      </rPr>
      <t xml:space="preserve">CINNABAR LAB
LEADER
</t>
    </r>
    <r>
      <rPr>
        <rFont val="IBM Plex Sans Condensed"/>
        <b/>
        <color theme="1"/>
        <sz val="13.0"/>
      </rPr>
      <t>JASMINE</t>
    </r>
  </si>
  <si>
    <t>Forretress</t>
  </si>
  <si>
    <r>
      <rPr>
        <rFont val="IBM Plex Sans Condensed"/>
        <color theme="1"/>
        <sz val="11.0"/>
      </rPr>
      <t xml:space="preserve">Rock Head
</t>
    </r>
    <r>
      <rPr>
        <rFont val="IBM Plex Sans Condensed"/>
        <b/>
        <color theme="1"/>
        <sz val="11.0"/>
      </rPr>
      <t>Filter</t>
    </r>
  </si>
  <si>
    <t>Meteor Mash</t>
  </si>
  <si>
    <t>(!) IF RIVAL HAS SQUIRTLE</t>
  </si>
  <si>
    <r>
      <rPr>
        <rFont val="IBM Plex Sans Condensed"/>
        <color rgb="FF000000"/>
        <sz val="13.0"/>
      </rPr>
      <t xml:space="preserve">ROUTE 22 #1
</t>
    </r>
    <r>
      <rPr>
        <rFont val="IBM Plex Sans Condensed"/>
        <b/>
        <color rgb="FF000000"/>
        <sz val="13.0"/>
      </rPr>
      <t>RIVAL</t>
    </r>
  </si>
  <si>
    <t>Starly</t>
  </si>
  <si>
    <t>Squirtle</t>
  </si>
  <si>
    <t>Mild</t>
  </si>
  <si>
    <t>Frisk</t>
  </si>
  <si>
    <t>Torrent</t>
  </si>
  <si>
    <t>No Item</t>
  </si>
  <si>
    <t>X</t>
  </si>
  <si>
    <t>Tackle</t>
  </si>
  <si>
    <t>Growl</t>
  </si>
  <si>
    <t>False Swipe</t>
  </si>
  <si>
    <t>Tail Whip</t>
  </si>
  <si>
    <t>Wing Attack</t>
  </si>
  <si>
    <t>Bubble</t>
  </si>
  <si>
    <t>(!) IF RIVAL HAS CHARMANDER</t>
  </si>
  <si>
    <r>
      <rPr>
        <rFont val="IBM Plex Sans Condensed"/>
        <color rgb="FF000000"/>
        <sz val="13.0"/>
      </rPr>
      <t xml:space="preserve">ROUTE 22 #1
</t>
    </r>
    <r>
      <rPr>
        <rFont val="IBM Plex Sans Condensed"/>
        <b/>
        <color rgb="FF000000"/>
        <sz val="13.0"/>
      </rPr>
      <t>RIVAL</t>
    </r>
  </si>
  <si>
    <t>Charmander</t>
  </si>
  <si>
    <t>Blaze</t>
  </si>
  <si>
    <t>Ember</t>
  </si>
  <si>
    <t>Brick Break</t>
  </si>
  <si>
    <t>(!) IF RIVAL HAS BULBASAUR</t>
  </si>
  <si>
    <r>
      <rPr>
        <rFont val="IBM Plex Sans Condensed"/>
        <color rgb="FF000000"/>
        <sz val="13.0"/>
      </rPr>
      <t xml:space="preserve">ROUTE 22 #1
</t>
    </r>
    <r>
      <rPr>
        <rFont val="IBM Plex Sans Condensed"/>
        <b/>
        <color rgb="FF000000"/>
        <sz val="13.0"/>
      </rPr>
      <t>RIVAL</t>
    </r>
  </si>
  <si>
    <t>Bulbasaur</t>
  </si>
  <si>
    <t>Overgrow</t>
  </si>
  <si>
    <t>Magical Leaf</t>
  </si>
  <si>
    <r>
      <rPr>
        <rFont val="IBM Plex Sans Condensed"/>
        <color rgb="FF000000"/>
        <sz val="13.0"/>
      </rPr>
      <t xml:space="preserve">VIRID. FOREST
</t>
    </r>
    <r>
      <rPr>
        <rFont val="IBM Plex Sans Condensed"/>
        <b/>
        <color rgb="FF000000"/>
        <sz val="13.0"/>
      </rPr>
      <t>BRENDAN</t>
    </r>
  </si>
  <si>
    <t>Corphish</t>
  </si>
  <si>
    <t>Treecko</t>
  </si>
  <si>
    <t>Rash</t>
  </si>
  <si>
    <t>Hardy</t>
  </si>
  <si>
    <t>Battle Armor</t>
  </si>
  <si>
    <t>Pound</t>
  </si>
  <si>
    <t>Harden</t>
  </si>
  <si>
    <t>Leer</t>
  </si>
  <si>
    <t>Vise Grip</t>
  </si>
  <si>
    <t>Absorb</t>
  </si>
  <si>
    <r>
      <rPr>
        <rFont val="IBM Plex Sans Condensed"/>
        <color rgb="FF000000"/>
        <sz val="13.0"/>
      </rPr>
      <t xml:space="preserve">CERULEAN CITY
</t>
    </r>
    <r>
      <rPr>
        <rFont val="IBM Plex Sans Condensed"/>
        <b/>
        <color rgb="FF000000"/>
        <sz val="13.0"/>
      </rPr>
      <t>RIVAL</t>
    </r>
  </si>
  <si>
    <t>Kirlia</t>
  </si>
  <si>
    <t>Staravia</t>
  </si>
  <si>
    <t>Pawniard</t>
  </si>
  <si>
    <t>Wartortle</t>
  </si>
  <si>
    <t>Highest Lv -3</t>
  </si>
  <si>
    <t>Highest Lv -4</t>
  </si>
  <si>
    <t>Intimidate</t>
  </si>
  <si>
    <t>Defiant</t>
  </si>
  <si>
    <t>Muscle Band</t>
  </si>
  <si>
    <t>Seismic Toss</t>
  </si>
  <si>
    <t>Counter</t>
  </si>
  <si>
    <t>Low Sweep</t>
  </si>
  <si>
    <r>
      <rPr>
        <rFont val="IBM Plex Sans Condensed"/>
        <color rgb="FF000000"/>
        <sz val="13.0"/>
      </rPr>
      <t xml:space="preserve">CERULEAN CITY
</t>
    </r>
    <r>
      <rPr>
        <rFont val="IBM Plex Sans Condensed"/>
        <b/>
        <color rgb="FF000000"/>
        <sz val="13.0"/>
      </rPr>
      <t>RIVAL</t>
    </r>
  </si>
  <si>
    <t>Charmeleon</t>
  </si>
  <si>
    <r>
      <rPr>
        <rFont val="IBM Plex Sans Condensed"/>
        <color rgb="FF000000"/>
        <sz val="13.0"/>
      </rPr>
      <t xml:space="preserve">CERULEAN CITY
</t>
    </r>
    <r>
      <rPr>
        <rFont val="IBM Plex Sans Condensed"/>
        <b/>
        <color rgb="FF000000"/>
        <sz val="13.0"/>
      </rPr>
      <t>RIVAL</t>
    </r>
  </si>
  <si>
    <t>Ivysaur</t>
  </si>
  <si>
    <t>Mega Drain</t>
  </si>
  <si>
    <t>Sludge</t>
  </si>
  <si>
    <r>
      <rPr>
        <rFont val="IBM Plex Sans Condensed"/>
        <color rgb="FF000000"/>
        <sz val="13.0"/>
      </rPr>
      <t xml:space="preserve">S.S. ANNE
</t>
    </r>
    <r>
      <rPr>
        <rFont val="IBM Plex Sans Condensed"/>
        <b/>
        <color rgb="FF000000"/>
        <sz val="13.0"/>
      </rPr>
      <t>BRENDAN</t>
    </r>
  </si>
  <si>
    <t>Loudred</t>
  </si>
  <si>
    <t>Lunatone</t>
  </si>
  <si>
    <t>Crawdaunt</t>
  </si>
  <si>
    <t>Grovyle</t>
  </si>
  <si>
    <t>Punk Rock</t>
  </si>
  <si>
    <t>Adaptability</t>
  </si>
  <si>
    <t>Aqua Jet</t>
  </si>
  <si>
    <t>Pow-Up Punch</t>
  </si>
  <si>
    <t>Power Gem</t>
  </si>
  <si>
    <t>Hypnosis</t>
  </si>
  <si>
    <r>
      <rPr>
        <rFont val="IBM Plex Sans Condensed"/>
        <color rgb="FF000000"/>
        <sz val="13.0"/>
      </rPr>
      <t xml:space="preserve">SILPH CO.
</t>
    </r>
    <r>
      <rPr>
        <rFont val="IBM Plex Sans Condensed"/>
        <b/>
        <color rgb="FF000000"/>
        <sz val="13.0"/>
      </rPr>
      <t>RIVAL</t>
    </r>
  </si>
  <si>
    <t>Staraptor</t>
  </si>
  <si>
    <t>Kingambit</t>
  </si>
  <si>
    <t>Jumpluff</t>
  </si>
  <si>
    <t>Darmanitan</t>
  </si>
  <si>
    <t>Blastoise-Mega</t>
  </si>
  <si>
    <t>Supreme Overlord</t>
  </si>
  <si>
    <r>
      <rPr>
        <rFont val="IBM Plex Sans Condensed"/>
        <color theme="1"/>
        <sz val="11.0"/>
      </rPr>
      <t xml:space="preserve">Torrent
</t>
    </r>
    <r>
      <rPr>
        <rFont val="IBM Plex Sans Condensed"/>
        <b/>
        <color theme="1"/>
        <sz val="11.0"/>
      </rPr>
      <t>Mega Launcher</t>
    </r>
  </si>
  <si>
    <t>Sharp Beak</t>
  </si>
  <si>
    <t>Blastoisinite</t>
  </si>
  <si>
    <t>Brave Bird</t>
  </si>
  <si>
    <t>LEVEL 56 -&gt;&gt;</t>
  </si>
  <si>
    <r>
      <rPr>
        <rFont val="IBM Plex Sans Condensed"/>
        <color rgb="FF000000"/>
        <sz val="13.0"/>
      </rPr>
      <t xml:space="preserve">SILPH CO.
</t>
    </r>
    <r>
      <rPr>
        <rFont val="IBM Plex Sans Condensed"/>
        <b/>
        <color rgb="FF000000"/>
        <sz val="13.0"/>
      </rPr>
      <t>RIVAL</t>
    </r>
  </si>
  <si>
    <t>Azumarill</t>
  </si>
  <si>
    <t>Huge Power</t>
  </si>
  <si>
    <r>
      <rPr>
        <rFont val="IBM Plex Sans Condensed"/>
        <color theme="1"/>
        <sz val="11.0"/>
      </rPr>
      <t xml:space="preserve">Blaze
</t>
    </r>
    <r>
      <rPr>
        <rFont val="IBM Plex Sans Condensed"/>
        <b/>
        <color theme="1"/>
        <sz val="11.0"/>
      </rPr>
      <t>Drought</t>
    </r>
  </si>
  <si>
    <r>
      <rPr>
        <rFont val="IBM Plex Sans Condensed"/>
        <color rgb="FF000000"/>
        <sz val="13.0"/>
      </rPr>
      <t xml:space="preserve">SILPH CO.
</t>
    </r>
    <r>
      <rPr>
        <rFont val="IBM Plex Sans Condensed"/>
        <b/>
        <color rgb="FF000000"/>
        <sz val="13.0"/>
      </rPr>
      <t>RIVAL</t>
    </r>
  </si>
  <si>
    <r>
      <rPr>
        <rFont val="IBM Plex Sans Condensed"/>
        <color theme="1"/>
        <sz val="11.0"/>
      </rPr>
      <t xml:space="preserve">Overgrow
</t>
    </r>
    <r>
      <rPr>
        <rFont val="IBM Plex Sans Condensed"/>
        <b/>
        <color theme="1"/>
        <sz val="11.0"/>
      </rPr>
      <t>Thick Fat</t>
    </r>
  </si>
  <si>
    <r>
      <rPr>
        <rFont val="IBM Plex Sans Condensed"/>
        <color rgb="FF000000"/>
        <sz val="13.0"/>
      </rPr>
      <t xml:space="preserve">FUCHSIA CITY
</t>
    </r>
    <r>
      <rPr>
        <rFont val="IBM Plex Sans Condensed"/>
        <b/>
        <color rgb="FF000000"/>
        <sz val="13.0"/>
      </rPr>
      <t>BRENDAN</t>
    </r>
  </si>
  <si>
    <t>Metagross</t>
  </si>
  <si>
    <t>Medicham</t>
  </si>
  <si>
    <t>Exploud</t>
  </si>
  <si>
    <t>Gardevoir</t>
  </si>
  <si>
    <t>Sceptile-Mega</t>
  </si>
  <si>
    <t>Clear Body</t>
  </si>
  <si>
    <t>Pure Power</t>
  </si>
  <si>
    <r>
      <rPr>
        <rFont val="IBM Plex Sans Condensed"/>
        <color theme="1"/>
        <sz val="11.0"/>
      </rPr>
      <t xml:space="preserve">Overgrow
</t>
    </r>
    <r>
      <rPr>
        <rFont val="IBM Plex Sans Condensed"/>
        <b/>
        <color theme="1"/>
        <sz val="11.0"/>
      </rPr>
      <t>Technician</t>
    </r>
  </si>
  <si>
    <t>Choice Band</t>
  </si>
  <si>
    <t>Silk Scarf</t>
  </si>
  <si>
    <t>Pixie Plate</t>
  </si>
  <si>
    <t>Sceptilite</t>
  </si>
  <si>
    <t>Bullet Seed</t>
  </si>
  <si>
    <t>Dual Chop</t>
  </si>
  <si>
    <t>Superpower</t>
  </si>
  <si>
    <r>
      <rPr>
        <rFont val="IBM Plex Sans Condensed"/>
        <color rgb="FF000000"/>
        <sz val="13.0"/>
      </rPr>
      <t xml:space="preserve">CINNABAR ISL.
</t>
    </r>
    <r>
      <rPr>
        <rFont val="IBM Plex Sans Condensed"/>
        <b/>
        <color rgb="FF000000"/>
        <sz val="13.0"/>
      </rPr>
      <t>MAY</t>
    </r>
  </si>
  <si>
    <t>Solrock</t>
  </si>
  <si>
    <t>Manectric</t>
  </si>
  <si>
    <t>Relicanth</t>
  </si>
  <si>
    <t>Flygon</t>
  </si>
  <si>
    <t>Blaziken-Mega</t>
  </si>
  <si>
    <t>Hasty</t>
  </si>
  <si>
    <t>Lightning Rod</t>
  </si>
  <si>
    <t>Speed Boost (Both)</t>
  </si>
  <si>
    <t>Blazikenite</t>
  </si>
  <si>
    <t>Photon Geyser</t>
  </si>
  <si>
    <t>Overheat</t>
  </si>
  <si>
    <t>Fire Blast</t>
  </si>
  <si>
    <t>Switcheroo</t>
  </si>
  <si>
    <t>Outrage</t>
  </si>
  <si>
    <r>
      <rPr>
        <rFont val="IBM Plex Sans Condensed"/>
        <color rgb="FF000000"/>
        <sz val="13.0"/>
      </rPr>
      <t xml:space="preserve">ROUTE 22 #2
</t>
    </r>
    <r>
      <rPr>
        <rFont val="IBM Plex Sans Condensed"/>
        <b/>
        <color rgb="FF000000"/>
        <sz val="13.0"/>
      </rPr>
      <t>RIVAL</t>
    </r>
  </si>
  <si>
    <t>Iron Moth</t>
  </si>
  <si>
    <r>
      <rPr>
        <rFont val="IBM Plex Sans Condensed"/>
        <color theme="1"/>
        <sz val="11.0"/>
      </rPr>
      <t xml:space="preserve">Rain Dish
</t>
    </r>
    <r>
      <rPr>
        <rFont val="IBM Plex Sans Condensed"/>
        <b/>
        <color theme="1"/>
        <sz val="11.0"/>
      </rPr>
      <t>Mega Launcher</t>
    </r>
  </si>
  <si>
    <t>Fiery Dance</t>
  </si>
  <si>
    <t>Dire Claw</t>
  </si>
  <si>
    <t>LEVEL 82 -&gt;&gt;</t>
  </si>
  <si>
    <r>
      <rPr>
        <rFont val="IBM Plex Sans Condensed"/>
        <color rgb="FF000000"/>
        <sz val="13.0"/>
      </rPr>
      <t xml:space="preserve">ROUTE 22 #2
</t>
    </r>
    <r>
      <rPr>
        <rFont val="IBM Plex Sans Condensed"/>
        <b/>
        <color rgb="FF000000"/>
        <sz val="13.0"/>
      </rPr>
      <t>RIVAL</t>
    </r>
  </si>
  <si>
    <t>Sandy Shocks</t>
  </si>
  <si>
    <t>Charizard-MegaX</t>
  </si>
  <si>
    <r>
      <rPr>
        <rFont val="IBM Plex Sans Condensed"/>
        <color theme="1"/>
        <sz val="11.0"/>
      </rPr>
      <t xml:space="preserve">Blaze
</t>
    </r>
    <r>
      <rPr>
        <rFont val="IBM Plex Sans Condensed"/>
        <b/>
        <color theme="1"/>
        <sz val="11.0"/>
      </rPr>
      <t>Tough Claws</t>
    </r>
  </si>
  <si>
    <t>Charizardite X</t>
  </si>
  <si>
    <r>
      <rPr>
        <rFont val="IBM Plex Sans Condensed"/>
        <color rgb="FF000000"/>
        <sz val="13.0"/>
      </rPr>
      <t xml:space="preserve">ROUTE 22 #2
</t>
    </r>
    <r>
      <rPr>
        <rFont val="IBM Plex Sans Condensed"/>
        <b/>
        <color rgb="FF000000"/>
        <sz val="13.0"/>
      </rPr>
      <t>RIVAL</t>
    </r>
  </si>
  <si>
    <t>Iron Bundle</t>
  </si>
  <si>
    <r>
      <rPr>
        <rFont val="IBM Plex Sans Condensed"/>
        <color theme="1"/>
        <sz val="11.0"/>
      </rPr>
      <t xml:space="preserve">Overgrow
</t>
    </r>
    <r>
      <rPr>
        <rFont val="IBM Plex Sans Condensed"/>
        <b/>
        <color theme="1"/>
        <sz val="11.0"/>
      </rPr>
      <t>Thick Fat</t>
    </r>
  </si>
  <si>
    <r>
      <rPr>
        <rFont val="IBM Plex Sans Condensed"/>
        <color rgb="FF000000"/>
        <sz val="13.0"/>
      </rPr>
      <t xml:space="preserve">ROUTE 23
</t>
    </r>
    <r>
      <rPr>
        <rFont val="IBM Plex Sans Condensed"/>
        <b/>
        <color rgb="FF000000"/>
        <sz val="13.0"/>
      </rPr>
      <t>BRENDAN</t>
    </r>
  </si>
  <si>
    <t>Deoxys-A</t>
  </si>
  <si>
    <t>Jirachi</t>
  </si>
  <si>
    <t>Landorus-I</t>
  </si>
  <si>
    <t>Zapdos-G</t>
  </si>
  <si>
    <t>Huntail</t>
  </si>
  <si>
    <t>Pressure</t>
  </si>
  <si>
    <t>Sand Force</t>
  </si>
  <si>
    <r>
      <rPr>
        <rFont val="IBM Plex Sans Condensed"/>
        <color theme="1"/>
        <sz val="11.0"/>
      </rPr>
      <t xml:space="preserve">Overgrow
</t>
    </r>
    <r>
      <rPr>
        <rFont val="IBM Plex Sans Condensed"/>
        <b/>
        <color theme="1"/>
        <sz val="11.0"/>
      </rPr>
      <t>Technician</t>
    </r>
  </si>
  <si>
    <t>Scale Shot</t>
  </si>
  <si>
    <t>Blaze Kick</t>
  </si>
  <si>
    <t>Ice Fang</t>
  </si>
  <si>
    <r>
      <rPr>
        <rFont val="IBM Plex Sans Condensed"/>
        <color rgb="FF000000"/>
        <sz val="13.0"/>
      </rPr>
      <t xml:space="preserve">MT. MOON
</t>
    </r>
    <r>
      <rPr>
        <rFont val="IBM Plex Sans Condensed"/>
        <b/>
        <color rgb="FF000000"/>
        <sz val="13.0"/>
      </rPr>
      <t>ARCHER</t>
    </r>
  </si>
  <si>
    <t>Glimmet</t>
  </si>
  <si>
    <t>Houndour</t>
  </si>
  <si>
    <t>Mightyena</t>
  </si>
  <si>
    <t>Toxic Debris</t>
  </si>
  <si>
    <t>Strong Jaw</t>
  </si>
  <si>
    <t>Wise Glasses</t>
  </si>
  <si>
    <t>Snarl</t>
  </si>
  <si>
    <t>Venoshock</t>
  </si>
  <si>
    <t>Incinerate</t>
  </si>
  <si>
    <t>Howl</t>
  </si>
  <si>
    <t>Fire Fang</t>
  </si>
  <si>
    <r>
      <rPr>
        <rFont val="IBM Plex Sans Condensed"/>
        <color rgb="FF000000"/>
        <sz val="13.0"/>
      </rPr>
      <t>NUGG. BRIDGE</t>
    </r>
    <r>
      <rPr>
        <rFont val="IBM Plex Sans Condensed"/>
        <color rgb="FF000000"/>
        <sz val="13.0"/>
      </rPr>
      <t xml:space="preserve">
</t>
    </r>
    <r>
      <rPr>
        <rFont val="IBM Plex Sans Condensed"/>
        <b/>
        <color rgb="FF000000"/>
        <sz val="13.0"/>
      </rPr>
      <t>GRUNT</t>
    </r>
  </si>
  <si>
    <t>Growlithe</t>
  </si>
  <si>
    <t>Gabite</t>
  </si>
  <si>
    <t>Togedemaru</t>
  </si>
  <si>
    <t>Komala</t>
  </si>
  <si>
    <t>Rough Skin</t>
  </si>
  <si>
    <t>Comotose</t>
  </si>
  <si>
    <t>Dragon Rage</t>
  </si>
  <si>
    <t>Zippy Zap</t>
  </si>
  <si>
    <t>Last Resort</t>
  </si>
  <si>
    <t>Thunder Fang</t>
  </si>
  <si>
    <t>Nuzzle</t>
  </si>
  <si>
    <r>
      <rPr>
        <rFont val="IBM Plex Sans Condensed"/>
        <color rgb="FF000000"/>
        <sz val="13.0"/>
      </rPr>
      <t xml:space="preserve">DIG HOUSE
</t>
    </r>
    <r>
      <rPr>
        <rFont val="IBM Plex Sans Condensed"/>
        <b/>
        <color rgb="FF000000"/>
        <sz val="13.0"/>
      </rPr>
      <t>GRUNT</t>
    </r>
  </si>
  <si>
    <t>Persian-A</t>
  </si>
  <si>
    <t>Golbat</t>
  </si>
  <si>
    <t>Oinkologne-F</t>
  </si>
  <si>
    <t>Octillery</t>
  </si>
  <si>
    <t>Highest Lv -5</t>
  </si>
  <si>
    <t>Feline Prowess</t>
  </si>
  <si>
    <t>Gluttony</t>
  </si>
  <si>
    <t>Black Glasses</t>
  </si>
  <si>
    <t>Figy Berry</t>
  </si>
  <si>
    <t>Rindo Berry</t>
  </si>
  <si>
    <t>Stockpile</t>
  </si>
  <si>
    <t>Parting Shot</t>
  </si>
  <si>
    <t>Air Cutter</t>
  </si>
  <si>
    <t>Shock Wave</t>
  </si>
  <si>
    <t>Headbutt</t>
  </si>
  <si>
    <r>
      <rPr>
        <rFont val="IBM Plex Sans Condensed"/>
        <b/>
        <color theme="1"/>
        <sz val="13.0"/>
        <u/>
      </rPr>
      <t xml:space="preserve">BATTLE EFFECT: </t>
    </r>
    <r>
      <rPr>
        <rFont val="IBM Plex Sans Condensed"/>
        <b/>
        <color rgb="FFEA4335"/>
        <sz val="13.0"/>
        <u/>
      </rPr>
      <t>DOUBLES</t>
    </r>
  </si>
  <si>
    <r>
      <rPr>
        <rFont val="IBM Plex Sans Condensed"/>
        <color rgb="FF000000"/>
        <sz val="13.0"/>
      </rPr>
      <t xml:space="preserve">GAME CORNER
</t>
    </r>
    <r>
      <rPr>
        <rFont val="IBM Plex Sans Condensed"/>
        <b/>
        <color rgb="FF000000"/>
        <sz val="13.0"/>
      </rPr>
      <t>GUARD</t>
    </r>
  </si>
  <si>
    <t>Hypno</t>
  </si>
  <si>
    <t>Granbull</t>
  </si>
  <si>
    <t>Obstagoon</t>
  </si>
  <si>
    <t>Bad Dreams</t>
  </si>
  <si>
    <t>Dark Void</t>
  </si>
  <si>
    <t>Aqua Tail</t>
  </si>
  <si>
    <t>Temper Flare</t>
  </si>
  <si>
    <t>Psychic Fangs</t>
  </si>
  <si>
    <t>LEVEL 47 -&gt;&gt;</t>
  </si>
  <si>
    <r>
      <rPr>
        <rFont val="IBM Plex Sans Condensed"/>
        <b/>
        <color theme="1"/>
        <sz val="13.0"/>
        <u/>
      </rPr>
      <t xml:space="preserve">BATTLE EFFECT: </t>
    </r>
    <r>
      <rPr>
        <rFont val="IBM Plex Sans Condensed"/>
        <b/>
        <color rgb="FFEA4335"/>
        <sz val="13.0"/>
        <u/>
      </rPr>
      <t>DOUBLES</t>
    </r>
  </si>
  <si>
    <r>
      <rPr>
        <rFont val="IBM Plex Sans Condensed"/>
        <color rgb="FF000000"/>
        <sz val="13.0"/>
      </rPr>
      <t xml:space="preserve">ROCKET HIDE.
</t>
    </r>
    <r>
      <rPr>
        <rFont val="IBM Plex Sans Condensed"/>
        <b/>
        <color rgb="FF000000"/>
        <sz val="13.0"/>
      </rPr>
      <t>LEFT GUARD</t>
    </r>
  </si>
  <si>
    <t>Weezing-G</t>
  </si>
  <si>
    <t>Slaking</t>
  </si>
  <si>
    <t>Crobat</t>
  </si>
  <si>
    <t>Dipplin</t>
  </si>
  <si>
    <t>Neutralizing Gas</t>
  </si>
  <si>
    <t>Truant</t>
  </si>
  <si>
    <t>Sticky Hold</t>
  </si>
  <si>
    <t>Strange Steam</t>
  </si>
  <si>
    <t>Pollen Puff</t>
  </si>
  <si>
    <r>
      <rPr>
        <rFont val="IBM Plex Sans Condensed"/>
        <b/>
        <color theme="1"/>
        <sz val="13.0"/>
        <u/>
      </rPr>
      <t xml:space="preserve">BATTLE EFFECT: </t>
    </r>
    <r>
      <rPr>
        <rFont val="IBM Plex Sans Condensed"/>
        <b/>
        <color rgb="FFEA4335"/>
        <sz val="13.0"/>
        <u/>
      </rPr>
      <t>DOUBLES</t>
    </r>
  </si>
  <si>
    <r>
      <rPr>
        <rFont val="IBM Plex Sans Condensed"/>
        <color rgb="FF000000"/>
        <sz val="13.0"/>
      </rPr>
      <t xml:space="preserve">ROCKET HIDE.
</t>
    </r>
    <r>
      <rPr>
        <rFont val="IBM Plex Sans Condensed"/>
        <b/>
        <color rgb="FF000000"/>
        <sz val="13.0"/>
      </rPr>
      <t>RIGHT GUARD</t>
    </r>
  </si>
  <si>
    <t>Talonflame</t>
  </si>
  <si>
    <t>Shiftry</t>
  </si>
  <si>
    <t>Toxicroak</t>
  </si>
  <si>
    <t>Eelektross</t>
  </si>
  <si>
    <t>Gale Wings</t>
  </si>
  <si>
    <t>Wind Rider</t>
  </si>
  <si>
    <t>Expert Belt</t>
  </si>
  <si>
    <t>Tailwind</t>
  </si>
  <si>
    <t>Cease. Edge</t>
  </si>
  <si>
    <r>
      <rPr>
        <rFont val="IBM Plex Sans Condensed"/>
        <color rgb="FF000000"/>
        <sz val="13.0"/>
      </rPr>
      <t xml:space="preserve">ROCKET HIDE.
</t>
    </r>
    <r>
      <rPr>
        <rFont val="IBM Plex Sans Condensed"/>
        <b/>
        <color rgb="FF000000"/>
        <sz val="13.0"/>
      </rPr>
      <t>GIOVANNI</t>
    </r>
  </si>
  <si>
    <t>Nidoking</t>
  </si>
  <si>
    <t>Honchkrow</t>
  </si>
  <si>
    <t>Infernape</t>
  </si>
  <si>
    <t>Kangaskhan-Mega</t>
  </si>
  <si>
    <t>Orthworm</t>
  </si>
  <si>
    <t>Veluza</t>
  </si>
  <si>
    <t>Super Luck</t>
  </si>
  <si>
    <r>
      <rPr>
        <rFont val="IBM Plex Sans Condensed"/>
        <color theme="1"/>
        <sz val="11.0"/>
      </rPr>
      <t xml:space="preserve">Inner Focus
</t>
    </r>
    <r>
      <rPr>
        <rFont val="IBM Plex Sans Condensed"/>
        <b/>
        <color theme="1"/>
        <sz val="11.0"/>
      </rPr>
      <t>Parental Bond</t>
    </r>
  </si>
  <si>
    <t>Earth Eater</t>
  </si>
  <si>
    <t>Kangaskhanite</t>
  </si>
  <si>
    <t>Shed Tail</t>
  </si>
  <si>
    <t>Fillet Away</t>
  </si>
  <si>
    <t>Pyro Ball</t>
  </si>
  <si>
    <t>Aqua Cutter</t>
  </si>
  <si>
    <t>Drill Peck</t>
  </si>
  <si>
    <t>Heat Wave</t>
  </si>
  <si>
    <r>
      <rPr>
        <rFont val="IBM Plex Sans Condensed"/>
        <b/>
        <color rgb="FF000000"/>
        <sz val="13.0"/>
        <u/>
      </rPr>
      <t>BATTLE EFFECT:</t>
    </r>
    <r>
      <rPr>
        <rFont val="IBM Plex Sans Condensed"/>
        <b/>
        <color rgb="FFEA4335"/>
        <sz val="13.0"/>
        <u/>
      </rPr>
      <t xml:space="preserve"> DOUBLES WITH PARTNER BRENDAN</t>
    </r>
  </si>
  <si>
    <r>
      <rPr>
        <rFont val="IBM Plex Sans Condensed"/>
        <color rgb="FF000000"/>
        <sz val="13.0"/>
      </rPr>
      <t xml:space="preserve">SILPH CO.
</t>
    </r>
    <r>
      <rPr>
        <rFont val="IBM Plex Sans Condensed"/>
        <b/>
        <color rgb="FF000000"/>
        <sz val="13.0"/>
      </rPr>
      <t xml:space="preserve">ARIANA
</t>
    </r>
    <r>
      <rPr>
        <rFont val="IBM Plex Sans Condensed"/>
        <color rgb="FF000000"/>
        <sz val="13.0"/>
      </rPr>
      <t xml:space="preserve">&amp;
</t>
    </r>
    <r>
      <rPr>
        <rFont val="IBM Plex Sans Condensed"/>
        <b/>
        <color rgb="FF000000"/>
        <sz val="13.0"/>
      </rPr>
      <t>ARCHER</t>
    </r>
  </si>
  <si>
    <t>Incineroar</t>
  </si>
  <si>
    <t>Primarina</t>
  </si>
  <si>
    <t>Mawile-Mega</t>
  </si>
  <si>
    <t>Gothitelle</t>
  </si>
  <si>
    <t>Gholdengo</t>
  </si>
  <si>
    <t>Houndoom-Mega</t>
  </si>
  <si>
    <t>Liquid Voice</t>
  </si>
  <si>
    <r>
      <rPr>
        <rFont val="IBM Plex Sans Condensed"/>
        <color theme="1"/>
        <sz val="11.0"/>
      </rPr>
      <t xml:space="preserve">Intimidate
</t>
    </r>
    <r>
      <rPr>
        <rFont val="IBM Plex Sans Condensed"/>
        <b/>
        <color theme="1"/>
        <sz val="11.0"/>
      </rPr>
      <t>Huge Power</t>
    </r>
  </si>
  <si>
    <t>Competitive</t>
  </si>
  <si>
    <t>Good As Gold</t>
  </si>
  <si>
    <r>
      <rPr>
        <rFont val="IBM Plex Sans Condensed"/>
        <color theme="1"/>
        <sz val="11.0"/>
      </rPr>
      <t xml:space="preserve">Early Bird
</t>
    </r>
    <r>
      <rPr>
        <rFont val="IBM Plex Sans Condensed"/>
        <b/>
        <color theme="1"/>
        <sz val="11.0"/>
      </rPr>
      <t>Dark Aura</t>
    </r>
  </si>
  <si>
    <t>Throat Spray</t>
  </si>
  <si>
    <t>Mawilite</t>
  </si>
  <si>
    <t>Houndoominite</t>
  </si>
  <si>
    <t>Make It Rain</t>
  </si>
  <si>
    <t>Darkest Lariat</t>
  </si>
  <si>
    <t>HP Fighting</t>
  </si>
  <si>
    <t>Scorch. Sands</t>
  </si>
  <si>
    <r>
      <rPr>
        <rFont val="IBM Plex Sans Condensed"/>
        <color rgb="FF000000"/>
        <sz val="13.0"/>
      </rPr>
      <t xml:space="preserve">PARTNER
</t>
    </r>
    <r>
      <rPr>
        <rFont val="IBM Plex Sans Condensed"/>
        <b/>
        <color rgb="FF000000"/>
        <sz val="13.0"/>
      </rPr>
      <t>BRENDAN</t>
    </r>
  </si>
  <si>
    <t>Masquerain</t>
  </si>
  <si>
    <r>
      <rPr>
        <rFont val="IBM Plex Sans Condensed"/>
        <color theme="1"/>
        <sz val="11.0"/>
      </rPr>
      <t xml:space="preserve">Unburden
</t>
    </r>
    <r>
      <rPr>
        <rFont val="IBM Plex Sans Condensed"/>
        <b/>
        <color theme="1"/>
        <sz val="11.0"/>
      </rPr>
      <t>Technician</t>
    </r>
  </si>
  <si>
    <t xml:space="preserve">Flamethrower </t>
  </si>
  <si>
    <t>Stun Spore</t>
  </si>
  <si>
    <r>
      <rPr>
        <rFont val="IBM Plex Sans Condensed"/>
        <color rgb="FF000000"/>
        <sz val="13.0"/>
      </rPr>
      <t xml:space="preserve">SILPH CO.
</t>
    </r>
    <r>
      <rPr>
        <rFont val="IBM Plex Sans Condensed"/>
        <b/>
        <color rgb="FF000000"/>
        <sz val="13.0"/>
      </rPr>
      <t>GIOVANNI</t>
    </r>
  </si>
  <si>
    <t>Hippowdon</t>
  </si>
  <si>
    <t>Garganacl</t>
  </si>
  <si>
    <t>Garchomp</t>
  </si>
  <si>
    <t>Torterra</t>
  </si>
  <si>
    <t>Sand Rush</t>
  </si>
  <si>
    <r>
      <rPr>
        <rFont val="IBM Plex Sans Condensed"/>
        <color theme="1"/>
        <sz val="11.0"/>
      </rPr>
      <t xml:space="preserve">Scrappy
</t>
    </r>
    <r>
      <rPr>
        <rFont val="IBM Plex Sans Condensed"/>
        <b/>
        <color theme="1"/>
        <sz val="11.0"/>
      </rPr>
      <t xml:space="preserve">Parental Bond </t>
    </r>
  </si>
  <si>
    <t>Purifying Salt</t>
  </si>
  <si>
    <t>Sand Veil</t>
  </si>
  <si>
    <t>Smooth Rock</t>
  </si>
  <si>
    <t>Yache Berry</t>
  </si>
  <si>
    <t>Wood Hammer</t>
  </si>
  <si>
    <t>Salt Cure</t>
  </si>
  <si>
    <t>SAND RUSH:</t>
  </si>
  <si>
    <r>
      <rPr>
        <rFont val="IBM Plex Sans Condensed"/>
        <color rgb="FF000000"/>
        <sz val="13.0"/>
      </rPr>
      <t xml:space="preserve">CERULEA. CAVE
</t>
    </r>
    <r>
      <rPr>
        <rFont val="IBM Plex Sans Condensed"/>
        <b/>
        <color rgb="FF000000"/>
        <sz val="13.0"/>
      </rPr>
      <t>ARCHER</t>
    </r>
  </si>
  <si>
    <t>Mamoswine</t>
  </si>
  <si>
    <r>
      <rPr>
        <rFont val="IBM Plex Sans Condensed"/>
        <color theme="1"/>
        <sz val="11.0"/>
      </rPr>
      <t xml:space="preserve">Unnerve
</t>
    </r>
    <r>
      <rPr>
        <rFont val="IBM Plex Sans Condensed"/>
        <b/>
        <color theme="1"/>
        <sz val="11.0"/>
      </rPr>
      <t>Dark Aura</t>
    </r>
  </si>
  <si>
    <t>Fiery Wrath</t>
  </si>
  <si>
    <t>Ice Shard</t>
  </si>
  <si>
    <t>Endeavor</t>
  </si>
  <si>
    <t>(!) BACK TO BACK</t>
  </si>
  <si>
    <r>
      <rPr>
        <rFont val="IBM Plex Sans Condensed"/>
        <color rgb="FF000000"/>
        <sz val="13.0"/>
      </rPr>
      <t xml:space="preserve">CERULEA. CAVE
</t>
    </r>
    <r>
      <rPr>
        <rFont val="IBM Plex Sans Condensed"/>
        <b/>
        <color rgb="FF000000"/>
        <sz val="13.0"/>
      </rPr>
      <t>ARIANA</t>
    </r>
  </si>
  <si>
    <t>Rhyperior</t>
  </si>
  <si>
    <t>Solid Rock</t>
  </si>
  <si>
    <r>
      <rPr>
        <rFont val="IBM Plex Sans Condensed"/>
        <color theme="1"/>
        <sz val="11.0"/>
      </rPr>
      <t xml:space="preserve">Intimidate
</t>
    </r>
    <r>
      <rPr>
        <rFont val="IBM Plex Sans Condensed"/>
        <b/>
        <color theme="1"/>
        <sz val="11.0"/>
      </rPr>
      <t>Huge Power</t>
    </r>
  </si>
  <si>
    <t>Heat Crash</t>
  </si>
  <si>
    <r>
      <rPr>
        <rFont val="IBM Plex Sans Condensed"/>
        <b/>
        <color rgb="FF000000"/>
        <sz val="13.0"/>
        <u/>
      </rPr>
      <t>BATTLE EFFECT:</t>
    </r>
    <r>
      <rPr>
        <rFont val="IBM Plex Sans Condensed"/>
        <b/>
        <color rgb="FFEA4335"/>
        <sz val="13.0"/>
        <u/>
      </rPr>
      <t xml:space="preserve"> </t>
    </r>
    <r>
      <rPr>
        <rFont val="IBM Plex Sans Condensed"/>
        <b/>
        <color rgb="FFEA3535"/>
        <sz val="13.0"/>
        <u/>
      </rPr>
      <t>DOUBLES WITH PARTNER LANCE, MEWTWO MEGA EVOLVES AFTER FAINTING FOR 1ST TIME</t>
    </r>
  </si>
  <si>
    <r>
      <rPr>
        <rFont val="IBM Plex Sans Condensed"/>
        <color rgb="FF000000"/>
        <sz val="13.0"/>
      </rPr>
      <t xml:space="preserve">CERULEA. CAVE
</t>
    </r>
    <r>
      <rPr>
        <rFont val="IBM Plex Sans Condensed"/>
        <b/>
        <color rgb="FF000000"/>
        <sz val="13.0"/>
      </rPr>
      <t>GIOVANNI</t>
    </r>
  </si>
  <si>
    <t>Tapu Lele</t>
  </si>
  <si>
    <t>Scrafty</t>
  </si>
  <si>
    <t>Celesteela</t>
  </si>
  <si>
    <t>Mewtwo-MegaY</t>
  </si>
  <si>
    <r>
      <rPr>
        <rFont val="IBM Plex Sans Condensed"/>
        <color theme="1"/>
        <sz val="11.0"/>
      </rPr>
      <t xml:space="preserve">Unnerve
</t>
    </r>
    <r>
      <rPr>
        <rFont val="IBM Plex Sans Condensed"/>
        <b/>
        <color theme="1"/>
        <sz val="11.0"/>
      </rPr>
      <t>Insomnia</t>
    </r>
  </si>
  <si>
    <t>Autotomize</t>
  </si>
  <si>
    <t>Soul Robbery</t>
  </si>
  <si>
    <r>
      <rPr>
        <rFont val="IBM Plex Sans Condensed"/>
        <color rgb="FF000000"/>
        <sz val="13.0"/>
      </rPr>
      <t xml:space="preserve">PARTNER
</t>
    </r>
    <r>
      <rPr>
        <rFont val="IBM Plex Sans Condensed"/>
        <b/>
        <color rgb="FF000000"/>
        <sz val="13.0"/>
      </rPr>
      <t>LANCE</t>
    </r>
  </si>
  <si>
    <t>Dragapult</t>
  </si>
  <si>
    <t>Dialga</t>
  </si>
  <si>
    <t>Salamence-Mega</t>
  </si>
  <si>
    <t>Telepathy</t>
  </si>
  <si>
    <r>
      <rPr>
        <rFont val="IBM Plex Sans Condensed"/>
        <color theme="1"/>
        <sz val="11.0"/>
      </rPr>
      <t xml:space="preserve">Intimidate
</t>
    </r>
    <r>
      <rPr>
        <rFont val="IBM Plex Sans Condensed"/>
        <b/>
        <color theme="1"/>
        <sz val="11.0"/>
      </rPr>
      <t>Aerilate</t>
    </r>
  </si>
  <si>
    <t>Spell Tag</t>
  </si>
  <si>
    <t>Salamencite</t>
  </si>
  <si>
    <t>Spirit Shackle</t>
  </si>
  <si>
    <t>Dragon Darts</t>
  </si>
  <si>
    <r>
      <rPr>
        <rFont val="IBM Plex Sans Condensed"/>
        <color rgb="FF000000"/>
        <sz val="13.0"/>
      </rPr>
      <t xml:space="preserve">VIRID. FOREST
LASS </t>
    </r>
    <r>
      <rPr>
        <rFont val="IBM Plex Sans Condensed"/>
        <b/>
        <color rgb="FF000000"/>
        <sz val="13.0"/>
      </rPr>
      <t xml:space="preserve">
ANNE</t>
    </r>
  </si>
  <si>
    <t>Stufful</t>
  </si>
  <si>
    <t>Clefairy</t>
  </si>
  <si>
    <t>Audino</t>
  </si>
  <si>
    <t>Fluffy</t>
  </si>
  <si>
    <t>Magic Guard</t>
  </si>
  <si>
    <t>Regenerator</t>
  </si>
  <si>
    <t>Oran Berry</t>
  </si>
  <si>
    <t>Metronome</t>
  </si>
  <si>
    <t>Swagger</t>
  </si>
  <si>
    <t>Wish</t>
  </si>
  <si>
    <t>Yawn</t>
  </si>
  <si>
    <t>LEVEL 15 -&gt;&gt;</t>
  </si>
  <si>
    <r>
      <rPr>
        <rFont val="IBM Plex Sans Condensed"/>
        <color rgb="FF000000"/>
        <sz val="13.0"/>
      </rPr>
      <t>VIRID. FOREST
ACE TRAINER</t>
    </r>
    <r>
      <rPr>
        <rFont val="IBM Plex Sans Condensed"/>
        <b/>
        <color rgb="FF000000"/>
        <sz val="13.0"/>
      </rPr>
      <t xml:space="preserve">
NELLE</t>
    </r>
  </si>
  <si>
    <t>Charcadet</t>
  </si>
  <si>
    <t>Gulpin</t>
  </si>
  <si>
    <t>Flame Body</t>
  </si>
  <si>
    <t>Fire Spin</t>
  </si>
  <si>
    <t>Belch</t>
  </si>
  <si>
    <t>Night Shade</t>
  </si>
  <si>
    <t>Clear Smog</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</si>
  <si>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</si>
  <si>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MT. MOON
SUPER NERD</t>
    </r>
    <r>
      <rPr>
        <rFont val="IBM Plex Sans Condensed"/>
        <b/>
        <color rgb="FF000000"/>
        <sz val="13.0"/>
      </rPr>
      <t xml:space="preserve">
MIGUEL</t>
    </r>
  </si>
  <si>
    <t>Thwackey</t>
  </si>
  <si>
    <t>Voltorb-H</t>
  </si>
  <si>
    <t>Bibarel</t>
  </si>
  <si>
    <t>Sableye</t>
  </si>
  <si>
    <t>Simple</t>
  </si>
  <si>
    <t>Prankster</t>
  </si>
  <si>
    <t>Razor Leaf</t>
  </si>
  <si>
    <t>Curse</t>
  </si>
  <si>
    <t>Foul Play</t>
  </si>
  <si>
    <t>LEVEL 22 -&gt;&gt;</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</si>
  <si>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</si>
  <si>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NUGG. BRIDGE</t>
    </r>
    <r>
      <rPr>
        <rFont val="IBM Plex Sans Condensed"/>
        <color rgb="FF000000"/>
        <sz val="13.0"/>
      </rPr>
      <t xml:space="preserve">
BUG CATCHER</t>
    </r>
    <r>
      <rPr>
        <rFont val="IBM Plex Sans Condensed"/>
        <b/>
        <color rgb="FF000000"/>
        <sz val="13.0"/>
      </rPr>
      <t xml:space="preserve">
CALE</t>
    </r>
  </si>
  <si>
    <t>Vivillon</t>
  </si>
  <si>
    <t>Butterfree</t>
  </si>
  <si>
    <t>Wormadam-Sa</t>
  </si>
  <si>
    <t>Friend Guard</t>
  </si>
  <si>
    <t>Compound Eyes</t>
  </si>
  <si>
    <t>Overcoat</t>
  </si>
  <si>
    <t>Struggle Bug</t>
  </si>
  <si>
    <t>Electroweb</t>
  </si>
  <si>
    <t>Ominous Wind</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</si>
  <si>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</si>
  <si>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NUGG. BRIDGE</t>
    </r>
    <r>
      <rPr>
        <rFont val="IBM Plex Sans Condensed"/>
        <color rgb="FF000000"/>
        <sz val="13.0"/>
      </rPr>
      <t xml:space="preserve">
LASS</t>
    </r>
    <r>
      <rPr>
        <rFont val="IBM Plex Sans Condensed"/>
        <b/>
        <color rgb="FF000000"/>
        <sz val="13.0"/>
      </rPr>
      <t xml:space="preserve">
ALI</t>
    </r>
  </si>
  <si>
    <t>Jigglypuff</t>
  </si>
  <si>
    <t>Amaura</t>
  </si>
  <si>
    <t>Brionne</t>
  </si>
  <si>
    <t>Refrigerate</t>
  </si>
  <si>
    <t>Round</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</si>
  <si>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</si>
  <si>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NUGG. BRIDGE
YOUNGSTER</t>
    </r>
    <r>
      <rPr>
        <rFont val="IBM Plex Sans Condensed"/>
        <b/>
        <color rgb="FF000000"/>
        <sz val="13.0"/>
      </rPr>
      <t xml:space="preserve">
TIMMY</t>
    </r>
  </si>
  <si>
    <t>Plusle</t>
  </si>
  <si>
    <t>Electrike</t>
  </si>
  <si>
    <t>Snover</t>
  </si>
  <si>
    <t>Plus</t>
  </si>
  <si>
    <t>Minus</t>
  </si>
  <si>
    <t>Ice Body</t>
  </si>
  <si>
    <t>Signal Beam</t>
  </si>
  <si>
    <r>
      <rPr>
        <rFont val="IBM Plex Sans Condensed"/>
        <color rgb="FF000000"/>
        <sz val="13.0"/>
      </rPr>
      <t>NUGG. BRIDGE
LASS</t>
    </r>
    <r>
      <rPr>
        <rFont val="IBM Plex Sans Condensed"/>
        <b/>
        <color rgb="FF000000"/>
        <sz val="13.0"/>
      </rPr>
      <t xml:space="preserve">
RELI</t>
    </r>
  </si>
  <si>
    <t>Greedent</t>
  </si>
  <si>
    <t>Togetic</t>
  </si>
  <si>
    <t>Clamperl</t>
  </si>
  <si>
    <t>Cheek Pouch</t>
  </si>
  <si>
    <t>Shell Armor</t>
  </si>
  <si>
    <t>Deep Sea Tooth</t>
  </si>
  <si>
    <t>Stom. Tantrum</t>
  </si>
  <si>
    <t>Seed Bomb</t>
  </si>
  <si>
    <r>
      <rPr>
        <rFont val="IBM Plex Sans Condensed"/>
        <color rgb="FF000000"/>
        <sz val="13.0"/>
      </rPr>
      <t>NUGG. BRIDGE
CAMPER</t>
    </r>
    <r>
      <rPr>
        <rFont val="IBM Plex Sans Condensed"/>
        <b/>
        <color rgb="FF000000"/>
        <sz val="13.0"/>
      </rPr>
      <t xml:space="preserve">
ETHAN</t>
    </r>
  </si>
  <si>
    <t>Mabosstiff</t>
  </si>
  <si>
    <t>Salandit</t>
  </si>
  <si>
    <t>Misdreavus</t>
  </si>
  <si>
    <t>Corrosion</t>
  </si>
  <si>
    <t>Black Sludge</t>
  </si>
  <si>
    <t>Trailblaze</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</si>
  <si>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</si>
  <si>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S.S. ANNE
LASS</t>
    </r>
    <r>
      <rPr>
        <rFont val="IBM Plex Sans Condensed"/>
        <b/>
        <color rgb="FF000000"/>
        <sz val="13.0"/>
      </rPr>
      <t xml:space="preserve">
ANN
</t>
    </r>
    <r>
      <rPr>
        <rFont val="IBM Plex Sans Condensed"/>
        <color rgb="FF000000"/>
        <sz val="13.0"/>
      </rPr>
      <t xml:space="preserve">&amp;
GENTLEMAN
</t>
    </r>
    <r>
      <rPr>
        <rFont val="IBM Plex Sans Condensed"/>
        <b/>
        <color rgb="FF000000"/>
        <sz val="13.0"/>
      </rPr>
      <t>BROOKS</t>
    </r>
  </si>
  <si>
    <t>Dewott</t>
  </si>
  <si>
    <t>Simisear</t>
  </si>
  <si>
    <t>Dartrix</t>
  </si>
  <si>
    <t>Simisage</t>
  </si>
  <si>
    <t>Wigglytuff</t>
  </si>
  <si>
    <t>Charcoal</t>
  </si>
  <si>
    <t>Miracle Seed</t>
  </si>
  <si>
    <t>Water Pledge</t>
  </si>
  <si>
    <t>Fire Pledge</t>
  </si>
  <si>
    <t>Grass Pledge</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</si>
  <si>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</si>
  <si>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S.S. ANNE
SAILOR</t>
    </r>
    <r>
      <rPr>
        <rFont val="IBM Plex Sans Condensed"/>
        <b/>
        <color rgb="FF000000"/>
        <sz val="13.0"/>
      </rPr>
      <t xml:space="preserve">
EDMOND
</t>
    </r>
    <r>
      <rPr>
        <rFont val="IBM Plex Sans Condensed"/>
        <color rgb="FF000000"/>
        <sz val="13.0"/>
      </rPr>
      <t xml:space="preserve">&amp;
SAILOR
</t>
    </r>
    <r>
      <rPr>
        <rFont val="IBM Plex Sans Condensed"/>
        <b/>
        <color rgb="FF000000"/>
        <sz val="13.0"/>
      </rPr>
      <t>TREVOR</t>
    </r>
  </si>
  <si>
    <t>Lileep</t>
  </si>
  <si>
    <t>Lumineon</t>
  </si>
  <si>
    <t>Tatsugiri</t>
  </si>
  <si>
    <t>Cramorant</t>
  </si>
  <si>
    <t>Nidoqueen</t>
  </si>
  <si>
    <t>Storm Drain</t>
  </si>
  <si>
    <t>Gulp Missile</t>
  </si>
  <si>
    <t>Rapid Spin</t>
  </si>
  <si>
    <t>Safeguard</t>
  </si>
  <si>
    <t>Reflect</t>
  </si>
  <si>
    <r>
      <rPr>
        <rFont val="IBM Plex Sans Condensed"/>
        <color rgb="FF000000"/>
        <sz val="13.0"/>
      </rPr>
      <t>ROUTE 9
PICNICKER</t>
    </r>
    <r>
      <rPr>
        <rFont val="IBM Plex Sans Condensed"/>
        <b/>
        <color rgb="FF000000"/>
        <sz val="13.0"/>
      </rPr>
      <t xml:space="preserve">
CAITLIN</t>
    </r>
  </si>
  <si>
    <t>Smeargle</t>
  </si>
  <si>
    <t>Spinda</t>
  </si>
  <si>
    <t>Sneasel-H</t>
  </si>
  <si>
    <t>Liepard</t>
  </si>
  <si>
    <t>Own Tempo</t>
  </si>
  <si>
    <t>Contrary</t>
  </si>
  <si>
    <t>V-Create</t>
  </si>
  <si>
    <t>Assist</t>
  </si>
  <si>
    <t>Dragon Ascent</t>
  </si>
  <si>
    <t>Trick</t>
  </si>
  <si>
    <r>
      <rPr>
        <rFont val="IBM Plex Sans Condensed"/>
        <b/>
        <color rgb="FF000000"/>
        <sz val="13.0"/>
        <u/>
      </rPr>
      <t>BATTLE EFFECT:</t>
    </r>
    <r>
      <rPr>
        <rFont val="IBM Plex Sans Condensed"/>
        <b/>
        <color rgb="FFEA4335"/>
        <sz val="13.0"/>
        <u/>
      </rPr>
      <t xml:space="preserve"> OMNI-BOOSTED</t>
    </r>
  </si>
  <si>
    <r>
      <rPr>
        <rFont val="IBM Plex Sans Condensed"/>
        <color rgb="FF000000"/>
        <sz val="13.0"/>
      </rPr>
      <t xml:space="preserve">PKMN TOWER
</t>
    </r>
    <r>
      <rPr>
        <rFont val="IBM Plex Sans Condensed"/>
        <b/>
        <color rgb="FF000000"/>
        <sz val="13.0"/>
      </rPr>
      <t>GHOST</t>
    </r>
  </si>
  <si>
    <t>Marowak-A</t>
  </si>
  <si>
    <t>Bone Zone</t>
  </si>
  <si>
    <t>Thick Club</t>
  </si>
  <si>
    <t>Bonemerang</t>
  </si>
  <si>
    <t>Shadow Bone</t>
  </si>
  <si>
    <r>
      <rPr>
        <rFont val="IBM Plex Sans Condensed"/>
        <b/>
        <color rgb="FF000000"/>
        <sz val="13.0"/>
        <u/>
      </rPr>
      <t>BATTLE EFFECT:</t>
    </r>
    <r>
      <rPr>
        <rFont val="IBM Plex Sans Condensed"/>
        <b/>
        <color rgb="FFEA4335"/>
        <sz val="13.0"/>
        <u/>
      </rPr>
      <t xml:space="preserve"> PERMANENT SNOW</t>
    </r>
  </si>
  <si>
    <r>
      <rPr>
        <rFont val="IBM Plex Sans Condensed"/>
        <color rgb="FF000000"/>
        <sz val="13.0"/>
      </rPr>
      <t>ROUTE 12
ROCKER</t>
    </r>
    <r>
      <rPr>
        <rFont val="IBM Plex Sans Condensed"/>
        <b/>
        <color rgb="FF000000"/>
        <sz val="13.0"/>
      </rPr>
      <t xml:space="preserve">
LUCA</t>
    </r>
  </si>
  <si>
    <t>Piloswine</t>
  </si>
  <si>
    <t>Heliolisk</t>
  </si>
  <si>
    <t>Yanmega</t>
  </si>
  <si>
    <t>Blizzard</t>
  </si>
  <si>
    <r>
      <rPr>
        <rFont val="IBM Plex Sans Condensed"/>
        <b/>
        <color rgb="FF000000"/>
        <sz val="13.0"/>
        <u/>
      </rPr>
      <t>BATTLE EFFECT:</t>
    </r>
    <r>
      <rPr>
        <rFont val="IBM Plex Sans Condensed"/>
        <b/>
        <color rgb="FFEA4335"/>
        <sz val="13.0"/>
        <u/>
      </rPr>
      <t xml:space="preserve"> PERMANENT SNOW</t>
    </r>
  </si>
  <si>
    <r>
      <rPr>
        <rFont val="IBM Plex Sans Condensed"/>
        <color rgb="FF000000"/>
        <sz val="13.0"/>
      </rPr>
      <t>ROUTE 12
CAMPER</t>
    </r>
    <r>
      <rPr>
        <rFont val="IBM Plex Sans Condensed"/>
        <b/>
        <color rgb="FF000000"/>
        <sz val="13.0"/>
      </rPr>
      <t xml:space="preserve">
JUSTIN</t>
    </r>
  </si>
  <si>
    <t>Darmanitan-G</t>
  </si>
  <si>
    <t>Sandslash-A</t>
  </si>
  <si>
    <t>Conkeldurr</t>
  </si>
  <si>
    <t>Gorilla Tactics</t>
  </si>
  <si>
    <r>
      <rPr>
        <rFont val="IBM Plex Sans Condensed"/>
        <b/>
        <color rgb="FF000000"/>
        <sz val="13.0"/>
        <u/>
      </rPr>
      <t>BATTLE EFFECT:</t>
    </r>
    <r>
      <rPr>
        <rFont val="IBM Plex Sans Condensed"/>
        <b/>
        <color rgb="FFEA4335"/>
        <sz val="13.0"/>
        <u/>
      </rPr>
      <t xml:space="preserve"> PERMANENT SNOW</t>
    </r>
  </si>
  <si>
    <r>
      <rPr>
        <rFont val="IBM Plex Sans Condensed"/>
        <color rgb="FF000000"/>
        <sz val="13.0"/>
      </rPr>
      <t>ROUTE 12
FISHERMAN</t>
    </r>
    <r>
      <rPr>
        <rFont val="IBM Plex Sans Condensed"/>
        <b/>
        <color rgb="FF000000"/>
        <sz val="13.0"/>
      </rPr>
      <t xml:space="preserve">
ANDREW</t>
    </r>
  </si>
  <si>
    <t>Froslass</t>
  </si>
  <si>
    <t>Light Clay</t>
  </si>
  <si>
    <t>Aurora Veil</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</si>
  <si>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</si>
  <si>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BIRD KEEPER
</t>
    </r>
    <r>
      <rPr>
        <rFont val="IBM Plex Sans Condensed"/>
        <b/>
        <color rgb="FF000000"/>
        <sz val="13.0"/>
      </rPr>
      <t>SEBASTIAN</t>
    </r>
  </si>
  <si>
    <t>Gliscor</t>
  </si>
  <si>
    <t>Togekiss</t>
  </si>
  <si>
    <t>Tropius</t>
  </si>
  <si>
    <r>
      <rPr>
        <rFont val="IBM Plex Sans Condensed"/>
        <color theme="1"/>
        <sz val="11.0"/>
      </rPr>
      <t xml:space="preserve">Blaze
</t>
    </r>
    <r>
      <rPr>
        <rFont val="IBM Plex Sans Condensed"/>
        <b/>
        <color theme="1"/>
        <sz val="11.0"/>
      </rPr>
      <t>Tough Claws</t>
    </r>
  </si>
  <si>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</si>
  <si>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ROUTE 13
PICNICKER</t>
    </r>
    <r>
      <rPr>
        <rFont val="IBM Plex Sans Condensed"/>
        <b/>
        <color rgb="FF000000"/>
        <sz val="13.0"/>
      </rPr>
      <t xml:space="preserve">
SUSIE</t>
    </r>
  </si>
  <si>
    <t>Goodra</t>
  </si>
  <si>
    <t>Espeon</t>
  </si>
  <si>
    <t>Alcremie-Mega</t>
  </si>
  <si>
    <r>
      <rPr>
        <rFont val="IBM Plex Sans Condensed"/>
        <color theme="1"/>
        <sz val="11.0"/>
      </rPr>
      <t xml:space="preserve">Sweet Veil
</t>
    </r>
    <r>
      <rPr>
        <rFont val="IBM Plex Sans Condensed"/>
        <b/>
        <color theme="1"/>
        <sz val="11.0"/>
      </rPr>
      <t>Self Sufficient</t>
    </r>
  </si>
  <si>
    <t>Alcremite</t>
  </si>
  <si>
    <t>Solar Blade</t>
  </si>
  <si>
    <t>Draco Barrage</t>
  </si>
  <si>
    <t>Misty Explosion</t>
  </si>
  <si>
    <t>Accelerock</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</si>
  <si>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</si>
  <si>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ROUTE 13
PICNICKER</t>
    </r>
    <r>
      <rPr>
        <rFont val="IBM Plex Sans Condensed"/>
        <b/>
        <color rgb="FF000000"/>
        <sz val="13.0"/>
      </rPr>
      <t xml:space="preserve">
ALMA</t>
    </r>
  </si>
  <si>
    <t>Tangrowth</t>
  </si>
  <si>
    <t>Chansey</t>
  </si>
  <si>
    <t>Chandelure</t>
  </si>
  <si>
    <t>Altaria-Mega</t>
  </si>
  <si>
    <t>Natural Cure</t>
  </si>
  <si>
    <t>Shadow Tag</t>
  </si>
  <si>
    <r>
      <rPr>
        <rFont val="IBM Plex Sans Condensed"/>
        <color theme="1"/>
        <sz val="11.0"/>
      </rPr>
      <t xml:space="preserve">Natural Cure
</t>
    </r>
    <r>
      <rPr>
        <rFont val="IBM Plex Sans Condensed"/>
        <b/>
        <color theme="1"/>
        <sz val="11.0"/>
      </rPr>
      <t>Pixilate</t>
    </r>
  </si>
  <si>
    <t>Altarianite</t>
  </si>
  <si>
    <t>Soft Boiled</t>
  </si>
  <si>
    <r>
      <rPr>
        <rFont val="IBM Plex Sans Condensed"/>
        <b/>
        <color rgb="FF000000"/>
        <sz val="13.0"/>
        <u/>
      </rPr>
      <t>BATTLE EFFECT:</t>
    </r>
    <r>
      <rPr>
        <rFont val="IBM Plex Sans Condensed"/>
        <b/>
        <color rgb="FFEA4335"/>
        <sz val="13.0"/>
        <u/>
      </rPr>
      <t xml:space="preserve"> DOUBLES + PERMANENT SUN</t>
    </r>
  </si>
  <si>
    <r>
      <rPr>
        <rFont val="IBM Plex Sans Condensed"/>
        <color rgb="FF000000"/>
        <sz val="13.0"/>
      </rPr>
      <t>ROUTE 13
BEAUTY</t>
    </r>
    <r>
      <rPr>
        <rFont val="IBM Plex Sans Condensed"/>
        <b/>
        <color rgb="FF000000"/>
        <sz val="13.0"/>
      </rPr>
      <t xml:space="preserve">
LOLA
</t>
    </r>
    <r>
      <rPr>
        <rFont val="IBM Plex Sans Condensed"/>
        <color rgb="FF000000"/>
        <sz val="13.0"/>
      </rPr>
      <t xml:space="preserve">&amp;
BEAUTY
</t>
    </r>
    <r>
      <rPr>
        <rFont val="IBM Plex Sans Condensed"/>
        <b/>
        <color rgb="FF000000"/>
        <sz val="13.0"/>
      </rPr>
      <t>SHEILA</t>
    </r>
  </si>
  <si>
    <t>Cherrim</t>
  </si>
  <si>
    <t>Venusaur</t>
  </si>
  <si>
    <t>Florges</t>
  </si>
  <si>
    <t>Bouffalant</t>
  </si>
  <si>
    <t>Zebstrika</t>
  </si>
  <si>
    <t>Flower Gift</t>
  </si>
  <si>
    <t>Petal Blizzard</t>
  </si>
  <si>
    <t>Head Charge</t>
  </si>
  <si>
    <t>Bolt Strike</t>
  </si>
  <si>
    <t>Return</t>
  </si>
  <si>
    <t>FLOWER GIFT:</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</si>
  <si>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</si>
  <si>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BIRD KEEPER
</t>
    </r>
    <r>
      <rPr>
        <rFont val="IBM Plex Sans Condensed"/>
        <b/>
        <color rgb="FF000000"/>
        <sz val="13.0"/>
      </rPr>
      <t>PERRY</t>
    </r>
  </si>
  <si>
    <t>Rapidash</t>
  </si>
  <si>
    <t>Fire Lash</t>
  </si>
  <si>
    <t>Jump Kick</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</si>
  <si>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</si>
  <si>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BIKER
</t>
    </r>
    <r>
      <rPr>
        <rFont val="IBM Plex Sans Condensed"/>
        <b/>
        <color rgb="FF000000"/>
        <sz val="13.0"/>
      </rPr>
      <t>JARED</t>
    </r>
  </si>
  <si>
    <t>Crustle</t>
  </si>
  <si>
    <t>Leavanny</t>
  </si>
  <si>
    <t>Camerupt-Mega</t>
  </si>
  <si>
    <r>
      <rPr>
        <rFont val="IBM Plex Sans Condensed"/>
        <color theme="1"/>
        <sz val="11.0"/>
      </rPr>
      <t xml:space="preserve">Solid Rock
</t>
    </r>
    <r>
      <rPr>
        <rFont val="IBM Plex Sans Condensed"/>
        <b/>
        <color theme="1"/>
        <sz val="11.0"/>
      </rPr>
      <t>Sheer Force</t>
    </r>
  </si>
  <si>
    <t>Cameruptite</t>
  </si>
  <si>
    <t>Soft Sand</t>
  </si>
  <si>
    <t>Headlong Rush</t>
  </si>
  <si>
    <t>Spikes</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</si>
  <si>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</si>
  <si>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BIRD KEEPER
</t>
    </r>
    <r>
      <rPr>
        <rFont val="IBM Plex Sans Condensed"/>
        <b/>
        <color rgb="FF000000"/>
        <sz val="13.0"/>
      </rPr>
      <t>ROBERT</t>
    </r>
  </si>
  <si>
    <t>Archeops</t>
  </si>
  <si>
    <t>Emboar</t>
  </si>
  <si>
    <t>Jolteon</t>
  </si>
  <si>
    <t>Bull Rush</t>
  </si>
  <si>
    <t>BULL RUSH:</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</si>
  <si>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</si>
  <si>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BIKER
</t>
    </r>
    <r>
      <rPr>
        <rFont val="IBM Plex Sans Condensed"/>
        <b/>
        <color rgb="FF000000"/>
        <sz val="13.0"/>
      </rPr>
      <t>LAO</t>
    </r>
  </si>
  <si>
    <t>Mienshao</t>
  </si>
  <si>
    <t>Dugtrio-A</t>
  </si>
  <si>
    <t>(!!) BACK TO BACK TO BACK</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</si>
  <si>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</si>
  <si>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CUE BALL
</t>
    </r>
    <r>
      <rPr>
        <rFont val="IBM Plex Sans Condensed"/>
        <b/>
        <color rgb="FF000000"/>
        <sz val="13.0"/>
      </rPr>
      <t>KOJI</t>
    </r>
  </si>
  <si>
    <t>Dracozolt</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</si>
  <si>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</si>
  <si>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CUE BALL
</t>
    </r>
    <r>
      <rPr>
        <rFont val="IBM Plex Sans Condensed"/>
        <b/>
        <color rgb="FF000000"/>
        <sz val="13.0"/>
      </rPr>
      <t>LUKE</t>
    </r>
  </si>
  <si>
    <t>Dugtrio</t>
  </si>
  <si>
    <t>Hariyama</t>
  </si>
  <si>
    <t>Arena Trap</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</si>
  <si>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</si>
  <si>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BIKER
</t>
    </r>
    <r>
      <rPr>
        <rFont val="IBM Plex Sans Condensed"/>
        <b/>
        <color rgb="FF000000"/>
        <sz val="13.0"/>
      </rPr>
      <t>RUBEN</t>
    </r>
  </si>
  <si>
    <t>Gigalith</t>
  </si>
  <si>
    <t>Roserade</t>
  </si>
  <si>
    <t>Houndstone</t>
  </si>
  <si>
    <t>Last Respects</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</si>
  <si>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</si>
  <si>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CUE BALL
</t>
    </r>
    <r>
      <rPr>
        <rFont val="IBM Plex Sans Condensed"/>
        <b/>
        <color rgb="FF000000"/>
        <sz val="13.0"/>
      </rPr>
      <t>CAMRON</t>
    </r>
  </si>
  <si>
    <t>Swampert</t>
  </si>
  <si>
    <t>Revavroom</t>
  </si>
  <si>
    <t>Cacturne</t>
  </si>
  <si>
    <t>Sassy</t>
  </si>
  <si>
    <t>Damp</t>
  </si>
  <si>
    <r>
      <rPr>
        <rFont val="IBM Plex Sans Condensed"/>
        <b val="0"/>
        <color theme="1"/>
        <sz val="11.0"/>
      </rPr>
      <t xml:space="preserve">Swarm
</t>
    </r>
    <r>
      <rPr>
        <rFont val="IBM Plex Sans Condensed"/>
        <b/>
        <color theme="1"/>
        <sz val="11.0"/>
      </rPr>
      <t>Technician</t>
    </r>
  </si>
  <si>
    <t>Needle Arm</t>
  </si>
  <si>
    <t>Gunk Shot</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</si>
  <si>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</si>
  <si>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BIKER
</t>
    </r>
    <r>
      <rPr>
        <rFont val="IBM Plex Sans Condensed"/>
        <b/>
        <color rgb="FF000000"/>
        <sz val="13.0"/>
      </rPr>
      <t>HIDEO</t>
    </r>
  </si>
  <si>
    <t>Stunfisk</t>
  </si>
  <si>
    <t>Dracovish</t>
  </si>
  <si>
    <t>Beedrill-Mega</t>
  </si>
  <si>
    <t>Aron</t>
  </si>
  <si>
    <r>
      <rPr>
        <rFont val="IBM Plex Sans Condensed"/>
        <color theme="1"/>
        <sz val="11.0"/>
      </rPr>
      <t xml:space="preserve">Swarm
</t>
    </r>
    <r>
      <rPr>
        <rFont val="IBM Plex Sans Condensed"/>
        <b/>
        <color theme="1"/>
        <sz val="11.0"/>
      </rPr>
      <t>Adaptability</t>
    </r>
  </si>
  <si>
    <t>Beedrillite</t>
  </si>
  <si>
    <t>Shell Bell</t>
  </si>
  <si>
    <t>Fishious Rend</t>
  </si>
  <si>
    <t>Drill Run</t>
  </si>
  <si>
    <t>Pursuit</t>
  </si>
  <si>
    <r>
      <rPr>
        <rFont val="IBM Plex Sans Condensed"/>
        <b/>
        <color rgb="FF000000"/>
        <sz val="13.0"/>
        <u/>
      </rPr>
      <t>BATTLE EFFECT:</t>
    </r>
    <r>
      <rPr>
        <rFont val="IBM Plex Sans Condensed"/>
        <b/>
        <color rgb="FFEA4335"/>
        <sz val="13.0"/>
        <u/>
      </rPr>
      <t xml:space="preserve"> PERMANENT RAIN</t>
    </r>
  </si>
  <si>
    <r>
      <rPr>
        <rFont val="IBM Plex Sans Condensed"/>
        <color rgb="FF000000"/>
        <sz val="13.0"/>
      </rPr>
      <t xml:space="preserve">ROUTE 18
BIKER
</t>
    </r>
    <r>
      <rPr>
        <rFont val="IBM Plex Sans Condensed"/>
        <b/>
        <color rgb="FF000000"/>
        <sz val="13.0"/>
      </rPr>
      <t>WILLIAM</t>
    </r>
  </si>
  <si>
    <t>Whiscash</t>
  </si>
  <si>
    <t>Salamence</t>
  </si>
  <si>
    <t>Cash Splash</t>
  </si>
  <si>
    <t>Bounce</t>
  </si>
  <si>
    <r>
      <rPr>
        <rFont val="IBM Plex Sans Condensed"/>
        <b/>
        <color rgb="FF000000"/>
        <sz val="13.0"/>
        <u/>
      </rPr>
      <t>BATTLE EFFECT:</t>
    </r>
    <r>
      <rPr>
        <rFont val="IBM Plex Sans Condensed"/>
        <b/>
        <color rgb="FFEA4335"/>
        <sz val="13.0"/>
        <u/>
      </rPr>
      <t xml:space="preserve"> PERMANENT RAIN</t>
    </r>
  </si>
  <si>
    <r>
      <rPr>
        <rFont val="IBM Plex Sans Condensed"/>
        <color rgb="FF000000"/>
        <sz val="13.0"/>
      </rPr>
      <t xml:space="preserve">ROUTE 18
BIRD KEEPER
</t>
    </r>
    <r>
      <rPr>
        <rFont val="IBM Plex Sans Condensed"/>
        <b/>
        <color rgb="FF000000"/>
        <sz val="13.0"/>
      </rPr>
      <t>JACOB</t>
    </r>
  </si>
  <si>
    <t>Decidueye</t>
  </si>
  <si>
    <t>Mantine</t>
  </si>
  <si>
    <t>Bubble Beam</t>
  </si>
  <si>
    <r>
      <rPr>
        <rFont val="IBM Plex Sans Condensed"/>
        <b/>
        <color rgb="FF000000"/>
        <sz val="13.0"/>
        <u/>
      </rPr>
      <t>BATTLE EFFECT:</t>
    </r>
    <r>
      <rPr>
        <rFont val="IBM Plex Sans Condensed"/>
        <b/>
        <color rgb="FFEA4335"/>
        <sz val="13.0"/>
        <u/>
      </rPr>
      <t xml:space="preserve"> DOUBLES + PERMANENT RAIN</t>
    </r>
  </si>
  <si>
    <r>
      <rPr>
        <rFont val="IBM Plex Sans Condensed"/>
        <color rgb="FF000000"/>
        <sz val="13.0"/>
      </rPr>
      <t xml:space="preserve">ROUTE 18
</t>
    </r>
    <r>
      <rPr>
        <rFont val="IBM Plex Sans Condensed"/>
        <color rgb="FF000000"/>
        <sz val="12.0"/>
      </rPr>
      <t>DRAGON TAMER</t>
    </r>
    <r>
      <rPr>
        <rFont val="IBM Plex Sans Condensed"/>
        <color rgb="FF000000"/>
        <sz val="13.0"/>
      </rPr>
      <t xml:space="preserve">
</t>
    </r>
    <r>
      <rPr>
        <rFont val="IBM Plex Sans Condensed"/>
        <b/>
        <color rgb="FF000000"/>
        <sz val="13.0"/>
      </rPr>
      <t>RAMIRO</t>
    </r>
  </si>
  <si>
    <t>Pikachu-Surfing</t>
  </si>
  <si>
    <t>Milotic</t>
  </si>
  <si>
    <t>Lapras-Mega</t>
  </si>
  <si>
    <t>Goodra-H</t>
  </si>
  <si>
    <r>
      <rPr>
        <rFont val="IBM Plex Sans Condensed"/>
        <color theme="1"/>
        <sz val="11.0"/>
      </rPr>
      <t xml:space="preserve">Water Absorb
</t>
    </r>
    <r>
      <rPr>
        <rFont val="IBM Plex Sans Condensed"/>
        <b/>
        <color theme="1"/>
        <sz val="11.0"/>
      </rPr>
      <t>Liquid Voice</t>
    </r>
  </si>
  <si>
    <t>Gooey</t>
  </si>
  <si>
    <t>Laprasite</t>
  </si>
  <si>
    <t>Bouncy Bubble</t>
  </si>
  <si>
    <t>Mirror Coat</t>
  </si>
  <si>
    <r>
      <rPr>
        <rFont val="IBM Plex Sans Condensed"/>
        <b/>
        <color rgb="FF000000"/>
        <sz val="13.0"/>
        <u/>
      </rPr>
      <t xml:space="preserve">BATTLE EFFECT: </t>
    </r>
    <r>
      <rPr>
        <rFont val="IBM Plex Sans Condensed"/>
        <b/>
        <color rgb="FFEA4335"/>
        <sz val="13.0"/>
        <u/>
      </rPr>
      <t>PERMANENT RAIN</t>
    </r>
  </si>
  <si>
    <r>
      <rPr>
        <rFont val="IBM Plex Sans Condensed"/>
        <color rgb="FF000000"/>
        <sz val="13.0"/>
      </rPr>
      <t>ROUTE 18
ACE TRAINER</t>
    </r>
    <r>
      <rPr>
        <rFont val="IBM Plex Sans Condensed"/>
        <b/>
        <color rgb="FF000000"/>
        <sz val="13.0"/>
      </rPr>
      <t xml:space="preserve">
WILTON</t>
    </r>
  </si>
  <si>
    <t>Kilowattrel</t>
  </si>
  <si>
    <t>Pinsir-Mega</t>
  </si>
  <si>
    <r>
      <rPr>
        <rFont val="IBM Plex Sans Condensed"/>
        <color theme="1"/>
        <sz val="11.0"/>
      </rPr>
      <t xml:space="preserve">Hyper Cutter
</t>
    </r>
    <r>
      <rPr>
        <rFont val="IBM Plex Sans Condensed"/>
        <b/>
        <color theme="1"/>
        <sz val="11.0"/>
      </rPr>
      <t>Aerilate</t>
    </r>
  </si>
  <si>
    <t>Pinsirite</t>
  </si>
  <si>
    <r>
      <rPr>
        <rFont val="IBM Plex Sans Condensed"/>
        <b/>
        <color rgb="FF000000"/>
        <sz val="13.0"/>
        <u/>
      </rPr>
      <t xml:space="preserve">BATTLE EFFECT: </t>
    </r>
    <r>
      <rPr>
        <rFont val="IBM Plex Sans Condensed"/>
        <b/>
        <color rgb="FFEA4335"/>
        <sz val="13.0"/>
        <u/>
      </rPr>
      <t>PERMANENT SUN</t>
    </r>
  </si>
  <si>
    <r>
      <rPr>
        <rFont val="IBM Plex Sans Condensed"/>
        <color rgb="FF000000"/>
        <sz val="13.0"/>
      </rPr>
      <t>CINNABAR GYM
ACE TRAINER</t>
    </r>
    <r>
      <rPr>
        <rFont val="IBM Plex Sans Condensed"/>
        <b/>
        <color rgb="FF000000"/>
        <sz val="13.0"/>
      </rPr>
      <t xml:space="preserve">
DEREK</t>
    </r>
  </si>
  <si>
    <t>Centiskorch-Mega</t>
  </si>
  <si>
    <t>Sunflora</t>
  </si>
  <si>
    <r>
      <rPr>
        <rFont val="IBM Plex Sans Condensed"/>
        <color theme="1"/>
        <sz val="11.0"/>
      </rPr>
      <t xml:space="preserve">Flash Fire
</t>
    </r>
    <r>
      <rPr>
        <rFont val="IBM Plex Sans Condensed"/>
        <b/>
        <color theme="1"/>
        <sz val="11.0"/>
      </rPr>
      <t>Mountaineer</t>
    </r>
  </si>
  <si>
    <t>Hard Stone</t>
  </si>
  <si>
    <t>Centiskite</t>
  </si>
  <si>
    <t>Megahorn</t>
  </si>
  <si>
    <t>HP Rock</t>
  </si>
  <si>
    <t>LEVEL 76 -&gt;&gt;</t>
  </si>
  <si>
    <r>
      <rPr>
        <rFont val="IBM Plex Sans Condensed"/>
        <b/>
        <color rgb="FF000000"/>
        <sz val="13.0"/>
        <u/>
      </rPr>
      <t xml:space="preserve">BATTLE EFFECT: </t>
    </r>
    <r>
      <rPr>
        <rFont val="IBM Plex Sans Condensed"/>
        <b/>
        <color rgb="FFEA4335"/>
        <sz val="13.0"/>
        <u/>
      </rPr>
      <t>PERMANENT SUN</t>
    </r>
  </si>
  <si>
    <r>
      <rPr>
        <rFont val="IBM Plex Sans Condensed"/>
        <color rgb="FF000000"/>
        <sz val="13.0"/>
      </rPr>
      <t>CINNABAR GYM
ACE TRAINER</t>
    </r>
    <r>
      <rPr>
        <rFont val="IBM Plex Sans Condensed"/>
        <b/>
        <color rgb="FF000000"/>
        <sz val="13.0"/>
      </rPr>
      <t xml:space="preserve">
LUCY</t>
    </r>
  </si>
  <si>
    <t>Lycanroc</t>
  </si>
  <si>
    <t>Darmanitan-GZ</t>
  </si>
  <si>
    <t>Charizard</t>
  </si>
  <si>
    <t>Steadfast</t>
  </si>
  <si>
    <t>Zen Mode</t>
  </si>
  <si>
    <t>Solar Power</t>
  </si>
  <si>
    <t>Firium Z</t>
  </si>
  <si>
    <r>
      <rPr>
        <rFont val="IBM Plex Sans Condensed"/>
        <b/>
        <color rgb="FF000000"/>
        <sz val="13.0"/>
        <u/>
      </rPr>
      <t xml:space="preserve">BATTLE EFFECT: </t>
    </r>
    <r>
      <rPr>
        <rFont val="IBM Plex Sans Condensed"/>
        <b/>
        <color rgb="FFEA4335"/>
        <sz val="13.0"/>
        <u/>
      </rPr>
      <t>DOUBLES + PERMANENT SUN</t>
    </r>
  </si>
  <si>
    <r>
      <rPr>
        <rFont val="IBM Plex Sans Condensed"/>
        <color rgb="FF000000"/>
        <sz val="13.0"/>
      </rPr>
      <t>CINNABAR GYM
ACE TRAINER</t>
    </r>
    <r>
      <rPr>
        <rFont val="IBM Plex Sans Condensed"/>
        <b/>
        <color rgb="FF000000"/>
        <sz val="13.0"/>
      </rPr>
      <t xml:space="preserve">
ZAC</t>
    </r>
  </si>
  <si>
    <t>Noivern</t>
  </si>
  <si>
    <t>Braviary-H</t>
  </si>
  <si>
    <t>Volcarona</t>
  </si>
  <si>
    <t>Infiltrator</t>
  </si>
  <si>
    <t>Aeroblast</t>
  </si>
  <si>
    <t>Esper Wing</t>
  </si>
  <si>
    <r>
      <rPr>
        <rFont val="IBM Plex Sans Condensed"/>
        <color rgb="FF000000"/>
        <sz val="13.0"/>
      </rPr>
      <t>VICTORY ROAD
ACE TRAINER</t>
    </r>
    <r>
      <rPr>
        <rFont val="IBM Plex Sans Condensed"/>
        <b/>
        <color rgb="FF000000"/>
        <sz val="13.0"/>
      </rPr>
      <t xml:space="preserve">
NAOMI</t>
    </r>
  </si>
  <si>
    <t>Maushold</t>
  </si>
  <si>
    <t>Shedinja</t>
  </si>
  <si>
    <t>Absol-Mega</t>
  </si>
  <si>
    <t>Galvantula</t>
  </si>
  <si>
    <t>Wonder Guard</t>
  </si>
  <si>
    <r>
      <rPr>
        <rFont val="IBM Plex Sans Condensed"/>
        <color theme="1"/>
        <sz val="11.0"/>
      </rPr>
      <t xml:space="preserve">Super Luck
</t>
    </r>
    <r>
      <rPr>
        <rFont val="IBM Plex Sans Condensed"/>
        <b/>
        <color theme="1"/>
        <sz val="11.0"/>
      </rPr>
      <t>Sharpness</t>
    </r>
  </si>
  <si>
    <t>Absolite</t>
  </si>
  <si>
    <t>Popula. Bomb</t>
  </si>
  <si>
    <t>Poltergeist</t>
  </si>
  <si>
    <t>Beat Up</t>
  </si>
  <si>
    <t>LEVEL 85 -&gt;&gt;</t>
  </si>
  <si>
    <r>
      <rPr>
        <rFont val="IBM Plex Sans Condensed"/>
        <color rgb="FF000000"/>
        <sz val="13.0"/>
      </rPr>
      <t>VICTORY ROAD
ACE TRAINER</t>
    </r>
    <r>
      <rPr>
        <rFont val="IBM Plex Sans Condensed"/>
        <b/>
        <color rgb="FF000000"/>
        <sz val="13.0"/>
      </rPr>
      <t xml:space="preserve">
ROLANDO</t>
    </r>
  </si>
  <si>
    <t>Cyclizar</t>
  </si>
  <si>
    <t>Kingler-Mega</t>
  </si>
  <si>
    <r>
      <rPr>
        <rFont val="IBM Plex Sans Condensed"/>
        <color theme="1"/>
        <sz val="11.0"/>
      </rPr>
      <t xml:space="preserve">Hyper Cutter
</t>
    </r>
    <r>
      <rPr>
        <rFont val="IBM Plex Sans Condensed"/>
        <b/>
        <color theme="1"/>
        <sz val="11.0"/>
      </rPr>
      <t>Tough Claws</t>
    </r>
  </si>
  <si>
    <t>Kinglerite</t>
  </si>
  <si>
    <t>Crabhammer</t>
  </si>
  <si>
    <t>Ice Hammer</t>
  </si>
  <si>
    <r>
      <rPr>
        <rFont val="IBM Plex Sans Condensed"/>
        <color rgb="FF000000"/>
        <sz val="13.0"/>
      </rPr>
      <t>VICTORY ROAD
ACE TRAINER</t>
    </r>
    <r>
      <rPr>
        <rFont val="IBM Plex Sans Condensed"/>
        <b/>
        <color rgb="FF000000"/>
        <sz val="13.0"/>
      </rPr>
      <t xml:space="preserve">
GEORGE</t>
    </r>
  </si>
  <si>
    <t>Exeggutor-A</t>
  </si>
  <si>
    <t>Donphan</t>
  </si>
  <si>
    <r>
      <rPr>
        <rFont val="IBM Plex Sans Condensed"/>
        <color theme="1"/>
        <sz val="11.0"/>
      </rPr>
      <t>Mold Breaker</t>
    </r>
    <r>
      <rPr>
        <rFont val="IBM Plex Sans Condensed"/>
        <color theme="1"/>
        <sz val="11.0"/>
      </rPr>
      <t xml:space="preserve">
</t>
    </r>
    <r>
      <rPr>
        <rFont val="IBM Plex Sans Condensed"/>
        <b/>
        <color theme="1"/>
        <sz val="11.0"/>
      </rPr>
      <t>Aerilate</t>
    </r>
  </si>
  <si>
    <r>
      <rPr>
        <rFont val="IBM Plex Sans Condensed"/>
        <color rgb="FF000000"/>
        <sz val="13.0"/>
      </rPr>
      <t>VICTORY ROAD
ACE TRAINER</t>
    </r>
    <r>
      <rPr>
        <rFont val="IBM Plex Sans Condensed"/>
        <b/>
        <color rgb="FF000000"/>
        <sz val="13.0"/>
      </rPr>
      <t xml:space="preserve">
CAROLINE</t>
    </r>
  </si>
  <si>
    <t>Bellossom</t>
  </si>
  <si>
    <t>Parasect</t>
  </si>
  <si>
    <t>Vileplume</t>
  </si>
  <si>
    <t>Amoonguss</t>
  </si>
  <si>
    <t>Lopunny-Mega</t>
  </si>
  <si>
    <r>
      <rPr>
        <rFont val="IBM Plex Sans Condensed"/>
        <color theme="1"/>
        <sz val="11.0"/>
      </rPr>
      <t xml:space="preserve">Cute Charm
</t>
    </r>
    <r>
      <rPr>
        <rFont val="IBM Plex Sans Condensed"/>
        <b/>
        <color theme="1"/>
        <sz val="11.0"/>
      </rPr>
      <t>Scrappy</t>
    </r>
  </si>
  <si>
    <t>Lopunnite</t>
  </si>
  <si>
    <t>Quiver Dance</t>
  </si>
  <si>
    <t>Frustration</t>
  </si>
  <si>
    <r>
      <rPr>
        <rFont val="IBM Plex Sans Condensed"/>
        <color rgb="FF000000"/>
        <sz val="13.0"/>
      </rPr>
      <t>VICTORY ROAD
ACE TRAINER</t>
    </r>
    <r>
      <rPr>
        <rFont val="IBM Plex Sans Condensed"/>
        <b/>
        <color rgb="FF000000"/>
        <sz val="13.0"/>
      </rPr>
      <t xml:space="preserve">
COLBY</t>
    </r>
  </si>
  <si>
    <t>Feraligatr</t>
  </si>
  <si>
    <t>Swanna</t>
  </si>
  <si>
    <t>Sharpedo-Mega</t>
  </si>
  <si>
    <t>Empoleon</t>
  </si>
  <si>
    <t>No Guard</t>
  </si>
  <si>
    <r>
      <rPr>
        <rFont val="IBM Plex Sans Condensed"/>
        <color theme="1"/>
        <sz val="11.0"/>
      </rPr>
      <t xml:space="preserve">Speed Boost
</t>
    </r>
    <r>
      <rPr>
        <rFont val="IBM Plex Sans Condensed"/>
        <b/>
        <color theme="1"/>
        <sz val="11.0"/>
      </rPr>
      <t>Strong Jaw</t>
    </r>
  </si>
  <si>
    <t>Sharpedonite</t>
  </si>
  <si>
    <t>Aqua Fang</t>
  </si>
  <si>
    <t>Jaw Lock</t>
  </si>
  <si>
    <r>
      <rPr>
        <rFont val="IBM Plex Sans Condensed"/>
        <color rgb="FF000000"/>
        <sz val="13.0"/>
      </rPr>
      <t>VICTORY ROAD
ACE TRAINER</t>
    </r>
    <r>
      <rPr>
        <rFont val="IBM Plex Sans Condensed"/>
        <b/>
        <color rgb="FF000000"/>
        <sz val="13.0"/>
      </rPr>
      <t xml:space="preserve">
ALEXA</t>
    </r>
  </si>
  <si>
    <t>Clefable</t>
  </si>
  <si>
    <t>Audino-Mega</t>
  </si>
  <si>
    <t>Comatose</t>
  </si>
  <si>
    <t>Regenerator (Both)</t>
  </si>
  <si>
    <t>Audinite</t>
  </si>
  <si>
    <r>
      <rPr>
        <rFont val="IBM Plex Sans Condensed"/>
        <color rgb="FF000000"/>
        <sz val="13.0"/>
      </rPr>
      <t xml:space="preserve">INDIGO PLAT.
CREATOR
</t>
    </r>
    <r>
      <rPr>
        <rFont val="IBM Plex Sans Condensed"/>
        <b/>
        <color rgb="FF000000"/>
        <sz val="13.0"/>
      </rPr>
      <t>SOUPERCELL</t>
    </r>
  </si>
  <si>
    <t>Supercell Slam</t>
  </si>
  <si>
    <r>
      <rPr>
        <rFont val="IBM Plex Sans Condensed"/>
        <color rgb="FF000000"/>
        <sz val="13.0"/>
      </rPr>
      <t>ROUTE 8
ACE TRAINER</t>
    </r>
    <r>
      <rPr>
        <rFont val="IBM Plex Sans Condensed"/>
        <b/>
        <color rgb="FF000000"/>
        <sz val="13.0"/>
      </rPr>
      <t xml:space="preserve">
COLE</t>
    </r>
  </si>
  <si>
    <t>Tyrantrum</t>
  </si>
  <si>
    <t>Gastrodon</t>
  </si>
  <si>
    <t>Neutralizing Gas
or Levitate</t>
  </si>
  <si>
    <r>
      <rPr>
        <rFont val="IBM Plex Sans Condensed"/>
        <color theme="1"/>
        <sz val="9.0"/>
      </rPr>
      <t>Flash Fire or White Smoke</t>
    </r>
    <r>
      <rPr>
        <rFont val="IBM Plex Sans Condensed"/>
        <color theme="1"/>
        <sz val="11.0"/>
      </rPr>
      <t xml:space="preserve">
</t>
    </r>
    <r>
      <rPr>
        <rFont val="IBM Plex Sans Condensed"/>
        <b/>
        <color theme="1"/>
        <sz val="11.0"/>
      </rPr>
      <t>Mountaineer</t>
    </r>
  </si>
  <si>
    <t>Haze</t>
  </si>
  <si>
    <r>
      <rPr>
        <rFont val="IBM Plex Sans Condensed"/>
        <color rgb="FF000000"/>
        <sz val="13.0"/>
      </rPr>
      <t>SAFFRON CITY
DUMASS</t>
    </r>
    <r>
      <rPr>
        <rFont val="IBM Plex Sans Condensed"/>
        <b/>
        <color rgb="FF000000"/>
        <sz val="13.0"/>
      </rPr>
      <t xml:space="preserve">
KID</t>
    </r>
  </si>
  <si>
    <t>Pelipper</t>
  </si>
  <si>
    <t>Frosmoth</t>
  </si>
  <si>
    <t>Seaking</t>
  </si>
  <si>
    <t>Swampert-Mega</t>
  </si>
  <si>
    <t>Drizzle</t>
  </si>
  <si>
    <t>Ice Scales</t>
  </si>
  <si>
    <t>Rain Dish</t>
  </si>
  <si>
    <r>
      <rPr>
        <rFont val="IBM Plex Sans Condensed"/>
        <color theme="1"/>
        <sz val="11.0"/>
      </rPr>
      <t xml:space="preserve">Torrent
</t>
    </r>
    <r>
      <rPr>
        <rFont val="IBM Plex Sans Condensed"/>
        <b/>
        <color theme="1"/>
        <sz val="11.0"/>
      </rPr>
      <t>Swift Swim</t>
    </r>
  </si>
  <si>
    <t>Damp Rock</t>
  </si>
  <si>
    <t>Metal Coat</t>
  </si>
  <si>
    <t>Swampertite</t>
  </si>
  <si>
    <r>
      <rPr>
        <rFont val="IBM Plex Sans Condensed"/>
        <color rgb="FF000000"/>
        <sz val="12.0"/>
      </rPr>
      <t xml:space="preserve">CELADON HOTEL
</t>
    </r>
    <r>
      <rPr>
        <rFont val="IBM Plex Sans Condensed"/>
        <color rgb="FF000000"/>
        <sz val="13.0"/>
      </rPr>
      <t>BEAUTY</t>
    </r>
    <r>
      <rPr>
        <rFont val="IBM Plex Sans Condensed"/>
        <b/>
        <color rgb="FF000000"/>
        <sz val="13.0"/>
      </rPr>
      <t xml:space="preserve">
SAM</t>
    </r>
  </si>
  <si>
    <t>Luvdisc</t>
  </si>
  <si>
    <t>Flapple-Mega</t>
  </si>
  <si>
    <t>Farfetch'd</t>
  </si>
  <si>
    <r>
      <rPr>
        <rFont val="IBM Plex Sans Condensed"/>
        <color theme="1"/>
        <sz val="11.0"/>
      </rPr>
      <t xml:space="preserve">Hustle
</t>
    </r>
    <r>
      <rPr>
        <rFont val="IBM Plex Sans Condensed"/>
        <b/>
        <color theme="1"/>
        <sz val="11.0"/>
      </rPr>
      <t>Dragon's Maw</t>
    </r>
  </si>
  <si>
    <t>Applite</t>
  </si>
  <si>
    <t>Leek Stick</t>
  </si>
  <si>
    <t>Grav Apple</t>
  </si>
  <si>
    <r>
      <rPr>
        <rFont val="IBM Plex Sans Condensed"/>
        <color rgb="FF000000"/>
        <sz val="12.0"/>
      </rPr>
      <t xml:space="preserve">CELADON HOTEL
</t>
    </r>
    <r>
      <rPr>
        <rFont val="IBM Plex Sans Condensed"/>
        <color rgb="FF000000"/>
        <sz val="13.0"/>
      </rPr>
      <t>BEAUTY</t>
    </r>
    <r>
      <rPr>
        <rFont val="IBM Plex Sans Condensed"/>
        <b/>
        <color rgb="FF000000"/>
        <sz val="13.0"/>
      </rPr>
      <t xml:space="preserve">
SHELLY</t>
    </r>
  </si>
  <si>
    <t>Dodrio</t>
  </si>
  <si>
    <t>Appletun-Mega</t>
  </si>
  <si>
    <t>Cinccino</t>
  </si>
  <si>
    <r>
      <rPr>
        <rFont val="IBM Plex Sans Condensed"/>
        <color theme="1"/>
        <sz val="11.0"/>
      </rPr>
      <t xml:space="preserve">Thick Fat
</t>
    </r>
    <r>
      <rPr>
        <rFont val="IBM Plex Sans Condensed"/>
        <b/>
        <color theme="1"/>
        <sz val="11.0"/>
      </rPr>
      <t>Contrary</t>
    </r>
  </si>
  <si>
    <t>Tail Slap</t>
  </si>
  <si>
    <t>Leaf Storm</t>
  </si>
  <si>
    <r>
      <rPr>
        <rFont val="IBM Plex Sans Condensed"/>
        <color rgb="FF000000"/>
        <sz val="13.0"/>
      </rPr>
      <t>ROUTE 15
ACE TRAINER</t>
    </r>
    <r>
      <rPr>
        <rFont val="IBM Plex Sans Condensed"/>
        <b/>
        <color rgb="FF000000"/>
        <sz val="13.0"/>
      </rPr>
      <t xml:space="preserve">
HALEY</t>
    </r>
  </si>
  <si>
    <t>Magmortar</t>
  </si>
  <si>
    <t>Cursola</t>
  </si>
  <si>
    <t>Sandaconda-Mega</t>
  </si>
  <si>
    <t>Flame Body
or Quick Draw</t>
  </si>
  <si>
    <r>
      <rPr>
        <rFont val="IBM Plex Sans Condensed"/>
        <color theme="1"/>
        <sz val="11.0"/>
      </rPr>
      <t xml:space="preserve">Shed Skin
</t>
    </r>
    <r>
      <rPr>
        <rFont val="IBM Plex Sans Condensed"/>
        <b/>
        <color theme="1"/>
        <sz val="11.0"/>
      </rPr>
      <t>Aerilate</t>
    </r>
  </si>
  <si>
    <t>Sandacondite</t>
  </si>
  <si>
    <t>Sky Attack</t>
  </si>
  <si>
    <t>HP Dark</t>
  </si>
  <si>
    <t>Steam Erupt.</t>
  </si>
  <si>
    <r>
      <rPr>
        <rFont val="IBM Plex Sans Condensed"/>
        <color rgb="FF000000"/>
        <sz val="13.0"/>
      </rPr>
      <t>POWER PLANT
DUMASS</t>
    </r>
    <r>
      <rPr>
        <rFont val="IBM Plex Sans Condensed"/>
        <b/>
        <color rgb="FF000000"/>
        <sz val="13.0"/>
      </rPr>
      <t xml:space="preserve">
JOJO FAN</t>
    </r>
  </si>
  <si>
    <t>Hoopa-U</t>
  </si>
  <si>
    <t>Aegislash</t>
  </si>
  <si>
    <t>Celebi</t>
  </si>
  <si>
    <t>Machamp-Mega</t>
  </si>
  <si>
    <t>Magician</t>
  </si>
  <si>
    <t>Stance Change</t>
  </si>
  <si>
    <t>Sage Power</t>
  </si>
  <si>
    <r>
      <rPr>
        <rFont val="IBM Plex Sans Condensed"/>
        <color theme="1"/>
        <sz val="11.0"/>
      </rPr>
      <t xml:space="preserve">Guts
</t>
    </r>
    <r>
      <rPr>
        <rFont val="IBM Plex Sans Condensed"/>
        <b/>
        <color theme="1"/>
        <sz val="11.0"/>
      </rPr>
      <t>ORAORAORAORA!</t>
    </r>
  </si>
  <si>
    <t>Machampite</t>
  </si>
  <si>
    <t>Hypersp. Fury</t>
  </si>
  <si>
    <t>King's Shield</t>
  </si>
  <si>
    <t>(!) FIRST BATTLE</t>
  </si>
  <si>
    <r>
      <rPr>
        <rFont val="IBM Plex Sans Condensed"/>
        <color rgb="FF000000"/>
        <sz val="13.0"/>
      </rPr>
      <t>CERULEA. CAVE
BLACK BELT</t>
    </r>
    <r>
      <rPr>
        <rFont val="IBM Plex Sans Condensed"/>
        <b/>
        <color rgb="FF000000"/>
        <sz val="13.0"/>
      </rPr>
      <t xml:space="preserve">
KETCHUP</t>
    </r>
  </si>
  <si>
    <t>Urshifu-S</t>
  </si>
  <si>
    <t>Urshifu-R</t>
  </si>
  <si>
    <r>
      <rPr>
        <rFont val="IBM Plex Sans Condensed"/>
        <color theme="1"/>
        <sz val="11.0"/>
      </rPr>
      <t xml:space="preserve">Sturdy
</t>
    </r>
    <r>
      <rPr>
        <rFont val="IBM Plex Sans Condensed"/>
        <b/>
        <color theme="1"/>
        <sz val="11.0"/>
      </rPr>
      <t>Filter</t>
    </r>
  </si>
  <si>
    <t>Unseen Fist</t>
  </si>
  <si>
    <t>Surg. Strikes</t>
  </si>
  <si>
    <t>LEVEL 81 -&gt;&gt;</t>
  </si>
  <si>
    <t>(!) REMATCH</t>
  </si>
  <si>
    <r>
      <rPr>
        <rFont val="IBM Plex Sans Condensed"/>
        <color rgb="FF000000"/>
        <sz val="13.0"/>
      </rPr>
      <t>CERULEA. CAVE
BLACK BELT</t>
    </r>
    <r>
      <rPr>
        <rFont val="IBM Plex Sans Condensed"/>
        <b/>
        <color rgb="FF000000"/>
        <sz val="13.0"/>
      </rPr>
      <t xml:space="preserve">
KETCHUP</t>
    </r>
  </si>
  <si>
    <t>Ampharos-Mega</t>
  </si>
  <si>
    <t>Tapu Bulu</t>
  </si>
  <si>
    <r>
      <rPr>
        <rFont val="IBM Plex Sans Condensed"/>
        <color theme="1"/>
        <sz val="11.0"/>
      </rPr>
      <t xml:space="preserve">Static
</t>
    </r>
    <r>
      <rPr>
        <rFont val="IBM Plex Sans Condensed"/>
        <b/>
        <color theme="1"/>
        <sz val="11.0"/>
      </rPr>
      <t>Thick Fat</t>
    </r>
  </si>
  <si>
    <t>Ampharosite</t>
  </si>
  <si>
    <r>
      <rPr>
        <rFont val="IBM Plex Sans Condensed"/>
        <color rgb="FF000000"/>
        <sz val="13.0"/>
      </rPr>
      <t>MANSION F4
BURGLAR</t>
    </r>
    <r>
      <rPr>
        <rFont val="IBM Plex Sans Condensed"/>
        <b/>
        <color rgb="FF000000"/>
        <sz val="13.0"/>
      </rPr>
      <t xml:space="preserve">
MAX</t>
    </r>
  </si>
  <si>
    <t>Qwilfish-H</t>
  </si>
  <si>
    <t>Wugtrio</t>
  </si>
  <si>
    <t>Magcargo</t>
  </si>
  <si>
    <t>Hydrapple</t>
  </si>
  <si>
    <t>Fezandipiti</t>
  </si>
  <si>
    <t>Toxic Spikes</t>
  </si>
  <si>
    <t>Triple Dive</t>
  </si>
  <si>
    <t>No Retreat</t>
  </si>
  <si>
    <t>Drain Kiss</t>
  </si>
  <si>
    <t>Throat Chop</t>
  </si>
  <si>
    <t>Fickle Beam</t>
  </si>
  <si>
    <r>
      <rPr>
        <rFont val="IBM Plex Sans Condensed"/>
        <color rgb="FF000000"/>
        <sz val="13.0"/>
      </rPr>
      <t>MANSION F4
BURGLAR</t>
    </r>
    <r>
      <rPr>
        <rFont val="IBM Plex Sans Condensed"/>
        <b/>
        <color rgb="FF000000"/>
        <sz val="13.0"/>
      </rPr>
      <t xml:space="preserve">
ANSON</t>
    </r>
  </si>
  <si>
    <t>Okidogi</t>
  </si>
  <si>
    <t>Munkidori</t>
  </si>
  <si>
    <t>Scream Tail</t>
  </si>
  <si>
    <t>Persian</t>
  </si>
  <si>
    <t>(!) RAIN TEAM</t>
  </si>
  <si>
    <r>
      <rPr>
        <rFont val="IBM Plex Sans Condensed"/>
        <b/>
        <color rgb="FF000000"/>
        <sz val="13.0"/>
        <u/>
      </rPr>
      <t xml:space="preserve">BATTLE EFFECT: </t>
    </r>
    <r>
      <rPr>
        <rFont val="IBM Plex Sans Condensed"/>
        <b/>
        <color rgb="FFEA4335"/>
        <sz val="13.0"/>
        <u/>
      </rPr>
      <t>DOUBLES</t>
    </r>
  </si>
  <si>
    <r>
      <rPr>
        <rFont val="IBM Plex Sans Condensed"/>
        <color rgb="FF000000"/>
        <sz val="13.0"/>
      </rPr>
      <t xml:space="preserve">ELITE FOUR
</t>
    </r>
    <r>
      <rPr>
        <rFont val="IBM Plex Sans Condensed"/>
        <b/>
        <color rgb="FF000000"/>
        <sz val="13.0"/>
      </rPr>
      <t>LORELEI</t>
    </r>
  </si>
  <si>
    <t>Politoed</t>
  </si>
  <si>
    <t>Ogerpon-W</t>
  </si>
  <si>
    <t>Walking Wake</t>
  </si>
  <si>
    <t>Kyogre-P</t>
  </si>
  <si>
    <r>
      <rPr>
        <rFont val="IBM Plex Sans Condensed"/>
        <color theme="1"/>
        <sz val="11.0"/>
      </rPr>
      <t xml:space="preserve">Torrent
</t>
    </r>
    <r>
      <rPr>
        <rFont val="IBM Plex Sans Condensed"/>
        <b/>
        <color theme="1"/>
        <sz val="11.0"/>
      </rPr>
      <t>Swift Swim</t>
    </r>
  </si>
  <si>
    <t>Primordial Sea</t>
  </si>
  <si>
    <t>Well. Mask</t>
  </si>
  <si>
    <t>Blue Orb</t>
  </si>
  <si>
    <t>Water Spout</t>
  </si>
  <si>
    <t>Origin Pulse</t>
  </si>
  <si>
    <t>Rain Dance</t>
  </si>
  <si>
    <t>(!) SNOW TEAM</t>
  </si>
  <si>
    <r>
      <rPr>
        <rFont val="IBM Plex Sans Condensed"/>
        <b/>
        <color rgb="FF000000"/>
        <sz val="13.0"/>
        <u/>
      </rPr>
      <t xml:space="preserve">BATTLE EFFECT: </t>
    </r>
    <r>
      <rPr>
        <rFont val="IBM Plex Sans Condensed"/>
        <b/>
        <color rgb="FFEA4335"/>
        <sz val="13.0"/>
        <u/>
      </rPr>
      <t>DOUBLES</t>
    </r>
  </si>
  <si>
    <r>
      <rPr>
        <rFont val="IBM Plex Sans Condensed"/>
        <color rgb="FF000000"/>
        <sz val="13.0"/>
      </rPr>
      <t xml:space="preserve">ELITE FOUR
</t>
    </r>
    <r>
      <rPr>
        <rFont val="IBM Plex Sans Condensed"/>
        <b/>
        <color rgb="FF000000"/>
        <sz val="13.0"/>
      </rPr>
      <t>LORELEI</t>
    </r>
  </si>
  <si>
    <t>Ninetales-A</t>
  </si>
  <si>
    <t>Glaceon</t>
  </si>
  <si>
    <t>Calyrex-I</t>
  </si>
  <si>
    <t>Abomasnow-Mega</t>
  </si>
  <si>
    <t>Snow Warning</t>
  </si>
  <si>
    <t>As One</t>
  </si>
  <si>
    <r>
      <rPr>
        <rFont val="IBM Plex Sans Condensed"/>
        <color theme="1"/>
        <sz val="11.0"/>
      </rPr>
      <t xml:space="preserve">Snow Warning
</t>
    </r>
    <r>
      <rPr>
        <rFont val="IBM Plex Sans Condensed"/>
        <b/>
        <color theme="1"/>
        <sz val="11.0"/>
      </rPr>
      <t>Slush Rush</t>
    </r>
  </si>
  <si>
    <t>Abomasite</t>
  </si>
  <si>
    <t>Glacial Lance</t>
  </si>
  <si>
    <t>Snowscape</t>
  </si>
  <si>
    <t xml:space="preserve"> (!) TEAM ONE</t>
  </si>
  <si>
    <r>
      <rPr>
        <rFont val="IBM Plex Sans Condensed"/>
        <color rgb="FF000000"/>
        <sz val="13.0"/>
      </rPr>
      <t xml:space="preserve">ELITE FOUR
</t>
    </r>
    <r>
      <rPr>
        <rFont val="IBM Plex Sans Condensed"/>
        <b/>
        <color rgb="FF000000"/>
        <sz val="13.0"/>
      </rPr>
      <t>BRUNO</t>
    </r>
  </si>
  <si>
    <t>Zacian-C</t>
  </si>
  <si>
    <t>Lucario-Mega</t>
  </si>
  <si>
    <t>Intrepid Sword</t>
  </si>
  <si>
    <r>
      <rPr>
        <rFont val="IBM Plex Sans Condensed"/>
        <color theme="1"/>
        <sz val="11.0"/>
      </rPr>
      <t xml:space="preserve">Inner Focus
</t>
    </r>
    <r>
      <rPr>
        <rFont val="IBM Plex Sans Condensed"/>
        <b/>
        <color theme="1"/>
        <sz val="11.0"/>
      </rPr>
      <t>Adaptability</t>
    </r>
  </si>
  <si>
    <t>Rusted Sword</t>
  </si>
  <si>
    <t>Lucarionite</t>
  </si>
  <si>
    <t>Behemo. Blade</t>
  </si>
  <si>
    <t xml:space="preserve"> (!) TEAM TWO</t>
  </si>
  <si>
    <r>
      <rPr>
        <rFont val="IBM Plex Sans Condensed"/>
        <color rgb="FF000000"/>
        <sz val="13.0"/>
      </rPr>
      <t xml:space="preserve">ELITE FOUR
</t>
    </r>
    <r>
      <rPr>
        <rFont val="IBM Plex Sans Condensed"/>
        <b/>
        <color rgb="FF000000"/>
        <sz val="13.0"/>
      </rPr>
      <t>BRUNO</t>
    </r>
  </si>
  <si>
    <t>Kommo-o</t>
  </si>
  <si>
    <r>
      <rPr>
        <rFont val="IBM Plex Sans Condensed"/>
        <color theme="1"/>
        <sz val="11.0"/>
      </rPr>
      <t xml:space="preserve">Inner Focus
</t>
    </r>
    <r>
      <rPr>
        <rFont val="IBM Plex Sans Condensed"/>
        <b/>
        <color theme="1"/>
        <sz val="11.0"/>
      </rPr>
      <t>Adaptability</t>
    </r>
  </si>
  <si>
    <t>Clang. Scales</t>
  </si>
  <si>
    <t>Clang. Soul</t>
  </si>
  <si>
    <r>
      <rPr>
        <rFont val="IBM Plex Sans Condensed"/>
        <color rgb="FF000000"/>
        <sz val="13.0"/>
      </rPr>
      <t xml:space="preserve">ELITE FOUR
</t>
    </r>
    <r>
      <rPr>
        <rFont val="IBM Plex Sans Condensed"/>
        <b/>
        <color rgb="FF000000"/>
        <sz val="13.0"/>
      </rPr>
      <t>AGATHA</t>
    </r>
  </si>
  <si>
    <t>Marshadow</t>
  </si>
  <si>
    <t>Chi-Yu</t>
  </si>
  <si>
    <t>Beads of Ruin</t>
  </si>
  <si>
    <r>
      <rPr>
        <rFont val="IBM Plex Sans Condensed"/>
        <color theme="1"/>
        <sz val="11.0"/>
      </rPr>
      <t xml:space="preserve">Levitate
</t>
    </r>
    <r>
      <rPr>
        <rFont val="IBM Plex Sans Condensed"/>
        <b/>
        <color theme="1"/>
        <sz val="11.0"/>
      </rPr>
      <t>Shadow Tag</t>
    </r>
  </si>
  <si>
    <t>Spectral Thief</t>
  </si>
  <si>
    <r>
      <rPr>
        <rFont val="IBM Plex Sans Condensed"/>
        <color rgb="FF000000"/>
        <sz val="13.0"/>
      </rPr>
      <t xml:space="preserve">ELITE FOUR
</t>
    </r>
    <r>
      <rPr>
        <rFont val="IBM Plex Sans Condensed"/>
        <b/>
        <color rgb="FF000000"/>
        <sz val="13.0"/>
      </rPr>
      <t>AGATHA</t>
    </r>
  </si>
  <si>
    <t>Zoroark</t>
  </si>
  <si>
    <t>Flutter Mane</t>
  </si>
  <si>
    <t>Chien-Pao</t>
  </si>
  <si>
    <t>Swords of Ruin</t>
  </si>
  <si>
    <r>
      <rPr>
        <rFont val="IBM Plex Sans Condensed"/>
        <color theme="1"/>
        <sz val="11.0"/>
      </rPr>
      <t xml:space="preserve">Levitate
</t>
    </r>
    <r>
      <rPr>
        <rFont val="IBM Plex Sans Condensed"/>
        <b/>
        <color theme="1"/>
        <sz val="11.0"/>
      </rPr>
      <t>Shadow Tag</t>
    </r>
  </si>
  <si>
    <t>PROTOSYN.:</t>
  </si>
  <si>
    <r>
      <rPr>
        <rFont val="IBM Plex Sans Condensed"/>
        <color rgb="FF000000"/>
        <sz val="13.0"/>
      </rPr>
      <t xml:space="preserve">ELITE FOUR
</t>
    </r>
    <r>
      <rPr>
        <rFont val="IBM Plex Sans Condensed"/>
        <b/>
        <color rgb="FF000000"/>
        <sz val="13.0"/>
      </rPr>
      <t>LANCE</t>
    </r>
  </si>
  <si>
    <t>Iron Jugulis</t>
  </si>
  <si>
    <t>Dialga-Primal</t>
  </si>
  <si>
    <t>Primal Armor</t>
  </si>
  <si>
    <r>
      <rPr>
        <rFont val="IBM Plex Sans Condensed"/>
        <color theme="1"/>
        <sz val="11.0"/>
      </rPr>
      <t xml:space="preserve">Intimidate
</t>
    </r>
    <r>
      <rPr>
        <rFont val="IBM Plex Sans Condensed"/>
        <b/>
        <color theme="1"/>
        <sz val="11.0"/>
      </rPr>
      <t>Aerilate</t>
    </r>
  </si>
  <si>
    <t>Adamant Orb</t>
  </si>
  <si>
    <t>Dark Hole</t>
  </si>
  <si>
    <t>Roar of Time</t>
  </si>
  <si>
    <r>
      <rPr>
        <rFont val="IBM Plex Sans Condensed"/>
        <color rgb="FF000000"/>
        <sz val="13.0"/>
      </rPr>
      <t xml:space="preserve">ELITE FOUR
</t>
    </r>
    <r>
      <rPr>
        <rFont val="IBM Plex Sans Condensed"/>
        <b/>
        <color rgb="FF000000"/>
        <sz val="13.0"/>
      </rPr>
      <t>LANCE</t>
    </r>
  </si>
  <si>
    <r>
      <rPr>
        <rFont val="IBM Plex Sans Condensed"/>
        <color theme="1"/>
        <sz val="11.0"/>
      </rPr>
      <t xml:space="preserve">Intimidate
</t>
    </r>
    <r>
      <rPr>
        <rFont val="IBM Plex Sans Condensed"/>
        <b/>
        <color theme="1"/>
        <sz val="11.0"/>
      </rPr>
      <t>Aerilate</t>
    </r>
  </si>
  <si>
    <t>IF RIVAL HAS SQUIRTLE</t>
  </si>
  <si>
    <r>
      <rPr>
        <rFont val="IBM Plex Sans Condensed"/>
        <color rgb="FF000000"/>
        <sz val="13.0"/>
      </rPr>
      <t xml:space="preserve">CHAMPION
</t>
    </r>
    <r>
      <rPr>
        <rFont val="IBM Plex Sans Condensed"/>
        <b/>
        <color rgb="FF000000"/>
        <sz val="13.0"/>
      </rPr>
      <t>RIVAL</t>
    </r>
  </si>
  <si>
    <t>Pheromosa</t>
  </si>
  <si>
    <t>Metagross-Mega</t>
  </si>
  <si>
    <t>Koraidon</t>
  </si>
  <si>
    <t>Yveltal</t>
  </si>
  <si>
    <t>Eternatus</t>
  </si>
  <si>
    <t>Ditto</t>
  </si>
  <si>
    <t>Tough Claws (Both)</t>
  </si>
  <si>
    <t>Orichalcum Pulse</t>
  </si>
  <si>
    <t>Dark Aura</t>
  </si>
  <si>
    <t>Imposter</t>
  </si>
  <si>
    <t>Metagrossite</t>
  </si>
  <si>
    <t>Oblivion Wing</t>
  </si>
  <si>
    <t>Transform</t>
  </si>
  <si>
    <t>Collision Course</t>
  </si>
  <si>
    <t>Dyna. Cannon</t>
  </si>
  <si>
    <t>TRANSFORM:</t>
  </si>
  <si>
    <t>N/A</t>
  </si>
  <si>
    <t>IF RIVAL HAS CHARMANDER</t>
  </si>
  <si>
    <r>
      <rPr>
        <rFont val="IBM Plex Sans Condensed"/>
        <color rgb="FF000000"/>
        <sz val="13.0"/>
      </rPr>
      <t xml:space="preserve">CHAMPION
</t>
    </r>
    <r>
      <rPr>
        <rFont val="IBM Plex Sans Condensed"/>
        <b/>
        <color rgb="FF000000"/>
        <sz val="13.0"/>
      </rPr>
      <t>RIVAL</t>
    </r>
  </si>
  <si>
    <t>Miraidon</t>
  </si>
  <si>
    <t>Hadron Engine</t>
  </si>
  <si>
    <t>IF RIVAL HAS BULBASAUR</t>
  </si>
  <si>
    <r>
      <rPr>
        <rFont val="IBM Plex Sans Condensed"/>
        <color rgb="FF000000"/>
        <sz val="13.0"/>
      </rPr>
      <t xml:space="preserve">CHAMPION
</t>
    </r>
    <r>
      <rPr>
        <rFont val="IBM Plex Sans Condensed"/>
        <b/>
        <color rgb="FF000000"/>
        <sz val="13.0"/>
      </rPr>
      <t>RIVAL</t>
    </r>
  </si>
  <si>
    <t>Electro Drift</t>
  </si>
  <si>
    <t xml:space="preserve"> </t>
  </si>
  <si>
    <t>(!!!) ALL SPEED STATS IN THIS SECTION ARE ASSUMING YOU'RE LEVEL 100</t>
  </si>
  <si>
    <r>
      <rPr>
        <rFont val="IBM Plex Sans Condensed"/>
        <color rgb="FF000000"/>
        <sz val="13.0"/>
      </rPr>
      <t>OAK'S LAB
PROFESSOR</t>
    </r>
    <r>
      <rPr>
        <rFont val="IBM Plex Sans Condensed"/>
        <b/>
        <color rgb="FF000000"/>
        <sz val="13.0"/>
      </rPr>
      <t xml:space="preserve">
OAK</t>
    </r>
  </si>
  <si>
    <t>Tauros</t>
  </si>
  <si>
    <t>Gyarados</t>
  </si>
  <si>
    <t>Mew</t>
  </si>
  <si>
    <t>Highest Lv</t>
  </si>
  <si>
    <t>Harvest</t>
  </si>
  <si>
    <r>
      <rPr>
        <rFont val="IBM Plex Sans Condensed"/>
        <color theme="1"/>
        <sz val="11.0"/>
      </rPr>
      <t xml:space="preserve">Blaze
</t>
    </r>
    <r>
      <rPr>
        <rFont val="IBM Plex Sans Condensed"/>
        <b/>
        <color theme="1"/>
        <sz val="11.0"/>
      </rPr>
      <t>Tough Claws</t>
    </r>
  </si>
  <si>
    <t>Synchronize</t>
  </si>
  <si>
    <t>Water Gem</t>
  </si>
  <si>
    <t>Fighting Gem</t>
  </si>
  <si>
    <t>Eevium Z</t>
  </si>
  <si>
    <t>EVOBOOST:</t>
  </si>
  <si>
    <r>
      <rPr>
        <rFont val="IBM Plex Sans Condensed"/>
        <color rgb="FF000000"/>
        <sz val="13.0"/>
      </rPr>
      <t>OAK'S LAB
PROFESSOR</t>
    </r>
    <r>
      <rPr>
        <rFont val="IBM Plex Sans Condensed"/>
        <b/>
        <color rgb="FF000000"/>
        <sz val="13.0"/>
      </rPr>
      <t xml:space="preserve">
OAK</t>
    </r>
  </si>
  <si>
    <t>Pidgeot-Mega</t>
  </si>
  <si>
    <t>Flareon</t>
  </si>
  <si>
    <t>Zapdos</t>
  </si>
  <si>
    <t>Machamp</t>
  </si>
  <si>
    <r>
      <rPr>
        <rFont val="IBM Plex Sans Condensed"/>
        <color theme="1"/>
        <sz val="11.0"/>
      </rPr>
      <t xml:space="preserve">Frisk
</t>
    </r>
    <r>
      <rPr>
        <rFont val="IBM Plex Sans Condensed"/>
        <b/>
        <color theme="1"/>
        <sz val="11.0"/>
      </rPr>
      <t>No Guard</t>
    </r>
  </si>
  <si>
    <r>
      <rPr>
        <rFont val="IBM Plex Sans Condensed"/>
        <color theme="1"/>
        <sz val="11.0"/>
      </rPr>
      <t xml:space="preserve">Torrent
</t>
    </r>
    <r>
      <rPr>
        <rFont val="IBM Plex Sans Condensed"/>
        <b/>
        <color theme="1"/>
        <sz val="11.0"/>
      </rPr>
      <t>Mega Launcher</t>
    </r>
  </si>
  <si>
    <t>Toxic Boost</t>
  </si>
  <si>
    <t>Pidgeotite</t>
  </si>
  <si>
    <t>Flying Gem</t>
  </si>
  <si>
    <t>Sacred Fire</t>
  </si>
  <si>
    <t>Dynamic Punch</t>
  </si>
  <si>
    <r>
      <rPr>
        <rFont val="IBM Plex Sans Condensed"/>
        <b/>
        <color rgb="FF000000"/>
        <sz val="13.0"/>
        <u/>
      </rPr>
      <t xml:space="preserve">BATTLE EFFECT: </t>
    </r>
    <r>
      <rPr>
        <rFont val="IBM Plex Sans Condensed"/>
        <b/>
        <color rgb="FFEA4335"/>
        <sz val="13.0"/>
        <u/>
      </rPr>
      <t>UNABLE TO USE FAIRY TYPES</t>
    </r>
  </si>
  <si>
    <r>
      <rPr>
        <rFont val="IBM Plex Sans Condensed"/>
        <color theme="1"/>
        <sz val="13.0"/>
      </rPr>
      <t xml:space="preserve">GYM LEADER
</t>
    </r>
    <r>
      <rPr>
        <rFont val="IBM Plex Sans Condensed"/>
        <b/>
        <color theme="1"/>
        <sz val="13.0"/>
      </rPr>
      <t>CLAIR</t>
    </r>
  </si>
  <si>
    <t>Kyurem-B</t>
  </si>
  <si>
    <t>Genesect</t>
  </si>
  <si>
    <r>
      <rPr>
        <rFont val="IBM Plex Sans Condensed"/>
        <color rgb="FF000000"/>
        <sz val="11.0"/>
      </rPr>
      <t xml:space="preserve">Ripen
</t>
    </r>
    <r>
      <rPr>
        <rFont val="IBM Plex Sans Condensed"/>
        <b/>
        <color rgb="FF000000"/>
        <sz val="11.0"/>
      </rPr>
      <t>Dragon's Maw</t>
    </r>
  </si>
  <si>
    <t>Teravolt</t>
  </si>
  <si>
    <t>Download</t>
  </si>
  <si>
    <t>Roar Of Time</t>
  </si>
  <si>
    <t>Dragon Energy</t>
  </si>
  <si>
    <t>Dragon Hamm.</t>
  </si>
  <si>
    <t>Fusion Bolt</t>
  </si>
  <si>
    <r>
      <rPr>
        <rFont val="IBM Plex Sans Condensed"/>
        <b/>
        <color rgb="FF000000"/>
        <sz val="13.0"/>
        <u/>
      </rPr>
      <t>BATTLE EFFECT:</t>
    </r>
    <r>
      <rPr>
        <rFont val="IBM Plex Sans Condensed"/>
        <b/>
        <color rgb="FFEA4335"/>
        <sz val="13.0"/>
        <u/>
      </rPr>
      <t xml:space="preserve"> DOUBLES</t>
    </r>
  </si>
  <si>
    <r>
      <rPr>
        <rFont val="IBM Plex Sans Condensed"/>
        <b val="0"/>
        <color theme="1"/>
        <sz val="13.0"/>
      </rPr>
      <t>GYM LEADER</t>
    </r>
    <r>
      <rPr>
        <rFont val="IBM Plex Sans Condensed"/>
        <b/>
        <color theme="1"/>
        <sz val="13.0"/>
      </rPr>
      <t xml:space="preserve">
MISTY</t>
    </r>
  </si>
  <si>
    <t>Pikachu-Flying</t>
  </si>
  <si>
    <t>Kyogre</t>
  </si>
  <si>
    <t>Drednaw-Mega</t>
  </si>
  <si>
    <r>
      <rPr>
        <rFont val="IBM Plex Sans Condensed"/>
        <color rgb="FF000000"/>
        <sz val="11.0"/>
      </rPr>
      <t xml:space="preserve">Shell Armor
</t>
    </r>
    <r>
      <rPr>
        <rFont val="IBM Plex Sans Condensed"/>
        <b/>
        <color rgb="FF000000"/>
        <sz val="11.0"/>
      </rPr>
      <t>Strong Jaw</t>
    </r>
  </si>
  <si>
    <t>Light Ball</t>
  </si>
  <si>
    <t>Waterium Z</t>
  </si>
  <si>
    <t>Drednawite</t>
  </si>
  <si>
    <r>
      <rPr>
        <rFont val="IBM Plex Sans Condensed"/>
        <color theme="1"/>
        <sz val="13.0"/>
      </rPr>
      <t xml:space="preserve">ROCK TUNNEL
LEADER
</t>
    </r>
    <r>
      <rPr>
        <rFont val="IBM Plex Sans Condensed"/>
        <b/>
        <color theme="1"/>
        <sz val="13.0"/>
      </rPr>
      <t>FALKNER</t>
    </r>
  </si>
  <si>
    <t>Shaymin-S</t>
  </si>
  <si>
    <t>Enamorus-I</t>
  </si>
  <si>
    <t>Ho-Oh</t>
  </si>
  <si>
    <r>
      <rPr>
        <rFont val="IBM Plex Sans Condensed"/>
        <color theme="1"/>
        <sz val="11.0"/>
      </rPr>
      <t xml:space="preserve">Frisk
</t>
    </r>
    <r>
      <rPr>
        <rFont val="IBM Plex Sans Condensed"/>
        <b/>
        <color theme="1"/>
        <sz val="11.0"/>
      </rPr>
      <t>No Guard</t>
    </r>
  </si>
  <si>
    <t>Phoenix Down</t>
  </si>
  <si>
    <t>Flyinium Z</t>
  </si>
  <si>
    <t>Seed Flare</t>
  </si>
  <si>
    <r>
      <rPr>
        <rFont val="IBM Plex Sans Condensed"/>
        <b/>
        <color rgb="FF000000"/>
        <sz val="13.0"/>
        <u/>
      </rPr>
      <t xml:space="preserve">BATTLE EFFECT: </t>
    </r>
    <r>
      <rPr>
        <rFont val="IBM Plex Sans Condensed"/>
        <b/>
        <color rgb="FFEA4335"/>
        <sz val="13.0"/>
        <u/>
      </rPr>
      <t>DOUBLES + GRENINJA IS PRE-TRANSFORMED</t>
    </r>
  </si>
  <si>
    <r>
      <rPr>
        <rFont val="IBM Plex Sans Condensed"/>
        <color rgb="FF000000"/>
        <sz val="13.0"/>
      </rPr>
      <t>SAFFRON CITY
DUMASS</t>
    </r>
    <r>
      <rPr>
        <rFont val="IBM Plex Sans Condensed"/>
        <b/>
        <color rgb="FF000000"/>
        <sz val="13.0"/>
      </rPr>
      <t xml:space="preserve">
GIAN</t>
    </r>
  </si>
  <si>
    <t>Magearna-O</t>
  </si>
  <si>
    <t>Necrozma-DM</t>
  </si>
  <si>
    <t>Greninja-Ash</t>
  </si>
  <si>
    <t>Palkia-O</t>
  </si>
  <si>
    <r>
      <rPr>
        <rFont val="IBM Plex Sans Condensed"/>
        <color theme="1"/>
        <sz val="11.0"/>
      </rPr>
      <t xml:space="preserve">Damp
</t>
    </r>
    <r>
      <rPr>
        <rFont val="IBM Plex Sans Condensed"/>
        <b/>
        <color theme="1"/>
        <sz val="11.0"/>
      </rPr>
      <t>Swift Swim</t>
    </r>
  </si>
  <si>
    <t>Prism Armor</t>
  </si>
  <si>
    <t>Solganium Z</t>
  </si>
  <si>
    <t>Lustrous Orb</t>
  </si>
  <si>
    <t>Helping Hand</t>
  </si>
  <si>
    <t>Sunsteel Strike</t>
  </si>
  <si>
    <t>Spacial Rend</t>
  </si>
  <si>
    <t>HP Dragon</t>
  </si>
  <si>
    <r>
      <rPr>
        <rFont val="IBM Plex Sans Condensed"/>
        <b/>
        <color rgb="FF000000"/>
        <sz val="13.0"/>
        <u/>
      </rPr>
      <t>BATTLE EFFECT:</t>
    </r>
    <r>
      <rPr>
        <rFont val="IBM Plex Sans Condensed"/>
        <b/>
        <color rgb="FFEA4335"/>
        <sz val="13.0"/>
        <u/>
      </rPr>
      <t xml:space="preserve"> DOUBLES + PLAYER'S FIRST 3 SLOTS GET FROSTBITE + KYUREM BECOMES KYUREM-WHITE 
AFTER FIRST FAINT &amp; EARTH POWER BECOMES FUSION FLARE</t>
    </r>
  </si>
  <si>
    <r>
      <rPr>
        <rFont val="IBM Plex Sans Condensed"/>
        <color theme="1"/>
        <sz val="13.0"/>
      </rPr>
      <t xml:space="preserve">SEAFOAM ISL.
SECRET ROOM
LEADER
</t>
    </r>
    <r>
      <rPr>
        <rFont val="IBM Plex Sans Condensed"/>
        <b/>
        <color theme="1"/>
        <sz val="13.0"/>
      </rPr>
      <t>PRYCE</t>
    </r>
  </si>
  <si>
    <t>Kyurem-W</t>
  </si>
  <si>
    <t>Wishiwashi-S-Sch</t>
  </si>
  <si>
    <t>Heracross-Mega</t>
  </si>
  <si>
    <r>
      <rPr>
        <rFont val="IBM Plex Sans Condensed"/>
        <color theme="1"/>
        <sz val="11.0"/>
      </rPr>
      <t xml:space="preserve">Soundproof
</t>
    </r>
    <r>
      <rPr>
        <rFont val="IBM Plex Sans Condensed"/>
        <b/>
        <color theme="1"/>
        <sz val="11.0"/>
      </rPr>
      <t>Snow Warning</t>
    </r>
  </si>
  <si>
    <r>
      <rPr>
        <rFont val="IBM Plex Sans Condensed"/>
        <color theme="1"/>
        <sz val="11.0"/>
      </rPr>
      <t xml:space="preserve">Pressure
</t>
    </r>
    <r>
      <rPr>
        <rFont val="IBM Plex Sans Condensed"/>
        <b/>
        <color theme="1"/>
        <sz val="11.0"/>
      </rPr>
      <t>Turboblaze</t>
    </r>
  </si>
  <si>
    <t>Schooling</t>
  </si>
  <si>
    <r>
      <rPr>
        <rFont val="IBM Plex Sans Condensed"/>
        <color theme="1"/>
        <sz val="11.0"/>
      </rPr>
      <t xml:space="preserve">Moxie
</t>
    </r>
    <r>
      <rPr>
        <rFont val="IBM Plex Sans Condensed"/>
        <b/>
        <color theme="1"/>
        <sz val="11.0"/>
      </rPr>
      <t>Skill Link</t>
    </r>
  </si>
  <si>
    <t>Abomasnite</t>
  </si>
  <si>
    <t>Mental Herb</t>
  </si>
  <si>
    <t>Icium Z</t>
  </si>
  <si>
    <t>Heracronite</t>
  </si>
  <si>
    <t>Arm Thrust</t>
  </si>
  <si>
    <t>Pin Missile</t>
  </si>
  <si>
    <t>SMALL FORM:</t>
  </si>
  <si>
    <r>
      <rPr>
        <rFont val="IBM Plex Sans Condensed"/>
        <b/>
        <color rgb="FF000000"/>
        <sz val="13.0"/>
        <u/>
      </rPr>
      <t xml:space="preserve">BATTLE EFFECT: </t>
    </r>
    <r>
      <rPr>
        <rFont val="IBM Plex Sans Condensed"/>
        <b/>
        <color rgb="FFEA4335"/>
        <sz val="13.0"/>
        <u/>
      </rPr>
      <t>DOUBLES</t>
    </r>
  </si>
  <si>
    <r>
      <rPr>
        <rFont val="IBM Plex Sans Condensed"/>
        <color rgb="FF000000"/>
        <sz val="13.0"/>
      </rPr>
      <t>PKMN TOWER
GAUNTLET 1</t>
    </r>
    <r>
      <rPr>
        <rFont val="IBM Plex Sans Condensed"/>
        <b/>
        <color rgb="FF000000"/>
        <sz val="13.0"/>
      </rPr>
      <t xml:space="preserve">
</t>
    </r>
    <r>
      <rPr>
        <rFont val="IBM Plex Sans Condensed"/>
        <color rgb="FF000000"/>
        <sz val="13.0"/>
      </rPr>
      <t>TESTER</t>
    </r>
    <r>
      <rPr>
        <rFont val="IBM Plex Sans Condensed"/>
        <b/>
        <color rgb="FF000000"/>
        <sz val="13.0"/>
      </rPr>
      <t xml:space="preserve">
RUNAN</t>
    </r>
  </si>
  <si>
    <t>Krookodile</t>
  </si>
  <si>
    <t>Victini</t>
  </si>
  <si>
    <t>Keldeo</t>
  </si>
  <si>
    <r>
      <rPr>
        <rFont val="IBM Plex Sans Condensed"/>
        <color theme="1"/>
        <sz val="11.0"/>
      </rPr>
      <t xml:space="preserve">Intimidate
</t>
    </r>
    <r>
      <rPr>
        <rFont val="IBM Plex Sans Condensed"/>
        <b/>
        <color theme="1"/>
        <sz val="11.0"/>
      </rPr>
      <t>Aerilate</t>
    </r>
  </si>
  <si>
    <t>Victory Star</t>
  </si>
  <si>
    <t>Ghostium Z</t>
  </si>
  <si>
    <t>Dragon Rush</t>
  </si>
  <si>
    <t>Glaciate</t>
  </si>
  <si>
    <r>
      <rPr>
        <rFont val="IBM Plex Sans Condensed"/>
        <color rgb="FF000000"/>
        <sz val="13.0"/>
      </rPr>
      <t>PKMN TOWER
GAUNTLET 2</t>
    </r>
    <r>
      <rPr>
        <rFont val="IBM Plex Sans Condensed"/>
        <b/>
        <color rgb="FF000000"/>
        <sz val="13.0"/>
      </rPr>
      <t xml:space="preserve">
</t>
    </r>
    <r>
      <rPr>
        <rFont val="IBM Plex Sans Condensed"/>
        <color rgb="FF000000"/>
        <sz val="13.0"/>
      </rPr>
      <t>ACE TRAINER</t>
    </r>
    <r>
      <rPr>
        <rFont val="IBM Plex Sans Condensed"/>
        <b/>
        <color rgb="FF000000"/>
        <sz val="13.0"/>
      </rPr>
      <t xml:space="preserve">
SAMANTHA</t>
    </r>
  </si>
  <si>
    <t>Torkoal</t>
  </si>
  <si>
    <t>Dodrio-S</t>
  </si>
  <si>
    <t>Garchomp-Mega</t>
  </si>
  <si>
    <t>Drought</t>
  </si>
  <si>
    <r>
      <rPr>
        <rFont val="IBM Plex Sans Condensed"/>
        <color theme="1"/>
        <sz val="11.0"/>
      </rPr>
      <t xml:space="preserve">Rough Skin
</t>
    </r>
    <r>
      <rPr>
        <rFont val="IBM Plex Sans Condensed"/>
        <b/>
        <color theme="1"/>
        <sz val="11.0"/>
      </rPr>
      <t>Sand Force</t>
    </r>
  </si>
  <si>
    <t>Heat Rock</t>
  </si>
  <si>
    <t>Garchompite</t>
  </si>
  <si>
    <t>Lava Plume</t>
  </si>
  <si>
    <r>
      <rPr>
        <rFont val="IBM Plex Sans Condensed"/>
        <color rgb="FF000000"/>
        <sz val="13.0"/>
      </rPr>
      <t>PKMN TOWER
GAUNTLET 3</t>
    </r>
    <r>
      <rPr>
        <rFont val="IBM Plex Sans Condensed"/>
        <b/>
        <color rgb="FF000000"/>
        <sz val="13.0"/>
      </rPr>
      <t xml:space="preserve">
</t>
    </r>
    <r>
      <rPr>
        <rFont val="IBM Plex Sans Condensed"/>
        <color rgb="FF000000"/>
        <sz val="13.0"/>
      </rPr>
      <t>TESTER</t>
    </r>
    <r>
      <rPr>
        <rFont val="IBM Plex Sans Condensed"/>
        <b/>
        <color rgb="FF000000"/>
        <sz val="13.0"/>
      </rPr>
      <t xml:space="preserve">
SYMES</t>
    </r>
  </si>
  <si>
    <t>Zebstrika-S</t>
  </si>
  <si>
    <t>Samurott-H</t>
  </si>
  <si>
    <t>Decidueye-H</t>
  </si>
  <si>
    <t>Illuminate</t>
  </si>
  <si>
    <r>
      <rPr>
        <rFont val="IBM Plex Sans Condensed"/>
        <color theme="1"/>
        <sz val="11.0"/>
      </rPr>
      <t xml:space="preserve">Sweet Veil
</t>
    </r>
    <r>
      <rPr>
        <rFont val="IBM Plex Sans Condensed"/>
        <b/>
        <color theme="1"/>
        <sz val="11.0"/>
      </rPr>
      <t>Self Sufficient</t>
    </r>
  </si>
  <si>
    <t>Quill Rush</t>
  </si>
  <si>
    <t>High J. Kick</t>
  </si>
  <si>
    <t>Ceaseless Edge</t>
  </si>
  <si>
    <t>Acid Armor</t>
  </si>
  <si>
    <t>QUILL RUSH:</t>
  </si>
  <si>
    <r>
      <rPr>
        <rFont val="IBM Plex Sans Condensed"/>
        <color theme="1"/>
        <sz val="13.0"/>
      </rPr>
      <t xml:space="preserve">PKMN TOWER
</t>
    </r>
    <r>
      <rPr>
        <rFont val="IBM Plex Sans Condensed"/>
        <color theme="1"/>
        <sz val="12.0"/>
      </rPr>
      <t>GAUNTLET BOSS</t>
    </r>
    <r>
      <rPr>
        <rFont val="IBM Plex Sans Condensed"/>
        <color theme="1"/>
        <sz val="13.0"/>
      </rPr>
      <t xml:space="preserve">
LEADER
</t>
    </r>
    <r>
      <rPr>
        <rFont val="IBM Plex Sans Condensed"/>
        <b/>
        <color theme="1"/>
        <sz val="13.0"/>
      </rPr>
      <t>MORTY</t>
    </r>
  </si>
  <si>
    <t>Silvally-Fairy</t>
  </si>
  <si>
    <t>Zarude</t>
  </si>
  <si>
    <r>
      <rPr>
        <rFont val="IBM Plex Sans Condensed"/>
        <color theme="1"/>
        <sz val="11.0"/>
      </rPr>
      <t xml:space="preserve">Levitate
</t>
    </r>
    <r>
      <rPr>
        <rFont val="IBM Plex Sans Condensed"/>
        <b/>
        <color theme="1"/>
        <sz val="11.0"/>
      </rPr>
      <t>Shadow Tag</t>
    </r>
  </si>
  <si>
    <t>Multi-Attack</t>
  </si>
  <si>
    <r>
      <rPr>
        <rFont val="IBM Plex Sans Condensed"/>
        <color rgb="FF000000"/>
        <sz val="13.0"/>
      </rPr>
      <t>ONE ISLAND
DUMASS</t>
    </r>
    <r>
      <rPr>
        <rFont val="IBM Plex Sans Condensed"/>
        <b/>
        <color rgb="FF000000"/>
        <sz val="13.0"/>
      </rPr>
      <t xml:space="preserve">
JOJO FAN</t>
    </r>
  </si>
  <si>
    <r>
      <rPr>
        <rFont val="IBM Plex Sans Condensed"/>
        <color theme="1"/>
        <sz val="11.0"/>
      </rPr>
      <t xml:space="preserve">Rough Skin
</t>
    </r>
    <r>
      <rPr>
        <rFont val="IBM Plex Sans Condensed"/>
        <b/>
        <color theme="1"/>
        <sz val="11.0"/>
      </rPr>
      <t>Sand Force</t>
    </r>
  </si>
  <si>
    <r>
      <rPr>
        <rFont val="IBM Plex Sans Condensed"/>
        <color theme="1"/>
        <sz val="11.0"/>
      </rPr>
      <t xml:space="preserve">Guts or No Guard
</t>
    </r>
    <r>
      <rPr>
        <rFont val="IBM Plex Sans Condensed"/>
        <b/>
        <color theme="1"/>
        <sz val="11.0"/>
      </rPr>
      <t>ORAORAORAORA!</t>
    </r>
  </si>
  <si>
    <t>Fightinium Z</t>
  </si>
  <si>
    <t>Sticky Web</t>
  </si>
  <si>
    <r>
      <rPr>
        <rFont val="IBM Plex Sans Condensed"/>
        <color rgb="FF000000"/>
        <sz val="13.0"/>
      </rPr>
      <t>TREASURE BEA.
SWIMMER</t>
    </r>
    <r>
      <rPr>
        <rFont val="IBM Plex Sans Condensed"/>
        <b/>
        <color rgb="FF000000"/>
        <sz val="13.0"/>
      </rPr>
      <t xml:space="preserve">
AMARA</t>
    </r>
  </si>
  <si>
    <t>Milotic-S</t>
  </si>
  <si>
    <t>Dewgong</t>
  </si>
  <si>
    <t>Highest Lv -1</t>
  </si>
  <si>
    <r>
      <rPr>
        <rFont val="IBM Plex Sans Condensed"/>
        <color rgb="FF000000"/>
        <sz val="13.0"/>
      </rPr>
      <t>TREASURE BEA.
SWIMMER</t>
    </r>
    <r>
      <rPr>
        <rFont val="IBM Plex Sans Condensed"/>
        <b/>
        <color rgb="FF000000"/>
        <sz val="13.0"/>
      </rPr>
      <t xml:space="preserve">
ABIGAIL</t>
    </r>
  </si>
  <si>
    <t>Golisopod</t>
  </si>
  <si>
    <t>Wishiwashi-Sch</t>
  </si>
  <si>
    <t>Emergency Exit</t>
  </si>
  <si>
    <r>
      <rPr>
        <rFont val="IBM Plex Sans Condensed"/>
        <color rgb="FF000000"/>
        <sz val="13.0"/>
      </rPr>
      <t xml:space="preserve">KINDLE ROAD
</t>
    </r>
    <r>
      <rPr>
        <rFont val="IBM Plex Sans Condensed"/>
        <b/>
        <color rgb="FF000000"/>
        <sz val="13.0"/>
      </rPr>
      <t>RED</t>
    </r>
  </si>
  <si>
    <t>Pikachu-Libre</t>
  </si>
  <si>
    <t>Snorlax</t>
  </si>
  <si>
    <t>Mewtwo-MegaX</t>
  </si>
  <si>
    <r>
      <rPr>
        <rFont val="IBM Plex Sans Condensed"/>
        <color theme="1"/>
        <sz val="11.0"/>
      </rPr>
      <t xml:space="preserve">Overgrow
</t>
    </r>
    <r>
      <rPr>
        <rFont val="IBM Plex Sans Condensed"/>
        <b/>
        <color theme="1"/>
        <sz val="11.0"/>
      </rPr>
      <t>Thick Fat</t>
    </r>
  </si>
  <si>
    <r>
      <rPr>
        <rFont val="IBM Plex Sans Condensed"/>
        <color theme="1"/>
        <sz val="11.0"/>
      </rPr>
      <t xml:space="preserve">Torrent
</t>
    </r>
    <r>
      <rPr>
        <rFont val="IBM Plex Sans Condensed"/>
        <b/>
        <color theme="1"/>
        <sz val="11.0"/>
      </rPr>
      <t>Mega Launcher</t>
    </r>
  </si>
  <si>
    <r>
      <rPr>
        <rFont val="IBM Plex Sans Condensed"/>
        <color theme="1"/>
        <sz val="11.0"/>
      </rPr>
      <t xml:space="preserve">Blaze
</t>
    </r>
    <r>
      <rPr>
        <rFont val="IBM Plex Sans Condensed"/>
        <b/>
        <color theme="1"/>
        <sz val="11.0"/>
      </rPr>
      <t>Tough Claws</t>
    </r>
  </si>
  <si>
    <r>
      <rPr>
        <rFont val="IBM Plex Sans Condensed"/>
        <color theme="1"/>
        <sz val="11.0"/>
      </rPr>
      <t xml:space="preserve">Pressure
</t>
    </r>
    <r>
      <rPr>
        <rFont val="IBM Plex Sans Condensed"/>
        <b/>
        <color theme="1"/>
        <sz val="11.0"/>
      </rPr>
      <t>Steadfast</t>
    </r>
  </si>
  <si>
    <t>Mewtwonite X</t>
  </si>
  <si>
    <t>Aura Wheel</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</si>
  <si>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</si>
  <si>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KINDLE ROAD
PICNICKER</t>
    </r>
    <r>
      <rPr>
        <rFont val="IBM Plex Sans Condensed"/>
        <b/>
        <color rgb="FF000000"/>
        <sz val="13.0"/>
      </rPr>
      <t xml:space="preserve">
CLAIRE</t>
    </r>
  </si>
  <si>
    <t>Alakazam-Mega</t>
  </si>
  <si>
    <t>Indeedee-M</t>
  </si>
  <si>
    <r>
      <rPr>
        <rFont val="IBM Plex Sans Condensed"/>
        <color theme="1"/>
        <sz val="11.0"/>
      </rPr>
      <t xml:space="preserve">Synchronize
</t>
    </r>
    <r>
      <rPr>
        <rFont val="IBM Plex Sans Condensed"/>
        <b/>
        <color theme="1"/>
        <sz val="11.0"/>
      </rPr>
      <t>Trace</t>
    </r>
  </si>
  <si>
    <t>Justified</t>
  </si>
  <si>
    <t>Alakazite</t>
  </si>
  <si>
    <t>Tanga Berry</t>
  </si>
  <si>
    <t>Follow Me</t>
  </si>
  <si>
    <t>Reversal</t>
  </si>
  <si>
    <r>
      <rPr>
        <rFont val="IBM Plex Sans Condensed"/>
        <color rgb="FF000000"/>
        <sz val="13.0"/>
      </rPr>
      <t>KINDLE ROAD
CRUSH GIRL</t>
    </r>
    <r>
      <rPr>
        <rFont val="IBM Plex Sans Condensed"/>
        <b/>
        <color rgb="FF000000"/>
        <sz val="13.0"/>
      </rPr>
      <t xml:space="preserve">
TANYA</t>
    </r>
  </si>
  <si>
    <t>Pangoro</t>
  </si>
  <si>
    <t>Bewear</t>
  </si>
  <si>
    <t>Ursaring-S</t>
  </si>
  <si>
    <r>
      <rPr>
        <rFont val="IBM Plex Sans Condensed"/>
        <color rgb="FF000000"/>
        <sz val="13.0"/>
      </rPr>
      <t>KINDLE ROAD
CAMPER</t>
    </r>
    <r>
      <rPr>
        <rFont val="IBM Plex Sans Condensed"/>
        <b/>
        <color rgb="FF000000"/>
        <sz val="13.0"/>
      </rPr>
      <t xml:space="preserve">
BRYCE</t>
    </r>
  </si>
  <si>
    <t>Bisharp</t>
  </si>
  <si>
    <t>Butterfree-Mega</t>
  </si>
  <si>
    <t>Delphox</t>
  </si>
  <si>
    <t>Compound Eyes (Both)</t>
  </si>
  <si>
    <t>Butterfrite</t>
  </si>
  <si>
    <t>Mind Blown</t>
  </si>
  <si>
    <t>Steel Beam</t>
  </si>
  <si>
    <r>
      <rPr>
        <rFont val="IBM Plex Sans Condensed"/>
        <b/>
        <color theme="1"/>
        <sz val="13.0"/>
        <u/>
      </rPr>
      <t xml:space="preserve">BATTLE EFFECT: </t>
    </r>
    <r>
      <rPr>
        <rFont val="IBM Plex Sans Condensed"/>
        <b/>
        <color rgb="FFEA4335"/>
        <sz val="13.0"/>
        <u/>
      </rPr>
      <t>DOUBLES</t>
    </r>
  </si>
  <si>
    <r>
      <rPr>
        <rFont val="IBM Plex Sans Condensed"/>
        <color rgb="FF000000"/>
        <sz val="13.0"/>
      </rPr>
      <t>KINDLE ROAD
SWIMMER</t>
    </r>
    <r>
      <rPr>
        <rFont val="IBM Plex Sans Condensed"/>
        <b/>
        <color rgb="FF000000"/>
        <sz val="13.0"/>
      </rPr>
      <t xml:space="preserve">
GARRETT</t>
    </r>
  </si>
  <si>
    <t>Mantine-S</t>
  </si>
  <si>
    <r>
      <rPr>
        <rFont val="IBM Plex Sans Condensed"/>
        <color theme="1"/>
        <sz val="11.0"/>
      </rPr>
      <t xml:space="preserve">Water Absorb
</t>
    </r>
    <r>
      <rPr>
        <rFont val="IBM Plex Sans Condensed"/>
        <b/>
        <color theme="1"/>
        <sz val="11.0"/>
      </rPr>
      <t>Liquid Voice</t>
    </r>
  </si>
  <si>
    <t>Extrasensory</t>
  </si>
  <si>
    <r>
      <rPr>
        <rFont val="IBM Plex Sans Condensed"/>
        <color rgb="FF000000"/>
        <sz val="13.0"/>
      </rPr>
      <t>KINDLE ROAD
CRUSH KIN</t>
    </r>
    <r>
      <rPr>
        <rFont val="IBM Plex Sans Condensed"/>
        <b/>
        <color rgb="FF000000"/>
        <sz val="13.0"/>
      </rPr>
      <t xml:space="preserve">
MIK &amp; KIA</t>
    </r>
  </si>
  <si>
    <t>Grapploct</t>
  </si>
  <si>
    <t>Lycanroc-D</t>
  </si>
  <si>
    <r>
      <rPr>
        <rFont val="IBM Plex Sans Condensed"/>
        <color theme="1"/>
        <sz val="11.0"/>
      </rPr>
      <t xml:space="preserve">Clear Body
</t>
    </r>
    <r>
      <rPr>
        <rFont val="IBM Plex Sans Condensed"/>
        <b/>
        <color theme="1"/>
        <sz val="11.0"/>
      </rPr>
      <t>Tough Claws</t>
    </r>
  </si>
  <si>
    <t>Tough Claws</t>
  </si>
  <si>
    <r>
      <rPr>
        <rFont val="IBM Plex Sans Condensed"/>
        <color rgb="FF000000"/>
        <sz val="13.0"/>
      </rPr>
      <t>KINDLE ROAD
BLACK BELT</t>
    </r>
    <r>
      <rPr>
        <rFont val="IBM Plex Sans Condensed"/>
        <b/>
        <color rgb="FF000000"/>
        <sz val="13.0"/>
      </rPr>
      <t xml:space="preserve">
SHEA</t>
    </r>
  </si>
  <si>
    <t>Probopass</t>
  </si>
  <si>
    <t>SCARF+RUSH:</t>
  </si>
  <si>
    <r>
      <rPr>
        <rFont val="IBM Plex Sans Condensed"/>
        <color rgb="FF000000"/>
        <sz val="13.0"/>
      </rPr>
      <t>KINDLE ROAD
BLACK BELT</t>
    </r>
    <r>
      <rPr>
        <rFont val="IBM Plex Sans Condensed"/>
        <b/>
        <color rgb="FF000000"/>
        <sz val="13.0"/>
      </rPr>
      <t xml:space="preserve">
HUGH</t>
    </r>
  </si>
  <si>
    <t>Heracross</t>
  </si>
  <si>
    <t>Medicham-Mega</t>
  </si>
  <si>
    <t>Pure Power (Both)</t>
  </si>
  <si>
    <t>Medichamite</t>
  </si>
  <si>
    <r>
      <rPr>
        <rFont val="IBM Plex Sans Condensed"/>
        <color rgb="FF000000"/>
        <sz val="13.0"/>
      </rPr>
      <t>KINDLE ROAD
CRUSH GIRL</t>
    </r>
    <r>
      <rPr>
        <rFont val="IBM Plex Sans Condensed"/>
        <b/>
        <color rgb="FF000000"/>
        <sz val="13.0"/>
      </rPr>
      <t xml:space="preserve">
SHARON</t>
    </r>
  </si>
  <si>
    <r>
      <rPr>
        <rFont val="IBM Plex Sans Condensed"/>
        <color theme="1"/>
        <sz val="11.0"/>
      </rPr>
      <t xml:space="preserve">Steadfast
</t>
    </r>
    <r>
      <rPr>
        <rFont val="IBM Plex Sans Condensed"/>
        <b/>
        <color theme="1"/>
        <sz val="11.0"/>
      </rPr>
      <t>Sharpness</t>
    </r>
  </si>
  <si>
    <r>
      <rPr>
        <rFont val="IBM Plex Sans Condensed"/>
        <color rgb="FF000000"/>
        <sz val="13.0"/>
      </rPr>
      <t>KINDLE ROAD
SWIMMER</t>
    </r>
    <r>
      <rPr>
        <rFont val="IBM Plex Sans Condensed"/>
        <b/>
        <color rgb="FF000000"/>
        <sz val="13.0"/>
      </rPr>
      <t xml:space="preserve">
FINN</t>
    </r>
  </si>
  <si>
    <t>Overqwil</t>
  </si>
  <si>
    <t>Barraskewda</t>
  </si>
  <si>
    <t>Strong Jaw (Both)</t>
  </si>
  <si>
    <t>Destiny Bond</t>
  </si>
  <si>
    <t>Rock Polish</t>
  </si>
  <si>
    <r>
      <rPr>
        <rFont val="IBM Plex Sans Condensed"/>
        <color rgb="FF000000"/>
        <sz val="13.0"/>
      </rPr>
      <t>KINDLE ROAD
SWIMMER</t>
    </r>
    <r>
      <rPr>
        <rFont val="IBM Plex Sans Condensed"/>
        <b/>
        <color rgb="FF000000"/>
        <sz val="13.0"/>
      </rPr>
      <t xml:space="preserve">
MARIA</t>
    </r>
  </si>
  <si>
    <t>Inteleon</t>
  </si>
  <si>
    <t>Dragalge</t>
  </si>
  <si>
    <t>Basculegion-F</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</si>
  <si>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</si>
  <si>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KINDLE ROAD
FISHERMAN</t>
    </r>
    <r>
      <rPr>
        <rFont val="IBM Plex Sans Condensed"/>
        <b/>
        <color rgb="FF000000"/>
        <sz val="13.0"/>
      </rPr>
      <t xml:space="preserve">
TOMMY</t>
    </r>
  </si>
  <si>
    <t>Basculegion</t>
  </si>
  <si>
    <t>Slowbro-Mega</t>
  </si>
  <si>
    <t>Slowbro-G</t>
  </si>
  <si>
    <r>
      <rPr>
        <rFont val="IBM Plex Sans Condensed"/>
        <color theme="1"/>
        <sz val="11.0"/>
      </rPr>
      <t xml:space="preserve">Regenerator
</t>
    </r>
    <r>
      <rPr>
        <rFont val="IBM Plex Sans Condensed"/>
        <b/>
        <color theme="1"/>
        <sz val="11.0"/>
      </rPr>
      <t>Shell Armor</t>
    </r>
  </si>
  <si>
    <t>Wacan Berry</t>
  </si>
  <si>
    <t>Slowbronite</t>
  </si>
  <si>
    <t>Phantom Force</t>
  </si>
  <si>
    <r>
      <rPr>
        <rFont val="IBM Plex Sans Condensed"/>
        <color theme="1"/>
        <sz val="13.0"/>
      </rPr>
      <t xml:space="preserve">KINDLE ROAD
LEADER
</t>
    </r>
    <r>
      <rPr>
        <rFont val="IBM Plex Sans Condensed"/>
        <b/>
        <color theme="1"/>
        <sz val="13.0"/>
      </rPr>
      <t>BUGSY</t>
    </r>
  </si>
  <si>
    <t>Clawitzer-S</t>
  </si>
  <si>
    <t>Genesect-Douse</t>
  </si>
  <si>
    <t>Arceus-Bug</t>
  </si>
  <si>
    <t>Multitype</t>
  </si>
  <si>
    <r>
      <rPr>
        <rFont val="IBM Plex Sans Condensed"/>
        <color theme="1"/>
        <sz val="11.0"/>
      </rPr>
      <t xml:space="preserve">Hyper Cutter
</t>
    </r>
    <r>
      <rPr>
        <rFont val="IBM Plex Sans Condensed"/>
        <b/>
        <color theme="1"/>
        <sz val="11.0"/>
      </rPr>
      <t>Aerilate</t>
    </r>
  </si>
  <si>
    <t>Douse Drive</t>
  </si>
  <si>
    <t>Buginium Z</t>
  </si>
  <si>
    <t>Techno Blast</t>
  </si>
  <si>
    <r>
      <rPr>
        <rFont val="IBM Plex Sans Condensed"/>
        <color theme="1"/>
        <sz val="13.0"/>
      </rPr>
      <t xml:space="preserve">MT. EMBER
RANGER
</t>
    </r>
    <r>
      <rPr>
        <rFont val="IBM Plex Sans Condensed"/>
        <b/>
        <color theme="1"/>
        <sz val="13.0"/>
      </rPr>
      <t>BETH</t>
    </r>
  </si>
  <si>
    <t>Haxorus</t>
  </si>
  <si>
    <t>Golem</t>
  </si>
  <si>
    <r>
      <rPr>
        <rFont val="IBM Plex Sans Condensed"/>
        <color theme="1"/>
        <sz val="13.0"/>
      </rPr>
      <t xml:space="preserve">MT. EMBER
GATEKEEPER
</t>
    </r>
    <r>
      <rPr>
        <rFont val="IBM Plex Sans Condensed"/>
        <b/>
        <color theme="1"/>
        <sz val="13.0"/>
      </rPr>
      <t>LOGAN</t>
    </r>
  </si>
  <si>
    <r>
      <rPr>
        <rFont val="IBM Plex Sans Condensed"/>
        <color theme="1"/>
        <sz val="11.0"/>
      </rPr>
      <t xml:space="preserve">Natural Cure
</t>
    </r>
    <r>
      <rPr>
        <rFont val="IBM Plex Sans Condensed"/>
        <b/>
        <color theme="1"/>
        <sz val="11.0"/>
      </rPr>
      <t>Pixilate</t>
    </r>
  </si>
  <si>
    <r>
      <rPr>
        <rFont val="IBM Plex Sans Condensed"/>
        <color rgb="FF000000"/>
        <sz val="13.0"/>
      </rPr>
      <t>MT. EMBER
CRUSH GIRL</t>
    </r>
    <r>
      <rPr>
        <rFont val="IBM Plex Sans Condensed"/>
        <b/>
        <color rgb="FF000000"/>
        <sz val="13.0"/>
      </rPr>
      <t xml:space="preserve">
JOCELYN</t>
    </r>
  </si>
  <si>
    <t>Naughty</t>
  </si>
  <si>
    <t>Glare</t>
  </si>
  <si>
    <r>
      <rPr>
        <rFont val="IBM Plex Sans Condensed"/>
        <color rgb="FF000000"/>
        <sz val="13.0"/>
      </rPr>
      <t xml:space="preserve">MT. EMBER
</t>
    </r>
    <r>
      <rPr>
        <rFont val="IBM Plex Sans Condensed"/>
        <b/>
        <color rgb="FF000000"/>
        <sz val="13.0"/>
      </rPr>
      <t>ARIANA</t>
    </r>
  </si>
  <si>
    <t>Ambipom</t>
  </si>
  <si>
    <t>Weavile</t>
  </si>
  <si>
    <t>Toxapex</t>
  </si>
  <si>
    <t>Xerneas</t>
  </si>
  <si>
    <r>
      <rPr>
        <rFont val="IBM Plex Sans Condensed"/>
        <color theme="1"/>
        <sz val="9.0"/>
      </rPr>
      <t>Hyper Cutter or Intimidate</t>
    </r>
    <r>
      <rPr>
        <rFont val="IBM Plex Sans Condensed"/>
        <color theme="1"/>
        <sz val="11.0"/>
      </rPr>
      <t xml:space="preserve">
</t>
    </r>
    <r>
      <rPr>
        <rFont val="IBM Plex Sans Condensed"/>
        <b/>
        <color theme="1"/>
        <sz val="11.0"/>
      </rPr>
      <t>Huge Power</t>
    </r>
  </si>
  <si>
    <t>Fairy Aura</t>
  </si>
  <si>
    <t>Normalium Z</t>
  </si>
  <si>
    <t>Celebrate</t>
  </si>
  <si>
    <t>Geomancy</t>
  </si>
  <si>
    <t>Searing Shot</t>
  </si>
  <si>
    <t>Stored Power</t>
  </si>
  <si>
    <t>Z-CELEBRATE:</t>
  </si>
  <si>
    <t>GEOMANCY:</t>
  </si>
  <si>
    <r>
      <rPr>
        <rFont val="IBM Plex Sans Condensed"/>
        <b/>
        <color theme="1"/>
        <sz val="13.0"/>
        <u/>
      </rPr>
      <t xml:space="preserve">BATTLE EFFECT: </t>
    </r>
    <r>
      <rPr>
        <rFont val="IBM Plex Sans Condensed"/>
        <b/>
        <color rgb="FFEA4335"/>
        <sz val="13.0"/>
        <u/>
      </rPr>
      <t>DOUBLES + PERMANENT SUN</t>
    </r>
  </si>
  <si>
    <r>
      <rPr>
        <rFont val="IBM Plex Sans Condensed"/>
        <color rgb="FF000000"/>
        <sz val="13.0"/>
      </rPr>
      <t xml:space="preserve">MT. EMBER
</t>
    </r>
    <r>
      <rPr>
        <rFont val="IBM Plex Sans Condensed"/>
        <b/>
        <color rgb="FF000000"/>
        <sz val="13.0"/>
      </rPr>
      <t>ARCHER</t>
    </r>
  </si>
  <si>
    <t>Latias-Mega</t>
  </si>
  <si>
    <t>Mismagius</t>
  </si>
  <si>
    <t>Heatran</t>
  </si>
  <si>
    <t>Pressure
or Rock Head</t>
  </si>
  <si>
    <t>Levitate (Both)</t>
  </si>
  <si>
    <r>
      <rPr>
        <rFont val="IBM Plex Sans Condensed"/>
        <color theme="1"/>
        <sz val="11.0"/>
      </rPr>
      <t xml:space="preserve">Flash Fire
</t>
    </r>
    <r>
      <rPr>
        <rFont val="IBM Plex Sans Condensed"/>
        <b/>
        <color theme="1"/>
        <sz val="11.0"/>
      </rPr>
      <t>Solar Power</t>
    </r>
  </si>
  <si>
    <t>Flash Fire</t>
  </si>
  <si>
    <t>Latiasite</t>
  </si>
  <si>
    <r>
      <rPr>
        <rFont val="IBM Plex Sans Condensed"/>
        <b/>
        <color theme="1"/>
        <sz val="13.0"/>
        <u/>
      </rPr>
      <t xml:space="preserve">BATTLE EFFECT: </t>
    </r>
    <r>
      <rPr>
        <rFont val="IBM Plex Sans Condensed"/>
        <b/>
        <color rgb="FFEA4335"/>
        <sz val="13.0"/>
        <u/>
      </rPr>
      <t>INVERSE BATTLE</t>
    </r>
  </si>
  <si>
    <t>(INVERSE TYPE CHART CLICK HERE)</t>
  </si>
  <si>
    <r>
      <rPr>
        <rFont val="IBM Plex Sans Condensed"/>
        <color theme="1"/>
        <sz val="13.0"/>
      </rPr>
      <t xml:space="preserve">TWO ISLAND
</t>
    </r>
    <r>
      <rPr>
        <rFont val="IBM Plex Sans Condensed"/>
        <b/>
        <color theme="1"/>
        <sz val="13.0"/>
      </rPr>
      <t>WHITNEY</t>
    </r>
  </si>
  <si>
    <t>Zangoose</t>
  </si>
  <si>
    <t>Kasib Berry</t>
  </si>
  <si>
    <t>Milk Drink</t>
  </si>
  <si>
    <r>
      <rPr>
        <rFont val="IBM Plex Sans Condensed"/>
        <color rgb="FF000000"/>
        <sz val="13.0"/>
      </rPr>
      <t>JOYFUL
GAME CORNER</t>
    </r>
    <r>
      <rPr>
        <rFont val="IBM Plex Sans Condensed"/>
        <b/>
        <color rgb="FF000000"/>
        <sz val="13.0"/>
      </rPr>
      <t xml:space="preserve">
</t>
    </r>
    <r>
      <rPr>
        <rFont val="IBM Plex Sans Condensed"/>
        <color rgb="FF000000"/>
        <sz val="13.0"/>
      </rPr>
      <t>ACE TRAINER</t>
    </r>
    <r>
      <rPr>
        <rFont val="IBM Plex Sans Condensed"/>
        <b/>
        <color rgb="FF000000"/>
        <sz val="13.0"/>
      </rPr>
      <t xml:space="preserve">
ANDREW</t>
    </r>
  </si>
  <si>
    <r>
      <rPr>
        <rFont val="IBM Plex Sans Condensed"/>
        <color theme="1"/>
        <sz val="11.0"/>
      </rPr>
      <t xml:space="preserve">Overgrow
</t>
    </r>
    <r>
      <rPr>
        <rFont val="IBM Plex Sans Condensed"/>
        <b/>
        <color theme="1"/>
        <sz val="11.0"/>
      </rPr>
      <t>Technician</t>
    </r>
  </si>
  <si>
    <r>
      <rPr>
        <rFont val="IBM Plex Sans Condensed"/>
        <color theme="1"/>
        <sz val="11.0"/>
      </rPr>
      <t xml:space="preserve">Striker
</t>
    </r>
    <r>
      <rPr>
        <rFont val="IBM Plex Sans Condensed"/>
        <b/>
        <color theme="1"/>
        <sz val="11.0"/>
      </rPr>
      <t>Speed Boost</t>
    </r>
  </si>
  <si>
    <t>Hydro Cannon</t>
  </si>
  <si>
    <r>
      <rPr>
        <rFont val="IBM Plex Sans Condensed"/>
        <color rgb="FF000000"/>
        <sz val="13.0"/>
      </rPr>
      <t>CAPE BRINK
CHANNELER</t>
    </r>
    <r>
      <rPr>
        <rFont val="IBM Plex Sans Condensed"/>
        <b/>
        <color rgb="FF000000"/>
        <sz val="13.0"/>
      </rPr>
      <t xml:space="preserve">
RACHEL</t>
    </r>
  </si>
  <si>
    <t>Grimmsnarl</t>
  </si>
  <si>
    <t>Moltres-G</t>
  </si>
  <si>
    <t>Berserk</t>
  </si>
  <si>
    <r>
      <rPr>
        <rFont val="IBM Plex Sans Condensed"/>
        <color theme="1"/>
        <sz val="11.0"/>
      </rPr>
      <t xml:space="preserve">Super Luck
</t>
    </r>
    <r>
      <rPr>
        <rFont val="IBM Plex Sans Condensed"/>
        <b/>
        <color theme="1"/>
        <sz val="11.0"/>
      </rPr>
      <t>Sharpness</t>
    </r>
  </si>
  <si>
    <t>Agility</t>
  </si>
  <si>
    <t>Light Screen</t>
  </si>
  <si>
    <r>
      <rPr>
        <rFont val="IBM Plex Sans Condensed"/>
        <color rgb="FF000000"/>
        <sz val="13.0"/>
      </rPr>
      <t xml:space="preserve">THREE ISLAND
</t>
    </r>
    <r>
      <rPr>
        <rFont val="IBM Plex Sans Condensed"/>
        <b/>
        <color rgb="FF000000"/>
        <sz val="13.0"/>
      </rPr>
      <t>GOON 1</t>
    </r>
  </si>
  <si>
    <t>Dark Gem</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</si>
  <si>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</si>
  <si>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 xml:space="preserve">THREE ISLAND
</t>
    </r>
    <r>
      <rPr>
        <rFont val="IBM Plex Sans Condensed"/>
        <b/>
        <color rgb="FF000000"/>
        <sz val="13.0"/>
      </rPr>
      <t>GOON 2</t>
    </r>
  </si>
  <si>
    <t>Groundium Z</t>
  </si>
  <si>
    <t>Rock Gem</t>
  </si>
  <si>
    <r>
      <rPr>
        <rFont val="IBM Plex Sans Condensed"/>
        <color rgb="FF000000"/>
        <sz val="13.0"/>
      </rPr>
      <t xml:space="preserve">THREE ISLAND
</t>
    </r>
    <r>
      <rPr>
        <rFont val="IBM Plex Sans Condensed"/>
        <b/>
        <color rgb="FF000000"/>
        <sz val="13.0"/>
      </rPr>
      <t>GOON 3</t>
    </r>
  </si>
  <si>
    <t>Avalugg-H</t>
  </si>
  <si>
    <r>
      <rPr>
        <rFont val="IBM Plex Sans Condensed"/>
        <color theme="1"/>
        <sz val="11.0"/>
      </rPr>
      <t xml:space="preserve">Speed Boost
</t>
    </r>
    <r>
      <rPr>
        <rFont val="IBM Plex Sans Condensed"/>
        <b/>
        <color theme="1"/>
        <sz val="11.0"/>
      </rPr>
      <t>Strong Jaw</t>
    </r>
  </si>
  <si>
    <r>
      <rPr>
        <rFont val="IBM Plex Sans Condensed"/>
        <color rgb="FF000000"/>
        <sz val="13.0"/>
      </rPr>
      <t xml:space="preserve">THREE ISLAND
</t>
    </r>
    <r>
      <rPr>
        <rFont val="IBM Plex Sans Condensed"/>
        <b/>
        <color rgb="FF000000"/>
        <sz val="13.0"/>
      </rPr>
      <t>GANG BOSS</t>
    </r>
  </si>
  <si>
    <t>Centiskorch-MegaS</t>
  </si>
  <si>
    <r>
      <rPr>
        <rFont val="IBM Plex Sans Condensed"/>
        <color theme="1"/>
        <sz val="11.0"/>
      </rPr>
      <t xml:space="preserve">White Smoke
</t>
    </r>
    <r>
      <rPr>
        <rFont val="IBM Plex Sans Condensed"/>
        <b/>
        <color theme="1"/>
        <sz val="11.0"/>
      </rPr>
      <t>Sand Force</t>
    </r>
  </si>
  <si>
    <r>
      <rPr>
        <rFont val="IBM Plex Sans Condensed"/>
        <b/>
        <color rgb="FF000000"/>
        <sz val="13.0"/>
      </rPr>
      <t>BATTLE EFFECT:</t>
    </r>
    <r>
      <rPr>
        <rFont val="IBM Plex Sans Condensed"/>
        <b/>
        <color rgb="FFEA4335"/>
        <sz val="13.0"/>
      </rPr>
      <t xml:space="preserve"> DOUBLES</t>
    </r>
  </si>
  <si>
    <r>
      <rPr>
        <rFont val="IBM Plex Sans Condensed"/>
        <color rgb="FF000000"/>
        <sz val="13.0"/>
      </rPr>
      <t>BOND BRIDGE
TWINS</t>
    </r>
    <r>
      <rPr>
        <rFont val="IBM Plex Sans Condensed"/>
        <b/>
        <color rgb="FF000000"/>
        <sz val="13.0"/>
      </rPr>
      <t xml:space="preserve">
JOY &amp; MEG</t>
    </r>
  </si>
  <si>
    <t>Volbeat</t>
  </si>
  <si>
    <t>Illumise</t>
  </si>
  <si>
    <t>Minun</t>
  </si>
  <si>
    <t>Galvanize</t>
  </si>
  <si>
    <t>Transistor</t>
  </si>
  <si>
    <t>Electrium Z</t>
  </si>
  <si>
    <t>Lunge</t>
  </si>
  <si>
    <t>Tail Glow</t>
  </si>
  <si>
    <r>
      <rPr>
        <rFont val="IBM Plex Sans Condensed"/>
        <color rgb="FF000000"/>
        <sz val="13.0"/>
      </rPr>
      <t>BOND BRIDGE
AROMA LADY</t>
    </r>
    <r>
      <rPr>
        <rFont val="IBM Plex Sans Condensed"/>
        <b/>
        <color rgb="FF000000"/>
        <sz val="13.0"/>
      </rPr>
      <t xml:space="preserve">
VIOLET</t>
    </r>
  </si>
  <si>
    <r>
      <rPr>
        <rFont val="IBM Plex Sans Condensed"/>
        <color theme="1"/>
        <sz val="11.0"/>
      </rPr>
      <t xml:space="preserve">Gluttony
</t>
    </r>
    <r>
      <rPr>
        <rFont val="IBM Plex Sans Condensed"/>
        <b/>
        <color theme="1"/>
        <sz val="11.0"/>
      </rPr>
      <t>Dragon's Maw</t>
    </r>
  </si>
  <si>
    <r>
      <rPr>
        <rFont val="IBM Plex Sans Condensed"/>
        <color rgb="FF000000"/>
        <sz val="13.0"/>
      </rPr>
      <t>BOND BRIDGE
TUBER</t>
    </r>
    <r>
      <rPr>
        <rFont val="IBM Plex Sans Condensed"/>
        <b/>
        <color rgb="FF000000"/>
        <sz val="13.0"/>
      </rPr>
      <t xml:space="preserve">
ALEXIS</t>
    </r>
  </si>
  <si>
    <t>Carracosta</t>
  </si>
  <si>
    <t>Kingler</t>
  </si>
  <si>
    <t>Lanturn</t>
  </si>
  <si>
    <t>Hydreigon</t>
  </si>
  <si>
    <r>
      <rPr>
        <rFont val="IBM Plex Sans Condensed"/>
        <color theme="1"/>
        <sz val="11.0"/>
      </rPr>
      <t xml:space="preserve">Regenerator
</t>
    </r>
    <r>
      <rPr>
        <rFont val="IBM Plex Sans Condensed"/>
        <b/>
        <color theme="1"/>
        <sz val="11.0"/>
      </rPr>
      <t>Shell Armor</t>
    </r>
  </si>
  <si>
    <t>Salac Berry</t>
  </si>
  <si>
    <t>Iron Defense</t>
  </si>
  <si>
    <t>SALAC:</t>
  </si>
  <si>
    <r>
      <rPr>
        <rFont val="IBM Plex Sans Condensed"/>
        <color rgb="FF000000"/>
        <sz val="13.0"/>
      </rPr>
      <t>BOND BRIDGE
SWIMMER</t>
    </r>
    <r>
      <rPr>
        <rFont val="IBM Plex Sans Condensed"/>
        <b/>
        <color rgb="FF000000"/>
        <sz val="13.0"/>
      </rPr>
      <t xml:space="preserve">
TISHA</t>
    </r>
  </si>
  <si>
    <t>Golduck</t>
  </si>
  <si>
    <t>Vaporeon</t>
  </si>
  <si>
    <t>Hydration</t>
  </si>
  <si>
    <t>Psychium Z</t>
  </si>
  <si>
    <t>Ice Gem</t>
  </si>
  <si>
    <t>Synchronoise</t>
  </si>
  <si>
    <r>
      <rPr>
        <rFont val="IBM Plex Sans Condensed"/>
        <color rgb="FF000000"/>
        <sz val="13.0"/>
      </rPr>
      <t>BOND BRIDGE
TUBER</t>
    </r>
    <r>
      <rPr>
        <rFont val="IBM Plex Sans Condensed"/>
        <b/>
        <color rgb="FF000000"/>
        <sz val="13.0"/>
      </rPr>
      <t xml:space="preserve">
AMIRA</t>
    </r>
  </si>
  <si>
    <t>Palossand</t>
  </si>
  <si>
    <t>Water Compaction</t>
  </si>
  <si>
    <t>Poisonium Z</t>
  </si>
  <si>
    <t>Shore Up</t>
  </si>
  <si>
    <r>
      <rPr>
        <rFont val="IBM Plex Sans Condensed"/>
        <color rgb="FF000000"/>
        <sz val="13.0"/>
      </rPr>
      <t>BOND BRIDGE
AROMA LADY</t>
    </r>
    <r>
      <rPr>
        <rFont val="IBM Plex Sans Condensed"/>
        <b/>
        <color rgb="FF000000"/>
        <sz val="13.0"/>
      </rPr>
      <t xml:space="preserve">
NIKKI</t>
    </r>
  </si>
  <si>
    <t>Sableye-Mega</t>
  </si>
  <si>
    <t>Blissey</t>
  </si>
  <si>
    <t>Reuniclus</t>
  </si>
  <si>
    <r>
      <rPr>
        <rFont val="IBM Plex Sans Condensed"/>
        <color theme="1"/>
        <sz val="11.0"/>
      </rPr>
      <t xml:space="preserve">Prankster
</t>
    </r>
    <r>
      <rPr>
        <rFont val="IBM Plex Sans Condensed"/>
        <b/>
        <color theme="1"/>
        <sz val="11.0"/>
      </rPr>
      <t>Magic Bounce</t>
    </r>
  </si>
  <si>
    <t>Sablenite</t>
  </si>
  <si>
    <t>Future Sight</t>
  </si>
  <si>
    <t>Soft-Boiled</t>
  </si>
  <si>
    <r>
      <rPr>
        <rFont val="IBM Plex Sans Condensed"/>
        <color rgb="FF000000"/>
        <sz val="13.0"/>
      </rPr>
      <t>BERRY FOREST
GAUNTLET 1</t>
    </r>
    <r>
      <rPr>
        <rFont val="IBM Plex Sans Condensed"/>
        <b/>
        <color rgb="FF000000"/>
        <sz val="13.0"/>
      </rPr>
      <t xml:space="preserve">
</t>
    </r>
    <r>
      <rPr>
        <rFont val="IBM Plex Sans Condensed"/>
        <color rgb="FF000000"/>
        <sz val="13.0"/>
      </rPr>
      <t>ACE TRAINER</t>
    </r>
    <r>
      <rPr>
        <rFont val="IBM Plex Sans Condensed"/>
        <b/>
        <color rgb="FF000000"/>
        <sz val="13.0"/>
      </rPr>
      <t xml:space="preserve">
BARRY</t>
    </r>
  </si>
  <si>
    <t>Landorus-T</t>
  </si>
  <si>
    <t>Corviknight</t>
  </si>
  <si>
    <t>Alakazam</t>
  </si>
  <si>
    <t>Latias</t>
  </si>
  <si>
    <t>Soundproof</t>
  </si>
  <si>
    <t>Kommonium Z</t>
  </si>
  <si>
    <t>Clanging Scales</t>
  </si>
  <si>
    <t>Power Trip</t>
  </si>
  <si>
    <t>SOULBLAZE:</t>
  </si>
  <si>
    <r>
      <rPr>
        <rFont val="IBM Plex Sans Condensed"/>
        <color rgb="FF000000"/>
        <sz val="13.0"/>
      </rPr>
      <t>BERRY FOREST
GAUNTLET 2</t>
    </r>
    <r>
      <rPr>
        <rFont val="IBM Plex Sans Condensed"/>
        <b/>
        <color rgb="FF000000"/>
        <sz val="13.0"/>
      </rPr>
      <t xml:space="preserve">
</t>
    </r>
    <r>
      <rPr>
        <rFont val="IBM Plex Sans Condensed"/>
        <color rgb="FF000000"/>
        <sz val="13.0"/>
      </rPr>
      <t>ACE TRAINER</t>
    </r>
    <r>
      <rPr>
        <rFont val="IBM Plex Sans Condensed"/>
        <b/>
        <color rgb="FF000000"/>
        <sz val="13.0"/>
      </rPr>
      <t xml:space="preserve">
SHARON</t>
    </r>
  </si>
  <si>
    <t>Serperior</t>
  </si>
  <si>
    <r>
      <rPr>
        <rFont val="IBM Plex Sans Condensed"/>
        <color theme="1"/>
        <sz val="11.0"/>
      </rPr>
      <t xml:space="preserve">Super Luck
</t>
    </r>
    <r>
      <rPr>
        <rFont val="IBM Plex Sans Condensed"/>
        <b/>
        <color theme="1"/>
        <sz val="11.0"/>
      </rPr>
      <t>Sharpness</t>
    </r>
  </si>
  <si>
    <r>
      <rPr>
        <rFont val="IBM Plex Sans Condensed"/>
        <color rgb="FF000000"/>
        <sz val="13.0"/>
      </rPr>
      <t>BERRY FOREST
GAUNTLET 3</t>
    </r>
    <r>
      <rPr>
        <rFont val="IBM Plex Sans Condensed"/>
        <b/>
        <color rgb="FF000000"/>
        <sz val="13.0"/>
      </rPr>
      <t xml:space="preserve">
</t>
    </r>
    <r>
      <rPr>
        <rFont val="IBM Plex Sans Condensed"/>
        <color rgb="FF000000"/>
        <sz val="13.0"/>
      </rPr>
      <t>ACE TRAINER</t>
    </r>
    <r>
      <rPr>
        <rFont val="IBM Plex Sans Condensed"/>
        <b/>
        <color rgb="FF000000"/>
        <sz val="13.0"/>
      </rPr>
      <t xml:space="preserve">
NICK</t>
    </r>
  </si>
  <si>
    <r>
      <rPr>
        <rFont val="IBM Plex Sans Condensed"/>
        <color theme="1"/>
        <sz val="11.0"/>
      </rPr>
      <t xml:space="preserve">Sand Veil
</t>
    </r>
    <r>
      <rPr>
        <rFont val="IBM Plex Sans Condensed"/>
        <b/>
        <color theme="1"/>
        <sz val="11.0"/>
      </rPr>
      <t>Sand Force</t>
    </r>
  </si>
  <si>
    <t>Magma Storm</t>
  </si>
  <si>
    <t>Frost Breath</t>
  </si>
  <si>
    <r>
      <rPr>
        <rFont val="IBM Plex Sans Condensed"/>
        <color rgb="FF000000"/>
        <sz val="13.0"/>
      </rPr>
      <t>BERRY FOREST
GAUNTLET 4</t>
    </r>
    <r>
      <rPr>
        <rFont val="IBM Plex Sans Condensed"/>
        <b/>
        <color rgb="FF000000"/>
        <sz val="13.0"/>
      </rPr>
      <t xml:space="preserve">
</t>
    </r>
    <r>
      <rPr>
        <rFont val="IBM Plex Sans Condensed"/>
        <color rgb="FF000000"/>
        <sz val="13.0"/>
      </rPr>
      <t>ACE TRAINER</t>
    </r>
    <r>
      <rPr>
        <rFont val="IBM Plex Sans Condensed"/>
        <b/>
        <color rgb="FF000000"/>
        <sz val="13.0"/>
      </rPr>
      <t xml:space="preserve">
JANNY</t>
    </r>
  </si>
  <si>
    <t>Seismitoad</t>
  </si>
  <si>
    <t>Articuno-G</t>
  </si>
  <si>
    <t>Raikou</t>
  </si>
  <si>
    <t>Freezing Glare</t>
  </si>
  <si>
    <r>
      <rPr>
        <rFont val="IBM Plex Sans Condensed"/>
        <b/>
        <color rgb="FF000000"/>
        <sz val="13.0"/>
        <u/>
      </rPr>
      <t>BATTLE EFFECT:</t>
    </r>
    <r>
      <rPr>
        <rFont val="IBM Plex Sans Condensed"/>
        <b/>
        <color rgb="FFEA4335"/>
        <sz val="13.0"/>
        <u/>
      </rPr>
      <t xml:space="preserve"> OMNI-BOOSTED</t>
    </r>
  </si>
  <si>
    <r>
      <rPr>
        <rFont val="IBM Plex Sans Condensed"/>
        <color rgb="FF000000"/>
        <sz val="13.0"/>
      </rPr>
      <t xml:space="preserve">BERRY FOREST
</t>
    </r>
    <r>
      <rPr>
        <rFont val="IBM Plex Sans Condensed"/>
        <b/>
        <color rgb="FF000000"/>
        <sz val="13.0"/>
      </rPr>
      <t>SPIRIT</t>
    </r>
  </si>
  <si>
    <t>Random</t>
  </si>
  <si>
    <t>Cosmic Power</t>
  </si>
  <si>
    <t>Me First</t>
  </si>
  <si>
    <t>388, 354 or 318</t>
  </si>
  <si>
    <r>
      <rPr>
        <rFont val="IBM Plex Sans Condensed"/>
        <color rgb="FF000000"/>
        <sz val="13.0"/>
      </rPr>
      <t>BERRY FOREST
FINAL BATTLE</t>
    </r>
    <r>
      <rPr>
        <rFont val="IBM Plex Sans Condensed"/>
        <b/>
        <color rgb="FF000000"/>
        <sz val="13.0"/>
      </rPr>
      <t xml:space="preserve">
</t>
    </r>
    <r>
      <rPr>
        <rFont val="IBM Plex Sans Condensed"/>
        <color rgb="FF000000"/>
        <sz val="13.0"/>
      </rPr>
      <t>GATEKEEPER</t>
    </r>
    <r>
      <rPr>
        <rFont val="IBM Plex Sans Condensed"/>
        <b/>
        <color rgb="FF000000"/>
        <sz val="13.0"/>
      </rPr>
      <t xml:space="preserve">
OWEN</t>
    </r>
  </si>
  <si>
    <t>Meloetta-Pirouette</t>
  </si>
  <si>
    <t>Giratina-O</t>
  </si>
  <si>
    <t>Enamorus-T</t>
  </si>
  <si>
    <r>
      <rPr>
        <rFont val="IBM Plex Sans Condensed"/>
        <color theme="1"/>
        <sz val="11.0"/>
      </rPr>
      <t xml:space="preserve">Hyper Cutter
</t>
    </r>
    <r>
      <rPr>
        <rFont val="IBM Plex Sans Condensed"/>
        <b/>
        <color theme="1"/>
        <sz val="11.0"/>
      </rPr>
      <t>Tough Claws</t>
    </r>
  </si>
  <si>
    <t>Mewnium Z</t>
  </si>
  <si>
    <t>Griseous Orb</t>
  </si>
  <si>
    <t>KANTO</t>
  </si>
  <si>
    <t>TYPES</t>
  </si>
  <si>
    <t>BULBASAUR</t>
  </si>
  <si>
    <t>Grass</t>
  </si>
  <si>
    <t>Poison</t>
  </si>
  <si>
    <t>normal</t>
  </si>
  <si>
    <t>IVYSAUR</t>
  </si>
  <si>
    <t>fighting</t>
  </si>
  <si>
    <t>VENUSAUR</t>
  </si>
  <si>
    <t>flying</t>
  </si>
  <si>
    <t>VENUSAUR_MEGA</t>
  </si>
  <si>
    <t>poison</t>
  </si>
  <si>
    <t>CHARMANDER</t>
  </si>
  <si>
    <t>Fire</t>
  </si>
  <si>
    <t>ground</t>
  </si>
  <si>
    <t>CHARMELEON</t>
  </si>
  <si>
    <t>rock</t>
  </si>
  <si>
    <t>CHARIZARD</t>
  </si>
  <si>
    <t>Flying</t>
  </si>
  <si>
    <t>bug</t>
  </si>
  <si>
    <t>CHARIZARD_MEGA_X</t>
  </si>
  <si>
    <t>Dragon</t>
  </si>
  <si>
    <t>ghost</t>
  </si>
  <si>
    <t>CHARIZARD_MEGA_Y</t>
  </si>
  <si>
    <t>steel</t>
  </si>
  <si>
    <t>SQUIRTLE</t>
  </si>
  <si>
    <t>Water</t>
  </si>
  <si>
    <t>fire</t>
  </si>
  <si>
    <t>WARTORTLE</t>
  </si>
  <si>
    <t>water</t>
  </si>
  <si>
    <t>Blastoise</t>
  </si>
  <si>
    <t>BLASTOISE</t>
  </si>
  <si>
    <t>grass</t>
  </si>
  <si>
    <t>BLASTOISE_MEGA</t>
  </si>
  <si>
    <t>electric</t>
  </si>
  <si>
    <t>Caterpie</t>
  </si>
  <si>
    <t>CATERPIE</t>
  </si>
  <si>
    <t>Bug</t>
  </si>
  <si>
    <t>psychic</t>
  </si>
  <si>
    <t>Metapod</t>
  </si>
  <si>
    <t>METAPOD</t>
  </si>
  <si>
    <t>ice</t>
  </si>
  <si>
    <t>BUTTERFREE</t>
  </si>
  <si>
    <t>dragon</t>
  </si>
  <si>
    <t>BUTTERFREE_GIGA</t>
  </si>
  <si>
    <t>dark</t>
  </si>
  <si>
    <t>Weedle</t>
  </si>
  <si>
    <t>WEEDLE</t>
  </si>
  <si>
    <t>fairy</t>
  </si>
  <si>
    <t>Kakuna</t>
  </si>
  <si>
    <t>KAKUNA</t>
  </si>
  <si>
    <t>Beedrill</t>
  </si>
  <si>
    <t>BEEDRILL</t>
  </si>
  <si>
    <t>BEEDRILL_MEGA</t>
  </si>
  <si>
    <t>Pidgey</t>
  </si>
  <si>
    <t>PIDGEY</t>
  </si>
  <si>
    <t>Normal</t>
  </si>
  <si>
    <t>Pidgeotto</t>
  </si>
  <si>
    <t>PIDGEOTTO</t>
  </si>
  <si>
    <t>Pidgeot</t>
  </si>
  <si>
    <t>PIDGEOT</t>
  </si>
  <si>
    <t>PIDGEOT_MEGA</t>
  </si>
  <si>
    <t>Rattata</t>
  </si>
  <si>
    <t>RATTATA</t>
  </si>
  <si>
    <t>Rattata-A</t>
  </si>
  <si>
    <t>RATTATA_A</t>
  </si>
  <si>
    <t>Dark</t>
  </si>
  <si>
    <t>Raticate</t>
  </si>
  <si>
    <t>RATICATE</t>
  </si>
  <si>
    <t>Raticate-A</t>
  </si>
  <si>
    <t>RATICATE_A</t>
  </si>
  <si>
    <t>Spearow</t>
  </si>
  <si>
    <t>SPEAROW</t>
  </si>
  <si>
    <t>Fearow</t>
  </si>
  <si>
    <t>FEAROW</t>
  </si>
  <si>
    <t>Ekans</t>
  </si>
  <si>
    <t>EKANS</t>
  </si>
  <si>
    <t>Arbok</t>
  </si>
  <si>
    <t>ARBOK</t>
  </si>
  <si>
    <t>Pikachu</t>
  </si>
  <si>
    <t>PIKACHU</t>
  </si>
  <si>
    <t>Electric</t>
  </si>
  <si>
    <t>Pikachu-Rockstar</t>
  </si>
  <si>
    <t>PIKACHU_ROCK_STAR</t>
  </si>
  <si>
    <t>Steel</t>
  </si>
  <si>
    <t>Pikachu-Belle</t>
  </si>
  <si>
    <t>PIKACHU_BELLE</t>
  </si>
  <si>
    <t>Ice</t>
  </si>
  <si>
    <t>Pikachu-Popstar</t>
  </si>
  <si>
    <t>PIKACHU_POP_STAR</t>
  </si>
  <si>
    <t>Fairy</t>
  </si>
  <si>
    <t>Pikachu-Phd</t>
  </si>
  <si>
    <t>PIKACHU_PHD</t>
  </si>
  <si>
    <t>PIKACHU_LIBRE</t>
  </si>
  <si>
    <t>Fighting</t>
  </si>
  <si>
    <t>PIKACHU_FLYING</t>
  </si>
  <si>
    <t>PIKACHU_SURFING</t>
  </si>
  <si>
    <t>Raichu</t>
  </si>
  <si>
    <t>RAICHU</t>
  </si>
  <si>
    <t>Raichu-A</t>
  </si>
  <si>
    <t>RAICHU_A</t>
  </si>
  <si>
    <t>Sandshrew</t>
  </si>
  <si>
    <t>SANDSHREW</t>
  </si>
  <si>
    <t>Ground</t>
  </si>
  <si>
    <t>Sandshrew-A</t>
  </si>
  <si>
    <t>SANDSHREW_A</t>
  </si>
  <si>
    <t>Sandslash</t>
  </si>
  <si>
    <t>SANDSLASH</t>
  </si>
  <si>
    <t>SANDSLASH_A</t>
  </si>
  <si>
    <t>Nidoran-F</t>
  </si>
  <si>
    <t>NIDORAN_F</t>
  </si>
  <si>
    <t>Nidorina</t>
  </si>
  <si>
    <t>NIDORINA</t>
  </si>
  <si>
    <t>NIDOQUEEN</t>
  </si>
  <si>
    <t>Nidoran-M</t>
  </si>
  <si>
    <t>NIDORAN_M</t>
  </si>
  <si>
    <t>Nidorino</t>
  </si>
  <si>
    <t>NIDORINO</t>
  </si>
  <si>
    <t>NIDOKING</t>
  </si>
  <si>
    <t>CLEFAIRY</t>
  </si>
  <si>
    <t>CLEFABLE</t>
  </si>
  <si>
    <t>Vulpix</t>
  </si>
  <si>
    <t>VULPIX</t>
  </si>
  <si>
    <t>Vulpix-A</t>
  </si>
  <si>
    <t>VULPIX_A</t>
  </si>
  <si>
    <t>Ninetales</t>
  </si>
  <si>
    <t>NINETALES</t>
  </si>
  <si>
    <t>NINETALES_A</t>
  </si>
  <si>
    <t>JIGGLYPUFF</t>
  </si>
  <si>
    <t>WIGGLYTUFF</t>
  </si>
  <si>
    <t>Zubat</t>
  </si>
  <si>
    <t>ZUBAT</t>
  </si>
  <si>
    <t>GOLBAT</t>
  </si>
  <si>
    <t>Oddish</t>
  </si>
  <si>
    <t>ODDISH</t>
  </si>
  <si>
    <t>Gloom</t>
  </si>
  <si>
    <t>GLOOM</t>
  </si>
  <si>
    <t>VILEPLUME</t>
  </si>
  <si>
    <t>Paras</t>
  </si>
  <si>
    <t>PARAS</t>
  </si>
  <si>
    <t>PARASECT</t>
  </si>
  <si>
    <t>Venonat</t>
  </si>
  <si>
    <t>VENONAT</t>
  </si>
  <si>
    <t>Venomoth</t>
  </si>
  <si>
    <t>VENOMOTH</t>
  </si>
  <si>
    <t>Diglett</t>
  </si>
  <si>
    <t>DIGLETT</t>
  </si>
  <si>
    <t>Diglett-A</t>
  </si>
  <si>
    <t>DIGLETT_A</t>
  </si>
  <si>
    <t>DUGTRIO</t>
  </si>
  <si>
    <t>DUGTRIO_A</t>
  </si>
  <si>
    <t>Meowth</t>
  </si>
  <si>
    <t>MEOWTH</t>
  </si>
  <si>
    <t>Meowth-A</t>
  </si>
  <si>
    <t>MEOWTH_A</t>
  </si>
  <si>
    <t>Meowth-G</t>
  </si>
  <si>
    <t>MEOWTH_G</t>
  </si>
  <si>
    <t>PERSIAN</t>
  </si>
  <si>
    <t>PERSIAN_A</t>
  </si>
  <si>
    <t>Psyduck</t>
  </si>
  <si>
    <t>PSYDUCK</t>
  </si>
  <si>
    <t>GOLDUCK</t>
  </si>
  <si>
    <t>Mankey</t>
  </si>
  <si>
    <t>MANKEY</t>
  </si>
  <si>
    <t>Primeape</t>
  </si>
  <si>
    <t>PRIMEAPE</t>
  </si>
  <si>
    <t>GROWLITHE</t>
  </si>
  <si>
    <t>Growlithe-H</t>
  </si>
  <si>
    <t>GROWLITHE_H</t>
  </si>
  <si>
    <t>Rock</t>
  </si>
  <si>
    <t>Arcanine</t>
  </si>
  <si>
    <t>ARCANINE</t>
  </si>
  <si>
    <t>ARCANINE_H</t>
  </si>
  <si>
    <t>Poliwag</t>
  </si>
  <si>
    <t>POLIWAG</t>
  </si>
  <si>
    <t>Poliwhirl</t>
  </si>
  <si>
    <t>POLIWHIRL</t>
  </si>
  <si>
    <t>Poliwrath</t>
  </si>
  <si>
    <t>POLIWRATH</t>
  </si>
  <si>
    <t>Abra</t>
  </si>
  <si>
    <t>ABRA</t>
  </si>
  <si>
    <t>Kadabra</t>
  </si>
  <si>
    <t>KADABRA</t>
  </si>
  <si>
    <t>ALAKAZAM</t>
  </si>
  <si>
    <t>ALAKAZAM_MEGA</t>
  </si>
  <si>
    <t>Machop</t>
  </si>
  <si>
    <t>MACHOP</t>
  </si>
  <si>
    <t>Machoke</t>
  </si>
  <si>
    <t>MACHOKE</t>
  </si>
  <si>
    <t>MACHAMP</t>
  </si>
  <si>
    <t>MACHAMP_GIGA</t>
  </si>
  <si>
    <t>Bellsprout</t>
  </si>
  <si>
    <t>BELLSPROUT</t>
  </si>
  <si>
    <t>Weepinbell</t>
  </si>
  <si>
    <t>WEEPINBELL</t>
  </si>
  <si>
    <t>Victreebel</t>
  </si>
  <si>
    <t>VICTREEBEL</t>
  </si>
  <si>
    <t>Tentacool</t>
  </si>
  <si>
    <t>TENTACOOL</t>
  </si>
  <si>
    <t>Tentacruel</t>
  </si>
  <si>
    <t>TENTACRUEL</t>
  </si>
  <si>
    <t>Geodude</t>
  </si>
  <si>
    <t>GEODUDE</t>
  </si>
  <si>
    <t>GEODUDE_A</t>
  </si>
  <si>
    <t>Graveler</t>
  </si>
  <si>
    <t>GRAVELER</t>
  </si>
  <si>
    <t>Graveler-A</t>
  </si>
  <si>
    <t>GRAVELER_A</t>
  </si>
  <si>
    <t>GOLEM</t>
  </si>
  <si>
    <t>Golem-A</t>
  </si>
  <si>
    <t>GOLEM_A</t>
  </si>
  <si>
    <t>Ponyta</t>
  </si>
  <si>
    <t>PONYTA</t>
  </si>
  <si>
    <t>Ponyta-G</t>
  </si>
  <si>
    <t>PONYTA_G</t>
  </si>
  <si>
    <t>RAPIDASH</t>
  </si>
  <si>
    <t>Rapidash-G</t>
  </si>
  <si>
    <t>RAPIDASH_G</t>
  </si>
  <si>
    <t>Slowpoke</t>
  </si>
  <si>
    <t>SLOWPOKE</t>
  </si>
  <si>
    <t>Slowpoke-G</t>
  </si>
  <si>
    <t>SLOWPOKE_G</t>
  </si>
  <si>
    <t>Slowbro</t>
  </si>
  <si>
    <t>SLOWBRO</t>
  </si>
  <si>
    <t>SLOWBRO_G</t>
  </si>
  <si>
    <t>SLOWBRO_MEGA</t>
  </si>
  <si>
    <t>Magnemite</t>
  </si>
  <si>
    <t>MAGNEMITE</t>
  </si>
  <si>
    <t>Magneton</t>
  </si>
  <si>
    <t>MAGNETON</t>
  </si>
  <si>
    <t>FARFETCHD</t>
  </si>
  <si>
    <t>Farfetch'd-G</t>
  </si>
  <si>
    <t>FARFETCHD_G</t>
  </si>
  <si>
    <t>Doduo</t>
  </si>
  <si>
    <t>DODUO</t>
  </si>
  <si>
    <t>DODRIO</t>
  </si>
  <si>
    <t>Seel</t>
  </si>
  <si>
    <t>SEEL</t>
  </si>
  <si>
    <t>DEWGONG</t>
  </si>
  <si>
    <t>Grimer</t>
  </si>
  <si>
    <t>GRIMER</t>
  </si>
  <si>
    <t>Grimer-A</t>
  </si>
  <si>
    <t>GRIMER_A</t>
  </si>
  <si>
    <t>Muk</t>
  </si>
  <si>
    <t>MUK</t>
  </si>
  <si>
    <t>Muk-A</t>
  </si>
  <si>
    <t>MUK_A</t>
  </si>
  <si>
    <t>Shellder</t>
  </si>
  <si>
    <t>SHELLDER</t>
  </si>
  <si>
    <t>CLOYSTER</t>
  </si>
  <si>
    <t>Gastly</t>
  </si>
  <si>
    <t>GASTLY</t>
  </si>
  <si>
    <t>Ghost</t>
  </si>
  <si>
    <t>Haunter</t>
  </si>
  <si>
    <t>HAUNTER</t>
  </si>
  <si>
    <t>Gengar</t>
  </si>
  <si>
    <t>GENGAR</t>
  </si>
  <si>
    <t>GENGAR_MEGA</t>
  </si>
  <si>
    <t>ONIX</t>
  </si>
  <si>
    <t>Drowzee</t>
  </si>
  <si>
    <t>DROWZEE</t>
  </si>
  <si>
    <t>HYPNO</t>
  </si>
  <si>
    <t>Krabby</t>
  </si>
  <si>
    <t>KRABBY</t>
  </si>
  <si>
    <t>KINGLER</t>
  </si>
  <si>
    <t>KINGLER_GIGA</t>
  </si>
  <si>
    <t>Voltorb</t>
  </si>
  <si>
    <t>VOLTORB</t>
  </si>
  <si>
    <t>VOLTORB_H</t>
  </si>
  <si>
    <t>Electrode</t>
  </si>
  <si>
    <t>ELECTRODE</t>
  </si>
  <si>
    <t>ELECTRODE_H</t>
  </si>
  <si>
    <t>Exeggcute</t>
  </si>
  <si>
    <t>EXEGGCUTE</t>
  </si>
  <si>
    <t>EXEGGUTOR</t>
  </si>
  <si>
    <t>EXEGGUTOR_A</t>
  </si>
  <si>
    <t>Cubone</t>
  </si>
  <si>
    <t>CUBONE</t>
  </si>
  <si>
    <t>Marowak</t>
  </si>
  <si>
    <t>MAROWAK</t>
  </si>
  <si>
    <t>MAROWAK_A</t>
  </si>
  <si>
    <t>Hitmonlee</t>
  </si>
  <si>
    <t>HITMONLEE</t>
  </si>
  <si>
    <t>Hitmonchan</t>
  </si>
  <si>
    <t>HITMONCHAN</t>
  </si>
  <si>
    <t>Lickitung</t>
  </si>
  <si>
    <t>LICKITUNG</t>
  </si>
  <si>
    <t>Koffing</t>
  </si>
  <si>
    <t>KOFFING</t>
  </si>
  <si>
    <t>Weezing</t>
  </si>
  <si>
    <t>WEEZING</t>
  </si>
  <si>
    <t>WEEZING_G</t>
  </si>
  <si>
    <t>Rhyhorn</t>
  </si>
  <si>
    <t>RHYHORN</t>
  </si>
  <si>
    <t>Rhydon</t>
  </si>
  <si>
    <t>RHYDON</t>
  </si>
  <si>
    <t>CHANSEY</t>
  </si>
  <si>
    <t>Tangela</t>
  </si>
  <si>
    <t>TANGELA</t>
  </si>
  <si>
    <t>Kangaskhan</t>
  </si>
  <si>
    <t>KANGASKHAN</t>
  </si>
  <si>
    <t>KANGASKHAN_MEGA</t>
  </si>
  <si>
    <t>Horsea</t>
  </si>
  <si>
    <t>HORSEA</t>
  </si>
  <si>
    <t>Seadra</t>
  </si>
  <si>
    <t>SEADRA</t>
  </si>
  <si>
    <t>Goldeen</t>
  </si>
  <si>
    <t>GOLDEEN</t>
  </si>
  <si>
    <t>SEAKING</t>
  </si>
  <si>
    <t>Staryu</t>
  </si>
  <si>
    <t>STARYU</t>
  </si>
  <si>
    <t>STARMIE</t>
  </si>
  <si>
    <t>Mr. Mime</t>
  </si>
  <si>
    <t>MR_MIME</t>
  </si>
  <si>
    <t>Mr. Mime-G</t>
  </si>
  <si>
    <t>MR_MIME_G</t>
  </si>
  <si>
    <t>SCYTHER</t>
  </si>
  <si>
    <t>JYNX</t>
  </si>
  <si>
    <t>Electabuzz</t>
  </si>
  <si>
    <t>ELECTABUZZ</t>
  </si>
  <si>
    <t>Magmar</t>
  </si>
  <si>
    <t>MAGMAR</t>
  </si>
  <si>
    <t>Pinsir</t>
  </si>
  <si>
    <t>PINSIR</t>
  </si>
  <si>
    <t>PINSIR_MEGA</t>
  </si>
  <si>
    <t>TAUROS</t>
  </si>
  <si>
    <t>Tauros-P</t>
  </si>
  <si>
    <t>TAUROS_P</t>
  </si>
  <si>
    <t>Tauros-F</t>
  </si>
  <si>
    <t>TAUROS_F</t>
  </si>
  <si>
    <t>Tauros-W</t>
  </si>
  <si>
    <t>TAUROS_W</t>
  </si>
  <si>
    <t>Magikarp</t>
  </si>
  <si>
    <t>MAGIKARP</t>
  </si>
  <si>
    <t>GYARADOS</t>
  </si>
  <si>
    <t>GYARADOS_MEGA</t>
  </si>
  <si>
    <t>Lapras</t>
  </si>
  <si>
    <t>LAPRAS</t>
  </si>
  <si>
    <t>LAPRAS_GIGA</t>
  </si>
  <si>
    <t>DITTO</t>
  </si>
  <si>
    <t>Eevee</t>
  </si>
  <si>
    <t>EEVEE</t>
  </si>
  <si>
    <t>VAPOREON</t>
  </si>
  <si>
    <t>JOLTEON</t>
  </si>
  <si>
    <t>FLAREON</t>
  </si>
  <si>
    <t>Porygon</t>
  </si>
  <si>
    <t>PORYGON</t>
  </si>
  <si>
    <t>Omanyte</t>
  </si>
  <si>
    <t>OMANYTE</t>
  </si>
  <si>
    <t>OMASTAR</t>
  </si>
  <si>
    <t>Kabuto</t>
  </si>
  <si>
    <t>KABUTO</t>
  </si>
  <si>
    <t>Kabutops</t>
  </si>
  <si>
    <t>KABUTOPS</t>
  </si>
  <si>
    <t>AERODACTYL</t>
  </si>
  <si>
    <t>AERODACTYL_MEGA</t>
  </si>
  <si>
    <t>SNORLAX</t>
  </si>
  <si>
    <t>Snorlax-Mega</t>
  </si>
  <si>
    <t>SNORLAX_GIGA</t>
  </si>
  <si>
    <t>Articuno</t>
  </si>
  <si>
    <t>ARTICUNO</t>
  </si>
  <si>
    <t>ARTICUNO_G</t>
  </si>
  <si>
    <t>ZAPDOS</t>
  </si>
  <si>
    <t>ZAPDOS_G</t>
  </si>
  <si>
    <t>Moltres</t>
  </si>
  <si>
    <t>MOLTRES</t>
  </si>
  <si>
    <t>MOLTRES_G</t>
  </si>
  <si>
    <t>Dratini</t>
  </si>
  <si>
    <t>DRATINI</t>
  </si>
  <si>
    <t>Dragonair</t>
  </si>
  <si>
    <t>DRAGONAIR</t>
  </si>
  <si>
    <t>DRAGONITE</t>
  </si>
  <si>
    <t>Mewtwo</t>
  </si>
  <si>
    <t>MEWTWO</t>
  </si>
  <si>
    <t>MEWTWO_MEGA_X</t>
  </si>
  <si>
    <t>MEWTWO_MEGA_Y</t>
  </si>
  <si>
    <t>MEW</t>
  </si>
  <si>
    <t>JOHTO</t>
  </si>
  <si>
    <t>Chikorita</t>
  </si>
  <si>
    <t>CHIKORITA</t>
  </si>
  <si>
    <t>Bayleef</t>
  </si>
  <si>
    <t>BAYLEEF</t>
  </si>
  <si>
    <t>MEGANIUM</t>
  </si>
  <si>
    <t>Cyndaquil</t>
  </si>
  <si>
    <t>CYNDAQUIL</t>
  </si>
  <si>
    <t>Quilava</t>
  </si>
  <si>
    <t>QUILAVA</t>
  </si>
  <si>
    <t>TYPHLOSION</t>
  </si>
  <si>
    <t>Typhlosion-H</t>
  </si>
  <si>
    <t>TYPHLOSION_H</t>
  </si>
  <si>
    <t>Totodile</t>
  </si>
  <si>
    <t>TOTODILE</t>
  </si>
  <si>
    <t>Croconaw</t>
  </si>
  <si>
    <t>CROCONAW</t>
  </si>
  <si>
    <t>FERALIGATR</t>
  </si>
  <si>
    <t>Sentret</t>
  </si>
  <si>
    <t>SENTRET</t>
  </si>
  <si>
    <t>Furret</t>
  </si>
  <si>
    <t>FURRET</t>
  </si>
  <si>
    <t>Hoothoot</t>
  </si>
  <si>
    <t>HOOTHOOT</t>
  </si>
  <si>
    <t>Noctowl</t>
  </si>
  <si>
    <t>NOCTOWL</t>
  </si>
  <si>
    <t>Ledyba</t>
  </si>
  <si>
    <t>LEDYBA</t>
  </si>
  <si>
    <t>LEDIAN</t>
  </si>
  <si>
    <t>Spinarak</t>
  </si>
  <si>
    <t>SPINARAK</t>
  </si>
  <si>
    <t>Ariados</t>
  </si>
  <si>
    <t>ARIADOS</t>
  </si>
  <si>
    <t>CROBAT</t>
  </si>
  <si>
    <t>Chinchou</t>
  </si>
  <si>
    <t>CHINCHOU</t>
  </si>
  <si>
    <t>LANTURN</t>
  </si>
  <si>
    <t>Pichu</t>
  </si>
  <si>
    <t>PICHU</t>
  </si>
  <si>
    <t>Cleffa</t>
  </si>
  <si>
    <t>CLEFFA</t>
  </si>
  <si>
    <t>Igglybuff</t>
  </si>
  <si>
    <t>IGGLYBUFF</t>
  </si>
  <si>
    <t>Togepi</t>
  </si>
  <si>
    <t>TOGEPI</t>
  </si>
  <si>
    <t>TOGETIC</t>
  </si>
  <si>
    <t>Natu</t>
  </si>
  <si>
    <t>NATU</t>
  </si>
  <si>
    <t>Xatu</t>
  </si>
  <si>
    <t>XATU</t>
  </si>
  <si>
    <t>Mareep</t>
  </si>
  <si>
    <t>MAREEP</t>
  </si>
  <si>
    <t>Flaaffy</t>
  </si>
  <si>
    <t>FLAAFFY</t>
  </si>
  <si>
    <t>Ampharos</t>
  </si>
  <si>
    <t>AMPHAROS</t>
  </si>
  <si>
    <t>AMPHAROS_MEGA</t>
  </si>
  <si>
    <t>BELLOSSOM</t>
  </si>
  <si>
    <t>Marill</t>
  </si>
  <si>
    <t>MARILL</t>
  </si>
  <si>
    <t>AZUMARILL</t>
  </si>
  <si>
    <t>Sudowoodo</t>
  </si>
  <si>
    <t>SUDOWOODO</t>
  </si>
  <si>
    <t>POLITOED</t>
  </si>
  <si>
    <t>Hoppip</t>
  </si>
  <si>
    <t>HOPPIP</t>
  </si>
  <si>
    <t>Skiploom</t>
  </si>
  <si>
    <t>SKIPLOOM</t>
  </si>
  <si>
    <t>JUMPLUFF</t>
  </si>
  <si>
    <t>Aipom</t>
  </si>
  <si>
    <t>AIPOM</t>
  </si>
  <si>
    <t>Sunkern</t>
  </si>
  <si>
    <t>SUNKERN</t>
  </si>
  <si>
    <t>SUNFLORA</t>
  </si>
  <si>
    <t>Yanma</t>
  </si>
  <si>
    <t>YANMA</t>
  </si>
  <si>
    <t>Wooper</t>
  </si>
  <si>
    <t>WOOPER</t>
  </si>
  <si>
    <t>Wooper-P</t>
  </si>
  <si>
    <t>WOOPER_P</t>
  </si>
  <si>
    <t>Quagsire</t>
  </si>
  <si>
    <t>QUAGSIRE</t>
  </si>
  <si>
    <t>ESPEON</t>
  </si>
  <si>
    <t>Umbreon</t>
  </si>
  <si>
    <t>UMBREON</t>
  </si>
  <si>
    <t>Murkrow</t>
  </si>
  <si>
    <t>MURKROW</t>
  </si>
  <si>
    <t>Slowking</t>
  </si>
  <si>
    <t>SLOWKING</t>
  </si>
  <si>
    <t>Slowking-G</t>
  </si>
  <si>
    <t>SLOWKING_G</t>
  </si>
  <si>
    <t>MISDREAVUS</t>
  </si>
  <si>
    <t>Unown</t>
  </si>
  <si>
    <t>UNOWN</t>
  </si>
  <si>
    <t>Wobbuffet</t>
  </si>
  <si>
    <t>WOBBUFFET</t>
  </si>
  <si>
    <t>Girafarig</t>
  </si>
  <si>
    <t>GIRAFARIG</t>
  </si>
  <si>
    <t>Pineco</t>
  </si>
  <si>
    <t>PINECO</t>
  </si>
  <si>
    <t>FORRETRESS</t>
  </si>
  <si>
    <t>Dunsparce</t>
  </si>
  <si>
    <t>DUNSPARCE</t>
  </si>
  <si>
    <t>Gligar</t>
  </si>
  <si>
    <t>GLIGAR</t>
  </si>
  <si>
    <t>STEELIX</t>
  </si>
  <si>
    <t>Steelix-Mega</t>
  </si>
  <si>
    <t>STEELIX_MEGA</t>
  </si>
  <si>
    <t>Snubbull</t>
  </si>
  <si>
    <t>SNUBBULL</t>
  </si>
  <si>
    <t>GRANBULL</t>
  </si>
  <si>
    <t>Qwilfish</t>
  </si>
  <si>
    <t>QWILFISH</t>
  </si>
  <si>
    <t>QWILFISH_H</t>
  </si>
  <si>
    <t>SCIZOR</t>
  </si>
  <si>
    <t>SCIZOR_MEGA</t>
  </si>
  <si>
    <t>Shuckle</t>
  </si>
  <si>
    <t>SHUCKLE</t>
  </si>
  <si>
    <t>HERACROSS</t>
  </si>
  <si>
    <t>HERACROSS_MEGA</t>
  </si>
  <si>
    <t>Sneasel</t>
  </si>
  <si>
    <t>SNEASEL</t>
  </si>
  <si>
    <t>SNEASEL_H</t>
  </si>
  <si>
    <t>Teddiursa</t>
  </si>
  <si>
    <t>TEDDIURSA</t>
  </si>
  <si>
    <t>Ursaring</t>
  </si>
  <si>
    <t>URSARING</t>
  </si>
  <si>
    <t>Slugma</t>
  </si>
  <si>
    <t>SLUGMA</t>
  </si>
  <si>
    <t>MAGCARGO</t>
  </si>
  <si>
    <t>Swinub</t>
  </si>
  <si>
    <t>SWINUB</t>
  </si>
  <si>
    <t>PILOSWINE</t>
  </si>
  <si>
    <t>Corsola</t>
  </si>
  <si>
    <t>CORSOLA</t>
  </si>
  <si>
    <t>Corsola-G</t>
  </si>
  <si>
    <t>CORSOLA_G</t>
  </si>
  <si>
    <t>Remoraid</t>
  </si>
  <si>
    <t>REMORAID</t>
  </si>
  <si>
    <t>OCTILLERY</t>
  </si>
  <si>
    <t>Delibird</t>
  </si>
  <si>
    <t>DELIBIRD</t>
  </si>
  <si>
    <t>MANTINE</t>
  </si>
  <si>
    <t>Skarmory</t>
  </si>
  <si>
    <t>SKARMORY</t>
  </si>
  <si>
    <t>HOUNDOUR</t>
  </si>
  <si>
    <t>Houndoom</t>
  </si>
  <si>
    <t>HOUNDOOM</t>
  </si>
  <si>
    <t>HOUNDOOM_MEGA</t>
  </si>
  <si>
    <t>KINGDRA</t>
  </si>
  <si>
    <t>Phanpy</t>
  </si>
  <si>
    <t>PHANPY</t>
  </si>
  <si>
    <t>DONPHAN</t>
  </si>
  <si>
    <t>PORYGON2</t>
  </si>
  <si>
    <t>Stantler</t>
  </si>
  <si>
    <t>STANTLER</t>
  </si>
  <si>
    <t>SMEARGLE</t>
  </si>
  <si>
    <t>Tyrogue</t>
  </si>
  <si>
    <t>TYROGUE</t>
  </si>
  <si>
    <t>HITMONTOP</t>
  </si>
  <si>
    <t>Smoochum</t>
  </si>
  <si>
    <t>SMOOCHUM</t>
  </si>
  <si>
    <t>Elekid</t>
  </si>
  <si>
    <t>ELEKID</t>
  </si>
  <si>
    <t>Magby</t>
  </si>
  <si>
    <t>MAGBY</t>
  </si>
  <si>
    <t>MILTANK</t>
  </si>
  <si>
    <t>BLISSEY</t>
  </si>
  <si>
    <t>RAIKOU</t>
  </si>
  <si>
    <t>Entei</t>
  </si>
  <si>
    <t>ENTEI</t>
  </si>
  <si>
    <t>Suicune</t>
  </si>
  <si>
    <t>SUICUNE</t>
  </si>
  <si>
    <t>Larvitar</t>
  </si>
  <si>
    <t>LARVITAR</t>
  </si>
  <si>
    <t>Pupitar</t>
  </si>
  <si>
    <t>PUPITAR</t>
  </si>
  <si>
    <t>TYRANITAR</t>
  </si>
  <si>
    <t>Tyranitar-Mega</t>
  </si>
  <si>
    <t>TYRANITAR_MEGA</t>
  </si>
  <si>
    <t>Lugia</t>
  </si>
  <si>
    <t>LUGIA</t>
  </si>
  <si>
    <t>HO_OH</t>
  </si>
  <si>
    <t>CELEBI</t>
  </si>
  <si>
    <t>HOENN</t>
  </si>
  <si>
    <t>TREECKO</t>
  </si>
  <si>
    <t>GROVYLE</t>
  </si>
  <si>
    <t>Sceptile</t>
  </si>
  <si>
    <t>SCEPTILE</t>
  </si>
  <si>
    <t>SCEPTILE_MEGA</t>
  </si>
  <si>
    <t>Torchic</t>
  </si>
  <si>
    <t>TORCHIC</t>
  </si>
  <si>
    <t>Combusken</t>
  </si>
  <si>
    <t>COMBUSKEN</t>
  </si>
  <si>
    <t>Blaziken</t>
  </si>
  <si>
    <t>BLAZIKEN</t>
  </si>
  <si>
    <t>BLAZIKEN_MEGA</t>
  </si>
  <si>
    <t>Mudkip</t>
  </si>
  <si>
    <t>MUDKIP</t>
  </si>
  <si>
    <t>Marshtomp</t>
  </si>
  <si>
    <t>MARSHTOMP</t>
  </si>
  <si>
    <t>SWAMPERT</t>
  </si>
  <si>
    <t>SWAMPERT_MEGA</t>
  </si>
  <si>
    <t>Poochyena</t>
  </si>
  <si>
    <t>POOCHYENA</t>
  </si>
  <si>
    <t>MIGHTYENA</t>
  </si>
  <si>
    <t>Zigzagoon</t>
  </si>
  <si>
    <t>ZIGZAGOON</t>
  </si>
  <si>
    <t>Zigzagoon-G</t>
  </si>
  <si>
    <t>ZIGZAGOON_G</t>
  </si>
  <si>
    <t>Linoone</t>
  </si>
  <si>
    <t>LINOONE</t>
  </si>
  <si>
    <t>Linoone-G</t>
  </si>
  <si>
    <t>LINOONE_G</t>
  </si>
  <si>
    <t>Wurmple</t>
  </si>
  <si>
    <t>WURMPLE</t>
  </si>
  <si>
    <t>Silcoon</t>
  </si>
  <si>
    <t>SILCOON</t>
  </si>
  <si>
    <t>Beautifly</t>
  </si>
  <si>
    <t>BEAUTIFLY</t>
  </si>
  <si>
    <t>Cascoon</t>
  </si>
  <si>
    <t>CASCOON</t>
  </si>
  <si>
    <t>Dustox</t>
  </si>
  <si>
    <t>DUSTOX</t>
  </si>
  <si>
    <t>Lotad</t>
  </si>
  <si>
    <t>LOTAD</t>
  </si>
  <si>
    <t>Lombre</t>
  </si>
  <si>
    <t>LOMBRE</t>
  </si>
  <si>
    <t>Ludicolo</t>
  </si>
  <si>
    <t>LUDICOLO</t>
  </si>
  <si>
    <t>Seedot</t>
  </si>
  <si>
    <t>SEEDOT</t>
  </si>
  <si>
    <t>Nuzleaf</t>
  </si>
  <si>
    <t>NUZLEAF</t>
  </si>
  <si>
    <t>SHIFTRY</t>
  </si>
  <si>
    <t>Taillow</t>
  </si>
  <si>
    <t>TAILLOW</t>
  </si>
  <si>
    <t>SWELLOW</t>
  </si>
  <si>
    <t>Wingull</t>
  </si>
  <si>
    <t>WINGULL</t>
  </si>
  <si>
    <t>PELIPPER</t>
  </si>
  <si>
    <t>Ralts</t>
  </si>
  <si>
    <t>RALTS</t>
  </si>
  <si>
    <t>KIRLIA</t>
  </si>
  <si>
    <t>GARDEVOIR</t>
  </si>
  <si>
    <t>GARDEVOIR_MEGA</t>
  </si>
  <si>
    <t>Surskit</t>
  </si>
  <si>
    <t>SURSKIT</t>
  </si>
  <si>
    <t>MASQUERAIN</t>
  </si>
  <si>
    <t>Shroomish</t>
  </si>
  <si>
    <t>SHROOMISH</t>
  </si>
  <si>
    <t>BRELOOM</t>
  </si>
  <si>
    <t>Slakoth</t>
  </si>
  <si>
    <t>SLAKOTH</t>
  </si>
  <si>
    <t>Vigoroth</t>
  </si>
  <si>
    <t>VIGOROTH</t>
  </si>
  <si>
    <t>SLAKING</t>
  </si>
  <si>
    <t>Nincada</t>
  </si>
  <si>
    <t>NINCADA</t>
  </si>
  <si>
    <t>Ninjask</t>
  </si>
  <si>
    <t>NINJASK</t>
  </si>
  <si>
    <t>SHEDINJA</t>
  </si>
  <si>
    <t>Whismur</t>
  </si>
  <si>
    <t>WHISMUR</t>
  </si>
  <si>
    <t>LOUDRED</t>
  </si>
  <si>
    <t>EXPLOUD</t>
  </si>
  <si>
    <t>Makuhita</t>
  </si>
  <si>
    <t>MAKUHITA</t>
  </si>
  <si>
    <t>HARIYAMA</t>
  </si>
  <si>
    <t>Azurill</t>
  </si>
  <si>
    <t>AZURILL</t>
  </si>
  <si>
    <t>Nosepass</t>
  </si>
  <si>
    <t>NOSEPASS</t>
  </si>
  <si>
    <t>Skitty</t>
  </si>
  <si>
    <t>SKITTY</t>
  </si>
  <si>
    <t>Delcatty</t>
  </si>
  <si>
    <t>DELCATTY</t>
  </si>
  <si>
    <t>SABLEYE</t>
  </si>
  <si>
    <t>SABLEYE_MEGA</t>
  </si>
  <si>
    <t>Mawile</t>
  </si>
  <si>
    <t>MAWILE</t>
  </si>
  <si>
    <t>MAWILE_MEGA</t>
  </si>
  <si>
    <t>ARON</t>
  </si>
  <si>
    <t>Lairon</t>
  </si>
  <si>
    <t>LAIRON</t>
  </si>
  <si>
    <t>Aggron</t>
  </si>
  <si>
    <t>AGGRON</t>
  </si>
  <si>
    <t>AGGRON_MEGA</t>
  </si>
  <si>
    <t>Meditite</t>
  </si>
  <si>
    <t>MEDITITE</t>
  </si>
  <si>
    <t>MEDICHAM</t>
  </si>
  <si>
    <t>MEDICHAM_MEGA</t>
  </si>
  <si>
    <t>ELECTRIKE</t>
  </si>
  <si>
    <t>MANECTRIC</t>
  </si>
  <si>
    <t>MANECTRIC_MEGA</t>
  </si>
  <si>
    <t>PLUSLE</t>
  </si>
  <si>
    <t>MINUN</t>
  </si>
  <si>
    <t>VOLBEAT</t>
  </si>
  <si>
    <t>ILLUMISE</t>
  </si>
  <si>
    <t>Roselia</t>
  </si>
  <si>
    <t>ROSELIA</t>
  </si>
  <si>
    <t>GULPIN</t>
  </si>
  <si>
    <t>Swalot</t>
  </si>
  <si>
    <t>SWALOT</t>
  </si>
  <si>
    <t>Carvanha</t>
  </si>
  <si>
    <t>CARVANHA</t>
  </si>
  <si>
    <t>Sharpedo</t>
  </si>
  <si>
    <t>SHARPEDO</t>
  </si>
  <si>
    <t>SHARPEDO_MEGA</t>
  </si>
  <si>
    <t>Wailmer</t>
  </si>
  <si>
    <t>WAILMER</t>
  </si>
  <si>
    <t>Wailord</t>
  </si>
  <si>
    <t>WAILORD</t>
  </si>
  <si>
    <t>Numel</t>
  </si>
  <si>
    <t>NUMEL</t>
  </si>
  <si>
    <t>Camerupt</t>
  </si>
  <si>
    <t>CAMERUPT</t>
  </si>
  <si>
    <t>CAMERUPT_MEGA</t>
  </si>
  <si>
    <t>TORKOAL</t>
  </si>
  <si>
    <t>Spoink</t>
  </si>
  <si>
    <t>SPOINK</t>
  </si>
  <si>
    <t>Grumpig</t>
  </si>
  <si>
    <t>GRUMPIG</t>
  </si>
  <si>
    <t>SPINDA</t>
  </si>
  <si>
    <t>Trapinch</t>
  </si>
  <si>
    <t>TRAPINCH</t>
  </si>
  <si>
    <t>Vibrava</t>
  </si>
  <si>
    <t>VIBRAVA</t>
  </si>
  <si>
    <t>FLYGON</t>
  </si>
  <si>
    <t>Cacnea</t>
  </si>
  <si>
    <t>CACNEA</t>
  </si>
  <si>
    <t>CACTURNE</t>
  </si>
  <si>
    <t>Swablu</t>
  </si>
  <si>
    <t>SWABLU</t>
  </si>
  <si>
    <t>Altaria</t>
  </si>
  <si>
    <t>ALTARIA</t>
  </si>
  <si>
    <t>ALTARIA_MEGA</t>
  </si>
  <si>
    <t>ZANGOOSE</t>
  </si>
  <si>
    <t>Seviper</t>
  </si>
  <si>
    <t>SEVIPER</t>
  </si>
  <si>
    <t>LUNATONE</t>
  </si>
  <si>
    <t>SOLROCK</t>
  </si>
  <si>
    <t>Barboach</t>
  </si>
  <si>
    <t>BARBOACH</t>
  </si>
  <si>
    <t>WHISCASH</t>
  </si>
  <si>
    <t>CORPHISH</t>
  </si>
  <si>
    <t>CRAWDAUNT</t>
  </si>
  <si>
    <t>Baltoy</t>
  </si>
  <si>
    <t>BALTOY</t>
  </si>
  <si>
    <t>Claydol</t>
  </si>
  <si>
    <t>CLAYDOL</t>
  </si>
  <si>
    <t>LILEEP</t>
  </si>
  <si>
    <t>Cradily</t>
  </si>
  <si>
    <t>CRADILY</t>
  </si>
  <si>
    <t>Anorith</t>
  </si>
  <si>
    <t>ANORITH</t>
  </si>
  <si>
    <t>Armaldo</t>
  </si>
  <si>
    <t>ARMALDO</t>
  </si>
  <si>
    <t>Feebas</t>
  </si>
  <si>
    <t>FEEBAS</t>
  </si>
  <si>
    <t>MILOTIC</t>
  </si>
  <si>
    <t>Castform</t>
  </si>
  <si>
    <t>CASTFORM</t>
  </si>
  <si>
    <t>Kecleon</t>
  </si>
  <si>
    <t>KECLEON</t>
  </si>
  <si>
    <t>Shuppet</t>
  </si>
  <si>
    <t>SHUPPET</t>
  </si>
  <si>
    <t>Banette</t>
  </si>
  <si>
    <t>BANETTE</t>
  </si>
  <si>
    <t>Banette-Mega</t>
  </si>
  <si>
    <t>BANETTE_MEGA</t>
  </si>
  <si>
    <t>Duskull</t>
  </si>
  <si>
    <t>DUSKULL</t>
  </si>
  <si>
    <t>Dusclops</t>
  </si>
  <si>
    <t>DUSCLOPS</t>
  </si>
  <si>
    <t>TROPIUS</t>
  </si>
  <si>
    <t>Chimecho</t>
  </si>
  <si>
    <t>CHIMECHO</t>
  </si>
  <si>
    <t>Absol</t>
  </si>
  <si>
    <t>ABSOL</t>
  </si>
  <si>
    <t>ABSOL_MEGA</t>
  </si>
  <si>
    <t>Wynaut</t>
  </si>
  <si>
    <t>WYNAUT</t>
  </si>
  <si>
    <t>Snorunt</t>
  </si>
  <si>
    <t>SNORUNT</t>
  </si>
  <si>
    <t>Glalie</t>
  </si>
  <si>
    <t>GLALIE</t>
  </si>
  <si>
    <t>GLALIE_MEGA</t>
  </si>
  <si>
    <t>Spheal</t>
  </si>
  <si>
    <t>SPHEAL</t>
  </si>
  <si>
    <t>Sealeo</t>
  </si>
  <si>
    <t>SEALEO</t>
  </si>
  <si>
    <t>WALREIN</t>
  </si>
  <si>
    <t>CLAMPERL</t>
  </si>
  <si>
    <t>HUNTAIL</t>
  </si>
  <si>
    <t>GOREBYSS</t>
  </si>
  <si>
    <t>RELICANTH</t>
  </si>
  <si>
    <t>LUVDISC</t>
  </si>
  <si>
    <t>Bagon</t>
  </si>
  <si>
    <t>BAGON</t>
  </si>
  <si>
    <t>Shelgon</t>
  </si>
  <si>
    <t>SHELGON</t>
  </si>
  <si>
    <t>SALAMENCE</t>
  </si>
  <si>
    <t>SALAMENCE_MEGA</t>
  </si>
  <si>
    <t>Beldum</t>
  </si>
  <si>
    <t>BELDUM</t>
  </si>
  <si>
    <t>Metang</t>
  </si>
  <si>
    <t>METANG</t>
  </si>
  <si>
    <t>METAGROSS</t>
  </si>
  <si>
    <t>METAGROSS_MEGA</t>
  </si>
  <si>
    <t>Regirock</t>
  </si>
  <si>
    <t>REGIROCK</t>
  </si>
  <si>
    <t>Regice</t>
  </si>
  <si>
    <t>REGICE</t>
  </si>
  <si>
    <t>Registeel</t>
  </si>
  <si>
    <t>REGISTEEL</t>
  </si>
  <si>
    <t>LATIAS</t>
  </si>
  <si>
    <t>LATIAS_MEGA</t>
  </si>
  <si>
    <t>Latios</t>
  </si>
  <si>
    <t>LATIOS</t>
  </si>
  <si>
    <t>Latios-Mega</t>
  </si>
  <si>
    <t>LATIOS_MEGA</t>
  </si>
  <si>
    <t>KYOGRE</t>
  </si>
  <si>
    <t>KYOGRE_PRIMAL</t>
  </si>
  <si>
    <t>Groudon</t>
  </si>
  <si>
    <t>GROUDON</t>
  </si>
  <si>
    <t>Groudon-P</t>
  </si>
  <si>
    <t>GROUDON_PRIMAL</t>
  </si>
  <si>
    <t>Rayquaza</t>
  </si>
  <si>
    <t>RAYQUAZA</t>
  </si>
  <si>
    <t>Rayquaza-Mega</t>
  </si>
  <si>
    <t>RAYQUAZA_MEGA</t>
  </si>
  <si>
    <t>JIRACHI</t>
  </si>
  <si>
    <t>Deoxys</t>
  </si>
  <si>
    <t>DEOXYS</t>
  </si>
  <si>
    <t>DEOXYS_ATTACK</t>
  </si>
  <si>
    <t>Deoxys-D</t>
  </si>
  <si>
    <t>DEOXYS_DEFENSE</t>
  </si>
  <si>
    <t>Deoxys-S</t>
  </si>
  <si>
    <t>DEOXYS_SPEED</t>
  </si>
  <si>
    <t>SINNOH</t>
  </si>
  <si>
    <t>Turtwig</t>
  </si>
  <si>
    <t>TURTWIG</t>
  </si>
  <si>
    <t>Grotle</t>
  </si>
  <si>
    <t>GROTLE</t>
  </si>
  <si>
    <t>TORTERRA</t>
  </si>
  <si>
    <t>Chimchar</t>
  </si>
  <si>
    <t>CHIMCHAR</t>
  </si>
  <si>
    <t>Monferno</t>
  </si>
  <si>
    <t>MONFERNO</t>
  </si>
  <si>
    <t>INFERNAPE</t>
  </si>
  <si>
    <t>Piplup</t>
  </si>
  <si>
    <t>PIPLUP</t>
  </si>
  <si>
    <t>Prinplup</t>
  </si>
  <si>
    <t>PRINPLUP</t>
  </si>
  <si>
    <t>EMPOLEON</t>
  </si>
  <si>
    <t>STARLY</t>
  </si>
  <si>
    <t>STARAVIA</t>
  </si>
  <si>
    <t>STARAPTOR</t>
  </si>
  <si>
    <t>Bidoof</t>
  </si>
  <si>
    <t>BIDOOF</t>
  </si>
  <si>
    <t>BIBAREL</t>
  </si>
  <si>
    <t>Kricketot</t>
  </si>
  <si>
    <t>KRICKETOT</t>
  </si>
  <si>
    <t>Kricketune</t>
  </si>
  <si>
    <t>KRICKETUNE</t>
  </si>
  <si>
    <t>Shinx</t>
  </si>
  <si>
    <t>SHINX</t>
  </si>
  <si>
    <t>Luxio</t>
  </si>
  <si>
    <t>LUXIO</t>
  </si>
  <si>
    <t>Luxray</t>
  </si>
  <si>
    <t>LUXRAY</t>
  </si>
  <si>
    <t>Budew</t>
  </si>
  <si>
    <t>BUDEW</t>
  </si>
  <si>
    <t>ROSERADE</t>
  </si>
  <si>
    <t>Cranidos</t>
  </si>
  <si>
    <t>CRANIDOS</t>
  </si>
  <si>
    <t>Rampardos</t>
  </si>
  <si>
    <t>RAMPARDOS</t>
  </si>
  <si>
    <t>Shieldon</t>
  </si>
  <si>
    <t>SHIELDON</t>
  </si>
  <si>
    <t>Bastiodon</t>
  </si>
  <si>
    <t>BASTIODON</t>
  </si>
  <si>
    <t>Burmy</t>
  </si>
  <si>
    <t>BURMY</t>
  </si>
  <si>
    <t>Burmy-Sa</t>
  </si>
  <si>
    <t>BURMY_SANDY</t>
  </si>
  <si>
    <t>Burmy-Tr</t>
  </si>
  <si>
    <t>BURMY_TRASH</t>
  </si>
  <si>
    <t>Wormadam</t>
  </si>
  <si>
    <t>WORMADAM</t>
  </si>
  <si>
    <t>WORMADAM_SANDY</t>
  </si>
  <si>
    <t>Wormadam-Tr</t>
  </si>
  <si>
    <t>WORMADAM_TRASH</t>
  </si>
  <si>
    <t>Mothim</t>
  </si>
  <si>
    <t>MOTHIM</t>
  </si>
  <si>
    <t>Combee</t>
  </si>
  <si>
    <t>COMBEE</t>
  </si>
  <si>
    <t>Vespiquen</t>
  </si>
  <si>
    <t>VESPIQUEN</t>
  </si>
  <si>
    <t>Pachirisu</t>
  </si>
  <si>
    <t>PACHIRISU</t>
  </si>
  <si>
    <t>Buizel</t>
  </si>
  <si>
    <t>BUIZEL</t>
  </si>
  <si>
    <t>FLOATZEL</t>
  </si>
  <si>
    <t>Cherubi</t>
  </si>
  <si>
    <t>CHERUBI</t>
  </si>
  <si>
    <t>CHERRIM</t>
  </si>
  <si>
    <t>Shellos</t>
  </si>
  <si>
    <t>SHELLOS</t>
  </si>
  <si>
    <t>GASTRODON</t>
  </si>
  <si>
    <t>AMBIPOM</t>
  </si>
  <si>
    <t>Drifloon</t>
  </si>
  <si>
    <t>DRIFLOON</t>
  </si>
  <si>
    <t>Drifblim</t>
  </si>
  <si>
    <t>DRIFBLIM</t>
  </si>
  <si>
    <t>Buneary</t>
  </si>
  <si>
    <t>BUNEARY</t>
  </si>
  <si>
    <t>Lopunny</t>
  </si>
  <si>
    <t>LOPUNNY</t>
  </si>
  <si>
    <t>LOPUNNY_MEGA</t>
  </si>
  <si>
    <t>MISMAGIUS</t>
  </si>
  <si>
    <t>HONCHKROW</t>
  </si>
  <si>
    <t>Glameow</t>
  </si>
  <si>
    <t>GLAMEOW</t>
  </si>
  <si>
    <t>Purugly</t>
  </si>
  <si>
    <t>PURUGLY</t>
  </si>
  <si>
    <t>Chingling</t>
  </si>
  <si>
    <t>CHINGLING</t>
  </si>
  <si>
    <t>Stunky</t>
  </si>
  <si>
    <t>STUNKY</t>
  </si>
  <si>
    <t>Skuntank</t>
  </si>
  <si>
    <t>SKUNTANK</t>
  </si>
  <si>
    <t>Bronzor</t>
  </si>
  <si>
    <t>BRONZOR</t>
  </si>
  <si>
    <t>BRONZONG</t>
  </si>
  <si>
    <t>Bonsly</t>
  </si>
  <si>
    <t>BONSLY</t>
  </si>
  <si>
    <t>Mime Jr.</t>
  </si>
  <si>
    <t>MIME_JR</t>
  </si>
  <si>
    <t>Happiny</t>
  </si>
  <si>
    <t>HAPPINY</t>
  </si>
  <si>
    <t>Chatot</t>
  </si>
  <si>
    <t>CHATOT</t>
  </si>
  <si>
    <t>Spiritomb</t>
  </si>
  <si>
    <t>SPIRITOMB</t>
  </si>
  <si>
    <t>Gible</t>
  </si>
  <si>
    <t>GIBLE</t>
  </si>
  <si>
    <t>GABITE</t>
  </si>
  <si>
    <t>GARCHOMP</t>
  </si>
  <si>
    <t>GARCHOMP_MEGA</t>
  </si>
  <si>
    <t>Munchlax</t>
  </si>
  <si>
    <t>MUNCHLAX</t>
  </si>
  <si>
    <t>Riolu</t>
  </si>
  <si>
    <t>RIOLU</t>
  </si>
  <si>
    <t>LUCARIO</t>
  </si>
  <si>
    <t>LUCARIO_MEGA</t>
  </si>
  <si>
    <t>Hippopotas</t>
  </si>
  <si>
    <t>HIPPOPOTAS</t>
  </si>
  <si>
    <t>HIPPOWDON</t>
  </si>
  <si>
    <t>Skorupi</t>
  </si>
  <si>
    <t>SKORUPI</t>
  </si>
  <si>
    <t>DRAPION</t>
  </si>
  <si>
    <t>Croagunk</t>
  </si>
  <si>
    <t>CROAGUNK</t>
  </si>
  <si>
    <t>TOXICROAK</t>
  </si>
  <si>
    <t>Carnivine</t>
  </si>
  <si>
    <t>CARNIVINE</t>
  </si>
  <si>
    <t>Finneon</t>
  </si>
  <si>
    <t>FINNEON</t>
  </si>
  <si>
    <t>LUMINEON</t>
  </si>
  <si>
    <t>Mantyke</t>
  </si>
  <si>
    <t>MANTYKE</t>
  </si>
  <si>
    <t>SNOVER</t>
  </si>
  <si>
    <t>Abomasnow</t>
  </si>
  <si>
    <t>ABOMASNOW</t>
  </si>
  <si>
    <t>ABOMASNOW_MEGA</t>
  </si>
  <si>
    <t>WEAVILE</t>
  </si>
  <si>
    <t>MAGNEZONE</t>
  </si>
  <si>
    <t>Lickilicky</t>
  </si>
  <si>
    <t>LICKILICKY</t>
  </si>
  <si>
    <t>RHYPERIOR</t>
  </si>
  <si>
    <t>TANGROWTH</t>
  </si>
  <si>
    <t>Electivire</t>
  </si>
  <si>
    <t>ELECTIVIRE</t>
  </si>
  <si>
    <t>MAGMORTAR</t>
  </si>
  <si>
    <t>TOGEKISS</t>
  </si>
  <si>
    <t>YANMEGA</t>
  </si>
  <si>
    <t>Leafeon</t>
  </si>
  <si>
    <t>LEAFEON</t>
  </si>
  <si>
    <t>GLACEON</t>
  </si>
  <si>
    <t>GLISCOR</t>
  </si>
  <si>
    <t>MAMOSWINE</t>
  </si>
  <si>
    <t>Porygon-Z</t>
  </si>
  <si>
    <t>PORYGON_Z</t>
  </si>
  <si>
    <t>Gallade</t>
  </si>
  <si>
    <t>GALLADE</t>
  </si>
  <si>
    <t>GALLADE_MEGA</t>
  </si>
  <si>
    <t>PROBOPASS</t>
  </si>
  <si>
    <t>DUSKNOIR</t>
  </si>
  <si>
    <t>FROSLASS</t>
  </si>
  <si>
    <t>Rotom</t>
  </si>
  <si>
    <t>ROTOM</t>
  </si>
  <si>
    <t>Rotom-H</t>
  </si>
  <si>
    <t>ROTOM_HEAT</t>
  </si>
  <si>
    <t>ROTOM_WASH</t>
  </si>
  <si>
    <t>Rotom-F</t>
  </si>
  <si>
    <t>ROTOM_FROST</t>
  </si>
  <si>
    <t>ROTOM_FAN</t>
  </si>
  <si>
    <t>Rotom-M</t>
  </si>
  <si>
    <t>ROTOM_MOW</t>
  </si>
  <si>
    <t>Uxie</t>
  </si>
  <si>
    <t>UXIE</t>
  </si>
  <si>
    <t>Mesprit</t>
  </si>
  <si>
    <t>MESPRIT</t>
  </si>
  <si>
    <t>Azelf</t>
  </si>
  <si>
    <t>AZELF</t>
  </si>
  <si>
    <t>DIALGA</t>
  </si>
  <si>
    <t>Dialga-O</t>
  </si>
  <si>
    <t>DIALGA_O</t>
  </si>
  <si>
    <t>DIALGA_P</t>
  </si>
  <si>
    <t>Palkia</t>
  </si>
  <si>
    <t>PALKIA</t>
  </si>
  <si>
    <t>PALKIA_O</t>
  </si>
  <si>
    <t>HEATRAN</t>
  </si>
  <si>
    <t>Regigigas</t>
  </si>
  <si>
    <t>REGIGIGAS</t>
  </si>
  <si>
    <t>Giratina</t>
  </si>
  <si>
    <t>GIRATINA</t>
  </si>
  <si>
    <t>GIRATINA_ORIGIN</t>
  </si>
  <si>
    <t>Cresselia</t>
  </si>
  <si>
    <t>CRESSELIA</t>
  </si>
  <si>
    <t>Phione</t>
  </si>
  <si>
    <t>PHIONE</t>
  </si>
  <si>
    <t>Manaphy</t>
  </si>
  <si>
    <t>MANAPHY</t>
  </si>
  <si>
    <t>Darkrai</t>
  </si>
  <si>
    <t>DARKRAI</t>
  </si>
  <si>
    <t>Shaymin</t>
  </si>
  <si>
    <t>SHAYMIN</t>
  </si>
  <si>
    <t>SHAYMIN_SKY</t>
  </si>
  <si>
    <t>Arceus</t>
  </si>
  <si>
    <t>ARCEUS</t>
  </si>
  <si>
    <t>ARCEUS_BUG</t>
  </si>
  <si>
    <t>Arceus-Dark</t>
  </si>
  <si>
    <t>ARCEUS_DARK</t>
  </si>
  <si>
    <t>Arceus-Dragon</t>
  </si>
  <si>
    <t>ARCEUS_DRAGON</t>
  </si>
  <si>
    <t>Arceus-Electric</t>
  </si>
  <si>
    <t>ARCEUS_ELECTRIC</t>
  </si>
  <si>
    <t>Arceus-Fairy</t>
  </si>
  <si>
    <t>ARCEUS_FAIRY</t>
  </si>
  <si>
    <t>Arceus-Fighting</t>
  </si>
  <si>
    <t>ARCEUS_FIGHT</t>
  </si>
  <si>
    <t>Arceus-Fire</t>
  </si>
  <si>
    <t>ARCEUS_FIRE</t>
  </si>
  <si>
    <t>Arceus-Flying</t>
  </si>
  <si>
    <t>ARCEUS_FLYING</t>
  </si>
  <si>
    <t>Arceus-Ghost</t>
  </si>
  <si>
    <t>ARCEUS_GHOST</t>
  </si>
  <si>
    <t>Arceus-Grass</t>
  </si>
  <si>
    <t>ARCEUS_GRASS</t>
  </si>
  <si>
    <t>Arceus-Ground</t>
  </si>
  <si>
    <t>ARCEUS_GROUND</t>
  </si>
  <si>
    <t>Arceus-Ice</t>
  </si>
  <si>
    <t>ARCEUS_ICE</t>
  </si>
  <si>
    <t>Arceus-Poison</t>
  </si>
  <si>
    <t>ARCEUS_POISON</t>
  </si>
  <si>
    <t>Arceus-Psychic</t>
  </si>
  <si>
    <t>ARCEUS_PSYCHIC</t>
  </si>
  <si>
    <t>Arceus-Rock</t>
  </si>
  <si>
    <t>ARCEUS_ROCK</t>
  </si>
  <si>
    <t>Arceus-Steel</t>
  </si>
  <si>
    <t>ARCEUS_STEEL</t>
  </si>
  <si>
    <t>Arceus-Water</t>
  </si>
  <si>
    <t>ARCEUS_WATER</t>
  </si>
  <si>
    <t>UNOVA</t>
  </si>
  <si>
    <t>VICTINI</t>
  </si>
  <si>
    <t>Snivy</t>
  </si>
  <si>
    <t>SNIVY</t>
  </si>
  <si>
    <t>Servine</t>
  </si>
  <si>
    <t>SERVINE</t>
  </si>
  <si>
    <t>SERPERIOR</t>
  </si>
  <si>
    <t>Tepig</t>
  </si>
  <si>
    <t>TEPIG</t>
  </si>
  <si>
    <t>Pignite</t>
  </si>
  <si>
    <t>PIGNITE</t>
  </si>
  <si>
    <t>EMBOAR</t>
  </si>
  <si>
    <t>Oshawott</t>
  </si>
  <si>
    <t>OSHAWOTT</t>
  </si>
  <si>
    <t>DEWOTT</t>
  </si>
  <si>
    <t>SAMUROTT</t>
  </si>
  <si>
    <t>SAMUROTT_H</t>
  </si>
  <si>
    <t>Patrat</t>
  </si>
  <si>
    <t>PATRAT</t>
  </si>
  <si>
    <t>Watchog</t>
  </si>
  <si>
    <t>WATCHOG</t>
  </si>
  <si>
    <t>Lillipup</t>
  </si>
  <si>
    <t>LILLIPUP</t>
  </si>
  <si>
    <t>Herdier</t>
  </si>
  <si>
    <t>HERDIER</t>
  </si>
  <si>
    <t>Stoutland</t>
  </si>
  <si>
    <t>STOUTLAND</t>
  </si>
  <si>
    <t>Purrloin</t>
  </si>
  <si>
    <t>PURRLOIN</t>
  </si>
  <si>
    <t>LIEPARD</t>
  </si>
  <si>
    <t>Pansage</t>
  </si>
  <si>
    <t>PANSAGE</t>
  </si>
  <si>
    <t>SIMISAGE</t>
  </si>
  <si>
    <t>Pansear</t>
  </si>
  <si>
    <t>PANSEAR</t>
  </si>
  <si>
    <t>SIMISEAR</t>
  </si>
  <si>
    <t>Panpour</t>
  </si>
  <si>
    <t>PANPOUR</t>
  </si>
  <si>
    <t>Simipour</t>
  </si>
  <si>
    <t>SIMIPOUR</t>
  </si>
  <si>
    <t>Munna</t>
  </si>
  <si>
    <t>MUNNA</t>
  </si>
  <si>
    <t>Musharna</t>
  </si>
  <si>
    <t>MUSHARNA</t>
  </si>
  <si>
    <t>Pidove</t>
  </si>
  <si>
    <t>PIDOVE</t>
  </si>
  <si>
    <t>Tranquill</t>
  </si>
  <si>
    <t>TRANQUILL</t>
  </si>
  <si>
    <t>Unfezant</t>
  </si>
  <si>
    <t>UNFEZANT</t>
  </si>
  <si>
    <t>Unfezant-F</t>
  </si>
  <si>
    <t>UNFEZANT_F</t>
  </si>
  <si>
    <t>Blitzle</t>
  </si>
  <si>
    <t>BLITZLE</t>
  </si>
  <si>
    <t>ZEBSTRIKA</t>
  </si>
  <si>
    <t>Roggenrola</t>
  </si>
  <si>
    <t>ROGGENROLA</t>
  </si>
  <si>
    <t>Boldore</t>
  </si>
  <si>
    <t>BOLDORE</t>
  </si>
  <si>
    <t>GIGALITH</t>
  </si>
  <si>
    <t>Woobat</t>
  </si>
  <si>
    <t>WOOBAT</t>
  </si>
  <si>
    <t>Swoobat</t>
  </si>
  <si>
    <t>SWOOBAT</t>
  </si>
  <si>
    <t>Drilbur</t>
  </si>
  <si>
    <t>DRILBUR</t>
  </si>
  <si>
    <t>EXCADRILL</t>
  </si>
  <si>
    <t>AUDINO</t>
  </si>
  <si>
    <t>AUDINO_MEGA</t>
  </si>
  <si>
    <t>Timburr</t>
  </si>
  <si>
    <t>TIMBURR</t>
  </si>
  <si>
    <t>Gurdurr</t>
  </si>
  <si>
    <t>GURDURR</t>
  </si>
  <si>
    <t>CONKELDURR</t>
  </si>
  <si>
    <t>Tympole</t>
  </si>
  <si>
    <t>TYMPOLE</t>
  </si>
  <si>
    <t>Palpitoad</t>
  </si>
  <si>
    <t>PALPITOAD</t>
  </si>
  <si>
    <t>SEISMITOAD</t>
  </si>
  <si>
    <t>Throh</t>
  </si>
  <si>
    <t>THROH</t>
  </si>
  <si>
    <t>Sawk</t>
  </si>
  <si>
    <t>SAWK</t>
  </si>
  <si>
    <t>Sewaddle</t>
  </si>
  <si>
    <t>SEWADDLE</t>
  </si>
  <si>
    <t>Swadloon</t>
  </si>
  <si>
    <t>SWADLOON</t>
  </si>
  <si>
    <t>LEAVANNY</t>
  </si>
  <si>
    <t>Venipede</t>
  </si>
  <si>
    <t>VENIPEDE</t>
  </si>
  <si>
    <t>Whirlipede</t>
  </si>
  <si>
    <t>WHIRLIPEDE</t>
  </si>
  <si>
    <t>Scolipede</t>
  </si>
  <si>
    <t>SCOLIPEDE</t>
  </si>
  <si>
    <t>Cottonee</t>
  </si>
  <si>
    <t>COTTONEE</t>
  </si>
  <si>
    <t>Whimsicott</t>
  </si>
  <si>
    <t>WHIMSICOTT</t>
  </si>
  <si>
    <t>Petilil</t>
  </si>
  <si>
    <t>PETILIL</t>
  </si>
  <si>
    <t>Lilligant</t>
  </si>
  <si>
    <t>LILLIGANT</t>
  </si>
  <si>
    <t>LILLIGANT_H</t>
  </si>
  <si>
    <t>Basculin</t>
  </si>
  <si>
    <t>BASCULIN_BLUE</t>
  </si>
  <si>
    <t>Basculin-Blue-Striped</t>
  </si>
  <si>
    <t>BASCULIN_RED</t>
  </si>
  <si>
    <t>Sandile</t>
  </si>
  <si>
    <t>SANDILE</t>
  </si>
  <si>
    <t>Krokorok</t>
  </si>
  <si>
    <t>KROKOROK</t>
  </si>
  <si>
    <t>KROOKODILE</t>
  </si>
  <si>
    <t>Darumaka</t>
  </si>
  <si>
    <t>DARUMAKA</t>
  </si>
  <si>
    <t>Darumaka-G</t>
  </si>
  <si>
    <t>DARUMAKA_G</t>
  </si>
  <si>
    <t>DARMANITAN</t>
  </si>
  <si>
    <t>Darmanitan-Z</t>
  </si>
  <si>
    <t>DARMANITANZEN</t>
  </si>
  <si>
    <t>DARMANITAN_G</t>
  </si>
  <si>
    <t>DARMANITAN_G_ZEN</t>
  </si>
  <si>
    <t>Maractus</t>
  </si>
  <si>
    <t>MARACTUS</t>
  </si>
  <si>
    <t>Dwebble</t>
  </si>
  <si>
    <t>DWEBBLE</t>
  </si>
  <si>
    <t>CRUSTLE</t>
  </si>
  <si>
    <t>Scraggy</t>
  </si>
  <si>
    <t>SCRAGGY</t>
  </si>
  <si>
    <t>SCRAFTY</t>
  </si>
  <si>
    <t>Sigilyph</t>
  </si>
  <si>
    <t>SIGILYPH</t>
  </si>
  <si>
    <t>Yamask</t>
  </si>
  <si>
    <t>YAMASK</t>
  </si>
  <si>
    <t>Yamask-G</t>
  </si>
  <si>
    <t>YAMASK_G</t>
  </si>
  <si>
    <t>Cofagrigus</t>
  </si>
  <si>
    <t>COFAGRIGUS</t>
  </si>
  <si>
    <t>Tirtouga</t>
  </si>
  <si>
    <t>TIRTOUGA</t>
  </si>
  <si>
    <t>CARRACOSTA</t>
  </si>
  <si>
    <t>ARCHEN</t>
  </si>
  <si>
    <t>ARCHEOPS</t>
  </si>
  <si>
    <t>Trubbish</t>
  </si>
  <si>
    <t>TRUBBISH</t>
  </si>
  <si>
    <t>Garbodor</t>
  </si>
  <si>
    <t>GARBODOR</t>
  </si>
  <si>
    <t>Garbodor-Mega</t>
  </si>
  <si>
    <t>GARBODOR_GIGA</t>
  </si>
  <si>
    <t>Zorua</t>
  </si>
  <si>
    <t>ZORUA</t>
  </si>
  <si>
    <t>Zorua-H</t>
  </si>
  <si>
    <t>ZORUA_H</t>
  </si>
  <si>
    <t>ZOROARK</t>
  </si>
  <si>
    <t>ZOROARK_H</t>
  </si>
  <si>
    <t>Minccino</t>
  </si>
  <si>
    <t>MINCCINO</t>
  </si>
  <si>
    <t>CINCCINO</t>
  </si>
  <si>
    <t>Gothita</t>
  </si>
  <si>
    <t>GOTHITA</t>
  </si>
  <si>
    <t>Gothorita</t>
  </si>
  <si>
    <t>GOTHORITA</t>
  </si>
  <si>
    <t>GOTHITELLE</t>
  </si>
  <si>
    <t>Solosis</t>
  </si>
  <si>
    <t>SOLOSIS</t>
  </si>
  <si>
    <t>Duosion</t>
  </si>
  <si>
    <t>DUOSION</t>
  </si>
  <si>
    <t>REUNICLUS</t>
  </si>
  <si>
    <t>Ducklett</t>
  </si>
  <si>
    <t>DUCKLETT</t>
  </si>
  <si>
    <t>SWANNA</t>
  </si>
  <si>
    <t>Vanillite</t>
  </si>
  <si>
    <t>VANILLITE</t>
  </si>
  <si>
    <t>Vanillish</t>
  </si>
  <si>
    <t>VANILLISH</t>
  </si>
  <si>
    <t>Vanilluxe</t>
  </si>
  <si>
    <t>VANILLUXE</t>
  </si>
  <si>
    <t>Deerling</t>
  </si>
  <si>
    <t>DEERLING</t>
  </si>
  <si>
    <t>Sawsbuck</t>
  </si>
  <si>
    <t>SAWSBUCK</t>
  </si>
  <si>
    <t>Emolga</t>
  </si>
  <si>
    <t>EMOLGA</t>
  </si>
  <si>
    <t>Karrablast</t>
  </si>
  <si>
    <t>KARRABLAST</t>
  </si>
  <si>
    <t>Escavalier</t>
  </si>
  <si>
    <t>ESCAVALIER</t>
  </si>
  <si>
    <t>Foongus</t>
  </si>
  <si>
    <t>FOONGUS</t>
  </si>
  <si>
    <t>AMOONGUSS</t>
  </si>
  <si>
    <t>Frillish</t>
  </si>
  <si>
    <t>FRILLISH</t>
  </si>
  <si>
    <t>Frillish-F</t>
  </si>
  <si>
    <t>FRILLISH_F</t>
  </si>
  <si>
    <t>Jellicent</t>
  </si>
  <si>
    <t>JELLICENT</t>
  </si>
  <si>
    <t>Jellicent-F</t>
  </si>
  <si>
    <t>JELLICENT_F</t>
  </si>
  <si>
    <t>Alomomola</t>
  </si>
  <si>
    <t>ALOMOMOLA</t>
  </si>
  <si>
    <t>Joltik</t>
  </si>
  <si>
    <t>JOLTIK</t>
  </si>
  <si>
    <t>GALVANTULA</t>
  </si>
  <si>
    <t>Ferroseed</t>
  </si>
  <si>
    <t>FERROSEED</t>
  </si>
  <si>
    <t>FERROTHORN</t>
  </si>
  <si>
    <t>Klink</t>
  </si>
  <si>
    <t>KLINK</t>
  </si>
  <si>
    <t>Klang</t>
  </si>
  <si>
    <t>KLANG</t>
  </si>
  <si>
    <t>Klinklang</t>
  </si>
  <si>
    <t>KLINKLANG</t>
  </si>
  <si>
    <t>Tynamo</t>
  </si>
  <si>
    <t>TYNAMO</t>
  </si>
  <si>
    <t>Eelektrik</t>
  </si>
  <si>
    <t>EELEKTRIK</t>
  </si>
  <si>
    <t>EELEKTROSS</t>
  </si>
  <si>
    <t>Elgyem</t>
  </si>
  <si>
    <t>ELGYEM</t>
  </si>
  <si>
    <t>Beheeyem</t>
  </si>
  <si>
    <t>BEHEEYEM</t>
  </si>
  <si>
    <t>Litwick</t>
  </si>
  <si>
    <t>LITWICK</t>
  </si>
  <si>
    <t>Lampent</t>
  </si>
  <si>
    <t>LAMPENT</t>
  </si>
  <si>
    <t>CHANDELURE</t>
  </si>
  <si>
    <t>Axew</t>
  </si>
  <si>
    <t>AXEW</t>
  </si>
  <si>
    <t>Fraxure</t>
  </si>
  <si>
    <t>FRAXURE</t>
  </si>
  <si>
    <t>HAXORUS</t>
  </si>
  <si>
    <t>Cubchoo</t>
  </si>
  <si>
    <t>CUBCHOO</t>
  </si>
  <si>
    <t>Beartic</t>
  </si>
  <si>
    <t>BEARTIC</t>
  </si>
  <si>
    <t>Cryogonal</t>
  </si>
  <si>
    <t>CRYOGONAL</t>
  </si>
  <si>
    <t>Shelmet</t>
  </si>
  <si>
    <t>SHELMET</t>
  </si>
  <si>
    <t>ACCELGOR</t>
  </si>
  <si>
    <t>STUNFISK</t>
  </si>
  <si>
    <t>Stunfisk-G</t>
  </si>
  <si>
    <t>STUNFISK_G</t>
  </si>
  <si>
    <t>Mienfoo</t>
  </si>
  <si>
    <t>MIENFOO</t>
  </si>
  <si>
    <t>MIENSHAO</t>
  </si>
  <si>
    <t>Druddigon</t>
  </si>
  <si>
    <t>DRUDDIGON</t>
  </si>
  <si>
    <t>Golett</t>
  </si>
  <si>
    <t>GOLETT</t>
  </si>
  <si>
    <t>Golurk</t>
  </si>
  <si>
    <t>GOLURK</t>
  </si>
  <si>
    <t>PAWNIARD</t>
  </si>
  <si>
    <t>BISHARP</t>
  </si>
  <si>
    <t>BOUFFALANT</t>
  </si>
  <si>
    <t>RUFFLET</t>
  </si>
  <si>
    <t>Braviary</t>
  </si>
  <si>
    <t>BRAVIARY</t>
  </si>
  <si>
    <t>BRAVIARY_H</t>
  </si>
  <si>
    <t>Vullaby</t>
  </si>
  <si>
    <t>VULLABY</t>
  </si>
  <si>
    <t>Mandibuzz</t>
  </si>
  <si>
    <t>MANDIBUZZ</t>
  </si>
  <si>
    <t>Heatmor</t>
  </si>
  <si>
    <t>HEATMOR</t>
  </si>
  <si>
    <t>DURANT</t>
  </si>
  <si>
    <t>Deino</t>
  </si>
  <si>
    <t>DEINO</t>
  </si>
  <si>
    <t>Zweilous</t>
  </si>
  <si>
    <t>ZWEILOUS</t>
  </si>
  <si>
    <t>HYDREIGON</t>
  </si>
  <si>
    <t>Larvesta</t>
  </si>
  <si>
    <t>LARVESTA</t>
  </si>
  <si>
    <t>VOLCARONA</t>
  </si>
  <si>
    <t>Cobalion</t>
  </si>
  <si>
    <t>COBALION</t>
  </si>
  <si>
    <t>Terrakion</t>
  </si>
  <si>
    <t>TERRAKION</t>
  </si>
  <si>
    <t>Virizion</t>
  </si>
  <si>
    <t>VIRIZION</t>
  </si>
  <si>
    <t>Tornadus-I</t>
  </si>
  <si>
    <t>TORNADUS</t>
  </si>
  <si>
    <t>Tornadus-T</t>
  </si>
  <si>
    <t>TORNADUS_THERIAN</t>
  </si>
  <si>
    <t>Thundurus-I</t>
  </si>
  <si>
    <t>THUNDURUS</t>
  </si>
  <si>
    <t>Thundurus-T</t>
  </si>
  <si>
    <t>THUNDURUS_THERIAN</t>
  </si>
  <si>
    <t>Reshiram</t>
  </si>
  <si>
    <t>RESHIRAM</t>
  </si>
  <si>
    <t>Zekrom</t>
  </si>
  <si>
    <t>ZEKROM</t>
  </si>
  <si>
    <t>LANDORUS</t>
  </si>
  <si>
    <t>LANDORUS_THERIAN</t>
  </si>
  <si>
    <t>Kyurem</t>
  </si>
  <si>
    <t>KYUREM</t>
  </si>
  <si>
    <t>KYUREM_BLACK</t>
  </si>
  <si>
    <t>KYUREM_WHITE</t>
  </si>
  <si>
    <t>KELDEO</t>
  </si>
  <si>
    <t>Meloetta</t>
  </si>
  <si>
    <t>MELOETTA</t>
  </si>
  <si>
    <t>MELOETTA_PIROUETTE</t>
  </si>
  <si>
    <t>GENESECT</t>
  </si>
  <si>
    <t>Genesect-Burn</t>
  </si>
  <si>
    <t>Genesect-Chill</t>
  </si>
  <si>
    <t>Genesect-Shock</t>
  </si>
  <si>
    <t>KALOS</t>
  </si>
  <si>
    <t>Chespin</t>
  </si>
  <si>
    <t>CHESPIN</t>
  </si>
  <si>
    <t>Quilladin</t>
  </si>
  <si>
    <t>QUILLADIN</t>
  </si>
  <si>
    <t>Chesnaught</t>
  </si>
  <si>
    <t>CHESNAUGHT</t>
  </si>
  <si>
    <t>Fennekin</t>
  </si>
  <si>
    <t>FENNEKIN</t>
  </si>
  <si>
    <t>Braixen</t>
  </si>
  <si>
    <t>BRAIXEN</t>
  </si>
  <si>
    <t>DELPHOX</t>
  </si>
  <si>
    <t>Froakie</t>
  </si>
  <si>
    <t>FROAKIE</t>
  </si>
  <si>
    <t>FROGADIER</t>
  </si>
  <si>
    <t>GRENINJA</t>
  </si>
  <si>
    <t>ASHGRENINJA</t>
  </si>
  <si>
    <t>Bunnelby</t>
  </si>
  <si>
    <t>BUNNELBY</t>
  </si>
  <si>
    <t>Diggersby</t>
  </si>
  <si>
    <t>DIGGERSBY</t>
  </si>
  <si>
    <t>Fletchling</t>
  </si>
  <si>
    <t>FLETCHLING</t>
  </si>
  <si>
    <t>Fletchinder</t>
  </si>
  <si>
    <t>FLETCHINDER</t>
  </si>
  <si>
    <t>TALONFLAME</t>
  </si>
  <si>
    <t>Scatterbug</t>
  </si>
  <si>
    <t>SCATTERBUG</t>
  </si>
  <si>
    <t>Spewpa</t>
  </si>
  <si>
    <t>SPEWPA</t>
  </si>
  <si>
    <t>VIVILLON</t>
  </si>
  <si>
    <t>Litleo</t>
  </si>
  <si>
    <t>LITLEO</t>
  </si>
  <si>
    <t>Pyroar</t>
  </si>
  <si>
    <t>PYROAR</t>
  </si>
  <si>
    <t>Pyroar-F</t>
  </si>
  <si>
    <t>PYROAR_FEMALE</t>
  </si>
  <si>
    <t>Flabebe</t>
  </si>
  <si>
    <t>FLABEBE</t>
  </si>
  <si>
    <t>Floette</t>
  </si>
  <si>
    <t>FLOETTE</t>
  </si>
  <si>
    <t>Floette-Eternal</t>
  </si>
  <si>
    <t>FLORGES</t>
  </si>
  <si>
    <t>Skiddo</t>
  </si>
  <si>
    <t>SKIDDO</t>
  </si>
  <si>
    <t>Gogoat</t>
  </si>
  <si>
    <t>GOGOAT</t>
  </si>
  <si>
    <t>Pancham</t>
  </si>
  <si>
    <t>PANCHAM</t>
  </si>
  <si>
    <t>PANGORO</t>
  </si>
  <si>
    <t>Furfrou</t>
  </si>
  <si>
    <t>FURFROU</t>
  </si>
  <si>
    <t>Espurr</t>
  </si>
  <si>
    <t>ESPURR</t>
  </si>
  <si>
    <t>Meowstic</t>
  </si>
  <si>
    <t>MEOWSTIC</t>
  </si>
  <si>
    <t>Meowstic-F</t>
  </si>
  <si>
    <t>MEOWSTIC_FEMALE</t>
  </si>
  <si>
    <t>Honedge</t>
  </si>
  <si>
    <t>HONEDGE</t>
  </si>
  <si>
    <t>Doublade</t>
  </si>
  <si>
    <t>DOUBLADE</t>
  </si>
  <si>
    <t>Aegislash-S</t>
  </si>
  <si>
    <t>AEGISLASH</t>
  </si>
  <si>
    <t>AEGISLASH_BLADE</t>
  </si>
  <si>
    <t>Spritzee</t>
  </si>
  <si>
    <t>SPRITZEE</t>
  </si>
  <si>
    <t>Aromatisse</t>
  </si>
  <si>
    <t>AROMATISSE</t>
  </si>
  <si>
    <t>Swirlix</t>
  </si>
  <si>
    <t>SWIRLIX</t>
  </si>
  <si>
    <t>Slurpuff</t>
  </si>
  <si>
    <t>SLURPUFF</t>
  </si>
  <si>
    <t>Inkay</t>
  </si>
  <si>
    <t>INKAY</t>
  </si>
  <si>
    <t>Malamar</t>
  </si>
  <si>
    <t>MALAMAR</t>
  </si>
  <si>
    <t>Binacle</t>
  </si>
  <si>
    <t>BINACLE</t>
  </si>
  <si>
    <t>Barbaracle</t>
  </si>
  <si>
    <t>BARBARACLE</t>
  </si>
  <si>
    <t>Skrelp</t>
  </si>
  <si>
    <t>SKRELP</t>
  </si>
  <si>
    <t>DRAGALGE</t>
  </si>
  <si>
    <t>Clauncher</t>
  </si>
  <si>
    <t>CLAUNCHER</t>
  </si>
  <si>
    <t>Clawitzer</t>
  </si>
  <si>
    <t>CLAWITZER</t>
  </si>
  <si>
    <t>Helioptile</t>
  </si>
  <si>
    <t>HELIOPTILE</t>
  </si>
  <si>
    <t>HELIOLISK</t>
  </si>
  <si>
    <t>Tyrunt</t>
  </si>
  <si>
    <t>TYRUNT</t>
  </si>
  <si>
    <t>TYRANTRUM</t>
  </si>
  <si>
    <t>AMAURA</t>
  </si>
  <si>
    <t>Aurorus</t>
  </si>
  <si>
    <t>AURORUS</t>
  </si>
  <si>
    <t>Sylveon</t>
  </si>
  <si>
    <t>SYLVEON</t>
  </si>
  <si>
    <t>HAWLUCHA</t>
  </si>
  <si>
    <t>Dedenne</t>
  </si>
  <si>
    <t>DEDENNE</t>
  </si>
  <si>
    <t>Carbink</t>
  </si>
  <si>
    <t>CARBINK</t>
  </si>
  <si>
    <t>Goomy</t>
  </si>
  <si>
    <t>GOOMY</t>
  </si>
  <si>
    <t>Sliggoo</t>
  </si>
  <si>
    <t>SLIGGOO</t>
  </si>
  <si>
    <t>Sliggoo-H</t>
  </si>
  <si>
    <t>SLIGGOO_H</t>
  </si>
  <si>
    <t>GOODRA</t>
  </si>
  <si>
    <t>GOODRA_H</t>
  </si>
  <si>
    <t>Klefki</t>
  </si>
  <si>
    <t>KLEFKI</t>
  </si>
  <si>
    <t>Phantump</t>
  </si>
  <si>
    <t>PHANTUMP</t>
  </si>
  <si>
    <t>Trevenant</t>
  </si>
  <si>
    <t>TREVENANT</t>
  </si>
  <si>
    <t>Pumpkaboo-A</t>
  </si>
  <si>
    <t>PUMPKABOO</t>
  </si>
  <si>
    <t>Pumpkaboo-S</t>
  </si>
  <si>
    <t>PUMPKABOO_M</t>
  </si>
  <si>
    <t>Pumpkaboo-L</t>
  </si>
  <si>
    <t>PUMPKABOO_L</t>
  </si>
  <si>
    <t>Pumpkaboo-XL</t>
  </si>
  <si>
    <t>PUMPKABOO_XL</t>
  </si>
  <si>
    <t>Gourgeist-A</t>
  </si>
  <si>
    <t>GOURGEIST</t>
  </si>
  <si>
    <t>Gourgeist-S</t>
  </si>
  <si>
    <t>GOURGEIST_M</t>
  </si>
  <si>
    <t>Gourgeist-L</t>
  </si>
  <si>
    <t>GOURGEIST_L</t>
  </si>
  <si>
    <t>Gourgeist-XL</t>
  </si>
  <si>
    <t>GOURGEIST_XL</t>
  </si>
  <si>
    <t>Bergmite</t>
  </si>
  <si>
    <t>BERGMITE</t>
  </si>
  <si>
    <t>Avalugg</t>
  </si>
  <si>
    <t>AVALUGG</t>
  </si>
  <si>
    <t>AVALUGG_H</t>
  </si>
  <si>
    <t>Noibat</t>
  </si>
  <si>
    <t>NOIBAT</t>
  </si>
  <si>
    <t>NOIVERN</t>
  </si>
  <si>
    <t>XERNEAS</t>
  </si>
  <si>
    <t>YVELTAL</t>
  </si>
  <si>
    <t>Zygarde</t>
  </si>
  <si>
    <t>ZYGARDE</t>
  </si>
  <si>
    <t>Zygarde-10</t>
  </si>
  <si>
    <t>ZYGARDE_10</t>
  </si>
  <si>
    <t>Zygarde-C</t>
  </si>
  <si>
    <t>ZYGARDE_COMPLETE</t>
  </si>
  <si>
    <t>Diancie</t>
  </si>
  <si>
    <t>DIANCIE</t>
  </si>
  <si>
    <t>Diancie-Mega</t>
  </si>
  <si>
    <t>DIANCIE_MEGA</t>
  </si>
  <si>
    <t>Hoopa</t>
  </si>
  <si>
    <t>HOOPA</t>
  </si>
  <si>
    <t>HOOPA_UNBOUND</t>
  </si>
  <si>
    <t>Volcanion</t>
  </si>
  <si>
    <t>VOLCANION</t>
  </si>
  <si>
    <t>ALOLA</t>
  </si>
  <si>
    <t>Rowlet</t>
  </si>
  <si>
    <t>ROWLET</t>
  </si>
  <si>
    <t>DARTRIX</t>
  </si>
  <si>
    <t>DECIDUEYE</t>
  </si>
  <si>
    <t>DECIDUEYE_H</t>
  </si>
  <si>
    <t>Litten</t>
  </si>
  <si>
    <t>LITTEN</t>
  </si>
  <si>
    <t>Torracat</t>
  </si>
  <si>
    <t>TORRACAT</t>
  </si>
  <si>
    <t>INCINEROAR</t>
  </si>
  <si>
    <t>Popplio</t>
  </si>
  <si>
    <t>POPPLIO</t>
  </si>
  <si>
    <t>BRIONNE</t>
  </si>
  <si>
    <t>PRIMARINA</t>
  </si>
  <si>
    <t>Pikipek</t>
  </si>
  <si>
    <t>PIKIPEK</t>
  </si>
  <si>
    <t>Trumbeak</t>
  </si>
  <si>
    <t>TRUMBEAK</t>
  </si>
  <si>
    <t>Toucannon</t>
  </si>
  <si>
    <t>TOUCANNON</t>
  </si>
  <si>
    <t>Yungoos</t>
  </si>
  <si>
    <t>YUNGOOS</t>
  </si>
  <si>
    <t>Gumshoos</t>
  </si>
  <si>
    <t>GUMSHOOS</t>
  </si>
  <si>
    <t>Grubbin</t>
  </si>
  <si>
    <t>GRUBBIN</t>
  </si>
  <si>
    <t>Charjabug</t>
  </si>
  <si>
    <t>CHARJABUG</t>
  </si>
  <si>
    <t>VIKAVOLT</t>
  </si>
  <si>
    <t>Crabrawler</t>
  </si>
  <si>
    <t>CRABRAWLER</t>
  </si>
  <si>
    <t>Crabominable</t>
  </si>
  <si>
    <t>CRABOMINABLE</t>
  </si>
  <si>
    <t>Oricorio</t>
  </si>
  <si>
    <t>ORICORIO</t>
  </si>
  <si>
    <t>Oricorio-Pompom</t>
  </si>
  <si>
    <t>ORICORIO_Y</t>
  </si>
  <si>
    <t>Oricorio-Pau</t>
  </si>
  <si>
    <t>ORICORIO_P</t>
  </si>
  <si>
    <t>Oricorio-Sensu</t>
  </si>
  <si>
    <t>ORICORIO_S</t>
  </si>
  <si>
    <t>Cutiefly</t>
  </si>
  <si>
    <t>CUTIEFLY</t>
  </si>
  <si>
    <t>Ribombee</t>
  </si>
  <si>
    <t>RIBOMBEE</t>
  </si>
  <si>
    <t>Rockruff</t>
  </si>
  <si>
    <t>ROCKRUFF</t>
  </si>
  <si>
    <t>LYCANROC</t>
  </si>
  <si>
    <t>Lycanroc-N</t>
  </si>
  <si>
    <t>LYCANROC_N</t>
  </si>
  <si>
    <t>LYCANROC_DUSK</t>
  </si>
  <si>
    <t>Wishiwashi</t>
  </si>
  <si>
    <t>WISHIWASHI</t>
  </si>
  <si>
    <t>WISHIWASHI_S</t>
  </si>
  <si>
    <t>Mareanie</t>
  </si>
  <si>
    <t>MAREANIE</t>
  </si>
  <si>
    <t>TOXAPEX</t>
  </si>
  <si>
    <t>Mudbray</t>
  </si>
  <si>
    <t>MUDBRAY</t>
  </si>
  <si>
    <t>Mudsdale</t>
  </si>
  <si>
    <t>MUDSDALE</t>
  </si>
  <si>
    <t>Dewpider</t>
  </si>
  <si>
    <t>DEWPIDER</t>
  </si>
  <si>
    <t>ARAQUANID</t>
  </si>
  <si>
    <t>Fomantis</t>
  </si>
  <si>
    <t>FOMANTIS</t>
  </si>
  <si>
    <t>Lurantis</t>
  </si>
  <si>
    <t>LURANTIS</t>
  </si>
  <si>
    <t>Morelull</t>
  </si>
  <si>
    <t>MORELULL</t>
  </si>
  <si>
    <t>Shiinotic</t>
  </si>
  <si>
    <t>SHIINOTIC</t>
  </si>
  <si>
    <t>SALANDIT</t>
  </si>
  <si>
    <t>Salazzle</t>
  </si>
  <si>
    <t>SALAZZLE</t>
  </si>
  <si>
    <t>STUFFUL</t>
  </si>
  <si>
    <t>BEWEAR</t>
  </si>
  <si>
    <t>Bounsweet</t>
  </si>
  <si>
    <t>BOUNSWEET</t>
  </si>
  <si>
    <t>Steenee</t>
  </si>
  <si>
    <t>STEENEE</t>
  </si>
  <si>
    <t>Tsareena</t>
  </si>
  <si>
    <t>TSAREENA</t>
  </si>
  <si>
    <t>Comfey</t>
  </si>
  <si>
    <t>COMFEY</t>
  </si>
  <si>
    <t>Oranguru</t>
  </si>
  <si>
    <t>ORANGURU</t>
  </si>
  <si>
    <t>Passimian</t>
  </si>
  <si>
    <t>PASSIMIAN</t>
  </si>
  <si>
    <t>Wimpod</t>
  </si>
  <si>
    <t>WIMPOD</t>
  </si>
  <si>
    <t>GOLISOPOD</t>
  </si>
  <si>
    <t>Sandygast</t>
  </si>
  <si>
    <t>SANDYGAST</t>
  </si>
  <si>
    <t>PALOSSAND</t>
  </si>
  <si>
    <t>Pyukumuku</t>
  </si>
  <si>
    <t>PYUKUMUKU</t>
  </si>
  <si>
    <t>Type: Null</t>
  </si>
  <si>
    <t>TYPE_NULL</t>
  </si>
  <si>
    <t>Silvally</t>
  </si>
  <si>
    <t>SILVALLY</t>
  </si>
  <si>
    <t>Silvally-Bug</t>
  </si>
  <si>
    <t>SILVALLY_BUG</t>
  </si>
  <si>
    <t>Silvally-Dark</t>
  </si>
  <si>
    <t>SILVALLY_DARK</t>
  </si>
  <si>
    <t>Silvally-Dragon</t>
  </si>
  <si>
    <t>SILVALLY_DRAGON</t>
  </si>
  <si>
    <t>Silvally-Electric</t>
  </si>
  <si>
    <t>SILVALLY_ELECTRIC</t>
  </si>
  <si>
    <t>SILVALLY_FAIRY</t>
  </si>
  <si>
    <t>Silvally-Fighting</t>
  </si>
  <si>
    <t>SILVALLY_FIGHT</t>
  </si>
  <si>
    <t>Silvally-Fire</t>
  </si>
  <si>
    <t>SILVALLY_FIRE</t>
  </si>
  <si>
    <t>Silvally-Flying</t>
  </si>
  <si>
    <t>SILVALLY_FLYING</t>
  </si>
  <si>
    <t>Silvally-Ghost</t>
  </si>
  <si>
    <t>SILVALLY_GHOST</t>
  </si>
  <si>
    <t>Silvally-Grass</t>
  </si>
  <si>
    <t>SILVALLY_GRASS</t>
  </si>
  <si>
    <t>Silvally-Ground</t>
  </si>
  <si>
    <t>SILVALLY_GROUND</t>
  </si>
  <si>
    <t>Silvally-Ice</t>
  </si>
  <si>
    <t>SILVALLY_ICE</t>
  </si>
  <si>
    <t>Silvally-Poison</t>
  </si>
  <si>
    <t>SILVALLY_POISON</t>
  </si>
  <si>
    <t>Silvally-Psychic</t>
  </si>
  <si>
    <t>SILVALLY_PSYCHIC</t>
  </si>
  <si>
    <t>Silvally-Rock</t>
  </si>
  <si>
    <t>SILVALLY_ROCK</t>
  </si>
  <si>
    <t>Silvally-Steel</t>
  </si>
  <si>
    <t>SILVALLY_STEEL</t>
  </si>
  <si>
    <t>Silvally-Water</t>
  </si>
  <si>
    <t>SILVALLY_WATER</t>
  </si>
  <si>
    <t>Minior-Core</t>
  </si>
  <si>
    <t>MINIOR_CORE</t>
  </si>
  <si>
    <t>Minior-Meteor</t>
  </si>
  <si>
    <t>MINIOR_SHIELD</t>
  </si>
  <si>
    <t>KOMALA</t>
  </si>
  <si>
    <t>Turtonator</t>
  </si>
  <si>
    <t>TURTONATOR</t>
  </si>
  <si>
    <t>TOGEDEMARU</t>
  </si>
  <si>
    <t>MIMIKYU</t>
  </si>
  <si>
    <t>Bruxish</t>
  </si>
  <si>
    <t>BRUXISH</t>
  </si>
  <si>
    <t>DRAMPA</t>
  </si>
  <si>
    <t>Dhelmise</t>
  </si>
  <si>
    <t>DHELMISE</t>
  </si>
  <si>
    <t>Jangmo-o</t>
  </si>
  <si>
    <t>JANGMO_O</t>
  </si>
  <si>
    <t>Hakamo-o</t>
  </si>
  <si>
    <t>HAKAMO_O</t>
  </si>
  <si>
    <t>KOMMO_O</t>
  </si>
  <si>
    <t>Tapu Koko</t>
  </si>
  <si>
    <t>TAPU_KOKO</t>
  </si>
  <si>
    <t>TAPU_LELE</t>
  </si>
  <si>
    <t>TAPU_BULU</t>
  </si>
  <si>
    <t>Tapu Fini</t>
  </si>
  <si>
    <t>TAPU_FINI</t>
  </si>
  <si>
    <t>Cosmog</t>
  </si>
  <si>
    <t>COSMOG</t>
  </si>
  <si>
    <t>Cosmoem</t>
  </si>
  <si>
    <t>COSMOEM</t>
  </si>
  <si>
    <t>Solgaleo</t>
  </si>
  <si>
    <t>SOLGALEO</t>
  </si>
  <si>
    <t>Lunala</t>
  </si>
  <si>
    <t>LUNALA</t>
  </si>
  <si>
    <t>Nihilego</t>
  </si>
  <si>
    <t>NIHILEGO</t>
  </si>
  <si>
    <t>Buzzwole</t>
  </si>
  <si>
    <t>BUZZWOLE</t>
  </si>
  <si>
    <t>PHEROMOSA</t>
  </si>
  <si>
    <t>Xurkitree</t>
  </si>
  <si>
    <t>XURKITREE</t>
  </si>
  <si>
    <t>CELESTEELA</t>
  </si>
  <si>
    <t>Kartana</t>
  </si>
  <si>
    <t>KARTANA</t>
  </si>
  <si>
    <t>Guzzlord</t>
  </si>
  <si>
    <t>GUZZLORD</t>
  </si>
  <si>
    <t>Necrozma</t>
  </si>
  <si>
    <t>NECROZMA</t>
  </si>
  <si>
    <t>NECROZMA_DUSK_MANE</t>
  </si>
  <si>
    <t>Necrozma-DW</t>
  </si>
  <si>
    <t>NECROZMA_DAWN_WINGS</t>
  </si>
  <si>
    <t>Necrozma-Ultra</t>
  </si>
  <si>
    <t>NECROZMA_ULTRA</t>
  </si>
  <si>
    <t>MAGEARNA</t>
  </si>
  <si>
    <t>MARSHADOW</t>
  </si>
  <si>
    <t>Poipole</t>
  </si>
  <si>
    <t>POIPOLE</t>
  </si>
  <si>
    <t>NAGANADEL</t>
  </si>
  <si>
    <t>Stakataka</t>
  </si>
  <si>
    <t>STAKATAKA</t>
  </si>
  <si>
    <t>Blacephalon</t>
  </si>
  <si>
    <t>BLACEPHALON</t>
  </si>
  <si>
    <t>Zeraora</t>
  </si>
  <si>
    <t>ZERAORA</t>
  </si>
  <si>
    <t>Meltan</t>
  </si>
  <si>
    <t>MELTAN</t>
  </si>
  <si>
    <t>MELMETAL</t>
  </si>
  <si>
    <t>GALAR</t>
  </si>
  <si>
    <t>Grookey</t>
  </si>
  <si>
    <t>GROOKEY</t>
  </si>
  <si>
    <t>THWACKEY</t>
  </si>
  <si>
    <t>RILLABOOM</t>
  </si>
  <si>
    <t>Scorbunny</t>
  </si>
  <si>
    <t>SCORBUNNY</t>
  </si>
  <si>
    <t>Raboot</t>
  </si>
  <si>
    <t>RABOOT</t>
  </si>
  <si>
    <t>Cinderace</t>
  </si>
  <si>
    <t>CINDERACE</t>
  </si>
  <si>
    <t>Sobble</t>
  </si>
  <si>
    <t>SOBBLE</t>
  </si>
  <si>
    <t>Drizzile</t>
  </si>
  <si>
    <t>DRIZZILE</t>
  </si>
  <si>
    <t>INTELEON</t>
  </si>
  <si>
    <t>Skwovet</t>
  </si>
  <si>
    <t>SKWOVET</t>
  </si>
  <si>
    <t>GREEDENT</t>
  </si>
  <si>
    <t>Rookidee</t>
  </si>
  <si>
    <t>ROOKIDEE</t>
  </si>
  <si>
    <t>Corvisquire</t>
  </si>
  <si>
    <t>CORVISQUIRE</t>
  </si>
  <si>
    <t>CORVIKNIGHT</t>
  </si>
  <si>
    <t>Blipbug</t>
  </si>
  <si>
    <t>BLIPBUG</t>
  </si>
  <si>
    <t>Dottler</t>
  </si>
  <si>
    <t>DOTTLER</t>
  </si>
  <si>
    <t>Orbeetle</t>
  </si>
  <si>
    <t>ORBEETLE</t>
  </si>
  <si>
    <t>Orbeetle-Mega</t>
  </si>
  <si>
    <t>ORBEETLE_GIGA</t>
  </si>
  <si>
    <t>Nickit</t>
  </si>
  <si>
    <t>NICKIT</t>
  </si>
  <si>
    <t>Thievul</t>
  </si>
  <si>
    <t>THIEVUL</t>
  </si>
  <si>
    <t>Gossifleur</t>
  </si>
  <si>
    <t>GOSSIFLEUR</t>
  </si>
  <si>
    <t>Eldegoss</t>
  </si>
  <si>
    <t>ELDEGOSS</t>
  </si>
  <si>
    <t>Wooloo</t>
  </si>
  <si>
    <t>WOOLOO</t>
  </si>
  <si>
    <t>Dubwool</t>
  </si>
  <si>
    <t>DUBWOOL</t>
  </si>
  <si>
    <t>Chewtle</t>
  </si>
  <si>
    <t>CHEWTLE</t>
  </si>
  <si>
    <t>Drednaw</t>
  </si>
  <si>
    <t>DREDNAW</t>
  </si>
  <si>
    <t>DREDNAW_GIGA</t>
  </si>
  <si>
    <t>Yamper</t>
  </si>
  <si>
    <t>YAMPER</t>
  </si>
  <si>
    <t>Boltund</t>
  </si>
  <si>
    <t>BOLTUND</t>
  </si>
  <si>
    <t>Rolycoly</t>
  </si>
  <si>
    <t>ROLYCOLY</t>
  </si>
  <si>
    <t>Carkol</t>
  </si>
  <si>
    <t>CARKOL</t>
  </si>
  <si>
    <t>Coalossal</t>
  </si>
  <si>
    <t>COALOSSAL</t>
  </si>
  <si>
    <t>Coalossal-Mega</t>
  </si>
  <si>
    <t>COALOSSAL_GIGA</t>
  </si>
  <si>
    <t>Applin</t>
  </si>
  <si>
    <t>APPLIN</t>
  </si>
  <si>
    <t>Flapple</t>
  </si>
  <si>
    <t>FLAPPLE</t>
  </si>
  <si>
    <t>FLAPPLE_GIGA</t>
  </si>
  <si>
    <t>Appletun</t>
  </si>
  <si>
    <t>APPLETUN</t>
  </si>
  <si>
    <t>APPLETUN_GIGA</t>
  </si>
  <si>
    <t>Silicobra</t>
  </si>
  <si>
    <t>SILICOBRA</t>
  </si>
  <si>
    <t>Sandaconda</t>
  </si>
  <si>
    <t>SANDACONDA</t>
  </si>
  <si>
    <t>SANDACONDA_GIGA</t>
  </si>
  <si>
    <t>CRAMORANT</t>
  </si>
  <si>
    <t>Cramorant-Gorg</t>
  </si>
  <si>
    <t>CRAMORANT_GORGING</t>
  </si>
  <si>
    <t>Cramorant-Gulp</t>
  </si>
  <si>
    <t>CRAMORANT_GULPING</t>
  </si>
  <si>
    <t>Arrokuda</t>
  </si>
  <si>
    <t>ARROKUDA</t>
  </si>
  <si>
    <t>BARRASKEWDA</t>
  </si>
  <si>
    <t>Toxel</t>
  </si>
  <si>
    <t>TOXEL</t>
  </si>
  <si>
    <t>Toxtricity</t>
  </si>
  <si>
    <t>TOXTRICITY</t>
  </si>
  <si>
    <t>TOXTRICITY_GIGA</t>
  </si>
  <si>
    <t>Sizzlipede</t>
  </si>
  <si>
    <t>SIZZLIPEDE</t>
  </si>
  <si>
    <t>Centiskorch</t>
  </si>
  <si>
    <t>CENTISKORCH</t>
  </si>
  <si>
    <t>CENTISKORCH_GIGA</t>
  </si>
  <si>
    <t>Clobbopus</t>
  </si>
  <si>
    <t>CLOBBOPUS</t>
  </si>
  <si>
    <t>GRAPPLOCT</t>
  </si>
  <si>
    <t>Sinistea</t>
  </si>
  <si>
    <t>SINISTEA</t>
  </si>
  <si>
    <t>Polteageist</t>
  </si>
  <si>
    <t>POLTEAGEIST</t>
  </si>
  <si>
    <t>Hatenna</t>
  </si>
  <si>
    <t>HATENNA</t>
  </si>
  <si>
    <t>Hattrem</t>
  </si>
  <si>
    <t>HATTREM</t>
  </si>
  <si>
    <t>HATTERENE</t>
  </si>
  <si>
    <t>Impidimp</t>
  </si>
  <si>
    <t>IMPIDIMP</t>
  </si>
  <si>
    <t>Morgrem</t>
  </si>
  <si>
    <t>MORGREM</t>
  </si>
  <si>
    <t>GRIMMSNARL</t>
  </si>
  <si>
    <t>OBSTAGOON</t>
  </si>
  <si>
    <t>Perrserker</t>
  </si>
  <si>
    <t>PERRSERKER</t>
  </si>
  <si>
    <t>CURSOLA</t>
  </si>
  <si>
    <t>Sirfetch'd</t>
  </si>
  <si>
    <t>SIRFETCHD</t>
  </si>
  <si>
    <t>Mr. Rime</t>
  </si>
  <si>
    <t>MR_RIME</t>
  </si>
  <si>
    <t>Runerigus</t>
  </si>
  <si>
    <t>RUNERIGUS</t>
  </si>
  <si>
    <t>Milcery</t>
  </si>
  <si>
    <t>MILCERY</t>
  </si>
  <si>
    <t>Alcremie</t>
  </si>
  <si>
    <t>ALCREMIE_STRAWBERRY</t>
  </si>
  <si>
    <t>ALCREMIE_GIGA</t>
  </si>
  <si>
    <t>Falinks</t>
  </si>
  <si>
    <t>FALINKS</t>
  </si>
  <si>
    <t>PINCURCHIN</t>
  </si>
  <si>
    <t>Snom</t>
  </si>
  <si>
    <t>SNOM</t>
  </si>
  <si>
    <t>FROSMOTH</t>
  </si>
  <si>
    <t>Stonjourner</t>
  </si>
  <si>
    <t>STONJOURNER</t>
  </si>
  <si>
    <t>Eiscue</t>
  </si>
  <si>
    <t>EISCUE</t>
  </si>
  <si>
    <t>Eiscue-Noice</t>
  </si>
  <si>
    <t>EISCUE_NOICE</t>
  </si>
  <si>
    <t>INDEEDEE</t>
  </si>
  <si>
    <t>INDEEDEE_FEMALE</t>
  </si>
  <si>
    <t>Morpeko</t>
  </si>
  <si>
    <t>MORPEKO</t>
  </si>
  <si>
    <t>Cufant</t>
  </si>
  <si>
    <t>CUFANT</t>
  </si>
  <si>
    <t>Copperajah</t>
  </si>
  <si>
    <t>COPPERAJAH</t>
  </si>
  <si>
    <t>Copperajah-Mega</t>
  </si>
  <si>
    <t>COPPERAJAH_GIGA</t>
  </si>
  <si>
    <t>DRACOZOLT</t>
  </si>
  <si>
    <t>ARCTOZOLT</t>
  </si>
  <si>
    <t>DRACOVISH</t>
  </si>
  <si>
    <t>Arctovish</t>
  </si>
  <si>
    <t>ARCTOVISH</t>
  </si>
  <si>
    <t>DURALUDON</t>
  </si>
  <si>
    <t>Dreepy</t>
  </si>
  <si>
    <t>DREEPY</t>
  </si>
  <si>
    <t>Drakloak</t>
  </si>
  <si>
    <t>DRAKLOAK</t>
  </si>
  <si>
    <t>DRAGAPULT</t>
  </si>
  <si>
    <t>Zacian</t>
  </si>
  <si>
    <t>ZACIAN</t>
  </si>
  <si>
    <t>ZACIAN_CROWNED</t>
  </si>
  <si>
    <t>Zamazenta</t>
  </si>
  <si>
    <t>ZAMAZENTA</t>
  </si>
  <si>
    <t>Zamazenta-C</t>
  </si>
  <si>
    <t>ZAMAZENTA_CROWNED</t>
  </si>
  <si>
    <t>ETERNATUS</t>
  </si>
  <si>
    <t>Eternatus-Max</t>
  </si>
  <si>
    <t>ETERNATUS_ETERNAMAX</t>
  </si>
  <si>
    <t>Kubfu</t>
  </si>
  <si>
    <t>KUBFU</t>
  </si>
  <si>
    <t>URSHIFU_SINGLE</t>
  </si>
  <si>
    <t>URSHIFU_RAPID</t>
  </si>
  <si>
    <t>ZARUDE</t>
  </si>
  <si>
    <t>Regieleki</t>
  </si>
  <si>
    <t>REGIELEKI</t>
  </si>
  <si>
    <t>Regidrago</t>
  </si>
  <si>
    <t>REGIDRAGO</t>
  </si>
  <si>
    <t>Glastrier</t>
  </si>
  <si>
    <t>GLASTRIER</t>
  </si>
  <si>
    <t>Spectrier</t>
  </si>
  <si>
    <t>SPECTRIER</t>
  </si>
  <si>
    <t>Calyrex</t>
  </si>
  <si>
    <t>CALYREX</t>
  </si>
  <si>
    <t>CALYREX_ICE</t>
  </si>
  <si>
    <t>Calyrex-S</t>
  </si>
  <si>
    <t>CALYREX_SHADOW</t>
  </si>
  <si>
    <t>Wyrdeer</t>
  </si>
  <si>
    <t>WYRDEER</t>
  </si>
  <si>
    <t>KLEAVOR</t>
  </si>
  <si>
    <t>URSALUNA</t>
  </si>
  <si>
    <t>URSALUNA_BM</t>
  </si>
  <si>
    <t>BASCULEGION</t>
  </si>
  <si>
    <t>BASCULEGION_F</t>
  </si>
  <si>
    <t>SNEASLER</t>
  </si>
  <si>
    <t>OVERQWIL</t>
  </si>
  <si>
    <t>ENAMORUS</t>
  </si>
  <si>
    <t>ENAMORUS_THERIAN</t>
  </si>
  <si>
    <t>PALDEA</t>
  </si>
  <si>
    <t>Sprigatito</t>
  </si>
  <si>
    <t>SPRIGATITO</t>
  </si>
  <si>
    <t>Floragato</t>
  </si>
  <si>
    <t>FLORAGATO</t>
  </si>
  <si>
    <t>MEOWSCARADA</t>
  </si>
  <si>
    <t>Fuecoco</t>
  </si>
  <si>
    <t>FUECOCO</t>
  </si>
  <si>
    <t>Crocalor</t>
  </si>
  <si>
    <t>CROCALOR</t>
  </si>
  <si>
    <t>SKELEDIRGE</t>
  </si>
  <si>
    <t>Quaxly</t>
  </si>
  <si>
    <t>QUAXLY</t>
  </si>
  <si>
    <t>Quaxwell</t>
  </si>
  <si>
    <t>QUAXWELL</t>
  </si>
  <si>
    <t>QUAQUAVAL</t>
  </si>
  <si>
    <t>Lechonk</t>
  </si>
  <si>
    <t>LECHONK</t>
  </si>
  <si>
    <t>Oinkologne</t>
  </si>
  <si>
    <t>OINKOLOGNE</t>
  </si>
  <si>
    <t>OINKOLOGNE_F</t>
  </si>
  <si>
    <t>Tarountula</t>
  </si>
  <si>
    <t>TAROUNTULA</t>
  </si>
  <si>
    <t>Spidops</t>
  </si>
  <si>
    <t>SPIDOPS</t>
  </si>
  <si>
    <t>Nymble</t>
  </si>
  <si>
    <t>NYMBLE</t>
  </si>
  <si>
    <t>LOKIX</t>
  </si>
  <si>
    <t>Pawmi</t>
  </si>
  <si>
    <t>PAWMI</t>
  </si>
  <si>
    <t>Pawmo</t>
  </si>
  <si>
    <t>PAWMO</t>
  </si>
  <si>
    <t>PAWMOT</t>
  </si>
  <si>
    <t>Tandemaus</t>
  </si>
  <si>
    <t>TANDEMAUS</t>
  </si>
  <si>
    <t>MAUSHOLD</t>
  </si>
  <si>
    <t>Fidough</t>
  </si>
  <si>
    <t>FIDOUGH</t>
  </si>
  <si>
    <t>Dachsbun</t>
  </si>
  <si>
    <t>DACHSBUN</t>
  </si>
  <si>
    <t>Smoliv</t>
  </si>
  <si>
    <t>SMOLIV</t>
  </si>
  <si>
    <t>Dolliv</t>
  </si>
  <si>
    <t>DOLLIV</t>
  </si>
  <si>
    <t>Arboliva</t>
  </si>
  <si>
    <t>ARBOLIVA</t>
  </si>
  <si>
    <t>Squawkabilly-G</t>
  </si>
  <si>
    <t>SQUAWKABILLY</t>
  </si>
  <si>
    <t>Squawkabilly-W</t>
  </si>
  <si>
    <t>SQUAWKABILLY_2</t>
  </si>
  <si>
    <t>Nacli</t>
  </si>
  <si>
    <t>NACLI</t>
  </si>
  <si>
    <t>Naclstack</t>
  </si>
  <si>
    <t>NACLSTACK</t>
  </si>
  <si>
    <t>GARGANACL</t>
  </si>
  <si>
    <t>CHARCADET</t>
  </si>
  <si>
    <t>ARMAROUGE</t>
  </si>
  <si>
    <t>CERULEDGE</t>
  </si>
  <si>
    <t>Tadbulb</t>
  </si>
  <si>
    <t>TADBULB</t>
  </si>
  <si>
    <t>BELLIBOLT</t>
  </si>
  <si>
    <t>WATTREL</t>
  </si>
  <si>
    <t>KILOWATTREL</t>
  </si>
  <si>
    <t>Maschiff</t>
  </si>
  <si>
    <t>MASCHIFF</t>
  </si>
  <si>
    <t>MABOSSTIFF</t>
  </si>
  <si>
    <t>Shroodle</t>
  </si>
  <si>
    <t>SHROODLE</t>
  </si>
  <si>
    <t>Grafaiai</t>
  </si>
  <si>
    <t>GRAFAIAI</t>
  </si>
  <si>
    <t>Bramblin</t>
  </si>
  <si>
    <t>BRAMBLIN</t>
  </si>
  <si>
    <t>Brambleghast</t>
  </si>
  <si>
    <t>BRAMBLEGHAST</t>
  </si>
  <si>
    <t>Toedscool</t>
  </si>
  <si>
    <t>TOEDSCOOL</t>
  </si>
  <si>
    <t>Toedscruel</t>
  </si>
  <si>
    <t>TOEDSCRUEL</t>
  </si>
  <si>
    <t>Klawf</t>
  </si>
  <si>
    <t>KLAWF</t>
  </si>
  <si>
    <t>Capsakid</t>
  </si>
  <si>
    <t>CAPSAKID</t>
  </si>
  <si>
    <t>Scovillain</t>
  </si>
  <si>
    <t>SCOVILLAIN</t>
  </si>
  <si>
    <t>Rellor</t>
  </si>
  <si>
    <t>RELLOR</t>
  </si>
  <si>
    <t>Rabsca</t>
  </si>
  <si>
    <t>RABSCA</t>
  </si>
  <si>
    <t>FLITTLE</t>
  </si>
  <si>
    <t>Espathra</t>
  </si>
  <si>
    <t>ESPATHRA</t>
  </si>
  <si>
    <t>Tinkatink</t>
  </si>
  <si>
    <t>TINKATINK</t>
  </si>
  <si>
    <t>Tinkatuff</t>
  </si>
  <si>
    <t>TINKATUFF</t>
  </si>
  <si>
    <t>TINKATON</t>
  </si>
  <si>
    <t>Wiglett</t>
  </si>
  <si>
    <t>WIGLETT</t>
  </si>
  <si>
    <t>WUGTRIO</t>
  </si>
  <si>
    <t>Bombirdier</t>
  </si>
  <si>
    <t>BOMBIRDIER</t>
  </si>
  <si>
    <t>Finizen</t>
  </si>
  <si>
    <t>FINIZEN</t>
  </si>
  <si>
    <t>Palafin</t>
  </si>
  <si>
    <t>PALAFIN</t>
  </si>
  <si>
    <t>PALAFIN_HERO</t>
  </si>
  <si>
    <t>VAROOM</t>
  </si>
  <si>
    <t>REVAVROOM</t>
  </si>
  <si>
    <t>CYCLIZAR</t>
  </si>
  <si>
    <t>ORTHWORM</t>
  </si>
  <si>
    <t>GLIMMET</t>
  </si>
  <si>
    <t>Glimmora</t>
  </si>
  <si>
    <t>GLIMMORA</t>
  </si>
  <si>
    <t>Greavard</t>
  </si>
  <si>
    <t>GREAVARD</t>
  </si>
  <si>
    <t>HOUNDSTONE</t>
  </si>
  <si>
    <t>Flamigo</t>
  </si>
  <si>
    <t>FLAMIGO</t>
  </si>
  <si>
    <t>Cetoddle</t>
  </si>
  <si>
    <t>CETODDLE</t>
  </si>
  <si>
    <t>Cetitan</t>
  </si>
  <si>
    <t>CETITAN</t>
  </si>
  <si>
    <t>VELUZA</t>
  </si>
  <si>
    <t>Dondozo</t>
  </si>
  <si>
    <t>DONDOZO</t>
  </si>
  <si>
    <t>TATSUGIRI</t>
  </si>
  <si>
    <t>Annihilape</t>
  </si>
  <si>
    <t>ANNIHILAPE</t>
  </si>
  <si>
    <t>CLODSIRE</t>
  </si>
  <si>
    <t>FARIGIRAF</t>
  </si>
  <si>
    <t>DUDUNSPARCE</t>
  </si>
  <si>
    <t>KINGAMBIT</t>
  </si>
  <si>
    <t>GREATTUSK</t>
  </si>
  <si>
    <t>SCREAMTAIL</t>
  </si>
  <si>
    <t>BRUTEBONNET</t>
  </si>
  <si>
    <t>FLUTTERMANE</t>
  </si>
  <si>
    <t>SLITHERWING</t>
  </si>
  <si>
    <t>SANDYSHOCKS</t>
  </si>
  <si>
    <t>IRONTREADS</t>
  </si>
  <si>
    <t>IRONBUNDLE</t>
  </si>
  <si>
    <t>IRONHANDS</t>
  </si>
  <si>
    <t>IRONJUGULIS</t>
  </si>
  <si>
    <t>IRONMOTH</t>
  </si>
  <si>
    <t>Iron Thorns</t>
  </si>
  <si>
    <t>IRONTHORNS</t>
  </si>
  <si>
    <t>Frigibax</t>
  </si>
  <si>
    <t>FRIGIBAX</t>
  </si>
  <si>
    <t>Arctibax</t>
  </si>
  <si>
    <t>ARCTIBAX</t>
  </si>
  <si>
    <t>BAXCALIBUR</t>
  </si>
  <si>
    <t>Gimmighoul</t>
  </si>
  <si>
    <t>GIMMIGHOUL_CHEST</t>
  </si>
  <si>
    <t>GHOLDENGO</t>
  </si>
  <si>
    <t>Wo-Chien</t>
  </si>
  <si>
    <t>WO_CHIEN</t>
  </si>
  <si>
    <t>CHIEN_PAO</t>
  </si>
  <si>
    <t>Ting-Lu</t>
  </si>
  <si>
    <t>TING_LU</t>
  </si>
  <si>
    <t>CHI_YU</t>
  </si>
  <si>
    <t>ROARINGMOON</t>
  </si>
  <si>
    <t>IRONVALIANT</t>
  </si>
  <si>
    <t>KORAIDON</t>
  </si>
  <si>
    <t>MIRAIDON</t>
  </si>
  <si>
    <t>WALKINGWAKE</t>
  </si>
  <si>
    <t>Iron Leaves</t>
  </si>
  <si>
    <t>IRONLEAVES</t>
  </si>
  <si>
    <t>DIPPLIN</t>
  </si>
  <si>
    <t>Poltchageist</t>
  </si>
  <si>
    <t>POLTCHAGEIST</t>
  </si>
  <si>
    <t>SINISTCHA</t>
  </si>
  <si>
    <t>OKIDOGI</t>
  </si>
  <si>
    <t>MUNKIDORI</t>
  </si>
  <si>
    <t>FEZANDIPITI</t>
  </si>
  <si>
    <t>Ogerpon</t>
  </si>
  <si>
    <t>OGERPON</t>
  </si>
  <si>
    <t>OGERPON_W</t>
  </si>
  <si>
    <t>OGERPON_F</t>
  </si>
  <si>
    <t>OGERPON_R</t>
  </si>
  <si>
    <t>ARCHALUDON</t>
  </si>
  <si>
    <t>HYDRAPPLE</t>
  </si>
  <si>
    <t>GOUGINGFIRE</t>
  </si>
  <si>
    <t>Raging Bolt</t>
  </si>
  <si>
    <t>RAGINGBOLT</t>
  </si>
  <si>
    <t>Iron Boulder</t>
  </si>
  <si>
    <t>IRONBOULDER</t>
  </si>
  <si>
    <t>Iron Crown</t>
  </si>
  <si>
    <t>IRONCROWN</t>
  </si>
  <si>
    <t>Terapagos</t>
  </si>
  <si>
    <t>TERAPAGOS</t>
  </si>
  <si>
    <t>Pecharunt</t>
  </si>
  <si>
    <t>PECHARUNT</t>
  </si>
  <si>
    <t>SEVII / CUSTOM</t>
  </si>
  <si>
    <t>Doduo-S</t>
  </si>
  <si>
    <t>DODUO_S</t>
  </si>
  <si>
    <t>DODRIO_S</t>
  </si>
  <si>
    <t>Teddiursa-S</t>
  </si>
  <si>
    <t>TEDDIURSA_S</t>
  </si>
  <si>
    <t>URSARING_S</t>
  </si>
  <si>
    <t>Mantyke-S</t>
  </si>
  <si>
    <t>MANTYKE_S</t>
  </si>
  <si>
    <t>MANTINE_S</t>
  </si>
  <si>
    <t>Feebas-S</t>
  </si>
  <si>
    <t>FEEBAS_S</t>
  </si>
  <si>
    <t>MILOTIC_S</t>
  </si>
  <si>
    <t>Carnivine-S</t>
  </si>
  <si>
    <t>CARNIVINE_S</t>
  </si>
  <si>
    <t>Blitzle-S</t>
  </si>
  <si>
    <t>BLITZLE_S</t>
  </si>
  <si>
    <t>ZEBSTRIKA_S</t>
  </si>
  <si>
    <t>Clauncher-S</t>
  </si>
  <si>
    <t>CLAUNCHER_S</t>
  </si>
  <si>
    <t>CLAWITZER_S</t>
  </si>
  <si>
    <t>Noibat-S</t>
  </si>
  <si>
    <t>NOIBAT_S</t>
  </si>
  <si>
    <t>Noivern-S</t>
  </si>
  <si>
    <t>NOIVERN_S</t>
  </si>
  <si>
    <t>Wishiwashi-S</t>
  </si>
  <si>
    <t>WISHIWASHI_SEVI</t>
  </si>
  <si>
    <t>WISHIWASHI_SEVI_S</t>
  </si>
  <si>
    <t>Dhelmise-S</t>
  </si>
  <si>
    <t>DHELMISE_S</t>
  </si>
  <si>
    <t>Sizzlipede-S</t>
  </si>
  <si>
    <t>SIZZLIPEDE_S</t>
  </si>
  <si>
    <t>Centiskorch-S</t>
  </si>
  <si>
    <t>CENTISKORCH_S</t>
  </si>
  <si>
    <t>CENTISKORCH_S_MEGA</t>
  </si>
  <si>
    <t>Nymble-S</t>
  </si>
  <si>
    <t>NYMBLE_S</t>
  </si>
  <si>
    <t>Lokix-S</t>
  </si>
  <si>
    <t>LOKIX_S</t>
  </si>
  <si>
    <t>Chillet</t>
  </si>
  <si>
    <t>CHILLET</t>
  </si>
</sst>
</file>

<file path=xl/styles.xml><?xml version="1.0" encoding="utf-8"?>
<styleSheet xmlns="http://schemas.openxmlformats.org/spreadsheetml/2006/main" xmlns:x14ac="http://schemas.microsoft.com/office/spreadsheetml/2009/9/ac" xmlns:mc="http://schemas.openxmlformats.org/markup-compatibility/2006">
  <fonts count="186">
    <font>
      <sz val="10.0"/>
      <color rgb="FF000000"/>
      <name val="Arial"/>
      <scheme val="minor"/>
    </font>
    <font>
      <color theme="1"/>
      <name val="Lexend"/>
    </font>
    <font>
      <color theme="1"/>
      <name val="Arial"/>
    </font>
    <font>
      <b/>
      <sz val="16.0"/>
      <color rgb="FF3E3A3A"/>
      <name val="Lexend"/>
    </font>
    <font/>
    <font>
      <b/>
      <i/>
      <sz val="16.0"/>
      <color rgb="FFFF00FF"/>
      <name val="Lexend"/>
    </font>
    <font>
      <b/>
      <i/>
      <sz val="14.0"/>
      <color rgb="FF6FA8DC"/>
      <name val="Lexend"/>
    </font>
    <font>
      <b/>
      <u/>
      <sz val="16.0"/>
      <color rgb="FF0000FF"/>
      <name val="Lexend"/>
    </font>
    <font>
      <b/>
      <u/>
      <sz val="16.0"/>
      <color rgb="FF3E3A3A"/>
      <name val="Lexend"/>
    </font>
    <font>
      <b/>
      <u/>
      <sz val="15.0"/>
      <color rgb="FFFFB500"/>
      <name val="Lexend"/>
    </font>
    <font>
      <sz val="11.0"/>
      <color theme="1"/>
      <name val="Lexend"/>
    </font>
    <font>
      <color rgb="FFFEBF00"/>
      <name val="Arial"/>
    </font>
    <font>
      <b/>
      <u/>
      <sz val="15.0"/>
      <color rgb="FFF68339"/>
      <name val="Lexend"/>
    </font>
    <font>
      <color rgb="FF000000"/>
      <name val="Lexend"/>
    </font>
    <font>
      <b/>
      <u/>
      <sz val="15.0"/>
      <color rgb="FFFF0000"/>
      <name val="Lexend"/>
    </font>
    <font>
      <color rgb="FFFFFFFF"/>
      <name val="IBM Plex Sans Condensed"/>
    </font>
    <font>
      <b/>
      <sz val="14.0"/>
      <color rgb="FFFFFFFF"/>
      <name val="IBM Plex Sans Condensed"/>
    </font>
    <font>
      <b/>
      <u/>
      <sz val="12.0"/>
      <color rgb="FFC83850"/>
      <name val="&quot;IBM Plex Sans Condensed&quot;"/>
    </font>
    <font>
      <b/>
      <u/>
      <sz val="15.0"/>
      <color rgb="FFFFFFFF"/>
      <name val="IBM Plex Sans Condensed"/>
    </font>
    <font>
      <b/>
      <sz val="20.0"/>
      <color theme="1"/>
      <name val="IBM Plex Sans Condensed"/>
    </font>
    <font>
      <b/>
      <i/>
      <sz val="12.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color rgb="FFFFFFFF"/>
      <name val="Arial"/>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u/>
      <color rgb="FF0000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color rgb="FF434343"/>
      <name val="Lexend"/>
    </font>
    <font>
      <sz val="12.0"/>
      <color theme="1"/>
      <name val="Lexend"/>
    </font>
    <font>
      <sz val="9.0"/>
      <color rgb="FF434343"/>
      <name val="Lexend"/>
    </font>
    <font>
      <b/>
      <color rgb="FF434343"/>
      <name val="Lexend"/>
    </font>
    <font>
      <b/>
      <color rgb="FF000000"/>
      <name val="Lexend"/>
    </font>
    <font>
      <b/>
      <sz val="10.0"/>
      <color rgb="FF3E3A3A"/>
      <name val="Barlow Semi Condensed"/>
    </font>
    <font>
      <sz val="11.0"/>
      <color rgb="FF434343"/>
      <name val="Lexend"/>
    </font>
    <font>
      <b/>
      <sz val="13.0"/>
      <color rgb="FF000000"/>
      <name val="IBM Plex Sans Condensed"/>
    </font>
    <font>
      <b/>
      <sz val="12.0"/>
      <color rgb="FF000000"/>
      <name val="IBM Plex Sans Condensed"/>
    </font>
    <font>
      <sz val="13.0"/>
      <color rgb="FF000000"/>
      <name val="IBM Plex Sans Condensed"/>
    </font>
    <font>
      <sz val="10.0"/>
      <color rgb="FF434343"/>
      <name val="Lexend"/>
    </font>
    <font>
      <b/>
      <sz val="11.0"/>
      <color rgb="FF000000"/>
      <name val="IBM Plex Sans Condensed"/>
    </font>
    <font>
      <sz val="11.0"/>
      <color rgb="FF000000"/>
      <name val="IBM Plex Sans Condensed"/>
    </font>
    <font>
      <color rgb="FF000000"/>
      <name val="IBM Plex Sans Condensed"/>
    </font>
    <font>
      <sz val="10.0"/>
      <color rgb="FF3E3A3A"/>
      <name val="Barlow Semi Condensed"/>
    </font>
    <font>
      <sz val="12.0"/>
      <color rgb="FF434343"/>
      <name val="Lexend"/>
    </font>
    <font>
      <b/>
      <sz val="10.0"/>
      <color theme="1"/>
      <name val="Lexend"/>
    </font>
    <font>
      <b/>
      <sz val="10.0"/>
      <color rgb="FF434343"/>
      <name val="Lexend"/>
    </font>
    <font>
      <b/>
      <sz val="11.0"/>
      <color rgb="FF434343"/>
      <name val="Lexend"/>
    </font>
    <font>
      <sz val="10.0"/>
      <color rgb="FFFCF3EB"/>
      <name val="Lexend"/>
    </font>
    <font>
      <b/>
      <sz val="10.0"/>
      <color rgb="FFFCF3EB"/>
      <name val="Lexend"/>
    </font>
    <font>
      <b/>
      <sz val="11.0"/>
      <color rgb="FFF3F3F3"/>
      <name val="IBM Plex Sans Condensed"/>
    </font>
    <font>
      <b/>
      <sz val="10.0"/>
      <color rgb="FFF3F3F3"/>
      <name val="IBM Plex Sans Condensed"/>
    </font>
    <font>
      <b/>
      <sz val="14.0"/>
      <color theme="1"/>
      <name val="Lexend"/>
    </font>
    <font>
      <b/>
      <sz val="14.0"/>
      <color rgb="FF434343"/>
      <name val="Lexend"/>
    </font>
    <font>
      <b/>
      <sz val="13.0"/>
      <color theme="1"/>
      <name val="IBM Plex Sans Condensed"/>
    </font>
    <font>
      <b/>
      <color rgb="FF434343"/>
      <name val="IBM Plex Sans Condensed"/>
    </font>
    <font>
      <sz val="13.0"/>
      <color theme="1"/>
      <name val="IBM Plex Sans Condensed"/>
    </font>
    <font>
      <sz val="10.0"/>
      <color rgb="FF000000"/>
      <name val="IBM Plex Sans Condensed"/>
    </font>
    <font>
      <b/>
      <sz val="9.0"/>
      <color rgb="FF434343"/>
      <name val="Lexend"/>
    </font>
    <font>
      <b/>
      <sz val="10.0"/>
      <color rgb="FF000000"/>
      <name val="IBM Plex Sans Condensed"/>
    </font>
    <font>
      <b/>
      <u/>
      <sz val="13.0"/>
      <color rgb="FFEA4335"/>
      <name val="IBM Plex Sans Condensed"/>
    </font>
    <font>
      <b/>
      <color rgb="FF000000"/>
      <name val="IBM Plex Sans Condensed"/>
    </font>
    <font>
      <b/>
      <sz val="10.0"/>
      <color rgb="FF000000"/>
      <name val="Lexend"/>
    </font>
    <font>
      <b/>
      <sz val="11.0"/>
      <color rgb="FF000000"/>
      <name val="Lexend"/>
    </font>
    <font>
      <sz val="12.0"/>
      <color rgb="FF000000"/>
      <name val="Lexend"/>
    </font>
    <font>
      <b/>
      <u/>
      <sz val="13.0"/>
      <color rgb="FFEA4335"/>
      <name val="IBM Plex Sans Condensed"/>
    </font>
    <font>
      <b/>
      <sz val="11.0"/>
      <color rgb="FFFFFFFF"/>
      <name val="IBM Plex Sans Condensed"/>
    </font>
    <font>
      <b/>
      <sz val="10.0"/>
      <color rgb="FFFFFFFF"/>
      <name val="IBM Plex Sans Condensed"/>
    </font>
    <font>
      <b/>
      <sz val="10.0"/>
      <color rgb="FFFCF3EB"/>
      <name val="IBM Plex Sans Condensed"/>
    </font>
    <font>
      <b/>
      <u/>
      <sz val="13.0"/>
      <color rgb="FFEA4335"/>
      <name val="IBM Plex Sans Condensed"/>
    </font>
    <font>
      <b/>
      <color theme="1"/>
      <name val="Lexend"/>
    </font>
    <font>
      <b/>
      <sz val="11.0"/>
      <color rgb="FF434343"/>
      <name val="IBM Plex Sans Condensed"/>
    </font>
    <font>
      <sz val="11.0"/>
      <color theme="1"/>
      <name val="IBM Plex Sans Condensed"/>
    </font>
    <font>
      <sz val="9.0"/>
      <color theme="1"/>
      <name val="Lexend"/>
    </font>
    <font>
      <b/>
      <sz val="12.0"/>
      <color theme="1"/>
      <name val="IBM Plex Sans Condensed"/>
    </font>
    <font>
      <sz val="10.0"/>
      <color theme="1"/>
      <name val="Lexend"/>
    </font>
    <font>
      <b/>
      <sz val="10.0"/>
      <color theme="1"/>
      <name val="IBM Plex Sans Condensed"/>
    </font>
    <font>
      <sz val="11.0"/>
      <color rgb="FF434343"/>
      <name val="IBM Plex Sans Condensed"/>
    </font>
    <font>
      <b/>
      <sz val="13.0"/>
      <color rgb="FFFFFFFF"/>
      <name val="IBM Plex Sans Condensed"/>
    </font>
    <font>
      <b/>
      <sz val="14.0"/>
      <color rgb="FF000000"/>
      <name val="Lexend"/>
    </font>
    <font>
      <b/>
      <u/>
      <sz val="13.0"/>
      <color rgb="FFEA4335"/>
      <name val="IBM Plex Sans Condensed"/>
    </font>
    <font>
      <b/>
      <sz val="11.0"/>
      <color theme="1"/>
      <name val="IBM Plex Sans Condensed"/>
    </font>
    <font>
      <b/>
      <u/>
      <sz val="13.0"/>
      <color rgb="FFEA4335"/>
      <name val="IBM Plex Sans Condensed"/>
    </font>
    <font>
      <b/>
      <sz val="9.0"/>
      <color theme="1"/>
      <name val="Lexend"/>
    </font>
    <font>
      <b/>
      <sz val="10.0"/>
      <color rgb="FFFFFFFF"/>
      <name val="Lexend"/>
    </font>
    <font>
      <b/>
      <u/>
      <sz val="13.0"/>
      <color rgb="FFEA4335"/>
      <name val="IBM Plex Sans Condensed"/>
    </font>
    <font>
      <color rgb="FF434343"/>
      <name val="IBM Plex Sans Condensed"/>
    </font>
    <font>
      <color theme="1"/>
      <name val="IBM Plex Sans Condensed"/>
    </font>
    <font>
      <sz val="9.0"/>
      <color rgb="FF434343"/>
      <name val="IBM Plex Sans Condensed"/>
    </font>
    <font>
      <b/>
      <color theme="1"/>
      <name val="IBM Plex Sans Condensed"/>
    </font>
    <font>
      <b/>
      <sz val="10.0"/>
      <color rgb="FF3E3A3A"/>
      <name val="IBM Plex Sans Condensed"/>
    </font>
    <font>
      <sz val="10.0"/>
      <color theme="1"/>
      <name val="IBM Plex Sans Condensed"/>
    </font>
    <font>
      <sz val="10.0"/>
      <color rgb="FF3E3A3A"/>
      <name val="IBM Plex Sans Condensed"/>
    </font>
    <font>
      <b/>
      <sz val="10.0"/>
      <color rgb="FF434343"/>
      <name val="IBM Plex Sans Condensed"/>
    </font>
    <font>
      <sz val="12.0"/>
      <color rgb="FF434343"/>
      <name val="IBM Plex Sans Condensed"/>
    </font>
    <font>
      <sz val="10.0"/>
      <color rgb="FFFCF3EB"/>
      <name val="IBM Plex Sans Condensed"/>
    </font>
    <font>
      <b/>
      <sz val="18.0"/>
      <color rgb="FFF3F3F3"/>
      <name val="IBM Plex Sans Condensed"/>
    </font>
    <font>
      <color rgb="FFCCCCCC"/>
      <name val="IBM Plex Sans Condensed"/>
    </font>
    <font>
      <sz val="12.0"/>
      <color rgb="FFCCCCCC"/>
      <name val="IBM Plex Sans Condensed"/>
    </font>
    <font>
      <u/>
      <sz val="13.0"/>
      <color theme="1"/>
      <name val="IBM Plex Sans Condensed"/>
    </font>
    <font>
      <b/>
      <sz val="14.0"/>
      <color rgb="FF000000"/>
      <name val="IBM Plex Sans Condensed"/>
    </font>
    <font>
      <b/>
      <u/>
      <sz val="13.0"/>
      <color rgb="FFEA4335"/>
      <name val="IBM Plex Sans Condensed"/>
    </font>
    <font>
      <sz val="12.0"/>
      <color theme="1"/>
      <name val="IBM Plex Sans Condensed"/>
    </font>
    <font>
      <b/>
      <sz val="12.0"/>
      <color rgb="FFFFFFFF"/>
      <name val="IBM Plex Sans Condensed"/>
    </font>
    <font>
      <sz val="11.0"/>
      <color rgb="FFFF0000"/>
      <name val="IBM Plex Sans Condensed"/>
    </font>
    <font>
      <color rgb="FFF3F3F3"/>
      <name val="IBM Plex Sans Condensed"/>
    </font>
    <font>
      <sz val="11.0"/>
      <color rgb="FFF3F3F3"/>
      <name val="IBM Plex Sans Condensed"/>
    </font>
    <font>
      <sz val="10.0"/>
      <color rgb="FFF3F3F3"/>
      <name val="IBM Plex Sans Condensed"/>
    </font>
    <font>
      <b/>
      <u/>
      <sz val="13.0"/>
      <color theme="1"/>
      <name val="IBM Plex Sans Condensed"/>
    </font>
    <font>
      <b/>
      <u/>
      <sz val="13.0"/>
      <color rgb="FFEA4335"/>
      <name val="IBM Plex Sans Condensed"/>
    </font>
    <font>
      <b/>
      <sz val="12.0"/>
      <color rgb="FFEA4335"/>
      <name val="IBM Plex Sans Condensed"/>
    </font>
    <font>
      <b/>
      <u/>
      <sz val="13.0"/>
      <color rgb="FFEA4335"/>
      <name val="IBM Plex Sans Condensed"/>
    </font>
    <font>
      <sz val="11.0"/>
      <color rgb="FFCC0000"/>
      <name val="IBM Plex Sans Condensed"/>
    </font>
    <font>
      <b/>
      <sz val="11.0"/>
      <color rgb="FFEA4335"/>
      <name val="IBM Plex Sans Condensed"/>
    </font>
    <font>
      <b/>
      <sz val="10.0"/>
      <color rgb="FFEA4335"/>
      <name val="IBM Plex Sans Condensed"/>
    </font>
    <font>
      <b/>
      <u/>
      <sz val="13.0"/>
      <color rgb="FFEA4335"/>
      <name val="IBM Plex Sans Condensed"/>
    </font>
    <font>
      <sz val="10.0"/>
      <color rgb="FFFFFFFF"/>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sz val="13.0"/>
      <color rgb="FFFFFFFF"/>
      <name val="IBM Plex Sans Condensed"/>
    </font>
    <font>
      <b/>
      <u/>
      <sz val="13.0"/>
      <color rgb="FFEA4335"/>
      <name val="IBM Plex Sans Condensed"/>
    </font>
    <font>
      <b/>
      <u/>
      <sz val="13.0"/>
      <color rgb="FFEA4335"/>
      <name val="IBM Plex Sans Condensed"/>
    </font>
    <font>
      <b/>
      <u/>
      <sz val="13.0"/>
      <color rgb="FFEA4335"/>
      <name val="IBM Plex Sans Condensed"/>
    </font>
    <font>
      <b/>
      <sz val="20.0"/>
      <color rgb="FF000000"/>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sz val="18.0"/>
      <color rgb="FFF3F3F3"/>
      <name val="&quot;IBM Plex Sans Condensed&quot;"/>
    </font>
    <font>
      <b/>
      <u/>
      <sz val="13.0"/>
      <color rgb="FFEA4335"/>
      <name val="IBM Plex Sans Condensed"/>
    </font>
    <font>
      <b/>
      <u/>
      <sz val="13.0"/>
      <color rgb="FFEA4335"/>
      <name val="IBM Plex Sans Condensed"/>
    </font>
    <font>
      <u/>
      <color theme="1"/>
      <name val="IBM Plex Sans Condensed"/>
    </font>
    <font>
      <b/>
      <u/>
      <sz val="13.0"/>
      <color rgb="FFEA4335"/>
      <name val="IBM Plex Sans Condensed"/>
    </font>
    <font>
      <b/>
      <u/>
      <sz val="13.0"/>
      <color rgb="FFEA4335"/>
      <name val="IBM Plex Sans Condensed"/>
    </font>
    <font>
      <b/>
      <sz val="22.0"/>
      <color rgb="FFFFFFFF"/>
      <name val="IBM Plex Sans Condensed"/>
    </font>
    <font>
      <b/>
      <u/>
      <sz val="13.0"/>
      <color rgb="FF000000"/>
      <name val="IBM Plex Sans Condensed"/>
    </font>
    <font>
      <b/>
      <u/>
      <sz val="13.0"/>
      <color rgb="FFEA4335"/>
      <name val="IBM Plex Sans Condensed"/>
    </font>
    <font>
      <b/>
      <u/>
      <sz val="13.0"/>
      <color rgb="FF000000"/>
      <name val="IBM Plex Sans Condensed"/>
    </font>
    <font>
      <color theme="1"/>
      <name val="Arial"/>
      <scheme val="minor"/>
    </font>
    <font>
      <b/>
      <u/>
      <sz val="13.0"/>
      <color theme="1"/>
      <name val="IBM Plex Sans Condensed"/>
    </font>
    <font>
      <b/>
      <u/>
      <sz val="13.0"/>
      <color theme="1"/>
      <name val="IBM Plex Sans Condensed"/>
    </font>
    <font>
      <b/>
      <u/>
      <sz val="13.0"/>
      <color theme="1"/>
      <name val="IBM Plex Sans Condensed"/>
    </font>
    <font>
      <b/>
      <i/>
      <u/>
      <sz val="13.0"/>
      <color rgb="FFEA4335"/>
      <name val="IBM Plex Sans Condensed"/>
    </font>
    <font>
      <b/>
      <sz val="13.0"/>
      <color rgb="FFEA4335"/>
      <name val="IBM Plex Sans Condensed"/>
    </font>
    <font>
      <b/>
      <sz val="15.0"/>
      <color theme="1"/>
      <name val="IBM Plex Sans Condensed"/>
    </font>
  </fonts>
  <fills count="183">
    <fill>
      <patternFill patternType="none"/>
    </fill>
    <fill>
      <patternFill patternType="lightGray"/>
    </fill>
    <fill>
      <patternFill patternType="solid">
        <fgColor rgb="FFF1C232"/>
        <bgColor rgb="FFF1C232"/>
      </patternFill>
    </fill>
    <fill>
      <patternFill patternType="solid">
        <fgColor rgb="FFF3F3F3"/>
        <bgColor rgb="FFF3F3F3"/>
      </patternFill>
    </fill>
    <fill>
      <patternFill patternType="solid">
        <fgColor rgb="FFFEBF00"/>
        <bgColor rgb="FFFEBF00"/>
      </patternFill>
    </fill>
    <fill>
      <patternFill patternType="solid">
        <fgColor rgb="FFE8E8E8"/>
        <bgColor rgb="FFE8E8E8"/>
      </patternFill>
    </fill>
    <fill>
      <patternFill patternType="solid">
        <fgColor rgb="FFF68339"/>
        <bgColor rgb="FFF68339"/>
      </patternFill>
    </fill>
    <fill>
      <patternFill patternType="solid">
        <fgColor rgb="FFFF0000"/>
        <bgColor rgb="FFFF0000"/>
      </patternFill>
    </fill>
    <fill>
      <patternFill patternType="solid">
        <fgColor rgb="FF3E3A3A"/>
        <bgColor rgb="FF3E3A3A"/>
      </patternFill>
    </fill>
    <fill>
      <patternFill patternType="solid">
        <fgColor rgb="FFEFEFEF"/>
        <bgColor rgb="FFEFEFEF"/>
      </patternFill>
    </fill>
    <fill>
      <patternFill patternType="solid">
        <fgColor rgb="FFC83850"/>
        <bgColor rgb="FFC83850"/>
      </patternFill>
    </fill>
    <fill>
      <patternFill patternType="solid">
        <fgColor rgb="FF8C949A"/>
        <bgColor rgb="FF8C949A"/>
      </patternFill>
    </fill>
    <fill>
      <patternFill patternType="solid">
        <fgColor rgb="FFEB6E6E"/>
        <bgColor rgb="FFEB6E6E"/>
      </patternFill>
    </fill>
    <fill>
      <patternFill patternType="solid">
        <fgColor rgb="FF518245"/>
        <bgColor rgb="FF518245"/>
      </patternFill>
    </fill>
    <fill>
      <patternFill patternType="solid">
        <fgColor rgb="FFD9B6B5"/>
        <bgColor rgb="FFD9B6B5"/>
      </patternFill>
    </fill>
    <fill>
      <patternFill patternType="solid">
        <fgColor rgb="FFF9516C"/>
        <bgColor rgb="FFF9516C"/>
      </patternFill>
    </fill>
    <fill>
      <patternFill patternType="solid">
        <fgColor rgb="FFA8E0D5"/>
        <bgColor rgb="FFA8E0D5"/>
      </patternFill>
    </fill>
    <fill>
      <patternFill patternType="solid">
        <fgColor rgb="FFAA9888"/>
        <bgColor rgb="FFAA9888"/>
      </patternFill>
    </fill>
    <fill>
      <patternFill patternType="solid">
        <fgColor rgb="FF6D7698"/>
        <bgColor rgb="FF6D7698"/>
      </patternFill>
    </fill>
    <fill>
      <patternFill patternType="solid">
        <fgColor rgb="FFE58F68"/>
        <bgColor rgb="FFE58F68"/>
      </patternFill>
    </fill>
    <fill>
      <patternFill patternType="solid">
        <fgColor rgb="FF5492A4"/>
        <bgColor rgb="FF5492A4"/>
      </patternFill>
    </fill>
    <fill>
      <patternFill patternType="solid">
        <fgColor rgb="FFF2C253"/>
        <bgColor rgb="FFF2C253"/>
      </patternFill>
    </fill>
    <fill>
      <patternFill patternType="solid">
        <fgColor rgb="FF90C12C"/>
        <bgColor rgb="FF90C12C"/>
      </patternFill>
    </fill>
    <fill>
      <patternFill patternType="solid">
        <fgColor rgb="FFE3BA20"/>
        <bgColor rgb="FFE3BA20"/>
      </patternFill>
    </fill>
    <fill>
      <patternFill patternType="solid">
        <fgColor rgb="FF52A494"/>
        <bgColor rgb="FF52A494"/>
      </patternFill>
    </fill>
    <fill>
      <patternFill patternType="solid">
        <fgColor rgb="FF4F4F4F"/>
        <bgColor rgb="FF4F4F4F"/>
      </patternFill>
    </fill>
    <fill>
      <patternFill patternType="solid">
        <fgColor rgb="FF3883C8"/>
        <bgColor rgb="FF3883C8"/>
      </patternFill>
    </fill>
    <fill>
      <patternFill patternType="solid">
        <fgColor rgb="FFC1ADA4"/>
        <bgColor rgb="FFC1ADA4"/>
      </patternFill>
    </fill>
    <fill>
      <patternFill patternType="solid">
        <fgColor rgb="FF4461B0"/>
        <bgColor rgb="FF4461B0"/>
      </patternFill>
    </fill>
    <fill>
      <patternFill patternType="solid">
        <fgColor rgb="FF8C8C8C"/>
        <bgColor rgb="FF8C8C8C"/>
      </patternFill>
    </fill>
    <fill>
      <patternFill patternType="solid">
        <fgColor rgb="FFF4DC26"/>
        <bgColor rgb="FFF4DC26"/>
      </patternFill>
    </fill>
    <fill>
      <patternFill patternType="solid">
        <fgColor rgb="FFBFE32F"/>
        <bgColor rgb="FFBFE32F"/>
      </patternFill>
    </fill>
    <fill>
      <patternFill patternType="solid">
        <fgColor rgb="FF6D5387"/>
        <bgColor rgb="FF6D5387"/>
      </patternFill>
    </fill>
    <fill>
      <patternFill patternType="solid">
        <fgColor rgb="FF528D55"/>
        <bgColor rgb="FF528D55"/>
      </patternFill>
    </fill>
    <fill>
      <patternFill patternType="solid">
        <fgColor rgb="FF80EA5C"/>
        <bgColor rgb="FF80EA5C"/>
      </patternFill>
    </fill>
    <fill>
      <patternFill patternType="solid">
        <fgColor rgb="FF65E1C7"/>
        <bgColor rgb="FF65E1C7"/>
      </patternFill>
    </fill>
    <fill>
      <patternFill patternType="solid">
        <fgColor rgb="FF6C5A5A"/>
        <bgColor rgb="FF6C5A5A"/>
      </patternFill>
    </fill>
    <fill>
      <patternFill patternType="solid">
        <fgColor rgb="FF7883CB"/>
        <bgColor rgb="FF7883CB"/>
      </patternFill>
    </fill>
    <fill>
      <patternFill patternType="solid">
        <fgColor rgb="FFD5BB57"/>
        <bgColor rgb="FFD5BB57"/>
      </patternFill>
    </fill>
    <fill>
      <patternFill patternType="solid">
        <fgColor rgb="FF434343"/>
        <bgColor rgb="FF434343"/>
      </patternFill>
    </fill>
    <fill>
      <patternFill patternType="solid">
        <fgColor rgb="FF60BEDE"/>
        <bgColor rgb="FF60BEDE"/>
      </patternFill>
    </fill>
    <fill>
      <patternFill patternType="solid">
        <fgColor rgb="FFAD9FCB"/>
        <bgColor rgb="FFAD9FCB"/>
      </patternFill>
    </fill>
    <fill>
      <patternFill patternType="solid">
        <fgColor rgb="FF61B6D2"/>
        <bgColor rgb="FF61B6D2"/>
      </patternFill>
    </fill>
    <fill>
      <patternFill patternType="solid">
        <fgColor rgb="FFA84D3D"/>
        <bgColor rgb="FFA84D3D"/>
      </patternFill>
    </fill>
    <fill>
      <patternFill patternType="solid">
        <fgColor rgb="FFD571E5"/>
        <bgColor rgb="FFD571E5"/>
      </patternFill>
    </fill>
    <fill>
      <patternFill patternType="solid">
        <fgColor rgb="FF70A8B8"/>
        <bgColor rgb="FF70A8B8"/>
      </patternFill>
    </fill>
    <fill>
      <patternFill patternType="solid">
        <fgColor rgb="FFA6B1C9"/>
        <bgColor rgb="FFA6B1C9"/>
      </patternFill>
    </fill>
    <fill>
      <patternFill patternType="solid">
        <fgColor rgb="FFC57CE6"/>
        <bgColor rgb="FFC57CE6"/>
      </patternFill>
    </fill>
    <fill>
      <patternFill patternType="solid">
        <fgColor rgb="FF009EE6"/>
        <bgColor rgb="FF009EE6"/>
      </patternFill>
    </fill>
    <fill>
      <patternFill patternType="solid">
        <fgColor rgb="FF438FDF"/>
        <bgColor rgb="FF438FDF"/>
      </patternFill>
    </fill>
    <fill>
      <patternFill patternType="solid">
        <fgColor rgb="FFA84038"/>
        <bgColor rgb="FFA84038"/>
      </patternFill>
    </fill>
    <fill>
      <patternFill patternType="solid">
        <fgColor rgb="FF954DDF"/>
        <bgColor rgb="FF954DDF"/>
      </patternFill>
    </fill>
    <fill>
      <patternFill patternType="solid">
        <fgColor rgb="FF8E6686"/>
        <bgColor rgb="FF8E6686"/>
      </patternFill>
    </fill>
    <fill>
      <patternFill patternType="solid">
        <fgColor rgb="FFE6AF5F"/>
        <bgColor rgb="FFE6AF5F"/>
      </patternFill>
    </fill>
    <fill>
      <patternFill patternType="solid">
        <fgColor rgb="FFC367D0"/>
        <bgColor rgb="FFC367D0"/>
      </patternFill>
    </fill>
    <fill>
      <patternFill patternType="solid">
        <fgColor rgb="FF7DD4FF"/>
        <bgColor rgb="FF7DD4FF"/>
      </patternFill>
    </fill>
    <fill>
      <patternFill patternType="solid">
        <fgColor rgb="FFF16949"/>
        <bgColor rgb="FFF16949"/>
      </patternFill>
    </fill>
    <fill>
      <patternFill patternType="solid">
        <fgColor rgb="FFB7B7C5"/>
        <bgColor rgb="FFB7B7C5"/>
      </patternFill>
    </fill>
    <fill>
      <patternFill patternType="solid">
        <fgColor rgb="FFBC54B8"/>
        <bgColor rgb="FFBC54B8"/>
      </patternFill>
    </fill>
    <fill>
      <patternFill patternType="solid">
        <fgColor rgb="FFD466BF"/>
        <bgColor rgb="FFD466BF"/>
      </patternFill>
    </fill>
    <fill>
      <patternFill patternType="solid">
        <fgColor rgb="FFBE5252"/>
        <bgColor rgb="FFBE5252"/>
      </patternFill>
    </fill>
    <fill>
      <patternFill patternType="solid">
        <fgColor rgb="FFD9578E"/>
        <bgColor rgb="FFD9578E"/>
      </patternFill>
    </fill>
    <fill>
      <patternFill patternType="solid">
        <fgColor rgb="FFFC675F"/>
        <bgColor rgb="FFFC675F"/>
      </patternFill>
    </fill>
    <fill>
      <patternFill patternType="solid">
        <fgColor rgb="FFF46EC1"/>
        <bgColor rgb="FFF46EC1"/>
      </patternFill>
    </fill>
    <fill>
      <patternFill patternType="solid">
        <fgColor rgb="FF8B7DF1"/>
        <bgColor rgb="FF8B7DF1"/>
      </patternFill>
    </fill>
    <fill>
      <patternFill patternType="solid">
        <fgColor rgb="FF798EA4"/>
        <bgColor rgb="FF798EA4"/>
      </patternFill>
    </fill>
    <fill>
      <patternFill patternType="solid">
        <fgColor rgb="FFE3A1B3"/>
        <bgColor rgb="FFE3A1B3"/>
      </patternFill>
    </fill>
    <fill>
      <patternFill patternType="solid">
        <fgColor rgb="FF999999"/>
        <bgColor rgb="FF999999"/>
      </patternFill>
    </fill>
    <fill>
      <patternFill patternType="solid">
        <fgColor rgb="FF3C78D8"/>
        <bgColor rgb="FF3C78D8"/>
      </patternFill>
    </fill>
    <fill>
      <patternFill patternType="solid">
        <fgColor rgb="FFFFBD96"/>
        <bgColor rgb="FFFFBD96"/>
      </patternFill>
    </fill>
    <fill>
      <patternFill patternType="solid">
        <fgColor rgb="FF6351C6"/>
        <bgColor rgb="FF6351C6"/>
      </patternFill>
    </fill>
    <fill>
      <patternFill patternType="solid">
        <fgColor rgb="FF3D82C3"/>
        <bgColor rgb="FF3D82C3"/>
      </patternFill>
    </fill>
    <fill>
      <patternFill patternType="solid">
        <fgColor rgb="FFD23A3A"/>
        <bgColor rgb="FFD23A3A"/>
      </patternFill>
    </fill>
    <fill>
      <patternFill patternType="solid">
        <fgColor rgb="FFFCF3EB"/>
        <bgColor rgb="FFFCF3EB"/>
      </patternFill>
    </fill>
    <fill>
      <patternFill patternType="solid">
        <fgColor rgb="FFEBF4FC"/>
        <bgColor rgb="FFEBF4FC"/>
      </patternFill>
    </fill>
    <fill>
      <patternFill patternType="solid">
        <fgColor rgb="FFFCFBEB"/>
        <bgColor rgb="FFFCFBEB"/>
      </patternFill>
    </fill>
    <fill>
      <patternFill patternType="solid">
        <fgColor rgb="FFB0A23C"/>
        <bgColor rgb="FFB0A23C"/>
      </patternFill>
    </fill>
    <fill>
      <patternFill patternType="solid">
        <fgColor rgb="FFEBFCEB"/>
        <bgColor rgb="FFEBFCEB"/>
      </patternFill>
    </fill>
    <fill>
      <patternFill patternType="solid">
        <fgColor rgb="FFFCEBFB"/>
        <bgColor rgb="FFFCEBFB"/>
      </patternFill>
    </fill>
    <fill>
      <patternFill patternType="solid">
        <fgColor rgb="FFBC65C9"/>
        <bgColor rgb="FFBC65C9"/>
      </patternFill>
    </fill>
    <fill>
      <patternFill patternType="solid">
        <fgColor rgb="FFF3EBFC"/>
        <bgColor rgb="FFF3EBFC"/>
      </patternFill>
    </fill>
    <fill>
      <patternFill patternType="solid">
        <fgColor rgb="FFB76EA8"/>
        <bgColor rgb="FFB76EA8"/>
      </patternFill>
    </fill>
    <fill>
      <patternFill patternType="solid">
        <fgColor rgb="FFFCEBEB"/>
        <bgColor rgb="FFFCEBEB"/>
      </patternFill>
    </fill>
    <fill>
      <patternFill patternType="solid">
        <fgColor rgb="FFEBECFC"/>
        <bgColor rgb="FFEBECFC"/>
      </patternFill>
    </fill>
    <fill>
      <patternFill patternType="solid">
        <fgColor rgb="FF615C80"/>
        <bgColor rgb="FF615C80"/>
      </patternFill>
    </fill>
    <fill>
      <patternFill patternType="solid">
        <fgColor rgb="FFDA4900"/>
        <bgColor rgb="FFDA4900"/>
      </patternFill>
    </fill>
    <fill>
      <patternFill patternType="solid">
        <fgColor rgb="FFEBFCFC"/>
        <bgColor rgb="FFEBFCFC"/>
      </patternFill>
    </fill>
    <fill>
      <patternFill patternType="solid">
        <fgColor rgb="FF6F8B85"/>
        <bgColor rgb="FF6F8B85"/>
      </patternFill>
    </fill>
    <fill>
      <patternFill patternType="solid">
        <fgColor rgb="FFF8FCEB"/>
        <bgColor rgb="FFF8FCEB"/>
      </patternFill>
    </fill>
    <fill>
      <patternFill patternType="solid">
        <fgColor rgb="FFEFEAE9"/>
        <bgColor rgb="FFEFEAE9"/>
      </patternFill>
    </fill>
    <fill>
      <patternFill patternType="solid">
        <fgColor rgb="FFF9F9F9"/>
        <bgColor rgb="FFF9F9F9"/>
      </patternFill>
    </fill>
    <fill>
      <patternFill patternType="solid">
        <fgColor rgb="FFD7D7D7"/>
        <bgColor rgb="FFD7D7D7"/>
      </patternFill>
    </fill>
    <fill>
      <patternFill patternType="solid">
        <fgColor rgb="FFECE1FF"/>
        <bgColor rgb="FFECE1FF"/>
      </patternFill>
    </fill>
    <fill>
      <patternFill patternType="solid">
        <fgColor rgb="FFFFE6E1"/>
        <bgColor rgb="FFFFE6E1"/>
      </patternFill>
    </fill>
    <fill>
      <patternFill patternType="solid">
        <fgColor rgb="FF7B534C"/>
        <bgColor rgb="FF7B534C"/>
      </patternFill>
    </fill>
    <fill>
      <patternFill patternType="solid">
        <fgColor rgb="FFEBFCFB"/>
        <bgColor rgb="FFEBFCFB"/>
      </patternFill>
    </fill>
    <fill>
      <patternFill patternType="solid">
        <fgColor rgb="FF61879A"/>
        <bgColor rgb="FF61879A"/>
      </patternFill>
    </fill>
    <fill>
      <patternFill patternType="solid">
        <fgColor rgb="FFE6E6E6"/>
        <bgColor rgb="FFE6E6E6"/>
      </patternFill>
    </fill>
    <fill>
      <patternFill patternType="solid">
        <fgColor rgb="FF93939F"/>
        <bgColor rgb="FF93939F"/>
      </patternFill>
    </fill>
    <fill>
      <patternFill patternType="solid">
        <fgColor rgb="FF66B343"/>
        <bgColor rgb="FF66B343"/>
      </patternFill>
    </fill>
    <fill>
      <patternFill patternType="solid">
        <fgColor rgb="FFFFECDE"/>
        <bgColor rgb="FFFFECDE"/>
      </patternFill>
    </fill>
    <fill>
      <patternFill patternType="solid">
        <fgColor rgb="FFD6E1D5"/>
        <bgColor rgb="FFD6E1D5"/>
      </patternFill>
    </fill>
    <fill>
      <patternFill patternType="solid">
        <fgColor rgb="FF4D6F57"/>
        <bgColor rgb="FF4D6F57"/>
      </patternFill>
    </fill>
    <fill>
      <patternFill patternType="solid">
        <fgColor rgb="FF3580D6"/>
        <bgColor rgb="FF3580D6"/>
      </patternFill>
    </fill>
    <fill>
      <patternFill patternType="solid">
        <fgColor rgb="FFF9D9D1"/>
        <bgColor rgb="FFF9D9D1"/>
      </patternFill>
    </fill>
    <fill>
      <patternFill patternType="solid">
        <fgColor rgb="FFD4D4E6"/>
        <bgColor rgb="FFD4D4E6"/>
      </patternFill>
    </fill>
    <fill>
      <patternFill patternType="solid">
        <fgColor rgb="FFD5CCCC"/>
        <bgColor rgb="FFD5CCCC"/>
      </patternFill>
    </fill>
    <fill>
      <patternFill patternType="solid">
        <fgColor rgb="FFDAC7C3"/>
        <bgColor rgb="FFDAC7C3"/>
      </patternFill>
    </fill>
    <fill>
      <patternFill patternType="solid">
        <fgColor rgb="FF826D6D"/>
        <bgColor rgb="FF826D6D"/>
      </patternFill>
    </fill>
    <fill>
      <patternFill patternType="solid">
        <fgColor rgb="FFF5EFF9"/>
        <bgColor rgb="FFF5EFF9"/>
      </patternFill>
    </fill>
    <fill>
      <patternFill patternType="solid">
        <fgColor rgb="FFCDB0B4"/>
        <bgColor rgb="FFCDB0B4"/>
      </patternFill>
    </fill>
    <fill>
      <patternFill patternType="solid">
        <fgColor rgb="FFD8DCE3"/>
        <bgColor rgb="FFD8DCE3"/>
      </patternFill>
    </fill>
    <fill>
      <patternFill patternType="solid">
        <fgColor rgb="FFD2E7FB"/>
        <bgColor rgb="FFD2E7FB"/>
      </patternFill>
    </fill>
    <fill>
      <patternFill patternType="solid">
        <fgColor rgb="FF7C58E5"/>
        <bgColor rgb="FF7C58E5"/>
      </patternFill>
    </fill>
    <fill>
      <patternFill patternType="solid">
        <fgColor rgb="FFFFF4F3"/>
        <bgColor rgb="FFFFF4F3"/>
      </patternFill>
    </fill>
    <fill>
      <patternFill patternType="solid">
        <fgColor rgb="FFF2CCCB"/>
        <bgColor rgb="FFF2CCCB"/>
      </patternFill>
    </fill>
    <fill>
      <patternFill patternType="solid">
        <fgColor rgb="FFF7EEFF"/>
        <bgColor rgb="FFF7EEFF"/>
      </patternFill>
    </fill>
    <fill>
      <patternFill patternType="solid">
        <fgColor rgb="FFE7E9F6"/>
        <bgColor rgb="FFE7E9F6"/>
      </patternFill>
    </fill>
    <fill>
      <patternFill patternType="solid">
        <fgColor rgb="FF5C6380"/>
        <bgColor rgb="FF5C6380"/>
      </patternFill>
    </fill>
    <fill>
      <patternFill patternType="solid">
        <fgColor rgb="FFD7E3BF"/>
        <bgColor rgb="FFD7E3BF"/>
      </patternFill>
    </fill>
    <fill>
      <patternFill patternType="solid">
        <fgColor rgb="FFFFE4D1"/>
        <bgColor rgb="FFFFE4D1"/>
      </patternFill>
    </fill>
    <fill>
      <patternFill patternType="solid">
        <fgColor rgb="FFDCEBE8"/>
        <bgColor rgb="FFDCEBE8"/>
      </patternFill>
    </fill>
    <fill>
      <patternFill patternType="solid">
        <fgColor rgb="FFFFEFE8"/>
        <bgColor rgb="FFFFEFE8"/>
      </patternFill>
    </fill>
    <fill>
      <patternFill patternType="solid">
        <fgColor rgb="FF7A3209"/>
        <bgColor rgb="FF7A3209"/>
      </patternFill>
    </fill>
    <fill>
      <patternFill patternType="solid">
        <fgColor rgb="FFD7D3CF"/>
        <bgColor rgb="FFD7D3CF"/>
      </patternFill>
    </fill>
    <fill>
      <patternFill patternType="solid">
        <fgColor rgb="FFF0F2F7"/>
        <bgColor rgb="FFF0F2F7"/>
      </patternFill>
    </fill>
    <fill>
      <patternFill patternType="solid">
        <fgColor rgb="FF78A0B8"/>
        <bgColor rgb="FF78A0B8"/>
      </patternFill>
    </fill>
    <fill>
      <patternFill patternType="solid">
        <fgColor rgb="FF6A7BAC"/>
        <bgColor rgb="FF6A7BAC"/>
      </patternFill>
    </fill>
    <fill>
      <patternFill patternType="solid">
        <fgColor rgb="FFE4ECFF"/>
        <bgColor rgb="FFE4ECFF"/>
      </patternFill>
    </fill>
    <fill>
      <patternFill patternType="solid">
        <fgColor rgb="FFD9D9D9"/>
        <bgColor rgb="FFD9D9D9"/>
      </patternFill>
    </fill>
    <fill>
      <patternFill patternType="solid">
        <fgColor rgb="FFFFFDCD"/>
        <bgColor rgb="FFFFFDCD"/>
      </patternFill>
    </fill>
    <fill>
      <patternFill patternType="solid">
        <fgColor rgb="FFBCC7E0"/>
        <bgColor rgb="FFBCC7E0"/>
      </patternFill>
    </fill>
    <fill>
      <patternFill patternType="solid">
        <fgColor rgb="FF859BA6"/>
        <bgColor rgb="FF859BA6"/>
      </patternFill>
    </fill>
    <fill>
      <patternFill patternType="solid">
        <fgColor rgb="FFFFF8EE"/>
        <bgColor rgb="FFFFF8EE"/>
      </patternFill>
    </fill>
    <fill>
      <patternFill patternType="solid">
        <fgColor rgb="FFEDE4DA"/>
        <bgColor rgb="FFEDE4DA"/>
      </patternFill>
    </fill>
    <fill>
      <patternFill patternType="solid">
        <fgColor rgb="FF1781B2"/>
        <bgColor rgb="FF1781B2"/>
      </patternFill>
    </fill>
    <fill>
      <patternFill patternType="solid">
        <fgColor rgb="FFFFEFE2"/>
        <bgColor rgb="FFFFEFE2"/>
      </patternFill>
    </fill>
    <fill>
      <patternFill patternType="solid">
        <fgColor rgb="FFFFFAE9"/>
        <bgColor rgb="FFFFFAE9"/>
      </patternFill>
    </fill>
    <fill>
      <patternFill patternType="solid">
        <fgColor rgb="FFA4986B"/>
        <bgColor rgb="FFA4986B"/>
      </patternFill>
    </fill>
    <fill>
      <patternFill patternType="solid">
        <fgColor rgb="FFD9C888"/>
        <bgColor rgb="FFD9C888"/>
      </patternFill>
    </fill>
    <fill>
      <patternFill patternType="solid">
        <fgColor rgb="FFFFF4CD"/>
        <bgColor rgb="FFFFF4CD"/>
      </patternFill>
    </fill>
    <fill>
      <patternFill patternType="solid">
        <fgColor rgb="FFC4B783"/>
        <bgColor rgb="FFC4B783"/>
      </patternFill>
    </fill>
    <fill>
      <patternFill patternType="solid">
        <fgColor rgb="FF8C4F4A"/>
        <bgColor rgb="FF8C4F4A"/>
      </patternFill>
    </fill>
    <fill>
      <patternFill patternType="solid">
        <fgColor rgb="FFE9EFFF"/>
        <bgColor rgb="FFE9EFFF"/>
      </patternFill>
    </fill>
    <fill>
      <patternFill patternType="solid">
        <fgColor rgb="FFFDFFEB"/>
        <bgColor rgb="FFFDFFEB"/>
      </patternFill>
    </fill>
    <fill>
      <patternFill patternType="solid">
        <fgColor rgb="FF79949C"/>
        <bgColor rgb="FF79949C"/>
      </patternFill>
    </fill>
    <fill>
      <patternFill patternType="solid">
        <fgColor rgb="FF9F6178"/>
        <bgColor rgb="FF9F6178"/>
      </patternFill>
    </fill>
    <fill>
      <patternFill patternType="solid">
        <fgColor rgb="FFFFE6E6"/>
        <bgColor rgb="FFFFE6E6"/>
      </patternFill>
    </fill>
    <fill>
      <patternFill patternType="solid">
        <fgColor rgb="FFEDE8E8"/>
        <bgColor rgb="FFEDE8E8"/>
      </patternFill>
    </fill>
    <fill>
      <patternFill patternType="solid">
        <fgColor rgb="FFD1D9E1"/>
        <bgColor rgb="FFD1D9E1"/>
      </patternFill>
    </fill>
    <fill>
      <patternFill patternType="solid">
        <fgColor rgb="FF5E6C7A"/>
        <bgColor rgb="FF5E6C7A"/>
      </patternFill>
    </fill>
    <fill>
      <patternFill patternType="solid">
        <fgColor rgb="FF326EDC"/>
        <bgColor rgb="FF326EDC"/>
      </patternFill>
    </fill>
    <fill>
      <patternFill patternType="solid">
        <fgColor rgb="FFF2F6FF"/>
        <bgColor rgb="FFF2F6FF"/>
      </patternFill>
    </fill>
    <fill>
      <patternFill patternType="solid">
        <fgColor rgb="FF69C2DA"/>
        <bgColor rgb="FF69C2DA"/>
      </patternFill>
    </fill>
    <fill>
      <patternFill patternType="solid">
        <fgColor rgb="FFEAFAFF"/>
        <bgColor rgb="FFEAFAFF"/>
      </patternFill>
    </fill>
    <fill>
      <patternFill patternType="solid">
        <fgColor rgb="FFFCE5CD"/>
        <bgColor rgb="FFFCE5CD"/>
      </patternFill>
    </fill>
    <fill>
      <patternFill patternType="solid">
        <fgColor rgb="FFB87A55"/>
        <bgColor rgb="FFB87A55"/>
      </patternFill>
    </fill>
    <fill>
      <patternFill patternType="solid">
        <fgColor rgb="FFC1B6D5"/>
        <bgColor rgb="FFC1B6D5"/>
      </patternFill>
    </fill>
    <fill>
      <patternFill patternType="solid">
        <fgColor rgb="FF5C519C"/>
        <bgColor rgb="FF5C519C"/>
      </patternFill>
    </fill>
    <fill>
      <patternFill patternType="solid">
        <fgColor rgb="FFFF00FF"/>
        <bgColor rgb="FFFF00FF"/>
      </patternFill>
    </fill>
    <fill>
      <patternFill patternType="solid">
        <fgColor rgb="FFD6CDDA"/>
        <bgColor rgb="FFD6CDDA"/>
      </patternFill>
    </fill>
    <fill>
      <patternFill patternType="solid">
        <fgColor rgb="FFA787B8"/>
        <bgColor rgb="FFA787B8"/>
      </patternFill>
    </fill>
    <fill>
      <patternFill patternType="solid">
        <fgColor rgb="FFFBFCFF"/>
        <bgColor rgb="FFFBFCFF"/>
      </patternFill>
    </fill>
    <fill>
      <patternFill patternType="solid">
        <fgColor rgb="FFD86870"/>
        <bgColor rgb="FFD86870"/>
      </patternFill>
    </fill>
    <fill>
      <patternFill patternType="solid">
        <fgColor rgb="FFF9D1CF"/>
        <bgColor rgb="FFF9D1CF"/>
      </patternFill>
    </fill>
    <fill>
      <patternFill patternType="solid">
        <fgColor rgb="FFF64A42"/>
        <bgColor rgb="FFF64A42"/>
      </patternFill>
    </fill>
    <fill>
      <patternFill patternType="solid">
        <fgColor rgb="FFCB443D"/>
        <bgColor rgb="FFCB443D"/>
      </patternFill>
    </fill>
    <fill>
      <patternFill patternType="solid">
        <fgColor rgb="FFFC805F"/>
        <bgColor rgb="FFFC805F"/>
      </patternFill>
    </fill>
    <fill>
      <patternFill patternType="solid">
        <fgColor rgb="FFFF6D46"/>
        <bgColor rgb="FFFF6D46"/>
      </patternFill>
    </fill>
    <fill>
      <patternFill patternType="solid">
        <fgColor rgb="FFDADBE0"/>
        <bgColor rgb="FFDADBE0"/>
      </patternFill>
    </fill>
    <fill>
      <patternFill patternType="solid">
        <fgColor rgb="FFF09050"/>
        <bgColor rgb="FFF09050"/>
      </patternFill>
    </fill>
    <fill>
      <patternFill patternType="solid">
        <fgColor rgb="FFE4EAE7"/>
        <bgColor rgb="FFE4EAE7"/>
      </patternFill>
    </fill>
    <fill>
      <patternFill patternType="solid">
        <fgColor rgb="FF506A5E"/>
        <bgColor rgb="FF506A5E"/>
      </patternFill>
    </fill>
    <fill>
      <patternFill patternType="solid">
        <fgColor rgb="FFF0FBF9"/>
        <bgColor rgb="FFF0FBF9"/>
      </patternFill>
    </fill>
    <fill>
      <patternFill patternType="solid">
        <fgColor rgb="FF5888B8"/>
        <bgColor rgb="FF5888B8"/>
      </patternFill>
    </fill>
    <fill>
      <patternFill patternType="solid">
        <fgColor rgb="FFFFA8FC"/>
        <bgColor rgb="FFFFA8FC"/>
      </patternFill>
    </fill>
    <fill>
      <patternFill patternType="solid">
        <fgColor rgb="FFC48BC2"/>
        <bgColor rgb="FFC48BC2"/>
      </patternFill>
    </fill>
    <fill>
      <patternFill patternType="solid">
        <fgColor rgb="FFC6D6DE"/>
        <bgColor rgb="FFC6D6DE"/>
      </patternFill>
    </fill>
    <fill>
      <patternFill patternType="solid">
        <fgColor rgb="FF68AAC8"/>
        <bgColor rgb="FF68AAC8"/>
      </patternFill>
    </fill>
    <fill>
      <patternFill patternType="solid">
        <fgColor rgb="FF58A3C1"/>
        <bgColor rgb="FF58A3C1"/>
      </patternFill>
    </fill>
    <fill>
      <patternFill patternType="solid">
        <fgColor rgb="FF3C63F9"/>
        <bgColor rgb="FF3C63F9"/>
      </patternFill>
    </fill>
    <fill>
      <patternFill patternType="solid">
        <fgColor rgb="FFFFFFFF"/>
        <bgColor rgb="FFFFFFFF"/>
      </patternFill>
    </fill>
    <fill>
      <patternFill patternType="solid">
        <fgColor rgb="FF3550B8"/>
        <bgColor rgb="FF3550B8"/>
      </patternFill>
    </fill>
  </fills>
  <borders count="3944">
    <border/>
    <border>
      <left style="thin">
        <color rgb="FFF1C232"/>
      </left>
      <right style="thin">
        <color rgb="FFF1C232"/>
      </right>
      <top style="thin">
        <color rgb="FFF1C232"/>
      </top>
      <bottom style="thin">
        <color rgb="FFF1C232"/>
      </bottom>
    </border>
    <border>
      <left style="thin">
        <color rgb="FFF1C232"/>
      </left>
      <right style="thin">
        <color rgb="FFF1C232"/>
      </right>
      <top style="thin">
        <color rgb="FFF1C232"/>
      </top>
    </border>
    <border>
      <left style="thin">
        <color rgb="FFF1C232"/>
      </left>
      <top style="thin">
        <color rgb="FFF1C232"/>
      </top>
      <bottom style="thin">
        <color rgb="FFF1C232"/>
      </bottom>
    </border>
    <border>
      <left style="thick">
        <color rgb="FF3E3A3A"/>
      </left>
      <right style="thin">
        <color rgb="FFF3F3F3"/>
      </right>
      <top style="thick">
        <color rgb="FF3E3A3A"/>
      </top>
      <bottom style="thin">
        <color rgb="FFF3F3F3"/>
      </bottom>
    </border>
    <border>
      <left style="thin">
        <color rgb="FFF3F3F3"/>
      </left>
      <right style="thin">
        <color rgb="FFF3F3F3"/>
      </right>
      <top style="thick">
        <color rgb="FF3E3A3A"/>
      </top>
      <bottom style="thin">
        <color rgb="FFF3F3F3"/>
      </bottom>
    </border>
    <border>
      <left style="thin">
        <color rgb="FFF3F3F3"/>
      </left>
      <right style="thick">
        <color rgb="FF3E3A3A"/>
      </right>
      <top style="thick">
        <color rgb="FF3E3A3A"/>
      </top>
      <bottom style="thin">
        <color rgb="FFF3F3F3"/>
      </bottom>
    </border>
    <border>
      <right style="thin">
        <color rgb="FFF1C232"/>
      </right>
      <top style="thin">
        <color rgb="FFF1C232"/>
      </top>
      <bottom style="thin">
        <color rgb="FFF1C232"/>
      </bottom>
    </border>
    <border>
      <left style="thick">
        <color rgb="FF3E3A3A"/>
      </left>
      <right style="thin">
        <color rgb="FFF3F3F3"/>
      </righ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right style="thick">
        <color rgb="FF3E3A3A"/>
      </right>
      <top style="thin">
        <color rgb="FFF3F3F3"/>
      </top>
      <bottom style="thin">
        <color rgb="FFF3F3F3"/>
      </bottom>
    </border>
    <border>
      <left style="thick">
        <color rgb="FF3E3A3A"/>
      </left>
      <right style="thin">
        <color rgb="FFF3F3F3"/>
      </right>
      <bottom style="thin">
        <color rgb="FFF3F3F3"/>
      </bottom>
    </border>
    <border>
      <right style="thick">
        <color rgb="FF3E3A3A"/>
      </right>
      <bottom style="thin">
        <color rgb="FFF3F3F3"/>
      </bottom>
    </border>
    <border>
      <bottom style="thin">
        <color rgb="FFF3F3F3"/>
      </bottom>
    </border>
    <border>
      <right style="thin">
        <color rgb="FFF3F3F3"/>
      </right>
      <bottom style="thin">
        <color rgb="FFF3F3F3"/>
      </bottom>
    </border>
    <border>
      <left style="thin">
        <color rgb="FFF3F3F3"/>
      </left>
      <right style="thin">
        <color rgb="FFF3F3F3"/>
      </right>
      <top style="thin">
        <color rgb="FFF3F3F3"/>
      </top>
      <bottom style="thin">
        <color rgb="FFF3F3F3"/>
      </bottom>
    </border>
    <border>
      <left style="thin">
        <color rgb="FFF3F3F3"/>
      </left>
      <right style="thin">
        <color rgb="FFF3F3F3"/>
      </right>
      <bottom style="thin">
        <color rgb="FFF3F3F3"/>
      </bottom>
    </border>
    <border>
      <left style="thin">
        <color rgb="FFF3F3F3"/>
      </left>
      <right style="thick">
        <color rgb="FF3E3A3A"/>
      </right>
      <bottom style="thin">
        <color rgb="FFF3F3F3"/>
      </bottom>
    </border>
    <border>
      <right style="thin">
        <color rgb="FFF3F3F3"/>
      </right>
      <bottom style="thin">
        <color rgb="FF3E3A3A"/>
      </bottom>
    </border>
    <border>
      <right style="thin">
        <color rgb="FFF3F3F3"/>
      </right>
    </border>
    <border>
      <left style="thick">
        <color rgb="FF3E3A3A"/>
      </left>
      <right style="thin">
        <color rgb="FF3E3A3A"/>
      </right>
      <bottom style="thin">
        <color rgb="FFF3F3F3"/>
      </bottom>
    </border>
    <border>
      <right style="thin">
        <color rgb="FF3E3A3A"/>
      </right>
      <bottom style="thin">
        <color rgb="FF3E3A3A"/>
      </bottom>
    </border>
    <border>
      <left style="thin">
        <color rgb="FFE8E8E8"/>
      </left>
      <top style="thin">
        <color rgb="FFE8E8E8"/>
      </top>
      <bottom style="thin">
        <color rgb="FFE8E8E8"/>
      </bottom>
    </border>
    <border>
      <top style="thin">
        <color rgb="FFE8E8E8"/>
      </top>
      <bottom style="thin">
        <color rgb="FFE8E8E8"/>
      </bottom>
    </border>
    <border>
      <right style="thin">
        <color rgb="FFE8E8E8"/>
      </right>
      <top style="thin">
        <color rgb="FFE8E8E8"/>
      </top>
      <bottom style="thin">
        <color rgb="FFE8E8E8"/>
      </bottom>
    </border>
    <border>
      <left style="thin">
        <color rgb="FFF3F3F3"/>
      </left>
      <top style="thin">
        <color rgb="FFF3F3F3"/>
      </top>
      <bottom style="thin">
        <color rgb="FFF3F3F3"/>
      </bottom>
    </border>
    <border>
      <left style="thick">
        <color rgb="FF3E3A3A"/>
      </left>
      <top style="thin">
        <color rgb="FFF3F3F3"/>
      </top>
      <bottom style="thin">
        <color rgb="FFF3F3F3"/>
      </bottom>
    </border>
    <border>
      <left style="thin">
        <color rgb="FF000000"/>
      </left>
      <right style="thin">
        <color rgb="FF000000"/>
      </right>
      <top style="thin">
        <color rgb="FF000000"/>
      </top>
      <bottom style="thin">
        <color rgb="FF000000"/>
      </bottom>
    </border>
    <border>
      <left style="thick">
        <color rgb="FF3E3A3A"/>
      </left>
      <bottom style="thin">
        <color rgb="FFF3F3F3"/>
      </bottom>
    </border>
    <border>
      <left style="thin">
        <color rgb="FFE8E8E8"/>
      </left>
      <top style="thin">
        <color rgb="FFE8E8E8"/>
      </top>
      <bottom style="thin">
        <color rgb="FFF3F3F3"/>
      </bottom>
    </border>
    <border>
      <top style="thin">
        <color rgb="FFE8E8E8"/>
      </top>
      <bottom style="thin">
        <color rgb="FFF3F3F3"/>
      </bottom>
    </border>
    <border>
      <left style="thick">
        <color rgb="FF3E3A3A"/>
      </left>
      <right style="thin">
        <color rgb="FFF3F3F3"/>
      </right>
      <top style="thin">
        <color rgb="FFF3F3F3"/>
      </top>
      <bottom style="thick">
        <color rgb="FF3E3A3A"/>
      </bottom>
    </border>
    <border>
      <left style="thin">
        <color rgb="FFF3F3F3"/>
      </left>
      <right style="thin">
        <color rgb="FFF3F3F3"/>
      </right>
      <top style="thin">
        <color rgb="FFF3F3F3"/>
      </top>
      <bottom style="thick">
        <color rgb="FF3E3A3A"/>
      </bottom>
    </border>
    <border>
      <left style="thin">
        <color rgb="FFF3F3F3"/>
      </left>
      <right style="thin">
        <color rgb="FFF3F3F3"/>
      </right>
      <bottom style="thick">
        <color rgb="FF3E3A3A"/>
      </bottom>
    </border>
    <border>
      <left style="thin">
        <color rgb="FFF3F3F3"/>
      </left>
      <right style="thick">
        <color rgb="FF3E3A3A"/>
      </right>
      <bottom style="thick">
        <color rgb="FF3E3A3A"/>
      </bottom>
    </border>
    <border>
      <left style="thin">
        <color rgb="FFF1C232"/>
      </left>
      <right style="thin">
        <color rgb="FFF1C232"/>
      </right>
      <bottom style="thin">
        <color rgb="FFF1C232"/>
      </bottom>
    </border>
    <border>
      <left style="thin">
        <color rgb="FF3E3A3A"/>
      </left>
      <right style="thin">
        <color rgb="FF3E3A3A"/>
      </right>
      <top style="thin">
        <color rgb="FF3E3A3A"/>
      </top>
      <bottom style="thin">
        <color rgb="FF3E3A3A"/>
      </bottom>
    </border>
    <border>
      <left style="thin">
        <color rgb="FF3E3A3A"/>
      </left>
      <right style="thin">
        <color rgb="FF3E3A3A"/>
      </right>
      <top style="thin">
        <color rgb="FF3E3A3A"/>
      </top>
    </border>
    <border>
      <left style="thin">
        <color rgb="FF3E3A3A"/>
      </left>
      <top style="thin">
        <color rgb="FF3E3A3A"/>
      </top>
      <bottom style="thin">
        <color rgb="FF3E3A3A"/>
      </bottom>
    </border>
    <border>
      <left style="thick">
        <color rgb="FFFFFFFF"/>
      </left>
      <right style="thin">
        <color rgb="FFEFEFEF"/>
      </right>
      <top style="thick">
        <color rgb="FFFFFFFF"/>
      </top>
      <bottom style="thin">
        <color rgb="FFEFEFEF"/>
      </bottom>
    </border>
    <border>
      <left style="thin">
        <color rgb="FFEFEFEF"/>
      </left>
      <right style="thin">
        <color rgb="FFEFEFEF"/>
      </right>
      <top style="thick">
        <color rgb="FFFFFFFF"/>
      </top>
    </border>
    <border>
      <left style="thin">
        <color rgb="FFEFEFEF"/>
      </left>
      <top style="thick">
        <color rgb="FFFFFFFF"/>
      </top>
    </border>
    <border>
      <left style="thin">
        <color rgb="FFEFEFEF"/>
      </left>
      <right style="thick">
        <color rgb="FFFFFFFF"/>
      </right>
      <top style="thick">
        <color rgb="FFFFFFFF"/>
      </top>
      <bottom style="thin">
        <color rgb="FFEFEFEF"/>
      </bottom>
    </border>
    <border>
      <right style="thin">
        <color rgb="FF3E3A3A"/>
      </right>
      <top style="thin">
        <color rgb="FF3E3A3A"/>
      </top>
      <bottom style="thin">
        <color rgb="FF3E3A3A"/>
      </bottom>
    </border>
    <border>
      <left style="thick">
        <color rgb="FFFFFFFF"/>
      </left>
      <top style="thin">
        <color rgb="FFEFEFEF"/>
      </top>
      <bottom style="thin">
        <color rgb="FFEFEFEF"/>
      </bottom>
    </border>
    <border>
      <left style="medium">
        <color rgb="FF000000"/>
      </left>
      <top style="medium">
        <color rgb="FF000000"/>
      </top>
      <bottom style="thin">
        <color rgb="FFC83850"/>
      </bottom>
    </border>
    <border>
      <right style="medium">
        <color rgb="FF000000"/>
      </right>
      <top style="medium">
        <color rgb="FF000000"/>
      </top>
      <bottom style="thin">
        <color rgb="FFC83850"/>
      </bottom>
    </border>
    <border>
      <top style="thin">
        <color rgb="FFEFEFEF"/>
      </top>
    </border>
    <border>
      <left style="medium">
        <color rgb="FF000000"/>
      </left>
      <right style="medium">
        <color rgb="FF000000"/>
      </right>
      <top style="medium">
        <color rgb="FF000000"/>
      </top>
    </border>
    <border>
      <right style="thick">
        <color rgb="FFFFFFFF"/>
      </right>
      <top style="thin">
        <color rgb="FFEFEFEF"/>
      </top>
      <bottom style="thin">
        <color rgb="FFEFEFEF"/>
      </bottom>
    </border>
    <border>
      <left style="medium">
        <color rgb="FF000000"/>
      </left>
      <top style="thin">
        <color rgb="FFC83850"/>
      </top>
      <bottom style="medium">
        <color rgb="FF000000"/>
      </bottom>
    </border>
    <border>
      <right style="medium">
        <color rgb="FF000000"/>
      </right>
      <top style="thin">
        <color rgb="FFC83850"/>
      </top>
      <bottom style="medium">
        <color rgb="FF000000"/>
      </bottom>
    </border>
    <border>
      <top style="thin">
        <color rgb="FFEFEFEF"/>
      </top>
      <bottom style="thin">
        <color rgb="FFEFEFEF"/>
      </bottom>
    </border>
    <border>
      <left style="medium">
        <color rgb="FF000000"/>
      </left>
      <right style="medium">
        <color rgb="FF000000"/>
      </right>
      <bottom style="medium">
        <color rgb="FF000000"/>
      </bottom>
    </border>
    <border>
      <left style="thick">
        <color rgb="FFFFFFFF"/>
      </left>
      <right style="thin">
        <color rgb="FFEFEFEF"/>
      </right>
      <top style="thin">
        <color rgb="FFEFEFEF"/>
      </top>
      <bottom style="thin">
        <color rgb="FFEFEFEF"/>
      </bottom>
    </border>
    <border>
      <left style="thin">
        <color rgb="FFEFEFEF"/>
      </left>
      <right style="thin">
        <color rgb="FFEFEFEF"/>
      </right>
    </border>
    <border>
      <left style="thin">
        <color rgb="FFEFEFEF"/>
      </left>
      <right style="thin">
        <color rgb="FFEFEFEF"/>
      </right>
      <top style="thin">
        <color rgb="FFEFEFEF"/>
      </top>
    </border>
    <border>
      <left style="thin">
        <color rgb="FFEFEFEF"/>
      </left>
    </border>
    <border>
      <left style="thin">
        <color rgb="FFEFEFEF"/>
      </left>
      <right style="thick">
        <color rgb="FFFFFFFF"/>
      </right>
      <top style="thin">
        <color rgb="FFEFEFEF"/>
      </top>
      <bottom style="thin">
        <color rgb="FFEFEFEF"/>
      </bottom>
    </border>
    <border>
      <left style="thin">
        <color rgb="FF3E3A3A"/>
      </left>
      <right style="thick">
        <color rgb="FFFFFFFF"/>
      </right>
      <top style="thin">
        <color rgb="FF3E3A3A"/>
      </top>
      <bottom style="thin">
        <color rgb="FF3E3A3A"/>
      </bottom>
    </border>
    <border>
      <right style="thin">
        <color rgb="FFEFEFEF"/>
      </right>
      <top style="thin">
        <color rgb="FFEFEFEF"/>
      </top>
      <bottom style="thin">
        <color rgb="FFEFEFEF"/>
      </bottom>
    </border>
    <border>
      <top style="thin">
        <color rgb="FFEFEFEF"/>
      </top>
      <bottom style="thick">
        <color rgb="FF3E3A3A"/>
      </bottom>
    </border>
    <border>
      <right style="thin">
        <color rgb="FFEFEFEF"/>
      </right>
      <top style="thin">
        <color rgb="FFEFEFEF"/>
      </top>
      <bottom style="thick">
        <color rgb="FF3E3A3A"/>
      </bottom>
    </border>
    <border>
      <left style="thick">
        <color rgb="FF3E3A3A"/>
      </left>
      <top style="thick">
        <color rgb="FF3E3A3A"/>
      </top>
    </border>
    <border>
      <left style="thin">
        <color rgb="FF8C949A"/>
      </left>
      <right style="thick">
        <color rgb="FF3E3A3A"/>
      </right>
      <top style="thick">
        <color rgb="FF3E3A3A"/>
      </top>
      <bottom style="thin">
        <color rgb="FF8C949A"/>
      </bottom>
    </border>
    <border>
      <left style="thick">
        <color rgb="FF3E3A3A"/>
      </left>
    </border>
    <border>
      <left style="thin">
        <color rgb="FF8C949A"/>
      </left>
      <right style="thick">
        <color rgb="FF3E3A3A"/>
      </right>
      <top style="thin">
        <color rgb="FF8C949A"/>
      </top>
      <bottom style="thick">
        <color rgb="FF3E3A3A"/>
      </bottom>
    </border>
    <border>
      <left style="medium">
        <color rgb="FF000000"/>
      </left>
      <right style="medium">
        <color rgb="FF000000"/>
      </right>
    </border>
    <border>
      <left style="thick">
        <color rgb="FF3E3A3A"/>
      </left>
      <bottom style="thick">
        <color rgb="FF3E3A3A"/>
      </bottom>
    </border>
    <border>
      <left style="thick">
        <color rgb="FF3E3A3A"/>
      </left>
      <right style="thin">
        <color rgb="FFEFEFEF"/>
      </right>
      <bottom style="thin">
        <color rgb="FFEFEFEF"/>
      </bottom>
    </border>
    <border>
      <left style="thin">
        <color rgb="FFEFEFEF"/>
      </left>
      <right style="thin">
        <color rgb="FFEFEFEF"/>
      </right>
      <bottom style="thin">
        <color rgb="FFEFEFEF"/>
      </bottom>
    </border>
    <border>
      <left style="thin">
        <color rgb="FF518245"/>
      </left>
      <right style="thick">
        <color rgb="FF3E3A3A"/>
      </right>
      <top style="thick">
        <color rgb="FF3E3A3A"/>
      </top>
      <bottom style="thin">
        <color rgb="FF518245"/>
      </bottom>
    </border>
    <border>
      <left style="thin">
        <color rgb="FF518245"/>
      </left>
      <right style="thick">
        <color rgb="FF3E3A3A"/>
      </right>
      <top style="thin">
        <color rgb="FF518245"/>
      </top>
      <bottom style="thick">
        <color rgb="FF3E3A3A"/>
      </bottom>
    </border>
    <border>
      <left style="thin">
        <color rgb="FFEFEFEF"/>
      </left>
      <right style="thin">
        <color rgb="FFEFEFEF"/>
      </right>
      <top style="thin">
        <color rgb="FFEFEFEF"/>
      </top>
      <bottom style="thin">
        <color rgb="FFEFEFEF"/>
      </bottom>
    </border>
    <border>
      <left style="thin">
        <color rgb="FFD9B6B5"/>
      </left>
      <right style="thick">
        <color rgb="FF3E3A3A"/>
      </right>
      <top style="thick">
        <color rgb="FF3E3A3A"/>
      </top>
      <bottom style="thin">
        <color rgb="FFD9B6B5"/>
      </bottom>
    </border>
    <border>
      <left style="thin">
        <color rgb="FFD9B6B5"/>
      </left>
      <right style="thick">
        <color rgb="FF3E3A3A"/>
      </right>
      <top style="thin">
        <color rgb="FFD9B6B5"/>
      </top>
      <bottom style="thick">
        <color rgb="FF3E3A3A"/>
      </bottom>
    </border>
    <border>
      <left style="thin">
        <color rgb="FFF9516C"/>
      </left>
      <right style="thick">
        <color rgb="FF3E3A3A"/>
      </right>
      <top style="thick">
        <color rgb="FF3E3A3A"/>
      </top>
      <bottom style="thin">
        <color rgb="FFF9516C"/>
      </bottom>
    </border>
    <border>
      <left style="thin">
        <color rgb="FFF9516C"/>
      </left>
      <right style="thick">
        <color rgb="FF3E3A3A"/>
      </right>
      <top style="thin">
        <color rgb="FFF9516C"/>
      </top>
      <bottom style="thick">
        <color rgb="FF3E3A3A"/>
      </bottom>
    </border>
    <border>
      <left style="thin">
        <color rgb="FFA8E0D5"/>
      </left>
      <right style="thick">
        <color rgb="FF3E3A3A"/>
      </right>
      <top style="thick">
        <color rgb="FF3E3A3A"/>
      </top>
      <bottom style="thin">
        <color rgb="FFA8E0D5"/>
      </bottom>
    </border>
    <border>
      <left style="thin">
        <color rgb="FFA8E0D5"/>
      </left>
      <right style="thick">
        <color rgb="FF3E3A3A"/>
      </right>
      <top style="thin">
        <color rgb="FFA8E0D5"/>
      </top>
      <bottom style="thick">
        <color rgb="FF3E3A3A"/>
      </bottom>
    </border>
    <border>
      <left style="thin">
        <color rgb="FFAA9888"/>
      </left>
      <right style="thick">
        <color rgb="FF3E3A3A"/>
      </right>
      <top style="thick">
        <color rgb="FF3E3A3A"/>
      </top>
      <bottom style="thin">
        <color rgb="FFAA9888"/>
      </bottom>
    </border>
    <border>
      <left style="thin">
        <color rgb="FFAA9888"/>
      </left>
      <right style="thick">
        <color rgb="FF3E3A3A"/>
      </right>
      <top style="thin">
        <color rgb="FFAA9888"/>
      </top>
      <bottom style="thick">
        <color rgb="FF3E3A3A"/>
      </bottom>
    </border>
    <border>
      <left style="thin">
        <color rgb="FF6D7698"/>
      </left>
      <right style="thick">
        <color rgb="FF3E3A3A"/>
      </right>
      <top style="thick">
        <color rgb="FF3E3A3A"/>
      </top>
      <bottom style="thin">
        <color rgb="FF6D7698"/>
      </bottom>
    </border>
    <border>
      <left style="thin">
        <color rgb="FF6D7698"/>
      </left>
      <right style="thick">
        <color rgb="FF3E3A3A"/>
      </right>
      <top style="thin">
        <color rgb="FF6D7698"/>
      </top>
      <bottom style="thick">
        <color rgb="FF3E3A3A"/>
      </bottom>
    </border>
    <border>
      <left style="thin">
        <color rgb="FF5492A4"/>
      </left>
      <right style="thick">
        <color rgb="FF3E3A3A"/>
      </right>
      <top style="thick">
        <color rgb="FF3E3A3A"/>
      </top>
      <bottom style="thin">
        <color rgb="FF5492A4"/>
      </bottom>
    </border>
    <border>
      <left style="thin">
        <color rgb="FF5492A4"/>
      </left>
      <right style="thick">
        <color rgb="FF3E3A3A"/>
      </right>
      <top style="thin">
        <color rgb="FF5492A4"/>
      </top>
      <bottom style="thick">
        <color rgb="FF3E3A3A"/>
      </bottom>
    </border>
    <border>
      <left style="thin">
        <color rgb="FF90C12C"/>
      </left>
      <right style="thick">
        <color rgb="FF3E3A3A"/>
      </right>
      <top style="thick">
        <color rgb="FF3E3A3A"/>
      </top>
      <bottom style="thin">
        <color rgb="FF90C12C"/>
      </bottom>
    </border>
    <border>
      <left style="thin">
        <color rgb="FF90C12C"/>
      </left>
      <right style="thick">
        <color rgb="FF3E3A3A"/>
      </right>
      <top style="thin">
        <color rgb="FF90C12C"/>
      </top>
      <bottom style="thick">
        <color rgb="FF3E3A3A"/>
      </bottom>
    </border>
    <border>
      <left style="thin">
        <color rgb="FFE3BA20"/>
      </left>
      <right style="thick">
        <color rgb="FF3E3A3A"/>
      </right>
      <top style="thick">
        <color rgb="FF3E3A3A"/>
      </top>
      <bottom style="thin">
        <color rgb="FFE3BA20"/>
      </bottom>
    </border>
    <border>
      <left style="thin">
        <color rgb="FFE3BA20"/>
      </left>
      <right style="thick">
        <color rgb="FF3E3A3A"/>
      </right>
      <top style="thin">
        <color rgb="FFE3BA20"/>
      </top>
      <bottom style="thick">
        <color rgb="FF3E3A3A"/>
      </bottom>
    </border>
    <border>
      <left style="thick">
        <color rgb="FF3E3A3A"/>
      </left>
      <right style="thin">
        <color rgb="FF52A494"/>
      </right>
      <top style="thick">
        <color rgb="FF3E3A3A"/>
      </top>
    </border>
    <border>
      <left style="thin">
        <color rgb="FF52A494"/>
      </left>
      <right style="thick">
        <color rgb="FF3E3A3A"/>
      </right>
      <top style="thick">
        <color rgb="FF3E3A3A"/>
      </top>
      <bottom style="thin">
        <color rgb="FF52A494"/>
      </bottom>
    </border>
    <border>
      <left style="thick">
        <color rgb="FF3E3A3A"/>
      </left>
      <right style="thin">
        <color rgb="FF52A494"/>
      </right>
    </border>
    <border>
      <left style="thin">
        <color rgb="FF52A494"/>
      </left>
      <right style="thick">
        <color rgb="FF3E3A3A"/>
      </right>
      <top style="thin">
        <color rgb="FF52A494"/>
      </top>
      <bottom style="thick">
        <color rgb="FF3E3A3A"/>
      </bottom>
    </border>
    <border>
      <left style="thick">
        <color rgb="FF3E3A3A"/>
      </left>
      <right style="thin">
        <color rgb="FF52A494"/>
      </right>
      <bottom style="thick">
        <color rgb="FF3E3A3A"/>
      </bottom>
    </border>
    <border>
      <left style="thick">
        <color rgb="FF3E3A3A"/>
      </left>
      <right style="thin">
        <color rgb="FF4F4F4F"/>
      </right>
      <top style="thick">
        <color rgb="FF3E3A3A"/>
      </top>
    </border>
    <border>
      <left style="thin">
        <color rgb="FF4F4F4F"/>
      </left>
      <right style="thick">
        <color rgb="FF3E3A3A"/>
      </right>
      <top style="thick">
        <color rgb="FF3E3A3A"/>
      </top>
      <bottom style="thin">
        <color rgb="FF4F4F4F"/>
      </bottom>
    </border>
    <border>
      <left style="thick">
        <color rgb="FF3E3A3A"/>
      </left>
      <right style="thin">
        <color rgb="FF4F4F4F"/>
      </right>
    </border>
    <border>
      <left style="thin">
        <color rgb="FF4F4F4F"/>
      </left>
      <right style="thick">
        <color rgb="FF3E3A3A"/>
      </right>
      <top style="thin">
        <color rgb="FF4F4F4F"/>
      </top>
      <bottom style="thick">
        <color rgb="FF3E3A3A"/>
      </bottom>
    </border>
    <border>
      <left style="thick">
        <color rgb="FF3E3A3A"/>
      </left>
      <right style="thin">
        <color rgb="FF4F4F4F"/>
      </right>
      <bottom style="thick">
        <color rgb="FF3E3A3A"/>
      </bottom>
    </border>
    <border>
      <left style="thick">
        <color rgb="FF3E3A3A"/>
      </left>
      <right style="thin">
        <color rgb="FF3883C8"/>
      </right>
      <top style="thick">
        <color rgb="FF3E3A3A"/>
      </top>
    </border>
    <border>
      <left style="thin">
        <color rgb="FF3883C8"/>
      </left>
      <right style="thick">
        <color rgb="FF3E3A3A"/>
      </right>
      <top style="thick">
        <color rgb="FF3E3A3A"/>
      </top>
      <bottom style="thin">
        <color rgb="FF3883C8"/>
      </bottom>
    </border>
    <border>
      <left style="thick">
        <color rgb="FF3E3A3A"/>
      </left>
      <right style="thin">
        <color rgb="FF3883C8"/>
      </right>
    </border>
    <border>
      <left style="thin">
        <color rgb="FF3883C8"/>
      </left>
      <right style="thick">
        <color rgb="FF3E3A3A"/>
      </right>
      <top style="thin">
        <color rgb="FF3883C8"/>
      </top>
      <bottom style="thick">
        <color rgb="FF3E3A3A"/>
      </bottom>
    </border>
    <border>
      <left style="thick">
        <color rgb="FF3E3A3A"/>
      </left>
      <right style="thin">
        <color rgb="FF3883C8"/>
      </right>
      <bottom style="thick">
        <color rgb="FF3E3A3A"/>
      </bottom>
    </border>
    <border>
      <left style="thin">
        <color rgb="FFC1ADA4"/>
      </left>
      <right style="thick">
        <color rgb="FF3E3A3A"/>
      </right>
      <top style="thick">
        <color rgb="FF3E3A3A"/>
      </top>
      <bottom style="thin">
        <color rgb="FFC1ADA4"/>
      </bottom>
    </border>
    <border>
      <left style="thin">
        <color rgb="FFC1ADA4"/>
      </left>
      <right style="thick">
        <color rgb="FF3E3A3A"/>
      </right>
      <top style="thin">
        <color rgb="FFC1ADA4"/>
      </top>
      <bottom style="thick">
        <color rgb="FF3E3A3A"/>
      </bottom>
    </border>
    <border>
      <left style="thin">
        <color rgb="FF4461B0"/>
      </left>
      <right style="thick">
        <color rgb="FF3E3A3A"/>
      </right>
      <top style="thick">
        <color rgb="FF3E3A3A"/>
      </top>
      <bottom style="thin">
        <color rgb="FF4461B0"/>
      </bottom>
    </border>
    <border>
      <left style="thin">
        <color rgb="FF4461B0"/>
      </left>
      <right style="thick">
        <color rgb="FF3E3A3A"/>
      </right>
      <top style="thin">
        <color rgb="FF4461B0"/>
      </top>
      <bottom style="thick">
        <color rgb="FF3E3A3A"/>
      </bottom>
    </border>
    <border>
      <left style="thin">
        <color rgb="FF8C8C8C"/>
      </left>
      <right style="thick">
        <color rgb="FF3E3A3A"/>
      </right>
      <top style="thick">
        <color rgb="FF3E3A3A"/>
      </top>
      <bottom style="thin">
        <color rgb="FF8C8C8C"/>
      </bottom>
    </border>
    <border>
      <left style="thin">
        <color rgb="FF8C8C8C"/>
      </left>
      <right style="thick">
        <color rgb="FF3E3A3A"/>
      </right>
      <top style="thin">
        <color rgb="FF8C8C8C"/>
      </top>
      <bottom style="thick">
        <color rgb="FF3E3A3A"/>
      </bottom>
    </border>
    <border>
      <left style="thin">
        <color rgb="FFF4DC26"/>
      </left>
      <right style="thick">
        <color rgb="FF3E3A3A"/>
      </right>
      <top style="thick">
        <color rgb="FF3E3A3A"/>
      </top>
      <bottom style="thin">
        <color rgb="FFF4DC26"/>
      </bottom>
    </border>
    <border>
      <left style="thin">
        <color rgb="FFF4DC26"/>
      </left>
      <right style="thick">
        <color rgb="FF3E3A3A"/>
      </right>
      <top style="thin">
        <color rgb="FFF4DC26"/>
      </top>
      <bottom style="thick">
        <color rgb="FF3E3A3A"/>
      </bottom>
    </border>
    <border>
      <left style="thin">
        <color rgb="FF6D5387"/>
      </left>
      <right style="thick">
        <color rgb="FF3E3A3A"/>
      </right>
      <top style="thick">
        <color rgb="FF3E3A3A"/>
      </top>
      <bottom style="thin">
        <color rgb="FF6D5387"/>
      </bottom>
    </border>
    <border>
      <left style="thin">
        <color rgb="FF6D5387"/>
      </left>
      <right style="thick">
        <color rgb="FF3E3A3A"/>
      </right>
      <top style="thin">
        <color rgb="FF6D5387"/>
      </top>
      <bottom style="thick">
        <color rgb="FF3E3A3A"/>
      </bottom>
    </border>
    <border>
      <left style="thick">
        <color rgb="FF3E3A3A"/>
      </left>
      <right style="thin">
        <color rgb="FF528D55"/>
      </right>
      <top style="thick">
        <color rgb="FF3E3A3A"/>
      </top>
    </border>
    <border>
      <left style="thin">
        <color rgb="FF528D55"/>
      </left>
      <right style="thick">
        <color rgb="FF3E3A3A"/>
      </right>
      <top style="thick">
        <color rgb="FF3E3A3A"/>
      </top>
      <bottom style="thin">
        <color rgb="FF528D55"/>
      </bottom>
    </border>
    <border>
      <left style="thick">
        <color rgb="FF3E3A3A"/>
      </left>
      <right style="thin">
        <color rgb="FF528D55"/>
      </right>
    </border>
    <border>
      <left style="thin">
        <color rgb="FF528D55"/>
      </left>
      <right style="thick">
        <color rgb="FF3E3A3A"/>
      </right>
      <top style="thin">
        <color rgb="FF528D55"/>
      </top>
      <bottom style="thick">
        <color rgb="FF3E3A3A"/>
      </bottom>
    </border>
    <border>
      <left style="thick">
        <color rgb="FF3E3A3A"/>
      </left>
      <right style="thin">
        <color rgb="FF528D55"/>
      </right>
      <bottom style="thick">
        <color rgb="FF3E3A3A"/>
      </bottom>
    </border>
    <border>
      <right style="thin">
        <color rgb="FFEFEFEF"/>
      </right>
      <bottom style="thin">
        <color rgb="FFEFEFEF"/>
      </bottom>
    </border>
    <border>
      <left style="medium">
        <color rgb="FF6C5A5A"/>
      </left>
      <right style="thick">
        <color rgb="FF3E3A3A"/>
      </right>
      <top style="thick">
        <color rgb="FF3E3A3A"/>
      </top>
      <bottom style="medium">
        <color rgb="FF6C5A5A"/>
      </bottom>
    </border>
    <border>
      <left style="medium">
        <color rgb="FF6C5A5A"/>
      </left>
      <right style="thick">
        <color rgb="FF3E3A3A"/>
      </right>
      <top style="medium">
        <color rgb="FF6C5A5A"/>
      </top>
      <bottom style="thick">
        <color rgb="FF3E3A3A"/>
      </bottom>
    </border>
    <border>
      <left style="thin">
        <color rgb="FFD5BB57"/>
      </left>
      <right style="thick">
        <color rgb="FF3E3A3A"/>
      </right>
      <top style="thick">
        <color rgb="FF3E3A3A"/>
      </top>
      <bottom style="thin">
        <color rgb="FFD5BB57"/>
      </bottom>
    </border>
    <border>
      <left style="thin">
        <color rgb="FFD5BB57"/>
      </left>
      <right style="thick">
        <color rgb="FF3E3A3A"/>
      </right>
      <top style="thin">
        <color rgb="FFD5BB57"/>
      </top>
      <bottom style="thick">
        <color rgb="FF3E3A3A"/>
      </bottom>
    </border>
    <border>
      <left style="medium">
        <color rgb="FF434343"/>
      </left>
      <right style="thick">
        <color rgb="FF3E3A3A"/>
      </right>
      <top style="thick">
        <color rgb="FF3E3A3A"/>
      </top>
      <bottom style="medium">
        <color rgb="FF434343"/>
      </bottom>
    </border>
    <border>
      <left style="medium">
        <color rgb="FF434343"/>
      </left>
      <right style="thick">
        <color rgb="FF3E3A3A"/>
      </right>
      <top style="medium">
        <color rgb="FF434343"/>
      </top>
      <bottom style="thick">
        <color rgb="FF3E3A3A"/>
      </bottom>
    </border>
    <border>
      <left style="thin">
        <color rgb="FFAD9FCB"/>
      </left>
      <right style="thick">
        <color rgb="FF3E3A3A"/>
      </right>
      <top style="thick">
        <color rgb="FF3E3A3A"/>
      </top>
      <bottom style="thin">
        <color rgb="FFAD9FCB"/>
      </bottom>
    </border>
    <border>
      <left style="thin">
        <color rgb="FFAD9FCB"/>
      </left>
      <right style="thick">
        <color rgb="FF3E3A3A"/>
      </right>
      <top style="thin">
        <color rgb="FFAD9FCB"/>
      </top>
      <bottom style="thick">
        <color rgb="FF3E3A3A"/>
      </bottom>
    </border>
    <border>
      <left style="thin">
        <color rgb="FFA84D3D"/>
      </left>
      <right style="thick">
        <color rgb="FF3E3A3A"/>
      </right>
      <top style="thick">
        <color rgb="FF3E3A3A"/>
      </top>
      <bottom style="thin">
        <color rgb="FFA84D3D"/>
      </bottom>
    </border>
    <border>
      <left style="thin">
        <color rgb="FFA84D3D"/>
      </left>
      <right style="thick">
        <color rgb="FF3E3A3A"/>
      </right>
      <top style="thin">
        <color rgb="FFA84D3D"/>
      </top>
      <bottom style="thick">
        <color rgb="FF3E3A3A"/>
      </bottom>
    </border>
    <border>
      <left style="thin">
        <color rgb="FFD571E5"/>
      </left>
      <right style="thick">
        <color rgb="FF3E3A3A"/>
      </right>
      <top style="thick">
        <color rgb="FF3E3A3A"/>
      </top>
      <bottom style="thin">
        <color rgb="FFD571E5"/>
      </bottom>
    </border>
    <border>
      <left style="thin">
        <color rgb="FFD571E5"/>
      </left>
      <right style="thick">
        <color rgb="FF3E3A3A"/>
      </right>
      <top style="thin">
        <color rgb="FFD571E5"/>
      </top>
      <bottom style="thick">
        <color rgb="FF3E3A3A"/>
      </bottom>
    </border>
    <border>
      <left style="thin">
        <color rgb="FF70A8B8"/>
      </left>
      <right style="thick">
        <color rgb="FF3E3A3A"/>
      </right>
      <top style="thick">
        <color rgb="FF3E3A3A"/>
      </top>
      <bottom style="thin">
        <color rgb="FF70A8B8"/>
      </bottom>
    </border>
    <border>
      <left style="thin">
        <color rgb="FF70A8B8"/>
      </left>
      <right style="thick">
        <color rgb="FF3E3A3A"/>
      </right>
      <top style="thin">
        <color rgb="FF70A8B8"/>
      </top>
      <bottom style="thick">
        <color rgb="FF3E3A3A"/>
      </bottom>
    </border>
    <border>
      <left style="thin">
        <color rgb="FFA6B1C9"/>
      </left>
      <right style="thick">
        <color rgb="FF3E3A3A"/>
      </right>
      <top style="thick">
        <color rgb="FF3E3A3A"/>
      </top>
      <bottom style="thin">
        <color rgb="FFA6B1C9"/>
      </bottom>
    </border>
    <border>
      <left style="thin">
        <color rgb="FFA6B1C9"/>
      </left>
      <right style="thick">
        <color rgb="FF3E3A3A"/>
      </right>
      <top style="thin">
        <color rgb="FFA6B1C9"/>
      </top>
      <bottom style="thick">
        <color rgb="FF3E3A3A"/>
      </bottom>
    </border>
    <border>
      <left style="thin">
        <color rgb="FF009EE6"/>
      </left>
      <right style="thick">
        <color rgb="FF3E3A3A"/>
      </right>
      <top style="thick">
        <color rgb="FF3E3A3A"/>
      </top>
      <bottom style="thin">
        <color rgb="FF009EE6"/>
      </bottom>
    </border>
    <border>
      <left style="thin">
        <color rgb="FF009EE6"/>
      </left>
      <right style="thick">
        <color rgb="FF3E3A3A"/>
      </right>
      <top style="thin">
        <color rgb="FF009EE6"/>
      </top>
      <bottom style="thick">
        <color rgb="FF3E3A3A"/>
      </bottom>
    </border>
    <border>
      <left style="thin">
        <color rgb="FF438FDF"/>
      </left>
      <right style="thick">
        <color rgb="FF3E3A3A"/>
      </right>
      <top style="thick">
        <color rgb="FF3E3A3A"/>
      </top>
      <bottom style="thin">
        <color rgb="FF438FDF"/>
      </bottom>
    </border>
    <border>
      <left style="thin">
        <color rgb="FF438FDF"/>
      </left>
      <right style="thick">
        <color rgb="FF3E3A3A"/>
      </right>
      <top style="thin">
        <color rgb="FF438FDF"/>
      </top>
      <bottom style="thick">
        <color rgb="FF3E3A3A"/>
      </bottom>
    </border>
    <border>
      <left style="thin">
        <color rgb="FFA84038"/>
      </left>
      <right style="thick">
        <color rgb="FF3E3A3A"/>
      </right>
      <top style="thick">
        <color rgb="FF3E3A3A"/>
      </top>
      <bottom style="thin">
        <color rgb="FFA84038"/>
      </bottom>
    </border>
    <border>
      <left style="thin">
        <color rgb="FFA84038"/>
      </left>
      <right style="thick">
        <color rgb="FF3E3A3A"/>
      </right>
      <top style="thin">
        <color rgb="FFA84038"/>
      </top>
      <bottom style="thick">
        <color rgb="FF3E3A3A"/>
      </bottom>
    </border>
    <border>
      <left style="thin">
        <color rgb="FF954DDF"/>
      </left>
      <right style="thick">
        <color rgb="FF3E3A3A"/>
      </right>
      <top style="thick">
        <color rgb="FF3E3A3A"/>
      </top>
      <bottom style="thin">
        <color rgb="FF954DDF"/>
      </bottom>
    </border>
    <border>
      <left style="thin">
        <color rgb="FF954DDF"/>
      </left>
      <right style="thick">
        <color rgb="FF3E3A3A"/>
      </right>
      <top style="thin">
        <color rgb="FF954DDF"/>
      </top>
      <bottom style="thick">
        <color rgb="FF3E3A3A"/>
      </bottom>
    </border>
    <border>
      <left style="thin">
        <color rgb="FF8E6686"/>
      </left>
      <right style="thick">
        <color rgb="FF3E3A3A"/>
      </right>
      <top style="thick">
        <color rgb="FF3E3A3A"/>
      </top>
      <bottom style="thin">
        <color rgb="FF8E6686"/>
      </bottom>
    </border>
    <border>
      <left style="thin">
        <color rgb="FF8E6686"/>
      </left>
      <right style="thick">
        <color rgb="FF3E3A3A"/>
      </right>
      <top style="thin">
        <color rgb="FF8E6686"/>
      </top>
      <bottom style="thick">
        <color rgb="FF3E3A3A"/>
      </bottom>
    </border>
    <border>
      <left style="thin">
        <color rgb="FFE6AF5F"/>
      </left>
      <right style="thick">
        <color rgb="FF3E3A3A"/>
      </right>
      <top style="thick">
        <color rgb="FF3E3A3A"/>
      </top>
      <bottom style="thin">
        <color rgb="FFE6AF5F"/>
      </bottom>
    </border>
    <border>
      <left style="thin">
        <color rgb="FFE6AF5F"/>
      </left>
      <right style="thick">
        <color rgb="FF3E3A3A"/>
      </right>
      <top style="thin">
        <color rgb="FFE6AF5F"/>
      </top>
      <bottom style="thick">
        <color rgb="FF3E3A3A"/>
      </bottom>
    </border>
    <border>
      <left style="thin">
        <color rgb="FF7DD4FF"/>
      </left>
      <right style="thick">
        <color rgb="FF3E3A3A"/>
      </right>
      <top style="thick">
        <color rgb="FF3E3A3A"/>
      </top>
      <bottom style="thin">
        <color rgb="FF7DD4FF"/>
      </bottom>
    </border>
    <border>
      <left style="thin">
        <color rgb="FF7DD4FF"/>
      </left>
      <right style="thick">
        <color rgb="FF3E3A3A"/>
      </right>
      <top style="thin">
        <color rgb="FF7DD4FF"/>
      </top>
      <bottom style="thick">
        <color rgb="FF3E3A3A"/>
      </bottom>
    </border>
    <border>
      <left style="thin">
        <color rgb="FFF16949"/>
      </left>
      <right style="thick">
        <color rgb="FF3E3A3A"/>
      </right>
      <top style="thick">
        <color rgb="FF3E3A3A"/>
      </top>
      <bottom style="thin">
        <color rgb="FFF16949"/>
      </bottom>
    </border>
    <border>
      <left style="thin">
        <color rgb="FFF16949"/>
      </left>
      <right style="thick">
        <color rgb="FF3E3A3A"/>
      </right>
      <top style="thin">
        <color rgb="FFF16949"/>
      </top>
      <bottom style="thick">
        <color rgb="FF3E3A3A"/>
      </bottom>
    </border>
    <border>
      <left style="thin">
        <color rgb="FFB7B7C5"/>
      </left>
      <right style="thick">
        <color rgb="FF3E3A3A"/>
      </right>
      <top style="thick">
        <color rgb="FF3E3A3A"/>
      </top>
      <bottom style="thin">
        <color rgb="FFB7B7C5"/>
      </bottom>
    </border>
    <border>
      <left style="thin">
        <color rgb="FFB7B7C5"/>
      </left>
      <right style="thick">
        <color rgb="FF3E3A3A"/>
      </right>
      <top style="thin">
        <color rgb="FFB7B7C5"/>
      </top>
      <bottom style="thick">
        <color rgb="FF3E3A3A"/>
      </bottom>
    </border>
    <border>
      <left style="thin">
        <color rgb="FFC83850"/>
      </left>
      <right style="thick">
        <color rgb="FF3E3A3A"/>
      </right>
      <top style="thick">
        <color rgb="FF3E3A3A"/>
      </top>
      <bottom style="thin">
        <color rgb="FFC83850"/>
      </bottom>
    </border>
    <border>
      <left style="thin">
        <color rgb="FFC83850"/>
      </left>
      <right style="thick">
        <color rgb="FF3E3A3A"/>
      </right>
      <top style="thin">
        <color rgb="FFC83850"/>
      </top>
      <bottom style="thick">
        <color rgb="FF3E3A3A"/>
      </bottom>
    </border>
    <border>
      <left style="thin">
        <color rgb="FFBE5252"/>
      </left>
      <right style="thick">
        <color rgb="FF3E3A3A"/>
      </right>
      <top style="thick">
        <color rgb="FF3E3A3A"/>
      </top>
      <bottom style="thin">
        <color rgb="FFBE5252"/>
      </bottom>
    </border>
    <border>
      <left style="thin">
        <color rgb="FFBE5252"/>
      </left>
      <right style="thick">
        <color rgb="FF3E3A3A"/>
      </right>
      <top style="thin">
        <color rgb="FFBE5252"/>
      </top>
      <bottom style="thick">
        <color rgb="FF3E3A3A"/>
      </bottom>
    </border>
    <border>
      <left style="thin">
        <color rgb="FFFC675F"/>
      </left>
      <right style="thick">
        <color rgb="FF3E3A3A"/>
      </right>
      <top style="thick">
        <color rgb="FF3E3A3A"/>
      </top>
      <bottom style="thin">
        <color rgb="FFFC675F"/>
      </bottom>
    </border>
    <border>
      <left style="thin">
        <color rgb="FFFC675F"/>
      </left>
      <right style="thick">
        <color rgb="FF3E3A3A"/>
      </right>
      <top style="thin">
        <color rgb="FFFC675F"/>
      </top>
      <bottom style="thick">
        <color rgb="FF3E3A3A"/>
      </bottom>
    </border>
    <border>
      <left style="thin">
        <color rgb="FF8B7DF1"/>
      </left>
      <right style="thick">
        <color rgb="FF3E3A3A"/>
      </right>
      <top style="thick">
        <color rgb="FF3E3A3A"/>
      </top>
      <bottom style="thin">
        <color rgb="FF8B7DF1"/>
      </bottom>
    </border>
    <border>
      <left style="thin">
        <color rgb="FF8B7DF1"/>
      </left>
      <right style="thick">
        <color rgb="FF3E3A3A"/>
      </right>
      <top style="thin">
        <color rgb="FF8B7DF1"/>
      </top>
      <bottom style="thick">
        <color rgb="FF3E3A3A"/>
      </bottom>
    </border>
    <border>
      <left style="thin">
        <color rgb="FF798EA4"/>
      </left>
      <right style="thick">
        <color rgb="FF3E3A3A"/>
      </right>
      <top style="thick">
        <color rgb="FF3E3A3A"/>
      </top>
      <bottom style="thin">
        <color rgb="FF798EA4"/>
      </bottom>
    </border>
    <border>
      <left style="thin">
        <color rgb="FF798EA4"/>
      </left>
      <right style="thick">
        <color rgb="FF3E3A3A"/>
      </right>
      <top style="thin">
        <color rgb="FF798EA4"/>
      </top>
      <bottom style="thick">
        <color rgb="FF3E3A3A"/>
      </bottom>
    </border>
    <border>
      <left style="thin">
        <color rgb="FF3C78D8"/>
      </left>
      <right style="thick">
        <color rgb="FF3E3A3A"/>
      </right>
      <top style="thick">
        <color rgb="FF3E3A3A"/>
      </top>
      <bottom style="thin">
        <color rgb="FF3C78D8"/>
      </bottom>
    </border>
    <border>
      <left style="thin">
        <color rgb="FF3C78D8"/>
      </left>
      <right style="thick">
        <color rgb="FF3E3A3A"/>
      </right>
      <top style="thin">
        <color rgb="FF3C78D8"/>
      </top>
      <bottom style="thick">
        <color rgb="FF3E3A3A"/>
      </bottom>
    </border>
    <border>
      <left style="thin">
        <color rgb="FFFFBD96"/>
      </left>
      <right style="thick">
        <color rgb="FF3E3A3A"/>
      </right>
      <top style="thick">
        <color rgb="FF3E3A3A"/>
      </top>
      <bottom style="thin">
        <color rgb="FFFFBD96"/>
      </bottom>
    </border>
    <border>
      <left style="thin">
        <color rgb="FFFFBD96"/>
      </left>
      <right style="thick">
        <color rgb="FF3E3A3A"/>
      </right>
      <top style="thin">
        <color rgb="FFFFBD96"/>
      </top>
      <bottom style="thick">
        <color rgb="FF3E3A3A"/>
      </bottom>
    </border>
    <border>
      <left style="thin">
        <color rgb="FF6351C6"/>
      </left>
      <right style="thick">
        <color rgb="FF3E3A3A"/>
      </right>
      <top style="thick">
        <color rgb="FF3E3A3A"/>
      </top>
      <bottom style="thin">
        <color rgb="FF6351C6"/>
      </bottom>
    </border>
    <border>
      <left style="thin">
        <color rgb="FF6351C6"/>
      </left>
      <right style="thick">
        <color rgb="FF3E3A3A"/>
      </right>
      <top style="thin">
        <color rgb="FF6351C6"/>
      </top>
      <bottom style="thick">
        <color rgb="FF3E3A3A"/>
      </bottom>
    </border>
    <border>
      <left style="thin">
        <color rgb="FF3D82C3"/>
      </left>
      <right style="thick">
        <color rgb="FF3E3A3A"/>
      </right>
      <top style="thick">
        <color rgb="FF3E3A3A"/>
      </top>
      <bottom style="thin">
        <color rgb="FF3D82C3"/>
      </bottom>
    </border>
    <border>
      <left style="thin">
        <color rgb="FF3D82C3"/>
      </left>
      <right style="thick">
        <color rgb="FF3E3A3A"/>
      </right>
      <top style="thin">
        <color rgb="FF3D82C3"/>
      </top>
      <bottom style="thick">
        <color rgb="FF3E3A3A"/>
      </bottom>
    </border>
    <border>
      <left style="thick">
        <color rgb="FFFFFFFF"/>
      </left>
      <right style="thin">
        <color rgb="FFEFEFEF"/>
      </right>
      <top style="thin">
        <color rgb="FFEFEFEF"/>
      </top>
      <bottom style="thick">
        <color rgb="FFFFFFFF"/>
      </bottom>
    </border>
    <border>
      <left style="thin">
        <color rgb="FFEFEFEF"/>
      </left>
      <right style="thin">
        <color rgb="FFEFEFEF"/>
      </right>
      <top style="thin">
        <color rgb="FFEFEFEF"/>
      </top>
      <bottom style="thick">
        <color rgb="FFFFFFFF"/>
      </bottom>
    </border>
    <border>
      <left style="thin">
        <color rgb="FFEFEFEF"/>
      </left>
      <top style="thin">
        <color rgb="FFEFEFEF"/>
      </top>
      <bottom style="thick">
        <color rgb="FFFFFFFF"/>
      </bottom>
    </border>
    <border>
      <left style="thin">
        <color rgb="FFEFEFEF"/>
      </left>
      <right style="thick">
        <color rgb="FFFFFFFF"/>
      </right>
      <top style="thin">
        <color rgb="FFEFEFEF"/>
      </top>
      <bottom style="thick">
        <color rgb="FFFFFFFF"/>
      </bottom>
    </border>
    <border>
      <left style="thin">
        <color rgb="FF3E3A3A"/>
      </left>
      <right style="thin">
        <color rgb="FF3E3A3A"/>
      </right>
      <bottom style="thin">
        <color rgb="FF3E3A3A"/>
      </bottom>
    </border>
    <border>
      <left style="thin">
        <color rgb="FFD23A3A"/>
      </left>
      <right style="thin">
        <color rgb="FFD23A3A"/>
      </right>
      <top style="thin">
        <color rgb="FFD23A3A"/>
      </top>
      <bottom style="thin">
        <color rgb="FFD23A3A"/>
      </bottom>
    </border>
    <border>
      <left style="thin">
        <color rgb="FFD23A3A"/>
      </left>
      <right style="thin">
        <color rgb="FFD23A3A"/>
      </right>
      <top style="thin">
        <color rgb="FFD23A3A"/>
      </top>
    </border>
    <border>
      <left style="thin">
        <color rgb="FFD23A3A"/>
      </left>
      <top style="thin">
        <color rgb="FFD23A3A"/>
      </top>
      <bottom style="thin">
        <color rgb="FFD23A3A"/>
      </bottom>
    </border>
    <border>
      <left style="thick">
        <color rgb="FF3E3A3A"/>
      </left>
      <right style="thin">
        <color rgb="FFFCF3EB"/>
      </right>
      <top style="thick">
        <color rgb="FF3E3A3A"/>
      </top>
      <bottom style="thin">
        <color rgb="FFFCF3EB"/>
      </bottom>
    </border>
    <border>
      <left style="thin">
        <color rgb="FFFCF3EB"/>
      </left>
      <right style="thin">
        <color rgb="FFFCF3EB"/>
      </right>
      <top style="thick">
        <color rgb="FF3E3A3A"/>
      </top>
    </border>
    <border>
      <left style="thin">
        <color rgb="FFFCF3EB"/>
      </left>
      <right style="thin">
        <color rgb="FFFCF3EB"/>
      </right>
      <top style="thick">
        <color rgb="FF3E3A3A"/>
      </top>
      <bottom style="thin">
        <color rgb="FFFCF3EB"/>
      </bottom>
    </border>
    <border>
      <left style="thin">
        <color rgb="FFFCF3EB"/>
      </left>
      <right style="thin">
        <color rgb="FFFCF3EB"/>
      </right>
      <top style="thick">
        <color rgb="FF3E3A3A"/>
      </top>
      <bottom style="thin">
        <color rgb="FFFFFFFF"/>
      </bottom>
    </border>
    <border>
      <left style="thin">
        <color rgb="FFFCF3EB"/>
      </left>
      <right style="thick">
        <color rgb="FF3E3A3A"/>
      </right>
      <top style="thick">
        <color rgb="FF3E3A3A"/>
      </top>
      <bottom style="thin">
        <color rgb="FFFCF3EB"/>
      </bottom>
    </border>
    <border>
      <right style="thin">
        <color rgb="FFD23A3A"/>
      </right>
      <top style="thin">
        <color rgb="FFD23A3A"/>
      </top>
      <bottom style="thin">
        <color rgb="FFD23A3A"/>
      </bottom>
    </border>
    <border>
      <left style="thick">
        <color rgb="FF3E3A3A"/>
      </left>
      <top style="thin">
        <color rgb="FFFCF3EB"/>
      </top>
      <bottom style="thin">
        <color rgb="FFFCF3EB"/>
      </bottom>
    </border>
    <border>
      <left style="thick">
        <color rgb="FF434343"/>
      </left>
      <right style="thick">
        <color rgb="FF434343"/>
      </right>
      <top style="thick">
        <color rgb="FF434343"/>
      </top>
    </border>
    <border>
      <top style="thin">
        <color rgb="FFFCF3EB"/>
      </top>
      <bottom style="thin">
        <color rgb="FFFCF3EB"/>
      </bottom>
    </border>
    <border>
      <left style="thick">
        <color rgb="FF434343"/>
      </left>
      <top style="thick">
        <color rgb="FF434343"/>
      </top>
      <bottom style="medium">
        <color rgb="FF434343"/>
      </bottom>
    </border>
    <border>
      <top style="thick">
        <color rgb="FF434343"/>
      </top>
      <bottom style="medium">
        <color rgb="FF434343"/>
      </bottom>
    </border>
    <border>
      <right style="thick">
        <color rgb="FF434343"/>
      </right>
      <top style="thick">
        <color rgb="FF434343"/>
      </top>
      <bottom style="medium">
        <color rgb="FF434343"/>
      </bottom>
    </border>
    <border>
      <right style="thin">
        <color rgb="FFFCF3EB"/>
      </right>
      <top style="thin">
        <color rgb="FFFCF3EB"/>
      </top>
    </border>
    <border>
      <left style="thin">
        <color rgb="FFFCF3EB"/>
      </left>
      <top style="thin">
        <color rgb="FFFCF3EB"/>
      </top>
      <bottom style="thin">
        <color rgb="FFFCF3EB"/>
      </bottom>
    </border>
    <border>
      <right style="thin">
        <color rgb="FFFCF3EB"/>
      </right>
      <top style="thin">
        <color rgb="FFFCF3EB"/>
      </top>
      <bottom style="thin">
        <color rgb="FFFCF3EB"/>
      </bottom>
    </border>
    <border>
      <left style="thin">
        <color rgb="FFFCF3EB"/>
      </left>
      <right style="thin">
        <color rgb="FFFCF3EB"/>
      </right>
      <top style="thin">
        <color rgb="FFFCF3EB"/>
      </top>
    </border>
    <border>
      <left style="thin">
        <color rgb="FFFCF3EB"/>
      </left>
      <right style="thick">
        <color rgb="FF3E3A3A"/>
      </right>
      <top style="thin">
        <color rgb="FFFCF3EB"/>
      </top>
      <bottom style="thin">
        <color rgb="FFFCF3EB"/>
      </bottom>
    </border>
    <border>
      <left style="thick">
        <color rgb="FF434343"/>
      </left>
      <right style="thick">
        <color rgb="FF434343"/>
      </right>
      <top style="medium">
        <color rgb="FF434343"/>
      </top>
    </border>
    <border>
      <left style="thick">
        <color rgb="FF434343"/>
      </left>
      <bottom style="thin">
        <color rgb="FFFCF3EB"/>
      </bottom>
    </border>
    <border>
      <bottom style="thin">
        <color rgb="FFFCF3EB"/>
      </bottom>
    </border>
    <border>
      <right style="thick">
        <color rgb="FF434343"/>
      </right>
      <bottom style="thin">
        <color rgb="FFFCF3EB"/>
      </bottom>
    </border>
    <border>
      <right style="thin">
        <color rgb="FFFCF3EB"/>
      </right>
    </border>
    <border>
      <left style="thin">
        <color rgb="FFFCF3EB"/>
      </left>
      <right style="thin">
        <color rgb="FFFCF3EB"/>
      </right>
    </border>
    <border>
      <left style="thick">
        <color rgb="FF434343"/>
      </left>
      <right style="thick">
        <color rgb="FF434343"/>
      </right>
      <bottom style="thick">
        <color rgb="FF434343"/>
      </bottom>
    </border>
    <border>
      <left style="thick">
        <color rgb="FF434343"/>
      </left>
      <top style="thin">
        <color rgb="FFFCF3EB"/>
      </top>
    </border>
    <border>
      <top style="thin">
        <color rgb="FFFCF3EB"/>
      </top>
    </border>
    <border>
      <right style="thick">
        <color rgb="FF434343"/>
      </right>
      <top style="thin">
        <color rgb="FFFCF3EB"/>
      </top>
    </border>
    <border>
      <left style="thick">
        <color rgb="FF3E3A3A"/>
      </left>
      <right style="thin">
        <color rgb="FFFCF3EB"/>
      </right>
      <top style="thin">
        <color rgb="FFFCF3EB"/>
      </top>
      <bottom style="thin">
        <color rgb="FFFCF3EB"/>
      </bottom>
    </border>
    <border>
      <left style="thin">
        <color rgb="FFFCF3EB"/>
      </left>
      <right style="thin">
        <color rgb="FFFFFFFF"/>
      </right>
    </border>
    <border>
      <left style="thick">
        <color rgb="FF434343"/>
      </left>
      <right style="thin">
        <color rgb="FFFCF3EB"/>
      </right>
      <top style="medium">
        <color rgb="FFFCF3EB"/>
      </top>
      <bottom style="medium">
        <color rgb="FFFCF3EB"/>
      </bottom>
    </border>
    <border>
      <left style="thin">
        <color rgb="FFFCF3EB"/>
      </left>
      <right style="thin">
        <color rgb="FFFCF3EB"/>
      </right>
      <top style="medium">
        <color rgb="FFFCF3EB"/>
      </top>
      <bottom style="medium">
        <color rgb="FFFCF3EB"/>
      </bottom>
    </border>
    <border>
      <left style="thin">
        <color rgb="FFFCF3EB"/>
      </left>
      <right style="thick">
        <color rgb="FF434343"/>
      </right>
      <top style="medium">
        <color rgb="FFFCF3EB"/>
      </top>
      <bottom style="medium">
        <color rgb="FFFCF3EB"/>
      </bottom>
    </border>
    <border>
      <left style="thick">
        <color rgb="FF434343"/>
      </left>
      <right style="thin">
        <color rgb="FFFCF3EB"/>
      </right>
      <bottom style="medium">
        <color rgb="FF434343"/>
      </bottom>
    </border>
    <border>
      <left style="thin">
        <color rgb="FFFCF3EB"/>
      </left>
      <right style="thin">
        <color rgb="FFFCF3EB"/>
      </right>
      <bottom style="medium">
        <color rgb="FF434343"/>
      </bottom>
    </border>
    <border>
      <left style="thin">
        <color rgb="FFFCF3EB"/>
      </left>
      <right style="thick">
        <color rgb="FF434343"/>
      </right>
      <bottom style="medium">
        <color rgb="FF434343"/>
      </bottom>
    </border>
    <border>
      <left style="thin">
        <color rgb="FFFCF3EB"/>
      </left>
      <right style="thin">
        <color rgb="FFFCF3EB"/>
      </right>
      <top style="thin">
        <color rgb="FFFCF3EB"/>
      </top>
      <bottom style="thin">
        <color rgb="FFFCF3EB"/>
      </bottom>
    </border>
    <border>
      <left style="thin">
        <color rgb="FFFCF3EB"/>
      </left>
      <right style="thin">
        <color rgb="FFFFFFFF"/>
      </right>
      <bottom style="thin">
        <color rgb="FFFCF3EB"/>
      </bottom>
    </border>
    <border>
      <left style="thick">
        <color rgb="FF434343"/>
      </left>
      <top style="medium">
        <color rgb="FF434343"/>
      </top>
      <bottom style="thin">
        <color rgb="FFFCF3EB"/>
      </bottom>
    </border>
    <border>
      <top style="medium">
        <color rgb="FF434343"/>
      </top>
      <bottom style="thin">
        <color rgb="FFFCF3EB"/>
      </bottom>
    </border>
    <border>
      <right style="thick">
        <color rgb="FF434343"/>
      </right>
      <top style="medium">
        <color rgb="FF434343"/>
      </top>
      <bottom style="thin">
        <color rgb="FFFCF3EB"/>
      </bottom>
    </border>
    <border>
      <left style="thin">
        <color rgb="FFFCF3EB"/>
      </left>
      <right style="thin">
        <color rgb="FFFFFFFF"/>
      </right>
      <top style="thin">
        <color rgb="FFFCF3EB"/>
      </top>
    </border>
    <border>
      <left style="thick">
        <color rgb="FF434343"/>
      </left>
      <top style="thin">
        <color rgb="FFFCF3EB"/>
      </top>
      <bottom style="thin">
        <color rgb="FFFCF3EB"/>
      </bottom>
    </border>
    <border>
      <right style="thick">
        <color rgb="FF434343"/>
      </right>
      <top style="thin">
        <color rgb="FFFCF3EB"/>
      </top>
      <bottom style="thin">
        <color rgb="FFFCF3EB"/>
      </bottom>
    </border>
    <border>
      <right style="thin">
        <color rgb="FFF8F8FF"/>
      </right>
      <top style="thin">
        <color rgb="FFFCF3EB"/>
      </top>
    </border>
    <border>
      <left style="thin">
        <color rgb="FFFCF3EB"/>
      </left>
      <right style="thick">
        <color rgb="FF434343"/>
      </right>
      <top style="thin">
        <color rgb="FFFCF3EB"/>
      </top>
    </border>
    <border>
      <left style="thin">
        <color rgb="FFFCF3EB"/>
      </left>
      <right style="thick">
        <color rgb="FF434343"/>
      </right>
      <top style="medium">
        <color rgb="FF434343"/>
      </top>
      <bottom style="thin">
        <color rgb="FFFCF3EB"/>
      </bottom>
    </border>
    <border>
      <left style="thin">
        <color rgb="FFFCF3EB"/>
      </left>
      <right style="thin">
        <color rgb="FFFFFFFF"/>
      </right>
      <top style="thin">
        <color rgb="FFFCF3EB"/>
      </top>
      <bottom style="thin">
        <color rgb="FFFCF3EB"/>
      </bottom>
    </border>
    <border>
      <left style="thin">
        <color rgb="FFFCF3EB"/>
      </left>
      <right style="thick">
        <color rgb="FF434343"/>
      </right>
      <top style="thin">
        <color rgb="FFFCF3EB"/>
      </top>
      <bottom style="thin">
        <color rgb="FFFCF3EB"/>
      </bottom>
    </border>
    <border>
      <left style="thick">
        <color rgb="FF434343"/>
      </left>
      <top style="thin">
        <color rgb="FFFCF3EB"/>
      </top>
      <bottom style="thick">
        <color rgb="FF3E3A3A"/>
      </bottom>
    </border>
    <border>
      <top style="thin">
        <color rgb="FFFCF3EB"/>
      </top>
      <bottom style="thick">
        <color rgb="FF3E3A3A"/>
      </bottom>
    </border>
    <border>
      <left style="thin">
        <color rgb="FFFCF3EB"/>
      </left>
      <right style="thick">
        <color rgb="FF434343"/>
      </right>
      <top style="thin">
        <color rgb="FFFCF3EB"/>
      </top>
      <bottom style="thick">
        <color rgb="FF3E3A3A"/>
      </bottom>
    </border>
    <border>
      <right style="thick">
        <color rgb="FF434343"/>
      </right>
      <top style="thin">
        <color rgb="FFFCF3EB"/>
      </top>
      <bottom style="thick">
        <color rgb="FF3E3A3A"/>
      </bottom>
    </border>
    <border>
      <right style="thin">
        <color rgb="FFFCF3EB"/>
      </right>
      <bottom style="thin">
        <color rgb="FFFCF3EB"/>
      </bottom>
    </border>
    <border>
      <left style="thin">
        <color rgb="FFFCF3EB"/>
      </left>
      <right style="thin">
        <color rgb="FFFCF3EB"/>
      </right>
      <bottom style="thin">
        <color rgb="FFFCF3EB"/>
      </bottom>
    </border>
    <border>
      <left style="thin">
        <color rgb="FFFFFFFF"/>
      </left>
      <top style="thin">
        <color rgb="FFFCF3EB"/>
      </top>
      <bottom style="thin">
        <color rgb="FFFCF3EB"/>
      </bottom>
    </border>
    <border>
      <left style="thick">
        <color rgb="FF3E3A3A"/>
      </left>
      <top style="thick">
        <color rgb="FF3E3A3A"/>
      </top>
      <bottom style="medium">
        <color rgb="FF3E3A3A"/>
      </bottom>
    </border>
    <border>
      <top style="thick">
        <color rgb="FF3E3A3A"/>
      </top>
      <bottom style="medium">
        <color rgb="FF3E3A3A"/>
      </bottom>
    </border>
    <border>
      <right style="medium">
        <color rgb="FF3E3A3A"/>
      </right>
      <top style="thick">
        <color rgb="FF3E3A3A"/>
      </top>
      <bottom style="medium">
        <color rgb="FF3E3A3A"/>
      </bottom>
    </border>
    <border>
      <right style="thick">
        <color rgb="FF3E3A3A"/>
      </right>
      <top style="thick">
        <color rgb="FF3E3A3A"/>
      </top>
      <bottom style="medium">
        <color rgb="FF3E3A3A"/>
      </bottom>
    </border>
    <border>
      <left style="thick">
        <color rgb="FF3E3A3A"/>
      </left>
      <right style="thin">
        <color rgb="FFAA9888"/>
      </right>
      <bottom style="thin">
        <color rgb="FFAA9888"/>
      </bottom>
    </border>
    <border>
      <left style="thin">
        <color rgb="FFAA9888"/>
      </left>
      <right style="thin">
        <color rgb="FFAA9888"/>
      </right>
      <bottom style="thin">
        <color rgb="FFAA9888"/>
      </bottom>
    </border>
    <border>
      <left style="thin">
        <color rgb="FFAA9888"/>
      </left>
      <top style="thin">
        <color rgb="FF3E3A3A"/>
      </top>
      <bottom style="thin">
        <color rgb="FFAA9888"/>
      </bottom>
    </border>
    <border>
      <left style="medium">
        <color rgb="FF3E3A3A"/>
      </left>
      <right style="thick">
        <color rgb="FF3E3A3A"/>
      </right>
      <bottom style="thin">
        <color rgb="FFAA9888"/>
      </bottom>
    </border>
    <border>
      <left style="thick">
        <color rgb="FF3E3A3A"/>
      </left>
      <right style="thin">
        <color rgb="FFAA9888"/>
      </right>
      <top style="thin">
        <color rgb="FFAA9888"/>
      </top>
      <bottom style="thin">
        <color rgb="FFAA9888"/>
      </bottom>
    </border>
    <border>
      <left style="thin">
        <color rgb="FFAA9888"/>
      </left>
      <right style="thin">
        <color rgb="FFAA9888"/>
      </right>
      <top style="thin">
        <color rgb="FFAA9888"/>
      </top>
      <bottom style="thin">
        <color rgb="FFAA9888"/>
      </bottom>
    </border>
    <border>
      <left style="thin">
        <color rgb="FFAA9888"/>
      </left>
      <top style="thin">
        <color rgb="FFAA9888"/>
      </top>
      <bottom style="thin">
        <color rgb="FFAA9888"/>
      </bottom>
    </border>
    <border>
      <left style="medium">
        <color rgb="FF3E3A3A"/>
      </left>
      <right style="thick">
        <color rgb="FF3E3A3A"/>
      </right>
      <top style="thin">
        <color rgb="FFAA9888"/>
      </top>
      <bottom style="thin">
        <color rgb="FFAA9888"/>
      </bottom>
    </border>
    <border>
      <left style="thick">
        <color rgb="FF3E3A3A"/>
      </left>
      <right style="thin">
        <color rgb="FFAA9888"/>
      </right>
      <top style="thin">
        <color rgb="FFAA9888"/>
      </top>
    </border>
    <border>
      <left style="thin">
        <color rgb="FFAA9888"/>
      </left>
      <right style="thin">
        <color rgb="FFAA9888"/>
      </right>
      <top style="thin">
        <color rgb="FFAA9888"/>
      </top>
    </border>
    <border>
      <left style="thin">
        <color rgb="FFAA9888"/>
      </left>
      <top style="thin">
        <color rgb="FFAA9888"/>
      </top>
    </border>
    <border>
      <left style="medium">
        <color rgb="FF3E3A3A"/>
      </left>
      <right style="thick">
        <color rgb="FF3E3A3A"/>
      </right>
      <top style="thin">
        <color rgb="FFAA9888"/>
      </top>
      <bottom style="medium">
        <color rgb="FF3E3A3A"/>
      </bottom>
    </border>
    <border>
      <left style="thick">
        <color rgb="FF3E3A3A"/>
      </left>
      <top style="medium">
        <color rgb="FF3E3A3A"/>
      </top>
      <bottom style="thick">
        <color rgb="FF3E3A3A"/>
      </bottom>
    </border>
    <border>
      <top style="medium">
        <color rgb="FF3E3A3A"/>
      </top>
      <bottom style="thick">
        <color rgb="FF3E3A3A"/>
      </bottom>
    </border>
    <border>
      <right style="medium">
        <color rgb="FF3E3A3A"/>
      </right>
      <top style="medium">
        <color rgb="FF3E3A3A"/>
      </top>
      <bottom style="thick">
        <color rgb="FF3E3A3A"/>
      </bottom>
    </border>
    <border>
      <left style="medium">
        <color rgb="FF3E3A3A"/>
      </left>
      <right style="thick">
        <color rgb="FF3E3A3A"/>
      </right>
      <top style="medium">
        <color rgb="FF3E3A3A"/>
      </top>
      <bottom style="thick">
        <color rgb="FF3E3A3A"/>
      </bottom>
    </border>
    <border>
      <top style="thin">
        <color rgb="FFFCF3EB"/>
      </top>
      <bottom style="thin">
        <color rgb="FFFFFFFF"/>
      </bottom>
    </border>
    <border>
      <left style="thin">
        <color rgb="FFFFFFFF"/>
      </left>
      <top style="thin">
        <color rgb="FFFCF3EB"/>
      </top>
      <bottom style="thin">
        <color rgb="FFFFFFFF"/>
      </bottom>
    </border>
    <border>
      <left style="thick">
        <color rgb="FF3E3A3A"/>
      </left>
      <right style="thin">
        <color rgb="FFFCF3EB"/>
      </right>
      <bottom style="thick">
        <color rgb="FF3E3A3A"/>
      </bottom>
    </border>
    <border>
      <left style="thin">
        <color rgb="FFFCF3EB"/>
      </left>
      <right style="thin">
        <color rgb="FFFCF3EB"/>
      </right>
      <bottom style="thick">
        <color rgb="FF3E3A3A"/>
      </bottom>
    </border>
    <border>
      <left style="thin">
        <color rgb="FFFCF3EB"/>
      </left>
      <right style="thick">
        <color rgb="FF3E3A3A"/>
      </right>
      <bottom style="thick">
        <color rgb="FF3E3A3A"/>
      </bottom>
    </border>
    <border>
      <left style="thick">
        <color rgb="FF3E3A3A"/>
      </left>
      <right style="thin">
        <color rgb="FFEBF4FC"/>
      </right>
      <bottom style="thin">
        <color rgb="FFEBF4FC"/>
      </bottom>
    </border>
    <border>
      <left style="thin">
        <color rgb="FFEBF4FC"/>
      </left>
      <right style="thin">
        <color rgb="FFEBF4FC"/>
      </right>
    </border>
    <border>
      <left style="thin">
        <color rgb="FFEBF4FC"/>
      </left>
      <right style="thin">
        <color rgb="FFEBF4FC"/>
      </right>
      <bottom style="thin">
        <color rgb="FFEBF4FC"/>
      </bottom>
    </border>
    <border>
      <left style="thin">
        <color rgb="FFEBF4FC"/>
      </left>
      <right style="thick">
        <color rgb="FF3E3A3A"/>
      </right>
      <bottom style="thin">
        <color rgb="FFEBF4FC"/>
      </bottom>
    </border>
    <border>
      <left style="thick">
        <color rgb="FF3E3A3A"/>
      </left>
      <top style="thin">
        <color rgb="FFEBF4FC"/>
      </top>
      <bottom style="thin">
        <color rgb="FFEBF4FC"/>
      </bottom>
    </border>
    <border>
      <left style="thick">
        <color rgb="FF434343"/>
      </left>
      <right style="thick">
        <color rgb="FF434343"/>
      </right>
      <top style="thick">
        <color rgb="FF434343"/>
      </top>
      <bottom style="medium">
        <color rgb="FF434343"/>
      </bottom>
    </border>
    <border>
      <top style="thin">
        <color rgb="FFEBF4FC"/>
      </top>
      <bottom style="thin">
        <color rgb="FFEBF4FC"/>
      </bottom>
    </border>
    <border>
      <right style="thin">
        <color rgb="FFEBF4FC"/>
      </right>
      <top style="thin">
        <color rgb="FFEBF4FC"/>
      </top>
    </border>
    <border>
      <left style="thin">
        <color rgb="FFEBF4FC"/>
      </left>
      <top style="thin">
        <color rgb="FFEBF4FC"/>
      </top>
      <bottom style="thin">
        <color rgb="FFEBF4FC"/>
      </bottom>
    </border>
    <border>
      <right style="thin">
        <color rgb="FFEBF4FC"/>
      </right>
      <top style="thin">
        <color rgb="FFEBF4FC"/>
      </top>
      <bottom style="thin">
        <color rgb="FFEBF4FC"/>
      </bottom>
    </border>
    <border>
      <left style="thin">
        <color rgb="FFEBF4FC"/>
      </left>
      <right style="thin">
        <color rgb="FFEBF4FC"/>
      </right>
      <top style="thin">
        <color rgb="FFEBF4FC"/>
      </top>
    </border>
    <border>
      <left style="thin">
        <color rgb="FFEBF4FC"/>
      </left>
      <right style="thick">
        <color rgb="FF3E3A3A"/>
      </right>
      <top style="thin">
        <color rgb="FFEBF4FC"/>
      </top>
      <bottom style="thin">
        <color rgb="FFEBF4FC"/>
      </bottom>
    </border>
    <border>
      <left style="thick">
        <color rgb="FF434343"/>
      </left>
      <bottom style="thin">
        <color rgb="FFEBF4FC"/>
      </bottom>
    </border>
    <border>
      <bottom style="thin">
        <color rgb="FFEBF4FC"/>
      </bottom>
    </border>
    <border>
      <right style="thick">
        <color rgb="FF434343"/>
      </right>
      <bottom style="thin">
        <color rgb="FFEBF4FC"/>
      </bottom>
    </border>
    <border>
      <right style="thin">
        <color rgb="FFEBF4FC"/>
      </right>
    </border>
    <border>
      <left style="thick">
        <color rgb="FF434343"/>
      </left>
      <top style="thin">
        <color rgb="FFEBF4FC"/>
      </top>
      <bottom style="thin">
        <color rgb="FFEBF4FC"/>
      </bottom>
    </border>
    <border>
      <right style="thick">
        <color rgb="FF434343"/>
      </right>
      <top style="thin">
        <color rgb="FFEBF4FC"/>
      </top>
      <bottom style="thin">
        <color rgb="FFEBF4FC"/>
      </bottom>
    </border>
    <border>
      <left style="thick">
        <color rgb="FF434343"/>
      </left>
      <right style="thin">
        <color rgb="FFEBF4FC"/>
      </right>
      <top style="thin">
        <color rgb="FFEBF4FC"/>
      </top>
      <bottom style="thin">
        <color rgb="FFEBF4FC"/>
      </bottom>
    </border>
    <border>
      <left style="thin">
        <color rgb="FFEBF4FC"/>
      </left>
      <right style="thick">
        <color rgb="FF434343"/>
      </right>
      <top style="thin">
        <color rgb="FFEBF4FC"/>
      </top>
      <bottom style="thin">
        <color rgb="FFEBF4FC"/>
      </bottom>
    </border>
    <border>
      <left style="thick">
        <color rgb="FF434343"/>
      </left>
      <right style="thin">
        <color rgb="FFEBF4FC"/>
      </right>
      <top style="medium">
        <color rgb="FFEBF4FC"/>
      </top>
      <bottom style="medium">
        <color rgb="FFEBF4FC"/>
      </bottom>
    </border>
    <border>
      <left style="thin">
        <color rgb="FFEBF4FC"/>
      </left>
      <right style="thick">
        <color rgb="FF434343"/>
      </right>
      <top style="medium">
        <color rgb="FFEBF4FC"/>
      </top>
      <bottom style="medium">
        <color rgb="FFEBF4FC"/>
      </bottom>
    </border>
    <border>
      <left style="thin">
        <color rgb="FFEBF4FC"/>
      </left>
      <right style="thin">
        <color rgb="FFEBF4FC"/>
      </right>
      <top style="thin">
        <color rgb="FFEBF4FC"/>
      </top>
      <bottom style="thin">
        <color rgb="FFEBF4FC"/>
      </bottom>
    </border>
    <border>
      <left style="thick">
        <color rgb="FF434343"/>
      </left>
      <right style="thin">
        <color rgb="FFEBF4FC"/>
      </right>
    </border>
    <border>
      <left style="thin">
        <color rgb="FFEBF4FC"/>
      </left>
      <right style="thick">
        <color rgb="FF434343"/>
      </right>
    </border>
    <border>
      <left style="thick">
        <color rgb="FF434343"/>
      </left>
      <right style="thin">
        <color rgb="FFEBF4FC"/>
      </right>
      <top style="thin">
        <color rgb="FFEBF4FC"/>
      </top>
    </border>
    <border>
      <left style="thin">
        <color rgb="FFEBF4FC"/>
      </left>
      <right style="thick">
        <color rgb="FF434343"/>
      </right>
      <top style="thin">
        <color rgb="FFEBF4FC"/>
      </top>
    </border>
    <border>
      <left style="thick">
        <color rgb="FF434343"/>
      </left>
      <top style="medium">
        <color rgb="FF434343"/>
      </top>
      <bottom style="thin">
        <color rgb="FFEBF4FC"/>
      </bottom>
    </border>
    <border>
      <top style="medium">
        <color rgb="FF434343"/>
      </top>
      <bottom style="thin">
        <color rgb="FFEBF4FC"/>
      </bottom>
    </border>
    <border>
      <right style="thick">
        <color rgb="FF434343"/>
      </right>
      <top style="medium">
        <color rgb="FF434343"/>
      </top>
      <bottom style="thin">
        <color rgb="FFEBF4FC"/>
      </bottom>
    </border>
    <border>
      <left style="thick">
        <color rgb="FF434343"/>
      </left>
      <top style="thin">
        <color rgb="FFEBF4FC"/>
      </top>
    </border>
    <border>
      <top style="thin">
        <color rgb="FFEBF4FC"/>
      </top>
    </border>
    <border>
      <left style="thin">
        <color rgb="FFEBF4FC"/>
      </left>
      <right style="thick">
        <color rgb="FF434343"/>
      </right>
      <top style="medium">
        <color rgb="FF434343"/>
      </top>
      <bottom style="thin">
        <color rgb="FFEBF4FC"/>
      </bottom>
    </border>
    <border>
      <left style="thick">
        <color rgb="FF434343"/>
      </left>
      <top style="thin">
        <color rgb="FFEBF4FC"/>
      </top>
      <bottom style="thick">
        <color rgb="FF434343"/>
      </bottom>
    </border>
    <border>
      <top style="thin">
        <color rgb="FFEBF4FC"/>
      </top>
      <bottom style="thick">
        <color rgb="FF434343"/>
      </bottom>
    </border>
    <border>
      <left style="thin">
        <color rgb="FFEBF4FC"/>
      </left>
      <right style="thick">
        <color rgb="FF434343"/>
      </right>
      <top style="thin">
        <color rgb="FFEBF4FC"/>
      </top>
      <bottom style="thick">
        <color rgb="FF434343"/>
      </bottom>
    </border>
    <border>
      <right style="thin">
        <color rgb="FFEBF4FC"/>
      </right>
      <bottom style="thin">
        <color rgb="FFEBF4FC"/>
      </bottom>
    </border>
    <border>
      <left style="thick">
        <color rgb="FF3E3A3A"/>
      </left>
      <right style="thin">
        <color rgb="FF3883C8"/>
      </right>
      <bottom style="thin">
        <color rgb="FF3883C8"/>
      </bottom>
    </border>
    <border>
      <left style="thin">
        <color rgb="FF3883C8"/>
      </left>
      <right style="thin">
        <color rgb="FF3883C8"/>
      </right>
      <bottom style="thin">
        <color rgb="FF3883C8"/>
      </bottom>
    </border>
    <border>
      <left style="thin">
        <color rgb="FF3883C8"/>
      </left>
      <top style="thin">
        <color rgb="FF3E3A3A"/>
      </top>
      <bottom style="thin">
        <color rgb="FF3883C8"/>
      </bottom>
    </border>
    <border>
      <left style="medium">
        <color rgb="FF3E3A3A"/>
      </left>
      <right style="thick">
        <color rgb="FF3E3A3A"/>
      </right>
      <bottom style="thin">
        <color rgb="FF3883C8"/>
      </bottom>
    </border>
    <border>
      <left style="thick">
        <color rgb="FF3E3A3A"/>
      </left>
      <right style="thin">
        <color rgb="FF3883C8"/>
      </right>
      <top style="thin">
        <color rgb="FF3883C8"/>
      </top>
      <bottom style="thin">
        <color rgb="FF3883C8"/>
      </bottom>
    </border>
    <border>
      <left style="thin">
        <color rgb="FF3883C8"/>
      </left>
      <right style="thin">
        <color rgb="FF3883C8"/>
      </right>
      <top style="thin">
        <color rgb="FF3883C8"/>
      </top>
      <bottom style="thin">
        <color rgb="FF3883C8"/>
      </bottom>
    </border>
    <border>
      <left style="thin">
        <color rgb="FF3883C8"/>
      </left>
      <top style="thin">
        <color rgb="FF3883C8"/>
      </top>
      <bottom style="thin">
        <color rgb="FF3883C8"/>
      </bottom>
    </border>
    <border>
      <left style="medium">
        <color rgb="FF3E3A3A"/>
      </left>
      <right style="thick">
        <color rgb="FF3E3A3A"/>
      </right>
      <top style="thin">
        <color rgb="FF3883C8"/>
      </top>
      <bottom style="thin">
        <color rgb="FF3883C8"/>
      </bottom>
    </border>
    <border>
      <left style="thick">
        <color rgb="FF3E3A3A"/>
      </left>
      <right style="thin">
        <color rgb="FF3883C8"/>
      </right>
      <top style="thin">
        <color rgb="FF3883C8"/>
      </top>
    </border>
    <border>
      <left style="thin">
        <color rgb="FF3883C8"/>
      </left>
      <right style="thin">
        <color rgb="FF3883C8"/>
      </right>
      <top style="thin">
        <color rgb="FF3883C8"/>
      </top>
    </border>
    <border>
      <left style="thin">
        <color rgb="FF3883C8"/>
      </left>
      <top style="thin">
        <color rgb="FF3883C8"/>
      </top>
    </border>
    <border>
      <left style="medium">
        <color rgb="FF3E3A3A"/>
      </left>
      <right style="thick">
        <color rgb="FF3E3A3A"/>
      </right>
      <top style="thin">
        <color rgb="FF3883C8"/>
      </top>
      <bottom style="medium">
        <color rgb="FF3E3A3A"/>
      </bottom>
    </border>
    <border>
      <left style="thick">
        <color rgb="FF3E3A3A"/>
      </left>
      <right style="thin">
        <color rgb="FFEBF4FC"/>
      </right>
      <top style="thin">
        <color rgb="FFEBF4FC"/>
      </top>
      <bottom style="thick">
        <color rgb="FF3E3A3A"/>
      </bottom>
    </border>
    <border>
      <left style="thin">
        <color rgb="FFEBF4FC"/>
      </left>
      <right style="thin">
        <color rgb="FFEBF4FC"/>
      </right>
      <top style="thin">
        <color rgb="FFEBF4FC"/>
      </top>
      <bottom style="thick">
        <color rgb="FF3E3A3A"/>
      </bottom>
    </border>
    <border>
      <left style="thin">
        <color rgb="FFEBF4FC"/>
      </left>
      <right style="thin">
        <color rgb="FFEBF4FC"/>
      </right>
      <bottom style="thick">
        <color rgb="FF3E3A3A"/>
      </bottom>
    </border>
    <border>
      <left style="thin">
        <color rgb="FFEBF4FC"/>
      </left>
      <right style="thick">
        <color rgb="FF3E3A3A"/>
      </right>
      <bottom style="thick">
        <color rgb="FF3E3A3A"/>
      </bottom>
    </border>
    <border>
      <left style="thick">
        <color rgb="FF3E3A3A"/>
      </left>
      <right style="thin">
        <color rgb="FFFCFBEB"/>
      </right>
      <bottom style="thin">
        <color rgb="FFFCFBEB"/>
      </bottom>
    </border>
    <border>
      <left style="thin">
        <color rgb="FFFCFBEB"/>
      </left>
      <right style="thin">
        <color rgb="FFFCFBEB"/>
      </right>
    </border>
    <border>
      <left style="thin">
        <color rgb="FFFCFBEB"/>
      </left>
      <right style="thin">
        <color rgb="FFFCFBEB"/>
      </right>
      <bottom style="thin">
        <color rgb="FFFCFBEB"/>
      </bottom>
    </border>
    <border>
      <left style="thin">
        <color rgb="FFFCFBEB"/>
      </left>
      <right style="thick">
        <color rgb="FF3E3A3A"/>
      </right>
    </border>
    <border>
      <left style="thick">
        <color rgb="FF3E3A3A"/>
      </left>
      <top style="thin">
        <color rgb="FFFCFBEB"/>
      </top>
      <bottom style="thin">
        <color rgb="FFFCFBEB"/>
      </bottom>
    </border>
    <border>
      <top style="thin">
        <color rgb="FFFCFBEB"/>
      </top>
      <bottom style="thin">
        <color rgb="FFFCFBEB"/>
      </bottom>
    </border>
    <border>
      <right style="thin">
        <color rgb="FFFCFBEB"/>
      </right>
      <top style="thin">
        <color rgb="FFFCFBEB"/>
      </top>
    </border>
    <border>
      <left style="thin">
        <color rgb="FFFCFBEB"/>
      </left>
      <top style="thin">
        <color rgb="FFFCFBEB"/>
      </top>
      <bottom style="thin">
        <color rgb="FFFCFBEB"/>
      </bottom>
    </border>
    <border>
      <right style="thin">
        <color rgb="FFFCFBEB"/>
      </right>
      <top style="thin">
        <color rgb="FFFCFBEB"/>
      </top>
      <bottom style="thin">
        <color rgb="FFFCFBEB"/>
      </bottom>
    </border>
    <border>
      <left style="thin">
        <color rgb="FFFCFBEB"/>
      </left>
      <right style="thick">
        <color rgb="FF3E3A3A"/>
      </right>
      <top style="thin">
        <color rgb="FFFCFBEB"/>
      </top>
      <bottom style="thin">
        <color rgb="FFFCFBEB"/>
      </bottom>
    </border>
    <border>
      <left style="thick">
        <color rgb="FF434343"/>
      </left>
      <bottom style="thin">
        <color rgb="FFFCFBEB"/>
      </bottom>
    </border>
    <border>
      <bottom style="thin">
        <color rgb="FFFCFBEB"/>
      </bottom>
    </border>
    <border>
      <right style="thick">
        <color rgb="FF434343"/>
      </right>
      <bottom style="thin">
        <color rgb="FFFCFBEB"/>
      </bottom>
    </border>
    <border>
      <right style="thin">
        <color rgb="FFFCFBEB"/>
      </right>
    </border>
    <border>
      <left style="thick">
        <color rgb="FF434343"/>
      </left>
      <top style="thin">
        <color rgb="FFFCFBEB"/>
      </top>
      <bottom style="thin">
        <color rgb="FFFCFBEB"/>
      </bottom>
    </border>
    <border>
      <right style="thick">
        <color rgb="FF434343"/>
      </right>
      <top style="thin">
        <color rgb="FFFCFBEB"/>
      </top>
      <bottom style="thin">
        <color rgb="FFFCFBEB"/>
      </bottom>
    </border>
    <border>
      <left style="thick">
        <color rgb="FF3E3A3A"/>
      </left>
      <right style="thin">
        <color rgb="FFFCFBEB"/>
      </right>
      <top style="thin">
        <color rgb="FFFCFBEB"/>
      </top>
      <bottom style="thin">
        <color rgb="FFFCFBEB"/>
      </bottom>
    </border>
    <border>
      <left style="thick">
        <color rgb="FF434343"/>
      </left>
      <right style="thin">
        <color rgb="FFFCFBEB"/>
      </right>
      <top style="thin">
        <color rgb="FFFCFBEB"/>
      </top>
      <bottom style="thin">
        <color rgb="FFFCFBEB"/>
      </bottom>
    </border>
    <border>
      <left style="thin">
        <color rgb="FFFCFBEB"/>
      </left>
      <right style="thin">
        <color rgb="FFFCFBEB"/>
      </right>
      <top style="thin">
        <color rgb="FFFCFBEB"/>
      </top>
      <bottom style="thin">
        <color rgb="FFFCFBEB"/>
      </bottom>
    </border>
    <border>
      <left style="thin">
        <color rgb="FFFCFBEB"/>
      </left>
      <right style="thick">
        <color rgb="FF434343"/>
      </right>
      <top style="thin">
        <color rgb="FFFCFBEB"/>
      </top>
      <bottom style="thin">
        <color rgb="FFFCFBEB"/>
      </bottom>
    </border>
    <border>
      <left style="thick">
        <color rgb="FF434343"/>
      </left>
      <right style="thin">
        <color rgb="FFFCFBEB"/>
      </right>
      <top style="medium">
        <color rgb="FFFCFBEB"/>
      </top>
      <bottom style="medium">
        <color rgb="FFFCFBEB"/>
      </bottom>
    </border>
    <border>
      <left style="thin">
        <color rgb="FFFCFBEB"/>
      </left>
      <right style="thick">
        <color rgb="FF434343"/>
      </right>
      <top style="medium">
        <color rgb="FFFCFBEB"/>
      </top>
      <bottom style="medium">
        <color rgb="FFFCFBEB"/>
      </bottom>
    </border>
    <border>
      <left style="thick">
        <color rgb="FF434343"/>
      </left>
      <right style="thin">
        <color rgb="FFFCFBEB"/>
      </right>
    </border>
    <border>
      <left style="thin">
        <color rgb="FFFCFBEB"/>
      </left>
      <right style="thick">
        <color rgb="FF434343"/>
      </right>
    </border>
    <border>
      <left style="thick">
        <color rgb="FF434343"/>
      </left>
      <top style="medium">
        <color rgb="FF434343"/>
      </top>
      <bottom style="thin">
        <color rgb="FFFCFBEB"/>
      </bottom>
    </border>
    <border>
      <top style="medium">
        <color rgb="FF434343"/>
      </top>
      <bottom style="thin">
        <color rgb="FFFCFBEB"/>
      </bottom>
    </border>
    <border>
      <right style="thick">
        <color rgb="FF434343"/>
      </right>
      <top style="medium">
        <color rgb="FF434343"/>
      </top>
      <bottom style="thin">
        <color rgb="FFFCFBEB"/>
      </bottom>
    </border>
    <border>
      <left style="thin">
        <color rgb="FFFCFBEB"/>
      </left>
      <right style="thin">
        <color rgb="FFFCFBEB"/>
      </right>
      <top style="thin">
        <color rgb="FFFCFBEB"/>
      </top>
    </border>
    <border>
      <left style="thick">
        <color rgb="FF434343"/>
      </left>
      <top style="thin">
        <color rgb="FFFCFBEB"/>
      </top>
    </border>
    <border>
      <top style="thin">
        <color rgb="FFFCFBEB"/>
      </top>
    </border>
    <border>
      <left style="thin">
        <color rgb="FFFCFBEB"/>
      </left>
      <right style="thick">
        <color rgb="FF434343"/>
      </right>
      <top style="thin">
        <color rgb="FFFCFBEB"/>
      </top>
    </border>
    <border>
      <left style="thin">
        <color rgb="FFFCFBEB"/>
      </left>
      <right style="thick">
        <color rgb="FF434343"/>
      </right>
      <top style="medium">
        <color rgb="FF434343"/>
      </top>
      <bottom style="thin">
        <color rgb="FFFCFBEB"/>
      </bottom>
    </border>
    <border>
      <left style="thick">
        <color rgb="FF434343"/>
      </left>
      <top style="thin">
        <color rgb="FFFCFBEB"/>
      </top>
      <bottom style="thick">
        <color rgb="FF434343"/>
      </bottom>
    </border>
    <border>
      <top style="thin">
        <color rgb="FFFCFBEB"/>
      </top>
      <bottom style="thick">
        <color rgb="FF434343"/>
      </bottom>
    </border>
    <border>
      <left style="thin">
        <color rgb="FFFCFBEB"/>
      </left>
      <right style="thick">
        <color rgb="FF434343"/>
      </right>
      <top style="thin">
        <color rgb="FFFCFBEB"/>
      </top>
      <bottom style="thick">
        <color rgb="FF434343"/>
      </bottom>
    </border>
    <border>
      <right style="thin">
        <color rgb="FFFCFBEB"/>
      </right>
      <bottom style="thin">
        <color rgb="FFFCFBEB"/>
      </bottom>
    </border>
    <border>
      <left style="thin">
        <color rgb="FFFCFBEB"/>
      </left>
      <right style="thin">
        <color rgb="FFFCFBEB"/>
      </right>
      <top style="thin">
        <color rgb="FFFFFFFF"/>
      </top>
    </border>
    <border>
      <left style="thick">
        <color rgb="FF3E3A3A"/>
      </left>
      <right style="thin">
        <color rgb="FFB0A23C"/>
      </right>
      <bottom style="thin">
        <color rgb="FFB0A23C"/>
      </bottom>
    </border>
    <border>
      <left style="thin">
        <color rgb="FFB0A23C"/>
      </left>
      <right style="thin">
        <color rgb="FFB0A23C"/>
      </right>
      <bottom style="thin">
        <color rgb="FFB0A23C"/>
      </bottom>
    </border>
    <border>
      <left style="thin">
        <color rgb="FFB0A23C"/>
      </left>
      <top style="thin">
        <color rgb="FF3E3A3A"/>
      </top>
      <bottom style="thin">
        <color rgb="FFB0A23C"/>
      </bottom>
    </border>
    <border>
      <left style="medium">
        <color rgb="FF3E3A3A"/>
      </left>
      <right style="thick">
        <color rgb="FF3E3A3A"/>
      </right>
      <bottom style="thin">
        <color rgb="FFB0A23C"/>
      </bottom>
    </border>
    <border>
      <left style="thick">
        <color rgb="FF3E3A3A"/>
      </left>
      <right style="thin">
        <color rgb="FFB0A23C"/>
      </right>
      <top style="thin">
        <color rgb="FFB0A23C"/>
      </top>
      <bottom style="thin">
        <color rgb="FFB0A23C"/>
      </bottom>
    </border>
    <border>
      <left style="thin">
        <color rgb="FFB0A23C"/>
      </left>
      <right style="thin">
        <color rgb="FFB0A23C"/>
      </right>
      <top style="thin">
        <color rgb="FFB0A23C"/>
      </top>
      <bottom style="thin">
        <color rgb="FFB0A23C"/>
      </bottom>
    </border>
    <border>
      <left style="thin">
        <color rgb="FFB0A23C"/>
      </left>
      <top style="thin">
        <color rgb="FFB0A23C"/>
      </top>
      <bottom style="thin">
        <color rgb="FFB0A23C"/>
      </bottom>
    </border>
    <border>
      <left style="medium">
        <color rgb="FF3E3A3A"/>
      </left>
      <right style="thick">
        <color rgb="FF3E3A3A"/>
      </right>
      <top style="thin">
        <color rgb="FFB0A23C"/>
      </top>
      <bottom style="thin">
        <color rgb="FFB0A23C"/>
      </bottom>
    </border>
    <border>
      <left style="thick">
        <color rgb="FF3E3A3A"/>
      </left>
      <right style="thin">
        <color rgb="FFB0A23C"/>
      </right>
      <top style="thin">
        <color rgb="FFB0A23C"/>
      </top>
    </border>
    <border>
      <left style="thin">
        <color rgb="FFB0A23C"/>
      </left>
      <right style="thin">
        <color rgb="FFB0A23C"/>
      </right>
      <top style="thin">
        <color rgb="FFB0A23C"/>
      </top>
    </border>
    <border>
      <left style="thin">
        <color rgb="FFB0A23C"/>
      </left>
      <top style="thin">
        <color rgb="FFB0A23C"/>
      </top>
    </border>
    <border>
      <left style="medium">
        <color rgb="FF3E3A3A"/>
      </left>
      <right style="thick">
        <color rgb="FF3E3A3A"/>
      </right>
      <top style="thin">
        <color rgb="FFB0A23C"/>
      </top>
      <bottom style="medium">
        <color rgb="FF3E3A3A"/>
      </bottom>
    </border>
    <border>
      <left style="thin">
        <color rgb="FFEBF4FC"/>
      </left>
      <right style="thin">
        <color rgb="FFFCFBEB"/>
      </right>
      <top style="thin">
        <color rgb="FFFCFBEB"/>
      </top>
      <bottom style="thin">
        <color rgb="FFFCFBEB"/>
      </bottom>
    </border>
    <border>
      <left style="thick">
        <color rgb="FF3E3A3A"/>
      </left>
      <right style="thin">
        <color rgb="FFFCFBEB"/>
      </right>
      <top style="thin">
        <color rgb="FFFCFBEB"/>
      </top>
      <bottom style="thick">
        <color rgb="FF3E3A3A"/>
      </bottom>
    </border>
    <border>
      <left style="thin">
        <color rgb="FFFCFBEB"/>
      </left>
      <right style="thin">
        <color rgb="FFFCFBEB"/>
      </right>
      <top style="thin">
        <color rgb="FFFCFBEB"/>
      </top>
      <bottom style="thick">
        <color rgb="FF3E3A3A"/>
      </bottom>
    </border>
    <border>
      <left style="thin">
        <color rgb="FFFCFBEB"/>
      </left>
      <right style="thin">
        <color rgb="FFFCFBEB"/>
      </right>
      <bottom style="thick">
        <color rgb="FF3E3A3A"/>
      </bottom>
    </border>
    <border>
      <left style="thin">
        <color rgb="FFFCFBEB"/>
      </left>
      <right style="thick">
        <color rgb="FF3E3A3A"/>
      </right>
      <top style="thin">
        <color rgb="FFFCFBEB"/>
      </top>
      <bottom style="thick">
        <color rgb="FF3E3A3A"/>
      </bottom>
    </border>
    <border>
      <left style="thick">
        <color rgb="FF3E3A3A"/>
      </left>
      <right style="thin">
        <color rgb="FFEBFCEB"/>
      </right>
      <bottom style="thin">
        <color rgb="FFEBFCEB"/>
      </bottom>
    </border>
    <border>
      <left style="thin">
        <color rgb="FFEBFCEB"/>
      </left>
      <right style="thin">
        <color rgb="FFEBFCEB"/>
      </right>
    </border>
    <border>
      <left style="thin">
        <color rgb="FFEBFCEB"/>
      </left>
      <right style="thin">
        <color rgb="FFEBFCEB"/>
      </right>
      <bottom style="thin">
        <color rgb="FFEBFCEB"/>
      </bottom>
    </border>
    <border>
      <left style="thin">
        <color rgb="FFEBFCEB"/>
      </left>
      <right style="thick">
        <color rgb="FF3E3A3A"/>
      </right>
      <bottom style="thin">
        <color rgb="FFEBFCEB"/>
      </bottom>
    </border>
    <border>
      <left style="thick">
        <color rgb="FF3E3A3A"/>
      </left>
      <top style="thin">
        <color rgb="FFEBFCEB"/>
      </top>
      <bottom style="thin">
        <color rgb="FFEBFCEB"/>
      </bottom>
    </border>
    <border>
      <top style="thin">
        <color rgb="FFEBFCEB"/>
      </top>
      <bottom style="thin">
        <color rgb="FFEBFCEB"/>
      </bottom>
    </border>
    <border>
      <right style="thin">
        <color rgb="FFEBFCEB"/>
      </right>
      <top style="thin">
        <color rgb="FFEBFCEB"/>
      </top>
    </border>
    <border>
      <left style="thin">
        <color rgb="FFEBFCEB"/>
      </left>
      <top style="thin">
        <color rgb="FFEBFCEB"/>
      </top>
      <bottom style="thin">
        <color rgb="FFEBFCEB"/>
      </bottom>
    </border>
    <border>
      <right style="thin">
        <color rgb="FFEBFCEB"/>
      </right>
      <top style="thin">
        <color rgb="FFEBFCEB"/>
      </top>
      <bottom style="thin">
        <color rgb="FFEBFCEB"/>
      </bottom>
    </border>
    <border>
      <left style="thin">
        <color rgb="FFEBFCEB"/>
      </left>
      <right style="thick">
        <color rgb="FF3E3A3A"/>
      </right>
      <top style="thin">
        <color rgb="FFEBFCEB"/>
      </top>
      <bottom style="thin">
        <color rgb="FFEBFCEB"/>
      </bottom>
    </border>
    <border>
      <left style="thick">
        <color rgb="FF434343"/>
      </left>
      <bottom style="thin">
        <color rgb="FFEBFCEB"/>
      </bottom>
    </border>
    <border>
      <bottom style="thin">
        <color rgb="FFEBFCEB"/>
      </bottom>
    </border>
    <border>
      <right style="thick">
        <color rgb="FF434343"/>
      </right>
      <bottom style="thin">
        <color rgb="FFEBFCEB"/>
      </bottom>
    </border>
    <border>
      <right style="thin">
        <color rgb="FFEBFCEB"/>
      </right>
    </border>
    <border>
      <left style="thick">
        <color rgb="FF434343"/>
      </left>
      <top style="thin">
        <color rgb="FFEBFCEB"/>
      </top>
      <bottom style="thin">
        <color rgb="FFEBFCEB"/>
      </bottom>
    </border>
    <border>
      <right style="thick">
        <color rgb="FF434343"/>
      </right>
      <top style="thin">
        <color rgb="FFEBFCEB"/>
      </top>
      <bottom style="thin">
        <color rgb="FFEBFCEB"/>
      </bottom>
    </border>
    <border>
      <left style="thick">
        <color rgb="FF3E3A3A"/>
      </left>
      <right style="thin">
        <color rgb="FFEBFCEB"/>
      </right>
      <top style="thin">
        <color rgb="FFEBFCEB"/>
      </top>
      <bottom style="thin">
        <color rgb="FFEBFCEB"/>
      </bottom>
    </border>
    <border>
      <left style="thick">
        <color rgb="FF434343"/>
      </left>
      <right style="thin">
        <color rgb="FFEBFCEB"/>
      </right>
      <top style="thin">
        <color rgb="FFEBFCEB"/>
      </top>
      <bottom style="thin">
        <color rgb="FFEBFCEB"/>
      </bottom>
    </border>
    <border>
      <left style="thin">
        <color rgb="FFEBFCEB"/>
      </left>
      <right style="thick">
        <color rgb="FF434343"/>
      </right>
      <top style="thin">
        <color rgb="FFEBFCEB"/>
      </top>
      <bottom style="thin">
        <color rgb="FFEBFCEB"/>
      </bottom>
    </border>
    <border>
      <left style="thick">
        <color rgb="FF434343"/>
      </left>
      <right style="thin">
        <color rgb="FFEBFCEB"/>
      </right>
      <top style="medium">
        <color rgb="FFEBFCEB"/>
      </top>
      <bottom style="medium">
        <color rgb="FFEBFCEB"/>
      </bottom>
    </border>
    <border>
      <left style="thin">
        <color rgb="FFEBFCEB"/>
      </left>
      <right style="thin">
        <color rgb="FFEBFCEB"/>
      </right>
      <top style="thin">
        <color rgb="FFEBFCEB"/>
      </top>
      <bottom style="thin">
        <color rgb="FFEBFCEB"/>
      </bottom>
    </border>
    <border>
      <left style="thin">
        <color rgb="FFEBFCEB"/>
      </left>
      <right style="thick">
        <color rgb="FF434343"/>
      </right>
      <top style="medium">
        <color rgb="FFEBFCEB"/>
      </top>
      <bottom style="medium">
        <color rgb="FFEBFCEB"/>
      </bottom>
    </border>
    <border>
      <left style="thick">
        <color rgb="FF434343"/>
      </left>
      <right style="thin">
        <color rgb="FFEBFCEB"/>
      </right>
    </border>
    <border>
      <left style="thin">
        <color rgb="FFEBFCEB"/>
      </left>
      <right style="thick">
        <color rgb="FF434343"/>
      </right>
    </border>
    <border>
      <left style="thick">
        <color rgb="FF434343"/>
      </left>
      <top style="medium">
        <color rgb="FF434343"/>
      </top>
      <bottom style="thin">
        <color rgb="FFEBFCEB"/>
      </bottom>
    </border>
    <border>
      <top style="medium">
        <color rgb="FF434343"/>
      </top>
      <bottom style="thin">
        <color rgb="FFEBFCEB"/>
      </bottom>
    </border>
    <border>
      <right style="thick">
        <color rgb="FF434343"/>
      </right>
      <top style="medium">
        <color rgb="FF434343"/>
      </top>
      <bottom style="thin">
        <color rgb="FFEBFCEB"/>
      </bottom>
    </border>
    <border>
      <left style="thin">
        <color rgb="FFEBFCEB"/>
      </left>
      <right style="thin">
        <color rgb="FFEBFCEB"/>
      </right>
      <top style="thin">
        <color rgb="FFEBFCEB"/>
      </top>
    </border>
    <border>
      <left style="thick">
        <color rgb="FF434343"/>
      </left>
      <top style="thin">
        <color rgb="FFEBFCEB"/>
      </top>
    </border>
    <border>
      <top style="thin">
        <color rgb="FFEBFCEB"/>
      </top>
    </border>
    <border>
      <left style="thin">
        <color rgb="FFEBFCEB"/>
      </left>
      <right style="thick">
        <color rgb="FF434343"/>
      </right>
      <top style="thin">
        <color rgb="FFEBFCEB"/>
      </top>
    </border>
    <border>
      <right style="thin">
        <color rgb="FFFFFFFF"/>
      </right>
      <top style="medium">
        <color rgb="FF434343"/>
      </top>
      <bottom style="thin">
        <color rgb="FFEBFCEB"/>
      </bottom>
    </border>
    <border>
      <left style="thin">
        <color rgb="FFEBFCEB"/>
      </left>
      <right style="thick">
        <color rgb="FF434343"/>
      </right>
      <top style="medium">
        <color rgb="FF434343"/>
      </top>
      <bottom style="thin">
        <color rgb="FFEBFCEB"/>
      </bottom>
    </border>
    <border>
      <right style="thin">
        <color rgb="FFFFFFFF"/>
      </right>
      <top style="thin">
        <color rgb="FFEBFCEB"/>
      </top>
      <bottom style="thin">
        <color rgb="FFEBFCEB"/>
      </bottom>
    </border>
    <border>
      <left style="thick">
        <color rgb="FF434343"/>
      </left>
      <top style="thin">
        <color rgb="FFEBFCEB"/>
      </top>
      <bottom style="thick">
        <color rgb="FF434343"/>
      </bottom>
    </border>
    <border>
      <top style="thin">
        <color rgb="FFEBFCEB"/>
      </top>
      <bottom style="thick">
        <color rgb="FF434343"/>
      </bottom>
    </border>
    <border>
      <right style="thin">
        <color rgb="FFFFFFFF"/>
      </right>
      <top style="thin">
        <color rgb="FFEBFCEB"/>
      </top>
      <bottom style="thick">
        <color rgb="FF434343"/>
      </bottom>
    </border>
    <border>
      <left style="thin">
        <color rgb="FFEBFCEB"/>
      </left>
      <right style="thick">
        <color rgb="FF434343"/>
      </right>
      <top style="thin">
        <color rgb="FFEBFCEB"/>
      </top>
      <bottom style="thick">
        <color rgb="FF434343"/>
      </bottom>
    </border>
    <border>
      <right style="thin">
        <color rgb="FFEBFCEB"/>
      </right>
      <bottom style="thin">
        <color rgb="FFEBFCEB"/>
      </bottom>
    </border>
    <border>
      <left style="thin">
        <color rgb="FFEBFCEB"/>
      </left>
      <right style="thin">
        <color rgb="FFEBFCEB"/>
      </right>
      <top style="thin">
        <color rgb="FFFFFFFF"/>
      </top>
    </border>
    <border>
      <left style="thick">
        <color rgb="FF3E3A3A"/>
      </left>
      <right style="thin">
        <color rgb="FF528D55"/>
      </right>
      <bottom style="thin">
        <color rgb="FF528D55"/>
      </bottom>
    </border>
    <border>
      <left style="thin">
        <color rgb="FF528D55"/>
      </left>
      <right style="thin">
        <color rgb="FF528D55"/>
      </right>
      <bottom style="thin">
        <color rgb="FF528D55"/>
      </bottom>
    </border>
    <border>
      <left style="thin">
        <color rgb="FF528D55"/>
      </left>
      <top style="thin">
        <color rgb="FF3E3A3A"/>
      </top>
      <bottom style="thin">
        <color rgb="FF528D55"/>
      </bottom>
    </border>
    <border>
      <left style="medium">
        <color rgb="FF3E3A3A"/>
      </left>
      <right style="thick">
        <color rgb="FF3E3A3A"/>
      </right>
      <bottom style="thin">
        <color rgb="FF528D55"/>
      </bottom>
    </border>
    <border>
      <left style="thick">
        <color rgb="FF3E3A3A"/>
      </left>
      <right style="thin">
        <color rgb="FF528D55"/>
      </right>
      <top style="thin">
        <color rgb="FF528D55"/>
      </top>
      <bottom style="thin">
        <color rgb="FF528D55"/>
      </bottom>
    </border>
    <border>
      <left style="thin">
        <color rgb="FF528D55"/>
      </left>
      <right style="thin">
        <color rgb="FF528D55"/>
      </right>
      <top style="thin">
        <color rgb="FF528D55"/>
      </top>
      <bottom style="thin">
        <color rgb="FF528D55"/>
      </bottom>
    </border>
    <border>
      <left style="thin">
        <color rgb="FF528D55"/>
      </left>
      <top style="thin">
        <color rgb="FF528D55"/>
      </top>
      <bottom style="thin">
        <color rgb="FF528D55"/>
      </bottom>
    </border>
    <border>
      <left style="medium">
        <color rgb="FF3E3A3A"/>
      </left>
      <right style="thick">
        <color rgb="FF3E3A3A"/>
      </right>
      <top style="thin">
        <color rgb="FF528D55"/>
      </top>
      <bottom style="thin">
        <color rgb="FF528D55"/>
      </bottom>
    </border>
    <border>
      <left style="thick">
        <color rgb="FF3E3A3A"/>
      </left>
      <right style="thin">
        <color rgb="FF528D55"/>
      </right>
      <top style="thin">
        <color rgb="FF528D55"/>
      </top>
    </border>
    <border>
      <left style="thin">
        <color rgb="FF528D55"/>
      </left>
      <right style="thin">
        <color rgb="FF528D55"/>
      </right>
      <top style="thin">
        <color rgb="FF528D55"/>
      </top>
    </border>
    <border>
      <left style="thin">
        <color rgb="FF528D55"/>
      </left>
      <top style="thin">
        <color rgb="FF528D55"/>
      </top>
    </border>
    <border>
      <left style="medium">
        <color rgb="FF3E3A3A"/>
      </left>
      <right style="thick">
        <color rgb="FF3E3A3A"/>
      </right>
      <top style="thin">
        <color rgb="FF528D55"/>
      </top>
      <bottom style="medium">
        <color rgb="FF3E3A3A"/>
      </bottom>
    </border>
    <border>
      <left style="thin">
        <color rgb="FFEBF4FC"/>
      </left>
      <right style="thin">
        <color rgb="FFEBFCEB"/>
      </right>
      <top style="thin">
        <color rgb="FFEBFCEB"/>
      </top>
      <bottom style="thin">
        <color rgb="FFEBFCEB"/>
      </bottom>
    </border>
    <border>
      <left style="thick">
        <color rgb="FF3E3A3A"/>
      </left>
      <right style="thin">
        <color rgb="FFEBFCEB"/>
      </right>
      <top style="thin">
        <color rgb="FFEBFCEB"/>
      </top>
      <bottom style="thick">
        <color rgb="FF3E3A3A"/>
      </bottom>
    </border>
    <border>
      <left style="thin">
        <color rgb="FFEBFCEB"/>
      </left>
      <right style="thin">
        <color rgb="FFEBFCEB"/>
      </right>
      <top style="thin">
        <color rgb="FFEBFCEB"/>
      </top>
      <bottom style="thick">
        <color rgb="FF3E3A3A"/>
      </bottom>
    </border>
    <border>
      <left style="thin">
        <color rgb="FFEBFCEB"/>
      </left>
      <right style="thin">
        <color rgb="FFEBFCEB"/>
      </right>
      <bottom style="thick">
        <color rgb="FF3E3A3A"/>
      </bottom>
    </border>
    <border>
      <left style="thin">
        <color rgb="FFEBFCEB"/>
      </left>
      <right style="thick">
        <color rgb="FF3E3A3A"/>
      </right>
      <top style="thin">
        <color rgb="FFEBFCEB"/>
      </top>
      <bottom style="thick">
        <color rgb="FF3E3A3A"/>
      </bottom>
    </border>
    <border>
      <left style="thick">
        <color rgb="FF3E3A3A"/>
      </left>
      <right style="thin">
        <color rgb="FFFCEBFB"/>
      </right>
      <bottom style="thin">
        <color rgb="FFFCEBFB"/>
      </bottom>
    </border>
    <border>
      <left style="thin">
        <color rgb="FFFCEBFB"/>
      </left>
      <right style="thin">
        <color rgb="FFFCEBFB"/>
      </right>
      <bottom style="thin">
        <color rgb="FFFCEBFB"/>
      </bottom>
    </border>
    <border>
      <left style="thin">
        <color rgb="FFFCEBFB"/>
      </left>
      <right style="thick">
        <color rgb="FF3E3A3A"/>
      </right>
      <bottom style="thin">
        <color rgb="FFFCEBFB"/>
      </bottom>
    </border>
    <border>
      <left style="thick">
        <color rgb="FF3E3A3A"/>
      </left>
      <right style="thin">
        <color rgb="FFFCEBFB"/>
      </right>
      <top style="thin">
        <color rgb="FFFCEBFB"/>
      </top>
      <bottom style="thin">
        <color rgb="FFFCEBFB"/>
      </bottom>
    </border>
    <border>
      <left style="thin">
        <color rgb="FFFCEBFB"/>
      </left>
      <right style="thin">
        <color rgb="FFFCEBFB"/>
      </right>
      <top style="thin">
        <color rgb="FFFCEBFB"/>
      </top>
      <bottom style="thin">
        <color rgb="FFFFFFFF"/>
      </bottom>
    </border>
    <border>
      <left style="thin">
        <color rgb="FFFCEBFB"/>
      </left>
      <top style="thin">
        <color rgb="FFFCEBFB"/>
      </top>
    </border>
    <border>
      <top style="thin">
        <color rgb="FFFCEBFB"/>
      </top>
    </border>
    <border>
      <right style="thin">
        <color rgb="FFFCEBFB"/>
      </right>
      <top style="thin">
        <color rgb="FFFCEBFB"/>
      </top>
    </border>
    <border>
      <left style="thin">
        <color rgb="FFFCEBFB"/>
      </left>
      <right style="thick">
        <color rgb="FF3E3A3A"/>
      </right>
      <top style="thin">
        <color rgb="FFFCEBFB"/>
      </top>
      <bottom style="thin">
        <color rgb="FFFCEBFB"/>
      </bottom>
    </border>
    <border>
      <left style="thick">
        <color rgb="FF3E3A3A"/>
      </left>
      <top style="thin">
        <color rgb="FFFCEBFB"/>
      </top>
      <bottom style="thin">
        <color rgb="FFFCEBFB"/>
      </bottom>
    </border>
    <border>
      <top style="thin">
        <color rgb="FFFFFFFF"/>
      </top>
      <bottom style="thin">
        <color rgb="FFFFFFFF"/>
      </bottom>
    </border>
    <border>
      <right style="thick">
        <color rgb="FF3E3A3A"/>
      </right>
      <top style="thin">
        <color rgb="FFFCEBFB"/>
      </top>
      <bottom style="thin">
        <color rgb="FFFCEBFB"/>
      </bottom>
    </border>
    <border>
      <left style="thick">
        <color rgb="FF434343"/>
      </left>
      <bottom style="thin">
        <color rgb="FFFCEBFB"/>
      </bottom>
    </border>
    <border>
      <bottom style="thin">
        <color rgb="FFFCEBFB"/>
      </bottom>
    </border>
    <border>
      <right style="thick">
        <color rgb="FF434343"/>
      </right>
      <bottom style="thin">
        <color rgb="FFFCEBFB"/>
      </bottom>
    </border>
    <border>
      <left style="thick">
        <color rgb="FF434343"/>
      </left>
      <top style="thin">
        <color rgb="FFFCEBFB"/>
      </top>
      <bottom style="thin">
        <color rgb="FFFCEBFB"/>
      </bottom>
    </border>
    <border>
      <top style="thin">
        <color rgb="FFFCEBFB"/>
      </top>
      <bottom style="thin">
        <color rgb="FFFCEBFB"/>
      </bottom>
    </border>
    <border>
      <right style="thick">
        <color rgb="FF434343"/>
      </right>
      <top style="thin">
        <color rgb="FFFCEBFB"/>
      </top>
      <bottom style="thin">
        <color rgb="FFFCEBFB"/>
      </bottom>
    </border>
    <border>
      <left style="thin">
        <color rgb="FFFCEBFB"/>
      </left>
      <right style="thin">
        <color rgb="FFFCEBFB"/>
      </right>
    </border>
    <border>
      <left style="thin">
        <color rgb="FFFCEBFB"/>
      </left>
      <top style="thin">
        <color rgb="FFFFFFFF"/>
      </top>
      <bottom style="thin">
        <color rgb="FFFCEBFB"/>
      </bottom>
    </border>
    <border>
      <left style="thick">
        <color rgb="FF434343"/>
      </left>
      <right style="thin">
        <color rgb="FFFCEBFB"/>
      </right>
      <top style="thin">
        <color rgb="FFFCEBFB"/>
      </top>
      <bottom style="thin">
        <color rgb="FFFCEBFB"/>
      </bottom>
    </border>
    <border>
      <left style="thin">
        <color rgb="FFFCEBFB"/>
      </left>
      <right style="thin">
        <color rgb="FFFCEBFB"/>
      </right>
      <top style="thin">
        <color rgb="FFFCEBFB"/>
      </top>
      <bottom style="thin">
        <color rgb="FFFCEBFB"/>
      </bottom>
    </border>
    <border>
      <left style="thin">
        <color rgb="FFFCEBFB"/>
      </left>
      <right style="thick">
        <color rgb="FF434343"/>
      </right>
      <top style="thin">
        <color rgb="FFFCEBFB"/>
      </top>
      <bottom style="thin">
        <color rgb="FFFCEBFB"/>
      </bottom>
    </border>
    <border>
      <left style="thick">
        <color rgb="FF434343"/>
      </left>
      <right style="thin">
        <color rgb="FFFCEBFB"/>
      </right>
      <top style="medium">
        <color rgb="FFFCEBFB"/>
      </top>
      <bottom style="medium">
        <color rgb="FFFCEBFB"/>
      </bottom>
    </border>
    <border>
      <left style="thin">
        <color rgb="FFFCEBFB"/>
      </left>
      <right style="thick">
        <color rgb="FF434343"/>
      </right>
      <top style="medium">
        <color rgb="FFFCEBFB"/>
      </top>
      <bottom style="medium">
        <color rgb="FFFCEBFB"/>
      </bottom>
    </border>
    <border>
      <left style="thin">
        <color rgb="FFFCEBFB"/>
      </left>
      <top style="thin">
        <color rgb="FFFCEBFB"/>
      </top>
      <bottom style="thin">
        <color rgb="FFFCEBFB"/>
      </bottom>
    </border>
    <border>
      <right style="thin">
        <color rgb="FFFCEBFB"/>
      </right>
      <top style="thin">
        <color rgb="FFFCEBFB"/>
      </top>
      <bottom style="thin">
        <color rgb="FFFCEBFB"/>
      </bottom>
    </border>
    <border>
      <left style="thick">
        <color rgb="FF434343"/>
      </left>
      <right style="thin">
        <color rgb="FFFCEBFB"/>
      </right>
    </border>
    <border>
      <left style="thin">
        <color rgb="FFFCEBFB"/>
      </left>
      <right style="thick">
        <color rgb="FF434343"/>
      </right>
    </border>
    <border>
      <right style="thin">
        <color rgb="FFFCEBFB"/>
      </right>
    </border>
    <border>
      <left style="thick">
        <color rgb="FF434343"/>
      </left>
      <top style="medium">
        <color rgb="FF434343"/>
      </top>
      <bottom style="thin">
        <color rgb="FFFCEBFB"/>
      </bottom>
    </border>
    <border>
      <top style="medium">
        <color rgb="FF434343"/>
      </top>
      <bottom style="thin">
        <color rgb="FFFCEBFB"/>
      </bottom>
    </border>
    <border>
      <right style="thick">
        <color rgb="FF434343"/>
      </right>
      <top style="medium">
        <color rgb="FF434343"/>
      </top>
      <bottom style="thin">
        <color rgb="FFFCEBFB"/>
      </bottom>
    </border>
    <border>
      <left style="thin">
        <color rgb="FFFCEBFB"/>
      </left>
      <right style="thin">
        <color rgb="FFFCEBFB"/>
      </right>
      <top style="thin">
        <color rgb="FFFCEBFB"/>
      </top>
    </border>
    <border>
      <left style="thick">
        <color rgb="FF434343"/>
      </left>
      <top style="thin">
        <color rgb="FFFCEBFB"/>
      </top>
    </border>
    <border>
      <left style="thin">
        <color rgb="FFFCEBFB"/>
      </left>
      <right style="thick">
        <color rgb="FF434343"/>
      </right>
      <top style="thin">
        <color rgb="FFFCEBFB"/>
      </top>
    </border>
    <border>
      <left style="thin">
        <color rgb="FFFCEBFB"/>
      </left>
      <right style="thick">
        <color rgb="FF434343"/>
      </right>
      <top style="medium">
        <color rgb="FF434343"/>
      </top>
      <bottom style="thin">
        <color rgb="FFFCEBFB"/>
      </bottom>
    </border>
    <border>
      <left style="thick">
        <color rgb="FF434343"/>
      </left>
      <top style="thin">
        <color rgb="FFFCEBFB"/>
      </top>
      <bottom style="thick">
        <color rgb="FF434343"/>
      </bottom>
    </border>
    <border>
      <top style="thin">
        <color rgb="FFFCEBFB"/>
      </top>
      <bottom style="thick">
        <color rgb="FF434343"/>
      </bottom>
    </border>
    <border>
      <left style="thin">
        <color rgb="FFFCEBFB"/>
      </left>
      <right style="thick">
        <color rgb="FF434343"/>
      </right>
      <top style="thin">
        <color rgb="FFFCEBFB"/>
      </top>
      <bottom style="thick">
        <color rgb="FF434343"/>
      </bottom>
    </border>
    <border>
      <left style="thin">
        <color rgb="FFFCEBFB"/>
      </left>
      <right style="thin">
        <color rgb="FFFCEBFB"/>
      </right>
      <top style="thin">
        <color rgb="FFFFFFFF"/>
      </top>
    </border>
    <border>
      <left style="thick">
        <color rgb="FF3E3A3A"/>
      </left>
      <right style="thin">
        <color rgb="FFBC65C9"/>
      </right>
      <bottom style="thin">
        <color rgb="FFBC65C9"/>
      </bottom>
    </border>
    <border>
      <left style="thin">
        <color rgb="FFBC65C9"/>
      </left>
      <right style="thin">
        <color rgb="FFBC65C9"/>
      </right>
      <bottom style="thin">
        <color rgb="FFBC65C9"/>
      </bottom>
    </border>
    <border>
      <left style="thin">
        <color rgb="FFBC65C9"/>
      </left>
      <top style="thin">
        <color rgb="FF3E3A3A"/>
      </top>
      <bottom style="thin">
        <color rgb="FFBC65C9"/>
      </bottom>
    </border>
    <border>
      <left style="medium">
        <color rgb="FF3E3A3A"/>
      </left>
      <right style="thick">
        <color rgb="FF3E3A3A"/>
      </right>
      <bottom style="thin">
        <color rgb="FFBC65C9"/>
      </bottom>
    </border>
    <border>
      <left style="thick">
        <color rgb="FF3E3A3A"/>
      </left>
      <right style="thin">
        <color rgb="FFBC65C9"/>
      </right>
      <top style="thin">
        <color rgb="FFBC65C9"/>
      </top>
      <bottom style="thin">
        <color rgb="FFBC65C9"/>
      </bottom>
    </border>
    <border>
      <left style="thin">
        <color rgb="FFBC65C9"/>
      </left>
      <right style="thin">
        <color rgb="FFBC65C9"/>
      </right>
      <top style="thin">
        <color rgb="FFBC65C9"/>
      </top>
      <bottom style="thin">
        <color rgb="FFBC65C9"/>
      </bottom>
    </border>
    <border>
      <left style="thin">
        <color rgb="FFBC65C9"/>
      </left>
      <top style="thin">
        <color rgb="FFBC65C9"/>
      </top>
      <bottom style="thin">
        <color rgb="FFBC65C9"/>
      </bottom>
    </border>
    <border>
      <left style="medium">
        <color rgb="FF3E3A3A"/>
      </left>
      <right style="thick">
        <color rgb="FF3E3A3A"/>
      </right>
      <top style="thin">
        <color rgb="FFBC65C9"/>
      </top>
      <bottom style="thin">
        <color rgb="FFBC65C9"/>
      </bottom>
    </border>
    <border>
      <left style="thick">
        <color rgb="FF3E3A3A"/>
      </left>
      <right style="thin">
        <color rgb="FFBC65C9"/>
      </right>
      <top style="thin">
        <color rgb="FFBC65C9"/>
      </top>
    </border>
    <border>
      <left style="thin">
        <color rgb="FFBC65C9"/>
      </left>
      <right style="thin">
        <color rgb="FFBC65C9"/>
      </right>
      <top style="thin">
        <color rgb="FFBC65C9"/>
      </top>
    </border>
    <border>
      <left style="thin">
        <color rgb="FFBC65C9"/>
      </left>
      <top style="thin">
        <color rgb="FFBC65C9"/>
      </top>
    </border>
    <border>
      <left style="medium">
        <color rgb="FF3E3A3A"/>
      </left>
      <right style="thick">
        <color rgb="FF3E3A3A"/>
      </right>
      <top style="thin">
        <color rgb="FFBC65C9"/>
      </top>
      <bottom style="medium">
        <color rgb="FF3E3A3A"/>
      </bottom>
    </border>
    <border>
      <left style="thick">
        <color rgb="FF3E3A3A"/>
      </left>
      <right style="thin">
        <color rgb="FFFCEBFB"/>
      </right>
      <top style="thin">
        <color rgb="FFFCEBFB"/>
      </top>
      <bottom style="thick">
        <color rgb="FF3E3A3A"/>
      </bottom>
    </border>
    <border>
      <left style="thin">
        <color rgb="FFFCEBFB"/>
      </left>
      <right style="thin">
        <color rgb="FFFCEBFB"/>
      </right>
      <top style="thin">
        <color rgb="FFFCEBFB"/>
      </top>
      <bottom style="thick">
        <color rgb="FF3E3A3A"/>
      </bottom>
    </border>
    <border>
      <left style="thin">
        <color rgb="FFFCEBFB"/>
      </left>
      <right style="thin">
        <color rgb="FFFCEBFB"/>
      </right>
      <bottom style="thick">
        <color rgb="FF3E3A3A"/>
      </bottom>
    </border>
    <border>
      <left style="thin">
        <color rgb="FFFCEBFB"/>
      </left>
      <right style="thick">
        <color rgb="FF3E3A3A"/>
      </right>
      <top style="thin">
        <color rgb="FFFCEBFB"/>
      </top>
      <bottom style="thick">
        <color rgb="FF3E3A3A"/>
      </bottom>
    </border>
    <border>
      <left style="thick">
        <color rgb="FF3E3A3A"/>
      </left>
      <right style="thin">
        <color rgb="FFF3EBFC"/>
      </right>
      <bottom style="thin">
        <color rgb="FFFFFFFF"/>
      </bottom>
    </border>
    <border>
      <left style="thin">
        <color rgb="FFF3EBFC"/>
      </left>
      <right style="thin">
        <color rgb="FFF3EBFC"/>
      </right>
    </border>
    <border>
      <left style="thin">
        <color rgb="FFF3EBFC"/>
      </left>
      <right style="thin">
        <color rgb="FFF3EBFC"/>
      </right>
      <bottom style="thin">
        <color rgb="FFF3EBFC"/>
      </bottom>
    </border>
    <border>
      <left style="thin">
        <color rgb="FFF3EBFC"/>
      </left>
      <right style="thick">
        <color rgb="FF3E3A3A"/>
      </right>
      <bottom style="thin">
        <color rgb="FFF3EBFC"/>
      </bottom>
    </border>
    <border>
      <left style="thick">
        <color rgb="FF3E3A3A"/>
      </left>
      <top style="thin">
        <color rgb="FFFFFFFF"/>
      </top>
      <bottom style="thin">
        <color rgb="FFFFFFFF"/>
      </bottom>
    </border>
    <border>
      <top style="thin">
        <color rgb="FFF3EBFC"/>
      </top>
    </border>
    <border>
      <right style="thick">
        <color rgb="FF3E3A3A"/>
      </right>
      <top style="thin">
        <color rgb="FFF3EBFC"/>
      </top>
      <bottom style="thin">
        <color rgb="FFF3EBFC"/>
      </bottom>
    </border>
    <border>
      <left style="thick">
        <color rgb="FF434343"/>
      </left>
      <bottom style="thin">
        <color rgb="FFF3EBFC"/>
      </bottom>
    </border>
    <border>
      <bottom style="thin">
        <color rgb="FFF3EBFC"/>
      </bottom>
    </border>
    <border>
      <right style="thick">
        <color rgb="FF434343"/>
      </right>
      <bottom style="thin">
        <color rgb="FFF3EBFC"/>
      </bottom>
    </border>
    <border>
      <left style="thick">
        <color rgb="FF434343"/>
      </left>
      <top style="thin">
        <color rgb="FFF3EBFC"/>
      </top>
      <bottom style="thin">
        <color rgb="FFF3EBFC"/>
      </bottom>
    </border>
    <border>
      <top style="thin">
        <color rgb="FFF3EBFC"/>
      </top>
      <bottom style="thin">
        <color rgb="FFF3EBFC"/>
      </bottom>
    </border>
    <border>
      <right style="thick">
        <color rgb="FF434343"/>
      </right>
      <top style="thin">
        <color rgb="FFF3EBFC"/>
      </top>
      <bottom style="thin">
        <color rgb="FFF3EBFC"/>
      </bottom>
    </border>
    <border>
      <left style="thick">
        <color rgb="FF3E3A3A"/>
      </left>
      <right style="thin">
        <color rgb="FFF3EBFC"/>
      </right>
      <top style="thin">
        <color rgb="FFFFFFFF"/>
      </top>
      <bottom style="thin">
        <color rgb="FFF3EBFC"/>
      </bottom>
    </border>
    <border>
      <left style="thin">
        <color rgb="FFF3EBFC"/>
      </left>
      <right style="thin">
        <color rgb="FFFFFFFF"/>
      </right>
    </border>
    <border>
      <left style="thick">
        <color rgb="FF434343"/>
      </left>
      <right style="thin">
        <color rgb="FFF3EBFC"/>
      </right>
      <top style="thin">
        <color rgb="FFF3EBFC"/>
      </top>
      <bottom style="thin">
        <color rgb="FFF3EBFC"/>
      </bottom>
    </border>
    <border>
      <left style="thin">
        <color rgb="FFF3EBFC"/>
      </left>
      <right style="thin">
        <color rgb="FFF3EBFC"/>
      </right>
      <top style="thin">
        <color rgb="FFF3EBFC"/>
      </top>
      <bottom style="thin">
        <color rgb="FFF3EBFC"/>
      </bottom>
    </border>
    <border>
      <left style="thin">
        <color rgb="FFF3EBFC"/>
      </left>
      <right style="thick">
        <color rgb="FF434343"/>
      </right>
      <top style="thin">
        <color rgb="FFF3EBFC"/>
      </top>
      <bottom style="thin">
        <color rgb="FFF3EBFC"/>
      </bottom>
    </border>
    <border>
      <left style="thick">
        <color rgb="FF434343"/>
      </left>
      <top style="medium">
        <color rgb="FFF3EBFC"/>
      </top>
      <bottom style="medium">
        <color rgb="FFF3EBFC"/>
      </bottom>
    </border>
    <border>
      <left style="thin">
        <color rgb="FFF3EBFC"/>
      </left>
      <top style="thin">
        <color rgb="FFF3EBFC"/>
      </top>
      <bottom style="thin">
        <color rgb="FFF3EBFC"/>
      </bottom>
    </border>
    <border>
      <right style="thin">
        <color rgb="FFF3EBFC"/>
      </right>
      <top style="thin">
        <color rgb="FFF3EBFC"/>
      </top>
      <bottom style="thin">
        <color rgb="FFF3EBFC"/>
      </bottom>
    </border>
    <border>
      <right style="thick">
        <color rgb="FF434343"/>
      </right>
      <top style="medium">
        <color rgb="FFF3EBFC"/>
      </top>
      <bottom style="medium">
        <color rgb="FFF3EBFC"/>
      </bottom>
    </border>
    <border>
      <left style="thick">
        <color rgb="FF434343"/>
      </left>
      <right style="medium">
        <color rgb="FFF3EBFC"/>
      </right>
      <top style="medium">
        <color rgb="FFF3EBFC"/>
      </top>
      <bottom style="medium">
        <color rgb="FFF3EBFC"/>
      </bottom>
    </border>
    <border>
      <left style="medium">
        <color rgb="FFF3EBFC"/>
      </left>
      <right style="thick">
        <color rgb="FF434343"/>
      </right>
      <top style="medium">
        <color rgb="FFF3EBFC"/>
      </top>
      <bottom style="medium">
        <color rgb="FFF3EBFC"/>
      </bottom>
    </border>
    <border>
      <left style="thick">
        <color rgb="FF3E3A3A"/>
      </left>
      <right style="thin">
        <color rgb="FFF3EBFC"/>
      </right>
      <top style="thin">
        <color rgb="FFF3EBFC"/>
      </top>
      <bottom style="thin">
        <color rgb="FFF3EBFC"/>
      </bottom>
    </border>
    <border>
      <left style="thick">
        <color rgb="FF434343"/>
      </left>
      <right style="medium">
        <color rgb="FFF3EBFC"/>
      </right>
    </border>
    <border>
      <left style="medium">
        <color rgb="FFF3EBFC"/>
      </left>
      <right style="medium">
        <color rgb="FFF3EBFC"/>
      </right>
    </border>
    <border>
      <left style="medium">
        <color rgb="FFF3EBFC"/>
      </left>
      <right style="thick">
        <color rgb="FF434343"/>
      </right>
    </border>
    <border>
      <left style="thick">
        <color rgb="FF434343"/>
      </left>
      <right style="medium">
        <color rgb="FFF3EBFC"/>
      </right>
      <top style="medium">
        <color rgb="FFF3EBFC"/>
      </top>
    </border>
    <border>
      <left style="medium">
        <color rgb="FFF3EBFC"/>
      </left>
      <right style="thick">
        <color rgb="FF434343"/>
      </right>
      <top style="medium">
        <color rgb="FFF3EBFC"/>
      </top>
    </border>
    <border>
      <left style="medium">
        <color rgb="FFF3EBFC"/>
      </left>
      <right style="medium">
        <color rgb="FFF3EBFC"/>
      </right>
      <top style="medium">
        <color rgb="FFF3EBFC"/>
      </top>
    </border>
    <border>
      <right style="medium">
        <color rgb="FFF3EBFC"/>
      </right>
      <top style="medium">
        <color rgb="FFF3EBFC"/>
      </top>
    </border>
    <border>
      <left style="thin">
        <color rgb="FFF3EBFC"/>
      </left>
      <right style="thin">
        <color rgb="FFFFFFFF"/>
      </right>
      <bottom style="thin">
        <color rgb="FFF3EBFC"/>
      </bottom>
    </border>
    <border>
      <left style="thick">
        <color rgb="FF434343"/>
      </left>
      <top style="medium">
        <color rgb="FF434343"/>
      </top>
      <bottom style="thin">
        <color rgb="FFF3EBFC"/>
      </bottom>
    </border>
    <border>
      <top style="medium">
        <color rgb="FF434343"/>
      </top>
      <bottom style="thin">
        <color rgb="FFF3EBFC"/>
      </bottom>
    </border>
    <border>
      <right style="thick">
        <color rgb="FF434343"/>
      </right>
      <top style="medium">
        <color rgb="FF434343"/>
      </top>
      <bottom style="thin">
        <color rgb="FFF3EBFC"/>
      </bottom>
    </border>
    <border>
      <left style="thin">
        <color rgb="FFF3EBFC"/>
      </left>
      <right style="thin">
        <color rgb="FFFFFFFF"/>
      </right>
      <top style="thin">
        <color rgb="FFF3EBFC"/>
      </top>
    </border>
    <border>
      <left style="thick">
        <color rgb="FF434343"/>
      </left>
      <top style="thin">
        <color rgb="FFF3EBFC"/>
      </top>
    </border>
    <border>
      <right style="thin">
        <color rgb="FFF3EBFC"/>
      </right>
      <top style="thin">
        <color rgb="FFF3EBFC"/>
      </top>
    </border>
    <border>
      <left style="thin">
        <color rgb="FFF3EBFC"/>
      </left>
      <right style="thick">
        <color rgb="FF434343"/>
      </right>
      <top style="thin">
        <color rgb="FFF3EBFC"/>
      </top>
    </border>
    <border>
      <left style="thin">
        <color rgb="FFF3EBFC"/>
      </left>
      <right style="thick">
        <color rgb="FF434343"/>
      </right>
      <top style="medium">
        <color rgb="FF434343"/>
      </top>
      <bottom style="thin">
        <color rgb="FFF3EBFC"/>
      </bottom>
    </border>
    <border>
      <left style="thin">
        <color rgb="FFF3EBFC"/>
      </left>
      <right style="thin">
        <color rgb="FFFFFFFF"/>
      </right>
      <top style="thin">
        <color rgb="FFF3EBFC"/>
      </top>
      <bottom style="thin">
        <color rgb="FFF3EBFC"/>
      </bottom>
    </border>
    <border>
      <left style="thick">
        <color rgb="FF434343"/>
      </left>
      <top style="thin">
        <color rgb="FFF3EBFC"/>
      </top>
      <bottom style="thick">
        <color rgb="FF434343"/>
      </bottom>
    </border>
    <border>
      <top style="thin">
        <color rgb="FFF3EBFC"/>
      </top>
      <bottom style="thick">
        <color rgb="FF434343"/>
      </bottom>
    </border>
    <border>
      <right style="thick">
        <color rgb="FF434343"/>
      </right>
      <top style="thin">
        <color rgb="FFF3EBFC"/>
      </top>
      <bottom style="thick">
        <color rgb="FF434343"/>
      </bottom>
    </border>
    <border>
      <left style="thin">
        <color rgb="FFF3EBFC"/>
      </left>
      <right style="thick">
        <color rgb="FF434343"/>
      </right>
      <top style="thin">
        <color rgb="FFF3EBFC"/>
      </top>
      <bottom style="thick">
        <color rgb="FF434343"/>
      </bottom>
    </border>
    <border>
      <left style="thin">
        <color rgb="FFF3EBFC"/>
      </left>
      <right style="thin">
        <color rgb="FFF3EBFC"/>
      </right>
      <top style="thin">
        <color rgb="FFFFFFFF"/>
      </top>
    </border>
    <border>
      <left style="thin">
        <color rgb="FFF3EBFC"/>
      </left>
      <right style="thick">
        <color rgb="FF3E3A3A"/>
      </right>
      <top style="thin">
        <color rgb="FFF3EBFC"/>
      </top>
      <bottom style="thin">
        <color rgb="FFF3EBFC"/>
      </bottom>
    </border>
    <border>
      <left style="thick">
        <color rgb="FF3E3A3A"/>
      </left>
      <right style="thin">
        <color rgb="FFB76EA8"/>
      </right>
      <bottom style="thin">
        <color rgb="FFB76EA8"/>
      </bottom>
    </border>
    <border>
      <left style="thin">
        <color rgb="FFB76EA8"/>
      </left>
      <right style="thin">
        <color rgb="FFB76EA8"/>
      </right>
      <bottom style="thin">
        <color rgb="FFB76EA8"/>
      </bottom>
    </border>
    <border>
      <left style="thin">
        <color rgb="FFB76EA8"/>
      </left>
      <top style="thin">
        <color rgb="FF3E3A3A"/>
      </top>
      <bottom style="thin">
        <color rgb="FFB76EA8"/>
      </bottom>
    </border>
    <border>
      <left style="medium">
        <color rgb="FF3E3A3A"/>
      </left>
      <right style="thick">
        <color rgb="FF3E3A3A"/>
      </right>
      <bottom style="thin">
        <color rgb="FFB76EA8"/>
      </bottom>
    </border>
    <border>
      <left style="thick">
        <color rgb="FF3E3A3A"/>
      </left>
      <right style="thin">
        <color rgb="FFB76EA8"/>
      </right>
      <top style="thin">
        <color rgb="FFB76EA8"/>
      </top>
      <bottom style="thin">
        <color rgb="FFB76EA8"/>
      </bottom>
    </border>
    <border>
      <left style="thin">
        <color rgb="FFB76EA8"/>
      </left>
      <right style="thin">
        <color rgb="FFB76EA8"/>
      </right>
      <top style="thin">
        <color rgb="FFB76EA8"/>
      </top>
      <bottom style="thin">
        <color rgb="FFB76EA8"/>
      </bottom>
    </border>
    <border>
      <left style="thin">
        <color rgb="FFB76EA8"/>
      </left>
      <top style="thin">
        <color rgb="FFB76EA8"/>
      </top>
      <bottom style="thin">
        <color rgb="FFB76EA8"/>
      </bottom>
    </border>
    <border>
      <left style="medium">
        <color rgb="FF3E3A3A"/>
      </left>
      <right style="thick">
        <color rgb="FF3E3A3A"/>
      </right>
      <top style="thin">
        <color rgb="FFB76EA8"/>
      </top>
      <bottom style="thin">
        <color rgb="FFB76EA8"/>
      </bottom>
    </border>
    <border>
      <left style="thick">
        <color rgb="FF3E3A3A"/>
      </left>
      <right style="thin">
        <color rgb="FFB76EA8"/>
      </right>
      <top style="thin">
        <color rgb="FFB76EA8"/>
      </top>
    </border>
    <border>
      <left style="thin">
        <color rgb="FFB76EA8"/>
      </left>
      <right style="thin">
        <color rgb="FFB76EA8"/>
      </right>
      <top style="thin">
        <color rgb="FFB76EA8"/>
      </top>
    </border>
    <border>
      <left style="thin">
        <color rgb="FFB76EA8"/>
      </left>
      <top style="thin">
        <color rgb="FFB76EA8"/>
      </top>
    </border>
    <border>
      <left style="medium">
        <color rgb="FF3E3A3A"/>
      </left>
      <right style="thick">
        <color rgb="FF3E3A3A"/>
      </right>
      <top style="thin">
        <color rgb="FFB76EA8"/>
      </top>
      <bottom style="medium">
        <color rgb="FF3E3A3A"/>
      </bottom>
    </border>
    <border>
      <left style="thick">
        <color rgb="FF3E3A3A"/>
      </left>
      <top style="medium">
        <color rgb="FF3E3A3A"/>
      </top>
      <bottom style="thin">
        <color rgb="FF3E3A3A"/>
      </bottom>
    </border>
    <border>
      <top style="medium">
        <color rgb="FF3E3A3A"/>
      </top>
      <bottom style="thin">
        <color rgb="FF3E3A3A"/>
      </bottom>
    </border>
    <border>
      <right style="medium">
        <color rgb="FF3E3A3A"/>
      </right>
      <top style="medium">
        <color rgb="FF3E3A3A"/>
      </top>
      <bottom style="thin">
        <color rgb="FF3E3A3A"/>
      </bottom>
    </border>
    <border>
      <left style="medium">
        <color rgb="FF3E3A3A"/>
      </left>
      <right style="thick">
        <color rgb="FF3E3A3A"/>
      </right>
      <top style="medium">
        <color rgb="FF3E3A3A"/>
      </top>
      <bottom style="thin">
        <color rgb="FF3E3A3A"/>
      </bottom>
    </border>
    <border>
      <left style="thin">
        <color rgb="FFF3EBFC"/>
      </left>
      <bottom style="thin">
        <color rgb="FFF3EBFC"/>
      </bottom>
    </border>
    <border>
      <left style="thick">
        <color rgb="FF3E3A3A"/>
      </left>
      <top style="thin">
        <color rgb="FF3E3A3A"/>
      </top>
      <bottom style="thick">
        <color rgb="FF3E3A3A"/>
      </bottom>
    </border>
    <border>
      <top style="thin">
        <color rgb="FF3E3A3A"/>
      </top>
      <bottom style="thick">
        <color rgb="FF3E3A3A"/>
      </bottom>
    </border>
    <border>
      <right style="medium">
        <color rgb="FF3E3A3A"/>
      </right>
      <top style="thin">
        <color rgb="FF3E3A3A"/>
      </top>
      <bottom style="thick">
        <color rgb="FF3E3A3A"/>
      </bottom>
    </border>
    <border>
      <left style="medium">
        <color rgb="FF3E3A3A"/>
      </left>
      <right style="thick">
        <color rgb="FF3E3A3A"/>
      </right>
      <top style="thin">
        <color rgb="FF3E3A3A"/>
      </top>
      <bottom style="thick">
        <color rgb="FF3E3A3A"/>
      </bottom>
    </border>
    <border>
      <left style="thick">
        <color rgb="FF3E3A3A"/>
      </left>
      <right style="thin">
        <color rgb="FFF3EBFC"/>
      </right>
      <top style="thin">
        <color rgb="FFF3EBFC"/>
      </top>
      <bottom style="thick">
        <color rgb="FF3E3A3A"/>
      </bottom>
    </border>
    <border>
      <left style="thin">
        <color rgb="FFF3EBFC"/>
      </left>
      <right style="thin">
        <color rgb="FFF3EBFC"/>
      </right>
      <top style="thin">
        <color rgb="FFF3EBFC"/>
      </top>
      <bottom style="thick">
        <color rgb="FF3E3A3A"/>
      </bottom>
    </border>
    <border>
      <left style="thin">
        <color rgb="FFF3EBFC"/>
      </left>
      <right style="thin">
        <color rgb="FFF3EBFC"/>
      </right>
      <bottom style="thick">
        <color rgb="FF3E3A3A"/>
      </bottom>
    </border>
    <border>
      <left style="thin">
        <color rgb="FFF3EBFC"/>
      </left>
      <right style="thick">
        <color rgb="FF3E3A3A"/>
      </right>
      <top style="thin">
        <color rgb="FFF3EBFC"/>
      </top>
      <bottom style="thick">
        <color rgb="FF3E3A3A"/>
      </bottom>
    </border>
    <border>
      <left style="thick">
        <color rgb="FF3E3A3A"/>
      </left>
      <right style="thin">
        <color rgb="FFFCEBEB"/>
      </right>
      <bottom style="thin">
        <color rgb="FFFCEBEB"/>
      </bottom>
    </border>
    <border>
      <left style="thin">
        <color rgb="FFFCEBEB"/>
      </left>
      <right style="thin">
        <color rgb="FFFCEBEB"/>
      </right>
      <bottom style="thin">
        <color rgb="FFFCEBEB"/>
      </bottom>
    </border>
    <border>
      <left style="thin">
        <color rgb="FFFCEBEB"/>
      </left>
      <right style="thick">
        <color rgb="FF3E3A3A"/>
      </right>
      <bottom style="thin">
        <color rgb="FFFCEBEB"/>
      </bottom>
    </border>
    <border>
      <left style="thick">
        <color rgb="FF3E3A3A"/>
      </left>
      <right style="thin">
        <color rgb="FFFCEBEB"/>
      </right>
      <top style="thin">
        <color rgb="FFFCEBEB"/>
      </top>
      <bottom style="thin">
        <color rgb="FFFCEBEB"/>
      </bottom>
    </border>
    <border>
      <left style="thin">
        <color rgb="FFFCEBEB"/>
      </left>
      <right style="thin">
        <color rgb="FFFCEBEB"/>
      </right>
      <top style="thin">
        <color rgb="FFFCEBEB"/>
      </top>
      <bottom style="thin">
        <color rgb="FFFFFFFF"/>
      </bottom>
    </border>
    <border>
      <left style="thin">
        <color rgb="FFFCEBEB"/>
      </left>
      <right style="thin">
        <color rgb="FFFCEBEB"/>
      </right>
      <top style="thin">
        <color rgb="FFFCEBEB"/>
      </top>
      <bottom style="thin">
        <color rgb="FFFCEBEB"/>
      </bottom>
    </border>
    <border>
      <left style="thin">
        <color rgb="FFFCEBEB"/>
      </left>
      <top style="thin">
        <color rgb="FFFCEBEB"/>
      </top>
    </border>
    <border>
      <top style="thin">
        <color rgb="FFFCEBEB"/>
      </top>
    </border>
    <border>
      <right style="thin">
        <color rgb="FFFCEBEB"/>
      </right>
      <top style="thin">
        <color rgb="FFFCEBEB"/>
      </top>
    </border>
    <border>
      <left style="thin">
        <color rgb="FFFCEBEB"/>
      </left>
      <right style="thick">
        <color rgb="FF3E3A3A"/>
      </right>
      <top style="thin">
        <color rgb="FFFCEBEB"/>
      </top>
      <bottom style="thin">
        <color rgb="FFFCEBEB"/>
      </bottom>
    </border>
    <border>
      <left style="thick">
        <color rgb="FF3E3A3A"/>
      </left>
      <top style="thin">
        <color rgb="FFFCEBEB"/>
      </top>
      <bottom style="thin">
        <color rgb="FFFCEBEB"/>
      </bottom>
    </border>
    <border>
      <top style="thin">
        <color rgb="FFFCEBEB"/>
      </top>
      <bottom style="thin">
        <color rgb="FFFCEBEB"/>
      </bottom>
    </border>
    <border>
      <right style="thick">
        <color rgb="FF3E3A3A"/>
      </right>
      <top style="thin">
        <color rgb="FFFCEBEB"/>
      </top>
      <bottom style="thin">
        <color rgb="FFFCEBEB"/>
      </bottom>
    </border>
    <border>
      <left style="thick">
        <color rgb="FF434343"/>
      </left>
      <bottom style="thin">
        <color rgb="FFFCEBEB"/>
      </bottom>
    </border>
    <border>
      <bottom style="thin">
        <color rgb="FFFCEBEB"/>
      </bottom>
    </border>
    <border>
      <right style="thick">
        <color rgb="FF434343"/>
      </right>
      <bottom style="thin">
        <color rgb="FFFCEBEB"/>
      </bottom>
    </border>
    <border>
      <left style="thick">
        <color rgb="FF434343"/>
      </left>
      <top style="thin">
        <color rgb="FFFCEBEB"/>
      </top>
      <bottom style="thin">
        <color rgb="FFFCEBEB"/>
      </bottom>
    </border>
    <border>
      <right style="thick">
        <color rgb="FF434343"/>
      </right>
      <top style="thin">
        <color rgb="FFFCEBEB"/>
      </top>
      <bottom style="thin">
        <color rgb="FFFCEBEB"/>
      </bottom>
    </border>
    <border>
      <left style="thin">
        <color rgb="FFFCEBEB"/>
      </left>
      <right style="thin">
        <color rgb="FFFCEBEB"/>
      </right>
    </border>
    <border>
      <left style="thin">
        <color rgb="FFFCEBEB"/>
      </left>
      <top style="thin">
        <color rgb="FFFCEBEB"/>
      </top>
      <bottom style="thin">
        <color rgb="FFFCEBEB"/>
      </bottom>
    </border>
    <border>
      <left style="thick">
        <color rgb="FF434343"/>
      </left>
      <right style="thin">
        <color rgb="FFFCEBEB"/>
      </right>
      <top style="thin">
        <color rgb="FFFCEBEB"/>
      </top>
      <bottom style="thin">
        <color rgb="FFFCEBEB"/>
      </bottom>
    </border>
    <border>
      <left style="thin">
        <color rgb="FFFCEBEB"/>
      </left>
      <right style="thick">
        <color rgb="FF434343"/>
      </right>
      <top style="thin">
        <color rgb="FFFCEBEB"/>
      </top>
      <bottom style="thin">
        <color rgb="FFFCEBEB"/>
      </bottom>
    </border>
    <border>
      <left style="thick">
        <color rgb="FF434343"/>
      </left>
      <right style="medium">
        <color rgb="FFFCEBEB"/>
      </right>
      <top style="thin">
        <color rgb="FFFCEBEB"/>
      </top>
      <bottom style="medium">
        <color rgb="FFFCEBEB"/>
      </bottom>
    </border>
    <border>
      <left style="medium">
        <color rgb="FFFCEBEB"/>
      </left>
      <right style="thick">
        <color rgb="FF434343"/>
      </right>
      <top style="thin">
        <color rgb="FFFCEBEB"/>
      </top>
      <bottom style="medium">
        <color rgb="FFFCEBEB"/>
      </bottom>
    </border>
    <border>
      <left style="thick">
        <color rgb="FF434343"/>
      </left>
      <top style="thin">
        <color rgb="FFFCEBEB"/>
      </top>
      <bottom style="medium">
        <color rgb="FFFCEBEB"/>
      </bottom>
    </border>
    <border>
      <right style="thin">
        <color rgb="FFFCEBEB"/>
      </right>
      <top style="thin">
        <color rgb="FFFCEBEB"/>
      </top>
      <bottom style="thin">
        <color rgb="FFFCEBEB"/>
      </bottom>
    </border>
    <border>
      <right style="thick">
        <color rgb="FF434343"/>
      </right>
      <top style="thin">
        <color rgb="FFFCEBEB"/>
      </top>
      <bottom style="medium">
        <color rgb="FFFCEBEB"/>
      </bottom>
    </border>
    <border>
      <left style="thick">
        <color rgb="FF434343"/>
      </left>
      <right style="medium">
        <color rgb="FFFCEBEB"/>
      </right>
    </border>
    <border>
      <left style="medium">
        <color rgb="FFFCEBEB"/>
      </left>
      <right style="medium">
        <color rgb="FFFCEBEB"/>
      </right>
    </border>
    <border>
      <left style="medium">
        <color rgb="FFFCEBEB"/>
      </left>
      <right style="thick">
        <color rgb="FF434343"/>
      </right>
    </border>
    <border>
      <left style="thick">
        <color rgb="FF434343"/>
      </left>
      <right style="medium">
        <color rgb="FFFCEBEB"/>
      </right>
      <top style="medium">
        <color rgb="FFFCEBEB"/>
      </top>
    </border>
    <border>
      <left style="medium">
        <color rgb="FFFCEBEB"/>
      </left>
      <right style="medium">
        <color rgb="FFFCEBEB"/>
      </right>
      <top style="medium">
        <color rgb="FFFCEBEB"/>
      </top>
    </border>
    <border>
      <left style="medium">
        <color rgb="FFFCEBEB"/>
      </left>
      <right style="thick">
        <color rgb="FF434343"/>
      </right>
      <top style="medium">
        <color rgb="FFFCEBEB"/>
      </top>
    </border>
    <border>
      <right style="medium">
        <color rgb="FFFCEBEB"/>
      </right>
      <top style="medium">
        <color rgb="FFFCEBEB"/>
      </top>
    </border>
    <border>
      <left style="thick">
        <color rgb="FF434343"/>
      </left>
      <top style="medium">
        <color rgb="FF434343"/>
      </top>
      <bottom style="thin">
        <color rgb="FFFCEBEB"/>
      </bottom>
    </border>
    <border>
      <top style="medium">
        <color rgb="FF434343"/>
      </top>
      <bottom style="thin">
        <color rgb="FFFCEBEB"/>
      </bottom>
    </border>
    <border>
      <right style="thick">
        <color rgb="FF434343"/>
      </right>
      <top style="medium">
        <color rgb="FF434343"/>
      </top>
      <bottom style="thin">
        <color rgb="FFFCEBEB"/>
      </bottom>
    </border>
    <border>
      <left style="thin">
        <color rgb="FFFCEBEB"/>
      </left>
      <right style="thin">
        <color rgb="FFFCEBEB"/>
      </right>
      <top style="thin">
        <color rgb="FFFCEBEB"/>
      </top>
    </border>
    <border>
      <left style="thick">
        <color rgb="FF434343"/>
      </left>
      <top style="thin">
        <color rgb="FFFCEBEB"/>
      </top>
    </border>
    <border>
      <left style="thin">
        <color rgb="FFFCEBEB"/>
      </left>
      <right style="thick">
        <color rgb="FF434343"/>
      </right>
      <top style="thin">
        <color rgb="FFFCEBEB"/>
      </top>
    </border>
    <border>
      <left style="thin">
        <color rgb="FFFCEBEB"/>
      </left>
      <right style="thick">
        <color rgb="FF434343"/>
      </right>
      <top style="medium">
        <color rgb="FF434343"/>
      </top>
      <bottom style="thin">
        <color rgb="FFFCEBEB"/>
      </bottom>
    </border>
    <border>
      <left style="thick">
        <color rgb="FF434343"/>
      </left>
      <top style="thin">
        <color rgb="FFFCEBEB"/>
      </top>
      <bottom style="thick">
        <color rgb="FF434343"/>
      </bottom>
    </border>
    <border>
      <top style="thin">
        <color rgb="FFFCEBEB"/>
      </top>
      <bottom style="thick">
        <color rgb="FF434343"/>
      </bottom>
    </border>
    <border>
      <left style="thin">
        <color rgb="FFFCEBEB"/>
      </left>
      <right style="thick">
        <color rgb="FF434343"/>
      </right>
      <top style="thin">
        <color rgb="FFFCEBEB"/>
      </top>
      <bottom style="thick">
        <color rgb="FF434343"/>
      </bottom>
    </border>
    <border>
      <left style="thin">
        <color rgb="FFFCEBEB"/>
      </left>
      <right style="thin">
        <color rgb="FFFFFFFF"/>
      </right>
      <top style="thin">
        <color rgb="FFFCEBEB"/>
      </top>
      <bottom style="thin">
        <color rgb="FFFCEBEB"/>
      </bottom>
    </border>
    <border>
      <left style="thin">
        <color rgb="FFFFFFFF"/>
      </left>
      <right style="thin">
        <color rgb="FFFFFFFF"/>
      </right>
    </border>
    <border>
      <left style="thin">
        <color rgb="FFFFFFFF"/>
      </left>
      <right style="thin">
        <color rgb="FFFFFFFF"/>
      </right>
      <top style="thin">
        <color rgb="FFFCEBEB"/>
      </top>
      <bottom style="thin">
        <color rgb="FFFCEBEB"/>
      </bottom>
    </border>
    <border>
      <left style="thin">
        <color rgb="FFFFFFFF"/>
      </left>
      <right style="thin">
        <color rgb="FFFFFFFF"/>
      </right>
      <top style="thin">
        <color rgb="FFFFFFFF"/>
      </top>
    </border>
    <border>
      <right style="thin">
        <color rgb="FFFFFFFF"/>
      </right>
      <top style="thin">
        <color rgb="FFFFFFFF"/>
      </top>
    </border>
    <border>
      <left style="thick">
        <color rgb="FF3E3A3A"/>
      </left>
      <right style="thin">
        <color rgb="FFC83850"/>
      </right>
      <bottom style="thin">
        <color rgb="FFC83850"/>
      </bottom>
    </border>
    <border>
      <left style="thin">
        <color rgb="FFC83850"/>
      </left>
      <right style="thin">
        <color rgb="FFC83850"/>
      </right>
      <bottom style="thin">
        <color rgb="FFC83850"/>
      </bottom>
    </border>
    <border>
      <left style="thin">
        <color rgb="FFC83850"/>
      </left>
      <top style="thin">
        <color rgb="FF3E3A3A"/>
      </top>
      <bottom style="thin">
        <color rgb="FFC83850"/>
      </bottom>
    </border>
    <border>
      <left style="medium">
        <color rgb="FF3E3A3A"/>
      </left>
      <right style="thick">
        <color rgb="FF3E3A3A"/>
      </right>
      <bottom style="thin">
        <color rgb="FFC83850"/>
      </bottom>
    </border>
    <border>
      <left style="thick">
        <color rgb="FF3E3A3A"/>
      </left>
      <right style="thin">
        <color rgb="FFC83850"/>
      </right>
      <top style="thin">
        <color rgb="FFC83850"/>
      </top>
      <bottom style="thin">
        <color rgb="FFC83850"/>
      </bottom>
    </border>
    <border>
      <left style="thin">
        <color rgb="FFC83850"/>
      </left>
      <right style="thin">
        <color rgb="FFC83850"/>
      </right>
      <top style="thin">
        <color rgb="FFC83850"/>
      </top>
      <bottom style="thin">
        <color rgb="FFC83850"/>
      </bottom>
    </border>
    <border>
      <left style="thin">
        <color rgb="FFC83850"/>
      </left>
      <top style="thin">
        <color rgb="FFC83850"/>
      </top>
      <bottom style="thin">
        <color rgb="FFC83850"/>
      </bottom>
    </border>
    <border>
      <left style="medium">
        <color rgb="FF3E3A3A"/>
      </left>
      <right style="thick">
        <color rgb="FF3E3A3A"/>
      </right>
      <top style="thin">
        <color rgb="FFC83850"/>
      </top>
      <bottom style="thin">
        <color rgb="FFC83850"/>
      </bottom>
    </border>
    <border>
      <left style="thick">
        <color rgb="FF3E3A3A"/>
      </left>
      <right style="thin">
        <color rgb="FFC83850"/>
      </right>
      <top style="thin">
        <color rgb="FFC83850"/>
      </top>
    </border>
    <border>
      <left style="thin">
        <color rgb="FFC83850"/>
      </left>
      <right style="thin">
        <color rgb="FFC83850"/>
      </right>
      <top style="thin">
        <color rgb="FFC83850"/>
      </top>
    </border>
    <border>
      <left style="thin">
        <color rgb="FFC83850"/>
      </left>
      <top style="thin">
        <color rgb="FFC83850"/>
      </top>
    </border>
    <border>
      <left style="medium">
        <color rgb="FF3E3A3A"/>
      </left>
      <right style="thick">
        <color rgb="FF3E3A3A"/>
      </right>
      <top style="thin">
        <color rgb="FFC83850"/>
      </top>
      <bottom style="medium">
        <color rgb="FF3E3A3A"/>
      </bottom>
    </border>
    <border>
      <left style="thick">
        <color rgb="FF3E3A3A"/>
      </left>
      <right style="thin">
        <color rgb="FFFCEBEB"/>
      </right>
      <top style="thin">
        <color rgb="FFFCEBEB"/>
      </top>
      <bottom style="thick">
        <color rgb="FF3E3A3A"/>
      </bottom>
    </border>
    <border>
      <left style="thin">
        <color rgb="FFFCEBEB"/>
      </left>
      <right style="thin">
        <color rgb="FFFCEBEB"/>
      </right>
      <top style="thin">
        <color rgb="FFFCEBEB"/>
      </top>
      <bottom style="thick">
        <color rgb="FF3E3A3A"/>
      </bottom>
    </border>
    <border>
      <left style="thin">
        <color rgb="FFFCEBEB"/>
      </left>
      <right style="thin">
        <color rgb="FFFCEBEB"/>
      </right>
      <bottom style="thick">
        <color rgb="FF3E3A3A"/>
      </bottom>
    </border>
    <border>
      <left style="thin">
        <color rgb="FFFCEBEB"/>
      </left>
      <right style="thick">
        <color rgb="FF3E3A3A"/>
      </right>
      <top style="thin">
        <color rgb="FFFCEBEB"/>
      </top>
      <bottom style="thick">
        <color rgb="FF3E3A3A"/>
      </bottom>
    </border>
    <border>
      <left style="thick">
        <color rgb="FF3E3A3A"/>
      </left>
      <right style="thin">
        <color rgb="FFEBECFC"/>
      </right>
      <bottom style="thin">
        <color rgb="FFEBECFC"/>
      </bottom>
    </border>
    <border>
      <left style="thin">
        <color rgb="FFEBECFC"/>
      </left>
      <right style="thin">
        <color rgb="FFEBECFC"/>
      </right>
    </border>
    <border>
      <left style="thin">
        <color rgb="FFEBECFC"/>
      </left>
      <right style="thin">
        <color rgb="FFEBECFC"/>
      </right>
      <bottom style="thin">
        <color rgb="FFEBECFC"/>
      </bottom>
    </border>
    <border>
      <left style="thin">
        <color rgb="FFEBECFC"/>
      </left>
      <right style="thick">
        <color rgb="FF3E3A3A"/>
      </right>
      <bottom style="thin">
        <color rgb="FFEBECFC"/>
      </bottom>
    </border>
    <border>
      <left style="thick">
        <color rgb="FF3E3A3A"/>
      </left>
      <top style="thin">
        <color rgb="FFEBECFC"/>
      </top>
      <bottom style="thin">
        <color rgb="FFEBECFC"/>
      </bottom>
    </border>
    <border>
      <top style="thin">
        <color rgb="FFEBECFC"/>
      </top>
      <bottom style="thin">
        <color rgb="FFEBECFC"/>
      </bottom>
    </border>
    <border>
      <top style="thin">
        <color rgb="FFEBECFC"/>
      </top>
    </border>
    <border>
      <right style="thick">
        <color rgb="FF3E3A3A"/>
      </right>
      <top style="thin">
        <color rgb="FFEBECFC"/>
      </top>
      <bottom style="thin">
        <color rgb="FFEBECFC"/>
      </bottom>
    </border>
    <border>
      <left style="thick">
        <color rgb="FF434343"/>
      </left>
      <bottom style="thin">
        <color rgb="FFEBECFC"/>
      </bottom>
    </border>
    <border>
      <bottom style="thin">
        <color rgb="FFEBECFC"/>
      </bottom>
    </border>
    <border>
      <right style="thick">
        <color rgb="FF434343"/>
      </right>
      <bottom style="thin">
        <color rgb="FFEBECFC"/>
      </bottom>
    </border>
    <border>
      <left style="thick">
        <color rgb="FF434343"/>
      </left>
      <top style="thin">
        <color rgb="FFEBECFC"/>
      </top>
      <bottom style="thin">
        <color rgb="FFEBECFC"/>
      </bottom>
    </border>
    <border>
      <right style="thick">
        <color rgb="FF434343"/>
      </right>
      <top style="thin">
        <color rgb="FFEBECFC"/>
      </top>
      <bottom style="thin">
        <color rgb="FFEBECFC"/>
      </bottom>
    </border>
    <border>
      <left style="thick">
        <color rgb="FF3E3A3A"/>
      </left>
      <right style="thin">
        <color rgb="FFEBECFC"/>
      </right>
      <top style="thin">
        <color rgb="FFEBECFC"/>
      </top>
      <bottom style="thin">
        <color rgb="FFEBECFC"/>
      </bottom>
    </border>
    <border>
      <left style="thin">
        <color rgb="FFEBECFC"/>
      </left>
      <top style="thin">
        <color rgb="FFEBECFC"/>
      </top>
      <bottom style="thin">
        <color rgb="FFEBECFC"/>
      </bottom>
    </border>
    <border>
      <left style="thick">
        <color rgb="FF434343"/>
      </left>
      <right style="thin">
        <color rgb="FFEBECFC"/>
      </right>
      <top style="thin">
        <color rgb="FFEBECFC"/>
      </top>
      <bottom style="medium">
        <color rgb="FFEBECFC"/>
      </bottom>
    </border>
    <border>
      <left style="thin">
        <color rgb="FFEBECFC"/>
      </left>
      <right style="thin">
        <color rgb="FFEBECFC"/>
      </right>
      <top style="thin">
        <color rgb="FFEBECFC"/>
      </top>
      <bottom style="thin">
        <color rgb="FFFCEBEB"/>
      </bottom>
    </border>
    <border>
      <left style="thin">
        <color rgb="FFEBECFC"/>
      </left>
      <right style="thick">
        <color rgb="FF434343"/>
      </right>
      <top style="thin">
        <color rgb="FFEBECFC"/>
      </top>
      <bottom style="medium">
        <color rgb="FFEBECFC"/>
      </bottom>
    </border>
    <border>
      <left style="thick">
        <color rgb="FF434343"/>
      </left>
      <right style="medium">
        <color rgb="FFEBECFC"/>
      </right>
      <top style="thin">
        <color rgb="FFEBECFC"/>
      </top>
      <bottom style="medium">
        <color rgb="FFEBECFC"/>
      </bottom>
    </border>
    <border>
      <left style="medium">
        <color rgb="FFEBECFC"/>
      </left>
      <right style="thick">
        <color rgb="FF434343"/>
      </right>
      <top style="thin">
        <color rgb="FFEBECFC"/>
      </top>
      <bottom style="medium">
        <color rgb="FFEBECFC"/>
      </bottom>
    </border>
    <border>
      <left style="thick">
        <color rgb="FF434343"/>
      </left>
      <right style="medium">
        <color rgb="FFEBECFC"/>
      </right>
      <top style="medium">
        <color rgb="FFEBECFC"/>
      </top>
    </border>
    <border>
      <left style="medium">
        <color rgb="FFEBECFC"/>
      </left>
      <right style="medium">
        <color rgb="FFEBECFC"/>
      </right>
      <top style="medium">
        <color rgb="FFEBECFC"/>
      </top>
    </border>
    <border>
      <left style="medium">
        <color rgb="FFEBECFC"/>
      </left>
      <right style="thick">
        <color rgb="FF434343"/>
      </right>
      <top style="medium">
        <color rgb="FFEBECFC"/>
      </top>
    </border>
    <border>
      <right style="medium">
        <color rgb="FFEBECFC"/>
      </right>
      <top style="medium">
        <color rgb="FFEBECFC"/>
      </top>
    </border>
    <border>
      <left style="thick">
        <color rgb="FF434343"/>
      </left>
      <top style="medium">
        <color rgb="FF434343"/>
      </top>
      <bottom style="thin">
        <color rgb="FFEBECFC"/>
      </bottom>
    </border>
    <border>
      <top style="medium">
        <color rgb="FF434343"/>
      </top>
      <bottom style="thin">
        <color rgb="FFEBECFC"/>
      </bottom>
    </border>
    <border>
      <right style="thick">
        <color rgb="FF434343"/>
      </right>
      <top style="medium">
        <color rgb="FF434343"/>
      </top>
      <bottom style="thin">
        <color rgb="FFEBECFC"/>
      </bottom>
    </border>
    <border>
      <left style="thin">
        <color rgb="FFEBECFC"/>
      </left>
      <right style="thin">
        <color rgb="FFEBECFC"/>
      </right>
      <top style="thin">
        <color rgb="FFEBECFC"/>
      </top>
    </border>
    <border>
      <left style="thick">
        <color rgb="FF434343"/>
      </left>
      <top style="thin">
        <color rgb="FFEBECFC"/>
      </top>
    </border>
    <border>
      <right style="thin">
        <color rgb="FFEBECFC"/>
      </right>
      <top style="thin">
        <color rgb="FFEBECFC"/>
      </top>
    </border>
    <border>
      <left style="thin">
        <color rgb="FFEBECFC"/>
      </left>
      <right style="thick">
        <color rgb="FF434343"/>
      </right>
      <top style="thin">
        <color rgb="FFEBECFC"/>
      </top>
    </border>
    <border>
      <left style="thin">
        <color rgb="FFEBECFC"/>
      </left>
      <right style="thick">
        <color rgb="FF434343"/>
      </right>
      <top style="medium">
        <color rgb="FF434343"/>
      </top>
      <bottom style="thin">
        <color rgb="FFEBECFC"/>
      </bottom>
    </border>
    <border>
      <left style="thin">
        <color rgb="FFEBECFC"/>
      </left>
      <right style="thin">
        <color rgb="FFEBECFC"/>
      </right>
      <top style="thin">
        <color rgb="FFEBECFC"/>
      </top>
      <bottom style="thin">
        <color rgb="FFEBECFC"/>
      </bottom>
    </border>
    <border>
      <left style="thin">
        <color rgb="FFEBECFC"/>
      </left>
      <right style="thick">
        <color rgb="FF434343"/>
      </right>
      <top style="thin">
        <color rgb="FFEBECFC"/>
      </top>
      <bottom style="thin">
        <color rgb="FFEBECFC"/>
      </bottom>
    </border>
    <border>
      <left style="thick">
        <color rgb="FF434343"/>
      </left>
      <top style="thin">
        <color rgb="FFEBECFC"/>
      </top>
      <bottom style="thick">
        <color rgb="FF434343"/>
      </bottom>
    </border>
    <border>
      <top style="thin">
        <color rgb="FFEBECFC"/>
      </top>
      <bottom style="thick">
        <color rgb="FF434343"/>
      </bottom>
    </border>
    <border>
      <left style="thin">
        <color rgb="FFEBECFC"/>
      </left>
      <right style="thick">
        <color rgb="FF434343"/>
      </right>
      <top style="thin">
        <color rgb="FFEBECFC"/>
      </top>
      <bottom style="thick">
        <color rgb="FF434343"/>
      </bottom>
    </border>
    <border>
      <left style="thin">
        <color rgb="FFEBECFC"/>
      </left>
      <right style="thin">
        <color rgb="FFEBECFC"/>
      </right>
      <top style="thin">
        <color rgb="FFFFFFFF"/>
      </top>
    </border>
    <border>
      <left style="thin">
        <color rgb="FFEBECFC"/>
      </left>
      <right style="thick">
        <color rgb="FF3E3A3A"/>
      </right>
      <top style="thin">
        <color rgb="FFEBECFC"/>
      </top>
      <bottom style="thin">
        <color rgb="FFEBECFC"/>
      </bottom>
    </border>
    <border>
      <left style="thick">
        <color rgb="FF3E3A3A"/>
      </left>
      <right style="thin">
        <color rgb="FF615C80"/>
      </right>
      <bottom style="thin">
        <color rgb="FF615C80"/>
      </bottom>
    </border>
    <border>
      <left style="thin">
        <color rgb="FF615C80"/>
      </left>
      <right style="thin">
        <color rgb="FF615C80"/>
      </right>
      <bottom style="thin">
        <color rgb="FF615C80"/>
      </bottom>
    </border>
    <border>
      <left style="thin">
        <color rgb="FF615C80"/>
      </left>
      <top style="thin">
        <color rgb="FF3E3A3A"/>
      </top>
      <bottom style="thin">
        <color rgb="FF615C80"/>
      </bottom>
    </border>
    <border>
      <left style="medium">
        <color rgb="FF3E3A3A"/>
      </left>
      <right style="thick">
        <color rgb="FF3E3A3A"/>
      </right>
      <bottom style="thin">
        <color rgb="FF615C80"/>
      </bottom>
    </border>
    <border>
      <left style="thick">
        <color rgb="FF3E3A3A"/>
      </left>
      <right style="thin">
        <color rgb="FF615C80"/>
      </right>
      <top style="thin">
        <color rgb="FF615C80"/>
      </top>
      <bottom style="thin">
        <color rgb="FF615C80"/>
      </bottom>
    </border>
    <border>
      <left style="thin">
        <color rgb="FF615C80"/>
      </left>
      <right style="thin">
        <color rgb="FF615C80"/>
      </right>
      <top style="thin">
        <color rgb="FF615C80"/>
      </top>
      <bottom style="thin">
        <color rgb="FF615C80"/>
      </bottom>
    </border>
    <border>
      <left style="thin">
        <color rgb="FF615C80"/>
      </left>
      <top style="thin">
        <color rgb="FF615C80"/>
      </top>
      <bottom style="thin">
        <color rgb="FF615C80"/>
      </bottom>
    </border>
    <border>
      <left style="medium">
        <color rgb="FF3E3A3A"/>
      </left>
      <right style="thick">
        <color rgb="FF3E3A3A"/>
      </right>
      <top style="thin">
        <color rgb="FF615C80"/>
      </top>
      <bottom style="thin">
        <color rgb="FF615C80"/>
      </bottom>
    </border>
    <border>
      <left style="thick">
        <color rgb="FF3E3A3A"/>
      </left>
      <right style="thin">
        <color rgb="FF615C80"/>
      </right>
      <top style="thin">
        <color rgb="FF615C80"/>
      </top>
    </border>
    <border>
      <left style="thin">
        <color rgb="FF615C80"/>
      </left>
      <right style="thin">
        <color rgb="FF615C80"/>
      </right>
      <top style="thin">
        <color rgb="FF615C80"/>
      </top>
    </border>
    <border>
      <left style="thin">
        <color rgb="FF615C80"/>
      </left>
      <top style="thin">
        <color rgb="FF615C80"/>
      </top>
    </border>
    <border>
      <left style="medium">
        <color rgb="FF3E3A3A"/>
      </left>
      <right style="thick">
        <color rgb="FF3E3A3A"/>
      </right>
      <top style="thin">
        <color rgb="FF615C80"/>
      </top>
      <bottom style="medium">
        <color rgb="FF3E3A3A"/>
      </bottom>
    </border>
    <border>
      <left style="thick">
        <color rgb="FF3E3A3A"/>
      </left>
      <right style="thin">
        <color rgb="FFEBECFC"/>
      </right>
      <top style="thin">
        <color rgb="FFEBECFC"/>
      </top>
      <bottom style="thick">
        <color rgb="FF3E3A3A"/>
      </bottom>
    </border>
    <border>
      <left style="thin">
        <color rgb="FFEBECFC"/>
      </left>
      <right style="thin">
        <color rgb="FFEBECFC"/>
      </right>
      <top style="thin">
        <color rgb="FFEBECFC"/>
      </top>
      <bottom style="thick">
        <color rgb="FF3E3A3A"/>
      </bottom>
    </border>
    <border>
      <left style="thin">
        <color rgb="FFEBECFC"/>
      </left>
      <right style="thin">
        <color rgb="FFEBECFC"/>
      </right>
      <bottom style="thick">
        <color rgb="FF3E3A3A"/>
      </bottom>
    </border>
    <border>
      <left style="thin">
        <color rgb="FFEBECFC"/>
      </left>
      <right style="thick">
        <color rgb="FF3E3A3A"/>
      </right>
      <top style="thin">
        <color rgb="FFEBECFC"/>
      </top>
      <bottom style="thick">
        <color rgb="FF3E3A3A"/>
      </bottom>
    </border>
    <border>
      <left style="thin">
        <color rgb="FFD23A3A"/>
      </left>
      <right style="thin">
        <color rgb="FFD23A3A"/>
      </right>
      <bottom style="thin">
        <color rgb="FFD23A3A"/>
      </bottom>
    </border>
    <border>
      <left style="thin">
        <color rgb="FFFCF3EB"/>
      </left>
      <right style="thin">
        <color rgb="FFFCF3EB"/>
      </right>
      <top style="thin">
        <color rgb="FFFCF3EB"/>
      </top>
      <bottom style="thin">
        <color rgb="FFFFFFFF"/>
      </bottom>
    </border>
    <border>
      <left style="thin">
        <color rgb="FFFCF3EB"/>
      </left>
      <top style="thin">
        <color rgb="FFFCF3EB"/>
      </top>
    </border>
    <border>
      <left style="thin">
        <color rgb="FFFFFFFF"/>
      </left>
      <right style="thick">
        <color rgb="FF3E3A3A"/>
      </right>
      <top style="thin">
        <color rgb="FFFCF3EB"/>
      </top>
      <bottom style="thin">
        <color rgb="FFFCF3EB"/>
      </bottom>
    </border>
    <border>
      <left style="thick">
        <color rgb="FF434343"/>
      </left>
      <right style="medium">
        <color rgb="FFFCF3EB"/>
      </right>
      <top style="thin">
        <color rgb="FFFCF3EB"/>
      </top>
      <bottom style="medium">
        <color rgb="FFFCF3EB"/>
      </bottom>
    </border>
    <border>
      <left style="medium">
        <color rgb="FFFCF3EB"/>
      </left>
      <right style="thick">
        <color rgb="FF434343"/>
      </right>
      <top style="thin">
        <color rgb="FFFCF3EB"/>
      </top>
      <bottom style="medium">
        <color rgb="FFFCF3EB"/>
      </bottom>
    </border>
    <border>
      <left style="thick">
        <color rgb="FF434343"/>
      </left>
      <right style="medium">
        <color rgb="FFFCF3EB"/>
      </right>
      <top style="medium">
        <color rgb="FFFCF3EB"/>
      </top>
    </border>
    <border>
      <left style="medium">
        <color rgb="FFFCF3EB"/>
      </left>
      <right style="medium">
        <color rgb="FFFCF3EB"/>
      </right>
      <top style="medium">
        <color rgb="FFFCF3EB"/>
      </top>
    </border>
    <border>
      <left style="medium">
        <color rgb="FFFCF3EB"/>
      </left>
      <right style="thick">
        <color rgb="FF434343"/>
      </right>
      <top style="medium">
        <color rgb="FFFCF3EB"/>
      </top>
    </border>
    <border>
      <right style="thin">
        <color rgb="FFFCF3EB"/>
      </right>
      <top style="medium">
        <color rgb="FF434343"/>
      </top>
      <bottom style="thin">
        <color rgb="FFFCF3EB"/>
      </bottom>
    </border>
    <border>
      <right style="thick">
        <color rgb="FF3E3A3A"/>
      </right>
      <top style="thin">
        <color rgb="FFFCF3EB"/>
      </top>
      <bottom style="thin">
        <color rgb="FFFCF3EB"/>
      </bottom>
    </border>
    <border>
      <left style="thick">
        <color rgb="FF434343"/>
      </left>
      <top style="thin">
        <color rgb="FFFCF3EB"/>
      </top>
      <bottom style="thick">
        <color rgb="FF434343"/>
      </bottom>
    </border>
    <border>
      <top style="thin">
        <color rgb="FFFCF3EB"/>
      </top>
      <bottom style="thick">
        <color rgb="FF434343"/>
      </bottom>
    </border>
    <border>
      <right style="thin">
        <color rgb="FFFCF3EB"/>
      </right>
      <top style="thin">
        <color rgb="FFFCF3EB"/>
      </top>
      <bottom style="thick">
        <color rgb="FF434343"/>
      </bottom>
    </border>
    <border>
      <right style="thick">
        <color rgb="FF434343"/>
      </right>
      <top style="thin">
        <color rgb="FFFCF3EB"/>
      </top>
      <bottom style="thick">
        <color rgb="FF434343"/>
      </bottom>
    </border>
    <border>
      <left style="thin">
        <color rgb="FFFCF3EB"/>
      </left>
      <right style="thin">
        <color rgb="FFFCF3EB"/>
      </right>
      <top style="thin">
        <color rgb="FFFFFFFF"/>
      </top>
    </border>
    <border>
      <left style="thick">
        <color rgb="FF3E3A3A"/>
      </left>
      <right style="thick">
        <color rgb="FF3E3A3A"/>
      </right>
      <top style="thick">
        <color rgb="FF3E3A3A"/>
      </top>
      <bottom style="thin">
        <color rgb="FFC83850"/>
      </bottom>
    </border>
    <border>
      <left style="thick">
        <color rgb="FF3E3A3A"/>
      </left>
      <right style="thick">
        <color rgb="FF3E3A3A"/>
      </right>
      <top style="thin">
        <color rgb="FFC83850"/>
      </top>
      <bottom style="thick">
        <color rgb="FF3E3A3A"/>
      </bottom>
    </border>
    <border>
      <left style="thick">
        <color rgb="FF3E3A3A"/>
      </left>
      <right style="thin">
        <color rgb="FFFCF3EB"/>
      </right>
      <top style="thin">
        <color rgb="FFFCF3EB"/>
      </top>
    </border>
    <border>
      <left style="thin">
        <color rgb="FFFCF3EB"/>
      </left>
      <right style="thick">
        <color rgb="FF3E3A3A"/>
      </right>
      <top style="thin">
        <color rgb="FFFCF3EB"/>
      </top>
    </border>
    <border>
      <left style="thick">
        <color rgb="FF3E3A3A"/>
      </left>
      <right style="thin">
        <color rgb="FFFCF3EB"/>
      </right>
      <top style="thin">
        <color rgb="FFFCF3EB"/>
      </top>
      <bottom style="thick">
        <color rgb="FF3E3A3A"/>
      </bottom>
    </border>
    <border>
      <left style="thin">
        <color rgb="FFFCF3EB"/>
      </left>
      <right style="thin">
        <color rgb="FFFCF3EB"/>
      </right>
      <top style="thin">
        <color rgb="FFFCF3EB"/>
      </top>
      <bottom style="thick">
        <color rgb="FF3E3A3A"/>
      </bottom>
    </border>
    <border>
      <left style="thin">
        <color rgb="FFFCF3EB"/>
      </left>
      <right style="thick">
        <color rgb="FF3E3A3A"/>
      </right>
      <top style="thin">
        <color rgb="FFFCF3EB"/>
      </top>
      <bottom style="thick">
        <color rgb="FF3E3A3A"/>
      </bottom>
    </border>
    <border>
      <left style="thick">
        <color rgb="FF3E3A3A"/>
      </left>
      <right style="thin">
        <color rgb="FFEBF4FC"/>
      </right>
      <top style="thin">
        <color rgb="FFEBF4FC"/>
      </top>
      <bottom style="thin">
        <color rgb="FFEBF4FC"/>
      </bottom>
    </border>
    <border>
      <left style="thin">
        <color rgb="FFEBF4FC"/>
      </left>
      <right style="thin">
        <color rgb="FFEBF4FC"/>
      </right>
      <top style="thin">
        <color rgb="FFEBF4FC"/>
      </top>
      <bottom style="thin">
        <color rgb="FFFFFFFF"/>
      </bottom>
    </border>
    <border>
      <left style="thin">
        <color rgb="FFEBF4FC"/>
      </left>
      <top style="thin">
        <color rgb="FFEBF4FC"/>
      </top>
    </border>
    <border>
      <left style="thin">
        <color rgb="FFFFFFFF"/>
      </left>
      <right style="thick">
        <color rgb="FF3E3A3A"/>
      </right>
      <top style="thin">
        <color rgb="FFEBF4FC"/>
      </top>
      <bottom style="thin">
        <color rgb="FFEBF4FC"/>
      </bottom>
    </border>
    <border>
      <left style="thick">
        <color rgb="FF434343"/>
      </left>
      <top style="thin">
        <color rgb="FFEBF4FC"/>
      </top>
      <bottom style="medium">
        <color rgb="FFEBF4FC"/>
      </bottom>
    </border>
    <border>
      <right style="thick">
        <color rgb="FF434343"/>
      </right>
      <top style="thin">
        <color rgb="FFEBF4FC"/>
      </top>
      <bottom style="medium">
        <color rgb="FFEBF4FC"/>
      </bottom>
    </border>
    <border>
      <left style="thick">
        <color rgb="FF434343"/>
      </left>
      <right style="medium">
        <color rgb="FFEBF4FC"/>
      </right>
      <top style="thin">
        <color rgb="FFEBF4FC"/>
      </top>
      <bottom style="medium">
        <color rgb="FFEBF4FC"/>
      </bottom>
    </border>
    <border>
      <left style="medium">
        <color rgb="FFEBF4FC"/>
      </left>
      <right style="thick">
        <color rgb="FF434343"/>
      </right>
      <top style="thin">
        <color rgb="FFEBF4FC"/>
      </top>
      <bottom style="medium">
        <color rgb="FFEBF4FC"/>
      </bottom>
    </border>
    <border>
      <left style="thick">
        <color rgb="FF434343"/>
      </left>
      <right style="medium">
        <color rgb="FFEBF4FC"/>
      </right>
      <top style="medium">
        <color rgb="FFEBF4FC"/>
      </top>
    </border>
    <border>
      <left style="medium">
        <color rgb="FFEBF4FC"/>
      </left>
      <right style="medium">
        <color rgb="FFEBF4FC"/>
      </right>
    </border>
    <border>
      <left style="medium">
        <color rgb="FFEBF4FC"/>
      </left>
      <right style="thick">
        <color rgb="FF434343"/>
      </right>
      <top style="medium">
        <color rgb="FFEBF4FC"/>
      </top>
    </border>
    <border>
      <left style="medium">
        <color rgb="FFEBF4FC"/>
      </left>
      <right style="medium">
        <color rgb="FFEBF4FC"/>
      </right>
      <top style="medium">
        <color rgb="FFEBF4FC"/>
      </top>
    </border>
    <border>
      <right style="thin">
        <color rgb="FFEBF4FC"/>
      </right>
      <top style="medium">
        <color rgb="FF434343"/>
      </top>
      <bottom style="thin">
        <color rgb="FFEBF4FC"/>
      </bottom>
    </border>
    <border>
      <right style="thick">
        <color rgb="FF3E3A3A"/>
      </right>
      <top style="thin">
        <color rgb="FFEBF4FC"/>
      </top>
      <bottom style="thin">
        <color rgb="FFEBF4FC"/>
      </bottom>
    </border>
    <border>
      <right style="thin">
        <color rgb="FFEBF4FC"/>
      </right>
      <top style="thin">
        <color rgb="FFEBF4FC"/>
      </top>
      <bottom style="thick">
        <color rgb="FF434343"/>
      </bottom>
    </border>
    <border>
      <right style="thick">
        <color rgb="FF434343"/>
      </right>
      <top style="thin">
        <color rgb="FFEBF4FC"/>
      </top>
      <bottom style="thick">
        <color rgb="FF434343"/>
      </bottom>
    </border>
    <border>
      <left style="thin">
        <color rgb="FFEBF4FC"/>
      </left>
      <right style="thin">
        <color rgb="FFEBF4FC"/>
      </right>
      <top style="thin">
        <color rgb="FFFFFFFF"/>
      </top>
    </border>
    <border>
      <left style="thin">
        <color rgb="FFEBF4FC"/>
      </left>
      <right style="thick">
        <color rgb="FF3E3A3A"/>
      </right>
      <top style="thin">
        <color rgb="FFEBF4FC"/>
      </top>
      <bottom style="thick">
        <color rgb="FF3E3A3A"/>
      </bottom>
    </border>
    <border>
      <left style="thin">
        <color rgb="FFFCFBEB"/>
      </left>
      <right style="thick">
        <color rgb="FF3E3A3A"/>
      </right>
      <bottom style="thin">
        <color rgb="FFFCFBEB"/>
      </bottom>
    </border>
    <border>
      <left style="thin">
        <color rgb="FFFCFBEB"/>
      </left>
      <right style="thin">
        <color rgb="FFFCFBEB"/>
      </right>
      <top style="thin">
        <color rgb="FFFCFBEB"/>
      </top>
      <bottom style="thin">
        <color rgb="FFFFFFFF"/>
      </bottom>
    </border>
    <border>
      <left style="thin">
        <color rgb="FFFCFBEB"/>
      </left>
      <top style="thin">
        <color rgb="FFFCFBEB"/>
      </top>
    </border>
    <border>
      <left style="thin">
        <color rgb="FFFFFFFF"/>
      </left>
      <right style="thick">
        <color rgb="FF3E3A3A"/>
      </right>
      <top style="thin">
        <color rgb="FFFCFBEB"/>
      </top>
      <bottom style="thin">
        <color rgb="FFFCFBEB"/>
      </bottom>
    </border>
    <border>
      <left style="thick">
        <color rgb="FF434343"/>
      </left>
      <right style="medium">
        <color rgb="FFFCFBEB"/>
      </right>
      <top style="thin">
        <color rgb="FFFCFBEB"/>
      </top>
      <bottom style="medium">
        <color rgb="FFFCFBEB"/>
      </bottom>
    </border>
    <border>
      <left style="medium">
        <color rgb="FFFCFBEB"/>
      </left>
      <right style="thick">
        <color rgb="FF434343"/>
      </right>
      <top style="thin">
        <color rgb="FFFCFBEB"/>
      </top>
      <bottom style="medium">
        <color rgb="FFFCFBEB"/>
      </bottom>
    </border>
    <border>
      <left style="thick">
        <color rgb="FF434343"/>
      </left>
      <top style="thin">
        <color rgb="FFFCFBEB"/>
      </top>
      <bottom style="medium">
        <color rgb="FFFCFBEB"/>
      </bottom>
    </border>
    <border>
      <right style="thick">
        <color rgb="FF434343"/>
      </right>
      <top style="thin">
        <color rgb="FFFCFBEB"/>
      </top>
      <bottom style="medium">
        <color rgb="FFFCFBEB"/>
      </bottom>
    </border>
    <border>
      <left style="thick">
        <color rgb="FF434343"/>
      </left>
      <right style="medium">
        <color rgb="FFFCFBEB"/>
      </right>
      <top style="medium">
        <color rgb="FFFCFBEB"/>
      </top>
    </border>
    <border>
      <left style="medium">
        <color rgb="FFFCFBEB"/>
      </left>
      <right style="medium">
        <color rgb="FFFCFBEB"/>
      </right>
      <top style="medium">
        <color rgb="FFFCFBEB"/>
      </top>
    </border>
    <border>
      <left style="medium">
        <color rgb="FFFCFBEB"/>
      </left>
      <right style="thick">
        <color rgb="FF434343"/>
      </right>
      <top style="medium">
        <color rgb="FFFCFBEB"/>
      </top>
    </border>
    <border>
      <left style="medium">
        <color rgb="FFFCFBEB"/>
      </left>
      <right style="medium">
        <color rgb="FFFCFBEB"/>
      </right>
    </border>
    <border>
      <right style="thin">
        <color rgb="FFFCFBEB"/>
      </right>
      <top style="medium">
        <color rgb="FF434343"/>
      </top>
      <bottom style="thin">
        <color rgb="FFFCFBEB"/>
      </bottom>
    </border>
    <border>
      <right style="thick">
        <color rgb="FF3E3A3A"/>
      </right>
      <top style="thin">
        <color rgb="FFFCFBEB"/>
      </top>
      <bottom style="thin">
        <color rgb="FFFCFBEB"/>
      </bottom>
    </border>
    <border>
      <right style="thin">
        <color rgb="FFFCFBEB"/>
      </right>
      <top style="thin">
        <color rgb="FFFCFBEB"/>
      </top>
      <bottom style="thick">
        <color rgb="FF434343"/>
      </bottom>
    </border>
    <border>
      <right style="thick">
        <color rgb="FF434343"/>
      </right>
      <top style="thin">
        <color rgb="FFFCFBEB"/>
      </top>
      <bottom style="thick">
        <color rgb="FF434343"/>
      </bottom>
    </border>
    <border>
      <left style="thin">
        <color rgb="FFEBFCEB"/>
      </left>
      <right style="thin">
        <color rgb="FFEBFCEB"/>
      </right>
      <top style="thin">
        <color rgb="FFEBFCEB"/>
      </top>
      <bottom style="thin">
        <color rgb="FFFFFFFF"/>
      </bottom>
    </border>
    <border>
      <left style="thin">
        <color rgb="FFEBFCEB"/>
      </left>
      <top style="thin">
        <color rgb="FFEBFCEB"/>
      </top>
    </border>
    <border>
      <left style="thin">
        <color rgb="FFFFFFFF"/>
      </left>
      <right style="thick">
        <color rgb="FF3E3A3A"/>
      </right>
      <top style="thin">
        <color rgb="FFEBFCEB"/>
      </top>
      <bottom style="thin">
        <color rgb="FFEBFCEB"/>
      </bottom>
    </border>
    <border>
      <left style="thin">
        <color rgb="FFEBFCEB"/>
      </left>
      <top style="thin">
        <color rgb="FFFFFFFF"/>
      </top>
      <bottom style="thin">
        <color rgb="FFEBFCEB"/>
      </bottom>
    </border>
    <border>
      <left style="thick">
        <color rgb="FF434343"/>
      </left>
      <right style="medium">
        <color rgb="FFEBFCEB"/>
      </right>
      <top style="thin">
        <color rgb="FFEBFCEB"/>
      </top>
      <bottom style="medium">
        <color rgb="FFEBFCEB"/>
      </bottom>
    </border>
    <border>
      <left style="medium">
        <color rgb="FFEBFCEB"/>
      </left>
      <right style="thick">
        <color rgb="FF434343"/>
      </right>
      <top style="thin">
        <color rgb="FFEBFCEB"/>
      </top>
      <bottom style="medium">
        <color rgb="FFEBFCEB"/>
      </bottom>
    </border>
    <border>
      <left style="thick">
        <color rgb="FF434343"/>
      </left>
      <right style="medium">
        <color rgb="FFEBFCEB"/>
      </right>
      <top style="medium">
        <color rgb="FFEBFCEB"/>
      </top>
    </border>
    <border>
      <left style="medium">
        <color rgb="FFEBFCEB"/>
      </left>
      <right style="medium">
        <color rgb="FFEBFCEB"/>
      </right>
      <top style="medium">
        <color rgb="FFEBFCEB"/>
      </top>
    </border>
    <border>
      <left style="medium">
        <color rgb="FFEBFCEB"/>
      </left>
      <right style="thick">
        <color rgb="FF434343"/>
      </right>
      <top style="medium">
        <color rgb="FFEBFCEB"/>
      </top>
    </border>
    <border>
      <right style="thin">
        <color rgb="FFEBFCEB"/>
      </right>
      <top style="medium">
        <color rgb="FF434343"/>
      </top>
      <bottom style="thin">
        <color rgb="FFEBFCEB"/>
      </bottom>
    </border>
    <border>
      <right style="thick">
        <color rgb="FF3E3A3A"/>
      </right>
      <top style="thin">
        <color rgb="FFEBFCEB"/>
      </top>
      <bottom style="thin">
        <color rgb="FFEBFCEB"/>
      </bottom>
    </border>
    <border>
      <right style="thin">
        <color rgb="FFEBFCEB"/>
      </right>
      <top style="thin">
        <color rgb="FFEBFCEB"/>
      </top>
      <bottom style="thick">
        <color rgb="FF434343"/>
      </bottom>
    </border>
    <border>
      <right style="thick">
        <color rgb="FF434343"/>
      </right>
      <top style="thin">
        <color rgb="FFEBFCEB"/>
      </top>
      <bottom style="thick">
        <color rgb="FF434343"/>
      </bottom>
    </border>
    <border>
      <left style="thin">
        <color rgb="FFEBFCEB"/>
      </left>
      <right style="thin">
        <color rgb="FFEBFCEB"/>
      </right>
      <top style="thin">
        <color rgb="FFFFFFFF"/>
      </top>
      <bottom style="thick">
        <color rgb="FF3E3A3A"/>
      </bottom>
    </border>
    <border>
      <left style="thin">
        <color rgb="FFDA4900"/>
      </left>
      <right style="thin">
        <color rgb="FFDA4900"/>
      </right>
      <top style="thin">
        <color rgb="FFDA4900"/>
      </top>
      <bottom style="thin">
        <color rgb="FFDA4900"/>
      </bottom>
    </border>
    <border>
      <left style="thin">
        <color rgb="FFDA4900"/>
      </left>
      <right style="thin">
        <color rgb="FFDA4900"/>
      </right>
      <top style="thin">
        <color rgb="FFDA4900"/>
      </top>
    </border>
    <border>
      <left style="thin">
        <color rgb="FFDA4900"/>
      </left>
      <top style="thin">
        <color rgb="FFDA4900"/>
      </top>
      <bottom style="thin">
        <color rgb="FFDA4900"/>
      </bottom>
    </border>
    <border>
      <left style="thick">
        <color rgb="FF3E3A3A"/>
      </left>
      <right style="thin">
        <color rgb="FFEBFCFC"/>
      </right>
      <top style="thick">
        <color rgb="FF3E3A3A"/>
      </top>
      <bottom style="thin">
        <color rgb="FFEBFCFC"/>
      </bottom>
    </border>
    <border>
      <left style="thin">
        <color rgb="FFEBFCFC"/>
      </left>
      <right style="thin">
        <color rgb="FFEBFCFC"/>
      </right>
      <top style="thick">
        <color rgb="FF3E3A3A"/>
      </top>
      <bottom style="thin">
        <color rgb="FFFFFFFF"/>
      </bottom>
    </border>
    <border>
      <left style="thin">
        <color rgb="FFEBFCFC"/>
      </left>
      <right style="thin">
        <color rgb="FFEBFCFC"/>
      </right>
      <top style="thick">
        <color rgb="FF3E3A3A"/>
      </top>
      <bottom style="thin">
        <color rgb="FFEBFCFC"/>
      </bottom>
    </border>
    <border>
      <left style="thin">
        <color rgb="FFEBFCFC"/>
      </left>
      <right style="thick">
        <color rgb="FF3E3A3A"/>
      </right>
      <top style="thick">
        <color rgb="FF3E3A3A"/>
      </top>
      <bottom style="thin">
        <color rgb="FFEBFCFC"/>
      </bottom>
    </border>
    <border>
      <right style="thin">
        <color rgb="FFDA4900"/>
      </right>
      <top style="thin">
        <color rgb="FFDA4900"/>
      </top>
      <bottom style="thin">
        <color rgb="FFDA4900"/>
      </bottom>
    </border>
    <border>
      <left style="thick">
        <color rgb="FF3E3A3A"/>
      </left>
      <top style="thin">
        <color rgb="FFEBFCFC"/>
      </top>
      <bottom style="thin">
        <color rgb="FFEBFCFC"/>
      </bottom>
    </border>
    <border>
      <top style="thin">
        <color rgb="FFEBFCFC"/>
      </top>
      <bottom style="thin">
        <color rgb="FFEBFCFC"/>
      </bottom>
    </border>
    <border>
      <right style="thin">
        <color rgb="FFEBFCFC"/>
      </right>
      <top style="thin">
        <color rgb="FFEBFCFC"/>
      </top>
    </border>
    <border>
      <left style="thin">
        <color rgb="FFEBFCFC"/>
      </left>
      <top style="thin">
        <color rgb="FFEBFCFC"/>
      </top>
      <bottom style="thin">
        <color rgb="FFEBFCFC"/>
      </bottom>
    </border>
    <border>
      <right style="thin">
        <color rgb="FFEBFCFC"/>
      </right>
      <top style="thin">
        <color rgb="FFEBFCFC"/>
      </top>
      <bottom style="thin">
        <color rgb="FFEBFCFC"/>
      </bottom>
    </border>
    <border>
      <left style="thin">
        <color rgb="FFEBFCFC"/>
      </left>
      <right style="thin">
        <color rgb="FFEBFCFC"/>
      </right>
      <top style="thin">
        <color rgb="FFEBFCFC"/>
      </top>
    </border>
    <border>
      <left style="thin">
        <color rgb="FFEBFCFC"/>
      </left>
      <right style="thick">
        <color rgb="FF3E3A3A"/>
      </right>
      <top style="thin">
        <color rgb="FFEBFCFC"/>
      </top>
      <bottom style="thin">
        <color rgb="FFEBFCFC"/>
      </bottom>
    </border>
    <border>
      <left style="thick">
        <color rgb="FF434343"/>
      </left>
      <right style="thick">
        <color rgb="FF3E3A3A"/>
      </right>
      <top style="medium">
        <color rgb="FF434343"/>
      </top>
    </border>
    <border>
      <left style="thick">
        <color rgb="FF434343"/>
      </left>
      <bottom style="thin">
        <color rgb="FFEBFCFC"/>
      </bottom>
    </border>
    <border>
      <bottom style="thin">
        <color rgb="FFEBFCFC"/>
      </bottom>
    </border>
    <border>
      <right style="thick">
        <color rgb="FF434343"/>
      </right>
      <bottom style="thin">
        <color rgb="FFEBFCFC"/>
      </bottom>
    </border>
    <border>
      <right style="thin">
        <color rgb="FFEBFCFC"/>
      </right>
    </border>
    <border>
      <left style="thin">
        <color rgb="FFEBFCFC"/>
      </left>
      <right style="thin">
        <color rgb="FFEBFCFC"/>
      </right>
    </border>
    <border>
      <left style="thick">
        <color rgb="FF434343"/>
      </left>
      <right style="thick">
        <color rgb="FF3E3A3A"/>
      </right>
    </border>
    <border>
      <left style="thick">
        <color rgb="FF434343"/>
      </left>
      <top style="thin">
        <color rgb="FFEBFCFC"/>
      </top>
      <bottom style="thin">
        <color rgb="FFEBFCFC"/>
      </bottom>
    </border>
    <border>
      <right style="thick">
        <color rgb="FF434343"/>
      </right>
      <top style="thin">
        <color rgb="FFEBFCFC"/>
      </top>
      <bottom style="thin">
        <color rgb="FFEBFCFC"/>
      </bottom>
    </border>
    <border>
      <left style="thick">
        <color rgb="FF3E3A3A"/>
      </left>
      <right style="thin">
        <color rgb="FFEBFCFC"/>
      </right>
      <top style="thin">
        <color rgb="FFEBFCFC"/>
      </top>
      <bottom style="thin">
        <color rgb="FFEBFCFC"/>
      </bottom>
    </border>
    <border>
      <left style="thick">
        <color rgb="FF434343"/>
      </left>
      <right style="thick">
        <color rgb="FF3E3A3A"/>
      </right>
      <bottom style="thick">
        <color rgb="FF3E3A3A"/>
      </bottom>
    </border>
    <border>
      <left style="thick">
        <color rgb="FF434343"/>
      </left>
      <right style="thin">
        <color rgb="FFEBFCFC"/>
      </right>
      <top style="thin">
        <color rgb="FFEBFCFC"/>
      </top>
      <bottom style="thin">
        <color rgb="FFEBFCFC"/>
      </bottom>
    </border>
    <border>
      <left style="thin">
        <color rgb="FFEBFCFC"/>
      </left>
      <right style="thin">
        <color rgb="FFEBFCFC"/>
      </right>
      <top style="thin">
        <color rgb="FFEBFCFC"/>
      </top>
      <bottom style="thin">
        <color rgb="FFEBFCFC"/>
      </bottom>
    </border>
    <border>
      <left style="thin">
        <color rgb="FFEBFCFC"/>
      </left>
      <right style="thick">
        <color rgb="FF434343"/>
      </right>
      <top style="thin">
        <color rgb="FFEBFCFC"/>
      </top>
      <bottom style="thin">
        <color rgb="FFEBFCFC"/>
      </bottom>
    </border>
    <border>
      <left style="thick">
        <color rgb="FF434343"/>
      </left>
      <right style="medium">
        <color rgb="FFEBFCFC"/>
      </right>
      <top style="thin">
        <color rgb="FFEBFCFC"/>
      </top>
      <bottom style="medium">
        <color rgb="FFEBFCFC"/>
      </bottom>
    </border>
    <border>
      <left style="medium">
        <color rgb="FFEBFCFC"/>
      </left>
      <right style="thick">
        <color rgb="FF434343"/>
      </right>
      <top style="thin">
        <color rgb="FFEBFCFC"/>
      </top>
      <bottom style="medium">
        <color rgb="FFEBFCFC"/>
      </bottom>
    </border>
    <border>
      <left style="thick">
        <color rgb="FF434343"/>
      </left>
      <top style="thin">
        <color rgb="FFEBFCFC"/>
      </top>
      <bottom style="medium">
        <color rgb="FFEBFCFC"/>
      </bottom>
    </border>
    <border>
      <right style="thick">
        <color rgb="FF434343"/>
      </right>
      <top style="thin">
        <color rgb="FFEBFCFC"/>
      </top>
      <bottom style="medium">
        <color rgb="FFEBFCFC"/>
      </bottom>
    </border>
    <border>
      <left style="thin">
        <color rgb="FFEBFCFC"/>
      </left>
      <right style="thin">
        <color rgb="FFEBFCFC"/>
      </right>
      <bottom style="thin">
        <color rgb="FFEBFCFC"/>
      </bottom>
    </border>
    <border>
      <left style="thick">
        <color rgb="FF434343"/>
      </left>
      <right style="medium">
        <color rgb="FFEBFCFC"/>
      </right>
    </border>
    <border>
      <left style="medium">
        <color rgb="FFEBFCFC"/>
      </left>
      <right style="medium">
        <color rgb="FFEBFCFC"/>
      </right>
    </border>
    <border>
      <left style="medium">
        <color rgb="FFEBFCFC"/>
      </left>
      <right style="thick">
        <color rgb="FF434343"/>
      </right>
    </border>
    <border>
      <left style="thick">
        <color rgb="FF434343"/>
      </left>
      <right style="medium">
        <color rgb="FFEBFCFC"/>
      </right>
      <top style="medium">
        <color rgb="FFEBFCFC"/>
      </top>
    </border>
    <border>
      <left style="medium">
        <color rgb="FFEBFCFC"/>
      </left>
      <right style="medium">
        <color rgb="FFEBFCFC"/>
      </right>
      <top style="medium">
        <color rgb="FFEBFCFC"/>
      </top>
    </border>
    <border>
      <left style="medium">
        <color rgb="FFEBFCFC"/>
      </left>
      <right style="thick">
        <color rgb="FF434343"/>
      </right>
      <top style="medium">
        <color rgb="FFEBFCFC"/>
      </top>
    </border>
    <border>
      <left style="thick">
        <color rgb="FF434343"/>
      </left>
      <top style="medium">
        <color rgb="FF434343"/>
      </top>
      <bottom style="thin">
        <color rgb="FFEBFCFC"/>
      </bottom>
    </border>
    <border>
      <top style="medium">
        <color rgb="FF434343"/>
      </top>
      <bottom style="thin">
        <color rgb="FFEBFCFC"/>
      </bottom>
    </border>
    <border>
      <right style="thick">
        <color rgb="FF434343"/>
      </right>
      <top style="medium">
        <color rgb="FF434343"/>
      </top>
      <bottom style="thin">
        <color rgb="FFEBFCFC"/>
      </bottom>
    </border>
    <border>
      <left style="thick">
        <color rgb="FF434343"/>
      </left>
      <top style="thin">
        <color rgb="FFEBFCFC"/>
      </top>
    </border>
    <border>
      <top style="thin">
        <color rgb="FFEBFCFC"/>
      </top>
    </border>
    <border>
      <left style="thin">
        <color rgb="FFEBFCFC"/>
      </left>
      <right style="thick">
        <color rgb="FF434343"/>
      </right>
      <top style="thin">
        <color rgb="FFEBFCFC"/>
      </top>
    </border>
    <border>
      <left style="thin">
        <color rgb="FFEBFCFC"/>
      </left>
      <right style="thick">
        <color rgb="FF434343"/>
      </right>
      <top style="medium">
        <color rgb="FF434343"/>
      </top>
      <bottom style="thin">
        <color rgb="FFEBFCFC"/>
      </bottom>
    </border>
    <border>
      <left style="thick">
        <color rgb="FF434343"/>
      </left>
      <top style="thin">
        <color rgb="FFEBFCFC"/>
      </top>
      <bottom style="thick">
        <color rgb="FF434343"/>
      </bottom>
    </border>
    <border>
      <top style="thin">
        <color rgb="FFEBFCFC"/>
      </top>
      <bottom style="thick">
        <color rgb="FF434343"/>
      </bottom>
    </border>
    <border>
      <left style="thin">
        <color rgb="FFEBFCFC"/>
      </left>
      <right style="thick">
        <color rgb="FF434343"/>
      </right>
      <top style="thin">
        <color rgb="FFEBFCFC"/>
      </top>
      <bottom style="thick">
        <color rgb="FF434343"/>
      </bottom>
    </border>
    <border>
      <right style="thin">
        <color rgb="FFEBFCFC"/>
      </right>
      <bottom style="thin">
        <color rgb="FFEBFCFC"/>
      </bottom>
    </border>
    <border>
      <left style="thick">
        <color rgb="FF3E3A3A"/>
      </left>
      <right style="thin">
        <color rgb="FF6F8B85"/>
      </right>
      <bottom style="thin">
        <color rgb="FF6F8B85"/>
      </bottom>
    </border>
    <border>
      <left style="thin">
        <color rgb="FF6F8B85"/>
      </left>
      <right style="thin">
        <color rgb="FF6F8B85"/>
      </right>
      <bottom style="thin">
        <color rgb="FF6F8B85"/>
      </bottom>
    </border>
    <border>
      <left style="thin">
        <color rgb="FF6F8B85"/>
      </left>
      <top style="thin">
        <color rgb="FF3E3A3A"/>
      </top>
      <bottom style="thin">
        <color rgb="FF6F8B85"/>
      </bottom>
    </border>
    <border>
      <left style="medium">
        <color rgb="FF3E3A3A"/>
      </left>
      <right style="thick">
        <color rgb="FF3E3A3A"/>
      </right>
      <bottom style="thin">
        <color rgb="FF6F8B85"/>
      </bottom>
    </border>
    <border>
      <left style="thick">
        <color rgb="FF3E3A3A"/>
      </left>
      <right style="thin">
        <color rgb="FF6F8B85"/>
      </right>
      <top style="thin">
        <color rgb="FF6F8B85"/>
      </top>
      <bottom style="thin">
        <color rgb="FF6F8B85"/>
      </bottom>
    </border>
    <border>
      <left style="thin">
        <color rgb="FF6F8B85"/>
      </left>
      <right style="thin">
        <color rgb="FF6F8B85"/>
      </right>
      <top style="thin">
        <color rgb="FF6F8B85"/>
      </top>
      <bottom style="thin">
        <color rgb="FF6F8B85"/>
      </bottom>
    </border>
    <border>
      <left style="thin">
        <color rgb="FF6F8B85"/>
      </left>
      <top style="thin">
        <color rgb="FF6F8B85"/>
      </top>
      <bottom style="thin">
        <color rgb="FF6F8B85"/>
      </bottom>
    </border>
    <border>
      <left style="medium">
        <color rgb="FF3E3A3A"/>
      </left>
      <right style="thick">
        <color rgb="FF3E3A3A"/>
      </right>
      <top style="thin">
        <color rgb="FF6F8B85"/>
      </top>
      <bottom style="thin">
        <color rgb="FF6F8B85"/>
      </bottom>
    </border>
    <border>
      <left style="thick">
        <color rgb="FF3E3A3A"/>
      </left>
      <right style="thin">
        <color rgb="FF6F8B85"/>
      </right>
      <top style="thin">
        <color rgb="FF6F8B85"/>
      </top>
    </border>
    <border>
      <left style="thin">
        <color rgb="FF6F8B85"/>
      </left>
      <right style="thin">
        <color rgb="FF6F8B85"/>
      </right>
      <top style="thin">
        <color rgb="FF6F8B85"/>
      </top>
    </border>
    <border>
      <left style="thin">
        <color rgb="FF6F8B85"/>
      </left>
      <top style="thin">
        <color rgb="FF6F8B85"/>
      </top>
    </border>
    <border>
      <left style="medium">
        <color rgb="FF3E3A3A"/>
      </left>
      <right style="thick">
        <color rgb="FF3E3A3A"/>
      </right>
      <top style="thin">
        <color rgb="FF6F8B85"/>
      </top>
      <bottom style="medium">
        <color rgb="FF3E3A3A"/>
      </bottom>
    </border>
    <border>
      <left style="thick">
        <color rgb="FF3E3A3A"/>
      </left>
      <right style="thin">
        <color rgb="FFEBFCFC"/>
      </right>
      <top style="thin">
        <color rgb="FFEBFCFC"/>
      </top>
    </border>
    <border>
      <left style="thin">
        <color rgb="FFEBFCFC"/>
      </left>
      <top style="thin">
        <color rgb="FFEBFCFC"/>
      </top>
    </border>
    <border>
      <left style="thick">
        <color rgb="FF3E3A3A"/>
      </left>
      <right style="thin">
        <color rgb="FFEBFCFC"/>
      </right>
      <top style="thin">
        <color rgb="FFEBFCFC"/>
      </top>
      <bottom style="thick">
        <color rgb="FF3E3A3A"/>
      </bottom>
    </border>
    <border>
      <left style="thin">
        <color rgb="FFEBFCFC"/>
      </left>
      <right style="thin">
        <color rgb="FFEBFCFC"/>
      </right>
      <top style="thin">
        <color rgb="FFEBFCFC"/>
      </top>
      <bottom style="thick">
        <color rgb="FF3E3A3A"/>
      </bottom>
    </border>
    <border>
      <left style="thin">
        <color rgb="FFEBFCFC"/>
      </left>
      <right style="thin">
        <color rgb="FFEBFCFC"/>
      </right>
      <bottom style="thick">
        <color rgb="FF3E3A3A"/>
      </bottom>
    </border>
    <border>
      <left style="thin">
        <color rgb="FFEBFCFC"/>
      </left>
      <right style="thick">
        <color rgb="FF3E3A3A"/>
      </right>
      <bottom style="thick">
        <color rgb="FF3E3A3A"/>
      </bottom>
    </border>
    <border>
      <left style="thick">
        <color rgb="FF3E3A3A"/>
      </left>
      <right style="thin">
        <color rgb="FFF8FCEB"/>
      </right>
      <bottom style="thin">
        <color rgb="FFF8FCEB"/>
      </bottom>
    </border>
    <border>
      <left style="thin">
        <color rgb="FFF8FCEB"/>
      </left>
      <bottom style="thin">
        <color rgb="FFF8FCEB"/>
      </bottom>
    </border>
    <border>
      <bottom style="thin">
        <color rgb="FFF8FCEB"/>
      </bottom>
    </border>
    <border>
      <right style="thin">
        <color rgb="FFF8FCEB"/>
      </right>
      <bottom style="thin">
        <color rgb="FFF8FCEB"/>
      </bottom>
    </border>
    <border>
      <left style="thin">
        <color rgb="FFF8FCEB"/>
      </left>
      <right style="thick">
        <color rgb="FF3E3A3A"/>
      </right>
      <bottom style="thin">
        <color rgb="FFF8FCEB"/>
      </bottom>
    </border>
    <border>
      <left style="thick">
        <color rgb="FF3E3A3A"/>
      </left>
      <right style="thin">
        <color rgb="FFF8FCEB"/>
      </right>
      <top style="thin">
        <color rgb="FFF8FCEB"/>
      </top>
      <bottom style="thin">
        <color rgb="FFF8FCEB"/>
      </bottom>
    </border>
    <border>
      <left style="thin">
        <color rgb="FFF8FCEB"/>
      </left>
      <right style="thin">
        <color rgb="FFF8FCEB"/>
      </right>
      <top style="thin">
        <color rgb="FFF8FCEB"/>
      </top>
      <bottom style="thin">
        <color rgb="FFF8FCEB"/>
      </bottom>
    </border>
    <border>
      <left style="thin">
        <color rgb="FFF8FCEB"/>
      </left>
      <top style="thin">
        <color rgb="FFF8FCEB"/>
      </top>
      <bottom style="thin">
        <color rgb="FFF8FCEB"/>
      </bottom>
    </border>
    <border>
      <left style="thick">
        <color rgb="FF3E3A3A"/>
      </left>
      <top style="thick">
        <color rgb="FF3E3A3A"/>
      </top>
      <bottom style="thick">
        <color rgb="FF3E3A3A"/>
      </bottom>
    </border>
    <border>
      <top style="thick">
        <color rgb="FF3E3A3A"/>
      </top>
      <bottom style="thick">
        <color rgb="FF3E3A3A"/>
      </bottom>
    </border>
    <border>
      <right style="thick">
        <color rgb="FF3E3A3A"/>
      </right>
      <top style="thick">
        <color rgb="FF3E3A3A"/>
      </top>
      <bottom style="thick">
        <color rgb="FF3E3A3A"/>
      </bottom>
    </border>
    <border>
      <top style="thin">
        <color rgb="FFF8FCEB"/>
      </top>
      <bottom style="thin">
        <color rgb="FFF8FCEB"/>
      </bottom>
    </border>
    <border>
      <right style="thin">
        <color rgb="FFF8FCEB"/>
      </right>
      <top style="thin">
        <color rgb="FFF8FCEB"/>
      </top>
      <bottom style="thin">
        <color rgb="FFF8FCEB"/>
      </bottom>
    </border>
    <border>
      <left style="thin">
        <color rgb="FFF8FCEB"/>
      </left>
      <right style="thick">
        <color rgb="FF3E3A3A"/>
      </right>
      <top style="thin">
        <color rgb="FFF8FCEB"/>
      </top>
      <bottom style="thin">
        <color rgb="FFF8FCEB"/>
      </bottom>
    </border>
    <border>
      <left style="thin">
        <color rgb="FFF8FCEB"/>
      </left>
      <right style="thin">
        <color rgb="FFF8FCEB"/>
      </right>
      <bottom style="thin">
        <color rgb="FFF8FCEB"/>
      </bottom>
    </border>
    <border>
      <left style="thin">
        <color rgb="FFF8FCEB"/>
      </left>
      <right style="thin">
        <color rgb="FFF8FCEB"/>
      </right>
      <top style="thin">
        <color rgb="FFF8FCEB"/>
      </top>
      <bottom style="thin">
        <color rgb="FFEFEAE9"/>
      </bottom>
    </border>
    <border>
      <left style="thin">
        <color rgb="FFF8FCEB"/>
      </left>
      <top style="thin">
        <color rgb="FFF8FCEB"/>
      </top>
      <bottom style="thin">
        <color rgb="FFEFEAE9"/>
      </bottom>
    </border>
    <border>
      <top style="thin">
        <color rgb="FFF8FCEB"/>
      </top>
      <bottom style="thin">
        <color rgb="FFEFEAE9"/>
      </bottom>
    </border>
    <border>
      <right style="thin">
        <color rgb="FFF8FCEB"/>
      </right>
      <top style="thin">
        <color rgb="FFF8FCEB"/>
      </top>
      <bottom style="thin">
        <color rgb="FFEFEAE9"/>
      </bottom>
    </border>
    <border>
      <left style="thick">
        <color rgb="FF3E3A3A"/>
      </left>
      <right style="thin">
        <color rgb="FFEFEAE9"/>
      </right>
      <top style="thin">
        <color rgb="FFF8FCEB"/>
      </top>
      <bottom style="thin">
        <color rgb="FFF8FCEB"/>
      </bottom>
    </border>
    <border>
      <left style="thin">
        <color rgb="FFEFEAE9"/>
      </left>
      <top style="thin">
        <color rgb="FFF8FCEB"/>
      </top>
      <bottom style="thin">
        <color rgb="FFF8FCEB"/>
      </bottom>
    </border>
    <border>
      <right style="thin">
        <color rgb="FFEFEAE9"/>
      </right>
      <top style="thin">
        <color rgb="FFF8FCEB"/>
      </top>
    </border>
    <border>
      <left style="thin">
        <color rgb="FFEFEAE9"/>
      </left>
      <right style="thin">
        <color rgb="FFEFEAE9"/>
      </right>
      <top style="thin">
        <color rgb="FFF8FCEB"/>
      </top>
    </border>
    <border>
      <left style="thin">
        <color rgb="FFEFEAE9"/>
      </left>
      <right style="thin">
        <color rgb="FFF8FCEB"/>
      </right>
      <top style="thin">
        <color rgb="FFF8FCEB"/>
      </top>
    </border>
    <border>
      <left style="thin">
        <color rgb="FFF8FCEB"/>
      </left>
      <right style="thin">
        <color rgb="FFF8FCEB"/>
      </right>
      <top style="thin">
        <color rgb="FFF8FCEB"/>
      </top>
    </border>
    <border>
      <left style="thick">
        <color rgb="FF434343"/>
      </left>
      <bottom style="thin">
        <color rgb="FFF8FCEB"/>
      </bottom>
    </border>
    <border>
      <right style="thick">
        <color rgb="FF434343"/>
      </right>
      <bottom style="thin">
        <color rgb="FFF8FCEB"/>
      </bottom>
    </border>
    <border>
      <right style="thin">
        <color rgb="FFEFEAE9"/>
      </right>
    </border>
    <border>
      <left style="thin">
        <color rgb="FFEFEAE9"/>
      </left>
      <right style="thin">
        <color rgb="FFEFEAE9"/>
      </right>
    </border>
    <border>
      <left style="thin">
        <color rgb="FFEFEAE9"/>
      </left>
      <right style="thin">
        <color rgb="FFF8FCEB"/>
      </right>
    </border>
    <border>
      <left style="thin">
        <color rgb="FFF8FCEB"/>
      </left>
      <right style="thin">
        <color rgb="FFF8FCEB"/>
      </right>
    </border>
    <border>
      <left style="thick">
        <color rgb="FF434343"/>
      </left>
      <top style="thin">
        <color rgb="FFF8FCEB"/>
      </top>
      <bottom style="thin">
        <color rgb="FFF8FCEB"/>
      </bottom>
    </border>
    <border>
      <right style="thick">
        <color rgb="FF434343"/>
      </right>
      <top style="thin">
        <color rgb="FFF8FCEB"/>
      </top>
      <bottom style="thin">
        <color rgb="FFF8FCEB"/>
      </bottom>
    </border>
    <border>
      <right style="thin">
        <color rgb="FFEFEAE9"/>
      </right>
      <top style="thin">
        <color rgb="FFF8FCEB"/>
      </top>
      <bottom style="thin">
        <color rgb="FFF8FCEB"/>
      </bottom>
    </border>
    <border>
      <left style="thick">
        <color rgb="FF434343"/>
      </left>
      <right style="thin">
        <color rgb="FFF8FCEB"/>
      </right>
      <top style="thin">
        <color rgb="FFF8FCEB"/>
      </top>
      <bottom style="thin">
        <color rgb="FFF8FCEB"/>
      </bottom>
    </border>
    <border>
      <left style="thin">
        <color rgb="FFF8FCEB"/>
      </left>
      <right style="thick">
        <color rgb="FF434343"/>
      </right>
      <top style="thin">
        <color rgb="FFF8FCEB"/>
      </top>
      <bottom style="thin">
        <color rgb="FFF8FCEB"/>
      </bottom>
    </border>
    <border>
      <left style="thick">
        <color rgb="FF434343"/>
      </left>
      <right style="medium">
        <color rgb="FFF8FCEB"/>
      </right>
      <top style="thin">
        <color rgb="FFF8FCEB"/>
      </top>
      <bottom style="medium">
        <color rgb="FFF8FCEB"/>
      </bottom>
    </border>
    <border>
      <left style="medium">
        <color rgb="FFF8FCEB"/>
      </left>
      <right style="thick">
        <color rgb="FF434343"/>
      </right>
      <top style="thin">
        <color rgb="FFF8FCEB"/>
      </top>
      <bottom style="medium">
        <color rgb="FFF8FCEB"/>
      </bottom>
    </border>
    <border>
      <left style="thin">
        <color rgb="FFF8FCEB"/>
      </left>
      <right style="thin">
        <color rgb="FFEFEAE9"/>
      </right>
      <top style="thin">
        <color rgb="FFF8FCEB"/>
      </top>
      <bottom style="thin">
        <color rgb="FFF8FCEB"/>
      </bottom>
    </border>
    <border>
      <left style="thick">
        <color rgb="FF434343"/>
      </left>
      <right style="medium">
        <color rgb="FFF8FCEB"/>
      </right>
    </border>
    <border>
      <left style="medium">
        <color rgb="FFF8FCEB"/>
      </left>
      <right style="medium">
        <color rgb="FFF8FCEB"/>
      </right>
    </border>
    <border>
      <left style="medium">
        <color rgb="FFF8FCEB"/>
      </left>
      <right style="thick">
        <color rgb="FF434343"/>
      </right>
    </border>
    <border>
      <left style="thick">
        <color rgb="FF434343"/>
      </left>
      <right style="medium">
        <color rgb="FFF8FCEB"/>
      </right>
      <top style="medium">
        <color rgb="FFF8FCEB"/>
      </top>
    </border>
    <border>
      <left style="medium">
        <color rgb="FFF8FCEB"/>
      </left>
      <right style="medium">
        <color rgb="FFF8FCEB"/>
      </right>
      <top style="medium">
        <color rgb="FFF8FCEB"/>
      </top>
    </border>
    <border>
      <left style="medium">
        <color rgb="FFF8FCEB"/>
      </left>
      <right style="thick">
        <color rgb="FF434343"/>
      </right>
      <top style="medium">
        <color rgb="FFF8FCEB"/>
      </top>
    </border>
    <border>
      <left style="thick">
        <color rgb="FF434343"/>
      </left>
      <top style="medium">
        <color rgb="FF434343"/>
      </top>
      <bottom style="thin">
        <color rgb="FFF8FCEB"/>
      </bottom>
    </border>
    <border>
      <top style="medium">
        <color rgb="FF434343"/>
      </top>
      <bottom style="thin">
        <color rgb="FFF8FCEB"/>
      </bottom>
    </border>
    <border>
      <right style="thick">
        <color rgb="FF434343"/>
      </right>
      <top style="medium">
        <color rgb="FF434343"/>
      </top>
      <bottom style="thin">
        <color rgb="FFF8FCEB"/>
      </bottom>
    </border>
    <border>
      <left style="thick">
        <color rgb="FF434343"/>
      </left>
      <top style="thin">
        <color rgb="FFF8FCEB"/>
      </top>
    </border>
    <border>
      <top style="thin">
        <color rgb="FFF8FCEB"/>
      </top>
    </border>
    <border>
      <right style="thin">
        <color rgb="FFF8FCEB"/>
      </right>
      <top style="thin">
        <color rgb="FFF8FCEB"/>
      </top>
    </border>
    <border>
      <left style="thin">
        <color rgb="FFF8FCEB"/>
      </left>
      <right style="thick">
        <color rgb="FF434343"/>
      </right>
      <top style="thin">
        <color rgb="FFF8FCEB"/>
      </top>
    </border>
    <border>
      <left style="thin">
        <color rgb="FFF8FCEB"/>
      </left>
      <right style="thick">
        <color rgb="FF434343"/>
      </right>
      <top style="medium">
        <color rgb="FF434343"/>
      </top>
      <bottom style="thin">
        <color rgb="FFF8FCEB"/>
      </bottom>
    </border>
    <border>
      <left style="thick">
        <color rgb="FF434343"/>
      </left>
      <top style="thin">
        <color rgb="FFF8FCEB"/>
      </top>
      <bottom style="thick">
        <color rgb="FF434343"/>
      </bottom>
    </border>
    <border>
      <top style="thin">
        <color rgb="FFF8FCEB"/>
      </top>
      <bottom style="thick">
        <color rgb="FF434343"/>
      </bottom>
    </border>
    <border>
      <left style="thin">
        <color rgb="FFF8FCEB"/>
      </left>
      <right style="thick">
        <color rgb="FF434343"/>
      </right>
      <top style="thin">
        <color rgb="FFF8FCEB"/>
      </top>
      <bottom style="thick">
        <color rgb="FF434343"/>
      </bottom>
    </border>
    <border>
      <right style="thin">
        <color rgb="FFEFEAE9"/>
      </right>
      <bottom style="thin">
        <color rgb="FFF8FCEB"/>
      </bottom>
    </border>
    <border>
      <left style="thin">
        <color rgb="FFEFEAE9"/>
      </left>
      <right style="thin">
        <color rgb="FFEFEAE9"/>
      </right>
      <bottom style="thin">
        <color rgb="FFEFEAE9"/>
      </bottom>
    </border>
    <border>
      <left style="thin">
        <color rgb="FFEFEAE9"/>
      </left>
      <right style="thin">
        <color rgb="FFEFEAE9"/>
      </right>
      <bottom style="thin">
        <color rgb="FFF8FCEB"/>
      </bottom>
    </border>
    <border>
      <left style="thin">
        <color rgb="FFEFEAE9"/>
      </left>
      <right style="thin">
        <color rgb="FFF8FCEB"/>
      </right>
      <bottom style="thin">
        <color rgb="FFF8FCEB"/>
      </bottom>
    </border>
    <border>
      <left style="thin">
        <color rgb="FFF8FCEB"/>
      </left>
      <right style="thin">
        <color rgb="FFF8FCEB"/>
      </right>
      <top style="thin">
        <color rgb="FFFFFFFF"/>
      </top>
      <bottom style="thin">
        <color rgb="FFEFEAE9"/>
      </bottom>
    </border>
    <border>
      <left style="thick">
        <color rgb="FF3E3A3A"/>
      </left>
      <right style="thin">
        <color rgb="FF90C12C"/>
      </right>
      <bottom style="thin">
        <color rgb="FF90C12C"/>
      </bottom>
    </border>
    <border>
      <left style="thin">
        <color rgb="FF90C12C"/>
      </left>
      <right style="thin">
        <color rgb="FF90C12C"/>
      </right>
      <bottom style="thin">
        <color rgb="FF90C12C"/>
      </bottom>
    </border>
    <border>
      <left style="thin">
        <color rgb="FF90C12C"/>
      </left>
      <top style="thin">
        <color rgb="FF3E3A3A"/>
      </top>
      <bottom style="thin">
        <color rgb="FF90C12C"/>
      </bottom>
    </border>
    <border>
      <left style="medium">
        <color rgb="FF3E3A3A"/>
      </left>
      <right style="thick">
        <color rgb="FF3E3A3A"/>
      </right>
      <bottom style="thin">
        <color rgb="FF90C12C"/>
      </bottom>
    </border>
    <border>
      <left style="thick">
        <color rgb="FF3E3A3A"/>
      </left>
      <right style="thin">
        <color rgb="FF90C12C"/>
      </right>
      <top style="thin">
        <color rgb="FF90C12C"/>
      </top>
      <bottom style="thin">
        <color rgb="FF90C12C"/>
      </bottom>
    </border>
    <border>
      <left style="thin">
        <color rgb="FF90C12C"/>
      </left>
      <right style="thin">
        <color rgb="FF90C12C"/>
      </right>
      <top style="thin">
        <color rgb="FF90C12C"/>
      </top>
      <bottom style="thin">
        <color rgb="FF90C12C"/>
      </bottom>
    </border>
    <border>
      <left style="thin">
        <color rgb="FF90C12C"/>
      </left>
      <top style="thin">
        <color rgb="FF90C12C"/>
      </top>
      <bottom style="thin">
        <color rgb="FF90C12C"/>
      </bottom>
    </border>
    <border>
      <left style="medium">
        <color rgb="FF3E3A3A"/>
      </left>
      <right style="thick">
        <color rgb="FF3E3A3A"/>
      </right>
      <top style="thin">
        <color rgb="FF90C12C"/>
      </top>
      <bottom style="thin">
        <color rgb="FF90C12C"/>
      </bottom>
    </border>
    <border>
      <left style="thick">
        <color rgb="FF3E3A3A"/>
      </left>
      <right style="thin">
        <color rgb="FF90C12C"/>
      </right>
      <top style="thin">
        <color rgb="FF90C12C"/>
      </top>
    </border>
    <border>
      <left style="thin">
        <color rgb="FF90C12C"/>
      </left>
      <right style="thin">
        <color rgb="FF90C12C"/>
      </right>
      <top style="thin">
        <color rgb="FF90C12C"/>
      </top>
    </border>
    <border>
      <left style="thin">
        <color rgb="FF90C12C"/>
      </left>
      <top style="thin">
        <color rgb="FF90C12C"/>
      </top>
    </border>
    <border>
      <left style="medium">
        <color rgb="FF3E3A3A"/>
      </left>
      <right style="thick">
        <color rgb="FF3E3A3A"/>
      </right>
      <top style="thin">
        <color rgb="FF90C12C"/>
      </top>
      <bottom style="medium">
        <color rgb="FF3E3A3A"/>
      </bottom>
    </border>
    <border>
      <left style="thin">
        <color rgb="FFF8FCEB"/>
      </left>
      <right style="thin">
        <color rgb="FFF8FCEB"/>
      </right>
      <top style="thin">
        <color rgb="FFEFEAE9"/>
      </top>
    </border>
    <border>
      <right style="thick">
        <color rgb="FF3E3A3A"/>
      </right>
      <top style="thin">
        <color rgb="FFF8FCEB"/>
      </top>
      <bottom style="thin">
        <color rgb="FFF8FCEB"/>
      </bottom>
    </border>
    <border>
      <left style="thin">
        <color rgb="FFEFEAE9"/>
      </left>
      <right style="thin">
        <color rgb="FFEFEAE9"/>
      </right>
      <top style="thin">
        <color rgb="FFF8FCEB"/>
      </top>
      <bottom style="thin">
        <color rgb="FFF8FCEB"/>
      </bottom>
    </border>
    <border>
      <left style="thin">
        <color rgb="FFEFEAE9"/>
      </left>
      <right style="thin">
        <color rgb="FFEFEAE9"/>
      </right>
      <top style="thin">
        <color rgb="FFEFEAE9"/>
      </top>
    </border>
    <border>
      <left style="thin">
        <color rgb="FFEFEAE9"/>
      </left>
      <right style="thick">
        <color rgb="FF3E3A3A"/>
      </right>
      <top style="thin">
        <color rgb="FFF8FCEB"/>
      </top>
      <bottom style="thin">
        <color rgb="FFF8FCEB"/>
      </bottom>
    </border>
    <border>
      <left style="thick">
        <color rgb="FF3E3A3A"/>
      </left>
      <top style="thin">
        <color rgb="FFF8FCEB"/>
      </top>
      <bottom style="thin">
        <color rgb="FFF8FCEB"/>
      </bottom>
    </border>
    <border>
      <left style="thick">
        <color rgb="FF3E3A3A"/>
      </left>
      <right style="thin">
        <color rgb="FFF8FCEB"/>
      </right>
      <top style="thin">
        <color rgb="FFF8FCEB"/>
      </top>
      <bottom style="thick">
        <color rgb="FF3E3A3A"/>
      </bottom>
    </border>
    <border>
      <left style="thin">
        <color rgb="FFF8FCEB"/>
      </left>
      <right style="thin">
        <color rgb="FFF8FCEB"/>
      </right>
      <top style="thin">
        <color rgb="FFF8FCEB"/>
      </top>
      <bottom style="thick">
        <color rgb="FF3E3A3A"/>
      </bottom>
    </border>
    <border>
      <left style="thin">
        <color rgb="FFF8FCEB"/>
      </left>
      <right style="thin">
        <color rgb="FFF8FCEB"/>
      </right>
      <bottom style="thick">
        <color rgb="FF3E3A3A"/>
      </bottom>
    </border>
    <border>
      <left style="thin">
        <color rgb="FFF8FCEB"/>
      </left>
      <right style="thin">
        <color rgb="FFF8FCEB"/>
      </right>
      <top style="thin">
        <color rgb="FFEFEAE9"/>
      </top>
      <bottom style="thick">
        <color rgb="FF3E3A3A"/>
      </bottom>
    </border>
    <border>
      <left style="thin">
        <color rgb="FFF8FCEB"/>
      </left>
      <right style="thick">
        <color rgb="FF3E3A3A"/>
      </right>
      <bottom style="thick">
        <color rgb="FF3E3A3A"/>
      </bottom>
    </border>
    <border>
      <left style="thick">
        <color rgb="FF3E3A3A"/>
      </left>
      <right style="thin">
        <color rgb="FFF9F9F9"/>
      </right>
      <bottom style="thin">
        <color rgb="FFF9F9F9"/>
      </bottom>
    </border>
    <border>
      <left style="thin">
        <color rgb="FFF9F9F9"/>
      </left>
      <right style="thin">
        <color rgb="FFF9F9F9"/>
      </right>
    </border>
    <border>
      <left style="thin">
        <color rgb="FFF9F9F9"/>
      </left>
      <right style="thin">
        <color rgb="FFF9F9F9"/>
      </right>
      <bottom style="thin">
        <color rgb="FFF9F9F9"/>
      </bottom>
    </border>
    <border>
      <left style="thin">
        <color rgb="FFF9F9F9"/>
      </left>
      <right style="thick">
        <color rgb="FF3E3A3A"/>
      </right>
      <bottom style="thin">
        <color rgb="FFF9F9F9"/>
      </bottom>
    </border>
    <border>
      <left style="thick">
        <color rgb="FF3E3A3A"/>
      </left>
      <top style="thin">
        <color rgb="FFF9F9F9"/>
      </top>
      <bottom style="thin">
        <color rgb="FFF9F9F9"/>
      </bottom>
    </border>
    <border>
      <left style="thick">
        <color rgb="FF434343"/>
      </left>
      <right style="thick">
        <color rgb="FF434343"/>
      </right>
      <top style="thick">
        <color rgb="FF3E3A3A"/>
      </top>
    </border>
    <border>
      <top style="thin">
        <color rgb="FFF9F9F9"/>
      </top>
      <bottom style="thin">
        <color rgb="FFF9F9F9"/>
      </bottom>
    </border>
    <border>
      <left style="thick">
        <color rgb="FF434343"/>
      </left>
      <top style="thick">
        <color rgb="FF3E3A3A"/>
      </top>
      <bottom style="medium">
        <color rgb="FF434343"/>
      </bottom>
    </border>
    <border>
      <top style="thick">
        <color rgb="FF3E3A3A"/>
      </top>
      <bottom style="medium">
        <color rgb="FF434343"/>
      </bottom>
    </border>
    <border>
      <right style="thick">
        <color rgb="FF434343"/>
      </right>
      <top style="thick">
        <color rgb="FF3E3A3A"/>
      </top>
      <bottom style="medium">
        <color rgb="FF434343"/>
      </bottom>
    </border>
    <border>
      <right style="thin">
        <color rgb="FFF9F9F9"/>
      </right>
      <top style="thin">
        <color rgb="FFF9F9F9"/>
      </top>
    </border>
    <border>
      <left style="thin">
        <color rgb="FFF9F9F9"/>
      </left>
      <top style="thin">
        <color rgb="FFF9F9F9"/>
      </top>
      <bottom style="thin">
        <color rgb="FFF9F9F9"/>
      </bottom>
    </border>
    <border>
      <right style="thin">
        <color rgb="FFF9F9F9"/>
      </right>
      <top style="thin">
        <color rgb="FFF9F9F9"/>
      </top>
      <bottom style="thin">
        <color rgb="FFF9F9F9"/>
      </bottom>
    </border>
    <border>
      <left style="thin">
        <color rgb="FFF9F9F9"/>
      </left>
      <right style="thick">
        <color rgb="FF3E3A3A"/>
      </right>
      <top style="thin">
        <color rgb="FFF9F9F9"/>
      </top>
      <bottom style="thin">
        <color rgb="FFF9F9F9"/>
      </bottom>
    </border>
    <border>
      <left style="thick">
        <color rgb="FF434343"/>
      </left>
      <bottom style="thin">
        <color rgb="FFF9F9F9"/>
      </bottom>
    </border>
    <border>
      <bottom style="thin">
        <color rgb="FFF9F9F9"/>
      </bottom>
    </border>
    <border>
      <right style="thick">
        <color rgb="FF434343"/>
      </right>
      <bottom style="thin">
        <color rgb="FFF9F9F9"/>
      </bottom>
    </border>
    <border>
      <right style="thin">
        <color rgb="FFF9F9F9"/>
      </right>
    </border>
    <border>
      <left style="thick">
        <color rgb="FF434343"/>
      </left>
      <top style="thin">
        <color rgb="FFF9F9F9"/>
      </top>
      <bottom style="thin">
        <color rgb="FFF9F9F9"/>
      </bottom>
    </border>
    <border>
      <right style="thick">
        <color rgb="FF434343"/>
      </right>
      <top style="thin">
        <color rgb="FFF9F9F9"/>
      </top>
      <bottom style="thin">
        <color rgb="FFF9F9F9"/>
      </bottom>
    </border>
    <border>
      <left style="thick">
        <color rgb="FF3E3A3A"/>
      </left>
      <right style="thin">
        <color rgb="FFF9F9F9"/>
      </right>
      <top style="thin">
        <color rgb="FFF9F9F9"/>
      </top>
      <bottom style="thin">
        <color rgb="FFF9F9F9"/>
      </bottom>
    </border>
    <border>
      <left style="thick">
        <color rgb="FF434343"/>
      </left>
      <right style="thin">
        <color rgb="FFF9F9F9"/>
      </right>
      <top style="thin">
        <color rgb="FFF9F9F9"/>
      </top>
      <bottom style="thin">
        <color rgb="FFF9F9F9"/>
      </bottom>
    </border>
    <border>
      <left style="thin">
        <color rgb="FFF9F9F9"/>
      </left>
      <right style="thin">
        <color rgb="FFF9F9F9"/>
      </right>
      <top style="thin">
        <color rgb="FFF9F9F9"/>
      </top>
      <bottom style="thin">
        <color rgb="FFF9F9F9"/>
      </bottom>
    </border>
    <border>
      <left style="thin">
        <color rgb="FFF9F9F9"/>
      </left>
      <right style="thick">
        <color rgb="FF434343"/>
      </right>
      <top style="thin">
        <color rgb="FFF9F9F9"/>
      </top>
      <bottom style="thin">
        <color rgb="FFF9F9F9"/>
      </bottom>
    </border>
    <border>
      <left style="thick">
        <color rgb="FF434343"/>
      </left>
      <right style="medium">
        <color rgb="FFF9F9F9"/>
      </right>
      <top style="thin">
        <color rgb="FFF9F9F9"/>
      </top>
      <bottom style="medium">
        <color rgb="FFF9F9F9"/>
      </bottom>
    </border>
    <border>
      <left style="medium">
        <color rgb="FFF9F9F9"/>
      </left>
      <right style="thick">
        <color rgb="FF434343"/>
      </right>
      <top style="thin">
        <color rgb="FFF9F9F9"/>
      </top>
      <bottom style="medium">
        <color rgb="FFF9F9F9"/>
      </bottom>
    </border>
    <border>
      <left style="thick">
        <color rgb="FF434343"/>
      </left>
      <top style="thin">
        <color rgb="FFF9F9F9"/>
      </top>
      <bottom style="medium">
        <color rgb="FFF9F9F9"/>
      </bottom>
    </border>
    <border>
      <right style="thick">
        <color rgb="FF434343"/>
      </right>
      <top style="thin">
        <color rgb="FFF9F9F9"/>
      </top>
      <bottom style="medium">
        <color rgb="FFF9F9F9"/>
      </bottom>
    </border>
    <border>
      <left style="thick">
        <color rgb="FF434343"/>
      </left>
      <right style="medium">
        <color rgb="FFF9F9F9"/>
      </right>
    </border>
    <border>
      <left style="medium">
        <color rgb="FFF9F9F9"/>
      </left>
      <right style="medium">
        <color rgb="FFF9F9F9"/>
      </right>
    </border>
    <border>
      <left style="medium">
        <color rgb="FFF9F9F9"/>
      </left>
      <right style="thick">
        <color rgb="FF434343"/>
      </right>
    </border>
    <border>
      <left style="thick">
        <color rgb="FF434343"/>
      </left>
      <right style="medium">
        <color rgb="FFF9F9F9"/>
      </right>
      <top style="medium">
        <color rgb="FFF9F9F9"/>
      </top>
    </border>
    <border>
      <left style="medium">
        <color rgb="FFF9F9F9"/>
      </left>
      <right style="medium">
        <color rgb="FFF9F9F9"/>
      </right>
      <top style="medium">
        <color rgb="FFF9F9F9"/>
      </top>
    </border>
    <border>
      <left style="medium">
        <color rgb="FFF9F9F9"/>
      </left>
      <right style="thick">
        <color rgb="FF434343"/>
      </right>
      <top style="medium">
        <color rgb="FFF9F9F9"/>
      </top>
    </border>
    <border>
      <left style="thick">
        <color rgb="FF434343"/>
      </left>
      <top style="medium">
        <color rgb="FF434343"/>
      </top>
      <bottom style="thin">
        <color rgb="FFF9F9F9"/>
      </bottom>
    </border>
    <border>
      <top style="medium">
        <color rgb="FF434343"/>
      </top>
      <bottom style="thin">
        <color rgb="FFF9F9F9"/>
      </bottom>
    </border>
    <border>
      <right style="thick">
        <color rgb="FF434343"/>
      </right>
      <top style="medium">
        <color rgb="FF434343"/>
      </top>
      <bottom style="thin">
        <color rgb="FFF9F9F9"/>
      </bottom>
    </border>
    <border>
      <left style="thin">
        <color rgb="FFF9F9F9"/>
      </left>
      <right style="thin">
        <color rgb="FFF9F9F9"/>
      </right>
      <top style="thin">
        <color rgb="FFF9F9F9"/>
      </top>
    </border>
    <border>
      <left style="thick">
        <color rgb="FF434343"/>
      </left>
      <top style="thin">
        <color rgb="FFF9F9F9"/>
      </top>
    </border>
    <border>
      <top style="thin">
        <color rgb="FFF9F9F9"/>
      </top>
    </border>
    <border>
      <left style="thin">
        <color rgb="FFF9F9F9"/>
      </left>
      <right style="thick">
        <color rgb="FF434343"/>
      </right>
      <top style="thin">
        <color rgb="FFF9F9F9"/>
      </top>
    </border>
    <border>
      <left style="thin">
        <color rgb="FFF9F9F9"/>
      </left>
      <right style="thick">
        <color rgb="FF434343"/>
      </right>
      <top style="medium">
        <color rgb="FF434343"/>
      </top>
      <bottom style="thin">
        <color rgb="FFF9F9F9"/>
      </bottom>
    </border>
    <border>
      <left style="thick">
        <color rgb="FF434343"/>
      </left>
      <top style="thin">
        <color rgb="FFF9F9F9"/>
      </top>
      <bottom style="thick">
        <color rgb="FF434343"/>
      </bottom>
    </border>
    <border>
      <top style="thin">
        <color rgb="FFF9F9F9"/>
      </top>
      <bottom style="thick">
        <color rgb="FF434343"/>
      </bottom>
    </border>
    <border>
      <left style="thin">
        <color rgb="FFF9F9F9"/>
      </left>
      <right style="thick">
        <color rgb="FF434343"/>
      </right>
      <top style="thin">
        <color rgb="FFF9F9F9"/>
      </top>
      <bottom style="thick">
        <color rgb="FF434343"/>
      </bottom>
    </border>
    <border>
      <right style="thin">
        <color rgb="FFF9F9F9"/>
      </right>
      <bottom style="thin">
        <color rgb="FFF9F9F9"/>
      </bottom>
    </border>
    <border>
      <left style="thin">
        <color rgb="FFF9F9F9"/>
      </left>
      <right style="thin">
        <color rgb="FFF9F9F9"/>
      </right>
      <top style="thin">
        <color rgb="FFFFFFFF"/>
      </top>
    </border>
    <border>
      <left style="thick">
        <color rgb="FF3E3A3A"/>
      </left>
      <right style="thin">
        <color rgb="FF8C8C8C"/>
      </right>
      <bottom style="thin">
        <color rgb="FF8C8C8C"/>
      </bottom>
    </border>
    <border>
      <left style="thin">
        <color rgb="FF8C8C8C"/>
      </left>
      <right style="thin">
        <color rgb="FF8C8C8C"/>
      </right>
      <bottom style="thin">
        <color rgb="FF8C8C8C"/>
      </bottom>
    </border>
    <border>
      <left style="thin">
        <color rgb="FF8C8C8C"/>
      </left>
      <top style="thin">
        <color rgb="FF3E3A3A"/>
      </top>
      <bottom style="thin">
        <color rgb="FF8C8C8C"/>
      </bottom>
    </border>
    <border>
      <left style="medium">
        <color rgb="FF3E3A3A"/>
      </left>
      <right style="thick">
        <color rgb="FF3E3A3A"/>
      </right>
      <bottom style="thin">
        <color rgb="FF8C8C8C"/>
      </bottom>
    </border>
    <border>
      <left style="thick">
        <color rgb="FF3E3A3A"/>
      </left>
      <right style="thin">
        <color rgb="FF8C8C8C"/>
      </right>
      <top style="thin">
        <color rgb="FF8C8C8C"/>
      </top>
      <bottom style="thin">
        <color rgb="FF8C8C8C"/>
      </bottom>
    </border>
    <border>
      <left style="thin">
        <color rgb="FF8C8C8C"/>
      </left>
      <right style="thin">
        <color rgb="FF8C8C8C"/>
      </right>
      <top style="thin">
        <color rgb="FF8C8C8C"/>
      </top>
      <bottom style="thin">
        <color rgb="FF8C8C8C"/>
      </bottom>
    </border>
    <border>
      <left style="thin">
        <color rgb="FF8C8C8C"/>
      </left>
      <top style="thin">
        <color rgb="FF8C8C8C"/>
      </top>
      <bottom style="thin">
        <color rgb="FF8C8C8C"/>
      </bottom>
    </border>
    <border>
      <left style="medium">
        <color rgb="FF3E3A3A"/>
      </left>
      <right style="thick">
        <color rgb="FF3E3A3A"/>
      </right>
      <top style="thin">
        <color rgb="FF8C8C8C"/>
      </top>
      <bottom style="thin">
        <color rgb="FF8C8C8C"/>
      </bottom>
    </border>
    <border>
      <left style="thick">
        <color rgb="FF3E3A3A"/>
      </left>
      <right style="thin">
        <color rgb="FF8C8C8C"/>
      </right>
      <top style="thin">
        <color rgb="FF8C8C8C"/>
      </top>
    </border>
    <border>
      <left style="thin">
        <color rgb="FF8C8C8C"/>
      </left>
      <right style="thin">
        <color rgb="FF8C8C8C"/>
      </right>
      <top style="thin">
        <color rgb="FF8C8C8C"/>
      </top>
    </border>
    <border>
      <left style="thin">
        <color rgb="FF8C8C8C"/>
      </left>
      <top style="thin">
        <color rgb="FF8C8C8C"/>
      </top>
    </border>
    <border>
      <left style="medium">
        <color rgb="FF3E3A3A"/>
      </left>
      <right style="thick">
        <color rgb="FF3E3A3A"/>
      </right>
      <top style="thin">
        <color rgb="FF8C8C8C"/>
      </top>
      <bottom style="medium">
        <color rgb="FF3E3A3A"/>
      </bottom>
    </border>
    <border>
      <left style="thick">
        <color rgb="FF3E3A3A"/>
      </left>
      <right style="thin">
        <color rgb="FFF9F9F9"/>
      </right>
      <top style="thin">
        <color rgb="FFF9F9F9"/>
      </top>
      <bottom style="thick">
        <color rgb="FF3E3A3A"/>
      </bottom>
    </border>
    <border>
      <left style="thin">
        <color rgb="FFF9F9F9"/>
      </left>
      <right style="thin">
        <color rgb="FFF9F9F9"/>
      </right>
      <top style="thin">
        <color rgb="FFF9F9F9"/>
      </top>
      <bottom style="thick">
        <color rgb="FF3E3A3A"/>
      </bottom>
    </border>
    <border>
      <left style="thin">
        <color rgb="FFF9F9F9"/>
      </left>
      <right style="thin">
        <color rgb="FFF9F9F9"/>
      </right>
      <bottom style="thick">
        <color rgb="FF3E3A3A"/>
      </bottom>
    </border>
    <border>
      <left style="thin">
        <color rgb="FFF9F9F9"/>
      </left>
      <right style="thick">
        <color rgb="FF3E3A3A"/>
      </right>
      <top style="thin">
        <color rgb="FFF9F9F9"/>
      </top>
      <bottom style="thick">
        <color rgb="FF3E3A3A"/>
      </bottom>
    </border>
    <border>
      <left style="thick">
        <color rgb="FF3E3A3A"/>
      </left>
      <right style="thin">
        <color rgb="FFECE1FF"/>
      </right>
      <bottom style="thin">
        <color rgb="FFECE1FF"/>
      </bottom>
    </border>
    <border>
      <left style="thin">
        <color rgb="FFECE1FF"/>
      </left>
      <right style="thin">
        <color rgb="FFECE1FF"/>
      </right>
    </border>
    <border>
      <left style="thin">
        <color rgb="FFECE1FF"/>
      </left>
      <right style="thin">
        <color rgb="FFECE1FF"/>
      </right>
      <bottom style="thin">
        <color rgb="FFECE1FF"/>
      </bottom>
    </border>
    <border>
      <left style="thin">
        <color rgb="FFECE1FF"/>
      </left>
      <right style="thick">
        <color rgb="FF3E3A3A"/>
      </right>
      <bottom style="thin">
        <color rgb="FFECE1FF"/>
      </bottom>
    </border>
    <border>
      <left style="thick">
        <color rgb="FF3E3A3A"/>
      </left>
      <top style="thin">
        <color rgb="FFECE1FF"/>
      </top>
      <bottom style="thin">
        <color rgb="FFECE1FF"/>
      </bottom>
    </border>
    <border>
      <top style="thin">
        <color rgb="FFECE1FF"/>
      </top>
      <bottom style="thin">
        <color rgb="FFECE1FF"/>
      </bottom>
    </border>
    <border>
      <left style="thick">
        <color rgb="FF434343"/>
      </left>
      <top style="thick">
        <color rgb="FF434343"/>
      </top>
      <bottom style="medium">
        <color rgb="FF3E3A3A"/>
      </bottom>
    </border>
    <border>
      <top style="thick">
        <color rgb="FF434343"/>
      </top>
      <bottom style="medium">
        <color rgb="FF3E3A3A"/>
      </bottom>
    </border>
    <border>
      <right style="thick">
        <color rgb="FF434343"/>
      </right>
      <top style="thick">
        <color rgb="FF434343"/>
      </top>
      <bottom style="medium">
        <color rgb="FF3E3A3A"/>
      </bottom>
    </border>
    <border>
      <top style="thin">
        <color rgb="FFECE1FF"/>
      </top>
    </border>
    <border>
      <right style="thick">
        <color rgb="FF3E3A3A"/>
      </right>
      <top style="thin">
        <color rgb="FFECE1FF"/>
      </top>
      <bottom style="thin">
        <color rgb="FFECE1FF"/>
      </bottom>
    </border>
    <border>
      <left style="thick">
        <color rgb="FF434343"/>
      </left>
      <bottom style="thin">
        <color rgb="FFECE1FF"/>
      </bottom>
    </border>
    <border>
      <bottom style="thin">
        <color rgb="FFECE1FF"/>
      </bottom>
    </border>
    <border>
      <right style="thick">
        <color rgb="FF434343"/>
      </right>
      <bottom style="thin">
        <color rgb="FFECE1FF"/>
      </bottom>
    </border>
    <border>
      <left style="thick">
        <color rgb="FF434343"/>
      </left>
      <top style="thin">
        <color rgb="FFECE1FF"/>
      </top>
      <bottom style="thin">
        <color rgb="FFECE1FF"/>
      </bottom>
    </border>
    <border>
      <right style="thick">
        <color rgb="FF434343"/>
      </right>
      <top style="thin">
        <color rgb="FFECE1FF"/>
      </top>
      <bottom style="thin">
        <color rgb="FFECE1FF"/>
      </bottom>
    </border>
    <border>
      <left style="thick">
        <color rgb="FF3E3A3A"/>
      </left>
      <right style="thin">
        <color rgb="FFECE1FF"/>
      </right>
      <top style="thin">
        <color rgb="FFECE1FF"/>
      </top>
      <bottom style="thin">
        <color rgb="FFECE1FF"/>
      </bottom>
    </border>
    <border>
      <left style="thick">
        <color rgb="FF434343"/>
      </left>
      <right style="thin">
        <color rgb="FFECE1FF"/>
      </right>
      <top style="thin">
        <color rgb="FFECE1FF"/>
      </top>
      <bottom style="thin">
        <color rgb="FFECE1FF"/>
      </bottom>
    </border>
    <border>
      <left style="thin">
        <color rgb="FFECE1FF"/>
      </left>
      <right style="thin">
        <color rgb="FFECE1FF"/>
      </right>
      <top style="thin">
        <color rgb="FFF9F9F9"/>
      </top>
      <bottom style="thin">
        <color rgb="FFECE1FF"/>
      </bottom>
    </border>
    <border>
      <left style="thin">
        <color rgb="FFECE1FF"/>
      </left>
      <right style="thick">
        <color rgb="FF434343"/>
      </right>
      <top style="thin">
        <color rgb="FFECE1FF"/>
      </top>
      <bottom style="thin">
        <color rgb="FFECE1FF"/>
      </bottom>
    </border>
    <border>
      <left style="thick">
        <color rgb="FF434343"/>
      </left>
      <top style="thin">
        <color rgb="FFECE1FF"/>
      </top>
      <bottom style="medium">
        <color rgb="FFECE1FF"/>
      </bottom>
    </border>
    <border>
      <left style="thin">
        <color rgb="FFECE1FF"/>
      </left>
      <top style="thin">
        <color rgb="FFF9F9F9"/>
      </top>
      <bottom style="thin">
        <color rgb="FFECE1FF"/>
      </bottom>
    </border>
    <border>
      <right style="thin">
        <color rgb="FFECE1FF"/>
      </right>
      <top style="thin">
        <color rgb="FFF9F9F9"/>
      </top>
      <bottom style="thin">
        <color rgb="FFECE1FF"/>
      </bottom>
    </border>
    <border>
      <right style="thick">
        <color rgb="FF434343"/>
      </right>
      <top style="thin">
        <color rgb="FFECE1FF"/>
      </top>
      <bottom style="medium">
        <color rgb="FFECE1FF"/>
      </bottom>
    </border>
    <border>
      <left style="thick">
        <color rgb="FF434343"/>
      </left>
      <right style="medium">
        <color rgb="FFECE1FF"/>
      </right>
      <top style="thin">
        <color rgb="FFECE1FF"/>
      </top>
      <bottom style="medium">
        <color rgb="FFECE1FF"/>
      </bottom>
    </border>
    <border>
      <left style="medium">
        <color rgb="FFECE1FF"/>
      </left>
      <right style="thick">
        <color rgb="FF434343"/>
      </right>
      <top style="thin">
        <color rgb="FFECE1FF"/>
      </top>
      <bottom style="medium">
        <color rgb="FFECE1FF"/>
      </bottom>
    </border>
    <border>
      <left style="thin">
        <color rgb="FFECE1FF"/>
      </left>
      <top style="thin">
        <color rgb="FFECE1FF"/>
      </top>
      <bottom style="thin">
        <color rgb="FFECE1FF"/>
      </bottom>
    </border>
    <border>
      <left style="thick">
        <color rgb="FF434343"/>
      </left>
      <right style="medium">
        <color rgb="FFECE1FF"/>
      </right>
    </border>
    <border>
      <left style="medium">
        <color rgb="FFECE1FF"/>
      </left>
      <right style="medium">
        <color rgb="FFECE1FF"/>
      </right>
    </border>
    <border>
      <left style="medium">
        <color rgb="FFECE1FF"/>
      </left>
      <right style="thick">
        <color rgb="FF434343"/>
      </right>
    </border>
    <border>
      <left style="thick">
        <color rgb="FF434343"/>
      </left>
      <right style="medium">
        <color rgb="FFECE1FF"/>
      </right>
      <top style="medium">
        <color rgb="FFECE1FF"/>
      </top>
    </border>
    <border>
      <left style="medium">
        <color rgb="FFECE1FF"/>
      </left>
      <right style="thick">
        <color rgb="FF434343"/>
      </right>
      <top style="medium">
        <color rgb="FFECE1FF"/>
      </top>
    </border>
    <border>
      <left style="medium">
        <color rgb="FFECE1FF"/>
      </left>
      <right style="medium">
        <color rgb="FFECE1FF"/>
      </right>
      <top style="medium">
        <color rgb="FFECE1FF"/>
      </top>
    </border>
    <border>
      <left style="thin">
        <color rgb="FFECE1FF"/>
      </left>
      <right style="thin">
        <color rgb="FFECE1FF"/>
      </right>
      <top style="thin">
        <color rgb="FFECE1FF"/>
      </top>
      <bottom style="thin">
        <color rgb="FFECE1FF"/>
      </bottom>
    </border>
    <border>
      <left style="thick">
        <color rgb="FF434343"/>
      </left>
      <top style="medium">
        <color rgb="FF434343"/>
      </top>
      <bottom style="thin">
        <color rgb="FFECE1FF"/>
      </bottom>
    </border>
    <border>
      <top style="medium">
        <color rgb="FF434343"/>
      </top>
      <bottom style="thin">
        <color rgb="FFECE1FF"/>
      </bottom>
    </border>
    <border>
      <right style="thick">
        <color rgb="FF434343"/>
      </right>
      <top style="medium">
        <color rgb="FF434343"/>
      </top>
      <bottom style="thin">
        <color rgb="FFECE1FF"/>
      </bottom>
    </border>
    <border>
      <left style="thin">
        <color rgb="FFECE1FF"/>
      </left>
      <right style="thin">
        <color rgb="FFECE1FF"/>
      </right>
      <top style="thin">
        <color rgb="FFECE1FF"/>
      </top>
    </border>
    <border>
      <left style="thick">
        <color rgb="FF434343"/>
      </left>
      <top style="thin">
        <color rgb="FFECE1FF"/>
      </top>
    </border>
    <border>
      <right style="thin">
        <color rgb="FFECE1FF"/>
      </right>
      <top style="thin">
        <color rgb="FFECE1FF"/>
      </top>
    </border>
    <border>
      <left style="thin">
        <color rgb="FFECE1FF"/>
      </left>
      <right style="thick">
        <color rgb="FF434343"/>
      </right>
      <top style="thin">
        <color rgb="FFECE1FF"/>
      </top>
    </border>
    <border>
      <left style="thin">
        <color rgb="FFECE1FF"/>
      </left>
      <right style="thick">
        <color rgb="FF434343"/>
      </right>
      <top style="medium">
        <color rgb="FF434343"/>
      </top>
      <bottom style="thin">
        <color rgb="FFECE1FF"/>
      </bottom>
    </border>
    <border>
      <left style="thick">
        <color rgb="FF434343"/>
      </left>
      <top style="thin">
        <color rgb="FFECE1FF"/>
      </top>
      <bottom style="thick">
        <color rgb="FF434343"/>
      </bottom>
    </border>
    <border>
      <top style="thin">
        <color rgb="FFECE1FF"/>
      </top>
      <bottom style="thick">
        <color rgb="FF434343"/>
      </bottom>
    </border>
    <border>
      <left style="thin">
        <color rgb="FFECE1FF"/>
      </left>
      <right style="thick">
        <color rgb="FF434343"/>
      </right>
      <top style="thin">
        <color rgb="FFECE1FF"/>
      </top>
      <bottom style="thick">
        <color rgb="FF434343"/>
      </bottom>
    </border>
    <border>
      <left style="thin">
        <color rgb="FFECE1FF"/>
      </left>
      <right style="thin">
        <color rgb="FFECE1FF"/>
      </right>
      <top style="thin">
        <color rgb="FFFFFFFF"/>
      </top>
    </border>
    <border>
      <left style="thin">
        <color rgb="FFECE1FF"/>
      </left>
      <right style="thin">
        <color rgb="FFECE1FF"/>
      </right>
      <top style="thin">
        <color rgb="FFF9F9F9"/>
      </top>
    </border>
    <border>
      <left style="thin">
        <color rgb="FFECE1FF"/>
      </left>
      <right style="thick">
        <color rgb="FF3E3A3A"/>
      </right>
      <top style="thin">
        <color rgb="FFECE1FF"/>
      </top>
      <bottom style="thin">
        <color rgb="FFECE1FF"/>
      </bottom>
    </border>
    <border>
      <left style="thick">
        <color rgb="FF3E3A3A"/>
      </left>
      <right style="thin">
        <color rgb="FF6D5387"/>
      </right>
      <bottom style="thin">
        <color rgb="FF6D5387"/>
      </bottom>
    </border>
    <border>
      <left style="thin">
        <color rgb="FF6D5387"/>
      </left>
      <right style="thin">
        <color rgb="FF6D5387"/>
      </right>
      <bottom style="thin">
        <color rgb="FF6D5387"/>
      </bottom>
    </border>
    <border>
      <left style="thin">
        <color rgb="FF6D5387"/>
      </left>
      <top style="thin">
        <color rgb="FF3E3A3A"/>
      </top>
      <bottom style="thin">
        <color rgb="FF6D5387"/>
      </bottom>
    </border>
    <border>
      <left style="medium">
        <color rgb="FF3E3A3A"/>
      </left>
      <right style="thick">
        <color rgb="FF3E3A3A"/>
      </right>
      <bottom style="thin">
        <color rgb="FF6D5387"/>
      </bottom>
    </border>
    <border>
      <left style="thick">
        <color rgb="FF3E3A3A"/>
      </left>
      <right style="thin">
        <color rgb="FF6D5387"/>
      </right>
      <top style="thin">
        <color rgb="FF6D5387"/>
      </top>
      <bottom style="thin">
        <color rgb="FF6D5387"/>
      </bottom>
    </border>
    <border>
      <left style="thin">
        <color rgb="FF6D5387"/>
      </left>
      <right style="thin">
        <color rgb="FF6D5387"/>
      </right>
      <top style="thin">
        <color rgb="FF6D5387"/>
      </top>
      <bottom style="thin">
        <color rgb="FF6D5387"/>
      </bottom>
    </border>
    <border>
      <left style="thin">
        <color rgb="FF6D5387"/>
      </left>
      <top style="thin">
        <color rgb="FF6D5387"/>
      </top>
      <bottom style="thin">
        <color rgb="FF6D5387"/>
      </bottom>
    </border>
    <border>
      <left style="medium">
        <color rgb="FF3E3A3A"/>
      </left>
      <right style="thick">
        <color rgb="FF3E3A3A"/>
      </right>
      <top style="thin">
        <color rgb="FF6D5387"/>
      </top>
      <bottom style="thin">
        <color rgb="FF6D5387"/>
      </bottom>
    </border>
    <border>
      <left style="thick">
        <color rgb="FF3E3A3A"/>
      </left>
      <right style="thin">
        <color rgb="FF6D5387"/>
      </right>
      <top style="thin">
        <color rgb="FF6D5387"/>
      </top>
    </border>
    <border>
      <left style="thin">
        <color rgb="FF6D5387"/>
      </left>
      <right style="thin">
        <color rgb="FF6D5387"/>
      </right>
      <top style="thin">
        <color rgb="FF6D5387"/>
      </top>
    </border>
    <border>
      <left style="thin">
        <color rgb="FF6D5387"/>
      </left>
      <top style="thin">
        <color rgb="FF6D5387"/>
      </top>
    </border>
    <border>
      <left style="medium">
        <color rgb="FF3E3A3A"/>
      </left>
      <right style="thick">
        <color rgb="FF3E3A3A"/>
      </right>
      <top style="thin">
        <color rgb="FF6D5387"/>
      </top>
      <bottom style="medium">
        <color rgb="FF3E3A3A"/>
      </bottom>
    </border>
    <border>
      <left style="thick">
        <color rgb="FF3E3A3A"/>
      </left>
      <right style="thin">
        <color rgb="FFECE1FF"/>
      </right>
      <top style="thin">
        <color rgb="FFECE1FF"/>
      </top>
      <bottom style="thick">
        <color rgb="FF3E3A3A"/>
      </bottom>
    </border>
    <border>
      <left style="thin">
        <color rgb="FFECE1FF"/>
      </left>
      <right style="thin">
        <color rgb="FFECE1FF"/>
      </right>
      <top style="thin">
        <color rgb="FFECE1FF"/>
      </top>
      <bottom style="thick">
        <color rgb="FF3E3A3A"/>
      </bottom>
    </border>
    <border>
      <left style="thin">
        <color rgb="FFECE1FF"/>
      </left>
      <right style="thin">
        <color rgb="FFECE1FF"/>
      </right>
      <bottom style="thick">
        <color rgb="FF3E3A3A"/>
      </bottom>
    </border>
    <border>
      <left style="thin">
        <color rgb="FFECE1FF"/>
      </left>
      <right style="thick">
        <color rgb="FF3E3A3A"/>
      </right>
      <top style="thin">
        <color rgb="FFECE1FF"/>
      </top>
      <bottom style="thick">
        <color rgb="FF3E3A3A"/>
      </bottom>
    </border>
    <border>
      <left style="thick">
        <color rgb="FF3E3A3A"/>
      </left>
      <right style="thin">
        <color rgb="FFFFE6E1"/>
      </right>
      <bottom style="thin">
        <color rgb="FFFFE6E1"/>
      </bottom>
    </border>
    <border>
      <left style="thin">
        <color rgb="FFFFE6E1"/>
      </left>
      <right style="thin">
        <color rgb="FFFFE6E1"/>
      </right>
    </border>
    <border>
      <left style="thin">
        <color rgb="FFFFE6E1"/>
      </left>
      <right style="thin">
        <color rgb="FFFFE6E1"/>
      </right>
      <bottom style="thin">
        <color rgb="FFFFE6E1"/>
      </bottom>
    </border>
    <border>
      <left style="thin">
        <color rgb="FFFFE6E1"/>
      </left>
      <right style="thick">
        <color rgb="FF3E3A3A"/>
      </right>
      <bottom style="thin">
        <color rgb="FFFFE6E1"/>
      </bottom>
    </border>
    <border>
      <left style="thick">
        <color rgb="FF3E3A3A"/>
      </left>
      <top style="thin">
        <color rgb="FFFFE6E1"/>
      </top>
      <bottom style="thin">
        <color rgb="FFFFE6E1"/>
      </bottom>
    </border>
    <border>
      <top style="thin">
        <color rgb="FFFFE6E1"/>
      </top>
      <bottom style="thin">
        <color rgb="FFFFE6E1"/>
      </bottom>
    </border>
    <border>
      <right style="thick">
        <color rgb="FF3E3A3A"/>
      </right>
      <top style="thin">
        <color rgb="FFFFE6E1"/>
      </top>
      <bottom style="thin">
        <color rgb="FFFFE6E1"/>
      </bottom>
    </border>
    <border>
      <left style="thick">
        <color rgb="FF434343"/>
      </left>
      <bottom style="thin">
        <color rgb="FFFFE6E1"/>
      </bottom>
    </border>
    <border>
      <bottom style="thin">
        <color rgb="FFFFE6E1"/>
      </bottom>
    </border>
    <border>
      <right style="thick">
        <color rgb="FF434343"/>
      </right>
      <bottom style="thin">
        <color rgb="FFFFE6E1"/>
      </bottom>
    </border>
    <border>
      <left style="thick">
        <color rgb="FF434343"/>
      </left>
      <top style="thin">
        <color rgb="FFFFE6E1"/>
      </top>
      <bottom style="thin">
        <color rgb="FFFFE6E1"/>
      </bottom>
    </border>
    <border>
      <right style="thick">
        <color rgb="FF434343"/>
      </right>
      <top style="thin">
        <color rgb="FFFFE6E1"/>
      </top>
      <bottom style="thin">
        <color rgb="FFFFE6E1"/>
      </bottom>
    </border>
    <border>
      <left style="thick">
        <color rgb="FF3E3A3A"/>
      </left>
      <right style="thin">
        <color rgb="FFFFE6E1"/>
      </right>
      <top style="thin">
        <color rgb="FFFFE6E1"/>
      </top>
      <bottom style="thin">
        <color rgb="FFFFE6E1"/>
      </bottom>
    </border>
    <border>
      <left style="thick">
        <color rgb="FF434343"/>
      </left>
      <right style="thin">
        <color rgb="FFFFE6E1"/>
      </right>
      <top style="thin">
        <color rgb="FFFFE6E1"/>
      </top>
      <bottom style="thin">
        <color rgb="FFFFE6E1"/>
      </bottom>
    </border>
    <border>
      <left style="thin">
        <color rgb="FFFFE6E1"/>
      </left>
      <top style="thin">
        <color rgb="FFFFE6E1"/>
      </top>
      <bottom style="thin">
        <color rgb="FFFFE6E1"/>
      </bottom>
    </border>
    <border>
      <right style="thin">
        <color rgb="FFFFE6E1"/>
      </right>
      <top style="thin">
        <color rgb="FFFFE6E1"/>
      </top>
      <bottom style="thin">
        <color rgb="FFFFE6E1"/>
      </bottom>
    </border>
    <border>
      <left style="thin">
        <color rgb="FFFFE6E1"/>
      </left>
      <right style="thick">
        <color rgb="FF434343"/>
      </right>
      <top style="thin">
        <color rgb="FFFFE6E1"/>
      </top>
      <bottom style="thin">
        <color rgb="FFFFE6E1"/>
      </bottom>
    </border>
    <border>
      <left style="thick">
        <color rgb="FF434343"/>
      </left>
      <right style="medium">
        <color rgb="FFFFE6E1"/>
      </right>
      <top style="thin">
        <color rgb="FFFFE6E1"/>
      </top>
      <bottom style="medium">
        <color rgb="FFFFE6E1"/>
      </bottom>
    </border>
    <border>
      <left style="thin">
        <color rgb="FFFFE6E1"/>
      </left>
      <right style="thin">
        <color rgb="FFFFE6E1"/>
      </right>
      <top style="thin">
        <color rgb="FFFFE6E1"/>
      </top>
      <bottom style="thin">
        <color rgb="FFFFE6E1"/>
      </bottom>
    </border>
    <border>
      <left style="medium">
        <color rgb="FFFFE6E1"/>
      </left>
      <right style="thick">
        <color rgb="FF434343"/>
      </right>
      <top style="thin">
        <color rgb="FFFFE6E1"/>
      </top>
      <bottom style="medium">
        <color rgb="FFFFE6E1"/>
      </bottom>
    </border>
    <border>
      <left style="thick">
        <color rgb="FF434343"/>
      </left>
      <right style="medium">
        <color rgb="FFFFE6E1"/>
      </right>
    </border>
    <border>
      <left style="medium">
        <color rgb="FFFFE6E1"/>
      </left>
      <right style="medium">
        <color rgb="FFFFE6E1"/>
      </right>
    </border>
    <border>
      <left style="medium">
        <color rgb="FFFFE6E1"/>
      </left>
      <right style="thick">
        <color rgb="FF434343"/>
      </right>
    </border>
    <border>
      <left style="thick">
        <color rgb="FF434343"/>
      </left>
      <right style="medium">
        <color rgb="FFFFE6E1"/>
      </right>
      <top style="medium">
        <color rgb="FFFFE6E1"/>
      </top>
    </border>
    <border>
      <left style="medium">
        <color rgb="FFFFE6E1"/>
      </left>
      <right style="medium">
        <color rgb="FFFFE6E1"/>
      </right>
      <top style="medium">
        <color rgb="FFFFE6E1"/>
      </top>
    </border>
    <border>
      <left style="medium">
        <color rgb="FFFFE6E1"/>
      </left>
      <right style="thick">
        <color rgb="FF434343"/>
      </right>
      <top style="medium">
        <color rgb="FFFFE6E1"/>
      </top>
    </border>
    <border>
      <left style="thick">
        <color rgb="FF434343"/>
      </left>
      <top style="medium">
        <color rgb="FF434343"/>
      </top>
      <bottom style="thin">
        <color rgb="FFFFE6E1"/>
      </bottom>
    </border>
    <border>
      <top style="medium">
        <color rgb="FF434343"/>
      </top>
      <bottom style="thin">
        <color rgb="FFFFE6E1"/>
      </bottom>
    </border>
    <border>
      <right style="thick">
        <color rgb="FF434343"/>
      </right>
      <top style="medium">
        <color rgb="FF434343"/>
      </top>
      <bottom style="thin">
        <color rgb="FFFFE6E1"/>
      </bottom>
    </border>
    <border>
      <left style="thin">
        <color rgb="FFFFE6E1"/>
      </left>
      <right style="thin">
        <color rgb="FFFFE6E1"/>
      </right>
      <top style="thin">
        <color rgb="FFFFE6E1"/>
      </top>
    </border>
    <border>
      <left style="thick">
        <color rgb="FF434343"/>
      </left>
      <top style="thin">
        <color rgb="FFFFE6E1"/>
      </top>
    </border>
    <border>
      <top style="thin">
        <color rgb="FFFFE6E1"/>
      </top>
    </border>
    <border>
      <right style="thin">
        <color rgb="FFFFE6E1"/>
      </right>
      <top style="thin">
        <color rgb="FFFFE6E1"/>
      </top>
    </border>
    <border>
      <left style="thin">
        <color rgb="FFFFE6E1"/>
      </left>
      <right style="thick">
        <color rgb="FF434343"/>
      </right>
      <top style="thin">
        <color rgb="FFFFE6E1"/>
      </top>
    </border>
    <border>
      <left style="thin">
        <color rgb="FFFFE6E1"/>
      </left>
      <right style="thick">
        <color rgb="FF434343"/>
      </right>
      <top style="medium">
        <color rgb="FF434343"/>
      </top>
      <bottom style="thin">
        <color rgb="FFFFE6E1"/>
      </bottom>
    </border>
    <border>
      <left style="thick">
        <color rgb="FF434343"/>
      </left>
      <top style="thin">
        <color rgb="FFFFE6E1"/>
      </top>
      <bottom style="thick">
        <color rgb="FF434343"/>
      </bottom>
    </border>
    <border>
      <top style="thin">
        <color rgb="FFFFE6E1"/>
      </top>
      <bottom style="thick">
        <color rgb="FF434343"/>
      </bottom>
    </border>
    <border>
      <left style="thin">
        <color rgb="FFFFE6E1"/>
      </left>
      <right style="thick">
        <color rgb="FF434343"/>
      </right>
      <top style="thin">
        <color rgb="FFFFE6E1"/>
      </top>
      <bottom style="thick">
        <color rgb="FF434343"/>
      </bottom>
    </border>
    <border>
      <left style="thin">
        <color rgb="FFFFE6E1"/>
      </left>
      <right style="thin">
        <color rgb="FFFFE6E1"/>
      </right>
      <top style="thin">
        <color rgb="FFFFFFFF"/>
      </top>
    </border>
    <border>
      <left style="thin">
        <color rgb="FFFFE6E1"/>
      </left>
      <right style="thin">
        <color rgb="FFFFE6E1"/>
      </right>
      <top style="thin">
        <color rgb="FFF9F9F9"/>
      </top>
    </border>
    <border>
      <left style="thin">
        <color rgb="FFFFE6E1"/>
      </left>
      <right style="thick">
        <color rgb="FF3E3A3A"/>
      </right>
      <top style="thin">
        <color rgb="FFFFE6E1"/>
      </top>
      <bottom style="thin">
        <color rgb="FFFFE6E1"/>
      </bottom>
    </border>
    <border>
      <left style="thick">
        <color rgb="FF3E3A3A"/>
      </left>
      <right style="thin">
        <color rgb="FF7B534C"/>
      </right>
      <bottom style="thin">
        <color rgb="FF7B534C"/>
      </bottom>
    </border>
    <border>
      <left style="thin">
        <color rgb="FF7B534C"/>
      </left>
      <right style="thin">
        <color rgb="FF7B534C"/>
      </right>
      <bottom style="thin">
        <color rgb="FF7B534C"/>
      </bottom>
    </border>
    <border>
      <left style="thin">
        <color rgb="FF7B534C"/>
      </left>
      <top style="thin">
        <color rgb="FF3E3A3A"/>
      </top>
      <bottom style="thin">
        <color rgb="FF7B534C"/>
      </bottom>
    </border>
    <border>
      <left style="medium">
        <color rgb="FF3E3A3A"/>
      </left>
      <right style="thick">
        <color rgb="FF3E3A3A"/>
      </right>
      <bottom style="thin">
        <color rgb="FF7B534C"/>
      </bottom>
    </border>
    <border>
      <left style="thick">
        <color rgb="FF3E3A3A"/>
      </left>
      <right style="thin">
        <color rgb="FF7B534C"/>
      </right>
      <top style="thin">
        <color rgb="FF7B534C"/>
      </top>
      <bottom style="thin">
        <color rgb="FF7B534C"/>
      </bottom>
    </border>
    <border>
      <left style="thin">
        <color rgb="FF7B534C"/>
      </left>
      <right style="thin">
        <color rgb="FF7B534C"/>
      </right>
      <top style="thin">
        <color rgb="FF7B534C"/>
      </top>
      <bottom style="thin">
        <color rgb="FF7B534C"/>
      </bottom>
    </border>
    <border>
      <left style="thin">
        <color rgb="FF7B534C"/>
      </left>
      <top style="thin">
        <color rgb="FF7B534C"/>
      </top>
      <bottom style="thin">
        <color rgb="FF7B534C"/>
      </bottom>
    </border>
    <border>
      <left style="medium">
        <color rgb="FF3E3A3A"/>
      </left>
      <right style="thick">
        <color rgb="FF3E3A3A"/>
      </right>
      <top style="thin">
        <color rgb="FF7B534C"/>
      </top>
      <bottom style="thin">
        <color rgb="FF7B534C"/>
      </bottom>
    </border>
    <border>
      <left style="thick">
        <color rgb="FF3E3A3A"/>
      </left>
      <right style="thin">
        <color rgb="FF7B534C"/>
      </right>
      <top style="thin">
        <color rgb="FF7B534C"/>
      </top>
    </border>
    <border>
      <left style="thin">
        <color rgb="FF7B534C"/>
      </left>
      <right style="thin">
        <color rgb="FF7B534C"/>
      </right>
      <top style="thin">
        <color rgb="FF7B534C"/>
      </top>
    </border>
    <border>
      <left style="thin">
        <color rgb="FF7B534C"/>
      </left>
      <top style="thin">
        <color rgb="FF7B534C"/>
      </top>
    </border>
    <border>
      <left style="medium">
        <color rgb="FF3E3A3A"/>
      </left>
      <right style="thick">
        <color rgb="FF3E3A3A"/>
      </right>
      <top style="thin">
        <color rgb="FF7B534C"/>
      </top>
      <bottom style="medium">
        <color rgb="FF3E3A3A"/>
      </bottom>
    </border>
    <border>
      <left style="thick">
        <color rgb="FF3E3A3A"/>
      </left>
      <right style="thin">
        <color rgb="FFFFE6E1"/>
      </right>
      <top style="thin">
        <color rgb="FFFFE6E1"/>
      </top>
      <bottom style="thick">
        <color rgb="FF3E3A3A"/>
      </bottom>
    </border>
    <border>
      <left style="thin">
        <color rgb="FFFFE6E1"/>
      </left>
      <right style="thin">
        <color rgb="FFFFE6E1"/>
      </right>
      <top style="thin">
        <color rgb="FFFFE6E1"/>
      </top>
      <bottom style="thick">
        <color rgb="FF3E3A3A"/>
      </bottom>
    </border>
    <border>
      <left style="thin">
        <color rgb="FFFFE6E1"/>
      </left>
      <right style="thin">
        <color rgb="FFFFE6E1"/>
      </right>
      <bottom style="thick">
        <color rgb="FF3E3A3A"/>
      </bottom>
    </border>
    <border>
      <left style="thin">
        <color rgb="FFFFE6E1"/>
      </left>
      <right style="thick">
        <color rgb="FF3E3A3A"/>
      </right>
      <top style="thin">
        <color rgb="FFFFE6E1"/>
      </top>
      <bottom style="thick">
        <color rgb="FF3E3A3A"/>
      </bottom>
    </border>
    <border>
      <left style="thick">
        <color rgb="FF3E3A3A"/>
      </left>
      <right style="thin">
        <color rgb="FFEBFCFB"/>
      </right>
      <bottom style="thin">
        <color rgb="FFEBFCFB"/>
      </bottom>
    </border>
    <border>
      <left style="thin">
        <color rgb="FFEBFCFB"/>
      </left>
      <right style="thin">
        <color rgb="FFEBFCFB"/>
      </right>
      <bottom style="thin">
        <color rgb="FFEBFCFB"/>
      </bottom>
    </border>
    <border>
      <left style="thin">
        <color rgb="FFEBFCFB"/>
      </left>
      <right style="thick">
        <color rgb="FF3E3A3A"/>
      </right>
      <bottom style="thin">
        <color rgb="FFEBFCFB"/>
      </bottom>
    </border>
    <border>
      <left style="thick">
        <color rgb="FF3E3A3A"/>
      </left>
      <right style="thin">
        <color rgb="FFEBFCFB"/>
      </right>
      <top style="thin">
        <color rgb="FFEBFCFB"/>
      </top>
      <bottom style="thin">
        <color rgb="FFEBFCFB"/>
      </bottom>
    </border>
    <border>
      <left style="thin">
        <color rgb="FFEBFCFB"/>
      </left>
      <right style="thin">
        <color rgb="FFEBFCFB"/>
      </right>
      <top style="thin">
        <color rgb="FFEBFCFB"/>
      </top>
      <bottom style="thin">
        <color rgb="FFFFFFFF"/>
      </bottom>
    </border>
    <border>
      <left style="thin">
        <color rgb="FFEBFCFB"/>
      </left>
      <right style="thin">
        <color rgb="FFEBFCFB"/>
      </right>
      <top style="thin">
        <color rgb="FFEBFCFB"/>
      </top>
    </border>
    <border>
      <left style="thin">
        <color rgb="FFEBFCFB"/>
      </left>
      <top style="thin">
        <color rgb="FFEBFCFB"/>
      </top>
    </border>
    <border>
      <top style="thin">
        <color rgb="FFEBFCFB"/>
      </top>
    </border>
    <border>
      <right style="thin">
        <color rgb="FFEBFCFB"/>
      </right>
      <top style="thin">
        <color rgb="FFEBFCFB"/>
      </top>
    </border>
    <border>
      <left style="thin">
        <color rgb="FFEBFCFB"/>
      </left>
      <right style="thick">
        <color rgb="FF3E3A3A"/>
      </right>
      <top style="thin">
        <color rgb="FFEBFCFB"/>
      </top>
      <bottom style="thin">
        <color rgb="FFEBFCFB"/>
      </bottom>
    </border>
    <border>
      <left style="thick">
        <color rgb="FF3E3A3A"/>
      </left>
      <top style="thin">
        <color rgb="FFEBFCFB"/>
      </top>
      <bottom style="thin">
        <color rgb="FFEBFCFB"/>
      </bottom>
    </border>
    <border>
      <top style="thin">
        <color rgb="FFEBFCFB"/>
      </top>
      <bottom style="thin">
        <color rgb="FFEBFCFB"/>
      </bottom>
    </border>
    <border>
      <right style="thick">
        <color rgb="FF3E3A3A"/>
      </right>
      <top style="thin">
        <color rgb="FFEBFCFB"/>
      </top>
      <bottom style="thin">
        <color rgb="FFEBFCFB"/>
      </bottom>
    </border>
    <border>
      <left style="thick">
        <color rgb="FF434343"/>
      </left>
      <bottom style="thin">
        <color rgb="FFEBFCFB"/>
      </bottom>
    </border>
    <border>
      <bottom style="thin">
        <color rgb="FFEBFCFB"/>
      </bottom>
    </border>
    <border>
      <right style="thick">
        <color rgb="FF434343"/>
      </right>
      <bottom style="thin">
        <color rgb="FFEBFCFB"/>
      </bottom>
    </border>
    <border>
      <left style="thick">
        <color rgb="FF434343"/>
      </left>
      <top style="thin">
        <color rgb="FFEBFCFB"/>
      </top>
      <bottom style="thin">
        <color rgb="FFEBFCFB"/>
      </bottom>
    </border>
    <border>
      <right style="thick">
        <color rgb="FF434343"/>
      </right>
      <top style="thin">
        <color rgb="FFEBFCFB"/>
      </top>
      <bottom style="thin">
        <color rgb="FFEBFCFB"/>
      </bottom>
    </border>
    <border>
      <left style="thick">
        <color rgb="FF434343"/>
      </left>
      <right style="thin">
        <color rgb="FFEBFCFB"/>
      </right>
      <top style="thin">
        <color rgb="FFEBFCFB"/>
      </top>
      <bottom style="thin">
        <color rgb="FFEBFCFB"/>
      </bottom>
    </border>
    <border>
      <left style="thin">
        <color rgb="FFEBFCFB"/>
      </left>
      <right style="thin">
        <color rgb="FFEBFCFB"/>
      </right>
      <top style="thin">
        <color rgb="FFEBFCFB"/>
      </top>
      <bottom style="thin">
        <color rgb="FFEBFCFB"/>
      </bottom>
    </border>
    <border>
      <left style="thin">
        <color rgb="FFEBFCFB"/>
      </left>
      <right style="thick">
        <color rgb="FF434343"/>
      </right>
      <top style="thin">
        <color rgb="FFEBFCFB"/>
      </top>
      <bottom style="thin">
        <color rgb="FFEBFCFB"/>
      </bottom>
    </border>
    <border>
      <left style="thin">
        <color rgb="FFEBFCFB"/>
      </left>
      <top style="thin">
        <color rgb="FFEBFCFB"/>
      </top>
      <bottom style="thin">
        <color rgb="FFEBFCFB"/>
      </bottom>
    </border>
    <border>
      <left style="thick">
        <color rgb="FF434343"/>
      </left>
      <right style="medium">
        <color rgb="FFEBFCFB"/>
      </right>
      <top style="thin">
        <color rgb="FFEBFCFB"/>
      </top>
      <bottom style="medium">
        <color rgb="FFEBFCFB"/>
      </bottom>
    </border>
    <border>
      <left style="medium">
        <color rgb="FFEBFCFB"/>
      </left>
      <right style="thick">
        <color rgb="FF434343"/>
      </right>
      <top style="thin">
        <color rgb="FFEBFCFB"/>
      </top>
      <bottom style="medium">
        <color rgb="FFEBFCFB"/>
      </bottom>
    </border>
    <border>
      <left style="thick">
        <color rgb="FF434343"/>
      </left>
      <top style="thin">
        <color rgb="FFEBFCFB"/>
      </top>
      <bottom style="medium">
        <color rgb="FFEBFCFB"/>
      </bottom>
    </border>
    <border>
      <right style="thin">
        <color rgb="FFEBFCFB"/>
      </right>
      <top style="thin">
        <color rgb="FFEBFCFB"/>
      </top>
      <bottom style="thin">
        <color rgb="FFEBFCFB"/>
      </bottom>
    </border>
    <border>
      <right style="thick">
        <color rgb="FF434343"/>
      </right>
      <top style="thin">
        <color rgb="FFEBFCFB"/>
      </top>
      <bottom style="medium">
        <color rgb="FFEBFCFB"/>
      </bottom>
    </border>
    <border>
      <left style="thick">
        <color rgb="FF434343"/>
      </left>
      <right style="medium">
        <color rgb="FFEBFCFB"/>
      </right>
    </border>
    <border>
      <left style="medium">
        <color rgb="FFEBFCFB"/>
      </left>
      <right style="medium">
        <color rgb="FFEBFCFB"/>
      </right>
    </border>
    <border>
      <left style="medium">
        <color rgb="FFEBFCFB"/>
      </left>
      <right style="thick">
        <color rgb="FF434343"/>
      </right>
    </border>
    <border>
      <left style="thick">
        <color rgb="FF434343"/>
      </left>
      <right style="medium">
        <color rgb="FFEBFCFB"/>
      </right>
      <top style="medium">
        <color rgb="FFEBFCFB"/>
      </top>
    </border>
    <border>
      <left style="medium">
        <color rgb="FFEBFCFB"/>
      </left>
      <right style="medium">
        <color rgb="FFEBFCFB"/>
      </right>
      <top style="medium">
        <color rgb="FFEBFCFB"/>
      </top>
    </border>
    <border>
      <left style="medium">
        <color rgb="FFEBFCFB"/>
      </left>
      <right style="thick">
        <color rgb="FF434343"/>
      </right>
      <top style="medium">
        <color rgb="FFEBFCFB"/>
      </top>
    </border>
    <border>
      <left style="thick">
        <color rgb="FF434343"/>
      </left>
      <top style="medium">
        <color rgb="FF434343"/>
      </top>
      <bottom style="thin">
        <color rgb="FFEBFCFB"/>
      </bottom>
    </border>
    <border>
      <top style="medium">
        <color rgb="FF434343"/>
      </top>
      <bottom style="thin">
        <color rgb="FFEBFCFB"/>
      </bottom>
    </border>
    <border>
      <right style="thick">
        <color rgb="FF434343"/>
      </right>
      <top style="medium">
        <color rgb="FF434343"/>
      </top>
      <bottom style="thin">
        <color rgb="FFEBFCFB"/>
      </bottom>
    </border>
    <border>
      <left style="thin">
        <color rgb="FFEBFCFB"/>
      </left>
      <right style="thin">
        <color rgb="FFEBFCFB"/>
      </right>
    </border>
    <border>
      <left style="thick">
        <color rgb="FF434343"/>
      </left>
      <top style="thin">
        <color rgb="FFEBFCFB"/>
      </top>
    </border>
    <border>
      <left style="thin">
        <color rgb="FFEBFCFB"/>
      </left>
      <right style="thick">
        <color rgb="FF434343"/>
      </right>
      <top style="thin">
        <color rgb="FFEBFCFB"/>
      </top>
    </border>
    <border>
      <left style="thin">
        <color rgb="FFEBFCFB"/>
      </left>
      <right style="thick">
        <color rgb="FF434343"/>
      </right>
      <top style="medium">
        <color rgb="FF434343"/>
      </top>
      <bottom style="thin">
        <color rgb="FFEBFCFB"/>
      </bottom>
    </border>
    <border>
      <left style="thick">
        <color rgb="FF434343"/>
      </left>
      <top style="thin">
        <color rgb="FFEBFCFB"/>
      </top>
      <bottom style="thick">
        <color rgb="FF434343"/>
      </bottom>
    </border>
    <border>
      <top style="thin">
        <color rgb="FFEBFCFB"/>
      </top>
      <bottom style="thick">
        <color rgb="FF434343"/>
      </bottom>
    </border>
    <border>
      <left style="thin">
        <color rgb="FFEBFCFB"/>
      </left>
      <right style="thick">
        <color rgb="FF434343"/>
      </right>
      <top style="thin">
        <color rgb="FFEBFCFB"/>
      </top>
      <bottom style="thick">
        <color rgb="FF434343"/>
      </bottom>
    </border>
    <border>
      <left style="thin">
        <color rgb="FFEBFCFB"/>
      </left>
      <right style="thin">
        <color rgb="FFEBFCFB"/>
      </right>
      <top style="thin">
        <color rgb="FFFFFFFF"/>
      </top>
    </border>
    <border>
      <left style="thin">
        <color rgb="FFEBFCFB"/>
      </left>
      <right style="thin">
        <color rgb="FFEBFCFB"/>
      </right>
      <top style="thin">
        <color rgb="FFF9F9F9"/>
      </top>
    </border>
    <border>
      <left style="thick">
        <color rgb="FF3E3A3A"/>
      </left>
      <right style="thin">
        <color rgb="FF61879A"/>
      </right>
      <bottom style="thin">
        <color rgb="FF61879A"/>
      </bottom>
    </border>
    <border>
      <left style="thin">
        <color rgb="FF61879A"/>
      </left>
      <right style="thin">
        <color rgb="FF61879A"/>
      </right>
      <bottom style="thin">
        <color rgb="FF61879A"/>
      </bottom>
    </border>
    <border>
      <left style="thin">
        <color rgb="FF61879A"/>
      </left>
      <top style="thin">
        <color rgb="FF3E3A3A"/>
      </top>
      <bottom style="thin">
        <color rgb="FF61879A"/>
      </bottom>
    </border>
    <border>
      <left style="medium">
        <color rgb="FF3E3A3A"/>
      </left>
      <right style="thick">
        <color rgb="FF3E3A3A"/>
      </right>
      <bottom style="thin">
        <color rgb="FF61879A"/>
      </bottom>
    </border>
    <border>
      <left style="thick">
        <color rgb="FF3E3A3A"/>
      </left>
      <right style="thin">
        <color rgb="FF61879A"/>
      </right>
      <top style="thin">
        <color rgb="FF61879A"/>
      </top>
      <bottom style="thin">
        <color rgb="FF61879A"/>
      </bottom>
    </border>
    <border>
      <left style="thin">
        <color rgb="FF61879A"/>
      </left>
      <right style="thin">
        <color rgb="FF61879A"/>
      </right>
      <top style="thin">
        <color rgb="FF61879A"/>
      </top>
      <bottom style="thin">
        <color rgb="FF61879A"/>
      </bottom>
    </border>
    <border>
      <left style="thin">
        <color rgb="FF61879A"/>
      </left>
      <top style="thin">
        <color rgb="FF61879A"/>
      </top>
      <bottom style="thin">
        <color rgb="FF61879A"/>
      </bottom>
    </border>
    <border>
      <left style="medium">
        <color rgb="FF3E3A3A"/>
      </left>
      <right style="thick">
        <color rgb="FF3E3A3A"/>
      </right>
      <top style="thin">
        <color rgb="FF61879A"/>
      </top>
      <bottom style="thin">
        <color rgb="FF61879A"/>
      </bottom>
    </border>
    <border>
      <left style="thick">
        <color rgb="FF3E3A3A"/>
      </left>
      <right style="thin">
        <color rgb="FF61879A"/>
      </right>
      <top style="thin">
        <color rgb="FF61879A"/>
      </top>
    </border>
    <border>
      <left style="thin">
        <color rgb="FF61879A"/>
      </left>
      <right style="thin">
        <color rgb="FF61879A"/>
      </right>
      <top style="thin">
        <color rgb="FF61879A"/>
      </top>
    </border>
    <border>
      <left style="thin">
        <color rgb="FF61879A"/>
      </left>
      <top style="thin">
        <color rgb="FF61879A"/>
      </top>
    </border>
    <border>
      <left style="medium">
        <color rgb="FF3E3A3A"/>
      </left>
      <right style="thick">
        <color rgb="FF3E3A3A"/>
      </right>
      <top style="thin">
        <color rgb="FF61879A"/>
      </top>
      <bottom style="medium">
        <color rgb="FF3E3A3A"/>
      </bottom>
    </border>
    <border>
      <left style="thick">
        <color rgb="FF3E3A3A"/>
      </left>
      <right style="thin">
        <color rgb="FFEBFCFB"/>
      </right>
      <top style="thin">
        <color rgb="FFEBFCFB"/>
      </top>
      <bottom style="thick">
        <color rgb="FF3E3A3A"/>
      </bottom>
    </border>
    <border>
      <left style="thin">
        <color rgb="FFEBFCFB"/>
      </left>
      <right style="thin">
        <color rgb="FFEBFCFB"/>
      </right>
      <top style="thin">
        <color rgb="FFEBFCFB"/>
      </top>
      <bottom style="thick">
        <color rgb="FF3E3A3A"/>
      </bottom>
    </border>
    <border>
      <left style="thin">
        <color rgb="FFEBFCFB"/>
      </left>
      <right style="thin">
        <color rgb="FFEBFCFB"/>
      </right>
      <bottom style="thick">
        <color rgb="FF3E3A3A"/>
      </bottom>
    </border>
    <border>
      <left style="thin">
        <color rgb="FFEBFCFB"/>
      </left>
      <right style="thick">
        <color rgb="FF3E3A3A"/>
      </right>
      <top style="thin">
        <color rgb="FFEBFCFB"/>
      </top>
      <bottom style="thick">
        <color rgb="FF3E3A3A"/>
      </bottom>
    </border>
    <border>
      <left style="thick">
        <color rgb="FF3E3A3A"/>
      </left>
      <right style="thin">
        <color rgb="FFE6E6E6"/>
      </right>
      <bottom style="thin">
        <color rgb="FFE6E6E6"/>
      </bottom>
    </border>
    <border>
      <left style="thin">
        <color rgb="FFE6E6E6"/>
      </left>
      <right style="thin">
        <color rgb="FFE6E6E6"/>
      </right>
      <bottom style="thin">
        <color rgb="FFE6E6E6"/>
      </bottom>
    </border>
    <border>
      <left style="thin">
        <color rgb="FFE6E6E6"/>
      </left>
      <right style="thick">
        <color rgb="FF3E3A3A"/>
      </right>
      <bottom style="thin">
        <color rgb="FFE6E6E6"/>
      </bottom>
    </border>
    <border>
      <left style="thick">
        <color rgb="FF3E3A3A"/>
      </left>
      <right style="thin">
        <color rgb="FFE6E6E6"/>
      </right>
      <top style="thin">
        <color rgb="FFE6E6E6"/>
      </top>
      <bottom style="thin">
        <color rgb="FFE6E6E6"/>
      </bottom>
    </border>
    <border>
      <left style="thin">
        <color rgb="FFE6E6E6"/>
      </left>
      <right style="thin">
        <color rgb="FFE6E6E6"/>
      </right>
      <top style="thin">
        <color rgb="FFE6E6E6"/>
      </top>
      <bottom style="thin">
        <color rgb="FFE6E6E6"/>
      </bottom>
    </border>
    <border>
      <left style="thin">
        <color rgb="FFE6E6E6"/>
      </left>
      <right style="thick">
        <color rgb="FF3E3A3A"/>
      </right>
      <top style="thin">
        <color rgb="FFE6E6E6"/>
      </top>
      <bottom style="thin">
        <color rgb="FFE6E6E6"/>
      </bottom>
    </border>
    <border>
      <left style="thin">
        <color rgb="FFE6E6E6"/>
      </left>
      <right style="thin">
        <color rgb="FFE6E6E6"/>
      </right>
      <top style="thin">
        <color rgb="FFE6E6E6"/>
      </top>
    </border>
    <border>
      <left style="thick">
        <color rgb="FF3E3A3A"/>
      </left>
      <top style="thin">
        <color rgb="FFE6E6E6"/>
      </top>
      <bottom style="thin">
        <color rgb="FFE6E6E6"/>
      </bottom>
    </border>
    <border>
      <top style="thin">
        <color rgb="FFE6E6E6"/>
      </top>
      <bottom style="thin">
        <color rgb="FFE6E6E6"/>
      </bottom>
    </border>
    <border>
      <right style="thick">
        <color rgb="FF3E3A3A"/>
      </right>
      <top style="thin">
        <color rgb="FFE6E6E6"/>
      </top>
      <bottom style="thin">
        <color rgb="FFE6E6E6"/>
      </bottom>
    </border>
    <border>
      <left style="thick">
        <color rgb="FF434343"/>
      </left>
      <bottom style="thin">
        <color rgb="FFE6E6E6"/>
      </bottom>
    </border>
    <border>
      <bottom style="thin">
        <color rgb="FFE6E6E6"/>
      </bottom>
    </border>
    <border>
      <right style="thick">
        <color rgb="FF434343"/>
      </right>
      <bottom style="thin">
        <color rgb="FFE6E6E6"/>
      </bottom>
    </border>
    <border>
      <left style="thick">
        <color rgb="FF434343"/>
      </left>
      <top style="thin">
        <color rgb="FFE6E6E6"/>
      </top>
      <bottom style="thin">
        <color rgb="FFE6E6E6"/>
      </bottom>
    </border>
    <border>
      <right style="thick">
        <color rgb="FF434343"/>
      </right>
      <top style="thin">
        <color rgb="FFE6E6E6"/>
      </top>
      <bottom style="thin">
        <color rgb="FFE6E6E6"/>
      </bottom>
    </border>
    <border>
      <left style="thick">
        <color rgb="FF434343"/>
      </left>
      <right style="thin">
        <color rgb="FFE6E6E6"/>
      </right>
      <top style="thin">
        <color rgb="FFE6E6E6"/>
      </top>
      <bottom style="thin">
        <color rgb="FFE6E6E6"/>
      </bottom>
    </border>
    <border>
      <left style="thin">
        <color rgb="FFE6E6E6"/>
      </left>
      <right style="thick">
        <color rgb="FF434343"/>
      </right>
      <top style="thin">
        <color rgb="FFE6E6E6"/>
      </top>
      <bottom style="thin">
        <color rgb="FFE6E6E6"/>
      </bottom>
    </border>
    <border>
      <left style="thin">
        <color rgb="FFE6E6E6"/>
      </left>
      <top style="thin">
        <color rgb="FFE6E6E6"/>
      </top>
      <bottom style="thin">
        <color rgb="FFE6E6E6"/>
      </bottom>
    </border>
    <border>
      <left style="thick">
        <color rgb="FF434343"/>
      </left>
      <top style="thin">
        <color rgb="FFE6E6E6"/>
      </top>
      <bottom style="medium">
        <color rgb="FFE6E6E6"/>
      </bottom>
    </border>
    <border>
      <right style="thin">
        <color rgb="FFE6E6E6"/>
      </right>
      <top style="thin">
        <color rgb="FFE6E6E6"/>
      </top>
      <bottom style="thin">
        <color rgb="FFE6E6E6"/>
      </bottom>
    </border>
    <border>
      <right style="thick">
        <color rgb="FF434343"/>
      </right>
      <top style="thin">
        <color rgb="FFE6E6E6"/>
      </top>
      <bottom style="medium">
        <color rgb="FFE6E6E6"/>
      </bottom>
    </border>
    <border>
      <left style="thick">
        <color rgb="FF434343"/>
      </left>
      <right style="medium">
        <color rgb="FFE6E6E6"/>
      </right>
      <top style="thin">
        <color rgb="FFE6E6E6"/>
      </top>
      <bottom style="medium">
        <color rgb="FFE6E6E6"/>
      </bottom>
    </border>
    <border>
      <left style="medium">
        <color rgb="FFE6E6E6"/>
      </left>
      <right style="thick">
        <color rgb="FF434343"/>
      </right>
      <top style="thin">
        <color rgb="FFE6E6E6"/>
      </top>
      <bottom style="medium">
        <color rgb="FFE6E6E6"/>
      </bottom>
    </border>
    <border>
      <left style="thick">
        <color rgb="FF434343"/>
      </left>
      <right style="medium">
        <color rgb="FFE6E6E6"/>
      </right>
    </border>
    <border>
      <left style="medium">
        <color rgb="FFE6E6E6"/>
      </left>
      <right style="medium">
        <color rgb="FFE6E6E6"/>
      </right>
    </border>
    <border>
      <left style="medium">
        <color rgb="FFE6E6E6"/>
      </left>
      <right style="thick">
        <color rgb="FF434343"/>
      </right>
    </border>
    <border>
      <left style="thick">
        <color rgb="FF434343"/>
      </left>
      <right style="medium">
        <color rgb="FFE6E6E6"/>
      </right>
      <top style="medium">
        <color rgb="FFE6E6E6"/>
      </top>
    </border>
    <border>
      <left style="medium">
        <color rgb="FFE6E6E6"/>
      </left>
      <right style="thick">
        <color rgb="FF434343"/>
      </right>
      <top style="medium">
        <color rgb="FFE6E6E6"/>
      </top>
    </border>
    <border>
      <left style="medium">
        <color rgb="FFE6E6E6"/>
      </left>
      <right style="medium">
        <color rgb="FFE6E6E6"/>
      </right>
      <top style="medium">
        <color rgb="FFE6E6E6"/>
      </top>
    </border>
    <border>
      <left style="thick">
        <color rgb="FF434343"/>
      </left>
      <top style="medium">
        <color rgb="FF434343"/>
      </top>
      <bottom style="thin">
        <color rgb="FFE6E6E6"/>
      </bottom>
    </border>
    <border>
      <top style="medium">
        <color rgb="FF434343"/>
      </top>
      <bottom style="thin">
        <color rgb="FFE6E6E6"/>
      </bottom>
    </border>
    <border>
      <right style="thick">
        <color rgb="FF434343"/>
      </right>
      <top style="medium">
        <color rgb="FF434343"/>
      </top>
      <bottom style="thin">
        <color rgb="FFE6E6E6"/>
      </bottom>
    </border>
    <border>
      <left style="thin">
        <color rgb="FFE6E6E6"/>
      </left>
      <right style="thin">
        <color rgb="FFE6E6E6"/>
      </right>
    </border>
    <border>
      <left style="thick">
        <color rgb="FF434343"/>
      </left>
      <top style="thin">
        <color rgb="FFE6E6E6"/>
      </top>
    </border>
    <border>
      <top style="thin">
        <color rgb="FFE6E6E6"/>
      </top>
    </border>
    <border>
      <right style="thin">
        <color rgb="FFE6E6E6"/>
      </right>
      <top style="thin">
        <color rgb="FFE6E6E6"/>
      </top>
    </border>
    <border>
      <left style="thin">
        <color rgb="FFE6E6E6"/>
      </left>
      <right style="thick">
        <color rgb="FF434343"/>
      </right>
      <top style="thin">
        <color rgb="FFE6E6E6"/>
      </top>
    </border>
    <border>
      <left style="thin">
        <color rgb="FFE6E6E6"/>
      </left>
      <right style="thick">
        <color rgb="FF434343"/>
      </right>
      <top style="medium">
        <color rgb="FF434343"/>
      </top>
      <bottom style="thin">
        <color rgb="FFE6E6E6"/>
      </bottom>
    </border>
    <border>
      <left style="thick">
        <color rgb="FF434343"/>
      </left>
      <top style="thin">
        <color rgb="FFE6E6E6"/>
      </top>
      <bottom style="thick">
        <color rgb="FF434343"/>
      </bottom>
    </border>
    <border>
      <top style="thin">
        <color rgb="FFE6E6E6"/>
      </top>
      <bottom style="thick">
        <color rgb="FF434343"/>
      </bottom>
    </border>
    <border>
      <left style="thin">
        <color rgb="FFE6E6E6"/>
      </left>
      <right style="thick">
        <color rgb="FF434343"/>
      </right>
      <top style="thin">
        <color rgb="FFE6E6E6"/>
      </top>
      <bottom style="thick">
        <color rgb="FF434343"/>
      </bottom>
    </border>
    <border>
      <left style="thin">
        <color rgb="FFE6E6E6"/>
      </left>
      <right style="thin">
        <color rgb="FFEBFCFB"/>
      </right>
      <top style="thin">
        <color rgb="FFE6E6E6"/>
      </top>
      <bottom style="thin">
        <color rgb="FFE6E6E6"/>
      </bottom>
    </border>
    <border>
      <left style="thin">
        <color rgb="FFEBFCFB"/>
      </left>
      <right style="thick">
        <color rgb="FF3E3A3A"/>
      </right>
      <top style="thin">
        <color rgb="FFE6E6E6"/>
      </top>
      <bottom style="thin">
        <color rgb="FFE6E6E6"/>
      </bottom>
    </border>
    <border>
      <left style="thick">
        <color rgb="FF3E3A3A"/>
      </left>
      <right style="thin">
        <color rgb="FF93939F"/>
      </right>
      <bottom style="thin">
        <color rgb="FF93939F"/>
      </bottom>
    </border>
    <border>
      <left style="thin">
        <color rgb="FF93939F"/>
      </left>
      <right style="thin">
        <color rgb="FF93939F"/>
      </right>
      <bottom style="thin">
        <color rgb="FF93939F"/>
      </bottom>
    </border>
    <border>
      <left style="thin">
        <color rgb="FF93939F"/>
      </left>
      <top style="thin">
        <color rgb="FF3E3A3A"/>
      </top>
      <bottom style="thin">
        <color rgb="FF93939F"/>
      </bottom>
    </border>
    <border>
      <left style="medium">
        <color rgb="FF3E3A3A"/>
      </left>
      <right style="thick">
        <color rgb="FF3E3A3A"/>
      </right>
      <bottom style="thin">
        <color rgb="FF93939F"/>
      </bottom>
    </border>
    <border>
      <left style="thick">
        <color rgb="FF3E3A3A"/>
      </left>
      <right style="thin">
        <color rgb="FF93939F"/>
      </right>
      <top style="thin">
        <color rgb="FF93939F"/>
      </top>
      <bottom style="thin">
        <color rgb="FF93939F"/>
      </bottom>
    </border>
    <border>
      <left style="thin">
        <color rgb="FF93939F"/>
      </left>
      <right style="thin">
        <color rgb="FF93939F"/>
      </right>
      <top style="thin">
        <color rgb="FF93939F"/>
      </top>
      <bottom style="thin">
        <color rgb="FF93939F"/>
      </bottom>
    </border>
    <border>
      <left style="thin">
        <color rgb="FF93939F"/>
      </left>
      <top style="thin">
        <color rgb="FF93939F"/>
      </top>
      <bottom style="thin">
        <color rgb="FF93939F"/>
      </bottom>
    </border>
    <border>
      <left style="medium">
        <color rgb="FF3E3A3A"/>
      </left>
      <right style="thick">
        <color rgb="FF3E3A3A"/>
      </right>
      <top style="thin">
        <color rgb="FF93939F"/>
      </top>
      <bottom style="thin">
        <color rgb="FF93939F"/>
      </bottom>
    </border>
    <border>
      <left style="thick">
        <color rgb="FF3E3A3A"/>
      </left>
      <right style="thin">
        <color rgb="FF93939F"/>
      </right>
      <top style="thin">
        <color rgb="FF93939F"/>
      </top>
    </border>
    <border>
      <left style="thin">
        <color rgb="FF93939F"/>
      </left>
      <right style="thin">
        <color rgb="FF93939F"/>
      </right>
      <top style="thin">
        <color rgb="FF93939F"/>
      </top>
    </border>
    <border>
      <left style="thin">
        <color rgb="FF93939F"/>
      </left>
      <top style="thin">
        <color rgb="FF93939F"/>
      </top>
    </border>
    <border>
      <left style="medium">
        <color rgb="FF3E3A3A"/>
      </left>
      <right style="thick">
        <color rgb="FF3E3A3A"/>
      </right>
      <top style="thin">
        <color rgb="FF93939F"/>
      </top>
      <bottom style="medium">
        <color rgb="FF3E3A3A"/>
      </bottom>
    </border>
    <border>
      <left style="thin">
        <color rgb="FFE6E6E6"/>
      </left>
      <bottom style="thin">
        <color rgb="FFE6E6E6"/>
      </bottom>
    </border>
    <border>
      <right style="thin">
        <color rgb="FFE6E6E6"/>
      </right>
      <bottom style="thin">
        <color rgb="FFE6E6E6"/>
      </bottom>
    </border>
    <border>
      <left style="thin">
        <color rgb="FFFFFFFF"/>
      </left>
      <right style="thick">
        <color rgb="FF3E3A3A"/>
      </right>
      <top style="thin">
        <color rgb="FFE6E6E6"/>
      </top>
      <bottom style="thin">
        <color rgb="FFE6E6E6"/>
      </bottom>
    </border>
    <border>
      <left style="thin">
        <color rgb="FFE6E6E6"/>
      </left>
      <top style="thin">
        <color rgb="FFE6E6E6"/>
      </top>
      <bottom style="thin">
        <color rgb="FFFFFFFF"/>
      </bottom>
    </border>
    <border>
      <top style="thin">
        <color rgb="FFFFFFFF"/>
      </top>
    </border>
    <border>
      <left style="thin">
        <color rgb="FFE6E6E6"/>
      </left>
      <top style="thin">
        <color rgb="FFFFFFFF"/>
      </top>
      <bottom style="thin">
        <color rgb="FFE6E6E6"/>
      </bottom>
    </border>
    <border>
      <left style="thick">
        <color rgb="FF3E3A3A"/>
      </left>
      <right style="thin">
        <color rgb="FFE6E6E6"/>
      </right>
      <top style="thin">
        <color rgb="FFE6E6E6"/>
      </top>
      <bottom style="thin">
        <color rgb="FFFFFFFF"/>
      </bottom>
    </border>
    <border>
      <right style="thick">
        <color rgb="FF3E3A3A"/>
      </right>
      <top style="thin">
        <color rgb="FFFFFFFF"/>
      </top>
      <bottom style="thin">
        <color rgb="FFFFFFFF"/>
      </bottom>
    </border>
    <border>
      <left style="thick">
        <color rgb="FF3E3A3A"/>
      </left>
      <top style="thin">
        <color rgb="FFE6E6E6"/>
      </top>
      <bottom style="thin">
        <color rgb="FFFFFFFF"/>
      </bottom>
    </border>
    <border>
      <top style="thin">
        <color rgb="FFE6E6E6"/>
      </top>
      <bottom style="thin">
        <color rgb="FFFFFFFF"/>
      </bottom>
    </border>
    <border>
      <left style="thick">
        <color rgb="FF3E3A3A"/>
      </left>
      <right style="thin">
        <color rgb="FFE6E6E6"/>
      </right>
      <top style="thin">
        <color rgb="FFE6E6E6"/>
      </top>
      <bottom style="thick">
        <color rgb="FF3E3A3A"/>
      </bottom>
    </border>
    <border>
      <left style="thin">
        <color rgb="FFE6E6E6"/>
      </left>
      <right style="thin">
        <color rgb="FFE6E6E6"/>
      </right>
      <top style="thin">
        <color rgb="FFE6E6E6"/>
      </top>
      <bottom style="thick">
        <color rgb="FF3E3A3A"/>
      </bottom>
    </border>
    <border>
      <left style="thin">
        <color rgb="FFE6E6E6"/>
      </left>
      <right style="thin">
        <color rgb="FFE6E6E6"/>
      </right>
      <bottom style="thick">
        <color rgb="FF3E3A3A"/>
      </bottom>
    </border>
    <border>
      <left style="thin">
        <color rgb="FFE6E6E6"/>
      </left>
      <right style="thick">
        <color rgb="FF3E3A3A"/>
      </right>
      <bottom style="thick">
        <color rgb="FF3E3A3A"/>
      </bottom>
    </border>
    <border>
      <left style="thin">
        <color rgb="FFDA4900"/>
      </left>
      <right style="thin">
        <color rgb="FFDA4900"/>
      </right>
      <bottom style="thin">
        <color rgb="FFDA4900"/>
      </bottom>
    </border>
    <border>
      <left style="thin">
        <color rgb="FF66B343"/>
      </left>
      <right style="thin">
        <color rgb="FF66B343"/>
      </right>
      <top style="thin">
        <color rgb="FF66B343"/>
      </top>
      <bottom style="thin">
        <color rgb="FF66B343"/>
      </bottom>
    </border>
    <border>
      <left style="thin">
        <color rgb="FF66B343"/>
      </left>
      <right style="thin">
        <color rgb="FF66B343"/>
      </right>
      <top style="thin">
        <color rgb="FF66B343"/>
      </top>
    </border>
    <border>
      <left style="thin">
        <color rgb="FF66B343"/>
      </left>
      <top style="thin">
        <color rgb="FF66B343"/>
      </top>
      <bottom style="thin">
        <color rgb="FF66B343"/>
      </bottom>
    </border>
    <border>
      <left style="thick">
        <color rgb="FF3E3A3A"/>
      </left>
      <right style="thin">
        <color rgb="FFEFEFEF"/>
      </right>
      <top style="thick">
        <color rgb="FF3E3A3A"/>
      </top>
      <bottom style="thin">
        <color rgb="FFEFEFEF"/>
      </bottom>
    </border>
    <border>
      <left style="thin">
        <color rgb="FFEFEFEF"/>
      </left>
      <right style="thin">
        <color rgb="FFEFEFEF"/>
      </right>
      <top style="thick">
        <color rgb="FF3E3A3A"/>
      </top>
      <bottom style="thin">
        <color rgb="FFEFEFEF"/>
      </bottom>
    </border>
    <border>
      <left style="thin">
        <color rgb="FFEFEFEF"/>
      </left>
      <right style="thin">
        <color rgb="FFEFEFEF"/>
      </right>
      <top style="thick">
        <color rgb="FF3E3A3A"/>
      </top>
    </border>
    <border>
      <left style="thin">
        <color rgb="FFEFEFEF"/>
      </left>
      <right style="thick">
        <color rgb="FF3E3A3A"/>
      </right>
      <top style="thick">
        <color rgb="FF3E3A3A"/>
      </top>
      <bottom style="thin">
        <color rgb="FFEFEFEF"/>
      </bottom>
    </border>
    <border>
      <right style="thin">
        <color rgb="FF66B343"/>
      </right>
      <top style="thin">
        <color rgb="FF66B343"/>
      </top>
      <bottom style="thin">
        <color rgb="FF66B343"/>
      </bottom>
    </border>
    <border>
      <left style="thick">
        <color rgb="FF3E3A3A"/>
      </left>
      <right style="thin">
        <color rgb="FFEFEFEF"/>
      </right>
      <top style="thin">
        <color rgb="FFEFEFEF"/>
      </top>
      <bottom style="thin">
        <color rgb="FFEFEFEF"/>
      </bottom>
    </border>
    <border>
      <left style="thin">
        <color rgb="FFEFEFEF"/>
      </left>
      <top style="thin">
        <color rgb="FFEFEFEF"/>
      </top>
      <bottom style="thin">
        <color rgb="FFEFEFEF"/>
      </bottom>
    </border>
    <border>
      <left style="thin">
        <color rgb="FFEFEFEF"/>
      </left>
      <right style="thick">
        <color rgb="FF3E3A3A"/>
      </right>
      <top style="thin">
        <color rgb="FFEFEFEF"/>
      </top>
      <bottom style="thin">
        <color rgb="FFEFEFEF"/>
      </bottom>
    </border>
    <border>
      <left style="thin">
        <color rgb="FFEFEFEF"/>
      </left>
      <right style="thin">
        <color rgb="FFEFEFEF"/>
      </right>
      <top style="thin">
        <color rgb="FFEFEFEF"/>
      </top>
      <bottom style="thin">
        <color rgb="FFF8FCEB"/>
      </bottom>
    </border>
    <border>
      <left style="thin">
        <color rgb="FFEFEFEF"/>
      </left>
      <right style="thin">
        <color rgb="FFEFEFEF"/>
      </right>
      <bottom style="thin">
        <color rgb="FFF8FCEB"/>
      </bottom>
    </border>
    <border>
      <left style="thick">
        <color rgb="FF3E3A3A"/>
      </left>
      <right style="thin">
        <color rgb="FFE1D9BB"/>
      </right>
      <top style="thin">
        <color rgb="FFEFEFEF"/>
      </top>
      <bottom style="thin">
        <color rgb="FFEFEFEF"/>
      </bottom>
    </border>
    <border>
      <left style="thin">
        <color rgb="FFE1D9BB"/>
      </left>
      <right style="thin">
        <color rgb="FFE1D9BB"/>
      </right>
      <top style="thin">
        <color rgb="FFEFEFEF"/>
      </top>
      <bottom style="thin">
        <color rgb="FFEFEFEF"/>
      </bottom>
    </border>
    <border>
      <left style="thin">
        <color rgb="FFE1D9BB"/>
      </left>
      <right style="thin">
        <color rgb="FFE1D9BB"/>
      </right>
      <top style="thin">
        <color rgb="FFEFEFEF"/>
      </top>
    </border>
    <border>
      <left style="thin">
        <color rgb="FFE1D9BB"/>
      </left>
      <right style="thin">
        <color rgb="FFEFEFEF"/>
      </right>
      <top style="thin">
        <color rgb="FFEFEFEF"/>
      </top>
    </border>
    <border>
      <left style="thick">
        <color rgb="FF434343"/>
      </left>
      <bottom style="medium">
        <color rgb="FFEFEFEF"/>
      </bottom>
    </border>
    <border>
      <bottom style="medium">
        <color rgb="FFEFEFEF"/>
      </bottom>
    </border>
    <border>
      <right style="thick">
        <color rgb="FF434343"/>
      </right>
      <bottom style="medium">
        <color rgb="FFEFEFEF"/>
      </bottom>
    </border>
    <border>
      <left style="thin">
        <color rgb="FFE1D9BB"/>
      </left>
      <right style="thin">
        <color rgb="FFE1D9BB"/>
      </right>
    </border>
    <border>
      <left style="thin">
        <color rgb="FFE1D9BB"/>
      </left>
      <right style="thin">
        <color rgb="FFEFEFEF"/>
      </right>
    </border>
    <border>
      <left style="thick">
        <color rgb="FF3E3A3A"/>
      </left>
      <top style="thin">
        <color rgb="FFEFEFEF"/>
      </top>
      <bottom style="thin">
        <color rgb="FFEFEFEF"/>
      </bottom>
    </border>
    <border>
      <right style="thin">
        <color rgb="FFE1D9BB"/>
      </right>
      <top style="thin">
        <color rgb="FFEFEFEF"/>
      </top>
      <bottom style="thin">
        <color rgb="FFEFEFEF"/>
      </bottom>
    </border>
    <border>
      <left style="thick">
        <color rgb="FF434343"/>
      </left>
      <top style="medium">
        <color rgb="FFEFEFEF"/>
      </top>
      <bottom style="medium">
        <color rgb="FFEFEFEF"/>
      </bottom>
    </border>
    <border>
      <top style="medium">
        <color rgb="FFEFEFEF"/>
      </top>
      <bottom style="medium">
        <color rgb="FFEFEFEF"/>
      </bottom>
    </border>
    <border>
      <right style="thick">
        <color rgb="FF434343"/>
      </right>
      <top style="medium">
        <color rgb="FFEFEFEF"/>
      </top>
      <bottom style="medium">
        <color rgb="FFEFEFEF"/>
      </bottom>
    </border>
    <border>
      <left style="thin">
        <color rgb="FFEFEFEF"/>
      </left>
      <right style="thin">
        <color rgb="FFE1D9BB"/>
      </right>
      <top style="thin">
        <color rgb="FFEFEFEF"/>
      </top>
      <bottom style="thin">
        <color rgb="FFEFEFEF"/>
      </bottom>
    </border>
    <border>
      <left style="thick">
        <color rgb="FF434343"/>
      </left>
      <right style="medium">
        <color rgb="FFEFEFEF"/>
      </right>
      <top style="medium">
        <color rgb="FFEFEFEF"/>
      </top>
      <bottom style="medium">
        <color rgb="FFEFEFEF"/>
      </bottom>
    </border>
    <border>
      <left style="medium">
        <color rgb="FFEFEFEF"/>
      </left>
      <right style="medium">
        <color rgb="FFEFEFEF"/>
      </right>
      <top style="medium">
        <color rgb="FFEFEFEF"/>
      </top>
      <bottom style="medium">
        <color rgb="FFEFEFEF"/>
      </bottom>
    </border>
    <border>
      <left style="medium">
        <color rgb="FFEFEFEF"/>
      </left>
      <right style="thick">
        <color rgb="FF434343"/>
      </right>
      <top style="medium">
        <color rgb="FFEFEFEF"/>
      </top>
      <bottom style="medium">
        <color rgb="FFEFEFEF"/>
      </bottom>
    </border>
    <border>
      <left style="medium">
        <color rgb="FFEFEFEF"/>
      </left>
      <top style="medium">
        <color rgb="FFEFEFEF"/>
      </top>
      <bottom style="medium">
        <color rgb="FFEFEFEF"/>
      </bottom>
    </border>
    <border>
      <right style="medium">
        <color rgb="FFEFEFEF"/>
      </right>
      <top style="medium">
        <color rgb="FFEFEFEF"/>
      </top>
      <bottom style="medium">
        <color rgb="FFEFEFEF"/>
      </bottom>
    </border>
    <border>
      <left style="thick">
        <color rgb="FF434343"/>
      </left>
      <right style="medium">
        <color rgb="FFEFEFEF"/>
      </right>
      <top style="medium">
        <color rgb="FFEFEFEF"/>
      </top>
    </border>
    <border>
      <left style="medium">
        <color rgb="FFEFEFEF"/>
      </left>
      <right style="medium">
        <color rgb="FFEFEFEF"/>
      </right>
      <top style="medium">
        <color rgb="FFEFEFEF"/>
      </top>
    </border>
    <border>
      <left style="medium">
        <color rgb="FFEFEFEF"/>
      </left>
      <right style="thick">
        <color rgb="FF434343"/>
      </right>
      <top style="medium">
        <color rgb="FFEFEFEF"/>
      </top>
    </border>
    <border>
      <left style="thick">
        <color rgb="FF434343"/>
      </left>
      <top style="medium">
        <color rgb="FF434343"/>
      </top>
      <bottom style="thin">
        <color rgb="FFEFEFEF"/>
      </bottom>
    </border>
    <border>
      <top style="medium">
        <color rgb="FF434343"/>
      </top>
      <bottom style="thin">
        <color rgb="FFEFEFEF"/>
      </bottom>
    </border>
    <border>
      <right style="thick">
        <color rgb="FF434343"/>
      </right>
      <top style="medium">
        <color rgb="FF434343"/>
      </top>
      <bottom style="thin">
        <color rgb="FFEFEFEF"/>
      </bottom>
    </border>
    <border>
      <left style="thick">
        <color rgb="FF434343"/>
      </left>
      <top style="thin">
        <color rgb="FFEFEFEF"/>
      </top>
      <bottom style="thin">
        <color rgb="FFEFEFEF"/>
      </bottom>
    </border>
    <border>
      <right style="thick">
        <color rgb="FF434343"/>
      </right>
      <top style="thin">
        <color rgb="FFEFEFEF"/>
      </top>
      <bottom style="thin">
        <color rgb="FFEFEFEF"/>
      </bottom>
    </border>
    <border>
      <left style="thick">
        <color rgb="FF434343"/>
      </left>
      <top style="thin">
        <color rgb="FFEFEFEF"/>
      </top>
    </border>
    <border>
      <right style="thin">
        <color rgb="FFFFECDE"/>
      </right>
      <top style="thin">
        <color rgb="FFEFEFEF"/>
      </top>
    </border>
    <border>
      <left style="thin">
        <color rgb="FFFFECDE"/>
      </left>
      <right style="thick">
        <color rgb="FF434343"/>
      </right>
      <top style="thin">
        <color rgb="FFEFEFEF"/>
      </top>
    </border>
    <border>
      <right style="thin">
        <color rgb="FFEFEFEF"/>
      </right>
      <top style="medium">
        <color rgb="FF434343"/>
      </top>
      <bottom style="thin">
        <color rgb="FFEFEFEF"/>
      </bottom>
    </border>
    <border>
      <left style="thin">
        <color rgb="FFEFEFEF"/>
      </left>
      <right style="thick">
        <color rgb="FF434343"/>
      </right>
      <top style="medium">
        <color rgb="FF434343"/>
      </top>
      <bottom style="thin">
        <color rgb="FFEFEFEF"/>
      </bottom>
    </border>
    <border>
      <left style="thin">
        <color rgb="FFEFEFEF"/>
      </left>
      <right style="thick">
        <color rgb="FF434343"/>
      </right>
      <top style="thin">
        <color rgb="FFEFEFEF"/>
      </top>
      <bottom style="thin">
        <color rgb="FFEFEFEF"/>
      </bottom>
    </border>
    <border>
      <left style="thick">
        <color rgb="FF434343"/>
      </left>
      <top style="thin">
        <color rgb="FFEFEFEF"/>
      </top>
      <bottom style="thick">
        <color rgb="FF434343"/>
      </bottom>
    </border>
    <border>
      <top style="thin">
        <color rgb="FFEFEFEF"/>
      </top>
      <bottom style="thick">
        <color rgb="FF434343"/>
      </bottom>
    </border>
    <border>
      <right style="thin">
        <color rgb="FFEFEFEF"/>
      </right>
      <top style="thin">
        <color rgb="FFEFEFEF"/>
      </top>
      <bottom style="thick">
        <color rgb="FF434343"/>
      </bottom>
    </border>
    <border>
      <left style="thin">
        <color rgb="FFEFEFEF"/>
      </left>
      <right style="thick">
        <color rgb="FF434343"/>
      </right>
      <top style="thin">
        <color rgb="FFEFEFEF"/>
      </top>
      <bottom style="thick">
        <color rgb="FF434343"/>
      </bottom>
    </border>
    <border>
      <left style="thin">
        <color rgb="FFE1D9BB"/>
      </left>
      <right style="thin">
        <color rgb="FFE1D9BB"/>
      </right>
      <bottom style="thin">
        <color rgb="FFEFEFEF"/>
      </bottom>
    </border>
    <border>
      <left style="thin">
        <color rgb="FFE1D9BB"/>
      </left>
      <right style="thin">
        <color rgb="FFEFEFEF"/>
      </right>
      <bottom style="thin">
        <color rgb="FFEFEFEF"/>
      </bottom>
    </border>
    <border>
      <left style="thin">
        <color rgb="FFEFEFEF"/>
      </left>
      <right style="thin">
        <color rgb="FFEFEFEF"/>
      </right>
      <bottom style="thin">
        <color rgb="FFFFECDE"/>
      </bottom>
    </border>
    <border>
      <left style="thin">
        <color rgb="FFE1D9BB"/>
      </left>
      <right style="thin">
        <color rgb="FFE1D9BB"/>
      </right>
      <top style="thin">
        <color rgb="FFFFECDE"/>
      </top>
    </border>
    <border>
      <left style="thin">
        <color rgb="FFE1D9BB"/>
      </left>
      <right style="thin">
        <color rgb="FFE1D9BB"/>
      </right>
      <bottom style="thin">
        <color rgb="FFFFECDE"/>
      </bottom>
    </border>
    <border>
      <top style="thin">
        <color rgb="FFFFECDE"/>
      </top>
      <bottom style="thin">
        <color rgb="FFFFECDE"/>
      </bottom>
    </border>
    <border>
      <left style="thin">
        <color rgb="FFEFEFEF"/>
      </left>
      <right style="thin">
        <color rgb="FFEFEFEF"/>
      </right>
      <top style="thin">
        <color rgb="FFFFECDE"/>
      </top>
    </border>
    <border>
      <left style="thin">
        <color rgb="FFFFFFFF"/>
      </left>
      <top style="thin">
        <color rgb="FFEFEFEF"/>
      </top>
      <bottom style="thin">
        <color rgb="FFEFEFEF"/>
      </bottom>
    </border>
    <border>
      <left style="thin">
        <color rgb="FFFFFFFF"/>
      </left>
      <right style="thin">
        <color rgb="FFEFEFEF"/>
      </right>
      <top style="thin">
        <color rgb="FFEFEFEF"/>
      </top>
      <bottom style="thin">
        <color rgb="FFEFEFEF"/>
      </bottom>
    </border>
    <border>
      <left style="thick">
        <color rgb="FF3E3A3A"/>
      </left>
      <right style="thin">
        <color rgb="FFEFEFEF"/>
      </right>
      <top style="thin">
        <color rgb="FFEFEFEF"/>
      </top>
      <bottom style="thick">
        <color rgb="FF3E3A3A"/>
      </bottom>
    </border>
    <border>
      <left style="thin">
        <color rgb="FFEFEFEF"/>
      </left>
      <right style="thin">
        <color rgb="FFEFEFEF"/>
      </right>
      <top style="thin">
        <color rgb="FFEFEFEF"/>
      </top>
      <bottom style="thick">
        <color rgb="FF3E3A3A"/>
      </bottom>
    </border>
    <border>
      <left style="thin">
        <color rgb="FFEFEFEF"/>
      </left>
      <right style="thin">
        <color rgb="FFEFEFEF"/>
      </right>
      <bottom style="thick">
        <color rgb="FF3E3A3A"/>
      </bottom>
    </border>
    <border>
      <left style="thin">
        <color rgb="FFEFEFEF"/>
      </left>
      <right style="thick">
        <color rgb="FF3E3A3A"/>
      </right>
      <top style="thin">
        <color rgb="FFEFEFEF"/>
      </top>
      <bottom style="thick">
        <color rgb="FF3E3A3A"/>
      </bottom>
    </border>
    <border>
      <left style="thick">
        <color rgb="FF3E3A3A"/>
      </left>
      <right style="thin">
        <color rgb="FFD6E1D5"/>
      </right>
      <bottom style="thin">
        <color rgb="FFD6E1D5"/>
      </bottom>
    </border>
    <border>
      <left style="thin">
        <color rgb="FFD6E1D5"/>
      </left>
      <right style="thin">
        <color rgb="FFD6E1D5"/>
      </right>
    </border>
    <border>
      <left style="thin">
        <color rgb="FFD6E1D5"/>
      </left>
      <right style="thin">
        <color rgb="FFD6E1D5"/>
      </right>
      <bottom style="thin">
        <color rgb="FFD6E1D5"/>
      </bottom>
    </border>
    <border>
      <left style="thin">
        <color rgb="FFD6E1D5"/>
      </left>
      <right style="thick">
        <color rgb="FF3E3A3A"/>
      </right>
      <bottom style="thin">
        <color rgb="FFD6E1D5"/>
      </bottom>
    </border>
    <border>
      <left style="thick">
        <color rgb="FF3E3A3A"/>
      </left>
      <top style="thin">
        <color rgb="FFD6E1D5"/>
      </top>
      <bottom style="thin">
        <color rgb="FFD6E1D5"/>
      </bottom>
    </border>
    <border>
      <top style="thin">
        <color rgb="FFD6E1D5"/>
      </top>
      <bottom style="thin">
        <color rgb="FFD6E1D5"/>
      </bottom>
    </border>
    <border>
      <right style="thin">
        <color rgb="FFD6E1D5"/>
      </right>
      <top style="thin">
        <color rgb="FFD6E1D5"/>
      </top>
    </border>
    <border>
      <left style="thin">
        <color rgb="FFD6E1D5"/>
      </left>
      <top style="thin">
        <color rgb="FFD6E1D5"/>
      </top>
      <bottom style="thin">
        <color rgb="FFD6E1D5"/>
      </bottom>
    </border>
    <border>
      <right style="thin">
        <color rgb="FFD6E1D5"/>
      </right>
      <top style="thin">
        <color rgb="FFD6E1D5"/>
      </top>
      <bottom style="thin">
        <color rgb="FFD6E1D5"/>
      </bottom>
    </border>
    <border>
      <left style="thin">
        <color rgb="FFD6E1D5"/>
      </left>
      <right style="thin">
        <color rgb="FFD6E1D5"/>
      </right>
      <top style="thin">
        <color rgb="FFD6E1D5"/>
      </top>
    </border>
    <border>
      <left style="thin">
        <color rgb="FFD6E1D5"/>
      </left>
      <right style="thick">
        <color rgb="FF3E3A3A"/>
      </right>
      <top style="thin">
        <color rgb="FFD6E1D5"/>
      </top>
      <bottom style="thin">
        <color rgb="FFD6E1D5"/>
      </bottom>
    </border>
    <border>
      <left style="thick">
        <color rgb="FF434343"/>
      </left>
      <bottom style="medium">
        <color rgb="FFD6E1D5"/>
      </bottom>
    </border>
    <border>
      <bottom style="medium">
        <color rgb="FFD6E1D5"/>
      </bottom>
    </border>
    <border>
      <right style="thick">
        <color rgb="FF434343"/>
      </right>
      <bottom style="medium">
        <color rgb="FFD6E1D5"/>
      </bottom>
    </border>
    <border>
      <right style="thin">
        <color rgb="FFD6E1D5"/>
      </right>
    </border>
    <border>
      <left style="thick">
        <color rgb="FF434343"/>
      </left>
      <top style="medium">
        <color rgb="FFD6E1D5"/>
      </top>
      <bottom style="medium">
        <color rgb="FFD6E1D5"/>
      </bottom>
    </border>
    <border>
      <top style="medium">
        <color rgb="FFD6E1D5"/>
      </top>
      <bottom style="medium">
        <color rgb="FFD6E1D5"/>
      </bottom>
    </border>
    <border>
      <right style="thick">
        <color rgb="FF434343"/>
      </right>
      <top style="medium">
        <color rgb="FFD6E1D5"/>
      </top>
      <bottom style="medium">
        <color rgb="FFD6E1D5"/>
      </bottom>
    </border>
    <border>
      <left style="thick">
        <color rgb="FF3E3A3A"/>
      </left>
      <right style="thin">
        <color rgb="FFD6E1D5"/>
      </right>
      <top style="thin">
        <color rgb="FFD6E1D5"/>
      </top>
      <bottom style="thin">
        <color rgb="FFD6E1D5"/>
      </bottom>
    </border>
    <border>
      <left style="thick">
        <color rgb="FF434343"/>
      </left>
      <right style="medium">
        <color rgb="FFD6E1D5"/>
      </right>
      <top style="medium">
        <color rgb="FFD6E1D5"/>
      </top>
      <bottom style="medium">
        <color rgb="FFD6E1D5"/>
      </bottom>
    </border>
    <border>
      <left style="medium">
        <color rgb="FFD6E1D5"/>
      </left>
      <top style="medium">
        <color rgb="FFD6E1D5"/>
      </top>
      <bottom style="medium">
        <color rgb="FFD6E1D5"/>
      </bottom>
    </border>
    <border>
      <right style="medium">
        <color rgb="FFD6E1D5"/>
      </right>
      <top style="medium">
        <color rgb="FFD6E1D5"/>
      </top>
      <bottom style="medium">
        <color rgb="FFD6E1D5"/>
      </bottom>
    </border>
    <border>
      <left style="medium">
        <color rgb="FFD6E1D5"/>
      </left>
      <right style="thick">
        <color rgb="FF434343"/>
      </right>
      <top style="medium">
        <color rgb="FFD6E1D5"/>
      </top>
      <bottom style="medium">
        <color rgb="FFD6E1D5"/>
      </bottom>
    </border>
    <border>
      <left style="thick">
        <color rgb="FF434343"/>
      </left>
      <right style="medium">
        <color rgb="FFD6E1D5"/>
      </right>
      <top style="medium">
        <color rgb="FFD6E1D5"/>
      </top>
    </border>
    <border>
      <left style="medium">
        <color rgb="FFD6E1D5"/>
      </left>
      <right style="medium">
        <color rgb="FFD6E1D5"/>
      </right>
      <top style="medium">
        <color rgb="FFD6E1D5"/>
      </top>
    </border>
    <border>
      <left style="medium">
        <color rgb="FFD6E1D5"/>
      </left>
      <right style="thick">
        <color rgb="FF434343"/>
      </right>
      <top style="medium">
        <color rgb="FFD6E1D5"/>
      </top>
    </border>
    <border>
      <left style="thin">
        <color rgb="FFD6E1D5"/>
      </left>
      <right style="thin">
        <color rgb="FFD6E1D5"/>
      </right>
      <top style="thin">
        <color rgb="FFD6E1D5"/>
      </top>
      <bottom style="thin">
        <color rgb="FFD6E1D5"/>
      </bottom>
    </border>
    <border>
      <left style="thick">
        <color rgb="FF434343"/>
      </left>
      <top style="medium">
        <color rgb="FF434343"/>
      </top>
      <bottom style="thin">
        <color rgb="FFD6E1D5"/>
      </bottom>
    </border>
    <border>
      <top style="medium">
        <color rgb="FF434343"/>
      </top>
      <bottom style="thin">
        <color rgb="FFD6E1D5"/>
      </bottom>
    </border>
    <border>
      <right style="thick">
        <color rgb="FF434343"/>
      </right>
      <top style="medium">
        <color rgb="FF434343"/>
      </top>
      <bottom style="thin">
        <color rgb="FFD6E1D5"/>
      </bottom>
    </border>
    <border>
      <left style="thick">
        <color rgb="FF434343"/>
      </left>
      <top style="thin">
        <color rgb="FFD6E1D5"/>
      </top>
      <bottom style="thin">
        <color rgb="FFD6E1D5"/>
      </bottom>
    </border>
    <border>
      <right style="thick">
        <color rgb="FF434343"/>
      </right>
      <top style="thin">
        <color rgb="FFD6E1D5"/>
      </top>
      <bottom style="thin">
        <color rgb="FFD6E1D5"/>
      </bottom>
    </border>
    <border>
      <left style="thick">
        <color rgb="FF434343"/>
      </left>
      <top style="thin">
        <color rgb="FFD6E1D5"/>
      </top>
    </border>
    <border>
      <top style="thin">
        <color rgb="FFD6E1D5"/>
      </top>
    </border>
    <border>
      <left style="thin">
        <color rgb="FFD6E1D5"/>
      </left>
      <right style="thick">
        <color rgb="FF434343"/>
      </right>
      <top style="thin">
        <color rgb="FFD6E1D5"/>
      </top>
    </border>
    <border>
      <left style="thin">
        <color rgb="FFD6E1D5"/>
      </left>
      <right style="thick">
        <color rgb="FF434343"/>
      </right>
      <top style="medium">
        <color rgb="FF434343"/>
      </top>
      <bottom style="thin">
        <color rgb="FFD6E1D5"/>
      </bottom>
    </border>
    <border>
      <left style="thin">
        <color rgb="FFD6E1D5"/>
      </left>
      <right style="thick">
        <color rgb="FF434343"/>
      </right>
      <top style="thin">
        <color rgb="FFD6E1D5"/>
      </top>
      <bottom style="thin">
        <color rgb="FFD6E1D5"/>
      </bottom>
    </border>
    <border>
      <left style="thick">
        <color rgb="FF434343"/>
      </left>
      <top style="thin">
        <color rgb="FFD6E1D5"/>
      </top>
      <bottom style="thick">
        <color rgb="FF434343"/>
      </bottom>
    </border>
    <border>
      <top style="thin">
        <color rgb="FFD6E1D5"/>
      </top>
      <bottom style="thick">
        <color rgb="FF434343"/>
      </bottom>
    </border>
    <border>
      <left style="thin">
        <color rgb="FFD6E1D5"/>
      </left>
      <right style="thick">
        <color rgb="FF434343"/>
      </right>
      <top style="thin">
        <color rgb="FFD6E1D5"/>
      </top>
      <bottom style="thick">
        <color rgb="FF434343"/>
      </bottom>
    </border>
    <border>
      <right style="thick">
        <color rgb="FF434343"/>
      </right>
      <top style="thin">
        <color rgb="FFD6E1D5"/>
      </top>
      <bottom style="thick">
        <color rgb="FF434343"/>
      </bottom>
    </border>
    <border>
      <right style="thin">
        <color rgb="FFD6E1D5"/>
      </right>
      <bottom style="thin">
        <color rgb="FFD6E1D5"/>
      </bottom>
    </border>
    <border>
      <left style="thick">
        <color rgb="FF3E3A3A"/>
      </left>
      <right style="thin">
        <color rgb="FF4D6F57"/>
      </right>
      <bottom style="thin">
        <color rgb="FF4D6F57"/>
      </bottom>
    </border>
    <border>
      <left style="thin">
        <color rgb="FF4D6F57"/>
      </left>
      <right style="thin">
        <color rgb="FF4D6F57"/>
      </right>
      <bottom style="thin">
        <color rgb="FF4D6F57"/>
      </bottom>
    </border>
    <border>
      <left style="thin">
        <color rgb="FF4D6F57"/>
      </left>
      <top style="thin">
        <color rgb="FF3E3A3A"/>
      </top>
      <bottom style="thin">
        <color rgb="FF4D6F57"/>
      </bottom>
    </border>
    <border>
      <left style="medium">
        <color rgb="FF3E3A3A"/>
      </left>
      <right style="thick">
        <color rgb="FF3E3A3A"/>
      </right>
      <bottom style="thin">
        <color rgb="FF4D6F57"/>
      </bottom>
    </border>
    <border>
      <left style="thick">
        <color rgb="FF3E3A3A"/>
      </left>
      <right style="thin">
        <color rgb="FF4D6F57"/>
      </right>
      <top style="thin">
        <color rgb="FF4D6F57"/>
      </top>
      <bottom style="thin">
        <color rgb="FF4D6F57"/>
      </bottom>
    </border>
    <border>
      <left style="thin">
        <color rgb="FF4D6F57"/>
      </left>
      <right style="thin">
        <color rgb="FF4D6F57"/>
      </right>
      <top style="thin">
        <color rgb="FF4D6F57"/>
      </top>
      <bottom style="thin">
        <color rgb="FF4D6F57"/>
      </bottom>
    </border>
    <border>
      <left style="thin">
        <color rgb="FF4D6F57"/>
      </left>
      <top style="thin">
        <color rgb="FF4D6F57"/>
      </top>
      <bottom style="thin">
        <color rgb="FF4D6F57"/>
      </bottom>
    </border>
    <border>
      <left style="medium">
        <color rgb="FF3E3A3A"/>
      </left>
      <right style="thick">
        <color rgb="FF3E3A3A"/>
      </right>
      <top style="thin">
        <color rgb="FF4D6F57"/>
      </top>
      <bottom style="thin">
        <color rgb="FF4D6F57"/>
      </bottom>
    </border>
    <border>
      <left style="thick">
        <color rgb="FF3E3A3A"/>
      </left>
      <right style="thin">
        <color rgb="FF4D6F57"/>
      </right>
      <top style="thin">
        <color rgb="FF4D6F57"/>
      </top>
    </border>
    <border>
      <left style="thin">
        <color rgb="FF4D6F57"/>
      </left>
      <right style="thin">
        <color rgb="FF4D6F57"/>
      </right>
      <top style="thin">
        <color rgb="FF4D6F57"/>
      </top>
    </border>
    <border>
      <left style="thin">
        <color rgb="FF4D6F57"/>
      </left>
      <top style="thin">
        <color rgb="FF4D6F57"/>
      </top>
    </border>
    <border>
      <left style="medium">
        <color rgb="FF3E3A3A"/>
      </left>
      <right style="thick">
        <color rgb="FF3E3A3A"/>
      </right>
      <top style="thin">
        <color rgb="FF4D6F57"/>
      </top>
      <bottom style="medium">
        <color rgb="FF3E3A3A"/>
      </bottom>
    </border>
    <border>
      <left style="thick">
        <color rgb="FF3E3A3A"/>
      </left>
      <right style="thin">
        <color rgb="FFD6E1D5"/>
      </right>
      <top style="thin">
        <color rgb="FFD6E1D5"/>
      </top>
      <bottom style="thick">
        <color rgb="FF3E3A3A"/>
      </bottom>
    </border>
    <border>
      <left style="thin">
        <color rgb="FFD6E1D5"/>
      </left>
      <right style="thin">
        <color rgb="FFD6E1D5"/>
      </right>
      <top style="thin">
        <color rgb="FFD6E1D5"/>
      </top>
      <bottom style="thick">
        <color rgb="FF3E3A3A"/>
      </bottom>
    </border>
    <border>
      <left style="thin">
        <color rgb="FFD6E1D5"/>
      </left>
      <right style="thin">
        <color rgb="FFD6E1D5"/>
      </right>
      <bottom style="thick">
        <color rgb="FF3E3A3A"/>
      </bottom>
    </border>
    <border>
      <left style="thin">
        <color rgb="FFD6E1D5"/>
      </left>
      <right style="thick">
        <color rgb="FF3E3A3A"/>
      </right>
      <top style="thin">
        <color rgb="FFD6E1D5"/>
      </top>
      <bottom style="thick">
        <color rgb="FF3E3A3A"/>
      </bottom>
    </border>
    <border>
      <left style="thin">
        <color rgb="FFEFEFEF"/>
      </left>
      <right style="thin">
        <color rgb="FFEFEFEF"/>
      </right>
      <top style="thick">
        <color rgb="FF3E3A3A"/>
      </top>
      <bottom style="thin">
        <color rgb="FFE1D9BB"/>
      </bottom>
    </border>
    <border>
      <left style="thin">
        <color rgb="FFE1D9BB"/>
      </left>
      <top style="thin">
        <color rgb="FFEFEFEF"/>
      </top>
      <bottom style="thin">
        <color rgb="FFEFEFEF"/>
      </bottom>
    </border>
    <border>
      <right style="thin">
        <color rgb="FFEFEFEF"/>
      </right>
      <top style="thin">
        <color rgb="FFEFEFEF"/>
      </top>
    </border>
    <border>
      <right style="thin">
        <color rgb="FFEFEFEF"/>
      </right>
    </border>
    <border>
      <bottom style="thin">
        <color rgb="FFEFEFEF"/>
      </bottom>
    </border>
    <border>
      <left style="thin">
        <color rgb="FFEFEFEF"/>
      </left>
      <right style="thin">
        <color rgb="FFEFEFEF"/>
      </right>
      <top style="thin">
        <color rgb="FFEFEFEF"/>
      </top>
      <bottom style="thin">
        <color rgb="FFFFECDE"/>
      </bottom>
    </border>
    <border>
      <left style="thick">
        <color rgb="FF3E3A3A"/>
      </left>
      <right style="thin">
        <color rgb="FFFFECDE"/>
      </right>
      <top style="thin">
        <color rgb="FFEFEFEF"/>
      </top>
      <bottom style="thin">
        <color rgb="FFEFEFEF"/>
      </bottom>
    </border>
    <border>
      <left style="thin">
        <color rgb="FFFFECDE"/>
      </left>
      <top style="thin">
        <color rgb="FFEFEFEF"/>
      </top>
      <bottom style="thin">
        <color rgb="FFEFEFEF"/>
      </bottom>
    </border>
    <border>
      <left style="thin">
        <color rgb="FFFFECDE"/>
      </left>
      <top style="thin">
        <color rgb="FFEFEFEF"/>
      </top>
      <bottom style="thin">
        <color rgb="FFFFECDE"/>
      </bottom>
    </border>
    <border>
      <left style="thin">
        <color rgb="FFFFECDE"/>
      </left>
      <right style="thin">
        <color rgb="FFEFEFEF"/>
      </right>
      <top style="thin">
        <color rgb="FFEFEFEF"/>
      </top>
      <bottom style="thin">
        <color rgb="FFEFEFEF"/>
      </bottom>
    </border>
    <border>
      <left style="thin">
        <color rgb="FFEFEFEF"/>
      </left>
      <right style="thin">
        <color rgb="FFEFEFEF"/>
      </right>
      <top style="thin">
        <color rgb="FFFFECDE"/>
      </top>
      <bottom style="thin">
        <color rgb="FFEFEFEF"/>
      </bottom>
    </border>
    <border>
      <left style="thin">
        <color rgb="FFEFEFEF"/>
      </left>
      <right style="thin">
        <color rgb="FFEFEFEF"/>
      </right>
      <top style="thin">
        <color rgb="FFFFECDE"/>
      </top>
      <bottom style="thin">
        <color rgb="FFFFECDE"/>
      </bottom>
    </border>
    <border>
      <left style="thick">
        <color rgb="FF3E3A3A"/>
      </left>
      <right style="thin">
        <color rgb="FFFFECE6"/>
      </right>
      <top style="thin">
        <color rgb="FFEFEFEF"/>
      </top>
      <bottom style="thin">
        <color rgb="FFEFEFEF"/>
      </bottom>
    </border>
    <border>
      <left style="thin">
        <color rgb="FFFFECE6"/>
      </left>
      <right style="thin">
        <color rgb="FFEFEFEF"/>
      </right>
      <top style="thin">
        <color rgb="FFEFEFEF"/>
      </top>
      <bottom style="thin">
        <color rgb="FFEFEFEF"/>
      </bottom>
    </border>
    <border>
      <left style="thin">
        <color rgb="FFEFEFEF"/>
      </left>
      <right style="thin">
        <color rgb="FFEFEFEF"/>
      </right>
      <top style="thin">
        <color rgb="FFFFECE6"/>
      </top>
      <bottom style="thick">
        <color rgb="FF3E3A3A"/>
      </bottom>
    </border>
    <border>
      <left style="thin">
        <color rgb="FFEFEFEF"/>
      </left>
      <right style="thin">
        <color rgb="FFEFEFEF"/>
      </right>
      <top style="thin">
        <color rgb="FFE1D9BB"/>
      </top>
      <bottom style="thick">
        <color rgb="FF3E3A3A"/>
      </bottom>
    </border>
    <border>
      <left style="medium">
        <color rgb="FFD6E1D5"/>
      </left>
      <right style="medium">
        <color rgb="FFD6E1D5"/>
      </right>
      <top style="medium">
        <color rgb="FFD6E1D5"/>
      </top>
      <bottom style="medium">
        <color rgb="FFD6E1D5"/>
      </bottom>
    </border>
    <border>
      <top style="thin">
        <color rgb="FFFFECDE"/>
      </top>
    </border>
    <border>
      <bottom style="thin">
        <color rgb="FFFFECDE"/>
      </bottom>
    </border>
    <border>
      <right style="thick">
        <color rgb="FF3E3A3A"/>
      </right>
      <top style="thin">
        <color rgb="FFD6E1D5"/>
      </top>
      <bottom style="thin">
        <color rgb="FFD6E1D5"/>
      </bottom>
    </border>
    <border>
      <bottom style="thin">
        <color rgb="FFD6E1D5"/>
      </bottom>
    </border>
    <border>
      <left style="thick">
        <color rgb="FF3E3A3A"/>
      </left>
      <right style="thin">
        <color rgb="FFF9D9D1"/>
      </right>
      <bottom style="thin">
        <color rgb="FFF9D9D1"/>
      </bottom>
    </border>
    <border>
      <left style="thin">
        <color rgb="FFF9D9D1"/>
      </left>
      <right style="thin">
        <color rgb="FFF9D9D1"/>
      </right>
    </border>
    <border>
      <left style="thin">
        <color rgb="FFF9D9D1"/>
      </left>
      <right style="thin">
        <color rgb="FFF9D9D1"/>
      </right>
      <bottom style="thin">
        <color rgb="FFF9D9D1"/>
      </bottom>
    </border>
    <border>
      <left style="thin">
        <color rgb="FFF9D9D1"/>
      </left>
      <right style="thick">
        <color rgb="FF3E3A3A"/>
      </right>
      <bottom style="thin">
        <color rgb="FFF9D9D1"/>
      </bottom>
    </border>
    <border>
      <left style="thick">
        <color rgb="FF3E3A3A"/>
      </left>
      <top style="thin">
        <color rgb="FFF9D9D1"/>
      </top>
      <bottom style="thin">
        <color rgb="FFF9D9D1"/>
      </bottom>
    </border>
    <border>
      <top style="thin">
        <color rgb="FFF9D9D1"/>
      </top>
      <bottom style="thin">
        <color rgb="FFF9D9D1"/>
      </bottom>
    </border>
    <border>
      <right style="thick">
        <color rgb="FF3E3A3A"/>
      </right>
      <top style="thin">
        <color rgb="FFF9D9D1"/>
      </top>
      <bottom style="thin">
        <color rgb="FFF9D9D1"/>
      </bottom>
    </border>
    <border>
      <left style="thick">
        <color rgb="FF434343"/>
      </left>
      <bottom style="medium">
        <color rgb="FFF9D9D1"/>
      </bottom>
    </border>
    <border>
      <bottom style="medium">
        <color rgb="FFF9D9D1"/>
      </bottom>
    </border>
    <border>
      <right style="thick">
        <color rgb="FF434343"/>
      </right>
      <bottom style="medium">
        <color rgb="FFF9D9D1"/>
      </bottom>
    </border>
    <border>
      <left style="thick">
        <color rgb="FF434343"/>
      </left>
      <top style="medium">
        <color rgb="FFF9D9D1"/>
      </top>
      <bottom style="medium">
        <color rgb="FFF9D9D1"/>
      </bottom>
    </border>
    <border>
      <top style="medium">
        <color rgb="FFF9D9D1"/>
      </top>
      <bottom style="medium">
        <color rgb="FFF9D9D1"/>
      </bottom>
    </border>
    <border>
      <right style="thick">
        <color rgb="FF434343"/>
      </right>
      <top style="medium">
        <color rgb="FFF9D9D1"/>
      </top>
      <bottom style="medium">
        <color rgb="FFF9D9D1"/>
      </bottom>
    </border>
    <border>
      <left style="thick">
        <color rgb="FF3E3A3A"/>
      </left>
      <right style="thin">
        <color rgb="FFF9D9D1"/>
      </right>
      <top style="thin">
        <color rgb="FFF9D9D1"/>
      </top>
      <bottom style="thin">
        <color rgb="FFF9D9D1"/>
      </bottom>
    </border>
    <border>
      <left style="thin">
        <color rgb="FFF9D9D1"/>
      </left>
      <top style="thin">
        <color rgb="FFF9D9D1"/>
      </top>
      <bottom style="thin">
        <color rgb="FFF9D9D1"/>
      </bottom>
    </border>
    <border>
      <left style="thick">
        <color rgb="FF434343"/>
      </left>
      <right style="medium">
        <color rgb="FFF9D9D1"/>
      </right>
      <top style="medium">
        <color rgb="FFF9D9D1"/>
      </top>
      <bottom style="medium">
        <color rgb="FFF9D9D1"/>
      </bottom>
    </border>
    <border>
      <left style="medium">
        <color rgb="FFF9D9D1"/>
      </left>
      <right style="medium">
        <color rgb="FFF9D9D1"/>
      </right>
      <top style="medium">
        <color rgb="FFF9D9D1"/>
      </top>
      <bottom style="medium">
        <color rgb="FFF9D9D1"/>
      </bottom>
    </border>
    <border>
      <left style="medium">
        <color rgb="FFF9D9D1"/>
      </left>
      <right style="thick">
        <color rgb="FF434343"/>
      </right>
      <top style="medium">
        <color rgb="FFF9D9D1"/>
      </top>
      <bottom style="medium">
        <color rgb="FFF9D9D1"/>
      </bottom>
    </border>
    <border>
      <left style="medium">
        <color rgb="FFF9D9D1"/>
      </left>
      <top style="medium">
        <color rgb="FFF9D9D1"/>
      </top>
      <bottom style="medium">
        <color rgb="FFF9D9D1"/>
      </bottom>
    </border>
    <border>
      <right style="medium">
        <color rgb="FFF9D9D1"/>
      </right>
      <top style="medium">
        <color rgb="FFF9D9D1"/>
      </top>
      <bottom style="medium">
        <color rgb="FFF9D9D1"/>
      </bottom>
    </border>
    <border>
      <left style="thick">
        <color rgb="FF434343"/>
      </left>
      <right style="medium">
        <color rgb="FFF9D9D1"/>
      </right>
      <top style="medium">
        <color rgb="FFF9D9D1"/>
      </top>
    </border>
    <border>
      <left style="medium">
        <color rgb="FFF9D9D1"/>
      </left>
      <right style="medium">
        <color rgb="FFF9D9D1"/>
      </right>
      <top style="medium">
        <color rgb="FFF9D9D1"/>
      </top>
    </border>
    <border>
      <left style="medium">
        <color rgb="FFF9D9D1"/>
      </left>
      <right style="thick">
        <color rgb="FF434343"/>
      </right>
      <top style="medium">
        <color rgb="FFF9D9D1"/>
      </top>
    </border>
    <border>
      <left style="thick">
        <color rgb="FF434343"/>
      </left>
      <top style="medium">
        <color rgb="FF434343"/>
      </top>
      <bottom style="thin">
        <color rgb="FFF9D9D1"/>
      </bottom>
    </border>
    <border>
      <top style="medium">
        <color rgb="FF434343"/>
      </top>
      <bottom style="thin">
        <color rgb="FFF9D9D1"/>
      </bottom>
    </border>
    <border>
      <right style="thick">
        <color rgb="FF434343"/>
      </right>
      <top style="medium">
        <color rgb="FF434343"/>
      </top>
      <bottom style="thin">
        <color rgb="FFF9D9D1"/>
      </bottom>
    </border>
    <border>
      <left style="thin">
        <color rgb="FFF9D9D1"/>
      </left>
      <right style="thin">
        <color rgb="FFF9D9D1"/>
      </right>
      <top style="thin">
        <color rgb="FFF9D9D1"/>
      </top>
    </border>
    <border>
      <left style="thick">
        <color rgb="FF434343"/>
      </left>
      <top style="thin">
        <color rgb="FFF9D9D1"/>
      </top>
      <bottom style="thin">
        <color rgb="FFF9D9D1"/>
      </bottom>
    </border>
    <border>
      <right style="thick">
        <color rgb="FF434343"/>
      </right>
      <top style="thin">
        <color rgb="FFF9D9D1"/>
      </top>
      <bottom style="thin">
        <color rgb="FFF9D9D1"/>
      </bottom>
    </border>
    <border>
      <left style="thick">
        <color rgb="FF434343"/>
      </left>
      <top style="thin">
        <color rgb="FFF9D9D1"/>
      </top>
    </border>
    <border>
      <top style="thin">
        <color rgb="FFF9D9D1"/>
      </top>
    </border>
    <border>
      <right style="thin">
        <color rgb="FFF9D9D1"/>
      </right>
      <top style="thin">
        <color rgb="FFF9D9D1"/>
      </top>
    </border>
    <border>
      <left style="thin">
        <color rgb="FFF9D9D1"/>
      </left>
      <right style="thick">
        <color rgb="FF434343"/>
      </right>
      <top style="thin">
        <color rgb="FFF9D9D1"/>
      </top>
    </border>
    <border>
      <left style="thin">
        <color rgb="FFF9D9D1"/>
      </left>
      <right style="thick">
        <color rgb="FF434343"/>
      </right>
      <top style="medium">
        <color rgb="FF434343"/>
      </top>
      <bottom style="thin">
        <color rgb="FFF9D9D1"/>
      </bottom>
    </border>
    <border>
      <left style="thin">
        <color rgb="FFF9D9D1"/>
      </left>
      <right style="thin">
        <color rgb="FFF9D9D1"/>
      </right>
      <top style="thin">
        <color rgb="FFF9D9D1"/>
      </top>
      <bottom style="thin">
        <color rgb="FFF9D9D1"/>
      </bottom>
    </border>
    <border>
      <left style="thin">
        <color rgb="FFF9D9D1"/>
      </left>
      <right style="thick">
        <color rgb="FF434343"/>
      </right>
      <top style="thin">
        <color rgb="FFF9D9D1"/>
      </top>
      <bottom style="thin">
        <color rgb="FFF9D9D1"/>
      </bottom>
    </border>
    <border>
      <left style="thick">
        <color rgb="FF434343"/>
      </left>
      <top style="thin">
        <color rgb="FFF9D9D1"/>
      </top>
      <bottom style="thick">
        <color rgb="FF434343"/>
      </bottom>
    </border>
    <border>
      <top style="thin">
        <color rgb="FFF9D9D1"/>
      </top>
      <bottom style="thick">
        <color rgb="FF434343"/>
      </bottom>
    </border>
    <border>
      <left style="thin">
        <color rgb="FFF9D9D1"/>
      </left>
      <right style="thick">
        <color rgb="FF434343"/>
      </right>
      <top style="thin">
        <color rgb="FFF9D9D1"/>
      </top>
      <bottom style="thick">
        <color rgb="FF434343"/>
      </bottom>
    </border>
    <border>
      <left style="thin">
        <color rgb="FFF9D9D1"/>
      </left>
      <right style="thin">
        <color rgb="FFF9D9D1"/>
      </right>
      <top style="thin">
        <color rgb="FFD6E1D5"/>
      </top>
    </border>
    <border>
      <left style="thin">
        <color rgb="FFF9D9D1"/>
      </left>
      <right style="thick">
        <color rgb="FF3E3A3A"/>
      </right>
      <top style="thin">
        <color rgb="FFF9D9D1"/>
      </top>
      <bottom style="thin">
        <color rgb="FFF9D9D1"/>
      </bottom>
    </border>
    <border>
      <left style="thick">
        <color rgb="FF3E3A3A"/>
      </left>
      <right style="thin">
        <color rgb="FFF16949"/>
      </right>
      <bottom style="thin">
        <color rgb="FFF16949"/>
      </bottom>
    </border>
    <border>
      <left style="thin">
        <color rgb="FFF16949"/>
      </left>
      <right style="thin">
        <color rgb="FFF16949"/>
      </right>
      <bottom style="thin">
        <color rgb="FFF16949"/>
      </bottom>
    </border>
    <border>
      <left style="thin">
        <color rgb="FFF16949"/>
      </left>
      <top style="thin">
        <color rgb="FF3E3A3A"/>
      </top>
      <bottom style="thin">
        <color rgb="FFF16949"/>
      </bottom>
    </border>
    <border>
      <left style="medium">
        <color rgb="FF3E3A3A"/>
      </left>
      <right style="thick">
        <color rgb="FF3E3A3A"/>
      </right>
      <bottom style="thin">
        <color rgb="FFF16949"/>
      </bottom>
    </border>
    <border>
      <left style="thick">
        <color rgb="FF3E3A3A"/>
      </left>
      <right style="thin">
        <color rgb="FFF16949"/>
      </right>
      <top style="thin">
        <color rgb="FFF16949"/>
      </top>
      <bottom style="thin">
        <color rgb="FFF16949"/>
      </bottom>
    </border>
    <border>
      <left style="thin">
        <color rgb="FFF16949"/>
      </left>
      <right style="thin">
        <color rgb="FFF16949"/>
      </right>
      <top style="thin">
        <color rgb="FFF16949"/>
      </top>
      <bottom style="thin">
        <color rgb="FFF16949"/>
      </bottom>
    </border>
    <border>
      <left style="thin">
        <color rgb="FFF16949"/>
      </left>
      <top style="thin">
        <color rgb="FFF16949"/>
      </top>
      <bottom style="thin">
        <color rgb="FFF16949"/>
      </bottom>
    </border>
    <border>
      <left style="medium">
        <color rgb="FF3E3A3A"/>
      </left>
      <right style="thick">
        <color rgb="FF3E3A3A"/>
      </right>
      <top style="thin">
        <color rgb="FFF16949"/>
      </top>
      <bottom style="thin">
        <color rgb="FFF16949"/>
      </bottom>
    </border>
    <border>
      <left style="thick">
        <color rgb="FF3E3A3A"/>
      </left>
      <right style="thin">
        <color rgb="FFF16949"/>
      </right>
      <top style="thin">
        <color rgb="FFF16949"/>
      </top>
    </border>
    <border>
      <left style="thin">
        <color rgb="FFF16949"/>
      </left>
      <right style="thin">
        <color rgb="FFF16949"/>
      </right>
      <top style="thin">
        <color rgb="FFF16949"/>
      </top>
    </border>
    <border>
      <left style="thin">
        <color rgb="FFF16949"/>
      </left>
      <top style="thin">
        <color rgb="FFF16949"/>
      </top>
    </border>
    <border>
      <left style="medium">
        <color rgb="FF3E3A3A"/>
      </left>
      <right style="thick">
        <color rgb="FF3E3A3A"/>
      </right>
      <top style="thin">
        <color rgb="FFF16949"/>
      </top>
      <bottom style="medium">
        <color rgb="FF3E3A3A"/>
      </bottom>
    </border>
    <border>
      <left style="thick">
        <color rgb="FF3E3A3A"/>
      </left>
      <right style="thin">
        <color rgb="FFF9D9D1"/>
      </right>
      <top style="thin">
        <color rgb="FFF9D9D1"/>
      </top>
    </border>
    <border>
      <left style="thin">
        <color rgb="FFF9D9D1"/>
      </left>
      <right style="thick">
        <color rgb="FF3E3A3A"/>
      </right>
      <top style="thin">
        <color rgb="FFF9D9D1"/>
      </top>
    </border>
    <border>
      <right style="thick">
        <color rgb="FF3E3A3A"/>
      </right>
      <top style="thin">
        <color rgb="FFEFEFEF"/>
      </top>
      <bottom style="thin">
        <color rgb="FFEFEFEF"/>
      </bottom>
    </border>
    <border>
      <left style="thin">
        <color rgb="FFFFECDE"/>
      </left>
      <right style="thick">
        <color rgb="FF3E3A3A"/>
      </right>
      <top style="thin">
        <color rgb="FFEFEFEF"/>
      </top>
      <bottom style="thin">
        <color rgb="FFEFEFEF"/>
      </bottom>
    </border>
    <border>
      <left style="thin">
        <color rgb="FF66B343"/>
      </left>
      <right style="thin">
        <color rgb="FF66B343"/>
      </right>
      <bottom style="thin">
        <color rgb="FF66B343"/>
      </bottom>
    </border>
    <border>
      <left style="thick">
        <color rgb="FF3E3A3A"/>
      </left>
      <right style="thin">
        <color rgb="FFD4D4E6"/>
      </right>
      <top style="thick">
        <color rgb="FF3E3A3A"/>
      </top>
      <bottom style="thin">
        <color rgb="FFD4D4E6"/>
      </bottom>
    </border>
    <border>
      <left style="thin">
        <color rgb="FFD4D4E6"/>
      </left>
      <right style="thin">
        <color rgb="FFD4D4E6"/>
      </right>
      <top style="thick">
        <color rgb="FF3E3A3A"/>
      </top>
      <bottom style="thin">
        <color rgb="FFFFFFFF"/>
      </bottom>
    </border>
    <border>
      <left style="thin">
        <color rgb="FFD4D4E6"/>
      </left>
      <right style="thin">
        <color rgb="FFD4D4E6"/>
      </right>
      <top style="thick">
        <color rgb="FF3E3A3A"/>
      </top>
      <bottom style="thin">
        <color rgb="FFD4D4E6"/>
      </bottom>
    </border>
    <border>
      <left style="thin">
        <color rgb="FFD4D4E6"/>
      </left>
      <right style="thick">
        <color rgb="FF3E3A3A"/>
      </right>
      <top style="thick">
        <color rgb="FF3E3A3A"/>
      </top>
      <bottom style="thin">
        <color rgb="FFD4D4E6"/>
      </bottom>
    </border>
    <border>
      <left style="thick">
        <color rgb="FF3E3A3A"/>
      </left>
      <top style="thin">
        <color rgb="FFD4D4E6"/>
      </top>
      <bottom style="thin">
        <color rgb="FFD4D4E6"/>
      </bottom>
    </border>
    <border>
      <top style="thin">
        <color rgb="FFD4D4E6"/>
      </top>
      <bottom style="thin">
        <color rgb="FFD4D4E6"/>
      </bottom>
    </border>
    <border>
      <right style="thin">
        <color rgb="FFD4D4E6"/>
      </right>
      <top style="thin">
        <color rgb="FFD4D4E6"/>
      </top>
    </border>
    <border>
      <left style="thin">
        <color rgb="FFD4D4E6"/>
      </left>
      <top style="thin">
        <color rgb="FFD4D4E6"/>
      </top>
      <bottom style="thin">
        <color rgb="FFD4D4E6"/>
      </bottom>
    </border>
    <border>
      <right style="thin">
        <color rgb="FFD4D4E6"/>
      </right>
      <top style="thin">
        <color rgb="FFD4D4E6"/>
      </top>
      <bottom style="thin">
        <color rgb="FFD4D4E6"/>
      </bottom>
    </border>
    <border>
      <left style="thin">
        <color rgb="FFD4D4E6"/>
      </left>
      <right style="thin">
        <color rgb="FFD4D4E6"/>
      </right>
      <top style="thin">
        <color rgb="FFD4D4E6"/>
      </top>
    </border>
    <border>
      <left style="thin">
        <color rgb="FFD4D4E6"/>
      </left>
      <right style="thick">
        <color rgb="FF3E3A3A"/>
      </right>
      <top style="thin">
        <color rgb="FFD4D4E6"/>
      </top>
      <bottom style="thin">
        <color rgb="FFD4D4E6"/>
      </bottom>
    </border>
    <border>
      <left style="thick">
        <color rgb="FF434343"/>
      </left>
      <bottom style="medium">
        <color rgb="FFD4D4E6"/>
      </bottom>
    </border>
    <border>
      <bottom style="medium">
        <color rgb="FFD4D4E6"/>
      </bottom>
    </border>
    <border>
      <right style="thick">
        <color rgb="FF434343"/>
      </right>
      <bottom style="medium">
        <color rgb="FFD4D4E6"/>
      </bottom>
    </border>
    <border>
      <right style="thin">
        <color rgb="FFD4D4E6"/>
      </right>
    </border>
    <border>
      <left style="thin">
        <color rgb="FFD4D4E6"/>
      </left>
      <right style="thin">
        <color rgb="FFD4D4E6"/>
      </right>
    </border>
    <border>
      <left style="thick">
        <color rgb="FF434343"/>
      </left>
      <top style="medium">
        <color rgb="FFD4D4E6"/>
      </top>
      <bottom style="medium">
        <color rgb="FFD4D4E6"/>
      </bottom>
    </border>
    <border>
      <top style="medium">
        <color rgb="FFD4D4E6"/>
      </top>
      <bottom style="medium">
        <color rgb="FFD4D4E6"/>
      </bottom>
    </border>
    <border>
      <right style="thick">
        <color rgb="FF434343"/>
      </right>
      <top style="medium">
        <color rgb="FFD4D4E6"/>
      </top>
      <bottom style="medium">
        <color rgb="FFD4D4E6"/>
      </bottom>
    </border>
    <border>
      <left style="thick">
        <color rgb="FF3E3A3A"/>
      </left>
      <right style="thin">
        <color rgb="FFD4D4E6"/>
      </right>
      <top style="thin">
        <color rgb="FFD4D4E6"/>
      </top>
      <bottom style="thin">
        <color rgb="FFD4D4E6"/>
      </bottom>
    </border>
    <border>
      <left style="thick">
        <color rgb="FF434343"/>
      </left>
      <right style="medium">
        <color rgb="FFD4D4E6"/>
      </right>
      <top style="medium">
        <color rgb="FFD4D4E6"/>
      </top>
      <bottom style="medium">
        <color rgb="FFD4D4E6"/>
      </bottom>
    </border>
    <border>
      <left style="medium">
        <color rgb="FFD4D4E6"/>
      </left>
      <right style="medium">
        <color rgb="FFD4D4E6"/>
      </right>
      <top style="medium">
        <color rgb="FFD4D4E6"/>
      </top>
      <bottom style="medium">
        <color rgb="FFD4D4E6"/>
      </bottom>
    </border>
    <border>
      <left style="medium">
        <color rgb="FFD4D4E6"/>
      </left>
      <right style="thick">
        <color rgb="FF434343"/>
      </right>
      <top style="medium">
        <color rgb="FFD4D4E6"/>
      </top>
      <bottom style="medium">
        <color rgb="FFD4D4E6"/>
      </bottom>
    </border>
    <border>
      <left style="medium">
        <color rgb="FFD4D4E6"/>
      </left>
      <top style="medium">
        <color rgb="FFD4D4E6"/>
      </top>
      <bottom style="medium">
        <color rgb="FFD4D4E6"/>
      </bottom>
    </border>
    <border>
      <right style="medium">
        <color rgb="FFD4D4E6"/>
      </right>
      <top style="medium">
        <color rgb="FFD4D4E6"/>
      </top>
      <bottom style="medium">
        <color rgb="FFD4D4E6"/>
      </bottom>
    </border>
    <border>
      <left style="thick">
        <color rgb="FF434343"/>
      </left>
      <right style="medium">
        <color rgb="FFD4D4E6"/>
      </right>
      <top style="medium">
        <color rgb="FFD4D4E6"/>
      </top>
    </border>
    <border>
      <left style="medium">
        <color rgb="FFD4D4E6"/>
      </left>
      <right style="medium">
        <color rgb="FFD4D4E6"/>
      </right>
      <top style="medium">
        <color rgb="FFD4D4E6"/>
      </top>
    </border>
    <border>
      <left style="medium">
        <color rgb="FFD4D4E6"/>
      </left>
      <right style="thick">
        <color rgb="FF434343"/>
      </right>
      <top style="medium">
        <color rgb="FFD4D4E6"/>
      </top>
    </border>
    <border>
      <left style="thin">
        <color rgb="FFD4D4E6"/>
      </left>
      <right style="thin">
        <color rgb="FFD4D4E6"/>
      </right>
      <top style="thin">
        <color rgb="FFD4D4E6"/>
      </top>
      <bottom style="thin">
        <color rgb="FFD4D4E6"/>
      </bottom>
    </border>
    <border>
      <left style="thin">
        <color rgb="FFD4D4E6"/>
      </left>
      <right style="thin">
        <color rgb="FFD4D4E6"/>
      </right>
      <bottom style="thin">
        <color rgb="FFD4D4E6"/>
      </bottom>
    </border>
    <border>
      <left style="thick">
        <color rgb="FF434343"/>
      </left>
      <top style="medium">
        <color rgb="FF434343"/>
      </top>
      <bottom style="thin">
        <color rgb="FFD4D4E6"/>
      </bottom>
    </border>
    <border>
      <top style="medium">
        <color rgb="FF434343"/>
      </top>
      <bottom style="thin">
        <color rgb="FFD4D4E6"/>
      </bottom>
    </border>
    <border>
      <right style="thick">
        <color rgb="FF434343"/>
      </right>
      <top style="medium">
        <color rgb="FF434343"/>
      </top>
      <bottom style="thin">
        <color rgb="FFD4D4E6"/>
      </bottom>
    </border>
    <border>
      <left style="thick">
        <color rgb="FF434343"/>
      </left>
      <top style="thin">
        <color rgb="FFD4D4E6"/>
      </top>
      <bottom style="thin">
        <color rgb="FFD4D4E6"/>
      </bottom>
    </border>
    <border>
      <right style="thick">
        <color rgb="FF434343"/>
      </right>
      <top style="thin">
        <color rgb="FFD4D4E6"/>
      </top>
      <bottom style="thin">
        <color rgb="FFD4D4E6"/>
      </bottom>
    </border>
    <border>
      <left style="thick">
        <color rgb="FF434343"/>
      </left>
      <top style="thin">
        <color rgb="FFD4D4E6"/>
      </top>
    </border>
    <border>
      <top style="thin">
        <color rgb="FFD4D4E6"/>
      </top>
    </border>
    <border>
      <left style="thin">
        <color rgb="FFD4D4E6"/>
      </left>
      <right style="thick">
        <color rgb="FF434343"/>
      </right>
      <top style="thin">
        <color rgb="FFD4D4E6"/>
      </top>
    </border>
    <border>
      <right style="thin">
        <color rgb="FFD4D4E6"/>
      </right>
      <top style="medium">
        <color rgb="FF434343"/>
      </top>
      <bottom style="thin">
        <color rgb="FFD4D4E6"/>
      </bottom>
    </border>
    <border>
      <left style="thick">
        <color rgb="FF434343"/>
      </left>
      <top style="thin">
        <color rgb="FFD4D4E6"/>
      </top>
      <bottom style="thick">
        <color rgb="FF434343"/>
      </bottom>
    </border>
    <border>
      <top style="thin">
        <color rgb="FFD4D4E6"/>
      </top>
      <bottom style="thick">
        <color rgb="FF434343"/>
      </bottom>
    </border>
    <border>
      <right style="thin">
        <color rgb="FFD4D4E6"/>
      </right>
      <top style="thin">
        <color rgb="FFD4D4E6"/>
      </top>
      <bottom style="thick">
        <color rgb="FF434343"/>
      </bottom>
    </border>
    <border>
      <right style="thick">
        <color rgb="FF434343"/>
      </right>
      <top style="thin">
        <color rgb="FFD4D4E6"/>
      </top>
      <bottom style="thick">
        <color rgb="FF434343"/>
      </bottom>
    </border>
    <border>
      <right style="thin">
        <color rgb="FFD4D4E6"/>
      </right>
      <bottom style="thin">
        <color rgb="FFD4D4E6"/>
      </bottom>
    </border>
    <border>
      <left style="thick">
        <color rgb="FF3E3A3A"/>
      </left>
      <right style="thin">
        <color rgb="FF5492A4"/>
      </right>
      <bottom style="thin">
        <color rgb="FF5492A4"/>
      </bottom>
    </border>
    <border>
      <left style="thin">
        <color rgb="FF5492A4"/>
      </left>
      <right style="thin">
        <color rgb="FF5492A4"/>
      </right>
      <bottom style="thin">
        <color rgb="FF5492A4"/>
      </bottom>
    </border>
    <border>
      <left style="thin">
        <color rgb="FF5492A4"/>
      </left>
      <top style="thin">
        <color rgb="FF3E3A3A"/>
      </top>
      <bottom style="thin">
        <color rgb="FF5492A4"/>
      </bottom>
    </border>
    <border>
      <left style="medium">
        <color rgb="FF3E3A3A"/>
      </left>
      <right style="thick">
        <color rgb="FF3E3A3A"/>
      </right>
      <bottom style="thin">
        <color rgb="FF5492A4"/>
      </bottom>
    </border>
    <border>
      <left style="thick">
        <color rgb="FF3E3A3A"/>
      </left>
      <right style="thin">
        <color rgb="FF5492A4"/>
      </right>
      <top style="thin">
        <color rgb="FF5492A4"/>
      </top>
      <bottom style="thin">
        <color rgb="FF5492A4"/>
      </bottom>
    </border>
    <border>
      <left style="thin">
        <color rgb="FF5492A4"/>
      </left>
      <right style="thin">
        <color rgb="FF5492A4"/>
      </right>
      <top style="thin">
        <color rgb="FF5492A4"/>
      </top>
      <bottom style="thin">
        <color rgb="FF5492A4"/>
      </bottom>
    </border>
    <border>
      <left style="thin">
        <color rgb="FF5492A4"/>
      </left>
      <top style="thin">
        <color rgb="FF5492A4"/>
      </top>
      <bottom style="thin">
        <color rgb="FF5492A4"/>
      </bottom>
    </border>
    <border>
      <left style="medium">
        <color rgb="FF3E3A3A"/>
      </left>
      <right style="thick">
        <color rgb="FF3E3A3A"/>
      </right>
      <top style="thin">
        <color rgb="FF5492A4"/>
      </top>
      <bottom style="thin">
        <color rgb="FF5492A4"/>
      </bottom>
    </border>
    <border>
      <left style="thick">
        <color rgb="FF3E3A3A"/>
      </left>
      <right style="thin">
        <color rgb="FF5492A4"/>
      </right>
      <top style="thin">
        <color rgb="FF5492A4"/>
      </top>
    </border>
    <border>
      <left style="thin">
        <color rgb="FF5492A4"/>
      </left>
      <right style="thin">
        <color rgb="FF5492A4"/>
      </right>
      <top style="thin">
        <color rgb="FF5492A4"/>
      </top>
    </border>
    <border>
      <left style="thin">
        <color rgb="FF5492A4"/>
      </left>
      <top style="thin">
        <color rgb="FF5492A4"/>
      </top>
    </border>
    <border>
      <left style="medium">
        <color rgb="FF3E3A3A"/>
      </left>
      <right style="thick">
        <color rgb="FF3E3A3A"/>
      </right>
      <top style="thin">
        <color rgb="FF5492A4"/>
      </top>
      <bottom style="medium">
        <color rgb="FF3E3A3A"/>
      </bottom>
    </border>
    <border>
      <left style="thin">
        <color rgb="FFFFFFFF"/>
      </left>
      <right style="thin">
        <color rgb="FFD4D4E6"/>
      </right>
      <top style="thin">
        <color rgb="FFD4D4E6"/>
      </top>
      <bottom style="thin">
        <color rgb="FFD4D4E6"/>
      </bottom>
    </border>
    <border>
      <left style="thick">
        <color rgb="FF3E3A3A"/>
      </left>
      <right style="thin">
        <color rgb="FFD4D4E6"/>
      </right>
      <top style="thin">
        <color rgb="FFD4D4E6"/>
      </top>
      <bottom style="thick">
        <color rgb="FF3E3A3A"/>
      </bottom>
    </border>
    <border>
      <left style="thin">
        <color rgb="FFD4D4E6"/>
      </left>
      <right style="thin">
        <color rgb="FFD4D4E6"/>
      </right>
      <top style="thin">
        <color rgb="FFD4D4E6"/>
      </top>
      <bottom style="thick">
        <color rgb="FF3E3A3A"/>
      </bottom>
    </border>
    <border>
      <left style="thin">
        <color rgb="FFD4D4E6"/>
      </left>
      <right style="thin">
        <color rgb="FFD4D4E6"/>
      </right>
      <bottom style="thick">
        <color rgb="FF3E3A3A"/>
      </bottom>
    </border>
    <border>
      <left style="thin">
        <color rgb="FFD4D4E6"/>
      </left>
      <right style="thick">
        <color rgb="FF3E3A3A"/>
      </right>
      <top style="thin">
        <color rgb="FFD4D4E6"/>
      </top>
      <bottom style="thick">
        <color rgb="FF3E3A3A"/>
      </bottom>
    </border>
    <border>
      <left style="thick">
        <color rgb="FF3E3A3A"/>
      </left>
      <right style="thin">
        <color rgb="FFD5CCCC"/>
      </right>
      <bottom style="thin">
        <color rgb="FFD5CCCC"/>
      </bottom>
    </border>
    <border>
      <left style="thin">
        <color rgb="FFD5CCCC"/>
      </left>
      <right style="thin">
        <color rgb="FFD5CCCC"/>
      </right>
    </border>
    <border>
      <left style="thin">
        <color rgb="FFD5CCCC"/>
      </left>
      <right style="thin">
        <color rgb="FFD5CCCC"/>
      </right>
      <bottom style="thin">
        <color rgb="FFD5CCCC"/>
      </bottom>
    </border>
    <border>
      <left style="thin">
        <color rgb="FFD5CCCC"/>
      </left>
      <right style="thick">
        <color rgb="FF3E3A3A"/>
      </right>
      <bottom style="thin">
        <color rgb="FFD5CCCC"/>
      </bottom>
    </border>
    <border>
      <left style="thick">
        <color rgb="FF3E3A3A"/>
      </left>
      <top style="thin">
        <color rgb="FFD5CCCC"/>
      </top>
      <bottom style="thin">
        <color rgb="FFD5CCCC"/>
      </bottom>
    </border>
    <border>
      <top style="thin">
        <color rgb="FFD5CCCC"/>
      </top>
      <bottom style="thin">
        <color rgb="FFD5CCCC"/>
      </bottom>
    </border>
    <border>
      <right style="thin">
        <color rgb="FFD5CCCC"/>
      </right>
      <top style="thin">
        <color rgb="FFD5CCCC"/>
      </top>
    </border>
    <border>
      <left style="thin">
        <color rgb="FFD5CCCC"/>
      </left>
      <top style="thin">
        <color rgb="FFD5CCCC"/>
      </top>
      <bottom style="thin">
        <color rgb="FFD5CCCC"/>
      </bottom>
    </border>
    <border>
      <right style="thin">
        <color rgb="FFD5CCCC"/>
      </right>
      <top style="thin">
        <color rgb="FFD5CCCC"/>
      </top>
      <bottom style="thin">
        <color rgb="FFD5CCCC"/>
      </bottom>
    </border>
    <border>
      <left style="thin">
        <color rgb="FFD5CCCC"/>
      </left>
      <right style="thin">
        <color rgb="FFD5CCCC"/>
      </right>
      <top style="thin">
        <color rgb="FFD5CCCC"/>
      </top>
    </border>
    <border>
      <left style="thin">
        <color rgb="FFD5CCCC"/>
      </left>
      <right style="thick">
        <color rgb="FF3E3A3A"/>
      </right>
      <top style="thin">
        <color rgb="FFD5CCCC"/>
      </top>
      <bottom style="thin">
        <color rgb="FFD5CCCC"/>
      </bottom>
    </border>
    <border>
      <left style="thick">
        <color rgb="FF434343"/>
      </left>
      <bottom style="medium">
        <color rgb="FFD5CCCC"/>
      </bottom>
    </border>
    <border>
      <bottom style="medium">
        <color rgb="FFD5CCCC"/>
      </bottom>
    </border>
    <border>
      <right style="thick">
        <color rgb="FF434343"/>
      </right>
      <bottom style="medium">
        <color rgb="FFD5CCCC"/>
      </bottom>
    </border>
    <border>
      <right style="thin">
        <color rgb="FFD5CCCC"/>
      </right>
    </border>
    <border>
      <left style="thick">
        <color rgb="FF434343"/>
      </left>
      <top style="medium">
        <color rgb="FFD5CCCC"/>
      </top>
      <bottom style="medium">
        <color rgb="FFD5CCCC"/>
      </bottom>
    </border>
    <border>
      <top style="medium">
        <color rgb="FFD5CCCC"/>
      </top>
      <bottom style="medium">
        <color rgb="FFD5CCCC"/>
      </bottom>
    </border>
    <border>
      <right style="thick">
        <color rgb="FF434343"/>
      </right>
      <top style="medium">
        <color rgb="FFD5CCCC"/>
      </top>
      <bottom style="medium">
        <color rgb="FFD5CCCC"/>
      </bottom>
    </border>
    <border>
      <left style="thick">
        <color rgb="FF3E3A3A"/>
      </left>
      <right style="thin">
        <color rgb="FFD5CCCC"/>
      </right>
      <top style="thin">
        <color rgb="FFD5CCCC"/>
      </top>
      <bottom style="thin">
        <color rgb="FFD5CCCC"/>
      </bottom>
    </border>
    <border>
      <left style="thick">
        <color rgb="FF434343"/>
      </left>
      <right style="medium">
        <color rgb="FFD5CCCC"/>
      </right>
      <top style="medium">
        <color rgb="FFD5CCCC"/>
      </top>
      <bottom style="medium">
        <color rgb="FFD5CCCC"/>
      </bottom>
    </border>
    <border>
      <left style="medium">
        <color rgb="FFD5CCCC"/>
      </left>
      <top style="medium">
        <color rgb="FFD5CCCC"/>
      </top>
      <bottom style="medium">
        <color rgb="FFD5CCCC"/>
      </bottom>
    </border>
    <border>
      <right style="medium">
        <color rgb="FFD5CCCC"/>
      </right>
      <top style="medium">
        <color rgb="FFD5CCCC"/>
      </top>
      <bottom style="medium">
        <color rgb="FFD5CCCC"/>
      </bottom>
    </border>
    <border>
      <left style="medium">
        <color rgb="FFD5CCCC"/>
      </left>
      <right style="thick">
        <color rgb="FF434343"/>
      </right>
      <top style="medium">
        <color rgb="FFD5CCCC"/>
      </top>
      <bottom style="medium">
        <color rgb="FFD5CCCC"/>
      </bottom>
    </border>
    <border>
      <left style="medium">
        <color rgb="FFD5CCCC"/>
      </left>
      <right style="medium">
        <color rgb="FFD5CCCC"/>
      </right>
      <top style="medium">
        <color rgb="FFD5CCCC"/>
      </top>
      <bottom style="medium">
        <color rgb="FFD5CCCC"/>
      </bottom>
    </border>
    <border>
      <left style="thick">
        <color rgb="FF434343"/>
      </left>
      <right style="medium">
        <color rgb="FFD5CCCC"/>
      </right>
      <top style="medium">
        <color rgb="FFD5CCCC"/>
      </top>
    </border>
    <border>
      <left style="medium">
        <color rgb="FFD5CCCC"/>
      </left>
      <right style="medium">
        <color rgb="FFD5CCCC"/>
      </right>
      <top style="medium">
        <color rgb="FFD5CCCC"/>
      </top>
    </border>
    <border>
      <left style="medium">
        <color rgb="FFD5CCCC"/>
      </left>
      <right style="thick">
        <color rgb="FF434343"/>
      </right>
      <top style="medium">
        <color rgb="FFD5CCCC"/>
      </top>
    </border>
    <border>
      <left style="thin">
        <color rgb="FFD5CCCC"/>
      </left>
      <right style="thin">
        <color rgb="FFD5CCCC"/>
      </right>
      <top style="thin">
        <color rgb="FFD5CCCC"/>
      </top>
      <bottom style="thin">
        <color rgb="FFD5CCCC"/>
      </bottom>
    </border>
    <border>
      <left style="thick">
        <color rgb="FF434343"/>
      </left>
      <top style="medium">
        <color rgb="FF434343"/>
      </top>
      <bottom style="thin">
        <color rgb="FFD5CCCC"/>
      </bottom>
    </border>
    <border>
      <top style="medium">
        <color rgb="FF434343"/>
      </top>
      <bottom style="thin">
        <color rgb="FFD5CCCC"/>
      </bottom>
    </border>
    <border>
      <right style="thick">
        <color rgb="FF434343"/>
      </right>
      <top style="medium">
        <color rgb="FF434343"/>
      </top>
      <bottom style="thin">
        <color rgb="FFD5CCCC"/>
      </bottom>
    </border>
    <border>
      <left style="thick">
        <color rgb="FF434343"/>
      </left>
      <top style="thin">
        <color rgb="FFD5CCCC"/>
      </top>
      <bottom style="thin">
        <color rgb="FFD5CCCC"/>
      </bottom>
    </border>
    <border>
      <right style="thick">
        <color rgb="FF434343"/>
      </right>
      <top style="thin">
        <color rgb="FFD5CCCC"/>
      </top>
      <bottom style="thin">
        <color rgb="FFD5CCCC"/>
      </bottom>
    </border>
    <border>
      <left style="thick">
        <color rgb="FF434343"/>
      </left>
      <top style="thin">
        <color rgb="FFD5CCCC"/>
      </top>
    </border>
    <border>
      <top style="thin">
        <color rgb="FFD5CCCC"/>
      </top>
    </border>
    <border>
      <left style="thin">
        <color rgb="FFD5CCCC"/>
      </left>
      <right style="thick">
        <color rgb="FF434343"/>
      </right>
      <top style="thin">
        <color rgb="FFD5CCCC"/>
      </top>
    </border>
    <border>
      <right style="thin">
        <color rgb="FFD5CCCC"/>
      </right>
      <top style="medium">
        <color rgb="FF434343"/>
      </top>
      <bottom style="thin">
        <color rgb="FFD5CCCC"/>
      </bottom>
    </border>
    <border>
      <left style="thick">
        <color rgb="FF434343"/>
      </left>
      <top style="thin">
        <color rgb="FFD5CCCC"/>
      </top>
      <bottom style="thick">
        <color rgb="FF434343"/>
      </bottom>
    </border>
    <border>
      <top style="thin">
        <color rgb="FFD5CCCC"/>
      </top>
      <bottom style="thick">
        <color rgb="FF434343"/>
      </bottom>
    </border>
    <border>
      <right style="thin">
        <color rgb="FFD5CCCC"/>
      </right>
      <top style="thin">
        <color rgb="FFD5CCCC"/>
      </top>
      <bottom style="thick">
        <color rgb="FF434343"/>
      </bottom>
    </border>
    <border>
      <right style="thick">
        <color rgb="FF434343"/>
      </right>
      <top style="thin">
        <color rgb="FFD5CCCC"/>
      </top>
      <bottom style="thick">
        <color rgb="FF434343"/>
      </bottom>
    </border>
    <border>
      <right style="thin">
        <color rgb="FFD5CCCC"/>
      </right>
      <bottom style="thin">
        <color rgb="FFD5CCCC"/>
      </bottom>
    </border>
    <border>
      <left style="thin">
        <color rgb="FFD5CCCC"/>
      </left>
      <right style="thin">
        <color rgb="FFD5CCCC"/>
      </right>
      <top style="thin">
        <color rgb="FFD4D4E6"/>
      </top>
    </border>
    <border>
      <left style="thin">
        <color rgb="FFD5CCCC"/>
      </left>
      <right style="thin">
        <color rgb="FFD5CCCC"/>
      </right>
      <top style="thin">
        <color rgb="FFD4D4E6"/>
      </top>
      <bottom style="thin">
        <color rgb="FFD4D4E6"/>
      </bottom>
    </border>
    <border>
      <left style="thin">
        <color rgb="FFD4D4E6"/>
      </left>
      <right style="thin">
        <color rgb="FFD5CCCC"/>
      </right>
      <top style="thin">
        <color rgb="FFD5CCCC"/>
      </top>
      <bottom style="thin">
        <color rgb="FFD5CCCC"/>
      </bottom>
    </border>
    <border>
      <left style="thick">
        <color rgb="FF3E3A3A"/>
      </left>
      <right style="thin">
        <color rgb="FF4F4F4F"/>
      </right>
      <bottom style="thin">
        <color rgb="FF4F4F4F"/>
      </bottom>
    </border>
    <border>
      <left style="thin">
        <color rgb="FF4F4F4F"/>
      </left>
      <right style="thin">
        <color rgb="FF4F4F4F"/>
      </right>
      <bottom style="thin">
        <color rgb="FF4F4F4F"/>
      </bottom>
    </border>
    <border>
      <left style="thin">
        <color rgb="FF4F4F4F"/>
      </left>
      <top style="thin">
        <color rgb="FF3E3A3A"/>
      </top>
      <bottom style="thin">
        <color rgb="FF4F4F4F"/>
      </bottom>
    </border>
    <border>
      <left style="medium">
        <color rgb="FF3E3A3A"/>
      </left>
      <right style="thick">
        <color rgb="FF3E3A3A"/>
      </right>
      <bottom style="thin">
        <color rgb="FF4F4F4F"/>
      </bottom>
    </border>
    <border>
      <left style="thick">
        <color rgb="FF3E3A3A"/>
      </left>
      <right style="thin">
        <color rgb="FF4F4F4F"/>
      </right>
      <top style="thin">
        <color rgb="FF4F4F4F"/>
      </top>
      <bottom style="thin">
        <color rgb="FF4F4F4F"/>
      </bottom>
    </border>
    <border>
      <left style="thin">
        <color rgb="FF4F4F4F"/>
      </left>
      <right style="thin">
        <color rgb="FF4F4F4F"/>
      </right>
      <top style="thin">
        <color rgb="FF4F4F4F"/>
      </top>
      <bottom style="thin">
        <color rgb="FF4F4F4F"/>
      </bottom>
    </border>
    <border>
      <left style="thin">
        <color rgb="FF4F4F4F"/>
      </left>
      <top style="thin">
        <color rgb="FF4F4F4F"/>
      </top>
      <bottom style="thin">
        <color rgb="FF4F4F4F"/>
      </bottom>
    </border>
    <border>
      <left style="medium">
        <color rgb="FF3E3A3A"/>
      </left>
      <right style="thick">
        <color rgb="FF3E3A3A"/>
      </right>
      <top style="thin">
        <color rgb="FF4F4F4F"/>
      </top>
      <bottom style="thin">
        <color rgb="FF4F4F4F"/>
      </bottom>
    </border>
    <border>
      <left style="thick">
        <color rgb="FF3E3A3A"/>
      </left>
      <right style="thin">
        <color rgb="FF4F4F4F"/>
      </right>
      <top style="thin">
        <color rgb="FF4F4F4F"/>
      </top>
    </border>
    <border>
      <left style="thin">
        <color rgb="FF4F4F4F"/>
      </left>
      <right style="thin">
        <color rgb="FF4F4F4F"/>
      </right>
      <top style="thin">
        <color rgb="FF4F4F4F"/>
      </top>
    </border>
    <border>
      <left style="thin">
        <color rgb="FF4F4F4F"/>
      </left>
      <top style="thin">
        <color rgb="FF4F4F4F"/>
      </top>
    </border>
    <border>
      <left style="medium">
        <color rgb="FF3E3A3A"/>
      </left>
      <right style="thick">
        <color rgb="FF3E3A3A"/>
      </right>
      <top style="thin">
        <color rgb="FF4F4F4F"/>
      </top>
      <bottom style="medium">
        <color rgb="FF3E3A3A"/>
      </bottom>
    </border>
    <border>
      <left style="thick">
        <color rgb="FF3E3A3A"/>
      </left>
      <right style="thin">
        <color rgb="FFD5CCCC"/>
      </right>
      <top style="thin">
        <color rgb="FFD5CCCC"/>
      </top>
      <bottom style="thick">
        <color rgb="FF3E3A3A"/>
      </bottom>
    </border>
    <border>
      <left style="thin">
        <color rgb="FFD5CCCC"/>
      </left>
      <right style="thin">
        <color rgb="FFD5CCCC"/>
      </right>
      <top style="thin">
        <color rgb="FFD5CCCC"/>
      </top>
      <bottom style="thick">
        <color rgb="FF3E3A3A"/>
      </bottom>
    </border>
    <border>
      <left style="thin">
        <color rgb="FFD5CCCC"/>
      </left>
      <right style="thin">
        <color rgb="FFD5CCCC"/>
      </right>
      <bottom style="thick">
        <color rgb="FF3E3A3A"/>
      </bottom>
    </border>
    <border>
      <left style="thin">
        <color rgb="FFD5CCCC"/>
      </left>
      <right style="thick">
        <color rgb="FF3E3A3A"/>
      </right>
      <top style="thin">
        <color rgb="FFD5CCCC"/>
      </top>
      <bottom style="thick">
        <color rgb="FF3E3A3A"/>
      </bottom>
    </border>
    <border>
      <left style="thin">
        <color rgb="FFD5CCCC"/>
      </left>
      <right style="thin">
        <color rgb="FFD5CCCC"/>
      </right>
      <bottom style="thin">
        <color rgb="FFD4D4E6"/>
      </bottom>
    </border>
    <border>
      <left style="thick">
        <color rgb="FF3E3A3A"/>
      </left>
      <bottom style="thin">
        <color rgb="FFD5CCCC"/>
      </bottom>
    </border>
    <border>
      <left style="thin">
        <color rgb="FFD5CCCC"/>
      </left>
      <top style="thin">
        <color rgb="FFD5CCCC"/>
      </top>
    </border>
    <border>
      <left style="thick">
        <color rgb="FF434343"/>
      </left>
      <bottom style="thin">
        <color rgb="FFD5CCCC"/>
      </bottom>
    </border>
    <border>
      <bottom style="thin">
        <color rgb="FFD5CCCC"/>
      </bottom>
    </border>
    <border>
      <right style="thick">
        <color rgb="FF434343"/>
      </right>
      <bottom style="thin">
        <color rgb="FFD5CCCC"/>
      </bottom>
    </border>
    <border>
      <left style="thick">
        <color rgb="FF434343"/>
      </left>
      <bottom style="thick">
        <color rgb="FF434343"/>
      </bottom>
    </border>
    <border>
      <bottom style="thick">
        <color rgb="FF434343"/>
      </bottom>
    </border>
    <border>
      <right style="thin">
        <color rgb="FFD5CCCC"/>
      </right>
      <bottom style="thick">
        <color rgb="FF434343"/>
      </bottom>
    </border>
    <border>
      <right style="thick">
        <color rgb="FF434343"/>
      </right>
      <bottom style="thick">
        <color rgb="FF434343"/>
      </bottom>
    </border>
    <border>
      <left style="thin">
        <color rgb="FFD5CCCC"/>
      </left>
      <right style="thick">
        <color rgb="FF434343"/>
      </right>
      <top style="thin">
        <color rgb="FFD5CCCC"/>
      </top>
      <bottom style="thin">
        <color rgb="FFD5CCCC"/>
      </bottom>
    </border>
    <border>
      <left style="thin">
        <color rgb="FFD5CCCC"/>
      </left>
      <right style="thick">
        <color rgb="FF434343"/>
      </right>
      <bottom style="thin">
        <color rgb="FFD5CCCC"/>
      </bottom>
    </border>
    <border>
      <left style="thick">
        <color rgb="FF3E3A3A"/>
      </left>
      <right style="thin">
        <color rgb="FFDAC7C3"/>
      </right>
      <top style="thick">
        <color rgb="FF3E3A3A"/>
      </top>
      <bottom style="thin">
        <color rgb="FFDAC7C3"/>
      </bottom>
    </border>
    <border>
      <left style="thin">
        <color rgb="FFDAC7C3"/>
      </left>
      <right style="thin">
        <color rgb="FFDAC7C3"/>
      </right>
      <top style="thick">
        <color rgb="FF3E3A3A"/>
      </top>
    </border>
    <border>
      <left style="thin">
        <color rgb="FFDAC7C3"/>
      </left>
      <right style="thin">
        <color rgb="FFDAC7C3"/>
      </right>
      <top style="thick">
        <color rgb="FF3E3A3A"/>
      </top>
      <bottom style="thin">
        <color rgb="FFDAC7C3"/>
      </bottom>
    </border>
    <border>
      <left style="thin">
        <color rgb="FFDAC7C3"/>
      </left>
      <right style="thick">
        <color rgb="FF3E3A3A"/>
      </right>
      <top style="thick">
        <color rgb="FF3E3A3A"/>
      </top>
      <bottom style="thin">
        <color rgb="FFDAC7C3"/>
      </bottom>
    </border>
    <border>
      <left style="thick">
        <color rgb="FF3E3A3A"/>
      </left>
      <top style="thin">
        <color rgb="FFDAC7C3"/>
      </top>
      <bottom style="thin">
        <color rgb="FFDAC7C3"/>
      </bottom>
    </border>
    <border>
      <top style="thin">
        <color rgb="FFDAC7C3"/>
      </top>
      <bottom style="thin">
        <color rgb="FFDAC7C3"/>
      </bottom>
    </border>
    <border>
      <right style="thick">
        <color rgb="FF3E3A3A"/>
      </right>
      <top style="thin">
        <color rgb="FFDAC7C3"/>
      </top>
      <bottom style="thin">
        <color rgb="FFDAC7C3"/>
      </bottom>
    </border>
    <border>
      <left style="thick">
        <color rgb="FF434343"/>
      </left>
      <bottom style="medium">
        <color rgb="FFDAC7C3"/>
      </bottom>
    </border>
    <border>
      <bottom style="medium">
        <color rgb="FFDAC7C3"/>
      </bottom>
    </border>
    <border>
      <right style="thick">
        <color rgb="FF434343"/>
      </right>
      <bottom style="medium">
        <color rgb="FFDAC7C3"/>
      </bottom>
    </border>
    <border>
      <left style="thick">
        <color rgb="FF434343"/>
      </left>
      <top style="medium">
        <color rgb="FFDAC7C3"/>
      </top>
      <bottom style="medium">
        <color rgb="FFDAC7C3"/>
      </bottom>
    </border>
    <border>
      <top style="medium">
        <color rgb="FFDAC7C3"/>
      </top>
      <bottom style="medium">
        <color rgb="FFDAC7C3"/>
      </bottom>
    </border>
    <border>
      <right style="thick">
        <color rgb="FF434343"/>
      </right>
      <top style="medium">
        <color rgb="FFDAC7C3"/>
      </top>
      <bottom style="medium">
        <color rgb="FFDAC7C3"/>
      </bottom>
    </border>
    <border>
      <left style="thick">
        <color rgb="FF3E3A3A"/>
      </left>
      <right style="thin">
        <color rgb="FFDAC7C3"/>
      </right>
      <top style="thin">
        <color rgb="FFDAC7C3"/>
      </top>
      <bottom style="thin">
        <color rgb="FFDAC7C3"/>
      </bottom>
    </border>
    <border>
      <left style="thin">
        <color rgb="FFDAC7C3"/>
      </left>
      <right style="thin">
        <color rgb="FFDAC7C3"/>
      </right>
    </border>
    <border>
      <left style="thin">
        <color rgb="FFDAC7C3"/>
      </left>
      <top style="thin">
        <color rgb="FFDAC7C3"/>
      </top>
      <bottom style="thin">
        <color rgb="FFDAC7C3"/>
      </bottom>
    </border>
    <border>
      <left style="thick">
        <color rgb="FF434343"/>
      </left>
      <right style="medium">
        <color rgb="FFDAC7C3"/>
      </right>
      <top style="medium">
        <color rgb="FFDAC7C3"/>
      </top>
      <bottom style="medium">
        <color rgb="FFDAC7C3"/>
      </bottom>
    </border>
    <border>
      <left style="medium">
        <color rgb="FFDAC7C3"/>
      </left>
      <right style="medium">
        <color rgb="FFDAC7C3"/>
      </right>
      <top style="medium">
        <color rgb="FFDAC7C3"/>
      </top>
      <bottom style="medium">
        <color rgb="FFDAC7C3"/>
      </bottom>
    </border>
    <border>
      <left style="medium">
        <color rgb="FFDAC7C3"/>
      </left>
      <right style="thick">
        <color rgb="FF434343"/>
      </right>
      <top style="medium">
        <color rgb="FFDAC7C3"/>
      </top>
      <bottom style="medium">
        <color rgb="FFDAC7C3"/>
      </bottom>
    </border>
    <border>
      <left style="medium">
        <color rgb="FFDAC7C3"/>
      </left>
      <top style="medium">
        <color rgb="FFDAC7C3"/>
      </top>
      <bottom style="medium">
        <color rgb="FFDAC7C3"/>
      </bottom>
    </border>
    <border>
      <right style="medium">
        <color rgb="FFDAC7C3"/>
      </right>
      <top style="medium">
        <color rgb="FFDAC7C3"/>
      </top>
      <bottom style="medium">
        <color rgb="FFDAC7C3"/>
      </bottom>
    </border>
    <border>
      <left style="thick">
        <color rgb="FF434343"/>
      </left>
      <right style="medium">
        <color rgb="FFDAC7C3"/>
      </right>
      <top style="medium">
        <color rgb="FFDAC7C3"/>
      </top>
    </border>
    <border>
      <left style="medium">
        <color rgb="FFDAC7C3"/>
      </left>
      <right style="medium">
        <color rgb="FFDAC7C3"/>
      </right>
      <top style="medium">
        <color rgb="FFDAC7C3"/>
      </top>
    </border>
    <border>
      <left style="medium">
        <color rgb="FFDAC7C3"/>
      </left>
      <right style="thick">
        <color rgb="FF434343"/>
      </right>
      <top style="medium">
        <color rgb="FFDAC7C3"/>
      </top>
    </border>
    <border>
      <left style="thin">
        <color rgb="FFDAC7C3"/>
      </left>
      <right style="thin">
        <color rgb="FFDAC7C3"/>
      </right>
      <bottom style="thin">
        <color rgb="FFDAC7C3"/>
      </bottom>
    </border>
    <border>
      <left style="thick">
        <color rgb="FF434343"/>
      </left>
      <top style="medium">
        <color rgb="FF434343"/>
      </top>
      <bottom style="thin">
        <color rgb="FFDAC7C3"/>
      </bottom>
    </border>
    <border>
      <top style="medium">
        <color rgb="FF434343"/>
      </top>
      <bottom style="thin">
        <color rgb="FFDAC7C3"/>
      </bottom>
    </border>
    <border>
      <right style="thick">
        <color rgb="FF434343"/>
      </right>
      <top style="medium">
        <color rgb="FF434343"/>
      </top>
      <bottom style="thin">
        <color rgb="FFDAC7C3"/>
      </bottom>
    </border>
    <border>
      <left style="thin">
        <color rgb="FFDAC7C3"/>
      </left>
      <right style="thin">
        <color rgb="FFDAC7C3"/>
      </right>
      <top style="thin">
        <color rgb="FFDAC7C3"/>
      </top>
    </border>
    <border>
      <left style="thick">
        <color rgb="FF434343"/>
      </left>
      <top style="thin">
        <color rgb="FFDAC7C3"/>
      </top>
      <bottom style="thin">
        <color rgb="FFDAC7C3"/>
      </bottom>
    </border>
    <border>
      <right style="thick">
        <color rgb="FF434343"/>
      </right>
      <top style="thin">
        <color rgb="FFDAC7C3"/>
      </top>
      <bottom style="thin">
        <color rgb="FFDAC7C3"/>
      </bottom>
    </border>
    <border>
      <left style="thick">
        <color rgb="FF434343"/>
      </left>
      <top style="thin">
        <color rgb="FFDAC7C3"/>
      </top>
    </border>
    <border>
      <top style="thin">
        <color rgb="FFDAC7C3"/>
      </top>
    </border>
    <border>
      <right style="thin">
        <color rgb="FFDAC7C3"/>
      </right>
      <top style="thin">
        <color rgb="FFDAC7C3"/>
      </top>
    </border>
    <border>
      <left style="thin">
        <color rgb="FFDAC7C3"/>
      </left>
      <right style="thick">
        <color rgb="FF434343"/>
      </right>
      <top style="thin">
        <color rgb="FFDAC7C3"/>
      </top>
    </border>
    <border>
      <right style="thin">
        <color rgb="FFDAC7C3"/>
      </right>
      <top style="medium">
        <color rgb="FF434343"/>
      </top>
      <bottom style="thin">
        <color rgb="FFDAC7C3"/>
      </bottom>
    </border>
    <border>
      <left style="thin">
        <color rgb="FFDAC7C3"/>
      </left>
      <right style="thick">
        <color rgb="FF434343"/>
      </right>
      <top style="medium">
        <color rgb="FF434343"/>
      </top>
      <bottom style="thin">
        <color rgb="FFDAC7C3"/>
      </bottom>
    </border>
    <border>
      <left style="thin">
        <color rgb="FFDAC7C3"/>
      </left>
      <right style="thin">
        <color rgb="FFDAC7C3"/>
      </right>
      <top style="thin">
        <color rgb="FFDAC7C3"/>
      </top>
      <bottom style="thin">
        <color rgb="FFDAC7C3"/>
      </bottom>
    </border>
    <border>
      <right style="thin">
        <color rgb="FFDAC7C3"/>
      </right>
      <top style="thin">
        <color rgb="FFDAC7C3"/>
      </top>
      <bottom style="thin">
        <color rgb="FFDAC7C3"/>
      </bottom>
    </border>
    <border>
      <left style="thin">
        <color rgb="FFDAC7C3"/>
      </left>
      <right style="thick">
        <color rgb="FF434343"/>
      </right>
      <top style="thin">
        <color rgb="FFDAC7C3"/>
      </top>
      <bottom style="thin">
        <color rgb="FFDAC7C3"/>
      </bottom>
    </border>
    <border>
      <left style="thick">
        <color rgb="FF434343"/>
      </left>
      <top style="thin">
        <color rgb="FFDAC7C3"/>
      </top>
      <bottom style="thick">
        <color rgb="FF434343"/>
      </bottom>
    </border>
    <border>
      <top style="thin">
        <color rgb="FFDAC7C3"/>
      </top>
      <bottom style="thick">
        <color rgb="FF434343"/>
      </bottom>
    </border>
    <border>
      <right style="thin">
        <color rgb="FFDAC7C3"/>
      </right>
      <top style="thin">
        <color rgb="FFDAC7C3"/>
      </top>
      <bottom style="thick">
        <color rgb="FF434343"/>
      </bottom>
    </border>
    <border>
      <left style="thin">
        <color rgb="FFDAC7C3"/>
      </left>
      <right style="thick">
        <color rgb="FF434343"/>
      </right>
      <top style="thin">
        <color rgb="FFDAC7C3"/>
      </top>
      <bottom style="thick">
        <color rgb="FF434343"/>
      </bottom>
    </border>
    <border>
      <left style="thin">
        <color rgb="FFDAC7C3"/>
      </left>
      <right style="thin">
        <color rgb="FFDAC7C3"/>
      </right>
      <bottom style="thin">
        <color rgb="FFD4D4E6"/>
      </bottom>
    </border>
    <border>
      <left style="thin">
        <color rgb="FFDAC7C3"/>
      </left>
      <right style="thin">
        <color rgb="FFDAC7C3"/>
      </right>
      <top style="thin">
        <color rgb="FFD5CCCC"/>
      </top>
    </border>
    <border>
      <left style="thin">
        <color rgb="FFDAC7C3"/>
      </left>
      <right style="thin">
        <color rgb="FFDAC7C3"/>
      </right>
      <top style="thin">
        <color rgb="FFD5CCCC"/>
      </top>
      <bottom style="thin">
        <color rgb="FFD5CCCC"/>
      </bottom>
    </border>
    <border>
      <left style="thin">
        <color rgb="FFDAC7C3"/>
      </left>
      <right style="thick">
        <color rgb="FF3E3A3A"/>
      </right>
      <top style="thin">
        <color rgb="FFDAC7C3"/>
      </top>
      <bottom style="thin">
        <color rgb="FFDAC7C3"/>
      </bottom>
    </border>
    <border>
      <left style="thin">
        <color rgb="FFD5CCCC"/>
      </left>
      <right style="thick">
        <color rgb="FF3E3A3A"/>
      </right>
      <top style="thin">
        <color rgb="FFDAC7C3"/>
      </top>
      <bottom style="thin">
        <color rgb="FFDAC7C3"/>
      </bottom>
    </border>
    <border>
      <left style="thick">
        <color rgb="FF3E3A3A"/>
      </left>
      <right style="thin">
        <color rgb="FF826D6D"/>
      </right>
      <bottom style="thin">
        <color rgb="FF826D6D"/>
      </bottom>
    </border>
    <border>
      <left style="thin">
        <color rgb="FF826D6D"/>
      </left>
      <right style="thin">
        <color rgb="FF826D6D"/>
      </right>
      <bottom style="thin">
        <color rgb="FF826D6D"/>
      </bottom>
    </border>
    <border>
      <left style="thin">
        <color rgb="FF826D6D"/>
      </left>
      <top style="thin">
        <color rgb="FF3E3A3A"/>
      </top>
      <bottom style="thin">
        <color rgb="FF826D6D"/>
      </bottom>
    </border>
    <border>
      <left style="medium">
        <color rgb="FF3E3A3A"/>
      </left>
      <right style="thick">
        <color rgb="FF3E3A3A"/>
      </right>
      <bottom style="thin">
        <color rgb="FF826D6D"/>
      </bottom>
    </border>
    <border>
      <left style="thick">
        <color rgb="FF3E3A3A"/>
      </left>
      <right style="thin">
        <color rgb="FF826D6D"/>
      </right>
      <top style="thin">
        <color rgb="FF826D6D"/>
      </top>
      <bottom style="thin">
        <color rgb="FF826D6D"/>
      </bottom>
    </border>
    <border>
      <left style="thin">
        <color rgb="FF826D6D"/>
      </left>
      <right style="thin">
        <color rgb="FF826D6D"/>
      </right>
      <top style="thin">
        <color rgb="FF826D6D"/>
      </top>
      <bottom style="thin">
        <color rgb="FF826D6D"/>
      </bottom>
    </border>
    <border>
      <left style="thin">
        <color rgb="FF826D6D"/>
      </left>
      <top style="thin">
        <color rgb="FF826D6D"/>
      </top>
      <bottom style="thin">
        <color rgb="FF826D6D"/>
      </bottom>
    </border>
    <border>
      <left style="medium">
        <color rgb="FF3E3A3A"/>
      </left>
      <right style="thick">
        <color rgb="FF3E3A3A"/>
      </right>
      <top style="thin">
        <color rgb="FF826D6D"/>
      </top>
      <bottom style="thin">
        <color rgb="FF826D6D"/>
      </bottom>
    </border>
    <border>
      <left style="thick">
        <color rgb="FF3E3A3A"/>
      </left>
      <right style="thin">
        <color rgb="FF826D6D"/>
      </right>
      <top style="thin">
        <color rgb="FF826D6D"/>
      </top>
    </border>
    <border>
      <left style="thin">
        <color rgb="FF826D6D"/>
      </left>
      <right style="thin">
        <color rgb="FF826D6D"/>
      </right>
      <top style="thin">
        <color rgb="FF826D6D"/>
      </top>
    </border>
    <border>
      <left style="thin">
        <color rgb="FF826D6D"/>
      </left>
      <top style="thin">
        <color rgb="FF826D6D"/>
      </top>
    </border>
    <border>
      <left style="medium">
        <color rgb="FF3E3A3A"/>
      </left>
      <right style="thick">
        <color rgb="FF3E3A3A"/>
      </right>
      <top style="thin">
        <color rgb="FF826D6D"/>
      </top>
      <bottom style="medium">
        <color rgb="FF3E3A3A"/>
      </bottom>
    </border>
    <border>
      <left style="thick">
        <color rgb="FF3E3A3A"/>
      </left>
      <right style="thin">
        <color rgb="FFDAC7C3"/>
      </right>
      <top style="thin">
        <color rgb="FFDAC7C3"/>
      </top>
      <bottom style="thick">
        <color rgb="FF3E3A3A"/>
      </bottom>
    </border>
    <border>
      <left style="thin">
        <color rgb="FFDAC7C3"/>
      </left>
      <right style="thin">
        <color rgb="FFDAC7C3"/>
      </right>
      <top style="thin">
        <color rgb="FFDAC7C3"/>
      </top>
      <bottom style="thick">
        <color rgb="FF3E3A3A"/>
      </bottom>
    </border>
    <border>
      <left style="thin">
        <color rgb="FFDAC7C3"/>
      </left>
      <right style="thin">
        <color rgb="FFDAC7C3"/>
      </right>
      <bottom style="thick">
        <color rgb="FF3E3A3A"/>
      </bottom>
    </border>
    <border>
      <left style="thin">
        <color rgb="FFDAC7C3"/>
      </left>
      <right style="thick">
        <color rgb="FF3E3A3A"/>
      </right>
      <top style="thin">
        <color rgb="FFDAC7C3"/>
      </top>
      <bottom style="thick">
        <color rgb="FF3E3A3A"/>
      </bottom>
    </border>
    <border>
      <left style="thick">
        <color rgb="FF3E3A3A"/>
      </left>
      <right style="thin">
        <color rgb="FFF5EFF9"/>
      </right>
      <bottom style="thin">
        <color rgb="FFF5EFF9"/>
      </bottom>
    </border>
    <border>
      <left style="thin">
        <color rgb="FFF5EFF9"/>
      </left>
      <right style="thin">
        <color rgb="FFF5EFF9"/>
      </right>
      <bottom style="thin">
        <color rgb="FFF5EFF9"/>
      </bottom>
    </border>
    <border>
      <left style="thin">
        <color rgb="FFF5EFF9"/>
      </left>
      <right style="thick">
        <color rgb="FF3E3A3A"/>
      </right>
      <bottom style="thin">
        <color rgb="FFF5EFF9"/>
      </bottom>
    </border>
    <border>
      <left style="thick">
        <color rgb="FF3E3A3A"/>
      </left>
      <right style="thin">
        <color rgb="FFF5EFF9"/>
      </right>
      <top style="thin">
        <color rgb="FFF5EFF9"/>
      </top>
      <bottom style="thin">
        <color rgb="FFF5EFF9"/>
      </bottom>
    </border>
    <border>
      <left style="thin">
        <color rgb="FFF5EFF9"/>
      </left>
      <right style="thin">
        <color rgb="FFF5EFF9"/>
      </right>
      <top style="thin">
        <color rgb="FFF5EFF9"/>
      </top>
      <bottom style="thin">
        <color rgb="FFF5EFF9"/>
      </bottom>
    </border>
    <border>
      <left style="thin">
        <color rgb="FFF5EFF9"/>
      </left>
      <top style="thin">
        <color rgb="FFF5EFF9"/>
      </top>
      <bottom style="thin">
        <color rgb="FFF5EFF9"/>
      </bottom>
    </border>
    <border>
      <top style="thin">
        <color rgb="FFF5EFF9"/>
      </top>
      <bottom style="thin">
        <color rgb="FFF5EFF9"/>
      </bottom>
    </border>
    <border>
      <right style="thin">
        <color rgb="FFF5EFF9"/>
      </right>
      <top style="thin">
        <color rgb="FFF5EFF9"/>
      </top>
      <bottom style="thin">
        <color rgb="FFF5EFF9"/>
      </bottom>
    </border>
    <border>
      <left style="thin">
        <color rgb="FFF5EFF9"/>
      </left>
      <right style="thick">
        <color rgb="FF3E3A3A"/>
      </right>
      <top style="thin">
        <color rgb="FFF5EFF9"/>
      </top>
      <bottom style="thin">
        <color rgb="FFF5EFF9"/>
      </bottom>
    </border>
    <border>
      <left style="thick">
        <color rgb="FF3E3A3A"/>
      </left>
      <right style="thin">
        <color rgb="FFEFEAE9"/>
      </right>
      <top style="thin">
        <color rgb="FFF5EFF9"/>
      </top>
      <bottom style="thin">
        <color rgb="FFF5EFF9"/>
      </bottom>
    </border>
    <border>
      <left style="thin">
        <color rgb="FFEFEAE9"/>
      </left>
      <right style="thin">
        <color rgb="FFEFEAE9"/>
      </right>
      <top style="thin">
        <color rgb="FFF5EFF9"/>
      </top>
      <bottom style="thin">
        <color rgb="FFF5EFF9"/>
      </bottom>
    </border>
    <border>
      <left style="thin">
        <color rgb="FFEFEAE9"/>
      </left>
      <right style="thin">
        <color rgb="FFEFEAE9"/>
      </right>
      <top style="thin">
        <color rgb="FFF5EFF9"/>
      </top>
    </border>
    <border>
      <left style="thin">
        <color rgb="FFEFEAE9"/>
      </left>
      <right style="thick">
        <color rgb="FF3E3A3A"/>
      </right>
      <top style="thin">
        <color rgb="FFF5EFF9"/>
      </top>
      <bottom style="thin">
        <color rgb="FFF5EFF9"/>
      </bottom>
    </border>
    <border>
      <left style="thick">
        <color rgb="FF3E3A3A"/>
      </left>
      <top style="thin">
        <color rgb="FFF5EFF9"/>
      </top>
      <bottom style="thin">
        <color rgb="FFF5EFF9"/>
      </bottom>
    </border>
    <border>
      <left style="thick">
        <color rgb="FF3E3A3A"/>
      </left>
      <right style="thick">
        <color rgb="FF3E3A3A"/>
      </right>
      <top style="thick">
        <color rgb="FF3E3A3A"/>
      </top>
    </border>
    <border>
      <right style="thin">
        <color rgb="FFEFEAE9"/>
      </right>
      <top style="thin">
        <color rgb="FFF5EFF9"/>
      </top>
      <bottom style="thin">
        <color rgb="FFF5EFF9"/>
      </bottom>
    </border>
    <border>
      <left style="thick">
        <color rgb="FF434343"/>
      </left>
      <bottom style="medium">
        <color rgb="FFCDB0B4"/>
      </bottom>
    </border>
    <border>
      <bottom style="medium">
        <color rgb="FFCDB0B4"/>
      </bottom>
    </border>
    <border>
      <right style="thick">
        <color rgb="FF434343"/>
      </right>
      <bottom style="medium">
        <color rgb="FFCDB0B4"/>
      </bottom>
    </border>
    <border>
      <left style="thick">
        <color rgb="FF3E3A3A"/>
      </left>
      <right style="thick">
        <color rgb="FF3E3A3A"/>
      </right>
    </border>
    <border>
      <left style="thick">
        <color rgb="FF434343"/>
      </left>
      <top style="medium">
        <color rgb="FFCDB0B4"/>
      </top>
      <bottom style="medium">
        <color rgb="FFCDB0B4"/>
      </bottom>
    </border>
    <border>
      <top style="medium">
        <color rgb="FFCDB0B4"/>
      </top>
      <bottom style="medium">
        <color rgb="FFCDB0B4"/>
      </bottom>
    </border>
    <border>
      <right style="thick">
        <color rgb="FF434343"/>
      </right>
      <top style="medium">
        <color rgb="FFCDB0B4"/>
      </top>
      <bottom style="medium">
        <color rgb="FFCDB0B4"/>
      </bottom>
    </border>
    <border>
      <left style="thick">
        <color rgb="FF434343"/>
      </left>
      <right style="medium">
        <color rgb="FFCDB0B4"/>
      </right>
      <top style="medium">
        <color rgb="FFCDB0B4"/>
      </top>
      <bottom style="medium">
        <color rgb="FFCDB0B4"/>
      </bottom>
    </border>
    <border>
      <left style="medium">
        <color rgb="FFCDB0B4"/>
      </left>
      <right style="medium">
        <color rgb="FFCDB0B4"/>
      </right>
      <top style="medium">
        <color rgb="FFCDB0B4"/>
      </top>
      <bottom style="medium">
        <color rgb="FFCDB0B4"/>
      </bottom>
    </border>
    <border>
      <left style="medium">
        <color rgb="FFCDB0B4"/>
      </left>
      <right style="thick">
        <color rgb="FF434343"/>
      </right>
      <top style="medium">
        <color rgb="FFCDB0B4"/>
      </top>
      <bottom style="medium">
        <color rgb="FFCDB0B4"/>
      </bottom>
    </border>
    <border>
      <left style="thick">
        <color rgb="FF434343"/>
      </left>
      <right style="medium">
        <color rgb="FFCDB0B4"/>
      </right>
      <top style="medium">
        <color rgb="FFCDB0B4"/>
      </top>
    </border>
    <border>
      <left style="medium">
        <color rgb="FFCDB0B4"/>
      </left>
      <right style="medium">
        <color rgb="FFCDB0B4"/>
      </right>
      <top style="medium">
        <color rgb="FFCDB0B4"/>
      </top>
    </border>
    <border>
      <left style="medium">
        <color rgb="FFCDB0B4"/>
      </left>
      <right style="thick">
        <color rgb="FF434343"/>
      </right>
      <top style="medium">
        <color rgb="FFCDB0B4"/>
      </top>
    </border>
    <border>
      <left style="thick">
        <color rgb="FF3E3A3A"/>
      </left>
      <right style="thick">
        <color rgb="FF3E3A3A"/>
      </right>
      <bottom style="thick">
        <color rgb="FF3E3A3A"/>
      </bottom>
    </border>
    <border>
      <left style="thick">
        <color rgb="FF434343"/>
      </left>
      <top style="medium">
        <color rgb="FF434343"/>
      </top>
      <bottom style="thin">
        <color rgb="FFCDB0B4"/>
      </bottom>
    </border>
    <border>
      <top style="medium">
        <color rgb="FF434343"/>
      </top>
      <bottom style="thin">
        <color rgb="FFCDB0B4"/>
      </bottom>
    </border>
    <border>
      <right style="thick">
        <color rgb="FF434343"/>
      </right>
      <top style="medium">
        <color rgb="FF434343"/>
      </top>
      <bottom style="thin">
        <color rgb="FFCDB0B4"/>
      </bottom>
    </border>
    <border>
      <left style="thick">
        <color rgb="FF434343"/>
      </left>
      <top style="thin">
        <color rgb="FFCDB0B4"/>
      </top>
      <bottom style="thin">
        <color rgb="FFCDB0B4"/>
      </bottom>
    </border>
    <border>
      <top style="thin">
        <color rgb="FFCDB0B4"/>
      </top>
      <bottom style="thin">
        <color rgb="FFCDB0B4"/>
      </bottom>
    </border>
    <border>
      <right style="thick">
        <color rgb="FF434343"/>
      </right>
      <top style="thin">
        <color rgb="FFCDB0B4"/>
      </top>
      <bottom style="thin">
        <color rgb="FFCDB0B4"/>
      </bottom>
    </border>
    <border>
      <left style="thick">
        <color rgb="FF434343"/>
      </left>
      <top style="thin">
        <color rgb="FFCDB0B4"/>
      </top>
    </border>
    <border>
      <top style="thin">
        <color rgb="FFCDB0B4"/>
      </top>
    </border>
    <border>
      <right style="thin">
        <color rgb="FFCDB0B4"/>
      </right>
      <top style="thin">
        <color rgb="FFCDB0B4"/>
      </top>
    </border>
    <border>
      <left style="thin">
        <color rgb="FFCDB0B4"/>
      </left>
      <right style="thick">
        <color rgb="FF434343"/>
      </right>
      <top style="thin">
        <color rgb="FFCDB0B4"/>
      </top>
    </border>
    <border>
      <left style="thin">
        <color rgb="FFF5EFF9"/>
      </left>
      <right style="thin">
        <color rgb="FFF5EFF9"/>
      </right>
      <top style="thin">
        <color rgb="FFF5EFF9"/>
      </top>
    </border>
    <border>
      <right style="thin">
        <color rgb="FFCDB0B4"/>
      </right>
      <top style="medium">
        <color rgb="FF434343"/>
      </top>
      <bottom style="thin">
        <color rgb="FFCDB0B4"/>
      </bottom>
    </border>
    <border>
      <right style="thick">
        <color rgb="FF3E3A3A"/>
      </right>
      <top style="thin">
        <color rgb="FFF5EFF9"/>
      </top>
      <bottom style="thin">
        <color rgb="FFF5EFF9"/>
      </bottom>
    </border>
    <border>
      <right style="thin">
        <color rgb="FFCDB0B4"/>
      </right>
      <top style="thin">
        <color rgb="FFCDB0B4"/>
      </top>
      <bottom style="thin">
        <color rgb="FFCDB0B4"/>
      </bottom>
    </border>
    <border>
      <left style="thick">
        <color rgb="FF434343"/>
      </left>
      <top style="thin">
        <color rgb="FFCDB0B4"/>
      </top>
      <bottom style="thick">
        <color rgb="FF434343"/>
      </bottom>
    </border>
    <border>
      <top style="thin">
        <color rgb="FFCDB0B4"/>
      </top>
      <bottom style="thick">
        <color rgb="FF434343"/>
      </bottom>
    </border>
    <border>
      <right style="thin">
        <color rgb="FFCDB0B4"/>
      </right>
      <top style="thin">
        <color rgb="FFCDB0B4"/>
      </top>
      <bottom style="thick">
        <color rgb="FF434343"/>
      </bottom>
    </border>
    <border>
      <right style="thick">
        <color rgb="FF434343"/>
      </right>
      <top style="thin">
        <color rgb="FFCDB0B4"/>
      </top>
      <bottom style="thick">
        <color rgb="FF434343"/>
      </bottom>
    </border>
    <border>
      <left style="thin">
        <color rgb="FFEFEAE9"/>
      </left>
      <right style="thin">
        <color rgb="FFEFEAE9"/>
      </right>
      <bottom style="thin">
        <color rgb="FFF5EFF9"/>
      </bottom>
    </border>
    <border>
      <left style="thin">
        <color rgb="FFF5EFF9"/>
      </left>
      <right style="thin">
        <color rgb="FFF5EFF9"/>
      </right>
    </border>
    <border>
      <left style="thin">
        <color rgb="FFF5EFF9"/>
      </left>
      <right style="thin">
        <color rgb="FFF5EFF9"/>
      </right>
      <bottom style="thin">
        <color rgb="FFD4D4E6"/>
      </bottom>
    </border>
    <border>
      <left style="thin">
        <color rgb="FFF5EFF9"/>
      </left>
      <right style="thin">
        <color rgb="FFF5EFF9"/>
      </right>
      <top style="thin">
        <color rgb="FFD5CCCC"/>
      </top>
    </border>
    <border>
      <left style="thin">
        <color rgb="FFF5EFF9"/>
      </left>
      <right style="thin">
        <color rgb="FFF5EFF9"/>
      </right>
      <top style="thin">
        <color rgb="FFD5CCCC"/>
      </top>
      <bottom style="thin">
        <color rgb="FFD5CCCC"/>
      </bottom>
    </border>
    <border>
      <left style="thin">
        <color rgb="FFD5CCCC"/>
      </left>
      <top style="thin">
        <color rgb="FFF5EFF9"/>
      </top>
      <bottom style="thin">
        <color rgb="FFF5EFF9"/>
      </bottom>
    </border>
    <border>
      <left style="thin">
        <color rgb="FFD4D4E6"/>
      </left>
      <top style="thin">
        <color rgb="FFF5EFF9"/>
      </top>
      <bottom style="thin">
        <color rgb="FFF5EFF9"/>
      </bottom>
    </border>
    <border>
      <left style="thin">
        <color rgb="FFD5CCCC"/>
      </left>
      <right style="thick">
        <color rgb="FF3E3A3A"/>
      </right>
      <top style="thin">
        <color rgb="FFF5EFF9"/>
      </top>
      <bottom style="thin">
        <color rgb="FFF5EFF9"/>
      </bottom>
    </border>
    <border>
      <left style="thick">
        <color rgb="FF3E3A3A"/>
      </left>
      <right style="thin">
        <color rgb="FFBE5252"/>
      </right>
      <bottom style="thin">
        <color rgb="FFBE5252"/>
      </bottom>
    </border>
    <border>
      <left style="thin">
        <color rgb="FFBE5252"/>
      </left>
      <right style="thin">
        <color rgb="FFBE5252"/>
      </right>
      <bottom style="thin">
        <color rgb="FFBE5252"/>
      </bottom>
    </border>
    <border>
      <left style="thin">
        <color rgb="FFBE5252"/>
      </left>
      <top style="thin">
        <color rgb="FF3E3A3A"/>
      </top>
      <bottom style="thin">
        <color rgb="FFBE5252"/>
      </bottom>
    </border>
    <border>
      <left style="medium">
        <color rgb="FF3E3A3A"/>
      </left>
      <right style="thick">
        <color rgb="FF3E3A3A"/>
      </right>
      <bottom style="thin">
        <color rgb="FFBE5252"/>
      </bottom>
    </border>
    <border>
      <left style="thin">
        <color rgb="FFD4D4E6"/>
      </left>
      <right style="thin">
        <color rgb="FFD5CCCC"/>
      </right>
      <top style="thin">
        <color rgb="FFF5EFF9"/>
      </top>
      <bottom style="thin">
        <color rgb="FFF5EFF9"/>
      </bottom>
    </border>
    <border>
      <left style="thin">
        <color rgb="FFD5CCCC"/>
      </left>
      <right style="thin">
        <color rgb="FFD5CCCC"/>
      </right>
      <top style="thin">
        <color rgb="FFF5EFF9"/>
      </top>
      <bottom style="thin">
        <color rgb="FFF5EFF9"/>
      </bottom>
    </border>
    <border>
      <left style="thick">
        <color rgb="FF3E3A3A"/>
      </left>
      <right style="thin">
        <color rgb="FFBE5252"/>
      </right>
      <top style="thin">
        <color rgb="FFBE5252"/>
      </top>
      <bottom style="thin">
        <color rgb="FFBE5252"/>
      </bottom>
    </border>
    <border>
      <left style="thin">
        <color rgb="FFBE5252"/>
      </left>
      <right style="thin">
        <color rgb="FFBE5252"/>
      </right>
      <top style="thin">
        <color rgb="FFBE5252"/>
      </top>
      <bottom style="thin">
        <color rgb="FFBE5252"/>
      </bottom>
    </border>
    <border>
      <left style="thin">
        <color rgb="FFBE5252"/>
      </left>
      <top style="thin">
        <color rgb="FFBE5252"/>
      </top>
      <bottom style="thin">
        <color rgb="FFBE5252"/>
      </bottom>
    </border>
    <border>
      <left style="medium">
        <color rgb="FF3E3A3A"/>
      </left>
      <right style="thick">
        <color rgb="FF3E3A3A"/>
      </right>
      <top style="thin">
        <color rgb="FFBE5252"/>
      </top>
      <bottom style="thin">
        <color rgb="FFBE5252"/>
      </bottom>
    </border>
    <border>
      <left style="thick">
        <color rgb="FF3E3A3A"/>
      </left>
      <right style="thin">
        <color rgb="FFBE5252"/>
      </right>
      <top style="thin">
        <color rgb="FFBE5252"/>
      </top>
    </border>
    <border>
      <left style="thin">
        <color rgb="FFBE5252"/>
      </left>
      <right style="thin">
        <color rgb="FFBE5252"/>
      </right>
      <top style="thin">
        <color rgb="FFBE5252"/>
      </top>
    </border>
    <border>
      <left style="thin">
        <color rgb="FFBE5252"/>
      </left>
      <top style="thin">
        <color rgb="FFBE5252"/>
      </top>
    </border>
    <border>
      <left style="medium">
        <color rgb="FF3E3A3A"/>
      </left>
      <right style="thick">
        <color rgb="FF3E3A3A"/>
      </right>
      <top style="thin">
        <color rgb="FFBE5252"/>
      </top>
      <bottom style="medium">
        <color rgb="FF3E3A3A"/>
      </bottom>
    </border>
    <border>
      <left style="thin">
        <color rgb="FFF5EFF9"/>
      </left>
      <right style="thin">
        <color rgb="FFF5EFF9"/>
      </right>
      <top style="thin">
        <color rgb="FFF5EFF9"/>
      </top>
      <bottom style="thick">
        <color rgb="FFEFEFEF"/>
      </bottom>
    </border>
    <border>
      <left style="thin">
        <color rgb="FFF5EFF9"/>
      </left>
      <right style="thin">
        <color rgb="FFF5EFF9"/>
      </right>
      <bottom style="thick">
        <color rgb="FFEFEFEF"/>
      </bottom>
    </border>
    <border>
      <left style="thin">
        <color rgb="FFD6E1D5"/>
      </left>
      <right style="thin">
        <color rgb="FFF5EFF9"/>
      </right>
      <top style="thin">
        <color rgb="FFF5EFF9"/>
      </top>
      <bottom style="thin">
        <color rgb="FFF5EFF9"/>
      </bottom>
    </border>
    <border>
      <right style="thin">
        <color rgb="FFD6E1D5"/>
      </right>
      <top style="medium">
        <color rgb="FF434343"/>
      </top>
      <bottom style="thin">
        <color rgb="FFD6E1D5"/>
      </bottom>
    </border>
    <border>
      <right style="thin">
        <color rgb="FFD6E1D5"/>
      </right>
      <top style="thin">
        <color rgb="FFD6E1D5"/>
      </top>
      <bottom style="thick">
        <color rgb="FF434343"/>
      </bottom>
    </border>
    <border>
      <left style="thin">
        <color rgb="FFF5EFF9"/>
      </left>
      <right style="thin">
        <color rgb="FFF5EFF9"/>
      </right>
      <top style="thin">
        <color rgb="FFD6E1D5"/>
      </top>
    </border>
    <border>
      <left style="thick">
        <color rgb="FF3E3A3A"/>
      </left>
      <right style="thin">
        <color rgb="FFF5EFF9"/>
      </right>
      <top style="thin">
        <color rgb="FFF5EFF9"/>
      </top>
      <bottom style="thick">
        <color rgb="FF3E3A3A"/>
      </bottom>
    </border>
    <border>
      <left style="thin">
        <color rgb="FFF5EFF9"/>
      </left>
      <right style="thin">
        <color rgb="FFF5EFF9"/>
      </right>
      <top style="thin">
        <color rgb="FFF5EFF9"/>
      </top>
      <bottom style="thick">
        <color rgb="FF3E3A3A"/>
      </bottom>
    </border>
    <border>
      <left style="thin">
        <color rgb="FFF5EFF9"/>
      </left>
      <right style="thin">
        <color rgb="FFF5EFF9"/>
      </right>
      <bottom style="thick">
        <color rgb="FF3E3A3A"/>
      </bottom>
    </border>
    <border>
      <left style="thin">
        <color rgb="FFF5EFF9"/>
      </left>
      <right style="thin">
        <color rgb="FFF5EFF9"/>
      </right>
      <top style="thin">
        <color rgb="FFD6E1D5"/>
      </top>
      <bottom style="thick">
        <color rgb="FF3E3A3A"/>
      </bottom>
    </border>
    <border>
      <left style="thin">
        <color rgb="FFF5EFF9"/>
      </left>
      <right style="thick">
        <color rgb="FF3E3A3A"/>
      </right>
      <top style="thin">
        <color rgb="FFF5EFF9"/>
      </top>
      <bottom style="thick">
        <color rgb="FF3E3A3A"/>
      </bottom>
    </border>
    <border>
      <left style="thick">
        <color rgb="FF3E3A3A"/>
      </left>
      <right style="thin">
        <color rgb="FFDAC7C3"/>
      </right>
      <top style="thin">
        <color rgb="FFFFFFFF"/>
      </top>
      <bottom style="thin">
        <color rgb="FFDAC7C3"/>
      </bottom>
    </border>
    <border>
      <left style="thin">
        <color rgb="FFDAC7C3"/>
      </left>
      <right style="thick">
        <color rgb="FF3E3A3A"/>
      </right>
      <top style="thin">
        <color rgb="FFFFFFFF"/>
      </top>
      <bottom style="thin">
        <color rgb="FFDAC7C3"/>
      </bottom>
    </border>
    <border>
      <left style="thin">
        <color rgb="FFBF9E97"/>
      </left>
      <top style="thin">
        <color rgb="FFDAC7C3"/>
      </top>
      <bottom style="thin">
        <color rgb="FFDAC7C3"/>
      </bottom>
    </border>
    <border>
      <left style="thin">
        <color rgb="FFDAC7C3"/>
      </left>
      <right style="thin">
        <color rgb="FFDAC7C3"/>
      </right>
      <top style="thin">
        <color rgb="FFBF9E97"/>
      </top>
      <bottom style="thin">
        <color rgb="FFDAC7C3"/>
      </bottom>
    </border>
    <border>
      <left style="thin">
        <color rgb="FFBF9E97"/>
      </left>
      <right style="thin">
        <color rgb="FFDAC7C3"/>
      </right>
      <top style="thin">
        <color rgb="FFDAC7C3"/>
      </top>
      <bottom style="thin">
        <color rgb="FFDAC7C3"/>
      </bottom>
    </border>
    <border>
      <left style="thin">
        <color rgb="FFD4D4E6"/>
      </left>
      <right style="thin">
        <color rgb="FFD4D4E6"/>
      </right>
      <top style="thick">
        <color rgb="FF3E3A3A"/>
      </top>
    </border>
    <border>
      <bottom style="thin">
        <color rgb="FFD4D4E6"/>
      </bottom>
    </border>
    <border>
      <left style="thin">
        <color rgb="FFFFFFFF"/>
      </left>
      <top style="thin">
        <color rgb="FFD4D4E6"/>
      </top>
      <bottom style="thin">
        <color rgb="FFD4D4E6"/>
      </bottom>
    </border>
    <border>
      <top style="thick">
        <color rgb="FF3E3A3A"/>
      </top>
    </border>
    <border>
      <right style="thick">
        <color rgb="FF3E3A3A"/>
      </right>
      <top style="thick">
        <color rgb="FF3E3A3A"/>
      </top>
    </border>
    <border>
      <left style="thick">
        <color rgb="FF3E3A3A"/>
      </left>
      <right style="thin">
        <color rgb="FFCDB0B4"/>
      </right>
      <top style="thin">
        <color rgb="FFCDB0B4"/>
      </top>
      <bottom style="thin">
        <color rgb="FFCDB0B4"/>
      </bottom>
    </border>
    <border>
      <left style="thin">
        <color rgb="FFCDB0B4"/>
      </left>
      <right style="thin">
        <color rgb="FFCDB0B4"/>
      </right>
      <top style="thin">
        <color rgb="FFCDB0B4"/>
      </top>
      <bottom style="thin">
        <color rgb="FFCDB0B4"/>
      </bottom>
    </border>
    <border>
      <bottom style="thick">
        <color rgb="FF3E3A3A"/>
      </bottom>
    </border>
    <border>
      <right style="thick">
        <color rgb="FF3E3A3A"/>
      </right>
      <bottom style="thick">
        <color rgb="FF3E3A3A"/>
      </bottom>
    </border>
    <border>
      <left style="thin">
        <color rgb="FFCDB0B4"/>
      </left>
      <right style="thick">
        <color rgb="FF3E3A3A"/>
      </right>
      <top style="thin">
        <color rgb="FFCDB0B4"/>
      </top>
      <bottom style="thin">
        <color rgb="FFCDB0B4"/>
      </bottom>
    </border>
    <border>
      <left style="thin">
        <color rgb="FFCDB0B4"/>
      </left>
      <right style="thin">
        <color rgb="FFCDB0B4"/>
      </right>
      <top style="thick">
        <color rgb="FF3E3A3A"/>
      </top>
    </border>
    <border>
      <left style="thin">
        <color rgb="FFCDB0B4"/>
      </left>
      <right style="thin">
        <color rgb="FFCDB0B4"/>
      </right>
      <top style="thick">
        <color rgb="FF3E3A3A"/>
      </top>
      <bottom style="thin">
        <color rgb="FFCDB0B4"/>
      </bottom>
    </border>
    <border>
      <left style="thin">
        <color rgb="FFCDB0B4"/>
      </left>
      <top style="thin">
        <color rgb="FFCDB0B4"/>
      </top>
      <bottom style="thin">
        <color rgb="FFCDB0B4"/>
      </bottom>
    </border>
    <border>
      <left style="thin">
        <color rgb="FFCDB0B4"/>
      </left>
      <right style="thin">
        <color rgb="FFCDB0B4"/>
      </right>
      <top style="thin">
        <color rgb="FFCDB0B4"/>
      </top>
    </border>
    <border>
      <right style="thin">
        <color rgb="FFCDB0B4"/>
      </right>
    </border>
    <border>
      <left style="thin">
        <color rgb="FFCDB0B4"/>
      </left>
      <right style="thin">
        <color rgb="FFCDB0B4"/>
      </right>
    </border>
    <border>
      <left style="thin">
        <color rgb="FFCDB0B4"/>
      </left>
      <right style="thin">
        <color rgb="FFCDB0B4"/>
      </right>
      <bottom style="thin">
        <color rgb="FFCDB0B4"/>
      </bottom>
    </border>
    <border>
      <right style="thin">
        <color rgb="FFCDB0B4"/>
      </right>
      <bottom style="thin">
        <color rgb="FFCDB0B4"/>
      </bottom>
    </border>
    <border>
      <left style="thin">
        <color rgb="FFD4D4E6"/>
      </left>
      <right style="thin">
        <color rgb="FFCDB0B4"/>
      </right>
      <top style="thin">
        <color rgb="FFCDB0B4"/>
      </top>
      <bottom style="thin">
        <color rgb="FFCDB0B4"/>
      </bottom>
    </border>
    <border>
      <left style="thick">
        <color rgb="FF3E3A3A"/>
      </left>
      <right style="thin">
        <color rgb="FFCDB0B4"/>
      </right>
      <top style="thin">
        <color rgb="FFCDB0B4"/>
      </top>
      <bottom style="thick">
        <color rgb="FF3E3A3A"/>
      </bottom>
    </border>
    <border>
      <left style="thin">
        <color rgb="FFCDB0B4"/>
      </left>
      <right style="thin">
        <color rgb="FFCDB0B4"/>
      </right>
      <top style="thin">
        <color rgb="FFCDB0B4"/>
      </top>
      <bottom style="thick">
        <color rgb="FF3E3A3A"/>
      </bottom>
    </border>
    <border>
      <left style="thin">
        <color rgb="FFCDB0B4"/>
      </left>
      <right style="thin">
        <color rgb="FFCDB0B4"/>
      </right>
      <bottom style="thick">
        <color rgb="FF3E3A3A"/>
      </bottom>
    </border>
    <border>
      <left style="thin">
        <color rgb="FFCDB0B4"/>
      </left>
      <right style="thin">
        <color rgb="FFCDB0B4"/>
      </right>
      <top style="thin">
        <color rgb="FFD4D4E6"/>
      </top>
      <bottom style="thick">
        <color rgb="FF3E3A3A"/>
      </bottom>
    </border>
    <border>
      <left style="thin">
        <color rgb="FFCDB0B4"/>
      </left>
      <right style="thick">
        <color rgb="FF3E3A3A"/>
      </right>
      <top style="thin">
        <color rgb="FFCDB0B4"/>
      </top>
      <bottom style="thick">
        <color rgb="FF3E3A3A"/>
      </bottom>
    </border>
    <border>
      <left style="thick">
        <color rgb="FF3E3A3A"/>
      </left>
      <right style="thin">
        <color rgb="FFD8DCE3"/>
      </right>
      <bottom style="thin">
        <color rgb="FFD8DCE3"/>
      </bottom>
    </border>
    <border>
      <left style="thin">
        <color rgb="FFD8DCE3"/>
      </left>
      <right style="thin">
        <color rgb="FFD8DCE3"/>
      </right>
      <bottom style="thin">
        <color rgb="FFD8DCE3"/>
      </bottom>
    </border>
    <border>
      <left style="thin">
        <color rgb="FFD8DCE3"/>
      </left>
      <right style="thick">
        <color rgb="FF3E3A3A"/>
      </right>
      <bottom style="thin">
        <color rgb="FFD8DCE3"/>
      </bottom>
    </border>
    <border>
      <left style="thick">
        <color rgb="FF3E3A3A"/>
      </left>
      <right style="thin">
        <color rgb="FFD8DCE3"/>
      </right>
      <top style="thin">
        <color rgb="FFD8DCE3"/>
      </top>
      <bottom style="thin">
        <color rgb="FFD8DCE3"/>
      </bottom>
    </border>
    <border>
      <left style="thin">
        <color rgb="FFD8DCE3"/>
      </left>
      <right style="thin">
        <color rgb="FFD8DCE3"/>
      </right>
      <top style="thin">
        <color rgb="FFD8DCE3"/>
      </top>
      <bottom style="thin">
        <color rgb="FFD8DCE3"/>
      </bottom>
    </border>
    <border>
      <left style="thin">
        <color rgb="FFD8DCE3"/>
      </left>
      <top style="thin">
        <color rgb="FFD8DCE3"/>
      </top>
      <bottom style="thin">
        <color rgb="FFD8DCE3"/>
      </bottom>
    </border>
    <border>
      <top style="thin">
        <color rgb="FFD8DCE3"/>
      </top>
      <bottom style="thin">
        <color rgb="FFD8DCE3"/>
      </bottom>
    </border>
    <border>
      <right style="thin">
        <color rgb="FFD8DCE3"/>
      </right>
      <top style="thin">
        <color rgb="FFD8DCE3"/>
      </top>
      <bottom style="thin">
        <color rgb="FFD8DCE3"/>
      </bottom>
    </border>
    <border>
      <left style="thin">
        <color rgb="FFD8DCE3"/>
      </left>
      <right style="thick">
        <color rgb="FF3E3A3A"/>
      </right>
      <top style="thin">
        <color rgb="FFD8DCE3"/>
      </top>
      <bottom style="thin">
        <color rgb="FFD8DCE3"/>
      </bottom>
    </border>
    <border>
      <left style="thick">
        <color rgb="FF3E3A3A"/>
      </left>
      <top style="thin">
        <color rgb="FFD8DCE3"/>
      </top>
      <bottom style="thin">
        <color rgb="FFD8DCE3"/>
      </bottom>
    </border>
    <border>
      <right style="thick">
        <color rgb="FF3E3A3A"/>
      </right>
      <top style="thin">
        <color rgb="FFD8DCE3"/>
      </top>
      <bottom style="thin">
        <color rgb="FFD8DCE3"/>
      </bottom>
    </border>
    <border>
      <left style="thin">
        <color rgb="FFD8DCE3"/>
      </left>
      <right style="thin">
        <color rgb="FFD8DCE3"/>
      </right>
    </border>
    <border>
      <left style="thin">
        <color rgb="FFD8DCE3"/>
      </left>
      <right style="thin">
        <color rgb="FFD8DCE3"/>
      </right>
      <top style="thin">
        <color rgb="FFD8DCE3"/>
      </top>
    </border>
    <border>
      <left style="thin">
        <color rgb="FFD8DCE3"/>
      </left>
      <right style="thin">
        <color rgb="FFD8DCE3"/>
      </right>
      <bottom style="thin">
        <color rgb="FFD4D4E6"/>
      </bottom>
    </border>
    <border>
      <left style="thin">
        <color rgb="FFD8DCE3"/>
      </left>
      <right style="thin">
        <color rgb="FFD8DCE3"/>
      </right>
      <top style="thin">
        <color rgb="FFD5CCCC"/>
      </top>
      <bottom style="thin">
        <color rgb="FFD5CCCC"/>
      </bottom>
    </border>
    <border>
      <left style="thin">
        <color rgb="FFD5CCCC"/>
      </left>
      <right style="thick">
        <color rgb="FF3E3A3A"/>
      </right>
      <top style="thin">
        <color rgb="FFD8DCE3"/>
      </top>
      <bottom style="thin">
        <color rgb="FFD8DCE3"/>
      </bottom>
    </border>
    <border>
      <left style="thin">
        <color rgb="FFD8DCE3"/>
      </left>
      <right style="thin">
        <color rgb="FFD8DCE3"/>
      </right>
      <top style="thin">
        <color rgb="FFD8DCE3"/>
      </top>
      <bottom style="medium">
        <color rgb="FFEFEFEF"/>
      </bottom>
    </border>
    <border>
      <left style="thin">
        <color rgb="FFD8DCE3"/>
      </left>
      <right style="thin">
        <color rgb="FFD8DCE3"/>
      </right>
      <bottom style="medium">
        <color rgb="FFEFEFEF"/>
      </bottom>
    </border>
    <border>
      <left style="thick">
        <color rgb="FF3E3A3A"/>
      </left>
      <right style="thin">
        <color rgb="FFEFEAE9"/>
      </right>
      <top style="thin">
        <color rgb="FFD8DCE3"/>
      </top>
      <bottom style="thin">
        <color rgb="FFD8DCE3"/>
      </bottom>
    </border>
    <border>
      <left style="thin">
        <color rgb="FFEFEAE9"/>
      </left>
      <top style="thin">
        <color rgb="FFD8DCE3"/>
      </top>
    </border>
    <border>
      <right style="thin">
        <color rgb="FFD8DCE3"/>
      </right>
      <top style="thin">
        <color rgb="FFD8DCE3"/>
      </top>
    </border>
    <border>
      <left style="thick">
        <color rgb="FF434343"/>
      </left>
      <bottom style="medium">
        <color rgb="FFD2E7FB"/>
      </bottom>
    </border>
    <border>
      <bottom style="medium">
        <color rgb="FFD2E7FB"/>
      </bottom>
    </border>
    <border>
      <right style="thick">
        <color rgb="FF434343"/>
      </right>
      <bottom style="medium">
        <color rgb="FFD2E7FB"/>
      </bottom>
    </border>
    <border>
      <left style="thin">
        <color rgb="FFEFEAE9"/>
      </left>
    </border>
    <border>
      <right style="thin">
        <color rgb="FFD8DCE3"/>
      </right>
    </border>
    <border>
      <left style="thick">
        <color rgb="FF434343"/>
      </left>
      <top style="medium">
        <color rgb="FFD2E7FB"/>
      </top>
      <bottom style="medium">
        <color rgb="FFD2E7FB"/>
      </bottom>
    </border>
    <border>
      <top style="medium">
        <color rgb="FFD2E7FB"/>
      </top>
      <bottom style="medium">
        <color rgb="FFD2E7FB"/>
      </bottom>
    </border>
    <border>
      <right style="thick">
        <color rgb="FF434343"/>
      </right>
      <top style="medium">
        <color rgb="FFD2E7FB"/>
      </top>
      <bottom style="medium">
        <color rgb="FFD2E7FB"/>
      </bottom>
    </border>
    <border>
      <left style="thick">
        <color rgb="FF434343"/>
      </left>
      <right style="medium">
        <color rgb="FFD2E7FB"/>
      </right>
      <top style="medium">
        <color rgb="FFD2E7FB"/>
      </top>
      <bottom style="medium">
        <color rgb="FFD2E7FB"/>
      </bottom>
    </border>
    <border>
      <left style="medium">
        <color rgb="FFD2E7FB"/>
      </left>
      <right style="medium">
        <color rgb="FFD2E7FB"/>
      </right>
      <top style="medium">
        <color rgb="FFD2E7FB"/>
      </top>
      <bottom style="medium">
        <color rgb="FFD2E7FB"/>
      </bottom>
    </border>
    <border>
      <left style="medium">
        <color rgb="FFD2E7FB"/>
      </left>
      <right style="thick">
        <color rgb="FF434343"/>
      </right>
      <top style="medium">
        <color rgb="FFD2E7FB"/>
      </top>
      <bottom style="medium">
        <color rgb="FFD2E7FB"/>
      </bottom>
    </border>
    <border>
      <left style="thick">
        <color rgb="FF434343"/>
      </left>
      <right style="medium">
        <color rgb="FFD2E7FB"/>
      </right>
      <top style="medium">
        <color rgb="FFD2E7FB"/>
      </top>
    </border>
    <border>
      <left style="medium">
        <color rgb="FFD2E7FB"/>
      </left>
      <right style="medium">
        <color rgb="FFD2E7FB"/>
      </right>
      <top style="medium">
        <color rgb="FFD2E7FB"/>
      </top>
    </border>
    <border>
      <left style="medium">
        <color rgb="FFD2E7FB"/>
      </left>
      <right style="thick">
        <color rgb="FF434343"/>
      </right>
      <top style="medium">
        <color rgb="FFD2E7FB"/>
      </top>
    </border>
    <border>
      <left style="thick">
        <color rgb="FF434343"/>
      </left>
      <top style="medium">
        <color rgb="FF434343"/>
      </top>
      <bottom style="thin">
        <color rgb="FFD2E7FB"/>
      </bottom>
    </border>
    <border>
      <top style="medium">
        <color rgb="FF434343"/>
      </top>
      <bottom style="thin">
        <color rgb="FFD2E7FB"/>
      </bottom>
    </border>
    <border>
      <right style="thick">
        <color rgb="FF434343"/>
      </right>
      <top style="medium">
        <color rgb="FF434343"/>
      </top>
      <bottom style="thin">
        <color rgb="FFD2E7FB"/>
      </bottom>
    </border>
    <border>
      <left style="thick">
        <color rgb="FF434343"/>
      </left>
      <top style="thin">
        <color rgb="FFD2E7FB"/>
      </top>
      <bottom style="thin">
        <color rgb="FFD2E7FB"/>
      </bottom>
    </border>
    <border>
      <top style="thin">
        <color rgb="FFD2E7FB"/>
      </top>
      <bottom style="thin">
        <color rgb="FFD2E7FB"/>
      </bottom>
    </border>
    <border>
      <right style="thick">
        <color rgb="FF434343"/>
      </right>
      <top style="thin">
        <color rgb="FFD2E7FB"/>
      </top>
      <bottom style="thin">
        <color rgb="FFD2E7FB"/>
      </bottom>
    </border>
    <border>
      <left style="thick">
        <color rgb="FF434343"/>
      </left>
      <top style="thin">
        <color rgb="FFD2E7FB"/>
      </top>
    </border>
    <border>
      <top style="thin">
        <color rgb="FFD2E7FB"/>
      </top>
    </border>
    <border>
      <right style="thin">
        <color rgb="FFD2E7FB"/>
      </right>
      <top style="thin">
        <color rgb="FFD2E7FB"/>
      </top>
    </border>
    <border>
      <left style="thin">
        <color rgb="FFD2E7FB"/>
      </left>
      <right style="thick">
        <color rgb="FF434343"/>
      </right>
      <top style="thin">
        <color rgb="FFD2E7FB"/>
      </top>
    </border>
    <border>
      <right style="thin">
        <color rgb="FFD2E7FB"/>
      </right>
      <top style="medium">
        <color rgb="FF434343"/>
      </top>
      <bottom style="thin">
        <color rgb="FFD2E7FB"/>
      </bottom>
    </border>
    <border>
      <right style="thin">
        <color rgb="FFD2E7FB"/>
      </right>
      <top style="thin">
        <color rgb="FFD2E7FB"/>
      </top>
      <bottom style="thin">
        <color rgb="FFD2E7FB"/>
      </bottom>
    </border>
    <border>
      <left style="thick">
        <color rgb="FF434343"/>
      </left>
      <top style="thin">
        <color rgb="FFD2E7FB"/>
      </top>
      <bottom style="thick">
        <color rgb="FF3E3A3A"/>
      </bottom>
    </border>
    <border>
      <top style="thin">
        <color rgb="FFD2E7FB"/>
      </top>
      <bottom style="thick">
        <color rgb="FF3E3A3A"/>
      </bottom>
    </border>
    <border>
      <right style="thin">
        <color rgb="FFD2E7FB"/>
      </right>
      <top style="thin">
        <color rgb="FFD2E7FB"/>
      </top>
      <bottom style="thick">
        <color rgb="FF3E3A3A"/>
      </bottom>
    </border>
    <border>
      <right style="thick">
        <color rgb="FF434343"/>
      </right>
      <top style="thin">
        <color rgb="FFD2E7FB"/>
      </top>
      <bottom style="thick">
        <color rgb="FF3E3A3A"/>
      </bottom>
    </border>
    <border>
      <left style="thin">
        <color rgb="FFEFEAE9"/>
      </left>
      <bottom style="thin">
        <color rgb="FFD8DCE3"/>
      </bottom>
    </border>
    <border>
      <right style="thin">
        <color rgb="FFD8DCE3"/>
      </right>
      <bottom style="thin">
        <color rgb="FFD8DCE3"/>
      </bottom>
    </border>
    <border>
      <left style="thin">
        <color rgb="FFBF9E97"/>
      </left>
      <top style="thin">
        <color rgb="FFD8DCE3"/>
      </top>
      <bottom style="thin">
        <color rgb="FFD8DCE3"/>
      </bottom>
    </border>
    <border>
      <left style="thin">
        <color rgb="FFBF9E97"/>
      </left>
      <right style="thin">
        <color rgb="FFD8DCE3"/>
      </right>
      <top style="thin">
        <color rgb="FFD8DCE3"/>
      </top>
      <bottom style="thin">
        <color rgb="FFD8DCE3"/>
      </bottom>
    </border>
    <border>
      <left style="thick">
        <color rgb="FF3E3A3A"/>
      </left>
      <right style="thin">
        <color rgb="FF3D82C3"/>
      </right>
      <bottom style="thin">
        <color rgb="FF3D82C3"/>
      </bottom>
    </border>
    <border>
      <left style="thin">
        <color rgb="FF3D82C3"/>
      </left>
      <right style="thin">
        <color rgb="FF3D82C3"/>
      </right>
      <bottom style="thin">
        <color rgb="FF3D82C3"/>
      </bottom>
    </border>
    <border>
      <left style="thin">
        <color rgb="FF3D82C3"/>
      </left>
      <top style="thin">
        <color rgb="FF3E3A3A"/>
      </top>
      <bottom style="thin">
        <color rgb="FF3D82C3"/>
      </bottom>
    </border>
    <border>
      <left style="medium">
        <color rgb="FF3E3A3A"/>
      </left>
      <right style="thick">
        <color rgb="FF3E3A3A"/>
      </right>
      <bottom style="thin">
        <color rgb="FF3D82C3"/>
      </bottom>
    </border>
    <border>
      <left style="thick">
        <color rgb="FF3E3A3A"/>
      </left>
      <right style="thin">
        <color rgb="FF3D82C3"/>
      </right>
      <top style="thin">
        <color rgb="FF3D82C3"/>
      </top>
      <bottom style="thin">
        <color rgb="FF3D82C3"/>
      </bottom>
    </border>
    <border>
      <left style="thin">
        <color rgb="FF3D82C3"/>
      </left>
      <right style="thin">
        <color rgb="FF3D82C3"/>
      </right>
      <top style="thin">
        <color rgb="FF3D82C3"/>
      </top>
      <bottom style="thin">
        <color rgb="FF3D82C3"/>
      </bottom>
    </border>
    <border>
      <left style="thin">
        <color rgb="FF3D82C3"/>
      </left>
      <top style="thin">
        <color rgb="FF3D82C3"/>
      </top>
      <bottom style="thin">
        <color rgb="FF3D82C3"/>
      </bottom>
    </border>
    <border>
      <left style="medium">
        <color rgb="FF3E3A3A"/>
      </left>
      <right style="thick">
        <color rgb="FF3E3A3A"/>
      </right>
      <top style="thin">
        <color rgb="FF3D82C3"/>
      </top>
      <bottom style="thin">
        <color rgb="FF3D82C3"/>
      </bottom>
    </border>
    <border>
      <left style="thick">
        <color rgb="FF3E3A3A"/>
      </left>
      <right style="thin">
        <color rgb="FF3D82C3"/>
      </right>
      <top style="thin">
        <color rgb="FF3D82C3"/>
      </top>
    </border>
    <border>
      <left style="thin">
        <color rgb="FF3D82C3"/>
      </left>
      <right style="thin">
        <color rgb="FF3D82C3"/>
      </right>
      <top style="thin">
        <color rgb="FF3D82C3"/>
      </top>
    </border>
    <border>
      <left style="thin">
        <color rgb="FF3D82C3"/>
      </left>
      <top style="thin">
        <color rgb="FF3D82C3"/>
      </top>
    </border>
    <border>
      <left style="medium">
        <color rgb="FF3E3A3A"/>
      </left>
      <right style="thick">
        <color rgb="FF3E3A3A"/>
      </right>
      <top style="thin">
        <color rgb="FF3D82C3"/>
      </top>
      <bottom style="medium">
        <color rgb="FF3E3A3A"/>
      </bottom>
    </border>
    <border>
      <left style="thick">
        <color rgb="FF3E3A3A"/>
      </left>
      <right style="thin">
        <color rgb="FFD8DCE3"/>
      </right>
      <top style="thin">
        <color rgb="FFD8DCE3"/>
      </top>
      <bottom style="thick">
        <color rgb="FF3E3A3A"/>
      </bottom>
    </border>
    <border>
      <left style="thin">
        <color rgb="FFD8DCE3"/>
      </left>
      <right style="thin">
        <color rgb="FFD8DCE3"/>
      </right>
      <top style="thin">
        <color rgb="FFD8DCE3"/>
      </top>
      <bottom style="thick">
        <color rgb="FF3E3A3A"/>
      </bottom>
    </border>
    <border>
      <left style="thin">
        <color rgb="FFD8DCE3"/>
      </left>
      <right style="thin">
        <color rgb="FFD8DCE3"/>
      </right>
      <top style="thin">
        <color rgb="FFEFEAE9"/>
      </top>
      <bottom style="thick">
        <color rgb="FF3E3A3A"/>
      </bottom>
    </border>
    <border>
      <left style="thin">
        <color rgb="FFD8DCE3"/>
      </left>
      <right style="thin">
        <color rgb="FFD8DCE3"/>
      </right>
      <bottom style="thick">
        <color rgb="FF3E3A3A"/>
      </bottom>
    </border>
    <border>
      <left style="thin">
        <color rgb="FFD8DCE3"/>
      </left>
      <right style="thick">
        <color rgb="FF3E3A3A"/>
      </right>
      <top style="thin">
        <color rgb="FFD8DCE3"/>
      </top>
      <bottom style="thick">
        <color rgb="FF3E3A3A"/>
      </bottom>
    </border>
    <border>
      <left style="thin">
        <color rgb="FF7C58E5"/>
      </left>
      <right style="thin">
        <color rgb="FF7C58E5"/>
      </right>
      <top style="thin">
        <color rgb="FF7C58E5"/>
      </top>
      <bottom style="thin">
        <color rgb="FF7C58E5"/>
      </bottom>
    </border>
    <border>
      <left style="thin">
        <color rgb="FF7C58E5"/>
      </left>
      <right style="thin">
        <color rgb="FF7C58E5"/>
      </right>
      <top style="thin">
        <color rgb="FF7C58E5"/>
      </top>
    </border>
    <border>
      <left style="thin">
        <color rgb="FF7C58E5"/>
      </left>
      <top style="thin">
        <color rgb="FF7C58E5"/>
      </top>
      <bottom style="thin">
        <color rgb="FF7C58E5"/>
      </bottom>
    </border>
    <border>
      <left style="thick">
        <color rgb="FF3E3A3A"/>
      </left>
      <right style="thin">
        <color rgb="FFFFF4F3"/>
      </right>
      <top style="thick">
        <color rgb="FF3E3A3A"/>
      </top>
      <bottom style="thin">
        <color rgb="FFFFF4F3"/>
      </bottom>
    </border>
    <border>
      <left style="thin">
        <color rgb="FFFFF4F3"/>
      </left>
      <right style="thin">
        <color rgb="FFFFF4F3"/>
      </right>
      <top style="thick">
        <color rgb="FF3E3A3A"/>
      </top>
      <bottom style="thin">
        <color rgb="FFFFF4F3"/>
      </bottom>
    </border>
    <border>
      <left style="thin">
        <color rgb="FFFFF4F3"/>
      </left>
      <right style="thin">
        <color rgb="FFFFF4F3"/>
      </right>
      <top style="thick">
        <color rgb="FF3E3A3A"/>
      </top>
    </border>
    <border>
      <left style="thin">
        <color rgb="FFFFF4F3"/>
      </left>
      <right style="thick">
        <color rgb="FF3E3A3A"/>
      </right>
      <top style="thick">
        <color rgb="FF3E3A3A"/>
      </top>
      <bottom style="thin">
        <color rgb="FFFFF4F3"/>
      </bottom>
    </border>
    <border>
      <right style="thin">
        <color rgb="FF7C58E5"/>
      </right>
      <top style="thin">
        <color rgb="FF7C58E5"/>
      </top>
      <bottom style="thin">
        <color rgb="FF7C58E5"/>
      </bottom>
    </border>
    <border>
      <left style="thick">
        <color rgb="FF3E3A3A"/>
      </left>
      <right style="thin">
        <color rgb="FFFFF4F3"/>
      </right>
      <top style="thin">
        <color rgb="FFFFF4F3"/>
      </top>
      <bottom style="thin">
        <color rgb="FFFFF4F3"/>
      </bottom>
    </border>
    <border>
      <left style="thin">
        <color rgb="FFFFF4F3"/>
      </left>
      <right style="thin">
        <color rgb="FFFFF4F3"/>
      </right>
      <top style="thin">
        <color rgb="FFFFF4F3"/>
      </top>
      <bottom style="thin">
        <color rgb="FFFFF4F3"/>
      </bottom>
    </border>
    <border>
      <left style="thin">
        <color rgb="FFFFF4F3"/>
      </left>
      <top style="thin">
        <color rgb="FFFFF4F3"/>
      </top>
    </border>
    <border>
      <right style="thin">
        <color rgb="FFFFF4F3"/>
      </right>
      <top style="thin">
        <color rgb="FFFFF4F3"/>
      </top>
    </border>
    <border>
      <left style="thin">
        <color rgb="FFFFF4F3"/>
      </left>
      <right style="thin">
        <color rgb="FFFFF4F3"/>
      </right>
      <top style="thin">
        <color rgb="FFFFF4F3"/>
      </top>
    </border>
    <border>
      <left style="thin">
        <color rgb="FFFFF4F3"/>
      </left>
      <top style="thin">
        <color rgb="FFFFF4F3"/>
      </top>
      <bottom style="thin">
        <color rgb="FFFFF4F3"/>
      </bottom>
    </border>
    <border>
      <top style="thin">
        <color rgb="FFFFF4F3"/>
      </top>
      <bottom style="thin">
        <color rgb="FFFFF4F3"/>
      </bottom>
    </border>
    <border>
      <right style="thin">
        <color rgb="FFFFF4F3"/>
      </right>
      <top style="thin">
        <color rgb="FFFFF4F3"/>
      </top>
      <bottom style="thin">
        <color rgb="FFFFF4F3"/>
      </bottom>
    </border>
    <border>
      <left style="thin">
        <color rgb="FFFFF4F3"/>
      </left>
      <right style="thick">
        <color rgb="FF3E3A3A"/>
      </right>
      <top style="thin">
        <color rgb="FFFFF4F3"/>
      </top>
      <bottom style="thin">
        <color rgb="FFFFF4F3"/>
      </bottom>
    </border>
    <border>
      <left style="thick">
        <color rgb="FF3E3A3A"/>
      </left>
      <bottom style="medium">
        <color rgb="FFFFF4F3"/>
      </bottom>
    </border>
    <border>
      <bottom style="medium">
        <color rgb="FFFFF4F3"/>
      </bottom>
    </border>
    <border>
      <right style="thick">
        <color rgb="FF3E3A3A"/>
      </right>
      <bottom style="medium">
        <color rgb="FFFFF4F3"/>
      </bottom>
    </border>
    <border>
      <left style="thin">
        <color rgb="FFFFF4F3"/>
      </left>
    </border>
    <border>
      <right style="thin">
        <color rgb="FFFFF4F3"/>
      </right>
    </border>
    <border>
      <left style="thin">
        <color rgb="FFFFF4F3"/>
      </left>
      <right style="thin">
        <color rgb="FFFFF4F3"/>
      </right>
    </border>
    <border>
      <left style="thick">
        <color rgb="FF3E3A3A"/>
      </left>
      <top style="medium">
        <color rgb="FFFFF4F3"/>
      </top>
      <bottom style="medium">
        <color rgb="FFFFF4F3"/>
      </bottom>
    </border>
    <border>
      <top style="medium">
        <color rgb="FFFFF4F3"/>
      </top>
      <bottom style="medium">
        <color rgb="FFFFF4F3"/>
      </bottom>
    </border>
    <border>
      <right style="thick">
        <color rgb="FF3E3A3A"/>
      </right>
      <top style="medium">
        <color rgb="FFFFF4F3"/>
      </top>
      <bottom style="medium">
        <color rgb="FFFFF4F3"/>
      </bottom>
    </border>
    <border>
      <left style="thick">
        <color rgb="FF3E3A3A"/>
      </left>
      <right style="medium">
        <color rgb="FFFFF4F3"/>
      </right>
      <top style="medium">
        <color rgb="FFFFF4F3"/>
      </top>
      <bottom style="medium">
        <color rgb="FFFFF4F3"/>
      </bottom>
    </border>
    <border>
      <left style="medium">
        <color rgb="FFFFF4F3"/>
      </left>
      <right style="medium">
        <color rgb="FFFFF4F3"/>
      </right>
      <top style="medium">
        <color rgb="FFFFF4F3"/>
      </top>
      <bottom style="medium">
        <color rgb="FFFFF4F3"/>
      </bottom>
    </border>
    <border>
      <left style="medium">
        <color rgb="FFFFF4F3"/>
      </left>
      <right style="thick">
        <color rgb="FF3E3A3A"/>
      </right>
      <top style="medium">
        <color rgb="FFFFF4F3"/>
      </top>
      <bottom style="medium">
        <color rgb="FFFFF4F3"/>
      </bottom>
    </border>
    <border>
      <left style="medium">
        <color rgb="FFFFF4F3"/>
      </left>
      <top style="medium">
        <color rgb="FFFFF4F3"/>
      </top>
      <bottom style="medium">
        <color rgb="FFFFF4F3"/>
      </bottom>
    </border>
    <border>
      <right style="medium">
        <color rgb="FFFFF4F3"/>
      </right>
      <top style="medium">
        <color rgb="FFFFF4F3"/>
      </top>
      <bottom style="medium">
        <color rgb="FFFFF4F3"/>
      </bottom>
    </border>
    <border>
      <left style="thin">
        <color rgb="FFFFF4F3"/>
      </left>
      <right style="thin">
        <color rgb="FFFFF4F3"/>
      </right>
      <bottom style="thin">
        <color rgb="FFFFF4F3"/>
      </bottom>
    </border>
    <border>
      <left style="thick">
        <color rgb="FF3E3A3A"/>
      </left>
      <right style="medium">
        <color rgb="FFFFF4F3"/>
      </right>
      <top style="medium">
        <color rgb="FFFFF4F3"/>
      </top>
    </border>
    <border>
      <left style="medium">
        <color rgb="FFFFF4F3"/>
      </left>
      <right style="medium">
        <color rgb="FFFFF4F3"/>
      </right>
      <top style="medium">
        <color rgb="FFFFF4F3"/>
      </top>
    </border>
    <border>
      <left style="medium">
        <color rgb="FFFFF4F3"/>
      </left>
      <right style="thick">
        <color rgb="FF3E3A3A"/>
      </right>
      <top style="medium">
        <color rgb="FFFFF4F3"/>
      </top>
    </border>
    <border>
      <left style="thick">
        <color rgb="FF3E3A3A"/>
      </left>
      <top style="medium">
        <color rgb="FF3E3A3A"/>
      </top>
      <bottom style="thin">
        <color rgb="FFFFF4F3"/>
      </bottom>
    </border>
    <border>
      <top style="medium">
        <color rgb="FF3E3A3A"/>
      </top>
      <bottom style="thin">
        <color rgb="FFFFF4F3"/>
      </bottom>
    </border>
    <border>
      <right style="thick">
        <color rgb="FF3E3A3A"/>
      </right>
      <top style="medium">
        <color rgb="FF3E3A3A"/>
      </top>
      <bottom style="thin">
        <color rgb="FFFFF4F3"/>
      </bottom>
    </border>
    <border>
      <left style="thick">
        <color rgb="FF3E3A3A"/>
      </left>
      <top style="thin">
        <color rgb="FFFFF4F3"/>
      </top>
      <bottom style="thin">
        <color rgb="FFFFF4F3"/>
      </bottom>
    </border>
    <border>
      <right style="thick">
        <color rgb="FF3E3A3A"/>
      </right>
      <top style="thin">
        <color rgb="FFFFF4F3"/>
      </top>
      <bottom style="thin">
        <color rgb="FFFFF4F3"/>
      </bottom>
    </border>
    <border>
      <left style="thick">
        <color rgb="FF3E3A3A"/>
      </left>
      <top style="thin">
        <color rgb="FFFFF4F3"/>
      </top>
    </border>
    <border>
      <top style="thin">
        <color rgb="FFFFF4F3"/>
      </top>
    </border>
    <border>
      <left style="thin">
        <color rgb="FFFFF4F3"/>
      </left>
      <right style="thick">
        <color rgb="FF3E3A3A"/>
      </right>
      <top style="thin">
        <color rgb="FFFFF4F3"/>
      </top>
    </border>
    <border>
      <left style="thick">
        <color rgb="FF3E3A3A"/>
      </left>
      <top style="thin">
        <color rgb="FFFFF4F3"/>
      </top>
      <bottom style="medium">
        <color rgb="FF434343"/>
      </bottom>
    </border>
    <border>
      <top style="thin">
        <color rgb="FFFFF4F3"/>
      </top>
      <bottom style="medium">
        <color rgb="FF434343"/>
      </bottom>
    </border>
    <border>
      <right style="thin">
        <color rgb="FFFFF4F3"/>
      </right>
      <top style="thin">
        <color rgb="FFFFF4F3"/>
      </top>
      <bottom style="medium">
        <color rgb="FF434343"/>
      </bottom>
    </border>
    <border>
      <left style="thin">
        <color rgb="FFFFF4F3"/>
      </left>
      <right style="thick">
        <color rgb="FF3E3A3A"/>
      </right>
      <top style="thin">
        <color rgb="FFFFF4F3"/>
      </top>
      <bottom style="medium">
        <color rgb="FF434343"/>
      </bottom>
    </border>
    <border>
      <right style="thin">
        <color rgb="FFFFF4F3"/>
      </right>
      <top style="medium">
        <color rgb="FF3E3A3A"/>
      </top>
      <bottom style="thin">
        <color rgb="FFFFF4F3"/>
      </bottom>
    </border>
    <border>
      <left style="thin">
        <color rgb="FFFFF4F3"/>
      </left>
      <right style="thick">
        <color rgb="FF3E3A3A"/>
      </right>
      <top style="medium">
        <color rgb="FF3E3A3A"/>
      </top>
      <bottom style="thin">
        <color rgb="FFFFF4F3"/>
      </bottom>
    </border>
    <border>
      <left style="thick">
        <color rgb="FF3E3A3A"/>
      </left>
      <bottom style="thin">
        <color rgb="FFFFF4F3"/>
      </bottom>
    </border>
    <border>
      <bottom style="thin">
        <color rgb="FFFFF4F3"/>
      </bottom>
    </border>
    <border>
      <right style="thin">
        <color rgb="FFFFF4F3"/>
      </right>
      <bottom style="thin">
        <color rgb="FFFFF4F3"/>
      </bottom>
    </border>
    <border>
      <left style="thin">
        <color rgb="FFFFF4F3"/>
      </left>
      <right style="thick">
        <color rgb="FF3E3A3A"/>
      </right>
      <bottom style="thin">
        <color rgb="FFFFF4F3"/>
      </bottom>
    </border>
    <border>
      <left style="thick">
        <color rgb="FF3E3A3A"/>
      </left>
      <top style="thin">
        <color rgb="FFFFF4F3"/>
      </top>
      <bottom style="thick">
        <color rgb="FF3E3A3A"/>
      </bottom>
    </border>
    <border>
      <top style="thin">
        <color rgb="FFFFF4F3"/>
      </top>
      <bottom style="thick">
        <color rgb="FF3E3A3A"/>
      </bottom>
    </border>
    <border>
      <right style="thick">
        <color rgb="FF3E3A3A"/>
      </right>
      <top style="thin">
        <color rgb="FFFFF4F3"/>
      </top>
      <bottom style="thick">
        <color rgb="FF3E3A3A"/>
      </bottom>
    </border>
    <border>
      <left style="thin">
        <color rgb="FFFFF4F3"/>
      </left>
      <bottom style="thin">
        <color rgb="FFFFF4F3"/>
      </bottom>
    </border>
    <border>
      <right style="thin">
        <color rgb="FFFFF4F3"/>
      </right>
      <top style="thin">
        <color rgb="FFFFF4F3"/>
      </top>
      <bottom style="thick">
        <color rgb="FF3E3A3A"/>
      </bottom>
    </border>
    <border>
      <left style="thin">
        <color rgb="FFFFF4F3"/>
      </left>
      <right style="thick">
        <color rgb="FF3E3A3A"/>
      </right>
      <top style="thin">
        <color rgb="FFFFF4F3"/>
      </top>
      <bottom style="thick">
        <color rgb="FF3E3A3A"/>
      </bottom>
    </border>
    <border>
      <left style="thick">
        <color rgb="FF3E3A3A"/>
      </left>
      <right style="thin">
        <color rgb="FFD9B6B5"/>
      </right>
      <bottom style="thin">
        <color rgb="FFD9B6B5"/>
      </bottom>
    </border>
    <border>
      <left style="thin">
        <color rgb="FFD9B6B5"/>
      </left>
      <right style="thin">
        <color rgb="FFD9B6B5"/>
      </right>
      <bottom style="thin">
        <color rgb="FFD9B6B5"/>
      </bottom>
    </border>
    <border>
      <left style="thin">
        <color rgb="FFD9B6B5"/>
      </left>
      <top style="thin">
        <color rgb="FF3E3A3A"/>
      </top>
      <bottom style="thin">
        <color rgb="FFD9B6B5"/>
      </bottom>
    </border>
    <border>
      <left style="medium">
        <color rgb="FF3E3A3A"/>
      </left>
      <right style="thick">
        <color rgb="FF3E3A3A"/>
      </right>
      <bottom style="thin">
        <color rgb="FFD9B6B5"/>
      </bottom>
    </border>
    <border>
      <left style="thick">
        <color rgb="FF3E3A3A"/>
      </left>
      <right style="thin">
        <color rgb="FFD9B6B5"/>
      </right>
      <top style="thin">
        <color rgb="FFD9B6B5"/>
      </top>
      <bottom style="thin">
        <color rgb="FFD9B6B5"/>
      </bottom>
    </border>
    <border>
      <left style="thin">
        <color rgb="FFD9B6B5"/>
      </left>
      <right style="thin">
        <color rgb="FFD9B6B5"/>
      </right>
      <top style="thin">
        <color rgb="FFD9B6B5"/>
      </top>
      <bottom style="thin">
        <color rgb="FFD9B6B5"/>
      </bottom>
    </border>
    <border>
      <left style="thin">
        <color rgb="FFD9B6B5"/>
      </left>
      <top style="thin">
        <color rgb="FFD9B6B5"/>
      </top>
      <bottom style="thin">
        <color rgb="FFD9B6B5"/>
      </bottom>
    </border>
    <border>
      <left style="medium">
        <color rgb="FF3E3A3A"/>
      </left>
      <right style="thick">
        <color rgb="FF3E3A3A"/>
      </right>
      <top style="thin">
        <color rgb="FFD9B6B5"/>
      </top>
      <bottom style="thin">
        <color rgb="FFD9B6B5"/>
      </bottom>
    </border>
    <border>
      <left style="thick">
        <color rgb="FF3E3A3A"/>
      </left>
      <right style="thin">
        <color rgb="FFD9B6B5"/>
      </right>
      <top style="thin">
        <color rgb="FFD9B6B5"/>
      </top>
    </border>
    <border>
      <left style="thin">
        <color rgb="FFD9B6B5"/>
      </left>
      <right style="thin">
        <color rgb="FFD9B6B5"/>
      </right>
      <top style="thin">
        <color rgb="FFD9B6B5"/>
      </top>
    </border>
    <border>
      <left style="thin">
        <color rgb="FFD9B6B5"/>
      </left>
      <top style="thin">
        <color rgb="FFD9B6B5"/>
      </top>
    </border>
    <border>
      <left style="medium">
        <color rgb="FF3E3A3A"/>
      </left>
      <right style="thick">
        <color rgb="FF3E3A3A"/>
      </right>
      <top style="thin">
        <color rgb="FFD9B6B5"/>
      </top>
      <bottom style="medium">
        <color rgb="FF3E3A3A"/>
      </bottom>
    </border>
    <border>
      <left style="thick">
        <color rgb="FF3E3A3A"/>
      </left>
      <right style="thin">
        <color rgb="FFFFF4F3"/>
      </right>
      <top style="thin">
        <color rgb="FFFFF4F3"/>
      </top>
      <bottom style="thick">
        <color rgb="FF3E3A3A"/>
      </bottom>
    </border>
    <border>
      <left style="thin">
        <color rgb="FFFFF4F3"/>
      </left>
      <right style="thin">
        <color rgb="FFFFF4F3"/>
      </right>
      <top style="thin">
        <color rgb="FFFFF4F3"/>
      </top>
      <bottom style="thick">
        <color rgb="FF3E3A3A"/>
      </bottom>
    </border>
    <border>
      <left style="thin">
        <color rgb="FFFFF4F3"/>
      </left>
      <right style="thin">
        <color rgb="FFFFF4F3"/>
      </right>
      <bottom style="thick">
        <color rgb="FF3E3A3A"/>
      </bottom>
    </border>
    <border>
      <left style="thick">
        <color rgb="FF3E3A3A"/>
      </left>
      <right style="thin">
        <color rgb="FFF7EEFF"/>
      </right>
      <bottom style="thin">
        <color rgb="FFF7EEFF"/>
      </bottom>
    </border>
    <border>
      <left style="thin">
        <color rgb="FFF7EEFF"/>
      </left>
      <right style="thin">
        <color rgb="FFF7EEFF"/>
      </right>
      <bottom style="thin">
        <color rgb="FFF7EEFF"/>
      </bottom>
    </border>
    <border>
      <left style="thin">
        <color rgb="FFF7EEFF"/>
      </left>
      <right style="thin">
        <color rgb="FFF7EEFF"/>
      </right>
    </border>
    <border>
      <left style="thin">
        <color rgb="FFF7EEFF"/>
      </left>
      <right style="thick">
        <color rgb="FF3E3A3A"/>
      </right>
      <bottom style="thin">
        <color rgb="FFF7EEFF"/>
      </bottom>
    </border>
    <border>
      <left style="thick">
        <color rgb="FF3E3A3A"/>
      </left>
      <right style="thin">
        <color rgb="FFF7EEFF"/>
      </right>
      <top style="thin">
        <color rgb="FFF7EEFF"/>
      </top>
      <bottom style="thin">
        <color rgb="FFF7EEFF"/>
      </bottom>
    </border>
    <border>
      <left style="thin">
        <color rgb="FFF7EEFF"/>
      </left>
      <top style="thin">
        <color rgb="FFF7EEFF"/>
      </top>
      <bottom style="thin">
        <color rgb="FFF7EEFF"/>
      </bottom>
    </border>
    <border>
      <top style="thin">
        <color rgb="FFF7EEFF"/>
      </top>
    </border>
    <border>
      <right style="thin">
        <color rgb="FFF7EEFF"/>
      </right>
      <top style="thin">
        <color rgb="FFF7EEFF"/>
      </top>
    </border>
    <border>
      <top style="thin">
        <color rgb="FFF7EEFF"/>
      </top>
      <bottom style="thin">
        <color rgb="FFF7EEFF"/>
      </bottom>
    </border>
    <border>
      <right style="thin">
        <color rgb="FFF7EEFF"/>
      </right>
      <top style="thin">
        <color rgb="FFF7EEFF"/>
      </top>
      <bottom style="thin">
        <color rgb="FFF7EEFF"/>
      </bottom>
    </border>
    <border>
      <left style="thin">
        <color rgb="FFF7EEFF"/>
      </left>
      <right style="thin">
        <color rgb="FFF7EEFF"/>
      </right>
      <top style="thin">
        <color rgb="FFF7EEFF"/>
      </top>
    </border>
    <border>
      <left style="thin">
        <color rgb="FFF7EEFF"/>
      </left>
      <right style="thick">
        <color rgb="FF3E3A3A"/>
      </right>
      <top style="thin">
        <color rgb="FFF7EEFF"/>
      </top>
      <bottom style="thin">
        <color rgb="FFF7EEFF"/>
      </bottom>
    </border>
    <border>
      <left style="thick">
        <color rgb="FF3E3A3A"/>
      </left>
      <bottom style="medium">
        <color rgb="FFF7EEFF"/>
      </bottom>
    </border>
    <border>
      <bottom style="medium">
        <color rgb="FFF7EEFF"/>
      </bottom>
    </border>
    <border>
      <right style="thick">
        <color rgb="FF3E3A3A"/>
      </right>
      <bottom style="medium">
        <color rgb="FFF7EEFF"/>
      </bottom>
    </border>
    <border>
      <right style="thin">
        <color rgb="FFF7EEFF"/>
      </right>
    </border>
    <border>
      <left style="thick">
        <color rgb="FF3E3A3A"/>
      </left>
      <top style="medium">
        <color rgb="FFF7EEFF"/>
      </top>
      <bottom style="medium">
        <color rgb="FFF7EEFF"/>
      </bottom>
    </border>
    <border>
      <top style="medium">
        <color rgb="FFF7EEFF"/>
      </top>
      <bottom style="medium">
        <color rgb="FFF7EEFF"/>
      </bottom>
    </border>
    <border>
      <right style="thick">
        <color rgb="FF3E3A3A"/>
      </right>
      <top style="medium">
        <color rgb="FFF7EEFF"/>
      </top>
      <bottom style="medium">
        <color rgb="FFF7EEFF"/>
      </bottom>
    </border>
    <border>
      <left style="thick">
        <color rgb="FF3E3A3A"/>
      </left>
      <right style="medium">
        <color rgb="FFF7EEFF"/>
      </right>
      <top style="medium">
        <color rgb="FFF7EEFF"/>
      </top>
      <bottom style="medium">
        <color rgb="FFF7EEFF"/>
      </bottom>
    </border>
    <border>
      <left style="medium">
        <color rgb="FFF7EEFF"/>
      </left>
      <top style="medium">
        <color rgb="FFF7EEFF"/>
      </top>
      <bottom style="medium">
        <color rgb="FFF7EEFF"/>
      </bottom>
    </border>
    <border>
      <right style="medium">
        <color rgb="FFF7EEFF"/>
      </right>
      <top style="medium">
        <color rgb="FFF7EEFF"/>
      </top>
      <bottom style="medium">
        <color rgb="FFF7EEFF"/>
      </bottom>
    </border>
    <border>
      <left style="medium">
        <color rgb="FFF7EEFF"/>
      </left>
      <right style="thick">
        <color rgb="FF3E3A3A"/>
      </right>
      <top style="medium">
        <color rgb="FFF7EEFF"/>
      </top>
      <bottom style="medium">
        <color rgb="FFF7EEFF"/>
      </bottom>
    </border>
    <border>
      <left style="thin">
        <color rgb="FFF7EEFF"/>
      </left>
      <right style="thin">
        <color rgb="FFF7EEFF"/>
      </right>
      <top style="thin">
        <color rgb="FFF7EEFF"/>
      </top>
      <bottom style="thin">
        <color rgb="FFF7EEFF"/>
      </bottom>
    </border>
    <border>
      <left style="thick">
        <color rgb="FF3E3A3A"/>
      </left>
      <right style="medium">
        <color rgb="FFF7EEFF"/>
      </right>
      <top style="medium">
        <color rgb="FFF7EEFF"/>
      </top>
    </border>
    <border>
      <left style="medium">
        <color rgb="FFF7EEFF"/>
      </left>
      <right style="medium">
        <color rgb="FFF7EEFF"/>
      </right>
      <top style="medium">
        <color rgb="FFF7EEFF"/>
      </top>
    </border>
    <border>
      <left style="medium">
        <color rgb="FFF7EEFF"/>
      </left>
      <right style="thick">
        <color rgb="FF3E3A3A"/>
      </right>
      <top style="medium">
        <color rgb="FFF7EEFF"/>
      </top>
    </border>
    <border>
      <left style="thick">
        <color rgb="FF3E3A3A"/>
      </left>
      <top style="medium">
        <color rgb="FF3E3A3A"/>
      </top>
      <bottom style="thin">
        <color rgb="FFF7EEFF"/>
      </bottom>
    </border>
    <border>
      <top style="medium">
        <color rgb="FF3E3A3A"/>
      </top>
      <bottom style="thin">
        <color rgb="FFF7EEFF"/>
      </bottom>
    </border>
    <border>
      <right style="thick">
        <color rgb="FF3E3A3A"/>
      </right>
      <top style="medium">
        <color rgb="FF3E3A3A"/>
      </top>
      <bottom style="thin">
        <color rgb="FFF7EEFF"/>
      </bottom>
    </border>
    <border>
      <left style="thick">
        <color rgb="FF3E3A3A"/>
      </left>
      <top style="thin">
        <color rgb="FFF7EEFF"/>
      </top>
      <bottom style="thin">
        <color rgb="FFF7EEFF"/>
      </bottom>
    </border>
    <border>
      <right style="thick">
        <color rgb="FF3E3A3A"/>
      </right>
      <top style="thin">
        <color rgb="FFF7EEFF"/>
      </top>
      <bottom style="thin">
        <color rgb="FFF7EEFF"/>
      </bottom>
    </border>
    <border>
      <left style="thick">
        <color rgb="FF3E3A3A"/>
      </left>
      <top style="thin">
        <color rgb="FFF7EEFF"/>
      </top>
    </border>
    <border>
      <left style="thin">
        <color rgb="FFF7EEFF"/>
      </left>
      <right style="thick">
        <color rgb="FF3E3A3A"/>
      </right>
      <top style="thin">
        <color rgb="FFF7EEFF"/>
      </top>
    </border>
    <border>
      <right style="thin">
        <color rgb="FFF7EEFF"/>
      </right>
      <top style="medium">
        <color rgb="FF3E3A3A"/>
      </top>
      <bottom style="thin">
        <color rgb="FFF7EEFF"/>
      </bottom>
    </border>
    <border>
      <left style="thin">
        <color rgb="FFF7EEFF"/>
      </left>
      <right style="thick">
        <color rgb="FF3E3A3A"/>
      </right>
      <top style="medium">
        <color rgb="FF3E3A3A"/>
      </top>
      <bottom style="thin">
        <color rgb="FFF7EEFF"/>
      </bottom>
    </border>
    <border>
      <left style="thick">
        <color rgb="FF3E3A3A"/>
      </left>
      <top style="thin">
        <color rgb="FFF7EEFF"/>
      </top>
      <bottom style="thick">
        <color rgb="FF3E3A3A"/>
      </bottom>
    </border>
    <border>
      <top style="thin">
        <color rgb="FFF7EEFF"/>
      </top>
      <bottom style="thick">
        <color rgb="FF3E3A3A"/>
      </bottom>
    </border>
    <border>
      <right style="thin">
        <color rgb="FFF7EEFF"/>
      </right>
      <top style="thin">
        <color rgb="FFF7EEFF"/>
      </top>
      <bottom style="thick">
        <color rgb="FF3E3A3A"/>
      </bottom>
    </border>
    <border>
      <left style="thin">
        <color rgb="FFF7EEFF"/>
      </left>
      <right style="thick">
        <color rgb="FF3E3A3A"/>
      </right>
      <top style="thin">
        <color rgb="FFF7EEFF"/>
      </top>
      <bottom style="thick">
        <color rgb="FF3E3A3A"/>
      </bottom>
    </border>
    <border>
      <bottom style="thin">
        <color rgb="FFF7EEFF"/>
      </bottom>
    </border>
    <border>
      <right style="thin">
        <color rgb="FFF7EEFF"/>
      </right>
      <bottom style="thin">
        <color rgb="FFF7EEFF"/>
      </bottom>
    </border>
    <border>
      <left style="thick">
        <color rgb="FF3E3A3A"/>
      </left>
      <right style="thin">
        <color rgb="FFF9516C"/>
      </right>
      <bottom style="thin">
        <color rgb="FFF9516C"/>
      </bottom>
    </border>
    <border>
      <left style="thin">
        <color rgb="FFF9516C"/>
      </left>
      <right style="thin">
        <color rgb="FFF9516C"/>
      </right>
      <bottom style="thin">
        <color rgb="FFF9516C"/>
      </bottom>
    </border>
    <border>
      <left style="thin">
        <color rgb="FFF9516C"/>
      </left>
      <top style="thin">
        <color rgb="FF3E3A3A"/>
      </top>
      <bottom style="thin">
        <color rgb="FFF9516C"/>
      </bottom>
    </border>
    <border>
      <left style="medium">
        <color rgb="FF3E3A3A"/>
      </left>
      <right style="thick">
        <color rgb="FF3E3A3A"/>
      </right>
      <bottom style="thin">
        <color rgb="FFF9516C"/>
      </bottom>
    </border>
    <border>
      <left style="thick">
        <color rgb="FF3E3A3A"/>
      </left>
      <right style="thin">
        <color rgb="FFF9516C"/>
      </right>
      <top style="thin">
        <color rgb="FFF9516C"/>
      </top>
      <bottom style="thin">
        <color rgb="FFF9516C"/>
      </bottom>
    </border>
    <border>
      <left style="thin">
        <color rgb="FFF9516C"/>
      </left>
      <right style="thin">
        <color rgb="FFF9516C"/>
      </right>
      <top style="thin">
        <color rgb="FFF9516C"/>
      </top>
      <bottom style="thin">
        <color rgb="FFF9516C"/>
      </bottom>
    </border>
    <border>
      <left style="thin">
        <color rgb="FFF9516C"/>
      </left>
      <top style="thin">
        <color rgb="FFF9516C"/>
      </top>
      <bottom style="thin">
        <color rgb="FFF9516C"/>
      </bottom>
    </border>
    <border>
      <left style="medium">
        <color rgb="FF3E3A3A"/>
      </left>
      <right style="thick">
        <color rgb="FF3E3A3A"/>
      </right>
      <top style="thin">
        <color rgb="FFF9516C"/>
      </top>
      <bottom style="thin">
        <color rgb="FFF9516C"/>
      </bottom>
    </border>
    <border>
      <left style="thick">
        <color rgb="FF3E3A3A"/>
      </left>
      <right style="thin">
        <color rgb="FFF9516C"/>
      </right>
      <top style="thin">
        <color rgb="FFF9516C"/>
      </top>
    </border>
    <border>
      <left style="thin">
        <color rgb="FFF9516C"/>
      </left>
      <right style="thin">
        <color rgb="FFF9516C"/>
      </right>
      <top style="thin">
        <color rgb="FFF9516C"/>
      </top>
    </border>
    <border>
      <left style="thin">
        <color rgb="FFF9516C"/>
      </left>
      <top style="thin">
        <color rgb="FFF9516C"/>
      </top>
    </border>
    <border>
      <left style="medium">
        <color rgb="FF3E3A3A"/>
      </left>
      <right style="thick">
        <color rgb="FF3E3A3A"/>
      </right>
      <top style="thin">
        <color rgb="FFF9516C"/>
      </top>
      <bottom style="medium">
        <color rgb="FF3E3A3A"/>
      </bottom>
    </border>
    <border>
      <left style="thick">
        <color rgb="FF3E3A3A"/>
      </left>
      <right style="thin">
        <color rgb="FFF7EEFF"/>
      </right>
      <top style="thin">
        <color rgb="FFF7EEFF"/>
      </top>
      <bottom style="thick">
        <color rgb="FF3E3A3A"/>
      </bottom>
    </border>
    <border>
      <left style="thin">
        <color rgb="FFF7EEFF"/>
      </left>
      <right style="thin">
        <color rgb="FFF7EEFF"/>
      </right>
      <top style="thin">
        <color rgb="FFF7EEFF"/>
      </top>
      <bottom style="thick">
        <color rgb="FF3E3A3A"/>
      </bottom>
    </border>
    <border>
      <left style="thin">
        <color rgb="FFF7EEFF"/>
      </left>
      <right style="thin">
        <color rgb="FFF7EEFF"/>
      </right>
      <bottom style="thick">
        <color rgb="FF3E3A3A"/>
      </bottom>
    </border>
    <border>
      <left style="thick">
        <color rgb="FF3E3A3A"/>
      </left>
      <right style="thin">
        <color rgb="FFE7E9F6"/>
      </right>
      <bottom style="thin">
        <color rgb="FFE7E9F6"/>
      </bottom>
    </border>
    <border>
      <left style="thin">
        <color rgb="FFE7E9F6"/>
      </left>
      <right style="thin">
        <color rgb="FFE7E9F6"/>
      </right>
      <bottom style="thin">
        <color rgb="FFE7E9F6"/>
      </bottom>
    </border>
    <border>
      <left style="thin">
        <color rgb="FFE7E9F6"/>
      </left>
      <right style="thick">
        <color rgb="FF3E3A3A"/>
      </right>
      <bottom style="thin">
        <color rgb="FFE7E9F6"/>
      </bottom>
    </border>
    <border>
      <left style="thick">
        <color rgb="FF3E3A3A"/>
      </left>
      <right style="thin">
        <color rgb="FFE7E9F6"/>
      </right>
      <top style="thin">
        <color rgb="FFE7E9F6"/>
      </top>
      <bottom style="thin">
        <color rgb="FFE7E9F6"/>
      </bottom>
    </border>
    <border>
      <left style="thin">
        <color rgb="FFE7E9F6"/>
      </left>
      <right style="thin">
        <color rgb="FFE7E9F6"/>
      </right>
      <top style="thin">
        <color rgb="FFE7E9F6"/>
      </top>
      <bottom style="thin">
        <color rgb="FFE7E9F6"/>
      </bottom>
    </border>
    <border>
      <left style="thin">
        <color rgb="FFE7E9F6"/>
      </left>
      <top style="thin">
        <color rgb="FFE7E9F6"/>
      </top>
      <bottom style="thin">
        <color rgb="FFE7E9F6"/>
      </bottom>
    </border>
    <border>
      <top style="thin">
        <color rgb="FFE7E9F6"/>
      </top>
      <bottom style="thin">
        <color rgb="FFE7E9F6"/>
      </bottom>
    </border>
    <border>
      <right style="thin">
        <color rgb="FFE7E9F6"/>
      </right>
      <top style="thin">
        <color rgb="FFE7E9F6"/>
      </top>
      <bottom style="thin">
        <color rgb="FFE7E9F6"/>
      </bottom>
    </border>
    <border>
      <left style="thin">
        <color rgb="FFE7E9F6"/>
      </left>
      <right style="thick">
        <color rgb="FF3E3A3A"/>
      </right>
      <top style="thin">
        <color rgb="FFE7E9F6"/>
      </top>
      <bottom style="thin">
        <color rgb="FFE7E9F6"/>
      </bottom>
    </border>
    <border>
      <left style="thin">
        <color rgb="FFE7E9F6"/>
      </left>
      <right style="thin">
        <color rgb="FFE7E9F6"/>
      </right>
      <top style="thin">
        <color rgb="FFE7E9F6"/>
      </top>
    </border>
    <border>
      <left style="thick">
        <color rgb="FF3E3A3A"/>
      </left>
      <bottom style="medium">
        <color rgb="FFE7E9F6"/>
      </bottom>
    </border>
    <border>
      <bottom style="medium">
        <color rgb="FFE7E9F6"/>
      </bottom>
    </border>
    <border>
      <right style="thick">
        <color rgb="FF3E3A3A"/>
      </right>
      <bottom style="medium">
        <color rgb="FFE7E9F6"/>
      </bottom>
    </border>
    <border>
      <left style="thin">
        <color rgb="FFE7E9F6"/>
      </left>
      <right style="thin">
        <color rgb="FFE7E9F6"/>
      </right>
    </border>
    <border>
      <left style="thick">
        <color rgb="FF3E3A3A"/>
      </left>
      <top style="medium">
        <color rgb="FFE7E9F6"/>
      </top>
      <bottom style="medium">
        <color rgb="FFE7E9F6"/>
      </bottom>
    </border>
    <border>
      <top style="medium">
        <color rgb="FFE7E9F6"/>
      </top>
      <bottom style="medium">
        <color rgb="FFE7E9F6"/>
      </bottom>
    </border>
    <border>
      <right style="thick">
        <color rgb="FF3E3A3A"/>
      </right>
      <top style="medium">
        <color rgb="FFE7E9F6"/>
      </top>
      <bottom style="medium">
        <color rgb="FFE7E9F6"/>
      </bottom>
    </border>
    <border>
      <left style="thick">
        <color rgb="FF3E3A3A"/>
      </left>
      <right style="medium">
        <color rgb="FFE7E9F6"/>
      </right>
      <top style="medium">
        <color rgb="FFE7E9F6"/>
      </top>
      <bottom style="medium">
        <color rgb="FFE7E9F6"/>
      </bottom>
    </border>
    <border>
      <left style="medium">
        <color rgb="FFE7E9F6"/>
      </left>
      <top style="medium">
        <color rgb="FFE7E9F6"/>
      </top>
      <bottom style="medium">
        <color rgb="FFE7E9F6"/>
      </bottom>
    </border>
    <border>
      <right style="medium">
        <color rgb="FFE7E9F6"/>
      </right>
      <top style="medium">
        <color rgb="FFE7E9F6"/>
      </top>
      <bottom style="medium">
        <color rgb="FFE7E9F6"/>
      </bottom>
    </border>
    <border>
      <left style="medium">
        <color rgb="FFE7E9F6"/>
      </left>
      <right style="thick">
        <color rgb="FF3E3A3A"/>
      </right>
      <top style="medium">
        <color rgb="FFE7E9F6"/>
      </top>
      <bottom style="medium">
        <color rgb="FFE7E9F6"/>
      </bottom>
    </border>
    <border>
      <left style="medium">
        <color rgb="FFE7E9F6"/>
      </left>
      <right style="medium">
        <color rgb="FFE7E9F6"/>
      </right>
      <top style="medium">
        <color rgb="FFE7E9F6"/>
      </top>
      <bottom style="medium">
        <color rgb="FFE7E9F6"/>
      </bottom>
    </border>
    <border>
      <left style="thick">
        <color rgb="FF3E3A3A"/>
      </left>
      <right style="medium">
        <color rgb="FFE7E9F6"/>
      </right>
      <top style="medium">
        <color rgb="FFE7E9F6"/>
      </top>
      <bottom style="medium">
        <color rgb="FFFBFCFF"/>
      </bottom>
    </border>
    <border>
      <left style="medium">
        <color rgb="FFE7E9F6"/>
      </left>
      <right style="medium">
        <color rgb="FFE7E9F6"/>
      </right>
      <top style="medium">
        <color rgb="FFE7E9F6"/>
      </top>
      <bottom style="medium">
        <color rgb="FFFBFCFF"/>
      </bottom>
    </border>
    <border>
      <left style="medium">
        <color rgb="FFE7E9F6"/>
      </left>
      <right style="thick">
        <color rgb="FF3E3A3A"/>
      </right>
      <top style="medium">
        <color rgb="FFE7E9F6"/>
      </top>
      <bottom style="medium">
        <color rgb="FFFBFCFF"/>
      </bottom>
    </border>
    <border>
      <left style="thick">
        <color rgb="FF3E3A3A"/>
      </left>
      <right style="medium">
        <color rgb="FFE7E9F6"/>
      </right>
      <top style="medium">
        <color rgb="FFE7E9F6"/>
      </top>
    </border>
    <border>
      <left style="medium">
        <color rgb="FFE7E9F6"/>
      </left>
      <right style="medium">
        <color rgb="FFE7E9F6"/>
      </right>
      <top style="medium">
        <color rgb="FFE7E9F6"/>
      </top>
    </border>
    <border>
      <left style="medium">
        <color rgb="FFE7E9F6"/>
      </left>
      <right style="thick">
        <color rgb="FF3E3A3A"/>
      </right>
      <top style="medium">
        <color rgb="FFE7E9F6"/>
      </top>
    </border>
    <border>
      <left style="thick">
        <color rgb="FF3E3A3A"/>
      </left>
      <right style="medium">
        <color rgb="FFFBFCFF"/>
      </right>
      <top style="medium">
        <color rgb="FFFBFCFF"/>
      </top>
    </border>
    <border>
      <left style="medium">
        <color rgb="FFFBFCFF"/>
      </left>
      <right style="medium">
        <color rgb="FFFBFCFF"/>
      </right>
      <top style="medium">
        <color rgb="FFFBFCFF"/>
      </top>
    </border>
    <border>
      <left style="medium">
        <color rgb="FFFBFCFF"/>
      </left>
      <right style="thick">
        <color rgb="FF3E3A3A"/>
      </right>
      <top style="medium">
        <color rgb="FFFBFCFF"/>
      </top>
    </border>
    <border>
      <left style="thick">
        <color rgb="FF3E3A3A"/>
      </left>
      <top style="medium">
        <color rgb="FF434343"/>
      </top>
      <bottom style="thin">
        <color rgb="FFE7E9F6"/>
      </bottom>
    </border>
    <border>
      <top style="medium">
        <color rgb="FF434343"/>
      </top>
      <bottom style="thin">
        <color rgb="FFE7E9F6"/>
      </bottom>
    </border>
    <border>
      <right style="thick">
        <color rgb="FF3E3A3A"/>
      </right>
      <top style="medium">
        <color rgb="FF434343"/>
      </top>
      <bottom style="thin">
        <color rgb="FFE7E9F6"/>
      </bottom>
    </border>
    <border>
      <left style="thick">
        <color rgb="FF3E3A3A"/>
      </left>
      <top style="thin">
        <color rgb="FFE7E9F6"/>
      </top>
      <bottom style="thin">
        <color rgb="FFE7E9F6"/>
      </bottom>
    </border>
    <border>
      <right style="thick">
        <color rgb="FF3E3A3A"/>
      </right>
      <top style="thin">
        <color rgb="FFE7E9F6"/>
      </top>
      <bottom style="thin">
        <color rgb="FFE7E9F6"/>
      </bottom>
    </border>
    <border>
      <left style="thick">
        <color rgb="FF3E3A3A"/>
      </left>
      <top style="thin">
        <color rgb="FFE7E9F6"/>
      </top>
    </border>
    <border>
      <top style="thin">
        <color rgb="FFE7E9F6"/>
      </top>
    </border>
    <border>
      <right style="thin">
        <color rgb="FFE7E9F6"/>
      </right>
      <top style="thin">
        <color rgb="FFE7E9F6"/>
      </top>
    </border>
    <border>
      <left style="thin">
        <color rgb="FFE7E9F6"/>
      </left>
      <right style="thick">
        <color rgb="FF3E3A3A"/>
      </right>
      <top style="thin">
        <color rgb="FFE7E9F6"/>
      </top>
    </border>
    <border>
      <right style="thin">
        <color rgb="FFE7E9F6"/>
      </right>
      <top style="medium">
        <color rgb="FF434343"/>
      </top>
      <bottom style="thin">
        <color rgb="FFE7E9F6"/>
      </bottom>
    </border>
    <border>
      <left style="thin">
        <color rgb="FFE7E9F6"/>
      </left>
      <right style="thick">
        <color rgb="FF3E3A3A"/>
      </right>
      <top style="medium">
        <color rgb="FF434343"/>
      </top>
      <bottom style="thin">
        <color rgb="FFE7E9F6"/>
      </bottom>
    </border>
    <border>
      <left style="thick">
        <color rgb="FF3E3A3A"/>
      </left>
      <top style="thin">
        <color rgb="FFE7E9F6"/>
      </top>
      <bottom style="thick">
        <color rgb="FF3E3A3A"/>
      </bottom>
    </border>
    <border>
      <top style="thin">
        <color rgb="FFE7E9F6"/>
      </top>
      <bottom style="thick">
        <color rgb="FF3E3A3A"/>
      </bottom>
    </border>
    <border>
      <right style="thin">
        <color rgb="FFE7E9F6"/>
      </right>
      <top style="thin">
        <color rgb="FFE7E9F6"/>
      </top>
      <bottom style="thick">
        <color rgb="FF3E3A3A"/>
      </bottom>
    </border>
    <border>
      <left style="thin">
        <color rgb="FFE7E9F6"/>
      </left>
      <right style="thick">
        <color rgb="FF3E3A3A"/>
      </right>
      <top style="thin">
        <color rgb="FFE7E9F6"/>
      </top>
      <bottom style="thick">
        <color rgb="FF3E3A3A"/>
      </bottom>
    </border>
    <border>
      <left style="thick">
        <color rgb="FF3E3A3A"/>
      </left>
      <right style="thin">
        <color rgb="FF5C6380"/>
      </right>
      <bottom style="thin">
        <color rgb="FF5C6380"/>
      </bottom>
    </border>
    <border>
      <left style="thin">
        <color rgb="FF5C6380"/>
      </left>
      <right style="thin">
        <color rgb="FF5C6380"/>
      </right>
      <bottom style="thin">
        <color rgb="FF5C6380"/>
      </bottom>
    </border>
    <border>
      <left style="thin">
        <color rgb="FF5C6380"/>
      </left>
      <top style="thin">
        <color rgb="FF3E3A3A"/>
      </top>
      <bottom style="thin">
        <color rgb="FF5C6380"/>
      </bottom>
    </border>
    <border>
      <left style="medium">
        <color rgb="FF3E3A3A"/>
      </left>
      <right style="thick">
        <color rgb="FF3E3A3A"/>
      </right>
      <bottom style="thin">
        <color rgb="FF5C6380"/>
      </bottom>
    </border>
    <border>
      <left style="thick">
        <color rgb="FF3E3A3A"/>
      </left>
      <right style="thin">
        <color rgb="FF5C6380"/>
      </right>
      <top style="thin">
        <color rgb="FF5C6380"/>
      </top>
      <bottom style="thin">
        <color rgb="FF5C6380"/>
      </bottom>
    </border>
    <border>
      <left style="thin">
        <color rgb="FF5C6380"/>
      </left>
      <right style="thin">
        <color rgb="FF5C6380"/>
      </right>
      <top style="thin">
        <color rgb="FF5C6380"/>
      </top>
      <bottom style="thin">
        <color rgb="FF5C6380"/>
      </bottom>
    </border>
    <border>
      <left style="thin">
        <color rgb="FF5C6380"/>
      </left>
      <top style="thin">
        <color rgb="FF5C6380"/>
      </top>
      <bottom style="thin">
        <color rgb="FF5C6380"/>
      </bottom>
    </border>
    <border>
      <left style="medium">
        <color rgb="FF3E3A3A"/>
      </left>
      <right style="thick">
        <color rgb="FF3E3A3A"/>
      </right>
      <top style="thin">
        <color rgb="FF5C6380"/>
      </top>
      <bottom style="thin">
        <color rgb="FF5C6380"/>
      </bottom>
    </border>
    <border>
      <left style="thick">
        <color rgb="FF3E3A3A"/>
      </left>
      <right style="thin">
        <color rgb="FF5C6380"/>
      </right>
      <top style="thin">
        <color rgb="FF5C6380"/>
      </top>
    </border>
    <border>
      <left style="thin">
        <color rgb="FF5C6380"/>
      </left>
      <right style="thin">
        <color rgb="FF5C6380"/>
      </right>
      <top style="thin">
        <color rgb="FF5C6380"/>
      </top>
    </border>
    <border>
      <left style="thin">
        <color rgb="FF5C6380"/>
      </left>
      <top style="thin">
        <color rgb="FF5C6380"/>
      </top>
    </border>
    <border>
      <left style="medium">
        <color rgb="FF3E3A3A"/>
      </left>
      <right style="thick">
        <color rgb="FF3E3A3A"/>
      </right>
      <top style="thin">
        <color rgb="FF5C6380"/>
      </top>
      <bottom style="medium">
        <color rgb="FF3E3A3A"/>
      </bottom>
    </border>
    <border>
      <left style="thick">
        <color rgb="FF3E3A3A"/>
      </left>
      <right style="thin">
        <color rgb="FFE7E9F6"/>
      </right>
      <top style="thin">
        <color rgb="FFE7E9F6"/>
      </top>
      <bottom style="thick">
        <color rgb="FF3E3A3A"/>
      </bottom>
    </border>
    <border>
      <left style="thin">
        <color rgb="FFE7E9F6"/>
      </left>
      <right style="thin">
        <color rgb="FFE7E9F6"/>
      </right>
      <top style="thin">
        <color rgb="FFE7E9F6"/>
      </top>
      <bottom style="thick">
        <color rgb="FF3E3A3A"/>
      </bottom>
    </border>
    <border>
      <left style="thick">
        <color rgb="FF3E3A3A"/>
      </left>
      <right style="thin">
        <color rgb="FFD7E3BF"/>
      </right>
      <bottom style="thin">
        <color rgb="FFD7E3BF"/>
      </bottom>
    </border>
    <border>
      <left style="thin">
        <color rgb="FFD7E3BF"/>
      </left>
      <right style="thin">
        <color rgb="FFD7E3BF"/>
      </right>
      <bottom style="thin">
        <color rgb="FFD7E3BF"/>
      </bottom>
    </border>
    <border>
      <left style="thin">
        <color rgb="FFD7E3BF"/>
      </left>
      <right style="thick">
        <color rgb="FF3E3A3A"/>
      </right>
      <bottom style="thin">
        <color rgb="FFD7E3BF"/>
      </bottom>
    </border>
    <border>
      <left style="thick">
        <color rgb="FF3E3A3A"/>
      </left>
      <right style="thin">
        <color rgb="FFD7E3BF"/>
      </right>
      <top style="thin">
        <color rgb="FFD7E3BF"/>
      </top>
      <bottom style="thin">
        <color rgb="FFD7E3BF"/>
      </bottom>
    </border>
    <border>
      <left style="thin">
        <color rgb="FFD7E3BF"/>
      </left>
      <right style="thin">
        <color rgb="FFD7E3BF"/>
      </right>
      <top style="thin">
        <color rgb="FFD7E3BF"/>
      </top>
      <bottom style="thin">
        <color rgb="FFD7E3BF"/>
      </bottom>
    </border>
    <border>
      <left style="thin">
        <color rgb="FFD7E3BF"/>
      </left>
      <top style="thin">
        <color rgb="FFD7E3BF"/>
      </top>
      <bottom style="thin">
        <color rgb="FFD7E3BF"/>
      </bottom>
    </border>
    <border>
      <top style="thin">
        <color rgb="FFD7E3BF"/>
      </top>
      <bottom style="thin">
        <color rgb="FFD7E3BF"/>
      </bottom>
    </border>
    <border>
      <right style="thin">
        <color rgb="FFD7E3BF"/>
      </right>
      <top style="thin">
        <color rgb="FFD7E3BF"/>
      </top>
      <bottom style="thin">
        <color rgb="FFD7E3BF"/>
      </bottom>
    </border>
    <border>
      <left style="thin">
        <color rgb="FFD7E3BF"/>
      </left>
      <right style="thick">
        <color rgb="FF3E3A3A"/>
      </right>
      <top style="thin">
        <color rgb="FFD7E3BF"/>
      </top>
      <bottom style="thin">
        <color rgb="FFD7E3BF"/>
      </bottom>
    </border>
    <border>
      <left style="thin">
        <color rgb="FFD7E3BF"/>
      </left>
      <right style="thin">
        <color rgb="FFD7E3BF"/>
      </right>
      <top style="thin">
        <color rgb="FFD7E3BF"/>
      </top>
    </border>
    <border>
      <left style="thick">
        <color rgb="FF434343"/>
      </left>
      <bottom style="medium">
        <color rgb="FFD7E3BF"/>
      </bottom>
    </border>
    <border>
      <bottom style="medium">
        <color rgb="FFD7E3BF"/>
      </bottom>
    </border>
    <border>
      <right style="thick">
        <color rgb="FF434343"/>
      </right>
      <bottom style="medium">
        <color rgb="FFD7E3BF"/>
      </bottom>
    </border>
    <border>
      <left style="thin">
        <color rgb="FFD7E3BF"/>
      </left>
      <right style="thin">
        <color rgb="FFD7E3BF"/>
      </right>
    </border>
    <border>
      <left style="thick">
        <color rgb="FF434343"/>
      </left>
      <top style="medium">
        <color rgb="FFD7E3BF"/>
      </top>
      <bottom style="medium">
        <color rgb="FFD7E3BF"/>
      </bottom>
    </border>
    <border>
      <top style="medium">
        <color rgb="FFD7E3BF"/>
      </top>
      <bottom style="medium">
        <color rgb="FFD7E3BF"/>
      </bottom>
    </border>
    <border>
      <right style="thick">
        <color rgb="FF434343"/>
      </right>
      <top style="medium">
        <color rgb="FFD7E3BF"/>
      </top>
      <bottom style="medium">
        <color rgb="FFD7E3BF"/>
      </bottom>
    </border>
    <border>
      <left style="thick">
        <color rgb="FF434343"/>
      </left>
      <right style="medium">
        <color rgb="FFD7E3BF"/>
      </right>
      <top style="medium">
        <color rgb="FFD7E3BF"/>
      </top>
      <bottom style="medium">
        <color rgb="FFD7E3BF"/>
      </bottom>
    </border>
    <border>
      <left style="medium">
        <color rgb="FFD7E3BF"/>
      </left>
      <right style="medium">
        <color rgb="FFD7E3BF"/>
      </right>
      <top style="medium">
        <color rgb="FFD7E3BF"/>
      </top>
      <bottom style="medium">
        <color rgb="FFD7E3BF"/>
      </bottom>
    </border>
    <border>
      <left style="medium">
        <color rgb="FFD7E3BF"/>
      </left>
      <right style="thick">
        <color rgb="FF434343"/>
      </right>
      <top style="medium">
        <color rgb="FFD7E3BF"/>
      </top>
      <bottom style="medium">
        <color rgb="FFD7E3BF"/>
      </bottom>
    </border>
    <border>
      <left style="thick">
        <color rgb="FF434343"/>
      </left>
      <right style="medium">
        <color rgb="FFD7E3BF"/>
      </right>
      <top style="medium">
        <color rgb="FFD7E3BF"/>
      </top>
    </border>
    <border>
      <left style="medium">
        <color rgb="FFD7E3BF"/>
      </left>
      <right style="medium">
        <color rgb="FFD7E3BF"/>
      </right>
      <top style="medium">
        <color rgb="FFD7E3BF"/>
      </top>
    </border>
    <border>
      <left style="medium">
        <color rgb="FFD7E3BF"/>
      </left>
      <right style="thick">
        <color rgb="FF434343"/>
      </right>
      <top style="medium">
        <color rgb="FFD7E3BF"/>
      </top>
    </border>
    <border>
      <left style="thick">
        <color rgb="FF434343"/>
      </left>
      <top style="medium">
        <color rgb="FF434343"/>
      </top>
      <bottom style="thin">
        <color rgb="FFD7E3BF"/>
      </bottom>
    </border>
    <border>
      <top style="medium">
        <color rgb="FF434343"/>
      </top>
      <bottom style="thin">
        <color rgb="FFD7E3BF"/>
      </bottom>
    </border>
    <border>
      <right style="thick">
        <color rgb="FF434343"/>
      </right>
      <top style="medium">
        <color rgb="FF434343"/>
      </top>
      <bottom style="thin">
        <color rgb="FFD7E3BF"/>
      </bottom>
    </border>
    <border>
      <left style="thick">
        <color rgb="FF434343"/>
      </left>
      <top style="thin">
        <color rgb="FFD7E3BF"/>
      </top>
      <bottom style="thin">
        <color rgb="FFD7E3BF"/>
      </bottom>
    </border>
    <border>
      <right style="thick">
        <color rgb="FF434343"/>
      </right>
      <top style="thin">
        <color rgb="FFD7E3BF"/>
      </top>
      <bottom style="thin">
        <color rgb="FFD7E3BF"/>
      </bottom>
    </border>
    <border>
      <left style="thick">
        <color rgb="FF434343"/>
      </left>
      <top style="thin">
        <color rgb="FFD7E3BF"/>
      </top>
    </border>
    <border>
      <top style="thin">
        <color rgb="FFD7E3BF"/>
      </top>
    </border>
    <border>
      <right style="thin">
        <color rgb="FFD7E3BF"/>
      </right>
      <top style="thin">
        <color rgb="FFD7E3BF"/>
      </top>
    </border>
    <border>
      <left style="thin">
        <color rgb="FFD7E3BF"/>
      </left>
      <right style="thick">
        <color rgb="FF434343"/>
      </right>
      <top style="thin">
        <color rgb="FFD7E3BF"/>
      </top>
    </border>
    <border>
      <right style="thin">
        <color rgb="FFD7E3BF"/>
      </right>
      <top style="medium">
        <color rgb="FF434343"/>
      </top>
      <bottom style="thin">
        <color rgb="FFD7E3BF"/>
      </bottom>
    </border>
    <border>
      <left style="thick">
        <color rgb="FF434343"/>
      </left>
      <top style="thin">
        <color rgb="FFD7E3BF"/>
      </top>
      <bottom style="thick">
        <color rgb="FF434343"/>
      </bottom>
    </border>
    <border>
      <top style="thin">
        <color rgb="FFD7E3BF"/>
      </top>
      <bottom style="thick">
        <color rgb="FF434343"/>
      </bottom>
    </border>
    <border>
      <right style="thin">
        <color rgb="FFD7E3BF"/>
      </right>
      <top style="thin">
        <color rgb="FFD7E3BF"/>
      </top>
      <bottom style="thick">
        <color rgb="FF434343"/>
      </bottom>
    </border>
    <border>
      <right style="thick">
        <color rgb="FF434343"/>
      </right>
      <top style="thin">
        <color rgb="FFD7E3BF"/>
      </top>
      <bottom style="thick">
        <color rgb="FF434343"/>
      </bottom>
    </border>
    <border>
      <left style="thick">
        <color rgb="FF3E3A3A"/>
      </left>
      <right style="thin">
        <color rgb="FFD7E3BF"/>
      </right>
      <top style="thin">
        <color rgb="FFD7E3BF"/>
      </top>
      <bottom style="thick">
        <color rgb="FF3E3A3A"/>
      </bottom>
    </border>
    <border>
      <left style="thin">
        <color rgb="FFD7E3BF"/>
      </left>
      <right style="thin">
        <color rgb="FFD7E3BF"/>
      </right>
      <top style="thin">
        <color rgb="FFD7E3BF"/>
      </top>
      <bottom style="thick">
        <color rgb="FF3E3A3A"/>
      </bottom>
    </border>
    <border>
      <left style="thin">
        <color rgb="FFD7E3BF"/>
      </left>
      <right style="thin">
        <color rgb="FFD7E3BF"/>
      </right>
      <bottom style="thick">
        <color rgb="FF3E3A3A"/>
      </bottom>
    </border>
    <border>
      <left style="thin">
        <color rgb="FFD7E3BF"/>
      </left>
      <right style="thick">
        <color rgb="FF3E3A3A"/>
      </right>
      <top style="thin">
        <color rgb="FFD7E3BF"/>
      </top>
      <bottom style="thick">
        <color rgb="FF3E3A3A"/>
      </bottom>
    </border>
    <border>
      <left style="thick">
        <color rgb="FF3E3A3A"/>
      </left>
      <right style="thin">
        <color rgb="FFFFF4F3"/>
      </right>
      <top style="thick">
        <color rgb="FF7C58E5"/>
      </top>
      <bottom style="thin">
        <color rgb="FFFFF4F3"/>
      </bottom>
    </border>
    <border>
      <left style="thin">
        <color rgb="FFFFF4F3"/>
      </left>
      <right style="thin">
        <color rgb="FFFFF4F3"/>
      </right>
      <top style="thick">
        <color rgb="FF7C58E5"/>
      </top>
      <bottom style="thin">
        <color rgb="FFFFF4F3"/>
      </bottom>
    </border>
    <border>
      <left style="thin">
        <color rgb="FFFFF4F3"/>
      </left>
      <right style="thick">
        <color rgb="FF3E3A3A"/>
      </right>
      <top style="thick">
        <color rgb="FF7C58E5"/>
      </top>
      <bottom style="thin">
        <color rgb="FFFFF4F3"/>
      </bottom>
    </border>
    <border>
      <left style="thin">
        <color rgb="FFFFF4F3"/>
      </left>
      <right style="thin">
        <color rgb="FFFFF4F3"/>
      </right>
      <top style="thin">
        <color rgb="FFFFF4F3"/>
      </top>
      <bottom style="thin">
        <color rgb="FFD7E3BF"/>
      </bottom>
    </border>
    <border>
      <left style="thick">
        <color rgb="FF3E3A3A"/>
      </left>
      <right style="thin">
        <color rgb="FFFFE4D1"/>
      </right>
      <top style="thin">
        <color rgb="FFFFFFFF"/>
      </top>
      <bottom style="thin">
        <color rgb="FFFFE4D1"/>
      </bottom>
    </border>
    <border>
      <left style="thin">
        <color rgb="FFFFE4D1"/>
      </left>
      <right style="thin">
        <color rgb="FFFFE4D1"/>
      </right>
      <bottom style="thin">
        <color rgb="FFFFE4D1"/>
      </bottom>
    </border>
    <border>
      <left style="thin">
        <color rgb="FFFFE4D1"/>
      </left>
      <right style="thick">
        <color rgb="FF3E3A3A"/>
      </right>
      <top style="thin">
        <color rgb="FFFFFFFF"/>
      </top>
      <bottom style="thin">
        <color rgb="FFFFE4D1"/>
      </bottom>
    </border>
    <border>
      <left style="thick">
        <color rgb="FF3E3A3A"/>
      </left>
      <right style="thin">
        <color rgb="FFFFE4D1"/>
      </right>
      <top style="thin">
        <color rgb="FFFFE4D1"/>
      </top>
      <bottom style="thin">
        <color rgb="FFFFE4D1"/>
      </bottom>
    </border>
    <border>
      <left style="thin">
        <color rgb="FFFFE4D1"/>
      </left>
      <right style="thin">
        <color rgb="FFFFE4D1"/>
      </right>
      <top style="thin">
        <color rgb="FFFFE4D1"/>
      </top>
      <bottom style="thin">
        <color rgb="FFFFE4D1"/>
      </bottom>
    </border>
    <border>
      <left style="thin">
        <color rgb="FFFFE4D1"/>
      </left>
      <top style="thin">
        <color rgb="FFFFE4D1"/>
      </top>
      <bottom style="thin">
        <color rgb="FFFFE4D1"/>
      </bottom>
    </border>
    <border>
      <top style="thin">
        <color rgb="FFFFE4D1"/>
      </top>
      <bottom style="thin">
        <color rgb="FFFFE4D1"/>
      </bottom>
    </border>
    <border>
      <right style="thin">
        <color rgb="FFFFE4D1"/>
      </right>
      <top style="thin">
        <color rgb="FFFFE4D1"/>
      </top>
      <bottom style="thin">
        <color rgb="FFFFE4D1"/>
      </bottom>
    </border>
    <border>
      <left style="thin">
        <color rgb="FFFFE4D1"/>
      </left>
      <right style="thick">
        <color rgb="FF3E3A3A"/>
      </right>
      <top style="thin">
        <color rgb="FFFFE4D1"/>
      </top>
      <bottom style="thin">
        <color rgb="FFFFE4D1"/>
      </bottom>
    </border>
    <border>
      <left style="thin">
        <color rgb="FFFFE4D1"/>
      </left>
      <right style="thin">
        <color rgb="FFFFE4D1"/>
      </right>
      <top style="thin">
        <color rgb="FFFFE4D1"/>
      </top>
    </border>
    <border>
      <left style="thick">
        <color rgb="FF434343"/>
      </left>
      <bottom style="medium">
        <color rgb="FFFFE4D1"/>
      </bottom>
    </border>
    <border>
      <bottom style="medium">
        <color rgb="FFFFE4D1"/>
      </bottom>
    </border>
    <border>
      <right style="thick">
        <color rgb="FF434343"/>
      </right>
      <bottom style="medium">
        <color rgb="FFFFE4D1"/>
      </bottom>
    </border>
    <border>
      <left style="thin">
        <color rgb="FFFFE4D1"/>
      </left>
      <right style="thin">
        <color rgb="FFFFE4D1"/>
      </right>
    </border>
    <border>
      <left style="thick">
        <color rgb="FF434343"/>
      </left>
      <top style="medium">
        <color rgb="FFFFE4D1"/>
      </top>
      <bottom style="medium">
        <color rgb="FFFFE4D1"/>
      </bottom>
    </border>
    <border>
      <top style="medium">
        <color rgb="FFFFE4D1"/>
      </top>
      <bottom style="medium">
        <color rgb="FFFFE4D1"/>
      </bottom>
    </border>
    <border>
      <right style="thick">
        <color rgb="FF434343"/>
      </right>
      <top style="medium">
        <color rgb="FFFFE4D1"/>
      </top>
      <bottom style="medium">
        <color rgb="FFFFE4D1"/>
      </bottom>
    </border>
    <border>
      <left style="thick">
        <color rgb="FF434343"/>
      </left>
      <right style="medium">
        <color rgb="FFFFE4D1"/>
      </right>
      <top style="medium">
        <color rgb="FFFFE4D1"/>
      </top>
      <bottom style="medium">
        <color rgb="FFFFE4D1"/>
      </bottom>
    </border>
    <border>
      <left style="medium">
        <color rgb="FFFFE4D1"/>
      </left>
      <top style="medium">
        <color rgb="FFFFE4D1"/>
      </top>
      <bottom style="medium">
        <color rgb="FFFFE4D1"/>
      </bottom>
    </border>
    <border>
      <right style="medium">
        <color rgb="FFFFE4D1"/>
      </right>
      <top style="medium">
        <color rgb="FFFFE4D1"/>
      </top>
      <bottom style="medium">
        <color rgb="FFFFE4D1"/>
      </bottom>
    </border>
    <border>
      <left style="medium">
        <color rgb="FFFFE4D1"/>
      </left>
      <right style="thick">
        <color rgb="FF434343"/>
      </right>
      <top style="medium">
        <color rgb="FFFFE4D1"/>
      </top>
      <bottom style="medium">
        <color rgb="FFFFE4D1"/>
      </bottom>
    </border>
    <border>
      <left style="medium">
        <color rgb="FFFFE4D1"/>
      </left>
      <right style="medium">
        <color rgb="FFFFE4D1"/>
      </right>
      <top style="medium">
        <color rgb="FFFFE4D1"/>
      </top>
      <bottom style="medium">
        <color rgb="FFFFE4D1"/>
      </bottom>
    </border>
    <border>
      <left style="thick">
        <color rgb="FF434343"/>
      </left>
      <right style="medium">
        <color rgb="FFFFE4D1"/>
      </right>
      <top style="medium">
        <color rgb="FFFFE4D1"/>
      </top>
    </border>
    <border>
      <left style="medium">
        <color rgb="FFFFE4D1"/>
      </left>
      <right style="medium">
        <color rgb="FFFFE4D1"/>
      </right>
      <top style="medium">
        <color rgb="FFFFE4D1"/>
      </top>
    </border>
    <border>
      <left style="medium">
        <color rgb="FFFFE4D1"/>
      </left>
      <right style="thick">
        <color rgb="FF434343"/>
      </right>
      <top style="medium">
        <color rgb="FFFFE4D1"/>
      </top>
    </border>
    <border>
      <left style="thick">
        <color rgb="FF434343"/>
      </left>
      <top style="medium">
        <color rgb="FF434343"/>
      </top>
      <bottom style="thin">
        <color rgb="FFFFE4D1"/>
      </bottom>
    </border>
    <border>
      <top style="medium">
        <color rgb="FF434343"/>
      </top>
      <bottom style="thin">
        <color rgb="FFFFE4D1"/>
      </bottom>
    </border>
    <border>
      <right style="thick">
        <color rgb="FF434343"/>
      </right>
      <top style="medium">
        <color rgb="FF434343"/>
      </top>
      <bottom style="thin">
        <color rgb="FFFFE4D1"/>
      </bottom>
    </border>
    <border>
      <left style="thick">
        <color rgb="FF434343"/>
      </left>
      <top style="thin">
        <color rgb="FFFFE4D1"/>
      </top>
      <bottom style="thin">
        <color rgb="FFFFE4D1"/>
      </bottom>
    </border>
    <border>
      <right style="thick">
        <color rgb="FF434343"/>
      </right>
      <top style="thin">
        <color rgb="FFFFE4D1"/>
      </top>
      <bottom style="thin">
        <color rgb="FFFFE4D1"/>
      </bottom>
    </border>
    <border>
      <left style="thick">
        <color rgb="FF434343"/>
      </left>
      <top style="thin">
        <color rgb="FFFFE4D1"/>
      </top>
    </border>
    <border>
      <top style="thin">
        <color rgb="FFFFE4D1"/>
      </top>
    </border>
    <border>
      <right style="thin">
        <color rgb="FFFFE4D1"/>
      </right>
      <top style="thin">
        <color rgb="FFFFE4D1"/>
      </top>
    </border>
    <border>
      <left style="thin">
        <color rgb="FFFFE4D1"/>
      </left>
      <right style="thick">
        <color rgb="FF434343"/>
      </right>
      <top style="thin">
        <color rgb="FFFFE4D1"/>
      </top>
    </border>
    <border>
      <right style="thin">
        <color rgb="FFFFE4D1"/>
      </right>
      <top style="medium">
        <color rgb="FF434343"/>
      </top>
      <bottom style="thin">
        <color rgb="FFFFE4D1"/>
      </bottom>
    </border>
    <border>
      <left style="thin">
        <color rgb="FFFFE4D1"/>
      </left>
      <right style="thick">
        <color rgb="FF434343"/>
      </right>
      <top style="medium">
        <color rgb="FF434343"/>
      </top>
      <bottom style="thin">
        <color rgb="FFFFE4D1"/>
      </bottom>
    </border>
    <border>
      <left style="thin">
        <color rgb="FFFFE4D1"/>
      </left>
      <right style="thick">
        <color rgb="FF434343"/>
      </right>
      <top style="thin">
        <color rgb="FFFFE4D1"/>
      </top>
      <bottom style="thin">
        <color rgb="FFFFE4D1"/>
      </bottom>
    </border>
    <border>
      <left style="thick">
        <color rgb="FF434343"/>
      </left>
      <top style="thin">
        <color rgb="FFFFE4D1"/>
      </top>
      <bottom style="thick">
        <color rgb="FF434343"/>
      </bottom>
    </border>
    <border>
      <top style="thin">
        <color rgb="FFFFE4D1"/>
      </top>
      <bottom style="thick">
        <color rgb="FF434343"/>
      </bottom>
    </border>
    <border>
      <right style="thin">
        <color rgb="FFFFE4D1"/>
      </right>
      <top style="thin">
        <color rgb="FFFFE4D1"/>
      </top>
      <bottom style="thick">
        <color rgb="FF434343"/>
      </bottom>
    </border>
    <border>
      <left style="thin">
        <color rgb="FFFFE4D1"/>
      </left>
      <right style="thick">
        <color rgb="FF434343"/>
      </right>
      <top style="thin">
        <color rgb="FFFFE4D1"/>
      </top>
      <bottom style="thick">
        <color rgb="FF434343"/>
      </bottom>
    </border>
    <border>
      <left style="thick">
        <color rgb="FF3E3A3A"/>
      </left>
      <right style="thin">
        <color rgb="FFE3BA20"/>
      </right>
      <bottom style="thin">
        <color rgb="FFE3BA20"/>
      </bottom>
    </border>
    <border>
      <left style="thin">
        <color rgb="FFE3BA20"/>
      </left>
      <right style="thin">
        <color rgb="FFE3BA20"/>
      </right>
      <bottom style="thin">
        <color rgb="FFE3BA20"/>
      </bottom>
    </border>
    <border>
      <left style="thin">
        <color rgb="FFE3BA20"/>
      </left>
      <top style="thin">
        <color rgb="FF3E3A3A"/>
      </top>
      <bottom style="thin">
        <color rgb="FFE3BA20"/>
      </bottom>
    </border>
    <border>
      <left style="medium">
        <color rgb="FF3E3A3A"/>
      </left>
      <right style="thick">
        <color rgb="FF3E3A3A"/>
      </right>
      <bottom style="thin">
        <color rgb="FFE3BA20"/>
      </bottom>
    </border>
    <border>
      <left style="thick">
        <color rgb="FF3E3A3A"/>
      </left>
      <right style="thin">
        <color rgb="FFE3BA20"/>
      </right>
      <top style="thin">
        <color rgb="FFE3BA20"/>
      </top>
      <bottom style="thin">
        <color rgb="FFE3BA20"/>
      </bottom>
    </border>
    <border>
      <left style="thin">
        <color rgb="FFE3BA20"/>
      </left>
      <right style="thin">
        <color rgb="FFE3BA20"/>
      </right>
      <top style="thin">
        <color rgb="FFE3BA20"/>
      </top>
      <bottom style="thin">
        <color rgb="FFE3BA20"/>
      </bottom>
    </border>
    <border>
      <left style="thin">
        <color rgb="FFE3BA20"/>
      </left>
      <top style="thin">
        <color rgb="FFE3BA20"/>
      </top>
      <bottom style="thin">
        <color rgb="FFE3BA20"/>
      </bottom>
    </border>
    <border>
      <left style="medium">
        <color rgb="FF3E3A3A"/>
      </left>
      <right style="thick">
        <color rgb="FF3E3A3A"/>
      </right>
      <top style="thin">
        <color rgb="FFE3BA20"/>
      </top>
      <bottom style="thin">
        <color rgb="FFE3BA20"/>
      </bottom>
    </border>
    <border>
      <left style="thick">
        <color rgb="FF3E3A3A"/>
      </left>
      <right style="thin">
        <color rgb="FFE3BA20"/>
      </right>
      <top style="thin">
        <color rgb="FFE3BA20"/>
      </top>
    </border>
    <border>
      <left style="thin">
        <color rgb="FFE3BA20"/>
      </left>
      <right style="thin">
        <color rgb="FFE3BA20"/>
      </right>
      <top style="thin">
        <color rgb="FFE3BA20"/>
      </top>
    </border>
    <border>
      <left style="thin">
        <color rgb="FFE3BA20"/>
      </left>
      <top style="thin">
        <color rgb="FFE3BA20"/>
      </top>
    </border>
    <border>
      <left style="medium">
        <color rgb="FF3E3A3A"/>
      </left>
      <right style="thick">
        <color rgb="FF3E3A3A"/>
      </right>
      <top style="thin">
        <color rgb="FFE3BA20"/>
      </top>
      <bottom style="medium">
        <color rgb="FF3E3A3A"/>
      </bottom>
    </border>
    <border>
      <left style="thick">
        <color rgb="FF3E3A3A"/>
      </left>
      <right style="thin">
        <color rgb="FFFFE4D1"/>
      </right>
      <top style="thin">
        <color rgb="FFFFE4D1"/>
      </top>
      <bottom style="thick">
        <color rgb="FF3E3A3A"/>
      </bottom>
    </border>
    <border>
      <left style="thin">
        <color rgb="FFFFE4D1"/>
      </left>
      <right style="thin">
        <color rgb="FFFFE4D1"/>
      </right>
      <top style="thin">
        <color rgb="FFFFE4D1"/>
      </top>
      <bottom style="thick">
        <color rgb="FF3E3A3A"/>
      </bottom>
    </border>
    <border>
      <left style="thin">
        <color rgb="FFFFE4D1"/>
      </left>
      <right style="thin">
        <color rgb="FFFFE4D1"/>
      </right>
      <bottom style="thick">
        <color rgb="FF3E3A3A"/>
      </bottom>
    </border>
    <border>
      <left style="thin">
        <color rgb="FFFFE4D1"/>
      </left>
      <right style="thick">
        <color rgb="FF3E3A3A"/>
      </right>
      <top style="thin">
        <color rgb="FFFFE4D1"/>
      </top>
      <bottom style="thick">
        <color rgb="FF3E3A3A"/>
      </bottom>
    </border>
    <border>
      <left style="thick">
        <color rgb="FF3E3A3A"/>
      </left>
      <right style="thin">
        <color rgb="FFDCEBE8"/>
      </right>
      <top style="thin">
        <color rgb="FFFFFFFF"/>
      </top>
      <bottom style="thin">
        <color rgb="FFDCEBE8"/>
      </bottom>
    </border>
    <border>
      <left style="thin">
        <color rgb="FFDCEBE8"/>
      </left>
      <right style="thin">
        <color rgb="FFDCEBE8"/>
      </right>
      <bottom style="thin">
        <color rgb="FFDCEBE8"/>
      </bottom>
    </border>
    <border>
      <left style="thin">
        <color rgb="FFDCEBE8"/>
      </left>
      <right style="thick">
        <color rgb="FF3E3A3A"/>
      </right>
      <top style="thin">
        <color rgb="FFFFFFFF"/>
      </top>
      <bottom style="thin">
        <color rgb="FFDCEBE8"/>
      </bottom>
    </border>
    <border>
      <left style="thick">
        <color rgb="FF3E3A3A"/>
      </left>
      <right style="thin">
        <color rgb="FFDCEBE8"/>
      </right>
      <top style="thin">
        <color rgb="FFDCEBE8"/>
      </top>
      <bottom style="thin">
        <color rgb="FFDCEBE8"/>
      </bottom>
    </border>
    <border>
      <left style="thin">
        <color rgb="FFDCEBE8"/>
      </left>
      <right style="thin">
        <color rgb="FFDCEBE8"/>
      </right>
      <top style="thin">
        <color rgb="FFDCEBE8"/>
      </top>
      <bottom style="thin">
        <color rgb="FFDCEBE8"/>
      </bottom>
    </border>
    <border>
      <left style="thin">
        <color rgb="FFDCEBE8"/>
      </left>
      <right style="thin">
        <color rgb="FFDCEBE8"/>
      </right>
      <top style="thin">
        <color rgb="FFDCEBE8"/>
      </top>
    </border>
    <border>
      <left style="thin">
        <color rgb="FFDCEBE8"/>
      </left>
      <top style="thin">
        <color rgb="FFDCEBE8"/>
      </top>
      <bottom style="thin">
        <color rgb="FFDCEBE8"/>
      </bottom>
    </border>
    <border>
      <top style="thin">
        <color rgb="FFDCEBE8"/>
      </top>
      <bottom style="thin">
        <color rgb="FFDCEBE8"/>
      </bottom>
    </border>
    <border>
      <right style="thin">
        <color rgb="FFDCEBE8"/>
      </right>
      <top style="thin">
        <color rgb="FFDCEBE8"/>
      </top>
      <bottom style="thin">
        <color rgb="FFDCEBE8"/>
      </bottom>
    </border>
    <border>
      <left style="thin">
        <color rgb="FFDCEBE8"/>
      </left>
      <right style="thick">
        <color rgb="FF3E3A3A"/>
      </right>
      <top style="thin">
        <color rgb="FFDCEBE8"/>
      </top>
      <bottom style="thin">
        <color rgb="FFDCEBE8"/>
      </bottom>
    </border>
    <border>
      <left style="thick">
        <color rgb="FF434343"/>
      </left>
      <bottom style="medium">
        <color rgb="FFDCEBE8"/>
      </bottom>
    </border>
    <border>
      <bottom style="medium">
        <color rgb="FFDCEBE8"/>
      </bottom>
    </border>
    <border>
      <right style="thick">
        <color rgb="FF434343"/>
      </right>
      <bottom style="medium">
        <color rgb="FFDCEBE8"/>
      </bottom>
    </border>
    <border>
      <left style="thin">
        <color rgb="FFDCEBE8"/>
      </left>
      <right style="thin">
        <color rgb="FFDCEBE8"/>
      </right>
    </border>
    <border>
      <left style="thick">
        <color rgb="FF434343"/>
      </left>
      <top style="medium">
        <color rgb="FFDCEBE8"/>
      </top>
      <bottom style="medium">
        <color rgb="FFDCEBE8"/>
      </bottom>
    </border>
    <border>
      <top style="medium">
        <color rgb="FFDCEBE8"/>
      </top>
      <bottom style="medium">
        <color rgb="FFDCEBE8"/>
      </bottom>
    </border>
    <border>
      <right style="thick">
        <color rgb="FF434343"/>
      </right>
      <top style="medium">
        <color rgb="FFDCEBE8"/>
      </top>
      <bottom style="medium">
        <color rgb="FFDCEBE8"/>
      </bottom>
    </border>
    <border>
      <left style="thick">
        <color rgb="FF434343"/>
      </left>
      <right style="medium">
        <color rgb="FFDCEBE8"/>
      </right>
      <top style="medium">
        <color rgb="FFDCEBE8"/>
      </top>
      <bottom style="medium">
        <color rgb="FFDCEBE8"/>
      </bottom>
    </border>
    <border>
      <left style="medium">
        <color rgb="FFDCEBE8"/>
      </left>
      <top style="medium">
        <color rgb="FFDCEBE8"/>
      </top>
      <bottom style="medium">
        <color rgb="FFDCEBE8"/>
      </bottom>
    </border>
    <border>
      <right style="medium">
        <color rgb="FFDCEBE8"/>
      </right>
      <top style="medium">
        <color rgb="FFDCEBE8"/>
      </top>
      <bottom style="medium">
        <color rgb="FFDCEBE8"/>
      </bottom>
    </border>
    <border>
      <left style="medium">
        <color rgb="FFDCEBE8"/>
      </left>
      <right style="thick">
        <color rgb="FF434343"/>
      </right>
      <top style="medium">
        <color rgb="FFDCEBE8"/>
      </top>
      <bottom style="medium">
        <color rgb="FFDCEBE8"/>
      </bottom>
    </border>
    <border>
      <left style="medium">
        <color rgb="FFDCEBE8"/>
      </left>
      <right style="medium">
        <color rgb="FFDCEBE8"/>
      </right>
      <top style="medium">
        <color rgb="FFDCEBE8"/>
      </top>
      <bottom style="medium">
        <color rgb="FFDCEBE8"/>
      </bottom>
    </border>
    <border>
      <left style="thick">
        <color rgb="FF434343"/>
      </left>
      <right style="medium">
        <color rgb="FFDCEBE8"/>
      </right>
      <top style="medium">
        <color rgb="FFDCEBE8"/>
      </top>
    </border>
    <border>
      <left style="medium">
        <color rgb="FFDCEBE8"/>
      </left>
      <right style="medium">
        <color rgb="FFDCEBE8"/>
      </right>
      <top style="medium">
        <color rgb="FFDCEBE8"/>
      </top>
    </border>
    <border>
      <left style="medium">
        <color rgb="FFDCEBE8"/>
      </left>
      <right style="thick">
        <color rgb="FF434343"/>
      </right>
      <top style="medium">
        <color rgb="FFDCEBE8"/>
      </top>
    </border>
    <border>
      <left style="thick">
        <color rgb="FF434343"/>
      </left>
      <top style="medium">
        <color rgb="FF434343"/>
      </top>
      <bottom style="thin">
        <color rgb="FFDCEBE8"/>
      </bottom>
    </border>
    <border>
      <top style="medium">
        <color rgb="FF434343"/>
      </top>
      <bottom style="thin">
        <color rgb="FFDCEBE8"/>
      </bottom>
    </border>
    <border>
      <right style="thick">
        <color rgb="FF434343"/>
      </right>
      <top style="medium">
        <color rgb="FF434343"/>
      </top>
      <bottom style="thin">
        <color rgb="FFDCEBE8"/>
      </bottom>
    </border>
    <border>
      <left style="thick">
        <color rgb="FF434343"/>
      </left>
      <top style="thin">
        <color rgb="FFDCEBE8"/>
      </top>
      <bottom style="thin">
        <color rgb="FFDCEBE8"/>
      </bottom>
    </border>
    <border>
      <right style="thick">
        <color rgb="FF434343"/>
      </right>
      <top style="thin">
        <color rgb="FFDCEBE8"/>
      </top>
      <bottom style="thin">
        <color rgb="FFDCEBE8"/>
      </bottom>
    </border>
    <border>
      <left style="thick">
        <color rgb="FF434343"/>
      </left>
      <top style="thin">
        <color rgb="FFDCEBE8"/>
      </top>
    </border>
    <border>
      <top style="thin">
        <color rgb="FFDCEBE8"/>
      </top>
    </border>
    <border>
      <right style="thin">
        <color rgb="FFDCEBE8"/>
      </right>
      <top style="thin">
        <color rgb="FFDCEBE8"/>
      </top>
    </border>
    <border>
      <left style="thin">
        <color rgb="FFDCEBE8"/>
      </left>
      <right style="thick">
        <color rgb="FF434343"/>
      </right>
      <top style="thin">
        <color rgb="FFDCEBE8"/>
      </top>
    </border>
    <border>
      <right style="thin">
        <color rgb="FFDCEBE8"/>
      </right>
      <top style="medium">
        <color rgb="FF434343"/>
      </top>
      <bottom style="thin">
        <color rgb="FFDCEBE8"/>
      </bottom>
    </border>
    <border>
      <left style="thin">
        <color rgb="FFDCEBE8"/>
      </left>
      <right style="thick">
        <color rgb="FF434343"/>
      </right>
      <top style="medium">
        <color rgb="FF434343"/>
      </top>
      <bottom style="thin">
        <color rgb="FFDCEBE8"/>
      </bottom>
    </border>
    <border>
      <left style="thin">
        <color rgb="FFDCEBE8"/>
      </left>
      <right style="thick">
        <color rgb="FF434343"/>
      </right>
      <top style="thin">
        <color rgb="FFDCEBE8"/>
      </top>
      <bottom style="thin">
        <color rgb="FFDCEBE8"/>
      </bottom>
    </border>
    <border>
      <left style="thick">
        <color rgb="FF434343"/>
      </left>
      <top style="thin">
        <color rgb="FFDCEBE8"/>
      </top>
      <bottom style="thick">
        <color rgb="FF434343"/>
      </bottom>
    </border>
    <border>
      <top style="thin">
        <color rgb="FFDCEBE8"/>
      </top>
      <bottom style="thick">
        <color rgb="FF434343"/>
      </bottom>
    </border>
    <border>
      <right style="thin">
        <color rgb="FFDCEBE8"/>
      </right>
      <top style="thin">
        <color rgb="FFDCEBE8"/>
      </top>
      <bottom style="thick">
        <color rgb="FF434343"/>
      </bottom>
    </border>
    <border>
      <left style="thin">
        <color rgb="FFDCEBE8"/>
      </left>
      <right style="thick">
        <color rgb="FF434343"/>
      </right>
      <top style="thin">
        <color rgb="FFDCEBE8"/>
      </top>
      <bottom style="thick">
        <color rgb="FF434343"/>
      </bottom>
    </border>
    <border>
      <left style="thick">
        <color rgb="FF3E3A3A"/>
      </left>
      <right style="thin">
        <color rgb="FF52A494"/>
      </right>
      <bottom style="thin">
        <color rgb="FF52A494"/>
      </bottom>
    </border>
    <border>
      <left style="thin">
        <color rgb="FF52A494"/>
      </left>
      <right style="thin">
        <color rgb="FF52A494"/>
      </right>
      <bottom style="thin">
        <color rgb="FF52A494"/>
      </bottom>
    </border>
    <border>
      <left style="thin">
        <color rgb="FF52A494"/>
      </left>
      <top style="thin">
        <color rgb="FF3E3A3A"/>
      </top>
      <bottom style="thin">
        <color rgb="FF52A494"/>
      </bottom>
    </border>
    <border>
      <left style="medium">
        <color rgb="FF3E3A3A"/>
      </left>
      <right style="thick">
        <color rgb="FF3E3A3A"/>
      </right>
      <bottom style="thin">
        <color rgb="FF52A494"/>
      </bottom>
    </border>
    <border>
      <left style="thick">
        <color rgb="FF3E3A3A"/>
      </left>
      <right style="thin">
        <color rgb="FF52A494"/>
      </right>
      <top style="thin">
        <color rgb="FF52A494"/>
      </top>
      <bottom style="thin">
        <color rgb="FF52A494"/>
      </bottom>
    </border>
    <border>
      <left style="thin">
        <color rgb="FF52A494"/>
      </left>
      <right style="thin">
        <color rgb="FF52A494"/>
      </right>
      <top style="thin">
        <color rgb="FF52A494"/>
      </top>
      <bottom style="thin">
        <color rgb="FF52A494"/>
      </bottom>
    </border>
    <border>
      <left style="thin">
        <color rgb="FF52A494"/>
      </left>
      <top style="thin">
        <color rgb="FF52A494"/>
      </top>
      <bottom style="thin">
        <color rgb="FF52A494"/>
      </bottom>
    </border>
    <border>
      <left style="medium">
        <color rgb="FF3E3A3A"/>
      </left>
      <right style="thick">
        <color rgb="FF3E3A3A"/>
      </right>
      <top style="thin">
        <color rgb="FF52A494"/>
      </top>
      <bottom style="thin">
        <color rgb="FF52A494"/>
      </bottom>
    </border>
    <border>
      <left style="thick">
        <color rgb="FF3E3A3A"/>
      </left>
      <right style="thin">
        <color rgb="FF52A494"/>
      </right>
      <top style="thin">
        <color rgb="FF52A494"/>
      </top>
    </border>
    <border>
      <left style="thin">
        <color rgb="FF52A494"/>
      </left>
      <right style="thin">
        <color rgb="FF52A494"/>
      </right>
      <top style="thin">
        <color rgb="FF52A494"/>
      </top>
    </border>
    <border>
      <left style="thin">
        <color rgb="FF52A494"/>
      </left>
      <top style="thin">
        <color rgb="FF52A494"/>
      </top>
    </border>
    <border>
      <left style="medium">
        <color rgb="FF3E3A3A"/>
      </left>
      <right style="thick">
        <color rgb="FF3E3A3A"/>
      </right>
      <top style="thin">
        <color rgb="FF52A494"/>
      </top>
      <bottom style="medium">
        <color rgb="FF3E3A3A"/>
      </bottom>
    </border>
    <border>
      <left style="thick">
        <color rgb="FF3E3A3A"/>
      </left>
      <right style="thin">
        <color rgb="FFDCEBE8"/>
      </right>
      <top style="thin">
        <color rgb="FFDCEBE8"/>
      </top>
      <bottom style="thick">
        <color rgb="FF3E3A3A"/>
      </bottom>
    </border>
    <border>
      <left style="thin">
        <color rgb="FFDCEBE8"/>
      </left>
      <right style="thin">
        <color rgb="FFDCEBE8"/>
      </right>
      <top style="thin">
        <color rgb="FFDCEBE8"/>
      </top>
      <bottom style="thick">
        <color rgb="FF3E3A3A"/>
      </bottom>
    </border>
    <border>
      <left style="thin">
        <color rgb="FFDCEBE8"/>
      </left>
      <right style="thin">
        <color rgb="FFDCEBE8"/>
      </right>
      <bottom style="thick">
        <color rgb="FF3E3A3A"/>
      </bottom>
    </border>
    <border>
      <left style="thin">
        <color rgb="FFDCEBE8"/>
      </left>
      <right style="thick">
        <color rgb="FF3E3A3A"/>
      </right>
      <top style="thin">
        <color rgb="FFDCEBE8"/>
      </top>
      <bottom style="thick">
        <color rgb="FF3E3A3A"/>
      </bottom>
    </border>
    <border>
      <left style="thick">
        <color rgb="FF3E3A3A"/>
      </left>
      <right style="thin">
        <color rgb="FFFFEFE8"/>
      </right>
      <bottom style="thin">
        <color rgb="FFFFEFE8"/>
      </bottom>
    </border>
    <border>
      <left style="thin">
        <color rgb="FFFFEFE8"/>
      </left>
      <right style="thin">
        <color rgb="FFFFEFE8"/>
      </right>
      <bottom style="thin">
        <color rgb="FFFFEFE8"/>
      </bottom>
    </border>
    <border>
      <left style="thin">
        <color rgb="FFFFEFE8"/>
      </left>
      <right style="thick">
        <color rgb="FF3E3A3A"/>
      </right>
      <bottom style="thin">
        <color rgb="FFFFEFE8"/>
      </bottom>
    </border>
    <border>
      <left style="thick">
        <color rgb="FF3E3A3A"/>
      </left>
      <right style="thin">
        <color rgb="FFFFEFE8"/>
      </right>
      <top style="thin">
        <color rgb="FFFFEFE8"/>
      </top>
      <bottom style="thin">
        <color rgb="FFFFEFE8"/>
      </bottom>
    </border>
    <border>
      <left style="thin">
        <color rgb="FFFFEFE8"/>
      </left>
      <right style="thin">
        <color rgb="FFFFEFE8"/>
      </right>
      <top style="thin">
        <color rgb="FFFFEFE8"/>
      </top>
      <bottom style="thin">
        <color rgb="FFFFEFE8"/>
      </bottom>
    </border>
    <border>
      <left style="thin">
        <color rgb="FFFFEFE8"/>
      </left>
      <top style="thin">
        <color rgb="FFFFEFE8"/>
      </top>
    </border>
    <border>
      <top style="thin">
        <color rgb="FFFFEFE8"/>
      </top>
    </border>
    <border>
      <right style="thin">
        <color rgb="FFFFEFE8"/>
      </right>
      <top style="thin">
        <color rgb="FFFFEFE8"/>
      </top>
    </border>
    <border>
      <left style="thin">
        <color rgb="FFFFEFE8"/>
      </left>
      <right style="thick">
        <color rgb="FF3E3A3A"/>
      </right>
      <top style="thin">
        <color rgb="FFFFEFE8"/>
      </top>
      <bottom style="thin">
        <color rgb="FFFFEFE8"/>
      </bottom>
    </border>
    <border>
      <left style="thin">
        <color rgb="FFFFEFE8"/>
      </left>
      <top style="thin">
        <color rgb="FFFFEFE8"/>
      </top>
      <bottom style="thin">
        <color rgb="FFFFEFE8"/>
      </bottom>
    </border>
    <border>
      <left style="thin">
        <color rgb="FFFFEFE8"/>
      </left>
      <right style="thin">
        <color rgb="FFFFEFE8"/>
      </right>
      <top style="thin">
        <color rgb="FFFFEFE8"/>
      </top>
    </border>
    <border>
      <top style="thin">
        <color rgb="FFFFEFE8"/>
      </top>
      <bottom style="thin">
        <color rgb="FFFFEFE8"/>
      </bottom>
    </border>
    <border>
      <right style="thin">
        <color rgb="FFFFEFE8"/>
      </right>
      <top style="thin">
        <color rgb="FFFFEFE8"/>
      </top>
      <bottom style="thin">
        <color rgb="FFFFEFE8"/>
      </bottom>
    </border>
    <border>
      <right style="thin">
        <color rgb="FFFFEFE8"/>
      </right>
    </border>
    <border>
      <left style="thick">
        <color rgb="FF434343"/>
      </left>
      <bottom style="medium">
        <color rgb="FFD7D3CF"/>
      </bottom>
    </border>
    <border>
      <bottom style="medium">
        <color rgb="FFD7D3CF"/>
      </bottom>
    </border>
    <border>
      <right style="thick">
        <color rgb="FF434343"/>
      </right>
      <bottom style="medium">
        <color rgb="FFD7D3CF"/>
      </bottom>
    </border>
    <border>
      <left style="thin">
        <color rgb="FFFFEFE8"/>
      </left>
      <right style="thin">
        <color rgb="FFFFEFE8"/>
      </right>
    </border>
    <border>
      <left style="thick">
        <color rgb="FF434343"/>
      </left>
      <top style="medium">
        <color rgb="FFD7D3CF"/>
      </top>
      <bottom style="medium">
        <color rgb="FFD7D3CF"/>
      </bottom>
    </border>
    <border>
      <top style="medium">
        <color rgb="FFD7D3CF"/>
      </top>
      <bottom style="medium">
        <color rgb="FFD7D3CF"/>
      </bottom>
    </border>
    <border>
      <right style="thick">
        <color rgb="FF434343"/>
      </right>
      <top style="medium">
        <color rgb="FFD7D3CF"/>
      </top>
      <bottom style="medium">
        <color rgb="FFD7D3CF"/>
      </bottom>
    </border>
    <border>
      <left style="thick">
        <color rgb="FF434343"/>
      </left>
      <right style="medium">
        <color rgb="FFD7D3CF"/>
      </right>
      <top style="medium">
        <color rgb="FFD7D3CF"/>
      </top>
      <bottom style="medium">
        <color rgb="FFD7D3CF"/>
      </bottom>
    </border>
    <border>
      <left style="medium">
        <color rgb="FFD7D3CF"/>
      </left>
      <right style="medium">
        <color rgb="FFD7D3CF"/>
      </right>
      <top style="medium">
        <color rgb="FFD7D3CF"/>
      </top>
      <bottom style="medium">
        <color rgb="FFD7D3CF"/>
      </bottom>
    </border>
    <border>
      <left style="medium">
        <color rgb="FFD7D3CF"/>
      </left>
      <right style="thick">
        <color rgb="FF434343"/>
      </right>
      <top style="medium">
        <color rgb="FFD7D3CF"/>
      </top>
      <bottom style="medium">
        <color rgb="FFD7D3CF"/>
      </bottom>
    </border>
    <border>
      <left style="medium">
        <color rgb="FFD7D3CF"/>
      </left>
      <top style="medium">
        <color rgb="FFD7D3CF"/>
      </top>
      <bottom style="medium">
        <color rgb="FFD7D3CF"/>
      </bottom>
    </border>
    <border>
      <right style="medium">
        <color rgb="FFD7D3CF"/>
      </right>
      <top style="medium">
        <color rgb="FFD7D3CF"/>
      </top>
      <bottom style="medium">
        <color rgb="FFD7D3CF"/>
      </bottom>
    </border>
    <border>
      <left style="thick">
        <color rgb="FF434343"/>
      </left>
      <right style="medium">
        <color rgb="FFD7D3CF"/>
      </right>
      <top style="medium">
        <color rgb="FFD7D3CF"/>
      </top>
    </border>
    <border>
      <left style="medium">
        <color rgb="FFD7D3CF"/>
      </left>
      <right style="medium">
        <color rgb="FFD7D3CF"/>
      </right>
      <top style="medium">
        <color rgb="FFD7D3CF"/>
      </top>
    </border>
    <border>
      <left style="medium">
        <color rgb="FFD7D3CF"/>
      </left>
      <right style="thick">
        <color rgb="FF434343"/>
      </right>
      <top style="medium">
        <color rgb="FFD7D3CF"/>
      </top>
    </border>
    <border>
      <left style="thick">
        <color rgb="FF434343"/>
      </left>
      <top style="medium">
        <color rgb="FF434343"/>
      </top>
      <bottom style="thin">
        <color rgb="FFD7D3CF"/>
      </bottom>
    </border>
    <border>
      <top style="medium">
        <color rgb="FF434343"/>
      </top>
      <bottom style="thin">
        <color rgb="FFD7D3CF"/>
      </bottom>
    </border>
    <border>
      <right style="thick">
        <color rgb="FF434343"/>
      </right>
      <top style="medium">
        <color rgb="FF434343"/>
      </top>
      <bottom style="thin">
        <color rgb="FFD7D3CF"/>
      </bottom>
    </border>
    <border>
      <left style="thick">
        <color rgb="FF434343"/>
      </left>
      <top style="thin">
        <color rgb="FFD7D3CF"/>
      </top>
      <bottom style="thin">
        <color rgb="FFD7D3CF"/>
      </bottom>
    </border>
    <border>
      <top style="thin">
        <color rgb="FFD7D3CF"/>
      </top>
      <bottom style="thin">
        <color rgb="FFD7D3CF"/>
      </bottom>
    </border>
    <border>
      <right style="thick">
        <color rgb="FF434343"/>
      </right>
      <top style="thin">
        <color rgb="FFD7D3CF"/>
      </top>
      <bottom style="thin">
        <color rgb="FFD7D3CF"/>
      </bottom>
    </border>
    <border>
      <left style="thick">
        <color rgb="FF434343"/>
      </left>
      <top style="thin">
        <color rgb="FFD7D3CF"/>
      </top>
    </border>
    <border>
      <top style="thin">
        <color rgb="FFD7D3CF"/>
      </top>
    </border>
    <border>
      <right style="thin">
        <color rgb="FFD7D3CF"/>
      </right>
      <top style="thin">
        <color rgb="FFD7D3CF"/>
      </top>
    </border>
    <border>
      <left style="thin">
        <color rgb="FFD7D3CF"/>
      </left>
      <right style="thick">
        <color rgb="FF434343"/>
      </right>
      <top style="thin">
        <color rgb="FFD7D3CF"/>
      </top>
    </border>
    <border>
      <right style="thin">
        <color rgb="FFD7D3CF"/>
      </right>
      <top style="medium">
        <color rgb="FF434343"/>
      </top>
      <bottom style="thin">
        <color rgb="FFD7D3CF"/>
      </bottom>
    </border>
    <border>
      <right style="thin">
        <color rgb="FFD7D3CF"/>
      </right>
      <top style="thin">
        <color rgb="FFD7D3CF"/>
      </top>
      <bottom style="thin">
        <color rgb="FFD7D3CF"/>
      </bottom>
    </border>
    <border>
      <bottom style="thin">
        <color rgb="FFFFEFE8"/>
      </bottom>
    </border>
    <border>
      <right style="thin">
        <color rgb="FFFFEFE8"/>
      </right>
      <bottom style="thin">
        <color rgb="FFFFEFE8"/>
      </bottom>
    </border>
    <border>
      <left style="thick">
        <color rgb="FF434343"/>
      </left>
      <top style="thin">
        <color rgb="FFD7D3CF"/>
      </top>
      <bottom style="thick">
        <color rgb="FF434343"/>
      </bottom>
    </border>
    <border>
      <top style="thin">
        <color rgb="FFD7D3CF"/>
      </top>
      <bottom style="thick">
        <color rgb="FF434343"/>
      </bottom>
    </border>
    <border>
      <right style="thin">
        <color rgb="FFD7D3CF"/>
      </right>
      <top style="thin">
        <color rgb="FFD7D3CF"/>
      </top>
      <bottom style="thick">
        <color rgb="FF434343"/>
      </bottom>
    </border>
    <border>
      <right style="thick">
        <color rgb="FF434343"/>
      </right>
      <top style="thin">
        <color rgb="FFD7D3CF"/>
      </top>
      <bottom style="thick">
        <color rgb="FF434343"/>
      </bottom>
    </border>
    <border>
      <left style="thick">
        <color rgb="FF3E3A3A"/>
      </left>
      <right style="thin">
        <color rgb="FF7A3209"/>
      </right>
      <bottom style="thin">
        <color rgb="FF7A3209"/>
      </bottom>
    </border>
    <border>
      <left style="thin">
        <color rgb="FF7A3209"/>
      </left>
      <right style="thin">
        <color rgb="FF7A3209"/>
      </right>
      <bottom style="thin">
        <color rgb="FF7A3209"/>
      </bottom>
    </border>
    <border>
      <left style="thin">
        <color rgb="FF7A3209"/>
      </left>
      <top style="thin">
        <color rgb="FF3E3A3A"/>
      </top>
      <bottom style="thin">
        <color rgb="FF7A3209"/>
      </bottom>
    </border>
    <border>
      <left style="medium">
        <color rgb="FF3E3A3A"/>
      </left>
      <right style="thick">
        <color rgb="FF3E3A3A"/>
      </right>
      <bottom style="thin">
        <color rgb="FF7A3209"/>
      </bottom>
    </border>
    <border>
      <left style="thick">
        <color rgb="FF3E3A3A"/>
      </left>
      <right style="thin">
        <color rgb="FF7A3209"/>
      </right>
      <top style="thin">
        <color rgb="FF7A3209"/>
      </top>
      <bottom style="thin">
        <color rgb="FF7A3209"/>
      </bottom>
    </border>
    <border>
      <left style="thin">
        <color rgb="FF7A3209"/>
      </left>
      <right style="thin">
        <color rgb="FF7A3209"/>
      </right>
      <top style="thin">
        <color rgb="FF7A3209"/>
      </top>
      <bottom style="thin">
        <color rgb="FF7A3209"/>
      </bottom>
    </border>
    <border>
      <left style="thin">
        <color rgb="FF7A3209"/>
      </left>
      <top style="thin">
        <color rgb="FF7A3209"/>
      </top>
      <bottom style="thin">
        <color rgb="FF7A3209"/>
      </bottom>
    </border>
    <border>
      <left style="medium">
        <color rgb="FF3E3A3A"/>
      </left>
      <right style="thick">
        <color rgb="FF3E3A3A"/>
      </right>
      <top style="thin">
        <color rgb="FF7A3209"/>
      </top>
      <bottom style="thin">
        <color rgb="FF7A3209"/>
      </bottom>
    </border>
    <border>
      <left style="thick">
        <color rgb="FF3E3A3A"/>
      </left>
      <right style="thin">
        <color rgb="FF7A3209"/>
      </right>
      <top style="thin">
        <color rgb="FF7A3209"/>
      </top>
    </border>
    <border>
      <left style="thin">
        <color rgb="FF7A3209"/>
      </left>
      <right style="thin">
        <color rgb="FF7A3209"/>
      </right>
      <top style="thin">
        <color rgb="FF7A3209"/>
      </top>
    </border>
    <border>
      <left style="thin">
        <color rgb="FF7A3209"/>
      </left>
      <top style="thin">
        <color rgb="FF7A3209"/>
      </top>
    </border>
    <border>
      <left style="medium">
        <color rgb="FF3E3A3A"/>
      </left>
      <right style="thick">
        <color rgb="FF3E3A3A"/>
      </right>
      <top style="thin">
        <color rgb="FF7A3209"/>
      </top>
      <bottom style="medium">
        <color rgb="FF3E3A3A"/>
      </bottom>
    </border>
    <border>
      <left style="thick">
        <color rgb="FF3E3A3A"/>
      </left>
      <right style="thin">
        <color rgb="FFFFEFE8"/>
      </right>
      <top style="thin">
        <color rgb="FFFFEFE8"/>
      </top>
      <bottom style="thick">
        <color rgb="FF3E3A3A"/>
      </bottom>
    </border>
    <border>
      <left style="thin">
        <color rgb="FFFFEFE8"/>
      </left>
      <right style="thin">
        <color rgb="FFFFEFE8"/>
      </right>
      <top style="thin">
        <color rgb="FFFFEFE8"/>
      </top>
      <bottom style="thick">
        <color rgb="FF3E3A3A"/>
      </bottom>
    </border>
    <border>
      <left style="thin">
        <color rgb="FFFFEFE8"/>
      </left>
      <right style="thin">
        <color rgb="FFFFEFE8"/>
      </right>
      <bottom style="thick">
        <color rgb="FF3E3A3A"/>
      </bottom>
    </border>
    <border>
      <left style="thin">
        <color rgb="FFFFEFE8"/>
      </left>
      <right style="thick">
        <color rgb="FF3E3A3A"/>
      </right>
      <top style="thin">
        <color rgb="FFFFEFE8"/>
      </top>
      <bottom style="thick">
        <color rgb="FF3E3A3A"/>
      </bottom>
    </border>
    <border>
      <left style="thick">
        <color rgb="FF3E3A3A"/>
      </left>
      <right style="thin">
        <color rgb="FFF0F2F7"/>
      </right>
      <bottom style="thin">
        <color rgb="FFF0F2F7"/>
      </bottom>
    </border>
    <border>
      <left style="thin">
        <color rgb="FFF0F2F7"/>
      </left>
      <right style="thin">
        <color rgb="FFF0F2F7"/>
      </right>
      <bottom style="thin">
        <color rgb="FFF0F2F7"/>
      </bottom>
    </border>
    <border>
      <left style="thin">
        <color rgb="FFF0F2F7"/>
      </left>
      <right style="thick">
        <color rgb="FF3E3A3A"/>
      </right>
      <bottom style="thin">
        <color rgb="FFF0F2F7"/>
      </bottom>
    </border>
    <border>
      <left style="thick">
        <color rgb="FF3E3A3A"/>
      </left>
      <right style="thin">
        <color rgb="FFF0F2F7"/>
      </right>
      <top style="thin">
        <color rgb="FFF0F2F7"/>
      </top>
      <bottom style="thin">
        <color rgb="FFF0F2F7"/>
      </bottom>
    </border>
    <border>
      <left style="thin">
        <color rgb="FFF0F2F7"/>
      </left>
      <right style="thin">
        <color rgb="FFF0F2F7"/>
      </right>
      <top style="thin">
        <color rgb="FFF0F2F7"/>
      </top>
      <bottom style="thin">
        <color rgb="FFF0F2F7"/>
      </bottom>
    </border>
    <border>
      <left style="thin">
        <color rgb="FFF0F2F7"/>
      </left>
      <top style="thin">
        <color rgb="FFF0F2F7"/>
      </top>
      <bottom style="thin">
        <color rgb="FFF0F2F7"/>
      </bottom>
    </border>
    <border>
      <top style="thin">
        <color rgb="FFF0F2F7"/>
      </top>
      <bottom style="thin">
        <color rgb="FFF0F2F7"/>
      </bottom>
    </border>
    <border>
      <right style="thin">
        <color rgb="FFF0F2F7"/>
      </right>
      <top style="thin">
        <color rgb="FFF0F2F7"/>
      </top>
      <bottom style="thin">
        <color rgb="FFF0F2F7"/>
      </bottom>
    </border>
    <border>
      <left style="thin">
        <color rgb="FFF0F2F7"/>
      </left>
      <right style="thick">
        <color rgb="FF3E3A3A"/>
      </right>
      <top style="thin">
        <color rgb="FFF0F2F7"/>
      </top>
      <bottom style="thin">
        <color rgb="FFF0F2F7"/>
      </bottom>
    </border>
    <border>
      <left style="thin">
        <color rgb="FFF0F2F7"/>
      </left>
      <right style="thin">
        <color rgb="FFF0F2F7"/>
      </right>
      <top style="thin">
        <color rgb="FFF0F2F7"/>
      </top>
    </border>
    <border>
      <left style="thick">
        <color rgb="FF434343"/>
      </left>
      <bottom style="medium">
        <color rgb="FFE4ECFF"/>
      </bottom>
    </border>
    <border>
      <bottom style="medium">
        <color rgb="FFE4ECFF"/>
      </bottom>
    </border>
    <border>
      <right style="thick">
        <color rgb="FF434343"/>
      </right>
      <bottom style="medium">
        <color rgb="FFE4ECFF"/>
      </bottom>
    </border>
    <border>
      <left style="thin">
        <color rgb="FFF0F2F7"/>
      </left>
      <right style="thin">
        <color rgb="FFF0F2F7"/>
      </right>
    </border>
    <border>
      <left style="thick">
        <color rgb="FF434343"/>
      </left>
      <bottom style="medium">
        <color rgb="FFF0F2F7"/>
      </bottom>
    </border>
    <border>
      <bottom style="medium">
        <color rgb="FFF0F2F7"/>
      </bottom>
    </border>
    <border>
      <right style="thick">
        <color rgb="FF434343"/>
      </right>
      <bottom style="medium">
        <color rgb="FFF0F2F7"/>
      </bottom>
    </border>
    <border>
      <left style="thick">
        <color rgb="FF434343"/>
      </left>
      <top style="medium">
        <color rgb="FFE4ECFF"/>
      </top>
      <bottom style="medium">
        <color rgb="FFE4ECFF"/>
      </bottom>
    </border>
    <border>
      <top style="medium">
        <color rgb="FFE4ECFF"/>
      </top>
      <bottom style="medium">
        <color rgb="FFE4ECFF"/>
      </bottom>
    </border>
    <border>
      <right style="thick">
        <color rgb="FF434343"/>
      </right>
      <top style="medium">
        <color rgb="FFE4ECFF"/>
      </top>
      <bottom style="medium">
        <color rgb="FFE4ECFF"/>
      </bottom>
    </border>
    <border>
      <left style="thick">
        <color rgb="FF434343"/>
      </left>
      <top style="medium">
        <color rgb="FFF0F2F7"/>
      </top>
      <bottom style="medium">
        <color rgb="FFF0F2F7"/>
      </bottom>
    </border>
    <border>
      <top style="medium">
        <color rgb="FFF0F2F7"/>
      </top>
      <bottom style="medium">
        <color rgb="FFF0F2F7"/>
      </bottom>
    </border>
    <border>
      <right style="thick">
        <color rgb="FF434343"/>
      </right>
      <top style="medium">
        <color rgb="FFF0F2F7"/>
      </top>
      <bottom style="medium">
        <color rgb="FFF0F2F7"/>
      </bottom>
    </border>
    <border>
      <left style="thick">
        <color rgb="FF434343"/>
      </left>
      <right style="medium">
        <color rgb="FFE4ECFF"/>
      </right>
      <top style="medium">
        <color rgb="FFE4ECFF"/>
      </top>
      <bottom style="medium">
        <color rgb="FFE4ECFF"/>
      </bottom>
    </border>
    <border>
      <left style="medium">
        <color rgb="FFE4ECFF"/>
      </left>
      <right style="medium">
        <color rgb="FFE4ECFF"/>
      </right>
      <top style="medium">
        <color rgb="FFE4ECFF"/>
      </top>
      <bottom style="medium">
        <color rgb="FFE4ECFF"/>
      </bottom>
    </border>
    <border>
      <left style="medium">
        <color rgb="FFE4ECFF"/>
      </left>
      <right style="thick">
        <color rgb="FF434343"/>
      </right>
      <top style="medium">
        <color rgb="FFE4ECFF"/>
      </top>
      <bottom style="medium">
        <color rgb="FFE4ECFF"/>
      </bottom>
    </border>
    <border>
      <left style="medium">
        <color rgb="FFE4ECFF"/>
      </left>
      <top style="medium">
        <color rgb="FFE4ECFF"/>
      </top>
      <bottom style="medium">
        <color rgb="FFE4ECFF"/>
      </bottom>
    </border>
    <border>
      <right style="medium">
        <color rgb="FFE4ECFF"/>
      </right>
      <top style="medium">
        <color rgb="FFE4ECFF"/>
      </top>
      <bottom style="medium">
        <color rgb="FFE4ECFF"/>
      </bottom>
    </border>
    <border>
      <left style="thick">
        <color rgb="FF434343"/>
      </left>
      <right style="medium">
        <color rgb="FFF0F2F7"/>
      </right>
      <top style="medium">
        <color rgb="FFF0F2F7"/>
      </top>
      <bottom style="medium">
        <color rgb="FFF0F2F7"/>
      </bottom>
    </border>
    <border>
      <left style="medium">
        <color rgb="FFF0F2F7"/>
      </left>
      <right style="medium">
        <color rgb="FFF0F2F7"/>
      </right>
      <top style="medium">
        <color rgb="FFF0F2F7"/>
      </top>
      <bottom style="medium">
        <color rgb="FFF0F2F7"/>
      </bottom>
    </border>
    <border>
      <left style="medium">
        <color rgb="FFF0F2F7"/>
      </left>
      <right style="thick">
        <color rgb="FF434343"/>
      </right>
      <top style="medium">
        <color rgb="FFF0F2F7"/>
      </top>
      <bottom style="medium">
        <color rgb="FFF0F2F7"/>
      </bottom>
    </border>
    <border>
      <left style="thick">
        <color rgb="FF434343"/>
      </left>
      <right style="medium">
        <color rgb="FFE4ECFF"/>
      </right>
      <top style="medium">
        <color rgb="FFE4ECFF"/>
      </top>
    </border>
    <border>
      <left style="medium">
        <color rgb="FFE4ECFF"/>
      </left>
      <right style="medium">
        <color rgb="FFE4ECFF"/>
      </right>
      <top style="medium">
        <color rgb="FFE4ECFF"/>
      </top>
    </border>
    <border>
      <left style="medium">
        <color rgb="FFE4ECFF"/>
      </left>
      <right style="thick">
        <color rgb="FF434343"/>
      </right>
      <top style="medium">
        <color rgb="FFE4ECFF"/>
      </top>
    </border>
    <border>
      <left style="thick">
        <color rgb="FF434343"/>
      </left>
      <right style="medium">
        <color rgb="FFF0F2F7"/>
      </right>
      <top style="medium">
        <color rgb="FFF0F2F7"/>
      </top>
    </border>
    <border>
      <left style="medium">
        <color rgb="FFF0F2F7"/>
      </left>
      <right style="medium">
        <color rgb="FFF0F2F7"/>
      </right>
      <top style="medium">
        <color rgb="FFF0F2F7"/>
      </top>
    </border>
    <border>
      <left style="medium">
        <color rgb="FFF0F2F7"/>
      </left>
      <right style="thick">
        <color rgb="FF434343"/>
      </right>
      <top style="medium">
        <color rgb="FFF0F2F7"/>
      </top>
    </border>
    <border>
      <left style="thick">
        <color rgb="FF434343"/>
      </left>
      <top style="medium">
        <color rgb="FF434343"/>
      </top>
      <bottom style="thin">
        <color rgb="FFE4ECFF"/>
      </bottom>
    </border>
    <border>
      <top style="medium">
        <color rgb="FF434343"/>
      </top>
      <bottom style="thin">
        <color rgb="FFE4ECFF"/>
      </bottom>
    </border>
    <border>
      <right style="thick">
        <color rgb="FF434343"/>
      </right>
      <top style="medium">
        <color rgb="FF434343"/>
      </top>
      <bottom style="thin">
        <color rgb="FFE4ECFF"/>
      </bottom>
    </border>
    <border>
      <left style="thick">
        <color rgb="FF434343"/>
      </left>
      <top style="medium">
        <color rgb="FF434343"/>
      </top>
      <bottom style="thin">
        <color rgb="FFF0F2F7"/>
      </bottom>
    </border>
    <border>
      <top style="medium">
        <color rgb="FF434343"/>
      </top>
      <bottom style="thin">
        <color rgb="FFF0F2F7"/>
      </bottom>
    </border>
    <border>
      <right style="thick">
        <color rgb="FF434343"/>
      </right>
      <top style="medium">
        <color rgb="FF434343"/>
      </top>
      <bottom style="thin">
        <color rgb="FFF0F2F7"/>
      </bottom>
    </border>
    <border>
      <left style="thick">
        <color rgb="FF434343"/>
      </left>
      <top style="thin">
        <color rgb="FFE4ECFF"/>
      </top>
      <bottom style="thin">
        <color rgb="FFE4ECFF"/>
      </bottom>
    </border>
    <border>
      <top style="thin">
        <color rgb="FFE4ECFF"/>
      </top>
      <bottom style="thin">
        <color rgb="FFE4ECFF"/>
      </bottom>
    </border>
    <border>
      <right style="thick">
        <color rgb="FF434343"/>
      </right>
      <top style="thin">
        <color rgb="FFE4ECFF"/>
      </top>
      <bottom style="thin">
        <color rgb="FFE4ECFF"/>
      </bottom>
    </border>
    <border>
      <left style="thick">
        <color rgb="FF434343"/>
      </left>
      <top style="thin">
        <color rgb="FFF0F2F7"/>
      </top>
      <bottom style="thin">
        <color rgb="FFF0F2F7"/>
      </bottom>
    </border>
    <border>
      <right style="thick">
        <color rgb="FF434343"/>
      </right>
      <top style="thin">
        <color rgb="FFF0F2F7"/>
      </top>
      <bottom style="thin">
        <color rgb="FFF0F2F7"/>
      </bottom>
    </border>
    <border>
      <left style="thick">
        <color rgb="FF434343"/>
      </left>
      <top style="thin">
        <color rgb="FFE4ECFF"/>
      </top>
    </border>
    <border>
      <top style="thin">
        <color rgb="FFE4ECFF"/>
      </top>
    </border>
    <border>
      <right style="thin">
        <color rgb="FFE4ECFF"/>
      </right>
      <top style="thin">
        <color rgb="FFE4ECFF"/>
      </top>
    </border>
    <border>
      <left style="thin">
        <color rgb="FFE4ECFF"/>
      </left>
      <right style="thick">
        <color rgb="FF434343"/>
      </right>
      <top style="thin">
        <color rgb="FFE4ECFF"/>
      </top>
    </border>
    <border>
      <left style="thick">
        <color rgb="FF434343"/>
      </left>
      <top style="thin">
        <color rgb="FFF0F2F7"/>
      </top>
    </border>
    <border>
      <top style="thin">
        <color rgb="FFF0F2F7"/>
      </top>
    </border>
    <border>
      <right style="thin">
        <color rgb="FFF0F2F7"/>
      </right>
      <top style="thin">
        <color rgb="FFF0F2F7"/>
      </top>
    </border>
    <border>
      <left style="thin">
        <color rgb="FFF0F2F7"/>
      </left>
      <right style="thick">
        <color rgb="FF434343"/>
      </right>
      <top style="thin">
        <color rgb="FFF0F2F7"/>
      </top>
    </border>
    <border>
      <right style="thin">
        <color rgb="FFE4ECFF"/>
      </right>
      <top style="medium">
        <color rgb="FF434343"/>
      </top>
      <bottom style="thin">
        <color rgb="FFE4ECFF"/>
      </bottom>
    </border>
    <border>
      <right style="thin">
        <color rgb="FFF0F2F7"/>
      </right>
      <top style="medium">
        <color rgb="FF434343"/>
      </top>
      <bottom style="thin">
        <color rgb="FFF0F2F7"/>
      </bottom>
    </border>
    <border>
      <right style="thin">
        <color rgb="FFE4ECFF"/>
      </right>
      <top style="thin">
        <color rgb="FFE4ECFF"/>
      </top>
      <bottom style="thin">
        <color rgb="FFE4ECFF"/>
      </bottom>
    </border>
    <border>
      <left style="thick">
        <color rgb="FF434343"/>
      </left>
      <top style="thin">
        <color rgb="FFE4ECFF"/>
      </top>
      <bottom style="thick">
        <color rgb="FF434343"/>
      </bottom>
    </border>
    <border>
      <top style="thin">
        <color rgb="FFE4ECFF"/>
      </top>
      <bottom style="thick">
        <color rgb="FF434343"/>
      </bottom>
    </border>
    <border>
      <right style="thin">
        <color rgb="FFE4ECFF"/>
      </right>
      <top style="thin">
        <color rgb="FFE4ECFF"/>
      </top>
      <bottom style="thick">
        <color rgb="FF434343"/>
      </bottom>
    </border>
    <border>
      <right style="thick">
        <color rgb="FF434343"/>
      </right>
      <top style="thin">
        <color rgb="FFE4ECFF"/>
      </top>
      <bottom style="thick">
        <color rgb="FF434343"/>
      </bottom>
    </border>
    <border>
      <left style="thick">
        <color rgb="FF434343"/>
      </left>
      <top style="thin">
        <color rgb="FFF0F2F7"/>
      </top>
      <bottom style="thick">
        <color rgb="FF434343"/>
      </bottom>
    </border>
    <border>
      <top style="thin">
        <color rgb="FFF0F2F7"/>
      </top>
      <bottom style="thick">
        <color rgb="FF434343"/>
      </bottom>
    </border>
    <border>
      <right style="thin">
        <color rgb="FFF0F2F7"/>
      </right>
      <top style="thin">
        <color rgb="FFF0F2F7"/>
      </top>
      <bottom style="thick">
        <color rgb="FF434343"/>
      </bottom>
    </border>
    <border>
      <right style="thick">
        <color rgb="FF434343"/>
      </right>
      <top style="thin">
        <color rgb="FFF0F2F7"/>
      </top>
      <bottom style="thick">
        <color rgb="FF434343"/>
      </bottom>
    </border>
    <border>
      <left style="thick">
        <color rgb="FF3E3A3A"/>
      </left>
      <right style="thin">
        <color rgb="FF4461B0"/>
      </right>
      <bottom style="thin">
        <color rgb="FF4461B0"/>
      </bottom>
    </border>
    <border>
      <left style="thin">
        <color rgb="FF4461B0"/>
      </left>
      <right style="thin">
        <color rgb="FF4461B0"/>
      </right>
      <bottom style="thin">
        <color rgb="FF4461B0"/>
      </bottom>
    </border>
    <border>
      <left style="thin">
        <color rgb="FF4461B0"/>
      </left>
      <top style="thin">
        <color rgb="FF3E3A3A"/>
      </top>
      <bottom style="thin">
        <color rgb="FF4461B0"/>
      </bottom>
    </border>
    <border>
      <left style="medium">
        <color rgb="FF3E3A3A"/>
      </left>
      <right style="thick">
        <color rgb="FF3E3A3A"/>
      </right>
      <bottom style="thin">
        <color rgb="FF4461B0"/>
      </bottom>
    </border>
    <border>
      <left style="thick">
        <color rgb="FF3E3A3A"/>
      </left>
      <right style="thin">
        <color rgb="FF6A7BAC"/>
      </right>
      <bottom style="thin">
        <color rgb="FF6A7BAC"/>
      </bottom>
    </border>
    <border>
      <left style="thin">
        <color rgb="FF6A7BAC"/>
      </left>
      <right style="thin">
        <color rgb="FF6A7BAC"/>
      </right>
      <bottom style="thin">
        <color rgb="FF6A7BAC"/>
      </bottom>
    </border>
    <border>
      <left style="thin">
        <color rgb="FF6A7BAC"/>
      </left>
      <top style="thin">
        <color rgb="FF3E3A3A"/>
      </top>
      <bottom style="thin">
        <color rgb="FF6A7BAC"/>
      </bottom>
    </border>
    <border>
      <left style="medium">
        <color rgb="FF3E3A3A"/>
      </left>
      <right style="thick">
        <color rgb="FF3E3A3A"/>
      </right>
      <bottom style="thin">
        <color rgb="FF6A7BAC"/>
      </bottom>
    </border>
    <border>
      <left style="thick">
        <color rgb="FF3E3A3A"/>
      </left>
      <right style="thin">
        <color rgb="FF4461B0"/>
      </right>
      <top style="thin">
        <color rgb="FF4461B0"/>
      </top>
      <bottom style="thin">
        <color rgb="FF4461B0"/>
      </bottom>
    </border>
    <border>
      <left style="thin">
        <color rgb="FF4461B0"/>
      </left>
      <right style="thin">
        <color rgb="FF4461B0"/>
      </right>
      <top style="thin">
        <color rgb="FF4461B0"/>
      </top>
      <bottom style="thin">
        <color rgb="FF4461B0"/>
      </bottom>
    </border>
    <border>
      <left style="thin">
        <color rgb="FF4461B0"/>
      </left>
      <top style="thin">
        <color rgb="FF4461B0"/>
      </top>
      <bottom style="thin">
        <color rgb="FF4461B0"/>
      </bottom>
    </border>
    <border>
      <left style="medium">
        <color rgb="FF3E3A3A"/>
      </left>
      <right style="thick">
        <color rgb="FF3E3A3A"/>
      </right>
      <top style="thin">
        <color rgb="FF4461B0"/>
      </top>
      <bottom style="thin">
        <color rgb="FF4461B0"/>
      </bottom>
    </border>
    <border>
      <left style="thick">
        <color rgb="FF3E3A3A"/>
      </left>
      <right style="thin">
        <color rgb="FF6A7BAC"/>
      </right>
      <top style="thin">
        <color rgb="FF6A7BAC"/>
      </top>
      <bottom style="thin">
        <color rgb="FF6A7BAC"/>
      </bottom>
    </border>
    <border>
      <left style="thin">
        <color rgb="FF6A7BAC"/>
      </left>
      <right style="thin">
        <color rgb="FF6A7BAC"/>
      </right>
      <top style="thin">
        <color rgb="FF6A7BAC"/>
      </top>
      <bottom style="thin">
        <color rgb="FF6A7BAC"/>
      </bottom>
    </border>
    <border>
      <left style="thin">
        <color rgb="FF6A7BAC"/>
      </left>
      <top style="thin">
        <color rgb="FF6A7BAC"/>
      </top>
      <bottom style="thin">
        <color rgb="FF6A7BAC"/>
      </bottom>
    </border>
    <border>
      <left style="medium">
        <color rgb="FF3E3A3A"/>
      </left>
      <right style="thick">
        <color rgb="FF3E3A3A"/>
      </right>
      <top style="thin">
        <color rgb="FF6A7BAC"/>
      </top>
      <bottom style="thin">
        <color rgb="FF6A7BAC"/>
      </bottom>
    </border>
    <border>
      <left style="thick">
        <color rgb="FF3E3A3A"/>
      </left>
      <right style="thin">
        <color rgb="FF4461B0"/>
      </right>
      <top style="thin">
        <color rgb="FF4461B0"/>
      </top>
    </border>
    <border>
      <left style="thin">
        <color rgb="FF4461B0"/>
      </left>
      <right style="thin">
        <color rgb="FF4461B0"/>
      </right>
      <top style="thin">
        <color rgb="FF4461B0"/>
      </top>
    </border>
    <border>
      <left style="thin">
        <color rgb="FF4461B0"/>
      </left>
      <top style="thin">
        <color rgb="FF4461B0"/>
      </top>
    </border>
    <border>
      <left style="medium">
        <color rgb="FF3E3A3A"/>
      </left>
      <right style="thick">
        <color rgb="FF3E3A3A"/>
      </right>
      <top style="thin">
        <color rgb="FF4461B0"/>
      </top>
      <bottom style="medium">
        <color rgb="FF3E3A3A"/>
      </bottom>
    </border>
    <border>
      <left style="thick">
        <color rgb="FF3E3A3A"/>
      </left>
      <right style="thin">
        <color rgb="FF6A7BAC"/>
      </right>
      <top style="thin">
        <color rgb="FF6A7BAC"/>
      </top>
    </border>
    <border>
      <left style="thin">
        <color rgb="FF6A7BAC"/>
      </left>
      <right style="thin">
        <color rgb="FF6A7BAC"/>
      </right>
      <top style="thin">
        <color rgb="FF6A7BAC"/>
      </top>
    </border>
    <border>
      <left style="thin">
        <color rgb="FF6A7BAC"/>
      </left>
      <top style="thin">
        <color rgb="FF6A7BAC"/>
      </top>
    </border>
    <border>
      <left style="medium">
        <color rgb="FF3E3A3A"/>
      </left>
      <right style="thick">
        <color rgb="FF3E3A3A"/>
      </right>
      <top style="thin">
        <color rgb="FF6A7BAC"/>
      </top>
      <bottom style="medium">
        <color rgb="FF3E3A3A"/>
      </bottom>
    </border>
    <border>
      <left style="thick">
        <color rgb="FF3E3A3A"/>
      </left>
      <right style="thin">
        <color rgb="FFF0F2F7"/>
      </right>
      <top style="thin">
        <color rgb="FFF0F2F7"/>
      </top>
      <bottom style="thick">
        <color rgb="FF3E3A3A"/>
      </bottom>
    </border>
    <border>
      <left style="thin">
        <color rgb="FFF0F2F7"/>
      </left>
      <right style="thin">
        <color rgb="FFF0F2F7"/>
      </right>
      <top style="thin">
        <color rgb="FFF0F2F7"/>
      </top>
      <bottom style="thick">
        <color rgb="FF3E3A3A"/>
      </bottom>
    </border>
    <border>
      <left style="thin">
        <color rgb="FFF0F2F7"/>
      </left>
      <right style="thin">
        <color rgb="FFF0F2F7"/>
      </right>
      <bottom style="thick">
        <color rgb="FF3E3A3A"/>
      </bottom>
    </border>
    <border>
      <left style="thin">
        <color rgb="FFF0F2F7"/>
      </left>
      <right style="thick">
        <color rgb="FF3E3A3A"/>
      </right>
      <top style="thin">
        <color rgb="FFF0F2F7"/>
      </top>
      <bottom style="thick">
        <color rgb="FF3E3A3A"/>
      </bottom>
    </border>
    <border>
      <left style="thick">
        <color rgb="FF434343"/>
      </left>
      <top style="thick">
        <color rgb="FF3E3A3A"/>
      </top>
      <bottom style="medium">
        <color rgb="FF3E3A3A"/>
      </bottom>
    </border>
    <border>
      <right style="thick">
        <color rgb="FF434343"/>
      </right>
      <top style="thick">
        <color rgb="FF3E3A3A"/>
      </top>
      <bottom style="medium">
        <color rgb="FF3E3A3A"/>
      </bottom>
    </border>
    <border>
      <right style="thin">
        <color rgb="FFDCEBE8"/>
      </right>
    </border>
    <border>
      <bottom style="thin">
        <color rgb="FFDCEBE8"/>
      </bottom>
    </border>
    <border>
      <right style="thick">
        <color rgb="FF434343"/>
      </right>
      <top style="thin">
        <color rgb="FFDCEBE8"/>
      </top>
      <bottom style="thick">
        <color rgb="FF434343"/>
      </bottom>
    </border>
    <border>
      <right style="thin">
        <color rgb="FFDCEBE8"/>
      </right>
      <bottom style="thin">
        <color rgb="FFDCEBE8"/>
      </bottom>
    </border>
    <border>
      <left style="thick">
        <color rgb="FF3E3A3A"/>
      </left>
      <right style="thin">
        <color rgb="FFDCEBE8"/>
      </right>
      <top style="thin">
        <color rgb="FFDCEBE8"/>
      </top>
    </border>
    <border>
      <left style="thin">
        <color rgb="FFDCEBE8"/>
      </left>
      <right style="thick">
        <color rgb="FF3E3A3A"/>
      </right>
      <top style="thin">
        <color rgb="FFDCEBE8"/>
      </top>
    </border>
    <border>
      <left style="thick">
        <color rgb="FF3E3A3A"/>
      </left>
      <right style="thin">
        <color rgb="FFD9D9D9"/>
      </right>
      <bottom style="thin">
        <color rgb="FFD9D9D9"/>
      </bottom>
    </border>
    <border>
      <left style="thin">
        <color rgb="FFD9D9D9"/>
      </left>
      <right style="thin">
        <color rgb="FFD9D9D9"/>
      </right>
      <bottom style="thin">
        <color rgb="FFD9D9D9"/>
      </bottom>
    </border>
    <border>
      <left style="thin">
        <color rgb="FFD9D9D9"/>
      </left>
      <right style="thick">
        <color rgb="FF3E3A3A"/>
      </right>
      <bottom style="thin">
        <color rgb="FFD9D9D9"/>
      </bottom>
    </border>
    <border>
      <left style="thick">
        <color rgb="FF3E3A3A"/>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ck">
        <color rgb="FF3E3A3A"/>
      </right>
      <top style="thin">
        <color rgb="FFD9D9D9"/>
      </top>
      <bottom style="thin">
        <color rgb="FFD9D9D9"/>
      </bottom>
    </border>
    <border>
      <left style="thin">
        <color rgb="FFD9D9D9"/>
      </left>
      <right style="thin">
        <color rgb="FFD9D9D9"/>
      </right>
      <top style="thin">
        <color rgb="FFD9D9D9"/>
      </top>
    </border>
    <border>
      <left style="thick">
        <color rgb="FF434343"/>
      </left>
      <bottom style="thin">
        <color rgb="FFD9D9D9"/>
      </bottom>
    </border>
    <border>
      <bottom style="thin">
        <color rgb="FFD9D9D9"/>
      </bottom>
    </border>
    <border>
      <right style="thick">
        <color rgb="FF434343"/>
      </right>
      <bottom style="thin">
        <color rgb="FFD9D9D9"/>
      </bottom>
    </border>
    <border>
      <left style="thin">
        <color rgb="FFD9D9D9"/>
      </left>
      <right style="thin">
        <color rgb="FFD9D9D9"/>
      </right>
    </border>
    <border>
      <left style="thick">
        <color rgb="FF434343"/>
      </left>
      <top style="thin">
        <color rgb="FFD9D9D9"/>
      </top>
      <bottom style="thin">
        <color rgb="FFD9D9D9"/>
      </bottom>
    </border>
    <border>
      <right style="thick">
        <color rgb="FF434343"/>
      </right>
      <top style="thin">
        <color rgb="FFD9D9D9"/>
      </top>
      <bottom style="thin">
        <color rgb="FFD9D9D9"/>
      </bottom>
    </border>
    <border>
      <left style="thick">
        <color rgb="FF434343"/>
      </left>
      <right style="thin">
        <color rgb="FFD9D9D9"/>
      </right>
      <top style="thin">
        <color rgb="FFD9D9D9"/>
      </top>
      <bottom style="thin">
        <color rgb="FFD9D9D9"/>
      </bottom>
    </border>
    <border>
      <left style="thin">
        <color rgb="FFD9D9D9"/>
      </left>
      <right style="thick">
        <color rgb="FF434343"/>
      </right>
      <top style="thin">
        <color rgb="FFD9D9D9"/>
      </top>
      <bottom style="thin">
        <color rgb="FFD9D9D9"/>
      </bottom>
    </border>
    <border>
      <left style="thick">
        <color rgb="FF434343"/>
      </left>
      <right style="medium">
        <color rgb="FFD9D9D9"/>
      </right>
    </border>
    <border>
      <left style="medium">
        <color rgb="FFD9D9D9"/>
      </left>
      <right style="medium">
        <color rgb="FFD9D9D9"/>
      </right>
    </border>
    <border>
      <left style="medium">
        <color rgb="FFD9D9D9"/>
      </left>
      <right style="thick">
        <color rgb="FF434343"/>
      </right>
    </border>
    <border>
      <left style="thick">
        <color rgb="FF434343"/>
      </left>
      <top style="medium">
        <color rgb="FF434343"/>
      </top>
      <bottom style="thin">
        <color rgb="FFD9D9D9"/>
      </bottom>
    </border>
    <border>
      <top style="medium">
        <color rgb="FF434343"/>
      </top>
      <bottom style="thin">
        <color rgb="FFD9D9D9"/>
      </bottom>
    </border>
    <border>
      <right style="thick">
        <color rgb="FF434343"/>
      </right>
      <top style="medium">
        <color rgb="FF434343"/>
      </top>
      <bottom style="thin">
        <color rgb="FFD9D9D9"/>
      </bottom>
    </border>
    <border>
      <left style="thick">
        <color rgb="FF434343"/>
      </left>
      <top style="thin">
        <color rgb="FFD9D9D9"/>
      </top>
    </border>
    <border>
      <top style="thin">
        <color rgb="FFD9D9D9"/>
      </top>
    </border>
    <border>
      <right style="thin">
        <color rgb="FFD9D9D9"/>
      </right>
      <top style="thin">
        <color rgb="FFD9D9D9"/>
      </top>
    </border>
    <border>
      <left style="thin">
        <color rgb="FFD9D9D9"/>
      </left>
      <right style="thick">
        <color rgb="FF434343"/>
      </right>
      <top style="thin">
        <color rgb="FFD9D9D9"/>
      </top>
    </border>
    <border>
      <right style="thin">
        <color rgb="FFD9D9D9"/>
      </right>
      <top style="medium">
        <color rgb="FF434343"/>
      </top>
      <bottom style="thin">
        <color rgb="FFD9D9D9"/>
      </bottom>
    </border>
    <border>
      <left style="thick">
        <color rgb="FF434343"/>
      </left>
      <top style="thin">
        <color rgb="FFD9D9D9"/>
      </top>
      <bottom style="thick">
        <color rgb="FF434343"/>
      </bottom>
    </border>
    <border>
      <top style="thin">
        <color rgb="FFD9D9D9"/>
      </top>
      <bottom style="thick">
        <color rgb="FF434343"/>
      </bottom>
    </border>
    <border>
      <right style="thin">
        <color rgb="FFD9D9D9"/>
      </right>
      <top style="thin">
        <color rgb="FFD9D9D9"/>
      </top>
      <bottom style="thick">
        <color rgb="FF434343"/>
      </bottom>
    </border>
    <border>
      <right style="thick">
        <color rgb="FF434343"/>
      </right>
      <top style="thin">
        <color rgb="FFD9D9D9"/>
      </top>
      <bottom style="thick">
        <color rgb="FF434343"/>
      </bottom>
    </border>
    <border>
      <left style="thick">
        <color rgb="FF3E3A3A"/>
      </left>
      <right style="thin">
        <color rgb="FF434343"/>
      </right>
      <bottom style="thin">
        <color rgb="FF434343"/>
      </bottom>
    </border>
    <border>
      <left style="thin">
        <color rgb="FF434343"/>
      </left>
      <right style="thin">
        <color rgb="FF434343"/>
      </right>
      <bottom style="thin">
        <color rgb="FF434343"/>
      </bottom>
    </border>
    <border>
      <left style="thin">
        <color rgb="FF434343"/>
      </left>
      <top style="thin">
        <color rgb="FF3E3A3A"/>
      </top>
      <bottom style="thin">
        <color rgb="FF434343"/>
      </bottom>
    </border>
    <border>
      <left style="medium">
        <color rgb="FF3E3A3A"/>
      </left>
      <right style="thick">
        <color rgb="FF3E3A3A"/>
      </right>
      <bottom style="thin">
        <color rgb="FF434343"/>
      </bottom>
    </border>
    <border>
      <left style="thick">
        <color rgb="FF3E3A3A"/>
      </left>
      <right style="thin">
        <color rgb="FF434343"/>
      </righ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left style="medium">
        <color rgb="FF3E3A3A"/>
      </left>
      <right style="thick">
        <color rgb="FF3E3A3A"/>
      </right>
      <top style="thin">
        <color rgb="FF434343"/>
      </top>
      <bottom style="thin">
        <color rgb="FF434343"/>
      </bottom>
    </border>
    <border>
      <left style="thick">
        <color rgb="FF3E3A3A"/>
      </left>
      <right style="thin">
        <color rgb="FF434343"/>
      </right>
      <top style="thin">
        <color rgb="FF434343"/>
      </top>
    </border>
    <border>
      <left style="thin">
        <color rgb="FF434343"/>
      </left>
      <right style="thin">
        <color rgb="FF434343"/>
      </right>
      <top style="thin">
        <color rgb="FF434343"/>
      </top>
    </border>
    <border>
      <left style="thin">
        <color rgb="FF434343"/>
      </left>
      <top style="thin">
        <color rgb="FF434343"/>
      </top>
    </border>
    <border>
      <left style="thick">
        <color rgb="FF3E3A3A"/>
      </left>
      <right style="thin">
        <color rgb="FFD9D9D9"/>
      </right>
      <top style="thin">
        <color rgb="FFD9D9D9"/>
      </top>
      <bottom style="thick">
        <color rgb="FF3E3A3A"/>
      </bottom>
    </border>
    <border>
      <left style="thin">
        <color rgb="FFD9D9D9"/>
      </left>
      <right style="thin">
        <color rgb="FFD9D9D9"/>
      </right>
      <top style="thin">
        <color rgb="FFD9D9D9"/>
      </top>
      <bottom style="thick">
        <color rgb="FF3E3A3A"/>
      </bottom>
    </border>
    <border>
      <left style="thin">
        <color rgb="FFD9D9D9"/>
      </left>
      <right style="thin">
        <color rgb="FFD9D9D9"/>
      </right>
      <bottom style="thick">
        <color rgb="FF3E3A3A"/>
      </bottom>
    </border>
    <border>
      <left style="thin">
        <color rgb="FFD9D9D9"/>
      </left>
      <right style="thick">
        <color rgb="FF3E3A3A"/>
      </right>
      <top style="thin">
        <color rgb="FFD9D9D9"/>
      </top>
      <bottom style="thick">
        <color rgb="FF3E3A3A"/>
      </bottom>
    </border>
    <border>
      <left style="thick">
        <color rgb="FF3E3A3A"/>
      </left>
      <right style="thin">
        <color rgb="FFFFFDCD"/>
      </right>
      <bottom style="thin">
        <color rgb="FFFFFDCD"/>
      </bottom>
    </border>
    <border>
      <left style="thin">
        <color rgb="FFFFFDCD"/>
      </left>
      <right style="thin">
        <color rgb="FFFFFDCD"/>
      </right>
      <bottom style="thin">
        <color rgb="FFFFFDCD"/>
      </bottom>
    </border>
    <border>
      <left style="thin">
        <color rgb="FFFFFDCD"/>
      </left>
      <right style="thick">
        <color rgb="FF3E3A3A"/>
      </right>
      <bottom style="thin">
        <color rgb="FFFFFDCD"/>
      </bottom>
    </border>
    <border>
      <left style="thick">
        <color rgb="FF3E3A3A"/>
      </left>
      <right style="thin">
        <color rgb="FFFFFDCD"/>
      </right>
      <top style="thin">
        <color rgb="FFFFFDCD"/>
      </top>
      <bottom style="thin">
        <color rgb="FFFFFDCD"/>
      </bottom>
    </border>
    <border>
      <left style="thin">
        <color rgb="FFFFFDCD"/>
      </left>
      <right style="thin">
        <color rgb="FFFFFDCD"/>
      </right>
      <top style="thin">
        <color rgb="FFFFFDCD"/>
      </top>
      <bottom style="thin">
        <color rgb="FFFFFDCD"/>
      </bottom>
    </border>
    <border>
      <left style="thin">
        <color rgb="FFFFFDCD"/>
      </left>
      <top style="thin">
        <color rgb="FFFFFDCD"/>
      </top>
      <bottom style="thin">
        <color rgb="FFFFFDCD"/>
      </bottom>
    </border>
    <border>
      <top style="thin">
        <color rgb="FFFFFDCD"/>
      </top>
      <bottom style="thin">
        <color rgb="FFFFFDCD"/>
      </bottom>
    </border>
    <border>
      <right style="thin">
        <color rgb="FFFFFDCD"/>
      </right>
      <top style="thin">
        <color rgb="FFFFFDCD"/>
      </top>
      <bottom style="thin">
        <color rgb="FFFFFDCD"/>
      </bottom>
    </border>
    <border>
      <left style="thin">
        <color rgb="FFFFFDCD"/>
      </left>
      <right style="thick">
        <color rgb="FF3E3A3A"/>
      </right>
      <top style="thin">
        <color rgb="FFFFFDCD"/>
      </top>
      <bottom style="thin">
        <color rgb="FFFFFDCD"/>
      </bottom>
    </border>
    <border>
      <left style="thin">
        <color rgb="FFFFFDCD"/>
      </left>
      <right style="thin">
        <color rgb="FFFFFDCD"/>
      </right>
      <top style="thin">
        <color rgb="FFFFFDCD"/>
      </top>
    </border>
    <border>
      <left style="thick">
        <color rgb="FF434343"/>
      </left>
      <bottom style="medium">
        <color rgb="FFFFFDCD"/>
      </bottom>
    </border>
    <border>
      <bottom style="medium">
        <color rgb="FFFFFDCD"/>
      </bottom>
    </border>
    <border>
      <right style="thick">
        <color rgb="FF434343"/>
      </right>
      <bottom style="medium">
        <color rgb="FFFFFDCD"/>
      </bottom>
    </border>
    <border>
      <left style="thin">
        <color rgb="FFFFFDCD"/>
      </left>
      <right style="thin">
        <color rgb="FFFFFDCD"/>
      </right>
    </border>
    <border>
      <left style="thick">
        <color rgb="FF434343"/>
      </left>
      <top style="medium">
        <color rgb="FFFFFDCD"/>
      </top>
      <bottom style="medium">
        <color rgb="FFFFFDCD"/>
      </bottom>
    </border>
    <border>
      <top style="medium">
        <color rgb="FFFFFDCD"/>
      </top>
      <bottom style="medium">
        <color rgb="FFFFFDCD"/>
      </bottom>
    </border>
    <border>
      <right style="thick">
        <color rgb="FF434343"/>
      </right>
      <top style="medium">
        <color rgb="FFFFFDCD"/>
      </top>
      <bottom style="medium">
        <color rgb="FFFFFDCD"/>
      </bottom>
    </border>
    <border>
      <left style="thick">
        <color rgb="FF434343"/>
      </left>
      <right style="medium">
        <color rgb="FFFFFDCD"/>
      </right>
      <top style="medium">
        <color rgb="FFFFFDCD"/>
      </top>
      <bottom style="medium">
        <color rgb="FFFFFDCD"/>
      </bottom>
    </border>
    <border>
      <left style="medium">
        <color rgb="FFFFFDCD"/>
      </left>
      <right style="medium">
        <color rgb="FFFFFDCD"/>
      </right>
      <top style="medium">
        <color rgb="FFFFFDCD"/>
      </top>
      <bottom style="medium">
        <color rgb="FFFFFDCD"/>
      </bottom>
    </border>
    <border>
      <left style="medium">
        <color rgb="FFFFFDCD"/>
      </left>
      <right style="thick">
        <color rgb="FF434343"/>
      </right>
      <top style="medium">
        <color rgb="FFFFFDCD"/>
      </top>
      <bottom style="medium">
        <color rgb="FFFFFDCD"/>
      </bottom>
    </border>
    <border>
      <left style="thick">
        <color rgb="FF434343"/>
      </left>
      <right style="medium">
        <color rgb="FFFFFDCD"/>
      </right>
      <top style="medium">
        <color rgb="FFFFFDCD"/>
      </top>
    </border>
    <border>
      <left style="medium">
        <color rgb="FFFFFDCD"/>
      </left>
      <right style="medium">
        <color rgb="FFFFFDCD"/>
      </right>
      <top style="medium">
        <color rgb="FFFFFDCD"/>
      </top>
    </border>
    <border>
      <left style="medium">
        <color rgb="FFFFFDCD"/>
      </left>
      <right style="thick">
        <color rgb="FF434343"/>
      </right>
      <top style="medium">
        <color rgb="FFFFFDCD"/>
      </top>
    </border>
    <border>
      <left style="thick">
        <color rgb="FF434343"/>
      </left>
      <top style="medium">
        <color rgb="FF434343"/>
      </top>
      <bottom style="thin">
        <color rgb="FFFFFDCD"/>
      </bottom>
    </border>
    <border>
      <top style="medium">
        <color rgb="FF434343"/>
      </top>
      <bottom style="thin">
        <color rgb="FFFFFDCD"/>
      </bottom>
    </border>
    <border>
      <right style="thick">
        <color rgb="FF434343"/>
      </right>
      <top style="medium">
        <color rgb="FF434343"/>
      </top>
      <bottom style="thin">
        <color rgb="FFFFFDCD"/>
      </bottom>
    </border>
    <border>
      <left style="thick">
        <color rgb="FF434343"/>
      </left>
      <top style="thin">
        <color rgb="FFFFFDCD"/>
      </top>
      <bottom style="thin">
        <color rgb="FFFFFDCD"/>
      </bottom>
    </border>
    <border>
      <right style="thick">
        <color rgb="FF434343"/>
      </right>
      <top style="thin">
        <color rgb="FFFFFDCD"/>
      </top>
      <bottom style="thin">
        <color rgb="FFFFFDCD"/>
      </bottom>
    </border>
    <border>
      <left style="thick">
        <color rgb="FF434343"/>
      </left>
      <top style="thin">
        <color rgb="FFFFFDCD"/>
      </top>
    </border>
    <border>
      <top style="thin">
        <color rgb="FFFFFDCD"/>
      </top>
    </border>
    <border>
      <right style="thin">
        <color rgb="FFFFFDCD"/>
      </right>
      <top style="thin">
        <color rgb="FFFFFDCD"/>
      </top>
    </border>
    <border>
      <left style="thin">
        <color rgb="FFFFFDCD"/>
      </left>
      <right style="thick">
        <color rgb="FF434343"/>
      </right>
      <top style="thin">
        <color rgb="FFFFFDCD"/>
      </top>
    </border>
    <border>
      <right style="thin">
        <color rgb="FFFFFDCD"/>
      </right>
      <top style="medium">
        <color rgb="FF434343"/>
      </top>
      <bottom style="thin">
        <color rgb="FFFFFDCD"/>
      </bottom>
    </border>
    <border>
      <left style="thin">
        <color rgb="FFFFFDCD"/>
      </left>
      <right style="thick">
        <color rgb="FF434343"/>
      </right>
      <top style="medium">
        <color rgb="FF434343"/>
      </top>
      <bottom style="thin">
        <color rgb="FFFFFDCD"/>
      </bottom>
    </border>
    <border>
      <left style="thin">
        <color rgb="FFFFFDCD"/>
      </left>
      <right style="thick">
        <color rgb="FF434343"/>
      </right>
      <top style="thin">
        <color rgb="FFFFFDCD"/>
      </top>
      <bottom style="thin">
        <color rgb="FFFFFDCD"/>
      </bottom>
    </border>
    <border>
      <left style="thick">
        <color rgb="FF434343"/>
      </left>
      <top style="thin">
        <color rgb="FFFFFDCD"/>
      </top>
      <bottom style="thick">
        <color rgb="FF434343"/>
      </bottom>
    </border>
    <border>
      <top style="thin">
        <color rgb="FFFFFDCD"/>
      </top>
      <bottom style="thick">
        <color rgb="FF434343"/>
      </bottom>
    </border>
    <border>
      <right style="thin">
        <color rgb="FFFFFDCD"/>
      </right>
      <top style="thin">
        <color rgb="FFFFFDCD"/>
      </top>
      <bottom style="thick">
        <color rgb="FF434343"/>
      </bottom>
    </border>
    <border>
      <left style="thin">
        <color rgb="FFFFFDCD"/>
      </left>
      <right style="thick">
        <color rgb="FF434343"/>
      </right>
      <top style="thin">
        <color rgb="FFFFFDCD"/>
      </top>
      <bottom style="thick">
        <color rgb="FF434343"/>
      </bottom>
    </border>
    <border>
      <left style="thick">
        <color rgb="FF3E3A3A"/>
      </left>
      <right style="thin">
        <color rgb="FF859BA6"/>
      </right>
      <bottom style="thin">
        <color rgb="FF859BA6"/>
      </bottom>
    </border>
    <border>
      <left style="thin">
        <color rgb="FF859BA6"/>
      </left>
      <right style="thin">
        <color rgb="FF859BA6"/>
      </right>
      <bottom style="thin">
        <color rgb="FF859BA6"/>
      </bottom>
    </border>
    <border>
      <left style="thin">
        <color rgb="FF859BA6"/>
      </left>
      <top style="thin">
        <color rgb="FF3E3A3A"/>
      </top>
      <bottom style="thin">
        <color rgb="FF859BA6"/>
      </bottom>
    </border>
    <border>
      <left style="medium">
        <color rgb="FF3E3A3A"/>
      </left>
      <right style="thick">
        <color rgb="FF3E3A3A"/>
      </right>
      <bottom style="thin">
        <color rgb="FF859BA6"/>
      </bottom>
    </border>
    <border>
      <left style="thick">
        <color rgb="FF3E3A3A"/>
      </left>
      <right style="thin">
        <color rgb="FF859BA6"/>
      </right>
      <top style="thin">
        <color rgb="FF859BA6"/>
      </top>
      <bottom style="thin">
        <color rgb="FF859BA6"/>
      </bottom>
    </border>
    <border>
      <left style="thin">
        <color rgb="FF859BA6"/>
      </left>
      <right style="thin">
        <color rgb="FF859BA6"/>
      </right>
      <top style="thin">
        <color rgb="FF859BA6"/>
      </top>
      <bottom style="thin">
        <color rgb="FF859BA6"/>
      </bottom>
    </border>
    <border>
      <left style="thin">
        <color rgb="FF859BA6"/>
      </left>
      <top style="thin">
        <color rgb="FF859BA6"/>
      </top>
      <bottom style="thin">
        <color rgb="FF859BA6"/>
      </bottom>
    </border>
    <border>
      <left style="medium">
        <color rgb="FF3E3A3A"/>
      </left>
      <right style="thick">
        <color rgb="FF3E3A3A"/>
      </right>
      <top style="thin">
        <color rgb="FF859BA6"/>
      </top>
      <bottom style="thin">
        <color rgb="FF859BA6"/>
      </bottom>
    </border>
    <border>
      <left style="thick">
        <color rgb="FF3E3A3A"/>
      </left>
      <right style="thin">
        <color rgb="FF859BA6"/>
      </right>
      <top style="thin">
        <color rgb="FF859BA6"/>
      </top>
    </border>
    <border>
      <left style="thin">
        <color rgb="FF859BA6"/>
      </left>
      <right style="thin">
        <color rgb="FF859BA6"/>
      </right>
      <top style="thin">
        <color rgb="FF859BA6"/>
      </top>
    </border>
    <border>
      <left style="thin">
        <color rgb="FF859BA6"/>
      </left>
      <top style="thin">
        <color rgb="FF859BA6"/>
      </top>
    </border>
    <border>
      <left style="medium">
        <color rgb="FF3E3A3A"/>
      </left>
      <right style="thick">
        <color rgb="FF3E3A3A"/>
      </right>
      <top style="thin">
        <color rgb="FF859BA6"/>
      </top>
      <bottom style="thin">
        <color rgb="FF434343"/>
      </bottom>
    </border>
    <border>
      <left style="thick">
        <color rgb="FF3E3A3A"/>
      </left>
      <right style="thin">
        <color rgb="FFFFFDCD"/>
      </right>
      <top style="thin">
        <color rgb="FFFFFDCD"/>
      </top>
      <bottom style="thick">
        <color rgb="FF3E3A3A"/>
      </bottom>
    </border>
    <border>
      <left style="thin">
        <color rgb="FFFFFDCD"/>
      </left>
      <right style="thin">
        <color rgb="FFFFFDCD"/>
      </right>
      <top style="thin">
        <color rgb="FFFFFDCD"/>
      </top>
      <bottom style="thick">
        <color rgb="FF3E3A3A"/>
      </bottom>
    </border>
    <border>
      <left style="thin">
        <color rgb="FFFFFDCD"/>
      </left>
      <right style="thick">
        <color rgb="FF3E3A3A"/>
      </right>
      <top style="thin">
        <color rgb="FFFFFDCD"/>
      </top>
      <bottom style="thick">
        <color rgb="FF3E3A3A"/>
      </bottom>
    </border>
    <border>
      <left style="thin">
        <color rgb="FFDCEBE8"/>
      </left>
      <top style="thin">
        <color rgb="FFDCEBE8"/>
      </top>
    </border>
    <border>
      <left style="thick">
        <color rgb="FF3E3A3A"/>
      </left>
      <right style="thin">
        <color rgb="FFDCEBE8"/>
      </right>
      <top style="thin">
        <color rgb="FFDCEBE8"/>
      </top>
      <bottom style="thin">
        <color rgb="FFFFF8EE"/>
      </bottom>
    </border>
    <border>
      <left style="thin">
        <color rgb="FFDCEBE8"/>
      </left>
      <right style="thin">
        <color rgb="FFDCEBE8"/>
      </right>
      <top style="thin">
        <color rgb="FFDCEBE8"/>
      </top>
      <bottom style="thin">
        <color rgb="FFFFF8EE"/>
      </bottom>
    </border>
    <border>
      <left style="thin">
        <color rgb="FFDCEBE8"/>
      </left>
      <top style="thin">
        <color rgb="FFDCEBE8"/>
      </top>
      <bottom style="thin">
        <color rgb="FFFFF8EE"/>
      </bottom>
    </border>
    <border>
      <right style="thin">
        <color rgb="FFDCEBE8"/>
      </right>
      <top style="thin">
        <color rgb="FFDCEBE8"/>
      </top>
      <bottom style="thin">
        <color rgb="FFFFF8EE"/>
      </bottom>
    </border>
    <border>
      <left style="thin">
        <color rgb="FFDCEBE8"/>
      </left>
      <right style="thick">
        <color rgb="FF3E3A3A"/>
      </right>
      <top style="thin">
        <color rgb="FFDCEBE8"/>
      </top>
      <bottom style="thin">
        <color rgb="FFFFF8EE"/>
      </bottom>
    </border>
    <border>
      <left style="thick">
        <color rgb="FF3E3A3A"/>
      </left>
      <right style="thin">
        <color rgb="FFFFF8EE"/>
      </right>
      <top style="thin">
        <color rgb="FFFFF8EE"/>
      </top>
      <bottom style="thin">
        <color rgb="FFFFF8EE"/>
      </bottom>
    </border>
    <border>
      <left style="thin">
        <color rgb="FFFFF8EE"/>
      </left>
      <right style="thin">
        <color rgb="FFFFF8EE"/>
      </right>
      <top style="thin">
        <color rgb="FFFFF8EE"/>
      </top>
      <bottom style="thin">
        <color rgb="FFFFF8EE"/>
      </bottom>
    </border>
    <border>
      <left style="thin">
        <color rgb="FFFFF8EE"/>
      </left>
      <top style="thin">
        <color rgb="FFFFF8EE"/>
      </top>
      <bottom style="thin">
        <color rgb="FFFFF8EE"/>
      </bottom>
    </border>
    <border>
      <right style="thin">
        <color rgb="FFFFF8EE"/>
      </right>
      <top style="thin">
        <color rgb="FFFFF8EE"/>
      </top>
      <bottom style="thin">
        <color rgb="FFFFF8EE"/>
      </bottom>
    </border>
    <border>
      <left style="thin">
        <color rgb="FFFFF8EE"/>
      </left>
      <right style="thick">
        <color rgb="FF3E3A3A"/>
      </right>
      <top style="thin">
        <color rgb="FFFFF8EE"/>
      </top>
      <bottom style="thin">
        <color rgb="FFFFF8EE"/>
      </bottom>
    </border>
    <border>
      <left style="thin">
        <color rgb="FFFFF8EE"/>
      </left>
      <right style="thin">
        <color rgb="FFFFF8EE"/>
      </right>
      <bottom style="thin">
        <color rgb="FFFFF8EE"/>
      </bottom>
    </border>
    <border>
      <left style="thick">
        <color rgb="FF3E3A3A"/>
      </left>
      <right style="thin">
        <color rgb="FFFFF8EE"/>
      </right>
      <top style="thin">
        <color rgb="FFFFF8EE"/>
      </top>
      <bottom style="thin">
        <color rgb="FFEDE4DA"/>
      </bottom>
    </border>
    <border>
      <left style="thin">
        <color rgb="FFFFF8EE"/>
      </left>
      <right style="thin">
        <color rgb="FFFFF8EE"/>
      </right>
      <top style="thin">
        <color rgb="FFFFF8EE"/>
      </top>
      <bottom style="thin">
        <color rgb="FFEDE4DA"/>
      </bottom>
    </border>
    <border>
      <left style="thin">
        <color rgb="FFFFF8EE"/>
      </left>
      <top style="thin">
        <color rgb="FFFFF8EE"/>
      </top>
    </border>
    <border>
      <top style="thin">
        <color rgb="FFFFF8EE"/>
      </top>
    </border>
    <border>
      <right style="thin">
        <color rgb="FFFFF8EE"/>
      </right>
      <top style="thin">
        <color rgb="FFFFF8EE"/>
      </top>
    </border>
    <border>
      <left style="thin">
        <color rgb="FFFFF8EE"/>
      </left>
      <right style="thick">
        <color rgb="FF3E3A3A"/>
      </right>
      <top style="thin">
        <color rgb="FFFFF8EE"/>
      </top>
    </border>
    <border>
      <left style="thick">
        <color rgb="FF3E3A3A"/>
      </left>
      <right style="thin">
        <color rgb="FFEDE4DA"/>
      </right>
      <top style="thin">
        <color rgb="FFEDE4DA"/>
      </top>
      <bottom style="thin">
        <color rgb="FFEDE4DA"/>
      </bottom>
    </border>
    <border>
      <left style="thin">
        <color rgb="FFEDE4DA"/>
      </left>
      <top style="thin">
        <color rgb="FFEDE4DA"/>
      </top>
      <bottom style="thin">
        <color rgb="FFFFF8EE"/>
      </bottom>
    </border>
    <border>
      <right style="thin">
        <color rgb="FFEDE4DA"/>
      </right>
      <top style="thin">
        <color rgb="FFFFF8EE"/>
      </top>
    </border>
    <border>
      <left style="thin">
        <color rgb="FFEDE4DA"/>
      </left>
      <right style="thin">
        <color rgb="FFFFF8EE"/>
      </right>
      <top style="thin">
        <color rgb="FFFFF8EE"/>
      </top>
    </border>
    <border>
      <top style="thin">
        <color rgb="FFFFF8EE"/>
      </top>
      <bottom style="thin">
        <color rgb="FFFFF8EE"/>
      </bottom>
    </border>
    <border>
      <left style="thin">
        <color rgb="FFFFF8EE"/>
      </left>
      <right style="thin">
        <color rgb="FFFFF8EE"/>
      </right>
      <top style="thin">
        <color rgb="FFFFF8EE"/>
      </top>
    </border>
    <border>
      <left style="thin">
        <color rgb="FFEDE4DA"/>
      </left>
      <right style="thin">
        <color rgb="FFEDE4DA"/>
      </right>
      <top style="thin">
        <color rgb="FFFFF8EE"/>
      </top>
      <bottom style="thin">
        <color rgb="FFFFF8EE"/>
      </bottom>
    </border>
    <border>
      <left style="thick">
        <color rgb="FF434343"/>
      </left>
      <bottom style="medium">
        <color rgb="FFFFF8EE"/>
      </bottom>
    </border>
    <border>
      <bottom style="medium">
        <color rgb="FFFFF8EE"/>
      </bottom>
    </border>
    <border>
      <right style="thick">
        <color rgb="FF434343"/>
      </right>
      <bottom style="medium">
        <color rgb="FFFFF8EE"/>
      </bottom>
    </border>
    <border>
      <right style="thin">
        <color rgb="FFEDE4DA"/>
      </right>
    </border>
    <border>
      <left style="thin">
        <color rgb="FFEDE4DA"/>
      </left>
      <right style="thin">
        <color rgb="FFFFF8EE"/>
      </right>
    </border>
    <border>
      <left style="thin">
        <color rgb="FFFFF8EE"/>
      </left>
      <right style="thin">
        <color rgb="FFFFF8EE"/>
      </right>
    </border>
    <border>
      <left style="thick">
        <color rgb="FF434343"/>
      </left>
      <top style="medium">
        <color rgb="FFFFF8EE"/>
      </top>
      <bottom style="medium">
        <color rgb="FFFFF8EE"/>
      </bottom>
    </border>
    <border>
      <top style="medium">
        <color rgb="FFFFF8EE"/>
      </top>
      <bottom style="medium">
        <color rgb="FFFFF8EE"/>
      </bottom>
    </border>
    <border>
      <right style="thick">
        <color rgb="FF434343"/>
      </right>
      <top style="medium">
        <color rgb="FFFFF8EE"/>
      </top>
      <bottom style="medium">
        <color rgb="FFFFF8EE"/>
      </bottom>
    </border>
    <border>
      <left style="thick">
        <color rgb="FF434343"/>
      </left>
      <right style="medium">
        <color rgb="FFFFF8EE"/>
      </right>
      <top style="medium">
        <color rgb="FFFFF8EE"/>
      </top>
      <bottom style="medium">
        <color rgb="FFFFF8EE"/>
      </bottom>
    </border>
    <border>
      <left style="medium">
        <color rgb="FFFFF8EE"/>
      </left>
      <right style="medium">
        <color rgb="FFFFF8EE"/>
      </right>
      <top style="medium">
        <color rgb="FFFFF8EE"/>
      </top>
      <bottom style="medium">
        <color rgb="FFFFF8EE"/>
      </bottom>
    </border>
    <border>
      <left style="medium">
        <color rgb="FFFFF8EE"/>
      </left>
      <right style="thick">
        <color rgb="FF434343"/>
      </right>
      <top style="medium">
        <color rgb="FFFFF8EE"/>
      </top>
      <bottom style="medium">
        <color rgb="FFFFF8EE"/>
      </bottom>
    </border>
    <border>
      <left style="thick">
        <color rgb="FF3E3A3A"/>
      </left>
      <right style="thin">
        <color rgb="FFFFF8EE"/>
      </right>
      <top style="thin">
        <color rgb="FFEDE4DA"/>
      </top>
      <bottom style="thin">
        <color rgb="FFFFF8EE"/>
      </bottom>
    </border>
    <border>
      <left style="thin">
        <color rgb="FFFFF8EE"/>
      </left>
      <right style="thin">
        <color rgb="FFFFF8EE"/>
      </right>
      <top style="thin">
        <color rgb="FFDCEBE8"/>
      </top>
      <bottom style="thin">
        <color rgb="FFFFF8EE"/>
      </bottom>
    </border>
    <border>
      <left style="thin">
        <color rgb="FFFFF8EE"/>
      </left>
      <right style="thin">
        <color rgb="FFEDE4DA"/>
      </right>
      <top style="thin">
        <color rgb="FFFFF8EE"/>
      </top>
      <bottom style="thin">
        <color rgb="FFFFF8EE"/>
      </bottom>
    </border>
    <border>
      <left style="thick">
        <color rgb="FF434343"/>
      </left>
      <right style="medium">
        <color rgb="FFFFF8EE"/>
      </right>
      <top style="medium">
        <color rgb="FFFFF8EE"/>
      </top>
    </border>
    <border>
      <left style="medium">
        <color rgb="FFFFF8EE"/>
      </left>
      <right style="medium">
        <color rgb="FFFFF8EE"/>
      </right>
      <top style="medium">
        <color rgb="FFFFF8EE"/>
      </top>
    </border>
    <border>
      <left style="medium">
        <color rgb="FFFFF8EE"/>
      </left>
      <right style="thick">
        <color rgb="FF434343"/>
      </right>
      <top style="medium">
        <color rgb="FFFFF8EE"/>
      </top>
    </border>
    <border>
      <left style="thick">
        <color rgb="FF434343"/>
      </left>
      <top style="medium">
        <color rgb="FF434343"/>
      </top>
      <bottom style="thin">
        <color rgb="FFFFF8EE"/>
      </bottom>
    </border>
    <border>
      <top style="medium">
        <color rgb="FF434343"/>
      </top>
      <bottom style="thin">
        <color rgb="FFFFF8EE"/>
      </bottom>
    </border>
    <border>
      <right style="thick">
        <color rgb="FF434343"/>
      </right>
      <top style="medium">
        <color rgb="FF434343"/>
      </top>
      <bottom style="thin">
        <color rgb="FFFFF8EE"/>
      </bottom>
    </border>
    <border>
      <left style="thick">
        <color rgb="FF434343"/>
      </left>
      <top style="thin">
        <color rgb="FFFFF8EE"/>
      </top>
      <bottom style="thin">
        <color rgb="FFFFF8EE"/>
      </bottom>
    </border>
    <border>
      <right style="thick">
        <color rgb="FF434343"/>
      </right>
      <top style="thin">
        <color rgb="FFFFF8EE"/>
      </top>
      <bottom style="thin">
        <color rgb="FFFFF8EE"/>
      </bottom>
    </border>
    <border>
      <left style="thick">
        <color rgb="FF434343"/>
      </left>
      <top style="thin">
        <color rgb="FFFFF8EE"/>
      </top>
    </border>
    <border>
      <left style="thin">
        <color rgb="FFFFF8EE"/>
      </left>
      <right style="thick">
        <color rgb="FF434343"/>
      </right>
      <top style="thin">
        <color rgb="FFFFF8EE"/>
      </top>
    </border>
    <border>
      <right style="thin">
        <color rgb="FFFFF8EE"/>
      </right>
      <top style="medium">
        <color rgb="FF434343"/>
      </top>
      <bottom style="thin">
        <color rgb="FFFFF8EE"/>
      </bottom>
    </border>
    <border>
      <left style="thin">
        <color rgb="FFFFF8EE"/>
      </left>
      <right style="thick">
        <color rgb="FF434343"/>
      </right>
      <top style="medium">
        <color rgb="FF434343"/>
      </top>
      <bottom style="thin">
        <color rgb="FFFFF8EE"/>
      </bottom>
    </border>
    <border>
      <left style="thin">
        <color rgb="FFFFF8EE"/>
      </left>
      <right style="thick">
        <color rgb="FF434343"/>
      </right>
      <top style="thin">
        <color rgb="FFFFF8EE"/>
      </top>
      <bottom style="thin">
        <color rgb="FFFFF8EE"/>
      </bottom>
    </border>
    <border>
      <left style="thick">
        <color rgb="FF434343"/>
      </left>
      <top style="thin">
        <color rgb="FFFFF8EE"/>
      </top>
      <bottom style="thick">
        <color rgb="FF3E3A3A"/>
      </bottom>
    </border>
    <border>
      <top style="thin">
        <color rgb="FFFFF8EE"/>
      </top>
      <bottom style="thick">
        <color rgb="FF3E3A3A"/>
      </bottom>
    </border>
    <border>
      <right style="thin">
        <color rgb="FFFFF8EE"/>
      </right>
      <top style="thin">
        <color rgb="FFFFF8EE"/>
      </top>
      <bottom style="thick">
        <color rgb="FF3E3A3A"/>
      </bottom>
    </border>
    <border>
      <left style="thin">
        <color rgb="FFFFF8EE"/>
      </left>
      <right style="thick">
        <color rgb="FF434343"/>
      </right>
      <top style="thin">
        <color rgb="FFFFF8EE"/>
      </top>
      <bottom style="thick">
        <color rgb="FF3E3A3A"/>
      </bottom>
    </border>
    <border>
      <right style="thin">
        <color rgb="FFEDE4DA"/>
      </right>
      <bottom style="thin">
        <color rgb="FFFFF8EE"/>
      </bottom>
    </border>
    <border>
      <left style="thin">
        <color rgb="FFEDE4DA"/>
      </left>
      <right style="thin">
        <color rgb="FFFFF8EE"/>
      </right>
      <bottom style="thin">
        <color rgb="FFFFF8EE"/>
      </bottom>
    </border>
    <border>
      <left style="thin">
        <color rgb="FFFFF8EE"/>
      </left>
      <right style="thin">
        <color rgb="FFFFF8EE"/>
      </right>
      <bottom style="thin">
        <color rgb="FFDCEBE8"/>
      </bottom>
    </border>
    <border>
      <left style="thin">
        <color rgb="FFFFF8EE"/>
      </left>
      <right style="thin">
        <color rgb="FFFFF8EE"/>
      </right>
      <top style="thin">
        <color rgb="FFDCEBE8"/>
      </top>
      <bottom style="thin">
        <color rgb="FFDCEBE8"/>
      </bottom>
    </border>
    <border>
      <left style="thin">
        <color rgb="FFFFF8EE"/>
      </left>
      <right style="thin">
        <color rgb="FFDCEBE8"/>
      </right>
      <top style="thin">
        <color rgb="FFFFF8EE"/>
      </top>
      <bottom style="thin">
        <color rgb="FFFFF8EE"/>
      </bottom>
    </border>
    <border>
      <left style="thin">
        <color rgb="FFDCEBE8"/>
      </left>
      <right style="thin">
        <color rgb="FFDCEBE8"/>
      </right>
      <top style="thin">
        <color rgb="FFFFF8EE"/>
      </top>
      <bottom style="thin">
        <color rgb="FFFFF8EE"/>
      </bottom>
    </border>
    <border>
      <left style="thin">
        <color rgb="FFDCEBE8"/>
      </left>
      <right style="thin">
        <color rgb="FFFFF8EE"/>
      </right>
      <top style="thin">
        <color rgb="FFFFF8EE"/>
      </top>
      <bottom style="thin">
        <color rgb="FFFFF8EE"/>
      </bottom>
    </border>
    <border>
      <left style="thick">
        <color rgb="FF3E3A3A"/>
      </left>
      <right style="thin">
        <color rgb="FF1781B2"/>
      </right>
      <bottom style="thin">
        <color rgb="FF1781B2"/>
      </bottom>
    </border>
    <border>
      <left style="thin">
        <color rgb="FF1781B2"/>
      </left>
      <right style="thin">
        <color rgb="FF1781B2"/>
      </right>
      <bottom style="thin">
        <color rgb="FF1781B2"/>
      </bottom>
    </border>
    <border>
      <left style="thin">
        <color rgb="FF1781B2"/>
      </left>
      <top style="thin">
        <color rgb="FF3E3A3A"/>
      </top>
      <bottom style="thin">
        <color rgb="FF1781B2"/>
      </bottom>
    </border>
    <border>
      <left style="medium">
        <color rgb="FF3E3A3A"/>
      </left>
      <right style="thick">
        <color rgb="FF3E3A3A"/>
      </right>
      <bottom style="thin">
        <color rgb="FF1781B2"/>
      </bottom>
    </border>
    <border>
      <left style="thick">
        <color rgb="FF3E3A3A"/>
      </left>
      <right style="thin">
        <color rgb="FF1781B2"/>
      </right>
      <top style="thin">
        <color rgb="FF1781B2"/>
      </top>
      <bottom style="thin">
        <color rgb="FF1781B2"/>
      </bottom>
    </border>
    <border>
      <left style="thin">
        <color rgb="FF1781B2"/>
      </left>
      <right style="thin">
        <color rgb="FF1781B2"/>
      </right>
      <top style="thin">
        <color rgb="FF1781B2"/>
      </top>
      <bottom style="thin">
        <color rgb="FF1781B2"/>
      </bottom>
    </border>
    <border>
      <left style="thin">
        <color rgb="FF1781B2"/>
      </left>
      <top style="thin">
        <color rgb="FF1781B2"/>
      </top>
      <bottom style="thin">
        <color rgb="FF1781B2"/>
      </bottom>
    </border>
    <border>
      <left style="medium">
        <color rgb="FF3E3A3A"/>
      </left>
      <right style="thick">
        <color rgb="FF3E3A3A"/>
      </right>
      <top style="thin">
        <color rgb="FF1781B2"/>
      </top>
      <bottom style="thin">
        <color rgb="FF1781B2"/>
      </bottom>
    </border>
    <border>
      <left style="thick">
        <color rgb="FF3E3A3A"/>
      </left>
      <right style="thin">
        <color rgb="FF1781B2"/>
      </right>
      <top style="thin">
        <color rgb="FF1781B2"/>
      </top>
    </border>
    <border>
      <left style="thin">
        <color rgb="FF1781B2"/>
      </left>
      <right style="thin">
        <color rgb="FF1781B2"/>
      </right>
      <top style="thin">
        <color rgb="FF1781B2"/>
      </top>
    </border>
    <border>
      <left style="thin">
        <color rgb="FF1781B2"/>
      </left>
      <top style="thin">
        <color rgb="FF1781B2"/>
      </top>
    </border>
    <border>
      <left style="medium">
        <color rgb="FF3E3A3A"/>
      </left>
      <right style="thick">
        <color rgb="FF3E3A3A"/>
      </right>
      <top style="thin">
        <color rgb="FF1781B2"/>
      </top>
      <bottom style="medium">
        <color rgb="FF3E3A3A"/>
      </bottom>
    </border>
    <border>
      <left style="thin">
        <color rgb="FFDCEBE8"/>
      </left>
      <top style="thin">
        <color rgb="FFFFF8EE"/>
      </top>
      <bottom style="thin">
        <color rgb="FFFFF8EE"/>
      </bottom>
    </border>
    <border>
      <left style="thick">
        <color rgb="FF3E3A3A"/>
      </left>
      <right style="thin">
        <color rgb="FFFFF8EE"/>
      </right>
      <top style="thin">
        <color rgb="FFFFF8EE"/>
      </top>
      <bottom style="thick">
        <color rgb="FF3E3A3A"/>
      </bottom>
    </border>
    <border>
      <left style="thin">
        <color rgb="FFFFF8EE"/>
      </left>
      <right style="thin">
        <color rgb="FFFFF8EE"/>
      </right>
      <top style="thin">
        <color rgb="FFFFF8EE"/>
      </top>
      <bottom style="thick">
        <color rgb="FF3E3A3A"/>
      </bottom>
    </border>
    <border>
      <left style="thin">
        <color rgb="FFFFF8EE"/>
      </left>
      <right style="thick">
        <color rgb="FF3E3A3A"/>
      </right>
      <top style="thin">
        <color rgb="FFFFF8EE"/>
      </top>
      <bottom style="thick">
        <color rgb="FF3E3A3A"/>
      </bottom>
    </border>
    <border>
      <left style="thick">
        <color rgb="FF3E3A3A"/>
      </left>
      <right style="thin">
        <color rgb="FFFFEFE2"/>
      </right>
      <bottom style="thin">
        <color rgb="FFFFEFE2"/>
      </bottom>
    </border>
    <border>
      <left style="thin">
        <color rgb="FFFFEFE2"/>
      </left>
      <right style="thin">
        <color rgb="FFFFEFE2"/>
      </right>
      <bottom style="thin">
        <color rgb="FFFFEFE2"/>
      </bottom>
    </border>
    <border>
      <left style="thin">
        <color rgb="FFFFEFE2"/>
      </left>
      <right style="thick">
        <color rgb="FF3E3A3A"/>
      </right>
      <bottom style="thin">
        <color rgb="FFFFEFE2"/>
      </bottom>
    </border>
    <border>
      <left style="thick">
        <color rgb="FF3E3A3A"/>
      </left>
      <right style="thin">
        <color rgb="FFFFEFE2"/>
      </right>
      <top style="thin">
        <color rgb="FFFFEFE2"/>
      </top>
      <bottom style="thin">
        <color rgb="FFFFEFE2"/>
      </bottom>
    </border>
    <border>
      <left style="thin">
        <color rgb="FFFFEFE2"/>
      </left>
      <right style="thin">
        <color rgb="FFFFEFE2"/>
      </right>
      <top style="thin">
        <color rgb="FFFFEFE2"/>
      </top>
      <bottom style="thin">
        <color rgb="FFEDE4DA"/>
      </bottom>
    </border>
    <border>
      <left style="thin">
        <color rgb="FFFFEFE2"/>
      </left>
      <right style="thin">
        <color rgb="FFFFEFE2"/>
      </right>
      <top style="thin">
        <color rgb="FFFFEFE2"/>
      </top>
    </border>
    <border>
      <left style="thin">
        <color rgb="FFFFEFE2"/>
      </left>
      <top style="thin">
        <color rgb="FFFFEFE2"/>
      </top>
    </border>
    <border>
      <top style="thin">
        <color rgb="FFFFEFE2"/>
      </top>
    </border>
    <border>
      <right style="thin">
        <color rgb="FFFFEFE2"/>
      </right>
      <top style="thin">
        <color rgb="FFFFEFE2"/>
      </top>
    </border>
    <border>
      <left style="thin">
        <color rgb="FFFFEFE2"/>
      </left>
      <right style="thick">
        <color rgb="FF3E3A3A"/>
      </right>
      <top style="thin">
        <color rgb="FFFFEFE2"/>
      </top>
    </border>
    <border>
      <left style="thick">
        <color rgb="FF3E3A3A"/>
      </left>
      <right style="thin">
        <color rgb="FFFFFFFF"/>
      </right>
      <top style="thin">
        <color rgb="FFFFEFE2"/>
      </top>
      <bottom style="thin">
        <color rgb="FFFFEFE2"/>
      </bottom>
    </border>
    <border>
      <left style="thin">
        <color rgb="FFFFFFFF"/>
      </left>
      <right style="thin">
        <color rgb="FFFFFFFF"/>
      </right>
      <top style="thin">
        <color rgb="FFFFEFE2"/>
      </top>
      <bottom style="thin">
        <color rgb="FFFFEFE2"/>
      </bottom>
    </border>
    <border>
      <left style="thin">
        <color rgb="FFFFFFFF"/>
      </left>
      <right style="thin">
        <color rgb="FFFFFFFF"/>
      </right>
      <top style="thin">
        <color rgb="FFFFEFE2"/>
      </top>
    </border>
    <border>
      <left style="thin">
        <color rgb="FFFFFFFF"/>
      </left>
      <top style="thin">
        <color rgb="FFFFEFE2"/>
      </top>
    </border>
    <border>
      <left style="thin">
        <color rgb="FFFFEFE2"/>
      </left>
      <top style="thin">
        <color rgb="FFFFEFE2"/>
      </top>
      <bottom style="thin">
        <color rgb="FFFFEFE2"/>
      </bottom>
    </border>
    <border>
      <top style="thin">
        <color rgb="FFFFEFE2"/>
      </top>
      <bottom style="thin">
        <color rgb="FFFFEFE2"/>
      </bottom>
    </border>
    <border>
      <right style="thin">
        <color rgb="FFFFEFE2"/>
      </right>
      <top style="thin">
        <color rgb="FFFFEFE2"/>
      </top>
      <bottom style="thin">
        <color rgb="FFFFEFE2"/>
      </bottom>
    </border>
    <border>
      <left style="thin">
        <color rgb="FFFFEFE2"/>
      </left>
      <right style="thick">
        <color rgb="FF3E3A3A"/>
      </right>
      <top style="thin">
        <color rgb="FFFFEFE2"/>
      </top>
      <bottom style="thin">
        <color rgb="FFFFEFE2"/>
      </bottom>
    </border>
    <border>
      <left style="thick">
        <color rgb="FF434343"/>
      </left>
      <bottom style="medium">
        <color rgb="FFFFEFE2"/>
      </bottom>
    </border>
    <border>
      <bottom style="medium">
        <color rgb="FFFFEFE2"/>
      </bottom>
    </border>
    <border>
      <right style="thick">
        <color rgb="FF434343"/>
      </right>
      <bottom style="medium">
        <color rgb="FFFFEFE2"/>
      </bottom>
    </border>
    <border>
      <left style="thin">
        <color rgb="FFFFFFFF"/>
      </left>
    </border>
    <border>
      <right style="thin">
        <color rgb="FFFFEFE2"/>
      </right>
    </border>
    <border>
      <left style="thin">
        <color rgb="FFFFEFE2"/>
      </left>
      <right style="thin">
        <color rgb="FFFFEFE2"/>
      </right>
    </border>
    <border>
      <left style="thick">
        <color rgb="FF434343"/>
      </left>
      <top style="medium">
        <color rgb="FFFFEFE2"/>
      </top>
      <bottom style="medium">
        <color rgb="FFFFEFE2"/>
      </bottom>
    </border>
    <border>
      <top style="medium">
        <color rgb="FFFFEFE2"/>
      </top>
      <bottom style="medium">
        <color rgb="FFFFEFE2"/>
      </bottom>
    </border>
    <border>
      <right style="thick">
        <color rgb="FF434343"/>
      </right>
      <top style="medium">
        <color rgb="FFFFEFE2"/>
      </top>
      <bottom style="medium">
        <color rgb="FFFFEFE2"/>
      </bottom>
    </border>
    <border>
      <left style="thick">
        <color rgb="FF434343"/>
      </left>
      <right style="medium">
        <color rgb="FFFFEFE2"/>
      </right>
      <top style="medium">
        <color rgb="FFFFEFE2"/>
      </top>
      <bottom style="medium">
        <color rgb="FFFFEFE2"/>
      </bottom>
    </border>
    <border>
      <left style="medium">
        <color rgb="FFFFEFE2"/>
      </left>
      <right style="medium">
        <color rgb="FFFFEFE2"/>
      </right>
      <top style="medium">
        <color rgb="FFFFEFE2"/>
      </top>
      <bottom style="medium">
        <color rgb="FFFFEFE2"/>
      </bottom>
    </border>
    <border>
      <left style="medium">
        <color rgb="FFFFEFE2"/>
      </left>
      <right style="thick">
        <color rgb="FF434343"/>
      </right>
      <top style="medium">
        <color rgb="FFFFEFE2"/>
      </top>
      <bottom style="medium">
        <color rgb="FFFFEFE2"/>
      </bottom>
    </border>
    <border>
      <left style="thin">
        <color rgb="FFFFEFE2"/>
      </left>
      <right style="thin">
        <color rgb="FFFFEFE2"/>
      </right>
      <top style="thin">
        <color rgb="FFDCEBE8"/>
      </top>
      <bottom style="thin">
        <color rgb="FFFFEFE2"/>
      </bottom>
    </border>
    <border>
      <left style="thin">
        <color rgb="FFFFEFE2"/>
      </left>
      <right style="thin">
        <color rgb="FFFFFFFF"/>
      </right>
      <top style="thin">
        <color rgb="FFFFEFE2"/>
      </top>
      <bottom style="thin">
        <color rgb="FFFFEFE2"/>
      </bottom>
    </border>
    <border>
      <left style="thick">
        <color rgb="FF434343"/>
      </left>
      <right style="medium">
        <color rgb="FFFFEFE2"/>
      </right>
      <top style="medium">
        <color rgb="FFFFEFE2"/>
      </top>
    </border>
    <border>
      <left style="medium">
        <color rgb="FFFFEFE2"/>
      </left>
      <right style="medium">
        <color rgb="FFFFEFE2"/>
      </right>
      <top style="medium">
        <color rgb="FFFFEFE2"/>
      </top>
    </border>
    <border>
      <left style="medium">
        <color rgb="FFFFEFE2"/>
      </left>
      <right style="thick">
        <color rgb="FF434343"/>
      </right>
      <top style="medium">
        <color rgb="FFFFEFE2"/>
      </top>
    </border>
    <border>
      <left style="thin">
        <color rgb="FFFFEFE2"/>
      </left>
      <right style="thin">
        <color rgb="FFFFEFE2"/>
      </right>
      <top style="thin">
        <color rgb="FFFFEFE2"/>
      </top>
      <bottom style="thin">
        <color rgb="FFFFEFE2"/>
      </bottom>
    </border>
    <border>
      <left style="thick">
        <color rgb="FF434343"/>
      </left>
      <top style="medium">
        <color rgb="FF434343"/>
      </top>
      <bottom style="thin">
        <color rgb="FFFFEFE2"/>
      </bottom>
    </border>
    <border>
      <top style="medium">
        <color rgb="FF434343"/>
      </top>
      <bottom style="thin">
        <color rgb="FFFFEFE2"/>
      </bottom>
    </border>
    <border>
      <right style="thick">
        <color rgb="FF434343"/>
      </right>
      <top style="medium">
        <color rgb="FF434343"/>
      </top>
      <bottom style="thin">
        <color rgb="FFFFEFE2"/>
      </bottom>
    </border>
    <border>
      <left style="thick">
        <color rgb="FF434343"/>
      </left>
      <top style="thin">
        <color rgb="FFFFEFE2"/>
      </top>
      <bottom style="thin">
        <color rgb="FFFFEFE2"/>
      </bottom>
    </border>
    <border>
      <right style="thick">
        <color rgb="FF434343"/>
      </right>
      <top style="thin">
        <color rgb="FFFFEFE2"/>
      </top>
      <bottom style="thin">
        <color rgb="FFFFEFE2"/>
      </bottom>
    </border>
    <border>
      <left style="thick">
        <color rgb="FF434343"/>
      </left>
      <top style="thin">
        <color rgb="FFFFEFE2"/>
      </top>
    </border>
    <border>
      <left style="thin">
        <color rgb="FFFFEFE2"/>
      </left>
      <right style="thick">
        <color rgb="FF434343"/>
      </right>
      <top style="thin">
        <color rgb="FFFFEFE2"/>
      </top>
    </border>
    <border>
      <right style="thin">
        <color rgb="FFFFEFE2"/>
      </right>
      <top style="medium">
        <color rgb="FF434343"/>
      </top>
      <bottom style="thin">
        <color rgb="FFFFEFE2"/>
      </bottom>
    </border>
    <border>
      <left style="thin">
        <color rgb="FFFFEFE2"/>
      </left>
      <right style="thick">
        <color rgb="FF434343"/>
      </right>
      <top style="medium">
        <color rgb="FF434343"/>
      </top>
      <bottom style="thin">
        <color rgb="FFFFEFE2"/>
      </bottom>
    </border>
    <border>
      <left style="thin">
        <color rgb="FFFFEFE2"/>
      </left>
      <right style="thick">
        <color rgb="FF434343"/>
      </right>
      <top style="thin">
        <color rgb="FFFFEFE2"/>
      </top>
      <bottom style="thin">
        <color rgb="FFFFEFE2"/>
      </bottom>
    </border>
    <border>
      <left style="thick">
        <color rgb="FF434343"/>
      </left>
      <top style="thin">
        <color rgb="FFFFEFE2"/>
      </top>
      <bottom style="thick">
        <color rgb="FF434343"/>
      </bottom>
    </border>
    <border>
      <top style="thin">
        <color rgb="FFFFEFE2"/>
      </top>
      <bottom style="thick">
        <color rgb="FF434343"/>
      </bottom>
    </border>
    <border>
      <right style="thin">
        <color rgb="FFFFEFE2"/>
      </right>
      <top style="thin">
        <color rgb="FFFFEFE2"/>
      </top>
      <bottom style="thick">
        <color rgb="FF434343"/>
      </bottom>
    </border>
    <border>
      <left style="thin">
        <color rgb="FFFFEFE2"/>
      </left>
      <right style="thick">
        <color rgb="FF434343"/>
      </right>
      <top style="thin">
        <color rgb="FFFFEFE2"/>
      </top>
      <bottom style="thick">
        <color rgb="FF434343"/>
      </bottom>
    </border>
    <border>
      <left style="thin">
        <color rgb="FFFFFFFF"/>
      </left>
      <right style="thin">
        <color rgb="FFFFFFFF"/>
      </right>
      <bottom style="thin">
        <color rgb="FFFFEFE2"/>
      </bottom>
    </border>
    <border>
      <left style="thin">
        <color rgb="FFFFFFFF"/>
      </left>
      <bottom style="thin">
        <color rgb="FFFFEFE2"/>
      </bottom>
    </border>
    <border>
      <right style="thin">
        <color rgb="FFFFEFE2"/>
      </right>
      <bottom style="thin">
        <color rgb="FFFFEFE2"/>
      </bottom>
    </border>
    <border>
      <left style="thin">
        <color rgb="FFFFEFE2"/>
      </left>
      <right style="thin">
        <color rgb="FFFFEFE2"/>
      </right>
      <bottom style="thin">
        <color rgb="FFDCEBE8"/>
      </bottom>
    </border>
    <border>
      <left style="thin">
        <color rgb="FFFFEFE2"/>
      </left>
      <right style="thin">
        <color rgb="FFFFEFE2"/>
      </right>
      <top style="thin">
        <color rgb="FFDCEBE8"/>
      </top>
      <bottom style="thin">
        <color rgb="FFDCEBE8"/>
      </bottom>
    </border>
    <border>
      <left style="thin">
        <color rgb="FFFFEFE2"/>
      </left>
      <right style="thin">
        <color rgb="FFFFEFE2"/>
      </right>
      <top style="thin">
        <color rgb="FFFFF8EE"/>
      </top>
    </border>
    <border>
      <left style="thin">
        <color rgb="FFFFEFE2"/>
      </left>
      <right style="thin">
        <color rgb="FFFFEFE2"/>
      </right>
      <top style="thin">
        <color rgb="FFFFF8EE"/>
      </top>
      <bottom style="thin">
        <color rgb="FFFFF8EE"/>
      </bottom>
    </border>
    <border>
      <left style="thin">
        <color rgb="FFFFEFE2"/>
      </left>
      <right style="thin">
        <color rgb="FFDCEBE8"/>
      </right>
      <top style="thin">
        <color rgb="FFFFEFE2"/>
      </top>
      <bottom style="thin">
        <color rgb="FFFFEFE2"/>
      </bottom>
    </border>
    <border>
      <left style="thin">
        <color rgb="FFDCEBE8"/>
      </left>
      <top style="thin">
        <color rgb="FFFFEFE2"/>
      </top>
      <bottom style="thin">
        <color rgb="FFFFEFE2"/>
      </bottom>
    </border>
    <border>
      <left style="thin">
        <color rgb="FFFFF8EE"/>
      </left>
      <right style="thin">
        <color rgb="FFFFF8EE"/>
      </right>
      <top style="thin">
        <color rgb="FFFFEFE2"/>
      </top>
      <bottom style="thin">
        <color rgb="FFFFEFE2"/>
      </bottom>
    </border>
    <border>
      <left style="thin">
        <color rgb="FFFFF8EE"/>
      </left>
      <right style="thin">
        <color rgb="FFFFEFE2"/>
      </right>
      <top style="thin">
        <color rgb="FFFFEFE2"/>
      </top>
      <bottom style="thin">
        <color rgb="FFFFEFE2"/>
      </bottom>
    </border>
    <border>
      <left style="thick">
        <color rgb="FF3E3A3A"/>
      </left>
      <right style="thin">
        <color rgb="FF438FDF"/>
      </right>
      <bottom style="thin">
        <color rgb="FF438FDF"/>
      </bottom>
    </border>
    <border>
      <left style="thin">
        <color rgb="FF438FDF"/>
      </left>
      <right style="thin">
        <color rgb="FF438FDF"/>
      </right>
      <bottom style="thin">
        <color rgb="FF438FDF"/>
      </bottom>
    </border>
    <border>
      <left style="thin">
        <color rgb="FF438FDF"/>
      </left>
      <top style="thin">
        <color rgb="FF3E3A3A"/>
      </top>
      <bottom style="thin">
        <color rgb="FF438FDF"/>
      </bottom>
    </border>
    <border>
      <left style="medium">
        <color rgb="FF3E3A3A"/>
      </left>
      <right style="thick">
        <color rgb="FF3E3A3A"/>
      </right>
      <bottom style="thin">
        <color rgb="FF438FDF"/>
      </bottom>
    </border>
    <border>
      <left style="thin">
        <color rgb="FFDCEBE8"/>
      </left>
      <right style="thin">
        <color rgb="FFDCEBE8"/>
      </right>
      <top style="thin">
        <color rgb="FFFFEFE2"/>
      </top>
      <bottom style="thin">
        <color rgb="FFFFEFE2"/>
      </bottom>
    </border>
    <border>
      <left style="thin">
        <color rgb="FFDCEBE8"/>
      </left>
      <right style="thin">
        <color rgb="FFFFF8EE"/>
      </right>
      <top style="thin">
        <color rgb="FFFFEFE2"/>
      </top>
      <bottom style="thin">
        <color rgb="FFFFEFE2"/>
      </bottom>
    </border>
    <border>
      <left style="thick">
        <color rgb="FF3E3A3A"/>
      </left>
      <right style="thin">
        <color rgb="FF438FDF"/>
      </right>
      <top style="thin">
        <color rgb="FF438FDF"/>
      </top>
      <bottom style="thin">
        <color rgb="FF438FDF"/>
      </bottom>
    </border>
    <border>
      <left style="thin">
        <color rgb="FF438FDF"/>
      </left>
      <right style="thin">
        <color rgb="FF438FDF"/>
      </right>
      <top style="thin">
        <color rgb="FF438FDF"/>
      </top>
      <bottom style="thin">
        <color rgb="FF438FDF"/>
      </bottom>
    </border>
    <border>
      <left style="thin">
        <color rgb="FF438FDF"/>
      </left>
      <top style="thin">
        <color rgb="FF438FDF"/>
      </top>
      <bottom style="thin">
        <color rgb="FF438FDF"/>
      </bottom>
    </border>
    <border>
      <left style="medium">
        <color rgb="FF3E3A3A"/>
      </left>
      <right style="thick">
        <color rgb="FF3E3A3A"/>
      </right>
      <top style="thin">
        <color rgb="FF438FDF"/>
      </top>
      <bottom style="thin">
        <color rgb="FF438FDF"/>
      </bottom>
    </border>
    <border>
      <left style="thick">
        <color rgb="FF3E3A3A"/>
      </left>
      <right style="thin">
        <color rgb="FF438FDF"/>
      </right>
      <top style="thin">
        <color rgb="FF438FDF"/>
      </top>
    </border>
    <border>
      <left style="thin">
        <color rgb="FF438FDF"/>
      </left>
      <right style="thin">
        <color rgb="FF438FDF"/>
      </right>
      <top style="thin">
        <color rgb="FF438FDF"/>
      </top>
    </border>
    <border>
      <left style="thin">
        <color rgb="FF438FDF"/>
      </left>
      <top style="thin">
        <color rgb="FF438FDF"/>
      </top>
    </border>
    <border>
      <left style="medium">
        <color rgb="FF3E3A3A"/>
      </left>
      <right style="thick">
        <color rgb="FF3E3A3A"/>
      </right>
      <top style="thin">
        <color rgb="FF438FDF"/>
      </top>
      <bottom style="medium">
        <color rgb="FF3E3A3A"/>
      </bottom>
    </border>
    <border>
      <left style="thin">
        <color rgb="FFFFEFE2"/>
      </left>
      <right style="thin">
        <color rgb="FFFFEFE2"/>
      </right>
      <top style="thin">
        <color rgb="FFFFF8EE"/>
      </top>
      <bottom style="thin">
        <color rgb="FFFFEFE2"/>
      </bottom>
    </border>
    <border>
      <left style="thin">
        <color rgb="FFFFEFE2"/>
      </left>
      <right style="thin">
        <color rgb="FFFFF8EE"/>
      </right>
      <top style="thin">
        <color rgb="FFFFEFE2"/>
      </top>
      <bottom style="thin">
        <color rgb="FFFFEFE2"/>
      </bottom>
    </border>
    <border>
      <left style="thick">
        <color rgb="FF3E3A3A"/>
      </left>
      <right style="thin">
        <color rgb="FFFFEFE2"/>
      </right>
      <top style="thin">
        <color rgb="FFFFEFE2"/>
      </top>
      <bottom style="thick">
        <color rgb="FF3E3A3A"/>
      </bottom>
    </border>
    <border>
      <left style="thin">
        <color rgb="FFFFEFE2"/>
      </left>
      <right style="thin">
        <color rgb="FFFFEFE2"/>
      </right>
      <top style="thin">
        <color rgb="FFFFEFE2"/>
      </top>
      <bottom style="thick">
        <color rgb="FF3E3A3A"/>
      </bottom>
    </border>
    <border>
      <left style="thin">
        <color rgb="FFFFEFE2"/>
      </left>
      <right style="thin">
        <color rgb="FFFFEFE2"/>
      </right>
      <bottom style="thick">
        <color rgb="FF3E3A3A"/>
      </bottom>
    </border>
    <border>
      <left style="thin">
        <color rgb="FFFFEFE2"/>
      </left>
      <right style="thick">
        <color rgb="FF3E3A3A"/>
      </right>
      <top style="thin">
        <color rgb="FFFFEFE2"/>
      </top>
      <bottom style="thick">
        <color rgb="FF3E3A3A"/>
      </bottom>
    </border>
    <border>
      <left style="thick">
        <color rgb="FF3E3A3A"/>
      </left>
      <right style="thin">
        <color rgb="FFFFFAE9"/>
      </right>
      <bottom style="thin">
        <color rgb="FFFFFAE9"/>
      </bottom>
    </border>
    <border>
      <left style="thin">
        <color rgb="FFFFFAE9"/>
      </left>
      <right style="thin">
        <color rgb="FFFFFAE9"/>
      </right>
      <bottom style="thin">
        <color rgb="FFFFFAE9"/>
      </bottom>
    </border>
    <border>
      <left style="thin">
        <color rgb="FFFFFAE9"/>
      </left>
      <right style="thick">
        <color rgb="FF3E3A3A"/>
      </right>
      <bottom style="thin">
        <color rgb="FFFFFAE9"/>
      </bottom>
    </border>
    <border>
      <left style="thick">
        <color rgb="FF3E3A3A"/>
      </left>
      <right style="thin">
        <color rgb="FFFFFAE9"/>
      </right>
      <top style="thin">
        <color rgb="FFFFFAE9"/>
      </top>
      <bottom style="thin">
        <color rgb="FFFFFAE9"/>
      </bottom>
    </border>
    <border>
      <left style="thin">
        <color rgb="FFFFFAE9"/>
      </left>
      <right style="thin">
        <color rgb="FFFFFAE9"/>
      </right>
      <top style="thin">
        <color rgb="FFFFFAE9"/>
      </top>
      <bottom style="thin">
        <color rgb="FFFFFFFF"/>
      </bottom>
    </border>
    <border>
      <left style="thin">
        <color rgb="FFFFFAE9"/>
      </left>
      <right style="thin">
        <color rgb="FFFFFAE9"/>
      </right>
      <top style="thin">
        <color rgb="FFFFFAE9"/>
      </top>
      <bottom style="thin">
        <color rgb="FFFFFAE9"/>
      </bottom>
    </border>
    <border>
      <left style="thin">
        <color rgb="FFFFFAE9"/>
      </left>
      <top style="thin">
        <color rgb="FFFFFAE9"/>
      </top>
    </border>
    <border>
      <top style="thin">
        <color rgb="FFFFFAE9"/>
      </top>
    </border>
    <border>
      <right style="thin">
        <color rgb="FFFFFAE9"/>
      </right>
      <top style="thin">
        <color rgb="FFFFFAE9"/>
      </top>
    </border>
    <border>
      <left style="thin">
        <color rgb="FFFFFAE9"/>
      </left>
      <right style="thick">
        <color rgb="FF3E3A3A"/>
      </right>
      <top style="thin">
        <color rgb="FFFFFAE9"/>
      </top>
    </border>
    <border>
      <left style="thick">
        <color rgb="FF3E3A3A"/>
      </left>
      <top style="thin">
        <color rgb="FFFFFAE9"/>
      </top>
      <bottom style="thin">
        <color rgb="FFFFFAE9"/>
      </bottom>
    </border>
    <border>
      <top style="thin">
        <color rgb="FFFFFAE9"/>
      </top>
      <bottom style="thin">
        <color rgb="FFFFFAE9"/>
      </bottom>
    </border>
    <border>
      <left style="thin">
        <color rgb="FFFFFAE9"/>
      </left>
      <top style="thin">
        <color rgb="FFFFFAE9"/>
      </top>
      <bottom style="thin">
        <color rgb="FFFFFAE9"/>
      </bottom>
    </border>
    <border>
      <right style="thin">
        <color rgb="FFFFFAE9"/>
      </right>
      <top style="thin">
        <color rgb="FFFFFAE9"/>
      </top>
      <bottom style="thin">
        <color rgb="FFFFFAE9"/>
      </bottom>
    </border>
    <border>
      <left style="thin">
        <color rgb="FFFFFAE9"/>
      </left>
      <right style="thick">
        <color rgb="FF3E3A3A"/>
      </right>
      <top style="thin">
        <color rgb="FFFFFAE9"/>
      </top>
      <bottom style="thin">
        <color rgb="FFFFFAE9"/>
      </bottom>
    </border>
    <border>
      <left style="thick">
        <color rgb="FF434343"/>
      </left>
      <bottom style="medium">
        <color rgb="FFFFFAE9"/>
      </bottom>
    </border>
    <border>
      <bottom style="medium">
        <color rgb="FFFFFAE9"/>
      </bottom>
    </border>
    <border>
      <right style="thick">
        <color rgb="FF434343"/>
      </right>
      <bottom style="medium">
        <color rgb="FFFFFAE9"/>
      </bottom>
    </border>
    <border>
      <left style="thick">
        <color rgb="FF434343"/>
      </left>
      <bottom style="thin">
        <color rgb="FFFFF4CD"/>
      </bottom>
    </border>
    <border>
      <bottom style="thin">
        <color rgb="FFFFF4CD"/>
      </bottom>
    </border>
    <border>
      <right style="thick">
        <color rgb="FF434343"/>
      </right>
      <bottom style="thin">
        <color rgb="FFFFF4CD"/>
      </bottom>
    </border>
    <border>
      <left style="thick">
        <color rgb="FF434343"/>
      </left>
      <bottom style="medium">
        <color rgb="FFFFF4CD"/>
      </bottom>
    </border>
    <border>
      <bottom style="medium">
        <color rgb="FFFFF4CD"/>
      </bottom>
    </border>
    <border>
      <right style="thick">
        <color rgb="FF434343"/>
      </right>
      <bottom style="medium">
        <color rgb="FFFFF4CD"/>
      </bottom>
    </border>
    <border>
      <right style="thin">
        <color rgb="FFFFFAE9"/>
      </right>
    </border>
    <border>
      <left style="thick">
        <color rgb="FF434343"/>
      </left>
      <top style="medium">
        <color rgb="FFFFFAE9"/>
      </top>
      <bottom style="medium">
        <color rgb="FFFFFAE9"/>
      </bottom>
    </border>
    <border>
      <top style="medium">
        <color rgb="FFFFFAE9"/>
      </top>
      <bottom style="medium">
        <color rgb="FFFFFAE9"/>
      </bottom>
    </border>
    <border>
      <right style="thick">
        <color rgb="FF434343"/>
      </right>
      <top style="medium">
        <color rgb="FFFFFAE9"/>
      </top>
      <bottom style="medium">
        <color rgb="FFFFFAE9"/>
      </bottom>
    </border>
    <border>
      <left style="thick">
        <color rgb="FF434343"/>
      </left>
      <top style="thin">
        <color rgb="FFFFF4CD"/>
      </top>
      <bottom style="thin">
        <color rgb="FFFFF4CD"/>
      </bottom>
    </border>
    <border>
      <top style="thin">
        <color rgb="FFFFF4CD"/>
      </top>
      <bottom style="thin">
        <color rgb="FFFFF4CD"/>
      </bottom>
    </border>
    <border>
      <right style="thick">
        <color rgb="FF434343"/>
      </right>
      <top style="thin">
        <color rgb="FFFFF4CD"/>
      </top>
      <bottom style="thin">
        <color rgb="FFFFF4CD"/>
      </bottom>
    </border>
    <border>
      <left style="thick">
        <color rgb="FF434343"/>
      </left>
      <top style="medium">
        <color rgb="FFFFF4CD"/>
      </top>
      <bottom style="medium">
        <color rgb="FFFFF4CD"/>
      </bottom>
    </border>
    <border>
      <top style="medium">
        <color rgb="FFFFF4CD"/>
      </top>
      <bottom style="medium">
        <color rgb="FFFFF4CD"/>
      </bottom>
    </border>
    <border>
      <right style="thick">
        <color rgb="FF434343"/>
      </right>
      <top style="medium">
        <color rgb="FFFFF4CD"/>
      </top>
      <bottom style="medium">
        <color rgb="FFFFF4CD"/>
      </bottom>
    </border>
    <border>
      <left style="thick">
        <color rgb="FF434343"/>
      </left>
      <right style="medium">
        <color rgb="FFFFFAE9"/>
      </right>
      <top style="medium">
        <color rgb="FFFFFAE9"/>
      </top>
      <bottom style="medium">
        <color rgb="FFFFFAE9"/>
      </bottom>
    </border>
    <border>
      <left style="medium">
        <color rgb="FFFFFAE9"/>
      </left>
      <top style="medium">
        <color rgb="FFFFFAE9"/>
      </top>
      <bottom style="medium">
        <color rgb="FFFFFAE9"/>
      </bottom>
    </border>
    <border>
      <right style="medium">
        <color rgb="FFFFFAE9"/>
      </right>
      <top style="medium">
        <color rgb="FFFFFAE9"/>
      </top>
      <bottom style="medium">
        <color rgb="FFFFFAE9"/>
      </bottom>
    </border>
    <border>
      <left style="medium">
        <color rgb="FFFFFAE9"/>
      </left>
      <right style="thick">
        <color rgb="FF434343"/>
      </right>
      <top style="medium">
        <color rgb="FFFFFAE9"/>
      </top>
      <bottom style="medium">
        <color rgb="FFFFFAE9"/>
      </bottom>
    </border>
    <border>
      <left style="medium">
        <color rgb="FFFFFAE9"/>
      </left>
      <right style="medium">
        <color rgb="FFFFFAE9"/>
      </right>
      <top style="medium">
        <color rgb="FFFFFAE9"/>
      </top>
      <bottom style="medium">
        <color rgb="FFFFFAE9"/>
      </bottom>
    </border>
    <border>
      <left style="thick">
        <color rgb="FF434343"/>
      </left>
      <right style="thin">
        <color rgb="FFFFF4CD"/>
      </right>
      <top style="thin">
        <color rgb="FFFFF4CD"/>
      </top>
      <bottom style="medium">
        <color rgb="FFFFF4CD"/>
      </bottom>
    </border>
    <border>
      <left style="thin">
        <color rgb="FFFFF4CD"/>
      </left>
      <top style="thin">
        <color rgb="FFFFF4CD"/>
      </top>
      <bottom style="medium">
        <color rgb="FFFFF4CD"/>
      </bottom>
    </border>
    <border>
      <right style="thin">
        <color rgb="FFFFF4CD"/>
      </right>
      <top style="thin">
        <color rgb="FFFFF4CD"/>
      </top>
      <bottom style="medium">
        <color rgb="FFFFF4CD"/>
      </bottom>
    </border>
    <border>
      <left style="thin">
        <color rgb="FFFFF4CD"/>
      </left>
      <right style="thick">
        <color rgb="FF434343"/>
      </right>
      <top style="thin">
        <color rgb="FFFFF4CD"/>
      </top>
      <bottom style="medium">
        <color rgb="FFFFF4CD"/>
      </bottom>
    </border>
    <border>
      <left style="thick">
        <color rgb="FF434343"/>
      </left>
      <right style="medium">
        <color rgb="FFFFF4CD"/>
      </right>
      <top style="medium">
        <color rgb="FFFFF4CD"/>
      </top>
      <bottom style="medium">
        <color rgb="FFFFF4CD"/>
      </bottom>
    </border>
    <border>
      <left style="medium">
        <color rgb="FFFFF4CD"/>
      </left>
      <right style="thick">
        <color rgb="FF434343"/>
      </right>
      <top style="medium">
        <color rgb="FFFFF4CD"/>
      </top>
      <bottom style="medium">
        <color rgb="FFFFF4CD"/>
      </bottom>
    </border>
    <border>
      <left style="thick">
        <color rgb="FF434343"/>
      </left>
      <right style="medium">
        <color rgb="FFFFFAE9"/>
      </right>
      <top style="medium">
        <color rgb="FFFFFAE9"/>
      </top>
    </border>
    <border>
      <left style="medium">
        <color rgb="FFFFFAE9"/>
      </left>
      <right style="medium">
        <color rgb="FFFFFAE9"/>
      </right>
      <top style="medium">
        <color rgb="FFFFFAE9"/>
      </top>
    </border>
    <border>
      <left style="medium">
        <color rgb="FFFFFAE9"/>
      </left>
      <right style="thick">
        <color rgb="FF434343"/>
      </right>
      <top style="medium">
        <color rgb="FFFFFAE9"/>
      </top>
    </border>
    <border>
      <left style="thick">
        <color rgb="FF434343"/>
      </left>
      <right style="medium">
        <color rgb="FFFFF4CD"/>
      </right>
      <top style="medium">
        <color rgb="FFFFF4CD"/>
      </top>
    </border>
    <border>
      <left style="medium">
        <color rgb="FFFFF4CD"/>
      </left>
      <right style="medium">
        <color rgb="FFFFF4CD"/>
      </right>
      <top style="medium">
        <color rgb="FFFFF4CD"/>
      </top>
    </border>
    <border>
      <left style="medium">
        <color rgb="FFFFF4CD"/>
      </left>
      <right style="thick">
        <color rgb="FF434343"/>
      </right>
      <top style="medium">
        <color rgb="FFFFF4CD"/>
      </top>
    </border>
    <border>
      <left style="thick">
        <color rgb="FF434343"/>
      </left>
      <top style="medium">
        <color rgb="FF434343"/>
      </top>
      <bottom style="thin">
        <color rgb="FFFFFAE9"/>
      </bottom>
    </border>
    <border>
      <top style="medium">
        <color rgb="FF434343"/>
      </top>
      <bottom style="thin">
        <color rgb="FFFFFAE9"/>
      </bottom>
    </border>
    <border>
      <right style="thick">
        <color rgb="FF434343"/>
      </right>
      <top style="medium">
        <color rgb="FF434343"/>
      </top>
      <bottom style="thin">
        <color rgb="FFFFFAE9"/>
      </bottom>
    </border>
    <border>
      <left style="thick">
        <color rgb="FF434343"/>
      </left>
      <top style="medium">
        <color rgb="FF434343"/>
      </top>
      <bottom style="thin">
        <color rgb="FFFFF4CD"/>
      </bottom>
    </border>
    <border>
      <top style="medium">
        <color rgb="FF434343"/>
      </top>
      <bottom style="thin">
        <color rgb="FFFFF4CD"/>
      </bottom>
    </border>
    <border>
      <right style="thick">
        <color rgb="FF434343"/>
      </right>
      <top style="medium">
        <color rgb="FF434343"/>
      </top>
      <bottom style="thin">
        <color rgb="FFFFF4CD"/>
      </bottom>
    </border>
    <border>
      <left style="thick">
        <color rgb="FF434343"/>
      </left>
      <top style="thin">
        <color rgb="FFFFFAE9"/>
      </top>
      <bottom style="thin">
        <color rgb="FFFFFAE9"/>
      </bottom>
    </border>
    <border>
      <right style="thick">
        <color rgb="FF434343"/>
      </right>
      <top style="thin">
        <color rgb="FFFFFAE9"/>
      </top>
      <bottom style="thin">
        <color rgb="FFFFFAE9"/>
      </bottom>
    </border>
    <border>
      <left style="thin">
        <color rgb="FFFFFAE9"/>
      </left>
      <right style="thin">
        <color rgb="FFFFFAE9"/>
      </right>
      <top style="thin">
        <color rgb="FFF0F2F7"/>
      </top>
      <bottom style="thin">
        <color rgb="FFFFFAE9"/>
      </bottom>
    </border>
    <border>
      <left style="thick">
        <color rgb="FF434343"/>
      </left>
      <top style="thin">
        <color rgb="FFFFFAE9"/>
      </top>
    </border>
    <border>
      <left style="thin">
        <color rgb="FFFFFAE9"/>
      </left>
      <right style="thick">
        <color rgb="FF434343"/>
      </right>
      <top style="thin">
        <color rgb="FFFFFAE9"/>
      </top>
    </border>
    <border>
      <left style="thick">
        <color rgb="FF434343"/>
      </left>
      <top style="thin">
        <color rgb="FFFFF4CD"/>
      </top>
    </border>
    <border>
      <top style="thin">
        <color rgb="FFFFF4CD"/>
      </top>
    </border>
    <border>
      <right style="thin">
        <color rgb="FFFFF4CD"/>
      </right>
      <top style="thin">
        <color rgb="FFFFF4CD"/>
      </top>
    </border>
    <border>
      <left style="thin">
        <color rgb="FFFFF4CD"/>
      </left>
      <right style="thick">
        <color rgb="FF434343"/>
      </right>
      <top style="thin">
        <color rgb="FFFFF4CD"/>
      </top>
    </border>
    <border>
      <right style="thin">
        <color rgb="FFFFFAE9"/>
      </right>
      <top style="medium">
        <color rgb="FF434343"/>
      </top>
      <bottom style="thin">
        <color rgb="FFFFFAE9"/>
      </bottom>
    </border>
    <border>
      <right style="thin">
        <color rgb="FFFFF4CD"/>
      </right>
      <top style="medium">
        <color rgb="FF434343"/>
      </top>
      <bottom style="thin">
        <color rgb="FFFFF4CD"/>
      </bottom>
    </border>
    <border>
      <right style="thin">
        <color rgb="FFFFF4CD"/>
      </right>
      <top style="thin">
        <color rgb="FFFFF4CD"/>
      </top>
      <bottom style="thin">
        <color rgb="FFFFF4CD"/>
      </bottom>
    </border>
    <border>
      <left style="thick">
        <color rgb="FF434343"/>
      </left>
      <top style="thin">
        <color rgb="FFFFFAE9"/>
      </top>
      <bottom style="thick">
        <color rgb="FF434343"/>
      </bottom>
    </border>
    <border>
      <top style="thin">
        <color rgb="FFFFFAE9"/>
      </top>
      <bottom style="thick">
        <color rgb="FF434343"/>
      </bottom>
    </border>
    <border>
      <right style="thin">
        <color rgb="FFFFFAE9"/>
      </right>
      <top style="thin">
        <color rgb="FFFFFAE9"/>
      </top>
      <bottom style="thick">
        <color rgb="FF434343"/>
      </bottom>
    </border>
    <border>
      <right style="thick">
        <color rgb="FF434343"/>
      </right>
      <top style="thin">
        <color rgb="FFFFFAE9"/>
      </top>
      <bottom style="thick">
        <color rgb="FF434343"/>
      </bottom>
    </border>
    <border>
      <left style="thick">
        <color rgb="FF434343"/>
      </left>
      <top style="thin">
        <color rgb="FFFFF4CD"/>
      </top>
      <bottom style="thick">
        <color rgb="FF434343"/>
      </bottom>
    </border>
    <border>
      <top style="thin">
        <color rgb="FFFFF4CD"/>
      </top>
      <bottom style="thick">
        <color rgb="FF434343"/>
      </bottom>
    </border>
    <border>
      <right style="thin">
        <color rgb="FFFFF4CD"/>
      </right>
      <top style="thin">
        <color rgb="FFFFF4CD"/>
      </top>
      <bottom style="thick">
        <color rgb="FF434343"/>
      </bottom>
    </border>
    <border>
      <right style="thick">
        <color rgb="FF434343"/>
      </right>
      <top style="thin">
        <color rgb="FFFFF4CD"/>
      </top>
      <bottom style="thick">
        <color rgb="FF434343"/>
      </bottom>
    </border>
    <border>
      <right style="thin">
        <color rgb="FFFFFAE9"/>
      </right>
      <bottom style="thin">
        <color rgb="FFFFFAE9"/>
      </bottom>
    </border>
    <border>
      <left style="thin">
        <color rgb="FFFFFAE9"/>
      </left>
      <right style="thin">
        <color rgb="FFFFFAE9"/>
      </right>
    </border>
    <border>
      <left style="thin">
        <color rgb="FFFFFAE9"/>
      </left>
      <right style="thin">
        <color rgb="FFFFFAE9"/>
      </right>
      <top style="thin">
        <color rgb="FFDCEBE8"/>
      </top>
      <bottom style="thin">
        <color rgb="FFDCEBE8"/>
      </bottom>
    </border>
    <border>
      <left style="thin">
        <color rgb="FFFFFAE9"/>
      </left>
      <right style="thin">
        <color rgb="FFFFFAE9"/>
      </right>
      <bottom style="thin">
        <color rgb="FFDCEBE8"/>
      </bottom>
    </border>
    <border>
      <left style="thin">
        <color rgb="FFFFFAE9"/>
      </left>
      <right style="thin">
        <color rgb="FFFFFAE9"/>
      </right>
      <top style="thin">
        <color rgb="FFDCEBE8"/>
      </top>
    </border>
    <border>
      <left style="thin">
        <color rgb="FFFFFAE9"/>
      </left>
      <right style="thin">
        <color rgb="FFDCEBE8"/>
      </right>
      <top style="thin">
        <color rgb="FFFFFAE9"/>
      </top>
      <bottom style="thin">
        <color rgb="FFFFFAE9"/>
      </bottom>
    </border>
    <border>
      <left style="thin">
        <color rgb="FFDCEBE8"/>
      </left>
      <right style="thin">
        <color rgb="FFFFFAE9"/>
      </right>
      <top style="thin">
        <color rgb="FFFFFAE9"/>
      </top>
      <bottom style="thin">
        <color rgb="FFFFFAE9"/>
      </bottom>
    </border>
    <border>
      <left style="thick">
        <color rgb="FF3E3A3A"/>
      </left>
      <right style="thin">
        <color rgb="FFC4B783"/>
      </right>
      <bottom style="thin">
        <color rgb="FFC4B783"/>
      </bottom>
    </border>
    <border>
      <left style="thin">
        <color rgb="FFC4B783"/>
      </left>
      <right style="thin">
        <color rgb="FFC4B783"/>
      </right>
      <bottom style="thin">
        <color rgb="FFC4B783"/>
      </bottom>
    </border>
    <border>
      <left style="thin">
        <color rgb="FFC4B783"/>
      </left>
      <top style="thin">
        <color rgb="FF3E3A3A"/>
      </top>
      <bottom style="thin">
        <color rgb="FFC4B783"/>
      </bottom>
    </border>
    <border>
      <left style="medium">
        <color rgb="FF3E3A3A"/>
      </left>
      <right style="thick">
        <color rgb="FF3E3A3A"/>
      </right>
      <bottom style="thin">
        <color rgb="FFC4B783"/>
      </bottom>
    </border>
    <border>
      <left style="thick">
        <color rgb="FF3E3A3A"/>
      </left>
      <right style="thin">
        <color rgb="FFD5BB57"/>
      </right>
      <bottom style="thin">
        <color rgb="FFD5BB57"/>
      </bottom>
    </border>
    <border>
      <left style="thin">
        <color rgb="FFD5BB57"/>
      </left>
      <right style="thin">
        <color rgb="FFD5BB57"/>
      </right>
      <bottom style="thin">
        <color rgb="FFD5BB57"/>
      </bottom>
    </border>
    <border>
      <left style="thin">
        <color rgb="FFD5BB57"/>
      </left>
      <top style="thin">
        <color rgb="FF3E3A3A"/>
      </top>
      <bottom style="thin">
        <color rgb="FFD5BB57"/>
      </bottom>
    </border>
    <border>
      <left style="medium">
        <color rgb="FF3E3A3A"/>
      </left>
      <right style="thick">
        <color rgb="FF3E3A3A"/>
      </right>
      <bottom style="thin">
        <color rgb="FFD5BB57"/>
      </bottom>
    </border>
    <border>
      <left style="thick">
        <color rgb="FF3E3A3A"/>
      </left>
      <right style="thin">
        <color rgb="FFC4B783"/>
      </right>
      <top style="thin">
        <color rgb="FFC4B783"/>
      </top>
      <bottom style="thin">
        <color rgb="FFC4B783"/>
      </bottom>
    </border>
    <border>
      <left style="thin">
        <color rgb="FFC4B783"/>
      </left>
      <right style="thin">
        <color rgb="FFC4B783"/>
      </right>
      <top style="thin">
        <color rgb="FFC4B783"/>
      </top>
      <bottom style="thin">
        <color rgb="FFC4B783"/>
      </bottom>
    </border>
    <border>
      <left style="thin">
        <color rgb="FFC4B783"/>
      </left>
      <top style="thin">
        <color rgb="FFC4B783"/>
      </top>
      <bottom style="thin">
        <color rgb="FFC4B783"/>
      </bottom>
    </border>
    <border>
      <left style="medium">
        <color rgb="FF3E3A3A"/>
      </left>
      <right style="thick">
        <color rgb="FF3E3A3A"/>
      </right>
      <top style="thin">
        <color rgb="FFC4B783"/>
      </top>
      <bottom style="thin">
        <color rgb="FFC4B783"/>
      </bottom>
    </border>
    <border>
      <left style="thick">
        <color rgb="FF3E3A3A"/>
      </left>
      <right style="thin">
        <color rgb="FFD5BB57"/>
      </right>
      <top style="thin">
        <color rgb="FFD5BB57"/>
      </top>
      <bottom style="thin">
        <color rgb="FFD5BB57"/>
      </bottom>
    </border>
    <border>
      <left style="thin">
        <color rgb="FFD5BB57"/>
      </left>
      <right style="thin">
        <color rgb="FFD5BB57"/>
      </right>
      <top style="thin">
        <color rgb="FFD5BB57"/>
      </top>
      <bottom style="thin">
        <color rgb="FFD5BB57"/>
      </bottom>
    </border>
    <border>
      <left style="thin">
        <color rgb="FFD5BB57"/>
      </left>
      <top style="thin">
        <color rgb="FFD5BB57"/>
      </top>
      <bottom style="thin">
        <color rgb="FFD5BB57"/>
      </bottom>
    </border>
    <border>
      <left style="medium">
        <color rgb="FF3E3A3A"/>
      </left>
      <right style="thick">
        <color rgb="FF3E3A3A"/>
      </right>
      <top style="thin">
        <color rgb="FFD5BB57"/>
      </top>
      <bottom style="thin">
        <color rgb="FFD5BB57"/>
      </bottom>
    </border>
    <border>
      <left style="thick">
        <color rgb="FF3E3A3A"/>
      </left>
      <right style="thin">
        <color rgb="FFC4B783"/>
      </right>
      <top style="thin">
        <color rgb="FFC4B783"/>
      </top>
    </border>
    <border>
      <left style="thin">
        <color rgb="FFC4B783"/>
      </left>
      <right style="thin">
        <color rgb="FFC4B783"/>
      </right>
      <top style="thin">
        <color rgb="FFC4B783"/>
      </top>
    </border>
    <border>
      <left style="thin">
        <color rgb="FFC4B783"/>
      </left>
      <top style="thin">
        <color rgb="FFC4B783"/>
      </top>
    </border>
    <border>
      <left style="medium">
        <color rgb="FF3E3A3A"/>
      </left>
      <right style="thick">
        <color rgb="FF3E3A3A"/>
      </right>
      <top style="thin">
        <color rgb="FFC4B783"/>
      </top>
      <bottom style="medium">
        <color rgb="FF3E3A3A"/>
      </bottom>
    </border>
    <border>
      <left style="thick">
        <color rgb="FF3E3A3A"/>
      </left>
      <right style="thin">
        <color rgb="FFD5BB57"/>
      </right>
      <top style="thin">
        <color rgb="FFD5BB57"/>
      </top>
    </border>
    <border>
      <left style="thin">
        <color rgb="FFD5BB57"/>
      </left>
      <right style="thin">
        <color rgb="FFD5BB57"/>
      </right>
      <top style="thin">
        <color rgb="FFD5BB57"/>
      </top>
    </border>
    <border>
      <left style="thin">
        <color rgb="FFD5BB57"/>
      </left>
      <top style="thin">
        <color rgb="FFD5BB57"/>
      </top>
    </border>
    <border>
      <left style="medium">
        <color rgb="FF3E3A3A"/>
      </left>
      <right style="thick">
        <color rgb="FF3E3A3A"/>
      </right>
      <top style="thin">
        <color rgb="FFD5BB57"/>
      </top>
      <bottom style="medium">
        <color rgb="FF3E3A3A"/>
      </bottom>
    </border>
    <border>
      <left style="thick">
        <color rgb="FF3E3A3A"/>
      </left>
      <right style="thin">
        <color rgb="FFFFFAE9"/>
      </right>
      <top style="thin">
        <color rgb="FFFFFAE9"/>
      </top>
      <bottom style="thick">
        <color rgb="FF3E3A3A"/>
      </bottom>
    </border>
    <border>
      <left style="thin">
        <color rgb="FFFFFAE9"/>
      </left>
      <right style="thin">
        <color rgb="FFFFFAE9"/>
      </right>
      <top style="thin">
        <color rgb="FFFFFAE9"/>
      </top>
      <bottom style="thick">
        <color rgb="FF3E3A3A"/>
      </bottom>
    </border>
    <border>
      <left style="thin">
        <color rgb="FFFFFAE9"/>
      </left>
      <right style="thin">
        <color rgb="FFFFFAE9"/>
      </right>
      <bottom style="thick">
        <color rgb="FF3E3A3A"/>
      </bottom>
    </border>
    <border>
      <left style="thin">
        <color rgb="FFFFFAE9"/>
      </left>
      <top style="thin">
        <color rgb="FFFFFAE9"/>
      </top>
      <bottom style="thick">
        <color rgb="FF3E3A3A"/>
      </bottom>
    </border>
    <border>
      <left style="thin">
        <color rgb="FFFFFAE9"/>
      </left>
      <right style="thick">
        <color rgb="FF3E3A3A"/>
      </right>
      <top style="thin">
        <color rgb="FFFFFAE9"/>
      </top>
      <bottom style="thick">
        <color rgb="FF3E3A3A"/>
      </bottom>
    </border>
    <border>
      <left style="thin">
        <color rgb="FFFFFFFF"/>
      </left>
      <top style="thin">
        <color rgb="FFFFEFE2"/>
      </top>
      <bottom style="thin">
        <color rgb="FFFFEFE2"/>
      </bottom>
    </border>
    <border>
      <left style="medium">
        <color rgb="FFFFEFE2"/>
      </left>
      <top style="medium">
        <color rgb="FFFFEFE2"/>
      </top>
      <bottom style="medium">
        <color rgb="FFFFEFE2"/>
      </bottom>
    </border>
    <border>
      <right style="medium">
        <color rgb="FFFFEFE2"/>
      </right>
      <top style="medium">
        <color rgb="FFFFEFE2"/>
      </top>
      <bottom style="medium">
        <color rgb="FFFFEFE2"/>
      </bottom>
    </border>
    <border>
      <bottom style="thin">
        <color rgb="FFFFEFE2"/>
      </bottom>
    </border>
    <border>
      <left style="thin">
        <color rgb="FFFFF8EE"/>
      </left>
      <top style="thin">
        <color rgb="FFFFEFE2"/>
      </top>
      <bottom style="thin">
        <color rgb="FFFFEFE2"/>
      </bottom>
    </border>
    <border>
      <left style="thick">
        <color rgb="FF3E3A3A"/>
      </left>
      <right style="thin">
        <color rgb="FFEFEFEF"/>
      </right>
      <top style="thin">
        <color rgb="FFFFFFFF"/>
      </top>
      <bottom style="thin">
        <color rgb="FFEFEFEF"/>
      </bottom>
    </border>
    <border>
      <left style="thin">
        <color rgb="FFEFEFEF"/>
      </left>
      <right style="thin">
        <color rgb="FFEFEFEF"/>
      </right>
      <top style="thin">
        <color rgb="FFFFFFFF"/>
      </top>
      <bottom style="thin">
        <color rgb="FFEFEFEF"/>
      </bottom>
    </border>
    <border>
      <left style="thin">
        <color rgb="FFEFEFEF"/>
      </left>
      <right style="thick">
        <color rgb="FF3E3A3A"/>
      </right>
      <top style="thin">
        <color rgb="FFFFFFFF"/>
      </top>
      <bottom style="thin">
        <color rgb="FFEFEFEF"/>
      </bottom>
    </border>
    <border>
      <left style="thin">
        <color rgb="FFEFEFEF"/>
      </left>
      <right style="thin">
        <color rgb="FFEFEFEF"/>
      </right>
      <top style="thin">
        <color rgb="FFEFEFEF"/>
      </top>
      <bottom style="thin">
        <color rgb="FFEDE4DA"/>
      </bottom>
    </border>
    <border>
      <left style="thin">
        <color rgb="FFEFEFEF"/>
      </left>
      <top style="thin">
        <color rgb="FFEFEFEF"/>
      </top>
    </border>
    <border>
      <left style="thin">
        <color rgb="FFEFEFEF"/>
      </left>
      <right style="thick">
        <color rgb="FF3E3A3A"/>
      </right>
      <top style="thin">
        <color rgb="FFEFEFEF"/>
      </top>
    </border>
    <border>
      <left style="thin">
        <color rgb="FFEFEFEF"/>
      </left>
      <right style="thin">
        <color rgb="FFEFEFEF"/>
      </right>
      <top style="thin">
        <color rgb="FFFFEFE2"/>
      </top>
      <bottom style="thin">
        <color rgb="FFEFEFEF"/>
      </bottom>
    </border>
    <border>
      <left style="thin">
        <color rgb="FFEFEFEF"/>
      </left>
      <right style="thick">
        <color rgb="FF434343"/>
      </right>
      <top style="thin">
        <color rgb="FFEFEFEF"/>
      </top>
    </border>
    <border>
      <right style="thick">
        <color rgb="FF434343"/>
      </right>
      <top style="thin">
        <color rgb="FFEFEFEF"/>
      </top>
      <bottom style="thick">
        <color rgb="FF434343"/>
      </bottom>
    </border>
    <border>
      <left style="thin">
        <color rgb="FFEFEFEF"/>
      </left>
      <right style="thin">
        <color rgb="FFEFEFEF"/>
      </right>
      <bottom style="thin">
        <color rgb="FFDCEBE8"/>
      </bottom>
    </border>
    <border>
      <left style="thin">
        <color rgb="FFEFEFEF"/>
      </left>
      <right style="thin">
        <color rgb="FFEFEFEF"/>
      </right>
      <top style="thin">
        <color rgb="FFDCEBE8"/>
      </top>
      <bottom style="thin">
        <color rgb="FFDCEBE8"/>
      </bottom>
    </border>
    <border>
      <left style="thin">
        <color rgb="FFEFEFEF"/>
      </left>
      <right style="thin">
        <color rgb="FFEFEFEF"/>
      </right>
      <top style="thin">
        <color rgb="FFFFF8EE"/>
      </top>
      <bottom style="thin">
        <color rgb="FFFFF8EE"/>
      </bottom>
    </border>
    <border>
      <left style="thin">
        <color rgb="FFDCEBE8"/>
      </left>
      <top style="thin">
        <color rgb="FFEFEFEF"/>
      </top>
      <bottom style="thin">
        <color rgb="FFEFEFEF"/>
      </bottom>
    </border>
    <border>
      <left style="thin">
        <color rgb="FFFFF8EE"/>
      </left>
      <right style="thin">
        <color rgb="FFEFEFEF"/>
      </right>
      <top style="thin">
        <color rgb="FFEFEFEF"/>
      </top>
      <bottom style="thin">
        <color rgb="FFEFEFEF"/>
      </bottom>
    </border>
    <border>
      <left style="thin">
        <color rgb="FFDCEBE8"/>
      </left>
      <right style="thin">
        <color rgb="FFDCEBE8"/>
      </right>
      <top style="thin">
        <color rgb="FFEFEFEF"/>
      </top>
      <bottom style="thin">
        <color rgb="FFEFEFEF"/>
      </bottom>
    </border>
    <border>
      <left style="thick">
        <color rgb="FF3E3A3A"/>
      </left>
      <right style="thin">
        <color rgb="FF8C4F4A"/>
      </right>
      <bottom style="thin">
        <color rgb="FF8C4F4A"/>
      </bottom>
    </border>
    <border>
      <left style="thin">
        <color rgb="FF8C4F4A"/>
      </left>
      <right style="thin">
        <color rgb="FF8C4F4A"/>
      </right>
      <bottom style="thin">
        <color rgb="FF8C4F4A"/>
      </bottom>
    </border>
    <border>
      <left style="thin">
        <color rgb="FF8C4F4A"/>
      </left>
      <top style="thin">
        <color rgb="FF3E3A3A"/>
      </top>
      <bottom style="thin">
        <color rgb="FF8C4F4A"/>
      </bottom>
    </border>
    <border>
      <left style="medium">
        <color rgb="FF3E3A3A"/>
      </left>
      <right style="thick">
        <color rgb="FF3E3A3A"/>
      </right>
      <bottom style="thin">
        <color rgb="FF8C4F4A"/>
      </bottom>
    </border>
    <border>
      <left style="thick">
        <color rgb="FF3E3A3A"/>
      </left>
      <right style="thin">
        <color rgb="FF8C4F4A"/>
      </right>
      <top style="thin">
        <color rgb="FF8C4F4A"/>
      </top>
      <bottom style="thin">
        <color rgb="FF8C4F4A"/>
      </bottom>
    </border>
    <border>
      <left style="thin">
        <color rgb="FF8C4F4A"/>
      </left>
      <right style="thin">
        <color rgb="FF8C4F4A"/>
      </right>
      <top style="thin">
        <color rgb="FF8C4F4A"/>
      </top>
      <bottom style="thin">
        <color rgb="FF8C4F4A"/>
      </bottom>
    </border>
    <border>
      <left style="thin">
        <color rgb="FF8C4F4A"/>
      </left>
      <top style="thin">
        <color rgb="FF8C4F4A"/>
      </top>
      <bottom style="thin">
        <color rgb="FF8C4F4A"/>
      </bottom>
    </border>
    <border>
      <left style="medium">
        <color rgb="FF3E3A3A"/>
      </left>
      <right style="thick">
        <color rgb="FF3E3A3A"/>
      </right>
      <top style="thin">
        <color rgb="FF8C4F4A"/>
      </top>
      <bottom style="thin">
        <color rgb="FF8C4F4A"/>
      </bottom>
    </border>
    <border>
      <left style="thick">
        <color rgb="FF3E3A3A"/>
      </left>
      <right style="thin">
        <color rgb="FF8C4F4A"/>
      </right>
      <top style="thin">
        <color rgb="FF8C4F4A"/>
      </top>
    </border>
    <border>
      <left style="thin">
        <color rgb="FF8C4F4A"/>
      </left>
      <right style="thin">
        <color rgb="FF8C4F4A"/>
      </right>
      <top style="thin">
        <color rgb="FF8C4F4A"/>
      </top>
    </border>
    <border>
      <left style="thin">
        <color rgb="FF8C4F4A"/>
      </left>
      <top style="thin">
        <color rgb="FF8C4F4A"/>
      </top>
    </border>
    <border>
      <left style="medium">
        <color rgb="FF3E3A3A"/>
      </left>
      <right style="thick">
        <color rgb="FF3E3A3A"/>
      </right>
      <top style="thin">
        <color rgb="FF8C4F4A"/>
      </top>
      <bottom style="medium">
        <color rgb="FF3E3A3A"/>
      </bottom>
    </border>
    <border>
      <left style="thick">
        <color rgb="FF3E3A3A"/>
      </left>
      <right style="thin">
        <color rgb="FFFFEFE2"/>
      </right>
      <top style="thin">
        <color rgb="FFFFEFE2"/>
      </top>
    </border>
    <border>
      <left style="thick">
        <color rgb="FF434343"/>
      </left>
      <top style="thin">
        <color rgb="FFEFEFEF"/>
      </top>
      <bottom style="thick">
        <color rgb="FF3E3A3A"/>
      </bottom>
    </border>
    <border>
      <right style="thick">
        <color rgb="FF434343"/>
      </right>
      <top style="thin">
        <color rgb="FFEFEFEF"/>
      </top>
      <bottom style="thick">
        <color rgb="FF3E3A3A"/>
      </bottom>
    </border>
    <border>
      <left style="thin">
        <color rgb="FFFFF8EE"/>
      </left>
      <top style="thin">
        <color rgb="FFEFEFEF"/>
      </top>
      <bottom style="thin">
        <color rgb="FFEFEFEF"/>
      </bottom>
    </border>
    <border>
      <left style="thick">
        <color rgb="FF3E3A3A"/>
      </left>
      <right style="thin">
        <color rgb="FFE9EFFF"/>
      </right>
      <bottom style="thin">
        <color rgb="FFE9EFFF"/>
      </bottom>
    </border>
    <border>
      <left style="thin">
        <color rgb="FFE9EFFF"/>
      </left>
      <right style="thin">
        <color rgb="FFE9EFFF"/>
      </right>
      <bottom style="thin">
        <color rgb="FFE9EFFF"/>
      </bottom>
    </border>
    <border>
      <left style="thin">
        <color rgb="FFE9EFFF"/>
      </left>
      <right style="thick">
        <color rgb="FF3E3A3A"/>
      </right>
      <bottom style="thin">
        <color rgb="FFE9EFFF"/>
      </bottom>
    </border>
    <border>
      <left style="thick">
        <color rgb="FF3E3A3A"/>
      </left>
      <right style="thin">
        <color rgb="FFE9EFFF"/>
      </right>
      <top style="thin">
        <color rgb="FFE9EFFF"/>
      </top>
      <bottom style="thin">
        <color rgb="FFE9EFFF"/>
      </bottom>
    </border>
    <border>
      <left style="thin">
        <color rgb="FFE9EFFF"/>
      </left>
      <right style="thin">
        <color rgb="FFE9EFFF"/>
      </right>
      <top style="thin">
        <color rgb="FFE9EFFF"/>
      </top>
      <bottom style="thin">
        <color rgb="FFFFFFFF"/>
      </bottom>
    </border>
    <border>
      <left style="thin">
        <color rgb="FFE9EFFF"/>
      </left>
      <top style="thin">
        <color rgb="FFE9EFFF"/>
      </top>
    </border>
    <border>
      <top style="thin">
        <color rgb="FFE9EFFF"/>
      </top>
    </border>
    <border>
      <right style="thin">
        <color rgb="FFE9EFFF"/>
      </right>
      <top style="thin">
        <color rgb="FFE9EFFF"/>
      </top>
    </border>
    <border>
      <left style="thin">
        <color rgb="FFE9EFFF"/>
      </left>
      <right style="thick">
        <color rgb="FF3E3A3A"/>
      </right>
      <top style="thin">
        <color rgb="FFE9EFFF"/>
      </top>
    </border>
    <border>
      <left style="thick">
        <color rgb="FF3E3A3A"/>
      </left>
      <top style="thin">
        <color rgb="FFE9EFFF"/>
      </top>
      <bottom style="thin">
        <color rgb="FFE9EFFF"/>
      </bottom>
    </border>
    <border>
      <top style="thin">
        <color rgb="FFFFFFFF"/>
      </top>
      <bottom style="thin">
        <color rgb="FFE9EFFF"/>
      </bottom>
    </border>
    <border>
      <left style="thin">
        <color rgb="FFE9EFFF"/>
      </left>
      <top style="thin">
        <color rgb="FFE9EFFF"/>
      </top>
      <bottom style="thin">
        <color rgb="FFE9EFFF"/>
      </bottom>
    </border>
    <border>
      <top style="thin">
        <color rgb="FFE9EFFF"/>
      </top>
      <bottom style="thin">
        <color rgb="FFE9EFFF"/>
      </bottom>
    </border>
    <border>
      <right style="thin">
        <color rgb="FFE9EFFF"/>
      </right>
      <top style="thin">
        <color rgb="FFE9EFFF"/>
      </top>
      <bottom style="thin">
        <color rgb="FFE9EFFF"/>
      </bottom>
    </border>
    <border>
      <left style="thin">
        <color rgb="FFE9EFFF"/>
      </left>
      <right style="thin">
        <color rgb="FFE9EFFF"/>
      </right>
      <top style="thin">
        <color rgb="FFE9EFFF"/>
      </top>
    </border>
    <border>
      <left style="thin">
        <color rgb="FFE9EFFF"/>
      </left>
      <right style="thick">
        <color rgb="FF3E3A3A"/>
      </right>
      <top style="thin">
        <color rgb="FFE9EFFF"/>
      </top>
      <bottom style="thin">
        <color rgb="FFE9EFFF"/>
      </bottom>
    </border>
    <border>
      <left style="thick">
        <color rgb="FF434343"/>
      </left>
      <bottom style="medium">
        <color rgb="FFE9EFFF"/>
      </bottom>
    </border>
    <border>
      <bottom style="medium">
        <color rgb="FFE9EFFF"/>
      </bottom>
    </border>
    <border>
      <right style="thick">
        <color rgb="FF434343"/>
      </right>
      <bottom style="medium">
        <color rgb="FFE9EFFF"/>
      </bottom>
    </border>
    <border>
      <right style="thin">
        <color rgb="FFE9EFFF"/>
      </right>
    </border>
    <border>
      <left style="thin">
        <color rgb="FFE9EFFF"/>
      </left>
      <right style="thin">
        <color rgb="FFE9EFFF"/>
      </right>
    </border>
    <border>
      <left style="thick">
        <color rgb="FF434343"/>
      </left>
      <top style="medium">
        <color rgb="FFE9EFFF"/>
      </top>
      <bottom style="medium">
        <color rgb="FFE9EFFF"/>
      </bottom>
    </border>
    <border>
      <top style="medium">
        <color rgb="FFE9EFFF"/>
      </top>
      <bottom style="medium">
        <color rgb="FFE9EFFF"/>
      </bottom>
    </border>
    <border>
      <right style="thick">
        <color rgb="FF434343"/>
      </right>
      <top style="medium">
        <color rgb="FFE9EFFF"/>
      </top>
      <bottom style="medium">
        <color rgb="FFE9EFFF"/>
      </bottom>
    </border>
    <border>
      <left style="thick">
        <color rgb="FF434343"/>
      </left>
      <right style="medium">
        <color rgb="FFE9EFFF"/>
      </right>
      <top style="medium">
        <color rgb="FFE9EFFF"/>
      </top>
      <bottom style="medium">
        <color rgb="FFE9EFFF"/>
      </bottom>
    </border>
    <border>
      <left style="medium">
        <color rgb="FFE9EFFF"/>
      </left>
      <right style="medium">
        <color rgb="FFE9EFFF"/>
      </right>
      <top style="medium">
        <color rgb="FFE9EFFF"/>
      </top>
      <bottom style="medium">
        <color rgb="FFE9EFFF"/>
      </bottom>
    </border>
    <border>
      <left style="medium">
        <color rgb="FFE9EFFF"/>
      </left>
      <right style="thick">
        <color rgb="FF434343"/>
      </right>
      <top style="medium">
        <color rgb="FFE9EFFF"/>
      </top>
      <bottom style="medium">
        <color rgb="FFE9EFFF"/>
      </bottom>
    </border>
    <border>
      <left style="medium">
        <color rgb="FFE9EFFF"/>
      </left>
      <top style="medium">
        <color rgb="FFE9EFFF"/>
      </top>
      <bottom style="medium">
        <color rgb="FFE9EFFF"/>
      </bottom>
    </border>
    <border>
      <right style="medium">
        <color rgb="FFE9EFFF"/>
      </right>
      <top style="medium">
        <color rgb="FFE9EFFF"/>
      </top>
      <bottom style="medium">
        <color rgb="FFE9EFFF"/>
      </bottom>
    </border>
    <border>
      <left style="thin">
        <color rgb="FFE9EFFF"/>
      </left>
      <right style="thin">
        <color rgb="FFE9EFFF"/>
      </right>
      <top style="thin">
        <color rgb="FFDCEBE8"/>
      </top>
      <bottom style="thin">
        <color rgb="FFE9EFFF"/>
      </bottom>
    </border>
    <border>
      <left style="thick">
        <color rgb="FF434343"/>
      </left>
      <right style="medium">
        <color rgb="FFE9EFFF"/>
      </right>
      <top style="medium">
        <color rgb="FFE9EFFF"/>
      </top>
    </border>
    <border>
      <left style="medium">
        <color rgb="FFE9EFFF"/>
      </left>
      <right style="medium">
        <color rgb="FFE9EFFF"/>
      </right>
      <top style="medium">
        <color rgb="FFE9EFFF"/>
      </top>
    </border>
    <border>
      <left style="medium">
        <color rgb="FFE9EFFF"/>
      </left>
      <right style="thick">
        <color rgb="FF434343"/>
      </right>
      <top style="medium">
        <color rgb="FFE9EFFF"/>
      </top>
    </border>
    <border>
      <left style="thin">
        <color rgb="FFE9EFFF"/>
      </left>
      <right style="thin">
        <color rgb="FFE9EFFF"/>
      </right>
      <top style="thin">
        <color rgb="FFE9EFFF"/>
      </top>
      <bottom style="thin">
        <color rgb="FFE9EFFF"/>
      </bottom>
    </border>
    <border>
      <left style="thick">
        <color rgb="FF434343"/>
      </left>
      <top style="medium">
        <color rgb="FF434343"/>
      </top>
      <bottom style="thin">
        <color rgb="FFE9EFFF"/>
      </bottom>
    </border>
    <border>
      <top style="medium">
        <color rgb="FF434343"/>
      </top>
      <bottom style="thin">
        <color rgb="FFE9EFFF"/>
      </bottom>
    </border>
    <border>
      <right style="thick">
        <color rgb="FF434343"/>
      </right>
      <top style="medium">
        <color rgb="FF434343"/>
      </top>
      <bottom style="thin">
        <color rgb="FFE9EFFF"/>
      </bottom>
    </border>
    <border>
      <left style="thick">
        <color rgb="FF434343"/>
      </left>
      <top style="thin">
        <color rgb="FFE9EFFF"/>
      </top>
      <bottom style="thin">
        <color rgb="FFE9EFFF"/>
      </bottom>
    </border>
    <border>
      <right style="thick">
        <color rgb="FF434343"/>
      </right>
      <top style="thin">
        <color rgb="FFE9EFFF"/>
      </top>
      <bottom style="thin">
        <color rgb="FFE9EFFF"/>
      </bottom>
    </border>
    <border>
      <left style="thick">
        <color rgb="FF434343"/>
      </left>
      <top style="thin">
        <color rgb="FFE9EFFF"/>
      </top>
    </border>
    <border>
      <left style="thin">
        <color rgb="FFE9EFFF"/>
      </left>
      <right style="thick">
        <color rgb="FF434343"/>
      </right>
      <top style="thin">
        <color rgb="FFE9EFFF"/>
      </top>
    </border>
    <border>
      <right style="thin">
        <color rgb="FFE9EFFF"/>
      </right>
      <top style="medium">
        <color rgb="FF434343"/>
      </top>
      <bottom style="thin">
        <color rgb="FFE9EFFF"/>
      </bottom>
    </border>
    <border>
      <left style="thin">
        <color rgb="FFE9EFFF"/>
      </left>
      <right style="thick">
        <color rgb="FF434343"/>
      </right>
      <top style="medium">
        <color rgb="FF434343"/>
      </top>
      <bottom style="thin">
        <color rgb="FFE9EFFF"/>
      </bottom>
    </border>
    <border>
      <left style="thin">
        <color rgb="FFE9EFFF"/>
      </left>
      <right style="thick">
        <color rgb="FF434343"/>
      </right>
      <top style="thin">
        <color rgb="FFE9EFFF"/>
      </top>
      <bottom style="thin">
        <color rgb="FFE9EFFF"/>
      </bottom>
    </border>
    <border>
      <left style="thick">
        <color rgb="FF434343"/>
      </left>
      <top style="thin">
        <color rgb="FFE9EFFF"/>
      </top>
      <bottom style="thick">
        <color rgb="FF3E3A3A"/>
      </bottom>
    </border>
    <border>
      <top style="thin">
        <color rgb="FFE9EFFF"/>
      </top>
      <bottom style="thick">
        <color rgb="FF3E3A3A"/>
      </bottom>
    </border>
    <border>
      <right style="thin">
        <color rgb="FFE9EFFF"/>
      </right>
      <top style="thin">
        <color rgb="FFE9EFFF"/>
      </top>
      <bottom style="thick">
        <color rgb="FF3E3A3A"/>
      </bottom>
    </border>
    <border>
      <left style="thin">
        <color rgb="FFE9EFFF"/>
      </left>
      <right style="thick">
        <color rgb="FF434343"/>
      </right>
      <top style="thin">
        <color rgb="FFE9EFFF"/>
      </top>
      <bottom style="thick">
        <color rgb="FF3E3A3A"/>
      </bottom>
    </border>
    <border>
      <right style="thin">
        <color rgb="FFE9EFFF"/>
      </right>
      <bottom style="thin">
        <color rgb="FFE9EFFF"/>
      </bottom>
    </border>
    <border>
      <left style="thin">
        <color rgb="FFE9EFFF"/>
      </left>
      <right style="thin">
        <color rgb="FFE9EFFF"/>
      </right>
      <bottom style="thin">
        <color rgb="FFDCEBE8"/>
      </bottom>
    </border>
    <border>
      <left style="thin">
        <color rgb="FFE9EFFF"/>
      </left>
      <right style="thin">
        <color rgb="FFE9EFFF"/>
      </right>
      <top style="thin">
        <color rgb="FFDCEBE8"/>
      </top>
      <bottom style="thin">
        <color rgb="FFDCEBE8"/>
      </bottom>
    </border>
    <border>
      <left style="thin">
        <color rgb="FFE9EFFF"/>
      </left>
      <right style="thin">
        <color rgb="FFE9EFFF"/>
      </right>
      <top style="thin">
        <color rgb="FFFFF8EE"/>
      </top>
      <bottom style="thin">
        <color rgb="FFFFF8EE"/>
      </bottom>
    </border>
    <border>
      <left style="thin">
        <color rgb="FFE9EFFF"/>
      </left>
      <right style="thin">
        <color rgb="FFDCEBE8"/>
      </right>
      <top style="thin">
        <color rgb="FFE9EFFF"/>
      </top>
      <bottom style="thin">
        <color rgb="FFE9EFFF"/>
      </bottom>
    </border>
    <border>
      <left style="thin">
        <color rgb="FFFFF8EE"/>
      </left>
      <right style="thin">
        <color rgb="FFE9EFFF"/>
      </right>
      <top style="thin">
        <color rgb="FFE9EFFF"/>
      </top>
      <bottom style="thin">
        <color rgb="FFE9EFFF"/>
      </bottom>
    </border>
    <border>
      <left style="thick">
        <color rgb="FF3E3A3A"/>
      </left>
      <right style="thin">
        <color rgb="FF954DDF"/>
      </right>
      <bottom style="thin">
        <color rgb="FF954DDF"/>
      </bottom>
    </border>
    <border>
      <left style="thin">
        <color rgb="FF954DDF"/>
      </left>
      <right style="thin">
        <color rgb="FF954DDF"/>
      </right>
      <bottom style="thin">
        <color rgb="FF954DDF"/>
      </bottom>
    </border>
    <border>
      <left style="thin">
        <color rgb="FF954DDF"/>
      </left>
      <top style="thin">
        <color rgb="FF3E3A3A"/>
      </top>
      <bottom style="thin">
        <color rgb="FF954DDF"/>
      </bottom>
    </border>
    <border>
      <left style="medium">
        <color rgb="FF3E3A3A"/>
      </left>
      <right style="thick">
        <color rgb="FF3E3A3A"/>
      </right>
      <bottom style="thin">
        <color rgb="FF954DDF"/>
      </bottom>
    </border>
    <border>
      <left style="thick">
        <color rgb="FF3E3A3A"/>
      </left>
      <right style="thin">
        <color rgb="FF954DDF"/>
      </right>
      <top style="thin">
        <color rgb="FF954DDF"/>
      </top>
      <bottom style="thin">
        <color rgb="FF954DDF"/>
      </bottom>
    </border>
    <border>
      <left style="thin">
        <color rgb="FF954DDF"/>
      </left>
      <right style="thin">
        <color rgb="FF954DDF"/>
      </right>
      <top style="thin">
        <color rgb="FF954DDF"/>
      </top>
      <bottom style="thin">
        <color rgb="FF954DDF"/>
      </bottom>
    </border>
    <border>
      <left style="thin">
        <color rgb="FF954DDF"/>
      </left>
      <top style="thin">
        <color rgb="FF954DDF"/>
      </top>
      <bottom style="thin">
        <color rgb="FF954DDF"/>
      </bottom>
    </border>
    <border>
      <left style="medium">
        <color rgb="FF3E3A3A"/>
      </left>
      <right style="thick">
        <color rgb="FF3E3A3A"/>
      </right>
      <top style="thin">
        <color rgb="FF954DDF"/>
      </top>
      <bottom style="thin">
        <color rgb="FF954DDF"/>
      </bottom>
    </border>
    <border>
      <left style="thick">
        <color rgb="FF3E3A3A"/>
      </left>
      <right style="thin">
        <color rgb="FF954DDF"/>
      </right>
      <top style="thin">
        <color rgb="FF954DDF"/>
      </top>
    </border>
    <border>
      <left style="thin">
        <color rgb="FF954DDF"/>
      </left>
      <right style="thin">
        <color rgb="FF954DDF"/>
      </right>
      <top style="thin">
        <color rgb="FF954DDF"/>
      </top>
    </border>
    <border>
      <left style="thin">
        <color rgb="FF954DDF"/>
      </left>
      <top style="thin">
        <color rgb="FF954DDF"/>
      </top>
    </border>
    <border>
      <left style="medium">
        <color rgb="FF3E3A3A"/>
      </left>
      <right style="thick">
        <color rgb="FF3E3A3A"/>
      </right>
      <top style="thin">
        <color rgb="FF954DDF"/>
      </top>
      <bottom style="medium">
        <color rgb="FF3E3A3A"/>
      </bottom>
    </border>
    <border>
      <left style="thick">
        <color rgb="FF3E3A3A"/>
      </left>
      <right style="thin">
        <color rgb="FFE9EFFF"/>
      </right>
      <top style="thin">
        <color rgb="FFE9EFFF"/>
      </top>
      <bottom style="thick">
        <color rgb="FF3E3A3A"/>
      </bottom>
    </border>
    <border>
      <left style="thin">
        <color rgb="FFE9EFFF"/>
      </left>
      <right style="thin">
        <color rgb="FFE9EFFF"/>
      </right>
      <top style="thin">
        <color rgb="FFE9EFFF"/>
      </top>
      <bottom style="thick">
        <color rgb="FF3E3A3A"/>
      </bottom>
    </border>
    <border>
      <left style="thin">
        <color rgb="FFE9EFFF"/>
      </left>
      <right style="thin">
        <color rgb="FFE9EFFF"/>
      </right>
      <top style="thin">
        <color rgb="FFFFEFE2"/>
      </top>
      <bottom style="thick">
        <color rgb="FF3E3A3A"/>
      </bottom>
    </border>
    <border>
      <left style="thin">
        <color rgb="FFE9EFFF"/>
      </left>
      <right style="thin">
        <color rgb="FFE9EFFF"/>
      </right>
      <bottom style="thick">
        <color rgb="FF3E3A3A"/>
      </bottom>
    </border>
    <border>
      <left style="thin">
        <color rgb="FFE9EFFF"/>
      </left>
      <right style="thick">
        <color rgb="FF3E3A3A"/>
      </right>
      <top style="thin">
        <color rgb="FFE9EFFF"/>
      </top>
      <bottom style="thick">
        <color rgb="FF3E3A3A"/>
      </bottom>
    </border>
    <border>
      <left style="thick">
        <color rgb="FF3E3A3A"/>
      </left>
      <right style="thin">
        <color rgb="FFF7EEFF"/>
      </right>
      <top style="thin">
        <color rgb="FFF7EEFF"/>
      </top>
    </border>
    <border>
      <left style="thin">
        <color rgb="FFF7EEFF"/>
      </left>
      <right style="thin">
        <color rgb="FFF7EEFF"/>
      </right>
      <top style="thin">
        <color rgb="FFF7EEFF"/>
      </top>
      <bottom style="thin">
        <color rgb="FFFFFFFF"/>
      </bottom>
    </border>
    <border>
      <left style="thin">
        <color rgb="FFF7EEFF"/>
      </left>
      <top style="thin">
        <color rgb="FFF7EEFF"/>
      </top>
    </border>
    <border>
      <left style="thick">
        <color rgb="FF434343"/>
      </left>
      <bottom style="medium">
        <color rgb="FFF7EEFF"/>
      </bottom>
    </border>
    <border>
      <right style="thick">
        <color rgb="FF434343"/>
      </right>
      <bottom style="medium">
        <color rgb="FFF7EEFF"/>
      </bottom>
    </border>
    <border>
      <left style="thick">
        <color rgb="FF434343"/>
      </left>
      <top style="medium">
        <color rgb="FFF7EEFF"/>
      </top>
      <bottom style="medium">
        <color rgb="FFF7EEFF"/>
      </bottom>
    </border>
    <border>
      <right style="thick">
        <color rgb="FF434343"/>
      </right>
      <top style="medium">
        <color rgb="FFF7EEFF"/>
      </top>
      <bottom style="medium">
        <color rgb="FFF7EEFF"/>
      </bottom>
    </border>
    <border>
      <left style="thick">
        <color rgb="FF434343"/>
      </left>
      <right style="medium">
        <color rgb="FFF7EEFF"/>
      </right>
      <top style="medium">
        <color rgb="FFF7EEFF"/>
      </top>
      <bottom style="medium">
        <color rgb="FFF7EEFF"/>
      </bottom>
    </border>
    <border>
      <left style="medium">
        <color rgb="FFF7EEFF"/>
      </left>
      <right style="medium">
        <color rgb="FFF7EEFF"/>
      </right>
      <top style="medium">
        <color rgb="FFF7EEFF"/>
      </top>
      <bottom style="medium">
        <color rgb="FFF7EEFF"/>
      </bottom>
    </border>
    <border>
      <left style="medium">
        <color rgb="FFF7EEFF"/>
      </left>
      <right style="thick">
        <color rgb="FF434343"/>
      </right>
      <top style="medium">
        <color rgb="FFF7EEFF"/>
      </top>
      <bottom style="medium">
        <color rgb="FFF7EEFF"/>
      </bottom>
    </border>
    <border>
      <left style="thick">
        <color rgb="FF434343"/>
      </left>
      <right style="medium">
        <color rgb="FFF7EEFF"/>
      </right>
      <top style="medium">
        <color rgb="FFF7EEFF"/>
      </top>
    </border>
    <border>
      <left style="medium">
        <color rgb="FFF7EEFF"/>
      </left>
      <right style="thick">
        <color rgb="FF434343"/>
      </right>
      <top style="medium">
        <color rgb="FFF7EEFF"/>
      </top>
    </border>
    <border>
      <right style="thick">
        <color rgb="FF3E3A3A"/>
      </right>
      <top style="thin">
        <color rgb="FFF7EEFF"/>
      </top>
      <bottom style="thick">
        <color rgb="FF3E3A3A"/>
      </bottom>
    </border>
    <border>
      <right style="thick">
        <color rgb="FF434343"/>
      </right>
      <top style="thin">
        <color rgb="FFE9EFFF"/>
      </top>
      <bottom style="thick">
        <color rgb="FF3E3A3A"/>
      </bottom>
    </border>
    <border>
      <left style="thin">
        <color rgb="FFFFF8EE"/>
      </left>
      <top style="thin">
        <color rgb="FFE9EFFF"/>
      </top>
      <bottom style="thin">
        <color rgb="FFE9EFFF"/>
      </bottom>
    </border>
    <border>
      <left style="thin">
        <color rgb="FF7C58E5"/>
      </left>
      <right style="thin">
        <color rgb="FF7C58E5"/>
      </right>
      <bottom style="thin">
        <color rgb="FF7C58E5"/>
      </bottom>
    </border>
    <border>
      <left style="thick">
        <color rgb="FF3E3A3A"/>
      </left>
      <right style="thin">
        <color rgb="FFF7EEFF"/>
      </right>
      <top style="thick">
        <color rgb="FF3E3A3A"/>
      </top>
      <bottom style="thin">
        <color rgb="FFF7EEFF"/>
      </bottom>
    </border>
    <border>
      <left style="thin">
        <color rgb="FFF7EEFF"/>
      </left>
      <right style="thin">
        <color rgb="FFF7EEFF"/>
      </right>
      <top style="thick">
        <color rgb="FF3E3A3A"/>
      </top>
      <bottom style="thin">
        <color rgb="FFF7EEFF"/>
      </bottom>
    </border>
    <border>
      <left style="thin">
        <color rgb="FFF7EEFF"/>
      </left>
      <right style="thin">
        <color rgb="FFF7EEFF"/>
      </right>
      <top style="thick">
        <color rgb="FF3E3A3A"/>
      </top>
    </border>
    <border>
      <left style="thin">
        <color rgb="FFF7EEFF"/>
      </left>
      <right style="thick">
        <color rgb="FF3E3A3A"/>
      </right>
      <top style="thick">
        <color rgb="FF3E3A3A"/>
      </top>
      <bottom style="thin">
        <color rgb="FFF7EEFF"/>
      </bottom>
    </border>
    <border>
      <left style="thick">
        <color rgb="FF3E3A3A"/>
      </left>
      <right style="thin">
        <color rgb="FFFDFFEB"/>
      </right>
      <top style="thin">
        <color rgb="FFFFFFFF"/>
      </top>
      <bottom style="thin">
        <color rgb="FFFDFFEB"/>
      </bottom>
    </border>
    <border>
      <left style="thin">
        <color rgb="FFFDFFEB"/>
      </left>
      <right style="thin">
        <color rgb="FFFDFFEB"/>
      </right>
      <bottom style="thin">
        <color rgb="FFFDFFEB"/>
      </bottom>
    </border>
    <border>
      <left style="thin">
        <color rgb="FFFDFFEB"/>
      </left>
      <right style="thick">
        <color rgb="FF3E3A3A"/>
      </right>
      <top style="thin">
        <color rgb="FFFFFFFF"/>
      </top>
      <bottom style="thin">
        <color rgb="FFFDFFEB"/>
      </bottom>
    </border>
    <border>
      <left style="thick">
        <color rgb="FF3E3A3A"/>
      </left>
      <right style="thin">
        <color rgb="FFFDFFEB"/>
      </right>
      <top style="thin">
        <color rgb="FFFDFFEB"/>
      </top>
      <bottom style="thin">
        <color rgb="FFFDFFEB"/>
      </bottom>
    </border>
    <border>
      <left style="thin">
        <color rgb="FFFDFFEB"/>
      </left>
      <right style="thin">
        <color rgb="FFFDFFEB"/>
      </right>
      <top style="thin">
        <color rgb="FFFDFFEB"/>
      </top>
      <bottom style="thin">
        <color rgb="FFFDFFEB"/>
      </bottom>
    </border>
    <border>
      <left style="thin">
        <color rgb="FFFDFFEB"/>
      </left>
      <right style="thin">
        <color rgb="FFFDFFEB"/>
      </right>
      <top style="thin">
        <color rgb="FFFDFFEB"/>
      </top>
    </border>
    <border>
      <left style="thin">
        <color rgb="FFFDFFEB"/>
      </left>
      <right style="thick">
        <color rgb="FF3E3A3A"/>
      </right>
      <top style="thin">
        <color rgb="FFFDFFEB"/>
      </top>
      <bottom style="thin">
        <color rgb="FFFDFFEB"/>
      </bottom>
    </border>
    <border>
      <left style="thick">
        <color rgb="FF434343"/>
      </left>
      <bottom style="medium">
        <color rgb="FFFDFFEB"/>
      </bottom>
    </border>
    <border>
      <bottom style="medium">
        <color rgb="FFFDFFEB"/>
      </bottom>
    </border>
    <border>
      <right style="thick">
        <color rgb="FF434343"/>
      </right>
      <bottom style="medium">
        <color rgb="FFFDFFEB"/>
      </bottom>
    </border>
    <border>
      <left style="thin">
        <color rgb="FFFDFFEB"/>
      </left>
      <right style="thin">
        <color rgb="FFFDFFEB"/>
      </right>
    </border>
    <border>
      <left style="thick">
        <color rgb="FF434343"/>
      </left>
      <top style="medium">
        <color rgb="FFFDFFEB"/>
      </top>
      <bottom style="medium">
        <color rgb="FFFDFFEB"/>
      </bottom>
    </border>
    <border>
      <top style="medium">
        <color rgb="FFFDFFEB"/>
      </top>
      <bottom style="medium">
        <color rgb="FFFDFFEB"/>
      </bottom>
    </border>
    <border>
      <right style="thick">
        <color rgb="FF434343"/>
      </right>
      <top style="medium">
        <color rgb="FFFDFFEB"/>
      </top>
      <bottom style="medium">
        <color rgb="FFFDFFEB"/>
      </bottom>
    </border>
    <border>
      <left style="thick">
        <color rgb="FF434343"/>
      </left>
      <right style="medium">
        <color rgb="FFFDFFEB"/>
      </right>
      <top style="medium">
        <color rgb="FFFDFFEB"/>
      </top>
      <bottom style="medium">
        <color rgb="FFFDFFEB"/>
      </bottom>
    </border>
    <border>
      <left style="medium">
        <color rgb="FFFDFFEB"/>
      </left>
      <right style="medium">
        <color rgb="FFFDFFEB"/>
      </right>
      <top style="medium">
        <color rgb="FFFDFFEB"/>
      </top>
      <bottom style="medium">
        <color rgb="FFFDFFEB"/>
      </bottom>
    </border>
    <border>
      <left style="medium">
        <color rgb="FFFDFFEB"/>
      </left>
      <right style="thick">
        <color rgb="FF434343"/>
      </right>
      <top style="medium">
        <color rgb="FFFDFFEB"/>
      </top>
      <bottom style="medium">
        <color rgb="FFFDFFEB"/>
      </bottom>
    </border>
    <border>
      <left style="medium">
        <color rgb="FFFDFFEB"/>
      </left>
      <top style="medium">
        <color rgb="FFFDFFEB"/>
      </top>
      <bottom style="medium">
        <color rgb="FFFDFFEB"/>
      </bottom>
    </border>
    <border>
      <right style="medium">
        <color rgb="FFFDFFEB"/>
      </right>
      <top style="medium">
        <color rgb="FFFDFFEB"/>
      </top>
      <bottom style="medium">
        <color rgb="FFFDFFEB"/>
      </bottom>
    </border>
    <border>
      <left style="thick">
        <color rgb="FF434343"/>
      </left>
      <right style="medium">
        <color rgb="FFFDFFEB"/>
      </right>
      <top style="medium">
        <color rgb="FFFDFFEB"/>
      </top>
    </border>
    <border>
      <left style="medium">
        <color rgb="FFFDFFEB"/>
      </left>
      <right style="medium">
        <color rgb="FFFDFFEB"/>
      </right>
      <top style="medium">
        <color rgb="FFFDFFEB"/>
      </top>
    </border>
    <border>
      <left style="medium">
        <color rgb="FFFDFFEB"/>
      </left>
      <right style="thick">
        <color rgb="FF434343"/>
      </right>
      <top style="medium">
        <color rgb="FFFDFFEB"/>
      </top>
    </border>
    <border>
      <left style="thick">
        <color rgb="FF434343"/>
      </left>
      <top style="medium">
        <color rgb="FF434343"/>
      </top>
      <bottom style="thin">
        <color rgb="FFFDFFEB"/>
      </bottom>
    </border>
    <border>
      <top style="medium">
        <color rgb="FF434343"/>
      </top>
      <bottom style="thin">
        <color rgb="FFFDFFEB"/>
      </bottom>
    </border>
    <border>
      <right style="thick">
        <color rgb="FF434343"/>
      </right>
      <top style="medium">
        <color rgb="FF434343"/>
      </top>
      <bottom style="thin">
        <color rgb="FFFDFFEB"/>
      </bottom>
    </border>
    <border>
      <left style="thick">
        <color rgb="FF434343"/>
      </left>
      <top style="thin">
        <color rgb="FFFDFFEB"/>
      </top>
      <bottom style="thin">
        <color rgb="FFFDFFEB"/>
      </bottom>
    </border>
    <border>
      <top style="thin">
        <color rgb="FFFDFFEB"/>
      </top>
      <bottom style="thin">
        <color rgb="FFFDFFEB"/>
      </bottom>
    </border>
    <border>
      <right style="thick">
        <color rgb="FF434343"/>
      </right>
      <top style="thin">
        <color rgb="FFFDFFEB"/>
      </top>
      <bottom style="thin">
        <color rgb="FFFDFFEB"/>
      </bottom>
    </border>
    <border>
      <left style="thick">
        <color rgb="FF434343"/>
      </left>
      <top style="thin">
        <color rgb="FFFDFFEB"/>
      </top>
    </border>
    <border>
      <top style="thin">
        <color rgb="FFFDFFEB"/>
      </top>
    </border>
    <border>
      <right style="thin">
        <color rgb="FFFDFFEB"/>
      </right>
      <top style="thin">
        <color rgb="FFFDFFEB"/>
      </top>
    </border>
    <border>
      <left style="thin">
        <color rgb="FFFDFFEB"/>
      </left>
      <right style="thick">
        <color rgb="FF434343"/>
      </right>
      <top style="thin">
        <color rgb="FFFDFFEB"/>
      </top>
    </border>
    <border>
      <right style="thin">
        <color rgb="FFFDFFEB"/>
      </right>
      <top style="medium">
        <color rgb="FF434343"/>
      </top>
      <bottom style="thin">
        <color rgb="FFFDFFEB"/>
      </bottom>
    </border>
    <border>
      <right style="thin">
        <color rgb="FFFDFFEB"/>
      </right>
      <top style="thin">
        <color rgb="FFFDFFEB"/>
      </top>
      <bottom style="thin">
        <color rgb="FFFDFFEB"/>
      </bottom>
    </border>
    <border>
      <left style="thick">
        <color rgb="FF434343"/>
      </left>
      <top style="thin">
        <color rgb="FFFDFFEB"/>
      </top>
      <bottom style="thick">
        <color rgb="FF434343"/>
      </bottom>
    </border>
    <border>
      <top style="thin">
        <color rgb="FFFDFFEB"/>
      </top>
      <bottom style="thick">
        <color rgb="FF434343"/>
      </bottom>
    </border>
    <border>
      <right style="thin">
        <color rgb="FFFDFFEB"/>
      </right>
      <top style="thin">
        <color rgb="FFFDFFEB"/>
      </top>
      <bottom style="thick">
        <color rgb="FF434343"/>
      </bottom>
    </border>
    <border>
      <right style="thick">
        <color rgb="FF434343"/>
      </right>
      <top style="thin">
        <color rgb="FFFDFFEB"/>
      </top>
      <bottom style="thick">
        <color rgb="FF434343"/>
      </bottom>
    </border>
    <border>
      <left style="thin">
        <color rgb="FFFDFFEB"/>
      </left>
      <top style="thin">
        <color rgb="FFFDFFEB"/>
      </top>
      <bottom style="thin">
        <color rgb="FFFDFFEB"/>
      </bottom>
    </border>
    <border>
      <left style="thick">
        <color rgb="FF3E3A3A"/>
      </left>
      <right style="thin">
        <color rgb="FF79949C"/>
      </right>
      <bottom style="thin">
        <color rgb="FF79949C"/>
      </bottom>
    </border>
    <border>
      <left style="thin">
        <color rgb="FF79949C"/>
      </left>
      <right style="thin">
        <color rgb="FF79949C"/>
      </right>
      <bottom style="thin">
        <color rgb="FF79949C"/>
      </bottom>
    </border>
    <border>
      <left style="thin">
        <color rgb="FF79949C"/>
      </left>
      <top style="thin">
        <color rgb="FF3E3A3A"/>
      </top>
      <bottom style="thin">
        <color rgb="FF79949C"/>
      </bottom>
    </border>
    <border>
      <left style="medium">
        <color rgb="FF3E3A3A"/>
      </left>
      <right style="thick">
        <color rgb="FF3E3A3A"/>
      </right>
      <bottom style="thin">
        <color rgb="FF79949C"/>
      </bottom>
    </border>
    <border>
      <left style="thick">
        <color rgb="FF3E3A3A"/>
      </left>
      <right style="thin">
        <color rgb="FF79949C"/>
      </right>
      <top style="thin">
        <color rgb="FF79949C"/>
      </top>
      <bottom style="thin">
        <color rgb="FF79949C"/>
      </bottom>
    </border>
    <border>
      <left style="thin">
        <color rgb="FF79949C"/>
      </left>
      <right style="thin">
        <color rgb="FF79949C"/>
      </right>
      <top style="thin">
        <color rgb="FF79949C"/>
      </top>
      <bottom style="thin">
        <color rgb="FF79949C"/>
      </bottom>
    </border>
    <border>
      <left style="thin">
        <color rgb="FF79949C"/>
      </left>
      <top style="thin">
        <color rgb="FF79949C"/>
      </top>
      <bottom style="thin">
        <color rgb="FF79949C"/>
      </bottom>
    </border>
    <border>
      <left style="medium">
        <color rgb="FF3E3A3A"/>
      </left>
      <right style="thick">
        <color rgb="FF3E3A3A"/>
      </right>
      <top style="thin">
        <color rgb="FF79949C"/>
      </top>
      <bottom style="thin">
        <color rgb="FF79949C"/>
      </bottom>
    </border>
    <border>
      <left style="thick">
        <color rgb="FF3E3A3A"/>
      </left>
      <right style="thin">
        <color rgb="FF79949C"/>
      </right>
      <top style="thin">
        <color rgb="FF79949C"/>
      </top>
    </border>
    <border>
      <left style="thin">
        <color rgb="FF79949C"/>
      </left>
      <right style="thin">
        <color rgb="FF79949C"/>
      </right>
      <top style="thin">
        <color rgb="FF79949C"/>
      </top>
    </border>
    <border>
      <left style="thin">
        <color rgb="FF79949C"/>
      </left>
      <top style="thin">
        <color rgb="FF79949C"/>
      </top>
    </border>
    <border>
      <left style="medium">
        <color rgb="FF3E3A3A"/>
      </left>
      <right style="thick">
        <color rgb="FF3E3A3A"/>
      </right>
      <top style="thin">
        <color rgb="FF79949C"/>
      </top>
      <bottom style="medium">
        <color rgb="FF3E3A3A"/>
      </bottom>
    </border>
    <border>
      <left style="thick">
        <color rgb="FF3E3A3A"/>
      </left>
      <right style="thin">
        <color rgb="FFFDFFEB"/>
      </right>
      <top style="thin">
        <color rgb="FFFDFFEB"/>
      </top>
    </border>
    <border>
      <left style="thin">
        <color rgb="FFFDFFEB"/>
      </left>
      <top style="thin">
        <color rgb="FFFDFFEB"/>
      </top>
    </border>
    <border>
      <left style="thin">
        <color rgb="FFFDFFEB"/>
      </left>
      <right style="thick">
        <color rgb="FF3E3A3A"/>
      </right>
      <top style="thin">
        <color rgb="FFFDFFEB"/>
      </top>
    </border>
    <border>
      <left style="thick">
        <color rgb="FF3E3A3A"/>
      </left>
      <right style="thin">
        <color rgb="FFFDFFEB"/>
      </right>
      <top style="thin">
        <color rgb="FFFDFFEB"/>
      </top>
      <bottom style="thick">
        <color rgb="FF3E3A3A"/>
      </bottom>
    </border>
    <border>
      <left style="thin">
        <color rgb="FFFDFFEB"/>
      </left>
      <right style="thin">
        <color rgb="FFFDFFEB"/>
      </right>
      <top style="thin">
        <color rgb="FFFDFFEB"/>
      </top>
      <bottom style="thick">
        <color rgb="FF3E3A3A"/>
      </bottom>
    </border>
    <border>
      <left style="thin">
        <color rgb="FFFDFFEB"/>
      </left>
      <right style="thin">
        <color rgb="FFFDFFEB"/>
      </right>
      <bottom style="thick">
        <color rgb="FF3E3A3A"/>
      </bottom>
    </border>
    <border>
      <left style="thin">
        <color rgb="FFFDFFEB"/>
      </left>
      <right style="thick">
        <color rgb="FF3E3A3A"/>
      </right>
      <top style="thin">
        <color rgb="FFFDFFEB"/>
      </top>
      <bottom style="thick">
        <color rgb="FF3E3A3A"/>
      </bottom>
    </border>
    <border>
      <left style="thick">
        <color rgb="FF3E3A3A"/>
      </left>
      <right style="thin">
        <color rgb="FFFFFAE9"/>
      </right>
      <top style="thin">
        <color rgb="FFFFFAE9"/>
      </top>
    </border>
    <border>
      <left style="thin">
        <color rgb="FFFFFAE9"/>
      </left>
      <right style="thin">
        <color rgb="FFFFFAE9"/>
      </right>
      <top style="thin">
        <color rgb="FFFFFAE9"/>
      </top>
    </border>
    <border>
      <left style="thick">
        <color rgb="FF3E3A3A"/>
      </left>
      <right style="thin">
        <color rgb="FF9F6178"/>
      </right>
      <bottom style="thin">
        <color rgb="FF9F6178"/>
      </bottom>
    </border>
    <border>
      <left style="thin">
        <color rgb="FF9F6178"/>
      </left>
      <right style="thin">
        <color rgb="FF9F6178"/>
      </right>
      <bottom style="thin">
        <color rgb="FF9F6178"/>
      </bottom>
    </border>
    <border>
      <left style="thin">
        <color rgb="FF9F6178"/>
      </left>
      <top style="thin">
        <color rgb="FF3E3A3A"/>
      </top>
      <bottom style="thin">
        <color rgb="FF9F6178"/>
      </bottom>
    </border>
    <border>
      <left style="medium">
        <color rgb="FF3E3A3A"/>
      </left>
      <right style="thick">
        <color rgb="FF3E3A3A"/>
      </right>
      <bottom style="thin">
        <color rgb="FF9F6178"/>
      </bottom>
    </border>
    <border>
      <left style="thick">
        <color rgb="FF3E3A3A"/>
      </left>
      <right style="thin">
        <color rgb="FF9F6178"/>
      </right>
      <top style="thin">
        <color rgb="FF9F6178"/>
      </top>
      <bottom style="thin">
        <color rgb="FF9F6178"/>
      </bottom>
    </border>
    <border>
      <left style="thin">
        <color rgb="FF9F6178"/>
      </left>
      <right style="thin">
        <color rgb="FF9F6178"/>
      </right>
      <top style="thin">
        <color rgb="FF9F6178"/>
      </top>
      <bottom style="thin">
        <color rgb="FF9F6178"/>
      </bottom>
    </border>
    <border>
      <left style="thin">
        <color rgb="FF9F6178"/>
      </left>
      <top style="thin">
        <color rgb="FF9F6178"/>
      </top>
      <bottom style="thin">
        <color rgb="FF9F6178"/>
      </bottom>
    </border>
    <border>
      <left style="medium">
        <color rgb="FF3E3A3A"/>
      </left>
      <right style="thick">
        <color rgb="FF3E3A3A"/>
      </right>
      <top style="thin">
        <color rgb="FF9F6178"/>
      </top>
      <bottom style="thin">
        <color rgb="FF9F6178"/>
      </bottom>
    </border>
    <border>
      <left style="thick">
        <color rgb="FF3E3A3A"/>
      </left>
      <right style="thin">
        <color rgb="FF9F6178"/>
      </right>
      <top style="thin">
        <color rgb="FF9F6178"/>
      </top>
    </border>
    <border>
      <left style="thin">
        <color rgb="FF9F6178"/>
      </left>
      <right style="thin">
        <color rgb="FF9F6178"/>
      </right>
      <top style="thin">
        <color rgb="FF9F6178"/>
      </top>
    </border>
    <border>
      <left style="thin">
        <color rgb="FF9F6178"/>
      </left>
      <top style="thin">
        <color rgb="FF9F6178"/>
      </top>
    </border>
    <border>
      <left style="medium">
        <color rgb="FF3E3A3A"/>
      </left>
      <right style="thick">
        <color rgb="FF3E3A3A"/>
      </right>
      <top style="thin">
        <color rgb="FF9F6178"/>
      </top>
      <bottom style="medium">
        <color rgb="FF3E3A3A"/>
      </bottom>
    </border>
    <border>
      <left style="thick">
        <color rgb="FF3E3A3A"/>
      </left>
      <right style="thin">
        <color rgb="FFFFE6E6"/>
      </right>
      <bottom style="thin">
        <color rgb="FFFFE6E6"/>
      </bottom>
    </border>
    <border>
      <left style="thin">
        <color rgb="FFFFE6E6"/>
      </left>
      <right style="thin">
        <color rgb="FFFFE6E6"/>
      </right>
      <bottom style="thin">
        <color rgb="FFFFE6E6"/>
      </bottom>
    </border>
    <border>
      <left style="thin">
        <color rgb="FFFFE6E6"/>
      </left>
      <right style="thick">
        <color rgb="FF3E3A3A"/>
      </right>
      <bottom style="thin">
        <color rgb="FFFFE6E6"/>
      </bottom>
    </border>
    <border>
      <left style="thick">
        <color rgb="FF3E3A3A"/>
      </left>
      <right style="thin">
        <color rgb="FFFFE6E6"/>
      </right>
      <top style="thin">
        <color rgb="FFFFE6E6"/>
      </top>
      <bottom style="thin">
        <color rgb="FFFFE6E6"/>
      </bottom>
    </border>
    <border>
      <left style="thin">
        <color rgb="FFFFE6E6"/>
      </left>
      <right style="thin">
        <color rgb="FFFFE6E6"/>
      </right>
      <top style="thin">
        <color rgb="FFFFE6E6"/>
      </top>
      <bottom style="thin">
        <color rgb="FFFFE6E6"/>
      </bottom>
    </border>
    <border>
      <left style="thin">
        <color rgb="FFFFE6E6"/>
      </left>
      <right style="thin">
        <color rgb="FFFFE6E6"/>
      </right>
      <top style="thin">
        <color rgb="FFFFE6E6"/>
      </top>
    </border>
    <border>
      <left style="thin">
        <color rgb="FFFFE6E6"/>
      </left>
      <right style="thick">
        <color rgb="FF3E3A3A"/>
      </right>
      <top style="thin">
        <color rgb="FFFFE6E6"/>
      </top>
      <bottom style="thin">
        <color rgb="FFFFE6E6"/>
      </bottom>
    </border>
    <border>
      <left style="thick">
        <color rgb="FF434343"/>
      </left>
      <bottom style="medium">
        <color rgb="FFFFE6E6"/>
      </bottom>
    </border>
    <border>
      <bottom style="medium">
        <color rgb="FFFFE6E6"/>
      </bottom>
    </border>
    <border>
      <right style="thick">
        <color rgb="FF434343"/>
      </right>
      <bottom style="medium">
        <color rgb="FFFFE6E6"/>
      </bottom>
    </border>
    <border>
      <left style="thin">
        <color rgb="FFFFE6E6"/>
      </left>
      <right style="thin">
        <color rgb="FFFFE6E6"/>
      </right>
    </border>
    <border>
      <left style="thick">
        <color rgb="FF434343"/>
      </left>
      <top style="medium">
        <color rgb="FFFFE6E6"/>
      </top>
      <bottom style="medium">
        <color rgb="FFFFE6E6"/>
      </bottom>
    </border>
    <border>
      <top style="medium">
        <color rgb="FFFFE6E6"/>
      </top>
      <bottom style="medium">
        <color rgb="FFFFE6E6"/>
      </bottom>
    </border>
    <border>
      <right style="thick">
        <color rgb="FF434343"/>
      </right>
      <top style="medium">
        <color rgb="FFFFE6E6"/>
      </top>
      <bottom style="medium">
        <color rgb="FFFFE6E6"/>
      </bottom>
    </border>
    <border>
      <left style="thick">
        <color rgb="FF434343"/>
      </left>
      <right style="medium">
        <color rgb="FFFFE6E6"/>
      </right>
      <top style="medium">
        <color rgb="FFFFE6E6"/>
      </top>
      <bottom style="medium">
        <color rgb="FFFFE6E6"/>
      </bottom>
    </border>
    <border>
      <left style="medium">
        <color rgb="FFFFE6E6"/>
      </left>
      <right style="medium">
        <color rgb="FFFFE6E6"/>
      </right>
      <top style="medium">
        <color rgb="FFFFE6E6"/>
      </top>
      <bottom style="medium">
        <color rgb="FFFFE6E6"/>
      </bottom>
    </border>
    <border>
      <left style="medium">
        <color rgb="FFFFE6E6"/>
      </left>
      <right style="thick">
        <color rgb="FF434343"/>
      </right>
      <top style="medium">
        <color rgb="FFFFE6E6"/>
      </top>
      <bottom style="medium">
        <color rgb="FFFFE6E6"/>
      </bottom>
    </border>
    <border>
      <left style="medium">
        <color rgb="FFFFE6E6"/>
      </left>
      <top style="medium">
        <color rgb="FFFFE6E6"/>
      </top>
      <bottom style="medium">
        <color rgb="FFFFE6E6"/>
      </bottom>
    </border>
    <border>
      <right style="medium">
        <color rgb="FFFFE6E6"/>
      </right>
      <top style="medium">
        <color rgb="FFFFE6E6"/>
      </top>
      <bottom style="medium">
        <color rgb="FFFFE6E6"/>
      </bottom>
    </border>
    <border>
      <left style="thick">
        <color rgb="FF434343"/>
      </left>
      <right style="medium">
        <color rgb="FFFFE6E6"/>
      </right>
      <top style="medium">
        <color rgb="FFFFE6E6"/>
      </top>
    </border>
    <border>
      <left style="medium">
        <color rgb="FFFFE6E6"/>
      </left>
      <right style="medium">
        <color rgb="FFFFE6E6"/>
      </right>
      <top style="medium">
        <color rgb="FFFFE6E6"/>
      </top>
    </border>
    <border>
      <left style="medium">
        <color rgb="FFFFE6E6"/>
      </left>
      <right style="thick">
        <color rgb="FF434343"/>
      </right>
      <top style="medium">
        <color rgb="FFFFE6E6"/>
      </top>
    </border>
    <border>
      <left style="thick">
        <color rgb="FF434343"/>
      </left>
      <top style="medium">
        <color rgb="FF434343"/>
      </top>
      <bottom style="thin">
        <color rgb="FFFFE6E6"/>
      </bottom>
    </border>
    <border>
      <top style="medium">
        <color rgb="FF434343"/>
      </top>
      <bottom style="thin">
        <color rgb="FFFFE6E6"/>
      </bottom>
    </border>
    <border>
      <right style="thick">
        <color rgb="FF434343"/>
      </right>
      <top style="medium">
        <color rgb="FF434343"/>
      </top>
      <bottom style="thin">
        <color rgb="FFFFE6E6"/>
      </bottom>
    </border>
    <border>
      <left style="thick">
        <color rgb="FF434343"/>
      </left>
      <top style="thin">
        <color rgb="FFFFE6E6"/>
      </top>
      <bottom style="thin">
        <color rgb="FFFFE6E6"/>
      </bottom>
    </border>
    <border>
      <top style="thin">
        <color rgb="FFFFE6E6"/>
      </top>
      <bottom style="thin">
        <color rgb="FFFFE6E6"/>
      </bottom>
    </border>
    <border>
      <right style="thick">
        <color rgb="FF434343"/>
      </right>
      <top style="thin">
        <color rgb="FFFFE6E6"/>
      </top>
      <bottom style="thin">
        <color rgb="FFFFE6E6"/>
      </bottom>
    </border>
    <border>
      <left style="thick">
        <color rgb="FF3E3A3A"/>
      </left>
      <top style="thin">
        <color rgb="FFFFE6E6"/>
      </top>
    </border>
    <border>
      <top style="thin">
        <color rgb="FFFFE6E6"/>
      </top>
    </border>
    <border>
      <right style="thin">
        <color rgb="FFFFE6E6"/>
      </right>
      <top style="thin">
        <color rgb="FFFFE6E6"/>
      </top>
    </border>
    <border>
      <left style="thin">
        <color rgb="FFFFE6E6"/>
      </left>
      <right style="thick">
        <color rgb="FF3E3A3A"/>
      </right>
      <top style="thin">
        <color rgb="FFFFE6E6"/>
      </top>
    </border>
    <border>
      <left style="thick">
        <color rgb="FF3E3A3A"/>
      </left>
      <top style="medium">
        <color rgb="FF3E3A3A"/>
      </top>
      <bottom style="thin">
        <color rgb="FFFFE6E6"/>
      </bottom>
    </border>
    <border>
      <top style="medium">
        <color rgb="FF3E3A3A"/>
      </top>
      <bottom style="thin">
        <color rgb="FFFFE6E6"/>
      </bottom>
    </border>
    <border>
      <right style="thin">
        <color rgb="FFFFE6E6"/>
      </right>
      <top style="medium">
        <color rgb="FF3E3A3A"/>
      </top>
      <bottom style="thin">
        <color rgb="FFFFE6E6"/>
      </bottom>
    </border>
    <border>
      <left style="thin">
        <color rgb="FFFFE6E6"/>
      </left>
      <right style="thick">
        <color rgb="FF3E3A3A"/>
      </right>
      <top style="medium">
        <color rgb="FF3E3A3A"/>
      </top>
      <bottom style="thin">
        <color rgb="FFFFE6E6"/>
      </bottom>
    </border>
    <border>
      <right style="thin">
        <color rgb="FFFFE6E6"/>
      </right>
      <top style="thin">
        <color rgb="FFFFE6E6"/>
      </top>
      <bottom style="thin">
        <color rgb="FFFFE6E6"/>
      </bottom>
    </border>
    <border>
      <left style="thin">
        <color rgb="FFFFE6E6"/>
      </left>
      <right style="thick">
        <color rgb="FF434343"/>
      </right>
      <top style="thin">
        <color rgb="FFFFE6E6"/>
      </top>
      <bottom style="thin">
        <color rgb="FFFFE6E6"/>
      </bottom>
    </border>
    <border>
      <left style="thick">
        <color rgb="FF434343"/>
      </left>
      <top style="thin">
        <color rgb="FFFFE6E6"/>
      </top>
      <bottom style="thick">
        <color rgb="FF434343"/>
      </bottom>
    </border>
    <border>
      <top style="thin">
        <color rgb="FFFFE6E6"/>
      </top>
      <bottom style="thick">
        <color rgb="FF434343"/>
      </bottom>
    </border>
    <border>
      <right style="thin">
        <color rgb="FFFFE6E6"/>
      </right>
      <top style="thin">
        <color rgb="FFFFE6E6"/>
      </top>
      <bottom style="thick">
        <color rgb="FF434343"/>
      </bottom>
    </border>
    <border>
      <left style="thin">
        <color rgb="FFFFE6E6"/>
      </left>
      <right style="thick">
        <color rgb="FF434343"/>
      </right>
      <top style="thin">
        <color rgb="FFFFE6E6"/>
      </top>
      <bottom style="thick">
        <color rgb="FF434343"/>
      </bottom>
    </border>
    <border>
      <left style="thin">
        <color rgb="FFFFE6E6"/>
      </left>
      <top style="thin">
        <color rgb="FFFFE6E6"/>
      </top>
      <bottom style="thin">
        <color rgb="FFFFE6E6"/>
      </bottom>
    </border>
    <border>
      <left style="thick">
        <color rgb="FF3E3A3A"/>
      </left>
      <right style="thin">
        <color rgb="FFE6AF5F"/>
      </right>
      <bottom style="thin">
        <color rgb="FFE6AF5F"/>
      </bottom>
    </border>
    <border>
      <left style="thin">
        <color rgb="FFE6AF5F"/>
      </left>
      <right style="thin">
        <color rgb="FFE6AF5F"/>
      </right>
      <bottom style="thin">
        <color rgb="FFE6AF5F"/>
      </bottom>
    </border>
    <border>
      <left style="thin">
        <color rgb="FFE6AF5F"/>
      </left>
      <top style="thin">
        <color rgb="FF3E3A3A"/>
      </top>
      <bottom style="thin">
        <color rgb="FFE6AF5F"/>
      </bottom>
    </border>
    <border>
      <left style="medium">
        <color rgb="FF3E3A3A"/>
      </left>
      <right style="thick">
        <color rgb="FF3E3A3A"/>
      </right>
      <bottom style="thin">
        <color rgb="FFE6AF5F"/>
      </bottom>
    </border>
    <border>
      <left style="thick">
        <color rgb="FF3E3A3A"/>
      </left>
      <right style="thin">
        <color rgb="FFE6AF5F"/>
      </right>
      <top style="thin">
        <color rgb="FFE6AF5F"/>
      </top>
      <bottom style="thin">
        <color rgb="FFE6AF5F"/>
      </bottom>
    </border>
    <border>
      <left style="thin">
        <color rgb="FFE6AF5F"/>
      </left>
      <right style="thin">
        <color rgb="FFE6AF5F"/>
      </right>
      <top style="thin">
        <color rgb="FFE6AF5F"/>
      </top>
      <bottom style="thin">
        <color rgb="FFE6AF5F"/>
      </bottom>
    </border>
    <border>
      <left style="thin">
        <color rgb="FFE6AF5F"/>
      </left>
      <top style="thin">
        <color rgb="FFE6AF5F"/>
      </top>
      <bottom style="thin">
        <color rgb="FFE6AF5F"/>
      </bottom>
    </border>
    <border>
      <left style="medium">
        <color rgb="FF3E3A3A"/>
      </left>
      <right style="thick">
        <color rgb="FF3E3A3A"/>
      </right>
      <top style="thin">
        <color rgb="FFE6AF5F"/>
      </top>
      <bottom style="thin">
        <color rgb="FFE6AF5F"/>
      </bottom>
    </border>
    <border>
      <left style="thick">
        <color rgb="FF3E3A3A"/>
      </left>
      <right style="thin">
        <color rgb="FFE6AF5F"/>
      </right>
      <top style="thin">
        <color rgb="FFE6AF5F"/>
      </top>
    </border>
    <border>
      <left style="thin">
        <color rgb="FFE6AF5F"/>
      </left>
      <right style="thin">
        <color rgb="FFE6AF5F"/>
      </right>
      <top style="thin">
        <color rgb="FFE6AF5F"/>
      </top>
    </border>
    <border>
      <left style="thin">
        <color rgb="FFE6AF5F"/>
      </left>
      <top style="thin">
        <color rgb="FFE6AF5F"/>
      </top>
    </border>
    <border>
      <left style="medium">
        <color rgb="FF3E3A3A"/>
      </left>
      <right style="thick">
        <color rgb="FF3E3A3A"/>
      </right>
      <top style="thin">
        <color rgb="FFE6AF5F"/>
      </top>
      <bottom style="medium">
        <color rgb="FF3E3A3A"/>
      </bottom>
    </border>
    <border>
      <left style="thick">
        <color rgb="FF3E3A3A"/>
      </left>
      <right style="thin">
        <color rgb="FFFFE6E6"/>
      </right>
      <top style="thin">
        <color rgb="FFFFE6E6"/>
      </top>
    </border>
    <border>
      <left style="thick">
        <color rgb="FF3E3A3A"/>
      </left>
      <right style="thin">
        <color rgb="FFFFE6E6"/>
      </right>
      <top style="thin">
        <color rgb="FFFFE6E6"/>
      </top>
      <bottom style="thick">
        <color rgb="FF3E3A3A"/>
      </bottom>
    </border>
    <border>
      <left style="thin">
        <color rgb="FFFFE6E6"/>
      </left>
      <right style="thin">
        <color rgb="FFFFE6E6"/>
      </right>
      <top style="thin">
        <color rgb="FFFFE6E6"/>
      </top>
      <bottom style="thick">
        <color rgb="FF3E3A3A"/>
      </bottom>
    </border>
    <border>
      <left style="thin">
        <color rgb="FFFFE6E6"/>
      </left>
      <right style="thick">
        <color rgb="FF3E3A3A"/>
      </right>
      <top style="thin">
        <color rgb="FFFFE6E6"/>
      </top>
      <bottom style="thick">
        <color rgb="FF3E3A3A"/>
      </bottom>
    </border>
    <border>
      <left style="thick">
        <color rgb="FF3E3A3A"/>
      </left>
      <right style="thin">
        <color rgb="FFEDE8E8"/>
      </right>
      <bottom style="thin">
        <color rgb="FFEDE8E8"/>
      </bottom>
    </border>
    <border>
      <left style="thin">
        <color rgb="FFEDE8E8"/>
      </left>
      <right style="thin">
        <color rgb="FFEDE8E8"/>
      </right>
      <bottom style="thin">
        <color rgb="FFEDE8E8"/>
      </bottom>
    </border>
    <border>
      <left style="thin">
        <color rgb="FFEDE8E8"/>
      </left>
      <right style="thick">
        <color rgb="FF3E3A3A"/>
      </right>
      <bottom style="thin">
        <color rgb="FFEDE8E8"/>
      </bottom>
    </border>
    <border>
      <left style="thick">
        <color rgb="FF3E3A3A"/>
      </left>
      <right style="thin">
        <color rgb="FFEDE8E8"/>
      </right>
      <top style="thin">
        <color rgb="FFEDE8E8"/>
      </top>
      <bottom style="thin">
        <color rgb="FFEDE8E8"/>
      </bottom>
    </border>
    <border>
      <left style="thin">
        <color rgb="FFEDE8E8"/>
      </left>
      <right style="thin">
        <color rgb="FFEDE8E8"/>
      </right>
      <top style="thin">
        <color rgb="FFEDE8E8"/>
      </top>
      <bottom style="thin">
        <color rgb="FFEDE8E8"/>
      </bottom>
    </border>
    <border>
      <left style="thin">
        <color rgb="FFEDE8E8"/>
      </left>
      <right style="thick">
        <color rgb="FF3E3A3A"/>
      </right>
      <top style="thin">
        <color rgb="FFEDE8E8"/>
      </top>
      <bottom style="thin">
        <color rgb="FFEDE8E8"/>
      </bottom>
    </border>
    <border>
      <left style="thin">
        <color rgb="FFEDE8E8"/>
      </left>
      <right style="thin">
        <color rgb="FFEDE8E8"/>
      </right>
      <top style="thin">
        <color rgb="FFEDE8E8"/>
      </top>
      <bottom style="thin">
        <color rgb="FFEDE4DA"/>
      </bottom>
    </border>
    <border>
      <left style="thick">
        <color rgb="FF3E3A3A"/>
      </left>
      <right style="thin">
        <color rgb="FFEDE4DA"/>
      </right>
      <top style="thin">
        <color rgb="FFEDE8E8"/>
      </top>
      <bottom style="thin">
        <color rgb="FFEDE8E8"/>
      </bottom>
    </border>
    <border>
      <left style="thin">
        <color rgb="FFEDE4DA"/>
      </left>
      <right style="thin">
        <color rgb="FFEDE4DA"/>
      </right>
      <top style="thin">
        <color rgb="FFEDE8E8"/>
      </top>
      <bottom style="thin">
        <color rgb="FFEDE8E8"/>
      </bottom>
    </border>
    <border>
      <left style="thin">
        <color rgb="FFEDE4DA"/>
      </left>
      <top style="thin">
        <color rgb="FFEDE8E8"/>
      </top>
    </border>
    <border>
      <right style="thick">
        <color rgb="FF3E3A3A"/>
      </right>
      <top style="thin">
        <color rgb="FFEDE8E8"/>
      </top>
      <bottom style="thin">
        <color rgb="FFEDE8E8"/>
      </bottom>
    </border>
    <border>
      <left style="thin">
        <color rgb="FFEDE4DA"/>
      </left>
      <top style="thin">
        <color rgb="FFEDE8E8"/>
      </top>
      <bottom style="thin">
        <color rgb="FFEDE8E8"/>
      </bottom>
    </border>
    <border>
      <left style="thick">
        <color rgb="FF434343"/>
      </left>
      <bottom style="medium">
        <color rgb="FFEDE8E8"/>
      </bottom>
    </border>
    <border>
      <bottom style="medium">
        <color rgb="FFEDE8E8"/>
      </bottom>
    </border>
    <border>
      <right style="thick">
        <color rgb="FF434343"/>
      </right>
      <bottom style="medium">
        <color rgb="FFEDE8E8"/>
      </bottom>
    </border>
    <border>
      <left style="thin">
        <color rgb="FFEDE4DA"/>
      </left>
    </border>
    <border>
      <left style="thick">
        <color rgb="FF434343"/>
      </left>
      <top style="medium">
        <color rgb="FFEDE8E8"/>
      </top>
      <bottom style="medium">
        <color rgb="FFEDE8E8"/>
      </bottom>
    </border>
    <border>
      <top style="medium">
        <color rgb="FFEDE8E8"/>
      </top>
      <bottom style="medium">
        <color rgb="FFEDE8E8"/>
      </bottom>
    </border>
    <border>
      <right style="thick">
        <color rgb="FF434343"/>
      </right>
      <top style="medium">
        <color rgb="FFEDE8E8"/>
      </top>
      <bottom style="medium">
        <color rgb="FFEDE8E8"/>
      </bottom>
    </border>
    <border>
      <left style="thick">
        <color rgb="FF434343"/>
      </left>
      <right style="medium">
        <color rgb="FFEDE8E8"/>
      </right>
      <top style="medium">
        <color rgb="FFEDE8E8"/>
      </top>
      <bottom style="medium">
        <color rgb="FFEDE8E8"/>
      </bottom>
    </border>
    <border>
      <left style="medium">
        <color rgb="FFEDE8E8"/>
      </left>
      <right style="medium">
        <color rgb="FFEDE8E8"/>
      </right>
      <top style="medium">
        <color rgb="FFEDE8E8"/>
      </top>
      <bottom style="medium">
        <color rgb="FFEDE8E8"/>
      </bottom>
    </border>
    <border>
      <left style="medium">
        <color rgb="FFEDE8E8"/>
      </left>
      <right style="thick">
        <color rgb="FF434343"/>
      </right>
      <top style="medium">
        <color rgb="FFEDE8E8"/>
      </top>
      <bottom style="medium">
        <color rgb="FFEDE8E8"/>
      </bottom>
    </border>
    <border>
      <left style="medium">
        <color rgb="FFEDE8E8"/>
      </left>
      <top style="medium">
        <color rgb="FFEDE8E8"/>
      </top>
      <bottom style="medium">
        <color rgb="FFEDE8E8"/>
      </bottom>
    </border>
    <border>
      <right style="medium">
        <color rgb="FFEDE8E8"/>
      </right>
      <top style="medium">
        <color rgb="FFEDE8E8"/>
      </top>
      <bottom style="medium">
        <color rgb="FFEDE8E8"/>
      </bottom>
    </border>
    <border>
      <left style="thin">
        <color rgb="FFEDE4DA"/>
      </left>
      <right style="thick">
        <color rgb="FF3E3A3A"/>
      </right>
      <top style="thin">
        <color rgb="FFEDE8E8"/>
      </top>
      <bottom style="thin">
        <color rgb="FFEDE8E8"/>
      </bottom>
    </border>
    <border>
      <left style="thin">
        <color rgb="FFEDE8E8"/>
      </left>
      <right style="thin">
        <color rgb="FFEDE8E8"/>
      </right>
      <top style="thin">
        <color rgb="FFFFE6E6"/>
      </top>
      <bottom style="thin">
        <color rgb="FFEDE8E8"/>
      </bottom>
    </border>
    <border>
      <left style="thin">
        <color rgb="FFEDE8E8"/>
      </left>
      <right style="thin">
        <color rgb="FFEDE4DA"/>
      </right>
      <top style="thin">
        <color rgb="FFEDE8E8"/>
      </top>
      <bottom style="thin">
        <color rgb="FFEDE8E8"/>
      </bottom>
    </border>
    <border>
      <left style="thick">
        <color rgb="FF434343"/>
      </left>
      <right style="medium">
        <color rgb="FFEDE8E8"/>
      </right>
      <top style="medium">
        <color rgb="FFEDE8E8"/>
      </top>
    </border>
    <border>
      <left style="medium">
        <color rgb="FFEDE8E8"/>
      </left>
      <right style="medium">
        <color rgb="FFEDE8E8"/>
      </right>
      <top style="medium">
        <color rgb="FFEDE8E8"/>
      </top>
    </border>
    <border>
      <left style="medium">
        <color rgb="FFEDE8E8"/>
      </left>
      <right style="thick">
        <color rgb="FF434343"/>
      </right>
      <top style="medium">
        <color rgb="FFEDE8E8"/>
      </top>
    </border>
    <border>
      <left style="thin">
        <color rgb="FFEDE8E8"/>
      </left>
      <top style="thin">
        <color rgb="FFEDE8E8"/>
      </top>
      <bottom style="thin">
        <color rgb="FFEDE8E8"/>
      </bottom>
    </border>
    <border>
      <left style="thick">
        <color rgb="FF434343"/>
      </left>
      <top style="medium">
        <color rgb="FF434343"/>
      </top>
      <bottom style="thin">
        <color rgb="FFEDE8E8"/>
      </bottom>
    </border>
    <border>
      <top style="medium">
        <color rgb="FF434343"/>
      </top>
      <bottom style="thin">
        <color rgb="FFEDE8E8"/>
      </bottom>
    </border>
    <border>
      <right style="thick">
        <color rgb="FF434343"/>
      </right>
      <top style="medium">
        <color rgb="FF434343"/>
      </top>
      <bottom style="thin">
        <color rgb="FFEDE8E8"/>
      </bottom>
    </border>
    <border>
      <left style="thin">
        <color rgb="FFEDE8E8"/>
      </left>
      <right style="thin">
        <color rgb="FFEDE8E8"/>
      </right>
      <top style="thin">
        <color rgb="FFEDE8E8"/>
      </top>
    </border>
    <border>
      <left style="thick">
        <color rgb="FF434343"/>
      </left>
      <top style="thin">
        <color rgb="FFEDE8E8"/>
      </top>
      <bottom style="thin">
        <color rgb="FFEDE8E8"/>
      </bottom>
    </border>
    <border>
      <top style="thin">
        <color rgb="FFEDE8E8"/>
      </top>
      <bottom style="thin">
        <color rgb="FFEDE8E8"/>
      </bottom>
    </border>
    <border>
      <right style="thick">
        <color rgb="FF434343"/>
      </right>
      <top style="thin">
        <color rgb="FFEDE8E8"/>
      </top>
      <bottom style="thin">
        <color rgb="FFEDE8E8"/>
      </bottom>
    </border>
    <border>
      <left style="thin">
        <color rgb="FFEDE8E8"/>
      </left>
      <right style="thin">
        <color rgb="FFEDE8E8"/>
      </right>
    </border>
    <border>
      <left style="thick">
        <color rgb="FF434343"/>
      </left>
      <top style="thin">
        <color rgb="FFEDE8E8"/>
      </top>
    </border>
    <border>
      <top style="thin">
        <color rgb="FFEDE8E8"/>
      </top>
    </border>
    <border>
      <right style="thin">
        <color rgb="FFEDE8E8"/>
      </right>
      <top style="thin">
        <color rgb="FFEDE8E8"/>
      </top>
    </border>
    <border>
      <left style="thin">
        <color rgb="FFEDE8E8"/>
      </left>
      <right style="thick">
        <color rgb="FF434343"/>
      </right>
      <top style="thin">
        <color rgb="FFEDE8E8"/>
      </top>
    </border>
    <border>
      <right style="thin">
        <color rgb="FFEDE8E8"/>
      </right>
      <top style="medium">
        <color rgb="FF434343"/>
      </top>
      <bottom style="thin">
        <color rgb="FFEDE8E8"/>
      </bottom>
    </border>
    <border>
      <right style="thin">
        <color rgb="FFEDE8E8"/>
      </right>
      <top style="thin">
        <color rgb="FFEDE8E8"/>
      </top>
      <bottom style="thin">
        <color rgb="FFEDE8E8"/>
      </bottom>
    </border>
    <border>
      <left style="thick">
        <color rgb="FF434343"/>
      </left>
      <top style="thin">
        <color rgb="FFEDE8E8"/>
      </top>
      <bottom style="thick">
        <color rgb="FF000000"/>
      </bottom>
    </border>
    <border>
      <top style="thin">
        <color rgb="FFEDE8E8"/>
      </top>
      <bottom style="thick">
        <color rgb="FF000000"/>
      </bottom>
    </border>
    <border>
      <right style="thin">
        <color rgb="FFEDE8E8"/>
      </right>
      <top style="thin">
        <color rgb="FFEDE8E8"/>
      </top>
      <bottom style="thick">
        <color rgb="FF000000"/>
      </bottom>
    </border>
    <border>
      <right style="thick">
        <color rgb="FF434343"/>
      </right>
      <top style="thin">
        <color rgb="FFEDE8E8"/>
      </top>
      <bottom style="thick">
        <color rgb="FF000000"/>
      </bottom>
    </border>
    <border>
      <left style="thin">
        <color rgb="FFEDE4DA"/>
      </left>
      <bottom style="thin">
        <color rgb="FFEDE8E8"/>
      </bottom>
    </border>
    <border>
      <left style="thin">
        <color rgb="FFEDE8E8"/>
      </left>
      <right style="thin">
        <color rgb="FFEDE8E8"/>
      </right>
      <top style="thin">
        <color rgb="FFFFE6E6"/>
      </top>
      <bottom style="thin">
        <color rgb="FFFFE6E6"/>
      </bottom>
    </border>
    <border>
      <left style="thin">
        <color rgb="FFEDE8E8"/>
      </left>
      <right style="thin">
        <color rgb="FFEDE8E8"/>
      </right>
      <top style="thin">
        <color rgb="FFFFE6E6"/>
      </top>
    </border>
    <border>
      <left style="thin">
        <color rgb="FFEDE8E8"/>
      </left>
      <right style="thin">
        <color rgb="FFFFE6E6"/>
      </right>
      <top style="thin">
        <color rgb="FFEDE8E8"/>
      </top>
      <bottom style="thin">
        <color rgb="FFEDE8E8"/>
      </bottom>
    </border>
    <border>
      <left style="thin">
        <color rgb="FFFFE6E6"/>
      </left>
      <top style="thin">
        <color rgb="FFEDE8E8"/>
      </top>
      <bottom style="thin">
        <color rgb="FFEDE8E8"/>
      </bottom>
    </border>
    <border>
      <left style="thin">
        <color rgb="FFFFE6E6"/>
      </left>
      <right style="thick">
        <color rgb="FF3E3A3A"/>
      </right>
      <top style="thin">
        <color rgb="FFEDE8E8"/>
      </top>
      <bottom style="thin">
        <color rgb="FFEDE8E8"/>
      </bottom>
    </border>
    <border>
      <left style="thick">
        <color rgb="FF3E3A3A"/>
      </left>
      <right style="thin">
        <color rgb="FFFC675F"/>
      </right>
      <bottom style="thin">
        <color rgb="FFFC675F"/>
      </bottom>
    </border>
    <border>
      <left style="thin">
        <color rgb="FFFC675F"/>
      </left>
      <right style="thin">
        <color rgb="FFFC675F"/>
      </right>
      <bottom style="thin">
        <color rgb="FFFC675F"/>
      </bottom>
    </border>
    <border>
      <left style="thin">
        <color rgb="FFFC675F"/>
      </left>
      <top style="thin">
        <color rgb="FF3E3A3A"/>
      </top>
      <bottom style="thin">
        <color rgb="FFFC675F"/>
      </bottom>
    </border>
    <border>
      <left style="medium">
        <color rgb="FF3E3A3A"/>
      </left>
      <right style="thick">
        <color rgb="FF3E3A3A"/>
      </right>
      <bottom style="thin">
        <color rgb="FFFC675F"/>
      </bottom>
    </border>
    <border>
      <left style="thin">
        <color rgb="FFFFE6E6"/>
      </left>
      <right style="thin">
        <color rgb="FFFFE6E6"/>
      </right>
      <top style="thin">
        <color rgb="FFEDE8E8"/>
      </top>
      <bottom style="thin">
        <color rgb="FFEDE8E8"/>
      </bottom>
    </border>
    <border>
      <left style="thick">
        <color rgb="FF3E3A3A"/>
      </left>
      <right style="thin">
        <color rgb="FFFC675F"/>
      </right>
      <top style="thin">
        <color rgb="FFFC675F"/>
      </top>
      <bottom style="thin">
        <color rgb="FFFC675F"/>
      </bottom>
    </border>
    <border>
      <left style="thin">
        <color rgb="FFFC675F"/>
      </left>
      <right style="thin">
        <color rgb="FFFC675F"/>
      </right>
      <top style="thin">
        <color rgb="FFFC675F"/>
      </top>
      <bottom style="thin">
        <color rgb="FFFC675F"/>
      </bottom>
    </border>
    <border>
      <left style="thin">
        <color rgb="FFFC675F"/>
      </left>
      <top style="thin">
        <color rgb="FFFC675F"/>
      </top>
      <bottom style="thin">
        <color rgb="FFFC675F"/>
      </bottom>
    </border>
    <border>
      <left style="medium">
        <color rgb="FF3E3A3A"/>
      </left>
      <right style="thick">
        <color rgb="FF3E3A3A"/>
      </right>
      <top style="thin">
        <color rgb="FFFC675F"/>
      </top>
      <bottom style="thin">
        <color rgb="FFFC675F"/>
      </bottom>
    </border>
    <border>
      <left style="thin">
        <color rgb="FFEDE8E8"/>
      </left>
      <right style="thin">
        <color rgb="FFEDE8E8"/>
      </right>
      <top style="thin">
        <color rgb="FFEDE8E8"/>
      </top>
      <bottom style="thin">
        <color rgb="FFFFE6E6"/>
      </bottom>
    </border>
    <border>
      <left style="thick">
        <color rgb="FF3E3A3A"/>
      </left>
      <right style="thin">
        <color rgb="FFFC675F"/>
      </right>
      <top style="thin">
        <color rgb="FFFC675F"/>
      </top>
    </border>
    <border>
      <left style="thin">
        <color rgb="FFFC675F"/>
      </left>
      <right style="thin">
        <color rgb="FFFC675F"/>
      </right>
      <top style="thin">
        <color rgb="FFFC675F"/>
      </top>
    </border>
    <border>
      <left style="thin">
        <color rgb="FFFC675F"/>
      </left>
      <top style="thin">
        <color rgb="FFFC675F"/>
      </top>
    </border>
    <border>
      <left style="medium">
        <color rgb="FF3E3A3A"/>
      </left>
      <right style="thick">
        <color rgb="FF3E3A3A"/>
      </right>
      <top style="thin">
        <color rgb="FFFC675F"/>
      </top>
      <bottom style="medium">
        <color rgb="FF3E3A3A"/>
      </bottom>
    </border>
    <border>
      <bottom style="thin">
        <color rgb="FFEDE8E8"/>
      </bottom>
    </border>
    <border>
      <left style="thick">
        <color rgb="FF3E3A3A"/>
      </left>
      <right style="thin">
        <color rgb="FFFFE6E6"/>
      </right>
      <top style="thin">
        <color rgb="FFEDE8E8"/>
      </top>
      <bottom style="thin">
        <color rgb="FFEDE8E8"/>
      </bottom>
    </border>
    <border>
      <left style="thick">
        <color rgb="FF3E3A3A"/>
      </left>
      <top style="thin">
        <color rgb="FFEDE8E8"/>
      </top>
    </border>
    <border>
      <left style="thick">
        <color rgb="FF3E3A3A"/>
      </left>
      <right style="thin">
        <color rgb="FFEDE8E8"/>
      </right>
      <top style="thin">
        <color rgb="FFEDE8E8"/>
      </top>
      <bottom style="thick">
        <color rgb="FF3E3A3A"/>
      </bottom>
    </border>
    <border>
      <left style="thin">
        <color rgb="FFEDE8E8"/>
      </left>
      <right style="thin">
        <color rgb="FFEDE8E8"/>
      </right>
      <bottom style="thick">
        <color rgb="FF3E3A3A"/>
      </bottom>
    </border>
    <border>
      <left style="thin">
        <color rgb="FFEDE8E8"/>
      </left>
      <right style="thin">
        <color rgb="FFEDE8E8"/>
      </right>
      <top style="thin">
        <color rgb="FFEDE8E8"/>
      </top>
      <bottom style="thick">
        <color rgb="FF3E3A3A"/>
      </bottom>
    </border>
    <border>
      <left style="thin">
        <color rgb="FFEDE8E8"/>
      </left>
      <right style="thick">
        <color rgb="FF3E3A3A"/>
      </right>
      <top style="thin">
        <color rgb="FFEDE8E8"/>
      </top>
      <bottom style="thick">
        <color rgb="FF3E3A3A"/>
      </bottom>
    </border>
    <border>
      <left style="thick">
        <color rgb="FF3E3A3A"/>
      </left>
      <right style="thin">
        <color rgb="FFD1D9E1"/>
      </right>
      <bottom style="thin">
        <color rgb="FFD1D9E1"/>
      </bottom>
    </border>
    <border>
      <left style="thin">
        <color rgb="FFD1D9E1"/>
      </left>
      <right style="thin">
        <color rgb="FFD1D9E1"/>
      </right>
      <bottom style="thin">
        <color rgb="FFFFFFFF"/>
      </bottom>
    </border>
    <border>
      <left style="thin">
        <color rgb="FFD1D9E1"/>
      </left>
      <right style="thin">
        <color rgb="FFD1D9E1"/>
      </right>
      <bottom style="thin">
        <color rgb="FFD1D9E1"/>
      </bottom>
    </border>
    <border>
      <left style="thin">
        <color rgb="FFD1D9E1"/>
      </left>
      <right style="thin">
        <color rgb="FFD1D9E1"/>
      </right>
    </border>
    <border>
      <left style="thin">
        <color rgb="FFD1D9E1"/>
      </left>
      <right style="thick">
        <color rgb="FF3E3A3A"/>
      </right>
      <bottom style="thin">
        <color rgb="FFD1D9E1"/>
      </bottom>
    </border>
    <border>
      <left style="thick">
        <color rgb="FF3E3A3A"/>
      </left>
      <top style="thin">
        <color rgb="FFD1D9E1"/>
      </top>
      <bottom style="thin">
        <color rgb="FFD1D9E1"/>
      </bottom>
    </border>
    <border>
      <top style="thin">
        <color rgb="FFD1D9E1"/>
      </top>
      <bottom style="thin">
        <color rgb="FFD1D9E1"/>
      </bottom>
    </border>
    <border>
      <right style="thin">
        <color rgb="FFD1D9E1"/>
      </right>
      <top style="thin">
        <color rgb="FFD1D9E1"/>
      </top>
    </border>
    <border>
      <left style="thin">
        <color rgb="FFD1D9E1"/>
      </left>
      <top style="thin">
        <color rgb="FFD1D9E1"/>
      </top>
      <bottom style="thin">
        <color rgb="FFD1D9E1"/>
      </bottom>
    </border>
    <border>
      <right style="thin">
        <color rgb="FFD1D9E1"/>
      </right>
      <top style="thin">
        <color rgb="FFD1D9E1"/>
      </top>
      <bottom style="thin">
        <color rgb="FFD1D9E1"/>
      </bottom>
    </border>
    <border>
      <left style="thin">
        <color rgb="FFD1D9E1"/>
      </left>
      <right style="thick">
        <color rgb="FF3E3A3A"/>
      </right>
      <top style="thin">
        <color rgb="FFD1D9E1"/>
      </top>
      <bottom style="thin">
        <color rgb="FFD1D9E1"/>
      </bottom>
    </border>
    <border>
      <left style="thick">
        <color rgb="FF434343"/>
      </left>
      <bottom style="medium">
        <color rgb="FFD1D9E1"/>
      </bottom>
    </border>
    <border>
      <bottom style="medium">
        <color rgb="FFD1D9E1"/>
      </bottom>
    </border>
    <border>
      <right style="thick">
        <color rgb="FF434343"/>
      </right>
      <bottom style="medium">
        <color rgb="FFD1D9E1"/>
      </bottom>
    </border>
    <border>
      <right style="thin">
        <color rgb="FFD1D9E1"/>
      </right>
    </border>
    <border>
      <left style="thick">
        <color rgb="FF434343"/>
      </left>
      <top style="medium">
        <color rgb="FFD1D9E1"/>
      </top>
      <bottom style="medium">
        <color rgb="FFD1D9E1"/>
      </bottom>
    </border>
    <border>
      <top style="medium">
        <color rgb="FFD1D9E1"/>
      </top>
      <bottom style="medium">
        <color rgb="FFD1D9E1"/>
      </bottom>
    </border>
    <border>
      <right style="thick">
        <color rgb="FF434343"/>
      </right>
      <top style="medium">
        <color rgb="FFD1D9E1"/>
      </top>
      <bottom style="medium">
        <color rgb="FFD1D9E1"/>
      </bottom>
    </border>
    <border>
      <left style="thick">
        <color rgb="FF434343"/>
      </left>
      <right style="medium">
        <color rgb="FFD1D9E1"/>
      </right>
      <top style="medium">
        <color rgb="FFD1D9E1"/>
      </top>
      <bottom style="medium">
        <color rgb="FFD1D9E1"/>
      </bottom>
    </border>
    <border>
      <left style="medium">
        <color rgb="FFD1D9E1"/>
      </left>
      <right style="medium">
        <color rgb="FFD1D9E1"/>
      </right>
      <top style="medium">
        <color rgb="FFD1D9E1"/>
      </top>
      <bottom style="medium">
        <color rgb="FFD1D9E1"/>
      </bottom>
    </border>
    <border>
      <left style="medium">
        <color rgb="FFD1D9E1"/>
      </left>
      <right style="thick">
        <color rgb="FF434343"/>
      </right>
      <top style="medium">
        <color rgb="FFD1D9E1"/>
      </top>
      <bottom style="medium">
        <color rgb="FFD1D9E1"/>
      </bottom>
    </border>
    <border>
      <left style="medium">
        <color rgb="FFD1D9E1"/>
      </left>
      <top style="medium">
        <color rgb="FFD1D9E1"/>
      </top>
      <bottom style="medium">
        <color rgb="FFD1D9E1"/>
      </bottom>
    </border>
    <border>
      <right style="medium">
        <color rgb="FFD1D9E1"/>
      </right>
      <top style="medium">
        <color rgb="FFD1D9E1"/>
      </top>
      <bottom style="medium">
        <color rgb="FFD1D9E1"/>
      </bottom>
    </border>
    <border>
      <left style="thin">
        <color rgb="FFD1D9E1"/>
      </left>
      <right style="thin">
        <color rgb="FFD1D9E1"/>
      </right>
      <top style="thin">
        <color rgb="FFD1D9E1"/>
      </top>
      <bottom style="thin">
        <color rgb="FFD1D9E1"/>
      </bottom>
    </border>
    <border>
      <left style="thick">
        <color rgb="FF3E3A3A"/>
      </left>
      <right style="thin">
        <color rgb="FFD1D9E1"/>
      </right>
      <top style="thin">
        <color rgb="FFD1D9E1"/>
      </top>
      <bottom style="thin">
        <color rgb="FFD1D9E1"/>
      </bottom>
    </border>
    <border>
      <left style="thin">
        <color rgb="FFD1D9E1"/>
      </left>
      <right style="thin">
        <color rgb="FFD1D9E1"/>
      </right>
      <top style="thin">
        <color rgb="FFFFE6E6"/>
      </top>
      <bottom style="thin">
        <color rgb="FFD1D9E1"/>
      </bottom>
    </border>
    <border>
      <left style="thick">
        <color rgb="FF434343"/>
      </left>
      <right style="medium">
        <color rgb="FFD1D9E1"/>
      </right>
      <top style="medium">
        <color rgb="FFD1D9E1"/>
      </top>
    </border>
    <border>
      <left style="medium">
        <color rgb="FFD1D9E1"/>
      </left>
      <right style="medium">
        <color rgb="FFD1D9E1"/>
      </right>
      <top style="medium">
        <color rgb="FFD1D9E1"/>
      </top>
    </border>
    <border>
      <left style="medium">
        <color rgb="FFD1D9E1"/>
      </left>
      <right style="thick">
        <color rgb="FF434343"/>
      </right>
      <top style="medium">
        <color rgb="FFD1D9E1"/>
      </top>
    </border>
    <border>
      <left style="thick">
        <color rgb="FF434343"/>
      </left>
      <top style="medium">
        <color rgb="FF434343"/>
      </top>
      <bottom style="thin">
        <color rgb="FFD1D9E1"/>
      </bottom>
    </border>
    <border>
      <top style="medium">
        <color rgb="FF434343"/>
      </top>
      <bottom style="thin">
        <color rgb="FFD1D9E1"/>
      </bottom>
    </border>
    <border>
      <right style="thick">
        <color rgb="FF434343"/>
      </right>
      <top style="medium">
        <color rgb="FF434343"/>
      </top>
      <bottom style="thin">
        <color rgb="FFD1D9E1"/>
      </bottom>
    </border>
    <border>
      <left style="thin">
        <color rgb="FFD1D9E1"/>
      </left>
      <right style="thin">
        <color rgb="FFD1D9E1"/>
      </right>
      <top style="thin">
        <color rgb="FFD1D9E1"/>
      </top>
    </border>
    <border>
      <left style="thick">
        <color rgb="FF434343"/>
      </left>
      <top style="thin">
        <color rgb="FFD1D9E1"/>
      </top>
      <bottom style="thin">
        <color rgb="FFD1D9E1"/>
      </bottom>
    </border>
    <border>
      <right style="thick">
        <color rgb="FF434343"/>
      </right>
      <top style="thin">
        <color rgb="FFD1D9E1"/>
      </top>
      <bottom style="thin">
        <color rgb="FFD1D9E1"/>
      </bottom>
    </border>
    <border>
      <left style="thick">
        <color rgb="FF434343"/>
      </left>
      <top style="thin">
        <color rgb="FFD1D9E1"/>
      </top>
    </border>
    <border>
      <top style="thin">
        <color rgb="FFD1D9E1"/>
      </top>
    </border>
    <border>
      <left style="thin">
        <color rgb="FFD1D9E1"/>
      </left>
      <right style="thick">
        <color rgb="FF434343"/>
      </right>
      <top style="thin">
        <color rgb="FFD1D9E1"/>
      </top>
    </border>
    <border>
      <right style="thin">
        <color rgb="FFD1D9E1"/>
      </right>
      <top style="medium">
        <color rgb="FF434343"/>
      </top>
      <bottom style="thin">
        <color rgb="FFD1D9E1"/>
      </bottom>
    </border>
    <border>
      <left style="thin">
        <color rgb="FFD1D9E1"/>
      </left>
      <right style="thick">
        <color rgb="FF434343"/>
      </right>
      <top style="medium">
        <color rgb="FF434343"/>
      </top>
      <bottom style="thin">
        <color rgb="FFD1D9E1"/>
      </bottom>
    </border>
    <border>
      <left style="thin">
        <color rgb="FFD1D9E1"/>
      </left>
      <right style="thick">
        <color rgb="FF434343"/>
      </right>
      <top style="thin">
        <color rgb="FFD1D9E1"/>
      </top>
      <bottom style="thin">
        <color rgb="FFD1D9E1"/>
      </bottom>
    </border>
    <border>
      <left style="thick">
        <color rgb="FF434343"/>
      </left>
      <top style="thin">
        <color rgb="FFD1D9E1"/>
      </top>
      <bottom style="thick">
        <color rgb="FF434343"/>
      </bottom>
    </border>
    <border>
      <top style="thin">
        <color rgb="FFD1D9E1"/>
      </top>
      <bottom style="thick">
        <color rgb="FF434343"/>
      </bottom>
    </border>
    <border>
      <right style="thin">
        <color rgb="FFD1D9E1"/>
      </right>
      <top style="thin">
        <color rgb="FFD1D9E1"/>
      </top>
      <bottom style="thick">
        <color rgb="FF434343"/>
      </bottom>
    </border>
    <border>
      <left style="thin">
        <color rgb="FFD1D9E1"/>
      </left>
      <right style="thick">
        <color rgb="FF434343"/>
      </right>
      <top style="thin">
        <color rgb="FFD1D9E1"/>
      </top>
      <bottom style="thick">
        <color rgb="FF434343"/>
      </bottom>
    </border>
    <border>
      <right style="thin">
        <color rgb="FFD1D9E1"/>
      </right>
      <bottom style="thin">
        <color rgb="FFD1D9E1"/>
      </bottom>
    </border>
    <border>
      <left style="thin">
        <color rgb="FFD1D9E1"/>
      </left>
      <right style="thin">
        <color rgb="FFD1D9E1"/>
      </right>
      <bottom style="thin">
        <color rgb="FFFFE6E6"/>
      </bottom>
    </border>
    <border>
      <left style="thin">
        <color rgb="FFD1D9E1"/>
      </left>
      <right style="thin">
        <color rgb="FFD1D9E1"/>
      </right>
      <top style="thin">
        <color rgb="FFFFE6E6"/>
      </top>
      <bottom style="thin">
        <color rgb="FFFFE6E6"/>
      </bottom>
    </border>
    <border>
      <left style="thin">
        <color rgb="FFD1D9E1"/>
      </left>
      <right style="thin">
        <color rgb="FFFFE6E6"/>
      </right>
      <top style="thin">
        <color rgb="FFD1D9E1"/>
      </top>
      <bottom style="thin">
        <color rgb="FFD1D9E1"/>
      </bottom>
    </border>
    <border>
      <left style="thin">
        <color rgb="FFFFE6E6"/>
      </left>
      <right style="thin">
        <color rgb="FFD1D9E1"/>
      </right>
      <top style="thin">
        <color rgb="FFD1D9E1"/>
      </top>
      <bottom style="thin">
        <color rgb="FFD1D9E1"/>
      </bottom>
    </border>
    <border>
      <left style="thick">
        <color rgb="FF3E3A3A"/>
      </left>
      <right style="thin">
        <color rgb="FF5E6C7A"/>
      </right>
      <bottom style="thin">
        <color rgb="FF5E6C7A"/>
      </bottom>
    </border>
    <border>
      <left style="thin">
        <color rgb="FF5E6C7A"/>
      </left>
      <right style="thin">
        <color rgb="FF5E6C7A"/>
      </right>
      <bottom style="thin">
        <color rgb="FF5E6C7A"/>
      </bottom>
    </border>
    <border>
      <left style="thin">
        <color rgb="FF5E6C7A"/>
      </left>
      <top style="thin">
        <color rgb="FF3E3A3A"/>
      </top>
      <bottom style="thin">
        <color rgb="FF5E6C7A"/>
      </bottom>
    </border>
    <border>
      <left style="medium">
        <color rgb="FF3E3A3A"/>
      </left>
      <right style="thick">
        <color rgb="FF3E3A3A"/>
      </right>
      <bottom style="thin">
        <color rgb="FF5E6C7A"/>
      </bottom>
    </border>
    <border>
      <left style="thick">
        <color rgb="FF3E3A3A"/>
      </left>
      <right style="thin">
        <color rgb="FF5E6C7A"/>
      </right>
      <top style="thin">
        <color rgb="FF5E6C7A"/>
      </top>
      <bottom style="thin">
        <color rgb="FF5E6C7A"/>
      </bottom>
    </border>
    <border>
      <left style="thin">
        <color rgb="FF5E6C7A"/>
      </left>
      <right style="thin">
        <color rgb="FF5E6C7A"/>
      </right>
      <top style="thin">
        <color rgb="FF5E6C7A"/>
      </top>
      <bottom style="thin">
        <color rgb="FF5E6C7A"/>
      </bottom>
    </border>
    <border>
      <left style="thin">
        <color rgb="FF5E6C7A"/>
      </left>
      <top style="thin">
        <color rgb="FF5E6C7A"/>
      </top>
      <bottom style="thin">
        <color rgb="FF5E6C7A"/>
      </bottom>
    </border>
    <border>
      <left style="medium">
        <color rgb="FF3E3A3A"/>
      </left>
      <right style="thick">
        <color rgb="FF3E3A3A"/>
      </right>
      <top style="thin">
        <color rgb="FF5E6C7A"/>
      </top>
      <bottom style="thin">
        <color rgb="FF5E6C7A"/>
      </bottom>
    </border>
    <border>
      <left style="thin">
        <color rgb="FFD1D9E1"/>
      </left>
      <right style="thin">
        <color rgb="FFD1D9E1"/>
      </right>
      <top style="thin">
        <color rgb="FFD1D9E1"/>
      </top>
      <bottom style="thin">
        <color rgb="FFFFE6E6"/>
      </bottom>
    </border>
    <border>
      <left style="thick">
        <color rgb="FF3E3A3A"/>
      </left>
      <right style="thin">
        <color rgb="FFFFE6E6"/>
      </right>
      <top style="thin">
        <color rgb="FFD1D9E1"/>
      </top>
      <bottom style="thin">
        <color rgb="FFD1D9E1"/>
      </bottom>
    </border>
    <border>
      <left style="thin">
        <color rgb="FFFFE6E6"/>
      </left>
      <right style="thin">
        <color rgb="FFFFE6E6"/>
      </right>
      <top style="thin">
        <color rgb="FFD1D9E1"/>
      </top>
      <bottom style="thin">
        <color rgb="FFD1D9E1"/>
      </bottom>
    </border>
    <border>
      <left style="thick">
        <color rgb="FF3E3A3A"/>
      </left>
      <right style="thin">
        <color rgb="FF5E6C7A"/>
      </right>
      <top style="thin">
        <color rgb="FF5E6C7A"/>
      </top>
    </border>
    <border>
      <left style="thin">
        <color rgb="FF5E6C7A"/>
      </left>
      <right style="thin">
        <color rgb="FF5E6C7A"/>
      </right>
      <top style="thin">
        <color rgb="FF5E6C7A"/>
      </top>
    </border>
    <border>
      <left style="thin">
        <color rgb="FF5E6C7A"/>
      </left>
      <top style="thin">
        <color rgb="FF5E6C7A"/>
      </top>
    </border>
    <border>
      <left style="medium">
        <color rgb="FF3E3A3A"/>
      </left>
      <right style="thick">
        <color rgb="FF3E3A3A"/>
      </right>
      <top style="thin">
        <color rgb="FF5E6C7A"/>
      </top>
      <bottom style="medium">
        <color rgb="FF3E3A3A"/>
      </bottom>
    </border>
    <border>
      <left style="thick">
        <color rgb="FF3E3A3A"/>
      </left>
      <right style="thin">
        <color rgb="FFD1D9E1"/>
      </right>
      <top style="thin">
        <color rgb="FFD1D9E1"/>
      </top>
      <bottom style="thick">
        <color rgb="FF3E3A3A"/>
      </bottom>
    </border>
    <border>
      <left style="thin">
        <color rgb="FFD1D9E1"/>
      </left>
      <right style="thin">
        <color rgb="FFD1D9E1"/>
      </right>
      <top style="thin">
        <color rgb="FFEDE8E8"/>
      </top>
      <bottom style="thick">
        <color rgb="FF3E3A3A"/>
      </bottom>
    </border>
    <border>
      <left style="thin">
        <color rgb="FFD1D9E1"/>
      </left>
      <right style="thin">
        <color rgb="FFD1D9E1"/>
      </right>
      <top style="thin">
        <color rgb="FFD1D9E1"/>
      </top>
      <bottom style="thick">
        <color rgb="FF3E3A3A"/>
      </bottom>
    </border>
    <border>
      <left style="thin">
        <color rgb="FFD1D9E1"/>
      </left>
      <right style="thin">
        <color rgb="FFD1D9E1"/>
      </right>
      <bottom style="thick">
        <color rgb="FF3E3A3A"/>
      </bottom>
    </border>
    <border>
      <left style="thin">
        <color rgb="FFD1D9E1"/>
      </left>
      <right style="thick">
        <color rgb="FF3E3A3A"/>
      </right>
      <top style="thin">
        <color rgb="FFD1D9E1"/>
      </top>
      <bottom style="thick">
        <color rgb="FF3E3A3A"/>
      </bottom>
    </border>
    <border>
      <left style="thin">
        <color rgb="FF326EDC"/>
      </left>
      <right style="thin">
        <color rgb="FF326EDC"/>
      </right>
      <top style="thin">
        <color rgb="FF326EDC"/>
      </top>
      <bottom style="thin">
        <color rgb="FF326EDC"/>
      </bottom>
    </border>
    <border>
      <left style="thin">
        <color rgb="FF326EDC"/>
      </left>
      <right style="thin">
        <color rgb="FF326EDC"/>
      </right>
      <top style="thin">
        <color rgb="FF326EDC"/>
      </top>
    </border>
    <border>
      <left style="thin">
        <color rgb="FF326EDC"/>
      </left>
      <top style="thin">
        <color rgb="FF326EDC"/>
      </top>
      <bottom style="thin">
        <color rgb="FF326EDC"/>
      </bottom>
    </border>
    <border>
      <left style="thick">
        <color rgb="FF3E3A3A"/>
      </left>
      <right style="thin">
        <color rgb="FFF2F6FF"/>
      </right>
      <top style="thick">
        <color rgb="FF3E3A3A"/>
      </top>
      <bottom style="thin">
        <color rgb="FFF2F6FF"/>
      </bottom>
    </border>
    <border>
      <left style="thin">
        <color rgb="FFF2F6FF"/>
      </left>
      <right style="thin">
        <color rgb="FFF2F6FF"/>
      </right>
      <top style="thick">
        <color rgb="FF3E3A3A"/>
      </top>
      <bottom style="thin">
        <color rgb="FFF2F6FF"/>
      </bottom>
    </border>
    <border>
      <left style="thin">
        <color rgb="FFF2F6FF"/>
      </left>
      <right style="thick">
        <color rgb="FF3E3A3A"/>
      </right>
      <top style="thick">
        <color rgb="FF3E3A3A"/>
      </top>
      <bottom style="thin">
        <color rgb="FFF2F6FF"/>
      </bottom>
    </border>
    <border>
      <right style="thin">
        <color rgb="FF326EDC"/>
      </right>
      <top style="thin">
        <color rgb="FF326EDC"/>
      </top>
      <bottom style="thin">
        <color rgb="FF326EDC"/>
      </bottom>
    </border>
    <border>
      <left style="thick">
        <color rgb="FF3E3A3A"/>
      </left>
      <right style="thin">
        <color rgb="FFF2F6FF"/>
      </right>
      <top style="thin">
        <color rgb="FFF2F6FF"/>
      </top>
      <bottom style="thin">
        <color rgb="FFF2F6FF"/>
      </bottom>
    </border>
    <border>
      <left style="thin">
        <color rgb="FFF2F6FF"/>
      </left>
      <right style="thin">
        <color rgb="FFF2F6FF"/>
      </right>
      <top style="thin">
        <color rgb="FFF2F6FF"/>
      </top>
      <bottom style="thin">
        <color rgb="FFF2F6FF"/>
      </bottom>
    </border>
    <border>
      <left style="thin">
        <color rgb="FFF2F6FF"/>
      </left>
      <right style="thick">
        <color rgb="FF3E3A3A"/>
      </right>
      <top style="thin">
        <color rgb="FFF2F6FF"/>
      </top>
      <bottom style="thin">
        <color rgb="FFF2F6FF"/>
      </bottom>
    </border>
    <border>
      <left style="thin">
        <color rgb="FFF2F6FF"/>
      </left>
      <top style="thin">
        <color rgb="FFF2F6FF"/>
      </top>
      <bottom style="thin">
        <color rgb="FFF2F6FF"/>
      </bottom>
    </border>
    <border>
      <top style="thin">
        <color rgb="FFF2F6FF"/>
      </top>
      <bottom style="thin">
        <color rgb="FFF2F6FF"/>
      </bottom>
    </border>
    <border>
      <right style="thin">
        <color rgb="FFF2F6FF"/>
      </right>
      <top style="thin">
        <color rgb="FFF2F6FF"/>
      </top>
      <bottom style="thin">
        <color rgb="FFF2F6FF"/>
      </bottom>
    </border>
    <border>
      <left style="thin">
        <color rgb="FFF2F6FF"/>
      </left>
      <right style="thin">
        <color rgb="FFF2F6FF"/>
      </right>
      <top style="thin">
        <color rgb="FFF2F6FF"/>
      </top>
    </border>
    <border>
      <left style="thick">
        <color rgb="FF434343"/>
      </left>
      <bottom style="medium">
        <color rgb="FFF2F6FF"/>
      </bottom>
    </border>
    <border>
      <bottom style="medium">
        <color rgb="FFF2F6FF"/>
      </bottom>
    </border>
    <border>
      <right style="thick">
        <color rgb="FF434343"/>
      </right>
      <bottom style="medium">
        <color rgb="FFF2F6FF"/>
      </bottom>
    </border>
    <border>
      <left style="thin">
        <color rgb="FFF2F6FF"/>
      </left>
      <right style="thin">
        <color rgb="FFF2F6FF"/>
      </right>
    </border>
    <border>
      <left style="thick">
        <color rgb="FF434343"/>
      </left>
      <top style="medium">
        <color rgb="FFF2F6FF"/>
      </top>
      <bottom style="medium">
        <color rgb="FFF2F6FF"/>
      </bottom>
    </border>
    <border>
      <top style="medium">
        <color rgb="FFF2F6FF"/>
      </top>
      <bottom style="medium">
        <color rgb="FFF2F6FF"/>
      </bottom>
    </border>
    <border>
      <right style="thick">
        <color rgb="FF434343"/>
      </right>
      <top style="medium">
        <color rgb="FFF2F6FF"/>
      </top>
      <bottom style="medium">
        <color rgb="FFF2F6FF"/>
      </bottom>
    </border>
    <border>
      <left style="thick">
        <color rgb="FF434343"/>
      </left>
      <right style="medium">
        <color rgb="FFF2F6FF"/>
      </right>
      <top style="medium">
        <color rgb="FFF2F6FF"/>
      </top>
      <bottom style="medium">
        <color rgb="FFF2F6FF"/>
      </bottom>
    </border>
    <border>
      <left style="medium">
        <color rgb="FFF2F6FF"/>
      </left>
      <top style="medium">
        <color rgb="FFF2F6FF"/>
      </top>
      <bottom style="medium">
        <color rgb="FFF2F6FF"/>
      </bottom>
    </border>
    <border>
      <right style="medium">
        <color rgb="FFF2F6FF"/>
      </right>
      <top style="medium">
        <color rgb="FFF2F6FF"/>
      </top>
      <bottom style="medium">
        <color rgb="FFF2F6FF"/>
      </bottom>
    </border>
    <border>
      <left style="medium">
        <color rgb="FFF2F6FF"/>
      </left>
      <right style="thick">
        <color rgb="FF434343"/>
      </right>
      <top style="medium">
        <color rgb="FFF2F6FF"/>
      </top>
      <bottom style="medium">
        <color rgb="FFF2F6FF"/>
      </bottom>
    </border>
    <border>
      <left style="medium">
        <color rgb="FFF2F6FF"/>
      </left>
      <right style="medium">
        <color rgb="FFF2F6FF"/>
      </right>
      <top style="medium">
        <color rgb="FFF2F6FF"/>
      </top>
      <bottom style="medium">
        <color rgb="FFF2F6FF"/>
      </bottom>
    </border>
    <border>
      <left style="thick">
        <color rgb="FF434343"/>
      </left>
      <right style="medium">
        <color rgb="FFF2F6FF"/>
      </right>
      <top style="medium">
        <color rgb="FFF2F6FF"/>
      </top>
    </border>
    <border>
      <left style="medium">
        <color rgb="FFF2F6FF"/>
      </left>
      <right style="medium">
        <color rgb="FFF2F6FF"/>
      </right>
      <top style="medium">
        <color rgb="FFF2F6FF"/>
      </top>
    </border>
    <border>
      <left style="medium">
        <color rgb="FFF2F6FF"/>
      </left>
      <right style="thick">
        <color rgb="FF434343"/>
      </right>
      <top style="medium">
        <color rgb="FFF2F6FF"/>
      </top>
    </border>
    <border>
      <left style="thin">
        <color rgb="FFF2F6FF"/>
      </left>
      <right style="thin">
        <color rgb="FFF2F6FF"/>
      </right>
      <bottom style="thin">
        <color rgb="FFF2F6FF"/>
      </bottom>
    </border>
    <border>
      <left style="thick">
        <color rgb="FF434343"/>
      </left>
      <top style="medium">
        <color rgb="FF434343"/>
      </top>
      <bottom style="thin">
        <color rgb="FFF2F6FF"/>
      </bottom>
    </border>
    <border>
      <top style="medium">
        <color rgb="FF434343"/>
      </top>
      <bottom style="thin">
        <color rgb="FFF2F6FF"/>
      </bottom>
    </border>
    <border>
      <right style="thick">
        <color rgb="FF434343"/>
      </right>
      <top style="medium">
        <color rgb="FF434343"/>
      </top>
      <bottom style="thin">
        <color rgb="FFF2F6FF"/>
      </bottom>
    </border>
    <border>
      <left style="thick">
        <color rgb="FF434343"/>
      </left>
      <top style="thin">
        <color rgb="FFF2F6FF"/>
      </top>
      <bottom style="thin">
        <color rgb="FFF2F6FF"/>
      </bottom>
    </border>
    <border>
      <right style="thick">
        <color rgb="FF434343"/>
      </right>
      <top style="thin">
        <color rgb="FFF2F6FF"/>
      </top>
      <bottom style="thin">
        <color rgb="FFF2F6FF"/>
      </bottom>
    </border>
    <border>
      <left style="thick">
        <color rgb="FF434343"/>
      </left>
      <top style="thin">
        <color rgb="FFF2F6FF"/>
      </top>
    </border>
    <border>
      <top style="thin">
        <color rgb="FFF2F6FF"/>
      </top>
    </border>
    <border>
      <right style="thin">
        <color rgb="FFF2F6FF"/>
      </right>
      <top style="thin">
        <color rgb="FFF2F6FF"/>
      </top>
    </border>
    <border>
      <left style="thin">
        <color rgb="FFF2F6FF"/>
      </left>
      <right style="thick">
        <color rgb="FF434343"/>
      </right>
      <top style="thin">
        <color rgb="FFF2F6FF"/>
      </top>
    </border>
    <border>
      <right style="thin">
        <color rgb="FFF2F6FF"/>
      </right>
      <top style="medium">
        <color rgb="FF434343"/>
      </top>
      <bottom style="thin">
        <color rgb="FFF2F6FF"/>
      </bottom>
    </border>
    <border>
      <left style="thin">
        <color rgb="FFF2F6FF"/>
      </left>
      <right style="thick">
        <color rgb="FF434343"/>
      </right>
      <top style="medium">
        <color rgb="FF434343"/>
      </top>
      <bottom style="thin">
        <color rgb="FFF2F6FF"/>
      </bottom>
    </border>
    <border>
      <left style="thin">
        <color rgb="FFF2F6FF"/>
      </left>
      <right style="thick">
        <color rgb="FF434343"/>
      </right>
      <top style="thin">
        <color rgb="FFF2F6FF"/>
      </top>
      <bottom style="thin">
        <color rgb="FFF2F6FF"/>
      </bottom>
    </border>
    <border>
      <left style="thick">
        <color rgb="FF434343"/>
      </left>
      <top style="thin">
        <color rgb="FFF2F6FF"/>
      </top>
      <bottom style="thick">
        <color rgb="FF434343"/>
      </bottom>
    </border>
    <border>
      <top style="thin">
        <color rgb="FFF2F6FF"/>
      </top>
      <bottom style="thick">
        <color rgb="FF434343"/>
      </bottom>
    </border>
    <border>
      <right style="thin">
        <color rgb="FFF2F6FF"/>
      </right>
      <top style="thin">
        <color rgb="FFF2F6FF"/>
      </top>
      <bottom style="thick">
        <color rgb="FF434343"/>
      </bottom>
    </border>
    <border>
      <left style="thin">
        <color rgb="FFF2F6FF"/>
      </left>
      <right style="thick">
        <color rgb="FF434343"/>
      </right>
      <top style="thin">
        <color rgb="FFF2F6FF"/>
      </top>
      <bottom style="thick">
        <color rgb="FF434343"/>
      </bottom>
    </border>
    <border>
      <left style="thick">
        <color rgb="FF3E3A3A"/>
      </left>
      <right style="thin">
        <color rgb="FF3C78D8"/>
      </right>
      <bottom style="thin">
        <color rgb="FF3C78D8"/>
      </bottom>
    </border>
    <border>
      <left style="thin">
        <color rgb="FF3C78D8"/>
      </left>
      <right style="thin">
        <color rgb="FF3C78D8"/>
      </right>
      <bottom style="thin">
        <color rgb="FF3C78D8"/>
      </bottom>
    </border>
    <border>
      <left style="thin">
        <color rgb="FF3C78D8"/>
      </left>
      <top style="thin">
        <color rgb="FF3E3A3A"/>
      </top>
      <bottom style="thin">
        <color rgb="FF3C78D8"/>
      </bottom>
    </border>
    <border>
      <left style="medium">
        <color rgb="FF3E3A3A"/>
      </left>
      <right style="thick">
        <color rgb="FF3E3A3A"/>
      </right>
      <bottom style="thin">
        <color rgb="FF3C78D8"/>
      </bottom>
    </border>
    <border>
      <left style="thick">
        <color rgb="FF3E3A3A"/>
      </left>
      <right style="thin">
        <color rgb="FF3C78D8"/>
      </right>
      <top style="thin">
        <color rgb="FF3C78D8"/>
      </top>
      <bottom style="thin">
        <color rgb="FF3C78D8"/>
      </bottom>
    </border>
    <border>
      <left style="thin">
        <color rgb="FF3C78D8"/>
      </left>
      <right style="thin">
        <color rgb="FF3C78D8"/>
      </right>
      <top style="thin">
        <color rgb="FF3C78D8"/>
      </top>
      <bottom style="thin">
        <color rgb="FF3C78D8"/>
      </bottom>
    </border>
    <border>
      <left style="thin">
        <color rgb="FF3C78D8"/>
      </left>
      <top style="thin">
        <color rgb="FF3C78D8"/>
      </top>
      <bottom style="thin">
        <color rgb="FF3C78D8"/>
      </bottom>
    </border>
    <border>
      <left style="medium">
        <color rgb="FF3E3A3A"/>
      </left>
      <right style="thick">
        <color rgb="FF3E3A3A"/>
      </right>
      <top style="thin">
        <color rgb="FF3C78D8"/>
      </top>
      <bottom style="thin">
        <color rgb="FF3C78D8"/>
      </bottom>
    </border>
    <border>
      <left style="thick">
        <color rgb="FF3E3A3A"/>
      </left>
      <right style="thin">
        <color rgb="FF3C78D8"/>
      </right>
      <top style="thin">
        <color rgb="FF3C78D8"/>
      </top>
    </border>
    <border>
      <left style="thin">
        <color rgb="FF3C78D8"/>
      </left>
      <right style="thin">
        <color rgb="FF3C78D8"/>
      </right>
      <top style="thin">
        <color rgb="FF3C78D8"/>
      </top>
    </border>
    <border>
      <left style="thin">
        <color rgb="FF3C78D8"/>
      </left>
      <top style="thin">
        <color rgb="FF3C78D8"/>
      </top>
    </border>
    <border>
      <left style="medium">
        <color rgb="FF3E3A3A"/>
      </left>
      <right style="thick">
        <color rgb="FF3E3A3A"/>
      </right>
      <top style="thin">
        <color rgb="FF3C78D8"/>
      </top>
      <bottom style="medium">
        <color rgb="FF3E3A3A"/>
      </bottom>
    </border>
    <border>
      <left style="thick">
        <color rgb="FF3E3A3A"/>
      </left>
      <right style="thin">
        <color rgb="FFF2F6FF"/>
      </right>
      <top style="thin">
        <color rgb="FFF2F6FF"/>
      </top>
    </border>
    <border>
      <left style="thin">
        <color rgb="FFF2F6FF"/>
      </left>
      <right style="thick">
        <color rgb="FF3E3A3A"/>
      </right>
      <top style="thin">
        <color rgb="FFF2F6FF"/>
      </top>
    </border>
    <border>
      <left style="thick">
        <color rgb="FF3E3A3A"/>
      </left>
      <right style="thin">
        <color rgb="FFEAFAFF"/>
      </right>
      <top style="thin">
        <color rgb="FFEAFAFF"/>
      </top>
      <bottom style="thin">
        <color rgb="FFEAFAFF"/>
      </bottom>
    </border>
    <border>
      <left style="thin">
        <color rgb="FFEAFAFF"/>
      </left>
      <right style="thin">
        <color rgb="FFEAFAFF"/>
      </right>
      <top style="thin">
        <color rgb="FFEAFAFF"/>
      </top>
      <bottom style="thin">
        <color rgb="FFEAFAFF"/>
      </bottom>
    </border>
    <border>
      <left style="thin">
        <color rgb="FFEAFAFF"/>
      </left>
      <right style="thick">
        <color rgb="FF3E3A3A"/>
      </right>
      <top style="thin">
        <color rgb="FFEAFAFF"/>
      </top>
      <bottom style="thin">
        <color rgb="FFEAFAFF"/>
      </bottom>
    </border>
    <border>
      <left style="thin">
        <color rgb="FFEAFAFF"/>
      </left>
      <top style="thin">
        <color rgb="FFEAFAFF"/>
      </top>
      <bottom style="thin">
        <color rgb="FFEAFAFF"/>
      </bottom>
    </border>
    <border>
      <top style="thin">
        <color rgb="FFEAFAFF"/>
      </top>
      <bottom style="thin">
        <color rgb="FFEAFAFF"/>
      </bottom>
    </border>
    <border>
      <right style="thin">
        <color rgb="FFEAFAFF"/>
      </right>
      <top style="thin">
        <color rgb="FFEAFAFF"/>
      </top>
      <bottom style="thin">
        <color rgb="FFEAFAFF"/>
      </bottom>
    </border>
    <border>
      <left style="thin">
        <color rgb="FFEAFAFF"/>
      </left>
      <right style="thin">
        <color rgb="FFEAFAFF"/>
      </right>
      <top style="thin">
        <color rgb="FFEAFAFF"/>
      </top>
    </border>
    <border>
      <left style="thick">
        <color rgb="FF434343"/>
      </left>
      <bottom style="medium">
        <color rgb="FFEAFAFF"/>
      </bottom>
    </border>
    <border>
      <bottom style="medium">
        <color rgb="FFEAFAFF"/>
      </bottom>
    </border>
    <border>
      <right style="thick">
        <color rgb="FF434343"/>
      </right>
      <bottom style="medium">
        <color rgb="FFEAFAFF"/>
      </bottom>
    </border>
    <border>
      <left style="thin">
        <color rgb="FFEAFAFF"/>
      </left>
      <right style="thin">
        <color rgb="FFEAFAFF"/>
      </right>
    </border>
    <border>
      <left style="thick">
        <color rgb="FF434343"/>
      </left>
      <top style="medium">
        <color rgb="FFEAFAFF"/>
      </top>
      <bottom style="medium">
        <color rgb="FFEAFAFF"/>
      </bottom>
    </border>
    <border>
      <top style="medium">
        <color rgb="FFEAFAFF"/>
      </top>
      <bottom style="medium">
        <color rgb="FFEAFAFF"/>
      </bottom>
    </border>
    <border>
      <right style="thick">
        <color rgb="FF434343"/>
      </right>
      <top style="medium">
        <color rgb="FFEAFAFF"/>
      </top>
      <bottom style="medium">
        <color rgb="FFEAFAFF"/>
      </bottom>
    </border>
    <border>
      <left style="thick">
        <color rgb="FF434343"/>
      </left>
      <right style="medium">
        <color rgb="FFEAFAFF"/>
      </right>
      <top style="medium">
        <color rgb="FFEAFAFF"/>
      </top>
      <bottom style="medium">
        <color rgb="FFEAFAFF"/>
      </bottom>
    </border>
    <border>
      <left style="medium">
        <color rgb="FFEAFAFF"/>
      </left>
      <right style="medium">
        <color rgb="FFEAFAFF"/>
      </right>
      <top style="medium">
        <color rgb="FFEAFAFF"/>
      </top>
      <bottom style="medium">
        <color rgb="FFEAFAFF"/>
      </bottom>
    </border>
    <border>
      <left style="medium">
        <color rgb="FFEAFAFF"/>
      </left>
      <right style="thick">
        <color rgb="FF434343"/>
      </right>
      <top style="medium">
        <color rgb="FFEAFAFF"/>
      </top>
      <bottom style="medium">
        <color rgb="FFEAFAFF"/>
      </bottom>
    </border>
    <border>
      <left style="medium">
        <color rgb="FFEAFAFF"/>
      </left>
      <top style="medium">
        <color rgb="FFEAFAFF"/>
      </top>
      <bottom style="medium">
        <color rgb="FFEAFAFF"/>
      </bottom>
    </border>
    <border>
      <right style="medium">
        <color rgb="FFEAFAFF"/>
      </right>
      <top style="medium">
        <color rgb="FFEAFAFF"/>
      </top>
      <bottom style="medium">
        <color rgb="FFEAFAFF"/>
      </bottom>
    </border>
    <border>
      <left style="thick">
        <color rgb="FF434343"/>
      </left>
      <right style="medium">
        <color rgb="FFEAFAFF"/>
      </right>
      <top style="medium">
        <color rgb="FFEAFAFF"/>
      </top>
    </border>
    <border>
      <left style="medium">
        <color rgb="FFEAFAFF"/>
      </left>
      <right style="medium">
        <color rgb="FFEAFAFF"/>
      </right>
      <top style="medium">
        <color rgb="FFEAFAFF"/>
      </top>
    </border>
    <border>
      <left style="medium">
        <color rgb="FFEAFAFF"/>
      </left>
      <right style="thick">
        <color rgb="FF434343"/>
      </right>
      <top style="medium">
        <color rgb="FFEAFAFF"/>
      </top>
    </border>
    <border>
      <left style="thick">
        <color rgb="FF434343"/>
      </left>
      <top style="medium">
        <color rgb="FF434343"/>
      </top>
      <bottom style="thin">
        <color rgb="FFEAFAFF"/>
      </bottom>
    </border>
    <border>
      <top style="medium">
        <color rgb="FF434343"/>
      </top>
      <bottom style="thin">
        <color rgb="FFEAFAFF"/>
      </bottom>
    </border>
    <border>
      <right style="thick">
        <color rgb="FF434343"/>
      </right>
      <top style="medium">
        <color rgb="FF434343"/>
      </top>
      <bottom style="thin">
        <color rgb="FFEAFAFF"/>
      </bottom>
    </border>
    <border>
      <left style="thick">
        <color rgb="FF434343"/>
      </left>
      <top style="thin">
        <color rgb="FFEAFAFF"/>
      </top>
      <bottom style="thin">
        <color rgb="FFEAFAFF"/>
      </bottom>
    </border>
    <border>
      <right style="thick">
        <color rgb="FF434343"/>
      </right>
      <top style="thin">
        <color rgb="FFEAFAFF"/>
      </top>
      <bottom style="thin">
        <color rgb="FFEAFAFF"/>
      </bottom>
    </border>
    <border>
      <left style="thin">
        <color rgb="FFEAFAFF"/>
      </left>
      <right style="thin">
        <color rgb="FFEAFAFF"/>
      </right>
      <bottom style="thin">
        <color rgb="FFEAFAFF"/>
      </bottom>
    </border>
    <border>
      <left style="thick">
        <color rgb="FF434343"/>
      </left>
      <top style="thin">
        <color rgb="FFEAFAFF"/>
      </top>
    </border>
    <border>
      <top style="thin">
        <color rgb="FFEAFAFF"/>
      </top>
    </border>
    <border>
      <right style="thin">
        <color rgb="FFEAFAFF"/>
      </right>
      <top style="thin">
        <color rgb="FFEAFAFF"/>
      </top>
    </border>
    <border>
      <left style="thin">
        <color rgb="FFEAFAFF"/>
      </left>
      <right style="thick">
        <color rgb="FF434343"/>
      </right>
      <top style="thin">
        <color rgb="FFEAFAFF"/>
      </top>
    </border>
    <border>
      <right style="thin">
        <color rgb="FFEAFAFF"/>
      </right>
      <top style="medium">
        <color rgb="FF434343"/>
      </top>
      <bottom style="thin">
        <color rgb="FFEAFAFF"/>
      </bottom>
    </border>
    <border>
      <left style="thin">
        <color rgb="FFEAFAFF"/>
      </left>
      <right style="thick">
        <color rgb="FF434343"/>
      </right>
      <top style="medium">
        <color rgb="FF434343"/>
      </top>
      <bottom style="thin">
        <color rgb="FFEAFAFF"/>
      </bottom>
    </border>
    <border>
      <left style="thin">
        <color rgb="FFEAFAFF"/>
      </left>
      <right style="thick">
        <color rgb="FF434343"/>
      </right>
      <top style="thin">
        <color rgb="FFEAFAFF"/>
      </top>
      <bottom style="thin">
        <color rgb="FFEAFAFF"/>
      </bottom>
    </border>
    <border>
      <left style="thick">
        <color rgb="FF434343"/>
      </left>
      <top style="thin">
        <color rgb="FFEAFAFF"/>
      </top>
      <bottom style="thick">
        <color rgb="FF434343"/>
      </bottom>
    </border>
    <border>
      <top style="thin">
        <color rgb="FFEAFAFF"/>
      </top>
      <bottom style="thick">
        <color rgb="FF434343"/>
      </bottom>
    </border>
    <border>
      <right style="thin">
        <color rgb="FFEAFAFF"/>
      </right>
      <top style="thin">
        <color rgb="FFEAFAFF"/>
      </top>
      <bottom style="thick">
        <color rgb="FF434343"/>
      </bottom>
    </border>
    <border>
      <left style="thin">
        <color rgb="FFEAFAFF"/>
      </left>
      <right style="thick">
        <color rgb="FF434343"/>
      </right>
      <top style="thin">
        <color rgb="FFEAFAFF"/>
      </top>
      <bottom style="thick">
        <color rgb="FF434343"/>
      </bottom>
    </border>
    <border>
      <left style="thick">
        <color rgb="FF3E3A3A"/>
      </left>
      <right style="thin">
        <color rgb="FF69C2DA"/>
      </right>
      <bottom style="thin">
        <color rgb="FF69C2DA"/>
      </bottom>
    </border>
    <border>
      <left style="thin">
        <color rgb="FF69C2DA"/>
      </left>
      <right style="thin">
        <color rgb="FF69C2DA"/>
      </right>
      <bottom style="thin">
        <color rgb="FF69C2DA"/>
      </bottom>
    </border>
    <border>
      <left style="thin">
        <color rgb="FF69C2DA"/>
      </left>
      <bottom style="thin">
        <color rgb="FF69C2DA"/>
      </bottom>
    </border>
    <border>
      <left style="medium">
        <color rgb="FF3E3A3A"/>
      </left>
      <right style="thick">
        <color rgb="FF3E3A3A"/>
      </right>
      <bottom style="thin">
        <color rgb="FF69C2DA"/>
      </bottom>
    </border>
    <border>
      <left style="thick">
        <color rgb="FF3E3A3A"/>
      </left>
      <right style="thin">
        <color rgb="FF69C2DA"/>
      </right>
      <top style="thin">
        <color rgb="FF69C2DA"/>
      </top>
      <bottom style="thin">
        <color rgb="FF69C2DA"/>
      </bottom>
    </border>
    <border>
      <left style="thin">
        <color rgb="FF69C2DA"/>
      </left>
      <right style="thin">
        <color rgb="FF69C2DA"/>
      </right>
      <top style="thin">
        <color rgb="FF69C2DA"/>
      </top>
      <bottom style="thin">
        <color rgb="FF69C2DA"/>
      </bottom>
    </border>
    <border>
      <left style="thin">
        <color rgb="FF69C2DA"/>
      </left>
      <top style="thin">
        <color rgb="FF69C2DA"/>
      </top>
      <bottom style="thin">
        <color rgb="FF69C2DA"/>
      </bottom>
    </border>
    <border>
      <left style="medium">
        <color rgb="FF3E3A3A"/>
      </left>
      <right style="thick">
        <color rgb="FF3E3A3A"/>
      </right>
      <top style="thin">
        <color rgb="FF69C2DA"/>
      </top>
      <bottom style="thin">
        <color rgb="FF69C2DA"/>
      </bottom>
    </border>
    <border>
      <left style="thick">
        <color rgb="FF3E3A3A"/>
      </left>
      <right style="thin">
        <color rgb="FF69C2DA"/>
      </right>
      <top style="thin">
        <color rgb="FF69C2DA"/>
      </top>
    </border>
    <border>
      <left style="thin">
        <color rgb="FF69C2DA"/>
      </left>
      <right style="thin">
        <color rgb="FF69C2DA"/>
      </right>
      <top style="thin">
        <color rgb="FF69C2DA"/>
      </top>
    </border>
    <border>
      <left style="thin">
        <color rgb="FF69C2DA"/>
      </left>
      <top style="thin">
        <color rgb="FF69C2DA"/>
      </top>
    </border>
    <border>
      <left style="medium">
        <color rgb="FF3E3A3A"/>
      </left>
      <right style="thick">
        <color rgb="FF3E3A3A"/>
      </right>
      <top style="thin">
        <color rgb="FF69C2DA"/>
      </top>
      <bottom style="thin">
        <color rgb="FF549894"/>
      </bottom>
    </border>
    <border>
      <left style="thick">
        <color rgb="FF3E3A3A"/>
      </left>
      <right style="thin">
        <color rgb="FFEAFAFF"/>
      </right>
      <top style="thin">
        <color rgb="FFEAFAFF"/>
      </top>
      <bottom style="thick">
        <color rgb="FF3E3A3A"/>
      </bottom>
    </border>
    <border>
      <left style="thin">
        <color rgb="FFEAFAFF"/>
      </left>
      <right style="thin">
        <color rgb="FFEAFAFF"/>
      </right>
      <top style="thin">
        <color rgb="FFEAFAFF"/>
      </top>
      <bottom style="thick">
        <color rgb="FF3E3A3A"/>
      </bottom>
    </border>
    <border>
      <left style="thin">
        <color rgb="FFEAFAFF"/>
      </left>
      <right style="thin">
        <color rgb="FFEAFAFF"/>
      </right>
      <bottom style="thick">
        <color rgb="FF3E3A3A"/>
      </bottom>
    </border>
    <border>
      <left style="thin">
        <color rgb="FFEAFAFF"/>
      </left>
      <right style="thick">
        <color rgb="FF3E3A3A"/>
      </right>
      <top style="thin">
        <color rgb="FFEAFAFF"/>
      </top>
      <bottom style="thick">
        <color rgb="FF3E3A3A"/>
      </bottom>
    </border>
    <border>
      <left style="thick">
        <color rgb="FF3E3A3A"/>
      </left>
      <right style="thin">
        <color rgb="FFFCE5CD"/>
      </right>
      <bottom style="thin">
        <color rgb="FFFCE5CD"/>
      </bottom>
    </border>
    <border>
      <left style="thin">
        <color rgb="FFFCE5CD"/>
      </left>
      <right style="thin">
        <color rgb="FFFCE5CD"/>
      </right>
      <bottom style="thin">
        <color rgb="FFFCE5CD"/>
      </bottom>
    </border>
    <border>
      <left style="thin">
        <color rgb="FFFCE5CD"/>
      </left>
      <right style="thick">
        <color rgb="FF3E3A3A"/>
      </right>
      <bottom style="thin">
        <color rgb="FFFCE5CD"/>
      </bottom>
    </border>
    <border>
      <left style="thick">
        <color rgb="FF3E3A3A"/>
      </left>
      <right style="thin">
        <color rgb="FFFCE5CD"/>
      </right>
      <top style="thin">
        <color rgb="FFFCE5CD"/>
      </top>
      <bottom style="thin">
        <color rgb="FFFCE5CD"/>
      </bottom>
    </border>
    <border>
      <left style="thin">
        <color rgb="FFFCE5CD"/>
      </left>
      <right style="thin">
        <color rgb="FFFCE5CD"/>
      </right>
      <top style="thin">
        <color rgb="FFFCE5CD"/>
      </top>
      <bottom style="thin">
        <color rgb="FFFCE5CD"/>
      </bottom>
    </border>
    <border>
      <left style="thin">
        <color rgb="FFFCE5CD"/>
      </left>
      <right style="thick">
        <color rgb="FF3E3A3A"/>
      </right>
      <top style="thin">
        <color rgb="FFFCE5CD"/>
      </top>
      <bottom style="thin">
        <color rgb="FFFCE5CD"/>
      </bottom>
    </border>
    <border>
      <left style="thin">
        <color rgb="FFFCE5CD"/>
      </left>
      <right style="thin">
        <color rgb="FFFCE5CD"/>
      </right>
      <top style="thin">
        <color rgb="FFFCE5CD"/>
      </top>
    </border>
    <border>
      <left style="thick">
        <color rgb="FF434343"/>
      </left>
      <bottom style="medium">
        <color rgb="FFFCE5CD"/>
      </bottom>
    </border>
    <border>
      <bottom style="medium">
        <color rgb="FFFCE5CD"/>
      </bottom>
    </border>
    <border>
      <right style="thick">
        <color rgb="FF434343"/>
      </right>
      <bottom style="medium">
        <color rgb="FFFCE5CD"/>
      </bottom>
    </border>
    <border>
      <left style="thin">
        <color rgb="FFFCE5CD"/>
      </left>
      <right style="thin">
        <color rgb="FFFCE5CD"/>
      </right>
    </border>
    <border>
      <left style="thick">
        <color rgb="FF434343"/>
      </left>
      <top style="medium">
        <color rgb="FFFCE5CD"/>
      </top>
      <bottom style="medium">
        <color rgb="FFFCE5CD"/>
      </bottom>
    </border>
    <border>
      <top style="medium">
        <color rgb="FFFCE5CD"/>
      </top>
      <bottom style="medium">
        <color rgb="FFFCE5CD"/>
      </bottom>
    </border>
    <border>
      <right style="thick">
        <color rgb="FF434343"/>
      </right>
      <top style="medium">
        <color rgb="FFFCE5CD"/>
      </top>
      <bottom style="medium">
        <color rgb="FFFCE5CD"/>
      </bottom>
    </border>
    <border>
      <left style="thick">
        <color rgb="FF434343"/>
      </left>
      <right style="medium">
        <color rgb="FFFCE5CD"/>
      </right>
      <top style="medium">
        <color rgb="FFFCE5CD"/>
      </top>
      <bottom style="medium">
        <color rgb="FFFCE5CD"/>
      </bottom>
    </border>
    <border>
      <left style="medium">
        <color rgb="FFFCE5CD"/>
      </left>
      <right style="medium">
        <color rgb="FFFCE5CD"/>
      </right>
      <top style="medium">
        <color rgb="FFFCE5CD"/>
      </top>
      <bottom style="medium">
        <color rgb="FFFCE5CD"/>
      </bottom>
    </border>
    <border>
      <left style="medium">
        <color rgb="FFFCE5CD"/>
      </left>
      <right style="thick">
        <color rgb="FF434343"/>
      </right>
      <top style="medium">
        <color rgb="FFFCE5CD"/>
      </top>
      <bottom style="medium">
        <color rgb="FFFCE5CD"/>
      </bottom>
    </border>
    <border>
      <left style="thick">
        <color rgb="FF434343"/>
      </left>
      <right style="medium">
        <color rgb="FFFCE5CD"/>
      </right>
      <top style="medium">
        <color rgb="FFFCE5CD"/>
      </top>
    </border>
    <border>
      <left style="medium">
        <color rgb="FFFCE5CD"/>
      </left>
      <right style="medium">
        <color rgb="FFFCE5CD"/>
      </right>
      <top style="medium">
        <color rgb="FFFCE5CD"/>
      </top>
    </border>
    <border>
      <left style="medium">
        <color rgb="FFFCE5CD"/>
      </left>
      <right style="thick">
        <color rgb="FF434343"/>
      </right>
      <top style="medium">
        <color rgb="FFFCE5CD"/>
      </top>
    </border>
    <border>
      <left style="thick">
        <color rgb="FF434343"/>
      </left>
      <top style="medium">
        <color rgb="FF434343"/>
      </top>
      <bottom style="thin">
        <color rgb="FFFCE5CD"/>
      </bottom>
    </border>
    <border>
      <top style="medium">
        <color rgb="FF434343"/>
      </top>
      <bottom style="thin">
        <color rgb="FFFCE5CD"/>
      </bottom>
    </border>
    <border>
      <right style="thick">
        <color rgb="FF434343"/>
      </right>
      <top style="medium">
        <color rgb="FF434343"/>
      </top>
      <bottom style="thin">
        <color rgb="FFFCE5CD"/>
      </bottom>
    </border>
    <border>
      <left style="thick">
        <color rgb="FF434343"/>
      </left>
      <top style="thin">
        <color rgb="FFFCE5CD"/>
      </top>
      <bottom style="thin">
        <color rgb="FFFCE5CD"/>
      </bottom>
    </border>
    <border>
      <top style="thin">
        <color rgb="FFFCE5CD"/>
      </top>
      <bottom style="thin">
        <color rgb="FFFCE5CD"/>
      </bottom>
    </border>
    <border>
      <right style="thick">
        <color rgb="FF434343"/>
      </right>
      <top style="thin">
        <color rgb="FFFCE5CD"/>
      </top>
      <bottom style="thin">
        <color rgb="FFFCE5CD"/>
      </bottom>
    </border>
    <border>
      <left style="thick">
        <color rgb="FF434343"/>
      </left>
      <top style="thin">
        <color rgb="FFFCE5CD"/>
      </top>
    </border>
    <border>
      <top style="thin">
        <color rgb="FFFCE5CD"/>
      </top>
    </border>
    <border>
      <right style="thin">
        <color rgb="FFFCE5CD"/>
      </right>
      <top style="thin">
        <color rgb="FFFCE5CD"/>
      </top>
    </border>
    <border>
      <left style="thin">
        <color rgb="FFFCE5CD"/>
      </left>
      <right style="thick">
        <color rgb="FF434343"/>
      </right>
      <top style="thin">
        <color rgb="FFFCE5CD"/>
      </top>
    </border>
    <border>
      <right style="thin">
        <color rgb="FFFCE5CD"/>
      </right>
      <top style="medium">
        <color rgb="FF434343"/>
      </top>
      <bottom style="thin">
        <color rgb="FFFCE5CD"/>
      </bottom>
    </border>
    <border>
      <right style="thin">
        <color rgb="FFFCE5CD"/>
      </right>
      <top style="thin">
        <color rgb="FFFCE5CD"/>
      </top>
      <bottom style="thin">
        <color rgb="FFFCE5CD"/>
      </bottom>
    </border>
    <border>
      <left style="thick">
        <color rgb="FF434343"/>
      </left>
      <top style="thin">
        <color rgb="FFFCE5CD"/>
      </top>
      <bottom style="thick">
        <color rgb="FF434343"/>
      </bottom>
    </border>
    <border>
      <top style="thin">
        <color rgb="FFFCE5CD"/>
      </top>
      <bottom style="thick">
        <color rgb="FF434343"/>
      </bottom>
    </border>
    <border>
      <right style="thin">
        <color rgb="FFFCE5CD"/>
      </right>
      <top style="thin">
        <color rgb="FFFCE5CD"/>
      </top>
      <bottom style="thick">
        <color rgb="FF434343"/>
      </bottom>
    </border>
    <border>
      <right style="thick">
        <color rgb="FF434343"/>
      </right>
      <top style="thin">
        <color rgb="FFFCE5CD"/>
      </top>
      <bottom style="thick">
        <color rgb="FF434343"/>
      </bottom>
    </border>
    <border>
      <left style="thick">
        <color rgb="FF3E3A3A"/>
      </left>
      <right style="thin">
        <color rgb="FFB87A55"/>
      </right>
      <bottom style="thin">
        <color rgb="FFB87A55"/>
      </bottom>
    </border>
    <border>
      <left style="thin">
        <color rgb="FFB87A55"/>
      </left>
      <right style="thin">
        <color rgb="FFB87A55"/>
      </right>
      <bottom style="thin">
        <color rgb="FFB87A55"/>
      </bottom>
    </border>
    <border>
      <left style="thin">
        <color rgb="FFB87A55"/>
      </left>
      <top style="thin">
        <color rgb="FF3E3A3A"/>
      </top>
      <bottom style="thin">
        <color rgb="FFB87A55"/>
      </bottom>
    </border>
    <border>
      <left style="medium">
        <color rgb="FF3E3A3A"/>
      </left>
      <right style="thick">
        <color rgb="FF3E3A3A"/>
      </right>
      <bottom style="thin">
        <color rgb="FFB87A55"/>
      </bottom>
    </border>
    <border>
      <left style="thick">
        <color rgb="FF3E3A3A"/>
      </left>
      <right style="thin">
        <color rgb="FFB87A55"/>
      </right>
      <top style="thin">
        <color rgb="FFB87A55"/>
      </top>
      <bottom style="thin">
        <color rgb="FFB87A55"/>
      </bottom>
    </border>
    <border>
      <left style="thin">
        <color rgb="FFB87A55"/>
      </left>
      <right style="thin">
        <color rgb="FFB87A55"/>
      </right>
      <top style="thin">
        <color rgb="FFB87A55"/>
      </top>
      <bottom style="thin">
        <color rgb="FFB87A55"/>
      </bottom>
    </border>
    <border>
      <left style="thin">
        <color rgb="FFB87A55"/>
      </left>
      <top style="thin">
        <color rgb="FFB87A55"/>
      </top>
      <bottom style="thin">
        <color rgb="FFB87A55"/>
      </bottom>
    </border>
    <border>
      <left style="medium">
        <color rgb="FF3E3A3A"/>
      </left>
      <right style="thick">
        <color rgb="FF3E3A3A"/>
      </right>
      <top style="thin">
        <color rgb="FFB87A55"/>
      </top>
      <bottom style="thin">
        <color rgb="FFB87A55"/>
      </bottom>
    </border>
    <border>
      <left style="thick">
        <color rgb="FF3E3A3A"/>
      </left>
      <right style="thin">
        <color rgb="FFB87A55"/>
      </right>
      <top style="thin">
        <color rgb="FFB87A55"/>
      </top>
    </border>
    <border>
      <left style="thin">
        <color rgb="FFB87A55"/>
      </left>
      <right style="thin">
        <color rgb="FFB87A55"/>
      </right>
      <top style="thin">
        <color rgb="FFB87A55"/>
      </top>
    </border>
    <border>
      <left style="thin">
        <color rgb="FFB87A55"/>
      </left>
      <top style="thin">
        <color rgb="FFB87A55"/>
      </top>
    </border>
    <border>
      <left style="medium">
        <color rgb="FF3E3A3A"/>
      </left>
      <right style="thick">
        <color rgb="FF3E3A3A"/>
      </right>
      <top style="thin">
        <color rgb="FFB87A55"/>
      </top>
      <bottom style="thin">
        <color rgb="FF549894"/>
      </bottom>
    </border>
    <border>
      <left style="thin">
        <color rgb="FFFCE5CD"/>
      </left>
      <top style="thin">
        <color rgb="FFFCE5CD"/>
      </top>
      <bottom style="thin">
        <color rgb="FFFCE5CD"/>
      </bottom>
    </border>
    <border>
      <right style="thick">
        <color rgb="FF3E3A3A"/>
      </right>
      <top style="thin">
        <color rgb="FFFCE5CD"/>
      </top>
      <bottom style="thin">
        <color rgb="FFFCE5CD"/>
      </bottom>
    </border>
    <border>
      <bottom style="thin">
        <color rgb="FFFCE5CD"/>
      </bottom>
    </border>
    <border>
      <left style="thick">
        <color rgb="FF3E3A3A"/>
      </left>
      <right style="thin">
        <color rgb="FFFCE5CD"/>
      </right>
      <bottom style="thick">
        <color rgb="FF3E3A3A"/>
      </bottom>
    </border>
    <border>
      <left style="thin">
        <color rgb="FFFCE5CD"/>
      </left>
      <right style="thin">
        <color rgb="FFFCE5CD"/>
      </right>
      <bottom style="thick">
        <color rgb="FF3E3A3A"/>
      </bottom>
    </border>
    <border>
      <left style="thin">
        <color rgb="FFFCE5CD"/>
      </left>
      <right style="thick">
        <color rgb="FF3E3A3A"/>
      </right>
      <bottom style="thick">
        <color rgb="FF3E3A3A"/>
      </bottom>
    </border>
    <border>
      <left style="thick">
        <color rgb="FF3E3A3A"/>
      </left>
      <right style="thin">
        <color rgb="FFC1B6D5"/>
      </right>
      <bottom style="thin">
        <color rgb="FFC1B6D5"/>
      </bottom>
    </border>
    <border>
      <left style="thin">
        <color rgb="FFC1B6D5"/>
      </left>
      <bottom style="thin">
        <color rgb="FFC1B6D5"/>
      </bottom>
    </border>
    <border>
      <bottom style="thin">
        <color rgb="FFC1B6D5"/>
      </bottom>
    </border>
    <border>
      <right style="thin">
        <color rgb="FFC1B6D5"/>
      </right>
      <bottom style="thin">
        <color rgb="FFC1B6D5"/>
      </bottom>
    </border>
    <border>
      <left style="thin">
        <color rgb="FFC1B6D5"/>
      </left>
      <right style="thick">
        <color rgb="FF3E3A3A"/>
      </right>
      <bottom style="thin">
        <color rgb="FFC1B6D5"/>
      </bottom>
    </border>
    <border>
      <left style="thick">
        <color rgb="FF3E3A3A"/>
      </left>
      <right style="thin">
        <color rgb="FFC1B6D5"/>
      </right>
      <top style="thin">
        <color rgb="FFC1B6D5"/>
      </top>
      <bottom style="thin">
        <color rgb="FFC1B6D5"/>
      </bottom>
    </border>
    <border>
      <left style="thin">
        <color rgb="FFC1B6D5"/>
      </left>
      <right style="thin">
        <color rgb="FFC1B6D5"/>
      </right>
      <top style="thin">
        <color rgb="FFC1B6D5"/>
      </top>
      <bottom style="thin">
        <color rgb="FFC1B6D5"/>
      </bottom>
    </border>
    <border>
      <left style="thin">
        <color rgb="FFC1B6D5"/>
      </left>
      <right style="thick">
        <color rgb="FF3E3A3A"/>
      </right>
      <top style="thin">
        <color rgb="FFC1B6D5"/>
      </top>
      <bottom style="thin">
        <color rgb="FFC1B6D5"/>
      </bottom>
    </border>
    <border>
      <left style="thin">
        <color rgb="FFC1B6D5"/>
      </left>
      <right style="thin">
        <color rgb="FFC1B6D5"/>
      </right>
      <top style="thin">
        <color rgb="FFC1B6D5"/>
      </top>
    </border>
    <border>
      <left style="thick">
        <color rgb="FF434343"/>
      </left>
      <bottom style="medium">
        <color rgb="FFC1B6D5"/>
      </bottom>
    </border>
    <border>
      <bottom style="medium">
        <color rgb="FFC1B6D5"/>
      </bottom>
    </border>
    <border>
      <right style="thick">
        <color rgb="FF434343"/>
      </right>
      <bottom style="medium">
        <color rgb="FFC1B6D5"/>
      </bottom>
    </border>
    <border>
      <left style="thin">
        <color rgb="FFC1B6D5"/>
      </left>
      <right style="thin">
        <color rgb="FFC1B6D5"/>
      </right>
    </border>
    <border>
      <left style="thick">
        <color rgb="FF434343"/>
      </left>
      <top style="medium">
        <color rgb="FFC1B6D5"/>
      </top>
      <bottom style="medium">
        <color rgb="FFC1B6D5"/>
      </bottom>
    </border>
    <border>
      <top style="medium">
        <color rgb="FFC1B6D5"/>
      </top>
      <bottom style="medium">
        <color rgb="FFC1B6D5"/>
      </bottom>
    </border>
    <border>
      <right style="thick">
        <color rgb="FF434343"/>
      </right>
      <top style="medium">
        <color rgb="FFC1B6D5"/>
      </top>
      <bottom style="medium">
        <color rgb="FFC1B6D5"/>
      </bottom>
    </border>
    <border>
      <left style="thick">
        <color rgb="FF434343"/>
      </left>
      <right style="medium">
        <color rgb="FFC1B6D5"/>
      </right>
      <top style="medium">
        <color rgb="FFC1B6D5"/>
      </top>
      <bottom style="medium">
        <color rgb="FFC1B6D5"/>
      </bottom>
    </border>
    <border>
      <left style="medium">
        <color rgb="FFC1B6D5"/>
      </left>
      <right style="medium">
        <color rgb="FFC1B6D5"/>
      </right>
      <top style="medium">
        <color rgb="FFC1B6D5"/>
      </top>
      <bottom style="medium">
        <color rgb="FFC1B6D5"/>
      </bottom>
    </border>
    <border>
      <left style="medium">
        <color rgb="FFC1B6D5"/>
      </left>
      <right style="thick">
        <color rgb="FF434343"/>
      </right>
      <top style="medium">
        <color rgb="FFC1B6D5"/>
      </top>
      <bottom style="medium">
        <color rgb="FFC1B6D5"/>
      </bottom>
    </border>
    <border>
      <left style="thick">
        <color rgb="FF434343"/>
      </left>
      <right style="medium">
        <color rgb="FFC1B6D5"/>
      </right>
      <top style="medium">
        <color rgb="FFC1B6D5"/>
      </top>
    </border>
    <border>
      <left style="medium">
        <color rgb="FFC1B6D5"/>
      </left>
      <right style="medium">
        <color rgb="FFC1B6D5"/>
      </right>
      <top style="medium">
        <color rgb="FFC1B6D5"/>
      </top>
    </border>
    <border>
      <left style="medium">
        <color rgb="FFC1B6D5"/>
      </left>
      <right style="thick">
        <color rgb="FF434343"/>
      </right>
      <top style="medium">
        <color rgb="FFC1B6D5"/>
      </top>
    </border>
    <border>
      <left style="thick">
        <color rgb="FF434343"/>
      </left>
      <top style="medium">
        <color rgb="FF434343"/>
      </top>
      <bottom style="thin">
        <color rgb="FFC1B6D5"/>
      </bottom>
    </border>
    <border>
      <top style="medium">
        <color rgb="FF434343"/>
      </top>
      <bottom style="thin">
        <color rgb="FFC1B6D5"/>
      </bottom>
    </border>
    <border>
      <right style="thick">
        <color rgb="FF434343"/>
      </right>
      <top style="medium">
        <color rgb="FF434343"/>
      </top>
      <bottom style="thin">
        <color rgb="FFC1B6D5"/>
      </bottom>
    </border>
    <border>
      <left style="thick">
        <color rgb="FF434343"/>
      </left>
      <top style="thin">
        <color rgb="FFC1B6D5"/>
      </top>
      <bottom style="thin">
        <color rgb="FFC1B6D5"/>
      </bottom>
    </border>
    <border>
      <top style="thin">
        <color rgb="FFC1B6D5"/>
      </top>
      <bottom style="thin">
        <color rgb="FFC1B6D5"/>
      </bottom>
    </border>
    <border>
      <right style="thick">
        <color rgb="FF434343"/>
      </right>
      <top style="thin">
        <color rgb="FFC1B6D5"/>
      </top>
      <bottom style="thin">
        <color rgb="FFC1B6D5"/>
      </bottom>
    </border>
    <border>
      <left style="thin">
        <color rgb="FFC1B6D5"/>
      </left>
      <right style="thin">
        <color rgb="FFC1B6D5"/>
      </right>
      <bottom style="thin">
        <color rgb="FFC1B6D5"/>
      </bottom>
    </border>
    <border>
      <left style="thick">
        <color rgb="FF434343"/>
      </left>
      <top style="thin">
        <color rgb="FFC1B6D5"/>
      </top>
    </border>
    <border>
      <top style="thin">
        <color rgb="FFC1B6D5"/>
      </top>
    </border>
    <border>
      <right style="thin">
        <color rgb="FFC1B6D5"/>
      </right>
      <top style="thin">
        <color rgb="FFC1B6D5"/>
      </top>
    </border>
    <border>
      <left style="thin">
        <color rgb="FFC1B6D5"/>
      </left>
      <right style="thick">
        <color rgb="FF434343"/>
      </right>
      <top style="thin">
        <color rgb="FFC1B6D5"/>
      </top>
    </border>
    <border>
      <right style="thin">
        <color rgb="FFC1B6D5"/>
      </right>
      <top style="medium">
        <color rgb="FF434343"/>
      </top>
      <bottom style="thin">
        <color rgb="FFC1B6D5"/>
      </bottom>
    </border>
    <border>
      <left style="thin">
        <color rgb="FFC1B6D5"/>
      </left>
      <right style="thick">
        <color rgb="FF434343"/>
      </right>
      <top style="medium">
        <color rgb="FF434343"/>
      </top>
      <bottom style="thin">
        <color rgb="FFC1B6D5"/>
      </bottom>
    </border>
    <border>
      <right style="thin">
        <color rgb="FFC1B6D5"/>
      </right>
      <top style="thin">
        <color rgb="FFC1B6D5"/>
      </top>
      <bottom style="thin">
        <color rgb="FFC1B6D5"/>
      </bottom>
    </border>
    <border>
      <left style="thin">
        <color rgb="FFC1B6D5"/>
      </left>
      <right style="thick">
        <color rgb="FF434343"/>
      </right>
      <top style="thin">
        <color rgb="FFC1B6D5"/>
      </top>
      <bottom style="thin">
        <color rgb="FFC1B6D5"/>
      </bottom>
    </border>
    <border>
      <left style="thick">
        <color rgb="FF434343"/>
      </left>
      <top style="thin">
        <color rgb="FFC1B6D5"/>
      </top>
      <bottom style="thick">
        <color rgb="FF434343"/>
      </bottom>
    </border>
    <border>
      <top style="thin">
        <color rgb="FFC1B6D5"/>
      </top>
      <bottom style="thick">
        <color rgb="FF434343"/>
      </bottom>
    </border>
    <border>
      <right style="thin">
        <color rgb="FFC1B6D5"/>
      </right>
      <top style="thin">
        <color rgb="FFC1B6D5"/>
      </top>
      <bottom style="thick">
        <color rgb="FF434343"/>
      </bottom>
    </border>
    <border>
      <left style="thin">
        <color rgb="FFC1B6D5"/>
      </left>
      <right style="thick">
        <color rgb="FF434343"/>
      </right>
      <top style="thin">
        <color rgb="FFC1B6D5"/>
      </top>
      <bottom style="thick">
        <color rgb="FF434343"/>
      </bottom>
    </border>
    <border>
      <left style="thick">
        <color rgb="FF3E3A3A"/>
      </left>
      <right style="thin">
        <color rgb="FF5C519C"/>
      </right>
      <bottom style="thin">
        <color rgb="FF5C519C"/>
      </bottom>
    </border>
    <border>
      <left style="thin">
        <color rgb="FF5C519C"/>
      </left>
      <right style="thin">
        <color rgb="FF5C519C"/>
      </right>
      <bottom style="thin">
        <color rgb="FF5C519C"/>
      </bottom>
    </border>
    <border>
      <left style="thin">
        <color rgb="FF5C519C"/>
      </left>
      <top style="thin">
        <color rgb="FF3E3A3A"/>
      </top>
      <bottom style="thin">
        <color rgb="FF5C519C"/>
      </bottom>
    </border>
    <border>
      <left style="medium">
        <color rgb="FF3E3A3A"/>
      </left>
      <right style="thick">
        <color rgb="FF3E3A3A"/>
      </right>
      <bottom style="thin">
        <color rgb="FF5C519C"/>
      </bottom>
    </border>
    <border>
      <left style="thick">
        <color rgb="FF3E3A3A"/>
      </left>
      <right style="thin">
        <color rgb="FF5C519C"/>
      </right>
      <top style="thin">
        <color rgb="FF5C519C"/>
      </top>
      <bottom style="thin">
        <color rgb="FF5C519C"/>
      </bottom>
    </border>
    <border>
      <left style="thin">
        <color rgb="FF5C519C"/>
      </left>
      <right style="thin">
        <color rgb="FF5C519C"/>
      </right>
      <top style="thin">
        <color rgb="FF5C519C"/>
      </top>
      <bottom style="thin">
        <color rgb="FF5C519C"/>
      </bottom>
    </border>
    <border>
      <left style="thin">
        <color rgb="FF5C519C"/>
      </left>
      <top style="thin">
        <color rgb="FF5C519C"/>
      </top>
      <bottom style="thin">
        <color rgb="FF5C519C"/>
      </bottom>
    </border>
    <border>
      <left style="medium">
        <color rgb="FF3E3A3A"/>
      </left>
      <right style="thick">
        <color rgb="FF3E3A3A"/>
      </right>
      <top style="thin">
        <color rgb="FF5C519C"/>
      </top>
      <bottom style="thin">
        <color rgb="FF5C519C"/>
      </bottom>
    </border>
    <border>
      <left style="thick">
        <color rgb="FF3E3A3A"/>
      </left>
      <right style="thin">
        <color rgb="FF5C519C"/>
      </right>
      <top style="thin">
        <color rgb="FF5C519C"/>
      </top>
    </border>
    <border>
      <left style="thin">
        <color rgb="FF5C519C"/>
      </left>
      <right style="thin">
        <color rgb="FF5C519C"/>
      </right>
      <top style="thin">
        <color rgb="FF5C519C"/>
      </top>
    </border>
    <border>
      <left style="thin">
        <color rgb="FF5C519C"/>
      </left>
      <top style="thin">
        <color rgb="FF5C519C"/>
      </top>
    </border>
    <border>
      <left style="medium">
        <color rgb="FF3E3A3A"/>
      </left>
      <right style="thick">
        <color rgb="FF3E3A3A"/>
      </right>
      <top style="thin">
        <color rgb="FF5C519C"/>
      </top>
      <bottom style="thin">
        <color rgb="FF549894"/>
      </bottom>
    </border>
    <border>
      <left style="thick">
        <color rgb="FF3E3A3A"/>
      </left>
      <right style="thin">
        <color rgb="FFC1B6D5"/>
      </right>
      <top style="thin">
        <color rgb="FFC1B6D5"/>
      </top>
      <bottom style="thin">
        <color rgb="FFFCE5CD"/>
      </bottom>
    </border>
    <border>
      <left style="thin">
        <color rgb="FFC1B6D5"/>
      </left>
      <right style="thin">
        <color rgb="FFC1B6D5"/>
      </right>
      <top style="thin">
        <color rgb="FFC1B6D5"/>
      </top>
      <bottom style="thin">
        <color rgb="FFFCE5CD"/>
      </bottom>
    </border>
    <border>
      <left style="thin">
        <color rgb="FFC1B6D5"/>
      </left>
      <right style="thick">
        <color rgb="FF3E3A3A"/>
      </right>
      <top style="thin">
        <color rgb="FFC1B6D5"/>
      </top>
      <bottom style="thin">
        <color rgb="FFFCE5CD"/>
      </bottom>
    </border>
    <border>
      <left style="thin">
        <color rgb="FFC1B6D5"/>
      </left>
      <top style="thin">
        <color rgb="FFC1B6D5"/>
      </top>
      <bottom style="thin">
        <color rgb="FFC1B6D5"/>
      </bottom>
    </border>
    <border>
      <right style="thick">
        <color rgb="FF3E3A3A"/>
      </right>
      <top style="thin">
        <color rgb="FFC1B6D5"/>
      </top>
      <bottom style="thin">
        <color rgb="FFC1B6D5"/>
      </bottom>
    </border>
    <border>
      <left style="medium">
        <color rgb="FFC1B6D5"/>
      </left>
      <top style="medium">
        <color rgb="FFC1B6D5"/>
      </top>
      <bottom style="medium">
        <color rgb="FFC1B6D5"/>
      </bottom>
    </border>
    <border>
      <right style="medium">
        <color rgb="FFC1B6D5"/>
      </right>
      <top style="medium">
        <color rgb="FFC1B6D5"/>
      </top>
      <bottom style="medium">
        <color rgb="FFC1B6D5"/>
      </bottom>
    </border>
    <border>
      <left style="thick">
        <color rgb="FF3E3A3A"/>
      </left>
      <right style="thin">
        <color rgb="FFC1B6D5"/>
      </right>
      <top style="thin">
        <color rgb="FFC1B6D5"/>
      </top>
    </border>
    <border>
      <left style="thin">
        <color rgb="FFC1B6D5"/>
      </left>
      <right style="thick">
        <color rgb="FF3E3A3A"/>
      </right>
      <top style="thin">
        <color rgb="FFC1B6D5"/>
      </top>
    </border>
    <border>
      <left style="thick">
        <color rgb="FF3E3A3A"/>
      </left>
      <right style="thin">
        <color rgb="FFC1B6D5"/>
      </right>
      <top style="thin">
        <color rgb="FFC1B6D5"/>
      </top>
      <bottom style="thick">
        <color rgb="FF3E3A3A"/>
      </bottom>
    </border>
    <border>
      <left style="thin">
        <color rgb="FFC1B6D5"/>
      </left>
      <right style="thin">
        <color rgb="FFC1B6D5"/>
      </right>
      <top style="thin">
        <color rgb="FFC1B6D5"/>
      </top>
      <bottom style="thick">
        <color rgb="FF3E3A3A"/>
      </bottom>
    </border>
    <border>
      <left style="thin">
        <color rgb="FFC1B6D5"/>
      </left>
      <right style="thick">
        <color rgb="FF3E3A3A"/>
      </right>
      <top style="thin">
        <color rgb="FFC1B6D5"/>
      </top>
      <bottom style="thick">
        <color rgb="FF3E3A3A"/>
      </bottom>
    </border>
    <border>
      <left style="thin">
        <color rgb="FFD8DCE3"/>
      </left>
      <bottom style="thin">
        <color rgb="FFD8DCE3"/>
      </bottom>
    </border>
    <border>
      <bottom style="thin">
        <color rgb="FFD8DCE3"/>
      </bottom>
    </border>
    <border>
      <left style="thick">
        <color rgb="FF3E3A3A"/>
      </left>
      <right style="thin">
        <color rgb="FFD8DCE3"/>
      </right>
      <top style="thin">
        <color rgb="FFD8DCE3"/>
      </top>
      <bottom style="thin">
        <color rgb="FFDCE4ED"/>
      </bottom>
    </border>
    <border>
      <left style="thin">
        <color rgb="FFD8DCE3"/>
      </left>
      <right style="thin">
        <color rgb="FFD8DCE3"/>
      </right>
      <top style="thin">
        <color rgb="FFD8DCE3"/>
      </top>
      <bottom style="thin">
        <color rgb="FFDCE4ED"/>
      </bottom>
    </border>
    <border>
      <left style="thin">
        <color rgb="FFD8DCE3"/>
      </left>
      <right style="thick">
        <color rgb="FF3E3A3A"/>
      </right>
      <top style="thin">
        <color rgb="FFD8DCE3"/>
      </top>
      <bottom style="thin">
        <color rgb="FFDCE4ED"/>
      </bottom>
    </border>
    <border>
      <top style="thin">
        <color rgb="FFD8DCE3"/>
      </top>
    </border>
    <border>
      <left style="medium">
        <color rgb="FFD2E7FB"/>
      </left>
      <top style="medium">
        <color rgb="FFD2E7FB"/>
      </top>
      <bottom style="medium">
        <color rgb="FFD2E7FB"/>
      </bottom>
    </border>
    <border>
      <right style="medium">
        <color rgb="FFD2E7FB"/>
      </right>
      <top style="medium">
        <color rgb="FFD2E7FB"/>
      </top>
      <bottom style="medium">
        <color rgb="FFD2E7FB"/>
      </bottom>
    </border>
    <border>
      <left style="thick">
        <color rgb="FF3E3A3A"/>
      </left>
      <right style="thin">
        <color rgb="FFEFEFEF"/>
      </right>
      <top style="thin">
        <color rgb="FFEFEFEF"/>
      </top>
    </border>
    <border>
      <left style="thin">
        <color rgb="FF326EDC"/>
      </left>
      <right style="thin">
        <color rgb="FF326EDC"/>
      </right>
      <bottom style="thin">
        <color rgb="FF326EDC"/>
      </bottom>
    </border>
    <border>
      <left style="thin">
        <color rgb="FFFF00FF"/>
      </left>
      <right style="thin">
        <color rgb="FFFF00FF"/>
      </right>
      <top style="thin">
        <color rgb="FFFF00FF"/>
      </top>
      <bottom style="thin">
        <color rgb="FFFF00FF"/>
      </bottom>
    </border>
    <border>
      <left style="thin">
        <color rgb="FFFF00FF"/>
      </left>
      <right style="thin">
        <color rgb="FFFF00FF"/>
      </right>
      <top style="thin">
        <color rgb="FFFF00FF"/>
      </top>
    </border>
    <border>
      <left style="thin">
        <color rgb="FFFF00FF"/>
      </left>
      <top style="thin">
        <color rgb="FFFF00FF"/>
      </top>
      <bottom style="thin">
        <color rgb="FFFF00FF"/>
      </bottom>
    </border>
    <border>
      <left style="thick">
        <color rgb="FF3E3A3A"/>
      </left>
      <right style="thin">
        <color rgb="FFD6CDDA"/>
      </right>
      <top style="thick">
        <color rgb="FF3E3A3A"/>
      </top>
      <bottom style="thin">
        <color rgb="FFD6CDDA"/>
      </bottom>
    </border>
    <border>
      <left style="thin">
        <color rgb="FFD6CDDA"/>
      </left>
      <right style="thin">
        <color rgb="FFD6CDDA"/>
      </right>
      <top style="thick">
        <color rgb="FF3E3A3A"/>
      </top>
    </border>
    <border>
      <left style="thin">
        <color rgb="FFD6CDDA"/>
      </left>
      <right style="thick">
        <color rgb="FF3E3A3A"/>
      </right>
      <top style="thick">
        <color rgb="FF3E3A3A"/>
      </top>
      <bottom style="thin">
        <color rgb="FFD6CDDA"/>
      </bottom>
    </border>
    <border>
      <right style="thin">
        <color rgb="FFFF00FF"/>
      </right>
      <top style="thin">
        <color rgb="FFFF00FF"/>
      </top>
      <bottom style="thin">
        <color rgb="FFFF00FF"/>
      </bottom>
    </border>
    <border>
      <left style="thick">
        <color rgb="FF3E3A3A"/>
      </left>
      <top style="thin">
        <color rgb="FFD6CDDA"/>
      </top>
      <bottom style="thin">
        <color rgb="FFD6CDDA"/>
      </bottom>
    </border>
    <border>
      <right style="thick">
        <color rgb="FF3E3A3A"/>
      </right>
      <top style="thin">
        <color rgb="FFD6CDDA"/>
      </top>
      <bottom style="thin">
        <color rgb="FFD6CDDA"/>
      </bottom>
    </border>
    <border>
      <left style="thick">
        <color rgb="FF3E3A3A"/>
      </left>
      <right style="thin">
        <color rgb="FFD6CDDA"/>
      </right>
      <top style="thin">
        <color rgb="FFD6CDDA"/>
      </top>
      <bottom style="thin">
        <color rgb="FFD6CDDA"/>
      </bottom>
    </border>
    <border>
      <left style="thin">
        <color rgb="FFD6CDDA"/>
      </left>
      <right style="thin">
        <color rgb="FFD6CDDA"/>
      </right>
      <bottom style="thin">
        <color rgb="FFD6CDDA"/>
      </bottom>
    </border>
    <border>
      <left style="thin">
        <color rgb="FFD6CDDA"/>
      </left>
      <right style="thick">
        <color rgb="FF3E3A3A"/>
      </right>
      <top style="thin">
        <color rgb="FFD6CDDA"/>
      </top>
      <bottom style="thin">
        <color rgb="FFD6CDDA"/>
      </bottom>
    </border>
    <border>
      <left style="thin">
        <color rgb="FFD6CDDA"/>
      </left>
      <right style="thin">
        <color rgb="FFD6CDDA"/>
      </right>
      <top style="thin">
        <color rgb="FFD6CDDA"/>
      </top>
      <bottom style="thin">
        <color rgb="FFD6CDDA"/>
      </bottom>
    </border>
    <border>
      <left style="thin">
        <color rgb="FFD6CDDA"/>
      </left>
      <right style="thin">
        <color rgb="FFD6CDDA"/>
      </right>
      <top style="thin">
        <color rgb="FFD6CDDA"/>
      </top>
    </border>
    <border>
      <left style="thick">
        <color rgb="FF434343"/>
      </left>
      <bottom style="medium">
        <color rgb="FFD6CDDA"/>
      </bottom>
    </border>
    <border>
      <bottom style="medium">
        <color rgb="FFD6CDDA"/>
      </bottom>
    </border>
    <border>
      <right style="thick">
        <color rgb="FF434343"/>
      </right>
      <bottom style="medium">
        <color rgb="FFD6CDDA"/>
      </bottom>
    </border>
    <border>
      <left style="thin">
        <color rgb="FFD6CDDA"/>
      </left>
      <right style="thin">
        <color rgb="FFD6CDDA"/>
      </right>
    </border>
    <border>
      <left style="thick">
        <color rgb="FF434343"/>
      </left>
      <top style="medium">
        <color rgb="FFD6CDDA"/>
      </top>
      <bottom style="medium">
        <color rgb="FFD6CDDA"/>
      </bottom>
    </border>
    <border>
      <top style="medium">
        <color rgb="FFD6CDDA"/>
      </top>
      <bottom style="medium">
        <color rgb="FFD6CDDA"/>
      </bottom>
    </border>
    <border>
      <right style="thick">
        <color rgb="FF434343"/>
      </right>
      <top style="medium">
        <color rgb="FFD6CDDA"/>
      </top>
      <bottom style="medium">
        <color rgb="FFD6CDDA"/>
      </bottom>
    </border>
    <border>
      <left style="thick">
        <color rgb="FF434343"/>
      </left>
      <right style="medium">
        <color rgb="FFD6CDDA"/>
      </right>
      <top style="medium">
        <color rgb="FFD6CDDA"/>
      </top>
      <bottom style="medium">
        <color rgb="FFD6CDDA"/>
      </bottom>
    </border>
    <border>
      <left style="medium">
        <color rgb="FFD6CDDA"/>
      </left>
      <top style="medium">
        <color rgb="FFD6CDDA"/>
      </top>
      <bottom style="medium">
        <color rgb="FFD6CDDA"/>
      </bottom>
    </border>
    <border>
      <right style="medium">
        <color rgb="FFD6CDDA"/>
      </right>
      <top style="medium">
        <color rgb="FFD6CDDA"/>
      </top>
      <bottom style="medium">
        <color rgb="FFD6CDDA"/>
      </bottom>
    </border>
    <border>
      <left style="medium">
        <color rgb="FFD6CDDA"/>
      </left>
      <right style="thick">
        <color rgb="FF434343"/>
      </right>
      <top style="medium">
        <color rgb="FFD6CDDA"/>
      </top>
      <bottom style="medium">
        <color rgb="FFD6CDDA"/>
      </bottom>
    </border>
    <border>
      <left style="medium">
        <color rgb="FFD6CDDA"/>
      </left>
      <right style="medium">
        <color rgb="FFD6CDDA"/>
      </right>
      <top style="medium">
        <color rgb="FFD6CDDA"/>
      </top>
      <bottom style="medium">
        <color rgb="FFD6CDDA"/>
      </bottom>
    </border>
    <border>
      <left style="thick">
        <color rgb="FF434343"/>
      </left>
      <right style="medium">
        <color rgb="FFD6CDDA"/>
      </right>
      <top style="medium">
        <color rgb="FFD6CDDA"/>
      </top>
    </border>
    <border>
      <left style="medium">
        <color rgb="FFD6CDDA"/>
      </left>
      <right style="medium">
        <color rgb="FFD6CDDA"/>
      </right>
      <top style="medium">
        <color rgb="FFD6CDDA"/>
      </top>
    </border>
    <border>
      <left style="medium">
        <color rgb="FFD6CDDA"/>
      </left>
      <right style="thick">
        <color rgb="FF434343"/>
      </right>
      <top style="medium">
        <color rgb="FFD6CDDA"/>
      </top>
    </border>
    <border>
      <left style="thick">
        <color rgb="FF434343"/>
      </left>
      <top style="medium">
        <color rgb="FF434343"/>
      </top>
      <bottom style="thin">
        <color rgb="FFD6CDDA"/>
      </bottom>
    </border>
    <border>
      <top style="medium">
        <color rgb="FF434343"/>
      </top>
      <bottom style="thin">
        <color rgb="FFD6CDDA"/>
      </bottom>
    </border>
    <border>
      <right style="thick">
        <color rgb="FF434343"/>
      </right>
      <top style="medium">
        <color rgb="FF434343"/>
      </top>
      <bottom style="thin">
        <color rgb="FFD6CDDA"/>
      </bottom>
    </border>
    <border>
      <left style="thick">
        <color rgb="FF434343"/>
      </left>
      <top style="thin">
        <color rgb="FFD6CDDA"/>
      </top>
      <bottom style="thin">
        <color rgb="FFD6CDDA"/>
      </bottom>
    </border>
    <border>
      <top style="thin">
        <color rgb="FFD6CDDA"/>
      </top>
      <bottom style="thin">
        <color rgb="FFD6CDDA"/>
      </bottom>
    </border>
    <border>
      <right style="thick">
        <color rgb="FF434343"/>
      </right>
      <top style="thin">
        <color rgb="FFD6CDDA"/>
      </top>
      <bottom style="thin">
        <color rgb="FFD6CDDA"/>
      </bottom>
    </border>
    <border>
      <left style="thick">
        <color rgb="FF434343"/>
      </left>
      <top style="thin">
        <color rgb="FFD6CDDA"/>
      </top>
    </border>
    <border>
      <top style="thin">
        <color rgb="FFD6CDDA"/>
      </top>
    </border>
    <border>
      <right style="thin">
        <color rgb="FFD6CDDA"/>
      </right>
      <top style="thin">
        <color rgb="FFD6CDDA"/>
      </top>
    </border>
    <border>
      <left style="thin">
        <color rgb="FFD6CDDA"/>
      </left>
      <right style="thick">
        <color rgb="FF434343"/>
      </right>
      <top style="thin">
        <color rgb="FFD6CDDA"/>
      </top>
    </border>
    <border>
      <right style="thin">
        <color rgb="FFD6CDDA"/>
      </right>
      <top style="medium">
        <color rgb="FF434343"/>
      </top>
      <bottom style="thin">
        <color rgb="FFD6CDDA"/>
      </bottom>
    </border>
    <border>
      <right style="thin">
        <color rgb="FFD6CDDA"/>
      </right>
      <top style="thin">
        <color rgb="FFD6CDDA"/>
      </top>
      <bottom style="thin">
        <color rgb="FFD6CDDA"/>
      </bottom>
    </border>
    <border>
      <left style="thick">
        <color rgb="FF434343"/>
      </left>
      <top style="thin">
        <color rgb="FFD6CDDA"/>
      </top>
      <bottom style="thick">
        <color rgb="FF434343"/>
      </bottom>
    </border>
    <border>
      <top style="thin">
        <color rgb="FFD6CDDA"/>
      </top>
      <bottom style="thick">
        <color rgb="FF434343"/>
      </bottom>
    </border>
    <border>
      <right style="thin">
        <color rgb="FFD6CDDA"/>
      </right>
      <top style="thin">
        <color rgb="FFD6CDDA"/>
      </top>
      <bottom style="thick">
        <color rgb="FF434343"/>
      </bottom>
    </border>
    <border>
      <right style="thick">
        <color rgb="FF434343"/>
      </right>
      <top style="thin">
        <color rgb="FFD6CDDA"/>
      </top>
      <bottom style="thick">
        <color rgb="FF434343"/>
      </bottom>
    </border>
    <border>
      <left style="thin">
        <color rgb="FFD6CDDA"/>
      </left>
      <top style="thin">
        <color rgb="FFD6CDDA"/>
      </top>
      <bottom style="thin">
        <color rgb="FFD6CDDA"/>
      </bottom>
    </border>
    <border>
      <left style="thick">
        <color rgb="FF3E3A3A"/>
      </left>
      <right style="thin">
        <color rgb="FFA787B8"/>
      </right>
      <bottom style="thin">
        <color rgb="FFA787B8"/>
      </bottom>
    </border>
    <border>
      <left style="thin">
        <color rgb="FFA787B8"/>
      </left>
      <right style="thin">
        <color rgb="FFA787B8"/>
      </right>
      <bottom style="thin">
        <color rgb="FFA787B8"/>
      </bottom>
    </border>
    <border>
      <left style="thin">
        <color rgb="FFA787B8"/>
      </left>
      <top style="thin">
        <color rgb="FF3E3A3A"/>
      </top>
      <bottom style="thin">
        <color rgb="FFA787B8"/>
      </bottom>
    </border>
    <border>
      <left style="medium">
        <color rgb="FF3E3A3A"/>
      </left>
      <right style="thick">
        <color rgb="FF3E3A3A"/>
      </right>
      <bottom style="thin">
        <color rgb="FFA787B8"/>
      </bottom>
    </border>
    <border>
      <left style="thick">
        <color rgb="FF3E3A3A"/>
      </left>
      <right style="thin">
        <color rgb="FFA787B8"/>
      </right>
      <top style="thin">
        <color rgb="FFA787B8"/>
      </top>
      <bottom style="thin">
        <color rgb="FFA787B8"/>
      </bottom>
    </border>
    <border>
      <left style="thin">
        <color rgb="FFA787B8"/>
      </left>
      <right style="thin">
        <color rgb="FFA787B8"/>
      </right>
      <top style="thin">
        <color rgb="FFA787B8"/>
      </top>
      <bottom style="thin">
        <color rgb="FFA787B8"/>
      </bottom>
    </border>
    <border>
      <left style="thin">
        <color rgb="FFA787B8"/>
      </left>
      <top style="thin">
        <color rgb="FFA787B8"/>
      </top>
      <bottom style="thin">
        <color rgb="FFA787B8"/>
      </bottom>
    </border>
    <border>
      <left style="medium">
        <color rgb="FF3E3A3A"/>
      </left>
      <right style="thick">
        <color rgb="FF3E3A3A"/>
      </right>
      <top style="thin">
        <color rgb="FFA787B8"/>
      </top>
      <bottom style="thin">
        <color rgb="FFA787B8"/>
      </bottom>
    </border>
    <border>
      <left style="thick">
        <color rgb="FF3E3A3A"/>
      </left>
      <right style="thin">
        <color rgb="FFA787B8"/>
      </right>
      <top style="thin">
        <color rgb="FFA787B8"/>
      </top>
    </border>
    <border>
      <left style="thin">
        <color rgb="FFA787B8"/>
      </left>
      <right style="thin">
        <color rgb="FFA787B8"/>
      </right>
      <top style="thin">
        <color rgb="FFA787B8"/>
      </top>
    </border>
    <border>
      <left style="thin">
        <color rgb="FFA787B8"/>
      </left>
      <top style="thin">
        <color rgb="FFA787B8"/>
      </top>
    </border>
    <border>
      <left style="medium">
        <color rgb="FF3E3A3A"/>
      </left>
      <right style="thick">
        <color rgb="FF3E3A3A"/>
      </right>
      <top style="thin">
        <color rgb="FFA787B8"/>
      </top>
      <bottom style="medium">
        <color rgb="FF3E3A3A"/>
      </bottom>
    </border>
    <border>
      <left style="thick">
        <color rgb="FF3E3A3A"/>
      </left>
      <right style="thin">
        <color rgb="FFD6CDDA"/>
      </right>
      <top style="thin">
        <color rgb="FFD6CDDA"/>
      </top>
    </border>
    <border>
      <left style="thin">
        <color rgb="FFD6CDDA"/>
      </left>
      <right style="thick">
        <color rgb="FF3E3A3A"/>
      </right>
      <top style="thin">
        <color rgb="FFD6CDDA"/>
      </top>
    </border>
    <border>
      <bottom style="thin">
        <color rgb="FFD6CDDA"/>
      </bottom>
    </border>
    <border>
      <left style="thin">
        <color rgb="FFD6CDDA"/>
      </left>
      <top style="thin">
        <color rgb="FFD6CDDA"/>
      </top>
    </border>
    <border>
      <left style="thick">
        <color rgb="FF3E3A3A"/>
      </left>
      <right style="thin">
        <color rgb="FFD6CDDA"/>
      </right>
      <bottom style="thick">
        <color rgb="FF3E3A3A"/>
      </bottom>
    </border>
    <border>
      <left style="thin">
        <color rgb="FFD6CDDA"/>
      </left>
      <right style="thin">
        <color rgb="FFD6CDDA"/>
      </right>
      <top style="thin">
        <color rgb="FFEDE4DA"/>
      </top>
      <bottom style="thick">
        <color rgb="FF3E3A3A"/>
      </bottom>
    </border>
    <border>
      <left style="thin">
        <color rgb="FFD6CDDA"/>
      </left>
      <right style="thin">
        <color rgb="FFD6CDDA"/>
      </right>
      <bottom style="thick">
        <color rgb="FF3E3A3A"/>
      </bottom>
    </border>
    <border>
      <left style="thin">
        <color rgb="FFD6CDDA"/>
      </left>
      <right style="thick">
        <color rgb="FF3E3A3A"/>
      </right>
      <bottom style="thick">
        <color rgb="FF3E3A3A"/>
      </bottom>
    </border>
    <border>
      <left style="thin">
        <color rgb="FFEBECFC"/>
      </left>
      <top style="thin">
        <color rgb="FFEBECFC"/>
      </top>
    </border>
    <border>
      <left style="thin">
        <color rgb="FFFF00FF"/>
      </left>
      <right style="thick">
        <color rgb="FF3E3A3A"/>
      </right>
      <top style="thin">
        <color rgb="FFFF00FF"/>
      </top>
      <bottom style="thin">
        <color rgb="FFFF00FF"/>
      </bottom>
    </border>
    <border>
      <left style="thin">
        <color rgb="FFEBFCFC"/>
      </left>
      <right style="thin">
        <color rgb="FFEBFCFC"/>
      </right>
      <top style="thick">
        <color rgb="FF3E3A3A"/>
      </top>
    </border>
    <border>
      <right style="thick">
        <color rgb="FF3E3A3A"/>
      </right>
      <top style="thin">
        <color rgb="FFEBFCFC"/>
      </top>
      <bottom style="thin">
        <color rgb="FFEBFCFC"/>
      </bottom>
    </border>
    <border>
      <left style="thick">
        <color rgb="FF3E3A3A"/>
      </left>
      <right style="thick">
        <color rgb="FF3E3A3A"/>
      </right>
      <top style="medium">
        <color rgb="FF3E3A3A"/>
      </top>
    </border>
    <border>
      <top style="thin">
        <color rgb="FFEBFCFC"/>
      </top>
      <bottom style="thin">
        <color rgb="FFEBFCFB"/>
      </bottom>
    </border>
    <border>
      <left style="thin">
        <color rgb="FFEBFCFC"/>
      </left>
      <right style="thin">
        <color rgb="FFEBFCFB"/>
      </right>
      <bottom style="thin">
        <color rgb="FFEBFCFB"/>
      </bottom>
    </border>
    <border>
      <left style="thin">
        <color rgb="FFEBFCFC"/>
      </left>
      <right style="thin">
        <color rgb="FFEBFCFB"/>
      </right>
      <top style="thin">
        <color rgb="FFEBFCFB"/>
      </top>
      <bottom style="thin">
        <color rgb="FFEBFCFB"/>
      </bottom>
    </border>
    <border>
      <left style="thin">
        <color rgb="FFEBFCFC"/>
      </left>
      <right style="thin">
        <color rgb="FFEBFCFB"/>
      </right>
      <top style="thin">
        <color rgb="FFEBFCFB"/>
      </top>
    </border>
    <border>
      <left style="thin">
        <color rgb="FFEBFCFC"/>
      </left>
      <right style="thin">
        <color rgb="FFEBFCFB"/>
      </right>
    </border>
    <border>
      <left style="thin">
        <color rgb="FFEBFCFC"/>
      </left>
      <right style="thin">
        <color rgb="FFEBFCFB"/>
      </right>
      <bottom style="thin">
        <color rgb="FFEBFCFC"/>
      </bottom>
    </border>
    <border>
      <left style="thin">
        <color rgb="FFEBFCFB"/>
      </left>
      <top style="thin">
        <color rgb="FFEBFCFB"/>
      </top>
      <bottom style="thin">
        <color rgb="FFEBFCFC"/>
      </bottom>
    </border>
    <border>
      <left style="thin">
        <color rgb="FFFDFFEB"/>
      </left>
    </border>
    <border>
      <right style="thin">
        <color rgb="FFFDFFEB"/>
      </right>
    </border>
    <border>
      <right style="thick">
        <color rgb="FF3E3A3A"/>
      </right>
      <top style="thin">
        <color rgb="FFFDFFEB"/>
      </top>
      <bottom style="thin">
        <color rgb="FFFDFFEB"/>
      </bottom>
    </border>
    <border>
      <bottom style="thin">
        <color rgb="FFFDFFEB"/>
      </bottom>
    </border>
    <border>
      <left style="thick">
        <color rgb="FF434343"/>
      </left>
      <right style="thick">
        <color rgb="FF434343"/>
      </right>
    </border>
    <border>
      <right style="thick">
        <color rgb="FF3E3A3A"/>
      </right>
      <top style="thin">
        <color rgb="FFFFE6E6"/>
      </top>
      <bottom style="thin">
        <color rgb="FFFFE6E6"/>
      </bottom>
    </border>
    <border>
      <bottom style="thin">
        <color rgb="FFFFE6E6"/>
      </bottom>
    </border>
    <border>
      <left style="thin">
        <color rgb="FFFFE6E6"/>
      </left>
      <right style="thin">
        <color rgb="FFFFE6E6"/>
      </right>
      <bottom style="thick">
        <color rgb="FF3E3A3A"/>
      </bottom>
    </border>
    <border>
      <left style="thick">
        <color rgb="FF3E3A3A"/>
      </left>
      <right style="thin">
        <color rgb="FFFBFCFF"/>
      </right>
      <top style="thin">
        <color rgb="FFFFFFFF"/>
      </top>
      <bottom style="thin">
        <color rgb="FFFBFCFF"/>
      </bottom>
    </border>
    <border>
      <left style="thin">
        <color rgb="FFFBFCFF"/>
      </left>
      <right style="thin">
        <color rgb="FFFBFCFF"/>
      </right>
      <bottom style="thin">
        <color rgb="FFFBFCFF"/>
      </bottom>
    </border>
    <border>
      <left style="thin">
        <color rgb="FFFBFCFF"/>
      </left>
      <right style="thick">
        <color rgb="FF3E3A3A"/>
      </right>
      <top style="thin">
        <color rgb="FFFFFFFF"/>
      </top>
      <bottom style="thin">
        <color rgb="FFFBFCFF"/>
      </bottom>
    </border>
    <border>
      <left style="thick">
        <color rgb="FF3E3A3A"/>
      </left>
      <right style="thin">
        <color rgb="FFFBFCFF"/>
      </right>
      <top style="thin">
        <color rgb="FFFBFCFF"/>
      </top>
      <bottom style="thin">
        <color rgb="FFFBFCFF"/>
      </bottom>
    </border>
    <border>
      <left style="thin">
        <color rgb="FFFBFCFF"/>
      </left>
      <right style="thin">
        <color rgb="FFFBFCFF"/>
      </right>
      <top style="thin">
        <color rgb="FFFBFCFF"/>
      </top>
      <bottom style="thin">
        <color rgb="FFFBFCFF"/>
      </bottom>
    </border>
    <border>
      <left style="thin">
        <color rgb="FFFBFCFF"/>
      </left>
      <top style="thin">
        <color rgb="FFFBFCFF"/>
      </top>
      <bottom style="thin">
        <color rgb="FFFBFCFF"/>
      </bottom>
    </border>
    <border>
      <top style="thin">
        <color rgb="FFFBFCFF"/>
      </top>
      <bottom style="thin">
        <color rgb="FFFBFCFF"/>
      </bottom>
    </border>
    <border>
      <right style="thin">
        <color rgb="FFFBFCFF"/>
      </right>
      <top style="thin">
        <color rgb="FFFBFCFF"/>
      </top>
      <bottom style="thin">
        <color rgb="FFFBFCFF"/>
      </bottom>
    </border>
    <border>
      <left style="thin">
        <color rgb="FFFBFCFF"/>
      </left>
      <right style="thick">
        <color rgb="FF3E3A3A"/>
      </right>
      <top style="thin">
        <color rgb="FFFBFCFF"/>
      </top>
      <bottom style="thin">
        <color rgb="FFFBFCFF"/>
      </bottom>
    </border>
    <border>
      <left style="thick">
        <color rgb="FF434343"/>
      </left>
      <bottom style="medium">
        <color rgb="FFFBFCFF"/>
      </bottom>
    </border>
    <border>
      <bottom style="medium">
        <color rgb="FFFBFCFF"/>
      </bottom>
    </border>
    <border>
      <right style="thick">
        <color rgb="FF434343"/>
      </right>
      <bottom style="medium">
        <color rgb="FFFBFCFF"/>
      </bottom>
    </border>
    <border>
      <left style="thick">
        <color rgb="FF434343"/>
      </left>
      <top style="medium">
        <color rgb="FFFBFCFF"/>
      </top>
      <bottom style="medium">
        <color rgb="FFFBFCFF"/>
      </bottom>
    </border>
    <border>
      <top style="medium">
        <color rgb="FFFBFCFF"/>
      </top>
      <bottom style="medium">
        <color rgb="FFFBFCFF"/>
      </bottom>
    </border>
    <border>
      <right style="thick">
        <color rgb="FF434343"/>
      </right>
      <top style="medium">
        <color rgb="FFFBFCFF"/>
      </top>
      <bottom style="medium">
        <color rgb="FFFBFCFF"/>
      </bottom>
    </border>
    <border>
      <left style="thick">
        <color rgb="FF434343"/>
      </left>
      <right style="medium">
        <color rgb="FFFBFCFF"/>
      </right>
      <top style="medium">
        <color rgb="FFFBFCFF"/>
      </top>
      <bottom style="medium">
        <color rgb="FFFBFCFF"/>
      </bottom>
    </border>
    <border>
      <left style="medium">
        <color rgb="FFFBFCFF"/>
      </left>
      <top style="medium">
        <color rgb="FFFBFCFF"/>
      </top>
      <bottom style="medium">
        <color rgb="FFFBFCFF"/>
      </bottom>
    </border>
    <border>
      <right style="medium">
        <color rgb="FFFBFCFF"/>
      </right>
      <top style="medium">
        <color rgb="FFFBFCFF"/>
      </top>
      <bottom style="medium">
        <color rgb="FFFBFCFF"/>
      </bottom>
    </border>
    <border>
      <left style="medium">
        <color rgb="FFFBFCFF"/>
      </left>
      <right style="thick">
        <color rgb="FF434343"/>
      </right>
      <top style="medium">
        <color rgb="FFFBFCFF"/>
      </top>
      <bottom style="medium">
        <color rgb="FFFBFCFF"/>
      </bottom>
    </border>
    <border>
      <left style="medium">
        <color rgb="FFFBFCFF"/>
      </left>
      <right style="medium">
        <color rgb="FFFBFCFF"/>
      </right>
      <top style="medium">
        <color rgb="FFFBFCFF"/>
      </top>
      <bottom style="medium">
        <color rgb="FFFBFCFF"/>
      </bottom>
    </border>
    <border>
      <left style="thin">
        <color rgb="FFFBFCFF"/>
      </left>
      <right style="thin">
        <color rgb="FFFBFCFF"/>
      </right>
      <top style="thin">
        <color rgb="FFFBFCFF"/>
      </top>
    </border>
    <border>
      <left style="thick">
        <color rgb="FF434343"/>
      </left>
      <right style="medium">
        <color rgb="FFFBFCFF"/>
      </right>
      <top style="medium">
        <color rgb="FFFBFCFF"/>
      </top>
    </border>
    <border>
      <left style="medium">
        <color rgb="FFFBFCFF"/>
      </left>
      <right style="thick">
        <color rgb="FF434343"/>
      </right>
      <top style="medium">
        <color rgb="FFFBFCFF"/>
      </top>
    </border>
    <border>
      <left style="thin">
        <color rgb="FFFBFCFF"/>
      </left>
      <right style="thin">
        <color rgb="FFFBFCFF"/>
      </right>
    </border>
    <border>
      <left style="thick">
        <color rgb="FF434343"/>
      </left>
      <top style="medium">
        <color rgb="FF434343"/>
      </top>
      <bottom style="thin">
        <color rgb="FFFBFCFF"/>
      </bottom>
    </border>
    <border>
      <top style="medium">
        <color rgb="FF434343"/>
      </top>
      <bottom style="thin">
        <color rgb="FFFBFCFF"/>
      </bottom>
    </border>
    <border>
      <right style="thick">
        <color rgb="FF434343"/>
      </right>
      <top style="medium">
        <color rgb="FF434343"/>
      </top>
      <bottom style="thin">
        <color rgb="FFFBFCFF"/>
      </bottom>
    </border>
    <border>
      <left style="thick">
        <color rgb="FF434343"/>
      </left>
      <top style="thin">
        <color rgb="FFFBFCFF"/>
      </top>
      <bottom style="thin">
        <color rgb="FFFBFCFF"/>
      </bottom>
    </border>
    <border>
      <right style="thick">
        <color rgb="FF434343"/>
      </right>
      <top style="thin">
        <color rgb="FFFBFCFF"/>
      </top>
      <bottom style="thin">
        <color rgb="FFFBFCFF"/>
      </bottom>
    </border>
    <border>
      <left style="thick">
        <color rgb="FF434343"/>
      </left>
      <top style="thin">
        <color rgb="FFFBFCFF"/>
      </top>
    </border>
    <border>
      <top style="thin">
        <color rgb="FFFBFCFF"/>
      </top>
    </border>
    <border>
      <right style="thin">
        <color rgb="FFFBFCFF"/>
      </right>
      <top style="thin">
        <color rgb="FFFBFCFF"/>
      </top>
    </border>
    <border>
      <left style="thin">
        <color rgb="FFFBFCFF"/>
      </left>
      <right style="thick">
        <color rgb="FF434343"/>
      </right>
      <top style="thin">
        <color rgb="FFFBFCFF"/>
      </top>
    </border>
    <border>
      <right style="thin">
        <color rgb="FFFBFCFF"/>
      </right>
      <top style="medium">
        <color rgb="FF434343"/>
      </top>
      <bottom style="thin">
        <color rgb="FFFBFCFF"/>
      </bottom>
    </border>
    <border>
      <left style="thick">
        <color rgb="FF434343"/>
      </left>
      <top style="thin">
        <color rgb="FFFBFCFF"/>
      </top>
      <bottom style="thick">
        <color rgb="FF434343"/>
      </bottom>
    </border>
    <border>
      <top style="thin">
        <color rgb="FFFBFCFF"/>
      </top>
      <bottom style="thick">
        <color rgb="FF434343"/>
      </bottom>
    </border>
    <border>
      <right style="thin">
        <color rgb="FFFBFCFF"/>
      </right>
      <top style="thin">
        <color rgb="FFFBFCFF"/>
      </top>
      <bottom style="thick">
        <color rgb="FF434343"/>
      </bottom>
    </border>
    <border>
      <right style="thick">
        <color rgb="FF434343"/>
      </right>
      <top style="thin">
        <color rgb="FFFBFCFF"/>
      </top>
      <bottom style="thick">
        <color rgb="FF434343"/>
      </bottom>
    </border>
    <border>
      <left style="thick">
        <color rgb="FF3E3A3A"/>
      </left>
      <right style="thin">
        <color rgb="FFD86870"/>
      </right>
      <bottom style="thin">
        <color rgb="FFD86870"/>
      </bottom>
    </border>
    <border>
      <left style="thin">
        <color rgb="FFD86870"/>
      </left>
      <right style="thin">
        <color rgb="FFD86870"/>
      </right>
      <bottom style="thin">
        <color rgb="FFD86870"/>
      </bottom>
    </border>
    <border>
      <left style="thin">
        <color rgb="FFD86870"/>
      </left>
      <top style="thin">
        <color rgb="FF3E3A3A"/>
      </top>
      <bottom style="thin">
        <color rgb="FFD86870"/>
      </bottom>
    </border>
    <border>
      <left style="medium">
        <color rgb="FF3E3A3A"/>
      </left>
      <right style="thick">
        <color rgb="FF3E3A3A"/>
      </right>
      <bottom style="thin">
        <color rgb="FFD86870"/>
      </bottom>
    </border>
    <border>
      <left style="thick">
        <color rgb="FF3E3A3A"/>
      </left>
      <right style="thin">
        <color rgb="FFD86870"/>
      </right>
      <top style="thin">
        <color rgb="FFD86870"/>
      </top>
      <bottom style="thin">
        <color rgb="FFD86870"/>
      </bottom>
    </border>
    <border>
      <left style="thin">
        <color rgb="FFD86870"/>
      </left>
      <right style="thin">
        <color rgb="FFD86870"/>
      </right>
      <top style="thin">
        <color rgb="FFD86870"/>
      </top>
      <bottom style="thin">
        <color rgb="FFD86870"/>
      </bottom>
    </border>
    <border>
      <left style="thin">
        <color rgb="FFD86870"/>
      </left>
      <top style="thin">
        <color rgb="FFD86870"/>
      </top>
      <bottom style="thin">
        <color rgb="FFD86870"/>
      </bottom>
    </border>
    <border>
      <left style="medium">
        <color rgb="FF3E3A3A"/>
      </left>
      <right style="thick">
        <color rgb="FF3E3A3A"/>
      </right>
      <top style="thin">
        <color rgb="FFD86870"/>
      </top>
      <bottom style="thin">
        <color rgb="FFD86870"/>
      </bottom>
    </border>
    <border>
      <left style="thick">
        <color rgb="FF3E3A3A"/>
      </left>
      <right style="thin">
        <color rgb="FFD86870"/>
      </right>
      <top style="thin">
        <color rgb="FFD86870"/>
      </top>
    </border>
    <border>
      <left style="thin">
        <color rgb="FFD86870"/>
      </left>
      <right style="thin">
        <color rgb="FFD86870"/>
      </right>
      <top style="thin">
        <color rgb="FFD86870"/>
      </top>
    </border>
    <border>
      <left style="thin">
        <color rgb="FFD86870"/>
      </left>
      <top style="thin">
        <color rgb="FFD86870"/>
      </top>
    </border>
    <border>
      <left style="medium">
        <color rgb="FF3E3A3A"/>
      </left>
      <right style="thick">
        <color rgb="FF3E3A3A"/>
      </right>
      <top style="thin">
        <color rgb="FFD86870"/>
      </top>
      <bottom style="medium">
        <color rgb="FF3E3A3A"/>
      </bottom>
    </border>
    <border>
      <left style="thick">
        <color rgb="FF3E3A3A"/>
      </left>
      <right style="thin">
        <color rgb="FFFBFCFF"/>
      </right>
      <top style="thin">
        <color rgb="FFFBFCFF"/>
      </top>
      <bottom style="thick">
        <color rgb="FF3E3A3A"/>
      </bottom>
    </border>
    <border>
      <left style="thin">
        <color rgb="FFFBFCFF"/>
      </left>
      <right style="thin">
        <color rgb="FFFBFCFF"/>
      </right>
      <top style="thin">
        <color rgb="FFFBFCFF"/>
      </top>
      <bottom style="thick">
        <color rgb="FF3E3A3A"/>
      </bottom>
    </border>
    <border>
      <left style="thin">
        <color rgb="FFFBFCFF"/>
      </left>
      <right style="thin">
        <color rgb="FFFBFCFF"/>
      </right>
      <bottom style="thick">
        <color rgb="FF3E3A3A"/>
      </bottom>
    </border>
    <border>
      <left style="thin">
        <color rgb="FFFBFCFF"/>
      </left>
      <top style="thin">
        <color rgb="FFFBFCFF"/>
      </top>
      <bottom style="thick">
        <color rgb="FF3E3A3A"/>
      </bottom>
    </border>
    <border>
      <top style="thin">
        <color rgb="FFFBFCFF"/>
      </top>
      <bottom style="thick">
        <color rgb="FF3E3A3A"/>
      </bottom>
    </border>
    <border>
      <right style="thin">
        <color rgb="FFFBFCFF"/>
      </right>
      <top style="thin">
        <color rgb="FFFBFCFF"/>
      </top>
      <bottom style="thick">
        <color rgb="FF3E3A3A"/>
      </bottom>
    </border>
    <border>
      <left style="thin">
        <color rgb="FFFBFCFF"/>
      </left>
      <right style="thick">
        <color rgb="FF3E3A3A"/>
      </right>
      <top style="thin">
        <color rgb="FFFBFCFF"/>
      </top>
      <bottom style="thick">
        <color rgb="FF3E3A3A"/>
      </bottom>
    </border>
    <border>
      <left style="thick">
        <color rgb="FF3E3A3A"/>
      </left>
      <right style="thin">
        <color rgb="FFFBFCFF"/>
      </right>
      <top style="thin">
        <color rgb="FFFBFCFF"/>
      </top>
    </border>
    <border>
      <left style="thin">
        <color rgb="FFFBFCFF"/>
      </left>
      <right style="thick">
        <color rgb="FF3E3A3A"/>
      </right>
      <top style="thin">
        <color rgb="FFFBFCFF"/>
      </top>
    </border>
    <border>
      <left style="thick">
        <color rgb="FF3E3A3A"/>
      </left>
      <right style="thin">
        <color rgb="FFF9D1CF"/>
      </right>
      <top style="thin">
        <color rgb="FFFFFFFF"/>
      </top>
      <bottom style="thin">
        <color rgb="FFF9D1CF"/>
      </bottom>
    </border>
    <border>
      <left style="thin">
        <color rgb="FFF9D1CF"/>
      </left>
      <right style="thin">
        <color rgb="FFF9D1CF"/>
      </right>
      <bottom style="thin">
        <color rgb="FFF9D1CF"/>
      </bottom>
    </border>
    <border>
      <left style="thin">
        <color rgb="FFF9D1CF"/>
      </left>
      <right style="thick">
        <color rgb="FF3E3A3A"/>
      </right>
      <top style="thin">
        <color rgb="FFFFFFFF"/>
      </top>
      <bottom style="thin">
        <color rgb="FFF9D1CF"/>
      </bottom>
    </border>
    <border>
      <left style="thick">
        <color rgb="FF3E3A3A"/>
      </left>
      <right style="thin">
        <color rgb="FFF9D1CF"/>
      </right>
      <top style="thin">
        <color rgb="FFF9D1CF"/>
      </top>
      <bottom style="thin">
        <color rgb="FFF9D1CF"/>
      </bottom>
    </border>
    <border>
      <left style="thin">
        <color rgb="FFF9D1CF"/>
      </left>
      <right style="thin">
        <color rgb="FFF9D1CF"/>
      </right>
      <top style="thin">
        <color rgb="FFF9D1CF"/>
      </top>
      <bottom style="thin">
        <color rgb="FFF9D1CF"/>
      </bottom>
    </border>
    <border>
      <left style="thin">
        <color rgb="FFF9D1CF"/>
      </left>
      <right style="thick">
        <color rgb="FF3E3A3A"/>
      </right>
      <top style="thin">
        <color rgb="FFF9D1CF"/>
      </top>
      <bottom style="thin">
        <color rgb="FFF9D1CF"/>
      </bottom>
    </border>
    <border>
      <left style="thick">
        <color rgb="FF434343"/>
      </left>
      <bottom style="medium">
        <color rgb="FFF9D1CF"/>
      </bottom>
    </border>
    <border>
      <bottom style="medium">
        <color rgb="FFF9D1CF"/>
      </bottom>
    </border>
    <border>
      <right style="thick">
        <color rgb="FF434343"/>
      </right>
      <bottom style="medium">
        <color rgb="FFF9D1CF"/>
      </bottom>
    </border>
    <border>
      <left style="thick">
        <color rgb="FF434343"/>
      </left>
      <top style="medium">
        <color rgb="FFF9D1CF"/>
      </top>
      <bottom style="medium">
        <color rgb="FFF9D1CF"/>
      </bottom>
    </border>
    <border>
      <top style="medium">
        <color rgb="FFF9D1CF"/>
      </top>
      <bottom style="medium">
        <color rgb="FFF9D1CF"/>
      </bottom>
    </border>
    <border>
      <right style="thick">
        <color rgb="FF434343"/>
      </right>
      <top style="medium">
        <color rgb="FFF9D1CF"/>
      </top>
      <bottom style="medium">
        <color rgb="FFF9D1CF"/>
      </bottom>
    </border>
    <border>
      <left style="thin">
        <color rgb="FFF9D1CF"/>
      </left>
      <right style="thin">
        <color rgb="FFF9D1CF"/>
      </right>
      <top style="thin">
        <color rgb="FFF9D1CF"/>
      </top>
    </border>
    <border>
      <left style="thick">
        <color rgb="FF434343"/>
      </left>
      <right style="medium">
        <color rgb="FFF9D1CF"/>
      </right>
      <top style="medium">
        <color rgb="FFF9D1CF"/>
      </top>
      <bottom style="medium">
        <color rgb="FFF9D1CF"/>
      </bottom>
    </border>
    <border>
      <left style="medium">
        <color rgb="FFF9D1CF"/>
      </left>
      <right style="medium">
        <color rgb="FFF9D1CF"/>
      </right>
      <top style="medium">
        <color rgb="FFF9D1CF"/>
      </top>
      <bottom style="medium">
        <color rgb="FFF9D1CF"/>
      </bottom>
    </border>
    <border>
      <left style="medium">
        <color rgb="FFF9D1CF"/>
      </left>
      <right style="thick">
        <color rgb="FF434343"/>
      </right>
      <top style="medium">
        <color rgb="FFF9D1CF"/>
      </top>
      <bottom style="medium">
        <color rgb="FFF9D1CF"/>
      </bottom>
    </border>
    <border>
      <left style="medium">
        <color rgb="FFF9D1CF"/>
      </left>
      <top style="medium">
        <color rgb="FFF9D1CF"/>
      </top>
      <bottom style="medium">
        <color rgb="FFF9D1CF"/>
      </bottom>
    </border>
    <border>
      <right style="medium">
        <color rgb="FFF9D1CF"/>
      </right>
      <top style="medium">
        <color rgb="FFF9D1CF"/>
      </top>
      <bottom style="medium">
        <color rgb="FFF9D1CF"/>
      </bottom>
    </border>
    <border>
      <left style="thin">
        <color rgb="FFF9D1CF"/>
      </left>
      <right style="thin">
        <color rgb="FFF9D1CF"/>
      </right>
    </border>
    <border>
      <left style="thick">
        <color rgb="FF434343"/>
      </left>
      <right style="medium">
        <color rgb="FFF9D1CF"/>
      </right>
      <top style="medium">
        <color rgb="FFF9D1CF"/>
      </top>
    </border>
    <border>
      <left style="medium">
        <color rgb="FFF9D1CF"/>
      </left>
      <right style="medium">
        <color rgb="FFF9D1CF"/>
      </right>
      <top style="medium">
        <color rgb="FFF9D1CF"/>
      </top>
    </border>
    <border>
      <left style="medium">
        <color rgb="FFF9D1CF"/>
      </left>
      <right style="thick">
        <color rgb="FF434343"/>
      </right>
      <top style="medium">
        <color rgb="FFF9D1CF"/>
      </top>
    </border>
    <border>
      <left style="thick">
        <color rgb="FF434343"/>
      </left>
      <top style="medium">
        <color rgb="FF434343"/>
      </top>
      <bottom style="thin">
        <color rgb="FFF9D1CF"/>
      </bottom>
    </border>
    <border>
      <top style="medium">
        <color rgb="FF434343"/>
      </top>
      <bottom style="thin">
        <color rgb="FFF9D1CF"/>
      </bottom>
    </border>
    <border>
      <right style="thick">
        <color rgb="FF434343"/>
      </right>
      <top style="medium">
        <color rgb="FF434343"/>
      </top>
      <bottom style="thin">
        <color rgb="FFF9D1CF"/>
      </bottom>
    </border>
    <border>
      <left style="thick">
        <color rgb="FF434343"/>
      </left>
      <top style="thin">
        <color rgb="FFF9D1CF"/>
      </top>
      <bottom style="thin">
        <color rgb="FFF9D1CF"/>
      </bottom>
    </border>
    <border>
      <top style="thin">
        <color rgb="FFF9D1CF"/>
      </top>
      <bottom style="thin">
        <color rgb="FFF9D1CF"/>
      </bottom>
    </border>
    <border>
      <right style="thick">
        <color rgb="FF434343"/>
      </right>
      <top style="thin">
        <color rgb="FFF9D1CF"/>
      </top>
      <bottom style="thin">
        <color rgb="FFF9D1CF"/>
      </bottom>
    </border>
    <border>
      <left style="thick">
        <color rgb="FF434343"/>
      </left>
      <top style="thin">
        <color rgb="FFF9D1CF"/>
      </top>
    </border>
    <border>
      <top style="thin">
        <color rgb="FFF9D1CF"/>
      </top>
    </border>
    <border>
      <right style="thin">
        <color rgb="FFF9D1CF"/>
      </right>
      <top style="thin">
        <color rgb="FFF9D1CF"/>
      </top>
    </border>
    <border>
      <left style="thin">
        <color rgb="FFF9D1CF"/>
      </left>
      <right style="thick">
        <color rgb="FF434343"/>
      </right>
      <top style="thin">
        <color rgb="FFF9D1CF"/>
      </top>
    </border>
    <border>
      <right style="thin">
        <color rgb="FFF9D1CF"/>
      </right>
      <top style="medium">
        <color rgb="FF434343"/>
      </top>
      <bottom style="thin">
        <color rgb="FFF9D1CF"/>
      </bottom>
    </border>
    <border>
      <left style="thin">
        <color rgb="FFF9D1CF"/>
      </left>
      <right style="thick">
        <color rgb="FF434343"/>
      </right>
      <top style="medium">
        <color rgb="FF434343"/>
      </top>
      <bottom style="thin">
        <color rgb="FFF9D1CF"/>
      </bottom>
    </border>
    <border>
      <right style="thin">
        <color rgb="FFF9D1CF"/>
      </right>
      <top style="thin">
        <color rgb="FFF9D1CF"/>
      </top>
      <bottom style="thin">
        <color rgb="FFF9D1CF"/>
      </bottom>
    </border>
    <border>
      <left style="thin">
        <color rgb="FFF9D1CF"/>
      </left>
      <right style="thick">
        <color rgb="FF434343"/>
      </right>
      <top style="thin">
        <color rgb="FFF9D1CF"/>
      </top>
      <bottom style="thin">
        <color rgb="FFF9D1CF"/>
      </bottom>
    </border>
    <border>
      <left style="thick">
        <color rgb="FF434343"/>
      </left>
      <top style="thin">
        <color rgb="FFF9D1CF"/>
      </top>
      <bottom style="thick">
        <color rgb="FF434343"/>
      </bottom>
    </border>
    <border>
      <top style="thin">
        <color rgb="FFF9D1CF"/>
      </top>
      <bottom style="thick">
        <color rgb="FF434343"/>
      </bottom>
    </border>
    <border>
      <right style="thin">
        <color rgb="FFF9D1CF"/>
      </right>
      <top style="thin">
        <color rgb="FFF9D1CF"/>
      </top>
      <bottom style="thick">
        <color rgb="FF434343"/>
      </bottom>
    </border>
    <border>
      <left style="thin">
        <color rgb="FFF9D1CF"/>
      </left>
      <right style="thick">
        <color rgb="FF434343"/>
      </right>
      <top style="thin">
        <color rgb="FFF9D1CF"/>
      </top>
      <bottom style="thick">
        <color rgb="FF434343"/>
      </bottom>
    </border>
    <border>
      <left style="thin">
        <color rgb="FFF9D1CF"/>
      </left>
      <top style="thin">
        <color rgb="FFF9D1CF"/>
      </top>
      <bottom style="thin">
        <color rgb="FFF9D1CF"/>
      </bottom>
    </border>
    <border>
      <left style="thick">
        <color rgb="FF3E3A3A"/>
      </left>
      <right style="thin">
        <color rgb="FFCB443D"/>
      </right>
      <bottom style="thin">
        <color rgb="FFCB443D"/>
      </bottom>
    </border>
    <border>
      <left style="thin">
        <color rgb="FFCB443D"/>
      </left>
      <right style="thin">
        <color rgb="FFCB443D"/>
      </right>
      <bottom style="thin">
        <color rgb="FFCB443D"/>
      </bottom>
    </border>
    <border>
      <left style="thin">
        <color rgb="FFCB443D"/>
      </left>
      <top style="thin">
        <color rgb="FF3E3A3A"/>
      </top>
      <bottom style="thin">
        <color rgb="FFCB443D"/>
      </bottom>
    </border>
    <border>
      <left style="medium">
        <color rgb="FF3E3A3A"/>
      </left>
      <right style="thick">
        <color rgb="FF3E3A3A"/>
      </right>
      <bottom style="thin">
        <color rgb="FFCB443D"/>
      </bottom>
    </border>
    <border>
      <left style="thick">
        <color rgb="FF3E3A3A"/>
      </left>
      <right style="thin">
        <color rgb="FFCB443D"/>
      </right>
      <top style="thin">
        <color rgb="FFCB443D"/>
      </top>
      <bottom style="thin">
        <color rgb="FFCB443D"/>
      </bottom>
    </border>
    <border>
      <left style="thin">
        <color rgb="FFCB443D"/>
      </left>
      <right style="thin">
        <color rgb="FFCB443D"/>
      </right>
      <top style="thin">
        <color rgb="FFCB443D"/>
      </top>
      <bottom style="thin">
        <color rgb="FFCB443D"/>
      </bottom>
    </border>
    <border>
      <left style="thin">
        <color rgb="FFCB443D"/>
      </left>
      <top style="thin">
        <color rgb="FFCB443D"/>
      </top>
      <bottom style="thin">
        <color rgb="FFCB443D"/>
      </bottom>
    </border>
    <border>
      <left style="medium">
        <color rgb="FF3E3A3A"/>
      </left>
      <right style="thick">
        <color rgb="FF3E3A3A"/>
      </right>
      <top style="thin">
        <color rgb="FFCB443D"/>
      </top>
      <bottom style="thin">
        <color rgb="FFCB443D"/>
      </bottom>
    </border>
    <border>
      <left style="thick">
        <color rgb="FF3E3A3A"/>
      </left>
      <right style="thin">
        <color rgb="FFCB443D"/>
      </right>
      <top style="thin">
        <color rgb="FFCB443D"/>
      </top>
    </border>
    <border>
      <left style="thin">
        <color rgb="FFCB443D"/>
      </left>
      <right style="thin">
        <color rgb="FFCB443D"/>
      </right>
      <top style="thin">
        <color rgb="FFCB443D"/>
      </top>
    </border>
    <border>
      <left style="thin">
        <color rgb="FFCB443D"/>
      </left>
      <top style="thin">
        <color rgb="FFCB443D"/>
      </top>
    </border>
    <border>
      <left style="medium">
        <color rgb="FF3E3A3A"/>
      </left>
      <right style="thick">
        <color rgb="FF3E3A3A"/>
      </right>
      <top style="thin">
        <color rgb="FFCB443D"/>
      </top>
      <bottom style="medium">
        <color rgb="FF3E3A3A"/>
      </bottom>
    </border>
    <border>
      <left style="thick">
        <color rgb="FF3E3A3A"/>
      </left>
      <right style="thin">
        <color rgb="FFF9D1CF"/>
      </right>
      <top style="thin">
        <color rgb="FFF9D1CF"/>
      </top>
      <bottom style="thick">
        <color rgb="FF3E3A3A"/>
      </bottom>
    </border>
    <border>
      <left style="thin">
        <color rgb="FFF9D1CF"/>
      </left>
      <right style="thin">
        <color rgb="FFF9D1CF"/>
      </right>
      <top style="thin">
        <color rgb="FFF9D1CF"/>
      </top>
      <bottom style="thick">
        <color rgb="FF3E3A3A"/>
      </bottom>
    </border>
    <border>
      <left style="thin">
        <color rgb="FFF9D1CF"/>
      </left>
      <right style="thin">
        <color rgb="FFF9D1CF"/>
      </right>
      <bottom style="thick">
        <color rgb="FF3E3A3A"/>
      </bottom>
    </border>
    <border>
      <left style="thin">
        <color rgb="FFF9D1CF"/>
      </left>
      <right style="thick">
        <color rgb="FF3E3A3A"/>
      </right>
      <top style="thin">
        <color rgb="FFF9D1CF"/>
      </top>
      <bottom style="thick">
        <color rgb="FF3E3A3A"/>
      </bottom>
    </border>
    <border>
      <left style="thin">
        <color rgb="FFEDE8E8"/>
      </left>
      <right style="thin">
        <color rgb="FFEDE8E8"/>
      </right>
      <bottom style="thin">
        <color rgb="FFFFE6E6"/>
      </bottom>
    </border>
    <border>
      <left style="thick">
        <color rgb="FF3E3A3A"/>
      </left>
      <right style="thin">
        <color rgb="FFFC805F"/>
      </right>
      <bottom style="thin">
        <color rgb="FFFC805F"/>
      </bottom>
    </border>
    <border>
      <left style="thin">
        <color rgb="FFFC805F"/>
      </left>
      <right style="thin">
        <color rgb="FFFC805F"/>
      </right>
      <bottom style="thin">
        <color rgb="FFFC805F"/>
      </bottom>
    </border>
    <border>
      <left style="thin">
        <color rgb="FFFC805F"/>
      </left>
      <top style="thin">
        <color rgb="FF3E3A3A"/>
      </top>
      <bottom style="thin">
        <color rgb="FFFC805F"/>
      </bottom>
    </border>
    <border>
      <left style="medium">
        <color rgb="FF3E3A3A"/>
      </left>
      <right style="thick">
        <color rgb="FF3E3A3A"/>
      </right>
      <bottom style="thin">
        <color rgb="FFFC805F"/>
      </bottom>
    </border>
    <border>
      <left style="thick">
        <color rgb="FF3E3A3A"/>
      </left>
      <right style="thin">
        <color rgb="FFFC805F"/>
      </right>
      <top style="thin">
        <color rgb="FFFC805F"/>
      </top>
      <bottom style="thin">
        <color rgb="FFFC805F"/>
      </bottom>
    </border>
    <border>
      <left style="thin">
        <color rgb="FFFC805F"/>
      </left>
      <right style="thin">
        <color rgb="FFFC805F"/>
      </right>
      <top style="thin">
        <color rgb="FFFC805F"/>
      </top>
      <bottom style="thin">
        <color rgb="FFFC805F"/>
      </bottom>
    </border>
    <border>
      <left style="thin">
        <color rgb="FFFC805F"/>
      </left>
      <top style="thin">
        <color rgb="FFFC805F"/>
      </top>
      <bottom style="thin">
        <color rgb="FFFC805F"/>
      </bottom>
    </border>
    <border>
      <left style="medium">
        <color rgb="FF3E3A3A"/>
      </left>
      <right style="thick">
        <color rgb="FF3E3A3A"/>
      </right>
      <top style="thin">
        <color rgb="FFFC805F"/>
      </top>
      <bottom style="thin">
        <color rgb="FFFC805F"/>
      </bottom>
    </border>
    <border>
      <left style="thick">
        <color rgb="FF3E3A3A"/>
      </left>
      <right style="thin">
        <color rgb="FFFC805F"/>
      </right>
      <top style="thin">
        <color rgb="FFFC805F"/>
      </top>
    </border>
    <border>
      <left style="thin">
        <color rgb="FFFC805F"/>
      </left>
      <right style="thin">
        <color rgb="FFFC805F"/>
      </right>
      <top style="thin">
        <color rgb="FFFC805F"/>
      </top>
    </border>
    <border>
      <left style="thin">
        <color rgb="FFFC805F"/>
      </left>
      <top style="thin">
        <color rgb="FFFC805F"/>
      </top>
    </border>
    <border>
      <left style="medium">
        <color rgb="FF3E3A3A"/>
      </left>
      <right style="thick">
        <color rgb="FF3E3A3A"/>
      </right>
      <top style="thin">
        <color rgb="FFFC805F"/>
      </top>
      <bottom style="medium">
        <color rgb="FF3E3A3A"/>
      </bottom>
    </border>
    <border>
      <left style="thin">
        <color rgb="FFFFE6E6"/>
      </left>
      <right style="thick">
        <color rgb="FF3E3A3A"/>
      </right>
      <top style="thin">
        <color rgb="FFEDE8E8"/>
      </top>
      <bottom style="thick">
        <color rgb="FF3E3A3A"/>
      </bottom>
    </border>
    <border>
      <left style="thin">
        <color rgb="FFFBFCFF"/>
      </left>
      <top style="thin">
        <color rgb="FFFBFCFF"/>
      </top>
    </border>
    <border>
      <left style="thin">
        <color rgb="FFFBFCFF"/>
      </left>
      <bottom style="thick">
        <color rgb="FF3E3A3A"/>
      </bottom>
    </border>
    <border>
      <right style="thin">
        <color rgb="FFFBFCFF"/>
      </right>
      <bottom style="thick">
        <color rgb="FF3E3A3A"/>
      </bottom>
    </border>
    <border>
      <left style="thick">
        <color rgb="FF3E3A3A"/>
      </left>
      <right style="thin">
        <color rgb="FFFF6D46"/>
      </right>
      <bottom style="thin">
        <color rgb="FFFF6D46"/>
      </bottom>
    </border>
    <border>
      <left style="thin">
        <color rgb="FFFF6D46"/>
      </left>
      <right style="thin">
        <color rgb="FFFF6D46"/>
      </right>
      <bottom style="thin">
        <color rgb="FFFF6D46"/>
      </bottom>
    </border>
    <border>
      <left style="thin">
        <color rgb="FFFF6D46"/>
      </left>
      <top style="thin">
        <color rgb="FF3E3A3A"/>
      </top>
      <bottom style="thin">
        <color rgb="FFFF6D46"/>
      </bottom>
    </border>
    <border>
      <left style="medium">
        <color rgb="FF3E3A3A"/>
      </left>
      <right style="thick">
        <color rgb="FF3E3A3A"/>
      </right>
      <bottom style="thin">
        <color rgb="FFFF6D46"/>
      </bottom>
    </border>
    <border>
      <left style="thick">
        <color rgb="FF3E3A3A"/>
      </left>
      <right style="thin">
        <color rgb="FFFF6D46"/>
      </right>
      <top style="thin">
        <color rgb="FFFF6D46"/>
      </top>
      <bottom style="thin">
        <color rgb="FFFF6D46"/>
      </bottom>
    </border>
    <border>
      <left style="thin">
        <color rgb="FFFF6D46"/>
      </left>
      <right style="thin">
        <color rgb="FFFF6D46"/>
      </right>
      <top style="thin">
        <color rgb="FFFF6D46"/>
      </top>
      <bottom style="thin">
        <color rgb="FFFF6D46"/>
      </bottom>
    </border>
    <border>
      <left style="thin">
        <color rgb="FFFF6D46"/>
      </left>
      <top style="thin">
        <color rgb="FFFF6D46"/>
      </top>
      <bottom style="thin">
        <color rgb="FFFF6D46"/>
      </bottom>
    </border>
    <border>
      <left style="medium">
        <color rgb="FF3E3A3A"/>
      </left>
      <right style="thick">
        <color rgb="FF3E3A3A"/>
      </right>
      <top style="thin">
        <color rgb="FFFF6D46"/>
      </top>
      <bottom style="thin">
        <color rgb="FFFF6D46"/>
      </bottom>
    </border>
    <border>
      <left style="thick">
        <color rgb="FF3E3A3A"/>
      </left>
      <right style="thin">
        <color rgb="FFFF6D46"/>
      </right>
      <top style="thin">
        <color rgb="FFFF6D46"/>
      </top>
    </border>
    <border>
      <left style="thin">
        <color rgb="FFFF6D46"/>
      </left>
      <right style="thin">
        <color rgb="FFFF6D46"/>
      </right>
      <top style="thin">
        <color rgb="FFFF6D46"/>
      </top>
    </border>
    <border>
      <left style="thin">
        <color rgb="FFFF6D46"/>
      </left>
      <top style="thin">
        <color rgb="FFFF6D46"/>
      </top>
    </border>
    <border>
      <left style="medium">
        <color rgb="FF3E3A3A"/>
      </left>
      <right style="thick">
        <color rgb="FF3E3A3A"/>
      </right>
      <top style="thin">
        <color rgb="FFFF6D46"/>
      </top>
      <bottom style="medium">
        <color rgb="FF3E3A3A"/>
      </bottom>
    </border>
    <border>
      <left style="thick">
        <color rgb="FF3E3A3A"/>
      </left>
      <top style="thin">
        <color rgb="FF3E3A3A"/>
      </top>
      <bottom style="thin">
        <color rgb="FF3E3A3A"/>
      </bottom>
    </border>
    <border>
      <top style="thin">
        <color rgb="FF3E3A3A"/>
      </top>
      <bottom style="thin">
        <color rgb="FF3E3A3A"/>
      </bottom>
    </border>
    <border>
      <right style="medium">
        <color rgb="FF3E3A3A"/>
      </right>
      <top style="thin">
        <color rgb="FF3E3A3A"/>
      </top>
      <bottom style="thin">
        <color rgb="FF3E3A3A"/>
      </bottom>
    </border>
    <border>
      <left style="medium">
        <color rgb="FF3E3A3A"/>
      </left>
      <right style="thick">
        <color rgb="FF3E3A3A"/>
      </right>
      <top style="thin">
        <color rgb="FF3E3A3A"/>
      </top>
      <bottom style="thin">
        <color rgb="FF3E3A3A"/>
      </bottom>
    </border>
    <border>
      <left style="thin">
        <color rgb="FFEDE4DA"/>
      </left>
      <top style="thin">
        <color rgb="FFFFF8EE"/>
      </top>
      <bottom style="thin">
        <color rgb="FFFFF8EE"/>
      </bottom>
    </border>
    <border>
      <right style="thin">
        <color rgb="FFFFF8EE"/>
      </right>
    </border>
    <border>
      <bottom style="thin">
        <color rgb="FFFFF8EE"/>
      </bottom>
    </border>
    <border>
      <right style="thin">
        <color rgb="FFFFF8EE"/>
      </right>
      <bottom style="thin">
        <color rgb="FFFFF8EE"/>
      </bottom>
    </border>
    <border>
      <top style="thin">
        <color rgb="FFEFEAE9"/>
      </top>
    </border>
    <border>
      <left style="thick">
        <color rgb="FF3E3A3A"/>
      </left>
      <right style="thin">
        <color rgb="FFF8FCEB"/>
      </right>
      <top style="thin">
        <color rgb="FFF8FCEB"/>
      </top>
    </border>
    <border>
      <left style="thin">
        <color rgb="FFF8FCEB"/>
      </left>
      <top style="thin">
        <color rgb="FFF8FCEB"/>
      </top>
    </border>
    <border>
      <left style="thick">
        <color rgb="FF3E3A3A"/>
      </left>
      <right style="thin">
        <color rgb="FFDADBE0"/>
      </right>
      <bottom style="thin">
        <color rgb="FFDADBE0"/>
      </bottom>
    </border>
    <border>
      <left style="thin">
        <color rgb="FFDADBE0"/>
      </left>
      <right style="thin">
        <color rgb="FFDADBE0"/>
      </right>
      <bottom style="thin">
        <color rgb="FFDADBE0"/>
      </bottom>
    </border>
    <border>
      <left style="thin">
        <color rgb="FFDADBE0"/>
      </left>
      <right style="thick">
        <color rgb="FF3E3A3A"/>
      </right>
      <bottom style="thin">
        <color rgb="FFDADBE0"/>
      </bottom>
    </border>
    <border>
      <left style="thick">
        <color rgb="FF3E3A3A"/>
      </left>
      <right style="thin">
        <color rgb="FFDADBE0"/>
      </right>
      <top style="thin">
        <color rgb="FFDADBE0"/>
      </top>
      <bottom style="thin">
        <color rgb="FFDADBE0"/>
      </bottom>
    </border>
    <border>
      <left style="thin">
        <color rgb="FFDADBE0"/>
      </left>
      <right style="thin">
        <color rgb="FFDADBE0"/>
      </right>
      <top style="thin">
        <color rgb="FFDADBE0"/>
      </top>
      <bottom style="thin">
        <color rgb="FFDADBE0"/>
      </bottom>
    </border>
    <border>
      <left style="thin">
        <color rgb="FFDADBE0"/>
      </left>
      <top style="thin">
        <color rgb="FFDADBE0"/>
      </top>
      <bottom style="thin">
        <color rgb="FFDADBE0"/>
      </bottom>
    </border>
    <border>
      <top style="thin">
        <color rgb="FFDADBE0"/>
      </top>
      <bottom style="thin">
        <color rgb="FFDADBE0"/>
      </bottom>
    </border>
    <border>
      <right style="thin">
        <color rgb="FFDADBE0"/>
      </right>
      <top style="thin">
        <color rgb="FFDADBE0"/>
      </top>
      <bottom style="thin">
        <color rgb="FFDADBE0"/>
      </bottom>
    </border>
    <border>
      <left style="thin">
        <color rgb="FFDADBE0"/>
      </left>
      <right style="thick">
        <color rgb="FF3E3A3A"/>
      </right>
      <top style="thin">
        <color rgb="FFDADBE0"/>
      </top>
      <bottom style="thin">
        <color rgb="FFDADBE0"/>
      </bottom>
    </border>
    <border>
      <left style="thick">
        <color rgb="FF434343"/>
      </left>
      <bottom style="medium">
        <color rgb="FFDADBE0"/>
      </bottom>
    </border>
    <border>
      <bottom style="medium">
        <color rgb="FFDADBE0"/>
      </bottom>
    </border>
    <border>
      <right style="thick">
        <color rgb="FF434343"/>
      </right>
      <bottom style="medium">
        <color rgb="FFDADBE0"/>
      </bottom>
    </border>
    <border>
      <left style="thick">
        <color rgb="FF434343"/>
      </left>
      <top style="medium">
        <color rgb="FFDADBE0"/>
      </top>
      <bottom style="medium">
        <color rgb="FFDADBE0"/>
      </bottom>
    </border>
    <border>
      <top style="medium">
        <color rgb="FFDADBE0"/>
      </top>
      <bottom style="medium">
        <color rgb="FFDADBE0"/>
      </bottom>
    </border>
    <border>
      <right style="thick">
        <color rgb="FF434343"/>
      </right>
      <top style="medium">
        <color rgb="FFDADBE0"/>
      </top>
      <bottom style="medium">
        <color rgb="FFDADBE0"/>
      </bottom>
    </border>
    <border>
      <left style="thick">
        <color rgb="FF434343"/>
      </left>
      <right style="medium">
        <color rgb="FFDADBE0"/>
      </right>
      <top style="medium">
        <color rgb="FFDADBE0"/>
      </top>
      <bottom style="medium">
        <color rgb="FFDADBE0"/>
      </bottom>
    </border>
    <border>
      <left style="medium">
        <color rgb="FFDADBE0"/>
      </left>
      <right style="medium">
        <color rgb="FFDADBE0"/>
      </right>
      <top style="medium">
        <color rgb="FFDADBE0"/>
      </top>
      <bottom style="medium">
        <color rgb="FFDADBE0"/>
      </bottom>
    </border>
    <border>
      <left style="medium">
        <color rgb="FFDADBE0"/>
      </left>
      <right style="thick">
        <color rgb="FF434343"/>
      </right>
      <top style="medium">
        <color rgb="FFDADBE0"/>
      </top>
      <bottom style="medium">
        <color rgb="FFDADBE0"/>
      </bottom>
    </border>
    <border>
      <left style="medium">
        <color rgb="FFDADBE0"/>
      </left>
      <top style="medium">
        <color rgb="FFDADBE0"/>
      </top>
      <bottom style="medium">
        <color rgb="FFDADBE0"/>
      </bottom>
    </border>
    <border>
      <right style="medium">
        <color rgb="FFDADBE0"/>
      </right>
      <top style="medium">
        <color rgb="FFDADBE0"/>
      </top>
      <bottom style="medium">
        <color rgb="FFDADBE0"/>
      </bottom>
    </border>
    <border>
      <left style="thick">
        <color rgb="FF434343"/>
      </left>
      <right style="medium">
        <color rgb="FFDADBE0"/>
      </right>
      <top style="medium">
        <color rgb="FFDADBE0"/>
      </top>
    </border>
    <border>
      <left style="medium">
        <color rgb="FFDADBE0"/>
      </left>
      <right style="medium">
        <color rgb="FFDADBE0"/>
      </right>
      <top style="medium">
        <color rgb="FFDADBE0"/>
      </top>
    </border>
    <border>
      <left style="medium">
        <color rgb="FFDADBE0"/>
      </left>
      <right style="thick">
        <color rgb="FF434343"/>
      </right>
      <top style="medium">
        <color rgb="FFDADBE0"/>
      </top>
    </border>
    <border>
      <left style="thick">
        <color rgb="FF434343"/>
      </left>
      <top style="medium">
        <color rgb="FF434343"/>
      </top>
      <bottom style="thin">
        <color rgb="FFDADBE0"/>
      </bottom>
    </border>
    <border>
      <top style="medium">
        <color rgb="FF434343"/>
      </top>
      <bottom style="thin">
        <color rgb="FFDADBE0"/>
      </bottom>
    </border>
    <border>
      <right style="thick">
        <color rgb="FF434343"/>
      </right>
      <top style="medium">
        <color rgb="FF434343"/>
      </top>
      <bottom style="thin">
        <color rgb="FFDADBE0"/>
      </bottom>
    </border>
    <border>
      <left style="thick">
        <color rgb="FF434343"/>
      </left>
      <top style="thin">
        <color rgb="FFDADBE0"/>
      </top>
      <bottom style="thin">
        <color rgb="FFDADBE0"/>
      </bottom>
    </border>
    <border>
      <right style="thick">
        <color rgb="FF434343"/>
      </right>
      <top style="thin">
        <color rgb="FFDADBE0"/>
      </top>
      <bottom style="thin">
        <color rgb="FFDADBE0"/>
      </bottom>
    </border>
    <border>
      <left style="thick">
        <color rgb="FF434343"/>
      </left>
      <top style="thin">
        <color rgb="FFDADBE0"/>
      </top>
    </border>
    <border>
      <top style="thin">
        <color rgb="FFDADBE0"/>
      </top>
    </border>
    <border>
      <right style="thin">
        <color rgb="FFDADBE0"/>
      </right>
      <top style="thin">
        <color rgb="FFDADBE0"/>
      </top>
    </border>
    <border>
      <left style="thin">
        <color rgb="FFDADBE0"/>
      </left>
      <right style="thick">
        <color rgb="FF434343"/>
      </right>
      <top style="thin">
        <color rgb="FFDADBE0"/>
      </top>
    </border>
    <border>
      <right style="thin">
        <color rgb="FFDADBE0"/>
      </right>
      <top style="medium">
        <color rgb="FF434343"/>
      </top>
      <bottom style="thin">
        <color rgb="FFDADBE0"/>
      </bottom>
    </border>
    <border>
      <left style="thin">
        <color rgb="FFDADBE0"/>
      </left>
      <right style="thick">
        <color rgb="FF434343"/>
      </right>
      <top style="medium">
        <color rgb="FF434343"/>
      </top>
      <bottom style="thin">
        <color rgb="FFDADBE0"/>
      </bottom>
    </border>
    <border>
      <left style="thin">
        <color rgb="FFDADBE0"/>
      </left>
      <right style="thick">
        <color rgb="FF434343"/>
      </right>
      <top style="thin">
        <color rgb="FFDADBE0"/>
      </top>
      <bottom style="thin">
        <color rgb="FFDADBE0"/>
      </bottom>
    </border>
    <border>
      <left style="thick">
        <color rgb="FF434343"/>
      </left>
      <top style="thin">
        <color rgb="FFDADBE0"/>
      </top>
      <bottom style="thick">
        <color rgb="FF434343"/>
      </bottom>
    </border>
    <border>
      <top style="thin">
        <color rgb="FFDADBE0"/>
      </top>
      <bottom style="thick">
        <color rgb="FF434343"/>
      </bottom>
    </border>
    <border>
      <right style="thin">
        <color rgb="FFDADBE0"/>
      </right>
      <top style="thin">
        <color rgb="FFDADBE0"/>
      </top>
      <bottom style="thick">
        <color rgb="FF434343"/>
      </bottom>
    </border>
    <border>
      <left style="thin">
        <color rgb="FFDADBE0"/>
      </left>
      <right style="thick">
        <color rgb="FF434343"/>
      </right>
      <top style="thin">
        <color rgb="FFDADBE0"/>
      </top>
      <bottom style="thick">
        <color rgb="FF434343"/>
      </bottom>
    </border>
    <border>
      <left style="thin">
        <color rgb="FFDADBE0"/>
      </left>
      <right style="thin">
        <color rgb="FFDADBE0"/>
      </right>
      <top style="thin">
        <color rgb="FFDADBE0"/>
      </top>
    </border>
    <border>
      <left style="thick">
        <color rgb="FF3E3A3A"/>
      </left>
      <right style="thin">
        <color rgb="FFF09050"/>
      </right>
      <bottom style="thin">
        <color rgb="FFF09050"/>
      </bottom>
    </border>
    <border>
      <left style="thin">
        <color rgb="FFF09050"/>
      </left>
      <right style="thin">
        <color rgb="FFF09050"/>
      </right>
      <bottom style="thin">
        <color rgb="FFF09050"/>
      </bottom>
    </border>
    <border>
      <left style="thin">
        <color rgb="FFF09050"/>
      </left>
      <top style="thin">
        <color rgb="FF3E3A3A"/>
      </top>
      <bottom style="thin">
        <color rgb="FFF09050"/>
      </bottom>
    </border>
    <border>
      <left style="medium">
        <color rgb="FF3E3A3A"/>
      </left>
      <right style="thick">
        <color rgb="FF3E3A3A"/>
      </right>
      <bottom style="thin">
        <color rgb="FFF09050"/>
      </bottom>
    </border>
    <border>
      <left style="thick">
        <color rgb="FF3E3A3A"/>
      </left>
      <right style="thin">
        <color rgb="FFF09050"/>
      </right>
      <top style="thin">
        <color rgb="FFF09050"/>
      </top>
      <bottom style="thin">
        <color rgb="FFF09050"/>
      </bottom>
    </border>
    <border>
      <left style="thin">
        <color rgb="FFF09050"/>
      </left>
      <right style="thin">
        <color rgb="FFF09050"/>
      </right>
      <top style="thin">
        <color rgb="FFF09050"/>
      </top>
      <bottom style="thin">
        <color rgb="FFF09050"/>
      </bottom>
    </border>
    <border>
      <left style="thin">
        <color rgb="FFF09050"/>
      </left>
      <top style="thin">
        <color rgb="FFF09050"/>
      </top>
      <bottom style="thin">
        <color rgb="FFF09050"/>
      </bottom>
    </border>
    <border>
      <left style="medium">
        <color rgb="FF3E3A3A"/>
      </left>
      <right style="thick">
        <color rgb="FF3E3A3A"/>
      </right>
      <top style="thin">
        <color rgb="FFF09050"/>
      </top>
      <bottom style="thin">
        <color rgb="FFF09050"/>
      </bottom>
    </border>
    <border>
      <left style="thick">
        <color rgb="FF3E3A3A"/>
      </left>
      <right style="thin">
        <color rgb="FFF09050"/>
      </right>
      <top style="thin">
        <color rgb="FFF09050"/>
      </top>
    </border>
    <border>
      <left style="thin">
        <color rgb="FFF09050"/>
      </left>
      <right style="thin">
        <color rgb="FFF09050"/>
      </right>
      <top style="thin">
        <color rgb="FFF09050"/>
      </top>
    </border>
    <border>
      <left style="thin">
        <color rgb="FFF09050"/>
      </left>
      <top style="thin">
        <color rgb="FFF09050"/>
      </top>
    </border>
    <border>
      <left style="medium">
        <color rgb="FF3E3A3A"/>
      </left>
      <right style="thick">
        <color rgb="FF3E3A3A"/>
      </right>
      <top style="thin">
        <color rgb="FFF09050"/>
      </top>
      <bottom style="medium">
        <color rgb="FF3E3A3A"/>
      </bottom>
    </border>
    <border>
      <left style="thick">
        <color rgb="FF3E3A3A"/>
      </left>
      <right style="thin">
        <color rgb="FFDADBE0"/>
      </right>
      <top style="thin">
        <color rgb="FFDADBE0"/>
      </top>
      <bottom style="thick">
        <color rgb="FF3E3A3A"/>
      </bottom>
    </border>
    <border>
      <left style="thin">
        <color rgb="FFDADBE0"/>
      </left>
      <right style="thin">
        <color rgb="FFDADBE0"/>
      </right>
      <top style="thin">
        <color rgb="FFDADBE0"/>
      </top>
      <bottom style="thick">
        <color rgb="FF3E3A3A"/>
      </bottom>
    </border>
    <border>
      <left style="thin">
        <color rgb="FFDADBE0"/>
      </left>
      <right style="thin">
        <color rgb="FFDADBE0"/>
      </right>
      <bottom style="thick">
        <color rgb="FF3E3A3A"/>
      </bottom>
    </border>
    <border>
      <left style="thin">
        <color rgb="FFDADBE0"/>
      </left>
      <right style="thick">
        <color rgb="FF3E3A3A"/>
      </right>
      <top style="thin">
        <color rgb="FFDADBE0"/>
      </top>
      <bottom style="thick">
        <color rgb="FF3E3A3A"/>
      </bottom>
    </border>
    <border>
      <left style="thin">
        <color rgb="FFDADBE0"/>
      </left>
      <right style="thin">
        <color rgb="FFDADBE0"/>
      </right>
    </border>
    <border>
      <right style="thick">
        <color rgb="FF3E3A3A"/>
      </right>
      <top style="thin">
        <color rgb="FFCDB0B4"/>
      </top>
      <bottom style="thin">
        <color rgb="FFCDB0B4"/>
      </bottom>
    </border>
    <border>
      <left style="medium">
        <color rgb="FFCDB0B4"/>
      </left>
      <top style="medium">
        <color rgb="FFCDB0B4"/>
      </top>
      <bottom style="medium">
        <color rgb="FFCDB0B4"/>
      </bottom>
    </border>
    <border>
      <right style="medium">
        <color rgb="FFCDB0B4"/>
      </right>
      <top style="medium">
        <color rgb="FFCDB0B4"/>
      </top>
      <bottom style="medium">
        <color rgb="FFCDB0B4"/>
      </bottom>
    </border>
    <border>
      <bottom style="thin">
        <color rgb="FFCDB0B4"/>
      </bottom>
    </border>
    <border>
      <left style="thin">
        <color rgb="FFD4D4E6"/>
      </left>
      <top style="thin">
        <color rgb="FFCDB0B4"/>
      </top>
      <bottom style="thin">
        <color rgb="FFCDB0B4"/>
      </bottom>
    </border>
    <border>
      <left style="thick">
        <color rgb="FF3E3A3A"/>
      </left>
      <top style="medium">
        <color rgb="FF3E3A3A"/>
      </top>
      <bottom style="thin">
        <color rgb="FF000000"/>
      </bottom>
    </border>
    <border>
      <top style="medium">
        <color rgb="FF3E3A3A"/>
      </top>
      <bottom style="thin">
        <color rgb="FF000000"/>
      </bottom>
    </border>
    <border>
      <right style="medium">
        <color rgb="FF3E3A3A"/>
      </right>
      <top style="medium">
        <color rgb="FF3E3A3A"/>
      </top>
      <bottom style="thin">
        <color rgb="FF000000"/>
      </bottom>
    </border>
    <border>
      <left style="thick">
        <color rgb="FF3E3A3A"/>
      </left>
      <right style="thin">
        <color rgb="FFCDB0B4"/>
      </right>
      <top style="thin">
        <color rgb="FFCDB0B4"/>
      </top>
    </border>
    <border>
      <left style="thin">
        <color rgb="FFCDB0B4"/>
      </left>
      <top style="thin">
        <color rgb="FFCDB0B4"/>
      </top>
    </border>
    <border>
      <right style="medium">
        <color rgb="FF3E3A3A"/>
      </right>
      <bottom style="thick">
        <color rgb="FF3E3A3A"/>
      </bottom>
    </border>
    <border>
      <left style="thin">
        <color rgb="FFCDB0B4"/>
      </left>
      <right style="thick">
        <color rgb="FF3E3A3A"/>
      </right>
      <top style="thin">
        <color rgb="FFCDB0B4"/>
      </top>
    </border>
    <border>
      <left style="thick">
        <color rgb="FF3E3A3A"/>
      </left>
      <bottom style="thin">
        <color rgb="FFD4D4E6"/>
      </bottom>
    </border>
    <border>
      <left style="thin">
        <color rgb="FFD4D4E6"/>
      </left>
      <top style="thin">
        <color rgb="FFD4D4E6"/>
      </top>
    </border>
    <border>
      <left style="thin">
        <color rgb="FFD4D4E6"/>
      </left>
      <right style="thick">
        <color rgb="FF3E3A3A"/>
      </right>
      <bottom style="thin">
        <color rgb="FFD4D4E6"/>
      </bottom>
    </border>
    <border>
      <right style="thick">
        <color rgb="FF3E3A3A"/>
      </right>
      <top style="thin">
        <color rgb="FFD4D4E6"/>
      </top>
      <bottom style="thin">
        <color rgb="FFD4D4E6"/>
      </bottom>
    </border>
    <border>
      <left style="thick">
        <color rgb="FF3E3A3A"/>
      </left>
      <bottom style="thin">
        <color rgb="FFF9F9F9"/>
      </bottom>
    </border>
    <border>
      <left style="thin">
        <color rgb="FFF9F9F9"/>
      </left>
      <top style="thin">
        <color rgb="FFF9F9F9"/>
      </top>
    </border>
    <border>
      <right style="thick">
        <color rgb="FF3E3A3A"/>
      </right>
      <top style="thin">
        <color rgb="FFF9F9F9"/>
      </top>
      <bottom style="thin">
        <color rgb="FFF9F9F9"/>
      </bottom>
    </border>
    <border>
      <right style="thick">
        <color rgb="FF434343"/>
      </right>
      <top style="thin">
        <color rgb="FFF9F9F9"/>
      </top>
      <bottom style="thick">
        <color rgb="FF434343"/>
      </bottom>
    </border>
    <border>
      <left style="thick">
        <color rgb="FF3E3A3A"/>
      </left>
      <right style="thin">
        <color rgb="FFF9F9F9"/>
      </right>
      <top style="thin">
        <color rgb="FFF9F9F9"/>
      </top>
    </border>
    <border>
      <left style="thin">
        <color rgb="FFF9F9F9"/>
      </left>
      <right style="thick">
        <color rgb="FF3E3A3A"/>
      </right>
      <top style="thin">
        <color rgb="FFF9F9F9"/>
      </top>
    </border>
    <border>
      <left style="thick">
        <color rgb="FF3E3A3A"/>
      </left>
      <right style="thin">
        <color rgb="FFE4EAE7"/>
      </right>
      <bottom style="thin">
        <color rgb="FFE4EAE7"/>
      </bottom>
    </border>
    <border>
      <left style="thin">
        <color rgb="FFE4EAE7"/>
      </left>
      <right style="thin">
        <color rgb="FFE4EAE7"/>
      </right>
      <bottom style="thin">
        <color rgb="FFE4EAE7"/>
      </bottom>
    </border>
    <border>
      <left style="thin">
        <color rgb="FFE4EAE7"/>
      </left>
      <right style="thick">
        <color rgb="FF3E3A3A"/>
      </right>
      <bottom style="thin">
        <color rgb="FFE4EAE7"/>
      </bottom>
    </border>
    <border>
      <left style="thick">
        <color rgb="FF3E3A3A"/>
      </left>
      <right style="thin">
        <color rgb="FFE4EAE7"/>
      </right>
      <top style="thin">
        <color rgb="FFE4EAE7"/>
      </top>
      <bottom style="thin">
        <color rgb="FFE4EAE7"/>
      </bottom>
    </border>
    <border>
      <left style="thin">
        <color rgb="FFE4EAE7"/>
      </left>
      <right style="thin">
        <color rgb="FFE4EAE7"/>
      </right>
      <top style="thin">
        <color rgb="FFE4EAE7"/>
      </top>
      <bottom style="thin">
        <color rgb="FFE4EAE7"/>
      </bottom>
    </border>
    <border>
      <left style="thin">
        <color rgb="FFE4EAE7"/>
      </left>
      <right style="thick">
        <color rgb="FF3E3A3A"/>
      </right>
      <top style="thin">
        <color rgb="FFE4EAE7"/>
      </top>
      <bottom style="thin">
        <color rgb="FFE4EAE7"/>
      </bottom>
    </border>
    <border>
      <left style="thick">
        <color rgb="FF434343"/>
      </left>
      <bottom style="medium">
        <color rgb="FFE4EAE7"/>
      </bottom>
    </border>
    <border>
      <bottom style="medium">
        <color rgb="FFE4EAE7"/>
      </bottom>
    </border>
    <border>
      <right style="thick">
        <color rgb="FF434343"/>
      </right>
      <bottom style="medium">
        <color rgb="FFE4EAE7"/>
      </bottom>
    </border>
    <border>
      <left style="thick">
        <color rgb="FF434343"/>
      </left>
      <top style="medium">
        <color rgb="FFE4EAE7"/>
      </top>
      <bottom style="medium">
        <color rgb="FFE4EAE7"/>
      </bottom>
    </border>
    <border>
      <top style="medium">
        <color rgb="FFE4EAE7"/>
      </top>
      <bottom style="medium">
        <color rgb="FFE4EAE7"/>
      </bottom>
    </border>
    <border>
      <right style="thick">
        <color rgb="FF434343"/>
      </right>
      <top style="medium">
        <color rgb="FFE4EAE7"/>
      </top>
      <bottom style="medium">
        <color rgb="FFE4EAE7"/>
      </bottom>
    </border>
    <border>
      <left style="thick">
        <color rgb="FF434343"/>
      </left>
      <right style="medium">
        <color rgb="FFE4EAE7"/>
      </right>
      <top style="medium">
        <color rgb="FFE4EAE7"/>
      </top>
      <bottom style="medium">
        <color rgb="FFE4EAE7"/>
      </bottom>
    </border>
    <border>
      <left style="medium">
        <color rgb="FFE4EAE7"/>
      </left>
      <right style="medium">
        <color rgb="FFE4EAE7"/>
      </right>
      <top style="medium">
        <color rgb="FFE4EAE7"/>
      </top>
      <bottom style="medium">
        <color rgb="FFE4EAE7"/>
      </bottom>
    </border>
    <border>
      <left style="medium">
        <color rgb="FFE4EAE7"/>
      </left>
      <right style="thick">
        <color rgb="FF434343"/>
      </right>
      <top style="medium">
        <color rgb="FFE4EAE7"/>
      </top>
      <bottom style="medium">
        <color rgb="FFE4EAE7"/>
      </bottom>
    </border>
    <border>
      <left style="medium">
        <color rgb="FFE4EAE7"/>
      </left>
      <top style="medium">
        <color rgb="FFE4EAE7"/>
      </top>
      <bottom style="medium">
        <color rgb="FFE4EAE7"/>
      </bottom>
    </border>
    <border>
      <right style="medium">
        <color rgb="FFE4EAE7"/>
      </right>
      <top style="medium">
        <color rgb="FFE4EAE7"/>
      </top>
      <bottom style="medium">
        <color rgb="FFE4EAE7"/>
      </bottom>
    </border>
    <border>
      <left style="thin">
        <color rgb="FFE4EAE7"/>
      </left>
      <right style="thin">
        <color rgb="FFE4EAE7"/>
      </right>
      <top style="thin">
        <color rgb="FFE4EAE7"/>
      </top>
    </border>
    <border>
      <left style="thick">
        <color rgb="FF434343"/>
      </left>
      <right style="medium">
        <color rgb="FFE4EAE7"/>
      </right>
      <top style="medium">
        <color rgb="FFE4EAE7"/>
      </top>
    </border>
    <border>
      <left style="medium">
        <color rgb="FFE4EAE7"/>
      </left>
      <right style="medium">
        <color rgb="FFE4EAE7"/>
      </right>
      <top style="medium">
        <color rgb="FFE4EAE7"/>
      </top>
    </border>
    <border>
      <left style="medium">
        <color rgb="FFE4EAE7"/>
      </left>
      <right style="thick">
        <color rgb="FF434343"/>
      </right>
      <top style="medium">
        <color rgb="FFE4EAE7"/>
      </top>
    </border>
    <border>
      <left style="thin">
        <color rgb="FFE4EAE7"/>
      </left>
      <right style="thin">
        <color rgb="FFE4EAE7"/>
      </right>
    </border>
    <border>
      <left style="thick">
        <color rgb="FF434343"/>
      </left>
      <top style="medium">
        <color rgb="FF434343"/>
      </top>
      <bottom style="thin">
        <color rgb="FFE4EAE7"/>
      </bottom>
    </border>
    <border>
      <top style="medium">
        <color rgb="FF434343"/>
      </top>
      <bottom style="thin">
        <color rgb="FFE4EAE7"/>
      </bottom>
    </border>
    <border>
      <right style="thick">
        <color rgb="FF434343"/>
      </right>
      <top style="medium">
        <color rgb="FF434343"/>
      </top>
      <bottom style="thin">
        <color rgb="FFE4EAE7"/>
      </bottom>
    </border>
    <border>
      <left style="thick">
        <color rgb="FF434343"/>
      </left>
      <top style="thin">
        <color rgb="FFE4EAE7"/>
      </top>
      <bottom style="thin">
        <color rgb="FFE4EAE7"/>
      </bottom>
    </border>
    <border>
      <top style="thin">
        <color rgb="FFE4EAE7"/>
      </top>
      <bottom style="thin">
        <color rgb="FFE4EAE7"/>
      </bottom>
    </border>
    <border>
      <right style="thick">
        <color rgb="FF434343"/>
      </right>
      <top style="thin">
        <color rgb="FFE4EAE7"/>
      </top>
      <bottom style="thin">
        <color rgb="FFE4EAE7"/>
      </bottom>
    </border>
    <border>
      <left style="thick">
        <color rgb="FF434343"/>
      </left>
      <top style="thin">
        <color rgb="FFE4EAE7"/>
      </top>
    </border>
    <border>
      <top style="thin">
        <color rgb="FFE4EAE7"/>
      </top>
    </border>
    <border>
      <right style="thin">
        <color rgb="FFE4EAE7"/>
      </right>
      <top style="thin">
        <color rgb="FFE4EAE7"/>
      </top>
    </border>
    <border>
      <left style="thin">
        <color rgb="FFE4EAE7"/>
      </left>
      <right style="thick">
        <color rgb="FF434343"/>
      </right>
      <top style="thin">
        <color rgb="FFE4EAE7"/>
      </top>
    </border>
    <border>
      <right style="thin">
        <color rgb="FFE4EAE7"/>
      </right>
      <top style="medium">
        <color rgb="FF434343"/>
      </top>
      <bottom style="thin">
        <color rgb="FFE4EAE7"/>
      </bottom>
    </border>
    <border>
      <right style="thin">
        <color rgb="FFE4EAE7"/>
      </right>
      <top style="thin">
        <color rgb="FFE4EAE7"/>
      </top>
      <bottom style="thin">
        <color rgb="FFE4EAE7"/>
      </bottom>
    </border>
    <border>
      <left style="thick">
        <color rgb="FF434343"/>
      </left>
      <top style="thin">
        <color rgb="FFE4EAE7"/>
      </top>
      <bottom style="thick">
        <color rgb="FF434343"/>
      </bottom>
    </border>
    <border>
      <top style="thin">
        <color rgb="FFE4EAE7"/>
      </top>
      <bottom style="thick">
        <color rgb="FF434343"/>
      </bottom>
    </border>
    <border>
      <right style="thin">
        <color rgb="FFE4EAE7"/>
      </right>
      <top style="thin">
        <color rgb="FFE4EAE7"/>
      </top>
      <bottom style="thick">
        <color rgb="FF434343"/>
      </bottom>
    </border>
    <border>
      <right style="thick">
        <color rgb="FF434343"/>
      </right>
      <top style="thin">
        <color rgb="FFE4EAE7"/>
      </top>
      <bottom style="thick">
        <color rgb="FF434343"/>
      </bottom>
    </border>
    <border>
      <left style="thick">
        <color rgb="FF3E3A3A"/>
      </left>
      <right style="thin">
        <color rgb="FF506A5E"/>
      </right>
      <bottom style="thin">
        <color rgb="FF506A5E"/>
      </bottom>
    </border>
    <border>
      <left style="thin">
        <color rgb="FF506A5E"/>
      </left>
      <right style="thin">
        <color rgb="FF506A5E"/>
      </right>
      <bottom style="thin">
        <color rgb="FF506A5E"/>
      </bottom>
    </border>
    <border>
      <left style="thin">
        <color rgb="FF506A5E"/>
      </left>
      <top style="thin">
        <color rgb="FF3E3A3A"/>
      </top>
      <bottom style="thin">
        <color rgb="FF506A5E"/>
      </bottom>
    </border>
    <border>
      <left style="medium">
        <color rgb="FF3E3A3A"/>
      </left>
      <right style="thick">
        <color rgb="FF3E3A3A"/>
      </right>
      <bottom style="thin">
        <color rgb="FF506A5E"/>
      </bottom>
    </border>
    <border>
      <left style="thick">
        <color rgb="FF3E3A3A"/>
      </left>
      <right style="thin">
        <color rgb="FF506A5E"/>
      </right>
      <top style="thin">
        <color rgb="FF506A5E"/>
      </top>
      <bottom style="thin">
        <color rgb="FF506A5E"/>
      </bottom>
    </border>
    <border>
      <left style="thin">
        <color rgb="FF506A5E"/>
      </left>
      <right style="thin">
        <color rgb="FF506A5E"/>
      </right>
      <top style="thin">
        <color rgb="FF506A5E"/>
      </top>
      <bottom style="thin">
        <color rgb="FF506A5E"/>
      </bottom>
    </border>
    <border>
      <left style="thin">
        <color rgb="FF506A5E"/>
      </left>
      <top style="thin">
        <color rgb="FF506A5E"/>
      </top>
      <bottom style="thin">
        <color rgb="FF506A5E"/>
      </bottom>
    </border>
    <border>
      <left style="medium">
        <color rgb="FF3E3A3A"/>
      </left>
      <right style="thick">
        <color rgb="FF3E3A3A"/>
      </right>
      <top style="thin">
        <color rgb="FF506A5E"/>
      </top>
      <bottom style="thin">
        <color rgb="FF506A5E"/>
      </bottom>
    </border>
    <border>
      <left style="thick">
        <color rgb="FF3E3A3A"/>
      </left>
      <right style="thin">
        <color rgb="FF506A5E"/>
      </right>
      <top style="thin">
        <color rgb="FF506A5E"/>
      </top>
    </border>
    <border>
      <left style="thin">
        <color rgb="FF506A5E"/>
      </left>
      <right style="thin">
        <color rgb="FF506A5E"/>
      </right>
      <top style="thin">
        <color rgb="FF506A5E"/>
      </top>
    </border>
    <border>
      <left style="thin">
        <color rgb="FF506A5E"/>
      </left>
      <top style="thin">
        <color rgb="FF506A5E"/>
      </top>
    </border>
    <border>
      <left style="medium">
        <color rgb="FF3E3A3A"/>
      </left>
      <right style="thick">
        <color rgb="FF3E3A3A"/>
      </right>
      <top style="thin">
        <color rgb="FF506A5E"/>
      </top>
      <bottom style="medium">
        <color rgb="FF3E3A3A"/>
      </bottom>
    </border>
    <border>
      <left style="thick">
        <color rgb="FF3E3A3A"/>
      </left>
      <right style="thin">
        <color rgb="FFE4EAE7"/>
      </right>
      <top style="thin">
        <color rgb="FFE4EAE7"/>
      </top>
      <bottom style="thick">
        <color rgb="FF3E3A3A"/>
      </bottom>
    </border>
    <border>
      <left style="thin">
        <color rgb="FFE4EAE7"/>
      </left>
      <right style="thin">
        <color rgb="FFE4EAE7"/>
      </right>
      <top style="thin">
        <color rgb="FFE4EAE7"/>
      </top>
      <bottom style="thick">
        <color rgb="FF3E3A3A"/>
      </bottom>
    </border>
    <border>
      <left style="thin">
        <color rgb="FFE4EAE7"/>
      </left>
      <right style="thick">
        <color rgb="FF3E3A3A"/>
      </right>
      <top style="thin">
        <color rgb="FFE4EAE7"/>
      </top>
      <bottom style="thick">
        <color rgb="FF3E3A3A"/>
      </bottom>
    </border>
    <border>
      <left style="thin">
        <color rgb="FFEFEFEF"/>
      </left>
      <right style="thin">
        <color rgb="FFEFEFEF"/>
      </right>
      <top style="thin">
        <color rgb="FFFFFFFF"/>
      </top>
    </border>
    <border>
      <right style="thin">
        <color rgb="FF3E3A3A"/>
      </right>
      <top style="medium">
        <color rgb="FF3E3A3A"/>
      </top>
      <bottom style="thin">
        <color rgb="FF3E3A3A"/>
      </bottom>
    </border>
    <border>
      <left style="thin">
        <color rgb="FF3E3A3A"/>
      </left>
      <right style="thick">
        <color rgb="FF3E3A3A"/>
      </right>
      <top style="medium">
        <color rgb="FF3E3A3A"/>
      </top>
      <bottom style="thin">
        <color rgb="FF3E3A3A"/>
      </bottom>
    </border>
    <border>
      <right style="thin">
        <color rgb="FF3E3A3A"/>
      </right>
      <top style="thin">
        <color rgb="FF3E3A3A"/>
      </top>
      <bottom style="thick">
        <color rgb="FF3E3A3A"/>
      </bottom>
    </border>
    <border>
      <left style="thin">
        <color rgb="FF3E3A3A"/>
      </left>
      <right style="thick">
        <color rgb="FF3E3A3A"/>
      </right>
      <top style="thin">
        <color rgb="FF3E3A3A"/>
      </top>
      <bottom style="thick">
        <color rgb="FF3E3A3A"/>
      </bottom>
    </border>
    <border>
      <left style="thick">
        <color rgb="FF3E3A3A"/>
      </left>
      <right style="thin">
        <color rgb="FFF0FBF9"/>
      </right>
      <bottom style="thin">
        <color rgb="FFF0FBF9"/>
      </bottom>
    </border>
    <border>
      <left style="thin">
        <color rgb="FFF0FBF9"/>
      </left>
      <right style="thin">
        <color rgb="FFF0FBF9"/>
      </right>
      <bottom style="thin">
        <color rgb="FFF0FBF9"/>
      </bottom>
    </border>
    <border>
      <left style="thin">
        <color rgb="FFF0FBF9"/>
      </left>
      <right style="thick">
        <color rgb="FF3E3A3A"/>
      </right>
      <bottom style="thin">
        <color rgb="FFF0FBF9"/>
      </bottom>
    </border>
    <border>
      <left style="thick">
        <color rgb="FF3E3A3A"/>
      </left>
      <right style="thin">
        <color rgb="FFF0FBF9"/>
      </right>
      <top style="thin">
        <color rgb="FFF0FBF9"/>
      </top>
      <bottom style="thin">
        <color rgb="FFF0FBF9"/>
      </bottom>
    </border>
    <border>
      <left style="thin">
        <color rgb="FFF0FBF9"/>
      </left>
      <right style="thin">
        <color rgb="FFF0FBF9"/>
      </right>
      <top style="thin">
        <color rgb="FFF0FBF9"/>
      </top>
      <bottom style="thin">
        <color rgb="FFF0FBF9"/>
      </bottom>
    </border>
    <border>
      <left style="thin">
        <color rgb="FFF0FBF9"/>
      </left>
      <top style="thin">
        <color rgb="FFF0FBF9"/>
      </top>
      <bottom style="thin">
        <color rgb="FFF0FBF9"/>
      </bottom>
    </border>
    <border>
      <top style="thin">
        <color rgb="FFF0FBF9"/>
      </top>
      <bottom style="thin">
        <color rgb="FFF0FBF9"/>
      </bottom>
    </border>
    <border>
      <right style="thin">
        <color rgb="FFF0FBF9"/>
      </right>
      <top style="thin">
        <color rgb="FFF0FBF9"/>
      </top>
      <bottom style="thin">
        <color rgb="FFF0FBF9"/>
      </bottom>
    </border>
    <border>
      <left style="thin">
        <color rgb="FFF0FBF9"/>
      </left>
      <right style="thick">
        <color rgb="FF3E3A3A"/>
      </right>
      <top style="thin">
        <color rgb="FFF0FBF9"/>
      </top>
      <bottom style="thin">
        <color rgb="FFF0FBF9"/>
      </bottom>
    </border>
    <border>
      <left style="thick">
        <color rgb="FF434343"/>
      </left>
      <bottom style="medium">
        <color rgb="FFF0FBF9"/>
      </bottom>
    </border>
    <border>
      <bottom style="medium">
        <color rgb="FFF0FBF9"/>
      </bottom>
    </border>
    <border>
      <right style="thick">
        <color rgb="FF434343"/>
      </right>
      <bottom style="medium">
        <color rgb="FFF0FBF9"/>
      </bottom>
    </border>
    <border>
      <left style="thick">
        <color rgb="FF434343"/>
      </left>
      <top style="medium">
        <color rgb="FFF0FBF9"/>
      </top>
      <bottom style="medium">
        <color rgb="FFF0FBF9"/>
      </bottom>
    </border>
    <border>
      <top style="medium">
        <color rgb="FFF0FBF9"/>
      </top>
      <bottom style="medium">
        <color rgb="FFF0FBF9"/>
      </bottom>
    </border>
    <border>
      <right style="thick">
        <color rgb="FF434343"/>
      </right>
      <top style="medium">
        <color rgb="FFF0FBF9"/>
      </top>
      <bottom style="medium">
        <color rgb="FFF0FBF9"/>
      </bottom>
    </border>
    <border>
      <left style="thick">
        <color rgb="FF434343"/>
      </left>
      <right style="medium">
        <color rgb="FFF0FBF9"/>
      </right>
      <top style="medium">
        <color rgb="FFF0FBF9"/>
      </top>
      <bottom style="medium">
        <color rgb="FFF0FBF9"/>
      </bottom>
    </border>
    <border>
      <left style="medium">
        <color rgb="FFF0FBF9"/>
      </left>
      <right style="medium">
        <color rgb="FFF0FBF9"/>
      </right>
      <top style="medium">
        <color rgb="FFF0FBF9"/>
      </top>
      <bottom style="medium">
        <color rgb="FFF0FBF9"/>
      </bottom>
    </border>
    <border>
      <left style="medium">
        <color rgb="FFF0FBF9"/>
      </left>
      <right style="thick">
        <color rgb="FF434343"/>
      </right>
      <top style="medium">
        <color rgb="FFF0FBF9"/>
      </top>
      <bottom style="medium">
        <color rgb="FFF0FBF9"/>
      </bottom>
    </border>
    <border>
      <left style="medium">
        <color rgb="FFF0FBF9"/>
      </left>
      <top style="medium">
        <color rgb="FFF0FBF9"/>
      </top>
      <bottom style="medium">
        <color rgb="FFF0FBF9"/>
      </bottom>
    </border>
    <border>
      <right style="medium">
        <color rgb="FFF0FBF9"/>
      </right>
      <top style="medium">
        <color rgb="FFF0FBF9"/>
      </top>
      <bottom style="medium">
        <color rgb="FFF0FBF9"/>
      </bottom>
    </border>
    <border>
      <left style="thin">
        <color rgb="FFF0FBF9"/>
      </left>
      <right style="thin">
        <color rgb="FFF0FBF9"/>
      </right>
      <top style="thin">
        <color rgb="FFF0FBF9"/>
      </top>
    </border>
    <border>
      <left style="thick">
        <color rgb="FF434343"/>
      </left>
      <right style="medium">
        <color rgb="FFF0FBF9"/>
      </right>
      <top style="medium">
        <color rgb="FFF0FBF9"/>
      </top>
    </border>
    <border>
      <left style="medium">
        <color rgb="FFF0FBF9"/>
      </left>
      <right style="medium">
        <color rgb="FFF0FBF9"/>
      </right>
      <top style="medium">
        <color rgb="FFF0FBF9"/>
      </top>
    </border>
    <border>
      <left style="medium">
        <color rgb="FFF0FBF9"/>
      </left>
      <right style="thick">
        <color rgb="FF434343"/>
      </right>
      <top style="medium">
        <color rgb="FFF0FBF9"/>
      </top>
    </border>
    <border>
      <left style="thin">
        <color rgb="FFF0FBF9"/>
      </left>
      <right style="thin">
        <color rgb="FFF0FBF9"/>
      </right>
    </border>
    <border>
      <left style="thick">
        <color rgb="FF434343"/>
      </left>
      <top style="medium">
        <color rgb="FF434343"/>
      </top>
      <bottom style="thin">
        <color rgb="FFF0FBF9"/>
      </bottom>
    </border>
    <border>
      <top style="medium">
        <color rgb="FF434343"/>
      </top>
      <bottom style="thin">
        <color rgb="FFF0FBF9"/>
      </bottom>
    </border>
    <border>
      <right style="thick">
        <color rgb="FF434343"/>
      </right>
      <top style="medium">
        <color rgb="FF434343"/>
      </top>
      <bottom style="thin">
        <color rgb="FFF0FBF9"/>
      </bottom>
    </border>
    <border>
      <left style="thick">
        <color rgb="FF434343"/>
      </left>
      <top style="thin">
        <color rgb="FFF0FBF9"/>
      </top>
      <bottom style="thin">
        <color rgb="FFF0FBF9"/>
      </bottom>
    </border>
    <border>
      <right style="thick">
        <color rgb="FF434343"/>
      </right>
      <top style="thin">
        <color rgb="FFF0FBF9"/>
      </top>
      <bottom style="thin">
        <color rgb="FFF0FBF9"/>
      </bottom>
    </border>
    <border>
      <left style="thick">
        <color rgb="FF434343"/>
      </left>
      <top style="thin">
        <color rgb="FFF0FBF9"/>
      </top>
    </border>
    <border>
      <top style="thin">
        <color rgb="FFF0FBF9"/>
      </top>
    </border>
    <border>
      <right style="thin">
        <color rgb="FFF0FBF9"/>
      </right>
      <top style="thin">
        <color rgb="FFF0FBF9"/>
      </top>
    </border>
    <border>
      <left style="thin">
        <color rgb="FFF0FBF9"/>
      </left>
      <right style="thick">
        <color rgb="FF434343"/>
      </right>
      <top style="thin">
        <color rgb="FFF0FBF9"/>
      </top>
    </border>
    <border>
      <right style="thin">
        <color rgb="FFF0FBF9"/>
      </right>
      <top style="medium">
        <color rgb="FF434343"/>
      </top>
      <bottom style="thin">
        <color rgb="FFF0FBF9"/>
      </bottom>
    </border>
    <border>
      <left style="thick">
        <color rgb="FF434343"/>
      </left>
      <top style="thin">
        <color rgb="FFF0FBF9"/>
      </top>
      <bottom style="thick">
        <color rgb="FF434343"/>
      </bottom>
    </border>
    <border>
      <top style="thin">
        <color rgb="FFF0FBF9"/>
      </top>
      <bottom style="thick">
        <color rgb="FF434343"/>
      </bottom>
    </border>
    <border>
      <right style="thin">
        <color rgb="FFF0FBF9"/>
      </right>
      <top style="thin">
        <color rgb="FFF0FBF9"/>
      </top>
      <bottom style="thick">
        <color rgb="FF434343"/>
      </bottom>
    </border>
    <border>
      <right style="thick">
        <color rgb="FF434343"/>
      </right>
      <top style="thin">
        <color rgb="FFF0FBF9"/>
      </top>
      <bottom style="thick">
        <color rgb="FF434343"/>
      </bottom>
    </border>
    <border>
      <left style="thick">
        <color rgb="FF3E3A3A"/>
      </left>
      <right style="thin">
        <color rgb="FF5888B8"/>
      </right>
      <bottom style="thin">
        <color rgb="FF5888B8"/>
      </bottom>
    </border>
    <border>
      <left style="thin">
        <color rgb="FF5888B8"/>
      </left>
      <right style="thin">
        <color rgb="FF5888B8"/>
      </right>
      <bottom style="thin">
        <color rgb="FF5888B8"/>
      </bottom>
    </border>
    <border>
      <left style="thin">
        <color rgb="FF5888B8"/>
      </left>
      <top style="thin">
        <color rgb="FF3E3A3A"/>
      </top>
      <bottom style="thin">
        <color rgb="FF5888B8"/>
      </bottom>
    </border>
    <border>
      <left style="medium">
        <color rgb="FF3E3A3A"/>
      </left>
      <right style="thick">
        <color rgb="FF3E3A3A"/>
      </right>
      <bottom style="thin">
        <color rgb="FF5888B8"/>
      </bottom>
    </border>
    <border>
      <left style="thick">
        <color rgb="FF3E3A3A"/>
      </left>
      <right style="thin">
        <color rgb="FF5888B8"/>
      </right>
      <top style="thin">
        <color rgb="FF5888B8"/>
      </top>
      <bottom style="thin">
        <color rgb="FF5888B8"/>
      </bottom>
    </border>
    <border>
      <left style="thin">
        <color rgb="FF5888B8"/>
      </left>
      <right style="thin">
        <color rgb="FF5888B8"/>
      </right>
      <top style="thin">
        <color rgb="FF5888B8"/>
      </top>
      <bottom style="thin">
        <color rgb="FF5888B8"/>
      </bottom>
    </border>
    <border>
      <left style="thin">
        <color rgb="FF5888B8"/>
      </left>
      <top style="thin">
        <color rgb="FF5888B8"/>
      </top>
      <bottom style="thin">
        <color rgb="FF5888B8"/>
      </bottom>
    </border>
    <border>
      <left style="medium">
        <color rgb="FF3E3A3A"/>
      </left>
      <right style="thick">
        <color rgb="FF3E3A3A"/>
      </right>
      <top style="thin">
        <color rgb="FF5888B8"/>
      </top>
      <bottom style="thin">
        <color rgb="FF5888B8"/>
      </bottom>
    </border>
    <border>
      <left style="thick">
        <color rgb="FF3E3A3A"/>
      </left>
      <right style="thin">
        <color rgb="FF5888B8"/>
      </right>
      <top style="thin">
        <color rgb="FF5888B8"/>
      </top>
    </border>
    <border>
      <left style="thin">
        <color rgb="FF5888B8"/>
      </left>
      <right style="thin">
        <color rgb="FF5888B8"/>
      </right>
      <top style="thin">
        <color rgb="FF5888B8"/>
      </top>
    </border>
    <border>
      <left style="thin">
        <color rgb="FF5888B8"/>
      </left>
      <top style="thin">
        <color rgb="FF5888B8"/>
      </top>
    </border>
    <border>
      <left style="medium">
        <color rgb="FF3E3A3A"/>
      </left>
      <right style="thick">
        <color rgb="FF3E3A3A"/>
      </right>
      <top style="thin">
        <color rgb="FF5888B8"/>
      </top>
      <bottom style="medium">
        <color rgb="FF3E3A3A"/>
      </bottom>
    </border>
    <border>
      <left style="thick">
        <color rgb="FF3E3A3A"/>
      </left>
      <right style="thin">
        <color rgb="FFF0FBF9"/>
      </right>
      <top style="thin">
        <color rgb="FFF0FBF9"/>
      </top>
      <bottom style="thick">
        <color rgb="FF3E3A3A"/>
      </bottom>
    </border>
    <border>
      <left style="thin">
        <color rgb="FFF0FBF9"/>
      </left>
      <right style="thin">
        <color rgb="FFF0FBF9"/>
      </right>
      <top style="thin">
        <color rgb="FFF0FBF9"/>
      </top>
      <bottom style="thick">
        <color rgb="FF3E3A3A"/>
      </bottom>
    </border>
    <border>
      <left style="thin">
        <color rgb="FFF0FBF9"/>
      </left>
      <right style="thin">
        <color rgb="FFF0FBF9"/>
      </right>
      <bottom style="thick">
        <color rgb="FF3E3A3A"/>
      </bottom>
    </border>
    <border>
      <left style="thin">
        <color rgb="FFF0FBF9"/>
      </left>
      <right style="thick">
        <color rgb="FF3E3A3A"/>
      </right>
      <top style="thin">
        <color rgb="FFF0FBF9"/>
      </top>
      <bottom style="thick">
        <color rgb="FF3E3A3A"/>
      </bottom>
    </border>
    <border>
      <right style="thin">
        <color rgb="FFEBECFC"/>
      </right>
      <top style="thin">
        <color rgb="FFEBECFC"/>
      </top>
      <bottom style="thin">
        <color rgb="FFEBECFC"/>
      </bottom>
    </border>
    <border>
      <left style="thick">
        <color rgb="FF434343"/>
      </left>
      <bottom style="medium">
        <color rgb="FFEBECFC"/>
      </bottom>
    </border>
    <border>
      <bottom style="medium">
        <color rgb="FFEBECFC"/>
      </bottom>
    </border>
    <border>
      <right style="thick">
        <color rgb="FF434343"/>
      </right>
      <bottom style="medium">
        <color rgb="FFEBECFC"/>
      </bottom>
    </border>
    <border>
      <left style="thick">
        <color rgb="FF434343"/>
      </left>
      <top style="medium">
        <color rgb="FFEBECFC"/>
      </top>
      <bottom style="medium">
        <color rgb="FFEBECFC"/>
      </bottom>
    </border>
    <border>
      <top style="medium">
        <color rgb="FFEBECFC"/>
      </top>
      <bottom style="medium">
        <color rgb="FFEBECFC"/>
      </bottom>
    </border>
    <border>
      <right style="thick">
        <color rgb="FF434343"/>
      </right>
      <top style="medium">
        <color rgb="FFEBECFC"/>
      </top>
      <bottom style="medium">
        <color rgb="FFEBECFC"/>
      </bottom>
    </border>
    <border>
      <left style="thick">
        <color rgb="FF434343"/>
      </left>
      <right style="medium">
        <color rgb="FFEBECFC"/>
      </right>
      <top style="medium">
        <color rgb="FFEBECFC"/>
      </top>
      <bottom style="medium">
        <color rgb="FFEBECFC"/>
      </bottom>
    </border>
    <border>
      <left style="medium">
        <color rgb="FFEBECFC"/>
      </left>
      <right style="medium">
        <color rgb="FFEBECFC"/>
      </right>
      <top style="medium">
        <color rgb="FFEBECFC"/>
      </top>
      <bottom style="medium">
        <color rgb="FFEBECFC"/>
      </bottom>
    </border>
    <border>
      <left style="medium">
        <color rgb="FFEBECFC"/>
      </left>
      <right style="thick">
        <color rgb="FF434343"/>
      </right>
      <top style="medium">
        <color rgb="FFEBECFC"/>
      </top>
      <bottom style="medium">
        <color rgb="FFEBECFC"/>
      </bottom>
    </border>
    <border>
      <right style="thin">
        <color rgb="FFEBECFC"/>
      </right>
      <top style="medium">
        <color rgb="FF434343"/>
      </top>
      <bottom style="thin">
        <color rgb="FFEBECFC"/>
      </bottom>
    </border>
    <border>
      <right style="thick">
        <color rgb="FF434343"/>
      </right>
      <top style="thin">
        <color rgb="FFEBECFC"/>
      </top>
      <bottom style="thick">
        <color rgb="FF434343"/>
      </bottom>
    </border>
    <border>
      <right style="thin">
        <color rgb="FFEBECFC"/>
      </right>
      <top style="thin">
        <color rgb="FFEBECFC"/>
      </top>
      <bottom style="thick">
        <color rgb="FF434343"/>
      </bottom>
    </border>
    <border>
      <left style="thick">
        <color rgb="FF3E3A3A"/>
      </left>
      <right style="thin">
        <color rgb="FFC48BC2"/>
      </right>
      <bottom style="thin">
        <color rgb="FFC48BC2"/>
      </bottom>
    </border>
    <border>
      <left style="thin">
        <color rgb="FFC48BC2"/>
      </left>
      <right style="thin">
        <color rgb="FFC48BC2"/>
      </right>
      <bottom style="thin">
        <color rgb="FFC48BC2"/>
      </bottom>
    </border>
    <border>
      <left style="thin">
        <color rgb="FFC48BC2"/>
      </left>
      <top style="thin">
        <color rgb="FF3E3A3A"/>
      </top>
      <bottom style="thin">
        <color rgb="FFC48BC2"/>
      </bottom>
    </border>
    <border>
      <left style="medium">
        <color rgb="FF3E3A3A"/>
      </left>
      <right style="thick">
        <color rgb="FF3E3A3A"/>
      </right>
      <bottom style="thin">
        <color rgb="FFC48BC2"/>
      </bottom>
    </border>
    <border>
      <left style="thick">
        <color rgb="FF3E3A3A"/>
      </left>
      <right style="thin">
        <color rgb="FFC48BC2"/>
      </right>
      <top style="thin">
        <color rgb="FFC48BC2"/>
      </top>
      <bottom style="thin">
        <color rgb="FFC48BC2"/>
      </bottom>
    </border>
    <border>
      <left style="thin">
        <color rgb="FFC48BC2"/>
      </left>
      <right style="thin">
        <color rgb="FFC48BC2"/>
      </right>
      <top style="thin">
        <color rgb="FFC48BC2"/>
      </top>
      <bottom style="thin">
        <color rgb="FFC48BC2"/>
      </bottom>
    </border>
    <border>
      <left style="thin">
        <color rgb="FFC48BC2"/>
      </left>
      <top style="thin">
        <color rgb="FFC48BC2"/>
      </top>
      <bottom style="thin">
        <color rgb="FFC48BC2"/>
      </bottom>
    </border>
    <border>
      <left style="medium">
        <color rgb="FF3E3A3A"/>
      </left>
      <right style="thick">
        <color rgb="FF3E3A3A"/>
      </right>
      <top style="thin">
        <color rgb="FFC48BC2"/>
      </top>
      <bottom style="thin">
        <color rgb="FFC48BC2"/>
      </bottom>
    </border>
    <border>
      <left style="thick">
        <color rgb="FF3E3A3A"/>
      </left>
      <right style="thin">
        <color rgb="FFC48BC2"/>
      </right>
      <top style="thin">
        <color rgb="FFC48BC2"/>
      </top>
    </border>
    <border>
      <left style="thin">
        <color rgb="FFC48BC2"/>
      </left>
      <right style="thin">
        <color rgb="FFC48BC2"/>
      </right>
      <top style="thin">
        <color rgb="FFC48BC2"/>
      </top>
    </border>
    <border>
      <left style="thin">
        <color rgb="FFC48BC2"/>
      </left>
      <top style="thin">
        <color rgb="FFC48BC2"/>
      </top>
    </border>
    <border>
      <left style="medium">
        <color rgb="FF3E3A3A"/>
      </left>
      <right style="thick">
        <color rgb="FF3E3A3A"/>
      </right>
      <top style="thin">
        <color rgb="FFC48BC2"/>
      </top>
      <bottom style="medium">
        <color rgb="FF3E3A3A"/>
      </bottom>
    </border>
    <border>
      <left style="thick">
        <color rgb="FF3E3A3A"/>
      </left>
      <right style="thin">
        <color rgb="FFC6D6DE"/>
      </right>
      <bottom style="thin">
        <color rgb="FFC6D6DE"/>
      </bottom>
    </border>
    <border>
      <left style="thin">
        <color rgb="FFC6D6DE"/>
      </left>
      <right style="thin">
        <color rgb="FFC6D6DE"/>
      </right>
      <bottom style="thin">
        <color rgb="FFC6D6DE"/>
      </bottom>
    </border>
    <border>
      <left style="thin">
        <color rgb="FFC6D6DE"/>
      </left>
      <right style="thick">
        <color rgb="FF3E3A3A"/>
      </right>
      <bottom style="thin">
        <color rgb="FFC6D6DE"/>
      </bottom>
    </border>
    <border>
      <left style="thick">
        <color rgb="FF3E3A3A"/>
      </left>
      <right style="thin">
        <color rgb="FFC6D6DE"/>
      </right>
      <top style="thin">
        <color rgb="FFC6D6DE"/>
      </top>
      <bottom style="thin">
        <color rgb="FFC6D6DE"/>
      </bottom>
    </border>
    <border>
      <left style="thin">
        <color rgb="FFC6D6DE"/>
      </left>
      <right style="thin">
        <color rgb="FFC6D6DE"/>
      </right>
      <top style="thin">
        <color rgb="FFC6D6DE"/>
      </top>
      <bottom style="thin">
        <color rgb="FFC6D6DE"/>
      </bottom>
    </border>
    <border>
      <left style="thin">
        <color rgb="FFC6D6DE"/>
      </left>
      <top style="thin">
        <color rgb="FFC6D6DE"/>
      </top>
      <bottom style="thin">
        <color rgb="FFC6D6DE"/>
      </bottom>
    </border>
    <border>
      <top style="thin">
        <color rgb="FFC6D6DE"/>
      </top>
      <bottom style="thin">
        <color rgb="FFC6D6DE"/>
      </bottom>
    </border>
    <border>
      <right style="thin">
        <color rgb="FFC6D6DE"/>
      </right>
      <top style="thin">
        <color rgb="FFC6D6DE"/>
      </top>
      <bottom style="thin">
        <color rgb="FFC6D6DE"/>
      </bottom>
    </border>
    <border>
      <left style="thin">
        <color rgb="FFC6D6DE"/>
      </left>
      <right style="thick">
        <color rgb="FF3E3A3A"/>
      </right>
      <top style="thin">
        <color rgb="FFC6D6DE"/>
      </top>
      <bottom style="thin">
        <color rgb="FFC6D6DE"/>
      </bottom>
    </border>
    <border>
      <left style="thick">
        <color rgb="FF434343"/>
      </left>
      <bottom style="medium">
        <color rgb="FFC6D6DE"/>
      </bottom>
    </border>
    <border>
      <bottom style="medium">
        <color rgb="FFC6D6DE"/>
      </bottom>
    </border>
    <border>
      <right style="thick">
        <color rgb="FF434343"/>
      </right>
      <bottom style="medium">
        <color rgb="FFC6D6DE"/>
      </bottom>
    </border>
    <border>
      <left style="thick">
        <color rgb="FF434343"/>
      </left>
      <top style="medium">
        <color rgb="FFC6D6DE"/>
      </top>
      <bottom style="medium">
        <color rgb="FFC6D6DE"/>
      </bottom>
    </border>
    <border>
      <top style="medium">
        <color rgb="FFC6D6DE"/>
      </top>
      <bottom style="medium">
        <color rgb="FFC6D6DE"/>
      </bottom>
    </border>
    <border>
      <right style="thick">
        <color rgb="FF434343"/>
      </right>
      <top style="medium">
        <color rgb="FFC6D6DE"/>
      </top>
      <bottom style="medium">
        <color rgb="FFC6D6DE"/>
      </bottom>
    </border>
    <border>
      <left style="thick">
        <color rgb="FF434343"/>
      </left>
      <right style="medium">
        <color rgb="FFC6D6DE"/>
      </right>
      <top style="medium">
        <color rgb="FFC6D6DE"/>
      </top>
      <bottom style="medium">
        <color rgb="FFC6D6DE"/>
      </bottom>
    </border>
    <border>
      <left style="medium">
        <color rgb="FFC6D6DE"/>
      </left>
      <right style="medium">
        <color rgb="FFC6D6DE"/>
      </right>
      <top style="medium">
        <color rgb="FFC6D6DE"/>
      </top>
      <bottom style="medium">
        <color rgb="FFC6D6DE"/>
      </bottom>
    </border>
    <border>
      <left style="medium">
        <color rgb="FFC6D6DE"/>
      </left>
      <right style="thick">
        <color rgb="FF434343"/>
      </right>
      <top style="medium">
        <color rgb="FFC6D6DE"/>
      </top>
      <bottom style="medium">
        <color rgb="FFC6D6DE"/>
      </bottom>
    </border>
    <border>
      <left style="medium">
        <color rgb="FFC6D6DE"/>
      </left>
      <top style="medium">
        <color rgb="FFC6D6DE"/>
      </top>
      <bottom style="medium">
        <color rgb="FFC6D6DE"/>
      </bottom>
    </border>
    <border>
      <right style="medium">
        <color rgb="FFC6D6DE"/>
      </right>
      <top style="medium">
        <color rgb="FFC6D6DE"/>
      </top>
      <bottom style="medium">
        <color rgb="FFC6D6DE"/>
      </bottom>
    </border>
    <border>
      <left style="thin">
        <color rgb="FFC6D6DE"/>
      </left>
      <right style="thin">
        <color rgb="FFC6D6DE"/>
      </right>
      <top style="thin">
        <color rgb="FFC6D6DE"/>
      </top>
    </border>
    <border>
      <left style="thick">
        <color rgb="FF434343"/>
      </left>
      <right style="medium">
        <color rgb="FFC6D6DE"/>
      </right>
      <top style="medium">
        <color rgb="FFC6D6DE"/>
      </top>
    </border>
    <border>
      <left style="medium">
        <color rgb="FFC6D6DE"/>
      </left>
      <right style="medium">
        <color rgb="FFC6D6DE"/>
      </right>
      <top style="medium">
        <color rgb="FFC6D6DE"/>
      </top>
    </border>
    <border>
      <left style="medium">
        <color rgb="FFC6D6DE"/>
      </left>
      <right style="thick">
        <color rgb="FF434343"/>
      </right>
      <top style="medium">
        <color rgb="FFC6D6DE"/>
      </top>
    </border>
    <border>
      <left style="thick">
        <color rgb="FF434343"/>
      </left>
      <top style="medium">
        <color rgb="FF434343"/>
      </top>
      <bottom style="thin">
        <color rgb="FFC6D6DE"/>
      </bottom>
    </border>
    <border>
      <top style="medium">
        <color rgb="FF434343"/>
      </top>
      <bottom style="thin">
        <color rgb="FFC6D6DE"/>
      </bottom>
    </border>
    <border>
      <right style="thick">
        <color rgb="FF434343"/>
      </right>
      <top style="medium">
        <color rgb="FF434343"/>
      </top>
      <bottom style="thin">
        <color rgb="FFC6D6DE"/>
      </bottom>
    </border>
    <border>
      <left style="thick">
        <color rgb="FF434343"/>
      </left>
      <top style="thin">
        <color rgb="FFC6D6DE"/>
      </top>
      <bottom style="thin">
        <color rgb="FFC6D6DE"/>
      </bottom>
    </border>
    <border>
      <right style="thick">
        <color rgb="FF434343"/>
      </right>
      <top style="thin">
        <color rgb="FFC6D6DE"/>
      </top>
      <bottom style="thin">
        <color rgb="FFC6D6DE"/>
      </bottom>
    </border>
    <border>
      <left style="thick">
        <color rgb="FF434343"/>
      </left>
      <top style="thin">
        <color rgb="FFC6D6DE"/>
      </top>
    </border>
    <border>
      <top style="thin">
        <color rgb="FFC6D6DE"/>
      </top>
    </border>
    <border>
      <right style="thin">
        <color rgb="FFC6D6DE"/>
      </right>
      <top style="thin">
        <color rgb="FFC6D6DE"/>
      </top>
    </border>
    <border>
      <left style="thin">
        <color rgb="FFC6D6DE"/>
      </left>
      <right style="thick">
        <color rgb="FF434343"/>
      </right>
      <top style="thin">
        <color rgb="FFC6D6DE"/>
      </top>
    </border>
    <border>
      <right style="thin">
        <color rgb="FFC6D6DE"/>
      </right>
      <top style="medium">
        <color rgb="FF434343"/>
      </top>
      <bottom style="thin">
        <color rgb="FFC6D6DE"/>
      </bottom>
    </border>
    <border>
      <left style="thin">
        <color rgb="FFC6D6DE"/>
      </left>
      <right style="thick">
        <color rgb="FF434343"/>
      </right>
      <top style="medium">
        <color rgb="FF434343"/>
      </top>
      <bottom style="thin">
        <color rgb="FFC6D6DE"/>
      </bottom>
    </border>
    <border>
      <left style="thin">
        <color rgb="FFC6D6DE"/>
      </left>
      <right style="thick">
        <color rgb="FF434343"/>
      </right>
      <top style="thin">
        <color rgb="FFC6D6DE"/>
      </top>
      <bottom style="thin">
        <color rgb="FFC6D6DE"/>
      </bottom>
    </border>
    <border>
      <left style="thick">
        <color rgb="FF434343"/>
      </left>
      <top style="thin">
        <color rgb="FFC6D6DE"/>
      </top>
      <bottom style="thick">
        <color rgb="FF434343"/>
      </bottom>
    </border>
    <border>
      <top style="thin">
        <color rgb="FFC6D6DE"/>
      </top>
      <bottom style="thick">
        <color rgb="FF434343"/>
      </bottom>
    </border>
    <border>
      <right style="thin">
        <color rgb="FFC6D6DE"/>
      </right>
      <top style="thin">
        <color rgb="FFC6D6DE"/>
      </top>
      <bottom style="thick">
        <color rgb="FF434343"/>
      </bottom>
    </border>
    <border>
      <left style="thin">
        <color rgb="FFC6D6DE"/>
      </left>
      <right style="thick">
        <color rgb="FF434343"/>
      </right>
      <top style="thin">
        <color rgb="FFC6D6DE"/>
      </top>
      <bottom style="thick">
        <color rgb="FF434343"/>
      </bottom>
    </border>
    <border>
      <left style="thick">
        <color rgb="FF3E3A3A"/>
      </left>
      <right style="thin">
        <color rgb="FF68AAC8"/>
      </right>
      <bottom style="thin">
        <color rgb="FF68AAC8"/>
      </bottom>
    </border>
    <border>
      <left style="thin">
        <color rgb="FF68AAC8"/>
      </left>
      <right style="thin">
        <color rgb="FF68AAC8"/>
      </right>
      <bottom style="thin">
        <color rgb="FF68AAC8"/>
      </bottom>
    </border>
    <border>
      <left style="thin">
        <color rgb="FF68AAC8"/>
      </left>
      <top style="thin">
        <color rgb="FF3E3A3A"/>
      </top>
      <bottom style="thin">
        <color rgb="FF68AAC8"/>
      </bottom>
    </border>
    <border>
      <left style="medium">
        <color rgb="FF3E3A3A"/>
      </left>
      <right style="thick">
        <color rgb="FF3E3A3A"/>
      </right>
      <bottom style="thin">
        <color rgb="FF68AAC8"/>
      </bottom>
    </border>
    <border>
      <left style="thick">
        <color rgb="FF3E3A3A"/>
      </left>
      <right style="thin">
        <color rgb="FF68AAC8"/>
      </right>
      <top style="thin">
        <color rgb="FF68AAC8"/>
      </top>
      <bottom style="thin">
        <color rgb="FF68AAC8"/>
      </bottom>
    </border>
    <border>
      <left style="thin">
        <color rgb="FF68AAC8"/>
      </left>
      <right style="thin">
        <color rgb="FF68AAC8"/>
      </right>
      <top style="thin">
        <color rgb="FF68AAC8"/>
      </top>
      <bottom style="thin">
        <color rgb="FF68AAC8"/>
      </bottom>
    </border>
    <border>
      <left style="thin">
        <color rgb="FF68AAC8"/>
      </left>
      <top style="thin">
        <color rgb="FF68AAC8"/>
      </top>
      <bottom style="thin">
        <color rgb="FF68AAC8"/>
      </bottom>
    </border>
    <border>
      <left style="medium">
        <color rgb="FF3E3A3A"/>
      </left>
      <right style="thick">
        <color rgb="FF3E3A3A"/>
      </right>
      <top style="thin">
        <color rgb="FF68AAC8"/>
      </top>
      <bottom style="thin">
        <color rgb="FF68AAC8"/>
      </bottom>
    </border>
    <border>
      <left style="thick">
        <color rgb="FF3E3A3A"/>
      </left>
      <right style="thin">
        <color rgb="FF68AAC8"/>
      </right>
      <top style="thin">
        <color rgb="FF68AAC8"/>
      </top>
    </border>
    <border>
      <left style="thin">
        <color rgb="FF68AAC8"/>
      </left>
      <right style="thin">
        <color rgb="FF68AAC8"/>
      </right>
      <top style="thin">
        <color rgb="FF68AAC8"/>
      </top>
    </border>
    <border>
      <left style="thin">
        <color rgb="FF68AAC8"/>
      </left>
      <top style="thin">
        <color rgb="FF68AAC8"/>
      </top>
    </border>
    <border>
      <left style="medium">
        <color rgb="FF3E3A3A"/>
      </left>
      <right style="thick">
        <color rgb="FF3E3A3A"/>
      </right>
      <top style="thin">
        <color rgb="FF68AAC8"/>
      </top>
      <bottom style="medium">
        <color rgb="FF3E3A3A"/>
      </bottom>
    </border>
    <border>
      <left style="thick">
        <color rgb="FF3E3A3A"/>
      </left>
      <right style="thin">
        <color rgb="FFC6D6DE"/>
      </right>
      <top style="thin">
        <color rgb="FFC6D6DE"/>
      </top>
    </border>
    <border>
      <left style="thin">
        <color rgb="FFC6D6DE"/>
      </left>
      <top style="thin">
        <color rgb="FFC6D6DE"/>
      </top>
    </border>
    <border>
      <left style="thin">
        <color rgb="FFC6D6DE"/>
      </left>
      <right style="thick">
        <color rgb="FF3E3A3A"/>
      </right>
      <top style="thin">
        <color rgb="FFC6D6DE"/>
      </top>
    </border>
    <border>
      <left style="thick">
        <color rgb="FF3E3A3A"/>
      </left>
      <right style="thin">
        <color rgb="FFC6D6DE"/>
      </right>
      <top style="thin">
        <color rgb="FFC6D6DE"/>
      </top>
      <bottom style="thick">
        <color rgb="FF3E3A3A"/>
      </bottom>
    </border>
    <border>
      <left style="thin">
        <color rgb="FFC6D6DE"/>
      </left>
      <right style="thin">
        <color rgb="FFC6D6DE"/>
      </right>
      <top style="thin">
        <color rgb="FFC6D6DE"/>
      </top>
      <bottom style="thick">
        <color rgb="FF3E3A3A"/>
      </bottom>
    </border>
    <border>
      <left style="thin">
        <color rgb="FFC6D6DE"/>
      </left>
      <right style="thin">
        <color rgb="FFC6D6DE"/>
      </right>
      <bottom style="thick">
        <color rgb="FF3E3A3A"/>
      </bottom>
    </border>
    <border>
      <left style="thin">
        <color rgb="FFC6D6DE"/>
      </left>
      <right style="thick">
        <color rgb="FF3E3A3A"/>
      </right>
      <top style="thin">
        <color rgb="FFC6D6DE"/>
      </top>
      <bottom style="thick">
        <color rgb="FF3E3A3A"/>
      </bottom>
    </border>
    <border>
      <left style="thin">
        <color rgb="FFC6D6DE"/>
      </left>
      <right style="thin">
        <color rgb="FFC6D6DE"/>
      </right>
    </border>
    <border>
      <left style="medium">
        <color rgb="FFEBECFC"/>
      </left>
      <top style="medium">
        <color rgb="FFEBECFC"/>
      </top>
      <bottom style="medium">
        <color rgb="FFEBECFC"/>
      </bottom>
    </border>
    <border>
      <right style="medium">
        <color rgb="FFEBECFC"/>
      </right>
      <top style="medium">
        <color rgb="FFEBECFC"/>
      </top>
      <bottom style="medium">
        <color rgb="FFEBECFC"/>
      </bottom>
    </border>
    <border>
      <left style="medium">
        <color rgb="FF3E3A3A"/>
      </left>
      <right style="thick">
        <color rgb="FF3E3A3A"/>
      </right>
      <top style="thin">
        <color rgb="FF434343"/>
      </top>
      <bottom style="thick">
        <color rgb="FF3E3A3A"/>
      </bottom>
    </border>
    <border>
      <left style="medium">
        <color rgb="FF3E3A3A"/>
      </left>
      <bottom style="thick">
        <color rgb="FF3E3A3A"/>
      </bottom>
    </border>
    <border>
      <left style="thick">
        <color rgb="FF3E3A3A"/>
      </left>
      <right style="thin">
        <color rgb="FFFFFFFF"/>
      </right>
    </border>
    <border>
      <left style="thin">
        <color rgb="FFFFFFFF"/>
      </left>
      <right style="thick">
        <color rgb="FF3E3A3A"/>
      </right>
    </border>
    <border>
      <left style="thick">
        <color rgb="FF434343"/>
      </left>
      <bottom style="medium">
        <color rgb="FFFFFFFF"/>
      </bottom>
    </border>
    <border>
      <bottom style="medium">
        <color rgb="FFFFFFFF"/>
      </bottom>
    </border>
    <border>
      <right style="thick">
        <color rgb="FF434343"/>
      </right>
      <bottom style="medium">
        <color rgb="FFFFFFFF"/>
      </bottom>
    </border>
    <border>
      <left style="thick">
        <color rgb="FF434343"/>
      </left>
      <top style="medium">
        <color rgb="FFFFFFFF"/>
      </top>
      <bottom style="medium">
        <color rgb="FFFFFFFF"/>
      </bottom>
    </border>
    <border>
      <top style="medium">
        <color rgb="FFFFFFFF"/>
      </top>
      <bottom style="medium">
        <color rgb="FFFFFFFF"/>
      </bottom>
    </border>
    <border>
      <right style="thick">
        <color rgb="FF434343"/>
      </right>
      <top style="medium">
        <color rgb="FFFFFFFF"/>
      </top>
      <bottom style="medium">
        <color rgb="FFFFFFFF"/>
      </bottom>
    </border>
    <border>
      <left style="thick">
        <color rgb="FF434343"/>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style="medium">
        <color rgb="FFFFFFFF"/>
      </left>
      <right style="thick">
        <color rgb="FF434343"/>
      </right>
      <top style="medium">
        <color rgb="FFFFFFFF"/>
      </top>
      <bottom style="medium">
        <color rgb="FFFFFFFF"/>
      </bottom>
    </border>
    <border>
      <left style="medium">
        <color rgb="FFFFFFFF"/>
      </left>
      <top style="medium">
        <color rgb="FFFFFFFF"/>
      </top>
      <bottom style="medium">
        <color rgb="FFFFFFFF"/>
      </bottom>
    </border>
    <border>
      <right style="medium">
        <color rgb="FFFFFFFF"/>
      </right>
      <top style="medium">
        <color rgb="FFFFFFFF"/>
      </top>
      <bottom style="medium">
        <color rgb="FFFFFFFF"/>
      </bottom>
    </border>
    <border>
      <left style="thick">
        <color rgb="FF434343"/>
      </left>
      <right style="medium">
        <color rgb="FFFFFFFF"/>
      </right>
      <top style="medium">
        <color rgb="FFFFFFFF"/>
      </top>
    </border>
    <border>
      <left style="medium">
        <color rgb="FFFFFFFF"/>
      </left>
      <right style="medium">
        <color rgb="FFFFFFFF"/>
      </right>
      <top style="medium">
        <color rgb="FFFFFFFF"/>
      </top>
    </border>
    <border>
      <left style="medium">
        <color rgb="FFFFFFFF"/>
      </left>
      <right style="thick">
        <color rgb="FF434343"/>
      </right>
      <top style="medium">
        <color rgb="FFFFFFFF"/>
      </top>
    </border>
    <border>
      <left style="thick">
        <color rgb="FF434343"/>
      </left>
      <top style="medium">
        <color rgb="FF434343"/>
      </top>
      <bottom style="thin">
        <color rgb="FFFFFFFF"/>
      </bottom>
    </border>
    <border>
      <top style="medium">
        <color rgb="FF434343"/>
      </top>
      <bottom style="thin">
        <color rgb="FFFFFFFF"/>
      </bottom>
    </border>
    <border>
      <right style="thick">
        <color rgb="FF434343"/>
      </right>
      <top style="medium">
        <color rgb="FF434343"/>
      </top>
      <bottom style="thin">
        <color rgb="FFFFFFFF"/>
      </bottom>
    </border>
    <border>
      <left style="thin">
        <color rgb="FFFFFFFF"/>
      </left>
      <right style="thin">
        <color rgb="FFFFFFFF"/>
      </right>
      <top style="thin">
        <color rgb="FFFFFFFF"/>
      </top>
      <bottom style="thin">
        <color rgb="FFFFFFFF"/>
      </bottom>
    </border>
    <border>
      <left style="thick">
        <color rgb="FF434343"/>
      </left>
      <top style="thin">
        <color rgb="FFFFFFFF"/>
      </top>
      <bottom style="thin">
        <color rgb="FFFFFFFF"/>
      </bottom>
    </border>
    <border>
      <right style="thick">
        <color rgb="FF434343"/>
      </right>
      <top style="thin">
        <color rgb="FFFFFFFF"/>
      </top>
      <bottom style="thin">
        <color rgb="FFFFFFFF"/>
      </bottom>
    </border>
    <border>
      <left style="thick">
        <color rgb="FF434343"/>
      </left>
      <top style="thin">
        <color rgb="FFFFFFFF"/>
      </top>
    </border>
    <border>
      <left style="thin">
        <color rgb="FFFFFFFF"/>
      </left>
      <right style="thick">
        <color rgb="FF434343"/>
      </right>
      <top style="thin">
        <color rgb="FFFFFFFF"/>
      </top>
    </border>
    <border>
      <right style="thin">
        <color rgb="FFFFFFFF"/>
      </right>
      <top style="medium">
        <color rgb="FF434343"/>
      </top>
      <bottom style="thin">
        <color rgb="FFFFFFFF"/>
      </bottom>
    </border>
    <border>
      <left style="thin">
        <color rgb="FFFFFFFF"/>
      </left>
      <right style="thick">
        <color rgb="FF434343"/>
      </right>
      <top style="medium">
        <color rgb="FF434343"/>
      </top>
      <bottom style="thin">
        <color rgb="FFFFFFFF"/>
      </bottom>
    </border>
    <border>
      <right style="thin">
        <color rgb="FFFFFFFF"/>
      </right>
      <top style="thin">
        <color rgb="FFFFFFFF"/>
      </top>
      <bottom style="thin">
        <color rgb="FFFFFFFF"/>
      </bottom>
    </border>
    <border>
      <left style="thin">
        <color rgb="FFFFFFFF"/>
      </left>
      <right style="thick">
        <color rgb="FF434343"/>
      </right>
      <top style="thin">
        <color rgb="FFFFFFFF"/>
      </top>
      <bottom style="thin">
        <color rgb="FFFFFFFF"/>
      </bottom>
    </border>
    <border>
      <left style="thick">
        <color rgb="FF3E3A3A"/>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ck">
        <color rgb="FF434343"/>
      </left>
      <top style="thin">
        <color rgb="FFFFFFFF"/>
      </top>
      <bottom style="thick">
        <color rgb="FF434343"/>
      </bottom>
    </border>
    <border>
      <top style="thin">
        <color rgb="FFFFFFFF"/>
      </top>
      <bottom style="thick">
        <color rgb="FF434343"/>
      </bottom>
    </border>
    <border>
      <right style="thin">
        <color rgb="FFFFFFFF"/>
      </right>
      <top style="thin">
        <color rgb="FFFFFFFF"/>
      </top>
      <bottom style="thick">
        <color rgb="FF434343"/>
      </bottom>
    </border>
    <border>
      <left style="thin">
        <color rgb="FFFFFFFF"/>
      </left>
      <right style="thick">
        <color rgb="FF434343"/>
      </right>
      <top style="thin">
        <color rgb="FFFFFFFF"/>
      </top>
      <bottom style="thick">
        <color rgb="FF434343"/>
      </bottom>
    </border>
    <border>
      <left style="thin">
        <color rgb="FFFFFFFF"/>
      </left>
      <right style="thin">
        <color rgb="FFFFFFFF"/>
      </right>
      <top style="thin">
        <color rgb="FFD9D9D9"/>
      </top>
      <bottom style="thin">
        <color rgb="FFD9D9D9"/>
      </bottom>
    </border>
    <border>
      <left style="thin">
        <color rgb="FFFFFFFF"/>
      </left>
      <right style="thin">
        <color rgb="FFFFFFFF"/>
      </right>
      <top style="thin">
        <color rgb="FFD9D9D9"/>
      </top>
      <bottom style="thin">
        <color rgb="FFFFFFFF"/>
      </bottom>
    </border>
    <border>
      <left style="thin">
        <color rgb="FFFFFFFF"/>
      </left>
      <right style="thin">
        <color rgb="FFFFFFFF"/>
      </right>
      <top style="thin">
        <color rgb="FFD9D9D9"/>
      </top>
    </border>
    <border>
      <left style="thin">
        <color rgb="FFFFFFFF"/>
      </left>
      <right style="thick">
        <color rgb="FF3E3A3A"/>
      </right>
      <top style="thin">
        <color rgb="FFD9D9D9"/>
      </top>
      <bottom style="thin">
        <color rgb="FFFFFFFF"/>
      </bottom>
    </border>
    <border>
      <left style="thin">
        <color rgb="FFFFFFFF"/>
      </left>
      <right style="thin">
        <color rgb="FFD9D9D9"/>
      </right>
      <top style="thin">
        <color rgb="FFFFFFFF"/>
      </top>
      <bottom style="thin">
        <color rgb="FFFFFFFF"/>
      </bottom>
    </border>
    <border>
      <left style="thin">
        <color rgb="FFD9D9D9"/>
      </left>
      <top style="thin">
        <color rgb="FFFFFFFF"/>
      </top>
      <bottom style="thin">
        <color rgb="FFFFFFFF"/>
      </bottom>
    </border>
    <border>
      <left style="thin">
        <color rgb="FFFFFFFF"/>
      </left>
      <right style="thick">
        <color rgb="FF3E3A3A"/>
      </right>
      <top style="thin">
        <color rgb="FFFFFFFF"/>
      </top>
      <bottom style="thin">
        <color rgb="FFFFFFFF"/>
      </bottom>
    </border>
    <border>
      <left style="thick">
        <color rgb="FF3E3A3A"/>
      </left>
      <right style="thin">
        <color rgb="FF3550B8"/>
      </right>
      <bottom style="thin">
        <color rgb="FF3550B8"/>
      </bottom>
    </border>
    <border>
      <left style="thin">
        <color rgb="FF3550B8"/>
      </left>
      <right style="thin">
        <color rgb="FF3550B8"/>
      </right>
      <bottom style="thin">
        <color rgb="FF3550B8"/>
      </bottom>
    </border>
    <border>
      <left style="thin">
        <color rgb="FF3550B8"/>
      </left>
      <top style="thin">
        <color rgb="FF3E3A3A"/>
      </top>
      <bottom style="thin">
        <color rgb="FF3550B8"/>
      </bottom>
    </border>
    <border>
      <left style="medium">
        <color rgb="FF3E3A3A"/>
      </left>
      <right style="thick">
        <color rgb="FF3E3A3A"/>
      </right>
      <bottom style="thin">
        <color rgb="FF3550B8"/>
      </bottom>
    </border>
    <border>
      <left style="thin">
        <color rgb="FFD9D9D9"/>
      </left>
      <right style="thin">
        <color rgb="FFFFFFFF"/>
      </right>
      <top style="thin">
        <color rgb="FFFFFFFF"/>
      </top>
      <bottom style="thin">
        <color rgb="FFFFFFFF"/>
      </bottom>
    </border>
    <border>
      <left style="thick">
        <color rgb="FF3E3A3A"/>
      </left>
      <right style="thin">
        <color rgb="FF3550B8"/>
      </right>
      <top style="thin">
        <color rgb="FF3550B8"/>
      </top>
      <bottom style="thin">
        <color rgb="FF3550B8"/>
      </bottom>
    </border>
    <border>
      <left style="thin">
        <color rgb="FF3550B8"/>
      </left>
      <right style="thin">
        <color rgb="FF3550B8"/>
      </right>
      <top style="thin">
        <color rgb="FF3550B8"/>
      </top>
      <bottom style="thin">
        <color rgb="FF3550B8"/>
      </bottom>
    </border>
    <border>
      <left style="thin">
        <color rgb="FF3550B8"/>
      </left>
      <top style="thin">
        <color rgb="FF3550B8"/>
      </top>
      <bottom style="thin">
        <color rgb="FF3550B8"/>
      </bottom>
    </border>
    <border>
      <left style="medium">
        <color rgb="FF3E3A3A"/>
      </left>
      <right style="thick">
        <color rgb="FF3E3A3A"/>
      </right>
      <top style="thin">
        <color rgb="FF3550B8"/>
      </top>
      <bottom style="thin">
        <color rgb="FF3550B8"/>
      </bottom>
    </border>
    <border>
      <left style="thick">
        <color rgb="FF3E3A3A"/>
      </left>
      <right style="thin">
        <color rgb="FF3550B8"/>
      </right>
      <top style="thin">
        <color rgb="FF3550B8"/>
      </top>
    </border>
    <border>
      <left style="thin">
        <color rgb="FF3550B8"/>
      </left>
      <right style="thin">
        <color rgb="FF3550B8"/>
      </right>
      <top style="thin">
        <color rgb="FF3550B8"/>
      </top>
    </border>
    <border>
      <left style="thin">
        <color rgb="FF3550B8"/>
      </left>
      <top style="thin">
        <color rgb="FF3550B8"/>
      </top>
    </border>
    <border>
      <left style="medium">
        <color rgb="FF3E3A3A"/>
      </left>
      <right style="thick">
        <color rgb="FF3E3A3A"/>
      </right>
      <top style="thin">
        <color rgb="FF3550B8"/>
      </top>
      <bottom style="thin">
        <color rgb="FF434343"/>
      </bottom>
    </border>
    <border>
      <left style="thick">
        <color rgb="FF3E3A3A"/>
      </left>
      <right style="thin">
        <color rgb="FFFFFFFF"/>
      </right>
      <top style="thin">
        <color rgb="FFFFFFFF"/>
      </top>
      <bottom style="thick">
        <color rgb="FF3E3A3A"/>
      </bottom>
    </border>
    <border>
      <left style="thin">
        <color rgb="FFFFFFFF"/>
      </left>
      <bottom style="thick">
        <color rgb="FF3E3A3A"/>
      </bottom>
    </border>
    <border>
      <right style="thin">
        <color rgb="FFFFFFFF"/>
      </right>
      <bottom style="thick">
        <color rgb="FF3E3A3A"/>
      </bottom>
    </border>
    <border>
      <left style="thin">
        <color rgb="FFFFFFFF"/>
      </left>
      <right style="thick">
        <color rgb="FF3E3A3A"/>
      </right>
      <top style="thin">
        <color rgb="FFFFFFFF"/>
      </top>
      <bottom style="thick">
        <color rgb="FF3E3A3A"/>
      </bottom>
    </border>
    <border>
      <left style="thin">
        <color rgb="FFFF00FF"/>
      </left>
      <right style="thin">
        <color rgb="FFFF00FF"/>
      </right>
      <bottom style="thin">
        <color rgb="FFFF00FF"/>
      </bottom>
    </border>
    <border>
      <right style="thin">
        <color rgb="FF000000"/>
      </right>
      <top style="thick">
        <color rgb="FF434343"/>
      </top>
      <bottom style="medium">
        <color rgb="FF434343"/>
      </bottom>
    </border>
    <border>
      <left style="thin">
        <color rgb="FF000000"/>
      </left>
      <right style="thin">
        <color rgb="FF000000"/>
      </right>
      <top style="thick">
        <color rgb="FF434343"/>
      </top>
      <bottom style="medium">
        <color rgb="FF434343"/>
      </bottom>
    </border>
    <border>
      <left style="thin">
        <color rgb="FF000000"/>
      </left>
      <right style="thick">
        <color rgb="FF434343"/>
      </right>
      <top style="thick">
        <color rgb="FF434343"/>
      </top>
      <bottom style="medium">
        <color rgb="FF434343"/>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434343"/>
      </left>
      <right style="thin">
        <color rgb="FF434343"/>
      </right>
      <bottom style="thin">
        <color rgb="FF434343"/>
      </bottom>
    </border>
    <border>
      <left style="thin">
        <color rgb="FF434343"/>
      </left>
      <right style="thick">
        <color rgb="FF434343"/>
      </right>
      <bottom style="thin">
        <color rgb="FF434343"/>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434343"/>
      </left>
      <right style="thin">
        <color rgb="FF434343"/>
      </right>
      <top style="thin">
        <color rgb="FF434343"/>
      </top>
      <bottom style="thin">
        <color rgb="FF434343"/>
      </bottom>
    </border>
    <border>
      <left style="thin">
        <color rgb="FF434343"/>
      </left>
      <right style="thick">
        <color rgb="FF434343"/>
      </right>
      <top style="thin">
        <color rgb="FF434343"/>
      </top>
      <bottom style="thin">
        <color rgb="FF434343"/>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434343"/>
      </left>
      <right style="thin">
        <color rgb="FF434343"/>
      </right>
      <top style="thin">
        <color rgb="FF434343"/>
      </top>
      <bottom style="thick">
        <color rgb="FF434343"/>
      </bottom>
    </border>
    <border>
      <left style="thin">
        <color rgb="FF434343"/>
      </left>
      <right style="thin">
        <color rgb="FF434343"/>
      </right>
      <top style="thin">
        <color rgb="FF434343"/>
      </top>
      <bottom style="thick">
        <color rgb="FF434343"/>
      </bottom>
    </border>
    <border>
      <left style="thin">
        <color rgb="FF434343"/>
      </left>
      <right style="thick">
        <color rgb="FF434343"/>
      </right>
      <top style="thin">
        <color rgb="FF434343"/>
      </top>
      <bottom style="thick">
        <color rgb="FF434343"/>
      </bottom>
    </border>
    <border>
      <left style="thick">
        <color rgb="FF434343"/>
      </left>
      <right style="thin">
        <color rgb="FF434343"/>
      </right>
      <top style="thin">
        <color rgb="FF3E3A3A"/>
      </top>
      <bottom style="thin">
        <color rgb="FF434343"/>
      </bottom>
    </border>
    <border>
      <left style="thin">
        <color rgb="FF434343"/>
      </left>
      <right style="thin">
        <color rgb="FF434343"/>
      </right>
      <top style="thin">
        <color rgb="FF3E3A3A"/>
      </top>
      <bottom style="thin">
        <color rgb="FF434343"/>
      </bottom>
    </border>
    <border>
      <left style="thick">
        <color rgb="FF434343"/>
      </left>
      <top style="thick">
        <color rgb="FF434343"/>
      </top>
      <bottom style="thin">
        <color rgb="FF434343"/>
      </bottom>
    </border>
    <border>
      <top style="thick">
        <color rgb="FF434343"/>
      </top>
      <bottom style="thin">
        <color rgb="FF434343"/>
      </bottom>
    </border>
    <border>
      <right style="thin">
        <color rgb="FF434343"/>
      </right>
      <top style="thick">
        <color rgb="FF434343"/>
      </top>
      <bottom style="thin">
        <color rgb="FF434343"/>
      </bottom>
    </border>
    <border>
      <left style="thin">
        <color rgb="FF434343"/>
      </left>
      <right style="thin">
        <color rgb="FF434343"/>
      </right>
      <top style="thick">
        <color rgb="FF434343"/>
      </top>
      <bottom style="thin">
        <color rgb="FF434343"/>
      </bottom>
    </border>
    <border>
      <left style="thin">
        <color rgb="FF434343"/>
      </left>
      <right style="thick">
        <color rgb="FF434343"/>
      </right>
      <top style="thick">
        <color rgb="FF434343"/>
      </top>
      <bottom style="thin">
        <color rgb="FF434343"/>
      </bottom>
    </border>
  </borders>
  <cellStyleXfs count="1">
    <xf borderId="0" fillId="0" fontId="0" numFmtId="0" applyAlignment="1" applyFont="1"/>
  </cellStyleXfs>
  <cellXfs count="738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2" fillId="2" fontId="1" numFmtId="0" xfId="0" applyBorder="1" applyFont="1"/>
    <xf borderId="1" fillId="2" fontId="1" numFmtId="0" xfId="0" applyBorder="1" applyFont="1"/>
    <xf borderId="3" fillId="2" fontId="1" numFmtId="0" xfId="0" applyAlignment="1" applyBorder="1" applyFont="1">
      <alignment horizontal="center" vertical="center"/>
    </xf>
    <xf borderId="4" fillId="3" fontId="1" numFmtId="0" xfId="0" applyAlignment="1" applyBorder="1" applyFill="1" applyFont="1">
      <alignment horizontal="center" vertical="center"/>
    </xf>
    <xf borderId="5" fillId="3" fontId="1" numFmtId="0" xfId="0" applyAlignment="1" applyBorder="1" applyFont="1">
      <alignment horizontal="center" vertical="center"/>
    </xf>
    <xf borderId="5" fillId="3" fontId="1" numFmtId="0" xfId="0" applyBorder="1" applyFont="1"/>
    <xf borderId="6" fillId="3" fontId="1" numFmtId="0" xfId="0" applyBorder="1" applyFont="1"/>
    <xf borderId="7" fillId="2" fontId="1" numFmtId="0" xfId="0" applyBorder="1" applyFont="1"/>
    <xf borderId="3" fillId="2" fontId="2" numFmtId="0" xfId="0" applyAlignment="1" applyBorder="1" applyFont="1">
      <alignment vertical="bottom"/>
    </xf>
    <xf borderId="8" fillId="3" fontId="2" numFmtId="0" xfId="0" applyAlignment="1" applyBorder="1" applyFont="1">
      <alignment vertical="bottom"/>
    </xf>
    <xf borderId="9" fillId="3" fontId="3" numFmtId="0" xfId="0" applyAlignment="1" applyBorder="1" applyFont="1">
      <alignment readingOrder="0" vertical="center"/>
    </xf>
    <xf borderId="9" fillId="0" fontId="4" numFmtId="0" xfId="0" applyBorder="1" applyFont="1"/>
    <xf borderId="10" fillId="0" fontId="4" numFmtId="0" xfId="0" applyBorder="1" applyFont="1"/>
    <xf borderId="11" fillId="3" fontId="5" numFmtId="0" xfId="0" applyAlignment="1" applyBorder="1" applyFont="1">
      <alignment vertical="center"/>
    </xf>
    <xf borderId="7" fillId="2" fontId="5" numFmtId="0" xfId="0" applyAlignment="1" applyBorder="1" applyFont="1">
      <alignment vertical="center"/>
    </xf>
    <xf borderId="12" fillId="3" fontId="2" numFmtId="0" xfId="0" applyAlignment="1" applyBorder="1" applyFont="1">
      <alignment vertical="bottom"/>
    </xf>
    <xf borderId="13" fillId="3" fontId="6" numFmtId="0" xfId="0" applyAlignment="1" applyBorder="1" applyFont="1">
      <alignment vertical="center"/>
    </xf>
    <xf borderId="7" fillId="2" fontId="6" numFmtId="0" xfId="0" applyAlignment="1" applyBorder="1" applyFont="1">
      <alignment vertical="center"/>
    </xf>
    <xf borderId="9" fillId="3" fontId="7" numFmtId="0" xfId="0" applyAlignment="1" applyBorder="1" applyFont="1">
      <alignment readingOrder="0" vertical="center"/>
    </xf>
    <xf borderId="14" fillId="3" fontId="8" numFmtId="0" xfId="0" applyAlignment="1" applyBorder="1" applyFont="1">
      <alignment readingOrder="0" vertical="center"/>
    </xf>
    <xf borderId="14" fillId="0" fontId="4" numFmtId="0" xfId="0" applyBorder="1" applyFont="1"/>
    <xf borderId="15" fillId="0" fontId="4" numFmtId="0" xfId="0" applyBorder="1" applyFont="1"/>
    <xf borderId="8" fillId="3" fontId="1" numFmtId="0" xfId="0" applyAlignment="1" applyBorder="1" applyFont="1">
      <alignment horizontal="center" vertical="center"/>
    </xf>
    <xf borderId="16" fillId="3" fontId="1" numFmtId="0" xfId="0" applyAlignment="1" applyBorder="1" applyFont="1">
      <alignment horizontal="center" vertical="center"/>
    </xf>
    <xf borderId="17" fillId="3" fontId="1" numFmtId="0" xfId="0" applyBorder="1" applyFont="1"/>
    <xf borderId="18" fillId="3" fontId="1" numFmtId="0" xfId="0" applyBorder="1" applyFont="1"/>
    <xf borderId="3" fillId="2" fontId="2" numFmtId="0" xfId="0" applyBorder="1" applyFont="1"/>
    <xf borderId="8" fillId="3" fontId="2" numFmtId="0" xfId="0" applyBorder="1" applyFont="1"/>
    <xf borderId="14" fillId="3" fontId="9" numFmtId="0" xfId="0" applyAlignment="1" applyBorder="1" applyFont="1">
      <alignment vertical="bottom"/>
    </xf>
    <xf borderId="10" fillId="3" fontId="2" numFmtId="0" xfId="0" applyBorder="1" applyFont="1"/>
    <xf borderId="10" fillId="3" fontId="2" numFmtId="0" xfId="0" applyAlignment="1" applyBorder="1" applyFont="1">
      <alignment readingOrder="0"/>
    </xf>
    <xf borderId="10" fillId="3" fontId="2" numFmtId="0" xfId="0" applyAlignment="1" applyBorder="1" applyFont="1">
      <alignment vertical="bottom"/>
    </xf>
    <xf borderId="11" fillId="3" fontId="2" numFmtId="0" xfId="0" applyAlignment="1" applyBorder="1" applyFont="1">
      <alignment vertical="bottom"/>
    </xf>
    <xf borderId="7" fillId="2" fontId="2" numFmtId="0" xfId="0" applyAlignment="1" applyBorder="1" applyFont="1">
      <alignment vertical="bottom"/>
    </xf>
    <xf borderId="12" fillId="3" fontId="2" numFmtId="0" xfId="0" applyBorder="1" applyFont="1"/>
    <xf borderId="19" fillId="3" fontId="2" numFmtId="0" xfId="0" applyBorder="1" applyFont="1"/>
    <xf borderId="15" fillId="3" fontId="2" numFmtId="0" xfId="0" applyBorder="1" applyFont="1"/>
    <xf borderId="0" fillId="3" fontId="10" numFmtId="0" xfId="0" applyFont="1"/>
    <xf borderId="20" fillId="0" fontId="4" numFmtId="0" xfId="0" applyBorder="1" applyFont="1"/>
    <xf borderId="13" fillId="3" fontId="2" numFmtId="0" xfId="0" applyAlignment="1" applyBorder="1" applyFont="1">
      <alignment vertical="bottom"/>
    </xf>
    <xf borderId="21" fillId="3" fontId="2" numFmtId="0" xfId="0" applyBorder="1" applyFont="1"/>
    <xf borderId="22" fillId="4" fontId="11" numFmtId="0" xfId="0" applyBorder="1" applyFill="1" applyFont="1"/>
    <xf borderId="14" fillId="3" fontId="2" numFmtId="0" xfId="0" applyBorder="1" applyFont="1"/>
    <xf borderId="23" fillId="5" fontId="10" numFmtId="0" xfId="0" applyAlignment="1" applyBorder="1" applyFill="1" applyFont="1">
      <alignment readingOrder="0" vertical="center"/>
    </xf>
    <xf borderId="24" fillId="0" fontId="4" numFmtId="0" xfId="0" applyBorder="1" applyFont="1"/>
    <xf borderId="25" fillId="0" fontId="4" numFmtId="0" xfId="0" applyBorder="1" applyFont="1"/>
    <xf borderId="14" fillId="3" fontId="10" numFmtId="0" xfId="0" applyAlignment="1" applyBorder="1" applyFont="1">
      <alignment vertical="center"/>
    </xf>
    <xf borderId="14" fillId="3" fontId="10" numFmtId="0" xfId="0" applyAlignment="1" applyBorder="1" applyFont="1">
      <alignment readingOrder="0" vertical="center"/>
    </xf>
    <xf borderId="0" fillId="3" fontId="10" numFmtId="0" xfId="0" applyAlignment="1" applyFont="1">
      <alignment vertical="center"/>
    </xf>
    <xf borderId="23" fillId="5" fontId="10" numFmtId="0" xfId="0" applyAlignment="1" applyBorder="1" applyFont="1">
      <alignment vertical="center"/>
    </xf>
    <xf borderId="26" fillId="3" fontId="12" numFmtId="0" xfId="0" applyAlignment="1" applyBorder="1" applyFont="1">
      <alignment horizontal="left" readingOrder="0" vertical="center"/>
    </xf>
    <xf borderId="27" fillId="3" fontId="1" numFmtId="0" xfId="0" applyAlignment="1" applyBorder="1" applyFont="1">
      <alignment horizontal="center" vertical="center"/>
    </xf>
    <xf borderId="28" fillId="6" fontId="13" numFmtId="0" xfId="0" applyAlignment="1" applyBorder="1" applyFill="1" applyFont="1">
      <alignment horizontal="center"/>
    </xf>
    <xf borderId="9" fillId="3" fontId="1" numFmtId="0" xfId="0" applyAlignment="1" applyBorder="1" applyFont="1">
      <alignment horizontal="center" vertical="center"/>
    </xf>
    <xf borderId="23" fillId="5" fontId="10" numFmtId="0" xfId="0" applyAlignment="1" applyBorder="1" applyFont="1">
      <alignment vertical="bottom"/>
    </xf>
    <xf borderId="26" fillId="3" fontId="14" numFmtId="0" xfId="0" applyAlignment="1" applyBorder="1" applyFont="1">
      <alignment horizontal="left" readingOrder="0" vertical="center"/>
    </xf>
    <xf borderId="28" fillId="7" fontId="13" numFmtId="0" xfId="0" applyAlignment="1" applyBorder="1" applyFill="1" applyFont="1">
      <alignment horizontal="center"/>
    </xf>
    <xf borderId="10" fillId="3" fontId="1" numFmtId="0" xfId="0" applyAlignment="1" applyBorder="1" applyFont="1">
      <alignment horizontal="center" vertical="center"/>
    </xf>
    <xf borderId="26" fillId="3" fontId="10" numFmtId="0" xfId="0" applyAlignment="1" applyBorder="1" applyFont="1">
      <alignment horizontal="left" readingOrder="0" vertical="center"/>
    </xf>
    <xf borderId="29" fillId="3" fontId="1" numFmtId="0" xfId="0" applyAlignment="1" applyBorder="1" applyFont="1">
      <alignment horizontal="center" vertical="center"/>
    </xf>
    <xf borderId="14" fillId="3" fontId="1" numFmtId="0" xfId="0" applyAlignment="1" applyBorder="1" applyFont="1">
      <alignment horizontal="center" vertical="center"/>
    </xf>
    <xf borderId="13" fillId="3" fontId="1" numFmtId="0" xfId="0" applyBorder="1" applyFont="1"/>
    <xf borderId="29" fillId="3" fontId="2" numFmtId="0" xfId="0" applyBorder="1" applyFont="1"/>
    <xf borderId="0" fillId="3" fontId="2" numFmtId="0" xfId="0" applyFont="1"/>
    <xf borderId="20" fillId="3" fontId="10" numFmtId="0" xfId="0" applyAlignment="1" applyBorder="1" applyFont="1">
      <alignment vertical="center"/>
    </xf>
    <xf borderId="30" fillId="5" fontId="10" numFmtId="0" xfId="0" applyAlignment="1" applyBorder="1" applyFont="1">
      <alignment readingOrder="0" vertical="center"/>
    </xf>
    <xf borderId="31" fillId="0" fontId="4" numFmtId="0" xfId="0" applyBorder="1" applyFont="1"/>
    <xf borderId="32" fillId="3" fontId="1" numFmtId="0" xfId="0" applyAlignment="1" applyBorder="1" applyFont="1">
      <alignment horizontal="center" vertical="center"/>
    </xf>
    <xf borderId="33" fillId="3" fontId="1" numFmtId="0" xfId="0" applyAlignment="1" applyBorder="1" applyFont="1">
      <alignment horizontal="center" vertical="center"/>
    </xf>
    <xf borderId="34" fillId="3" fontId="1" numFmtId="0" xfId="0" applyAlignment="1" applyBorder="1" applyFont="1">
      <alignment horizontal="center" vertical="center"/>
    </xf>
    <xf borderId="34" fillId="3" fontId="1" numFmtId="0" xfId="0" applyBorder="1" applyFont="1"/>
    <xf borderId="35" fillId="3" fontId="1" numFmtId="0" xfId="0" applyBorder="1" applyFont="1"/>
    <xf borderId="36" fillId="2" fontId="1" numFmtId="0" xfId="0" applyAlignment="1" applyBorder="1" applyFont="1">
      <alignment horizontal="center" vertical="center"/>
    </xf>
    <xf borderId="36" fillId="2" fontId="1" numFmtId="0" xfId="0" applyBorder="1" applyFont="1"/>
    <xf borderId="37" fillId="8" fontId="15" numFmtId="0" xfId="0" applyAlignment="1" applyBorder="1" applyFill="1" applyFont="1">
      <alignment horizontal="center" vertical="center"/>
    </xf>
    <xf borderId="38" fillId="8" fontId="15" numFmtId="0" xfId="0" applyAlignment="1" applyBorder="1" applyFont="1">
      <alignment horizontal="center" vertical="center"/>
    </xf>
    <xf borderId="39" fillId="8" fontId="15" numFmtId="0" xfId="0" applyAlignment="1" applyBorder="1" applyFont="1">
      <alignment horizontal="center" vertical="center"/>
    </xf>
    <xf borderId="40" fillId="9" fontId="15" numFmtId="0" xfId="0" applyAlignment="1" applyBorder="1" applyFill="1" applyFont="1">
      <alignment horizontal="center" vertical="center"/>
    </xf>
    <xf borderId="41" fillId="9" fontId="15" numFmtId="0" xfId="0" applyAlignment="1" applyBorder="1" applyFont="1">
      <alignment horizontal="center" vertical="center"/>
    </xf>
    <xf borderId="42" fillId="9" fontId="15" numFmtId="0" xfId="0" applyAlignment="1" applyBorder="1" applyFont="1">
      <alignment horizontal="center" vertical="center"/>
    </xf>
    <xf borderId="43" fillId="9" fontId="15" numFmtId="0" xfId="0" applyAlignment="1" applyBorder="1" applyFont="1">
      <alignment horizontal="center" vertical="center"/>
    </xf>
    <xf borderId="44" fillId="8" fontId="15" numFmtId="0" xfId="0" applyAlignment="1" applyBorder="1" applyFont="1">
      <alignment horizontal="center" vertical="center"/>
    </xf>
    <xf borderId="45" fillId="9" fontId="15" numFmtId="0" xfId="0" applyAlignment="1" applyBorder="1" applyFont="1">
      <alignment horizontal="center" vertical="center"/>
    </xf>
    <xf borderId="46" fillId="10" fontId="16" numFmtId="0" xfId="0" applyAlignment="1" applyBorder="1" applyFill="1" applyFont="1">
      <alignment horizontal="center" readingOrder="0" vertical="center"/>
    </xf>
    <xf borderId="47" fillId="0" fontId="4" numFmtId="0" xfId="0" applyBorder="1" applyFont="1"/>
    <xf borderId="48" fillId="9" fontId="15" numFmtId="0" xfId="0" applyAlignment="1" applyBorder="1" applyFont="1">
      <alignment horizontal="center" vertical="center"/>
    </xf>
    <xf borderId="49" fillId="10" fontId="16" numFmtId="0" xfId="0" applyAlignment="1" applyBorder="1" applyFont="1">
      <alignment horizontal="center" shrinkToFit="0" vertical="center" wrapText="1"/>
    </xf>
    <xf borderId="50" fillId="9" fontId="15" numFmtId="0" xfId="0" applyAlignment="1" applyBorder="1" applyFont="1">
      <alignment horizontal="center" vertical="center"/>
    </xf>
    <xf borderId="51" fillId="10" fontId="16" numFmtId="0" xfId="0" applyAlignment="1" applyBorder="1" applyFont="1">
      <alignment horizontal="center" readingOrder="0" vertical="top"/>
    </xf>
    <xf borderId="52" fillId="0" fontId="4" numFmtId="0" xfId="0" applyBorder="1" applyFont="1"/>
    <xf borderId="53" fillId="9" fontId="15" numFmtId="0" xfId="0" applyAlignment="1" applyBorder="1" applyFont="1">
      <alignment horizontal="center" vertical="center"/>
    </xf>
    <xf borderId="54" fillId="0" fontId="4" numFmtId="0" xfId="0" applyBorder="1" applyFont="1"/>
    <xf borderId="55" fillId="9" fontId="15" numFmtId="0" xfId="0" applyAlignment="1" applyBorder="1" applyFont="1">
      <alignment horizontal="center" vertical="center"/>
    </xf>
    <xf borderId="56" fillId="9" fontId="15" numFmtId="0" xfId="0" applyAlignment="1" applyBorder="1" applyFont="1">
      <alignment horizontal="center" vertical="center"/>
    </xf>
    <xf borderId="57" fillId="9" fontId="15" numFmtId="0" xfId="0" applyAlignment="1" applyBorder="1" applyFont="1">
      <alignment horizontal="center" vertical="center"/>
    </xf>
    <xf borderId="58" fillId="9" fontId="15" numFmtId="0" xfId="0" applyAlignment="1" applyBorder="1" applyFont="1">
      <alignment horizontal="center" vertical="center"/>
    </xf>
    <xf borderId="59" fillId="9" fontId="15" numFmtId="0" xfId="0" applyAlignment="1" applyBorder="1" applyFont="1">
      <alignment horizontal="center" vertical="center"/>
    </xf>
    <xf borderId="60" fillId="8" fontId="2" numFmtId="0" xfId="0" applyBorder="1" applyFont="1"/>
    <xf borderId="61" fillId="9" fontId="2" numFmtId="0" xfId="0" applyBorder="1" applyFont="1"/>
    <xf borderId="62" fillId="9" fontId="17" numFmtId="0" xfId="0" applyAlignment="1" applyBorder="1" applyFont="1">
      <alignment horizontal="right"/>
    </xf>
    <xf borderId="63" fillId="0" fontId="4" numFmtId="0" xfId="0" applyBorder="1" applyFont="1"/>
    <xf borderId="56" fillId="0" fontId="4" numFmtId="0" xfId="0" applyBorder="1" applyFont="1"/>
    <xf borderId="57" fillId="9" fontId="2" numFmtId="0" xfId="0" applyBorder="1" applyFont="1"/>
    <xf borderId="50" fillId="9" fontId="2" numFmtId="0" xfId="0" applyBorder="1" applyFont="1"/>
    <xf borderId="44" fillId="8" fontId="2" numFmtId="0" xfId="0" applyBorder="1" applyFont="1"/>
    <xf borderId="64" fillId="11" fontId="15" numFmtId="0" xfId="0" applyAlignment="1" applyBorder="1" applyFill="1" applyFont="1">
      <alignment horizontal="center" vertical="top"/>
    </xf>
    <xf borderId="65" fillId="11" fontId="18" numFmtId="0" xfId="0" applyAlignment="1" applyBorder="1" applyFont="1">
      <alignment horizontal="left" readingOrder="0" vertical="center"/>
    </xf>
    <xf borderId="49" fillId="12" fontId="19" numFmtId="0" xfId="0" applyAlignment="1" applyBorder="1" applyFill="1" applyFont="1">
      <alignment horizontal="center" readingOrder="0" vertical="center"/>
    </xf>
    <xf borderId="66" fillId="0" fontId="4" numFmtId="0" xfId="0" applyBorder="1" applyFont="1"/>
    <xf borderId="67" fillId="11" fontId="20" numFmtId="0" xfId="0" applyAlignment="1" applyBorder="1" applyFont="1">
      <alignment horizontal="left" readingOrder="0" vertical="top"/>
    </xf>
    <xf borderId="68" fillId="0" fontId="4" numFmtId="0" xfId="0" applyBorder="1" applyFont="1"/>
    <xf borderId="69" fillId="0" fontId="4" numFmtId="0" xfId="0" applyBorder="1" applyFont="1"/>
    <xf borderId="70" fillId="9" fontId="15" numFmtId="0" xfId="0" applyAlignment="1" applyBorder="1" applyFont="1">
      <alignment horizontal="center" vertical="center"/>
    </xf>
    <xf borderId="71" fillId="9" fontId="15" numFmtId="0" xfId="0" applyAlignment="1" applyBorder="1" applyFont="1">
      <alignment horizontal="center" vertical="center"/>
    </xf>
    <xf borderId="64" fillId="13" fontId="15" numFmtId="0" xfId="0" applyAlignment="1" applyBorder="1" applyFill="1" applyFont="1">
      <alignment horizontal="center" vertical="top"/>
    </xf>
    <xf borderId="72" fillId="13" fontId="21" numFmtId="0" xfId="0" applyAlignment="1" applyBorder="1" applyFont="1">
      <alignment horizontal="left" readingOrder="0" vertical="center"/>
    </xf>
    <xf borderId="73" fillId="13" fontId="20" numFmtId="0" xfId="0" applyAlignment="1" applyBorder="1" applyFont="1">
      <alignment horizontal="left" readingOrder="0" vertical="top"/>
    </xf>
    <xf borderId="74" fillId="9" fontId="15" numFmtId="0" xfId="0" applyAlignment="1" applyBorder="1" applyFont="1">
      <alignment horizontal="center" vertical="center"/>
    </xf>
    <xf borderId="64" fillId="14" fontId="15" numFmtId="0" xfId="0" applyAlignment="1" applyBorder="1" applyFill="1" applyFont="1">
      <alignment horizontal="center" vertical="top"/>
    </xf>
    <xf borderId="75" fillId="14" fontId="22" numFmtId="0" xfId="0" applyAlignment="1" applyBorder="1" applyFont="1">
      <alignment horizontal="left" readingOrder="0" vertical="center"/>
    </xf>
    <xf borderId="76" fillId="14" fontId="20" numFmtId="0" xfId="0" applyAlignment="1" applyBorder="1" applyFont="1">
      <alignment horizontal="left" readingOrder="0" vertical="top"/>
    </xf>
    <xf borderId="74" fillId="9" fontId="2" numFmtId="0" xfId="0" applyBorder="1" applyFont="1"/>
    <xf borderId="64" fillId="15" fontId="15" numFmtId="0" xfId="0" applyAlignment="1" applyBorder="1" applyFill="1" applyFont="1">
      <alignment horizontal="center" vertical="top"/>
    </xf>
    <xf borderId="77" fillId="15" fontId="23" numFmtId="0" xfId="0" applyAlignment="1" applyBorder="1" applyFont="1">
      <alignment horizontal="left" readingOrder="0" vertical="center"/>
    </xf>
    <xf borderId="78" fillId="15" fontId="20" numFmtId="0" xfId="0" applyAlignment="1" applyBorder="1" applyFont="1">
      <alignment horizontal="left" readingOrder="0" vertical="top"/>
    </xf>
    <xf borderId="64" fillId="16" fontId="15" numFmtId="0" xfId="0" applyAlignment="1" applyBorder="1" applyFill="1" applyFont="1">
      <alignment horizontal="center" vertical="top"/>
    </xf>
    <xf borderId="79" fillId="16" fontId="24" numFmtId="0" xfId="0" applyAlignment="1" applyBorder="1" applyFont="1">
      <alignment horizontal="left" readingOrder="0" vertical="center"/>
    </xf>
    <xf borderId="80" fillId="16" fontId="20" numFmtId="0" xfId="0" applyAlignment="1" applyBorder="1" applyFont="1">
      <alignment horizontal="left" readingOrder="0" vertical="top"/>
    </xf>
    <xf borderId="64" fillId="17" fontId="15" numFmtId="0" xfId="0" applyAlignment="1" applyBorder="1" applyFill="1" applyFont="1">
      <alignment horizontal="center" vertical="top"/>
    </xf>
    <xf borderId="81" fillId="17" fontId="25" numFmtId="0" xfId="0" applyAlignment="1" applyBorder="1" applyFont="1">
      <alignment horizontal="left" readingOrder="0" vertical="center"/>
    </xf>
    <xf borderId="82" fillId="17" fontId="20" numFmtId="0" xfId="0" applyAlignment="1" applyBorder="1" applyFont="1">
      <alignment horizontal="left" readingOrder="0" vertical="top"/>
    </xf>
    <xf borderId="64" fillId="18" fontId="15" numFmtId="0" xfId="0" applyAlignment="1" applyBorder="1" applyFill="1" applyFont="1">
      <alignment horizontal="center" vertical="top"/>
    </xf>
    <xf borderId="83" fillId="18" fontId="26" numFmtId="0" xfId="0" applyAlignment="1" applyBorder="1" applyFont="1">
      <alignment horizontal="left" readingOrder="0" vertical="center"/>
    </xf>
    <xf borderId="49" fillId="19" fontId="19" numFmtId="0" xfId="0" applyAlignment="1" applyBorder="1" applyFill="1" applyFont="1">
      <alignment horizontal="center" readingOrder="0" vertical="center"/>
    </xf>
    <xf borderId="84" fillId="18" fontId="20" numFmtId="0" xfId="0" applyAlignment="1" applyBorder="1" applyFont="1">
      <alignment horizontal="left" readingOrder="0" vertical="top"/>
    </xf>
    <xf borderId="64" fillId="20" fontId="15" numFmtId="0" xfId="0" applyAlignment="1" applyBorder="1" applyFill="1" applyFont="1">
      <alignment horizontal="center" vertical="top"/>
    </xf>
    <xf borderId="85" fillId="20" fontId="27" numFmtId="0" xfId="0" applyAlignment="1" applyBorder="1" applyFont="1">
      <alignment horizontal="left" readingOrder="0" vertical="center"/>
    </xf>
    <xf borderId="86" fillId="20" fontId="20" numFmtId="0" xfId="0" applyAlignment="1" applyBorder="1" applyFont="1">
      <alignment horizontal="left" readingOrder="0" vertical="top"/>
    </xf>
    <xf borderId="49" fillId="21" fontId="19" numFmtId="0" xfId="0" applyAlignment="1" applyBorder="1" applyFill="1" applyFont="1">
      <alignment horizontal="center" readingOrder="0" vertical="center"/>
    </xf>
    <xf borderId="64" fillId="22" fontId="15" numFmtId="0" xfId="0" applyAlignment="1" applyBorder="1" applyFill="1" applyFont="1">
      <alignment horizontal="center" vertical="top"/>
    </xf>
    <xf borderId="87" fillId="22" fontId="28" numFmtId="0" xfId="0" applyAlignment="1" applyBorder="1" applyFont="1">
      <alignment horizontal="left" readingOrder="0" vertical="center"/>
    </xf>
    <xf borderId="88" fillId="22" fontId="20" numFmtId="0" xfId="0" applyAlignment="1" applyBorder="1" applyFont="1">
      <alignment horizontal="left" readingOrder="0" vertical="top"/>
    </xf>
    <xf borderId="64" fillId="23" fontId="15" numFmtId="0" xfId="0" applyAlignment="1" applyBorder="1" applyFill="1" applyFont="1">
      <alignment horizontal="center" vertical="top"/>
    </xf>
    <xf borderId="89" fillId="23" fontId="29" numFmtId="0" xfId="0" applyAlignment="1" applyBorder="1" applyFont="1">
      <alignment horizontal="left" readingOrder="0" vertical="center"/>
    </xf>
    <xf borderId="90" fillId="23" fontId="20" numFmtId="0" xfId="0" applyAlignment="1" applyBorder="1" applyFont="1">
      <alignment horizontal="left" readingOrder="0" vertical="top"/>
    </xf>
    <xf borderId="91" fillId="24" fontId="15" numFmtId="0" xfId="0" applyAlignment="1" applyBorder="1" applyFill="1" applyFont="1">
      <alignment horizontal="center" vertical="top"/>
    </xf>
    <xf borderId="92" fillId="24" fontId="30" numFmtId="0" xfId="0" applyAlignment="1" applyBorder="1" applyFont="1">
      <alignment horizontal="left" readingOrder="0" vertical="center"/>
    </xf>
    <xf borderId="93" fillId="0" fontId="4" numFmtId="0" xfId="0" applyBorder="1" applyFont="1"/>
    <xf borderId="94" fillId="24" fontId="20" numFmtId="0" xfId="0" applyAlignment="1" applyBorder="1" applyFont="1">
      <alignment horizontal="left" readingOrder="0" vertical="top"/>
    </xf>
    <xf borderId="95" fillId="0" fontId="4" numFmtId="0" xfId="0" applyBorder="1" applyFont="1"/>
    <xf borderId="96" fillId="25" fontId="31" numFmtId="0" xfId="0" applyAlignment="1" applyBorder="1" applyFill="1" applyFont="1">
      <alignment horizontal="center" vertical="top"/>
    </xf>
    <xf borderId="97" fillId="25" fontId="32" numFmtId="0" xfId="0" applyAlignment="1" applyBorder="1" applyFont="1">
      <alignment horizontal="left" readingOrder="0" vertical="center"/>
    </xf>
    <xf borderId="98" fillId="0" fontId="4" numFmtId="0" xfId="0" applyBorder="1" applyFont="1"/>
    <xf borderId="99" fillId="25" fontId="20" numFmtId="0" xfId="0" applyAlignment="1" applyBorder="1" applyFont="1">
      <alignment horizontal="left" readingOrder="0" vertical="top"/>
    </xf>
    <xf borderId="100" fillId="0" fontId="4" numFmtId="0" xfId="0" applyBorder="1" applyFont="1"/>
    <xf borderId="64" fillId="22" fontId="31" numFmtId="0" xfId="0" applyAlignment="1" applyBorder="1" applyFont="1">
      <alignment horizontal="center" vertical="top"/>
    </xf>
    <xf borderId="101" fillId="26" fontId="31" numFmtId="0" xfId="0" applyAlignment="1" applyBorder="1" applyFill="1" applyFont="1">
      <alignment horizontal="center" vertical="top"/>
    </xf>
    <xf borderId="102" fillId="26" fontId="33" numFmtId="0" xfId="0" applyAlignment="1" applyBorder="1" applyFont="1">
      <alignment horizontal="left" readingOrder="0" vertical="center"/>
    </xf>
    <xf borderId="103" fillId="0" fontId="4" numFmtId="0" xfId="0" applyBorder="1" applyFont="1"/>
    <xf borderId="104" fillId="26" fontId="20" numFmtId="0" xfId="0" applyAlignment="1" applyBorder="1" applyFont="1">
      <alignment horizontal="left" readingOrder="0" vertical="top"/>
    </xf>
    <xf borderId="105" fillId="0" fontId="4" numFmtId="0" xfId="0" applyBorder="1" applyFont="1"/>
    <xf borderId="64" fillId="27" fontId="15" numFmtId="0" xfId="0" applyAlignment="1" applyBorder="1" applyFill="1" applyFont="1">
      <alignment horizontal="center" vertical="top"/>
    </xf>
    <xf borderId="106" fillId="27" fontId="34" numFmtId="0" xfId="0" applyAlignment="1" applyBorder="1" applyFont="1">
      <alignment horizontal="left" readingOrder="0" vertical="center"/>
    </xf>
    <xf borderId="107" fillId="27" fontId="20" numFmtId="0" xfId="0" applyAlignment="1" applyBorder="1" applyFont="1">
      <alignment horizontal="left" readingOrder="0" vertical="top"/>
    </xf>
    <xf borderId="64" fillId="28" fontId="15" numFmtId="0" xfId="0" applyAlignment="1" applyBorder="1" applyFill="1" applyFont="1">
      <alignment horizontal="center" vertical="top"/>
    </xf>
    <xf borderId="108" fillId="28" fontId="35" numFmtId="0" xfId="0" applyAlignment="1" applyBorder="1" applyFont="1">
      <alignment horizontal="left" readingOrder="0" vertical="center"/>
    </xf>
    <xf borderId="109" fillId="28" fontId="20" numFmtId="0" xfId="0" applyAlignment="1" applyBorder="1" applyFont="1">
      <alignment horizontal="left" readingOrder="0" vertical="top"/>
    </xf>
    <xf borderId="64" fillId="29" fontId="15" numFmtId="0" xfId="0" applyAlignment="1" applyBorder="1" applyFill="1" applyFont="1">
      <alignment horizontal="center" vertical="top"/>
    </xf>
    <xf borderId="110" fillId="29" fontId="36" numFmtId="0" xfId="0" applyAlignment="1" applyBorder="1" applyFont="1">
      <alignment horizontal="left" readingOrder="0" vertical="center"/>
    </xf>
    <xf borderId="111" fillId="29" fontId="20" numFmtId="0" xfId="0" applyAlignment="1" applyBorder="1" applyFont="1">
      <alignment horizontal="left" readingOrder="0" vertical="top"/>
    </xf>
    <xf borderId="64" fillId="30" fontId="31" numFmtId="0" xfId="0" applyAlignment="1" applyBorder="1" applyFill="1" applyFont="1">
      <alignment horizontal="center" vertical="top"/>
    </xf>
    <xf borderId="112" fillId="30" fontId="37" numFmtId="0" xfId="0" applyAlignment="1" applyBorder="1" applyFont="1">
      <alignment horizontal="left" readingOrder="0" vertical="center"/>
    </xf>
    <xf borderId="49" fillId="31" fontId="19" numFmtId="0" xfId="0" applyAlignment="1" applyBorder="1" applyFill="1" applyFont="1">
      <alignment horizontal="center" readingOrder="0" vertical="center"/>
    </xf>
    <xf borderId="113" fillId="30" fontId="20" numFmtId="0" xfId="0" applyAlignment="1" applyBorder="1" applyFont="1">
      <alignment horizontal="left" readingOrder="0" vertical="top"/>
    </xf>
    <xf borderId="64" fillId="24" fontId="15" numFmtId="0" xfId="0" applyAlignment="1" applyBorder="1" applyFont="1">
      <alignment horizontal="center" vertical="top"/>
    </xf>
    <xf borderId="64" fillId="32" fontId="15" numFmtId="0" xfId="0" applyAlignment="1" applyBorder="1" applyFill="1" applyFont="1">
      <alignment horizontal="center" vertical="top"/>
    </xf>
    <xf borderId="114" fillId="32" fontId="38" numFmtId="0" xfId="0" applyAlignment="1" applyBorder="1" applyFont="1">
      <alignment horizontal="left" readingOrder="0" vertical="center"/>
    </xf>
    <xf borderId="115" fillId="32" fontId="20" numFmtId="0" xfId="0" applyAlignment="1" applyBorder="1" applyFont="1">
      <alignment horizontal="left" readingOrder="0" vertical="top"/>
    </xf>
    <xf borderId="116" fillId="33" fontId="31" numFmtId="0" xfId="0" applyAlignment="1" applyBorder="1" applyFill="1" applyFont="1">
      <alignment horizontal="center" vertical="top"/>
    </xf>
    <xf borderId="117" fillId="33" fontId="39" numFmtId="0" xfId="0" applyAlignment="1" applyBorder="1" applyFont="1">
      <alignment horizontal="left" readingOrder="0" vertical="center"/>
    </xf>
    <xf borderId="49" fillId="34" fontId="19" numFmtId="0" xfId="0" applyAlignment="1" applyBorder="1" applyFill="1" applyFont="1">
      <alignment horizontal="center" vertical="center"/>
    </xf>
    <xf borderId="118" fillId="0" fontId="4" numFmtId="0" xfId="0" applyBorder="1" applyFont="1"/>
    <xf borderId="119" fillId="33" fontId="20" numFmtId="0" xfId="0" applyAlignment="1" applyBorder="1" applyFont="1">
      <alignment horizontal="left" readingOrder="0" vertical="top"/>
    </xf>
    <xf borderId="120" fillId="0" fontId="4" numFmtId="0" xfId="0" applyBorder="1" applyFont="1"/>
    <xf borderId="49" fillId="35" fontId="19" numFmtId="0" xfId="0" applyAlignment="1" applyBorder="1" applyFill="1" applyFont="1">
      <alignment horizontal="center" vertical="center"/>
    </xf>
    <xf borderId="121" fillId="9" fontId="15" numFmtId="0" xfId="0" applyAlignment="1" applyBorder="1" applyFont="1">
      <alignment horizontal="center" vertical="center"/>
    </xf>
    <xf borderId="64" fillId="36" fontId="31" numFmtId="0" xfId="0" applyAlignment="1" applyBorder="1" applyFill="1" applyFont="1">
      <alignment horizontal="center" vertical="top"/>
    </xf>
    <xf borderId="122" fillId="36" fontId="40" numFmtId="0" xfId="0" applyAlignment="1" applyBorder="1" applyFont="1">
      <alignment horizontal="left" readingOrder="0" vertical="center"/>
    </xf>
    <xf borderId="123" fillId="36" fontId="20" numFmtId="0" xfId="0" applyAlignment="1" applyBorder="1" applyFont="1">
      <alignment horizontal="left" readingOrder="0" vertical="top"/>
    </xf>
    <xf borderId="49" fillId="37" fontId="19" numFmtId="0" xfId="0" applyAlignment="1" applyBorder="1" applyFill="1" applyFont="1">
      <alignment horizontal="center" vertical="center"/>
    </xf>
    <xf borderId="64" fillId="38" fontId="15" numFmtId="0" xfId="0" applyAlignment="1" applyBorder="1" applyFill="1" applyFont="1">
      <alignment horizontal="center" vertical="top"/>
    </xf>
    <xf borderId="124" fillId="38" fontId="41" numFmtId="0" xfId="0" applyAlignment="1" applyBorder="1" applyFont="1">
      <alignment horizontal="left" readingOrder="0" vertical="center"/>
    </xf>
    <xf borderId="125" fillId="38" fontId="20" numFmtId="0" xfId="0" applyAlignment="1" applyBorder="1" applyFont="1">
      <alignment horizontal="left" readingOrder="0" vertical="top"/>
    </xf>
    <xf borderId="64" fillId="39" fontId="15" numFmtId="0" xfId="0" applyAlignment="1" applyBorder="1" applyFill="1" applyFont="1">
      <alignment horizontal="center" vertical="top"/>
    </xf>
    <xf borderId="126" fillId="39" fontId="42" numFmtId="0" xfId="0" applyAlignment="1" applyBorder="1" applyFont="1">
      <alignment horizontal="left" readingOrder="0" vertical="center"/>
    </xf>
    <xf borderId="49" fillId="40" fontId="19" numFmtId="0" xfId="0" applyAlignment="1" applyBorder="1" applyFill="1" applyFont="1">
      <alignment horizontal="center" vertical="center"/>
    </xf>
    <xf borderId="127" fillId="39" fontId="20" numFmtId="0" xfId="0" applyAlignment="1" applyBorder="1" applyFont="1">
      <alignment horizontal="left" readingOrder="0" vertical="top"/>
    </xf>
    <xf borderId="64" fillId="41" fontId="15" numFmtId="0" xfId="0" applyAlignment="1" applyBorder="1" applyFill="1" applyFont="1">
      <alignment horizontal="center" vertical="top"/>
    </xf>
    <xf borderId="128" fillId="41" fontId="43" numFmtId="0" xfId="0" applyAlignment="1" applyBorder="1" applyFont="1">
      <alignment horizontal="left" readingOrder="0" vertical="center"/>
    </xf>
    <xf borderId="129" fillId="41" fontId="20" numFmtId="0" xfId="0" applyAlignment="1" applyBorder="1" applyFont="1">
      <alignment horizontal="left" readingOrder="0" vertical="top"/>
    </xf>
    <xf borderId="49" fillId="42" fontId="19" numFmtId="0" xfId="0" applyAlignment="1" applyBorder="1" applyFill="1" applyFont="1">
      <alignment horizontal="center" vertical="center"/>
    </xf>
    <xf borderId="64" fillId="43" fontId="15" numFmtId="0" xfId="0" applyAlignment="1" applyBorder="1" applyFill="1" applyFont="1">
      <alignment horizontal="center" vertical="top"/>
    </xf>
    <xf borderId="130" fillId="43" fontId="44" numFmtId="0" xfId="0" applyAlignment="1" applyBorder="1" applyFont="1">
      <alignment horizontal="left" readingOrder="0" vertical="center"/>
    </xf>
    <xf borderId="131" fillId="43" fontId="20" numFmtId="0" xfId="0" applyAlignment="1" applyBorder="1" applyFont="1">
      <alignment horizontal="left" readingOrder="0" vertical="top"/>
    </xf>
    <xf borderId="64" fillId="44" fontId="31" numFmtId="0" xfId="0" applyAlignment="1" applyBorder="1" applyFill="1" applyFont="1">
      <alignment horizontal="center" vertical="top"/>
    </xf>
    <xf borderId="132" fillId="44" fontId="45" numFmtId="0" xfId="0" applyAlignment="1" applyBorder="1" applyFont="1">
      <alignment horizontal="left" readingOrder="0" vertical="center"/>
    </xf>
    <xf borderId="133" fillId="44" fontId="20" numFmtId="0" xfId="0" applyAlignment="1" applyBorder="1" applyFont="1">
      <alignment horizontal="left" readingOrder="0" vertical="top"/>
    </xf>
    <xf borderId="64" fillId="45" fontId="15" numFmtId="0" xfId="0" applyAlignment="1" applyBorder="1" applyFill="1" applyFont="1">
      <alignment horizontal="center" vertical="top"/>
    </xf>
    <xf borderId="134" fillId="45" fontId="46" numFmtId="0" xfId="0" applyAlignment="1" applyBorder="1" applyFont="1">
      <alignment horizontal="left" readingOrder="0" vertical="center"/>
    </xf>
    <xf borderId="135" fillId="45" fontId="20" numFmtId="0" xfId="0" applyAlignment="1" applyBorder="1" applyFont="1">
      <alignment horizontal="left" readingOrder="0" vertical="top"/>
    </xf>
    <xf borderId="64" fillId="46" fontId="15" numFmtId="0" xfId="0" applyAlignment="1" applyBorder="1" applyFill="1" applyFont="1">
      <alignment horizontal="center" vertical="top"/>
    </xf>
    <xf borderId="136" fillId="46" fontId="47" numFmtId="0" xfId="0" applyAlignment="1" applyBorder="1" applyFont="1">
      <alignment horizontal="left" readingOrder="0" vertical="center"/>
    </xf>
    <xf borderId="49" fillId="47" fontId="19" numFmtId="0" xfId="0" applyAlignment="1" applyBorder="1" applyFill="1" applyFont="1">
      <alignment horizontal="center" vertical="center"/>
    </xf>
    <xf borderId="137" fillId="46" fontId="20" numFmtId="0" xfId="0" applyAlignment="1" applyBorder="1" applyFont="1">
      <alignment horizontal="left" readingOrder="0" vertical="top"/>
    </xf>
    <xf borderId="64" fillId="48" fontId="15" numFmtId="0" xfId="0" applyAlignment="1" applyBorder="1" applyFill="1" applyFont="1">
      <alignment horizontal="center" vertical="top"/>
    </xf>
    <xf borderId="138" fillId="48" fontId="48" numFmtId="0" xfId="0" applyAlignment="1" applyBorder="1" applyFont="1">
      <alignment horizontal="left" readingOrder="0" vertical="center"/>
    </xf>
    <xf borderId="139" fillId="48" fontId="20" numFmtId="0" xfId="0" applyAlignment="1" applyBorder="1" applyFont="1">
      <alignment horizontal="left" readingOrder="0" vertical="top"/>
    </xf>
    <xf borderId="64" fillId="49" fontId="15" numFmtId="0" xfId="0" applyAlignment="1" applyBorder="1" applyFill="1" applyFont="1">
      <alignment horizontal="center" vertical="top"/>
    </xf>
    <xf borderId="140" fillId="49" fontId="49" numFmtId="0" xfId="0" applyAlignment="1" applyBorder="1" applyFont="1">
      <alignment horizontal="left" readingOrder="0" vertical="center"/>
    </xf>
    <xf borderId="141" fillId="49" fontId="20" numFmtId="0" xfId="0" applyAlignment="1" applyBorder="1" applyFont="1">
      <alignment horizontal="left" readingOrder="0" vertical="top"/>
    </xf>
    <xf borderId="64" fillId="50" fontId="15" numFmtId="0" xfId="0" applyAlignment="1" applyBorder="1" applyFill="1" applyFont="1">
      <alignment horizontal="center" vertical="top"/>
    </xf>
    <xf borderId="142" fillId="50" fontId="50" numFmtId="0" xfId="0" applyAlignment="1" applyBorder="1" applyFont="1">
      <alignment horizontal="left" readingOrder="0" vertical="center"/>
    </xf>
    <xf borderId="143" fillId="50" fontId="20" numFmtId="0" xfId="0" applyAlignment="1" applyBorder="1" applyFont="1">
      <alignment horizontal="left" readingOrder="0" vertical="top"/>
    </xf>
    <xf borderId="44" fillId="8" fontId="51" numFmtId="0" xfId="0" applyAlignment="1" applyBorder="1" applyFont="1">
      <alignment horizontal="center" readingOrder="0" vertical="center"/>
    </xf>
    <xf borderId="64" fillId="51" fontId="15" numFmtId="0" xfId="0" applyAlignment="1" applyBorder="1" applyFill="1" applyFont="1">
      <alignment horizontal="center" vertical="top"/>
    </xf>
    <xf borderId="144" fillId="51" fontId="52" numFmtId="0" xfId="0" applyAlignment="1" applyBorder="1" applyFont="1">
      <alignment horizontal="left" readingOrder="0" vertical="center"/>
    </xf>
    <xf borderId="145" fillId="51" fontId="20" numFmtId="0" xfId="0" applyAlignment="1" applyBorder="1" applyFont="1">
      <alignment horizontal="left" readingOrder="0" vertical="top"/>
    </xf>
    <xf borderId="64" fillId="26" fontId="31" numFmtId="0" xfId="0" applyAlignment="1" applyBorder="1" applyFont="1">
      <alignment horizontal="center" vertical="top"/>
    </xf>
    <xf borderId="64" fillId="33" fontId="31" numFmtId="0" xfId="0" applyAlignment="1" applyBorder="1" applyFont="1">
      <alignment horizontal="center" vertical="top"/>
    </xf>
    <xf borderId="64" fillId="52" fontId="31" numFmtId="0" xfId="0" applyAlignment="1" applyBorder="1" applyFill="1" applyFont="1">
      <alignment horizontal="center" vertical="top"/>
    </xf>
    <xf borderId="146" fillId="52" fontId="53" numFmtId="0" xfId="0" applyAlignment="1" applyBorder="1" applyFont="1">
      <alignment horizontal="left" readingOrder="0" vertical="center"/>
    </xf>
    <xf borderId="147" fillId="52" fontId="20" numFmtId="0" xfId="0" applyAlignment="1" applyBorder="1" applyFont="1">
      <alignment horizontal="left" readingOrder="0" vertical="top"/>
    </xf>
    <xf borderId="64" fillId="53" fontId="15" numFmtId="0" xfId="0" applyAlignment="1" applyBorder="1" applyFill="1" applyFont="1">
      <alignment horizontal="center" vertical="top"/>
    </xf>
    <xf borderId="148" fillId="53" fontId="54" numFmtId="0" xfId="0" applyAlignment="1" applyBorder="1" applyFont="1">
      <alignment horizontal="left" readingOrder="0" vertical="center"/>
    </xf>
    <xf borderId="49" fillId="54" fontId="19" numFmtId="0" xfId="0" applyAlignment="1" applyBorder="1" applyFill="1" applyFont="1">
      <alignment horizontal="center" vertical="center"/>
    </xf>
    <xf borderId="149" fillId="53" fontId="20" numFmtId="0" xfId="0" applyAlignment="1" applyBorder="1" applyFont="1">
      <alignment horizontal="left" readingOrder="0" vertical="top"/>
    </xf>
    <xf borderId="64" fillId="55" fontId="15" numFmtId="0" xfId="0" applyAlignment="1" applyBorder="1" applyFill="1" applyFont="1">
      <alignment horizontal="center" vertical="top"/>
    </xf>
    <xf borderId="150" fillId="55" fontId="55" numFmtId="0" xfId="0" applyAlignment="1" applyBorder="1" applyFont="1">
      <alignment horizontal="left" readingOrder="0" vertical="center"/>
    </xf>
    <xf borderId="151" fillId="55" fontId="20" numFmtId="0" xfId="0" applyAlignment="1" applyBorder="1" applyFont="1">
      <alignment horizontal="left" readingOrder="0" vertical="top"/>
    </xf>
    <xf borderId="64" fillId="56" fontId="15" numFmtId="0" xfId="0" applyAlignment="1" applyBorder="1" applyFill="1" applyFont="1">
      <alignment horizontal="center" vertical="top"/>
    </xf>
    <xf borderId="152" fillId="56" fontId="56" numFmtId="0" xfId="0" applyAlignment="1" applyBorder="1" applyFont="1">
      <alignment horizontal="left" readingOrder="0" vertical="center"/>
    </xf>
    <xf borderId="153" fillId="56" fontId="20" numFmtId="0" xfId="0" applyAlignment="1" applyBorder="1" applyFont="1">
      <alignment horizontal="left" readingOrder="0" vertical="top"/>
    </xf>
    <xf borderId="64" fillId="57" fontId="31" numFmtId="0" xfId="0" applyAlignment="1" applyBorder="1" applyFill="1" applyFont="1">
      <alignment horizontal="center" vertical="top"/>
    </xf>
    <xf borderId="154" fillId="57" fontId="57" numFmtId="0" xfId="0" applyAlignment="1" applyBorder="1" applyFont="1">
      <alignment horizontal="left" readingOrder="0" vertical="center"/>
    </xf>
    <xf borderId="155" fillId="57" fontId="20" numFmtId="0" xfId="0" applyAlignment="1" applyBorder="1" applyFont="1">
      <alignment horizontal="left" readingOrder="0" vertical="top"/>
    </xf>
    <xf borderId="49" fillId="58" fontId="19" numFmtId="0" xfId="0" applyAlignment="1" applyBorder="1" applyFill="1" applyFont="1">
      <alignment horizontal="center" vertical="center"/>
    </xf>
    <xf borderId="64" fillId="10" fontId="31" numFmtId="0" xfId="0" applyAlignment="1" applyBorder="1" applyFont="1">
      <alignment horizontal="center" vertical="top"/>
    </xf>
    <xf borderId="156" fillId="10" fontId="58" numFmtId="0" xfId="0" applyAlignment="1" applyBorder="1" applyFont="1">
      <alignment horizontal="left" readingOrder="0" vertical="center"/>
    </xf>
    <xf borderId="157" fillId="10" fontId="20" numFmtId="0" xfId="0" applyAlignment="1" applyBorder="1" applyFont="1">
      <alignment horizontal="left" readingOrder="0" vertical="top"/>
    </xf>
    <xf borderId="49" fillId="59" fontId="19" numFmtId="0" xfId="0" applyAlignment="1" applyBorder="1" applyFill="1" applyFont="1">
      <alignment horizontal="center" vertical="center"/>
    </xf>
    <xf borderId="64" fillId="60" fontId="15" numFmtId="0" xfId="0" applyAlignment="1" applyBorder="1" applyFill="1" applyFont="1">
      <alignment horizontal="center" vertical="top"/>
    </xf>
    <xf borderId="158" fillId="60" fontId="59" numFmtId="0" xfId="0" applyAlignment="1" applyBorder="1" applyFont="1">
      <alignment horizontal="left" readingOrder="0" vertical="center"/>
    </xf>
    <xf borderId="159" fillId="60" fontId="20" numFmtId="0" xfId="0" applyAlignment="1" applyBorder="1" applyFont="1">
      <alignment horizontal="left" readingOrder="0" vertical="top"/>
    </xf>
    <xf borderId="49" fillId="61" fontId="19" numFmtId="0" xfId="0" applyAlignment="1" applyBorder="1" applyFill="1" applyFont="1">
      <alignment horizontal="center" vertical="center"/>
    </xf>
    <xf borderId="64" fillId="62" fontId="15" numFmtId="0" xfId="0" applyAlignment="1" applyBorder="1" applyFill="1" applyFont="1">
      <alignment horizontal="center" vertical="top"/>
    </xf>
    <xf borderId="160" fillId="62" fontId="60" numFmtId="0" xfId="0" applyAlignment="1" applyBorder="1" applyFont="1">
      <alignment horizontal="left" readingOrder="0" vertical="center"/>
    </xf>
    <xf borderId="49" fillId="63" fontId="19" numFmtId="0" xfId="0" applyAlignment="1" applyBorder="1" applyFill="1" applyFont="1">
      <alignment horizontal="center" vertical="center"/>
    </xf>
    <xf borderId="161" fillId="62" fontId="20" numFmtId="0" xfId="0" applyAlignment="1" applyBorder="1" applyFont="1">
      <alignment horizontal="left" readingOrder="0" vertical="top"/>
    </xf>
    <xf borderId="64" fillId="64" fontId="31" numFmtId="0" xfId="0" applyAlignment="1" applyBorder="1" applyFill="1" applyFont="1">
      <alignment horizontal="center" vertical="top"/>
    </xf>
    <xf borderId="162" fillId="64" fontId="61" numFmtId="0" xfId="0" applyAlignment="1" applyBorder="1" applyFont="1">
      <alignment horizontal="left" readingOrder="0" vertical="center"/>
    </xf>
    <xf borderId="163" fillId="64" fontId="20" numFmtId="0" xfId="0" applyAlignment="1" applyBorder="1" applyFont="1">
      <alignment horizontal="left" readingOrder="0" vertical="top"/>
    </xf>
    <xf borderId="64" fillId="65" fontId="15" numFmtId="0" xfId="0" applyAlignment="1" applyBorder="1" applyFill="1" applyFont="1">
      <alignment horizontal="center" vertical="top"/>
    </xf>
    <xf borderId="164" fillId="65" fontId="62" numFmtId="0" xfId="0" applyAlignment="1" applyBorder="1" applyFont="1">
      <alignment horizontal="left" readingOrder="0" vertical="center"/>
    </xf>
    <xf borderId="49" fillId="66" fontId="19" numFmtId="0" xfId="0" applyAlignment="1" applyBorder="1" applyFill="1" applyFont="1">
      <alignment horizontal="center" vertical="center"/>
    </xf>
    <xf borderId="165" fillId="65" fontId="20" numFmtId="0" xfId="0" applyAlignment="1" applyBorder="1" applyFont="1">
      <alignment horizontal="left" readingOrder="0" vertical="top"/>
    </xf>
    <xf borderId="49" fillId="67" fontId="19" numFmtId="0" xfId="0" applyAlignment="1" applyBorder="1" applyFill="1" applyFont="1">
      <alignment horizontal="center" vertical="center"/>
    </xf>
    <xf borderId="64" fillId="68" fontId="15" numFmtId="0" xfId="0" applyAlignment="1" applyBorder="1" applyFill="1" applyFont="1">
      <alignment horizontal="center" vertical="top"/>
    </xf>
    <xf borderId="166" fillId="68" fontId="63" numFmtId="0" xfId="0" applyAlignment="1" applyBorder="1" applyFont="1">
      <alignment horizontal="left" readingOrder="0" vertical="center"/>
    </xf>
    <xf borderId="167" fillId="68" fontId="20" numFmtId="0" xfId="0" applyAlignment="1" applyBorder="1" applyFont="1">
      <alignment horizontal="left" readingOrder="0" vertical="top"/>
    </xf>
    <xf borderId="64" fillId="69" fontId="15" numFmtId="0" xfId="0" applyAlignment="1" applyBorder="1" applyFill="1" applyFont="1">
      <alignment horizontal="center" vertical="top"/>
    </xf>
    <xf borderId="168" fillId="69" fontId="64" numFmtId="0" xfId="0" applyAlignment="1" applyBorder="1" applyFont="1">
      <alignment horizontal="left" readingOrder="0" vertical="center"/>
    </xf>
    <xf borderId="169" fillId="69" fontId="20" numFmtId="0" xfId="0" applyAlignment="1" applyBorder="1" applyFont="1">
      <alignment horizontal="left" readingOrder="0" vertical="top"/>
    </xf>
    <xf borderId="64" fillId="70" fontId="15" numFmtId="0" xfId="0" applyAlignment="1" applyBorder="1" applyFill="1" applyFont="1">
      <alignment horizontal="center" vertical="top"/>
    </xf>
    <xf borderId="170" fillId="70" fontId="65" numFmtId="0" xfId="0" applyAlignment="1" applyBorder="1" applyFont="1">
      <alignment horizontal="left" readingOrder="0" vertical="center"/>
    </xf>
    <xf borderId="171" fillId="70" fontId="20" numFmtId="0" xfId="0" applyAlignment="1" applyBorder="1" applyFont="1">
      <alignment horizontal="left" readingOrder="0" vertical="top"/>
    </xf>
    <xf borderId="64" fillId="71" fontId="15" numFmtId="0" xfId="0" applyAlignment="1" applyBorder="1" applyFill="1" applyFont="1">
      <alignment horizontal="center" vertical="top"/>
    </xf>
    <xf borderId="172" fillId="71" fontId="66" numFmtId="0" xfId="0" applyAlignment="1" applyBorder="1" applyFont="1">
      <alignment horizontal="left" readingOrder="0" vertical="center"/>
    </xf>
    <xf borderId="173" fillId="71" fontId="20" numFmtId="0" xfId="0" applyAlignment="1" applyBorder="1" applyFont="1">
      <alignment horizontal="left" readingOrder="0" vertical="top"/>
    </xf>
    <xf borderId="71" fillId="0" fontId="4" numFmtId="0" xfId="0" applyBorder="1" applyFont="1"/>
    <xf borderId="174" fillId="9" fontId="15" numFmtId="0" xfId="0" applyAlignment="1" applyBorder="1" applyFont="1">
      <alignment horizontal="center" vertical="center"/>
    </xf>
    <xf borderId="175" fillId="9" fontId="15" numFmtId="0" xfId="0" applyAlignment="1" applyBorder="1" applyFont="1">
      <alignment horizontal="center" vertical="center"/>
    </xf>
    <xf borderId="176" fillId="9" fontId="15" numFmtId="0" xfId="0" applyAlignment="1" applyBorder="1" applyFont="1">
      <alignment horizontal="center" vertical="center"/>
    </xf>
    <xf borderId="177" fillId="9" fontId="15" numFmtId="0" xfId="0" applyAlignment="1" applyBorder="1" applyFont="1">
      <alignment horizontal="center" vertical="center"/>
    </xf>
    <xf borderId="178" fillId="8" fontId="15" numFmtId="0" xfId="0" applyAlignment="1" applyBorder="1" applyFont="1">
      <alignment horizontal="center" vertical="center"/>
    </xf>
    <xf borderId="179" fillId="72" fontId="67" numFmtId="0" xfId="0" applyAlignment="1" applyBorder="1" applyFill="1" applyFont="1">
      <alignment horizontal="center" vertical="center"/>
    </xf>
    <xf borderId="180" fillId="72" fontId="67" numFmtId="0" xfId="0" applyAlignment="1" applyBorder="1" applyFont="1">
      <alignment horizontal="center" vertical="center"/>
    </xf>
    <xf borderId="180" fillId="72" fontId="68" numFmtId="0" xfId="0" applyAlignment="1" applyBorder="1" applyFont="1">
      <alignment horizontal="center" vertical="center"/>
    </xf>
    <xf borderId="181" fillId="72" fontId="67" numFmtId="0" xfId="0" applyAlignment="1" applyBorder="1" applyFont="1">
      <alignment horizontal="center" vertical="center"/>
    </xf>
    <xf borderId="182" fillId="73" fontId="67" numFmtId="0" xfId="0" applyAlignment="1" applyBorder="1" applyFill="1" applyFont="1">
      <alignment horizontal="center" vertical="center"/>
    </xf>
    <xf borderId="183" fillId="73" fontId="68" numFmtId="0" xfId="0" applyAlignment="1" applyBorder="1" applyFont="1">
      <alignment horizontal="center" vertical="center"/>
    </xf>
    <xf borderId="184" fillId="73" fontId="67" numFmtId="0" xfId="0" applyAlignment="1" applyBorder="1" applyFont="1">
      <alignment horizontal="center" vertical="center"/>
    </xf>
    <xf borderId="185" fillId="73" fontId="67" numFmtId="0" xfId="0" applyAlignment="1" applyBorder="1" applyFont="1">
      <alignment horizontal="center" vertical="center"/>
    </xf>
    <xf borderId="186" fillId="73" fontId="67" numFmtId="0" xfId="0" applyAlignment="1" applyBorder="1" applyFont="1">
      <alignment horizontal="center" vertical="center"/>
    </xf>
    <xf borderId="187" fillId="72" fontId="67" numFmtId="0" xfId="0" applyAlignment="1" applyBorder="1" applyFont="1">
      <alignment horizontal="center" vertical="center"/>
    </xf>
    <xf borderId="181" fillId="72" fontId="69" numFmtId="0" xfId="0" applyAlignment="1" applyBorder="1" applyFont="1">
      <alignment horizontal="center" vertical="center"/>
    </xf>
    <xf borderId="188" fillId="73" fontId="67" numFmtId="0" xfId="0" applyAlignment="1" applyBorder="1" applyFont="1">
      <alignment horizontal="center" vertical="center"/>
    </xf>
    <xf borderId="189" fillId="17" fontId="68" numFmtId="0" xfId="0" applyAlignment="1" applyBorder="1" applyFont="1">
      <alignment horizontal="center" vertical="center"/>
    </xf>
    <xf borderId="190" fillId="73" fontId="70" numFmtId="0" xfId="0" applyAlignment="1" applyBorder="1" applyFont="1">
      <alignment horizontal="center" vertical="center"/>
    </xf>
    <xf borderId="191" fillId="17" fontId="71" numFmtId="0" xfId="0" applyAlignment="1" applyBorder="1" applyFont="1">
      <alignment horizontal="center" vertical="center"/>
    </xf>
    <xf borderId="192" fillId="0" fontId="4" numFmtId="0" xfId="0" applyBorder="1" applyFont="1"/>
    <xf borderId="193" fillId="0" fontId="4" numFmtId="0" xfId="0" applyBorder="1" applyFont="1"/>
    <xf borderId="190" fillId="73" fontId="71" numFmtId="0" xfId="0" applyAlignment="1" applyBorder="1" applyFont="1">
      <alignment horizontal="center" vertical="center"/>
    </xf>
    <xf borderId="194" fillId="73" fontId="67" numFmtId="0" xfId="0" applyAlignment="1" applyBorder="1" applyFont="1">
      <alignment horizontal="center" vertical="center"/>
    </xf>
    <xf borderId="195" fillId="73" fontId="67" numFmtId="0" xfId="0" applyAlignment="1" applyBorder="1" applyFont="1">
      <alignment horizontal="center" vertical="center"/>
    </xf>
    <xf borderId="190" fillId="0" fontId="4" numFmtId="0" xfId="0" applyBorder="1" applyFont="1"/>
    <xf borderId="196" fillId="0" fontId="4" numFmtId="0" xfId="0" applyBorder="1" applyFont="1"/>
    <xf borderId="197" fillId="73" fontId="67" numFmtId="0" xfId="0" applyAlignment="1" applyBorder="1" applyFont="1">
      <alignment horizontal="center" vertical="center"/>
    </xf>
    <xf borderId="198" fillId="73" fontId="67" numFmtId="0" xfId="0" applyAlignment="1" applyBorder="1" applyFont="1">
      <alignment horizontal="center" vertical="center"/>
    </xf>
    <xf borderId="187" fillId="72" fontId="69" numFmtId="0" xfId="0" applyAlignment="1" applyBorder="1" applyFont="1">
      <alignment horizontal="center" vertical="center"/>
    </xf>
    <xf borderId="181" fillId="72" fontId="72" numFmtId="0" xfId="0" applyAlignment="1" applyBorder="1" applyFont="1">
      <alignment horizontal="center" readingOrder="0" vertical="center"/>
    </xf>
    <xf borderId="188" fillId="73" fontId="73" numFmtId="0" xfId="0" applyAlignment="1" applyBorder="1" applyFont="1">
      <alignment horizontal="center" vertical="center"/>
    </xf>
    <xf borderId="199" fillId="73" fontId="74" numFmtId="0" xfId="0" applyAlignment="1" applyBorder="1" applyFont="1">
      <alignment horizontal="right" readingOrder="0" shrinkToFit="0" vertical="center" wrapText="1"/>
    </xf>
    <xf borderId="190" fillId="73" fontId="73" numFmtId="0" xfId="0" applyAlignment="1" applyBorder="1" applyFont="1">
      <alignment horizontal="center" readingOrder="0" vertical="center"/>
    </xf>
    <xf borderId="200" fillId="73" fontId="75" numFmtId="0" xfId="0" applyAlignment="1" applyBorder="1" applyFont="1">
      <alignment horizontal="center" readingOrder="0" vertical="center"/>
    </xf>
    <xf borderId="201" fillId="0" fontId="4" numFmtId="0" xfId="0" applyBorder="1" applyFont="1"/>
    <xf borderId="202" fillId="0" fontId="4" numFmtId="0" xfId="0" applyBorder="1" applyFont="1"/>
    <xf borderId="190" fillId="73" fontId="76" numFmtId="0" xfId="0" applyAlignment="1" applyBorder="1" applyFont="1">
      <alignment horizontal="center" readingOrder="0" vertical="center"/>
    </xf>
    <xf borderId="203" fillId="0" fontId="4" numFmtId="0" xfId="0" applyBorder="1" applyFont="1"/>
    <xf borderId="195" fillId="73" fontId="73" numFmtId="0" xfId="0" applyAlignment="1" applyBorder="1" applyFont="1">
      <alignment horizontal="center" vertical="center"/>
    </xf>
    <xf borderId="204" fillId="0" fontId="4" numFmtId="0" xfId="0" applyBorder="1" applyFont="1"/>
    <xf borderId="198" fillId="73" fontId="73" numFmtId="0" xfId="0" applyAlignment="1" applyBorder="1" applyFont="1">
      <alignment horizontal="center" vertical="center"/>
    </xf>
    <xf borderId="187" fillId="72" fontId="73" numFmtId="0" xfId="0" applyAlignment="1" applyBorder="1" applyFont="1">
      <alignment horizontal="center" vertical="center"/>
    </xf>
    <xf borderId="188" fillId="73" fontId="77" numFmtId="0" xfId="0" applyAlignment="1" applyBorder="1" applyFont="1">
      <alignment horizontal="center" vertical="center"/>
    </xf>
    <xf borderId="205" fillId="0" fontId="4" numFmtId="0" xfId="0" applyBorder="1" applyFont="1"/>
    <xf borderId="190" fillId="73" fontId="77" numFmtId="0" xfId="0" applyAlignment="1" applyBorder="1" applyFont="1">
      <alignment horizontal="center" readingOrder="0" vertical="center"/>
    </xf>
    <xf borderId="206" fillId="73" fontId="78" numFmtId="0" xfId="0" applyAlignment="1" applyBorder="1" applyFont="1">
      <alignment horizontal="center" readingOrder="0" vertical="top"/>
    </xf>
    <xf borderId="207" fillId="0" fontId="4" numFmtId="0" xfId="0" applyBorder="1" applyFont="1"/>
    <xf borderId="208" fillId="0" fontId="4" numFmtId="0" xfId="0" applyBorder="1" applyFont="1"/>
    <xf borderId="190" fillId="73" fontId="79" numFmtId="0" xfId="0" applyAlignment="1" applyBorder="1" applyFont="1">
      <alignment horizontal="center" readingOrder="0" vertical="center"/>
    </xf>
    <xf borderId="195" fillId="73" fontId="77" numFmtId="0" xfId="0" applyAlignment="1" applyBorder="1" applyFont="1">
      <alignment horizontal="center" vertical="center"/>
    </xf>
    <xf borderId="198" fillId="73" fontId="77" numFmtId="0" xfId="0" applyAlignment="1" applyBorder="1" applyFont="1">
      <alignment horizontal="center" vertical="center"/>
    </xf>
    <xf borderId="187" fillId="72" fontId="77" numFmtId="0" xfId="0" applyAlignment="1" applyBorder="1" applyFont="1">
      <alignment horizontal="center" vertical="center"/>
    </xf>
    <xf borderId="209" fillId="73" fontId="67" numFmtId="0" xfId="0" applyAlignment="1" applyBorder="1" applyFont="1">
      <alignment horizontal="center" vertical="center"/>
    </xf>
    <xf borderId="210" fillId="73" fontId="68" numFmtId="0" xfId="0" applyAlignment="1" applyBorder="1" applyFont="1">
      <alignment horizontal="center" vertical="center"/>
    </xf>
    <xf borderId="190" fillId="73" fontId="67" numFmtId="0" xfId="0" applyAlignment="1" applyBorder="1" applyFont="1">
      <alignment horizontal="center" vertical="center"/>
    </xf>
    <xf borderId="211" fillId="73" fontId="80" numFmtId="0" xfId="0" applyAlignment="1" applyBorder="1" applyFont="1">
      <alignment horizontal="center" vertical="top"/>
    </xf>
    <xf borderId="212" fillId="73" fontId="80" numFmtId="0" xfId="0" applyAlignment="1" applyBorder="1" applyFont="1">
      <alignment horizontal="right" vertical="top"/>
    </xf>
    <xf borderId="212" fillId="73" fontId="80" numFmtId="0" xfId="0" applyAlignment="1" applyBorder="1" applyFont="1">
      <alignment horizontal="left" vertical="top"/>
    </xf>
    <xf borderId="213" fillId="73" fontId="80" numFmtId="0" xfId="0" applyAlignment="1" applyBorder="1" applyFont="1">
      <alignment horizontal="center" vertical="top"/>
    </xf>
    <xf borderId="190" fillId="73" fontId="80" numFmtId="0" xfId="0" applyAlignment="1" applyBorder="1" applyFont="1">
      <alignment horizontal="center" vertical="center"/>
    </xf>
    <xf borderId="181" fillId="72" fontId="81" numFmtId="0" xfId="0" applyAlignment="1" applyBorder="1" applyFont="1">
      <alignment horizontal="center" vertical="center"/>
    </xf>
    <xf borderId="210" fillId="0" fontId="4" numFmtId="0" xfId="0" applyBorder="1" applyFont="1"/>
    <xf borderId="214" fillId="73" fontId="80" numFmtId="0" xfId="0" applyAlignment="1" applyBorder="1" applyFont="1">
      <alignment horizontal="center" vertical="top"/>
    </xf>
    <xf borderId="215" fillId="73" fontId="80" numFmtId="0" xfId="0" applyAlignment="1" applyBorder="1" applyFont="1">
      <alignment horizontal="center" vertical="top"/>
    </xf>
    <xf borderId="216" fillId="73" fontId="80" numFmtId="0" xfId="0" applyAlignment="1" applyBorder="1" applyFont="1">
      <alignment horizontal="center" vertical="top"/>
    </xf>
    <xf borderId="217" fillId="73" fontId="67" numFmtId="0" xfId="0" applyAlignment="1" applyBorder="1" applyFont="1">
      <alignment horizontal="center" vertical="center"/>
    </xf>
    <xf borderId="218" fillId="0" fontId="4" numFmtId="0" xfId="0" applyBorder="1" applyFont="1"/>
    <xf borderId="219" fillId="73" fontId="79" numFmtId="0" xfId="0" applyAlignment="1" applyBorder="1" applyFont="1">
      <alignment horizontal="center" readingOrder="0" vertical="center"/>
    </xf>
    <xf borderId="220" fillId="0" fontId="4" numFmtId="0" xfId="0" applyBorder="1" applyFont="1"/>
    <xf borderId="221" fillId="0" fontId="4" numFmtId="0" xfId="0" applyBorder="1" applyFont="1"/>
    <xf borderId="190" fillId="73" fontId="79" numFmtId="0" xfId="0" applyAlignment="1" applyBorder="1" applyFont="1">
      <alignment horizontal="center" vertical="center"/>
    </xf>
    <xf borderId="222" fillId="73" fontId="2" numFmtId="0" xfId="0" applyBorder="1" applyFont="1"/>
    <xf borderId="223" fillId="73" fontId="79" numFmtId="0" xfId="0" applyAlignment="1" applyBorder="1" applyFont="1">
      <alignment horizontal="center" readingOrder="0" vertical="center"/>
    </xf>
    <xf borderId="224" fillId="0" fontId="4" numFmtId="0" xfId="0" applyBorder="1" applyFont="1"/>
    <xf borderId="206" fillId="73" fontId="79" numFmtId="0" xfId="0" applyAlignment="1" applyBorder="1" applyFont="1">
      <alignment horizontal="center" readingOrder="0" vertical="center"/>
    </xf>
    <xf borderId="225" fillId="0" fontId="4" numFmtId="0" xfId="0" applyBorder="1" applyFont="1"/>
    <xf borderId="226" fillId="73" fontId="79" numFmtId="0" xfId="0" applyAlignment="1" applyBorder="1" applyFont="1">
      <alignment horizontal="center" readingOrder="0" vertical="center"/>
    </xf>
    <xf borderId="226" fillId="73" fontId="79" numFmtId="0" xfId="0" applyAlignment="1" applyBorder="1" applyFont="1">
      <alignment horizontal="center" vertical="center"/>
    </xf>
    <xf borderId="227" fillId="73" fontId="79" numFmtId="0" xfId="0" applyAlignment="1" applyBorder="1" applyFont="1">
      <alignment horizontal="center" readingOrder="0" vertical="center"/>
    </xf>
    <xf borderId="228" fillId="73" fontId="68" numFmtId="0" xfId="0" applyAlignment="1" applyBorder="1" applyFont="1">
      <alignment horizontal="center" vertical="center"/>
    </xf>
    <xf borderId="229" fillId="73" fontId="79" numFmtId="0" xfId="0" applyAlignment="1" applyBorder="1" applyFont="1">
      <alignment horizontal="center" readingOrder="0" vertical="center"/>
    </xf>
    <xf borderId="230" fillId="73" fontId="79" numFmtId="0" xfId="0" applyAlignment="1" applyBorder="1" applyFont="1">
      <alignment horizontal="center" readingOrder="0" vertical="center"/>
    </xf>
    <xf borderId="231" fillId="0" fontId="4" numFmtId="0" xfId="0" applyBorder="1" applyFont="1"/>
    <xf borderId="232" fillId="73" fontId="79" numFmtId="0" xfId="0" applyAlignment="1" applyBorder="1" applyFont="1">
      <alignment horizontal="center" readingOrder="0" vertical="center"/>
    </xf>
    <xf borderId="233" fillId="0" fontId="4" numFmtId="0" xfId="0" applyBorder="1" applyFont="1"/>
    <xf borderId="234" fillId="0" fontId="4" numFmtId="0" xfId="0" applyBorder="1" applyFont="1"/>
    <xf borderId="195" fillId="73" fontId="82" numFmtId="0" xfId="0" applyAlignment="1" applyBorder="1" applyFont="1">
      <alignment horizontal="center" vertical="center"/>
    </xf>
    <xf borderId="235" fillId="0" fontId="4" numFmtId="0" xfId="0" applyBorder="1" applyFont="1"/>
    <xf borderId="217" fillId="73" fontId="83" numFmtId="0" xfId="0" applyAlignment="1" applyBorder="1" applyFont="1">
      <alignment horizontal="center" vertical="center"/>
    </xf>
    <xf borderId="217" fillId="73" fontId="84" numFmtId="0" xfId="0" applyAlignment="1" applyBorder="1" applyFont="1">
      <alignment horizontal="center" vertical="center"/>
    </xf>
    <xf borderId="204" fillId="73" fontId="84" numFmtId="0" xfId="0" applyAlignment="1" applyBorder="1" applyFont="1">
      <alignment horizontal="center" vertical="top"/>
    </xf>
    <xf borderId="217" fillId="73" fontId="84" numFmtId="0" xfId="0" applyAlignment="1" applyBorder="1" applyFont="1">
      <alignment horizontal="center" vertical="top"/>
    </xf>
    <xf borderId="217" fillId="73" fontId="85" numFmtId="0" xfId="0" applyAlignment="1" applyBorder="1" applyFont="1">
      <alignment horizontal="center" vertical="center"/>
    </xf>
    <xf borderId="217" fillId="73" fontId="82" numFmtId="0" xfId="0" applyAlignment="1" applyBorder="1" applyFont="1">
      <alignment horizontal="center" vertical="center"/>
    </xf>
    <xf borderId="209" fillId="73" fontId="86" numFmtId="0" xfId="0" applyAlignment="1" applyBorder="1" applyFont="1">
      <alignment horizontal="center" vertical="center"/>
    </xf>
    <xf borderId="228" fillId="73" fontId="83" numFmtId="0" xfId="0" applyAlignment="1" applyBorder="1" applyFont="1">
      <alignment horizontal="center" vertical="center"/>
    </xf>
    <xf borderId="236" fillId="73" fontId="87" numFmtId="0" xfId="0" applyAlignment="1" applyBorder="1" applyFont="1">
      <alignment horizontal="center" vertical="center"/>
    </xf>
    <xf borderId="237" fillId="17" fontId="88" numFmtId="0" xfId="0" applyAlignment="1" applyBorder="1" applyFont="1">
      <alignment horizontal="center" readingOrder="0" vertical="top"/>
    </xf>
    <xf borderId="238" fillId="0" fontId="4" numFmtId="0" xfId="0" applyBorder="1" applyFont="1"/>
    <xf borderId="239" fillId="0" fontId="4" numFmtId="0" xfId="0" applyBorder="1" applyFont="1"/>
    <xf borderId="240" fillId="17" fontId="88" numFmtId="0" xfId="0" applyAlignment="1" applyBorder="1" applyFont="1">
      <alignment horizontal="center" readingOrder="0" vertical="top"/>
    </xf>
    <xf borderId="190" fillId="73" fontId="89" numFmtId="0" xfId="0" applyAlignment="1" applyBorder="1" applyFont="1">
      <alignment horizontal="center" vertical="top"/>
    </xf>
    <xf borderId="196" fillId="73" fontId="87" numFmtId="0" xfId="0" applyAlignment="1" applyBorder="1" applyFont="1">
      <alignment horizontal="center" vertical="center"/>
    </xf>
    <xf borderId="217" fillId="73" fontId="87" numFmtId="0" xfId="0" applyAlignment="1" applyBorder="1" applyFont="1">
      <alignment horizontal="center" vertical="center"/>
    </xf>
    <xf borderId="217" fillId="73" fontId="86" numFmtId="0" xfId="0" applyAlignment="1" applyBorder="1" applyFont="1">
      <alignment horizontal="center" vertical="center"/>
    </xf>
    <xf borderId="198" fillId="73" fontId="86" numFmtId="0" xfId="0" applyAlignment="1" applyBorder="1" applyFont="1">
      <alignment horizontal="center" vertical="center"/>
    </xf>
    <xf borderId="187" fillId="72" fontId="86" numFmtId="0" xfId="0" applyAlignment="1" applyBorder="1" applyFont="1">
      <alignment horizontal="center" vertical="center"/>
    </xf>
    <xf borderId="241" fillId="17" fontId="88" numFmtId="0" xfId="0" applyAlignment="1" applyBorder="1" applyFont="1">
      <alignment horizontal="center" readingOrder="0" vertical="center"/>
    </xf>
    <xf borderId="242" fillId="17" fontId="88" numFmtId="0" xfId="0" applyAlignment="1" applyBorder="1" applyFont="1">
      <alignment horizontal="center" readingOrder="0" vertical="center"/>
    </xf>
    <xf borderId="243" fillId="17" fontId="88" numFmtId="0" xfId="0" applyAlignment="1" applyBorder="1" applyFont="1">
      <alignment horizontal="left" readingOrder="0" vertical="center"/>
    </xf>
    <xf borderId="244" fillId="17" fontId="88" numFmtId="0" xfId="0" applyAlignment="1" applyBorder="1" applyFont="1">
      <alignment horizontal="center" readingOrder="0" vertical="center"/>
    </xf>
    <xf borderId="190" fillId="73" fontId="89" numFmtId="0" xfId="0" applyAlignment="1" applyBorder="1" applyFont="1">
      <alignment horizontal="center" vertical="center"/>
    </xf>
    <xf borderId="245" fillId="17" fontId="88" numFmtId="0" xfId="0" applyAlignment="1" applyBorder="1" applyFont="1">
      <alignment horizontal="center" readingOrder="0" vertical="center"/>
    </xf>
    <xf borderId="246" fillId="17" fontId="88" numFmtId="0" xfId="0" applyAlignment="1" applyBorder="1" applyFont="1">
      <alignment horizontal="center" readingOrder="0" vertical="center"/>
    </xf>
    <xf borderId="247" fillId="17" fontId="88" numFmtId="0" xfId="0" applyAlignment="1" applyBorder="1" applyFont="1">
      <alignment horizontal="left" readingOrder="0" vertical="center"/>
    </xf>
    <xf borderId="248" fillId="17" fontId="88" numFmtId="0" xfId="0" applyAlignment="1" applyBorder="1" applyFont="1">
      <alignment horizontal="center" readingOrder="0" vertical="center"/>
    </xf>
    <xf borderId="249" fillId="17" fontId="88" numFmtId="0" xfId="0" applyAlignment="1" applyBorder="1" applyFont="1">
      <alignment horizontal="center" readingOrder="0" vertical="center"/>
    </xf>
    <xf borderId="250" fillId="17" fontId="88" numFmtId="0" xfId="0" applyAlignment="1" applyBorder="1" applyFont="1">
      <alignment horizontal="center" readingOrder="0" vertical="center"/>
    </xf>
    <xf borderId="251" fillId="17" fontId="88" numFmtId="0" xfId="0" applyAlignment="1" applyBorder="1" applyFont="1">
      <alignment horizontal="left" readingOrder="0" vertical="center"/>
    </xf>
    <xf borderId="252" fillId="17" fontId="88" numFmtId="0" xfId="0" applyAlignment="1" applyBorder="1" applyFont="1">
      <alignment horizontal="center" readingOrder="0" vertical="center"/>
    </xf>
    <xf borderId="195" fillId="73" fontId="87" numFmtId="0" xfId="0" applyAlignment="1" applyBorder="1" applyFont="1">
      <alignment horizontal="center" vertical="center"/>
    </xf>
    <xf borderId="253" fillId="17" fontId="88" numFmtId="0" xfId="0" applyAlignment="1" applyBorder="1" applyFont="1">
      <alignment horizontal="right" readingOrder="0" vertical="center"/>
    </xf>
    <xf borderId="254" fillId="0" fontId="4" numFmtId="0" xfId="0" applyBorder="1" applyFont="1"/>
    <xf borderId="255" fillId="0" fontId="4" numFmtId="0" xfId="0" applyBorder="1" applyFont="1"/>
    <xf borderId="256" fillId="17" fontId="88" numFmtId="0" xfId="0" applyAlignment="1" applyBorder="1" applyFont="1">
      <alignment horizontal="center" readingOrder="0" vertical="center"/>
    </xf>
    <xf borderId="257" fillId="73" fontId="89" numFmtId="0" xfId="0" applyAlignment="1" applyBorder="1" applyFont="1">
      <alignment horizontal="center" vertical="center"/>
    </xf>
    <xf borderId="258" fillId="73" fontId="89" numFmtId="0" xfId="0" applyAlignment="1" applyBorder="1" applyFont="1">
      <alignment horizontal="center" vertical="center"/>
    </xf>
    <xf borderId="259" fillId="73" fontId="67" numFmtId="0" xfId="0" applyAlignment="1" applyBorder="1" applyFont="1">
      <alignment horizontal="center" vertical="center"/>
    </xf>
    <xf borderId="260" fillId="73" fontId="90" numFmtId="0" xfId="0" applyAlignment="1" applyBorder="1" applyFont="1">
      <alignment horizontal="center" readingOrder="0" vertical="center"/>
    </xf>
    <xf borderId="260" fillId="73" fontId="91" numFmtId="0" xfId="0" applyAlignment="1" applyBorder="1" applyFont="1">
      <alignment horizontal="center" readingOrder="0" vertical="center"/>
    </xf>
    <xf borderId="261" fillId="73" fontId="67" numFmtId="0" xfId="0" applyAlignment="1" applyBorder="1" applyFont="1">
      <alignment horizontal="center" vertical="center"/>
    </xf>
    <xf borderId="262" fillId="74" fontId="67" numFmtId="0" xfId="0" applyAlignment="1" applyBorder="1" applyFill="1" applyFont="1">
      <alignment horizontal="center" vertical="center"/>
    </xf>
    <xf borderId="263" fillId="74" fontId="90" numFmtId="0" xfId="0" applyAlignment="1" applyBorder="1" applyFont="1">
      <alignment horizontal="center" readingOrder="0" vertical="center"/>
    </xf>
    <xf borderId="264" fillId="74" fontId="91" numFmtId="0" xfId="0" applyAlignment="1" applyBorder="1" applyFont="1">
      <alignment horizontal="center" readingOrder="0" vertical="center"/>
    </xf>
    <xf borderId="263" fillId="74" fontId="91" numFmtId="0" xfId="0" applyAlignment="1" applyBorder="1" applyFont="1">
      <alignment horizontal="center" readingOrder="0" vertical="center"/>
    </xf>
    <xf borderId="265" fillId="74" fontId="67" numFmtId="0" xfId="0" applyAlignment="1" applyBorder="1" applyFont="1">
      <alignment horizontal="center" vertical="center"/>
    </xf>
    <xf borderId="266" fillId="74" fontId="67" numFmtId="0" xfId="0" applyAlignment="1" applyBorder="1" applyFont="1">
      <alignment horizontal="center" vertical="center"/>
    </xf>
    <xf borderId="267" fillId="26" fontId="68" numFmtId="0" xfId="0" applyAlignment="1" applyBorder="1" applyFont="1">
      <alignment horizontal="center" vertical="center"/>
    </xf>
    <xf borderId="268" fillId="74" fontId="70" numFmtId="0" xfId="0" applyAlignment="1" applyBorder="1" applyFont="1">
      <alignment horizontal="center" vertical="center"/>
    </xf>
    <xf borderId="191" fillId="26" fontId="71" numFmtId="0" xfId="0" applyAlignment="1" applyBorder="1" applyFont="1">
      <alignment horizontal="center" vertical="center"/>
    </xf>
    <xf borderId="268" fillId="74" fontId="71" numFmtId="0" xfId="0" applyAlignment="1" applyBorder="1" applyFont="1">
      <alignment horizontal="center" vertical="center"/>
    </xf>
    <xf borderId="269" fillId="74" fontId="67" numFmtId="0" xfId="0" applyAlignment="1" applyBorder="1" applyFont="1">
      <alignment horizontal="center" vertical="center"/>
    </xf>
    <xf borderId="270" fillId="74" fontId="67" numFmtId="0" xfId="0" applyAlignment="1" applyBorder="1" applyFont="1">
      <alignment horizontal="center" vertical="center"/>
    </xf>
    <xf borderId="268" fillId="0" fontId="4" numFmtId="0" xfId="0" applyBorder="1" applyFont="1"/>
    <xf borderId="271" fillId="0" fontId="4" numFmtId="0" xfId="0" applyBorder="1" applyFont="1"/>
    <xf borderId="272" fillId="74" fontId="67" numFmtId="0" xfId="0" applyAlignment="1" applyBorder="1" applyFont="1">
      <alignment horizontal="center" vertical="center"/>
    </xf>
    <xf borderId="273" fillId="74" fontId="67" numFmtId="0" xfId="0" applyAlignment="1" applyBorder="1" applyFont="1">
      <alignment horizontal="center" vertical="center"/>
    </xf>
    <xf borderId="266" fillId="74" fontId="73" numFmtId="0" xfId="0" applyAlignment="1" applyBorder="1" applyFont="1">
      <alignment horizontal="center" vertical="center"/>
    </xf>
    <xf borderId="199" fillId="74" fontId="92" numFmtId="0" xfId="0" applyAlignment="1" applyBorder="1" applyFont="1">
      <alignment horizontal="right" readingOrder="0" vertical="center"/>
    </xf>
    <xf borderId="268" fillId="74" fontId="73" numFmtId="0" xfId="0" applyAlignment="1" applyBorder="1" applyFont="1">
      <alignment horizontal="center" readingOrder="0" vertical="center"/>
    </xf>
    <xf borderId="274" fillId="74" fontId="75" numFmtId="0" xfId="0" applyAlignment="1" applyBorder="1" applyFont="1">
      <alignment horizontal="center" readingOrder="0" vertical="center"/>
    </xf>
    <xf borderId="275" fillId="0" fontId="4" numFmtId="0" xfId="0" applyBorder="1" applyFont="1"/>
    <xf borderId="276" fillId="0" fontId="4" numFmtId="0" xfId="0" applyBorder="1" applyFont="1"/>
    <xf borderId="268" fillId="74" fontId="76" numFmtId="0" xfId="0" applyAlignment="1" applyBorder="1" applyFont="1">
      <alignment horizontal="center" readingOrder="0" vertical="center"/>
    </xf>
    <xf borderId="277" fillId="0" fontId="4" numFmtId="0" xfId="0" applyBorder="1" applyFont="1"/>
    <xf borderId="270" fillId="74" fontId="73" numFmtId="0" xfId="0" applyAlignment="1" applyBorder="1" applyFont="1">
      <alignment horizontal="center" vertical="center"/>
    </xf>
    <xf borderId="263" fillId="0" fontId="4" numFmtId="0" xfId="0" applyBorder="1" applyFont="1"/>
    <xf borderId="273" fillId="74" fontId="73" numFmtId="0" xfId="0" applyAlignment="1" applyBorder="1" applyFont="1">
      <alignment horizontal="center" vertical="center"/>
    </xf>
    <xf borderId="266" fillId="74" fontId="77" numFmtId="0" xfId="0" applyAlignment="1" applyBorder="1" applyFont="1">
      <alignment horizontal="center" vertical="center"/>
    </xf>
    <xf borderId="268" fillId="74" fontId="77" numFmtId="0" xfId="0" applyAlignment="1" applyBorder="1" applyFont="1">
      <alignment horizontal="center" readingOrder="0" vertical="center"/>
    </xf>
    <xf borderId="278" fillId="74" fontId="78" numFmtId="0" xfId="0" applyAlignment="1" applyBorder="1" applyFont="1">
      <alignment horizontal="center" readingOrder="0" vertical="top"/>
    </xf>
    <xf borderId="279" fillId="0" fontId="4" numFmtId="0" xfId="0" applyBorder="1" applyFont="1"/>
    <xf borderId="270" fillId="74" fontId="77" numFmtId="0" xfId="0" applyAlignment="1" applyBorder="1" applyFont="1">
      <alignment horizontal="center" vertical="center"/>
    </xf>
    <xf borderId="273" fillId="74" fontId="77" numFmtId="0" xfId="0" applyAlignment="1" applyBorder="1" applyFont="1">
      <alignment horizontal="center" vertical="center"/>
    </xf>
    <xf borderId="263" fillId="74" fontId="68" numFmtId="0" xfId="0" applyAlignment="1" applyBorder="1" applyFont="1">
      <alignment horizontal="center" vertical="center"/>
    </xf>
    <xf borderId="280" fillId="74" fontId="76" numFmtId="0" xfId="0" applyAlignment="1" applyBorder="1" applyFont="1">
      <alignment horizontal="center" vertical="center"/>
    </xf>
    <xf borderId="270" fillId="74" fontId="76" numFmtId="0" xfId="0" applyAlignment="1" applyBorder="1" applyFont="1">
      <alignment horizontal="center" vertical="top"/>
    </xf>
    <xf borderId="281" fillId="74" fontId="76" numFmtId="0" xfId="0" applyAlignment="1" applyBorder="1" applyFont="1">
      <alignment horizontal="center" vertical="top"/>
    </xf>
    <xf borderId="270" fillId="74" fontId="76" numFmtId="0" xfId="0" applyAlignment="1" applyBorder="1" applyFont="1">
      <alignment horizontal="center" vertical="center"/>
    </xf>
    <xf borderId="282" fillId="74" fontId="76" numFmtId="0" xfId="0" applyAlignment="1" applyBorder="1" applyFont="1">
      <alignment horizontal="center" vertical="center"/>
    </xf>
    <xf borderId="283" fillId="74" fontId="76" numFmtId="0" xfId="0" applyAlignment="1" applyBorder="1" applyFont="1">
      <alignment horizontal="center" vertical="top"/>
    </xf>
    <xf borderId="284" fillId="74" fontId="76" numFmtId="0" xfId="0" applyAlignment="1" applyBorder="1" applyFont="1">
      <alignment horizontal="right" vertical="top"/>
    </xf>
    <xf borderId="284" fillId="74" fontId="76" numFmtId="0" xfId="0" applyAlignment="1" applyBorder="1" applyFont="1">
      <alignment horizontal="left" vertical="top"/>
    </xf>
    <xf borderId="285" fillId="74" fontId="76" numFmtId="0" xfId="0" applyAlignment="1" applyBorder="1" applyFont="1">
      <alignment horizontal="center" vertical="center"/>
    </xf>
    <xf borderId="263" fillId="74" fontId="76" numFmtId="0" xfId="0" applyAlignment="1" applyBorder="1" applyFont="1">
      <alignment horizontal="center" vertical="top"/>
    </xf>
    <xf borderId="286" fillId="74" fontId="76" numFmtId="0" xfId="0" applyAlignment="1" applyBorder="1" applyFont="1">
      <alignment horizontal="center" vertical="top"/>
    </xf>
    <xf borderId="287" fillId="74" fontId="76" numFmtId="0" xfId="0" applyAlignment="1" applyBorder="1" applyFont="1">
      <alignment horizontal="center" vertical="center"/>
    </xf>
    <xf borderId="288" fillId="74" fontId="76" numFmtId="0" xfId="0" applyAlignment="1" applyBorder="1" applyFont="1">
      <alignment horizontal="center" vertical="top"/>
    </xf>
    <xf borderId="272" fillId="74" fontId="76" numFmtId="0" xfId="0" applyAlignment="1" applyBorder="1" applyFont="1">
      <alignment horizontal="center" vertical="top"/>
    </xf>
    <xf borderId="284" fillId="74" fontId="67" numFmtId="0" xfId="0" applyAlignment="1" applyBorder="1" applyFont="1">
      <alignment horizontal="center" vertical="center"/>
    </xf>
    <xf borderId="264" fillId="0" fontId="4" numFmtId="0" xfId="0" applyBorder="1" applyFont="1"/>
    <xf borderId="289" fillId="74" fontId="79" numFmtId="0" xfId="0" applyAlignment="1" applyBorder="1" applyFont="1">
      <alignment horizontal="center" readingOrder="0" vertical="center"/>
    </xf>
    <xf borderId="290" fillId="0" fontId="4" numFmtId="0" xfId="0" applyBorder="1" applyFont="1"/>
    <xf borderId="291" fillId="0" fontId="4" numFmtId="0" xfId="0" applyBorder="1" applyFont="1"/>
    <xf borderId="270" fillId="74" fontId="79" numFmtId="0" xfId="0" applyAlignment="1" applyBorder="1" applyFont="1">
      <alignment horizontal="center" vertical="center"/>
    </xf>
    <xf borderId="272" fillId="74" fontId="2" numFmtId="0" xfId="0" applyBorder="1" applyFont="1"/>
    <xf borderId="278" fillId="74" fontId="79" numFmtId="0" xfId="0" applyAlignment="1" applyBorder="1" applyFont="1">
      <alignment horizontal="center" readingOrder="0" vertical="center"/>
    </xf>
    <xf borderId="292" fillId="74" fontId="79" numFmtId="0" xfId="0" applyAlignment="1" applyBorder="1" applyFont="1">
      <alignment horizontal="center" readingOrder="0" vertical="center"/>
    </xf>
    <xf borderId="293" fillId="0" fontId="4" numFmtId="0" xfId="0" applyBorder="1" applyFont="1"/>
    <xf borderId="269" fillId="0" fontId="4" numFmtId="0" xfId="0" applyBorder="1" applyFont="1"/>
    <xf borderId="288" fillId="74" fontId="79" numFmtId="0" xfId="0" applyAlignment="1" applyBorder="1" applyFont="1">
      <alignment horizontal="center" vertical="center"/>
    </xf>
    <xf borderId="294" fillId="74" fontId="79" numFmtId="0" xfId="0" applyAlignment="1" applyBorder="1" applyFont="1">
      <alignment horizontal="center" readingOrder="0" vertical="center"/>
    </xf>
    <xf borderId="284" fillId="74" fontId="68" numFmtId="0" xfId="0" applyAlignment="1" applyBorder="1" applyFont="1">
      <alignment horizontal="center" vertical="center"/>
    </xf>
    <xf borderId="281" fillId="74" fontId="79" numFmtId="0" xfId="0" applyAlignment="1" applyBorder="1" applyFont="1">
      <alignment horizontal="center" readingOrder="0" vertical="center"/>
    </xf>
    <xf borderId="295" fillId="74" fontId="79" numFmtId="0" xfId="0" applyAlignment="1" applyBorder="1" applyFont="1">
      <alignment horizontal="center" readingOrder="0" vertical="center"/>
    </xf>
    <xf borderId="296" fillId="0" fontId="4" numFmtId="0" xfId="0" applyBorder="1" applyFont="1"/>
    <xf borderId="297" fillId="74" fontId="79" numFmtId="0" xfId="0" applyAlignment="1" applyBorder="1" applyFont="1">
      <alignment horizontal="center" readingOrder="0" vertical="center"/>
    </xf>
    <xf borderId="298" fillId="0" fontId="4" numFmtId="0" xfId="0" applyBorder="1" applyFont="1"/>
    <xf borderId="284" fillId="74" fontId="83" numFmtId="0" xfId="0" applyAlignment="1" applyBorder="1" applyFont="1">
      <alignment horizontal="center" vertical="center"/>
    </xf>
    <xf borderId="284" fillId="74" fontId="84" numFmtId="0" xfId="0" applyAlignment="1" applyBorder="1" applyFont="1">
      <alignment horizontal="center" vertical="center"/>
    </xf>
    <xf borderId="263" fillId="74" fontId="84" numFmtId="0" xfId="0" applyAlignment="1" applyBorder="1" applyFont="1">
      <alignment horizontal="center" vertical="center"/>
    </xf>
    <xf borderId="284" fillId="74" fontId="85" numFmtId="0" xfId="0" applyAlignment="1" applyBorder="1" applyFont="1">
      <alignment horizontal="center" vertical="center"/>
    </xf>
    <xf borderId="284" fillId="74" fontId="82" numFmtId="0" xfId="0" applyAlignment="1" applyBorder="1" applyFont="1">
      <alignment horizontal="center" vertical="center"/>
    </xf>
    <xf borderId="266" fillId="74" fontId="86" numFmtId="0" xfId="0" applyAlignment="1" applyBorder="1" applyFont="1">
      <alignment horizontal="center" vertical="center"/>
    </xf>
    <xf borderId="270" fillId="74" fontId="87" numFmtId="0" xfId="0" applyAlignment="1" applyBorder="1" applyFont="1">
      <alignment horizontal="center" vertical="center"/>
    </xf>
    <xf borderId="237" fillId="26" fontId="88" numFmtId="0" xfId="0" applyAlignment="1" applyBorder="1" applyFont="1">
      <alignment horizontal="center" readingOrder="0" vertical="top"/>
    </xf>
    <xf borderId="240" fillId="26" fontId="88" numFmtId="0" xfId="0" applyAlignment="1" applyBorder="1" applyFont="1">
      <alignment horizontal="center" readingOrder="0" vertical="top"/>
    </xf>
    <xf borderId="268" fillId="74" fontId="89" numFmtId="0" xfId="0" applyAlignment="1" applyBorder="1" applyFont="1">
      <alignment horizontal="center" vertical="top"/>
    </xf>
    <xf borderId="271" fillId="74" fontId="87" numFmtId="0" xfId="0" applyAlignment="1" applyBorder="1" applyFont="1">
      <alignment horizontal="center" vertical="center"/>
    </xf>
    <xf borderId="284" fillId="74" fontId="87" numFmtId="0" xfId="0" applyAlignment="1" applyBorder="1" applyFont="1">
      <alignment horizontal="center" vertical="center"/>
    </xf>
    <xf borderId="284" fillId="74" fontId="86" numFmtId="0" xfId="0" applyAlignment="1" applyBorder="1" applyFont="1">
      <alignment horizontal="center" vertical="center"/>
    </xf>
    <xf borderId="273" fillId="74" fontId="86" numFmtId="0" xfId="0" applyAlignment="1" applyBorder="1" applyFont="1">
      <alignment horizontal="center" vertical="center"/>
    </xf>
    <xf borderId="299" fillId="26" fontId="88" numFmtId="0" xfId="0" applyAlignment="1" applyBorder="1" applyFont="1">
      <alignment horizontal="center" readingOrder="0" vertical="center"/>
    </xf>
    <xf borderId="300" fillId="26" fontId="88" numFmtId="0" xfId="0" applyAlignment="1" applyBorder="1" applyFont="1">
      <alignment horizontal="center" readingOrder="0" vertical="center"/>
    </xf>
    <xf borderId="301" fillId="26" fontId="88" numFmtId="0" xfId="0" applyAlignment="1" applyBorder="1" applyFont="1">
      <alignment horizontal="left" readingOrder="0" vertical="center"/>
    </xf>
    <xf borderId="302" fillId="26" fontId="88" numFmtId="0" xfId="0" applyAlignment="1" applyBorder="1" applyFont="1">
      <alignment horizontal="center" readingOrder="0" vertical="center"/>
    </xf>
    <xf borderId="268" fillId="74" fontId="89" numFmtId="0" xfId="0" applyAlignment="1" applyBorder="1" applyFont="1">
      <alignment horizontal="center" vertical="center"/>
    </xf>
    <xf borderId="303" fillId="26" fontId="88" numFmtId="0" xfId="0" applyAlignment="1" applyBorder="1" applyFont="1">
      <alignment horizontal="center" readingOrder="0" vertical="center"/>
    </xf>
    <xf borderId="304" fillId="26" fontId="88" numFmtId="0" xfId="0" applyAlignment="1" applyBorder="1" applyFont="1">
      <alignment horizontal="center" readingOrder="0" vertical="center"/>
    </xf>
    <xf borderId="305" fillId="26" fontId="88" numFmtId="0" xfId="0" applyAlignment="1" applyBorder="1" applyFont="1">
      <alignment horizontal="left" readingOrder="0" vertical="center"/>
    </xf>
    <xf borderId="306" fillId="26" fontId="88" numFmtId="0" xfId="0" applyAlignment="1" applyBorder="1" applyFont="1">
      <alignment horizontal="center" readingOrder="0" vertical="center"/>
    </xf>
    <xf borderId="307" fillId="26" fontId="88" numFmtId="0" xfId="0" applyAlignment="1" applyBorder="1" applyFont="1">
      <alignment horizontal="center" readingOrder="0" vertical="center"/>
    </xf>
    <xf borderId="308" fillId="26" fontId="88" numFmtId="0" xfId="0" applyAlignment="1" applyBorder="1" applyFont="1">
      <alignment horizontal="center" readingOrder="0" vertical="center"/>
    </xf>
    <xf borderId="309" fillId="26" fontId="88" numFmtId="0" xfId="0" applyAlignment="1" applyBorder="1" applyFont="1">
      <alignment horizontal="left" readingOrder="0" vertical="center"/>
    </xf>
    <xf borderId="310" fillId="26" fontId="88" numFmtId="0" xfId="0" applyAlignment="1" applyBorder="1" applyFont="1">
      <alignment horizontal="center" readingOrder="0" vertical="center"/>
    </xf>
    <xf borderId="253" fillId="26" fontId="88" numFmtId="0" xfId="0" applyAlignment="1" applyBorder="1" applyFont="1">
      <alignment horizontal="right" readingOrder="0" vertical="center"/>
    </xf>
    <xf borderId="256" fillId="26" fontId="88" numFmtId="0" xfId="0" applyAlignment="1" applyBorder="1" applyFont="1">
      <alignment horizontal="center" readingOrder="0" vertical="center"/>
    </xf>
    <xf borderId="270" fillId="74" fontId="89" numFmtId="0" xfId="0" applyAlignment="1" applyBorder="1" applyFont="1">
      <alignment horizontal="center" vertical="center"/>
    </xf>
    <xf borderId="311" fillId="74" fontId="67" numFmtId="0" xfId="0" applyAlignment="1" applyBorder="1" applyFont="1">
      <alignment horizontal="center" vertical="center"/>
    </xf>
    <xf borderId="312" fillId="74" fontId="90" numFmtId="0" xfId="0" applyAlignment="1" applyBorder="1" applyFont="1">
      <alignment horizontal="center" readingOrder="0" vertical="center"/>
    </xf>
    <xf borderId="312" fillId="74" fontId="91" numFmtId="0" xfId="0" applyAlignment="1" applyBorder="1" applyFont="1">
      <alignment horizontal="center" readingOrder="0" vertical="center"/>
    </xf>
    <xf borderId="313" fillId="74" fontId="91" numFmtId="0" xfId="0" applyAlignment="1" applyBorder="1" applyFont="1">
      <alignment horizontal="center" readingOrder="0" vertical="center"/>
    </xf>
    <xf borderId="314" fillId="74" fontId="67" numFmtId="0" xfId="0" applyAlignment="1" applyBorder="1" applyFont="1">
      <alignment horizontal="center" vertical="center"/>
    </xf>
    <xf borderId="315" fillId="75" fontId="67" numFmtId="0" xfId="0" applyAlignment="1" applyBorder="1" applyFill="1" applyFont="1">
      <alignment horizontal="center" vertical="center"/>
    </xf>
    <xf borderId="316" fillId="75" fontId="90" numFmtId="0" xfId="0" applyAlignment="1" applyBorder="1" applyFont="1">
      <alignment horizontal="center" readingOrder="0" vertical="center"/>
    </xf>
    <xf borderId="317" fillId="75" fontId="91" numFmtId="0" xfId="0" applyAlignment="1" applyBorder="1" applyFont="1">
      <alignment horizontal="center" readingOrder="0" vertical="center"/>
    </xf>
    <xf borderId="316" fillId="75" fontId="91" numFmtId="0" xfId="0" applyAlignment="1" applyBorder="1" applyFont="1">
      <alignment horizontal="center" readingOrder="0" vertical="center"/>
    </xf>
    <xf borderId="318" fillId="75" fontId="67" numFmtId="0" xfId="0" applyAlignment="1" applyBorder="1" applyFont="1">
      <alignment horizontal="center" vertical="center"/>
    </xf>
    <xf borderId="319" fillId="75" fontId="67" numFmtId="0" xfId="0" applyAlignment="1" applyBorder="1" applyFont="1">
      <alignment horizontal="center" vertical="center"/>
    </xf>
    <xf borderId="267" fillId="30" fontId="68" numFmtId="0" xfId="0" applyAlignment="1" applyBorder="1" applyFont="1">
      <alignment horizontal="center" vertical="center"/>
    </xf>
    <xf borderId="320" fillId="75" fontId="70" numFmtId="0" xfId="0" applyAlignment="1" applyBorder="1" applyFont="1">
      <alignment horizontal="center" vertical="center"/>
    </xf>
    <xf borderId="191" fillId="30" fontId="93" numFmtId="0" xfId="0" applyAlignment="1" applyBorder="1" applyFont="1">
      <alignment horizontal="center" vertical="center"/>
    </xf>
    <xf borderId="320" fillId="75" fontId="93" numFmtId="0" xfId="0" applyAlignment="1" applyBorder="1" applyFont="1">
      <alignment horizontal="center" vertical="center"/>
    </xf>
    <xf borderId="321" fillId="75" fontId="67" numFmtId="0" xfId="0" applyAlignment="1" applyBorder="1" applyFont="1">
      <alignment horizontal="center" vertical="center"/>
    </xf>
    <xf borderId="322" fillId="75" fontId="67" numFmtId="0" xfId="0" applyAlignment="1" applyBorder="1" applyFont="1">
      <alignment horizontal="center" vertical="center"/>
    </xf>
    <xf borderId="320" fillId="0" fontId="4" numFmtId="0" xfId="0" applyBorder="1" applyFont="1"/>
    <xf borderId="323" fillId="0" fontId="4" numFmtId="0" xfId="0" applyBorder="1" applyFont="1"/>
    <xf borderId="324" fillId="75" fontId="67" numFmtId="0" xfId="0" applyAlignment="1" applyBorder="1" applyFont="1">
      <alignment horizontal="center" vertical="center"/>
    </xf>
    <xf borderId="319" fillId="75" fontId="73" numFmtId="0" xfId="0" applyAlignment="1" applyBorder="1" applyFont="1">
      <alignment horizontal="center" vertical="center"/>
    </xf>
    <xf borderId="199" fillId="75" fontId="94" numFmtId="0" xfId="0" applyAlignment="1" applyBorder="1" applyFont="1">
      <alignment horizontal="right" readingOrder="0" vertical="center"/>
    </xf>
    <xf borderId="320" fillId="75" fontId="73" numFmtId="0" xfId="0" applyAlignment="1" applyBorder="1" applyFont="1">
      <alignment horizontal="center" readingOrder="0" vertical="center"/>
    </xf>
    <xf borderId="325" fillId="75" fontId="75" numFmtId="0" xfId="0" applyAlignment="1" applyBorder="1" applyFont="1">
      <alignment horizontal="center" readingOrder="0" vertical="center"/>
    </xf>
    <xf borderId="326" fillId="0" fontId="4" numFmtId="0" xfId="0" applyBorder="1" applyFont="1"/>
    <xf borderId="327" fillId="0" fontId="4" numFmtId="0" xfId="0" applyBorder="1" applyFont="1"/>
    <xf borderId="320" fillId="75" fontId="79" numFmtId="0" xfId="0" applyAlignment="1" applyBorder="1" applyFont="1">
      <alignment horizontal="center" readingOrder="0" vertical="center"/>
    </xf>
    <xf borderId="328" fillId="0" fontId="4" numFmtId="0" xfId="0" applyBorder="1" applyFont="1"/>
    <xf borderId="322" fillId="75" fontId="73" numFmtId="0" xfId="0" applyAlignment="1" applyBorder="1" applyFont="1">
      <alignment horizontal="center" vertical="center"/>
    </xf>
    <xf borderId="324" fillId="75" fontId="73" numFmtId="0" xfId="0" applyAlignment="1" applyBorder="1" applyFont="1">
      <alignment horizontal="center" vertical="center"/>
    </xf>
    <xf borderId="319" fillId="75" fontId="77" numFmtId="0" xfId="0" applyAlignment="1" applyBorder="1" applyFont="1">
      <alignment horizontal="center" vertical="center"/>
    </xf>
    <xf borderId="320" fillId="75" fontId="77" numFmtId="0" xfId="0" applyAlignment="1" applyBorder="1" applyFont="1">
      <alignment horizontal="center" readingOrder="0" vertical="center"/>
    </xf>
    <xf borderId="329" fillId="75" fontId="78" numFmtId="0" xfId="0" applyAlignment="1" applyBorder="1" applyFont="1">
      <alignment horizontal="center" readingOrder="0" vertical="top"/>
    </xf>
    <xf borderId="330" fillId="0" fontId="4" numFmtId="0" xfId="0" applyBorder="1" applyFont="1"/>
    <xf borderId="320" fillId="75" fontId="95" numFmtId="0" xfId="0" applyAlignment="1" applyBorder="1" applyFont="1">
      <alignment horizontal="center" readingOrder="0" vertical="center"/>
    </xf>
    <xf borderId="322" fillId="75" fontId="77" numFmtId="0" xfId="0" applyAlignment="1" applyBorder="1" applyFont="1">
      <alignment horizontal="center" vertical="center"/>
    </xf>
    <xf borderId="324" fillId="75" fontId="77" numFmtId="0" xfId="0" applyAlignment="1" applyBorder="1" applyFont="1">
      <alignment horizontal="center" vertical="center"/>
    </xf>
    <xf borderId="331" fillId="75" fontId="67" numFmtId="0" xfId="0" applyAlignment="1" applyBorder="1" applyFont="1">
      <alignment horizontal="center" vertical="center"/>
    </xf>
    <xf borderId="316" fillId="75" fontId="68" numFmtId="0" xfId="0" applyAlignment="1" applyBorder="1" applyFont="1">
      <alignment horizontal="center" vertical="center"/>
    </xf>
    <xf borderId="332" fillId="75" fontId="80" numFmtId="0" xfId="0" applyAlignment="1" applyBorder="1" applyFont="1">
      <alignment horizontal="center" vertical="center"/>
    </xf>
    <xf borderId="333" fillId="75" fontId="80" numFmtId="0" xfId="0" applyAlignment="1" applyBorder="1" applyFont="1">
      <alignment horizontal="right" vertical="top"/>
    </xf>
    <xf borderId="333" fillId="75" fontId="80" numFmtId="0" xfId="0" applyAlignment="1" applyBorder="1" applyFont="1">
      <alignment horizontal="left" vertical="top"/>
    </xf>
    <xf borderId="334" fillId="75" fontId="80" numFmtId="0" xfId="0" applyAlignment="1" applyBorder="1" applyFont="1">
      <alignment horizontal="center" vertical="top"/>
    </xf>
    <xf borderId="322" fillId="75" fontId="80" numFmtId="0" xfId="0" applyAlignment="1" applyBorder="1" applyFont="1">
      <alignment horizontal="center" vertical="center"/>
    </xf>
    <xf borderId="335" fillId="75" fontId="80" numFmtId="0" xfId="0" applyAlignment="1" applyBorder="1" applyFont="1">
      <alignment horizontal="center" vertical="center"/>
    </xf>
    <xf borderId="336" fillId="75" fontId="80" numFmtId="0" xfId="0" applyAlignment="1" applyBorder="1" applyFont="1">
      <alignment horizontal="center" vertical="top"/>
    </xf>
    <xf borderId="322" fillId="75" fontId="80" numFmtId="0" xfId="0" applyAlignment="1" applyBorder="1" applyFont="1">
      <alignment horizontal="center" vertical="top"/>
    </xf>
    <xf borderId="316" fillId="0" fontId="4" numFmtId="0" xfId="0" applyBorder="1" applyFont="1"/>
    <xf borderId="337" fillId="75" fontId="80" numFmtId="0" xfId="0" applyAlignment="1" applyBorder="1" applyFont="1">
      <alignment horizontal="center" vertical="center"/>
    </xf>
    <xf borderId="316" fillId="75" fontId="80" numFmtId="0" xfId="0" applyAlignment="1" applyBorder="1" applyFont="1">
      <alignment horizontal="center" vertical="top"/>
    </xf>
    <xf borderId="338" fillId="75" fontId="80" numFmtId="0" xfId="0" applyAlignment="1" applyBorder="1" applyFont="1">
      <alignment horizontal="center" vertical="top"/>
    </xf>
    <xf borderId="333" fillId="75" fontId="67" numFmtId="0" xfId="0" applyAlignment="1" applyBorder="1" applyFont="1">
      <alignment horizontal="center" vertical="center"/>
    </xf>
    <xf borderId="187" fillId="72" fontId="96" numFmtId="0" xfId="0" applyAlignment="1" applyBorder="1" applyFont="1">
      <alignment horizontal="center" vertical="center"/>
    </xf>
    <xf borderId="317" fillId="0" fontId="4" numFmtId="0" xfId="0" applyBorder="1" applyFont="1"/>
    <xf borderId="339" fillId="75" fontId="79" numFmtId="0" xfId="0" applyAlignment="1" applyBorder="1" applyFont="1">
      <alignment horizontal="center" readingOrder="0" vertical="center"/>
    </xf>
    <xf borderId="340" fillId="0" fontId="4" numFmtId="0" xfId="0" applyBorder="1" applyFont="1"/>
    <xf borderId="341" fillId="0" fontId="4" numFmtId="0" xfId="0" applyBorder="1" applyFont="1"/>
    <xf borderId="322" fillId="75" fontId="79" numFmtId="0" xfId="0" applyAlignment="1" applyBorder="1" applyFont="1">
      <alignment horizontal="center" vertical="center"/>
    </xf>
    <xf borderId="342" fillId="75" fontId="2" numFmtId="0" xfId="0" applyBorder="1" applyFont="1"/>
    <xf borderId="329" fillId="75" fontId="79" numFmtId="0" xfId="0" applyAlignment="1" applyBorder="1" applyFont="1">
      <alignment horizontal="center" readingOrder="0" vertical="center"/>
    </xf>
    <xf borderId="329" fillId="75" fontId="78" numFmtId="0" xfId="0" applyAlignment="1" applyBorder="1" applyFont="1">
      <alignment horizontal="center" readingOrder="0" vertical="center"/>
    </xf>
    <xf borderId="343" fillId="75" fontId="79" numFmtId="0" xfId="0" applyAlignment="1" applyBorder="1" applyFont="1">
      <alignment horizontal="center" readingOrder="0" vertical="center"/>
    </xf>
    <xf borderId="344" fillId="0" fontId="4" numFmtId="0" xfId="0" applyBorder="1" applyFont="1"/>
    <xf borderId="321" fillId="0" fontId="4" numFmtId="0" xfId="0" applyBorder="1" applyFont="1"/>
    <xf borderId="345" fillId="75" fontId="79" numFmtId="0" xfId="0" applyAlignment="1" applyBorder="1" applyFont="1">
      <alignment horizontal="center" vertical="center"/>
    </xf>
    <xf borderId="346" fillId="75" fontId="79" numFmtId="0" xfId="0" applyAlignment="1" applyBorder="1" applyFont="1">
      <alignment horizontal="center" readingOrder="0" vertical="center"/>
    </xf>
    <xf borderId="333" fillId="75" fontId="68" numFmtId="0" xfId="0" applyAlignment="1" applyBorder="1" applyFont="1">
      <alignment horizontal="center" vertical="center"/>
    </xf>
    <xf borderId="334" fillId="75" fontId="79" numFmtId="0" xfId="0" applyAlignment="1" applyBorder="1" applyFont="1">
      <alignment horizontal="center" readingOrder="0" vertical="center"/>
    </xf>
    <xf borderId="347" fillId="75" fontId="79" numFmtId="0" xfId="0" applyAlignment="1" applyBorder="1" applyFont="1">
      <alignment horizontal="center" readingOrder="0" vertical="center"/>
    </xf>
    <xf borderId="348" fillId="0" fontId="4" numFmtId="0" xfId="0" applyBorder="1" applyFont="1"/>
    <xf borderId="349" fillId="75" fontId="79" numFmtId="0" xfId="0" applyAlignment="1" applyBorder="1" applyFont="1">
      <alignment horizontal="center" readingOrder="0" vertical="center"/>
    </xf>
    <xf borderId="350" fillId="0" fontId="4" numFmtId="0" xfId="0" applyBorder="1" applyFont="1"/>
    <xf borderId="333" fillId="75" fontId="83" numFmtId="0" xfId="0" applyAlignment="1" applyBorder="1" applyFont="1">
      <alignment horizontal="center" vertical="center"/>
    </xf>
    <xf borderId="333" fillId="75" fontId="84" numFmtId="0" xfId="0" applyAlignment="1" applyBorder="1" applyFont="1">
      <alignment horizontal="center" vertical="center"/>
    </xf>
    <xf borderId="316" fillId="75" fontId="84" numFmtId="0" xfId="0" applyAlignment="1" applyBorder="1" applyFont="1">
      <alignment horizontal="center" vertical="center"/>
    </xf>
    <xf borderId="351" fillId="75" fontId="84" numFmtId="0" xfId="0" applyAlignment="1" applyBorder="1" applyFont="1">
      <alignment horizontal="center" vertical="center"/>
    </xf>
    <xf borderId="351" fillId="75" fontId="85" numFmtId="0" xfId="0" applyAlignment="1" applyBorder="1" applyFont="1">
      <alignment horizontal="center" vertical="center"/>
    </xf>
    <xf borderId="351" fillId="75" fontId="82" numFmtId="0" xfId="0" applyAlignment="1" applyBorder="1" applyFont="1">
      <alignment horizontal="center" vertical="center"/>
    </xf>
    <xf borderId="333" fillId="75" fontId="82" numFmtId="0" xfId="0" applyAlignment="1" applyBorder="1" applyFont="1">
      <alignment horizontal="center" vertical="center"/>
    </xf>
    <xf borderId="331" fillId="75" fontId="86" numFmtId="0" xfId="0" applyAlignment="1" applyBorder="1" applyFont="1">
      <alignment horizontal="center" vertical="center"/>
    </xf>
    <xf borderId="322" fillId="75" fontId="87" numFmtId="0" xfId="0" applyAlignment="1" applyBorder="1" applyFont="1">
      <alignment horizontal="center" vertical="center"/>
    </xf>
    <xf borderId="237" fillId="76" fontId="88" numFmtId="0" xfId="0" applyAlignment="1" applyBorder="1" applyFill="1" applyFont="1">
      <alignment horizontal="center" readingOrder="0" vertical="top"/>
    </xf>
    <xf borderId="240" fillId="76" fontId="88" numFmtId="0" xfId="0" applyAlignment="1" applyBorder="1" applyFont="1">
      <alignment horizontal="center" readingOrder="0" vertical="top"/>
    </xf>
    <xf borderId="320" fillId="75" fontId="89" numFmtId="0" xfId="0" applyAlignment="1" applyBorder="1" applyFont="1">
      <alignment horizontal="center" vertical="top"/>
    </xf>
    <xf borderId="323" fillId="75" fontId="86" numFmtId="0" xfId="0" applyAlignment="1" applyBorder="1" applyFont="1">
      <alignment horizontal="center" vertical="center"/>
    </xf>
    <xf borderId="333" fillId="75" fontId="86" numFmtId="0" xfId="0" applyAlignment="1" applyBorder="1" applyFont="1">
      <alignment horizontal="center" vertical="center"/>
    </xf>
    <xf borderId="324" fillId="75" fontId="86" numFmtId="0" xfId="0" applyAlignment="1" applyBorder="1" applyFont="1">
      <alignment horizontal="center" vertical="center"/>
    </xf>
    <xf borderId="352" fillId="76" fontId="88" numFmtId="0" xfId="0" applyAlignment="1" applyBorder="1" applyFont="1">
      <alignment horizontal="center" readingOrder="0" vertical="center"/>
    </xf>
    <xf borderId="353" fillId="76" fontId="88" numFmtId="0" xfId="0" applyAlignment="1" applyBorder="1" applyFont="1">
      <alignment horizontal="center" readingOrder="0" vertical="center"/>
    </xf>
    <xf borderId="354" fillId="76" fontId="88" numFmtId="0" xfId="0" applyAlignment="1" applyBorder="1" applyFont="1">
      <alignment horizontal="left" readingOrder="0" vertical="center"/>
    </xf>
    <xf borderId="355" fillId="76" fontId="88" numFmtId="0" xfId="0" applyAlignment="1" applyBorder="1" applyFont="1">
      <alignment horizontal="center" readingOrder="0" vertical="center"/>
    </xf>
    <xf borderId="320" fillId="75" fontId="89" numFmtId="0" xfId="0" applyAlignment="1" applyBorder="1" applyFont="1">
      <alignment horizontal="center" vertical="center"/>
    </xf>
    <xf borderId="356" fillId="76" fontId="88" numFmtId="0" xfId="0" applyAlignment="1" applyBorder="1" applyFont="1">
      <alignment horizontal="center" readingOrder="0" vertical="center"/>
    </xf>
    <xf borderId="357" fillId="76" fontId="88" numFmtId="0" xfId="0" applyAlignment="1" applyBorder="1" applyFont="1">
      <alignment horizontal="center" readingOrder="0" vertical="center"/>
    </xf>
    <xf borderId="358" fillId="76" fontId="88" numFmtId="0" xfId="0" applyAlignment="1" applyBorder="1" applyFont="1">
      <alignment horizontal="left" readingOrder="0" vertical="center"/>
    </xf>
    <xf borderId="359" fillId="76" fontId="88" numFmtId="0" xfId="0" applyAlignment="1" applyBorder="1" applyFont="1">
      <alignment horizontal="center" readingOrder="0" vertical="center"/>
    </xf>
    <xf borderId="360" fillId="76" fontId="88" numFmtId="0" xfId="0" applyAlignment="1" applyBorder="1" applyFont="1">
      <alignment horizontal="center" readingOrder="0" vertical="center"/>
    </xf>
    <xf borderId="361" fillId="76" fontId="88" numFmtId="0" xfId="0" applyAlignment="1" applyBorder="1" applyFont="1">
      <alignment horizontal="center" readingOrder="0" vertical="center"/>
    </xf>
    <xf borderId="362" fillId="76" fontId="88" numFmtId="0" xfId="0" applyAlignment="1" applyBorder="1" applyFont="1">
      <alignment horizontal="left" readingOrder="0" vertical="center"/>
    </xf>
    <xf borderId="363" fillId="76" fontId="88" numFmtId="0" xfId="0" applyAlignment="1" applyBorder="1" applyFont="1">
      <alignment horizontal="center" readingOrder="0" vertical="center"/>
    </xf>
    <xf borderId="253" fillId="76" fontId="88" numFmtId="0" xfId="0" applyAlignment="1" applyBorder="1" applyFont="1">
      <alignment horizontal="right" readingOrder="0" vertical="center"/>
    </xf>
    <xf borderId="256" fillId="76" fontId="88" numFmtId="0" xfId="0" applyAlignment="1" applyBorder="1" applyFont="1">
      <alignment horizontal="center" readingOrder="0" vertical="center"/>
    </xf>
    <xf borderId="322" fillId="75" fontId="89" numFmtId="0" xfId="0" applyAlignment="1" applyBorder="1" applyFont="1">
      <alignment horizontal="center" vertical="center"/>
    </xf>
    <xf borderId="364" fillId="75" fontId="86" numFmtId="0" xfId="0" applyAlignment="1" applyBorder="1" applyFont="1">
      <alignment horizontal="center" vertical="center"/>
    </xf>
    <xf borderId="365" fillId="75" fontId="67" numFmtId="0" xfId="0" applyAlignment="1" applyBorder="1" applyFont="1">
      <alignment horizontal="center" vertical="center"/>
    </xf>
    <xf borderId="366" fillId="75" fontId="90" numFmtId="0" xfId="0" applyAlignment="1" applyBorder="1" applyFont="1">
      <alignment horizontal="center" readingOrder="0" vertical="center"/>
    </xf>
    <xf borderId="366" fillId="75" fontId="91" numFmtId="0" xfId="0" applyAlignment="1" applyBorder="1" applyFont="1">
      <alignment horizontal="center" readingOrder="0" vertical="center"/>
    </xf>
    <xf borderId="367" fillId="75" fontId="91" numFmtId="0" xfId="0" applyAlignment="1" applyBorder="1" applyFont="1">
      <alignment horizontal="center" readingOrder="0" vertical="center"/>
    </xf>
    <xf borderId="368" fillId="75" fontId="67" numFmtId="0" xfId="0" applyAlignment="1" applyBorder="1" applyFont="1">
      <alignment horizontal="center" vertical="center"/>
    </xf>
    <xf borderId="369" fillId="77" fontId="67" numFmtId="0" xfId="0" applyAlignment="1" applyBorder="1" applyFill="1" applyFont="1">
      <alignment horizontal="center" vertical="center"/>
    </xf>
    <xf borderId="370" fillId="77" fontId="90" numFmtId="0" xfId="0" applyAlignment="1" applyBorder="1" applyFont="1">
      <alignment horizontal="center" readingOrder="0" vertical="center"/>
    </xf>
    <xf borderId="371" fillId="77" fontId="91" numFmtId="0" xfId="0" applyAlignment="1" applyBorder="1" applyFont="1">
      <alignment horizontal="center" readingOrder="0" vertical="center"/>
    </xf>
    <xf borderId="370" fillId="77" fontId="91" numFmtId="0" xfId="0" applyAlignment="1" applyBorder="1" applyFont="1">
      <alignment horizontal="center" readingOrder="0" vertical="center"/>
    </xf>
    <xf borderId="372" fillId="77" fontId="67" numFmtId="0" xfId="0" applyAlignment="1" applyBorder="1" applyFont="1">
      <alignment horizontal="center" vertical="center"/>
    </xf>
    <xf borderId="373" fillId="77" fontId="67" numFmtId="0" xfId="0" applyAlignment="1" applyBorder="1" applyFont="1">
      <alignment horizontal="center" vertical="center"/>
    </xf>
    <xf borderId="267" fillId="33" fontId="68" numFmtId="0" xfId="0" applyAlignment="1" applyBorder="1" applyFont="1">
      <alignment horizontal="center" vertical="center"/>
    </xf>
    <xf borderId="374" fillId="77" fontId="70" numFmtId="0" xfId="0" applyAlignment="1" applyBorder="1" applyFont="1">
      <alignment horizontal="center" vertical="center"/>
    </xf>
    <xf borderId="191" fillId="33" fontId="70" numFmtId="0" xfId="0" applyAlignment="1" applyBorder="1" applyFont="1">
      <alignment horizontal="center" vertical="center"/>
    </xf>
    <xf borderId="375" fillId="77" fontId="67" numFmtId="0" xfId="0" applyAlignment="1" applyBorder="1" applyFont="1">
      <alignment horizontal="center" vertical="center"/>
    </xf>
    <xf borderId="376" fillId="77" fontId="67" numFmtId="0" xfId="0" applyAlignment="1" applyBorder="1" applyFont="1">
      <alignment horizontal="center" vertical="center"/>
    </xf>
    <xf borderId="374" fillId="0" fontId="4" numFmtId="0" xfId="0" applyBorder="1" applyFont="1"/>
    <xf borderId="377" fillId="0" fontId="4" numFmtId="0" xfId="0" applyBorder="1" applyFont="1"/>
    <xf borderId="378" fillId="77" fontId="67" numFmtId="0" xfId="0" applyAlignment="1" applyBorder="1" applyFont="1">
      <alignment horizontal="center" vertical="center"/>
    </xf>
    <xf borderId="373" fillId="77" fontId="73" numFmtId="0" xfId="0" applyAlignment="1" applyBorder="1" applyFont="1">
      <alignment horizontal="center" vertical="center"/>
    </xf>
    <xf borderId="199" fillId="77" fontId="94" numFmtId="0" xfId="0" applyAlignment="1" applyBorder="1" applyFont="1">
      <alignment horizontal="right" readingOrder="0" vertical="center"/>
    </xf>
    <xf borderId="374" fillId="77" fontId="73" numFmtId="0" xfId="0" applyAlignment="1" applyBorder="1" applyFont="1">
      <alignment horizontal="center" readingOrder="0" vertical="center"/>
    </xf>
    <xf borderId="379" fillId="77" fontId="75" numFmtId="0" xfId="0" applyAlignment="1" applyBorder="1" applyFont="1">
      <alignment horizontal="center" readingOrder="0" vertical="center"/>
    </xf>
    <xf borderId="380" fillId="0" fontId="4" numFmtId="0" xfId="0" applyBorder="1" applyFont="1"/>
    <xf borderId="381" fillId="0" fontId="4" numFmtId="0" xfId="0" applyBorder="1" applyFont="1"/>
    <xf borderId="374" fillId="77" fontId="79" numFmtId="0" xfId="0" applyAlignment="1" applyBorder="1" applyFont="1">
      <alignment horizontal="center" readingOrder="0" vertical="center"/>
    </xf>
    <xf borderId="382" fillId="0" fontId="4" numFmtId="0" xfId="0" applyBorder="1" applyFont="1"/>
    <xf borderId="376" fillId="77" fontId="73" numFmtId="0" xfId="0" applyAlignment="1" applyBorder="1" applyFont="1">
      <alignment horizontal="center" vertical="center"/>
    </xf>
    <xf borderId="378" fillId="77" fontId="73" numFmtId="0" xfId="0" applyAlignment="1" applyBorder="1" applyFont="1">
      <alignment horizontal="center" vertical="center"/>
    </xf>
    <xf borderId="373" fillId="77" fontId="84" numFmtId="0" xfId="0" applyAlignment="1" applyBorder="1" applyFont="1">
      <alignment horizontal="center" vertical="center"/>
    </xf>
    <xf borderId="374" fillId="77" fontId="84" numFmtId="0" xfId="0" applyAlignment="1" applyBorder="1" applyFont="1">
      <alignment horizontal="center" readingOrder="0" vertical="center"/>
    </xf>
    <xf borderId="383" fillId="77" fontId="78" numFmtId="0" xfId="0" applyAlignment="1" applyBorder="1" applyFont="1">
      <alignment horizontal="center" readingOrder="0" vertical="top"/>
    </xf>
    <xf borderId="384" fillId="0" fontId="4" numFmtId="0" xfId="0" applyBorder="1" applyFont="1"/>
    <xf borderId="374" fillId="77" fontId="97" numFmtId="0" xfId="0" applyAlignment="1" applyBorder="1" applyFont="1">
      <alignment horizontal="center" readingOrder="0" vertical="center"/>
    </xf>
    <xf borderId="376" fillId="77" fontId="77" numFmtId="0" xfId="0" applyAlignment="1" applyBorder="1" applyFont="1">
      <alignment horizontal="center" vertical="center"/>
    </xf>
    <xf borderId="378" fillId="77" fontId="84" numFmtId="0" xfId="0" applyAlignment="1" applyBorder="1" applyFont="1">
      <alignment horizontal="center" vertical="center"/>
    </xf>
    <xf borderId="187" fillId="72" fontId="84" numFmtId="0" xfId="0" applyAlignment="1" applyBorder="1" applyFont="1">
      <alignment horizontal="center" vertical="center"/>
    </xf>
    <xf borderId="385" fillId="77" fontId="67" numFmtId="0" xfId="0" applyAlignment="1" applyBorder="1" applyFont="1">
      <alignment horizontal="center" vertical="center"/>
    </xf>
    <xf borderId="370" fillId="77" fontId="68" numFmtId="0" xfId="0" applyAlignment="1" applyBorder="1" applyFont="1">
      <alignment horizontal="center" vertical="center"/>
    </xf>
    <xf borderId="386" fillId="77" fontId="80" numFmtId="0" xfId="0" applyAlignment="1" applyBorder="1" applyFont="1">
      <alignment horizontal="center" vertical="center"/>
    </xf>
    <xf borderId="376" fillId="77" fontId="80" numFmtId="0" xfId="0" applyAlignment="1" applyBorder="1" applyFont="1">
      <alignment horizontal="center" vertical="top"/>
    </xf>
    <xf borderId="387" fillId="77" fontId="80" numFmtId="0" xfId="0" applyAlignment="1" applyBorder="1" applyFont="1">
      <alignment horizontal="center" vertical="top"/>
    </xf>
    <xf borderId="376" fillId="77" fontId="80" numFmtId="0" xfId="0" applyAlignment="1" applyBorder="1" applyFont="1">
      <alignment horizontal="center" vertical="center"/>
    </xf>
    <xf borderId="388" fillId="77" fontId="80" numFmtId="0" xfId="0" applyAlignment="1" applyBorder="1" applyFont="1">
      <alignment horizontal="center" vertical="center"/>
    </xf>
    <xf borderId="389" fillId="77" fontId="80" numFmtId="0" xfId="0" applyAlignment="1" applyBorder="1" applyFont="1">
      <alignment horizontal="right" vertical="top"/>
    </xf>
    <xf borderId="389" fillId="77" fontId="80" numFmtId="0" xfId="0" applyAlignment="1" applyBorder="1" applyFont="1">
      <alignment horizontal="left" vertical="top"/>
    </xf>
    <xf borderId="390" fillId="77" fontId="80" numFmtId="0" xfId="0" applyAlignment="1" applyBorder="1" applyFont="1">
      <alignment horizontal="center" vertical="top"/>
    </xf>
    <xf borderId="370" fillId="0" fontId="4" numFmtId="0" xfId="0" applyBorder="1" applyFont="1"/>
    <xf borderId="391" fillId="77" fontId="80" numFmtId="0" xfId="0" applyAlignment="1" applyBorder="1" applyFont="1">
      <alignment horizontal="center" vertical="center"/>
    </xf>
    <xf borderId="370" fillId="77" fontId="80" numFmtId="0" xfId="0" applyAlignment="1" applyBorder="1" applyFont="1">
      <alignment horizontal="center" vertical="top"/>
    </xf>
    <xf borderId="392" fillId="77" fontId="80" numFmtId="0" xfId="0" applyAlignment="1" applyBorder="1" applyFont="1">
      <alignment horizontal="center" vertical="top"/>
    </xf>
    <xf borderId="389" fillId="77" fontId="67" numFmtId="0" xfId="0" applyAlignment="1" applyBorder="1" applyFont="1">
      <alignment horizontal="center" vertical="center"/>
    </xf>
    <xf borderId="371" fillId="0" fontId="4" numFmtId="0" xfId="0" applyBorder="1" applyFont="1"/>
    <xf borderId="393" fillId="77" fontId="79" numFmtId="0" xfId="0" applyAlignment="1" applyBorder="1" applyFont="1">
      <alignment horizontal="center" readingOrder="0" vertical="center"/>
    </xf>
    <xf borderId="394" fillId="0" fontId="4" numFmtId="0" xfId="0" applyBorder="1" applyFont="1"/>
    <xf borderId="395" fillId="0" fontId="4" numFmtId="0" xfId="0" applyBorder="1" applyFont="1"/>
    <xf borderId="376" fillId="77" fontId="79" numFmtId="0" xfId="0" applyAlignment="1" applyBorder="1" applyFont="1">
      <alignment horizontal="center" vertical="center"/>
    </xf>
    <xf borderId="385" fillId="77" fontId="67" numFmtId="0" xfId="0" applyAlignment="1" applyBorder="1" applyFont="1">
      <alignment horizontal="center" vertical="top"/>
    </xf>
    <xf borderId="396" fillId="77" fontId="2" numFmtId="0" xfId="0" applyBorder="1" applyFont="1"/>
    <xf borderId="376" fillId="77" fontId="67" numFmtId="0" xfId="0" applyAlignment="1" applyBorder="1" applyFont="1">
      <alignment horizontal="center" vertical="top"/>
    </xf>
    <xf borderId="383" fillId="77" fontId="79" numFmtId="0" xfId="0" applyAlignment="1" applyBorder="1" applyFont="1">
      <alignment horizontal="center" readingOrder="0" vertical="center"/>
    </xf>
    <xf borderId="376" fillId="77" fontId="79" numFmtId="0" xfId="0" applyAlignment="1" applyBorder="1" applyFont="1">
      <alignment horizontal="center" vertical="top"/>
    </xf>
    <xf borderId="378" fillId="77" fontId="67" numFmtId="0" xfId="0" applyAlignment="1" applyBorder="1" applyFont="1">
      <alignment horizontal="center" vertical="top"/>
    </xf>
    <xf borderId="187" fillId="72" fontId="67" numFmtId="0" xfId="0" applyAlignment="1" applyBorder="1" applyFont="1">
      <alignment horizontal="center" vertical="top"/>
    </xf>
    <xf borderId="397" fillId="77" fontId="79" numFmtId="0" xfId="0" applyAlignment="1" applyBorder="1" applyFont="1">
      <alignment horizontal="center" readingOrder="0" vertical="center"/>
    </xf>
    <xf borderId="398" fillId="0" fontId="4" numFmtId="0" xfId="0" applyBorder="1" applyFont="1"/>
    <xf borderId="375" fillId="0" fontId="4" numFmtId="0" xfId="0" applyBorder="1" applyFont="1"/>
    <xf borderId="399" fillId="77" fontId="79" numFmtId="0" xfId="0" applyAlignment="1" applyBorder="1" applyFont="1">
      <alignment horizontal="center" readingOrder="0" vertical="center"/>
    </xf>
    <xf borderId="399" fillId="77" fontId="79" numFmtId="0" xfId="0" applyAlignment="1" applyBorder="1" applyFont="1">
      <alignment horizontal="center" vertical="center"/>
    </xf>
    <xf borderId="400" fillId="0" fontId="4" numFmtId="0" xfId="0" applyBorder="1" applyFont="1"/>
    <xf borderId="401" fillId="77" fontId="79" numFmtId="0" xfId="0" applyAlignment="1" applyBorder="1" applyFont="1">
      <alignment horizontal="center" readingOrder="0" vertical="center"/>
    </xf>
    <xf borderId="389" fillId="77" fontId="68" numFmtId="0" xfId="0" applyAlignment="1" applyBorder="1" applyFont="1">
      <alignment horizontal="center" vertical="center"/>
    </xf>
    <xf borderId="402" fillId="0" fontId="4" numFmtId="0" xfId="0" applyBorder="1" applyFont="1"/>
    <xf borderId="387" fillId="77" fontId="79" numFmtId="0" xfId="0" applyAlignment="1" applyBorder="1" applyFont="1">
      <alignment horizontal="center" readingOrder="0" vertical="center"/>
    </xf>
    <xf borderId="403" fillId="77" fontId="79" numFmtId="0" xfId="0" applyAlignment="1" applyBorder="1" applyFont="1">
      <alignment horizontal="center" readingOrder="0" vertical="center"/>
    </xf>
    <xf borderId="404" fillId="0" fontId="4" numFmtId="0" xfId="0" applyBorder="1" applyFont="1"/>
    <xf borderId="405" fillId="0" fontId="4" numFmtId="0" xfId="0" applyBorder="1" applyFont="1"/>
    <xf borderId="406" fillId="77" fontId="79" numFmtId="0" xfId="0" applyAlignment="1" applyBorder="1" applyFont="1">
      <alignment horizontal="center" readingOrder="0" vertical="center"/>
    </xf>
    <xf borderId="407" fillId="0" fontId="4" numFmtId="0" xfId="0" applyBorder="1" applyFont="1"/>
    <xf borderId="389" fillId="77" fontId="83" numFmtId="0" xfId="0" applyAlignment="1" applyBorder="1" applyFont="1">
      <alignment horizontal="center" vertical="center"/>
    </xf>
    <xf borderId="389" fillId="77" fontId="84" numFmtId="0" xfId="0" applyAlignment="1" applyBorder="1" applyFont="1">
      <alignment horizontal="center" vertical="center"/>
    </xf>
    <xf borderId="370" fillId="77" fontId="84" numFmtId="0" xfId="0" applyAlignment="1" applyBorder="1" applyFont="1">
      <alignment horizontal="center" vertical="center"/>
    </xf>
    <xf borderId="408" fillId="77" fontId="84" numFmtId="0" xfId="0" applyAlignment="1" applyBorder="1" applyFont="1">
      <alignment horizontal="center" vertical="center"/>
    </xf>
    <xf borderId="408" fillId="77" fontId="85" numFmtId="0" xfId="0" applyAlignment="1" applyBorder="1" applyFont="1">
      <alignment horizontal="center" vertical="center"/>
    </xf>
    <xf borderId="408" fillId="77" fontId="82" numFmtId="0" xfId="0" applyAlignment="1" applyBorder="1" applyFont="1">
      <alignment horizontal="center" vertical="center"/>
    </xf>
    <xf borderId="389" fillId="77" fontId="82" numFmtId="0" xfId="0" applyAlignment="1" applyBorder="1" applyFont="1">
      <alignment horizontal="center" vertical="center"/>
    </xf>
    <xf borderId="385" fillId="77" fontId="86" numFmtId="0" xfId="0" applyAlignment="1" applyBorder="1" applyFont="1">
      <alignment horizontal="center" vertical="center"/>
    </xf>
    <xf borderId="376" fillId="77" fontId="87" numFmtId="0" xfId="0" applyAlignment="1" applyBorder="1" applyFont="1">
      <alignment horizontal="center" vertical="center"/>
    </xf>
    <xf borderId="237" fillId="33" fontId="88" numFmtId="0" xfId="0" applyAlignment="1" applyBorder="1" applyFont="1">
      <alignment horizontal="center" readingOrder="0" vertical="top"/>
    </xf>
    <xf borderId="240" fillId="33" fontId="88" numFmtId="0" xfId="0" applyAlignment="1" applyBorder="1" applyFont="1">
      <alignment horizontal="center" readingOrder="0" vertical="top"/>
    </xf>
    <xf borderId="374" fillId="77" fontId="89" numFmtId="0" xfId="0" applyAlignment="1" applyBorder="1" applyFont="1">
      <alignment horizontal="center" vertical="top"/>
    </xf>
    <xf borderId="377" fillId="77" fontId="86" numFmtId="0" xfId="0" applyAlignment="1" applyBorder="1" applyFont="1">
      <alignment horizontal="center" vertical="center"/>
    </xf>
    <xf borderId="389" fillId="77" fontId="86" numFmtId="0" xfId="0" applyAlignment="1" applyBorder="1" applyFont="1">
      <alignment horizontal="center" vertical="center"/>
    </xf>
    <xf borderId="378" fillId="77" fontId="86" numFmtId="0" xfId="0" applyAlignment="1" applyBorder="1" applyFont="1">
      <alignment horizontal="center" vertical="center"/>
    </xf>
    <xf borderId="409" fillId="33" fontId="88" numFmtId="0" xfId="0" applyAlignment="1" applyBorder="1" applyFont="1">
      <alignment horizontal="center" readingOrder="0" vertical="center"/>
    </xf>
    <xf borderId="410" fillId="33" fontId="88" numFmtId="0" xfId="0" applyAlignment="1" applyBorder="1" applyFont="1">
      <alignment horizontal="center" readingOrder="0" vertical="center"/>
    </xf>
    <xf borderId="411" fillId="33" fontId="88" numFmtId="0" xfId="0" applyAlignment="1" applyBorder="1" applyFont="1">
      <alignment horizontal="left" readingOrder="0" vertical="center"/>
    </xf>
    <xf borderId="412" fillId="33" fontId="88" numFmtId="0" xfId="0" applyAlignment="1" applyBorder="1" applyFont="1">
      <alignment horizontal="center" readingOrder="0" vertical="center"/>
    </xf>
    <xf borderId="374" fillId="77" fontId="89" numFmtId="0" xfId="0" applyAlignment="1" applyBorder="1" applyFont="1">
      <alignment horizontal="center" vertical="center"/>
    </xf>
    <xf borderId="413" fillId="33" fontId="88" numFmtId="0" xfId="0" applyAlignment="1" applyBorder="1" applyFont="1">
      <alignment horizontal="center" readingOrder="0" vertical="center"/>
    </xf>
    <xf borderId="414" fillId="33" fontId="88" numFmtId="0" xfId="0" applyAlignment="1" applyBorder="1" applyFont="1">
      <alignment horizontal="center" readingOrder="0" vertical="center"/>
    </xf>
    <xf borderId="415" fillId="33" fontId="88" numFmtId="0" xfId="0" applyAlignment="1" applyBorder="1" applyFont="1">
      <alignment horizontal="left" readingOrder="0" vertical="center"/>
    </xf>
    <xf borderId="416" fillId="33" fontId="88" numFmtId="0" xfId="0" applyAlignment="1" applyBorder="1" applyFont="1">
      <alignment horizontal="center" readingOrder="0" vertical="center"/>
    </xf>
    <xf borderId="417" fillId="33" fontId="88" numFmtId="0" xfId="0" applyAlignment="1" applyBorder="1" applyFont="1">
      <alignment horizontal="center" readingOrder="0" vertical="center"/>
    </xf>
    <xf borderId="418" fillId="33" fontId="88" numFmtId="0" xfId="0" applyAlignment="1" applyBorder="1" applyFont="1">
      <alignment horizontal="center" readingOrder="0" vertical="center"/>
    </xf>
    <xf borderId="419" fillId="33" fontId="88" numFmtId="0" xfId="0" applyAlignment="1" applyBorder="1" applyFont="1">
      <alignment horizontal="left" readingOrder="0" vertical="center"/>
    </xf>
    <xf borderId="420" fillId="33" fontId="88" numFmtId="0" xfId="0" applyAlignment="1" applyBorder="1" applyFont="1">
      <alignment horizontal="center" readingOrder="0" vertical="center"/>
    </xf>
    <xf borderId="253" fillId="33" fontId="88" numFmtId="0" xfId="0" applyAlignment="1" applyBorder="1" applyFont="1">
      <alignment horizontal="right" readingOrder="0" vertical="center"/>
    </xf>
    <xf borderId="256" fillId="33" fontId="88" numFmtId="0" xfId="0" applyAlignment="1" applyBorder="1" applyFont="1">
      <alignment horizontal="center" readingOrder="0" vertical="center"/>
    </xf>
    <xf borderId="376" fillId="77" fontId="89" numFmtId="0" xfId="0" applyAlignment="1" applyBorder="1" applyFont="1">
      <alignment horizontal="center" vertical="center"/>
    </xf>
    <xf borderId="421" fillId="77" fontId="86" numFmtId="0" xfId="0" applyAlignment="1" applyBorder="1" applyFont="1">
      <alignment horizontal="center" vertical="center"/>
    </xf>
    <xf borderId="422" fillId="77" fontId="67" numFmtId="0" xfId="0" applyAlignment="1" applyBorder="1" applyFont="1">
      <alignment horizontal="center" vertical="center"/>
    </xf>
    <xf borderId="423" fillId="77" fontId="90" numFmtId="0" xfId="0" applyAlignment="1" applyBorder="1" applyFont="1">
      <alignment horizontal="center" readingOrder="0" vertical="center"/>
    </xf>
    <xf borderId="423" fillId="77" fontId="91" numFmtId="0" xfId="0" applyAlignment="1" applyBorder="1" applyFont="1">
      <alignment horizontal="center" readingOrder="0" vertical="center"/>
    </xf>
    <xf borderId="424" fillId="77" fontId="91" numFmtId="0" xfId="0" applyAlignment="1" applyBorder="1" applyFont="1">
      <alignment horizontal="center" readingOrder="0" vertical="center"/>
    </xf>
    <xf borderId="425" fillId="77" fontId="67" numFmtId="0" xfId="0" applyAlignment="1" applyBorder="1" applyFont="1">
      <alignment horizontal="center" vertical="center"/>
    </xf>
    <xf borderId="426" fillId="78" fontId="67" numFmtId="0" xfId="0" applyAlignment="1" applyBorder="1" applyFill="1" applyFont="1">
      <alignment horizontal="center" vertical="center"/>
    </xf>
    <xf borderId="427" fillId="78" fontId="90" numFmtId="0" xfId="0" applyAlignment="1" applyBorder="1" applyFont="1">
      <alignment horizontal="center" readingOrder="0" vertical="center"/>
    </xf>
    <xf borderId="427" fillId="78" fontId="91" numFmtId="0" xfId="0" applyAlignment="1" applyBorder="1" applyFont="1">
      <alignment horizontal="center" readingOrder="0" vertical="center"/>
    </xf>
    <xf borderId="428" fillId="78" fontId="67" numFmtId="0" xfId="0" applyAlignment="1" applyBorder="1" applyFont="1">
      <alignment horizontal="center" vertical="center"/>
    </xf>
    <xf borderId="429" fillId="78" fontId="67" numFmtId="0" xfId="0" applyAlignment="1" applyBorder="1" applyFont="1">
      <alignment horizontal="center" vertical="center"/>
    </xf>
    <xf borderId="430" fillId="78" fontId="68" numFmtId="0" xfId="0" applyAlignment="1" applyBorder="1" applyFont="1">
      <alignment horizontal="center" vertical="center"/>
    </xf>
    <xf borderId="430" fillId="78" fontId="67" numFmtId="0" xfId="0" applyAlignment="1" applyBorder="1" applyFont="1">
      <alignment horizontal="center" vertical="center"/>
    </xf>
    <xf borderId="431" fillId="78" fontId="98" numFmtId="0" xfId="0" applyAlignment="1" applyBorder="1" applyFont="1">
      <alignment horizontal="left" readingOrder="0" vertical="center"/>
    </xf>
    <xf borderId="432" fillId="0" fontId="4" numFmtId="0" xfId="0" applyBorder="1" applyFont="1"/>
    <xf borderId="433" fillId="0" fontId="4" numFmtId="0" xfId="0" applyBorder="1" applyFont="1"/>
    <xf borderId="434" fillId="78" fontId="67" numFmtId="0" xfId="0" applyAlignment="1" applyBorder="1" applyFont="1">
      <alignment horizontal="center" vertical="center"/>
    </xf>
    <xf borderId="181" fillId="72" fontId="96" numFmtId="0" xfId="0" applyAlignment="1" applyBorder="1" applyFont="1">
      <alignment horizontal="center" vertical="center"/>
    </xf>
    <xf borderId="435" fillId="78" fontId="67" numFmtId="0" xfId="0" applyAlignment="1" applyBorder="1" applyFont="1">
      <alignment horizontal="center" vertical="center"/>
    </xf>
    <xf borderId="267" fillId="44" fontId="68" numFmtId="0" xfId="0" applyAlignment="1" applyBorder="1" applyFont="1">
      <alignment horizontal="center" vertical="center"/>
    </xf>
    <xf borderId="436" fillId="78" fontId="70" numFmtId="0" xfId="0" applyAlignment="1" applyBorder="1" applyFont="1">
      <alignment horizontal="center" vertical="center"/>
    </xf>
    <xf borderId="191" fillId="44" fontId="99" numFmtId="0" xfId="0" applyAlignment="1" applyBorder="1" applyFont="1">
      <alignment horizontal="center" vertical="center"/>
    </xf>
    <xf borderId="432" fillId="78" fontId="80" numFmtId="0" xfId="0" applyAlignment="1" applyBorder="1" applyFont="1">
      <alignment horizontal="center" vertical="center"/>
    </xf>
    <xf borderId="437" fillId="78" fontId="67" numFmtId="0" xfId="0" applyAlignment="1" applyBorder="1" applyFont="1">
      <alignment horizontal="center" vertical="center"/>
    </xf>
    <xf borderId="435" fillId="78" fontId="73" numFmtId="0" xfId="0" applyAlignment="1" applyBorder="1" applyFont="1">
      <alignment horizontal="center" vertical="center"/>
    </xf>
    <xf borderId="199" fillId="78" fontId="94" numFmtId="0" xfId="0" applyAlignment="1" applyBorder="1" applyFont="1">
      <alignment horizontal="right" readingOrder="0" vertical="center"/>
    </xf>
    <xf borderId="436" fillId="78" fontId="73" numFmtId="0" xfId="0" applyAlignment="1" applyBorder="1" applyFont="1">
      <alignment horizontal="center" readingOrder="0" vertical="center"/>
    </xf>
    <xf borderId="438" fillId="78" fontId="75" numFmtId="0" xfId="0" applyAlignment="1" applyBorder="1" applyFont="1">
      <alignment horizontal="center" readingOrder="0" vertical="center"/>
    </xf>
    <xf borderId="439" fillId="0" fontId="4" numFmtId="0" xfId="0" applyBorder="1" applyFont="1"/>
    <xf borderId="440" fillId="0" fontId="4" numFmtId="0" xfId="0" applyBorder="1" applyFont="1"/>
    <xf borderId="437" fillId="78" fontId="73" numFmtId="0" xfId="0" applyAlignment="1" applyBorder="1" applyFont="1">
      <alignment horizontal="center" vertical="center"/>
    </xf>
    <xf borderId="435" fillId="78" fontId="77" numFmtId="0" xfId="0" applyAlignment="1" applyBorder="1" applyFont="1">
      <alignment horizontal="center" vertical="center"/>
    </xf>
    <xf borderId="436" fillId="78" fontId="77" numFmtId="0" xfId="0" applyAlignment="1" applyBorder="1" applyFont="1">
      <alignment horizontal="center" readingOrder="0" vertical="center"/>
    </xf>
    <xf borderId="441" fillId="78" fontId="78" numFmtId="0" xfId="0" applyAlignment="1" applyBorder="1" applyFont="1">
      <alignment horizontal="center" readingOrder="0" vertical="top"/>
    </xf>
    <xf borderId="442" fillId="0" fontId="4" numFmtId="0" xfId="0" applyBorder="1" applyFont="1"/>
    <xf borderId="443" fillId="0" fontId="4" numFmtId="0" xfId="0" applyBorder="1" applyFont="1"/>
    <xf borderId="437" fillId="78" fontId="77" numFmtId="0" xfId="0" applyAlignment="1" applyBorder="1" applyFont="1">
      <alignment horizontal="center" vertical="center"/>
    </xf>
    <xf borderId="444" fillId="78" fontId="68" numFmtId="0" xfId="0" applyAlignment="1" applyBorder="1" applyFont="1">
      <alignment horizontal="center" vertical="center"/>
    </xf>
    <xf borderId="445" fillId="78" fontId="67" numFmtId="0" xfId="0" applyAlignment="1" applyBorder="1" applyFont="1">
      <alignment horizontal="center" vertical="center"/>
    </xf>
    <xf borderId="446" fillId="78" fontId="79" numFmtId="0" xfId="0" applyAlignment="1" applyBorder="1" applyFont="1">
      <alignment horizontal="center" vertical="center"/>
    </xf>
    <xf borderId="447" fillId="78" fontId="79" numFmtId="0" xfId="0" applyAlignment="1" applyBorder="1" applyFont="1">
      <alignment horizontal="right" vertical="top"/>
    </xf>
    <xf borderId="447" fillId="78" fontId="79" numFmtId="0" xfId="0" applyAlignment="1" applyBorder="1" applyFont="1">
      <alignment horizontal="left" vertical="top"/>
    </xf>
    <xf borderId="448" fillId="78" fontId="79" numFmtId="0" xfId="0" applyAlignment="1" applyBorder="1" applyFont="1">
      <alignment horizontal="center" vertical="top"/>
    </xf>
    <xf borderId="449" fillId="78" fontId="79" numFmtId="0" xfId="0" applyAlignment="1" applyBorder="1" applyFont="1">
      <alignment horizontal="center" vertical="center"/>
    </xf>
    <xf borderId="450" fillId="78" fontId="79" numFmtId="0" xfId="0" applyAlignment="1" applyBorder="1" applyFont="1">
      <alignment horizontal="center" vertical="top"/>
    </xf>
    <xf borderId="451" fillId="78" fontId="79" numFmtId="0" xfId="0" applyAlignment="1" applyBorder="1" applyFont="1">
      <alignment horizontal="center" vertical="top"/>
    </xf>
    <xf borderId="452" fillId="0" fontId="4" numFmtId="0" xfId="0" applyBorder="1" applyFont="1"/>
    <xf borderId="444" fillId="0" fontId="4" numFmtId="0" xfId="0" applyBorder="1" applyFont="1"/>
    <xf borderId="451" fillId="78" fontId="67" numFmtId="0" xfId="0" applyAlignment="1" applyBorder="1" applyFont="1">
      <alignment horizontal="center" vertical="center"/>
    </xf>
    <xf borderId="453" fillId="78" fontId="79" numFmtId="0" xfId="0" applyAlignment="1" applyBorder="1" applyFont="1">
      <alignment horizontal="center" vertical="center"/>
    </xf>
    <xf borderId="444" fillId="78" fontId="79" numFmtId="0" xfId="0" applyAlignment="1" applyBorder="1" applyFont="1">
      <alignment horizontal="center" vertical="top"/>
    </xf>
    <xf borderId="454" fillId="78" fontId="79" numFmtId="0" xfId="0" applyAlignment="1" applyBorder="1" applyFont="1">
      <alignment horizontal="center" vertical="top"/>
    </xf>
    <xf borderId="455" fillId="78" fontId="79" numFmtId="0" xfId="0" applyAlignment="1" applyBorder="1" applyFont="1">
      <alignment horizontal="center" vertical="top"/>
    </xf>
    <xf borderId="427" fillId="0" fontId="4" numFmtId="0" xfId="0" applyBorder="1" applyFont="1"/>
    <xf borderId="456" fillId="78" fontId="79" numFmtId="0" xfId="0" applyAlignment="1" applyBorder="1" applyFont="1">
      <alignment horizontal="center" readingOrder="0" vertical="center"/>
    </xf>
    <xf borderId="457" fillId="0" fontId="4" numFmtId="0" xfId="0" applyBorder="1" applyFont="1"/>
    <xf borderId="458" fillId="0" fontId="4" numFmtId="0" xfId="0" applyBorder="1" applyFont="1"/>
    <xf borderId="459" fillId="78" fontId="2" numFmtId="0" xfId="0" applyBorder="1" applyFont="1"/>
    <xf borderId="441" fillId="78" fontId="79" numFmtId="0" xfId="0" applyAlignment="1" applyBorder="1" applyFont="1">
      <alignment horizontal="center" readingOrder="0" vertical="center"/>
    </xf>
    <xf borderId="460" fillId="78" fontId="79" numFmtId="0" xfId="0" applyAlignment="1" applyBorder="1" applyFont="1">
      <alignment horizontal="center" readingOrder="0" vertical="center"/>
    </xf>
    <xf borderId="461" fillId="78" fontId="79" numFmtId="0" xfId="0" applyAlignment="1" applyBorder="1" applyFont="1">
      <alignment horizontal="center" readingOrder="0" vertical="center"/>
    </xf>
    <xf borderId="462" fillId="78" fontId="79" numFmtId="0" xfId="0" applyAlignment="1" applyBorder="1" applyFont="1">
      <alignment horizontal="center" readingOrder="0" vertical="center"/>
    </xf>
    <xf borderId="447" fillId="78" fontId="68" numFmtId="0" xfId="0" applyAlignment="1" applyBorder="1" applyFont="1">
      <alignment horizontal="center" vertical="center"/>
    </xf>
    <xf borderId="448" fillId="78" fontId="79" numFmtId="0" xfId="0" applyAlignment="1" applyBorder="1" applyFont="1">
      <alignment horizontal="center" readingOrder="0" vertical="center"/>
    </xf>
    <xf borderId="463" fillId="78" fontId="79" numFmtId="0" xfId="0" applyAlignment="1" applyBorder="1" applyFont="1">
      <alignment horizontal="center" readingOrder="0" vertical="center"/>
    </xf>
    <xf borderId="464" fillId="0" fontId="4" numFmtId="0" xfId="0" applyBorder="1" applyFont="1"/>
    <xf borderId="465" fillId="78" fontId="79" numFmtId="0" xfId="0" applyAlignment="1" applyBorder="1" applyFont="1">
      <alignment horizontal="center" readingOrder="0" vertical="center"/>
    </xf>
    <xf borderId="447" fillId="78" fontId="83" numFmtId="0" xfId="0" applyAlignment="1" applyBorder="1" applyFont="1">
      <alignment horizontal="center" vertical="center"/>
    </xf>
    <xf borderId="447" fillId="78" fontId="84" numFmtId="0" xfId="0" applyAlignment="1" applyBorder="1" applyFont="1">
      <alignment horizontal="center" vertical="center"/>
    </xf>
    <xf borderId="444" fillId="78" fontId="100" numFmtId="0" xfId="0" applyAlignment="1" applyBorder="1" applyFont="1">
      <alignment horizontal="center" vertical="center"/>
    </xf>
    <xf borderId="447" fillId="78" fontId="100" numFmtId="0" xfId="0" applyAlignment="1" applyBorder="1" applyFont="1">
      <alignment horizontal="center" vertical="center"/>
    </xf>
    <xf borderId="466" fillId="78" fontId="100" numFmtId="0" xfId="0" applyAlignment="1" applyBorder="1" applyFont="1">
      <alignment horizontal="center" vertical="center"/>
    </xf>
    <xf borderId="466" fillId="78" fontId="101" numFmtId="0" xfId="0" applyAlignment="1" applyBorder="1" applyFont="1">
      <alignment horizontal="center" vertical="center"/>
    </xf>
    <xf borderId="466" fillId="78" fontId="102" numFmtId="0" xfId="0" applyAlignment="1" applyBorder="1" applyFont="1">
      <alignment horizontal="center" vertical="center"/>
    </xf>
    <xf borderId="429" fillId="78" fontId="86" numFmtId="0" xfId="0" applyAlignment="1" applyBorder="1" applyFont="1">
      <alignment horizontal="center" vertical="center"/>
    </xf>
    <xf borderId="451" fillId="78" fontId="87" numFmtId="0" xfId="0" applyAlignment="1" applyBorder="1" applyFont="1">
      <alignment horizontal="center" vertical="center"/>
    </xf>
    <xf borderId="237" fillId="79" fontId="88" numFmtId="0" xfId="0" applyAlignment="1" applyBorder="1" applyFill="1" applyFont="1">
      <alignment horizontal="center" readingOrder="0" vertical="top"/>
    </xf>
    <xf borderId="240" fillId="79" fontId="88" numFmtId="0" xfId="0" applyAlignment="1" applyBorder="1" applyFont="1">
      <alignment horizontal="center" readingOrder="0" vertical="top"/>
    </xf>
    <xf borderId="442" fillId="78" fontId="89" numFmtId="0" xfId="0" applyAlignment="1" applyBorder="1" applyFont="1">
      <alignment horizontal="center" vertical="center"/>
    </xf>
    <xf borderId="437" fillId="78" fontId="86" numFmtId="0" xfId="0" applyAlignment="1" applyBorder="1" applyFont="1">
      <alignment horizontal="center" vertical="center"/>
    </xf>
    <xf borderId="467" fillId="79" fontId="88" numFmtId="0" xfId="0" applyAlignment="1" applyBorder="1" applyFont="1">
      <alignment horizontal="center" readingOrder="0" vertical="center"/>
    </xf>
    <xf borderId="468" fillId="79" fontId="88" numFmtId="0" xfId="0" applyAlignment="1" applyBorder="1" applyFont="1">
      <alignment horizontal="center" readingOrder="0" vertical="center"/>
    </xf>
    <xf borderId="469" fillId="79" fontId="88" numFmtId="0" xfId="0" applyAlignment="1" applyBorder="1" applyFont="1">
      <alignment horizontal="left" readingOrder="0" vertical="center"/>
    </xf>
    <xf borderId="470" fillId="79" fontId="88" numFmtId="0" xfId="0" applyAlignment="1" applyBorder="1" applyFont="1">
      <alignment horizontal="center" readingOrder="0" vertical="center"/>
    </xf>
    <xf borderId="442" fillId="78" fontId="89" numFmtId="0" xfId="0" applyAlignment="1" applyBorder="1" applyFont="1">
      <alignment horizontal="center" vertical="center"/>
    </xf>
    <xf borderId="437" fillId="78" fontId="86" numFmtId="0" xfId="0" applyAlignment="1" applyBorder="1" applyFont="1">
      <alignment horizontal="center" vertical="center"/>
    </xf>
    <xf borderId="471" fillId="79" fontId="88" numFmtId="0" xfId="0" applyAlignment="1" applyBorder="1" applyFont="1">
      <alignment horizontal="center" readingOrder="0" vertical="center"/>
    </xf>
    <xf borderId="472" fillId="79" fontId="88" numFmtId="0" xfId="0" applyAlignment="1" applyBorder="1" applyFont="1">
      <alignment horizontal="center" readingOrder="0" vertical="center"/>
    </xf>
    <xf borderId="473" fillId="79" fontId="88" numFmtId="0" xfId="0" applyAlignment="1" applyBorder="1" applyFont="1">
      <alignment horizontal="left" readingOrder="0" vertical="center"/>
    </xf>
    <xf borderId="474" fillId="79" fontId="88" numFmtId="0" xfId="0" applyAlignment="1" applyBorder="1" applyFont="1">
      <alignment horizontal="center" readingOrder="0" vertical="center"/>
    </xf>
    <xf borderId="475" fillId="79" fontId="88" numFmtId="0" xfId="0" applyAlignment="1" applyBorder="1" applyFont="1">
      <alignment horizontal="center" readingOrder="0" vertical="center"/>
    </xf>
    <xf borderId="476" fillId="79" fontId="88" numFmtId="0" xfId="0" applyAlignment="1" applyBorder="1" applyFont="1">
      <alignment horizontal="center" readingOrder="0" vertical="center"/>
    </xf>
    <xf borderId="477" fillId="79" fontId="88" numFmtId="0" xfId="0" applyAlignment="1" applyBorder="1" applyFont="1">
      <alignment horizontal="left" readingOrder="0" vertical="center"/>
    </xf>
    <xf borderId="478" fillId="79" fontId="88" numFmtId="0" xfId="0" applyAlignment="1" applyBorder="1" applyFont="1">
      <alignment horizontal="center" readingOrder="0" vertical="center"/>
    </xf>
    <xf borderId="253" fillId="79" fontId="88" numFmtId="0" xfId="0" applyAlignment="1" applyBorder="1" applyFont="1">
      <alignment horizontal="right" readingOrder="0" vertical="center"/>
    </xf>
    <xf borderId="256" fillId="79" fontId="88" numFmtId="0" xfId="0" applyAlignment="1" applyBorder="1" applyFont="1">
      <alignment horizontal="center" readingOrder="0" vertical="center"/>
    </xf>
    <xf borderId="479" fillId="78" fontId="67" numFmtId="0" xfId="0" applyAlignment="1" applyBorder="1" applyFont="1">
      <alignment horizontal="center" vertical="center"/>
    </xf>
    <xf borderId="480" fillId="78" fontId="90" numFmtId="0" xfId="0" applyAlignment="1" applyBorder="1" applyFont="1">
      <alignment horizontal="center" readingOrder="0" vertical="center"/>
    </xf>
    <xf borderId="480" fillId="78" fontId="91" numFmtId="0" xfId="0" applyAlignment="1" applyBorder="1" applyFont="1">
      <alignment horizontal="center" readingOrder="0" vertical="center"/>
    </xf>
    <xf borderId="481" fillId="78" fontId="91" numFmtId="0" xfId="0" applyAlignment="1" applyBorder="1" applyFont="1">
      <alignment horizontal="center" readingOrder="0" vertical="center"/>
    </xf>
    <xf borderId="482" fillId="78" fontId="67" numFmtId="0" xfId="0" applyAlignment="1" applyBorder="1" applyFont="1">
      <alignment horizontal="center" vertical="center"/>
    </xf>
    <xf borderId="483" fillId="80" fontId="67" numFmtId="0" xfId="0" applyAlignment="1" applyBorder="1" applyFill="1" applyFont="1">
      <alignment horizontal="center" vertical="center"/>
    </xf>
    <xf borderId="484" fillId="80" fontId="90" numFmtId="0" xfId="0" applyAlignment="1" applyBorder="1" applyFont="1">
      <alignment horizontal="center" readingOrder="0" vertical="center"/>
    </xf>
    <xf borderId="485" fillId="80" fontId="91" numFmtId="0" xfId="0" applyAlignment="1" applyBorder="1" applyFont="1">
      <alignment horizontal="center" readingOrder="0" vertical="center"/>
    </xf>
    <xf borderId="484" fillId="80" fontId="91" numFmtId="0" xfId="0" applyAlignment="1" applyBorder="1" applyFont="1">
      <alignment horizontal="center" readingOrder="0" vertical="center"/>
    </xf>
    <xf borderId="486" fillId="80" fontId="67" numFmtId="0" xfId="0" applyAlignment="1" applyBorder="1" applyFont="1">
      <alignment horizontal="center" vertical="center"/>
    </xf>
    <xf borderId="487" fillId="0" fontId="67" numFmtId="0" xfId="0" applyAlignment="1" applyBorder="1" applyFont="1">
      <alignment horizontal="center" vertical="center"/>
    </xf>
    <xf borderId="267" fillId="81" fontId="68" numFmtId="0" xfId="0" applyAlignment="1" applyBorder="1" applyFill="1" applyFont="1">
      <alignment horizontal="center" vertical="center"/>
    </xf>
    <xf borderId="488" fillId="80" fontId="67" numFmtId="0" xfId="0" applyAlignment="1" applyBorder="1" applyFont="1">
      <alignment horizontal="center" vertical="center"/>
    </xf>
    <xf borderId="191" fillId="81" fontId="78" numFmtId="0" xfId="0" applyAlignment="1" applyBorder="1" applyFont="1">
      <alignment horizontal="center" vertical="center"/>
    </xf>
    <xf borderId="488" fillId="80" fontId="79" numFmtId="0" xfId="0" applyAlignment="1" applyBorder="1" applyFont="1">
      <alignment horizontal="center" vertical="center"/>
    </xf>
    <xf borderId="489" fillId="80" fontId="67" numFmtId="0" xfId="0" applyAlignment="1" applyBorder="1" applyFont="1">
      <alignment horizontal="center" vertical="center"/>
    </xf>
    <xf borderId="487" fillId="0" fontId="73" numFmtId="0" xfId="0" applyAlignment="1" applyBorder="1" applyFont="1">
      <alignment horizontal="center" vertical="center"/>
    </xf>
    <xf borderId="199" fillId="80" fontId="94" numFmtId="0" xfId="0" applyAlignment="1" applyBorder="1" applyFont="1">
      <alignment horizontal="right" readingOrder="0" vertical="center"/>
    </xf>
    <xf borderId="490" fillId="80" fontId="75" numFmtId="0" xfId="0" applyAlignment="1" applyBorder="1" applyFont="1">
      <alignment horizontal="center" readingOrder="0" vertical="center"/>
    </xf>
    <xf borderId="491" fillId="0" fontId="4" numFmtId="0" xfId="0" applyBorder="1" applyFont="1"/>
    <xf borderId="492" fillId="0" fontId="4" numFmtId="0" xfId="0" applyBorder="1" applyFont="1"/>
    <xf borderId="489" fillId="80" fontId="73" numFmtId="0" xfId="0" applyAlignment="1" applyBorder="1" applyFont="1">
      <alignment horizontal="center" vertical="center"/>
    </xf>
    <xf borderId="487" fillId="0" fontId="77" numFmtId="0" xfId="0" applyAlignment="1" applyBorder="1" applyFont="1">
      <alignment horizontal="center" vertical="center"/>
    </xf>
    <xf borderId="493" fillId="80" fontId="78" numFmtId="0" xfId="0" applyAlignment="1" applyBorder="1" applyFont="1">
      <alignment horizontal="center" readingOrder="0" vertical="top"/>
    </xf>
    <xf borderId="494" fillId="0" fontId="4" numFmtId="0" xfId="0" applyBorder="1" applyFont="1"/>
    <xf borderId="495" fillId="0" fontId="4" numFmtId="0" xfId="0" applyBorder="1" applyFont="1"/>
    <xf borderId="489" fillId="80" fontId="77" numFmtId="0" xfId="0" applyAlignment="1" applyBorder="1" applyFont="1">
      <alignment horizontal="center" vertical="center"/>
    </xf>
    <xf borderId="496" fillId="80" fontId="67" numFmtId="0" xfId="0" applyAlignment="1" applyBorder="1" applyFont="1">
      <alignment horizontal="center" vertical="center"/>
    </xf>
    <xf borderId="497" fillId="80" fontId="68" numFmtId="0" xfId="0" applyAlignment="1" applyBorder="1" applyFont="1">
      <alignment horizontal="center" vertical="center"/>
    </xf>
    <xf borderId="498" fillId="80" fontId="79" numFmtId="0" xfId="0" applyAlignment="1" applyBorder="1" applyFont="1">
      <alignment horizontal="center" vertical="center"/>
    </xf>
    <xf borderId="499" fillId="80" fontId="79" numFmtId="0" xfId="0" applyAlignment="1" applyBorder="1" applyFont="1">
      <alignment horizontal="right" vertical="top"/>
    </xf>
    <xf borderId="499" fillId="80" fontId="79" numFmtId="0" xfId="0" applyAlignment="1" applyBorder="1" applyFont="1">
      <alignment horizontal="left" vertical="top"/>
    </xf>
    <xf borderId="500" fillId="80" fontId="79" numFmtId="0" xfId="0" applyAlignment="1" applyBorder="1" applyFont="1">
      <alignment horizontal="center" vertical="top"/>
    </xf>
    <xf borderId="501" fillId="80" fontId="79" numFmtId="0" xfId="0" applyAlignment="1" applyBorder="1" applyFont="1">
      <alignment horizontal="center" vertical="center"/>
    </xf>
    <xf borderId="502" fillId="80" fontId="79" numFmtId="0" xfId="0" applyAlignment="1" applyBorder="1" applyFont="1">
      <alignment horizontal="center" vertical="top"/>
    </xf>
    <xf borderId="503" fillId="0" fontId="4" numFmtId="0" xfId="0" applyBorder="1" applyFont="1"/>
    <xf borderId="504" fillId="80" fontId="79" numFmtId="0" xfId="0" applyAlignment="1" applyBorder="1" applyFont="1">
      <alignment horizontal="center" vertical="top"/>
    </xf>
    <xf borderId="505" fillId="80" fontId="79" numFmtId="0" xfId="0" applyAlignment="1" applyBorder="1" applyFont="1">
      <alignment horizontal="center" vertical="center"/>
    </xf>
    <xf borderId="506" fillId="80" fontId="79" numFmtId="0" xfId="0" applyAlignment="1" applyBorder="1" applyFont="1">
      <alignment horizontal="center" vertical="top"/>
    </xf>
    <xf borderId="507" fillId="80" fontId="67" numFmtId="0" xfId="0" applyAlignment="1" applyBorder="1" applyFont="1">
      <alignment horizontal="center" vertical="center"/>
    </xf>
    <xf borderId="497" fillId="0" fontId="4" numFmtId="0" xfId="0" applyBorder="1" applyFont="1"/>
    <xf borderId="508" fillId="80" fontId="79" numFmtId="0" xfId="0" applyAlignment="1" applyBorder="1" applyFont="1">
      <alignment horizontal="center" vertical="center"/>
    </xf>
    <xf borderId="509" fillId="80" fontId="79" numFmtId="0" xfId="0" applyAlignment="1" applyBorder="1" applyFont="1">
      <alignment horizontal="center" vertical="top"/>
    </xf>
    <xf borderId="510" fillId="80" fontId="79" numFmtId="0" xfId="0" applyAlignment="1" applyBorder="1" applyFont="1">
      <alignment horizontal="center" vertical="top"/>
    </xf>
    <xf borderId="511" fillId="80" fontId="79" numFmtId="0" xfId="0" applyAlignment="1" applyBorder="1" applyFont="1">
      <alignment horizontal="center" vertical="center"/>
    </xf>
    <xf borderId="512" fillId="80" fontId="79" numFmtId="0" xfId="0" applyAlignment="1" applyBorder="1" applyFont="1">
      <alignment horizontal="center" vertical="top"/>
    </xf>
    <xf borderId="513" fillId="80" fontId="79" numFmtId="0" xfId="0" applyAlignment="1" applyBorder="1" applyFont="1">
      <alignment horizontal="center" vertical="top"/>
    </xf>
    <xf borderId="514" fillId="80" fontId="79" numFmtId="0" xfId="0" applyAlignment="1" applyBorder="1" applyFont="1">
      <alignment horizontal="center" vertical="top"/>
    </xf>
    <xf borderId="515" fillId="0" fontId="4" numFmtId="0" xfId="0" applyBorder="1" applyFont="1"/>
    <xf borderId="516" fillId="80" fontId="79" numFmtId="0" xfId="0" applyAlignment="1" applyBorder="1" applyFont="1">
      <alignment horizontal="center" readingOrder="0" vertical="center"/>
    </xf>
    <xf borderId="517" fillId="0" fontId="4" numFmtId="0" xfId="0" applyBorder="1" applyFont="1"/>
    <xf borderId="518" fillId="0" fontId="4" numFmtId="0" xfId="0" applyBorder="1" applyFont="1"/>
    <xf borderId="519" fillId="80" fontId="2" numFmtId="0" xfId="0" applyBorder="1" applyFont="1"/>
    <xf borderId="493" fillId="80" fontId="79" numFmtId="0" xfId="0" applyAlignment="1" applyBorder="1" applyFont="1">
      <alignment horizontal="center" readingOrder="0" vertical="center"/>
    </xf>
    <xf borderId="493" fillId="80" fontId="78" numFmtId="0" xfId="0" applyAlignment="1" applyBorder="1" applyFont="1">
      <alignment horizontal="center" readingOrder="0" vertical="center"/>
    </xf>
    <xf borderId="520" fillId="80" fontId="79" numFmtId="0" xfId="0" applyAlignment="1" applyBorder="1" applyFont="1">
      <alignment horizontal="center" readingOrder="0" vertical="center"/>
    </xf>
    <xf borderId="488" fillId="0" fontId="4" numFmtId="0" xfId="0" applyBorder="1" applyFont="1"/>
    <xf borderId="521" fillId="0" fontId="4" numFmtId="0" xfId="0" applyBorder="1" applyFont="1"/>
    <xf borderId="522" fillId="80" fontId="79" numFmtId="0" xfId="0" applyAlignment="1" applyBorder="1" applyFont="1">
      <alignment horizontal="center" readingOrder="0" vertical="center"/>
    </xf>
    <xf borderId="523" fillId="80" fontId="79" numFmtId="0" xfId="0" applyAlignment="1" applyBorder="1" applyFont="1">
      <alignment horizontal="center" readingOrder="0" vertical="center"/>
    </xf>
    <xf borderId="524" fillId="80" fontId="68" numFmtId="0" xfId="0" applyAlignment="1" applyBorder="1" applyFont="1">
      <alignment horizontal="center" vertical="center"/>
    </xf>
    <xf borderId="500" fillId="80" fontId="79" numFmtId="0" xfId="0" applyAlignment="1" applyBorder="1" applyFont="1">
      <alignment horizontal="center" readingOrder="0" vertical="center"/>
    </xf>
    <xf borderId="525" fillId="80" fontId="79" numFmtId="0" xfId="0" applyAlignment="1" applyBorder="1" applyFont="1">
      <alignment horizontal="center" readingOrder="0" vertical="center"/>
    </xf>
    <xf borderId="526" fillId="0" fontId="4" numFmtId="0" xfId="0" applyBorder="1" applyFont="1"/>
    <xf borderId="527" fillId="0" fontId="4" numFmtId="0" xfId="0" applyBorder="1" applyFont="1"/>
    <xf borderId="528" fillId="80" fontId="79" numFmtId="0" xfId="0" applyAlignment="1" applyBorder="1" applyFont="1">
      <alignment horizontal="center" readingOrder="0" vertical="center"/>
    </xf>
    <xf borderId="499" fillId="80" fontId="83" numFmtId="0" xfId="0" applyAlignment="1" applyBorder="1" applyFont="1">
      <alignment horizontal="center" vertical="center"/>
    </xf>
    <xf borderId="499" fillId="80" fontId="82" numFmtId="0" xfId="0" applyAlignment="1" applyBorder="1" applyFont="1">
      <alignment horizontal="center" vertical="center"/>
    </xf>
    <xf borderId="484" fillId="80" fontId="84" numFmtId="0" xfId="0" applyAlignment="1" applyBorder="1" applyFont="1">
      <alignment horizontal="center" vertical="center"/>
    </xf>
    <xf borderId="529" fillId="80" fontId="84" numFmtId="0" xfId="0" applyAlignment="1" applyBorder="1" applyFont="1">
      <alignment horizontal="center" vertical="center"/>
    </xf>
    <xf borderId="529" fillId="80" fontId="85" numFmtId="0" xfId="0" applyAlignment="1" applyBorder="1" applyFont="1">
      <alignment horizontal="center" vertical="center"/>
    </xf>
    <xf borderId="529" fillId="80" fontId="82" numFmtId="0" xfId="0" applyAlignment="1" applyBorder="1" applyFont="1">
      <alignment horizontal="center" vertical="center"/>
    </xf>
    <xf borderId="530" fillId="80" fontId="67" numFmtId="0" xfId="0" applyAlignment="1" applyBorder="1" applyFont="1">
      <alignment horizontal="center" vertical="center"/>
    </xf>
    <xf borderId="507" fillId="80" fontId="86" numFmtId="0" xfId="0" applyAlignment="1" applyBorder="1" applyFont="1">
      <alignment horizontal="center" vertical="center"/>
    </xf>
    <xf borderId="502" fillId="80" fontId="83" numFmtId="0" xfId="0" applyAlignment="1" applyBorder="1" applyFont="1">
      <alignment horizontal="center" vertical="center"/>
    </xf>
    <xf borderId="494" fillId="80" fontId="87" numFmtId="0" xfId="0" applyAlignment="1" applyBorder="1" applyFont="1">
      <alignment horizontal="center" vertical="center"/>
    </xf>
    <xf borderId="237" fillId="81" fontId="88" numFmtId="0" xfId="0" applyAlignment="1" applyBorder="1" applyFont="1">
      <alignment horizontal="center" readingOrder="0" vertical="top"/>
    </xf>
    <xf borderId="240" fillId="81" fontId="88" numFmtId="0" xfId="0" applyAlignment="1" applyBorder="1" applyFont="1">
      <alignment horizontal="center" readingOrder="0" vertical="top"/>
    </xf>
    <xf borderId="494" fillId="80" fontId="89" numFmtId="0" xfId="0" applyAlignment="1" applyBorder="1" applyFont="1">
      <alignment horizontal="center" vertical="center"/>
    </xf>
    <xf borderId="489" fillId="80" fontId="86" numFmtId="0" xfId="0" applyAlignment="1" applyBorder="1" applyFont="1">
      <alignment horizontal="center" vertical="center"/>
    </xf>
    <xf borderId="531" fillId="81" fontId="88" numFmtId="0" xfId="0" applyAlignment="1" applyBorder="1" applyFont="1">
      <alignment horizontal="center" readingOrder="0" vertical="center"/>
    </xf>
    <xf borderId="532" fillId="81" fontId="88" numFmtId="0" xfId="0" applyAlignment="1" applyBorder="1" applyFont="1">
      <alignment horizontal="center" readingOrder="0" vertical="center"/>
    </xf>
    <xf borderId="533" fillId="81" fontId="88" numFmtId="0" xfId="0" applyAlignment="1" applyBorder="1" applyFont="1">
      <alignment horizontal="left" readingOrder="0" vertical="center"/>
    </xf>
    <xf borderId="534" fillId="81" fontId="88" numFmtId="0" xfId="0" applyAlignment="1" applyBorder="1" applyFont="1">
      <alignment horizontal="center" readingOrder="0" vertical="center"/>
    </xf>
    <xf borderId="494" fillId="80" fontId="89" numFmtId="0" xfId="0" applyAlignment="1" applyBorder="1" applyFont="1">
      <alignment horizontal="center" vertical="center"/>
    </xf>
    <xf borderId="489" fillId="80" fontId="86" numFmtId="0" xfId="0" applyAlignment="1" applyBorder="1" applyFont="1">
      <alignment horizontal="center" vertical="center"/>
    </xf>
    <xf borderId="535" fillId="81" fontId="88" numFmtId="0" xfId="0" applyAlignment="1" applyBorder="1" applyFont="1">
      <alignment horizontal="center" readingOrder="0" vertical="center"/>
    </xf>
    <xf borderId="536" fillId="81" fontId="88" numFmtId="0" xfId="0" applyAlignment="1" applyBorder="1" applyFont="1">
      <alignment horizontal="center" readingOrder="0" vertical="center"/>
    </xf>
    <xf borderId="537" fillId="81" fontId="88" numFmtId="0" xfId="0" applyAlignment="1" applyBorder="1" applyFont="1">
      <alignment horizontal="left" readingOrder="0" vertical="center"/>
    </xf>
    <xf borderId="538" fillId="81" fontId="88" numFmtId="0" xfId="0" applyAlignment="1" applyBorder="1" applyFont="1">
      <alignment horizontal="center" readingOrder="0" vertical="center"/>
    </xf>
    <xf borderId="539" fillId="81" fontId="88" numFmtId="0" xfId="0" applyAlignment="1" applyBorder="1" applyFont="1">
      <alignment horizontal="center" readingOrder="0" vertical="center"/>
    </xf>
    <xf borderId="540" fillId="81" fontId="88" numFmtId="0" xfId="0" applyAlignment="1" applyBorder="1" applyFont="1">
      <alignment horizontal="center" readingOrder="0" vertical="center"/>
    </xf>
    <xf borderId="541" fillId="81" fontId="88" numFmtId="0" xfId="0" applyAlignment="1" applyBorder="1" applyFont="1">
      <alignment horizontal="left" readingOrder="0" vertical="center"/>
    </xf>
    <xf borderId="542" fillId="81" fontId="88" numFmtId="0" xfId="0" applyAlignment="1" applyBorder="1" applyFont="1">
      <alignment horizontal="center" readingOrder="0" vertical="center"/>
    </xf>
    <xf borderId="253" fillId="81" fontId="88" numFmtId="0" xfId="0" applyAlignment="1" applyBorder="1" applyFont="1">
      <alignment horizontal="right" readingOrder="0" vertical="center"/>
    </xf>
    <xf borderId="256" fillId="81" fontId="88" numFmtId="0" xfId="0" applyAlignment="1" applyBorder="1" applyFont="1">
      <alignment horizontal="center" readingOrder="0" vertical="center"/>
    </xf>
    <xf borderId="543" fillId="81" fontId="88" numFmtId="0" xfId="0" applyAlignment="1" applyBorder="1" applyFont="1">
      <alignment horizontal="right" readingOrder="0" vertical="center"/>
    </xf>
    <xf borderId="544" fillId="0" fontId="4" numFmtId="0" xfId="0" applyBorder="1" applyFont="1"/>
    <xf borderId="545" fillId="0" fontId="4" numFmtId="0" xfId="0" applyBorder="1" applyFont="1"/>
    <xf borderId="546" fillId="81" fontId="88" numFmtId="0" xfId="0" applyAlignment="1" applyBorder="1" applyFont="1">
      <alignment horizontal="center" readingOrder="0" vertical="center"/>
    </xf>
    <xf borderId="502" fillId="80" fontId="87" numFmtId="0" xfId="0" applyAlignment="1" applyBorder="1" applyFont="1">
      <alignment horizontal="center" vertical="center"/>
    </xf>
    <xf borderId="502" fillId="80" fontId="89" numFmtId="0" xfId="0" applyAlignment="1" applyBorder="1" applyFont="1">
      <alignment horizontal="center" vertical="center"/>
    </xf>
    <xf borderId="547" fillId="80" fontId="89" numFmtId="0" xfId="0" applyAlignment="1" applyBorder="1" applyFont="1">
      <alignment horizontal="center" vertical="center"/>
    </xf>
    <xf borderId="548" fillId="81" fontId="88" numFmtId="0" xfId="0" applyAlignment="1" applyBorder="1" applyFont="1">
      <alignment horizontal="right" readingOrder="0" vertical="center"/>
    </xf>
    <xf borderId="549" fillId="0" fontId="4" numFmtId="0" xfId="0" applyBorder="1" applyFont="1"/>
    <xf borderId="550" fillId="0" fontId="4" numFmtId="0" xfId="0" applyBorder="1" applyFont="1"/>
    <xf borderId="551" fillId="81" fontId="88" numFmtId="0" xfId="0" applyAlignment="1" applyBorder="1" applyFont="1">
      <alignment horizontal="center" readingOrder="0" vertical="center"/>
    </xf>
    <xf borderId="499" fillId="80" fontId="89" numFmtId="0" xfId="0" applyAlignment="1" applyBorder="1" applyFont="1">
      <alignment horizontal="center" vertical="center"/>
    </xf>
    <xf borderId="530" fillId="80" fontId="86" numFmtId="0" xfId="0" applyAlignment="1" applyBorder="1" applyFont="1">
      <alignment horizontal="center" vertical="center"/>
    </xf>
    <xf borderId="552" fillId="80" fontId="67" numFmtId="0" xfId="0" applyAlignment="1" applyBorder="1" applyFont="1">
      <alignment horizontal="center" vertical="center"/>
    </xf>
    <xf borderId="553" fillId="80" fontId="90" numFmtId="0" xfId="0" applyAlignment="1" applyBorder="1" applyFont="1">
      <alignment horizontal="center" readingOrder="0" vertical="center"/>
    </xf>
    <xf borderId="553" fillId="80" fontId="91" numFmtId="0" xfId="0" applyAlignment="1" applyBorder="1" applyFont="1">
      <alignment horizontal="center" readingOrder="0" vertical="center"/>
    </xf>
    <xf borderId="554" fillId="80" fontId="91" numFmtId="0" xfId="0" applyAlignment="1" applyBorder="1" applyFont="1">
      <alignment horizontal="center" readingOrder="0" vertical="center"/>
    </xf>
    <xf borderId="555" fillId="80" fontId="67" numFmtId="0" xfId="0" applyAlignment="1" applyBorder="1" applyFont="1">
      <alignment horizontal="center" vertical="center"/>
    </xf>
    <xf borderId="556" fillId="82" fontId="67" numFmtId="0" xfId="0" applyAlignment="1" applyBorder="1" applyFill="1" applyFont="1">
      <alignment horizontal="center" vertical="center"/>
    </xf>
    <xf borderId="557" fillId="82" fontId="90" numFmtId="0" xfId="0" applyAlignment="1" applyBorder="1" applyFont="1">
      <alignment horizontal="center" readingOrder="0" vertical="center"/>
    </xf>
    <xf borderId="557" fillId="82" fontId="91" numFmtId="0" xfId="0" applyAlignment="1" applyBorder="1" applyFont="1">
      <alignment horizontal="center" readingOrder="0" vertical="center"/>
    </xf>
    <xf borderId="558" fillId="82" fontId="67" numFmtId="0" xfId="0" applyAlignment="1" applyBorder="1" applyFont="1">
      <alignment horizontal="center" vertical="center"/>
    </xf>
    <xf borderId="559" fillId="82" fontId="67" numFmtId="0" xfId="0" applyAlignment="1" applyBorder="1" applyFont="1">
      <alignment horizontal="center" vertical="center"/>
    </xf>
    <xf borderId="560" fillId="82" fontId="68" numFmtId="0" xfId="0" applyAlignment="1" applyBorder="1" applyFont="1">
      <alignment horizontal="center" vertical="center"/>
    </xf>
    <xf borderId="561" fillId="82" fontId="67" numFmtId="0" xfId="0" applyAlignment="1" applyBorder="1" applyFont="1">
      <alignment horizontal="center" vertical="center"/>
    </xf>
    <xf borderId="562" fillId="82" fontId="103" numFmtId="0" xfId="0" applyAlignment="1" applyBorder="1" applyFont="1">
      <alignment horizontal="left" readingOrder="0" vertical="center"/>
    </xf>
    <xf borderId="563" fillId="0" fontId="4" numFmtId="0" xfId="0" applyBorder="1" applyFont="1"/>
    <xf borderId="564" fillId="0" fontId="4" numFmtId="0" xfId="0" applyBorder="1" applyFont="1"/>
    <xf borderId="565" fillId="82" fontId="67" numFmtId="0" xfId="0" applyAlignment="1" applyBorder="1" applyFont="1">
      <alignment horizontal="center" vertical="center"/>
    </xf>
    <xf borderId="566" fillId="82" fontId="67" numFmtId="0" xfId="0" applyAlignment="1" applyBorder="1" applyFont="1">
      <alignment horizontal="center" vertical="center"/>
    </xf>
    <xf borderId="267" fillId="10" fontId="68" numFmtId="0" xfId="0" applyAlignment="1" applyBorder="1" applyFont="1">
      <alignment horizontal="center" vertical="center"/>
    </xf>
    <xf borderId="567" fillId="82" fontId="70" numFmtId="0" xfId="0" applyAlignment="1" applyBorder="1" applyFont="1">
      <alignment horizontal="center" vertical="center"/>
    </xf>
    <xf borderId="191" fillId="10" fontId="78" numFmtId="0" xfId="0" applyAlignment="1" applyBorder="1" applyFont="1">
      <alignment horizontal="center" vertical="center"/>
    </xf>
    <xf borderId="563" fillId="82" fontId="79" numFmtId="0" xfId="0" applyAlignment="1" applyBorder="1" applyFont="1">
      <alignment horizontal="center" vertical="center"/>
    </xf>
    <xf borderId="568" fillId="82" fontId="67" numFmtId="0" xfId="0" applyAlignment="1" applyBorder="1" applyFont="1">
      <alignment horizontal="center" vertical="center"/>
    </xf>
    <xf borderId="566" fillId="82" fontId="73" numFmtId="0" xfId="0" applyAlignment="1" applyBorder="1" applyFont="1">
      <alignment horizontal="center" vertical="center"/>
    </xf>
    <xf borderId="199" fillId="82" fontId="94" numFmtId="0" xfId="0" applyAlignment="1" applyBorder="1" applyFont="1">
      <alignment horizontal="right" readingOrder="0" vertical="center"/>
    </xf>
    <xf borderId="567" fillId="82" fontId="73" numFmtId="0" xfId="0" applyAlignment="1" applyBorder="1" applyFont="1">
      <alignment horizontal="center" readingOrder="0" vertical="center"/>
    </xf>
    <xf borderId="569" fillId="82" fontId="75" numFmtId="0" xfId="0" applyAlignment="1" applyBorder="1" applyFont="1">
      <alignment horizontal="center" readingOrder="0" vertical="center"/>
    </xf>
    <xf borderId="570" fillId="0" fontId="4" numFmtId="0" xfId="0" applyBorder="1" applyFont="1"/>
    <xf borderId="571" fillId="0" fontId="4" numFmtId="0" xfId="0" applyBorder="1" applyFont="1"/>
    <xf borderId="568" fillId="82" fontId="73" numFmtId="0" xfId="0" applyAlignment="1" applyBorder="1" applyFont="1">
      <alignment horizontal="center" vertical="center"/>
    </xf>
    <xf borderId="566" fillId="82" fontId="69" numFmtId="0" xfId="0" applyAlignment="1" applyBorder="1" applyFont="1">
      <alignment horizontal="center" vertical="center"/>
    </xf>
    <xf borderId="567" fillId="82" fontId="69" numFmtId="0" xfId="0" applyAlignment="1" applyBorder="1" applyFont="1">
      <alignment horizontal="center" readingOrder="0" vertical="center"/>
    </xf>
    <xf borderId="572" fillId="82" fontId="78" numFmtId="0" xfId="0" applyAlignment="1" applyBorder="1" applyFont="1">
      <alignment horizontal="center" readingOrder="0" vertical="top"/>
    </xf>
    <xf borderId="567" fillId="0" fontId="4" numFmtId="0" xfId="0" applyBorder="1" applyFont="1"/>
    <xf borderId="573" fillId="0" fontId="4" numFmtId="0" xfId="0" applyBorder="1" applyFont="1"/>
    <xf borderId="568" fillId="82" fontId="69" numFmtId="0" xfId="0" applyAlignment="1" applyBorder="1" applyFont="1">
      <alignment horizontal="center" vertical="center"/>
    </xf>
    <xf borderId="574" fillId="82" fontId="68" numFmtId="0" xfId="0" applyAlignment="1" applyBorder="1" applyFont="1">
      <alignment horizontal="center" vertical="center"/>
    </xf>
    <xf borderId="575" fillId="82" fontId="67" numFmtId="0" xfId="0" applyAlignment="1" applyBorder="1" applyFont="1">
      <alignment horizontal="center" vertical="center"/>
    </xf>
    <xf borderId="576" fillId="82" fontId="79" numFmtId="0" xfId="0" applyAlignment="1" applyBorder="1" applyFont="1">
      <alignment horizontal="center" vertical="center"/>
    </xf>
    <xf borderId="561" fillId="82" fontId="79" numFmtId="0" xfId="0" applyAlignment="1" applyBorder="1" applyFont="1">
      <alignment horizontal="right" vertical="top"/>
    </xf>
    <xf borderId="561" fillId="82" fontId="79" numFmtId="0" xfId="0" applyAlignment="1" applyBorder="1" applyFont="1">
      <alignment horizontal="left" vertical="top"/>
    </xf>
    <xf borderId="577" fillId="82" fontId="79" numFmtId="0" xfId="0" applyAlignment="1" applyBorder="1" applyFont="1">
      <alignment horizontal="center" vertical="top"/>
    </xf>
    <xf borderId="578" fillId="82" fontId="79" numFmtId="0" xfId="0" applyAlignment="1" applyBorder="1" applyFont="1">
      <alignment horizontal="center" vertical="center"/>
    </xf>
    <xf borderId="579" fillId="82" fontId="79" numFmtId="0" xfId="0" applyAlignment="1" applyBorder="1" applyFont="1">
      <alignment horizontal="center" vertical="top"/>
    </xf>
    <xf borderId="580" fillId="82" fontId="79" numFmtId="0" xfId="0" applyAlignment="1" applyBorder="1" applyFont="1">
      <alignment horizontal="center" vertical="center"/>
    </xf>
    <xf borderId="575" fillId="82" fontId="79" numFmtId="0" xfId="0" applyAlignment="1" applyBorder="1" applyFont="1">
      <alignment horizontal="center" vertical="top"/>
    </xf>
    <xf borderId="581" fillId="0" fontId="4" numFmtId="0" xfId="0" applyBorder="1" applyFont="1"/>
    <xf borderId="582" fillId="82" fontId="79" numFmtId="0" xfId="0" applyAlignment="1" applyBorder="1" applyFont="1">
      <alignment horizontal="center" vertical="top"/>
    </xf>
    <xf borderId="574" fillId="0" fontId="4" numFmtId="0" xfId="0" applyBorder="1" applyFont="1"/>
    <xf borderId="583" fillId="82" fontId="79" numFmtId="0" xfId="0" applyAlignment="1" applyBorder="1" applyFont="1">
      <alignment horizontal="center" vertical="center"/>
    </xf>
    <xf borderId="584" fillId="82" fontId="79" numFmtId="0" xfId="0" applyAlignment="1" applyBorder="1" applyFont="1">
      <alignment horizontal="center" vertical="top"/>
    </xf>
    <xf borderId="585" fillId="82" fontId="79" numFmtId="0" xfId="0" applyAlignment="1" applyBorder="1" applyFont="1">
      <alignment horizontal="center" vertical="top"/>
    </xf>
    <xf borderId="586" fillId="82" fontId="79" numFmtId="0" xfId="0" applyAlignment="1" applyBorder="1" applyFont="1">
      <alignment horizontal="center" vertical="center"/>
    </xf>
    <xf borderId="587" fillId="82" fontId="79" numFmtId="0" xfId="0" applyAlignment="1" applyBorder="1" applyFont="1">
      <alignment horizontal="center" vertical="top"/>
    </xf>
    <xf borderId="588" fillId="82" fontId="79" numFmtId="0" xfId="0" applyAlignment="1" applyBorder="1" applyFont="1">
      <alignment horizontal="center" vertical="top"/>
    </xf>
    <xf borderId="589" fillId="82" fontId="79" numFmtId="0" xfId="0" applyAlignment="1" applyBorder="1" applyFont="1">
      <alignment horizontal="center" vertical="top"/>
    </xf>
    <xf borderId="557" fillId="0" fontId="4" numFmtId="0" xfId="0" applyBorder="1" applyFont="1"/>
    <xf borderId="590" fillId="82" fontId="79" numFmtId="0" xfId="0" applyAlignment="1" applyBorder="1" applyFont="1">
      <alignment horizontal="center" readingOrder="0" vertical="center"/>
    </xf>
    <xf borderId="591" fillId="0" fontId="4" numFmtId="0" xfId="0" applyBorder="1" applyFont="1"/>
    <xf borderId="592" fillId="0" fontId="4" numFmtId="0" xfId="0" applyBorder="1" applyFont="1"/>
    <xf borderId="593" fillId="82" fontId="2" numFmtId="0" xfId="0" applyBorder="1" applyFont="1"/>
    <xf borderId="572" fillId="82" fontId="79" numFmtId="0" xfId="0" applyAlignment="1" applyBorder="1" applyFont="1">
      <alignment horizontal="center" readingOrder="0" vertical="center"/>
    </xf>
    <xf borderId="594" fillId="82" fontId="79" numFmtId="0" xfId="0" applyAlignment="1" applyBorder="1" applyFont="1">
      <alignment horizontal="center" readingOrder="0" vertical="center"/>
    </xf>
    <xf borderId="595" fillId="82" fontId="79" numFmtId="0" xfId="0" applyAlignment="1" applyBorder="1" applyFont="1">
      <alignment horizontal="center" readingOrder="0" vertical="center"/>
    </xf>
    <xf borderId="596" fillId="82" fontId="79" numFmtId="0" xfId="0" applyAlignment="1" applyBorder="1" applyFont="1">
      <alignment horizontal="center" readingOrder="0" vertical="center"/>
    </xf>
    <xf borderId="561" fillId="82" fontId="68" numFmtId="0" xfId="0" applyAlignment="1" applyBorder="1" applyFont="1">
      <alignment horizontal="center" vertical="center"/>
    </xf>
    <xf borderId="577" fillId="82" fontId="79" numFmtId="0" xfId="0" applyAlignment="1" applyBorder="1" applyFont="1">
      <alignment horizontal="center" readingOrder="0" vertical="center"/>
    </xf>
    <xf borderId="597" fillId="82" fontId="79" numFmtId="0" xfId="0" applyAlignment="1" applyBorder="1" applyFont="1">
      <alignment horizontal="center" readingOrder="0" vertical="center"/>
    </xf>
    <xf borderId="598" fillId="0" fontId="4" numFmtId="0" xfId="0" applyBorder="1" applyFont="1"/>
    <xf borderId="599" fillId="82" fontId="79" numFmtId="0" xfId="0" applyAlignment="1" applyBorder="1" applyFont="1">
      <alignment horizontal="center" readingOrder="0" vertical="center"/>
    </xf>
    <xf borderId="561" fillId="82" fontId="83" numFmtId="0" xfId="0" applyAlignment="1" applyBorder="1" applyFont="1">
      <alignment horizontal="center" vertical="center"/>
    </xf>
    <xf borderId="600" fillId="82" fontId="84" numFmtId="0" xfId="0" applyAlignment="1" applyBorder="1" applyFont="1">
      <alignment horizontal="center" vertical="center"/>
    </xf>
    <xf borderId="601" fillId="0" fontId="84" numFmtId="0" xfId="0" applyAlignment="1" applyBorder="1" applyFont="1">
      <alignment horizontal="center" vertical="center"/>
    </xf>
    <xf borderId="602" fillId="82" fontId="84" numFmtId="0" xfId="0" applyAlignment="1" applyBorder="1" applyFont="1">
      <alignment horizontal="center" vertical="center"/>
    </xf>
    <xf borderId="603" fillId="0" fontId="84" numFmtId="0" xfId="0" applyAlignment="1" applyBorder="1" applyFont="1">
      <alignment horizontal="center" vertical="center"/>
    </xf>
    <xf borderId="604" fillId="0" fontId="85" numFmtId="0" xfId="0" applyAlignment="1" applyBorder="1" applyFont="1">
      <alignment horizontal="center" vertical="center"/>
    </xf>
    <xf borderId="603" fillId="0" fontId="82" numFmtId="0" xfId="0" applyAlignment="1" applyBorder="1" applyFont="1">
      <alignment horizontal="center" vertical="center"/>
    </xf>
    <xf borderId="559" fillId="82" fontId="86" numFmtId="0" xfId="0" applyAlignment="1" applyBorder="1" applyFont="1">
      <alignment horizontal="center" vertical="center"/>
    </xf>
    <xf borderId="575" fillId="82" fontId="87" numFmtId="0" xfId="0" applyAlignment="1" applyBorder="1" applyFont="1">
      <alignment horizontal="center" vertical="center"/>
    </xf>
    <xf borderId="237" fillId="10" fontId="104" numFmtId="0" xfId="0" applyAlignment="1" applyBorder="1" applyFont="1">
      <alignment horizontal="center" readingOrder="0" vertical="top"/>
    </xf>
    <xf borderId="240" fillId="10" fontId="104" numFmtId="0" xfId="0" applyAlignment="1" applyBorder="1" applyFont="1">
      <alignment horizontal="center" readingOrder="0" vertical="top"/>
    </xf>
    <xf borderId="567" fillId="82" fontId="105" numFmtId="0" xfId="0" applyAlignment="1" applyBorder="1" applyFont="1">
      <alignment horizontal="center" vertical="center"/>
    </xf>
    <xf borderId="568" fillId="82" fontId="86" numFmtId="0" xfId="0" applyAlignment="1" applyBorder="1" applyFont="1">
      <alignment horizontal="center" vertical="center"/>
    </xf>
    <xf borderId="605" fillId="10" fontId="104" numFmtId="0" xfId="0" applyAlignment="1" applyBorder="1" applyFont="1">
      <alignment horizontal="center" readingOrder="0" vertical="center"/>
    </xf>
    <xf borderId="606" fillId="10" fontId="104" numFmtId="0" xfId="0" applyAlignment="1" applyBorder="1" applyFont="1">
      <alignment horizontal="center" readingOrder="0" vertical="center"/>
    </xf>
    <xf borderId="607" fillId="10" fontId="104" numFmtId="0" xfId="0" applyAlignment="1" applyBorder="1" applyFont="1">
      <alignment horizontal="left" readingOrder="0" vertical="center"/>
    </xf>
    <xf borderId="608" fillId="10" fontId="104" numFmtId="0" xfId="0" applyAlignment="1" applyBorder="1" applyFont="1">
      <alignment horizontal="center" readingOrder="0" vertical="center"/>
    </xf>
    <xf borderId="567" fillId="82" fontId="105" numFmtId="0" xfId="0" applyAlignment="1" applyBorder="1" applyFont="1">
      <alignment horizontal="center" vertical="center"/>
    </xf>
    <xf borderId="568" fillId="82" fontId="86" numFmtId="0" xfId="0" applyAlignment="1" applyBorder="1" applyFont="1">
      <alignment horizontal="center" vertical="center"/>
    </xf>
    <xf borderId="609" fillId="10" fontId="104" numFmtId="0" xfId="0" applyAlignment="1" applyBorder="1" applyFont="1">
      <alignment horizontal="center" readingOrder="0" vertical="center"/>
    </xf>
    <xf borderId="610" fillId="10" fontId="104" numFmtId="0" xfId="0" applyAlignment="1" applyBorder="1" applyFont="1">
      <alignment horizontal="center" readingOrder="0" vertical="center"/>
    </xf>
    <xf borderId="611" fillId="10" fontId="104" numFmtId="0" xfId="0" applyAlignment="1" applyBorder="1" applyFont="1">
      <alignment horizontal="left" readingOrder="0" vertical="center"/>
    </xf>
    <xf borderId="612" fillId="10" fontId="104" numFmtId="0" xfId="0" applyAlignment="1" applyBorder="1" applyFont="1">
      <alignment horizontal="center" readingOrder="0" vertical="center"/>
    </xf>
    <xf borderId="613" fillId="10" fontId="104" numFmtId="0" xfId="0" applyAlignment="1" applyBorder="1" applyFont="1">
      <alignment horizontal="center" readingOrder="0" vertical="center"/>
    </xf>
    <xf borderId="614" fillId="10" fontId="104" numFmtId="0" xfId="0" applyAlignment="1" applyBorder="1" applyFont="1">
      <alignment horizontal="center" readingOrder="0" vertical="center"/>
    </xf>
    <xf borderId="615" fillId="10" fontId="104" numFmtId="0" xfId="0" applyAlignment="1" applyBorder="1" applyFont="1">
      <alignment horizontal="left" readingOrder="0" vertical="center"/>
    </xf>
    <xf borderId="616" fillId="10" fontId="104" numFmtId="0" xfId="0" applyAlignment="1" applyBorder="1" applyFont="1">
      <alignment horizontal="center" readingOrder="0" vertical="center"/>
    </xf>
    <xf borderId="253" fillId="10" fontId="104" numFmtId="0" xfId="0" applyAlignment="1" applyBorder="1" applyFont="1">
      <alignment horizontal="right" readingOrder="0" vertical="center"/>
    </xf>
    <xf borderId="256" fillId="10" fontId="104" numFmtId="0" xfId="0" applyAlignment="1" applyBorder="1" applyFont="1">
      <alignment horizontal="center" readingOrder="0" vertical="center"/>
    </xf>
    <xf borderId="543" fillId="10" fontId="104" numFmtId="0" xfId="0" applyAlignment="1" applyBorder="1" applyFont="1">
      <alignment horizontal="right" readingOrder="0" vertical="center"/>
    </xf>
    <xf borderId="546" fillId="10" fontId="104" numFmtId="0" xfId="0" applyAlignment="1" applyBorder="1" applyFont="1">
      <alignment horizontal="center" readingOrder="0" vertical="center"/>
    </xf>
    <xf borderId="561" fillId="82" fontId="106" numFmtId="0" xfId="0" applyAlignment="1" applyBorder="1" applyFont="1">
      <alignment horizontal="center" vertical="center"/>
    </xf>
    <xf borderId="557" fillId="82" fontId="106" numFmtId="0" xfId="0" applyAlignment="1" applyBorder="1" applyFont="1">
      <alignment horizontal="center" vertical="center"/>
    </xf>
    <xf borderId="548" fillId="10" fontId="104" numFmtId="0" xfId="0" applyAlignment="1" applyBorder="1" applyFont="1">
      <alignment horizontal="right" readingOrder="0" vertical="center"/>
    </xf>
    <xf borderId="551" fillId="10" fontId="104" numFmtId="0" xfId="0" applyAlignment="1" applyBorder="1" applyFont="1">
      <alignment horizontal="center" readingOrder="0" vertical="center"/>
    </xf>
    <xf borderId="617" fillId="82" fontId="67" numFmtId="0" xfId="0" applyAlignment="1" applyBorder="1" applyFont="1">
      <alignment horizontal="center" vertical="center"/>
    </xf>
    <xf borderId="618" fillId="82" fontId="90" numFmtId="0" xfId="0" applyAlignment="1" applyBorder="1" applyFont="1">
      <alignment horizontal="center" readingOrder="0" vertical="center"/>
    </xf>
    <xf borderId="618" fillId="82" fontId="91" numFmtId="0" xfId="0" applyAlignment="1" applyBorder="1" applyFont="1">
      <alignment horizontal="center" readingOrder="0" vertical="center"/>
    </xf>
    <xf borderId="619" fillId="82" fontId="91" numFmtId="0" xfId="0" applyAlignment="1" applyBorder="1" applyFont="1">
      <alignment horizontal="center" readingOrder="0" vertical="center"/>
    </xf>
    <xf borderId="620" fillId="82" fontId="67" numFmtId="0" xfId="0" applyAlignment="1" applyBorder="1" applyFont="1">
      <alignment horizontal="center" vertical="center"/>
    </xf>
    <xf borderId="621" fillId="83" fontId="67" numFmtId="0" xfId="0" applyAlignment="1" applyBorder="1" applyFill="1" applyFont="1">
      <alignment horizontal="center" vertical="center"/>
    </xf>
    <xf borderId="622" fillId="83" fontId="90" numFmtId="0" xfId="0" applyAlignment="1" applyBorder="1" applyFont="1">
      <alignment horizontal="center" readingOrder="0" vertical="center"/>
    </xf>
    <xf borderId="623" fillId="83" fontId="91" numFmtId="0" xfId="0" applyAlignment="1" applyBorder="1" applyFont="1">
      <alignment horizontal="center" readingOrder="0" vertical="center"/>
    </xf>
    <xf borderId="622" fillId="83" fontId="91" numFmtId="0" xfId="0" applyAlignment="1" applyBorder="1" applyFont="1">
      <alignment horizontal="center" readingOrder="0" vertical="center"/>
    </xf>
    <xf borderId="624" fillId="83" fontId="67" numFmtId="0" xfId="0" applyAlignment="1" applyBorder="1" applyFont="1">
      <alignment horizontal="center" vertical="center"/>
    </xf>
    <xf borderId="625" fillId="83" fontId="67" numFmtId="0" xfId="0" applyAlignment="1" applyBorder="1" applyFont="1">
      <alignment horizontal="center" vertical="center"/>
    </xf>
    <xf borderId="267" fillId="64" fontId="68" numFmtId="0" xfId="0" applyAlignment="1" applyBorder="1" applyFont="1">
      <alignment horizontal="center" vertical="center"/>
    </xf>
    <xf borderId="626" fillId="83" fontId="70" numFmtId="0" xfId="0" applyAlignment="1" applyBorder="1" applyFont="1">
      <alignment horizontal="center" vertical="center"/>
    </xf>
    <xf borderId="191" fillId="64" fontId="78" numFmtId="0" xfId="0" applyAlignment="1" applyBorder="1" applyFont="1">
      <alignment horizontal="center" vertical="center"/>
    </xf>
    <xf borderId="627" fillId="83" fontId="79" numFmtId="0" xfId="0" applyAlignment="1" applyBorder="1" applyFont="1">
      <alignment horizontal="center" vertical="center"/>
    </xf>
    <xf borderId="628" fillId="83" fontId="67" numFmtId="0" xfId="0" applyAlignment="1" applyBorder="1" applyFont="1">
      <alignment horizontal="center" vertical="center"/>
    </xf>
    <xf borderId="625" fillId="83" fontId="73" numFmtId="0" xfId="0" applyAlignment="1" applyBorder="1" applyFont="1">
      <alignment horizontal="center" vertical="center"/>
    </xf>
    <xf borderId="199" fillId="83" fontId="94" numFmtId="0" xfId="0" applyAlignment="1" applyBorder="1" applyFont="1">
      <alignment horizontal="right" readingOrder="0" vertical="center"/>
    </xf>
    <xf borderId="626" fillId="83" fontId="73" numFmtId="0" xfId="0" applyAlignment="1" applyBorder="1" applyFont="1">
      <alignment horizontal="center" readingOrder="0" vertical="center"/>
    </xf>
    <xf borderId="629" fillId="83" fontId="75" numFmtId="0" xfId="0" applyAlignment="1" applyBorder="1" applyFont="1">
      <alignment horizontal="center" readingOrder="0" vertical="center"/>
    </xf>
    <xf borderId="630" fillId="0" fontId="4" numFmtId="0" xfId="0" applyBorder="1" applyFont="1"/>
    <xf borderId="631" fillId="0" fontId="4" numFmtId="0" xfId="0" applyBorder="1" applyFont="1"/>
    <xf borderId="628" fillId="83" fontId="73" numFmtId="0" xfId="0" applyAlignment="1" applyBorder="1" applyFont="1">
      <alignment horizontal="center" vertical="center"/>
    </xf>
    <xf borderId="625" fillId="83" fontId="96" numFmtId="0" xfId="0" applyAlignment="1" applyBorder="1" applyFont="1">
      <alignment horizontal="center" vertical="center"/>
    </xf>
    <xf borderId="626" fillId="83" fontId="96" numFmtId="0" xfId="0" applyAlignment="1" applyBorder="1" applyFont="1">
      <alignment horizontal="center" readingOrder="0" vertical="center"/>
    </xf>
    <xf borderId="632" fillId="83" fontId="78" numFmtId="0" xfId="0" applyAlignment="1" applyBorder="1" applyFont="1">
      <alignment horizontal="center" readingOrder="0" vertical="top"/>
    </xf>
    <xf borderId="626" fillId="0" fontId="4" numFmtId="0" xfId="0" applyBorder="1" applyFont="1"/>
    <xf borderId="633" fillId="0" fontId="4" numFmtId="0" xfId="0" applyBorder="1" applyFont="1"/>
    <xf borderId="628" fillId="83" fontId="96" numFmtId="0" xfId="0" applyAlignment="1" applyBorder="1" applyFont="1">
      <alignment horizontal="center" vertical="center"/>
    </xf>
    <xf borderId="187" fillId="72" fontId="70" numFmtId="0" xfId="0" applyAlignment="1" applyBorder="1" applyFont="1">
      <alignment horizontal="center" vertical="center"/>
    </xf>
    <xf borderId="634" fillId="83" fontId="67" numFmtId="0" xfId="0" applyAlignment="1" applyBorder="1" applyFont="1">
      <alignment horizontal="center" vertical="center"/>
    </xf>
    <xf borderId="622" fillId="83" fontId="68" numFmtId="0" xfId="0" applyAlignment="1" applyBorder="1" applyFont="1">
      <alignment horizontal="center" vertical="center"/>
    </xf>
    <xf borderId="635" fillId="83" fontId="67" numFmtId="0" xfId="0" applyAlignment="1" applyBorder="1" applyFont="1">
      <alignment horizontal="center" vertical="center"/>
    </xf>
    <xf borderId="636" fillId="83" fontId="79" numFmtId="0" xfId="0" applyAlignment="1" applyBorder="1" applyFont="1">
      <alignment horizontal="center" vertical="center"/>
    </xf>
    <xf borderId="637" fillId="83" fontId="79" numFmtId="0" xfId="0" applyAlignment="1" applyBorder="1" applyFont="1">
      <alignment horizontal="right" vertical="top"/>
    </xf>
    <xf borderId="637" fillId="83" fontId="79" numFmtId="0" xfId="0" applyAlignment="1" applyBorder="1" applyFont="1">
      <alignment horizontal="left" vertical="top"/>
    </xf>
    <xf borderId="638" fillId="83" fontId="79" numFmtId="0" xfId="0" applyAlignment="1" applyBorder="1" applyFont="1">
      <alignment horizontal="center" vertical="top"/>
    </xf>
    <xf borderId="639" fillId="83" fontId="79" numFmtId="0" xfId="0" applyAlignment="1" applyBorder="1" applyFont="1">
      <alignment horizontal="center" vertical="center"/>
    </xf>
    <xf borderId="640" fillId="83" fontId="79" numFmtId="0" xfId="0" applyAlignment="1" applyBorder="1" applyFont="1">
      <alignment horizontal="center" vertical="top"/>
    </xf>
    <xf borderId="622" fillId="0" fontId="4" numFmtId="0" xfId="0" applyBorder="1" applyFont="1"/>
    <xf borderId="641" fillId="83" fontId="79" numFmtId="0" xfId="0" applyAlignment="1" applyBorder="1" applyFont="1">
      <alignment horizontal="center" vertical="center"/>
    </xf>
    <xf borderId="642" fillId="83" fontId="79" numFmtId="0" xfId="0" applyAlignment="1" applyBorder="1" applyFont="1">
      <alignment horizontal="center" vertical="top"/>
    </xf>
    <xf borderId="643" fillId="83" fontId="79" numFmtId="0" xfId="0" applyAlignment="1" applyBorder="1" applyFont="1">
      <alignment horizontal="center" vertical="top"/>
    </xf>
    <xf borderId="644" fillId="83" fontId="79" numFmtId="0" xfId="0" applyAlignment="1" applyBorder="1" applyFont="1">
      <alignment horizontal="center" vertical="top"/>
    </xf>
    <xf borderId="623" fillId="0" fontId="4" numFmtId="0" xfId="0" applyBorder="1" applyFont="1"/>
    <xf borderId="645" fillId="83" fontId="79" numFmtId="0" xfId="0" applyAlignment="1" applyBorder="1" applyFont="1">
      <alignment horizontal="center" readingOrder="0" vertical="center"/>
    </xf>
    <xf borderId="646" fillId="0" fontId="4" numFmtId="0" xfId="0" applyBorder="1" applyFont="1"/>
    <xf borderId="647" fillId="0" fontId="4" numFmtId="0" xfId="0" applyBorder="1" applyFont="1"/>
    <xf borderId="648" fillId="83" fontId="2" numFmtId="0" xfId="0" applyBorder="1" applyFont="1"/>
    <xf borderId="632" fillId="83" fontId="79" numFmtId="0" xfId="0" applyAlignment="1" applyBorder="1" applyFont="1">
      <alignment horizontal="center" readingOrder="0" vertical="center"/>
    </xf>
    <xf borderId="649" fillId="83" fontId="79" numFmtId="0" xfId="0" applyAlignment="1" applyBorder="1" applyFont="1">
      <alignment horizontal="center" readingOrder="0" vertical="center"/>
    </xf>
    <xf borderId="627" fillId="0" fontId="4" numFmtId="0" xfId="0" applyBorder="1" applyFont="1"/>
    <xf borderId="650" fillId="0" fontId="4" numFmtId="0" xfId="0" applyBorder="1" applyFont="1"/>
    <xf borderId="651" fillId="83" fontId="79" numFmtId="0" xfId="0" applyAlignment="1" applyBorder="1" applyFont="1">
      <alignment horizontal="center" readingOrder="0" vertical="center"/>
    </xf>
    <xf borderId="652" fillId="83" fontId="79" numFmtId="0" xfId="0" applyAlignment="1" applyBorder="1" applyFont="1">
      <alignment horizontal="center" readingOrder="0" vertical="center"/>
    </xf>
    <xf borderId="653" fillId="83" fontId="68" numFmtId="0" xfId="0" applyAlignment="1" applyBorder="1" applyFont="1">
      <alignment horizontal="center" vertical="center"/>
    </xf>
    <xf borderId="654" fillId="83" fontId="79" numFmtId="0" xfId="0" applyAlignment="1" applyBorder="1" applyFont="1">
      <alignment horizontal="center" readingOrder="0" vertical="center"/>
    </xf>
    <xf borderId="655" fillId="83" fontId="79" numFmtId="0" xfId="0" applyAlignment="1" applyBorder="1" applyFont="1">
      <alignment horizontal="center" readingOrder="0" vertical="center"/>
    </xf>
    <xf borderId="656" fillId="0" fontId="4" numFmtId="0" xfId="0" applyBorder="1" applyFont="1"/>
    <xf borderId="657" fillId="83" fontId="79" numFmtId="0" xfId="0" applyAlignment="1" applyBorder="1" applyFont="1">
      <alignment horizontal="center" readingOrder="0" vertical="center"/>
    </xf>
    <xf borderId="653" fillId="83" fontId="83" numFmtId="0" xfId="0" applyAlignment="1" applyBorder="1" applyFont="1">
      <alignment horizontal="center" vertical="center"/>
    </xf>
    <xf borderId="653" fillId="83" fontId="84" numFmtId="0" xfId="0" applyAlignment="1" applyBorder="1" applyFont="1">
      <alignment horizontal="center" vertical="center"/>
    </xf>
    <xf borderId="622" fillId="83" fontId="84" numFmtId="0" xfId="0" applyAlignment="1" applyBorder="1" applyFont="1">
      <alignment horizontal="center" vertical="center"/>
    </xf>
    <xf borderId="658" fillId="83" fontId="84" numFmtId="0" xfId="0" applyAlignment="1" applyBorder="1" applyFont="1">
      <alignment horizontal="center" vertical="center"/>
    </xf>
    <xf borderId="658" fillId="83" fontId="85" numFmtId="0" xfId="0" applyAlignment="1" applyBorder="1" applyFont="1">
      <alignment horizontal="center" vertical="center"/>
    </xf>
    <xf borderId="658" fillId="83" fontId="82" numFmtId="0" xfId="0" applyAlignment="1" applyBorder="1" applyFont="1">
      <alignment horizontal="center" vertical="center"/>
    </xf>
    <xf borderId="659" fillId="83" fontId="67" numFmtId="0" xfId="0" applyAlignment="1" applyBorder="1" applyFont="1">
      <alignment horizontal="center" vertical="center"/>
    </xf>
    <xf borderId="634" fillId="83" fontId="86" numFmtId="0" xfId="0" applyAlignment="1" applyBorder="1" applyFont="1">
      <alignment horizontal="center" vertical="center"/>
    </xf>
    <xf borderId="635" fillId="83" fontId="87" numFmtId="0" xfId="0" applyAlignment="1" applyBorder="1" applyFont="1">
      <alignment horizontal="center" vertical="center"/>
    </xf>
    <xf borderId="237" fillId="84" fontId="104" numFmtId="0" xfId="0" applyAlignment="1" applyBorder="1" applyFill="1" applyFont="1">
      <alignment horizontal="center" readingOrder="0" vertical="top"/>
    </xf>
    <xf borderId="240" fillId="84" fontId="104" numFmtId="0" xfId="0" applyAlignment="1" applyBorder="1" applyFont="1">
      <alignment horizontal="center" readingOrder="0" vertical="top"/>
    </xf>
    <xf borderId="626" fillId="83" fontId="105" numFmtId="0" xfId="0" applyAlignment="1" applyBorder="1" applyFont="1">
      <alignment horizontal="center" vertical="center"/>
    </xf>
    <xf borderId="628" fillId="83" fontId="86" numFmtId="0" xfId="0" applyAlignment="1" applyBorder="1" applyFont="1">
      <alignment horizontal="center" vertical="center"/>
    </xf>
    <xf borderId="660" fillId="84" fontId="104" numFmtId="0" xfId="0" applyAlignment="1" applyBorder="1" applyFont="1">
      <alignment horizontal="center" readingOrder="0" vertical="center"/>
    </xf>
    <xf borderId="661" fillId="84" fontId="104" numFmtId="0" xfId="0" applyAlignment="1" applyBorder="1" applyFont="1">
      <alignment horizontal="center" readingOrder="0" vertical="center"/>
    </xf>
    <xf borderId="662" fillId="84" fontId="104" numFmtId="0" xfId="0" applyAlignment="1" applyBorder="1" applyFont="1">
      <alignment horizontal="left" readingOrder="0" vertical="center"/>
    </xf>
    <xf borderId="663" fillId="84" fontId="104" numFmtId="0" xfId="0" applyAlignment="1" applyBorder="1" applyFont="1">
      <alignment horizontal="center" readingOrder="0" vertical="center"/>
    </xf>
    <xf borderId="626" fillId="83" fontId="105" numFmtId="0" xfId="0" applyAlignment="1" applyBorder="1" applyFont="1">
      <alignment horizontal="center" vertical="center"/>
    </xf>
    <xf borderId="628" fillId="83" fontId="86" numFmtId="0" xfId="0" applyAlignment="1" applyBorder="1" applyFont="1">
      <alignment horizontal="center" vertical="center"/>
    </xf>
    <xf borderId="664" fillId="84" fontId="104" numFmtId="0" xfId="0" applyAlignment="1" applyBorder="1" applyFont="1">
      <alignment horizontal="center" readingOrder="0" vertical="center"/>
    </xf>
    <xf borderId="665" fillId="84" fontId="104" numFmtId="0" xfId="0" applyAlignment="1" applyBorder="1" applyFont="1">
      <alignment horizontal="center" readingOrder="0" vertical="center"/>
    </xf>
    <xf borderId="666" fillId="84" fontId="104" numFmtId="0" xfId="0" applyAlignment="1" applyBorder="1" applyFont="1">
      <alignment horizontal="left" readingOrder="0" vertical="center"/>
    </xf>
    <xf borderId="667" fillId="84" fontId="104" numFmtId="0" xfId="0" applyAlignment="1" applyBorder="1" applyFont="1">
      <alignment horizontal="center" readingOrder="0" vertical="center"/>
    </xf>
    <xf borderId="668" fillId="84" fontId="104" numFmtId="0" xfId="0" applyAlignment="1" applyBorder="1" applyFont="1">
      <alignment horizontal="center" readingOrder="0" vertical="center"/>
    </xf>
    <xf borderId="669" fillId="84" fontId="104" numFmtId="0" xfId="0" applyAlignment="1" applyBorder="1" applyFont="1">
      <alignment horizontal="center" readingOrder="0" vertical="center"/>
    </xf>
    <xf borderId="670" fillId="84" fontId="104" numFmtId="0" xfId="0" applyAlignment="1" applyBorder="1" applyFont="1">
      <alignment horizontal="left" readingOrder="0" vertical="center"/>
    </xf>
    <xf borderId="671" fillId="84" fontId="104" numFmtId="0" xfId="0" applyAlignment="1" applyBorder="1" applyFont="1">
      <alignment horizontal="center" readingOrder="0" vertical="center"/>
    </xf>
    <xf borderId="253" fillId="84" fontId="104" numFmtId="0" xfId="0" applyAlignment="1" applyBorder="1" applyFont="1">
      <alignment horizontal="right" readingOrder="0" vertical="center"/>
    </xf>
    <xf borderId="256" fillId="84" fontId="104" numFmtId="0" xfId="0" applyAlignment="1" applyBorder="1" applyFont="1">
      <alignment horizontal="center" readingOrder="0" vertical="center"/>
    </xf>
    <xf borderId="543" fillId="84" fontId="104" numFmtId="0" xfId="0" applyAlignment="1" applyBorder="1" applyFont="1">
      <alignment horizontal="right" readingOrder="0" vertical="center"/>
    </xf>
    <xf borderId="546" fillId="84" fontId="104" numFmtId="0" xfId="0" applyAlignment="1" applyBorder="1" applyFont="1">
      <alignment horizontal="center" readingOrder="0" vertical="center"/>
    </xf>
    <xf borderId="653" fillId="83" fontId="106" numFmtId="0" xfId="0" applyAlignment="1" applyBorder="1" applyFont="1">
      <alignment horizontal="center" vertical="center"/>
    </xf>
    <xf borderId="623" fillId="83" fontId="106" numFmtId="0" xfId="0" applyAlignment="1" applyBorder="1" applyFont="1">
      <alignment horizontal="center" vertical="center"/>
    </xf>
    <xf borderId="548" fillId="84" fontId="104" numFmtId="0" xfId="0" applyAlignment="1" applyBorder="1" applyFont="1">
      <alignment horizontal="right" readingOrder="0" vertical="center"/>
    </xf>
    <xf borderId="551" fillId="84" fontId="104" numFmtId="0" xfId="0" applyAlignment="1" applyBorder="1" applyFont="1">
      <alignment horizontal="center" readingOrder="0" vertical="center"/>
    </xf>
    <xf borderId="672" fillId="83" fontId="67" numFmtId="0" xfId="0" applyAlignment="1" applyBorder="1" applyFont="1">
      <alignment horizontal="center" vertical="center"/>
    </xf>
    <xf borderId="673" fillId="83" fontId="68" numFmtId="0" xfId="0" applyAlignment="1" applyBorder="1" applyFont="1">
      <alignment horizontal="center" vertical="center"/>
    </xf>
    <xf borderId="673" fillId="83" fontId="67" numFmtId="0" xfId="0" applyAlignment="1" applyBorder="1" applyFont="1">
      <alignment horizontal="center" vertical="center"/>
    </xf>
    <xf borderId="674" fillId="83" fontId="67" numFmtId="0" xfId="0" applyAlignment="1" applyBorder="1" applyFont="1">
      <alignment horizontal="center" vertical="center"/>
    </xf>
    <xf borderId="675" fillId="83" fontId="67" numFmtId="0" xfId="0" applyAlignment="1" applyBorder="1" applyFont="1">
      <alignment horizontal="center" vertical="center"/>
    </xf>
    <xf borderId="676" fillId="72" fontId="67" numFmtId="0" xfId="0" applyAlignment="1" applyBorder="1" applyFont="1">
      <alignment horizontal="center" vertical="center"/>
    </xf>
    <xf borderId="676" fillId="72" fontId="68" numFmtId="0" xfId="0" applyAlignment="1" applyBorder="1" applyFont="1">
      <alignment horizontal="center" vertical="center"/>
    </xf>
    <xf borderId="180" fillId="72" fontId="1" numFmtId="0" xfId="0" applyAlignment="1" applyBorder="1" applyFont="1">
      <alignment horizontal="center" vertical="center"/>
    </xf>
    <xf borderId="180" fillId="72" fontId="94" numFmtId="0" xfId="0" applyAlignment="1" applyBorder="1" applyFont="1">
      <alignment horizontal="right" vertical="center"/>
    </xf>
    <xf borderId="179" fillId="72" fontId="1" numFmtId="0" xfId="0" applyAlignment="1" applyBorder="1" applyFont="1">
      <alignment horizontal="center" vertical="center"/>
    </xf>
    <xf borderId="182" fillId="73" fontId="1" numFmtId="0" xfId="0" applyAlignment="1" applyBorder="1" applyFont="1">
      <alignment horizontal="center" vertical="center"/>
    </xf>
    <xf borderId="184" fillId="73" fontId="94" numFmtId="0" xfId="0" applyAlignment="1" applyBorder="1" applyFont="1">
      <alignment horizontal="right" vertical="center"/>
    </xf>
    <xf borderId="184" fillId="73" fontId="1" numFmtId="0" xfId="0" applyAlignment="1" applyBorder="1" applyFont="1">
      <alignment horizontal="center" vertical="center"/>
    </xf>
    <xf borderId="186" fillId="73" fontId="1" numFmtId="0" xfId="0" applyAlignment="1" applyBorder="1" applyFont="1">
      <alignment horizontal="center" vertical="center"/>
    </xf>
    <xf borderId="187" fillId="72" fontId="1" numFmtId="0" xfId="0" applyAlignment="1" applyBorder="1" applyFont="1">
      <alignment horizontal="center" vertical="center"/>
    </xf>
    <xf borderId="209" fillId="73" fontId="1" numFmtId="0" xfId="0" applyAlignment="1" applyBorder="1" applyFont="1">
      <alignment horizontal="center" vertical="center"/>
    </xf>
    <xf borderId="677" fillId="73" fontId="94" numFmtId="0" xfId="0" applyAlignment="1" applyBorder="1" applyFont="1">
      <alignment horizontal="right" vertical="center"/>
    </xf>
    <xf borderId="217" fillId="73" fontId="1" numFmtId="0" xfId="0" applyAlignment="1" applyBorder="1" applyFont="1">
      <alignment horizontal="center" vertical="center"/>
    </xf>
    <xf borderId="678" fillId="73" fontId="107" numFmtId="0" xfId="0" applyAlignment="1" applyBorder="1" applyFont="1">
      <alignment horizontal="left" readingOrder="0" vertical="center"/>
    </xf>
    <xf borderId="194" fillId="0" fontId="4" numFmtId="0" xfId="0" applyBorder="1" applyFont="1"/>
    <xf borderId="198" fillId="73" fontId="1" numFmtId="0" xfId="0" applyAlignment="1" applyBorder="1" applyFont="1">
      <alignment horizontal="center" vertical="center"/>
    </xf>
    <xf borderId="188" fillId="73" fontId="1" numFmtId="0" xfId="0" applyAlignment="1" applyBorder="1" applyFont="1">
      <alignment horizontal="center" vertical="center"/>
    </xf>
    <xf borderId="189" fillId="17" fontId="94" numFmtId="0" xfId="0" applyAlignment="1" applyBorder="1" applyFont="1">
      <alignment horizontal="right" vertical="center"/>
    </xf>
    <xf borderId="190" fillId="73" fontId="108" numFmtId="0" xfId="0" applyAlignment="1" applyBorder="1" applyFont="1">
      <alignment horizontal="center" vertical="center"/>
    </xf>
    <xf borderId="191" fillId="17" fontId="109" numFmtId="0" xfId="0" applyAlignment="1" applyBorder="1" applyFont="1">
      <alignment horizontal="center" vertical="center"/>
    </xf>
    <xf borderId="207" fillId="73" fontId="110" numFmtId="0" xfId="0" applyAlignment="1" applyBorder="1" applyFont="1">
      <alignment horizontal="center" vertical="center"/>
    </xf>
    <xf borderId="679" fillId="73" fontId="1" numFmtId="0" xfId="0" applyAlignment="1" applyBorder="1" applyFont="1">
      <alignment horizontal="center" vertical="center"/>
    </xf>
    <xf borderId="187" fillId="72" fontId="111" numFmtId="0" xfId="0" applyAlignment="1" applyBorder="1" applyFont="1">
      <alignment horizontal="center" vertical="center"/>
    </xf>
    <xf borderId="188" fillId="73" fontId="10" numFmtId="0" xfId="0" applyAlignment="1" applyBorder="1" applyFont="1">
      <alignment horizontal="center" vertical="center"/>
    </xf>
    <xf borderId="190" fillId="73" fontId="10" numFmtId="0" xfId="0" applyAlignment="1" applyBorder="1" applyFont="1">
      <alignment horizontal="center" readingOrder="0" vertical="center"/>
    </xf>
    <xf borderId="200" fillId="73" fontId="112" numFmtId="0" xfId="0" applyAlignment="1" applyBorder="1" applyFont="1">
      <alignment horizontal="center" readingOrder="0" vertical="center"/>
    </xf>
    <xf borderId="679" fillId="73" fontId="10" numFmtId="0" xfId="0" applyAlignment="1" applyBorder="1" applyFont="1">
      <alignment horizontal="center" vertical="center"/>
    </xf>
    <xf borderId="187" fillId="72" fontId="10" numFmtId="0" xfId="0" applyAlignment="1" applyBorder="1" applyFont="1">
      <alignment horizontal="center" vertical="center"/>
    </xf>
    <xf borderId="188" fillId="73" fontId="113" numFmtId="0" xfId="0" applyAlignment="1" applyBorder="1" applyFont="1">
      <alignment horizontal="center" vertical="center"/>
    </xf>
    <xf borderId="190" fillId="73" fontId="113" numFmtId="0" xfId="0" applyAlignment="1" applyBorder="1" applyFont="1">
      <alignment horizontal="center" readingOrder="0" vertical="center"/>
    </xf>
    <xf borderId="223" fillId="73" fontId="114" numFmtId="0" xfId="0" applyAlignment="1" applyBorder="1" applyFont="1">
      <alignment horizontal="center" readingOrder="0" vertical="top"/>
    </xf>
    <xf borderId="679" fillId="73" fontId="113" numFmtId="0" xfId="0" applyAlignment="1" applyBorder="1" applyFont="1">
      <alignment horizontal="center" vertical="center"/>
    </xf>
    <xf borderId="187" fillId="72" fontId="113" numFmtId="0" xfId="0" applyAlignment="1" applyBorder="1" applyFont="1">
      <alignment horizontal="center" vertical="center"/>
    </xf>
    <xf borderId="204" fillId="73" fontId="94" numFmtId="0" xfId="0" applyAlignment="1" applyBorder="1" applyFont="1">
      <alignment horizontal="right" vertical="center"/>
    </xf>
    <xf borderId="195" fillId="73" fontId="1" numFmtId="0" xfId="0" applyAlignment="1" applyBorder="1" applyFont="1">
      <alignment horizontal="center" vertical="center"/>
    </xf>
    <xf borderId="680" fillId="73" fontId="110" numFmtId="0" xfId="0" applyAlignment="1" applyBorder="1" applyFont="1">
      <alignment horizontal="center" vertical="center"/>
    </xf>
    <xf borderId="212" fillId="73" fontId="115" numFmtId="0" xfId="0" applyAlignment="1" applyBorder="1" applyFont="1">
      <alignment horizontal="right" vertical="top"/>
    </xf>
    <xf borderId="681" fillId="73" fontId="110" numFmtId="0" xfId="0" applyAlignment="1" applyBorder="1" applyFont="1">
      <alignment horizontal="center" vertical="top"/>
    </xf>
    <xf borderId="680" fillId="73" fontId="110" numFmtId="0" xfId="0" applyAlignment="1" applyBorder="1" applyFont="1">
      <alignment horizontal="center" vertical="top"/>
    </xf>
    <xf borderId="681" fillId="73" fontId="110" numFmtId="0" xfId="0" applyAlignment="1" applyBorder="1" applyFont="1">
      <alignment horizontal="center" vertical="center"/>
    </xf>
    <xf borderId="682" fillId="73" fontId="110" numFmtId="0" xfId="0" applyAlignment="1" applyBorder="1" applyFont="1">
      <alignment horizontal="center" vertical="center"/>
    </xf>
    <xf borderId="683" fillId="73" fontId="110" numFmtId="0" xfId="0" applyAlignment="1" applyBorder="1" applyFont="1">
      <alignment horizontal="center" vertical="top"/>
    </xf>
    <xf borderId="684" fillId="73" fontId="110" numFmtId="0" xfId="0" applyAlignment="1" applyBorder="1" applyFont="1">
      <alignment horizontal="center" vertical="top"/>
    </xf>
    <xf borderId="682" fillId="73" fontId="110" numFmtId="0" xfId="0" applyAlignment="1" applyBorder="1" applyFont="1">
      <alignment horizontal="center" vertical="top"/>
    </xf>
    <xf borderId="684" fillId="73" fontId="110" numFmtId="0" xfId="0" applyAlignment="1" applyBorder="1" applyFont="1">
      <alignment horizontal="center" vertical="center"/>
    </xf>
    <xf borderId="219" fillId="73" fontId="110" numFmtId="0" xfId="0" applyAlignment="1" applyBorder="1" applyFont="1">
      <alignment horizontal="center" readingOrder="0" vertical="center"/>
    </xf>
    <xf borderId="219" fillId="73" fontId="110" numFmtId="0" xfId="0" applyAlignment="1" applyBorder="1" applyFont="1">
      <alignment horizontal="center" vertical="center"/>
    </xf>
    <xf borderId="197" fillId="73" fontId="94" numFmtId="0" xfId="0" applyAlignment="1" applyBorder="1" applyFont="1">
      <alignment horizontal="right" vertical="center"/>
    </xf>
    <xf borderId="223" fillId="73" fontId="110" numFmtId="0" xfId="0" applyAlignment="1" applyBorder="1" applyFont="1">
      <alignment horizontal="center" readingOrder="0" vertical="center"/>
    </xf>
    <xf borderId="206" fillId="73" fontId="110" numFmtId="0" xfId="0" applyAlignment="1" applyBorder="1" applyFont="1">
      <alignment horizontal="center" readingOrder="0" vertical="center"/>
    </xf>
    <xf borderId="226" fillId="73" fontId="110" numFmtId="0" xfId="0" applyAlignment="1" applyBorder="1" applyFont="1">
      <alignment horizontal="center" vertical="center"/>
    </xf>
    <xf borderId="206" fillId="73" fontId="110" numFmtId="0" xfId="0" applyAlignment="1" applyBorder="1" applyFont="1">
      <alignment horizontal="center" vertical="center"/>
    </xf>
    <xf borderId="685" fillId="0" fontId="4" numFmtId="0" xfId="0" applyBorder="1" applyFont="1"/>
    <xf borderId="221" fillId="73" fontId="110" numFmtId="0" xfId="0" applyAlignment="1" applyBorder="1" applyFont="1">
      <alignment horizontal="center" vertical="center"/>
    </xf>
    <xf borderId="686" fillId="73" fontId="1" numFmtId="0" xfId="0" applyAlignment="1" applyBorder="1" applyFont="1">
      <alignment horizontal="center" vertical="center"/>
    </xf>
    <xf borderId="217" fillId="73" fontId="94" numFmtId="0" xfId="0" applyAlignment="1" applyBorder="1" applyFont="1">
      <alignment horizontal="right" vertical="center"/>
    </xf>
    <xf borderId="223" fillId="73" fontId="110" numFmtId="0" xfId="0" applyAlignment="1" applyBorder="1" applyFont="1">
      <alignment horizontal="center" vertical="center"/>
    </xf>
    <xf borderId="224" fillId="73" fontId="110" numFmtId="0" xfId="0" applyAlignment="1" applyBorder="1" applyFont="1">
      <alignment horizontal="center" vertical="center"/>
    </xf>
    <xf borderId="224" fillId="73" fontId="110" numFmtId="0" xfId="0" applyAlignment="1" applyBorder="1" applyFont="1">
      <alignment horizontal="center" readingOrder="0" vertical="center"/>
    </xf>
    <xf borderId="687" fillId="73" fontId="110" numFmtId="0" xfId="0" applyAlignment="1" applyBorder="1" applyFont="1">
      <alignment horizontal="center" readingOrder="0" vertical="center"/>
    </xf>
    <xf borderId="688" fillId="0" fontId="4" numFmtId="0" xfId="0" applyBorder="1" applyFont="1"/>
    <xf borderId="689" fillId="0" fontId="4" numFmtId="0" xfId="0" applyBorder="1" applyFont="1"/>
    <xf borderId="690" fillId="73" fontId="110" numFmtId="0" xfId="0" applyAlignment="1" applyBorder="1" applyFont="1">
      <alignment horizontal="center" readingOrder="0" vertical="center"/>
    </xf>
    <xf borderId="217" fillId="73" fontId="92" numFmtId="0" xfId="0" applyAlignment="1" applyBorder="1" applyFont="1">
      <alignment horizontal="right" vertical="center"/>
    </xf>
    <xf borderId="204" fillId="73" fontId="84" numFmtId="0" xfId="0" applyAlignment="1" applyBorder="1" applyFont="1">
      <alignment horizontal="center" vertical="center"/>
    </xf>
    <xf borderId="691" fillId="73" fontId="84" numFmtId="0" xfId="0" applyAlignment="1" applyBorder="1" applyFont="1">
      <alignment horizontal="center" vertical="center"/>
    </xf>
    <xf borderId="691" fillId="73" fontId="85" numFmtId="0" xfId="0" applyAlignment="1" applyBorder="1" applyFont="1">
      <alignment horizontal="center" vertical="center"/>
    </xf>
    <xf borderId="691" fillId="73" fontId="82" numFmtId="0" xfId="0" applyAlignment="1" applyBorder="1" applyFont="1">
      <alignment horizontal="center" vertical="center"/>
    </xf>
    <xf borderId="190" fillId="73" fontId="89" numFmtId="0" xfId="0" applyAlignment="1" applyBorder="1" applyFont="1">
      <alignment horizontal="center" vertical="center"/>
    </xf>
    <xf borderId="198" fillId="73" fontId="86" numFmtId="0" xfId="0" applyAlignment="1" applyBorder="1" applyFont="1">
      <alignment horizontal="center" vertical="center"/>
    </xf>
    <xf borderId="692" fillId="10" fontId="116" numFmtId="0" xfId="0" applyAlignment="1" applyBorder="1" applyFont="1">
      <alignment horizontal="right" readingOrder="0" vertical="center"/>
    </xf>
    <xf borderId="693" fillId="10" fontId="116" numFmtId="0" xfId="0" applyAlignment="1" applyBorder="1" applyFont="1">
      <alignment horizontal="right" readingOrder="0" vertical="center"/>
    </xf>
    <xf borderId="543" fillId="17" fontId="88" numFmtId="0" xfId="0" applyAlignment="1" applyBorder="1" applyFont="1">
      <alignment horizontal="right" readingOrder="0" vertical="center"/>
    </xf>
    <xf borderId="546" fillId="17" fontId="88" numFmtId="0" xfId="0" applyAlignment="1" applyBorder="1" applyFont="1">
      <alignment horizontal="center" readingOrder="0" vertical="center"/>
    </xf>
    <xf borderId="694" fillId="73" fontId="86" numFmtId="0" xfId="0" applyAlignment="1" applyBorder="1" applyFont="1">
      <alignment horizontal="center" vertical="center"/>
    </xf>
    <xf borderId="678" fillId="73" fontId="87" numFmtId="0" xfId="0" applyAlignment="1" applyBorder="1" applyFont="1">
      <alignment horizontal="center" vertical="center"/>
    </xf>
    <xf borderId="207" fillId="73" fontId="89" numFmtId="0" xfId="0" applyAlignment="1" applyBorder="1" applyFont="1">
      <alignment horizontal="center" vertical="center"/>
    </xf>
    <xf borderId="548" fillId="17" fontId="88" numFmtId="0" xfId="0" applyAlignment="1" applyBorder="1" applyFont="1">
      <alignment horizontal="right" readingOrder="0" vertical="center"/>
    </xf>
    <xf borderId="551" fillId="17" fontId="88" numFmtId="0" xfId="0" applyAlignment="1" applyBorder="1" applyFont="1">
      <alignment horizontal="center" readingOrder="0" vertical="center"/>
    </xf>
    <xf borderId="695" fillId="73" fontId="86" numFmtId="0" xfId="0" applyAlignment="1" applyBorder="1" applyFont="1">
      <alignment horizontal="center" vertical="center"/>
    </xf>
    <xf borderId="696" fillId="73" fontId="1" numFmtId="0" xfId="0" applyAlignment="1" applyBorder="1" applyFont="1">
      <alignment horizontal="center" vertical="center"/>
    </xf>
    <xf borderId="260" fillId="73" fontId="92" numFmtId="0" xfId="0" applyAlignment="1" applyBorder="1" applyFont="1">
      <alignment horizontal="right" readingOrder="0" vertical="center"/>
    </xf>
    <xf borderId="697" fillId="73" fontId="117" numFmtId="0" xfId="0" applyAlignment="1" applyBorder="1" applyFont="1">
      <alignment horizontal="center" readingOrder="0" vertical="center"/>
    </xf>
    <xf borderId="260" fillId="73" fontId="117" numFmtId="0" xfId="0" applyAlignment="1" applyBorder="1" applyFont="1">
      <alignment horizontal="center" readingOrder="0" vertical="center"/>
    </xf>
    <xf borderId="698" fillId="73" fontId="1" numFmtId="0" xfId="0" applyAlignment="1" applyBorder="1" applyFont="1">
      <alignment horizontal="center" vertical="center"/>
    </xf>
    <xf borderId="262" fillId="74" fontId="1" numFmtId="0" xfId="0" applyAlignment="1" applyBorder="1" applyFont="1">
      <alignment horizontal="center" vertical="center"/>
    </xf>
    <xf borderId="264" fillId="74" fontId="92" numFmtId="0" xfId="0" applyAlignment="1" applyBorder="1" applyFont="1">
      <alignment horizontal="right" readingOrder="0" vertical="center"/>
    </xf>
    <xf borderId="264" fillId="74" fontId="117" numFmtId="0" xfId="0" applyAlignment="1" applyBorder="1" applyFont="1">
      <alignment horizontal="center" readingOrder="0" vertical="center"/>
    </xf>
    <xf borderId="265" fillId="74" fontId="1" numFmtId="0" xfId="0" applyAlignment="1" applyBorder="1" applyFont="1">
      <alignment horizontal="center" vertical="center"/>
    </xf>
    <xf borderId="699" fillId="74" fontId="1" numFmtId="0" xfId="0" applyAlignment="1" applyBorder="1" applyFont="1">
      <alignment horizontal="center" vertical="center"/>
    </xf>
    <xf borderId="700" fillId="74" fontId="94" numFmtId="0" xfId="0" applyAlignment="1" applyBorder="1" applyFont="1">
      <alignment horizontal="right" vertical="center"/>
    </xf>
    <xf borderId="272" fillId="74" fontId="1" numFmtId="0" xfId="0" applyAlignment="1" applyBorder="1" applyFont="1">
      <alignment horizontal="center" vertical="center"/>
    </xf>
    <xf borderId="701" fillId="74" fontId="118" numFmtId="0" xfId="0" applyAlignment="1" applyBorder="1" applyFont="1">
      <alignment horizontal="left" readingOrder="0" vertical="center"/>
    </xf>
    <xf borderId="273" fillId="74" fontId="1" numFmtId="0" xfId="0" applyAlignment="1" applyBorder="1" applyFont="1">
      <alignment horizontal="center" vertical="center"/>
    </xf>
    <xf borderId="266" fillId="74" fontId="1" numFmtId="0" xfId="0" applyAlignment="1" applyBorder="1" applyFont="1">
      <alignment horizontal="center" vertical="center"/>
    </xf>
    <xf borderId="267" fillId="26" fontId="94" numFmtId="0" xfId="0" applyAlignment="1" applyBorder="1" applyFont="1">
      <alignment horizontal="right" vertical="center"/>
    </xf>
    <xf borderId="268" fillId="74" fontId="108" numFmtId="0" xfId="0" applyAlignment="1" applyBorder="1" applyFont="1">
      <alignment horizontal="center" vertical="center"/>
    </xf>
    <xf borderId="191" fillId="26" fontId="119" numFmtId="0" xfId="0" applyAlignment="1" applyBorder="1" applyFont="1">
      <alignment horizontal="center" vertical="center"/>
    </xf>
    <xf borderId="293" fillId="74" fontId="110" numFmtId="0" xfId="0" applyAlignment="1" applyBorder="1" applyFont="1">
      <alignment horizontal="center" vertical="center"/>
    </xf>
    <xf borderId="702" fillId="74" fontId="1" numFmtId="0" xfId="0" applyAlignment="1" applyBorder="1" applyFont="1">
      <alignment horizontal="center" vertical="center"/>
    </xf>
    <xf borderId="266" fillId="74" fontId="10" numFmtId="0" xfId="0" applyAlignment="1" applyBorder="1" applyFont="1">
      <alignment horizontal="center" vertical="center"/>
    </xf>
    <xf borderId="268" fillId="74" fontId="10" numFmtId="0" xfId="0" applyAlignment="1" applyBorder="1" applyFont="1">
      <alignment horizontal="center" readingOrder="0" vertical="center"/>
    </xf>
    <xf borderId="274" fillId="74" fontId="112" numFmtId="0" xfId="0" applyAlignment="1" applyBorder="1" applyFont="1">
      <alignment horizontal="center" readingOrder="0" vertical="center"/>
    </xf>
    <xf borderId="702" fillId="74" fontId="10" numFmtId="0" xfId="0" applyAlignment="1" applyBorder="1" applyFont="1">
      <alignment horizontal="center" vertical="center"/>
    </xf>
    <xf borderId="266" fillId="74" fontId="113" numFmtId="0" xfId="0" applyAlignment="1" applyBorder="1" applyFont="1">
      <alignment horizontal="center" vertical="center"/>
    </xf>
    <xf borderId="268" fillId="74" fontId="113" numFmtId="0" xfId="0" applyAlignment="1" applyBorder="1" applyFont="1">
      <alignment horizontal="center" readingOrder="0" vertical="center"/>
    </xf>
    <xf borderId="278" fillId="74" fontId="114" numFmtId="0" xfId="0" applyAlignment="1" applyBorder="1" applyFont="1">
      <alignment horizontal="center" readingOrder="0" vertical="top"/>
    </xf>
    <xf borderId="702" fillId="74" fontId="113" numFmtId="0" xfId="0" applyAlignment="1" applyBorder="1" applyFont="1">
      <alignment horizontal="center" vertical="center"/>
    </xf>
    <xf borderId="263" fillId="74" fontId="94" numFmtId="0" xfId="0" applyAlignment="1" applyBorder="1" applyFont="1">
      <alignment horizontal="right" vertical="center"/>
    </xf>
    <xf borderId="268" fillId="74" fontId="1" numFmtId="0" xfId="0" applyAlignment="1" applyBorder="1" applyFont="1">
      <alignment horizontal="center" vertical="center"/>
    </xf>
    <xf borderId="703" fillId="74" fontId="110" numFmtId="0" xfId="0" applyAlignment="1" applyBorder="1" applyFont="1">
      <alignment horizontal="center" vertical="top"/>
    </xf>
    <xf borderId="270" fillId="74" fontId="115" numFmtId="0" xfId="0" applyAlignment="1" applyBorder="1" applyFont="1">
      <alignment horizontal="center" vertical="top"/>
    </xf>
    <xf borderId="704" fillId="74" fontId="110" numFmtId="0" xfId="0" applyAlignment="1" applyBorder="1" applyFont="1">
      <alignment horizontal="center" vertical="top"/>
    </xf>
    <xf borderId="705" fillId="74" fontId="110" numFmtId="0" xfId="0" applyAlignment="1" applyBorder="1" applyFont="1">
      <alignment horizontal="center" vertical="top"/>
    </xf>
    <xf borderId="284" fillId="74" fontId="115" numFmtId="0" xfId="0" applyAlignment="1" applyBorder="1" applyFont="1">
      <alignment horizontal="right" vertical="top"/>
    </xf>
    <xf borderId="284" fillId="74" fontId="115" numFmtId="0" xfId="0" applyAlignment="1" applyBorder="1" applyFont="1">
      <alignment horizontal="left" vertical="top"/>
    </xf>
    <xf borderId="706" fillId="74" fontId="110" numFmtId="0" xfId="0" applyAlignment="1" applyBorder="1" applyFont="1">
      <alignment horizontal="center" vertical="top"/>
    </xf>
    <xf borderId="706" fillId="74" fontId="110" numFmtId="0" xfId="0" applyAlignment="1" applyBorder="1" applyFont="1">
      <alignment horizontal="center" vertical="center"/>
    </xf>
    <xf borderId="707" fillId="74" fontId="110" numFmtId="0" xfId="0" applyAlignment="1" applyBorder="1" applyFont="1">
      <alignment horizontal="center" vertical="top"/>
    </xf>
    <xf borderId="708" fillId="74" fontId="110" numFmtId="0" xfId="0" applyAlignment="1" applyBorder="1" applyFont="1">
      <alignment horizontal="center" vertical="top"/>
    </xf>
    <xf borderId="709" fillId="74" fontId="110" numFmtId="0" xfId="0" applyAlignment="1" applyBorder="1" applyFont="1">
      <alignment horizontal="center" vertical="top"/>
    </xf>
    <xf borderId="710" fillId="74" fontId="110" numFmtId="0" xfId="0" applyAlignment="1" applyBorder="1" applyFont="1">
      <alignment horizontal="center" vertical="top"/>
    </xf>
    <xf borderId="709" fillId="74" fontId="110" numFmtId="0" xfId="0" applyAlignment="1" applyBorder="1" applyFont="1">
      <alignment horizontal="center" vertical="center"/>
    </xf>
    <xf borderId="289" fillId="74" fontId="110" numFmtId="0" xfId="0" applyAlignment="1" applyBorder="1" applyFont="1">
      <alignment horizontal="center" readingOrder="0" vertical="center"/>
    </xf>
    <xf borderId="289" fillId="74" fontId="110" numFmtId="0" xfId="0" applyAlignment="1" applyBorder="1" applyFont="1">
      <alignment horizontal="center" vertical="center"/>
    </xf>
    <xf borderId="272" fillId="74" fontId="94" numFmtId="0" xfId="0" applyAlignment="1" applyBorder="1" applyFont="1">
      <alignment horizontal="right" vertical="center"/>
    </xf>
    <xf borderId="278" fillId="74" fontId="110" numFmtId="0" xfId="0" applyAlignment="1" applyBorder="1" applyFont="1">
      <alignment horizontal="center" readingOrder="0" vertical="center"/>
    </xf>
    <xf borderId="278" fillId="74" fontId="110" numFmtId="0" xfId="0" applyAlignment="1" applyBorder="1" applyFont="1">
      <alignment horizontal="center" vertical="center"/>
    </xf>
    <xf borderId="292" fillId="74" fontId="110" numFmtId="0" xfId="0" applyAlignment="1" applyBorder="1" applyFont="1">
      <alignment horizontal="center" readingOrder="0" vertical="center"/>
    </xf>
    <xf borderId="288" fillId="74" fontId="110" numFmtId="0" xfId="0" applyAlignment="1" applyBorder="1" applyFont="1">
      <alignment horizontal="center" vertical="center"/>
    </xf>
    <xf borderId="292" fillId="74" fontId="110" numFmtId="0" xfId="0" applyAlignment="1" applyBorder="1" applyFont="1">
      <alignment horizontal="center" vertical="center"/>
    </xf>
    <xf borderId="711" fillId="0" fontId="4" numFmtId="0" xfId="0" applyBorder="1" applyFont="1"/>
    <xf borderId="294" fillId="74" fontId="110" numFmtId="0" xfId="0" applyAlignment="1" applyBorder="1" applyFont="1">
      <alignment horizontal="center" readingOrder="0" vertical="center"/>
    </xf>
    <xf borderId="291" fillId="74" fontId="110" numFmtId="0" xfId="0" applyAlignment="1" applyBorder="1" applyFont="1">
      <alignment horizontal="center" readingOrder="0" vertical="center"/>
    </xf>
    <xf borderId="712" fillId="74" fontId="1" numFmtId="0" xfId="0" applyAlignment="1" applyBorder="1" applyFont="1">
      <alignment horizontal="center" vertical="center"/>
    </xf>
    <xf borderId="284" fillId="74" fontId="94" numFmtId="0" xfId="0" applyAlignment="1" applyBorder="1" applyFont="1">
      <alignment horizontal="right" vertical="center"/>
    </xf>
    <xf borderId="279" fillId="74" fontId="110" numFmtId="0" xfId="0" applyAlignment="1" applyBorder="1" applyFont="1">
      <alignment horizontal="center" readingOrder="0" vertical="center"/>
    </xf>
    <xf borderId="295" fillId="74" fontId="110" numFmtId="0" xfId="0" applyAlignment="1" applyBorder="1" applyFont="1">
      <alignment horizontal="center" readingOrder="0" vertical="center"/>
    </xf>
    <xf borderId="713" fillId="0" fontId="4" numFmtId="0" xfId="0" applyBorder="1" applyFont="1"/>
    <xf borderId="714" fillId="74" fontId="110" numFmtId="0" xfId="0" applyAlignment="1" applyBorder="1" applyFont="1">
      <alignment horizontal="center" readingOrder="0" vertical="center"/>
    </xf>
    <xf borderId="295" fillId="74" fontId="110" numFmtId="0" xfId="0" applyAlignment="1" applyBorder="1" applyFont="1">
      <alignment horizontal="center" vertical="center"/>
    </xf>
    <xf borderId="699" fillId="74" fontId="67" numFmtId="0" xfId="0" applyAlignment="1" applyBorder="1" applyFont="1">
      <alignment horizontal="center" vertical="center"/>
    </xf>
    <xf borderId="284" fillId="74" fontId="92" numFmtId="0" xfId="0" applyAlignment="1" applyBorder="1" applyFont="1">
      <alignment horizontal="right" vertical="center"/>
    </xf>
    <xf borderId="715" fillId="74" fontId="84" numFmtId="0" xfId="0" applyAlignment="1" applyBorder="1" applyFont="1">
      <alignment horizontal="center" vertical="center"/>
    </xf>
    <xf borderId="715" fillId="74" fontId="85" numFmtId="0" xfId="0" applyAlignment="1" applyBorder="1" applyFont="1">
      <alignment horizontal="center" vertical="center"/>
    </xf>
    <xf borderId="715" fillId="74" fontId="82" numFmtId="0" xfId="0" applyAlignment="1" applyBorder="1" applyFont="1">
      <alignment horizontal="center" vertical="center"/>
    </xf>
    <xf borderId="699" fillId="74" fontId="86" numFmtId="0" xfId="0" applyAlignment="1" applyBorder="1" applyFont="1">
      <alignment horizontal="center" vertical="center"/>
    </xf>
    <xf borderId="293" fillId="74" fontId="87" numFmtId="0" xfId="0" applyAlignment="1" applyBorder="1" applyFont="1">
      <alignment horizontal="center" vertical="center"/>
    </xf>
    <xf borderId="712" fillId="74" fontId="86" numFmtId="0" xfId="0" applyAlignment="1" applyBorder="1" applyFont="1">
      <alignment horizontal="center" vertical="center"/>
    </xf>
    <xf borderId="268" fillId="74" fontId="89" numFmtId="0" xfId="0" applyAlignment="1" applyBorder="1" applyFont="1">
      <alignment horizontal="center" vertical="center"/>
    </xf>
    <xf borderId="712" fillId="74" fontId="86" numFmtId="0" xfId="0" applyAlignment="1" applyBorder="1" applyFont="1">
      <alignment horizontal="center" vertical="center"/>
    </xf>
    <xf borderId="543" fillId="26" fontId="88" numFmtId="0" xfId="0" applyAlignment="1" applyBorder="1" applyFont="1">
      <alignment horizontal="right" readingOrder="0" vertical="center"/>
    </xf>
    <xf borderId="546" fillId="26" fontId="88" numFmtId="0" xfId="0" applyAlignment="1" applyBorder="1" applyFont="1">
      <alignment horizontal="center" readingOrder="0" vertical="center"/>
    </xf>
    <xf borderId="264" fillId="74" fontId="89" numFmtId="0" xfId="0" applyAlignment="1" applyBorder="1" applyFont="1">
      <alignment horizontal="center" vertical="center"/>
    </xf>
    <xf borderId="284" fillId="74" fontId="89" numFmtId="0" xfId="0" applyAlignment="1" applyBorder="1" applyFont="1">
      <alignment horizontal="center" vertical="center"/>
    </xf>
    <xf borderId="548" fillId="26" fontId="88" numFmtId="0" xfId="0" applyAlignment="1" applyBorder="1" applyFont="1">
      <alignment horizontal="right" readingOrder="0" vertical="center"/>
    </xf>
    <xf borderId="551" fillId="26" fontId="88" numFmtId="0" xfId="0" applyAlignment="1" applyBorder="1" applyFont="1">
      <alignment horizontal="center" readingOrder="0" vertical="center"/>
    </xf>
    <xf borderId="311" fillId="74" fontId="1" numFmtId="0" xfId="0" applyAlignment="1" applyBorder="1" applyFont="1">
      <alignment horizontal="center" vertical="center"/>
    </xf>
    <xf borderId="312" fillId="74" fontId="92" numFmtId="0" xfId="0" applyAlignment="1" applyBorder="1" applyFont="1">
      <alignment horizontal="right" readingOrder="0" vertical="center"/>
    </xf>
    <xf borderId="312" fillId="74" fontId="117" numFmtId="0" xfId="0" applyAlignment="1" applyBorder="1" applyFont="1">
      <alignment horizontal="center" readingOrder="0" vertical="center"/>
    </xf>
    <xf borderId="313" fillId="74" fontId="117" numFmtId="0" xfId="0" applyAlignment="1" applyBorder="1" applyFont="1">
      <alignment horizontal="center" readingOrder="0" vertical="center"/>
    </xf>
    <xf borderId="716" fillId="74" fontId="1" numFmtId="0" xfId="0" applyAlignment="1" applyBorder="1" applyFont="1">
      <alignment horizontal="center" vertical="center"/>
    </xf>
    <xf borderId="315" fillId="75" fontId="1" numFmtId="0" xfId="0" applyAlignment="1" applyBorder="1" applyFont="1">
      <alignment horizontal="center" vertical="center"/>
    </xf>
    <xf borderId="317" fillId="75" fontId="92" numFmtId="0" xfId="0" applyAlignment="1" applyBorder="1" applyFont="1">
      <alignment horizontal="right" readingOrder="0" vertical="center"/>
    </xf>
    <xf borderId="317" fillId="75" fontId="117" numFmtId="0" xfId="0" applyAlignment="1" applyBorder="1" applyFont="1">
      <alignment horizontal="center" readingOrder="0" vertical="center"/>
    </xf>
    <xf borderId="717" fillId="75" fontId="1" numFmtId="0" xfId="0" applyAlignment="1" applyBorder="1" applyFont="1">
      <alignment horizontal="center" vertical="center"/>
    </xf>
    <xf borderId="331" fillId="75" fontId="1" numFmtId="0" xfId="0" applyAlignment="1" applyBorder="1" applyFont="1">
      <alignment horizontal="center" vertical="center"/>
    </xf>
    <xf borderId="718" fillId="75" fontId="94" numFmtId="0" xfId="0" applyAlignment="1" applyBorder="1" applyFont="1">
      <alignment horizontal="right" vertical="center"/>
    </xf>
    <xf borderId="718" fillId="75" fontId="1" numFmtId="0" xfId="0" applyAlignment="1" applyBorder="1" applyFont="1">
      <alignment horizontal="center" vertical="center"/>
    </xf>
    <xf borderId="719" fillId="75" fontId="120" numFmtId="0" xfId="0" applyAlignment="1" applyBorder="1" applyFont="1">
      <alignment horizontal="left" readingOrder="0" vertical="center"/>
    </xf>
    <xf borderId="324" fillId="75" fontId="1" numFmtId="0" xfId="0" applyAlignment="1" applyBorder="1" applyFont="1">
      <alignment horizontal="center" vertical="center"/>
    </xf>
    <xf borderId="319" fillId="75" fontId="1" numFmtId="0" xfId="0" applyAlignment="1" applyBorder="1" applyFont="1">
      <alignment horizontal="center" vertical="center"/>
    </xf>
    <xf borderId="267" fillId="30" fontId="94" numFmtId="0" xfId="0" applyAlignment="1" applyBorder="1" applyFont="1">
      <alignment horizontal="right" vertical="center"/>
    </xf>
    <xf borderId="344" fillId="75" fontId="1" numFmtId="0" xfId="0" applyAlignment="1" applyBorder="1" applyFont="1">
      <alignment horizontal="center" vertical="center"/>
    </xf>
    <xf borderId="191" fillId="30" fontId="119" numFmtId="0" xfId="0" applyAlignment="1" applyBorder="1" applyFont="1">
      <alignment horizontal="center" vertical="center"/>
    </xf>
    <xf borderId="344" fillId="75" fontId="110" numFmtId="0" xfId="0" applyAlignment="1" applyBorder="1" applyFont="1">
      <alignment horizontal="center" vertical="center"/>
    </xf>
    <xf borderId="720" fillId="75" fontId="1" numFmtId="0" xfId="0" applyAlignment="1" applyBorder="1" applyFont="1">
      <alignment horizontal="center" vertical="center"/>
    </xf>
    <xf borderId="319" fillId="75" fontId="10" numFmtId="0" xfId="0" applyAlignment="1" applyBorder="1" applyFont="1">
      <alignment horizontal="center" vertical="center"/>
    </xf>
    <xf borderId="325" fillId="75" fontId="112" numFmtId="0" xfId="0" applyAlignment="1" applyBorder="1" applyFont="1">
      <alignment horizontal="center" readingOrder="0" vertical="center"/>
    </xf>
    <xf borderId="325" fillId="75" fontId="112" numFmtId="0" xfId="0" applyAlignment="1" applyBorder="1" applyFont="1">
      <alignment horizontal="center" vertical="center"/>
    </xf>
    <xf borderId="720" fillId="75" fontId="10" numFmtId="0" xfId="0" applyAlignment="1" applyBorder="1" applyFont="1">
      <alignment horizontal="center" vertical="center"/>
    </xf>
    <xf borderId="319" fillId="75" fontId="113" numFmtId="0" xfId="0" applyAlignment="1" applyBorder="1" applyFont="1">
      <alignment horizontal="center" vertical="center"/>
    </xf>
    <xf borderId="329" fillId="75" fontId="114" numFmtId="0" xfId="0" applyAlignment="1" applyBorder="1" applyFont="1">
      <alignment horizontal="center" readingOrder="0" vertical="top"/>
    </xf>
    <xf borderId="720" fillId="75" fontId="113" numFmtId="0" xfId="0" applyAlignment="1" applyBorder="1" applyFont="1">
      <alignment horizontal="center" vertical="center"/>
    </xf>
    <xf borderId="316" fillId="75" fontId="94" numFmtId="0" xfId="0" applyAlignment="1" applyBorder="1" applyFont="1">
      <alignment horizontal="right" vertical="center"/>
    </xf>
    <xf borderId="721" fillId="75" fontId="110" numFmtId="0" xfId="0" applyAlignment="1" applyBorder="1" applyFont="1">
      <alignment horizontal="center" vertical="center"/>
    </xf>
    <xf borderId="333" fillId="75" fontId="115" numFmtId="0" xfId="0" applyAlignment="1" applyBorder="1" applyFont="1">
      <alignment horizontal="right" vertical="top"/>
    </xf>
    <xf borderId="333" fillId="75" fontId="115" numFmtId="0" xfId="0" applyAlignment="1" applyBorder="1" applyFont="1">
      <alignment horizontal="left" vertical="top"/>
    </xf>
    <xf borderId="722" fillId="75" fontId="110" numFmtId="0" xfId="0" applyAlignment="1" applyBorder="1" applyFont="1">
      <alignment horizontal="center" vertical="top"/>
    </xf>
    <xf borderId="723" fillId="75" fontId="110" numFmtId="0" xfId="0" applyAlignment="1" applyBorder="1" applyFont="1">
      <alignment horizontal="center" vertical="top"/>
    </xf>
    <xf borderId="322" fillId="75" fontId="115" numFmtId="0" xfId="0" applyAlignment="1" applyBorder="1" applyFont="1">
      <alignment horizontal="center" vertical="top"/>
    </xf>
    <xf borderId="724" fillId="75" fontId="110" numFmtId="0" xfId="0" applyAlignment="1" applyBorder="1" applyFont="1">
      <alignment horizontal="center" vertical="top"/>
    </xf>
    <xf borderId="721" fillId="75" fontId="110" numFmtId="0" xfId="0" applyAlignment="1" applyBorder="1" applyFont="1">
      <alignment horizontal="center" vertical="top"/>
    </xf>
    <xf borderId="724" fillId="75" fontId="110" numFmtId="0" xfId="0" applyAlignment="1" applyBorder="1" applyFont="1">
      <alignment horizontal="center" vertical="center"/>
    </xf>
    <xf borderId="722" fillId="75" fontId="110" numFmtId="0" xfId="0" applyAlignment="1" applyBorder="1" applyFont="1">
      <alignment horizontal="center" vertical="center"/>
    </xf>
    <xf borderId="725" fillId="75" fontId="110" numFmtId="0" xfId="0" applyAlignment="1" applyBorder="1" applyFont="1">
      <alignment horizontal="center" vertical="center"/>
    </xf>
    <xf borderId="726" fillId="75" fontId="110" numFmtId="0" xfId="0" applyAlignment="1" applyBorder="1" applyFont="1">
      <alignment horizontal="center" vertical="top"/>
    </xf>
    <xf borderId="727" fillId="75" fontId="110" numFmtId="0" xfId="0" applyAlignment="1" applyBorder="1" applyFont="1">
      <alignment horizontal="center" vertical="top"/>
    </xf>
    <xf borderId="725" fillId="75" fontId="110" numFmtId="0" xfId="0" applyAlignment="1" applyBorder="1" applyFont="1">
      <alignment horizontal="center" vertical="top"/>
    </xf>
    <xf borderId="728" fillId="75" fontId="110" numFmtId="0" xfId="0" applyAlignment="1" applyBorder="1" applyFont="1">
      <alignment horizontal="center" vertical="top"/>
    </xf>
    <xf borderId="727" fillId="75" fontId="110" numFmtId="0" xfId="0" applyAlignment="1" applyBorder="1" applyFont="1">
      <alignment horizontal="center" vertical="center"/>
    </xf>
    <xf borderId="187" fillId="72" fontId="121" numFmtId="0" xfId="0" applyAlignment="1" applyBorder="1" applyFont="1">
      <alignment horizontal="center" vertical="center"/>
    </xf>
    <xf borderId="339" fillId="75" fontId="110" numFmtId="0" xfId="0" applyAlignment="1" applyBorder="1" applyFont="1">
      <alignment horizontal="center" readingOrder="0" vertical="center"/>
    </xf>
    <xf borderId="342" fillId="75" fontId="94" numFmtId="0" xfId="0" applyAlignment="1" applyBorder="1" applyFont="1">
      <alignment horizontal="right" vertical="center"/>
    </xf>
    <xf borderId="329" fillId="75" fontId="110" numFmtId="0" xfId="0" applyAlignment="1" applyBorder="1" applyFont="1">
      <alignment horizontal="center" readingOrder="0" vertical="center"/>
    </xf>
    <xf borderId="329" fillId="75" fontId="119" numFmtId="0" xfId="0" applyAlignment="1" applyBorder="1" applyFont="1">
      <alignment horizontal="center" readingOrder="0" vertical="center"/>
    </xf>
    <xf borderId="343" fillId="75" fontId="110" numFmtId="0" xfId="0" applyAlignment="1" applyBorder="1" applyFont="1">
      <alignment horizontal="center" readingOrder="0" vertical="center"/>
    </xf>
    <xf borderId="345" fillId="75" fontId="110" numFmtId="0" xfId="0" applyAlignment="1" applyBorder="1" applyFont="1">
      <alignment horizontal="center" readingOrder="0" vertical="center"/>
    </xf>
    <xf borderId="345" fillId="75" fontId="110" numFmtId="0" xfId="0" applyAlignment="1" applyBorder="1" applyFont="1">
      <alignment horizontal="center" vertical="center"/>
    </xf>
    <xf borderId="343" fillId="75" fontId="110" numFmtId="0" xfId="0" applyAlignment="1" applyBorder="1" applyFont="1">
      <alignment horizontal="center" vertical="center"/>
    </xf>
    <xf borderId="729" fillId="0" fontId="4" numFmtId="0" xfId="0" applyBorder="1" applyFont="1"/>
    <xf borderId="341" fillId="75" fontId="110" numFmtId="0" xfId="0" applyAlignment="1" applyBorder="1" applyFont="1">
      <alignment horizontal="center" readingOrder="0" vertical="center"/>
    </xf>
    <xf borderId="339" fillId="75" fontId="110" numFmtId="0" xfId="0" applyAlignment="1" applyBorder="1" applyFont="1">
      <alignment horizontal="center" vertical="center"/>
    </xf>
    <xf borderId="730" fillId="75" fontId="1" numFmtId="0" xfId="0" applyAlignment="1" applyBorder="1" applyFont="1">
      <alignment horizontal="center" vertical="center"/>
    </xf>
    <xf borderId="333" fillId="75" fontId="94" numFmtId="0" xfId="0" applyAlignment="1" applyBorder="1" applyFont="1">
      <alignment horizontal="right" vertical="center"/>
    </xf>
    <xf borderId="330" fillId="75" fontId="110" numFmtId="0" xfId="0" applyAlignment="1" applyBorder="1" applyFont="1">
      <alignment horizontal="center" readingOrder="0" vertical="center"/>
    </xf>
    <xf borderId="329" fillId="75" fontId="110" numFmtId="0" xfId="0" applyAlignment="1" applyBorder="1" applyFont="1">
      <alignment horizontal="center" vertical="center"/>
    </xf>
    <xf borderId="347" fillId="75" fontId="110" numFmtId="0" xfId="0" applyAlignment="1" applyBorder="1" applyFont="1">
      <alignment horizontal="center" readingOrder="0" vertical="center"/>
    </xf>
    <xf borderId="731" fillId="0" fontId="4" numFmtId="0" xfId="0" applyBorder="1" applyFont="1"/>
    <xf borderId="732" fillId="75" fontId="110" numFmtId="0" xfId="0" applyAlignment="1" applyBorder="1" applyFont="1">
      <alignment horizontal="center" readingOrder="0" vertical="center"/>
    </xf>
    <xf borderId="333" fillId="75" fontId="92" numFmtId="0" xfId="0" applyAlignment="1" applyBorder="1" applyFont="1">
      <alignment horizontal="right" vertical="center"/>
    </xf>
    <xf borderId="320" fillId="75" fontId="122" numFmtId="0" xfId="0" applyAlignment="1" applyBorder="1" applyFont="1">
      <alignment horizontal="center" vertical="center"/>
    </xf>
    <xf borderId="730" fillId="75" fontId="86" numFmtId="0" xfId="0" applyAlignment="1" applyBorder="1" applyFont="1">
      <alignment horizontal="center" vertical="center"/>
    </xf>
    <xf borderId="320" fillId="75" fontId="89" numFmtId="0" xfId="0" applyAlignment="1" applyBorder="1" applyFont="1">
      <alignment horizontal="center" vertical="center"/>
    </xf>
    <xf borderId="730" fillId="75" fontId="86" numFmtId="0" xfId="0" applyAlignment="1" applyBorder="1" applyFont="1">
      <alignment horizontal="center" vertical="center"/>
    </xf>
    <xf borderId="543" fillId="76" fontId="88" numFmtId="0" xfId="0" applyAlignment="1" applyBorder="1" applyFont="1">
      <alignment horizontal="right" readingOrder="0" vertical="center"/>
    </xf>
    <xf borderId="546" fillId="76" fontId="88" numFmtId="0" xfId="0" applyAlignment="1" applyBorder="1" applyFont="1">
      <alignment horizontal="center" readingOrder="0" vertical="center"/>
    </xf>
    <xf borderId="548" fillId="76" fontId="104" numFmtId="0" xfId="0" applyAlignment="1" applyBorder="1" applyFont="1">
      <alignment horizontal="right" readingOrder="0" vertical="center"/>
    </xf>
    <xf borderId="551" fillId="76" fontId="104" numFmtId="0" xfId="0" applyAlignment="1" applyBorder="1" applyFont="1">
      <alignment horizontal="center" readingOrder="0" vertical="center"/>
    </xf>
    <xf borderId="320" fillId="75" fontId="105" numFmtId="0" xfId="0" applyAlignment="1" applyBorder="1" applyFont="1">
      <alignment horizontal="center" vertical="center"/>
    </xf>
    <xf borderId="317" fillId="75" fontId="106" numFmtId="0" xfId="0" applyAlignment="1" applyBorder="1" applyFont="1">
      <alignment horizontal="center" vertical="center"/>
    </xf>
    <xf borderId="333" fillId="75" fontId="106" numFmtId="0" xfId="0" applyAlignment="1" applyBorder="1" applyFont="1">
      <alignment horizontal="center" vertical="center"/>
    </xf>
    <xf borderId="365" fillId="75" fontId="1" numFmtId="0" xfId="0" applyAlignment="1" applyBorder="1" applyFont="1">
      <alignment horizontal="center" vertical="center"/>
    </xf>
    <xf borderId="366" fillId="75" fontId="92" numFmtId="0" xfId="0" applyAlignment="1" applyBorder="1" applyFont="1">
      <alignment horizontal="right" readingOrder="0" vertical="center"/>
    </xf>
    <xf borderId="366" fillId="75" fontId="117" numFmtId="0" xfId="0" applyAlignment="1" applyBorder="1" applyFont="1">
      <alignment horizontal="center" readingOrder="0" vertical="center"/>
    </xf>
    <xf borderId="367" fillId="75" fontId="117" numFmtId="0" xfId="0" applyAlignment="1" applyBorder="1" applyFont="1">
      <alignment horizontal="center" readingOrder="0" vertical="center"/>
    </xf>
    <xf borderId="368" fillId="75" fontId="1" numFmtId="0" xfId="0" applyAlignment="1" applyBorder="1" applyFont="1">
      <alignment horizontal="center" vertical="center"/>
    </xf>
    <xf borderId="369" fillId="77" fontId="1" numFmtId="0" xfId="0" applyAlignment="1" applyBorder="1" applyFont="1">
      <alignment horizontal="center" vertical="center"/>
    </xf>
    <xf borderId="371" fillId="77" fontId="92" numFmtId="0" xfId="0" applyAlignment="1" applyBorder="1" applyFont="1">
      <alignment horizontal="right" readingOrder="0" vertical="center"/>
    </xf>
    <xf borderId="371" fillId="77" fontId="117" numFmtId="0" xfId="0" applyAlignment="1" applyBorder="1" applyFont="1">
      <alignment horizontal="center" readingOrder="0" vertical="center"/>
    </xf>
    <xf borderId="372" fillId="77" fontId="1" numFmtId="0" xfId="0" applyAlignment="1" applyBorder="1" applyFont="1">
      <alignment horizontal="center" vertical="center"/>
    </xf>
    <xf borderId="385" fillId="77" fontId="1" numFmtId="0" xfId="0" applyAlignment="1" applyBorder="1" applyFont="1">
      <alignment horizontal="center" vertical="center"/>
    </xf>
    <xf borderId="733" fillId="77" fontId="94" numFmtId="0" xfId="0" applyAlignment="1" applyBorder="1" applyFont="1">
      <alignment horizontal="right" vertical="center"/>
    </xf>
    <xf borderId="733" fillId="77" fontId="1" numFmtId="0" xfId="0" applyAlignment="1" applyBorder="1" applyFont="1">
      <alignment horizontal="center" vertical="center"/>
    </xf>
    <xf borderId="734" fillId="77" fontId="123" numFmtId="0" xfId="0" applyAlignment="1" applyBorder="1" applyFont="1">
      <alignment horizontal="left" readingOrder="0" vertical="center"/>
    </xf>
    <xf borderId="378" fillId="77" fontId="1" numFmtId="0" xfId="0" applyAlignment="1" applyBorder="1" applyFont="1">
      <alignment horizontal="center" vertical="center"/>
    </xf>
    <xf borderId="373" fillId="77" fontId="1" numFmtId="0" xfId="0" applyAlignment="1" applyBorder="1" applyFont="1">
      <alignment horizontal="center" vertical="center"/>
    </xf>
    <xf borderId="267" fillId="33" fontId="94" numFmtId="0" xfId="0" applyAlignment="1" applyBorder="1" applyFont="1">
      <alignment horizontal="right" vertical="center"/>
    </xf>
    <xf borderId="436" fillId="0" fontId="108" numFmtId="0" xfId="0" applyAlignment="1" applyBorder="1" applyFont="1">
      <alignment horizontal="center" vertical="center"/>
    </xf>
    <xf borderId="191" fillId="33" fontId="119" numFmtId="0" xfId="0" applyAlignment="1" applyBorder="1" applyFont="1">
      <alignment horizontal="center" vertical="center"/>
    </xf>
    <xf borderId="398" fillId="77" fontId="110" numFmtId="0" xfId="0" applyAlignment="1" applyBorder="1" applyFont="1">
      <alignment horizontal="center" vertical="center"/>
    </xf>
    <xf borderId="735" fillId="77" fontId="1" numFmtId="0" xfId="0" applyAlignment="1" applyBorder="1" applyFont="1">
      <alignment horizontal="center" vertical="center"/>
    </xf>
    <xf borderId="373" fillId="77" fontId="10" numFmtId="0" xfId="0" applyAlignment="1" applyBorder="1" applyFont="1">
      <alignment horizontal="center" vertical="center"/>
    </xf>
    <xf borderId="436" fillId="0" fontId="10" numFmtId="0" xfId="0" applyAlignment="1" applyBorder="1" applyFont="1">
      <alignment horizontal="center" readingOrder="0" vertical="center"/>
    </xf>
    <xf borderId="379" fillId="77" fontId="112" numFmtId="0" xfId="0" applyAlignment="1" applyBorder="1" applyFont="1">
      <alignment horizontal="center" readingOrder="0" vertical="center"/>
    </xf>
    <xf borderId="379" fillId="77" fontId="112" numFmtId="0" xfId="0" applyAlignment="1" applyBorder="1" applyFont="1">
      <alignment horizontal="center" vertical="center"/>
    </xf>
    <xf borderId="735" fillId="77" fontId="10" numFmtId="0" xfId="0" applyAlignment="1" applyBorder="1" applyFont="1">
      <alignment horizontal="center" vertical="center"/>
    </xf>
    <xf borderId="373" fillId="77" fontId="113" numFmtId="0" xfId="0" applyAlignment="1" applyBorder="1" applyFont="1">
      <alignment horizontal="center" vertical="center"/>
    </xf>
    <xf borderId="436" fillId="0" fontId="113" numFmtId="0" xfId="0" applyAlignment="1" applyBorder="1" applyFont="1">
      <alignment horizontal="center" readingOrder="0" vertical="center"/>
    </xf>
    <xf borderId="383" fillId="77" fontId="114" numFmtId="0" xfId="0" applyAlignment="1" applyBorder="1" applyFont="1">
      <alignment horizontal="center" readingOrder="0" vertical="top"/>
    </xf>
    <xf borderId="735" fillId="77" fontId="113" numFmtId="0" xfId="0" applyAlignment="1" applyBorder="1" applyFont="1">
      <alignment horizontal="center" vertical="center"/>
    </xf>
    <xf borderId="187" fillId="72" fontId="83" numFmtId="0" xfId="0" applyAlignment="1" applyBorder="1" applyFont="1">
      <alignment horizontal="center" vertical="center"/>
    </xf>
    <xf borderId="370" fillId="77" fontId="94" numFmtId="0" xfId="0" applyAlignment="1" applyBorder="1" applyFont="1">
      <alignment horizontal="right" vertical="center"/>
    </xf>
    <xf borderId="736" fillId="77" fontId="1" numFmtId="0" xfId="0" applyAlignment="1" applyBorder="1" applyFont="1">
      <alignment horizontal="center" vertical="center"/>
    </xf>
    <xf borderId="737" fillId="77" fontId="110" numFmtId="0" xfId="0" applyAlignment="1" applyBorder="1" applyFont="1">
      <alignment horizontal="center" vertical="center"/>
    </xf>
    <xf borderId="389" fillId="77" fontId="115" numFmtId="0" xfId="0" applyAlignment="1" applyBorder="1" applyFont="1">
      <alignment horizontal="right" vertical="top"/>
    </xf>
    <xf borderId="389" fillId="77" fontId="115" numFmtId="0" xfId="0" applyAlignment="1" applyBorder="1" applyFont="1">
      <alignment horizontal="left" vertical="top"/>
    </xf>
    <xf borderId="738" fillId="77" fontId="110" numFmtId="0" xfId="0" applyAlignment="1" applyBorder="1" applyFont="1">
      <alignment horizontal="center" vertical="top"/>
    </xf>
    <xf borderId="737" fillId="77" fontId="110" numFmtId="0" xfId="0" applyAlignment="1" applyBorder="1" applyFont="1">
      <alignment horizontal="center" vertical="top"/>
    </xf>
    <xf borderId="738" fillId="77" fontId="110" numFmtId="0" xfId="0" applyAlignment="1" applyBorder="1" applyFont="1">
      <alignment horizontal="center" vertical="center"/>
    </xf>
    <xf borderId="376" fillId="77" fontId="1" numFmtId="0" xfId="0" applyAlignment="1" applyBorder="1" applyFont="1">
      <alignment horizontal="center" vertical="center"/>
    </xf>
    <xf borderId="739" fillId="77" fontId="110" numFmtId="0" xfId="0" applyAlignment="1" applyBorder="1" applyFont="1">
      <alignment horizontal="center" vertical="center"/>
    </xf>
    <xf borderId="740" fillId="77" fontId="110" numFmtId="0" xfId="0" applyAlignment="1" applyBorder="1" applyFont="1">
      <alignment horizontal="center" vertical="top"/>
    </xf>
    <xf borderId="741" fillId="77" fontId="110" numFmtId="0" xfId="0" applyAlignment="1" applyBorder="1" applyFont="1">
      <alignment horizontal="center" vertical="top"/>
    </xf>
    <xf borderId="739" fillId="77" fontId="110" numFmtId="0" xfId="0" applyAlignment="1" applyBorder="1" applyFont="1">
      <alignment horizontal="center" vertical="top"/>
    </xf>
    <xf borderId="741" fillId="77" fontId="110" numFmtId="0" xfId="0" applyAlignment="1" applyBorder="1" applyFont="1">
      <alignment horizontal="center" vertical="center"/>
    </xf>
    <xf borderId="393" fillId="77" fontId="110" numFmtId="0" xfId="0" applyAlignment="1" applyBorder="1" applyFont="1">
      <alignment horizontal="center" readingOrder="0" vertical="center"/>
    </xf>
    <xf borderId="396" fillId="77" fontId="94" numFmtId="0" xfId="0" applyAlignment="1" applyBorder="1" applyFont="1">
      <alignment horizontal="right" vertical="center"/>
    </xf>
    <xf borderId="383" fillId="77" fontId="110" numFmtId="0" xfId="0" applyAlignment="1" applyBorder="1" applyFont="1">
      <alignment horizontal="center" readingOrder="0" vertical="center"/>
    </xf>
    <xf borderId="397" fillId="77" fontId="110" numFmtId="0" xfId="0" applyAlignment="1" applyBorder="1" applyFont="1">
      <alignment horizontal="center" readingOrder="0" vertical="center"/>
    </xf>
    <xf borderId="399" fillId="77" fontId="110" numFmtId="0" xfId="0" applyAlignment="1" applyBorder="1" applyFont="1">
      <alignment horizontal="center" vertical="center"/>
    </xf>
    <xf borderId="742" fillId="0" fontId="4" numFmtId="0" xfId="0" applyBorder="1" applyFont="1"/>
    <xf borderId="395" fillId="77" fontId="110" numFmtId="0" xfId="0" applyAlignment="1" applyBorder="1" applyFont="1">
      <alignment horizontal="center" readingOrder="0" vertical="center"/>
    </xf>
    <xf borderId="393" fillId="77" fontId="110" numFmtId="0" xfId="0" applyAlignment="1" applyBorder="1" applyFont="1">
      <alignment horizontal="center" vertical="center"/>
    </xf>
    <xf borderId="743" fillId="77" fontId="1" numFmtId="0" xfId="0" applyAlignment="1" applyBorder="1" applyFont="1">
      <alignment horizontal="center" vertical="center"/>
    </xf>
    <xf borderId="389" fillId="77" fontId="94" numFmtId="0" xfId="0" applyAlignment="1" applyBorder="1" applyFont="1">
      <alignment horizontal="right" vertical="center"/>
    </xf>
    <xf borderId="384" fillId="77" fontId="110" numFmtId="0" xfId="0" applyAlignment="1" applyBorder="1" applyFont="1">
      <alignment horizontal="center" vertical="center"/>
    </xf>
    <xf borderId="383" fillId="77" fontId="110" numFmtId="0" xfId="0" applyAlignment="1" applyBorder="1" applyFont="1">
      <alignment horizontal="center" vertical="center"/>
    </xf>
    <xf borderId="384" fillId="77" fontId="110" numFmtId="0" xfId="0" applyAlignment="1" applyBorder="1" applyFont="1">
      <alignment horizontal="center" readingOrder="0" vertical="center"/>
    </xf>
    <xf borderId="403" fillId="77" fontId="110" numFmtId="0" xfId="0" applyAlignment="1" applyBorder="1" applyFont="1">
      <alignment horizontal="center" readingOrder="0" vertical="center"/>
    </xf>
    <xf borderId="744" fillId="0" fontId="4" numFmtId="0" xfId="0" applyBorder="1" applyFont="1"/>
    <xf borderId="745" fillId="77" fontId="110" numFmtId="0" xfId="0" applyAlignment="1" applyBorder="1" applyFont="1">
      <alignment horizontal="center" vertical="center"/>
    </xf>
    <xf borderId="403" fillId="77" fontId="110" numFmtId="0" xfId="0" applyAlignment="1" applyBorder="1" applyFont="1">
      <alignment horizontal="center" vertical="center"/>
    </xf>
    <xf borderId="389" fillId="77" fontId="92" numFmtId="0" xfId="0" applyAlignment="1" applyBorder="1" applyFont="1">
      <alignment horizontal="right" vertical="center"/>
    </xf>
    <xf borderId="376" fillId="77" fontId="122" numFmtId="0" xfId="0" applyAlignment="1" applyBorder="1" applyFont="1">
      <alignment horizontal="center" vertical="center"/>
    </xf>
    <xf borderId="743" fillId="77" fontId="86" numFmtId="0" xfId="0" applyAlignment="1" applyBorder="1" applyFont="1">
      <alignment horizontal="center" vertical="center"/>
    </xf>
    <xf borderId="374" fillId="77" fontId="89" numFmtId="0" xfId="0" applyAlignment="1" applyBorder="1" applyFont="1">
      <alignment horizontal="center" vertical="center"/>
    </xf>
    <xf borderId="543" fillId="33" fontId="88" numFmtId="0" xfId="0" applyAlignment="1" applyBorder="1" applyFont="1">
      <alignment horizontal="right" readingOrder="0" vertical="center"/>
    </xf>
    <xf borderId="546" fillId="33" fontId="88" numFmtId="0" xfId="0" applyAlignment="1" applyBorder="1" applyFont="1">
      <alignment horizontal="center" readingOrder="0" vertical="center"/>
    </xf>
    <xf borderId="371" fillId="77" fontId="89" numFmtId="0" xfId="0" applyAlignment="1" applyBorder="1" applyFont="1">
      <alignment horizontal="center" vertical="center"/>
    </xf>
    <xf borderId="389" fillId="77" fontId="89" numFmtId="0" xfId="0" applyAlignment="1" applyBorder="1" applyFont="1">
      <alignment horizontal="center" vertical="center"/>
    </xf>
    <xf borderId="548" fillId="33" fontId="88" numFmtId="0" xfId="0" applyAlignment="1" applyBorder="1" applyFont="1">
      <alignment horizontal="right" readingOrder="0" vertical="center"/>
    </xf>
    <xf borderId="551" fillId="33" fontId="88" numFmtId="0" xfId="0" applyAlignment="1" applyBorder="1" applyFont="1">
      <alignment horizontal="center" readingOrder="0" vertical="center"/>
    </xf>
    <xf borderId="422" fillId="77" fontId="1" numFmtId="0" xfId="0" applyAlignment="1" applyBorder="1" applyFont="1">
      <alignment horizontal="center" vertical="center"/>
    </xf>
    <xf borderId="423" fillId="77" fontId="94" numFmtId="0" xfId="0" applyAlignment="1" applyBorder="1" applyFont="1">
      <alignment horizontal="right" vertical="center"/>
    </xf>
    <xf borderId="423" fillId="77" fontId="1" numFmtId="0" xfId="0" applyAlignment="1" applyBorder="1" applyFont="1">
      <alignment horizontal="center" vertical="center"/>
    </xf>
    <xf borderId="424" fillId="77" fontId="1" numFmtId="0" xfId="0" applyAlignment="1" applyBorder="1" applyFont="1">
      <alignment horizontal="center" vertical="center"/>
    </xf>
    <xf borderId="746" fillId="77" fontId="1" numFmtId="0" xfId="0" applyAlignment="1" applyBorder="1" applyFont="1">
      <alignment horizontal="center" vertical="center"/>
    </xf>
    <xf borderId="425" fillId="77" fontId="1" numFmtId="0" xfId="0" applyAlignment="1" applyBorder="1" applyFont="1">
      <alignment horizontal="center" vertical="center"/>
    </xf>
    <xf borderId="179" fillId="72" fontId="72" numFmtId="0" xfId="0" applyAlignment="1" applyBorder="1" applyFont="1">
      <alignment horizontal="center" readingOrder="0" vertical="center"/>
    </xf>
    <xf borderId="676" fillId="72" fontId="1" numFmtId="0" xfId="0" applyAlignment="1" applyBorder="1" applyFont="1">
      <alignment horizontal="center" vertical="center"/>
    </xf>
    <xf borderId="676" fillId="72" fontId="94" numFmtId="0" xfId="0" applyAlignment="1" applyBorder="1" applyFont="1">
      <alignment horizontal="right" vertical="center"/>
    </xf>
    <xf borderId="747" fillId="85" fontId="124" numFmtId="0" xfId="0" applyAlignment="1" applyBorder="1" applyFill="1" applyFont="1">
      <alignment horizontal="center" vertical="center"/>
    </xf>
    <xf borderId="748" fillId="85" fontId="125" numFmtId="0" xfId="0" applyAlignment="1" applyBorder="1" applyFont="1">
      <alignment horizontal="center" vertical="center"/>
    </xf>
    <xf borderId="748" fillId="85" fontId="94" numFmtId="0" xfId="0" applyAlignment="1" applyBorder="1" applyFont="1">
      <alignment horizontal="right" vertical="center"/>
    </xf>
    <xf borderId="747" fillId="85" fontId="125" numFmtId="0" xfId="0" applyAlignment="1" applyBorder="1" applyFont="1">
      <alignment horizontal="center" vertical="center"/>
    </xf>
    <xf borderId="749" fillId="85" fontId="124" numFmtId="0" xfId="0" applyAlignment="1" applyBorder="1" applyFont="1">
      <alignment horizontal="center" vertical="center"/>
    </xf>
    <xf borderId="750" fillId="86" fontId="125" numFmtId="0" xfId="0" applyAlignment="1" applyBorder="1" applyFill="1" applyFont="1">
      <alignment horizontal="center" vertical="center"/>
    </xf>
    <xf borderId="751" fillId="86" fontId="94" numFmtId="0" xfId="0" applyAlignment="1" applyBorder="1" applyFont="1">
      <alignment horizontal="right" vertical="center"/>
    </xf>
    <xf borderId="752" fillId="86" fontId="125" numFmtId="0" xfId="0" applyAlignment="1" applyBorder="1" applyFont="1">
      <alignment horizontal="center" vertical="center"/>
    </xf>
    <xf borderId="751" fillId="86" fontId="125" numFmtId="0" xfId="0" applyAlignment="1" applyBorder="1" applyFont="1">
      <alignment horizontal="center" vertical="center"/>
    </xf>
    <xf borderId="753" fillId="86" fontId="125" numFmtId="0" xfId="0" applyAlignment="1" applyBorder="1" applyFont="1">
      <alignment horizontal="center" vertical="center"/>
    </xf>
    <xf borderId="754" fillId="85" fontId="125" numFmtId="0" xfId="0" applyAlignment="1" applyBorder="1" applyFont="1">
      <alignment horizontal="center" vertical="center"/>
    </xf>
    <xf borderId="749" fillId="85" fontId="126" numFmtId="0" xfId="0" applyAlignment="1" applyBorder="1" applyFont="1">
      <alignment horizontal="center" vertical="center"/>
    </xf>
    <xf borderId="755" fillId="86" fontId="125" numFmtId="0" xfId="0" applyAlignment="1" applyBorder="1" applyFont="1">
      <alignment horizontal="center" vertical="center"/>
    </xf>
    <xf borderId="189" fillId="16" fontId="94" numFmtId="0" xfId="0" applyAlignment="1" applyBorder="1" applyFont="1">
      <alignment horizontal="right" vertical="center"/>
    </xf>
    <xf borderId="756" fillId="86" fontId="127" numFmtId="0" xfId="0" applyAlignment="1" applyBorder="1" applyFont="1">
      <alignment horizontal="center" vertical="center"/>
    </xf>
    <xf borderId="191" fillId="16" fontId="127" numFmtId="0" xfId="0" applyAlignment="1" applyBorder="1" applyFont="1">
      <alignment horizontal="center" vertical="center"/>
    </xf>
    <xf borderId="757" fillId="86" fontId="125" numFmtId="0" xfId="0" applyAlignment="1" applyBorder="1" applyFont="1">
      <alignment horizontal="center" vertical="center"/>
    </xf>
    <xf borderId="758" fillId="86" fontId="125" numFmtId="0" xfId="0" applyAlignment="1" applyBorder="1" applyFont="1">
      <alignment horizontal="center" vertical="center"/>
    </xf>
    <xf borderId="756" fillId="0" fontId="4" numFmtId="0" xfId="0" applyBorder="1" applyFont="1"/>
    <xf borderId="759" fillId="0" fontId="4" numFmtId="0" xfId="0" applyBorder="1" applyFont="1"/>
    <xf borderId="760" fillId="86" fontId="125" numFmtId="0" xfId="0" applyAlignment="1" applyBorder="1" applyFont="1">
      <alignment horizontal="center" vertical="center"/>
    </xf>
    <xf borderId="761" fillId="86" fontId="125" numFmtId="0" xfId="0" applyAlignment="1" applyBorder="1" applyFont="1">
      <alignment horizontal="center" vertical="center"/>
    </xf>
    <xf borderId="749" fillId="85" fontId="128" numFmtId="0" xfId="0" applyAlignment="1" applyBorder="1" applyFont="1">
      <alignment horizontal="center" readingOrder="0" vertical="center"/>
    </xf>
    <xf borderId="755" fillId="86" fontId="110" numFmtId="0" xfId="0" applyAlignment="1" applyBorder="1" applyFont="1">
      <alignment horizontal="center" vertical="center"/>
    </xf>
    <xf borderId="762" fillId="86" fontId="94" numFmtId="0" xfId="0" applyAlignment="1" applyBorder="1" applyFont="1">
      <alignment horizontal="right" readingOrder="0" vertical="center"/>
    </xf>
    <xf borderId="756" fillId="86" fontId="110" numFmtId="0" xfId="0" applyAlignment="1" applyBorder="1" applyFont="1">
      <alignment horizontal="center" readingOrder="0" vertical="center"/>
    </xf>
    <xf borderId="763" fillId="86" fontId="112" numFmtId="0" xfId="0" applyAlignment="1" applyBorder="1" applyFont="1">
      <alignment horizontal="center" readingOrder="0" vertical="center"/>
    </xf>
    <xf borderId="764" fillId="0" fontId="4" numFmtId="0" xfId="0" applyBorder="1" applyFont="1"/>
    <xf borderId="765" fillId="0" fontId="4" numFmtId="0" xfId="0" applyBorder="1" applyFont="1"/>
    <xf borderId="766" fillId="0" fontId="4" numFmtId="0" xfId="0" applyBorder="1" applyFont="1"/>
    <xf borderId="758" fillId="86" fontId="110" numFmtId="0" xfId="0" applyAlignment="1" applyBorder="1" applyFont="1">
      <alignment horizontal="center" vertical="center"/>
    </xf>
    <xf borderId="767" fillId="0" fontId="4" numFmtId="0" xfId="0" applyBorder="1" applyFont="1"/>
    <xf borderId="761" fillId="86" fontId="110" numFmtId="0" xfId="0" applyAlignment="1" applyBorder="1" applyFont="1">
      <alignment horizontal="center" vertical="center"/>
    </xf>
    <xf borderId="754" fillId="85" fontId="110" numFmtId="0" xfId="0" applyAlignment="1" applyBorder="1" applyFont="1">
      <alignment horizontal="center" vertical="center"/>
    </xf>
    <xf borderId="755" fillId="86" fontId="129" numFmtId="0" xfId="0" applyAlignment="1" applyBorder="1" applyFont="1">
      <alignment horizontal="center" vertical="center"/>
    </xf>
    <xf borderId="768" fillId="0" fontId="4" numFmtId="0" xfId="0" applyBorder="1" applyFont="1"/>
    <xf borderId="756" fillId="86" fontId="129" numFmtId="0" xfId="0" applyAlignment="1" applyBorder="1" applyFont="1">
      <alignment horizontal="center" readingOrder="0" vertical="center"/>
    </xf>
    <xf borderId="769" fillId="86" fontId="119" numFmtId="0" xfId="0" applyAlignment="1" applyBorder="1" applyFont="1">
      <alignment horizontal="center" readingOrder="0" vertical="top"/>
    </xf>
    <xf borderId="770" fillId="0" fontId="4" numFmtId="0" xfId="0" applyBorder="1" applyFont="1"/>
    <xf borderId="758" fillId="86" fontId="129" numFmtId="0" xfId="0" applyAlignment="1" applyBorder="1" applyFont="1">
      <alignment horizontal="center" vertical="center"/>
    </xf>
    <xf borderId="761" fillId="86" fontId="129" numFmtId="0" xfId="0" applyAlignment="1" applyBorder="1" applyFont="1">
      <alignment horizontal="center" vertical="center"/>
    </xf>
    <xf borderId="754" fillId="85" fontId="129" numFmtId="0" xfId="0" applyAlignment="1" applyBorder="1" applyFont="1">
      <alignment horizontal="center" vertical="center"/>
    </xf>
    <xf borderId="771" fillId="86" fontId="125" numFmtId="0" xfId="0" applyAlignment="1" applyBorder="1" applyFont="1">
      <alignment horizontal="center" vertical="center"/>
    </xf>
    <xf borderId="772" fillId="0" fontId="4" numFmtId="0" xfId="0" applyBorder="1" applyFont="1"/>
    <xf borderId="756" fillId="86" fontId="125" numFmtId="0" xfId="0" applyAlignment="1" applyBorder="1" applyFont="1">
      <alignment horizontal="center" vertical="center"/>
    </xf>
    <xf borderId="773" fillId="86" fontId="110" numFmtId="0" xfId="0" applyAlignment="1" applyBorder="1" applyFont="1">
      <alignment horizontal="center" vertical="center"/>
    </xf>
    <xf borderId="774" fillId="86" fontId="115" numFmtId="0" xfId="0" applyAlignment="1" applyBorder="1" applyFont="1">
      <alignment horizontal="right" vertical="top"/>
    </xf>
    <xf borderId="774" fillId="86" fontId="115" numFmtId="0" xfId="0" applyAlignment="1" applyBorder="1" applyFont="1">
      <alignment horizontal="left" vertical="top"/>
    </xf>
    <xf borderId="775" fillId="86" fontId="110" numFmtId="0" xfId="0" applyAlignment="1" applyBorder="1" applyFont="1">
      <alignment horizontal="center" vertical="top"/>
    </xf>
    <xf borderId="776" fillId="86" fontId="110" numFmtId="0" xfId="0" applyAlignment="1" applyBorder="1" applyFont="1">
      <alignment horizontal="center" vertical="top"/>
    </xf>
    <xf borderId="777" fillId="86" fontId="110" numFmtId="0" xfId="0" applyAlignment="1" applyBorder="1" applyFont="1">
      <alignment horizontal="center" vertical="top"/>
    </xf>
    <xf borderId="778" fillId="86" fontId="110" numFmtId="0" xfId="0" applyAlignment="1" applyBorder="1" applyFont="1">
      <alignment horizontal="center" vertical="top"/>
    </xf>
    <xf borderId="758" fillId="86" fontId="115" numFmtId="0" xfId="0" applyAlignment="1" applyBorder="1" applyFont="1">
      <alignment horizontal="center" vertical="top"/>
    </xf>
    <xf borderId="779" fillId="86" fontId="110" numFmtId="0" xfId="0" applyAlignment="1" applyBorder="1" applyFont="1">
      <alignment horizontal="center" vertical="top"/>
    </xf>
    <xf borderId="749" fillId="85" fontId="130" numFmtId="0" xfId="0" applyAlignment="1" applyBorder="1" applyFont="1">
      <alignment horizontal="center" vertical="center"/>
    </xf>
    <xf borderId="780" fillId="86" fontId="94" numFmtId="0" xfId="0" applyAlignment="1" applyBorder="1" applyFont="1">
      <alignment horizontal="right" vertical="center"/>
    </xf>
    <xf borderId="781" fillId="86" fontId="110" numFmtId="0" xfId="0" applyAlignment="1" applyBorder="1" applyFont="1">
      <alignment horizontal="center" vertical="center"/>
    </xf>
    <xf borderId="782" fillId="86" fontId="110" numFmtId="0" xfId="0" applyAlignment="1" applyBorder="1" applyFont="1">
      <alignment horizontal="center" vertical="top"/>
    </xf>
    <xf borderId="783" fillId="86" fontId="110" numFmtId="0" xfId="0" applyAlignment="1" applyBorder="1" applyFont="1">
      <alignment horizontal="center" vertical="top"/>
    </xf>
    <xf borderId="784" fillId="86" fontId="110" numFmtId="0" xfId="0" applyAlignment="1" applyBorder="1" applyFont="1">
      <alignment horizontal="center" vertical="top"/>
    </xf>
    <xf borderId="785" fillId="86" fontId="110" numFmtId="0" xfId="0" applyAlignment="1" applyBorder="1" applyFont="1">
      <alignment horizontal="center" vertical="top"/>
    </xf>
    <xf borderId="786" fillId="86" fontId="110" numFmtId="0" xfId="0" applyAlignment="1" applyBorder="1" applyFont="1">
      <alignment horizontal="center" vertical="top"/>
    </xf>
    <xf borderId="774" fillId="86" fontId="125" numFmtId="0" xfId="0" applyAlignment="1" applyBorder="1" applyFont="1">
      <alignment horizontal="center" vertical="center"/>
    </xf>
    <xf borderId="774" fillId="86" fontId="94" numFmtId="0" xfId="0" applyAlignment="1" applyBorder="1" applyFont="1">
      <alignment horizontal="right" vertical="center"/>
    </xf>
    <xf borderId="787" fillId="86" fontId="110" numFmtId="0" xfId="0" applyAlignment="1" applyBorder="1" applyFont="1">
      <alignment horizontal="center" readingOrder="0" vertical="center"/>
    </xf>
    <xf borderId="788" fillId="0" fontId="4" numFmtId="0" xfId="0" applyBorder="1" applyFont="1"/>
    <xf borderId="789" fillId="0" fontId="4" numFmtId="0" xfId="0" applyBorder="1" applyFont="1"/>
    <xf borderId="760" fillId="86" fontId="94" numFmtId="0" xfId="0" applyAlignment="1" applyBorder="1" applyFont="1">
      <alignment horizontal="right" vertical="center"/>
    </xf>
    <xf borderId="769" fillId="86" fontId="110" numFmtId="0" xfId="0" applyAlignment="1" applyBorder="1" applyFont="1">
      <alignment horizontal="center" readingOrder="0" vertical="center"/>
    </xf>
    <xf borderId="790" fillId="86" fontId="110" numFmtId="0" xfId="0" applyAlignment="1" applyBorder="1" applyFont="1">
      <alignment horizontal="center" readingOrder="0" vertical="center"/>
    </xf>
    <xf borderId="791" fillId="0" fontId="4" numFmtId="0" xfId="0" applyBorder="1" applyFont="1"/>
    <xf borderId="757" fillId="0" fontId="4" numFmtId="0" xfId="0" applyBorder="1" applyFont="1"/>
    <xf borderId="792" fillId="86" fontId="110" numFmtId="0" xfId="0" applyAlignment="1" applyBorder="1" applyFont="1">
      <alignment horizontal="center" vertical="center"/>
    </xf>
    <xf borderId="780" fillId="0" fontId="4" numFmtId="0" xfId="0" applyBorder="1" applyFont="1"/>
    <xf borderId="793" fillId="86" fontId="110" numFmtId="0" xfId="0" applyAlignment="1" applyBorder="1" applyFont="1">
      <alignment horizontal="center" readingOrder="0" vertical="center"/>
    </xf>
    <xf borderId="775" fillId="86" fontId="110" numFmtId="0" xfId="0" applyAlignment="1" applyBorder="1" applyFont="1">
      <alignment horizontal="center" readingOrder="0" vertical="center"/>
    </xf>
    <xf borderId="794" fillId="86" fontId="110" numFmtId="0" xfId="0" applyAlignment="1" applyBorder="1" applyFont="1">
      <alignment horizontal="center" readingOrder="0" vertical="center"/>
    </xf>
    <xf borderId="795" fillId="0" fontId="4" numFmtId="0" xfId="0" applyBorder="1" applyFont="1"/>
    <xf borderId="796" fillId="86" fontId="110" numFmtId="0" xfId="0" applyAlignment="1" applyBorder="1" applyFont="1">
      <alignment horizontal="center" readingOrder="0" vertical="center"/>
    </xf>
    <xf borderId="797" fillId="0" fontId="4" numFmtId="0" xfId="0" applyBorder="1" applyFont="1"/>
    <xf borderId="771" fillId="86" fontId="124" numFmtId="0" xfId="0" applyAlignment="1" applyBorder="1" applyFont="1">
      <alignment horizontal="center" vertical="center"/>
    </xf>
    <xf borderId="774" fillId="86" fontId="92" numFmtId="0" xfId="0" applyAlignment="1" applyBorder="1" applyFont="1">
      <alignment horizontal="right" vertical="center"/>
    </xf>
    <xf borderId="774" fillId="86" fontId="131" numFmtId="0" xfId="0" applyAlignment="1" applyBorder="1" applyFont="1">
      <alignment horizontal="center" vertical="center"/>
    </xf>
    <xf borderId="767" fillId="86" fontId="131" numFmtId="0" xfId="0" applyAlignment="1" applyBorder="1" applyFont="1">
      <alignment horizontal="center" vertical="center"/>
    </xf>
    <xf borderId="774" fillId="86" fontId="109" numFmtId="0" xfId="0" applyAlignment="1" applyBorder="1" applyFont="1">
      <alignment horizontal="center" vertical="center"/>
    </xf>
    <xf borderId="774" fillId="86" fontId="132" numFmtId="0" xfId="0" applyAlignment="1" applyBorder="1" applyFont="1">
      <alignment horizontal="center" vertical="center"/>
    </xf>
    <xf borderId="761" fillId="86" fontId="124" numFmtId="0" xfId="0" applyAlignment="1" applyBorder="1" applyFont="1">
      <alignment horizontal="center" vertical="center"/>
    </xf>
    <xf borderId="754" fillId="85" fontId="124" numFmtId="0" xfId="0" applyAlignment="1" applyBorder="1" applyFont="1">
      <alignment horizontal="center" vertical="center"/>
    </xf>
    <xf borderId="771" fillId="86" fontId="133" numFmtId="0" xfId="0" applyAlignment="1" applyBorder="1" applyFont="1">
      <alignment horizontal="center" vertical="center"/>
    </xf>
    <xf borderId="758" fillId="86" fontId="106" numFmtId="0" xfId="0" applyAlignment="1" applyBorder="1" applyFont="1">
      <alignment horizontal="center" vertical="center"/>
    </xf>
    <xf borderId="237" fillId="87" fontId="104" numFmtId="0" xfId="0" applyAlignment="1" applyBorder="1" applyFill="1" applyFont="1">
      <alignment horizontal="center" readingOrder="0" vertical="top"/>
    </xf>
    <xf borderId="240" fillId="87" fontId="104" numFmtId="0" xfId="0" applyAlignment="1" applyBorder="1" applyFont="1">
      <alignment horizontal="center" readingOrder="0" vertical="top"/>
    </xf>
    <xf borderId="759" fillId="86" fontId="105" numFmtId="0" xfId="0" applyAlignment="1" applyBorder="1" applyFont="1">
      <alignment horizontal="center" vertical="center"/>
    </xf>
    <xf borderId="774" fillId="86" fontId="106" numFmtId="0" xfId="0" applyAlignment="1" applyBorder="1" applyFont="1">
      <alignment horizontal="center" vertical="center"/>
    </xf>
    <xf borderId="774" fillId="86" fontId="133" numFmtId="0" xfId="0" applyAlignment="1" applyBorder="1" applyFont="1">
      <alignment horizontal="center" vertical="center"/>
    </xf>
    <xf borderId="761" fillId="86" fontId="133" numFmtId="0" xfId="0" applyAlignment="1" applyBorder="1" applyFont="1">
      <alignment horizontal="center" vertical="center"/>
    </xf>
    <xf borderId="754" fillId="85" fontId="133" numFmtId="0" xfId="0" applyAlignment="1" applyBorder="1" applyFont="1">
      <alignment horizontal="center" vertical="center"/>
    </xf>
    <xf borderId="798" fillId="87" fontId="104" numFmtId="0" xfId="0" applyAlignment="1" applyBorder="1" applyFont="1">
      <alignment horizontal="center" readingOrder="0" vertical="center"/>
    </xf>
    <xf borderId="799" fillId="87" fontId="104" numFmtId="0" xfId="0" applyAlignment="1" applyBorder="1" applyFont="1">
      <alignment horizontal="center" readingOrder="0" vertical="center"/>
    </xf>
    <xf borderId="800" fillId="87" fontId="104" numFmtId="0" xfId="0" applyAlignment="1" applyBorder="1" applyFont="1">
      <alignment horizontal="left" readingOrder="0" vertical="center"/>
    </xf>
    <xf borderId="801" fillId="87" fontId="104" numFmtId="0" xfId="0" applyAlignment="1" applyBorder="1" applyFont="1">
      <alignment horizontal="center" readingOrder="0" vertical="center"/>
    </xf>
    <xf borderId="802" fillId="87" fontId="104" numFmtId="0" xfId="0" applyAlignment="1" applyBorder="1" applyFont="1">
      <alignment horizontal="center" readingOrder="0" vertical="center"/>
    </xf>
    <xf borderId="803" fillId="87" fontId="104" numFmtId="0" xfId="0" applyAlignment="1" applyBorder="1" applyFont="1">
      <alignment horizontal="center" readingOrder="0" vertical="center"/>
    </xf>
    <xf borderId="804" fillId="87" fontId="104" numFmtId="0" xfId="0" applyAlignment="1" applyBorder="1" applyFont="1">
      <alignment horizontal="left" readingOrder="0" vertical="center"/>
    </xf>
    <xf borderId="805" fillId="87" fontId="104" numFmtId="0" xfId="0" applyAlignment="1" applyBorder="1" applyFont="1">
      <alignment horizontal="center" readingOrder="0" vertical="center"/>
    </xf>
    <xf borderId="806" fillId="87" fontId="104" numFmtId="0" xfId="0" applyAlignment="1" applyBorder="1" applyFont="1">
      <alignment horizontal="center" readingOrder="0" vertical="center"/>
    </xf>
    <xf borderId="807" fillId="87" fontId="104" numFmtId="0" xfId="0" applyAlignment="1" applyBorder="1" applyFont="1">
      <alignment horizontal="center" readingOrder="0" vertical="center"/>
    </xf>
    <xf borderId="808" fillId="87" fontId="104" numFmtId="0" xfId="0" applyAlignment="1" applyBorder="1" applyFont="1">
      <alignment horizontal="left" readingOrder="0" vertical="center"/>
    </xf>
    <xf borderId="809" fillId="87" fontId="104" numFmtId="0" xfId="0" applyAlignment="1" applyBorder="1" applyFont="1">
      <alignment horizontal="center" readingOrder="0" vertical="center"/>
    </xf>
    <xf borderId="253" fillId="87" fontId="104" numFmtId="0" xfId="0" applyAlignment="1" applyBorder="1" applyFont="1">
      <alignment horizontal="right" readingOrder="0" vertical="center"/>
    </xf>
    <xf borderId="256" fillId="87" fontId="104" numFmtId="0" xfId="0" applyAlignment="1" applyBorder="1" applyFont="1">
      <alignment horizontal="center" readingOrder="0" vertical="center"/>
    </xf>
    <xf borderId="543" fillId="87" fontId="104" numFmtId="0" xfId="0" applyAlignment="1" applyBorder="1" applyFont="1">
      <alignment horizontal="right" readingOrder="0" vertical="center"/>
    </xf>
    <xf borderId="546" fillId="87" fontId="104" numFmtId="0" xfId="0" applyAlignment="1" applyBorder="1" applyFont="1">
      <alignment horizontal="center" readingOrder="0" vertical="center"/>
    </xf>
    <xf borderId="810" fillId="86" fontId="133" numFmtId="0" xfId="0" applyAlignment="1" applyBorder="1" applyFont="1">
      <alignment horizontal="center" vertical="center"/>
    </xf>
    <xf borderId="760" fillId="86" fontId="92" numFmtId="0" xfId="0" applyAlignment="1" applyBorder="1" applyFont="1">
      <alignment horizontal="right" vertical="center"/>
    </xf>
    <xf borderId="811" fillId="86" fontId="106" numFmtId="0" xfId="0" applyAlignment="1" applyBorder="1" applyFont="1">
      <alignment horizontal="center" vertical="center"/>
    </xf>
    <xf borderId="548" fillId="87" fontId="104" numFmtId="0" xfId="0" applyAlignment="1" applyBorder="1" applyFont="1">
      <alignment horizontal="right" readingOrder="0" vertical="center"/>
    </xf>
    <xf borderId="551" fillId="87" fontId="104" numFmtId="0" xfId="0" applyAlignment="1" applyBorder="1" applyFont="1">
      <alignment horizontal="center" readingOrder="0" vertical="center"/>
    </xf>
    <xf borderId="766" fillId="86" fontId="105" numFmtId="0" xfId="0" applyAlignment="1" applyBorder="1" applyFont="1">
      <alignment horizontal="center" vertical="center"/>
    </xf>
    <xf borderId="812" fillId="86" fontId="125" numFmtId="0" xfId="0" applyAlignment="1" applyBorder="1" applyFont="1">
      <alignment horizontal="center" vertical="center"/>
    </xf>
    <xf borderId="813" fillId="86" fontId="92" numFmtId="0" xfId="0" applyAlignment="1" applyBorder="1" applyFont="1">
      <alignment horizontal="right" readingOrder="0" vertical="center"/>
    </xf>
    <xf borderId="813" fillId="86" fontId="75" numFmtId="0" xfId="0" applyAlignment="1" applyBorder="1" applyFont="1">
      <alignment horizontal="center" readingOrder="0" vertical="center"/>
    </xf>
    <xf borderId="814" fillId="86" fontId="75" numFmtId="0" xfId="0" applyAlignment="1" applyBorder="1" applyFont="1">
      <alignment horizontal="center" readingOrder="0" vertical="center"/>
    </xf>
    <xf borderId="815" fillId="86" fontId="125" numFmtId="0" xfId="0" applyAlignment="1" applyBorder="1" applyFont="1">
      <alignment horizontal="center" vertical="center"/>
    </xf>
    <xf borderId="816" fillId="88" fontId="125" numFmtId="0" xfId="0" applyAlignment="1" applyBorder="1" applyFill="1" applyFont="1">
      <alignment horizontal="center" vertical="center"/>
    </xf>
    <xf borderId="817" fillId="88" fontId="92" numFmtId="0" xfId="0" applyAlignment="1" applyBorder="1" applyFont="1">
      <alignment horizontal="right" readingOrder="0" vertical="center"/>
    </xf>
    <xf borderId="818" fillId="0" fontId="4" numFmtId="0" xfId="0" applyBorder="1" applyFont="1"/>
    <xf borderId="819" fillId="0" fontId="4" numFmtId="0" xfId="0" applyBorder="1" applyFont="1"/>
    <xf borderId="820" fillId="88" fontId="125" numFmtId="0" xfId="0" applyAlignment="1" applyBorder="1" applyFont="1">
      <alignment horizontal="center" vertical="center"/>
    </xf>
    <xf borderId="821" fillId="88" fontId="125" numFmtId="0" xfId="0" applyAlignment="1" applyBorder="1" applyFont="1">
      <alignment horizontal="center" vertical="center"/>
    </xf>
    <xf borderId="822" fillId="88" fontId="94" numFmtId="0" xfId="0" applyAlignment="1" applyBorder="1" applyFont="1">
      <alignment horizontal="right" vertical="center"/>
    </xf>
    <xf borderId="823" fillId="88" fontId="125" numFmtId="0" xfId="0" applyAlignment="1" applyBorder="1" applyFont="1">
      <alignment horizontal="center" vertical="center"/>
    </xf>
    <xf borderId="824" fillId="10" fontId="134" numFmtId="0" xfId="0" applyAlignment="1" applyBorder="1" applyFont="1">
      <alignment horizontal="center" readingOrder="0" vertical="center"/>
    </xf>
    <xf borderId="825" fillId="0" fontId="4" numFmtId="0" xfId="0" applyBorder="1" applyFont="1"/>
    <xf borderId="826" fillId="0" fontId="4" numFmtId="0" xfId="0" applyBorder="1" applyFont="1"/>
    <xf borderId="827" fillId="88" fontId="125" numFmtId="0" xfId="0" applyAlignment="1" applyBorder="1" applyFont="1">
      <alignment horizontal="center" vertical="center"/>
    </xf>
    <xf borderId="827" fillId="0" fontId="4" numFmtId="0" xfId="0" applyBorder="1" applyFont="1"/>
    <xf borderId="828" fillId="0" fontId="4" numFmtId="0" xfId="0" applyBorder="1" applyFont="1"/>
    <xf borderId="822" fillId="88" fontId="135" numFmtId="0" xfId="0" applyAlignment="1" applyBorder="1" applyFont="1">
      <alignment horizontal="center" readingOrder="0" vertical="center"/>
    </xf>
    <xf borderId="829" fillId="88" fontId="125" numFmtId="0" xfId="0" applyAlignment="1" applyBorder="1" applyFont="1">
      <alignment horizontal="center" vertical="center"/>
    </xf>
    <xf borderId="822" fillId="88" fontId="94" numFmtId="0" xfId="0" applyAlignment="1" applyBorder="1" applyFont="1">
      <alignment horizontal="right" readingOrder="0" vertical="center"/>
    </xf>
    <xf borderId="822" fillId="88" fontId="136" numFmtId="0" xfId="0" applyAlignment="1" applyBorder="1" applyFont="1">
      <alignment horizontal="center" readingOrder="0" vertical="center"/>
    </xf>
    <xf borderId="830" fillId="88" fontId="136" numFmtId="0" xfId="0" applyAlignment="1" applyBorder="1" applyFont="1">
      <alignment horizontal="center" readingOrder="0" vertical="center"/>
    </xf>
    <xf borderId="831" fillId="88" fontId="94" numFmtId="0" xfId="0" applyAlignment="1" applyBorder="1" applyFont="1">
      <alignment horizontal="right" readingOrder="0" vertical="center"/>
    </xf>
    <xf borderId="832" fillId="88" fontId="137" numFmtId="0" xfId="0" applyAlignment="1" applyBorder="1" applyFont="1">
      <alignment horizontal="left" readingOrder="0" vertical="center"/>
    </xf>
    <xf borderId="833" fillId="0" fontId="4" numFmtId="0" xfId="0" applyBorder="1" applyFont="1"/>
    <xf borderId="834" fillId="0" fontId="4" numFmtId="0" xfId="0" applyBorder="1" applyFont="1"/>
    <xf borderId="835" fillId="88" fontId="125" numFmtId="0" xfId="0" applyAlignment="1" applyBorder="1" applyFont="1">
      <alignment horizontal="center" vertical="center"/>
    </xf>
    <xf borderId="189" fillId="22" fontId="94" numFmtId="0" xfId="0" applyAlignment="1" applyBorder="1" applyFont="1">
      <alignment horizontal="right" vertical="center"/>
    </xf>
    <xf borderId="836" fillId="88" fontId="127" numFmtId="0" xfId="0" applyAlignment="1" applyBorder="1" applyFont="1">
      <alignment horizontal="center" vertical="center"/>
    </xf>
    <xf borderId="191" fillId="22" fontId="119" numFmtId="0" xfId="0" applyAlignment="1" applyBorder="1" applyFont="1">
      <alignment horizontal="center" vertical="center"/>
    </xf>
    <xf borderId="837" fillId="88" fontId="110" numFmtId="0" xfId="0" applyAlignment="1" applyBorder="1" applyFont="1">
      <alignment horizontal="center" vertical="center"/>
    </xf>
    <xf borderId="838" fillId="88" fontId="110" numFmtId="0" xfId="0" applyAlignment="1" applyBorder="1" applyFont="1">
      <alignment horizontal="center" vertical="center"/>
    </xf>
    <xf borderId="839" fillId="88" fontId="125" numFmtId="0" xfId="0" applyAlignment="1" applyBorder="1" applyFont="1">
      <alignment horizontal="center" vertical="center"/>
    </xf>
    <xf borderId="840" fillId="88" fontId="125" numFmtId="0" xfId="0" applyAlignment="1" applyBorder="1" applyFont="1">
      <alignment horizontal="center" vertical="center"/>
    </xf>
    <xf borderId="835" fillId="88" fontId="110" numFmtId="0" xfId="0" applyAlignment="1" applyBorder="1" applyFont="1">
      <alignment horizontal="center" vertical="center"/>
    </xf>
    <xf borderId="762" fillId="88" fontId="94" numFmtId="0" xfId="0" applyAlignment="1" applyBorder="1" applyFont="1">
      <alignment horizontal="right" readingOrder="0" vertical="center"/>
    </xf>
    <xf borderId="827" fillId="88" fontId="110" numFmtId="0" xfId="0" applyAlignment="1" applyBorder="1" applyFont="1">
      <alignment horizontal="center" readingOrder="0" vertical="center"/>
    </xf>
    <xf borderId="841" fillId="88" fontId="112" numFmtId="0" xfId="0" applyAlignment="1" applyBorder="1" applyFont="1">
      <alignment horizontal="center" readingOrder="0" vertical="center"/>
    </xf>
    <xf borderId="842" fillId="0" fontId="4" numFmtId="0" xfId="0" applyBorder="1" applyFont="1"/>
    <xf borderId="843" fillId="0" fontId="4" numFmtId="0" xfId="0" applyBorder="1" applyFont="1"/>
    <xf borderId="844" fillId="0" fontId="4" numFmtId="0" xfId="0" applyBorder="1" applyFont="1"/>
    <xf borderId="845" fillId="0" fontId="4" numFmtId="0" xfId="0" applyBorder="1" applyFont="1"/>
    <xf borderId="823" fillId="88" fontId="110" numFmtId="0" xfId="0" applyAlignment="1" applyBorder="1" applyFont="1">
      <alignment horizontal="center" vertical="center"/>
    </xf>
    <xf borderId="846" fillId="0" fontId="4" numFmtId="0" xfId="0" applyBorder="1" applyFont="1"/>
    <xf borderId="829" fillId="88" fontId="110" numFmtId="0" xfId="0" applyAlignment="1" applyBorder="1" applyFont="1">
      <alignment horizontal="center" vertical="center"/>
    </xf>
    <xf borderId="827" fillId="88" fontId="125" numFmtId="0" xfId="0" applyAlignment="1" applyBorder="1" applyFont="1">
      <alignment horizontal="center" readingOrder="0" vertical="center"/>
    </xf>
    <xf borderId="847" fillId="88" fontId="114" numFmtId="0" xfId="0" applyAlignment="1" applyBorder="1" applyFont="1">
      <alignment horizontal="center" readingOrder="0" vertical="top"/>
    </xf>
    <xf borderId="848" fillId="0" fontId="4" numFmtId="0" xfId="0" applyBorder="1" applyFont="1"/>
    <xf borderId="849" fillId="88" fontId="125" numFmtId="0" xfId="0" applyAlignment="1" applyBorder="1" applyFont="1">
      <alignment horizontal="center" vertical="center"/>
    </xf>
    <xf borderId="850" fillId="88" fontId="110" numFmtId="0" xfId="0" applyAlignment="1" applyBorder="1" applyFont="1">
      <alignment horizontal="center" vertical="center"/>
    </xf>
    <xf borderId="822" fillId="88" fontId="115" numFmtId="0" xfId="0" applyAlignment="1" applyBorder="1" applyFont="1">
      <alignment horizontal="right" vertical="top"/>
    </xf>
    <xf borderId="822" fillId="88" fontId="115" numFmtId="0" xfId="0" applyAlignment="1" applyBorder="1" applyFont="1">
      <alignment horizontal="left" vertical="top"/>
    </xf>
    <xf borderId="851" fillId="88" fontId="110" numFmtId="0" xfId="0" applyAlignment="1" applyBorder="1" applyFont="1">
      <alignment horizontal="center" vertical="top"/>
    </xf>
    <xf borderId="852" fillId="88" fontId="110" numFmtId="0" xfId="0" applyAlignment="1" applyBorder="1" applyFont="1">
      <alignment horizontal="center" vertical="center"/>
    </xf>
    <xf borderId="853" fillId="88" fontId="110" numFmtId="0" xfId="0" applyAlignment="1" applyBorder="1" applyFont="1">
      <alignment horizontal="center" vertical="top"/>
    </xf>
    <xf borderId="830" fillId="88" fontId="94" numFmtId="0" xfId="0" applyAlignment="1" applyBorder="1" applyFont="1">
      <alignment horizontal="right" vertical="center"/>
    </xf>
    <xf borderId="854" fillId="88" fontId="125" numFmtId="0" xfId="0" applyAlignment="1" applyBorder="1" applyFont="1">
      <alignment horizontal="center" vertical="center"/>
    </xf>
    <xf borderId="855" fillId="88" fontId="110" numFmtId="0" xfId="0" applyAlignment="1" applyBorder="1" applyFont="1">
      <alignment horizontal="center" vertical="center"/>
    </xf>
    <xf borderId="856" fillId="88" fontId="110" numFmtId="0" xfId="0" applyAlignment="1" applyBorder="1" applyFont="1">
      <alignment horizontal="center" vertical="top"/>
    </xf>
    <xf borderId="857" fillId="88" fontId="110" numFmtId="0" xfId="0" applyAlignment="1" applyBorder="1" applyFont="1">
      <alignment horizontal="center" vertical="top"/>
    </xf>
    <xf borderId="858" fillId="88" fontId="110" numFmtId="0" xfId="0" applyAlignment="1" applyBorder="1" applyFont="1">
      <alignment horizontal="center" vertical="center"/>
    </xf>
    <xf borderId="859" fillId="88" fontId="110" numFmtId="0" xfId="0" applyAlignment="1" applyBorder="1" applyFont="1">
      <alignment horizontal="center" vertical="top"/>
    </xf>
    <xf borderId="860" fillId="88" fontId="110" numFmtId="0" xfId="0" applyAlignment="1" applyBorder="1" applyFont="1">
      <alignment horizontal="center" vertical="top"/>
    </xf>
    <xf borderId="861" fillId="88" fontId="110" numFmtId="0" xfId="0" applyAlignment="1" applyBorder="1" applyFont="1">
      <alignment horizontal="center" readingOrder="0" vertical="center"/>
    </xf>
    <xf borderId="862" fillId="0" fontId="4" numFmtId="0" xfId="0" applyBorder="1" applyFont="1"/>
    <xf borderId="863" fillId="0" fontId="4" numFmtId="0" xfId="0" applyBorder="1" applyFont="1"/>
    <xf borderId="847" fillId="88" fontId="110" numFmtId="0" xfId="0" applyAlignment="1" applyBorder="1" applyFont="1">
      <alignment horizontal="center" readingOrder="0" vertical="center"/>
    </xf>
    <xf borderId="864" fillId="88" fontId="110" numFmtId="0" xfId="0" applyAlignment="1" applyBorder="1" applyFont="1">
      <alignment horizontal="center" readingOrder="0" vertical="center"/>
    </xf>
    <xf borderId="865" fillId="0" fontId="4" numFmtId="0" xfId="0" applyBorder="1" applyFont="1"/>
    <xf borderId="866" fillId="0" fontId="4" numFmtId="0" xfId="0" applyBorder="1" applyFont="1"/>
    <xf borderId="867" fillId="88" fontId="110" numFmtId="0" xfId="0" applyAlignment="1" applyBorder="1" applyFont="1">
      <alignment horizontal="center" readingOrder="0" vertical="center"/>
    </xf>
    <xf borderId="868" fillId="88" fontId="110" numFmtId="0" xfId="0" applyAlignment="1" applyBorder="1" applyFont="1">
      <alignment horizontal="center" readingOrder="0" vertical="center"/>
    </xf>
    <xf borderId="851" fillId="88" fontId="110" numFmtId="0" xfId="0" applyAlignment="1" applyBorder="1" applyFont="1">
      <alignment horizontal="center" readingOrder="0" vertical="center"/>
    </xf>
    <xf borderId="869" fillId="88" fontId="110" numFmtId="0" xfId="0" applyAlignment="1" applyBorder="1" applyFont="1">
      <alignment horizontal="center" readingOrder="0" vertical="center"/>
    </xf>
    <xf borderId="870" fillId="0" fontId="4" numFmtId="0" xfId="0" applyBorder="1" applyFont="1"/>
    <xf borderId="871" fillId="88" fontId="110" numFmtId="0" xfId="0" applyAlignment="1" applyBorder="1" applyFont="1">
      <alignment horizontal="center" readingOrder="0" vertical="center"/>
    </xf>
    <xf borderId="872" fillId="0" fontId="4" numFmtId="0" xfId="0" applyBorder="1" applyFont="1"/>
    <xf borderId="873" fillId="0" fontId="4" numFmtId="0" xfId="0" applyBorder="1" applyFont="1"/>
    <xf borderId="874" fillId="0" fontId="4" numFmtId="0" xfId="0" applyBorder="1" applyFont="1"/>
    <xf borderId="875" fillId="0" fontId="4" numFmtId="0" xfId="0" applyBorder="1" applyFont="1"/>
    <xf borderId="830" fillId="0" fontId="4" numFmtId="0" xfId="0" applyBorder="1" applyFont="1"/>
    <xf borderId="821" fillId="88" fontId="124" numFmtId="0" xfId="0" applyAlignment="1" applyBorder="1" applyFont="1">
      <alignment horizontal="center" vertical="center"/>
    </xf>
    <xf borderId="822" fillId="88" fontId="92" numFmtId="0" xfId="0" applyAlignment="1" applyBorder="1" applyFont="1">
      <alignment horizontal="right" vertical="center"/>
    </xf>
    <xf borderId="822" fillId="88" fontId="131" numFmtId="0" xfId="0" applyAlignment="1" applyBorder="1" applyFont="1">
      <alignment horizontal="center" vertical="center"/>
    </xf>
    <xf borderId="846" fillId="88" fontId="131" numFmtId="0" xfId="0" applyAlignment="1" applyBorder="1" applyFont="1">
      <alignment horizontal="center" vertical="center"/>
    </xf>
    <xf borderId="876" fillId="88" fontId="131" numFmtId="0" xfId="0" applyAlignment="1" applyBorder="1" applyFont="1">
      <alignment horizontal="center" vertical="center"/>
    </xf>
    <xf borderId="822" fillId="88" fontId="109" numFmtId="0" xfId="0" applyAlignment="1" applyBorder="1" applyFont="1">
      <alignment horizontal="center" vertical="center"/>
    </xf>
    <xf borderId="822" fillId="88" fontId="132" numFmtId="0" xfId="0" applyAlignment="1" applyBorder="1" applyFont="1">
      <alignment horizontal="center" vertical="center"/>
    </xf>
    <xf borderId="829" fillId="88" fontId="124" numFmtId="0" xfId="0" applyAlignment="1" applyBorder="1" applyFont="1">
      <alignment horizontal="center" vertical="center"/>
    </xf>
    <xf borderId="821" fillId="88" fontId="133" numFmtId="0" xfId="0" applyAlignment="1" applyBorder="1" applyFont="1">
      <alignment horizontal="center" vertical="center"/>
    </xf>
    <xf borderId="823" fillId="88" fontId="106" numFmtId="0" xfId="0" applyAlignment="1" applyBorder="1" applyFont="1">
      <alignment horizontal="center" vertical="center"/>
    </xf>
    <xf borderId="237" fillId="22" fontId="104" numFmtId="0" xfId="0" applyAlignment="1" applyBorder="1" applyFont="1">
      <alignment horizontal="center" readingOrder="0" vertical="top"/>
    </xf>
    <xf borderId="240" fillId="22" fontId="104" numFmtId="0" xfId="0" applyAlignment="1" applyBorder="1" applyFont="1">
      <alignment horizontal="center" readingOrder="0" vertical="top"/>
    </xf>
    <xf borderId="827" fillId="88" fontId="106" numFmtId="0" xfId="0" applyAlignment="1" applyBorder="1" applyFont="1">
      <alignment horizontal="center" vertical="center"/>
    </xf>
    <xf borderId="0" fillId="86" fontId="106" numFmtId="0" xfId="0" applyAlignment="1" applyFont="1">
      <alignment horizontal="center" vertical="center"/>
    </xf>
    <xf borderId="827" fillId="88" fontId="105" numFmtId="0" xfId="0" applyAlignment="1" applyBorder="1" applyFont="1">
      <alignment horizontal="center" vertical="center"/>
    </xf>
    <xf borderId="828" fillId="88" fontId="133" numFmtId="0" xfId="0" applyAlignment="1" applyBorder="1" applyFont="1">
      <alignment horizontal="center" vertical="center"/>
    </xf>
    <xf borderId="822" fillId="88" fontId="133" numFmtId="0" xfId="0" applyAlignment="1" applyBorder="1" applyFont="1">
      <alignment horizontal="center" vertical="center"/>
    </xf>
    <xf borderId="822" fillId="88" fontId="106" numFmtId="0" xfId="0" applyAlignment="1" applyBorder="1" applyFont="1">
      <alignment horizontal="center" vertical="center"/>
    </xf>
    <xf borderId="829" fillId="88" fontId="133" numFmtId="0" xfId="0" applyAlignment="1" applyBorder="1" applyFont="1">
      <alignment horizontal="center" vertical="center"/>
    </xf>
    <xf borderId="877" fillId="22" fontId="104" numFmtId="0" xfId="0" applyAlignment="1" applyBorder="1" applyFont="1">
      <alignment horizontal="center" readingOrder="0" vertical="center"/>
    </xf>
    <xf borderId="878" fillId="22" fontId="104" numFmtId="0" xfId="0" applyAlignment="1" applyBorder="1" applyFont="1">
      <alignment horizontal="center" readingOrder="0" vertical="center"/>
    </xf>
    <xf borderId="879" fillId="22" fontId="104" numFmtId="0" xfId="0" applyAlignment="1" applyBorder="1" applyFont="1">
      <alignment horizontal="left" readingOrder="0" vertical="center"/>
    </xf>
    <xf borderId="880" fillId="22" fontId="104" numFmtId="0" xfId="0" applyAlignment="1" applyBorder="1" applyFont="1">
      <alignment horizontal="center" readingOrder="0" vertical="center"/>
    </xf>
    <xf borderId="881" fillId="22" fontId="104" numFmtId="0" xfId="0" applyAlignment="1" applyBorder="1" applyFont="1">
      <alignment horizontal="center" readingOrder="0" vertical="center"/>
    </xf>
    <xf borderId="882" fillId="22" fontId="104" numFmtId="0" xfId="0" applyAlignment="1" applyBorder="1" applyFont="1">
      <alignment horizontal="center" readingOrder="0" vertical="center"/>
    </xf>
    <xf borderId="883" fillId="22" fontId="104" numFmtId="0" xfId="0" applyAlignment="1" applyBorder="1" applyFont="1">
      <alignment horizontal="left" readingOrder="0" vertical="center"/>
    </xf>
    <xf borderId="884" fillId="22" fontId="104" numFmtId="0" xfId="0" applyAlignment="1" applyBorder="1" applyFont="1">
      <alignment horizontal="center" readingOrder="0" vertical="center"/>
    </xf>
    <xf borderId="885" fillId="22" fontId="104" numFmtId="0" xfId="0" applyAlignment="1" applyBorder="1" applyFont="1">
      <alignment horizontal="center" readingOrder="0" vertical="center"/>
    </xf>
    <xf borderId="886" fillId="22" fontId="104" numFmtId="0" xfId="0" applyAlignment="1" applyBorder="1" applyFont="1">
      <alignment horizontal="center" readingOrder="0" vertical="center"/>
    </xf>
    <xf borderId="887" fillId="22" fontId="104" numFmtId="0" xfId="0" applyAlignment="1" applyBorder="1" applyFont="1">
      <alignment horizontal="left" readingOrder="0" vertical="center"/>
    </xf>
    <xf borderId="888" fillId="22" fontId="104" numFmtId="0" xfId="0" applyAlignment="1" applyBorder="1" applyFont="1">
      <alignment horizontal="center" readingOrder="0" vertical="center"/>
    </xf>
    <xf borderId="253" fillId="22" fontId="104" numFmtId="0" xfId="0" applyAlignment="1" applyBorder="1" applyFont="1">
      <alignment horizontal="right" readingOrder="0" vertical="center"/>
    </xf>
    <xf borderId="256" fillId="22" fontId="104" numFmtId="0" xfId="0" applyAlignment="1" applyBorder="1" applyFont="1">
      <alignment horizontal="center" readingOrder="0" vertical="center"/>
    </xf>
    <xf borderId="889" fillId="88" fontId="136" numFmtId="0" xfId="0" applyAlignment="1" applyBorder="1" applyFont="1">
      <alignment horizontal="center" readingOrder="0" vertical="center"/>
    </xf>
    <xf borderId="840" fillId="88" fontId="136" numFmtId="0" xfId="0" applyAlignment="1" applyBorder="1" applyFont="1">
      <alignment horizontal="center" readingOrder="0" vertical="center"/>
    </xf>
    <xf borderId="846" fillId="88" fontId="136" numFmtId="0" xfId="0" applyAlignment="1" applyBorder="1" applyFont="1">
      <alignment horizontal="center" readingOrder="0" vertical="center"/>
    </xf>
    <xf borderId="890" fillId="88" fontId="125" numFmtId="0" xfId="0" applyAlignment="1" applyBorder="1" applyFont="1">
      <alignment horizontal="center" vertical="center"/>
    </xf>
    <xf borderId="831" fillId="88" fontId="135" numFmtId="0" xfId="0" applyAlignment="1" applyBorder="1" applyFont="1">
      <alignment horizontal="center" readingOrder="0" vertical="center"/>
    </xf>
    <xf borderId="840" fillId="88" fontId="135" numFmtId="0" xfId="0" applyAlignment="1" applyBorder="1" applyFont="1">
      <alignment horizontal="center" readingOrder="0" vertical="center"/>
    </xf>
    <xf borderId="891" fillId="88" fontId="127" numFmtId="0" xfId="0" applyAlignment="1" applyBorder="1" applyFont="1">
      <alignment horizontal="center" vertical="center"/>
    </xf>
    <xf borderId="892" fillId="88" fontId="110" numFmtId="0" xfId="0" applyAlignment="1" applyBorder="1" applyFont="1">
      <alignment horizontal="center" vertical="center"/>
    </xf>
    <xf borderId="893" fillId="88" fontId="125" numFmtId="0" xfId="0" applyAlignment="1" applyBorder="1" applyFont="1">
      <alignment horizontal="center" vertical="center"/>
    </xf>
    <xf borderId="894" fillId="88" fontId="110" numFmtId="0" xfId="0" applyAlignment="1" applyBorder="1" applyFont="1">
      <alignment horizontal="center" vertical="center"/>
    </xf>
    <xf borderId="849" fillId="88" fontId="110" numFmtId="0" xfId="0" applyAlignment="1" applyBorder="1" applyFont="1">
      <alignment horizontal="center" readingOrder="0" vertical="center"/>
    </xf>
    <xf borderId="893" fillId="88" fontId="110" numFmtId="0" xfId="0" applyAlignment="1" applyBorder="1" applyFont="1">
      <alignment horizontal="center" vertical="center"/>
    </xf>
    <xf borderId="894" fillId="88" fontId="127" numFmtId="0" xfId="0" applyAlignment="1" applyBorder="1" applyFont="1">
      <alignment horizontal="center" vertical="center"/>
    </xf>
    <xf borderId="849" fillId="88" fontId="127" numFmtId="0" xfId="0" applyAlignment="1" applyBorder="1" applyFont="1">
      <alignment horizontal="center" readingOrder="0" vertical="center"/>
    </xf>
    <xf borderId="893" fillId="88" fontId="127" numFmtId="0" xfId="0" applyAlignment="1" applyBorder="1" applyFont="1">
      <alignment horizontal="center" vertical="center"/>
    </xf>
    <xf borderId="754" fillId="85" fontId="127" numFmtId="0" xfId="0" applyAlignment="1" applyBorder="1" applyFont="1">
      <alignment horizontal="center" vertical="center"/>
    </xf>
    <xf borderId="847" fillId="88" fontId="119" numFmtId="0" xfId="0" applyAlignment="1" applyBorder="1" applyFont="1">
      <alignment horizontal="center" readingOrder="0" vertical="center"/>
    </xf>
    <xf borderId="854" fillId="88" fontId="131" numFmtId="0" xfId="0" applyAlignment="1" applyBorder="1" applyFont="1">
      <alignment horizontal="center" vertical="center"/>
    </xf>
    <xf borderId="844" fillId="89" fontId="131" numFmtId="0" xfId="0" applyAlignment="1" applyBorder="1" applyFill="1" applyFont="1">
      <alignment horizontal="center" vertical="center"/>
    </xf>
    <xf borderId="891" fillId="88" fontId="131" numFmtId="0" xfId="0" applyAlignment="1" applyBorder="1" applyFont="1">
      <alignment horizontal="center" vertical="center"/>
    </xf>
    <xf borderId="892" fillId="89" fontId="131" numFmtId="0" xfId="0" applyAlignment="1" applyBorder="1" applyFont="1">
      <alignment horizontal="center" vertical="center"/>
    </xf>
    <xf borderId="892" fillId="89" fontId="109" numFmtId="0" xfId="0" applyAlignment="1" applyBorder="1" applyFont="1">
      <alignment horizontal="center" vertical="center"/>
    </xf>
    <xf borderId="892" fillId="89" fontId="132" numFmtId="0" xfId="0" applyAlignment="1" applyBorder="1" applyFont="1">
      <alignment horizontal="center" vertical="center"/>
    </xf>
    <xf borderId="891" fillId="88" fontId="132" numFmtId="0" xfId="0" applyAlignment="1" applyBorder="1" applyFont="1">
      <alignment horizontal="center" vertical="center"/>
    </xf>
    <xf borderId="893" fillId="88" fontId="124" numFmtId="0" xfId="0" applyAlignment="1" applyBorder="1" applyFont="1">
      <alignment horizontal="center" vertical="center"/>
    </xf>
    <xf borderId="827" fillId="88" fontId="133" numFmtId="0" xfId="0" applyAlignment="1" applyBorder="1" applyFont="1">
      <alignment horizontal="center" vertical="center"/>
    </xf>
    <xf borderId="890" fillId="88" fontId="133" numFmtId="0" xfId="0" applyAlignment="1" applyBorder="1" applyFont="1">
      <alignment horizontal="center" vertical="center"/>
    </xf>
    <xf borderId="827" fillId="88" fontId="106" numFmtId="0" xfId="0" applyAlignment="1" applyBorder="1" applyFont="1">
      <alignment horizontal="center" vertical="center"/>
    </xf>
    <xf borderId="827" fillId="88" fontId="105" numFmtId="0" xfId="0" applyAlignment="1" applyBorder="1" applyFont="1">
      <alignment horizontal="center" vertical="center"/>
    </xf>
    <xf borderId="827" fillId="88" fontId="133" numFmtId="0" xfId="0" applyAlignment="1" applyBorder="1" applyFont="1">
      <alignment horizontal="center" vertical="center"/>
    </xf>
    <xf borderId="890" fillId="88" fontId="133" numFmtId="0" xfId="0" applyAlignment="1" applyBorder="1" applyFont="1">
      <alignment horizontal="center" vertical="center"/>
    </xf>
    <xf borderId="895" fillId="88" fontId="125" numFmtId="0" xfId="0" applyAlignment="1" applyBorder="1" applyFont="1">
      <alignment horizontal="center" vertical="center"/>
    </xf>
    <xf borderId="896" fillId="88" fontId="92" numFmtId="0" xfId="0" applyAlignment="1" applyBorder="1" applyFont="1">
      <alignment horizontal="right" readingOrder="0" vertical="center"/>
    </xf>
    <xf borderId="896" fillId="88" fontId="138" numFmtId="0" xfId="0" applyAlignment="1" applyBorder="1" applyFont="1">
      <alignment horizontal="center" readingOrder="0" vertical="center"/>
    </xf>
    <xf borderId="897" fillId="88" fontId="138" numFmtId="0" xfId="0" applyAlignment="1" applyBorder="1" applyFont="1">
      <alignment horizontal="center" readingOrder="0" vertical="center"/>
    </xf>
    <xf borderId="898" fillId="88" fontId="138" numFmtId="0" xfId="0" applyAlignment="1" applyBorder="1" applyFont="1">
      <alignment horizontal="center" readingOrder="0" vertical="center"/>
    </xf>
    <xf borderId="899" fillId="88" fontId="125" numFmtId="0" xfId="0" applyAlignment="1" applyBorder="1" applyFont="1">
      <alignment horizontal="center" vertical="center"/>
    </xf>
    <xf borderId="900" fillId="90" fontId="125" numFmtId="0" xfId="0" applyAlignment="1" applyBorder="1" applyFill="1" applyFont="1">
      <alignment horizontal="center" vertical="center"/>
    </xf>
    <xf borderId="901" fillId="90" fontId="92" numFmtId="0" xfId="0" applyAlignment="1" applyBorder="1" applyFont="1">
      <alignment horizontal="right" readingOrder="0" vertical="center"/>
    </xf>
    <xf borderId="902" fillId="90" fontId="75" numFmtId="0" xfId="0" applyAlignment="1" applyBorder="1" applyFont="1">
      <alignment horizontal="center" readingOrder="0" vertical="center"/>
    </xf>
    <xf borderId="901" fillId="90" fontId="75" numFmtId="0" xfId="0" applyAlignment="1" applyBorder="1" applyFont="1">
      <alignment horizontal="center" readingOrder="0" vertical="center"/>
    </xf>
    <xf borderId="903" fillId="90" fontId="125" numFmtId="0" xfId="0" applyAlignment="1" applyBorder="1" applyFont="1">
      <alignment horizontal="center" vertical="center"/>
    </xf>
    <xf borderId="904" fillId="90" fontId="125" numFmtId="0" xfId="0" applyAlignment="1" applyBorder="1" applyFont="1">
      <alignment horizontal="center" vertical="center"/>
    </xf>
    <xf borderId="905" fillId="91" fontId="94" numFmtId="0" xfId="0" applyAlignment="1" applyBorder="1" applyFill="1" applyFont="1">
      <alignment horizontal="right" vertical="center"/>
    </xf>
    <xf borderId="906" fillId="90" fontId="127" numFmtId="0" xfId="0" applyAlignment="1" applyBorder="1" applyFont="1">
      <alignment horizontal="center" vertical="center"/>
    </xf>
    <xf borderId="907" fillId="91" fontId="127" numFmtId="0" xfId="0" applyAlignment="1" applyBorder="1" applyFont="1">
      <alignment horizontal="center" vertical="center"/>
    </xf>
    <xf borderId="908" fillId="0" fontId="4" numFmtId="0" xfId="0" applyBorder="1" applyFont="1"/>
    <xf borderId="909" fillId="0" fontId="4" numFmtId="0" xfId="0" applyBorder="1" applyFont="1"/>
    <xf borderId="910" fillId="90" fontId="125" numFmtId="0" xfId="0" applyAlignment="1" applyBorder="1" applyFont="1">
      <alignment horizontal="center" vertical="center"/>
    </xf>
    <xf borderId="911" fillId="90" fontId="125" numFmtId="0" xfId="0" applyAlignment="1" applyBorder="1" applyFont="1">
      <alignment horizontal="center" vertical="center"/>
    </xf>
    <xf borderId="906" fillId="0" fontId="4" numFmtId="0" xfId="0" applyBorder="1" applyFont="1"/>
    <xf borderId="912" fillId="0" fontId="4" numFmtId="0" xfId="0" applyBorder="1" applyFont="1"/>
    <xf borderId="913" fillId="90" fontId="125" numFmtId="0" xfId="0" applyAlignment="1" applyBorder="1" applyFont="1">
      <alignment horizontal="center" vertical="center"/>
    </xf>
    <xf borderId="904" fillId="90" fontId="110" numFmtId="0" xfId="0" applyAlignment="1" applyBorder="1" applyFont="1">
      <alignment horizontal="center" vertical="center"/>
    </xf>
    <xf borderId="762" fillId="90" fontId="94" numFmtId="0" xfId="0" applyAlignment="1" applyBorder="1" applyFont="1">
      <alignment horizontal="right" readingOrder="0" vertical="center"/>
    </xf>
    <xf borderId="906" fillId="90" fontId="110" numFmtId="0" xfId="0" applyAlignment="1" applyBorder="1" applyFont="1">
      <alignment horizontal="center" readingOrder="0" vertical="center"/>
    </xf>
    <xf borderId="914" fillId="90" fontId="112" numFmtId="0" xfId="0" applyAlignment="1" applyBorder="1" applyFont="1">
      <alignment horizontal="center" readingOrder="0" vertical="center"/>
    </xf>
    <xf borderId="915" fillId="0" fontId="4" numFmtId="0" xfId="0" applyBorder="1" applyFont="1"/>
    <xf borderId="916" fillId="0" fontId="4" numFmtId="0" xfId="0" applyBorder="1" applyFont="1"/>
    <xf borderId="917" fillId="0" fontId="4" numFmtId="0" xfId="0" applyBorder="1" applyFont="1"/>
    <xf borderId="911" fillId="90" fontId="110" numFmtId="0" xfId="0" applyAlignment="1" applyBorder="1" applyFont="1">
      <alignment horizontal="center" vertical="center"/>
    </xf>
    <xf borderId="913" fillId="90" fontId="110" numFmtId="0" xfId="0" applyAlignment="1" applyBorder="1" applyFont="1">
      <alignment horizontal="center" vertical="center"/>
    </xf>
    <xf borderId="904" fillId="90" fontId="127" numFmtId="0" xfId="0" applyAlignment="1" applyBorder="1" applyFont="1">
      <alignment horizontal="center" vertical="center"/>
    </xf>
    <xf borderId="906" fillId="90" fontId="127" numFmtId="0" xfId="0" applyAlignment="1" applyBorder="1" applyFont="1">
      <alignment horizontal="center" readingOrder="0" vertical="center"/>
    </xf>
    <xf borderId="918" fillId="90" fontId="114" numFmtId="0" xfId="0" applyAlignment="1" applyBorder="1" applyFont="1">
      <alignment horizontal="center" readingOrder="0" vertical="top"/>
    </xf>
    <xf borderId="919" fillId="0" fontId="4" numFmtId="0" xfId="0" applyBorder="1" applyFont="1"/>
    <xf borderId="906" fillId="90" fontId="119" numFmtId="0" xfId="0" applyAlignment="1" applyBorder="1" applyFont="1">
      <alignment horizontal="center" readingOrder="0" vertical="center"/>
    </xf>
    <xf borderId="913" fillId="90" fontId="127" numFmtId="0" xfId="0" applyAlignment="1" applyBorder="1" applyFont="1">
      <alignment horizontal="center" vertical="center"/>
    </xf>
    <xf borderId="920" fillId="90" fontId="125" numFmtId="0" xfId="0" applyAlignment="1" applyBorder="1" applyFont="1">
      <alignment horizontal="center" vertical="center"/>
    </xf>
    <xf borderId="906" fillId="90" fontId="125" numFmtId="0" xfId="0" applyAlignment="1" applyBorder="1" applyFont="1">
      <alignment horizontal="center" vertical="center"/>
    </xf>
    <xf borderId="921" fillId="90" fontId="110" numFmtId="0" xfId="0" applyAlignment="1" applyBorder="1" applyFont="1">
      <alignment horizontal="center" vertical="center"/>
    </xf>
    <xf borderId="922" fillId="90" fontId="115" numFmtId="0" xfId="0" applyAlignment="1" applyBorder="1" applyFont="1">
      <alignment horizontal="right" vertical="top"/>
    </xf>
    <xf borderId="922" fillId="90" fontId="115" numFmtId="0" xfId="0" applyAlignment="1" applyBorder="1" applyFont="1">
      <alignment horizontal="left" vertical="top"/>
    </xf>
    <xf borderId="923" fillId="90" fontId="110" numFmtId="0" xfId="0" applyAlignment="1" applyBorder="1" applyFont="1">
      <alignment horizontal="center" vertical="top"/>
    </xf>
    <xf borderId="924" fillId="90" fontId="110" numFmtId="0" xfId="0" applyAlignment="1" applyBorder="1" applyFont="1">
      <alignment horizontal="center" vertical="top"/>
    </xf>
    <xf borderId="925" fillId="90" fontId="110" numFmtId="0" xfId="0" applyAlignment="1" applyBorder="1" applyFont="1">
      <alignment horizontal="center" vertical="top"/>
    </xf>
    <xf borderId="926" fillId="90" fontId="110" numFmtId="0" xfId="0" applyAlignment="1" applyBorder="1" applyFont="1">
      <alignment horizontal="center" vertical="top"/>
    </xf>
    <xf borderId="911" fillId="90" fontId="115" numFmtId="0" xfId="0" applyAlignment="1" applyBorder="1" applyFont="1">
      <alignment horizontal="center" vertical="top"/>
    </xf>
    <xf borderId="927" fillId="90" fontId="110" numFmtId="0" xfId="0" applyAlignment="1" applyBorder="1" applyFont="1">
      <alignment horizontal="center" vertical="top"/>
    </xf>
    <xf borderId="902" fillId="90" fontId="94" numFmtId="0" xfId="0" applyAlignment="1" applyBorder="1" applyFont="1">
      <alignment horizontal="right" vertical="center"/>
    </xf>
    <xf borderId="928" fillId="90" fontId="110" numFmtId="0" xfId="0" applyAlignment="1" applyBorder="1" applyFont="1">
      <alignment horizontal="center" vertical="center"/>
    </xf>
    <xf borderId="929" fillId="90" fontId="110" numFmtId="0" xfId="0" applyAlignment="1" applyBorder="1" applyFont="1">
      <alignment horizontal="center" vertical="top"/>
    </xf>
    <xf borderId="930" fillId="90" fontId="110" numFmtId="0" xfId="0" applyAlignment="1" applyBorder="1" applyFont="1">
      <alignment horizontal="center" vertical="top"/>
    </xf>
    <xf borderId="931" fillId="90" fontId="110" numFmtId="0" xfId="0" applyAlignment="1" applyBorder="1" applyFont="1">
      <alignment horizontal="center" vertical="top"/>
    </xf>
    <xf borderId="932" fillId="90" fontId="110" numFmtId="0" xfId="0" applyAlignment="1" applyBorder="1" applyFont="1">
      <alignment horizontal="center" vertical="top"/>
    </xf>
    <xf borderId="933" fillId="90" fontId="110" numFmtId="0" xfId="0" applyAlignment="1" applyBorder="1" applyFont="1">
      <alignment horizontal="center" vertical="top"/>
    </xf>
    <xf borderId="922" fillId="90" fontId="125" numFmtId="0" xfId="0" applyAlignment="1" applyBorder="1" applyFont="1">
      <alignment horizontal="center" vertical="center"/>
    </xf>
    <xf borderId="922" fillId="90" fontId="94" numFmtId="0" xfId="0" applyAlignment="1" applyBorder="1" applyFont="1">
      <alignment horizontal="right" vertical="center"/>
    </xf>
    <xf borderId="934" fillId="90" fontId="110" numFmtId="0" xfId="0" applyAlignment="1" applyBorder="1" applyFont="1">
      <alignment horizontal="center" readingOrder="0" vertical="center"/>
    </xf>
    <xf borderId="935" fillId="0" fontId="4" numFmtId="0" xfId="0" applyBorder="1" applyFont="1"/>
    <xf borderId="936" fillId="0" fontId="4" numFmtId="0" xfId="0" applyBorder="1" applyFont="1"/>
    <xf borderId="937" fillId="90" fontId="94" numFmtId="0" xfId="0" applyAlignment="1" applyBorder="1" applyFont="1">
      <alignment horizontal="right" vertical="center"/>
    </xf>
    <xf borderId="918" fillId="90" fontId="110" numFmtId="0" xfId="0" applyAlignment="1" applyBorder="1" applyFont="1">
      <alignment horizontal="center" readingOrder="0" vertical="center"/>
    </xf>
    <xf borderId="901" fillId="0" fontId="4" numFmtId="0" xfId="0" applyBorder="1" applyFont="1"/>
    <xf borderId="938" fillId="90" fontId="110" numFmtId="0" xfId="0" applyAlignment="1" applyBorder="1" applyFont="1">
      <alignment horizontal="center" readingOrder="0" vertical="center"/>
    </xf>
    <xf borderId="939" fillId="0" fontId="4" numFmtId="0" xfId="0" applyBorder="1" applyFont="1"/>
    <xf borderId="910" fillId="0" fontId="4" numFmtId="0" xfId="0" applyBorder="1" applyFont="1"/>
    <xf borderId="940" fillId="90" fontId="110" numFmtId="0" xfId="0" applyAlignment="1" applyBorder="1" applyFont="1">
      <alignment horizontal="center" readingOrder="0" vertical="center"/>
    </xf>
    <xf borderId="940" fillId="90" fontId="110" numFmtId="0" xfId="0" applyAlignment="1" applyBorder="1" applyFont="1">
      <alignment horizontal="center" vertical="center"/>
    </xf>
    <xf borderId="902" fillId="0" fontId="4" numFmtId="0" xfId="0" applyBorder="1" applyFont="1"/>
    <xf borderId="941" fillId="90" fontId="110" numFmtId="0" xfId="0" applyAlignment="1" applyBorder="1" applyFont="1">
      <alignment horizontal="center" readingOrder="0" vertical="center"/>
    </xf>
    <xf borderId="923" fillId="90" fontId="110" numFmtId="0" xfId="0" applyAlignment="1" applyBorder="1" applyFont="1">
      <alignment horizontal="center" readingOrder="0" vertical="center"/>
    </xf>
    <xf borderId="942" fillId="90" fontId="110" numFmtId="0" xfId="0" applyAlignment="1" applyBorder="1" applyFont="1">
      <alignment horizontal="center" readingOrder="0" vertical="center"/>
    </xf>
    <xf borderId="943" fillId="0" fontId="4" numFmtId="0" xfId="0" applyBorder="1" applyFont="1"/>
    <xf borderId="944" fillId="90" fontId="110" numFmtId="0" xfId="0" applyAlignment="1" applyBorder="1" applyFont="1">
      <alignment horizontal="center" readingOrder="0" vertical="center"/>
    </xf>
    <xf borderId="945" fillId="0" fontId="4" numFmtId="0" xfId="0" applyBorder="1" applyFont="1"/>
    <xf borderId="920" fillId="90" fontId="124" numFmtId="0" xfId="0" applyAlignment="1" applyBorder="1" applyFont="1">
      <alignment horizontal="center" vertical="center"/>
    </xf>
    <xf borderId="922" fillId="90" fontId="92" numFmtId="0" xfId="0" applyAlignment="1" applyBorder="1" applyFont="1">
      <alignment horizontal="right" vertical="center"/>
    </xf>
    <xf borderId="922" fillId="90" fontId="131" numFmtId="0" xfId="0" applyAlignment="1" applyBorder="1" applyFont="1">
      <alignment horizontal="center" vertical="center"/>
    </xf>
    <xf borderId="901" fillId="90" fontId="131" numFmtId="0" xfId="0" applyAlignment="1" applyBorder="1" applyFont="1">
      <alignment horizontal="center" vertical="center"/>
    </xf>
    <xf borderId="946" fillId="90" fontId="131" numFmtId="0" xfId="0" applyAlignment="1" applyBorder="1" applyFont="1">
      <alignment horizontal="center" vertical="center"/>
    </xf>
    <xf borderId="946" fillId="90" fontId="109" numFmtId="0" xfId="0" applyAlignment="1" applyBorder="1" applyFont="1">
      <alignment horizontal="center" vertical="center"/>
    </xf>
    <xf borderId="946" fillId="90" fontId="132" numFmtId="0" xfId="0" applyAlignment="1" applyBorder="1" applyFont="1">
      <alignment horizontal="center" vertical="center"/>
    </xf>
    <xf borderId="922" fillId="90" fontId="132" numFmtId="0" xfId="0" applyAlignment="1" applyBorder="1" applyFont="1">
      <alignment horizontal="center" vertical="center"/>
    </xf>
    <xf borderId="913" fillId="90" fontId="124" numFmtId="0" xfId="0" applyAlignment="1" applyBorder="1" applyFont="1">
      <alignment horizontal="center" vertical="center"/>
    </xf>
    <xf borderId="920" fillId="90" fontId="133" numFmtId="0" xfId="0" applyAlignment="1" applyBorder="1" applyFont="1">
      <alignment horizontal="center" vertical="center"/>
    </xf>
    <xf borderId="911" fillId="90" fontId="106" numFmtId="0" xfId="0" applyAlignment="1" applyBorder="1" applyFont="1">
      <alignment horizontal="center" vertical="center"/>
    </xf>
    <xf borderId="237" fillId="29" fontId="104" numFmtId="0" xfId="0" applyAlignment="1" applyBorder="1" applyFont="1">
      <alignment horizontal="center" readingOrder="0" vertical="top"/>
    </xf>
    <xf borderId="240" fillId="29" fontId="104" numFmtId="0" xfId="0" applyAlignment="1" applyBorder="1" applyFont="1">
      <alignment horizontal="center" readingOrder="0" vertical="top"/>
    </xf>
    <xf borderId="912" fillId="90" fontId="133" numFmtId="0" xfId="0" applyAlignment="1" applyBorder="1" applyFont="1">
      <alignment horizontal="center" vertical="center"/>
    </xf>
    <xf borderId="913" fillId="90" fontId="133" numFmtId="0" xfId="0" applyAlignment="1" applyBorder="1" applyFont="1">
      <alignment horizontal="center" vertical="center"/>
    </xf>
    <xf borderId="947" fillId="29" fontId="104" numFmtId="0" xfId="0" applyAlignment="1" applyBorder="1" applyFont="1">
      <alignment horizontal="center" readingOrder="0" vertical="center"/>
    </xf>
    <xf borderId="948" fillId="29" fontId="104" numFmtId="0" xfId="0" applyAlignment="1" applyBorder="1" applyFont="1">
      <alignment horizontal="center" readingOrder="0" vertical="center"/>
    </xf>
    <xf borderId="949" fillId="29" fontId="104" numFmtId="0" xfId="0" applyAlignment="1" applyBorder="1" applyFont="1">
      <alignment horizontal="left" readingOrder="0" vertical="center"/>
    </xf>
    <xf borderId="950" fillId="29" fontId="104" numFmtId="0" xfId="0" applyAlignment="1" applyBorder="1" applyFont="1">
      <alignment horizontal="center" readingOrder="0" vertical="center"/>
    </xf>
    <xf borderId="951" fillId="29" fontId="104" numFmtId="0" xfId="0" applyAlignment="1" applyBorder="1" applyFont="1">
      <alignment horizontal="center" readingOrder="0" vertical="center"/>
    </xf>
    <xf borderId="952" fillId="29" fontId="104" numFmtId="0" xfId="0" applyAlignment="1" applyBorder="1" applyFont="1">
      <alignment horizontal="center" readingOrder="0" vertical="center"/>
    </xf>
    <xf borderId="953" fillId="29" fontId="104" numFmtId="0" xfId="0" applyAlignment="1" applyBorder="1" applyFont="1">
      <alignment horizontal="left" readingOrder="0" vertical="center"/>
    </xf>
    <xf borderId="954" fillId="29" fontId="104" numFmtId="0" xfId="0" applyAlignment="1" applyBorder="1" applyFont="1">
      <alignment horizontal="center" readingOrder="0" vertical="center"/>
    </xf>
    <xf borderId="955" fillId="29" fontId="104" numFmtId="0" xfId="0" applyAlignment="1" applyBorder="1" applyFont="1">
      <alignment horizontal="center" readingOrder="0" vertical="center"/>
    </xf>
    <xf borderId="956" fillId="29" fontId="104" numFmtId="0" xfId="0" applyAlignment="1" applyBorder="1" applyFont="1">
      <alignment horizontal="center" readingOrder="0" vertical="center"/>
    </xf>
    <xf borderId="957" fillId="29" fontId="104" numFmtId="0" xfId="0" applyAlignment="1" applyBorder="1" applyFont="1">
      <alignment horizontal="left" readingOrder="0" vertical="center"/>
    </xf>
    <xf borderId="958" fillId="29" fontId="104" numFmtId="0" xfId="0" applyAlignment="1" applyBorder="1" applyFont="1">
      <alignment horizontal="center" readingOrder="0" vertical="center"/>
    </xf>
    <xf borderId="253" fillId="29" fontId="104" numFmtId="0" xfId="0" applyAlignment="1" applyBorder="1" applyFont="1">
      <alignment horizontal="right" readingOrder="0" vertical="center"/>
    </xf>
    <xf borderId="256" fillId="29" fontId="104" numFmtId="0" xfId="0" applyAlignment="1" applyBorder="1" applyFont="1">
      <alignment horizontal="center" readingOrder="0" vertical="center"/>
    </xf>
    <xf borderId="959" fillId="90" fontId="125" numFmtId="0" xfId="0" applyAlignment="1" applyBorder="1" applyFont="1">
      <alignment horizontal="center" vertical="center"/>
    </xf>
    <xf borderId="960" fillId="90" fontId="92" numFmtId="0" xfId="0" applyAlignment="1" applyBorder="1" applyFont="1">
      <alignment horizontal="right" readingOrder="0" vertical="center"/>
    </xf>
    <xf borderId="960" fillId="90" fontId="138" numFmtId="0" xfId="0" applyAlignment="1" applyBorder="1" applyFont="1">
      <alignment horizontal="center" readingOrder="0" vertical="center"/>
    </xf>
    <xf borderId="961" fillId="90" fontId="138" numFmtId="0" xfId="0" applyAlignment="1" applyBorder="1" applyFont="1">
      <alignment horizontal="center" readingOrder="0" vertical="center"/>
    </xf>
    <xf borderId="962" fillId="90" fontId="125" numFmtId="0" xfId="0" applyAlignment="1" applyBorder="1" applyFont="1">
      <alignment horizontal="center" vertical="center"/>
    </xf>
    <xf borderId="963" fillId="92" fontId="125" numFmtId="0" xfId="0" applyAlignment="1" applyBorder="1" applyFill="1" applyFont="1">
      <alignment horizontal="center" vertical="center"/>
    </xf>
    <xf borderId="964" fillId="92" fontId="92" numFmtId="0" xfId="0" applyAlignment="1" applyBorder="1" applyFont="1">
      <alignment horizontal="right" readingOrder="0" vertical="center"/>
    </xf>
    <xf borderId="965" fillId="92" fontId="138" numFmtId="0" xfId="0" applyAlignment="1" applyBorder="1" applyFont="1">
      <alignment horizontal="center" readingOrder="0" vertical="center"/>
    </xf>
    <xf borderId="964" fillId="92" fontId="138" numFmtId="0" xfId="0" applyAlignment="1" applyBorder="1" applyFont="1">
      <alignment horizontal="center" readingOrder="0" vertical="center"/>
    </xf>
    <xf borderId="966" fillId="92" fontId="125" numFmtId="0" xfId="0" applyAlignment="1" applyBorder="1" applyFont="1">
      <alignment horizontal="center" vertical="center"/>
    </xf>
    <xf borderId="967" fillId="92" fontId="125" numFmtId="0" xfId="0" applyAlignment="1" applyBorder="1" applyFont="1">
      <alignment horizontal="center" vertical="center"/>
    </xf>
    <xf borderId="905" fillId="32" fontId="94" numFmtId="0" xfId="0" applyAlignment="1" applyBorder="1" applyFont="1">
      <alignment horizontal="right" vertical="center"/>
    </xf>
    <xf borderId="968" fillId="92" fontId="127" numFmtId="0" xfId="0" applyAlignment="1" applyBorder="1" applyFont="1">
      <alignment horizontal="center" vertical="center"/>
    </xf>
    <xf borderId="969" fillId="32" fontId="119" numFmtId="0" xfId="0" applyAlignment="1" applyBorder="1" applyFont="1">
      <alignment horizontal="center" vertical="center"/>
    </xf>
    <xf borderId="970" fillId="0" fontId="4" numFmtId="0" xfId="0" applyBorder="1" applyFont="1"/>
    <xf borderId="971" fillId="0" fontId="4" numFmtId="0" xfId="0" applyBorder="1" applyFont="1"/>
    <xf borderId="972" fillId="92" fontId="110" numFmtId="0" xfId="0" applyAlignment="1" applyBorder="1" applyFont="1">
      <alignment horizontal="center" vertical="center"/>
    </xf>
    <xf borderId="973" fillId="92" fontId="125" numFmtId="0" xfId="0" applyAlignment="1" applyBorder="1" applyFont="1">
      <alignment horizontal="center" vertical="center"/>
    </xf>
    <xf borderId="967" fillId="92" fontId="110" numFmtId="0" xfId="0" applyAlignment="1" applyBorder="1" applyFont="1">
      <alignment horizontal="center" vertical="center"/>
    </xf>
    <xf borderId="762" fillId="92" fontId="94" numFmtId="0" xfId="0" applyAlignment="1" applyBorder="1" applyFont="1">
      <alignment horizontal="right" readingOrder="0" vertical="center"/>
    </xf>
    <xf borderId="968" fillId="92" fontId="110" numFmtId="0" xfId="0" applyAlignment="1" applyBorder="1" applyFont="1">
      <alignment horizontal="center" readingOrder="0" vertical="center"/>
    </xf>
    <xf borderId="974" fillId="92" fontId="112" numFmtId="0" xfId="0" applyAlignment="1" applyBorder="1" applyFont="1">
      <alignment horizontal="center" readingOrder="0" vertical="center"/>
    </xf>
    <xf borderId="975" fillId="0" fontId="4" numFmtId="0" xfId="0" applyBorder="1" applyFont="1"/>
    <xf borderId="976" fillId="0" fontId="4" numFmtId="0" xfId="0" applyBorder="1" applyFont="1"/>
    <xf borderId="973" fillId="92" fontId="110" numFmtId="0" xfId="0" applyAlignment="1" applyBorder="1" applyFont="1">
      <alignment horizontal="center" vertical="center"/>
    </xf>
    <xf borderId="967" fillId="92" fontId="127" numFmtId="0" xfId="0" applyAlignment="1" applyBorder="1" applyFont="1">
      <alignment horizontal="center" vertical="center"/>
    </xf>
    <xf borderId="968" fillId="92" fontId="127" numFmtId="0" xfId="0" applyAlignment="1" applyBorder="1" applyFont="1">
      <alignment horizontal="center" readingOrder="0" vertical="center"/>
    </xf>
    <xf borderId="977" fillId="92" fontId="114" numFmtId="0" xfId="0" applyAlignment="1" applyBorder="1" applyFont="1">
      <alignment horizontal="center" readingOrder="0" vertical="top"/>
    </xf>
    <xf borderId="968" fillId="0" fontId="4" numFmtId="0" xfId="0" applyBorder="1" applyFont="1"/>
    <xf borderId="978" fillId="0" fontId="4" numFmtId="0" xfId="0" applyBorder="1" applyFont="1"/>
    <xf borderId="973" fillId="92" fontId="127" numFmtId="0" xfId="0" applyAlignment="1" applyBorder="1" applyFont="1">
      <alignment horizontal="center" vertical="center"/>
    </xf>
    <xf borderId="979" fillId="92" fontId="125" numFmtId="0" xfId="0" applyAlignment="1" applyBorder="1" applyFont="1">
      <alignment horizontal="center" vertical="center"/>
    </xf>
    <xf borderId="968" fillId="92" fontId="125" numFmtId="0" xfId="0" applyAlignment="1" applyBorder="1" applyFont="1">
      <alignment horizontal="center" vertical="center"/>
    </xf>
    <xf borderId="980" fillId="92" fontId="110" numFmtId="0" xfId="0" applyAlignment="1" applyBorder="1" applyFont="1">
      <alignment horizontal="center" vertical="center"/>
    </xf>
    <xf borderId="981" fillId="92" fontId="115" numFmtId="0" xfId="0" applyAlignment="1" applyBorder="1" applyFont="1">
      <alignment horizontal="right" vertical="top"/>
    </xf>
    <xf borderId="981" fillId="92" fontId="115" numFmtId="0" xfId="0" applyAlignment="1" applyBorder="1" applyFont="1">
      <alignment horizontal="left" vertical="top"/>
    </xf>
    <xf borderId="982" fillId="92" fontId="110" numFmtId="0" xfId="0" applyAlignment="1" applyBorder="1" applyFont="1">
      <alignment horizontal="center" vertical="top"/>
    </xf>
    <xf borderId="983" fillId="92" fontId="110" numFmtId="0" xfId="0" applyAlignment="1" applyBorder="1" applyFont="1">
      <alignment horizontal="center" vertical="top"/>
    </xf>
    <xf borderId="984" fillId="92" fontId="115" numFmtId="0" xfId="0" applyAlignment="1" applyBorder="1" applyFont="1">
      <alignment horizontal="center" vertical="top"/>
    </xf>
    <xf borderId="985" fillId="0" fontId="4" numFmtId="0" xfId="0" applyBorder="1" applyFont="1"/>
    <xf borderId="986" fillId="92" fontId="110" numFmtId="0" xfId="0" applyAlignment="1" applyBorder="1" applyFont="1">
      <alignment horizontal="center" vertical="top"/>
    </xf>
    <xf borderId="987" fillId="92" fontId="110" numFmtId="0" xfId="0" applyAlignment="1" applyBorder="1" applyFont="1">
      <alignment horizontal="center" vertical="top"/>
    </xf>
    <xf borderId="988" fillId="92" fontId="110" numFmtId="0" xfId="0" applyAlignment="1" applyBorder="1" applyFont="1">
      <alignment horizontal="center" vertical="top"/>
    </xf>
    <xf borderId="988" fillId="92" fontId="110" numFmtId="0" xfId="0" applyAlignment="1" applyBorder="1" applyFont="1">
      <alignment horizontal="center" vertical="center"/>
    </xf>
    <xf borderId="965" fillId="92" fontId="94" numFmtId="0" xfId="0" applyAlignment="1" applyBorder="1" applyFont="1">
      <alignment horizontal="right" vertical="center"/>
    </xf>
    <xf borderId="989" fillId="92" fontId="125" numFmtId="0" xfId="0" applyAlignment="1" applyBorder="1" applyFont="1">
      <alignment horizontal="center" vertical="center"/>
    </xf>
    <xf borderId="990" fillId="92" fontId="110" numFmtId="0" xfId="0" applyAlignment="1" applyBorder="1" applyFont="1">
      <alignment horizontal="center" vertical="center"/>
    </xf>
    <xf borderId="991" fillId="92" fontId="110" numFmtId="0" xfId="0" applyAlignment="1" applyBorder="1" applyFont="1">
      <alignment horizontal="center" vertical="top"/>
    </xf>
    <xf borderId="992" fillId="92" fontId="110" numFmtId="0" xfId="0" applyAlignment="1" applyBorder="1" applyFont="1">
      <alignment horizontal="center" vertical="top"/>
    </xf>
    <xf borderId="993" fillId="92" fontId="110" numFmtId="0" xfId="0" applyAlignment="1" applyBorder="1" applyFont="1">
      <alignment horizontal="center" vertical="top"/>
    </xf>
    <xf borderId="994" fillId="92" fontId="110" numFmtId="0" xfId="0" applyAlignment="1" applyBorder="1" applyFont="1">
      <alignment horizontal="center" vertical="top"/>
    </xf>
    <xf borderId="995" fillId="92" fontId="110" numFmtId="0" xfId="0" applyAlignment="1" applyBorder="1" applyFont="1">
      <alignment horizontal="center" vertical="top"/>
    </xf>
    <xf borderId="994" fillId="92" fontId="110" numFmtId="0" xfId="0" applyAlignment="1" applyBorder="1" applyFont="1">
      <alignment horizontal="center" vertical="center"/>
    </xf>
    <xf borderId="996" fillId="92" fontId="94" numFmtId="0" xfId="0" applyAlignment="1" applyBorder="1" applyFont="1">
      <alignment horizontal="right" vertical="center"/>
    </xf>
    <xf borderId="997" fillId="92" fontId="110" numFmtId="0" xfId="0" applyAlignment="1" applyBorder="1" applyFont="1">
      <alignment horizontal="center" readingOrder="0" vertical="center"/>
    </xf>
    <xf borderId="998" fillId="0" fontId="4" numFmtId="0" xfId="0" applyBorder="1" applyFont="1"/>
    <xf borderId="999" fillId="0" fontId="4" numFmtId="0" xfId="0" applyBorder="1" applyFont="1"/>
    <xf borderId="1000" fillId="92" fontId="94" numFmtId="0" xfId="0" applyAlignment="1" applyBorder="1" applyFont="1">
      <alignment horizontal="right" vertical="center"/>
    </xf>
    <xf borderId="977" fillId="92" fontId="110" numFmtId="0" xfId="0" applyAlignment="1" applyBorder="1" applyFont="1">
      <alignment horizontal="center" readingOrder="0" vertical="center"/>
    </xf>
    <xf borderId="964" fillId="0" fontId="4" numFmtId="0" xfId="0" applyBorder="1" applyFont="1"/>
    <xf borderId="1001" fillId="92" fontId="110" numFmtId="0" xfId="0" applyAlignment="1" applyBorder="1" applyFont="1">
      <alignment horizontal="center" readingOrder="0" vertical="center"/>
    </xf>
    <xf borderId="972" fillId="0" fontId="4" numFmtId="0" xfId="0" applyBorder="1" applyFont="1"/>
    <xf borderId="1002" fillId="0" fontId="4" numFmtId="0" xfId="0" applyBorder="1" applyFont="1"/>
    <xf borderId="1003" fillId="92" fontId="110" numFmtId="0" xfId="0" applyAlignment="1" applyBorder="1" applyFont="1">
      <alignment horizontal="center" readingOrder="0" vertical="center"/>
    </xf>
    <xf borderId="965" fillId="0" fontId="4" numFmtId="0" xfId="0" applyBorder="1" applyFont="1"/>
    <xf borderId="1004" fillId="92" fontId="110" numFmtId="0" xfId="0" applyAlignment="1" applyBorder="1" applyFont="1">
      <alignment horizontal="center" readingOrder="0" vertical="center"/>
    </xf>
    <xf borderId="982" fillId="92" fontId="110" numFmtId="0" xfId="0" applyAlignment="1" applyBorder="1" applyFont="1">
      <alignment horizontal="center" readingOrder="0" vertical="center"/>
    </xf>
    <xf borderId="1005" fillId="92" fontId="110" numFmtId="0" xfId="0" applyAlignment="1" applyBorder="1" applyFont="1">
      <alignment horizontal="center" readingOrder="0" vertical="center"/>
    </xf>
    <xf borderId="1006" fillId="0" fontId="4" numFmtId="0" xfId="0" applyBorder="1" applyFont="1"/>
    <xf borderId="1007" fillId="92" fontId="110" numFmtId="0" xfId="0" applyAlignment="1" applyBorder="1" applyFont="1">
      <alignment horizontal="center" readingOrder="0" vertical="center"/>
    </xf>
    <xf borderId="979" fillId="92" fontId="124" numFmtId="0" xfId="0" applyAlignment="1" applyBorder="1" applyFont="1">
      <alignment horizontal="center" vertical="center"/>
    </xf>
    <xf borderId="996" fillId="92" fontId="92" numFmtId="0" xfId="0" applyAlignment="1" applyBorder="1" applyFont="1">
      <alignment horizontal="right" vertical="center"/>
    </xf>
    <xf borderId="996" fillId="92" fontId="131" numFmtId="0" xfId="0" applyAlignment="1" applyBorder="1" applyFont="1">
      <alignment horizontal="center" vertical="center"/>
    </xf>
    <xf borderId="964" fillId="92" fontId="131" numFmtId="0" xfId="0" applyAlignment="1" applyBorder="1" applyFont="1">
      <alignment horizontal="center" vertical="center"/>
    </xf>
    <xf borderId="1008" fillId="92" fontId="131" numFmtId="0" xfId="0" applyAlignment="1" applyBorder="1" applyFont="1">
      <alignment horizontal="center" vertical="center"/>
    </xf>
    <xf borderId="1008" fillId="92" fontId="109" numFmtId="0" xfId="0" applyAlignment="1" applyBorder="1" applyFont="1">
      <alignment horizontal="center" vertical="center"/>
    </xf>
    <xf borderId="1008" fillId="92" fontId="132" numFmtId="0" xfId="0" applyAlignment="1" applyBorder="1" applyFont="1">
      <alignment horizontal="center" vertical="center"/>
    </xf>
    <xf borderId="1009" fillId="92" fontId="132" numFmtId="0" xfId="0" applyAlignment="1" applyBorder="1" applyFont="1">
      <alignment horizontal="center" vertical="center"/>
    </xf>
    <xf borderId="1010" fillId="92" fontId="124" numFmtId="0" xfId="0" applyAlignment="1" applyBorder="1" applyFont="1">
      <alignment horizontal="center" vertical="center"/>
    </xf>
    <xf borderId="979" fillId="92" fontId="133" numFmtId="0" xfId="0" applyAlignment="1" applyBorder="1" applyFont="1">
      <alignment horizontal="center" vertical="center"/>
    </xf>
    <xf borderId="989" fillId="92" fontId="106" numFmtId="0" xfId="0" applyAlignment="1" applyBorder="1" applyFont="1">
      <alignment horizontal="center" vertical="center"/>
    </xf>
    <xf borderId="237" fillId="32" fontId="104" numFmtId="0" xfId="0" applyAlignment="1" applyBorder="1" applyFont="1">
      <alignment horizontal="center" readingOrder="0" vertical="top"/>
    </xf>
    <xf borderId="240" fillId="32" fontId="104" numFmtId="0" xfId="0" applyAlignment="1" applyBorder="1" applyFont="1">
      <alignment horizontal="center" readingOrder="0" vertical="top"/>
    </xf>
    <xf borderId="968" fillId="92" fontId="106" numFmtId="0" xfId="0" applyAlignment="1" applyBorder="1" applyFont="1">
      <alignment horizontal="center" vertical="center"/>
    </xf>
    <xf borderId="973" fillId="92" fontId="133" numFmtId="0" xfId="0" applyAlignment="1" applyBorder="1" applyFont="1">
      <alignment horizontal="center" vertical="center"/>
    </xf>
    <xf borderId="1011" fillId="32" fontId="104" numFmtId="0" xfId="0" applyAlignment="1" applyBorder="1" applyFont="1">
      <alignment horizontal="center" readingOrder="0" vertical="center"/>
    </xf>
    <xf borderId="1012" fillId="32" fontId="104" numFmtId="0" xfId="0" applyAlignment="1" applyBorder="1" applyFont="1">
      <alignment horizontal="center" readingOrder="0" vertical="center"/>
    </xf>
    <xf borderId="1013" fillId="32" fontId="104" numFmtId="0" xfId="0" applyAlignment="1" applyBorder="1" applyFont="1">
      <alignment horizontal="left" readingOrder="0" vertical="center"/>
    </xf>
    <xf borderId="1014" fillId="32" fontId="104" numFmtId="0" xfId="0" applyAlignment="1" applyBorder="1" applyFont="1">
      <alignment horizontal="center" readingOrder="0" vertical="center"/>
    </xf>
    <xf borderId="968" fillId="92" fontId="106" numFmtId="0" xfId="0" applyAlignment="1" applyBorder="1" applyFont="1">
      <alignment horizontal="center" vertical="center"/>
    </xf>
    <xf borderId="973" fillId="92" fontId="133" numFmtId="0" xfId="0" applyAlignment="1" applyBorder="1" applyFont="1">
      <alignment horizontal="center" vertical="center"/>
    </xf>
    <xf borderId="1015" fillId="32" fontId="104" numFmtId="0" xfId="0" applyAlignment="1" applyBorder="1" applyFont="1">
      <alignment horizontal="center" readingOrder="0" vertical="center"/>
    </xf>
    <xf borderId="1016" fillId="32" fontId="104" numFmtId="0" xfId="0" applyAlignment="1" applyBorder="1" applyFont="1">
      <alignment horizontal="center" readingOrder="0" vertical="center"/>
    </xf>
    <xf borderId="1017" fillId="32" fontId="104" numFmtId="0" xfId="0" applyAlignment="1" applyBorder="1" applyFont="1">
      <alignment horizontal="left" readingOrder="0" vertical="center"/>
    </xf>
    <xf borderId="1018" fillId="32" fontId="104" numFmtId="0" xfId="0" applyAlignment="1" applyBorder="1" applyFont="1">
      <alignment horizontal="center" readingOrder="0" vertical="center"/>
    </xf>
    <xf borderId="1019" fillId="32" fontId="104" numFmtId="0" xfId="0" applyAlignment="1" applyBorder="1" applyFont="1">
      <alignment horizontal="center" readingOrder="0" vertical="center"/>
    </xf>
    <xf borderId="1020" fillId="32" fontId="104" numFmtId="0" xfId="0" applyAlignment="1" applyBorder="1" applyFont="1">
      <alignment horizontal="center" readingOrder="0" vertical="center"/>
    </xf>
    <xf borderId="1021" fillId="32" fontId="104" numFmtId="0" xfId="0" applyAlignment="1" applyBorder="1" applyFont="1">
      <alignment horizontal="left" readingOrder="0" vertical="center"/>
    </xf>
    <xf borderId="1022" fillId="32" fontId="104" numFmtId="0" xfId="0" applyAlignment="1" applyBorder="1" applyFont="1">
      <alignment horizontal="center" readingOrder="0" vertical="center"/>
    </xf>
    <xf borderId="253" fillId="32" fontId="104" numFmtId="0" xfId="0" applyAlignment="1" applyBorder="1" applyFont="1">
      <alignment horizontal="right" readingOrder="0" vertical="center"/>
    </xf>
    <xf borderId="256" fillId="32" fontId="104" numFmtId="0" xfId="0" applyAlignment="1" applyBorder="1" applyFont="1">
      <alignment horizontal="center" readingOrder="0" vertical="center"/>
    </xf>
    <xf borderId="1023" fillId="92" fontId="125" numFmtId="0" xfId="0" applyAlignment="1" applyBorder="1" applyFont="1">
      <alignment horizontal="center" vertical="center"/>
    </xf>
    <xf borderId="1024" fillId="92" fontId="92" numFmtId="0" xfId="0" applyAlignment="1" applyBorder="1" applyFont="1">
      <alignment horizontal="right" readingOrder="0" vertical="center"/>
    </xf>
    <xf borderId="1024" fillId="92" fontId="138" numFmtId="0" xfId="0" applyAlignment="1" applyBorder="1" applyFont="1">
      <alignment horizontal="center" readingOrder="0" vertical="center"/>
    </xf>
    <xf borderId="1025" fillId="92" fontId="138" numFmtId="0" xfId="0" applyAlignment="1" applyBorder="1" applyFont="1">
      <alignment horizontal="center" readingOrder="0" vertical="center"/>
    </xf>
    <xf borderId="1026" fillId="92" fontId="125" numFmtId="0" xfId="0" applyAlignment="1" applyBorder="1" applyFont="1">
      <alignment horizontal="center" vertical="center"/>
    </xf>
    <xf borderId="1027" fillId="93" fontId="125" numFmtId="0" xfId="0" applyAlignment="1" applyBorder="1" applyFill="1" applyFont="1">
      <alignment horizontal="center" vertical="center"/>
    </xf>
    <xf borderId="1028" fillId="93" fontId="92" numFmtId="0" xfId="0" applyAlignment="1" applyBorder="1" applyFont="1">
      <alignment horizontal="right" readingOrder="0" vertical="center"/>
    </xf>
    <xf borderId="1029" fillId="93" fontId="138" numFmtId="0" xfId="0" applyAlignment="1" applyBorder="1" applyFont="1">
      <alignment horizontal="center" readingOrder="0" vertical="center"/>
    </xf>
    <xf borderId="1028" fillId="93" fontId="138" numFmtId="0" xfId="0" applyAlignment="1" applyBorder="1" applyFont="1">
      <alignment horizontal="center" readingOrder="0" vertical="center"/>
    </xf>
    <xf borderId="1030" fillId="93" fontId="125" numFmtId="0" xfId="0" applyAlignment="1" applyBorder="1" applyFont="1">
      <alignment horizontal="center" vertical="center"/>
    </xf>
    <xf borderId="1031" fillId="93" fontId="125" numFmtId="0" xfId="0" applyAlignment="1" applyBorder="1" applyFont="1">
      <alignment horizontal="center" vertical="center"/>
    </xf>
    <xf borderId="905" fillId="43" fontId="94" numFmtId="0" xfId="0" applyAlignment="1" applyBorder="1" applyFont="1">
      <alignment horizontal="right" vertical="center"/>
    </xf>
    <xf borderId="1032" fillId="93" fontId="127" numFmtId="0" xfId="0" applyAlignment="1" applyBorder="1" applyFont="1">
      <alignment horizontal="center" vertical="center"/>
    </xf>
    <xf borderId="191" fillId="43" fontId="119" numFmtId="0" xfId="0" applyAlignment="1" applyBorder="1" applyFont="1">
      <alignment horizontal="center" vertical="center"/>
    </xf>
    <xf borderId="1032" fillId="93" fontId="119" numFmtId="0" xfId="0" applyAlignment="1" applyBorder="1" applyFont="1">
      <alignment horizontal="center" vertical="center"/>
    </xf>
    <xf borderId="1033" fillId="93" fontId="125" numFmtId="0" xfId="0" applyAlignment="1" applyBorder="1" applyFont="1">
      <alignment horizontal="center" vertical="center"/>
    </xf>
    <xf borderId="1031" fillId="93" fontId="110" numFmtId="0" xfId="0" applyAlignment="1" applyBorder="1" applyFont="1">
      <alignment horizontal="center" vertical="center"/>
    </xf>
    <xf borderId="762" fillId="93" fontId="94" numFmtId="0" xfId="0" applyAlignment="1" applyBorder="1" applyFont="1">
      <alignment horizontal="right" readingOrder="0" vertical="center"/>
    </xf>
    <xf borderId="1032" fillId="93" fontId="110" numFmtId="0" xfId="0" applyAlignment="1" applyBorder="1" applyFont="1">
      <alignment horizontal="center" readingOrder="0" vertical="center"/>
    </xf>
    <xf borderId="1034" fillId="93" fontId="112" numFmtId="0" xfId="0" applyAlignment="1" applyBorder="1" applyFont="1">
      <alignment horizontal="center" readingOrder="0" vertical="center"/>
    </xf>
    <xf borderId="1035" fillId="0" fontId="4" numFmtId="0" xfId="0" applyBorder="1" applyFont="1"/>
    <xf borderId="1036" fillId="0" fontId="4" numFmtId="0" xfId="0" applyBorder="1" applyFont="1"/>
    <xf borderId="1033" fillId="93" fontId="110" numFmtId="0" xfId="0" applyAlignment="1" applyBorder="1" applyFont="1">
      <alignment horizontal="center" vertical="center"/>
    </xf>
    <xf borderId="1031" fillId="93" fontId="127" numFmtId="0" xfId="0" applyAlignment="1" applyBorder="1" applyFont="1">
      <alignment horizontal="center" vertical="center"/>
    </xf>
    <xf borderId="1032" fillId="93" fontId="127" numFmtId="0" xfId="0" applyAlignment="1" applyBorder="1" applyFont="1">
      <alignment horizontal="center" readingOrder="0" vertical="center"/>
    </xf>
    <xf borderId="1037" fillId="93" fontId="114" numFmtId="0" xfId="0" applyAlignment="1" applyBorder="1" applyFont="1">
      <alignment horizontal="center" readingOrder="0" vertical="top"/>
    </xf>
    <xf borderId="1032" fillId="0" fontId="4" numFmtId="0" xfId="0" applyBorder="1" applyFont="1"/>
    <xf borderId="1038" fillId="0" fontId="4" numFmtId="0" xfId="0" applyBorder="1" applyFont="1"/>
    <xf borderId="1032" fillId="93" fontId="119" numFmtId="0" xfId="0" applyAlignment="1" applyBorder="1" applyFont="1">
      <alignment horizontal="center" readingOrder="0" vertical="center"/>
    </xf>
    <xf borderId="1033" fillId="93" fontId="127" numFmtId="0" xfId="0" applyAlignment="1" applyBorder="1" applyFont="1">
      <alignment horizontal="center" vertical="center"/>
    </xf>
    <xf borderId="1039" fillId="93" fontId="125" numFmtId="0" xfId="0" applyAlignment="1" applyBorder="1" applyFont="1">
      <alignment horizontal="center" vertical="center"/>
    </xf>
    <xf borderId="1032" fillId="93" fontId="125" numFmtId="0" xfId="0" applyAlignment="1" applyBorder="1" applyFont="1">
      <alignment horizontal="center" vertical="center"/>
    </xf>
    <xf borderId="1040" fillId="93" fontId="110" numFmtId="0" xfId="0" applyAlignment="1" applyBorder="1" applyFont="1">
      <alignment horizontal="center" vertical="center"/>
    </xf>
    <xf borderId="1041" fillId="93" fontId="115" numFmtId="0" xfId="0" applyAlignment="1" applyBorder="1" applyFont="1">
      <alignment horizontal="center" vertical="top"/>
    </xf>
    <xf borderId="1042" fillId="0" fontId="4" numFmtId="0" xfId="0" applyBorder="1" applyFont="1"/>
    <xf borderId="1043" fillId="93" fontId="110" numFmtId="0" xfId="0" applyAlignment="1" applyBorder="1" applyFont="1">
      <alignment horizontal="center" vertical="top"/>
    </xf>
    <xf borderId="1041" fillId="93" fontId="110" numFmtId="0" xfId="0" applyAlignment="1" applyBorder="1" applyFont="1">
      <alignment horizontal="center" vertical="center"/>
    </xf>
    <xf borderId="1044" fillId="93" fontId="110" numFmtId="0" xfId="0" applyAlignment="1" applyBorder="1" applyFont="1">
      <alignment horizontal="center" vertical="top"/>
    </xf>
    <xf borderId="1045" fillId="93" fontId="115" numFmtId="0" xfId="0" applyAlignment="1" applyBorder="1" applyFont="1">
      <alignment horizontal="right" vertical="top"/>
    </xf>
    <xf borderId="1045" fillId="93" fontId="115" numFmtId="0" xfId="0" applyAlignment="1" applyBorder="1" applyFont="1">
      <alignment horizontal="left" vertical="top"/>
    </xf>
    <xf borderId="1046" fillId="93" fontId="110" numFmtId="0" xfId="0" applyAlignment="1" applyBorder="1" applyFont="1">
      <alignment horizontal="center" vertical="top"/>
    </xf>
    <xf borderId="1046" fillId="93" fontId="110" numFmtId="0" xfId="0" applyAlignment="1" applyBorder="1" applyFont="1">
      <alignment horizontal="center" vertical="center"/>
    </xf>
    <xf borderId="1029" fillId="93" fontId="94" numFmtId="0" xfId="0" applyAlignment="1" applyBorder="1" applyFont="1">
      <alignment horizontal="right" vertical="center"/>
    </xf>
    <xf borderId="1041" fillId="93" fontId="125" numFmtId="0" xfId="0" applyAlignment="1" applyBorder="1" applyFont="1">
      <alignment horizontal="center" vertical="center"/>
    </xf>
    <xf borderId="1047" fillId="93" fontId="110" numFmtId="0" xfId="0" applyAlignment="1" applyBorder="1" applyFont="1">
      <alignment horizontal="center" vertical="center"/>
    </xf>
    <xf borderId="1048" fillId="93" fontId="110" numFmtId="0" xfId="0" applyAlignment="1" applyBorder="1" applyFont="1">
      <alignment horizontal="center" vertical="top"/>
    </xf>
    <xf borderId="1049" fillId="93" fontId="110" numFmtId="0" xfId="0" applyAlignment="1" applyBorder="1" applyFont="1">
      <alignment horizontal="center" vertical="top"/>
    </xf>
    <xf borderId="1050" fillId="93" fontId="110" numFmtId="0" xfId="0" applyAlignment="1" applyBorder="1" applyFont="1">
      <alignment horizontal="center" vertical="top"/>
    </xf>
    <xf borderId="1051" fillId="93" fontId="110" numFmtId="0" xfId="0" applyAlignment="1" applyBorder="1" applyFont="1">
      <alignment horizontal="center" vertical="top"/>
    </xf>
    <xf borderId="1052" fillId="93" fontId="110" numFmtId="0" xfId="0" applyAlignment="1" applyBorder="1" applyFont="1">
      <alignment horizontal="center" vertical="top"/>
    </xf>
    <xf borderId="1052" fillId="93" fontId="110" numFmtId="0" xfId="0" applyAlignment="1" applyBorder="1" applyFont="1">
      <alignment horizontal="center" vertical="center"/>
    </xf>
    <xf borderId="1045" fillId="93" fontId="94" numFmtId="0" xfId="0" applyAlignment="1" applyBorder="1" applyFont="1">
      <alignment horizontal="right" vertical="center"/>
    </xf>
    <xf borderId="1053" fillId="93" fontId="110" numFmtId="0" xfId="0" applyAlignment="1" applyBorder="1" applyFont="1">
      <alignment horizontal="center" readingOrder="0" vertical="center"/>
    </xf>
    <xf borderId="1054" fillId="0" fontId="4" numFmtId="0" xfId="0" applyBorder="1" applyFont="1"/>
    <xf borderId="1055" fillId="0" fontId="4" numFmtId="0" xfId="0" applyBorder="1" applyFont="1"/>
    <xf borderId="1056" fillId="93" fontId="94" numFmtId="0" xfId="0" applyAlignment="1" applyBorder="1" applyFont="1">
      <alignment horizontal="right" vertical="center"/>
    </xf>
    <xf borderId="1037" fillId="93" fontId="110" numFmtId="0" xfId="0" applyAlignment="1" applyBorder="1" applyFont="1">
      <alignment horizontal="center" readingOrder="0" vertical="center"/>
    </xf>
    <xf borderId="1028" fillId="0" fontId="4" numFmtId="0" xfId="0" applyBorder="1" applyFont="1"/>
    <xf borderId="1057" fillId="93" fontId="110" numFmtId="0" xfId="0" applyAlignment="1" applyBorder="1" applyFont="1">
      <alignment horizontal="center" readingOrder="0" vertical="center"/>
    </xf>
    <xf borderId="1058" fillId="0" fontId="4" numFmtId="0" xfId="0" applyBorder="1" applyFont="1"/>
    <xf borderId="1059" fillId="0" fontId="4" numFmtId="0" xfId="0" applyBorder="1" applyFont="1"/>
    <xf borderId="1060" fillId="93" fontId="110" numFmtId="0" xfId="0" applyAlignment="1" applyBorder="1" applyFont="1">
      <alignment horizontal="center" readingOrder="0" vertical="center"/>
    </xf>
    <xf borderId="1029" fillId="0" fontId="4" numFmtId="0" xfId="0" applyBorder="1" applyFont="1"/>
    <xf borderId="1061" fillId="93" fontId="110" numFmtId="0" xfId="0" applyAlignment="1" applyBorder="1" applyFont="1">
      <alignment horizontal="center" readingOrder="0" vertical="center"/>
    </xf>
    <xf borderId="749" fillId="85" fontId="93" numFmtId="0" xfId="0" applyAlignment="1" applyBorder="1" applyFont="1">
      <alignment horizontal="center" vertical="center"/>
    </xf>
    <xf borderId="1043" fillId="93" fontId="110" numFmtId="0" xfId="0" applyAlignment="1" applyBorder="1" applyFont="1">
      <alignment horizontal="center" readingOrder="0" vertical="center"/>
    </xf>
    <xf borderId="1062" fillId="93" fontId="110" numFmtId="0" xfId="0" applyAlignment="1" applyBorder="1" applyFont="1">
      <alignment horizontal="center" readingOrder="0" vertical="center"/>
    </xf>
    <xf borderId="1063" fillId="0" fontId="4" numFmtId="0" xfId="0" applyBorder="1" applyFont="1"/>
    <xf borderId="1064" fillId="93" fontId="110" numFmtId="0" xfId="0" applyAlignment="1" applyBorder="1" applyFont="1">
      <alignment horizontal="center" readingOrder="0" vertical="center"/>
    </xf>
    <xf borderId="1039" fillId="93" fontId="124" numFmtId="0" xfId="0" applyAlignment="1" applyBorder="1" applyFont="1">
      <alignment horizontal="center" vertical="center"/>
    </xf>
    <xf borderId="1045" fillId="93" fontId="92" numFmtId="0" xfId="0" applyAlignment="1" applyBorder="1" applyFont="1">
      <alignment horizontal="right" vertical="center"/>
    </xf>
    <xf borderId="1045" fillId="93" fontId="131" numFmtId="0" xfId="0" applyAlignment="1" applyBorder="1" applyFont="1">
      <alignment horizontal="center" vertical="center"/>
    </xf>
    <xf borderId="1028" fillId="93" fontId="131" numFmtId="0" xfId="0" applyAlignment="1" applyBorder="1" applyFont="1">
      <alignment horizontal="center" vertical="center"/>
    </xf>
    <xf borderId="1065" fillId="93" fontId="131" numFmtId="0" xfId="0" applyAlignment="1" applyBorder="1" applyFont="1">
      <alignment horizontal="center" vertical="center"/>
    </xf>
    <xf borderId="1065" fillId="93" fontId="109" numFmtId="0" xfId="0" applyAlignment="1" applyBorder="1" applyFont="1">
      <alignment horizontal="center" vertical="center"/>
    </xf>
    <xf borderId="1065" fillId="93" fontId="132" numFmtId="0" xfId="0" applyAlignment="1" applyBorder="1" applyFont="1">
      <alignment horizontal="center" vertical="center"/>
    </xf>
    <xf borderId="1066" fillId="93" fontId="132" numFmtId="0" xfId="0" applyAlignment="1" applyBorder="1" applyFont="1">
      <alignment horizontal="center" vertical="center"/>
    </xf>
    <xf borderId="1067" fillId="93" fontId="124" numFmtId="0" xfId="0" applyAlignment="1" applyBorder="1" applyFont="1">
      <alignment horizontal="center" vertical="center"/>
    </xf>
    <xf borderId="1039" fillId="93" fontId="133" numFmtId="0" xfId="0" applyAlignment="1" applyBorder="1" applyFont="1">
      <alignment horizontal="center" vertical="center"/>
    </xf>
    <xf borderId="1041" fillId="93" fontId="106" numFmtId="0" xfId="0" applyAlignment="1" applyBorder="1" applyFont="1">
      <alignment horizontal="center" vertical="center"/>
    </xf>
    <xf borderId="237" fillId="94" fontId="104" numFmtId="0" xfId="0" applyAlignment="1" applyBorder="1" applyFill="1" applyFont="1">
      <alignment horizontal="center" readingOrder="0" vertical="top"/>
    </xf>
    <xf borderId="240" fillId="94" fontId="104" numFmtId="0" xfId="0" applyAlignment="1" applyBorder="1" applyFont="1">
      <alignment horizontal="center" readingOrder="0" vertical="top"/>
    </xf>
    <xf borderId="1033" fillId="93" fontId="133" numFmtId="0" xfId="0" applyAlignment="1" applyBorder="1" applyFont="1">
      <alignment horizontal="center" vertical="center"/>
    </xf>
    <xf borderId="1068" fillId="94" fontId="104" numFmtId="0" xfId="0" applyAlignment="1" applyBorder="1" applyFont="1">
      <alignment horizontal="center" readingOrder="0" vertical="center"/>
    </xf>
    <xf borderId="1069" fillId="94" fontId="104" numFmtId="0" xfId="0" applyAlignment="1" applyBorder="1" applyFont="1">
      <alignment horizontal="center" readingOrder="0" vertical="center"/>
    </xf>
    <xf borderId="1070" fillId="94" fontId="104" numFmtId="0" xfId="0" applyAlignment="1" applyBorder="1" applyFont="1">
      <alignment horizontal="left" readingOrder="0" vertical="center"/>
    </xf>
    <xf borderId="1071" fillId="94" fontId="104" numFmtId="0" xfId="0" applyAlignment="1" applyBorder="1" applyFont="1">
      <alignment horizontal="center" readingOrder="0" vertical="center"/>
    </xf>
    <xf borderId="1041" fillId="93" fontId="106" numFmtId="0" xfId="0" applyAlignment="1" applyBorder="1" applyFont="1">
      <alignment horizontal="center" vertical="center"/>
    </xf>
    <xf borderId="1033" fillId="93" fontId="133" numFmtId="0" xfId="0" applyAlignment="1" applyBorder="1" applyFont="1">
      <alignment horizontal="center" vertical="center"/>
    </xf>
    <xf borderId="1072" fillId="94" fontId="104" numFmtId="0" xfId="0" applyAlignment="1" applyBorder="1" applyFont="1">
      <alignment horizontal="center" readingOrder="0" vertical="center"/>
    </xf>
    <xf borderId="1073" fillId="94" fontId="104" numFmtId="0" xfId="0" applyAlignment="1" applyBorder="1" applyFont="1">
      <alignment horizontal="center" readingOrder="0" vertical="center"/>
    </xf>
    <xf borderId="1074" fillId="94" fontId="104" numFmtId="0" xfId="0" applyAlignment="1" applyBorder="1" applyFont="1">
      <alignment horizontal="left" readingOrder="0" vertical="center"/>
    </xf>
    <xf borderId="1075" fillId="94" fontId="104" numFmtId="0" xfId="0" applyAlignment="1" applyBorder="1" applyFont="1">
      <alignment horizontal="center" readingOrder="0" vertical="center"/>
    </xf>
    <xf borderId="1076" fillId="94" fontId="104" numFmtId="0" xfId="0" applyAlignment="1" applyBorder="1" applyFont="1">
      <alignment horizontal="center" readingOrder="0" vertical="center"/>
    </xf>
    <xf borderId="1077" fillId="94" fontId="104" numFmtId="0" xfId="0" applyAlignment="1" applyBorder="1" applyFont="1">
      <alignment horizontal="center" readingOrder="0" vertical="center"/>
    </xf>
    <xf borderId="1078" fillId="94" fontId="104" numFmtId="0" xfId="0" applyAlignment="1" applyBorder="1" applyFont="1">
      <alignment horizontal="left" readingOrder="0" vertical="center"/>
    </xf>
    <xf borderId="1079" fillId="94" fontId="104" numFmtId="0" xfId="0" applyAlignment="1" applyBorder="1" applyFont="1">
      <alignment horizontal="center" readingOrder="0" vertical="center"/>
    </xf>
    <xf borderId="253" fillId="94" fontId="104" numFmtId="0" xfId="0" applyAlignment="1" applyBorder="1" applyFont="1">
      <alignment horizontal="right" readingOrder="0" vertical="center"/>
    </xf>
    <xf borderId="256" fillId="94" fontId="104" numFmtId="0" xfId="0" applyAlignment="1" applyBorder="1" applyFont="1">
      <alignment horizontal="center" readingOrder="0" vertical="center"/>
    </xf>
    <xf borderId="1080" fillId="93" fontId="125" numFmtId="0" xfId="0" applyAlignment="1" applyBorder="1" applyFont="1">
      <alignment horizontal="center" vertical="center"/>
    </xf>
    <xf borderId="1081" fillId="93" fontId="92" numFmtId="0" xfId="0" applyAlignment="1" applyBorder="1" applyFont="1">
      <alignment horizontal="right" readingOrder="0" vertical="center"/>
    </xf>
    <xf borderId="1081" fillId="93" fontId="138" numFmtId="0" xfId="0" applyAlignment="1" applyBorder="1" applyFont="1">
      <alignment horizontal="center" readingOrder="0" vertical="center"/>
    </xf>
    <xf borderId="1082" fillId="93" fontId="138" numFmtId="0" xfId="0" applyAlignment="1" applyBorder="1" applyFont="1">
      <alignment horizontal="center" readingOrder="0" vertical="center"/>
    </xf>
    <xf borderId="1083" fillId="93" fontId="125" numFmtId="0" xfId="0" applyAlignment="1" applyBorder="1" applyFont="1">
      <alignment horizontal="center" vertical="center"/>
    </xf>
    <xf borderId="1084" fillId="95" fontId="125" numFmtId="0" xfId="0" applyAlignment="1" applyBorder="1" applyFill="1" applyFont="1">
      <alignment horizontal="center" vertical="center"/>
    </xf>
    <xf borderId="1085" fillId="95" fontId="92" numFmtId="0" xfId="0" applyAlignment="1" applyBorder="1" applyFont="1">
      <alignment horizontal="right" readingOrder="0" vertical="center"/>
    </xf>
    <xf borderId="1085" fillId="95" fontId="138" numFmtId="0" xfId="0" applyAlignment="1" applyBorder="1" applyFont="1">
      <alignment horizontal="center" readingOrder="0" vertical="center"/>
    </xf>
    <xf borderId="1086" fillId="95" fontId="125" numFmtId="0" xfId="0" applyAlignment="1" applyBorder="1" applyFont="1">
      <alignment horizontal="center" vertical="center"/>
    </xf>
    <xf borderId="1087" fillId="95" fontId="125" numFmtId="0" xfId="0" applyAlignment="1" applyBorder="1" applyFont="1">
      <alignment horizontal="center" vertical="center"/>
    </xf>
    <xf borderId="1088" fillId="95" fontId="94" numFmtId="0" xfId="0" applyAlignment="1" applyBorder="1" applyFont="1">
      <alignment horizontal="right" vertical="center"/>
    </xf>
    <xf borderId="1089" fillId="95" fontId="125" numFmtId="0" xfId="0" applyAlignment="1" applyBorder="1" applyFont="1">
      <alignment horizontal="center" vertical="center"/>
    </xf>
    <xf borderId="1090" fillId="95" fontId="139" numFmtId="0" xfId="0" applyAlignment="1" applyBorder="1" applyFont="1">
      <alignment horizontal="left" readingOrder="0" vertical="center"/>
    </xf>
    <xf borderId="1091" fillId="0" fontId="4" numFmtId="0" xfId="0" applyBorder="1" applyFont="1"/>
    <xf borderId="1092" fillId="0" fontId="4" numFmtId="0" xfId="0" applyBorder="1" applyFont="1"/>
    <xf borderId="1093" fillId="95" fontId="125" numFmtId="0" xfId="0" applyAlignment="1" applyBorder="1" applyFont="1">
      <alignment horizontal="center" vertical="center"/>
    </xf>
    <xf borderId="1094" fillId="95" fontId="125" numFmtId="0" xfId="0" applyAlignment="1" applyBorder="1" applyFont="1">
      <alignment horizontal="center" vertical="center"/>
    </xf>
    <xf borderId="905" fillId="55" fontId="94" numFmtId="0" xfId="0" applyAlignment="1" applyBorder="1" applyFont="1">
      <alignment horizontal="right" vertical="center"/>
    </xf>
    <xf borderId="1095" fillId="95" fontId="127" numFmtId="0" xfId="0" applyAlignment="1" applyBorder="1" applyFont="1">
      <alignment horizontal="center" vertical="center"/>
    </xf>
    <xf borderId="191" fillId="55" fontId="127" numFmtId="0" xfId="0" applyAlignment="1" applyBorder="1" applyFont="1">
      <alignment horizontal="center" vertical="center"/>
    </xf>
    <xf borderId="1096" fillId="95" fontId="125" numFmtId="0" xfId="0" applyAlignment="1" applyBorder="1" applyFont="1">
      <alignment horizontal="center" vertical="center"/>
    </xf>
    <xf borderId="1094" fillId="95" fontId="110" numFmtId="0" xfId="0" applyAlignment="1" applyBorder="1" applyFont="1">
      <alignment horizontal="center" vertical="center"/>
    </xf>
    <xf borderId="762" fillId="95" fontId="94" numFmtId="0" xfId="0" applyAlignment="1" applyBorder="1" applyFont="1">
      <alignment horizontal="right" readingOrder="0" vertical="center"/>
    </xf>
    <xf borderId="1095" fillId="95" fontId="110" numFmtId="0" xfId="0" applyAlignment="1" applyBorder="1" applyFont="1">
      <alignment horizontal="center" readingOrder="0" vertical="center"/>
    </xf>
    <xf borderId="1097" fillId="95" fontId="112" numFmtId="0" xfId="0" applyAlignment="1" applyBorder="1" applyFont="1">
      <alignment horizontal="center" readingOrder="0" vertical="center"/>
    </xf>
    <xf borderId="1098" fillId="0" fontId="4" numFmtId="0" xfId="0" applyBorder="1" applyFont="1"/>
    <xf borderId="1099" fillId="0" fontId="4" numFmtId="0" xfId="0" applyBorder="1" applyFont="1"/>
    <xf borderId="1095" fillId="95" fontId="140" numFmtId="0" xfId="0" applyAlignment="1" applyBorder="1" applyFont="1">
      <alignment horizontal="center" readingOrder="0" vertical="center"/>
    </xf>
    <xf borderId="1096" fillId="95" fontId="110" numFmtId="0" xfId="0" applyAlignment="1" applyBorder="1" applyFont="1">
      <alignment horizontal="center" vertical="center"/>
    </xf>
    <xf borderId="1094" fillId="95" fontId="127" numFmtId="0" xfId="0" applyAlignment="1" applyBorder="1" applyFont="1">
      <alignment horizontal="center" vertical="center"/>
    </xf>
    <xf borderId="1095" fillId="95" fontId="127" numFmtId="0" xfId="0" applyAlignment="1" applyBorder="1" applyFont="1">
      <alignment horizontal="center" readingOrder="0" vertical="center"/>
    </xf>
    <xf borderId="1100" fillId="95" fontId="114" numFmtId="0" xfId="0" applyAlignment="1" applyBorder="1" applyFont="1">
      <alignment horizontal="center" readingOrder="0" vertical="top"/>
    </xf>
    <xf borderId="1095" fillId="0" fontId="4" numFmtId="0" xfId="0" applyBorder="1" applyFont="1"/>
    <xf borderId="1101" fillId="0" fontId="4" numFmtId="0" xfId="0" applyBorder="1" applyFont="1"/>
    <xf borderId="1095" fillId="95" fontId="112" numFmtId="0" xfId="0" applyAlignment="1" applyBorder="1" applyFont="1">
      <alignment horizontal="center" readingOrder="0" vertical="center"/>
    </xf>
    <xf borderId="1096" fillId="95" fontId="127" numFmtId="0" xfId="0" applyAlignment="1" applyBorder="1" applyFont="1">
      <alignment horizontal="center" vertical="center"/>
    </xf>
    <xf borderId="1095" fillId="95" fontId="125" numFmtId="0" xfId="0" applyAlignment="1" applyBorder="1" applyFont="1">
      <alignment horizontal="center" vertical="center"/>
    </xf>
    <xf borderId="1102" fillId="95" fontId="140" numFmtId="0" xfId="0" applyAlignment="1" applyBorder="1" applyFont="1">
      <alignment horizontal="center" vertical="center"/>
    </xf>
    <xf borderId="1103" fillId="95" fontId="132" numFmtId="0" xfId="0" applyAlignment="1" applyBorder="1" applyFont="1">
      <alignment horizontal="right" vertical="top"/>
    </xf>
    <xf borderId="1103" fillId="95" fontId="132" numFmtId="0" xfId="0" applyAlignment="1" applyBorder="1" applyFont="1">
      <alignment horizontal="left" vertical="top"/>
    </xf>
    <xf borderId="1104" fillId="95" fontId="140" numFmtId="0" xfId="0" applyAlignment="1" applyBorder="1" applyFont="1">
      <alignment horizontal="center" vertical="top"/>
    </xf>
    <xf borderId="1105" fillId="95" fontId="140" numFmtId="0" xfId="0" applyAlignment="1" applyBorder="1" applyFont="1">
      <alignment horizontal="center" vertical="center"/>
    </xf>
    <xf borderId="1106" fillId="95" fontId="140" numFmtId="0" xfId="0" applyAlignment="1" applyBorder="1" applyFont="1">
      <alignment horizontal="center" vertical="center"/>
    </xf>
    <xf borderId="1107" fillId="95" fontId="140" numFmtId="0" xfId="0" applyAlignment="1" applyBorder="1" applyFont="1">
      <alignment horizontal="center" vertical="top"/>
    </xf>
    <xf borderId="1108" fillId="95" fontId="140" numFmtId="0" xfId="0" applyAlignment="1" applyBorder="1" applyFont="1">
      <alignment horizontal="center" vertical="center"/>
    </xf>
    <xf borderId="1105" fillId="95" fontId="132" numFmtId="0" xfId="0" applyAlignment="1" applyBorder="1" applyFont="1">
      <alignment horizontal="center" vertical="top"/>
    </xf>
    <xf borderId="1109" fillId="0" fontId="4" numFmtId="0" xfId="0" applyBorder="1" applyFont="1"/>
    <xf borderId="1110" fillId="95" fontId="140" numFmtId="0" xfId="0" applyAlignment="1" applyBorder="1" applyFont="1">
      <alignment horizontal="center" vertical="top"/>
    </xf>
    <xf borderId="1085" fillId="95" fontId="94" numFmtId="0" xfId="0" applyAlignment="1" applyBorder="1" applyFont="1">
      <alignment horizontal="right" vertical="center"/>
    </xf>
    <xf borderId="1105" fillId="95" fontId="125" numFmtId="0" xfId="0" applyAlignment="1" applyBorder="1" applyFont="1">
      <alignment horizontal="center" vertical="center"/>
    </xf>
    <xf borderId="1111" fillId="95" fontId="140" numFmtId="0" xfId="0" applyAlignment="1" applyBorder="1" applyFont="1">
      <alignment horizontal="center" vertical="center"/>
    </xf>
    <xf borderId="1112" fillId="95" fontId="140" numFmtId="0" xfId="0" applyAlignment="1" applyBorder="1" applyFont="1">
      <alignment horizontal="center" vertical="top"/>
    </xf>
    <xf borderId="1113" fillId="95" fontId="140" numFmtId="0" xfId="0" applyAlignment="1" applyBorder="1" applyFont="1">
      <alignment horizontal="center" vertical="top"/>
    </xf>
    <xf borderId="1114" fillId="95" fontId="140" numFmtId="0" xfId="0" applyAlignment="1" applyBorder="1" applyFont="1">
      <alignment horizontal="center" vertical="center"/>
    </xf>
    <xf borderId="1115" fillId="95" fontId="140" numFmtId="0" xfId="0" applyAlignment="1" applyBorder="1" applyFont="1">
      <alignment horizontal="center" vertical="top"/>
    </xf>
    <xf borderId="1116" fillId="95" fontId="140" numFmtId="0" xfId="0" applyAlignment="1" applyBorder="1" applyFont="1">
      <alignment horizontal="center" vertical="top"/>
    </xf>
    <xf borderId="1103" fillId="95" fontId="94" numFmtId="0" xfId="0" applyAlignment="1" applyBorder="1" applyFont="1">
      <alignment horizontal="right" vertical="center"/>
    </xf>
    <xf borderId="1117" fillId="95" fontId="110" numFmtId="0" xfId="0" applyAlignment="1" applyBorder="1" applyFont="1">
      <alignment horizontal="center" readingOrder="0" vertical="center"/>
    </xf>
    <xf borderId="1118" fillId="0" fontId="4" numFmtId="0" xfId="0" applyBorder="1" applyFont="1"/>
    <xf borderId="1119" fillId="0" fontId="4" numFmtId="0" xfId="0" applyBorder="1" applyFont="1"/>
    <xf borderId="1089" fillId="95" fontId="94" numFmtId="0" xfId="0" applyAlignment="1" applyBorder="1" applyFont="1">
      <alignment horizontal="right" vertical="center"/>
    </xf>
    <xf borderId="1100" fillId="95" fontId="110" numFmtId="0" xfId="0" applyAlignment="1" applyBorder="1" applyFont="1">
      <alignment horizontal="center" readingOrder="0" vertical="center"/>
    </xf>
    <xf borderId="1120" fillId="0" fontId="4" numFmtId="0" xfId="0" applyBorder="1" applyFont="1"/>
    <xf borderId="1121" fillId="95" fontId="110" numFmtId="0" xfId="0" applyAlignment="1" applyBorder="1" applyFont="1">
      <alignment horizontal="center" readingOrder="0" vertical="center"/>
    </xf>
    <xf borderId="1122" fillId="95" fontId="110" numFmtId="0" xfId="0" applyAlignment="1" applyBorder="1" applyFont="1">
      <alignment horizontal="center" readingOrder="0" vertical="center"/>
    </xf>
    <xf borderId="1085" fillId="0" fontId="4" numFmtId="0" xfId="0" applyBorder="1" applyFont="1"/>
    <xf borderId="1123" fillId="95" fontId="110" numFmtId="0" xfId="0" applyAlignment="1" applyBorder="1" applyFont="1">
      <alignment horizontal="center" readingOrder="0" vertical="center"/>
    </xf>
    <xf borderId="1104" fillId="95" fontId="110" numFmtId="0" xfId="0" applyAlignment="1" applyBorder="1" applyFont="1">
      <alignment horizontal="center" readingOrder="0" vertical="center"/>
    </xf>
    <xf borderId="1124" fillId="95" fontId="110" numFmtId="0" xfId="0" applyAlignment="1" applyBorder="1" applyFont="1">
      <alignment horizontal="center" readingOrder="0" vertical="center"/>
    </xf>
    <xf borderId="1125" fillId="0" fontId="4" numFmtId="0" xfId="0" applyBorder="1" applyFont="1"/>
    <xf borderId="1126" fillId="95" fontId="110" numFmtId="0" xfId="0" applyAlignment="1" applyBorder="1" applyFont="1">
      <alignment horizontal="center" readingOrder="0" vertical="center"/>
    </xf>
    <xf borderId="1087" fillId="95" fontId="124" numFmtId="0" xfId="0" applyAlignment="1" applyBorder="1" applyFont="1">
      <alignment horizontal="center" vertical="center"/>
    </xf>
    <xf borderId="1103" fillId="95" fontId="92" numFmtId="0" xfId="0" applyAlignment="1" applyBorder="1" applyFont="1">
      <alignment horizontal="right" vertical="center"/>
    </xf>
    <xf borderId="1103" fillId="95" fontId="131" numFmtId="0" xfId="0" applyAlignment="1" applyBorder="1" applyFont="1">
      <alignment horizontal="center" vertical="center"/>
    </xf>
    <xf borderId="1120" fillId="95" fontId="131" numFmtId="0" xfId="0" applyAlignment="1" applyBorder="1" applyFont="1">
      <alignment horizontal="center" vertical="center"/>
    </xf>
    <xf borderId="1127" fillId="95" fontId="131" numFmtId="0" xfId="0" applyAlignment="1" applyBorder="1" applyFont="1">
      <alignment horizontal="center" vertical="center"/>
    </xf>
    <xf borderId="1127" fillId="95" fontId="109" numFmtId="0" xfId="0" applyAlignment="1" applyBorder="1" applyFont="1">
      <alignment horizontal="center" vertical="center"/>
    </xf>
    <xf borderId="1127" fillId="95" fontId="132" numFmtId="0" xfId="0" applyAlignment="1" applyBorder="1" applyFont="1">
      <alignment horizontal="center" vertical="center"/>
    </xf>
    <xf borderId="1128" fillId="95" fontId="132" numFmtId="0" xfId="0" applyAlignment="1" applyBorder="1" applyFont="1">
      <alignment horizontal="center" vertical="center"/>
    </xf>
    <xf borderId="1093" fillId="95" fontId="124" numFmtId="0" xfId="0" applyAlignment="1" applyBorder="1" applyFont="1">
      <alignment horizontal="center" vertical="center"/>
    </xf>
    <xf borderId="1087" fillId="95" fontId="133" numFmtId="0" xfId="0" applyAlignment="1" applyBorder="1" applyFont="1">
      <alignment horizontal="center" vertical="center"/>
    </xf>
    <xf borderId="1105" fillId="95" fontId="106" numFmtId="0" xfId="0" applyAlignment="1" applyBorder="1" applyFont="1">
      <alignment horizontal="center" vertical="center"/>
    </xf>
    <xf borderId="237" fillId="96" fontId="104" numFmtId="0" xfId="0" applyAlignment="1" applyBorder="1" applyFill="1" applyFont="1">
      <alignment horizontal="center" readingOrder="0" vertical="top"/>
    </xf>
    <xf borderId="240" fillId="96" fontId="104" numFmtId="0" xfId="0" applyAlignment="1" applyBorder="1" applyFont="1">
      <alignment horizontal="center" readingOrder="0" vertical="top"/>
    </xf>
    <xf borderId="1096" fillId="95" fontId="133" numFmtId="0" xfId="0" applyAlignment="1" applyBorder="1" applyFont="1">
      <alignment horizontal="center" vertical="center"/>
    </xf>
    <xf borderId="1129" fillId="96" fontId="104" numFmtId="0" xfId="0" applyAlignment="1" applyBorder="1" applyFont="1">
      <alignment horizontal="center" readingOrder="0" vertical="center"/>
    </xf>
    <xf borderId="1130" fillId="96" fontId="104" numFmtId="0" xfId="0" applyAlignment="1" applyBorder="1" applyFont="1">
      <alignment horizontal="center" readingOrder="0" vertical="center"/>
    </xf>
    <xf borderId="1131" fillId="96" fontId="104" numFmtId="0" xfId="0" applyAlignment="1" applyBorder="1" applyFont="1">
      <alignment horizontal="left" readingOrder="0" vertical="center"/>
    </xf>
    <xf borderId="1132" fillId="96" fontId="104" numFmtId="0" xfId="0" applyAlignment="1" applyBorder="1" applyFont="1">
      <alignment horizontal="center" readingOrder="0" vertical="center"/>
    </xf>
    <xf borderId="1105" fillId="95" fontId="106" numFmtId="0" xfId="0" applyAlignment="1" applyBorder="1" applyFont="1">
      <alignment horizontal="center" vertical="center"/>
    </xf>
    <xf borderId="1096" fillId="95" fontId="133" numFmtId="0" xfId="0" applyAlignment="1" applyBorder="1" applyFont="1">
      <alignment horizontal="center" vertical="center"/>
    </xf>
    <xf borderId="1133" fillId="96" fontId="104" numFmtId="0" xfId="0" applyAlignment="1" applyBorder="1" applyFont="1">
      <alignment horizontal="center" readingOrder="0" vertical="center"/>
    </xf>
    <xf borderId="1134" fillId="96" fontId="104" numFmtId="0" xfId="0" applyAlignment="1" applyBorder="1" applyFont="1">
      <alignment horizontal="center" readingOrder="0" vertical="center"/>
    </xf>
    <xf borderId="1135" fillId="96" fontId="104" numFmtId="0" xfId="0" applyAlignment="1" applyBorder="1" applyFont="1">
      <alignment horizontal="left" readingOrder="0" vertical="center"/>
    </xf>
    <xf borderId="1136" fillId="96" fontId="104" numFmtId="0" xfId="0" applyAlignment="1" applyBorder="1" applyFont="1">
      <alignment horizontal="center" readingOrder="0" vertical="center"/>
    </xf>
    <xf borderId="1137" fillId="96" fontId="104" numFmtId="0" xfId="0" applyAlignment="1" applyBorder="1" applyFont="1">
      <alignment horizontal="center" readingOrder="0" vertical="center"/>
    </xf>
    <xf borderId="1138" fillId="96" fontId="104" numFmtId="0" xfId="0" applyAlignment="1" applyBorder="1" applyFont="1">
      <alignment horizontal="center" readingOrder="0" vertical="center"/>
    </xf>
    <xf borderId="1139" fillId="96" fontId="104" numFmtId="0" xfId="0" applyAlignment="1" applyBorder="1" applyFont="1">
      <alignment horizontal="left" readingOrder="0" vertical="center"/>
    </xf>
    <xf borderId="1140" fillId="96" fontId="104" numFmtId="0" xfId="0" applyAlignment="1" applyBorder="1" applyFont="1">
      <alignment horizontal="center" readingOrder="0" vertical="center"/>
    </xf>
    <xf borderId="253" fillId="96" fontId="104" numFmtId="0" xfId="0" applyAlignment="1" applyBorder="1" applyFont="1">
      <alignment horizontal="right" readingOrder="0" vertical="center"/>
    </xf>
    <xf borderId="256" fillId="96" fontId="104" numFmtId="0" xfId="0" applyAlignment="1" applyBorder="1" applyFont="1">
      <alignment horizontal="center" readingOrder="0" vertical="center"/>
    </xf>
    <xf borderId="543" fillId="96" fontId="104" numFmtId="0" xfId="0" applyAlignment="1" applyBorder="1" applyFont="1">
      <alignment horizontal="right" readingOrder="0" vertical="center"/>
    </xf>
    <xf borderId="546" fillId="96" fontId="104" numFmtId="0" xfId="0" applyAlignment="1" applyBorder="1" applyFont="1">
      <alignment horizontal="center" readingOrder="0" vertical="center"/>
    </xf>
    <xf borderId="1103" fillId="95" fontId="106" numFmtId="0" xfId="0" applyAlignment="1" applyBorder="1" applyFont="1">
      <alignment horizontal="center" vertical="center"/>
    </xf>
    <xf borderId="1085" fillId="95" fontId="106" numFmtId="0" xfId="0" applyAlignment="1" applyBorder="1" applyFont="1">
      <alignment horizontal="center" vertical="center"/>
    </xf>
    <xf borderId="548" fillId="96" fontId="104" numFmtId="0" xfId="0" applyAlignment="1" applyBorder="1" applyFont="1">
      <alignment horizontal="right" readingOrder="0" vertical="center"/>
    </xf>
    <xf borderId="551" fillId="96" fontId="104" numFmtId="0" xfId="0" applyAlignment="1" applyBorder="1" applyFont="1">
      <alignment horizontal="center" readingOrder="0" vertical="center"/>
    </xf>
    <xf borderId="1141" fillId="95" fontId="125" numFmtId="0" xfId="0" applyAlignment="1" applyBorder="1" applyFont="1">
      <alignment horizontal="center" vertical="center"/>
    </xf>
    <xf borderId="1142" fillId="95" fontId="94" numFmtId="0" xfId="0" applyAlignment="1" applyBorder="1" applyFont="1">
      <alignment horizontal="right" vertical="center"/>
    </xf>
    <xf borderId="1142" fillId="95" fontId="125" numFmtId="0" xfId="0" applyAlignment="1" applyBorder="1" applyFont="1">
      <alignment horizontal="center" vertical="center"/>
    </xf>
    <xf borderId="1142" fillId="95" fontId="125" numFmtId="0" xfId="0" applyAlignment="1" applyBorder="1" applyFont="1">
      <alignment horizontal="center" readingOrder="0" vertical="center"/>
    </xf>
    <xf borderId="1143" fillId="95" fontId="125" numFmtId="0" xfId="0" applyAlignment="1" applyBorder="1" applyFont="1">
      <alignment horizontal="center" readingOrder="0" vertical="center"/>
    </xf>
    <xf borderId="1144" fillId="95" fontId="125" numFmtId="0" xfId="0" applyAlignment="1" applyBorder="1" applyFont="1">
      <alignment horizontal="center" vertical="center"/>
    </xf>
    <xf borderId="1145" fillId="97" fontId="125" numFmtId="0" xfId="0" applyAlignment="1" applyBorder="1" applyFill="1" applyFont="1">
      <alignment horizontal="center" vertical="center"/>
    </xf>
    <xf borderId="1146" fillId="97" fontId="92" numFmtId="0" xfId="0" applyAlignment="1" applyBorder="1" applyFont="1">
      <alignment horizontal="right" readingOrder="0" vertical="center"/>
    </xf>
    <xf borderId="1146" fillId="97" fontId="138" numFmtId="0" xfId="0" applyAlignment="1" applyBorder="1" applyFont="1">
      <alignment horizontal="center" readingOrder="0" vertical="center"/>
    </xf>
    <xf borderId="1147" fillId="97" fontId="125" numFmtId="0" xfId="0" applyAlignment="1" applyBorder="1" applyFont="1">
      <alignment horizontal="center" vertical="center"/>
    </xf>
    <xf borderId="1148" fillId="97" fontId="125" numFmtId="0" xfId="0" applyAlignment="1" applyBorder="1" applyFont="1">
      <alignment horizontal="center" vertical="center"/>
    </xf>
    <xf borderId="1149" fillId="97" fontId="94" numFmtId="0" xfId="0" applyAlignment="1" applyBorder="1" applyFont="1">
      <alignment horizontal="right" vertical="center"/>
    </xf>
    <xf borderId="1149" fillId="97" fontId="125" numFmtId="0" xfId="0" applyAlignment="1" applyBorder="1" applyFont="1">
      <alignment horizontal="center" vertical="center"/>
    </xf>
    <xf borderId="1150" fillId="97" fontId="125" numFmtId="0" xfId="0" applyAlignment="1" applyBorder="1" applyFont="1">
      <alignment horizontal="center" vertical="center"/>
    </xf>
    <xf borderId="1151" fillId="97" fontId="94" numFmtId="0" xfId="0" applyAlignment="1" applyBorder="1" applyFont="1">
      <alignment horizontal="right" readingOrder="0" vertical="center"/>
    </xf>
    <xf borderId="1149" fillId="97" fontId="136" numFmtId="0" xfId="0" applyAlignment="1" applyBorder="1" applyFont="1">
      <alignment horizontal="center" readingOrder="0" vertical="center"/>
    </xf>
    <xf borderId="1151" fillId="97" fontId="136" numFmtId="0" xfId="0" applyAlignment="1" applyBorder="1" applyFont="1">
      <alignment horizontal="center" readingOrder="0" vertical="center"/>
    </xf>
    <xf borderId="1152" fillId="97" fontId="125" numFmtId="0" xfId="0" applyAlignment="1" applyBorder="1" applyFont="1">
      <alignment horizontal="center" vertical="center"/>
    </xf>
    <xf borderId="905" fillId="57" fontId="94" numFmtId="0" xfId="0" applyAlignment="1" applyBorder="1" applyFont="1">
      <alignment horizontal="right" vertical="center"/>
    </xf>
    <xf borderId="1153" fillId="97" fontId="127" numFmtId="0" xfId="0" applyAlignment="1" applyBorder="1" applyFont="1">
      <alignment horizontal="center" vertical="center"/>
    </xf>
    <xf borderId="191" fillId="57" fontId="119" numFmtId="0" xfId="0" applyAlignment="1" applyBorder="1" applyFont="1">
      <alignment horizontal="center" vertical="center"/>
    </xf>
    <xf borderId="1153" fillId="97" fontId="119" numFmtId="0" xfId="0" applyAlignment="1" applyBorder="1" applyFont="1">
      <alignment horizontal="center" vertical="center"/>
    </xf>
    <xf borderId="1154" fillId="97" fontId="125" numFmtId="0" xfId="0" applyAlignment="1" applyBorder="1" applyFont="1">
      <alignment horizontal="center" vertical="center"/>
    </xf>
    <xf borderId="1152" fillId="97" fontId="110" numFmtId="0" xfId="0" applyAlignment="1" applyBorder="1" applyFont="1">
      <alignment horizontal="center" vertical="center"/>
    </xf>
    <xf borderId="762" fillId="97" fontId="94" numFmtId="0" xfId="0" applyAlignment="1" applyBorder="1" applyFont="1">
      <alignment horizontal="right" readingOrder="0" vertical="center"/>
    </xf>
    <xf borderId="1153" fillId="97" fontId="110" numFmtId="0" xfId="0" applyAlignment="1" applyBorder="1" applyFont="1">
      <alignment horizontal="center" readingOrder="0" vertical="center"/>
    </xf>
    <xf borderId="1155" fillId="97" fontId="112" numFmtId="0" xfId="0" applyAlignment="1" applyBorder="1" applyFont="1">
      <alignment horizontal="center" readingOrder="0" vertical="center"/>
    </xf>
    <xf borderId="1156" fillId="0" fontId="4" numFmtId="0" xfId="0" applyBorder="1" applyFont="1"/>
    <xf borderId="1157" fillId="0" fontId="4" numFmtId="0" xfId="0" applyBorder="1" applyFont="1"/>
    <xf borderId="1154" fillId="97" fontId="110" numFmtId="0" xfId="0" applyAlignment="1" applyBorder="1" applyFont="1">
      <alignment horizontal="center" vertical="center"/>
    </xf>
    <xf borderId="1152" fillId="97" fontId="127" numFmtId="0" xfId="0" applyAlignment="1" applyBorder="1" applyFont="1">
      <alignment horizontal="center" vertical="center"/>
    </xf>
    <xf borderId="1153" fillId="97" fontId="127" numFmtId="0" xfId="0" applyAlignment="1" applyBorder="1" applyFont="1">
      <alignment horizontal="center" readingOrder="0" vertical="center"/>
    </xf>
    <xf borderId="1158" fillId="97" fontId="114" numFmtId="0" xfId="0" applyAlignment="1" applyBorder="1" applyFont="1">
      <alignment horizontal="center" readingOrder="0" vertical="top"/>
    </xf>
    <xf borderId="1153" fillId="0" fontId="4" numFmtId="0" xfId="0" applyBorder="1" applyFont="1"/>
    <xf borderId="1159" fillId="0" fontId="4" numFmtId="0" xfId="0" applyBorder="1" applyFont="1"/>
    <xf borderId="1153" fillId="97" fontId="119" numFmtId="0" xfId="0" applyAlignment="1" applyBorder="1" applyFont="1">
      <alignment horizontal="center" readingOrder="0" vertical="center"/>
    </xf>
    <xf borderId="1154" fillId="97" fontId="127" numFmtId="0" xfId="0" applyAlignment="1" applyBorder="1" applyFont="1">
      <alignment horizontal="center" vertical="center"/>
    </xf>
    <xf borderId="1153" fillId="97" fontId="125" numFmtId="0" xfId="0" applyAlignment="1" applyBorder="1" applyFont="1">
      <alignment horizontal="center" vertical="center"/>
    </xf>
    <xf borderId="1160" fillId="97" fontId="110" numFmtId="0" xfId="0" applyAlignment="1" applyBorder="1" applyFont="1">
      <alignment horizontal="center" vertical="center"/>
    </xf>
    <xf borderId="1149" fillId="97" fontId="115" numFmtId="0" xfId="0" applyAlignment="1" applyBorder="1" applyFont="1">
      <alignment horizontal="right" vertical="top"/>
    </xf>
    <xf borderId="1149" fillId="97" fontId="115" numFmtId="0" xfId="0" applyAlignment="1" applyBorder="1" applyFont="1">
      <alignment horizontal="left" vertical="top"/>
    </xf>
    <xf borderId="1161" fillId="97" fontId="110" numFmtId="0" xfId="0" applyAlignment="1" applyBorder="1" applyFont="1">
      <alignment horizontal="center" vertical="top"/>
    </xf>
    <xf borderId="1162" fillId="97" fontId="110" numFmtId="0" xfId="0" applyAlignment="1" applyBorder="1" applyFont="1">
      <alignment horizontal="center" vertical="center"/>
    </xf>
    <xf borderId="1163" fillId="97" fontId="110" numFmtId="0" xfId="0" applyAlignment="1" applyBorder="1" applyFont="1">
      <alignment horizontal="center" vertical="top"/>
    </xf>
    <xf borderId="1162" fillId="97" fontId="115" numFmtId="0" xfId="0" applyAlignment="1" applyBorder="1" applyFont="1">
      <alignment horizontal="center" vertical="top"/>
    </xf>
    <xf borderId="1164" fillId="0" fontId="4" numFmtId="0" xfId="0" applyBorder="1" applyFont="1"/>
    <xf borderId="1165" fillId="97" fontId="110" numFmtId="0" xfId="0" applyAlignment="1" applyBorder="1" applyFont="1">
      <alignment horizontal="center" vertical="top"/>
    </xf>
    <xf borderId="1166" fillId="97" fontId="110" numFmtId="0" xfId="0" applyAlignment="1" applyBorder="1" applyFont="1">
      <alignment horizontal="center" vertical="top"/>
    </xf>
    <xf borderId="1167" fillId="97" fontId="110" numFmtId="0" xfId="0" applyAlignment="1" applyBorder="1" applyFont="1">
      <alignment horizontal="center" vertical="top"/>
    </xf>
    <xf borderId="1167" fillId="97" fontId="110" numFmtId="0" xfId="0" applyAlignment="1" applyBorder="1" applyFont="1">
      <alignment horizontal="center" vertical="center"/>
    </xf>
    <xf borderId="1146" fillId="97" fontId="94" numFmtId="0" xfId="0" applyAlignment="1" applyBorder="1" applyFont="1">
      <alignment horizontal="right" vertical="center"/>
    </xf>
    <xf borderId="1162" fillId="97" fontId="125" numFmtId="0" xfId="0" applyAlignment="1" applyBorder="1" applyFont="1">
      <alignment horizontal="center" vertical="center"/>
    </xf>
    <xf borderId="1168" fillId="97" fontId="110" numFmtId="0" xfId="0" applyAlignment="1" applyBorder="1" applyFont="1">
      <alignment horizontal="center" vertical="center"/>
    </xf>
    <xf borderId="1169" fillId="97" fontId="110" numFmtId="0" xfId="0" applyAlignment="1" applyBorder="1" applyFont="1">
      <alignment horizontal="center" vertical="top"/>
    </xf>
    <xf borderId="1170" fillId="97" fontId="110" numFmtId="0" xfId="0" applyAlignment="1" applyBorder="1" applyFont="1">
      <alignment horizontal="center" vertical="top"/>
    </xf>
    <xf borderId="1171" fillId="97" fontId="110" numFmtId="0" xfId="0" applyAlignment="1" applyBorder="1" applyFont="1">
      <alignment horizontal="center" vertical="top"/>
    </xf>
    <xf borderId="1172" fillId="97" fontId="110" numFmtId="0" xfId="0" applyAlignment="1" applyBorder="1" applyFont="1">
      <alignment horizontal="center" vertical="top"/>
    </xf>
    <xf borderId="1173" fillId="97" fontId="110" numFmtId="0" xfId="0" applyAlignment="1" applyBorder="1" applyFont="1">
      <alignment horizontal="center" vertical="top"/>
    </xf>
    <xf borderId="1172" fillId="97" fontId="110" numFmtId="0" xfId="0" applyAlignment="1" applyBorder="1" applyFont="1">
      <alignment horizontal="center" vertical="center"/>
    </xf>
    <xf borderId="1174" fillId="97" fontId="110" numFmtId="0" xfId="0" applyAlignment="1" applyBorder="1" applyFont="1">
      <alignment horizontal="center" readingOrder="0" vertical="center"/>
    </xf>
    <xf borderId="1175" fillId="0" fontId="4" numFmtId="0" xfId="0" applyBorder="1" applyFont="1"/>
    <xf borderId="1176" fillId="0" fontId="4" numFmtId="0" xfId="0" applyBorder="1" applyFont="1"/>
    <xf borderId="1151" fillId="97" fontId="94" numFmtId="0" xfId="0" applyAlignment="1" applyBorder="1" applyFont="1">
      <alignment horizontal="right" vertical="center"/>
    </xf>
    <xf borderId="1158" fillId="97" fontId="110" numFmtId="0" xfId="0" applyAlignment="1" applyBorder="1" applyFont="1">
      <alignment horizontal="center" readingOrder="0" vertical="center"/>
    </xf>
    <xf borderId="1177" fillId="0" fontId="4" numFmtId="0" xfId="0" applyBorder="1" applyFont="1"/>
    <xf borderId="1178" fillId="97" fontId="110" numFmtId="0" xfId="0" applyAlignment="1" applyBorder="1" applyFont="1">
      <alignment horizontal="center" readingOrder="0" vertical="center"/>
    </xf>
    <xf borderId="1179" fillId="0" fontId="4" numFmtId="0" xfId="0" applyBorder="1" applyFont="1"/>
    <xf borderId="1180" fillId="0" fontId="4" numFmtId="0" xfId="0" applyBorder="1" applyFont="1"/>
    <xf borderId="1181" fillId="97" fontId="110" numFmtId="0" xfId="0" applyAlignment="1" applyBorder="1" applyFont="1">
      <alignment horizontal="center" vertical="center"/>
    </xf>
    <xf borderId="1146" fillId="0" fontId="4" numFmtId="0" xfId="0" applyBorder="1" applyFont="1"/>
    <xf borderId="1182" fillId="97" fontId="110" numFmtId="0" xfId="0" applyAlignment="1" applyBorder="1" applyFont="1">
      <alignment horizontal="center" readingOrder="0" vertical="center"/>
    </xf>
    <xf borderId="1161" fillId="97" fontId="110" numFmtId="0" xfId="0" applyAlignment="1" applyBorder="1" applyFont="1">
      <alignment horizontal="center" readingOrder="0" vertical="center"/>
    </xf>
    <xf borderId="1183" fillId="97" fontId="110" numFmtId="0" xfId="0" applyAlignment="1" applyBorder="1" applyFont="1">
      <alignment horizontal="center" readingOrder="0" vertical="center"/>
    </xf>
    <xf borderId="1184" fillId="0" fontId="4" numFmtId="0" xfId="0" applyBorder="1" applyFont="1"/>
    <xf borderId="1185" fillId="97" fontId="110" numFmtId="0" xfId="0" applyAlignment="1" applyBorder="1" applyFont="1">
      <alignment horizontal="center" readingOrder="0" vertical="center"/>
    </xf>
    <xf borderId="1148" fillId="97" fontId="124" numFmtId="0" xfId="0" applyAlignment="1" applyBorder="1" applyFont="1">
      <alignment horizontal="center" vertical="center"/>
    </xf>
    <xf borderId="1149" fillId="97" fontId="92" numFmtId="0" xfId="0" applyAlignment="1" applyBorder="1" applyFont="1">
      <alignment horizontal="right" vertical="center"/>
    </xf>
    <xf borderId="1186" fillId="97" fontId="131" numFmtId="0" xfId="0" applyAlignment="1" applyBorder="1" applyFont="1">
      <alignment horizontal="center" vertical="center"/>
    </xf>
    <xf borderId="1187" fillId="97" fontId="124" numFmtId="0" xfId="0" applyAlignment="1" applyBorder="1" applyFont="1">
      <alignment horizontal="center" vertical="center"/>
    </xf>
    <xf borderId="1148" fillId="97" fontId="133" numFmtId="0" xfId="0" applyAlignment="1" applyBorder="1" applyFont="1">
      <alignment horizontal="center" vertical="center"/>
    </xf>
    <xf borderId="1162" fillId="97" fontId="106" numFmtId="0" xfId="0" applyAlignment="1" applyBorder="1" applyFont="1">
      <alignment horizontal="center" vertical="center"/>
    </xf>
    <xf borderId="237" fillId="98" fontId="104" numFmtId="0" xfId="0" applyAlignment="1" applyBorder="1" applyFill="1" applyFont="1">
      <alignment horizontal="center" readingOrder="0" vertical="top"/>
    </xf>
    <xf borderId="240" fillId="98" fontId="104" numFmtId="0" xfId="0" applyAlignment="1" applyBorder="1" applyFont="1">
      <alignment horizontal="center" readingOrder="0" vertical="top"/>
    </xf>
    <xf borderId="1154" fillId="97" fontId="133" numFmtId="0" xfId="0" applyAlignment="1" applyBorder="1" applyFont="1">
      <alignment horizontal="center" vertical="center"/>
    </xf>
    <xf borderId="1188" fillId="98" fontId="104" numFmtId="0" xfId="0" applyAlignment="1" applyBorder="1" applyFont="1">
      <alignment horizontal="center" readingOrder="0" vertical="center"/>
    </xf>
    <xf borderId="1189" fillId="98" fontId="104" numFmtId="0" xfId="0" applyAlignment="1" applyBorder="1" applyFont="1">
      <alignment horizontal="center" readingOrder="0" vertical="center"/>
    </xf>
    <xf borderId="1190" fillId="98" fontId="104" numFmtId="0" xfId="0" applyAlignment="1" applyBorder="1" applyFont="1">
      <alignment horizontal="left" readingOrder="0" vertical="center"/>
    </xf>
    <xf borderId="1191" fillId="98" fontId="104" numFmtId="0" xfId="0" applyAlignment="1" applyBorder="1" applyFont="1">
      <alignment horizontal="center" readingOrder="0" vertical="center"/>
    </xf>
    <xf borderId="1162" fillId="97" fontId="106" numFmtId="0" xfId="0" applyAlignment="1" applyBorder="1" applyFont="1">
      <alignment horizontal="center" vertical="center"/>
    </xf>
    <xf borderId="1154" fillId="97" fontId="133" numFmtId="0" xfId="0" applyAlignment="1" applyBorder="1" applyFont="1">
      <alignment horizontal="center" vertical="center"/>
    </xf>
    <xf borderId="1192" fillId="98" fontId="104" numFmtId="0" xfId="0" applyAlignment="1" applyBorder="1" applyFont="1">
      <alignment horizontal="center" readingOrder="0" vertical="center"/>
    </xf>
    <xf borderId="1193" fillId="98" fontId="104" numFmtId="0" xfId="0" applyAlignment="1" applyBorder="1" applyFont="1">
      <alignment horizontal="center" readingOrder="0" vertical="center"/>
    </xf>
    <xf borderId="1194" fillId="98" fontId="104" numFmtId="0" xfId="0" applyAlignment="1" applyBorder="1" applyFont="1">
      <alignment horizontal="left" readingOrder="0" vertical="center"/>
    </xf>
    <xf borderId="1195" fillId="98" fontId="104" numFmtId="0" xfId="0" applyAlignment="1" applyBorder="1" applyFont="1">
      <alignment horizontal="center" readingOrder="0" vertical="center"/>
    </xf>
    <xf borderId="1196" fillId="98" fontId="104" numFmtId="0" xfId="0" applyAlignment="1" applyBorder="1" applyFont="1">
      <alignment horizontal="center" readingOrder="0" vertical="center"/>
    </xf>
    <xf borderId="1197" fillId="98" fontId="104" numFmtId="0" xfId="0" applyAlignment="1" applyBorder="1" applyFont="1">
      <alignment horizontal="center" readingOrder="0" vertical="center"/>
    </xf>
    <xf borderId="1198" fillId="98" fontId="104" numFmtId="0" xfId="0" applyAlignment="1" applyBorder="1" applyFont="1">
      <alignment horizontal="left" readingOrder="0" vertical="center"/>
    </xf>
    <xf borderId="1199" fillId="98" fontId="104" numFmtId="0" xfId="0" applyAlignment="1" applyBorder="1" applyFont="1">
      <alignment horizontal="center" readingOrder="0" vertical="center"/>
    </xf>
    <xf borderId="253" fillId="98" fontId="104" numFmtId="0" xfId="0" applyAlignment="1" applyBorder="1" applyFont="1">
      <alignment horizontal="right" readingOrder="0" vertical="center"/>
    </xf>
    <xf borderId="256" fillId="98" fontId="104" numFmtId="0" xfId="0" applyAlignment="1" applyBorder="1" applyFont="1">
      <alignment horizontal="center" readingOrder="0" vertical="center"/>
    </xf>
    <xf borderId="1148" fillId="97" fontId="93" numFmtId="0" xfId="0" applyAlignment="1" applyBorder="1" applyFont="1">
      <alignment horizontal="center" vertical="center"/>
    </xf>
    <xf borderId="1149" fillId="97" fontId="92" numFmtId="0" xfId="0" applyAlignment="1" applyBorder="1" applyFont="1">
      <alignment horizontal="right" readingOrder="0" vertical="center"/>
    </xf>
    <xf borderId="1149" fillId="97" fontId="141" numFmtId="0" xfId="0" applyAlignment="1" applyBorder="1" applyFont="1">
      <alignment horizontal="right" vertical="top"/>
    </xf>
    <xf borderId="1200" fillId="97" fontId="105" numFmtId="0" xfId="0" applyAlignment="1" applyBorder="1" applyFont="1">
      <alignment horizontal="center" vertical="center"/>
    </xf>
    <xf borderId="1201" fillId="0" fontId="4" numFmtId="0" xfId="0" applyBorder="1" applyFont="1"/>
    <xf borderId="1150" fillId="97" fontId="93" numFmtId="0" xfId="0" applyAlignment="1" applyBorder="1" applyFont="1">
      <alignment horizontal="center" vertical="center"/>
    </xf>
    <xf borderId="754" fillId="85" fontId="93" numFmtId="0" xfId="0" applyAlignment="1" applyBorder="1" applyFont="1">
      <alignment horizontal="center" vertical="center"/>
    </xf>
    <xf borderId="1149" fillId="97" fontId="94" numFmtId="0" xfId="0" applyAlignment="1" applyBorder="1" applyFont="1">
      <alignment horizontal="right" readingOrder="0" vertical="center"/>
    </xf>
    <xf borderId="1202" fillId="97" fontId="125" numFmtId="0" xfId="0" applyAlignment="1" applyBorder="1" applyFont="1">
      <alignment horizontal="center" vertical="center"/>
    </xf>
    <xf borderId="1203" fillId="97" fontId="127" numFmtId="0" xfId="0" applyAlignment="1" applyBorder="1" applyFont="1">
      <alignment horizontal="center" vertical="center"/>
    </xf>
    <xf borderId="1204" fillId="97" fontId="110" numFmtId="0" xfId="0" applyAlignment="1" applyBorder="1" applyFont="1">
      <alignment horizontal="center" vertical="center"/>
    </xf>
    <xf borderId="436" fillId="97" fontId="110" numFmtId="0" xfId="0" applyAlignment="1" applyBorder="1" applyFont="1">
      <alignment horizontal="center" readingOrder="0" vertical="center"/>
    </xf>
    <xf borderId="436" fillId="97" fontId="127" numFmtId="0" xfId="0" applyAlignment="1" applyBorder="1" applyFont="1">
      <alignment horizontal="center" readingOrder="0" vertical="center"/>
    </xf>
    <xf borderId="436" fillId="97" fontId="125" numFmtId="0" xfId="0" applyAlignment="1" applyBorder="1" applyFont="1">
      <alignment horizontal="center" vertical="center"/>
    </xf>
    <xf borderId="1166" fillId="97" fontId="110" numFmtId="0" xfId="0" applyAlignment="1" applyBorder="1" applyFont="1">
      <alignment horizontal="center" vertical="center"/>
    </xf>
    <xf borderId="1165" fillId="97" fontId="110" numFmtId="0" xfId="0" applyAlignment="1" applyBorder="1" applyFont="1">
      <alignment horizontal="center" vertical="center"/>
    </xf>
    <xf borderId="1171" fillId="97" fontId="110" numFmtId="0" xfId="0" applyAlignment="1" applyBorder="1" applyFont="1">
      <alignment horizontal="center" vertical="center"/>
    </xf>
    <xf borderId="1205" fillId="97" fontId="125" numFmtId="0" xfId="0" applyAlignment="1" applyBorder="1" applyFont="1">
      <alignment horizontal="center" vertical="center"/>
    </xf>
    <xf borderId="1206" fillId="97" fontId="125" numFmtId="0" xfId="0" applyAlignment="1" applyBorder="1" applyFont="1">
      <alignment horizontal="center" vertical="center"/>
    </xf>
    <xf borderId="1179" fillId="97" fontId="110" numFmtId="0" xfId="0" applyAlignment="1" applyBorder="1" applyFont="1">
      <alignment horizontal="center" vertical="center"/>
    </xf>
    <xf borderId="1207" fillId="0" fontId="125" numFmtId="0" xfId="0" applyAlignment="1" applyBorder="1" applyFont="1">
      <alignment horizontal="center" vertical="center"/>
    </xf>
    <xf borderId="1208" fillId="97" fontId="125" numFmtId="0" xfId="0" applyAlignment="1" applyBorder="1" applyFont="1">
      <alignment horizontal="center" vertical="center"/>
    </xf>
    <xf borderId="1209" fillId="97" fontId="127" numFmtId="0" xfId="0" applyAlignment="1" applyBorder="1" applyFont="1">
      <alignment horizontal="center" vertical="center"/>
    </xf>
    <xf borderId="1207" fillId="0" fontId="110" numFmtId="0" xfId="0" applyAlignment="1" applyBorder="1" applyFont="1">
      <alignment horizontal="center" vertical="center"/>
    </xf>
    <xf borderId="1207" fillId="0" fontId="127" numFmtId="0" xfId="0" applyAlignment="1" applyBorder="1" applyFont="1">
      <alignment horizontal="center" vertical="center"/>
    </xf>
    <xf borderId="1162" fillId="97" fontId="127" numFmtId="0" xfId="0" applyAlignment="1" applyBorder="1" applyFont="1">
      <alignment horizontal="center" vertical="center"/>
    </xf>
    <xf borderId="1210" fillId="97" fontId="125" numFmtId="0" xfId="0" applyAlignment="1" applyBorder="1" applyFont="1">
      <alignment horizontal="center" vertical="center"/>
    </xf>
    <xf borderId="1211" fillId="97" fontId="94" numFmtId="0" xfId="0" applyAlignment="1" applyBorder="1" applyFont="1">
      <alignment horizontal="right" vertical="center"/>
    </xf>
    <xf borderId="1211" fillId="97" fontId="125" numFmtId="0" xfId="0" applyAlignment="1" applyBorder="1" applyFont="1">
      <alignment horizontal="center" vertical="center"/>
    </xf>
    <xf borderId="1212" fillId="97" fontId="125" numFmtId="0" xfId="0" applyAlignment="1" applyBorder="1" applyFont="1">
      <alignment horizontal="center" vertical="center"/>
    </xf>
    <xf borderId="1213" fillId="97" fontId="125" numFmtId="0" xfId="0" applyAlignment="1" applyBorder="1" applyFont="1">
      <alignment horizontal="center" vertical="center"/>
    </xf>
    <xf borderId="747" fillId="85" fontId="128" numFmtId="0" xfId="0" applyAlignment="1" applyBorder="1" applyFont="1">
      <alignment horizontal="center" readingOrder="0" vertical="center"/>
    </xf>
    <xf borderId="1214" fillId="85" fontId="125" numFmtId="0" xfId="0" applyAlignment="1" applyBorder="1" applyFont="1">
      <alignment horizontal="center" vertical="center"/>
    </xf>
    <xf borderId="1214" fillId="85" fontId="94" numFmtId="0" xfId="0" applyAlignment="1" applyBorder="1" applyFont="1">
      <alignment horizontal="right" vertical="center"/>
    </xf>
    <xf borderId="1215" fillId="99" fontId="125" numFmtId="0" xfId="0" applyAlignment="1" applyBorder="1" applyFill="1" applyFont="1">
      <alignment horizontal="center" vertical="center"/>
    </xf>
    <xf borderId="1216" fillId="99" fontId="125" numFmtId="0" xfId="0" applyAlignment="1" applyBorder="1" applyFont="1">
      <alignment horizontal="center" vertical="center"/>
    </xf>
    <xf borderId="1216" fillId="99" fontId="76" numFmtId="0" xfId="0" applyAlignment="1" applyBorder="1" applyFont="1">
      <alignment horizontal="right" vertical="center"/>
    </xf>
    <xf borderId="1217" fillId="99" fontId="125" numFmtId="0" xfId="0" applyAlignment="1" applyBorder="1" applyFont="1">
      <alignment horizontal="center" vertical="center"/>
    </xf>
    <xf borderId="1218" fillId="9" fontId="125" numFmtId="0" xfId="0" applyAlignment="1" applyBorder="1" applyFont="1">
      <alignment horizontal="center" vertical="center"/>
    </xf>
    <xf borderId="1219" fillId="9" fontId="76" numFmtId="0" xfId="0" applyAlignment="1" applyBorder="1" applyFont="1">
      <alignment horizontal="right" vertical="center"/>
    </xf>
    <xf borderId="1219" fillId="9" fontId="125" numFmtId="0" xfId="0" applyAlignment="1" applyBorder="1" applyFont="1">
      <alignment horizontal="center" vertical="center"/>
    </xf>
    <xf borderId="1220" fillId="9" fontId="125" numFmtId="0" xfId="0" applyAlignment="1" applyBorder="1" applyFont="1">
      <alignment horizontal="center" vertical="center"/>
    </xf>
    <xf borderId="1221" fillId="9" fontId="125" numFmtId="0" xfId="0" applyAlignment="1" applyBorder="1" applyFont="1">
      <alignment horizontal="center" vertical="center"/>
    </xf>
    <xf borderId="1222" fillId="99" fontId="125" numFmtId="0" xfId="0" applyAlignment="1" applyBorder="1" applyFont="1">
      <alignment horizontal="center" vertical="center"/>
    </xf>
    <xf borderId="1217" fillId="99" fontId="128" numFmtId="0" xfId="0" applyAlignment="1" applyBorder="1" applyFont="1">
      <alignment horizontal="center" readingOrder="0" vertical="center"/>
    </xf>
    <xf borderId="1223" fillId="9" fontId="125" numFmtId="0" xfId="0" applyAlignment="1" applyBorder="1" applyFont="1">
      <alignment horizontal="center" vertical="center"/>
    </xf>
    <xf borderId="74" fillId="9" fontId="76" numFmtId="0" xfId="0" applyAlignment="1" applyBorder="1" applyFont="1">
      <alignment horizontal="right" vertical="center"/>
    </xf>
    <xf borderId="1224" fillId="9" fontId="125" numFmtId="0" xfId="0" applyAlignment="1" applyBorder="1" applyFont="1">
      <alignment horizontal="center" vertical="center"/>
    </xf>
    <xf borderId="824" fillId="26" fontId="134" numFmtId="0" xfId="0" applyAlignment="1" applyBorder="1" applyFont="1">
      <alignment horizontal="center" readingOrder="0" vertical="center"/>
    </xf>
    <xf borderId="53" fillId="9" fontId="125" numFmtId="0" xfId="0" applyAlignment="1" applyBorder="1" applyFont="1">
      <alignment horizontal="center" vertical="center"/>
    </xf>
    <xf borderId="53" fillId="0" fontId="4" numFmtId="0" xfId="0" applyBorder="1" applyFont="1"/>
    <xf borderId="61" fillId="0" fontId="4" numFmtId="0" xfId="0" applyBorder="1" applyFont="1"/>
    <xf borderId="74" fillId="9" fontId="135" numFmtId="0" xfId="0" applyAlignment="1" applyBorder="1" applyFont="1">
      <alignment horizontal="center" readingOrder="0" vertical="center"/>
    </xf>
    <xf borderId="1225" fillId="9" fontId="125" numFmtId="0" xfId="0" applyAlignment="1" applyBorder="1" applyFont="1">
      <alignment horizontal="center" vertical="center"/>
    </xf>
    <xf borderId="1226" fillId="9" fontId="76" numFmtId="0" xfId="0" applyAlignment="1" applyBorder="1" applyFont="1">
      <alignment horizontal="right" readingOrder="0" vertical="center"/>
    </xf>
    <xf borderId="74" fillId="9" fontId="136" numFmtId="0" xfId="0" applyAlignment="1" applyBorder="1" applyFont="1">
      <alignment horizontal="center" readingOrder="0" vertical="center"/>
    </xf>
    <xf borderId="1227" fillId="9" fontId="136" numFmtId="0" xfId="0" applyAlignment="1" applyBorder="1" applyFont="1">
      <alignment horizontal="center" readingOrder="0" vertical="center"/>
    </xf>
    <xf borderId="71" fillId="9" fontId="136" numFmtId="0" xfId="0" applyAlignment="1" applyBorder="1" applyFont="1">
      <alignment horizontal="center" readingOrder="0" vertical="center"/>
    </xf>
    <xf borderId="1228" fillId="9" fontId="125" numFmtId="0" xfId="0" applyAlignment="1" applyBorder="1" applyFont="1">
      <alignment horizontal="center" vertical="center"/>
    </xf>
    <xf borderId="189" fillId="26" fontId="76" numFmtId="0" xfId="0" applyAlignment="1" applyBorder="1" applyFont="1">
      <alignment horizontal="right" vertical="center"/>
    </xf>
    <xf borderId="1229" fillId="9" fontId="127" numFmtId="0" xfId="0" applyAlignment="1" applyBorder="1" applyFont="1">
      <alignment horizontal="center" vertical="center"/>
    </xf>
    <xf borderId="969" fillId="26" fontId="119" numFmtId="0" xfId="0" applyAlignment="1" applyBorder="1" applyFont="1">
      <alignment horizontal="center" vertical="center"/>
    </xf>
    <xf borderId="1230" fillId="9" fontId="110" numFmtId="0" xfId="0" applyAlignment="1" applyBorder="1" applyFont="1">
      <alignment horizontal="center" vertical="center"/>
    </xf>
    <xf borderId="1231" fillId="9" fontId="125" numFmtId="0" xfId="0" applyAlignment="1" applyBorder="1" applyFont="1">
      <alignment horizontal="center" vertical="center"/>
    </xf>
    <xf borderId="57" fillId="9" fontId="125" numFmtId="0" xfId="0" applyAlignment="1" applyBorder="1" applyFont="1">
      <alignment horizontal="center" vertical="center"/>
    </xf>
    <xf borderId="1217" fillId="99" fontId="110" numFmtId="0" xfId="0" applyAlignment="1" applyBorder="1" applyFont="1">
      <alignment horizontal="center" vertical="center"/>
    </xf>
    <xf borderId="1228" fillId="9" fontId="110" numFmtId="0" xfId="0" applyAlignment="1" applyBorder="1" applyFont="1">
      <alignment horizontal="center" vertical="center"/>
    </xf>
    <xf borderId="199" fillId="9" fontId="76" numFmtId="0" xfId="0" applyAlignment="1" applyBorder="1" applyFont="1">
      <alignment horizontal="right" readingOrder="0" vertical="center"/>
    </xf>
    <xf borderId="1229" fillId="9" fontId="110" numFmtId="0" xfId="0" applyAlignment="1" applyBorder="1" applyFont="1">
      <alignment horizontal="center" readingOrder="0" vertical="center"/>
    </xf>
    <xf borderId="1232" fillId="9" fontId="112" numFmtId="0" xfId="0" applyAlignment="1" applyBorder="1" applyFont="1">
      <alignment horizontal="center" readingOrder="0" vertical="center"/>
    </xf>
    <xf borderId="1233" fillId="0" fontId="4" numFmtId="0" xfId="0" applyBorder="1" applyFont="1"/>
    <xf borderId="1234" fillId="0" fontId="4" numFmtId="0" xfId="0" applyBorder="1" applyFont="1"/>
    <xf borderId="1235" fillId="0" fontId="4" numFmtId="0" xfId="0" applyBorder="1" applyFont="1"/>
    <xf borderId="1236" fillId="0" fontId="4" numFmtId="0" xfId="0" applyBorder="1" applyFont="1"/>
    <xf borderId="1224" fillId="9" fontId="110" numFmtId="0" xfId="0" applyAlignment="1" applyBorder="1" applyFont="1">
      <alignment horizontal="center" vertical="center"/>
    </xf>
    <xf borderId="1225" fillId="9" fontId="110" numFmtId="0" xfId="0" applyAlignment="1" applyBorder="1" applyFont="1">
      <alignment horizontal="center" vertical="center"/>
    </xf>
    <xf borderId="1222" fillId="99" fontId="110" numFmtId="0" xfId="0" applyAlignment="1" applyBorder="1" applyFont="1">
      <alignment horizontal="center" vertical="center"/>
    </xf>
    <xf borderId="1237" fillId="9" fontId="125" numFmtId="0" xfId="0" applyAlignment="1" applyBorder="1" applyFont="1">
      <alignment horizontal="center" vertical="center"/>
    </xf>
    <xf borderId="1238" fillId="9" fontId="125" numFmtId="0" xfId="0" applyAlignment="1" applyBorder="1" applyFont="1">
      <alignment horizontal="center" readingOrder="0" vertical="center"/>
    </xf>
    <xf borderId="1239" fillId="9" fontId="119" numFmtId="0" xfId="0" applyAlignment="1" applyBorder="1" applyFont="1">
      <alignment horizontal="center" readingOrder="0" vertical="top"/>
    </xf>
    <xf borderId="1240" fillId="0" fontId="4" numFmtId="0" xfId="0" applyBorder="1" applyFont="1"/>
    <xf borderId="1241" fillId="0" fontId="4" numFmtId="0" xfId="0" applyBorder="1" applyFont="1"/>
    <xf borderId="56" fillId="9" fontId="76" numFmtId="0" xfId="0" applyAlignment="1" applyBorder="1" applyFont="1">
      <alignment horizontal="right" vertical="center"/>
    </xf>
    <xf borderId="1242" fillId="9" fontId="125" numFmtId="0" xfId="0" applyAlignment="1" applyBorder="1" applyFont="1">
      <alignment horizontal="center" vertical="center"/>
    </xf>
    <xf borderId="1243" fillId="9" fontId="110" numFmtId="0" xfId="0" applyAlignment="1" applyBorder="1" applyFont="1">
      <alignment horizontal="center" vertical="center"/>
    </xf>
    <xf borderId="1244" fillId="9" fontId="110" numFmtId="0" xfId="0" applyAlignment="1" applyBorder="1" applyFont="1">
      <alignment horizontal="right" vertical="top"/>
    </xf>
    <xf borderId="1244" fillId="9" fontId="110" numFmtId="0" xfId="0" applyAlignment="1" applyBorder="1" applyFont="1">
      <alignment horizontal="left" vertical="top"/>
    </xf>
    <xf borderId="1245" fillId="9" fontId="110" numFmtId="0" xfId="0" applyAlignment="1" applyBorder="1" applyFont="1">
      <alignment horizontal="center" vertical="top"/>
    </xf>
    <xf borderId="1246" fillId="9" fontId="110" numFmtId="0" xfId="0" applyAlignment="1" applyBorder="1" applyFont="1">
      <alignment horizontal="center" vertical="top"/>
    </xf>
    <xf borderId="1247" fillId="0" fontId="4" numFmtId="0" xfId="0" applyBorder="1" applyFont="1"/>
    <xf borderId="1248" fillId="9" fontId="110" numFmtId="0" xfId="0" applyAlignment="1" applyBorder="1" applyFont="1">
      <alignment horizontal="center" vertical="center"/>
    </xf>
    <xf borderId="1249" fillId="9" fontId="110" numFmtId="0" xfId="0" applyAlignment="1" applyBorder="1" applyFont="1">
      <alignment horizontal="center" vertical="top"/>
    </xf>
    <xf borderId="1250" fillId="9" fontId="110" numFmtId="0" xfId="0" applyAlignment="1" applyBorder="1" applyFont="1">
      <alignment horizontal="center" vertical="top"/>
    </xf>
    <xf borderId="74" fillId="9" fontId="125" numFmtId="0" xfId="0" applyAlignment="1" applyBorder="1" applyFont="1">
      <alignment horizontal="center" vertical="center"/>
    </xf>
    <xf borderId="1251" fillId="9" fontId="110" numFmtId="0" xfId="0" applyAlignment="1" applyBorder="1" applyFont="1">
      <alignment horizontal="center" readingOrder="0" vertical="center"/>
    </xf>
    <xf borderId="1252" fillId="0" fontId="4" numFmtId="0" xfId="0" applyBorder="1" applyFont="1"/>
    <xf borderId="1253" fillId="0" fontId="4" numFmtId="0" xfId="0" applyBorder="1" applyFont="1"/>
    <xf borderId="57" fillId="9" fontId="76" numFmtId="0" xfId="0" applyAlignment="1" applyBorder="1" applyFont="1">
      <alignment horizontal="right" vertical="center"/>
    </xf>
    <xf borderId="1254" fillId="9" fontId="110" numFmtId="0" xfId="0" applyAlignment="1" applyBorder="1" applyFont="1">
      <alignment horizontal="center" readingOrder="0" vertical="center"/>
    </xf>
    <xf borderId="1255" fillId="0" fontId="4" numFmtId="0" xfId="0" applyBorder="1" applyFont="1"/>
    <xf borderId="1256" fillId="9" fontId="110" numFmtId="0" xfId="0" applyAlignment="1" applyBorder="1" applyFont="1">
      <alignment horizontal="center" readingOrder="0" vertical="center"/>
    </xf>
    <xf borderId="48" fillId="0" fontId="4" numFmtId="0" xfId="0" applyBorder="1" applyFont="1"/>
    <xf borderId="1257" fillId="0" fontId="4" numFmtId="0" xfId="0" applyBorder="1" applyFont="1"/>
    <xf borderId="1258" fillId="9" fontId="142" numFmtId="0" xfId="0" applyAlignment="1" applyBorder="1" applyFont="1">
      <alignment horizontal="center" readingOrder="0" vertical="center"/>
    </xf>
    <xf borderId="1259" fillId="0" fontId="4" numFmtId="0" xfId="0" applyBorder="1" applyFont="1"/>
    <xf borderId="1260" fillId="9" fontId="110" numFmtId="0" xfId="0" applyAlignment="1" applyBorder="1" applyFont="1">
      <alignment horizontal="center" readingOrder="0" vertical="center"/>
    </xf>
    <xf borderId="1261" fillId="9" fontId="110" numFmtId="0" xfId="0" applyAlignment="1" applyBorder="1" applyFont="1">
      <alignment horizontal="center" readingOrder="0" vertical="center"/>
    </xf>
    <xf borderId="1262" fillId="9" fontId="110" numFmtId="0" xfId="0" applyAlignment="1" applyBorder="1" applyFont="1">
      <alignment horizontal="center" readingOrder="0" vertical="center"/>
    </xf>
    <xf borderId="1263" fillId="0" fontId="4" numFmtId="0" xfId="0" applyBorder="1" applyFont="1"/>
    <xf borderId="1264" fillId="0" fontId="4" numFmtId="0" xfId="0" applyBorder="1" applyFont="1"/>
    <xf borderId="1265" fillId="9" fontId="110" numFmtId="0" xfId="0" applyAlignment="1" applyBorder="1" applyFont="1">
      <alignment horizontal="center" readingOrder="0" vertical="center"/>
    </xf>
    <xf borderId="1266" fillId="0" fontId="4" numFmtId="0" xfId="0" applyBorder="1" applyFont="1"/>
    <xf borderId="1267" fillId="0" fontId="4" numFmtId="0" xfId="0" applyBorder="1" applyFont="1"/>
    <xf borderId="1217" fillId="99" fontId="130" numFmtId="0" xfId="0" applyAlignment="1" applyBorder="1" applyFont="1">
      <alignment horizontal="center" vertical="center"/>
    </xf>
    <xf borderId="1223" fillId="9" fontId="124" numFmtId="0" xfId="0" applyAlignment="1" applyBorder="1" applyFont="1">
      <alignment horizontal="center" vertical="center"/>
    </xf>
    <xf borderId="74" fillId="9" fontId="74" numFmtId="0" xfId="0" applyAlignment="1" applyBorder="1" applyFont="1">
      <alignment horizontal="right" vertical="center"/>
    </xf>
    <xf borderId="74" fillId="9" fontId="131" numFmtId="0" xfId="0" applyAlignment="1" applyBorder="1" applyFont="1">
      <alignment horizontal="center" vertical="center"/>
    </xf>
    <xf borderId="56" fillId="9" fontId="131" numFmtId="0" xfId="0" applyAlignment="1" applyBorder="1" applyFont="1">
      <alignment horizontal="center" vertical="center"/>
    </xf>
    <xf borderId="74" fillId="9" fontId="109" numFmtId="0" xfId="0" applyAlignment="1" applyBorder="1" applyFont="1">
      <alignment horizontal="center" vertical="center"/>
    </xf>
    <xf borderId="74" fillId="9" fontId="132" numFmtId="0" xfId="0" applyAlignment="1" applyBorder="1" applyFont="1">
      <alignment horizontal="center" vertical="center"/>
    </xf>
    <xf borderId="1225" fillId="9" fontId="124" numFmtId="0" xfId="0" applyAlignment="1" applyBorder="1" applyFont="1">
      <alignment horizontal="center" vertical="center"/>
    </xf>
    <xf borderId="1222" fillId="99" fontId="124" numFmtId="0" xfId="0" applyAlignment="1" applyBorder="1" applyFont="1">
      <alignment horizontal="center" vertical="center"/>
    </xf>
    <xf borderId="1223" fillId="9" fontId="133" numFmtId="0" xfId="0" applyAlignment="1" applyBorder="1" applyFont="1">
      <alignment horizontal="center" vertical="center"/>
    </xf>
    <xf borderId="1224" fillId="9" fontId="106" numFmtId="0" xfId="0" applyAlignment="1" applyBorder="1" applyFont="1">
      <alignment horizontal="center" vertical="center"/>
    </xf>
    <xf borderId="53" fillId="9" fontId="89" numFmtId="0" xfId="0" applyAlignment="1" applyBorder="1" applyFont="1">
      <alignment horizontal="center" vertical="center"/>
    </xf>
    <xf borderId="61" fillId="9" fontId="105" numFmtId="0" xfId="0" applyAlignment="1" applyBorder="1" applyFont="1">
      <alignment horizontal="center" vertical="center"/>
    </xf>
    <xf borderId="74" fillId="9" fontId="106" numFmtId="0" xfId="0" applyAlignment="1" applyBorder="1" applyFont="1">
      <alignment horizontal="center" vertical="center"/>
    </xf>
    <xf borderId="74" fillId="9" fontId="133" numFmtId="0" xfId="0" applyAlignment="1" applyBorder="1" applyFont="1">
      <alignment horizontal="center" vertical="center"/>
    </xf>
    <xf borderId="1225" fillId="9" fontId="133" numFmtId="0" xfId="0" applyAlignment="1" applyBorder="1" applyFont="1">
      <alignment horizontal="center" vertical="center"/>
    </xf>
    <xf borderId="1222" fillId="99" fontId="133" numFmtId="0" xfId="0" applyAlignment="1" applyBorder="1" applyFont="1">
      <alignment horizontal="center" vertical="center"/>
    </xf>
    <xf borderId="56" fillId="9" fontId="125" numFmtId="0" xfId="0" applyAlignment="1" applyBorder="1" applyFont="1">
      <alignment horizontal="center" readingOrder="0" vertical="center"/>
    </xf>
    <xf borderId="1268" fillId="9" fontId="136" numFmtId="0" xfId="0" applyAlignment="1" applyBorder="1" applyFont="1">
      <alignment horizontal="center" readingOrder="0" vertical="center"/>
    </xf>
    <xf borderId="189" fillId="10" fontId="76" numFmtId="0" xfId="0" applyAlignment="1" applyBorder="1" applyFont="1">
      <alignment horizontal="right" vertical="center"/>
    </xf>
    <xf borderId="969" fillId="10" fontId="119" numFmtId="0" xfId="0" applyAlignment="1" applyBorder="1" applyFont="1">
      <alignment horizontal="center" vertical="center"/>
    </xf>
    <xf borderId="1269" fillId="100" fontId="110" numFmtId="0" xfId="0" applyAlignment="1" applyBorder="1" applyFill="1" applyFont="1">
      <alignment horizontal="center" vertical="center"/>
    </xf>
    <xf borderId="1237" fillId="9" fontId="110" numFmtId="0" xfId="0" applyAlignment="1" applyBorder="1" applyFont="1">
      <alignment horizontal="center" vertical="center"/>
    </xf>
    <xf borderId="53" fillId="9" fontId="110" numFmtId="0" xfId="0" applyAlignment="1" applyBorder="1" applyFont="1">
      <alignment horizontal="center" readingOrder="0" vertical="center"/>
    </xf>
    <xf borderId="53" fillId="9" fontId="125" numFmtId="0" xfId="0" applyAlignment="1" applyBorder="1" applyFont="1">
      <alignment horizontal="center" readingOrder="0" vertical="center"/>
    </xf>
    <xf borderId="1270" fillId="0" fontId="4" numFmtId="0" xfId="0" applyBorder="1" applyFont="1"/>
    <xf borderId="237" fillId="10" fontId="88" numFmtId="0" xfId="0" applyAlignment="1" applyBorder="1" applyFont="1">
      <alignment horizontal="center" readingOrder="0" vertical="top"/>
    </xf>
    <xf borderId="240" fillId="10" fontId="88" numFmtId="0" xfId="0" applyAlignment="1" applyBorder="1" applyFont="1">
      <alignment horizontal="center" readingOrder="0" vertical="top"/>
    </xf>
    <xf borderId="1271" fillId="100" fontId="89" numFmtId="0" xfId="0" applyAlignment="1" applyBorder="1" applyFont="1">
      <alignment horizontal="center" vertical="center"/>
    </xf>
    <xf borderId="605" fillId="10" fontId="88" numFmtId="0" xfId="0" applyAlignment="1" applyBorder="1" applyFont="1">
      <alignment horizontal="center" readingOrder="0" vertical="center"/>
    </xf>
    <xf borderId="606" fillId="10" fontId="88" numFmtId="0" xfId="0" applyAlignment="1" applyBorder="1" applyFont="1">
      <alignment horizontal="center" readingOrder="0" vertical="center"/>
    </xf>
    <xf borderId="607" fillId="10" fontId="88" numFmtId="0" xfId="0" applyAlignment="1" applyBorder="1" applyFont="1">
      <alignment horizontal="left" readingOrder="0" vertical="center"/>
    </xf>
    <xf borderId="608" fillId="10" fontId="88" numFmtId="0" xfId="0" applyAlignment="1" applyBorder="1" applyFont="1">
      <alignment horizontal="center" readingOrder="0" vertical="center"/>
    </xf>
    <xf borderId="609" fillId="10" fontId="88" numFmtId="0" xfId="0" applyAlignment="1" applyBorder="1" applyFont="1">
      <alignment horizontal="center" readingOrder="0" vertical="center"/>
    </xf>
    <xf borderId="610" fillId="10" fontId="88" numFmtId="0" xfId="0" applyAlignment="1" applyBorder="1" applyFont="1">
      <alignment horizontal="center" readingOrder="0" vertical="center"/>
    </xf>
    <xf borderId="611" fillId="10" fontId="88" numFmtId="0" xfId="0" applyAlignment="1" applyBorder="1" applyFont="1">
      <alignment horizontal="left" readingOrder="0" vertical="center"/>
    </xf>
    <xf borderId="612" fillId="10" fontId="88" numFmtId="0" xfId="0" applyAlignment="1" applyBorder="1" applyFont="1">
      <alignment horizontal="center" readingOrder="0" vertical="center"/>
    </xf>
    <xf borderId="613" fillId="10" fontId="88" numFmtId="0" xfId="0" applyAlignment="1" applyBorder="1" applyFont="1">
      <alignment horizontal="center" readingOrder="0" vertical="center"/>
    </xf>
    <xf borderId="614" fillId="10" fontId="88" numFmtId="0" xfId="0" applyAlignment="1" applyBorder="1" applyFont="1">
      <alignment horizontal="center" readingOrder="0" vertical="center"/>
    </xf>
    <xf borderId="615" fillId="10" fontId="88" numFmtId="0" xfId="0" applyAlignment="1" applyBorder="1" applyFont="1">
      <alignment horizontal="left" readingOrder="0" vertical="center"/>
    </xf>
    <xf borderId="616" fillId="10" fontId="88" numFmtId="0" xfId="0" applyAlignment="1" applyBorder="1" applyFont="1">
      <alignment horizontal="center" readingOrder="0" vertical="center"/>
    </xf>
    <xf borderId="253" fillId="10" fontId="88" numFmtId="0" xfId="0" applyAlignment="1" applyBorder="1" applyFont="1">
      <alignment horizontal="right" readingOrder="0" vertical="center"/>
    </xf>
    <xf borderId="256" fillId="10" fontId="88" numFmtId="0" xfId="0" applyAlignment="1" applyBorder="1" applyFont="1">
      <alignment horizontal="center" readingOrder="0" vertical="center"/>
    </xf>
    <xf borderId="1272" fillId="9" fontId="125" numFmtId="0" xfId="0" applyAlignment="1" applyBorder="1" applyFont="1">
      <alignment horizontal="center" vertical="center"/>
    </xf>
    <xf borderId="824" fillId="33" fontId="134" numFmtId="0" xfId="0" applyAlignment="1" applyBorder="1" applyFont="1">
      <alignment horizontal="center" readingOrder="0" vertical="center"/>
    </xf>
    <xf borderId="189" fillId="33" fontId="76" numFmtId="0" xfId="0" applyAlignment="1" applyBorder="1" applyFont="1">
      <alignment horizontal="right" vertical="center"/>
    </xf>
    <xf borderId="969" fillId="33" fontId="119" numFmtId="0" xfId="0" applyAlignment="1" applyBorder="1" applyFont="1">
      <alignment horizontal="center" vertical="center"/>
    </xf>
    <xf borderId="1273" fillId="9" fontId="89" numFmtId="0" xfId="0" applyAlignment="1" applyBorder="1" applyFont="1">
      <alignment horizontal="center" vertical="center"/>
    </xf>
    <xf borderId="1274" fillId="9" fontId="105" numFmtId="0" xfId="0" applyAlignment="1" applyBorder="1" applyFont="1">
      <alignment horizontal="center" vertical="center"/>
    </xf>
    <xf borderId="1275" fillId="9" fontId="125" numFmtId="0" xfId="0" applyAlignment="1" applyBorder="1" applyFont="1">
      <alignment horizontal="center" vertical="center"/>
    </xf>
    <xf borderId="1276" fillId="9" fontId="76" numFmtId="0" xfId="0" applyAlignment="1" applyBorder="1" applyFont="1">
      <alignment horizontal="right" vertical="center"/>
    </xf>
    <xf borderId="1276" fillId="9" fontId="125" numFmtId="0" xfId="0" applyAlignment="1" applyBorder="1" applyFont="1">
      <alignment horizontal="center" vertical="center"/>
    </xf>
    <xf borderId="1277" fillId="9" fontId="125" numFmtId="0" xfId="0" applyAlignment="1" applyBorder="1" applyFont="1">
      <alignment horizontal="center" readingOrder="0" vertical="center"/>
    </xf>
    <xf borderId="1278" fillId="9" fontId="125" numFmtId="0" xfId="0" applyAlignment="1" applyBorder="1" applyFont="1">
      <alignment horizontal="center" vertical="center"/>
    </xf>
    <xf borderId="1279" fillId="101" fontId="125" numFmtId="0" xfId="0" applyAlignment="1" applyBorder="1" applyFill="1" applyFont="1">
      <alignment horizontal="center" vertical="center"/>
    </xf>
    <xf borderId="1280" fillId="101" fontId="74" numFmtId="0" xfId="0" applyAlignment="1" applyBorder="1" applyFont="1">
      <alignment horizontal="right" readingOrder="0" vertical="center"/>
    </xf>
    <xf borderId="1281" fillId="101" fontId="75" numFmtId="0" xfId="0" applyAlignment="1" applyBorder="1" applyFont="1">
      <alignment horizontal="center" readingOrder="0" vertical="center"/>
    </xf>
    <xf borderId="1280" fillId="101" fontId="75" numFmtId="0" xfId="0" applyAlignment="1" applyBorder="1" applyFont="1">
      <alignment horizontal="center" readingOrder="0" vertical="center"/>
    </xf>
    <xf borderId="1282" fillId="101" fontId="125" numFmtId="0" xfId="0" applyAlignment="1" applyBorder="1" applyFont="1">
      <alignment horizontal="center" vertical="center"/>
    </xf>
    <xf borderId="1283" fillId="101" fontId="125" numFmtId="0" xfId="0" applyAlignment="1" applyBorder="1" applyFont="1">
      <alignment horizontal="center" vertical="center"/>
    </xf>
    <xf borderId="189" fillId="102" fontId="76" numFmtId="0" xfId="0" applyAlignment="1" applyBorder="1" applyFill="1" applyFont="1">
      <alignment horizontal="right" vertical="center"/>
    </xf>
    <xf borderId="1284" fillId="101" fontId="127" numFmtId="0" xfId="0" applyAlignment="1" applyBorder="1" applyFont="1">
      <alignment horizontal="center" vertical="center"/>
    </xf>
    <xf borderId="969" fillId="102" fontId="119" numFmtId="0" xfId="0" applyAlignment="1" applyBorder="1" applyFont="1">
      <alignment horizontal="center" vertical="center"/>
    </xf>
    <xf borderId="1284" fillId="101" fontId="119" numFmtId="0" xfId="0" applyAlignment="1" applyBorder="1" applyFont="1">
      <alignment horizontal="center" vertical="center"/>
    </xf>
    <xf borderId="1285" fillId="101" fontId="125" numFmtId="0" xfId="0" applyAlignment="1" applyBorder="1" applyFont="1">
      <alignment horizontal="center" vertical="center"/>
    </xf>
    <xf borderId="1286" fillId="101" fontId="125" numFmtId="0" xfId="0" applyAlignment="1" applyBorder="1" applyFont="1">
      <alignment horizontal="center" vertical="center"/>
    </xf>
    <xf borderId="1284" fillId="0" fontId="4" numFmtId="0" xfId="0" applyBorder="1" applyFont="1"/>
    <xf borderId="1287" fillId="0" fontId="4" numFmtId="0" xfId="0" applyBorder="1" applyFont="1"/>
    <xf borderId="1288" fillId="101" fontId="125" numFmtId="0" xfId="0" applyAlignment="1" applyBorder="1" applyFont="1">
      <alignment horizontal="center" vertical="center"/>
    </xf>
    <xf borderId="1289" fillId="101" fontId="125" numFmtId="0" xfId="0" applyAlignment="1" applyBorder="1" applyFont="1">
      <alignment horizontal="center" vertical="center"/>
    </xf>
    <xf borderId="1283" fillId="101" fontId="110" numFmtId="0" xfId="0" applyAlignment="1" applyBorder="1" applyFont="1">
      <alignment horizontal="center" vertical="center"/>
    </xf>
    <xf borderId="199" fillId="101" fontId="76" numFmtId="0" xfId="0" applyAlignment="1" applyBorder="1" applyFont="1">
      <alignment horizontal="right" readingOrder="0" vertical="center"/>
    </xf>
    <xf borderId="1284" fillId="101" fontId="110" numFmtId="0" xfId="0" applyAlignment="1" applyBorder="1" applyFont="1">
      <alignment horizontal="center" readingOrder="0" vertical="center"/>
    </xf>
    <xf borderId="1290" fillId="101" fontId="112" numFmtId="0" xfId="0" applyAlignment="1" applyBorder="1" applyFont="1">
      <alignment horizontal="center" readingOrder="0" vertical="center"/>
    </xf>
    <xf borderId="1291" fillId="0" fontId="4" numFmtId="0" xfId="0" applyBorder="1" applyFont="1"/>
    <xf borderId="1292" fillId="0" fontId="4" numFmtId="0" xfId="0" applyBorder="1" applyFont="1"/>
    <xf borderId="1293" fillId="0" fontId="4" numFmtId="0" xfId="0" applyBorder="1" applyFont="1"/>
    <xf borderId="1286" fillId="101" fontId="110" numFmtId="0" xfId="0" applyAlignment="1" applyBorder="1" applyFont="1">
      <alignment horizontal="center" vertical="center"/>
    </xf>
    <xf borderId="1280" fillId="0" fontId="4" numFmtId="0" xfId="0" applyBorder="1" applyFont="1"/>
    <xf borderId="1289" fillId="101" fontId="110" numFmtId="0" xfId="0" applyAlignment="1" applyBorder="1" applyFont="1">
      <alignment horizontal="center" vertical="center"/>
    </xf>
    <xf borderId="1217" fillId="99" fontId="127" numFmtId="0" xfId="0" applyAlignment="1" applyBorder="1" applyFont="1">
      <alignment horizontal="center" vertical="center"/>
    </xf>
    <xf borderId="1283" fillId="101" fontId="127" numFmtId="0" xfId="0" applyAlignment="1" applyBorder="1" applyFont="1">
      <alignment horizontal="center" vertical="center"/>
    </xf>
    <xf borderId="1284" fillId="101" fontId="127" numFmtId="0" xfId="0" applyAlignment="1" applyBorder="1" applyFont="1">
      <alignment horizontal="center" readingOrder="0" vertical="center"/>
    </xf>
    <xf borderId="1294" fillId="101" fontId="119" numFmtId="0" xfId="0" applyAlignment="1" applyBorder="1" applyFont="1">
      <alignment horizontal="center" readingOrder="0" vertical="top"/>
    </xf>
    <xf borderId="1295" fillId="0" fontId="4" numFmtId="0" xfId="0" applyBorder="1" applyFont="1"/>
    <xf borderId="1296" fillId="0" fontId="4" numFmtId="0" xfId="0" applyBorder="1" applyFont="1"/>
    <xf borderId="1284" fillId="101" fontId="119" numFmtId="0" xfId="0" applyAlignment="1" applyBorder="1" applyFont="1">
      <alignment horizontal="center" readingOrder="0" vertical="center"/>
    </xf>
    <xf borderId="1289" fillId="101" fontId="127" numFmtId="0" xfId="0" applyAlignment="1" applyBorder="1" applyFont="1">
      <alignment horizontal="center" vertical="center"/>
    </xf>
    <xf borderId="1222" fillId="99" fontId="127" numFmtId="0" xfId="0" applyAlignment="1" applyBorder="1" applyFont="1">
      <alignment horizontal="center" vertical="center"/>
    </xf>
    <xf borderId="1297" fillId="101" fontId="125" numFmtId="0" xfId="0" applyAlignment="1" applyBorder="1" applyFont="1">
      <alignment horizontal="center" vertical="center"/>
    </xf>
    <xf borderId="1280" fillId="101" fontId="76" numFmtId="0" xfId="0" applyAlignment="1" applyBorder="1" applyFont="1">
      <alignment horizontal="right" vertical="center"/>
    </xf>
    <xf borderId="1298" fillId="101" fontId="110" numFmtId="0" xfId="0" applyAlignment="1" applyBorder="1" applyFont="1">
      <alignment horizontal="center" vertical="center"/>
    </xf>
    <xf borderId="1299" fillId="101" fontId="110" numFmtId="0" xfId="0" applyAlignment="1" applyBorder="1" applyFont="1">
      <alignment horizontal="center" vertical="top"/>
    </xf>
    <xf borderId="1300" fillId="0" fontId="4" numFmtId="0" xfId="0" applyBorder="1" applyFont="1"/>
    <xf borderId="1301" fillId="101" fontId="110" numFmtId="0" xfId="0" applyAlignment="1" applyBorder="1" applyFont="1">
      <alignment horizontal="center" vertical="top"/>
    </xf>
    <xf borderId="1302" fillId="101" fontId="110" numFmtId="0" xfId="0" applyAlignment="1" applyBorder="1" applyFont="1">
      <alignment horizontal="center" vertical="center"/>
    </xf>
    <xf borderId="1303" fillId="101" fontId="110" numFmtId="0" xfId="0" applyAlignment="1" applyBorder="1" applyFont="1">
      <alignment horizontal="center" vertical="top"/>
    </xf>
    <xf borderId="1304" fillId="101" fontId="110" numFmtId="0" xfId="0" applyAlignment="1" applyBorder="1" applyFont="1">
      <alignment horizontal="center" vertical="top"/>
    </xf>
    <xf borderId="1305" fillId="101" fontId="125" numFmtId="0" xfId="0" applyAlignment="1" applyBorder="1" applyFont="1">
      <alignment horizontal="center" vertical="center"/>
    </xf>
    <xf borderId="1281" fillId="0" fontId="4" numFmtId="0" xfId="0" applyBorder="1" applyFont="1"/>
    <xf borderId="1306" fillId="101" fontId="110" numFmtId="0" xfId="0" applyAlignment="1" applyBorder="1" applyFont="1">
      <alignment horizontal="center" readingOrder="0" vertical="center"/>
    </xf>
    <xf borderId="1307" fillId="0" fontId="4" numFmtId="0" xfId="0" applyBorder="1" applyFont="1"/>
    <xf borderId="1308" fillId="0" fontId="4" numFmtId="0" xfId="0" applyBorder="1" applyFont="1"/>
    <xf borderId="1288" fillId="101" fontId="76" numFmtId="0" xfId="0" applyAlignment="1" applyBorder="1" applyFont="1">
      <alignment horizontal="right" vertical="center"/>
    </xf>
    <xf borderId="1309" fillId="101" fontId="110" numFmtId="0" xfId="0" applyAlignment="1" applyBorder="1" applyFont="1">
      <alignment horizontal="center" readingOrder="0" vertical="center"/>
    </xf>
    <xf borderId="1310" fillId="0" fontId="4" numFmtId="0" xfId="0" applyBorder="1" applyFont="1"/>
    <xf borderId="1311" fillId="101" fontId="110" numFmtId="0" xfId="0" applyAlignment="1" applyBorder="1" applyFont="1">
      <alignment horizontal="center" readingOrder="0" vertical="center"/>
    </xf>
    <xf borderId="1312" fillId="0" fontId="4" numFmtId="0" xfId="0" applyBorder="1" applyFont="1"/>
    <xf borderId="1285" fillId="0" fontId="4" numFmtId="0" xfId="0" applyBorder="1" applyFont="1"/>
    <xf borderId="1313" fillId="101" fontId="142" numFmtId="0" xfId="0" applyAlignment="1" applyBorder="1" applyFont="1">
      <alignment horizontal="center" readingOrder="0" vertical="center"/>
    </xf>
    <xf borderId="1314" fillId="101" fontId="110" numFmtId="0" xfId="0" applyAlignment="1" applyBorder="1" applyFont="1">
      <alignment horizontal="center" readingOrder="0" vertical="center"/>
    </xf>
    <xf borderId="1305" fillId="101" fontId="76" numFmtId="0" xfId="0" applyAlignment="1" applyBorder="1" applyFont="1">
      <alignment horizontal="right" vertical="center"/>
    </xf>
    <xf borderId="1315" fillId="101" fontId="110" numFmtId="0" xfId="0" applyAlignment="1" applyBorder="1" applyFont="1">
      <alignment horizontal="center" readingOrder="0" vertical="center"/>
    </xf>
    <xf borderId="1316" fillId="101" fontId="110" numFmtId="0" xfId="0" applyAlignment="1" applyBorder="1" applyFont="1">
      <alignment horizontal="center" readingOrder="0" vertical="center"/>
    </xf>
    <xf borderId="1317" fillId="0" fontId="4" numFmtId="0" xfId="0" applyBorder="1" applyFont="1"/>
    <xf borderId="1318" fillId="101" fontId="110" numFmtId="0" xfId="0" applyAlignment="1" applyBorder="1" applyFont="1">
      <alignment horizontal="center" readingOrder="0" vertical="center"/>
    </xf>
    <xf borderId="1319" fillId="0" fontId="4" numFmtId="0" xfId="0" applyBorder="1" applyFont="1"/>
    <xf borderId="1320" fillId="0" fontId="4" numFmtId="0" xfId="0" applyBorder="1" applyFont="1"/>
    <xf borderId="1297" fillId="101" fontId="124" numFmtId="0" xfId="0" applyAlignment="1" applyBorder="1" applyFont="1">
      <alignment horizontal="center" vertical="center"/>
    </xf>
    <xf borderId="1305" fillId="101" fontId="74" numFmtId="0" xfId="0" applyAlignment="1" applyBorder="1" applyFont="1">
      <alignment horizontal="right" vertical="center"/>
    </xf>
    <xf borderId="1305" fillId="101" fontId="131" numFmtId="0" xfId="0" applyAlignment="1" applyBorder="1" applyFont="1">
      <alignment horizontal="center" vertical="center"/>
    </xf>
    <xf borderId="1280" fillId="101" fontId="131" numFmtId="0" xfId="0" applyAlignment="1" applyBorder="1" applyFont="1">
      <alignment horizontal="center" vertical="center"/>
    </xf>
    <xf borderId="1305" fillId="101" fontId="109" numFmtId="0" xfId="0" applyAlignment="1" applyBorder="1" applyFont="1">
      <alignment horizontal="center" vertical="center"/>
    </xf>
    <xf borderId="1305" fillId="101" fontId="132" numFmtId="0" xfId="0" applyAlignment="1" applyBorder="1" applyFont="1">
      <alignment horizontal="center" vertical="center"/>
    </xf>
    <xf borderId="1289" fillId="101" fontId="124" numFmtId="0" xfId="0" applyAlignment="1" applyBorder="1" applyFont="1">
      <alignment horizontal="center" vertical="center"/>
    </xf>
    <xf borderId="1297" fillId="101" fontId="133" numFmtId="0" xfId="0" applyAlignment="1" applyBorder="1" applyFont="1">
      <alignment horizontal="center" vertical="center"/>
    </xf>
    <xf borderId="1286" fillId="101" fontId="106" numFmtId="0" xfId="0" applyAlignment="1" applyBorder="1" applyFont="1">
      <alignment horizontal="center" vertical="center"/>
    </xf>
    <xf borderId="237" fillId="102" fontId="88" numFmtId="0" xfId="0" applyAlignment="1" applyBorder="1" applyFont="1">
      <alignment horizontal="center" readingOrder="0" vertical="top"/>
    </xf>
    <xf borderId="240" fillId="102" fontId="88" numFmtId="0" xfId="0" applyAlignment="1" applyBorder="1" applyFont="1">
      <alignment horizontal="center" readingOrder="0" vertical="top"/>
    </xf>
    <xf borderId="1286" fillId="101" fontId="89" numFmtId="0" xfId="0" applyAlignment="1" applyBorder="1" applyFont="1">
      <alignment horizontal="center" vertical="center"/>
    </xf>
    <xf borderId="1287" fillId="101" fontId="105" numFmtId="0" xfId="0" applyAlignment="1" applyBorder="1" applyFont="1">
      <alignment horizontal="center" vertical="center"/>
    </xf>
    <xf borderId="1305" fillId="101" fontId="106" numFmtId="0" xfId="0" applyAlignment="1" applyBorder="1" applyFont="1">
      <alignment horizontal="center" vertical="center"/>
    </xf>
    <xf borderId="1305" fillId="101" fontId="133" numFmtId="0" xfId="0" applyAlignment="1" applyBorder="1" applyFont="1">
      <alignment horizontal="center" vertical="center"/>
    </xf>
    <xf borderId="1289" fillId="101" fontId="133" numFmtId="0" xfId="0" applyAlignment="1" applyBorder="1" applyFont="1">
      <alignment horizontal="center" vertical="center"/>
    </xf>
    <xf borderId="1321" fillId="102" fontId="88" numFmtId="0" xfId="0" applyAlignment="1" applyBorder="1" applyFont="1">
      <alignment horizontal="center" readingOrder="0" vertical="center"/>
    </xf>
    <xf borderId="1322" fillId="102" fontId="88" numFmtId="0" xfId="0" applyAlignment="1" applyBorder="1" applyFont="1">
      <alignment horizontal="center" readingOrder="0" vertical="center"/>
    </xf>
    <xf borderId="1323" fillId="102" fontId="88" numFmtId="0" xfId="0" applyAlignment="1" applyBorder="1" applyFont="1">
      <alignment horizontal="left" readingOrder="0" vertical="center"/>
    </xf>
    <xf borderId="1324" fillId="102" fontId="88" numFmtId="0" xfId="0" applyAlignment="1" applyBorder="1" applyFont="1">
      <alignment horizontal="center" readingOrder="0" vertical="center"/>
    </xf>
    <xf borderId="1325" fillId="102" fontId="88" numFmtId="0" xfId="0" applyAlignment="1" applyBorder="1" applyFont="1">
      <alignment horizontal="center" readingOrder="0" vertical="center"/>
    </xf>
    <xf borderId="1326" fillId="102" fontId="88" numFmtId="0" xfId="0" applyAlignment="1" applyBorder="1" applyFont="1">
      <alignment horizontal="center" readingOrder="0" vertical="center"/>
    </xf>
    <xf borderId="1327" fillId="102" fontId="88" numFmtId="0" xfId="0" applyAlignment="1" applyBorder="1" applyFont="1">
      <alignment horizontal="left" readingOrder="0" vertical="center"/>
    </xf>
    <xf borderId="1328" fillId="102" fontId="88" numFmtId="0" xfId="0" applyAlignment="1" applyBorder="1" applyFont="1">
      <alignment horizontal="center" readingOrder="0" vertical="center"/>
    </xf>
    <xf borderId="1329" fillId="102" fontId="88" numFmtId="0" xfId="0" applyAlignment="1" applyBorder="1" applyFont="1">
      <alignment horizontal="center" readingOrder="0" vertical="center"/>
    </xf>
    <xf borderId="1330" fillId="102" fontId="88" numFmtId="0" xfId="0" applyAlignment="1" applyBorder="1" applyFont="1">
      <alignment horizontal="center" readingOrder="0" vertical="center"/>
    </xf>
    <xf borderId="1331" fillId="102" fontId="88" numFmtId="0" xfId="0" applyAlignment="1" applyBorder="1" applyFont="1">
      <alignment horizontal="left" readingOrder="0" vertical="center"/>
    </xf>
    <xf borderId="1332" fillId="102" fontId="88" numFmtId="0" xfId="0" applyAlignment="1" applyBorder="1" applyFont="1">
      <alignment horizontal="center" readingOrder="0" vertical="center"/>
    </xf>
    <xf borderId="253" fillId="102" fontId="88" numFmtId="0" xfId="0" applyAlignment="1" applyBorder="1" applyFont="1">
      <alignment horizontal="right" readingOrder="0" vertical="center"/>
    </xf>
    <xf borderId="256" fillId="102" fontId="88" numFmtId="0" xfId="0" applyAlignment="1" applyBorder="1" applyFont="1">
      <alignment horizontal="center" readingOrder="0" vertical="center"/>
    </xf>
    <xf borderId="1333" fillId="101" fontId="125" numFmtId="0" xfId="0" applyAlignment="1" applyBorder="1" applyFont="1">
      <alignment horizontal="center" vertical="center"/>
    </xf>
    <xf borderId="1334" fillId="101" fontId="74" numFmtId="0" xfId="0" applyAlignment="1" applyBorder="1" applyFont="1">
      <alignment horizontal="right" readingOrder="0" vertical="center"/>
    </xf>
    <xf borderId="1334" fillId="101" fontId="75" numFmtId="0" xfId="0" applyAlignment="1" applyBorder="1" applyFont="1">
      <alignment horizontal="center" readingOrder="0" vertical="center"/>
    </xf>
    <xf borderId="1335" fillId="101" fontId="75" numFmtId="0" xfId="0" applyAlignment="1" applyBorder="1" applyFont="1">
      <alignment horizontal="center" readingOrder="0" vertical="center"/>
    </xf>
    <xf borderId="1336" fillId="101" fontId="125" numFmtId="0" xfId="0" applyAlignment="1" applyBorder="1" applyFont="1">
      <alignment horizontal="center" vertical="center"/>
    </xf>
    <xf borderId="1337" fillId="9" fontId="125" numFmtId="0" xfId="0" applyAlignment="1" applyBorder="1" applyFont="1">
      <alignment horizontal="center" vertical="center"/>
    </xf>
    <xf borderId="56" fillId="9" fontId="136" numFmtId="0" xfId="0" applyAlignment="1" applyBorder="1" applyFont="1">
      <alignment horizontal="center" readingOrder="0" vertical="center"/>
    </xf>
    <xf borderId="1338" fillId="9" fontId="127" numFmtId="0" xfId="0" applyAlignment="1" applyBorder="1" applyFont="1">
      <alignment horizontal="center" vertical="center"/>
    </xf>
    <xf borderId="48" fillId="9" fontId="110" numFmtId="0" xfId="0" applyAlignment="1" applyBorder="1" applyFont="1">
      <alignment horizontal="center" vertical="center"/>
    </xf>
    <xf borderId="1339" fillId="9" fontId="125" numFmtId="0" xfId="0" applyAlignment="1" applyBorder="1" applyFont="1">
      <alignment horizontal="center" vertical="center"/>
    </xf>
    <xf borderId="1338" fillId="9" fontId="110" numFmtId="0" xfId="0" applyAlignment="1" applyBorder="1" applyFont="1">
      <alignment horizontal="center" readingOrder="0" vertical="center"/>
    </xf>
    <xf borderId="1340" fillId="0" fontId="4" numFmtId="0" xfId="0" applyBorder="1" applyFont="1"/>
    <xf borderId="1239" fillId="9" fontId="114" numFmtId="0" xfId="0" applyAlignment="1" applyBorder="1" applyFont="1">
      <alignment horizontal="center" readingOrder="0" vertical="top"/>
    </xf>
    <xf borderId="1341" fillId="0" fontId="4" numFmtId="0" xfId="0" applyBorder="1" applyFont="1"/>
    <xf borderId="121" fillId="0" fontId="4" numFmtId="0" xfId="0" applyBorder="1" applyFont="1"/>
    <xf borderId="61" fillId="9" fontId="133" numFmtId="0" xfId="0" applyAlignment="1" applyBorder="1" applyFont="1">
      <alignment horizontal="center" vertical="center"/>
    </xf>
    <xf borderId="1342" fillId="9" fontId="74" numFmtId="0" xfId="0" applyAlignment="1" applyBorder="1" applyFont="1">
      <alignment horizontal="right" vertical="center"/>
    </xf>
    <xf borderId="1343" fillId="9" fontId="133" numFmtId="0" xfId="0" applyAlignment="1" applyBorder="1" applyFont="1">
      <alignment horizontal="center" vertical="center"/>
    </xf>
    <xf borderId="1344" fillId="9" fontId="106" numFmtId="0" xfId="0" applyAlignment="1" applyBorder="1" applyFont="1">
      <alignment horizontal="center" vertical="center"/>
    </xf>
    <xf borderId="1345" fillId="9" fontId="106" numFmtId="0" xfId="0" applyAlignment="1" applyBorder="1" applyFont="1">
      <alignment horizontal="center" vertical="center"/>
    </xf>
    <xf borderId="1346" fillId="9" fontId="133" numFmtId="0" xfId="0" applyAlignment="1" applyBorder="1" applyFont="1">
      <alignment horizontal="center" vertical="center"/>
    </xf>
    <xf borderId="1347" fillId="9" fontId="76" numFmtId="0" xfId="0" applyAlignment="1" applyBorder="1" applyFont="1">
      <alignment horizontal="right" vertical="center"/>
    </xf>
    <xf borderId="1347" fillId="9" fontId="125" numFmtId="0" xfId="0" applyAlignment="1" applyBorder="1" applyFont="1">
      <alignment horizontal="center" vertical="center"/>
    </xf>
    <xf borderId="1268" fillId="9" fontId="125" numFmtId="0" xfId="0" applyAlignment="1" applyBorder="1" applyFont="1">
      <alignment horizontal="center" readingOrder="0" vertical="center"/>
    </xf>
    <xf borderId="1268" fillId="9" fontId="125" numFmtId="0" xfId="0" applyAlignment="1" applyBorder="1" applyFont="1">
      <alignment horizontal="center" vertical="center"/>
    </xf>
    <xf borderId="1348" fillId="9" fontId="125" numFmtId="0" xfId="0" applyAlignment="1" applyBorder="1" applyFont="1">
      <alignment horizontal="center" vertical="center"/>
    </xf>
    <xf borderId="1349" fillId="9" fontId="133" numFmtId="0" xfId="0" applyAlignment="1" applyBorder="1" applyFont="1">
      <alignment horizontal="center" vertical="center"/>
    </xf>
    <xf borderId="1350" fillId="9" fontId="133" numFmtId="0" xfId="0" applyAlignment="1" applyBorder="1" applyFont="1">
      <alignment horizontal="center" vertical="center"/>
    </xf>
    <xf borderId="1351" fillId="9" fontId="76" numFmtId="0" xfId="0" applyAlignment="1" applyBorder="1" applyFont="1">
      <alignment horizontal="right" vertical="center"/>
    </xf>
    <xf borderId="1351" fillId="9" fontId="125" numFmtId="0" xfId="0" applyAlignment="1" applyBorder="1" applyFont="1">
      <alignment horizontal="center" vertical="center"/>
    </xf>
    <xf borderId="1352" fillId="9" fontId="125" numFmtId="0" xfId="0" applyAlignment="1" applyBorder="1" applyFont="1">
      <alignment horizontal="center" vertical="center"/>
    </xf>
    <xf borderId="1277" fillId="9" fontId="125" numFmtId="0" xfId="0" applyAlignment="1" applyBorder="1" applyFont="1">
      <alignment horizontal="center" vertical="center"/>
    </xf>
    <xf borderId="969" fillId="102" fontId="127" numFmtId="0" xfId="0" applyAlignment="1" applyBorder="1" applyFont="1">
      <alignment horizontal="center" vertical="center"/>
    </xf>
    <xf borderId="1294" fillId="101" fontId="114" numFmtId="0" xfId="0" applyAlignment="1" applyBorder="1" applyFont="1">
      <alignment horizontal="center" readingOrder="0" vertical="top"/>
    </xf>
    <xf borderId="1353" fillId="101" fontId="110" numFmtId="0" xfId="0" applyAlignment="1" applyBorder="1" applyFont="1">
      <alignment horizontal="left" vertical="top"/>
    </xf>
    <xf borderId="1353" fillId="101" fontId="110" numFmtId="0" xfId="0" applyAlignment="1" applyBorder="1" applyFont="1">
      <alignment horizontal="right" vertical="top"/>
    </xf>
    <xf borderId="1313" fillId="101" fontId="110" numFmtId="0" xfId="0" applyAlignment="1" applyBorder="1" applyFont="1">
      <alignment horizontal="center" readingOrder="0" vertical="center"/>
    </xf>
    <xf borderId="1284" fillId="101" fontId="110" numFmtId="0" xfId="0" applyAlignment="1" applyBorder="1" applyFont="1">
      <alignment horizontal="center" vertical="center"/>
    </xf>
    <xf borderId="1288" fillId="101" fontId="131" numFmtId="0" xfId="0" applyAlignment="1" applyBorder="1" applyFont="1">
      <alignment horizontal="center" vertical="center"/>
    </xf>
    <xf borderId="1284" fillId="101" fontId="143" numFmtId="0" xfId="0" applyAlignment="1" applyBorder="1" applyFont="1">
      <alignment vertical="center"/>
    </xf>
    <xf borderId="1284" fillId="101" fontId="89" numFmtId="0" xfId="0" applyAlignment="1" applyBorder="1" applyFont="1">
      <alignment horizontal="center" vertical="center"/>
    </xf>
    <xf borderId="1287" fillId="101" fontId="133" numFmtId="0" xfId="0" applyAlignment="1" applyBorder="1" applyFont="1">
      <alignment horizontal="center" vertical="center"/>
    </xf>
    <xf borderId="1284" fillId="101" fontId="143" numFmtId="0" xfId="0" applyAlignment="1" applyBorder="1" applyFont="1">
      <alignment vertical="center"/>
    </xf>
    <xf borderId="1284" fillId="101" fontId="89" numFmtId="0" xfId="0" applyAlignment="1" applyBorder="1" applyFont="1">
      <alignment horizontal="center" vertical="center"/>
    </xf>
    <xf borderId="1287" fillId="101" fontId="133" numFmtId="0" xfId="0" applyAlignment="1" applyBorder="1" applyFont="1">
      <alignment horizontal="center" vertical="center"/>
    </xf>
    <xf borderId="969" fillId="103" fontId="119" numFmtId="0" xfId="0" applyAlignment="1" applyBorder="1" applyFill="1" applyFont="1">
      <alignment horizontal="center" vertical="center"/>
    </xf>
    <xf borderId="237" fillId="103" fontId="119" numFmtId="0" xfId="0" applyAlignment="1" applyBorder="1" applyFont="1">
      <alignment horizontal="center" vertical="center"/>
    </xf>
    <xf borderId="240" fillId="0" fontId="4" numFmtId="0" xfId="0" applyBorder="1" applyFont="1"/>
    <xf borderId="53" fillId="9" fontId="89" numFmtId="0" xfId="0" applyAlignment="1" applyBorder="1" applyFont="1">
      <alignment horizontal="center" vertical="center"/>
    </xf>
    <xf borderId="61" fillId="9" fontId="133" numFmtId="0" xfId="0" applyAlignment="1" applyBorder="1" applyFont="1">
      <alignment horizontal="center" vertical="center"/>
    </xf>
    <xf borderId="56" fillId="9" fontId="125" numFmtId="0" xfId="0" applyAlignment="1" applyBorder="1" applyFont="1">
      <alignment horizontal="center" vertical="center"/>
    </xf>
    <xf borderId="74" fillId="9" fontId="125" numFmtId="0" xfId="0" applyAlignment="1" applyBorder="1" applyFont="1">
      <alignment horizontal="center" readingOrder="0" vertical="center"/>
    </xf>
    <xf borderId="1354" fillId="100" fontId="110" numFmtId="0" xfId="0" applyAlignment="1" applyBorder="1" applyFont="1">
      <alignment horizontal="center" vertical="center"/>
    </xf>
    <xf borderId="1355" fillId="0" fontId="4" numFmtId="0" xfId="0" applyBorder="1" applyFont="1"/>
    <xf borderId="1271" fillId="100" fontId="88" numFmtId="0" xfId="0" applyAlignment="1" applyBorder="1" applyFont="1">
      <alignment horizontal="center" vertical="center"/>
    </xf>
    <xf borderId="1271" fillId="100" fontId="144" numFmtId="0" xfId="0" applyAlignment="1" applyBorder="1" applyFont="1">
      <alignment horizontal="center" vertical="center"/>
    </xf>
    <xf borderId="1271" fillId="100" fontId="88" numFmtId="0" xfId="0" applyAlignment="1" applyBorder="1" applyFont="1">
      <alignment horizontal="center" vertical="center"/>
    </xf>
    <xf borderId="1271" fillId="100" fontId="144" numFmtId="0" xfId="0" applyAlignment="1" applyBorder="1" applyFont="1">
      <alignment horizontal="center" vertical="center"/>
    </xf>
    <xf borderId="1312" fillId="101" fontId="110" numFmtId="0" xfId="0" applyAlignment="1" applyBorder="1" applyFont="1">
      <alignment horizontal="center" vertical="center"/>
    </xf>
    <xf borderId="1356" fillId="101" fontId="125" numFmtId="0" xfId="0" applyAlignment="1" applyBorder="1" applyFont="1">
      <alignment horizontal="center" vertical="center"/>
    </xf>
    <xf borderId="1356" fillId="101" fontId="110" numFmtId="0" xfId="0" applyAlignment="1" applyBorder="1" applyFont="1">
      <alignment horizontal="center" vertical="center"/>
    </xf>
    <xf borderId="1356" fillId="101" fontId="127" numFmtId="0" xfId="0" applyAlignment="1" applyBorder="1" applyFont="1">
      <alignment horizontal="center" vertical="center"/>
    </xf>
    <xf borderId="1357" fillId="0" fontId="4" numFmtId="0" xfId="0" applyBorder="1" applyFont="1"/>
    <xf borderId="1284" fillId="101" fontId="145" numFmtId="0" xfId="0" applyAlignment="1" applyBorder="1" applyFont="1">
      <alignment horizontal="center" vertical="center"/>
    </xf>
    <xf borderId="1356" fillId="101" fontId="133" numFmtId="0" xfId="0" applyAlignment="1" applyBorder="1" applyFont="1">
      <alignment horizontal="center" vertical="center"/>
    </xf>
    <xf borderId="1284" fillId="101" fontId="145" numFmtId="0" xfId="0" applyAlignment="1" applyBorder="1" applyFont="1">
      <alignment horizontal="center" vertical="center"/>
    </xf>
    <xf borderId="1356" fillId="101" fontId="133" numFmtId="0" xfId="0" applyAlignment="1" applyBorder="1" applyFont="1">
      <alignment horizontal="center" vertical="center"/>
    </xf>
    <xf borderId="1328" fillId="102" fontId="88" numFmtId="0" xfId="0" applyAlignment="1" applyBorder="1" applyFont="1">
      <alignment horizontal="center" vertical="center"/>
    </xf>
    <xf borderId="543" fillId="102" fontId="88" numFmtId="0" xfId="0" applyAlignment="1" applyBorder="1" applyFont="1">
      <alignment horizontal="right" readingOrder="0" vertical="center"/>
    </xf>
    <xf borderId="546" fillId="102" fontId="88" numFmtId="0" xfId="0" applyAlignment="1" applyBorder="1" applyFont="1">
      <alignment horizontal="center" readingOrder="0" vertical="center"/>
    </xf>
    <xf borderId="1281" fillId="101" fontId="89" numFmtId="0" xfId="0" applyAlignment="1" applyBorder="1" applyFont="1">
      <alignment horizontal="center" vertical="center"/>
    </xf>
    <xf borderId="1305" fillId="101" fontId="89" numFmtId="0" xfId="0" applyAlignment="1" applyBorder="1" applyFont="1">
      <alignment horizontal="center" vertical="center"/>
    </xf>
    <xf borderId="548" fillId="102" fontId="88" numFmtId="0" xfId="0" applyAlignment="1" applyBorder="1" applyFont="1">
      <alignment horizontal="right" readingOrder="0" vertical="center"/>
    </xf>
    <xf borderId="551" fillId="102" fontId="88" numFmtId="0" xfId="0" applyAlignment="1" applyBorder="1" applyFont="1">
      <alignment horizontal="center" readingOrder="0" vertical="center"/>
    </xf>
    <xf borderId="1358" fillId="104" fontId="125" numFmtId="0" xfId="0" applyAlignment="1" applyBorder="1" applyFill="1" applyFont="1">
      <alignment horizontal="center" vertical="center"/>
    </xf>
    <xf borderId="1359" fillId="104" fontId="74" numFmtId="0" xfId="0" applyAlignment="1" applyBorder="1" applyFont="1">
      <alignment horizontal="right" readingOrder="0" vertical="center"/>
    </xf>
    <xf borderId="1360" fillId="104" fontId="75" numFmtId="0" xfId="0" applyAlignment="1" applyBorder="1" applyFont="1">
      <alignment horizontal="center" readingOrder="0" vertical="center"/>
    </xf>
    <xf borderId="1359" fillId="104" fontId="75" numFmtId="0" xfId="0" applyAlignment="1" applyBorder="1" applyFont="1">
      <alignment horizontal="center" readingOrder="0" vertical="center"/>
    </xf>
    <xf borderId="1361" fillId="104" fontId="125" numFmtId="0" xfId="0" applyAlignment="1" applyBorder="1" applyFont="1">
      <alignment horizontal="center" vertical="center"/>
    </xf>
    <xf borderId="1362" fillId="104" fontId="125" numFmtId="0" xfId="0" applyAlignment="1" applyBorder="1" applyFont="1">
      <alignment horizontal="center" vertical="center"/>
    </xf>
    <xf borderId="189" fillId="56" fontId="76" numFmtId="0" xfId="0" applyAlignment="1" applyBorder="1" applyFont="1">
      <alignment horizontal="right" vertical="center"/>
    </xf>
    <xf borderId="1363" fillId="104" fontId="127" numFmtId="0" xfId="0" applyAlignment="1" applyBorder="1" applyFont="1">
      <alignment horizontal="center" vertical="center"/>
    </xf>
    <xf borderId="969" fillId="56" fontId="127" numFmtId="0" xfId="0" applyAlignment="1" applyBorder="1" applyFont="1">
      <alignment horizontal="center" vertical="center"/>
    </xf>
    <xf borderId="1364" fillId="104" fontId="125" numFmtId="0" xfId="0" applyAlignment="1" applyBorder="1" applyFont="1">
      <alignment horizontal="center" vertical="center"/>
    </xf>
    <xf borderId="1362" fillId="104" fontId="110" numFmtId="0" xfId="0" applyAlignment="1" applyBorder="1" applyFont="1">
      <alignment horizontal="center" vertical="center"/>
    </xf>
    <xf borderId="199" fillId="104" fontId="76" numFmtId="0" xfId="0" applyAlignment="1" applyBorder="1" applyFont="1">
      <alignment horizontal="right" readingOrder="0" vertical="center"/>
    </xf>
    <xf borderId="1363" fillId="104" fontId="110" numFmtId="0" xfId="0" applyAlignment="1" applyBorder="1" applyFont="1">
      <alignment horizontal="center" readingOrder="0" vertical="center"/>
    </xf>
    <xf borderId="1365" fillId="104" fontId="112" numFmtId="0" xfId="0" applyAlignment="1" applyBorder="1" applyFont="1">
      <alignment horizontal="center" readingOrder="0" vertical="center"/>
    </xf>
    <xf borderId="1366" fillId="0" fontId="4" numFmtId="0" xfId="0" applyBorder="1" applyFont="1"/>
    <xf borderId="1367" fillId="0" fontId="4" numFmtId="0" xfId="0" applyBorder="1" applyFont="1"/>
    <xf borderId="1364" fillId="104" fontId="110" numFmtId="0" xfId="0" applyAlignment="1" applyBorder="1" applyFont="1">
      <alignment horizontal="center" vertical="center"/>
    </xf>
    <xf borderId="1362" fillId="104" fontId="127" numFmtId="0" xfId="0" applyAlignment="1" applyBorder="1" applyFont="1">
      <alignment horizontal="center" vertical="center"/>
    </xf>
    <xf borderId="1363" fillId="104" fontId="127" numFmtId="0" xfId="0" applyAlignment="1" applyBorder="1" applyFont="1">
      <alignment horizontal="center" readingOrder="0" vertical="center"/>
    </xf>
    <xf borderId="1368" fillId="104" fontId="119" numFmtId="0" xfId="0" applyAlignment="1" applyBorder="1" applyFont="1">
      <alignment horizontal="center" readingOrder="0" vertical="top"/>
    </xf>
    <xf borderId="1369" fillId="0" fontId="4" numFmtId="0" xfId="0" applyBorder="1" applyFont="1"/>
    <xf borderId="1370" fillId="0" fontId="4" numFmtId="0" xfId="0" applyBorder="1" applyFont="1"/>
    <xf borderId="1363" fillId="104" fontId="119" numFmtId="0" xfId="0" applyAlignment="1" applyBorder="1" applyFont="1">
      <alignment horizontal="center" readingOrder="0" vertical="center"/>
    </xf>
    <xf borderId="1364" fillId="104" fontId="127" numFmtId="0" xfId="0" applyAlignment="1" applyBorder="1" applyFont="1">
      <alignment horizontal="center" vertical="center"/>
    </xf>
    <xf borderId="1371" fillId="104" fontId="125" numFmtId="0" xfId="0" applyAlignment="1" applyBorder="1" applyFont="1">
      <alignment horizontal="center" vertical="center"/>
    </xf>
    <xf borderId="1359" fillId="104" fontId="76" numFmtId="0" xfId="0" applyAlignment="1" applyBorder="1" applyFont="1">
      <alignment horizontal="right" vertical="center"/>
    </xf>
    <xf borderId="1372" fillId="104" fontId="125" numFmtId="0" xfId="0" applyAlignment="1" applyBorder="1" applyFont="1">
      <alignment horizontal="center" vertical="center"/>
    </xf>
    <xf borderId="1373" fillId="104" fontId="110" numFmtId="0" xfId="0" applyAlignment="1" applyBorder="1" applyFont="1">
      <alignment horizontal="center" vertical="center"/>
    </xf>
    <xf borderId="1374" fillId="104" fontId="110" numFmtId="0" xfId="0" applyAlignment="1" applyBorder="1" applyFont="1">
      <alignment horizontal="right" vertical="top"/>
    </xf>
    <xf borderId="1374" fillId="104" fontId="110" numFmtId="0" xfId="0" applyAlignment="1" applyBorder="1" applyFont="1">
      <alignment horizontal="left" vertical="top"/>
    </xf>
    <xf borderId="1375" fillId="104" fontId="110" numFmtId="0" xfId="0" applyAlignment="1" applyBorder="1" applyFont="1">
      <alignment horizontal="center" vertical="top"/>
    </xf>
    <xf borderId="1372" fillId="104" fontId="110" numFmtId="0" xfId="0" applyAlignment="1" applyBorder="1" applyFont="1">
      <alignment horizontal="center" vertical="center"/>
    </xf>
    <xf borderId="1376" fillId="104" fontId="110" numFmtId="0" xfId="0" applyAlignment="1" applyBorder="1" applyFont="1">
      <alignment horizontal="center" vertical="top"/>
    </xf>
    <xf borderId="1377" fillId="0" fontId="4" numFmtId="0" xfId="0" applyBorder="1" applyFont="1"/>
    <xf borderId="1359" fillId="0" fontId="4" numFmtId="0" xfId="0" applyBorder="1" applyFont="1"/>
    <xf borderId="1378" fillId="104" fontId="110" numFmtId="0" xfId="0" applyAlignment="1" applyBorder="1" applyFont="1">
      <alignment horizontal="center" vertical="center"/>
    </xf>
    <xf borderId="1379" fillId="104" fontId="110" numFmtId="0" xfId="0" applyAlignment="1" applyBorder="1" applyFont="1">
      <alignment horizontal="center" vertical="top"/>
    </xf>
    <xf borderId="1380" fillId="104" fontId="110" numFmtId="0" xfId="0" applyAlignment="1" applyBorder="1" applyFont="1">
      <alignment horizontal="center" vertical="top"/>
    </xf>
    <xf borderId="1360" fillId="0" fontId="4" numFmtId="0" xfId="0" applyBorder="1" applyFont="1"/>
    <xf borderId="1381" fillId="104" fontId="110" numFmtId="0" xfId="0" applyAlignment="1" applyBorder="1" applyFont="1">
      <alignment horizontal="center" readingOrder="0" vertical="center"/>
    </xf>
    <xf borderId="1382" fillId="0" fontId="4" numFmtId="0" xfId="0" applyBorder="1" applyFont="1"/>
    <xf borderId="1383" fillId="0" fontId="4" numFmtId="0" xfId="0" applyBorder="1" applyFont="1"/>
    <xf borderId="1384" fillId="104" fontId="76" numFmtId="0" xfId="0" applyAlignment="1" applyBorder="1" applyFont="1">
      <alignment horizontal="right" vertical="center"/>
    </xf>
    <xf borderId="1385" fillId="104" fontId="110" numFmtId="0" xfId="0" applyAlignment="1" applyBorder="1" applyFont="1">
      <alignment horizontal="center" readingOrder="0" vertical="center"/>
    </xf>
    <xf borderId="1363" fillId="0" fontId="4" numFmtId="0" xfId="0" applyBorder="1" applyFont="1"/>
    <xf borderId="1386" fillId="0" fontId="4" numFmtId="0" xfId="0" applyBorder="1" applyFont="1"/>
    <xf borderId="1385" fillId="104" fontId="119" numFmtId="0" xfId="0" applyAlignment="1" applyBorder="1" applyFont="1">
      <alignment horizontal="center" readingOrder="0" vertical="center"/>
    </xf>
    <xf borderId="1387" fillId="104" fontId="110" numFmtId="0" xfId="0" applyAlignment="1" applyBorder="1" applyFont="1">
      <alignment horizontal="center" readingOrder="0" vertical="center"/>
    </xf>
    <xf borderId="1388" fillId="0" fontId="4" numFmtId="0" xfId="0" applyBorder="1" applyFont="1"/>
    <xf borderId="1389" fillId="0" fontId="4" numFmtId="0" xfId="0" applyBorder="1" applyFont="1"/>
    <xf borderId="1390" fillId="104" fontId="110" numFmtId="0" xfId="0" applyAlignment="1" applyBorder="1" applyFont="1">
      <alignment horizontal="center" readingOrder="0" vertical="center"/>
    </xf>
    <xf borderId="1391" fillId="104" fontId="110" numFmtId="0" xfId="0" applyAlignment="1" applyBorder="1" applyFont="1">
      <alignment horizontal="center" readingOrder="0" vertical="center"/>
    </xf>
    <xf borderId="1392" fillId="104" fontId="76" numFmtId="0" xfId="0" applyAlignment="1" applyBorder="1" applyFont="1">
      <alignment horizontal="right" vertical="center"/>
    </xf>
    <xf borderId="1393" fillId="104" fontId="110" numFmtId="0" xfId="0" applyAlignment="1" applyBorder="1" applyFont="1">
      <alignment horizontal="center" readingOrder="0" vertical="center"/>
    </xf>
    <xf borderId="1394" fillId="104" fontId="110" numFmtId="0" xfId="0" applyAlignment="1" applyBorder="1" applyFont="1">
      <alignment horizontal="center" readingOrder="0" vertical="center"/>
    </xf>
    <xf borderId="1395" fillId="0" fontId="4" numFmtId="0" xfId="0" applyBorder="1" applyFont="1"/>
    <xf borderId="1396" fillId="104" fontId="110" numFmtId="0" xfId="0" applyAlignment="1" applyBorder="1" applyFont="1">
      <alignment horizontal="center" readingOrder="0" vertical="center"/>
    </xf>
    <xf borderId="1371" fillId="104" fontId="124" numFmtId="0" xfId="0" applyAlignment="1" applyBorder="1" applyFont="1">
      <alignment horizontal="center" vertical="center"/>
    </xf>
    <xf borderId="1392" fillId="104" fontId="74" numFmtId="0" xfId="0" applyAlignment="1" applyBorder="1" applyFont="1">
      <alignment horizontal="right" vertical="center"/>
    </xf>
    <xf borderId="1392" fillId="104" fontId="131" numFmtId="0" xfId="0" applyAlignment="1" applyBorder="1" applyFont="1">
      <alignment horizontal="center" vertical="center"/>
    </xf>
    <xf borderId="1359" fillId="104" fontId="131" numFmtId="0" xfId="0" applyAlignment="1" applyBorder="1" applyFont="1">
      <alignment horizontal="center" vertical="center"/>
    </xf>
    <xf borderId="1397" fillId="104" fontId="131" numFmtId="0" xfId="0" applyAlignment="1" applyBorder="1" applyFont="1">
      <alignment horizontal="center" vertical="center"/>
    </xf>
    <xf borderId="1398" fillId="104" fontId="124" numFmtId="0" xfId="0" applyAlignment="1" applyBorder="1" applyFont="1">
      <alignment horizontal="center" vertical="center"/>
    </xf>
    <xf borderId="1371" fillId="104" fontId="133" numFmtId="0" xfId="0" applyAlignment="1" applyBorder="1" applyFont="1">
      <alignment horizontal="center" vertical="center"/>
    </xf>
    <xf borderId="1372" fillId="104" fontId="106" numFmtId="0" xfId="0" applyAlignment="1" applyBorder="1" applyFont="1">
      <alignment horizontal="center" vertical="center"/>
    </xf>
    <xf borderId="237" fillId="56" fontId="88" numFmtId="0" xfId="0" applyAlignment="1" applyBorder="1" applyFont="1">
      <alignment horizontal="center" readingOrder="0" vertical="top"/>
    </xf>
    <xf borderId="240" fillId="56" fontId="88" numFmtId="0" xfId="0" applyAlignment="1" applyBorder="1" applyFont="1">
      <alignment horizontal="center" readingOrder="0" vertical="top"/>
    </xf>
    <xf borderId="1372" fillId="104" fontId="89" numFmtId="0" xfId="0" applyAlignment="1" applyBorder="1" applyFont="1">
      <alignment horizontal="center" vertical="center"/>
    </xf>
    <xf borderId="1364" fillId="104" fontId="133" numFmtId="0" xfId="0" applyAlignment="1" applyBorder="1" applyFont="1">
      <alignment horizontal="center" vertical="center"/>
    </xf>
    <xf borderId="1399" fillId="56" fontId="88" numFmtId="0" xfId="0" applyAlignment="1" applyBorder="1" applyFont="1">
      <alignment horizontal="center" readingOrder="0" vertical="center"/>
    </xf>
    <xf borderId="1400" fillId="56" fontId="88" numFmtId="0" xfId="0" applyAlignment="1" applyBorder="1" applyFont="1">
      <alignment horizontal="center" readingOrder="0" vertical="center"/>
    </xf>
    <xf borderId="1401" fillId="56" fontId="88" numFmtId="0" xfId="0" applyAlignment="1" applyBorder="1" applyFont="1">
      <alignment horizontal="left" readingOrder="0" vertical="center"/>
    </xf>
    <xf borderId="1402" fillId="56" fontId="88" numFmtId="0" xfId="0" applyAlignment="1" applyBorder="1" applyFont="1">
      <alignment horizontal="center" readingOrder="0" vertical="center"/>
    </xf>
    <xf borderId="1372" fillId="104" fontId="89" numFmtId="0" xfId="0" applyAlignment="1" applyBorder="1" applyFont="1">
      <alignment horizontal="center" vertical="center"/>
    </xf>
    <xf borderId="1364" fillId="104" fontId="133" numFmtId="0" xfId="0" applyAlignment="1" applyBorder="1" applyFont="1">
      <alignment horizontal="center" vertical="center"/>
    </xf>
    <xf borderId="1403" fillId="56" fontId="88" numFmtId="0" xfId="0" applyAlignment="1" applyBorder="1" applyFont="1">
      <alignment horizontal="center" readingOrder="0" vertical="center"/>
    </xf>
    <xf borderId="1404" fillId="56" fontId="88" numFmtId="0" xfId="0" applyAlignment="1" applyBorder="1" applyFont="1">
      <alignment horizontal="center" readingOrder="0" vertical="center"/>
    </xf>
    <xf borderId="1405" fillId="56" fontId="88" numFmtId="0" xfId="0" applyAlignment="1" applyBorder="1" applyFont="1">
      <alignment horizontal="left" readingOrder="0" vertical="center"/>
    </xf>
    <xf borderId="1406" fillId="56" fontId="88" numFmtId="0" xfId="0" applyAlignment="1" applyBorder="1" applyFont="1">
      <alignment horizontal="center" readingOrder="0" vertical="center"/>
    </xf>
    <xf borderId="1406" fillId="56" fontId="88" numFmtId="0" xfId="0" applyAlignment="1" applyBorder="1" applyFont="1">
      <alignment horizontal="center" vertical="center"/>
    </xf>
    <xf borderId="1407" fillId="56" fontId="88" numFmtId="0" xfId="0" applyAlignment="1" applyBorder="1" applyFont="1">
      <alignment horizontal="center" readingOrder="0" vertical="center"/>
    </xf>
    <xf borderId="1408" fillId="56" fontId="88" numFmtId="0" xfId="0" applyAlignment="1" applyBorder="1" applyFont="1">
      <alignment horizontal="center" readingOrder="0" vertical="center"/>
    </xf>
    <xf borderId="1409" fillId="56" fontId="88" numFmtId="0" xfId="0" applyAlignment="1" applyBorder="1" applyFont="1">
      <alignment horizontal="left" readingOrder="0" vertical="center"/>
    </xf>
    <xf borderId="1410" fillId="56" fontId="88" numFmtId="0" xfId="0" applyAlignment="1" applyBorder="1" applyFont="1">
      <alignment horizontal="center" readingOrder="0" vertical="center"/>
    </xf>
    <xf borderId="253" fillId="56" fontId="88" numFmtId="0" xfId="0" applyAlignment="1" applyBorder="1" applyFont="1">
      <alignment horizontal="right" readingOrder="0" vertical="center"/>
    </xf>
    <xf borderId="256" fillId="56" fontId="88" numFmtId="0" xfId="0" applyAlignment="1" applyBorder="1" applyFont="1">
      <alignment horizontal="center" readingOrder="0" vertical="center"/>
    </xf>
    <xf borderId="543" fillId="56" fontId="88" numFmtId="0" xfId="0" applyAlignment="1" applyBorder="1" applyFont="1">
      <alignment horizontal="right" readingOrder="0" vertical="center"/>
    </xf>
    <xf borderId="546" fillId="56" fontId="88" numFmtId="0" xfId="0" applyAlignment="1" applyBorder="1" applyFont="1">
      <alignment horizontal="center" readingOrder="0" vertical="center"/>
    </xf>
    <xf borderId="1392" fillId="104" fontId="89" numFmtId="0" xfId="0" applyAlignment="1" applyBorder="1" applyFont="1">
      <alignment horizontal="center" vertical="center"/>
    </xf>
    <xf borderId="1360" fillId="104" fontId="89" numFmtId="0" xfId="0" applyAlignment="1" applyBorder="1" applyFont="1">
      <alignment horizontal="center" vertical="center"/>
    </xf>
    <xf borderId="548" fillId="56" fontId="88" numFmtId="0" xfId="0" applyAlignment="1" applyBorder="1" applyFont="1">
      <alignment horizontal="right" readingOrder="0" vertical="center"/>
    </xf>
    <xf borderId="551" fillId="56" fontId="88" numFmtId="0" xfId="0" applyAlignment="1" applyBorder="1" applyFont="1">
      <alignment horizontal="center" readingOrder="0" vertical="center"/>
    </xf>
    <xf borderId="1411" fillId="104" fontId="125" numFmtId="0" xfId="0" applyAlignment="1" applyBorder="1" applyFont="1">
      <alignment horizontal="center" vertical="center"/>
    </xf>
    <xf borderId="1384" fillId="104" fontId="74" numFmtId="0" xfId="0" applyAlignment="1" applyBorder="1" applyFont="1">
      <alignment horizontal="right" readingOrder="0" vertical="center"/>
    </xf>
    <xf borderId="1384" fillId="104" fontId="75" numFmtId="0" xfId="0" applyAlignment="1" applyBorder="1" applyFont="1">
      <alignment horizontal="center" readingOrder="0" vertical="center"/>
    </xf>
    <xf borderId="1412" fillId="104" fontId="125" numFmtId="0" xfId="0" applyAlignment="1" applyBorder="1" applyFont="1">
      <alignment horizontal="center" vertical="center"/>
    </xf>
    <xf borderId="1413" fillId="9" fontId="125" numFmtId="0" xfId="0" applyAlignment="1" applyBorder="1" applyFont="1">
      <alignment horizontal="center" vertical="center"/>
    </xf>
    <xf borderId="969" fillId="103" fontId="127" numFmtId="0" xfId="0" applyAlignment="1" applyBorder="1" applyFont="1">
      <alignment horizontal="center" vertical="center"/>
    </xf>
    <xf borderId="1413" fillId="9" fontId="110" numFmtId="0" xfId="0" applyAlignment="1" applyBorder="1" applyFont="1">
      <alignment horizontal="center" vertical="center"/>
    </xf>
    <xf borderId="1242" fillId="9" fontId="110" numFmtId="0" xfId="0" applyAlignment="1" applyBorder="1" applyFont="1">
      <alignment horizontal="center" vertical="center"/>
    </xf>
    <xf borderId="1414" fillId="9" fontId="125" numFmtId="0" xfId="0" applyAlignment="1" applyBorder="1" applyFont="1">
      <alignment horizontal="center" vertical="center"/>
    </xf>
    <xf borderId="1224" fillId="9" fontId="89" numFmtId="0" xfId="0" applyAlignment="1" applyBorder="1" applyFont="1">
      <alignment horizontal="center" vertical="center"/>
    </xf>
    <xf borderId="1414" fillId="9" fontId="133" numFmtId="0" xfId="0" applyAlignment="1" applyBorder="1" applyFont="1">
      <alignment horizontal="center" vertical="center"/>
    </xf>
    <xf borderId="1414" fillId="9" fontId="133" numFmtId="0" xfId="0" applyAlignment="1" applyBorder="1" applyFont="1">
      <alignment horizontal="center" vertical="center"/>
    </xf>
    <xf borderId="1344" fillId="9" fontId="89" numFmtId="0" xfId="0" applyAlignment="1" applyBorder="1" applyFont="1">
      <alignment horizontal="center" vertical="center"/>
    </xf>
    <xf borderId="1347" fillId="9" fontId="74" numFmtId="0" xfId="0" applyAlignment="1" applyBorder="1" applyFont="1">
      <alignment horizontal="right" vertical="center"/>
    </xf>
    <xf borderId="71" fillId="9" fontId="89" numFmtId="0" xfId="0" applyAlignment="1" applyBorder="1" applyFont="1">
      <alignment horizontal="center" vertical="center"/>
    </xf>
    <xf borderId="1347" fillId="9" fontId="89" numFmtId="0" xfId="0" applyAlignment="1" applyBorder="1" applyFont="1">
      <alignment horizontal="center" vertical="center"/>
    </xf>
    <xf borderId="74" fillId="9" fontId="89" numFmtId="0" xfId="0" applyAlignment="1" applyBorder="1" applyFont="1">
      <alignment horizontal="center" vertical="center"/>
    </xf>
    <xf borderId="57" fillId="9" fontId="125" numFmtId="0" xfId="0" applyAlignment="1" applyBorder="1" applyFont="1">
      <alignment horizontal="center" readingOrder="0" vertical="center"/>
    </xf>
    <xf borderId="969" fillId="10" fontId="127" numFmtId="0" xfId="0" applyAlignment="1" applyBorder="1" applyFont="1">
      <alignment horizontal="center" vertical="center"/>
    </xf>
    <xf borderId="543" fillId="10" fontId="88" numFmtId="0" xfId="0" applyAlignment="1" applyBorder="1" applyFont="1">
      <alignment horizontal="right" readingOrder="0" vertical="center"/>
    </xf>
    <xf borderId="546" fillId="10" fontId="88" numFmtId="0" xfId="0" applyAlignment="1" applyBorder="1" applyFont="1">
      <alignment horizontal="center" readingOrder="0" vertical="center"/>
    </xf>
    <xf borderId="548" fillId="10" fontId="88" numFmtId="0" xfId="0" applyAlignment="1" applyBorder="1" applyFont="1">
      <alignment horizontal="right" readingOrder="0" vertical="center"/>
    </xf>
    <xf borderId="551" fillId="10" fontId="88" numFmtId="0" xfId="0" applyAlignment="1" applyBorder="1" applyFont="1">
      <alignment horizontal="center" readingOrder="0" vertical="center"/>
    </xf>
    <xf borderId="969" fillId="33" fontId="127" numFmtId="0" xfId="0" applyAlignment="1" applyBorder="1" applyFont="1">
      <alignment horizontal="center" vertical="center"/>
    </xf>
    <xf borderId="1276" fillId="9" fontId="125" numFmtId="0" xfId="0" applyAlignment="1" applyBorder="1" applyFont="1">
      <alignment horizontal="center" readingOrder="0" vertical="center"/>
    </xf>
    <xf borderId="1415" fillId="99" fontId="125" numFmtId="0" xfId="0" applyAlignment="1" applyBorder="1" applyFont="1">
      <alignment horizontal="center" vertical="center"/>
    </xf>
    <xf borderId="1415" fillId="99" fontId="76" numFmtId="0" xfId="0" applyAlignment="1" applyBorder="1" applyFont="1">
      <alignment horizontal="right" vertical="center"/>
    </xf>
    <xf borderId="1416" fillId="105" fontId="125" numFmtId="0" xfId="0" applyAlignment="1" applyBorder="1" applyFill="1" applyFont="1">
      <alignment horizontal="center" vertical="center"/>
    </xf>
    <xf borderId="1417" fillId="105" fontId="76" numFmtId="0" xfId="0" applyAlignment="1" applyBorder="1" applyFont="1">
      <alignment horizontal="right" vertical="center"/>
    </xf>
    <xf borderId="1418" fillId="105" fontId="125" numFmtId="0" xfId="0" applyAlignment="1" applyBorder="1" applyFont="1">
      <alignment horizontal="center" vertical="center"/>
    </xf>
    <xf borderId="1417" fillId="105" fontId="125" numFmtId="0" xfId="0" applyAlignment="1" applyBorder="1" applyFont="1">
      <alignment horizontal="center" vertical="center"/>
    </xf>
    <xf borderId="1419" fillId="105" fontId="125" numFmtId="0" xfId="0" applyAlignment="1" applyBorder="1" applyFont="1">
      <alignment horizontal="center" vertical="center"/>
    </xf>
    <xf borderId="61" fillId="9" fontId="125" numFmtId="0" xfId="0" applyAlignment="1" applyBorder="1" applyFont="1">
      <alignment horizontal="center" vertical="center"/>
    </xf>
    <xf borderId="1420" fillId="105" fontId="125" numFmtId="0" xfId="0" applyAlignment="1" applyBorder="1" applyFont="1">
      <alignment horizontal="center" vertical="center"/>
    </xf>
    <xf borderId="189" fillId="20" fontId="76" numFmtId="0" xfId="0" applyAlignment="1" applyBorder="1" applyFont="1">
      <alignment horizontal="right" vertical="center"/>
    </xf>
    <xf borderId="1421" fillId="105" fontId="127" numFmtId="0" xfId="0" applyAlignment="1" applyBorder="1" applyFont="1">
      <alignment horizontal="center" vertical="center"/>
    </xf>
    <xf borderId="969" fillId="20" fontId="127" numFmtId="0" xfId="0" applyAlignment="1" applyBorder="1" applyFont="1">
      <alignment horizontal="center" vertical="center"/>
    </xf>
    <xf borderId="1422" fillId="105" fontId="125" numFmtId="0" xfId="0" applyAlignment="1" applyBorder="1" applyFont="1">
      <alignment horizontal="center" vertical="center"/>
    </xf>
    <xf borderId="1423" fillId="105" fontId="125" numFmtId="0" xfId="0" applyAlignment="1" applyBorder="1" applyFont="1">
      <alignment horizontal="center" vertical="center"/>
    </xf>
    <xf borderId="1421" fillId="0" fontId="4" numFmtId="0" xfId="0" applyBorder="1" applyFont="1"/>
    <xf borderId="1424" fillId="0" fontId="4" numFmtId="0" xfId="0" applyBorder="1" applyFont="1"/>
    <xf borderId="1425" fillId="105" fontId="125" numFmtId="0" xfId="0" applyAlignment="1" applyBorder="1" applyFont="1">
      <alignment horizontal="center" vertical="center"/>
    </xf>
    <xf borderId="1426" fillId="105" fontId="125" numFmtId="0" xfId="0" applyAlignment="1" applyBorder="1" applyFont="1">
      <alignment horizontal="center" vertical="center"/>
    </xf>
    <xf borderId="1420" fillId="105" fontId="110" numFmtId="0" xfId="0" applyAlignment="1" applyBorder="1" applyFont="1">
      <alignment horizontal="center" vertical="center"/>
    </xf>
    <xf borderId="199" fillId="105" fontId="76" numFmtId="0" xfId="0" applyAlignment="1" applyBorder="1" applyFont="1">
      <alignment horizontal="right" readingOrder="0" vertical="center"/>
    </xf>
    <xf borderId="1421" fillId="105" fontId="110" numFmtId="0" xfId="0" applyAlignment="1" applyBorder="1" applyFont="1">
      <alignment horizontal="center" readingOrder="0" vertical="center"/>
    </xf>
    <xf borderId="1427" fillId="105" fontId="112" numFmtId="0" xfId="0" applyAlignment="1" applyBorder="1" applyFont="1">
      <alignment horizontal="center" readingOrder="0" vertical="center"/>
    </xf>
    <xf borderId="1428" fillId="0" fontId="4" numFmtId="0" xfId="0" applyBorder="1" applyFont="1"/>
    <xf borderId="1429" fillId="0" fontId="4" numFmtId="0" xfId="0" applyBorder="1" applyFont="1"/>
    <xf borderId="1430" fillId="0" fontId="4" numFmtId="0" xfId="0" applyBorder="1" applyFont="1"/>
    <xf borderId="1423" fillId="105" fontId="110" numFmtId="0" xfId="0" applyAlignment="1" applyBorder="1" applyFont="1">
      <alignment horizontal="center" vertical="center"/>
    </xf>
    <xf borderId="1431" fillId="0" fontId="4" numFmtId="0" xfId="0" applyBorder="1" applyFont="1"/>
    <xf borderId="1426" fillId="105" fontId="110" numFmtId="0" xfId="0" applyAlignment="1" applyBorder="1" applyFont="1">
      <alignment horizontal="center" vertical="center"/>
    </xf>
    <xf borderId="61" fillId="9" fontId="110" numFmtId="0" xfId="0" applyAlignment="1" applyBorder="1" applyFont="1">
      <alignment horizontal="center" vertical="center"/>
    </xf>
    <xf borderId="1224" fillId="9" fontId="129" numFmtId="0" xfId="0" applyAlignment="1" applyBorder="1" applyFont="1">
      <alignment horizontal="center" vertical="center"/>
    </xf>
    <xf borderId="1420" fillId="105" fontId="129" numFmtId="0" xfId="0" applyAlignment="1" applyBorder="1" applyFont="1">
      <alignment horizontal="center" vertical="center"/>
    </xf>
    <xf borderId="1421" fillId="105" fontId="129" numFmtId="0" xfId="0" applyAlignment="1" applyBorder="1" applyFont="1">
      <alignment horizontal="center" readingOrder="0" vertical="center"/>
    </xf>
    <xf borderId="1432" fillId="105" fontId="119" numFmtId="0" xfId="0" applyAlignment="1" applyBorder="1" applyFont="1">
      <alignment horizontal="center" readingOrder="0" vertical="top"/>
    </xf>
    <xf borderId="1433" fillId="0" fontId="4" numFmtId="0" xfId="0" applyBorder="1" applyFont="1"/>
    <xf borderId="1434" fillId="0" fontId="4" numFmtId="0" xfId="0" applyBorder="1" applyFont="1"/>
    <xf borderId="1423" fillId="105" fontId="129" numFmtId="0" xfId="0" applyAlignment="1" applyBorder="1" applyFont="1">
      <alignment horizontal="center" vertical="center"/>
    </xf>
    <xf borderId="1426" fillId="105" fontId="129" numFmtId="0" xfId="0" applyAlignment="1" applyBorder="1" applyFont="1">
      <alignment horizontal="center" vertical="center"/>
    </xf>
    <xf borderId="61" fillId="9" fontId="129" numFmtId="0" xfId="0" applyAlignment="1" applyBorder="1" applyFont="1">
      <alignment horizontal="center" vertical="center"/>
    </xf>
    <xf borderId="1435" fillId="105" fontId="125" numFmtId="0" xfId="0" applyAlignment="1" applyBorder="1" applyFont="1">
      <alignment horizontal="center" vertical="center"/>
    </xf>
    <xf borderId="1431" fillId="105" fontId="76" numFmtId="0" xfId="0" applyAlignment="1" applyBorder="1" applyFont="1">
      <alignment horizontal="right" vertical="center"/>
    </xf>
    <xf borderId="1436" fillId="105" fontId="110" numFmtId="0" xfId="0" applyAlignment="1" applyBorder="1" applyFont="1">
      <alignment horizontal="center" vertical="center"/>
    </xf>
    <xf borderId="1437" fillId="105" fontId="110" numFmtId="0" xfId="0" applyAlignment="1" applyBorder="1" applyFont="1">
      <alignment horizontal="right" vertical="top"/>
    </xf>
    <xf borderId="1437" fillId="105" fontId="110" numFmtId="0" xfId="0" applyAlignment="1" applyBorder="1" applyFont="1">
      <alignment horizontal="left" vertical="top"/>
    </xf>
    <xf borderId="1438" fillId="105" fontId="110" numFmtId="0" xfId="0" applyAlignment="1" applyBorder="1" applyFont="1">
      <alignment horizontal="center" vertical="top"/>
    </xf>
    <xf borderId="1439" fillId="105" fontId="110" numFmtId="0" xfId="0" applyAlignment="1" applyBorder="1" applyFont="1">
      <alignment horizontal="center" vertical="top"/>
    </xf>
    <xf borderId="1440" fillId="0" fontId="4" numFmtId="0" xfId="0" applyBorder="1" applyFont="1"/>
    <xf borderId="1441" fillId="105" fontId="110" numFmtId="0" xfId="0" applyAlignment="1" applyBorder="1" applyFont="1">
      <alignment horizontal="center" vertical="center"/>
    </xf>
    <xf borderId="1442" fillId="105" fontId="110" numFmtId="0" xfId="0" applyAlignment="1" applyBorder="1" applyFont="1">
      <alignment horizontal="center" vertical="top"/>
    </xf>
    <xf borderId="1443" fillId="105" fontId="110" numFmtId="0" xfId="0" applyAlignment="1" applyBorder="1" applyFont="1">
      <alignment horizontal="center" vertical="top"/>
    </xf>
    <xf borderId="1444" fillId="105" fontId="125" numFmtId="0" xfId="0" applyAlignment="1" applyBorder="1" applyFont="1">
      <alignment horizontal="center" vertical="center"/>
    </xf>
    <xf borderId="1445" fillId="0" fontId="4" numFmtId="0" xfId="0" applyBorder="1" applyFont="1"/>
    <xf borderId="1446" fillId="105" fontId="110" numFmtId="0" xfId="0" applyAlignment="1" applyBorder="1" applyFont="1">
      <alignment horizontal="center" readingOrder="0" vertical="center"/>
    </xf>
    <xf borderId="1447" fillId="0" fontId="4" numFmtId="0" xfId="0" applyBorder="1" applyFont="1"/>
    <xf borderId="1448" fillId="0" fontId="4" numFmtId="0" xfId="0" applyBorder="1" applyFont="1"/>
    <xf borderId="1425" fillId="105" fontId="76" numFmtId="0" xfId="0" applyAlignment="1" applyBorder="1" applyFont="1">
      <alignment horizontal="right" vertical="center"/>
    </xf>
    <xf borderId="1449" fillId="105" fontId="110" numFmtId="0" xfId="0" applyAlignment="1" applyBorder="1" applyFont="1">
      <alignment horizontal="center" readingOrder="0" vertical="center"/>
    </xf>
    <xf borderId="1450" fillId="0" fontId="4" numFmtId="0" xfId="0" applyBorder="1" applyFont="1"/>
    <xf borderId="1451" fillId="105" fontId="110" numFmtId="0" xfId="0" applyAlignment="1" applyBorder="1" applyFont="1">
      <alignment horizontal="center" readingOrder="0" vertical="center"/>
    </xf>
    <xf borderId="1452" fillId="0" fontId="4" numFmtId="0" xfId="0" applyBorder="1" applyFont="1"/>
    <xf borderId="1422" fillId="0" fontId="4" numFmtId="0" xfId="0" applyBorder="1" applyFont="1"/>
    <xf borderId="1453" fillId="105" fontId="110" numFmtId="0" xfId="0" applyAlignment="1" applyBorder="1" applyFont="1">
      <alignment horizontal="center" readingOrder="0" vertical="center"/>
    </xf>
    <xf borderId="1454" fillId="0" fontId="4" numFmtId="0" xfId="0" applyBorder="1" applyFont="1"/>
    <xf borderId="1448" fillId="105" fontId="110" numFmtId="0" xfId="0" applyAlignment="1" applyBorder="1" applyFont="1">
      <alignment horizontal="center" readingOrder="0" vertical="center"/>
    </xf>
    <xf borderId="1444" fillId="105" fontId="76" numFmtId="0" xfId="0" applyAlignment="1" applyBorder="1" applyFont="1">
      <alignment horizontal="right" vertical="center"/>
    </xf>
    <xf borderId="1450" fillId="105" fontId="110" numFmtId="0" xfId="0" applyAlignment="1" applyBorder="1" applyFont="1">
      <alignment horizontal="center" readingOrder="0" vertical="center"/>
    </xf>
    <xf borderId="1455" fillId="105" fontId="110" numFmtId="0" xfId="0" applyAlignment="1" applyBorder="1" applyFont="1">
      <alignment horizontal="center" readingOrder="0" vertical="center"/>
    </xf>
    <xf borderId="1456" fillId="0" fontId="4" numFmtId="0" xfId="0" applyBorder="1" applyFont="1"/>
    <xf borderId="1457" fillId="0" fontId="4" numFmtId="0" xfId="0" applyBorder="1" applyFont="1"/>
    <xf borderId="1458" fillId="105" fontId="110" numFmtId="0" xfId="0" applyAlignment="1" applyBorder="1" applyFont="1">
      <alignment horizontal="center" readingOrder="0" vertical="center"/>
    </xf>
    <xf borderId="1459" fillId="0" fontId="4" numFmtId="0" xfId="0" applyBorder="1" applyFont="1"/>
    <xf borderId="1224" fillId="9" fontId="130" numFmtId="0" xfId="0" applyAlignment="1" applyBorder="1" applyFont="1">
      <alignment horizontal="center" vertical="center"/>
    </xf>
    <xf borderId="1435" fillId="105" fontId="124" numFmtId="0" xfId="0" applyAlignment="1" applyBorder="1" applyFont="1">
      <alignment horizontal="center" vertical="center"/>
    </xf>
    <xf borderId="1444" fillId="105" fontId="74" numFmtId="0" xfId="0" applyAlignment="1" applyBorder="1" applyFont="1">
      <alignment horizontal="right" vertical="center"/>
    </xf>
    <xf borderId="1444" fillId="105" fontId="131" numFmtId="0" xfId="0" applyAlignment="1" applyBorder="1" applyFont="1">
      <alignment horizontal="center" vertical="center"/>
    </xf>
    <xf borderId="1431" fillId="105" fontId="131" numFmtId="0" xfId="0" applyAlignment="1" applyBorder="1" applyFont="1">
      <alignment horizontal="center" vertical="top"/>
    </xf>
    <xf borderId="1444" fillId="105" fontId="131" numFmtId="0" xfId="0" applyAlignment="1" applyBorder="1" applyFont="1">
      <alignment horizontal="center" vertical="top"/>
    </xf>
    <xf borderId="1444" fillId="105" fontId="109" numFmtId="0" xfId="0" applyAlignment="1" applyBorder="1" applyFont="1">
      <alignment horizontal="center" vertical="center"/>
    </xf>
    <xf borderId="1444" fillId="105" fontId="132" numFmtId="0" xfId="0" applyAlignment="1" applyBorder="1" applyFont="1">
      <alignment horizontal="center" vertical="center"/>
    </xf>
    <xf borderId="1426" fillId="105" fontId="124" numFmtId="0" xfId="0" applyAlignment="1" applyBorder="1" applyFont="1">
      <alignment horizontal="center" vertical="center"/>
    </xf>
    <xf borderId="61" fillId="9" fontId="124" numFmtId="0" xfId="0" applyAlignment="1" applyBorder="1" applyFont="1">
      <alignment horizontal="center" vertical="center"/>
    </xf>
    <xf borderId="1224" fillId="9" fontId="128" numFmtId="0" xfId="0" applyAlignment="1" applyBorder="1" applyFont="1">
      <alignment horizontal="center" readingOrder="0" vertical="center"/>
    </xf>
    <xf borderId="1435" fillId="105" fontId="133" numFmtId="0" xfId="0" applyAlignment="1" applyBorder="1" applyFont="1">
      <alignment horizontal="center" vertical="center"/>
    </xf>
    <xf borderId="1423" fillId="105" fontId="106" numFmtId="0" xfId="0" applyAlignment="1" applyBorder="1" applyFont="1">
      <alignment horizontal="center" vertical="center"/>
    </xf>
    <xf borderId="237" fillId="20" fontId="88" numFmtId="0" xfId="0" applyAlignment="1" applyBorder="1" applyFont="1">
      <alignment horizontal="center" readingOrder="0" vertical="top"/>
    </xf>
    <xf borderId="240" fillId="20" fontId="88" numFmtId="0" xfId="0" applyAlignment="1" applyBorder="1" applyFont="1">
      <alignment horizontal="center" readingOrder="0" vertical="top"/>
    </xf>
    <xf borderId="1423" fillId="105" fontId="89" numFmtId="0" xfId="0" applyAlignment="1" applyBorder="1" applyFont="1">
      <alignment horizontal="center" vertical="center"/>
    </xf>
    <xf borderId="1424" fillId="105" fontId="105" numFmtId="0" xfId="0" applyAlignment="1" applyBorder="1" applyFont="1">
      <alignment horizontal="center" vertical="top"/>
    </xf>
    <xf borderId="1444" fillId="105" fontId="106" numFmtId="0" xfId="0" applyAlignment="1" applyBorder="1" applyFont="1">
      <alignment horizontal="center" vertical="center"/>
    </xf>
    <xf borderId="1444" fillId="105" fontId="133" numFmtId="0" xfId="0" applyAlignment="1" applyBorder="1" applyFont="1">
      <alignment horizontal="center" vertical="center"/>
    </xf>
    <xf borderId="1426" fillId="105" fontId="133" numFmtId="0" xfId="0" applyAlignment="1" applyBorder="1" applyFont="1">
      <alignment horizontal="center" vertical="center"/>
    </xf>
    <xf borderId="1460" fillId="20" fontId="88" numFmtId="0" xfId="0" applyAlignment="1" applyBorder="1" applyFont="1">
      <alignment horizontal="center" readingOrder="0" vertical="center"/>
    </xf>
    <xf borderId="1461" fillId="20" fontId="88" numFmtId="0" xfId="0" applyAlignment="1" applyBorder="1" applyFont="1">
      <alignment horizontal="center" readingOrder="0" vertical="center"/>
    </xf>
    <xf borderId="1462" fillId="20" fontId="88" numFmtId="0" xfId="0" applyAlignment="1" applyBorder="1" applyFont="1">
      <alignment horizontal="left" readingOrder="0" vertical="center"/>
    </xf>
    <xf borderId="1463" fillId="20" fontId="88" numFmtId="0" xfId="0" applyAlignment="1" applyBorder="1" applyFont="1">
      <alignment horizontal="center" readingOrder="0" vertical="center"/>
    </xf>
    <xf borderId="1424" fillId="105" fontId="105" numFmtId="0" xfId="0" applyAlignment="1" applyBorder="1" applyFont="1">
      <alignment horizontal="center" vertical="center"/>
    </xf>
    <xf borderId="1464" fillId="20" fontId="88" numFmtId="0" xfId="0" applyAlignment="1" applyBorder="1" applyFont="1">
      <alignment horizontal="center" readingOrder="0" vertical="center"/>
    </xf>
    <xf borderId="1465" fillId="20" fontId="88" numFmtId="0" xfId="0" applyAlignment="1" applyBorder="1" applyFont="1">
      <alignment horizontal="center" readingOrder="0" vertical="center"/>
    </xf>
    <xf borderId="1466" fillId="20" fontId="88" numFmtId="0" xfId="0" applyAlignment="1" applyBorder="1" applyFont="1">
      <alignment horizontal="left" readingOrder="0" vertical="center"/>
    </xf>
    <xf borderId="1467" fillId="20" fontId="88" numFmtId="0" xfId="0" applyAlignment="1" applyBorder="1" applyFont="1">
      <alignment horizontal="center" readingOrder="0" vertical="center"/>
    </xf>
    <xf borderId="1468" fillId="20" fontId="88" numFmtId="0" xfId="0" applyAlignment="1" applyBorder="1" applyFont="1">
      <alignment horizontal="center" readingOrder="0" vertical="center"/>
    </xf>
    <xf borderId="1469" fillId="20" fontId="88" numFmtId="0" xfId="0" applyAlignment="1" applyBorder="1" applyFont="1">
      <alignment horizontal="center" readingOrder="0" vertical="center"/>
    </xf>
    <xf borderId="1470" fillId="20" fontId="88" numFmtId="0" xfId="0" applyAlignment="1" applyBorder="1" applyFont="1">
      <alignment horizontal="left" readingOrder="0" vertical="center"/>
    </xf>
    <xf borderId="1471" fillId="20" fontId="88" numFmtId="0" xfId="0" applyAlignment="1" applyBorder="1" applyFont="1">
      <alignment horizontal="center" readingOrder="0" vertical="center"/>
    </xf>
    <xf borderId="253" fillId="20" fontId="88" numFmtId="0" xfId="0" applyAlignment="1" applyBorder="1" applyFont="1">
      <alignment horizontal="right" readingOrder="0" vertical="center"/>
    </xf>
    <xf borderId="256" fillId="20" fontId="88" numFmtId="0" xfId="0" applyAlignment="1" applyBorder="1" applyFont="1">
      <alignment horizontal="center" readingOrder="0" vertical="center"/>
    </xf>
    <xf borderId="1472" fillId="105" fontId="105" numFmtId="0" xfId="0" applyAlignment="1" applyBorder="1" applyFont="1">
      <alignment horizontal="center" vertical="center"/>
    </xf>
    <xf borderId="1473" fillId="105" fontId="125" numFmtId="0" xfId="0" applyAlignment="1" applyBorder="1" applyFont="1">
      <alignment horizontal="center" vertical="center"/>
    </xf>
    <xf borderId="1474" fillId="105" fontId="76" numFmtId="0" xfId="0" applyAlignment="1" applyBorder="1" applyFont="1">
      <alignment horizontal="right" vertical="center"/>
    </xf>
    <xf borderId="1474" fillId="105" fontId="125" numFmtId="0" xfId="0" applyAlignment="1" applyBorder="1" applyFont="1">
      <alignment horizontal="center" vertical="center"/>
    </xf>
    <xf borderId="1475" fillId="105" fontId="125" numFmtId="0" xfId="0" applyAlignment="1" applyBorder="1" applyFont="1">
      <alignment horizontal="center" readingOrder="0" vertical="center"/>
    </xf>
    <xf borderId="1476" fillId="105" fontId="125" numFmtId="0" xfId="0" applyAlignment="1" applyBorder="1" applyFont="1">
      <alignment horizontal="center" vertical="center"/>
    </xf>
    <xf borderId="1477" fillId="106" fontId="125" numFmtId="0" xfId="0" applyAlignment="1" applyBorder="1" applyFill="1" applyFont="1">
      <alignment horizontal="center" vertical="center"/>
    </xf>
    <xf borderId="1478" fillId="106" fontId="74" numFmtId="0" xfId="0" applyAlignment="1" applyBorder="1" applyFont="1">
      <alignment horizontal="right" readingOrder="0" vertical="center"/>
    </xf>
    <xf borderId="1479" fillId="106" fontId="138" numFmtId="0" xfId="0" applyAlignment="1" applyBorder="1" applyFont="1">
      <alignment horizontal="center" readingOrder="0" vertical="center"/>
    </xf>
    <xf borderId="1478" fillId="106" fontId="138" numFmtId="0" xfId="0" applyAlignment="1" applyBorder="1" applyFont="1">
      <alignment horizontal="center" readingOrder="0" vertical="center"/>
    </xf>
    <xf borderId="1480" fillId="106" fontId="125" numFmtId="0" xfId="0" applyAlignment="1" applyBorder="1" applyFont="1">
      <alignment horizontal="center" vertical="center"/>
    </xf>
    <xf borderId="1481" fillId="106" fontId="125" numFmtId="0" xfId="0" applyAlignment="1" applyBorder="1" applyFont="1">
      <alignment horizontal="center" vertical="center"/>
    </xf>
    <xf borderId="189" fillId="25" fontId="76" numFmtId="0" xfId="0" applyAlignment="1" applyBorder="1" applyFont="1">
      <alignment horizontal="right" vertical="center"/>
    </xf>
    <xf borderId="1482" fillId="106" fontId="127" numFmtId="0" xfId="0" applyAlignment="1" applyBorder="1" applyFont="1">
      <alignment horizontal="center" vertical="center"/>
    </xf>
    <xf borderId="969" fillId="25" fontId="127" numFmtId="0" xfId="0" applyAlignment="1" applyBorder="1" applyFont="1">
      <alignment horizontal="center" vertical="center"/>
    </xf>
    <xf borderId="1483" fillId="106" fontId="125" numFmtId="0" xfId="0" applyAlignment="1" applyBorder="1" applyFont="1">
      <alignment horizontal="center" vertical="center"/>
    </xf>
    <xf borderId="1484" fillId="106" fontId="125" numFmtId="0" xfId="0" applyAlignment="1" applyBorder="1" applyFont="1">
      <alignment horizontal="center" vertical="center"/>
    </xf>
    <xf borderId="1482" fillId="0" fontId="4" numFmtId="0" xfId="0" applyBorder="1" applyFont="1"/>
    <xf borderId="1485" fillId="0" fontId="4" numFmtId="0" xfId="0" applyBorder="1" applyFont="1"/>
    <xf borderId="1486" fillId="106" fontId="125" numFmtId="0" xfId="0" applyAlignment="1" applyBorder="1" applyFont="1">
      <alignment horizontal="center" vertical="center"/>
    </xf>
    <xf borderId="1487" fillId="106" fontId="125" numFmtId="0" xfId="0" applyAlignment="1" applyBorder="1" applyFont="1">
      <alignment horizontal="center" vertical="center"/>
    </xf>
    <xf borderId="1481" fillId="106" fontId="110" numFmtId="0" xfId="0" applyAlignment="1" applyBorder="1" applyFont="1">
      <alignment horizontal="center" vertical="center"/>
    </xf>
    <xf borderId="199" fillId="106" fontId="76" numFmtId="0" xfId="0" applyAlignment="1" applyBorder="1" applyFont="1">
      <alignment horizontal="right" readingOrder="0" vertical="center"/>
    </xf>
    <xf borderId="1482" fillId="106" fontId="110" numFmtId="0" xfId="0" applyAlignment="1" applyBorder="1" applyFont="1">
      <alignment horizontal="center" readingOrder="0" vertical="center"/>
    </xf>
    <xf borderId="1488" fillId="106" fontId="112" numFmtId="0" xfId="0" applyAlignment="1" applyBorder="1" applyFont="1">
      <alignment horizontal="center" readingOrder="0" vertical="center"/>
    </xf>
    <xf borderId="1489" fillId="0" fontId="4" numFmtId="0" xfId="0" applyBorder="1" applyFont="1"/>
    <xf borderId="1490" fillId="0" fontId="4" numFmtId="0" xfId="0" applyBorder="1" applyFont="1"/>
    <xf borderId="1491" fillId="0" fontId="4" numFmtId="0" xfId="0" applyBorder="1" applyFont="1"/>
    <xf borderId="1484" fillId="106" fontId="110" numFmtId="0" xfId="0" applyAlignment="1" applyBorder="1" applyFont="1">
      <alignment horizontal="center" vertical="center"/>
    </xf>
    <xf borderId="1478" fillId="0" fontId="4" numFmtId="0" xfId="0" applyBorder="1" applyFont="1"/>
    <xf borderId="1487" fillId="106" fontId="110" numFmtId="0" xfId="0" applyAlignment="1" applyBorder="1" applyFont="1">
      <alignment horizontal="center" vertical="center"/>
    </xf>
    <xf borderId="1481" fillId="106" fontId="129" numFmtId="0" xfId="0" applyAlignment="1" applyBorder="1" applyFont="1">
      <alignment horizontal="center" vertical="center"/>
    </xf>
    <xf borderId="1482" fillId="106" fontId="129" numFmtId="0" xfId="0" applyAlignment="1" applyBorder="1" applyFont="1">
      <alignment horizontal="center" readingOrder="0" vertical="center"/>
    </xf>
    <xf borderId="1492" fillId="106" fontId="114" numFmtId="0" xfId="0" applyAlignment="1" applyBorder="1" applyFont="1">
      <alignment horizontal="center" readingOrder="0" vertical="top"/>
    </xf>
    <xf borderId="1493" fillId="0" fontId="4" numFmtId="0" xfId="0" applyBorder="1" applyFont="1"/>
    <xf borderId="1494" fillId="0" fontId="4" numFmtId="0" xfId="0" applyBorder="1" applyFont="1"/>
    <xf borderId="1484" fillId="106" fontId="129" numFmtId="0" xfId="0" applyAlignment="1" applyBorder="1" applyFont="1">
      <alignment horizontal="center" vertical="center"/>
    </xf>
    <xf borderId="1487" fillId="106" fontId="129" numFmtId="0" xfId="0" applyAlignment="1" applyBorder="1" applyFont="1">
      <alignment horizontal="center" vertical="center"/>
    </xf>
    <xf borderId="1495" fillId="106" fontId="125" numFmtId="0" xfId="0" applyAlignment="1" applyBorder="1" applyFont="1">
      <alignment horizontal="center" vertical="center"/>
    </xf>
    <xf borderId="1478" fillId="106" fontId="76" numFmtId="0" xfId="0" applyAlignment="1" applyBorder="1" applyFont="1">
      <alignment horizontal="right" vertical="center"/>
    </xf>
    <xf borderId="1496" fillId="106" fontId="110" numFmtId="0" xfId="0" applyAlignment="1" applyBorder="1" applyFont="1">
      <alignment horizontal="center" vertical="center"/>
    </xf>
    <xf borderId="1497" fillId="106" fontId="110" numFmtId="0" xfId="0" applyAlignment="1" applyBorder="1" applyFont="1">
      <alignment horizontal="center" vertical="top"/>
    </xf>
    <xf borderId="1498" fillId="0" fontId="4" numFmtId="0" xfId="0" applyBorder="1" applyFont="1"/>
    <xf borderId="1499" fillId="106" fontId="110" numFmtId="0" xfId="0" applyAlignment="1" applyBorder="1" applyFont="1">
      <alignment horizontal="center" vertical="top"/>
    </xf>
    <xf borderId="1500" fillId="106" fontId="110" numFmtId="0" xfId="0" applyAlignment="1" applyBorder="1" applyFont="1">
      <alignment horizontal="right" vertical="top"/>
    </xf>
    <xf borderId="1500" fillId="106" fontId="110" numFmtId="0" xfId="0" applyAlignment="1" applyBorder="1" applyFont="1">
      <alignment horizontal="left" vertical="top"/>
    </xf>
    <xf borderId="1501" fillId="106" fontId="110" numFmtId="0" xfId="0" applyAlignment="1" applyBorder="1" applyFont="1">
      <alignment horizontal="center" vertical="center"/>
    </xf>
    <xf borderId="1502" fillId="106" fontId="110" numFmtId="0" xfId="0" applyAlignment="1" applyBorder="1" applyFont="1">
      <alignment horizontal="center" vertical="top"/>
    </xf>
    <xf borderId="1503" fillId="106" fontId="110" numFmtId="0" xfId="0" applyAlignment="1" applyBorder="1" applyFont="1">
      <alignment horizontal="center" vertical="top"/>
    </xf>
    <xf borderId="1504" fillId="106" fontId="125" numFmtId="0" xfId="0" applyAlignment="1" applyBorder="1" applyFont="1">
      <alignment horizontal="center" vertical="center"/>
    </xf>
    <xf borderId="1479" fillId="0" fontId="4" numFmtId="0" xfId="0" applyBorder="1" applyFont="1"/>
    <xf borderId="1505" fillId="106" fontId="110" numFmtId="0" xfId="0" applyAlignment="1" applyBorder="1" applyFont="1">
      <alignment horizontal="center" readingOrder="0" vertical="center"/>
    </xf>
    <xf borderId="1506" fillId="0" fontId="4" numFmtId="0" xfId="0" applyBorder="1" applyFont="1"/>
    <xf borderId="1507" fillId="0" fontId="4" numFmtId="0" xfId="0" applyBorder="1" applyFont="1"/>
    <xf borderId="1486" fillId="106" fontId="76" numFmtId="0" xfId="0" applyAlignment="1" applyBorder="1" applyFont="1">
      <alignment horizontal="right" vertical="center"/>
    </xf>
    <xf borderId="1508" fillId="106" fontId="110" numFmtId="0" xfId="0" applyAlignment="1" applyBorder="1" applyFont="1">
      <alignment horizontal="center" readingOrder="0" vertical="center"/>
    </xf>
    <xf borderId="1509" fillId="0" fontId="4" numFmtId="0" xfId="0" applyBorder="1" applyFont="1"/>
    <xf borderId="1510" fillId="106" fontId="110" numFmtId="0" xfId="0" applyAlignment="1" applyBorder="1" applyFont="1">
      <alignment horizontal="center" readingOrder="0" vertical="center"/>
    </xf>
    <xf borderId="1511" fillId="0" fontId="4" numFmtId="0" xfId="0" applyBorder="1" applyFont="1"/>
    <xf borderId="1483" fillId="0" fontId="4" numFmtId="0" xfId="0" applyBorder="1" applyFont="1"/>
    <xf borderId="1512" fillId="106" fontId="110" numFmtId="0" xfId="0" applyAlignment="1" applyBorder="1" applyFont="1">
      <alignment horizontal="center" readingOrder="0" vertical="center"/>
    </xf>
    <xf borderId="1513" fillId="0" fontId="4" numFmtId="0" xfId="0" applyBorder="1" applyFont="1"/>
    <xf borderId="1507" fillId="106" fontId="110" numFmtId="0" xfId="0" applyAlignment="1" applyBorder="1" applyFont="1">
      <alignment horizontal="center" readingOrder="0" vertical="center"/>
    </xf>
    <xf borderId="1504" fillId="106" fontId="76" numFmtId="0" xfId="0" applyAlignment="1" applyBorder="1" applyFont="1">
      <alignment horizontal="right" vertical="center"/>
    </xf>
    <xf borderId="1509" fillId="106" fontId="110" numFmtId="0" xfId="0" applyAlignment="1" applyBorder="1" applyFont="1">
      <alignment horizontal="center" readingOrder="0" vertical="center"/>
    </xf>
    <xf borderId="1514" fillId="106" fontId="110" numFmtId="0" xfId="0" applyAlignment="1" applyBorder="1" applyFont="1">
      <alignment horizontal="center" readingOrder="0" vertical="center"/>
    </xf>
    <xf borderId="1515" fillId="0" fontId="4" numFmtId="0" xfId="0" applyBorder="1" applyFont="1"/>
    <xf borderId="1516" fillId="0" fontId="4" numFmtId="0" xfId="0" applyBorder="1" applyFont="1"/>
    <xf borderId="1517" fillId="106" fontId="110" numFmtId="0" xfId="0" applyAlignment="1" applyBorder="1" applyFont="1">
      <alignment horizontal="center" readingOrder="0" vertical="center"/>
    </xf>
    <xf borderId="1517" fillId="0" fontId="4" numFmtId="0" xfId="0" applyBorder="1" applyFont="1"/>
    <xf borderId="1518" fillId="0" fontId="4" numFmtId="0" xfId="0" applyBorder="1" applyFont="1"/>
    <xf borderId="1495" fillId="106" fontId="124" numFmtId="0" xfId="0" applyAlignment="1" applyBorder="1" applyFont="1">
      <alignment horizontal="center" vertical="center"/>
    </xf>
    <xf borderId="1504" fillId="106" fontId="74" numFmtId="0" xfId="0" applyAlignment="1" applyBorder="1" applyFont="1">
      <alignment horizontal="right" vertical="center"/>
    </xf>
    <xf borderId="1504" fillId="106" fontId="131" numFmtId="0" xfId="0" applyAlignment="1" applyBorder="1" applyFont="1">
      <alignment horizontal="center" vertical="center"/>
    </xf>
    <xf borderId="1478" fillId="106" fontId="131" numFmtId="0" xfId="0" applyAlignment="1" applyBorder="1" applyFont="1">
      <alignment horizontal="center" vertical="top"/>
    </xf>
    <xf borderId="1519" fillId="106" fontId="131" numFmtId="0" xfId="0" applyAlignment="1" applyBorder="1" applyFont="1">
      <alignment horizontal="center" vertical="top"/>
    </xf>
    <xf borderId="1520" fillId="106" fontId="131" numFmtId="0" xfId="0" applyAlignment="1" applyBorder="1" applyFont="1">
      <alignment horizontal="center" vertical="top"/>
    </xf>
    <xf borderId="1504" fillId="106" fontId="109" numFmtId="0" xfId="0" applyAlignment="1" applyBorder="1" applyFont="1">
      <alignment horizontal="center" vertical="center"/>
    </xf>
    <xf borderId="1504" fillId="106" fontId="132" numFmtId="0" xfId="0" applyAlignment="1" applyBorder="1" applyFont="1">
      <alignment horizontal="center" vertical="center"/>
    </xf>
    <xf borderId="1487" fillId="106" fontId="124" numFmtId="0" xfId="0" applyAlignment="1" applyBorder="1" applyFont="1">
      <alignment horizontal="center" vertical="center"/>
    </xf>
    <xf borderId="1495" fillId="106" fontId="133" numFmtId="0" xfId="0" applyAlignment="1" applyBorder="1" applyFont="1">
      <alignment horizontal="center" vertical="center"/>
    </xf>
    <xf borderId="1484" fillId="106" fontId="106" numFmtId="0" xfId="0" applyAlignment="1" applyBorder="1" applyFont="1">
      <alignment horizontal="center" vertical="center"/>
    </xf>
    <xf borderId="237" fillId="25" fontId="88" numFmtId="0" xfId="0" applyAlignment="1" applyBorder="1" applyFont="1">
      <alignment horizontal="center" readingOrder="0" vertical="top"/>
    </xf>
    <xf borderId="240" fillId="25" fontId="88" numFmtId="0" xfId="0" applyAlignment="1" applyBorder="1" applyFont="1">
      <alignment horizontal="center" readingOrder="0" vertical="top"/>
    </xf>
    <xf borderId="1484" fillId="106" fontId="89" numFmtId="0" xfId="0" applyAlignment="1" applyBorder="1" applyFont="1">
      <alignment horizontal="center" vertical="center"/>
    </xf>
    <xf borderId="1521" fillId="106" fontId="133" numFmtId="0" xfId="0" applyAlignment="1" applyBorder="1" applyFont="1">
      <alignment horizontal="center" vertical="center"/>
    </xf>
    <xf borderId="1504" fillId="106" fontId="133" numFmtId="0" xfId="0" applyAlignment="1" applyBorder="1" applyFont="1">
      <alignment horizontal="center" vertical="center"/>
    </xf>
    <xf borderId="1504" fillId="106" fontId="106" numFmtId="0" xfId="0" applyAlignment="1" applyBorder="1" applyFont="1">
      <alignment horizontal="center" vertical="center"/>
    </xf>
    <xf borderId="1487" fillId="106" fontId="133" numFmtId="0" xfId="0" applyAlignment="1" applyBorder="1" applyFont="1">
      <alignment horizontal="center" vertical="center"/>
    </xf>
    <xf borderId="1522" fillId="25" fontId="88" numFmtId="0" xfId="0" applyAlignment="1" applyBorder="1" applyFont="1">
      <alignment horizontal="center" readingOrder="0" vertical="center"/>
    </xf>
    <xf borderId="1523" fillId="25" fontId="88" numFmtId="0" xfId="0" applyAlignment="1" applyBorder="1" applyFont="1">
      <alignment horizontal="center" readingOrder="0" vertical="center"/>
    </xf>
    <xf borderId="1524" fillId="25" fontId="88" numFmtId="0" xfId="0" applyAlignment="1" applyBorder="1" applyFont="1">
      <alignment horizontal="left" readingOrder="0" vertical="center"/>
    </xf>
    <xf borderId="1525" fillId="25" fontId="88" numFmtId="0" xfId="0" applyAlignment="1" applyBorder="1" applyFont="1">
      <alignment horizontal="center" readingOrder="0" vertical="center"/>
    </xf>
    <xf borderId="1526" fillId="25" fontId="88" numFmtId="0" xfId="0" applyAlignment="1" applyBorder="1" applyFont="1">
      <alignment horizontal="center" readingOrder="0" vertical="center"/>
    </xf>
    <xf borderId="1527" fillId="25" fontId="88" numFmtId="0" xfId="0" applyAlignment="1" applyBorder="1" applyFont="1">
      <alignment horizontal="center" readingOrder="0" vertical="center"/>
    </xf>
    <xf borderId="1528" fillId="25" fontId="88" numFmtId="0" xfId="0" applyAlignment="1" applyBorder="1" applyFont="1">
      <alignment horizontal="left" readingOrder="0" vertical="center"/>
    </xf>
    <xf borderId="1529" fillId="25" fontId="88" numFmtId="0" xfId="0" applyAlignment="1" applyBorder="1" applyFont="1">
      <alignment horizontal="center" readingOrder="0" vertical="center"/>
    </xf>
    <xf borderId="1530" fillId="25" fontId="88" numFmtId="0" xfId="0" applyAlignment="1" applyBorder="1" applyFont="1">
      <alignment horizontal="center" readingOrder="0" vertical="center"/>
    </xf>
    <xf borderId="1531" fillId="25" fontId="88" numFmtId="0" xfId="0" applyAlignment="1" applyBorder="1" applyFont="1">
      <alignment horizontal="center" readingOrder="0" vertical="center"/>
    </xf>
    <xf borderId="1532" fillId="25" fontId="88" numFmtId="0" xfId="0" applyAlignment="1" applyBorder="1" applyFont="1">
      <alignment horizontal="left" readingOrder="0" vertical="center"/>
    </xf>
    <xf borderId="1533" fillId="25" fontId="88" numFmtId="0" xfId="0" applyAlignment="1" applyBorder="1" applyFont="1">
      <alignment horizontal="center" readingOrder="0" vertical="center"/>
    </xf>
    <xf borderId="253" fillId="25" fontId="88" numFmtId="0" xfId="0" applyAlignment="1" applyBorder="1" applyFont="1">
      <alignment horizontal="right" readingOrder="0" vertical="center"/>
    </xf>
    <xf borderId="256" fillId="25" fontId="88" numFmtId="0" xfId="0" applyAlignment="1" applyBorder="1" applyFont="1">
      <alignment horizontal="center" readingOrder="0" vertical="center"/>
    </xf>
    <xf borderId="1534" fillId="106" fontId="125" numFmtId="0" xfId="0" applyAlignment="1" applyBorder="1" applyFont="1">
      <alignment horizontal="center" vertical="center"/>
    </xf>
    <xf borderId="1535" fillId="106" fontId="74" numFmtId="0" xfId="0" applyAlignment="1" applyBorder="1" applyFont="1">
      <alignment horizontal="right" readingOrder="0" vertical="center"/>
    </xf>
    <xf borderId="1535" fillId="106" fontId="138" numFmtId="0" xfId="0" applyAlignment="1" applyBorder="1" applyFont="1">
      <alignment horizontal="center" readingOrder="0" vertical="center"/>
    </xf>
    <xf borderId="1536" fillId="106" fontId="138" numFmtId="0" xfId="0" applyAlignment="1" applyBorder="1" applyFont="1">
      <alignment horizontal="center" readingOrder="0" vertical="center"/>
    </xf>
    <xf borderId="1537" fillId="106" fontId="125" numFmtId="0" xfId="0" applyAlignment="1" applyBorder="1" applyFont="1">
      <alignment horizontal="center" vertical="center"/>
    </xf>
    <xf borderId="969" fillId="25" fontId="119" numFmtId="0" xfId="0" applyAlignment="1" applyBorder="1" applyFont="1">
      <alignment horizontal="center" vertical="center"/>
    </xf>
    <xf borderId="1482" fillId="106" fontId="119" numFmtId="0" xfId="0" applyAlignment="1" applyBorder="1" applyFont="1">
      <alignment horizontal="center" vertical="center"/>
    </xf>
    <xf borderId="1482" fillId="106" fontId="110" numFmtId="0" xfId="0" applyAlignment="1" applyBorder="1" applyFont="1">
      <alignment horizontal="center" vertical="center"/>
    </xf>
    <xf borderId="1538" fillId="106" fontId="131" numFmtId="0" xfId="0" applyAlignment="1" applyBorder="1" applyFont="1">
      <alignment horizontal="center" vertical="top"/>
    </xf>
    <xf borderId="1539" fillId="106" fontId="125" numFmtId="0" xfId="0" applyAlignment="1" applyBorder="1" applyFont="1">
      <alignment horizontal="center" vertical="center"/>
    </xf>
    <xf borderId="1540" fillId="106" fontId="146" numFmtId="0" xfId="0" applyAlignment="1" applyBorder="1" applyFont="1">
      <alignment horizontal="left" readingOrder="0" vertical="center"/>
    </xf>
    <xf borderId="1541" fillId="106" fontId="110" numFmtId="0" xfId="0" applyAlignment="1" applyBorder="1" applyFont="1">
      <alignment horizontal="center" vertical="center"/>
    </xf>
    <xf borderId="1542" fillId="0" fontId="4" numFmtId="0" xfId="0" applyBorder="1" applyFont="1"/>
    <xf borderId="1543" fillId="106" fontId="110" numFmtId="0" xfId="0" applyAlignment="1" applyBorder="1" applyFont="1">
      <alignment horizontal="center" vertical="center"/>
    </xf>
    <xf borderId="1541" fillId="106" fontId="110" numFmtId="0" xfId="0" applyAlignment="1" applyBorder="1" applyFont="1">
      <alignment horizontal="center" readingOrder="0" vertical="center"/>
    </xf>
    <xf borderId="1544" fillId="106" fontId="110" numFmtId="0" xfId="0" applyAlignment="1" applyBorder="1" applyFont="1">
      <alignment horizontal="center" vertical="center"/>
    </xf>
    <xf borderId="1545" fillId="0" fontId="4" numFmtId="0" xfId="0" applyBorder="1" applyFont="1"/>
    <xf borderId="1546" fillId="0" fontId="4" numFmtId="0" xfId="0" applyBorder="1" applyFont="1"/>
    <xf borderId="1547" fillId="106" fontId="110" numFmtId="0" xfId="0" applyAlignment="1" applyBorder="1" applyFont="1">
      <alignment horizontal="center" vertical="center"/>
    </xf>
    <xf borderId="1505" fillId="106" fontId="110" numFmtId="0" xfId="0" applyAlignment="1" applyBorder="1" applyFont="1">
      <alignment horizontal="center" vertical="center"/>
    </xf>
    <xf borderId="1507" fillId="106" fontId="110" numFmtId="0" xfId="0" applyAlignment="1" applyBorder="1" applyFont="1">
      <alignment horizontal="center" vertical="center"/>
    </xf>
    <xf borderId="1548" fillId="106" fontId="110" numFmtId="0" xfId="0" applyAlignment="1" applyBorder="1" applyFont="1">
      <alignment horizontal="center" vertical="center"/>
    </xf>
    <xf borderId="1549" fillId="106" fontId="110" numFmtId="0" xfId="0" applyAlignment="1" applyBorder="1" applyFont="1">
      <alignment horizontal="center" vertical="center"/>
    </xf>
    <xf borderId="1550" fillId="107" fontId="125" numFmtId="0" xfId="0" applyAlignment="1" applyBorder="1" applyFill="1" applyFont="1">
      <alignment horizontal="center" vertical="center"/>
    </xf>
    <xf borderId="1551" fillId="107" fontId="74" numFmtId="0" xfId="0" applyAlignment="1" applyBorder="1" applyFont="1">
      <alignment horizontal="right" readingOrder="0" vertical="center"/>
    </xf>
    <xf borderId="1552" fillId="107" fontId="138" numFmtId="0" xfId="0" applyAlignment="1" applyBorder="1" applyFont="1">
      <alignment horizontal="center" readingOrder="0" vertical="center"/>
    </xf>
    <xf borderId="1551" fillId="107" fontId="138" numFmtId="0" xfId="0" applyAlignment="1" applyBorder="1" applyFont="1">
      <alignment horizontal="center" readingOrder="0" vertical="center"/>
    </xf>
    <xf borderId="1553" fillId="107" fontId="125" numFmtId="0" xfId="0" applyAlignment="1" applyBorder="1" applyFont="1">
      <alignment horizontal="center" vertical="center"/>
    </xf>
    <xf borderId="1554" fillId="107" fontId="125" numFmtId="0" xfId="0" applyAlignment="1" applyBorder="1" applyFont="1">
      <alignment horizontal="center" vertical="center"/>
    </xf>
    <xf borderId="189" fillId="108" fontId="76" numFmtId="0" xfId="0" applyAlignment="1" applyBorder="1" applyFill="1" applyFont="1">
      <alignment horizontal="right" vertical="center"/>
    </xf>
    <xf borderId="1555" fillId="107" fontId="127" numFmtId="0" xfId="0" applyAlignment="1" applyBorder="1" applyFont="1">
      <alignment horizontal="center" vertical="center"/>
    </xf>
    <xf borderId="969" fillId="108" fontId="119" numFmtId="0" xfId="0" applyAlignment="1" applyBorder="1" applyFont="1">
      <alignment horizontal="center" vertical="center"/>
    </xf>
    <xf borderId="1555" fillId="107" fontId="119" numFmtId="0" xfId="0" applyAlignment="1" applyBorder="1" applyFont="1">
      <alignment horizontal="center" vertical="center"/>
    </xf>
    <xf borderId="1556" fillId="107" fontId="125" numFmtId="0" xfId="0" applyAlignment="1" applyBorder="1" applyFont="1">
      <alignment horizontal="center" vertical="center"/>
    </xf>
    <xf borderId="1554" fillId="107" fontId="110" numFmtId="0" xfId="0" applyAlignment="1" applyBorder="1" applyFont="1">
      <alignment horizontal="center" vertical="center"/>
    </xf>
    <xf borderId="199" fillId="107" fontId="76" numFmtId="0" xfId="0" applyAlignment="1" applyBorder="1" applyFont="1">
      <alignment horizontal="right" readingOrder="0" vertical="center"/>
    </xf>
    <xf borderId="1555" fillId="107" fontId="110" numFmtId="0" xfId="0" applyAlignment="1" applyBorder="1" applyFont="1">
      <alignment horizontal="center" readingOrder="0" vertical="center"/>
    </xf>
    <xf borderId="1557" fillId="107" fontId="112" numFmtId="0" xfId="0" applyAlignment="1" applyBorder="1" applyFont="1">
      <alignment horizontal="center" readingOrder="0" vertical="center"/>
    </xf>
    <xf borderId="1558" fillId="0" fontId="4" numFmtId="0" xfId="0" applyBorder="1" applyFont="1"/>
    <xf borderId="1559" fillId="0" fontId="4" numFmtId="0" xfId="0" applyBorder="1" applyFont="1"/>
    <xf borderId="1556" fillId="107" fontId="110" numFmtId="0" xfId="0" applyAlignment="1" applyBorder="1" applyFont="1">
      <alignment horizontal="center" vertical="center"/>
    </xf>
    <xf borderId="1224" fillId="9" fontId="114" numFmtId="0" xfId="0" applyAlignment="1" applyBorder="1" applyFont="1">
      <alignment horizontal="center" vertical="center"/>
    </xf>
    <xf borderId="1554" fillId="107" fontId="114" numFmtId="0" xfId="0" applyAlignment="1" applyBorder="1" applyFont="1">
      <alignment horizontal="center" vertical="center"/>
    </xf>
    <xf borderId="1555" fillId="107" fontId="114" numFmtId="0" xfId="0" applyAlignment="1" applyBorder="1" applyFont="1">
      <alignment horizontal="center" readingOrder="0" vertical="center"/>
    </xf>
    <xf borderId="1560" fillId="107" fontId="119" numFmtId="0" xfId="0" applyAlignment="1" applyBorder="1" applyFont="1">
      <alignment horizontal="center" readingOrder="0" vertical="top"/>
    </xf>
    <xf borderId="1561" fillId="0" fontId="4" numFmtId="0" xfId="0" applyBorder="1" applyFont="1"/>
    <xf borderId="1562" fillId="0" fontId="4" numFmtId="0" xfId="0" applyBorder="1" applyFont="1"/>
    <xf borderId="1555" fillId="107" fontId="119" numFmtId="0" xfId="0" applyAlignment="1" applyBorder="1" applyFont="1">
      <alignment horizontal="center" readingOrder="0" vertical="center"/>
    </xf>
    <xf borderId="1556" fillId="107" fontId="114" numFmtId="0" xfId="0" applyAlignment="1" applyBorder="1" applyFont="1">
      <alignment horizontal="center" vertical="center"/>
    </xf>
    <xf borderId="61" fillId="9" fontId="114" numFmtId="0" xfId="0" applyAlignment="1" applyBorder="1" applyFont="1">
      <alignment horizontal="center" vertical="center"/>
    </xf>
    <xf borderId="1563" fillId="107" fontId="125" numFmtId="0" xfId="0" applyAlignment="1" applyBorder="1" applyFont="1">
      <alignment horizontal="center" vertical="center"/>
    </xf>
    <xf borderId="1564" fillId="107" fontId="76" numFmtId="0" xfId="0" applyAlignment="1" applyBorder="1" applyFont="1">
      <alignment horizontal="right" vertical="center"/>
    </xf>
    <xf borderId="1565" fillId="107" fontId="125" numFmtId="0" xfId="0" applyAlignment="1" applyBorder="1" applyFont="1">
      <alignment horizontal="center" vertical="center"/>
    </xf>
    <xf borderId="1566" fillId="107" fontId="110" numFmtId="0" xfId="0" applyAlignment="1" applyBorder="1" applyFont="1">
      <alignment horizontal="center" vertical="center"/>
    </xf>
    <xf borderId="1567" fillId="107" fontId="110" numFmtId="0" xfId="0" applyAlignment="1" applyBorder="1" applyFont="1">
      <alignment horizontal="right" vertical="top"/>
    </xf>
    <xf borderId="1567" fillId="107" fontId="110" numFmtId="0" xfId="0" applyAlignment="1" applyBorder="1" applyFont="1">
      <alignment horizontal="left" vertical="top"/>
    </xf>
    <xf borderId="1568" fillId="107" fontId="110" numFmtId="0" xfId="0" applyAlignment="1" applyBorder="1" applyFont="1">
      <alignment horizontal="center" vertical="top"/>
    </xf>
    <xf borderId="1565" fillId="107" fontId="110" numFmtId="0" xfId="0" applyAlignment="1" applyBorder="1" applyFont="1">
      <alignment horizontal="center" vertical="center"/>
    </xf>
    <xf borderId="1569" fillId="107" fontId="110" numFmtId="0" xfId="0" applyAlignment="1" applyBorder="1" applyFont="1">
      <alignment horizontal="center" vertical="top"/>
    </xf>
    <xf borderId="1570" fillId="0" fontId="4" numFmtId="0" xfId="0" applyBorder="1" applyFont="1"/>
    <xf borderId="1564" fillId="0" fontId="4" numFmtId="0" xfId="0" applyBorder="1" applyFont="1"/>
    <xf borderId="1571" fillId="107" fontId="110" numFmtId="0" xfId="0" applyAlignment="1" applyBorder="1" applyFont="1">
      <alignment horizontal="center" vertical="center"/>
    </xf>
    <xf borderId="1572" fillId="107" fontId="110" numFmtId="0" xfId="0" applyAlignment="1" applyBorder="1" applyFont="1">
      <alignment horizontal="center" vertical="top"/>
    </xf>
    <xf borderId="1573" fillId="107" fontId="110" numFmtId="0" xfId="0" applyAlignment="1" applyBorder="1" applyFont="1">
      <alignment horizontal="center" vertical="top"/>
    </xf>
    <xf borderId="1574" fillId="0" fontId="4" numFmtId="0" xfId="0" applyBorder="1" applyFont="1"/>
    <xf borderId="1575" fillId="107" fontId="110" numFmtId="0" xfId="0" applyAlignment="1" applyBorder="1" applyFont="1">
      <alignment horizontal="center" readingOrder="0" vertical="center"/>
    </xf>
    <xf borderId="1576" fillId="0" fontId="4" numFmtId="0" xfId="0" applyBorder="1" applyFont="1"/>
    <xf borderId="1577" fillId="0" fontId="4" numFmtId="0" xfId="0" applyBorder="1" applyFont="1"/>
    <xf borderId="1578" fillId="107" fontId="76" numFmtId="0" xfId="0" applyAlignment="1" applyBorder="1" applyFont="1">
      <alignment horizontal="right" vertical="center"/>
    </xf>
    <xf borderId="1579" fillId="107" fontId="110" numFmtId="0" xfId="0" applyAlignment="1" applyBorder="1" applyFont="1">
      <alignment horizontal="center" readingOrder="0" vertical="center"/>
    </xf>
    <xf borderId="1555" fillId="0" fontId="4" numFmtId="0" xfId="0" applyBorder="1" applyFont="1"/>
    <xf borderId="1580" fillId="0" fontId="4" numFmtId="0" xfId="0" applyBorder="1" applyFont="1"/>
    <xf borderId="1581" fillId="107" fontId="110" numFmtId="0" xfId="0" applyAlignment="1" applyBorder="1" applyFont="1">
      <alignment horizontal="center" readingOrder="0" vertical="center"/>
    </xf>
    <xf borderId="1582" fillId="0" fontId="4" numFmtId="0" xfId="0" applyBorder="1" applyFont="1"/>
    <xf borderId="1583" fillId="0" fontId="4" numFmtId="0" xfId="0" applyBorder="1" applyFont="1"/>
    <xf borderId="1584" fillId="107" fontId="110" numFmtId="0" xfId="0" applyAlignment="1" applyBorder="1" applyFont="1">
      <alignment horizontal="center" readingOrder="0" vertical="center"/>
    </xf>
    <xf borderId="1585" fillId="0" fontId="4" numFmtId="0" xfId="0" applyBorder="1" applyFont="1"/>
    <xf borderId="1586" fillId="107" fontId="110" numFmtId="0" xfId="0" applyAlignment="1" applyBorder="1" applyFont="1">
      <alignment horizontal="center" readingOrder="0" vertical="center"/>
    </xf>
    <xf borderId="1587" fillId="107" fontId="76" numFmtId="0" xfId="0" applyAlignment="1" applyBorder="1" applyFont="1">
      <alignment horizontal="right" vertical="center"/>
    </xf>
    <xf borderId="1588" fillId="0" fontId="4" numFmtId="0" xfId="0" applyBorder="1" applyFont="1"/>
    <xf borderId="1589" fillId="107" fontId="110" numFmtId="0" xfId="0" applyAlignment="1" applyBorder="1" applyFont="1">
      <alignment horizontal="center" readingOrder="0" vertical="center"/>
    </xf>
    <xf borderId="1590" fillId="107" fontId="110" numFmtId="0" xfId="0" applyAlignment="1" applyBorder="1" applyFont="1">
      <alignment horizontal="center" readingOrder="0" vertical="center"/>
    </xf>
    <xf borderId="1591" fillId="0" fontId="4" numFmtId="0" xfId="0" applyBorder="1" applyFont="1"/>
    <xf borderId="1592" fillId="0" fontId="4" numFmtId="0" xfId="0" applyBorder="1" applyFont="1"/>
    <xf borderId="1593" fillId="107" fontId="110" numFmtId="0" xfId="0" applyAlignment="1" applyBorder="1" applyFont="1">
      <alignment horizontal="center" readingOrder="0" vertical="center"/>
    </xf>
    <xf borderId="1563" fillId="107" fontId="124" numFmtId="0" xfId="0" applyAlignment="1" applyBorder="1" applyFont="1">
      <alignment horizontal="center" vertical="center"/>
    </xf>
    <xf borderId="1587" fillId="107" fontId="74" numFmtId="0" xfId="0" applyAlignment="1" applyBorder="1" applyFont="1">
      <alignment horizontal="right" vertical="center"/>
    </xf>
    <xf borderId="1587" fillId="107" fontId="131" numFmtId="0" xfId="0" applyAlignment="1" applyBorder="1" applyFont="1">
      <alignment horizontal="center" vertical="center"/>
    </xf>
    <xf borderId="1564" fillId="107" fontId="131" numFmtId="0" xfId="0" applyAlignment="1" applyBorder="1" applyFont="1">
      <alignment horizontal="center" vertical="top"/>
    </xf>
    <xf borderId="1594" fillId="107" fontId="131" numFmtId="0" xfId="0" applyAlignment="1" applyBorder="1" applyFont="1">
      <alignment horizontal="center" vertical="top"/>
    </xf>
    <xf borderId="1595" fillId="107" fontId="131" numFmtId="0" xfId="0" applyAlignment="1" applyBorder="1" applyFont="1">
      <alignment horizontal="center" vertical="center"/>
    </xf>
    <xf borderId="1595" fillId="107" fontId="109" numFmtId="0" xfId="0" applyAlignment="1" applyBorder="1" applyFont="1">
      <alignment horizontal="center" vertical="center"/>
    </xf>
    <xf borderId="1596" fillId="107" fontId="132" numFmtId="0" xfId="0" applyAlignment="1" applyBorder="1" applyFont="1">
      <alignment horizontal="center" vertical="center"/>
    </xf>
    <xf borderId="1564" fillId="107" fontId="132" numFmtId="0" xfId="0" applyAlignment="1" applyBorder="1" applyFont="1">
      <alignment horizontal="center" vertical="center"/>
    </xf>
    <xf borderId="1597" fillId="107" fontId="124" numFmtId="0" xfId="0" applyAlignment="1" applyBorder="1" applyFont="1">
      <alignment horizontal="center" vertical="center"/>
    </xf>
    <xf borderId="1563" fillId="107" fontId="133" numFmtId="0" xfId="0" applyAlignment="1" applyBorder="1" applyFont="1">
      <alignment horizontal="center" vertical="center"/>
    </xf>
    <xf borderId="1565" fillId="107" fontId="106" numFmtId="0" xfId="0" applyAlignment="1" applyBorder="1" applyFont="1">
      <alignment horizontal="center" vertical="center"/>
    </xf>
    <xf borderId="237" fillId="108" fontId="88" numFmtId="0" xfId="0" applyAlignment="1" applyBorder="1" applyFont="1">
      <alignment horizontal="center" readingOrder="0" vertical="top"/>
    </xf>
    <xf borderId="240" fillId="108" fontId="88" numFmtId="0" xfId="0" applyAlignment="1" applyBorder="1" applyFont="1">
      <alignment horizontal="center" readingOrder="0" vertical="top"/>
    </xf>
    <xf borderId="1565" fillId="107" fontId="89" numFmtId="0" xfId="0" applyAlignment="1" applyBorder="1" applyFont="1">
      <alignment horizontal="center" vertical="center"/>
    </xf>
    <xf borderId="1598" fillId="107" fontId="133" numFmtId="0" xfId="0" applyAlignment="1" applyBorder="1" applyFont="1">
      <alignment horizontal="center" vertical="center"/>
    </xf>
    <xf borderId="1599" fillId="108" fontId="88" numFmtId="0" xfId="0" applyAlignment="1" applyBorder="1" applyFont="1">
      <alignment horizontal="center" readingOrder="0" vertical="center"/>
    </xf>
    <xf borderId="1600" fillId="108" fontId="88" numFmtId="0" xfId="0" applyAlignment="1" applyBorder="1" applyFont="1">
      <alignment horizontal="center" readingOrder="0" vertical="center"/>
    </xf>
    <xf borderId="1601" fillId="108" fontId="88" numFmtId="0" xfId="0" applyAlignment="1" applyBorder="1" applyFont="1">
      <alignment horizontal="left" readingOrder="0" vertical="center"/>
    </xf>
    <xf borderId="1602" fillId="108" fontId="88" numFmtId="0" xfId="0" applyAlignment="1" applyBorder="1" applyFont="1">
      <alignment horizontal="center" readingOrder="0" vertical="center"/>
    </xf>
    <xf borderId="1603" fillId="108" fontId="88" numFmtId="0" xfId="0" applyAlignment="1" applyBorder="1" applyFont="1">
      <alignment horizontal="center" readingOrder="0" vertical="center"/>
    </xf>
    <xf borderId="1604" fillId="108" fontId="88" numFmtId="0" xfId="0" applyAlignment="1" applyBorder="1" applyFont="1">
      <alignment horizontal="center" readingOrder="0" vertical="center"/>
    </xf>
    <xf borderId="1605" fillId="108" fontId="88" numFmtId="0" xfId="0" applyAlignment="1" applyBorder="1" applyFont="1">
      <alignment horizontal="left" readingOrder="0" vertical="center"/>
    </xf>
    <xf borderId="1606" fillId="108" fontId="88" numFmtId="0" xfId="0" applyAlignment="1" applyBorder="1" applyFont="1">
      <alignment horizontal="center" readingOrder="0" vertical="center"/>
    </xf>
    <xf borderId="1607" fillId="108" fontId="88" numFmtId="0" xfId="0" applyAlignment="1" applyBorder="1" applyFont="1">
      <alignment horizontal="center" readingOrder="0" vertical="center"/>
    </xf>
    <xf borderId="1608" fillId="108" fontId="88" numFmtId="0" xfId="0" applyAlignment="1" applyBorder="1" applyFont="1">
      <alignment horizontal="center" readingOrder="0" vertical="center"/>
    </xf>
    <xf borderId="1609" fillId="108" fontId="88" numFmtId="0" xfId="0" applyAlignment="1" applyBorder="1" applyFont="1">
      <alignment horizontal="left" readingOrder="0" vertical="center"/>
    </xf>
    <xf borderId="1610" fillId="108" fontId="88" numFmtId="0" xfId="0" applyAlignment="1" applyBorder="1" applyFont="1">
      <alignment horizontal="center" readingOrder="0" vertical="center"/>
    </xf>
    <xf borderId="253" fillId="108" fontId="88" numFmtId="0" xfId="0" applyAlignment="1" applyBorder="1" applyFont="1">
      <alignment horizontal="right" readingOrder="0" vertical="center"/>
    </xf>
    <xf borderId="256" fillId="108" fontId="88" numFmtId="0" xfId="0" applyAlignment="1" applyBorder="1" applyFont="1">
      <alignment horizontal="center" readingOrder="0" vertical="center"/>
    </xf>
    <xf borderId="1611" fillId="107" fontId="125" numFmtId="0" xfId="0" applyAlignment="1" applyBorder="1" applyFont="1">
      <alignment horizontal="center" vertical="center"/>
    </xf>
    <xf borderId="1612" fillId="107" fontId="74" numFmtId="0" xfId="0" applyAlignment="1" applyBorder="1" applyFont="1">
      <alignment horizontal="right" readingOrder="0" vertical="center"/>
    </xf>
    <xf borderId="1612" fillId="107" fontId="75" numFmtId="0" xfId="0" applyAlignment="1" applyBorder="1" applyFont="1">
      <alignment horizontal="center" readingOrder="0" vertical="center"/>
    </xf>
    <xf borderId="1613" fillId="107" fontId="75" numFmtId="0" xfId="0" applyAlignment="1" applyBorder="1" applyFont="1">
      <alignment horizontal="center" readingOrder="0" vertical="center"/>
    </xf>
    <xf borderId="1614" fillId="107" fontId="125" numFmtId="0" xfId="0" applyAlignment="1" applyBorder="1" applyFont="1">
      <alignment horizontal="center" vertical="center"/>
    </xf>
    <xf borderId="1615" fillId="109" fontId="125" numFmtId="0" xfId="0" applyAlignment="1" applyBorder="1" applyFill="1" applyFont="1">
      <alignment horizontal="center" vertical="center"/>
    </xf>
    <xf borderId="1616" fillId="109" fontId="74" numFmtId="0" xfId="0" applyAlignment="1" applyBorder="1" applyFont="1">
      <alignment horizontal="right" readingOrder="0" vertical="center"/>
    </xf>
    <xf borderId="1616" fillId="109" fontId="138" numFmtId="0" xfId="0" applyAlignment="1" applyBorder="1" applyFont="1">
      <alignment horizontal="center" readingOrder="0" vertical="center"/>
    </xf>
    <xf borderId="1617" fillId="109" fontId="125" numFmtId="0" xfId="0" applyAlignment="1" applyBorder="1" applyFont="1">
      <alignment horizontal="center" vertical="center"/>
    </xf>
    <xf borderId="1618" fillId="109" fontId="125" numFmtId="0" xfId="0" applyAlignment="1" applyBorder="1" applyFont="1">
      <alignment horizontal="center" vertical="center"/>
    </xf>
    <xf borderId="1619" fillId="109" fontId="76" numFmtId="0" xfId="0" applyAlignment="1" applyBorder="1" applyFont="1">
      <alignment horizontal="right" vertical="center"/>
    </xf>
    <xf borderId="1619" fillId="109" fontId="125" numFmtId="0" xfId="0" applyAlignment="1" applyBorder="1" applyFont="1">
      <alignment horizontal="center" vertical="center"/>
    </xf>
    <xf borderId="1620" fillId="109" fontId="147" numFmtId="0" xfId="0" applyAlignment="1" applyBorder="1" applyFont="1">
      <alignment horizontal="left" readingOrder="0" vertical="center"/>
    </xf>
    <xf borderId="1621" fillId="0" fontId="4" numFmtId="0" xfId="0" applyBorder="1" applyFont="1"/>
    <xf borderId="1622" fillId="0" fontId="4" numFmtId="0" xfId="0" applyBorder="1" applyFont="1"/>
    <xf borderId="1619" fillId="109" fontId="148" numFmtId="0" xfId="0" applyAlignment="1" applyBorder="1" applyFont="1">
      <alignment horizontal="left" readingOrder="0" vertical="center"/>
    </xf>
    <xf borderId="1623" fillId="109" fontId="125" numFmtId="0" xfId="0" applyAlignment="1" applyBorder="1" applyFont="1">
      <alignment horizontal="center" vertical="center"/>
    </xf>
    <xf borderId="1624" fillId="109" fontId="125" numFmtId="0" xfId="0" applyAlignment="1" applyBorder="1" applyFont="1">
      <alignment horizontal="center" vertical="center"/>
    </xf>
    <xf borderId="189" fillId="60" fontId="76" numFmtId="0" xfId="0" applyAlignment="1" applyBorder="1" applyFont="1">
      <alignment horizontal="right" vertical="center"/>
    </xf>
    <xf borderId="1625" fillId="109" fontId="127" numFmtId="0" xfId="0" applyAlignment="1" applyBorder="1" applyFont="1">
      <alignment horizontal="center" vertical="center"/>
    </xf>
    <xf borderId="969" fillId="60" fontId="119" numFmtId="0" xfId="0" applyAlignment="1" applyBorder="1" applyFont="1">
      <alignment horizontal="center" vertical="center"/>
    </xf>
    <xf borderId="1626" fillId="109" fontId="110" numFmtId="0" xfId="0" applyAlignment="1" applyBorder="1" applyFont="1">
      <alignment horizontal="center" vertical="center"/>
    </xf>
    <xf borderId="969" fillId="20" fontId="119" numFmtId="0" xfId="0" applyAlignment="1" applyBorder="1" applyFont="1">
      <alignment horizontal="center" vertical="center"/>
    </xf>
    <xf borderId="1627" fillId="109" fontId="125" numFmtId="0" xfId="0" applyAlignment="1" applyBorder="1" applyFont="1">
      <alignment horizontal="center" vertical="center"/>
    </xf>
    <xf borderId="1628" fillId="109" fontId="110" numFmtId="0" xfId="0" applyAlignment="1" applyBorder="1" applyFont="1">
      <alignment horizontal="center" vertical="center"/>
    </xf>
    <xf borderId="1629" fillId="109" fontId="76" numFmtId="0" xfId="0" applyAlignment="1" applyBorder="1" applyFont="1">
      <alignment horizontal="right" readingOrder="0" vertical="center"/>
    </xf>
    <xf borderId="1630" fillId="109" fontId="110" numFmtId="0" xfId="0" applyAlignment="1" applyBorder="1" applyFont="1">
      <alignment horizontal="center" readingOrder="0" vertical="center"/>
    </xf>
    <xf borderId="1631" fillId="110" fontId="112" numFmtId="0" xfId="0" applyAlignment="1" applyBorder="1" applyFill="1" applyFont="1">
      <alignment horizontal="center" readingOrder="0" vertical="center"/>
    </xf>
    <xf borderId="1632" fillId="0" fontId="4" numFmtId="0" xfId="0" applyBorder="1" applyFont="1"/>
    <xf borderId="1633" fillId="0" fontId="4" numFmtId="0" xfId="0" applyBorder="1" applyFont="1"/>
    <xf borderId="1627" fillId="109" fontId="110" numFmtId="0" xfId="0" applyAlignment="1" applyBorder="1" applyFont="1">
      <alignment horizontal="center" vertical="center"/>
    </xf>
    <xf borderId="1628" fillId="109" fontId="114" numFmtId="0" xfId="0" applyAlignment="1" applyBorder="1" applyFont="1">
      <alignment horizontal="center" vertical="center"/>
    </xf>
    <xf borderId="1634" fillId="0" fontId="4" numFmtId="0" xfId="0" applyBorder="1" applyFont="1"/>
    <xf borderId="1630" fillId="109" fontId="114" numFmtId="0" xfId="0" applyAlignment="1" applyBorder="1" applyFont="1">
      <alignment horizontal="center" readingOrder="0" vertical="center"/>
    </xf>
    <xf borderId="1635" fillId="110" fontId="119" numFmtId="0" xfId="0" applyAlignment="1" applyBorder="1" applyFont="1">
      <alignment horizontal="center" readingOrder="0" vertical="top"/>
    </xf>
    <xf borderId="1636" fillId="0" fontId="4" numFmtId="0" xfId="0" applyBorder="1" applyFont="1"/>
    <xf borderId="1637" fillId="0" fontId="4" numFmtId="0" xfId="0" applyBorder="1" applyFont="1"/>
    <xf borderId="1627" fillId="109" fontId="114" numFmtId="0" xfId="0" applyAlignment="1" applyBorder="1" applyFont="1">
      <alignment horizontal="center" vertical="center"/>
    </xf>
    <xf borderId="1628" fillId="109" fontId="125" numFmtId="0" xfId="0" applyAlignment="1" applyBorder="1" applyFont="1">
      <alignment horizontal="center" vertical="center"/>
    </xf>
    <xf borderId="1630" fillId="109" fontId="125" numFmtId="0" xfId="0" applyAlignment="1" applyBorder="1" applyFont="1">
      <alignment horizontal="center" vertical="center"/>
    </xf>
    <xf borderId="1638" fillId="110" fontId="110" numFmtId="0" xfId="0" applyAlignment="1" applyBorder="1" applyFont="1">
      <alignment horizontal="center" vertical="center"/>
    </xf>
    <xf borderId="1639" fillId="110" fontId="110" numFmtId="0" xfId="0" applyAlignment="1" applyBorder="1" applyFont="1">
      <alignment horizontal="right" vertical="top"/>
    </xf>
    <xf borderId="1639" fillId="110" fontId="110" numFmtId="0" xfId="0" applyAlignment="1" applyBorder="1" applyFont="1">
      <alignment horizontal="left" vertical="top"/>
    </xf>
    <xf borderId="1640" fillId="110" fontId="110" numFmtId="0" xfId="0" applyAlignment="1" applyBorder="1" applyFont="1">
      <alignment horizontal="center" vertical="top"/>
    </xf>
    <xf borderId="1641" fillId="110" fontId="110" numFmtId="0" xfId="0" applyAlignment="1" applyBorder="1" applyFont="1">
      <alignment horizontal="center" vertical="center"/>
    </xf>
    <xf borderId="1642" fillId="110" fontId="110" numFmtId="0" xfId="0" applyAlignment="1" applyBorder="1" applyFont="1">
      <alignment horizontal="center" vertical="top"/>
    </xf>
    <xf borderId="1643" fillId="110" fontId="110" numFmtId="0" xfId="0" applyAlignment="1" applyBorder="1" applyFont="1">
      <alignment horizontal="center" vertical="top"/>
    </xf>
    <xf borderId="1644" fillId="0" fontId="4" numFmtId="0" xfId="0" applyBorder="1" applyFont="1"/>
    <xf borderId="1645" fillId="110" fontId="110" numFmtId="0" xfId="0" applyAlignment="1" applyBorder="1" applyFont="1">
      <alignment horizontal="center" readingOrder="0" vertical="center"/>
    </xf>
    <xf borderId="1646" fillId="0" fontId="4" numFmtId="0" xfId="0" applyBorder="1" applyFont="1"/>
    <xf borderId="1647" fillId="0" fontId="4" numFmtId="0" xfId="0" applyBorder="1" applyFont="1"/>
    <xf borderId="1616" fillId="109" fontId="76" numFmtId="0" xfId="0" applyAlignment="1" applyBorder="1" applyFont="1">
      <alignment horizontal="right" vertical="center"/>
    </xf>
    <xf borderId="1648" fillId="110" fontId="110" numFmtId="0" xfId="0" applyAlignment="1" applyBorder="1" applyFont="1">
      <alignment horizontal="center" readingOrder="0" vertical="center"/>
    </xf>
    <xf borderId="1649" fillId="0" fontId="4" numFmtId="0" xfId="0" applyBorder="1" applyFont="1"/>
    <xf borderId="1650" fillId="0" fontId="4" numFmtId="0" xfId="0" applyBorder="1" applyFont="1"/>
    <xf borderId="1651" fillId="110" fontId="110" numFmtId="0" xfId="0" applyAlignment="1" applyBorder="1" applyFont="1">
      <alignment horizontal="center" readingOrder="0" vertical="center"/>
    </xf>
    <xf borderId="1652" fillId="0" fontId="4" numFmtId="0" xfId="0" applyBorder="1" applyFont="1"/>
    <xf borderId="1653" fillId="0" fontId="4" numFmtId="0" xfId="0" applyBorder="1" applyFont="1"/>
    <xf borderId="1654" fillId="110" fontId="110" numFmtId="0" xfId="0" applyAlignment="1" applyBorder="1" applyFont="1">
      <alignment horizontal="center" readingOrder="0" vertical="center"/>
    </xf>
    <xf borderId="1655" fillId="109" fontId="74" numFmtId="0" xfId="0" applyAlignment="1" applyBorder="1" applyFont="1">
      <alignment horizontal="right" vertical="center"/>
    </xf>
    <xf borderId="1621" fillId="109" fontId="125" numFmtId="0" xfId="0" applyAlignment="1" applyBorder="1" applyFont="1">
      <alignment horizontal="center" vertical="center"/>
    </xf>
    <xf borderId="1656" fillId="0" fontId="4" numFmtId="0" xfId="0" applyBorder="1" applyFont="1"/>
    <xf borderId="1647" fillId="110" fontId="110" numFmtId="0" xfId="0" applyAlignment="1" applyBorder="1" applyFont="1">
      <alignment horizontal="center" readingOrder="0" vertical="center"/>
    </xf>
    <xf borderId="1657" fillId="109" fontId="125" numFmtId="0" xfId="0" applyAlignment="1" applyBorder="1" applyFont="1">
      <alignment horizontal="center" vertical="center"/>
    </xf>
    <xf borderId="1616" fillId="0" fontId="4" numFmtId="0" xfId="0" applyBorder="1" applyFont="1"/>
    <xf borderId="1658" fillId="0" fontId="4" numFmtId="0" xfId="0" applyBorder="1" applyFont="1"/>
    <xf borderId="1650" fillId="110" fontId="110" numFmtId="0" xfId="0" applyAlignment="1" applyBorder="1" applyFont="1">
      <alignment horizontal="center" readingOrder="0" vertical="center"/>
    </xf>
    <xf borderId="1619" fillId="109" fontId="74" numFmtId="0" xfId="0" applyAlignment="1" applyBorder="1" applyFont="1">
      <alignment horizontal="right" vertical="center"/>
    </xf>
    <xf borderId="1620" fillId="109" fontId="125" numFmtId="0" xfId="0" applyAlignment="1" applyBorder="1" applyFont="1">
      <alignment horizontal="center" vertical="center"/>
    </xf>
    <xf borderId="1659" fillId="110" fontId="110" numFmtId="0" xfId="0" applyAlignment="1" applyBorder="1" applyFont="1">
      <alignment horizontal="center" readingOrder="0" vertical="center"/>
    </xf>
    <xf borderId="1660" fillId="0" fontId="4" numFmtId="0" xfId="0" applyBorder="1" applyFont="1"/>
    <xf borderId="1661" fillId="0" fontId="4" numFmtId="0" xfId="0" applyBorder="1" applyFont="1"/>
    <xf borderId="1662" fillId="110" fontId="110" numFmtId="0" xfId="0" applyAlignment="1" applyBorder="1" applyFont="1">
      <alignment horizontal="center" readingOrder="0" vertical="center"/>
    </xf>
    <xf borderId="1663" fillId="0" fontId="4" numFmtId="0" xfId="0" applyBorder="1" applyFont="1"/>
    <xf borderId="1618" fillId="109" fontId="124" numFmtId="0" xfId="0" applyAlignment="1" applyBorder="1" applyFont="1">
      <alignment horizontal="center" vertical="center"/>
    </xf>
    <xf borderId="1619" fillId="109" fontId="131" numFmtId="0" xfId="0" applyAlignment="1" applyBorder="1" applyFont="1">
      <alignment horizontal="center" vertical="center"/>
    </xf>
    <xf borderId="1664" fillId="109" fontId="131" numFmtId="0" xfId="0" applyAlignment="1" applyBorder="1" applyFont="1">
      <alignment horizontal="center" vertical="top"/>
    </xf>
    <xf borderId="1665" fillId="109" fontId="131" numFmtId="0" xfId="0" applyAlignment="1" applyBorder="1" applyFont="1">
      <alignment horizontal="center" vertical="top"/>
    </xf>
    <xf borderId="1666" fillId="109" fontId="131" numFmtId="0" xfId="0" applyAlignment="1" applyBorder="1" applyFont="1">
      <alignment horizontal="center" vertical="center"/>
    </xf>
    <xf borderId="1666" fillId="109" fontId="109" numFmtId="0" xfId="0" applyAlignment="1" applyBorder="1" applyFont="1">
      <alignment horizontal="center" vertical="center"/>
    </xf>
    <xf borderId="1667" fillId="109" fontId="132" numFmtId="0" xfId="0" applyAlignment="1" applyBorder="1" applyFont="1">
      <alignment horizontal="center" vertical="center"/>
    </xf>
    <xf borderId="1619" fillId="109" fontId="132" numFmtId="0" xfId="0" applyAlignment="1" applyBorder="1" applyFont="1">
      <alignment horizontal="center" vertical="center"/>
    </xf>
    <xf borderId="1666" fillId="109" fontId="132" numFmtId="0" xfId="0" applyAlignment="1" applyBorder="1" applyFont="1">
      <alignment horizontal="center" vertical="center"/>
    </xf>
    <xf borderId="1623" fillId="109" fontId="124" numFmtId="0" xfId="0" applyAlignment="1" applyBorder="1" applyFont="1">
      <alignment horizontal="center" vertical="center"/>
    </xf>
    <xf borderId="1618" fillId="109" fontId="133" numFmtId="0" xfId="0" applyAlignment="1" applyBorder="1" applyFont="1">
      <alignment horizontal="center" vertical="center"/>
    </xf>
    <xf borderId="1620" fillId="109" fontId="106" numFmtId="0" xfId="0" applyAlignment="1" applyBorder="1" applyFont="1">
      <alignment horizontal="center" vertical="center"/>
    </xf>
    <xf borderId="237" fillId="60" fontId="88" numFmtId="0" xfId="0" applyAlignment="1" applyBorder="1" applyFont="1">
      <alignment horizontal="center" readingOrder="0" vertical="top"/>
    </xf>
    <xf borderId="240" fillId="60" fontId="88" numFmtId="0" xfId="0" applyAlignment="1" applyBorder="1" applyFont="1">
      <alignment horizontal="center" readingOrder="0" vertical="top"/>
    </xf>
    <xf borderId="1668" fillId="109" fontId="89" numFmtId="0" xfId="0" applyAlignment="1" applyBorder="1" applyFont="1">
      <alignment horizontal="center" vertical="center"/>
    </xf>
    <xf borderId="1669" fillId="109" fontId="145" numFmtId="0" xfId="0" applyAlignment="1" applyBorder="1" applyFont="1">
      <alignment horizontal="center" vertical="center"/>
    </xf>
    <xf borderId="1668" fillId="109" fontId="145" numFmtId="0" xfId="0" applyAlignment="1" applyBorder="1" applyFont="1">
      <alignment horizontal="center" vertical="center"/>
    </xf>
    <xf borderId="1670" fillId="109" fontId="133" numFmtId="0" xfId="0" applyAlignment="1" applyBorder="1" applyFont="1">
      <alignment horizontal="center" vertical="center"/>
    </xf>
    <xf borderId="1671" fillId="60" fontId="88" numFmtId="0" xfId="0" applyAlignment="1" applyBorder="1" applyFont="1">
      <alignment horizontal="center" readingOrder="0" vertical="center"/>
    </xf>
    <xf borderId="1672" fillId="60" fontId="88" numFmtId="0" xfId="0" applyAlignment="1" applyBorder="1" applyFont="1">
      <alignment horizontal="center" readingOrder="0" vertical="center"/>
    </xf>
    <xf borderId="1673" fillId="60" fontId="88" numFmtId="0" xfId="0" applyAlignment="1" applyBorder="1" applyFont="1">
      <alignment horizontal="left" readingOrder="0" vertical="center"/>
    </xf>
    <xf borderId="1674" fillId="60" fontId="88" numFmtId="0" xfId="0" applyAlignment="1" applyBorder="1" applyFont="1">
      <alignment horizontal="center" readingOrder="0" vertical="center"/>
    </xf>
    <xf borderId="1675" fillId="109" fontId="145" numFmtId="0" xfId="0" applyAlignment="1" applyBorder="1" applyFont="1">
      <alignment horizontal="center" vertical="center"/>
    </xf>
    <xf borderId="1676" fillId="109" fontId="145" numFmtId="0" xfId="0" applyAlignment="1" applyBorder="1" applyFont="1">
      <alignment horizontal="center" vertical="center"/>
    </xf>
    <xf borderId="1677" fillId="60" fontId="88" numFmtId="0" xfId="0" applyAlignment="1" applyBorder="1" applyFont="1">
      <alignment horizontal="center" readingOrder="0" vertical="center"/>
    </xf>
    <xf borderId="1678" fillId="60" fontId="88" numFmtId="0" xfId="0" applyAlignment="1" applyBorder="1" applyFont="1">
      <alignment horizontal="center" readingOrder="0" vertical="center"/>
    </xf>
    <xf borderId="1679" fillId="60" fontId="88" numFmtId="0" xfId="0" applyAlignment="1" applyBorder="1" applyFont="1">
      <alignment horizontal="left" readingOrder="0" vertical="center"/>
    </xf>
    <xf borderId="1680" fillId="60" fontId="88" numFmtId="0" xfId="0" applyAlignment="1" applyBorder="1" applyFont="1">
      <alignment horizontal="center" readingOrder="0" vertical="center"/>
    </xf>
    <xf borderId="1681" fillId="60" fontId="88" numFmtId="0" xfId="0" applyAlignment="1" applyBorder="1" applyFont="1">
      <alignment horizontal="center" readingOrder="0" vertical="center"/>
    </xf>
    <xf borderId="1682" fillId="60" fontId="88" numFmtId="0" xfId="0" applyAlignment="1" applyBorder="1" applyFont="1">
      <alignment horizontal="center" readingOrder="0" vertical="center"/>
    </xf>
    <xf borderId="1683" fillId="60" fontId="88" numFmtId="0" xfId="0" applyAlignment="1" applyBorder="1" applyFont="1">
      <alignment horizontal="left" readingOrder="0" vertical="center"/>
    </xf>
    <xf borderId="1684" fillId="60" fontId="88" numFmtId="0" xfId="0" applyAlignment="1" applyBorder="1" applyFont="1">
      <alignment horizontal="center" readingOrder="0" vertical="center"/>
    </xf>
    <xf borderId="253" fillId="60" fontId="88" numFmtId="0" xfId="0" applyAlignment="1" applyBorder="1" applyFont="1">
      <alignment horizontal="right" readingOrder="0" vertical="center"/>
    </xf>
    <xf borderId="256" fillId="60" fontId="88" numFmtId="0" xfId="0" applyAlignment="1" applyBorder="1" applyFont="1">
      <alignment horizontal="center" readingOrder="0" vertical="center"/>
    </xf>
    <xf borderId="1685" fillId="109" fontId="76" numFmtId="0" xfId="0" applyAlignment="1" applyBorder="1" applyFont="1">
      <alignment horizontal="right" vertical="center"/>
    </xf>
    <xf borderId="1686" fillId="109" fontId="125" numFmtId="0" xfId="0" applyAlignment="1" applyBorder="1" applyFont="1">
      <alignment horizontal="center" readingOrder="0" vertical="center"/>
    </xf>
    <xf borderId="1616" fillId="109" fontId="125" numFmtId="0" xfId="0" applyAlignment="1" applyBorder="1" applyFont="1">
      <alignment horizontal="center" readingOrder="0" vertical="center"/>
    </xf>
    <xf borderId="1621" fillId="109" fontId="127" numFmtId="0" xfId="0" applyAlignment="1" applyBorder="1" applyFont="1">
      <alignment horizontal="center" vertical="center"/>
    </xf>
    <xf borderId="1621" fillId="109" fontId="119" numFmtId="0" xfId="0" applyAlignment="1" applyBorder="1" applyFont="1">
      <alignment horizontal="center" vertical="center"/>
    </xf>
    <xf borderId="1622" fillId="109" fontId="127" numFmtId="0" xfId="0" applyAlignment="1" applyBorder="1" applyFont="1">
      <alignment horizontal="center" vertical="center"/>
    </xf>
    <xf borderId="1655" fillId="109" fontId="125" numFmtId="0" xfId="0" applyAlignment="1" applyBorder="1" applyFont="1">
      <alignment horizontal="center" vertical="center"/>
    </xf>
    <xf borderId="1621" fillId="109" fontId="110" numFmtId="0" xfId="0" applyAlignment="1" applyBorder="1" applyFont="1">
      <alignment horizontal="center" readingOrder="0" vertical="center"/>
    </xf>
    <xf borderId="1622" fillId="109" fontId="110" numFmtId="0" xfId="0" applyAlignment="1" applyBorder="1" applyFont="1">
      <alignment horizontal="center" readingOrder="0" vertical="center"/>
    </xf>
    <xf borderId="1620" fillId="109" fontId="110" numFmtId="0" xfId="0" applyAlignment="1" applyBorder="1" applyFont="1">
      <alignment horizontal="center" vertical="center"/>
    </xf>
    <xf borderId="1664" fillId="0" fontId="4" numFmtId="0" xfId="0" applyBorder="1" applyFont="1"/>
    <xf borderId="1623" fillId="109" fontId="110" numFmtId="0" xfId="0" applyAlignment="1" applyBorder="1" applyFont="1">
      <alignment horizontal="center" vertical="center"/>
    </xf>
    <xf borderId="1224" fillId="9" fontId="127" numFmtId="0" xfId="0" applyAlignment="1" applyBorder="1" applyFont="1">
      <alignment horizontal="center" vertical="center"/>
    </xf>
    <xf borderId="1628" fillId="109" fontId="127" numFmtId="0" xfId="0" applyAlignment="1" applyBorder="1" applyFont="1">
      <alignment horizontal="center" vertical="center"/>
    </xf>
    <xf borderId="1621" fillId="109" fontId="127" numFmtId="0" xfId="0" applyAlignment="1" applyBorder="1" applyFont="1">
      <alignment horizontal="center" readingOrder="0" vertical="center"/>
    </xf>
    <xf borderId="1621" fillId="109" fontId="119" numFmtId="0" xfId="0" applyAlignment="1" applyBorder="1" applyFont="1">
      <alignment horizontal="center" readingOrder="0" vertical="center"/>
    </xf>
    <xf borderId="1622" fillId="109" fontId="127" numFmtId="0" xfId="0" applyAlignment="1" applyBorder="1" applyFont="1">
      <alignment horizontal="center" readingOrder="0" vertical="center"/>
    </xf>
    <xf borderId="1623" fillId="109" fontId="127" numFmtId="0" xfId="0" applyAlignment="1" applyBorder="1" applyFont="1">
      <alignment horizontal="center" vertical="center"/>
    </xf>
    <xf borderId="61" fillId="9" fontId="127" numFmtId="0" xfId="0" applyAlignment="1" applyBorder="1" applyFont="1">
      <alignment horizontal="center" vertical="center"/>
    </xf>
    <xf borderId="1664" fillId="109" fontId="76" numFmtId="0" xfId="0" applyAlignment="1" applyBorder="1" applyFont="1">
      <alignment horizontal="right" vertical="center"/>
    </xf>
    <xf borderId="1687" fillId="109" fontId="125" numFmtId="0" xfId="0" applyAlignment="1" applyBorder="1" applyFont="1">
      <alignment horizontal="center" vertical="center"/>
    </xf>
    <xf borderId="1622" fillId="109" fontId="125" numFmtId="0" xfId="0" applyAlignment="1" applyBorder="1" applyFont="1">
      <alignment horizontal="center" vertical="center"/>
    </xf>
    <xf borderId="1655" fillId="109" fontId="76" numFmtId="0" xfId="0" applyAlignment="1" applyBorder="1" applyFont="1">
      <alignment horizontal="right" vertical="center"/>
    </xf>
    <xf borderId="1688" fillId="0" fontId="4" numFmtId="0" xfId="0" applyBorder="1" applyFont="1"/>
    <xf borderId="1308" fillId="101" fontId="110" numFmtId="0" xfId="0" applyAlignment="1" applyBorder="1" applyFont="1">
      <alignment horizontal="center" readingOrder="0" vertical="center"/>
    </xf>
    <xf borderId="1310" fillId="101" fontId="110" numFmtId="0" xfId="0" applyAlignment="1" applyBorder="1" applyFont="1">
      <alignment horizontal="center" readingOrder="0" vertical="center"/>
    </xf>
    <xf borderId="1689" fillId="0" fontId="4" numFmtId="0" xfId="0" applyBorder="1" applyFont="1"/>
    <xf borderId="1319" fillId="101" fontId="110" numFmtId="0" xfId="0" applyAlignment="1" applyBorder="1" applyFont="1">
      <alignment horizontal="center" readingOrder="0" vertical="center"/>
    </xf>
    <xf borderId="1664" fillId="109" fontId="131" numFmtId="0" xfId="0" applyAlignment="1" applyBorder="1" applyFont="1">
      <alignment horizontal="center" vertical="center"/>
    </xf>
    <xf borderId="1690" fillId="109" fontId="131" numFmtId="0" xfId="0" applyAlignment="1" applyBorder="1" applyFont="1">
      <alignment horizontal="center" vertical="center"/>
    </xf>
    <xf borderId="1619" fillId="109" fontId="109" numFmtId="0" xfId="0" applyAlignment="1" applyBorder="1" applyFont="1">
      <alignment horizontal="center" vertical="center"/>
    </xf>
    <xf borderId="1620" fillId="109" fontId="89" numFmtId="0" xfId="0" applyAlignment="1" applyBorder="1" applyFont="1">
      <alignment horizontal="center" vertical="center"/>
    </xf>
    <xf borderId="1622" fillId="109" fontId="106" numFmtId="0" xfId="0" applyAlignment="1" applyBorder="1" applyFont="1">
      <alignment horizontal="center" vertical="center"/>
    </xf>
    <xf borderId="1619" fillId="109" fontId="106" numFmtId="0" xfId="0" applyAlignment="1" applyBorder="1" applyFont="1">
      <alignment horizontal="center" vertical="center"/>
    </xf>
    <xf borderId="1619" fillId="109" fontId="133" numFmtId="0" xfId="0" applyAlignment="1" applyBorder="1" applyFont="1">
      <alignment horizontal="center" vertical="center"/>
    </xf>
    <xf borderId="1623" fillId="109" fontId="133" numFmtId="0" xfId="0" applyAlignment="1" applyBorder="1" applyFont="1">
      <alignment horizontal="center" vertical="center"/>
    </xf>
    <xf borderId="1622" fillId="109" fontId="106" numFmtId="0" xfId="0" applyAlignment="1" applyBorder="1" applyFont="1">
      <alignment horizontal="center" vertical="center"/>
    </xf>
    <xf borderId="1619" fillId="109" fontId="133" numFmtId="0" xfId="0" applyAlignment="1" applyBorder="1" applyFont="1">
      <alignment horizontal="center" vertical="center"/>
    </xf>
    <xf borderId="1623" fillId="109" fontId="133" numFmtId="0" xfId="0" applyAlignment="1" applyBorder="1" applyFont="1">
      <alignment horizontal="center" vertical="center"/>
    </xf>
    <xf borderId="1691" fillId="109" fontId="125" numFmtId="0" xfId="0" applyAlignment="1" applyBorder="1" applyFont="1">
      <alignment horizontal="center" vertical="center"/>
    </xf>
    <xf borderId="1692" fillId="109" fontId="74" numFmtId="0" xfId="0" applyAlignment="1" applyBorder="1" applyFont="1">
      <alignment horizontal="right" readingOrder="0" vertical="center"/>
    </xf>
    <xf borderId="1692" fillId="109" fontId="75" numFmtId="0" xfId="0" applyAlignment="1" applyBorder="1" applyFont="1">
      <alignment horizontal="center" readingOrder="0" vertical="center"/>
    </xf>
    <xf borderId="1693" fillId="109" fontId="75" numFmtId="0" xfId="0" applyAlignment="1" applyBorder="1" applyFont="1">
      <alignment horizontal="center" readingOrder="0" vertical="center"/>
    </xf>
    <xf borderId="1694" fillId="109" fontId="75" numFmtId="0" xfId="0" applyAlignment="1" applyBorder="1" applyFont="1">
      <alignment horizontal="center" readingOrder="0" vertical="center"/>
    </xf>
    <xf borderId="1695" fillId="109" fontId="125" numFmtId="0" xfId="0" applyAlignment="1" applyBorder="1" applyFont="1">
      <alignment horizontal="center" vertical="center"/>
    </xf>
    <xf borderId="1696" fillId="107" fontId="125" numFmtId="0" xfId="0" applyAlignment="1" applyBorder="1" applyFont="1">
      <alignment horizontal="center" vertical="center"/>
    </xf>
    <xf borderId="1564" fillId="107" fontId="74" numFmtId="0" xfId="0" applyAlignment="1" applyBorder="1" applyFont="1">
      <alignment horizontal="right" readingOrder="0" vertical="center"/>
    </xf>
    <xf borderId="1574" fillId="107" fontId="138" numFmtId="0" xfId="0" applyAlignment="1" applyBorder="1" applyFont="1">
      <alignment horizontal="center" readingOrder="0" vertical="center"/>
    </xf>
    <xf borderId="1564" fillId="107" fontId="138" numFmtId="0" xfId="0" applyAlignment="1" applyBorder="1" applyFont="1">
      <alignment horizontal="center" readingOrder="0" vertical="center"/>
    </xf>
    <xf borderId="1697" fillId="107" fontId="125" numFmtId="0" xfId="0" applyAlignment="1" applyBorder="1" applyFont="1">
      <alignment horizontal="center" vertical="center"/>
    </xf>
    <xf borderId="1698" fillId="107" fontId="110" numFmtId="0" xfId="0" applyAlignment="1" applyBorder="1" applyFont="1">
      <alignment horizontal="center" vertical="center"/>
    </xf>
    <xf borderId="1555" fillId="107" fontId="110" numFmtId="0" xfId="0" applyAlignment="1" applyBorder="1" applyFont="1">
      <alignment horizontal="center" vertical="center"/>
    </xf>
    <xf borderId="1564" fillId="107" fontId="131" numFmtId="0" xfId="0" applyAlignment="1" applyBorder="1" applyFont="1">
      <alignment horizontal="center" vertical="center"/>
    </xf>
    <xf borderId="1564" fillId="107" fontId="109" numFmtId="0" xfId="0" applyAlignment="1" applyBorder="1" applyFont="1">
      <alignment horizontal="center" vertical="center"/>
    </xf>
    <xf borderId="1698" fillId="107" fontId="89" numFmtId="0" xfId="0" applyAlignment="1" applyBorder="1" applyFont="1">
      <alignment horizontal="center" vertical="center"/>
    </xf>
    <xf borderId="543" fillId="108" fontId="88" numFmtId="0" xfId="0" applyAlignment="1" applyBorder="1" applyFont="1">
      <alignment horizontal="right" readingOrder="0" vertical="center"/>
    </xf>
    <xf borderId="546" fillId="108" fontId="88" numFmtId="0" xfId="0" applyAlignment="1" applyBorder="1" applyFont="1">
      <alignment horizontal="center" readingOrder="0" vertical="center"/>
    </xf>
    <xf borderId="1587" fillId="107" fontId="106" numFmtId="0" xfId="0" applyAlignment="1" applyBorder="1" applyFont="1">
      <alignment horizontal="center" vertical="center"/>
    </xf>
    <xf borderId="1574" fillId="107" fontId="89" numFmtId="0" xfId="0" applyAlignment="1" applyBorder="1" applyFont="1">
      <alignment horizontal="center" vertical="center"/>
    </xf>
    <xf borderId="1699" fillId="107" fontId="89" numFmtId="0" xfId="0" applyAlignment="1" applyBorder="1" applyFont="1">
      <alignment horizontal="center" vertical="center"/>
    </xf>
    <xf borderId="548" fillId="108" fontId="88" numFmtId="0" xfId="0" applyAlignment="1" applyBorder="1" applyFont="1">
      <alignment horizontal="right" readingOrder="0" vertical="center"/>
    </xf>
    <xf borderId="551" fillId="108" fontId="88" numFmtId="0" xfId="0" applyAlignment="1" applyBorder="1" applyFont="1">
      <alignment horizontal="center" readingOrder="0" vertical="center"/>
    </xf>
    <xf borderId="1700" fillId="107" fontId="89" numFmtId="0" xfId="0" applyAlignment="1" applyBorder="1" applyFont="1">
      <alignment horizontal="center" vertical="center"/>
    </xf>
    <xf borderId="1587" fillId="107" fontId="89" numFmtId="0" xfId="0" applyAlignment="1" applyBorder="1" applyFont="1">
      <alignment horizontal="center" vertical="center"/>
    </xf>
    <xf borderId="1597" fillId="107" fontId="133" numFmtId="0" xfId="0" applyAlignment="1" applyBorder="1" applyFont="1">
      <alignment horizontal="center" vertical="center"/>
    </xf>
    <xf borderId="1701" fillId="105" fontId="125" numFmtId="0" xfId="0" applyAlignment="1" applyBorder="1" applyFont="1">
      <alignment horizontal="center" vertical="center"/>
    </xf>
    <xf borderId="1421" fillId="105" fontId="119" numFmtId="0" xfId="0" applyAlignment="1" applyBorder="1" applyFont="1">
      <alignment horizontal="center" vertical="center"/>
    </xf>
    <xf borderId="1452" fillId="105" fontId="110" numFmtId="0" xfId="0" applyAlignment="1" applyBorder="1" applyFont="1">
      <alignment horizontal="center" vertical="center"/>
    </xf>
    <xf borderId="1421" fillId="105" fontId="110" numFmtId="0" xfId="0" applyAlignment="1" applyBorder="1" applyFont="1">
      <alignment horizontal="center" vertical="center"/>
    </xf>
    <xf borderId="1702" fillId="0" fontId="4" numFmtId="0" xfId="0" applyBorder="1" applyFont="1"/>
    <xf borderId="1421" fillId="105" fontId="89" numFmtId="0" xfId="0" applyAlignment="1" applyBorder="1" applyFont="1">
      <alignment horizontal="center" vertical="top"/>
    </xf>
    <xf borderId="1424" fillId="105" fontId="89" numFmtId="0" xfId="0" applyAlignment="1" applyBorder="1" applyFont="1">
      <alignment horizontal="center" vertical="center"/>
    </xf>
    <xf borderId="1703" fillId="105" fontId="89" numFmtId="0" xfId="0" applyAlignment="1" applyBorder="1" applyFont="1">
      <alignment horizontal="center" vertical="center"/>
    </xf>
    <xf borderId="1475" fillId="105" fontId="125" numFmtId="0" xfId="0" applyAlignment="1" applyBorder="1" applyFont="1">
      <alignment horizontal="center" vertical="center"/>
    </xf>
    <xf borderId="64" fillId="10" fontId="134" numFmtId="0" xfId="0" applyAlignment="1" applyBorder="1" applyFont="1">
      <alignment horizontal="center" readingOrder="0" vertical="center"/>
    </xf>
    <xf borderId="1704" fillId="0" fontId="4" numFmtId="0" xfId="0" applyBorder="1" applyFont="1"/>
    <xf borderId="1705" fillId="0" fontId="4" numFmtId="0" xfId="0" applyBorder="1" applyFont="1"/>
    <xf borderId="1706" fillId="110" fontId="125" numFmtId="0" xfId="0" applyAlignment="1" applyBorder="1" applyFont="1">
      <alignment horizontal="center" vertical="center"/>
    </xf>
    <xf borderId="1707" fillId="110" fontId="106" numFmtId="0" xfId="0" applyAlignment="1" applyBorder="1" applyFont="1">
      <alignment horizontal="center" vertical="center"/>
    </xf>
    <xf borderId="1708" fillId="0" fontId="4" numFmtId="0" xfId="0" applyBorder="1" applyFont="1"/>
    <xf borderId="1709" fillId="0" fontId="4" numFmtId="0" xfId="0" applyBorder="1" applyFont="1"/>
    <xf borderId="1710" fillId="110" fontId="125" numFmtId="0" xfId="0" applyAlignment="1" applyBorder="1" applyFont="1">
      <alignment horizontal="center" vertical="center"/>
    </xf>
    <xf borderId="1711" fillId="110" fontId="125" numFmtId="0" xfId="0" applyAlignment="1" applyBorder="1" applyFont="1">
      <alignment horizontal="center" vertical="center"/>
    </xf>
    <xf borderId="1712" fillId="110" fontId="125" numFmtId="0" xfId="0" applyAlignment="1" applyBorder="1" applyFont="1">
      <alignment horizontal="center" vertical="center"/>
    </xf>
    <xf borderId="1649" fillId="110" fontId="127" numFmtId="0" xfId="0" applyAlignment="1" applyBorder="1" applyFont="1">
      <alignment horizontal="center" vertical="center"/>
    </xf>
    <xf borderId="1649" fillId="110" fontId="119" numFmtId="0" xfId="0" applyAlignment="1" applyBorder="1" applyFont="1">
      <alignment horizontal="center" vertical="center"/>
    </xf>
    <xf borderId="1653" fillId="110" fontId="125" numFmtId="0" xfId="0" applyAlignment="1" applyBorder="1" applyFont="1">
      <alignment horizontal="center" vertical="center"/>
    </xf>
    <xf borderId="1713" fillId="110" fontId="125" numFmtId="0" xfId="0" applyAlignment="1" applyBorder="1" applyFont="1">
      <alignment horizontal="center" vertical="center"/>
    </xf>
    <xf borderId="1714" fillId="110" fontId="125" numFmtId="0" xfId="0" applyAlignment="1" applyBorder="1" applyFont="1">
      <alignment horizontal="center" vertical="center"/>
    </xf>
    <xf borderId="199" fillId="110" fontId="76" numFmtId="0" xfId="0" applyAlignment="1" applyBorder="1" applyFont="1">
      <alignment horizontal="right" readingOrder="0" vertical="center"/>
    </xf>
    <xf borderId="1649" fillId="110" fontId="110" numFmtId="0" xfId="0" applyAlignment="1" applyBorder="1" applyFont="1">
      <alignment horizontal="center" readingOrder="0" vertical="center"/>
    </xf>
    <xf borderId="1715" fillId="0" fontId="4" numFmtId="0" xfId="0" applyBorder="1" applyFont="1"/>
    <xf borderId="1713" fillId="110" fontId="110" numFmtId="0" xfId="0" applyAlignment="1" applyBorder="1" applyFont="1">
      <alignment horizontal="center" vertical="center"/>
    </xf>
    <xf borderId="1716" fillId="0" fontId="4" numFmtId="0" xfId="0" applyBorder="1" applyFont="1"/>
    <xf borderId="1649" fillId="110" fontId="129" numFmtId="0" xfId="0" applyAlignment="1" applyBorder="1" applyFont="1">
      <alignment horizontal="center" readingOrder="0" vertical="center"/>
    </xf>
    <xf borderId="1713" fillId="110" fontId="129" numFmtId="0" xfId="0" applyAlignment="1" applyBorder="1" applyFont="1">
      <alignment horizontal="center" vertical="center"/>
    </xf>
    <xf borderId="1716" fillId="110" fontId="76" numFmtId="0" xfId="0" applyAlignment="1" applyBorder="1" applyFont="1">
      <alignment horizontal="right" vertical="center"/>
    </xf>
    <xf borderId="1707" fillId="110" fontId="125" numFmtId="0" xfId="0" applyAlignment="1" applyBorder="1" applyFont="1">
      <alignment horizontal="center" vertical="center"/>
    </xf>
    <xf borderId="1717" fillId="0" fontId="4" numFmtId="0" xfId="0" applyBorder="1" applyFont="1"/>
    <xf borderId="1714" fillId="110" fontId="76" numFmtId="0" xfId="0" applyAlignment="1" applyBorder="1" applyFont="1">
      <alignment horizontal="right" vertical="center"/>
    </xf>
    <xf borderId="1707" fillId="110" fontId="76" numFmtId="0" xfId="0" applyAlignment="1" applyBorder="1" applyFont="1">
      <alignment horizontal="right" vertical="center"/>
    </xf>
    <xf borderId="1718" fillId="0" fontId="4" numFmtId="0" xfId="0" applyBorder="1" applyFont="1"/>
    <xf borderId="1706" fillId="110" fontId="124" numFmtId="0" xfId="0" applyAlignment="1" applyBorder="1" applyFont="1">
      <alignment horizontal="center" vertical="center"/>
    </xf>
    <xf borderId="1707" fillId="110" fontId="74" numFmtId="0" xfId="0" applyAlignment="1" applyBorder="1" applyFont="1">
      <alignment horizontal="right" vertical="center"/>
    </xf>
    <xf borderId="1707" fillId="110" fontId="131" numFmtId="0" xfId="0" applyAlignment="1" applyBorder="1" applyFont="1">
      <alignment horizontal="center" vertical="center"/>
    </xf>
    <xf borderId="1716" fillId="110" fontId="131" numFmtId="0" xfId="0" applyAlignment="1" applyBorder="1" applyFont="1">
      <alignment horizontal="center" vertical="top"/>
    </xf>
    <xf borderId="1707" fillId="110" fontId="109" numFmtId="0" xfId="0" applyAlignment="1" applyBorder="1" applyFont="1">
      <alignment horizontal="center" vertical="center"/>
    </xf>
    <xf borderId="1707" fillId="110" fontId="132" numFmtId="0" xfId="0" applyAlignment="1" applyBorder="1" applyFont="1">
      <alignment horizontal="center" vertical="center"/>
    </xf>
    <xf borderId="1710" fillId="110" fontId="124" numFmtId="0" xfId="0" applyAlignment="1" applyBorder="1" applyFont="1">
      <alignment horizontal="center" vertical="center"/>
    </xf>
    <xf borderId="1706" fillId="110" fontId="133" numFmtId="0" xfId="0" applyAlignment="1" applyBorder="1" applyFont="1">
      <alignment horizontal="center" vertical="center"/>
    </xf>
    <xf borderId="1713" fillId="110" fontId="106" numFmtId="0" xfId="0" applyAlignment="1" applyBorder="1" applyFont="1">
      <alignment horizontal="center" vertical="center"/>
    </xf>
    <xf borderId="1713" fillId="110" fontId="89" numFmtId="0" xfId="0" applyAlignment="1" applyBorder="1" applyFont="1">
      <alignment horizontal="center" vertical="center"/>
    </xf>
    <xf borderId="1719" fillId="110" fontId="133" numFmtId="0" xfId="0" applyAlignment="1" applyBorder="1" applyFont="1">
      <alignment horizontal="center" vertical="center"/>
    </xf>
    <xf borderId="1707" fillId="110" fontId="133" numFmtId="0" xfId="0" applyAlignment="1" applyBorder="1" applyFont="1">
      <alignment horizontal="center" vertical="center"/>
    </xf>
    <xf borderId="1710" fillId="110" fontId="133" numFmtId="0" xfId="0" applyAlignment="1" applyBorder="1" applyFont="1">
      <alignment horizontal="center" vertical="center"/>
    </xf>
    <xf borderId="1720" fillId="110" fontId="125" numFmtId="0" xfId="0" applyAlignment="1" applyBorder="1" applyFont="1">
      <alignment horizontal="center" vertical="center"/>
    </xf>
    <xf borderId="1721" fillId="110" fontId="76" numFmtId="0" xfId="0" applyAlignment="1" applyBorder="1" applyFont="1">
      <alignment horizontal="right" vertical="center"/>
    </xf>
    <xf borderId="1721" fillId="110" fontId="125" numFmtId="0" xfId="0" applyAlignment="1" applyBorder="1" applyFont="1">
      <alignment horizontal="center" vertical="center"/>
    </xf>
    <xf borderId="1722" fillId="110" fontId="125" numFmtId="0" xfId="0" applyAlignment="1" applyBorder="1" applyFont="1">
      <alignment horizontal="center" readingOrder="0" vertical="center"/>
    </xf>
    <xf borderId="1722" fillId="110" fontId="125" numFmtId="0" xfId="0" applyAlignment="1" applyBorder="1" applyFont="1">
      <alignment horizontal="center" vertical="center"/>
    </xf>
    <xf borderId="1723" fillId="110" fontId="125" numFmtId="0" xfId="0" applyAlignment="1" applyBorder="1" applyFont="1">
      <alignment horizontal="center" vertical="center"/>
    </xf>
    <xf borderId="1724" fillId="110" fontId="125" numFmtId="0" xfId="0" applyAlignment="1" applyBorder="1" applyFont="1">
      <alignment horizontal="center" vertical="center"/>
    </xf>
    <xf borderId="1725" fillId="111" fontId="125" numFmtId="0" xfId="0" applyAlignment="1" applyBorder="1" applyFill="1" applyFont="1">
      <alignment horizontal="center" vertical="center"/>
    </xf>
    <xf borderId="1726" fillId="111" fontId="74" numFmtId="0" xfId="0" applyAlignment="1" applyBorder="1" applyFont="1">
      <alignment horizontal="right" readingOrder="0" vertical="center"/>
    </xf>
    <xf borderId="1726" fillId="111" fontId="138" numFmtId="0" xfId="0" applyAlignment="1" applyBorder="1" applyFont="1">
      <alignment horizontal="center" readingOrder="0" vertical="center"/>
    </xf>
    <xf borderId="1727" fillId="111" fontId="125" numFmtId="0" xfId="0" applyAlignment="1" applyBorder="1" applyFont="1">
      <alignment horizontal="center" vertical="center"/>
    </xf>
    <xf borderId="1728" fillId="111" fontId="125" numFmtId="0" xfId="0" applyAlignment="1" applyBorder="1" applyFont="1">
      <alignment horizontal="center" vertical="center"/>
    </xf>
    <xf borderId="1729" fillId="111" fontId="76" numFmtId="0" xfId="0" applyAlignment="1" applyBorder="1" applyFont="1">
      <alignment horizontal="right" vertical="center"/>
    </xf>
    <xf borderId="1729" fillId="111" fontId="125" numFmtId="0" xfId="0" applyAlignment="1" applyBorder="1" applyFont="1">
      <alignment horizontal="center" vertical="center"/>
    </xf>
    <xf borderId="1730" fillId="111" fontId="149" numFmtId="0" xfId="0" applyAlignment="1" applyBorder="1" applyFont="1">
      <alignment horizontal="left" readingOrder="0" vertical="bottom"/>
    </xf>
    <xf borderId="1731" fillId="0" fontId="4" numFmtId="0" xfId="0" applyBorder="1" applyFont="1"/>
    <xf borderId="1732" fillId="0" fontId="4" numFmtId="0" xfId="0" applyBorder="1" applyFont="1"/>
    <xf borderId="1733" fillId="111" fontId="125" numFmtId="0" xfId="0" applyAlignment="1" applyBorder="1" applyFont="1">
      <alignment horizontal="center" vertical="center"/>
    </xf>
    <xf borderId="1734" fillId="111" fontId="125" numFmtId="0" xfId="0" applyAlignment="1" applyBorder="1" applyFont="1">
      <alignment horizontal="center" vertical="center"/>
    </xf>
    <xf borderId="1731" fillId="111" fontId="127" numFmtId="0" xfId="0" applyAlignment="1" applyBorder="1" applyFont="1">
      <alignment horizontal="center" vertical="center"/>
    </xf>
    <xf borderId="1731" fillId="111" fontId="119" numFmtId="0" xfId="0" applyAlignment="1" applyBorder="1" applyFont="1">
      <alignment horizontal="center" vertical="center"/>
    </xf>
    <xf borderId="1735" fillId="111" fontId="125" numFmtId="0" xfId="0" applyAlignment="1" applyBorder="1" applyFont="1">
      <alignment horizontal="center" vertical="center"/>
    </xf>
    <xf borderId="1734" fillId="111" fontId="110" numFmtId="0" xfId="0" applyAlignment="1" applyBorder="1" applyFont="1">
      <alignment horizontal="center" vertical="center"/>
    </xf>
    <xf borderId="1731" fillId="111" fontId="110" numFmtId="0" xfId="0" applyAlignment="1" applyBorder="1" applyFont="1">
      <alignment horizontal="center" readingOrder="0" vertical="center"/>
    </xf>
    <xf borderId="1735" fillId="111" fontId="110" numFmtId="0" xfId="0" applyAlignment="1" applyBorder="1" applyFont="1">
      <alignment horizontal="center" vertical="center"/>
    </xf>
    <xf borderId="1734" fillId="111" fontId="114" numFmtId="0" xfId="0" applyAlignment="1" applyBorder="1" applyFont="1">
      <alignment horizontal="center" vertical="center"/>
    </xf>
    <xf borderId="1731" fillId="111" fontId="114" numFmtId="0" xfId="0" applyAlignment="1" applyBorder="1" applyFont="1">
      <alignment horizontal="center" readingOrder="0" vertical="center"/>
    </xf>
    <xf borderId="1731" fillId="111" fontId="119" numFmtId="0" xfId="0" applyAlignment="1" applyBorder="1" applyFont="1">
      <alignment horizontal="center" readingOrder="0" vertical="center"/>
    </xf>
    <xf borderId="1735" fillId="111" fontId="114" numFmtId="0" xfId="0" applyAlignment="1" applyBorder="1" applyFont="1">
      <alignment horizontal="center" vertical="center"/>
    </xf>
    <xf borderId="1736" fillId="111" fontId="76" numFmtId="0" xfId="0" applyAlignment="1" applyBorder="1" applyFont="1">
      <alignment horizontal="right" vertical="center"/>
    </xf>
    <xf borderId="1730" fillId="111" fontId="125" numFmtId="0" xfId="0" applyAlignment="1" applyBorder="1" applyFont="1">
      <alignment horizontal="center" vertical="center"/>
    </xf>
    <xf borderId="1730" fillId="111" fontId="110" numFmtId="0" xfId="0" applyAlignment="1" applyBorder="1" applyFont="1">
      <alignment horizontal="center" vertical="center"/>
    </xf>
    <xf borderId="1736" fillId="0" fontId="4" numFmtId="0" xfId="0" applyBorder="1" applyFont="1"/>
    <xf borderId="1726" fillId="0" fontId="4" numFmtId="0" xfId="0" applyBorder="1" applyFont="1"/>
    <xf borderId="1737" fillId="111" fontId="76" numFmtId="0" xfId="0" applyAlignment="1" applyBorder="1" applyFont="1">
      <alignment horizontal="right" vertical="center"/>
    </xf>
    <xf borderId="1584" fillId="107" fontId="150" numFmtId="0" xfId="0" applyAlignment="1" applyBorder="1" applyFont="1">
      <alignment horizontal="center" readingOrder="0" vertical="center"/>
    </xf>
    <xf borderId="1729" fillId="111" fontId="76" numFmtId="0" xfId="0" applyAlignment="1" applyBorder="1" applyFont="1">
      <alignment horizontal="right" vertical="center"/>
    </xf>
    <xf borderId="1728" fillId="111" fontId="124" numFmtId="0" xfId="0" applyAlignment="1" applyBorder="1" applyFont="1">
      <alignment horizontal="center" vertical="center"/>
    </xf>
    <xf borderId="1729" fillId="111" fontId="74" numFmtId="0" xfId="0" applyAlignment="1" applyBorder="1" applyFont="1">
      <alignment horizontal="right" vertical="center"/>
    </xf>
    <xf borderId="1729" fillId="111" fontId="131" numFmtId="0" xfId="0" applyAlignment="1" applyBorder="1" applyFont="1">
      <alignment horizontal="center" vertical="center"/>
    </xf>
    <xf borderId="1736" fillId="111" fontId="131" numFmtId="0" xfId="0" applyAlignment="1" applyBorder="1" applyFont="1">
      <alignment horizontal="center" vertical="top"/>
    </xf>
    <xf borderId="1738" fillId="111" fontId="131" numFmtId="0" xfId="0" applyAlignment="1" applyBorder="1" applyFont="1">
      <alignment horizontal="center" vertical="top"/>
    </xf>
    <xf borderId="1736" fillId="111" fontId="131" numFmtId="0" xfId="0" applyAlignment="1" applyBorder="1" applyFont="1">
      <alignment horizontal="center" vertical="center"/>
    </xf>
    <xf borderId="1736" fillId="111" fontId="109" numFmtId="0" xfId="0" applyAlignment="1" applyBorder="1" applyFont="1">
      <alignment horizontal="center" vertical="center"/>
    </xf>
    <xf borderId="1739" fillId="111" fontId="132" numFmtId="0" xfId="0" applyAlignment="1" applyBorder="1" applyFont="1">
      <alignment horizontal="center" vertical="center"/>
    </xf>
    <xf borderId="1736" fillId="111" fontId="132" numFmtId="0" xfId="0" applyAlignment="1" applyBorder="1" applyFont="1">
      <alignment horizontal="center" vertical="center"/>
    </xf>
    <xf borderId="1733" fillId="111" fontId="124" numFmtId="0" xfId="0" applyAlignment="1" applyBorder="1" applyFont="1">
      <alignment horizontal="center" vertical="center"/>
    </xf>
    <xf borderId="1728" fillId="111" fontId="133" numFmtId="0" xfId="0" applyAlignment="1" applyBorder="1" applyFont="1">
      <alignment horizontal="center" vertical="center"/>
    </xf>
    <xf borderId="1730" fillId="111" fontId="106" numFmtId="0" xfId="0" applyAlignment="1" applyBorder="1" applyFont="1">
      <alignment horizontal="center" vertical="center"/>
    </xf>
    <xf borderId="1730" fillId="111" fontId="89" numFmtId="0" xfId="0" applyAlignment="1" applyBorder="1" applyFont="1">
      <alignment horizontal="center" vertical="center"/>
    </xf>
    <xf borderId="1740" fillId="111" fontId="133" numFmtId="0" xfId="0" applyAlignment="1" applyBorder="1" applyFont="1">
      <alignment horizontal="center" vertical="center"/>
    </xf>
    <xf borderId="1741" fillId="111" fontId="74" numFmtId="0" xfId="0" applyAlignment="1" applyBorder="1" applyFont="1">
      <alignment horizontal="right" readingOrder="0" vertical="center"/>
    </xf>
    <xf borderId="1729" fillId="111" fontId="138" numFmtId="0" xfId="0" applyAlignment="1" applyBorder="1" applyFont="1">
      <alignment horizontal="center" readingOrder="0" vertical="center"/>
    </xf>
    <xf borderId="1742" fillId="111" fontId="75" numFmtId="0" xfId="0" applyAlignment="1" applyBorder="1" applyFont="1">
      <alignment horizontal="center" readingOrder="0" vertical="center"/>
    </xf>
    <xf borderId="1729" fillId="111" fontId="75" numFmtId="0" xfId="0" applyAlignment="1" applyBorder="1" applyFont="1">
      <alignment horizontal="center" readingOrder="0" vertical="center"/>
    </xf>
    <xf borderId="1726" fillId="111" fontId="75" numFmtId="0" xfId="0" applyAlignment="1" applyBorder="1" applyFont="1">
      <alignment horizontal="center" readingOrder="0" vertical="center"/>
    </xf>
    <xf borderId="1743" fillId="111" fontId="125" numFmtId="0" xfId="0" applyAlignment="1" applyBorder="1" applyFont="1">
      <alignment horizontal="center" vertical="center"/>
    </xf>
    <xf borderId="189" fillId="71" fontId="76" numFmtId="0" xfId="0" applyAlignment="1" applyBorder="1" applyFont="1">
      <alignment horizontal="right" vertical="center"/>
    </xf>
    <xf borderId="969" fillId="71" fontId="119" numFmtId="0" xfId="0" applyAlignment="1" applyBorder="1" applyFont="1">
      <alignment horizontal="center" vertical="center"/>
    </xf>
    <xf borderId="1744" fillId="111" fontId="110" numFmtId="0" xfId="0" applyAlignment="1" applyBorder="1" applyFont="1">
      <alignment horizontal="center" vertical="center"/>
    </xf>
    <xf borderId="1745" fillId="111" fontId="125" numFmtId="0" xfId="0" applyAlignment="1" applyBorder="1" applyFont="1">
      <alignment horizontal="center" vertical="center"/>
    </xf>
    <xf borderId="1737" fillId="111" fontId="125" numFmtId="0" xfId="0" applyAlignment="1" applyBorder="1" applyFont="1">
      <alignment horizontal="center" vertical="center"/>
    </xf>
    <xf borderId="1743" fillId="111" fontId="110" numFmtId="0" xfId="0" applyAlignment="1" applyBorder="1" applyFont="1">
      <alignment horizontal="center" vertical="center"/>
    </xf>
    <xf borderId="199" fillId="112" fontId="76" numFmtId="0" xfId="0" applyAlignment="1" applyBorder="1" applyFill="1" applyFont="1">
      <alignment horizontal="right" readingOrder="0" vertical="center"/>
    </xf>
    <xf borderId="1746" fillId="112" fontId="112" numFmtId="0" xfId="0" applyAlignment="1" applyBorder="1" applyFont="1">
      <alignment horizontal="center" readingOrder="0" vertical="center"/>
    </xf>
    <xf borderId="1747" fillId="0" fontId="4" numFmtId="0" xfId="0" applyBorder="1" applyFont="1"/>
    <xf borderId="1748" fillId="0" fontId="4" numFmtId="0" xfId="0" applyBorder="1" applyFont="1"/>
    <xf borderId="1749" fillId="0" fontId="4" numFmtId="0" xfId="0" applyBorder="1" applyFont="1"/>
    <xf borderId="1750" fillId="0" fontId="4" numFmtId="0" xfId="0" applyBorder="1" applyFont="1"/>
    <xf borderId="1733" fillId="111" fontId="110" numFmtId="0" xfId="0" applyAlignment="1" applyBorder="1" applyFont="1">
      <alignment horizontal="center" vertical="center"/>
    </xf>
    <xf borderId="1743" fillId="111" fontId="114" numFmtId="0" xfId="0" applyAlignment="1" applyBorder="1" applyFont="1">
      <alignment horizontal="center" vertical="center"/>
    </xf>
    <xf borderId="1751" fillId="112" fontId="119" numFmtId="0" xfId="0" applyAlignment="1" applyBorder="1" applyFont="1">
      <alignment horizontal="center" readingOrder="0" vertical="top"/>
    </xf>
    <xf borderId="1752" fillId="0" fontId="4" numFmtId="0" xfId="0" applyBorder="1" applyFont="1"/>
    <xf borderId="1753" fillId="0" fontId="4" numFmtId="0" xfId="0" applyBorder="1" applyFont="1"/>
    <xf borderId="1730" fillId="111" fontId="129" numFmtId="0" xfId="0" applyAlignment="1" applyBorder="1" applyFont="1">
      <alignment horizontal="center" vertical="center"/>
    </xf>
    <xf borderId="1733" fillId="111" fontId="114" numFmtId="0" xfId="0" applyAlignment="1" applyBorder="1" applyFont="1">
      <alignment horizontal="center" vertical="center"/>
    </xf>
    <xf borderId="1754" fillId="112" fontId="110" numFmtId="0" xfId="0" applyAlignment="1" applyBorder="1" applyFont="1">
      <alignment horizontal="center" vertical="center"/>
    </xf>
    <xf borderId="1755" fillId="112" fontId="110" numFmtId="0" xfId="0" applyAlignment="1" applyBorder="1" applyFont="1">
      <alignment horizontal="right" vertical="top"/>
    </xf>
    <xf borderId="1755" fillId="112" fontId="110" numFmtId="0" xfId="0" applyAlignment="1" applyBorder="1" applyFont="1">
      <alignment horizontal="left" vertical="top"/>
    </xf>
    <xf borderId="1756" fillId="112" fontId="110" numFmtId="0" xfId="0" applyAlignment="1" applyBorder="1" applyFont="1">
      <alignment horizontal="center" vertical="top"/>
    </xf>
    <xf borderId="1757" fillId="112" fontId="110" numFmtId="0" xfId="0" applyAlignment="1" applyBorder="1" applyFont="1">
      <alignment horizontal="center" vertical="center"/>
    </xf>
    <xf borderId="1758" fillId="112" fontId="110" numFmtId="0" xfId="0" applyAlignment="1" applyBorder="1" applyFont="1">
      <alignment horizontal="center" vertical="top"/>
    </xf>
    <xf borderId="1759" fillId="112" fontId="110" numFmtId="0" xfId="0" applyAlignment="1" applyBorder="1" applyFont="1">
      <alignment horizontal="center" vertical="top"/>
    </xf>
    <xf borderId="1760" fillId="112" fontId="110" numFmtId="0" xfId="0" applyAlignment="1" applyBorder="1" applyFont="1">
      <alignment horizontal="center" readingOrder="0" vertical="center"/>
    </xf>
    <xf borderId="1761" fillId="0" fontId="4" numFmtId="0" xfId="0" applyBorder="1" applyFont="1"/>
    <xf borderId="1762" fillId="0" fontId="4" numFmtId="0" xfId="0" applyBorder="1" applyFont="1"/>
    <xf borderId="1763" fillId="112" fontId="110" numFmtId="0" xfId="0" applyAlignment="1" applyBorder="1" applyFont="1">
      <alignment horizontal="center" readingOrder="0" vertical="center"/>
    </xf>
    <xf borderId="1764" fillId="0" fontId="4" numFmtId="0" xfId="0" applyBorder="1" applyFont="1"/>
    <xf borderId="1765" fillId="0" fontId="4" numFmtId="0" xfId="0" applyBorder="1" applyFont="1"/>
    <xf borderId="1766" fillId="112" fontId="110" numFmtId="0" xfId="0" applyAlignment="1" applyBorder="1" applyFont="1">
      <alignment horizontal="center" readingOrder="0" vertical="center"/>
    </xf>
    <xf borderId="1767" fillId="0" fontId="4" numFmtId="0" xfId="0" applyBorder="1" applyFont="1"/>
    <xf borderId="1768" fillId="0" fontId="4" numFmtId="0" xfId="0" applyBorder="1" applyFont="1"/>
    <xf borderId="1769" fillId="112" fontId="110" numFmtId="0" xfId="0" applyAlignment="1" applyBorder="1" applyFont="1">
      <alignment horizontal="center" readingOrder="0" vertical="center"/>
    </xf>
    <xf borderId="1770" fillId="0" fontId="4" numFmtId="0" xfId="0" applyBorder="1" applyFont="1"/>
    <xf borderId="1762" fillId="112" fontId="110" numFmtId="0" xfId="0" applyAlignment="1" applyBorder="1" applyFont="1">
      <alignment horizontal="center" readingOrder="0" vertical="center"/>
    </xf>
    <xf borderId="1760" fillId="112" fontId="110" numFmtId="0" xfId="0" applyAlignment="1" applyBorder="1" applyFont="1">
      <alignment horizontal="center" vertical="center"/>
    </xf>
    <xf borderId="1771" fillId="0" fontId="4" numFmtId="0" xfId="0" applyBorder="1" applyFont="1"/>
    <xf borderId="1765" fillId="112" fontId="110" numFmtId="0" xfId="0" applyAlignment="1" applyBorder="1" applyFont="1">
      <alignment horizontal="center" readingOrder="0" vertical="center"/>
    </xf>
    <xf borderId="1763" fillId="112" fontId="110" numFmtId="0" xfId="0" applyAlignment="1" applyBorder="1" applyFont="1">
      <alignment horizontal="center" vertical="center"/>
    </xf>
    <xf borderId="1772" fillId="112" fontId="110" numFmtId="0" xfId="0" applyAlignment="1" applyBorder="1" applyFont="1">
      <alignment horizontal="center" readingOrder="0" vertical="center"/>
    </xf>
    <xf borderId="1773" fillId="0" fontId="4" numFmtId="0" xfId="0" applyBorder="1" applyFont="1"/>
    <xf borderId="1774" fillId="0" fontId="4" numFmtId="0" xfId="0" applyBorder="1" applyFont="1"/>
    <xf borderId="1775" fillId="112" fontId="110" numFmtId="0" xfId="0" applyAlignment="1" applyBorder="1" applyFont="1">
      <alignment horizontal="center" readingOrder="0" vertical="center"/>
    </xf>
    <xf borderId="1776" fillId="0" fontId="4" numFmtId="0" xfId="0" applyBorder="1" applyFont="1"/>
    <xf borderId="1772" fillId="112" fontId="110" numFmtId="0" xfId="0" applyAlignment="1" applyBorder="1" applyFont="1">
      <alignment horizontal="center" vertical="center"/>
    </xf>
    <xf borderId="1777" fillId="0" fontId="4" numFmtId="0" xfId="0" applyBorder="1" applyFont="1"/>
    <xf borderId="1729" fillId="111" fontId="131" numFmtId="0" xfId="0" applyAlignment="1" applyBorder="1" applyFont="1">
      <alignment horizontal="center" vertical="top"/>
    </xf>
    <xf borderId="1729" fillId="111" fontId="109" numFmtId="0" xfId="0" applyAlignment="1" applyBorder="1" applyFont="1">
      <alignment horizontal="center" vertical="center"/>
    </xf>
    <xf borderId="1729" fillId="111" fontId="132" numFmtId="0" xfId="0" applyAlignment="1" applyBorder="1" applyFont="1">
      <alignment horizontal="center" vertical="center"/>
    </xf>
    <xf borderId="237" fillId="71" fontId="88" numFmtId="0" xfId="0" applyAlignment="1" applyBorder="1" applyFont="1">
      <alignment horizontal="center" readingOrder="0" vertical="top"/>
    </xf>
    <xf borderId="240" fillId="71" fontId="88" numFmtId="0" xfId="0" applyAlignment="1" applyBorder="1" applyFont="1">
      <alignment horizontal="center" readingOrder="0" vertical="top"/>
    </xf>
    <xf borderId="1778" fillId="111" fontId="89" numFmtId="0" xfId="0" applyAlignment="1" applyBorder="1" applyFont="1">
      <alignment horizontal="center" vertical="center"/>
    </xf>
    <xf borderId="1779" fillId="111" fontId="106" numFmtId="0" xfId="0" applyAlignment="1" applyBorder="1" applyFont="1">
      <alignment horizontal="center" vertical="center"/>
    </xf>
    <xf borderId="1729" fillId="111" fontId="106" numFmtId="0" xfId="0" applyAlignment="1" applyBorder="1" applyFont="1">
      <alignment horizontal="center" vertical="center"/>
    </xf>
    <xf borderId="1733" fillId="111" fontId="133" numFmtId="0" xfId="0" applyAlignment="1" applyBorder="1" applyFont="1">
      <alignment horizontal="center" vertical="center"/>
    </xf>
    <xf borderId="1780" fillId="71" fontId="88" numFmtId="0" xfId="0" applyAlignment="1" applyBorder="1" applyFont="1">
      <alignment horizontal="center" readingOrder="0" vertical="center"/>
    </xf>
    <xf borderId="1781" fillId="71" fontId="88" numFmtId="0" xfId="0" applyAlignment="1" applyBorder="1" applyFont="1">
      <alignment horizontal="center" readingOrder="0" vertical="center"/>
    </xf>
    <xf borderId="1782" fillId="71" fontId="88" numFmtId="0" xfId="0" applyAlignment="1" applyBorder="1" applyFont="1">
      <alignment horizontal="left" readingOrder="0" vertical="center"/>
    </xf>
    <xf borderId="1783" fillId="71" fontId="88" numFmtId="0" xfId="0" applyAlignment="1" applyBorder="1" applyFont="1">
      <alignment horizontal="center" readingOrder="0" vertical="center"/>
    </xf>
    <xf borderId="1784" fillId="71" fontId="88" numFmtId="0" xfId="0" applyAlignment="1" applyBorder="1" applyFont="1">
      <alignment horizontal="center" readingOrder="0" vertical="center"/>
    </xf>
    <xf borderId="1785" fillId="71" fontId="88" numFmtId="0" xfId="0" applyAlignment="1" applyBorder="1" applyFont="1">
      <alignment horizontal="center" readingOrder="0" vertical="center"/>
    </xf>
    <xf borderId="1786" fillId="71" fontId="88" numFmtId="0" xfId="0" applyAlignment="1" applyBorder="1" applyFont="1">
      <alignment horizontal="left" readingOrder="0" vertical="center"/>
    </xf>
    <xf borderId="1787" fillId="71" fontId="88" numFmtId="0" xfId="0" applyAlignment="1" applyBorder="1" applyFont="1">
      <alignment horizontal="center" readingOrder="0" vertical="center"/>
    </xf>
    <xf borderId="1788" fillId="71" fontId="88" numFmtId="0" xfId="0" applyAlignment="1" applyBorder="1" applyFont="1">
      <alignment horizontal="center" readingOrder="0" vertical="center"/>
    </xf>
    <xf borderId="1789" fillId="71" fontId="88" numFmtId="0" xfId="0" applyAlignment="1" applyBorder="1" applyFont="1">
      <alignment horizontal="center" readingOrder="0" vertical="center"/>
    </xf>
    <xf borderId="1790" fillId="71" fontId="88" numFmtId="0" xfId="0" applyAlignment="1" applyBorder="1" applyFont="1">
      <alignment horizontal="left" readingOrder="0" vertical="center"/>
    </xf>
    <xf borderId="1791" fillId="71" fontId="88" numFmtId="0" xfId="0" applyAlignment="1" applyBorder="1" applyFont="1">
      <alignment horizontal="center" readingOrder="0" vertical="center"/>
    </xf>
    <xf borderId="253" fillId="71" fontId="88" numFmtId="0" xfId="0" applyAlignment="1" applyBorder="1" applyFont="1">
      <alignment horizontal="right" readingOrder="0" vertical="center"/>
    </xf>
    <xf borderId="256" fillId="71" fontId="88" numFmtId="0" xfId="0" applyAlignment="1" applyBorder="1" applyFont="1">
      <alignment horizontal="center" readingOrder="0" vertical="center"/>
    </xf>
    <xf borderId="1792" fillId="111" fontId="125" numFmtId="0" xfId="0" applyAlignment="1" applyBorder="1" applyFont="1">
      <alignment horizontal="center" vertical="center"/>
    </xf>
    <xf borderId="1793" fillId="111" fontId="74" numFmtId="0" xfId="0" applyAlignment="1" applyBorder="1" applyFont="1">
      <alignment horizontal="right" readingOrder="0" vertical="center"/>
    </xf>
    <xf borderId="1794" fillId="111" fontId="138" numFmtId="0" xfId="0" applyAlignment="1" applyBorder="1" applyFont="1">
      <alignment horizontal="center" readingOrder="0" vertical="center"/>
    </xf>
    <xf borderId="1793" fillId="111" fontId="138" numFmtId="0" xfId="0" applyAlignment="1" applyBorder="1" applyFont="1">
      <alignment horizontal="center" readingOrder="0" vertical="center"/>
    </xf>
    <xf borderId="1795" fillId="111" fontId="138" numFmtId="0" xfId="0" applyAlignment="1" applyBorder="1" applyFont="1">
      <alignment horizontal="center" readingOrder="0" vertical="center"/>
    </xf>
    <xf borderId="1796" fillId="111" fontId="125" numFmtId="0" xfId="0" applyAlignment="1" applyBorder="1" applyFont="1">
      <alignment horizontal="center" vertical="center"/>
    </xf>
    <xf borderId="71" fillId="9" fontId="125" numFmtId="0" xfId="0" applyAlignment="1" applyBorder="1" applyFont="1">
      <alignment horizontal="center" vertical="center"/>
    </xf>
    <xf borderId="71" fillId="9" fontId="76" numFmtId="0" xfId="0" applyAlignment="1" applyBorder="1" applyFont="1">
      <alignment horizontal="right" vertical="center"/>
    </xf>
    <xf borderId="1797" fillId="113" fontId="125" numFmtId="0" xfId="0" applyAlignment="1" applyBorder="1" applyFill="1" applyFont="1">
      <alignment horizontal="center" vertical="center"/>
    </xf>
    <xf borderId="1798" fillId="113" fontId="125" numFmtId="0" xfId="0" applyAlignment="1" applyBorder="1" applyFont="1">
      <alignment horizontal="center" vertical="center"/>
    </xf>
    <xf borderId="1798" fillId="113" fontId="76" numFmtId="0" xfId="0" applyAlignment="1" applyBorder="1" applyFont="1">
      <alignment horizontal="right" vertical="center"/>
    </xf>
    <xf borderId="1799" fillId="113" fontId="125" numFmtId="0" xfId="0" applyAlignment="1" applyBorder="1" applyFont="1">
      <alignment horizontal="center" vertical="center"/>
    </xf>
    <xf borderId="1800" fillId="114" fontId="125" numFmtId="0" xfId="0" applyAlignment="1" applyBorder="1" applyFill="1" applyFont="1">
      <alignment horizontal="center" vertical="center"/>
    </xf>
    <xf borderId="1801" fillId="114" fontId="76" numFmtId="0" xfId="0" applyAlignment="1" applyBorder="1" applyFont="1">
      <alignment horizontal="right" vertical="center"/>
    </xf>
    <xf borderId="1801" fillId="114" fontId="125" numFmtId="0" xfId="0" applyAlignment="1" applyBorder="1" applyFont="1">
      <alignment horizontal="center" vertical="center"/>
    </xf>
    <xf borderId="1802" fillId="114" fontId="125" numFmtId="0" xfId="0" applyAlignment="1" applyBorder="1" applyFont="1">
      <alignment horizontal="center" vertical="center"/>
    </xf>
    <xf borderId="1803" fillId="114" fontId="125" numFmtId="0" xfId="0" applyAlignment="1" applyBorder="1" applyFont="1">
      <alignment horizontal="center" vertical="center"/>
    </xf>
    <xf borderId="1804" fillId="113" fontId="125" numFmtId="0" xfId="0" applyAlignment="1" applyBorder="1" applyFont="1">
      <alignment horizontal="center" vertical="center"/>
    </xf>
    <xf borderId="1799" fillId="113" fontId="125" numFmtId="0" xfId="0" applyAlignment="1" applyBorder="1" applyFont="1">
      <alignment horizontal="center"/>
    </xf>
    <xf borderId="1805" fillId="114" fontId="125" numFmtId="0" xfId="0" applyAlignment="1" applyBorder="1" applyFont="1">
      <alignment horizontal="center"/>
    </xf>
    <xf borderId="189" fillId="115" fontId="76" numFmtId="0" xfId="0" applyAlignment="1" applyBorder="1" applyFill="1" applyFont="1">
      <alignment horizontal="center" vertical="center"/>
    </xf>
    <xf borderId="1806" fillId="114" fontId="125" numFmtId="0" xfId="0" applyAlignment="1" applyBorder="1" applyFont="1">
      <alignment horizontal="center"/>
    </xf>
    <xf borderId="237" fillId="115" fontId="119" numFmtId="0" xfId="0" applyAlignment="1" applyBorder="1" applyFont="1">
      <alignment horizontal="center" vertical="center"/>
    </xf>
    <xf borderId="1807" fillId="114" fontId="110" numFmtId="0" xfId="0" applyAlignment="1" applyBorder="1" applyFont="1">
      <alignment horizontal="center" vertical="center"/>
    </xf>
    <xf borderId="1808" fillId="114" fontId="110" numFmtId="0" xfId="0" applyAlignment="1" applyBorder="1" applyFont="1">
      <alignment horizontal="center"/>
    </xf>
    <xf borderId="1809" fillId="114" fontId="125" numFmtId="0" xfId="0" applyAlignment="1" applyBorder="1" applyFont="1">
      <alignment horizontal="center"/>
    </xf>
    <xf borderId="1810" fillId="114" fontId="148" numFmtId="0" xfId="0" applyAlignment="1" applyBorder="1" applyFont="1">
      <alignment horizontal="center" readingOrder="0" vertical="center"/>
    </xf>
    <xf borderId="1811" fillId="0" fontId="4" numFmtId="0" xfId="0" applyBorder="1" applyFont="1"/>
    <xf borderId="1812" fillId="0" fontId="4" numFmtId="0" xfId="0" applyBorder="1" applyFont="1"/>
    <xf borderId="1813" fillId="114" fontId="125" numFmtId="0" xfId="0" applyAlignment="1" applyBorder="1" applyFont="1">
      <alignment horizontal="center"/>
    </xf>
    <xf borderId="1804" fillId="113" fontId="125" numFmtId="0" xfId="0" applyAlignment="1" applyBorder="1" applyFont="1">
      <alignment horizontal="center"/>
    </xf>
    <xf borderId="1799" fillId="113" fontId="110" numFmtId="0" xfId="0" applyAlignment="1" applyBorder="1" applyFont="1">
      <alignment horizontal="center"/>
    </xf>
    <xf borderId="1805" fillId="114" fontId="110" numFmtId="0" xfId="0" applyAlignment="1" applyBorder="1" applyFont="1">
      <alignment horizontal="center"/>
    </xf>
    <xf borderId="762" fillId="114" fontId="76" numFmtId="0" xfId="0" applyAlignment="1" applyBorder="1" applyFont="1">
      <alignment horizontal="right" readingOrder="0" vertical="center"/>
    </xf>
    <xf borderId="1812" fillId="114" fontId="110" numFmtId="0" xfId="0" applyAlignment="1" applyBorder="1" applyFont="1">
      <alignment horizontal="center"/>
    </xf>
    <xf borderId="1814" fillId="114" fontId="112" numFmtId="0" xfId="0" applyAlignment="1" applyBorder="1" applyFont="1">
      <alignment horizontal="center" readingOrder="0" vertical="center"/>
    </xf>
    <xf borderId="1815" fillId="0" fontId="4" numFmtId="0" xfId="0" applyBorder="1" applyFont="1"/>
    <xf borderId="1816" fillId="0" fontId="4" numFmtId="0" xfId="0" applyBorder="1" applyFont="1"/>
    <xf borderId="1817" fillId="0" fontId="4" numFmtId="0" xfId="0" applyBorder="1" applyFont="1"/>
    <xf borderId="1818" fillId="0" fontId="4" numFmtId="0" xfId="0" applyBorder="1" applyFont="1"/>
    <xf borderId="1819" fillId="0" fontId="4" numFmtId="0" xfId="0" applyBorder="1" applyFont="1"/>
    <xf borderId="1810" fillId="114" fontId="151" numFmtId="0" xfId="0" applyAlignment="1" applyBorder="1" applyFont="1">
      <alignment horizontal="center" readingOrder="0" vertical="center"/>
    </xf>
    <xf borderId="1813" fillId="114" fontId="110" numFmtId="0" xfId="0" applyAlignment="1" applyBorder="1" applyFont="1">
      <alignment horizontal="center"/>
    </xf>
    <xf borderId="1804" fillId="113" fontId="110" numFmtId="0" xfId="0" applyAlignment="1" applyBorder="1" applyFont="1">
      <alignment horizontal="center"/>
    </xf>
    <xf borderId="1799" fillId="113" fontId="129" numFmtId="0" xfId="0" applyAlignment="1" applyBorder="1" applyFont="1">
      <alignment horizontal="center"/>
    </xf>
    <xf borderId="1805" fillId="114" fontId="129" numFmtId="0" xfId="0" applyAlignment="1" applyBorder="1" applyFont="1">
      <alignment horizontal="center"/>
    </xf>
    <xf borderId="1812" fillId="114" fontId="129" numFmtId="0" xfId="0" applyAlignment="1" applyBorder="1" applyFont="1">
      <alignment horizontal="center"/>
    </xf>
    <xf borderId="1820" fillId="114" fontId="114" numFmtId="0" xfId="0" applyAlignment="1" applyBorder="1" applyFont="1">
      <alignment horizontal="center" readingOrder="0" vertical="top"/>
    </xf>
    <xf borderId="1821" fillId="0" fontId="4" numFmtId="0" xfId="0" applyBorder="1" applyFont="1"/>
    <xf borderId="1822" fillId="0" fontId="4" numFmtId="0" xfId="0" applyBorder="1" applyFont="1"/>
    <xf borderId="1810" fillId="114" fontId="152" numFmtId="0" xfId="0" applyAlignment="1" applyBorder="1" applyFont="1">
      <alignment horizontal="center" readingOrder="0" vertical="center"/>
    </xf>
    <xf borderId="1813" fillId="114" fontId="129" numFmtId="0" xfId="0" applyAlignment="1" applyBorder="1" applyFont="1">
      <alignment horizontal="center"/>
    </xf>
    <xf borderId="1804" fillId="113" fontId="129" numFmtId="0" xfId="0" applyAlignment="1" applyBorder="1" applyFont="1">
      <alignment horizontal="center"/>
    </xf>
    <xf borderId="1812" fillId="114" fontId="125" numFmtId="0" xfId="0" applyAlignment="1" applyBorder="1" applyFont="1">
      <alignment horizontal="center"/>
    </xf>
    <xf borderId="1823" fillId="114" fontId="110" numFmtId="0" xfId="0" applyAlignment="1" applyBorder="1" applyFont="1">
      <alignment horizontal="center" vertical="center"/>
    </xf>
    <xf borderId="1824" fillId="114" fontId="110" numFmtId="0" xfId="0" applyAlignment="1" applyBorder="1" applyFont="1">
      <alignment horizontal="right" vertical="top"/>
    </xf>
    <xf borderId="1824" fillId="114" fontId="110" numFmtId="0" xfId="0" applyAlignment="1" applyBorder="1" applyFont="1">
      <alignment horizontal="left" vertical="top"/>
    </xf>
    <xf borderId="1825" fillId="114" fontId="110" numFmtId="0" xfId="0" applyAlignment="1" applyBorder="1" applyFont="1">
      <alignment horizontal="center" vertical="center"/>
    </xf>
    <xf borderId="1826" fillId="114" fontId="110" numFmtId="0" xfId="0" applyAlignment="1" applyBorder="1" applyFont="1">
      <alignment horizontal="center" vertical="top"/>
    </xf>
    <xf borderId="1827" fillId="0" fontId="4" numFmtId="0" xfId="0" applyBorder="1" applyFont="1"/>
    <xf borderId="1828" fillId="114" fontId="76" numFmtId="0" xfId="0" applyAlignment="1" applyBorder="1" applyFont="1">
      <alignment horizontal="right" vertical="center"/>
    </xf>
    <xf borderId="1829" fillId="114" fontId="110" numFmtId="0" xfId="0" applyAlignment="1" applyBorder="1" applyFont="1">
      <alignment horizontal="center" vertical="center"/>
    </xf>
    <xf borderId="1830" fillId="114" fontId="110" numFmtId="0" xfId="0" applyAlignment="1" applyBorder="1" applyFont="1">
      <alignment horizontal="center" vertical="center"/>
    </xf>
    <xf borderId="1831" fillId="114" fontId="110" numFmtId="0" xfId="0" applyAlignment="1" applyBorder="1" applyFont="1">
      <alignment horizontal="center" vertical="center"/>
    </xf>
    <xf borderId="1806" fillId="114" fontId="125" numFmtId="0" xfId="0" applyAlignment="1" applyBorder="1" applyFont="1">
      <alignment horizontal="center"/>
    </xf>
    <xf borderId="1810" fillId="114" fontId="125" numFmtId="0" xfId="0" applyAlignment="1" applyBorder="1" applyFont="1">
      <alignment horizontal="center"/>
    </xf>
    <xf borderId="1832" fillId="114" fontId="110" numFmtId="0" xfId="0" applyAlignment="1" applyBorder="1" applyFont="1">
      <alignment horizontal="center" readingOrder="0" vertical="center"/>
    </xf>
    <xf borderId="1833" fillId="0" fontId="4" numFmtId="0" xfId="0" applyBorder="1" applyFont="1"/>
    <xf borderId="1834" fillId="0" fontId="4" numFmtId="0" xfId="0" applyBorder="1" applyFont="1"/>
    <xf borderId="1809" fillId="114" fontId="76" numFmtId="0" xfId="0" applyAlignment="1" applyBorder="1" applyFont="1">
      <alignment horizontal="right"/>
    </xf>
    <xf borderId="1835" fillId="114" fontId="110" numFmtId="0" xfId="0" applyAlignment="1" applyBorder="1" applyFont="1">
      <alignment horizontal="center" readingOrder="0" vertical="center"/>
    </xf>
    <xf borderId="1836" fillId="0" fontId="4" numFmtId="0" xfId="0" applyBorder="1" applyFont="1"/>
    <xf borderId="1837" fillId="114" fontId="110" numFmtId="0" xfId="0" applyAlignment="1" applyBorder="1" applyFont="1">
      <alignment horizontal="center" readingOrder="0" vertical="center"/>
    </xf>
    <xf borderId="1838" fillId="0" fontId="4" numFmtId="0" xfId="0" applyBorder="1" applyFont="1"/>
    <xf borderId="1808" fillId="0" fontId="4" numFmtId="0" xfId="0" applyBorder="1" applyFont="1"/>
    <xf borderId="1839" fillId="114" fontId="110" numFmtId="0" xfId="0" applyAlignment="1" applyBorder="1" applyFont="1">
      <alignment horizontal="center" vertical="center"/>
    </xf>
    <xf borderId="1840" fillId="114" fontId="110" numFmtId="0" xfId="0" applyAlignment="1" applyBorder="1" applyFont="1">
      <alignment horizontal="center" readingOrder="0" vertical="center"/>
    </xf>
    <xf borderId="1841" fillId="0" fontId="4" numFmtId="0" xfId="0" applyBorder="1" applyFont="1"/>
    <xf borderId="1842" fillId="0" fontId="4" numFmtId="0" xfId="0" applyBorder="1" applyFont="1"/>
    <xf borderId="1843" fillId="114" fontId="142" numFmtId="0" xfId="0" applyAlignment="1" applyBorder="1" applyFont="1">
      <alignment horizontal="center" readingOrder="0" vertical="center"/>
    </xf>
    <xf borderId="1828" fillId="0" fontId="4" numFmtId="0" xfId="0" applyBorder="1" applyFont="1"/>
    <xf borderId="1844" fillId="0" fontId="4" numFmtId="0" xfId="0" applyBorder="1" applyFont="1"/>
    <xf borderId="1845" fillId="114" fontId="110" numFmtId="0" xfId="0" applyAlignment="1" applyBorder="1" applyFont="1">
      <alignment horizontal="center" vertical="center"/>
    </xf>
    <xf borderId="1846" fillId="114" fontId="110" numFmtId="0" xfId="0" applyAlignment="1" applyBorder="1" applyFont="1">
      <alignment horizontal="center" readingOrder="0" vertical="center"/>
    </xf>
    <xf borderId="1847" fillId="0" fontId="4" numFmtId="0" xfId="0" applyBorder="1" applyFont="1"/>
    <xf borderId="1848" fillId="0" fontId="4" numFmtId="0" xfId="0" applyBorder="1" applyFont="1"/>
    <xf borderId="1849" fillId="114" fontId="110" numFmtId="0" xfId="0" applyAlignment="1" applyBorder="1" applyFont="1">
      <alignment horizontal="center" vertical="center"/>
    </xf>
    <xf borderId="1806" fillId="114" fontId="76" numFmtId="0" xfId="0" applyAlignment="1" applyBorder="1" applyFont="1">
      <alignment horizontal="right" vertical="center"/>
    </xf>
    <xf borderId="1813" fillId="114" fontId="110" numFmtId="0" xfId="0" applyAlignment="1" applyBorder="1" applyFont="1">
      <alignment horizontal="center" vertical="center"/>
    </xf>
    <xf borderId="1850" fillId="114" fontId="110" numFmtId="0" xfId="0" applyAlignment="1" applyBorder="1" applyFont="1">
      <alignment horizontal="center" readingOrder="0" vertical="center"/>
    </xf>
    <xf borderId="1851" fillId="0" fontId="4" numFmtId="0" xfId="0" applyBorder="1" applyFont="1"/>
    <xf borderId="1852" fillId="0" fontId="4" numFmtId="0" xfId="0" applyBorder="1" applyFont="1"/>
    <xf borderId="1853" fillId="0" fontId="4" numFmtId="0" xfId="0" applyBorder="1" applyFont="1"/>
    <xf borderId="1854" fillId="0" fontId="4" numFmtId="0" xfId="0" applyBorder="1" applyFont="1"/>
    <xf borderId="1855" fillId="114" fontId="110" numFmtId="0" xfId="0" applyAlignment="1" applyBorder="1" applyFont="1">
      <alignment horizontal="center" vertical="center"/>
    </xf>
    <xf borderId="1799" fillId="113" fontId="130" numFmtId="0" xfId="0" applyAlignment="1" applyBorder="1" applyFont="1">
      <alignment horizontal="center" vertical="center"/>
    </xf>
    <xf borderId="1805" fillId="114" fontId="124" numFmtId="0" xfId="0" applyAlignment="1" applyBorder="1" applyFont="1">
      <alignment horizontal="center" vertical="center"/>
    </xf>
    <xf borderId="1806" fillId="114" fontId="74" numFmtId="0" xfId="0" applyAlignment="1" applyBorder="1" applyFont="1">
      <alignment horizontal="right" vertical="center"/>
    </xf>
    <xf borderId="1806" fillId="114" fontId="131" numFmtId="0" xfId="0" applyAlignment="1" applyBorder="1" applyFont="1">
      <alignment horizontal="center" vertical="center"/>
    </xf>
    <xf borderId="1806" fillId="114" fontId="131" numFmtId="0" xfId="0" applyAlignment="1" applyBorder="1" applyFont="1">
      <alignment horizontal="center" vertical="top"/>
    </xf>
    <xf borderId="1819" fillId="114" fontId="131" numFmtId="0" xfId="0" applyAlignment="1" applyBorder="1" applyFont="1">
      <alignment horizontal="center" vertical="top"/>
    </xf>
    <xf borderId="1828" fillId="114" fontId="131" numFmtId="0" xfId="0" applyAlignment="1" applyBorder="1" applyFont="1">
      <alignment horizontal="center" vertical="top"/>
    </xf>
    <xf borderId="1809" fillId="114" fontId="131" numFmtId="0" xfId="0" applyAlignment="1" applyBorder="1" applyFont="1">
      <alignment horizontal="center" vertical="top"/>
    </xf>
    <xf borderId="1806" fillId="114" fontId="109" numFmtId="0" xfId="0" applyAlignment="1" applyBorder="1" applyFont="1">
      <alignment horizontal="center" vertical="center"/>
    </xf>
    <xf borderId="1806" fillId="114" fontId="132" numFmtId="0" xfId="0" applyAlignment="1" applyBorder="1" applyFont="1">
      <alignment horizontal="center" vertical="center"/>
    </xf>
    <xf borderId="1813" fillId="114" fontId="124" numFmtId="0" xfId="0" applyAlignment="1" applyBorder="1" applyFont="1">
      <alignment horizontal="center" vertical="center"/>
    </xf>
    <xf borderId="1804" fillId="113" fontId="124" numFmtId="0" xfId="0" applyAlignment="1" applyBorder="1" applyFont="1">
      <alignment horizontal="center" vertical="center"/>
    </xf>
    <xf borderId="1799" fillId="113" fontId="128" numFmtId="0" xfId="0" applyAlignment="1" applyBorder="1" applyFont="1">
      <alignment horizontal="center" readingOrder="0" vertical="center"/>
    </xf>
    <xf borderId="1805" fillId="114" fontId="133" numFmtId="0" xfId="0" applyAlignment="1" applyBorder="1" applyFont="1">
      <alignment horizontal="center" vertical="center"/>
    </xf>
    <xf borderId="1806" fillId="114" fontId="106" numFmtId="0" xfId="0" applyAlignment="1" applyBorder="1" applyFont="1">
      <alignment horizontal="center" vertical="center"/>
    </xf>
    <xf borderId="237" fillId="14" fontId="104" numFmtId="0" xfId="0" applyAlignment="1" applyBorder="1" applyFont="1">
      <alignment horizontal="center" readingOrder="0" vertical="top"/>
    </xf>
    <xf borderId="240" fillId="14" fontId="104" numFmtId="0" xfId="0" applyAlignment="1" applyBorder="1" applyFont="1">
      <alignment horizontal="center" readingOrder="0" vertical="top"/>
    </xf>
    <xf borderId="1810" fillId="114" fontId="105" numFmtId="0" xfId="0" applyAlignment="1" applyBorder="1" applyFont="1">
      <alignment horizontal="center" vertical="center"/>
    </xf>
    <xf borderId="1806" fillId="114" fontId="105" numFmtId="0" xfId="0" applyAlignment="1" applyBorder="1" applyFont="1">
      <alignment horizontal="center" vertical="top"/>
    </xf>
    <xf borderId="1806" fillId="114" fontId="133" numFmtId="0" xfId="0" applyAlignment="1" applyBorder="1" applyFont="1">
      <alignment horizontal="center" vertical="center"/>
    </xf>
    <xf borderId="1813" fillId="114" fontId="133" numFmtId="0" xfId="0" applyAlignment="1" applyBorder="1" applyFont="1">
      <alignment horizontal="center" vertical="center"/>
    </xf>
    <xf borderId="1804" fillId="113" fontId="133" numFmtId="0" xfId="0" applyAlignment="1" applyBorder="1" applyFont="1">
      <alignment horizontal="center" vertical="center"/>
    </xf>
    <xf borderId="1856" fillId="14" fontId="104" numFmtId="0" xfId="0" applyAlignment="1" applyBorder="1" applyFont="1">
      <alignment horizontal="center" readingOrder="0" vertical="center"/>
    </xf>
    <xf borderId="1857" fillId="14" fontId="104" numFmtId="0" xfId="0" applyAlignment="1" applyBorder="1" applyFont="1">
      <alignment horizontal="center" readingOrder="0" vertical="center"/>
    </xf>
    <xf borderId="1858" fillId="14" fontId="104" numFmtId="0" xfId="0" applyAlignment="1" applyBorder="1" applyFont="1">
      <alignment horizontal="left" readingOrder="0" vertical="center"/>
    </xf>
    <xf borderId="1859" fillId="14" fontId="104" numFmtId="0" xfId="0" applyAlignment="1" applyBorder="1" applyFont="1">
      <alignment horizontal="center" readingOrder="0" vertical="center"/>
    </xf>
    <xf borderId="1806" fillId="114" fontId="105" numFmtId="0" xfId="0" applyAlignment="1" applyBorder="1" applyFont="1">
      <alignment horizontal="center" vertical="center"/>
    </xf>
    <xf borderId="1860" fillId="14" fontId="104" numFmtId="0" xfId="0" applyAlignment="1" applyBorder="1" applyFont="1">
      <alignment horizontal="center" readingOrder="0" vertical="center"/>
    </xf>
    <xf borderId="1861" fillId="14" fontId="104" numFmtId="0" xfId="0" applyAlignment="1" applyBorder="1" applyFont="1">
      <alignment horizontal="center" readingOrder="0" vertical="center"/>
    </xf>
    <xf borderId="1862" fillId="14" fontId="104" numFmtId="0" xfId="0" applyAlignment="1" applyBorder="1" applyFont="1">
      <alignment horizontal="left" readingOrder="0" vertical="center"/>
    </xf>
    <xf borderId="1863" fillId="14" fontId="104" numFmtId="0" xfId="0" applyAlignment="1" applyBorder="1" applyFont="1">
      <alignment horizontal="center" readingOrder="0" vertical="center"/>
    </xf>
    <xf borderId="1864" fillId="14" fontId="104" numFmtId="0" xfId="0" applyAlignment="1" applyBorder="1" applyFont="1">
      <alignment horizontal="center" readingOrder="0" vertical="center"/>
    </xf>
    <xf borderId="1865" fillId="14" fontId="104" numFmtId="0" xfId="0" applyAlignment="1" applyBorder="1" applyFont="1">
      <alignment horizontal="center" readingOrder="0" vertical="center"/>
    </xf>
    <xf borderId="1866" fillId="14" fontId="104" numFmtId="0" xfId="0" applyAlignment="1" applyBorder="1" applyFont="1">
      <alignment horizontal="left" readingOrder="0" vertical="center"/>
    </xf>
    <xf borderId="1867" fillId="14" fontId="104" numFmtId="0" xfId="0" applyAlignment="1" applyBorder="1" applyFont="1">
      <alignment horizontal="center" readingOrder="0" vertical="center"/>
    </xf>
    <xf borderId="253" fillId="14" fontId="104" numFmtId="0" xfId="0" applyAlignment="1" applyBorder="1" applyFont="1">
      <alignment horizontal="right" readingOrder="0" vertical="center"/>
    </xf>
    <xf borderId="256" fillId="14" fontId="104" numFmtId="0" xfId="0" applyAlignment="1" applyBorder="1" applyFont="1">
      <alignment horizontal="center" readingOrder="0" vertical="center"/>
    </xf>
    <xf borderId="1868" fillId="114" fontId="125" numFmtId="0" xfId="0" applyAlignment="1" applyBorder="1" applyFont="1">
      <alignment horizontal="center"/>
    </xf>
    <xf borderId="1869" fillId="114" fontId="76" numFmtId="0" xfId="0" applyAlignment="1" applyBorder="1" applyFont="1">
      <alignment horizontal="right"/>
    </xf>
    <xf borderId="1869" fillId="114" fontId="125" numFmtId="0" xfId="0" applyAlignment="1" applyBorder="1" applyFont="1">
      <alignment horizontal="center"/>
    </xf>
    <xf borderId="1869" fillId="114" fontId="125" numFmtId="0" xfId="0" applyAlignment="1" applyBorder="1" applyFont="1">
      <alignment horizontal="center" readingOrder="0" vertical="center"/>
    </xf>
    <xf borderId="1869" fillId="114" fontId="125" numFmtId="0" xfId="0" applyAlignment="1" applyBorder="1" applyFont="1">
      <alignment horizontal="center" vertical="center"/>
    </xf>
    <xf borderId="1870" fillId="114" fontId="125" numFmtId="0" xfId="0" applyAlignment="1" applyBorder="1" applyFont="1">
      <alignment horizontal="center" readingOrder="0" vertical="center"/>
    </xf>
    <xf borderId="1869" fillId="114" fontId="125" numFmtId="0" xfId="0" applyAlignment="1" applyBorder="1" applyFont="1">
      <alignment horizontal="center"/>
    </xf>
    <xf borderId="1869" fillId="114" fontId="148" numFmtId="0" xfId="0" applyAlignment="1" applyBorder="1" applyFont="1">
      <alignment horizontal="center" readingOrder="0" vertical="center"/>
    </xf>
    <xf borderId="1855" fillId="114" fontId="125" numFmtId="0" xfId="0" applyAlignment="1" applyBorder="1" applyFont="1">
      <alignment horizontal="center"/>
    </xf>
    <xf borderId="1871" fillId="116" fontId="125" numFmtId="0" xfId="0" applyAlignment="1" applyBorder="1" applyFill="1" applyFont="1">
      <alignment horizontal="center" vertical="center"/>
    </xf>
    <xf borderId="1872" fillId="116" fontId="74" numFmtId="0" xfId="0" applyAlignment="1" applyBorder="1" applyFont="1">
      <alignment horizontal="right" readingOrder="0" vertical="center"/>
    </xf>
    <xf borderId="1872" fillId="116" fontId="138" numFmtId="0" xfId="0" applyAlignment="1" applyBorder="1" applyFont="1">
      <alignment horizontal="center" readingOrder="0" vertical="center"/>
    </xf>
    <xf borderId="1873" fillId="116" fontId="138" numFmtId="0" xfId="0" applyAlignment="1" applyBorder="1" applyFont="1">
      <alignment horizontal="center" readingOrder="0" vertical="center"/>
    </xf>
    <xf borderId="1874" fillId="116" fontId="125" numFmtId="0" xfId="0" applyAlignment="1" applyBorder="1" applyFont="1">
      <alignment horizontal="center" vertical="center"/>
    </xf>
    <xf borderId="1875" fillId="116" fontId="125" numFmtId="0" xfId="0" applyAlignment="1" applyBorder="1" applyFont="1">
      <alignment horizontal="center"/>
    </xf>
    <xf borderId="189" fillId="15" fontId="76" numFmtId="0" xfId="0" applyAlignment="1" applyBorder="1" applyFont="1">
      <alignment horizontal="center" vertical="center"/>
    </xf>
    <xf borderId="1876" fillId="116" fontId="125" numFmtId="0" xfId="0" applyAlignment="1" applyBorder="1" applyFont="1">
      <alignment horizontal="center"/>
    </xf>
    <xf borderId="237" fillId="15" fontId="119" numFmtId="0" xfId="0" applyAlignment="1" applyBorder="1" applyFont="1">
      <alignment horizontal="center" vertical="center"/>
    </xf>
    <xf borderId="1877" fillId="116" fontId="110" numFmtId="0" xfId="0" applyAlignment="1" applyBorder="1" applyFont="1">
      <alignment horizontal="center" vertical="center"/>
    </xf>
    <xf borderId="1878" fillId="116" fontId="125" numFmtId="0" xfId="0" applyAlignment="1" applyBorder="1" applyFont="1">
      <alignment horizontal="center"/>
    </xf>
    <xf borderId="1876" fillId="116" fontId="125" numFmtId="0" xfId="0" applyAlignment="1" applyBorder="1" applyFont="1">
      <alignment horizontal="center" vertical="center"/>
    </xf>
    <xf borderId="1879" fillId="0" fontId="4" numFmtId="0" xfId="0" applyBorder="1" applyFont="1"/>
    <xf borderId="1880" fillId="0" fontId="4" numFmtId="0" xfId="0" applyBorder="1" applyFont="1"/>
    <xf borderId="1881" fillId="116" fontId="125" numFmtId="0" xfId="0" applyAlignment="1" applyBorder="1" applyFont="1">
      <alignment horizontal="center" vertical="center"/>
    </xf>
    <xf borderId="1881" fillId="116" fontId="125" numFmtId="0" xfId="0" applyAlignment="1" applyBorder="1" applyFont="1">
      <alignment horizontal="center"/>
    </xf>
    <xf borderId="1882" fillId="116" fontId="125" numFmtId="0" xfId="0" applyAlignment="1" applyBorder="1" applyFont="1">
      <alignment horizontal="center"/>
    </xf>
    <xf borderId="1875" fillId="116" fontId="110" numFmtId="0" xfId="0" applyAlignment="1" applyBorder="1" applyFont="1">
      <alignment horizontal="center"/>
    </xf>
    <xf borderId="762" fillId="116" fontId="76" numFmtId="0" xfId="0" applyAlignment="1" applyBorder="1" applyFont="1">
      <alignment horizontal="right" readingOrder="0" vertical="center"/>
    </xf>
    <xf borderId="1876" fillId="116" fontId="110" numFmtId="0" xfId="0" applyAlignment="1" applyBorder="1" applyFont="1">
      <alignment horizontal="center"/>
    </xf>
    <xf borderId="1883" fillId="116" fontId="112" numFmtId="0" xfId="0" applyAlignment="1" applyBorder="1" applyFont="1">
      <alignment horizontal="center" readingOrder="0" vertical="center"/>
    </xf>
    <xf borderId="1884" fillId="0" fontId="4" numFmtId="0" xfId="0" applyBorder="1" applyFont="1"/>
    <xf borderId="1885" fillId="0" fontId="4" numFmtId="0" xfId="0" applyBorder="1" applyFont="1"/>
    <xf borderId="1886" fillId="0" fontId="4" numFmtId="0" xfId="0" applyBorder="1" applyFont="1"/>
    <xf borderId="1876" fillId="116" fontId="110" numFmtId="0" xfId="0" applyAlignment="1" applyBorder="1" applyFont="1">
      <alignment horizontal="center" vertical="center"/>
    </xf>
    <xf borderId="1873" fillId="0" fontId="4" numFmtId="0" xfId="0" applyBorder="1" applyFont="1"/>
    <xf borderId="1882" fillId="116" fontId="110" numFmtId="0" xfId="0" applyAlignment="1" applyBorder="1" applyFont="1">
      <alignment horizontal="center"/>
    </xf>
    <xf borderId="1875" fillId="116" fontId="129" numFmtId="0" xfId="0" applyAlignment="1" applyBorder="1" applyFont="1">
      <alignment horizontal="center"/>
    </xf>
    <xf borderId="1876" fillId="116" fontId="129" numFmtId="0" xfId="0" applyAlignment="1" applyBorder="1" applyFont="1">
      <alignment horizontal="center"/>
    </xf>
    <xf borderId="1887" fillId="116" fontId="114" numFmtId="0" xfId="0" applyAlignment="1" applyBorder="1" applyFont="1">
      <alignment horizontal="center" readingOrder="0" vertical="top"/>
    </xf>
    <xf borderId="1888" fillId="0" fontId="4" numFmtId="0" xfId="0" applyBorder="1" applyFont="1"/>
    <xf borderId="1889" fillId="0" fontId="4" numFmtId="0" xfId="0" applyBorder="1" applyFont="1"/>
    <xf borderId="1876" fillId="116" fontId="129" numFmtId="0" xfId="0" applyAlignment="1" applyBorder="1" applyFont="1">
      <alignment horizontal="center" vertical="center"/>
    </xf>
    <xf borderId="1882" fillId="116" fontId="129" numFmtId="0" xfId="0" applyAlignment="1" applyBorder="1" applyFont="1">
      <alignment horizontal="center"/>
    </xf>
    <xf borderId="1890" fillId="116" fontId="110" numFmtId="0" xfId="0" applyAlignment="1" applyBorder="1" applyFont="1">
      <alignment horizontal="center" vertical="center"/>
    </xf>
    <xf borderId="1891" fillId="116" fontId="110" numFmtId="0" xfId="0" applyAlignment="1" applyBorder="1" applyFont="1">
      <alignment horizontal="center" vertical="top"/>
    </xf>
    <xf borderId="1892" fillId="0" fontId="4" numFmtId="0" xfId="0" applyBorder="1" applyFont="1"/>
    <xf borderId="1893" fillId="116" fontId="110" numFmtId="0" xfId="0" applyAlignment="1" applyBorder="1" applyFont="1">
      <alignment horizontal="center" vertical="center"/>
    </xf>
    <xf borderId="1894" fillId="116" fontId="76" numFmtId="0" xfId="0" applyAlignment="1" applyBorder="1" applyFont="1">
      <alignment horizontal="right" vertical="center"/>
    </xf>
    <xf borderId="1895" fillId="116" fontId="110" numFmtId="0" xfId="0" applyAlignment="1" applyBorder="1" applyFont="1">
      <alignment horizontal="center" vertical="center"/>
    </xf>
    <xf borderId="1896" fillId="116" fontId="110" numFmtId="0" xfId="0" applyAlignment="1" applyBorder="1" applyFont="1">
      <alignment horizontal="center" vertical="center"/>
    </xf>
    <xf borderId="1897" fillId="116" fontId="110" numFmtId="0" xfId="0" applyAlignment="1" applyBorder="1" applyFont="1">
      <alignment horizontal="center" vertical="center"/>
    </xf>
    <xf borderId="1894" fillId="116" fontId="125" numFmtId="0" xfId="0" applyAlignment="1" applyBorder="1" applyFont="1">
      <alignment horizontal="center" vertical="center"/>
    </xf>
    <xf borderId="1898" fillId="116" fontId="110" numFmtId="0" xfId="0" applyAlignment="1" applyBorder="1" applyFont="1">
      <alignment horizontal="center" readingOrder="0" vertical="center"/>
    </xf>
    <xf borderId="1899" fillId="0" fontId="4" numFmtId="0" xfId="0" applyBorder="1" applyFont="1"/>
    <xf borderId="1900" fillId="0" fontId="4" numFmtId="0" xfId="0" applyBorder="1" applyFont="1"/>
    <xf borderId="1881" fillId="116" fontId="76" numFmtId="0" xfId="0" applyAlignment="1" applyBorder="1" applyFont="1">
      <alignment horizontal="right"/>
    </xf>
    <xf borderId="1901" fillId="116" fontId="110" numFmtId="0" xfId="0" applyAlignment="1" applyBorder="1" applyFont="1">
      <alignment horizontal="center" readingOrder="0" vertical="center"/>
    </xf>
    <xf borderId="1902" fillId="0" fontId="4" numFmtId="0" xfId="0" applyBorder="1" applyFont="1"/>
    <xf borderId="1903" fillId="116" fontId="110" numFmtId="0" xfId="0" applyAlignment="1" applyBorder="1" applyFont="1">
      <alignment horizontal="center" readingOrder="0" vertical="center"/>
    </xf>
    <xf borderId="1877" fillId="0" fontId="4" numFmtId="0" xfId="0" applyBorder="1" applyFont="1"/>
    <xf borderId="1878" fillId="0" fontId="4" numFmtId="0" xfId="0" applyBorder="1" applyFont="1"/>
    <xf borderId="1904" fillId="116" fontId="110" numFmtId="0" xfId="0" applyAlignment="1" applyBorder="1" applyFont="1">
      <alignment horizontal="center" vertical="center"/>
    </xf>
    <xf borderId="1872" fillId="0" fontId="4" numFmtId="0" xfId="0" applyBorder="1" applyFont="1"/>
    <xf borderId="1905" fillId="0" fontId="4" numFmtId="0" xfId="0" applyBorder="1" applyFont="1"/>
    <xf borderId="1906" fillId="116" fontId="110" numFmtId="0" xfId="0" applyAlignment="1" applyBorder="1" applyFont="1">
      <alignment horizontal="center" vertical="center"/>
    </xf>
    <xf borderId="1882" fillId="116" fontId="110" numFmtId="0" xfId="0" applyAlignment="1" applyBorder="1" applyFont="1">
      <alignment horizontal="center" vertical="center"/>
    </xf>
    <xf borderId="1907" fillId="116" fontId="110" numFmtId="0" xfId="0" applyAlignment="1" applyBorder="1" applyFont="1">
      <alignment horizontal="center" readingOrder="0" vertical="center"/>
    </xf>
    <xf borderId="1908" fillId="0" fontId="4" numFmtId="0" xfId="0" applyBorder="1" applyFont="1"/>
    <xf borderId="1909" fillId="0" fontId="4" numFmtId="0" xfId="0" applyBorder="1" applyFont="1"/>
    <xf borderId="1910" fillId="116" fontId="110" numFmtId="0" xfId="0" applyAlignment="1" applyBorder="1" applyFont="1">
      <alignment horizontal="center" vertical="center"/>
    </xf>
    <xf borderId="1911" fillId="0" fontId="4" numFmtId="0" xfId="0" applyBorder="1" applyFont="1"/>
    <xf borderId="1912" fillId="0" fontId="4" numFmtId="0" xfId="0" applyBorder="1" applyFont="1"/>
    <xf borderId="1875" fillId="116" fontId="124" numFmtId="0" xfId="0" applyAlignment="1" applyBorder="1" applyFont="1">
      <alignment horizontal="center" vertical="center"/>
    </xf>
    <xf borderId="1894" fillId="116" fontId="74" numFmtId="0" xfId="0" applyAlignment="1" applyBorder="1" applyFont="1">
      <alignment horizontal="right" vertical="center"/>
    </xf>
    <xf borderId="1894" fillId="116" fontId="131" numFmtId="0" xfId="0" applyAlignment="1" applyBorder="1" applyFont="1">
      <alignment horizontal="center" vertical="center"/>
    </xf>
    <xf borderId="1872" fillId="116" fontId="131" numFmtId="0" xfId="0" applyAlignment="1" applyBorder="1" applyFont="1">
      <alignment horizontal="center" vertical="top"/>
    </xf>
    <xf borderId="1873" fillId="116" fontId="131" numFmtId="0" xfId="0" applyAlignment="1" applyBorder="1" applyFont="1">
      <alignment horizontal="center" vertical="top"/>
    </xf>
    <xf borderId="1894" fillId="116" fontId="131" numFmtId="0" xfId="0" applyAlignment="1" applyBorder="1" applyFont="1">
      <alignment horizontal="center" vertical="top"/>
    </xf>
    <xf borderId="1894" fillId="116" fontId="109" numFmtId="0" xfId="0" applyAlignment="1" applyBorder="1" applyFont="1">
      <alignment horizontal="center" vertical="center"/>
    </xf>
    <xf borderId="1894" fillId="116" fontId="132" numFmtId="0" xfId="0" applyAlignment="1" applyBorder="1" applyFont="1">
      <alignment horizontal="center" vertical="center"/>
    </xf>
    <xf borderId="1882" fillId="116" fontId="124" numFmtId="0" xfId="0" applyAlignment="1" applyBorder="1" applyFont="1">
      <alignment horizontal="center" vertical="center"/>
    </xf>
    <xf borderId="1875" fillId="116" fontId="133" numFmtId="0" xfId="0" applyAlignment="1" applyBorder="1" applyFont="1">
      <alignment horizontal="center" vertical="center"/>
    </xf>
    <xf borderId="1894" fillId="116" fontId="106" numFmtId="0" xfId="0" applyAlignment="1" applyBorder="1" applyFont="1">
      <alignment horizontal="center" vertical="center"/>
    </xf>
    <xf borderId="237" fillId="15" fontId="104" numFmtId="0" xfId="0" applyAlignment="1" applyBorder="1" applyFont="1">
      <alignment horizontal="center" readingOrder="0" vertical="top"/>
    </xf>
    <xf borderId="240" fillId="15" fontId="104" numFmtId="0" xfId="0" applyAlignment="1" applyBorder="1" applyFont="1">
      <alignment horizontal="center" readingOrder="0" vertical="top"/>
    </xf>
    <xf borderId="1876" fillId="116" fontId="105" numFmtId="0" xfId="0" applyAlignment="1" applyBorder="1" applyFont="1">
      <alignment horizontal="center" vertical="center"/>
    </xf>
    <xf borderId="1894" fillId="116" fontId="140" numFmtId="0" xfId="0" applyAlignment="1" applyBorder="1" applyFont="1">
      <alignment horizontal="center" readingOrder="0" vertical="bottom"/>
    </xf>
    <xf borderId="1894" fillId="116" fontId="133" numFmtId="0" xfId="0" applyAlignment="1" applyBorder="1" applyFont="1">
      <alignment horizontal="center" vertical="center"/>
    </xf>
    <xf borderId="1882" fillId="116" fontId="133" numFmtId="0" xfId="0" applyAlignment="1" applyBorder="1" applyFont="1">
      <alignment horizontal="center" vertical="center"/>
    </xf>
    <xf borderId="1913" fillId="15" fontId="104" numFmtId="0" xfId="0" applyAlignment="1" applyBorder="1" applyFont="1">
      <alignment horizontal="center" readingOrder="0" vertical="center"/>
    </xf>
    <xf borderId="1914" fillId="15" fontId="104" numFmtId="0" xfId="0" applyAlignment="1" applyBorder="1" applyFont="1">
      <alignment horizontal="center" readingOrder="0" vertical="center"/>
    </xf>
    <xf borderId="1915" fillId="15" fontId="104" numFmtId="0" xfId="0" applyAlignment="1" applyBorder="1" applyFont="1">
      <alignment horizontal="left" readingOrder="0" vertical="center"/>
    </xf>
    <xf borderId="1916" fillId="15" fontId="104" numFmtId="0" xfId="0" applyAlignment="1" applyBorder="1" applyFont="1">
      <alignment horizontal="center" readingOrder="0" vertical="center"/>
    </xf>
    <xf borderId="1894" fillId="116" fontId="105" numFmtId="0" xfId="0" applyAlignment="1" applyBorder="1" applyFont="1">
      <alignment horizontal="center" vertical="center"/>
    </xf>
    <xf borderId="1894" fillId="116" fontId="140" numFmtId="0" xfId="0" applyAlignment="1" applyBorder="1" applyFont="1">
      <alignment horizontal="center" readingOrder="0" vertical="center"/>
    </xf>
    <xf borderId="1917" fillId="15" fontId="104" numFmtId="0" xfId="0" applyAlignment="1" applyBorder="1" applyFont="1">
      <alignment horizontal="center" readingOrder="0" vertical="center"/>
    </xf>
    <xf borderId="1918" fillId="15" fontId="104" numFmtId="0" xfId="0" applyAlignment="1" applyBorder="1" applyFont="1">
      <alignment horizontal="center" readingOrder="0" vertical="center"/>
    </xf>
    <xf borderId="1919" fillId="15" fontId="104" numFmtId="0" xfId="0" applyAlignment="1" applyBorder="1" applyFont="1">
      <alignment horizontal="left" readingOrder="0" vertical="center"/>
    </xf>
    <xf borderId="1920" fillId="15" fontId="104" numFmtId="0" xfId="0" applyAlignment="1" applyBorder="1" applyFont="1">
      <alignment horizontal="center" readingOrder="0" vertical="center"/>
    </xf>
    <xf borderId="1894" fillId="116" fontId="112" numFmtId="0" xfId="0" applyAlignment="1" applyBorder="1" applyFont="1">
      <alignment horizontal="center" readingOrder="0" vertical="top"/>
    </xf>
    <xf borderId="1881" fillId="116" fontId="140" numFmtId="0" xfId="0" applyAlignment="1" applyBorder="1" applyFont="1">
      <alignment horizontal="center" vertical="center"/>
    </xf>
    <xf borderId="1921" fillId="15" fontId="104" numFmtId="0" xfId="0" applyAlignment="1" applyBorder="1" applyFont="1">
      <alignment horizontal="center" readingOrder="0" vertical="center"/>
    </xf>
    <xf borderId="1922" fillId="15" fontId="104" numFmtId="0" xfId="0" applyAlignment="1" applyBorder="1" applyFont="1">
      <alignment horizontal="center" readingOrder="0" vertical="center"/>
    </xf>
    <xf borderId="1923" fillId="15" fontId="104" numFmtId="0" xfId="0" applyAlignment="1" applyBorder="1" applyFont="1">
      <alignment horizontal="left" readingOrder="0" vertical="center"/>
    </xf>
    <xf borderId="1924" fillId="15" fontId="104" numFmtId="0" xfId="0" applyAlignment="1" applyBorder="1" applyFont="1">
      <alignment horizontal="center" readingOrder="0" vertical="center"/>
    </xf>
    <xf borderId="253" fillId="15" fontId="104" numFmtId="0" xfId="0" applyAlignment="1" applyBorder="1" applyFont="1">
      <alignment horizontal="right" readingOrder="0" vertical="center"/>
    </xf>
    <xf borderId="256" fillId="15" fontId="104" numFmtId="0" xfId="0" applyAlignment="1" applyBorder="1" applyFont="1">
      <alignment horizontal="center" readingOrder="0" vertical="center"/>
    </xf>
    <xf borderId="1925" fillId="116" fontId="125" numFmtId="0" xfId="0" applyAlignment="1" applyBorder="1" applyFont="1">
      <alignment horizontal="center"/>
    </xf>
    <xf borderId="1926" fillId="116" fontId="76" numFmtId="0" xfId="0" applyAlignment="1" applyBorder="1" applyFont="1">
      <alignment horizontal="right"/>
    </xf>
    <xf borderId="1926" fillId="116" fontId="125" numFmtId="0" xfId="0" applyAlignment="1" applyBorder="1" applyFont="1">
      <alignment horizontal="center"/>
    </xf>
    <xf borderId="1926" fillId="116" fontId="125" numFmtId="0" xfId="0" applyAlignment="1" applyBorder="1" applyFont="1">
      <alignment horizontal="center" readingOrder="0" vertical="center"/>
    </xf>
    <xf borderId="1926" fillId="116" fontId="125" numFmtId="0" xfId="0" applyAlignment="1" applyBorder="1" applyFont="1">
      <alignment horizontal="center" vertical="center"/>
    </xf>
    <xf borderId="1927" fillId="116" fontId="125" numFmtId="0" xfId="0" applyAlignment="1" applyBorder="1" applyFont="1">
      <alignment horizontal="center" readingOrder="0" vertical="center"/>
    </xf>
    <xf borderId="1926" fillId="116" fontId="125" numFmtId="0" xfId="0" applyAlignment="1" applyBorder="1" applyFont="1">
      <alignment horizontal="center"/>
    </xf>
    <xf borderId="1926" fillId="116" fontId="106" numFmtId="0" xfId="0" applyAlignment="1" applyBorder="1" applyFont="1">
      <alignment horizontal="center" vertical="center"/>
    </xf>
    <xf borderId="1926" fillId="116" fontId="133" numFmtId="0" xfId="0" applyAlignment="1" applyBorder="1" applyFont="1">
      <alignment horizontal="center" vertical="center"/>
    </xf>
    <xf borderId="1926" fillId="116" fontId="125" numFmtId="0" xfId="0" applyAlignment="1" applyBorder="1" applyFont="1">
      <alignment horizontal="center" vertical="center"/>
    </xf>
    <xf borderId="1910" fillId="116" fontId="125" numFmtId="0" xfId="0" applyAlignment="1" applyBorder="1" applyFont="1">
      <alignment horizontal="center"/>
    </xf>
    <xf borderId="1928" fillId="117" fontId="125" numFmtId="0" xfId="0" applyAlignment="1" applyBorder="1" applyFill="1" applyFont="1">
      <alignment horizontal="center"/>
    </xf>
    <xf borderId="1929" fillId="117" fontId="76" numFmtId="0" xfId="0" applyAlignment="1" applyBorder="1" applyFont="1">
      <alignment horizontal="right"/>
    </xf>
    <xf borderId="1929" fillId="117" fontId="125" numFmtId="0" xfId="0" applyAlignment="1" applyBorder="1" applyFont="1">
      <alignment horizontal="center"/>
    </xf>
    <xf borderId="1929" fillId="117" fontId="125" numFmtId="0" xfId="0" applyAlignment="1" applyBorder="1" applyFont="1">
      <alignment horizontal="center" readingOrder="0" vertical="center"/>
    </xf>
    <xf borderId="1929" fillId="117" fontId="125" numFmtId="0" xfId="0" applyAlignment="1" applyBorder="1" applyFont="1">
      <alignment horizontal="center" vertical="center"/>
    </xf>
    <xf borderId="1929" fillId="117" fontId="125" numFmtId="0" xfId="0" applyAlignment="1" applyBorder="1" applyFont="1">
      <alignment horizontal="center"/>
    </xf>
    <xf borderId="1929" fillId="117" fontId="125" numFmtId="0" xfId="0" applyAlignment="1" applyBorder="1" applyFont="1">
      <alignment horizontal="center" vertical="center"/>
    </xf>
    <xf borderId="1930" fillId="117" fontId="125" numFmtId="0" xfId="0" applyAlignment="1" applyBorder="1" applyFont="1">
      <alignment horizontal="center"/>
    </xf>
    <xf borderId="1931" fillId="117" fontId="125" numFmtId="0" xfId="0" applyAlignment="1" applyBorder="1" applyFont="1">
      <alignment horizontal="center" vertical="center"/>
    </xf>
    <xf borderId="1932" fillId="117" fontId="76" numFmtId="0" xfId="0" applyAlignment="1" applyBorder="1" applyFont="1">
      <alignment horizontal="right" vertical="center"/>
    </xf>
    <xf borderId="1932" fillId="117" fontId="125" numFmtId="0" xfId="0" applyAlignment="1" applyBorder="1" applyFont="1">
      <alignment horizontal="center" vertical="center"/>
    </xf>
    <xf borderId="1933" fillId="117" fontId="153" numFmtId="0" xfId="0" applyAlignment="1" applyBorder="1" applyFont="1">
      <alignment horizontal="left" readingOrder="0" vertical="center"/>
    </xf>
    <xf borderId="1934" fillId="0" fontId="4" numFmtId="0" xfId="0" applyBorder="1" applyFont="1"/>
    <xf borderId="1935" fillId="0" fontId="4" numFmtId="0" xfId="0" applyBorder="1" applyFont="1"/>
    <xf borderId="1936" fillId="117" fontId="125" numFmtId="0" xfId="0" applyAlignment="1" applyBorder="1" applyFont="1">
      <alignment horizontal="center" vertical="center"/>
    </xf>
    <xf borderId="189" fillId="18" fontId="76" numFmtId="0" xfId="0" applyAlignment="1" applyBorder="1" applyFont="1">
      <alignment horizontal="center" vertical="center"/>
    </xf>
    <xf borderId="1932" fillId="117" fontId="127" numFmtId="0" xfId="0" applyAlignment="1" applyBorder="1" applyFont="1">
      <alignment horizontal="center" vertical="center"/>
    </xf>
    <xf borderId="237" fillId="18" fontId="119" numFmtId="0" xfId="0" applyAlignment="1" applyBorder="1" applyFont="1">
      <alignment horizontal="center" vertical="center"/>
    </xf>
    <xf borderId="1937" fillId="117" fontId="110" numFmtId="0" xfId="0" applyAlignment="1" applyBorder="1" applyFont="1">
      <alignment horizontal="center" vertical="center"/>
    </xf>
    <xf borderId="1937" fillId="117" fontId="125" numFmtId="0" xfId="0" applyAlignment="1" applyBorder="1" applyFont="1">
      <alignment horizontal="center" vertical="center"/>
    </xf>
    <xf borderId="1933" fillId="117" fontId="125" numFmtId="0" xfId="0" applyAlignment="1" applyBorder="1" applyFont="1">
      <alignment horizontal="center" vertical="center"/>
    </xf>
    <xf borderId="1799" fillId="113" fontId="110" numFmtId="0" xfId="0" applyAlignment="1" applyBorder="1" applyFont="1">
      <alignment horizontal="center" vertical="center"/>
    </xf>
    <xf borderId="1931" fillId="117" fontId="110" numFmtId="0" xfId="0" applyAlignment="1" applyBorder="1" applyFont="1">
      <alignment horizontal="center" vertical="center"/>
    </xf>
    <xf borderId="762" fillId="117" fontId="76" numFmtId="0" xfId="0" applyAlignment="1" applyBorder="1" applyFont="1">
      <alignment horizontal="right" readingOrder="0" vertical="center"/>
    </xf>
    <xf borderId="1932" fillId="117" fontId="110" numFmtId="0" xfId="0" applyAlignment="1" applyBorder="1" applyFont="1">
      <alignment horizontal="center" readingOrder="0" vertical="center"/>
    </xf>
    <xf borderId="1938" fillId="117" fontId="112" numFmtId="0" xfId="0" applyAlignment="1" applyBorder="1" applyFont="1">
      <alignment horizontal="center" readingOrder="0" vertical="center"/>
    </xf>
    <xf borderId="1939" fillId="0" fontId="4" numFmtId="0" xfId="0" applyBorder="1" applyFont="1"/>
    <xf borderId="1940" fillId="0" fontId="4" numFmtId="0" xfId="0" applyBorder="1" applyFont="1"/>
    <xf borderId="1941" fillId="0" fontId="4" numFmtId="0" xfId="0" applyBorder="1" applyFont="1"/>
    <xf borderId="1933" fillId="117" fontId="110" numFmtId="0" xfId="0" applyAlignment="1" applyBorder="1" applyFont="1">
      <alignment horizontal="center" vertical="center"/>
    </xf>
    <xf borderId="1936" fillId="117" fontId="110" numFmtId="0" xfId="0" applyAlignment="1" applyBorder="1" applyFont="1">
      <alignment horizontal="center" vertical="center"/>
    </xf>
    <xf borderId="1804" fillId="113" fontId="110" numFmtId="0" xfId="0" applyAlignment="1" applyBorder="1" applyFont="1">
      <alignment horizontal="center" vertical="center"/>
    </xf>
    <xf borderId="1799" fillId="113" fontId="129" numFmtId="0" xfId="0" applyAlignment="1" applyBorder="1" applyFont="1">
      <alignment horizontal="center" vertical="center"/>
    </xf>
    <xf borderId="1931" fillId="117" fontId="129" numFmtId="0" xfId="0" applyAlignment="1" applyBorder="1" applyFont="1">
      <alignment horizontal="center" vertical="center"/>
    </xf>
    <xf borderId="1932" fillId="117" fontId="129" numFmtId="0" xfId="0" applyAlignment="1" applyBorder="1" applyFont="1">
      <alignment horizontal="center" readingOrder="0" vertical="center"/>
    </xf>
    <xf borderId="1942" fillId="117" fontId="114" numFmtId="0" xfId="0" applyAlignment="1" applyBorder="1" applyFont="1">
      <alignment horizontal="center" readingOrder="0" vertical="top"/>
    </xf>
    <xf borderId="1943" fillId="0" fontId="4" numFmtId="0" xfId="0" applyBorder="1" applyFont="1"/>
    <xf borderId="1944" fillId="0" fontId="4" numFmtId="0" xfId="0" applyBorder="1" applyFont="1"/>
    <xf borderId="1933" fillId="117" fontId="129" numFmtId="0" xfId="0" applyAlignment="1" applyBorder="1" applyFont="1">
      <alignment horizontal="center" vertical="center"/>
    </xf>
    <xf borderId="1936" fillId="117" fontId="129" numFmtId="0" xfId="0" applyAlignment="1" applyBorder="1" applyFont="1">
      <alignment horizontal="center" vertical="center"/>
    </xf>
    <xf borderId="1804" fillId="113" fontId="129" numFmtId="0" xfId="0" applyAlignment="1" applyBorder="1" applyFont="1">
      <alignment horizontal="center" vertical="center"/>
    </xf>
    <xf borderId="1945" fillId="117" fontId="110" numFmtId="0" xfId="0" applyAlignment="1" applyBorder="1" applyFont="1">
      <alignment horizontal="center" vertical="center"/>
    </xf>
    <xf borderId="1946" fillId="117" fontId="110" numFmtId="0" xfId="0" applyAlignment="1" applyBorder="1" applyFont="1">
      <alignment horizontal="center" vertical="top"/>
    </xf>
    <xf borderId="1947" fillId="0" fontId="4" numFmtId="0" xfId="0" applyBorder="1" applyFont="1"/>
    <xf borderId="1948" fillId="117" fontId="110" numFmtId="0" xfId="0" applyAlignment="1" applyBorder="1" applyFont="1">
      <alignment horizontal="center" vertical="top"/>
    </xf>
    <xf borderId="1949" fillId="117" fontId="110" numFmtId="0" xfId="0" applyAlignment="1" applyBorder="1" applyFont="1">
      <alignment horizontal="right" vertical="top"/>
    </xf>
    <xf borderId="1949" fillId="117" fontId="110" numFmtId="0" xfId="0" applyAlignment="1" applyBorder="1" applyFont="1">
      <alignment horizontal="left" vertical="top"/>
    </xf>
    <xf borderId="1950" fillId="117" fontId="110" numFmtId="0" xfId="0" applyAlignment="1" applyBorder="1" applyFont="1">
      <alignment horizontal="center" vertical="center"/>
    </xf>
    <xf borderId="1951" fillId="117" fontId="110" numFmtId="0" xfId="0" applyAlignment="1" applyBorder="1" applyFont="1">
      <alignment horizontal="right" vertical="top"/>
    </xf>
    <xf borderId="1951" fillId="117" fontId="110" numFmtId="0" xfId="0" applyAlignment="1" applyBorder="1" applyFont="1">
      <alignment horizontal="left" vertical="top"/>
    </xf>
    <xf borderId="1952" fillId="117" fontId="110" numFmtId="0" xfId="0" applyAlignment="1" applyBorder="1" applyFont="1">
      <alignment horizontal="center" vertical="top"/>
    </xf>
    <xf borderId="1953" fillId="117" fontId="110" numFmtId="0" xfId="0" applyAlignment="1" applyBorder="1" applyFont="1">
      <alignment horizontal="center" vertical="center"/>
    </xf>
    <xf borderId="1954" fillId="117" fontId="110" numFmtId="0" xfId="0" applyAlignment="1" applyBorder="1" applyFont="1">
      <alignment horizontal="center" vertical="top"/>
    </xf>
    <xf borderId="1955" fillId="117" fontId="110" numFmtId="0" xfId="0" applyAlignment="1" applyBorder="1" applyFont="1">
      <alignment horizontal="center" vertical="top"/>
    </xf>
    <xf borderId="1956" fillId="117" fontId="110" numFmtId="0" xfId="0" applyAlignment="1" applyBorder="1" applyFont="1">
      <alignment horizontal="center" vertical="center"/>
    </xf>
    <xf borderId="1957" fillId="117" fontId="110" numFmtId="0" xfId="0" applyAlignment="1" applyBorder="1" applyFont="1">
      <alignment horizontal="center" vertical="top"/>
    </xf>
    <xf borderId="1958" fillId="117" fontId="110" numFmtId="0" xfId="0" applyAlignment="1" applyBorder="1" applyFont="1">
      <alignment horizontal="center" vertical="top"/>
    </xf>
    <xf borderId="1959" fillId="117" fontId="110" numFmtId="0" xfId="0" applyAlignment="1" applyBorder="1" applyFont="1">
      <alignment horizontal="center" readingOrder="0" vertical="center"/>
    </xf>
    <xf borderId="1960" fillId="0" fontId="4" numFmtId="0" xfId="0" applyBorder="1" applyFont="1"/>
    <xf borderId="1961" fillId="0" fontId="4" numFmtId="0" xfId="0" applyBorder="1" applyFont="1"/>
    <xf borderId="1937" fillId="117" fontId="76" numFmtId="0" xfId="0" applyAlignment="1" applyBorder="1" applyFont="1">
      <alignment horizontal="right"/>
    </xf>
    <xf borderId="1962" fillId="117" fontId="110" numFmtId="0" xfId="0" applyAlignment="1" applyBorder="1" applyFont="1">
      <alignment horizontal="center" readingOrder="0" vertical="center"/>
    </xf>
    <xf borderId="1963" fillId="0" fontId="4" numFmtId="0" xfId="0" applyBorder="1" applyFont="1"/>
    <xf borderId="1964" fillId="117" fontId="110" numFmtId="0" xfId="0" applyAlignment="1" applyBorder="1" applyFont="1">
      <alignment horizontal="center" readingOrder="0" vertical="center"/>
    </xf>
    <xf borderId="1965" fillId="0" fontId="4" numFmtId="0" xfId="0" applyBorder="1" applyFont="1"/>
    <xf borderId="1966" fillId="0" fontId="4" numFmtId="0" xfId="0" applyBorder="1" applyFont="1"/>
    <xf borderId="1967" fillId="117" fontId="110" numFmtId="0" xfId="0" applyAlignment="1" applyBorder="1" applyFont="1">
      <alignment horizontal="center" readingOrder="0" vertical="center"/>
    </xf>
    <xf borderId="1929" fillId="0" fontId="4" numFmtId="0" xfId="0" applyBorder="1" applyFont="1"/>
    <xf borderId="1968" fillId="0" fontId="4" numFmtId="0" xfId="0" applyBorder="1" applyFont="1"/>
    <xf borderId="1969" fillId="117" fontId="110" numFmtId="0" xfId="0" applyAlignment="1" applyBorder="1" applyFont="1">
      <alignment horizontal="center" readingOrder="0" vertical="center"/>
    </xf>
    <xf borderId="1936" fillId="117" fontId="110" numFmtId="0" xfId="0" applyAlignment="1" applyBorder="1" applyFont="1">
      <alignment horizontal="center" readingOrder="0" vertical="center"/>
    </xf>
    <xf borderId="1970" fillId="117" fontId="110" numFmtId="0" xfId="0" applyAlignment="1" applyBorder="1" applyFont="1">
      <alignment horizontal="center" readingOrder="0" vertical="center"/>
    </xf>
    <xf borderId="1971" fillId="0" fontId="4" numFmtId="0" xfId="0" applyBorder="1" applyFont="1"/>
    <xf borderId="1972" fillId="0" fontId="4" numFmtId="0" xfId="0" applyBorder="1" applyFont="1"/>
    <xf borderId="1973" fillId="117" fontId="110" numFmtId="0" xfId="0" applyAlignment="1" applyBorder="1" applyFont="1">
      <alignment horizontal="center" readingOrder="0" vertical="center"/>
    </xf>
    <xf borderId="1931" fillId="117" fontId="124" numFmtId="0" xfId="0" applyAlignment="1" applyBorder="1" applyFont="1">
      <alignment horizontal="center" vertical="center"/>
    </xf>
    <xf borderId="1932" fillId="117" fontId="74" numFmtId="0" xfId="0" applyAlignment="1" applyBorder="1" applyFont="1">
      <alignment horizontal="right" vertical="center"/>
    </xf>
    <xf borderId="1932" fillId="117" fontId="131" numFmtId="0" xfId="0" applyAlignment="1" applyBorder="1" applyFont="1">
      <alignment horizontal="center" vertical="center"/>
    </xf>
    <xf borderId="1932" fillId="117" fontId="131" numFmtId="0" xfId="0" applyAlignment="1" applyBorder="1" applyFont="1">
      <alignment horizontal="center" vertical="top"/>
    </xf>
    <xf borderId="1932" fillId="117" fontId="109" numFmtId="0" xfId="0" applyAlignment="1" applyBorder="1" applyFont="1">
      <alignment horizontal="center" vertical="center"/>
    </xf>
    <xf borderId="1932" fillId="117" fontId="132" numFmtId="0" xfId="0" applyAlignment="1" applyBorder="1" applyFont="1">
      <alignment horizontal="center" vertical="center"/>
    </xf>
    <xf borderId="1936" fillId="117" fontId="124" numFmtId="0" xfId="0" applyAlignment="1" applyBorder="1" applyFont="1">
      <alignment horizontal="center" vertical="center"/>
    </xf>
    <xf borderId="1931" fillId="117" fontId="133" numFmtId="0" xfId="0" applyAlignment="1" applyBorder="1" applyFont="1">
      <alignment horizontal="center" vertical="center"/>
    </xf>
    <xf borderId="1932" fillId="117" fontId="106" numFmtId="0" xfId="0" applyAlignment="1" applyBorder="1" applyFont="1">
      <alignment horizontal="center" vertical="center"/>
    </xf>
    <xf borderId="237" fillId="118" fontId="104" numFmtId="0" xfId="0" applyAlignment="1" applyBorder="1" applyFill="1" applyFont="1">
      <alignment horizontal="center" readingOrder="0" vertical="top"/>
    </xf>
    <xf borderId="240" fillId="118" fontId="104" numFmtId="0" xfId="0" applyAlignment="1" applyBorder="1" applyFont="1">
      <alignment horizontal="center" readingOrder="0" vertical="top"/>
    </xf>
    <xf borderId="1932" fillId="117" fontId="105" numFmtId="0" xfId="0" applyAlignment="1" applyBorder="1" applyFont="1">
      <alignment horizontal="center" vertical="center"/>
    </xf>
    <xf borderId="1932" fillId="117" fontId="133" numFmtId="0" xfId="0" applyAlignment="1" applyBorder="1" applyFont="1">
      <alignment horizontal="center" vertical="center"/>
    </xf>
    <xf borderId="1932" fillId="117" fontId="140" numFmtId="0" xfId="0" applyAlignment="1" applyBorder="1" applyFont="1">
      <alignment horizontal="center" readingOrder="0" vertical="bottom"/>
    </xf>
    <xf borderId="1936" fillId="117" fontId="133" numFmtId="0" xfId="0" applyAlignment="1" applyBorder="1" applyFont="1">
      <alignment horizontal="center" vertical="center"/>
    </xf>
    <xf borderId="1974" fillId="118" fontId="104" numFmtId="0" xfId="0" applyAlignment="1" applyBorder="1" applyFont="1">
      <alignment horizontal="center" readingOrder="0" vertical="center"/>
    </xf>
    <xf borderId="1975" fillId="118" fontId="104" numFmtId="0" xfId="0" applyAlignment="1" applyBorder="1" applyFont="1">
      <alignment horizontal="center" readingOrder="0" vertical="center"/>
    </xf>
    <xf borderId="1976" fillId="118" fontId="104" numFmtId="0" xfId="0" applyAlignment="1" applyBorder="1" applyFont="1">
      <alignment horizontal="left" readingOrder="0" vertical="center"/>
    </xf>
    <xf borderId="1977" fillId="118" fontId="104" numFmtId="0" xfId="0" applyAlignment="1" applyBorder="1" applyFont="1">
      <alignment horizontal="center" readingOrder="0" vertical="center"/>
    </xf>
    <xf borderId="1932" fillId="117" fontId="154" numFmtId="0" xfId="0" applyAlignment="1" applyBorder="1" applyFont="1">
      <alignment horizontal="center" vertical="center"/>
    </xf>
    <xf borderId="1932" fillId="117" fontId="140" numFmtId="0" xfId="0" applyAlignment="1" applyBorder="1" applyFont="1">
      <alignment horizontal="center" readingOrder="0" vertical="center"/>
    </xf>
    <xf borderId="1978" fillId="118" fontId="104" numFmtId="0" xfId="0" applyAlignment="1" applyBorder="1" applyFont="1">
      <alignment horizontal="center" readingOrder="0" vertical="center"/>
    </xf>
    <xf borderId="1979" fillId="118" fontId="104" numFmtId="0" xfId="0" applyAlignment="1" applyBorder="1" applyFont="1">
      <alignment horizontal="center" readingOrder="0" vertical="center"/>
    </xf>
    <xf borderId="1980" fillId="118" fontId="104" numFmtId="0" xfId="0" applyAlignment="1" applyBorder="1" applyFont="1">
      <alignment horizontal="left" readingOrder="0" vertical="center"/>
    </xf>
    <xf borderId="1981" fillId="118" fontId="104" numFmtId="0" xfId="0" applyAlignment="1" applyBorder="1" applyFont="1">
      <alignment horizontal="center" readingOrder="0" vertical="center"/>
    </xf>
    <xf borderId="1932" fillId="117" fontId="112" numFmtId="0" xfId="0" applyAlignment="1" applyBorder="1" applyFont="1">
      <alignment horizontal="center" readingOrder="0" vertical="top"/>
    </xf>
    <xf borderId="1937" fillId="117" fontId="140" numFmtId="0" xfId="0" applyAlignment="1" applyBorder="1" applyFont="1">
      <alignment horizontal="center" vertical="center"/>
    </xf>
    <xf borderId="1982" fillId="118" fontId="104" numFmtId="0" xfId="0" applyAlignment="1" applyBorder="1" applyFont="1">
      <alignment horizontal="center" readingOrder="0" vertical="center"/>
    </xf>
    <xf borderId="1983" fillId="118" fontId="104" numFmtId="0" xfId="0" applyAlignment="1" applyBorder="1" applyFont="1">
      <alignment horizontal="center" readingOrder="0" vertical="center"/>
    </xf>
    <xf borderId="1984" fillId="118" fontId="104" numFmtId="0" xfId="0" applyAlignment="1" applyBorder="1" applyFont="1">
      <alignment horizontal="left" readingOrder="0" vertical="center"/>
    </xf>
    <xf borderId="1985" fillId="118" fontId="104" numFmtId="0" xfId="0" applyAlignment="1" applyBorder="1" applyFont="1">
      <alignment horizontal="center" readingOrder="0" vertical="center"/>
    </xf>
    <xf borderId="253" fillId="118" fontId="104" numFmtId="0" xfId="0" applyAlignment="1" applyBorder="1" applyFont="1">
      <alignment horizontal="right" readingOrder="0" vertical="center"/>
    </xf>
    <xf borderId="256" fillId="118" fontId="104" numFmtId="0" xfId="0" applyAlignment="1" applyBorder="1" applyFont="1">
      <alignment horizontal="center" readingOrder="0" vertical="center"/>
    </xf>
    <xf borderId="1986" fillId="117" fontId="125" numFmtId="0" xfId="0" applyAlignment="1" applyBorder="1" applyFont="1">
      <alignment horizontal="center" vertical="center"/>
    </xf>
    <xf borderId="1987" fillId="117" fontId="74" numFmtId="0" xfId="0" applyAlignment="1" applyBorder="1" applyFont="1">
      <alignment horizontal="right" readingOrder="0" vertical="center"/>
    </xf>
    <xf borderId="1987" fillId="117" fontId="138" numFmtId="0" xfId="0" applyAlignment="1" applyBorder="1" applyFont="1">
      <alignment horizontal="center" readingOrder="0" vertical="center"/>
    </xf>
    <xf borderId="1973" fillId="117" fontId="125" numFmtId="0" xfId="0" applyAlignment="1" applyBorder="1" applyFont="1">
      <alignment horizontal="center" vertical="center"/>
    </xf>
    <xf borderId="1988" fillId="119" fontId="125" numFmtId="0" xfId="0" applyAlignment="1" applyBorder="1" applyFill="1" applyFont="1">
      <alignment horizontal="center" vertical="center"/>
    </xf>
    <xf borderId="1989" fillId="119" fontId="74" numFmtId="0" xfId="0" applyAlignment="1" applyBorder="1" applyFont="1">
      <alignment horizontal="right" readingOrder="0" vertical="center"/>
    </xf>
    <xf borderId="1989" fillId="119" fontId="138" numFmtId="0" xfId="0" applyAlignment="1" applyBorder="1" applyFont="1">
      <alignment horizontal="center" readingOrder="0" vertical="center"/>
    </xf>
    <xf borderId="1990" fillId="119" fontId="125" numFmtId="0" xfId="0" applyAlignment="1" applyBorder="1" applyFont="1">
      <alignment horizontal="center" vertical="center"/>
    </xf>
    <xf borderId="1991" fillId="119" fontId="125" numFmtId="0" xfId="0" applyAlignment="1" applyBorder="1" applyFont="1">
      <alignment horizontal="center" vertical="center"/>
    </xf>
    <xf borderId="1992" fillId="119" fontId="76" numFmtId="0" xfId="0" applyAlignment="1" applyBorder="1" applyFont="1">
      <alignment horizontal="right" vertical="center"/>
    </xf>
    <xf borderId="1992" fillId="119" fontId="125" numFmtId="0" xfId="0" applyAlignment="1" applyBorder="1" applyFont="1">
      <alignment horizontal="center" vertical="center"/>
    </xf>
    <xf borderId="1993" fillId="119" fontId="155" numFmtId="0" xfId="0" applyAlignment="1" applyBorder="1" applyFont="1">
      <alignment horizontal="left" readingOrder="0" vertical="center"/>
    </xf>
    <xf borderId="1994" fillId="0" fontId="4" numFmtId="0" xfId="0" applyBorder="1" applyFont="1"/>
    <xf borderId="1995" fillId="0" fontId="4" numFmtId="0" xfId="0" applyBorder="1" applyFont="1"/>
    <xf borderId="1996" fillId="119" fontId="125" numFmtId="0" xfId="0" applyAlignment="1" applyBorder="1" applyFont="1">
      <alignment horizontal="center" vertical="center"/>
    </xf>
    <xf borderId="189" fillId="22" fontId="76" numFmtId="0" xfId="0" applyAlignment="1" applyBorder="1" applyFont="1">
      <alignment horizontal="center" vertical="center"/>
    </xf>
    <xf borderId="1992" fillId="119" fontId="127" numFmtId="0" xfId="0" applyAlignment="1" applyBorder="1" applyFont="1">
      <alignment horizontal="center" vertical="center"/>
    </xf>
    <xf borderId="969" fillId="22" fontId="119" numFmtId="0" xfId="0" applyAlignment="1" applyBorder="1" applyFont="1">
      <alignment horizontal="center" vertical="center"/>
    </xf>
    <xf borderId="1997" fillId="119" fontId="110" numFmtId="0" xfId="0" applyAlignment="1" applyBorder="1" applyFont="1">
      <alignment horizontal="center" vertical="center"/>
    </xf>
    <xf borderId="1997" fillId="119" fontId="125" numFmtId="0" xfId="0" applyAlignment="1" applyBorder="1" applyFont="1">
      <alignment horizontal="center" vertical="center"/>
    </xf>
    <xf borderId="1993" fillId="119" fontId="125" numFmtId="0" xfId="0" applyAlignment="1" applyBorder="1" applyFont="1">
      <alignment horizontal="center" vertical="center"/>
    </xf>
    <xf borderId="1991" fillId="119" fontId="110" numFmtId="0" xfId="0" applyAlignment="1" applyBorder="1" applyFont="1">
      <alignment horizontal="center" vertical="center"/>
    </xf>
    <xf borderId="762" fillId="119" fontId="76" numFmtId="0" xfId="0" applyAlignment="1" applyBorder="1" applyFont="1">
      <alignment horizontal="right" readingOrder="0" vertical="center"/>
    </xf>
    <xf borderId="1992" fillId="119" fontId="110" numFmtId="0" xfId="0" applyAlignment="1" applyBorder="1" applyFont="1">
      <alignment horizontal="center" readingOrder="0" vertical="center"/>
    </xf>
    <xf borderId="1998" fillId="119" fontId="112" numFmtId="0" xfId="0" applyAlignment="1" applyBorder="1" applyFont="1">
      <alignment horizontal="center" readingOrder="0" vertical="center"/>
    </xf>
    <xf borderId="1999" fillId="0" fontId="4" numFmtId="0" xfId="0" applyBorder="1" applyFont="1"/>
    <xf borderId="2000" fillId="0" fontId="4" numFmtId="0" xfId="0" applyBorder="1" applyFont="1"/>
    <xf borderId="2001" fillId="0" fontId="4" numFmtId="0" xfId="0" applyBorder="1" applyFont="1"/>
    <xf borderId="1993" fillId="119" fontId="110" numFmtId="0" xfId="0" applyAlignment="1" applyBorder="1" applyFont="1">
      <alignment horizontal="center" vertical="center"/>
    </xf>
    <xf borderId="1996" fillId="119" fontId="110" numFmtId="0" xfId="0" applyAlignment="1" applyBorder="1" applyFont="1">
      <alignment horizontal="center" vertical="center"/>
    </xf>
    <xf borderId="1991" fillId="119" fontId="129" numFmtId="0" xfId="0" applyAlignment="1" applyBorder="1" applyFont="1">
      <alignment horizontal="center" vertical="center"/>
    </xf>
    <xf borderId="1992" fillId="119" fontId="129" numFmtId="0" xfId="0" applyAlignment="1" applyBorder="1" applyFont="1">
      <alignment horizontal="center" readingOrder="0" vertical="center"/>
    </xf>
    <xf borderId="2002" fillId="119" fontId="114" numFmtId="0" xfId="0" applyAlignment="1" applyBorder="1" applyFont="1">
      <alignment horizontal="center" readingOrder="0" vertical="top"/>
    </xf>
    <xf borderId="2003" fillId="0" fontId="4" numFmtId="0" xfId="0" applyBorder="1" applyFont="1"/>
    <xf borderId="2004" fillId="0" fontId="4" numFmtId="0" xfId="0" applyBorder="1" applyFont="1"/>
    <xf borderId="1993" fillId="119" fontId="129" numFmtId="0" xfId="0" applyAlignment="1" applyBorder="1" applyFont="1">
      <alignment horizontal="center" vertical="center"/>
    </xf>
    <xf borderId="1996" fillId="119" fontId="129" numFmtId="0" xfId="0" applyAlignment="1" applyBorder="1" applyFont="1">
      <alignment horizontal="center" vertical="center"/>
    </xf>
    <xf borderId="2005" fillId="119" fontId="110" numFmtId="0" xfId="0" applyAlignment="1" applyBorder="1" applyFont="1">
      <alignment horizontal="center" vertical="center"/>
    </xf>
    <xf borderId="2006" fillId="119" fontId="110" numFmtId="0" xfId="0" applyAlignment="1" applyBorder="1" applyFont="1">
      <alignment horizontal="right" vertical="top"/>
    </xf>
    <xf borderId="2006" fillId="119" fontId="110" numFmtId="0" xfId="0" applyAlignment="1" applyBorder="1" applyFont="1">
      <alignment horizontal="left" vertical="top"/>
    </xf>
    <xf borderId="2007" fillId="119" fontId="110" numFmtId="0" xfId="0" applyAlignment="1" applyBorder="1" applyFont="1">
      <alignment horizontal="center" vertical="top"/>
    </xf>
    <xf borderId="2008" fillId="119" fontId="110" numFmtId="0" xfId="0" applyAlignment="1" applyBorder="1" applyFont="1">
      <alignment horizontal="center" vertical="center"/>
    </xf>
    <xf borderId="2009" fillId="119" fontId="110" numFmtId="0" xfId="0" applyAlignment="1" applyBorder="1" applyFont="1">
      <alignment horizontal="center" vertical="top"/>
    </xf>
    <xf borderId="2010" fillId="119" fontId="110" numFmtId="0" xfId="0" applyAlignment="1" applyBorder="1" applyFont="1">
      <alignment horizontal="center" vertical="top"/>
    </xf>
    <xf borderId="2011" fillId="119" fontId="110" numFmtId="0" xfId="0" applyAlignment="1" applyBorder="1" applyFont="1">
      <alignment horizontal="center" readingOrder="0" vertical="center"/>
    </xf>
    <xf borderId="2012" fillId="0" fontId="4" numFmtId="0" xfId="0" applyBorder="1" applyFont="1"/>
    <xf borderId="2013" fillId="0" fontId="4" numFmtId="0" xfId="0" applyBorder="1" applyFont="1"/>
    <xf borderId="1997" fillId="119" fontId="76" numFmtId="0" xfId="0" applyAlignment="1" applyBorder="1" applyFont="1">
      <alignment horizontal="right"/>
    </xf>
    <xf borderId="2014" fillId="119" fontId="110" numFmtId="0" xfId="0" applyAlignment="1" applyBorder="1" applyFont="1">
      <alignment horizontal="center" readingOrder="0" vertical="center"/>
    </xf>
    <xf borderId="2015" fillId="0" fontId="4" numFmtId="0" xfId="0" applyBorder="1" applyFont="1"/>
    <xf borderId="2016" fillId="119" fontId="110" numFmtId="0" xfId="0" applyAlignment="1" applyBorder="1" applyFont="1">
      <alignment horizontal="center" readingOrder="0" vertical="center"/>
    </xf>
    <xf borderId="2017" fillId="0" fontId="4" numFmtId="0" xfId="0" applyBorder="1" applyFont="1"/>
    <xf borderId="2018" fillId="0" fontId="4" numFmtId="0" xfId="0" applyBorder="1" applyFont="1"/>
    <xf borderId="2019" fillId="119" fontId="110" numFmtId="0" xfId="0" applyAlignment="1" applyBorder="1" applyFont="1">
      <alignment horizontal="center" readingOrder="0" vertical="center"/>
    </xf>
    <xf borderId="1989" fillId="0" fontId="4" numFmtId="0" xfId="0" applyBorder="1" applyFont="1"/>
    <xf borderId="2020" fillId="0" fontId="4" numFmtId="0" xfId="0" applyBorder="1" applyFont="1"/>
    <xf borderId="2013" fillId="119" fontId="110" numFmtId="0" xfId="0" applyAlignment="1" applyBorder="1" applyFont="1">
      <alignment horizontal="center" readingOrder="0" vertical="center"/>
    </xf>
    <xf borderId="2015" fillId="119" fontId="110" numFmtId="0" xfId="0" applyAlignment="1" applyBorder="1" applyFont="1">
      <alignment horizontal="center" readingOrder="0" vertical="center"/>
    </xf>
    <xf borderId="2021" fillId="119" fontId="110" numFmtId="0" xfId="0" applyAlignment="1" applyBorder="1" applyFont="1">
      <alignment horizontal="center" readingOrder="0" vertical="center"/>
    </xf>
    <xf borderId="2022" fillId="0" fontId="4" numFmtId="0" xfId="0" applyBorder="1" applyFont="1"/>
    <xf borderId="2023" fillId="0" fontId="4" numFmtId="0" xfId="0" applyBorder="1" applyFont="1"/>
    <xf borderId="2024" fillId="119" fontId="110" numFmtId="0" xfId="0" applyAlignment="1" applyBorder="1" applyFont="1">
      <alignment horizontal="center" readingOrder="0" vertical="center"/>
    </xf>
    <xf borderId="1991" fillId="119" fontId="124" numFmtId="0" xfId="0" applyAlignment="1" applyBorder="1" applyFont="1">
      <alignment horizontal="center" vertical="center"/>
    </xf>
    <xf borderId="1992" fillId="119" fontId="74" numFmtId="0" xfId="0" applyAlignment="1" applyBorder="1" applyFont="1">
      <alignment horizontal="right" vertical="center"/>
    </xf>
    <xf borderId="1992" fillId="119" fontId="131" numFmtId="0" xfId="0" applyAlignment="1" applyBorder="1" applyFont="1">
      <alignment horizontal="center" vertical="center"/>
    </xf>
    <xf borderId="1992" fillId="119" fontId="131" numFmtId="0" xfId="0" applyAlignment="1" applyBorder="1" applyFont="1">
      <alignment horizontal="center" vertical="top"/>
    </xf>
    <xf borderId="1997" fillId="119" fontId="131" numFmtId="0" xfId="0" applyAlignment="1" applyBorder="1" applyFont="1">
      <alignment horizontal="center" vertical="top"/>
    </xf>
    <xf borderId="1992" fillId="119" fontId="109" numFmtId="0" xfId="0" applyAlignment="1" applyBorder="1" applyFont="1">
      <alignment horizontal="center" vertical="center"/>
    </xf>
    <xf borderId="1992" fillId="119" fontId="132" numFmtId="0" xfId="0" applyAlignment="1" applyBorder="1" applyFont="1">
      <alignment horizontal="center" vertical="center"/>
    </xf>
    <xf borderId="1996" fillId="119" fontId="124" numFmtId="0" xfId="0" applyAlignment="1" applyBorder="1" applyFont="1">
      <alignment horizontal="center" vertical="center"/>
    </xf>
    <xf borderId="1991" fillId="119" fontId="133" numFmtId="0" xfId="0" applyAlignment="1" applyBorder="1" applyFont="1">
      <alignment horizontal="center" vertical="center"/>
    </xf>
    <xf borderId="1992" fillId="119" fontId="106" numFmtId="0" xfId="0" applyAlignment="1" applyBorder="1" applyFont="1">
      <alignment horizontal="center" vertical="center"/>
    </xf>
    <xf borderId="1993" fillId="119" fontId="105" numFmtId="0" xfId="0" applyAlignment="1" applyBorder="1" applyFont="1">
      <alignment horizontal="center" vertical="center"/>
    </xf>
    <xf borderId="1992" fillId="119" fontId="133" numFmtId="0" xfId="0" applyAlignment="1" applyBorder="1" applyFont="1">
      <alignment horizontal="center" vertical="center"/>
    </xf>
    <xf borderId="1992" fillId="119" fontId="140" numFmtId="0" xfId="0" applyAlignment="1" applyBorder="1" applyFont="1">
      <alignment horizontal="center" readingOrder="0" vertical="bottom"/>
    </xf>
    <xf borderId="1996" fillId="119" fontId="133" numFmtId="0" xfId="0" applyAlignment="1" applyBorder="1" applyFont="1">
      <alignment horizontal="center" vertical="center"/>
    </xf>
    <xf borderId="1992" fillId="119" fontId="105" numFmtId="0" xfId="0" applyAlignment="1" applyBorder="1" applyFont="1">
      <alignment horizontal="center" vertical="center"/>
    </xf>
    <xf borderId="1992" fillId="119" fontId="140" numFmtId="0" xfId="0" applyAlignment="1" applyBorder="1" applyFont="1">
      <alignment horizontal="center" readingOrder="0" vertical="center"/>
    </xf>
    <xf borderId="1992" fillId="119" fontId="112" numFmtId="0" xfId="0" applyAlignment="1" applyBorder="1" applyFont="1">
      <alignment horizontal="center" readingOrder="0" vertical="top"/>
    </xf>
    <xf borderId="1997" fillId="119" fontId="140" numFmtId="0" xfId="0" applyAlignment="1" applyBorder="1" applyFont="1">
      <alignment horizontal="center" vertical="center"/>
    </xf>
    <xf borderId="2025" fillId="119" fontId="125" numFmtId="0" xfId="0" applyAlignment="1" applyBorder="1" applyFont="1">
      <alignment horizontal="center" vertical="center"/>
    </xf>
    <xf borderId="2026" fillId="119" fontId="76" numFmtId="0" xfId="0" applyAlignment="1" applyBorder="1" applyFont="1">
      <alignment horizontal="right" vertical="center"/>
    </xf>
    <xf borderId="2026" fillId="119" fontId="125" numFmtId="0" xfId="0" applyAlignment="1" applyBorder="1" applyFont="1">
      <alignment horizontal="center" vertical="center"/>
    </xf>
    <xf borderId="2026" fillId="119" fontId="125" numFmtId="0" xfId="0" applyAlignment="1" applyBorder="1" applyFont="1">
      <alignment horizontal="center" readingOrder="0" vertical="center"/>
    </xf>
    <xf borderId="2027" fillId="119" fontId="125" numFmtId="0" xfId="0" applyAlignment="1" applyBorder="1" applyFont="1">
      <alignment horizontal="center" readingOrder="0" vertical="center"/>
    </xf>
    <xf borderId="2028" fillId="119" fontId="125" numFmtId="0" xfId="0" applyAlignment="1" applyBorder="1" applyFont="1">
      <alignment horizontal="center" vertical="center"/>
    </xf>
    <xf borderId="2029" fillId="114" fontId="125" numFmtId="0" xfId="0" applyAlignment="1" applyBorder="1" applyFont="1">
      <alignment horizontal="center" vertical="center"/>
    </xf>
    <xf borderId="2030" fillId="114" fontId="76" numFmtId="0" xfId="0" applyAlignment="1" applyBorder="1" applyFont="1">
      <alignment horizontal="right" vertical="center"/>
    </xf>
    <xf borderId="2030" fillId="114" fontId="125" numFmtId="0" xfId="0" applyAlignment="1" applyBorder="1" applyFont="1">
      <alignment horizontal="center" vertical="center"/>
    </xf>
    <xf borderId="2031" fillId="114" fontId="125" numFmtId="0" xfId="0" applyAlignment="1" applyBorder="1" applyFont="1">
      <alignment horizontal="center" vertical="center"/>
    </xf>
    <xf borderId="1805" fillId="114" fontId="125" numFmtId="0" xfId="0" applyAlignment="1" applyBorder="1" applyFont="1">
      <alignment horizontal="center" vertical="center"/>
    </xf>
    <xf borderId="2032" fillId="114" fontId="76" numFmtId="0" xfId="0" applyAlignment="1" applyBorder="1" applyFont="1">
      <alignment horizontal="right" vertical="center"/>
    </xf>
    <xf borderId="2032" fillId="114" fontId="125" numFmtId="0" xfId="0" applyAlignment="1" applyBorder="1" applyFont="1">
      <alignment horizontal="center" vertical="center"/>
    </xf>
    <xf borderId="1807" fillId="114" fontId="156" numFmtId="0" xfId="0" applyAlignment="1" applyBorder="1" applyFont="1">
      <alignment horizontal="left" readingOrder="0" vertical="center"/>
    </xf>
    <xf borderId="1813" fillId="114" fontId="125" numFmtId="0" xfId="0" applyAlignment="1" applyBorder="1" applyFont="1">
      <alignment horizontal="center" vertical="center"/>
    </xf>
    <xf borderId="0" fillId="114" fontId="110" numFmtId="0" xfId="0" applyAlignment="1" applyFont="1">
      <alignment horizontal="center" vertical="center"/>
    </xf>
    <xf borderId="0" fillId="114" fontId="110" numFmtId="0" xfId="0" applyAlignment="1" applyFont="1">
      <alignment horizontal="center"/>
    </xf>
    <xf borderId="1808" fillId="114" fontId="125" numFmtId="0" xfId="0" applyAlignment="1" applyBorder="1" applyFont="1">
      <alignment horizontal="center"/>
    </xf>
    <xf borderId="1811" fillId="114" fontId="110" numFmtId="0" xfId="0" applyAlignment="1" applyBorder="1" applyFont="1">
      <alignment horizontal="center"/>
    </xf>
    <xf borderId="1811" fillId="114" fontId="129" numFmtId="0" xfId="0" applyAlignment="1" applyBorder="1" applyFont="1">
      <alignment horizontal="center"/>
    </xf>
    <xf borderId="1810" fillId="114" fontId="106" numFmtId="0" xfId="0" applyAlignment="1" applyBorder="1" applyFont="1">
      <alignment horizontal="center" vertical="center"/>
    </xf>
    <xf borderId="2033" fillId="120" fontId="125" numFmtId="0" xfId="0" applyAlignment="1" applyBorder="1" applyFill="1" applyFont="1">
      <alignment horizontal="center" vertical="center"/>
    </xf>
    <xf borderId="2034" fillId="120" fontId="74" numFmtId="0" xfId="0" applyAlignment="1" applyBorder="1" applyFont="1">
      <alignment horizontal="right" readingOrder="0" vertical="center"/>
    </xf>
    <xf borderId="2034" fillId="120" fontId="138" numFmtId="0" xfId="0" applyAlignment="1" applyBorder="1" applyFont="1">
      <alignment horizontal="center" readingOrder="0" vertical="center"/>
    </xf>
    <xf borderId="2035" fillId="120" fontId="125" numFmtId="0" xfId="0" applyAlignment="1" applyBorder="1" applyFont="1">
      <alignment horizontal="center" vertical="center"/>
    </xf>
    <xf borderId="2036" fillId="120" fontId="125" numFmtId="0" xfId="0" applyAlignment="1" applyBorder="1" applyFont="1">
      <alignment horizontal="center" vertical="center"/>
    </xf>
    <xf borderId="2037" fillId="120" fontId="76" numFmtId="0" xfId="0" applyAlignment="1" applyBorder="1" applyFont="1">
      <alignment horizontal="right" vertical="center"/>
    </xf>
    <xf borderId="2037" fillId="120" fontId="125" numFmtId="0" xfId="0" applyAlignment="1" applyBorder="1" applyFont="1">
      <alignment horizontal="center" vertical="center"/>
    </xf>
    <xf borderId="2038" fillId="120" fontId="157" numFmtId="0" xfId="0" applyAlignment="1" applyBorder="1" applyFont="1">
      <alignment horizontal="left" readingOrder="0" vertical="center"/>
    </xf>
    <xf borderId="2039" fillId="0" fontId="4" numFmtId="0" xfId="0" applyBorder="1" applyFont="1"/>
    <xf borderId="2040" fillId="0" fontId="4" numFmtId="0" xfId="0" applyBorder="1" applyFont="1"/>
    <xf borderId="2041" fillId="120" fontId="125" numFmtId="0" xfId="0" applyAlignment="1" applyBorder="1" applyFont="1">
      <alignment horizontal="center" vertical="center"/>
    </xf>
    <xf borderId="189" fillId="23" fontId="76" numFmtId="0" xfId="0" applyAlignment="1" applyBorder="1" applyFont="1">
      <alignment horizontal="center" vertical="center"/>
    </xf>
    <xf borderId="2037" fillId="120" fontId="127" numFmtId="0" xfId="0" applyAlignment="1" applyBorder="1" applyFont="1">
      <alignment horizontal="center" vertical="center"/>
    </xf>
    <xf borderId="969" fillId="23" fontId="119" numFmtId="0" xfId="0" applyAlignment="1" applyBorder="1" applyFont="1">
      <alignment horizontal="center" vertical="center"/>
    </xf>
    <xf borderId="2042" fillId="120" fontId="110" numFmtId="0" xfId="0" applyAlignment="1" applyBorder="1" applyFont="1">
      <alignment horizontal="center" vertical="center"/>
    </xf>
    <xf borderId="2042" fillId="120" fontId="125" numFmtId="0" xfId="0" applyAlignment="1" applyBorder="1" applyFont="1">
      <alignment horizontal="center" vertical="center"/>
    </xf>
    <xf borderId="2038" fillId="120" fontId="125" numFmtId="0" xfId="0" applyAlignment="1" applyBorder="1" applyFont="1">
      <alignment horizontal="center" vertical="center"/>
    </xf>
    <xf borderId="2036" fillId="120" fontId="110" numFmtId="0" xfId="0" applyAlignment="1" applyBorder="1" applyFont="1">
      <alignment horizontal="center" vertical="center"/>
    </xf>
    <xf borderId="762" fillId="120" fontId="76" numFmtId="0" xfId="0" applyAlignment="1" applyBorder="1" applyFont="1">
      <alignment horizontal="right" readingOrder="0" vertical="center"/>
    </xf>
    <xf borderId="2037" fillId="120" fontId="110" numFmtId="0" xfId="0" applyAlignment="1" applyBorder="1" applyFont="1">
      <alignment horizontal="center" readingOrder="0" vertical="center"/>
    </xf>
    <xf borderId="2043" fillId="120" fontId="112" numFmtId="0" xfId="0" applyAlignment="1" applyBorder="1" applyFont="1">
      <alignment horizontal="center" readingOrder="0" vertical="center"/>
    </xf>
    <xf borderId="2044" fillId="0" fontId="4" numFmtId="0" xfId="0" applyBorder="1" applyFont="1"/>
    <xf borderId="2045" fillId="0" fontId="4" numFmtId="0" xfId="0" applyBorder="1" applyFont="1"/>
    <xf borderId="2046" fillId="0" fontId="4" numFmtId="0" xfId="0" applyBorder="1" applyFont="1"/>
    <xf borderId="2038" fillId="120" fontId="110" numFmtId="0" xfId="0" applyAlignment="1" applyBorder="1" applyFont="1">
      <alignment horizontal="center" vertical="center"/>
    </xf>
    <xf borderId="2041" fillId="120" fontId="110" numFmtId="0" xfId="0" applyAlignment="1" applyBorder="1" applyFont="1">
      <alignment horizontal="center" vertical="center"/>
    </xf>
    <xf borderId="2036" fillId="120" fontId="129" numFmtId="0" xfId="0" applyAlignment="1" applyBorder="1" applyFont="1">
      <alignment horizontal="center" vertical="center"/>
    </xf>
    <xf borderId="2037" fillId="120" fontId="129" numFmtId="0" xfId="0" applyAlignment="1" applyBorder="1" applyFont="1">
      <alignment horizontal="center" readingOrder="0" vertical="center"/>
    </xf>
    <xf borderId="2047" fillId="120" fontId="114" numFmtId="0" xfId="0" applyAlignment="1" applyBorder="1" applyFont="1">
      <alignment horizontal="center" readingOrder="0" vertical="top"/>
    </xf>
    <xf borderId="2048" fillId="0" fontId="4" numFmtId="0" xfId="0" applyBorder="1" applyFont="1"/>
    <xf borderId="2049" fillId="0" fontId="4" numFmtId="0" xfId="0" applyBorder="1" applyFont="1"/>
    <xf borderId="2038" fillId="120" fontId="129" numFmtId="0" xfId="0" applyAlignment="1" applyBorder="1" applyFont="1">
      <alignment horizontal="center" vertical="center"/>
    </xf>
    <xf borderId="2041" fillId="120" fontId="129" numFmtId="0" xfId="0" applyAlignment="1" applyBorder="1" applyFont="1">
      <alignment horizontal="center" vertical="center"/>
    </xf>
    <xf borderId="2050" fillId="120" fontId="110" numFmtId="0" xfId="0" applyAlignment="1" applyBorder="1" applyFont="1">
      <alignment horizontal="center" vertical="center"/>
    </xf>
    <xf borderId="2051" fillId="120" fontId="110" numFmtId="0" xfId="0" applyAlignment="1" applyBorder="1" applyFont="1">
      <alignment horizontal="center" vertical="top"/>
    </xf>
    <xf borderId="2052" fillId="0" fontId="4" numFmtId="0" xfId="0" applyBorder="1" applyFont="1"/>
    <xf borderId="2053" fillId="120" fontId="110" numFmtId="0" xfId="0" applyAlignment="1" applyBorder="1" applyFont="1">
      <alignment horizontal="center" vertical="top"/>
    </xf>
    <xf borderId="2054" fillId="120" fontId="110" numFmtId="0" xfId="0" applyAlignment="1" applyBorder="1" applyFont="1">
      <alignment horizontal="center" vertical="top"/>
    </xf>
    <xf borderId="2055" fillId="120" fontId="110" numFmtId="0" xfId="0" applyAlignment="1" applyBorder="1" applyFont="1">
      <alignment horizontal="center" vertical="center"/>
    </xf>
    <xf borderId="2056" fillId="120" fontId="110" numFmtId="0" xfId="0" applyAlignment="1" applyBorder="1" applyFont="1">
      <alignment horizontal="center" vertical="top"/>
    </xf>
    <xf borderId="2057" fillId="120" fontId="110" numFmtId="0" xfId="0" applyAlignment="1" applyBorder="1" applyFont="1">
      <alignment horizontal="center" vertical="top"/>
    </xf>
    <xf borderId="2058" fillId="120" fontId="110" numFmtId="0" xfId="0" applyAlignment="1" applyBorder="1" applyFont="1">
      <alignment horizontal="center" readingOrder="0" vertical="center"/>
    </xf>
    <xf borderId="2059" fillId="0" fontId="4" numFmtId="0" xfId="0" applyBorder="1" applyFont="1"/>
    <xf borderId="2060" fillId="0" fontId="4" numFmtId="0" xfId="0" applyBorder="1" applyFont="1"/>
    <xf borderId="2042" fillId="120" fontId="76" numFmtId="0" xfId="0" applyAlignment="1" applyBorder="1" applyFont="1">
      <alignment horizontal="right"/>
    </xf>
    <xf borderId="2061" fillId="120" fontId="110" numFmtId="0" xfId="0" applyAlignment="1" applyBorder="1" applyFont="1">
      <alignment horizontal="center" readingOrder="0" vertical="center"/>
    </xf>
    <xf borderId="2062" fillId="0" fontId="4" numFmtId="0" xfId="0" applyBorder="1" applyFont="1"/>
    <xf borderId="2063" fillId="120" fontId="110" numFmtId="0" xfId="0" applyAlignment="1" applyBorder="1" applyFont="1">
      <alignment horizontal="center" readingOrder="0" vertical="center"/>
    </xf>
    <xf borderId="2064" fillId="0" fontId="4" numFmtId="0" xfId="0" applyBorder="1" applyFont="1"/>
    <xf borderId="2065" fillId="0" fontId="4" numFmtId="0" xfId="0" applyBorder="1" applyFont="1"/>
    <xf borderId="2066" fillId="120" fontId="110" numFmtId="0" xfId="0" applyAlignment="1" applyBorder="1" applyFont="1">
      <alignment horizontal="center" readingOrder="0" vertical="center"/>
    </xf>
    <xf borderId="2034" fillId="0" fontId="4" numFmtId="0" xfId="0" applyBorder="1" applyFont="1"/>
    <xf borderId="2067" fillId="0" fontId="4" numFmtId="0" xfId="0" applyBorder="1" applyFont="1"/>
    <xf borderId="2068" fillId="120" fontId="110" numFmtId="0" xfId="0" applyAlignment="1" applyBorder="1" applyFont="1">
      <alignment horizontal="center" readingOrder="0" vertical="center"/>
    </xf>
    <xf borderId="2069" fillId="120" fontId="110" numFmtId="0" xfId="0" applyAlignment="1" applyBorder="1" applyFont="1">
      <alignment horizontal="center" readingOrder="0" vertical="center"/>
    </xf>
    <xf borderId="2070" fillId="120" fontId="110" numFmtId="0" xfId="0" applyAlignment="1" applyBorder="1" applyFont="1">
      <alignment horizontal="center" readingOrder="0" vertical="center"/>
    </xf>
    <xf borderId="2071" fillId="0" fontId="4" numFmtId="0" xfId="0" applyBorder="1" applyFont="1"/>
    <xf borderId="2072" fillId="0" fontId="4" numFmtId="0" xfId="0" applyBorder="1" applyFont="1"/>
    <xf borderId="2073" fillId="120" fontId="110" numFmtId="0" xfId="0" applyAlignment="1" applyBorder="1" applyFont="1">
      <alignment horizontal="center" readingOrder="0" vertical="center"/>
    </xf>
    <xf borderId="2036" fillId="120" fontId="124" numFmtId="0" xfId="0" applyAlignment="1" applyBorder="1" applyFont="1">
      <alignment horizontal="center" vertical="center"/>
    </xf>
    <xf borderId="2037" fillId="120" fontId="74" numFmtId="0" xfId="0" applyAlignment="1" applyBorder="1" applyFont="1">
      <alignment horizontal="right" vertical="center"/>
    </xf>
    <xf borderId="2037" fillId="120" fontId="131" numFmtId="0" xfId="0" applyAlignment="1" applyBorder="1" applyFont="1">
      <alignment horizontal="center" vertical="center"/>
    </xf>
    <xf borderId="2037" fillId="120" fontId="131" numFmtId="0" xfId="0" applyAlignment="1" applyBorder="1" applyFont="1">
      <alignment horizontal="center" vertical="top"/>
    </xf>
    <xf borderId="2042" fillId="120" fontId="131" numFmtId="0" xfId="0" applyAlignment="1" applyBorder="1" applyFont="1">
      <alignment horizontal="center" vertical="top"/>
    </xf>
    <xf borderId="2037" fillId="120" fontId="109" numFmtId="0" xfId="0" applyAlignment="1" applyBorder="1" applyFont="1">
      <alignment horizontal="center" vertical="center"/>
    </xf>
    <xf borderId="2037" fillId="120" fontId="132" numFmtId="0" xfId="0" applyAlignment="1" applyBorder="1" applyFont="1">
      <alignment horizontal="center" vertical="center"/>
    </xf>
    <xf borderId="2041" fillId="120" fontId="124" numFmtId="0" xfId="0" applyAlignment="1" applyBorder="1" applyFont="1">
      <alignment horizontal="center" vertical="center"/>
    </xf>
    <xf borderId="2036" fillId="120" fontId="133" numFmtId="0" xfId="0" applyAlignment="1" applyBorder="1" applyFont="1">
      <alignment horizontal="center" vertical="center"/>
    </xf>
    <xf borderId="2037" fillId="120" fontId="106" numFmtId="0" xfId="0" applyAlignment="1" applyBorder="1" applyFont="1">
      <alignment horizontal="center" vertical="center"/>
    </xf>
    <xf borderId="237" fillId="23" fontId="104" numFmtId="0" xfId="0" applyAlignment="1" applyBorder="1" applyFont="1">
      <alignment horizontal="center" readingOrder="0" vertical="top"/>
    </xf>
    <xf borderId="240" fillId="23" fontId="104" numFmtId="0" xfId="0" applyAlignment="1" applyBorder="1" applyFont="1">
      <alignment horizontal="center" readingOrder="0" vertical="top"/>
    </xf>
    <xf borderId="2038" fillId="120" fontId="105" numFmtId="0" xfId="0" applyAlignment="1" applyBorder="1" applyFont="1">
      <alignment horizontal="center" vertical="center"/>
    </xf>
    <xf borderId="2037" fillId="120" fontId="105" numFmtId="0" xfId="0" applyAlignment="1" applyBorder="1" applyFont="1">
      <alignment horizontal="center" vertical="top"/>
    </xf>
    <xf borderId="2037" fillId="120" fontId="76" numFmtId="0" xfId="0" applyAlignment="1" applyBorder="1" applyFont="1">
      <alignment horizontal="right" readingOrder="0" vertical="bottom"/>
    </xf>
    <xf borderId="2037" fillId="120" fontId="133" numFmtId="0" xfId="0" applyAlignment="1" applyBorder="1" applyFont="1">
      <alignment horizontal="center" vertical="center"/>
    </xf>
    <xf borderId="2041" fillId="120" fontId="133" numFmtId="0" xfId="0" applyAlignment="1" applyBorder="1" applyFont="1">
      <alignment horizontal="center" vertical="center"/>
    </xf>
    <xf borderId="2074" fillId="23" fontId="104" numFmtId="0" xfId="0" applyAlignment="1" applyBorder="1" applyFont="1">
      <alignment horizontal="center" readingOrder="0" vertical="center"/>
    </xf>
    <xf borderId="2075" fillId="23" fontId="104" numFmtId="0" xfId="0" applyAlignment="1" applyBorder="1" applyFont="1">
      <alignment horizontal="center" readingOrder="0" vertical="center"/>
    </xf>
    <xf borderId="2076" fillId="23" fontId="104" numFmtId="0" xfId="0" applyAlignment="1" applyBorder="1" applyFont="1">
      <alignment horizontal="left" readingOrder="0" vertical="center"/>
    </xf>
    <xf borderId="2077" fillId="23" fontId="104" numFmtId="0" xfId="0" applyAlignment="1" applyBorder="1" applyFont="1">
      <alignment horizontal="center" readingOrder="0" vertical="center"/>
    </xf>
    <xf borderId="2037" fillId="120" fontId="105" numFmtId="0" xfId="0" applyAlignment="1" applyBorder="1" applyFont="1">
      <alignment horizontal="center" vertical="center"/>
    </xf>
    <xf borderId="2037" fillId="120" fontId="76" numFmtId="0" xfId="0" applyAlignment="1" applyBorder="1" applyFont="1">
      <alignment horizontal="right" readingOrder="0" vertical="center"/>
    </xf>
    <xf borderId="2078" fillId="23" fontId="104" numFmtId="0" xfId="0" applyAlignment="1" applyBorder="1" applyFont="1">
      <alignment horizontal="center" readingOrder="0" vertical="center"/>
    </xf>
    <xf borderId="2079" fillId="23" fontId="104" numFmtId="0" xfId="0" applyAlignment="1" applyBorder="1" applyFont="1">
      <alignment horizontal="center" readingOrder="0" vertical="center"/>
    </xf>
    <xf borderId="2080" fillId="23" fontId="104" numFmtId="0" xfId="0" applyAlignment="1" applyBorder="1" applyFont="1">
      <alignment horizontal="left" readingOrder="0" vertical="center"/>
    </xf>
    <xf borderId="2081" fillId="23" fontId="104" numFmtId="0" xfId="0" applyAlignment="1" applyBorder="1" applyFont="1">
      <alignment horizontal="center" readingOrder="0" vertical="center"/>
    </xf>
    <xf borderId="2037" fillId="120" fontId="74" numFmtId="0" xfId="0" applyAlignment="1" applyBorder="1" applyFont="1">
      <alignment horizontal="right" readingOrder="0" vertical="top"/>
    </xf>
    <xf borderId="2042" fillId="120" fontId="76" numFmtId="0" xfId="0" applyAlignment="1" applyBorder="1" applyFont="1">
      <alignment horizontal="right" vertical="center"/>
    </xf>
    <xf borderId="2082" fillId="23" fontId="104" numFmtId="0" xfId="0" applyAlignment="1" applyBorder="1" applyFont="1">
      <alignment horizontal="center" readingOrder="0" vertical="center"/>
    </xf>
    <xf borderId="2083" fillId="23" fontId="104" numFmtId="0" xfId="0" applyAlignment="1" applyBorder="1" applyFont="1">
      <alignment horizontal="center" readingOrder="0" vertical="center"/>
    </xf>
    <xf borderId="2084" fillId="23" fontId="104" numFmtId="0" xfId="0" applyAlignment="1" applyBorder="1" applyFont="1">
      <alignment horizontal="left" readingOrder="0" vertical="center"/>
    </xf>
    <xf borderId="2085" fillId="23" fontId="104" numFmtId="0" xfId="0" applyAlignment="1" applyBorder="1" applyFont="1">
      <alignment horizontal="center" readingOrder="0" vertical="center"/>
    </xf>
    <xf borderId="253" fillId="23" fontId="104" numFmtId="0" xfId="0" applyAlignment="1" applyBorder="1" applyFont="1">
      <alignment horizontal="right" readingOrder="0" vertical="center"/>
    </xf>
    <xf borderId="256" fillId="23" fontId="104" numFmtId="0" xfId="0" applyAlignment="1" applyBorder="1" applyFont="1">
      <alignment horizontal="center" readingOrder="0" vertical="center"/>
    </xf>
    <xf borderId="2086" fillId="120" fontId="125" numFmtId="0" xfId="0" applyAlignment="1" applyBorder="1" applyFont="1">
      <alignment horizontal="center" vertical="center"/>
    </xf>
    <xf borderId="2087" fillId="120" fontId="74" numFmtId="0" xfId="0" applyAlignment="1" applyBorder="1" applyFont="1">
      <alignment horizontal="right" readingOrder="0" vertical="center"/>
    </xf>
    <xf borderId="2087" fillId="120" fontId="138" numFmtId="0" xfId="0" applyAlignment="1" applyBorder="1" applyFont="1">
      <alignment horizontal="center" readingOrder="0" vertical="center"/>
    </xf>
    <xf borderId="2088" fillId="120" fontId="138" numFmtId="0" xfId="0" applyAlignment="1" applyBorder="1" applyFont="1">
      <alignment horizontal="center" readingOrder="0" vertical="center"/>
    </xf>
    <xf borderId="2089" fillId="120" fontId="125" numFmtId="0" xfId="0" applyAlignment="1" applyBorder="1" applyFont="1">
      <alignment horizontal="center" vertical="center"/>
    </xf>
    <xf borderId="2090" fillId="121" fontId="125" numFmtId="0" xfId="0" applyAlignment="1" applyBorder="1" applyFill="1" applyFont="1">
      <alignment horizontal="center" vertical="center"/>
    </xf>
    <xf borderId="2091" fillId="121" fontId="74" numFmtId="0" xfId="0" applyAlignment="1" applyBorder="1" applyFont="1">
      <alignment horizontal="right" readingOrder="0" vertical="center"/>
    </xf>
    <xf borderId="2092" fillId="121" fontId="125" numFmtId="0" xfId="0" applyAlignment="1" applyBorder="1" applyFont="1">
      <alignment horizontal="center" vertical="center"/>
    </xf>
    <xf borderId="2093" fillId="121" fontId="125" numFmtId="0" xfId="0" applyAlignment="1" applyBorder="1" applyFont="1">
      <alignment horizontal="center" vertical="center"/>
    </xf>
    <xf borderId="189" fillId="24" fontId="76" numFmtId="0" xfId="0" applyAlignment="1" applyBorder="1" applyFont="1">
      <alignment horizontal="center" vertical="center"/>
    </xf>
    <xf borderId="2094" fillId="121" fontId="127" numFmtId="0" xfId="0" applyAlignment="1" applyBorder="1" applyFont="1">
      <alignment horizontal="center" vertical="center"/>
    </xf>
    <xf borderId="969" fillId="24" fontId="119" numFmtId="0" xfId="0" applyAlignment="1" applyBorder="1" applyFont="1">
      <alignment horizontal="center" vertical="center"/>
    </xf>
    <xf borderId="2095" fillId="121" fontId="110" numFmtId="0" xfId="0" applyAlignment="1" applyBorder="1" applyFont="1">
      <alignment horizontal="center" vertical="center"/>
    </xf>
    <xf borderId="2095" fillId="121" fontId="125" numFmtId="0" xfId="0" applyAlignment="1" applyBorder="1" applyFont="1">
      <alignment horizontal="center" vertical="center"/>
    </xf>
    <xf borderId="2096" fillId="121" fontId="125" numFmtId="0" xfId="0" applyAlignment="1" applyBorder="1" applyFont="1">
      <alignment horizontal="center" vertical="center"/>
    </xf>
    <xf borderId="2097" fillId="0" fontId="4" numFmtId="0" xfId="0" applyBorder="1" applyFont="1"/>
    <xf borderId="2098" fillId="0" fontId="4" numFmtId="0" xfId="0" applyBorder="1" applyFont="1"/>
    <xf borderId="2099" fillId="121" fontId="125" numFmtId="0" xfId="0" applyAlignment="1" applyBorder="1" applyFont="1">
      <alignment horizontal="center" vertical="center"/>
    </xf>
    <xf borderId="2093" fillId="121" fontId="110" numFmtId="0" xfId="0" applyAlignment="1" applyBorder="1" applyFont="1">
      <alignment horizontal="center" vertical="center"/>
    </xf>
    <xf borderId="762" fillId="121" fontId="76" numFmtId="0" xfId="0" applyAlignment="1" applyBorder="1" applyFont="1">
      <alignment horizontal="right" readingOrder="0" vertical="center"/>
    </xf>
    <xf borderId="2094" fillId="121" fontId="110" numFmtId="0" xfId="0" applyAlignment="1" applyBorder="1" applyFont="1">
      <alignment horizontal="center" readingOrder="0" vertical="center"/>
    </xf>
    <xf borderId="2100" fillId="121" fontId="112" numFmtId="0" xfId="0" applyAlignment="1" applyBorder="1" applyFont="1">
      <alignment horizontal="center" readingOrder="0" vertical="center"/>
    </xf>
    <xf borderId="2101" fillId="0" fontId="4" numFmtId="0" xfId="0" applyBorder="1" applyFont="1"/>
    <xf borderId="2102" fillId="0" fontId="4" numFmtId="0" xfId="0" applyBorder="1" applyFont="1"/>
    <xf borderId="2103" fillId="0" fontId="4" numFmtId="0" xfId="0" applyBorder="1" applyFont="1"/>
    <xf borderId="2096" fillId="121" fontId="110" numFmtId="0" xfId="0" applyAlignment="1" applyBorder="1" applyFont="1">
      <alignment horizontal="center" vertical="center"/>
    </xf>
    <xf borderId="2099" fillId="121" fontId="110" numFmtId="0" xfId="0" applyAlignment="1" applyBorder="1" applyFont="1">
      <alignment horizontal="center" vertical="center"/>
    </xf>
    <xf borderId="2093" fillId="121" fontId="129" numFmtId="0" xfId="0" applyAlignment="1" applyBorder="1" applyFont="1">
      <alignment horizontal="center" vertical="center"/>
    </xf>
    <xf borderId="2094" fillId="121" fontId="129" numFmtId="0" xfId="0" applyAlignment="1" applyBorder="1" applyFont="1">
      <alignment horizontal="center" readingOrder="0" vertical="center"/>
    </xf>
    <xf borderId="2104" fillId="121" fontId="114" numFmtId="0" xfId="0" applyAlignment="1" applyBorder="1" applyFont="1">
      <alignment horizontal="center" readingOrder="0" vertical="top"/>
    </xf>
    <xf borderId="2105" fillId="0" fontId="4" numFmtId="0" xfId="0" applyBorder="1" applyFont="1"/>
    <xf borderId="2106" fillId="0" fontId="4" numFmtId="0" xfId="0" applyBorder="1" applyFont="1"/>
    <xf borderId="2096" fillId="121" fontId="129" numFmtId="0" xfId="0" applyAlignment="1" applyBorder="1" applyFont="1">
      <alignment horizontal="center" vertical="center"/>
    </xf>
    <xf borderId="2099" fillId="121" fontId="129" numFmtId="0" xfId="0" applyAlignment="1" applyBorder="1" applyFont="1">
      <alignment horizontal="center" vertical="center"/>
    </xf>
    <xf borderId="2094" fillId="121" fontId="125" numFmtId="0" xfId="0" applyAlignment="1" applyBorder="1" applyFont="1">
      <alignment horizontal="center" vertical="center"/>
    </xf>
    <xf borderId="2107" fillId="121" fontId="110" numFmtId="0" xfId="0" applyAlignment="1" applyBorder="1" applyFont="1">
      <alignment horizontal="center" vertical="center"/>
    </xf>
    <xf borderId="2108" fillId="121" fontId="110" numFmtId="0" xfId="0" applyAlignment="1" applyBorder="1" applyFont="1">
      <alignment horizontal="center" vertical="top"/>
    </xf>
    <xf borderId="2109" fillId="0" fontId="4" numFmtId="0" xfId="0" applyBorder="1" applyFont="1"/>
    <xf borderId="2110" fillId="121" fontId="110" numFmtId="0" xfId="0" applyAlignment="1" applyBorder="1" applyFont="1">
      <alignment horizontal="center" vertical="top"/>
    </xf>
    <xf borderId="2111" fillId="121" fontId="110" numFmtId="0" xfId="0" applyAlignment="1" applyBorder="1" applyFont="1">
      <alignment horizontal="right" vertical="top"/>
    </xf>
    <xf borderId="2111" fillId="121" fontId="110" numFmtId="0" xfId="0" applyAlignment="1" applyBorder="1" applyFont="1">
      <alignment horizontal="left" vertical="top"/>
    </xf>
    <xf borderId="2094" fillId="121" fontId="76" numFmtId="0" xfId="0" applyAlignment="1" applyBorder="1" applyFont="1">
      <alignment horizontal="right" vertical="center"/>
    </xf>
    <xf borderId="2112" fillId="121" fontId="110" numFmtId="0" xfId="0" applyAlignment="1" applyBorder="1" applyFont="1">
      <alignment horizontal="center" vertical="center"/>
    </xf>
    <xf borderId="2113" fillId="121" fontId="110" numFmtId="0" xfId="0" applyAlignment="1" applyBorder="1" applyFont="1">
      <alignment horizontal="center" vertical="top"/>
    </xf>
    <xf borderId="2114" fillId="121" fontId="110" numFmtId="0" xfId="0" applyAlignment="1" applyBorder="1" applyFont="1">
      <alignment horizontal="center" vertical="top"/>
    </xf>
    <xf borderId="2115" fillId="121" fontId="110" numFmtId="0" xfId="0" applyAlignment="1" applyBorder="1" applyFont="1">
      <alignment horizontal="center" readingOrder="0" vertical="center"/>
    </xf>
    <xf borderId="2116" fillId="0" fontId="4" numFmtId="0" xfId="0" applyBorder="1" applyFont="1"/>
    <xf borderId="2117" fillId="0" fontId="4" numFmtId="0" xfId="0" applyBorder="1" applyFont="1"/>
    <xf borderId="2095" fillId="121" fontId="76" numFmtId="0" xfId="0" applyAlignment="1" applyBorder="1" applyFont="1">
      <alignment horizontal="right"/>
    </xf>
    <xf borderId="2118" fillId="121" fontId="110" numFmtId="0" xfId="0" applyAlignment="1" applyBorder="1" applyFont="1">
      <alignment horizontal="center" readingOrder="0" vertical="center"/>
    </xf>
    <xf borderId="2119" fillId="0" fontId="4" numFmtId="0" xfId="0" applyBorder="1" applyFont="1"/>
    <xf borderId="2120" fillId="121" fontId="110" numFmtId="0" xfId="0" applyAlignment="1" applyBorder="1" applyFont="1">
      <alignment horizontal="center" readingOrder="0" vertical="center"/>
    </xf>
    <xf borderId="2121" fillId="0" fontId="4" numFmtId="0" xfId="0" applyBorder="1" applyFont="1"/>
    <xf borderId="2122" fillId="0" fontId="4" numFmtId="0" xfId="0" applyBorder="1" applyFont="1"/>
    <xf borderId="2123" fillId="121" fontId="110" numFmtId="0" xfId="0" applyAlignment="1" applyBorder="1" applyFont="1">
      <alignment horizontal="center" readingOrder="0" vertical="center"/>
    </xf>
    <xf borderId="2091" fillId="0" fontId="4" numFmtId="0" xfId="0" applyBorder="1" applyFont="1"/>
    <xf borderId="2124" fillId="0" fontId="4" numFmtId="0" xfId="0" applyBorder="1" applyFont="1"/>
    <xf borderId="2125" fillId="121" fontId="110" numFmtId="0" xfId="0" applyAlignment="1" applyBorder="1" applyFont="1">
      <alignment horizontal="center" readingOrder="0" vertical="center"/>
    </xf>
    <xf borderId="2126" fillId="121" fontId="110" numFmtId="0" xfId="0" applyAlignment="1" applyBorder="1" applyFont="1">
      <alignment horizontal="center" readingOrder="0" vertical="center"/>
    </xf>
    <xf borderId="2127" fillId="121" fontId="110" numFmtId="0" xfId="0" applyAlignment="1" applyBorder="1" applyFont="1">
      <alignment horizontal="center" readingOrder="0" vertical="center"/>
    </xf>
    <xf borderId="2128" fillId="0" fontId="4" numFmtId="0" xfId="0" applyBorder="1" applyFont="1"/>
    <xf borderId="2129" fillId="0" fontId="4" numFmtId="0" xfId="0" applyBorder="1" applyFont="1"/>
    <xf borderId="2130" fillId="121" fontId="110" numFmtId="0" xfId="0" applyAlignment="1" applyBorder="1" applyFont="1">
      <alignment horizontal="center" readingOrder="0" vertical="center"/>
    </xf>
    <xf borderId="2093" fillId="121" fontId="124" numFmtId="0" xfId="0" applyAlignment="1" applyBorder="1" applyFont="1">
      <alignment horizontal="center" vertical="center"/>
    </xf>
    <xf borderId="2094" fillId="121" fontId="74" numFmtId="0" xfId="0" applyAlignment="1" applyBorder="1" applyFont="1">
      <alignment horizontal="right" vertical="center"/>
    </xf>
    <xf borderId="2094" fillId="121" fontId="131" numFmtId="0" xfId="0" applyAlignment="1" applyBorder="1" applyFont="1">
      <alignment horizontal="center" vertical="center"/>
    </xf>
    <xf borderId="2094" fillId="121" fontId="131" numFmtId="0" xfId="0" applyAlignment="1" applyBorder="1" applyFont="1">
      <alignment horizontal="center" vertical="top"/>
    </xf>
    <xf borderId="2095" fillId="121" fontId="131" numFmtId="0" xfId="0" applyAlignment="1" applyBorder="1" applyFont="1">
      <alignment horizontal="center" vertical="top"/>
    </xf>
    <xf borderId="2094" fillId="121" fontId="109" numFmtId="0" xfId="0" applyAlignment="1" applyBorder="1" applyFont="1">
      <alignment horizontal="center" vertical="center"/>
    </xf>
    <xf borderId="2094" fillId="121" fontId="132" numFmtId="0" xfId="0" applyAlignment="1" applyBorder="1" applyFont="1">
      <alignment horizontal="center" vertical="center"/>
    </xf>
    <xf borderId="2099" fillId="121" fontId="124" numFmtId="0" xfId="0" applyAlignment="1" applyBorder="1" applyFont="1">
      <alignment horizontal="center" vertical="center"/>
    </xf>
    <xf borderId="2093" fillId="121" fontId="133" numFmtId="0" xfId="0" applyAlignment="1" applyBorder="1" applyFont="1">
      <alignment horizontal="center" vertical="center"/>
    </xf>
    <xf borderId="2094" fillId="121" fontId="106" numFmtId="0" xfId="0" applyAlignment="1" applyBorder="1" applyFont="1">
      <alignment horizontal="center" vertical="center"/>
    </xf>
    <xf borderId="237" fillId="24" fontId="104" numFmtId="0" xfId="0" applyAlignment="1" applyBorder="1" applyFont="1">
      <alignment horizontal="center" readingOrder="0" vertical="top"/>
    </xf>
    <xf borderId="240" fillId="24" fontId="104" numFmtId="0" xfId="0" applyAlignment="1" applyBorder="1" applyFont="1">
      <alignment horizontal="center" readingOrder="0" vertical="top"/>
    </xf>
    <xf borderId="2096" fillId="121" fontId="106" numFmtId="0" xfId="0" applyAlignment="1" applyBorder="1" applyFont="1">
      <alignment horizontal="center" vertical="center"/>
    </xf>
    <xf borderId="2094" fillId="121" fontId="105" numFmtId="0" xfId="0" applyAlignment="1" applyBorder="1" applyFont="1">
      <alignment horizontal="center" vertical="top"/>
    </xf>
    <xf borderId="2094" fillId="121" fontId="76" numFmtId="0" xfId="0" applyAlignment="1" applyBorder="1" applyFont="1">
      <alignment horizontal="right" readingOrder="0" vertical="bottom"/>
    </xf>
    <xf borderId="2094" fillId="121" fontId="133" numFmtId="0" xfId="0" applyAlignment="1" applyBorder="1" applyFont="1">
      <alignment horizontal="center" vertical="center"/>
    </xf>
    <xf borderId="2099" fillId="121" fontId="133" numFmtId="0" xfId="0" applyAlignment="1" applyBorder="1" applyFont="1">
      <alignment horizontal="center" vertical="center"/>
    </xf>
    <xf borderId="2131" fillId="24" fontId="104" numFmtId="0" xfId="0" applyAlignment="1" applyBorder="1" applyFont="1">
      <alignment horizontal="center" readingOrder="0" vertical="center"/>
    </xf>
    <xf borderId="2132" fillId="24" fontId="104" numFmtId="0" xfId="0" applyAlignment="1" applyBorder="1" applyFont="1">
      <alignment horizontal="center" readingOrder="0" vertical="center"/>
    </xf>
    <xf borderId="2133" fillId="24" fontId="104" numFmtId="0" xfId="0" applyAlignment="1" applyBorder="1" applyFont="1">
      <alignment horizontal="left" readingOrder="0" vertical="center"/>
    </xf>
    <xf borderId="2134" fillId="24" fontId="104" numFmtId="0" xfId="0" applyAlignment="1" applyBorder="1" applyFont="1">
      <alignment horizontal="center" readingOrder="0" vertical="center"/>
    </xf>
    <xf borderId="2094" fillId="121" fontId="105" numFmtId="0" xfId="0" applyAlignment="1" applyBorder="1" applyFont="1">
      <alignment horizontal="center" vertical="center"/>
    </xf>
    <xf borderId="2094" fillId="121" fontId="76" numFmtId="0" xfId="0" applyAlignment="1" applyBorder="1" applyFont="1">
      <alignment horizontal="right" readingOrder="0" vertical="center"/>
    </xf>
    <xf borderId="2135" fillId="24" fontId="104" numFmtId="0" xfId="0" applyAlignment="1" applyBorder="1" applyFont="1">
      <alignment horizontal="center" readingOrder="0" vertical="center"/>
    </xf>
    <xf borderId="2136" fillId="24" fontId="104" numFmtId="0" xfId="0" applyAlignment="1" applyBorder="1" applyFont="1">
      <alignment horizontal="center" readingOrder="0" vertical="center"/>
    </xf>
    <xf borderId="2137" fillId="24" fontId="104" numFmtId="0" xfId="0" applyAlignment="1" applyBorder="1" applyFont="1">
      <alignment horizontal="left" readingOrder="0" vertical="center"/>
    </xf>
    <xf borderId="2138" fillId="24" fontId="104" numFmtId="0" xfId="0" applyAlignment="1" applyBorder="1" applyFont="1">
      <alignment horizontal="center" readingOrder="0" vertical="center"/>
    </xf>
    <xf borderId="2094" fillId="121" fontId="74" numFmtId="0" xfId="0" applyAlignment="1" applyBorder="1" applyFont="1">
      <alignment horizontal="right" readingOrder="0" vertical="top"/>
    </xf>
    <xf borderId="2095" fillId="121" fontId="76" numFmtId="0" xfId="0" applyAlignment="1" applyBorder="1" applyFont="1">
      <alignment horizontal="right" vertical="top"/>
    </xf>
    <xf borderId="2139" fillId="24" fontId="104" numFmtId="0" xfId="0" applyAlignment="1" applyBorder="1" applyFont="1">
      <alignment horizontal="center" readingOrder="0" vertical="center"/>
    </xf>
    <xf borderId="2140" fillId="24" fontId="104" numFmtId="0" xfId="0" applyAlignment="1" applyBorder="1" applyFont="1">
      <alignment horizontal="center" readingOrder="0" vertical="center"/>
    </xf>
    <xf borderId="2141" fillId="24" fontId="104" numFmtId="0" xfId="0" applyAlignment="1" applyBorder="1" applyFont="1">
      <alignment horizontal="left" readingOrder="0" vertical="center"/>
    </xf>
    <xf borderId="2142" fillId="24" fontId="104" numFmtId="0" xfId="0" applyAlignment="1" applyBorder="1" applyFont="1">
      <alignment horizontal="center" readingOrder="0" vertical="center"/>
    </xf>
    <xf borderId="253" fillId="24" fontId="104" numFmtId="0" xfId="0" applyAlignment="1" applyBorder="1" applyFont="1">
      <alignment horizontal="right" readingOrder="0" vertical="center"/>
    </xf>
    <xf borderId="256" fillId="24" fontId="104" numFmtId="0" xfId="0" applyAlignment="1" applyBorder="1" applyFont="1">
      <alignment horizontal="center" readingOrder="0" vertical="center"/>
    </xf>
    <xf borderId="2143" fillId="121" fontId="125" numFmtId="0" xfId="0" applyAlignment="1" applyBorder="1" applyFont="1">
      <alignment horizontal="center" vertical="center"/>
    </xf>
    <xf borderId="2144" fillId="121" fontId="76" numFmtId="0" xfId="0" applyAlignment="1" applyBorder="1" applyFont="1">
      <alignment horizontal="right" vertical="center"/>
    </xf>
    <xf borderId="2144" fillId="121" fontId="125" numFmtId="0" xfId="0" applyAlignment="1" applyBorder="1" applyFont="1">
      <alignment horizontal="center" vertical="center"/>
    </xf>
    <xf borderId="2144" fillId="121" fontId="110" numFmtId="0" xfId="0" applyAlignment="1" applyBorder="1" applyFont="1">
      <alignment horizontal="center" readingOrder="0" vertical="center"/>
    </xf>
    <xf borderId="2144" fillId="121" fontId="110" numFmtId="0" xfId="0" applyAlignment="1" applyBorder="1" applyFont="1">
      <alignment horizontal="center" vertical="center"/>
    </xf>
    <xf borderId="2145" fillId="121" fontId="110" numFmtId="0" xfId="0" applyAlignment="1" applyBorder="1" applyFont="1">
      <alignment horizontal="center" readingOrder="0" vertical="center"/>
    </xf>
    <xf borderId="2146" fillId="121" fontId="125" numFmtId="0" xfId="0" applyAlignment="1" applyBorder="1" applyFont="1">
      <alignment horizontal="center" vertical="center"/>
    </xf>
    <xf borderId="2147" fillId="122" fontId="125" numFmtId="0" xfId="0" applyAlignment="1" applyBorder="1" applyFill="1" applyFont="1">
      <alignment horizontal="center" vertical="center"/>
    </xf>
    <xf borderId="2148" fillId="122" fontId="74" numFmtId="0" xfId="0" applyAlignment="1" applyBorder="1" applyFont="1">
      <alignment horizontal="right" readingOrder="0" vertical="center"/>
    </xf>
    <xf borderId="2149" fillId="122" fontId="125" numFmtId="0" xfId="0" applyAlignment="1" applyBorder="1" applyFont="1">
      <alignment horizontal="center" vertical="center"/>
    </xf>
    <xf borderId="2150" fillId="122" fontId="125" numFmtId="0" xfId="0" applyAlignment="1" applyBorder="1" applyFont="1">
      <alignment horizontal="center" vertical="center"/>
    </xf>
    <xf borderId="2151" fillId="122" fontId="76" numFmtId="0" xfId="0" applyAlignment="1" applyBorder="1" applyFont="1">
      <alignment horizontal="right" vertical="center"/>
    </xf>
    <xf borderId="2151" fillId="122" fontId="125" numFmtId="0" xfId="0" applyAlignment="1" applyBorder="1" applyFont="1">
      <alignment horizontal="center" vertical="center"/>
    </xf>
    <xf borderId="2152" fillId="122" fontId="158" numFmtId="0" xfId="0" applyAlignment="1" applyBorder="1" applyFont="1">
      <alignment horizontal="left" readingOrder="0" vertical="center"/>
    </xf>
    <xf borderId="2153" fillId="0" fontId="4" numFmtId="0" xfId="0" applyBorder="1" applyFont="1"/>
    <xf borderId="2154" fillId="0" fontId="4" numFmtId="0" xfId="0" applyBorder="1" applyFont="1"/>
    <xf borderId="2155" fillId="122" fontId="125" numFmtId="0" xfId="0" applyAlignment="1" applyBorder="1" applyFont="1">
      <alignment horizontal="center" vertical="center"/>
    </xf>
    <xf borderId="2156" fillId="122" fontId="127" numFmtId="0" xfId="0" applyAlignment="1" applyBorder="1" applyFont="1">
      <alignment horizontal="center" vertical="center"/>
    </xf>
    <xf borderId="2153" fillId="122" fontId="110" numFmtId="0" xfId="0" applyAlignment="1" applyBorder="1" applyFont="1">
      <alignment horizontal="center" vertical="center"/>
    </xf>
    <xf borderId="2154" fillId="122" fontId="110" numFmtId="0" xfId="0" applyAlignment="1" applyBorder="1" applyFont="1">
      <alignment horizontal="center" vertical="center"/>
    </xf>
    <xf borderId="969" fillId="123" fontId="119" numFmtId="0" xfId="0" applyAlignment="1" applyBorder="1" applyFill="1" applyFont="1">
      <alignment horizontal="center" vertical="center"/>
    </xf>
    <xf borderId="2157" fillId="122" fontId="110" numFmtId="0" xfId="0" applyAlignment="1" applyBorder="1" applyFont="1">
      <alignment horizontal="center" vertical="center"/>
    </xf>
    <xf borderId="2157" fillId="122" fontId="125" numFmtId="0" xfId="0" applyAlignment="1" applyBorder="1" applyFont="1">
      <alignment horizontal="center" vertical="center"/>
    </xf>
    <xf borderId="2156" fillId="122" fontId="125" numFmtId="0" xfId="0" applyAlignment="1" applyBorder="1" applyFont="1">
      <alignment horizontal="center" vertical="center"/>
    </xf>
    <xf borderId="2158" fillId="0" fontId="4" numFmtId="0" xfId="0" applyBorder="1" applyFont="1"/>
    <xf borderId="2159" fillId="0" fontId="4" numFmtId="0" xfId="0" applyBorder="1" applyFont="1"/>
    <xf borderId="2150" fillId="122" fontId="110" numFmtId="0" xfId="0" applyAlignment="1" applyBorder="1" applyFont="1">
      <alignment horizontal="center" vertical="center"/>
    </xf>
    <xf borderId="1629" fillId="122" fontId="76" numFmtId="0" xfId="0" applyAlignment="1" applyBorder="1" applyFont="1">
      <alignment horizontal="right" readingOrder="0" vertical="center"/>
    </xf>
    <xf borderId="2156" fillId="122" fontId="110" numFmtId="0" xfId="0" applyAlignment="1" applyBorder="1" applyFont="1">
      <alignment horizontal="center" readingOrder="0" vertical="center"/>
    </xf>
    <xf borderId="2160" fillId="0" fontId="4" numFmtId="0" xfId="0" applyBorder="1" applyFont="1"/>
    <xf borderId="2161" fillId="124" fontId="112" numFmtId="0" xfId="0" applyAlignment="1" applyBorder="1" applyFill="1" applyFont="1">
      <alignment horizontal="center" readingOrder="0" vertical="center"/>
    </xf>
    <xf borderId="2162" fillId="0" fontId="4" numFmtId="0" xfId="0" applyBorder="1" applyFont="1"/>
    <xf borderId="2163" fillId="0" fontId="4" numFmtId="0" xfId="0" applyBorder="1" applyFont="1"/>
    <xf borderId="2164" fillId="0" fontId="4" numFmtId="0" xfId="0" applyBorder="1" applyFont="1"/>
    <xf borderId="2151" fillId="122" fontId="110" numFmtId="0" xfId="0" applyAlignment="1" applyBorder="1" applyFont="1">
      <alignment horizontal="center" vertical="center"/>
    </xf>
    <xf borderId="2155" fillId="122" fontId="110" numFmtId="0" xfId="0" applyAlignment="1" applyBorder="1" applyFont="1">
      <alignment horizontal="center" vertical="center"/>
    </xf>
    <xf borderId="2150" fillId="122" fontId="129" numFmtId="0" xfId="0" applyAlignment="1" applyBorder="1" applyFont="1">
      <alignment horizontal="center" vertical="center"/>
    </xf>
    <xf borderId="2156" fillId="122" fontId="129" numFmtId="0" xfId="0" applyAlignment="1" applyBorder="1" applyFont="1">
      <alignment horizontal="center" readingOrder="0" vertical="center"/>
    </xf>
    <xf borderId="2165" fillId="124" fontId="114" numFmtId="0" xfId="0" applyAlignment="1" applyBorder="1" applyFont="1">
      <alignment horizontal="center" readingOrder="0" vertical="top"/>
    </xf>
    <xf borderId="2166" fillId="0" fontId="4" numFmtId="0" xfId="0" applyBorder="1" applyFont="1"/>
    <xf borderId="2167" fillId="0" fontId="4" numFmtId="0" xfId="0" applyBorder="1" applyFont="1"/>
    <xf borderId="2156" fillId="122" fontId="129" numFmtId="0" xfId="0" applyAlignment="1" applyBorder="1" applyFont="1">
      <alignment horizontal="center" vertical="center"/>
    </xf>
    <xf borderId="2155" fillId="122" fontId="129" numFmtId="0" xfId="0" applyAlignment="1" applyBorder="1" applyFont="1">
      <alignment horizontal="center" vertical="center"/>
    </xf>
    <xf borderId="2168" fillId="124" fontId="110" numFmtId="0" xfId="0" applyAlignment="1" applyBorder="1" applyFont="1">
      <alignment horizontal="center" vertical="center"/>
    </xf>
    <xf borderId="2169" fillId="124" fontId="110" numFmtId="0" xfId="0" applyAlignment="1" applyBorder="1" applyFont="1">
      <alignment horizontal="right" vertical="top"/>
    </xf>
    <xf borderId="2169" fillId="124" fontId="110" numFmtId="0" xfId="0" applyAlignment="1" applyBorder="1" applyFont="1">
      <alignment horizontal="left" vertical="top"/>
    </xf>
    <xf borderId="2170" fillId="124" fontId="110" numFmtId="0" xfId="0" applyAlignment="1" applyBorder="1" applyFont="1">
      <alignment horizontal="center" vertical="top"/>
    </xf>
    <xf borderId="2171" fillId="124" fontId="110" numFmtId="0" xfId="0" applyAlignment="1" applyBorder="1" applyFont="1">
      <alignment horizontal="center" vertical="top"/>
    </xf>
    <xf borderId="2172" fillId="0" fontId="4" numFmtId="0" xfId="0" applyBorder="1" applyFont="1"/>
    <xf borderId="2173" fillId="124" fontId="110" numFmtId="0" xfId="0" applyAlignment="1" applyBorder="1" applyFont="1">
      <alignment horizontal="center" vertical="center"/>
    </xf>
    <xf borderId="2174" fillId="124" fontId="110" numFmtId="0" xfId="0" applyAlignment="1" applyBorder="1" applyFont="1">
      <alignment horizontal="center" vertical="top"/>
    </xf>
    <xf borderId="2175" fillId="124" fontId="110" numFmtId="0" xfId="0" applyAlignment="1" applyBorder="1" applyFont="1">
      <alignment horizontal="center" vertical="top"/>
    </xf>
    <xf borderId="2176" fillId="124" fontId="110" numFmtId="0" xfId="0" applyAlignment="1" applyBorder="1" applyFont="1">
      <alignment horizontal="center" readingOrder="0" vertical="center"/>
    </xf>
    <xf borderId="2177" fillId="0" fontId="4" numFmtId="0" xfId="0" applyBorder="1" applyFont="1"/>
    <xf borderId="2178" fillId="0" fontId="4" numFmtId="0" xfId="0" applyBorder="1" applyFont="1"/>
    <xf borderId="2179" fillId="124" fontId="110" numFmtId="0" xfId="0" applyAlignment="1" applyBorder="1" applyFont="1">
      <alignment horizontal="center" readingOrder="0" vertical="center"/>
    </xf>
    <xf borderId="2180" fillId="0" fontId="4" numFmtId="0" xfId="0" applyBorder="1" applyFont="1"/>
    <xf borderId="2181" fillId="0" fontId="4" numFmtId="0" xfId="0" applyBorder="1" applyFont="1"/>
    <xf borderId="2151" fillId="122" fontId="76" numFmtId="0" xfId="0" applyAlignment="1" applyBorder="1" applyFont="1">
      <alignment horizontal="right"/>
    </xf>
    <xf borderId="2182" fillId="124" fontId="110" numFmtId="0" xfId="0" applyAlignment="1" applyBorder="1" applyFont="1">
      <alignment horizontal="center" readingOrder="0" vertical="center"/>
    </xf>
    <xf borderId="2183" fillId="0" fontId="4" numFmtId="0" xfId="0" applyBorder="1" applyFont="1"/>
    <xf borderId="2184" fillId="0" fontId="4" numFmtId="0" xfId="0" applyBorder="1" applyFont="1"/>
    <xf borderId="2185" fillId="124" fontId="110" numFmtId="0" xfId="0" applyAlignment="1" applyBorder="1" applyFont="1">
      <alignment horizontal="center" readingOrder="0" vertical="center"/>
    </xf>
    <xf borderId="2186" fillId="0" fontId="4" numFmtId="0" xfId="0" applyBorder="1" applyFont="1"/>
    <xf borderId="2178" fillId="124" fontId="110" numFmtId="0" xfId="0" applyAlignment="1" applyBorder="1" applyFont="1">
      <alignment horizontal="center" readingOrder="0" vertical="center"/>
    </xf>
    <xf borderId="2187" fillId="0" fontId="4" numFmtId="0" xfId="0" applyBorder="1" applyFont="1"/>
    <xf borderId="2181" fillId="124" fontId="110" numFmtId="0" xfId="0" applyAlignment="1" applyBorder="1" applyFont="1">
      <alignment horizontal="center" readingOrder="0" vertical="center"/>
    </xf>
    <xf borderId="2188" fillId="0" fontId="4" numFmtId="0" xfId="0" applyBorder="1" applyFont="1"/>
    <xf borderId="2189" fillId="0" fontId="4" numFmtId="0" xfId="0" applyBorder="1" applyFont="1"/>
    <xf borderId="2190" fillId="124" fontId="110" numFmtId="0" xfId="0" applyAlignment="1" applyBorder="1" applyFont="1">
      <alignment horizontal="center" readingOrder="0" vertical="center"/>
    </xf>
    <xf borderId="2191" fillId="0" fontId="4" numFmtId="0" xfId="0" applyBorder="1" applyFont="1"/>
    <xf borderId="2192" fillId="0" fontId="4" numFmtId="0" xfId="0" applyBorder="1" applyFont="1"/>
    <xf borderId="2193" fillId="124" fontId="110" numFmtId="0" xfId="0" applyAlignment="1" applyBorder="1" applyFont="1">
      <alignment horizontal="center" readingOrder="0" vertical="center"/>
    </xf>
    <xf borderId="2148" fillId="0" fontId="4" numFmtId="0" xfId="0" applyBorder="1" applyFont="1"/>
    <xf borderId="2150" fillId="122" fontId="124" numFmtId="0" xfId="0" applyAlignment="1" applyBorder="1" applyFont="1">
      <alignment horizontal="center" vertical="center"/>
    </xf>
    <xf borderId="2151" fillId="122" fontId="74" numFmtId="0" xfId="0" applyAlignment="1" applyBorder="1" applyFont="1">
      <alignment horizontal="right" vertical="center"/>
    </xf>
    <xf borderId="2151" fillId="122" fontId="131" numFmtId="0" xfId="0" applyAlignment="1" applyBorder="1" applyFont="1">
      <alignment horizontal="center" vertical="center"/>
    </xf>
    <xf borderId="2164" fillId="122" fontId="131" numFmtId="0" xfId="0" applyAlignment="1" applyBorder="1" applyFont="1">
      <alignment horizontal="center" vertical="top"/>
    </xf>
    <xf borderId="2151" fillId="122" fontId="131" numFmtId="0" xfId="0" applyAlignment="1" applyBorder="1" applyFont="1">
      <alignment horizontal="center" vertical="top"/>
    </xf>
    <xf borderId="2157" fillId="122" fontId="131" numFmtId="0" xfId="0" applyAlignment="1" applyBorder="1" applyFont="1">
      <alignment horizontal="center" vertical="top"/>
    </xf>
    <xf borderId="2157" fillId="122" fontId="131" numFmtId="0" xfId="0" applyAlignment="1" applyBorder="1" applyFont="1">
      <alignment horizontal="center" vertical="center"/>
    </xf>
    <xf borderId="2157" fillId="122" fontId="109" numFmtId="0" xfId="0" applyAlignment="1" applyBorder="1" applyFont="1">
      <alignment horizontal="center" vertical="center"/>
    </xf>
    <xf borderId="2151" fillId="122" fontId="132" numFmtId="0" xfId="0" applyAlignment="1" applyBorder="1" applyFont="1">
      <alignment horizontal="center" vertical="center"/>
    </xf>
    <xf borderId="2155" fillId="122" fontId="124" numFmtId="0" xfId="0" applyAlignment="1" applyBorder="1" applyFont="1">
      <alignment horizontal="center" vertical="center"/>
    </xf>
    <xf borderId="1799" fillId="113" fontId="105" numFmtId="0" xfId="0" applyAlignment="1" applyBorder="1" applyFont="1">
      <alignment horizontal="center" readingOrder="0" vertical="center"/>
    </xf>
    <xf borderId="2150" fillId="122" fontId="154" numFmtId="0" xfId="0" applyAlignment="1" applyBorder="1" applyFont="1">
      <alignment horizontal="center" vertical="center"/>
    </xf>
    <xf borderId="2151" fillId="122" fontId="116" numFmtId="0" xfId="0" applyAlignment="1" applyBorder="1" applyFont="1">
      <alignment horizontal="right" vertical="center"/>
    </xf>
    <xf borderId="2156" fillId="122" fontId="105" numFmtId="0" xfId="0" applyAlignment="1" applyBorder="1" applyFont="1">
      <alignment horizontal="center" vertical="center"/>
    </xf>
    <xf borderId="2151" fillId="122" fontId="105" numFmtId="0" xfId="0" applyAlignment="1" applyBorder="1" applyFont="1">
      <alignment horizontal="center" vertical="center"/>
    </xf>
    <xf borderId="237" fillId="123" fontId="104" numFmtId="0" xfId="0" applyAlignment="1" applyBorder="1" applyFont="1">
      <alignment horizontal="center" readingOrder="0" vertical="top"/>
    </xf>
    <xf borderId="240" fillId="123" fontId="104" numFmtId="0" xfId="0" applyAlignment="1" applyBorder="1" applyFont="1">
      <alignment horizontal="center" readingOrder="0" vertical="top"/>
    </xf>
    <xf borderId="2156" fillId="122" fontId="105" numFmtId="0" xfId="0" applyAlignment="1" applyBorder="1" applyFont="1">
      <alignment horizontal="center" vertical="top"/>
    </xf>
    <xf borderId="2156" fillId="122" fontId="154" numFmtId="0" xfId="0" applyAlignment="1" applyBorder="1" applyFont="1">
      <alignment horizontal="center" vertical="center"/>
    </xf>
    <xf borderId="2151" fillId="122" fontId="154" numFmtId="0" xfId="0" applyAlignment="1" applyBorder="1" applyFont="1">
      <alignment horizontal="center" vertical="center"/>
    </xf>
    <xf borderId="2151" fillId="122" fontId="159" numFmtId="0" xfId="0" applyAlignment="1" applyBorder="1" applyFont="1">
      <alignment horizontal="right" readingOrder="0" vertical="bottom"/>
    </xf>
    <xf borderId="2151" fillId="122" fontId="159" numFmtId="0" xfId="0" applyAlignment="1" applyBorder="1" applyFont="1">
      <alignment horizontal="right" readingOrder="0" vertical="center"/>
    </xf>
    <xf borderId="2155" fillId="122" fontId="154" numFmtId="0" xfId="0" applyAlignment="1" applyBorder="1" applyFont="1">
      <alignment horizontal="center" vertical="center"/>
    </xf>
    <xf borderId="1804" fillId="113" fontId="154" numFmtId="0" xfId="0" applyAlignment="1" applyBorder="1" applyFont="1">
      <alignment horizontal="center" vertical="center"/>
    </xf>
    <xf borderId="2194" fillId="123" fontId="104" numFmtId="0" xfId="0" applyAlignment="1" applyBorder="1" applyFont="1">
      <alignment horizontal="center" readingOrder="0" vertical="center"/>
    </xf>
    <xf borderId="2195" fillId="123" fontId="104" numFmtId="0" xfId="0" applyAlignment="1" applyBorder="1" applyFont="1">
      <alignment horizontal="center" readingOrder="0" vertical="center"/>
    </xf>
    <xf borderId="2196" fillId="123" fontId="104" numFmtId="0" xfId="0" applyAlignment="1" applyBorder="1" applyFont="1">
      <alignment horizontal="left" readingOrder="0" vertical="center"/>
    </xf>
    <xf borderId="2197" fillId="123" fontId="104" numFmtId="0" xfId="0" applyAlignment="1" applyBorder="1" applyFont="1">
      <alignment horizontal="center" readingOrder="0" vertical="center"/>
    </xf>
    <xf borderId="2151" fillId="122" fontId="116" numFmtId="0" xfId="0" applyAlignment="1" applyBorder="1" applyFont="1">
      <alignment horizontal="right" readingOrder="0" vertical="top"/>
    </xf>
    <xf borderId="2198" fillId="123" fontId="104" numFmtId="0" xfId="0" applyAlignment="1" applyBorder="1" applyFont="1">
      <alignment horizontal="center" readingOrder="0" vertical="center"/>
    </xf>
    <xf borderId="2199" fillId="123" fontId="104" numFmtId="0" xfId="0" applyAlignment="1" applyBorder="1" applyFont="1">
      <alignment horizontal="center" readingOrder="0" vertical="center"/>
    </xf>
    <xf borderId="2200" fillId="123" fontId="104" numFmtId="0" xfId="0" applyAlignment="1" applyBorder="1" applyFont="1">
      <alignment horizontal="left" readingOrder="0" vertical="center"/>
    </xf>
    <xf borderId="2201" fillId="123" fontId="104" numFmtId="0" xfId="0" applyAlignment="1" applyBorder="1" applyFont="1">
      <alignment horizontal="center" readingOrder="0" vertical="center"/>
    </xf>
    <xf borderId="2157" fillId="122" fontId="159" numFmtId="0" xfId="0" applyAlignment="1" applyBorder="1" applyFont="1">
      <alignment horizontal="right" vertical="top"/>
    </xf>
    <xf borderId="2157" fillId="122" fontId="159" numFmtId="0" xfId="0" applyAlignment="1" applyBorder="1" applyFont="1">
      <alignment horizontal="right" vertical="center"/>
    </xf>
    <xf borderId="2202" fillId="123" fontId="104" numFmtId="0" xfId="0" applyAlignment="1" applyBorder="1" applyFont="1">
      <alignment horizontal="center" readingOrder="0" vertical="center"/>
    </xf>
    <xf borderId="2203" fillId="123" fontId="104" numFmtId="0" xfId="0" applyAlignment="1" applyBorder="1" applyFont="1">
      <alignment horizontal="center" readingOrder="0" vertical="center"/>
    </xf>
    <xf borderId="2204" fillId="123" fontId="104" numFmtId="0" xfId="0" applyAlignment="1" applyBorder="1" applyFont="1">
      <alignment horizontal="left" readingOrder="0" vertical="center"/>
    </xf>
    <xf borderId="2205" fillId="123" fontId="104" numFmtId="0" xfId="0" applyAlignment="1" applyBorder="1" applyFont="1">
      <alignment horizontal="center" readingOrder="0" vertical="center"/>
    </xf>
    <xf borderId="253" fillId="123" fontId="104" numFmtId="0" xfId="0" applyAlignment="1" applyBorder="1" applyFont="1">
      <alignment horizontal="right" readingOrder="0" vertical="center"/>
    </xf>
    <xf borderId="256" fillId="123" fontId="104" numFmtId="0" xfId="0" applyAlignment="1" applyBorder="1" applyFont="1">
      <alignment horizontal="center" readingOrder="0" vertical="center"/>
    </xf>
    <xf borderId="2206" fillId="122" fontId="125" numFmtId="0" xfId="0" applyAlignment="1" applyBorder="1" applyFont="1">
      <alignment horizontal="center" vertical="center"/>
    </xf>
    <xf borderId="2207" fillId="122" fontId="76" numFmtId="0" xfId="0" applyAlignment="1" applyBorder="1" applyFont="1">
      <alignment horizontal="right" vertical="top"/>
    </xf>
    <xf borderId="2207" fillId="122" fontId="125" numFmtId="0" xfId="0" applyAlignment="1" applyBorder="1" applyFont="1">
      <alignment horizontal="center" vertical="center"/>
    </xf>
    <xf borderId="2208" fillId="122" fontId="110" numFmtId="0" xfId="0" applyAlignment="1" applyBorder="1" applyFont="1">
      <alignment horizontal="center" readingOrder="0" vertical="center"/>
    </xf>
    <xf borderId="2207" fillId="122" fontId="110" numFmtId="0" xfId="0" applyAlignment="1" applyBorder="1" applyFont="1">
      <alignment horizontal="center" vertical="center"/>
    </xf>
    <xf borderId="2207" fillId="122" fontId="110" numFmtId="0" xfId="0" applyAlignment="1" applyBorder="1" applyFont="1">
      <alignment horizontal="center" vertical="center"/>
    </xf>
    <xf borderId="2207" fillId="122" fontId="110" numFmtId="0" xfId="0" applyAlignment="1" applyBorder="1" applyFont="1">
      <alignment horizontal="center" readingOrder="0" vertical="center"/>
    </xf>
    <xf borderId="2209" fillId="122" fontId="125" numFmtId="0" xfId="0" applyAlignment="1" applyBorder="1" applyFont="1">
      <alignment horizontal="center" vertical="center"/>
    </xf>
    <xf borderId="2210" fillId="125" fontId="125" numFmtId="0" xfId="0" applyAlignment="1" applyBorder="1" applyFill="1" applyFont="1">
      <alignment horizontal="center" vertical="center"/>
    </xf>
    <xf borderId="2211" fillId="125" fontId="74" numFmtId="0" xfId="0" applyAlignment="1" applyBorder="1" applyFont="1">
      <alignment horizontal="right" readingOrder="0" vertical="center"/>
    </xf>
    <xf borderId="2212" fillId="125" fontId="125" numFmtId="0" xfId="0" applyAlignment="1" applyBorder="1" applyFont="1">
      <alignment horizontal="center" vertical="center"/>
    </xf>
    <xf borderId="2213" fillId="125" fontId="125" numFmtId="0" xfId="0" applyAlignment="1" applyBorder="1" applyFont="1">
      <alignment horizontal="center" vertical="center"/>
    </xf>
    <xf borderId="2214" fillId="125" fontId="76" numFmtId="0" xfId="0" applyAlignment="1" applyBorder="1" applyFont="1">
      <alignment horizontal="right" vertical="center"/>
    </xf>
    <xf borderId="2214" fillId="125" fontId="125" numFmtId="0" xfId="0" applyAlignment="1" applyBorder="1" applyFont="1">
      <alignment horizontal="center" vertical="center"/>
    </xf>
    <xf borderId="2215" fillId="125" fontId="160" numFmtId="0" xfId="0" applyAlignment="1" applyBorder="1" applyFont="1">
      <alignment horizontal="left" readingOrder="0" vertical="center"/>
    </xf>
    <xf borderId="2216" fillId="0" fontId="4" numFmtId="0" xfId="0" applyBorder="1" applyFont="1"/>
    <xf borderId="2217" fillId="0" fontId="4" numFmtId="0" xfId="0" applyBorder="1" applyFont="1"/>
    <xf borderId="2218" fillId="125" fontId="125" numFmtId="0" xfId="0" applyAlignment="1" applyBorder="1" applyFont="1">
      <alignment horizontal="center" vertical="center"/>
    </xf>
    <xf borderId="189" fillId="126" fontId="76" numFmtId="0" xfId="0" applyAlignment="1" applyBorder="1" applyFill="1" applyFont="1">
      <alignment horizontal="center" vertical="center"/>
    </xf>
    <xf borderId="2214" fillId="125" fontId="127" numFmtId="0" xfId="0" applyAlignment="1" applyBorder="1" applyFont="1">
      <alignment horizontal="center" vertical="center"/>
    </xf>
    <xf borderId="969" fillId="28" fontId="119" numFmtId="0" xfId="0" applyAlignment="1" applyBorder="1" applyFont="1">
      <alignment horizontal="center" vertical="center"/>
    </xf>
    <xf borderId="2219" fillId="125" fontId="110" numFmtId="0" xfId="0" applyAlignment="1" applyBorder="1" applyFont="1">
      <alignment horizontal="center" vertical="center"/>
    </xf>
    <xf borderId="969" fillId="127" fontId="119" numFmtId="0" xfId="0" applyAlignment="1" applyBorder="1" applyFill="1" applyFont="1">
      <alignment horizontal="center" vertical="center"/>
    </xf>
    <xf borderId="2219" fillId="125" fontId="125" numFmtId="0" xfId="0" applyAlignment="1" applyBorder="1" applyFont="1">
      <alignment horizontal="center" vertical="center"/>
    </xf>
    <xf borderId="2215" fillId="125" fontId="125" numFmtId="0" xfId="0" applyAlignment="1" applyBorder="1" applyFont="1">
      <alignment horizontal="center" vertical="center"/>
    </xf>
    <xf borderId="2213" fillId="125" fontId="110" numFmtId="0" xfId="0" applyAlignment="1" applyBorder="1" applyFont="1">
      <alignment horizontal="center" vertical="center"/>
    </xf>
    <xf borderId="1629" fillId="128" fontId="76" numFmtId="0" xfId="0" applyAlignment="1" applyBorder="1" applyFill="1" applyFont="1">
      <alignment horizontal="right" readingOrder="0" vertical="center"/>
    </xf>
    <xf borderId="2214" fillId="125" fontId="110" numFmtId="0" xfId="0" applyAlignment="1" applyBorder="1" applyFont="1">
      <alignment horizontal="center" readingOrder="0" vertical="center"/>
    </xf>
    <xf borderId="2220" fillId="128" fontId="112" numFmtId="0" xfId="0" applyAlignment="1" applyBorder="1" applyFont="1">
      <alignment horizontal="center" readingOrder="0" vertical="center"/>
    </xf>
    <xf borderId="2221" fillId="0" fontId="4" numFmtId="0" xfId="0" applyBorder="1" applyFont="1"/>
    <xf borderId="2222" fillId="0" fontId="4" numFmtId="0" xfId="0" applyBorder="1" applyFont="1"/>
    <xf borderId="2223" fillId="0" fontId="4" numFmtId="0" xfId="0" applyBorder="1" applyFont="1"/>
    <xf borderId="2224" fillId="125" fontId="112" numFmtId="0" xfId="0" applyAlignment="1" applyBorder="1" applyFont="1">
      <alignment horizontal="center" readingOrder="0" vertical="center"/>
    </xf>
    <xf borderId="2225" fillId="0" fontId="4" numFmtId="0" xfId="0" applyBorder="1" applyFont="1"/>
    <xf borderId="2226" fillId="0" fontId="4" numFmtId="0" xfId="0" applyBorder="1" applyFont="1"/>
    <xf borderId="2214" fillId="125" fontId="110" numFmtId="0" xfId="0" applyAlignment="1" applyBorder="1" applyFont="1">
      <alignment horizontal="center" vertical="center"/>
    </xf>
    <xf borderId="2218" fillId="125" fontId="110" numFmtId="0" xfId="0" applyAlignment="1" applyBorder="1" applyFont="1">
      <alignment horizontal="center" vertical="center"/>
    </xf>
    <xf borderId="2213" fillId="125" fontId="129" numFmtId="0" xfId="0" applyAlignment="1" applyBorder="1" applyFont="1">
      <alignment horizontal="center" vertical="center"/>
    </xf>
    <xf borderId="2214" fillId="125" fontId="129" numFmtId="0" xfId="0" applyAlignment="1" applyBorder="1" applyFont="1">
      <alignment horizontal="center" readingOrder="0" vertical="center"/>
    </xf>
    <xf borderId="2227" fillId="128" fontId="114" numFmtId="0" xfId="0" applyAlignment="1" applyBorder="1" applyFont="1">
      <alignment horizontal="center" readingOrder="0" vertical="top"/>
    </xf>
    <xf borderId="2228" fillId="0" fontId="4" numFmtId="0" xfId="0" applyBorder="1" applyFont="1"/>
    <xf borderId="2229" fillId="0" fontId="4" numFmtId="0" xfId="0" applyBorder="1" applyFont="1"/>
    <xf borderId="2230" fillId="125" fontId="114" numFmtId="0" xfId="0" applyAlignment="1" applyBorder="1" applyFont="1">
      <alignment horizontal="center" readingOrder="0" vertical="top"/>
    </xf>
    <xf borderId="2231" fillId="0" fontId="4" numFmtId="0" xfId="0" applyBorder="1" applyFont="1"/>
    <xf borderId="2232" fillId="0" fontId="4" numFmtId="0" xfId="0" applyBorder="1" applyFont="1"/>
    <xf borderId="2215" fillId="125" fontId="129" numFmtId="0" xfId="0" applyAlignment="1" applyBorder="1" applyFont="1">
      <alignment horizontal="center" readingOrder="0" vertical="center"/>
    </xf>
    <xf borderId="2218" fillId="125" fontId="129" numFmtId="0" xfId="0" applyAlignment="1" applyBorder="1" applyFont="1">
      <alignment horizontal="center" vertical="center"/>
    </xf>
    <xf borderId="2233" fillId="128" fontId="110" numFmtId="0" xfId="0" applyAlignment="1" applyBorder="1" applyFont="1">
      <alignment horizontal="center" vertical="center"/>
    </xf>
    <xf borderId="2234" fillId="128" fontId="110" numFmtId="0" xfId="0" applyAlignment="1" applyBorder="1" applyFont="1">
      <alignment horizontal="right" vertical="top"/>
    </xf>
    <xf borderId="2234" fillId="128" fontId="110" numFmtId="0" xfId="0" applyAlignment="1" applyBorder="1" applyFont="1">
      <alignment horizontal="left" vertical="top"/>
    </xf>
    <xf borderId="2235" fillId="128" fontId="110" numFmtId="0" xfId="0" applyAlignment="1" applyBorder="1" applyFont="1">
      <alignment horizontal="center" vertical="top"/>
    </xf>
    <xf borderId="2236" fillId="128" fontId="110" numFmtId="0" xfId="0" applyAlignment="1" applyBorder="1" applyFont="1">
      <alignment horizontal="center" vertical="top"/>
    </xf>
    <xf borderId="2237" fillId="0" fontId="4" numFmtId="0" xfId="0" applyBorder="1" applyFont="1"/>
    <xf borderId="2238" fillId="125" fontId="110" numFmtId="0" xfId="0" applyAlignment="1" applyBorder="1" applyFont="1">
      <alignment horizontal="center" vertical="center"/>
    </xf>
    <xf borderId="2239" fillId="125" fontId="110" numFmtId="0" xfId="0" applyAlignment="1" applyBorder="1" applyFont="1">
      <alignment horizontal="right" vertical="top"/>
    </xf>
    <xf borderId="2239" fillId="125" fontId="110" numFmtId="0" xfId="0" applyAlignment="1" applyBorder="1" applyFont="1">
      <alignment horizontal="left" vertical="top"/>
    </xf>
    <xf borderId="2240" fillId="125" fontId="110" numFmtId="0" xfId="0" applyAlignment="1" applyBorder="1" applyFont="1">
      <alignment horizontal="center" vertical="top"/>
    </xf>
    <xf borderId="2215" fillId="125" fontId="125" numFmtId="0" xfId="0" applyAlignment="1" applyBorder="1" applyFont="1">
      <alignment horizontal="center" readingOrder="0" vertical="center"/>
    </xf>
    <xf borderId="2241" fillId="128" fontId="110" numFmtId="0" xfId="0" applyAlignment="1" applyBorder="1" applyFont="1">
      <alignment horizontal="center" vertical="center"/>
    </xf>
    <xf borderId="2242" fillId="128" fontId="110" numFmtId="0" xfId="0" applyAlignment="1" applyBorder="1" applyFont="1">
      <alignment horizontal="center" vertical="top"/>
    </xf>
    <xf borderId="2243" fillId="128" fontId="110" numFmtId="0" xfId="0" applyAlignment="1" applyBorder="1" applyFont="1">
      <alignment horizontal="center" vertical="top"/>
    </xf>
    <xf borderId="2244" fillId="125" fontId="110" numFmtId="0" xfId="0" applyAlignment="1" applyBorder="1" applyFont="1">
      <alignment horizontal="center" vertical="center"/>
    </xf>
    <xf borderId="2245" fillId="125" fontId="110" numFmtId="0" xfId="0" applyAlignment="1" applyBorder="1" applyFont="1">
      <alignment horizontal="center" vertical="top"/>
    </xf>
    <xf borderId="2246" fillId="125" fontId="110" numFmtId="0" xfId="0" applyAlignment="1" applyBorder="1" applyFont="1">
      <alignment horizontal="center" vertical="top"/>
    </xf>
    <xf borderId="2247" fillId="128" fontId="110" numFmtId="0" xfId="0" applyAlignment="1" applyBorder="1" applyFont="1">
      <alignment horizontal="center" readingOrder="0" vertical="center"/>
    </xf>
    <xf borderId="2248" fillId="0" fontId="4" numFmtId="0" xfId="0" applyBorder="1" applyFont="1"/>
    <xf borderId="2249" fillId="0" fontId="4" numFmtId="0" xfId="0" applyBorder="1" applyFont="1"/>
    <xf borderId="2250" fillId="125" fontId="110" numFmtId="0" xfId="0" applyAlignment="1" applyBorder="1" applyFont="1">
      <alignment horizontal="center" readingOrder="0" vertical="center"/>
    </xf>
    <xf borderId="2251" fillId="0" fontId="4" numFmtId="0" xfId="0" applyBorder="1" applyFont="1"/>
    <xf borderId="2252" fillId="0" fontId="4" numFmtId="0" xfId="0" applyBorder="1" applyFont="1"/>
    <xf borderId="2253" fillId="128" fontId="110" numFmtId="0" xfId="0" applyAlignment="1" applyBorder="1" applyFont="1">
      <alignment horizontal="center" readingOrder="0" vertical="center"/>
    </xf>
    <xf borderId="2254" fillId="0" fontId="4" numFmtId="0" xfId="0" applyBorder="1" applyFont="1"/>
    <xf borderId="2255" fillId="0" fontId="4" numFmtId="0" xfId="0" applyBorder="1" applyFont="1"/>
    <xf borderId="2256" fillId="125" fontId="110" numFmtId="0" xfId="0" applyAlignment="1" applyBorder="1" applyFont="1">
      <alignment horizontal="center" readingOrder="0" vertical="center"/>
    </xf>
    <xf borderId="2257" fillId="0" fontId="4" numFmtId="0" xfId="0" applyBorder="1" applyFont="1"/>
    <xf borderId="2214" fillId="125" fontId="76" numFmtId="0" xfId="0" applyAlignment="1" applyBorder="1" applyFont="1">
      <alignment horizontal="right"/>
    </xf>
    <xf borderId="2258" fillId="128" fontId="110" numFmtId="0" xfId="0" applyAlignment="1" applyBorder="1" applyFont="1">
      <alignment horizontal="center" readingOrder="0" vertical="center"/>
    </xf>
    <xf borderId="2259" fillId="0" fontId="4" numFmtId="0" xfId="0" applyBorder="1" applyFont="1"/>
    <xf borderId="2260" fillId="0" fontId="4" numFmtId="0" xfId="0" applyBorder="1" applyFont="1"/>
    <xf borderId="2261" fillId="128" fontId="110" numFmtId="0" xfId="0" applyAlignment="1" applyBorder="1" applyFont="1">
      <alignment horizontal="center" readingOrder="0" vertical="center"/>
    </xf>
    <xf borderId="2262" fillId="125" fontId="110" numFmtId="0" xfId="0" applyAlignment="1" applyBorder="1" applyFont="1">
      <alignment horizontal="center" readingOrder="0" vertical="center"/>
    </xf>
    <xf borderId="2263" fillId="0" fontId="4" numFmtId="0" xfId="0" applyBorder="1" applyFont="1"/>
    <xf borderId="2264" fillId="0" fontId="4" numFmtId="0" xfId="0" applyBorder="1" applyFont="1"/>
    <xf borderId="2265" fillId="125" fontId="110" numFmtId="0" xfId="0" applyAlignment="1" applyBorder="1" applyFont="1">
      <alignment horizontal="center" readingOrder="0" vertical="center"/>
    </xf>
    <xf borderId="2266" fillId="0" fontId="4" numFmtId="0" xfId="0" applyBorder="1" applyFont="1"/>
    <xf borderId="2249" fillId="128" fontId="110" numFmtId="0" xfId="0" applyAlignment="1" applyBorder="1" applyFont="1">
      <alignment horizontal="center" readingOrder="0" vertical="center"/>
    </xf>
    <xf borderId="2267" fillId="0" fontId="4" numFmtId="0" xfId="0" applyBorder="1" applyFont="1"/>
    <xf borderId="2252" fillId="125" fontId="110" numFmtId="0" xfId="0" applyAlignment="1" applyBorder="1" applyFont="1">
      <alignment horizontal="center" readingOrder="0" vertical="center"/>
    </xf>
    <xf borderId="2268" fillId="0" fontId="4" numFmtId="0" xfId="0" applyBorder="1" applyFont="1"/>
    <xf borderId="2255" fillId="128" fontId="110" numFmtId="0" xfId="0" applyAlignment="1" applyBorder="1" applyFont="1">
      <alignment horizontal="center" readingOrder="0" vertical="center"/>
    </xf>
    <xf borderId="2257" fillId="125" fontId="110" numFmtId="0" xfId="0" applyAlignment="1" applyBorder="1" applyFont="1">
      <alignment horizontal="center" readingOrder="0" vertical="center"/>
    </xf>
    <xf borderId="2269" fillId="128" fontId="110" numFmtId="0" xfId="0" applyAlignment="1" applyBorder="1" applyFont="1">
      <alignment horizontal="center" readingOrder="0" vertical="center"/>
    </xf>
    <xf borderId="2270" fillId="0" fontId="4" numFmtId="0" xfId="0" applyBorder="1" applyFont="1"/>
    <xf borderId="2271" fillId="0" fontId="4" numFmtId="0" xfId="0" applyBorder="1" applyFont="1"/>
    <xf borderId="2272" fillId="128" fontId="110" numFmtId="0" xfId="0" applyAlignment="1" applyBorder="1" applyFont="1">
      <alignment horizontal="center" readingOrder="0" vertical="center"/>
    </xf>
    <xf borderId="2211" fillId="0" fontId="4" numFmtId="0" xfId="0" applyBorder="1" applyFont="1"/>
    <xf borderId="2273" fillId="125" fontId="110" numFmtId="0" xfId="0" applyAlignment="1" applyBorder="1" applyFont="1">
      <alignment horizontal="center" readingOrder="0" vertical="center"/>
    </xf>
    <xf borderId="2274" fillId="0" fontId="4" numFmtId="0" xfId="0" applyBorder="1" applyFont="1"/>
    <xf borderId="2275" fillId="0" fontId="4" numFmtId="0" xfId="0" applyBorder="1" applyFont="1"/>
    <xf borderId="2276" fillId="125" fontId="110" numFmtId="0" xfId="0" applyAlignment="1" applyBorder="1" applyFont="1">
      <alignment horizontal="center" readingOrder="0" vertical="center"/>
    </xf>
    <xf borderId="2213" fillId="125" fontId="124" numFmtId="0" xfId="0" applyAlignment="1" applyBorder="1" applyFont="1">
      <alignment horizontal="center" vertical="center"/>
    </xf>
    <xf borderId="2214" fillId="125" fontId="74" numFmtId="0" xfId="0" applyAlignment="1" applyBorder="1" applyFont="1">
      <alignment horizontal="right" vertical="center"/>
    </xf>
    <xf borderId="2214" fillId="125" fontId="131" numFmtId="0" xfId="0" applyAlignment="1" applyBorder="1" applyFont="1">
      <alignment horizontal="center" vertical="center"/>
    </xf>
    <xf borderId="2214" fillId="125" fontId="131" numFmtId="0" xfId="0" applyAlignment="1" applyBorder="1" applyFont="1">
      <alignment horizontal="center" vertical="top"/>
    </xf>
    <xf borderId="2219" fillId="125" fontId="131" numFmtId="0" xfId="0" applyAlignment="1" applyBorder="1" applyFont="1">
      <alignment horizontal="center" vertical="top"/>
    </xf>
    <xf borderId="2219" fillId="125" fontId="131" numFmtId="0" xfId="0" applyAlignment="1" applyBorder="1" applyFont="1">
      <alignment horizontal="center" vertical="center"/>
    </xf>
    <xf borderId="2219" fillId="125" fontId="109" numFmtId="0" xfId="0" applyAlignment="1" applyBorder="1" applyFont="1">
      <alignment horizontal="center" vertical="center"/>
    </xf>
    <xf borderId="2214" fillId="125" fontId="132" numFmtId="0" xfId="0" applyAlignment="1" applyBorder="1" applyFont="1">
      <alignment horizontal="center" vertical="center"/>
    </xf>
    <xf borderId="2218" fillId="125" fontId="124" numFmtId="0" xfId="0" applyAlignment="1" applyBorder="1" applyFont="1">
      <alignment horizontal="center" vertical="center"/>
    </xf>
    <xf borderId="2213" fillId="125" fontId="154" numFmtId="0" xfId="0" applyAlignment="1" applyBorder="1" applyFont="1">
      <alignment horizontal="center" vertical="center"/>
    </xf>
    <xf borderId="2214" fillId="125" fontId="116" numFmtId="0" xfId="0" applyAlignment="1" applyBorder="1" applyFont="1">
      <alignment horizontal="right" vertical="center"/>
    </xf>
    <xf borderId="2214" fillId="125" fontId="105" numFmtId="0" xfId="0" applyAlignment="1" applyBorder="1" applyFont="1">
      <alignment horizontal="center" vertical="center"/>
    </xf>
    <xf borderId="237" fillId="28" fontId="104" numFmtId="0" xfId="0" applyAlignment="1" applyBorder="1" applyFont="1">
      <alignment horizontal="center" readingOrder="0" vertical="top"/>
    </xf>
    <xf borderId="240" fillId="28" fontId="104" numFmtId="0" xfId="0" applyAlignment="1" applyBorder="1" applyFont="1">
      <alignment horizontal="center" readingOrder="0" vertical="top"/>
    </xf>
    <xf borderId="2215" fillId="125" fontId="105" numFmtId="0" xfId="0" applyAlignment="1" applyBorder="1" applyFont="1">
      <alignment horizontal="center" vertical="center"/>
    </xf>
    <xf borderId="2214" fillId="125" fontId="105" numFmtId="0" xfId="0" applyAlignment="1" applyBorder="1" applyFont="1">
      <alignment horizontal="center" vertical="top"/>
    </xf>
    <xf borderId="237" fillId="127" fontId="104" numFmtId="0" xfId="0" applyAlignment="1" applyBorder="1" applyFont="1">
      <alignment horizontal="center" readingOrder="0" vertical="top"/>
    </xf>
    <xf borderId="240" fillId="127" fontId="104" numFmtId="0" xfId="0" applyAlignment="1" applyBorder="1" applyFont="1">
      <alignment horizontal="center" readingOrder="0" vertical="top"/>
    </xf>
    <xf borderId="2215" fillId="125" fontId="154" numFmtId="0" xfId="0" applyAlignment="1" applyBorder="1" applyFont="1">
      <alignment horizontal="center" vertical="center"/>
    </xf>
    <xf borderId="2214" fillId="125" fontId="154" numFmtId="0" xfId="0" applyAlignment="1" applyBorder="1" applyFont="1">
      <alignment horizontal="center" vertical="center"/>
    </xf>
    <xf borderId="2214" fillId="125" fontId="159" numFmtId="0" xfId="0" applyAlignment="1" applyBorder="1" applyFont="1">
      <alignment horizontal="right" readingOrder="0" vertical="bottom"/>
    </xf>
    <xf borderId="2214" fillId="125" fontId="159" numFmtId="0" xfId="0" applyAlignment="1" applyBorder="1" applyFont="1">
      <alignment horizontal="right" readingOrder="0" vertical="center"/>
    </xf>
    <xf borderId="2218" fillId="125" fontId="154" numFmtId="0" xfId="0" applyAlignment="1" applyBorder="1" applyFont="1">
      <alignment horizontal="center" vertical="center"/>
    </xf>
    <xf borderId="2277" fillId="28" fontId="104" numFmtId="0" xfId="0" applyAlignment="1" applyBorder="1" applyFont="1">
      <alignment horizontal="center" readingOrder="0" vertical="center"/>
    </xf>
    <xf borderId="2278" fillId="28" fontId="104" numFmtId="0" xfId="0" applyAlignment="1" applyBorder="1" applyFont="1">
      <alignment horizontal="center" readingOrder="0" vertical="center"/>
    </xf>
    <xf borderId="2279" fillId="28" fontId="104" numFmtId="0" xfId="0" applyAlignment="1" applyBorder="1" applyFont="1">
      <alignment horizontal="left" readingOrder="0" vertical="center"/>
    </xf>
    <xf borderId="2280" fillId="28" fontId="104" numFmtId="0" xfId="0" applyAlignment="1" applyBorder="1" applyFont="1">
      <alignment horizontal="center" readingOrder="0" vertical="center"/>
    </xf>
    <xf borderId="2281" fillId="127" fontId="104" numFmtId="0" xfId="0" applyAlignment="1" applyBorder="1" applyFont="1">
      <alignment horizontal="center" readingOrder="0" vertical="center"/>
    </xf>
    <xf borderId="2282" fillId="127" fontId="104" numFmtId="0" xfId="0" applyAlignment="1" applyBorder="1" applyFont="1">
      <alignment horizontal="center" readingOrder="0" vertical="center"/>
    </xf>
    <xf borderId="2283" fillId="127" fontId="104" numFmtId="0" xfId="0" applyAlignment="1" applyBorder="1" applyFont="1">
      <alignment horizontal="left" readingOrder="0" vertical="center"/>
    </xf>
    <xf borderId="2284" fillId="127" fontId="104" numFmtId="0" xfId="0" applyAlignment="1" applyBorder="1" applyFont="1">
      <alignment horizontal="center" readingOrder="0" vertical="center"/>
    </xf>
    <xf borderId="2214" fillId="125" fontId="116" numFmtId="0" xfId="0" applyAlignment="1" applyBorder="1" applyFont="1">
      <alignment horizontal="right" readingOrder="0" vertical="top"/>
    </xf>
    <xf borderId="2285" fillId="28" fontId="104" numFmtId="0" xfId="0" applyAlignment="1" applyBorder="1" applyFont="1">
      <alignment horizontal="center" readingOrder="0" vertical="center"/>
    </xf>
    <xf borderId="2286" fillId="28" fontId="104" numFmtId="0" xfId="0" applyAlignment="1" applyBorder="1" applyFont="1">
      <alignment horizontal="center" readingOrder="0" vertical="center"/>
    </xf>
    <xf borderId="2287" fillId="28" fontId="104" numFmtId="0" xfId="0" applyAlignment="1" applyBorder="1" applyFont="1">
      <alignment horizontal="left" readingOrder="0" vertical="center"/>
    </xf>
    <xf borderId="2288" fillId="28" fontId="104" numFmtId="0" xfId="0" applyAlignment="1" applyBorder="1" applyFont="1">
      <alignment horizontal="center" readingOrder="0" vertical="center"/>
    </xf>
    <xf borderId="2289" fillId="127" fontId="104" numFmtId="0" xfId="0" applyAlignment="1" applyBorder="1" applyFont="1">
      <alignment horizontal="center" readingOrder="0" vertical="center"/>
    </xf>
    <xf borderId="2290" fillId="127" fontId="104" numFmtId="0" xfId="0" applyAlignment="1" applyBorder="1" applyFont="1">
      <alignment horizontal="center" readingOrder="0" vertical="center"/>
    </xf>
    <xf borderId="2291" fillId="127" fontId="104" numFmtId="0" xfId="0" applyAlignment="1" applyBorder="1" applyFont="1">
      <alignment horizontal="left" readingOrder="0" vertical="center"/>
    </xf>
    <xf borderId="2292" fillId="127" fontId="104" numFmtId="0" xfId="0" applyAlignment="1" applyBorder="1" applyFont="1">
      <alignment horizontal="center" readingOrder="0" vertical="center"/>
    </xf>
    <xf borderId="2219" fillId="125" fontId="159" numFmtId="0" xfId="0" applyAlignment="1" applyBorder="1" applyFont="1">
      <alignment horizontal="right" vertical="top"/>
    </xf>
    <xf borderId="2219" fillId="125" fontId="159" numFmtId="0" xfId="0" applyAlignment="1" applyBorder="1" applyFont="1">
      <alignment horizontal="right" vertical="center"/>
    </xf>
    <xf borderId="2293" fillId="28" fontId="104" numFmtId="0" xfId="0" applyAlignment="1" applyBorder="1" applyFont="1">
      <alignment horizontal="center" readingOrder="0" vertical="center"/>
    </xf>
    <xf borderId="2294" fillId="28" fontId="104" numFmtId="0" xfId="0" applyAlignment="1" applyBorder="1" applyFont="1">
      <alignment horizontal="center" readingOrder="0" vertical="center"/>
    </xf>
    <xf borderId="2295" fillId="28" fontId="104" numFmtId="0" xfId="0" applyAlignment="1" applyBorder="1" applyFont="1">
      <alignment horizontal="left" readingOrder="0" vertical="center"/>
    </xf>
    <xf borderId="2296" fillId="28" fontId="104" numFmtId="0" xfId="0" applyAlignment="1" applyBorder="1" applyFont="1">
      <alignment horizontal="center" readingOrder="0" vertical="center"/>
    </xf>
    <xf borderId="2297" fillId="127" fontId="104" numFmtId="0" xfId="0" applyAlignment="1" applyBorder="1" applyFont="1">
      <alignment horizontal="center" readingOrder="0" vertical="center"/>
    </xf>
    <xf borderId="2298" fillId="127" fontId="104" numFmtId="0" xfId="0" applyAlignment="1" applyBorder="1" applyFont="1">
      <alignment horizontal="center" readingOrder="0" vertical="center"/>
    </xf>
    <xf borderId="2299" fillId="127" fontId="104" numFmtId="0" xfId="0" applyAlignment="1" applyBorder="1" applyFont="1">
      <alignment horizontal="left" readingOrder="0" vertical="center"/>
    </xf>
    <xf borderId="2300" fillId="127" fontId="104" numFmtId="0" xfId="0" applyAlignment="1" applyBorder="1" applyFont="1">
      <alignment horizontal="center" readingOrder="0" vertical="center"/>
    </xf>
    <xf borderId="253" fillId="28" fontId="104" numFmtId="0" xfId="0" applyAlignment="1" applyBorder="1" applyFont="1">
      <alignment horizontal="right" readingOrder="0" vertical="center"/>
    </xf>
    <xf borderId="256" fillId="28" fontId="104" numFmtId="0" xfId="0" applyAlignment="1" applyBorder="1" applyFont="1">
      <alignment horizontal="center" readingOrder="0" vertical="center"/>
    </xf>
    <xf borderId="253" fillId="127" fontId="104" numFmtId="0" xfId="0" applyAlignment="1" applyBorder="1" applyFont="1">
      <alignment horizontal="right" readingOrder="0" vertical="center"/>
    </xf>
    <xf borderId="256" fillId="127" fontId="104" numFmtId="0" xfId="0" applyAlignment="1" applyBorder="1" applyFont="1">
      <alignment horizontal="center" readingOrder="0" vertical="center"/>
    </xf>
    <xf borderId="2301" fillId="125" fontId="125" numFmtId="0" xfId="0" applyAlignment="1" applyBorder="1" applyFont="1">
      <alignment horizontal="center" vertical="center"/>
    </xf>
    <xf borderId="2302" fillId="125" fontId="76" numFmtId="0" xfId="0" applyAlignment="1" applyBorder="1" applyFont="1">
      <alignment horizontal="right" vertical="top"/>
    </xf>
    <xf borderId="2302" fillId="125" fontId="125" numFmtId="0" xfId="0" applyAlignment="1" applyBorder="1" applyFont="1">
      <alignment horizontal="center" vertical="center"/>
    </xf>
    <xf borderId="2302" fillId="125" fontId="110" numFmtId="0" xfId="0" applyAlignment="1" applyBorder="1" applyFont="1">
      <alignment horizontal="center" readingOrder="0" vertical="center"/>
    </xf>
    <xf borderId="2302" fillId="125" fontId="110" numFmtId="0" xfId="0" applyAlignment="1" applyBorder="1" applyFont="1">
      <alignment horizontal="center" vertical="center"/>
    </xf>
    <xf borderId="2303" fillId="125" fontId="110" numFmtId="0" xfId="0" applyAlignment="1" applyBorder="1" applyFont="1">
      <alignment horizontal="center" readingOrder="0" vertical="center"/>
    </xf>
    <xf borderId="2304" fillId="125" fontId="125" numFmtId="0" xfId="0" applyAlignment="1" applyBorder="1" applyFont="1">
      <alignment horizontal="center" vertical="center"/>
    </xf>
    <xf borderId="2103" fillId="121" fontId="74" numFmtId="0" xfId="0" applyAlignment="1" applyBorder="1" applyFont="1">
      <alignment horizontal="right" readingOrder="0" vertical="center"/>
    </xf>
    <xf borderId="2096" fillId="121" fontId="127" numFmtId="0" xfId="0" applyAlignment="1" applyBorder="1" applyFont="1">
      <alignment horizontal="center" vertical="center"/>
    </xf>
    <xf borderId="2305" fillId="24" fontId="119" numFmtId="0" xfId="0" applyAlignment="1" applyBorder="1" applyFont="1">
      <alignment horizontal="center" vertical="center"/>
    </xf>
    <xf borderId="2306" fillId="0" fontId="4" numFmtId="0" xfId="0" applyBorder="1" applyFont="1"/>
    <xf borderId="2121" fillId="121" fontId="110" numFmtId="0" xfId="0" applyAlignment="1" applyBorder="1" applyFont="1">
      <alignment horizontal="center" vertical="center"/>
    </xf>
    <xf borderId="2121" fillId="121" fontId="125" numFmtId="0" xfId="0" applyAlignment="1" applyBorder="1" applyFont="1">
      <alignment horizontal="center" vertical="center"/>
    </xf>
    <xf borderId="2122" fillId="121" fontId="125" numFmtId="0" xfId="0" applyAlignment="1" applyBorder="1" applyFont="1">
      <alignment horizontal="center" vertical="center"/>
    </xf>
    <xf borderId="2096" fillId="121" fontId="110" numFmtId="0" xfId="0" applyAlignment="1" applyBorder="1" applyFont="1">
      <alignment horizontal="center" readingOrder="0" vertical="center"/>
    </xf>
    <xf borderId="2307" fillId="0" fontId="4" numFmtId="0" xfId="0" applyBorder="1" applyFont="1"/>
    <xf borderId="2096" fillId="121" fontId="129" numFmtId="0" xfId="0" applyAlignment="1" applyBorder="1" applyFont="1">
      <alignment horizontal="center" readingOrder="0" vertical="center"/>
    </xf>
    <xf borderId="2123" fillId="121" fontId="142" numFmtId="0" xfId="0" applyAlignment="1" applyBorder="1" applyFont="1">
      <alignment horizontal="center" readingOrder="0" vertical="center"/>
    </xf>
    <xf borderId="2308" fillId="0" fontId="4" numFmtId="0" xfId="0" applyBorder="1" applyFont="1"/>
    <xf borderId="2309" fillId="0" fontId="4" numFmtId="0" xfId="0" applyBorder="1" applyFont="1"/>
    <xf borderId="2310" fillId="0" fontId="4" numFmtId="0" xfId="0" applyBorder="1" applyFont="1"/>
    <xf borderId="2091" fillId="121" fontId="131" numFmtId="0" xfId="0" applyAlignment="1" applyBorder="1" applyFont="1">
      <alignment horizontal="center" vertical="top"/>
    </xf>
    <xf borderId="2103" fillId="121" fontId="131" numFmtId="0" xfId="0" applyAlignment="1" applyBorder="1" applyFont="1">
      <alignment horizontal="center" vertical="top"/>
    </xf>
    <xf borderId="2096" fillId="121" fontId="105" numFmtId="0" xfId="0" applyAlignment="1" applyBorder="1" applyFont="1">
      <alignment horizontal="center" vertical="top"/>
    </xf>
    <xf borderId="543" fillId="24" fontId="104" numFmtId="0" xfId="0" applyAlignment="1" applyBorder="1" applyFont="1">
      <alignment horizontal="right" readingOrder="0" vertical="center"/>
    </xf>
    <xf borderId="546" fillId="24" fontId="104" numFmtId="0" xfId="0" applyAlignment="1" applyBorder="1" applyFont="1">
      <alignment horizontal="center" readingOrder="0" vertical="center"/>
    </xf>
    <xf borderId="2096" fillId="121" fontId="105" numFmtId="0" xfId="0" applyAlignment="1" applyBorder="1" applyFont="1">
      <alignment horizontal="center" vertical="center"/>
    </xf>
    <xf borderId="2311" fillId="121" fontId="133" numFmtId="0" xfId="0" applyAlignment="1" applyBorder="1" applyFont="1">
      <alignment horizontal="center" vertical="center"/>
    </xf>
    <xf borderId="2095" fillId="121" fontId="106" numFmtId="0" xfId="0" applyAlignment="1" applyBorder="1" applyFont="1">
      <alignment horizontal="center" vertical="center"/>
    </xf>
    <xf borderId="548" fillId="24" fontId="104" numFmtId="0" xfId="0" applyAlignment="1" applyBorder="1" applyFont="1">
      <alignment horizontal="right" readingOrder="0" vertical="center"/>
    </xf>
    <xf borderId="551" fillId="24" fontId="104" numFmtId="0" xfId="0" applyAlignment="1" applyBorder="1" applyFont="1">
      <alignment horizontal="center" readingOrder="0" vertical="center"/>
    </xf>
    <xf borderId="2103" fillId="121" fontId="133" numFmtId="0" xfId="0" applyAlignment="1" applyBorder="1" applyFont="1">
      <alignment horizontal="center" vertical="center"/>
    </xf>
    <xf borderId="2103" fillId="121" fontId="106" numFmtId="0" xfId="0" applyAlignment="1" applyBorder="1" applyFont="1">
      <alignment horizontal="center" vertical="center"/>
    </xf>
    <xf borderId="2095" fillId="121" fontId="133" numFmtId="0" xfId="0" applyAlignment="1" applyBorder="1" applyFont="1">
      <alignment horizontal="center" vertical="center"/>
    </xf>
    <xf borderId="2095" fillId="121" fontId="105" numFmtId="0" xfId="0" applyAlignment="1" applyBorder="1" applyFont="1">
      <alignment horizontal="center" vertical="center"/>
    </xf>
    <xf borderId="2312" fillId="121" fontId="133" numFmtId="0" xfId="0" applyAlignment="1" applyBorder="1" applyFont="1">
      <alignment horizontal="center" vertical="center"/>
    </xf>
    <xf borderId="2313" fillId="129" fontId="125" numFmtId="0" xfId="0" applyAlignment="1" applyBorder="1" applyFill="1" applyFont="1">
      <alignment horizontal="center" vertical="center"/>
    </xf>
    <xf borderId="2314" fillId="129" fontId="74" numFmtId="0" xfId="0" applyAlignment="1" applyBorder="1" applyFont="1">
      <alignment horizontal="right" readingOrder="0" vertical="center"/>
    </xf>
    <xf borderId="2315" fillId="129" fontId="125" numFmtId="0" xfId="0" applyAlignment="1" applyBorder="1" applyFont="1">
      <alignment horizontal="center" vertical="center"/>
    </xf>
    <xf borderId="2316" fillId="129" fontId="125" numFmtId="0" xfId="0" applyAlignment="1" applyBorder="1" applyFont="1">
      <alignment horizontal="center" vertical="center"/>
    </xf>
    <xf borderId="2317" fillId="129" fontId="76" numFmtId="0" xfId="0" applyAlignment="1" applyBorder="1" applyFont="1">
      <alignment horizontal="right" vertical="center"/>
    </xf>
    <xf borderId="2317" fillId="129" fontId="125" numFmtId="0" xfId="0" applyAlignment="1" applyBorder="1" applyFont="1">
      <alignment horizontal="center" vertical="center"/>
    </xf>
    <xf borderId="2318" fillId="129" fontId="161" numFmtId="0" xfId="0" applyAlignment="1" applyBorder="1" applyFont="1">
      <alignment horizontal="left" readingOrder="0" vertical="center"/>
    </xf>
    <xf borderId="2319" fillId="0" fontId="4" numFmtId="0" xfId="0" applyBorder="1" applyFont="1"/>
    <xf borderId="2320" fillId="0" fontId="4" numFmtId="0" xfId="0" applyBorder="1" applyFont="1"/>
    <xf borderId="2321" fillId="129" fontId="125" numFmtId="0" xfId="0" applyAlignment="1" applyBorder="1" applyFont="1">
      <alignment horizontal="center" vertical="center"/>
    </xf>
    <xf borderId="905" fillId="39" fontId="76" numFmtId="0" xfId="0" applyAlignment="1" applyBorder="1" applyFont="1">
      <alignment horizontal="right" vertical="center"/>
    </xf>
    <xf borderId="2317" fillId="129" fontId="127" numFmtId="0" xfId="0" applyAlignment="1" applyBorder="1" applyFont="1">
      <alignment horizontal="center" vertical="center"/>
    </xf>
    <xf borderId="2305" fillId="39" fontId="127" numFmtId="0" xfId="0" applyAlignment="1" applyBorder="1" applyFont="1">
      <alignment horizontal="center" vertical="center"/>
    </xf>
    <xf borderId="2322" fillId="129" fontId="125" numFmtId="0" xfId="0" applyAlignment="1" applyBorder="1" applyFont="1">
      <alignment horizontal="center" vertical="center"/>
    </xf>
    <xf borderId="2318" fillId="129" fontId="125" numFmtId="0" xfId="0" applyAlignment="1" applyBorder="1" applyFont="1">
      <alignment horizontal="center" vertical="center"/>
    </xf>
    <xf borderId="2316" fillId="129" fontId="110" numFmtId="0" xfId="0" applyAlignment="1" applyBorder="1" applyFont="1">
      <alignment horizontal="center" vertical="center"/>
    </xf>
    <xf borderId="199" fillId="129" fontId="76" numFmtId="0" xfId="0" applyAlignment="1" applyBorder="1" applyFont="1">
      <alignment horizontal="right" readingOrder="0" vertical="center"/>
    </xf>
    <xf borderId="2317" fillId="129" fontId="110" numFmtId="0" xfId="0" applyAlignment="1" applyBorder="1" applyFont="1">
      <alignment horizontal="center" readingOrder="0" vertical="center"/>
    </xf>
    <xf borderId="2323" fillId="129" fontId="112" numFmtId="0" xfId="0" applyAlignment="1" applyBorder="1" applyFont="1">
      <alignment horizontal="center" readingOrder="0" vertical="center"/>
    </xf>
    <xf borderId="2324" fillId="0" fontId="4" numFmtId="0" xfId="0" applyBorder="1" applyFont="1"/>
    <xf borderId="2325" fillId="0" fontId="4" numFmtId="0" xfId="0" applyBorder="1" applyFont="1"/>
    <xf borderId="2326" fillId="0" fontId="4" numFmtId="0" xfId="0" applyBorder="1" applyFont="1"/>
    <xf borderId="2318" fillId="129" fontId="110" numFmtId="0" xfId="0" applyAlignment="1" applyBorder="1" applyFont="1">
      <alignment horizontal="center" vertical="center"/>
    </xf>
    <xf borderId="2321" fillId="129" fontId="110" numFmtId="0" xfId="0" applyAlignment="1" applyBorder="1" applyFont="1">
      <alignment horizontal="center" vertical="center"/>
    </xf>
    <xf borderId="2316" fillId="129" fontId="129" numFmtId="0" xfId="0" applyAlignment="1" applyBorder="1" applyFont="1">
      <alignment horizontal="center" vertical="center"/>
    </xf>
    <xf borderId="2317" fillId="129" fontId="129" numFmtId="0" xfId="0" applyAlignment="1" applyBorder="1" applyFont="1">
      <alignment horizontal="center" readingOrder="0" vertical="center"/>
    </xf>
    <xf borderId="2327" fillId="129" fontId="119" numFmtId="0" xfId="0" applyAlignment="1" applyBorder="1" applyFont="1">
      <alignment horizontal="center" readingOrder="0" vertical="top"/>
    </xf>
    <xf borderId="2328" fillId="0" fontId="4" numFmtId="0" xfId="0" applyBorder="1" applyFont="1"/>
    <xf borderId="2318" fillId="129" fontId="129" numFmtId="0" xfId="0" applyAlignment="1" applyBorder="1" applyFont="1">
      <alignment horizontal="center" vertical="center"/>
    </xf>
    <xf borderId="2321" fillId="129" fontId="129" numFmtId="0" xfId="0" applyAlignment="1" applyBorder="1" applyFont="1">
      <alignment horizontal="center" vertical="center"/>
    </xf>
    <xf borderId="2322" fillId="129" fontId="76" numFmtId="0" xfId="0" applyAlignment="1" applyBorder="1" applyFont="1">
      <alignment horizontal="right" vertical="center"/>
    </xf>
    <xf borderId="2329" fillId="129" fontId="110" numFmtId="0" xfId="0" applyAlignment="1" applyBorder="1" applyFont="1">
      <alignment horizontal="center" vertical="center"/>
    </xf>
    <xf borderId="2317" fillId="129" fontId="110" numFmtId="0" xfId="0" applyAlignment="1" applyBorder="1" applyFont="1">
      <alignment horizontal="right" vertical="top"/>
    </xf>
    <xf borderId="2317" fillId="129" fontId="110" numFmtId="0" xfId="0" applyAlignment="1" applyBorder="1" applyFont="1">
      <alignment horizontal="left" vertical="top"/>
    </xf>
    <xf borderId="2330" fillId="129" fontId="110" numFmtId="0" xfId="0" applyAlignment="1" applyBorder="1" applyFont="1">
      <alignment horizontal="center" vertical="top"/>
    </xf>
    <xf borderId="2331" fillId="129" fontId="110" numFmtId="0" xfId="0" applyAlignment="1" applyBorder="1" applyFont="1">
      <alignment horizontal="center" vertical="center"/>
    </xf>
    <xf borderId="2332" fillId="129" fontId="110" numFmtId="0" xfId="0" applyAlignment="1" applyBorder="1" applyFont="1">
      <alignment horizontal="center" vertical="top"/>
    </xf>
    <xf borderId="2333" fillId="129" fontId="110" numFmtId="0" xfId="0" applyAlignment="1" applyBorder="1" applyFont="1">
      <alignment horizontal="center" vertical="top"/>
    </xf>
    <xf borderId="2314" fillId="0" fontId="4" numFmtId="0" xfId="0" applyBorder="1" applyFont="1"/>
    <xf borderId="2334" fillId="129" fontId="110" numFmtId="0" xfId="0" applyAlignment="1" applyBorder="1" applyFont="1">
      <alignment horizontal="center" readingOrder="0" vertical="center"/>
    </xf>
    <xf borderId="2335" fillId="0" fontId="4" numFmtId="0" xfId="0" applyBorder="1" applyFont="1"/>
    <xf borderId="2336" fillId="0" fontId="4" numFmtId="0" xfId="0" applyBorder="1" applyFont="1"/>
    <xf borderId="2327" fillId="129" fontId="110" numFmtId="0" xfId="0" applyAlignment="1" applyBorder="1" applyFont="1">
      <alignment horizontal="center" readingOrder="0" vertical="center"/>
    </xf>
    <xf borderId="2337" fillId="129" fontId="110" numFmtId="0" xfId="0" applyAlignment="1" applyBorder="1" applyFont="1">
      <alignment horizontal="center" readingOrder="0" vertical="center"/>
    </xf>
    <xf borderId="2338" fillId="0" fontId="4" numFmtId="0" xfId="0" applyBorder="1" applyFont="1"/>
    <xf borderId="2339" fillId="0" fontId="4" numFmtId="0" xfId="0" applyBorder="1" applyFont="1"/>
    <xf borderId="2340" fillId="129" fontId="110" numFmtId="0" xfId="0" applyAlignment="1" applyBorder="1" applyFont="1">
      <alignment horizontal="center" readingOrder="0" vertical="center"/>
    </xf>
    <xf borderId="2334" fillId="129" fontId="110" numFmtId="0" xfId="0" applyAlignment="1" applyBorder="1" applyFont="1">
      <alignment horizontal="center" vertical="center"/>
    </xf>
    <xf borderId="2341" fillId="0" fontId="4" numFmtId="0" xfId="0" applyBorder="1" applyFont="1"/>
    <xf borderId="2336" fillId="129" fontId="110" numFmtId="0" xfId="0" applyAlignment="1" applyBorder="1" applyFont="1">
      <alignment horizontal="center" vertical="center"/>
    </xf>
    <xf borderId="2327" fillId="129" fontId="110" numFmtId="0" xfId="0" applyAlignment="1" applyBorder="1" applyFont="1">
      <alignment horizontal="center" vertical="center"/>
    </xf>
    <xf borderId="2328" fillId="129" fontId="110" numFmtId="0" xfId="0" applyAlignment="1" applyBorder="1" applyFont="1">
      <alignment horizontal="center" vertical="center"/>
    </xf>
    <xf borderId="2342" fillId="129" fontId="110" numFmtId="0" xfId="0" applyAlignment="1" applyBorder="1" applyFont="1">
      <alignment horizontal="center" vertical="center"/>
    </xf>
    <xf borderId="2343" fillId="0" fontId="4" numFmtId="0" xfId="0" applyBorder="1" applyFont="1"/>
    <xf borderId="2344" fillId="0" fontId="4" numFmtId="0" xfId="0" applyBorder="1" applyFont="1"/>
    <xf borderId="2345" fillId="129" fontId="110" numFmtId="0" xfId="0" applyAlignment="1" applyBorder="1" applyFont="1">
      <alignment horizontal="center" vertical="center"/>
    </xf>
    <xf borderId="2316" fillId="129" fontId="124" numFmtId="0" xfId="0" applyAlignment="1" applyBorder="1" applyFont="1">
      <alignment horizontal="center" vertical="center"/>
    </xf>
    <xf borderId="2317" fillId="129" fontId="74" numFmtId="0" xfId="0" applyAlignment="1" applyBorder="1" applyFont="1">
      <alignment horizontal="right" vertical="center"/>
    </xf>
    <xf borderId="2317" fillId="129" fontId="131" numFmtId="0" xfId="0" applyAlignment="1" applyBorder="1" applyFont="1">
      <alignment horizontal="center" vertical="center"/>
    </xf>
    <xf borderId="2317" fillId="129" fontId="131" numFmtId="0" xfId="0" applyAlignment="1" applyBorder="1" applyFont="1">
      <alignment horizontal="center" vertical="top"/>
    </xf>
    <xf borderId="2317" fillId="129" fontId="109" numFmtId="0" xfId="0" applyAlignment="1" applyBorder="1" applyFont="1">
      <alignment horizontal="center" vertical="center"/>
    </xf>
    <xf borderId="2317" fillId="129" fontId="132" numFmtId="0" xfId="0" applyAlignment="1" applyBorder="1" applyFont="1">
      <alignment horizontal="center" vertical="center"/>
    </xf>
    <xf borderId="2321" fillId="129" fontId="124" numFmtId="0" xfId="0" applyAlignment="1" applyBorder="1" applyFont="1">
      <alignment horizontal="center" vertical="center"/>
    </xf>
    <xf borderId="2316" fillId="129" fontId="133" numFmtId="0" xfId="0" applyAlignment="1" applyBorder="1" applyFont="1">
      <alignment horizontal="center" vertical="center"/>
    </xf>
    <xf borderId="2317" fillId="129" fontId="106" numFmtId="0" xfId="0" applyAlignment="1" applyBorder="1" applyFont="1">
      <alignment horizontal="center" vertical="center"/>
    </xf>
    <xf borderId="237" fillId="39" fontId="104" numFmtId="0" xfId="0" applyAlignment="1" applyBorder="1" applyFont="1">
      <alignment horizontal="center" readingOrder="0" vertical="top"/>
    </xf>
    <xf borderId="240" fillId="39" fontId="104" numFmtId="0" xfId="0" applyAlignment="1" applyBorder="1" applyFont="1">
      <alignment horizontal="center" readingOrder="0" vertical="top"/>
    </xf>
    <xf borderId="2317" fillId="129" fontId="133" numFmtId="0" xfId="0" applyAlignment="1" applyBorder="1" applyFont="1">
      <alignment horizontal="center" vertical="center"/>
    </xf>
    <xf borderId="2321" fillId="129" fontId="133" numFmtId="0" xfId="0" applyAlignment="1" applyBorder="1" applyFont="1">
      <alignment horizontal="center" vertical="center"/>
    </xf>
    <xf borderId="2346" fillId="39" fontId="104" numFmtId="0" xfId="0" applyAlignment="1" applyBorder="1" applyFont="1">
      <alignment horizontal="center" readingOrder="0" vertical="center"/>
    </xf>
    <xf borderId="2347" fillId="39" fontId="104" numFmtId="0" xfId="0" applyAlignment="1" applyBorder="1" applyFont="1">
      <alignment horizontal="center" readingOrder="0" vertical="center"/>
    </xf>
    <xf borderId="2348" fillId="39" fontId="104" numFmtId="0" xfId="0" applyAlignment="1" applyBorder="1" applyFont="1">
      <alignment horizontal="left" readingOrder="0" vertical="center"/>
    </xf>
    <xf borderId="2349" fillId="39" fontId="104" numFmtId="0" xfId="0" applyAlignment="1" applyBorder="1" applyFont="1">
      <alignment horizontal="center" readingOrder="0" vertical="center"/>
    </xf>
    <xf borderId="2350" fillId="39" fontId="104" numFmtId="0" xfId="0" applyAlignment="1" applyBorder="1" applyFont="1">
      <alignment horizontal="center" readingOrder="0" vertical="center"/>
    </xf>
    <xf borderId="2351" fillId="39" fontId="104" numFmtId="0" xfId="0" applyAlignment="1" applyBorder="1" applyFont="1">
      <alignment horizontal="center" readingOrder="0" vertical="center"/>
    </xf>
    <xf borderId="2352" fillId="39" fontId="104" numFmtId="0" xfId="0" applyAlignment="1" applyBorder="1" applyFont="1">
      <alignment horizontal="left" readingOrder="0" vertical="center"/>
    </xf>
    <xf borderId="2353" fillId="39" fontId="104" numFmtId="0" xfId="0" applyAlignment="1" applyBorder="1" applyFont="1">
      <alignment horizontal="center" readingOrder="0" vertical="center"/>
    </xf>
    <xf borderId="2354" fillId="39" fontId="104" numFmtId="0" xfId="0" applyAlignment="1" applyBorder="1" applyFont="1">
      <alignment horizontal="center" readingOrder="0" vertical="center"/>
    </xf>
    <xf borderId="2355" fillId="39" fontId="104" numFmtId="0" xfId="0" applyAlignment="1" applyBorder="1" applyFont="1">
      <alignment horizontal="center" readingOrder="0" vertical="center"/>
    </xf>
    <xf borderId="2356" fillId="39" fontId="104" numFmtId="0" xfId="0" applyAlignment="1" applyBorder="1" applyFont="1">
      <alignment horizontal="left" readingOrder="0" vertical="center"/>
    </xf>
    <xf borderId="253" fillId="39" fontId="104" numFmtId="0" xfId="0" applyAlignment="1" applyBorder="1" applyFont="1">
      <alignment horizontal="right" readingOrder="0" vertical="center"/>
    </xf>
    <xf borderId="256" fillId="39" fontId="104" numFmtId="0" xfId="0" applyAlignment="1" applyBorder="1" applyFont="1">
      <alignment horizontal="center" readingOrder="0" vertical="center"/>
    </xf>
    <xf borderId="2357" fillId="129" fontId="125" numFmtId="0" xfId="0" applyAlignment="1" applyBorder="1" applyFont="1">
      <alignment horizontal="center" vertical="center"/>
    </xf>
    <xf borderId="2358" fillId="129" fontId="76" numFmtId="0" xfId="0" applyAlignment="1" applyBorder="1" applyFont="1">
      <alignment horizontal="right" vertical="center"/>
    </xf>
    <xf borderId="2358" fillId="129" fontId="125" numFmtId="0" xfId="0" applyAlignment="1" applyBorder="1" applyFont="1">
      <alignment horizontal="center" vertical="center"/>
    </xf>
    <xf borderId="2359" fillId="129" fontId="110" numFmtId="0" xfId="0" applyAlignment="1" applyBorder="1" applyFont="1">
      <alignment horizontal="center" vertical="center"/>
    </xf>
    <xf borderId="2360" fillId="129" fontId="125" numFmtId="0" xfId="0" applyAlignment="1" applyBorder="1" applyFont="1">
      <alignment horizontal="center" vertical="center"/>
    </xf>
    <xf borderId="2361" fillId="130" fontId="125" numFmtId="0" xfId="0" applyAlignment="1" applyBorder="1" applyFill="1" applyFont="1">
      <alignment horizontal="center" vertical="center"/>
    </xf>
    <xf borderId="2362" fillId="130" fontId="74" numFmtId="0" xfId="0" applyAlignment="1" applyBorder="1" applyFont="1">
      <alignment horizontal="right" readingOrder="0" vertical="center"/>
    </xf>
    <xf borderId="2363" fillId="130" fontId="125" numFmtId="0" xfId="0" applyAlignment="1" applyBorder="1" applyFont="1">
      <alignment horizontal="center" vertical="center"/>
    </xf>
    <xf borderId="2364" fillId="130" fontId="125" numFmtId="0" xfId="0" applyAlignment="1" applyBorder="1" applyFont="1">
      <alignment horizontal="center" vertical="center"/>
    </xf>
    <xf borderId="2365" fillId="130" fontId="76" numFmtId="0" xfId="0" applyAlignment="1" applyBorder="1" applyFont="1">
      <alignment horizontal="right" vertical="center"/>
    </xf>
    <xf borderId="2365" fillId="130" fontId="125" numFmtId="0" xfId="0" applyAlignment="1" applyBorder="1" applyFont="1">
      <alignment horizontal="center" vertical="center"/>
    </xf>
    <xf borderId="2366" fillId="130" fontId="162" numFmtId="0" xfId="0" applyAlignment="1" applyBorder="1" applyFont="1">
      <alignment horizontal="left" readingOrder="0" vertical="center"/>
    </xf>
    <xf borderId="2367" fillId="0" fontId="4" numFmtId="0" xfId="0" applyBorder="1" applyFont="1"/>
    <xf borderId="2368" fillId="0" fontId="4" numFmtId="0" xfId="0" applyBorder="1" applyFont="1"/>
    <xf borderId="2369" fillId="130" fontId="125" numFmtId="0" xfId="0" applyAlignment="1" applyBorder="1" applyFont="1">
      <alignment horizontal="center" vertical="center"/>
    </xf>
    <xf borderId="189" fillId="131" fontId="76" numFmtId="0" xfId="0" applyAlignment="1" applyBorder="1" applyFill="1" applyFont="1">
      <alignment horizontal="center" vertical="center"/>
    </xf>
    <xf borderId="2365" fillId="130" fontId="127" numFmtId="0" xfId="0" applyAlignment="1" applyBorder="1" applyFont="1">
      <alignment horizontal="center" vertical="center"/>
    </xf>
    <xf borderId="969" fillId="131" fontId="119" numFmtId="0" xfId="0" applyAlignment="1" applyBorder="1" applyFont="1">
      <alignment horizontal="center" vertical="center"/>
    </xf>
    <xf borderId="2370" fillId="130" fontId="110" numFmtId="0" xfId="0" applyAlignment="1" applyBorder="1" applyFont="1">
      <alignment horizontal="center" vertical="center"/>
    </xf>
    <xf borderId="2370" fillId="130" fontId="125" numFmtId="0" xfId="0" applyAlignment="1" applyBorder="1" applyFont="1">
      <alignment horizontal="center" vertical="center"/>
    </xf>
    <xf borderId="2366" fillId="130" fontId="125" numFmtId="0" xfId="0" applyAlignment="1" applyBorder="1" applyFont="1">
      <alignment horizontal="center" vertical="center"/>
    </xf>
    <xf borderId="2364" fillId="130" fontId="110" numFmtId="0" xfId="0" applyAlignment="1" applyBorder="1" applyFont="1">
      <alignment horizontal="center" vertical="center"/>
    </xf>
    <xf borderId="762" fillId="130" fontId="76" numFmtId="0" xfId="0" applyAlignment="1" applyBorder="1" applyFont="1">
      <alignment horizontal="right" readingOrder="0" vertical="center"/>
    </xf>
    <xf borderId="2365" fillId="130" fontId="110" numFmtId="0" xfId="0" applyAlignment="1" applyBorder="1" applyFont="1">
      <alignment horizontal="center" readingOrder="0" vertical="center"/>
    </xf>
    <xf borderId="2371" fillId="130" fontId="112" numFmtId="0" xfId="0" applyAlignment="1" applyBorder="1" applyFont="1">
      <alignment horizontal="center" readingOrder="0" vertical="center"/>
    </xf>
    <xf borderId="2372" fillId="0" fontId="4" numFmtId="0" xfId="0" applyBorder="1" applyFont="1"/>
    <xf borderId="2373" fillId="0" fontId="4" numFmtId="0" xfId="0" applyBorder="1" applyFont="1"/>
    <xf borderId="2374" fillId="0" fontId="4" numFmtId="0" xfId="0" applyBorder="1" applyFont="1"/>
    <xf borderId="2366" fillId="130" fontId="110" numFmtId="0" xfId="0" applyAlignment="1" applyBorder="1" applyFont="1">
      <alignment horizontal="center" vertical="center"/>
    </xf>
    <xf borderId="2369" fillId="130" fontId="110" numFmtId="0" xfId="0" applyAlignment="1" applyBorder="1" applyFont="1">
      <alignment horizontal="center" vertical="center"/>
    </xf>
    <xf borderId="2364" fillId="130" fontId="129" numFmtId="0" xfId="0" applyAlignment="1" applyBorder="1" applyFont="1">
      <alignment horizontal="center" vertical="center"/>
    </xf>
    <xf borderId="2365" fillId="130" fontId="129" numFmtId="0" xfId="0" applyAlignment="1" applyBorder="1" applyFont="1">
      <alignment horizontal="center" readingOrder="0" vertical="center"/>
    </xf>
    <xf borderId="2375" fillId="130" fontId="114" numFmtId="0" xfId="0" applyAlignment="1" applyBorder="1" applyFont="1">
      <alignment horizontal="center" readingOrder="0" vertical="top"/>
    </xf>
    <xf borderId="2376" fillId="0" fontId="4" numFmtId="0" xfId="0" applyBorder="1" applyFont="1"/>
    <xf borderId="2377" fillId="0" fontId="4" numFmtId="0" xfId="0" applyBorder="1" applyFont="1"/>
    <xf borderId="2366" fillId="130" fontId="129" numFmtId="0" xfId="0" applyAlignment="1" applyBorder="1" applyFont="1">
      <alignment horizontal="center" vertical="center"/>
    </xf>
    <xf borderId="2369" fillId="130" fontId="129" numFmtId="0" xfId="0" applyAlignment="1" applyBorder="1" applyFont="1">
      <alignment horizontal="center" vertical="center"/>
    </xf>
    <xf borderId="2378" fillId="130" fontId="110" numFmtId="0" xfId="0" applyAlignment="1" applyBorder="1" applyFont="1">
      <alignment horizontal="center" vertical="center"/>
    </xf>
    <xf borderId="2379" fillId="130" fontId="110" numFmtId="0" xfId="0" applyAlignment="1" applyBorder="1" applyFont="1">
      <alignment horizontal="right" vertical="top"/>
    </xf>
    <xf borderId="2379" fillId="130" fontId="110" numFmtId="0" xfId="0" applyAlignment="1" applyBorder="1" applyFont="1">
      <alignment horizontal="left" vertical="top"/>
    </xf>
    <xf borderId="2380" fillId="130" fontId="110" numFmtId="0" xfId="0" applyAlignment="1" applyBorder="1" applyFont="1">
      <alignment horizontal="center" vertical="top"/>
    </xf>
    <xf borderId="2381" fillId="130" fontId="110" numFmtId="0" xfId="0" applyAlignment="1" applyBorder="1" applyFont="1">
      <alignment horizontal="center" vertical="center"/>
    </xf>
    <xf borderId="2382" fillId="130" fontId="110" numFmtId="0" xfId="0" applyAlignment="1" applyBorder="1" applyFont="1">
      <alignment horizontal="center" vertical="top"/>
    </xf>
    <xf borderId="2383" fillId="130" fontId="110" numFmtId="0" xfId="0" applyAlignment="1" applyBorder="1" applyFont="1">
      <alignment horizontal="center" vertical="top"/>
    </xf>
    <xf borderId="2384" fillId="130" fontId="110" numFmtId="0" xfId="0" applyAlignment="1" applyBorder="1" applyFont="1">
      <alignment horizontal="center" readingOrder="0" vertical="center"/>
    </xf>
    <xf borderId="2385" fillId="0" fontId="4" numFmtId="0" xfId="0" applyBorder="1" applyFont="1"/>
    <xf borderId="2386" fillId="0" fontId="4" numFmtId="0" xfId="0" applyBorder="1" applyFont="1"/>
    <xf borderId="2387" fillId="130" fontId="110" numFmtId="0" xfId="0" applyAlignment="1" applyBorder="1" applyFont="1">
      <alignment horizontal="center" readingOrder="0" vertical="center"/>
    </xf>
    <xf borderId="2388" fillId="0" fontId="4" numFmtId="0" xfId="0" applyBorder="1" applyFont="1"/>
    <xf borderId="2389" fillId="130" fontId="110" numFmtId="0" xfId="0" applyAlignment="1" applyBorder="1" applyFont="1">
      <alignment horizontal="center" readingOrder="0" vertical="center"/>
    </xf>
    <xf borderId="2390" fillId="0" fontId="4" numFmtId="0" xfId="0" applyBorder="1" applyFont="1"/>
    <xf borderId="2391" fillId="0" fontId="4" numFmtId="0" xfId="0" applyBorder="1" applyFont="1"/>
    <xf borderId="2392" fillId="130" fontId="110" numFmtId="0" xfId="0" applyAlignment="1" applyBorder="1" applyFont="1">
      <alignment horizontal="center" readingOrder="0" vertical="center"/>
    </xf>
    <xf borderId="2365" fillId="130" fontId="74" numFmtId="0" xfId="0" applyAlignment="1" applyBorder="1" applyFont="1">
      <alignment horizontal="right" vertical="center"/>
    </xf>
    <xf borderId="2393" fillId="0" fontId="4" numFmtId="0" xfId="0" applyBorder="1" applyFont="1"/>
    <xf borderId="2394" fillId="130" fontId="110" numFmtId="0" xfId="0" applyAlignment="1" applyBorder="1" applyFont="1">
      <alignment horizontal="center" readingOrder="0" vertical="center"/>
    </xf>
    <xf borderId="2395" fillId="130" fontId="110" numFmtId="0" xfId="0" applyAlignment="1" applyBorder="1" applyFont="1">
      <alignment horizontal="center" readingOrder="0" vertical="center"/>
    </xf>
    <xf borderId="2396" fillId="130" fontId="110" numFmtId="0" xfId="0" applyAlignment="1" applyBorder="1" applyFont="1">
      <alignment horizontal="center" readingOrder="0" vertical="center"/>
    </xf>
    <xf borderId="2397" fillId="0" fontId="4" numFmtId="0" xfId="0" applyBorder="1" applyFont="1"/>
    <xf borderId="2398" fillId="0" fontId="4" numFmtId="0" xfId="0" applyBorder="1" applyFont="1"/>
    <xf borderId="2399" fillId="130" fontId="110" numFmtId="0" xfId="0" applyAlignment="1" applyBorder="1" applyFont="1">
      <alignment horizontal="center" readingOrder="0" vertical="center"/>
    </xf>
    <xf borderId="2362" fillId="0" fontId="4" numFmtId="0" xfId="0" applyBorder="1" applyFont="1"/>
    <xf borderId="2364" fillId="130" fontId="124" numFmtId="0" xfId="0" applyAlignment="1" applyBorder="1" applyFont="1">
      <alignment horizontal="center" vertical="center"/>
    </xf>
    <xf borderId="2365" fillId="130" fontId="131" numFmtId="0" xfId="0" applyAlignment="1" applyBorder="1" applyFont="1">
      <alignment horizontal="center" vertical="center"/>
    </xf>
    <xf borderId="2365" fillId="130" fontId="131" numFmtId="0" xfId="0" applyAlignment="1" applyBorder="1" applyFont="1">
      <alignment horizontal="center" vertical="top"/>
    </xf>
    <xf borderId="2365" fillId="130" fontId="109" numFmtId="0" xfId="0" applyAlignment="1" applyBorder="1" applyFont="1">
      <alignment horizontal="center" vertical="center"/>
    </xf>
    <xf borderId="2365" fillId="130" fontId="132" numFmtId="0" xfId="0" applyAlignment="1" applyBorder="1" applyFont="1">
      <alignment horizontal="center" vertical="center"/>
    </xf>
    <xf borderId="2369" fillId="130" fontId="124" numFmtId="0" xfId="0" applyAlignment="1" applyBorder="1" applyFont="1">
      <alignment horizontal="center" vertical="center"/>
    </xf>
    <xf borderId="2364" fillId="130" fontId="133" numFmtId="0" xfId="0" applyAlignment="1" applyBorder="1" applyFont="1">
      <alignment horizontal="center" vertical="center"/>
    </xf>
    <xf borderId="2365" fillId="130" fontId="106" numFmtId="0" xfId="0" applyAlignment="1" applyBorder="1" applyFont="1">
      <alignment horizontal="center" vertical="center"/>
    </xf>
    <xf borderId="237" fillId="132" fontId="104" numFmtId="0" xfId="0" applyAlignment="1" applyBorder="1" applyFill="1" applyFont="1">
      <alignment horizontal="center" readingOrder="0" vertical="top"/>
    </xf>
    <xf borderId="240" fillId="132" fontId="104" numFmtId="0" xfId="0" applyAlignment="1" applyBorder="1" applyFont="1">
      <alignment horizontal="center" readingOrder="0" vertical="top"/>
    </xf>
    <xf borderId="2365" fillId="130" fontId="133" numFmtId="0" xfId="0" applyAlignment="1" applyBorder="1" applyFont="1">
      <alignment horizontal="center" vertical="center"/>
    </xf>
    <xf borderId="2369" fillId="130" fontId="133" numFmtId="0" xfId="0" applyAlignment="1" applyBorder="1" applyFont="1">
      <alignment horizontal="center" vertical="center"/>
    </xf>
    <xf borderId="2400" fillId="132" fontId="104" numFmtId="0" xfId="0" applyAlignment="1" applyBorder="1" applyFont="1">
      <alignment horizontal="center" readingOrder="0" vertical="center"/>
    </xf>
    <xf borderId="2401" fillId="132" fontId="104" numFmtId="0" xfId="0" applyAlignment="1" applyBorder="1" applyFont="1">
      <alignment horizontal="center" readingOrder="0" vertical="center"/>
    </xf>
    <xf borderId="2402" fillId="132" fontId="104" numFmtId="0" xfId="0" applyAlignment="1" applyBorder="1" applyFont="1">
      <alignment horizontal="left" readingOrder="0" vertical="center"/>
    </xf>
    <xf borderId="2403" fillId="132" fontId="104" numFmtId="0" xfId="0" applyAlignment="1" applyBorder="1" applyFont="1">
      <alignment horizontal="center" readingOrder="0" vertical="center"/>
    </xf>
    <xf borderId="2404" fillId="132" fontId="104" numFmtId="0" xfId="0" applyAlignment="1" applyBorder="1" applyFont="1">
      <alignment horizontal="center" readingOrder="0" vertical="center"/>
    </xf>
    <xf borderId="2405" fillId="132" fontId="104" numFmtId="0" xfId="0" applyAlignment="1" applyBorder="1" applyFont="1">
      <alignment horizontal="center" readingOrder="0" vertical="center"/>
    </xf>
    <xf borderId="2406" fillId="132" fontId="104" numFmtId="0" xfId="0" applyAlignment="1" applyBorder="1" applyFont="1">
      <alignment horizontal="left" readingOrder="0" vertical="center"/>
    </xf>
    <xf borderId="2407" fillId="132" fontId="104" numFmtId="0" xfId="0" applyAlignment="1" applyBorder="1" applyFont="1">
      <alignment horizontal="center" readingOrder="0" vertical="center"/>
    </xf>
    <xf borderId="2408" fillId="132" fontId="104" numFmtId="0" xfId="0" applyAlignment="1" applyBorder="1" applyFont="1">
      <alignment horizontal="center" readingOrder="0" vertical="center"/>
    </xf>
    <xf borderId="2409" fillId="132" fontId="104" numFmtId="0" xfId="0" applyAlignment="1" applyBorder="1" applyFont="1">
      <alignment horizontal="center" readingOrder="0" vertical="center"/>
    </xf>
    <xf borderId="2410" fillId="132" fontId="104" numFmtId="0" xfId="0" applyAlignment="1" applyBorder="1" applyFont="1">
      <alignment horizontal="left" readingOrder="0" vertical="center"/>
    </xf>
    <xf borderId="2411" fillId="132" fontId="104" numFmtId="0" xfId="0" applyAlignment="1" applyBorder="1" applyFont="1">
      <alignment horizontal="center" readingOrder="0" vertical="center"/>
    </xf>
    <xf borderId="253" fillId="132" fontId="104" numFmtId="0" xfId="0" applyAlignment="1" applyBorder="1" applyFont="1">
      <alignment horizontal="right" readingOrder="0" vertical="center"/>
    </xf>
    <xf borderId="256" fillId="132" fontId="104" numFmtId="0" xfId="0" applyAlignment="1" applyBorder="1" applyFont="1">
      <alignment horizontal="center" readingOrder="0" vertical="center"/>
    </xf>
    <xf borderId="2412" fillId="130" fontId="125" numFmtId="0" xfId="0" applyAlignment="1" applyBorder="1" applyFont="1">
      <alignment horizontal="center" vertical="center"/>
    </xf>
    <xf borderId="2413" fillId="130" fontId="74" numFmtId="0" xfId="0" applyAlignment="1" applyBorder="1" applyFont="1">
      <alignment horizontal="right" readingOrder="0" vertical="center"/>
    </xf>
    <xf borderId="2413" fillId="130" fontId="163" numFmtId="0" xfId="0" applyAlignment="1" applyBorder="1" applyFont="1">
      <alignment horizontal="center" readingOrder="0" vertical="center"/>
    </xf>
    <xf borderId="2414" fillId="130" fontId="125" numFmtId="0" xfId="0" applyAlignment="1" applyBorder="1" applyFont="1">
      <alignment horizontal="center" vertical="center"/>
    </xf>
    <xf borderId="2415" fillId="121" fontId="164" numFmtId="0" xfId="0" applyAlignment="1" applyBorder="1" applyFont="1">
      <alignment horizontal="left" readingOrder="0" vertical="center"/>
    </xf>
    <xf borderId="2095" fillId="121" fontId="74" numFmtId="0" xfId="0" applyAlignment="1" applyBorder="1" applyFont="1">
      <alignment horizontal="right" vertical="center"/>
    </xf>
    <xf borderId="2415" fillId="121" fontId="106" numFmtId="0" xfId="0" applyAlignment="1" applyBorder="1" applyFont="1">
      <alignment horizontal="center" vertical="center"/>
    </xf>
    <xf borderId="2103" fillId="121" fontId="76" numFmtId="0" xfId="0" applyAlignment="1" applyBorder="1" applyFont="1">
      <alignment horizontal="right" vertical="top"/>
    </xf>
    <xf borderId="2095" fillId="121" fontId="110" numFmtId="0" xfId="0" applyAlignment="1" applyBorder="1" applyFont="1">
      <alignment horizontal="center" readingOrder="0" vertical="center"/>
    </xf>
    <xf borderId="2103" fillId="121" fontId="110" numFmtId="0" xfId="0" applyAlignment="1" applyBorder="1" applyFont="1">
      <alignment horizontal="center" readingOrder="0" vertical="center"/>
    </xf>
    <xf borderId="2416" fillId="121" fontId="125" numFmtId="0" xfId="0" applyAlignment="1" applyBorder="1" applyFont="1">
      <alignment horizontal="center" vertical="center"/>
    </xf>
    <xf borderId="2417" fillId="121" fontId="74" numFmtId="0" xfId="0" applyAlignment="1" applyBorder="1" applyFont="1">
      <alignment horizontal="right" readingOrder="0" vertical="center"/>
    </xf>
    <xf borderId="2418" fillId="121" fontId="74" numFmtId="0" xfId="0" applyAlignment="1" applyBorder="1" applyFont="1">
      <alignment horizontal="right" readingOrder="0" vertical="center"/>
    </xf>
    <xf borderId="2419" fillId="121" fontId="74" numFmtId="0" xfId="0" applyAlignment="1" applyBorder="1" applyFont="1">
      <alignment horizontal="right" readingOrder="0" vertical="center"/>
    </xf>
    <xf borderId="2420" fillId="121" fontId="125" numFmtId="0" xfId="0" applyAlignment="1" applyBorder="1" applyFont="1">
      <alignment horizontal="center" vertical="center"/>
    </xf>
    <xf borderId="2421" fillId="133" fontId="125" numFmtId="0" xfId="0" applyAlignment="1" applyBorder="1" applyFill="1" applyFont="1">
      <alignment horizontal="center" vertical="center"/>
    </xf>
    <xf borderId="2422" fillId="133" fontId="74" numFmtId="0" xfId="0" applyAlignment="1" applyBorder="1" applyFont="1">
      <alignment horizontal="right" readingOrder="0" vertical="center"/>
    </xf>
    <xf borderId="2423" fillId="133" fontId="74" numFmtId="0" xfId="0" applyAlignment="1" applyBorder="1" applyFont="1">
      <alignment horizontal="right" readingOrder="0" vertical="center"/>
    </xf>
    <xf borderId="2424" fillId="133" fontId="74" numFmtId="0" xfId="0" applyAlignment="1" applyBorder="1" applyFont="1">
      <alignment horizontal="right" readingOrder="0" vertical="center"/>
    </xf>
    <xf borderId="2425" fillId="133" fontId="125" numFmtId="0" xfId="0" applyAlignment="1" applyBorder="1" applyFont="1">
      <alignment horizontal="center" vertical="center"/>
    </xf>
    <xf borderId="2422" fillId="133" fontId="163" numFmtId="0" xfId="0" applyAlignment="1" applyBorder="1" applyFont="1">
      <alignment horizontal="center" readingOrder="0" vertical="center"/>
    </xf>
    <xf borderId="2426" fillId="133" fontId="163" numFmtId="0" xfId="0" applyAlignment="1" applyBorder="1" applyFont="1">
      <alignment horizontal="center" readingOrder="0" vertical="center"/>
    </xf>
    <xf borderId="2427" fillId="133" fontId="125" numFmtId="0" xfId="0" applyAlignment="1" applyBorder="1" applyFont="1">
      <alignment horizontal="center" vertical="center"/>
    </xf>
    <xf borderId="2428" fillId="133" fontId="76" numFmtId="0" xfId="0" applyAlignment="1" applyBorder="1" applyFont="1">
      <alignment horizontal="right" vertical="center"/>
    </xf>
    <xf borderId="2428" fillId="133" fontId="125" numFmtId="0" xfId="0" applyAlignment="1" applyBorder="1" applyFont="1">
      <alignment horizontal="center" vertical="center"/>
    </xf>
    <xf borderId="2429" fillId="133" fontId="165" numFmtId="0" xfId="0" applyAlignment="1" applyBorder="1" applyFont="1">
      <alignment horizontal="left" readingOrder="0" vertical="center"/>
    </xf>
    <xf borderId="2430" fillId="0" fontId="4" numFmtId="0" xfId="0" applyBorder="1" applyFont="1"/>
    <xf borderId="2431" fillId="0" fontId="4" numFmtId="0" xfId="0" applyBorder="1" applyFont="1"/>
    <xf borderId="2432" fillId="133" fontId="125" numFmtId="0" xfId="0" applyAlignment="1" applyBorder="1" applyFont="1">
      <alignment horizontal="center" vertical="center"/>
    </xf>
    <xf borderId="2433" fillId="134" fontId="125" numFmtId="0" xfId="0" applyAlignment="1" applyBorder="1" applyFill="1" applyFont="1">
      <alignment horizontal="center" vertical="center"/>
    </xf>
    <xf borderId="189" fillId="48" fontId="76" numFmtId="0" xfId="0" applyAlignment="1" applyBorder="1" applyFont="1">
      <alignment horizontal="center" vertical="center"/>
    </xf>
    <xf borderId="2434" fillId="133" fontId="127" numFmtId="0" xfId="0" applyAlignment="1" applyBorder="1" applyFont="1">
      <alignment horizontal="center" vertical="center"/>
    </xf>
    <xf borderId="969" fillId="48" fontId="127" numFmtId="0" xfId="0" applyAlignment="1" applyBorder="1" applyFont="1">
      <alignment horizontal="center" vertical="center"/>
    </xf>
    <xf borderId="2435" fillId="133" fontId="125" numFmtId="0" xfId="0" applyAlignment="1" applyBorder="1" applyFont="1">
      <alignment horizontal="center" vertical="center"/>
    </xf>
    <xf borderId="2436" fillId="133" fontId="125" numFmtId="0" xfId="0" applyAlignment="1" applyBorder="1" applyFont="1">
      <alignment horizontal="center" vertical="center"/>
    </xf>
    <xf borderId="2423" fillId="133" fontId="125" numFmtId="0" xfId="0" applyAlignment="1" applyBorder="1" applyFont="1">
      <alignment horizontal="center" vertical="center"/>
    </xf>
    <xf borderId="2437" fillId="0" fontId="4" numFmtId="0" xfId="0" applyBorder="1" applyFont="1"/>
    <xf borderId="2424" fillId="0" fontId="4" numFmtId="0" xfId="0" applyBorder="1" applyFont="1"/>
    <xf borderId="2438" fillId="133" fontId="125" numFmtId="0" xfId="0" applyAlignment="1" applyBorder="1" applyFont="1">
      <alignment horizontal="center" vertical="center"/>
    </xf>
    <xf borderId="2433" fillId="134" fontId="110" numFmtId="0" xfId="0" applyAlignment="1" applyBorder="1" applyFont="1">
      <alignment horizontal="center" vertical="center"/>
    </xf>
    <xf borderId="762" fillId="133" fontId="76" numFmtId="0" xfId="0" applyAlignment="1" applyBorder="1" applyFont="1">
      <alignment horizontal="right" readingOrder="0" vertical="center"/>
    </xf>
    <xf borderId="2439" fillId="133" fontId="110" numFmtId="0" xfId="0" applyAlignment="1" applyBorder="1" applyFont="1">
      <alignment horizontal="center" readingOrder="0" vertical="center"/>
    </xf>
    <xf borderId="2440" fillId="133" fontId="112" numFmtId="0" xfId="0" applyAlignment="1" applyBorder="1" applyFont="1">
      <alignment horizontal="center" readingOrder="0" vertical="center"/>
    </xf>
    <xf borderId="2441" fillId="0" fontId="4" numFmtId="0" xfId="0" applyBorder="1" applyFont="1"/>
    <xf borderId="2442" fillId="0" fontId="4" numFmtId="0" xfId="0" applyBorder="1" applyFont="1"/>
    <xf borderId="2443" fillId="0" fontId="4" numFmtId="0" xfId="0" applyBorder="1" applyFont="1"/>
    <xf borderId="2444" fillId="0" fontId="4" numFmtId="0" xfId="0" applyBorder="1" applyFont="1"/>
    <xf borderId="2423" fillId="133" fontId="110" numFmtId="0" xfId="0" applyAlignment="1" applyBorder="1" applyFont="1">
      <alignment horizontal="center" vertical="center"/>
    </xf>
    <xf borderId="2445" fillId="0" fontId="4" numFmtId="0" xfId="0" applyBorder="1" applyFont="1"/>
    <xf borderId="2425" fillId="133" fontId="110" numFmtId="0" xfId="0" applyAlignment="1" applyBorder="1" applyFont="1">
      <alignment horizontal="center" vertical="center"/>
    </xf>
    <xf borderId="2433" fillId="134" fontId="129" numFmtId="0" xfId="0" applyAlignment="1" applyBorder="1" applyFont="1">
      <alignment horizontal="center" vertical="center"/>
    </xf>
    <xf borderId="2439" fillId="133" fontId="129" numFmtId="0" xfId="0" applyAlignment="1" applyBorder="1" applyFont="1">
      <alignment horizontal="center" readingOrder="0" vertical="center"/>
    </xf>
    <xf borderId="2446" fillId="133" fontId="114" numFmtId="0" xfId="0" applyAlignment="1" applyBorder="1" applyFont="1">
      <alignment horizontal="center" readingOrder="0" vertical="top"/>
    </xf>
    <xf borderId="2447" fillId="0" fontId="4" numFmtId="0" xfId="0" applyBorder="1" applyFont="1"/>
    <xf borderId="2448" fillId="0" fontId="4" numFmtId="0" xfId="0" applyBorder="1" applyFont="1"/>
    <xf borderId="2423" fillId="133" fontId="129" numFmtId="0" xfId="0" applyAlignment="1" applyBorder="1" applyFont="1">
      <alignment horizontal="center" vertical="center"/>
    </xf>
    <xf borderId="2425" fillId="133" fontId="129" numFmtId="0" xfId="0" applyAlignment="1" applyBorder="1" applyFont="1">
      <alignment horizontal="center" vertical="center"/>
    </xf>
    <xf borderId="2439" fillId="133" fontId="125" numFmtId="0" xfId="0" applyAlignment="1" applyBorder="1" applyFont="1">
      <alignment horizontal="center" vertical="center"/>
    </xf>
    <xf borderId="2449" fillId="133" fontId="110" numFmtId="0" xfId="0" applyAlignment="1" applyBorder="1" applyFont="1">
      <alignment horizontal="center" vertical="center"/>
    </xf>
    <xf borderId="2450" fillId="133" fontId="110" numFmtId="0" xfId="0" applyAlignment="1" applyBorder="1" applyFont="1">
      <alignment horizontal="right" vertical="top"/>
    </xf>
    <xf borderId="2450" fillId="133" fontId="110" numFmtId="0" xfId="0" applyAlignment="1" applyBorder="1" applyFont="1">
      <alignment horizontal="left" vertical="top"/>
    </xf>
    <xf borderId="2451" fillId="133" fontId="110" numFmtId="0" xfId="0" applyAlignment="1" applyBorder="1" applyFont="1">
      <alignment horizontal="center" vertical="top"/>
    </xf>
    <xf borderId="2452" fillId="133" fontId="125" numFmtId="0" xfId="0" applyAlignment="1" applyBorder="1" applyFont="1">
      <alignment horizontal="center" vertical="center"/>
    </xf>
    <xf borderId="2453" fillId="133" fontId="76" numFmtId="0" xfId="0" applyAlignment="1" applyBorder="1" applyFont="1">
      <alignment horizontal="right" vertical="center"/>
    </xf>
    <xf borderId="2454" fillId="133" fontId="125" numFmtId="0" xfId="0" applyAlignment="1" applyBorder="1" applyFont="1">
      <alignment horizontal="center" vertical="center"/>
    </xf>
    <xf borderId="2455" fillId="133" fontId="110" numFmtId="0" xfId="0" applyAlignment="1" applyBorder="1" applyFont="1">
      <alignment horizontal="center" vertical="center"/>
    </xf>
    <xf borderId="2456" fillId="133" fontId="110" numFmtId="0" xfId="0" applyAlignment="1" applyBorder="1" applyFont="1">
      <alignment horizontal="center" vertical="top"/>
    </xf>
    <xf borderId="2457" fillId="133" fontId="110" numFmtId="0" xfId="0" applyAlignment="1" applyBorder="1" applyFont="1">
      <alignment horizontal="center" vertical="top"/>
    </xf>
    <xf borderId="2422" fillId="133" fontId="125" numFmtId="0" xfId="0" applyAlignment="1" applyBorder="1" applyFont="1">
      <alignment horizontal="center" vertical="center"/>
    </xf>
    <xf borderId="2422" fillId="133" fontId="76" numFmtId="0" xfId="0" applyAlignment="1" applyBorder="1" applyFont="1">
      <alignment horizontal="right" vertical="center"/>
    </xf>
    <xf borderId="2458" fillId="133" fontId="110" numFmtId="0" xfId="0" applyAlignment="1" applyBorder="1" applyFont="1">
      <alignment horizontal="center" readingOrder="0" vertical="center"/>
    </xf>
    <xf borderId="2459" fillId="0" fontId="4" numFmtId="0" xfId="0" applyBorder="1" applyFont="1"/>
    <xf borderId="2460" fillId="0" fontId="4" numFmtId="0" xfId="0" applyBorder="1" applyFont="1"/>
    <xf borderId="2461" fillId="133" fontId="110" numFmtId="0" xfId="0" applyAlignment="1" applyBorder="1" applyFont="1">
      <alignment horizontal="center" readingOrder="0" vertical="center"/>
    </xf>
    <xf borderId="2462" fillId="0" fontId="4" numFmtId="0" xfId="0" applyBorder="1" applyFont="1"/>
    <xf borderId="2463" fillId="133" fontId="110" numFmtId="0" xfId="0" applyAlignment="1" applyBorder="1" applyFont="1">
      <alignment horizontal="center" readingOrder="0" vertical="center"/>
    </xf>
    <xf borderId="2464" fillId="133" fontId="110" numFmtId="0" xfId="0" applyAlignment="1" applyBorder="1" applyFont="1">
      <alignment horizontal="center" readingOrder="0" vertical="center"/>
    </xf>
    <xf borderId="2422" fillId="133" fontId="74" numFmtId="0" xfId="0" applyAlignment="1" applyBorder="1" applyFont="1">
      <alignment horizontal="right" vertical="center"/>
    </xf>
    <xf borderId="2465" fillId="0" fontId="4" numFmtId="0" xfId="0" applyBorder="1" applyFont="1"/>
    <xf borderId="2466" fillId="133" fontId="110" numFmtId="0" xfId="0" applyAlignment="1" applyBorder="1" applyFont="1">
      <alignment horizontal="center" readingOrder="0" vertical="center"/>
    </xf>
    <xf borderId="2467" fillId="133" fontId="110" numFmtId="0" xfId="0" applyAlignment="1" applyBorder="1" applyFont="1">
      <alignment horizontal="center" readingOrder="0" vertical="center"/>
    </xf>
    <xf borderId="2468" fillId="133" fontId="110" numFmtId="0" xfId="0" applyAlignment="1" applyBorder="1" applyFont="1">
      <alignment horizontal="center" readingOrder="0" vertical="center"/>
    </xf>
    <xf borderId="2469" fillId="0" fontId="4" numFmtId="0" xfId="0" applyBorder="1" applyFont="1"/>
    <xf borderId="2470" fillId="0" fontId="4" numFmtId="0" xfId="0" applyBorder="1" applyFont="1"/>
    <xf borderId="2471" fillId="133" fontId="110" numFmtId="0" xfId="0" applyAlignment="1" applyBorder="1" applyFont="1">
      <alignment horizontal="center" readingOrder="0" vertical="center"/>
    </xf>
    <xf borderId="2472" fillId="0" fontId="4" numFmtId="0" xfId="0" applyBorder="1" applyFont="1"/>
    <xf borderId="2473" fillId="0" fontId="4" numFmtId="0" xfId="0" applyBorder="1" applyFont="1"/>
    <xf borderId="2426" fillId="0" fontId="4" numFmtId="0" xfId="0" applyBorder="1" applyFont="1"/>
    <xf borderId="2421" fillId="133" fontId="124" numFmtId="0" xfId="0" applyAlignment="1" applyBorder="1" applyFont="1">
      <alignment horizontal="center" vertical="center"/>
    </xf>
    <xf borderId="2422" fillId="133" fontId="131" numFmtId="0" xfId="0" applyAlignment="1" applyBorder="1" applyFont="1">
      <alignment horizontal="center" vertical="center"/>
    </xf>
    <xf borderId="2474" fillId="133" fontId="131" numFmtId="0" xfId="0" applyAlignment="1" applyBorder="1" applyFont="1">
      <alignment horizontal="center" vertical="top"/>
    </xf>
    <xf borderId="2475" fillId="133" fontId="131" numFmtId="0" xfId="0" applyAlignment="1" applyBorder="1" applyFont="1">
      <alignment horizontal="center" vertical="top"/>
    </xf>
    <xf borderId="2422" fillId="133" fontId="131" numFmtId="0" xfId="0" applyAlignment="1" applyBorder="1" applyFont="1">
      <alignment horizontal="center" vertical="top"/>
    </xf>
    <xf borderId="2422" fillId="133" fontId="109" numFmtId="0" xfId="0" applyAlignment="1" applyBorder="1" applyFont="1">
      <alignment horizontal="center" vertical="center"/>
    </xf>
    <xf borderId="2422" fillId="133" fontId="132" numFmtId="0" xfId="0" applyAlignment="1" applyBorder="1" applyFont="1">
      <alignment horizontal="center" vertical="center"/>
    </xf>
    <xf borderId="2425" fillId="133" fontId="124" numFmtId="0" xfId="0" applyAlignment="1" applyBorder="1" applyFont="1">
      <alignment horizontal="center" vertical="center"/>
    </xf>
    <xf borderId="2421" fillId="133" fontId="133" numFmtId="0" xfId="0" applyAlignment="1" applyBorder="1" applyFont="1">
      <alignment horizontal="center" vertical="center"/>
    </xf>
    <xf borderId="2476" fillId="133" fontId="106" numFmtId="0" xfId="0" applyAlignment="1" applyBorder="1" applyFont="1">
      <alignment horizontal="center" vertical="center"/>
    </xf>
    <xf borderId="237" fillId="135" fontId="104" numFmtId="0" xfId="0" applyAlignment="1" applyBorder="1" applyFill="1" applyFont="1">
      <alignment horizontal="center" readingOrder="0" vertical="top"/>
    </xf>
    <xf borderId="240" fillId="135" fontId="104" numFmtId="0" xfId="0" applyAlignment="1" applyBorder="1" applyFont="1">
      <alignment horizontal="center" readingOrder="0" vertical="top"/>
    </xf>
    <xf borderId="2477" fillId="133" fontId="106" numFmtId="0" xfId="0" applyAlignment="1" applyBorder="1" applyFont="1">
      <alignment horizontal="center" vertical="center"/>
    </xf>
    <xf borderId="2478" fillId="133" fontId="106" numFmtId="0" xfId="0" applyAlignment="1" applyBorder="1" applyFont="1">
      <alignment horizontal="center" vertical="center"/>
    </xf>
    <xf borderId="2422" fillId="133" fontId="106" numFmtId="0" xfId="0" applyAlignment="1" applyBorder="1" applyFont="1">
      <alignment horizontal="center" vertical="center"/>
    </xf>
    <xf borderId="2422" fillId="133" fontId="76" numFmtId="0" xfId="0" applyAlignment="1" applyBorder="1" applyFont="1">
      <alignment horizontal="right" readingOrder="0" vertical="bottom"/>
    </xf>
    <xf borderId="2422" fillId="133" fontId="133" numFmtId="0" xfId="0" applyAlignment="1" applyBorder="1" applyFont="1">
      <alignment horizontal="center" vertical="center"/>
    </xf>
    <xf borderId="2422" fillId="133" fontId="105" numFmtId="0" xfId="0" applyAlignment="1" applyBorder="1" applyFont="1">
      <alignment horizontal="center" vertical="top"/>
    </xf>
    <xf borderId="2425" fillId="133" fontId="133" numFmtId="0" xfId="0" applyAlignment="1" applyBorder="1" applyFont="1">
      <alignment horizontal="center" vertical="center"/>
    </xf>
    <xf borderId="2479" fillId="135" fontId="104" numFmtId="0" xfId="0" applyAlignment="1" applyBorder="1" applyFont="1">
      <alignment horizontal="center" readingOrder="0" vertical="center"/>
    </xf>
    <xf borderId="2480" fillId="135" fontId="104" numFmtId="0" xfId="0" applyAlignment="1" applyBorder="1" applyFont="1">
      <alignment horizontal="center" readingOrder="0" vertical="center"/>
    </xf>
    <xf borderId="2481" fillId="135" fontId="104" numFmtId="0" xfId="0" applyAlignment="1" applyBorder="1" applyFont="1">
      <alignment horizontal="left" readingOrder="0" vertical="center"/>
    </xf>
    <xf borderId="2482" fillId="135" fontId="104" numFmtId="0" xfId="0" applyAlignment="1" applyBorder="1" applyFont="1">
      <alignment horizontal="center" readingOrder="0" vertical="center"/>
    </xf>
    <xf borderId="2422" fillId="133" fontId="76" numFmtId="0" xfId="0" applyAlignment="1" applyBorder="1" applyFont="1">
      <alignment horizontal="right" readingOrder="0" vertical="center"/>
    </xf>
    <xf borderId="2422" fillId="133" fontId="105" numFmtId="0" xfId="0" applyAlignment="1" applyBorder="1" applyFont="1">
      <alignment horizontal="center" vertical="center"/>
    </xf>
    <xf borderId="2483" fillId="135" fontId="104" numFmtId="0" xfId="0" applyAlignment="1" applyBorder="1" applyFont="1">
      <alignment horizontal="center" readingOrder="0" vertical="center"/>
    </xf>
    <xf borderId="2484" fillId="135" fontId="104" numFmtId="0" xfId="0" applyAlignment="1" applyBorder="1" applyFont="1">
      <alignment horizontal="center" readingOrder="0" vertical="center"/>
    </xf>
    <xf borderId="2485" fillId="135" fontId="104" numFmtId="0" xfId="0" applyAlignment="1" applyBorder="1" applyFont="1">
      <alignment horizontal="left" readingOrder="0" vertical="center"/>
    </xf>
    <xf borderId="2486" fillId="135" fontId="104" numFmtId="0" xfId="0" applyAlignment="1" applyBorder="1" applyFont="1">
      <alignment horizontal="center" readingOrder="0" vertical="center"/>
    </xf>
    <xf borderId="2422" fillId="133" fontId="74" numFmtId="0" xfId="0" applyAlignment="1" applyBorder="1" applyFont="1">
      <alignment horizontal="right" readingOrder="0" vertical="top"/>
    </xf>
    <xf borderId="2438" fillId="133" fontId="76" numFmtId="0" xfId="0" applyAlignment="1" applyBorder="1" applyFont="1">
      <alignment horizontal="right" vertical="top"/>
    </xf>
    <xf borderId="2487" fillId="135" fontId="104" numFmtId="0" xfId="0" applyAlignment="1" applyBorder="1" applyFont="1">
      <alignment horizontal="center" readingOrder="0" vertical="center"/>
    </xf>
    <xf borderId="2488" fillId="135" fontId="104" numFmtId="0" xfId="0" applyAlignment="1" applyBorder="1" applyFont="1">
      <alignment horizontal="center" readingOrder="0" vertical="center"/>
    </xf>
    <xf borderId="2489" fillId="135" fontId="104" numFmtId="0" xfId="0" applyAlignment="1" applyBorder="1" applyFont="1">
      <alignment horizontal="left" readingOrder="0" vertical="center"/>
    </xf>
    <xf borderId="2490" fillId="135" fontId="104" numFmtId="0" xfId="0" applyAlignment="1" applyBorder="1" applyFont="1">
      <alignment horizontal="center" readingOrder="0" vertical="center"/>
    </xf>
    <xf borderId="2423" fillId="133" fontId="106" numFmtId="0" xfId="0" applyAlignment="1" applyBorder="1" applyFont="1">
      <alignment horizontal="center" vertical="center"/>
    </xf>
    <xf borderId="253" fillId="135" fontId="104" numFmtId="0" xfId="0" applyAlignment="1" applyBorder="1" applyFont="1">
      <alignment horizontal="right" readingOrder="0" vertical="center"/>
    </xf>
    <xf borderId="256" fillId="135" fontId="104" numFmtId="0" xfId="0" applyAlignment="1" applyBorder="1" applyFont="1">
      <alignment horizontal="center" readingOrder="0" vertical="center"/>
    </xf>
    <xf borderId="2491" fillId="133" fontId="106" numFmtId="0" xfId="0" applyAlignment="1" applyBorder="1" applyFont="1">
      <alignment horizontal="center" vertical="center"/>
    </xf>
    <xf borderId="543" fillId="135" fontId="104" numFmtId="0" xfId="0" applyAlignment="1" applyBorder="1" applyFont="1">
      <alignment horizontal="right" readingOrder="0" vertical="center"/>
    </xf>
    <xf borderId="546" fillId="135" fontId="104" numFmtId="0" xfId="0" applyAlignment="1" applyBorder="1" applyFont="1">
      <alignment horizontal="center" readingOrder="0" vertical="center"/>
    </xf>
    <xf borderId="2453" fillId="133" fontId="106" numFmtId="0" xfId="0" applyAlignment="1" applyBorder="1" applyFont="1">
      <alignment horizontal="center" vertical="center"/>
    </xf>
    <xf borderId="2453" fillId="133" fontId="76" numFmtId="0" xfId="0" applyAlignment="1" applyBorder="1" applyFont="1">
      <alignment horizontal="right" vertical="top"/>
    </xf>
    <xf borderId="2453" fillId="133" fontId="133" numFmtId="0" xfId="0" applyAlignment="1" applyBorder="1" applyFont="1">
      <alignment horizontal="center" vertical="center"/>
    </xf>
    <xf borderId="548" fillId="135" fontId="104" numFmtId="0" xfId="0" applyAlignment="1" applyBorder="1" applyFont="1">
      <alignment horizontal="right" readingOrder="0" vertical="center"/>
    </xf>
    <xf borderId="551" fillId="135" fontId="104" numFmtId="0" xfId="0" applyAlignment="1" applyBorder="1" applyFont="1">
      <alignment horizontal="center" readingOrder="0" vertical="center"/>
    </xf>
    <xf borderId="2422" fillId="133" fontId="76" numFmtId="0" xfId="0" applyAlignment="1" applyBorder="1" applyFont="1">
      <alignment horizontal="right" vertical="top"/>
    </xf>
    <xf borderId="2422" fillId="133" fontId="110" numFmtId="0" xfId="0" applyAlignment="1" applyBorder="1" applyFont="1">
      <alignment horizontal="center" readingOrder="0" vertical="center"/>
    </xf>
    <xf borderId="2422" fillId="133" fontId="110" numFmtId="0" xfId="0" applyAlignment="1" applyBorder="1" applyFont="1">
      <alignment horizontal="center" vertical="center"/>
    </xf>
    <xf borderId="2453" fillId="133" fontId="110" numFmtId="0" xfId="0" applyAlignment="1" applyBorder="1" applyFont="1">
      <alignment horizontal="center" readingOrder="0" vertical="center"/>
    </xf>
    <xf borderId="2492" fillId="133" fontId="125" numFmtId="0" xfId="0" applyAlignment="1" applyBorder="1" applyFont="1">
      <alignment horizontal="center" vertical="center"/>
    </xf>
    <xf borderId="2493" fillId="133" fontId="76" numFmtId="0" xfId="0" applyAlignment="1" applyBorder="1" applyFont="1">
      <alignment horizontal="right" vertical="center"/>
    </xf>
    <xf borderId="2493" fillId="133" fontId="125" numFmtId="0" xfId="0" applyAlignment="1" applyBorder="1" applyFont="1">
      <alignment horizontal="center" vertical="center"/>
    </xf>
    <xf borderId="2493" fillId="133" fontId="125" numFmtId="0" xfId="0" applyAlignment="1" applyBorder="1" applyFont="1">
      <alignment horizontal="center" readingOrder="0" vertical="center"/>
    </xf>
    <xf borderId="2494" fillId="133" fontId="125" numFmtId="0" xfId="0" applyAlignment="1" applyBorder="1" applyFont="1">
      <alignment horizontal="center" vertical="center"/>
    </xf>
    <xf borderId="2495" fillId="136" fontId="125" numFmtId="0" xfId="0" applyAlignment="1" applyBorder="1" applyFill="1" applyFont="1">
      <alignment horizontal="center" vertical="center"/>
    </xf>
    <xf borderId="2496" fillId="136" fontId="76" numFmtId="0" xfId="0" applyAlignment="1" applyBorder="1" applyFont="1">
      <alignment horizontal="right" vertical="center"/>
    </xf>
    <xf borderId="2496" fillId="136" fontId="125" numFmtId="0" xfId="0" applyAlignment="1" applyBorder="1" applyFont="1">
      <alignment horizontal="center" vertical="center"/>
    </xf>
    <xf borderId="2496" fillId="136" fontId="148" numFmtId="0" xfId="0" applyAlignment="1" applyBorder="1" applyFont="1">
      <alignment horizontal="center" readingOrder="0" vertical="center"/>
    </xf>
    <xf borderId="2497" fillId="136" fontId="125" numFmtId="0" xfId="0" applyAlignment="1" applyBorder="1" applyFont="1">
      <alignment horizontal="center" vertical="center"/>
    </xf>
    <xf borderId="2498" fillId="136" fontId="125" numFmtId="0" xfId="0" applyAlignment="1" applyBorder="1" applyFont="1">
      <alignment horizontal="center" vertical="center"/>
    </xf>
    <xf borderId="2499" fillId="136" fontId="76" numFmtId="0" xfId="0" applyAlignment="1" applyBorder="1" applyFont="1">
      <alignment horizontal="right" vertical="center"/>
    </xf>
    <xf borderId="2500" fillId="136" fontId="125" numFmtId="0" xfId="0" applyAlignment="1" applyBorder="1" applyFont="1">
      <alignment horizontal="center" vertical="center"/>
    </xf>
    <xf borderId="2501" fillId="136" fontId="166" numFmtId="0" xfId="0" applyAlignment="1" applyBorder="1" applyFont="1">
      <alignment horizontal="left" readingOrder="0" vertical="center"/>
    </xf>
    <xf borderId="2502" fillId="0" fontId="4" numFmtId="0" xfId="0" applyBorder="1" applyFont="1"/>
    <xf borderId="2503" fillId="0" fontId="4" numFmtId="0" xfId="0" applyBorder="1" applyFont="1"/>
    <xf borderId="2504" fillId="136" fontId="125" numFmtId="0" xfId="0" applyAlignment="1" applyBorder="1" applyFont="1">
      <alignment horizontal="center" vertical="center"/>
    </xf>
    <xf borderId="2505" fillId="136" fontId="125" numFmtId="0" xfId="0" applyAlignment="1" applyBorder="1" applyFont="1">
      <alignment horizontal="center" vertical="center"/>
    </xf>
    <xf borderId="189" fillId="49" fontId="76" numFmtId="0" xfId="0" applyAlignment="1" applyBorder="1" applyFont="1">
      <alignment horizontal="center" vertical="center"/>
    </xf>
    <xf borderId="2506" fillId="136" fontId="127" numFmtId="0" xfId="0" applyAlignment="1" applyBorder="1" applyFont="1">
      <alignment horizontal="center" vertical="center"/>
    </xf>
    <xf borderId="2305" fillId="49" fontId="119" numFmtId="0" xfId="0" applyAlignment="1" applyBorder="1" applyFont="1">
      <alignment horizontal="center" vertical="center"/>
    </xf>
    <xf borderId="2507" fillId="136" fontId="110" numFmtId="0" xfId="0" applyAlignment="1" applyBorder="1" applyFont="1">
      <alignment horizontal="center" vertical="center"/>
    </xf>
    <xf borderId="2508" fillId="136" fontId="110" numFmtId="0" xfId="0" applyAlignment="1" applyBorder="1" applyFont="1">
      <alignment horizontal="center" vertical="center"/>
    </xf>
    <xf borderId="2503" fillId="136" fontId="125" numFmtId="0" xfId="0" applyAlignment="1" applyBorder="1" applyFont="1">
      <alignment horizontal="center" vertical="center"/>
    </xf>
    <xf borderId="2509" fillId="136" fontId="125" numFmtId="0" xfId="0" applyAlignment="1" applyBorder="1" applyFont="1">
      <alignment horizontal="center" vertical="center"/>
    </xf>
    <xf borderId="2510" fillId="0" fontId="4" numFmtId="0" xfId="0" applyBorder="1" applyFont="1"/>
    <xf borderId="2511" fillId="0" fontId="4" numFmtId="0" xfId="0" applyBorder="1" applyFont="1"/>
    <xf borderId="2512" fillId="136" fontId="125" numFmtId="0" xfId="0" applyAlignment="1" applyBorder="1" applyFont="1">
      <alignment horizontal="center" vertical="center"/>
    </xf>
    <xf borderId="2505" fillId="136" fontId="110" numFmtId="0" xfId="0" applyAlignment="1" applyBorder="1" applyFont="1">
      <alignment horizontal="center" vertical="center"/>
    </xf>
    <xf borderId="762" fillId="136" fontId="76" numFmtId="0" xfId="0" applyAlignment="1" applyBorder="1" applyFont="1">
      <alignment horizontal="right" readingOrder="0" vertical="center"/>
    </xf>
    <xf borderId="2506" fillId="136" fontId="110" numFmtId="0" xfId="0" applyAlignment="1" applyBorder="1" applyFont="1">
      <alignment horizontal="center" readingOrder="0" vertical="center"/>
    </xf>
    <xf borderId="2513" fillId="136" fontId="112" numFmtId="0" xfId="0" applyAlignment="1" applyBorder="1" applyFont="1">
      <alignment horizontal="center" readingOrder="0" vertical="center"/>
    </xf>
    <xf borderId="2514" fillId="0" fontId="4" numFmtId="0" xfId="0" applyBorder="1" applyFont="1"/>
    <xf borderId="2515" fillId="0" fontId="4" numFmtId="0" xfId="0" applyBorder="1" applyFont="1"/>
    <xf borderId="601" fillId="0" fontId="4" numFmtId="0" xfId="0" applyBorder="1" applyFont="1"/>
    <xf borderId="2516" fillId="0" fontId="4" numFmtId="0" xfId="0" applyBorder="1" applyFont="1"/>
    <xf borderId="2517" fillId="0" fontId="4" numFmtId="0" xfId="0" applyBorder="1" applyFont="1"/>
    <xf borderId="2509" fillId="136" fontId="110" numFmtId="0" xfId="0" applyAlignment="1" applyBorder="1" applyFont="1">
      <alignment horizontal="center" vertical="center"/>
    </xf>
    <xf borderId="2518" fillId="0" fontId="4" numFmtId="0" xfId="0" applyBorder="1" applyFont="1"/>
    <xf borderId="2512" fillId="136" fontId="110" numFmtId="0" xfId="0" applyAlignment="1" applyBorder="1" applyFont="1">
      <alignment horizontal="center" vertical="center"/>
    </xf>
    <xf borderId="2505" fillId="136" fontId="129" numFmtId="0" xfId="0" applyAlignment="1" applyBorder="1" applyFont="1">
      <alignment horizontal="center" vertical="center"/>
    </xf>
    <xf borderId="2506" fillId="136" fontId="129" numFmtId="0" xfId="0" applyAlignment="1" applyBorder="1" applyFont="1">
      <alignment horizontal="center" readingOrder="0" vertical="center"/>
    </xf>
    <xf borderId="2519" fillId="136" fontId="114" numFmtId="0" xfId="0" applyAlignment="1" applyBorder="1" applyFont="1">
      <alignment horizontal="center" readingOrder="0" vertical="top"/>
    </xf>
    <xf borderId="2520" fillId="0" fontId="4" numFmtId="0" xfId="0" applyBorder="1" applyFont="1"/>
    <xf borderId="2521" fillId="0" fontId="4" numFmtId="0" xfId="0" applyBorder="1" applyFont="1"/>
    <xf borderId="2509" fillId="136" fontId="129" numFmtId="0" xfId="0" applyAlignment="1" applyBorder="1" applyFont="1">
      <alignment horizontal="center" vertical="center"/>
    </xf>
    <xf borderId="2512" fillId="136" fontId="129" numFmtId="0" xfId="0" applyAlignment="1" applyBorder="1" applyFont="1">
      <alignment horizontal="center" vertical="center"/>
    </xf>
    <xf borderId="2506" fillId="136" fontId="125" numFmtId="0" xfId="0" applyAlignment="1" applyBorder="1" applyFont="1">
      <alignment horizontal="center" vertical="center"/>
    </xf>
    <xf borderId="2522" fillId="136" fontId="110" numFmtId="0" xfId="0" applyAlignment="1" applyBorder="1" applyFont="1">
      <alignment horizontal="center" vertical="center"/>
    </xf>
    <xf borderId="2523" fillId="136" fontId="110" numFmtId="0" xfId="0" applyAlignment="1" applyBorder="1" applyFont="1">
      <alignment horizontal="right" vertical="top"/>
    </xf>
    <xf borderId="2523" fillId="136" fontId="110" numFmtId="0" xfId="0" applyAlignment="1" applyBorder="1" applyFont="1">
      <alignment horizontal="left" vertical="top"/>
    </xf>
    <xf borderId="2524" fillId="136" fontId="110" numFmtId="0" xfId="0" applyAlignment="1" applyBorder="1" applyFont="1">
      <alignment horizontal="center" vertical="top"/>
    </xf>
    <xf borderId="2525" fillId="136" fontId="76" numFmtId="0" xfId="0" applyAlignment="1" applyBorder="1" applyFont="1">
      <alignment horizontal="right" vertical="center"/>
    </xf>
    <xf borderId="2526" fillId="136" fontId="125" numFmtId="0" xfId="0" applyAlignment="1" applyBorder="1" applyFont="1">
      <alignment horizontal="center" vertical="center"/>
    </xf>
    <xf borderId="2527" fillId="136" fontId="110" numFmtId="0" xfId="0" applyAlignment="1" applyBorder="1" applyFont="1">
      <alignment horizontal="center" vertical="center"/>
    </xf>
    <xf borderId="2528" fillId="136" fontId="110" numFmtId="0" xfId="0" applyAlignment="1" applyBorder="1" applyFont="1">
      <alignment horizontal="center" vertical="top"/>
    </xf>
    <xf borderId="2529" fillId="136" fontId="110" numFmtId="0" xfId="0" applyAlignment="1" applyBorder="1" applyFont="1">
      <alignment horizontal="center" vertical="top"/>
    </xf>
    <xf borderId="2530" fillId="136" fontId="125" numFmtId="0" xfId="0" applyAlignment="1" applyBorder="1" applyFont="1">
      <alignment horizontal="center" vertical="center"/>
    </xf>
    <xf borderId="2530" fillId="136" fontId="76" numFmtId="0" xfId="0" applyAlignment="1" applyBorder="1" applyFont="1">
      <alignment horizontal="right" vertical="center"/>
    </xf>
    <xf borderId="2531" fillId="136" fontId="110" numFmtId="0" xfId="0" applyAlignment="1" applyBorder="1" applyFont="1">
      <alignment horizontal="center" readingOrder="0" vertical="center"/>
    </xf>
    <xf borderId="2532" fillId="0" fontId="4" numFmtId="0" xfId="0" applyBorder="1" applyFont="1"/>
    <xf borderId="2533" fillId="0" fontId="4" numFmtId="0" xfId="0" applyBorder="1" applyFont="1"/>
    <xf borderId="2534" fillId="136" fontId="110" numFmtId="0" xfId="0" applyAlignment="1" applyBorder="1" applyFont="1">
      <alignment horizontal="center" readingOrder="0" vertical="center"/>
    </xf>
    <xf borderId="2535" fillId="0" fontId="4" numFmtId="0" xfId="0" applyBorder="1" applyFont="1"/>
    <xf borderId="2536" fillId="136" fontId="110" numFmtId="0" xfId="0" applyAlignment="1" applyBorder="1" applyFont="1">
      <alignment horizontal="center" readingOrder="0" vertical="center"/>
    </xf>
    <xf borderId="2537" fillId="136" fontId="110" numFmtId="0" xfId="0" applyAlignment="1" applyBorder="1" applyFont="1">
      <alignment horizontal="center" readingOrder="0" vertical="center"/>
    </xf>
    <xf borderId="2530" fillId="136" fontId="74" numFmtId="0" xfId="0" applyAlignment="1" applyBorder="1" applyFont="1">
      <alignment horizontal="right" vertical="center"/>
    </xf>
    <xf borderId="2538" fillId="0" fontId="4" numFmtId="0" xfId="0" applyBorder="1" applyFont="1"/>
    <xf borderId="2539" fillId="136" fontId="110" numFmtId="0" xfId="0" applyAlignment="1" applyBorder="1" applyFont="1">
      <alignment horizontal="center" readingOrder="0" vertical="center"/>
    </xf>
    <xf borderId="2540" fillId="136" fontId="110" numFmtId="0" xfId="0" applyAlignment="1" applyBorder="1" applyFont="1">
      <alignment horizontal="center" readingOrder="0" vertical="center"/>
    </xf>
    <xf borderId="2541" fillId="136" fontId="110" numFmtId="0" xfId="0" applyAlignment="1" applyBorder="1" applyFont="1">
      <alignment horizontal="center" readingOrder="0" vertical="center"/>
    </xf>
    <xf borderId="2542" fillId="0" fontId="4" numFmtId="0" xfId="0" applyBorder="1" applyFont="1"/>
    <xf borderId="2543" fillId="0" fontId="4" numFmtId="0" xfId="0" applyBorder="1" applyFont="1"/>
    <xf borderId="2544" fillId="136" fontId="110" numFmtId="0" xfId="0" applyAlignment="1" applyBorder="1" applyFont="1">
      <alignment horizontal="center" readingOrder="0" vertical="center"/>
    </xf>
    <xf borderId="2545" fillId="0" fontId="4" numFmtId="0" xfId="0" applyBorder="1" applyFont="1"/>
    <xf borderId="2546" fillId="0" fontId="4" numFmtId="0" xfId="0" applyBorder="1" applyFont="1"/>
    <xf borderId="2547" fillId="0" fontId="4" numFmtId="0" xfId="0" applyBorder="1" applyFont="1"/>
    <xf borderId="2496" fillId="0" fontId="4" numFmtId="0" xfId="0" applyBorder="1" applyFont="1"/>
    <xf borderId="2498" fillId="136" fontId="124" numFmtId="0" xfId="0" applyAlignment="1" applyBorder="1" applyFont="1">
      <alignment horizontal="center" vertical="center"/>
    </xf>
    <xf borderId="2530" fillId="136" fontId="131" numFmtId="0" xfId="0" applyAlignment="1" applyBorder="1" applyFont="1">
      <alignment horizontal="center" vertical="center"/>
    </xf>
    <xf borderId="2548" fillId="136" fontId="131" numFmtId="0" xfId="0" applyAlignment="1" applyBorder="1" applyFont="1">
      <alignment horizontal="center" vertical="top"/>
    </xf>
    <xf borderId="2549" fillId="136" fontId="131" numFmtId="0" xfId="0" applyAlignment="1" applyBorder="1" applyFont="1">
      <alignment horizontal="center" vertical="top"/>
    </xf>
    <xf borderId="2518" fillId="136" fontId="131" numFmtId="0" xfId="0" applyAlignment="1" applyBorder="1" applyFont="1">
      <alignment horizontal="center" vertical="top"/>
    </xf>
    <xf borderId="2550" fillId="136" fontId="131" numFmtId="0" xfId="0" applyAlignment="1" applyBorder="1" applyFont="1">
      <alignment horizontal="center" vertical="top"/>
    </xf>
    <xf borderId="2551" fillId="136" fontId="131" numFmtId="0" xfId="0" applyAlignment="1" applyBorder="1" applyFont="1">
      <alignment horizontal="center" vertical="top"/>
    </xf>
    <xf borderId="2530" fillId="136" fontId="131" numFmtId="0" xfId="0" applyAlignment="1" applyBorder="1" applyFont="1">
      <alignment horizontal="center" vertical="top"/>
    </xf>
    <xf borderId="2530" fillId="136" fontId="109" numFmtId="0" xfId="0" applyAlignment="1" applyBorder="1" applyFont="1">
      <alignment horizontal="center" vertical="center"/>
    </xf>
    <xf borderId="2530" fillId="136" fontId="132" numFmtId="0" xfId="0" applyAlignment="1" applyBorder="1" applyFont="1">
      <alignment horizontal="center" vertical="center"/>
    </xf>
    <xf borderId="2512" fillId="136" fontId="124" numFmtId="0" xfId="0" applyAlignment="1" applyBorder="1" applyFont="1">
      <alignment horizontal="center" vertical="center"/>
    </xf>
    <xf borderId="2498" fillId="136" fontId="133" numFmtId="0" xfId="0" applyAlignment="1" applyBorder="1" applyFont="1">
      <alignment horizontal="center" vertical="center"/>
    </xf>
    <xf borderId="2552" fillId="136" fontId="106" numFmtId="0" xfId="0" applyAlignment="1" applyBorder="1" applyFont="1">
      <alignment horizontal="center" vertical="center"/>
    </xf>
    <xf borderId="237" fillId="49" fontId="104" numFmtId="0" xfId="0" applyAlignment="1" applyBorder="1" applyFont="1">
      <alignment horizontal="center" readingOrder="0" vertical="top"/>
    </xf>
    <xf borderId="240" fillId="49" fontId="104" numFmtId="0" xfId="0" applyAlignment="1" applyBorder="1" applyFont="1">
      <alignment horizontal="center" readingOrder="0" vertical="top"/>
    </xf>
    <xf borderId="2553" fillId="136" fontId="106" numFmtId="0" xfId="0" applyAlignment="1" applyBorder="1" applyFont="1">
      <alignment horizontal="center" vertical="center"/>
    </xf>
    <xf borderId="2554" fillId="136" fontId="105" numFmtId="0" xfId="0" applyAlignment="1" applyBorder="1" applyFont="1">
      <alignment horizontal="center" vertical="top"/>
    </xf>
    <xf borderId="2555" fillId="136" fontId="133" numFmtId="0" xfId="0" applyAlignment="1" applyBorder="1" applyFont="1">
      <alignment horizontal="center" vertical="center"/>
    </xf>
    <xf borderId="2530" fillId="136" fontId="133" numFmtId="0" xfId="0" applyAlignment="1" applyBorder="1" applyFont="1">
      <alignment horizontal="center" vertical="center"/>
    </xf>
    <xf borderId="2530" fillId="136" fontId="106" numFmtId="0" xfId="0" applyAlignment="1" applyBorder="1" applyFont="1">
      <alignment horizontal="center" vertical="center"/>
    </xf>
    <xf borderId="2512" fillId="136" fontId="133" numFmtId="0" xfId="0" applyAlignment="1" applyBorder="1" applyFont="1">
      <alignment horizontal="center" vertical="center"/>
    </xf>
    <xf borderId="2556" fillId="49" fontId="104" numFmtId="0" xfId="0" applyAlignment="1" applyBorder="1" applyFont="1">
      <alignment horizontal="center" readingOrder="0" vertical="center"/>
    </xf>
    <xf borderId="2557" fillId="49" fontId="104" numFmtId="0" xfId="0" applyAlignment="1" applyBorder="1" applyFont="1">
      <alignment horizontal="center" readingOrder="0" vertical="center"/>
    </xf>
    <xf borderId="2558" fillId="49" fontId="104" numFmtId="0" xfId="0" applyAlignment="1" applyBorder="1" applyFont="1">
      <alignment horizontal="left" readingOrder="0" vertical="center"/>
    </xf>
    <xf borderId="2559" fillId="49" fontId="104" numFmtId="0" xfId="0" applyAlignment="1" applyBorder="1" applyFont="1">
      <alignment horizontal="center" readingOrder="0" vertical="center"/>
    </xf>
    <xf borderId="2560" fillId="136" fontId="106" numFmtId="0" xfId="0" applyAlignment="1" applyBorder="1" applyFont="1">
      <alignment horizontal="center" vertical="center"/>
    </xf>
    <xf borderId="2561" fillId="136" fontId="106" numFmtId="0" xfId="0" applyAlignment="1" applyBorder="1" applyFont="1">
      <alignment horizontal="center" vertical="center"/>
    </xf>
    <xf borderId="2554" fillId="136" fontId="105" numFmtId="0" xfId="0" applyAlignment="1" applyBorder="1" applyFont="1">
      <alignment horizontal="center" vertical="center"/>
    </xf>
    <xf borderId="2562" fillId="49" fontId="104" numFmtId="0" xfId="0" applyAlignment="1" applyBorder="1" applyFont="1">
      <alignment horizontal="center" readingOrder="0" vertical="center"/>
    </xf>
    <xf borderId="2563" fillId="49" fontId="104" numFmtId="0" xfId="0" applyAlignment="1" applyBorder="1" applyFont="1">
      <alignment horizontal="center" readingOrder="0" vertical="center"/>
    </xf>
    <xf borderId="2564" fillId="49" fontId="104" numFmtId="0" xfId="0" applyAlignment="1" applyBorder="1" applyFont="1">
      <alignment horizontal="left" readingOrder="0" vertical="center"/>
    </xf>
    <xf borderId="2565" fillId="49" fontId="104" numFmtId="0" xfId="0" applyAlignment="1" applyBorder="1" applyFont="1">
      <alignment horizontal="center" readingOrder="0" vertical="center"/>
    </xf>
    <xf borderId="2566" fillId="49" fontId="104" numFmtId="0" xfId="0" applyAlignment="1" applyBorder="1" applyFont="1">
      <alignment horizontal="center" readingOrder="0" vertical="center"/>
    </xf>
    <xf borderId="2567" fillId="49" fontId="104" numFmtId="0" xfId="0" applyAlignment="1" applyBorder="1" applyFont="1">
      <alignment horizontal="center" readingOrder="0" vertical="center"/>
    </xf>
    <xf borderId="2568" fillId="49" fontId="104" numFmtId="0" xfId="0" applyAlignment="1" applyBorder="1" applyFont="1">
      <alignment horizontal="left" readingOrder="0" vertical="center"/>
    </xf>
    <xf borderId="2569" fillId="49" fontId="104" numFmtId="0" xfId="0" applyAlignment="1" applyBorder="1" applyFont="1">
      <alignment horizontal="center" readingOrder="0" vertical="center"/>
    </xf>
    <xf borderId="2509" fillId="136" fontId="106" numFmtId="0" xfId="0" applyAlignment="1" applyBorder="1" applyFont="1">
      <alignment horizontal="center" vertical="center"/>
    </xf>
    <xf borderId="253" fillId="49" fontId="104" numFmtId="0" xfId="0" applyAlignment="1" applyBorder="1" applyFont="1">
      <alignment horizontal="right" readingOrder="0" vertical="center"/>
    </xf>
    <xf borderId="256" fillId="49" fontId="104" numFmtId="0" xfId="0" applyAlignment="1" applyBorder="1" applyFont="1">
      <alignment horizontal="center" readingOrder="0" vertical="center"/>
    </xf>
    <xf borderId="543" fillId="49" fontId="104" numFmtId="0" xfId="0" applyAlignment="1" applyBorder="1" applyFont="1">
      <alignment horizontal="right" readingOrder="0" vertical="center"/>
    </xf>
    <xf borderId="546" fillId="49" fontId="104" numFmtId="0" xfId="0" applyAlignment="1" applyBorder="1" applyFont="1">
      <alignment horizontal="center" readingOrder="0" vertical="center"/>
    </xf>
    <xf borderId="2525" fillId="136" fontId="106" numFmtId="0" xfId="0" applyAlignment="1" applyBorder="1" applyFont="1">
      <alignment horizontal="center" vertical="center"/>
    </xf>
    <xf borderId="2525" fillId="136" fontId="76" numFmtId="0" xfId="0" applyAlignment="1" applyBorder="1" applyFont="1">
      <alignment horizontal="right" vertical="top"/>
    </xf>
    <xf borderId="2525" fillId="136" fontId="133" numFmtId="0" xfId="0" applyAlignment="1" applyBorder="1" applyFont="1">
      <alignment horizontal="center" vertical="center"/>
    </xf>
    <xf borderId="2496" fillId="136" fontId="106" numFmtId="0" xfId="0" applyAlignment="1" applyBorder="1" applyFont="1">
      <alignment horizontal="center" vertical="center"/>
    </xf>
    <xf borderId="2496" fillId="136" fontId="76" numFmtId="0" xfId="0" applyAlignment="1" applyBorder="1" applyFont="1">
      <alignment horizontal="right" vertical="top"/>
    </xf>
    <xf borderId="2496" fillId="136" fontId="133" numFmtId="0" xfId="0" applyAlignment="1" applyBorder="1" applyFont="1">
      <alignment horizontal="center" vertical="center"/>
    </xf>
    <xf borderId="2570" fillId="136" fontId="133" numFmtId="0" xfId="0" applyAlignment="1" applyBorder="1" applyFont="1">
      <alignment horizontal="center" vertical="center"/>
    </xf>
    <xf borderId="2571" fillId="136" fontId="133" numFmtId="0" xfId="0" applyAlignment="1" applyBorder="1" applyFont="1">
      <alignment horizontal="center" vertical="center"/>
    </xf>
    <xf borderId="548" fillId="49" fontId="104" numFmtId="0" xfId="0" applyAlignment="1" applyBorder="1" applyFont="1">
      <alignment horizontal="right" readingOrder="0" vertical="center"/>
    </xf>
    <xf borderId="551" fillId="49" fontId="104" numFmtId="0" xfId="0" applyAlignment="1" applyBorder="1" applyFont="1">
      <alignment horizontal="center" readingOrder="0" vertical="center"/>
    </xf>
    <xf borderId="2572" fillId="136" fontId="125" numFmtId="0" xfId="0" applyAlignment="1" applyBorder="1" applyFont="1">
      <alignment horizontal="center" vertical="center"/>
    </xf>
    <xf borderId="2573" fillId="136" fontId="76" numFmtId="0" xfId="0" applyAlignment="1" applyBorder="1" applyFont="1">
      <alignment horizontal="right" vertical="center"/>
    </xf>
    <xf borderId="2573" fillId="136" fontId="125" numFmtId="0" xfId="0" applyAlignment="1" applyBorder="1" applyFont="1">
      <alignment horizontal="center" vertical="center"/>
    </xf>
    <xf borderId="2573" fillId="136" fontId="125" numFmtId="0" xfId="0" applyAlignment="1" applyBorder="1" applyFont="1">
      <alignment horizontal="center" readingOrder="0" vertical="center"/>
    </xf>
    <xf borderId="2574" fillId="136" fontId="125" numFmtId="0" xfId="0" applyAlignment="1" applyBorder="1" applyFont="1">
      <alignment horizontal="center" readingOrder="0" vertical="center"/>
    </xf>
    <xf borderId="2575" fillId="136" fontId="125" numFmtId="0" xfId="0" applyAlignment="1" applyBorder="1" applyFont="1">
      <alignment horizontal="center" vertical="center"/>
    </xf>
    <xf borderId="2096" fillId="121" fontId="133" numFmtId="0" xfId="0" applyAlignment="1" applyBorder="1" applyFont="1">
      <alignment horizontal="center" vertical="center"/>
    </xf>
    <xf borderId="969" fillId="24" fontId="127" numFmtId="0" xfId="0" applyAlignment="1" applyBorder="1" applyFont="1">
      <alignment horizontal="center" vertical="center"/>
    </xf>
    <xf borderId="2576" fillId="137" fontId="125" numFmtId="0" xfId="0" applyAlignment="1" applyBorder="1" applyFill="1" applyFont="1">
      <alignment horizontal="center" vertical="center"/>
    </xf>
    <xf borderId="2577" fillId="137" fontId="74" numFmtId="0" xfId="0" applyAlignment="1" applyBorder="1" applyFont="1">
      <alignment horizontal="right" readingOrder="0" vertical="center"/>
    </xf>
    <xf borderId="2578" fillId="137" fontId="125" numFmtId="0" xfId="0" applyAlignment="1" applyBorder="1" applyFont="1">
      <alignment horizontal="center" vertical="center"/>
    </xf>
    <xf borderId="2579" fillId="137" fontId="125" numFmtId="0" xfId="0" applyAlignment="1" applyBorder="1" applyFont="1">
      <alignment horizontal="center" vertical="center"/>
    </xf>
    <xf borderId="2580" fillId="137" fontId="76" numFmtId="0" xfId="0" applyAlignment="1" applyBorder="1" applyFont="1">
      <alignment horizontal="right" vertical="center"/>
    </xf>
    <xf borderId="2581" fillId="137" fontId="125" numFmtId="0" xfId="0" applyAlignment="1" applyBorder="1" applyFont="1">
      <alignment horizontal="center" vertical="center"/>
    </xf>
    <xf borderId="2582" fillId="137" fontId="167" numFmtId="0" xfId="0" applyAlignment="1" applyBorder="1" applyFont="1">
      <alignment horizontal="left" readingOrder="0" vertical="center"/>
    </xf>
    <xf borderId="2583" fillId="0" fontId="4" numFmtId="0" xfId="0" applyBorder="1" applyFont="1"/>
    <xf borderId="2584" fillId="0" fontId="4" numFmtId="0" xfId="0" applyBorder="1" applyFont="1"/>
    <xf borderId="2585" fillId="137" fontId="125" numFmtId="0" xfId="0" applyAlignment="1" applyBorder="1" applyFont="1">
      <alignment horizontal="center" vertical="center"/>
    </xf>
    <xf borderId="2586" fillId="137" fontId="125" numFmtId="0" xfId="0" applyAlignment="1" applyBorder="1" applyFont="1">
      <alignment horizontal="center" vertical="center"/>
    </xf>
    <xf borderId="189" fillId="138" fontId="76" numFmtId="0" xfId="0" applyAlignment="1" applyBorder="1" applyFill="1" applyFont="1">
      <alignment horizontal="center" vertical="center"/>
    </xf>
    <xf borderId="2587" fillId="137" fontId="127" numFmtId="0" xfId="0" applyAlignment="1" applyBorder="1" applyFont="1">
      <alignment horizontal="center" vertical="center"/>
    </xf>
    <xf borderId="969" fillId="139" fontId="119" numFmtId="0" xfId="0" applyAlignment="1" applyBorder="1" applyFill="1" applyFont="1">
      <alignment horizontal="center" vertical="center"/>
    </xf>
    <xf borderId="969" fillId="38" fontId="119" numFmtId="0" xfId="0" applyAlignment="1" applyBorder="1" applyFont="1">
      <alignment horizontal="center" vertical="center"/>
    </xf>
    <xf borderId="2584" fillId="137" fontId="125" numFmtId="0" xfId="0" applyAlignment="1" applyBorder="1" applyFont="1">
      <alignment horizontal="center" vertical="center"/>
    </xf>
    <xf borderId="2588" fillId="137" fontId="125" numFmtId="0" xfId="0" applyAlignment="1" applyBorder="1" applyFont="1">
      <alignment horizontal="center" vertical="center"/>
    </xf>
    <xf borderId="2587" fillId="0" fontId="4" numFmtId="0" xfId="0" applyBorder="1" applyFont="1"/>
    <xf borderId="2589" fillId="0" fontId="4" numFmtId="0" xfId="0" applyBorder="1" applyFont="1"/>
    <xf borderId="2590" fillId="137" fontId="125" numFmtId="0" xfId="0" applyAlignment="1" applyBorder="1" applyFont="1">
      <alignment horizontal="center" vertical="center"/>
    </xf>
    <xf borderId="2586" fillId="137" fontId="110" numFmtId="0" xfId="0" applyAlignment="1" applyBorder="1" applyFont="1">
      <alignment horizontal="center" vertical="center"/>
    </xf>
    <xf borderId="1629" fillId="137" fontId="76" numFmtId="0" xfId="0" applyAlignment="1" applyBorder="1" applyFont="1">
      <alignment horizontal="right" readingOrder="0" vertical="center"/>
    </xf>
    <xf borderId="2587" fillId="137" fontId="110" numFmtId="0" xfId="0" applyAlignment="1" applyBorder="1" applyFont="1">
      <alignment horizontal="center" readingOrder="0" vertical="center"/>
    </xf>
    <xf borderId="2591" fillId="137" fontId="112" numFmtId="0" xfId="0" applyAlignment="1" applyBorder="1" applyFont="1">
      <alignment horizontal="center" readingOrder="0" vertical="center"/>
    </xf>
    <xf borderId="2592" fillId="0" fontId="4" numFmtId="0" xfId="0" applyBorder="1" applyFont="1"/>
    <xf borderId="2593" fillId="0" fontId="4" numFmtId="0" xfId="0" applyBorder="1" applyFont="1"/>
    <xf borderId="2594" fillId="140" fontId="112" numFmtId="0" xfId="0" applyAlignment="1" applyBorder="1" applyFill="1" applyFont="1">
      <alignment horizontal="center" readingOrder="0" vertical="center"/>
    </xf>
    <xf borderId="2595" fillId="0" fontId="4" numFmtId="0" xfId="0" applyBorder="1" applyFont="1"/>
    <xf borderId="2596" fillId="0" fontId="4" numFmtId="0" xfId="0" applyBorder="1" applyFont="1"/>
    <xf borderId="2597" fillId="140" fontId="112" numFmtId="0" xfId="0" applyAlignment="1" applyBorder="1" applyFont="1">
      <alignment horizontal="center" readingOrder="0" vertical="center"/>
    </xf>
    <xf borderId="2598" fillId="0" fontId="4" numFmtId="0" xfId="0" applyBorder="1" applyFont="1"/>
    <xf borderId="2599" fillId="0" fontId="4" numFmtId="0" xfId="0" applyBorder="1" applyFont="1"/>
    <xf borderId="2600" fillId="0" fontId="4" numFmtId="0" xfId="0" applyBorder="1" applyFont="1"/>
    <xf borderId="2588" fillId="137" fontId="110" numFmtId="0" xfId="0" applyAlignment="1" applyBorder="1" applyFont="1">
      <alignment horizontal="center" vertical="center"/>
    </xf>
    <xf borderId="2590" fillId="137" fontId="110" numFmtId="0" xfId="0" applyAlignment="1" applyBorder="1" applyFont="1">
      <alignment horizontal="center" vertical="center"/>
    </xf>
    <xf borderId="2586" fillId="137" fontId="129" numFmtId="0" xfId="0" applyAlignment="1" applyBorder="1" applyFont="1">
      <alignment horizontal="center" vertical="center"/>
    </xf>
    <xf borderId="2587" fillId="137" fontId="129" numFmtId="0" xfId="0" applyAlignment="1" applyBorder="1" applyFont="1">
      <alignment horizontal="center" vertical="center"/>
    </xf>
    <xf borderId="2601" fillId="137" fontId="114" numFmtId="0" xfId="0" applyAlignment="1" applyBorder="1" applyFont="1">
      <alignment horizontal="center" readingOrder="0" vertical="top"/>
    </xf>
    <xf borderId="2602" fillId="0" fontId="4" numFmtId="0" xfId="0" applyBorder="1" applyFont="1"/>
    <xf borderId="2603" fillId="0" fontId="4" numFmtId="0" xfId="0" applyBorder="1" applyFont="1"/>
    <xf borderId="2604" fillId="140" fontId="114" numFmtId="0" xfId="0" applyAlignment="1" applyBorder="1" applyFont="1">
      <alignment horizontal="center" readingOrder="0" vertical="top"/>
    </xf>
    <xf borderId="2605" fillId="0" fontId="4" numFmtId="0" xfId="0" applyBorder="1" applyFont="1"/>
    <xf borderId="2606" fillId="0" fontId="4" numFmtId="0" xfId="0" applyBorder="1" applyFont="1"/>
    <xf borderId="2607" fillId="140" fontId="114" numFmtId="0" xfId="0" applyAlignment="1" applyBorder="1" applyFont="1">
      <alignment horizontal="center" readingOrder="0" vertical="top"/>
    </xf>
    <xf borderId="2608" fillId="0" fontId="4" numFmtId="0" xfId="0" applyBorder="1" applyFont="1"/>
    <xf borderId="2609" fillId="0" fontId="4" numFmtId="0" xfId="0" applyBorder="1" applyFont="1"/>
    <xf borderId="2588" fillId="137" fontId="129" numFmtId="0" xfId="0" applyAlignment="1" applyBorder="1" applyFont="1">
      <alignment horizontal="center" readingOrder="0" vertical="center"/>
    </xf>
    <xf borderId="2590" fillId="137" fontId="129" numFmtId="0" xfId="0" applyAlignment="1" applyBorder="1" applyFont="1">
      <alignment horizontal="center" vertical="center"/>
    </xf>
    <xf borderId="2587" fillId="137" fontId="125" numFmtId="0" xfId="0" applyAlignment="1" applyBorder="1" applyFont="1">
      <alignment horizontal="center" vertical="center"/>
    </xf>
    <xf borderId="2610" fillId="137" fontId="110" numFmtId="0" xfId="0" applyAlignment="1" applyBorder="1" applyFont="1">
      <alignment horizontal="center" vertical="center"/>
    </xf>
    <xf borderId="2611" fillId="137" fontId="110" numFmtId="0" xfId="0" applyAlignment="1" applyBorder="1" applyFont="1">
      <alignment horizontal="center" vertical="top"/>
    </xf>
    <xf borderId="2612" fillId="0" fontId="4" numFmtId="0" xfId="0" applyBorder="1" applyFont="1"/>
    <xf borderId="2613" fillId="137" fontId="110" numFmtId="0" xfId="0" applyAlignment="1" applyBorder="1" applyFont="1">
      <alignment horizontal="center" vertical="top"/>
    </xf>
    <xf borderId="2614" fillId="137" fontId="110" numFmtId="0" xfId="0" applyAlignment="1" applyBorder="1" applyFont="1">
      <alignment horizontal="right" vertical="top"/>
    </xf>
    <xf borderId="2614" fillId="137" fontId="110" numFmtId="0" xfId="0" applyAlignment="1" applyBorder="1" applyFont="1">
      <alignment horizontal="left" vertical="top"/>
    </xf>
    <xf borderId="2615" fillId="140" fontId="110" numFmtId="0" xfId="0" applyAlignment="1" applyBorder="1" applyFont="1">
      <alignment horizontal="center" vertical="center"/>
    </xf>
    <xf borderId="2616" fillId="140" fontId="110" numFmtId="0" xfId="0" applyAlignment="1" applyBorder="1" applyFont="1">
      <alignment horizontal="center" vertical="top"/>
    </xf>
    <xf borderId="2617" fillId="0" fontId="4" numFmtId="0" xfId="0" applyBorder="1" applyFont="1"/>
    <xf borderId="2618" fillId="140" fontId="110" numFmtId="0" xfId="0" applyAlignment="1" applyBorder="1" applyFont="1">
      <alignment horizontal="center" vertical="top"/>
    </xf>
    <xf borderId="2619" fillId="140" fontId="110" numFmtId="0" xfId="0" applyAlignment="1" applyBorder="1" applyFont="1">
      <alignment horizontal="center" vertical="center"/>
    </xf>
    <xf borderId="2620" fillId="140" fontId="110" numFmtId="0" xfId="0" applyAlignment="1" applyBorder="1" applyFont="1">
      <alignment horizontal="center" vertical="top"/>
    </xf>
    <xf borderId="2588" fillId="137" fontId="125" numFmtId="0" xfId="0" applyAlignment="1" applyBorder="1" applyFont="1">
      <alignment horizontal="center" readingOrder="0" vertical="center"/>
    </xf>
    <xf borderId="2621" fillId="137" fontId="110" numFmtId="0" xfId="0" applyAlignment="1" applyBorder="1" applyFont="1">
      <alignment horizontal="center" vertical="center"/>
    </xf>
    <xf borderId="2622" fillId="137" fontId="110" numFmtId="0" xfId="0" applyAlignment="1" applyBorder="1" applyFont="1">
      <alignment horizontal="center" vertical="top"/>
    </xf>
    <xf borderId="2623" fillId="137" fontId="110" numFmtId="0" xfId="0" applyAlignment="1" applyBorder="1" applyFont="1">
      <alignment horizontal="center" vertical="top"/>
    </xf>
    <xf borderId="2624" fillId="140" fontId="110" numFmtId="0" xfId="0" applyAlignment="1" applyBorder="1" applyFont="1">
      <alignment horizontal="center" vertical="center"/>
    </xf>
    <xf borderId="2625" fillId="140" fontId="110" numFmtId="0" xfId="0" applyAlignment="1" applyBorder="1" applyFont="1">
      <alignment horizontal="center" vertical="top"/>
    </xf>
    <xf borderId="2626" fillId="140" fontId="110" numFmtId="0" xfId="0" applyAlignment="1" applyBorder="1" applyFont="1">
      <alignment horizontal="center" vertical="top"/>
    </xf>
    <xf borderId="2627" fillId="137" fontId="110" numFmtId="0" xfId="0" applyAlignment="1" applyBorder="1" applyFont="1">
      <alignment horizontal="center" readingOrder="0" vertical="center"/>
    </xf>
    <xf borderId="2628" fillId="0" fontId="4" numFmtId="0" xfId="0" applyBorder="1" applyFont="1"/>
    <xf borderId="2629" fillId="0" fontId="4" numFmtId="0" xfId="0" applyBorder="1" applyFont="1"/>
    <xf borderId="2630" fillId="140" fontId="110" numFmtId="0" xfId="0" applyAlignment="1" applyBorder="1" applyFont="1">
      <alignment horizontal="center" readingOrder="0" vertical="center"/>
    </xf>
    <xf borderId="2631" fillId="0" fontId="4" numFmtId="0" xfId="0" applyBorder="1" applyFont="1"/>
    <xf borderId="2632" fillId="0" fontId="4" numFmtId="0" xfId="0" applyBorder="1" applyFont="1"/>
    <xf borderId="2633" fillId="137" fontId="110" numFmtId="0" xfId="0" applyAlignment="1" applyBorder="1" applyFont="1">
      <alignment horizontal="center" readingOrder="0" vertical="center"/>
    </xf>
    <xf borderId="2634" fillId="0" fontId="4" numFmtId="0" xfId="0" applyBorder="1" applyFont="1"/>
    <xf borderId="2604" fillId="140" fontId="110" numFmtId="0" xfId="0" applyAlignment="1" applyBorder="1" applyFont="1">
      <alignment horizontal="center" readingOrder="0" vertical="center"/>
    </xf>
    <xf borderId="2635" fillId="137" fontId="76" numFmtId="0" xfId="0" applyAlignment="1" applyBorder="1" applyFont="1">
      <alignment horizontal="right"/>
    </xf>
    <xf borderId="2636" fillId="137" fontId="110" numFmtId="0" xfId="0" applyAlignment="1" applyBorder="1" applyFont="1">
      <alignment horizontal="center" readingOrder="0" vertical="center"/>
    </xf>
    <xf borderId="2637" fillId="137" fontId="110" numFmtId="0" xfId="0" applyAlignment="1" applyBorder="1" applyFont="1">
      <alignment horizontal="center" readingOrder="0" vertical="center"/>
    </xf>
    <xf borderId="2638" fillId="140" fontId="110" numFmtId="0" xfId="0" applyAlignment="1" applyBorder="1" applyFont="1">
      <alignment horizontal="center" readingOrder="0" vertical="center"/>
    </xf>
    <xf borderId="2639" fillId="0" fontId="4" numFmtId="0" xfId="0" applyBorder="1" applyFont="1"/>
    <xf borderId="2640" fillId="0" fontId="4" numFmtId="0" xfId="0" applyBorder="1" applyFont="1"/>
    <xf borderId="2641" fillId="140" fontId="110" numFmtId="0" xfId="0" applyAlignment="1" applyBorder="1" applyFont="1">
      <alignment horizontal="center" readingOrder="0" vertical="center"/>
    </xf>
    <xf borderId="2581" fillId="137" fontId="76" numFmtId="0" xfId="0" applyAlignment="1" applyBorder="1" applyFont="1">
      <alignment horizontal="right"/>
    </xf>
    <xf borderId="2588" fillId="137" fontId="125" numFmtId="0" xfId="0" applyAlignment="1" applyBorder="1" applyFont="1">
      <alignment horizontal="center" vertical="center"/>
    </xf>
    <xf borderId="2642" fillId="0" fontId="4" numFmtId="0" xfId="0" applyBorder="1" applyFont="1"/>
    <xf borderId="2629" fillId="137" fontId="110" numFmtId="0" xfId="0" applyAlignment="1" applyBorder="1" applyFont="1">
      <alignment horizontal="center" readingOrder="0" vertical="center"/>
    </xf>
    <xf borderId="2643" fillId="0" fontId="4" numFmtId="0" xfId="0" applyBorder="1" applyFont="1"/>
    <xf borderId="2632" fillId="140" fontId="110" numFmtId="0" xfId="0" applyAlignment="1" applyBorder="1" applyFont="1">
      <alignment horizontal="center" readingOrder="0" vertical="center"/>
    </xf>
    <xf borderId="2581" fillId="137" fontId="76" numFmtId="0" xfId="0" applyAlignment="1" applyBorder="1" applyFont="1">
      <alignment horizontal="right" vertical="center"/>
    </xf>
    <xf borderId="2634" fillId="137" fontId="110" numFmtId="0" xfId="0" applyAlignment="1" applyBorder="1" applyFont="1">
      <alignment horizontal="center" readingOrder="0" vertical="center"/>
    </xf>
    <xf borderId="2644" fillId="0" fontId="4" numFmtId="0" xfId="0" applyBorder="1" applyFont="1"/>
    <xf borderId="2606" fillId="140" fontId="110" numFmtId="0" xfId="0" applyAlignment="1" applyBorder="1" applyFont="1">
      <alignment horizontal="center" readingOrder="0" vertical="center"/>
    </xf>
    <xf borderId="2645" fillId="137" fontId="110" numFmtId="0" xfId="0" applyAlignment="1" applyBorder="1" applyFont="1">
      <alignment horizontal="center" readingOrder="0" vertical="center"/>
    </xf>
    <xf borderId="2646" fillId="0" fontId="4" numFmtId="0" xfId="0" applyBorder="1" applyFont="1"/>
    <xf borderId="2647" fillId="0" fontId="4" numFmtId="0" xfId="0" applyBorder="1" applyFont="1"/>
    <xf borderId="2648" fillId="137" fontId="110" numFmtId="0" xfId="0" applyAlignment="1" applyBorder="1" applyFont="1">
      <alignment horizontal="center" readingOrder="0" vertical="center"/>
    </xf>
    <xf borderId="2649" fillId="140" fontId="110" numFmtId="0" xfId="0" applyAlignment="1" applyBorder="1" applyFont="1">
      <alignment horizontal="center" readingOrder="0" vertical="center"/>
    </xf>
    <xf borderId="2650" fillId="0" fontId="4" numFmtId="0" xfId="0" applyBorder="1" applyFont="1"/>
    <xf borderId="2651" fillId="0" fontId="4" numFmtId="0" xfId="0" applyBorder="1" applyFont="1"/>
    <xf borderId="2652" fillId="140" fontId="110" numFmtId="0" xfId="0" applyAlignment="1" applyBorder="1" applyFont="1">
      <alignment horizontal="center" readingOrder="0" vertical="center"/>
    </xf>
    <xf borderId="2653" fillId="0" fontId="4" numFmtId="0" xfId="0" applyBorder="1" applyFont="1"/>
    <xf borderId="2579" fillId="137" fontId="124" numFmtId="0" xfId="0" applyAlignment="1" applyBorder="1" applyFont="1">
      <alignment horizontal="center" vertical="center"/>
    </xf>
    <xf borderId="2581" fillId="137" fontId="74" numFmtId="0" xfId="0" applyAlignment="1" applyBorder="1" applyFont="1">
      <alignment horizontal="right" vertical="center"/>
    </xf>
    <xf borderId="2581" fillId="137" fontId="131" numFmtId="0" xfId="0" applyAlignment="1" applyBorder="1" applyFont="1">
      <alignment horizontal="center" vertical="center"/>
    </xf>
    <xf borderId="2654" fillId="137" fontId="131" numFmtId="0" xfId="0" applyAlignment="1" applyBorder="1" applyFont="1">
      <alignment horizontal="center" vertical="top"/>
    </xf>
    <xf borderId="2655" fillId="137" fontId="131" numFmtId="0" xfId="0" applyAlignment="1" applyBorder="1" applyFont="1">
      <alignment horizontal="center" vertical="top"/>
    </xf>
    <xf borderId="2656" fillId="137" fontId="131" numFmtId="0" xfId="0" applyAlignment="1" applyBorder="1" applyFont="1">
      <alignment horizontal="center" vertical="top"/>
    </xf>
    <xf borderId="2657" fillId="137" fontId="132" numFmtId="0" xfId="0" applyAlignment="1" applyBorder="1" applyFont="1">
      <alignment horizontal="center" vertical="center"/>
    </xf>
    <xf borderId="2655" fillId="137" fontId="132" numFmtId="0" xfId="0" applyAlignment="1" applyBorder="1" applyFont="1">
      <alignment horizontal="center" vertical="center"/>
    </xf>
    <xf borderId="2581" fillId="137" fontId="132" numFmtId="0" xfId="0" applyAlignment="1" applyBorder="1" applyFont="1">
      <alignment horizontal="center" vertical="center"/>
    </xf>
    <xf borderId="2590" fillId="137" fontId="124" numFmtId="0" xfId="0" applyAlignment="1" applyBorder="1" applyFont="1">
      <alignment horizontal="center" vertical="center"/>
    </xf>
    <xf borderId="2579" fillId="137" fontId="133" numFmtId="0" xfId="0" applyAlignment="1" applyBorder="1" applyFont="1">
      <alignment horizontal="center" vertical="center"/>
    </xf>
    <xf borderId="2581" fillId="137" fontId="116" numFmtId="0" xfId="0" applyAlignment="1" applyBorder="1" applyFont="1">
      <alignment horizontal="right" vertical="center"/>
    </xf>
    <xf borderId="2588" fillId="137" fontId="106" numFmtId="0" xfId="0" applyAlignment="1" applyBorder="1" applyFont="1">
      <alignment horizontal="center" vertical="center"/>
    </xf>
    <xf borderId="237" fillId="141" fontId="104" numFmtId="0" xfId="0" applyAlignment="1" applyBorder="1" applyFill="1" applyFont="1">
      <alignment horizontal="center" readingOrder="0" vertical="top"/>
    </xf>
    <xf borderId="240" fillId="141" fontId="104" numFmtId="0" xfId="0" applyAlignment="1" applyBorder="1" applyFont="1">
      <alignment horizontal="center" readingOrder="0" vertical="top"/>
    </xf>
    <xf borderId="2658" fillId="137" fontId="131" numFmtId="0" xfId="0" applyAlignment="1" applyBorder="1" applyFont="1">
      <alignment horizontal="center" vertical="center"/>
    </xf>
    <xf borderId="2588" fillId="137" fontId="131" numFmtId="0" xfId="0" applyAlignment="1" applyBorder="1" applyFont="1">
      <alignment horizontal="center" vertical="center"/>
    </xf>
    <xf borderId="237" fillId="38" fontId="104" numFmtId="0" xfId="0" applyAlignment="1" applyBorder="1" applyFont="1">
      <alignment horizontal="center" readingOrder="0" vertical="top"/>
    </xf>
    <xf borderId="240" fillId="38" fontId="104" numFmtId="0" xfId="0" applyAlignment="1" applyBorder="1" applyFont="1">
      <alignment horizontal="center" readingOrder="0" vertical="top"/>
    </xf>
    <xf borderId="2659" fillId="137" fontId="133" numFmtId="0" xfId="0" applyAlignment="1" applyBorder="1" applyFont="1">
      <alignment horizontal="center" vertical="center"/>
    </xf>
    <xf borderId="2581" fillId="137" fontId="133" numFmtId="0" xfId="0" applyAlignment="1" applyBorder="1" applyFont="1">
      <alignment horizontal="center" vertical="center"/>
    </xf>
    <xf borderId="2590" fillId="137" fontId="133" numFmtId="0" xfId="0" applyAlignment="1" applyBorder="1" applyFont="1">
      <alignment horizontal="center" vertical="center"/>
    </xf>
    <xf borderId="2658" fillId="137" fontId="106" numFmtId="0" xfId="0" applyAlignment="1" applyBorder="1" applyFont="1">
      <alignment horizontal="center" vertical="center"/>
    </xf>
    <xf borderId="2660" fillId="141" fontId="104" numFmtId="0" xfId="0" applyAlignment="1" applyBorder="1" applyFont="1">
      <alignment horizontal="center" readingOrder="0" vertical="center"/>
    </xf>
    <xf borderId="2661" fillId="141" fontId="104" numFmtId="0" xfId="0" applyAlignment="1" applyBorder="1" applyFont="1">
      <alignment horizontal="center" readingOrder="0" vertical="center"/>
    </xf>
    <xf borderId="2662" fillId="141" fontId="104" numFmtId="0" xfId="0" applyAlignment="1" applyBorder="1" applyFont="1">
      <alignment horizontal="left" readingOrder="0" vertical="center"/>
    </xf>
    <xf borderId="2663" fillId="141" fontId="104" numFmtId="0" xfId="0" applyAlignment="1" applyBorder="1" applyFont="1">
      <alignment horizontal="center" readingOrder="0" vertical="center"/>
    </xf>
    <xf borderId="2664" fillId="38" fontId="104" numFmtId="0" xfId="0" applyAlignment="1" applyBorder="1" applyFont="1">
      <alignment horizontal="center" readingOrder="0" vertical="center"/>
    </xf>
    <xf borderId="2665" fillId="38" fontId="104" numFmtId="0" xfId="0" applyAlignment="1" applyBorder="1" applyFont="1">
      <alignment horizontal="center" readingOrder="0" vertical="center"/>
    </xf>
    <xf borderId="2666" fillId="38" fontId="104" numFmtId="0" xfId="0" applyAlignment="1" applyBorder="1" applyFont="1">
      <alignment horizontal="left" readingOrder="0" vertical="center"/>
    </xf>
    <xf borderId="2667" fillId="38" fontId="104" numFmtId="0" xfId="0" applyAlignment="1" applyBorder="1" applyFont="1">
      <alignment horizontal="center" readingOrder="0" vertical="center"/>
    </xf>
    <xf borderId="2668" fillId="141" fontId="104" numFmtId="0" xfId="0" applyAlignment="1" applyBorder="1" applyFont="1">
      <alignment horizontal="center" readingOrder="0" vertical="center"/>
    </xf>
    <xf borderId="2669" fillId="141" fontId="104" numFmtId="0" xfId="0" applyAlignment="1" applyBorder="1" applyFont="1">
      <alignment horizontal="center" readingOrder="0" vertical="center"/>
    </xf>
    <xf borderId="2670" fillId="141" fontId="104" numFmtId="0" xfId="0" applyAlignment="1" applyBorder="1" applyFont="1">
      <alignment horizontal="left" readingOrder="0" vertical="center"/>
    </xf>
    <xf borderId="2671" fillId="141" fontId="104" numFmtId="0" xfId="0" applyAlignment="1" applyBorder="1" applyFont="1">
      <alignment horizontal="center" readingOrder="0" vertical="center"/>
    </xf>
    <xf borderId="2672" fillId="38" fontId="104" numFmtId="0" xfId="0" applyAlignment="1" applyBorder="1" applyFont="1">
      <alignment horizontal="center" readingOrder="0" vertical="center"/>
    </xf>
    <xf borderId="2673" fillId="38" fontId="104" numFmtId="0" xfId="0" applyAlignment="1" applyBorder="1" applyFont="1">
      <alignment horizontal="center" readingOrder="0" vertical="center"/>
    </xf>
    <xf borderId="2674" fillId="38" fontId="104" numFmtId="0" xfId="0" applyAlignment="1" applyBorder="1" applyFont="1">
      <alignment horizontal="left" readingOrder="0" vertical="center"/>
    </xf>
    <xf borderId="2675" fillId="38" fontId="104" numFmtId="0" xfId="0" applyAlignment="1" applyBorder="1" applyFont="1">
      <alignment horizontal="center" readingOrder="0" vertical="center"/>
    </xf>
    <xf borderId="2676" fillId="141" fontId="104" numFmtId="0" xfId="0" applyAlignment="1" applyBorder="1" applyFont="1">
      <alignment horizontal="center" readingOrder="0" vertical="center"/>
    </xf>
    <xf borderId="2677" fillId="141" fontId="104" numFmtId="0" xfId="0" applyAlignment="1" applyBorder="1" applyFont="1">
      <alignment horizontal="center" readingOrder="0" vertical="center"/>
    </xf>
    <xf borderId="2678" fillId="141" fontId="104" numFmtId="0" xfId="0" applyAlignment="1" applyBorder="1" applyFont="1">
      <alignment horizontal="left" readingOrder="0" vertical="center"/>
    </xf>
    <xf borderId="2679" fillId="141" fontId="104" numFmtId="0" xfId="0" applyAlignment="1" applyBorder="1" applyFont="1">
      <alignment horizontal="center" readingOrder="0" vertical="center"/>
    </xf>
    <xf borderId="2680" fillId="38" fontId="104" numFmtId="0" xfId="0" applyAlignment="1" applyBorder="1" applyFont="1">
      <alignment horizontal="center" readingOrder="0" vertical="center"/>
    </xf>
    <xf borderId="2681" fillId="38" fontId="104" numFmtId="0" xfId="0" applyAlignment="1" applyBorder="1" applyFont="1">
      <alignment horizontal="center" readingOrder="0" vertical="center"/>
    </xf>
    <xf borderId="2682" fillId="38" fontId="104" numFmtId="0" xfId="0" applyAlignment="1" applyBorder="1" applyFont="1">
      <alignment horizontal="left" readingOrder="0" vertical="center"/>
    </xf>
    <xf borderId="2683" fillId="38" fontId="104" numFmtId="0" xfId="0" applyAlignment="1" applyBorder="1" applyFont="1">
      <alignment horizontal="center" readingOrder="0" vertical="center"/>
    </xf>
    <xf borderId="253" fillId="141" fontId="104" numFmtId="0" xfId="0" applyAlignment="1" applyBorder="1" applyFont="1">
      <alignment horizontal="right" readingOrder="0" vertical="center"/>
    </xf>
    <xf borderId="256" fillId="141" fontId="104" numFmtId="0" xfId="0" applyAlignment="1" applyBorder="1" applyFont="1">
      <alignment horizontal="center" readingOrder="0" vertical="center"/>
    </xf>
    <xf borderId="543" fillId="141" fontId="104" numFmtId="0" xfId="0" applyAlignment="1" applyBorder="1" applyFont="1">
      <alignment horizontal="right" readingOrder="0" vertical="center"/>
    </xf>
    <xf borderId="546" fillId="141" fontId="104" numFmtId="0" xfId="0" applyAlignment="1" applyBorder="1" applyFont="1">
      <alignment horizontal="center" readingOrder="0" vertical="center"/>
    </xf>
    <xf borderId="253" fillId="38" fontId="104" numFmtId="0" xfId="0" applyAlignment="1" applyBorder="1" applyFont="1">
      <alignment horizontal="right" readingOrder="0" vertical="center"/>
    </xf>
    <xf borderId="256" fillId="38" fontId="104" numFmtId="0" xfId="0" applyAlignment="1" applyBorder="1" applyFont="1">
      <alignment horizontal="center" readingOrder="0" vertical="center"/>
    </xf>
    <xf borderId="548" fillId="141" fontId="104" numFmtId="0" xfId="0" applyAlignment="1" applyBorder="1" applyFont="1">
      <alignment horizontal="right" readingOrder="0" vertical="center"/>
    </xf>
    <xf borderId="551" fillId="141" fontId="104" numFmtId="0" xfId="0" applyAlignment="1" applyBorder="1" applyFont="1">
      <alignment horizontal="center" readingOrder="0" vertical="center"/>
    </xf>
    <xf borderId="2577" fillId="137" fontId="74" numFmtId="0" xfId="0" applyAlignment="1" applyBorder="1" applyFont="1">
      <alignment horizontal="right" vertical="center"/>
    </xf>
    <xf borderId="2684" fillId="137" fontId="125" numFmtId="0" xfId="0" applyAlignment="1" applyBorder="1" applyFont="1">
      <alignment horizontal="center" vertical="center"/>
    </xf>
    <xf borderId="2685" fillId="137" fontId="76" numFmtId="0" xfId="0" applyAlignment="1" applyBorder="1" applyFont="1">
      <alignment horizontal="right" vertical="top"/>
    </xf>
    <xf borderId="2685" fillId="137" fontId="125" numFmtId="0" xfId="0" applyAlignment="1" applyBorder="1" applyFont="1">
      <alignment horizontal="center" vertical="center"/>
    </xf>
    <xf borderId="2686" fillId="137" fontId="110" numFmtId="0" xfId="0" applyAlignment="1" applyBorder="1" applyFont="1">
      <alignment horizontal="center" readingOrder="0" vertical="center"/>
    </xf>
    <xf borderId="2687" fillId="137" fontId="106" numFmtId="0" xfId="0" applyAlignment="1" applyBorder="1" applyFont="1">
      <alignment horizontal="center" vertical="center"/>
    </xf>
    <xf borderId="2688" fillId="137" fontId="125" numFmtId="0" xfId="0" applyAlignment="1" applyBorder="1" applyFont="1">
      <alignment horizontal="center" vertical="center"/>
    </xf>
    <xf borderId="2689" fillId="136" fontId="127" numFmtId="0" xfId="0" applyAlignment="1" applyBorder="1" applyFont="1">
      <alignment horizontal="center" vertical="center"/>
    </xf>
    <xf borderId="2502" fillId="136" fontId="110" numFmtId="0" xfId="0" applyAlignment="1" applyBorder="1" applyFont="1">
      <alignment horizontal="center" vertical="center"/>
    </xf>
    <xf borderId="2689" fillId="136" fontId="110" numFmtId="0" xfId="0" applyAlignment="1" applyBorder="1" applyFont="1">
      <alignment horizontal="center" readingOrder="0" vertical="center"/>
    </xf>
    <xf borderId="2689" fillId="136" fontId="129" numFmtId="0" xfId="0" applyAlignment="1" applyBorder="1" applyFont="1">
      <alignment horizontal="center" readingOrder="0" vertical="center"/>
    </xf>
    <xf borderId="2690" fillId="136" fontId="110" numFmtId="0" xfId="0" applyAlignment="1" applyBorder="1" applyFont="1">
      <alignment horizontal="center" vertical="top"/>
    </xf>
    <xf borderId="2691" fillId="0" fontId="4" numFmtId="0" xfId="0" applyBorder="1" applyFont="1"/>
    <xf borderId="2692" fillId="0" fontId="4" numFmtId="0" xfId="0" applyBorder="1" applyFont="1"/>
    <xf borderId="2693" fillId="136" fontId="105" numFmtId="0" xfId="0" applyAlignment="1" applyBorder="1" applyFont="1">
      <alignment horizontal="center" vertical="top"/>
    </xf>
    <xf borderId="2693" fillId="136" fontId="105" numFmtId="0" xfId="0" applyAlignment="1" applyBorder="1" applyFont="1">
      <alignment horizontal="center" vertical="center"/>
    </xf>
    <xf borderId="2694" fillId="9" fontId="125" numFmtId="0" xfId="0" applyAlignment="1" applyBorder="1" applyFont="1">
      <alignment horizontal="center" vertical="center"/>
    </xf>
    <xf borderId="2695" fillId="9" fontId="74" numFmtId="0" xfId="0" applyAlignment="1" applyBorder="1" applyFont="1">
      <alignment horizontal="right" readingOrder="0" vertical="center"/>
    </xf>
    <xf borderId="2696" fillId="9" fontId="125" numFmtId="0" xfId="0" applyAlignment="1" applyBorder="1" applyFont="1">
      <alignment horizontal="center" vertical="center"/>
    </xf>
    <xf borderId="2697" fillId="9" fontId="76" numFmtId="0" xfId="0" applyAlignment="1" applyBorder="1" applyFont="1">
      <alignment horizontal="right" vertical="center"/>
    </xf>
    <xf borderId="2698" fillId="9" fontId="168" numFmtId="0" xfId="0" applyAlignment="1" applyBorder="1" applyFont="1">
      <alignment horizontal="left" readingOrder="0" vertical="center"/>
    </xf>
    <xf borderId="1339" fillId="0" fontId="4" numFmtId="0" xfId="0" applyBorder="1" applyFont="1"/>
    <xf borderId="2699" fillId="9" fontId="125" numFmtId="0" xfId="0" applyAlignment="1" applyBorder="1" applyFont="1">
      <alignment horizontal="center" vertical="center"/>
    </xf>
    <xf borderId="189" fillId="50" fontId="76" numFmtId="0" xfId="0" applyAlignment="1" applyBorder="1" applyFont="1">
      <alignment horizontal="center" vertical="center"/>
    </xf>
    <xf borderId="969" fillId="50" fontId="119" numFmtId="0" xfId="0" applyAlignment="1" applyBorder="1" applyFont="1">
      <alignment horizontal="center" vertical="center"/>
    </xf>
    <xf borderId="762" fillId="9" fontId="76" numFmtId="0" xfId="0" applyAlignment="1" applyBorder="1" applyFont="1">
      <alignment horizontal="right" readingOrder="0" vertical="center"/>
    </xf>
    <xf borderId="1237" fillId="9" fontId="129" numFmtId="0" xfId="0" applyAlignment="1" applyBorder="1" applyFont="1">
      <alignment horizontal="center" vertical="center"/>
    </xf>
    <xf borderId="1225" fillId="9" fontId="129" numFmtId="0" xfId="0" applyAlignment="1" applyBorder="1" applyFont="1">
      <alignment horizontal="center" vertical="center"/>
    </xf>
    <xf borderId="2700" fillId="9" fontId="76" numFmtId="0" xfId="0" applyAlignment="1" applyBorder="1" applyFont="1">
      <alignment horizontal="right" vertical="center"/>
    </xf>
    <xf borderId="2701" fillId="9" fontId="110" numFmtId="0" xfId="0" applyAlignment="1" applyBorder="1" applyFont="1">
      <alignment horizontal="center" readingOrder="0" vertical="center"/>
    </xf>
    <xf borderId="1253" fillId="9" fontId="110" numFmtId="0" xfId="0" applyAlignment="1" applyBorder="1" applyFont="1">
      <alignment horizontal="center" readingOrder="0" vertical="center"/>
    </xf>
    <xf borderId="1255" fillId="9" fontId="110" numFmtId="0" xfId="0" applyAlignment="1" applyBorder="1" applyFont="1">
      <alignment horizontal="center" readingOrder="0" vertical="center"/>
    </xf>
    <xf borderId="2702" fillId="9" fontId="110" numFmtId="0" xfId="0" applyAlignment="1" applyBorder="1" applyFont="1">
      <alignment horizontal="center" readingOrder="0" vertical="center"/>
    </xf>
    <xf borderId="2703" fillId="9" fontId="131" numFmtId="0" xfId="0" applyAlignment="1" applyBorder="1" applyFont="1">
      <alignment horizontal="center" vertical="top"/>
    </xf>
    <xf borderId="2704" fillId="9" fontId="131" numFmtId="0" xfId="0" applyAlignment="1" applyBorder="1" applyFont="1">
      <alignment horizontal="center" vertical="top"/>
    </xf>
    <xf borderId="56" fillId="9" fontId="131" numFmtId="0" xfId="0" applyAlignment="1" applyBorder="1" applyFont="1">
      <alignment horizontal="center" vertical="top"/>
    </xf>
    <xf borderId="2705" fillId="9" fontId="131" numFmtId="0" xfId="0" applyAlignment="1" applyBorder="1" applyFont="1">
      <alignment horizontal="center" vertical="top"/>
    </xf>
    <xf borderId="2706" fillId="9" fontId="106" numFmtId="0" xfId="0" applyAlignment="1" applyBorder="1" applyFont="1">
      <alignment horizontal="center" vertical="center"/>
    </xf>
    <xf borderId="237" fillId="142" fontId="104" numFmtId="0" xfId="0" applyAlignment="1" applyBorder="1" applyFill="1" applyFont="1">
      <alignment horizontal="center" readingOrder="0" vertical="top"/>
    </xf>
    <xf borderId="240" fillId="142" fontId="104" numFmtId="0" xfId="0" applyAlignment="1" applyBorder="1" applyFont="1">
      <alignment horizontal="center" readingOrder="0" vertical="top"/>
    </xf>
    <xf borderId="2707" fillId="9" fontId="133" numFmtId="0" xfId="0" applyAlignment="1" applyBorder="1" applyFont="1">
      <alignment horizontal="center" vertical="center"/>
    </xf>
    <xf borderId="2708" fillId="9" fontId="106" numFmtId="0" xfId="0" applyAlignment="1" applyBorder="1" applyFont="1">
      <alignment horizontal="center" vertical="center"/>
    </xf>
    <xf borderId="2709" fillId="142" fontId="104" numFmtId="0" xfId="0" applyAlignment="1" applyBorder="1" applyFont="1">
      <alignment horizontal="center" readingOrder="0" vertical="center"/>
    </xf>
    <xf borderId="2710" fillId="142" fontId="104" numFmtId="0" xfId="0" applyAlignment="1" applyBorder="1" applyFont="1">
      <alignment horizontal="center" readingOrder="0" vertical="center"/>
    </xf>
    <xf borderId="2711" fillId="142" fontId="104" numFmtId="0" xfId="0" applyAlignment="1" applyBorder="1" applyFont="1">
      <alignment horizontal="left" readingOrder="0" vertical="center"/>
    </xf>
    <xf borderId="2712" fillId="142" fontId="104" numFmtId="0" xfId="0" applyAlignment="1" applyBorder="1" applyFont="1">
      <alignment horizontal="center" readingOrder="0" vertical="center"/>
    </xf>
    <xf borderId="2713" fillId="142" fontId="104" numFmtId="0" xfId="0" applyAlignment="1" applyBorder="1" applyFont="1">
      <alignment horizontal="center" readingOrder="0" vertical="center"/>
    </xf>
    <xf borderId="2714" fillId="142" fontId="104" numFmtId="0" xfId="0" applyAlignment="1" applyBorder="1" applyFont="1">
      <alignment horizontal="center" readingOrder="0" vertical="center"/>
    </xf>
    <xf borderId="2715" fillId="142" fontId="104" numFmtId="0" xfId="0" applyAlignment="1" applyBorder="1" applyFont="1">
      <alignment horizontal="left" readingOrder="0" vertical="center"/>
    </xf>
    <xf borderId="2716" fillId="142" fontId="104" numFmtId="0" xfId="0" applyAlignment="1" applyBorder="1" applyFont="1">
      <alignment horizontal="center" readingOrder="0" vertical="center"/>
    </xf>
    <xf borderId="2717" fillId="142" fontId="104" numFmtId="0" xfId="0" applyAlignment="1" applyBorder="1" applyFont="1">
      <alignment horizontal="center" readingOrder="0" vertical="center"/>
    </xf>
    <xf borderId="2718" fillId="142" fontId="104" numFmtId="0" xfId="0" applyAlignment="1" applyBorder="1" applyFont="1">
      <alignment horizontal="center" readingOrder="0" vertical="center"/>
    </xf>
    <xf borderId="2719" fillId="142" fontId="104" numFmtId="0" xfId="0" applyAlignment="1" applyBorder="1" applyFont="1">
      <alignment horizontal="left" readingOrder="0" vertical="center"/>
    </xf>
    <xf borderId="2720" fillId="142" fontId="104" numFmtId="0" xfId="0" applyAlignment="1" applyBorder="1" applyFont="1">
      <alignment horizontal="center" readingOrder="0" vertical="center"/>
    </xf>
    <xf borderId="253" fillId="142" fontId="104" numFmtId="0" xfId="0" applyAlignment="1" applyBorder="1" applyFont="1">
      <alignment horizontal="right" readingOrder="0" vertical="center"/>
    </xf>
    <xf borderId="256" fillId="142" fontId="104" numFmtId="0" xfId="0" applyAlignment="1" applyBorder="1" applyFont="1">
      <alignment horizontal="center" readingOrder="0" vertical="center"/>
    </xf>
    <xf borderId="543" fillId="142" fontId="104" numFmtId="0" xfId="0" applyAlignment="1" applyBorder="1" applyFont="1">
      <alignment horizontal="right" readingOrder="0" vertical="center"/>
    </xf>
    <xf borderId="546" fillId="142" fontId="104" numFmtId="0" xfId="0" applyAlignment="1" applyBorder="1" applyFont="1">
      <alignment horizontal="center" readingOrder="0" vertical="center"/>
    </xf>
    <xf borderId="53" fillId="9" fontId="106" numFmtId="0" xfId="0" applyAlignment="1" applyBorder="1" applyFont="1">
      <alignment horizontal="center" vertical="center"/>
    </xf>
    <xf borderId="548" fillId="142" fontId="104" numFmtId="0" xfId="0" applyAlignment="1" applyBorder="1" applyFont="1">
      <alignment horizontal="right" readingOrder="0" vertical="center"/>
    </xf>
    <xf borderId="551" fillId="142" fontId="104" numFmtId="0" xfId="0" applyAlignment="1" applyBorder="1" applyFont="1">
      <alignment horizontal="center" readingOrder="0" vertical="center"/>
    </xf>
    <xf borderId="71" fillId="9" fontId="74" numFmtId="0" xfId="0" applyAlignment="1" applyBorder="1" applyFont="1">
      <alignment horizontal="right" vertical="center"/>
    </xf>
    <xf borderId="1276" fillId="9" fontId="110" numFmtId="0" xfId="0" applyAlignment="1" applyBorder="1" applyFont="1">
      <alignment horizontal="center" vertical="center"/>
    </xf>
    <xf borderId="1277" fillId="9" fontId="110" numFmtId="0" xfId="0" applyAlignment="1" applyBorder="1" applyFont="1">
      <alignment horizontal="center" readingOrder="0" vertical="center"/>
    </xf>
    <xf borderId="2721" fillId="136" fontId="133" numFmtId="0" xfId="0" applyAlignment="1" applyBorder="1" applyFont="1">
      <alignment horizontal="center" vertical="center"/>
    </xf>
    <xf borderId="2500" fillId="136" fontId="74" numFmtId="0" xfId="0" applyAlignment="1" applyBorder="1" applyFont="1">
      <alignment horizontal="right" vertical="center"/>
    </xf>
    <xf borderId="2501" fillId="136" fontId="106" numFmtId="0" xfId="0" applyAlignment="1" applyBorder="1" applyFont="1">
      <alignment horizontal="center" vertical="center"/>
    </xf>
    <xf borderId="2502" fillId="136" fontId="106" numFmtId="0" xfId="0" applyAlignment="1" applyBorder="1" applyFont="1">
      <alignment horizontal="center" vertical="center"/>
    </xf>
    <xf borderId="2518" fillId="136" fontId="106" numFmtId="0" xfId="0" applyAlignment="1" applyBorder="1" applyFont="1">
      <alignment horizontal="center" vertical="center"/>
    </xf>
    <xf borderId="2518" fillId="136" fontId="133" numFmtId="0" xfId="0" applyAlignment="1" applyBorder="1" applyFont="1">
      <alignment horizontal="center" vertical="center"/>
    </xf>
    <xf borderId="2500" fillId="136" fontId="133" numFmtId="0" xfId="0" applyAlignment="1" applyBorder="1" applyFont="1">
      <alignment horizontal="center" vertical="center"/>
    </xf>
    <xf borderId="2502" fillId="136" fontId="105" numFmtId="0" xfId="0" applyAlignment="1" applyBorder="1" applyFont="1">
      <alignment horizontal="center" vertical="center"/>
    </xf>
    <xf borderId="2500" fillId="136" fontId="106" numFmtId="0" xfId="0" applyAlignment="1" applyBorder="1" applyFont="1">
      <alignment horizontal="center" vertical="center"/>
    </xf>
    <xf borderId="2504" fillId="136" fontId="133" numFmtId="0" xfId="0" applyAlignment="1" applyBorder="1" applyFont="1">
      <alignment horizontal="center" vertical="center"/>
    </xf>
    <xf borderId="74" fillId="9" fontId="110" numFmtId="0" xfId="0" applyAlignment="1" applyBorder="1" applyFont="1">
      <alignment horizontal="center" vertical="center"/>
    </xf>
    <xf borderId="56" fillId="9" fontId="110" numFmtId="0" xfId="0" applyAlignment="1" applyBorder="1" applyFont="1">
      <alignment horizontal="center" readingOrder="0" vertical="center"/>
    </xf>
    <xf borderId="57" fillId="9" fontId="110" numFmtId="0" xfId="0" applyAlignment="1" applyBorder="1" applyFont="1">
      <alignment horizontal="center" vertical="center"/>
    </xf>
    <xf borderId="74" fillId="9" fontId="74" numFmtId="0" xfId="0" applyAlignment="1" applyBorder="1" applyFont="1">
      <alignment horizontal="right" readingOrder="0" vertical="center"/>
    </xf>
    <xf borderId="1224" fillId="9" fontId="74" numFmtId="0" xfId="0" applyAlignment="1" applyBorder="1" applyFont="1">
      <alignment horizontal="right" readingOrder="0" vertical="center"/>
    </xf>
    <xf borderId="64" fillId="10" fontId="169" numFmtId="0" xfId="0" applyAlignment="1" applyBorder="1" applyFont="1">
      <alignment horizontal="center" vertical="center"/>
    </xf>
    <xf borderId="53" fillId="9" fontId="2" numFmtId="0" xfId="0" applyBorder="1" applyFont="1"/>
    <xf borderId="1341" fillId="9" fontId="2" numFmtId="0" xfId="0" applyBorder="1" applyFont="1"/>
    <xf borderId="74" fillId="9" fontId="148" numFmtId="0" xfId="0" applyAlignment="1" applyBorder="1" applyFont="1">
      <alignment horizontal="center" readingOrder="0" vertical="center"/>
    </xf>
    <xf borderId="71" fillId="9" fontId="110" numFmtId="0" xfId="0" applyAlignment="1" applyBorder="1" applyFont="1">
      <alignment horizontal="center" readingOrder="0" vertical="center"/>
    </xf>
    <xf borderId="71" fillId="9" fontId="110" numFmtId="0" xfId="0" applyAlignment="1" applyBorder="1" applyFont="1">
      <alignment horizontal="center" vertical="center"/>
    </xf>
    <xf borderId="1244" fillId="9" fontId="125" numFmtId="0" xfId="0" applyAlignment="1" applyBorder="1" applyFont="1">
      <alignment horizontal="right" vertical="top"/>
    </xf>
    <xf borderId="1244" fillId="9" fontId="125" numFmtId="0" xfId="0" applyAlignment="1" applyBorder="1" applyFont="1">
      <alignment horizontal="left" vertical="top"/>
    </xf>
    <xf borderId="2701" fillId="9" fontId="125" numFmtId="0" xfId="0" applyAlignment="1" applyBorder="1" applyFont="1">
      <alignment horizontal="center" readingOrder="0" vertical="center"/>
    </xf>
    <xf borderId="1253" fillId="9" fontId="125" numFmtId="0" xfId="0" applyAlignment="1" applyBorder="1" applyFont="1">
      <alignment horizontal="center" readingOrder="0" vertical="center"/>
    </xf>
    <xf borderId="1255" fillId="9" fontId="125" numFmtId="0" xfId="0" applyAlignment="1" applyBorder="1" applyFont="1">
      <alignment horizontal="center" readingOrder="0" vertical="center"/>
    </xf>
    <xf borderId="2702" fillId="9" fontId="125" numFmtId="0" xfId="0" applyAlignment="1" applyBorder="1" applyFont="1">
      <alignment horizontal="center" readingOrder="0" vertical="center"/>
    </xf>
    <xf borderId="71" fillId="9" fontId="133" numFmtId="0" xfId="0" applyAlignment="1" applyBorder="1" applyFont="1">
      <alignment horizontal="center" vertical="center"/>
    </xf>
    <xf borderId="71" fillId="9" fontId="106" numFmtId="0" xfId="0" applyAlignment="1" applyBorder="1" applyFont="1">
      <alignment horizontal="center" vertical="center"/>
    </xf>
    <xf borderId="1246" fillId="9" fontId="125" numFmtId="0" xfId="0" applyAlignment="1" applyBorder="1" applyFont="1">
      <alignment horizontal="center" vertical="top"/>
    </xf>
    <xf borderId="2722" fillId="9" fontId="110" numFmtId="0" xfId="0" applyAlignment="1" applyBorder="1" applyFont="1">
      <alignment horizontal="center" readingOrder="0" vertical="center"/>
    </xf>
    <xf borderId="62" fillId="0" fontId="4" numFmtId="0" xfId="0" applyBorder="1" applyFont="1"/>
    <xf borderId="2723" fillId="9" fontId="110" numFmtId="0" xfId="0" applyAlignment="1" applyBorder="1" applyFont="1">
      <alignment horizontal="center" readingOrder="0" vertical="center"/>
    </xf>
    <xf borderId="1254" fillId="9" fontId="119" numFmtId="0" xfId="0" applyAlignment="1" applyBorder="1" applyFont="1">
      <alignment horizontal="center" readingOrder="0" vertical="center"/>
    </xf>
    <xf borderId="48" fillId="9" fontId="125" numFmtId="0" xfId="0" applyAlignment="1" applyBorder="1" applyFont="1">
      <alignment horizontal="center" vertical="center"/>
    </xf>
    <xf borderId="2702" fillId="0" fontId="4" numFmtId="0" xfId="0" applyBorder="1" applyFont="1"/>
    <xf borderId="2724" fillId="9" fontId="133" numFmtId="0" xfId="0" applyAlignment="1" applyBorder="1" applyFont="1">
      <alignment horizontal="center" vertical="center"/>
    </xf>
    <xf borderId="2518" fillId="136" fontId="74" numFmtId="0" xfId="0" applyAlignment="1" applyBorder="1" applyFont="1">
      <alignment horizontal="right" vertical="center"/>
    </xf>
    <xf borderId="2725" fillId="143" fontId="125" numFmtId="0" xfId="0" applyAlignment="1" applyBorder="1" applyFill="1" applyFont="1">
      <alignment horizontal="center" vertical="center"/>
    </xf>
    <xf borderId="2726" fillId="143" fontId="76" numFmtId="0" xfId="0" applyAlignment="1" applyBorder="1" applyFont="1">
      <alignment horizontal="right" vertical="center"/>
    </xf>
    <xf borderId="2726" fillId="143" fontId="125" numFmtId="0" xfId="0" applyAlignment="1" applyBorder="1" applyFont="1">
      <alignment horizontal="center" vertical="center"/>
    </xf>
    <xf borderId="2726" fillId="143" fontId="148" numFmtId="0" xfId="0" applyAlignment="1" applyBorder="1" applyFont="1">
      <alignment horizontal="center" readingOrder="0" vertical="center"/>
    </xf>
    <xf borderId="2727" fillId="143" fontId="125" numFmtId="0" xfId="0" applyAlignment="1" applyBorder="1" applyFont="1">
      <alignment horizontal="center" vertical="center"/>
    </xf>
    <xf borderId="2728" fillId="143" fontId="125" numFmtId="0" xfId="0" applyAlignment="1" applyBorder="1" applyFont="1">
      <alignment horizontal="center" vertical="center"/>
    </xf>
    <xf borderId="2729" fillId="143" fontId="76" numFmtId="0" xfId="0" applyAlignment="1" applyBorder="1" applyFont="1">
      <alignment horizontal="right" vertical="center"/>
    </xf>
    <xf borderId="2729" fillId="143" fontId="125" numFmtId="0" xfId="0" applyAlignment="1" applyBorder="1" applyFont="1">
      <alignment horizontal="center" vertical="center"/>
    </xf>
    <xf borderId="2730" fillId="143" fontId="170" numFmtId="0" xfId="0" applyAlignment="1" applyBorder="1" applyFont="1">
      <alignment horizontal="left" readingOrder="0" vertical="center"/>
    </xf>
    <xf borderId="2731" fillId="0" fontId="4" numFmtId="0" xfId="0" applyBorder="1" applyFont="1"/>
    <xf borderId="2732" fillId="0" fontId="4" numFmtId="0" xfId="0" applyBorder="1" applyFont="1"/>
    <xf borderId="2733" fillId="143" fontId="125" numFmtId="0" xfId="0" applyAlignment="1" applyBorder="1" applyFont="1">
      <alignment horizontal="center" vertical="center"/>
    </xf>
    <xf borderId="2734" fillId="143" fontId="125" numFmtId="0" xfId="0" applyAlignment="1" applyBorder="1" applyFont="1">
      <alignment horizontal="center" vertical="center"/>
    </xf>
    <xf borderId="189" fillId="51" fontId="76" numFmtId="0" xfId="0" applyAlignment="1" applyBorder="1" applyFont="1">
      <alignment horizontal="center" vertical="center"/>
    </xf>
    <xf borderId="2735" fillId="143" fontId="127" numFmtId="0" xfId="0" applyAlignment="1" applyBorder="1" applyFont="1">
      <alignment horizontal="center" vertical="center"/>
    </xf>
    <xf borderId="969" fillId="51" fontId="119" numFmtId="0" xfId="0" applyAlignment="1" applyBorder="1" applyFont="1">
      <alignment horizontal="center" vertical="center"/>
    </xf>
    <xf borderId="2732" fillId="143" fontId="125" numFmtId="0" xfId="0" applyAlignment="1" applyBorder="1" applyFont="1">
      <alignment horizontal="center" vertical="center"/>
    </xf>
    <xf borderId="2736" fillId="143" fontId="125" numFmtId="0" xfId="0" applyAlignment="1" applyBorder="1" applyFont="1">
      <alignment horizontal="center" vertical="center"/>
    </xf>
    <xf borderId="2737" fillId="0" fontId="4" numFmtId="0" xfId="0" applyBorder="1" applyFont="1"/>
    <xf borderId="2738" fillId="0" fontId="4" numFmtId="0" xfId="0" applyBorder="1" applyFont="1"/>
    <xf borderId="2739" fillId="143" fontId="125" numFmtId="0" xfId="0" applyAlignment="1" applyBorder="1" applyFont="1">
      <alignment horizontal="center" vertical="center"/>
    </xf>
    <xf borderId="2740" fillId="143" fontId="125" numFmtId="0" xfId="0" applyAlignment="1" applyBorder="1" applyFont="1">
      <alignment horizontal="center" vertical="center"/>
    </xf>
    <xf borderId="2734" fillId="143" fontId="110" numFmtId="0" xfId="0" applyAlignment="1" applyBorder="1" applyFont="1">
      <alignment horizontal="center" vertical="center"/>
    </xf>
    <xf borderId="762" fillId="143" fontId="76" numFmtId="0" xfId="0" applyAlignment="1" applyBorder="1" applyFont="1">
      <alignment horizontal="right" readingOrder="0" vertical="center"/>
    </xf>
    <xf borderId="2737" fillId="143" fontId="110" numFmtId="0" xfId="0" applyAlignment="1" applyBorder="1" applyFont="1">
      <alignment horizontal="center" readingOrder="0" vertical="center"/>
    </xf>
    <xf borderId="2741" fillId="143" fontId="112" numFmtId="0" xfId="0" applyAlignment="1" applyBorder="1" applyFont="1">
      <alignment horizontal="center" readingOrder="0" vertical="center"/>
    </xf>
    <xf borderId="2742" fillId="0" fontId="4" numFmtId="0" xfId="0" applyBorder="1" applyFont="1"/>
    <xf borderId="2743" fillId="0" fontId="4" numFmtId="0" xfId="0" applyBorder="1" applyFont="1"/>
    <xf borderId="2744" fillId="0" fontId="4" numFmtId="0" xfId="0" applyBorder="1" applyFont="1"/>
    <xf borderId="2736" fillId="143" fontId="110" numFmtId="0" xfId="0" applyAlignment="1" applyBorder="1" applyFont="1">
      <alignment horizontal="center" vertical="center"/>
    </xf>
    <xf borderId="2745" fillId="0" fontId="4" numFmtId="0" xfId="0" applyBorder="1" applyFont="1"/>
    <xf borderId="2740" fillId="143" fontId="110" numFmtId="0" xfId="0" applyAlignment="1" applyBorder="1" applyFont="1">
      <alignment horizontal="center" vertical="center"/>
    </xf>
    <xf borderId="2734" fillId="143" fontId="129" numFmtId="0" xfId="0" applyAlignment="1" applyBorder="1" applyFont="1">
      <alignment horizontal="center" vertical="center"/>
    </xf>
    <xf borderId="2737" fillId="143" fontId="129" numFmtId="0" xfId="0" applyAlignment="1" applyBorder="1" applyFont="1">
      <alignment horizontal="center" readingOrder="0" vertical="center"/>
    </xf>
    <xf borderId="2746" fillId="143" fontId="114" numFmtId="0" xfId="0" applyAlignment="1" applyBorder="1" applyFont="1">
      <alignment horizontal="center" readingOrder="0" vertical="top"/>
    </xf>
    <xf borderId="2747" fillId="0" fontId="4" numFmtId="0" xfId="0" applyBorder="1" applyFont="1"/>
    <xf borderId="2748" fillId="0" fontId="4" numFmtId="0" xfId="0" applyBorder="1" applyFont="1"/>
    <xf borderId="2736" fillId="143" fontId="129" numFmtId="0" xfId="0" applyAlignment="1" applyBorder="1" applyFont="1">
      <alignment horizontal="center" vertical="center"/>
    </xf>
    <xf borderId="2740" fillId="143" fontId="129" numFmtId="0" xfId="0" applyAlignment="1" applyBorder="1" applyFont="1">
      <alignment horizontal="center" vertical="center"/>
    </xf>
    <xf borderId="2737" fillId="143" fontId="125" numFmtId="0" xfId="0" applyAlignment="1" applyBorder="1" applyFont="1">
      <alignment horizontal="center" vertical="center"/>
    </xf>
    <xf borderId="2749" fillId="143" fontId="110" numFmtId="0" xfId="0" applyAlignment="1" applyBorder="1" applyFont="1">
      <alignment horizontal="center" vertical="center"/>
    </xf>
    <xf borderId="2750" fillId="143" fontId="110" numFmtId="0" xfId="0" applyAlignment="1" applyBorder="1" applyFont="1">
      <alignment horizontal="right" vertical="top"/>
    </xf>
    <xf borderId="2750" fillId="143" fontId="110" numFmtId="0" xfId="0" applyAlignment="1" applyBorder="1" applyFont="1">
      <alignment horizontal="left" vertical="top"/>
    </xf>
    <xf borderId="2751" fillId="143" fontId="110" numFmtId="0" xfId="0" applyAlignment="1" applyBorder="1" applyFont="1">
      <alignment horizontal="center" vertical="top"/>
    </xf>
    <xf borderId="2752" fillId="143" fontId="110" numFmtId="0" xfId="0" applyAlignment="1" applyBorder="1" applyFont="1">
      <alignment horizontal="center" vertical="top"/>
    </xf>
    <xf borderId="2753" fillId="0" fontId="4" numFmtId="0" xfId="0" applyBorder="1" applyFont="1"/>
    <xf borderId="2754" fillId="143" fontId="76" numFmtId="0" xfId="0" applyAlignment="1" applyBorder="1" applyFont="1">
      <alignment horizontal="right" vertical="center"/>
    </xf>
    <xf borderId="2755" fillId="143" fontId="110" numFmtId="0" xfId="0" applyAlignment="1" applyBorder="1" applyFont="1">
      <alignment horizontal="center" vertical="center"/>
    </xf>
    <xf borderId="2756" fillId="143" fontId="110" numFmtId="0" xfId="0" applyAlignment="1" applyBorder="1" applyFont="1">
      <alignment horizontal="center" vertical="top"/>
    </xf>
    <xf borderId="2757" fillId="143" fontId="110" numFmtId="0" xfId="0" applyAlignment="1" applyBorder="1" applyFont="1">
      <alignment horizontal="center" vertical="top"/>
    </xf>
    <xf borderId="2758" fillId="143" fontId="125" numFmtId="0" xfId="0" applyAlignment="1" applyBorder="1" applyFont="1">
      <alignment horizontal="center" vertical="center"/>
    </xf>
    <xf borderId="2758" fillId="143" fontId="76" numFmtId="0" xfId="0" applyAlignment="1" applyBorder="1" applyFont="1">
      <alignment horizontal="right" vertical="center"/>
    </xf>
    <xf borderId="2759" fillId="143" fontId="110" numFmtId="0" xfId="0" applyAlignment="1" applyBorder="1" applyFont="1">
      <alignment horizontal="center" readingOrder="0" vertical="center"/>
    </xf>
    <xf borderId="2760" fillId="0" fontId="4" numFmtId="0" xfId="0" applyBorder="1" applyFont="1"/>
    <xf borderId="2761" fillId="0" fontId="4" numFmtId="0" xfId="0" applyBorder="1" applyFont="1"/>
    <xf borderId="2762" fillId="143" fontId="110" numFmtId="0" xfId="0" applyAlignment="1" applyBorder="1" applyFont="1">
      <alignment horizontal="center" readingOrder="0" vertical="center"/>
    </xf>
    <xf borderId="2763" fillId="0" fontId="4" numFmtId="0" xfId="0" applyBorder="1" applyFont="1"/>
    <xf borderId="2764" fillId="143" fontId="110" numFmtId="0" xfId="0" applyAlignment="1" applyBorder="1" applyFont="1">
      <alignment horizontal="center" readingOrder="0" vertical="center"/>
    </xf>
    <xf borderId="2765" fillId="143" fontId="110" numFmtId="0" xfId="0" applyAlignment="1" applyBorder="1" applyFont="1">
      <alignment horizontal="center" readingOrder="0" vertical="center"/>
    </xf>
    <xf borderId="2758" fillId="143" fontId="74" numFmtId="0" xfId="0" applyAlignment="1" applyBorder="1" applyFont="1">
      <alignment horizontal="right" vertical="center"/>
    </xf>
    <xf borderId="2736" fillId="143" fontId="125" numFmtId="0" xfId="0" applyAlignment="1" applyBorder="1" applyFont="1">
      <alignment horizontal="center" readingOrder="0" vertical="center"/>
    </xf>
    <xf borderId="2766" fillId="0" fontId="4" numFmtId="0" xfId="0" applyBorder="1" applyFont="1"/>
    <xf borderId="2767" fillId="143" fontId="110" numFmtId="0" xfId="0" applyAlignment="1" applyBorder="1" applyFont="1">
      <alignment horizontal="center" readingOrder="0" vertical="center"/>
    </xf>
    <xf borderId="2768" fillId="143" fontId="110" numFmtId="0" xfId="0" applyAlignment="1" applyBorder="1" applyFont="1">
      <alignment horizontal="center" readingOrder="0" vertical="center"/>
    </xf>
    <xf borderId="2769" fillId="143" fontId="110" numFmtId="0" xfId="0" applyAlignment="1" applyBorder="1" applyFont="1">
      <alignment horizontal="center" readingOrder="0" vertical="center"/>
    </xf>
    <xf borderId="2770" fillId="0" fontId="4" numFmtId="0" xfId="0" applyBorder="1" applyFont="1"/>
    <xf borderId="2771" fillId="0" fontId="4" numFmtId="0" xfId="0" applyBorder="1" applyFont="1"/>
    <xf borderId="2772" fillId="143" fontId="110" numFmtId="0" xfId="0" applyAlignment="1" applyBorder="1" applyFont="1">
      <alignment horizontal="center" readingOrder="0" vertical="center"/>
    </xf>
    <xf borderId="2773" fillId="0" fontId="4" numFmtId="0" xfId="0" applyBorder="1" applyFont="1"/>
    <xf borderId="2726" fillId="0" fontId="4" numFmtId="0" xfId="0" applyBorder="1" applyFont="1"/>
    <xf borderId="2728" fillId="143" fontId="124" numFmtId="0" xfId="0" applyAlignment="1" applyBorder="1" applyFont="1">
      <alignment horizontal="center" vertical="center"/>
    </xf>
    <xf borderId="2758" fillId="143" fontId="131" numFmtId="0" xfId="0" applyAlignment="1" applyBorder="1" applyFont="1">
      <alignment horizontal="center" vertical="center"/>
    </xf>
    <xf borderId="2774" fillId="143" fontId="131" numFmtId="0" xfId="0" applyAlignment="1" applyBorder="1" applyFont="1">
      <alignment horizontal="center" vertical="top"/>
    </xf>
    <xf borderId="2775" fillId="143" fontId="131" numFmtId="0" xfId="0" applyAlignment="1" applyBorder="1" applyFont="1">
      <alignment horizontal="center" vertical="top"/>
    </xf>
    <xf borderId="2745" fillId="143" fontId="131" numFmtId="0" xfId="0" applyAlignment="1" applyBorder="1" applyFont="1">
      <alignment horizontal="center" vertical="top"/>
    </xf>
    <xf borderId="2776" fillId="143" fontId="131" numFmtId="0" xfId="0" applyAlignment="1" applyBorder="1" applyFont="1">
      <alignment horizontal="center" vertical="top"/>
    </xf>
    <xf borderId="2758" fillId="143" fontId="109" numFmtId="0" xfId="0" applyAlignment="1" applyBorder="1" applyFont="1">
      <alignment horizontal="center" vertical="center"/>
    </xf>
    <xf borderId="2758" fillId="143" fontId="132" numFmtId="0" xfId="0" applyAlignment="1" applyBorder="1" applyFont="1">
      <alignment horizontal="center" vertical="center"/>
    </xf>
    <xf borderId="2740" fillId="143" fontId="124" numFmtId="0" xfId="0" applyAlignment="1" applyBorder="1" applyFont="1">
      <alignment horizontal="center" vertical="center"/>
    </xf>
    <xf borderId="2728" fillId="143" fontId="133" numFmtId="0" xfId="0" applyAlignment="1" applyBorder="1" applyFont="1">
      <alignment horizontal="center" vertical="center"/>
    </xf>
    <xf borderId="2777" fillId="143" fontId="106" numFmtId="0" xfId="0" applyAlignment="1" applyBorder="1" applyFont="1">
      <alignment horizontal="center" vertical="center"/>
    </xf>
    <xf borderId="237" fillId="51" fontId="104" numFmtId="0" xfId="0" applyAlignment="1" applyBorder="1" applyFont="1">
      <alignment horizontal="center" readingOrder="0" vertical="top"/>
    </xf>
    <xf borderId="240" fillId="51" fontId="104" numFmtId="0" xfId="0" applyAlignment="1" applyBorder="1" applyFont="1">
      <alignment horizontal="center" readingOrder="0" vertical="top"/>
    </xf>
    <xf borderId="2736" fillId="143" fontId="106" numFmtId="0" xfId="0" applyAlignment="1" applyBorder="1" applyFont="1">
      <alignment horizontal="center" vertical="center"/>
    </xf>
    <xf borderId="2778" fillId="143" fontId="133" numFmtId="0" xfId="0" applyAlignment="1" applyBorder="1" applyFont="1">
      <alignment horizontal="center" vertical="center"/>
    </xf>
    <xf borderId="2758" fillId="143" fontId="133" numFmtId="0" xfId="0" applyAlignment="1" applyBorder="1" applyFont="1">
      <alignment horizontal="center" vertical="center"/>
    </xf>
    <xf borderId="2758" fillId="143" fontId="106" numFmtId="0" xfId="0" applyAlignment="1" applyBorder="1" applyFont="1">
      <alignment horizontal="center" vertical="center"/>
    </xf>
    <xf borderId="2740" fillId="143" fontId="133" numFmtId="0" xfId="0" applyAlignment="1" applyBorder="1" applyFont="1">
      <alignment horizontal="center" vertical="center"/>
    </xf>
    <xf borderId="2779" fillId="51" fontId="104" numFmtId="0" xfId="0" applyAlignment="1" applyBorder="1" applyFont="1">
      <alignment horizontal="center" readingOrder="0" vertical="center"/>
    </xf>
    <xf borderId="2780" fillId="51" fontId="104" numFmtId="0" xfId="0" applyAlignment="1" applyBorder="1" applyFont="1">
      <alignment horizontal="center" readingOrder="0" vertical="center"/>
    </xf>
    <xf borderId="2781" fillId="51" fontId="104" numFmtId="0" xfId="0" applyAlignment="1" applyBorder="1" applyFont="1">
      <alignment horizontal="left" readingOrder="0" vertical="center"/>
    </xf>
    <xf borderId="2782" fillId="51" fontId="104" numFmtId="0" xfId="0" applyAlignment="1" applyBorder="1" applyFont="1">
      <alignment horizontal="center" readingOrder="0" vertical="center"/>
    </xf>
    <xf borderId="2783" fillId="51" fontId="104" numFmtId="0" xfId="0" applyAlignment="1" applyBorder="1" applyFont="1">
      <alignment horizontal="center" readingOrder="0" vertical="center"/>
    </xf>
    <xf borderId="2784" fillId="51" fontId="104" numFmtId="0" xfId="0" applyAlignment="1" applyBorder="1" applyFont="1">
      <alignment horizontal="center" readingOrder="0" vertical="center"/>
    </xf>
    <xf borderId="2785" fillId="51" fontId="104" numFmtId="0" xfId="0" applyAlignment="1" applyBorder="1" applyFont="1">
      <alignment horizontal="left" readingOrder="0" vertical="center"/>
    </xf>
    <xf borderId="2786" fillId="51" fontId="104" numFmtId="0" xfId="0" applyAlignment="1" applyBorder="1" applyFont="1">
      <alignment horizontal="center" readingOrder="0" vertical="center"/>
    </xf>
    <xf borderId="2787" fillId="51" fontId="104" numFmtId="0" xfId="0" applyAlignment="1" applyBorder="1" applyFont="1">
      <alignment horizontal="center" readingOrder="0" vertical="center"/>
    </xf>
    <xf borderId="2788" fillId="51" fontId="104" numFmtId="0" xfId="0" applyAlignment="1" applyBorder="1" applyFont="1">
      <alignment horizontal="center" readingOrder="0" vertical="center"/>
    </xf>
    <xf borderId="2789" fillId="51" fontId="104" numFmtId="0" xfId="0" applyAlignment="1" applyBorder="1" applyFont="1">
      <alignment horizontal="left" readingOrder="0" vertical="center"/>
    </xf>
    <xf borderId="2790" fillId="51" fontId="104" numFmtId="0" xfId="0" applyAlignment="1" applyBorder="1" applyFont="1">
      <alignment horizontal="center" readingOrder="0" vertical="center"/>
    </xf>
    <xf borderId="253" fillId="51" fontId="104" numFmtId="0" xfId="0" applyAlignment="1" applyBorder="1" applyFont="1">
      <alignment horizontal="right" readingOrder="0" vertical="center"/>
    </xf>
    <xf borderId="256" fillId="51" fontId="104" numFmtId="0" xfId="0" applyAlignment="1" applyBorder="1" applyFont="1">
      <alignment horizontal="center" readingOrder="0" vertical="center"/>
    </xf>
    <xf borderId="2791" fillId="143" fontId="133" numFmtId="0" xfId="0" applyAlignment="1" applyBorder="1" applyFont="1">
      <alignment horizontal="center" vertical="center"/>
    </xf>
    <xf borderId="2792" fillId="143" fontId="74" numFmtId="0" xfId="0" applyAlignment="1" applyBorder="1" applyFont="1">
      <alignment horizontal="right" vertical="center"/>
    </xf>
    <xf borderId="2792" fillId="143" fontId="106" numFmtId="0" xfId="0" applyAlignment="1" applyBorder="1" applyFont="1">
      <alignment horizontal="center" vertical="center"/>
    </xf>
    <xf borderId="2793" fillId="143" fontId="74" numFmtId="0" xfId="0" applyAlignment="1" applyBorder="1" applyFont="1">
      <alignment horizontal="right" vertical="center"/>
    </xf>
    <xf borderId="2793" fillId="143" fontId="106" numFmtId="0" xfId="0" applyAlignment="1" applyBorder="1" applyFont="1">
      <alignment horizontal="center" vertical="center"/>
    </xf>
    <xf borderId="2793" fillId="143" fontId="133" numFmtId="0" xfId="0" applyAlignment="1" applyBorder="1" applyFont="1">
      <alignment horizontal="center" vertical="center"/>
    </xf>
    <xf borderId="2794" fillId="143" fontId="106" numFmtId="0" xfId="0" applyAlignment="1" applyBorder="1" applyFont="1">
      <alignment horizontal="center" vertical="center"/>
    </xf>
    <xf borderId="2794" fillId="143" fontId="133" numFmtId="0" xfId="0" applyAlignment="1" applyBorder="1" applyFont="1">
      <alignment horizontal="center" vertical="center"/>
    </xf>
    <xf borderId="2792" fillId="143" fontId="133" numFmtId="0" xfId="0" applyAlignment="1" applyBorder="1" applyFont="1">
      <alignment horizontal="center" vertical="center"/>
    </xf>
    <xf borderId="2795" fillId="143" fontId="133" numFmtId="0" xfId="0" applyAlignment="1" applyBorder="1" applyFont="1">
      <alignment horizontal="center" vertical="center"/>
    </xf>
    <xf borderId="2796" fillId="116" fontId="125" numFmtId="0" xfId="0" applyAlignment="1" applyBorder="1" applyFont="1">
      <alignment horizontal="center" vertical="center"/>
    </xf>
    <xf borderId="2797" fillId="116" fontId="76" numFmtId="0" xfId="0" applyAlignment="1" applyBorder="1" applyFont="1">
      <alignment horizontal="right" vertical="center"/>
    </xf>
    <xf borderId="2798" fillId="116" fontId="171" numFmtId="0" xfId="0" applyAlignment="1" applyBorder="1" applyFont="1">
      <alignment horizontal="left" readingOrder="0" vertical="center"/>
    </xf>
    <xf borderId="1904" fillId="116" fontId="125" numFmtId="0" xfId="0" applyAlignment="1" applyBorder="1" applyFont="1">
      <alignment horizontal="center" vertical="center"/>
    </xf>
    <xf borderId="1877" fillId="116" fontId="125" numFmtId="0" xfId="0" applyAlignment="1" applyBorder="1" applyFont="1">
      <alignment horizontal="center"/>
    </xf>
    <xf borderId="1877" fillId="116" fontId="125" numFmtId="0" xfId="0" applyAlignment="1" applyBorder="1" applyFont="1">
      <alignment horizontal="center" vertical="center"/>
    </xf>
    <xf borderId="2799" fillId="116" fontId="112" numFmtId="0" xfId="0" applyAlignment="1" applyBorder="1" applyFont="1">
      <alignment horizontal="center" readingOrder="0" vertical="center"/>
    </xf>
    <xf borderId="2800" fillId="0" fontId="4" numFmtId="0" xfId="0" applyBorder="1" applyFont="1"/>
    <xf borderId="2801" fillId="116" fontId="114" numFmtId="0" xfId="0" applyAlignment="1" applyBorder="1" applyFont="1">
      <alignment horizontal="center" readingOrder="0" vertical="top"/>
    </xf>
    <xf borderId="2802" fillId="0" fontId="4" numFmtId="0" xfId="0" applyBorder="1" applyFont="1"/>
    <xf borderId="2803" fillId="116" fontId="110" numFmtId="0" xfId="0" applyAlignment="1" applyBorder="1" applyFont="1">
      <alignment horizontal="center" vertical="center"/>
    </xf>
    <xf borderId="2804" fillId="116" fontId="110" numFmtId="0" xfId="0" applyAlignment="1" applyBorder="1" applyFont="1">
      <alignment horizontal="right" vertical="top"/>
    </xf>
    <xf borderId="2804" fillId="116" fontId="110" numFmtId="0" xfId="0" applyAlignment="1" applyBorder="1" applyFont="1">
      <alignment horizontal="left" vertical="top"/>
    </xf>
    <xf borderId="2805" fillId="116" fontId="110" numFmtId="0" xfId="0" applyAlignment="1" applyBorder="1" applyFont="1">
      <alignment horizontal="center" vertical="top"/>
    </xf>
    <xf borderId="2806" fillId="116" fontId="110" numFmtId="0" xfId="0" applyAlignment="1" applyBorder="1" applyFont="1">
      <alignment horizontal="center" vertical="center"/>
    </xf>
    <xf borderId="1896" fillId="116" fontId="110" numFmtId="0" xfId="0" applyAlignment="1" applyBorder="1" applyFont="1">
      <alignment horizontal="center" vertical="top"/>
    </xf>
    <xf borderId="2807" fillId="116" fontId="110" numFmtId="0" xfId="0" applyAlignment="1" applyBorder="1" applyFont="1">
      <alignment horizontal="center" vertical="top"/>
    </xf>
    <xf borderId="1876" fillId="116" fontId="106" numFmtId="0" xfId="0" applyAlignment="1" applyBorder="1" applyFont="1">
      <alignment horizontal="center" vertical="center"/>
    </xf>
    <xf borderId="543" fillId="15" fontId="104" numFmtId="0" xfId="0" applyAlignment="1" applyBorder="1" applyFont="1">
      <alignment horizontal="right" readingOrder="0" vertical="center"/>
    </xf>
    <xf borderId="546" fillId="15" fontId="104" numFmtId="0" xfId="0" applyAlignment="1" applyBorder="1" applyFont="1">
      <alignment horizontal="center" readingOrder="0" vertical="center"/>
    </xf>
    <xf borderId="2796" fillId="116" fontId="133" numFmtId="0" xfId="0" applyAlignment="1" applyBorder="1" applyFont="1">
      <alignment horizontal="center" vertical="center"/>
    </xf>
    <xf borderId="1881" fillId="116" fontId="74" numFmtId="0" xfId="0" applyAlignment="1" applyBorder="1" applyFont="1">
      <alignment horizontal="right" vertical="center"/>
    </xf>
    <xf borderId="1881" fillId="116" fontId="106" numFmtId="0" xfId="0" applyAlignment="1" applyBorder="1" applyFont="1">
      <alignment horizontal="center" vertical="center"/>
    </xf>
    <xf borderId="1873" fillId="116" fontId="74" numFmtId="0" xfId="0" applyAlignment="1" applyBorder="1" applyFont="1">
      <alignment horizontal="right" vertical="center"/>
    </xf>
    <xf borderId="1881" fillId="116" fontId="105" numFmtId="0" xfId="0" applyAlignment="1" applyBorder="1" applyFont="1">
      <alignment horizontal="center" vertical="center"/>
    </xf>
    <xf borderId="1881" fillId="116" fontId="133" numFmtId="0" xfId="0" applyAlignment="1" applyBorder="1" applyFont="1">
      <alignment horizontal="center" vertical="center"/>
    </xf>
    <xf borderId="548" fillId="15" fontId="104" numFmtId="0" xfId="0" applyAlignment="1" applyBorder="1" applyFont="1">
      <alignment horizontal="right" readingOrder="0" vertical="center"/>
    </xf>
    <xf borderId="551" fillId="15" fontId="104" numFmtId="0" xfId="0" applyAlignment="1" applyBorder="1" applyFont="1">
      <alignment horizontal="center" readingOrder="0" vertical="center"/>
    </xf>
    <xf borderId="1904" fillId="116" fontId="133" numFmtId="0" xfId="0" applyAlignment="1" applyBorder="1" applyFont="1">
      <alignment horizontal="center" vertical="center"/>
    </xf>
    <xf borderId="1878" fillId="116" fontId="125" numFmtId="0" xfId="0" applyAlignment="1" applyBorder="1" applyFont="1">
      <alignment horizontal="center" vertical="center"/>
    </xf>
    <xf borderId="1876" fillId="116" fontId="131" numFmtId="0" xfId="0" applyAlignment="1" applyBorder="1" applyFont="1">
      <alignment horizontal="center" vertical="center"/>
    </xf>
    <xf borderId="1876" fillId="116" fontId="133" numFmtId="0" xfId="0" applyAlignment="1" applyBorder="1" applyFont="1">
      <alignment horizontal="center" vertical="center"/>
    </xf>
    <xf borderId="2798" fillId="116" fontId="133" numFmtId="0" xfId="0" applyAlignment="1" applyBorder="1" applyFont="1">
      <alignment horizontal="center" vertical="center"/>
    </xf>
    <xf borderId="1927" fillId="116" fontId="106" numFmtId="0" xfId="0" applyAlignment="1" applyBorder="1" applyFont="1">
      <alignment horizontal="center" vertical="center"/>
    </xf>
    <xf borderId="1927" fillId="116" fontId="133" numFmtId="0" xfId="0" applyAlignment="1" applyBorder="1" applyFont="1">
      <alignment horizontal="center" vertical="center"/>
    </xf>
    <xf borderId="1927" fillId="116" fontId="125" numFmtId="0" xfId="0" applyAlignment="1" applyBorder="1" applyFont="1">
      <alignment horizontal="center" vertical="center"/>
    </xf>
    <xf borderId="1887" fillId="116" fontId="119" numFmtId="0" xfId="0" applyAlignment="1" applyBorder="1" applyFont="1">
      <alignment horizontal="center" readingOrder="0" vertical="top"/>
    </xf>
    <xf borderId="2808" fillId="0" fontId="4" numFmtId="0" xfId="0" applyBorder="1" applyFont="1"/>
    <xf borderId="1872" fillId="116" fontId="74" numFmtId="0" xfId="0" applyAlignment="1" applyBorder="1" applyFont="1">
      <alignment horizontal="right" vertical="center"/>
    </xf>
    <xf borderId="1901" fillId="116" fontId="119" numFmtId="0" xfId="0" applyAlignment="1" applyBorder="1" applyFont="1">
      <alignment horizontal="center" readingOrder="0" vertical="center"/>
    </xf>
    <xf borderId="2746" fillId="143" fontId="119" numFmtId="0" xfId="0" applyAlignment="1" applyBorder="1" applyFont="1">
      <alignment horizontal="center" readingOrder="0" vertical="top"/>
    </xf>
    <xf borderId="2758" fillId="143" fontId="76" numFmtId="0" xfId="0" applyAlignment="1" applyBorder="1" applyFont="1">
      <alignment horizontal="right" readingOrder="0" vertical="center"/>
    </xf>
    <xf borderId="2809" fillId="0" fontId="4" numFmtId="0" xfId="0" applyBorder="1" applyFont="1"/>
    <xf borderId="2810" fillId="143" fontId="133" numFmtId="0" xfId="0" applyAlignment="1" applyBorder="1" applyFont="1">
      <alignment horizontal="center" vertical="center"/>
    </xf>
    <xf borderId="2736" fillId="143" fontId="133" numFmtId="0" xfId="0" applyAlignment="1" applyBorder="1" applyFont="1">
      <alignment horizontal="center" vertical="center"/>
    </xf>
    <xf borderId="2794" fillId="143" fontId="74" numFmtId="0" xfId="0" applyAlignment="1" applyBorder="1" applyFont="1">
      <alignment horizontal="right" vertical="center"/>
    </xf>
    <xf borderId="2811" fillId="113" fontId="125" numFmtId="0" xfId="0" applyAlignment="1" applyBorder="1" applyFont="1">
      <alignment horizontal="center" vertical="center"/>
    </xf>
    <xf borderId="2811" fillId="113" fontId="76" numFmtId="0" xfId="0" applyAlignment="1" applyBorder="1" applyFont="1">
      <alignment horizontal="right" vertical="center"/>
    </xf>
    <xf borderId="1797" fillId="113" fontId="110" numFmtId="0" xfId="0" applyAlignment="1" applyBorder="1" applyFont="1">
      <alignment horizontal="center" vertical="center"/>
    </xf>
    <xf borderId="1798" fillId="113" fontId="110" numFmtId="0" xfId="0" applyAlignment="1" applyBorder="1" applyFont="1">
      <alignment horizontal="center" vertical="center"/>
    </xf>
    <xf borderId="2812" fillId="116" fontId="125" numFmtId="0" xfId="0" applyAlignment="1" applyBorder="1" applyFont="1">
      <alignment horizontal="center" vertical="center"/>
    </xf>
    <xf borderId="2813" fillId="116" fontId="74" numFmtId="0" xfId="0" applyAlignment="1" applyBorder="1" applyFont="1">
      <alignment horizontal="right" readingOrder="0" vertical="center"/>
    </xf>
    <xf borderId="2813" fillId="116" fontId="138" numFmtId="0" xfId="0" applyAlignment="1" applyBorder="1" applyFont="1">
      <alignment horizontal="center" readingOrder="0" vertical="center"/>
    </xf>
    <xf borderId="2814" fillId="116" fontId="138" numFmtId="0" xfId="0" applyAlignment="1" applyBorder="1" applyFont="1">
      <alignment horizontal="center" readingOrder="0" vertical="center"/>
    </xf>
    <xf borderId="2815" fillId="116" fontId="125" numFmtId="0" xfId="0" applyAlignment="1" applyBorder="1" applyFont="1">
      <alignment horizontal="center" vertical="center"/>
    </xf>
    <xf borderId="1879" fillId="116" fontId="110" numFmtId="0" xfId="0" applyAlignment="1" applyBorder="1" applyFont="1">
      <alignment horizontal="center" vertical="center"/>
    </xf>
    <xf borderId="1879" fillId="116" fontId="125" numFmtId="0" xfId="0" applyAlignment="1" applyBorder="1" applyFont="1">
      <alignment horizontal="center"/>
    </xf>
    <xf borderId="1879" fillId="116" fontId="125" numFmtId="0" xfId="0" applyAlignment="1" applyBorder="1" applyFont="1">
      <alignment horizontal="center" vertical="center"/>
    </xf>
    <xf borderId="1902" fillId="116" fontId="125" numFmtId="0" xfId="0" applyAlignment="1" applyBorder="1" applyFont="1">
      <alignment horizontal="center"/>
    </xf>
    <xf borderId="1902" fillId="116" fontId="110" numFmtId="0" xfId="0" applyAlignment="1" applyBorder="1" applyFont="1">
      <alignment horizontal="center"/>
    </xf>
    <xf borderId="1902" fillId="116" fontId="129" numFmtId="0" xfId="0" applyAlignment="1" applyBorder="1" applyFont="1">
      <alignment horizontal="center"/>
    </xf>
    <xf borderId="0" fillId="116" fontId="110" numFmtId="0" xfId="0" applyAlignment="1" applyFont="1">
      <alignment horizontal="center" vertical="center"/>
    </xf>
    <xf borderId="0" fillId="116" fontId="125" numFmtId="0" xfId="0" applyAlignment="1" applyFont="1">
      <alignment horizontal="center"/>
    </xf>
    <xf borderId="0" fillId="116" fontId="125" numFmtId="0" xfId="0" applyAlignment="1" applyFont="1">
      <alignment horizontal="center" vertical="center"/>
    </xf>
    <xf borderId="1911" fillId="116" fontId="110" numFmtId="0" xfId="0" applyAlignment="1" applyBorder="1" applyFont="1">
      <alignment horizontal="center" vertical="center"/>
    </xf>
    <xf borderId="1911" fillId="116" fontId="125" numFmtId="0" xfId="0" applyAlignment="1" applyBorder="1" applyFont="1">
      <alignment horizontal="center"/>
    </xf>
    <xf borderId="1911" fillId="116" fontId="125" numFmtId="0" xfId="0" applyAlignment="1" applyBorder="1" applyFont="1">
      <alignment horizontal="center" vertical="center"/>
    </xf>
    <xf borderId="2816" fillId="144" fontId="110" numFmtId="0" xfId="0" applyAlignment="1" applyBorder="1" applyFill="1" applyFont="1">
      <alignment horizontal="center" vertical="center"/>
    </xf>
    <xf borderId="2817" fillId="144" fontId="78" numFmtId="0" xfId="0" applyAlignment="1" applyBorder="1" applyFont="1">
      <alignment horizontal="center" readingOrder="0" vertical="center"/>
    </xf>
    <xf borderId="2818" fillId="144" fontId="110" numFmtId="0" xfId="0" applyAlignment="1" applyBorder="1" applyFont="1">
      <alignment horizontal="center" vertical="center"/>
    </xf>
    <xf borderId="2819" fillId="144" fontId="110" numFmtId="0" xfId="0" applyAlignment="1" applyBorder="1" applyFont="1">
      <alignment horizontal="center" vertical="center"/>
    </xf>
    <xf borderId="189" fillId="45" fontId="76" numFmtId="0" xfId="0" applyAlignment="1" applyBorder="1" applyFont="1">
      <alignment horizontal="center" vertical="center"/>
    </xf>
    <xf borderId="2820" fillId="144" fontId="119" numFmtId="0" xfId="0" applyAlignment="1" applyBorder="1" applyFont="1">
      <alignment horizontal="center" vertical="center"/>
    </xf>
    <xf borderId="969" fillId="45" fontId="119" numFmtId="0" xfId="0" applyAlignment="1" applyBorder="1" applyFont="1">
      <alignment horizontal="center" vertical="center"/>
    </xf>
    <xf borderId="2821" fillId="144" fontId="110" numFmtId="0" xfId="0" applyAlignment="1" applyBorder="1" applyFont="1">
      <alignment horizontal="center" vertical="center"/>
    </xf>
    <xf borderId="2822" fillId="144" fontId="110" numFmtId="0" xfId="0" applyAlignment="1" applyBorder="1" applyFont="1">
      <alignment horizontal="center" vertical="center"/>
    </xf>
    <xf borderId="762" fillId="144" fontId="76" numFmtId="0" xfId="0" applyAlignment="1" applyBorder="1" applyFont="1">
      <alignment horizontal="right" readingOrder="0" vertical="center"/>
    </xf>
    <xf borderId="2820" fillId="144" fontId="110" numFmtId="0" xfId="0" applyAlignment="1" applyBorder="1" applyFont="1">
      <alignment horizontal="center" readingOrder="0" vertical="center"/>
    </xf>
    <xf borderId="2823" fillId="144" fontId="112" numFmtId="0" xfId="0" applyAlignment="1" applyBorder="1" applyFont="1">
      <alignment horizontal="center" readingOrder="0" vertical="center"/>
    </xf>
    <xf borderId="2824" fillId="0" fontId="4" numFmtId="0" xfId="0" applyBorder="1" applyFont="1"/>
    <xf borderId="2825" fillId="0" fontId="4" numFmtId="0" xfId="0" applyBorder="1" applyFont="1"/>
    <xf borderId="2826" fillId="0" fontId="4" numFmtId="0" xfId="0" applyBorder="1" applyFont="1"/>
    <xf borderId="2827" fillId="144" fontId="114" numFmtId="0" xfId="0" applyAlignment="1" applyBorder="1" applyFont="1">
      <alignment horizontal="center" readingOrder="0" vertical="top"/>
    </xf>
    <xf borderId="2828" fillId="0" fontId="4" numFmtId="0" xfId="0" applyBorder="1" applyFont="1"/>
    <xf borderId="2829" fillId="0" fontId="4" numFmtId="0" xfId="0" applyBorder="1" applyFont="1"/>
    <xf borderId="2820" fillId="144" fontId="110" numFmtId="0" xfId="0" applyAlignment="1" applyBorder="1" applyFont="1">
      <alignment horizontal="center" vertical="center"/>
    </xf>
    <xf borderId="2830" fillId="144" fontId="110" numFmtId="0" xfId="0" applyAlignment="1" applyBorder="1" applyFont="1">
      <alignment horizontal="center" vertical="center"/>
    </xf>
    <xf borderId="2831" fillId="144" fontId="110" numFmtId="0" xfId="0" applyAlignment="1" applyBorder="1" applyFont="1">
      <alignment horizontal="right" vertical="top"/>
    </xf>
    <xf borderId="2831" fillId="144" fontId="110" numFmtId="0" xfId="0" applyAlignment="1" applyBorder="1" applyFont="1">
      <alignment horizontal="left" vertical="top"/>
    </xf>
    <xf borderId="2832" fillId="144" fontId="110" numFmtId="0" xfId="0" applyAlignment="1" applyBorder="1" applyFont="1">
      <alignment horizontal="center" vertical="top"/>
    </xf>
    <xf borderId="2833" fillId="144" fontId="110" numFmtId="0" xfId="0" applyAlignment="1" applyBorder="1" applyFont="1">
      <alignment horizontal="center" vertical="top"/>
    </xf>
    <xf borderId="2834" fillId="0" fontId="4" numFmtId="0" xfId="0" applyBorder="1" applyFont="1"/>
    <xf borderId="2820" fillId="144" fontId="76" numFmtId="0" xfId="0" applyAlignment="1" applyBorder="1" applyFont="1">
      <alignment horizontal="right" vertical="center"/>
    </xf>
    <xf borderId="2835" fillId="144" fontId="110" numFmtId="0" xfId="0" applyAlignment="1" applyBorder="1" applyFont="1">
      <alignment horizontal="center" vertical="center"/>
    </xf>
    <xf borderId="2836" fillId="144" fontId="110" numFmtId="0" xfId="0" applyAlignment="1" applyBorder="1" applyFont="1">
      <alignment horizontal="center" vertical="top"/>
    </xf>
    <xf borderId="2837" fillId="144" fontId="110" numFmtId="0" xfId="0" applyAlignment="1" applyBorder="1" applyFont="1">
      <alignment horizontal="center" vertical="top"/>
    </xf>
    <xf borderId="2838" fillId="144" fontId="110" numFmtId="0" xfId="0" applyAlignment="1" applyBorder="1" applyFont="1">
      <alignment horizontal="center" readingOrder="0" vertical="center"/>
    </xf>
    <xf borderId="2839" fillId="0" fontId="4" numFmtId="0" xfId="0" applyBorder="1" applyFont="1"/>
    <xf borderId="2840" fillId="0" fontId="4" numFmtId="0" xfId="0" applyBorder="1" applyFont="1"/>
    <xf borderId="2821" fillId="144" fontId="76" numFmtId="0" xfId="0" applyAlignment="1" applyBorder="1" applyFont="1">
      <alignment horizontal="right"/>
    </xf>
    <xf borderId="2841" fillId="144" fontId="110" numFmtId="0" xfId="0" applyAlignment="1" applyBorder="1" applyFont="1">
      <alignment horizontal="center" readingOrder="0" vertical="center"/>
    </xf>
    <xf borderId="2842" fillId="0" fontId="4" numFmtId="0" xfId="0" applyBorder="1" applyFont="1"/>
    <xf borderId="2843" fillId="0" fontId="4" numFmtId="0" xfId="0" applyBorder="1" applyFont="1"/>
    <xf borderId="2844" fillId="144" fontId="110" numFmtId="0" xfId="0" applyAlignment="1" applyBorder="1" applyFont="1">
      <alignment horizontal="center" readingOrder="0" vertical="center"/>
    </xf>
    <xf borderId="2845" fillId="0" fontId="4" numFmtId="0" xfId="0" applyBorder="1" applyFont="1"/>
    <xf borderId="2846" fillId="0" fontId="4" numFmtId="0" xfId="0" applyBorder="1" applyFont="1"/>
    <xf borderId="2847" fillId="144" fontId="110" numFmtId="0" xfId="0" applyAlignment="1" applyBorder="1" applyFont="1">
      <alignment horizontal="center" readingOrder="0" vertical="center"/>
    </xf>
    <xf borderId="2817" fillId="0" fontId="4" numFmtId="0" xfId="0" applyBorder="1" applyFont="1"/>
    <xf borderId="2848" fillId="0" fontId="4" numFmtId="0" xfId="0" applyBorder="1" applyFont="1"/>
    <xf borderId="2840" fillId="144" fontId="110" numFmtId="0" xfId="0" applyAlignment="1" applyBorder="1" applyFont="1">
      <alignment horizontal="center" readingOrder="0" vertical="center"/>
    </xf>
    <xf borderId="2849" fillId="0" fontId="4" numFmtId="0" xfId="0" applyBorder="1" applyFont="1"/>
    <xf borderId="2843" fillId="144" fontId="110" numFmtId="0" xfId="0" applyAlignment="1" applyBorder="1" applyFont="1">
      <alignment horizontal="center" readingOrder="0" vertical="center"/>
    </xf>
    <xf borderId="2850" fillId="144" fontId="110" numFmtId="0" xfId="0" applyAlignment="1" applyBorder="1" applyFont="1">
      <alignment horizontal="center" readingOrder="0" vertical="center"/>
    </xf>
    <xf borderId="2851" fillId="0" fontId="4" numFmtId="0" xfId="0" applyBorder="1" applyFont="1"/>
    <xf borderId="2852" fillId="0" fontId="4" numFmtId="0" xfId="0" applyBorder="1" applyFont="1"/>
    <xf borderId="2853" fillId="144" fontId="110" numFmtId="0" xfId="0" applyAlignment="1" applyBorder="1" applyFont="1">
      <alignment horizontal="center" readingOrder="0" vertical="center"/>
    </xf>
    <xf borderId="2853" fillId="0" fontId="4" numFmtId="0" xfId="0" applyBorder="1" applyFont="1"/>
    <xf borderId="2819" fillId="144" fontId="124" numFmtId="0" xfId="0" applyAlignment="1" applyBorder="1" applyFont="1">
      <alignment horizontal="center" vertical="center"/>
    </xf>
    <xf borderId="2820" fillId="144" fontId="74" numFmtId="0" xfId="0" applyAlignment="1" applyBorder="1" applyFont="1">
      <alignment horizontal="right" vertical="center"/>
    </xf>
    <xf borderId="2820" fillId="144" fontId="131" numFmtId="0" xfId="0" applyAlignment="1" applyBorder="1" applyFont="1">
      <alignment horizontal="center" vertical="center"/>
    </xf>
    <xf borderId="2820" fillId="144" fontId="131" numFmtId="0" xfId="0" applyAlignment="1" applyBorder="1" applyFont="1">
      <alignment horizontal="center" vertical="top"/>
    </xf>
    <xf borderId="2821" fillId="144" fontId="131" numFmtId="0" xfId="0" applyAlignment="1" applyBorder="1" applyFont="1">
      <alignment horizontal="center" vertical="top"/>
    </xf>
    <xf borderId="2820" fillId="144" fontId="132" numFmtId="0" xfId="0" applyAlignment="1" applyBorder="1" applyFont="1">
      <alignment horizontal="center" vertical="center"/>
    </xf>
    <xf borderId="2822" fillId="144" fontId="124" numFmtId="0" xfId="0" applyAlignment="1" applyBorder="1" applyFont="1">
      <alignment horizontal="center" vertical="center"/>
    </xf>
    <xf borderId="2819" fillId="144" fontId="133" numFmtId="0" xfId="0" applyAlignment="1" applyBorder="1" applyFont="1">
      <alignment horizontal="center" vertical="center"/>
    </xf>
    <xf borderId="2820" fillId="144" fontId="106" numFmtId="0" xfId="0" applyAlignment="1" applyBorder="1" applyFont="1">
      <alignment horizontal="center" vertical="center"/>
    </xf>
    <xf borderId="237" fillId="145" fontId="104" numFmtId="0" xfId="0" applyAlignment="1" applyBorder="1" applyFill="1" applyFont="1">
      <alignment horizontal="center" readingOrder="0" vertical="top"/>
    </xf>
    <xf borderId="240" fillId="145" fontId="104" numFmtId="0" xfId="0" applyAlignment="1" applyBorder="1" applyFont="1">
      <alignment horizontal="center" readingOrder="0" vertical="top"/>
    </xf>
    <xf borderId="2854" fillId="144" fontId="105" numFmtId="0" xfId="0" applyAlignment="1" applyBorder="1" applyFont="1">
      <alignment horizontal="center" vertical="center"/>
    </xf>
    <xf borderId="2820" fillId="144" fontId="133" numFmtId="0" xfId="0" applyAlignment="1" applyBorder="1" applyFont="1">
      <alignment horizontal="center" vertical="center"/>
    </xf>
    <xf borderId="2822" fillId="144" fontId="133" numFmtId="0" xfId="0" applyAlignment="1" applyBorder="1" applyFont="1">
      <alignment horizontal="center" vertical="center"/>
    </xf>
    <xf borderId="2855" fillId="145" fontId="104" numFmtId="0" xfId="0" applyAlignment="1" applyBorder="1" applyFont="1">
      <alignment horizontal="center" readingOrder="0" vertical="center"/>
    </xf>
    <xf borderId="2856" fillId="145" fontId="104" numFmtId="0" xfId="0" applyAlignment="1" applyBorder="1" applyFont="1">
      <alignment horizontal="center" readingOrder="0" vertical="center"/>
    </xf>
    <xf borderId="2857" fillId="145" fontId="104" numFmtId="0" xfId="0" applyAlignment="1" applyBorder="1" applyFont="1">
      <alignment horizontal="left" readingOrder="0" vertical="center"/>
    </xf>
    <xf borderId="2858" fillId="145" fontId="104" numFmtId="0" xfId="0" applyAlignment="1" applyBorder="1" applyFont="1">
      <alignment horizontal="center" readingOrder="0" vertical="center"/>
    </xf>
    <xf borderId="2820" fillId="144" fontId="105" numFmtId="0" xfId="0" applyAlignment="1" applyBorder="1" applyFont="1">
      <alignment horizontal="center" vertical="center"/>
    </xf>
    <xf borderId="2859" fillId="145" fontId="104" numFmtId="0" xfId="0" applyAlignment="1" applyBorder="1" applyFont="1">
      <alignment horizontal="center" readingOrder="0" vertical="center"/>
    </xf>
    <xf borderId="2860" fillId="145" fontId="104" numFmtId="0" xfId="0" applyAlignment="1" applyBorder="1" applyFont="1">
      <alignment horizontal="center" readingOrder="0" vertical="center"/>
    </xf>
    <xf borderId="2861" fillId="145" fontId="104" numFmtId="0" xfId="0" applyAlignment="1" applyBorder="1" applyFont="1">
      <alignment horizontal="left" readingOrder="0" vertical="center"/>
    </xf>
    <xf borderId="2862" fillId="145" fontId="104" numFmtId="0" xfId="0" applyAlignment="1" applyBorder="1" applyFont="1">
      <alignment horizontal="center" readingOrder="0" vertical="center"/>
    </xf>
    <xf borderId="2863" fillId="145" fontId="104" numFmtId="0" xfId="0" applyAlignment="1" applyBorder="1" applyFont="1">
      <alignment horizontal="center" readingOrder="0" vertical="center"/>
    </xf>
    <xf borderId="2864" fillId="145" fontId="104" numFmtId="0" xfId="0" applyAlignment="1" applyBorder="1" applyFont="1">
      <alignment horizontal="center" readingOrder="0" vertical="center"/>
    </xf>
    <xf borderId="2865" fillId="145" fontId="104" numFmtId="0" xfId="0" applyAlignment="1" applyBorder="1" applyFont="1">
      <alignment horizontal="left" readingOrder="0" vertical="center"/>
    </xf>
    <xf borderId="2866" fillId="145" fontId="104" numFmtId="0" xfId="0" applyAlignment="1" applyBorder="1" applyFont="1">
      <alignment horizontal="center" readingOrder="0" vertical="center"/>
    </xf>
    <xf borderId="253" fillId="145" fontId="104" numFmtId="0" xfId="0" applyAlignment="1" applyBorder="1" applyFont="1">
      <alignment horizontal="right" readingOrder="0" vertical="center"/>
    </xf>
    <xf borderId="256" fillId="145" fontId="104" numFmtId="0" xfId="0" applyAlignment="1" applyBorder="1" applyFont="1">
      <alignment horizontal="center" readingOrder="0" vertical="center"/>
    </xf>
    <xf borderId="543" fillId="145" fontId="104" numFmtId="0" xfId="0" applyAlignment="1" applyBorder="1" applyFont="1">
      <alignment horizontal="right" readingOrder="0" vertical="center"/>
    </xf>
    <xf borderId="546" fillId="145" fontId="104" numFmtId="0" xfId="0" applyAlignment="1" applyBorder="1" applyFont="1">
      <alignment horizontal="center" readingOrder="0" vertical="center"/>
    </xf>
    <xf borderId="2867" fillId="144" fontId="133" numFmtId="0" xfId="0" applyAlignment="1" applyBorder="1" applyFont="1">
      <alignment horizontal="center" vertical="center"/>
    </xf>
    <xf borderId="2821" fillId="144" fontId="106" numFmtId="0" xfId="0" applyAlignment="1" applyBorder="1" applyFont="1">
      <alignment horizontal="center" vertical="center"/>
    </xf>
    <xf borderId="2868" fillId="144" fontId="105" numFmtId="0" xfId="0" applyAlignment="1" applyBorder="1" applyFont="1">
      <alignment horizontal="center" vertical="center"/>
    </xf>
    <xf borderId="2821" fillId="144" fontId="133" numFmtId="0" xfId="0" applyAlignment="1" applyBorder="1" applyFont="1">
      <alignment horizontal="center" vertical="center"/>
    </xf>
    <xf borderId="548" fillId="145" fontId="104" numFmtId="0" xfId="0" applyAlignment="1" applyBorder="1" applyFont="1">
      <alignment horizontal="right" readingOrder="0" vertical="center"/>
    </xf>
    <xf borderId="551" fillId="145" fontId="104" numFmtId="0" xfId="0" applyAlignment="1" applyBorder="1" applyFont="1">
      <alignment horizontal="center" readingOrder="0" vertical="center"/>
    </xf>
    <xf borderId="2869" fillId="144" fontId="133" numFmtId="0" xfId="0" applyAlignment="1" applyBorder="1" applyFont="1">
      <alignment horizontal="center" vertical="center"/>
    </xf>
    <xf borderId="2870" fillId="144" fontId="110" numFmtId="0" xfId="0" applyAlignment="1" applyBorder="1" applyFont="1">
      <alignment horizontal="center" vertical="center"/>
    </xf>
    <xf borderId="2871" fillId="144" fontId="110" numFmtId="0" xfId="0" applyAlignment="1" applyBorder="1" applyFont="1">
      <alignment horizontal="center" vertical="center"/>
    </xf>
    <xf borderId="2871" fillId="144" fontId="110" numFmtId="0" xfId="0" applyAlignment="1" applyBorder="1" applyFont="1">
      <alignment horizontal="center" readingOrder="0" vertical="center"/>
    </xf>
    <xf borderId="2872" fillId="144" fontId="110" numFmtId="0" xfId="0" applyAlignment="1" applyBorder="1" applyFont="1">
      <alignment horizontal="center" readingOrder="0" vertical="center"/>
    </xf>
    <xf borderId="2873" fillId="144" fontId="110" numFmtId="0" xfId="0" applyAlignment="1" applyBorder="1" applyFont="1">
      <alignment horizontal="center" vertical="center"/>
    </xf>
    <xf borderId="2654" fillId="137" fontId="74" numFmtId="0" xfId="0" applyAlignment="1" applyBorder="1" applyFont="1">
      <alignment horizontal="right" readingOrder="0" vertical="center"/>
    </xf>
    <xf borderId="189" fillId="139" fontId="76" numFmtId="0" xfId="0" applyAlignment="1" applyBorder="1" applyFont="1">
      <alignment horizontal="center" vertical="center"/>
    </xf>
    <xf borderId="762" fillId="137" fontId="76" numFmtId="0" xfId="0" applyAlignment="1" applyBorder="1" applyFont="1">
      <alignment horizontal="right" readingOrder="0" vertical="center"/>
    </xf>
    <xf borderId="2581" fillId="137" fontId="76" numFmtId="0" xfId="0" applyAlignment="1" applyBorder="1" applyFont="1">
      <alignment horizontal="right" vertical="top"/>
    </xf>
    <xf borderId="2577" fillId="137" fontId="110" numFmtId="0" xfId="0" applyAlignment="1" applyBorder="1" applyFont="1">
      <alignment horizontal="center" readingOrder="0" vertical="center"/>
    </xf>
    <xf borderId="2581" fillId="137" fontId="106" numFmtId="0" xfId="0" applyAlignment="1" applyBorder="1" applyFont="1">
      <alignment horizontal="center" vertical="center"/>
    </xf>
    <xf borderId="2581" fillId="137" fontId="110" numFmtId="0" xfId="0" applyAlignment="1" applyBorder="1" applyFont="1">
      <alignment horizontal="center" readingOrder="0" vertical="center"/>
    </xf>
    <xf borderId="2874" fillId="137" fontId="125" numFmtId="0" xfId="0" applyAlignment="1" applyBorder="1" applyFont="1">
      <alignment horizontal="center" vertical="center"/>
    </xf>
    <xf borderId="2875" fillId="137" fontId="76" numFmtId="0" xfId="0" applyAlignment="1" applyBorder="1" applyFont="1">
      <alignment horizontal="right" vertical="top"/>
    </xf>
    <xf borderId="2875" fillId="137" fontId="125" numFmtId="0" xfId="0" applyAlignment="1" applyBorder="1" applyFont="1">
      <alignment horizontal="center" vertical="center"/>
    </xf>
    <xf borderId="2875" fillId="137" fontId="110" numFmtId="0" xfId="0" applyAlignment="1" applyBorder="1" applyFont="1">
      <alignment horizontal="center" readingOrder="0" vertical="center"/>
    </xf>
    <xf borderId="2875" fillId="137" fontId="106" numFmtId="0" xfId="0" applyAlignment="1" applyBorder="1" applyFont="1">
      <alignment horizontal="center" vertical="center"/>
    </xf>
    <xf borderId="2589" fillId="137" fontId="125" numFmtId="0" xfId="0" applyAlignment="1" applyBorder="1" applyFont="1">
      <alignment horizontal="center" vertical="center"/>
    </xf>
    <xf borderId="2588" fillId="137" fontId="119" numFmtId="0" xfId="0" applyAlignment="1" applyBorder="1" applyFont="1">
      <alignment horizontal="center" vertical="center"/>
    </xf>
    <xf borderId="2589" fillId="137" fontId="127" numFmtId="0" xfId="0" applyAlignment="1" applyBorder="1" applyFont="1">
      <alignment horizontal="center" vertical="center"/>
    </xf>
    <xf borderId="2588" fillId="137" fontId="112" numFmtId="0" xfId="0" applyAlignment="1" applyBorder="1" applyFont="1">
      <alignment horizontal="center" readingOrder="0" vertical="center"/>
    </xf>
    <xf borderId="2589" fillId="137" fontId="110" numFmtId="0" xfId="0" applyAlignment="1" applyBorder="1" applyFont="1">
      <alignment horizontal="center" readingOrder="0" vertical="center"/>
    </xf>
    <xf borderId="2588" fillId="137" fontId="114" numFmtId="0" xfId="0" applyAlignment="1" applyBorder="1" applyFont="1">
      <alignment horizontal="center" readingOrder="0" vertical="top"/>
    </xf>
    <xf borderId="2581" fillId="137" fontId="129" numFmtId="0" xfId="0" applyAlignment="1" applyBorder="1" applyFont="1">
      <alignment horizontal="center" vertical="center"/>
    </xf>
    <xf borderId="2581" fillId="137" fontId="110" numFmtId="0" xfId="0" applyAlignment="1" applyBorder="1" applyFont="1">
      <alignment horizontal="center" vertical="center"/>
    </xf>
    <xf borderId="2588" fillId="137" fontId="110" numFmtId="0" xfId="0" applyAlignment="1" applyBorder="1" applyFont="1">
      <alignment horizontal="center" vertical="top"/>
    </xf>
    <xf borderId="2581" fillId="137" fontId="110" numFmtId="0" xfId="0" applyAlignment="1" applyBorder="1" applyFont="1">
      <alignment horizontal="center" vertical="top"/>
    </xf>
    <xf borderId="2588" fillId="137" fontId="110" numFmtId="0" xfId="0" applyAlignment="1" applyBorder="1" applyFont="1">
      <alignment horizontal="center" readingOrder="0" vertical="center"/>
    </xf>
    <xf borderId="2581" fillId="137" fontId="125" numFmtId="0" xfId="0" applyAlignment="1" applyBorder="1" applyFont="1">
      <alignment horizontal="center" vertical="center"/>
    </xf>
    <xf borderId="2588" fillId="137" fontId="104" numFmtId="0" xfId="0" applyAlignment="1" applyBorder="1" applyFont="1">
      <alignment horizontal="center" readingOrder="0" vertical="top"/>
    </xf>
    <xf borderId="2581" fillId="137" fontId="104" numFmtId="0" xfId="0" applyAlignment="1" applyBorder="1" applyFont="1">
      <alignment horizontal="center" readingOrder="0" vertical="top"/>
    </xf>
    <xf borderId="2589" fillId="137" fontId="133" numFmtId="0" xfId="0" applyAlignment="1" applyBorder="1" applyFont="1">
      <alignment horizontal="center" vertical="center"/>
    </xf>
    <xf borderId="2581" fillId="137" fontId="104" numFmtId="0" xfId="0" applyAlignment="1" applyBorder="1" applyFont="1">
      <alignment horizontal="center" readingOrder="0" vertical="center"/>
    </xf>
    <xf borderId="2581" fillId="137" fontId="104" numFmtId="0" xfId="0" applyAlignment="1" applyBorder="1" applyFont="1">
      <alignment horizontal="left" readingOrder="0" vertical="center"/>
    </xf>
    <xf borderId="2588" fillId="137" fontId="104" numFmtId="0" xfId="0" applyAlignment="1" applyBorder="1" applyFont="1">
      <alignment horizontal="right" readingOrder="0" vertical="center"/>
    </xf>
    <xf borderId="237" fillId="146" fontId="104" numFmtId="0" xfId="0" applyAlignment="1" applyBorder="1" applyFill="1" applyFont="1">
      <alignment horizontal="center" readingOrder="0" vertical="top"/>
    </xf>
    <xf borderId="240" fillId="146" fontId="104" numFmtId="0" xfId="0" applyAlignment="1" applyBorder="1" applyFont="1">
      <alignment horizontal="center" readingOrder="0" vertical="top"/>
    </xf>
    <xf borderId="2876" fillId="146" fontId="104" numFmtId="0" xfId="0" applyAlignment="1" applyBorder="1" applyFont="1">
      <alignment horizontal="center" readingOrder="0" vertical="center"/>
    </xf>
    <xf borderId="2877" fillId="146" fontId="104" numFmtId="0" xfId="0" applyAlignment="1" applyBorder="1" applyFont="1">
      <alignment horizontal="center" readingOrder="0" vertical="center"/>
    </xf>
    <xf borderId="2878" fillId="146" fontId="104" numFmtId="0" xfId="0" applyAlignment="1" applyBorder="1" applyFont="1">
      <alignment horizontal="left" readingOrder="0" vertical="center"/>
    </xf>
    <xf borderId="2879" fillId="146" fontId="104" numFmtId="0" xfId="0" applyAlignment="1" applyBorder="1" applyFont="1">
      <alignment horizontal="center" readingOrder="0" vertical="center"/>
    </xf>
    <xf borderId="2880" fillId="146" fontId="104" numFmtId="0" xfId="0" applyAlignment="1" applyBorder="1" applyFont="1">
      <alignment horizontal="center" readingOrder="0" vertical="center"/>
    </xf>
    <xf borderId="2881" fillId="146" fontId="104" numFmtId="0" xfId="0" applyAlignment="1" applyBorder="1" applyFont="1">
      <alignment horizontal="center" readingOrder="0" vertical="center"/>
    </xf>
    <xf borderId="2882" fillId="146" fontId="104" numFmtId="0" xfId="0" applyAlignment="1" applyBorder="1" applyFont="1">
      <alignment horizontal="left" readingOrder="0" vertical="center"/>
    </xf>
    <xf borderId="2883" fillId="146" fontId="104" numFmtId="0" xfId="0" applyAlignment="1" applyBorder="1" applyFont="1">
      <alignment horizontal="center" readingOrder="0" vertical="center"/>
    </xf>
    <xf borderId="2884" fillId="146" fontId="104" numFmtId="0" xfId="0" applyAlignment="1" applyBorder="1" applyFont="1">
      <alignment horizontal="center" readingOrder="0" vertical="center"/>
    </xf>
    <xf borderId="2885" fillId="146" fontId="104" numFmtId="0" xfId="0" applyAlignment="1" applyBorder="1" applyFont="1">
      <alignment horizontal="center" readingOrder="0" vertical="center"/>
    </xf>
    <xf borderId="2886" fillId="146" fontId="104" numFmtId="0" xfId="0" applyAlignment="1" applyBorder="1" applyFont="1">
      <alignment horizontal="left" readingOrder="0" vertical="center"/>
    </xf>
    <xf borderId="2887" fillId="146" fontId="104" numFmtId="0" xfId="0" applyAlignment="1" applyBorder="1" applyFont="1">
      <alignment horizontal="center" readingOrder="0" vertical="center"/>
    </xf>
    <xf borderId="253" fillId="146" fontId="104" numFmtId="0" xfId="0" applyAlignment="1" applyBorder="1" applyFont="1">
      <alignment horizontal="right" readingOrder="0" vertical="center"/>
    </xf>
    <xf borderId="256" fillId="146" fontId="104" numFmtId="0" xfId="0" applyAlignment="1" applyBorder="1" applyFont="1">
      <alignment horizontal="center" readingOrder="0" vertical="center"/>
    </xf>
    <xf borderId="543" fillId="146" fontId="104" numFmtId="0" xfId="0" applyAlignment="1" applyBorder="1" applyFont="1">
      <alignment horizontal="right" readingOrder="0" vertical="center"/>
    </xf>
    <xf borderId="546" fillId="146" fontId="104" numFmtId="0" xfId="0" applyAlignment="1" applyBorder="1" applyFont="1">
      <alignment horizontal="center" readingOrder="0" vertical="center"/>
    </xf>
    <xf borderId="548" fillId="146" fontId="104" numFmtId="0" xfId="0" applyAlignment="1" applyBorder="1" applyFont="1">
      <alignment horizontal="right" readingOrder="0" vertical="center"/>
    </xf>
    <xf borderId="551" fillId="146" fontId="104" numFmtId="0" xfId="0" applyAlignment="1" applyBorder="1" applyFont="1">
      <alignment horizontal="center" readingOrder="0" vertical="center"/>
    </xf>
    <xf borderId="2888" fillId="147" fontId="110" numFmtId="0" xfId="0" applyAlignment="1" applyBorder="1" applyFill="1" applyFont="1">
      <alignment horizontal="center" vertical="center"/>
    </xf>
    <xf borderId="2889" fillId="147" fontId="110" numFmtId="0" xfId="0" applyAlignment="1" applyBorder="1" applyFont="1">
      <alignment horizontal="center" vertical="center"/>
    </xf>
    <xf borderId="2889" fillId="147" fontId="119" numFmtId="0" xfId="0" applyAlignment="1" applyBorder="1" applyFont="1">
      <alignment horizontal="center" vertical="center"/>
    </xf>
    <xf borderId="2890" fillId="147" fontId="110" numFmtId="0" xfId="0" applyAlignment="1" applyBorder="1" applyFont="1">
      <alignment horizontal="center" vertical="center"/>
    </xf>
    <xf borderId="2891" fillId="147" fontId="110" numFmtId="0" xfId="0" applyAlignment="1" applyBorder="1" applyFont="1">
      <alignment horizontal="center" vertical="center"/>
    </xf>
    <xf borderId="189" fillId="53" fontId="76" numFmtId="0" xfId="0" applyAlignment="1" applyBorder="1" applyFont="1">
      <alignment horizontal="center" vertical="center"/>
    </xf>
    <xf borderId="2892" fillId="147" fontId="119" numFmtId="0" xfId="0" applyAlignment="1" applyBorder="1" applyFont="1">
      <alignment horizontal="center" vertical="center"/>
    </xf>
    <xf borderId="969" fillId="53" fontId="119" numFmtId="0" xfId="0" applyAlignment="1" applyBorder="1" applyFont="1">
      <alignment horizontal="center" vertical="center"/>
    </xf>
    <xf borderId="2893" fillId="147" fontId="110" numFmtId="0" xfId="0" applyAlignment="1" applyBorder="1" applyFont="1">
      <alignment horizontal="center" vertical="center"/>
    </xf>
    <xf borderId="2894" fillId="147" fontId="110" numFmtId="0" xfId="0" applyAlignment="1" applyBorder="1" applyFont="1">
      <alignment horizontal="center" vertical="center"/>
    </xf>
    <xf borderId="762" fillId="147" fontId="76" numFmtId="0" xfId="0" applyAlignment="1" applyBorder="1" applyFont="1">
      <alignment horizontal="right" readingOrder="0" vertical="center"/>
    </xf>
    <xf borderId="2892" fillId="147" fontId="110" numFmtId="0" xfId="0" applyAlignment="1" applyBorder="1" applyFont="1">
      <alignment horizontal="center" readingOrder="0" vertical="center"/>
    </xf>
    <xf borderId="2895" fillId="147" fontId="112" numFmtId="0" xfId="0" applyAlignment="1" applyBorder="1" applyFont="1">
      <alignment horizontal="center" readingOrder="0" vertical="center"/>
    </xf>
    <xf borderId="2896" fillId="0" fontId="4" numFmtId="0" xfId="0" applyBorder="1" applyFont="1"/>
    <xf borderId="2897" fillId="0" fontId="4" numFmtId="0" xfId="0" applyBorder="1" applyFont="1"/>
    <xf borderId="2898" fillId="0" fontId="4" numFmtId="0" xfId="0" applyBorder="1" applyFont="1"/>
    <xf borderId="2899" fillId="147" fontId="114" numFmtId="0" xfId="0" applyAlignment="1" applyBorder="1" applyFont="1">
      <alignment horizontal="center" readingOrder="0" vertical="top"/>
    </xf>
    <xf borderId="2900" fillId="0" fontId="4" numFmtId="0" xfId="0" applyBorder="1" applyFont="1"/>
    <xf borderId="2901" fillId="0" fontId="4" numFmtId="0" xfId="0" applyBorder="1" applyFont="1"/>
    <xf borderId="2892" fillId="147" fontId="110" numFmtId="0" xfId="0" applyAlignment="1" applyBorder="1" applyFont="1">
      <alignment horizontal="center" vertical="center"/>
    </xf>
    <xf borderId="2902" fillId="147" fontId="110" numFmtId="0" xfId="0" applyAlignment="1" applyBorder="1" applyFont="1">
      <alignment horizontal="center" vertical="center"/>
    </xf>
    <xf borderId="2903" fillId="147" fontId="110" numFmtId="0" xfId="0" applyAlignment="1" applyBorder="1" applyFont="1">
      <alignment horizontal="right" vertical="top"/>
    </xf>
    <xf borderId="2903" fillId="147" fontId="110" numFmtId="0" xfId="0" applyAlignment="1" applyBorder="1" applyFont="1">
      <alignment horizontal="left" vertical="top"/>
    </xf>
    <xf borderId="2904" fillId="147" fontId="110" numFmtId="0" xfId="0" applyAlignment="1" applyBorder="1" applyFont="1">
      <alignment horizontal="center" vertical="top"/>
    </xf>
    <xf borderId="2905" fillId="147" fontId="110" numFmtId="0" xfId="0" applyAlignment="1" applyBorder="1" applyFont="1">
      <alignment horizontal="center" vertical="top"/>
    </xf>
    <xf borderId="2906" fillId="0" fontId="4" numFmtId="0" xfId="0" applyBorder="1" applyFont="1"/>
    <xf borderId="2892" fillId="147" fontId="76" numFmtId="0" xfId="0" applyAlignment="1" applyBorder="1" applyFont="1">
      <alignment horizontal="right" vertical="center"/>
    </xf>
    <xf borderId="2907" fillId="147" fontId="110" numFmtId="0" xfId="0" applyAlignment="1" applyBorder="1" applyFont="1">
      <alignment horizontal="center" vertical="center"/>
    </xf>
    <xf borderId="2908" fillId="147" fontId="110" numFmtId="0" xfId="0" applyAlignment="1" applyBorder="1" applyFont="1">
      <alignment horizontal="center" vertical="top"/>
    </xf>
    <xf borderId="2909" fillId="147" fontId="110" numFmtId="0" xfId="0" applyAlignment="1" applyBorder="1" applyFont="1">
      <alignment horizontal="center" vertical="top"/>
    </xf>
    <xf borderId="2910" fillId="147" fontId="110" numFmtId="0" xfId="0" applyAlignment="1" applyBorder="1" applyFont="1">
      <alignment horizontal="center" readingOrder="0" vertical="center"/>
    </xf>
    <xf borderId="2911" fillId="0" fontId="4" numFmtId="0" xfId="0" applyBorder="1" applyFont="1"/>
    <xf borderId="2912" fillId="0" fontId="4" numFmtId="0" xfId="0" applyBorder="1" applyFont="1"/>
    <xf borderId="2893" fillId="147" fontId="76" numFmtId="0" xfId="0" applyAlignment="1" applyBorder="1" applyFont="1">
      <alignment horizontal="right"/>
    </xf>
    <xf borderId="2913" fillId="147" fontId="110" numFmtId="0" xfId="0" applyAlignment="1" applyBorder="1" applyFont="1">
      <alignment horizontal="center" readingOrder="0" vertical="center"/>
    </xf>
    <xf borderId="2914" fillId="0" fontId="4" numFmtId="0" xfId="0" applyBorder="1" applyFont="1"/>
    <xf borderId="2915" fillId="0" fontId="4" numFmtId="0" xfId="0" applyBorder="1" applyFont="1"/>
    <xf borderId="2916" fillId="147" fontId="110" numFmtId="0" xfId="0" applyAlignment="1" applyBorder="1" applyFont="1">
      <alignment horizontal="center" vertical="center"/>
    </xf>
    <xf borderId="2917" fillId="0" fontId="4" numFmtId="0" xfId="0" applyBorder="1" applyFont="1"/>
    <xf borderId="2918" fillId="0" fontId="4" numFmtId="0" xfId="0" applyBorder="1" applyFont="1"/>
    <xf borderId="2919" fillId="147" fontId="110" numFmtId="0" xfId="0" applyAlignment="1" applyBorder="1" applyFont="1">
      <alignment horizontal="center" vertical="center"/>
    </xf>
    <xf borderId="2889" fillId="0" fontId="4" numFmtId="0" xfId="0" applyBorder="1" applyFont="1"/>
    <xf borderId="2920" fillId="147" fontId="110" numFmtId="0" xfId="0" applyAlignment="1" applyBorder="1" applyFont="1">
      <alignment horizontal="center" readingOrder="0" vertical="center"/>
    </xf>
    <xf borderId="2921" fillId="0" fontId="4" numFmtId="0" xfId="0" applyBorder="1" applyFont="1"/>
    <xf borderId="2922" fillId="0" fontId="4" numFmtId="0" xfId="0" applyBorder="1" applyFont="1"/>
    <xf borderId="2923" fillId="147" fontId="110" numFmtId="0" xfId="0" applyAlignment="1" applyBorder="1" applyFont="1">
      <alignment horizontal="center" vertical="center"/>
    </xf>
    <xf borderId="2924" fillId="0" fontId="4" numFmtId="0" xfId="0" applyBorder="1" applyFont="1"/>
    <xf borderId="2925" fillId="147" fontId="110" numFmtId="0" xfId="0" applyAlignment="1" applyBorder="1" applyFont="1">
      <alignment horizontal="center" readingOrder="0" vertical="center"/>
    </xf>
    <xf borderId="2925" fillId="147" fontId="110" numFmtId="0" xfId="0" applyAlignment="1" applyBorder="1" applyFont="1">
      <alignment horizontal="center" vertical="center"/>
    </xf>
    <xf borderId="2926" fillId="147" fontId="110" numFmtId="0" xfId="0" applyAlignment="1" applyBorder="1" applyFont="1">
      <alignment horizontal="center" vertical="center"/>
    </xf>
    <xf borderId="2927" fillId="0" fontId="4" numFmtId="0" xfId="0" applyBorder="1" applyFont="1"/>
    <xf borderId="2928" fillId="0" fontId="4" numFmtId="0" xfId="0" applyBorder="1" applyFont="1"/>
    <xf borderId="2929" fillId="147" fontId="110" numFmtId="0" xfId="0" applyAlignment="1" applyBorder="1" applyFont="1">
      <alignment horizontal="center" vertical="center"/>
    </xf>
    <xf borderId="2891" fillId="147" fontId="124" numFmtId="0" xfId="0" applyAlignment="1" applyBorder="1" applyFont="1">
      <alignment horizontal="center" vertical="center"/>
    </xf>
    <xf borderId="2892" fillId="147" fontId="74" numFmtId="0" xfId="0" applyAlignment="1" applyBorder="1" applyFont="1">
      <alignment horizontal="right" vertical="center"/>
    </xf>
    <xf borderId="2892" fillId="147" fontId="131" numFmtId="0" xfId="0" applyAlignment="1" applyBorder="1" applyFont="1">
      <alignment horizontal="center" vertical="center"/>
    </xf>
    <xf borderId="2892" fillId="147" fontId="131" numFmtId="0" xfId="0" applyAlignment="1" applyBorder="1" applyFont="1">
      <alignment horizontal="center" vertical="top"/>
    </xf>
    <xf borderId="2893" fillId="147" fontId="131" numFmtId="0" xfId="0" applyAlignment="1" applyBorder="1" applyFont="1">
      <alignment horizontal="center" vertical="top"/>
    </xf>
    <xf borderId="2892" fillId="147" fontId="132" numFmtId="0" xfId="0" applyAlignment="1" applyBorder="1" applyFont="1">
      <alignment horizontal="center" vertical="center"/>
    </xf>
    <xf borderId="2894" fillId="147" fontId="124" numFmtId="0" xfId="0" applyAlignment="1" applyBorder="1" applyFont="1">
      <alignment horizontal="center" vertical="center"/>
    </xf>
    <xf borderId="2891" fillId="147" fontId="133" numFmtId="0" xfId="0" applyAlignment="1" applyBorder="1" applyFont="1">
      <alignment horizontal="center" vertical="center"/>
    </xf>
    <xf borderId="2892" fillId="147" fontId="106" numFmtId="0" xfId="0" applyAlignment="1" applyBorder="1" applyFont="1">
      <alignment horizontal="center" vertical="center"/>
    </xf>
    <xf borderId="237" fillId="53" fontId="104" numFmtId="0" xfId="0" applyAlignment="1" applyBorder="1" applyFont="1">
      <alignment horizontal="center" readingOrder="0" vertical="top"/>
    </xf>
    <xf borderId="240" fillId="53" fontId="104" numFmtId="0" xfId="0" applyAlignment="1" applyBorder="1" applyFont="1">
      <alignment horizontal="center" readingOrder="0" vertical="top"/>
    </xf>
    <xf borderId="2930" fillId="147" fontId="105" numFmtId="0" xfId="0" applyAlignment="1" applyBorder="1" applyFont="1">
      <alignment horizontal="center" vertical="center"/>
    </xf>
    <xf borderId="2930" fillId="147" fontId="106" numFmtId="0" xfId="0" applyAlignment="1" applyBorder="1" applyFont="1">
      <alignment horizontal="center" vertical="center"/>
    </xf>
    <xf borderId="2930" fillId="147" fontId="131" numFmtId="0" xfId="0" applyAlignment="1" applyBorder="1" applyFont="1">
      <alignment horizontal="center" vertical="center"/>
    </xf>
    <xf borderId="2930" fillId="147" fontId="133" numFmtId="0" xfId="0" applyAlignment="1" applyBorder="1" applyFont="1">
      <alignment horizontal="center" vertical="center"/>
    </xf>
    <xf borderId="2894" fillId="147" fontId="133" numFmtId="0" xfId="0" applyAlignment="1" applyBorder="1" applyFont="1">
      <alignment horizontal="center" vertical="center"/>
    </xf>
    <xf borderId="2931" fillId="53" fontId="104" numFmtId="0" xfId="0" applyAlignment="1" applyBorder="1" applyFont="1">
      <alignment horizontal="center" readingOrder="0" vertical="center"/>
    </xf>
    <xf borderId="2932" fillId="53" fontId="104" numFmtId="0" xfId="0" applyAlignment="1" applyBorder="1" applyFont="1">
      <alignment horizontal="center" readingOrder="0" vertical="center"/>
    </xf>
    <xf borderId="2933" fillId="53" fontId="104" numFmtId="0" xfId="0" applyAlignment="1" applyBorder="1" applyFont="1">
      <alignment horizontal="left" readingOrder="0" vertical="center"/>
    </xf>
    <xf borderId="2934" fillId="53" fontId="104" numFmtId="0" xfId="0" applyAlignment="1" applyBorder="1" applyFont="1">
      <alignment horizontal="center" readingOrder="0" vertical="center"/>
    </xf>
    <xf borderId="2892" fillId="147" fontId="105" numFmtId="0" xfId="0" applyAlignment="1" applyBorder="1" applyFont="1">
      <alignment horizontal="center" vertical="center"/>
    </xf>
    <xf borderId="2892" fillId="147" fontId="133" numFmtId="0" xfId="0" applyAlignment="1" applyBorder="1" applyFont="1">
      <alignment horizontal="center" vertical="center"/>
    </xf>
    <xf borderId="2935" fillId="53" fontId="104" numFmtId="0" xfId="0" applyAlignment="1" applyBorder="1" applyFont="1">
      <alignment horizontal="center" readingOrder="0" vertical="center"/>
    </xf>
    <xf borderId="2936" fillId="53" fontId="104" numFmtId="0" xfId="0" applyAlignment="1" applyBorder="1" applyFont="1">
      <alignment horizontal="center" readingOrder="0" vertical="center"/>
    </xf>
    <xf borderId="2937" fillId="53" fontId="104" numFmtId="0" xfId="0" applyAlignment="1" applyBorder="1" applyFont="1">
      <alignment horizontal="left" readingOrder="0" vertical="center"/>
    </xf>
    <xf borderId="2938" fillId="53" fontId="104" numFmtId="0" xfId="0" applyAlignment="1" applyBorder="1" applyFont="1">
      <alignment horizontal="center" readingOrder="0" vertical="center"/>
    </xf>
    <xf borderId="2939" fillId="53" fontId="104" numFmtId="0" xfId="0" applyAlignment="1" applyBorder="1" applyFont="1">
      <alignment horizontal="center" readingOrder="0" vertical="center"/>
    </xf>
    <xf borderId="2940" fillId="53" fontId="104" numFmtId="0" xfId="0" applyAlignment="1" applyBorder="1" applyFont="1">
      <alignment horizontal="center" readingOrder="0" vertical="center"/>
    </xf>
    <xf borderId="2941" fillId="53" fontId="104" numFmtId="0" xfId="0" applyAlignment="1" applyBorder="1" applyFont="1">
      <alignment horizontal="left" readingOrder="0" vertical="center"/>
    </xf>
    <xf borderId="2942" fillId="53" fontId="104" numFmtId="0" xfId="0" applyAlignment="1" applyBorder="1" applyFont="1">
      <alignment horizontal="center" readingOrder="0" vertical="center"/>
    </xf>
    <xf borderId="253" fillId="53" fontId="104" numFmtId="0" xfId="0" applyAlignment="1" applyBorder="1" applyFont="1">
      <alignment horizontal="right" readingOrder="0" vertical="center"/>
    </xf>
    <xf borderId="256" fillId="53" fontId="104" numFmtId="0" xfId="0" applyAlignment="1" applyBorder="1" applyFont="1">
      <alignment horizontal="center" readingOrder="0" vertical="center"/>
    </xf>
    <xf borderId="543" fillId="53" fontId="104" numFmtId="0" xfId="0" applyAlignment="1" applyBorder="1" applyFont="1">
      <alignment horizontal="right" readingOrder="0" vertical="center"/>
    </xf>
    <xf borderId="546" fillId="53" fontId="104" numFmtId="0" xfId="0" applyAlignment="1" applyBorder="1" applyFont="1">
      <alignment horizontal="center" readingOrder="0" vertical="center"/>
    </xf>
    <xf borderId="2943" fillId="147" fontId="133" numFmtId="0" xfId="0" applyAlignment="1" applyBorder="1" applyFont="1">
      <alignment horizontal="center" vertical="center"/>
    </xf>
    <xf borderId="2893" fillId="147" fontId="106" numFmtId="0" xfId="0" applyAlignment="1" applyBorder="1" applyFont="1">
      <alignment horizontal="center" vertical="center"/>
    </xf>
    <xf borderId="2893" fillId="147" fontId="105" numFmtId="0" xfId="0" applyAlignment="1" applyBorder="1" applyFont="1">
      <alignment horizontal="center" vertical="center"/>
    </xf>
    <xf borderId="2889" fillId="147" fontId="74" numFmtId="0" xfId="0" applyAlignment="1" applyBorder="1" applyFont="1">
      <alignment horizontal="right" vertical="center"/>
    </xf>
    <xf borderId="2893" fillId="147" fontId="133" numFmtId="0" xfId="0" applyAlignment="1" applyBorder="1" applyFont="1">
      <alignment horizontal="center" vertical="center"/>
    </xf>
    <xf borderId="548" fillId="53" fontId="104" numFmtId="0" xfId="0" applyAlignment="1" applyBorder="1" applyFont="1">
      <alignment horizontal="right" readingOrder="0" vertical="center"/>
    </xf>
    <xf borderId="551" fillId="53" fontId="104" numFmtId="0" xfId="0" applyAlignment="1" applyBorder="1" applyFont="1">
      <alignment horizontal="center" readingOrder="0" vertical="center"/>
    </xf>
    <xf borderId="2919" fillId="147" fontId="133" numFmtId="0" xfId="0" applyAlignment="1" applyBorder="1" applyFont="1">
      <alignment horizontal="center" vertical="center"/>
    </xf>
    <xf borderId="2944" fillId="147" fontId="110" numFmtId="0" xfId="0" applyAlignment="1" applyBorder="1" applyFont="1">
      <alignment horizontal="center" vertical="center"/>
    </xf>
    <xf borderId="2945" fillId="147" fontId="110" numFmtId="0" xfId="0" applyAlignment="1" applyBorder="1" applyFont="1">
      <alignment horizontal="center" vertical="center"/>
    </xf>
    <xf borderId="2945" fillId="147" fontId="110" numFmtId="0" xfId="0" applyAlignment="1" applyBorder="1" applyFont="1">
      <alignment horizontal="center" vertical="center"/>
    </xf>
    <xf borderId="2945" fillId="147" fontId="110" numFmtId="0" xfId="0" applyAlignment="1" applyBorder="1" applyFont="1">
      <alignment horizontal="center" readingOrder="0" vertical="center"/>
    </xf>
    <xf borderId="2946" fillId="147" fontId="110" numFmtId="0" xfId="0" applyAlignment="1" applyBorder="1" applyFont="1">
      <alignment horizontal="center" vertical="center"/>
    </xf>
    <xf borderId="2947" fillId="148" fontId="110" numFmtId="0" xfId="0" applyAlignment="1" applyBorder="1" applyFill="1" applyFont="1">
      <alignment horizontal="center" vertical="center"/>
    </xf>
    <xf borderId="2948" fillId="148" fontId="110" numFmtId="0" xfId="0" applyAlignment="1" applyBorder="1" applyFont="1">
      <alignment horizontal="center" vertical="center"/>
    </xf>
    <xf borderId="2948" fillId="148" fontId="110" numFmtId="0" xfId="0" applyAlignment="1" applyBorder="1" applyFont="1">
      <alignment horizontal="center" vertical="center"/>
    </xf>
    <xf borderId="2948" fillId="148" fontId="110" numFmtId="0" xfId="0" applyAlignment="1" applyBorder="1" applyFont="1">
      <alignment horizontal="center" readingOrder="0" vertical="center"/>
    </xf>
    <xf borderId="2949" fillId="148" fontId="110" numFmtId="0" xfId="0" applyAlignment="1" applyBorder="1" applyFont="1">
      <alignment horizontal="center" vertical="center"/>
    </xf>
    <xf borderId="2950" fillId="148" fontId="110" numFmtId="0" xfId="0" applyAlignment="1" applyBorder="1" applyFont="1">
      <alignment horizontal="center" vertical="center"/>
    </xf>
    <xf borderId="2951" fillId="148" fontId="78" numFmtId="0" xfId="0" applyAlignment="1" applyBorder="1" applyFont="1">
      <alignment horizontal="center" readingOrder="0" vertical="center"/>
    </xf>
    <xf borderId="2952" fillId="148" fontId="110" numFmtId="0" xfId="0" applyAlignment="1" applyBorder="1" applyFont="1">
      <alignment horizontal="center" vertical="center"/>
    </xf>
    <xf borderId="2953" fillId="148" fontId="78" numFmtId="0" xfId="0" applyAlignment="1" applyBorder="1" applyFont="1">
      <alignment horizontal="center" readingOrder="0" vertical="center"/>
    </xf>
    <xf borderId="2954" fillId="148" fontId="110" numFmtId="0" xfId="0" applyAlignment="1" applyBorder="1" applyFont="1">
      <alignment horizontal="center" vertical="center"/>
    </xf>
    <xf borderId="189" fillId="62" fontId="76" numFmtId="0" xfId="0" applyAlignment="1" applyBorder="1" applyFont="1">
      <alignment horizontal="center" vertical="center"/>
    </xf>
    <xf borderId="2955" fillId="148" fontId="119" numFmtId="0" xfId="0" applyAlignment="1" applyBorder="1" applyFont="1">
      <alignment horizontal="center" vertical="center"/>
    </xf>
    <xf borderId="969" fillId="62" fontId="119" numFmtId="0" xfId="0" applyAlignment="1" applyBorder="1" applyFont="1">
      <alignment horizontal="center" vertical="center"/>
    </xf>
    <xf borderId="2956" fillId="148" fontId="110" numFmtId="0" xfId="0" applyAlignment="1" applyBorder="1" applyFont="1">
      <alignment horizontal="center" vertical="center"/>
    </xf>
    <xf borderId="2957" fillId="148" fontId="110" numFmtId="0" xfId="0" applyAlignment="1" applyBorder="1" applyFont="1">
      <alignment horizontal="center" vertical="center"/>
    </xf>
    <xf borderId="762" fillId="148" fontId="76" numFmtId="0" xfId="0" applyAlignment="1" applyBorder="1" applyFont="1">
      <alignment horizontal="right" readingOrder="0" vertical="center"/>
    </xf>
    <xf borderId="2958" fillId="148" fontId="110" numFmtId="0" xfId="0" applyAlignment="1" applyBorder="1" applyFont="1">
      <alignment horizontal="center" readingOrder="0" vertical="center"/>
    </xf>
    <xf borderId="2959" fillId="148" fontId="112" numFmtId="0" xfId="0" applyAlignment="1" applyBorder="1" applyFont="1">
      <alignment horizontal="center" readingOrder="0" vertical="center"/>
    </xf>
    <xf borderId="2960" fillId="0" fontId="4" numFmtId="0" xfId="0" applyBorder="1" applyFont="1"/>
    <xf borderId="2961" fillId="0" fontId="4" numFmtId="0" xfId="0" applyBorder="1" applyFont="1"/>
    <xf borderId="2962" fillId="0" fontId="4" numFmtId="0" xfId="0" applyBorder="1" applyFont="1"/>
    <xf borderId="2963" fillId="148" fontId="114" numFmtId="0" xfId="0" applyAlignment="1" applyBorder="1" applyFont="1">
      <alignment horizontal="center" readingOrder="0" vertical="top"/>
    </xf>
    <xf borderId="2964" fillId="0" fontId="4" numFmtId="0" xfId="0" applyBorder="1" applyFont="1"/>
    <xf borderId="2965" fillId="0" fontId="4" numFmtId="0" xfId="0" applyBorder="1" applyFont="1"/>
    <xf borderId="2955" fillId="148" fontId="110" numFmtId="0" xfId="0" applyAlignment="1" applyBorder="1" applyFont="1">
      <alignment horizontal="center" vertical="center"/>
    </xf>
    <xf borderId="2966" fillId="148" fontId="110" numFmtId="0" xfId="0" applyAlignment="1" applyBorder="1" applyFont="1">
      <alignment horizontal="center" vertical="center"/>
    </xf>
    <xf borderId="2967" fillId="148" fontId="110" numFmtId="0" xfId="0" applyAlignment="1" applyBorder="1" applyFont="1">
      <alignment horizontal="right" vertical="top"/>
    </xf>
    <xf borderId="2967" fillId="148" fontId="110" numFmtId="0" xfId="0" applyAlignment="1" applyBorder="1" applyFont="1">
      <alignment horizontal="left" vertical="top"/>
    </xf>
    <xf borderId="2968" fillId="148" fontId="110" numFmtId="0" xfId="0" applyAlignment="1" applyBorder="1" applyFont="1">
      <alignment horizontal="center" vertical="top"/>
    </xf>
    <xf borderId="2969" fillId="148" fontId="110" numFmtId="0" xfId="0" applyAlignment="1" applyBorder="1" applyFont="1">
      <alignment horizontal="center" vertical="top"/>
    </xf>
    <xf borderId="2970" fillId="0" fontId="4" numFmtId="0" xfId="0" applyBorder="1" applyFont="1"/>
    <xf borderId="2971" fillId="148" fontId="110" numFmtId="0" xfId="0" applyAlignment="1" applyBorder="1" applyFont="1">
      <alignment horizontal="center" vertical="center"/>
    </xf>
    <xf borderId="2972" fillId="148" fontId="76" numFmtId="0" xfId="0" applyAlignment="1" applyBorder="1" applyFont="1">
      <alignment horizontal="right" vertical="center"/>
    </xf>
    <xf borderId="2973" fillId="148" fontId="110" numFmtId="0" xfId="0" applyAlignment="1" applyBorder="1" applyFont="1">
      <alignment horizontal="center" vertical="center"/>
    </xf>
    <xf borderId="2974" fillId="148" fontId="110" numFmtId="0" xfId="0" applyAlignment="1" applyBorder="1" applyFont="1">
      <alignment horizontal="center" vertical="center"/>
    </xf>
    <xf borderId="2975" fillId="148" fontId="110" numFmtId="0" xfId="0" applyAlignment="1" applyBorder="1" applyFont="1">
      <alignment horizontal="center" vertical="top"/>
    </xf>
    <xf borderId="2976" fillId="148" fontId="110" numFmtId="0" xfId="0" applyAlignment="1" applyBorder="1" applyFont="1">
      <alignment horizontal="center" vertical="top"/>
    </xf>
    <xf borderId="2951" fillId="148" fontId="76" numFmtId="0" xfId="0" applyAlignment="1" applyBorder="1" applyFont="1">
      <alignment horizontal="right" vertical="center"/>
    </xf>
    <xf borderId="2977" fillId="148" fontId="110" numFmtId="0" xfId="0" applyAlignment="1" applyBorder="1" applyFont="1">
      <alignment horizontal="center" vertical="center"/>
    </xf>
    <xf borderId="2978" fillId="148" fontId="110" numFmtId="0" xfId="0" applyAlignment="1" applyBorder="1" applyFont="1">
      <alignment horizontal="center" readingOrder="0" vertical="center"/>
    </xf>
    <xf borderId="2979" fillId="0" fontId="4" numFmtId="0" xfId="0" applyBorder="1" applyFont="1"/>
    <xf borderId="2980" fillId="0" fontId="4" numFmtId="0" xfId="0" applyBorder="1" applyFont="1"/>
    <xf borderId="2981" fillId="148" fontId="76" numFmtId="0" xfId="0" applyAlignment="1" applyBorder="1" applyFont="1">
      <alignment horizontal="right"/>
    </xf>
    <xf borderId="2982" fillId="148" fontId="110" numFmtId="0" xfId="0" applyAlignment="1" applyBorder="1" applyFont="1">
      <alignment horizontal="center" readingOrder="0" vertical="center"/>
    </xf>
    <xf borderId="2983" fillId="0" fontId="4" numFmtId="0" xfId="0" applyBorder="1" applyFont="1"/>
    <xf borderId="2984" fillId="0" fontId="4" numFmtId="0" xfId="0" applyBorder="1" applyFont="1"/>
    <xf borderId="2985" fillId="0" fontId="4" numFmtId="0" xfId="0" applyBorder="1" applyFont="1"/>
    <xf borderId="2986" fillId="148" fontId="110" numFmtId="0" xfId="0" applyAlignment="1" applyBorder="1" applyFont="1">
      <alignment horizontal="center" readingOrder="0" vertical="center"/>
    </xf>
    <xf borderId="2987" fillId="0" fontId="4" numFmtId="0" xfId="0" applyBorder="1" applyFont="1"/>
    <xf borderId="2988" fillId="0" fontId="4" numFmtId="0" xfId="0" applyBorder="1" applyFont="1"/>
    <xf borderId="2989" fillId="148" fontId="110" numFmtId="0" xfId="0" applyAlignment="1" applyBorder="1" applyFont="1">
      <alignment horizontal="center" readingOrder="0" vertical="center"/>
    </xf>
    <xf borderId="2948" fillId="0" fontId="4" numFmtId="0" xfId="0" applyBorder="1" applyFont="1"/>
    <xf borderId="2990" fillId="0" fontId="4" numFmtId="0" xfId="0" applyBorder="1" applyFont="1"/>
    <xf borderId="2980" fillId="148" fontId="110" numFmtId="0" xfId="0" applyAlignment="1" applyBorder="1" applyFont="1">
      <alignment horizontal="center" readingOrder="0" vertical="center"/>
    </xf>
    <xf borderId="2991" fillId="0" fontId="4" numFmtId="0" xfId="0" applyBorder="1" applyFont="1"/>
    <xf borderId="2984" fillId="148" fontId="110" numFmtId="0" xfId="0" applyAlignment="1" applyBorder="1" applyFont="1">
      <alignment horizontal="center" readingOrder="0" vertical="center"/>
    </xf>
    <xf borderId="2992" fillId="148" fontId="110" numFmtId="0" xfId="0" applyAlignment="1" applyBorder="1" applyFont="1">
      <alignment horizontal="center" readingOrder="0" vertical="center"/>
    </xf>
    <xf borderId="2993" fillId="0" fontId="4" numFmtId="0" xfId="0" applyBorder="1" applyFont="1"/>
    <xf borderId="2994" fillId="0" fontId="4" numFmtId="0" xfId="0" applyBorder="1" applyFont="1"/>
    <xf borderId="2995" fillId="148" fontId="110" numFmtId="0" xfId="0" applyAlignment="1" applyBorder="1" applyFont="1">
      <alignment horizontal="center" readingOrder="0" vertical="center"/>
    </xf>
    <xf borderId="2996" fillId="0" fontId="4" numFmtId="0" xfId="0" applyBorder="1" applyFont="1"/>
    <xf borderId="2950" fillId="148" fontId="124" numFmtId="0" xfId="0" applyAlignment="1" applyBorder="1" applyFont="1">
      <alignment horizontal="center" vertical="center"/>
    </xf>
    <xf borderId="2951" fillId="148" fontId="74" numFmtId="0" xfId="0" applyAlignment="1" applyBorder="1" applyFont="1">
      <alignment horizontal="right" vertical="center"/>
    </xf>
    <xf borderId="2951" fillId="148" fontId="131" numFmtId="0" xfId="0" applyAlignment="1" applyBorder="1" applyFont="1">
      <alignment horizontal="center" vertical="center"/>
    </xf>
    <xf borderId="2997" fillId="148" fontId="131" numFmtId="0" xfId="0" applyAlignment="1" applyBorder="1" applyFont="1">
      <alignment horizontal="center" vertical="top"/>
    </xf>
    <xf borderId="2998" fillId="148" fontId="131" numFmtId="0" xfId="0" applyAlignment="1" applyBorder="1" applyFont="1">
      <alignment horizontal="center" vertical="top"/>
    </xf>
    <xf borderId="2952" fillId="148" fontId="124" numFmtId="0" xfId="0" applyAlignment="1" applyBorder="1" applyFont="1">
      <alignment horizontal="center" vertical="center"/>
    </xf>
    <xf borderId="2950" fillId="148" fontId="133" numFmtId="0" xfId="0" applyAlignment="1" applyBorder="1" applyFont="1">
      <alignment horizontal="center" vertical="center"/>
    </xf>
    <xf borderId="2999" fillId="148" fontId="106" numFmtId="0" xfId="0" applyAlignment="1" applyBorder="1" applyFont="1">
      <alignment horizontal="center" vertical="center"/>
    </xf>
    <xf borderId="237" fillId="62" fontId="104" numFmtId="0" xfId="0" applyAlignment="1" applyBorder="1" applyFont="1">
      <alignment horizontal="center" readingOrder="0" vertical="top"/>
    </xf>
    <xf borderId="240" fillId="62" fontId="104" numFmtId="0" xfId="0" applyAlignment="1" applyBorder="1" applyFont="1">
      <alignment horizontal="center" readingOrder="0" vertical="top"/>
    </xf>
    <xf borderId="3000" fillId="148" fontId="105" numFmtId="0" xfId="0" applyAlignment="1" applyBorder="1" applyFont="1">
      <alignment horizontal="center" vertical="center"/>
    </xf>
    <xf borderId="3001" fillId="148" fontId="133" numFmtId="0" xfId="0" applyAlignment="1" applyBorder="1" applyFont="1">
      <alignment horizontal="center" vertical="center"/>
    </xf>
    <xf borderId="3002" fillId="62" fontId="104" numFmtId="0" xfId="0" applyAlignment="1" applyBorder="1" applyFont="1">
      <alignment horizontal="center" readingOrder="0" vertical="center"/>
    </xf>
    <xf borderId="3003" fillId="62" fontId="104" numFmtId="0" xfId="0" applyAlignment="1" applyBorder="1" applyFont="1">
      <alignment horizontal="center" readingOrder="0" vertical="center"/>
    </xf>
    <xf borderId="3004" fillId="62" fontId="104" numFmtId="0" xfId="0" applyAlignment="1" applyBorder="1" applyFont="1">
      <alignment horizontal="left" readingOrder="0" vertical="center"/>
    </xf>
    <xf borderId="3005" fillId="62" fontId="104" numFmtId="0" xfId="0" applyAlignment="1" applyBorder="1" applyFont="1">
      <alignment horizontal="center" readingOrder="0" vertical="center"/>
    </xf>
    <xf borderId="3006" fillId="148" fontId="105" numFmtId="0" xfId="0" applyAlignment="1" applyBorder="1" applyFont="1">
      <alignment horizontal="center" vertical="center"/>
    </xf>
    <xf borderId="3007" fillId="62" fontId="104" numFmtId="0" xfId="0" applyAlignment="1" applyBorder="1" applyFont="1">
      <alignment horizontal="center" readingOrder="0" vertical="center"/>
    </xf>
    <xf borderId="3008" fillId="62" fontId="104" numFmtId="0" xfId="0" applyAlignment="1" applyBorder="1" applyFont="1">
      <alignment horizontal="center" readingOrder="0" vertical="center"/>
    </xf>
    <xf borderId="3009" fillId="62" fontId="104" numFmtId="0" xfId="0" applyAlignment="1" applyBorder="1" applyFont="1">
      <alignment horizontal="left" readingOrder="0" vertical="center"/>
    </xf>
    <xf borderId="3010" fillId="62" fontId="104" numFmtId="0" xfId="0" applyAlignment="1" applyBorder="1" applyFont="1">
      <alignment horizontal="center" readingOrder="0" vertical="center"/>
    </xf>
    <xf borderId="3011" fillId="148" fontId="74" numFmtId="0" xfId="0" applyAlignment="1" applyBorder="1" applyFont="1">
      <alignment horizontal="right" vertical="center"/>
    </xf>
    <xf borderId="3006" fillId="148" fontId="106" numFmtId="0" xfId="0" applyAlignment="1" applyBorder="1" applyFont="1">
      <alignment horizontal="center" vertical="center"/>
    </xf>
    <xf borderId="3012" fillId="62" fontId="104" numFmtId="0" xfId="0" applyAlignment="1" applyBorder="1" applyFont="1">
      <alignment horizontal="center" readingOrder="0" vertical="center"/>
    </xf>
    <xf borderId="3013" fillId="62" fontId="104" numFmtId="0" xfId="0" applyAlignment="1" applyBorder="1" applyFont="1">
      <alignment horizontal="center" readingOrder="0" vertical="center"/>
    </xf>
    <xf borderId="3014" fillId="62" fontId="104" numFmtId="0" xfId="0" applyAlignment="1" applyBorder="1" applyFont="1">
      <alignment horizontal="left" readingOrder="0" vertical="center"/>
    </xf>
    <xf borderId="3015" fillId="62" fontId="104" numFmtId="0" xfId="0" applyAlignment="1" applyBorder="1" applyFont="1">
      <alignment horizontal="center" readingOrder="0" vertical="center"/>
    </xf>
    <xf borderId="253" fillId="62" fontId="104" numFmtId="0" xfId="0" applyAlignment="1" applyBorder="1" applyFont="1">
      <alignment horizontal="right" readingOrder="0" vertical="center"/>
    </xf>
    <xf borderId="256" fillId="62" fontId="104" numFmtId="0" xfId="0" applyAlignment="1" applyBorder="1" applyFont="1">
      <alignment horizontal="center" readingOrder="0" vertical="center"/>
    </xf>
    <xf borderId="543" fillId="62" fontId="104" numFmtId="0" xfId="0" applyAlignment="1" applyBorder="1" applyFont="1">
      <alignment horizontal="right" readingOrder="0" vertical="center"/>
    </xf>
    <xf borderId="546" fillId="62" fontId="104" numFmtId="0" xfId="0" applyAlignment="1" applyBorder="1" applyFont="1">
      <alignment horizontal="center" readingOrder="0" vertical="center"/>
    </xf>
    <xf borderId="2948" fillId="148" fontId="74" numFmtId="0" xfId="0" applyAlignment="1" applyBorder="1" applyFont="1">
      <alignment horizontal="right" vertical="center"/>
    </xf>
    <xf borderId="548" fillId="62" fontId="104" numFmtId="0" xfId="0" applyAlignment="1" applyBorder="1" applyFont="1">
      <alignment horizontal="right" readingOrder="0" vertical="center"/>
    </xf>
    <xf borderId="551" fillId="62" fontId="104" numFmtId="0" xfId="0" applyAlignment="1" applyBorder="1" applyFont="1">
      <alignment horizontal="center" readingOrder="0" vertical="center"/>
    </xf>
    <xf borderId="2981" fillId="148" fontId="78" numFmtId="0" xfId="0" applyAlignment="1" applyBorder="1" applyFont="1">
      <alignment horizontal="center" readingOrder="0" vertical="center"/>
    </xf>
    <xf borderId="2958" fillId="148" fontId="119" numFmtId="0" xfId="0" applyAlignment="1" applyBorder="1" applyFont="1">
      <alignment horizontal="center" vertical="center"/>
    </xf>
    <xf borderId="2987" fillId="148" fontId="110" numFmtId="0" xfId="0" applyAlignment="1" applyBorder="1" applyFont="1">
      <alignment horizontal="center" vertical="center"/>
    </xf>
    <xf borderId="2957" fillId="148" fontId="133" numFmtId="0" xfId="0" applyAlignment="1" applyBorder="1" applyFont="1">
      <alignment horizontal="center" vertical="center"/>
    </xf>
    <xf borderId="3016" fillId="0" fontId="4" numFmtId="0" xfId="0" applyBorder="1" applyFont="1"/>
    <xf borderId="2985" fillId="148" fontId="131" numFmtId="0" xfId="0" applyAlignment="1" applyBorder="1" applyFont="1">
      <alignment horizontal="center" vertical="top"/>
    </xf>
    <xf borderId="2977" fillId="148" fontId="106" numFmtId="0" xfId="0" applyAlignment="1" applyBorder="1" applyFont="1">
      <alignment horizontal="center" vertical="center"/>
    </xf>
    <xf borderId="3017" fillId="148" fontId="133" numFmtId="0" xfId="0" applyAlignment="1" applyBorder="1" applyFont="1">
      <alignment horizontal="center" vertical="center"/>
    </xf>
    <xf borderId="3000" fillId="148" fontId="106" numFmtId="0" xfId="0" applyAlignment="1" applyBorder="1" applyFont="1">
      <alignment horizontal="center" vertical="center"/>
    </xf>
    <xf borderId="3018" fillId="148" fontId="110" numFmtId="0" xfId="0" applyAlignment="1" applyBorder="1" applyFont="1">
      <alignment horizontal="center" vertical="center"/>
    </xf>
    <xf borderId="2977" fillId="148" fontId="74" numFmtId="0" xfId="0" applyAlignment="1" applyBorder="1" applyFont="1">
      <alignment horizontal="right" vertical="center"/>
    </xf>
    <xf borderId="2952" fillId="148" fontId="74" numFmtId="0" xfId="0" applyAlignment="1" applyBorder="1" applyFont="1">
      <alignment horizontal="right" vertical="center"/>
    </xf>
    <xf borderId="3019" fillId="148" fontId="110" numFmtId="0" xfId="0" applyAlignment="1" applyBorder="1" applyFont="1">
      <alignment horizontal="center" vertical="center"/>
    </xf>
    <xf borderId="3020" fillId="148" fontId="110" numFmtId="0" xfId="0" applyAlignment="1" applyBorder="1" applyFont="1">
      <alignment horizontal="center" vertical="center"/>
    </xf>
    <xf borderId="3021" fillId="148" fontId="110" numFmtId="0" xfId="0" applyAlignment="1" applyBorder="1" applyFont="1">
      <alignment horizontal="center" vertical="center"/>
    </xf>
    <xf borderId="3020" fillId="148" fontId="110" numFmtId="0" xfId="0" applyAlignment="1" applyBorder="1" applyFont="1">
      <alignment horizontal="center" readingOrder="0" vertical="center"/>
    </xf>
    <xf borderId="3022" fillId="148" fontId="110" numFmtId="0" xfId="0" applyAlignment="1" applyBorder="1" applyFont="1">
      <alignment horizontal="center" vertical="center"/>
    </xf>
    <xf borderId="3023" fillId="149" fontId="110" numFmtId="0" xfId="0" applyAlignment="1" applyBorder="1" applyFill="1" applyFont="1">
      <alignment horizontal="center" vertical="center"/>
    </xf>
    <xf borderId="3024" fillId="149" fontId="110" numFmtId="0" xfId="0" applyAlignment="1" applyBorder="1" applyFont="1">
      <alignment horizontal="center" vertical="center"/>
    </xf>
    <xf borderId="3025" fillId="149" fontId="110" numFmtId="0" xfId="0" applyAlignment="1" applyBorder="1" applyFont="1">
      <alignment horizontal="center" vertical="center"/>
    </xf>
    <xf borderId="3026" fillId="149" fontId="151" numFmtId="0" xfId="0" applyAlignment="1" applyBorder="1" applyFont="1">
      <alignment horizontal="center" readingOrder="0" vertical="center"/>
    </xf>
    <xf borderId="3025" fillId="149" fontId="151" numFmtId="0" xfId="0" applyAlignment="1" applyBorder="1" applyFont="1">
      <alignment horizontal="center" readingOrder="0" vertical="center"/>
    </xf>
    <xf borderId="3027" fillId="149" fontId="110" numFmtId="0" xfId="0" applyAlignment="1" applyBorder="1" applyFont="1">
      <alignment horizontal="center" vertical="center"/>
    </xf>
    <xf borderId="3028" fillId="149" fontId="110" numFmtId="0" xfId="0" applyAlignment="1" applyBorder="1" applyFont="1">
      <alignment horizontal="center" vertical="center"/>
    </xf>
    <xf borderId="189" fillId="65" fontId="76" numFmtId="0" xfId="0" applyAlignment="1" applyBorder="1" applyFont="1">
      <alignment horizontal="center" vertical="center"/>
    </xf>
    <xf borderId="3029" fillId="149" fontId="119" numFmtId="0" xfId="0" applyAlignment="1" applyBorder="1" applyFont="1">
      <alignment horizontal="center" vertical="center"/>
    </xf>
    <xf borderId="969" fillId="65" fontId="119" numFmtId="0" xfId="0" applyAlignment="1" applyBorder="1" applyFont="1">
      <alignment horizontal="center" vertical="center"/>
    </xf>
    <xf borderId="3030" fillId="149" fontId="110" numFmtId="0" xfId="0" applyAlignment="1" applyBorder="1" applyFont="1">
      <alignment horizontal="center" vertical="center"/>
    </xf>
    <xf borderId="3031" fillId="149" fontId="119" numFmtId="0" xfId="0" applyAlignment="1" applyBorder="1" applyFont="1">
      <alignment horizontal="center" vertical="center"/>
    </xf>
    <xf borderId="3029" fillId="0" fontId="4" numFmtId="0" xfId="0" applyBorder="1" applyFont="1"/>
    <xf borderId="3032" fillId="0" fontId="4" numFmtId="0" xfId="0" applyBorder="1" applyFont="1"/>
    <xf borderId="3033" fillId="149" fontId="110" numFmtId="0" xfId="0" applyAlignment="1" applyBorder="1" applyFont="1">
      <alignment horizontal="center" vertical="center"/>
    </xf>
    <xf borderId="762" fillId="149" fontId="76" numFmtId="0" xfId="0" applyAlignment="1" applyBorder="1" applyFont="1">
      <alignment horizontal="right" readingOrder="0" vertical="center"/>
    </xf>
    <xf borderId="3029" fillId="149" fontId="110" numFmtId="0" xfId="0" applyAlignment="1" applyBorder="1" applyFont="1">
      <alignment horizontal="center" readingOrder="0" vertical="center"/>
    </xf>
    <xf borderId="3034" fillId="149" fontId="112" numFmtId="0" xfId="0" applyAlignment="1" applyBorder="1" applyFont="1">
      <alignment horizontal="center" readingOrder="0" vertical="center"/>
    </xf>
    <xf borderId="3035" fillId="0" fontId="4" numFmtId="0" xfId="0" applyBorder="1" applyFont="1"/>
    <xf borderId="3036" fillId="0" fontId="4" numFmtId="0" xfId="0" applyBorder="1" applyFont="1"/>
    <xf borderId="3037" fillId="0" fontId="4" numFmtId="0" xfId="0" applyBorder="1" applyFont="1"/>
    <xf borderId="3031" fillId="149" fontId="119" numFmtId="0" xfId="0" applyAlignment="1" applyBorder="1" applyFont="1">
      <alignment horizontal="center" readingOrder="0" vertical="center"/>
    </xf>
    <xf borderId="3038" fillId="149" fontId="114" numFmtId="0" xfId="0" applyAlignment="1" applyBorder="1" applyFont="1">
      <alignment horizontal="center" readingOrder="0" vertical="top"/>
    </xf>
    <xf borderId="3039" fillId="0" fontId="4" numFmtId="0" xfId="0" applyBorder="1" applyFont="1"/>
    <xf borderId="3040" fillId="0" fontId="4" numFmtId="0" xfId="0" applyBorder="1" applyFont="1"/>
    <xf borderId="3031" fillId="149" fontId="119" numFmtId="0" xfId="0" applyAlignment="1" applyBorder="1" applyFont="1">
      <alignment horizontal="center" readingOrder="0" vertical="top"/>
    </xf>
    <xf borderId="3029" fillId="149" fontId="110" numFmtId="0" xfId="0" applyAlignment="1" applyBorder="1" applyFont="1">
      <alignment horizontal="center" vertical="center"/>
    </xf>
    <xf borderId="3041" fillId="149" fontId="110" numFmtId="0" xfId="0" applyAlignment="1" applyBorder="1" applyFont="1">
      <alignment horizontal="center" vertical="center"/>
    </xf>
    <xf borderId="3042" fillId="149" fontId="110" numFmtId="0" xfId="0" applyAlignment="1" applyBorder="1" applyFont="1">
      <alignment horizontal="right" vertical="top"/>
    </xf>
    <xf borderId="3042" fillId="149" fontId="110" numFmtId="0" xfId="0" applyAlignment="1" applyBorder="1" applyFont="1">
      <alignment horizontal="left" vertical="top"/>
    </xf>
    <xf borderId="3043" fillId="149" fontId="110" numFmtId="0" xfId="0" applyAlignment="1" applyBorder="1" applyFont="1">
      <alignment horizontal="center" vertical="top"/>
    </xf>
    <xf borderId="3044" fillId="149" fontId="110" numFmtId="0" xfId="0" applyAlignment="1" applyBorder="1" applyFont="1">
      <alignment horizontal="center" vertical="top"/>
    </xf>
    <xf borderId="3045" fillId="0" fontId="4" numFmtId="0" xfId="0" applyBorder="1" applyFont="1"/>
    <xf borderId="3046" fillId="149" fontId="110" numFmtId="0" xfId="0" applyAlignment="1" applyBorder="1" applyFont="1">
      <alignment horizontal="center" vertical="center"/>
    </xf>
    <xf borderId="3046" fillId="149" fontId="110" numFmtId="0" xfId="0" applyAlignment="1" applyBorder="1" applyFont="1">
      <alignment horizontal="center" vertical="top"/>
    </xf>
    <xf borderId="3047" fillId="149" fontId="110" numFmtId="0" xfId="0" applyAlignment="1" applyBorder="1" applyFont="1">
      <alignment horizontal="center" vertical="center"/>
    </xf>
    <xf borderId="3048" fillId="149" fontId="76" numFmtId="0" xfId="0" applyAlignment="1" applyBorder="1" applyFont="1">
      <alignment horizontal="right" vertical="center"/>
    </xf>
    <xf borderId="3031" fillId="149" fontId="110" numFmtId="0" xfId="0" applyAlignment="1" applyBorder="1" applyFont="1">
      <alignment horizontal="center" vertical="center"/>
    </xf>
    <xf borderId="3049" fillId="149" fontId="110" numFmtId="0" xfId="0" applyAlignment="1" applyBorder="1" applyFont="1">
      <alignment horizontal="center" vertical="center"/>
    </xf>
    <xf borderId="3050" fillId="149" fontId="110" numFmtId="0" xfId="0" applyAlignment="1" applyBorder="1" applyFont="1">
      <alignment horizontal="center" vertical="top"/>
    </xf>
    <xf borderId="3051" fillId="149" fontId="110" numFmtId="0" xfId="0" applyAlignment="1" applyBorder="1" applyFont="1">
      <alignment horizontal="center" vertical="top"/>
    </xf>
    <xf borderId="3046" fillId="149" fontId="76" numFmtId="0" xfId="0" applyAlignment="1" applyBorder="1" applyFont="1">
      <alignment horizontal="right" vertical="center"/>
    </xf>
    <xf borderId="3052" fillId="149" fontId="110" numFmtId="0" xfId="0" applyAlignment="1" applyBorder="1" applyFont="1">
      <alignment horizontal="center" readingOrder="0" vertical="center"/>
    </xf>
    <xf borderId="3053" fillId="0" fontId="4" numFmtId="0" xfId="0" applyBorder="1" applyFont="1"/>
    <xf borderId="3054" fillId="0" fontId="4" numFmtId="0" xfId="0" applyBorder="1" applyFont="1"/>
    <xf borderId="3031" fillId="149" fontId="110" numFmtId="0" xfId="0" applyAlignment="1" applyBorder="1" applyFont="1">
      <alignment horizontal="center" readingOrder="0" vertical="center"/>
    </xf>
    <xf borderId="3055" fillId="149" fontId="76" numFmtId="0" xfId="0" applyAlignment="1" applyBorder="1" applyFont="1">
      <alignment horizontal="right"/>
    </xf>
    <xf borderId="3056" fillId="149" fontId="110" numFmtId="0" xfId="0" applyAlignment="1" applyBorder="1" applyFont="1">
      <alignment horizontal="center" readingOrder="0" vertical="center"/>
    </xf>
    <xf borderId="3057" fillId="0" fontId="4" numFmtId="0" xfId="0" applyBorder="1" applyFont="1"/>
    <xf borderId="3026" fillId="0" fontId="4" numFmtId="0" xfId="0" applyBorder="1" applyFont="1"/>
    <xf borderId="3058" fillId="149" fontId="110" numFmtId="0" xfId="0" applyAlignment="1" applyBorder="1" applyFont="1">
      <alignment horizontal="center" readingOrder="0" vertical="center"/>
    </xf>
    <xf borderId="3059" fillId="0" fontId="4" numFmtId="0" xfId="0" applyBorder="1" applyFont="1"/>
    <xf borderId="3030" fillId="0" fontId="4" numFmtId="0" xfId="0" applyBorder="1" applyFont="1"/>
    <xf borderId="3060" fillId="149" fontId="110" numFmtId="0" xfId="0" applyAlignment="1" applyBorder="1" applyFont="1">
      <alignment horizontal="center" readingOrder="0" vertical="center"/>
    </xf>
    <xf borderId="3046" fillId="149" fontId="110" numFmtId="0" xfId="0" applyAlignment="1" applyBorder="1" applyFont="1">
      <alignment horizontal="center" readingOrder="0" vertical="center"/>
    </xf>
    <xf borderId="3025" fillId="0" fontId="4" numFmtId="0" xfId="0" applyBorder="1" applyFont="1"/>
    <xf borderId="3061" fillId="0" fontId="4" numFmtId="0" xfId="0" applyBorder="1" applyFont="1"/>
    <xf borderId="3062" fillId="149" fontId="110" numFmtId="0" xfId="0" applyAlignment="1" applyBorder="1" applyFont="1">
      <alignment horizontal="center" readingOrder="0" vertical="center"/>
    </xf>
    <xf borderId="3063" fillId="149" fontId="110" numFmtId="0" xfId="0" applyAlignment="1" applyBorder="1" applyFont="1">
      <alignment horizontal="center" readingOrder="0" vertical="center"/>
    </xf>
    <xf borderId="3064" fillId="149" fontId="110" numFmtId="0" xfId="0" applyAlignment="1" applyBorder="1" applyFont="1">
      <alignment horizontal="center" readingOrder="0" vertical="center"/>
    </xf>
    <xf borderId="3065" fillId="0" fontId="4" numFmtId="0" xfId="0" applyBorder="1" applyFont="1"/>
    <xf borderId="3066" fillId="0" fontId="4" numFmtId="0" xfId="0" applyBorder="1" applyFont="1"/>
    <xf borderId="3067" fillId="149" fontId="110" numFmtId="0" xfId="0" applyAlignment="1" applyBorder="1" applyFont="1">
      <alignment horizontal="center" readingOrder="0" vertical="center"/>
    </xf>
    <xf borderId="3068" fillId="0" fontId="4" numFmtId="0" xfId="0" applyBorder="1" applyFont="1"/>
    <xf borderId="3047" fillId="149" fontId="124" numFmtId="0" xfId="0" applyAlignment="1" applyBorder="1" applyFont="1">
      <alignment horizontal="center" vertical="center"/>
    </xf>
    <xf borderId="3046" fillId="149" fontId="74" numFmtId="0" xfId="0" applyAlignment="1" applyBorder="1" applyFont="1">
      <alignment horizontal="right" vertical="center"/>
    </xf>
    <xf borderId="3046" fillId="149" fontId="131" numFmtId="0" xfId="0" applyAlignment="1" applyBorder="1" applyFont="1">
      <alignment horizontal="center" vertical="center"/>
    </xf>
    <xf borderId="3069" fillId="149" fontId="131" numFmtId="0" xfId="0" applyAlignment="1" applyBorder="1" applyFont="1">
      <alignment horizontal="center" vertical="top"/>
    </xf>
    <xf borderId="3070" fillId="149" fontId="131" numFmtId="0" xfId="0" applyAlignment="1" applyBorder="1" applyFont="1">
      <alignment horizontal="center" vertical="top"/>
    </xf>
    <xf borderId="3026" fillId="149" fontId="131" numFmtId="0" xfId="0" applyAlignment="1" applyBorder="1" applyFont="1">
      <alignment horizontal="center" vertical="top"/>
    </xf>
    <xf borderId="3046" fillId="149" fontId="131" numFmtId="0" xfId="0" applyAlignment="1" applyBorder="1" applyFont="1">
      <alignment horizontal="center" vertical="top"/>
    </xf>
    <xf borderId="3033" fillId="149" fontId="124" numFmtId="0" xfId="0" applyAlignment="1" applyBorder="1" applyFont="1">
      <alignment horizontal="center" vertical="center"/>
    </xf>
    <xf borderId="3047" fillId="149" fontId="133" numFmtId="0" xfId="0" applyAlignment="1" applyBorder="1" applyFont="1">
      <alignment horizontal="center" vertical="center"/>
    </xf>
    <xf borderId="3071" fillId="149" fontId="106" numFmtId="0" xfId="0" applyAlignment="1" applyBorder="1" applyFont="1">
      <alignment horizontal="center" vertical="center"/>
    </xf>
    <xf borderId="237" fillId="150" fontId="104" numFmtId="0" xfId="0" applyAlignment="1" applyBorder="1" applyFill="1" applyFont="1">
      <alignment horizontal="center" readingOrder="0" vertical="top"/>
    </xf>
    <xf borderId="240" fillId="150" fontId="104" numFmtId="0" xfId="0" applyAlignment="1" applyBorder="1" applyFont="1">
      <alignment horizontal="center" readingOrder="0" vertical="top"/>
    </xf>
    <xf borderId="3072" fillId="149" fontId="105" numFmtId="0" xfId="0" applyAlignment="1" applyBorder="1" applyFont="1">
      <alignment horizontal="center" vertical="center"/>
    </xf>
    <xf borderId="3033" fillId="149" fontId="133" numFmtId="0" xfId="0" applyAlignment="1" applyBorder="1" applyFont="1">
      <alignment horizontal="center" vertical="center"/>
    </xf>
    <xf borderId="3073" fillId="150" fontId="104" numFmtId="0" xfId="0" applyAlignment="1" applyBorder="1" applyFont="1">
      <alignment horizontal="center" readingOrder="0" vertical="center"/>
    </xf>
    <xf borderId="3074" fillId="150" fontId="104" numFmtId="0" xfId="0" applyAlignment="1" applyBorder="1" applyFont="1">
      <alignment horizontal="center" readingOrder="0" vertical="center"/>
    </xf>
    <xf borderId="3075" fillId="150" fontId="104" numFmtId="0" xfId="0" applyAlignment="1" applyBorder="1" applyFont="1">
      <alignment horizontal="left" readingOrder="0" vertical="center"/>
    </xf>
    <xf borderId="3076" fillId="150" fontId="104" numFmtId="0" xfId="0" applyAlignment="1" applyBorder="1" applyFont="1">
      <alignment horizontal="center" readingOrder="0" vertical="center"/>
    </xf>
    <xf borderId="3077" fillId="150" fontId="104" numFmtId="0" xfId="0" applyAlignment="1" applyBorder="1" applyFont="1">
      <alignment horizontal="center" readingOrder="0" vertical="center"/>
    </xf>
    <xf borderId="3078" fillId="150" fontId="104" numFmtId="0" xfId="0" applyAlignment="1" applyBorder="1" applyFont="1">
      <alignment horizontal="center" readingOrder="0" vertical="center"/>
    </xf>
    <xf borderId="3079" fillId="150" fontId="104" numFmtId="0" xfId="0" applyAlignment="1" applyBorder="1" applyFont="1">
      <alignment horizontal="left" readingOrder="0" vertical="center"/>
    </xf>
    <xf borderId="3080" fillId="150" fontId="104" numFmtId="0" xfId="0" applyAlignment="1" applyBorder="1" applyFont="1">
      <alignment horizontal="center" readingOrder="0" vertical="center"/>
    </xf>
    <xf borderId="3081" fillId="149" fontId="74" numFmtId="0" xfId="0" applyAlignment="1" applyBorder="1" applyFont="1">
      <alignment horizontal="right" vertical="center"/>
    </xf>
    <xf borderId="3082" fillId="149" fontId="133" numFmtId="0" xfId="0" applyAlignment="1" applyBorder="1" applyFont="1">
      <alignment horizontal="center" vertical="center"/>
    </xf>
    <xf borderId="3083" fillId="149" fontId="106" numFmtId="0" xfId="0" applyAlignment="1" applyBorder="1" applyFont="1">
      <alignment horizontal="center" vertical="center"/>
    </xf>
    <xf borderId="3084" fillId="150" fontId="104" numFmtId="0" xfId="0" applyAlignment="1" applyBorder="1" applyFont="1">
      <alignment horizontal="center" readingOrder="0" vertical="center"/>
    </xf>
    <xf borderId="3085" fillId="150" fontId="104" numFmtId="0" xfId="0" applyAlignment="1" applyBorder="1" applyFont="1">
      <alignment horizontal="center" readingOrder="0" vertical="center"/>
    </xf>
    <xf borderId="3086" fillId="150" fontId="104" numFmtId="0" xfId="0" applyAlignment="1" applyBorder="1" applyFont="1">
      <alignment horizontal="left" readingOrder="0" vertical="center"/>
    </xf>
    <xf borderId="3087" fillId="150" fontId="104" numFmtId="0" xfId="0" applyAlignment="1" applyBorder="1" applyFont="1">
      <alignment horizontal="center" readingOrder="0" vertical="center"/>
    </xf>
    <xf borderId="253" fillId="150" fontId="104" numFmtId="0" xfId="0" applyAlignment="1" applyBorder="1" applyFont="1">
      <alignment horizontal="right" readingOrder="0" vertical="center"/>
    </xf>
    <xf borderId="256" fillId="150" fontId="104" numFmtId="0" xfId="0" applyAlignment="1" applyBorder="1" applyFont="1">
      <alignment horizontal="center" readingOrder="0" vertical="center"/>
    </xf>
    <xf borderId="3088" fillId="149" fontId="110" numFmtId="0" xfId="0" applyAlignment="1" applyBorder="1" applyFont="1">
      <alignment horizontal="center" vertical="center"/>
    </xf>
    <xf borderId="3089" fillId="149" fontId="74" numFmtId="0" xfId="0" applyAlignment="1" applyBorder="1" applyFont="1">
      <alignment horizontal="right" vertical="center"/>
    </xf>
    <xf borderId="3090" fillId="149" fontId="74" numFmtId="0" xfId="0" applyAlignment="1" applyBorder="1" applyFont="1">
      <alignment horizontal="right" vertical="center"/>
    </xf>
    <xf borderId="3091" fillId="149" fontId="74" numFmtId="0" xfId="0" applyAlignment="1" applyBorder="1" applyFont="1">
      <alignment horizontal="right" vertical="center"/>
    </xf>
    <xf borderId="3092" fillId="149" fontId="74" numFmtId="0" xfId="0" applyAlignment="1" applyBorder="1" applyFont="1">
      <alignment horizontal="right" vertical="center"/>
    </xf>
    <xf borderId="2811" fillId="113" fontId="110" numFmtId="0" xfId="0" applyAlignment="1" applyBorder="1" applyFont="1">
      <alignment horizontal="center" vertical="center"/>
    </xf>
    <xf borderId="3093" fillId="151" fontId="172" numFmtId="0" xfId="0" applyAlignment="1" applyBorder="1" applyFill="1" applyFont="1">
      <alignment horizontal="center" vertical="center"/>
    </xf>
    <xf borderId="3094" fillId="151" fontId="125" numFmtId="0" xfId="0" applyAlignment="1" applyBorder="1" applyFont="1">
      <alignment horizontal="center" vertical="center"/>
    </xf>
    <xf borderId="3094" fillId="151" fontId="140" numFmtId="0" xfId="0" applyAlignment="1" applyBorder="1" applyFont="1">
      <alignment horizontal="center" vertical="center"/>
    </xf>
    <xf borderId="3093" fillId="151" fontId="125" numFmtId="0" xfId="0" applyAlignment="1" applyBorder="1" applyFont="1">
      <alignment horizontal="center" vertical="center"/>
    </xf>
    <xf borderId="3095" fillId="151" fontId="125" numFmtId="0" xfId="0" applyAlignment="1" applyBorder="1" applyFont="1">
      <alignment horizontal="center" vertical="center"/>
    </xf>
    <xf borderId="3096" fillId="152" fontId="125" numFmtId="0" xfId="0" applyAlignment="1" applyBorder="1" applyFill="1" applyFont="1">
      <alignment horizontal="center" vertical="center"/>
    </xf>
    <xf borderId="3097" fillId="152" fontId="140" numFmtId="0" xfId="0" applyAlignment="1" applyBorder="1" applyFont="1">
      <alignment horizontal="center" vertical="center"/>
    </xf>
    <xf borderId="3097" fillId="152" fontId="125" numFmtId="0" xfId="0" applyAlignment="1" applyBorder="1" applyFont="1">
      <alignment horizontal="center" vertical="center"/>
    </xf>
    <xf borderId="3098" fillId="152" fontId="125" numFmtId="0" xfId="0" applyAlignment="1" applyBorder="1" applyFont="1">
      <alignment horizontal="center" vertical="center"/>
    </xf>
    <xf borderId="3099" fillId="151" fontId="125" numFmtId="0" xfId="0" applyAlignment="1" applyBorder="1" applyFont="1">
      <alignment horizontal="center" vertical="center"/>
    </xf>
    <xf borderId="3100" fillId="152" fontId="125" numFmtId="0" xfId="0" applyAlignment="1" applyBorder="1" applyFont="1">
      <alignment horizontal="center" vertical="center"/>
    </xf>
    <xf borderId="3101" fillId="152" fontId="140" numFmtId="0" xfId="0" applyAlignment="1" applyBorder="1" applyFont="1">
      <alignment horizontal="center" vertical="center"/>
    </xf>
    <xf borderId="3101" fillId="152" fontId="125" numFmtId="0" xfId="0" applyAlignment="1" applyBorder="1" applyFont="1">
      <alignment horizontal="center" vertical="center"/>
    </xf>
    <xf borderId="64" fillId="68" fontId="134" numFmtId="0" xfId="0" applyAlignment="1" applyBorder="1" applyFont="1">
      <alignment horizontal="center" readingOrder="0" vertical="center"/>
    </xf>
    <xf borderId="3102" fillId="152" fontId="125" numFmtId="0" xfId="0" applyAlignment="1" applyBorder="1" applyFont="1">
      <alignment horizontal="center" vertical="center"/>
    </xf>
    <xf borderId="3101" fillId="152" fontId="148" numFmtId="0" xfId="0" applyAlignment="1" applyBorder="1" applyFont="1">
      <alignment horizontal="center" readingOrder="0" vertical="center"/>
    </xf>
    <xf borderId="3103" fillId="152" fontId="173" numFmtId="0" xfId="0" applyAlignment="1" applyBorder="1" applyFont="1">
      <alignment horizontal="left" readingOrder="0" vertical="center"/>
    </xf>
    <xf borderId="3104" fillId="0" fontId="4" numFmtId="0" xfId="0" applyBorder="1" applyFont="1"/>
    <xf borderId="3105" fillId="0" fontId="4" numFmtId="0" xfId="0" applyBorder="1" applyFont="1"/>
    <xf borderId="189" fillId="68" fontId="76" numFmtId="0" xfId="0" applyAlignment="1" applyBorder="1" applyFont="1">
      <alignment horizontal="right" vertical="center"/>
    </xf>
    <xf borderId="3101" fillId="152" fontId="127" numFmtId="0" xfId="0" applyAlignment="1" applyBorder="1" applyFont="1">
      <alignment horizontal="center" vertical="center"/>
    </xf>
    <xf borderId="969" fillId="68" fontId="127" numFmtId="0" xfId="0" applyAlignment="1" applyBorder="1" applyFont="1">
      <alignment horizontal="center" vertical="center"/>
    </xf>
    <xf borderId="3106" fillId="152" fontId="125" numFmtId="0" xfId="0" applyAlignment="1" applyBorder="1" applyFont="1">
      <alignment horizontal="center" vertical="center"/>
    </xf>
    <xf borderId="3095" fillId="151" fontId="110" numFmtId="0" xfId="0" applyAlignment="1" applyBorder="1" applyFont="1">
      <alignment horizontal="center" vertical="center"/>
    </xf>
    <xf borderId="3100" fillId="152" fontId="110" numFmtId="0" xfId="0" applyAlignment="1" applyBorder="1" applyFont="1">
      <alignment horizontal="center" vertical="center"/>
    </xf>
    <xf borderId="199" fillId="152" fontId="76" numFmtId="0" xfId="0" applyAlignment="1" applyBorder="1" applyFont="1">
      <alignment horizontal="right" readingOrder="0" vertical="center"/>
    </xf>
    <xf borderId="3101" fillId="152" fontId="110" numFmtId="0" xfId="0" applyAlignment="1" applyBorder="1" applyFont="1">
      <alignment horizontal="center" readingOrder="0" vertical="center"/>
    </xf>
    <xf borderId="3107" fillId="152" fontId="112" numFmtId="0" xfId="0" applyAlignment="1" applyBorder="1" applyFont="1">
      <alignment horizontal="center" readingOrder="0" vertical="center"/>
    </xf>
    <xf borderId="3108" fillId="0" fontId="4" numFmtId="0" xfId="0" applyBorder="1" applyFont="1"/>
    <xf borderId="3109" fillId="0" fontId="4" numFmtId="0" xfId="0" applyBorder="1" applyFont="1"/>
    <xf borderId="3110" fillId="0" fontId="4" numFmtId="0" xfId="0" applyBorder="1" applyFont="1"/>
    <xf borderId="3102" fillId="152" fontId="110" numFmtId="0" xfId="0" applyAlignment="1" applyBorder="1" applyFont="1">
      <alignment horizontal="center" vertical="center"/>
    </xf>
    <xf borderId="3099" fillId="151" fontId="110" numFmtId="0" xfId="0" applyAlignment="1" applyBorder="1" applyFont="1">
      <alignment horizontal="center" vertical="center"/>
    </xf>
    <xf borderId="3095" fillId="151" fontId="114" numFmtId="0" xfId="0" applyAlignment="1" applyBorder="1" applyFont="1">
      <alignment horizontal="center" vertical="center"/>
    </xf>
    <xf borderId="3100" fillId="152" fontId="114" numFmtId="0" xfId="0" applyAlignment="1" applyBorder="1" applyFont="1">
      <alignment horizontal="center" vertical="center"/>
    </xf>
    <xf borderId="3101" fillId="152" fontId="114" numFmtId="0" xfId="0" applyAlignment="1" applyBorder="1" applyFont="1">
      <alignment horizontal="center" readingOrder="0" vertical="center"/>
    </xf>
    <xf borderId="3111" fillId="152" fontId="119" numFmtId="0" xfId="0" applyAlignment="1" applyBorder="1" applyFont="1">
      <alignment horizontal="center" readingOrder="0" vertical="top"/>
    </xf>
    <xf borderId="3112" fillId="0" fontId="4" numFmtId="0" xfId="0" applyBorder="1" applyFont="1"/>
    <xf borderId="3113" fillId="0" fontId="4" numFmtId="0" xfId="0" applyBorder="1" applyFont="1"/>
    <xf borderId="3102" fillId="152" fontId="114" numFmtId="0" xfId="0" applyAlignment="1" applyBorder="1" applyFont="1">
      <alignment horizontal="center" vertical="center"/>
    </xf>
    <xf borderId="3099" fillId="151" fontId="114" numFmtId="0" xfId="0" applyAlignment="1" applyBorder="1" applyFont="1">
      <alignment horizontal="center" vertical="center"/>
    </xf>
    <xf borderId="3106" fillId="152" fontId="76" numFmtId="0" xfId="0" applyAlignment="1" applyBorder="1" applyFont="1">
      <alignment horizontal="right" vertical="center"/>
    </xf>
    <xf borderId="3114" fillId="152" fontId="125" numFmtId="0" xfId="0" applyAlignment="1" applyBorder="1" applyFont="1">
      <alignment horizontal="center" vertical="center"/>
    </xf>
    <xf borderId="3115" fillId="152" fontId="125" numFmtId="0" xfId="0" applyAlignment="1" applyBorder="1" applyFont="1">
      <alignment horizontal="center" vertical="top"/>
    </xf>
    <xf borderId="3116" fillId="0" fontId="4" numFmtId="0" xfId="0" applyBorder="1" applyFont="1"/>
    <xf borderId="3117" fillId="152" fontId="125" numFmtId="0" xfId="0" applyAlignment="1" applyBorder="1" applyFont="1">
      <alignment horizontal="center" vertical="top"/>
    </xf>
    <xf borderId="3118" fillId="152" fontId="125" numFmtId="0" xfId="0" applyAlignment="1" applyBorder="1" applyFont="1">
      <alignment horizontal="right" vertical="top"/>
    </xf>
    <xf borderId="3118" fillId="152" fontId="125" numFmtId="0" xfId="0" applyAlignment="1" applyBorder="1" applyFont="1">
      <alignment horizontal="left" vertical="top"/>
    </xf>
    <xf borderId="3119" fillId="152" fontId="125" numFmtId="0" xfId="0" applyAlignment="1" applyBorder="1" applyFont="1">
      <alignment horizontal="center" vertical="center"/>
    </xf>
    <xf borderId="3120" fillId="152" fontId="125" numFmtId="0" xfId="0" applyAlignment="1" applyBorder="1" applyFont="1">
      <alignment horizontal="center" vertical="top"/>
    </xf>
    <xf borderId="3121" fillId="152" fontId="125" numFmtId="0" xfId="0" applyAlignment="1" applyBorder="1" applyFont="1">
      <alignment horizontal="center" vertical="top"/>
    </xf>
    <xf borderId="3122" fillId="0" fontId="4" numFmtId="0" xfId="0" applyBorder="1" applyFont="1"/>
    <xf borderId="3123" fillId="152" fontId="110" numFmtId="0" xfId="0" applyAlignment="1" applyBorder="1" applyFont="1">
      <alignment horizontal="center" readingOrder="0" vertical="center"/>
    </xf>
    <xf borderId="3124" fillId="0" fontId="4" numFmtId="0" xfId="0" applyBorder="1" applyFont="1"/>
    <xf borderId="3125" fillId="0" fontId="4" numFmtId="0" xfId="0" applyBorder="1" applyFont="1"/>
    <xf borderId="3101" fillId="152" fontId="76" numFmtId="0" xfId="0" applyAlignment="1" applyBorder="1" applyFont="1">
      <alignment horizontal="right"/>
    </xf>
    <xf borderId="3126" fillId="152" fontId="110" numFmtId="0" xfId="0" applyAlignment="1" applyBorder="1" applyFont="1">
      <alignment horizontal="center" readingOrder="0" vertical="center"/>
    </xf>
    <xf borderId="3127" fillId="0" fontId="4" numFmtId="0" xfId="0" applyBorder="1" applyFont="1"/>
    <xf borderId="3128" fillId="152" fontId="110" numFmtId="0" xfId="0" applyAlignment="1" applyBorder="1" applyFont="1">
      <alignment horizontal="center" readingOrder="0" vertical="center"/>
    </xf>
    <xf borderId="3129" fillId="0" fontId="4" numFmtId="0" xfId="0" applyBorder="1" applyFont="1"/>
    <xf borderId="3130" fillId="0" fontId="4" numFmtId="0" xfId="0" applyBorder="1" applyFont="1"/>
    <xf borderId="3131" fillId="152" fontId="110" numFmtId="0" xfId="0" applyAlignment="1" applyBorder="1" applyFont="1">
      <alignment horizontal="center" readingOrder="0" vertical="center"/>
    </xf>
    <xf borderId="3132" fillId="0" fontId="4" numFmtId="0" xfId="0" applyBorder="1" applyFont="1"/>
    <xf borderId="3133" fillId="152" fontId="110" numFmtId="0" xfId="0" applyAlignment="1" applyBorder="1" applyFont="1">
      <alignment horizontal="center" readingOrder="0" vertical="center"/>
    </xf>
    <xf borderId="3101" fillId="152" fontId="76" numFmtId="0" xfId="0" applyAlignment="1" applyBorder="1" applyFont="1">
      <alignment horizontal="right" vertical="center"/>
    </xf>
    <xf borderId="3134" fillId="152" fontId="110" numFmtId="0" xfId="0" applyAlignment="1" applyBorder="1" applyFont="1">
      <alignment horizontal="center" readingOrder="0" vertical="center"/>
    </xf>
    <xf borderId="3135" fillId="152" fontId="110" numFmtId="0" xfId="0" applyAlignment="1" applyBorder="1" applyFont="1">
      <alignment horizontal="center" readingOrder="0" vertical="center"/>
    </xf>
    <xf borderId="3136" fillId="0" fontId="4" numFmtId="0" xfId="0" applyBorder="1" applyFont="1"/>
    <xf borderId="3137" fillId="0" fontId="4" numFmtId="0" xfId="0" applyBorder="1" applyFont="1"/>
    <xf borderId="3138" fillId="152" fontId="110" numFmtId="0" xfId="0" applyAlignment="1" applyBorder="1" applyFont="1">
      <alignment horizontal="center" readingOrder="0" vertical="center"/>
    </xf>
    <xf borderId="3095" fillId="151" fontId="130" numFmtId="0" xfId="0" applyAlignment="1" applyBorder="1" applyFont="1">
      <alignment horizontal="center" vertical="center"/>
    </xf>
    <xf borderId="3100" fillId="152" fontId="124" numFmtId="0" xfId="0" applyAlignment="1" applyBorder="1" applyFont="1">
      <alignment horizontal="center" vertical="center"/>
    </xf>
    <xf borderId="3101" fillId="152" fontId="74" numFmtId="0" xfId="0" applyAlignment="1" applyBorder="1" applyFont="1">
      <alignment horizontal="right" vertical="center"/>
    </xf>
    <xf borderId="3101" fillId="152" fontId="131" numFmtId="0" xfId="0" applyAlignment="1" applyBorder="1" applyFont="1">
      <alignment horizontal="center" vertical="center"/>
    </xf>
    <xf borderId="3101" fillId="152" fontId="131" numFmtId="0" xfId="0" applyAlignment="1" applyBorder="1" applyFont="1">
      <alignment horizontal="center" vertical="top"/>
    </xf>
    <xf borderId="3106" fillId="152" fontId="131" numFmtId="0" xfId="0" applyAlignment="1" applyBorder="1" applyFont="1">
      <alignment horizontal="center" vertical="top"/>
    </xf>
    <xf borderId="3106" fillId="152" fontId="132" numFmtId="0" xfId="0" applyAlignment="1" applyBorder="1" applyFont="1">
      <alignment horizontal="center" vertical="center"/>
    </xf>
    <xf borderId="3101" fillId="152" fontId="132" numFmtId="0" xfId="0" applyAlignment="1" applyBorder="1" applyFont="1">
      <alignment horizontal="center" vertical="center"/>
    </xf>
    <xf borderId="3102" fillId="152" fontId="124" numFmtId="0" xfId="0" applyAlignment="1" applyBorder="1" applyFont="1">
      <alignment horizontal="center" vertical="center"/>
    </xf>
    <xf borderId="3099" fillId="151" fontId="124" numFmtId="0" xfId="0" applyAlignment="1" applyBorder="1" applyFont="1">
      <alignment horizontal="center" vertical="center"/>
    </xf>
    <xf borderId="3095" fillId="151" fontId="128" numFmtId="0" xfId="0" applyAlignment="1" applyBorder="1" applyFont="1">
      <alignment horizontal="center" readingOrder="0" vertical="center"/>
    </xf>
    <xf borderId="3100" fillId="152" fontId="133" numFmtId="0" xfId="0" applyAlignment="1" applyBorder="1" applyFont="1">
      <alignment horizontal="center" vertical="center"/>
    </xf>
    <xf borderId="3101" fillId="152" fontId="116" numFmtId="0" xfId="0" applyAlignment="1" applyBorder="1" applyFont="1">
      <alignment horizontal="right" vertical="center"/>
    </xf>
    <xf borderId="3101" fillId="152" fontId="106" numFmtId="0" xfId="0" applyAlignment="1" applyBorder="1" applyFont="1">
      <alignment horizontal="center" vertical="center"/>
    </xf>
    <xf borderId="237" fillId="68" fontId="104" numFmtId="0" xfId="0" applyAlignment="1" applyBorder="1" applyFont="1">
      <alignment horizontal="center" readingOrder="0" vertical="top"/>
    </xf>
    <xf borderId="240" fillId="68" fontId="104" numFmtId="0" xfId="0" applyAlignment="1" applyBorder="1" applyFont="1">
      <alignment horizontal="center" readingOrder="0" vertical="top"/>
    </xf>
    <xf borderId="3103" fillId="152" fontId="131" numFmtId="0" xfId="0" applyAlignment="1" applyBorder="1" applyFont="1">
      <alignment horizontal="center" vertical="center"/>
    </xf>
    <xf borderId="3103" fillId="152" fontId="133" numFmtId="0" xfId="0" applyAlignment="1" applyBorder="1" applyFont="1">
      <alignment horizontal="center" vertical="center"/>
    </xf>
    <xf borderId="3102" fillId="152" fontId="133" numFmtId="0" xfId="0" applyAlignment="1" applyBorder="1" applyFont="1">
      <alignment horizontal="center" vertical="center"/>
    </xf>
    <xf borderId="3099" fillId="151" fontId="133" numFmtId="0" xfId="0" applyAlignment="1" applyBorder="1" applyFont="1">
      <alignment horizontal="center" vertical="center"/>
    </xf>
    <xf borderId="3139" fillId="68" fontId="104" numFmtId="0" xfId="0" applyAlignment="1" applyBorder="1" applyFont="1">
      <alignment horizontal="center" readingOrder="0" vertical="center"/>
    </xf>
    <xf borderId="3140" fillId="68" fontId="104" numFmtId="0" xfId="0" applyAlignment="1" applyBorder="1" applyFont="1">
      <alignment horizontal="center" readingOrder="0" vertical="center"/>
    </xf>
    <xf borderId="3141" fillId="68" fontId="104" numFmtId="0" xfId="0" applyAlignment="1" applyBorder="1" applyFont="1">
      <alignment horizontal="left" readingOrder="0" vertical="center"/>
    </xf>
    <xf borderId="3142" fillId="68" fontId="104" numFmtId="0" xfId="0" applyAlignment="1" applyBorder="1" applyFont="1">
      <alignment horizontal="center" readingOrder="0" vertical="center"/>
    </xf>
    <xf borderId="3101" fillId="152" fontId="133" numFmtId="0" xfId="0" applyAlignment="1" applyBorder="1" applyFont="1">
      <alignment horizontal="center" vertical="center"/>
    </xf>
    <xf borderId="3143" fillId="68" fontId="104" numFmtId="0" xfId="0" applyAlignment="1" applyBorder="1" applyFont="1">
      <alignment horizontal="center" readingOrder="0" vertical="center"/>
    </xf>
    <xf borderId="3144" fillId="68" fontId="104" numFmtId="0" xfId="0" applyAlignment="1" applyBorder="1" applyFont="1">
      <alignment horizontal="center" readingOrder="0" vertical="center"/>
    </xf>
    <xf borderId="3145" fillId="68" fontId="104" numFmtId="0" xfId="0" applyAlignment="1" applyBorder="1" applyFont="1">
      <alignment horizontal="left" readingOrder="0" vertical="center"/>
    </xf>
    <xf borderId="3146" fillId="68" fontId="104" numFmtId="0" xfId="0" applyAlignment="1" applyBorder="1" applyFont="1">
      <alignment horizontal="center" readingOrder="0" vertical="center"/>
    </xf>
    <xf borderId="3147" fillId="68" fontId="104" numFmtId="0" xfId="0" applyAlignment="1" applyBorder="1" applyFont="1">
      <alignment horizontal="center" readingOrder="0" vertical="center"/>
    </xf>
    <xf borderId="3148" fillId="68" fontId="104" numFmtId="0" xfId="0" applyAlignment="1" applyBorder="1" applyFont="1">
      <alignment horizontal="center" readingOrder="0" vertical="center"/>
    </xf>
    <xf borderId="3149" fillId="68" fontId="104" numFmtId="0" xfId="0" applyAlignment="1" applyBorder="1" applyFont="1">
      <alignment horizontal="left" readingOrder="0" vertical="center"/>
    </xf>
    <xf borderId="3150" fillId="68" fontId="104" numFmtId="0" xfId="0" applyAlignment="1" applyBorder="1" applyFont="1">
      <alignment horizontal="center" readingOrder="0" vertical="center"/>
    </xf>
    <xf borderId="253" fillId="68" fontId="104" numFmtId="0" xfId="0" applyAlignment="1" applyBorder="1" applyFont="1">
      <alignment horizontal="right" readingOrder="0" vertical="center"/>
    </xf>
    <xf borderId="256" fillId="68" fontId="104" numFmtId="0" xfId="0" applyAlignment="1" applyBorder="1" applyFont="1">
      <alignment horizontal="center" readingOrder="0" vertical="center"/>
    </xf>
    <xf borderId="3103" fillId="152" fontId="106" numFmtId="0" xfId="0" applyAlignment="1" applyBorder="1" applyFont="1">
      <alignment horizontal="center" vertical="center"/>
    </xf>
    <xf borderId="543" fillId="68" fontId="104" numFmtId="0" xfId="0" applyAlignment="1" applyBorder="1" applyFont="1">
      <alignment horizontal="right" readingOrder="0" vertical="center"/>
    </xf>
    <xf borderId="546" fillId="68" fontId="104" numFmtId="0" xfId="0" applyAlignment="1" applyBorder="1" applyFont="1">
      <alignment horizontal="center" readingOrder="0" vertical="center"/>
    </xf>
    <xf borderId="3122" fillId="152" fontId="116" numFmtId="0" xfId="0" applyAlignment="1" applyBorder="1" applyFont="1">
      <alignment horizontal="right" vertical="center"/>
    </xf>
    <xf borderId="548" fillId="68" fontId="104" numFmtId="0" xfId="0" applyAlignment="1" applyBorder="1" applyFont="1">
      <alignment horizontal="right" readingOrder="0" vertical="center"/>
    </xf>
    <xf borderId="551" fillId="68" fontId="104" numFmtId="0" xfId="0" applyAlignment="1" applyBorder="1" applyFont="1">
      <alignment horizontal="center" readingOrder="0" vertical="center"/>
    </xf>
    <xf borderId="3101" fillId="152" fontId="125" numFmtId="0" xfId="0" applyAlignment="1" applyBorder="1" applyFont="1">
      <alignment horizontal="center" readingOrder="0" vertical="center"/>
    </xf>
    <xf borderId="3151" fillId="152" fontId="125" numFmtId="0" xfId="0" applyAlignment="1" applyBorder="1" applyFont="1">
      <alignment horizontal="center" vertical="center"/>
    </xf>
    <xf borderId="3106" fillId="152" fontId="140" numFmtId="0" xfId="0" applyAlignment="1" applyBorder="1" applyFont="1">
      <alignment horizontal="center" vertical="center"/>
    </xf>
    <xf borderId="64" fillId="153" fontId="134" numFmtId="0" xfId="0" applyAlignment="1" applyBorder="1" applyFill="1" applyFont="1">
      <alignment horizontal="center" readingOrder="0" vertical="center"/>
    </xf>
    <xf borderId="3152" fillId="152" fontId="125" numFmtId="0" xfId="0" applyAlignment="1" applyBorder="1" applyFont="1">
      <alignment horizontal="center" vertical="center"/>
    </xf>
    <xf borderId="3153" fillId="154" fontId="125" numFmtId="0" xfId="0" applyAlignment="1" applyBorder="1" applyFill="1" applyFont="1">
      <alignment horizontal="center" vertical="center"/>
    </xf>
    <xf borderId="3154" fillId="154" fontId="140" numFmtId="0" xfId="0" applyAlignment="1" applyBorder="1" applyFont="1">
      <alignment horizontal="center" vertical="center"/>
    </xf>
    <xf borderId="3154" fillId="154" fontId="125" numFmtId="0" xfId="0" applyAlignment="1" applyBorder="1" applyFont="1">
      <alignment horizontal="center" vertical="center"/>
    </xf>
    <xf borderId="3155" fillId="154" fontId="125" numFmtId="0" xfId="0" applyAlignment="1" applyBorder="1" applyFont="1">
      <alignment horizontal="center" vertical="center"/>
    </xf>
    <xf borderId="3154" fillId="154" fontId="125" numFmtId="0" xfId="0" applyAlignment="1" applyBorder="1" applyFont="1">
      <alignment horizontal="center" readingOrder="0" vertical="center"/>
    </xf>
    <xf borderId="3156" fillId="154" fontId="174" numFmtId="0" xfId="0" applyAlignment="1" applyBorder="1" applyFont="1">
      <alignment horizontal="left" readingOrder="0" vertical="center"/>
    </xf>
    <xf borderId="3157" fillId="0" fontId="4" numFmtId="0" xfId="0" applyBorder="1" applyFont="1"/>
    <xf borderId="3158" fillId="0" fontId="4" numFmtId="0" xfId="0" applyBorder="1" applyFont="1"/>
    <xf borderId="189" fillId="153" fontId="76" numFmtId="0" xfId="0" applyAlignment="1" applyBorder="1" applyFont="1">
      <alignment horizontal="right" vertical="center"/>
    </xf>
    <xf borderId="3154" fillId="154" fontId="127" numFmtId="0" xfId="0" applyAlignment="1" applyBorder="1" applyFont="1">
      <alignment horizontal="center" vertical="center"/>
    </xf>
    <xf borderId="969" fillId="153" fontId="127" numFmtId="0" xfId="0" applyAlignment="1" applyBorder="1" applyFont="1">
      <alignment horizontal="center" vertical="center"/>
    </xf>
    <xf borderId="3159" fillId="154" fontId="125" numFmtId="0" xfId="0" applyAlignment="1" applyBorder="1" applyFont="1">
      <alignment horizontal="center" vertical="center"/>
    </xf>
    <xf borderId="3153" fillId="154" fontId="110" numFmtId="0" xfId="0" applyAlignment="1" applyBorder="1" applyFont="1">
      <alignment horizontal="center" vertical="center"/>
    </xf>
    <xf borderId="199" fillId="154" fontId="76" numFmtId="0" xfId="0" applyAlignment="1" applyBorder="1" applyFont="1">
      <alignment horizontal="right" readingOrder="0" vertical="center"/>
    </xf>
    <xf borderId="3154" fillId="154" fontId="110" numFmtId="0" xfId="0" applyAlignment="1" applyBorder="1" applyFont="1">
      <alignment horizontal="center" readingOrder="0" vertical="center"/>
    </xf>
    <xf borderId="3160" fillId="154" fontId="112" numFmtId="0" xfId="0" applyAlignment="1" applyBorder="1" applyFont="1">
      <alignment horizontal="center" readingOrder="0" vertical="center"/>
    </xf>
    <xf borderId="3161" fillId="0" fontId="4" numFmtId="0" xfId="0" applyBorder="1" applyFont="1"/>
    <xf borderId="3162" fillId="0" fontId="4" numFmtId="0" xfId="0" applyBorder="1" applyFont="1"/>
    <xf borderId="3163" fillId="0" fontId="4" numFmtId="0" xfId="0" applyBorder="1" applyFont="1"/>
    <xf borderId="3155" fillId="154" fontId="110" numFmtId="0" xfId="0" applyAlignment="1" applyBorder="1" applyFont="1">
      <alignment horizontal="center" vertical="center"/>
    </xf>
    <xf borderId="3153" fillId="154" fontId="114" numFmtId="0" xfId="0" applyAlignment="1" applyBorder="1" applyFont="1">
      <alignment horizontal="center" vertical="center"/>
    </xf>
    <xf borderId="3154" fillId="154" fontId="114" numFmtId="0" xfId="0" applyAlignment="1" applyBorder="1" applyFont="1">
      <alignment horizontal="center" readingOrder="0" vertical="center"/>
    </xf>
    <xf borderId="3164" fillId="154" fontId="119" numFmtId="0" xfId="0" applyAlignment="1" applyBorder="1" applyFont="1">
      <alignment horizontal="center" readingOrder="0" vertical="top"/>
    </xf>
    <xf borderId="3165" fillId="0" fontId="4" numFmtId="0" xfId="0" applyBorder="1" applyFont="1"/>
    <xf borderId="3166" fillId="0" fontId="4" numFmtId="0" xfId="0" applyBorder="1" applyFont="1"/>
    <xf borderId="3155" fillId="154" fontId="114" numFmtId="0" xfId="0" applyAlignment="1" applyBorder="1" applyFont="1">
      <alignment horizontal="center" vertical="center"/>
    </xf>
    <xf borderId="3159" fillId="154" fontId="140" numFmtId="0" xfId="0" applyAlignment="1" applyBorder="1" applyFont="1">
      <alignment horizontal="center" vertical="center"/>
    </xf>
    <xf borderId="3167" fillId="154" fontId="125" numFmtId="0" xfId="0" applyAlignment="1" applyBorder="1" applyFont="1">
      <alignment horizontal="center" vertical="center"/>
    </xf>
    <xf borderId="3168" fillId="154" fontId="125" numFmtId="0" xfId="0" applyAlignment="1" applyBorder="1" applyFont="1">
      <alignment horizontal="right" vertical="top"/>
    </xf>
    <xf borderId="3168" fillId="154" fontId="125" numFmtId="0" xfId="0" applyAlignment="1" applyBorder="1" applyFont="1">
      <alignment horizontal="left" vertical="top"/>
    </xf>
    <xf borderId="3169" fillId="154" fontId="125" numFmtId="0" xfId="0" applyAlignment="1" applyBorder="1" applyFont="1">
      <alignment horizontal="center" vertical="top"/>
    </xf>
    <xf borderId="3170" fillId="154" fontId="125" numFmtId="0" xfId="0" applyAlignment="1" applyBorder="1" applyFont="1">
      <alignment horizontal="center" vertical="top"/>
    </xf>
    <xf borderId="3171" fillId="0" fontId="4" numFmtId="0" xfId="0" applyBorder="1" applyFont="1"/>
    <xf borderId="3172" fillId="154" fontId="125" numFmtId="0" xfId="0" applyAlignment="1" applyBorder="1" applyFont="1">
      <alignment horizontal="center" vertical="center"/>
    </xf>
    <xf borderId="3173" fillId="154" fontId="125" numFmtId="0" xfId="0" applyAlignment="1" applyBorder="1" applyFont="1">
      <alignment horizontal="center" vertical="top"/>
    </xf>
    <xf borderId="3174" fillId="154" fontId="125" numFmtId="0" xfId="0" applyAlignment="1" applyBorder="1" applyFont="1">
      <alignment horizontal="center" vertical="top"/>
    </xf>
    <xf borderId="3175" fillId="154" fontId="110" numFmtId="0" xfId="0" applyAlignment="1" applyBorder="1" applyFont="1">
      <alignment horizontal="center" readingOrder="0" vertical="center"/>
    </xf>
    <xf borderId="3176" fillId="0" fontId="4" numFmtId="0" xfId="0" applyBorder="1" applyFont="1"/>
    <xf borderId="3177" fillId="0" fontId="4" numFmtId="0" xfId="0" applyBorder="1" applyFont="1"/>
    <xf borderId="3178" fillId="154" fontId="110" numFmtId="0" xfId="0" applyAlignment="1" applyBorder="1" applyFont="1">
      <alignment horizontal="center" readingOrder="0" vertical="center"/>
    </xf>
    <xf borderId="3179" fillId="0" fontId="4" numFmtId="0" xfId="0" applyBorder="1" applyFont="1"/>
    <xf borderId="3180" fillId="0" fontId="4" numFmtId="0" xfId="0" applyBorder="1" applyFont="1"/>
    <xf borderId="3181" fillId="154" fontId="110" numFmtId="0" xfId="0" applyAlignment="1" applyBorder="1" applyFont="1">
      <alignment horizontal="center" readingOrder="0" vertical="center"/>
    </xf>
    <xf borderId="3182" fillId="0" fontId="4" numFmtId="0" xfId="0" applyBorder="1" applyFont="1"/>
    <xf borderId="3183" fillId="0" fontId="4" numFmtId="0" xfId="0" applyBorder="1" applyFont="1"/>
    <xf borderId="3184" fillId="154" fontId="110" numFmtId="0" xfId="0" applyAlignment="1" applyBorder="1" applyFont="1">
      <alignment horizontal="center" readingOrder="0" vertical="center"/>
    </xf>
    <xf borderId="3185" fillId="0" fontId="4" numFmtId="0" xfId="0" applyBorder="1" applyFont="1"/>
    <xf borderId="3186" fillId="154" fontId="110" numFmtId="0" xfId="0" applyAlignment="1" applyBorder="1" applyFont="1">
      <alignment horizontal="center" readingOrder="0" vertical="center"/>
    </xf>
    <xf borderId="3187" fillId="154" fontId="110" numFmtId="0" xfId="0" applyAlignment="1" applyBorder="1" applyFont="1">
      <alignment horizontal="center" readingOrder="0" vertical="center"/>
    </xf>
    <xf borderId="3188" fillId="154" fontId="110" numFmtId="0" xfId="0" applyAlignment="1" applyBorder="1" applyFont="1">
      <alignment horizontal="center" readingOrder="0" vertical="center"/>
    </xf>
    <xf borderId="3189" fillId="0" fontId="4" numFmtId="0" xfId="0" applyBorder="1" applyFont="1"/>
    <xf borderId="3190" fillId="0" fontId="4" numFmtId="0" xfId="0" applyBorder="1" applyFont="1"/>
    <xf borderId="3191" fillId="154" fontId="110" numFmtId="0" xfId="0" applyAlignment="1" applyBorder="1" applyFont="1">
      <alignment horizontal="center" readingOrder="0" vertical="center"/>
    </xf>
    <xf borderId="3153" fillId="154" fontId="124" numFmtId="0" xfId="0" applyAlignment="1" applyBorder="1" applyFont="1">
      <alignment horizontal="center" vertical="center"/>
    </xf>
    <xf borderId="3154" fillId="154" fontId="74" numFmtId="0" xfId="0" applyAlignment="1" applyBorder="1" applyFont="1">
      <alignment horizontal="right" vertical="center"/>
    </xf>
    <xf borderId="3154" fillId="154" fontId="131" numFmtId="0" xfId="0" applyAlignment="1" applyBorder="1" applyFont="1">
      <alignment horizontal="center" vertical="center"/>
    </xf>
    <xf borderId="3154" fillId="154" fontId="131" numFmtId="0" xfId="0" applyAlignment="1" applyBorder="1" applyFont="1">
      <alignment horizontal="center" vertical="top"/>
    </xf>
    <xf borderId="3159" fillId="154" fontId="131" numFmtId="0" xfId="0" applyAlignment="1" applyBorder="1" applyFont="1">
      <alignment horizontal="center" vertical="top"/>
    </xf>
    <xf borderId="3159" fillId="154" fontId="132" numFmtId="0" xfId="0" applyAlignment="1" applyBorder="1" applyFont="1">
      <alignment horizontal="center" vertical="center"/>
    </xf>
    <xf borderId="3154" fillId="154" fontId="132" numFmtId="0" xfId="0" applyAlignment="1" applyBorder="1" applyFont="1">
      <alignment horizontal="center" vertical="center"/>
    </xf>
    <xf borderId="3155" fillId="154" fontId="124" numFmtId="0" xfId="0" applyAlignment="1" applyBorder="1" applyFont="1">
      <alignment horizontal="center" vertical="center"/>
    </xf>
    <xf borderId="3153" fillId="154" fontId="133" numFmtId="0" xfId="0" applyAlignment="1" applyBorder="1" applyFont="1">
      <alignment horizontal="center" vertical="center"/>
    </xf>
    <xf borderId="3154" fillId="154" fontId="116" numFmtId="0" xfId="0" applyAlignment="1" applyBorder="1" applyFont="1">
      <alignment horizontal="right" vertical="center"/>
    </xf>
    <xf borderId="3154" fillId="154" fontId="106" numFmtId="0" xfId="0" applyAlignment="1" applyBorder="1" applyFont="1">
      <alignment horizontal="center" vertical="center"/>
    </xf>
    <xf borderId="237" fillId="153" fontId="104" numFmtId="0" xfId="0" applyAlignment="1" applyBorder="1" applyFont="1">
      <alignment horizontal="center" readingOrder="0" vertical="top"/>
    </xf>
    <xf borderId="240" fillId="153" fontId="104" numFmtId="0" xfId="0" applyAlignment="1" applyBorder="1" applyFont="1">
      <alignment horizontal="center" readingOrder="0" vertical="top"/>
    </xf>
    <xf borderId="3156" fillId="154" fontId="131" numFmtId="0" xfId="0" applyAlignment="1" applyBorder="1" applyFont="1">
      <alignment horizontal="center" vertical="center"/>
    </xf>
    <xf borderId="3156" fillId="154" fontId="133" numFmtId="0" xfId="0" applyAlignment="1" applyBorder="1" applyFont="1">
      <alignment horizontal="center" vertical="center"/>
    </xf>
    <xf borderId="3155" fillId="154" fontId="133" numFmtId="0" xfId="0" applyAlignment="1" applyBorder="1" applyFont="1">
      <alignment horizontal="center" vertical="center"/>
    </xf>
    <xf borderId="3192" fillId="153" fontId="104" numFmtId="0" xfId="0" applyAlignment="1" applyBorder="1" applyFont="1">
      <alignment horizontal="center" readingOrder="0" vertical="center"/>
    </xf>
    <xf borderId="3193" fillId="153" fontId="104" numFmtId="0" xfId="0" applyAlignment="1" applyBorder="1" applyFont="1">
      <alignment horizontal="center" readingOrder="0" vertical="center"/>
    </xf>
    <xf borderId="3194" fillId="153" fontId="104" numFmtId="0" xfId="0" applyAlignment="1" applyBorder="1" applyFont="1">
      <alignment horizontal="left" readingOrder="0" vertical="center"/>
    </xf>
    <xf borderId="3195" fillId="153" fontId="104" numFmtId="0" xfId="0" applyAlignment="1" applyBorder="1" applyFont="1">
      <alignment horizontal="center" readingOrder="0" vertical="center"/>
    </xf>
    <xf borderId="3154" fillId="154" fontId="133" numFmtId="0" xfId="0" applyAlignment="1" applyBorder="1" applyFont="1">
      <alignment horizontal="center" vertical="center"/>
    </xf>
    <xf borderId="3196" fillId="153" fontId="104" numFmtId="0" xfId="0" applyAlignment="1" applyBorder="1" applyFont="1">
      <alignment horizontal="center" readingOrder="0" vertical="center"/>
    </xf>
    <xf borderId="3197" fillId="153" fontId="104" numFmtId="0" xfId="0" applyAlignment="1" applyBorder="1" applyFont="1">
      <alignment horizontal="center" readingOrder="0" vertical="center"/>
    </xf>
    <xf borderId="3198" fillId="153" fontId="104" numFmtId="0" xfId="0" applyAlignment="1" applyBorder="1" applyFont="1">
      <alignment horizontal="left" readingOrder="0" vertical="center"/>
    </xf>
    <xf borderId="3199" fillId="153" fontId="104" numFmtId="0" xfId="0" applyAlignment="1" applyBorder="1" applyFont="1">
      <alignment horizontal="center" readingOrder="0" vertical="center"/>
    </xf>
    <xf borderId="3200" fillId="153" fontId="104" numFmtId="0" xfId="0" applyAlignment="1" applyBorder="1" applyFont="1">
      <alignment horizontal="center" readingOrder="0" vertical="center"/>
    </xf>
    <xf borderId="3201" fillId="153" fontId="104" numFmtId="0" xfId="0" applyAlignment="1" applyBorder="1" applyFont="1">
      <alignment horizontal="center" readingOrder="0" vertical="center"/>
    </xf>
    <xf borderId="3202" fillId="153" fontId="104" numFmtId="0" xfId="0" applyAlignment="1" applyBorder="1" applyFont="1">
      <alignment horizontal="left" readingOrder="0" vertical="center"/>
    </xf>
    <xf borderId="3203" fillId="153" fontId="104" numFmtId="0" xfId="0" applyAlignment="1" applyBorder="1" applyFont="1">
      <alignment horizontal="center" readingOrder="0" vertical="center"/>
    </xf>
    <xf borderId="253" fillId="153" fontId="104" numFmtId="0" xfId="0" applyAlignment="1" applyBorder="1" applyFont="1">
      <alignment horizontal="right" readingOrder="0" vertical="center"/>
    </xf>
    <xf borderId="256" fillId="153" fontId="104" numFmtId="0" xfId="0" applyAlignment="1" applyBorder="1" applyFont="1">
      <alignment horizontal="center" readingOrder="0" vertical="center"/>
    </xf>
    <xf borderId="543" fillId="153" fontId="104" numFmtId="0" xfId="0" applyAlignment="1" applyBorder="1" applyFont="1">
      <alignment horizontal="right" readingOrder="0" vertical="center"/>
    </xf>
    <xf borderId="546" fillId="153" fontId="104" numFmtId="0" xfId="0" applyAlignment="1" applyBorder="1" applyFont="1">
      <alignment horizontal="center" readingOrder="0" vertical="center"/>
    </xf>
    <xf borderId="3156" fillId="154" fontId="106" numFmtId="0" xfId="0" applyAlignment="1" applyBorder="1" applyFont="1">
      <alignment horizontal="center" vertical="center"/>
    </xf>
    <xf borderId="548" fillId="153" fontId="104" numFmtId="0" xfId="0" applyAlignment="1" applyBorder="1" applyFont="1">
      <alignment horizontal="right" readingOrder="0" vertical="center"/>
    </xf>
    <xf borderId="551" fillId="153" fontId="104" numFmtId="0" xfId="0" applyAlignment="1" applyBorder="1" applyFont="1">
      <alignment horizontal="center" readingOrder="0" vertical="center"/>
    </xf>
    <xf borderId="3180" fillId="154" fontId="110" numFmtId="0" xfId="0" applyAlignment="1" applyBorder="1" applyFont="1">
      <alignment horizontal="center" readingOrder="0" vertical="center"/>
    </xf>
    <xf borderId="3156" fillId="154" fontId="125" numFmtId="0" xfId="0" applyAlignment="1" applyBorder="1" applyFont="1">
      <alignment horizontal="center" vertical="center"/>
    </xf>
    <xf borderId="3204" fillId="154" fontId="125" numFmtId="0" xfId="0" applyAlignment="1" applyBorder="1" applyFont="1">
      <alignment horizontal="center" vertical="center"/>
    </xf>
    <xf borderId="3205" fillId="154" fontId="140" numFmtId="0" xfId="0" applyAlignment="1" applyBorder="1" applyFont="1">
      <alignment horizontal="center" vertical="center"/>
    </xf>
    <xf borderId="3205" fillId="154" fontId="125" numFmtId="0" xfId="0" applyAlignment="1" applyBorder="1" applyFont="1">
      <alignment horizontal="center" vertical="center"/>
    </xf>
    <xf borderId="3205" fillId="154" fontId="110" numFmtId="0" xfId="0" applyAlignment="1" applyBorder="1" applyFont="1">
      <alignment horizontal="center" readingOrder="0" vertical="center"/>
    </xf>
    <xf borderId="3206" fillId="154" fontId="110" numFmtId="0" xfId="0" applyAlignment="1" applyBorder="1" applyFont="1">
      <alignment horizontal="center" readingOrder="0" vertical="center"/>
    </xf>
    <xf borderId="3207" fillId="154" fontId="125" numFmtId="0" xfId="0" applyAlignment="1" applyBorder="1" applyFont="1">
      <alignment horizontal="center" vertical="center"/>
    </xf>
    <xf borderId="3208" fillId="155" fontId="125" numFmtId="0" xfId="0" applyAlignment="1" applyBorder="1" applyFill="1" applyFont="1">
      <alignment horizontal="center" vertical="center"/>
    </xf>
    <xf borderId="3209" fillId="155" fontId="140" numFmtId="0" xfId="0" applyAlignment="1" applyBorder="1" applyFont="1">
      <alignment horizontal="center" vertical="center"/>
    </xf>
    <xf borderId="3209" fillId="155" fontId="125" numFmtId="0" xfId="0" applyAlignment="1" applyBorder="1" applyFont="1">
      <alignment horizontal="center" vertical="center"/>
    </xf>
    <xf borderId="3209" fillId="155" fontId="110" numFmtId="0" xfId="0" applyAlignment="1" applyBorder="1" applyFont="1">
      <alignment horizontal="center" readingOrder="0" vertical="center"/>
    </xf>
    <xf borderId="3210" fillId="155" fontId="125" numFmtId="0" xfId="0" applyAlignment="1" applyBorder="1" applyFont="1">
      <alignment horizontal="center" vertical="center"/>
    </xf>
    <xf borderId="3211" fillId="155" fontId="125" numFmtId="0" xfId="0" applyAlignment="1" applyBorder="1" applyFont="1">
      <alignment horizontal="center" vertical="center"/>
    </xf>
    <xf borderId="3212" fillId="155" fontId="75" numFmtId="0" xfId="0" applyAlignment="1" applyBorder="1" applyFont="1">
      <alignment horizontal="center" readingOrder="0" vertical="center"/>
    </xf>
    <xf borderId="3213" fillId="155" fontId="125" numFmtId="0" xfId="0" applyAlignment="1" applyBorder="1" applyFont="1">
      <alignment horizontal="center" vertical="center"/>
    </xf>
    <xf borderId="3212" fillId="155" fontId="140" numFmtId="0" xfId="0" applyAlignment="1" applyBorder="1" applyFont="1">
      <alignment horizontal="center" vertical="center"/>
    </xf>
    <xf borderId="3212" fillId="155" fontId="125" numFmtId="0" xfId="0" applyAlignment="1" applyBorder="1" applyFont="1">
      <alignment horizontal="center" vertical="center"/>
    </xf>
    <xf borderId="3212" fillId="155" fontId="148" numFmtId="0" xfId="0" applyAlignment="1" applyBorder="1" applyFont="1">
      <alignment horizontal="center" readingOrder="0" vertical="center"/>
    </xf>
    <xf borderId="189" fillId="69" fontId="76" numFmtId="0" xfId="0" applyAlignment="1" applyBorder="1" applyFont="1">
      <alignment horizontal="right" vertical="center"/>
    </xf>
    <xf borderId="3212" fillId="155" fontId="127" numFmtId="0" xfId="0" applyAlignment="1" applyBorder="1" applyFont="1">
      <alignment horizontal="center" vertical="center"/>
    </xf>
    <xf borderId="969" fillId="69" fontId="119" numFmtId="0" xfId="0" applyAlignment="1" applyBorder="1" applyFont="1">
      <alignment horizontal="center" vertical="center"/>
    </xf>
    <xf borderId="3214" fillId="155" fontId="110" numFmtId="0" xfId="0" applyAlignment="1" applyBorder="1" applyFont="1">
      <alignment horizontal="center" vertical="center"/>
    </xf>
    <xf borderId="3211" fillId="155" fontId="110" numFmtId="0" xfId="0" applyAlignment="1" applyBorder="1" applyFont="1">
      <alignment horizontal="center" vertical="center"/>
    </xf>
    <xf borderId="199" fillId="155" fontId="76" numFmtId="0" xfId="0" applyAlignment="1" applyBorder="1" applyFont="1">
      <alignment horizontal="right" readingOrder="0" vertical="center"/>
    </xf>
    <xf borderId="3212" fillId="155" fontId="110" numFmtId="0" xfId="0" applyAlignment="1" applyBorder="1" applyFont="1">
      <alignment horizontal="center" readingOrder="0" vertical="center"/>
    </xf>
    <xf borderId="3215" fillId="155" fontId="112" numFmtId="0" xfId="0" applyAlignment="1" applyBorder="1" applyFont="1">
      <alignment horizontal="center" readingOrder="0" vertical="center"/>
    </xf>
    <xf borderId="3216" fillId="0" fontId="4" numFmtId="0" xfId="0" applyBorder="1" applyFont="1"/>
    <xf borderId="3217" fillId="0" fontId="4" numFmtId="0" xfId="0" applyBorder="1" applyFont="1"/>
    <xf borderId="3218" fillId="0" fontId="4" numFmtId="0" xfId="0" applyBorder="1" applyFont="1"/>
    <xf borderId="3213" fillId="155" fontId="110" numFmtId="0" xfId="0" applyAlignment="1" applyBorder="1" applyFont="1">
      <alignment horizontal="center" vertical="center"/>
    </xf>
    <xf borderId="3211" fillId="155" fontId="114" numFmtId="0" xfId="0" applyAlignment="1" applyBorder="1" applyFont="1">
      <alignment horizontal="center" vertical="center"/>
    </xf>
    <xf borderId="3212" fillId="155" fontId="114" numFmtId="0" xfId="0" applyAlignment="1" applyBorder="1" applyFont="1">
      <alignment horizontal="center" readingOrder="0" vertical="center"/>
    </xf>
    <xf borderId="3219" fillId="155" fontId="119" numFmtId="0" xfId="0" applyAlignment="1" applyBorder="1" applyFont="1">
      <alignment horizontal="center" readingOrder="0" vertical="top"/>
    </xf>
    <xf borderId="3220" fillId="0" fontId="4" numFmtId="0" xfId="0" applyBorder="1" applyFont="1"/>
    <xf borderId="3221" fillId="0" fontId="4" numFmtId="0" xfId="0" applyBorder="1" applyFont="1"/>
    <xf borderId="3213" fillId="155" fontId="114" numFmtId="0" xfId="0" applyAlignment="1" applyBorder="1" applyFont="1">
      <alignment horizontal="center" vertical="center"/>
    </xf>
    <xf borderId="3214" fillId="155" fontId="140" numFmtId="0" xfId="0" applyAlignment="1" applyBorder="1" applyFont="1">
      <alignment horizontal="center" vertical="center"/>
    </xf>
    <xf borderId="3222" fillId="155" fontId="110" numFmtId="0" xfId="0" applyAlignment="1" applyBorder="1" applyFont="1">
      <alignment horizontal="center" vertical="center"/>
    </xf>
    <xf borderId="3223" fillId="155" fontId="110" numFmtId="0" xfId="0" applyAlignment="1" applyBorder="1" applyFont="1">
      <alignment horizontal="right" vertical="top"/>
    </xf>
    <xf borderId="3223" fillId="155" fontId="110" numFmtId="0" xfId="0" applyAlignment="1" applyBorder="1" applyFont="1">
      <alignment horizontal="left" vertical="top"/>
    </xf>
    <xf borderId="3224" fillId="155" fontId="110" numFmtId="0" xfId="0" applyAlignment="1" applyBorder="1" applyFont="1">
      <alignment horizontal="center" vertical="top"/>
    </xf>
    <xf borderId="3225" fillId="155" fontId="110" numFmtId="0" xfId="0" applyAlignment="1" applyBorder="1" applyFont="1">
      <alignment horizontal="center" vertical="center"/>
    </xf>
    <xf borderId="3226" fillId="155" fontId="110" numFmtId="0" xfId="0" applyAlignment="1" applyBorder="1" applyFont="1">
      <alignment horizontal="center" vertical="top"/>
    </xf>
    <xf borderId="3227" fillId="155" fontId="110" numFmtId="0" xfId="0" applyAlignment="1" applyBorder="1" applyFont="1">
      <alignment horizontal="center" vertical="top"/>
    </xf>
    <xf borderId="3228" fillId="155" fontId="110" numFmtId="0" xfId="0" applyAlignment="1" applyBorder="1" applyFont="1">
      <alignment horizontal="center" readingOrder="0" vertical="center"/>
    </xf>
    <xf borderId="3229" fillId="0" fontId="4" numFmtId="0" xfId="0" applyBorder="1" applyFont="1"/>
    <xf borderId="3230" fillId="0" fontId="4" numFmtId="0" xfId="0" applyBorder="1" applyFont="1"/>
    <xf borderId="3231" fillId="155" fontId="110" numFmtId="0" xfId="0" applyAlignment="1" applyBorder="1" applyFont="1">
      <alignment horizontal="center" readingOrder="0" vertical="center"/>
    </xf>
    <xf borderId="3232" fillId="0" fontId="4" numFmtId="0" xfId="0" applyBorder="1" applyFont="1"/>
    <xf borderId="3233" fillId="0" fontId="4" numFmtId="0" xfId="0" applyBorder="1" applyFont="1"/>
    <xf borderId="3209" fillId="0" fontId="4" numFmtId="0" xfId="0" applyBorder="1" applyFont="1"/>
    <xf borderId="3234" fillId="155" fontId="110" numFmtId="0" xfId="0" applyAlignment="1" applyBorder="1" applyFont="1">
      <alignment horizontal="center" readingOrder="0" vertical="center"/>
    </xf>
    <xf borderId="3235" fillId="0" fontId="4" numFmtId="0" xfId="0" applyBorder="1" applyFont="1"/>
    <xf borderId="3236" fillId="0" fontId="4" numFmtId="0" xfId="0" applyBorder="1" applyFont="1"/>
    <xf borderId="3237" fillId="155" fontId="110" numFmtId="0" xfId="0" applyAlignment="1" applyBorder="1" applyFont="1">
      <alignment horizontal="center" readingOrder="0" vertical="center"/>
    </xf>
    <xf borderId="3238" fillId="0" fontId="4" numFmtId="0" xfId="0" applyBorder="1" applyFont="1"/>
    <xf borderId="3230" fillId="155" fontId="110" numFmtId="0" xfId="0" applyAlignment="1" applyBorder="1" applyFont="1">
      <alignment horizontal="center" readingOrder="0" vertical="center"/>
    </xf>
    <xf borderId="3239" fillId="0" fontId="4" numFmtId="0" xfId="0" applyBorder="1" applyFont="1"/>
    <xf borderId="3233" fillId="155" fontId="110" numFmtId="0" xfId="0" applyAlignment="1" applyBorder="1" applyFont="1">
      <alignment horizontal="center" readingOrder="0" vertical="center"/>
    </xf>
    <xf borderId="3240" fillId="155" fontId="110" numFmtId="0" xfId="0" applyAlignment="1" applyBorder="1" applyFont="1">
      <alignment horizontal="center" readingOrder="0" vertical="center"/>
    </xf>
    <xf borderId="3241" fillId="0" fontId="4" numFmtId="0" xfId="0" applyBorder="1" applyFont="1"/>
    <xf borderId="3242" fillId="0" fontId="4" numFmtId="0" xfId="0" applyBorder="1" applyFont="1"/>
    <xf borderId="3243" fillId="155" fontId="110" numFmtId="0" xfId="0" applyAlignment="1" applyBorder="1" applyFont="1">
      <alignment horizontal="center" readingOrder="0" vertical="center"/>
    </xf>
    <xf borderId="3211" fillId="155" fontId="124" numFmtId="0" xfId="0" applyAlignment="1" applyBorder="1" applyFont="1">
      <alignment horizontal="center" vertical="center"/>
    </xf>
    <xf borderId="3212" fillId="155" fontId="74" numFmtId="0" xfId="0" applyAlignment="1" applyBorder="1" applyFont="1">
      <alignment horizontal="right" vertical="center"/>
    </xf>
    <xf borderId="3212" fillId="155" fontId="131" numFmtId="0" xfId="0" applyAlignment="1" applyBorder="1" applyFont="1">
      <alignment horizontal="center" vertical="center"/>
    </xf>
    <xf borderId="3212" fillId="155" fontId="131" numFmtId="0" xfId="0" applyAlignment="1" applyBorder="1" applyFont="1">
      <alignment horizontal="center" vertical="top"/>
    </xf>
    <xf borderId="3212" fillId="155" fontId="132" numFmtId="0" xfId="0" applyAlignment="1" applyBorder="1" applyFont="1">
      <alignment horizontal="center" vertical="center"/>
    </xf>
    <xf borderId="3213" fillId="155" fontId="124" numFmtId="0" xfId="0" applyAlignment="1" applyBorder="1" applyFont="1">
      <alignment horizontal="center" vertical="center"/>
    </xf>
    <xf borderId="3211" fillId="155" fontId="133" numFmtId="0" xfId="0" applyAlignment="1" applyBorder="1" applyFont="1">
      <alignment horizontal="center" vertical="center"/>
    </xf>
    <xf borderId="3212" fillId="155" fontId="116" numFmtId="0" xfId="0" applyAlignment="1" applyBorder="1" applyFont="1">
      <alignment horizontal="right" vertical="center"/>
    </xf>
    <xf borderId="3212" fillId="155" fontId="106" numFmtId="0" xfId="0" applyAlignment="1" applyBorder="1" applyFont="1">
      <alignment horizontal="center" vertical="center"/>
    </xf>
    <xf borderId="237" fillId="156" fontId="104" numFmtId="0" xfId="0" applyAlignment="1" applyBorder="1" applyFill="1" applyFont="1">
      <alignment horizontal="center" readingOrder="0" vertical="top"/>
    </xf>
    <xf borderId="240" fillId="156" fontId="104" numFmtId="0" xfId="0" applyAlignment="1" applyBorder="1" applyFont="1">
      <alignment horizontal="center" readingOrder="0" vertical="top"/>
    </xf>
    <xf borderId="3212" fillId="155" fontId="133" numFmtId="0" xfId="0" applyAlignment="1" applyBorder="1" applyFont="1">
      <alignment horizontal="center" vertical="center"/>
    </xf>
    <xf borderId="3213" fillId="155" fontId="133" numFmtId="0" xfId="0" applyAlignment="1" applyBorder="1" applyFont="1">
      <alignment horizontal="center" vertical="center"/>
    </xf>
    <xf borderId="3244" fillId="156" fontId="104" numFmtId="0" xfId="0" applyAlignment="1" applyBorder="1" applyFont="1">
      <alignment horizontal="center" readingOrder="0" vertical="center"/>
    </xf>
    <xf borderId="3245" fillId="156" fontId="104" numFmtId="0" xfId="0" applyAlignment="1" applyBorder="1" applyFont="1">
      <alignment horizontal="center" readingOrder="0" vertical="center"/>
    </xf>
    <xf borderId="3246" fillId="156" fontId="104" numFmtId="0" xfId="0" applyAlignment="1" applyBorder="1" applyFont="1">
      <alignment horizontal="left" readingOrder="0" vertical="center"/>
    </xf>
    <xf borderId="3247" fillId="156" fontId="104" numFmtId="0" xfId="0" applyAlignment="1" applyBorder="1" applyFont="1">
      <alignment horizontal="center" readingOrder="0" vertical="center"/>
    </xf>
    <xf borderId="3248" fillId="156" fontId="104" numFmtId="0" xfId="0" applyAlignment="1" applyBorder="1" applyFont="1">
      <alignment horizontal="center" readingOrder="0" vertical="center"/>
    </xf>
    <xf borderId="3249" fillId="156" fontId="104" numFmtId="0" xfId="0" applyAlignment="1" applyBorder="1" applyFont="1">
      <alignment horizontal="center" readingOrder="0" vertical="center"/>
    </xf>
    <xf borderId="3250" fillId="156" fontId="104" numFmtId="0" xfId="0" applyAlignment="1" applyBorder="1" applyFont="1">
      <alignment horizontal="left" readingOrder="0" vertical="center"/>
    </xf>
    <xf borderId="3251" fillId="156" fontId="104" numFmtId="0" xfId="0" applyAlignment="1" applyBorder="1" applyFont="1">
      <alignment horizontal="center" readingOrder="0" vertical="center"/>
    </xf>
    <xf borderId="3252" fillId="156" fontId="104" numFmtId="0" xfId="0" applyAlignment="1" applyBorder="1" applyFont="1">
      <alignment horizontal="center" readingOrder="0" vertical="center"/>
    </xf>
    <xf borderId="3253" fillId="156" fontId="104" numFmtId="0" xfId="0" applyAlignment="1" applyBorder="1" applyFont="1">
      <alignment horizontal="center" readingOrder="0" vertical="center"/>
    </xf>
    <xf borderId="3254" fillId="156" fontId="104" numFmtId="0" xfId="0" applyAlignment="1" applyBorder="1" applyFont="1">
      <alignment horizontal="left" readingOrder="0" vertical="center"/>
    </xf>
    <xf borderId="3255" fillId="156" fontId="104" numFmtId="0" xfId="0" applyAlignment="1" applyBorder="1" applyFont="1">
      <alignment horizontal="center" readingOrder="0" vertical="center"/>
    </xf>
    <xf borderId="253" fillId="156" fontId="104" numFmtId="0" xfId="0" applyAlignment="1" applyBorder="1" applyFont="1">
      <alignment horizontal="right" readingOrder="0" vertical="center"/>
    </xf>
    <xf borderId="256" fillId="156" fontId="104" numFmtId="0" xfId="0" applyAlignment="1" applyBorder="1" applyFont="1">
      <alignment horizontal="center" readingOrder="0" vertical="center"/>
    </xf>
    <xf borderId="3256" fillId="155" fontId="106" numFmtId="0" xfId="0" applyAlignment="1" applyBorder="1" applyFont="1">
      <alignment horizontal="center" vertical="center"/>
    </xf>
    <xf borderId="543" fillId="156" fontId="104" numFmtId="0" xfId="0" applyAlignment="1" applyBorder="1" applyFont="1">
      <alignment horizontal="right" readingOrder="0" vertical="center"/>
    </xf>
    <xf borderId="546" fillId="156" fontId="104" numFmtId="0" xfId="0" applyAlignment="1" applyBorder="1" applyFont="1">
      <alignment horizontal="center" readingOrder="0" vertical="center"/>
    </xf>
    <xf borderId="548" fillId="156" fontId="104" numFmtId="0" xfId="0" applyAlignment="1" applyBorder="1" applyFont="1">
      <alignment horizontal="right" readingOrder="0" vertical="center"/>
    </xf>
    <xf borderId="551" fillId="156" fontId="104" numFmtId="0" xfId="0" applyAlignment="1" applyBorder="1" applyFont="1">
      <alignment horizontal="center" readingOrder="0" vertical="center"/>
    </xf>
    <xf borderId="3209" fillId="155" fontId="75" numFmtId="0" xfId="0" applyAlignment="1" applyBorder="1" applyFont="1">
      <alignment horizontal="center" readingOrder="0" vertical="center"/>
    </xf>
    <xf borderId="3214" fillId="155" fontId="148" numFmtId="0" xfId="0" applyAlignment="1" applyBorder="1" applyFont="1">
      <alignment horizontal="center" readingOrder="0" vertical="center"/>
    </xf>
    <xf borderId="3256" fillId="155" fontId="127" numFmtId="0" xfId="0" applyAlignment="1" applyBorder="1" applyFont="1">
      <alignment horizontal="center" vertical="center"/>
    </xf>
    <xf borderId="3235" fillId="155" fontId="110" numFmtId="0" xfId="0" applyAlignment="1" applyBorder="1" applyFont="1">
      <alignment horizontal="center" vertical="center"/>
    </xf>
    <xf borderId="3257" fillId="155" fontId="125" numFmtId="0" xfId="0" applyAlignment="1" applyBorder="1" applyFont="1">
      <alignment horizontal="center" vertical="center"/>
    </xf>
    <xf borderId="3256" fillId="155" fontId="110" numFmtId="0" xfId="0" applyAlignment="1" applyBorder="1" applyFont="1">
      <alignment horizontal="center" readingOrder="0" vertical="center"/>
    </xf>
    <xf borderId="3257" fillId="155" fontId="110" numFmtId="0" xfId="0" applyAlignment="1" applyBorder="1" applyFont="1">
      <alignment horizontal="center" vertical="center"/>
    </xf>
    <xf borderId="3256" fillId="155" fontId="114" numFmtId="0" xfId="0" applyAlignment="1" applyBorder="1" applyFont="1">
      <alignment horizontal="center" readingOrder="0" vertical="center"/>
    </xf>
    <xf borderId="3257" fillId="155" fontId="114" numFmtId="0" xfId="0" applyAlignment="1" applyBorder="1" applyFont="1">
      <alignment horizontal="center" vertical="center"/>
    </xf>
    <xf borderId="3256" fillId="155" fontId="125" numFmtId="0" xfId="0" applyAlignment="1" applyBorder="1" applyFont="1">
      <alignment horizontal="center" vertical="center"/>
    </xf>
    <xf borderId="3258" fillId="0" fontId="4" numFmtId="0" xfId="0" applyBorder="1" applyFont="1"/>
    <xf borderId="3209" fillId="155" fontId="131" numFmtId="0" xfId="0" applyAlignment="1" applyBorder="1" applyFont="1">
      <alignment horizontal="center" vertical="top"/>
    </xf>
    <xf borderId="3209" fillId="155" fontId="132" numFmtId="0" xfId="0" applyAlignment="1" applyBorder="1" applyFont="1">
      <alignment horizontal="center" vertical="center"/>
    </xf>
    <xf borderId="3259" fillId="155" fontId="125" numFmtId="0" xfId="0" applyAlignment="1" applyBorder="1" applyFont="1">
      <alignment horizontal="center" vertical="center"/>
    </xf>
    <xf borderId="3260" fillId="155" fontId="140" numFmtId="0" xfId="0" applyAlignment="1" applyBorder="1" applyFont="1">
      <alignment horizontal="center" vertical="center"/>
    </xf>
    <xf borderId="3260" fillId="155" fontId="125" numFmtId="0" xfId="0" applyAlignment="1" applyBorder="1" applyFont="1">
      <alignment horizontal="center" vertical="center"/>
    </xf>
    <xf borderId="3260" fillId="155" fontId="110" numFmtId="0" xfId="0" applyAlignment="1" applyBorder="1" applyFont="1">
      <alignment horizontal="center" readingOrder="0" vertical="center"/>
    </xf>
    <xf borderId="3261" fillId="155" fontId="125" numFmtId="0" xfId="0" applyAlignment="1" applyBorder="1" applyFont="1">
      <alignment horizontal="center" vertical="center"/>
    </xf>
    <xf borderId="3262" fillId="157" fontId="125" numFmtId="0" xfId="0" applyAlignment="1" applyBorder="1" applyFill="1" applyFont="1">
      <alignment horizontal="center" vertical="center"/>
    </xf>
    <xf borderId="3263" fillId="157" fontId="75" numFmtId="0" xfId="0" applyAlignment="1" applyBorder="1" applyFont="1">
      <alignment horizontal="center" readingOrder="0" vertical="center"/>
    </xf>
    <xf borderId="3264" fillId="0" fontId="4" numFmtId="0" xfId="0" applyBorder="1" applyFont="1"/>
    <xf borderId="3265" fillId="0" fontId="4" numFmtId="0" xfId="0" applyBorder="1" applyFont="1"/>
    <xf borderId="3266" fillId="157" fontId="125" numFmtId="0" xfId="0" applyAlignment="1" applyBorder="1" applyFont="1">
      <alignment horizontal="center" vertical="center"/>
    </xf>
    <xf borderId="3267" fillId="157" fontId="125" numFmtId="0" xfId="0" applyAlignment="1" applyBorder="1" applyFont="1">
      <alignment horizontal="center" vertical="center"/>
    </xf>
    <xf borderId="3268" fillId="157" fontId="140" numFmtId="0" xfId="0" applyAlignment="1" applyBorder="1" applyFont="1">
      <alignment horizontal="center" vertical="center"/>
    </xf>
    <xf borderId="3268" fillId="157" fontId="125" numFmtId="0" xfId="0" applyAlignment="1" applyBorder="1" applyFont="1">
      <alignment horizontal="center" vertical="center"/>
    </xf>
    <xf borderId="3269" fillId="157" fontId="125" numFmtId="0" xfId="0" applyAlignment="1" applyBorder="1" applyFont="1">
      <alignment horizontal="center" vertical="center"/>
    </xf>
    <xf borderId="3268" fillId="157" fontId="148" numFmtId="0" xfId="0" applyAlignment="1" applyBorder="1" applyFont="1">
      <alignment horizontal="center" readingOrder="0" vertical="center"/>
    </xf>
    <xf borderId="189" fillId="70" fontId="76" numFmtId="0" xfId="0" applyAlignment="1" applyBorder="1" applyFont="1">
      <alignment horizontal="right" vertical="center"/>
    </xf>
    <xf borderId="3268" fillId="157" fontId="127" numFmtId="0" xfId="0" applyAlignment="1" applyBorder="1" applyFont="1">
      <alignment horizontal="center" vertical="center"/>
    </xf>
    <xf borderId="969" fillId="70" fontId="119" numFmtId="0" xfId="0" applyAlignment="1" applyBorder="1" applyFont="1">
      <alignment horizontal="center" vertical="center"/>
    </xf>
    <xf borderId="3270" fillId="157" fontId="110" numFmtId="0" xfId="0" applyAlignment="1" applyBorder="1" applyFont="1">
      <alignment horizontal="center" vertical="center"/>
    </xf>
    <xf borderId="3267" fillId="157" fontId="110" numFmtId="0" xfId="0" applyAlignment="1" applyBorder="1" applyFont="1">
      <alignment horizontal="center" vertical="center"/>
    </xf>
    <xf borderId="199" fillId="157" fontId="76" numFmtId="0" xfId="0" applyAlignment="1" applyBorder="1" applyFont="1">
      <alignment horizontal="right" readingOrder="0" vertical="center"/>
    </xf>
    <xf borderId="3268" fillId="157" fontId="110" numFmtId="0" xfId="0" applyAlignment="1" applyBorder="1" applyFont="1">
      <alignment horizontal="center" readingOrder="0" vertical="center"/>
    </xf>
    <xf borderId="3271" fillId="157" fontId="119" numFmtId="0" xfId="0" applyAlignment="1" applyBorder="1" applyFont="1">
      <alignment horizontal="center" readingOrder="0" vertical="center"/>
    </xf>
    <xf borderId="3272" fillId="0" fontId="4" numFmtId="0" xfId="0" applyBorder="1" applyFont="1"/>
    <xf borderId="3273" fillId="0" fontId="4" numFmtId="0" xfId="0" applyBorder="1" applyFont="1"/>
    <xf borderId="3274" fillId="0" fontId="4" numFmtId="0" xfId="0" applyBorder="1" applyFont="1"/>
    <xf borderId="3269" fillId="157" fontId="110" numFmtId="0" xfId="0" applyAlignment="1" applyBorder="1" applyFont="1">
      <alignment horizontal="center" vertical="center"/>
    </xf>
    <xf borderId="3267" fillId="157" fontId="114" numFmtId="0" xfId="0" applyAlignment="1" applyBorder="1" applyFont="1">
      <alignment horizontal="center" vertical="center"/>
    </xf>
    <xf borderId="3268" fillId="157" fontId="114" numFmtId="0" xfId="0" applyAlignment="1" applyBorder="1" applyFont="1">
      <alignment horizontal="center" readingOrder="0" vertical="center"/>
    </xf>
    <xf borderId="3275" fillId="157" fontId="119" numFmtId="0" xfId="0" applyAlignment="1" applyBorder="1" applyFont="1">
      <alignment horizontal="center" readingOrder="0" vertical="top"/>
    </xf>
    <xf borderId="3276" fillId="0" fontId="4" numFmtId="0" xfId="0" applyBorder="1" applyFont="1"/>
    <xf borderId="3277" fillId="0" fontId="4" numFmtId="0" xfId="0" applyBorder="1" applyFont="1"/>
    <xf borderId="3275" fillId="157" fontId="114" numFmtId="0" xfId="0" applyAlignment="1" applyBorder="1" applyFont="1">
      <alignment horizontal="center" readingOrder="0" vertical="top"/>
    </xf>
    <xf borderId="3269" fillId="157" fontId="114" numFmtId="0" xfId="0" applyAlignment="1" applyBorder="1" applyFont="1">
      <alignment horizontal="center" vertical="center"/>
    </xf>
    <xf borderId="3270" fillId="157" fontId="140" numFmtId="0" xfId="0" applyAlignment="1" applyBorder="1" applyFont="1">
      <alignment horizontal="center" vertical="center"/>
    </xf>
    <xf borderId="3278" fillId="157" fontId="110" numFmtId="0" xfId="0" applyAlignment="1" applyBorder="1" applyFont="1">
      <alignment horizontal="center" vertical="center"/>
    </xf>
    <xf borderId="3279" fillId="157" fontId="110" numFmtId="0" xfId="0" applyAlignment="1" applyBorder="1" applyFont="1">
      <alignment horizontal="right" vertical="top"/>
    </xf>
    <xf borderId="3279" fillId="157" fontId="110" numFmtId="0" xfId="0" applyAlignment="1" applyBorder="1" applyFont="1">
      <alignment horizontal="left" vertical="top"/>
    </xf>
    <xf borderId="3280" fillId="157" fontId="110" numFmtId="0" xfId="0" applyAlignment="1" applyBorder="1" applyFont="1">
      <alignment horizontal="center" vertical="top"/>
    </xf>
    <xf borderId="3281" fillId="157" fontId="110" numFmtId="0" xfId="0" applyAlignment="1" applyBorder="1" applyFont="1">
      <alignment horizontal="center" vertical="center"/>
    </xf>
    <xf borderId="3282" fillId="157" fontId="110" numFmtId="0" xfId="0" applyAlignment="1" applyBorder="1" applyFont="1">
      <alignment horizontal="center" vertical="top"/>
    </xf>
    <xf borderId="3283" fillId="157" fontId="110" numFmtId="0" xfId="0" applyAlignment="1" applyBorder="1" applyFont="1">
      <alignment horizontal="center" vertical="top"/>
    </xf>
    <xf borderId="3284" fillId="157" fontId="110" numFmtId="0" xfId="0" applyAlignment="1" applyBorder="1" applyFont="1">
      <alignment horizontal="center" readingOrder="0" vertical="center"/>
    </xf>
    <xf borderId="3285" fillId="0" fontId="4" numFmtId="0" xfId="0" applyBorder="1" applyFont="1"/>
    <xf borderId="3286" fillId="0" fontId="4" numFmtId="0" xfId="0" applyBorder="1" applyFont="1"/>
    <xf borderId="3287" fillId="157" fontId="110" numFmtId="0" xfId="0" applyAlignment="1" applyBorder="1" applyFont="1">
      <alignment horizontal="center" readingOrder="0" vertical="center"/>
    </xf>
    <xf borderId="3288" fillId="0" fontId="4" numFmtId="0" xfId="0" applyBorder="1" applyFont="1"/>
    <xf borderId="3289" fillId="0" fontId="4" numFmtId="0" xfId="0" applyBorder="1" applyFont="1"/>
    <xf borderId="3290" fillId="0" fontId="4" numFmtId="0" xfId="0" applyBorder="1" applyFont="1"/>
    <xf borderId="3291" fillId="157" fontId="110" numFmtId="0" xfId="0" applyAlignment="1" applyBorder="1" applyFont="1">
      <alignment horizontal="center" readingOrder="0" vertical="center"/>
    </xf>
    <xf borderId="3292" fillId="0" fontId="4" numFmtId="0" xfId="0" applyBorder="1" applyFont="1"/>
    <xf borderId="3293" fillId="0" fontId="4" numFmtId="0" xfId="0" applyBorder="1" applyFont="1"/>
    <xf borderId="3294" fillId="157" fontId="110" numFmtId="0" xfId="0" applyAlignment="1" applyBorder="1" applyFont="1">
      <alignment horizontal="center" readingOrder="0" vertical="center"/>
    </xf>
    <xf borderId="3295" fillId="0" fontId="4" numFmtId="0" xfId="0" applyBorder="1" applyFont="1"/>
    <xf borderId="3296" fillId="157" fontId="110" numFmtId="0" xfId="0" applyAlignment="1" applyBorder="1" applyFont="1">
      <alignment horizontal="center" readingOrder="0" vertical="center"/>
    </xf>
    <xf borderId="3297" fillId="0" fontId="4" numFmtId="0" xfId="0" applyBorder="1" applyFont="1"/>
    <xf borderId="3298" fillId="157" fontId="110" numFmtId="0" xfId="0" applyAlignment="1" applyBorder="1" applyFont="1">
      <alignment horizontal="center" readingOrder="0" vertical="center"/>
    </xf>
    <xf borderId="3299" fillId="157" fontId="110" numFmtId="0" xfId="0" applyAlignment="1" applyBorder="1" applyFont="1">
      <alignment horizontal="center" readingOrder="0" vertical="center"/>
    </xf>
    <xf borderId="3300" fillId="0" fontId="4" numFmtId="0" xfId="0" applyBorder="1" applyFont="1"/>
    <xf borderId="3301" fillId="0" fontId="4" numFmtId="0" xfId="0" applyBorder="1" applyFont="1"/>
    <xf borderId="3302" fillId="157" fontId="110" numFmtId="0" xfId="0" applyAlignment="1" applyBorder="1" applyFont="1">
      <alignment horizontal="center" readingOrder="0" vertical="center"/>
    </xf>
    <xf borderId="3267" fillId="157" fontId="124" numFmtId="0" xfId="0" applyAlignment="1" applyBorder="1" applyFont="1">
      <alignment horizontal="center" vertical="center"/>
    </xf>
    <xf borderId="3268" fillId="157" fontId="74" numFmtId="0" xfId="0" applyAlignment="1" applyBorder="1" applyFont="1">
      <alignment horizontal="right" vertical="center"/>
    </xf>
    <xf borderId="3268" fillId="157" fontId="131" numFmtId="0" xfId="0" applyAlignment="1" applyBorder="1" applyFont="1">
      <alignment horizontal="center" vertical="center"/>
    </xf>
    <xf borderId="3268" fillId="157" fontId="131" numFmtId="0" xfId="0" applyAlignment="1" applyBorder="1" applyFont="1">
      <alignment horizontal="center" vertical="top"/>
    </xf>
    <xf borderId="3268" fillId="157" fontId="132" numFmtId="0" xfId="0" applyAlignment="1" applyBorder="1" applyFont="1">
      <alignment horizontal="center" vertical="center"/>
    </xf>
    <xf borderId="3269" fillId="157" fontId="124" numFmtId="0" xfId="0" applyAlignment="1" applyBorder="1" applyFont="1">
      <alignment horizontal="center" vertical="center"/>
    </xf>
    <xf borderId="3267" fillId="157" fontId="133" numFmtId="0" xfId="0" applyAlignment="1" applyBorder="1" applyFont="1">
      <alignment horizontal="center" vertical="center"/>
    </xf>
    <xf borderId="3268" fillId="157" fontId="116" numFmtId="0" xfId="0" applyAlignment="1" applyBorder="1" applyFont="1">
      <alignment horizontal="right" vertical="center"/>
    </xf>
    <xf borderId="3268" fillId="157" fontId="106" numFmtId="0" xfId="0" applyAlignment="1" applyBorder="1" applyFont="1">
      <alignment horizontal="center" vertical="center"/>
    </xf>
    <xf borderId="237" fillId="158" fontId="104" numFmtId="0" xfId="0" applyAlignment="1" applyBorder="1" applyFill="1" applyFont="1">
      <alignment horizontal="center" readingOrder="0" vertical="top"/>
    </xf>
    <xf borderId="240" fillId="158" fontId="104" numFmtId="0" xfId="0" applyAlignment="1" applyBorder="1" applyFont="1">
      <alignment horizontal="center" readingOrder="0" vertical="top"/>
    </xf>
    <xf borderId="3268" fillId="157" fontId="133" numFmtId="0" xfId="0" applyAlignment="1" applyBorder="1" applyFont="1">
      <alignment horizontal="center" vertical="center"/>
    </xf>
    <xf borderId="3269" fillId="157" fontId="133" numFmtId="0" xfId="0" applyAlignment="1" applyBorder="1" applyFont="1">
      <alignment horizontal="center" vertical="center"/>
    </xf>
    <xf borderId="3303" fillId="158" fontId="104" numFmtId="0" xfId="0" applyAlignment="1" applyBorder="1" applyFont="1">
      <alignment horizontal="center" readingOrder="0" vertical="center"/>
    </xf>
    <xf borderId="3304" fillId="158" fontId="104" numFmtId="0" xfId="0" applyAlignment="1" applyBorder="1" applyFont="1">
      <alignment horizontal="center" readingOrder="0" vertical="center"/>
    </xf>
    <xf borderId="3305" fillId="158" fontId="104" numFmtId="0" xfId="0" applyAlignment="1" applyBorder="1" applyFont="1">
      <alignment horizontal="left" readingOrder="0" vertical="center"/>
    </xf>
    <xf borderId="3306" fillId="158" fontId="104" numFmtId="0" xfId="0" applyAlignment="1" applyBorder="1" applyFont="1">
      <alignment horizontal="center" readingOrder="0" vertical="center"/>
    </xf>
    <xf borderId="3307" fillId="158" fontId="104" numFmtId="0" xfId="0" applyAlignment="1" applyBorder="1" applyFont="1">
      <alignment horizontal="center" readingOrder="0" vertical="center"/>
    </xf>
    <xf borderId="3308" fillId="158" fontId="104" numFmtId="0" xfId="0" applyAlignment="1" applyBorder="1" applyFont="1">
      <alignment horizontal="center" readingOrder="0" vertical="center"/>
    </xf>
    <xf borderId="3309" fillId="158" fontId="104" numFmtId="0" xfId="0" applyAlignment="1" applyBorder="1" applyFont="1">
      <alignment horizontal="left" readingOrder="0" vertical="center"/>
    </xf>
    <xf borderId="3310" fillId="158" fontId="104" numFmtId="0" xfId="0" applyAlignment="1" applyBorder="1" applyFont="1">
      <alignment horizontal="center" readingOrder="0" vertical="center"/>
    </xf>
    <xf borderId="3311" fillId="158" fontId="104" numFmtId="0" xfId="0" applyAlignment="1" applyBorder="1" applyFont="1">
      <alignment horizontal="center" readingOrder="0" vertical="center"/>
    </xf>
    <xf borderId="3312" fillId="158" fontId="104" numFmtId="0" xfId="0" applyAlignment="1" applyBorder="1" applyFont="1">
      <alignment horizontal="center" readingOrder="0" vertical="center"/>
    </xf>
    <xf borderId="3313" fillId="158" fontId="104" numFmtId="0" xfId="0" applyAlignment="1" applyBorder="1" applyFont="1">
      <alignment horizontal="left" readingOrder="0" vertical="center"/>
    </xf>
    <xf borderId="3314" fillId="158" fontId="104" numFmtId="0" xfId="0" applyAlignment="1" applyBorder="1" applyFont="1">
      <alignment horizontal="center" readingOrder="0" vertical="center"/>
    </xf>
    <xf borderId="253" fillId="158" fontId="104" numFmtId="0" xfId="0" applyAlignment="1" applyBorder="1" applyFont="1">
      <alignment horizontal="right" readingOrder="0" vertical="center"/>
    </xf>
    <xf borderId="256" fillId="158" fontId="104" numFmtId="0" xfId="0" applyAlignment="1" applyBorder="1" applyFont="1">
      <alignment horizontal="center" readingOrder="0" vertical="center"/>
    </xf>
    <xf borderId="3315" fillId="157" fontId="125" numFmtId="0" xfId="0" applyAlignment="1" applyBorder="1" applyFont="1">
      <alignment horizontal="center" vertical="center"/>
    </xf>
    <xf borderId="3316" fillId="157" fontId="140" numFmtId="0" xfId="0" applyAlignment="1" applyBorder="1" applyFont="1">
      <alignment horizontal="center" vertical="center"/>
    </xf>
    <xf borderId="3316" fillId="157" fontId="125" numFmtId="0" xfId="0" applyAlignment="1" applyBorder="1" applyFont="1">
      <alignment horizontal="center" vertical="center"/>
    </xf>
    <xf borderId="3316" fillId="157" fontId="110" numFmtId="0" xfId="0" applyAlignment="1" applyBorder="1" applyFont="1">
      <alignment horizontal="center" readingOrder="0" vertical="center"/>
    </xf>
    <xf borderId="3317" fillId="157" fontId="125" numFmtId="0" xfId="0" applyAlignment="1" applyBorder="1" applyFont="1">
      <alignment horizontal="center" vertical="center"/>
    </xf>
    <xf borderId="3270" fillId="157" fontId="148" numFmtId="0" xfId="0" applyAlignment="1" applyBorder="1" applyFont="1">
      <alignment horizontal="center" readingOrder="0" vertical="center"/>
    </xf>
    <xf borderId="3318" fillId="157" fontId="127" numFmtId="0" xfId="0" applyAlignment="1" applyBorder="1" applyFont="1">
      <alignment horizontal="center" vertical="center"/>
    </xf>
    <xf borderId="3292" fillId="157" fontId="110" numFmtId="0" xfId="0" applyAlignment="1" applyBorder="1" applyFont="1">
      <alignment horizontal="center" vertical="center"/>
    </xf>
    <xf borderId="3319" fillId="157" fontId="125" numFmtId="0" xfId="0" applyAlignment="1" applyBorder="1" applyFont="1">
      <alignment horizontal="center" vertical="center"/>
    </xf>
    <xf borderId="3318" fillId="157" fontId="110" numFmtId="0" xfId="0" applyAlignment="1" applyBorder="1" applyFont="1">
      <alignment horizontal="center" readingOrder="0" vertical="center"/>
    </xf>
    <xf borderId="3319" fillId="157" fontId="110" numFmtId="0" xfId="0" applyAlignment="1" applyBorder="1" applyFont="1">
      <alignment horizontal="center" vertical="center"/>
    </xf>
    <xf borderId="3318" fillId="157" fontId="114" numFmtId="0" xfId="0" applyAlignment="1" applyBorder="1" applyFont="1">
      <alignment horizontal="center" readingOrder="0" vertical="center"/>
    </xf>
    <xf borderId="3319" fillId="157" fontId="114" numFmtId="0" xfId="0" applyAlignment="1" applyBorder="1" applyFont="1">
      <alignment horizontal="center" vertical="center"/>
    </xf>
    <xf borderId="3320" fillId="157" fontId="110" numFmtId="0" xfId="0" applyAlignment="1" applyBorder="1" applyFont="1">
      <alignment horizontal="center" vertical="top"/>
    </xf>
    <xf borderId="3321" fillId="0" fontId="4" numFmtId="0" xfId="0" applyBorder="1" applyFont="1"/>
    <xf borderId="3318" fillId="157" fontId="125" numFmtId="0" xfId="0" applyAlignment="1" applyBorder="1" applyFont="1">
      <alignment horizontal="center" vertical="center"/>
    </xf>
    <xf borderId="3290" fillId="157" fontId="131" numFmtId="0" xfId="0" applyAlignment="1" applyBorder="1" applyFont="1">
      <alignment horizontal="center" vertical="top"/>
    </xf>
    <xf borderId="3290" fillId="157" fontId="132" numFmtId="0" xfId="0" applyAlignment="1" applyBorder="1" applyFont="1">
      <alignment horizontal="center" vertical="center"/>
    </xf>
    <xf borderId="543" fillId="158" fontId="104" numFmtId="0" xfId="0" applyAlignment="1" applyBorder="1" applyFont="1">
      <alignment horizontal="right" readingOrder="0" vertical="center"/>
    </xf>
    <xf borderId="546" fillId="158" fontId="104" numFmtId="0" xfId="0" applyAlignment="1" applyBorder="1" applyFont="1">
      <alignment horizontal="center" readingOrder="0" vertical="center"/>
    </xf>
    <xf borderId="3322" fillId="157" fontId="133" numFmtId="0" xfId="0" applyAlignment="1" applyBorder="1" applyFont="1">
      <alignment horizontal="center" vertical="center"/>
    </xf>
    <xf borderId="3270" fillId="157" fontId="116" numFmtId="0" xfId="0" applyAlignment="1" applyBorder="1" applyFont="1">
      <alignment horizontal="right" vertical="center"/>
    </xf>
    <xf borderId="3270" fillId="157" fontId="106" numFmtId="0" xfId="0" applyAlignment="1" applyBorder="1" applyFont="1">
      <alignment horizontal="center" vertical="center"/>
    </xf>
    <xf borderId="548" fillId="158" fontId="104" numFmtId="0" xfId="0" applyAlignment="1" applyBorder="1" applyFont="1">
      <alignment horizontal="right" readingOrder="0" vertical="center"/>
    </xf>
    <xf borderId="551" fillId="158" fontId="104" numFmtId="0" xfId="0" applyAlignment="1" applyBorder="1" applyFont="1">
      <alignment horizontal="center" readingOrder="0" vertical="center"/>
    </xf>
    <xf borderId="3270" fillId="157" fontId="133" numFmtId="0" xfId="0" applyAlignment="1" applyBorder="1" applyFont="1">
      <alignment horizontal="center" vertical="center"/>
    </xf>
    <xf borderId="3323" fillId="157" fontId="133" numFmtId="0" xfId="0" applyAlignment="1" applyBorder="1" applyFont="1">
      <alignment horizontal="center" vertical="center"/>
    </xf>
    <xf borderId="3324" fillId="157" fontId="125" numFmtId="0" xfId="0" applyAlignment="1" applyBorder="1" applyFont="1">
      <alignment horizontal="center" vertical="center"/>
    </xf>
    <xf borderId="3325" fillId="157" fontId="140" numFmtId="0" xfId="0" applyAlignment="1" applyBorder="1" applyFont="1">
      <alignment horizontal="center" vertical="center"/>
    </xf>
    <xf borderId="3325" fillId="157" fontId="125" numFmtId="0" xfId="0" applyAlignment="1" applyBorder="1" applyFont="1">
      <alignment horizontal="center" vertical="center"/>
    </xf>
    <xf borderId="3325" fillId="157" fontId="110" numFmtId="0" xfId="0" applyAlignment="1" applyBorder="1" applyFont="1">
      <alignment horizontal="center" readingOrder="0" vertical="center"/>
    </xf>
    <xf borderId="3326" fillId="157" fontId="125" numFmtId="0" xfId="0" applyAlignment="1" applyBorder="1" applyFont="1">
      <alignment horizontal="center" vertical="center"/>
    </xf>
    <xf borderId="3327" fillId="111" fontId="75" numFmtId="0" xfId="0" applyAlignment="1" applyBorder="1" applyFont="1">
      <alignment horizontal="center" readingOrder="0" vertical="center"/>
    </xf>
    <xf borderId="3328" fillId="0" fontId="4" numFmtId="0" xfId="0" applyBorder="1" applyFont="1"/>
    <xf borderId="1729" fillId="111" fontId="140" numFmtId="0" xfId="0" applyAlignment="1" applyBorder="1" applyFont="1">
      <alignment horizontal="center" vertical="center"/>
    </xf>
    <xf borderId="3329" fillId="111" fontId="125" numFmtId="0" xfId="0" applyAlignment="1" applyBorder="1" applyFont="1">
      <alignment horizontal="center" vertical="center"/>
    </xf>
    <xf borderId="3330" fillId="111" fontId="140" numFmtId="0" xfId="0" applyAlignment="1" applyBorder="1" applyFont="1">
      <alignment horizontal="center" vertical="center"/>
    </xf>
    <xf borderId="3330" fillId="111" fontId="125" numFmtId="0" xfId="0" applyAlignment="1" applyBorder="1" applyFont="1">
      <alignment horizontal="center" vertical="center"/>
    </xf>
    <xf borderId="1737" fillId="111" fontId="148" numFmtId="0" xfId="0" applyAlignment="1" applyBorder="1" applyFont="1">
      <alignment horizontal="center" readingOrder="0" vertical="center"/>
    </xf>
    <xf borderId="3330" fillId="111" fontId="148" numFmtId="0" xfId="0" applyAlignment="1" applyBorder="1" applyFont="1">
      <alignment horizontal="center" readingOrder="0" vertical="center"/>
    </xf>
    <xf borderId="3331" fillId="111" fontId="125" numFmtId="0" xfId="0" applyAlignment="1" applyBorder="1" applyFont="1">
      <alignment horizontal="center" vertical="center"/>
    </xf>
    <xf borderId="3332" fillId="111" fontId="110" numFmtId="0" xfId="0" applyAlignment="1" applyBorder="1" applyFont="1">
      <alignment horizontal="center" vertical="center"/>
    </xf>
    <xf borderId="3332" fillId="111" fontId="125" numFmtId="0" xfId="0" applyAlignment="1" applyBorder="1" applyFont="1">
      <alignment horizontal="center" vertical="center"/>
    </xf>
    <xf borderId="3333" fillId="112" fontId="110" numFmtId="0" xfId="0" applyAlignment="1" applyBorder="1" applyFont="1">
      <alignment horizontal="center" vertical="top"/>
    </xf>
    <xf borderId="3334" fillId="0" fontId="4" numFmtId="0" xfId="0" applyBorder="1" applyFont="1"/>
    <xf borderId="1778" fillId="111" fontId="106" numFmtId="0" xfId="0" applyAlignment="1" applyBorder="1" applyFont="1">
      <alignment horizontal="center" vertical="center"/>
    </xf>
    <xf borderId="543" fillId="71" fontId="88" numFmtId="0" xfId="0" applyAlignment="1" applyBorder="1" applyFont="1">
      <alignment horizontal="right" readingOrder="0" vertical="center"/>
    </xf>
    <xf borderId="546" fillId="71" fontId="88" numFmtId="0" xfId="0" applyAlignment="1" applyBorder="1" applyFont="1">
      <alignment horizontal="center" readingOrder="0" vertical="center"/>
    </xf>
    <xf borderId="1725" fillId="111" fontId="133" numFmtId="0" xfId="0" applyAlignment="1" applyBorder="1" applyFont="1">
      <alignment horizontal="center" vertical="center"/>
    </xf>
    <xf borderId="1726" fillId="111" fontId="74" numFmtId="0" xfId="0" applyAlignment="1" applyBorder="1" applyFont="1">
      <alignment horizontal="right" vertical="center"/>
    </xf>
    <xf borderId="1726" fillId="111" fontId="89" numFmtId="0" xfId="0" applyAlignment="1" applyBorder="1" applyFont="1">
      <alignment horizontal="center" vertical="center"/>
    </xf>
    <xf borderId="3327" fillId="111" fontId="89" numFmtId="0" xfId="0" applyAlignment="1" applyBorder="1" applyFont="1">
      <alignment horizontal="center" vertical="center"/>
    </xf>
    <xf borderId="548" fillId="71" fontId="88" numFmtId="0" xfId="0" applyAlignment="1" applyBorder="1" applyFont="1">
      <alignment horizontal="right" readingOrder="0" vertical="center"/>
    </xf>
    <xf borderId="551" fillId="71" fontId="88" numFmtId="0" xfId="0" applyAlignment="1" applyBorder="1" applyFont="1">
      <alignment horizontal="center" readingOrder="0" vertical="center"/>
    </xf>
    <xf borderId="1777" fillId="111" fontId="106" numFmtId="0" xfId="0" applyAlignment="1" applyBorder="1" applyFont="1">
      <alignment horizontal="center" vertical="center"/>
    </xf>
    <xf borderId="1726" fillId="111" fontId="106" numFmtId="0" xfId="0" applyAlignment="1" applyBorder="1" applyFont="1">
      <alignment horizontal="center" vertical="center"/>
    </xf>
    <xf borderId="1727" fillId="111" fontId="133" numFmtId="0" xfId="0" applyAlignment="1" applyBorder="1" applyFont="1">
      <alignment horizontal="center" vertical="center"/>
    </xf>
    <xf borderId="1793" fillId="111" fontId="140" numFmtId="0" xfId="0" applyAlignment="1" applyBorder="1" applyFont="1">
      <alignment horizontal="center" vertical="center"/>
    </xf>
    <xf borderId="1793" fillId="111" fontId="127" numFmtId="0" xfId="0" applyAlignment="1" applyBorder="1" applyFont="1">
      <alignment horizontal="center" vertical="center"/>
    </xf>
    <xf borderId="1793" fillId="111" fontId="125" numFmtId="0" xfId="0" applyAlignment="1" applyBorder="1" applyFont="1">
      <alignment horizontal="center" vertical="center"/>
    </xf>
    <xf borderId="53" fillId="9" fontId="105" numFmtId="0" xfId="0" applyAlignment="1" applyBorder="1" applyFont="1">
      <alignment horizontal="center" vertical="center"/>
    </xf>
    <xf borderId="1224" fillId="9" fontId="133" numFmtId="0" xfId="0" applyAlignment="1" applyBorder="1" applyFont="1">
      <alignment horizontal="center" vertical="center"/>
    </xf>
    <xf borderId="48" fillId="9" fontId="89" numFmtId="0" xfId="0" applyAlignment="1" applyBorder="1" applyFont="1">
      <alignment horizontal="center" vertical="center"/>
    </xf>
    <xf borderId="1339" fillId="9" fontId="105" numFmtId="0" xfId="0" applyAlignment="1" applyBorder="1" applyFont="1">
      <alignment horizontal="center" vertical="center"/>
    </xf>
    <xf borderId="57" fillId="9" fontId="133" numFmtId="0" xfId="0" applyAlignment="1" applyBorder="1" applyFont="1">
      <alignment horizontal="center" vertical="center"/>
    </xf>
    <xf borderId="2698" fillId="9" fontId="133" numFmtId="0" xfId="0" applyAlignment="1" applyBorder="1" applyFont="1">
      <alignment horizontal="center" vertical="center"/>
    </xf>
    <xf borderId="1273" fillId="9" fontId="105" numFmtId="0" xfId="0" applyAlignment="1" applyBorder="1" applyFont="1">
      <alignment horizontal="center" vertical="center"/>
    </xf>
    <xf borderId="3335" fillId="9" fontId="133" numFmtId="0" xfId="0" applyAlignment="1" applyBorder="1" applyFont="1">
      <alignment horizontal="center" vertical="center"/>
    </xf>
    <xf borderId="57" fillId="9" fontId="74" numFmtId="0" xfId="0" applyAlignment="1" applyBorder="1" applyFont="1">
      <alignment horizontal="right" vertical="center"/>
    </xf>
    <xf borderId="2698" fillId="9" fontId="106" numFmtId="0" xfId="0" applyAlignment="1" applyBorder="1" applyFont="1">
      <alignment horizontal="center" vertical="center"/>
    </xf>
    <xf borderId="2699" fillId="9" fontId="133" numFmtId="0" xfId="0" applyAlignment="1" applyBorder="1" applyFont="1">
      <alignment horizontal="center" vertical="center"/>
    </xf>
    <xf borderId="3336" fillId="151" fontId="125" numFmtId="0" xfId="0" applyAlignment="1" applyBorder="1" applyFont="1">
      <alignment horizontal="center" vertical="center"/>
    </xf>
    <xf borderId="3336" fillId="151" fontId="140" numFmtId="0" xfId="0" applyAlignment="1" applyBorder="1" applyFont="1">
      <alignment horizontal="center" vertical="center"/>
    </xf>
    <xf borderId="3337" fillId="159" fontId="125" numFmtId="0" xfId="0" applyAlignment="1" applyBorder="1" applyFill="1" applyFont="1">
      <alignment horizontal="center" readingOrder="0" vertical="center"/>
    </xf>
    <xf borderId="3338" fillId="159" fontId="125" numFmtId="0" xfId="0" applyAlignment="1" applyBorder="1" applyFont="1">
      <alignment horizontal="center" vertical="center"/>
    </xf>
    <xf borderId="3338" fillId="159" fontId="140" numFmtId="0" xfId="0" applyAlignment="1" applyBorder="1" applyFont="1">
      <alignment horizontal="center" vertical="center"/>
    </xf>
    <xf borderId="3337" fillId="159" fontId="125" numFmtId="0" xfId="0" applyAlignment="1" applyBorder="1" applyFont="1">
      <alignment horizontal="center" vertical="center"/>
    </xf>
    <xf borderId="3339" fillId="159" fontId="125" numFmtId="0" xfId="0" applyAlignment="1" applyBorder="1" applyFont="1">
      <alignment horizontal="center" vertical="center"/>
    </xf>
    <xf borderId="3340" fillId="160" fontId="125" numFmtId="0" xfId="0" applyAlignment="1" applyBorder="1" applyFill="1" applyFont="1">
      <alignment horizontal="center" vertical="center"/>
    </xf>
    <xf borderId="3341" fillId="160" fontId="138" numFmtId="0" xfId="0" applyAlignment="1" applyBorder="1" applyFont="1">
      <alignment horizontal="center" readingOrder="0" vertical="center"/>
    </xf>
    <xf borderId="3342" fillId="160" fontId="125" numFmtId="0" xfId="0" applyAlignment="1" applyBorder="1" applyFont="1">
      <alignment horizontal="center" vertical="center"/>
    </xf>
    <xf borderId="3343" fillId="159" fontId="125" numFmtId="0" xfId="0" applyAlignment="1" applyBorder="1" applyFont="1">
      <alignment horizontal="center" vertical="center"/>
    </xf>
    <xf borderId="3344" fillId="160" fontId="125" numFmtId="0" xfId="0" applyAlignment="1" applyBorder="1" applyFont="1">
      <alignment horizontal="center" vertical="center"/>
    </xf>
    <xf borderId="824" fillId="72" fontId="175" numFmtId="0" xfId="0" applyAlignment="1" applyBorder="1" applyFont="1">
      <alignment horizontal="center" readingOrder="0" vertical="center"/>
    </xf>
    <xf borderId="3345" fillId="160" fontId="125" numFmtId="0" xfId="0" applyAlignment="1" applyBorder="1" applyFont="1">
      <alignment horizontal="center" vertical="center"/>
    </xf>
    <xf borderId="3346" fillId="160" fontId="125" numFmtId="0" xfId="0" applyAlignment="1" applyBorder="1" applyFont="1">
      <alignment horizontal="center" vertical="center"/>
    </xf>
    <xf borderId="3347" fillId="160" fontId="138" numFmtId="0" xfId="0" applyAlignment="1" applyBorder="1" applyFont="1">
      <alignment horizontal="center" readingOrder="0" vertical="center"/>
    </xf>
    <xf borderId="3348" fillId="160" fontId="125" numFmtId="0" xfId="0" applyAlignment="1" applyBorder="1" applyFont="1">
      <alignment horizontal="center" vertical="center"/>
    </xf>
    <xf borderId="189" fillId="161" fontId="76" numFmtId="0" xfId="0" applyAlignment="1" applyBorder="1" applyFill="1" applyFont="1">
      <alignment horizontal="center" vertical="center"/>
    </xf>
    <xf borderId="3349" fillId="160" fontId="127" numFmtId="0" xfId="0" applyAlignment="1" applyBorder="1" applyFont="1">
      <alignment horizontal="center" vertical="center"/>
    </xf>
    <xf borderId="969" fillId="161" fontId="119" numFmtId="0" xfId="0" applyAlignment="1" applyBorder="1" applyFont="1">
      <alignment horizontal="center" vertical="center"/>
    </xf>
    <xf borderId="3350" fillId="160" fontId="110" numFmtId="0" xfId="0" applyAlignment="1" applyBorder="1" applyFont="1">
      <alignment horizontal="center" vertical="center"/>
    </xf>
    <xf borderId="3339" fillId="159" fontId="110" numFmtId="0" xfId="0" applyAlignment="1" applyBorder="1" applyFont="1">
      <alignment horizontal="center" vertical="center"/>
    </xf>
    <xf borderId="3346" fillId="160" fontId="110" numFmtId="0" xfId="0" applyAlignment="1" applyBorder="1" applyFont="1">
      <alignment horizontal="center" vertical="center"/>
    </xf>
    <xf borderId="762" fillId="160" fontId="76" numFmtId="0" xfId="0" applyAlignment="1" applyBorder="1" applyFont="1">
      <alignment horizontal="right" readingOrder="0" vertical="center"/>
    </xf>
    <xf borderId="3349" fillId="160" fontId="110" numFmtId="0" xfId="0" applyAlignment="1" applyBorder="1" applyFont="1">
      <alignment horizontal="center" readingOrder="0" vertical="center"/>
    </xf>
    <xf borderId="3351" fillId="160" fontId="112" numFmtId="0" xfId="0" applyAlignment="1" applyBorder="1" applyFont="1">
      <alignment horizontal="center" readingOrder="0" vertical="center"/>
    </xf>
    <xf borderId="3352" fillId="0" fontId="4" numFmtId="0" xfId="0" applyBorder="1" applyFont="1"/>
    <xf borderId="3353" fillId="0" fontId="4" numFmtId="0" xfId="0" applyBorder="1" applyFont="1"/>
    <xf borderId="3354" fillId="0" fontId="4" numFmtId="0" xfId="0" applyBorder="1" applyFont="1"/>
    <xf borderId="3348" fillId="160" fontId="110" numFmtId="0" xfId="0" applyAlignment="1" applyBorder="1" applyFont="1">
      <alignment horizontal="center" vertical="center"/>
    </xf>
    <xf borderId="3343" fillId="159" fontId="110" numFmtId="0" xfId="0" applyAlignment="1" applyBorder="1" applyFont="1">
      <alignment horizontal="center" vertical="center"/>
    </xf>
    <xf borderId="3349" fillId="160" fontId="125" numFmtId="0" xfId="0" applyAlignment="1" applyBorder="1" applyFont="1">
      <alignment horizontal="center" readingOrder="0" vertical="center"/>
    </xf>
    <xf borderId="3355" fillId="160" fontId="114" numFmtId="0" xfId="0" applyAlignment="1" applyBorder="1" applyFont="1">
      <alignment horizontal="center" readingOrder="0" vertical="top"/>
    </xf>
    <xf borderId="3356" fillId="0" fontId="4" numFmtId="0" xfId="0" applyBorder="1" applyFont="1"/>
    <xf borderId="3357" fillId="0" fontId="4" numFmtId="0" xfId="0" applyBorder="1" applyFont="1"/>
    <xf borderId="3349" fillId="160" fontId="125" numFmtId="0" xfId="0" applyAlignment="1" applyBorder="1" applyFont="1">
      <alignment horizontal="center" vertical="center"/>
    </xf>
    <xf borderId="3358" fillId="160" fontId="110" numFmtId="0" xfId="0" applyAlignment="1" applyBorder="1" applyFont="1">
      <alignment horizontal="center" vertical="center"/>
    </xf>
    <xf borderId="3359" fillId="160" fontId="110" numFmtId="0" xfId="0" applyAlignment="1" applyBorder="1" applyFont="1">
      <alignment horizontal="center" vertical="top"/>
    </xf>
    <xf borderId="3360" fillId="0" fontId="4" numFmtId="0" xfId="0" applyBorder="1" applyFont="1"/>
    <xf borderId="3361" fillId="160" fontId="110" numFmtId="0" xfId="0" applyAlignment="1" applyBorder="1" applyFont="1">
      <alignment horizontal="center" vertical="top"/>
    </xf>
    <xf borderId="3362" fillId="160" fontId="110" numFmtId="0" xfId="0" applyAlignment="1" applyBorder="1" applyFont="1">
      <alignment horizontal="right" vertical="top"/>
    </xf>
    <xf borderId="3362" fillId="160" fontId="110" numFmtId="0" xfId="0" applyAlignment="1" applyBorder="1" applyFont="1">
      <alignment horizontal="left" vertical="top"/>
    </xf>
    <xf borderId="3350" fillId="160" fontId="140" numFmtId="0" xfId="0" applyAlignment="1" applyBorder="1" applyFont="1">
      <alignment horizontal="center" vertical="center"/>
    </xf>
    <xf borderId="3363" fillId="160" fontId="110" numFmtId="0" xfId="0" applyAlignment="1" applyBorder="1" applyFont="1">
      <alignment horizontal="center" vertical="center"/>
    </xf>
    <xf borderId="3364" fillId="160" fontId="110" numFmtId="0" xfId="0" applyAlignment="1" applyBorder="1" applyFont="1">
      <alignment horizontal="center" vertical="top"/>
    </xf>
    <xf borderId="3365" fillId="160" fontId="110" numFmtId="0" xfId="0" applyAlignment="1" applyBorder="1" applyFont="1">
      <alignment horizontal="center" vertical="top"/>
    </xf>
    <xf borderId="3366" fillId="160" fontId="110" numFmtId="0" xfId="0" applyAlignment="1" applyBorder="1" applyFont="1">
      <alignment horizontal="center" readingOrder="0" vertical="center"/>
    </xf>
    <xf borderId="3367" fillId="0" fontId="4" numFmtId="0" xfId="0" applyBorder="1" applyFont="1"/>
    <xf borderId="3368" fillId="0" fontId="4" numFmtId="0" xfId="0" applyBorder="1" applyFont="1"/>
    <xf borderId="3369" fillId="160" fontId="110" numFmtId="0" xfId="0" applyAlignment="1" applyBorder="1" applyFont="1">
      <alignment horizontal="center" readingOrder="0" vertical="center"/>
    </xf>
    <xf borderId="3370" fillId="0" fontId="4" numFmtId="0" xfId="0" applyBorder="1" applyFont="1"/>
    <xf borderId="3371" fillId="0" fontId="4" numFmtId="0" xfId="0" applyBorder="1" applyFont="1"/>
    <xf borderId="3372" fillId="160" fontId="110" numFmtId="0" xfId="0" applyAlignment="1" applyBorder="1" applyFont="1">
      <alignment horizontal="center" readingOrder="0" vertical="center"/>
    </xf>
    <xf borderId="3373" fillId="0" fontId="4" numFmtId="0" xfId="0" applyBorder="1" applyFont="1"/>
    <xf borderId="3374" fillId="0" fontId="4" numFmtId="0" xfId="0" applyBorder="1" applyFont="1"/>
    <xf borderId="3375" fillId="160" fontId="110" numFmtId="0" xfId="0" applyAlignment="1" applyBorder="1" applyFont="1">
      <alignment horizontal="center" readingOrder="0" vertical="center"/>
    </xf>
    <xf borderId="3347" fillId="0" fontId="4" numFmtId="0" xfId="0" applyBorder="1" applyFont="1"/>
    <xf borderId="3376" fillId="0" fontId="4" numFmtId="0" xfId="0" applyBorder="1" applyFont="1"/>
    <xf borderId="3368" fillId="160" fontId="110" numFmtId="0" xfId="0" applyAlignment="1" applyBorder="1" applyFont="1">
      <alignment horizontal="center" readingOrder="0" vertical="center"/>
    </xf>
    <xf borderId="3349" fillId="160" fontId="140" numFmtId="0" xfId="0" applyAlignment="1" applyBorder="1" applyFont="1">
      <alignment horizontal="center" vertical="center"/>
    </xf>
    <xf borderId="3377" fillId="0" fontId="4" numFmtId="0" xfId="0" applyBorder="1" applyFont="1"/>
    <xf borderId="3371" fillId="160" fontId="110" numFmtId="0" xfId="0" applyAlignment="1" applyBorder="1" applyFont="1">
      <alignment horizontal="center" readingOrder="0" vertical="center"/>
    </xf>
    <xf borderId="3378" fillId="160" fontId="110" numFmtId="0" xfId="0" applyAlignment="1" applyBorder="1" applyFont="1">
      <alignment horizontal="center" readingOrder="0" vertical="center"/>
    </xf>
    <xf borderId="3379" fillId="0" fontId="4" numFmtId="0" xfId="0" applyBorder="1" applyFont="1"/>
    <xf borderId="3380" fillId="0" fontId="4" numFmtId="0" xfId="0" applyBorder="1" applyFont="1"/>
    <xf borderId="3381" fillId="160" fontId="110" numFmtId="0" xfId="0" applyAlignment="1" applyBorder="1" applyFont="1">
      <alignment horizontal="center" readingOrder="0" vertical="center"/>
    </xf>
    <xf borderId="3339" fillId="159" fontId="128" numFmtId="0" xfId="0" applyAlignment="1" applyBorder="1" applyFont="1">
      <alignment horizontal="center" readingOrder="0" vertical="center"/>
    </xf>
    <xf borderId="3346" fillId="160" fontId="124" numFmtId="0" xfId="0" applyAlignment="1" applyBorder="1" applyFont="1">
      <alignment horizontal="center" vertical="center"/>
    </xf>
    <xf borderId="3349" fillId="160" fontId="74" numFmtId="0" xfId="0" applyAlignment="1" applyBorder="1" applyFont="1">
      <alignment horizontal="right" vertical="center"/>
    </xf>
    <xf borderId="3349" fillId="160" fontId="131" numFmtId="0" xfId="0" applyAlignment="1" applyBorder="1" applyFont="1">
      <alignment horizontal="center" vertical="center"/>
    </xf>
    <xf borderId="3350" fillId="160" fontId="131" numFmtId="0" xfId="0" applyAlignment="1" applyBorder="1" applyFont="1">
      <alignment horizontal="center" vertical="center"/>
    </xf>
    <xf borderId="3349" fillId="160" fontId="132" numFmtId="0" xfId="0" applyAlignment="1" applyBorder="1" applyFont="1">
      <alignment horizontal="center" vertical="center"/>
    </xf>
    <xf borderId="3348" fillId="160" fontId="124" numFmtId="0" xfId="0" applyAlignment="1" applyBorder="1" applyFont="1">
      <alignment horizontal="center" vertical="center"/>
    </xf>
    <xf borderId="3343" fillId="159" fontId="133" numFmtId="0" xfId="0" applyAlignment="1" applyBorder="1" applyFont="1">
      <alignment horizontal="center" vertical="center"/>
    </xf>
    <xf borderId="3346" fillId="160" fontId="133" numFmtId="0" xfId="0" applyAlignment="1" applyBorder="1" applyFont="1">
      <alignment horizontal="center" vertical="center"/>
    </xf>
    <xf borderId="3349" fillId="160" fontId="140" numFmtId="0" xfId="0" applyAlignment="1" applyBorder="1" applyFont="1">
      <alignment horizontal="center" readingOrder="0" vertical="bottom"/>
    </xf>
    <xf borderId="3349" fillId="160" fontId="106" numFmtId="0" xfId="0" applyAlignment="1" applyBorder="1" applyFont="1">
      <alignment horizontal="center" vertical="center"/>
    </xf>
    <xf borderId="237" fillId="161" fontId="88" numFmtId="0" xfId="0" applyAlignment="1" applyBorder="1" applyFont="1">
      <alignment horizontal="center" readingOrder="0" vertical="top"/>
    </xf>
    <xf borderId="240" fillId="161" fontId="88" numFmtId="0" xfId="0" applyAlignment="1" applyBorder="1" applyFont="1">
      <alignment horizontal="center" readingOrder="0" vertical="top"/>
    </xf>
    <xf borderId="3382" fillId="160" fontId="89" numFmtId="0" xfId="0" applyAlignment="1" applyBorder="1" applyFont="1">
      <alignment horizontal="center" vertical="center"/>
    </xf>
    <xf borderId="3382" fillId="160" fontId="105" numFmtId="0" xfId="0" applyAlignment="1" applyBorder="1" applyFont="1">
      <alignment horizontal="center" vertical="center"/>
    </xf>
    <xf borderId="3382" fillId="160" fontId="133" numFmtId="0" xfId="0" applyAlignment="1" applyBorder="1" applyFont="1">
      <alignment horizontal="center" vertical="center"/>
    </xf>
    <xf borderId="3348" fillId="160" fontId="133" numFmtId="0" xfId="0" applyAlignment="1" applyBorder="1" applyFont="1">
      <alignment horizontal="center" vertical="center"/>
    </xf>
    <xf borderId="3349" fillId="160" fontId="140" numFmtId="0" xfId="0" applyAlignment="1" applyBorder="1" applyFont="1">
      <alignment horizontal="center" readingOrder="0" vertical="center"/>
    </xf>
    <xf borderId="3383" fillId="161" fontId="88" numFmtId="0" xfId="0" applyAlignment="1" applyBorder="1" applyFont="1">
      <alignment horizontal="center" readingOrder="0" vertical="center"/>
    </xf>
    <xf borderId="3384" fillId="161" fontId="88" numFmtId="0" xfId="0" applyAlignment="1" applyBorder="1" applyFont="1">
      <alignment horizontal="center" readingOrder="0" vertical="center"/>
    </xf>
    <xf borderId="3385" fillId="161" fontId="88" numFmtId="0" xfId="0" applyAlignment="1" applyBorder="1" applyFont="1">
      <alignment horizontal="left" readingOrder="0" vertical="center"/>
    </xf>
    <xf borderId="3386" fillId="161" fontId="88" numFmtId="0" xfId="0" applyAlignment="1" applyBorder="1" applyFont="1">
      <alignment horizontal="center" readingOrder="0" vertical="center"/>
    </xf>
    <xf borderId="3349" fillId="160" fontId="89" numFmtId="0" xfId="0" applyAlignment="1" applyBorder="1" applyFont="1">
      <alignment horizontal="center" vertical="center"/>
    </xf>
    <xf borderId="3349" fillId="160" fontId="105" numFmtId="0" xfId="0" applyAlignment="1" applyBorder="1" applyFont="1">
      <alignment horizontal="center" vertical="center"/>
    </xf>
    <xf borderId="3349" fillId="160" fontId="133" numFmtId="0" xfId="0" applyAlignment="1" applyBorder="1" applyFont="1">
      <alignment horizontal="center" vertical="center"/>
    </xf>
    <xf borderId="3349" fillId="160" fontId="112" numFmtId="0" xfId="0" applyAlignment="1" applyBorder="1" applyFont="1">
      <alignment horizontal="center" readingOrder="0" vertical="top"/>
    </xf>
    <xf borderId="3387" fillId="161" fontId="88" numFmtId="0" xfId="0" applyAlignment="1" applyBorder="1" applyFont="1">
      <alignment horizontal="center" readingOrder="0" vertical="center"/>
    </xf>
    <xf borderId="3388" fillId="161" fontId="88" numFmtId="0" xfId="0" applyAlignment="1" applyBorder="1" applyFont="1">
      <alignment horizontal="center" readingOrder="0" vertical="center"/>
    </xf>
    <xf borderId="3389" fillId="161" fontId="88" numFmtId="0" xfId="0" applyAlignment="1" applyBorder="1" applyFont="1">
      <alignment horizontal="left" readingOrder="0" vertical="center"/>
    </xf>
    <xf borderId="3390" fillId="161" fontId="88" numFmtId="0" xfId="0" applyAlignment="1" applyBorder="1" applyFont="1">
      <alignment horizontal="center" readingOrder="0" vertical="center"/>
    </xf>
    <xf borderId="3391" fillId="161" fontId="88" numFmtId="0" xfId="0" applyAlignment="1" applyBorder="1" applyFont="1">
      <alignment horizontal="center" readingOrder="0" vertical="center"/>
    </xf>
    <xf borderId="3392" fillId="161" fontId="88" numFmtId="0" xfId="0" applyAlignment="1" applyBorder="1" applyFont="1">
      <alignment horizontal="center" readingOrder="0" vertical="center"/>
    </xf>
    <xf borderId="3393" fillId="161" fontId="88" numFmtId="0" xfId="0" applyAlignment="1" applyBorder="1" applyFont="1">
      <alignment horizontal="left" readingOrder="0" vertical="center"/>
    </xf>
    <xf borderId="3394" fillId="161" fontId="88" numFmtId="0" xfId="0" applyAlignment="1" applyBorder="1" applyFont="1">
      <alignment horizontal="center" readingOrder="0" vertical="center"/>
    </xf>
    <xf borderId="253" fillId="161" fontId="88" numFmtId="0" xfId="0" applyAlignment="1" applyBorder="1" applyFont="1">
      <alignment horizontal="right" readingOrder="0" vertical="center"/>
    </xf>
    <xf borderId="256" fillId="161" fontId="88" numFmtId="0" xfId="0" applyAlignment="1" applyBorder="1" applyFont="1">
      <alignment horizontal="center" readingOrder="0" vertical="center"/>
    </xf>
    <xf borderId="543" fillId="161" fontId="88" numFmtId="0" xfId="0" applyAlignment="1" applyBorder="1" applyFont="1">
      <alignment horizontal="right" readingOrder="0" vertical="center"/>
    </xf>
    <xf borderId="546" fillId="161" fontId="88" numFmtId="0" xfId="0" applyAlignment="1" applyBorder="1" applyFont="1">
      <alignment horizontal="center" readingOrder="0" vertical="center"/>
    </xf>
    <xf borderId="3395" fillId="160" fontId="133" numFmtId="0" xfId="0" applyAlignment="1" applyBorder="1" applyFont="1">
      <alignment horizontal="center" vertical="center"/>
    </xf>
    <xf borderId="3350" fillId="160" fontId="74" numFmtId="0" xfId="0" applyAlignment="1" applyBorder="1" applyFont="1">
      <alignment horizontal="right" vertical="center"/>
    </xf>
    <xf borderId="3350" fillId="160" fontId="106" numFmtId="0" xfId="0" applyAlignment="1" applyBorder="1" applyFont="1">
      <alignment horizontal="center" vertical="center"/>
    </xf>
    <xf borderId="3350" fillId="160" fontId="89" numFmtId="0" xfId="0" applyAlignment="1" applyBorder="1" applyFont="1">
      <alignment horizontal="center" vertical="center"/>
    </xf>
    <xf borderId="3347" fillId="160" fontId="74" numFmtId="0" xfId="0" applyAlignment="1" applyBorder="1" applyFont="1">
      <alignment horizontal="right" vertical="center"/>
    </xf>
    <xf borderId="3350" fillId="160" fontId="105" numFmtId="0" xfId="0" applyAlignment="1" applyBorder="1" applyFont="1">
      <alignment horizontal="center" vertical="center"/>
    </xf>
    <xf borderId="3350" fillId="160" fontId="133" numFmtId="0" xfId="0" applyAlignment="1" applyBorder="1" applyFont="1">
      <alignment horizontal="center" vertical="center"/>
    </xf>
    <xf borderId="548" fillId="161" fontId="88" numFmtId="0" xfId="0" applyAlignment="1" applyBorder="1" applyFont="1">
      <alignment horizontal="right" readingOrder="0" vertical="center"/>
    </xf>
    <xf borderId="551" fillId="161" fontId="88" numFmtId="0" xfId="0" applyAlignment="1" applyBorder="1" applyFont="1">
      <alignment horizontal="center" readingOrder="0" vertical="center"/>
    </xf>
    <xf borderId="3396" fillId="160" fontId="133" numFmtId="0" xfId="0" applyAlignment="1" applyBorder="1" applyFont="1">
      <alignment horizontal="center" vertical="center"/>
    </xf>
    <xf borderId="3354" fillId="160" fontId="74" numFmtId="0" xfId="0" applyAlignment="1" applyBorder="1" applyFont="1">
      <alignment horizontal="right" vertical="center"/>
    </xf>
    <xf borderId="3354" fillId="160" fontId="89" numFmtId="0" xfId="0" applyAlignment="1" applyBorder="1" applyFont="1">
      <alignment horizontal="center" vertical="center"/>
    </xf>
    <xf borderId="3354" fillId="160" fontId="105" numFmtId="0" xfId="0" applyAlignment="1" applyBorder="1" applyFont="1">
      <alignment horizontal="center" vertical="center"/>
    </xf>
    <xf borderId="3354" fillId="160" fontId="133" numFmtId="0" xfId="0" applyAlignment="1" applyBorder="1" applyFont="1">
      <alignment horizontal="center" vertical="center"/>
    </xf>
    <xf borderId="3382" fillId="160" fontId="127" numFmtId="0" xfId="0" applyAlignment="1" applyBorder="1" applyFont="1">
      <alignment horizontal="center" vertical="center"/>
    </xf>
    <xf borderId="3373" fillId="160" fontId="110" numFmtId="0" xfId="0" applyAlignment="1" applyBorder="1" applyFont="1">
      <alignment horizontal="center" vertical="center"/>
    </xf>
    <xf borderId="3382" fillId="160" fontId="110" numFmtId="0" xfId="0" applyAlignment="1" applyBorder="1" applyFont="1">
      <alignment horizontal="center" readingOrder="0" vertical="center"/>
    </xf>
    <xf borderId="3345" fillId="160" fontId="110" numFmtId="0" xfId="0" applyAlignment="1" applyBorder="1" applyFont="1">
      <alignment horizontal="center" vertical="center"/>
    </xf>
    <xf borderId="3382" fillId="160" fontId="125" numFmtId="0" xfId="0" applyAlignment="1" applyBorder="1" applyFont="1">
      <alignment horizontal="center" readingOrder="0" vertical="center"/>
    </xf>
    <xf borderId="3382" fillId="160" fontId="125" numFmtId="0" xfId="0" applyAlignment="1" applyBorder="1" applyFont="1">
      <alignment horizontal="center" vertical="center"/>
    </xf>
    <xf borderId="3397" fillId="0" fontId="4" numFmtId="0" xfId="0" applyBorder="1" applyFont="1"/>
    <xf borderId="3354" fillId="160" fontId="131" numFmtId="0" xfId="0" applyAlignment="1" applyBorder="1" applyFont="1">
      <alignment horizontal="center" vertical="center"/>
    </xf>
    <xf borderId="3382" fillId="160" fontId="106" numFmtId="0" xfId="0" applyAlignment="1" applyBorder="1" applyFont="1">
      <alignment horizontal="center" vertical="center"/>
    </xf>
    <xf borderId="3398" fillId="160" fontId="105" numFmtId="0" xfId="0" applyAlignment="1" applyBorder="1" applyFont="1">
      <alignment horizontal="center" vertical="center"/>
    </xf>
    <xf borderId="3399" fillId="160" fontId="125" numFmtId="0" xfId="0" applyAlignment="1" applyBorder="1" applyFont="1">
      <alignment horizontal="center" vertical="center"/>
    </xf>
    <xf borderId="3400" fillId="160" fontId="75" numFmtId="0" xfId="0" applyAlignment="1" applyBorder="1" applyFont="1">
      <alignment horizontal="center" readingOrder="0" vertical="center"/>
    </xf>
    <xf borderId="3400" fillId="160" fontId="163" numFmtId="0" xfId="0" applyAlignment="1" applyBorder="1" applyFont="1">
      <alignment horizontal="center" readingOrder="0" vertical="center"/>
    </xf>
    <xf borderId="3401" fillId="160" fontId="163" numFmtId="0" xfId="0" applyAlignment="1" applyBorder="1" applyFont="1">
      <alignment horizontal="center" readingOrder="0" vertical="center"/>
    </xf>
    <xf borderId="3402" fillId="160" fontId="125" numFmtId="0" xfId="0" applyAlignment="1" applyBorder="1" applyFont="1">
      <alignment horizontal="center" vertical="center"/>
    </xf>
    <xf borderId="3403" fillId="83" fontId="176" numFmtId="0" xfId="0" applyAlignment="1" applyBorder="1" applyFont="1">
      <alignment horizontal="left" readingOrder="0" vertical="center"/>
    </xf>
    <xf borderId="632" fillId="83" fontId="97" numFmtId="0" xfId="0" applyAlignment="1" applyBorder="1" applyFont="1">
      <alignment horizontal="center" readingOrder="0" vertical="top"/>
    </xf>
    <xf borderId="622" fillId="83" fontId="85" numFmtId="0" xfId="0" applyAlignment="1" applyBorder="1" applyFont="1">
      <alignment horizontal="center" vertical="center"/>
    </xf>
    <xf borderId="622" fillId="83" fontId="82" numFmtId="0" xfId="0" applyAlignment="1" applyBorder="1" applyFont="1">
      <alignment horizontal="center" vertical="center"/>
    </xf>
    <xf borderId="3404" fillId="159" fontId="128" numFmtId="0" xfId="0" applyAlignment="1" applyBorder="1" applyFont="1">
      <alignment horizontal="center" readingOrder="0" vertical="center"/>
    </xf>
    <xf borderId="271" fillId="74" fontId="2" numFmtId="0" xfId="0" applyBorder="1" applyFont="1"/>
    <xf borderId="713" fillId="74" fontId="2" numFmtId="0" xfId="0" applyBorder="1" applyFont="1"/>
    <xf borderId="296" fillId="74" fontId="177" numFmtId="0" xfId="0" applyAlignment="1" applyBorder="1" applyFont="1">
      <alignment readingOrder="0"/>
    </xf>
    <xf borderId="712" fillId="74" fontId="2" numFmtId="0" xfId="0" applyBorder="1" applyFont="1"/>
    <xf borderId="293" fillId="74" fontId="67" numFmtId="0" xfId="0" applyAlignment="1" applyBorder="1" applyFont="1">
      <alignment horizontal="center" vertical="center"/>
    </xf>
    <xf borderId="712" fillId="74" fontId="67" numFmtId="0" xfId="0" applyAlignment="1" applyBorder="1" applyFont="1">
      <alignment horizontal="center" vertical="center"/>
    </xf>
    <xf borderId="712" fillId="74" fontId="73" numFmtId="0" xfId="0" applyAlignment="1" applyBorder="1" applyFont="1">
      <alignment horizontal="center" vertical="center"/>
    </xf>
    <xf borderId="278" fillId="74" fontId="97" numFmtId="0" xfId="0" applyAlignment="1" applyBorder="1" applyFont="1">
      <alignment horizontal="center" readingOrder="0" vertical="top"/>
    </xf>
    <xf borderId="712" fillId="74" fontId="77" numFmtId="0" xfId="0" applyAlignment="1" applyBorder="1" applyFont="1">
      <alignment horizontal="center" vertical="center"/>
    </xf>
    <xf borderId="268" fillId="74" fontId="79" numFmtId="0" xfId="0" applyAlignment="1" applyBorder="1" applyFont="1">
      <alignment horizontal="center" vertical="center"/>
    </xf>
    <xf borderId="268" fillId="74" fontId="87" numFmtId="0" xfId="0" applyAlignment="1" applyBorder="1" applyFont="1">
      <alignment horizontal="center" vertical="center"/>
    </xf>
    <xf borderId="270" fillId="74" fontId="86" numFmtId="0" xfId="0" applyAlignment="1" applyBorder="1" applyFont="1">
      <alignment horizontal="center" vertical="center"/>
    </xf>
    <xf borderId="3405" fillId="86" fontId="125" numFmtId="0" xfId="0" applyAlignment="1" applyBorder="1" applyFont="1">
      <alignment horizontal="center" vertical="center"/>
    </xf>
    <xf borderId="791" fillId="86" fontId="125" numFmtId="0" xfId="0" applyAlignment="1" applyBorder="1" applyFont="1">
      <alignment horizontal="center" vertical="center"/>
    </xf>
    <xf borderId="3406" fillId="86" fontId="125" numFmtId="0" xfId="0" applyAlignment="1" applyBorder="1" applyFont="1">
      <alignment horizontal="center" vertical="center"/>
    </xf>
    <xf borderId="3407" fillId="86" fontId="94" numFmtId="0" xfId="0" applyAlignment="1" applyBorder="1" applyFont="1">
      <alignment horizontal="right" readingOrder="0" vertical="center"/>
    </xf>
    <xf borderId="3406" fillId="86" fontId="110" numFmtId="0" xfId="0" applyAlignment="1" applyBorder="1" applyFont="1">
      <alignment horizontal="center" vertical="center"/>
    </xf>
    <xf borderId="769" fillId="86" fontId="114" numFmtId="0" xfId="0" applyAlignment="1" applyBorder="1" applyFont="1">
      <alignment horizontal="center" readingOrder="0" vertical="top"/>
    </xf>
    <xf borderId="3406" fillId="86" fontId="129" numFmtId="0" xfId="0" applyAlignment="1" applyBorder="1" applyFont="1">
      <alignment horizontal="center" vertical="center"/>
    </xf>
    <xf borderId="3408" fillId="86" fontId="125" numFmtId="0" xfId="0" applyAlignment="1" applyBorder="1" applyFont="1">
      <alignment horizontal="center" vertical="center"/>
    </xf>
    <xf borderId="3409" fillId="86" fontId="94" numFmtId="0" xfId="0" applyAlignment="1" applyBorder="1" applyFont="1">
      <alignment horizontal="right" vertical="center"/>
    </xf>
    <xf borderId="1105" fillId="86" fontId="125" numFmtId="0" xfId="0" applyAlignment="1" applyBorder="1" applyFont="1">
      <alignment horizontal="center" vertical="center"/>
    </xf>
    <xf borderId="3410" fillId="86" fontId="94" numFmtId="0" xfId="0" applyAlignment="1" applyBorder="1" applyFont="1">
      <alignment horizontal="right" vertical="center"/>
    </xf>
    <xf borderId="756" fillId="86" fontId="110" numFmtId="0" xfId="0" applyAlignment="1" applyBorder="1" applyFont="1">
      <alignment horizontal="center" vertical="center"/>
    </xf>
    <xf borderId="3411" fillId="86" fontId="94" numFmtId="0" xfId="0" applyAlignment="1" applyBorder="1" applyFont="1">
      <alignment horizontal="right" vertical="center"/>
    </xf>
    <xf borderId="3412" fillId="0" fontId="4" numFmtId="0" xfId="0" applyBorder="1" applyFont="1"/>
    <xf borderId="3413" fillId="0" fontId="4" numFmtId="0" xfId="0" applyBorder="1" applyFont="1"/>
    <xf borderId="3414" fillId="86" fontId="125" numFmtId="0" xfId="0" applyAlignment="1" applyBorder="1" applyFont="1">
      <alignment horizontal="center" vertical="center"/>
    </xf>
    <xf borderId="3415" fillId="144" fontId="178" numFmtId="0" xfId="0" applyAlignment="1" applyBorder="1" applyFont="1">
      <alignment horizontal="left" readingOrder="0" vertical="center"/>
    </xf>
    <xf borderId="3416" fillId="0" fontId="4" numFmtId="0" xfId="0" applyBorder="1" applyFont="1"/>
    <xf borderId="2854" fillId="144" fontId="119" numFmtId="0" xfId="0" applyAlignment="1" applyBorder="1" applyFont="1">
      <alignment horizontal="center" vertical="center"/>
    </xf>
    <xf borderId="2845" fillId="144" fontId="110" numFmtId="0" xfId="0" applyAlignment="1" applyBorder="1" applyFont="1">
      <alignment horizontal="center" vertical="center"/>
    </xf>
    <xf borderId="3417" fillId="144" fontId="110" numFmtId="0" xfId="0" applyAlignment="1" applyBorder="1" applyFont="1">
      <alignment horizontal="center" vertical="center"/>
    </xf>
    <xf borderId="2854" fillId="144" fontId="110" numFmtId="0" xfId="0" applyAlignment="1" applyBorder="1" applyFont="1">
      <alignment horizontal="center" readingOrder="0" vertical="center"/>
    </xf>
    <xf borderId="2854" fillId="144" fontId="110" numFmtId="0" xfId="0" applyAlignment="1" applyBorder="1" applyFont="1">
      <alignment horizontal="center" vertical="center"/>
    </xf>
    <xf borderId="3418" fillId="0" fontId="4" numFmtId="0" xfId="0" applyBorder="1" applyFont="1"/>
    <xf borderId="2817" fillId="144" fontId="131" numFmtId="0" xfId="0" applyAlignment="1" applyBorder="1" applyFont="1">
      <alignment horizontal="center" vertical="top"/>
    </xf>
    <xf borderId="2826" fillId="144" fontId="131" numFmtId="0" xfId="0" applyAlignment="1" applyBorder="1" applyFont="1">
      <alignment horizontal="center" vertical="top"/>
    </xf>
    <xf borderId="2854" fillId="144" fontId="133" numFmtId="0" xfId="0" applyAlignment="1" applyBorder="1" applyFont="1">
      <alignment horizontal="center" vertical="center"/>
    </xf>
    <xf borderId="2868" fillId="144" fontId="133" numFmtId="0" xfId="0" applyAlignment="1" applyBorder="1" applyFont="1">
      <alignment horizontal="center" vertical="center"/>
    </xf>
    <xf borderId="199" fillId="95" fontId="94" numFmtId="0" xfId="0" applyAlignment="1" applyBorder="1" applyFont="1">
      <alignment horizontal="right" readingOrder="0" vertical="center"/>
    </xf>
    <xf borderId="3419" fillId="0" fontId="4" numFmtId="0" xfId="0" applyBorder="1" applyFont="1"/>
    <xf borderId="1095" fillId="95" fontId="140" numFmtId="0" xfId="0" applyAlignment="1" applyBorder="1" applyFont="1">
      <alignment horizontal="center" vertical="center"/>
    </xf>
    <xf borderId="1120" fillId="95" fontId="109" numFmtId="0" xfId="0" applyAlignment="1" applyBorder="1" applyFont="1">
      <alignment horizontal="center" vertical="center"/>
    </xf>
    <xf borderId="1120" fillId="95" fontId="132" numFmtId="0" xfId="0" applyAlignment="1" applyBorder="1" applyFont="1">
      <alignment horizontal="center" vertical="center"/>
    </xf>
    <xf borderId="1901" fillId="116" fontId="110" numFmtId="0" xfId="0" applyAlignment="1" applyBorder="1" applyFont="1">
      <alignment horizontal="center"/>
    </xf>
    <xf borderId="3407" fillId="116" fontId="76" numFmtId="0" xfId="0" applyAlignment="1" applyBorder="1" applyFont="1">
      <alignment horizontal="right" readingOrder="0" vertical="center"/>
    </xf>
    <xf borderId="1879" fillId="116" fontId="110" numFmtId="0" xfId="0" applyAlignment="1" applyBorder="1" applyFont="1">
      <alignment horizontal="center"/>
    </xf>
    <xf borderId="1901" fillId="116" fontId="129" numFmtId="0" xfId="0" applyAlignment="1" applyBorder="1" applyFont="1">
      <alignment horizontal="center"/>
    </xf>
    <xf borderId="1879" fillId="116" fontId="129" numFmtId="0" xfId="0" applyAlignment="1" applyBorder="1" applyFont="1">
      <alignment horizontal="center"/>
    </xf>
    <xf borderId="1901" fillId="116" fontId="125" numFmtId="0" xfId="0" applyAlignment="1" applyBorder="1" applyFont="1">
      <alignment horizontal="center"/>
    </xf>
    <xf borderId="1879" fillId="116" fontId="125" numFmtId="0" xfId="0" applyAlignment="1" applyBorder="1" applyFont="1">
      <alignment horizontal="center"/>
    </xf>
    <xf borderId="1873" fillId="116" fontId="76" numFmtId="0" xfId="0" applyAlignment="1" applyBorder="1" applyFont="1">
      <alignment horizontal="right"/>
    </xf>
    <xf borderId="199" fillId="92" fontId="94" numFmtId="0" xfId="0" applyAlignment="1" applyBorder="1" applyFont="1">
      <alignment horizontal="right" readingOrder="0" vertical="center"/>
    </xf>
    <xf borderId="964" fillId="92" fontId="109" numFmtId="0" xfId="0" applyAlignment="1" applyBorder="1" applyFont="1">
      <alignment horizontal="center" vertical="center"/>
    </xf>
    <xf borderId="964" fillId="92" fontId="132" numFmtId="0" xfId="0" applyAlignment="1" applyBorder="1" applyFont="1">
      <alignment horizontal="center" vertical="center"/>
    </xf>
    <xf borderId="2898" fillId="147" fontId="119" numFmtId="0" xfId="0" applyAlignment="1" applyBorder="1" applyFont="1">
      <alignment horizontal="center" vertical="center"/>
    </xf>
    <xf borderId="2930" fillId="147" fontId="119" numFmtId="0" xfId="0" applyAlignment="1" applyBorder="1" applyFont="1">
      <alignment horizontal="center" vertical="center"/>
    </xf>
    <xf borderId="2917" fillId="147" fontId="110" numFmtId="0" xfId="0" applyAlignment="1" applyBorder="1" applyFont="1">
      <alignment horizontal="center" vertical="center"/>
    </xf>
    <xf borderId="3420" fillId="147" fontId="110" numFmtId="0" xfId="0" applyAlignment="1" applyBorder="1" applyFont="1">
      <alignment horizontal="center" vertical="center"/>
    </xf>
    <xf borderId="2930" fillId="147" fontId="110" numFmtId="0" xfId="0" applyAlignment="1" applyBorder="1" applyFont="1">
      <alignment horizontal="center" readingOrder="0" vertical="center"/>
    </xf>
    <xf borderId="2930" fillId="147" fontId="110" numFmtId="0" xfId="0" applyAlignment="1" applyBorder="1" applyFont="1">
      <alignment horizontal="center" vertical="center"/>
    </xf>
    <xf borderId="3421" fillId="0" fontId="4" numFmtId="0" xfId="0" applyBorder="1" applyFont="1"/>
    <xf borderId="2898" fillId="147" fontId="131" numFmtId="0" xfId="0" applyAlignment="1" applyBorder="1" applyFont="1">
      <alignment horizontal="center" vertical="top"/>
    </xf>
    <xf borderId="3422" fillId="147" fontId="110" numFmtId="0" xfId="0" applyAlignment="1" applyBorder="1" applyFont="1">
      <alignment horizontal="center" vertical="center"/>
    </xf>
    <xf borderId="3422" fillId="147" fontId="110" numFmtId="0" xfId="0" applyAlignment="1" applyBorder="1" applyFont="1">
      <alignment horizontal="center" vertical="center"/>
    </xf>
    <xf borderId="3422" fillId="147" fontId="110" numFmtId="0" xfId="0" applyAlignment="1" applyBorder="1" applyFont="1">
      <alignment horizontal="center" readingOrder="0" vertical="center"/>
    </xf>
    <xf borderId="3423" fillId="162" fontId="125" numFmtId="0" xfId="0" applyAlignment="1" applyBorder="1" applyFill="1" applyFont="1">
      <alignment horizontal="center" vertical="center"/>
    </xf>
    <xf borderId="3424" fillId="162" fontId="140" numFmtId="0" xfId="0" applyAlignment="1" applyBorder="1" applyFont="1">
      <alignment horizontal="center" vertical="center"/>
    </xf>
    <xf borderId="3424" fillId="162" fontId="127" numFmtId="0" xfId="0" applyAlignment="1" applyBorder="1" applyFont="1">
      <alignment horizontal="center" vertical="center"/>
    </xf>
    <xf borderId="3424" fillId="162" fontId="125" numFmtId="0" xfId="0" applyAlignment="1" applyBorder="1" applyFont="1">
      <alignment horizontal="center" vertical="center"/>
    </xf>
    <xf borderId="3425" fillId="162" fontId="125" numFmtId="0" xfId="0" applyAlignment="1" applyBorder="1" applyFont="1">
      <alignment horizontal="center" vertical="center"/>
    </xf>
    <xf borderId="3426" fillId="162" fontId="125" numFmtId="0" xfId="0" applyAlignment="1" applyBorder="1" applyFont="1">
      <alignment horizontal="center" vertical="center"/>
    </xf>
    <xf borderId="189" fillId="163" fontId="76" numFmtId="0" xfId="0" applyAlignment="1" applyBorder="1" applyFill="1" applyFont="1">
      <alignment horizontal="center" vertical="center"/>
    </xf>
    <xf borderId="3427" fillId="162" fontId="127" numFmtId="0" xfId="0" applyAlignment="1" applyBorder="1" applyFont="1">
      <alignment horizontal="center" vertical="center"/>
    </xf>
    <xf borderId="969" fillId="163" fontId="119" numFmtId="0" xfId="0" applyAlignment="1" applyBorder="1" applyFont="1">
      <alignment horizontal="center" vertical="center"/>
    </xf>
    <xf borderId="3427" fillId="162" fontId="110" numFmtId="0" xfId="0" applyAlignment="1" applyBorder="1" applyFont="1">
      <alignment horizontal="center" vertical="center"/>
    </xf>
    <xf borderId="3427" fillId="162" fontId="125" numFmtId="0" xfId="0" applyAlignment="1" applyBorder="1" applyFont="1">
      <alignment horizontal="center" vertical="center"/>
    </xf>
    <xf borderId="3428" fillId="162" fontId="125" numFmtId="0" xfId="0" applyAlignment="1" applyBorder="1" applyFont="1">
      <alignment horizontal="center" vertical="center"/>
    </xf>
    <xf borderId="3429" fillId="0" fontId="4" numFmtId="0" xfId="0" applyBorder="1" applyFont="1"/>
    <xf borderId="3430" fillId="0" fontId="4" numFmtId="0" xfId="0" applyBorder="1" applyFont="1"/>
    <xf borderId="3431" fillId="162" fontId="125" numFmtId="0" xfId="0" applyAlignment="1" applyBorder="1" applyFont="1">
      <alignment horizontal="center" vertical="center"/>
    </xf>
    <xf borderId="3426" fillId="162" fontId="110" numFmtId="0" xfId="0" applyAlignment="1" applyBorder="1" applyFont="1">
      <alignment horizontal="center" vertical="center"/>
    </xf>
    <xf borderId="762" fillId="162" fontId="76" numFmtId="0" xfId="0" applyAlignment="1" applyBorder="1" applyFont="1">
      <alignment horizontal="right" readingOrder="0" vertical="center"/>
    </xf>
    <xf borderId="3427" fillId="162" fontId="110" numFmtId="0" xfId="0" applyAlignment="1" applyBorder="1" applyFont="1">
      <alignment horizontal="center" readingOrder="0" vertical="center"/>
    </xf>
    <xf borderId="3432" fillId="162" fontId="112" numFmtId="0" xfId="0" applyAlignment="1" applyBorder="1" applyFont="1">
      <alignment horizontal="center" readingOrder="0" vertical="center"/>
    </xf>
    <xf borderId="3433" fillId="0" fontId="4" numFmtId="0" xfId="0" applyBorder="1" applyFont="1"/>
    <xf borderId="3434" fillId="0" fontId="4" numFmtId="0" xfId="0" applyBorder="1" applyFont="1"/>
    <xf borderId="3428" fillId="162" fontId="110" numFmtId="0" xfId="0" applyAlignment="1" applyBorder="1" applyFont="1">
      <alignment horizontal="center" vertical="center"/>
    </xf>
    <xf borderId="3431" fillId="162" fontId="110" numFmtId="0" xfId="0" applyAlignment="1" applyBorder="1" applyFont="1">
      <alignment horizontal="center" vertical="center"/>
    </xf>
    <xf borderId="3427" fillId="162" fontId="125" numFmtId="0" xfId="0" applyAlignment="1" applyBorder="1" applyFont="1">
      <alignment horizontal="center" readingOrder="0" vertical="center"/>
    </xf>
    <xf borderId="3435" fillId="162" fontId="114" numFmtId="0" xfId="0" applyAlignment="1" applyBorder="1" applyFont="1">
      <alignment horizontal="center" readingOrder="0" vertical="top"/>
    </xf>
    <xf borderId="3436" fillId="0" fontId="4" numFmtId="0" xfId="0" applyBorder="1" applyFont="1"/>
    <xf borderId="3437" fillId="0" fontId="4" numFmtId="0" xfId="0" applyBorder="1" applyFont="1"/>
    <xf borderId="3438" fillId="162" fontId="110" numFmtId="0" xfId="0" applyAlignment="1" applyBorder="1" applyFont="1">
      <alignment horizontal="center" vertical="center"/>
    </xf>
    <xf borderId="3439" fillId="162" fontId="110" numFmtId="0" xfId="0" applyAlignment="1" applyBorder="1" applyFont="1">
      <alignment horizontal="center" vertical="top"/>
    </xf>
    <xf borderId="3440" fillId="0" fontId="4" numFmtId="0" xfId="0" applyBorder="1" applyFont="1"/>
    <xf borderId="3441" fillId="162" fontId="110" numFmtId="0" xfId="0" applyAlignment="1" applyBorder="1" applyFont="1">
      <alignment horizontal="center" vertical="top"/>
    </xf>
    <xf borderId="3442" fillId="162" fontId="110" numFmtId="0" xfId="0" applyAlignment="1" applyBorder="1" applyFont="1">
      <alignment horizontal="right" vertical="top"/>
    </xf>
    <xf borderId="3442" fillId="162" fontId="110" numFmtId="0" xfId="0" applyAlignment="1" applyBorder="1" applyFont="1">
      <alignment horizontal="left" vertical="top"/>
    </xf>
    <xf borderId="3443" fillId="162" fontId="140" numFmtId="0" xfId="0" applyAlignment="1" applyBorder="1" applyFont="1">
      <alignment horizontal="center" readingOrder="0" vertical="center"/>
    </xf>
    <xf borderId="3444" fillId="162" fontId="110" numFmtId="0" xfId="0" applyAlignment="1" applyBorder="1" applyFont="1">
      <alignment horizontal="center" vertical="center"/>
    </xf>
    <xf borderId="1957" fillId="162" fontId="110" numFmtId="0" xfId="0" applyAlignment="1" applyBorder="1" applyFont="1">
      <alignment horizontal="center" vertical="top"/>
    </xf>
    <xf borderId="3445" fillId="162" fontId="110" numFmtId="0" xfId="0" applyAlignment="1" applyBorder="1" applyFont="1">
      <alignment horizontal="center" vertical="top"/>
    </xf>
    <xf borderId="3446" fillId="0" fontId="4" numFmtId="0" xfId="0" applyBorder="1" applyFont="1"/>
    <xf borderId="3447" fillId="162" fontId="110" numFmtId="0" xfId="0" applyAlignment="1" applyBorder="1" applyFont="1">
      <alignment horizontal="center" readingOrder="0" vertical="center"/>
    </xf>
    <xf borderId="3448" fillId="0" fontId="4" numFmtId="0" xfId="0" applyBorder="1" applyFont="1"/>
    <xf borderId="3449" fillId="0" fontId="4" numFmtId="0" xfId="0" applyBorder="1" applyFont="1"/>
    <xf borderId="3450" fillId="162" fontId="110" numFmtId="0" xfId="0" applyAlignment="1" applyBorder="1" applyFont="1">
      <alignment horizontal="center" readingOrder="0" vertical="center"/>
    </xf>
    <xf borderId="3451" fillId="0" fontId="4" numFmtId="0" xfId="0" applyBorder="1" applyFont="1"/>
    <xf borderId="3452" fillId="162" fontId="110" numFmtId="0" xfId="0" applyAlignment="1" applyBorder="1" applyFont="1">
      <alignment horizontal="center" readingOrder="0" vertical="center"/>
    </xf>
    <xf borderId="3453" fillId="0" fontId="4" numFmtId="0" xfId="0" applyBorder="1" applyFont="1"/>
    <xf borderId="3454" fillId="0" fontId="4" numFmtId="0" xfId="0" applyBorder="1" applyFont="1"/>
    <xf borderId="3455" fillId="162" fontId="110" numFmtId="0" xfId="0" applyAlignment="1" applyBorder="1" applyFont="1">
      <alignment horizontal="center" readingOrder="0" vertical="center"/>
    </xf>
    <xf borderId="3424" fillId="0" fontId="4" numFmtId="0" xfId="0" applyBorder="1" applyFont="1"/>
    <xf borderId="3456" fillId="0" fontId="4" numFmtId="0" xfId="0" applyBorder="1" applyFont="1"/>
    <xf borderId="3449" fillId="162" fontId="110" numFmtId="0" xfId="0" applyAlignment="1" applyBorder="1" applyFont="1">
      <alignment horizontal="center" readingOrder="0" vertical="center"/>
    </xf>
    <xf borderId="3427" fillId="162" fontId="140" numFmtId="0" xfId="0" applyAlignment="1" applyBorder="1" applyFont="1">
      <alignment horizontal="center" vertical="center"/>
    </xf>
    <xf borderId="3451" fillId="162" fontId="110" numFmtId="0" xfId="0" applyAlignment="1" applyBorder="1" applyFont="1">
      <alignment horizontal="center" readingOrder="0" vertical="center"/>
    </xf>
    <xf borderId="3457" fillId="162" fontId="110" numFmtId="0" xfId="0" applyAlignment="1" applyBorder="1" applyFont="1">
      <alignment horizontal="center" readingOrder="0" vertical="center"/>
    </xf>
    <xf borderId="3458" fillId="0" fontId="4" numFmtId="0" xfId="0" applyBorder="1" applyFont="1"/>
    <xf borderId="3459" fillId="0" fontId="4" numFmtId="0" xfId="0" applyBorder="1" applyFont="1"/>
    <xf borderId="3460" fillId="162" fontId="110" numFmtId="0" xfId="0" applyAlignment="1" applyBorder="1" applyFont="1">
      <alignment horizontal="center" readingOrder="0" vertical="center"/>
    </xf>
    <xf borderId="3426" fillId="162" fontId="124" numFmtId="0" xfId="0" applyAlignment="1" applyBorder="1" applyFont="1">
      <alignment horizontal="center" vertical="center"/>
    </xf>
    <xf borderId="3427" fillId="162" fontId="74" numFmtId="0" xfId="0" applyAlignment="1" applyBorder="1" applyFont="1">
      <alignment horizontal="right" vertical="center"/>
    </xf>
    <xf borderId="3427" fillId="162" fontId="131" numFmtId="0" xfId="0" applyAlignment="1" applyBorder="1" applyFont="1">
      <alignment horizontal="center" vertical="center"/>
    </xf>
    <xf borderId="3427" fillId="162" fontId="131" numFmtId="0" xfId="0" applyAlignment="1" applyBorder="1" applyFont="1">
      <alignment horizontal="center" vertical="top"/>
    </xf>
    <xf borderId="3443" fillId="162" fontId="131" numFmtId="0" xfId="0" applyAlignment="1" applyBorder="1" applyFont="1">
      <alignment horizontal="center" vertical="top"/>
    </xf>
    <xf borderId="3427" fillId="162" fontId="132" numFmtId="0" xfId="0" applyAlignment="1" applyBorder="1" applyFont="1">
      <alignment horizontal="center" vertical="center"/>
    </xf>
    <xf borderId="3431" fillId="162" fontId="124" numFmtId="0" xfId="0" applyAlignment="1" applyBorder="1" applyFont="1">
      <alignment horizontal="center" vertical="center"/>
    </xf>
    <xf borderId="3426" fillId="162" fontId="133" numFmtId="0" xfId="0" applyAlignment="1" applyBorder="1" applyFont="1">
      <alignment horizontal="center" vertical="center"/>
    </xf>
    <xf borderId="3427" fillId="162" fontId="106" numFmtId="0" xfId="0" applyAlignment="1" applyBorder="1" applyFont="1">
      <alignment horizontal="center" vertical="center"/>
    </xf>
    <xf borderId="237" fillId="163" fontId="104" numFmtId="0" xfId="0" applyAlignment="1" applyBorder="1" applyFont="1">
      <alignment horizontal="center" readingOrder="0" vertical="top"/>
    </xf>
    <xf borderId="240" fillId="163" fontId="104" numFmtId="0" xfId="0" applyAlignment="1" applyBorder="1" applyFont="1">
      <alignment horizontal="center" readingOrder="0" vertical="top"/>
    </xf>
    <xf borderId="3428" fillId="162" fontId="105" numFmtId="0" xfId="0" applyAlignment="1" applyBorder="1" applyFont="1">
      <alignment horizontal="center" vertical="center"/>
    </xf>
    <xf borderId="3428" fillId="162" fontId="106" numFmtId="0" xfId="0" applyAlignment="1" applyBorder="1" applyFont="1">
      <alignment horizontal="center" vertical="center"/>
    </xf>
    <xf borderId="3427" fillId="162" fontId="179" numFmtId="0" xfId="0" applyBorder="1" applyFont="1"/>
    <xf borderId="3431" fillId="162" fontId="133" numFmtId="0" xfId="0" applyAlignment="1" applyBorder="1" applyFont="1">
      <alignment horizontal="center" vertical="center"/>
    </xf>
    <xf borderId="3461" fillId="163" fontId="104" numFmtId="0" xfId="0" applyAlignment="1" applyBorder="1" applyFont="1">
      <alignment horizontal="center" readingOrder="0" vertical="center"/>
    </xf>
    <xf borderId="3462" fillId="163" fontId="104" numFmtId="0" xfId="0" applyAlignment="1" applyBorder="1" applyFont="1">
      <alignment horizontal="center" readingOrder="0" vertical="center"/>
    </xf>
    <xf borderId="3463" fillId="163" fontId="104" numFmtId="0" xfId="0" applyAlignment="1" applyBorder="1" applyFont="1">
      <alignment horizontal="left" readingOrder="0" vertical="center"/>
    </xf>
    <xf borderId="3464" fillId="163" fontId="104" numFmtId="0" xfId="0" applyAlignment="1" applyBorder="1" applyFont="1">
      <alignment horizontal="center" readingOrder="0" vertical="center"/>
    </xf>
    <xf borderId="3427" fillId="162" fontId="105" numFmtId="0" xfId="0" applyAlignment="1" applyBorder="1" applyFont="1">
      <alignment horizontal="center" vertical="center"/>
    </xf>
    <xf borderId="3427" fillId="162" fontId="133" numFmtId="0" xfId="0" applyAlignment="1" applyBorder="1" applyFont="1">
      <alignment horizontal="center" vertical="center"/>
    </xf>
    <xf borderId="3465" fillId="163" fontId="104" numFmtId="0" xfId="0" applyAlignment="1" applyBorder="1" applyFont="1">
      <alignment horizontal="center" readingOrder="0" vertical="center"/>
    </xf>
    <xf borderId="3466" fillId="163" fontId="104" numFmtId="0" xfId="0" applyAlignment="1" applyBorder="1" applyFont="1">
      <alignment horizontal="center" readingOrder="0" vertical="center"/>
    </xf>
    <xf borderId="3467" fillId="163" fontId="104" numFmtId="0" xfId="0" applyAlignment="1" applyBorder="1" applyFont="1">
      <alignment horizontal="left" readingOrder="0" vertical="center"/>
    </xf>
    <xf borderId="3468" fillId="163" fontId="104" numFmtId="0" xfId="0" applyAlignment="1" applyBorder="1" applyFont="1">
      <alignment horizontal="center" readingOrder="0" vertical="center"/>
    </xf>
    <xf borderId="3469" fillId="163" fontId="104" numFmtId="0" xfId="0" applyAlignment="1" applyBorder="1" applyFont="1">
      <alignment horizontal="center" readingOrder="0" vertical="center"/>
    </xf>
    <xf borderId="3470" fillId="163" fontId="104" numFmtId="0" xfId="0" applyAlignment="1" applyBorder="1" applyFont="1">
      <alignment horizontal="center" readingOrder="0" vertical="center"/>
    </xf>
    <xf borderId="3471" fillId="163" fontId="104" numFmtId="0" xfId="0" applyAlignment="1" applyBorder="1" applyFont="1">
      <alignment horizontal="left" readingOrder="0" vertical="center"/>
    </xf>
    <xf borderId="3472" fillId="163" fontId="104" numFmtId="0" xfId="0" applyAlignment="1" applyBorder="1" applyFont="1">
      <alignment horizontal="center" readingOrder="0" vertical="center"/>
    </xf>
    <xf borderId="253" fillId="163" fontId="104" numFmtId="0" xfId="0" applyAlignment="1" applyBorder="1" applyFont="1">
      <alignment horizontal="right" readingOrder="0" vertical="center"/>
    </xf>
    <xf borderId="256" fillId="163" fontId="104" numFmtId="0" xfId="0" applyAlignment="1" applyBorder="1" applyFont="1">
      <alignment horizontal="center" readingOrder="0" vertical="center"/>
    </xf>
    <xf borderId="3473" fillId="162" fontId="125" numFmtId="0" xfId="0" applyAlignment="1" applyBorder="1" applyFont="1">
      <alignment horizontal="center" vertical="center"/>
    </xf>
    <xf borderId="3474" fillId="162" fontId="140" numFmtId="0" xfId="0" applyAlignment="1" applyBorder="1" applyFont="1">
      <alignment horizontal="center" vertical="center"/>
    </xf>
    <xf borderId="3474" fillId="162" fontId="125" numFmtId="0" xfId="0" applyAlignment="1" applyBorder="1" applyFont="1">
      <alignment horizontal="center" vertical="center"/>
    </xf>
    <xf borderId="3474" fillId="162" fontId="110" numFmtId="0" xfId="0" applyAlignment="1" applyBorder="1" applyFont="1">
      <alignment horizontal="center" readingOrder="0" vertical="center"/>
    </xf>
    <xf borderId="3474" fillId="162" fontId="110" numFmtId="0" xfId="0" applyAlignment="1" applyBorder="1" applyFont="1">
      <alignment horizontal="center" vertical="center"/>
    </xf>
    <xf borderId="3475" fillId="162" fontId="110" numFmtId="0" xfId="0" applyAlignment="1" applyBorder="1" applyFont="1">
      <alignment horizontal="center" readingOrder="0" vertical="center"/>
    </xf>
    <xf borderId="3476" fillId="162" fontId="125" numFmtId="0" xfId="0" applyAlignment="1" applyBorder="1" applyFont="1">
      <alignment horizontal="center" vertical="center"/>
    </xf>
    <xf borderId="3477" fillId="0" fontId="4" numFmtId="0" xfId="0" applyBorder="1" applyFont="1"/>
    <xf borderId="3478" fillId="0" fontId="4" numFmtId="0" xfId="0" applyBorder="1" applyFont="1"/>
    <xf borderId="3479" fillId="162" fontId="125" numFmtId="0" xfId="0" applyAlignment="1" applyBorder="1" applyFont="1">
      <alignment horizontal="center" vertical="center"/>
    </xf>
    <xf borderId="3446" fillId="162" fontId="127" numFmtId="0" xfId="0" applyAlignment="1" applyBorder="1" applyFont="1">
      <alignment horizontal="center" vertical="center"/>
    </xf>
    <xf borderId="3428" fillId="162" fontId="127" numFmtId="0" xfId="0" applyAlignment="1" applyBorder="1" applyFont="1">
      <alignment horizontal="center" vertical="center"/>
    </xf>
    <xf borderId="3429" fillId="162" fontId="110" numFmtId="0" xfId="0" applyAlignment="1" applyBorder="1" applyFont="1">
      <alignment horizontal="center" vertical="center"/>
    </xf>
    <xf borderId="3429" fillId="162" fontId="125" numFmtId="0" xfId="0" applyAlignment="1" applyBorder="1" applyFont="1">
      <alignment horizontal="center" vertical="center"/>
    </xf>
    <xf borderId="3430" fillId="162" fontId="125" numFmtId="0" xfId="0" applyAlignment="1" applyBorder="1" applyFont="1">
      <alignment horizontal="center" vertical="center"/>
    </xf>
    <xf borderId="3428" fillId="162" fontId="110" numFmtId="0" xfId="0" applyAlignment="1" applyBorder="1" applyFont="1">
      <alignment horizontal="center" readingOrder="0" vertical="center"/>
    </xf>
    <xf borderId="3430" fillId="162" fontId="110" numFmtId="0" xfId="0" applyAlignment="1" applyBorder="1" applyFont="1">
      <alignment horizontal="center" vertical="center"/>
    </xf>
    <xf borderId="3428" fillId="162" fontId="125" numFmtId="0" xfId="0" applyAlignment="1" applyBorder="1" applyFont="1">
      <alignment horizontal="center" readingOrder="0" vertical="center"/>
    </xf>
    <xf borderId="3446" fillId="162" fontId="131" numFmtId="0" xfId="0" applyAlignment="1" applyBorder="1" applyFont="1">
      <alignment horizontal="center" vertical="top"/>
    </xf>
    <xf borderId="3428" fillId="162" fontId="131" numFmtId="0" xfId="0" applyAlignment="1" applyBorder="1" applyFont="1">
      <alignment horizontal="center" vertical="center"/>
    </xf>
    <xf borderId="543" fillId="163" fontId="104" numFmtId="0" xfId="0" applyAlignment="1" applyBorder="1" applyFont="1">
      <alignment horizontal="right" readingOrder="0" vertical="center"/>
    </xf>
    <xf borderId="546" fillId="163" fontId="104" numFmtId="0" xfId="0" applyAlignment="1" applyBorder="1" applyFont="1">
      <alignment horizontal="center" readingOrder="0" vertical="center"/>
    </xf>
    <xf borderId="3480" fillId="162" fontId="133" numFmtId="0" xfId="0" applyAlignment="1" applyBorder="1" applyFont="1">
      <alignment horizontal="center" vertical="center"/>
    </xf>
    <xf borderId="3443" fillId="162" fontId="74" numFmtId="0" xfId="0" applyAlignment="1" applyBorder="1" applyFont="1">
      <alignment horizontal="right" vertical="center"/>
    </xf>
    <xf borderId="3443" fillId="162" fontId="106" numFmtId="0" xfId="0" applyAlignment="1" applyBorder="1" applyFont="1">
      <alignment horizontal="center" vertical="center"/>
    </xf>
    <xf borderId="3424" fillId="162" fontId="74" numFmtId="0" xfId="0" applyAlignment="1" applyBorder="1" applyFont="1">
      <alignment horizontal="right" vertical="center"/>
    </xf>
    <xf borderId="3443" fillId="162" fontId="105" numFmtId="0" xfId="0" applyAlignment="1" applyBorder="1" applyFont="1">
      <alignment horizontal="center" vertical="center"/>
    </xf>
    <xf borderId="3443" fillId="162" fontId="133" numFmtId="0" xfId="0" applyAlignment="1" applyBorder="1" applyFont="1">
      <alignment horizontal="center" vertical="center"/>
    </xf>
    <xf borderId="548" fillId="163" fontId="104" numFmtId="0" xfId="0" applyAlignment="1" applyBorder="1" applyFont="1">
      <alignment horizontal="right" readingOrder="0" vertical="center"/>
    </xf>
    <xf borderId="551" fillId="163" fontId="104" numFmtId="0" xfId="0" applyAlignment="1" applyBorder="1" applyFont="1">
      <alignment horizontal="center" readingOrder="0" vertical="center"/>
    </xf>
    <xf borderId="3443" fillId="162" fontId="125" numFmtId="0" xfId="0" applyAlignment="1" applyBorder="1" applyFont="1">
      <alignment horizontal="center" vertical="center"/>
    </xf>
    <xf borderId="3481" fillId="162" fontId="133" numFmtId="0" xfId="0" applyAlignment="1" applyBorder="1" applyFont="1">
      <alignment horizontal="center" vertical="center"/>
    </xf>
    <xf borderId="3482" fillId="164" fontId="125" numFmtId="0" xfId="0" applyAlignment="1" applyBorder="1" applyFill="1" applyFont="1">
      <alignment horizontal="center" vertical="center"/>
    </xf>
    <xf borderId="3483" fillId="164" fontId="140" numFmtId="0" xfId="0" applyAlignment="1" applyBorder="1" applyFont="1">
      <alignment horizontal="center" vertical="center"/>
    </xf>
    <xf borderId="3483" fillId="164" fontId="127" numFmtId="0" xfId="0" applyAlignment="1" applyBorder="1" applyFont="1">
      <alignment horizontal="center" vertical="center"/>
    </xf>
    <xf borderId="3483" fillId="164" fontId="125" numFmtId="0" xfId="0" applyAlignment="1" applyBorder="1" applyFont="1">
      <alignment horizontal="center" vertical="center"/>
    </xf>
    <xf borderId="3484" fillId="164" fontId="125" numFmtId="0" xfId="0" applyAlignment="1" applyBorder="1" applyFont="1">
      <alignment horizontal="center" vertical="center"/>
    </xf>
    <xf borderId="3485" fillId="164" fontId="125" numFmtId="0" xfId="0" applyAlignment="1" applyBorder="1" applyFont="1">
      <alignment horizontal="center" vertical="center"/>
    </xf>
    <xf borderId="189" fillId="165" fontId="76" numFmtId="0" xfId="0" applyAlignment="1" applyBorder="1" applyFill="1" applyFont="1">
      <alignment horizontal="right" vertical="center"/>
    </xf>
    <xf borderId="3486" fillId="164" fontId="127" numFmtId="0" xfId="0" applyAlignment="1" applyBorder="1" applyFont="1">
      <alignment horizontal="center" vertical="center"/>
    </xf>
    <xf borderId="969" fillId="165" fontId="119" numFmtId="0" xfId="0" applyAlignment="1" applyBorder="1" applyFont="1">
      <alignment horizontal="center" vertical="center"/>
    </xf>
    <xf borderId="3486" fillId="164" fontId="110" numFmtId="0" xfId="0" applyAlignment="1" applyBorder="1" applyFont="1">
      <alignment horizontal="center" vertical="center"/>
    </xf>
    <xf borderId="3487" fillId="164" fontId="125" numFmtId="0" xfId="0" applyAlignment="1" applyBorder="1" applyFont="1">
      <alignment horizontal="center" vertical="center"/>
    </xf>
    <xf borderId="3485" fillId="164" fontId="110" numFmtId="0" xfId="0" applyAlignment="1" applyBorder="1" applyFont="1">
      <alignment horizontal="center" vertical="center"/>
    </xf>
    <xf borderId="199" fillId="164" fontId="76" numFmtId="0" xfId="0" applyAlignment="1" applyBorder="1" applyFont="1">
      <alignment horizontal="right" readingOrder="0" vertical="center"/>
    </xf>
    <xf borderId="3486" fillId="164" fontId="110" numFmtId="0" xfId="0" applyAlignment="1" applyBorder="1" applyFont="1">
      <alignment horizontal="center" readingOrder="0" vertical="center"/>
    </xf>
    <xf borderId="3488" fillId="164" fontId="112" numFmtId="0" xfId="0" applyAlignment="1" applyBorder="1" applyFont="1">
      <alignment horizontal="center" vertical="center"/>
    </xf>
    <xf borderId="3489" fillId="0" fontId="4" numFmtId="0" xfId="0" applyBorder="1" applyFont="1"/>
    <xf borderId="3490" fillId="0" fontId="4" numFmtId="0" xfId="0" applyBorder="1" applyFont="1"/>
    <xf borderId="3487" fillId="164" fontId="110" numFmtId="0" xfId="0" applyAlignment="1" applyBorder="1" applyFont="1">
      <alignment horizontal="center" vertical="center"/>
    </xf>
    <xf borderId="3486" fillId="164" fontId="125" numFmtId="0" xfId="0" applyAlignment="1" applyBorder="1" applyFont="1">
      <alignment horizontal="center" readingOrder="0" vertical="center"/>
    </xf>
    <xf borderId="3491" fillId="164" fontId="114" numFmtId="0" xfId="0" applyAlignment="1" applyBorder="1" applyFont="1">
      <alignment horizontal="center" readingOrder="0" vertical="top"/>
    </xf>
    <xf borderId="3492" fillId="0" fontId="4" numFmtId="0" xfId="0" applyBorder="1" applyFont="1"/>
    <xf borderId="3493" fillId="0" fontId="4" numFmtId="0" xfId="0" applyBorder="1" applyFont="1"/>
    <xf borderId="3494" fillId="164" fontId="140" numFmtId="0" xfId="0" applyAlignment="1" applyBorder="1" applyFont="1">
      <alignment horizontal="center" vertical="center"/>
    </xf>
    <xf borderId="3486" fillId="164" fontId="125" numFmtId="0" xfId="0" applyAlignment="1" applyBorder="1" applyFont="1">
      <alignment horizontal="center" vertical="center"/>
    </xf>
    <xf borderId="3495" fillId="164" fontId="110" numFmtId="0" xfId="0" applyAlignment="1" applyBorder="1" applyFont="1">
      <alignment horizontal="center" vertical="center"/>
    </xf>
    <xf borderId="3496" fillId="164" fontId="110" numFmtId="0" xfId="0" applyAlignment="1" applyBorder="1" applyFont="1">
      <alignment horizontal="right" vertical="top"/>
    </xf>
    <xf borderId="3496" fillId="164" fontId="110" numFmtId="0" xfId="0" applyAlignment="1" applyBorder="1" applyFont="1">
      <alignment horizontal="left" vertical="top"/>
    </xf>
    <xf borderId="3497" fillId="164" fontId="110" numFmtId="0" xfId="0" applyAlignment="1" applyBorder="1" applyFont="1">
      <alignment horizontal="center" vertical="top"/>
    </xf>
    <xf borderId="3498" fillId="164" fontId="110" numFmtId="0" xfId="0" applyAlignment="1" applyBorder="1" applyFont="1">
      <alignment horizontal="center" vertical="top"/>
    </xf>
    <xf borderId="3499" fillId="0" fontId="4" numFmtId="0" xfId="0" applyBorder="1" applyFont="1"/>
    <xf borderId="3500" fillId="0" fontId="4" numFmtId="0" xfId="0" applyBorder="1" applyFont="1"/>
    <xf borderId="3501" fillId="164" fontId="110" numFmtId="0" xfId="0" applyAlignment="1" applyBorder="1" applyFont="1">
      <alignment horizontal="center" vertical="center"/>
    </xf>
    <xf borderId="3502" fillId="164" fontId="110" numFmtId="0" xfId="0" applyAlignment="1" applyBorder="1" applyFont="1">
      <alignment horizontal="center" vertical="top"/>
    </xf>
    <xf borderId="3503" fillId="164" fontId="110" numFmtId="0" xfId="0" applyAlignment="1" applyBorder="1" applyFont="1">
      <alignment horizontal="center" vertical="top"/>
    </xf>
    <xf borderId="3504" fillId="164" fontId="110" numFmtId="0" xfId="0" applyAlignment="1" applyBorder="1" applyFont="1">
      <alignment horizontal="center" vertical="center"/>
    </xf>
    <xf borderId="3505" fillId="0" fontId="4" numFmtId="0" xfId="0" applyBorder="1" applyFont="1"/>
    <xf borderId="3506" fillId="0" fontId="4" numFmtId="0" xfId="0" applyBorder="1" applyFont="1"/>
    <xf borderId="3507" fillId="164" fontId="110" numFmtId="0" xfId="0" applyAlignment="1" applyBorder="1" applyFont="1">
      <alignment horizontal="center" vertical="center"/>
    </xf>
    <xf borderId="3508" fillId="0" fontId="4" numFmtId="0" xfId="0" applyBorder="1" applyFont="1"/>
    <xf borderId="3509" fillId="0" fontId="4" numFmtId="0" xfId="0" applyBorder="1" applyFont="1"/>
    <xf borderId="3510" fillId="164" fontId="110" numFmtId="0" xfId="0" applyAlignment="1" applyBorder="1" applyFont="1">
      <alignment horizontal="center" vertical="center"/>
    </xf>
    <xf borderId="3511" fillId="0" fontId="4" numFmtId="0" xfId="0" applyBorder="1" applyFont="1"/>
    <xf borderId="3512" fillId="0" fontId="4" numFmtId="0" xfId="0" applyBorder="1" applyFont="1"/>
    <xf borderId="3513" fillId="164" fontId="110" numFmtId="0" xfId="0" applyAlignment="1" applyBorder="1" applyFont="1">
      <alignment horizontal="center" vertical="center"/>
    </xf>
    <xf borderId="3483" fillId="0" fontId="4" numFmtId="0" xfId="0" applyBorder="1" applyFont="1"/>
    <xf borderId="3514" fillId="0" fontId="4" numFmtId="0" xfId="0" applyBorder="1" applyFont="1"/>
    <xf borderId="3515" fillId="164" fontId="110" numFmtId="0" xfId="0" applyAlignment="1" applyBorder="1" applyFont="1">
      <alignment horizontal="center" vertical="center"/>
    </xf>
    <xf borderId="3486" fillId="164" fontId="140" numFmtId="0" xfId="0" applyAlignment="1" applyBorder="1" applyFont="1">
      <alignment horizontal="center" vertical="center"/>
    </xf>
    <xf borderId="3516" fillId="0" fontId="4" numFmtId="0" xfId="0" applyBorder="1" applyFont="1"/>
    <xf borderId="3517" fillId="164" fontId="110" numFmtId="0" xfId="0" applyAlignment="1" applyBorder="1" applyFont="1">
      <alignment horizontal="center" vertical="center"/>
    </xf>
    <xf borderId="3518" fillId="164" fontId="110" numFmtId="0" xfId="0" applyAlignment="1" applyBorder="1" applyFont="1">
      <alignment horizontal="center" vertical="center"/>
    </xf>
    <xf borderId="3519" fillId="0" fontId="4" numFmtId="0" xfId="0" applyBorder="1" applyFont="1"/>
    <xf borderId="3520" fillId="0" fontId="4" numFmtId="0" xfId="0" applyBorder="1" applyFont="1"/>
    <xf borderId="3521" fillId="164" fontId="110" numFmtId="0" xfId="0" applyAlignment="1" applyBorder="1" applyFont="1">
      <alignment horizontal="center" vertical="center"/>
    </xf>
    <xf borderId="3485" fillId="164" fontId="124" numFmtId="0" xfId="0" applyAlignment="1" applyBorder="1" applyFont="1">
      <alignment horizontal="center" vertical="center"/>
    </xf>
    <xf borderId="3486" fillId="164" fontId="74" numFmtId="0" xfId="0" applyAlignment="1" applyBorder="1" applyFont="1">
      <alignment horizontal="right" vertical="center"/>
    </xf>
    <xf borderId="3486" fillId="164" fontId="131" numFmtId="0" xfId="0" applyAlignment="1" applyBorder="1" applyFont="1">
      <alignment horizontal="center" vertical="center"/>
    </xf>
    <xf borderId="3486" fillId="164" fontId="131" numFmtId="0" xfId="0" applyAlignment="1" applyBorder="1" applyFont="1">
      <alignment horizontal="center" vertical="top"/>
    </xf>
    <xf borderId="3494" fillId="164" fontId="131" numFmtId="0" xfId="0" applyAlignment="1" applyBorder="1" applyFont="1">
      <alignment horizontal="center" vertical="top"/>
    </xf>
    <xf borderId="3487" fillId="164" fontId="124" numFmtId="0" xfId="0" applyAlignment="1" applyBorder="1" applyFont="1">
      <alignment horizontal="center" vertical="center"/>
    </xf>
    <xf borderId="3485" fillId="164" fontId="133" numFmtId="0" xfId="0" applyAlignment="1" applyBorder="1" applyFont="1">
      <alignment horizontal="center" vertical="center"/>
    </xf>
    <xf borderId="3486" fillId="164" fontId="106" numFmtId="0" xfId="0" applyAlignment="1" applyBorder="1" applyFont="1">
      <alignment horizontal="center" vertical="center"/>
    </xf>
    <xf borderId="237" fillId="166" fontId="104" numFmtId="0" xfId="0" applyAlignment="1" applyBorder="1" applyFill="1" applyFont="1">
      <alignment horizontal="center" readingOrder="0" vertical="top"/>
    </xf>
    <xf borderId="240" fillId="166" fontId="104" numFmtId="0" xfId="0" applyAlignment="1" applyBorder="1" applyFont="1">
      <alignment horizontal="center" readingOrder="0" vertical="top"/>
    </xf>
    <xf borderId="3522" fillId="164" fontId="105" numFmtId="0" xfId="0" applyAlignment="1" applyBorder="1" applyFont="1">
      <alignment horizontal="center" vertical="center"/>
    </xf>
    <xf borderId="3522" fillId="164" fontId="106" numFmtId="0" xfId="0" applyAlignment="1" applyBorder="1" applyFont="1">
      <alignment horizontal="center" vertical="center"/>
    </xf>
    <xf borderId="3522" fillId="164" fontId="131" numFmtId="0" xfId="0" applyAlignment="1" applyBorder="1" applyFont="1">
      <alignment horizontal="center" vertical="center"/>
    </xf>
    <xf borderId="3487" fillId="164" fontId="133" numFmtId="0" xfId="0" applyAlignment="1" applyBorder="1" applyFont="1">
      <alignment horizontal="center" vertical="center"/>
    </xf>
    <xf borderId="3523" fillId="166" fontId="104" numFmtId="0" xfId="0" applyAlignment="1" applyBorder="1" applyFont="1">
      <alignment horizontal="center" readingOrder="0" vertical="center"/>
    </xf>
    <xf borderId="3524" fillId="166" fontId="104" numFmtId="0" xfId="0" applyAlignment="1" applyBorder="1" applyFont="1">
      <alignment horizontal="center" readingOrder="0" vertical="center"/>
    </xf>
    <xf borderId="3525" fillId="166" fontId="104" numFmtId="0" xfId="0" applyAlignment="1" applyBorder="1" applyFont="1">
      <alignment horizontal="left" readingOrder="0" vertical="center"/>
    </xf>
    <xf borderId="3526" fillId="166" fontId="104" numFmtId="0" xfId="0" applyAlignment="1" applyBorder="1" applyFont="1">
      <alignment horizontal="center" readingOrder="0" vertical="center"/>
    </xf>
    <xf borderId="3486" fillId="164" fontId="105" numFmtId="0" xfId="0" applyAlignment="1" applyBorder="1" applyFont="1">
      <alignment horizontal="center" vertical="center"/>
    </xf>
    <xf borderId="3486" fillId="164" fontId="133" numFmtId="0" xfId="0" applyAlignment="1" applyBorder="1" applyFont="1">
      <alignment horizontal="center" vertical="center"/>
    </xf>
    <xf borderId="3527" fillId="166" fontId="104" numFmtId="0" xfId="0" applyAlignment="1" applyBorder="1" applyFont="1">
      <alignment horizontal="center" readingOrder="0" vertical="center"/>
    </xf>
    <xf borderId="3528" fillId="166" fontId="104" numFmtId="0" xfId="0" applyAlignment="1" applyBorder="1" applyFont="1">
      <alignment horizontal="center" readingOrder="0" vertical="center"/>
    </xf>
    <xf borderId="3529" fillId="166" fontId="104" numFmtId="0" xfId="0" applyAlignment="1" applyBorder="1" applyFont="1">
      <alignment horizontal="left" readingOrder="0" vertical="center"/>
    </xf>
    <xf borderId="3530" fillId="166" fontId="104" numFmtId="0" xfId="0" applyAlignment="1" applyBorder="1" applyFont="1">
      <alignment horizontal="center" readingOrder="0" vertical="center"/>
    </xf>
    <xf borderId="3531" fillId="166" fontId="104" numFmtId="0" xfId="0" applyAlignment="1" applyBorder="1" applyFont="1">
      <alignment horizontal="center" readingOrder="0" vertical="center"/>
    </xf>
    <xf borderId="3532" fillId="166" fontId="104" numFmtId="0" xfId="0" applyAlignment="1" applyBorder="1" applyFont="1">
      <alignment horizontal="center" readingOrder="0" vertical="center"/>
    </xf>
    <xf borderId="3533" fillId="166" fontId="104" numFmtId="0" xfId="0" applyAlignment="1" applyBorder="1" applyFont="1">
      <alignment horizontal="left" readingOrder="0" vertical="center"/>
    </xf>
    <xf borderId="3534" fillId="166" fontId="104" numFmtId="0" xfId="0" applyAlignment="1" applyBorder="1" applyFont="1">
      <alignment horizontal="center" readingOrder="0" vertical="center"/>
    </xf>
    <xf borderId="253" fillId="166" fontId="104" numFmtId="0" xfId="0" applyAlignment="1" applyBorder="1" applyFont="1">
      <alignment horizontal="right" readingOrder="0" vertical="center"/>
    </xf>
    <xf borderId="256" fillId="166" fontId="104" numFmtId="0" xfId="0" applyAlignment="1" applyBorder="1" applyFont="1">
      <alignment horizontal="center" readingOrder="0" vertical="center"/>
    </xf>
    <xf borderId="3522" fillId="164" fontId="133" numFmtId="0" xfId="0" applyAlignment="1" applyBorder="1" applyFont="1">
      <alignment horizontal="center" vertical="center"/>
    </xf>
    <xf borderId="3535" fillId="164" fontId="133" numFmtId="0" xfId="0" applyAlignment="1" applyBorder="1" applyFont="1">
      <alignment horizontal="center" vertical="center"/>
    </xf>
    <xf borderId="3536" fillId="164" fontId="74" numFmtId="0" xfId="0" applyAlignment="1" applyBorder="1" applyFont="1">
      <alignment horizontal="right" vertical="center"/>
    </xf>
    <xf borderId="3536" fillId="164" fontId="106" numFmtId="0" xfId="0" applyAlignment="1" applyBorder="1" applyFont="1">
      <alignment horizontal="center" vertical="center"/>
    </xf>
    <xf borderId="3536" fillId="164" fontId="105" numFmtId="0" xfId="0" applyAlignment="1" applyBorder="1" applyFont="1">
      <alignment horizontal="center" vertical="center"/>
    </xf>
    <xf borderId="3537" fillId="164" fontId="74" numFmtId="0" xfId="0" applyAlignment="1" applyBorder="1" applyFont="1">
      <alignment horizontal="right" vertical="center"/>
    </xf>
    <xf borderId="3536" fillId="164" fontId="133" numFmtId="0" xfId="0" applyAlignment="1" applyBorder="1" applyFont="1">
      <alignment horizontal="center" vertical="center"/>
    </xf>
    <xf borderId="3536" fillId="164" fontId="125" numFmtId="0" xfId="0" applyAlignment="1" applyBorder="1" applyFont="1">
      <alignment horizontal="center" vertical="center"/>
    </xf>
    <xf borderId="3537" fillId="164" fontId="125" numFmtId="0" xfId="0" applyAlignment="1" applyBorder="1" applyFont="1">
      <alignment horizontal="center" vertical="center"/>
    </xf>
    <xf borderId="3538" fillId="164" fontId="133" numFmtId="0" xfId="0" applyAlignment="1" applyBorder="1" applyFont="1">
      <alignment horizontal="center" vertical="center"/>
    </xf>
    <xf borderId="2145" fillId="121" fontId="125" numFmtId="0" xfId="0" applyAlignment="1" applyBorder="1" applyFont="1">
      <alignment horizontal="center" vertical="center"/>
    </xf>
    <xf borderId="2985" fillId="148" fontId="110" numFmtId="0" xfId="0" applyAlignment="1" applyBorder="1" applyFont="1">
      <alignment horizontal="center" vertical="center"/>
    </xf>
    <xf borderId="2985" fillId="148" fontId="110" numFmtId="0" xfId="0" applyAlignment="1" applyBorder="1" applyFont="1">
      <alignment horizontal="center" vertical="center"/>
    </xf>
    <xf borderId="2985" fillId="148" fontId="110" numFmtId="0" xfId="0" applyAlignment="1" applyBorder="1" applyFont="1">
      <alignment horizontal="center" readingOrder="0" vertical="center"/>
    </xf>
    <xf borderId="189" fillId="167" fontId="76" numFmtId="0" xfId="0" applyAlignment="1" applyBorder="1" applyFill="1" applyFont="1">
      <alignment horizontal="center" vertical="center"/>
    </xf>
    <xf borderId="969" fillId="167" fontId="119" numFmtId="0" xfId="0" applyAlignment="1" applyBorder="1" applyFont="1">
      <alignment horizontal="center" vertical="center"/>
    </xf>
    <xf borderId="2977" fillId="148" fontId="76" numFmtId="0" xfId="0" applyAlignment="1" applyBorder="1" applyFont="1">
      <alignment horizontal="right"/>
    </xf>
    <xf borderId="3539" fillId="148" fontId="131" numFmtId="0" xfId="0" applyAlignment="1" applyBorder="1" applyFont="1">
      <alignment horizontal="center" vertical="top"/>
    </xf>
    <xf borderId="237" fillId="167" fontId="104" numFmtId="0" xfId="0" applyAlignment="1" applyBorder="1" applyFont="1">
      <alignment horizontal="center" readingOrder="0" vertical="top"/>
    </xf>
    <xf borderId="240" fillId="167" fontId="104" numFmtId="0" xfId="0" applyAlignment="1" applyBorder="1" applyFont="1">
      <alignment horizontal="center" readingOrder="0" vertical="top"/>
    </xf>
    <xf borderId="3540" fillId="167" fontId="104" numFmtId="0" xfId="0" applyAlignment="1" applyBorder="1" applyFont="1">
      <alignment horizontal="center" readingOrder="0" vertical="center"/>
    </xf>
    <xf borderId="3541" fillId="167" fontId="104" numFmtId="0" xfId="0" applyAlignment="1" applyBorder="1" applyFont="1">
      <alignment horizontal="center" readingOrder="0" vertical="center"/>
    </xf>
    <xf borderId="3542" fillId="167" fontId="104" numFmtId="0" xfId="0" applyAlignment="1" applyBorder="1" applyFont="1">
      <alignment horizontal="left" readingOrder="0" vertical="center"/>
    </xf>
    <xf borderId="3543" fillId="167" fontId="104" numFmtId="0" xfId="0" applyAlignment="1" applyBorder="1" applyFont="1">
      <alignment horizontal="center" readingOrder="0" vertical="center"/>
    </xf>
    <xf borderId="3544" fillId="167" fontId="104" numFmtId="0" xfId="0" applyAlignment="1" applyBorder="1" applyFont="1">
      <alignment horizontal="center" readingOrder="0" vertical="center"/>
    </xf>
    <xf borderId="3545" fillId="167" fontId="104" numFmtId="0" xfId="0" applyAlignment="1" applyBorder="1" applyFont="1">
      <alignment horizontal="center" readingOrder="0" vertical="center"/>
    </xf>
    <xf borderId="3546" fillId="167" fontId="104" numFmtId="0" xfId="0" applyAlignment="1" applyBorder="1" applyFont="1">
      <alignment horizontal="left" readingOrder="0" vertical="center"/>
    </xf>
    <xf borderId="3547" fillId="167" fontId="104" numFmtId="0" xfId="0" applyAlignment="1" applyBorder="1" applyFont="1">
      <alignment horizontal="center" readingOrder="0" vertical="center"/>
    </xf>
    <xf borderId="3548" fillId="167" fontId="104" numFmtId="0" xfId="0" applyAlignment="1" applyBorder="1" applyFont="1">
      <alignment horizontal="center" readingOrder="0" vertical="center"/>
    </xf>
    <xf borderId="3549" fillId="167" fontId="104" numFmtId="0" xfId="0" applyAlignment="1" applyBorder="1" applyFont="1">
      <alignment horizontal="center" readingOrder="0" vertical="center"/>
    </xf>
    <xf borderId="3550" fillId="167" fontId="104" numFmtId="0" xfId="0" applyAlignment="1" applyBorder="1" applyFont="1">
      <alignment horizontal="left" readingOrder="0" vertical="center"/>
    </xf>
    <xf borderId="3551" fillId="167" fontId="104" numFmtId="0" xfId="0" applyAlignment="1" applyBorder="1" applyFont="1">
      <alignment horizontal="center" readingOrder="0" vertical="center"/>
    </xf>
    <xf borderId="253" fillId="167" fontId="104" numFmtId="0" xfId="0" applyAlignment="1" applyBorder="1" applyFont="1">
      <alignment horizontal="right" readingOrder="0" vertical="center"/>
    </xf>
    <xf borderId="256" fillId="167" fontId="104" numFmtId="0" xfId="0" applyAlignment="1" applyBorder="1" applyFont="1">
      <alignment horizontal="center" readingOrder="0" vertical="center"/>
    </xf>
    <xf borderId="3019" fillId="148" fontId="133" numFmtId="0" xfId="0" applyAlignment="1" applyBorder="1" applyFont="1">
      <alignment horizontal="center" vertical="center"/>
    </xf>
    <xf borderId="3020" fillId="148" fontId="110" numFmtId="0" xfId="0" applyAlignment="1" applyBorder="1" applyFont="1">
      <alignment horizontal="center" vertical="center"/>
    </xf>
    <xf borderId="3552" fillId="148" fontId="133" numFmtId="0" xfId="0" applyAlignment="1" applyBorder="1" applyFont="1">
      <alignment horizontal="center" vertical="center"/>
    </xf>
    <xf borderId="2118" fillId="121" fontId="114" numFmtId="0" xfId="0" applyAlignment="1" applyBorder="1" applyFont="1">
      <alignment horizontal="center" readingOrder="0" vertical="center"/>
    </xf>
    <xf borderId="3553" fillId="162" fontId="180" numFmtId="0" xfId="0" applyAlignment="1" applyBorder="1" applyFont="1">
      <alignment horizontal="left" readingOrder="0" vertical="center"/>
    </xf>
    <xf borderId="3460" fillId="0" fontId="4" numFmtId="0" xfId="0" applyBorder="1" applyFont="1"/>
    <xf borderId="3424" fillId="162" fontId="131" numFmtId="0" xfId="0" applyAlignment="1" applyBorder="1" applyFont="1">
      <alignment horizontal="center" vertical="top"/>
    </xf>
    <xf borderId="3428" fillId="162" fontId="133" numFmtId="0" xfId="0" applyAlignment="1" applyBorder="1" applyFont="1">
      <alignment horizontal="center" vertical="center"/>
    </xf>
    <xf borderId="3553" fillId="162" fontId="133" numFmtId="0" xfId="0" applyAlignment="1" applyBorder="1" applyFont="1">
      <alignment horizontal="center" vertical="center"/>
    </xf>
    <xf borderId="3554" fillId="162" fontId="125" numFmtId="0" xfId="0" applyAlignment="1" applyBorder="1" applyFont="1">
      <alignment horizontal="center" vertical="center"/>
    </xf>
    <xf borderId="3555" fillId="0" fontId="4" numFmtId="0" xfId="0" applyBorder="1" applyFont="1"/>
    <xf borderId="189" fillId="168" fontId="76" numFmtId="0" xfId="0" applyAlignment="1" applyBorder="1" applyFill="1" applyFont="1">
      <alignment horizontal="center" vertical="center"/>
    </xf>
    <xf borderId="969" fillId="168" fontId="119" numFmtId="0" xfId="0" applyAlignment="1" applyBorder="1" applyFont="1">
      <alignment horizontal="center" vertical="center"/>
    </xf>
    <xf borderId="237" fillId="168" fontId="104" numFmtId="0" xfId="0" applyAlignment="1" applyBorder="1" applyFont="1">
      <alignment horizontal="center" readingOrder="0" vertical="top"/>
    </xf>
    <xf borderId="240" fillId="168" fontId="104" numFmtId="0" xfId="0" applyAlignment="1" applyBorder="1" applyFont="1">
      <alignment horizontal="center" readingOrder="0" vertical="top"/>
    </xf>
    <xf borderId="3556" fillId="168" fontId="104" numFmtId="0" xfId="0" applyAlignment="1" applyBorder="1" applyFont="1">
      <alignment horizontal="center" readingOrder="0" vertical="center"/>
    </xf>
    <xf borderId="3557" fillId="168" fontId="104" numFmtId="0" xfId="0" applyAlignment="1" applyBorder="1" applyFont="1">
      <alignment horizontal="center" readingOrder="0" vertical="center"/>
    </xf>
    <xf borderId="3558" fillId="168" fontId="104" numFmtId="0" xfId="0" applyAlignment="1" applyBorder="1" applyFont="1">
      <alignment horizontal="left" readingOrder="0" vertical="center"/>
    </xf>
    <xf borderId="3559" fillId="168" fontId="104" numFmtId="0" xfId="0" applyAlignment="1" applyBorder="1" applyFont="1">
      <alignment horizontal="center" readingOrder="0" vertical="center"/>
    </xf>
    <xf borderId="3560" fillId="168" fontId="104" numFmtId="0" xfId="0" applyAlignment="1" applyBorder="1" applyFont="1">
      <alignment horizontal="center" readingOrder="0" vertical="center"/>
    </xf>
    <xf borderId="3561" fillId="168" fontId="104" numFmtId="0" xfId="0" applyAlignment="1" applyBorder="1" applyFont="1">
      <alignment horizontal="center" readingOrder="0" vertical="center"/>
    </xf>
    <xf borderId="3562" fillId="168" fontId="104" numFmtId="0" xfId="0" applyAlignment="1" applyBorder="1" applyFont="1">
      <alignment horizontal="left" readingOrder="0" vertical="center"/>
    </xf>
    <xf borderId="3563" fillId="168" fontId="104" numFmtId="0" xfId="0" applyAlignment="1" applyBorder="1" applyFont="1">
      <alignment horizontal="center" readingOrder="0" vertical="center"/>
    </xf>
    <xf borderId="3564" fillId="168" fontId="104" numFmtId="0" xfId="0" applyAlignment="1" applyBorder="1" applyFont="1">
      <alignment horizontal="center" readingOrder="0" vertical="center"/>
    </xf>
    <xf borderId="3565" fillId="168" fontId="104" numFmtId="0" xfId="0" applyAlignment="1" applyBorder="1" applyFont="1">
      <alignment horizontal="center" readingOrder="0" vertical="center"/>
    </xf>
    <xf borderId="3566" fillId="168" fontId="104" numFmtId="0" xfId="0" applyAlignment="1" applyBorder="1" applyFont="1">
      <alignment horizontal="left" readingOrder="0" vertical="center"/>
    </xf>
    <xf borderId="3567" fillId="168" fontId="104" numFmtId="0" xfId="0" applyAlignment="1" applyBorder="1" applyFont="1">
      <alignment horizontal="center" readingOrder="0" vertical="center"/>
    </xf>
    <xf borderId="253" fillId="168" fontId="104" numFmtId="0" xfId="0" applyAlignment="1" applyBorder="1" applyFont="1">
      <alignment horizontal="right" readingOrder="0" vertical="center"/>
    </xf>
    <xf borderId="256" fillId="168" fontId="104" numFmtId="0" xfId="0" applyAlignment="1" applyBorder="1" applyFont="1">
      <alignment horizontal="center" readingOrder="0" vertical="center"/>
    </xf>
    <xf borderId="2983" fillId="148" fontId="74" numFmtId="0" xfId="0" applyAlignment="1" applyBorder="1" applyFont="1">
      <alignment horizontal="right" vertical="center"/>
    </xf>
    <xf borderId="3568" fillId="62" fontId="104" numFmtId="0" xfId="0" applyAlignment="1" applyBorder="1" applyFont="1">
      <alignment horizontal="right" readingOrder="0" vertical="center"/>
    </xf>
    <xf borderId="3569" fillId="0" fontId="4" numFmtId="0" xfId="0" applyBorder="1" applyFont="1"/>
    <xf borderId="3570" fillId="0" fontId="4" numFmtId="0" xfId="0" applyBorder="1" applyFont="1"/>
    <xf borderId="3571" fillId="62" fontId="104" numFmtId="0" xfId="0" applyAlignment="1" applyBorder="1" applyFont="1">
      <alignment horizontal="center" readingOrder="0" vertical="center"/>
    </xf>
    <xf borderId="2982" fillId="148" fontId="119" numFmtId="0" xfId="0" applyAlignment="1" applyBorder="1" applyFont="1">
      <alignment horizontal="center" readingOrder="0" vertical="center"/>
    </xf>
    <xf borderId="3450" fillId="162" fontId="119" numFmtId="0" xfId="0" applyAlignment="1" applyBorder="1" applyFont="1">
      <alignment horizontal="center" readingOrder="0" vertical="center"/>
    </xf>
    <xf borderId="2430" fillId="133" fontId="125" numFmtId="0" xfId="0" applyAlignment="1" applyBorder="1" applyFont="1">
      <alignment horizontal="center" vertical="center"/>
    </xf>
    <xf borderId="2431" fillId="133" fontId="125" numFmtId="0" xfId="0" applyAlignment="1" applyBorder="1" applyFont="1">
      <alignment horizontal="center" vertical="center"/>
    </xf>
    <xf borderId="3572" fillId="133" fontId="110" numFmtId="0" xfId="0" applyAlignment="1" applyBorder="1" applyFont="1">
      <alignment horizontal="center" readingOrder="0" vertical="center"/>
    </xf>
    <xf borderId="3573" fillId="0" fontId="4" numFmtId="0" xfId="0" applyBorder="1" applyFont="1"/>
    <xf borderId="3572" fillId="133" fontId="129" numFmtId="0" xfId="0" applyAlignment="1" applyBorder="1" applyFont="1">
      <alignment horizontal="center" readingOrder="0" vertical="center"/>
    </xf>
    <xf borderId="3574" fillId="0" fontId="4" numFmtId="0" xfId="0" applyBorder="1" applyFont="1"/>
    <xf borderId="3575" fillId="0" fontId="4" numFmtId="0" xfId="0" applyBorder="1" applyFont="1"/>
    <xf borderId="865" fillId="88" fontId="110" numFmtId="0" xfId="0" applyAlignment="1" applyBorder="1" applyFont="1">
      <alignment horizontal="center" vertical="center"/>
    </xf>
    <xf borderId="3576" fillId="88" fontId="110" numFmtId="0" xfId="0" applyAlignment="1" applyBorder="1" applyFont="1">
      <alignment horizontal="center" vertical="center"/>
    </xf>
    <xf borderId="890" fillId="88" fontId="110" numFmtId="0" xfId="0" applyAlignment="1" applyBorder="1" applyFont="1">
      <alignment horizontal="center" vertical="center"/>
    </xf>
    <xf borderId="835" fillId="88" fontId="127" numFmtId="0" xfId="0" applyAlignment="1" applyBorder="1" applyFont="1">
      <alignment horizontal="center" vertical="center"/>
    </xf>
    <xf borderId="827" fillId="88" fontId="127" numFmtId="0" xfId="0" applyAlignment="1" applyBorder="1" applyFont="1">
      <alignment horizontal="center" readingOrder="0" vertical="center"/>
    </xf>
    <xf borderId="890" fillId="88" fontId="127" numFmtId="0" xfId="0" applyAlignment="1" applyBorder="1" applyFont="1">
      <alignment horizontal="center" vertical="center"/>
    </xf>
    <xf borderId="823" fillId="88" fontId="115" numFmtId="0" xfId="0" applyAlignment="1" applyBorder="1" applyFont="1">
      <alignment horizontal="center" vertical="top"/>
    </xf>
    <xf borderId="830" fillId="88" fontId="94" numFmtId="0" xfId="0" applyAlignment="1" applyBorder="1" applyFont="1">
      <alignment horizontal="right" readingOrder="0" vertical="center"/>
    </xf>
    <xf borderId="844" fillId="89" fontId="109" numFmtId="0" xfId="0" applyAlignment="1" applyBorder="1" applyFont="1">
      <alignment horizontal="center" vertical="center"/>
    </xf>
    <xf borderId="844" fillId="89" fontId="132" numFmtId="0" xfId="0" applyAlignment="1" applyBorder="1" applyFont="1">
      <alignment horizontal="center" vertical="center"/>
    </xf>
    <xf borderId="543" fillId="22" fontId="104" numFmtId="0" xfId="0" applyAlignment="1" applyBorder="1" applyFont="1">
      <alignment horizontal="right" readingOrder="0" vertical="center"/>
    </xf>
    <xf borderId="546" fillId="22" fontId="104" numFmtId="0" xfId="0" applyAlignment="1" applyBorder="1" applyFont="1">
      <alignment horizontal="center" readingOrder="0" vertical="center"/>
    </xf>
    <xf borderId="3577" fillId="88" fontId="133" numFmtId="0" xfId="0" applyAlignment="1" applyBorder="1" applyFont="1">
      <alignment horizontal="center" vertical="center"/>
    </xf>
    <xf borderId="840" fillId="88" fontId="92" numFmtId="0" xfId="0" applyAlignment="1" applyBorder="1" applyFont="1">
      <alignment horizontal="right" vertical="center"/>
    </xf>
    <xf borderId="3578" fillId="88" fontId="106" numFmtId="0" xfId="0" applyAlignment="1" applyBorder="1" applyFont="1">
      <alignment horizontal="center" vertical="center"/>
    </xf>
    <xf borderId="548" fillId="22" fontId="104" numFmtId="0" xfId="0" applyAlignment="1" applyBorder="1" applyFont="1">
      <alignment horizontal="right" readingOrder="0" vertical="center"/>
    </xf>
    <xf borderId="551" fillId="22" fontId="104" numFmtId="0" xfId="0" applyAlignment="1" applyBorder="1" applyFont="1">
      <alignment horizontal="center" readingOrder="0" vertical="center"/>
    </xf>
    <xf borderId="865" fillId="88" fontId="106" numFmtId="0" xfId="0" applyAlignment="1" applyBorder="1" applyFont="1">
      <alignment horizontal="center" vertical="center"/>
    </xf>
    <xf borderId="846" fillId="88" fontId="92" numFmtId="0" xfId="0" applyAlignment="1" applyBorder="1" applyFont="1">
      <alignment horizontal="right" vertical="center"/>
    </xf>
    <xf borderId="865" fillId="88" fontId="105" numFmtId="0" xfId="0" applyAlignment="1" applyBorder="1" applyFont="1">
      <alignment horizontal="center" vertical="center"/>
    </xf>
    <xf borderId="865" fillId="88" fontId="133" numFmtId="0" xfId="0" applyAlignment="1" applyBorder="1" applyFont="1">
      <alignment horizontal="center" vertical="center"/>
    </xf>
    <xf borderId="3579" fillId="169" fontId="125" numFmtId="0" xfId="0" applyAlignment="1" applyBorder="1" applyFill="1" applyFont="1">
      <alignment horizontal="center" vertical="center"/>
    </xf>
    <xf borderId="3580" fillId="169" fontId="140" numFmtId="0" xfId="0" applyAlignment="1" applyBorder="1" applyFont="1">
      <alignment horizontal="center" vertical="center"/>
    </xf>
    <xf borderId="3580" fillId="169" fontId="127" numFmtId="0" xfId="0" applyAlignment="1" applyBorder="1" applyFont="1">
      <alignment horizontal="center" vertical="center"/>
    </xf>
    <xf borderId="3580" fillId="169" fontId="125" numFmtId="0" xfId="0" applyAlignment="1" applyBorder="1" applyFont="1">
      <alignment horizontal="center" vertical="center"/>
    </xf>
    <xf borderId="3581" fillId="169" fontId="125" numFmtId="0" xfId="0" applyAlignment="1" applyBorder="1" applyFont="1">
      <alignment horizontal="center" vertical="center"/>
    </xf>
    <xf borderId="3582" fillId="169" fontId="125" numFmtId="0" xfId="0" applyAlignment="1" applyBorder="1" applyFont="1">
      <alignment horizontal="center" vertical="center"/>
    </xf>
    <xf borderId="189" fillId="170" fontId="94" numFmtId="0" xfId="0" applyAlignment="1" applyBorder="1" applyFill="1" applyFont="1">
      <alignment horizontal="right" vertical="center"/>
    </xf>
    <xf borderId="3583" fillId="169" fontId="127" numFmtId="0" xfId="0" applyAlignment="1" applyBorder="1" applyFont="1">
      <alignment horizontal="center" vertical="center"/>
    </xf>
    <xf borderId="969" fillId="170" fontId="119" numFmtId="0" xfId="0" applyAlignment="1" applyBorder="1" applyFont="1">
      <alignment horizontal="center" vertical="center"/>
    </xf>
    <xf borderId="3583" fillId="169" fontId="110" numFmtId="0" xfId="0" applyAlignment="1" applyBorder="1" applyFont="1">
      <alignment horizontal="center" vertical="center"/>
    </xf>
    <xf borderId="3583" fillId="169" fontId="125" numFmtId="0" xfId="0" applyAlignment="1" applyBorder="1" applyFont="1">
      <alignment horizontal="center" vertical="center"/>
    </xf>
    <xf borderId="3584" fillId="169" fontId="125" numFmtId="0" xfId="0" applyAlignment="1" applyBorder="1" applyFont="1">
      <alignment horizontal="center" vertical="center"/>
    </xf>
    <xf borderId="3585" fillId="0" fontId="4" numFmtId="0" xfId="0" applyBorder="1" applyFont="1"/>
    <xf borderId="3586" fillId="0" fontId="4" numFmtId="0" xfId="0" applyBorder="1" applyFont="1"/>
    <xf borderId="3587" fillId="169" fontId="125" numFmtId="0" xfId="0" applyAlignment="1" applyBorder="1" applyFont="1">
      <alignment horizontal="center" vertical="center"/>
    </xf>
    <xf borderId="3582" fillId="169" fontId="110" numFmtId="0" xfId="0" applyAlignment="1" applyBorder="1" applyFont="1">
      <alignment horizontal="center" vertical="center"/>
    </xf>
    <xf borderId="762" fillId="169" fontId="94" numFmtId="0" xfId="0" applyAlignment="1" applyBorder="1" applyFont="1">
      <alignment horizontal="right" readingOrder="0" vertical="center"/>
    </xf>
    <xf borderId="3583" fillId="169" fontId="110" numFmtId="0" xfId="0" applyAlignment="1" applyBorder="1" applyFont="1">
      <alignment horizontal="center" readingOrder="0" vertical="center"/>
    </xf>
    <xf borderId="3588" fillId="169" fontId="112" numFmtId="0" xfId="0" applyAlignment="1" applyBorder="1" applyFont="1">
      <alignment horizontal="center" vertical="center"/>
    </xf>
    <xf borderId="3589" fillId="0" fontId="4" numFmtId="0" xfId="0" applyBorder="1" applyFont="1"/>
    <xf borderId="3590" fillId="0" fontId="4" numFmtId="0" xfId="0" applyBorder="1" applyFont="1"/>
    <xf borderId="3584" fillId="169" fontId="110" numFmtId="0" xfId="0" applyAlignment="1" applyBorder="1" applyFont="1">
      <alignment horizontal="center" vertical="center"/>
    </xf>
    <xf borderId="3587" fillId="169" fontId="110" numFmtId="0" xfId="0" applyAlignment="1" applyBorder="1" applyFont="1">
      <alignment horizontal="center" vertical="center"/>
    </xf>
    <xf borderId="3583" fillId="169" fontId="125" numFmtId="0" xfId="0" applyAlignment="1" applyBorder="1" applyFont="1">
      <alignment horizontal="center" readingOrder="0" vertical="center"/>
    </xf>
    <xf borderId="3591" fillId="169" fontId="114" numFmtId="0" xfId="0" applyAlignment="1" applyBorder="1" applyFont="1">
      <alignment horizontal="center" readingOrder="0" vertical="top"/>
    </xf>
    <xf borderId="3592" fillId="0" fontId="4" numFmtId="0" xfId="0" applyBorder="1" applyFont="1"/>
    <xf borderId="3593" fillId="0" fontId="4" numFmtId="0" xfId="0" applyBorder="1" applyFont="1"/>
    <xf borderId="3594" fillId="169" fontId="110" numFmtId="0" xfId="0" applyAlignment="1" applyBorder="1" applyFont="1">
      <alignment horizontal="center" vertical="center"/>
    </xf>
    <xf borderId="3595" fillId="169" fontId="110" numFmtId="0" xfId="0" applyAlignment="1" applyBorder="1" applyFont="1">
      <alignment horizontal="right" vertical="top"/>
    </xf>
    <xf borderId="3595" fillId="169" fontId="110" numFmtId="0" xfId="0" applyAlignment="1" applyBorder="1" applyFont="1">
      <alignment horizontal="left" vertical="top"/>
    </xf>
    <xf borderId="3596" fillId="169" fontId="110" numFmtId="0" xfId="0" applyAlignment="1" applyBorder="1" applyFont="1">
      <alignment horizontal="center" vertical="top"/>
    </xf>
    <xf borderId="3597" fillId="169" fontId="110" numFmtId="0" xfId="0" applyAlignment="1" applyBorder="1" applyFont="1">
      <alignment horizontal="center" vertical="top"/>
    </xf>
    <xf borderId="3598" fillId="0" fontId="4" numFmtId="0" xfId="0" applyBorder="1" applyFont="1"/>
    <xf borderId="3583" fillId="169" fontId="94" numFmtId="0" xfId="0" applyAlignment="1" applyBorder="1" applyFont="1">
      <alignment horizontal="right" vertical="center"/>
    </xf>
    <xf borderId="3599" fillId="169" fontId="110" numFmtId="0" xfId="0" applyAlignment="1" applyBorder="1" applyFont="1">
      <alignment horizontal="center" vertical="center"/>
    </xf>
    <xf borderId="3600" fillId="169" fontId="110" numFmtId="0" xfId="0" applyAlignment="1" applyBorder="1" applyFont="1">
      <alignment horizontal="center" vertical="top"/>
    </xf>
    <xf borderId="3601" fillId="169" fontId="110" numFmtId="0" xfId="0" applyAlignment="1" applyBorder="1" applyFont="1">
      <alignment horizontal="center" vertical="top"/>
    </xf>
    <xf borderId="3602" fillId="169" fontId="110" numFmtId="0" xfId="0" applyAlignment="1" applyBorder="1" applyFont="1">
      <alignment horizontal="center" vertical="center"/>
    </xf>
    <xf borderId="3603" fillId="0" fontId="4" numFmtId="0" xfId="0" applyBorder="1" applyFont="1"/>
    <xf borderId="3604" fillId="0" fontId="4" numFmtId="0" xfId="0" applyBorder="1" applyFont="1"/>
    <xf borderId="3605" fillId="169" fontId="110" numFmtId="0" xfId="0" applyAlignment="1" applyBorder="1" applyFont="1">
      <alignment horizontal="center" vertical="center"/>
    </xf>
    <xf borderId="3606" fillId="0" fontId="4" numFmtId="0" xfId="0" applyBorder="1" applyFont="1"/>
    <xf borderId="3605" fillId="169" fontId="119" numFmtId="0" xfId="0" applyAlignment="1" applyBorder="1" applyFont="1">
      <alignment horizontal="center" vertical="center"/>
    </xf>
    <xf borderId="3607" fillId="169" fontId="110" numFmtId="0" xfId="0" applyAlignment="1" applyBorder="1" applyFont="1">
      <alignment horizontal="center" vertical="center"/>
    </xf>
    <xf borderId="3608" fillId="0" fontId="4" numFmtId="0" xfId="0" applyBorder="1" applyFont="1"/>
    <xf borderId="3609" fillId="0" fontId="4" numFmtId="0" xfId="0" applyBorder="1" applyFont="1"/>
    <xf borderId="3610" fillId="169" fontId="110" numFmtId="0" xfId="0" applyAlignment="1" applyBorder="1" applyFont="1">
      <alignment horizontal="center" vertical="center"/>
    </xf>
    <xf borderId="3611" fillId="0" fontId="4" numFmtId="0" xfId="0" applyBorder="1" applyFont="1"/>
    <xf borderId="3612" fillId="169" fontId="110" numFmtId="0" xfId="0" applyAlignment="1" applyBorder="1" applyFont="1">
      <alignment horizontal="center" vertical="center"/>
    </xf>
    <xf borderId="3583" fillId="169" fontId="140" numFmtId="0" xfId="0" applyAlignment="1" applyBorder="1" applyFont="1">
      <alignment horizontal="center" vertical="center"/>
    </xf>
    <xf borderId="3605" fillId="169" fontId="110" numFmtId="0" xfId="0" applyAlignment="1" applyBorder="1" applyFont="1">
      <alignment horizontal="center" readingOrder="0" vertical="center"/>
    </xf>
    <xf borderId="3613" fillId="169" fontId="110" numFmtId="0" xfId="0" applyAlignment="1" applyBorder="1" applyFont="1">
      <alignment horizontal="center" vertical="center"/>
    </xf>
    <xf borderId="3614" fillId="169" fontId="110" numFmtId="0" xfId="0" applyAlignment="1" applyBorder="1" applyFont="1">
      <alignment horizontal="center" vertical="center"/>
    </xf>
    <xf borderId="3615" fillId="0" fontId="4" numFmtId="0" xfId="0" applyBorder="1" applyFont="1"/>
    <xf borderId="3616" fillId="0" fontId="4" numFmtId="0" xfId="0" applyBorder="1" applyFont="1"/>
    <xf borderId="3617" fillId="169" fontId="110" numFmtId="0" xfId="0" applyAlignment="1" applyBorder="1" applyFont="1">
      <alignment horizontal="center" vertical="center"/>
    </xf>
    <xf borderId="3582" fillId="169" fontId="124" numFmtId="0" xfId="0" applyAlignment="1" applyBorder="1" applyFont="1">
      <alignment horizontal="center" vertical="center"/>
    </xf>
    <xf borderId="3583" fillId="169" fontId="92" numFmtId="0" xfId="0" applyAlignment="1" applyBorder="1" applyFont="1">
      <alignment horizontal="right" vertical="center"/>
    </xf>
    <xf borderId="3583" fillId="169" fontId="131" numFmtId="0" xfId="0" applyAlignment="1" applyBorder="1" applyFont="1">
      <alignment horizontal="center" vertical="center"/>
    </xf>
    <xf borderId="3618" fillId="169" fontId="131" numFmtId="0" xfId="0" applyAlignment="1" applyBorder="1" applyFont="1">
      <alignment horizontal="center" vertical="center"/>
    </xf>
    <xf borderId="3583" fillId="169" fontId="109" numFmtId="0" xfId="0" applyAlignment="1" applyBorder="1" applyFont="1">
      <alignment horizontal="center" vertical="center"/>
    </xf>
    <xf borderId="3583" fillId="169" fontId="132" numFmtId="0" xfId="0" applyAlignment="1" applyBorder="1" applyFont="1">
      <alignment horizontal="center" vertical="center"/>
    </xf>
    <xf borderId="3587" fillId="169" fontId="124" numFmtId="0" xfId="0" applyAlignment="1" applyBorder="1" applyFont="1">
      <alignment horizontal="center" vertical="center"/>
    </xf>
    <xf borderId="3582" fillId="169" fontId="133" numFmtId="0" xfId="0" applyAlignment="1" applyBorder="1" applyFont="1">
      <alignment horizontal="center" vertical="center"/>
    </xf>
    <xf borderId="3584" fillId="169" fontId="106" numFmtId="0" xfId="0" applyAlignment="1" applyBorder="1" applyFont="1">
      <alignment horizontal="center" vertical="center"/>
    </xf>
    <xf borderId="237" fillId="170" fontId="104" numFmtId="0" xfId="0" applyAlignment="1" applyBorder="1" applyFont="1">
      <alignment horizontal="center" readingOrder="0" vertical="top"/>
    </xf>
    <xf borderId="240" fillId="170" fontId="104" numFmtId="0" xfId="0" applyAlignment="1" applyBorder="1" applyFont="1">
      <alignment horizontal="center" readingOrder="0" vertical="top"/>
    </xf>
    <xf borderId="3584" fillId="169" fontId="105" numFmtId="0" xfId="0" applyAlignment="1" applyBorder="1" applyFont="1">
      <alignment horizontal="center" vertical="center"/>
    </xf>
    <xf borderId="3583" fillId="169" fontId="133" numFmtId="0" xfId="0" applyAlignment="1" applyBorder="1" applyFont="1">
      <alignment horizontal="center" vertical="center"/>
    </xf>
    <xf borderId="3587" fillId="169" fontId="133" numFmtId="0" xfId="0" applyAlignment="1" applyBorder="1" applyFont="1">
      <alignment horizontal="center" vertical="center"/>
    </xf>
    <xf borderId="3583" fillId="169" fontId="106" numFmtId="0" xfId="0" applyAlignment="1" applyBorder="1" applyFont="1">
      <alignment horizontal="center" vertical="center"/>
    </xf>
    <xf borderId="3619" fillId="170" fontId="104" numFmtId="0" xfId="0" applyAlignment="1" applyBorder="1" applyFont="1">
      <alignment horizontal="center" readingOrder="0" vertical="center"/>
    </xf>
    <xf borderId="3620" fillId="170" fontId="104" numFmtId="0" xfId="0" applyAlignment="1" applyBorder="1" applyFont="1">
      <alignment horizontal="center" readingOrder="0" vertical="center"/>
    </xf>
    <xf borderId="3621" fillId="170" fontId="104" numFmtId="0" xfId="0" applyAlignment="1" applyBorder="1" applyFont="1">
      <alignment horizontal="left" readingOrder="0" vertical="center"/>
    </xf>
    <xf borderId="3622" fillId="170" fontId="104" numFmtId="0" xfId="0" applyAlignment="1" applyBorder="1" applyFont="1">
      <alignment horizontal="center" readingOrder="0" vertical="center"/>
    </xf>
    <xf borderId="3583" fillId="169" fontId="106" numFmtId="0" xfId="0" applyAlignment="1" applyBorder="1" applyFont="1">
      <alignment horizontal="center" vertical="center"/>
    </xf>
    <xf borderId="3583" fillId="169" fontId="105" numFmtId="0" xfId="0" applyAlignment="1" applyBorder="1" applyFont="1">
      <alignment horizontal="center" vertical="center"/>
    </xf>
    <xf borderId="3583" fillId="169" fontId="133" numFmtId="0" xfId="0" applyAlignment="1" applyBorder="1" applyFont="1">
      <alignment horizontal="center" vertical="center"/>
    </xf>
    <xf borderId="3587" fillId="169" fontId="133" numFmtId="0" xfId="0" applyAlignment="1" applyBorder="1" applyFont="1">
      <alignment horizontal="center" vertical="center"/>
    </xf>
    <xf borderId="3623" fillId="170" fontId="104" numFmtId="0" xfId="0" applyAlignment="1" applyBorder="1" applyFont="1">
      <alignment horizontal="center" readingOrder="0" vertical="center"/>
    </xf>
    <xf borderId="3624" fillId="170" fontId="104" numFmtId="0" xfId="0" applyAlignment="1" applyBorder="1" applyFont="1">
      <alignment horizontal="center" readingOrder="0" vertical="center"/>
    </xf>
    <xf borderId="3625" fillId="170" fontId="104" numFmtId="0" xfId="0" applyAlignment="1" applyBorder="1" applyFont="1">
      <alignment horizontal="left" readingOrder="0" vertical="center"/>
    </xf>
    <xf borderId="3626" fillId="170" fontId="104" numFmtId="0" xfId="0" applyAlignment="1" applyBorder="1" applyFont="1">
      <alignment horizontal="center" readingOrder="0" vertical="center"/>
    </xf>
    <xf borderId="3627" fillId="170" fontId="104" numFmtId="0" xfId="0" applyAlignment="1" applyBorder="1" applyFont="1">
      <alignment horizontal="center" readingOrder="0" vertical="center"/>
    </xf>
    <xf borderId="3628" fillId="170" fontId="104" numFmtId="0" xfId="0" applyAlignment="1" applyBorder="1" applyFont="1">
      <alignment horizontal="center" readingOrder="0" vertical="center"/>
    </xf>
    <xf borderId="3629" fillId="170" fontId="104" numFmtId="0" xfId="0" applyAlignment="1" applyBorder="1" applyFont="1">
      <alignment horizontal="left" readingOrder="0" vertical="center"/>
    </xf>
    <xf borderId="3630" fillId="170" fontId="104" numFmtId="0" xfId="0" applyAlignment="1" applyBorder="1" applyFont="1">
      <alignment horizontal="center" readingOrder="0" vertical="center"/>
    </xf>
    <xf borderId="253" fillId="170" fontId="104" numFmtId="0" xfId="0" applyAlignment="1" applyBorder="1" applyFont="1">
      <alignment horizontal="right" readingOrder="0" vertical="center"/>
    </xf>
    <xf borderId="256" fillId="170" fontId="104" numFmtId="0" xfId="0" applyAlignment="1" applyBorder="1" applyFont="1">
      <alignment horizontal="center" readingOrder="0" vertical="center"/>
    </xf>
    <xf borderId="3631" fillId="169" fontId="133" numFmtId="0" xfId="0" applyAlignment="1" applyBorder="1" applyFont="1">
      <alignment horizontal="center" vertical="center"/>
    </xf>
    <xf borderId="3632" fillId="169" fontId="92" numFmtId="0" xfId="0" applyAlignment="1" applyBorder="1" applyFont="1">
      <alignment horizontal="right" vertical="center"/>
    </xf>
    <xf borderId="3632" fillId="169" fontId="106" numFmtId="0" xfId="0" applyAlignment="1" applyBorder="1" applyFont="1">
      <alignment horizontal="center" vertical="center"/>
    </xf>
    <xf borderId="3633" fillId="169" fontId="92" numFmtId="0" xfId="0" applyAlignment="1" applyBorder="1" applyFont="1">
      <alignment horizontal="right" vertical="center"/>
    </xf>
    <xf borderId="3632" fillId="169" fontId="105" numFmtId="0" xfId="0" applyAlignment="1" applyBorder="1" applyFont="1">
      <alignment horizontal="center" vertical="center"/>
    </xf>
    <xf borderId="3632" fillId="169" fontId="133" numFmtId="0" xfId="0" applyAlignment="1" applyBorder="1" applyFont="1">
      <alignment horizontal="center" vertical="center"/>
    </xf>
    <xf borderId="3634" fillId="169" fontId="133" numFmtId="0" xfId="0" applyAlignment="1" applyBorder="1" applyFont="1">
      <alignment horizontal="center" vertical="center"/>
    </xf>
    <xf borderId="3635" fillId="169" fontId="127" numFmtId="0" xfId="0" applyAlignment="1" applyBorder="1" applyFont="1">
      <alignment horizontal="center" vertical="center"/>
    </xf>
    <xf borderId="3584" fillId="169" fontId="127" numFmtId="0" xfId="0" applyAlignment="1" applyBorder="1" applyFont="1">
      <alignment horizontal="center" vertical="center"/>
    </xf>
    <xf borderId="3585" fillId="169" fontId="110" numFmtId="0" xfId="0" applyAlignment="1" applyBorder="1" applyFont="1">
      <alignment horizontal="center" vertical="center"/>
    </xf>
    <xf borderId="3586" fillId="169" fontId="125" numFmtId="0" xfId="0" applyAlignment="1" applyBorder="1" applyFont="1">
      <alignment horizontal="center" vertical="center"/>
    </xf>
    <xf borderId="3584" fillId="169" fontId="110" numFmtId="0" xfId="0" applyAlignment="1" applyBorder="1" applyFont="1">
      <alignment horizontal="center" readingOrder="0" vertical="center"/>
    </xf>
    <xf borderId="3586" fillId="169" fontId="110" numFmtId="0" xfId="0" applyAlignment="1" applyBorder="1" applyFont="1">
      <alignment horizontal="center" vertical="center"/>
    </xf>
    <xf borderId="3584" fillId="169" fontId="125" numFmtId="0" xfId="0" applyAlignment="1" applyBorder="1" applyFont="1">
      <alignment horizontal="center" readingOrder="0" vertical="center"/>
    </xf>
    <xf borderId="3580" fillId="169" fontId="131" numFmtId="0" xfId="0" applyAlignment="1" applyBorder="1" applyFont="1">
      <alignment horizontal="center" vertical="center"/>
    </xf>
    <xf borderId="3635" fillId="169" fontId="131" numFmtId="0" xfId="0" applyAlignment="1" applyBorder="1" applyFont="1">
      <alignment horizontal="center" vertical="center"/>
    </xf>
    <xf borderId="1714" fillId="110" fontId="106" numFmtId="0" xfId="0" applyAlignment="1" applyBorder="1" applyFont="1">
      <alignment horizontal="center" vertical="center"/>
    </xf>
    <xf borderId="1652" fillId="110" fontId="125" numFmtId="0" xfId="0" applyAlignment="1" applyBorder="1" applyFont="1">
      <alignment horizontal="center" vertical="center"/>
    </xf>
    <xf borderId="3636" fillId="110" fontId="125" numFmtId="0" xfId="0" applyAlignment="1" applyBorder="1" applyFont="1">
      <alignment horizontal="center" vertical="center"/>
    </xf>
    <xf borderId="1635" fillId="110" fontId="114" numFmtId="0" xfId="0" applyAlignment="1" applyBorder="1" applyFont="1">
      <alignment horizontal="center" readingOrder="0" vertical="top"/>
    </xf>
    <xf borderId="3637" fillId="110" fontId="110" numFmtId="0" xfId="0" applyAlignment="1" applyBorder="1" applyFont="1">
      <alignment horizontal="center" vertical="top"/>
    </xf>
    <xf borderId="3638" fillId="0" fontId="4" numFmtId="0" xfId="0" applyBorder="1" applyFont="1"/>
    <xf borderId="1649" fillId="110" fontId="110" numFmtId="0" xfId="0" applyAlignment="1" applyBorder="1" applyFont="1">
      <alignment horizontal="center" vertical="center"/>
    </xf>
    <xf borderId="3639" fillId="0" fontId="4" numFmtId="0" xfId="0" applyBorder="1" applyFont="1"/>
    <xf borderId="3640" fillId="110" fontId="133" numFmtId="0" xfId="0" applyAlignment="1" applyBorder="1" applyFont="1">
      <alignment horizontal="center" vertical="center"/>
    </xf>
    <xf borderId="1713" fillId="110" fontId="133" numFmtId="0" xfId="0" applyAlignment="1" applyBorder="1" applyFont="1">
      <alignment horizontal="center" vertical="center"/>
    </xf>
    <xf borderId="543" fillId="60" fontId="88" numFmtId="0" xfId="0" applyAlignment="1" applyBorder="1" applyFont="1">
      <alignment horizontal="right" readingOrder="0" vertical="center"/>
    </xf>
    <xf borderId="546" fillId="60" fontId="88" numFmtId="0" xfId="0" applyAlignment="1" applyBorder="1" applyFont="1">
      <alignment horizontal="center" readingOrder="0" vertical="center"/>
    </xf>
    <xf borderId="3641" fillId="60" fontId="88" numFmtId="0" xfId="0" applyAlignment="1" applyBorder="1" applyFont="1">
      <alignment horizontal="right" readingOrder="0" vertical="center"/>
    </xf>
    <xf borderId="3642" fillId="0" fontId="4" numFmtId="0" xfId="0" applyBorder="1" applyFont="1"/>
    <xf borderId="3643" fillId="0" fontId="4" numFmtId="0" xfId="0" applyBorder="1" applyFont="1"/>
    <xf borderId="3644" fillId="110" fontId="133" numFmtId="0" xfId="0" applyAlignment="1" applyBorder="1" applyFont="1">
      <alignment horizontal="center" vertical="center"/>
    </xf>
    <xf borderId="1714" fillId="110" fontId="74" numFmtId="0" xfId="0" applyAlignment="1" applyBorder="1" applyFont="1">
      <alignment horizontal="right" vertical="center"/>
    </xf>
    <xf borderId="3645" fillId="110" fontId="106" numFmtId="0" xfId="0" applyAlignment="1" applyBorder="1" applyFont="1">
      <alignment horizontal="center" vertical="center"/>
    </xf>
    <xf borderId="1716" fillId="110" fontId="74" numFmtId="0" xfId="0" applyAlignment="1" applyBorder="1" applyFont="1">
      <alignment horizontal="right" vertical="center"/>
    </xf>
    <xf borderId="3645" fillId="110" fontId="89" numFmtId="0" xfId="0" applyAlignment="1" applyBorder="1" applyFont="1">
      <alignment horizontal="center" vertical="center"/>
    </xf>
    <xf borderId="548" fillId="60" fontId="88" numFmtId="0" xfId="0" applyAlignment="1" applyBorder="1" applyFont="1">
      <alignment horizontal="right" readingOrder="0" vertical="center"/>
    </xf>
    <xf borderId="551" fillId="60" fontId="88" numFmtId="0" xfId="0" applyAlignment="1" applyBorder="1" applyFont="1">
      <alignment horizontal="center" readingOrder="0" vertical="center"/>
    </xf>
    <xf borderId="1653" fillId="110" fontId="133" numFmtId="0" xfId="0" applyAlignment="1" applyBorder="1" applyFont="1">
      <alignment horizontal="center" vertical="center"/>
    </xf>
    <xf borderId="1714" fillId="110" fontId="133" numFmtId="0" xfId="0" applyAlignment="1" applyBorder="1" applyFont="1">
      <alignment horizontal="center" vertical="center"/>
    </xf>
    <xf borderId="69" fillId="60" fontId="88" numFmtId="0" xfId="0" applyAlignment="1" applyBorder="1" applyFont="1">
      <alignment horizontal="right" readingOrder="0" vertical="center"/>
    </xf>
    <xf borderId="3646" fillId="0" fontId="4" numFmtId="0" xfId="0" applyBorder="1" applyFont="1"/>
    <xf borderId="3647" fillId="110" fontId="133" numFmtId="0" xfId="0" applyAlignment="1" applyBorder="1" applyFont="1">
      <alignment horizontal="center" vertical="center"/>
    </xf>
    <xf borderId="1701" fillId="105" fontId="76" numFmtId="0" xfId="0" applyAlignment="1" applyBorder="1" applyFont="1">
      <alignment horizontal="right" vertical="center"/>
    </xf>
    <xf borderId="3648" fillId="105" fontId="125" numFmtId="0" xfId="0" applyAlignment="1" applyBorder="1" applyFont="1">
      <alignment horizontal="center" vertical="center"/>
    </xf>
    <xf borderId="1425" fillId="105" fontId="133" numFmtId="0" xfId="0" applyAlignment="1" applyBorder="1" applyFont="1">
      <alignment horizontal="center" vertical="center"/>
    </xf>
    <xf borderId="1421" fillId="105" fontId="92" numFmtId="0" xfId="0" applyAlignment="1" applyBorder="1" applyFont="1">
      <alignment horizontal="left" readingOrder="0" vertical="center"/>
    </xf>
    <xf borderId="3649" fillId="105" fontId="181" numFmtId="0" xfId="0" applyAlignment="1" applyBorder="1" applyFont="1">
      <alignment horizontal="left" readingOrder="0" vertical="center"/>
    </xf>
    <xf borderId="3650" fillId="105" fontId="125" numFmtId="0" xfId="0" applyAlignment="1" applyBorder="1" applyFont="1">
      <alignment horizontal="center" vertical="center"/>
    </xf>
    <xf borderId="905" fillId="20" fontId="76" numFmtId="0" xfId="0" applyAlignment="1" applyBorder="1" applyFont="1">
      <alignment horizontal="right" vertical="center"/>
    </xf>
    <xf borderId="2305" fillId="20" fontId="127" numFmtId="0" xfId="0" applyAlignment="1" applyBorder="1" applyFont="1">
      <alignment horizontal="center" vertical="center"/>
    </xf>
    <xf borderId="1452" fillId="105" fontId="125" numFmtId="0" xfId="0" applyAlignment="1" applyBorder="1" applyFont="1">
      <alignment horizontal="center" vertical="center"/>
    </xf>
    <xf borderId="3651" fillId="105" fontId="125" numFmtId="0" xfId="0" applyAlignment="1" applyBorder="1" applyFont="1">
      <alignment horizontal="center" vertical="center"/>
    </xf>
    <xf borderId="3651" fillId="105" fontId="110" numFmtId="0" xfId="0" applyAlignment="1" applyBorder="1" applyFont="1">
      <alignment horizontal="center" vertical="center"/>
    </xf>
    <xf borderId="1432" fillId="105" fontId="114" numFmtId="0" xfId="0" applyAlignment="1" applyBorder="1" applyFont="1">
      <alignment horizontal="center" readingOrder="0" vertical="top"/>
    </xf>
    <xf borderId="3651" fillId="105" fontId="129" numFmtId="0" xfId="0" applyAlignment="1" applyBorder="1" applyFont="1">
      <alignment horizontal="center" vertical="center"/>
    </xf>
    <xf borderId="1449" fillId="105" fontId="119" numFmtId="0" xfId="0" applyAlignment="1" applyBorder="1" applyFont="1">
      <alignment horizontal="center" readingOrder="0" vertical="center"/>
    </xf>
    <xf borderId="1421" fillId="105" fontId="105" numFmtId="0" xfId="0" applyAlignment="1" applyBorder="1" applyFont="1">
      <alignment horizontal="center" vertical="top"/>
    </xf>
    <xf borderId="1423" fillId="105" fontId="133" numFmtId="0" xfId="0" applyAlignment="1" applyBorder="1" applyFont="1">
      <alignment horizontal="center" vertical="center"/>
    </xf>
    <xf borderId="1703" fillId="105" fontId="105" numFmtId="0" xfId="0" applyAlignment="1" applyBorder="1" applyFont="1">
      <alignment horizontal="center" vertical="center"/>
    </xf>
    <xf borderId="3652" fillId="90" fontId="125" numFmtId="0" xfId="0" applyAlignment="1" applyBorder="1" applyFont="1">
      <alignment horizontal="center" vertical="center"/>
    </xf>
    <xf borderId="915" fillId="90" fontId="127" numFmtId="0" xfId="0" applyAlignment="1" applyBorder="1" applyFont="1">
      <alignment horizontal="center" vertical="center"/>
    </xf>
    <xf borderId="3653" fillId="90" fontId="182" numFmtId="0" xfId="0" applyAlignment="1" applyBorder="1" applyFont="1">
      <alignment horizontal="left" readingOrder="0" vertical="center"/>
    </xf>
    <xf borderId="911" fillId="90" fontId="183" numFmtId="0" xfId="0" applyAlignment="1" applyBorder="1" applyFont="1">
      <alignment horizontal="right" readingOrder="0" vertical="center"/>
    </xf>
    <xf borderId="939" fillId="90" fontId="125" numFmtId="0" xfId="0" applyAlignment="1" applyBorder="1" applyFont="1">
      <alignment horizontal="center" vertical="center"/>
    </xf>
    <xf borderId="3654" fillId="90" fontId="125" numFmtId="0" xfId="0" applyAlignment="1" applyBorder="1" applyFont="1">
      <alignment horizontal="center" vertical="center"/>
    </xf>
    <xf borderId="199" fillId="90" fontId="94" numFmtId="0" xfId="0" applyAlignment="1" applyBorder="1" applyFont="1">
      <alignment horizontal="right" readingOrder="0" vertical="center"/>
    </xf>
    <xf borderId="3654" fillId="90" fontId="110" numFmtId="0" xfId="0" applyAlignment="1" applyBorder="1" applyFont="1">
      <alignment horizontal="center" vertical="center"/>
    </xf>
    <xf borderId="3654" fillId="90" fontId="127" numFmtId="0" xfId="0" applyAlignment="1" applyBorder="1" applyFont="1">
      <alignment horizontal="center" vertical="center"/>
    </xf>
    <xf borderId="901" fillId="90" fontId="94" numFmtId="0" xfId="0" applyAlignment="1" applyBorder="1" applyFont="1">
      <alignment horizontal="right" vertical="center"/>
    </xf>
    <xf borderId="906" fillId="90" fontId="110" numFmtId="0" xfId="0" applyAlignment="1" applyBorder="1" applyFont="1">
      <alignment horizontal="center" vertical="center"/>
    </xf>
    <xf borderId="3655" fillId="0" fontId="4" numFmtId="0" xfId="0" applyBorder="1" applyFont="1"/>
    <xf borderId="901" fillId="90" fontId="109" numFmtId="0" xfId="0" applyAlignment="1" applyBorder="1" applyFont="1">
      <alignment horizontal="center" vertical="center"/>
    </xf>
    <xf borderId="543" fillId="29" fontId="104" numFmtId="0" xfId="0" applyAlignment="1" applyBorder="1" applyFont="1">
      <alignment horizontal="right" readingOrder="0" vertical="center"/>
    </xf>
    <xf borderId="546" fillId="29" fontId="104" numFmtId="0" xfId="0" applyAlignment="1" applyBorder="1" applyFont="1">
      <alignment horizontal="center" readingOrder="0" vertical="center"/>
    </xf>
    <xf borderId="3656" fillId="90" fontId="133" numFmtId="0" xfId="0" applyAlignment="1" applyBorder="1" applyFont="1">
      <alignment horizontal="center" vertical="center"/>
    </xf>
    <xf borderId="937" fillId="90" fontId="92" numFmtId="0" xfId="0" applyAlignment="1" applyBorder="1" applyFont="1">
      <alignment horizontal="right" vertical="center"/>
    </xf>
    <xf borderId="3653" fillId="90" fontId="106" numFmtId="0" xfId="0" applyAlignment="1" applyBorder="1" applyFont="1">
      <alignment horizontal="center" vertical="center"/>
    </xf>
    <xf borderId="548" fillId="29" fontId="104" numFmtId="0" xfId="0" applyAlignment="1" applyBorder="1" applyFont="1">
      <alignment horizontal="right" readingOrder="0" vertical="center"/>
    </xf>
    <xf borderId="551" fillId="29" fontId="104" numFmtId="0" xfId="0" applyAlignment="1" applyBorder="1" applyFont="1">
      <alignment horizontal="center" readingOrder="0" vertical="center"/>
    </xf>
    <xf borderId="910" fillId="90" fontId="133" numFmtId="0" xfId="0" applyAlignment="1" applyBorder="1" applyFont="1">
      <alignment horizontal="center" vertical="center"/>
    </xf>
    <xf borderId="3657" fillId="90" fontId="133" numFmtId="0" xfId="0" applyAlignment="1" applyBorder="1" applyFont="1">
      <alignment horizontal="center" vertical="center"/>
    </xf>
    <xf borderId="3658" fillId="171" fontId="125" numFmtId="0" xfId="0" applyAlignment="1" applyBorder="1" applyFill="1" applyFont="1">
      <alignment horizontal="center" vertical="center"/>
    </xf>
    <xf borderId="3659" fillId="171" fontId="138" numFmtId="0" xfId="0" applyAlignment="1" applyBorder="1" applyFont="1">
      <alignment horizontal="center" readingOrder="0" vertical="center"/>
    </xf>
    <xf borderId="3660" fillId="171" fontId="125" numFmtId="0" xfId="0" applyAlignment="1" applyBorder="1" applyFont="1">
      <alignment horizontal="center" vertical="center"/>
    </xf>
    <xf borderId="3661" fillId="171" fontId="125" numFmtId="0" xfId="0" applyAlignment="1" applyBorder="1" applyFont="1">
      <alignment horizontal="center" vertical="center"/>
    </xf>
    <xf borderId="189" fillId="172" fontId="76" numFmtId="0" xfId="0" applyAlignment="1" applyBorder="1" applyFill="1" applyFont="1">
      <alignment horizontal="center" vertical="center"/>
    </xf>
    <xf borderId="3662" fillId="171" fontId="127" numFmtId="0" xfId="0" applyAlignment="1" applyBorder="1" applyFont="1">
      <alignment horizontal="center" vertical="center"/>
    </xf>
    <xf borderId="969" fillId="172" fontId="119" numFmtId="0" xfId="0" applyAlignment="1" applyBorder="1" applyFont="1">
      <alignment horizontal="center" vertical="center"/>
    </xf>
    <xf borderId="3662" fillId="171" fontId="110" numFmtId="0" xfId="0" applyAlignment="1" applyBorder="1" applyFont="1">
      <alignment horizontal="center" vertical="center"/>
    </xf>
    <xf borderId="3663" fillId="171" fontId="125" numFmtId="0" xfId="0" applyAlignment="1" applyBorder="1" applyFont="1">
      <alignment horizontal="center" vertical="center"/>
    </xf>
    <xf borderId="3661" fillId="171" fontId="110" numFmtId="0" xfId="0" applyAlignment="1" applyBorder="1" applyFont="1">
      <alignment horizontal="center" vertical="center"/>
    </xf>
    <xf borderId="762" fillId="171" fontId="76" numFmtId="0" xfId="0" applyAlignment="1" applyBorder="1" applyFont="1">
      <alignment horizontal="right" readingOrder="0" vertical="center"/>
    </xf>
    <xf borderId="3662" fillId="171" fontId="110" numFmtId="0" xfId="0" applyAlignment="1" applyBorder="1" applyFont="1">
      <alignment horizontal="center" readingOrder="0" vertical="center"/>
    </xf>
    <xf borderId="3664" fillId="171" fontId="112" numFmtId="0" xfId="0" applyAlignment="1" applyBorder="1" applyFont="1">
      <alignment horizontal="center" readingOrder="0" vertical="center"/>
    </xf>
    <xf borderId="3665" fillId="0" fontId="4" numFmtId="0" xfId="0" applyBorder="1" applyFont="1"/>
    <xf borderId="3666" fillId="0" fontId="4" numFmtId="0" xfId="0" applyBorder="1" applyFont="1"/>
    <xf borderId="3663" fillId="171" fontId="110" numFmtId="0" xfId="0" applyAlignment="1" applyBorder="1" applyFont="1">
      <alignment horizontal="center" vertical="center"/>
    </xf>
    <xf borderId="3662" fillId="171" fontId="125" numFmtId="0" xfId="0" applyAlignment="1" applyBorder="1" applyFont="1">
      <alignment horizontal="center" readingOrder="0" vertical="center"/>
    </xf>
    <xf borderId="3667" fillId="171" fontId="114" numFmtId="0" xfId="0" applyAlignment="1" applyBorder="1" applyFont="1">
      <alignment horizontal="center" readingOrder="0" vertical="top"/>
    </xf>
    <xf borderId="3668" fillId="0" fontId="4" numFmtId="0" xfId="0" applyBorder="1" applyFont="1"/>
    <xf borderId="3669" fillId="0" fontId="4" numFmtId="0" xfId="0" applyBorder="1" applyFont="1"/>
    <xf borderId="3662" fillId="171" fontId="125" numFmtId="0" xfId="0" applyAlignment="1" applyBorder="1" applyFont="1">
      <alignment horizontal="center" vertical="center"/>
    </xf>
    <xf borderId="3670" fillId="171" fontId="110" numFmtId="0" xfId="0" applyAlignment="1" applyBorder="1" applyFont="1">
      <alignment horizontal="center" vertical="center"/>
    </xf>
    <xf borderId="3671" fillId="171" fontId="110" numFmtId="0" xfId="0" applyAlignment="1" applyBorder="1" applyFont="1">
      <alignment horizontal="right" vertical="top"/>
    </xf>
    <xf borderId="3671" fillId="171" fontId="110" numFmtId="0" xfId="0" applyAlignment="1" applyBorder="1" applyFont="1">
      <alignment horizontal="left" vertical="top"/>
    </xf>
    <xf borderId="3672" fillId="171" fontId="110" numFmtId="0" xfId="0" applyAlignment="1" applyBorder="1" applyFont="1">
      <alignment horizontal="center" vertical="top"/>
    </xf>
    <xf borderId="3673" fillId="171" fontId="110" numFmtId="0" xfId="0" applyAlignment="1" applyBorder="1" applyFont="1">
      <alignment horizontal="center" vertical="top"/>
    </xf>
    <xf borderId="3674" fillId="0" fontId="4" numFmtId="0" xfId="0" applyBorder="1" applyFont="1"/>
    <xf borderId="3675" fillId="171" fontId="140" numFmtId="0" xfId="0" applyAlignment="1" applyBorder="1" applyFont="1">
      <alignment horizontal="center" vertical="center"/>
    </xf>
    <xf borderId="3676" fillId="171" fontId="110" numFmtId="0" xfId="0" applyAlignment="1" applyBorder="1" applyFont="1">
      <alignment horizontal="center" vertical="center"/>
    </xf>
    <xf borderId="3677" fillId="171" fontId="110" numFmtId="0" xfId="0" applyAlignment="1" applyBorder="1" applyFont="1">
      <alignment horizontal="center" vertical="top"/>
    </xf>
    <xf borderId="3678" fillId="171" fontId="110" numFmtId="0" xfId="0" applyAlignment="1" applyBorder="1" applyFont="1">
      <alignment horizontal="center" vertical="top"/>
    </xf>
    <xf borderId="3679" fillId="0" fontId="4" numFmtId="0" xfId="0" applyBorder="1" applyFont="1"/>
    <xf borderId="3680" fillId="171" fontId="110" numFmtId="0" xfId="0" applyAlignment="1" applyBorder="1" applyFont="1">
      <alignment horizontal="center" readingOrder="0" vertical="center"/>
    </xf>
    <xf borderId="3681" fillId="0" fontId="4" numFmtId="0" xfId="0" applyBorder="1" applyFont="1"/>
    <xf borderId="3682" fillId="0" fontId="4" numFmtId="0" xfId="0" applyBorder="1" applyFont="1"/>
    <xf borderId="3683" fillId="171" fontId="110" numFmtId="0" xfId="0" applyAlignment="1" applyBorder="1" applyFont="1">
      <alignment horizontal="center" readingOrder="0" vertical="center"/>
    </xf>
    <xf borderId="3684" fillId="0" fontId="4" numFmtId="0" xfId="0" applyBorder="1" applyFont="1"/>
    <xf borderId="3685" fillId="0" fontId="4" numFmtId="0" xfId="0" applyBorder="1" applyFont="1"/>
    <xf borderId="3686" fillId="171" fontId="110" numFmtId="0" xfId="0" applyAlignment="1" applyBorder="1" applyFont="1">
      <alignment horizontal="center" readingOrder="0" vertical="center"/>
    </xf>
    <xf borderId="3687" fillId="0" fontId="4" numFmtId="0" xfId="0" applyBorder="1" applyFont="1"/>
    <xf borderId="3688" fillId="0" fontId="4" numFmtId="0" xfId="0" applyBorder="1" applyFont="1"/>
    <xf borderId="3689" fillId="171" fontId="110" numFmtId="0" xfId="0" applyAlignment="1" applyBorder="1" applyFont="1">
      <alignment horizontal="center" readingOrder="0" vertical="center"/>
    </xf>
    <xf borderId="3659" fillId="0" fontId="4" numFmtId="0" xfId="0" applyBorder="1" applyFont="1"/>
    <xf borderId="3690" fillId="0" fontId="4" numFmtId="0" xfId="0" applyBorder="1" applyFont="1"/>
    <xf borderId="3682" fillId="171" fontId="110" numFmtId="0" xfId="0" applyAlignment="1" applyBorder="1" applyFont="1">
      <alignment horizontal="center" readingOrder="0" vertical="center"/>
    </xf>
    <xf borderId="3662" fillId="171" fontId="140" numFmtId="0" xfId="0" applyAlignment="1" applyBorder="1" applyFont="1">
      <alignment horizontal="center" vertical="center"/>
    </xf>
    <xf borderId="3691" fillId="0" fontId="4" numFmtId="0" xfId="0" applyBorder="1" applyFont="1"/>
    <xf borderId="3685" fillId="171" fontId="110" numFmtId="0" xfId="0" applyAlignment="1" applyBorder="1" applyFont="1">
      <alignment horizontal="center" readingOrder="0" vertical="center"/>
    </xf>
    <xf borderId="3692" fillId="171" fontId="110" numFmtId="0" xfId="0" applyAlignment="1" applyBorder="1" applyFont="1">
      <alignment horizontal="center" readingOrder="0" vertical="center"/>
    </xf>
    <xf borderId="3693" fillId="0" fontId="4" numFmtId="0" xfId="0" applyBorder="1" applyFont="1"/>
    <xf borderId="3694" fillId="0" fontId="4" numFmtId="0" xfId="0" applyBorder="1" applyFont="1"/>
    <xf borderId="3695" fillId="171" fontId="110" numFmtId="0" xfId="0" applyAlignment="1" applyBorder="1" applyFont="1">
      <alignment horizontal="center" readingOrder="0" vertical="center"/>
    </xf>
    <xf borderId="3661" fillId="171" fontId="124" numFmtId="0" xfId="0" applyAlignment="1" applyBorder="1" applyFont="1">
      <alignment horizontal="center" vertical="center"/>
    </xf>
    <xf borderId="3662" fillId="171" fontId="74" numFmtId="0" xfId="0" applyAlignment="1" applyBorder="1" applyFont="1">
      <alignment horizontal="right" vertical="center"/>
    </xf>
    <xf borderId="3662" fillId="171" fontId="131" numFmtId="0" xfId="0" applyAlignment="1" applyBorder="1" applyFont="1">
      <alignment horizontal="center" vertical="center"/>
    </xf>
    <xf borderId="3662" fillId="171" fontId="131" numFmtId="0" xfId="0" applyAlignment="1" applyBorder="1" applyFont="1">
      <alignment horizontal="center" vertical="top"/>
    </xf>
    <xf borderId="3662" fillId="171" fontId="132" numFmtId="0" xfId="0" applyAlignment="1" applyBorder="1" applyFont="1">
      <alignment horizontal="center" vertical="center"/>
    </xf>
    <xf borderId="3663" fillId="171" fontId="124" numFmtId="0" xfId="0" applyAlignment="1" applyBorder="1" applyFont="1">
      <alignment horizontal="center" vertical="center"/>
    </xf>
    <xf borderId="3661" fillId="171" fontId="133" numFmtId="0" xfId="0" applyAlignment="1" applyBorder="1" applyFont="1">
      <alignment horizontal="center" vertical="center"/>
    </xf>
    <xf borderId="3662" fillId="171" fontId="106" numFmtId="0" xfId="0" applyAlignment="1" applyBorder="1" applyFont="1">
      <alignment horizontal="center" vertical="center"/>
    </xf>
    <xf borderId="237" fillId="172" fontId="104" numFmtId="0" xfId="0" applyAlignment="1" applyBorder="1" applyFont="1">
      <alignment horizontal="center" readingOrder="0" vertical="top"/>
    </xf>
    <xf borderId="240" fillId="172" fontId="104" numFmtId="0" xfId="0" applyAlignment="1" applyBorder="1" applyFont="1">
      <alignment horizontal="center" readingOrder="0" vertical="top"/>
    </xf>
    <xf borderId="3662" fillId="171" fontId="105" numFmtId="0" xfId="0" applyAlignment="1" applyBorder="1" applyFont="1">
      <alignment horizontal="center" vertical="center"/>
    </xf>
    <xf borderId="3662" fillId="171" fontId="133" numFmtId="0" xfId="0" applyAlignment="1" applyBorder="1" applyFont="1">
      <alignment horizontal="center" vertical="center"/>
    </xf>
    <xf borderId="3663" fillId="171" fontId="133" numFmtId="0" xfId="0" applyAlignment="1" applyBorder="1" applyFont="1">
      <alignment horizontal="center" vertical="center"/>
    </xf>
    <xf borderId="3696" fillId="172" fontId="104" numFmtId="0" xfId="0" applyAlignment="1" applyBorder="1" applyFont="1">
      <alignment horizontal="center" readingOrder="0" vertical="center"/>
    </xf>
    <xf borderId="3697" fillId="172" fontId="104" numFmtId="0" xfId="0" applyAlignment="1" applyBorder="1" applyFont="1">
      <alignment horizontal="center" readingOrder="0" vertical="center"/>
    </xf>
    <xf borderId="3698" fillId="172" fontId="104" numFmtId="0" xfId="0" applyAlignment="1" applyBorder="1" applyFont="1">
      <alignment horizontal="left" readingOrder="0" vertical="center"/>
    </xf>
    <xf borderId="3699" fillId="172" fontId="104" numFmtId="0" xfId="0" applyAlignment="1" applyBorder="1" applyFont="1">
      <alignment horizontal="center" readingOrder="0" vertical="center"/>
    </xf>
    <xf borderId="3700" fillId="172" fontId="104" numFmtId="0" xfId="0" applyAlignment="1" applyBorder="1" applyFont="1">
      <alignment horizontal="center" readingOrder="0" vertical="center"/>
    </xf>
    <xf borderId="3701" fillId="172" fontId="104" numFmtId="0" xfId="0" applyAlignment="1" applyBorder="1" applyFont="1">
      <alignment horizontal="center" readingOrder="0" vertical="center"/>
    </xf>
    <xf borderId="3702" fillId="172" fontId="104" numFmtId="0" xfId="0" applyAlignment="1" applyBorder="1" applyFont="1">
      <alignment horizontal="left" readingOrder="0" vertical="center"/>
    </xf>
    <xf borderId="3703" fillId="172" fontId="104" numFmtId="0" xfId="0" applyAlignment="1" applyBorder="1" applyFont="1">
      <alignment horizontal="center" readingOrder="0" vertical="center"/>
    </xf>
    <xf borderId="3704" fillId="172" fontId="104" numFmtId="0" xfId="0" applyAlignment="1" applyBorder="1" applyFont="1">
      <alignment horizontal="center" readingOrder="0" vertical="center"/>
    </xf>
    <xf borderId="3705" fillId="172" fontId="104" numFmtId="0" xfId="0" applyAlignment="1" applyBorder="1" applyFont="1">
      <alignment horizontal="center" readingOrder="0" vertical="center"/>
    </xf>
    <xf borderId="3706" fillId="172" fontId="104" numFmtId="0" xfId="0" applyAlignment="1" applyBorder="1" applyFont="1">
      <alignment horizontal="left" readingOrder="0" vertical="center"/>
    </xf>
    <xf borderId="3707" fillId="172" fontId="104" numFmtId="0" xfId="0" applyAlignment="1" applyBorder="1" applyFont="1">
      <alignment horizontal="center" readingOrder="0" vertical="center"/>
    </xf>
    <xf borderId="253" fillId="172" fontId="104" numFmtId="0" xfId="0" applyAlignment="1" applyBorder="1" applyFont="1">
      <alignment horizontal="right" readingOrder="0" vertical="center"/>
    </xf>
    <xf borderId="256" fillId="172" fontId="104" numFmtId="0" xfId="0" applyAlignment="1" applyBorder="1" applyFont="1">
      <alignment horizontal="center" readingOrder="0" vertical="center"/>
    </xf>
    <xf borderId="543" fillId="172" fontId="104" numFmtId="0" xfId="0" applyAlignment="1" applyBorder="1" applyFont="1">
      <alignment horizontal="right" readingOrder="0" vertical="center"/>
    </xf>
    <xf borderId="546" fillId="172" fontId="104" numFmtId="0" xfId="0" applyAlignment="1" applyBorder="1" applyFont="1">
      <alignment horizontal="center" readingOrder="0" vertical="center"/>
    </xf>
    <xf borderId="548" fillId="172" fontId="104" numFmtId="0" xfId="0" applyAlignment="1" applyBorder="1" applyFont="1">
      <alignment horizontal="right" readingOrder="0" vertical="center"/>
    </xf>
    <xf borderId="551" fillId="172" fontId="104" numFmtId="0" xfId="0" applyAlignment="1" applyBorder="1" applyFont="1">
      <alignment horizontal="center" readingOrder="0" vertical="center"/>
    </xf>
    <xf borderId="3708" fillId="171" fontId="125" numFmtId="0" xfId="0" applyAlignment="1" applyBorder="1" applyFont="1">
      <alignment horizontal="center" vertical="center"/>
    </xf>
    <xf borderId="3709" fillId="171" fontId="140" numFmtId="0" xfId="0" applyAlignment="1" applyBorder="1" applyFont="1">
      <alignment horizontal="center" vertical="center"/>
    </xf>
    <xf borderId="3709" fillId="171" fontId="125" numFmtId="0" xfId="0" applyAlignment="1" applyBorder="1" applyFont="1">
      <alignment horizontal="center" vertical="center"/>
    </xf>
    <xf borderId="3709" fillId="171" fontId="125" numFmtId="0" xfId="0" applyAlignment="1" applyBorder="1" applyFont="1">
      <alignment horizontal="center" readingOrder="0" vertical="center"/>
    </xf>
    <xf borderId="3710" fillId="171" fontId="125" numFmtId="0" xfId="0" applyAlignment="1" applyBorder="1" applyFont="1">
      <alignment horizontal="center" vertical="center"/>
    </xf>
    <xf borderId="3711" fillId="9" fontId="74" numFmtId="0" xfId="0" applyAlignment="1" applyBorder="1" applyFont="1">
      <alignment horizontal="right" readingOrder="0" vertical="center"/>
    </xf>
    <xf borderId="3712" fillId="0" fontId="4" numFmtId="0" xfId="0" applyBorder="1" applyFont="1"/>
    <xf borderId="3713" fillId="142" fontId="104" numFmtId="0" xfId="0" applyAlignment="1" applyBorder="1" applyFont="1">
      <alignment horizontal="center" readingOrder="0" vertical="center"/>
    </xf>
    <xf borderId="48" fillId="9" fontId="106" numFmtId="0" xfId="0" applyAlignment="1" applyBorder="1" applyFont="1">
      <alignment horizontal="center" vertical="center"/>
    </xf>
    <xf borderId="3714" fillId="0" fontId="4" numFmtId="0" xfId="0" applyBorder="1" applyFont="1"/>
    <xf borderId="3715" fillId="142" fontId="104" numFmtId="0" xfId="0" applyAlignment="1" applyBorder="1" applyFont="1">
      <alignment horizontal="center" readingOrder="0" vertical="center"/>
    </xf>
    <xf borderId="1232" fillId="9" fontId="119" numFmtId="0" xfId="0" applyAlignment="1" applyBorder="1" applyFont="1">
      <alignment horizontal="center" readingOrder="0" vertical="center"/>
    </xf>
    <xf borderId="48" fillId="9" fontId="133" numFmtId="0" xfId="0" applyAlignment="1" applyBorder="1" applyFont="1">
      <alignment horizontal="center" vertical="center"/>
    </xf>
    <xf borderId="3716" fillId="173" fontId="125" numFmtId="0" xfId="0" applyAlignment="1" applyBorder="1" applyFill="1" applyFont="1">
      <alignment horizontal="center" vertical="center"/>
    </xf>
    <xf borderId="3717" fillId="173" fontId="138" numFmtId="0" xfId="0" applyAlignment="1" applyBorder="1" applyFont="1">
      <alignment horizontal="center" readingOrder="0" vertical="center"/>
    </xf>
    <xf borderId="3718" fillId="173" fontId="125" numFmtId="0" xfId="0" applyAlignment="1" applyBorder="1" applyFont="1">
      <alignment horizontal="center" vertical="center"/>
    </xf>
    <xf borderId="3719" fillId="173" fontId="125" numFmtId="0" xfId="0" applyAlignment="1" applyBorder="1" applyFont="1">
      <alignment horizontal="center" vertical="center"/>
    </xf>
    <xf borderId="3720" fillId="173" fontId="140" numFmtId="0" xfId="0" applyAlignment="1" applyBorder="1" applyFont="1">
      <alignment horizontal="center" vertical="center"/>
    </xf>
    <xf borderId="3720" fillId="173" fontId="125" numFmtId="0" xfId="0" applyAlignment="1" applyBorder="1" applyFont="1">
      <alignment horizontal="center" vertical="center"/>
    </xf>
    <xf borderId="3721" fillId="173" fontId="184" numFmtId="0" xfId="0" applyAlignment="1" applyBorder="1" applyFont="1">
      <alignment horizontal="left" readingOrder="0" vertical="center"/>
    </xf>
    <xf borderId="3722" fillId="0" fontId="4" numFmtId="0" xfId="0" applyBorder="1" applyFont="1"/>
    <xf borderId="3723" fillId="0" fontId="4" numFmtId="0" xfId="0" applyBorder="1" applyFont="1"/>
    <xf borderId="3724" fillId="173" fontId="125" numFmtId="0" xfId="0" applyAlignment="1" applyBorder="1" applyFont="1">
      <alignment horizontal="center" vertical="center"/>
    </xf>
    <xf borderId="189" fillId="174" fontId="76" numFmtId="0" xfId="0" applyAlignment="1" applyBorder="1" applyFill="1" applyFont="1">
      <alignment horizontal="center" vertical="center"/>
    </xf>
    <xf borderId="3720" fillId="173" fontId="127" numFmtId="0" xfId="0" applyAlignment="1" applyBorder="1" applyFont="1">
      <alignment horizontal="center" vertical="center"/>
    </xf>
    <xf borderId="969" fillId="174" fontId="119" numFmtId="0" xfId="0" applyAlignment="1" applyBorder="1" applyFont="1">
      <alignment horizontal="center" vertical="center"/>
    </xf>
    <xf borderId="3720" fillId="173" fontId="110" numFmtId="0" xfId="0" applyAlignment="1" applyBorder="1" applyFont="1">
      <alignment horizontal="center" vertical="center"/>
    </xf>
    <xf borderId="3719" fillId="173" fontId="110" numFmtId="0" xfId="0" applyAlignment="1" applyBorder="1" applyFont="1">
      <alignment horizontal="center" vertical="center"/>
    </xf>
    <xf borderId="762" fillId="173" fontId="76" numFmtId="0" xfId="0" applyAlignment="1" applyBorder="1" applyFont="1">
      <alignment horizontal="right" readingOrder="0" vertical="center"/>
    </xf>
    <xf borderId="3720" fillId="173" fontId="110" numFmtId="0" xfId="0" applyAlignment="1" applyBorder="1" applyFont="1">
      <alignment horizontal="center" readingOrder="0" vertical="center"/>
    </xf>
    <xf borderId="3725" fillId="173" fontId="112" numFmtId="0" xfId="0" applyAlignment="1" applyBorder="1" applyFont="1">
      <alignment horizontal="center" vertical="center"/>
    </xf>
    <xf borderId="3726" fillId="0" fontId="4" numFmtId="0" xfId="0" applyBorder="1" applyFont="1"/>
    <xf borderId="3727" fillId="0" fontId="4" numFmtId="0" xfId="0" applyBorder="1" applyFont="1"/>
    <xf borderId="3724" fillId="173" fontId="110" numFmtId="0" xfId="0" applyAlignment="1" applyBorder="1" applyFont="1">
      <alignment horizontal="center" vertical="center"/>
    </xf>
    <xf borderId="3720" fillId="173" fontId="125" numFmtId="0" xfId="0" applyAlignment="1" applyBorder="1" applyFont="1">
      <alignment horizontal="center" readingOrder="0" vertical="center"/>
    </xf>
    <xf borderId="3728" fillId="173" fontId="114" numFmtId="0" xfId="0" applyAlignment="1" applyBorder="1" applyFont="1">
      <alignment horizontal="center" readingOrder="0" vertical="top"/>
    </xf>
    <xf borderId="3729" fillId="0" fontId="4" numFmtId="0" xfId="0" applyBorder="1" applyFont="1"/>
    <xf borderId="3730" fillId="0" fontId="4" numFmtId="0" xfId="0" applyBorder="1" applyFont="1"/>
    <xf borderId="3731" fillId="173" fontId="110" numFmtId="0" xfId="0" applyAlignment="1" applyBorder="1" applyFont="1">
      <alignment horizontal="center" vertical="center"/>
    </xf>
    <xf borderId="3732" fillId="173" fontId="110" numFmtId="0" xfId="0" applyAlignment="1" applyBorder="1" applyFont="1">
      <alignment horizontal="right" vertical="top"/>
    </xf>
    <xf borderId="3732" fillId="173" fontId="110" numFmtId="0" xfId="0" applyAlignment="1" applyBorder="1" applyFont="1">
      <alignment horizontal="left" vertical="top"/>
    </xf>
    <xf borderId="3733" fillId="173" fontId="110" numFmtId="0" xfId="0" applyAlignment="1" applyBorder="1" applyFont="1">
      <alignment horizontal="center" vertical="top"/>
    </xf>
    <xf borderId="3734" fillId="173" fontId="110" numFmtId="0" xfId="0" applyAlignment="1" applyBorder="1" applyFont="1">
      <alignment horizontal="center" vertical="top"/>
    </xf>
    <xf borderId="3735" fillId="0" fontId="4" numFmtId="0" xfId="0" applyBorder="1" applyFont="1"/>
    <xf borderId="3736" fillId="173" fontId="140" numFmtId="0" xfId="0" applyAlignment="1" applyBorder="1" applyFont="1">
      <alignment horizontal="center" vertical="center"/>
    </xf>
    <xf borderId="3737" fillId="173" fontId="110" numFmtId="0" xfId="0" applyAlignment="1" applyBorder="1" applyFont="1">
      <alignment horizontal="center" vertical="center"/>
    </xf>
    <xf borderId="3738" fillId="173" fontId="110" numFmtId="0" xfId="0" applyAlignment="1" applyBorder="1" applyFont="1">
      <alignment horizontal="center" vertical="top"/>
    </xf>
    <xf borderId="3739" fillId="173" fontId="110" numFmtId="0" xfId="0" applyAlignment="1" applyBorder="1" applyFont="1">
      <alignment horizontal="center" vertical="top"/>
    </xf>
    <xf borderId="3740" fillId="0" fontId="4" numFmtId="0" xfId="0" applyBorder="1" applyFont="1"/>
    <xf borderId="3741" fillId="173" fontId="110" numFmtId="0" xfId="0" applyAlignment="1" applyBorder="1" applyFont="1">
      <alignment horizontal="center" vertical="center"/>
    </xf>
    <xf borderId="3742" fillId="0" fontId="4" numFmtId="0" xfId="0" applyBorder="1" applyFont="1"/>
    <xf borderId="3743" fillId="0" fontId="4" numFmtId="0" xfId="0" applyBorder="1" applyFont="1"/>
    <xf borderId="3741" fillId="173" fontId="110" numFmtId="0" xfId="0" applyAlignment="1" applyBorder="1" applyFont="1">
      <alignment horizontal="center" readingOrder="0" vertical="center"/>
    </xf>
    <xf borderId="3744" fillId="173" fontId="110" numFmtId="0" xfId="0" applyAlignment="1" applyBorder="1" applyFont="1">
      <alignment horizontal="center" vertical="center"/>
    </xf>
    <xf borderId="3745" fillId="0" fontId="4" numFmtId="0" xfId="0" applyBorder="1" applyFont="1"/>
    <xf borderId="3746" fillId="173" fontId="110" numFmtId="0" xfId="0" applyAlignment="1" applyBorder="1" applyFont="1">
      <alignment horizontal="center" readingOrder="0" vertical="center"/>
    </xf>
    <xf borderId="3747" fillId="0" fontId="4" numFmtId="0" xfId="0" applyBorder="1" applyFont="1"/>
    <xf borderId="3748" fillId="0" fontId="4" numFmtId="0" xfId="0" applyBorder="1" applyFont="1"/>
    <xf borderId="3749" fillId="173" fontId="110" numFmtId="0" xfId="0" applyAlignment="1" applyBorder="1" applyFont="1">
      <alignment horizontal="center" vertical="center"/>
    </xf>
    <xf borderId="3717" fillId="0" fontId="4" numFmtId="0" xfId="0" applyBorder="1" applyFont="1"/>
    <xf borderId="3750" fillId="0" fontId="4" numFmtId="0" xfId="0" applyBorder="1" applyFont="1"/>
    <xf borderId="3743" fillId="173" fontId="110" numFmtId="0" xfId="0" applyAlignment="1" applyBorder="1" applyFont="1">
      <alignment horizontal="center" vertical="center"/>
    </xf>
    <xf borderId="3745" fillId="173" fontId="110" numFmtId="0" xfId="0" applyAlignment="1" applyBorder="1" applyFont="1">
      <alignment horizontal="center" vertical="center"/>
    </xf>
    <xf borderId="3751" fillId="173" fontId="110" numFmtId="0" xfId="0" applyAlignment="1" applyBorder="1" applyFont="1">
      <alignment horizontal="center" vertical="center"/>
    </xf>
    <xf borderId="3752" fillId="0" fontId="4" numFmtId="0" xfId="0" applyBorder="1" applyFont="1"/>
    <xf borderId="3753" fillId="0" fontId="4" numFmtId="0" xfId="0" applyBorder="1" applyFont="1"/>
    <xf borderId="3754" fillId="173" fontId="110" numFmtId="0" xfId="0" applyAlignment="1" applyBorder="1" applyFont="1">
      <alignment horizontal="center" vertical="center"/>
    </xf>
    <xf borderId="3719" fillId="173" fontId="124" numFmtId="0" xfId="0" applyAlignment="1" applyBorder="1" applyFont="1">
      <alignment horizontal="center" vertical="center"/>
    </xf>
    <xf borderId="3720" fillId="173" fontId="74" numFmtId="0" xfId="0" applyAlignment="1" applyBorder="1" applyFont="1">
      <alignment horizontal="right" vertical="center"/>
    </xf>
    <xf borderId="3720" fillId="173" fontId="131" numFmtId="0" xfId="0" applyAlignment="1" applyBorder="1" applyFont="1">
      <alignment horizontal="center" vertical="center"/>
    </xf>
    <xf borderId="3720" fillId="173" fontId="131" numFmtId="0" xfId="0" applyAlignment="1" applyBorder="1" applyFont="1">
      <alignment horizontal="center" vertical="top"/>
    </xf>
    <xf borderId="3736" fillId="173" fontId="131" numFmtId="0" xfId="0" applyAlignment="1" applyBorder="1" applyFont="1">
      <alignment horizontal="center" vertical="top"/>
    </xf>
    <xf borderId="3736" fillId="173" fontId="132" numFmtId="0" xfId="0" applyAlignment="1" applyBorder="1" applyFont="1">
      <alignment horizontal="center" vertical="center"/>
    </xf>
    <xf borderId="3720" fillId="173" fontId="132" numFmtId="0" xfId="0" applyAlignment="1" applyBorder="1" applyFont="1">
      <alignment horizontal="center" vertical="center"/>
    </xf>
    <xf borderId="3724" fillId="173" fontId="124" numFmtId="0" xfId="0" applyAlignment="1" applyBorder="1" applyFont="1">
      <alignment horizontal="center" vertical="center"/>
    </xf>
    <xf borderId="3719" fillId="173" fontId="133" numFmtId="0" xfId="0" applyAlignment="1" applyBorder="1" applyFont="1">
      <alignment horizontal="center" vertical="center"/>
    </xf>
    <xf borderId="3720" fillId="173" fontId="106" numFmtId="0" xfId="0" applyAlignment="1" applyBorder="1" applyFont="1">
      <alignment horizontal="center" vertical="center"/>
    </xf>
    <xf borderId="237" fillId="174" fontId="104" numFmtId="0" xfId="0" applyAlignment="1" applyBorder="1" applyFont="1">
      <alignment horizontal="center" readingOrder="0" vertical="top"/>
    </xf>
    <xf borderId="240" fillId="174" fontId="104" numFmtId="0" xfId="0" applyAlignment="1" applyBorder="1" applyFont="1">
      <alignment horizontal="center" readingOrder="0" vertical="top"/>
    </xf>
    <xf borderId="3721" fillId="173" fontId="106" numFmtId="0" xfId="0" applyAlignment="1" applyBorder="1" applyFont="1">
      <alignment horizontal="center" vertical="center"/>
    </xf>
    <xf borderId="3721" fillId="173" fontId="133" numFmtId="0" xfId="0" applyAlignment="1" applyBorder="1" applyFont="1">
      <alignment horizontal="center" vertical="center"/>
    </xf>
    <xf borderId="3724" fillId="173" fontId="133" numFmtId="0" xfId="0" applyAlignment="1" applyBorder="1" applyFont="1">
      <alignment horizontal="center" vertical="center"/>
    </xf>
    <xf borderId="3755" fillId="174" fontId="104" numFmtId="0" xfId="0" applyAlignment="1" applyBorder="1" applyFont="1">
      <alignment horizontal="center" readingOrder="0" vertical="center"/>
    </xf>
    <xf borderId="3756" fillId="174" fontId="104" numFmtId="0" xfId="0" applyAlignment="1" applyBorder="1" applyFont="1">
      <alignment horizontal="center" readingOrder="0" vertical="center"/>
    </xf>
    <xf borderId="3757" fillId="174" fontId="104" numFmtId="0" xfId="0" applyAlignment="1" applyBorder="1" applyFont="1">
      <alignment horizontal="left" readingOrder="0" vertical="center"/>
    </xf>
    <xf borderId="3758" fillId="174" fontId="104" numFmtId="0" xfId="0" applyAlignment="1" applyBorder="1" applyFont="1">
      <alignment horizontal="center" readingOrder="0" vertical="center"/>
    </xf>
    <xf borderId="3720" fillId="173" fontId="133" numFmtId="0" xfId="0" applyAlignment="1" applyBorder="1" applyFont="1">
      <alignment horizontal="center" vertical="center"/>
    </xf>
    <xf borderId="3759" fillId="174" fontId="104" numFmtId="0" xfId="0" applyAlignment="1" applyBorder="1" applyFont="1">
      <alignment horizontal="center" readingOrder="0" vertical="center"/>
    </xf>
    <xf borderId="3760" fillId="174" fontId="104" numFmtId="0" xfId="0" applyAlignment="1" applyBorder="1" applyFont="1">
      <alignment horizontal="center" readingOrder="0" vertical="center"/>
    </xf>
    <xf borderId="3761" fillId="174" fontId="104" numFmtId="0" xfId="0" applyAlignment="1" applyBorder="1" applyFont="1">
      <alignment horizontal="left" readingOrder="0" vertical="center"/>
    </xf>
    <xf borderId="3762" fillId="174" fontId="104" numFmtId="0" xfId="0" applyAlignment="1" applyBorder="1" applyFont="1">
      <alignment horizontal="center" readingOrder="0" vertical="center"/>
    </xf>
    <xf borderId="3763" fillId="174" fontId="104" numFmtId="0" xfId="0" applyAlignment="1" applyBorder="1" applyFont="1">
      <alignment horizontal="center" readingOrder="0" vertical="center"/>
    </xf>
    <xf borderId="3764" fillId="174" fontId="104" numFmtId="0" xfId="0" applyAlignment="1" applyBorder="1" applyFont="1">
      <alignment horizontal="center" readingOrder="0" vertical="center"/>
    </xf>
    <xf borderId="3765" fillId="174" fontId="104" numFmtId="0" xfId="0" applyAlignment="1" applyBorder="1" applyFont="1">
      <alignment horizontal="left" readingOrder="0" vertical="center"/>
    </xf>
    <xf borderId="3766" fillId="174" fontId="104" numFmtId="0" xfId="0" applyAlignment="1" applyBorder="1" applyFont="1">
      <alignment horizontal="center" readingOrder="0" vertical="center"/>
    </xf>
    <xf borderId="253" fillId="174" fontId="104" numFmtId="0" xfId="0" applyAlignment="1" applyBorder="1" applyFont="1">
      <alignment horizontal="right" readingOrder="0" vertical="center"/>
    </xf>
    <xf borderId="256" fillId="174" fontId="104" numFmtId="0" xfId="0" applyAlignment="1" applyBorder="1" applyFont="1">
      <alignment horizontal="center" readingOrder="0" vertical="center"/>
    </xf>
    <xf borderId="3767" fillId="173" fontId="133" numFmtId="0" xfId="0" applyAlignment="1" applyBorder="1" applyFont="1">
      <alignment horizontal="center" vertical="center"/>
    </xf>
    <xf borderId="3768" fillId="173" fontId="74" numFmtId="0" xfId="0" applyAlignment="1" applyBorder="1" applyFont="1">
      <alignment horizontal="right" vertical="center"/>
    </xf>
    <xf borderId="3768" fillId="173" fontId="106" numFmtId="0" xfId="0" applyAlignment="1" applyBorder="1" applyFont="1">
      <alignment horizontal="center" vertical="center"/>
    </xf>
    <xf borderId="3769" fillId="173" fontId="74" numFmtId="0" xfId="0" applyAlignment="1" applyBorder="1" applyFont="1">
      <alignment horizontal="right" vertical="center"/>
    </xf>
    <xf borderId="3768" fillId="173" fontId="133" numFmtId="0" xfId="0" applyAlignment="1" applyBorder="1" applyFont="1">
      <alignment horizontal="center" vertical="center"/>
    </xf>
    <xf borderId="3769" fillId="173" fontId="133" numFmtId="0" xfId="0" applyAlignment="1" applyBorder="1" applyFont="1">
      <alignment horizontal="center" vertical="center"/>
    </xf>
    <xf borderId="3770" fillId="173" fontId="133" numFmtId="0" xfId="0" applyAlignment="1" applyBorder="1" applyFont="1">
      <alignment horizontal="center" vertical="center"/>
    </xf>
    <xf borderId="621" fillId="83" fontId="125" numFmtId="0" xfId="0" applyAlignment="1" applyBorder="1" applyFont="1">
      <alignment horizontal="center" vertical="center"/>
    </xf>
    <xf borderId="623" fillId="83" fontId="140" numFmtId="0" xfId="0" applyAlignment="1" applyBorder="1" applyFont="1">
      <alignment horizontal="center" vertical="center"/>
    </xf>
    <xf borderId="623" fillId="83" fontId="125" numFmtId="0" xfId="0" applyAlignment="1" applyBorder="1" applyFont="1">
      <alignment horizontal="center" vertical="center"/>
    </xf>
    <xf borderId="623" fillId="83" fontId="110" numFmtId="0" xfId="0" applyAlignment="1" applyBorder="1" applyFont="1">
      <alignment horizontal="center" vertical="center"/>
    </xf>
    <xf borderId="623" fillId="83" fontId="110" numFmtId="0" xfId="0" applyAlignment="1" applyBorder="1" applyFont="1">
      <alignment horizontal="center" vertical="center"/>
    </xf>
    <xf borderId="624" fillId="83" fontId="125" numFmtId="0" xfId="0" applyAlignment="1" applyBorder="1" applyFont="1">
      <alignment horizontal="center" vertical="center"/>
    </xf>
    <xf borderId="634" fillId="83" fontId="125" numFmtId="0" xfId="0" applyAlignment="1" applyBorder="1" applyFont="1">
      <alignment horizontal="center" vertical="center"/>
    </xf>
    <xf borderId="189" fillId="175" fontId="76" numFmtId="0" xfId="0" applyAlignment="1" applyBorder="1" applyFill="1" applyFont="1">
      <alignment horizontal="center" vertical="center"/>
    </xf>
    <xf borderId="653" fillId="83" fontId="127" numFmtId="0" xfId="0" applyAlignment="1" applyBorder="1" applyFont="1">
      <alignment horizontal="center" vertical="center"/>
    </xf>
    <xf borderId="969" fillId="175" fontId="119" numFmtId="0" xfId="0" applyAlignment="1" applyBorder="1" applyFont="1">
      <alignment horizontal="center" vertical="center"/>
    </xf>
    <xf borderId="653" fillId="83" fontId="110" numFmtId="0" xfId="0" applyAlignment="1" applyBorder="1" applyFont="1">
      <alignment horizontal="center" vertical="center"/>
    </xf>
    <xf borderId="653" fillId="83" fontId="125" numFmtId="0" xfId="0" applyAlignment="1" applyBorder="1" applyFont="1">
      <alignment horizontal="center" vertical="center"/>
    </xf>
    <xf borderId="635" fillId="83" fontId="125" numFmtId="0" xfId="0" applyAlignment="1" applyBorder="1" applyFont="1">
      <alignment horizontal="center" vertical="center"/>
    </xf>
    <xf borderId="3771" fillId="0" fontId="4" numFmtId="0" xfId="0" applyBorder="1" applyFont="1"/>
    <xf borderId="659" fillId="83" fontId="125" numFmtId="0" xfId="0" applyAlignment="1" applyBorder="1" applyFont="1">
      <alignment horizontal="center" vertical="center"/>
    </xf>
    <xf borderId="634" fillId="83" fontId="110" numFmtId="0" xfId="0" applyAlignment="1" applyBorder="1" applyFont="1">
      <alignment horizontal="center" vertical="center"/>
    </xf>
    <xf borderId="762" fillId="83" fontId="76" numFmtId="0" xfId="0" applyAlignment="1" applyBorder="1" applyFont="1">
      <alignment horizontal="right" readingOrder="0" vertical="center"/>
    </xf>
    <xf borderId="653" fillId="83" fontId="110" numFmtId="0" xfId="0" applyAlignment="1" applyBorder="1" applyFont="1">
      <alignment horizontal="center" readingOrder="0" vertical="center"/>
    </xf>
    <xf borderId="3772" fillId="83" fontId="112" numFmtId="0" xfId="0" applyAlignment="1" applyBorder="1" applyFont="1">
      <alignment horizontal="center" readingOrder="0" vertical="center"/>
    </xf>
    <xf borderId="3773" fillId="0" fontId="4" numFmtId="0" xfId="0" applyBorder="1" applyFont="1"/>
    <xf borderId="3774" fillId="0" fontId="4" numFmtId="0" xfId="0" applyBorder="1" applyFont="1"/>
    <xf borderId="635" fillId="83" fontId="110" numFmtId="0" xfId="0" applyAlignment="1" applyBorder="1" applyFont="1">
      <alignment horizontal="center" vertical="center"/>
    </xf>
    <xf borderId="659" fillId="83" fontId="110" numFmtId="0" xfId="0" applyAlignment="1" applyBorder="1" applyFont="1">
      <alignment horizontal="center" vertical="center"/>
    </xf>
    <xf borderId="653" fillId="83" fontId="125" numFmtId="0" xfId="0" applyAlignment="1" applyBorder="1" applyFont="1">
      <alignment horizontal="center" readingOrder="0" vertical="center"/>
    </xf>
    <xf borderId="3775" fillId="83" fontId="114" numFmtId="0" xfId="0" applyAlignment="1" applyBorder="1" applyFont="1">
      <alignment horizontal="center" readingOrder="0" vertical="top"/>
    </xf>
    <xf borderId="3776" fillId="0" fontId="4" numFmtId="0" xfId="0" applyBorder="1" applyFont="1"/>
    <xf borderId="3777" fillId="0" fontId="4" numFmtId="0" xfId="0" applyBorder="1" applyFont="1"/>
    <xf borderId="3778" fillId="83" fontId="110" numFmtId="0" xfId="0" applyAlignment="1" applyBorder="1" applyFont="1">
      <alignment horizontal="center" vertical="center"/>
    </xf>
    <xf borderId="3779" fillId="83" fontId="110" numFmtId="0" xfId="0" applyAlignment="1" applyBorder="1" applyFont="1">
      <alignment horizontal="right" vertical="top"/>
    </xf>
    <xf borderId="3779" fillId="83" fontId="110" numFmtId="0" xfId="0" applyAlignment="1" applyBorder="1" applyFont="1">
      <alignment horizontal="left" vertical="top"/>
    </xf>
    <xf borderId="3780" fillId="83" fontId="110" numFmtId="0" xfId="0" applyAlignment="1" applyBorder="1" applyFont="1">
      <alignment horizontal="center" vertical="top"/>
    </xf>
    <xf borderId="648" fillId="83" fontId="140" numFmtId="0" xfId="0" applyAlignment="1" applyBorder="1" applyFont="1">
      <alignment horizontal="center" vertical="center"/>
    </xf>
    <xf borderId="641" fillId="83" fontId="110" numFmtId="0" xfId="0" applyAlignment="1" applyBorder="1" applyFont="1">
      <alignment horizontal="center" vertical="center"/>
    </xf>
    <xf borderId="642" fillId="83" fontId="110" numFmtId="0" xfId="0" applyAlignment="1" applyBorder="1" applyFont="1">
      <alignment horizontal="center" vertical="top"/>
    </xf>
    <xf borderId="643" fillId="83" fontId="110" numFmtId="0" xfId="0" applyAlignment="1" applyBorder="1" applyFont="1">
      <alignment horizontal="center" vertical="top"/>
    </xf>
    <xf borderId="645" fillId="83" fontId="110" numFmtId="0" xfId="0" applyAlignment="1" applyBorder="1" applyFont="1">
      <alignment horizontal="center" vertical="center"/>
    </xf>
    <xf borderId="632" fillId="83" fontId="110" numFmtId="0" xfId="0" applyAlignment="1" applyBorder="1" applyFont="1">
      <alignment horizontal="center" vertical="center"/>
    </xf>
    <xf borderId="649" fillId="83" fontId="110" numFmtId="0" xfId="0" applyAlignment="1" applyBorder="1" applyFont="1">
      <alignment horizontal="center" vertical="center"/>
    </xf>
    <xf borderId="651" fillId="83" fontId="110" numFmtId="0" xfId="0" applyAlignment="1" applyBorder="1" applyFont="1">
      <alignment horizontal="center" vertical="center"/>
    </xf>
    <xf borderId="3781" fillId="0" fontId="4" numFmtId="0" xfId="0" applyBorder="1" applyFont="1"/>
    <xf borderId="652" fillId="83" fontId="110" numFmtId="0" xfId="0" applyAlignment="1" applyBorder="1" applyFont="1">
      <alignment horizontal="center" vertical="center"/>
    </xf>
    <xf borderId="653" fillId="83" fontId="140" numFmtId="0" xfId="0" applyAlignment="1" applyBorder="1" applyFont="1">
      <alignment horizontal="center" vertical="center"/>
    </xf>
    <xf borderId="654" fillId="83" fontId="110" numFmtId="0" xfId="0" applyAlignment="1" applyBorder="1" applyFont="1">
      <alignment horizontal="center" vertical="center"/>
    </xf>
    <xf borderId="655" fillId="83" fontId="110" numFmtId="0" xfId="0" applyAlignment="1" applyBorder="1" applyFont="1">
      <alignment horizontal="center" vertical="center"/>
    </xf>
    <xf borderId="3782" fillId="0" fontId="4" numFmtId="0" xfId="0" applyBorder="1" applyFont="1"/>
    <xf borderId="3783" fillId="0" fontId="4" numFmtId="0" xfId="0" applyBorder="1" applyFont="1"/>
    <xf borderId="657" fillId="83" fontId="110" numFmtId="0" xfId="0" applyAlignment="1" applyBorder="1" applyFont="1">
      <alignment horizontal="center" vertical="center"/>
    </xf>
    <xf borderId="634" fillId="83" fontId="124" numFmtId="0" xfId="0" applyAlignment="1" applyBorder="1" applyFont="1">
      <alignment horizontal="center" vertical="center"/>
    </xf>
    <xf borderId="653" fillId="83" fontId="74" numFmtId="0" xfId="0" applyAlignment="1" applyBorder="1" applyFont="1">
      <alignment horizontal="right" vertical="center"/>
    </xf>
    <xf borderId="653" fillId="83" fontId="131" numFmtId="0" xfId="0" applyAlignment="1" applyBorder="1" applyFont="1">
      <alignment horizontal="center" vertical="center"/>
    </xf>
    <xf borderId="653" fillId="83" fontId="131" numFmtId="0" xfId="0" applyAlignment="1" applyBorder="1" applyFont="1">
      <alignment horizontal="center" vertical="top"/>
    </xf>
    <xf borderId="648" fillId="83" fontId="131" numFmtId="0" xfId="0" applyAlignment="1" applyBorder="1" applyFont="1">
      <alignment horizontal="center" vertical="top"/>
    </xf>
    <xf borderId="648" fillId="83" fontId="132" numFmtId="0" xfId="0" applyAlignment="1" applyBorder="1" applyFont="1">
      <alignment horizontal="center" vertical="center"/>
    </xf>
    <xf borderId="653" fillId="83" fontId="132" numFmtId="0" xfId="0" applyAlignment="1" applyBorder="1" applyFont="1">
      <alignment horizontal="center" vertical="center"/>
    </xf>
    <xf borderId="659" fillId="83" fontId="124" numFmtId="0" xfId="0" applyAlignment="1" applyBorder="1" applyFont="1">
      <alignment horizontal="center" vertical="center"/>
    </xf>
    <xf borderId="634" fillId="83" fontId="133" numFmtId="0" xfId="0" applyAlignment="1" applyBorder="1" applyFont="1">
      <alignment horizontal="center" vertical="center"/>
    </xf>
    <xf borderId="653" fillId="83" fontId="74" numFmtId="0" xfId="0" applyAlignment="1" applyBorder="1" applyFont="1">
      <alignment horizontal="right" readingOrder="0" vertical="center"/>
    </xf>
    <xf borderId="237" fillId="176" fontId="104" numFmtId="0" xfId="0" applyAlignment="1" applyBorder="1" applyFill="1" applyFont="1">
      <alignment horizontal="center" readingOrder="0" vertical="top"/>
    </xf>
    <xf borderId="240" fillId="176" fontId="104" numFmtId="0" xfId="0" applyAlignment="1" applyBorder="1" applyFont="1">
      <alignment horizontal="center" readingOrder="0" vertical="top"/>
    </xf>
    <xf borderId="635" fillId="83" fontId="106" numFmtId="0" xfId="0" applyAlignment="1" applyBorder="1" applyFont="1">
      <alignment horizontal="center" vertical="center"/>
    </xf>
    <xf borderId="653" fillId="83" fontId="133" numFmtId="0" xfId="0" applyAlignment="1" applyBorder="1" applyFont="1">
      <alignment horizontal="center" vertical="center"/>
    </xf>
    <xf borderId="635" fillId="83" fontId="133" numFmtId="0" xfId="0" applyAlignment="1" applyBorder="1" applyFont="1">
      <alignment horizontal="center" vertical="center"/>
    </xf>
    <xf borderId="659" fillId="83" fontId="133" numFmtId="0" xfId="0" applyAlignment="1" applyBorder="1" applyFont="1">
      <alignment horizontal="center" vertical="center"/>
    </xf>
    <xf borderId="3784" fillId="176" fontId="104" numFmtId="0" xfId="0" applyAlignment="1" applyBorder="1" applyFont="1">
      <alignment horizontal="center" readingOrder="0" vertical="center"/>
    </xf>
    <xf borderId="3785" fillId="176" fontId="104" numFmtId="0" xfId="0" applyAlignment="1" applyBorder="1" applyFont="1">
      <alignment horizontal="center" readingOrder="0" vertical="center"/>
    </xf>
    <xf borderId="3786" fillId="176" fontId="104" numFmtId="0" xfId="0" applyAlignment="1" applyBorder="1" applyFont="1">
      <alignment horizontal="left" readingOrder="0" vertical="center"/>
    </xf>
    <xf borderId="3787" fillId="176" fontId="104" numFmtId="0" xfId="0" applyAlignment="1" applyBorder="1" applyFont="1">
      <alignment horizontal="center" readingOrder="0" vertical="center"/>
    </xf>
    <xf borderId="3788" fillId="176" fontId="104" numFmtId="0" xfId="0" applyAlignment="1" applyBorder="1" applyFont="1">
      <alignment horizontal="center" readingOrder="0" vertical="center"/>
    </xf>
    <xf borderId="3789" fillId="176" fontId="104" numFmtId="0" xfId="0" applyAlignment="1" applyBorder="1" applyFont="1">
      <alignment horizontal="center" readingOrder="0" vertical="center"/>
    </xf>
    <xf borderId="3790" fillId="176" fontId="104" numFmtId="0" xfId="0" applyAlignment="1" applyBorder="1" applyFont="1">
      <alignment horizontal="left" readingOrder="0" vertical="center"/>
    </xf>
    <xf borderId="3791" fillId="176" fontId="104" numFmtId="0" xfId="0" applyAlignment="1" applyBorder="1" applyFont="1">
      <alignment horizontal="center" readingOrder="0" vertical="center"/>
    </xf>
    <xf borderId="3792" fillId="176" fontId="104" numFmtId="0" xfId="0" applyAlignment="1" applyBorder="1" applyFont="1">
      <alignment horizontal="center" readingOrder="0" vertical="center"/>
    </xf>
    <xf borderId="3793" fillId="176" fontId="104" numFmtId="0" xfId="0" applyAlignment="1" applyBorder="1" applyFont="1">
      <alignment horizontal="center" readingOrder="0" vertical="center"/>
    </xf>
    <xf borderId="3794" fillId="176" fontId="104" numFmtId="0" xfId="0" applyAlignment="1" applyBorder="1" applyFont="1">
      <alignment horizontal="left" readingOrder="0" vertical="center"/>
    </xf>
    <xf borderId="3795" fillId="176" fontId="104" numFmtId="0" xfId="0" applyAlignment="1" applyBorder="1" applyFont="1">
      <alignment horizontal="center" readingOrder="0" vertical="center"/>
    </xf>
    <xf borderId="253" fillId="176" fontId="104" numFmtId="0" xfId="0" applyAlignment="1" applyBorder="1" applyFont="1">
      <alignment horizontal="right" readingOrder="0" vertical="center"/>
    </xf>
    <xf borderId="256" fillId="176" fontId="104" numFmtId="0" xfId="0" applyAlignment="1" applyBorder="1" applyFont="1">
      <alignment horizontal="center" readingOrder="0" vertical="center"/>
    </xf>
    <xf borderId="543" fillId="176" fontId="104" numFmtId="0" xfId="0" applyAlignment="1" applyBorder="1" applyFont="1">
      <alignment horizontal="right" readingOrder="0" vertical="center"/>
    </xf>
    <xf borderId="546" fillId="176" fontId="104" numFmtId="0" xfId="0" applyAlignment="1" applyBorder="1" applyFont="1">
      <alignment horizontal="center" readingOrder="0" vertical="center"/>
    </xf>
    <xf borderId="653" fillId="83" fontId="110" numFmtId="0" xfId="0" applyAlignment="1" applyBorder="1" applyFont="1">
      <alignment horizontal="center" vertical="center"/>
    </xf>
    <xf borderId="548" fillId="176" fontId="104" numFmtId="0" xfId="0" applyAlignment="1" applyBorder="1" applyFont="1">
      <alignment horizontal="right" readingOrder="0" vertical="center"/>
    </xf>
    <xf borderId="551" fillId="176" fontId="104" numFmtId="0" xfId="0" applyAlignment="1" applyBorder="1" applyFont="1">
      <alignment horizontal="center" readingOrder="0" vertical="center"/>
    </xf>
    <xf borderId="672" fillId="83" fontId="125" numFmtId="0" xfId="0" applyAlignment="1" applyBorder="1" applyFont="1">
      <alignment horizontal="center" vertical="center"/>
    </xf>
    <xf borderId="673" fillId="83" fontId="138" numFmtId="0" xfId="0" applyAlignment="1" applyBorder="1" applyFont="1">
      <alignment horizontal="center" readingOrder="0" vertical="center"/>
    </xf>
    <xf borderId="675" fillId="83" fontId="125" numFmtId="0" xfId="0" applyAlignment="1" applyBorder="1" applyFont="1">
      <alignment horizontal="center" vertical="center"/>
    </xf>
    <xf borderId="3796" fillId="177" fontId="125" numFmtId="0" xfId="0" applyAlignment="1" applyBorder="1" applyFill="1" applyFont="1">
      <alignment horizontal="center" vertical="center"/>
    </xf>
    <xf borderId="3797" fillId="177" fontId="138" numFmtId="0" xfId="0" applyAlignment="1" applyBorder="1" applyFont="1">
      <alignment horizontal="center" readingOrder="0" vertical="center"/>
    </xf>
    <xf borderId="3798" fillId="177" fontId="125" numFmtId="0" xfId="0" applyAlignment="1" applyBorder="1" applyFont="1">
      <alignment horizontal="center" vertical="center"/>
    </xf>
    <xf borderId="3799" fillId="177" fontId="125" numFmtId="0" xfId="0" applyAlignment="1" applyBorder="1" applyFont="1">
      <alignment horizontal="center" vertical="center"/>
    </xf>
    <xf borderId="189" fillId="178" fontId="76" numFmtId="0" xfId="0" applyAlignment="1" applyBorder="1" applyFill="1" applyFont="1">
      <alignment horizontal="center" vertical="center"/>
    </xf>
    <xf borderId="3800" fillId="177" fontId="127" numFmtId="0" xfId="0" applyAlignment="1" applyBorder="1" applyFont="1">
      <alignment horizontal="center" vertical="center"/>
    </xf>
    <xf borderId="969" fillId="178" fontId="119" numFmtId="0" xfId="0" applyAlignment="1" applyBorder="1" applyFont="1">
      <alignment horizontal="center" vertical="center"/>
    </xf>
    <xf borderId="3800" fillId="177" fontId="110" numFmtId="0" xfId="0" applyAlignment="1" applyBorder="1" applyFont="1">
      <alignment horizontal="center" vertical="center"/>
    </xf>
    <xf borderId="3800" fillId="177" fontId="125" numFmtId="0" xfId="0" applyAlignment="1" applyBorder="1" applyFont="1">
      <alignment horizontal="center" vertical="center"/>
    </xf>
    <xf borderId="3801" fillId="177" fontId="125" numFmtId="0" xfId="0" applyAlignment="1" applyBorder="1" applyFont="1">
      <alignment horizontal="center" vertical="center"/>
    </xf>
    <xf borderId="3802" fillId="0" fontId="4" numFmtId="0" xfId="0" applyBorder="1" applyFont="1"/>
    <xf borderId="3803" fillId="0" fontId="4" numFmtId="0" xfId="0" applyBorder="1" applyFont="1"/>
    <xf borderId="3804" fillId="177" fontId="125" numFmtId="0" xfId="0" applyAlignment="1" applyBorder="1" applyFont="1">
      <alignment horizontal="center" vertical="center"/>
    </xf>
    <xf borderId="3799" fillId="177" fontId="110" numFmtId="0" xfId="0" applyAlignment="1" applyBorder="1" applyFont="1">
      <alignment horizontal="center" vertical="center"/>
    </xf>
    <xf borderId="762" fillId="177" fontId="76" numFmtId="0" xfId="0" applyAlignment="1" applyBorder="1" applyFont="1">
      <alignment horizontal="right" readingOrder="0" vertical="center"/>
    </xf>
    <xf borderId="3800" fillId="177" fontId="110" numFmtId="0" xfId="0" applyAlignment="1" applyBorder="1" applyFont="1">
      <alignment horizontal="center" readingOrder="0" vertical="center"/>
    </xf>
    <xf borderId="3805" fillId="177" fontId="112" numFmtId="0" xfId="0" applyAlignment="1" applyBorder="1" applyFont="1">
      <alignment horizontal="center" vertical="center"/>
    </xf>
    <xf borderId="3806" fillId="0" fontId="4" numFmtId="0" xfId="0" applyBorder="1" applyFont="1"/>
    <xf borderId="3807" fillId="0" fontId="4" numFmtId="0" xfId="0" applyBorder="1" applyFont="1"/>
    <xf borderId="3801" fillId="177" fontId="110" numFmtId="0" xfId="0" applyAlignment="1" applyBorder="1" applyFont="1">
      <alignment horizontal="center" vertical="center"/>
    </xf>
    <xf borderId="3804" fillId="177" fontId="110" numFmtId="0" xfId="0" applyAlignment="1" applyBorder="1" applyFont="1">
      <alignment horizontal="center" vertical="center"/>
    </xf>
    <xf borderId="3800" fillId="177" fontId="125" numFmtId="0" xfId="0" applyAlignment="1" applyBorder="1" applyFont="1">
      <alignment horizontal="center" readingOrder="0" vertical="center"/>
    </xf>
    <xf borderId="3808" fillId="177" fontId="114" numFmtId="0" xfId="0" applyAlignment="1" applyBorder="1" applyFont="1">
      <alignment horizontal="center" readingOrder="0" vertical="top"/>
    </xf>
    <xf borderId="3809" fillId="0" fontId="4" numFmtId="0" xfId="0" applyBorder="1" applyFont="1"/>
    <xf borderId="3810" fillId="0" fontId="4" numFmtId="0" xfId="0" applyBorder="1" applyFont="1"/>
    <xf borderId="3811" fillId="177" fontId="110" numFmtId="0" xfId="0" applyAlignment="1" applyBorder="1" applyFont="1">
      <alignment horizontal="center" vertical="center"/>
    </xf>
    <xf borderId="3812" fillId="177" fontId="110" numFmtId="0" xfId="0" applyAlignment="1" applyBorder="1" applyFont="1">
      <alignment horizontal="right" vertical="top"/>
    </xf>
    <xf borderId="3812" fillId="177" fontId="110" numFmtId="0" xfId="0" applyAlignment="1" applyBorder="1" applyFont="1">
      <alignment horizontal="left" vertical="top"/>
    </xf>
    <xf borderId="3813" fillId="177" fontId="110" numFmtId="0" xfId="0" applyAlignment="1" applyBorder="1" applyFont="1">
      <alignment horizontal="center" vertical="top"/>
    </xf>
    <xf borderId="3814" fillId="177" fontId="110" numFmtId="0" xfId="0" applyAlignment="1" applyBorder="1" applyFont="1">
      <alignment horizontal="center" vertical="top"/>
    </xf>
    <xf borderId="3815" fillId="0" fontId="4" numFmtId="0" xfId="0" applyBorder="1" applyFont="1"/>
    <xf borderId="3816" fillId="177" fontId="140" numFmtId="0" xfId="0" applyAlignment="1" applyBorder="1" applyFont="1">
      <alignment horizontal="center" vertical="center"/>
    </xf>
    <xf borderId="3817" fillId="177" fontId="110" numFmtId="0" xfId="0" applyAlignment="1" applyBorder="1" applyFont="1">
      <alignment horizontal="center" vertical="center"/>
    </xf>
    <xf borderId="3818" fillId="177" fontId="110" numFmtId="0" xfId="0" applyAlignment="1" applyBorder="1" applyFont="1">
      <alignment horizontal="center" vertical="top"/>
    </xf>
    <xf borderId="3819" fillId="177" fontId="110" numFmtId="0" xfId="0" applyAlignment="1" applyBorder="1" applyFont="1">
      <alignment horizontal="center" vertical="top"/>
    </xf>
    <xf borderId="3797" fillId="0" fontId="4" numFmtId="0" xfId="0" applyBorder="1" applyFont="1"/>
    <xf borderId="3820" fillId="177" fontId="110" numFmtId="0" xfId="0" applyAlignment="1" applyBorder="1" applyFont="1">
      <alignment horizontal="center" readingOrder="0" vertical="center"/>
    </xf>
    <xf borderId="3821" fillId="0" fontId="4" numFmtId="0" xfId="0" applyBorder="1" applyFont="1"/>
    <xf borderId="3822" fillId="0" fontId="4" numFmtId="0" xfId="0" applyBorder="1" applyFont="1"/>
    <xf borderId="3800" fillId="177" fontId="140" numFmtId="0" xfId="0" applyAlignment="1" applyBorder="1" applyFont="1">
      <alignment horizontal="center" vertical="center"/>
    </xf>
    <xf borderId="3823" fillId="177" fontId="110" numFmtId="0" xfId="0" applyAlignment="1" applyBorder="1" applyFont="1">
      <alignment horizontal="center" vertical="center"/>
    </xf>
    <xf borderId="3824" fillId="0" fontId="4" numFmtId="0" xfId="0" applyBorder="1" applyFont="1"/>
    <xf borderId="3825" fillId="177" fontId="110" numFmtId="0" xfId="0" applyAlignment="1" applyBorder="1" applyFont="1">
      <alignment horizontal="center" vertical="center"/>
    </xf>
    <xf borderId="3826" fillId="0" fontId="4" numFmtId="0" xfId="0" applyBorder="1" applyFont="1"/>
    <xf borderId="3827" fillId="0" fontId="4" numFmtId="0" xfId="0" applyBorder="1" applyFont="1"/>
    <xf borderId="3828" fillId="177" fontId="110" numFmtId="0" xfId="0" applyAlignment="1" applyBorder="1" applyFont="1">
      <alignment horizontal="center" vertical="center"/>
    </xf>
    <xf borderId="3820" fillId="177" fontId="110" numFmtId="0" xfId="0" applyAlignment="1" applyBorder="1" applyFont="1">
      <alignment horizontal="center" vertical="center"/>
    </xf>
    <xf borderId="3829" fillId="0" fontId="4" numFmtId="0" xfId="0" applyBorder="1" applyFont="1"/>
    <xf borderId="3830" fillId="177" fontId="110" numFmtId="0" xfId="0" applyAlignment="1" applyBorder="1" applyFont="1">
      <alignment horizontal="center" vertical="center"/>
    </xf>
    <xf borderId="3800" fillId="177" fontId="74" numFmtId="0" xfId="0" applyAlignment="1" applyBorder="1" applyFont="1">
      <alignment horizontal="right" vertical="center"/>
    </xf>
    <xf borderId="3831" fillId="177" fontId="110" numFmtId="0" xfId="0" applyAlignment="1" applyBorder="1" applyFont="1">
      <alignment horizontal="center" vertical="center"/>
    </xf>
    <xf borderId="3800" fillId="177" fontId="74" numFmtId="0" xfId="0" applyAlignment="1" applyBorder="1" applyFont="1">
      <alignment horizontal="right" readingOrder="0" vertical="center"/>
    </xf>
    <xf borderId="3832" fillId="177" fontId="110" numFmtId="0" xfId="0" applyAlignment="1" applyBorder="1" applyFont="1">
      <alignment horizontal="center" vertical="center"/>
    </xf>
    <xf borderId="3833" fillId="0" fontId="4" numFmtId="0" xfId="0" applyBorder="1" applyFont="1"/>
    <xf borderId="3834" fillId="0" fontId="4" numFmtId="0" xfId="0" applyBorder="1" applyFont="1"/>
    <xf borderId="3835" fillId="177" fontId="110" numFmtId="0" xfId="0" applyAlignment="1" applyBorder="1" applyFont="1">
      <alignment horizontal="center" vertical="center"/>
    </xf>
    <xf borderId="3799" fillId="177" fontId="124" numFmtId="0" xfId="0" applyAlignment="1" applyBorder="1" applyFont="1">
      <alignment horizontal="center" vertical="center"/>
    </xf>
    <xf borderId="3800" fillId="177" fontId="131" numFmtId="0" xfId="0" applyAlignment="1" applyBorder="1" applyFont="1">
      <alignment horizontal="center" vertical="center"/>
    </xf>
    <xf borderId="3800" fillId="177" fontId="131" numFmtId="0" xfId="0" applyAlignment="1" applyBorder="1" applyFont="1">
      <alignment horizontal="center" vertical="top"/>
    </xf>
    <xf borderId="3816" fillId="177" fontId="131" numFmtId="0" xfId="0" applyAlignment="1" applyBorder="1" applyFont="1">
      <alignment horizontal="center" vertical="top"/>
    </xf>
    <xf borderId="3816" fillId="177" fontId="132" numFmtId="0" xfId="0" applyAlignment="1" applyBorder="1" applyFont="1">
      <alignment horizontal="center" vertical="center"/>
    </xf>
    <xf borderId="3800" fillId="177" fontId="132" numFmtId="0" xfId="0" applyAlignment="1" applyBorder="1" applyFont="1">
      <alignment horizontal="center" vertical="center"/>
    </xf>
    <xf borderId="3804" fillId="177" fontId="124" numFmtId="0" xfId="0" applyAlignment="1" applyBorder="1" applyFont="1">
      <alignment horizontal="center" vertical="center"/>
    </xf>
    <xf borderId="3799" fillId="177" fontId="133" numFmtId="0" xfId="0" applyAlignment="1" applyBorder="1" applyFont="1">
      <alignment horizontal="center" vertical="center"/>
    </xf>
    <xf borderId="3800" fillId="177" fontId="106" numFmtId="0" xfId="0" applyAlignment="1" applyBorder="1" applyFont="1">
      <alignment horizontal="center" vertical="center"/>
    </xf>
    <xf borderId="237" fillId="178" fontId="104" numFmtId="0" xfId="0" applyAlignment="1" applyBorder="1" applyFont="1">
      <alignment horizontal="center" readingOrder="0" vertical="top"/>
    </xf>
    <xf borderId="240" fillId="178" fontId="104" numFmtId="0" xfId="0" applyAlignment="1" applyBorder="1" applyFont="1">
      <alignment horizontal="center" readingOrder="0" vertical="top"/>
    </xf>
    <xf borderId="3801" fillId="177" fontId="106" numFmtId="0" xfId="0" applyAlignment="1" applyBorder="1" applyFont="1">
      <alignment horizontal="center" vertical="center"/>
    </xf>
    <xf borderId="3801" fillId="177" fontId="133" numFmtId="0" xfId="0" applyAlignment="1" applyBorder="1" applyFont="1">
      <alignment horizontal="center" vertical="center"/>
    </xf>
    <xf borderId="3800" fillId="177" fontId="133" numFmtId="0" xfId="0" applyAlignment="1" applyBorder="1" applyFont="1">
      <alignment horizontal="center" vertical="center"/>
    </xf>
    <xf borderId="3804" fillId="177" fontId="133" numFmtId="0" xfId="0" applyAlignment="1" applyBorder="1" applyFont="1">
      <alignment horizontal="center" vertical="center"/>
    </xf>
    <xf borderId="3836" fillId="178" fontId="104" numFmtId="0" xfId="0" applyAlignment="1" applyBorder="1" applyFont="1">
      <alignment horizontal="center" readingOrder="0" vertical="center"/>
    </xf>
    <xf borderId="3837" fillId="178" fontId="104" numFmtId="0" xfId="0" applyAlignment="1" applyBorder="1" applyFont="1">
      <alignment horizontal="center" readingOrder="0" vertical="center"/>
    </xf>
    <xf borderId="3838" fillId="178" fontId="104" numFmtId="0" xfId="0" applyAlignment="1" applyBorder="1" applyFont="1">
      <alignment horizontal="left" readingOrder="0" vertical="center"/>
    </xf>
    <xf borderId="3839" fillId="178" fontId="104" numFmtId="0" xfId="0" applyAlignment="1" applyBorder="1" applyFont="1">
      <alignment horizontal="center" readingOrder="0" vertical="center"/>
    </xf>
    <xf borderId="3840" fillId="178" fontId="104" numFmtId="0" xfId="0" applyAlignment="1" applyBorder="1" applyFont="1">
      <alignment horizontal="center" readingOrder="0" vertical="center"/>
    </xf>
    <xf borderId="3841" fillId="178" fontId="104" numFmtId="0" xfId="0" applyAlignment="1" applyBorder="1" applyFont="1">
      <alignment horizontal="center" readingOrder="0" vertical="center"/>
    </xf>
    <xf borderId="3842" fillId="178" fontId="104" numFmtId="0" xfId="0" applyAlignment="1" applyBorder="1" applyFont="1">
      <alignment horizontal="left" readingOrder="0" vertical="center"/>
    </xf>
    <xf borderId="3843" fillId="178" fontId="104" numFmtId="0" xfId="0" applyAlignment="1" applyBorder="1" applyFont="1">
      <alignment horizontal="center" readingOrder="0" vertical="center"/>
    </xf>
    <xf borderId="3844" fillId="178" fontId="104" numFmtId="0" xfId="0" applyAlignment="1" applyBorder="1" applyFont="1">
      <alignment horizontal="center" readingOrder="0" vertical="center"/>
    </xf>
    <xf borderId="3845" fillId="178" fontId="104" numFmtId="0" xfId="0" applyAlignment="1" applyBorder="1" applyFont="1">
      <alignment horizontal="center" readingOrder="0" vertical="center"/>
    </xf>
    <xf borderId="3846" fillId="178" fontId="104" numFmtId="0" xfId="0" applyAlignment="1" applyBorder="1" applyFont="1">
      <alignment horizontal="left" readingOrder="0" vertical="center"/>
    </xf>
    <xf borderId="3847" fillId="178" fontId="104" numFmtId="0" xfId="0" applyAlignment="1" applyBorder="1" applyFont="1">
      <alignment horizontal="center" readingOrder="0" vertical="center"/>
    </xf>
    <xf borderId="543" fillId="178" fontId="104" numFmtId="0" xfId="0" applyAlignment="1" applyBorder="1" applyFont="1">
      <alignment horizontal="right" readingOrder="0" vertical="center"/>
    </xf>
    <xf borderId="546" fillId="178" fontId="104" numFmtId="0" xfId="0" applyAlignment="1" applyBorder="1" applyFont="1">
      <alignment horizontal="center" readingOrder="0" vertical="center"/>
    </xf>
    <xf borderId="253" fillId="178" fontId="104" numFmtId="0" xfId="0" applyAlignment="1" applyBorder="1" applyFont="1">
      <alignment horizontal="right" readingOrder="0" vertical="center"/>
    </xf>
    <xf borderId="256" fillId="178" fontId="104" numFmtId="0" xfId="0" applyAlignment="1" applyBorder="1" applyFont="1">
      <alignment horizontal="center" readingOrder="0" vertical="center"/>
    </xf>
    <xf borderId="3848" fillId="177" fontId="133" numFmtId="0" xfId="0" applyAlignment="1" applyBorder="1" applyFont="1">
      <alignment horizontal="center" vertical="center"/>
    </xf>
    <xf borderId="3816" fillId="177" fontId="74" numFmtId="0" xfId="0" applyAlignment="1" applyBorder="1" applyFont="1">
      <alignment horizontal="right" vertical="center"/>
    </xf>
    <xf borderId="3816" fillId="177" fontId="106" numFmtId="0" xfId="0" applyAlignment="1" applyBorder="1" applyFont="1">
      <alignment horizontal="center" vertical="center"/>
    </xf>
    <xf borderId="548" fillId="178" fontId="104" numFmtId="0" xfId="0" applyAlignment="1" applyBorder="1" applyFont="1">
      <alignment horizontal="right" readingOrder="0" vertical="center"/>
    </xf>
    <xf borderId="551" fillId="178" fontId="104" numFmtId="0" xfId="0" applyAlignment="1" applyBorder="1" applyFont="1">
      <alignment horizontal="center" readingOrder="0" vertical="center"/>
    </xf>
    <xf borderId="3849" fillId="177" fontId="106" numFmtId="0" xfId="0" applyAlignment="1" applyBorder="1" applyFont="1">
      <alignment horizontal="center" vertical="center"/>
    </xf>
    <xf borderId="3797" fillId="177" fontId="74" numFmtId="0" xfId="0" applyAlignment="1" applyBorder="1" applyFont="1">
      <alignment horizontal="right" vertical="center"/>
    </xf>
    <xf borderId="3849" fillId="177" fontId="133" numFmtId="0" xfId="0" applyAlignment="1" applyBorder="1" applyFont="1">
      <alignment horizontal="center" vertical="center"/>
    </xf>
    <xf borderId="3816" fillId="177" fontId="133" numFmtId="0" xfId="0" applyAlignment="1" applyBorder="1" applyFont="1">
      <alignment horizontal="center" vertical="center"/>
    </xf>
    <xf borderId="3850" fillId="177" fontId="133" numFmtId="0" xfId="0" applyAlignment="1" applyBorder="1" applyFont="1">
      <alignment horizontal="center" vertical="center"/>
    </xf>
    <xf borderId="3851" fillId="177" fontId="125" numFmtId="0" xfId="0" applyAlignment="1" applyBorder="1" applyFont="1">
      <alignment horizontal="center" vertical="center"/>
    </xf>
    <xf borderId="3852" fillId="177" fontId="140" numFmtId="0" xfId="0" applyAlignment="1" applyBorder="1" applyFont="1">
      <alignment horizontal="center" vertical="center"/>
    </xf>
    <xf borderId="3852" fillId="177" fontId="125" numFmtId="0" xfId="0" applyAlignment="1" applyBorder="1" applyFont="1">
      <alignment horizontal="center" vertical="center"/>
    </xf>
    <xf borderId="3852" fillId="177" fontId="110" numFmtId="0" xfId="0" applyAlignment="1" applyBorder="1" applyFont="1">
      <alignment horizontal="center" vertical="center"/>
    </xf>
    <xf borderId="3852" fillId="177" fontId="110" numFmtId="0" xfId="0" applyAlignment="1" applyBorder="1" applyFont="1">
      <alignment horizontal="center" vertical="center"/>
    </xf>
    <xf borderId="3853" fillId="177" fontId="110" numFmtId="0" xfId="0" applyAlignment="1" applyBorder="1" applyFont="1">
      <alignment horizontal="center" vertical="center"/>
    </xf>
    <xf borderId="3854" fillId="177" fontId="125" numFmtId="0" xfId="0" applyAlignment="1" applyBorder="1" applyFont="1">
      <alignment horizontal="center" vertical="center"/>
    </xf>
    <xf borderId="3429" fillId="162" fontId="131" numFmtId="0" xfId="0" applyAlignment="1" applyBorder="1" applyFont="1">
      <alignment horizontal="center" vertical="center"/>
    </xf>
    <xf borderId="3430" fillId="162" fontId="133" numFmtId="0" xfId="0" applyAlignment="1" applyBorder="1" applyFont="1">
      <alignment horizontal="center" vertical="center"/>
    </xf>
    <xf borderId="3429" fillId="162" fontId="133" numFmtId="0" xfId="0" applyAlignment="1" applyBorder="1" applyFont="1">
      <alignment horizontal="center" vertical="center"/>
    </xf>
    <xf borderId="3446" fillId="162" fontId="74" numFmtId="0" xfId="0" applyAlignment="1" applyBorder="1" applyFont="1">
      <alignment horizontal="right" vertical="center"/>
    </xf>
    <xf borderId="3553" fillId="162" fontId="105" numFmtId="0" xfId="0" applyAlignment="1" applyBorder="1" applyFont="1">
      <alignment horizontal="center" vertical="center"/>
    </xf>
    <xf borderId="3453" fillId="162" fontId="133" numFmtId="0" xfId="0" applyAlignment="1" applyBorder="1" applyFont="1">
      <alignment horizontal="center" vertical="center"/>
    </xf>
    <xf borderId="3454" fillId="162" fontId="125" numFmtId="0" xfId="0" applyAlignment="1" applyBorder="1" applyFont="1">
      <alignment horizontal="center" vertical="center"/>
    </xf>
    <xf borderId="3855" fillId="177" fontId="138" numFmtId="0" xfId="0" applyAlignment="1" applyBorder="1" applyFont="1">
      <alignment horizontal="center" readingOrder="0" vertical="center"/>
    </xf>
    <xf borderId="3801" fillId="177" fontId="127" numFmtId="0" xfId="0" applyAlignment="1" applyBorder="1" applyFont="1">
      <alignment horizontal="center" vertical="center"/>
    </xf>
    <xf borderId="3802" fillId="177" fontId="110" numFmtId="0" xfId="0" applyAlignment="1" applyBorder="1" applyFont="1">
      <alignment horizontal="center" vertical="center"/>
    </xf>
    <xf borderId="3803" fillId="177" fontId="125" numFmtId="0" xfId="0" applyAlignment="1" applyBorder="1" applyFont="1">
      <alignment horizontal="center" vertical="center"/>
    </xf>
    <xf borderId="3801" fillId="177" fontId="110" numFmtId="0" xfId="0" applyAlignment="1" applyBorder="1" applyFont="1">
      <alignment horizontal="center" readingOrder="0" vertical="center"/>
    </xf>
    <xf borderId="3803" fillId="177" fontId="110" numFmtId="0" xfId="0" applyAlignment="1" applyBorder="1" applyFont="1">
      <alignment horizontal="center" vertical="center"/>
    </xf>
    <xf borderId="3801" fillId="177" fontId="125" numFmtId="0" xfId="0" applyAlignment="1" applyBorder="1" applyFont="1">
      <alignment horizontal="center" readingOrder="0" vertical="center"/>
    </xf>
    <xf borderId="3855" fillId="177" fontId="131" numFmtId="0" xfId="0" applyAlignment="1" applyBorder="1" applyFont="1">
      <alignment horizontal="center" vertical="top"/>
    </xf>
    <xf borderId="3855" fillId="177" fontId="132" numFmtId="0" xfId="0" applyAlignment="1" applyBorder="1" applyFont="1">
      <alignment horizontal="center" vertical="center"/>
    </xf>
    <xf borderId="622" fillId="83" fontId="110" numFmtId="0" xfId="0" applyAlignment="1" applyBorder="1" applyFont="1">
      <alignment horizontal="center" vertical="center"/>
    </xf>
    <xf borderId="635" fillId="83" fontId="127" numFmtId="0" xfId="0" applyAlignment="1" applyBorder="1" applyFont="1">
      <alignment horizontal="center" vertical="center"/>
    </xf>
    <xf borderId="626" fillId="83" fontId="110" numFmtId="0" xfId="0" applyAlignment="1" applyBorder="1" applyFont="1">
      <alignment horizontal="center" vertical="center"/>
    </xf>
    <xf borderId="626" fillId="83" fontId="125" numFmtId="0" xfId="0" applyAlignment="1" applyBorder="1" applyFont="1">
      <alignment horizontal="center" vertical="center"/>
    </xf>
    <xf borderId="628" fillId="83" fontId="125" numFmtId="0" xfId="0" applyAlignment="1" applyBorder="1" applyFont="1">
      <alignment horizontal="center" vertical="center"/>
    </xf>
    <xf borderId="635" fillId="83" fontId="110" numFmtId="0" xfId="0" applyAlignment="1" applyBorder="1" applyFont="1">
      <alignment horizontal="center" readingOrder="0" vertical="center"/>
    </xf>
    <xf borderId="628" fillId="83" fontId="110" numFmtId="0" xfId="0" applyAlignment="1" applyBorder="1" applyFont="1">
      <alignment horizontal="center" vertical="center"/>
    </xf>
    <xf borderId="635" fillId="83" fontId="125" numFmtId="0" xfId="0" applyAlignment="1" applyBorder="1" applyFont="1">
      <alignment horizontal="center" readingOrder="0" vertical="center"/>
    </xf>
    <xf borderId="3856" fillId="83" fontId="110" numFmtId="0" xfId="0" applyAlignment="1" applyBorder="1" applyFont="1">
      <alignment horizontal="center" vertical="top"/>
    </xf>
    <xf borderId="3857" fillId="0" fontId="4" numFmtId="0" xfId="0" applyBorder="1" applyFont="1"/>
    <xf borderId="632" fillId="83" fontId="110" numFmtId="0" xfId="0" applyAlignment="1" applyBorder="1" applyFont="1">
      <alignment horizontal="center" readingOrder="0" vertical="center"/>
    </xf>
    <xf borderId="623" fillId="83" fontId="131" numFmtId="0" xfId="0" applyAlignment="1" applyBorder="1" applyFont="1">
      <alignment horizontal="center" vertical="top"/>
    </xf>
    <xf borderId="622" fillId="83" fontId="131" numFmtId="0" xfId="0" applyAlignment="1" applyBorder="1" applyFont="1">
      <alignment horizontal="center" vertical="top"/>
    </xf>
    <xf borderId="622" fillId="83" fontId="132" numFmtId="0" xfId="0" applyAlignment="1" applyBorder="1" applyFont="1">
      <alignment horizontal="center" vertical="center"/>
    </xf>
    <xf borderId="674" fillId="83" fontId="138" numFmtId="0" xfId="0" applyAlignment="1" applyBorder="1" applyFont="1">
      <alignment horizontal="center" readingOrder="0" vertical="center"/>
    </xf>
    <xf borderId="2318" fillId="129" fontId="110" numFmtId="0" xfId="0" applyAlignment="1" applyBorder="1" applyFont="1">
      <alignment horizontal="center" vertical="top"/>
    </xf>
    <xf borderId="2327" fillId="129" fontId="110" numFmtId="0" xfId="0" applyAlignment="1" applyBorder="1" applyFont="1">
      <alignment horizontal="center" vertical="center"/>
    </xf>
    <xf borderId="2342" fillId="129" fontId="110" numFmtId="0" xfId="0" applyAlignment="1" applyBorder="1" applyFont="1">
      <alignment horizontal="center" vertical="center"/>
    </xf>
    <xf borderId="3858" fillId="39" fontId="104" numFmtId="0" xfId="0" applyAlignment="1" applyBorder="1" applyFont="1">
      <alignment horizontal="center" readingOrder="0" vertical="center"/>
    </xf>
    <xf borderId="2358" fillId="129" fontId="106" numFmtId="0" xfId="0" applyAlignment="1" applyBorder="1" applyFont="1">
      <alignment horizontal="center" vertical="center"/>
    </xf>
    <xf borderId="2358" fillId="129" fontId="133" numFmtId="0" xfId="0" applyAlignment="1" applyBorder="1" applyFont="1">
      <alignment horizontal="center" vertical="center"/>
    </xf>
    <xf borderId="2322" fillId="129" fontId="106" numFmtId="0" xfId="0" applyAlignment="1" applyBorder="1" applyFont="1">
      <alignment horizontal="center" vertical="center"/>
    </xf>
    <xf borderId="2322" fillId="129" fontId="133" numFmtId="0" xfId="0" applyAlignment="1" applyBorder="1" applyFont="1">
      <alignment horizontal="center" vertical="center"/>
    </xf>
    <xf borderId="3859" fillId="179" fontId="104" numFmtId="0" xfId="0" applyAlignment="1" applyBorder="1" applyFill="1" applyFont="1">
      <alignment horizontal="left" readingOrder="0" vertical="center"/>
    </xf>
    <xf borderId="2339" fillId="129" fontId="106" numFmtId="0" xfId="0" applyAlignment="1" applyBorder="1" applyFont="1">
      <alignment horizontal="center" vertical="center"/>
    </xf>
    <xf borderId="2359" fillId="129" fontId="125" numFmtId="0" xfId="0" applyAlignment="1" applyBorder="1" applyFont="1">
      <alignment horizontal="center" vertical="center"/>
    </xf>
    <xf borderId="3860" fillId="0" fontId="125" numFmtId="0" xfId="0" applyAlignment="1" applyBorder="1" applyFont="1">
      <alignment horizontal="center" vertical="center"/>
    </xf>
    <xf borderId="601" fillId="0" fontId="140" numFmtId="0" xfId="0" applyAlignment="1" applyBorder="1" applyFont="1">
      <alignment horizontal="center" vertical="center"/>
    </xf>
    <xf borderId="601" fillId="0" fontId="125" numFmtId="0" xfId="0" applyAlignment="1" applyBorder="1" applyFont="1">
      <alignment horizontal="center" vertical="center"/>
    </xf>
    <xf borderId="601" fillId="0" fontId="148" numFmtId="0" xfId="0" applyAlignment="1" applyBorder="1" applyFont="1">
      <alignment horizontal="center" readingOrder="0" vertical="center"/>
    </xf>
    <xf borderId="3861" fillId="0" fontId="125" numFmtId="0" xfId="0" applyAlignment="1" applyBorder="1" applyFont="1">
      <alignment horizontal="center" vertical="center"/>
    </xf>
    <xf borderId="487" fillId="0" fontId="125" numFmtId="0" xfId="0" applyAlignment="1" applyBorder="1" applyFont="1">
      <alignment horizontal="center" vertical="center"/>
    </xf>
    <xf borderId="189" fillId="180" fontId="76" numFmtId="0" xfId="0" applyAlignment="1" applyBorder="1" applyFill="1" applyFont="1">
      <alignment horizontal="center" vertical="center"/>
    </xf>
    <xf borderId="436" fillId="0" fontId="127" numFmtId="0" xfId="0" applyAlignment="1" applyBorder="1" applyFont="1">
      <alignment horizontal="center" vertical="center"/>
    </xf>
    <xf borderId="969" fillId="180" fontId="119" numFmtId="0" xfId="0" applyAlignment="1" applyBorder="1" applyFont="1">
      <alignment horizontal="center" vertical="center"/>
    </xf>
    <xf borderId="436" fillId="0" fontId="110" numFmtId="0" xfId="0" applyAlignment="1" applyBorder="1" applyFont="1">
      <alignment horizontal="center" vertical="center"/>
    </xf>
    <xf borderId="487" fillId="0" fontId="110" numFmtId="0" xfId="0" applyAlignment="1" applyBorder="1" applyFont="1">
      <alignment horizontal="center" vertical="center"/>
    </xf>
    <xf borderId="3407" fillId="181" fontId="76" numFmtId="0" xfId="0" applyAlignment="1" applyBorder="1" applyFill="1" applyFont="1">
      <alignment horizontal="right" readingOrder="0" vertical="center"/>
    </xf>
    <xf borderId="436" fillId="0" fontId="110" numFmtId="0" xfId="0" applyAlignment="1" applyBorder="1" applyFont="1">
      <alignment horizontal="center" readingOrder="0" vertical="center"/>
    </xf>
    <xf borderId="3862" fillId="181" fontId="119" numFmtId="0" xfId="0" applyAlignment="1" applyBorder="1" applyFont="1">
      <alignment horizontal="center" vertical="center"/>
    </xf>
    <xf borderId="3863" fillId="0" fontId="4" numFmtId="0" xfId="0" applyBorder="1" applyFont="1"/>
    <xf borderId="3864" fillId="0" fontId="4" numFmtId="0" xfId="0" applyBorder="1" applyFont="1"/>
    <xf borderId="3862" fillId="181" fontId="112" numFmtId="0" xfId="0" applyAlignment="1" applyBorder="1" applyFont="1">
      <alignment horizontal="center" vertical="center"/>
    </xf>
    <xf borderId="436" fillId="0" fontId="125" numFmtId="0" xfId="0" applyAlignment="1" applyBorder="1" applyFont="1">
      <alignment horizontal="center" readingOrder="0" vertical="center"/>
    </xf>
    <xf borderId="3865" fillId="181" fontId="114" numFmtId="0" xfId="0" applyAlignment="1" applyBorder="1" applyFont="1">
      <alignment horizontal="center" readingOrder="0" vertical="top"/>
    </xf>
    <xf borderId="3866" fillId="0" fontId="4" numFmtId="0" xfId="0" applyBorder="1" applyFont="1"/>
    <xf borderId="3867" fillId="0" fontId="4" numFmtId="0" xfId="0" applyBorder="1" applyFont="1"/>
    <xf borderId="436" fillId="0" fontId="125" numFmtId="0" xfId="0" applyAlignment="1" applyBorder="1" applyFont="1">
      <alignment horizontal="center" vertical="center"/>
    </xf>
    <xf borderId="3868" fillId="181" fontId="110" numFmtId="0" xfId="0" applyAlignment="1" applyBorder="1" applyFont="1">
      <alignment horizontal="center" vertical="center"/>
    </xf>
    <xf borderId="3869" fillId="181" fontId="110" numFmtId="0" xfId="0" applyAlignment="1" applyBorder="1" applyFont="1">
      <alignment horizontal="right" vertical="top"/>
    </xf>
    <xf borderId="3869" fillId="181" fontId="110" numFmtId="0" xfId="0" applyAlignment="1" applyBorder="1" applyFont="1">
      <alignment horizontal="left" vertical="top"/>
    </xf>
    <xf borderId="3870" fillId="181" fontId="110" numFmtId="0" xfId="0" applyAlignment="1" applyBorder="1" applyFont="1">
      <alignment horizontal="center" vertical="top"/>
    </xf>
    <xf borderId="3871" fillId="181" fontId="110" numFmtId="0" xfId="0" applyAlignment="1" applyBorder="1" applyFont="1">
      <alignment horizontal="center" vertical="top"/>
    </xf>
    <xf borderId="3872" fillId="0" fontId="4" numFmtId="0" xfId="0" applyBorder="1" applyFont="1"/>
    <xf borderId="3873" fillId="181" fontId="110" numFmtId="0" xfId="0" applyAlignment="1" applyBorder="1" applyFont="1">
      <alignment horizontal="center" vertical="center"/>
    </xf>
    <xf borderId="3874" fillId="181" fontId="110" numFmtId="0" xfId="0" applyAlignment="1" applyBorder="1" applyFont="1">
      <alignment horizontal="center" vertical="top"/>
    </xf>
    <xf borderId="3875" fillId="181" fontId="110" numFmtId="0" xfId="0" applyAlignment="1" applyBorder="1" applyFont="1">
      <alignment horizontal="center" vertical="top"/>
    </xf>
    <xf borderId="3876" fillId="181" fontId="110" numFmtId="0" xfId="0" applyAlignment="1" applyBorder="1" applyFont="1">
      <alignment horizontal="center" vertical="center"/>
    </xf>
    <xf borderId="3877" fillId="0" fontId="4" numFmtId="0" xfId="0" applyBorder="1" applyFont="1"/>
    <xf borderId="3878" fillId="0" fontId="4" numFmtId="0" xfId="0" applyBorder="1" applyFont="1"/>
    <xf borderId="3879" fillId="0" fontId="148" numFmtId="0" xfId="0" applyAlignment="1" applyBorder="1" applyFont="1">
      <alignment horizontal="center" readingOrder="0" vertical="center"/>
    </xf>
    <xf borderId="3880" fillId="181" fontId="110" numFmtId="0" xfId="0" applyAlignment="1" applyBorder="1" applyFont="1">
      <alignment horizontal="center" vertical="center"/>
    </xf>
    <xf borderId="436" fillId="0" fontId="4" numFmtId="0" xfId="0" applyBorder="1" applyFont="1"/>
    <xf borderId="3881" fillId="0" fontId="4" numFmtId="0" xfId="0" applyBorder="1" applyFont="1"/>
    <xf borderId="3880" fillId="181" fontId="110" numFmtId="0" xfId="0" applyAlignment="1" applyBorder="1" applyFont="1">
      <alignment horizontal="center" readingOrder="0" vertical="center"/>
    </xf>
    <xf borderId="3882" fillId="181" fontId="110" numFmtId="0" xfId="0" applyAlignment="1" applyBorder="1" applyFont="1">
      <alignment horizontal="center" vertical="center"/>
    </xf>
    <xf borderId="1204" fillId="0" fontId="4" numFmtId="0" xfId="0" applyBorder="1" applyFont="1"/>
    <xf borderId="604" fillId="0" fontId="4" numFmtId="0" xfId="0" applyBorder="1" applyFont="1"/>
    <xf borderId="3883" fillId="181" fontId="110" numFmtId="0" xfId="0" applyAlignment="1" applyBorder="1" applyFont="1">
      <alignment horizontal="center" vertical="center"/>
    </xf>
    <xf borderId="3876" fillId="181" fontId="110" numFmtId="0" xfId="0" applyAlignment="1" applyBorder="1" applyFont="1">
      <alignment horizontal="center" readingOrder="0" vertical="center"/>
    </xf>
    <xf borderId="3884" fillId="0" fontId="4" numFmtId="0" xfId="0" applyBorder="1" applyFont="1"/>
    <xf borderId="3885" fillId="181" fontId="110" numFmtId="0" xfId="0" applyAlignment="1" applyBorder="1" applyFont="1">
      <alignment horizontal="center" vertical="center"/>
    </xf>
    <xf borderId="601" fillId="0" fontId="140" numFmtId="0" xfId="0" applyAlignment="1" applyBorder="1" applyFont="1">
      <alignment horizontal="center" readingOrder="0" vertical="center"/>
    </xf>
    <xf borderId="3886" fillId="0" fontId="4" numFmtId="0" xfId="0" applyBorder="1" applyFont="1"/>
    <xf borderId="3887" fillId="181" fontId="110" numFmtId="0" xfId="0" applyAlignment="1" applyBorder="1" applyFont="1">
      <alignment horizontal="center" vertical="center"/>
    </xf>
    <xf borderId="603" fillId="0" fontId="140" numFmtId="0" xfId="0" applyAlignment="1" applyBorder="1" applyFont="1">
      <alignment horizontal="center" vertical="center"/>
    </xf>
    <xf borderId="3888" fillId="181" fontId="125" numFmtId="0" xfId="0" applyAlignment="1" applyBorder="1" applyFont="1">
      <alignment horizontal="center" vertical="center"/>
    </xf>
    <xf borderId="3879" fillId="181" fontId="140" numFmtId="0" xfId="0" applyAlignment="1" applyBorder="1" applyFont="1">
      <alignment horizontal="center" readingOrder="0" vertical="center"/>
    </xf>
    <xf borderId="3889" fillId="181" fontId="125" numFmtId="0" xfId="0" applyAlignment="1" applyBorder="1" applyFont="1">
      <alignment horizontal="center" vertical="center"/>
    </xf>
    <xf borderId="3890" fillId="181" fontId="110" numFmtId="0" xfId="0" applyAlignment="1" applyBorder="1" applyFont="1">
      <alignment horizontal="center" vertical="center"/>
    </xf>
    <xf borderId="3891" fillId="0" fontId="4" numFmtId="0" xfId="0" applyBorder="1" applyFont="1"/>
    <xf borderId="3892" fillId="0" fontId="4" numFmtId="0" xfId="0" applyBorder="1" applyFont="1"/>
    <xf borderId="3893" fillId="181" fontId="110" numFmtId="0" xfId="0" applyAlignment="1" applyBorder="1" applyFont="1">
      <alignment horizontal="center" vertical="center"/>
    </xf>
    <xf borderId="3888" fillId="181" fontId="124" numFmtId="0" xfId="0" applyAlignment="1" applyBorder="1" applyFont="1">
      <alignment horizontal="center" vertical="center"/>
    </xf>
    <xf borderId="3879" fillId="181" fontId="74" numFmtId="0" xfId="0" applyAlignment="1" applyBorder="1" applyFont="1">
      <alignment horizontal="right" vertical="center"/>
    </xf>
    <xf borderId="3879" fillId="181" fontId="131" numFmtId="0" xfId="0" applyAlignment="1" applyBorder="1" applyFont="1">
      <alignment horizontal="center" vertical="center"/>
    </xf>
    <xf borderId="3894" fillId="181" fontId="131" numFmtId="0" xfId="0" applyAlignment="1" applyBorder="1" applyFont="1">
      <alignment horizontal="center" vertical="top"/>
    </xf>
    <xf borderId="3895" fillId="181" fontId="131" numFmtId="0" xfId="0" applyAlignment="1" applyBorder="1" applyFont="1">
      <alignment horizontal="center" vertical="center"/>
    </xf>
    <xf borderId="3896" fillId="181" fontId="131" numFmtId="0" xfId="0" applyAlignment="1" applyBorder="1" applyFont="1">
      <alignment horizontal="center" vertical="top"/>
    </xf>
    <xf borderId="3895" fillId="181" fontId="131" numFmtId="0" xfId="0" applyAlignment="1" applyBorder="1" applyFont="1">
      <alignment horizontal="center" vertical="top"/>
    </xf>
    <xf borderId="3896" fillId="181" fontId="131" numFmtId="0" xfId="0" applyAlignment="1" applyBorder="1" applyFont="1">
      <alignment horizontal="center" vertical="center"/>
    </xf>
    <xf borderId="3896" fillId="181" fontId="109" numFmtId="0" xfId="0" applyAlignment="1" applyBorder="1" applyFont="1">
      <alignment horizontal="center" vertical="center"/>
    </xf>
    <xf borderId="3895" fillId="181" fontId="132" numFmtId="0" xfId="0" applyAlignment="1" applyBorder="1" applyFont="1">
      <alignment horizontal="center" vertical="center"/>
    </xf>
    <xf borderId="3896" fillId="181" fontId="132" numFmtId="0" xfId="0" applyAlignment="1" applyBorder="1" applyFont="1">
      <alignment horizontal="center" vertical="center"/>
    </xf>
    <xf borderId="3897" fillId="181" fontId="124" numFmtId="0" xfId="0" applyAlignment="1" applyBorder="1" applyFont="1">
      <alignment horizontal="center" vertical="center"/>
    </xf>
    <xf borderId="3888" fillId="181" fontId="133" numFmtId="0" xfId="0" applyAlignment="1" applyBorder="1" applyFont="1">
      <alignment horizontal="center" vertical="center"/>
    </xf>
    <xf borderId="3898" fillId="181" fontId="106" numFmtId="0" xfId="0" applyAlignment="1" applyBorder="1" applyFont="1">
      <alignment horizontal="center" vertical="center"/>
    </xf>
    <xf borderId="237" fillId="182" fontId="104" numFmtId="0" xfId="0" applyAlignment="1" applyBorder="1" applyFill="1" applyFont="1">
      <alignment horizontal="center" readingOrder="0" vertical="top"/>
    </xf>
    <xf borderId="240" fillId="182" fontId="104" numFmtId="0" xfId="0" applyAlignment="1" applyBorder="1" applyFont="1">
      <alignment horizontal="center" readingOrder="0" vertical="top"/>
    </xf>
    <xf borderId="3899" fillId="181" fontId="106" numFmtId="0" xfId="0" applyAlignment="1" applyBorder="1" applyFont="1">
      <alignment horizontal="center" vertical="center"/>
    </xf>
    <xf borderId="3889" fillId="181" fontId="133" numFmtId="0" xfId="0" applyAlignment="1" applyBorder="1" applyFont="1">
      <alignment horizontal="center" vertical="center"/>
    </xf>
    <xf borderId="3900" fillId="181" fontId="133" numFmtId="0" xfId="0" applyAlignment="1" applyBorder="1" applyFont="1">
      <alignment horizontal="center" vertical="center"/>
    </xf>
    <xf borderId="3901" fillId="182" fontId="104" numFmtId="0" xfId="0" applyAlignment="1" applyBorder="1" applyFont="1">
      <alignment horizontal="center" readingOrder="0" vertical="center"/>
    </xf>
    <xf borderId="3902" fillId="182" fontId="104" numFmtId="0" xfId="0" applyAlignment="1" applyBorder="1" applyFont="1">
      <alignment horizontal="center" readingOrder="0" vertical="center"/>
    </xf>
    <xf borderId="3903" fillId="182" fontId="104" numFmtId="0" xfId="0" applyAlignment="1" applyBorder="1" applyFont="1">
      <alignment horizontal="left" readingOrder="0" vertical="center"/>
    </xf>
    <xf borderId="3904" fillId="182" fontId="104" numFmtId="0" xfId="0" applyAlignment="1" applyBorder="1" applyFont="1">
      <alignment horizontal="center" readingOrder="0" vertical="center"/>
    </xf>
    <xf borderId="3905" fillId="181" fontId="106" numFmtId="0" xfId="0" applyAlignment="1" applyBorder="1" applyFont="1">
      <alignment horizontal="center" vertical="center"/>
    </xf>
    <xf borderId="3879" fillId="181" fontId="133" numFmtId="0" xfId="0" applyAlignment="1" applyBorder="1" applyFont="1">
      <alignment horizontal="center" vertical="center"/>
    </xf>
    <xf borderId="3906" fillId="182" fontId="104" numFmtId="0" xfId="0" applyAlignment="1" applyBorder="1" applyFont="1">
      <alignment horizontal="center" readingOrder="0" vertical="center"/>
    </xf>
    <xf borderId="3907" fillId="182" fontId="104" numFmtId="0" xfId="0" applyAlignment="1" applyBorder="1" applyFont="1">
      <alignment horizontal="center" readingOrder="0" vertical="center"/>
    </xf>
    <xf borderId="3908" fillId="182" fontId="104" numFmtId="0" xfId="0" applyAlignment="1" applyBorder="1" applyFont="1">
      <alignment horizontal="left" readingOrder="0" vertical="center"/>
    </xf>
    <xf borderId="3909" fillId="182" fontId="104" numFmtId="0" xfId="0" applyAlignment="1" applyBorder="1" applyFont="1">
      <alignment horizontal="center" readingOrder="0" vertical="center"/>
    </xf>
    <xf borderId="3910" fillId="182" fontId="104" numFmtId="0" xfId="0" applyAlignment="1" applyBorder="1" applyFont="1">
      <alignment horizontal="center" readingOrder="0" vertical="center"/>
    </xf>
    <xf borderId="3911" fillId="182" fontId="104" numFmtId="0" xfId="0" applyAlignment="1" applyBorder="1" applyFont="1">
      <alignment horizontal="center" readingOrder="0" vertical="center"/>
    </xf>
    <xf borderId="3912" fillId="182" fontId="104" numFmtId="0" xfId="0" applyAlignment="1" applyBorder="1" applyFont="1">
      <alignment horizontal="left" readingOrder="0" vertical="center"/>
    </xf>
    <xf borderId="3913" fillId="182" fontId="104" numFmtId="0" xfId="0" applyAlignment="1" applyBorder="1" applyFont="1">
      <alignment horizontal="center" readingOrder="0" vertical="center"/>
    </xf>
    <xf borderId="253" fillId="182" fontId="104" numFmtId="0" xfId="0" applyAlignment="1" applyBorder="1" applyFont="1">
      <alignment horizontal="right" readingOrder="0" vertical="center"/>
    </xf>
    <xf borderId="256" fillId="182" fontId="104" numFmtId="0" xfId="0" applyAlignment="1" applyBorder="1" applyFont="1">
      <alignment horizontal="center" readingOrder="0" vertical="center"/>
    </xf>
    <xf borderId="3914" fillId="0" fontId="125" numFmtId="0" xfId="0" applyAlignment="1" applyBorder="1" applyFont="1">
      <alignment horizontal="center" vertical="center"/>
    </xf>
    <xf borderId="3915" fillId="0" fontId="75" numFmtId="0" xfId="0" applyAlignment="1" applyBorder="1" applyFont="1">
      <alignment horizontal="center" readingOrder="0" vertical="center"/>
    </xf>
    <xf borderId="3916" fillId="0" fontId="4" numFmtId="0" xfId="0" applyBorder="1" applyFont="1"/>
    <xf borderId="3917" fillId="0" fontId="125" numFmtId="0" xfId="0" applyAlignment="1" applyBorder="1" applyFont="1">
      <alignment horizontal="center" vertical="center"/>
    </xf>
    <xf borderId="3918" fillId="159" fontId="125" numFmtId="0" xfId="0" applyAlignment="1" applyBorder="1" applyFont="1">
      <alignment horizontal="center" vertical="center"/>
    </xf>
    <xf borderId="3918" fillId="159" fontId="140" numFmtId="0" xfId="0" applyAlignment="1" applyBorder="1" applyFont="1">
      <alignment horizontal="center" vertical="center"/>
    </xf>
    <xf borderId="1340" fillId="9" fontId="114" numFmtId="0" xfId="0" applyAlignment="1" applyBorder="1" applyFont="1">
      <alignment horizontal="center" vertical="center"/>
    </xf>
    <xf borderId="56" fillId="9" fontId="19" numFmtId="0" xfId="0" applyAlignment="1" applyBorder="1" applyFont="1">
      <alignment horizontal="center" readingOrder="0" vertical="center"/>
    </xf>
    <xf borderId="56" fillId="9" fontId="114" numFmtId="0" xfId="0" applyAlignment="1" applyBorder="1" applyFont="1">
      <alignment horizontal="center" vertical="center"/>
    </xf>
    <xf borderId="58" fillId="9" fontId="114" numFmtId="0" xfId="0" applyAlignment="1" applyBorder="1" applyFont="1">
      <alignment horizontal="center" vertical="center"/>
    </xf>
    <xf borderId="1224" fillId="9" fontId="114" numFmtId="0" xfId="0" applyAlignment="1" applyBorder="1" applyFont="1">
      <alignment horizontal="center" vertical="center"/>
    </xf>
    <xf borderId="191" fillId="9" fontId="19" numFmtId="0" xfId="0" applyAlignment="1" applyBorder="1" applyFont="1">
      <alignment horizontal="center" readingOrder="0" vertical="center"/>
    </xf>
    <xf borderId="3919" fillId="0" fontId="4" numFmtId="0" xfId="0" applyBorder="1" applyFont="1"/>
    <xf borderId="3920" fillId="9" fontId="185" numFmtId="0" xfId="0" applyAlignment="1" applyBorder="1" applyFont="1">
      <alignment horizontal="center" readingOrder="0" vertical="center"/>
    </xf>
    <xf borderId="3921" fillId="9" fontId="185" numFmtId="0" xfId="0" applyAlignment="1" applyBorder="1" applyFont="1">
      <alignment horizontal="center" readingOrder="0" vertical="center"/>
    </xf>
    <xf borderId="61" fillId="9" fontId="114" numFmtId="0" xfId="0" applyAlignment="1" applyBorder="1" applyFont="1">
      <alignment horizontal="center" vertical="center"/>
    </xf>
    <xf borderId="3922" fillId="9" fontId="19" numFmtId="0" xfId="0" applyAlignment="1" applyBorder="1" applyFont="1">
      <alignment horizontal="center" readingOrder="0" vertical="center"/>
    </xf>
    <xf borderId="3923" fillId="0" fontId="4" numFmtId="0" xfId="0" applyBorder="1" applyFont="1"/>
    <xf borderId="74" fillId="9" fontId="114" numFmtId="0" xfId="0" applyAlignment="1" applyBorder="1" applyFont="1">
      <alignment horizontal="center" vertical="center"/>
    </xf>
    <xf borderId="3924" fillId="9" fontId="114" numFmtId="0" xfId="0" applyAlignment="1" applyBorder="1" applyFont="1">
      <alignment horizontal="center" readingOrder="0" vertical="center"/>
    </xf>
    <xf borderId="2347" fillId="9" fontId="114" numFmtId="0" xfId="0" applyAlignment="1" applyBorder="1" applyFont="1">
      <alignment horizontal="center" vertical="center"/>
    </xf>
    <xf borderId="2347" fillId="9" fontId="114" numFmtId="0" xfId="0" applyAlignment="1" applyBorder="1" applyFont="1">
      <alignment horizontal="center" vertical="center"/>
    </xf>
    <xf borderId="3925" fillId="9" fontId="114" numFmtId="0" xfId="0" applyAlignment="1" applyBorder="1" applyFont="1">
      <alignment horizontal="center" vertical="center"/>
    </xf>
    <xf borderId="3926" fillId="9" fontId="97" numFmtId="0" xfId="0" applyAlignment="1" applyBorder="1" applyFont="1">
      <alignment horizontal="center" readingOrder="0" vertical="center"/>
    </xf>
    <xf borderId="3927" fillId="9" fontId="97" numFmtId="1" xfId="0" applyAlignment="1" applyBorder="1" applyFont="1" applyNumberFormat="1">
      <alignment horizontal="center" vertical="center"/>
    </xf>
    <xf borderId="3928" fillId="181" fontId="114" numFmtId="0" xfId="0" applyAlignment="1" applyBorder="1" applyFont="1">
      <alignment horizontal="center" readingOrder="0" vertical="center"/>
    </xf>
    <xf borderId="2351" fillId="181" fontId="114" numFmtId="0" xfId="0" applyAlignment="1" applyBorder="1" applyFont="1">
      <alignment horizontal="center" vertical="center"/>
    </xf>
    <xf borderId="2351" fillId="181" fontId="114" numFmtId="0" xfId="0" applyAlignment="1" applyBorder="1" applyFont="1">
      <alignment horizontal="center" vertical="center"/>
    </xf>
    <xf borderId="3929" fillId="181" fontId="114" numFmtId="0" xfId="0" applyAlignment="1" applyBorder="1" applyFont="1">
      <alignment horizontal="center" vertical="center"/>
    </xf>
    <xf borderId="3930" fillId="9" fontId="97" numFmtId="0" xfId="0" applyAlignment="1" applyBorder="1" applyFont="1">
      <alignment horizontal="center" readingOrder="0" vertical="center"/>
    </xf>
    <xf borderId="3931" fillId="9" fontId="97" numFmtId="1" xfId="0" applyAlignment="1" applyBorder="1" applyFont="1" applyNumberFormat="1">
      <alignment horizontal="center" vertical="center"/>
    </xf>
    <xf borderId="3928" fillId="3" fontId="114" numFmtId="0" xfId="0" applyAlignment="1" applyBorder="1" applyFont="1">
      <alignment horizontal="center" readingOrder="0" vertical="center"/>
    </xf>
    <xf borderId="2351" fillId="3" fontId="114" numFmtId="0" xfId="0" applyAlignment="1" applyBorder="1" applyFont="1">
      <alignment horizontal="center" vertical="center"/>
    </xf>
    <xf borderId="2351" fillId="3" fontId="114" numFmtId="0" xfId="0" applyAlignment="1" applyBorder="1" applyFont="1">
      <alignment horizontal="center" vertical="center"/>
    </xf>
    <xf borderId="3929" fillId="3" fontId="114" numFmtId="0" xfId="0" applyAlignment="1" applyBorder="1" applyFont="1">
      <alignment horizontal="center" vertical="center"/>
    </xf>
    <xf borderId="2351" fillId="181" fontId="114" numFmtId="0" xfId="0" applyAlignment="1" applyBorder="1" applyFont="1">
      <alignment horizontal="center" readingOrder="0" vertical="center"/>
    </xf>
    <xf borderId="2351" fillId="3" fontId="114" numFmtId="0" xfId="0" applyAlignment="1" applyBorder="1" applyFont="1">
      <alignment horizontal="center" readingOrder="0" vertical="center"/>
    </xf>
    <xf borderId="61" fillId="9" fontId="114" numFmtId="0" xfId="0" applyAlignment="1" applyBorder="1" applyFont="1">
      <alignment horizontal="center" vertical="center"/>
    </xf>
    <xf borderId="3932" fillId="9" fontId="97" numFmtId="0" xfId="0" applyAlignment="1" applyBorder="1" applyFont="1">
      <alignment horizontal="center" readingOrder="0" vertical="center"/>
    </xf>
    <xf borderId="3933" fillId="9" fontId="97" numFmtId="1" xfId="0" applyAlignment="1" applyBorder="1" applyFont="1" applyNumberFormat="1">
      <alignment horizontal="center" vertical="center"/>
    </xf>
    <xf borderId="71" fillId="9" fontId="114" numFmtId="0" xfId="0" applyAlignment="1" applyBorder="1" applyFont="1">
      <alignment horizontal="center" vertical="center"/>
    </xf>
    <xf borderId="74" fillId="9" fontId="114" numFmtId="0" xfId="0" applyAlignment="1" applyBorder="1" applyFont="1">
      <alignment horizontal="right" readingOrder="0" vertical="center"/>
    </xf>
    <xf borderId="74" fillId="9" fontId="128" numFmtId="0" xfId="0" applyAlignment="1" applyBorder="1" applyFont="1">
      <alignment horizontal="left" readingOrder="0" vertical="center"/>
    </xf>
    <xf borderId="3934" fillId="181" fontId="114" numFmtId="0" xfId="0" applyAlignment="1" applyBorder="1" applyFont="1">
      <alignment horizontal="center" readingOrder="0" vertical="center"/>
    </xf>
    <xf borderId="3935" fillId="181" fontId="114" numFmtId="0" xfId="0" applyAlignment="1" applyBorder="1" applyFont="1">
      <alignment horizontal="center" vertical="center"/>
    </xf>
    <xf borderId="3935" fillId="181" fontId="114" numFmtId="0" xfId="0" applyAlignment="1" applyBorder="1" applyFont="1">
      <alignment horizontal="center" vertical="center"/>
    </xf>
    <xf borderId="3936" fillId="181" fontId="114" numFmtId="0" xfId="0" applyAlignment="1" applyBorder="1" applyFont="1">
      <alignment horizontal="center" vertical="center"/>
    </xf>
    <xf borderId="192" fillId="181" fontId="4" numFmtId="0" xfId="0" applyBorder="1" applyFont="1"/>
    <xf borderId="3919" fillId="181" fontId="4" numFmtId="0" xfId="0" applyBorder="1" applyFont="1"/>
    <xf borderId="3937" fillId="3" fontId="114" numFmtId="0" xfId="0" applyAlignment="1" applyBorder="1" applyFont="1">
      <alignment horizontal="center" readingOrder="0" vertical="center"/>
    </xf>
    <xf borderId="3938" fillId="3" fontId="114" numFmtId="0" xfId="0" applyAlignment="1" applyBorder="1" applyFont="1">
      <alignment horizontal="center" vertical="center"/>
    </xf>
    <xf borderId="3938" fillId="3" fontId="114" numFmtId="0" xfId="0" applyAlignment="1" applyBorder="1" applyFont="1">
      <alignment horizontal="center" vertical="center"/>
    </xf>
    <xf borderId="2347" fillId="3" fontId="114" numFmtId="0" xfId="0" applyAlignment="1" applyBorder="1" applyFont="1">
      <alignment horizontal="center" vertical="center"/>
    </xf>
    <xf borderId="3925" fillId="3" fontId="114" numFmtId="0" xfId="0" applyAlignment="1" applyBorder="1" applyFont="1">
      <alignment horizontal="center" vertical="center"/>
    </xf>
    <xf borderId="3929" fillId="181" fontId="114" numFmtId="0" xfId="0" applyAlignment="1" applyBorder="1" applyFont="1">
      <alignment horizontal="center" readingOrder="0" vertical="center"/>
    </xf>
    <xf borderId="2347" fillId="3" fontId="114" numFmtId="0" xfId="0" applyAlignment="1" applyBorder="1" applyFont="1">
      <alignment horizontal="center" readingOrder="0" vertical="center"/>
    </xf>
    <xf borderId="3935" fillId="181" fontId="114" numFmtId="0" xfId="0" applyAlignment="1" applyBorder="1" applyFont="1">
      <alignment horizontal="center" readingOrder="0" vertical="center"/>
    </xf>
    <xf borderId="3929" fillId="3" fontId="114" numFmtId="0" xfId="0" applyAlignment="1" applyBorder="1" applyFont="1">
      <alignment horizontal="center" readingOrder="0" vertical="center"/>
    </xf>
    <xf borderId="3934" fillId="3" fontId="114" numFmtId="0" xfId="0" applyAlignment="1" applyBorder="1" applyFont="1">
      <alignment horizontal="center" readingOrder="0" vertical="center"/>
    </xf>
    <xf borderId="3935" fillId="3" fontId="114" numFmtId="0" xfId="0" applyAlignment="1" applyBorder="1" applyFont="1">
      <alignment horizontal="center" readingOrder="0" vertical="center"/>
    </xf>
    <xf borderId="3935" fillId="3" fontId="114" numFmtId="0" xfId="0" applyAlignment="1" applyBorder="1" applyFont="1">
      <alignment horizontal="center" vertical="center"/>
    </xf>
    <xf borderId="3935" fillId="3" fontId="114" numFmtId="0" xfId="0" applyAlignment="1" applyBorder="1" applyFont="1">
      <alignment horizontal="center" vertical="center"/>
    </xf>
    <xf borderId="3936" fillId="3" fontId="114" numFmtId="0" xfId="0" applyAlignment="1" applyBorder="1" applyFont="1">
      <alignment horizontal="center" vertical="center"/>
    </xf>
    <xf borderId="3939" fillId="9" fontId="19" numFmtId="0" xfId="0" applyAlignment="1" applyBorder="1" applyFont="1">
      <alignment horizontal="center" readingOrder="0" vertical="center"/>
    </xf>
    <xf borderId="3940" fillId="3" fontId="4" numFmtId="0" xfId="0" applyBorder="1" applyFont="1"/>
    <xf borderId="3941" fillId="3" fontId="4" numFmtId="0" xfId="0" applyBorder="1" applyFont="1"/>
    <xf borderId="3942" fillId="9" fontId="185" numFmtId="0" xfId="0" applyAlignment="1" applyBorder="1" applyFont="1">
      <alignment horizontal="center" readingOrder="0" vertical="center"/>
    </xf>
    <xf borderId="3943" fillId="9" fontId="185" numFmtId="0" xfId="0" applyAlignment="1" applyBorder="1" applyFont="1">
      <alignment horizontal="center" readingOrder="0" vertical="center"/>
    </xf>
    <xf borderId="3940" fillId="181" fontId="4" numFmtId="0" xfId="0" applyBorder="1" applyFont="1"/>
    <xf borderId="3941" fillId="181" fontId="4" numFmtId="0" xfId="0" applyBorder="1" applyFont="1"/>
    <xf borderId="3937" fillId="181" fontId="114" numFmtId="0" xfId="0" applyAlignment="1" applyBorder="1" applyFont="1">
      <alignment horizontal="center" readingOrder="0" vertical="center"/>
    </xf>
    <xf borderId="3938" fillId="181" fontId="114" numFmtId="0" xfId="0" applyAlignment="1" applyBorder="1" applyFont="1">
      <alignment horizontal="center" vertical="center"/>
    </xf>
    <xf borderId="3938" fillId="181" fontId="114" numFmtId="0" xfId="0" applyAlignment="1" applyBorder="1" applyFont="1">
      <alignment horizontal="center" vertical="center"/>
    </xf>
    <xf borderId="2347" fillId="181" fontId="114" numFmtId="0" xfId="0" applyAlignment="1" applyBorder="1" applyFont="1">
      <alignment horizontal="center" vertical="center"/>
    </xf>
    <xf borderId="3925" fillId="181" fontId="114" numFmtId="0" xfId="0" applyAlignment="1" applyBorder="1" applyFont="1">
      <alignment horizontal="center" vertical="center"/>
    </xf>
    <xf borderId="3929" fillId="3" fontId="114" numFmtId="0" xfId="0" applyAlignment="1" applyBorder="1" applyFont="1">
      <alignment horizontal="center" vertical="center"/>
    </xf>
    <xf borderId="3929" fillId="181" fontId="114" numFmtId="0" xfId="0" applyAlignment="1" applyBorder="1" applyFont="1">
      <alignment horizontal="center" vertical="center"/>
    </xf>
    <xf borderId="74" fillId="9" fontId="114" numFmtId="0" xfId="0" applyAlignment="1" applyBorder="1" applyFont="1">
      <alignment horizontal="center" vertical="center"/>
    </xf>
    <xf borderId="3936" fillId="181" fontId="114" numFmtId="0" xfId="0" applyAlignment="1" applyBorder="1" applyFont="1">
      <alignment horizontal="center" readingOrder="0" vertical="center"/>
    </xf>
    <xf borderId="3938" fillId="3" fontId="114" numFmtId="0" xfId="0" applyAlignment="1" applyBorder="1" applyFont="1">
      <alignment horizontal="center" readingOrder="0" vertical="center"/>
    </xf>
    <xf borderId="2347" fillId="3" fontId="114" numFmtId="0" xfId="0" applyAlignment="1" applyBorder="1" applyFont="1">
      <alignment horizontal="center" vertical="center"/>
    </xf>
    <xf borderId="3925" fillId="3" fontId="114" numFmtId="0" xfId="0" applyAlignment="1" applyBorder="1" applyFont="1">
      <alignment horizontal="center" vertical="center"/>
    </xf>
  </cellXfs>
  <cellStyles count="1">
    <cellStyle xfId="0" name="Normal" builtinId="0"/>
  </cellStyles>
  <dxfs count="29">
    <dxf>
      <font/>
      <fill>
        <patternFill patternType="solid">
          <fgColor rgb="FFD23A3A"/>
          <bgColor rgb="FFD23A3A"/>
        </patternFill>
      </fill>
      <border/>
    </dxf>
    <dxf>
      <font/>
      <fill>
        <patternFill patternType="solid">
          <fgColor rgb="FFC6701A"/>
          <bgColor rgb="FFC6701A"/>
        </patternFill>
      </fill>
      <border/>
    </dxf>
    <dxf>
      <font/>
      <fill>
        <patternFill patternType="solid">
          <fgColor rgb="FFDCB53E"/>
          <bgColor rgb="FFDCB53E"/>
        </patternFill>
      </fill>
      <border/>
    </dxf>
    <dxf>
      <font/>
      <fill>
        <patternFill patternType="solid">
          <fgColor rgb="FF88BB5A"/>
          <bgColor rgb="FF88BB5A"/>
        </patternFill>
      </fill>
      <border/>
    </dxf>
    <dxf>
      <font/>
      <fill>
        <patternFill patternType="solid">
          <fgColor rgb="FF55BA8C"/>
          <bgColor rgb="FF55BA8C"/>
        </patternFill>
      </fill>
      <border/>
    </dxf>
    <dxf>
      <font/>
      <fill>
        <patternFill patternType="solid">
          <fgColor rgb="FF58A3C1"/>
          <bgColor rgb="FF58A3C1"/>
        </patternFill>
      </fill>
      <border/>
    </dxf>
    <dxf>
      <font/>
      <fill>
        <patternFill patternType="solid">
          <fgColor rgb="FF4285F4"/>
          <bgColor rgb="FF4285F4"/>
        </patternFill>
      </fill>
      <border/>
    </dxf>
    <dxf>
      <font/>
      <fill>
        <patternFill patternType="none"/>
      </fill>
      <border/>
    </dxf>
    <dxf>
      <font/>
      <fill>
        <patternFill patternType="solid">
          <fgColor rgb="FFEFEFEF"/>
          <bgColor rgb="FFEFEFEF"/>
        </patternFill>
      </fill>
      <border/>
    </dxf>
    <dxf>
      <font/>
      <fill>
        <patternFill patternType="solid">
          <fgColor rgb="FFFFFFFF"/>
          <bgColor rgb="FFFFFFFF"/>
        </patternFill>
      </fill>
      <border/>
    </dxf>
    <dxf>
      <font/>
      <fill>
        <patternFill patternType="solid">
          <fgColor rgb="FF434343"/>
          <bgColor rgb="FF434343"/>
        </patternFill>
      </fill>
      <border/>
    </dxf>
    <dxf>
      <font/>
      <fill>
        <patternFill patternType="solid">
          <fgColor rgb="FFFF7942"/>
          <bgColor rgb="FFFF7942"/>
        </patternFill>
      </fill>
      <border/>
    </dxf>
    <dxf>
      <font/>
      <fill>
        <patternFill patternType="solid">
          <fgColor rgb="FFFFFFEA"/>
          <bgColor rgb="FFFFFFEA"/>
        </patternFill>
      </fill>
      <border/>
    </dxf>
    <dxf>
      <font/>
      <fill>
        <patternFill patternType="solid">
          <fgColor rgb="FF91B9FF"/>
          <bgColor rgb="FF91B9FF"/>
        </patternFill>
      </fill>
      <border/>
    </dxf>
    <dxf>
      <font/>
      <fill>
        <patternFill patternType="solid">
          <fgColor rgb="FFFFE599"/>
          <bgColor rgb="FFFFE599"/>
        </patternFill>
      </fill>
      <border/>
    </dxf>
    <dxf>
      <font/>
      <fill>
        <patternFill patternType="solid">
          <fgColor rgb="FFA7FF84"/>
          <bgColor rgb="FFA7FF84"/>
        </patternFill>
      </fill>
      <border/>
    </dxf>
    <dxf>
      <font/>
      <fill>
        <patternFill patternType="solid">
          <fgColor rgb="FF9ADEFF"/>
          <bgColor rgb="FF9ADEFF"/>
        </patternFill>
      </fill>
      <border/>
    </dxf>
    <dxf>
      <font/>
      <fill>
        <patternFill patternType="solid">
          <fgColor rgb="FFFF8E7C"/>
          <bgColor rgb="FFFF8E7C"/>
        </patternFill>
      </fill>
      <border/>
    </dxf>
    <dxf>
      <font/>
      <fill>
        <patternFill patternType="solid">
          <fgColor rgb="FFE4A1F2"/>
          <bgColor rgb="FFE4A1F2"/>
        </patternFill>
      </fill>
      <border/>
    </dxf>
    <dxf>
      <font/>
      <fill>
        <patternFill patternType="solid">
          <fgColor rgb="FFFFEF7C"/>
          <bgColor rgb="FFFFEF7C"/>
        </patternFill>
      </fill>
      <border/>
    </dxf>
    <dxf>
      <font/>
      <fill>
        <patternFill patternType="solid">
          <fgColor rgb="FFC4CCFB"/>
          <bgColor rgb="FFC4CCFB"/>
        </patternFill>
      </fill>
      <border/>
    </dxf>
    <dxf>
      <font/>
      <fill>
        <patternFill patternType="solid">
          <fgColor rgb="FFFF81A2"/>
          <bgColor rgb="FFFF81A2"/>
        </patternFill>
      </fill>
      <border/>
    </dxf>
    <dxf>
      <font/>
      <fill>
        <patternFill patternType="solid">
          <fgColor rgb="FFEBFF54"/>
          <bgColor rgb="FFEBFF54"/>
        </patternFill>
      </fill>
      <border/>
    </dxf>
    <dxf>
      <font/>
      <fill>
        <patternFill patternType="solid">
          <fgColor rgb="FFFFEB9E"/>
          <bgColor rgb="FFFFEB9E"/>
        </patternFill>
      </fill>
      <border/>
    </dxf>
    <dxf>
      <font/>
      <fill>
        <patternFill patternType="solid">
          <fgColor rgb="FF7D7DC5"/>
          <bgColor rgb="FF7D7DC5"/>
        </patternFill>
      </fill>
      <border/>
    </dxf>
    <dxf>
      <font/>
      <fill>
        <patternFill patternType="solid">
          <fgColor rgb="FFA194FE"/>
          <bgColor rgb="FFA194FE"/>
        </patternFill>
      </fill>
      <border/>
    </dxf>
    <dxf>
      <font/>
      <fill>
        <patternFill patternType="solid">
          <fgColor rgb="FFB18C7A"/>
          <bgColor rgb="FFB18C7A"/>
        </patternFill>
      </fill>
      <border/>
    </dxf>
    <dxf>
      <font/>
      <fill>
        <patternFill patternType="solid">
          <fgColor rgb="FFB7B7C5"/>
          <bgColor rgb="FFB7B7C5"/>
        </patternFill>
      </fill>
      <border/>
    </dxf>
    <dxf>
      <font/>
      <fill>
        <patternFill patternType="solid">
          <fgColor rgb="FFF0A7F0"/>
          <bgColor rgb="FFF0A7F0"/>
        </patternFill>
      </fill>
      <border/>
    </dxf>
  </dxfs>
  <tableStyles count="1">
    <tableStyle count="3" pivot="0" name="Dex-style">
      <tableStyleElement dxfId="8" type="headerRow"/>
      <tableStyleElement dxfId="9"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R1280" displayName="Table_1" name="Table_1" id="1">
  <tableColumns count="1">
    <tableColumn name="Column1" id="1"/>
  </tableColumns>
  <tableStyleInfo name="Dex-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iscord.gg/radicalre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i.imgur.com/KfYx5OH.png"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0"/>
  <cols>
    <col customWidth="1" min="1" max="1" width="0.75"/>
    <col customWidth="1" min="2" max="3" width="1.38"/>
    <col customWidth="1" min="4" max="4" width="0.75"/>
    <col customWidth="1" min="5" max="15" width="3.88"/>
    <col customWidth="1" min="16" max="24" width="12.63"/>
    <col customWidth="1" min="25" max="25" width="1.38"/>
    <col customWidth="1" min="26" max="26" width="0.75"/>
  </cols>
  <sheetData>
    <row r="1" ht="3.75" customHeight="1">
      <c r="A1" s="1"/>
      <c r="B1" s="2"/>
      <c r="C1" s="2"/>
      <c r="D1" s="2"/>
      <c r="E1" s="2"/>
      <c r="F1" s="2"/>
      <c r="G1" s="2"/>
      <c r="H1" s="2"/>
      <c r="I1" s="2"/>
      <c r="J1" s="2"/>
      <c r="K1" s="2"/>
      <c r="L1" s="2"/>
      <c r="M1" s="2"/>
      <c r="N1" s="2"/>
      <c r="O1" s="2"/>
      <c r="P1" s="2"/>
      <c r="Q1" s="2"/>
      <c r="R1" s="2"/>
      <c r="S1" s="2"/>
      <c r="T1" s="2"/>
      <c r="U1" s="3"/>
      <c r="V1" s="3"/>
      <c r="W1" s="3"/>
      <c r="X1" s="3"/>
      <c r="Y1" s="3"/>
      <c r="Z1" s="4"/>
    </row>
    <row r="2" ht="7.5" customHeight="1">
      <c r="A2" s="5"/>
      <c r="B2" s="6"/>
      <c r="C2" s="7"/>
      <c r="D2" s="7"/>
      <c r="E2" s="7"/>
      <c r="F2" s="7"/>
      <c r="G2" s="7"/>
      <c r="H2" s="7"/>
      <c r="I2" s="7"/>
      <c r="J2" s="7"/>
      <c r="K2" s="7"/>
      <c r="L2" s="7"/>
      <c r="M2" s="7"/>
      <c r="N2" s="7"/>
      <c r="O2" s="7"/>
      <c r="P2" s="7"/>
      <c r="Q2" s="7"/>
      <c r="R2" s="7"/>
      <c r="S2" s="7"/>
      <c r="T2" s="7"/>
      <c r="U2" s="8"/>
      <c r="V2" s="8"/>
      <c r="W2" s="8"/>
      <c r="X2" s="8"/>
      <c r="Y2" s="9"/>
      <c r="Z2" s="10"/>
    </row>
    <row r="3" ht="26.25" customHeight="1">
      <c r="A3" s="11"/>
      <c r="B3" s="12"/>
      <c r="C3" s="13" t="s">
        <v>0</v>
      </c>
      <c r="D3" s="14"/>
      <c r="E3" s="14"/>
      <c r="F3" s="14"/>
      <c r="G3" s="14"/>
      <c r="H3" s="14"/>
      <c r="I3" s="14"/>
      <c r="J3" s="14"/>
      <c r="K3" s="14"/>
      <c r="L3" s="14"/>
      <c r="M3" s="14"/>
      <c r="N3" s="14"/>
      <c r="O3" s="14"/>
      <c r="P3" s="14"/>
      <c r="Q3" s="14"/>
      <c r="R3" s="14"/>
      <c r="S3" s="14"/>
      <c r="T3" s="14"/>
      <c r="U3" s="14"/>
      <c r="V3" s="14"/>
      <c r="W3" s="14"/>
      <c r="X3" s="15"/>
      <c r="Y3" s="16"/>
      <c r="Z3" s="17"/>
    </row>
    <row r="4" ht="26.25" customHeight="1">
      <c r="A4" s="11"/>
      <c r="B4" s="18"/>
      <c r="C4" s="13" t="s">
        <v>1</v>
      </c>
      <c r="D4" s="14"/>
      <c r="E4" s="14"/>
      <c r="F4" s="14"/>
      <c r="G4" s="14"/>
      <c r="H4" s="14"/>
      <c r="I4" s="14"/>
      <c r="J4" s="14"/>
      <c r="K4" s="14"/>
      <c r="L4" s="14"/>
      <c r="M4" s="14"/>
      <c r="N4" s="14"/>
      <c r="O4" s="14"/>
      <c r="P4" s="14"/>
      <c r="Q4" s="14"/>
      <c r="R4" s="14"/>
      <c r="S4" s="14"/>
      <c r="T4" s="14"/>
      <c r="U4" s="14"/>
      <c r="V4" s="14"/>
      <c r="W4" s="14"/>
      <c r="X4" s="15"/>
      <c r="Y4" s="19"/>
      <c r="Z4" s="20"/>
    </row>
    <row r="5" ht="26.25" customHeight="1">
      <c r="A5" s="11"/>
      <c r="B5" s="18"/>
      <c r="C5" s="21" t="s">
        <v>2</v>
      </c>
      <c r="D5" s="14"/>
      <c r="E5" s="14"/>
      <c r="F5" s="14"/>
      <c r="G5" s="14"/>
      <c r="H5" s="14"/>
      <c r="I5" s="14"/>
      <c r="J5" s="14"/>
      <c r="K5" s="14"/>
      <c r="L5" s="14"/>
      <c r="M5" s="14"/>
      <c r="N5" s="14"/>
      <c r="O5" s="14"/>
      <c r="P5" s="14"/>
      <c r="Q5" s="14"/>
      <c r="R5" s="14"/>
      <c r="S5" s="14"/>
      <c r="T5" s="14"/>
      <c r="U5" s="14"/>
      <c r="V5" s="14"/>
      <c r="W5" s="14"/>
      <c r="X5" s="15"/>
      <c r="Y5" s="19"/>
      <c r="Z5" s="20"/>
    </row>
    <row r="6" ht="26.25" customHeight="1">
      <c r="A6" s="11"/>
      <c r="B6" s="18"/>
      <c r="C6" s="22" t="s">
        <v>3</v>
      </c>
      <c r="D6" s="23"/>
      <c r="E6" s="23"/>
      <c r="F6" s="23"/>
      <c r="G6" s="23"/>
      <c r="H6" s="23"/>
      <c r="I6" s="23"/>
      <c r="J6" s="23"/>
      <c r="K6" s="23"/>
      <c r="L6" s="23"/>
      <c r="M6" s="23"/>
      <c r="N6" s="23"/>
      <c r="O6" s="23"/>
      <c r="P6" s="23"/>
      <c r="Q6" s="23"/>
      <c r="R6" s="23"/>
      <c r="S6" s="23"/>
      <c r="T6" s="23"/>
      <c r="U6" s="23"/>
      <c r="V6" s="23"/>
      <c r="W6" s="23"/>
      <c r="X6" s="24"/>
      <c r="Y6" s="19"/>
      <c r="Z6" s="20"/>
    </row>
    <row r="7" ht="7.5" customHeight="1">
      <c r="A7" s="5"/>
      <c r="B7" s="25"/>
      <c r="C7" s="26"/>
      <c r="D7" s="26"/>
      <c r="E7" s="26"/>
      <c r="F7" s="26"/>
      <c r="G7" s="26"/>
      <c r="H7" s="26"/>
      <c r="I7" s="26"/>
      <c r="J7" s="26"/>
      <c r="K7" s="26"/>
      <c r="L7" s="26"/>
      <c r="M7" s="26"/>
      <c r="N7" s="26"/>
      <c r="O7" s="26"/>
      <c r="P7" s="26"/>
      <c r="Q7" s="26"/>
      <c r="R7" s="26"/>
      <c r="S7" s="26"/>
      <c r="T7" s="26"/>
      <c r="U7" s="27"/>
      <c r="V7" s="27"/>
      <c r="W7" s="27"/>
      <c r="X7" s="27"/>
      <c r="Y7" s="28"/>
      <c r="Z7" s="10"/>
    </row>
    <row r="8" ht="18.75" customHeight="1">
      <c r="A8" s="29"/>
      <c r="B8" s="30"/>
      <c r="C8" s="31" t="s">
        <v>4</v>
      </c>
      <c r="D8" s="23"/>
      <c r="E8" s="23"/>
      <c r="F8" s="23"/>
      <c r="G8" s="23"/>
      <c r="H8" s="24"/>
      <c r="I8" s="32"/>
      <c r="J8" s="32"/>
      <c r="K8" s="32"/>
      <c r="L8" s="32"/>
      <c r="M8" s="32"/>
      <c r="N8" s="32"/>
      <c r="O8" s="32"/>
      <c r="P8" s="33"/>
      <c r="Q8" s="32"/>
      <c r="R8" s="32"/>
      <c r="S8" s="32"/>
      <c r="T8" s="32"/>
      <c r="U8" s="34"/>
      <c r="V8" s="34"/>
      <c r="W8" s="34"/>
      <c r="X8" s="34"/>
      <c r="Y8" s="35"/>
      <c r="Z8" s="36"/>
    </row>
    <row r="9" ht="3.75" customHeight="1">
      <c r="A9" s="29"/>
      <c r="B9" s="37"/>
      <c r="C9" s="38"/>
      <c r="D9" s="39"/>
      <c r="E9" s="40"/>
      <c r="X9" s="41"/>
      <c r="Y9" s="42"/>
      <c r="Z9" s="36"/>
    </row>
    <row r="10" ht="15.75" customHeight="1">
      <c r="A10" s="29"/>
      <c r="B10" s="43"/>
      <c r="C10" s="44"/>
      <c r="D10" s="45"/>
      <c r="E10" s="46" t="s">
        <v>5</v>
      </c>
      <c r="F10" s="47"/>
      <c r="G10" s="47"/>
      <c r="H10" s="48"/>
      <c r="I10" s="32"/>
      <c r="J10" s="32"/>
      <c r="K10" s="32"/>
      <c r="L10" s="32"/>
      <c r="M10" s="32"/>
      <c r="N10" s="32"/>
      <c r="O10" s="32"/>
      <c r="P10" s="32"/>
      <c r="Q10" s="32"/>
      <c r="R10" s="32"/>
      <c r="S10" s="32"/>
      <c r="T10" s="32"/>
      <c r="U10" s="32"/>
      <c r="V10" s="32"/>
      <c r="W10" s="32"/>
      <c r="X10" s="32"/>
      <c r="Y10" s="42"/>
      <c r="Z10" s="36"/>
    </row>
    <row r="11" ht="3.75" customHeight="1">
      <c r="A11" s="29"/>
      <c r="B11" s="37"/>
      <c r="C11" s="38"/>
      <c r="D11" s="39"/>
      <c r="E11" s="49"/>
      <c r="F11" s="23"/>
      <c r="G11" s="23"/>
      <c r="H11" s="23"/>
      <c r="I11" s="23"/>
      <c r="J11" s="23"/>
      <c r="K11" s="23"/>
      <c r="L11" s="23"/>
      <c r="M11" s="23"/>
      <c r="N11" s="23"/>
      <c r="O11" s="23"/>
      <c r="P11" s="23"/>
      <c r="Q11" s="23"/>
      <c r="R11" s="23"/>
      <c r="S11" s="23"/>
      <c r="T11" s="23"/>
      <c r="U11" s="23"/>
      <c r="V11" s="23"/>
      <c r="W11" s="23"/>
      <c r="X11" s="24"/>
      <c r="Y11" s="42"/>
      <c r="Z11" s="36"/>
    </row>
    <row r="12" ht="15.75" customHeight="1">
      <c r="A12" s="29"/>
      <c r="B12" s="43"/>
      <c r="C12" s="44"/>
      <c r="D12" s="39"/>
      <c r="E12" s="50" t="s">
        <v>6</v>
      </c>
      <c r="F12" s="23"/>
      <c r="G12" s="23"/>
      <c r="H12" s="23"/>
      <c r="I12" s="23"/>
      <c r="J12" s="23"/>
      <c r="K12" s="23"/>
      <c r="L12" s="23"/>
      <c r="M12" s="23"/>
      <c r="N12" s="23"/>
      <c r="O12" s="23"/>
      <c r="P12" s="23"/>
      <c r="Q12" s="23"/>
      <c r="R12" s="23"/>
      <c r="S12" s="23"/>
      <c r="T12" s="23"/>
      <c r="U12" s="23"/>
      <c r="V12" s="23"/>
      <c r="W12" s="23"/>
      <c r="X12" s="24"/>
      <c r="Y12" s="42"/>
      <c r="Z12" s="36"/>
    </row>
    <row r="13" ht="3.75" customHeight="1">
      <c r="A13" s="29"/>
      <c r="B13" s="37"/>
      <c r="C13" s="38"/>
      <c r="D13" s="39"/>
      <c r="E13" s="51"/>
      <c r="X13" s="41"/>
      <c r="Y13" s="42"/>
      <c r="Z13" s="36"/>
    </row>
    <row r="14" ht="15.75" customHeight="1">
      <c r="A14" s="29"/>
      <c r="B14" s="43"/>
      <c r="C14" s="44"/>
      <c r="D14" s="45"/>
      <c r="E14" s="46" t="s">
        <v>7</v>
      </c>
      <c r="F14" s="47"/>
      <c r="G14" s="47"/>
      <c r="H14" s="48"/>
      <c r="I14" s="32"/>
      <c r="J14" s="32"/>
      <c r="K14" s="32"/>
      <c r="L14" s="32"/>
      <c r="M14" s="32"/>
      <c r="N14" s="32"/>
      <c r="O14" s="32"/>
      <c r="P14" s="32"/>
      <c r="Q14" s="32"/>
      <c r="R14" s="32"/>
      <c r="S14" s="32"/>
      <c r="T14" s="32"/>
      <c r="U14" s="32"/>
      <c r="V14" s="32"/>
      <c r="W14" s="32"/>
      <c r="X14" s="32"/>
      <c r="Y14" s="42"/>
      <c r="Z14" s="36"/>
    </row>
    <row r="15" ht="3.75" customHeight="1">
      <c r="A15" s="29"/>
      <c r="B15" s="37"/>
      <c r="C15" s="38"/>
      <c r="D15" s="39"/>
      <c r="E15" s="49"/>
      <c r="F15" s="23"/>
      <c r="G15" s="23"/>
      <c r="H15" s="23"/>
      <c r="I15" s="23"/>
      <c r="J15" s="23"/>
      <c r="K15" s="23"/>
      <c r="L15" s="23"/>
      <c r="M15" s="23"/>
      <c r="N15" s="23"/>
      <c r="O15" s="23"/>
      <c r="P15" s="23"/>
      <c r="Q15" s="23"/>
      <c r="R15" s="23"/>
      <c r="S15" s="23"/>
      <c r="T15" s="23"/>
      <c r="U15" s="23"/>
      <c r="V15" s="23"/>
      <c r="W15" s="23"/>
      <c r="X15" s="24"/>
      <c r="Y15" s="42"/>
      <c r="Z15" s="36"/>
    </row>
    <row r="16" ht="15.75" customHeight="1">
      <c r="A16" s="29"/>
      <c r="B16" s="43"/>
      <c r="C16" s="44"/>
      <c r="D16" s="39"/>
      <c r="E16" s="50" t="s">
        <v>8</v>
      </c>
      <c r="F16" s="23"/>
      <c r="G16" s="23"/>
      <c r="H16" s="23"/>
      <c r="I16" s="23"/>
      <c r="J16" s="23"/>
      <c r="K16" s="23"/>
      <c r="L16" s="23"/>
      <c r="M16" s="23"/>
      <c r="N16" s="23"/>
      <c r="O16" s="23"/>
      <c r="P16" s="23"/>
      <c r="Q16" s="23"/>
      <c r="R16" s="23"/>
      <c r="S16" s="23"/>
      <c r="T16" s="23"/>
      <c r="U16" s="23"/>
      <c r="V16" s="23"/>
      <c r="W16" s="23"/>
      <c r="X16" s="24"/>
      <c r="Y16" s="42"/>
      <c r="Z16" s="36"/>
    </row>
    <row r="17" ht="3.75" customHeight="1">
      <c r="A17" s="29"/>
      <c r="B17" s="37"/>
      <c r="C17" s="38"/>
      <c r="D17" s="39"/>
      <c r="E17" s="51"/>
      <c r="X17" s="41"/>
      <c r="Y17" s="42"/>
      <c r="Z17" s="36"/>
    </row>
    <row r="18" ht="15.75" customHeight="1">
      <c r="A18" s="29"/>
      <c r="B18" s="43"/>
      <c r="C18" s="44"/>
      <c r="D18" s="45"/>
      <c r="E18" s="52" t="s">
        <v>9</v>
      </c>
      <c r="F18" s="47"/>
      <c r="G18" s="47"/>
      <c r="H18" s="48"/>
      <c r="I18" s="32"/>
      <c r="J18" s="32"/>
      <c r="K18" s="32"/>
      <c r="L18" s="32"/>
      <c r="M18" s="32"/>
      <c r="N18" s="32"/>
      <c r="O18" s="32"/>
      <c r="P18" s="32"/>
      <c r="Q18" s="32"/>
      <c r="R18" s="32"/>
      <c r="S18" s="32"/>
      <c r="T18" s="32"/>
      <c r="U18" s="32"/>
      <c r="V18" s="32"/>
      <c r="W18" s="32"/>
      <c r="X18" s="32"/>
      <c r="Y18" s="42"/>
      <c r="Z18" s="36"/>
    </row>
    <row r="19" ht="3.75" customHeight="1">
      <c r="A19" s="29"/>
      <c r="B19" s="37"/>
      <c r="C19" s="38"/>
      <c r="D19" s="39"/>
      <c r="E19" s="49"/>
      <c r="F19" s="23"/>
      <c r="G19" s="23"/>
      <c r="H19" s="23"/>
      <c r="I19" s="23"/>
      <c r="J19" s="23"/>
      <c r="K19" s="23"/>
      <c r="L19" s="23"/>
      <c r="M19" s="23"/>
      <c r="N19" s="23"/>
      <c r="O19" s="23"/>
      <c r="P19" s="23"/>
      <c r="Q19" s="23"/>
      <c r="R19" s="23"/>
      <c r="S19" s="23"/>
      <c r="T19" s="23"/>
      <c r="U19" s="23"/>
      <c r="V19" s="23"/>
      <c r="W19" s="23"/>
      <c r="X19" s="24"/>
      <c r="Y19" s="42"/>
      <c r="Z19" s="36"/>
    </row>
    <row r="20" ht="15.75" customHeight="1">
      <c r="A20" s="29"/>
      <c r="B20" s="43"/>
      <c r="C20" s="44"/>
      <c r="D20" s="39"/>
      <c r="E20" s="49" t="s">
        <v>10</v>
      </c>
      <c r="F20" s="23"/>
      <c r="G20" s="23"/>
      <c r="H20" s="23"/>
      <c r="I20" s="23"/>
      <c r="J20" s="23"/>
      <c r="K20" s="23"/>
      <c r="L20" s="23"/>
      <c r="M20" s="23"/>
      <c r="N20" s="23"/>
      <c r="O20" s="23"/>
      <c r="P20" s="23"/>
      <c r="Q20" s="23"/>
      <c r="R20" s="23"/>
      <c r="S20" s="23"/>
      <c r="T20" s="23"/>
      <c r="U20" s="23"/>
      <c r="V20" s="23"/>
      <c r="W20" s="23"/>
      <c r="X20" s="24"/>
      <c r="Y20" s="42"/>
      <c r="Z20" s="36"/>
    </row>
    <row r="21" ht="3.75" customHeight="1">
      <c r="A21" s="29"/>
      <c r="B21" s="37"/>
      <c r="C21" s="38"/>
      <c r="D21" s="39"/>
      <c r="E21" s="51"/>
      <c r="X21" s="41"/>
      <c r="Y21" s="42"/>
      <c r="Z21" s="36"/>
    </row>
    <row r="22" ht="15.75" customHeight="1">
      <c r="A22" s="29"/>
      <c r="B22" s="43"/>
      <c r="C22" s="44"/>
      <c r="D22" s="45"/>
      <c r="E22" s="52" t="s">
        <v>11</v>
      </c>
      <c r="F22" s="47"/>
      <c r="G22" s="47"/>
      <c r="H22" s="47"/>
      <c r="I22" s="47"/>
      <c r="J22" s="47"/>
      <c r="K22" s="47"/>
      <c r="L22" s="48"/>
      <c r="M22" s="32"/>
      <c r="N22" s="32"/>
      <c r="O22" s="32"/>
      <c r="P22" s="32"/>
      <c r="Q22" s="32"/>
      <c r="R22" s="32"/>
      <c r="S22" s="32"/>
      <c r="T22" s="32"/>
      <c r="U22" s="32"/>
      <c r="V22" s="32"/>
      <c r="W22" s="32"/>
      <c r="X22" s="32"/>
      <c r="Y22" s="42"/>
      <c r="Z22" s="36"/>
    </row>
    <row r="23" ht="3.75" customHeight="1">
      <c r="A23" s="29"/>
      <c r="B23" s="37"/>
      <c r="C23" s="38"/>
      <c r="D23" s="39"/>
      <c r="E23" s="49"/>
      <c r="F23" s="23"/>
      <c r="G23" s="23"/>
      <c r="H23" s="23"/>
      <c r="I23" s="23"/>
      <c r="J23" s="23"/>
      <c r="K23" s="23"/>
      <c r="L23" s="23"/>
      <c r="M23" s="23"/>
      <c r="N23" s="23"/>
      <c r="O23" s="23"/>
      <c r="P23" s="23"/>
      <c r="Q23" s="23"/>
      <c r="R23" s="23"/>
      <c r="S23" s="23"/>
      <c r="T23" s="23"/>
      <c r="U23" s="23"/>
      <c r="V23" s="23"/>
      <c r="W23" s="23"/>
      <c r="X23" s="24"/>
      <c r="Y23" s="42"/>
      <c r="Z23" s="36"/>
    </row>
    <row r="24" ht="15.75" customHeight="1">
      <c r="A24" s="29"/>
      <c r="B24" s="43"/>
      <c r="C24" s="44"/>
      <c r="D24" s="39"/>
      <c r="E24" s="49" t="s">
        <v>12</v>
      </c>
      <c r="F24" s="23"/>
      <c r="G24" s="23"/>
      <c r="H24" s="23"/>
      <c r="I24" s="23"/>
      <c r="J24" s="23"/>
      <c r="K24" s="23"/>
      <c r="L24" s="23"/>
      <c r="M24" s="23"/>
      <c r="N24" s="23"/>
      <c r="O24" s="23"/>
      <c r="P24" s="23"/>
      <c r="Q24" s="23"/>
      <c r="R24" s="23"/>
      <c r="S24" s="23"/>
      <c r="T24" s="23"/>
      <c r="U24" s="23"/>
      <c r="V24" s="23"/>
      <c r="W24" s="23"/>
      <c r="X24" s="24"/>
      <c r="Y24" s="42"/>
      <c r="Z24" s="36"/>
    </row>
    <row r="25" ht="3.75" customHeight="1">
      <c r="A25" s="29"/>
      <c r="B25" s="37"/>
      <c r="C25" s="38"/>
      <c r="D25" s="39"/>
      <c r="E25" s="51"/>
      <c r="X25" s="41"/>
      <c r="Y25" s="42"/>
      <c r="Z25" s="36"/>
    </row>
    <row r="26" ht="15.75" customHeight="1">
      <c r="A26" s="29"/>
      <c r="B26" s="43"/>
      <c r="C26" s="44"/>
      <c r="D26" s="45"/>
      <c r="E26" s="52" t="s">
        <v>13</v>
      </c>
      <c r="F26" s="47"/>
      <c r="G26" s="47"/>
      <c r="H26" s="48"/>
      <c r="I26" s="32"/>
      <c r="J26" s="32"/>
      <c r="K26" s="32"/>
      <c r="L26" s="32"/>
      <c r="M26" s="32"/>
      <c r="N26" s="32"/>
      <c r="O26" s="32"/>
      <c r="P26" s="32"/>
      <c r="Q26" s="32"/>
      <c r="R26" s="32"/>
      <c r="S26" s="32"/>
      <c r="T26" s="32"/>
      <c r="U26" s="32"/>
      <c r="V26" s="32"/>
      <c r="W26" s="32"/>
      <c r="X26" s="32"/>
      <c r="Y26" s="42"/>
      <c r="Z26" s="36"/>
    </row>
    <row r="27" ht="3.75" customHeight="1">
      <c r="A27" s="29"/>
      <c r="B27" s="37"/>
      <c r="C27" s="38"/>
      <c r="D27" s="39"/>
      <c r="E27" s="49"/>
      <c r="F27" s="23"/>
      <c r="G27" s="23"/>
      <c r="H27" s="23"/>
      <c r="I27" s="23"/>
      <c r="J27" s="23"/>
      <c r="K27" s="23"/>
      <c r="L27" s="23"/>
      <c r="M27" s="23"/>
      <c r="N27" s="23"/>
      <c r="O27" s="23"/>
      <c r="P27" s="23"/>
      <c r="Q27" s="23"/>
      <c r="R27" s="23"/>
      <c r="S27" s="23"/>
      <c r="T27" s="23"/>
      <c r="U27" s="23"/>
      <c r="V27" s="23"/>
      <c r="W27" s="23"/>
      <c r="X27" s="24"/>
      <c r="Y27" s="42"/>
      <c r="Z27" s="36"/>
    </row>
    <row r="28" ht="15.75" customHeight="1">
      <c r="A28" s="29"/>
      <c r="B28" s="43"/>
      <c r="C28" s="44"/>
      <c r="D28" s="39"/>
      <c r="E28" s="49" t="s">
        <v>14</v>
      </c>
      <c r="F28" s="23"/>
      <c r="G28" s="23"/>
      <c r="H28" s="23"/>
      <c r="I28" s="23"/>
      <c r="J28" s="23"/>
      <c r="K28" s="23"/>
      <c r="L28" s="23"/>
      <c r="M28" s="23"/>
      <c r="N28" s="23"/>
      <c r="O28" s="23"/>
      <c r="P28" s="23"/>
      <c r="Q28" s="23"/>
      <c r="R28" s="23"/>
      <c r="S28" s="23"/>
      <c r="T28" s="23"/>
      <c r="U28" s="23"/>
      <c r="V28" s="23"/>
      <c r="W28" s="23"/>
      <c r="X28" s="24"/>
      <c r="Y28" s="42"/>
      <c r="Z28" s="36"/>
    </row>
    <row r="29" ht="3.75" customHeight="1">
      <c r="A29" s="29"/>
      <c r="B29" s="37"/>
      <c r="C29" s="38"/>
      <c r="D29" s="39"/>
      <c r="E29" s="51"/>
      <c r="X29" s="41"/>
      <c r="Y29" s="42"/>
      <c r="Z29" s="36"/>
    </row>
    <row r="30" ht="15.75" customHeight="1">
      <c r="A30" s="29"/>
      <c r="B30" s="43"/>
      <c r="C30" s="44"/>
      <c r="D30" s="45"/>
      <c r="E30" s="52" t="s">
        <v>15</v>
      </c>
      <c r="F30" s="47"/>
      <c r="G30" s="47"/>
      <c r="H30" s="48"/>
      <c r="I30" s="32"/>
      <c r="J30" s="32"/>
      <c r="K30" s="32"/>
      <c r="L30" s="32"/>
      <c r="M30" s="32"/>
      <c r="N30" s="32"/>
      <c r="O30" s="32"/>
      <c r="P30" s="32"/>
      <c r="Q30" s="32"/>
      <c r="R30" s="32"/>
      <c r="S30" s="32"/>
      <c r="T30" s="32"/>
      <c r="U30" s="32"/>
      <c r="V30" s="32"/>
      <c r="W30" s="32"/>
      <c r="X30" s="32"/>
      <c r="Y30" s="42"/>
      <c r="Z30" s="36"/>
    </row>
    <row r="31" ht="3.75" customHeight="1">
      <c r="A31" s="29"/>
      <c r="B31" s="37"/>
      <c r="C31" s="38"/>
      <c r="D31" s="39"/>
      <c r="E31" s="49"/>
      <c r="F31" s="23"/>
      <c r="G31" s="23"/>
      <c r="H31" s="23"/>
      <c r="I31" s="23"/>
      <c r="J31" s="23"/>
      <c r="K31" s="23"/>
      <c r="L31" s="23"/>
      <c r="M31" s="23"/>
      <c r="N31" s="23"/>
      <c r="O31" s="23"/>
      <c r="P31" s="23"/>
      <c r="Q31" s="23"/>
      <c r="R31" s="23"/>
      <c r="S31" s="23"/>
      <c r="T31" s="23"/>
      <c r="U31" s="23"/>
      <c r="V31" s="23"/>
      <c r="W31" s="23"/>
      <c r="X31" s="24"/>
      <c r="Y31" s="42"/>
      <c r="Z31" s="36"/>
    </row>
    <row r="32" ht="15.75" customHeight="1">
      <c r="A32" s="29"/>
      <c r="B32" s="43"/>
      <c r="C32" s="44"/>
      <c r="D32" s="39"/>
      <c r="E32" s="49" t="s">
        <v>16</v>
      </c>
      <c r="F32" s="23"/>
      <c r="G32" s="23"/>
      <c r="H32" s="23"/>
      <c r="I32" s="23"/>
      <c r="J32" s="23"/>
      <c r="K32" s="23"/>
      <c r="L32" s="23"/>
      <c r="M32" s="23"/>
      <c r="N32" s="23"/>
      <c r="O32" s="23"/>
      <c r="P32" s="23"/>
      <c r="Q32" s="23"/>
      <c r="R32" s="23"/>
      <c r="S32" s="23"/>
      <c r="T32" s="23"/>
      <c r="U32" s="23"/>
      <c r="V32" s="23"/>
      <c r="W32" s="23"/>
      <c r="X32" s="24"/>
      <c r="Y32" s="42"/>
      <c r="Z32" s="36"/>
    </row>
    <row r="33" ht="3.75" customHeight="1">
      <c r="A33" s="29"/>
      <c r="B33" s="37"/>
      <c r="C33" s="38"/>
      <c r="D33" s="39"/>
      <c r="E33" s="51"/>
      <c r="X33" s="41"/>
      <c r="Y33" s="42"/>
      <c r="Z33" s="36"/>
    </row>
    <row r="34" ht="15.75" customHeight="1">
      <c r="A34" s="29"/>
      <c r="B34" s="43"/>
      <c r="C34" s="44"/>
      <c r="D34" s="45"/>
      <c r="E34" s="52" t="s">
        <v>17</v>
      </c>
      <c r="F34" s="47"/>
      <c r="G34" s="47"/>
      <c r="H34" s="47"/>
      <c r="I34" s="47"/>
      <c r="J34" s="47"/>
      <c r="K34" s="47"/>
      <c r="L34" s="47"/>
      <c r="M34" s="47"/>
      <c r="N34" s="48"/>
      <c r="O34" s="32"/>
      <c r="P34" s="32"/>
      <c r="Q34" s="32"/>
      <c r="R34" s="32"/>
      <c r="S34" s="32"/>
      <c r="T34" s="32"/>
      <c r="U34" s="32"/>
      <c r="V34" s="32"/>
      <c r="W34" s="32"/>
      <c r="X34" s="32"/>
      <c r="Y34" s="42"/>
      <c r="Z34" s="36"/>
    </row>
    <row r="35" ht="3.75" customHeight="1">
      <c r="A35" s="29"/>
      <c r="B35" s="37"/>
      <c r="C35" s="38"/>
      <c r="D35" s="39"/>
      <c r="E35" s="49"/>
      <c r="F35" s="23"/>
      <c r="G35" s="23"/>
      <c r="H35" s="23"/>
      <c r="I35" s="23"/>
      <c r="J35" s="23"/>
      <c r="K35" s="23"/>
      <c r="L35" s="23"/>
      <c r="M35" s="23"/>
      <c r="N35" s="23"/>
      <c r="O35" s="23"/>
      <c r="P35" s="23"/>
      <c r="Q35" s="23"/>
      <c r="R35" s="23"/>
      <c r="S35" s="23"/>
      <c r="T35" s="23"/>
      <c r="U35" s="23"/>
      <c r="V35" s="23"/>
      <c r="W35" s="23"/>
      <c r="X35" s="24"/>
      <c r="Y35" s="42"/>
      <c r="Z35" s="36"/>
    </row>
    <row r="36" ht="15.75" customHeight="1">
      <c r="A36" s="29"/>
      <c r="B36" s="43"/>
      <c r="C36" s="44"/>
      <c r="D36" s="39"/>
      <c r="E36" s="49" t="s">
        <v>18</v>
      </c>
      <c r="F36" s="23"/>
      <c r="G36" s="23"/>
      <c r="H36" s="23"/>
      <c r="I36" s="23"/>
      <c r="J36" s="23"/>
      <c r="K36" s="23"/>
      <c r="L36" s="23"/>
      <c r="M36" s="23"/>
      <c r="N36" s="23"/>
      <c r="O36" s="23"/>
      <c r="P36" s="23"/>
      <c r="Q36" s="23"/>
      <c r="R36" s="23"/>
      <c r="S36" s="23"/>
      <c r="T36" s="23"/>
      <c r="U36" s="23"/>
      <c r="V36" s="23"/>
      <c r="W36" s="23"/>
      <c r="X36" s="24"/>
      <c r="Y36" s="42"/>
      <c r="Z36" s="36"/>
    </row>
    <row r="37" ht="3.75" customHeight="1">
      <c r="A37" s="29"/>
      <c r="B37" s="37"/>
      <c r="C37" s="38"/>
      <c r="D37" s="39"/>
      <c r="E37" s="51"/>
      <c r="X37" s="41"/>
      <c r="Y37" s="42"/>
      <c r="Z37" s="36"/>
    </row>
    <row r="38" ht="15.75" customHeight="1">
      <c r="A38" s="29"/>
      <c r="B38" s="43"/>
      <c r="C38" s="44"/>
      <c r="D38" s="45"/>
      <c r="E38" s="52" t="s">
        <v>19</v>
      </c>
      <c r="F38" s="47"/>
      <c r="G38" s="47"/>
      <c r="H38" s="48"/>
      <c r="I38" s="32"/>
      <c r="J38" s="32"/>
      <c r="K38" s="32"/>
      <c r="L38" s="32"/>
      <c r="M38" s="32"/>
      <c r="N38" s="32"/>
      <c r="O38" s="32"/>
      <c r="P38" s="32"/>
      <c r="Q38" s="32"/>
      <c r="R38" s="32"/>
      <c r="S38" s="32"/>
      <c r="T38" s="32"/>
      <c r="U38" s="32"/>
      <c r="V38" s="32"/>
      <c r="W38" s="32"/>
      <c r="X38" s="32"/>
      <c r="Y38" s="42"/>
      <c r="Z38" s="36"/>
    </row>
    <row r="39" ht="3.75" customHeight="1">
      <c r="A39" s="29"/>
      <c r="B39" s="37"/>
      <c r="C39" s="38"/>
      <c r="D39" s="39"/>
      <c r="E39" s="49"/>
      <c r="F39" s="23"/>
      <c r="G39" s="23"/>
      <c r="H39" s="23"/>
      <c r="I39" s="23"/>
      <c r="J39" s="23"/>
      <c r="K39" s="23"/>
      <c r="L39" s="23"/>
      <c r="M39" s="23"/>
      <c r="N39" s="23"/>
      <c r="O39" s="23"/>
      <c r="P39" s="23"/>
      <c r="Q39" s="23"/>
      <c r="R39" s="23"/>
      <c r="S39" s="23"/>
      <c r="T39" s="23"/>
      <c r="U39" s="23"/>
      <c r="V39" s="23"/>
      <c r="W39" s="23"/>
      <c r="X39" s="24"/>
      <c r="Y39" s="42"/>
      <c r="Z39" s="36"/>
    </row>
    <row r="40" ht="15.75" customHeight="1">
      <c r="A40" s="29"/>
      <c r="B40" s="43"/>
      <c r="C40" s="44"/>
      <c r="D40" s="39"/>
      <c r="E40" s="49" t="s">
        <v>20</v>
      </c>
      <c r="F40" s="23"/>
      <c r="G40" s="23"/>
      <c r="H40" s="23"/>
      <c r="I40" s="23"/>
      <c r="J40" s="23"/>
      <c r="K40" s="23"/>
      <c r="L40" s="23"/>
      <c r="M40" s="23"/>
      <c r="N40" s="23"/>
      <c r="O40" s="23"/>
      <c r="P40" s="23"/>
      <c r="Q40" s="23"/>
      <c r="R40" s="23"/>
      <c r="S40" s="23"/>
      <c r="T40" s="23"/>
      <c r="U40" s="23"/>
      <c r="V40" s="23"/>
      <c r="W40" s="23"/>
      <c r="X40" s="24"/>
      <c r="Y40" s="42"/>
      <c r="Z40" s="36"/>
    </row>
    <row r="41" ht="3.75" customHeight="1">
      <c r="A41" s="29"/>
      <c r="B41" s="37"/>
      <c r="C41" s="38"/>
      <c r="D41" s="39"/>
      <c r="E41" s="51"/>
      <c r="X41" s="41"/>
      <c r="Y41" s="42"/>
      <c r="Z41" s="36"/>
    </row>
    <row r="42" ht="15.75" customHeight="1">
      <c r="A42" s="29"/>
      <c r="B42" s="43"/>
      <c r="C42" s="44"/>
      <c r="D42" s="45"/>
      <c r="E42" s="52" t="s">
        <v>21</v>
      </c>
      <c r="F42" s="47"/>
      <c r="G42" s="47"/>
      <c r="H42" s="48"/>
      <c r="I42" s="32"/>
      <c r="J42" s="32"/>
      <c r="K42" s="32"/>
      <c r="L42" s="32"/>
      <c r="M42" s="32"/>
      <c r="N42" s="32"/>
      <c r="O42" s="32"/>
      <c r="P42" s="32"/>
      <c r="Q42" s="32"/>
      <c r="R42" s="32"/>
      <c r="S42" s="32"/>
      <c r="T42" s="32"/>
      <c r="U42" s="32"/>
      <c r="V42" s="32"/>
      <c r="W42" s="32"/>
      <c r="X42" s="32"/>
      <c r="Y42" s="42"/>
      <c r="Z42" s="36"/>
    </row>
    <row r="43" ht="3.75" customHeight="1">
      <c r="A43" s="29"/>
      <c r="B43" s="37"/>
      <c r="C43" s="38"/>
      <c r="D43" s="39"/>
      <c r="E43" s="49"/>
      <c r="F43" s="23"/>
      <c r="G43" s="23"/>
      <c r="H43" s="23"/>
      <c r="I43" s="23"/>
      <c r="J43" s="23"/>
      <c r="K43" s="23"/>
      <c r="L43" s="23"/>
      <c r="M43" s="23"/>
      <c r="N43" s="23"/>
      <c r="O43" s="23"/>
      <c r="P43" s="23"/>
      <c r="Q43" s="23"/>
      <c r="R43" s="23"/>
      <c r="S43" s="23"/>
      <c r="T43" s="23"/>
      <c r="U43" s="23"/>
      <c r="V43" s="23"/>
      <c r="W43" s="23"/>
      <c r="X43" s="24"/>
      <c r="Y43" s="42"/>
      <c r="Z43" s="36"/>
    </row>
    <row r="44" ht="15.75" customHeight="1">
      <c r="A44" s="29"/>
      <c r="B44" s="43"/>
      <c r="C44" s="44"/>
      <c r="D44" s="39"/>
      <c r="E44" s="50" t="s">
        <v>22</v>
      </c>
      <c r="F44" s="23"/>
      <c r="G44" s="23"/>
      <c r="H44" s="23"/>
      <c r="I44" s="23"/>
      <c r="J44" s="23"/>
      <c r="K44" s="23"/>
      <c r="L44" s="23"/>
      <c r="M44" s="23"/>
      <c r="N44" s="23"/>
      <c r="O44" s="23"/>
      <c r="P44" s="23"/>
      <c r="Q44" s="23"/>
      <c r="R44" s="23"/>
      <c r="S44" s="23"/>
      <c r="T44" s="23"/>
      <c r="U44" s="23"/>
      <c r="V44" s="23"/>
      <c r="W44" s="23"/>
      <c r="X44" s="24"/>
      <c r="Y44" s="42"/>
      <c r="Z44" s="36"/>
    </row>
    <row r="45" ht="7.5" customHeight="1">
      <c r="A45" s="29"/>
      <c r="B45" s="37"/>
      <c r="C45" s="45"/>
      <c r="D45" s="23"/>
      <c r="E45" s="23"/>
      <c r="F45" s="23"/>
      <c r="G45" s="23"/>
      <c r="H45" s="23"/>
      <c r="I45" s="23"/>
      <c r="J45" s="23"/>
      <c r="K45" s="23"/>
      <c r="L45" s="23"/>
      <c r="M45" s="23"/>
      <c r="N45" s="23"/>
      <c r="O45" s="23"/>
      <c r="P45" s="23"/>
      <c r="Q45" s="23"/>
      <c r="R45" s="23"/>
      <c r="S45" s="23"/>
      <c r="T45" s="23"/>
      <c r="U45" s="23"/>
      <c r="V45" s="23"/>
      <c r="W45" s="23"/>
      <c r="X45" s="24"/>
      <c r="Y45" s="42"/>
      <c r="Z45" s="36"/>
    </row>
    <row r="46">
      <c r="A46" s="5"/>
      <c r="B46" s="25"/>
      <c r="C46" s="53" t="s">
        <v>23</v>
      </c>
      <c r="D46" s="14"/>
      <c r="E46" s="14"/>
      <c r="F46" s="14"/>
      <c r="G46" s="14"/>
      <c r="H46" s="14"/>
      <c r="I46" s="14"/>
      <c r="J46" s="14"/>
      <c r="K46" s="14"/>
      <c r="L46" s="14"/>
      <c r="M46" s="14"/>
      <c r="N46" s="14"/>
      <c r="O46" s="14"/>
      <c r="P46" s="14"/>
      <c r="Q46" s="14"/>
      <c r="R46" s="14"/>
      <c r="S46" s="15"/>
      <c r="T46" s="26"/>
      <c r="U46" s="27"/>
      <c r="V46" s="27"/>
      <c r="W46" s="27"/>
      <c r="X46" s="27"/>
      <c r="Y46" s="28"/>
      <c r="Z46" s="10"/>
    </row>
    <row r="47" ht="3.75" customHeight="1">
      <c r="A47" s="29"/>
      <c r="B47" s="37"/>
      <c r="C47" s="45"/>
      <c r="D47" s="23"/>
      <c r="E47" s="23"/>
      <c r="F47" s="23"/>
      <c r="G47" s="23"/>
      <c r="H47" s="23"/>
      <c r="I47" s="23"/>
      <c r="J47" s="23"/>
      <c r="K47" s="23"/>
      <c r="L47" s="23"/>
      <c r="M47" s="23"/>
      <c r="N47" s="23"/>
      <c r="O47" s="23"/>
      <c r="P47" s="23"/>
      <c r="Q47" s="23"/>
      <c r="R47" s="23"/>
      <c r="S47" s="23"/>
      <c r="T47" s="23"/>
      <c r="U47" s="23"/>
      <c r="V47" s="23"/>
      <c r="W47" s="23"/>
      <c r="X47" s="24"/>
      <c r="Y47" s="42"/>
      <c r="Z47" s="36"/>
    </row>
    <row r="48">
      <c r="A48" s="5"/>
      <c r="B48" s="54"/>
      <c r="C48" s="55"/>
      <c r="D48" s="56"/>
      <c r="E48" s="57" t="s">
        <v>24</v>
      </c>
      <c r="F48" s="47"/>
      <c r="G48" s="47"/>
      <c r="H48" s="47"/>
      <c r="I48" s="47"/>
      <c r="J48" s="47"/>
      <c r="K48" s="47"/>
      <c r="L48" s="47"/>
      <c r="M48" s="47"/>
      <c r="N48" s="47"/>
      <c r="O48" s="47"/>
      <c r="P48" s="47"/>
      <c r="Q48" s="47"/>
      <c r="R48" s="47"/>
      <c r="S48" s="47"/>
      <c r="T48" s="47"/>
      <c r="U48" s="47"/>
      <c r="V48" s="47"/>
      <c r="W48" s="48"/>
      <c r="X48" s="27"/>
      <c r="Y48" s="28"/>
      <c r="Z48" s="10"/>
    </row>
    <row r="49" ht="7.5" customHeight="1">
      <c r="A49" s="29"/>
      <c r="B49" s="37"/>
      <c r="C49" s="45"/>
      <c r="D49" s="23"/>
      <c r="E49" s="23"/>
      <c r="F49" s="23"/>
      <c r="G49" s="23"/>
      <c r="H49" s="23"/>
      <c r="I49" s="23"/>
      <c r="J49" s="23"/>
      <c r="K49" s="23"/>
      <c r="L49" s="23"/>
      <c r="M49" s="23"/>
      <c r="N49" s="23"/>
      <c r="O49" s="23"/>
      <c r="P49" s="23"/>
      <c r="Q49" s="23"/>
      <c r="R49" s="23"/>
      <c r="S49" s="23"/>
      <c r="T49" s="23"/>
      <c r="U49" s="23"/>
      <c r="V49" s="23"/>
      <c r="W49" s="23"/>
      <c r="X49" s="24"/>
      <c r="Y49" s="42"/>
      <c r="Z49" s="36"/>
    </row>
    <row r="50">
      <c r="A50" s="5"/>
      <c r="B50" s="25"/>
      <c r="C50" s="58" t="s">
        <v>25</v>
      </c>
      <c r="D50" s="14"/>
      <c r="E50" s="14"/>
      <c r="F50" s="14"/>
      <c r="G50" s="14"/>
      <c r="H50" s="14"/>
      <c r="I50" s="14"/>
      <c r="J50" s="14"/>
      <c r="K50" s="14"/>
      <c r="L50" s="14"/>
      <c r="M50" s="14"/>
      <c r="N50" s="14"/>
      <c r="O50" s="14"/>
      <c r="P50" s="14"/>
      <c r="Q50" s="14"/>
      <c r="R50" s="15"/>
      <c r="S50" s="26"/>
      <c r="T50" s="26"/>
      <c r="U50" s="27"/>
      <c r="V50" s="27"/>
      <c r="W50" s="27"/>
      <c r="X50" s="27"/>
      <c r="Y50" s="28"/>
      <c r="Z50" s="10"/>
    </row>
    <row r="51" ht="3.75" customHeight="1">
      <c r="A51" s="29"/>
      <c r="B51" s="37"/>
      <c r="C51" s="45"/>
      <c r="D51" s="23"/>
      <c r="E51" s="23"/>
      <c r="F51" s="23"/>
      <c r="G51" s="23"/>
      <c r="H51" s="23"/>
      <c r="I51" s="23"/>
      <c r="J51" s="23"/>
      <c r="K51" s="23"/>
      <c r="L51" s="23"/>
      <c r="M51" s="23"/>
      <c r="N51" s="23"/>
      <c r="O51" s="23"/>
      <c r="P51" s="23"/>
      <c r="Q51" s="23"/>
      <c r="R51" s="23"/>
      <c r="S51" s="23"/>
      <c r="T51" s="23"/>
      <c r="U51" s="23"/>
      <c r="V51" s="23"/>
      <c r="W51" s="23"/>
      <c r="X51" s="24"/>
      <c r="Y51" s="42"/>
      <c r="Z51" s="36"/>
    </row>
    <row r="52">
      <c r="A52" s="5"/>
      <c r="B52" s="54"/>
      <c r="C52" s="59"/>
      <c r="D52" s="60"/>
      <c r="E52" s="61" t="s">
        <v>26</v>
      </c>
      <c r="F52" s="14"/>
      <c r="G52" s="14"/>
      <c r="H52" s="14"/>
      <c r="I52" s="14"/>
      <c r="J52" s="14"/>
      <c r="K52" s="14"/>
      <c r="L52" s="14"/>
      <c r="M52" s="14"/>
      <c r="N52" s="14"/>
      <c r="O52" s="14"/>
      <c r="P52" s="14"/>
      <c r="Q52" s="14"/>
      <c r="R52" s="14"/>
      <c r="S52" s="14"/>
      <c r="T52" s="14"/>
      <c r="U52" s="14"/>
      <c r="V52" s="14"/>
      <c r="W52" s="14"/>
      <c r="X52" s="15"/>
      <c r="Y52" s="28"/>
      <c r="Z52" s="10"/>
    </row>
    <row r="53" ht="3.75" customHeight="1">
      <c r="A53" s="29"/>
      <c r="B53" s="37"/>
      <c r="C53" s="38"/>
      <c r="D53" s="39"/>
      <c r="E53" s="51"/>
      <c r="X53" s="41"/>
      <c r="Y53" s="42"/>
      <c r="Z53" s="36"/>
    </row>
    <row r="54">
      <c r="A54" s="5"/>
      <c r="B54" s="62"/>
      <c r="C54" s="59"/>
      <c r="D54" s="63"/>
      <c r="E54" s="46" t="s">
        <v>27</v>
      </c>
      <c r="F54" s="47"/>
      <c r="G54" s="47"/>
      <c r="H54" s="47"/>
      <c r="I54" s="47"/>
      <c r="J54" s="47"/>
      <c r="K54" s="47"/>
      <c r="L54" s="47"/>
      <c r="M54" s="47"/>
      <c r="N54" s="47"/>
      <c r="O54" s="47"/>
      <c r="P54" s="47"/>
      <c r="Q54" s="47"/>
      <c r="R54" s="47"/>
      <c r="S54" s="47"/>
      <c r="T54" s="47"/>
      <c r="U54" s="48"/>
      <c r="V54" s="32"/>
      <c r="W54" s="32"/>
      <c r="X54" s="32"/>
      <c r="Y54" s="64"/>
      <c r="Z54" s="10"/>
    </row>
    <row r="55" ht="3.75" customHeight="1">
      <c r="A55" s="29"/>
      <c r="B55" s="37"/>
      <c r="C55" s="38"/>
      <c r="D55" s="39"/>
      <c r="E55" s="49"/>
      <c r="F55" s="23"/>
      <c r="G55" s="23"/>
      <c r="H55" s="23"/>
      <c r="I55" s="23"/>
      <c r="J55" s="23"/>
      <c r="K55" s="23"/>
      <c r="L55" s="23"/>
      <c r="M55" s="23"/>
      <c r="N55" s="23"/>
      <c r="O55" s="23"/>
      <c r="P55" s="23"/>
      <c r="Q55" s="23"/>
      <c r="R55" s="23"/>
      <c r="S55" s="23"/>
      <c r="T55" s="23"/>
      <c r="U55" s="23"/>
      <c r="V55" s="23"/>
      <c r="W55" s="23"/>
      <c r="X55" s="24"/>
      <c r="Y55" s="42"/>
      <c r="Z55" s="36"/>
    </row>
    <row r="56">
      <c r="A56" s="5"/>
      <c r="B56" s="54"/>
      <c r="C56" s="59"/>
      <c r="D56" s="60"/>
      <c r="E56" s="61" t="s">
        <v>28</v>
      </c>
      <c r="F56" s="14"/>
      <c r="G56" s="14"/>
      <c r="H56" s="14"/>
      <c r="I56" s="14"/>
      <c r="J56" s="14"/>
      <c r="K56" s="14"/>
      <c r="L56" s="14"/>
      <c r="M56" s="14"/>
      <c r="N56" s="14"/>
      <c r="O56" s="14"/>
      <c r="P56" s="14"/>
      <c r="Q56" s="14"/>
      <c r="R56" s="14"/>
      <c r="S56" s="14"/>
      <c r="T56" s="14"/>
      <c r="U56" s="14"/>
      <c r="V56" s="14"/>
      <c r="W56" s="14"/>
      <c r="X56" s="15"/>
      <c r="Y56" s="28"/>
      <c r="Z56" s="10"/>
    </row>
    <row r="57" ht="3.75" customHeight="1">
      <c r="A57" s="29"/>
      <c r="B57" s="65"/>
      <c r="C57" s="66"/>
      <c r="D57" s="39"/>
      <c r="E57" s="67"/>
      <c r="F57" s="67"/>
      <c r="G57" s="67"/>
      <c r="H57" s="67"/>
      <c r="I57" s="67"/>
      <c r="J57" s="67"/>
      <c r="K57" s="67"/>
      <c r="L57" s="67"/>
      <c r="M57" s="67"/>
      <c r="N57" s="67"/>
      <c r="O57" s="67"/>
      <c r="P57" s="67"/>
      <c r="Q57" s="67"/>
      <c r="R57" s="67"/>
      <c r="S57" s="67"/>
      <c r="T57" s="67"/>
      <c r="U57" s="67"/>
      <c r="V57" s="67"/>
      <c r="W57" s="67"/>
      <c r="X57" s="67"/>
      <c r="Y57" s="42"/>
      <c r="Z57" s="36"/>
    </row>
    <row r="58">
      <c r="A58" s="5"/>
      <c r="B58" s="54"/>
      <c r="C58" s="59"/>
      <c r="D58" s="56"/>
      <c r="E58" s="68" t="s">
        <v>29</v>
      </c>
      <c r="F58" s="69"/>
      <c r="G58" s="69"/>
      <c r="H58" s="69"/>
      <c r="I58" s="69"/>
      <c r="J58" s="69"/>
      <c r="K58" s="69"/>
      <c r="L58" s="69"/>
      <c r="M58" s="69"/>
      <c r="N58" s="69"/>
      <c r="O58" s="69"/>
      <c r="P58" s="69"/>
      <c r="Q58" s="69"/>
      <c r="R58" s="69"/>
      <c r="S58" s="69"/>
      <c r="T58" s="69"/>
      <c r="U58" s="69"/>
      <c r="V58" s="32"/>
      <c r="W58" s="32"/>
      <c r="X58" s="32"/>
      <c r="Y58" s="28"/>
      <c r="Z58" s="10"/>
    </row>
    <row r="59" ht="3.75" customHeight="1">
      <c r="A59" s="29"/>
      <c r="B59" s="37"/>
      <c r="C59" s="38"/>
      <c r="D59" s="39"/>
      <c r="E59" s="49"/>
      <c r="F59" s="23"/>
      <c r="G59" s="23"/>
      <c r="H59" s="23"/>
      <c r="I59" s="23"/>
      <c r="J59" s="23"/>
      <c r="K59" s="23"/>
      <c r="L59" s="23"/>
      <c r="M59" s="23"/>
      <c r="N59" s="23"/>
      <c r="O59" s="23"/>
      <c r="P59" s="23"/>
      <c r="Q59" s="23"/>
      <c r="R59" s="23"/>
      <c r="S59" s="23"/>
      <c r="T59" s="23"/>
      <c r="U59" s="23"/>
      <c r="V59" s="23"/>
      <c r="W59" s="23"/>
      <c r="X59" s="24"/>
      <c r="Y59" s="42"/>
      <c r="Z59" s="36"/>
    </row>
    <row r="60">
      <c r="A60" s="5"/>
      <c r="B60" s="54"/>
      <c r="C60" s="59"/>
      <c r="D60" s="60"/>
      <c r="E60" s="61" t="s">
        <v>30</v>
      </c>
      <c r="F60" s="14"/>
      <c r="G60" s="14"/>
      <c r="H60" s="14"/>
      <c r="I60" s="14"/>
      <c r="J60" s="14"/>
      <c r="K60" s="14"/>
      <c r="L60" s="14"/>
      <c r="M60" s="14"/>
      <c r="N60" s="14"/>
      <c r="O60" s="14"/>
      <c r="P60" s="14"/>
      <c r="Q60" s="14"/>
      <c r="R60" s="14"/>
      <c r="S60" s="14"/>
      <c r="T60" s="14"/>
      <c r="U60" s="14"/>
      <c r="V60" s="14"/>
      <c r="W60" s="14"/>
      <c r="X60" s="15"/>
      <c r="Y60" s="28"/>
      <c r="Z60" s="10"/>
    </row>
    <row r="61" ht="3.75" customHeight="1">
      <c r="A61" s="29"/>
      <c r="B61" s="37"/>
      <c r="C61" s="38"/>
      <c r="D61" s="39"/>
      <c r="E61" s="51"/>
      <c r="X61" s="41"/>
      <c r="Y61" s="42"/>
      <c r="Z61" s="36"/>
    </row>
    <row r="62">
      <c r="A62" s="5"/>
      <c r="B62" s="54"/>
      <c r="C62" s="59"/>
      <c r="D62" s="56"/>
      <c r="E62" s="52" t="s">
        <v>31</v>
      </c>
      <c r="F62" s="47"/>
      <c r="G62" s="47"/>
      <c r="H62" s="47"/>
      <c r="I62" s="47"/>
      <c r="J62" s="47"/>
      <c r="K62" s="47"/>
      <c r="L62" s="47"/>
      <c r="M62" s="47"/>
      <c r="N62" s="47"/>
      <c r="O62" s="47"/>
      <c r="P62" s="47"/>
      <c r="Q62" s="47"/>
      <c r="R62" s="47"/>
      <c r="S62" s="47"/>
      <c r="T62" s="48"/>
      <c r="U62" s="32"/>
      <c r="V62" s="32"/>
      <c r="W62" s="32"/>
      <c r="X62" s="32"/>
      <c r="Y62" s="28"/>
      <c r="Z62" s="10"/>
    </row>
    <row r="63" ht="3.75" customHeight="1">
      <c r="A63" s="29"/>
      <c r="B63" s="37"/>
      <c r="C63" s="38"/>
      <c r="D63" s="39"/>
      <c r="E63" s="49"/>
      <c r="F63" s="23"/>
      <c r="G63" s="23"/>
      <c r="H63" s="23"/>
      <c r="I63" s="23"/>
      <c r="J63" s="23"/>
      <c r="K63" s="23"/>
      <c r="L63" s="23"/>
      <c r="M63" s="23"/>
      <c r="N63" s="23"/>
      <c r="O63" s="23"/>
      <c r="P63" s="23"/>
      <c r="Q63" s="23"/>
      <c r="R63" s="23"/>
      <c r="S63" s="23"/>
      <c r="T63" s="23"/>
      <c r="U63" s="23"/>
      <c r="V63" s="23"/>
      <c r="W63" s="23"/>
      <c r="X63" s="24"/>
      <c r="Y63" s="42"/>
      <c r="Z63" s="36"/>
    </row>
    <row r="64">
      <c r="A64" s="5"/>
      <c r="B64" s="54"/>
      <c r="C64" s="59"/>
      <c r="D64" s="60"/>
      <c r="E64" s="61" t="s">
        <v>32</v>
      </c>
      <c r="F64" s="14"/>
      <c r="G64" s="14"/>
      <c r="H64" s="14"/>
      <c r="I64" s="14"/>
      <c r="J64" s="14"/>
      <c r="K64" s="14"/>
      <c r="L64" s="14"/>
      <c r="M64" s="14"/>
      <c r="N64" s="14"/>
      <c r="O64" s="14"/>
      <c r="P64" s="14"/>
      <c r="Q64" s="14"/>
      <c r="R64" s="14"/>
      <c r="S64" s="14"/>
      <c r="T64" s="14"/>
      <c r="U64" s="14"/>
      <c r="V64" s="14"/>
      <c r="W64" s="14"/>
      <c r="X64" s="15"/>
      <c r="Y64" s="28"/>
      <c r="Z64" s="10"/>
    </row>
    <row r="65" ht="3.75" customHeight="1">
      <c r="A65" s="29"/>
      <c r="B65" s="37"/>
      <c r="C65" s="38"/>
      <c r="D65" s="39"/>
      <c r="E65" s="51"/>
      <c r="X65" s="41"/>
      <c r="Y65" s="42"/>
      <c r="Z65" s="36"/>
    </row>
    <row r="66">
      <c r="A66" s="5"/>
      <c r="B66" s="54"/>
      <c r="C66" s="59"/>
      <c r="D66" s="56"/>
      <c r="E66" s="52" t="s">
        <v>33</v>
      </c>
      <c r="F66" s="47"/>
      <c r="G66" s="47"/>
      <c r="H66" s="47"/>
      <c r="I66" s="47"/>
      <c r="J66" s="47"/>
      <c r="K66" s="47"/>
      <c r="L66" s="47"/>
      <c r="M66" s="47"/>
      <c r="N66" s="47"/>
      <c r="O66" s="47"/>
      <c r="P66" s="47"/>
      <c r="Q66" s="47"/>
      <c r="R66" s="47"/>
      <c r="S66" s="47"/>
      <c r="T66" s="48"/>
      <c r="U66" s="32"/>
      <c r="V66" s="32"/>
      <c r="W66" s="32"/>
      <c r="X66" s="32"/>
      <c r="Y66" s="28"/>
      <c r="Z66" s="10"/>
    </row>
    <row r="67" ht="3.75" customHeight="1">
      <c r="A67" s="29"/>
      <c r="B67" s="37"/>
      <c r="C67" s="38"/>
      <c r="D67" s="39"/>
      <c r="E67" s="49"/>
      <c r="F67" s="23"/>
      <c r="G67" s="23"/>
      <c r="H67" s="23"/>
      <c r="I67" s="23"/>
      <c r="J67" s="23"/>
      <c r="K67" s="23"/>
      <c r="L67" s="23"/>
      <c r="M67" s="23"/>
      <c r="N67" s="23"/>
      <c r="O67" s="23"/>
      <c r="P67" s="23"/>
      <c r="Q67" s="23"/>
      <c r="R67" s="23"/>
      <c r="S67" s="23"/>
      <c r="T67" s="23"/>
      <c r="U67" s="23"/>
      <c r="V67" s="23"/>
      <c r="W67" s="23"/>
      <c r="X67" s="24"/>
      <c r="Y67" s="42"/>
      <c r="Z67" s="36"/>
    </row>
    <row r="68">
      <c r="A68" s="5"/>
      <c r="B68" s="54"/>
      <c r="C68" s="59"/>
      <c r="D68" s="60"/>
      <c r="E68" s="61" t="s">
        <v>34</v>
      </c>
      <c r="F68" s="14"/>
      <c r="G68" s="14"/>
      <c r="H68" s="14"/>
      <c r="I68" s="14"/>
      <c r="J68" s="14"/>
      <c r="K68" s="14"/>
      <c r="L68" s="14"/>
      <c r="M68" s="14"/>
      <c r="N68" s="14"/>
      <c r="O68" s="14"/>
      <c r="P68" s="14"/>
      <c r="Q68" s="14"/>
      <c r="R68" s="14"/>
      <c r="S68" s="14"/>
      <c r="T68" s="14"/>
      <c r="U68" s="14"/>
      <c r="V68" s="14"/>
      <c r="W68" s="14"/>
      <c r="X68" s="15"/>
      <c r="Y68" s="28"/>
      <c r="Z68" s="10"/>
    </row>
    <row r="69" ht="7.5" customHeight="1">
      <c r="A69" s="5"/>
      <c r="B69" s="70"/>
      <c r="C69" s="71"/>
      <c r="D69" s="71"/>
      <c r="E69" s="72"/>
      <c r="F69" s="72"/>
      <c r="G69" s="72"/>
      <c r="H69" s="72"/>
      <c r="I69" s="72"/>
      <c r="J69" s="72"/>
      <c r="K69" s="72"/>
      <c r="L69" s="72"/>
      <c r="M69" s="72"/>
      <c r="N69" s="72"/>
      <c r="O69" s="72"/>
      <c r="P69" s="72"/>
      <c r="Q69" s="72"/>
      <c r="R69" s="72"/>
      <c r="S69" s="72"/>
      <c r="T69" s="72"/>
      <c r="U69" s="73"/>
      <c r="V69" s="73"/>
      <c r="W69" s="73"/>
      <c r="X69" s="73"/>
      <c r="Y69" s="74"/>
      <c r="Z69" s="10"/>
    </row>
    <row r="70" ht="3.75" customHeight="1">
      <c r="A70" s="1"/>
      <c r="B70" s="75"/>
      <c r="C70" s="75"/>
      <c r="D70" s="75"/>
      <c r="E70" s="75"/>
      <c r="F70" s="75"/>
      <c r="G70" s="75"/>
      <c r="H70" s="75"/>
      <c r="I70" s="75"/>
      <c r="J70" s="75"/>
      <c r="K70" s="75"/>
      <c r="L70" s="75"/>
      <c r="M70" s="75"/>
      <c r="N70" s="75"/>
      <c r="O70" s="75"/>
      <c r="P70" s="75"/>
      <c r="Q70" s="75"/>
      <c r="R70" s="75"/>
      <c r="S70" s="75"/>
      <c r="T70" s="75"/>
      <c r="U70" s="76"/>
      <c r="V70" s="76"/>
      <c r="W70" s="76"/>
      <c r="X70" s="76"/>
      <c r="Y70" s="76"/>
      <c r="Z70" s="4"/>
    </row>
  </sheetData>
  <mergeCells count="64">
    <mergeCell ref="E61:X61"/>
    <mergeCell ref="E62:T62"/>
    <mergeCell ref="E63:X63"/>
    <mergeCell ref="E64:X64"/>
    <mergeCell ref="E65:X65"/>
    <mergeCell ref="E66:T66"/>
    <mergeCell ref="E67:X67"/>
    <mergeCell ref="E68:X68"/>
    <mergeCell ref="E53:X53"/>
    <mergeCell ref="E54:U54"/>
    <mergeCell ref="E55:X55"/>
    <mergeCell ref="E56:X56"/>
    <mergeCell ref="E58:U58"/>
    <mergeCell ref="E59:X59"/>
    <mergeCell ref="E60:X60"/>
    <mergeCell ref="C3:X3"/>
    <mergeCell ref="C4:X4"/>
    <mergeCell ref="C5:X5"/>
    <mergeCell ref="C6:X6"/>
    <mergeCell ref="C8:H8"/>
    <mergeCell ref="E9:X9"/>
    <mergeCell ref="E10:H10"/>
    <mergeCell ref="E11:X11"/>
    <mergeCell ref="E12:X12"/>
    <mergeCell ref="E13:X13"/>
    <mergeCell ref="E14:H14"/>
    <mergeCell ref="E15:X15"/>
    <mergeCell ref="E16:X16"/>
    <mergeCell ref="E17:X17"/>
    <mergeCell ref="E18:H18"/>
    <mergeCell ref="E19:X19"/>
    <mergeCell ref="E20:X20"/>
    <mergeCell ref="E21:X21"/>
    <mergeCell ref="E22:L22"/>
    <mergeCell ref="E23:X23"/>
    <mergeCell ref="E24:X24"/>
    <mergeCell ref="E25:X25"/>
    <mergeCell ref="E26:H26"/>
    <mergeCell ref="E27:X27"/>
    <mergeCell ref="E28:X28"/>
    <mergeCell ref="E29:X29"/>
    <mergeCell ref="E30:H30"/>
    <mergeCell ref="E31:X31"/>
    <mergeCell ref="E32:X32"/>
    <mergeCell ref="E33:X33"/>
    <mergeCell ref="E34:N34"/>
    <mergeCell ref="E35:X35"/>
    <mergeCell ref="E36:X36"/>
    <mergeCell ref="E37:X37"/>
    <mergeCell ref="E38:H38"/>
    <mergeCell ref="E39:X39"/>
    <mergeCell ref="E40:X40"/>
    <mergeCell ref="E41:X41"/>
    <mergeCell ref="E42:H42"/>
    <mergeCell ref="E43:X43"/>
    <mergeCell ref="E44:X44"/>
    <mergeCell ref="C45:X45"/>
    <mergeCell ref="C46:S46"/>
    <mergeCell ref="C47:X47"/>
    <mergeCell ref="E48:W48"/>
    <mergeCell ref="C49:X49"/>
    <mergeCell ref="C50:R50"/>
    <mergeCell ref="C51:X51"/>
    <mergeCell ref="E52:X52"/>
  </mergeCells>
  <hyperlinks>
    <hyperlink display="CLICK/TAP THE LINK INSIDE THAT BOX TO ACCESS THE TRAINER ORDER." location="'Trainer Order'!A1" ref="C5"/>
    <hyperlink r:id="rId1" ref="C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E3A3A"/>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0.75"/>
    <col customWidth="1" min="2" max="2" width="1.38"/>
    <col customWidth="1" min="3" max="3" width="7.75"/>
    <col customWidth="1" min="4" max="4" width="25.13"/>
    <col customWidth="1" min="5" max="5" width="7.0"/>
    <col customWidth="1" min="6" max="6" width="9.5"/>
    <col customWidth="1" min="7" max="7" width="1.38"/>
    <col customWidth="1" min="8" max="8" width="0.75"/>
  </cols>
  <sheetData>
    <row r="1" ht="3.75" customHeight="1">
      <c r="A1" s="77"/>
      <c r="B1" s="78"/>
      <c r="C1" s="78"/>
      <c r="D1" s="78"/>
      <c r="E1" s="78"/>
      <c r="F1" s="78"/>
      <c r="G1" s="78"/>
      <c r="H1" s="77"/>
    </row>
    <row r="2" ht="7.5" customHeight="1">
      <c r="A2" s="79"/>
      <c r="B2" s="80"/>
      <c r="C2" s="81"/>
      <c r="D2" s="81"/>
      <c r="E2" s="82"/>
      <c r="F2" s="82"/>
      <c r="G2" s="83"/>
      <c r="H2" s="84"/>
    </row>
    <row r="3" ht="17.25" customHeight="1">
      <c r="A3" s="79"/>
      <c r="B3" s="85"/>
      <c r="C3" s="86" t="s">
        <v>35</v>
      </c>
      <c r="D3" s="87"/>
      <c r="E3" s="88"/>
      <c r="F3" s="89" t="s">
        <v>4</v>
      </c>
      <c r="G3" s="90"/>
      <c r="H3" s="84"/>
    </row>
    <row r="4" ht="17.25" customHeight="1">
      <c r="A4" s="79"/>
      <c r="B4" s="85"/>
      <c r="C4" s="91" t="s">
        <v>36</v>
      </c>
      <c r="D4" s="92"/>
      <c r="E4" s="93"/>
      <c r="F4" s="94"/>
      <c r="G4" s="90"/>
      <c r="H4" s="84"/>
    </row>
    <row r="5" ht="11.25" customHeight="1">
      <c r="A5" s="79"/>
      <c r="B5" s="95"/>
      <c r="C5" s="96"/>
      <c r="D5" s="96"/>
      <c r="E5" s="97"/>
      <c r="F5" s="98"/>
      <c r="G5" s="99"/>
      <c r="H5" s="84"/>
    </row>
    <row r="6" ht="18.75" customHeight="1">
      <c r="A6" s="100"/>
      <c r="B6" s="101"/>
      <c r="C6" s="102" t="s">
        <v>37</v>
      </c>
      <c r="D6" s="103"/>
      <c r="E6" s="104"/>
      <c r="F6" s="105"/>
      <c r="G6" s="106"/>
      <c r="H6" s="107"/>
    </row>
    <row r="7" ht="18.75" customHeight="1">
      <c r="A7" s="79"/>
      <c r="B7" s="85"/>
      <c r="C7" s="108" t="str">
        <f>IMAGE("https://i.ibb.co/fXwks6z/Rival.png",4,150,150)</f>
        <v/>
      </c>
      <c r="D7" s="109" t="s">
        <v>38</v>
      </c>
      <c r="E7" s="104"/>
      <c r="F7" s="110">
        <v>15.0</v>
      </c>
      <c r="G7" s="90"/>
      <c r="H7" s="84"/>
    </row>
    <row r="8">
      <c r="A8" s="79"/>
      <c r="B8" s="85"/>
      <c r="C8" s="111"/>
      <c r="D8" s="112" t="s">
        <v>39</v>
      </c>
      <c r="E8" s="104"/>
      <c r="F8" s="113"/>
      <c r="G8" s="90"/>
      <c r="H8" s="84"/>
    </row>
    <row r="9" ht="11.25" customHeight="1">
      <c r="A9" s="79"/>
      <c r="B9" s="85"/>
      <c r="C9" s="114"/>
      <c r="D9" s="115"/>
      <c r="E9" s="104"/>
      <c r="F9" s="94"/>
      <c r="G9" s="90"/>
      <c r="H9" s="84"/>
    </row>
    <row r="10" ht="3.75" customHeight="1">
      <c r="A10" s="79"/>
      <c r="B10" s="95"/>
      <c r="C10" s="116"/>
      <c r="D10" s="96"/>
      <c r="E10" s="104"/>
      <c r="F10" s="116"/>
      <c r="G10" s="99"/>
      <c r="H10" s="84"/>
    </row>
    <row r="11" ht="18.75" customHeight="1">
      <c r="A11" s="79"/>
      <c r="B11" s="85"/>
      <c r="C11" s="117" t="str">
        <f>IMAGE("https://i.ibb.co/10ZXyNx/Brendan.png",4,150,150)</f>
        <v/>
      </c>
      <c r="D11" s="118" t="s">
        <v>40</v>
      </c>
      <c r="E11" s="104"/>
      <c r="F11" s="110">
        <v>15.0</v>
      </c>
      <c r="G11" s="99"/>
      <c r="H11" s="84"/>
    </row>
    <row r="12">
      <c r="A12" s="79"/>
      <c r="B12" s="85"/>
      <c r="C12" s="111"/>
      <c r="D12" s="119" t="s">
        <v>41</v>
      </c>
      <c r="E12" s="104"/>
      <c r="F12" s="113"/>
      <c r="G12" s="99"/>
      <c r="H12" s="84"/>
    </row>
    <row r="13" ht="11.25" customHeight="1">
      <c r="A13" s="79"/>
      <c r="B13" s="85"/>
      <c r="C13" s="114"/>
      <c r="D13" s="115"/>
      <c r="E13" s="104"/>
      <c r="F13" s="94"/>
      <c r="G13" s="99"/>
      <c r="H13" s="84"/>
    </row>
    <row r="14" ht="3.75" customHeight="1">
      <c r="A14" s="79"/>
      <c r="B14" s="95"/>
      <c r="C14" s="116"/>
      <c r="D14" s="96"/>
      <c r="E14" s="104"/>
      <c r="F14" s="120"/>
      <c r="G14" s="99"/>
      <c r="H14" s="84"/>
    </row>
    <row r="15" ht="18.75" customHeight="1">
      <c r="A15" s="79"/>
      <c r="B15" s="85"/>
      <c r="C15" s="121" t="str">
        <f>IMAGE("https://i.ibb.co/8sm893K/Lass.png",4,150,150)</f>
        <v/>
      </c>
      <c r="D15" s="122" t="s">
        <v>42</v>
      </c>
      <c r="E15" s="104"/>
      <c r="F15" s="110">
        <v>15.0</v>
      </c>
      <c r="G15" s="99"/>
      <c r="H15" s="84"/>
    </row>
    <row r="16">
      <c r="A16" s="79"/>
      <c r="B16" s="85"/>
      <c r="C16" s="111"/>
      <c r="D16" s="123" t="s">
        <v>41</v>
      </c>
      <c r="E16" s="104"/>
      <c r="F16" s="113"/>
      <c r="G16" s="99"/>
      <c r="H16" s="84"/>
    </row>
    <row r="17" ht="11.25" customHeight="1">
      <c r="A17" s="79"/>
      <c r="B17" s="85"/>
      <c r="C17" s="114"/>
      <c r="D17" s="115"/>
      <c r="E17" s="104"/>
      <c r="F17" s="94"/>
      <c r="G17" s="99"/>
      <c r="H17" s="84"/>
    </row>
    <row r="18" ht="3.75" customHeight="1">
      <c r="A18" s="79"/>
      <c r="B18" s="95"/>
      <c r="C18" s="116"/>
      <c r="D18" s="96"/>
      <c r="E18" s="104"/>
      <c r="F18" s="120"/>
      <c r="G18" s="99"/>
      <c r="H18" s="84"/>
    </row>
    <row r="19" ht="18.75" customHeight="1">
      <c r="A19" s="100"/>
      <c r="B19" s="101"/>
      <c r="C19" s="102" t="s">
        <v>37</v>
      </c>
      <c r="D19" s="103"/>
      <c r="E19" s="104"/>
      <c r="F19" s="124"/>
      <c r="G19" s="106"/>
      <c r="H19" s="107"/>
    </row>
    <row r="20" ht="18.75" customHeight="1">
      <c r="A20" s="79"/>
      <c r="B20" s="85"/>
      <c r="C20" s="125" t="str">
        <f>IMAGE("https://i.ibb.co/26kF6WW/Ace-Trainer-F.png",4,150,150)</f>
        <v/>
      </c>
      <c r="D20" s="126" t="s">
        <v>43</v>
      </c>
      <c r="E20" s="104"/>
      <c r="F20" s="110">
        <v>15.0</v>
      </c>
      <c r="G20" s="99"/>
      <c r="H20" s="84"/>
    </row>
    <row r="21">
      <c r="A21" s="79"/>
      <c r="B21" s="85"/>
      <c r="C21" s="111"/>
      <c r="D21" s="127" t="s">
        <v>41</v>
      </c>
      <c r="E21" s="104"/>
      <c r="F21" s="113"/>
      <c r="G21" s="99"/>
      <c r="H21" s="84"/>
    </row>
    <row r="22" ht="11.25" customHeight="1">
      <c r="A22" s="79"/>
      <c r="B22" s="85"/>
      <c r="C22" s="114"/>
      <c r="D22" s="115"/>
      <c r="E22" s="104"/>
      <c r="F22" s="94"/>
      <c r="G22" s="99"/>
      <c r="H22" s="84"/>
    </row>
    <row r="23" ht="3.75" customHeight="1">
      <c r="A23" s="79"/>
      <c r="B23" s="95"/>
      <c r="C23" s="116"/>
      <c r="D23" s="96"/>
      <c r="E23" s="104"/>
      <c r="F23" s="120"/>
      <c r="G23" s="99"/>
      <c r="H23" s="84"/>
    </row>
    <row r="24" ht="18.75" customHeight="1">
      <c r="A24" s="79"/>
      <c r="B24" s="85"/>
      <c r="C24" s="128" t="str">
        <f>IMAGE("https://i.ibb.co/NWQ5Qdk/Falkner.png",4,150,150)</f>
        <v/>
      </c>
      <c r="D24" s="129" t="s">
        <v>44</v>
      </c>
      <c r="E24" s="104"/>
      <c r="F24" s="110">
        <v>15.0</v>
      </c>
      <c r="G24" s="99"/>
      <c r="H24" s="84"/>
    </row>
    <row r="25">
      <c r="A25" s="79"/>
      <c r="B25" s="85"/>
      <c r="C25" s="111"/>
      <c r="D25" s="130" t="s">
        <v>45</v>
      </c>
      <c r="E25" s="104"/>
      <c r="F25" s="113"/>
      <c r="G25" s="99"/>
      <c r="H25" s="84"/>
    </row>
    <row r="26" ht="11.25" customHeight="1">
      <c r="A26" s="79"/>
      <c r="B26" s="85"/>
      <c r="C26" s="114"/>
      <c r="D26" s="115"/>
      <c r="E26" s="104"/>
      <c r="F26" s="94"/>
      <c r="G26" s="99"/>
      <c r="H26" s="84"/>
    </row>
    <row r="27" ht="3.75" customHeight="1">
      <c r="A27" s="79"/>
      <c r="B27" s="95"/>
      <c r="C27" s="116"/>
      <c r="D27" s="96"/>
      <c r="E27" s="104"/>
      <c r="F27" s="120"/>
      <c r="G27" s="99"/>
      <c r="H27" s="84"/>
    </row>
    <row r="28" ht="18.75" customHeight="1">
      <c r="A28" s="79"/>
      <c r="B28" s="85"/>
      <c r="C28" s="131" t="str">
        <f>IMAGE("https://i.ibb.co/RBhc6sL/Brock.png",4,150,150)</f>
        <v/>
      </c>
      <c r="D28" s="132" t="s">
        <v>46</v>
      </c>
      <c r="E28" s="104"/>
      <c r="F28" s="110">
        <v>15.0</v>
      </c>
      <c r="G28" s="99"/>
      <c r="H28" s="84"/>
    </row>
    <row r="29">
      <c r="A29" s="79"/>
      <c r="B29" s="85"/>
      <c r="C29" s="111"/>
      <c r="D29" s="133" t="s">
        <v>45</v>
      </c>
      <c r="E29" s="104"/>
      <c r="F29" s="113"/>
      <c r="G29" s="99"/>
      <c r="H29" s="84"/>
    </row>
    <row r="30" ht="11.25" customHeight="1">
      <c r="A30" s="79"/>
      <c r="B30" s="85"/>
      <c r="C30" s="114"/>
      <c r="D30" s="115"/>
      <c r="E30" s="104"/>
      <c r="F30" s="94"/>
      <c r="G30" s="99"/>
      <c r="H30" s="84"/>
    </row>
    <row r="31" ht="3.75" customHeight="1">
      <c r="A31" s="79"/>
      <c r="B31" s="95"/>
      <c r="C31" s="116"/>
      <c r="D31" s="96"/>
      <c r="E31" s="104"/>
      <c r="F31" s="97"/>
      <c r="G31" s="99"/>
      <c r="H31" s="84"/>
    </row>
    <row r="32" ht="18.75" customHeight="1">
      <c r="A32" s="79"/>
      <c r="B32" s="85"/>
      <c r="C32" s="134" t="str">
        <f>IMAGE("https://i.ibb.co/zFMzgnB/Super-Nerd.png",4,150,150)</f>
        <v/>
      </c>
      <c r="D32" s="135" t="s">
        <v>47</v>
      </c>
      <c r="E32" s="104"/>
      <c r="F32" s="136">
        <v>22.0</v>
      </c>
      <c r="G32" s="90"/>
      <c r="H32" s="84"/>
    </row>
    <row r="33">
      <c r="A33" s="79"/>
      <c r="B33" s="85"/>
      <c r="C33" s="111"/>
      <c r="D33" s="137" t="s">
        <v>48</v>
      </c>
      <c r="E33" s="104"/>
      <c r="F33" s="113"/>
      <c r="G33" s="90"/>
      <c r="H33" s="84"/>
    </row>
    <row r="34" ht="11.25" customHeight="1">
      <c r="A34" s="79"/>
      <c r="B34" s="85"/>
      <c r="C34" s="114"/>
      <c r="D34" s="115"/>
      <c r="E34" s="104"/>
      <c r="F34" s="94"/>
      <c r="G34" s="90"/>
      <c r="H34" s="84"/>
    </row>
    <row r="35" ht="3.75" customHeight="1">
      <c r="A35" s="79"/>
      <c r="B35" s="95"/>
      <c r="C35" s="116"/>
      <c r="D35" s="96"/>
      <c r="E35" s="104"/>
      <c r="F35" s="116"/>
      <c r="G35" s="99"/>
      <c r="H35" s="84"/>
    </row>
    <row r="36" ht="18.75" customHeight="1">
      <c r="A36" s="79"/>
      <c r="B36" s="85"/>
      <c r="C36" s="138" t="str">
        <f>IMAGE("https://i.ibb.co/xhnkr2Z/Archer.png",4,150,150)</f>
        <v/>
      </c>
      <c r="D36" s="139" t="s">
        <v>49</v>
      </c>
      <c r="E36" s="104"/>
      <c r="F36" s="136">
        <v>22.0</v>
      </c>
      <c r="G36" s="99"/>
      <c r="H36" s="84"/>
    </row>
    <row r="37">
      <c r="A37" s="79"/>
      <c r="B37" s="85"/>
      <c r="C37" s="111"/>
      <c r="D37" s="140" t="s">
        <v>48</v>
      </c>
      <c r="E37" s="104"/>
      <c r="F37" s="113"/>
      <c r="G37" s="99"/>
      <c r="H37" s="84"/>
    </row>
    <row r="38" ht="11.25" customHeight="1">
      <c r="A38" s="79"/>
      <c r="B38" s="85"/>
      <c r="C38" s="114"/>
      <c r="D38" s="115"/>
      <c r="E38" s="104"/>
      <c r="F38" s="94"/>
      <c r="G38" s="99"/>
      <c r="H38" s="84"/>
    </row>
    <row r="39" ht="3.75" customHeight="1">
      <c r="A39" s="79"/>
      <c r="B39" s="95"/>
      <c r="C39" s="96"/>
      <c r="D39" s="96"/>
      <c r="E39" s="104"/>
      <c r="F39" s="97"/>
      <c r="G39" s="99"/>
      <c r="H39" s="84"/>
    </row>
    <row r="40" ht="18.75" customHeight="1">
      <c r="A40" s="79"/>
      <c r="B40" s="85"/>
      <c r="C40" s="108" t="str">
        <f>IMAGE("https://i.ibb.co/fXwks6z/Rival.png",4,150,150)</f>
        <v/>
      </c>
      <c r="D40" s="109" t="s">
        <v>38</v>
      </c>
      <c r="E40" s="104"/>
      <c r="F40" s="141">
        <v>27.0</v>
      </c>
      <c r="G40" s="90"/>
      <c r="H40" s="84"/>
    </row>
    <row r="41">
      <c r="A41" s="79"/>
      <c r="B41" s="85"/>
      <c r="C41" s="111"/>
      <c r="D41" s="112" t="s">
        <v>50</v>
      </c>
      <c r="E41" s="104"/>
      <c r="F41" s="113"/>
      <c r="G41" s="90"/>
      <c r="H41" s="84"/>
    </row>
    <row r="42" ht="11.25" customHeight="1">
      <c r="A42" s="79"/>
      <c r="B42" s="85"/>
      <c r="C42" s="114"/>
      <c r="D42" s="115"/>
      <c r="E42" s="104"/>
      <c r="F42" s="94"/>
      <c r="G42" s="90"/>
      <c r="H42" s="84"/>
    </row>
    <row r="43" ht="3.75" customHeight="1">
      <c r="A43" s="79"/>
      <c r="B43" s="95"/>
      <c r="C43" s="116"/>
      <c r="D43" s="96"/>
      <c r="E43" s="104"/>
      <c r="F43" s="116"/>
      <c r="G43" s="99"/>
      <c r="H43" s="84"/>
    </row>
    <row r="44" ht="18.75" customHeight="1">
      <c r="A44" s="79"/>
      <c r="B44" s="85"/>
      <c r="C44" s="142" t="str">
        <f>IMAGE("https://i.ibb.co/8D0GLzq/Bug-Catcher.png",4,150,150)</f>
        <v/>
      </c>
      <c r="D44" s="143" t="s">
        <v>51</v>
      </c>
      <c r="E44" s="104"/>
      <c r="F44" s="141">
        <v>27.0</v>
      </c>
      <c r="G44" s="99"/>
      <c r="H44" s="84"/>
    </row>
    <row r="45">
      <c r="A45" s="79"/>
      <c r="B45" s="85"/>
      <c r="C45" s="111"/>
      <c r="D45" s="144" t="s">
        <v>52</v>
      </c>
      <c r="E45" s="104"/>
      <c r="F45" s="113"/>
      <c r="G45" s="99"/>
      <c r="H45" s="84"/>
    </row>
    <row r="46" ht="11.25" customHeight="1">
      <c r="A46" s="79"/>
      <c r="B46" s="85"/>
      <c r="C46" s="114"/>
      <c r="D46" s="115"/>
      <c r="E46" s="104"/>
      <c r="F46" s="94"/>
      <c r="G46" s="99"/>
      <c r="H46" s="84"/>
    </row>
    <row r="47" ht="3.75" customHeight="1">
      <c r="A47" s="79"/>
      <c r="B47" s="95"/>
      <c r="C47" s="96"/>
      <c r="D47" s="96"/>
      <c r="E47" s="104"/>
      <c r="F47" s="120"/>
      <c r="G47" s="99"/>
      <c r="H47" s="84"/>
    </row>
    <row r="48" ht="18.75" customHeight="1">
      <c r="A48" s="79"/>
      <c r="B48" s="85"/>
      <c r="C48" s="121" t="str">
        <f>IMAGE("https://i.ibb.co/8sm893K/Lass.png",4,150,150)</f>
        <v/>
      </c>
      <c r="D48" s="122" t="s">
        <v>53</v>
      </c>
      <c r="E48" s="104"/>
      <c r="F48" s="141">
        <v>27.0</v>
      </c>
      <c r="G48" s="99"/>
      <c r="H48" s="84"/>
    </row>
    <row r="49">
      <c r="A49" s="79"/>
      <c r="B49" s="85"/>
      <c r="C49" s="111"/>
      <c r="D49" s="123" t="s">
        <v>52</v>
      </c>
      <c r="E49" s="104"/>
      <c r="F49" s="113"/>
      <c r="G49" s="99"/>
      <c r="H49" s="84"/>
    </row>
    <row r="50" ht="11.25" customHeight="1">
      <c r="A50" s="79"/>
      <c r="B50" s="85"/>
      <c r="C50" s="114"/>
      <c r="D50" s="115"/>
      <c r="E50" s="104"/>
      <c r="F50" s="94"/>
      <c r="G50" s="99"/>
      <c r="H50" s="84"/>
    </row>
    <row r="51" ht="3.75" customHeight="1">
      <c r="A51" s="79"/>
      <c r="B51" s="95"/>
      <c r="C51" s="96"/>
      <c r="D51" s="96"/>
      <c r="E51" s="104"/>
      <c r="F51" s="120"/>
      <c r="G51" s="99"/>
      <c r="H51" s="84"/>
    </row>
    <row r="52" ht="18.75" customHeight="1">
      <c r="A52" s="79"/>
      <c r="B52" s="85"/>
      <c r="C52" s="145" t="str">
        <f>IMAGE("https://i.ibb.co/6nGd7Gm/Youngster.png",4,150,150)</f>
        <v/>
      </c>
      <c r="D52" s="146" t="s">
        <v>54</v>
      </c>
      <c r="E52" s="104"/>
      <c r="F52" s="141">
        <v>27.0</v>
      </c>
      <c r="G52" s="99"/>
      <c r="H52" s="84"/>
    </row>
    <row r="53">
      <c r="A53" s="79"/>
      <c r="B53" s="85"/>
      <c r="C53" s="111"/>
      <c r="D53" s="147" t="s">
        <v>52</v>
      </c>
      <c r="E53" s="104"/>
      <c r="F53" s="113"/>
      <c r="G53" s="99"/>
      <c r="H53" s="84"/>
    </row>
    <row r="54" ht="11.25" customHeight="1">
      <c r="A54" s="79"/>
      <c r="B54" s="85"/>
      <c r="C54" s="114"/>
      <c r="D54" s="115"/>
      <c r="E54" s="104"/>
      <c r="F54" s="94"/>
      <c r="G54" s="99"/>
      <c r="H54" s="84"/>
    </row>
    <row r="55" ht="3.75" customHeight="1">
      <c r="A55" s="79"/>
      <c r="B55" s="95"/>
      <c r="C55" s="96"/>
      <c r="D55" s="96"/>
      <c r="E55" s="104"/>
      <c r="F55" s="120"/>
      <c r="G55" s="99"/>
      <c r="H55" s="84"/>
    </row>
    <row r="56" ht="18.75" customHeight="1">
      <c r="A56" s="79"/>
      <c r="B56" s="85"/>
      <c r="C56" s="121" t="str">
        <f>IMAGE("https://i.ibb.co/8sm893K/Lass.png",4,150,150)</f>
        <v/>
      </c>
      <c r="D56" s="122" t="s">
        <v>55</v>
      </c>
      <c r="E56" s="104"/>
      <c r="F56" s="141">
        <v>27.0</v>
      </c>
      <c r="G56" s="99"/>
      <c r="H56" s="84"/>
    </row>
    <row r="57">
      <c r="A57" s="79"/>
      <c r="B57" s="85"/>
      <c r="C57" s="111"/>
      <c r="D57" s="123" t="s">
        <v>52</v>
      </c>
      <c r="E57" s="104"/>
      <c r="F57" s="113"/>
      <c r="G57" s="99"/>
      <c r="H57" s="84"/>
    </row>
    <row r="58" ht="11.25" customHeight="1">
      <c r="A58" s="79"/>
      <c r="B58" s="85"/>
      <c r="C58" s="114"/>
      <c r="D58" s="115"/>
      <c r="E58" s="104"/>
      <c r="F58" s="94"/>
      <c r="G58" s="99"/>
      <c r="H58" s="84"/>
    </row>
    <row r="59" ht="3.75" customHeight="1">
      <c r="A59" s="79"/>
      <c r="B59" s="95"/>
      <c r="C59" s="96"/>
      <c r="D59" s="96"/>
      <c r="E59" s="104"/>
      <c r="F59" s="120"/>
      <c r="G59" s="99"/>
      <c r="H59" s="84"/>
    </row>
    <row r="60" ht="18.75" customHeight="1">
      <c r="A60" s="79"/>
      <c r="B60" s="85"/>
      <c r="C60" s="148" t="str">
        <f>IMAGE("https://i.ibb.co/VxD4KtV/Camper.png",4,150,150)</f>
        <v/>
      </c>
      <c r="D60" s="149" t="s">
        <v>56</v>
      </c>
      <c r="E60" s="104"/>
      <c r="F60" s="141">
        <v>27.0</v>
      </c>
      <c r="G60" s="99"/>
      <c r="H60" s="84"/>
    </row>
    <row r="61">
      <c r="A61" s="79"/>
      <c r="B61" s="85"/>
      <c r="C61" s="150"/>
      <c r="D61" s="151" t="s">
        <v>52</v>
      </c>
      <c r="E61" s="104"/>
      <c r="F61" s="113"/>
      <c r="G61" s="99"/>
      <c r="H61" s="84"/>
    </row>
    <row r="62" ht="11.25" customHeight="1">
      <c r="A62" s="79"/>
      <c r="B62" s="85"/>
      <c r="C62" s="152"/>
      <c r="D62" s="115"/>
      <c r="E62" s="104"/>
      <c r="F62" s="94"/>
      <c r="G62" s="99"/>
      <c r="H62" s="84"/>
    </row>
    <row r="63" ht="3.75" customHeight="1">
      <c r="A63" s="79"/>
      <c r="B63" s="95"/>
      <c r="C63" s="96"/>
      <c r="D63" s="96"/>
      <c r="E63" s="104"/>
      <c r="F63" s="120"/>
      <c r="G63" s="99"/>
      <c r="H63" s="84"/>
    </row>
    <row r="64" ht="18.75" customHeight="1">
      <c r="A64" s="79"/>
      <c r="B64" s="85"/>
      <c r="C64" s="153" t="str">
        <f>IMAGE("https://i.ibb.co/FzKmMqb/Grunt.png",4,150,150)</f>
        <v/>
      </c>
      <c r="D64" s="154" t="s">
        <v>57</v>
      </c>
      <c r="E64" s="104"/>
      <c r="F64" s="141">
        <v>27.0</v>
      </c>
      <c r="G64" s="99"/>
      <c r="H64" s="84"/>
    </row>
    <row r="65">
      <c r="A65" s="79"/>
      <c r="B65" s="85"/>
      <c r="C65" s="155"/>
      <c r="D65" s="156" t="s">
        <v>52</v>
      </c>
      <c r="E65" s="104"/>
      <c r="F65" s="113"/>
      <c r="G65" s="99"/>
      <c r="H65" s="84"/>
    </row>
    <row r="66" ht="11.25" customHeight="1">
      <c r="A66" s="79"/>
      <c r="B66" s="85"/>
      <c r="C66" s="157"/>
      <c r="D66" s="115"/>
      <c r="E66" s="104"/>
      <c r="F66" s="94"/>
      <c r="G66" s="99"/>
      <c r="H66" s="84"/>
    </row>
    <row r="67" ht="3.75" customHeight="1">
      <c r="A67" s="79"/>
      <c r="B67" s="95"/>
      <c r="C67" s="96"/>
      <c r="D67" s="96"/>
      <c r="E67" s="104"/>
      <c r="F67" s="120"/>
      <c r="G67" s="99"/>
      <c r="H67" s="84"/>
    </row>
    <row r="68" ht="18.75" customHeight="1">
      <c r="A68" s="100"/>
      <c r="B68" s="101"/>
      <c r="C68" s="102" t="s">
        <v>37</v>
      </c>
      <c r="D68" s="103"/>
      <c r="E68" s="104"/>
      <c r="F68" s="124"/>
      <c r="G68" s="106"/>
      <c r="H68" s="107"/>
    </row>
    <row r="69" ht="18.75" customHeight="1">
      <c r="A69" s="79"/>
      <c r="B69" s="85"/>
      <c r="C69" s="158" t="str">
        <f>IMAGE("https://i.ibb.co/Lrh0bjy/Bugsy.png",4,150,150)</f>
        <v/>
      </c>
      <c r="D69" s="143" t="s">
        <v>58</v>
      </c>
      <c r="E69" s="104"/>
      <c r="F69" s="141">
        <v>27.0</v>
      </c>
      <c r="G69" s="99"/>
      <c r="H69" s="84"/>
    </row>
    <row r="70">
      <c r="A70" s="79"/>
      <c r="B70" s="85"/>
      <c r="C70" s="111"/>
      <c r="D70" s="144" t="s">
        <v>59</v>
      </c>
      <c r="E70" s="104"/>
      <c r="F70" s="113"/>
      <c r="G70" s="99"/>
      <c r="H70" s="84"/>
    </row>
    <row r="71" ht="11.25" customHeight="1">
      <c r="A71" s="79"/>
      <c r="B71" s="85"/>
      <c r="C71" s="114"/>
      <c r="D71" s="115"/>
      <c r="E71" s="104"/>
      <c r="F71" s="94"/>
      <c r="G71" s="99"/>
      <c r="H71" s="84"/>
    </row>
    <row r="72" ht="3.75" customHeight="1">
      <c r="A72" s="79"/>
      <c r="B72" s="95"/>
      <c r="C72" s="96"/>
      <c r="D72" s="96"/>
      <c r="E72" s="104"/>
      <c r="F72" s="120"/>
      <c r="G72" s="99"/>
      <c r="H72" s="84"/>
    </row>
    <row r="73" ht="18.75" customHeight="1">
      <c r="A73" s="79"/>
      <c r="B73" s="85"/>
      <c r="C73" s="159" t="str">
        <f>IMAGE("https://i.ibb.co/hZTdVGf/Misty.png",4,150,150)</f>
        <v/>
      </c>
      <c r="D73" s="160" t="s">
        <v>60</v>
      </c>
      <c r="E73" s="104"/>
      <c r="F73" s="141">
        <v>27.0</v>
      </c>
      <c r="G73" s="99"/>
      <c r="H73" s="84"/>
    </row>
    <row r="74">
      <c r="A74" s="79"/>
      <c r="B74" s="85"/>
      <c r="C74" s="161"/>
      <c r="D74" s="162" t="s">
        <v>50</v>
      </c>
      <c r="E74" s="104"/>
      <c r="F74" s="113"/>
      <c r="G74" s="99"/>
      <c r="H74" s="84"/>
    </row>
    <row r="75" ht="11.25" customHeight="1">
      <c r="A75" s="79"/>
      <c r="B75" s="85"/>
      <c r="C75" s="163"/>
      <c r="D75" s="115"/>
      <c r="E75" s="104"/>
      <c r="F75" s="94"/>
      <c r="G75" s="99"/>
      <c r="H75" s="84"/>
    </row>
    <row r="76" ht="3.75" customHeight="1">
      <c r="A76" s="79"/>
      <c r="B76" s="95"/>
      <c r="C76" s="96"/>
      <c r="D76" s="96"/>
      <c r="E76" s="104"/>
      <c r="F76" s="120"/>
      <c r="G76" s="99"/>
      <c r="H76" s="84"/>
    </row>
    <row r="77" ht="18.75" customHeight="1">
      <c r="A77" s="79"/>
      <c r="B77" s="85"/>
      <c r="C77" s="153" t="str">
        <f>IMAGE("https://i.ibb.co/FzKmMqb/Grunt.png",4,150,150)</f>
        <v/>
      </c>
      <c r="D77" s="154" t="s">
        <v>57</v>
      </c>
      <c r="E77" s="104"/>
      <c r="F77" s="141">
        <v>27.0</v>
      </c>
      <c r="G77" s="99"/>
      <c r="H77" s="84"/>
    </row>
    <row r="78">
      <c r="A78" s="79"/>
      <c r="B78" s="85"/>
      <c r="C78" s="155"/>
      <c r="D78" s="156" t="s">
        <v>61</v>
      </c>
      <c r="E78" s="104"/>
      <c r="F78" s="113"/>
      <c r="G78" s="99"/>
      <c r="H78" s="84"/>
    </row>
    <row r="79" ht="11.25" customHeight="1">
      <c r="A79" s="79"/>
      <c r="B79" s="85"/>
      <c r="C79" s="157"/>
      <c r="D79" s="115"/>
      <c r="E79" s="104"/>
      <c r="F79" s="94"/>
      <c r="G79" s="99"/>
      <c r="H79" s="84"/>
    </row>
    <row r="80" ht="3.75" customHeight="1">
      <c r="A80" s="79"/>
      <c r="B80" s="95"/>
      <c r="C80" s="96"/>
      <c r="D80" s="96"/>
      <c r="E80" s="104"/>
      <c r="F80" s="120"/>
      <c r="G80" s="99"/>
      <c r="H80" s="84"/>
    </row>
    <row r="81" ht="18.75" customHeight="1">
      <c r="A81" s="79"/>
      <c r="B81" s="85"/>
      <c r="C81" s="164" t="str">
        <f>IMAGE("https://i.ibb.co/sKw2Sqx/Ann-Gentleman.png",4,150,150)</f>
        <v/>
      </c>
      <c r="D81" s="165" t="s">
        <v>62</v>
      </c>
      <c r="E81" s="104"/>
      <c r="F81" s="141">
        <v>27.0</v>
      </c>
      <c r="G81" s="99"/>
      <c r="H81" s="84"/>
    </row>
    <row r="82">
      <c r="A82" s="79"/>
      <c r="B82" s="85"/>
      <c r="C82" s="111"/>
      <c r="D82" s="166" t="s">
        <v>63</v>
      </c>
      <c r="E82" s="104"/>
      <c r="F82" s="113"/>
      <c r="G82" s="99"/>
      <c r="H82" s="84"/>
    </row>
    <row r="83" ht="11.25" customHeight="1">
      <c r="A83" s="79"/>
      <c r="B83" s="85"/>
      <c r="C83" s="114"/>
      <c r="D83" s="115"/>
      <c r="E83" s="104"/>
      <c r="F83" s="94"/>
      <c r="G83" s="99"/>
      <c r="H83" s="84"/>
    </row>
    <row r="84" ht="3.75" customHeight="1">
      <c r="A84" s="79"/>
      <c r="B84" s="95"/>
      <c r="C84" s="96"/>
      <c r="D84" s="96"/>
      <c r="E84" s="104"/>
      <c r="F84" s="120"/>
      <c r="G84" s="99"/>
      <c r="H84" s="84"/>
    </row>
    <row r="85" ht="18.75" customHeight="1">
      <c r="A85" s="79"/>
      <c r="B85" s="85"/>
      <c r="C85" s="167" t="str">
        <f>IMAGE("https://i.ibb.co/4dkFCJ5/Sailors.png",4,150,150)</f>
        <v/>
      </c>
      <c r="D85" s="168" t="s">
        <v>64</v>
      </c>
      <c r="E85" s="104"/>
      <c r="F85" s="141">
        <v>27.0</v>
      </c>
      <c r="G85" s="99"/>
      <c r="H85" s="84"/>
    </row>
    <row r="86">
      <c r="A86" s="79"/>
      <c r="B86" s="85"/>
      <c r="C86" s="111"/>
      <c r="D86" s="169" t="s">
        <v>63</v>
      </c>
      <c r="E86" s="104"/>
      <c r="F86" s="113"/>
      <c r="G86" s="99"/>
      <c r="H86" s="84"/>
    </row>
    <row r="87" ht="11.25" customHeight="1">
      <c r="A87" s="79"/>
      <c r="B87" s="85"/>
      <c r="C87" s="114"/>
      <c r="D87" s="115"/>
      <c r="E87" s="104"/>
      <c r="F87" s="94"/>
      <c r="G87" s="99"/>
      <c r="H87" s="84"/>
    </row>
    <row r="88" ht="3.75" customHeight="1">
      <c r="A88" s="79"/>
      <c r="B88" s="95"/>
      <c r="C88" s="116"/>
      <c r="D88" s="96"/>
      <c r="E88" s="104"/>
      <c r="F88" s="120"/>
      <c r="G88" s="99"/>
      <c r="H88" s="84"/>
    </row>
    <row r="89" ht="18.75" customHeight="1">
      <c r="A89" s="79"/>
      <c r="B89" s="85"/>
      <c r="C89" s="117" t="str">
        <f>IMAGE("https://i.ibb.co/10ZXyNx/Brendan.png",4,150,150)</f>
        <v/>
      </c>
      <c r="D89" s="118" t="s">
        <v>40</v>
      </c>
      <c r="E89" s="104"/>
      <c r="F89" s="141">
        <v>27.0</v>
      </c>
      <c r="G89" s="99"/>
      <c r="H89" s="84"/>
    </row>
    <row r="90">
      <c r="A90" s="79"/>
      <c r="B90" s="85"/>
      <c r="C90" s="111"/>
      <c r="D90" s="119" t="s">
        <v>63</v>
      </c>
      <c r="E90" s="104"/>
      <c r="F90" s="113"/>
      <c r="G90" s="99"/>
      <c r="H90" s="84"/>
    </row>
    <row r="91" ht="11.25" customHeight="1">
      <c r="A91" s="79"/>
      <c r="B91" s="85"/>
      <c r="C91" s="114"/>
      <c r="D91" s="115"/>
      <c r="E91" s="104"/>
      <c r="F91" s="94"/>
      <c r="G91" s="99"/>
      <c r="H91" s="84"/>
    </row>
    <row r="92" ht="3.75" customHeight="1">
      <c r="A92" s="79"/>
      <c r="B92" s="95"/>
      <c r="C92" s="116"/>
      <c r="D92" s="96"/>
      <c r="E92" s="104"/>
      <c r="F92" s="120"/>
      <c r="G92" s="99"/>
      <c r="H92" s="84"/>
    </row>
    <row r="93" ht="18.75" customHeight="1">
      <c r="A93" s="100"/>
      <c r="B93" s="101"/>
      <c r="C93" s="102" t="s">
        <v>37</v>
      </c>
      <c r="D93" s="103"/>
      <c r="E93" s="104"/>
      <c r="F93" s="124"/>
      <c r="G93" s="106"/>
      <c r="H93" s="107"/>
    </row>
    <row r="94" ht="18.75" customHeight="1">
      <c r="A94" s="79"/>
      <c r="B94" s="85"/>
      <c r="C94" s="170" t="str">
        <f>IMAGE("https://i.ibb.co/JtgmCkX/Whitney.png",4,150,150)</f>
        <v/>
      </c>
      <c r="D94" s="171" t="s">
        <v>65</v>
      </c>
      <c r="E94" s="104"/>
      <c r="F94" s="141">
        <v>27.0</v>
      </c>
      <c r="G94" s="99"/>
      <c r="H94" s="84"/>
    </row>
    <row r="95">
      <c r="A95" s="79"/>
      <c r="B95" s="85"/>
      <c r="C95" s="111"/>
      <c r="D95" s="172" t="s">
        <v>66</v>
      </c>
      <c r="E95" s="104"/>
      <c r="F95" s="113"/>
      <c r="G95" s="99"/>
      <c r="H95" s="84"/>
    </row>
    <row r="96" ht="11.25" customHeight="1">
      <c r="A96" s="79"/>
      <c r="B96" s="85"/>
      <c r="C96" s="114"/>
      <c r="D96" s="115"/>
      <c r="E96" s="104"/>
      <c r="F96" s="94"/>
      <c r="G96" s="99"/>
      <c r="H96" s="84"/>
    </row>
    <row r="97" ht="3.75" customHeight="1">
      <c r="A97" s="79"/>
      <c r="B97" s="95"/>
      <c r="C97" s="96"/>
      <c r="D97" s="96"/>
      <c r="E97" s="104"/>
      <c r="F97" s="97"/>
      <c r="G97" s="99"/>
      <c r="H97" s="84"/>
    </row>
    <row r="98" ht="18.75" customHeight="1">
      <c r="A98" s="79"/>
      <c r="B98" s="85"/>
      <c r="C98" s="173" t="str">
        <f>IMAGE("https://i.ibb.co/w6kjj5K/Surge.png",4,150,150)</f>
        <v/>
      </c>
      <c r="D98" s="174" t="s">
        <v>67</v>
      </c>
      <c r="E98" s="104"/>
      <c r="F98" s="175">
        <v>34.0</v>
      </c>
      <c r="G98" s="90"/>
      <c r="H98" s="84"/>
    </row>
    <row r="99">
      <c r="A99" s="79"/>
      <c r="B99" s="85"/>
      <c r="C99" s="111"/>
      <c r="D99" s="176" t="s">
        <v>68</v>
      </c>
      <c r="E99" s="104"/>
      <c r="F99" s="113"/>
      <c r="G99" s="90"/>
      <c r="H99" s="84"/>
    </row>
    <row r="100" ht="11.25" customHeight="1">
      <c r="A100" s="79"/>
      <c r="B100" s="85"/>
      <c r="C100" s="114"/>
      <c r="D100" s="115"/>
      <c r="E100" s="104"/>
      <c r="F100" s="94"/>
      <c r="G100" s="90"/>
      <c r="H100" s="84"/>
    </row>
    <row r="101" ht="3.75" customHeight="1">
      <c r="A101" s="79"/>
      <c r="B101" s="95"/>
      <c r="C101" s="96"/>
      <c r="D101" s="96"/>
      <c r="E101" s="104"/>
      <c r="F101" s="116"/>
      <c r="G101" s="99"/>
      <c r="H101" s="84"/>
    </row>
    <row r="102" ht="18.75" customHeight="1">
      <c r="A102" s="79"/>
      <c r="B102" s="85"/>
      <c r="C102" s="177" t="str">
        <f>IMAGE("https://i.ibb.co/YhmcnsP/Picnicker.png",4,150,150)</f>
        <v/>
      </c>
      <c r="D102" s="149" t="s">
        <v>69</v>
      </c>
      <c r="E102" s="104"/>
      <c r="F102" s="175">
        <v>34.0</v>
      </c>
      <c r="G102" s="99"/>
      <c r="H102" s="84"/>
    </row>
    <row r="103">
      <c r="A103" s="79"/>
      <c r="B103" s="85"/>
      <c r="C103" s="111"/>
      <c r="D103" s="151" t="s">
        <v>70</v>
      </c>
      <c r="E103" s="104"/>
      <c r="F103" s="113"/>
      <c r="G103" s="99"/>
      <c r="H103" s="84"/>
    </row>
    <row r="104" ht="11.25" customHeight="1">
      <c r="A104" s="79"/>
      <c r="B104" s="85"/>
      <c r="C104" s="114"/>
      <c r="D104" s="115"/>
      <c r="E104" s="104"/>
      <c r="F104" s="94"/>
      <c r="G104" s="99"/>
      <c r="H104" s="84"/>
    </row>
    <row r="105" ht="3.75" customHeight="1">
      <c r="A105" s="79"/>
      <c r="B105" s="95"/>
      <c r="C105" s="116"/>
      <c r="D105" s="96"/>
      <c r="E105" s="104"/>
      <c r="F105" s="120"/>
      <c r="G105" s="99"/>
      <c r="H105" s="84"/>
    </row>
    <row r="106" ht="18.75" customHeight="1">
      <c r="A106" s="100"/>
      <c r="B106" s="101"/>
      <c r="C106" s="102" t="s">
        <v>37</v>
      </c>
      <c r="D106" s="103"/>
      <c r="E106" s="104"/>
      <c r="F106" s="124"/>
      <c r="G106" s="106"/>
      <c r="H106" s="107"/>
    </row>
    <row r="107" ht="18.75" customHeight="1">
      <c r="A107" s="79"/>
      <c r="B107" s="85"/>
      <c r="C107" s="178" t="str">
        <f>IMAGE("https://i.ibb.co/h9K4sWf/Morty.png",4,150,150)</f>
        <v/>
      </c>
      <c r="D107" s="179" t="s">
        <v>71</v>
      </c>
      <c r="E107" s="104"/>
      <c r="F107" s="175">
        <v>34.0</v>
      </c>
      <c r="G107" s="99"/>
      <c r="H107" s="84"/>
    </row>
    <row r="108">
      <c r="A108" s="79"/>
      <c r="B108" s="85"/>
      <c r="C108" s="111"/>
      <c r="D108" s="180" t="s">
        <v>72</v>
      </c>
      <c r="E108" s="104"/>
      <c r="F108" s="113"/>
      <c r="G108" s="99"/>
      <c r="H108" s="84"/>
    </row>
    <row r="109" ht="11.25" customHeight="1">
      <c r="A109" s="79"/>
      <c r="B109" s="85"/>
      <c r="C109" s="114"/>
      <c r="D109" s="115"/>
      <c r="E109" s="104"/>
      <c r="F109" s="94"/>
      <c r="G109" s="99"/>
      <c r="H109" s="84"/>
    </row>
    <row r="110" ht="3.75" customHeight="1">
      <c r="A110" s="79"/>
      <c r="B110" s="95"/>
      <c r="C110" s="96"/>
      <c r="D110" s="96"/>
      <c r="E110" s="104"/>
      <c r="F110" s="97"/>
      <c r="G110" s="99"/>
      <c r="H110" s="84"/>
    </row>
    <row r="111" ht="18.75" customHeight="1">
      <c r="A111" s="79"/>
      <c r="B111" s="85"/>
      <c r="C111" s="181" t="str">
        <f>IMAGE("https://i.ibb.co/MPXzmB0/Erika.png",4,150,150)</f>
        <v/>
      </c>
      <c r="D111" s="182" t="s">
        <v>73</v>
      </c>
      <c r="E111" s="104"/>
      <c r="F111" s="183">
        <v>44.0</v>
      </c>
      <c r="G111" s="90"/>
      <c r="H111" s="84"/>
    </row>
    <row r="112">
      <c r="A112" s="79"/>
      <c r="B112" s="85"/>
      <c r="C112" s="184"/>
      <c r="D112" s="185" t="s">
        <v>74</v>
      </c>
      <c r="E112" s="104"/>
      <c r="F112" s="113"/>
      <c r="G112" s="90"/>
      <c r="H112" s="84"/>
    </row>
    <row r="113" ht="11.25" customHeight="1">
      <c r="A113" s="79"/>
      <c r="B113" s="85"/>
      <c r="C113" s="186"/>
      <c r="D113" s="115"/>
      <c r="E113" s="104"/>
      <c r="F113" s="94"/>
      <c r="G113" s="90"/>
      <c r="H113" s="84"/>
    </row>
    <row r="114" ht="3.75" customHeight="1">
      <c r="A114" s="79"/>
      <c r="B114" s="95"/>
      <c r="C114" s="96"/>
      <c r="D114" s="96"/>
      <c r="E114" s="104"/>
      <c r="F114" s="96"/>
      <c r="G114" s="99"/>
      <c r="H114" s="84"/>
    </row>
    <row r="115" ht="18.75" customHeight="1">
      <c r="A115" s="79"/>
      <c r="B115" s="85"/>
      <c r="C115" s="153" t="str">
        <f>IMAGE("https://i.ibb.co/FzKmMqb/Grunt.png",4,150,150)</f>
        <v/>
      </c>
      <c r="D115" s="154" t="s">
        <v>75</v>
      </c>
      <c r="E115" s="104"/>
      <c r="F115" s="187">
        <v>47.0</v>
      </c>
      <c r="G115" s="90"/>
      <c r="H115" s="84"/>
    </row>
    <row r="116">
      <c r="A116" s="79"/>
      <c r="B116" s="85"/>
      <c r="C116" s="155"/>
      <c r="D116" s="156" t="s">
        <v>76</v>
      </c>
      <c r="E116" s="104"/>
      <c r="F116" s="113"/>
      <c r="G116" s="90"/>
      <c r="H116" s="84"/>
    </row>
    <row r="117" ht="11.25" customHeight="1">
      <c r="A117" s="79"/>
      <c r="B117" s="85"/>
      <c r="C117" s="157"/>
      <c r="D117" s="115"/>
      <c r="E117" s="104"/>
      <c r="F117" s="94"/>
      <c r="G117" s="90"/>
      <c r="H117" s="84"/>
    </row>
    <row r="118" ht="3.75" customHeight="1">
      <c r="A118" s="79"/>
      <c r="B118" s="95"/>
      <c r="C118" s="96"/>
      <c r="D118" s="96"/>
      <c r="E118" s="104"/>
      <c r="F118" s="116"/>
      <c r="G118" s="99"/>
      <c r="H118" s="84"/>
    </row>
    <row r="119" ht="18.75" customHeight="1">
      <c r="A119" s="79"/>
      <c r="B119" s="85"/>
      <c r="C119" s="153" t="str">
        <f>IMAGE("https://i.ibb.co/FzKmMqb/Grunt.png",4,150,150)</f>
        <v/>
      </c>
      <c r="D119" s="154" t="s">
        <v>77</v>
      </c>
      <c r="E119" s="104"/>
      <c r="F119" s="187">
        <v>47.0</v>
      </c>
      <c r="G119" s="99"/>
      <c r="H119" s="84"/>
    </row>
    <row r="120">
      <c r="A120" s="79"/>
      <c r="B120" s="85"/>
      <c r="C120" s="155"/>
      <c r="D120" s="156" t="s">
        <v>78</v>
      </c>
      <c r="E120" s="104"/>
      <c r="F120" s="113"/>
      <c r="G120" s="99"/>
      <c r="H120" s="84"/>
    </row>
    <row r="121" ht="11.25" customHeight="1">
      <c r="A121" s="79"/>
      <c r="B121" s="85"/>
      <c r="C121" s="157"/>
      <c r="D121" s="115"/>
      <c r="E121" s="104"/>
      <c r="F121" s="94"/>
      <c r="G121" s="99"/>
      <c r="H121" s="84"/>
    </row>
    <row r="122" ht="3.75" customHeight="1">
      <c r="A122" s="79"/>
      <c r="B122" s="95"/>
      <c r="C122" s="96"/>
      <c r="D122" s="96"/>
      <c r="E122" s="104"/>
      <c r="F122" s="120"/>
      <c r="G122" s="99"/>
      <c r="H122" s="84"/>
    </row>
    <row r="123" ht="18.75" customHeight="1">
      <c r="A123" s="79"/>
      <c r="B123" s="85"/>
      <c r="C123" s="153" t="str">
        <f>IMAGE("https://i.ibb.co/FzKmMqb/Grunt.png",4,150,150)</f>
        <v/>
      </c>
      <c r="D123" s="154" t="s">
        <v>79</v>
      </c>
      <c r="E123" s="104"/>
      <c r="F123" s="187">
        <v>47.0</v>
      </c>
      <c r="G123" s="99"/>
      <c r="H123" s="84"/>
    </row>
    <row r="124">
      <c r="A124" s="79"/>
      <c r="B124" s="85"/>
      <c r="C124" s="155"/>
      <c r="D124" s="156" t="s">
        <v>78</v>
      </c>
      <c r="E124" s="104"/>
      <c r="F124" s="113"/>
      <c r="G124" s="99"/>
      <c r="H124" s="84"/>
    </row>
    <row r="125" ht="11.25" customHeight="1">
      <c r="A125" s="79"/>
      <c r="B125" s="85"/>
      <c r="C125" s="157"/>
      <c r="D125" s="188"/>
      <c r="E125" s="104"/>
      <c r="F125" s="94"/>
      <c r="G125" s="99"/>
      <c r="H125" s="84"/>
    </row>
    <row r="126" ht="3.75" customHeight="1">
      <c r="A126" s="79"/>
      <c r="B126" s="95"/>
      <c r="C126" s="96"/>
      <c r="D126" s="96"/>
      <c r="E126" s="104"/>
      <c r="F126" s="120"/>
      <c r="G126" s="99"/>
      <c r="H126" s="84"/>
    </row>
    <row r="127" ht="18.75" customHeight="1">
      <c r="A127" s="79"/>
      <c r="B127" s="85"/>
      <c r="C127" s="189" t="str">
        <f>IMAGE("https://i.ibb.co/WfLWZS3/Giovanni.png",4,150,150)</f>
        <v/>
      </c>
      <c r="D127" s="190" t="s">
        <v>80</v>
      </c>
      <c r="E127" s="104"/>
      <c r="F127" s="187">
        <v>47.0</v>
      </c>
      <c r="G127" s="99"/>
      <c r="H127" s="84"/>
    </row>
    <row r="128">
      <c r="A128" s="79"/>
      <c r="B128" s="85"/>
      <c r="C128" s="111"/>
      <c r="D128" s="191" t="s">
        <v>78</v>
      </c>
      <c r="E128" s="104"/>
      <c r="F128" s="113"/>
      <c r="G128" s="99"/>
      <c r="H128" s="84"/>
    </row>
    <row r="129" ht="11.25" customHeight="1">
      <c r="A129" s="79"/>
      <c r="B129" s="85"/>
      <c r="C129" s="114"/>
      <c r="D129" s="115"/>
      <c r="E129" s="104"/>
      <c r="F129" s="94"/>
      <c r="G129" s="99"/>
      <c r="H129" s="84"/>
    </row>
    <row r="130" ht="3.75" customHeight="1">
      <c r="A130" s="79"/>
      <c r="B130" s="95"/>
      <c r="C130" s="116"/>
      <c r="D130" s="96"/>
      <c r="E130" s="104"/>
      <c r="F130" s="120"/>
      <c r="G130" s="99"/>
      <c r="H130" s="84"/>
    </row>
    <row r="131" ht="18.75" customHeight="1">
      <c r="A131" s="100"/>
      <c r="B131" s="101"/>
      <c r="C131" s="102" t="s">
        <v>37</v>
      </c>
      <c r="D131" s="103"/>
      <c r="E131" s="104"/>
      <c r="F131" s="105"/>
      <c r="G131" s="106"/>
      <c r="H131" s="107"/>
    </row>
    <row r="132" ht="18.75" customHeight="1">
      <c r="A132" s="79"/>
      <c r="B132" s="85"/>
      <c r="C132" s="125" t="str">
        <f>IMAGE("https://i.ibb.co/TKBZjnF/Ace-Trainer-M.png",4,150,150)</f>
        <v/>
      </c>
      <c r="D132" s="126" t="s">
        <v>81</v>
      </c>
      <c r="E132" s="104"/>
      <c r="F132" s="192">
        <v>59.0</v>
      </c>
      <c r="G132" s="90"/>
      <c r="H132" s="84"/>
    </row>
    <row r="133">
      <c r="A133" s="79"/>
      <c r="B133" s="85"/>
      <c r="C133" s="111"/>
      <c r="D133" s="127" t="s">
        <v>82</v>
      </c>
      <c r="E133" s="104"/>
      <c r="F133" s="113"/>
      <c r="G133" s="90"/>
      <c r="H133" s="84"/>
    </row>
    <row r="134" ht="11.25" customHeight="1">
      <c r="A134" s="79"/>
      <c r="B134" s="85"/>
      <c r="C134" s="114"/>
      <c r="D134" s="115"/>
      <c r="E134" s="104"/>
      <c r="F134" s="94"/>
      <c r="G134" s="90"/>
      <c r="H134" s="84"/>
    </row>
    <row r="135" ht="3.75" customHeight="1">
      <c r="A135" s="79"/>
      <c r="B135" s="95"/>
      <c r="C135" s="96"/>
      <c r="D135" s="96"/>
      <c r="E135" s="104"/>
      <c r="F135" s="116"/>
      <c r="G135" s="99"/>
      <c r="H135" s="84"/>
    </row>
    <row r="136" ht="18.75" customHeight="1">
      <c r="A136" s="100"/>
      <c r="B136" s="101"/>
      <c r="C136" s="102" t="s">
        <v>37</v>
      </c>
      <c r="D136" s="103"/>
      <c r="E136" s="104"/>
      <c r="F136" s="124"/>
      <c r="G136" s="106"/>
      <c r="H136" s="107"/>
    </row>
    <row r="137" ht="18.75" customHeight="1">
      <c r="A137" s="79"/>
      <c r="B137" s="85"/>
      <c r="C137" s="193" t="str">
        <f>IMAGE("https://i.ibb.co/3ygqV6X/Beauty.png",4,150,150)</f>
        <v/>
      </c>
      <c r="D137" s="194" t="s">
        <v>83</v>
      </c>
      <c r="E137" s="104"/>
      <c r="F137" s="192">
        <v>59.0</v>
      </c>
      <c r="G137" s="99"/>
      <c r="H137" s="84"/>
    </row>
    <row r="138">
      <c r="A138" s="79"/>
      <c r="B138" s="85"/>
      <c r="C138" s="111"/>
      <c r="D138" s="195" t="s">
        <v>84</v>
      </c>
      <c r="E138" s="104"/>
      <c r="F138" s="113"/>
      <c r="G138" s="99"/>
      <c r="H138" s="84"/>
    </row>
    <row r="139" ht="11.25" customHeight="1">
      <c r="A139" s="79"/>
      <c r="B139" s="85"/>
      <c r="C139" s="114"/>
      <c r="D139" s="115"/>
      <c r="E139" s="104"/>
      <c r="F139" s="113"/>
      <c r="G139" s="99"/>
      <c r="H139" s="84"/>
    </row>
    <row r="140" ht="3.75" customHeight="1">
      <c r="A140" s="79"/>
      <c r="B140" s="95"/>
      <c r="C140" s="96"/>
      <c r="D140" s="96"/>
      <c r="E140" s="104"/>
      <c r="F140" s="113"/>
      <c r="G140" s="99"/>
      <c r="H140" s="84"/>
    </row>
    <row r="141" ht="18.75" customHeight="1">
      <c r="A141" s="100"/>
      <c r="B141" s="101"/>
      <c r="C141" s="102" t="s">
        <v>37</v>
      </c>
      <c r="D141" s="103"/>
      <c r="E141" s="104"/>
      <c r="F141" s="113"/>
      <c r="G141" s="106"/>
      <c r="H141" s="107"/>
    </row>
    <row r="142" ht="18.75" customHeight="1">
      <c r="A142" s="79"/>
      <c r="B142" s="85"/>
      <c r="C142" s="193" t="str">
        <f>IMAGE("https://i.ibb.co/3ygqV6X/Beauty.png",4,150,150)</f>
        <v/>
      </c>
      <c r="D142" s="194" t="s">
        <v>85</v>
      </c>
      <c r="E142" s="104"/>
      <c r="F142" s="113"/>
      <c r="G142" s="99"/>
      <c r="H142" s="84"/>
    </row>
    <row r="143">
      <c r="A143" s="79"/>
      <c r="B143" s="85"/>
      <c r="C143" s="111"/>
      <c r="D143" s="195" t="s">
        <v>84</v>
      </c>
      <c r="E143" s="104"/>
      <c r="F143" s="113"/>
      <c r="G143" s="99"/>
      <c r="H143" s="84"/>
    </row>
    <row r="144" ht="11.25" customHeight="1">
      <c r="A144" s="79"/>
      <c r="B144" s="85"/>
      <c r="C144" s="114"/>
      <c r="D144" s="115"/>
      <c r="E144" s="104"/>
      <c r="F144" s="94"/>
      <c r="G144" s="99"/>
      <c r="H144" s="84"/>
    </row>
    <row r="145" ht="3.75" customHeight="1">
      <c r="A145" s="79"/>
      <c r="B145" s="95"/>
      <c r="C145" s="96"/>
      <c r="D145" s="96"/>
      <c r="E145" s="104"/>
      <c r="F145" s="97"/>
      <c r="G145" s="99"/>
      <c r="H145" s="84"/>
    </row>
    <row r="146" ht="18.75" customHeight="1">
      <c r="A146" s="79"/>
      <c r="B146" s="85"/>
      <c r="C146" s="196" t="str">
        <f>IMAGE("https://i.ibb.co/JdWvt93/Ghost.png",4,150,150)</f>
        <v/>
      </c>
      <c r="D146" s="197" t="s">
        <v>86</v>
      </c>
      <c r="E146" s="104"/>
      <c r="F146" s="198">
        <v>56.0</v>
      </c>
      <c r="G146" s="90"/>
      <c r="H146" s="84"/>
    </row>
    <row r="147">
      <c r="A147" s="79"/>
      <c r="B147" s="85"/>
      <c r="C147" s="111"/>
      <c r="D147" s="199" t="s">
        <v>87</v>
      </c>
      <c r="E147" s="104"/>
      <c r="F147" s="113"/>
      <c r="G147" s="90"/>
      <c r="H147" s="84"/>
    </row>
    <row r="148" ht="11.25" customHeight="1">
      <c r="A148" s="79"/>
      <c r="B148" s="85"/>
      <c r="C148" s="114"/>
      <c r="D148" s="115"/>
      <c r="E148" s="104"/>
      <c r="F148" s="94"/>
      <c r="G148" s="90"/>
      <c r="H148" s="84"/>
    </row>
    <row r="149" ht="3.75" customHeight="1">
      <c r="A149" s="79"/>
      <c r="B149" s="95"/>
      <c r="C149" s="96"/>
      <c r="D149" s="96"/>
      <c r="E149" s="104"/>
      <c r="F149" s="116"/>
      <c r="G149" s="99"/>
      <c r="H149" s="84"/>
    </row>
    <row r="150" ht="18.75" customHeight="1">
      <c r="A150" s="79"/>
      <c r="B150" s="85"/>
      <c r="C150" s="108" t="str">
        <f>IMAGE("https://i.ibb.co/fXwks6z/Rival.png",4,150,150)</f>
        <v/>
      </c>
      <c r="D150" s="109" t="s">
        <v>38</v>
      </c>
      <c r="E150" s="104"/>
      <c r="F150" s="198">
        <v>56.0</v>
      </c>
      <c r="G150" s="99"/>
      <c r="H150" s="84"/>
    </row>
    <row r="151">
      <c r="A151" s="79"/>
      <c r="B151" s="85"/>
      <c r="C151" s="111"/>
      <c r="D151" s="112" t="s">
        <v>88</v>
      </c>
      <c r="E151" s="104"/>
      <c r="F151" s="113"/>
      <c r="G151" s="99"/>
      <c r="H151" s="84"/>
    </row>
    <row r="152" ht="11.25" customHeight="1">
      <c r="A152" s="79"/>
      <c r="B152" s="85"/>
      <c r="C152" s="114"/>
      <c r="D152" s="115"/>
      <c r="E152" s="104"/>
      <c r="F152" s="94"/>
      <c r="G152" s="99"/>
      <c r="H152" s="84"/>
    </row>
    <row r="153" ht="3.75" customHeight="1">
      <c r="A153" s="79"/>
      <c r="B153" s="95"/>
      <c r="C153" s="116"/>
      <c r="D153" s="96"/>
      <c r="E153" s="104"/>
      <c r="F153" s="120"/>
      <c r="G153" s="99"/>
      <c r="H153" s="84"/>
    </row>
    <row r="154" ht="18.75" customHeight="1">
      <c r="A154" s="79"/>
      <c r="B154" s="85"/>
      <c r="C154" s="200" t="str">
        <f>IMAGE("https://i.ibb.co/4M2rgHN/Archer-Ariana.png",4,150,150)</f>
        <v/>
      </c>
      <c r="D154" s="201" t="s">
        <v>89</v>
      </c>
      <c r="E154" s="104"/>
      <c r="F154" s="198">
        <v>56.0</v>
      </c>
      <c r="G154" s="99"/>
      <c r="H154" s="84"/>
    </row>
    <row r="155">
      <c r="A155" s="79"/>
      <c r="B155" s="85"/>
      <c r="C155" s="111"/>
      <c r="D155" s="202" t="s">
        <v>88</v>
      </c>
      <c r="E155" s="104"/>
      <c r="F155" s="113"/>
      <c r="G155" s="99"/>
      <c r="H155" s="84"/>
    </row>
    <row r="156" ht="11.25" customHeight="1">
      <c r="A156" s="79"/>
      <c r="B156" s="85"/>
      <c r="C156" s="114"/>
      <c r="D156" s="115"/>
      <c r="E156" s="104"/>
      <c r="F156" s="94"/>
      <c r="G156" s="99"/>
      <c r="H156" s="84"/>
    </row>
    <row r="157" ht="3.75" customHeight="1">
      <c r="A157" s="79"/>
      <c r="B157" s="95"/>
      <c r="C157" s="96"/>
      <c r="D157" s="96"/>
      <c r="E157" s="104"/>
      <c r="F157" s="97"/>
      <c r="G157" s="99"/>
      <c r="H157" s="84"/>
    </row>
    <row r="158" ht="18.75" customHeight="1">
      <c r="A158" s="79"/>
      <c r="B158" s="85"/>
      <c r="C158" s="189" t="str">
        <f>IMAGE("https://i.ibb.co/WfLWZS3/Giovanni.png",4,150,150)</f>
        <v/>
      </c>
      <c r="D158" s="190" t="s">
        <v>80</v>
      </c>
      <c r="E158" s="104"/>
      <c r="F158" s="203">
        <v>57.0</v>
      </c>
      <c r="G158" s="90"/>
      <c r="H158" s="84"/>
    </row>
    <row r="159">
      <c r="A159" s="79"/>
      <c r="B159" s="85"/>
      <c r="C159" s="111"/>
      <c r="D159" s="191" t="s">
        <v>88</v>
      </c>
      <c r="E159" s="104"/>
      <c r="F159" s="113"/>
      <c r="G159" s="90"/>
      <c r="H159" s="84"/>
    </row>
    <row r="160" ht="11.25" customHeight="1">
      <c r="A160" s="79"/>
      <c r="B160" s="85"/>
      <c r="C160" s="114"/>
      <c r="D160" s="115"/>
      <c r="E160" s="104"/>
      <c r="F160" s="94"/>
      <c r="G160" s="90"/>
      <c r="H160" s="84"/>
    </row>
    <row r="161" ht="3.75" customHeight="1">
      <c r="A161" s="79"/>
      <c r="B161" s="95"/>
      <c r="C161" s="116"/>
      <c r="D161" s="96"/>
      <c r="E161" s="104"/>
      <c r="F161" s="116"/>
      <c r="G161" s="99"/>
      <c r="H161" s="84"/>
    </row>
    <row r="162" ht="18.75" customHeight="1">
      <c r="A162" s="100"/>
      <c r="B162" s="101"/>
      <c r="C162" s="102" t="s">
        <v>37</v>
      </c>
      <c r="D162" s="103"/>
      <c r="E162" s="104"/>
      <c r="F162" s="105"/>
      <c r="G162" s="106"/>
      <c r="H162" s="107"/>
    </row>
    <row r="163" ht="18.75" customHeight="1">
      <c r="A163" s="79"/>
      <c r="B163" s="85"/>
      <c r="C163" s="204" t="str">
        <f>IMAGE("https://i.ibb.co/8rG6Bgc/Chuck.png",4,150,150)</f>
        <v/>
      </c>
      <c r="D163" s="205" t="s">
        <v>90</v>
      </c>
      <c r="E163" s="104"/>
      <c r="F163" s="175">
        <v>34.0</v>
      </c>
      <c r="G163" s="90"/>
      <c r="H163" s="84"/>
    </row>
    <row r="164">
      <c r="A164" s="79"/>
      <c r="B164" s="85"/>
      <c r="C164" s="111"/>
      <c r="D164" s="206" t="s">
        <v>91</v>
      </c>
      <c r="E164" s="104"/>
      <c r="F164" s="113"/>
      <c r="G164" s="90"/>
      <c r="H164" s="84"/>
    </row>
    <row r="165" ht="11.25" customHeight="1">
      <c r="A165" s="79"/>
      <c r="B165" s="85"/>
      <c r="C165" s="114"/>
      <c r="D165" s="115"/>
      <c r="E165" s="104"/>
      <c r="F165" s="94"/>
      <c r="G165" s="90"/>
      <c r="H165" s="84"/>
    </row>
    <row r="166" ht="3.75" customHeight="1">
      <c r="A166" s="79"/>
      <c r="B166" s="95"/>
      <c r="C166" s="96"/>
      <c r="D166" s="96"/>
      <c r="E166" s="104"/>
      <c r="F166" s="116"/>
      <c r="G166" s="99"/>
      <c r="H166" s="84"/>
    </row>
    <row r="167" ht="18.75" customHeight="1">
      <c r="A167" s="79"/>
      <c r="B167" s="85"/>
      <c r="C167" s="207" t="str">
        <f>IMAGE("https://i.ibb.co/kx6FHjN/Sabrina.png",4,150,150)</f>
        <v/>
      </c>
      <c r="D167" s="208" t="s">
        <v>92</v>
      </c>
      <c r="E167" s="104"/>
      <c r="F167" s="192">
        <v>59.0</v>
      </c>
      <c r="G167" s="99"/>
      <c r="H167" s="84"/>
    </row>
    <row r="168">
      <c r="A168" s="79"/>
      <c r="B168" s="85"/>
      <c r="C168" s="111"/>
      <c r="D168" s="209" t="s">
        <v>91</v>
      </c>
      <c r="E168" s="104"/>
      <c r="F168" s="113"/>
      <c r="G168" s="99"/>
      <c r="H168" s="84"/>
    </row>
    <row r="169" ht="11.25" customHeight="1">
      <c r="A169" s="79"/>
      <c r="B169" s="85"/>
      <c r="C169" s="114"/>
      <c r="D169" s="115"/>
      <c r="E169" s="104"/>
      <c r="F169" s="94"/>
      <c r="G169" s="99"/>
      <c r="H169" s="84"/>
    </row>
    <row r="170" ht="3.75" customHeight="1">
      <c r="A170" s="79"/>
      <c r="B170" s="95"/>
      <c r="C170" s="116"/>
      <c r="D170" s="96"/>
      <c r="E170" s="104"/>
      <c r="F170" s="120"/>
      <c r="G170" s="99"/>
      <c r="H170" s="84"/>
    </row>
    <row r="171" ht="18.75" customHeight="1">
      <c r="A171" s="100"/>
      <c r="B171" s="101"/>
      <c r="C171" s="102" t="s">
        <v>37</v>
      </c>
      <c r="D171" s="103"/>
      <c r="E171" s="104"/>
      <c r="F171" s="124"/>
      <c r="G171" s="106"/>
      <c r="H171" s="107"/>
    </row>
    <row r="172" ht="18.75" customHeight="1">
      <c r="A172" s="79"/>
      <c r="B172" s="85"/>
      <c r="C172" s="210" t="str">
        <f>IMAGE("https://i.ibb.co/yWmgksb/Kid.png",4,150,150)</f>
        <v/>
      </c>
      <c r="D172" s="211" t="s">
        <v>93</v>
      </c>
      <c r="E172" s="104"/>
      <c r="F172" s="192">
        <v>59.0</v>
      </c>
      <c r="G172" s="99"/>
      <c r="H172" s="84"/>
    </row>
    <row r="173">
      <c r="A173" s="79"/>
      <c r="B173" s="85"/>
      <c r="C173" s="111"/>
      <c r="D173" s="212" t="s">
        <v>91</v>
      </c>
      <c r="E173" s="104"/>
      <c r="F173" s="113"/>
      <c r="G173" s="99"/>
      <c r="H173" s="84"/>
    </row>
    <row r="174" ht="11.25" customHeight="1">
      <c r="A174" s="79"/>
      <c r="B174" s="85"/>
      <c r="C174" s="114"/>
      <c r="D174" s="115"/>
      <c r="E174" s="104"/>
      <c r="F174" s="94"/>
      <c r="G174" s="99"/>
      <c r="H174" s="84"/>
    </row>
    <row r="175" ht="3.75" customHeight="1">
      <c r="A175" s="79"/>
      <c r="B175" s="95"/>
      <c r="C175" s="96"/>
      <c r="D175" s="96"/>
      <c r="E175" s="104"/>
      <c r="F175" s="97"/>
      <c r="G175" s="99"/>
      <c r="H175" s="84"/>
    </row>
    <row r="176" ht="18.75" customHeight="1">
      <c r="A176" s="79"/>
      <c r="B176" s="85"/>
      <c r="C176" s="213" t="str">
        <f>IMAGE("https://i.ibb.co/B6sRjDp/Rocker.png",4,150,150)</f>
        <v/>
      </c>
      <c r="D176" s="214" t="s">
        <v>94</v>
      </c>
      <c r="E176" s="104"/>
      <c r="F176" s="215">
        <v>68.0</v>
      </c>
      <c r="G176" s="90"/>
      <c r="H176" s="84"/>
    </row>
    <row r="177">
      <c r="A177" s="79"/>
      <c r="B177" s="85"/>
      <c r="C177" s="111"/>
      <c r="D177" s="216" t="s">
        <v>95</v>
      </c>
      <c r="E177" s="104"/>
      <c r="F177" s="113"/>
      <c r="G177" s="90"/>
      <c r="H177" s="84"/>
    </row>
    <row r="178" ht="11.25" customHeight="1">
      <c r="A178" s="79"/>
      <c r="B178" s="85"/>
      <c r="C178" s="114"/>
      <c r="D178" s="115"/>
      <c r="E178" s="104"/>
      <c r="F178" s="94"/>
      <c r="G178" s="90"/>
      <c r="H178" s="84"/>
    </row>
    <row r="179" ht="3.75" customHeight="1">
      <c r="A179" s="79"/>
      <c r="B179" s="95"/>
      <c r="C179" s="96"/>
      <c r="D179" s="96"/>
      <c r="E179" s="104"/>
      <c r="F179" s="116"/>
      <c r="G179" s="99"/>
      <c r="H179" s="84"/>
    </row>
    <row r="180" ht="18.75" customHeight="1">
      <c r="A180" s="79"/>
      <c r="B180" s="85"/>
      <c r="C180" s="177" t="str">
        <f>IMAGE("https://i.ibb.co/VxD4KtV/Camper.png",4,150,150)</f>
        <v/>
      </c>
      <c r="D180" s="149" t="s">
        <v>96</v>
      </c>
      <c r="E180" s="104"/>
      <c r="F180" s="215">
        <v>68.0</v>
      </c>
      <c r="G180" s="99"/>
      <c r="H180" s="84"/>
    </row>
    <row r="181">
      <c r="A181" s="79"/>
      <c r="B181" s="85"/>
      <c r="C181" s="111"/>
      <c r="D181" s="151" t="s">
        <v>95</v>
      </c>
      <c r="E181" s="104"/>
      <c r="F181" s="113"/>
      <c r="G181" s="99"/>
      <c r="H181" s="84"/>
    </row>
    <row r="182" ht="11.25" customHeight="1">
      <c r="A182" s="79"/>
      <c r="B182" s="85"/>
      <c r="C182" s="114"/>
      <c r="D182" s="115"/>
      <c r="E182" s="104"/>
      <c r="F182" s="94"/>
      <c r="G182" s="99"/>
      <c r="H182" s="84"/>
    </row>
    <row r="183" ht="3.75" customHeight="1">
      <c r="A183" s="79"/>
      <c r="B183" s="95"/>
      <c r="C183" s="96"/>
      <c r="D183" s="96"/>
      <c r="E183" s="104"/>
      <c r="F183" s="120"/>
      <c r="G183" s="99"/>
      <c r="H183" s="84"/>
    </row>
    <row r="184" ht="18.75" customHeight="1">
      <c r="A184" s="79"/>
      <c r="B184" s="85"/>
      <c r="C184" s="217" t="str">
        <f>IMAGE("https://i.ibb.co/W01JP62/Fisherman.png",4,150,150)</f>
        <v/>
      </c>
      <c r="D184" s="218" t="s">
        <v>97</v>
      </c>
      <c r="E184" s="104"/>
      <c r="F184" s="215">
        <v>68.0</v>
      </c>
      <c r="G184" s="99"/>
      <c r="H184" s="84"/>
    </row>
    <row r="185">
      <c r="A185" s="79"/>
      <c r="B185" s="85"/>
      <c r="C185" s="111"/>
      <c r="D185" s="219" t="s">
        <v>95</v>
      </c>
      <c r="E185" s="104"/>
      <c r="F185" s="113"/>
      <c r="G185" s="99"/>
      <c r="H185" s="84"/>
    </row>
    <row r="186" ht="11.25" customHeight="1">
      <c r="A186" s="79"/>
      <c r="B186" s="85"/>
      <c r="C186" s="114"/>
      <c r="D186" s="115"/>
      <c r="E186" s="104"/>
      <c r="F186" s="94"/>
      <c r="G186" s="99"/>
      <c r="H186" s="84"/>
    </row>
    <row r="187" ht="3.75" customHeight="1">
      <c r="A187" s="79"/>
      <c r="B187" s="95"/>
      <c r="C187" s="96"/>
      <c r="D187" s="96"/>
      <c r="E187" s="104"/>
      <c r="F187" s="120"/>
      <c r="G187" s="99"/>
      <c r="H187" s="84"/>
    </row>
    <row r="188" ht="18.75" customHeight="1">
      <c r="A188" s="79"/>
      <c r="B188" s="85"/>
      <c r="C188" s="220" t="str">
        <f>IMAGE("https://i.ibb.co/Y2xpLjR/Bird-Keeper.png",4,150,150)</f>
        <v/>
      </c>
      <c r="D188" s="221" t="s">
        <v>98</v>
      </c>
      <c r="E188" s="104"/>
      <c r="F188" s="215">
        <v>68.0</v>
      </c>
      <c r="G188" s="99"/>
      <c r="H188" s="84"/>
    </row>
    <row r="189">
      <c r="A189" s="79"/>
      <c r="B189" s="85"/>
      <c r="C189" s="111"/>
      <c r="D189" s="222" t="s">
        <v>99</v>
      </c>
      <c r="E189" s="104"/>
      <c r="F189" s="113"/>
      <c r="G189" s="99"/>
      <c r="H189" s="84"/>
    </row>
    <row r="190" ht="11.25" customHeight="1">
      <c r="A190" s="79"/>
      <c r="B190" s="85"/>
      <c r="C190" s="114"/>
      <c r="D190" s="115"/>
      <c r="E190" s="104"/>
      <c r="F190" s="94"/>
      <c r="G190" s="99"/>
      <c r="H190" s="84"/>
    </row>
    <row r="191" ht="3.75" customHeight="1">
      <c r="A191" s="79"/>
      <c r="B191" s="95"/>
      <c r="C191" s="96"/>
      <c r="D191" s="96"/>
      <c r="E191" s="104"/>
      <c r="F191" s="120"/>
      <c r="G191" s="99"/>
      <c r="H191" s="84"/>
    </row>
    <row r="192" ht="18.75" customHeight="1">
      <c r="A192" s="79"/>
      <c r="B192" s="85"/>
      <c r="C192" s="177" t="str">
        <f>IMAGE("https://i.ibb.co/YhmcnsP/Picnicker.png",4,150,150)</f>
        <v/>
      </c>
      <c r="D192" s="149" t="s">
        <v>100</v>
      </c>
      <c r="E192" s="104"/>
      <c r="F192" s="215">
        <v>68.0</v>
      </c>
      <c r="G192" s="99"/>
      <c r="H192" s="84"/>
    </row>
    <row r="193">
      <c r="A193" s="79"/>
      <c r="B193" s="85"/>
      <c r="C193" s="111"/>
      <c r="D193" s="151" t="s">
        <v>99</v>
      </c>
      <c r="E193" s="104"/>
      <c r="F193" s="113"/>
      <c r="G193" s="99"/>
      <c r="H193" s="84"/>
    </row>
    <row r="194" ht="11.25" customHeight="1">
      <c r="A194" s="79"/>
      <c r="B194" s="85"/>
      <c r="C194" s="114"/>
      <c r="D194" s="115"/>
      <c r="E194" s="104"/>
      <c r="F194" s="94"/>
      <c r="G194" s="99"/>
      <c r="H194" s="84"/>
    </row>
    <row r="195" ht="3.75" customHeight="1">
      <c r="A195" s="79"/>
      <c r="B195" s="95"/>
      <c r="C195" s="96"/>
      <c r="D195" s="96"/>
      <c r="E195" s="104"/>
      <c r="F195" s="120"/>
      <c r="G195" s="99"/>
      <c r="H195" s="84"/>
    </row>
    <row r="196" ht="18.75" customHeight="1">
      <c r="A196" s="79"/>
      <c r="B196" s="85"/>
      <c r="C196" s="177" t="str">
        <f>IMAGE("https://i.ibb.co/YhmcnsP/Picnicker.png",4,150,150)</f>
        <v/>
      </c>
      <c r="D196" s="149" t="s">
        <v>101</v>
      </c>
      <c r="E196" s="104"/>
      <c r="F196" s="215">
        <v>68.0</v>
      </c>
      <c r="G196" s="99"/>
      <c r="H196" s="84"/>
    </row>
    <row r="197">
      <c r="A197" s="79"/>
      <c r="B197" s="85"/>
      <c r="C197" s="111"/>
      <c r="D197" s="151" t="s">
        <v>99</v>
      </c>
      <c r="E197" s="104"/>
      <c r="F197" s="113"/>
      <c r="G197" s="99"/>
      <c r="H197" s="84"/>
    </row>
    <row r="198" ht="11.25" customHeight="1">
      <c r="A198" s="79"/>
      <c r="B198" s="85"/>
      <c r="C198" s="114"/>
      <c r="D198" s="115"/>
      <c r="E198" s="104"/>
      <c r="F198" s="94"/>
      <c r="G198" s="99"/>
      <c r="H198" s="84"/>
    </row>
    <row r="199" ht="3.75" customHeight="1">
      <c r="A199" s="79"/>
      <c r="B199" s="95"/>
      <c r="C199" s="96"/>
      <c r="D199" s="96"/>
      <c r="E199" s="104"/>
      <c r="F199" s="120"/>
      <c r="G199" s="99"/>
      <c r="H199" s="84"/>
    </row>
    <row r="200" ht="18.75" customHeight="1">
      <c r="A200" s="79"/>
      <c r="B200" s="85"/>
      <c r="C200" s="193" t="str">
        <f>IMAGE("https://i.ibb.co/dtcVk3L/Beautys.png",4,150,150)</f>
        <v/>
      </c>
      <c r="D200" s="194" t="s">
        <v>102</v>
      </c>
      <c r="E200" s="104"/>
      <c r="F200" s="215">
        <v>68.0</v>
      </c>
      <c r="G200" s="99"/>
      <c r="H200" s="84"/>
    </row>
    <row r="201">
      <c r="A201" s="79"/>
      <c r="B201" s="85"/>
      <c r="C201" s="111"/>
      <c r="D201" s="195" t="s">
        <v>99</v>
      </c>
      <c r="E201" s="104"/>
      <c r="F201" s="113"/>
      <c r="G201" s="99"/>
      <c r="H201" s="84"/>
    </row>
    <row r="202" ht="11.25" customHeight="1">
      <c r="A202" s="79"/>
      <c r="B202" s="85"/>
      <c r="C202" s="114"/>
      <c r="D202" s="115"/>
      <c r="E202" s="104"/>
      <c r="F202" s="94"/>
      <c r="G202" s="99"/>
      <c r="H202" s="84"/>
    </row>
    <row r="203" ht="3.75" customHeight="1">
      <c r="A203" s="79"/>
      <c r="B203" s="95"/>
      <c r="C203" s="96"/>
      <c r="D203" s="96"/>
      <c r="E203" s="104"/>
      <c r="F203" s="120"/>
      <c r="G203" s="99"/>
      <c r="H203" s="84"/>
    </row>
    <row r="204" ht="18.75" customHeight="1">
      <c r="A204" s="79"/>
      <c r="B204" s="85"/>
      <c r="C204" s="220" t="str">
        <f>IMAGE("https://i.ibb.co/Y2xpLjR/Bird-Keeper.png",4,150,150)</f>
        <v/>
      </c>
      <c r="D204" s="221" t="s">
        <v>103</v>
      </c>
      <c r="E204" s="104"/>
      <c r="F204" s="215">
        <v>68.0</v>
      </c>
      <c r="G204" s="99"/>
      <c r="H204" s="84"/>
    </row>
    <row r="205">
      <c r="A205" s="79"/>
      <c r="B205" s="85"/>
      <c r="C205" s="111"/>
      <c r="D205" s="222" t="s">
        <v>99</v>
      </c>
      <c r="E205" s="104"/>
      <c r="F205" s="113"/>
      <c r="G205" s="99"/>
      <c r="H205" s="84"/>
    </row>
    <row r="206" ht="11.25" customHeight="1">
      <c r="A206" s="79"/>
      <c r="B206" s="85"/>
      <c r="C206" s="114"/>
      <c r="D206" s="115"/>
      <c r="E206" s="104"/>
      <c r="F206" s="94"/>
      <c r="G206" s="99"/>
      <c r="H206" s="84"/>
    </row>
    <row r="207" ht="3.75" customHeight="1">
      <c r="A207" s="79"/>
      <c r="B207" s="95"/>
      <c r="C207" s="96"/>
      <c r="D207" s="96"/>
      <c r="E207" s="104"/>
      <c r="F207" s="120"/>
      <c r="G207" s="99"/>
      <c r="H207" s="84"/>
    </row>
    <row r="208" ht="18.75" customHeight="1">
      <c r="A208" s="79"/>
      <c r="B208" s="85"/>
      <c r="C208" s="223" t="str">
        <f>IMAGE("https://i.ibb.co/mD5zk3m/Biker.png",4,150,150)</f>
        <v/>
      </c>
      <c r="D208" s="224" t="s">
        <v>104</v>
      </c>
      <c r="E208" s="104"/>
      <c r="F208" s="215">
        <v>68.0</v>
      </c>
      <c r="G208" s="99"/>
      <c r="H208" s="84"/>
    </row>
    <row r="209">
      <c r="A209" s="79"/>
      <c r="B209" s="85"/>
      <c r="C209" s="111"/>
      <c r="D209" s="225" t="s">
        <v>99</v>
      </c>
      <c r="E209" s="104"/>
      <c r="F209" s="113"/>
      <c r="G209" s="99"/>
      <c r="H209" s="84"/>
    </row>
    <row r="210" ht="11.25" customHeight="1">
      <c r="A210" s="79"/>
      <c r="B210" s="85"/>
      <c r="C210" s="114"/>
      <c r="D210" s="115"/>
      <c r="E210" s="104"/>
      <c r="F210" s="94"/>
      <c r="G210" s="99"/>
      <c r="H210" s="84"/>
    </row>
    <row r="211" ht="3.75" customHeight="1">
      <c r="A211" s="79"/>
      <c r="B211" s="95"/>
      <c r="C211" s="96"/>
      <c r="D211" s="96"/>
      <c r="E211" s="104"/>
      <c r="F211" s="120"/>
      <c r="G211" s="99"/>
      <c r="H211" s="84"/>
    </row>
    <row r="212" ht="18.75" customHeight="1">
      <c r="A212" s="79"/>
      <c r="B212" s="85"/>
      <c r="C212" s="220" t="str">
        <f>IMAGE("https://i.ibb.co/Y2xpLjR/Bird-Keeper.png",4,150,150)</f>
        <v/>
      </c>
      <c r="D212" s="221" t="s">
        <v>105</v>
      </c>
      <c r="E212" s="104"/>
      <c r="F212" s="215">
        <v>68.0</v>
      </c>
      <c r="G212" s="99"/>
      <c r="H212" s="84"/>
    </row>
    <row r="213">
      <c r="A213" s="79"/>
      <c r="B213" s="85"/>
      <c r="C213" s="111"/>
      <c r="D213" s="222" t="s">
        <v>99</v>
      </c>
      <c r="E213" s="104"/>
      <c r="F213" s="113"/>
      <c r="G213" s="99"/>
      <c r="H213" s="226" t="s">
        <v>105</v>
      </c>
    </row>
    <row r="214" ht="11.25" customHeight="1">
      <c r="A214" s="79"/>
      <c r="B214" s="85"/>
      <c r="C214" s="114"/>
      <c r="D214" s="115"/>
      <c r="E214" s="104"/>
      <c r="F214" s="94"/>
      <c r="G214" s="99"/>
      <c r="H214" s="84"/>
    </row>
    <row r="215" ht="3.75" customHeight="1">
      <c r="A215" s="79"/>
      <c r="B215" s="95"/>
      <c r="C215" s="116"/>
      <c r="D215" s="96"/>
      <c r="E215" s="104"/>
      <c r="F215" s="120"/>
      <c r="G215" s="99"/>
      <c r="H215" s="84"/>
    </row>
    <row r="216" ht="18.75" customHeight="1">
      <c r="A216" s="100"/>
      <c r="B216" s="101"/>
      <c r="C216" s="102" t="s">
        <v>37</v>
      </c>
      <c r="D216" s="103"/>
      <c r="E216" s="104"/>
      <c r="F216" s="124"/>
      <c r="G216" s="106"/>
      <c r="H216" s="107"/>
    </row>
    <row r="217" ht="18.75" customHeight="1">
      <c r="A217" s="79"/>
      <c r="B217" s="85"/>
      <c r="C217" s="125" t="str">
        <f>IMAGE("https://i.ibb.co/26kF6WW/Ace-Trainer-F.png",4,150,150)</f>
        <v/>
      </c>
      <c r="D217" s="126" t="s">
        <v>106</v>
      </c>
      <c r="E217" s="104"/>
      <c r="F217" s="215">
        <v>68.0</v>
      </c>
      <c r="G217" s="99"/>
      <c r="H217" s="84"/>
    </row>
    <row r="218">
      <c r="A218" s="79"/>
      <c r="B218" s="85"/>
      <c r="C218" s="111"/>
      <c r="D218" s="127" t="s">
        <v>107</v>
      </c>
      <c r="E218" s="104"/>
      <c r="F218" s="113"/>
      <c r="G218" s="99"/>
      <c r="H218" s="84"/>
    </row>
    <row r="219" ht="11.25" customHeight="1">
      <c r="A219" s="79"/>
      <c r="B219" s="85"/>
      <c r="C219" s="114"/>
      <c r="D219" s="115"/>
      <c r="E219" s="104"/>
      <c r="F219" s="94"/>
      <c r="G219" s="99"/>
      <c r="H219" s="84"/>
    </row>
    <row r="220" ht="3.75" customHeight="1">
      <c r="A220" s="79"/>
      <c r="B220" s="95"/>
      <c r="C220" s="96"/>
      <c r="D220" s="96"/>
      <c r="E220" s="104"/>
      <c r="F220" s="120"/>
      <c r="G220" s="99"/>
      <c r="H220" s="84"/>
    </row>
    <row r="221" ht="18.75" customHeight="1">
      <c r="A221" s="79"/>
      <c r="B221" s="85"/>
      <c r="C221" s="223" t="str">
        <f>IMAGE("https://i.ibb.co/mD5zk3m/Biker.png",4,150,150)</f>
        <v/>
      </c>
      <c r="D221" s="224" t="s">
        <v>108</v>
      </c>
      <c r="E221" s="104"/>
      <c r="F221" s="215">
        <v>68.0</v>
      </c>
      <c r="G221" s="99"/>
      <c r="H221" s="84"/>
    </row>
    <row r="222">
      <c r="A222" s="79"/>
      <c r="B222" s="85"/>
      <c r="C222" s="111"/>
      <c r="D222" s="225" t="s">
        <v>109</v>
      </c>
      <c r="E222" s="104"/>
      <c r="F222" s="113"/>
      <c r="G222" s="99"/>
      <c r="H222" s="84"/>
    </row>
    <row r="223" ht="11.25" customHeight="1">
      <c r="A223" s="79"/>
      <c r="B223" s="85"/>
      <c r="C223" s="114"/>
      <c r="D223" s="115"/>
      <c r="E223" s="104"/>
      <c r="F223" s="94"/>
      <c r="G223" s="99"/>
      <c r="H223" s="84"/>
    </row>
    <row r="224" ht="3.75" customHeight="1">
      <c r="A224" s="79"/>
      <c r="B224" s="95"/>
      <c r="C224" s="96"/>
      <c r="D224" s="96"/>
      <c r="E224" s="104"/>
      <c r="F224" s="120"/>
      <c r="G224" s="99"/>
      <c r="H224" s="84"/>
    </row>
    <row r="225" ht="18.75" customHeight="1">
      <c r="A225" s="79"/>
      <c r="B225" s="85"/>
      <c r="C225" s="223" t="str">
        <f>IMAGE("https://i.ibb.co/S3Q3SJf/Cue-Ball.png",4,150,150)</f>
        <v/>
      </c>
      <c r="D225" s="224" t="s">
        <v>110</v>
      </c>
      <c r="E225" s="104"/>
      <c r="F225" s="215">
        <v>68.0</v>
      </c>
      <c r="G225" s="99"/>
      <c r="H225" s="84"/>
    </row>
    <row r="226">
      <c r="A226" s="79"/>
      <c r="B226" s="85"/>
      <c r="C226" s="111"/>
      <c r="D226" s="225" t="s">
        <v>109</v>
      </c>
      <c r="E226" s="104"/>
      <c r="F226" s="113"/>
      <c r="G226" s="99"/>
      <c r="H226" s="84"/>
    </row>
    <row r="227" ht="11.25" customHeight="1">
      <c r="A227" s="79"/>
      <c r="B227" s="85"/>
      <c r="C227" s="114"/>
      <c r="D227" s="115"/>
      <c r="E227" s="104"/>
      <c r="F227" s="94"/>
      <c r="G227" s="99"/>
      <c r="H227" s="84"/>
    </row>
    <row r="228" ht="3.75" customHeight="1">
      <c r="A228" s="79"/>
      <c r="B228" s="95"/>
      <c r="C228" s="96"/>
      <c r="D228" s="96"/>
      <c r="E228" s="104"/>
      <c r="F228" s="120"/>
      <c r="G228" s="99"/>
      <c r="H228" s="84"/>
    </row>
    <row r="229" ht="18.75" customHeight="1">
      <c r="A229" s="79"/>
      <c r="B229" s="85"/>
      <c r="C229" s="223" t="str">
        <f>IMAGE("https://i.ibb.co/S3Q3SJf/Cue-Ball.png",4,150,150)</f>
        <v/>
      </c>
      <c r="D229" s="224" t="s">
        <v>111</v>
      </c>
      <c r="E229" s="104"/>
      <c r="F229" s="215">
        <v>68.0</v>
      </c>
      <c r="G229" s="99"/>
      <c r="H229" s="84"/>
    </row>
    <row r="230">
      <c r="A230" s="79"/>
      <c r="B230" s="85"/>
      <c r="C230" s="111"/>
      <c r="D230" s="225" t="s">
        <v>109</v>
      </c>
      <c r="E230" s="104"/>
      <c r="F230" s="113"/>
      <c r="G230" s="99"/>
      <c r="H230" s="84"/>
    </row>
    <row r="231" ht="11.25" customHeight="1">
      <c r="A231" s="79"/>
      <c r="B231" s="85"/>
      <c r="C231" s="114"/>
      <c r="D231" s="115"/>
      <c r="E231" s="104"/>
      <c r="F231" s="94"/>
      <c r="G231" s="99"/>
      <c r="H231" s="84"/>
    </row>
    <row r="232" ht="3.75" customHeight="1">
      <c r="A232" s="79"/>
      <c r="B232" s="95"/>
      <c r="C232" s="96"/>
      <c r="D232" s="96"/>
      <c r="E232" s="104"/>
      <c r="F232" s="120"/>
      <c r="G232" s="99"/>
      <c r="H232" s="84"/>
    </row>
    <row r="233" ht="18.75" customHeight="1">
      <c r="A233" s="79"/>
      <c r="B233" s="85"/>
      <c r="C233" s="223" t="str">
        <f>IMAGE("https://i.ibb.co/mD5zk3m/Biker.png",4,150,150)</f>
        <v/>
      </c>
      <c r="D233" s="224" t="s">
        <v>112</v>
      </c>
      <c r="E233" s="104"/>
      <c r="F233" s="215">
        <v>68.0</v>
      </c>
      <c r="G233" s="99"/>
      <c r="H233" s="84"/>
    </row>
    <row r="234">
      <c r="A234" s="79"/>
      <c r="B234" s="85"/>
      <c r="C234" s="111"/>
      <c r="D234" s="225" t="s">
        <v>109</v>
      </c>
      <c r="E234" s="104"/>
      <c r="F234" s="113"/>
      <c r="G234" s="99"/>
      <c r="H234" s="84"/>
    </row>
    <row r="235" ht="11.25" customHeight="1">
      <c r="A235" s="79"/>
      <c r="B235" s="85"/>
      <c r="C235" s="114"/>
      <c r="D235" s="115"/>
      <c r="E235" s="104"/>
      <c r="F235" s="94"/>
      <c r="G235" s="99"/>
      <c r="H235" s="84"/>
    </row>
    <row r="236" ht="3.75" customHeight="1">
      <c r="A236" s="79"/>
      <c r="B236" s="95"/>
      <c r="C236" s="96"/>
      <c r="D236" s="96"/>
      <c r="E236" s="104"/>
      <c r="F236" s="120"/>
      <c r="G236" s="99"/>
      <c r="H236" s="84"/>
    </row>
    <row r="237" ht="18.75" customHeight="1">
      <c r="A237" s="79"/>
      <c r="B237" s="85"/>
      <c r="C237" s="223" t="str">
        <f>IMAGE("https://i.ibb.co/S3Q3SJf/Cue-Ball.png",4,150,150)</f>
        <v/>
      </c>
      <c r="D237" s="224" t="s">
        <v>113</v>
      </c>
      <c r="E237" s="104"/>
      <c r="F237" s="215">
        <v>68.0</v>
      </c>
      <c r="G237" s="99"/>
      <c r="H237" s="84"/>
    </row>
    <row r="238">
      <c r="A238" s="79"/>
      <c r="B238" s="85"/>
      <c r="C238" s="111"/>
      <c r="D238" s="225" t="s">
        <v>109</v>
      </c>
      <c r="E238" s="104"/>
      <c r="F238" s="113"/>
      <c r="G238" s="99"/>
      <c r="H238" s="84"/>
    </row>
    <row r="239" ht="11.25" customHeight="1">
      <c r="A239" s="79"/>
      <c r="B239" s="85"/>
      <c r="C239" s="114"/>
      <c r="D239" s="115"/>
      <c r="E239" s="104"/>
      <c r="F239" s="94"/>
      <c r="G239" s="99"/>
      <c r="H239" s="84"/>
    </row>
    <row r="240" ht="3.75" customHeight="1">
      <c r="A240" s="79"/>
      <c r="B240" s="95"/>
      <c r="C240" s="96"/>
      <c r="D240" s="96"/>
      <c r="E240" s="104"/>
      <c r="F240" s="120"/>
      <c r="G240" s="99"/>
      <c r="H240" s="84"/>
    </row>
    <row r="241" ht="18.75" customHeight="1">
      <c r="A241" s="79"/>
      <c r="B241" s="85"/>
      <c r="C241" s="223" t="str">
        <f>IMAGE("https://i.ibb.co/mD5zk3m/Biker.png",4,150,150)</f>
        <v/>
      </c>
      <c r="D241" s="224" t="s">
        <v>114</v>
      </c>
      <c r="E241" s="104"/>
      <c r="F241" s="215">
        <v>68.0</v>
      </c>
      <c r="G241" s="99"/>
      <c r="H241" s="84"/>
    </row>
    <row r="242">
      <c r="A242" s="79"/>
      <c r="B242" s="85"/>
      <c r="C242" s="111"/>
      <c r="D242" s="225" t="s">
        <v>109</v>
      </c>
      <c r="E242" s="104"/>
      <c r="F242" s="113"/>
      <c r="G242" s="99"/>
      <c r="H242" s="84"/>
    </row>
    <row r="243" ht="11.25" customHeight="1">
      <c r="A243" s="79"/>
      <c r="B243" s="85"/>
      <c r="C243" s="114"/>
      <c r="D243" s="115"/>
      <c r="E243" s="104"/>
      <c r="F243" s="94"/>
      <c r="G243" s="99"/>
      <c r="H243" s="84"/>
    </row>
    <row r="244" ht="3.75" customHeight="1">
      <c r="A244" s="79"/>
      <c r="B244" s="95"/>
      <c r="C244" s="96"/>
      <c r="D244" s="96"/>
      <c r="E244" s="104"/>
      <c r="F244" s="120"/>
      <c r="G244" s="99"/>
      <c r="H244" s="84"/>
    </row>
    <row r="245" ht="18.75" customHeight="1">
      <c r="A245" s="79"/>
      <c r="B245" s="85"/>
      <c r="C245" s="223" t="str">
        <f>IMAGE("https://i.ibb.co/mD5zk3m/Biker.png",4,150,150)</f>
        <v/>
      </c>
      <c r="D245" s="224" t="s">
        <v>115</v>
      </c>
      <c r="E245" s="104"/>
      <c r="F245" s="215">
        <v>68.0</v>
      </c>
      <c r="G245" s="99"/>
      <c r="H245" s="84"/>
    </row>
    <row r="246">
      <c r="A246" s="79"/>
      <c r="B246" s="85"/>
      <c r="C246" s="111"/>
      <c r="D246" s="225" t="s">
        <v>116</v>
      </c>
      <c r="E246" s="104"/>
      <c r="F246" s="113"/>
      <c r="G246" s="99"/>
      <c r="H246" s="84"/>
    </row>
    <row r="247" ht="11.25" customHeight="1">
      <c r="A247" s="79"/>
      <c r="B247" s="85"/>
      <c r="C247" s="114"/>
      <c r="D247" s="115"/>
      <c r="E247" s="104"/>
      <c r="F247" s="94"/>
      <c r="G247" s="99"/>
      <c r="H247" s="84"/>
    </row>
    <row r="248" ht="3.75" customHeight="1">
      <c r="A248" s="79"/>
      <c r="B248" s="95"/>
      <c r="C248" s="96"/>
      <c r="D248" s="96"/>
      <c r="E248" s="104"/>
      <c r="F248" s="120"/>
      <c r="G248" s="99"/>
      <c r="H248" s="84"/>
    </row>
    <row r="249" ht="18.75" customHeight="1">
      <c r="A249" s="79"/>
      <c r="B249" s="85"/>
      <c r="C249" s="220" t="str">
        <f>IMAGE("https://i.ibb.co/Y2xpLjR/Bird-Keeper.png",4,150,150)</f>
        <v/>
      </c>
      <c r="D249" s="221" t="s">
        <v>117</v>
      </c>
      <c r="E249" s="104"/>
      <c r="F249" s="215">
        <v>68.0</v>
      </c>
      <c r="G249" s="99"/>
      <c r="H249" s="84"/>
    </row>
    <row r="250">
      <c r="A250" s="79"/>
      <c r="B250" s="85"/>
      <c r="C250" s="111"/>
      <c r="D250" s="222" t="s">
        <v>116</v>
      </c>
      <c r="E250" s="104"/>
      <c r="F250" s="113"/>
      <c r="G250" s="99"/>
      <c r="H250" s="84"/>
    </row>
    <row r="251" ht="11.25" customHeight="1">
      <c r="A251" s="79"/>
      <c r="B251" s="85"/>
      <c r="C251" s="114"/>
      <c r="D251" s="115"/>
      <c r="E251" s="104"/>
      <c r="F251" s="94"/>
      <c r="G251" s="99"/>
      <c r="H251" s="84"/>
    </row>
    <row r="252" ht="3.75" customHeight="1">
      <c r="A252" s="79"/>
      <c r="B252" s="95"/>
      <c r="C252" s="96"/>
      <c r="D252" s="96"/>
      <c r="E252" s="104"/>
      <c r="F252" s="120"/>
      <c r="G252" s="99"/>
      <c r="H252" s="84"/>
    </row>
    <row r="253" ht="18.75" customHeight="1">
      <c r="A253" s="100"/>
      <c r="B253" s="101"/>
      <c r="C253" s="102" t="s">
        <v>37</v>
      </c>
      <c r="D253" s="103"/>
      <c r="E253" s="104"/>
      <c r="F253" s="124"/>
      <c r="G253" s="106"/>
      <c r="H253" s="107"/>
    </row>
    <row r="254" ht="18.75" customHeight="1">
      <c r="A254" s="79"/>
      <c r="B254" s="85"/>
      <c r="C254" s="227" t="str">
        <f>IMAGE("https://i.ibb.co/31XckWH/Dragon-Tamer.png",4,150,150)</f>
        <v/>
      </c>
      <c r="D254" s="228" t="s">
        <v>118</v>
      </c>
      <c r="E254" s="104"/>
      <c r="F254" s="215">
        <v>68.0</v>
      </c>
      <c r="G254" s="99"/>
      <c r="H254" s="84"/>
    </row>
    <row r="255">
      <c r="A255" s="79"/>
      <c r="B255" s="85"/>
      <c r="C255" s="111"/>
      <c r="D255" s="229" t="s">
        <v>116</v>
      </c>
      <c r="E255" s="104"/>
      <c r="F255" s="113"/>
      <c r="G255" s="99"/>
      <c r="H255" s="84"/>
    </row>
    <row r="256" ht="11.25" customHeight="1">
      <c r="A256" s="79"/>
      <c r="B256" s="85"/>
      <c r="C256" s="114"/>
      <c r="D256" s="115"/>
      <c r="E256" s="104"/>
      <c r="F256" s="94"/>
      <c r="G256" s="99"/>
      <c r="H256" s="84"/>
    </row>
    <row r="257" ht="3.75" customHeight="1">
      <c r="A257" s="79"/>
      <c r="B257" s="95"/>
      <c r="C257" s="116"/>
      <c r="D257" s="96"/>
      <c r="E257" s="104"/>
      <c r="F257" s="120"/>
      <c r="G257" s="99"/>
      <c r="H257" s="84"/>
    </row>
    <row r="258" ht="18.75" customHeight="1">
      <c r="A258" s="79"/>
      <c r="B258" s="85"/>
      <c r="C258" s="125" t="str">
        <f>IMAGE("https://i.ibb.co/TKBZjnF/Ace-Trainer-M.png",4,150,150)</f>
        <v/>
      </c>
      <c r="D258" s="126" t="s">
        <v>119</v>
      </c>
      <c r="E258" s="104"/>
      <c r="F258" s="215">
        <v>68.0</v>
      </c>
      <c r="G258" s="99"/>
      <c r="H258" s="84"/>
    </row>
    <row r="259">
      <c r="A259" s="79"/>
      <c r="B259" s="85"/>
      <c r="C259" s="111"/>
      <c r="D259" s="127" t="s">
        <v>116</v>
      </c>
      <c r="E259" s="104"/>
      <c r="F259" s="113"/>
      <c r="G259" s="99"/>
      <c r="H259" s="84"/>
    </row>
    <row r="260" ht="11.25" customHeight="1">
      <c r="A260" s="79"/>
      <c r="B260" s="85"/>
      <c r="C260" s="114"/>
      <c r="D260" s="115"/>
      <c r="E260" s="104"/>
      <c r="F260" s="94"/>
      <c r="G260" s="99"/>
      <c r="H260" s="84"/>
    </row>
    <row r="261" ht="3.75" customHeight="1">
      <c r="A261" s="79"/>
      <c r="B261" s="95"/>
      <c r="C261" s="116"/>
      <c r="D261" s="96"/>
      <c r="E261" s="104"/>
      <c r="F261" s="120"/>
      <c r="G261" s="99"/>
      <c r="H261" s="84"/>
    </row>
    <row r="262" ht="18.75" customHeight="1">
      <c r="A262" s="79"/>
      <c r="B262" s="85"/>
      <c r="C262" s="117" t="str">
        <f>IMAGE("https://i.ibb.co/10ZXyNx/Brendan.png",4,150,150)</f>
        <v/>
      </c>
      <c r="D262" s="118" t="s">
        <v>40</v>
      </c>
      <c r="E262" s="104"/>
      <c r="F262" s="215">
        <v>68.0</v>
      </c>
      <c r="G262" s="99"/>
      <c r="H262" s="84"/>
    </row>
    <row r="263">
      <c r="A263" s="79"/>
      <c r="B263" s="85"/>
      <c r="C263" s="111"/>
      <c r="D263" s="119" t="s">
        <v>120</v>
      </c>
      <c r="E263" s="104"/>
      <c r="F263" s="113"/>
      <c r="G263" s="99"/>
      <c r="H263" s="84"/>
    </row>
    <row r="264" ht="11.25" customHeight="1">
      <c r="A264" s="79"/>
      <c r="B264" s="85"/>
      <c r="C264" s="114"/>
      <c r="D264" s="115"/>
      <c r="E264" s="104"/>
      <c r="F264" s="94"/>
      <c r="G264" s="99"/>
      <c r="H264" s="84"/>
    </row>
    <row r="265" ht="3.75" customHeight="1">
      <c r="A265" s="79"/>
      <c r="B265" s="95"/>
      <c r="C265" s="116"/>
      <c r="D265" s="96"/>
      <c r="E265" s="104"/>
      <c r="F265" s="97"/>
      <c r="G265" s="99"/>
      <c r="H265" s="84"/>
    </row>
    <row r="266" ht="18.75" customHeight="1">
      <c r="A266" s="79"/>
      <c r="B266" s="85"/>
      <c r="C266" s="131" t="str">
        <f>IMAGE("https://i.ibb.co/RBhc6sL/Brock.png",4,150,150)</f>
        <v/>
      </c>
      <c r="D266" s="132" t="s">
        <v>121</v>
      </c>
      <c r="E266" s="104"/>
      <c r="F266" s="192">
        <v>59.0</v>
      </c>
      <c r="G266" s="90"/>
      <c r="H266" s="84"/>
    </row>
    <row r="267">
      <c r="A267" s="79"/>
      <c r="B267" s="85"/>
      <c r="C267" s="111"/>
      <c r="D267" s="133" t="s">
        <v>45</v>
      </c>
      <c r="E267" s="104"/>
      <c r="F267" s="113"/>
      <c r="G267" s="90"/>
      <c r="H267" s="84"/>
    </row>
    <row r="268" ht="11.25" customHeight="1">
      <c r="A268" s="79"/>
      <c r="B268" s="85"/>
      <c r="C268" s="114"/>
      <c r="D268" s="115"/>
      <c r="E268" s="104"/>
      <c r="F268" s="94"/>
      <c r="G268" s="90"/>
      <c r="H268" s="84"/>
    </row>
    <row r="269" ht="3.75" customHeight="1">
      <c r="A269" s="79"/>
      <c r="B269" s="95"/>
      <c r="C269" s="96"/>
      <c r="D269" s="96"/>
      <c r="E269" s="104"/>
      <c r="F269" s="116"/>
      <c r="G269" s="99"/>
      <c r="H269" s="84"/>
    </row>
    <row r="270" ht="18.75" customHeight="1">
      <c r="A270" s="79"/>
      <c r="B270" s="85"/>
      <c r="C270" s="230" t="str">
        <f>IMAGE("https://i.ibb.co/hZTdVGf/Misty.png",4,150,150)</f>
        <v/>
      </c>
      <c r="D270" s="160" t="s">
        <v>122</v>
      </c>
      <c r="E270" s="104"/>
      <c r="F270" s="192">
        <v>59.0</v>
      </c>
      <c r="G270" s="99"/>
      <c r="H270" s="84"/>
    </row>
    <row r="271">
      <c r="A271" s="79"/>
      <c r="B271" s="85"/>
      <c r="C271" s="111"/>
      <c r="D271" s="162" t="s">
        <v>50</v>
      </c>
      <c r="E271" s="104"/>
      <c r="F271" s="113"/>
      <c r="G271" s="99"/>
      <c r="H271" s="84"/>
    </row>
    <row r="272" ht="11.25" customHeight="1">
      <c r="A272" s="79"/>
      <c r="B272" s="85"/>
      <c r="C272" s="114"/>
      <c r="D272" s="115"/>
      <c r="E272" s="104"/>
      <c r="F272" s="94"/>
      <c r="G272" s="99"/>
      <c r="H272" s="84"/>
    </row>
    <row r="273" ht="3.75" customHeight="1">
      <c r="A273" s="79"/>
      <c r="B273" s="95"/>
      <c r="C273" s="96"/>
      <c r="D273" s="96"/>
      <c r="E273" s="104"/>
      <c r="F273" s="120"/>
      <c r="G273" s="99"/>
      <c r="H273" s="84"/>
    </row>
    <row r="274" ht="18.75" customHeight="1">
      <c r="A274" s="79"/>
      <c r="B274" s="85"/>
      <c r="C274" s="173" t="str">
        <f>IMAGE("https://i.ibb.co/w6kjj5K/Surge.png",4,150,150)</f>
        <v/>
      </c>
      <c r="D274" s="174" t="s">
        <v>123</v>
      </c>
      <c r="E274" s="104"/>
      <c r="F274" s="192">
        <v>59.0</v>
      </c>
      <c r="G274" s="99"/>
      <c r="H274" s="84"/>
    </row>
    <row r="275">
      <c r="A275" s="79"/>
      <c r="B275" s="85"/>
      <c r="C275" s="111"/>
      <c r="D275" s="176" t="s">
        <v>68</v>
      </c>
      <c r="E275" s="104"/>
      <c r="F275" s="113"/>
      <c r="G275" s="99"/>
      <c r="H275" s="84"/>
    </row>
    <row r="276" ht="11.25" customHeight="1">
      <c r="A276" s="79"/>
      <c r="B276" s="85"/>
      <c r="C276" s="114"/>
      <c r="D276" s="115"/>
      <c r="E276" s="104"/>
      <c r="F276" s="94"/>
      <c r="G276" s="99"/>
      <c r="H276" s="84"/>
    </row>
    <row r="277" ht="3.75" customHeight="1">
      <c r="A277" s="79"/>
      <c r="B277" s="95"/>
      <c r="C277" s="96"/>
      <c r="D277" s="96"/>
      <c r="E277" s="104"/>
      <c r="F277" s="120"/>
      <c r="G277" s="99"/>
      <c r="H277" s="84"/>
    </row>
    <row r="278" ht="18.75" customHeight="1">
      <c r="A278" s="100"/>
      <c r="B278" s="101"/>
      <c r="C278" s="102" t="s">
        <v>37</v>
      </c>
      <c r="D278" s="103"/>
      <c r="E278" s="104"/>
      <c r="F278" s="124"/>
      <c r="G278" s="106"/>
      <c r="H278" s="107"/>
    </row>
    <row r="279" ht="18.75" customHeight="1">
      <c r="A279" s="79"/>
      <c r="B279" s="85"/>
      <c r="C279" s="231" t="str">
        <f>IMAGE("https://i.ibb.co/MPXzmB0/Erika.png",4,150,150)</f>
        <v/>
      </c>
      <c r="D279" s="182" t="s">
        <v>124</v>
      </c>
      <c r="E279" s="104"/>
      <c r="F279" s="215">
        <v>68.0</v>
      </c>
      <c r="G279" s="99"/>
      <c r="H279" s="84"/>
    </row>
    <row r="280">
      <c r="A280" s="79"/>
      <c r="B280" s="85"/>
      <c r="C280" s="111"/>
      <c r="D280" s="185" t="s">
        <v>74</v>
      </c>
      <c r="E280" s="104"/>
      <c r="F280" s="113"/>
      <c r="G280" s="99"/>
      <c r="H280" s="84"/>
    </row>
    <row r="281" ht="11.25" customHeight="1">
      <c r="A281" s="79"/>
      <c r="B281" s="85"/>
      <c r="C281" s="114"/>
      <c r="D281" s="115"/>
      <c r="E281" s="104"/>
      <c r="F281" s="94"/>
      <c r="G281" s="99"/>
      <c r="H281" s="84"/>
    </row>
    <row r="282" ht="3.75" customHeight="1">
      <c r="A282" s="79"/>
      <c r="B282" s="95"/>
      <c r="C282" s="96"/>
      <c r="D282" s="96"/>
      <c r="E282" s="104"/>
      <c r="F282" s="120"/>
      <c r="G282" s="99"/>
      <c r="H282" s="84"/>
    </row>
    <row r="283" ht="18.75" customHeight="1">
      <c r="A283" s="79"/>
      <c r="B283" s="85"/>
      <c r="C283" s="232" t="str">
        <f>IMAGE("https://i.ibb.co/9Z7mxG1/Koga.png",4,150,150)</f>
        <v/>
      </c>
      <c r="D283" s="233" t="s">
        <v>125</v>
      </c>
      <c r="E283" s="104"/>
      <c r="F283" s="215">
        <v>68.0</v>
      </c>
      <c r="G283" s="99"/>
      <c r="H283" s="84"/>
    </row>
    <row r="284">
      <c r="A284" s="79"/>
      <c r="B284" s="85"/>
      <c r="C284" s="111"/>
      <c r="D284" s="234" t="s">
        <v>126</v>
      </c>
      <c r="E284" s="104"/>
      <c r="F284" s="113"/>
      <c r="G284" s="99"/>
      <c r="H284" s="84"/>
    </row>
    <row r="285" ht="11.25" customHeight="1">
      <c r="A285" s="79"/>
      <c r="B285" s="85"/>
      <c r="C285" s="114"/>
      <c r="D285" s="115"/>
      <c r="E285" s="104"/>
      <c r="F285" s="94"/>
      <c r="G285" s="99"/>
      <c r="H285" s="84"/>
    </row>
    <row r="286" ht="3.75" customHeight="1">
      <c r="A286" s="79"/>
      <c r="B286" s="95"/>
      <c r="C286" s="116"/>
      <c r="D286" s="96"/>
      <c r="E286" s="104"/>
      <c r="F286" s="120"/>
      <c r="G286" s="99"/>
      <c r="H286" s="84"/>
    </row>
    <row r="287" ht="18.75" customHeight="1">
      <c r="A287" s="100"/>
      <c r="B287" s="101"/>
      <c r="C287" s="102" t="s">
        <v>37</v>
      </c>
      <c r="D287" s="103"/>
      <c r="E287" s="104"/>
      <c r="F287" s="105"/>
      <c r="G287" s="106"/>
      <c r="H287" s="107"/>
    </row>
    <row r="288" ht="18.75" customHeight="1">
      <c r="A288" s="79"/>
      <c r="B288" s="85"/>
      <c r="C288" s="235" t="str">
        <f>IMAGE("https://i.ibb.co/9WyvcHC/Jojo-Fan.png",4,150,150)</f>
        <v/>
      </c>
      <c r="D288" s="236" t="s">
        <v>127</v>
      </c>
      <c r="E288" s="104"/>
      <c r="F288" s="237">
        <v>73.0</v>
      </c>
      <c r="G288" s="90"/>
      <c r="H288" s="84"/>
    </row>
    <row r="289">
      <c r="A289" s="79"/>
      <c r="B289" s="85"/>
      <c r="C289" s="111"/>
      <c r="D289" s="238" t="s">
        <v>128</v>
      </c>
      <c r="E289" s="104"/>
      <c r="F289" s="113"/>
      <c r="G289" s="90"/>
      <c r="H289" s="84"/>
    </row>
    <row r="290" ht="11.25" customHeight="1">
      <c r="A290" s="79"/>
      <c r="B290" s="85"/>
      <c r="C290" s="114"/>
      <c r="D290" s="115"/>
      <c r="E290" s="104"/>
      <c r="F290" s="94"/>
      <c r="G290" s="90"/>
      <c r="H290" s="84"/>
    </row>
    <row r="291" ht="3.75" customHeight="1">
      <c r="A291" s="79"/>
      <c r="B291" s="95"/>
      <c r="C291" s="116"/>
      <c r="D291" s="96"/>
      <c r="E291" s="104"/>
      <c r="F291" s="116"/>
      <c r="G291" s="99"/>
      <c r="H291" s="84"/>
    </row>
    <row r="292" ht="18.75" customHeight="1">
      <c r="A292" s="100"/>
      <c r="B292" s="101"/>
      <c r="C292" s="102" t="s">
        <v>37</v>
      </c>
      <c r="D292" s="103"/>
      <c r="E292" s="104"/>
      <c r="F292" s="124"/>
      <c r="G292" s="106"/>
      <c r="H292" s="107"/>
    </row>
    <row r="293" ht="18.75" customHeight="1">
      <c r="A293" s="79"/>
      <c r="B293" s="85"/>
      <c r="C293" s="239" t="str">
        <f>IMAGE("https://i.ibb.co/gwfwStJ/Pryce.png",4,150,150)</f>
        <v/>
      </c>
      <c r="D293" s="240" t="s">
        <v>129</v>
      </c>
      <c r="E293" s="104"/>
      <c r="F293" s="237">
        <v>73.0</v>
      </c>
      <c r="G293" s="99"/>
      <c r="H293" s="84"/>
    </row>
    <row r="294">
      <c r="A294" s="79"/>
      <c r="B294" s="85"/>
      <c r="C294" s="111"/>
      <c r="D294" s="241" t="s">
        <v>130</v>
      </c>
      <c r="E294" s="104"/>
      <c r="F294" s="113"/>
      <c r="G294" s="99"/>
      <c r="H294" s="84"/>
    </row>
    <row r="295" ht="11.25" customHeight="1">
      <c r="A295" s="79"/>
      <c r="B295" s="85"/>
      <c r="C295" s="114"/>
      <c r="D295" s="115"/>
      <c r="E295" s="104"/>
      <c r="F295" s="94"/>
      <c r="G295" s="99"/>
      <c r="H295" s="84"/>
    </row>
    <row r="296" ht="3.75" customHeight="1">
      <c r="A296" s="79"/>
      <c r="B296" s="95"/>
      <c r="C296" s="116"/>
      <c r="D296" s="96"/>
      <c r="E296" s="104"/>
      <c r="F296" s="120"/>
      <c r="G296" s="99"/>
      <c r="H296" s="84"/>
    </row>
    <row r="297" ht="18.75" customHeight="1">
      <c r="A297" s="79"/>
      <c r="B297" s="85"/>
      <c r="C297" s="242" t="str">
        <f>IMAGE("https://i.ibb.co/5Y4g02T/May.png",4,150,150)</f>
        <v/>
      </c>
      <c r="D297" s="243" t="s">
        <v>131</v>
      </c>
      <c r="E297" s="104"/>
      <c r="F297" s="237">
        <v>73.0</v>
      </c>
      <c r="G297" s="99"/>
      <c r="H297" s="84"/>
    </row>
    <row r="298">
      <c r="A298" s="79"/>
      <c r="B298" s="85"/>
      <c r="C298" s="111"/>
      <c r="D298" s="244" t="s">
        <v>132</v>
      </c>
      <c r="E298" s="104"/>
      <c r="F298" s="113"/>
      <c r="G298" s="99"/>
      <c r="H298" s="84"/>
    </row>
    <row r="299" ht="11.25" customHeight="1">
      <c r="A299" s="79"/>
      <c r="B299" s="85"/>
      <c r="C299" s="114"/>
      <c r="D299" s="115"/>
      <c r="E299" s="104"/>
      <c r="F299" s="94"/>
      <c r="G299" s="99"/>
      <c r="H299" s="84"/>
    </row>
    <row r="300" ht="3.75" customHeight="1">
      <c r="A300" s="79"/>
      <c r="B300" s="95"/>
      <c r="C300" s="96"/>
      <c r="D300" s="96"/>
      <c r="E300" s="104"/>
      <c r="F300" s="120"/>
      <c r="G300" s="99"/>
      <c r="H300" s="84"/>
    </row>
    <row r="301" ht="18.75" customHeight="1">
      <c r="A301" s="100"/>
      <c r="B301" s="101"/>
      <c r="C301" s="102" t="s">
        <v>37</v>
      </c>
      <c r="D301" s="103"/>
      <c r="E301" s="104"/>
      <c r="F301" s="124"/>
      <c r="G301" s="106"/>
      <c r="H301" s="107"/>
    </row>
    <row r="302" ht="18.75" customHeight="1">
      <c r="A302" s="79"/>
      <c r="B302" s="85"/>
      <c r="C302" s="245" t="str">
        <f>IMAGE("https://i.ibb.co/gSJKyHq/Jasmine.png",4,150,150)</f>
        <v/>
      </c>
      <c r="D302" s="246" t="s">
        <v>133</v>
      </c>
      <c r="E302" s="104"/>
      <c r="F302" s="237">
        <v>73.0</v>
      </c>
      <c r="G302" s="99"/>
      <c r="H302" s="84"/>
    </row>
    <row r="303">
      <c r="A303" s="79"/>
      <c r="B303" s="85"/>
      <c r="C303" s="111"/>
      <c r="D303" s="247" t="s">
        <v>134</v>
      </c>
      <c r="E303" s="104"/>
      <c r="F303" s="113"/>
      <c r="G303" s="99"/>
      <c r="H303" s="84"/>
    </row>
    <row r="304" ht="11.25" customHeight="1">
      <c r="A304" s="79"/>
      <c r="B304" s="85"/>
      <c r="C304" s="114"/>
      <c r="D304" s="115"/>
      <c r="E304" s="104"/>
      <c r="F304" s="94"/>
      <c r="G304" s="99"/>
      <c r="H304" s="84"/>
    </row>
    <row r="305" ht="3.75" customHeight="1">
      <c r="A305" s="79"/>
      <c r="B305" s="95"/>
      <c r="C305" s="116"/>
      <c r="D305" s="96"/>
      <c r="E305" s="104"/>
      <c r="F305" s="97"/>
      <c r="G305" s="99"/>
      <c r="H305" s="84"/>
    </row>
    <row r="306" ht="18.75" customHeight="1">
      <c r="A306" s="79"/>
      <c r="B306" s="85"/>
      <c r="C306" s="125" t="str">
        <f>IMAGE("https://i.ibb.co/TKBZjnF/Ace-Trainer-M.png",4,150,150)</f>
        <v/>
      </c>
      <c r="D306" s="126" t="s">
        <v>135</v>
      </c>
      <c r="E306" s="104"/>
      <c r="F306" s="248">
        <v>76.0</v>
      </c>
      <c r="G306" s="90"/>
      <c r="H306" s="84"/>
    </row>
    <row r="307">
      <c r="A307" s="79"/>
      <c r="B307" s="85"/>
      <c r="C307" s="111"/>
      <c r="D307" s="127" t="s">
        <v>136</v>
      </c>
      <c r="E307" s="104"/>
      <c r="F307" s="113"/>
      <c r="G307" s="90"/>
      <c r="H307" s="84"/>
    </row>
    <row r="308" ht="11.25" customHeight="1">
      <c r="A308" s="79"/>
      <c r="B308" s="85"/>
      <c r="C308" s="114"/>
      <c r="D308" s="115"/>
      <c r="E308" s="104"/>
      <c r="F308" s="94"/>
      <c r="G308" s="90"/>
      <c r="H308" s="84"/>
    </row>
    <row r="309" ht="3.75" customHeight="1">
      <c r="A309" s="79"/>
      <c r="B309" s="95"/>
      <c r="C309" s="116"/>
      <c r="D309" s="96"/>
      <c r="E309" s="104"/>
      <c r="F309" s="116"/>
      <c r="G309" s="99"/>
      <c r="H309" s="84"/>
    </row>
    <row r="310" ht="18.75" customHeight="1">
      <c r="A310" s="79"/>
      <c r="B310" s="85"/>
      <c r="C310" s="125" t="str">
        <f>IMAGE("https://i.ibb.co/26kF6WW/Ace-Trainer-F.png",4,150,150)</f>
        <v/>
      </c>
      <c r="D310" s="126" t="s">
        <v>137</v>
      </c>
      <c r="E310" s="104"/>
      <c r="F310" s="248">
        <v>76.0</v>
      </c>
      <c r="G310" s="99"/>
      <c r="H310" s="84"/>
    </row>
    <row r="311">
      <c r="A311" s="79"/>
      <c r="B311" s="85"/>
      <c r="C311" s="111"/>
      <c r="D311" s="127" t="s">
        <v>136</v>
      </c>
      <c r="E311" s="104"/>
      <c r="F311" s="113"/>
      <c r="G311" s="99"/>
      <c r="H311" s="84"/>
    </row>
    <row r="312" ht="11.25" customHeight="1">
      <c r="A312" s="79"/>
      <c r="B312" s="85"/>
      <c r="C312" s="114"/>
      <c r="D312" s="115"/>
      <c r="E312" s="104"/>
      <c r="F312" s="94"/>
      <c r="G312" s="99"/>
      <c r="H312" s="84"/>
    </row>
    <row r="313" ht="3.75" customHeight="1">
      <c r="A313" s="79"/>
      <c r="B313" s="95"/>
      <c r="C313" s="116"/>
      <c r="D313" s="96"/>
      <c r="E313" s="104"/>
      <c r="F313" s="120"/>
      <c r="G313" s="99"/>
      <c r="H313" s="84"/>
    </row>
    <row r="314" ht="18.75" customHeight="1">
      <c r="A314" s="79"/>
      <c r="B314" s="85"/>
      <c r="C314" s="125" t="str">
        <f>IMAGE("https://i.ibb.co/TKBZjnF/Ace-Trainer-M.png",4,150,150)</f>
        <v/>
      </c>
      <c r="D314" s="126" t="s">
        <v>138</v>
      </c>
      <c r="E314" s="104"/>
      <c r="F314" s="248">
        <v>76.0</v>
      </c>
      <c r="G314" s="99"/>
      <c r="H314" s="84"/>
    </row>
    <row r="315">
      <c r="A315" s="79"/>
      <c r="B315" s="85"/>
      <c r="C315" s="111"/>
      <c r="D315" s="127" t="s">
        <v>136</v>
      </c>
      <c r="E315" s="104"/>
      <c r="F315" s="113"/>
      <c r="G315" s="99"/>
      <c r="H315" s="84"/>
    </row>
    <row r="316" ht="11.25" customHeight="1">
      <c r="A316" s="79"/>
      <c r="B316" s="85"/>
      <c r="C316" s="114"/>
      <c r="D316" s="115"/>
      <c r="E316" s="104"/>
      <c r="F316" s="94"/>
      <c r="G316" s="99"/>
      <c r="H316" s="84"/>
    </row>
    <row r="317" ht="3.75" customHeight="1">
      <c r="A317" s="79"/>
      <c r="B317" s="95"/>
      <c r="C317" s="96"/>
      <c r="D317" s="96"/>
      <c r="E317" s="104"/>
      <c r="F317" s="120"/>
      <c r="G317" s="99"/>
      <c r="H317" s="84"/>
    </row>
    <row r="318" ht="18.75" customHeight="1">
      <c r="A318" s="79"/>
      <c r="B318" s="85"/>
      <c r="C318" s="249" t="str">
        <f>IMAGE("https://i.ibb.co/zQPJrBn/Blaine.png",4,150,150)</f>
        <v/>
      </c>
      <c r="D318" s="250" t="s">
        <v>139</v>
      </c>
      <c r="E318" s="104"/>
      <c r="F318" s="248">
        <v>76.0</v>
      </c>
      <c r="G318" s="99"/>
      <c r="H318" s="84"/>
    </row>
    <row r="319">
      <c r="A319" s="79"/>
      <c r="B319" s="85"/>
      <c r="C319" s="111"/>
      <c r="D319" s="251" t="s">
        <v>132</v>
      </c>
      <c r="E319" s="104"/>
      <c r="F319" s="113"/>
      <c r="G319" s="99"/>
      <c r="H319" s="84"/>
    </row>
    <row r="320" ht="11.25" customHeight="1">
      <c r="A320" s="79"/>
      <c r="B320" s="85"/>
      <c r="C320" s="114"/>
      <c r="D320" s="115"/>
      <c r="E320" s="104"/>
      <c r="F320" s="94"/>
      <c r="G320" s="99"/>
      <c r="H320" s="84"/>
    </row>
    <row r="321" ht="3.75" customHeight="1">
      <c r="A321" s="79"/>
      <c r="B321" s="95"/>
      <c r="C321" s="116"/>
      <c r="D321" s="96"/>
      <c r="E321" s="104"/>
      <c r="F321" s="97"/>
      <c r="G321" s="99"/>
      <c r="H321" s="84"/>
    </row>
    <row r="322" ht="18.75" customHeight="1">
      <c r="A322" s="79"/>
      <c r="B322" s="85"/>
      <c r="C322" s="138" t="str">
        <f>IMAGE("https://i.ibb.co/xhnkr2Z/Archer.png",4,150,150)</f>
        <v/>
      </c>
      <c r="D322" s="139" t="s">
        <v>49</v>
      </c>
      <c r="E322" s="104"/>
      <c r="F322" s="252">
        <v>79.0</v>
      </c>
      <c r="G322" s="90"/>
      <c r="H322" s="84"/>
    </row>
    <row r="323">
      <c r="A323" s="79"/>
      <c r="B323" s="85"/>
      <c r="C323" s="111"/>
      <c r="D323" s="140" t="s">
        <v>140</v>
      </c>
      <c r="E323" s="104"/>
      <c r="F323" s="113"/>
      <c r="G323" s="90"/>
      <c r="H323" s="84"/>
    </row>
    <row r="324" ht="11.25" customHeight="1">
      <c r="A324" s="79"/>
      <c r="B324" s="85"/>
      <c r="C324" s="114"/>
      <c r="D324" s="115"/>
      <c r="E324" s="104"/>
      <c r="F324" s="113"/>
      <c r="G324" s="90"/>
      <c r="H324" s="84"/>
    </row>
    <row r="325" ht="3.75" customHeight="1">
      <c r="A325" s="79"/>
      <c r="B325" s="95"/>
      <c r="C325" s="116"/>
      <c r="D325" s="96"/>
      <c r="E325" s="104"/>
      <c r="F325" s="113"/>
      <c r="G325" s="90"/>
      <c r="H325" s="84"/>
    </row>
    <row r="326" ht="18.75" customHeight="1">
      <c r="A326" s="79"/>
      <c r="B326" s="85"/>
      <c r="C326" s="253" t="str">
        <f>IMAGE("https://i.ibb.co/C1sDSFR/Ariana.png",4,150,150)</f>
        <v/>
      </c>
      <c r="D326" s="254" t="s">
        <v>141</v>
      </c>
      <c r="E326" s="104"/>
      <c r="F326" s="113"/>
      <c r="G326" s="90"/>
      <c r="H326" s="84"/>
    </row>
    <row r="327">
      <c r="A327" s="79"/>
      <c r="B327" s="85"/>
      <c r="C327" s="111"/>
      <c r="D327" s="255" t="s">
        <v>140</v>
      </c>
      <c r="E327" s="104"/>
      <c r="F327" s="113"/>
      <c r="G327" s="90"/>
      <c r="H327" s="84"/>
    </row>
    <row r="328" ht="11.25" customHeight="1">
      <c r="A328" s="79"/>
      <c r="B328" s="85"/>
      <c r="C328" s="114"/>
      <c r="D328" s="115"/>
      <c r="E328" s="104"/>
      <c r="F328" s="94"/>
      <c r="G328" s="90"/>
      <c r="H328" s="84"/>
    </row>
    <row r="329" ht="3.75" customHeight="1">
      <c r="A329" s="79"/>
      <c r="B329" s="95"/>
      <c r="C329" s="96"/>
      <c r="D329" s="96"/>
      <c r="E329" s="104"/>
      <c r="F329" s="96"/>
      <c r="G329" s="99"/>
      <c r="H329" s="84"/>
    </row>
    <row r="330" ht="18.75" customHeight="1">
      <c r="A330" s="79"/>
      <c r="B330" s="85"/>
      <c r="C330" s="189" t="str">
        <f>IMAGE("https://i.ibb.co/WfLWZS3/Giovanni.png",4,150,150)</f>
        <v/>
      </c>
      <c r="D330" s="190" t="s">
        <v>80</v>
      </c>
      <c r="E330" s="104"/>
      <c r="F330" s="256">
        <v>80.0</v>
      </c>
      <c r="G330" s="90"/>
      <c r="H330" s="84"/>
    </row>
    <row r="331">
      <c r="A331" s="79"/>
      <c r="B331" s="85"/>
      <c r="C331" s="111"/>
      <c r="D331" s="191" t="s">
        <v>140</v>
      </c>
      <c r="E331" s="104"/>
      <c r="F331" s="113"/>
      <c r="G331" s="90"/>
      <c r="H331" s="84"/>
    </row>
    <row r="332" ht="11.25" customHeight="1">
      <c r="A332" s="79"/>
      <c r="B332" s="85"/>
      <c r="C332" s="114"/>
      <c r="D332" s="115"/>
      <c r="E332" s="104"/>
      <c r="F332" s="94"/>
      <c r="G332" s="90"/>
      <c r="H332" s="84"/>
    </row>
    <row r="333" ht="3.75" customHeight="1">
      <c r="A333" s="79"/>
      <c r="B333" s="95"/>
      <c r="C333" s="116"/>
      <c r="D333" s="96"/>
      <c r="E333" s="104"/>
      <c r="F333" s="116"/>
      <c r="G333" s="99"/>
      <c r="H333" s="84"/>
    </row>
    <row r="334" ht="18.75" customHeight="1">
      <c r="A334" s="100"/>
      <c r="B334" s="101"/>
      <c r="C334" s="102" t="s">
        <v>37</v>
      </c>
      <c r="D334" s="103"/>
      <c r="E334" s="104"/>
      <c r="F334" s="105"/>
      <c r="G334" s="106"/>
      <c r="H334" s="107"/>
    </row>
    <row r="335" ht="18.75" customHeight="1">
      <c r="A335" s="79"/>
      <c r="B335" s="85"/>
      <c r="C335" s="257" t="str">
        <f>IMAGE("https://i.ibb.co/kG5s536/Ketchup.png",4,150,150)</f>
        <v/>
      </c>
      <c r="D335" s="258" t="s">
        <v>142</v>
      </c>
      <c r="E335" s="104"/>
      <c r="F335" s="259">
        <v>81.0</v>
      </c>
      <c r="G335" s="90"/>
      <c r="H335" s="84"/>
    </row>
    <row r="336">
      <c r="A336" s="79"/>
      <c r="B336" s="85"/>
      <c r="C336" s="111"/>
      <c r="D336" s="260" t="s">
        <v>140</v>
      </c>
      <c r="E336" s="104"/>
      <c r="F336" s="113"/>
      <c r="G336" s="90"/>
      <c r="H336" s="84"/>
    </row>
    <row r="337" ht="11.25" customHeight="1">
      <c r="A337" s="79"/>
      <c r="B337" s="85"/>
      <c r="C337" s="114"/>
      <c r="D337" s="115"/>
      <c r="E337" s="104"/>
      <c r="F337" s="94"/>
      <c r="G337" s="90"/>
      <c r="H337" s="84"/>
    </row>
    <row r="338" ht="3.75" customHeight="1">
      <c r="A338" s="79"/>
      <c r="B338" s="95"/>
      <c r="C338" s="96"/>
      <c r="D338" s="96"/>
      <c r="E338" s="104"/>
      <c r="F338" s="116"/>
      <c r="G338" s="99"/>
      <c r="H338" s="84"/>
    </row>
    <row r="339" ht="18.75" customHeight="1">
      <c r="A339" s="79"/>
      <c r="B339" s="85"/>
      <c r="C339" s="261" t="str">
        <f>IMAGE("https://i.ibb.co/yFkD5QH/Clair.png",4,150,150)</f>
        <v/>
      </c>
      <c r="D339" s="262" t="s">
        <v>143</v>
      </c>
      <c r="E339" s="104"/>
      <c r="F339" s="259">
        <v>81.0</v>
      </c>
      <c r="G339" s="99"/>
      <c r="H339" s="84"/>
    </row>
    <row r="340">
      <c r="A340" s="79"/>
      <c r="B340" s="85"/>
      <c r="C340" s="111"/>
      <c r="D340" s="263" t="s">
        <v>144</v>
      </c>
      <c r="E340" s="104"/>
      <c r="F340" s="113"/>
      <c r="G340" s="99"/>
      <c r="H340" s="84"/>
    </row>
    <row r="341" ht="11.25" customHeight="1">
      <c r="A341" s="79"/>
      <c r="B341" s="85"/>
      <c r="C341" s="114"/>
      <c r="D341" s="115"/>
      <c r="E341" s="104"/>
      <c r="F341" s="94"/>
      <c r="G341" s="99"/>
      <c r="H341" s="84"/>
    </row>
    <row r="342" ht="3.75" customHeight="1">
      <c r="A342" s="79"/>
      <c r="B342" s="95"/>
      <c r="C342" s="116"/>
      <c r="D342" s="96"/>
      <c r="E342" s="104"/>
      <c r="F342" s="120"/>
      <c r="G342" s="99"/>
      <c r="H342" s="84"/>
    </row>
    <row r="343" ht="18.75" customHeight="1">
      <c r="A343" s="100"/>
      <c r="B343" s="101"/>
      <c r="C343" s="102" t="s">
        <v>37</v>
      </c>
      <c r="D343" s="103"/>
      <c r="E343" s="104"/>
      <c r="F343" s="105"/>
      <c r="G343" s="106"/>
      <c r="H343" s="107"/>
    </row>
    <row r="344" ht="18.75" customHeight="1">
      <c r="A344" s="79"/>
      <c r="B344" s="85"/>
      <c r="C344" s="264" t="str">
        <f>IMAGE("https://i.ibb.co/fDXSjSY/Burglar.png",4,150,150)</f>
        <v/>
      </c>
      <c r="D344" s="265" t="s">
        <v>145</v>
      </c>
      <c r="E344" s="104"/>
      <c r="F344" s="266">
        <v>82.0</v>
      </c>
      <c r="G344" s="90"/>
      <c r="H344" s="84"/>
    </row>
    <row r="345">
      <c r="A345" s="79"/>
      <c r="B345" s="85"/>
      <c r="C345" s="111"/>
      <c r="D345" s="267" t="s">
        <v>146</v>
      </c>
      <c r="E345" s="104"/>
      <c r="F345" s="113"/>
      <c r="G345" s="90"/>
      <c r="H345" s="84"/>
    </row>
    <row r="346" ht="11.25" customHeight="1">
      <c r="A346" s="79"/>
      <c r="B346" s="85"/>
      <c r="C346" s="114"/>
      <c r="D346" s="115"/>
      <c r="E346" s="104"/>
      <c r="F346" s="94"/>
      <c r="G346" s="90"/>
      <c r="H346" s="84"/>
    </row>
    <row r="347" ht="3.75" customHeight="1">
      <c r="A347" s="79"/>
      <c r="B347" s="95"/>
      <c r="C347" s="116"/>
      <c r="D347" s="96"/>
      <c r="E347" s="104"/>
      <c r="F347" s="116"/>
      <c r="G347" s="99"/>
      <c r="H347" s="84"/>
    </row>
    <row r="348" ht="18.75" customHeight="1">
      <c r="A348" s="100"/>
      <c r="B348" s="101"/>
      <c r="C348" s="102" t="s">
        <v>37</v>
      </c>
      <c r="D348" s="103"/>
      <c r="E348" s="104"/>
      <c r="F348" s="124"/>
      <c r="G348" s="106"/>
      <c r="H348" s="107"/>
    </row>
    <row r="349" ht="18.75" customHeight="1">
      <c r="A349" s="79"/>
      <c r="B349" s="85"/>
      <c r="C349" s="264" t="str">
        <f>IMAGE("https://i.ibb.co/fDXSjSY/Burglar.png",4,150,150)</f>
        <v/>
      </c>
      <c r="D349" s="265" t="s">
        <v>147</v>
      </c>
      <c r="E349" s="104"/>
      <c r="F349" s="266">
        <v>82.0</v>
      </c>
      <c r="G349" s="99"/>
      <c r="H349" s="84"/>
    </row>
    <row r="350">
      <c r="A350" s="79"/>
      <c r="B350" s="85"/>
      <c r="C350" s="111"/>
      <c r="D350" s="267" t="s">
        <v>146</v>
      </c>
      <c r="E350" s="104"/>
      <c r="F350" s="113"/>
      <c r="G350" s="99"/>
      <c r="H350" s="84"/>
    </row>
    <row r="351" ht="11.25" customHeight="1">
      <c r="A351" s="79"/>
      <c r="B351" s="85"/>
      <c r="C351" s="114"/>
      <c r="D351" s="115"/>
      <c r="E351" s="104"/>
      <c r="F351" s="94"/>
      <c r="G351" s="99"/>
      <c r="H351" s="84"/>
    </row>
    <row r="352" ht="3.75" customHeight="1">
      <c r="A352" s="79"/>
      <c r="B352" s="95"/>
      <c r="C352" s="116"/>
      <c r="D352" s="96"/>
      <c r="E352" s="104"/>
      <c r="F352" s="120"/>
      <c r="G352" s="99"/>
      <c r="H352" s="84"/>
    </row>
    <row r="353" ht="18.75" customHeight="1">
      <c r="A353" s="79"/>
      <c r="B353" s="85"/>
      <c r="C353" s="108" t="str">
        <f>IMAGE("https://i.ibb.co/fXwks6z/Rival.png",4,150,150)</f>
        <v/>
      </c>
      <c r="D353" s="109" t="s">
        <v>38</v>
      </c>
      <c r="E353" s="104"/>
      <c r="F353" s="266">
        <v>82.0</v>
      </c>
      <c r="G353" s="99"/>
      <c r="H353" s="84"/>
    </row>
    <row r="354">
      <c r="A354" s="79"/>
      <c r="B354" s="85"/>
      <c r="C354" s="111"/>
      <c r="D354" s="112" t="s">
        <v>39</v>
      </c>
      <c r="E354" s="104"/>
      <c r="F354" s="113"/>
      <c r="G354" s="99"/>
      <c r="H354" s="84"/>
    </row>
    <row r="355" ht="11.25" customHeight="1">
      <c r="A355" s="79"/>
      <c r="B355" s="85"/>
      <c r="C355" s="114"/>
      <c r="D355" s="115"/>
      <c r="E355" s="104"/>
      <c r="F355" s="94"/>
      <c r="G355" s="99"/>
      <c r="H355" s="84"/>
    </row>
    <row r="356" ht="3.75" customHeight="1">
      <c r="A356" s="79"/>
      <c r="B356" s="95"/>
      <c r="C356" s="116"/>
      <c r="D356" s="96"/>
      <c r="E356" s="104"/>
      <c r="F356" s="120"/>
      <c r="G356" s="99"/>
      <c r="H356" s="84"/>
    </row>
    <row r="357" ht="18.75" customHeight="1">
      <c r="A357" s="79"/>
      <c r="B357" s="85"/>
      <c r="C357" s="117" t="str">
        <f>IMAGE("https://i.ibb.co/10ZXyNx/Brendan.png",4,150,150)</f>
        <v/>
      </c>
      <c r="D357" s="118" t="s">
        <v>40</v>
      </c>
      <c r="E357" s="104"/>
      <c r="F357" s="266">
        <v>82.0</v>
      </c>
      <c r="G357" s="99"/>
      <c r="H357" s="84"/>
    </row>
    <row r="358">
      <c r="A358" s="79"/>
      <c r="B358" s="85"/>
      <c r="C358" s="111"/>
      <c r="D358" s="119" t="s">
        <v>148</v>
      </c>
      <c r="E358" s="104"/>
      <c r="F358" s="113"/>
      <c r="G358" s="99"/>
      <c r="H358" s="84"/>
    </row>
    <row r="359" ht="11.25" customHeight="1">
      <c r="A359" s="79"/>
      <c r="B359" s="85"/>
      <c r="C359" s="114"/>
      <c r="D359" s="115"/>
      <c r="E359" s="104"/>
      <c r="F359" s="94"/>
      <c r="G359" s="99"/>
      <c r="H359" s="84"/>
    </row>
    <row r="360" ht="3.75" customHeight="1">
      <c r="A360" s="79"/>
      <c r="B360" s="95"/>
      <c r="C360" s="116"/>
      <c r="D360" s="96"/>
      <c r="E360" s="104"/>
      <c r="F360" s="97"/>
      <c r="G360" s="99"/>
      <c r="H360" s="84"/>
    </row>
    <row r="361" ht="18.75" customHeight="1">
      <c r="A361" s="79"/>
      <c r="B361" s="85"/>
      <c r="C361" s="125" t="str">
        <f>IMAGE("https://i.ibb.co/26kF6WW/Ace-Trainer-F.png",4,150,150)</f>
        <v/>
      </c>
      <c r="D361" s="126" t="s">
        <v>149</v>
      </c>
      <c r="E361" s="104"/>
      <c r="F361" s="268">
        <v>85.0</v>
      </c>
      <c r="G361" s="90"/>
      <c r="H361" s="84"/>
    </row>
    <row r="362">
      <c r="A362" s="79"/>
      <c r="B362" s="85"/>
      <c r="C362" s="111"/>
      <c r="D362" s="127" t="s">
        <v>150</v>
      </c>
      <c r="E362" s="104"/>
      <c r="F362" s="113"/>
      <c r="G362" s="90"/>
      <c r="H362" s="84"/>
    </row>
    <row r="363" ht="11.25" customHeight="1">
      <c r="A363" s="79"/>
      <c r="B363" s="85"/>
      <c r="C363" s="114"/>
      <c r="D363" s="115"/>
      <c r="E363" s="104"/>
      <c r="F363" s="94"/>
      <c r="G363" s="90"/>
      <c r="H363" s="84"/>
    </row>
    <row r="364" ht="3.75" customHeight="1">
      <c r="A364" s="79"/>
      <c r="B364" s="95"/>
      <c r="C364" s="116"/>
      <c r="D364" s="96"/>
      <c r="E364" s="104"/>
      <c r="F364" s="116"/>
      <c r="G364" s="99"/>
      <c r="H364" s="84"/>
    </row>
    <row r="365" ht="18.75" customHeight="1">
      <c r="A365" s="79"/>
      <c r="B365" s="85"/>
      <c r="C365" s="125" t="str">
        <f>IMAGE("https://i.ibb.co/TKBZjnF/Ace-Trainer-M.png",4,150,150)</f>
        <v/>
      </c>
      <c r="D365" s="126" t="s">
        <v>151</v>
      </c>
      <c r="E365" s="104"/>
      <c r="F365" s="268">
        <v>85.0</v>
      </c>
      <c r="G365" s="99"/>
      <c r="H365" s="84"/>
    </row>
    <row r="366">
      <c r="A366" s="79"/>
      <c r="B366" s="85"/>
      <c r="C366" s="111"/>
      <c r="D366" s="127" t="s">
        <v>150</v>
      </c>
      <c r="E366" s="104"/>
      <c r="F366" s="113"/>
      <c r="G366" s="99"/>
      <c r="H366" s="84"/>
    </row>
    <row r="367" ht="11.25" customHeight="1">
      <c r="A367" s="79"/>
      <c r="B367" s="85"/>
      <c r="C367" s="114"/>
      <c r="D367" s="115"/>
      <c r="E367" s="104"/>
      <c r="F367" s="94"/>
      <c r="G367" s="99"/>
      <c r="H367" s="84"/>
    </row>
    <row r="368" ht="3.75" customHeight="1">
      <c r="A368" s="79"/>
      <c r="B368" s="95"/>
      <c r="C368" s="116"/>
      <c r="D368" s="96"/>
      <c r="E368" s="104"/>
      <c r="F368" s="120"/>
      <c r="G368" s="99"/>
      <c r="H368" s="84"/>
    </row>
    <row r="369" ht="18.75" customHeight="1">
      <c r="A369" s="79"/>
      <c r="B369" s="85"/>
      <c r="C369" s="125" t="str">
        <f>IMAGE("https://i.ibb.co/TKBZjnF/Ace-Trainer-M.png",4,150,150)</f>
        <v/>
      </c>
      <c r="D369" s="126" t="s">
        <v>152</v>
      </c>
      <c r="E369" s="104"/>
      <c r="F369" s="268">
        <v>85.0</v>
      </c>
      <c r="G369" s="99"/>
      <c r="H369" s="84"/>
    </row>
    <row r="370">
      <c r="A370" s="79"/>
      <c r="B370" s="85"/>
      <c r="C370" s="111"/>
      <c r="D370" s="127" t="s">
        <v>150</v>
      </c>
      <c r="E370" s="104"/>
      <c r="F370" s="113"/>
      <c r="G370" s="99"/>
      <c r="H370" s="84"/>
    </row>
    <row r="371" ht="11.25" customHeight="1">
      <c r="A371" s="79"/>
      <c r="B371" s="85"/>
      <c r="C371" s="114"/>
      <c r="D371" s="115"/>
      <c r="E371" s="104"/>
      <c r="F371" s="94"/>
      <c r="G371" s="99"/>
      <c r="H371" s="84"/>
    </row>
    <row r="372" ht="3.75" customHeight="1">
      <c r="A372" s="79"/>
      <c r="B372" s="95"/>
      <c r="C372" s="116"/>
      <c r="D372" s="96"/>
      <c r="E372" s="104"/>
      <c r="F372" s="120"/>
      <c r="G372" s="99"/>
      <c r="H372" s="84"/>
    </row>
    <row r="373" ht="18.75" customHeight="1">
      <c r="A373" s="79"/>
      <c r="B373" s="85"/>
      <c r="C373" s="125" t="str">
        <f>IMAGE("https://i.ibb.co/26kF6WW/Ace-Trainer-F.png",4,150,150)</f>
        <v/>
      </c>
      <c r="D373" s="126" t="s">
        <v>153</v>
      </c>
      <c r="E373" s="104"/>
      <c r="F373" s="268">
        <v>85.0</v>
      </c>
      <c r="G373" s="99"/>
      <c r="H373" s="84"/>
    </row>
    <row r="374">
      <c r="A374" s="79"/>
      <c r="B374" s="85"/>
      <c r="C374" s="111"/>
      <c r="D374" s="127" t="s">
        <v>150</v>
      </c>
      <c r="E374" s="104"/>
      <c r="F374" s="113"/>
      <c r="G374" s="99"/>
      <c r="H374" s="84"/>
    </row>
    <row r="375" ht="11.25" customHeight="1">
      <c r="A375" s="79"/>
      <c r="B375" s="85"/>
      <c r="C375" s="114"/>
      <c r="D375" s="115"/>
      <c r="E375" s="104"/>
      <c r="F375" s="94"/>
      <c r="G375" s="99"/>
      <c r="H375" s="84"/>
    </row>
    <row r="376" ht="3.75" customHeight="1">
      <c r="A376" s="79"/>
      <c r="B376" s="95"/>
      <c r="C376" s="116"/>
      <c r="D376" s="96"/>
      <c r="E376" s="104"/>
      <c r="F376" s="120"/>
      <c r="G376" s="99"/>
      <c r="H376" s="84"/>
    </row>
    <row r="377" ht="18.75" customHeight="1">
      <c r="A377" s="79"/>
      <c r="B377" s="85"/>
      <c r="C377" s="125" t="str">
        <f>IMAGE("https://i.ibb.co/TKBZjnF/Ace-Trainer-M.png",4,150,150)</f>
        <v/>
      </c>
      <c r="D377" s="126" t="s">
        <v>154</v>
      </c>
      <c r="E377" s="104"/>
      <c r="F377" s="268">
        <v>85.0</v>
      </c>
      <c r="G377" s="99"/>
      <c r="H377" s="84"/>
    </row>
    <row r="378">
      <c r="A378" s="79"/>
      <c r="B378" s="85"/>
      <c r="C378" s="111"/>
      <c r="D378" s="127" t="s">
        <v>150</v>
      </c>
      <c r="E378" s="104"/>
      <c r="F378" s="113"/>
      <c r="G378" s="99"/>
      <c r="H378" s="84"/>
    </row>
    <row r="379" ht="11.25" customHeight="1">
      <c r="A379" s="79"/>
      <c r="B379" s="85"/>
      <c r="C379" s="114"/>
      <c r="D379" s="115"/>
      <c r="E379" s="104"/>
      <c r="F379" s="94"/>
      <c r="G379" s="99"/>
      <c r="H379" s="84"/>
    </row>
    <row r="380" ht="3.75" customHeight="1">
      <c r="A380" s="79"/>
      <c r="B380" s="95"/>
      <c r="C380" s="116"/>
      <c r="D380" s="96"/>
      <c r="E380" s="104"/>
      <c r="F380" s="120"/>
      <c r="G380" s="99"/>
      <c r="H380" s="84"/>
    </row>
    <row r="381" ht="18.75" customHeight="1">
      <c r="A381" s="79"/>
      <c r="B381" s="85"/>
      <c r="C381" s="125" t="str">
        <f>IMAGE("https://i.ibb.co/26kF6WW/Ace-Trainer-F.png",4,150,150)</f>
        <v/>
      </c>
      <c r="D381" s="126" t="s">
        <v>155</v>
      </c>
      <c r="E381" s="104"/>
      <c r="F381" s="268">
        <v>85.0</v>
      </c>
      <c r="G381" s="99"/>
      <c r="H381" s="84"/>
    </row>
    <row r="382">
      <c r="A382" s="79"/>
      <c r="B382" s="85"/>
      <c r="C382" s="111"/>
      <c r="D382" s="127" t="s">
        <v>150</v>
      </c>
      <c r="E382" s="104"/>
      <c r="F382" s="113"/>
      <c r="G382" s="99"/>
      <c r="H382" s="84"/>
    </row>
    <row r="383" ht="11.25" customHeight="1">
      <c r="A383" s="79"/>
      <c r="B383" s="85"/>
      <c r="C383" s="114"/>
      <c r="D383" s="115"/>
      <c r="E383" s="104"/>
      <c r="F383" s="94"/>
      <c r="G383" s="99"/>
      <c r="H383" s="84"/>
    </row>
    <row r="384" ht="3.75" customHeight="1">
      <c r="A384" s="79"/>
      <c r="B384" s="95"/>
      <c r="C384" s="96"/>
      <c r="D384" s="96"/>
      <c r="E384" s="104"/>
      <c r="F384" s="120"/>
      <c r="G384" s="99"/>
      <c r="H384" s="84"/>
    </row>
    <row r="385" ht="18.75" customHeight="1">
      <c r="A385" s="79"/>
      <c r="B385" s="85"/>
      <c r="C385" s="227" t="str">
        <f>IMAGE("https://i.ibb.co/31XckWH/Dragon-Tamer.png",4,150,150)</f>
        <v/>
      </c>
      <c r="D385" s="228" t="s">
        <v>156</v>
      </c>
      <c r="E385" s="104"/>
      <c r="F385" s="268">
        <v>85.0</v>
      </c>
      <c r="G385" s="99"/>
      <c r="H385" s="84"/>
    </row>
    <row r="386">
      <c r="A386" s="79"/>
      <c r="B386" s="85"/>
      <c r="C386" s="111"/>
      <c r="D386" s="229" t="s">
        <v>157</v>
      </c>
      <c r="E386" s="104"/>
      <c r="F386" s="113"/>
      <c r="G386" s="99"/>
      <c r="H386" s="84"/>
    </row>
    <row r="387" ht="11.25" customHeight="1">
      <c r="A387" s="79"/>
      <c r="B387" s="85"/>
      <c r="C387" s="114"/>
      <c r="D387" s="115"/>
      <c r="E387" s="104"/>
      <c r="F387" s="94"/>
      <c r="G387" s="99"/>
      <c r="H387" s="84"/>
    </row>
    <row r="388" ht="3.75" customHeight="1">
      <c r="A388" s="79"/>
      <c r="B388" s="95"/>
      <c r="C388" s="96"/>
      <c r="D388" s="96"/>
      <c r="E388" s="104"/>
      <c r="F388" s="120"/>
      <c r="G388" s="99"/>
      <c r="H388" s="84"/>
    </row>
    <row r="389" ht="18.75" customHeight="1">
      <c r="A389" s="79"/>
      <c r="B389" s="85"/>
      <c r="C389" s="269" t="str">
        <f>IMAGE("https://i.ibb.co/5BW746H/Lorelei.png",4,150,150)</f>
        <v/>
      </c>
      <c r="D389" s="270" t="s">
        <v>158</v>
      </c>
      <c r="E389" s="104"/>
      <c r="F389" s="268">
        <v>85.0</v>
      </c>
      <c r="G389" s="99"/>
      <c r="H389" s="84"/>
    </row>
    <row r="390">
      <c r="A390" s="79"/>
      <c r="B390" s="85"/>
      <c r="C390" s="111"/>
      <c r="D390" s="271" t="s">
        <v>159</v>
      </c>
      <c r="E390" s="104"/>
      <c r="F390" s="113"/>
      <c r="G390" s="99"/>
      <c r="H390" s="84"/>
    </row>
    <row r="391" ht="11.25" customHeight="1">
      <c r="A391" s="79"/>
      <c r="B391" s="85"/>
      <c r="C391" s="114"/>
      <c r="D391" s="115"/>
      <c r="E391" s="104"/>
      <c r="F391" s="94"/>
      <c r="G391" s="99"/>
      <c r="H391" s="84"/>
    </row>
    <row r="392" ht="3.75" customHeight="1">
      <c r="A392" s="79"/>
      <c r="B392" s="95"/>
      <c r="C392" s="96"/>
      <c r="D392" s="96"/>
      <c r="E392" s="104"/>
      <c r="F392" s="120"/>
      <c r="G392" s="99"/>
      <c r="H392" s="84"/>
    </row>
    <row r="393" ht="18.75" customHeight="1">
      <c r="A393" s="79"/>
      <c r="B393" s="85"/>
      <c r="C393" s="272" t="str">
        <f>IMAGE("https://i.ibb.co/C8FXs4V/Bruno.png",4,150,150)</f>
        <v/>
      </c>
      <c r="D393" s="273" t="s">
        <v>160</v>
      </c>
      <c r="E393" s="104"/>
      <c r="F393" s="268">
        <v>85.0</v>
      </c>
      <c r="G393" s="99"/>
      <c r="H393" s="84"/>
    </row>
    <row r="394">
      <c r="A394" s="79"/>
      <c r="B394" s="85"/>
      <c r="C394" s="111"/>
      <c r="D394" s="274" t="s">
        <v>159</v>
      </c>
      <c r="E394" s="104"/>
      <c r="F394" s="113"/>
      <c r="G394" s="99"/>
      <c r="H394" s="84"/>
    </row>
    <row r="395" ht="11.25" customHeight="1">
      <c r="A395" s="79"/>
      <c r="B395" s="85"/>
      <c r="C395" s="114"/>
      <c r="D395" s="115"/>
      <c r="E395" s="104"/>
      <c r="F395" s="94"/>
      <c r="G395" s="99"/>
      <c r="H395" s="84"/>
    </row>
    <row r="396" ht="3.75" customHeight="1">
      <c r="A396" s="79"/>
      <c r="B396" s="95"/>
      <c r="C396" s="96"/>
      <c r="D396" s="96"/>
      <c r="E396" s="104"/>
      <c r="F396" s="120"/>
      <c r="G396" s="99"/>
      <c r="H396" s="84"/>
    </row>
    <row r="397" ht="18.75" customHeight="1">
      <c r="A397" s="79"/>
      <c r="B397" s="85"/>
      <c r="C397" s="275" t="str">
        <f>IMAGE("https://i.ibb.co/nwDrZ0g/Agatha.png",4,150,150)</f>
        <v/>
      </c>
      <c r="D397" s="276" t="s">
        <v>161</v>
      </c>
      <c r="E397" s="104"/>
      <c r="F397" s="268">
        <v>85.0</v>
      </c>
      <c r="G397" s="99"/>
      <c r="H397" s="84"/>
    </row>
    <row r="398">
      <c r="A398" s="79"/>
      <c r="B398" s="85"/>
      <c r="C398" s="111"/>
      <c r="D398" s="277" t="s">
        <v>159</v>
      </c>
      <c r="E398" s="104"/>
      <c r="F398" s="113"/>
      <c r="G398" s="99"/>
      <c r="H398" s="84"/>
    </row>
    <row r="399" ht="11.25" customHeight="1">
      <c r="A399" s="79"/>
      <c r="B399" s="85"/>
      <c r="C399" s="114"/>
      <c r="D399" s="115"/>
      <c r="E399" s="104"/>
      <c r="F399" s="94"/>
      <c r="G399" s="99"/>
      <c r="H399" s="84"/>
    </row>
    <row r="400" ht="3.75" customHeight="1">
      <c r="A400" s="79"/>
      <c r="B400" s="95"/>
      <c r="C400" s="96"/>
      <c r="D400" s="96"/>
      <c r="E400" s="104"/>
      <c r="F400" s="120"/>
      <c r="G400" s="99"/>
      <c r="H400" s="84"/>
    </row>
    <row r="401" ht="18.75" customHeight="1">
      <c r="A401" s="79"/>
      <c r="B401" s="85"/>
      <c r="C401" s="278" t="str">
        <f>IMAGE("https://i.ibb.co/KxFRKxf/Lance.png",4,150,150)</f>
        <v/>
      </c>
      <c r="D401" s="279" t="s">
        <v>162</v>
      </c>
      <c r="E401" s="104"/>
      <c r="F401" s="268">
        <v>85.0</v>
      </c>
      <c r="G401" s="99"/>
      <c r="H401" s="84"/>
    </row>
    <row r="402">
      <c r="A402" s="79"/>
      <c r="B402" s="85"/>
      <c r="C402" s="111"/>
      <c r="D402" s="280" t="s">
        <v>159</v>
      </c>
      <c r="E402" s="104"/>
      <c r="F402" s="113"/>
      <c r="G402" s="99"/>
      <c r="H402" s="84"/>
    </row>
    <row r="403" ht="11.25" customHeight="1">
      <c r="A403" s="79"/>
      <c r="B403" s="85"/>
      <c r="C403" s="114"/>
      <c r="D403" s="115"/>
      <c r="E403" s="104"/>
      <c r="F403" s="94"/>
      <c r="G403" s="99"/>
      <c r="H403" s="84"/>
    </row>
    <row r="404" ht="3.75" customHeight="1">
      <c r="A404" s="79"/>
      <c r="B404" s="95"/>
      <c r="C404" s="116"/>
      <c r="D404" s="96"/>
      <c r="E404" s="104"/>
      <c r="F404" s="120"/>
      <c r="G404" s="99"/>
      <c r="H404" s="84"/>
    </row>
    <row r="405" ht="18.75" customHeight="1">
      <c r="A405" s="79"/>
      <c r="B405" s="85"/>
      <c r="C405" s="108" t="str">
        <f>IMAGE("https://i.ibb.co/fXwks6z/Rival.png",4,150,150)</f>
        <v/>
      </c>
      <c r="D405" s="109" t="s">
        <v>38</v>
      </c>
      <c r="E405" s="104"/>
      <c r="F405" s="268">
        <v>85.0</v>
      </c>
      <c r="G405" s="99"/>
      <c r="H405" s="84"/>
    </row>
    <row r="406">
      <c r="A406" s="79"/>
      <c r="B406" s="85"/>
      <c r="C406" s="111"/>
      <c r="D406" s="112" t="s">
        <v>163</v>
      </c>
      <c r="E406" s="104"/>
      <c r="F406" s="113"/>
      <c r="G406" s="99"/>
      <c r="H406" s="84"/>
    </row>
    <row r="407" ht="11.25" customHeight="1">
      <c r="A407" s="79"/>
      <c r="B407" s="85"/>
      <c r="C407" s="114"/>
      <c r="D407" s="115"/>
      <c r="E407" s="281"/>
      <c r="F407" s="94"/>
      <c r="G407" s="99"/>
      <c r="H407" s="84"/>
    </row>
    <row r="408" ht="7.5" customHeight="1">
      <c r="A408" s="79"/>
      <c r="B408" s="282"/>
      <c r="C408" s="283"/>
      <c r="D408" s="283"/>
      <c r="E408" s="284"/>
      <c r="F408" s="284"/>
      <c r="G408" s="285"/>
      <c r="H408" s="84"/>
    </row>
    <row r="409" ht="3.75" customHeight="1">
      <c r="A409" s="77"/>
      <c r="B409" s="286"/>
      <c r="C409" s="286"/>
      <c r="D409" s="286"/>
      <c r="E409" s="286"/>
      <c r="F409" s="286"/>
      <c r="G409" s="286"/>
      <c r="H409" s="77"/>
    </row>
  </sheetData>
  <mergeCells count="213">
    <mergeCell ref="F217:F219"/>
    <mergeCell ref="C221:C223"/>
    <mergeCell ref="F221:F223"/>
    <mergeCell ref="C225:C227"/>
    <mergeCell ref="F225:F227"/>
    <mergeCell ref="C229:C231"/>
    <mergeCell ref="F229:F231"/>
    <mergeCell ref="C233:C235"/>
    <mergeCell ref="F233:F235"/>
    <mergeCell ref="C237:C239"/>
    <mergeCell ref="F237:F239"/>
    <mergeCell ref="C241:C243"/>
    <mergeCell ref="F241:F243"/>
    <mergeCell ref="C245:C247"/>
    <mergeCell ref="F245:F247"/>
    <mergeCell ref="C249:C251"/>
    <mergeCell ref="F249:F251"/>
    <mergeCell ref="C253:D253"/>
    <mergeCell ref="C254:C256"/>
    <mergeCell ref="F254:F256"/>
    <mergeCell ref="C258:C260"/>
    <mergeCell ref="F258:F260"/>
    <mergeCell ref="C262:C264"/>
    <mergeCell ref="F262:F264"/>
    <mergeCell ref="C266:C268"/>
    <mergeCell ref="F266:F268"/>
    <mergeCell ref="C270:C272"/>
    <mergeCell ref="F270:F272"/>
    <mergeCell ref="C274:C276"/>
    <mergeCell ref="F274:F276"/>
    <mergeCell ref="C278:D278"/>
    <mergeCell ref="C279:C281"/>
    <mergeCell ref="F279:F281"/>
    <mergeCell ref="C283:C285"/>
    <mergeCell ref="F283:F285"/>
    <mergeCell ref="C287:D287"/>
    <mergeCell ref="C288:C290"/>
    <mergeCell ref="F288:F290"/>
    <mergeCell ref="C292:D292"/>
    <mergeCell ref="C293:C295"/>
    <mergeCell ref="F293:F295"/>
    <mergeCell ref="C297:C299"/>
    <mergeCell ref="F297:F299"/>
    <mergeCell ref="C301:D301"/>
    <mergeCell ref="C302:C304"/>
    <mergeCell ref="F302:F304"/>
    <mergeCell ref="C306:C308"/>
    <mergeCell ref="F306:F308"/>
    <mergeCell ref="C310:C312"/>
    <mergeCell ref="F310:F312"/>
    <mergeCell ref="C314:C316"/>
    <mergeCell ref="F314:F316"/>
    <mergeCell ref="C318:C320"/>
    <mergeCell ref="F318:F320"/>
    <mergeCell ref="C322:C324"/>
    <mergeCell ref="F322:F328"/>
    <mergeCell ref="C326:C328"/>
    <mergeCell ref="C330:C332"/>
    <mergeCell ref="F330:F332"/>
    <mergeCell ref="C334:D334"/>
    <mergeCell ref="C335:C337"/>
    <mergeCell ref="F335:F337"/>
    <mergeCell ref="C339:C341"/>
    <mergeCell ref="F339:F341"/>
    <mergeCell ref="C343:D343"/>
    <mergeCell ref="C344:C346"/>
    <mergeCell ref="F344:F346"/>
    <mergeCell ref="C348:D348"/>
    <mergeCell ref="C349:C351"/>
    <mergeCell ref="F349:F351"/>
    <mergeCell ref="C353:C355"/>
    <mergeCell ref="F353:F355"/>
    <mergeCell ref="C357:C359"/>
    <mergeCell ref="F357:F359"/>
    <mergeCell ref="C361:C363"/>
    <mergeCell ref="F361:F363"/>
    <mergeCell ref="C137:C139"/>
    <mergeCell ref="F137:F144"/>
    <mergeCell ref="C141:D141"/>
    <mergeCell ref="C142:C144"/>
    <mergeCell ref="C393:C395"/>
    <mergeCell ref="F393:F395"/>
    <mergeCell ref="C397:C399"/>
    <mergeCell ref="F397:F399"/>
    <mergeCell ref="C401:C403"/>
    <mergeCell ref="F401:F403"/>
    <mergeCell ref="C405:C407"/>
    <mergeCell ref="F405:F407"/>
    <mergeCell ref="C3:D3"/>
    <mergeCell ref="F3:F4"/>
    <mergeCell ref="C4:D4"/>
    <mergeCell ref="E5:E407"/>
    <mergeCell ref="C6:D6"/>
    <mergeCell ref="F20:F22"/>
    <mergeCell ref="F24:F26"/>
    <mergeCell ref="C365:C367"/>
    <mergeCell ref="F365:F367"/>
    <mergeCell ref="C369:C371"/>
    <mergeCell ref="F369:F371"/>
    <mergeCell ref="C373:C375"/>
    <mergeCell ref="F373:F375"/>
    <mergeCell ref="C377:C379"/>
    <mergeCell ref="F377:F379"/>
    <mergeCell ref="C381:C383"/>
    <mergeCell ref="F381:F383"/>
    <mergeCell ref="C385:C387"/>
    <mergeCell ref="F385:F387"/>
    <mergeCell ref="C389:C391"/>
    <mergeCell ref="F389:F391"/>
    <mergeCell ref="F7:F9"/>
    <mergeCell ref="F11:F13"/>
    <mergeCell ref="C15:C17"/>
    <mergeCell ref="F15:F17"/>
    <mergeCell ref="C19:D19"/>
    <mergeCell ref="C20:C22"/>
    <mergeCell ref="C11:C13"/>
    <mergeCell ref="C24:C26"/>
    <mergeCell ref="C7:C9"/>
    <mergeCell ref="C28:C30"/>
    <mergeCell ref="C36:C38"/>
    <mergeCell ref="F36:F38"/>
    <mergeCell ref="C40:C42"/>
    <mergeCell ref="F40:F42"/>
    <mergeCell ref="C44:C46"/>
    <mergeCell ref="F44:F46"/>
    <mergeCell ref="C48:C50"/>
    <mergeCell ref="F48:F50"/>
    <mergeCell ref="C52:C54"/>
    <mergeCell ref="F52:F54"/>
    <mergeCell ref="C56:C58"/>
    <mergeCell ref="F56:F58"/>
    <mergeCell ref="C60:C62"/>
    <mergeCell ref="F60:F62"/>
    <mergeCell ref="C64:C66"/>
    <mergeCell ref="F64:F66"/>
    <mergeCell ref="C68:D68"/>
    <mergeCell ref="C69:C71"/>
    <mergeCell ref="F28:F30"/>
    <mergeCell ref="C32:C34"/>
    <mergeCell ref="F32:F34"/>
    <mergeCell ref="F69:F71"/>
    <mergeCell ref="C73:C75"/>
    <mergeCell ref="F73:F75"/>
    <mergeCell ref="C77:C79"/>
    <mergeCell ref="F77:F79"/>
    <mergeCell ref="C81:C83"/>
    <mergeCell ref="F81:F83"/>
    <mergeCell ref="C85:C87"/>
    <mergeCell ref="F85:F87"/>
    <mergeCell ref="C89:C91"/>
    <mergeCell ref="F89:F91"/>
    <mergeCell ref="C93:D93"/>
    <mergeCell ref="C94:C96"/>
    <mergeCell ref="F94:F96"/>
    <mergeCell ref="C98:C100"/>
    <mergeCell ref="F98:F100"/>
    <mergeCell ref="C102:C104"/>
    <mergeCell ref="F102:F104"/>
    <mergeCell ref="C106:D106"/>
    <mergeCell ref="C107:C109"/>
    <mergeCell ref="C115:C117"/>
    <mergeCell ref="F115:F117"/>
    <mergeCell ref="C119:C121"/>
    <mergeCell ref="F119:F121"/>
    <mergeCell ref="C123:C125"/>
    <mergeCell ref="F123:F125"/>
    <mergeCell ref="C127:C129"/>
    <mergeCell ref="F127:F129"/>
    <mergeCell ref="F107:F109"/>
    <mergeCell ref="C111:C113"/>
    <mergeCell ref="F111:F113"/>
    <mergeCell ref="C131:D131"/>
    <mergeCell ref="C132:C134"/>
    <mergeCell ref="F132:F134"/>
    <mergeCell ref="C136:D136"/>
    <mergeCell ref="C146:C148"/>
    <mergeCell ref="F146:F148"/>
    <mergeCell ref="C150:C152"/>
    <mergeCell ref="F150:F152"/>
    <mergeCell ref="C154:C156"/>
    <mergeCell ref="F154:F156"/>
    <mergeCell ref="C158:C160"/>
    <mergeCell ref="F158:F160"/>
    <mergeCell ref="C162:D162"/>
    <mergeCell ref="C163:C165"/>
    <mergeCell ref="F163:F165"/>
    <mergeCell ref="C167:C169"/>
    <mergeCell ref="F167:F169"/>
    <mergeCell ref="C171:D171"/>
    <mergeCell ref="C172:C174"/>
    <mergeCell ref="F172:F174"/>
    <mergeCell ref="C176:C178"/>
    <mergeCell ref="F176:F178"/>
    <mergeCell ref="C180:C182"/>
    <mergeCell ref="F180:F182"/>
    <mergeCell ref="C184:C186"/>
    <mergeCell ref="F184:F186"/>
    <mergeCell ref="C188:C190"/>
    <mergeCell ref="F188:F190"/>
    <mergeCell ref="C192:C194"/>
    <mergeCell ref="F192:F194"/>
    <mergeCell ref="C196:C198"/>
    <mergeCell ref="F196:F198"/>
    <mergeCell ref="C200:C202"/>
    <mergeCell ref="F200:F202"/>
    <mergeCell ref="C204:C206"/>
    <mergeCell ref="F204:F206"/>
    <mergeCell ref="C208:C210"/>
    <mergeCell ref="F208:F210"/>
    <mergeCell ref="C212:C214"/>
    <mergeCell ref="F212:F214"/>
    <mergeCell ref="C216:D216"/>
    <mergeCell ref="C217:C219"/>
  </mergeCells>
  <hyperlinks>
    <hyperlink display="RIVAL" location="Rivals!C5" ref="D7"/>
    <hyperlink display="BRENDAN" location="Rivals!C76" ref="D11"/>
    <hyperlink display="LASS ANNE" location="'Mini Bosses'!C3" ref="D15"/>
    <hyperlink display="ACE NELLE" location="'Mini Bosses'!C26" ref="D20"/>
    <hyperlink display="FALKNER" location="'Johto Leaders'!C3" ref="D24"/>
    <hyperlink display="BROCK" location="'Kanto Leaders'!C3" ref="D28"/>
    <hyperlink display="SUPER NERD MIGUEL" location="'Mini Bosses'!C50" ref="D32"/>
    <hyperlink display="ARCHER" location="'Team Rocket'!C3" ref="D36"/>
    <hyperlink display="RIVAL" location="Rivals!C101" ref="D40"/>
    <hyperlink display="CATCHER CALE" location="'Mini Bosses'!C74" ref="D44"/>
    <hyperlink display="LASS ALI" location="'Mini Bosses'!C98" ref="D48"/>
    <hyperlink display="YOUNGSTER TIMMY" location="'Mini Bosses'!C122" ref="D52"/>
    <hyperlink display="LASS RELI" location="'Mini Bosses'!C145" ref="D56"/>
    <hyperlink display="CAMPER ETHAN" location="'Mini Bosses'!C168" ref="D60"/>
    <hyperlink display="GRUNT" location="'Team Rocket'!C26" ref="D64"/>
    <hyperlink display="BUGSY" location="'Johto Leaders'!C30" ref="D69"/>
    <hyperlink display="MISTY" location="'Kanto Leaders'!C26" ref="D73"/>
    <hyperlink display="GRUNT" location="'Team Rocket'!C49" ref="D77"/>
    <hyperlink display="ANN &amp; BROOKS" location="'Mini Bosses'!C192" ref="D81"/>
    <hyperlink display="EDMOND &amp; TREVOR" location="'Mini Bosses'!C216" ref="D85"/>
    <hyperlink display="BRENDAN" location="Rivals!C172" ref="D89"/>
    <hyperlink display="WHITNEY" location="'Johto Leaders'!C78" ref="D94"/>
    <hyperlink display="LT. SURGE" location="'Kanto Leaders'!C49" ref="D98"/>
    <hyperlink display="PICNICKER CAITLIN" location="'Mini Bosses'!C239" ref="D102"/>
    <hyperlink display="MORTY" location="'Johto Leaders'!C101" ref="D107"/>
    <hyperlink display="ERIKA" location="'Kanto Leaders'!C72" ref="D111"/>
    <hyperlink display="GUARD" location="'Team Rocket'!C73" ref="D115"/>
    <hyperlink display="LEFT GUARD" location="'Team Rocket'!C97" ref="D119"/>
    <hyperlink display="RIGHT GUARD" location="'Team Rocket'!C121" ref="D123"/>
    <hyperlink display="GIOVANNI" location="'Team Rocket'!C144" ref="D127"/>
    <hyperlink display="ACE COLE" location="'Optional Bosses'!C3" ref="D132"/>
    <hyperlink display="BEAUTY SAM" location="'Optional Bosses'!C50" ref="D137"/>
    <hyperlink display="BEAUTY SHELLY" location="'Optional Bosses'!C75" ref="D142"/>
    <hyperlink display="GHOST" location="'Mini Bosses'!C264" ref="D146"/>
    <hyperlink display="RIVAL" location="Rivals!C197" ref="D150"/>
    <hyperlink display="ARIANA &amp; ARCHER" location="'Team Rocket'!C168" ref="D154"/>
    <hyperlink display="GIOVANNI" location="'Team Rocket'!C213" ref="D158"/>
    <hyperlink display="CHUCK" location="'Johto Leaders'!C124" ref="D163"/>
    <hyperlink display="SABRINA" location="'Kanto Leaders'!C96" ref="D167"/>
    <hyperlink display="DUMASS KID" location="'Optional Bosses'!C26" ref="D172"/>
    <hyperlink display="ROCKER LUCA" location="'Mini Bosses'!C288" ref="D176"/>
    <hyperlink display="CAMPER JUSTIN" location="'Mini Bosses'!C312" ref="D180"/>
    <hyperlink display="FISHERMAN ANDREW" location="'Mini Bosses'!C339" ref="D184"/>
    <hyperlink display="BIRD KE. SEBASTIAN" location="'Mini Bosses'!C365" ref="D188"/>
    <hyperlink display="PICNICKER SUSIE" location="'Mini Bosses'!C390" ref="D192"/>
    <hyperlink display="PICNICKER ALMA" location="'Mini Bosses'!C390" ref="D196"/>
    <hyperlink display="LOLA &amp; SHEILA" location="'Mini Bosses'!C440" ref="D200"/>
    <hyperlink display="BIRD KEEPER PERRY" location="'Mini Bosses'!C465" ref="D204"/>
    <hyperlink display="BIKER JARED" location="'Mini Bosses'!C489" ref="D208"/>
    <hyperlink display="BIRD KEEPER ROBERT" location="'Mini Bosses'!C514" ref="D212"/>
    <hyperlink display="BIRD KEEPER ROBERT" location="'Mini Bosses'!C514" ref="H213"/>
    <hyperlink display="ACE HALEY" location="'Optional Bosses'!C98" ref="D217"/>
    <hyperlink display="BIKER LAO" location="'Mini Bosses'!C539" ref="D221"/>
    <hyperlink display="CUE BALL KOJI" location="'Mini Bosses'!C565" ref="D225"/>
    <hyperlink display="CUE BALL LUKE" location="'Mini Bosses'!C592" ref="D229"/>
    <hyperlink display="BIKER RUBEN" location="'Mini Bosses'!C616" ref="D233"/>
    <hyperlink display="CUE BALL CAMRON" location="'Mini Bosses'!C641" ref="D237"/>
    <hyperlink display="BIKER HIDEO" location="'Mini Bosses'!C666" ref="D241"/>
    <hyperlink display="BIKER WILLIAM" location="'Mini Bosses'!C691" ref="D245"/>
    <hyperlink display="BIRD KEEPER JACOB" location="'Mini Bosses'!C715" ref="D249"/>
    <hyperlink display="TAMER RAMIRO" location="'Mini Bosses'!C740" ref="D254"/>
    <hyperlink display="ACE WILTON" location="'Mini Bosses'!C764" ref="D258"/>
    <hyperlink display="BRENDAN" location="Rivals!C268" ref="D262"/>
    <hyperlink display="BROCK (REMATCH)" location="'Kanto Rematch'!C4" ref="D266"/>
    <hyperlink display="MISTY (REMATCH)" location="'Kanto Rematch'!C29" ref="D270"/>
    <hyperlink display="LT. SURGE (REMATCH)" location="'Kanto Rematch'!C54" ref="D274"/>
    <hyperlink display="ERIKA (REMATCH)" location="'Kanto Rematch'!C79" ref="D279"/>
    <hyperlink display="KOGA" location="'Kanto Leaders'!C119" ref="D283"/>
    <hyperlink display="DUMASS JOJO FAN" location="'Optional Bosses'!C122" ref="D288"/>
    <hyperlink display="PRYCE" location="'Johto Leaders'!C148" ref="D293"/>
    <hyperlink display="MAY" location="Rivals!C292" ref="D297"/>
    <hyperlink display="JASMINE" location="'Johto Leaders'!C174" ref="D302"/>
    <hyperlink display="ACE DEREK" location="'Mini Bosses'!C789" ref="D306"/>
    <hyperlink display="ACE LUCY" location="'Mini Bosses'!C814" ref="D310"/>
    <hyperlink display="ACE ZAC" location="'Mini Bosses'!C838" ref="D314"/>
    <hyperlink display="BLAINE" location="'Kanto Leaders'!C144" ref="D318"/>
    <hyperlink display="ARCHER" location="'Team Rocket'!C237" ref="D322"/>
    <hyperlink display="ARIANA" location="'Team Rocket'!C262" ref="D326"/>
    <hyperlink display="GIOVANNI" location="'Team Rocket'!C286" ref="D330"/>
    <hyperlink display="BLACK BELT KETCHUP" location="'Optional Bosses'!C149" ref="D335"/>
    <hyperlink display="CLAIR" location="'Kanto Leaders'!C168" ref="D339"/>
    <hyperlink display="BURGLAR MAX" location="'Optional Bosses'!C199" ref="D344"/>
    <hyperlink display="BURGLAR ANSON" location="'Optional Bosses'!C222" ref="D349"/>
    <hyperlink display="RIVAL" location="Rivals!C318" ref="D353"/>
    <hyperlink display="BRENDAN" location="Rivals!C392" ref="D357"/>
    <hyperlink display="ACE NAOMI" location="'Mini Bosses'!C861" ref="D361"/>
    <hyperlink display="ACE ROLANDO" location="'Mini Bosses'!C884" ref="D365"/>
    <hyperlink display="ACE GEORGE" location="'Mini Bosses'!C907" ref="D369"/>
    <hyperlink display="ACE CAROLINE" location="'Mini Bosses'!C930" ref="D373"/>
    <hyperlink display="ACE COLBY" location="'Mini Bosses'!C953" ref="D377"/>
    <hyperlink display="ACE ALEXA" location="'Mini Bosses'!C977" ref="D381"/>
    <hyperlink display="DUMASS CREATOR" location="'Mini Bosses'!C1000" ref="D385"/>
    <hyperlink display="LORELEI" location="'Indigo League'!C7" ref="D389"/>
    <hyperlink display="BRUNO" location="'Indigo League'!C61" ref="D393"/>
    <hyperlink display="AGATHA" location="'Indigo League'!C114" ref="D397"/>
    <hyperlink display="LANCE" location="'Indigo League'!C166" ref="D401"/>
    <hyperlink display="RIVAL" location="'Indigo League'!C218" ref="D405"/>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3850"/>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287"/>
      <c r="B1" s="288"/>
      <c r="C1" s="289"/>
      <c r="D1" s="288"/>
      <c r="E1" s="288"/>
      <c r="F1" s="288"/>
      <c r="G1" s="288"/>
      <c r="H1" s="288"/>
      <c r="I1" s="288"/>
      <c r="J1" s="288"/>
      <c r="K1" s="288"/>
      <c r="L1" s="288"/>
      <c r="M1" s="288"/>
      <c r="N1" s="288"/>
      <c r="O1" s="288"/>
      <c r="P1" s="288"/>
      <c r="Q1" s="288"/>
      <c r="R1" s="288"/>
      <c r="S1" s="288"/>
      <c r="T1" s="288"/>
      <c r="U1" s="288"/>
      <c r="V1" s="288"/>
      <c r="W1" s="288"/>
      <c r="X1" s="288"/>
      <c r="Y1" s="288"/>
      <c r="Z1" s="288"/>
      <c r="AA1" s="288"/>
      <c r="AB1" s="288"/>
      <c r="AC1" s="288"/>
      <c r="AD1" s="288"/>
      <c r="AE1" s="288"/>
      <c r="AF1" s="288"/>
      <c r="AG1" s="288"/>
      <c r="AH1" s="288"/>
      <c r="AI1" s="287"/>
    </row>
    <row r="2" ht="7.5" customHeight="1">
      <c r="A2" s="290"/>
      <c r="B2" s="291"/>
      <c r="C2" s="292"/>
      <c r="D2" s="293"/>
      <c r="E2" s="294"/>
      <c r="F2" s="294"/>
      <c r="G2" s="294"/>
      <c r="H2" s="294"/>
      <c r="I2" s="293"/>
      <c r="J2" s="294"/>
      <c r="K2" s="294"/>
      <c r="L2" s="294"/>
      <c r="M2" s="294"/>
      <c r="N2" s="293"/>
      <c r="O2" s="294"/>
      <c r="P2" s="294"/>
      <c r="Q2" s="294"/>
      <c r="R2" s="294"/>
      <c r="S2" s="293"/>
      <c r="T2" s="294"/>
      <c r="U2" s="294"/>
      <c r="V2" s="294"/>
      <c r="W2" s="294"/>
      <c r="X2" s="293"/>
      <c r="Y2" s="293"/>
      <c r="Z2" s="293"/>
      <c r="AA2" s="293"/>
      <c r="AB2" s="293"/>
      <c r="AC2" s="293"/>
      <c r="AD2" s="293"/>
      <c r="AE2" s="293"/>
      <c r="AF2" s="293"/>
      <c r="AG2" s="293"/>
      <c r="AH2" s="295"/>
      <c r="AI2" s="296"/>
    </row>
    <row r="3" ht="96.75" customHeight="1">
      <c r="A3" s="297"/>
      <c r="B3" s="298"/>
      <c r="C3" s="299" t="str">
        <f>IMAGE("https://i.ibb.co/v10Rh61/Brock.png")</f>
        <v/>
      </c>
      <c r="D3" s="300"/>
      <c r="E3" s="301" t="str">
        <f t="array" ref="E3">IFERROR(VLOOKUP(E4,Dex!$B$3:$G191,3,FALSE),"")</f>
        <v/>
      </c>
      <c r="F3" s="302"/>
      <c r="G3" s="302"/>
      <c r="H3" s="303"/>
      <c r="I3" s="304"/>
      <c r="J3" s="301" t="str">
        <f t="array" ref="J3">IFERROR(VLOOKUP(J4,Dex!$B$3:$G191,3,FALSE),"")</f>
        <v/>
      </c>
      <c r="K3" s="302"/>
      <c r="L3" s="302"/>
      <c r="M3" s="303"/>
      <c r="N3" s="304"/>
      <c r="O3" s="301" t="str">
        <f t="array" ref="O3">IFERROR(VLOOKUP(O4,Dex!$B$3:$G191,3,FALSE),"")</f>
        <v/>
      </c>
      <c r="P3" s="302"/>
      <c r="Q3" s="302"/>
      <c r="R3" s="303"/>
      <c r="S3" s="304"/>
      <c r="T3" s="301" t="str">
        <f t="array" ref="T3">IFERROR(VLOOKUP(T4,Dex!$B$3:$G191,3,FALSE),"")</f>
        <v/>
      </c>
      <c r="U3" s="302"/>
      <c r="V3" s="302"/>
      <c r="W3" s="303"/>
      <c r="X3" s="305"/>
      <c r="Y3" s="306"/>
      <c r="Z3" s="307"/>
      <c r="AA3" s="307"/>
      <c r="AB3" s="308"/>
      <c r="AC3" s="309"/>
      <c r="AD3" s="306"/>
      <c r="AE3" s="307"/>
      <c r="AF3" s="307"/>
      <c r="AG3" s="308"/>
      <c r="AH3" s="310"/>
      <c r="AI3" s="311"/>
    </row>
    <row r="4" ht="18.75" customHeight="1">
      <c r="A4" s="312"/>
      <c r="B4" s="313"/>
      <c r="C4" s="314" t="s">
        <v>164</v>
      </c>
      <c r="D4" s="315"/>
      <c r="E4" s="316" t="s">
        <v>165</v>
      </c>
      <c r="F4" s="317"/>
      <c r="G4" s="317"/>
      <c r="H4" s="318"/>
      <c r="I4" s="319"/>
      <c r="J4" s="316" t="s">
        <v>166</v>
      </c>
      <c r="K4" s="317"/>
      <c r="L4" s="317"/>
      <c r="M4" s="318"/>
      <c r="N4" s="319"/>
      <c r="O4" s="316" t="s">
        <v>167</v>
      </c>
      <c r="P4" s="317"/>
      <c r="Q4" s="317"/>
      <c r="R4" s="318"/>
      <c r="S4" s="319"/>
      <c r="T4" s="316" t="s">
        <v>168</v>
      </c>
      <c r="U4" s="317"/>
      <c r="V4" s="317"/>
      <c r="W4" s="318"/>
      <c r="X4" s="320"/>
      <c r="Y4" s="321"/>
      <c r="Z4" s="307"/>
      <c r="AA4" s="307"/>
      <c r="AB4" s="308"/>
      <c r="AC4" s="322"/>
      <c r="AD4" s="321"/>
      <c r="AE4" s="307"/>
      <c r="AF4" s="307"/>
      <c r="AG4" s="308"/>
      <c r="AH4" s="323"/>
      <c r="AI4" s="324"/>
    </row>
    <row r="5">
      <c r="A5" s="312"/>
      <c r="B5" s="325"/>
      <c r="C5" s="326"/>
      <c r="D5" s="327"/>
      <c r="E5" s="328">
        <v>13.0</v>
      </c>
      <c r="F5" s="329"/>
      <c r="G5" s="329"/>
      <c r="H5" s="330"/>
      <c r="I5" s="331"/>
      <c r="J5" s="328">
        <v>13.0</v>
      </c>
      <c r="K5" s="329"/>
      <c r="L5" s="329"/>
      <c r="M5" s="330"/>
      <c r="N5" s="331"/>
      <c r="O5" s="328">
        <v>14.0</v>
      </c>
      <c r="P5" s="329"/>
      <c r="Q5" s="329"/>
      <c r="R5" s="330"/>
      <c r="S5" s="331"/>
      <c r="T5" s="328">
        <v>12.0</v>
      </c>
      <c r="U5" s="329"/>
      <c r="V5" s="329"/>
      <c r="W5" s="330"/>
      <c r="X5" s="320"/>
      <c r="Y5" s="332"/>
      <c r="Z5" s="307"/>
      <c r="AA5" s="307"/>
      <c r="AB5" s="308"/>
      <c r="AC5" s="322"/>
      <c r="AD5" s="332"/>
      <c r="AE5" s="307"/>
      <c r="AF5" s="307"/>
      <c r="AG5" s="308"/>
      <c r="AH5" s="333"/>
      <c r="AI5" s="334"/>
    </row>
    <row r="6" ht="25.5" customHeight="1">
      <c r="A6" s="312"/>
      <c r="B6" s="335"/>
      <c r="C6" s="336"/>
      <c r="D6" s="337"/>
      <c r="E6" s="338"/>
      <c r="F6" s="339" t="str">
        <f t="array" ref="F6">IFERROR(VLOOKUP(E4,Dex!$B$3:$H191,5,FALSE),"")</f>
        <v/>
      </c>
      <c r="G6" s="340" t="str">
        <f t="array" ref="G6">IFERROR(VLOOKUP(E4,Dex!$B$3:$H191,7,FALSE),"")</f>
        <v/>
      </c>
      <c r="H6" s="341"/>
      <c r="I6" s="342"/>
      <c r="J6" s="338"/>
      <c r="K6" s="339" t="str">
        <f t="array" ref="K6">IFERROR(VLOOKUP(J4,Dex!$B$3:$H191,5,FALSE),"")</f>
        <v/>
      </c>
      <c r="L6" s="340" t="str">
        <f t="array" ref="L6">IFERROR(VLOOKUP(J4,Dex!$B$3:$H191,7,FALSE),"")</f>
        <v/>
      </c>
      <c r="M6" s="341"/>
      <c r="N6" s="342"/>
      <c r="O6" s="338"/>
      <c r="P6" s="339" t="str">
        <f t="array" ref="P6">IFERROR(VLOOKUP(O4,Dex!$B$3:$H191,5,FALSE),"")</f>
        <v/>
      </c>
      <c r="Q6" s="340" t="str">
        <f t="array" ref="Q6">IFERROR(VLOOKUP(O4,Dex!$B$3:$H191,7,FALSE),"")</f>
        <v/>
      </c>
      <c r="R6" s="341"/>
      <c r="S6" s="342"/>
      <c r="T6" s="338"/>
      <c r="U6" s="339" t="str">
        <f t="array" ref="U6">IFERROR(VLOOKUP(T4,Dex!$B$3:$H191,5,FALSE),"")</f>
        <v/>
      </c>
      <c r="V6" s="340" t="str">
        <f t="array" ref="V6">IFERROR(VLOOKUP(T4,Dex!$B$3:$H191,7,FALSE),"")</f>
        <v/>
      </c>
      <c r="W6" s="341"/>
      <c r="X6" s="320"/>
      <c r="Y6" s="306"/>
      <c r="Z6" s="307"/>
      <c r="AA6" s="307"/>
      <c r="AB6" s="308"/>
      <c r="AC6" s="322"/>
      <c r="AD6" s="306"/>
      <c r="AE6" s="307"/>
      <c r="AF6" s="307"/>
      <c r="AG6" s="308"/>
      <c r="AH6" s="310"/>
      <c r="AI6" s="296"/>
    </row>
    <row r="7" ht="2.25" customHeight="1">
      <c r="A7" s="343"/>
      <c r="B7" s="335"/>
      <c r="C7" s="344"/>
      <c r="D7" s="337"/>
      <c r="E7" s="345"/>
      <c r="F7" s="346"/>
      <c r="G7" s="346"/>
      <c r="H7" s="347"/>
      <c r="I7" s="342"/>
      <c r="J7" s="345"/>
      <c r="K7" s="346"/>
      <c r="L7" s="346"/>
      <c r="M7" s="347"/>
      <c r="N7" s="342"/>
      <c r="O7" s="345"/>
      <c r="P7" s="346"/>
      <c r="Q7" s="346"/>
      <c r="R7" s="347"/>
      <c r="S7" s="342"/>
      <c r="T7" s="345"/>
      <c r="U7" s="346"/>
      <c r="V7" s="346"/>
      <c r="W7" s="347"/>
      <c r="X7" s="320"/>
      <c r="Y7" s="348"/>
      <c r="Z7" s="348"/>
      <c r="AA7" s="348"/>
      <c r="AB7" s="348"/>
      <c r="AC7" s="322"/>
      <c r="AD7" s="348"/>
      <c r="AE7" s="348"/>
      <c r="AF7" s="348"/>
      <c r="AG7" s="348"/>
      <c r="AH7" s="310"/>
      <c r="AI7" s="296"/>
    </row>
    <row r="8" ht="20.25" customHeight="1">
      <c r="A8" s="312"/>
      <c r="B8" s="335"/>
      <c r="C8" s="349"/>
      <c r="D8" s="337"/>
      <c r="E8" s="350" t="s">
        <v>169</v>
      </c>
      <c r="F8" s="351"/>
      <c r="G8" s="351"/>
      <c r="H8" s="352"/>
      <c r="I8" s="353"/>
      <c r="J8" s="350" t="s">
        <v>170</v>
      </c>
      <c r="K8" s="351"/>
      <c r="L8" s="351"/>
      <c r="M8" s="352"/>
      <c r="N8" s="353"/>
      <c r="O8" s="350" t="s">
        <v>171</v>
      </c>
      <c r="P8" s="351"/>
      <c r="Q8" s="351"/>
      <c r="R8" s="352"/>
      <c r="S8" s="353"/>
      <c r="T8" s="350" t="s">
        <v>172</v>
      </c>
      <c r="U8" s="351"/>
      <c r="V8" s="351"/>
      <c r="W8" s="352"/>
      <c r="X8" s="320"/>
      <c r="Y8" s="306"/>
      <c r="Z8" s="307"/>
      <c r="AA8" s="307"/>
      <c r="AB8" s="308"/>
      <c r="AC8" s="322"/>
      <c r="AD8" s="306"/>
      <c r="AE8" s="307"/>
      <c r="AF8" s="307"/>
      <c r="AG8" s="308"/>
      <c r="AH8" s="310"/>
      <c r="AI8" s="296"/>
    </row>
    <row r="9" ht="21.0" customHeight="1">
      <c r="A9" s="312"/>
      <c r="B9" s="335"/>
      <c r="C9" s="354"/>
      <c r="D9" s="337"/>
      <c r="E9" s="355" t="s">
        <v>173</v>
      </c>
      <c r="F9" s="307"/>
      <c r="G9" s="307"/>
      <c r="H9" s="356"/>
      <c r="I9" s="353"/>
      <c r="J9" s="355" t="s">
        <v>174</v>
      </c>
      <c r="K9" s="307"/>
      <c r="L9" s="307"/>
      <c r="M9" s="356"/>
      <c r="N9" s="353"/>
      <c r="O9" s="355" t="s">
        <v>173</v>
      </c>
      <c r="P9" s="307"/>
      <c r="Q9" s="307"/>
      <c r="R9" s="356"/>
      <c r="S9" s="353"/>
      <c r="T9" s="355" t="s">
        <v>175</v>
      </c>
      <c r="U9" s="307"/>
      <c r="V9" s="307"/>
      <c r="W9" s="356"/>
      <c r="X9" s="320"/>
      <c r="Y9" s="306"/>
      <c r="Z9" s="307"/>
      <c r="AA9" s="307"/>
      <c r="AB9" s="308"/>
      <c r="AC9" s="322"/>
      <c r="AD9" s="306"/>
      <c r="AE9" s="307"/>
      <c r="AF9" s="307"/>
      <c r="AG9" s="308"/>
      <c r="AH9" s="310"/>
      <c r="AI9" s="296"/>
    </row>
    <row r="10" ht="20.25" customHeight="1">
      <c r="A10" s="312"/>
      <c r="B10" s="335"/>
      <c r="C10" s="344"/>
      <c r="D10" s="337"/>
      <c r="E10" s="357" t="s">
        <v>176</v>
      </c>
      <c r="F10" s="329"/>
      <c r="G10" s="358"/>
      <c r="H10" s="359" t="str">
        <f>IMAGE("https://raw.githubusercontent.com/msikma/pokesprite/master/items/berry/custap.png",3)</f>
        <v/>
      </c>
      <c r="I10" s="353"/>
      <c r="J10" s="357" t="s">
        <v>177</v>
      </c>
      <c r="K10" s="329"/>
      <c r="L10" s="358"/>
      <c r="M10" s="360" t="str">
        <f>IMAGE("https://raw.githubusercontent.com/msikma/pokesprite/master/items/hold-item/air-balloon.png",3)</f>
        <v/>
      </c>
      <c r="N10" s="353"/>
      <c r="O10" s="357" t="s">
        <v>178</v>
      </c>
      <c r="P10" s="329"/>
      <c r="Q10" s="358"/>
      <c r="R10" s="360" t="str">
        <f>IMAGE("https://raw.githubusercontent.com/msikma/pokesprite/master/items/medicine/berry-juice.png",3)</f>
        <v/>
      </c>
      <c r="S10" s="353"/>
      <c r="T10" s="357" t="s">
        <v>178</v>
      </c>
      <c r="U10" s="329"/>
      <c r="V10" s="358"/>
      <c r="W10" s="360" t="str">
        <f>IMAGE("https://raw.githubusercontent.com/msikma/pokesprite/master/items/medicine/berry-juice.png",3)</f>
        <v/>
      </c>
      <c r="X10" s="320"/>
      <c r="Y10" s="306"/>
      <c r="Z10" s="307"/>
      <c r="AA10" s="307"/>
      <c r="AB10" s="308"/>
      <c r="AC10" s="322"/>
      <c r="AD10" s="306"/>
      <c r="AE10" s="307"/>
      <c r="AF10" s="307"/>
      <c r="AG10" s="308"/>
      <c r="AH10" s="310"/>
      <c r="AI10" s="296"/>
    </row>
    <row r="11" ht="20.25" customHeight="1">
      <c r="A11" s="312"/>
      <c r="B11" s="335"/>
      <c r="C11" s="349"/>
      <c r="D11" s="337"/>
      <c r="E11" s="350" t="s">
        <v>179</v>
      </c>
      <c r="F11" s="351"/>
      <c r="G11" s="351"/>
      <c r="H11" s="361" t="str">
        <f>IMAGE("https://raw.githubusercontent.com/msikma/pokesprite/master/misc/types/gen8/ground.png",4,20,20)</f>
        <v/>
      </c>
      <c r="I11" s="353"/>
      <c r="J11" s="350" t="s">
        <v>180</v>
      </c>
      <c r="K11" s="351"/>
      <c r="L11" s="351"/>
      <c r="M11" s="361" t="str">
        <f>IMAGE("https://raw.githubusercontent.com/msikma/pokesprite/master/misc/types/gen8/steel.png",4,20,20)</f>
        <v/>
      </c>
      <c r="N11" s="353"/>
      <c r="O11" s="350" t="s">
        <v>181</v>
      </c>
      <c r="P11" s="351"/>
      <c r="Q11" s="351"/>
      <c r="R11" s="361" t="str">
        <f>IMAGE("https://raw.githubusercontent.com/msikma/pokesprite/master/misc/types/gen8/rock.png",4,20,20)</f>
        <v/>
      </c>
      <c r="S11" s="353"/>
      <c r="T11" s="350" t="s">
        <v>182</v>
      </c>
      <c r="U11" s="351"/>
      <c r="V11" s="351"/>
      <c r="W11" s="361" t="str">
        <f>IMAGE("https://raw.githubusercontent.com/msikma/pokesprite/master/misc/types/gen8/flying.png",4,20,20)</f>
        <v/>
      </c>
      <c r="X11" s="320"/>
      <c r="Y11" s="306"/>
      <c r="Z11" s="307"/>
      <c r="AA11" s="307"/>
      <c r="AB11" s="308"/>
      <c r="AC11" s="322"/>
      <c r="AD11" s="306"/>
      <c r="AE11" s="307"/>
      <c r="AF11" s="307"/>
      <c r="AG11" s="308"/>
      <c r="AH11" s="310"/>
      <c r="AI11" s="296"/>
    </row>
    <row r="12" ht="20.25" customHeight="1">
      <c r="A12" s="312"/>
      <c r="B12" s="335"/>
      <c r="C12" s="362"/>
      <c r="D12" s="337"/>
      <c r="E12" s="355" t="s">
        <v>181</v>
      </c>
      <c r="F12" s="307"/>
      <c r="G12" s="307"/>
      <c r="H12" s="363" t="str">
        <f>IMAGE("https://raw.githubusercontent.com/msikma/pokesprite/master/misc/types/gen8/rock.png",4,20,20)</f>
        <v/>
      </c>
      <c r="I12" s="353"/>
      <c r="J12" s="355" t="s">
        <v>179</v>
      </c>
      <c r="K12" s="307"/>
      <c r="L12" s="307"/>
      <c r="M12" s="363" t="str">
        <f>IMAGE("https://raw.githubusercontent.com/msikma/pokesprite/master/misc/types/gen8/ground.png",4,20,20)</f>
        <v/>
      </c>
      <c r="N12" s="353"/>
      <c r="O12" s="355" t="s">
        <v>179</v>
      </c>
      <c r="P12" s="307"/>
      <c r="Q12" s="307"/>
      <c r="R12" s="363" t="str">
        <f>IMAGE("https://raw.githubusercontent.com/msikma/pokesprite/master/misc/types/gen8/ground.png",4,20,20)</f>
        <v/>
      </c>
      <c r="S12" s="353"/>
      <c r="T12" s="355" t="s">
        <v>181</v>
      </c>
      <c r="U12" s="307"/>
      <c r="V12" s="307"/>
      <c r="W12" s="363" t="str">
        <f>IMAGE("https://raw.githubusercontent.com/msikma/pokesprite/master/misc/types/gen8/rock.png",4,20,20)</f>
        <v/>
      </c>
      <c r="X12" s="320"/>
      <c r="Y12" s="306"/>
      <c r="Z12" s="307"/>
      <c r="AA12" s="307"/>
      <c r="AB12" s="308"/>
      <c r="AC12" s="322"/>
      <c r="AD12" s="306"/>
      <c r="AE12" s="307"/>
      <c r="AF12" s="307"/>
      <c r="AG12" s="308"/>
      <c r="AH12" s="310"/>
      <c r="AI12" s="296"/>
    </row>
    <row r="13" ht="20.25" customHeight="1">
      <c r="A13" s="312"/>
      <c r="B13" s="335"/>
      <c r="C13" s="362"/>
      <c r="D13" s="337"/>
      <c r="E13" s="355" t="s">
        <v>183</v>
      </c>
      <c r="F13" s="307"/>
      <c r="G13" s="307"/>
      <c r="H13" s="363" t="str">
        <f>IMAGE("https://raw.githubusercontent.com/msikma/pokesprite/master/misc/types/gen8/electric.png",4,20,20)</f>
        <v/>
      </c>
      <c r="I13" s="353"/>
      <c r="J13" s="355" t="s">
        <v>184</v>
      </c>
      <c r="K13" s="307"/>
      <c r="L13" s="307"/>
      <c r="M13" s="363" t="str">
        <f>IMAGE("https://raw.githubusercontent.com/msikma/pokesprite/master/misc/types/gen8/poison.png",4,20,20)</f>
        <v/>
      </c>
      <c r="N13" s="353"/>
      <c r="O13" s="355" t="s">
        <v>185</v>
      </c>
      <c r="P13" s="307"/>
      <c r="Q13" s="307"/>
      <c r="R13" s="363" t="str">
        <f>IMAGE("https://raw.githubusercontent.com/msikma/pokesprite/master/misc/types/gen8/normal.png",4,20,20)</f>
        <v/>
      </c>
      <c r="S13" s="353"/>
      <c r="T13" s="355" t="s">
        <v>179</v>
      </c>
      <c r="U13" s="307"/>
      <c r="V13" s="307"/>
      <c r="W13" s="363" t="str">
        <f>IMAGE("https://raw.githubusercontent.com/msikma/pokesprite/master/misc/types/gen8/ground.png",4,20,20)</f>
        <v/>
      </c>
      <c r="X13" s="320"/>
      <c r="Y13" s="306"/>
      <c r="Z13" s="307"/>
      <c r="AA13" s="307"/>
      <c r="AB13" s="308"/>
      <c r="AC13" s="322"/>
      <c r="AD13" s="306"/>
      <c r="AE13" s="307"/>
      <c r="AF13" s="307"/>
      <c r="AG13" s="308"/>
      <c r="AH13" s="310"/>
      <c r="AI13" s="296"/>
    </row>
    <row r="14" ht="21.0" customHeight="1">
      <c r="A14" s="312"/>
      <c r="B14" s="335"/>
      <c r="C14" s="362"/>
      <c r="D14" s="337"/>
      <c r="E14" s="364" t="s">
        <v>186</v>
      </c>
      <c r="F14" s="365"/>
      <c r="G14" s="365"/>
      <c r="H14" s="366" t="str">
        <f>IMAGE("https://raw.githubusercontent.com/msikma/pokesprite/master/misc/types/gen8/normal.png",4,20,20)</f>
        <v/>
      </c>
      <c r="I14" s="353"/>
      <c r="J14" s="364" t="s">
        <v>187</v>
      </c>
      <c r="K14" s="365"/>
      <c r="L14" s="365"/>
      <c r="M14" s="366" t="str">
        <f>IMAGE("https://raw.githubusercontent.com/msikma/pokesprite/master/misc/types/gen8/normal.png",4,20,20)</f>
        <v/>
      </c>
      <c r="N14" s="353"/>
      <c r="O14" s="364" t="s">
        <v>188</v>
      </c>
      <c r="P14" s="365"/>
      <c r="Q14" s="365"/>
      <c r="R14" s="367"/>
      <c r="S14" s="353"/>
      <c r="T14" s="364" t="s">
        <v>189</v>
      </c>
      <c r="U14" s="365"/>
      <c r="V14" s="365"/>
      <c r="W14" s="366" t="str">
        <f>IMAGE("https://raw.githubusercontent.com/msikma/pokesprite/master/misc/types/gen8/normal.png",4,20,20)</f>
        <v/>
      </c>
      <c r="X14" s="368"/>
      <c r="Y14" s="369"/>
      <c r="Z14" s="307"/>
      <c r="AA14" s="307"/>
      <c r="AB14" s="308"/>
      <c r="AC14" s="370"/>
      <c r="AD14" s="306"/>
      <c r="AE14" s="307"/>
      <c r="AF14" s="307"/>
      <c r="AG14" s="308"/>
      <c r="AH14" s="310"/>
      <c r="AI14" s="296"/>
    </row>
    <row r="15" ht="3.0" customHeight="1">
      <c r="A15" s="343"/>
      <c r="B15" s="335"/>
      <c r="C15" s="371"/>
      <c r="D15" s="372"/>
      <c r="E15" s="373"/>
      <c r="F15" s="373"/>
      <c r="G15" s="373"/>
      <c r="H15" s="373"/>
      <c r="I15" s="374"/>
      <c r="J15" s="373"/>
      <c r="K15" s="373"/>
      <c r="L15" s="373"/>
      <c r="M15" s="373"/>
      <c r="N15" s="374"/>
      <c r="O15" s="373"/>
      <c r="P15" s="373"/>
      <c r="Q15" s="373"/>
      <c r="R15" s="373"/>
      <c r="S15" s="374"/>
      <c r="T15" s="373"/>
      <c r="U15" s="373"/>
      <c r="V15" s="373"/>
      <c r="W15" s="373"/>
      <c r="X15" s="372"/>
      <c r="Y15" s="372"/>
      <c r="Z15" s="375"/>
      <c r="AA15" s="375"/>
      <c r="AB15" s="376"/>
      <c r="AC15" s="376"/>
      <c r="AD15" s="376"/>
      <c r="AE15" s="376"/>
      <c r="AF15" s="376"/>
      <c r="AG15" s="376"/>
      <c r="AH15" s="310"/>
      <c r="AI15" s="296"/>
    </row>
    <row r="16" ht="16.5" customHeight="1">
      <c r="A16" s="312"/>
      <c r="B16" s="377"/>
      <c r="C16" s="378"/>
      <c r="D16" s="379"/>
      <c r="E16" s="380" t="s">
        <v>190</v>
      </c>
      <c r="F16" s="381"/>
      <c r="G16" s="382"/>
      <c r="H16" s="383" t="s">
        <v>191</v>
      </c>
      <c r="I16" s="384"/>
      <c r="J16" s="380" t="s">
        <v>190</v>
      </c>
      <c r="K16" s="381"/>
      <c r="L16" s="382"/>
      <c r="M16" s="383" t="s">
        <v>191</v>
      </c>
      <c r="N16" s="384"/>
      <c r="O16" s="380" t="s">
        <v>190</v>
      </c>
      <c r="P16" s="381"/>
      <c r="Q16" s="382"/>
      <c r="R16" s="383" t="s">
        <v>191</v>
      </c>
      <c r="S16" s="384"/>
      <c r="T16" s="380" t="s">
        <v>190</v>
      </c>
      <c r="U16" s="381"/>
      <c r="V16" s="382"/>
      <c r="W16" s="383" t="s">
        <v>191</v>
      </c>
      <c r="X16" s="385"/>
      <c r="Y16" s="386"/>
      <c r="Z16" s="386"/>
      <c r="AA16" s="386"/>
      <c r="AB16" s="387"/>
      <c r="AC16" s="387"/>
      <c r="AD16" s="387"/>
      <c r="AE16" s="387"/>
      <c r="AF16" s="387"/>
      <c r="AG16" s="387"/>
      <c r="AH16" s="388"/>
      <c r="AI16" s="389"/>
    </row>
    <row r="17" ht="15.75" customHeight="1">
      <c r="A17" s="312"/>
      <c r="B17" s="377"/>
      <c r="C17" s="378"/>
      <c r="D17" s="379"/>
      <c r="E17" s="390" t="s">
        <v>192</v>
      </c>
      <c r="F17" s="391">
        <f t="array" ref="F17">IFERROR(VLOOKUP(E4,Dex!$B$3:$N191,8,FALSE),"")</f>
        <v>40</v>
      </c>
      <c r="G17" s="392" t="str">
        <f t="array" ref="G17">IFERROR(VLOOKUP(F17,Dex!$P$22:$Q$276,2,FALSE),"")</f>
        <v/>
      </c>
      <c r="H17" s="393"/>
      <c r="I17" s="394"/>
      <c r="J17" s="390" t="s">
        <v>192</v>
      </c>
      <c r="K17" s="391">
        <f t="array" ref="K17">IFERROR(VLOOKUP(J4,Dex!$B$3:$N191,8,FALSE),"")</f>
        <v>45</v>
      </c>
      <c r="L17" s="392" t="str">
        <f t="array" ref="L17">IFERROR(VLOOKUP(K17,Dex!$P$22:$Q$276,2,FALSE),"")</f>
        <v/>
      </c>
      <c r="M17" s="393"/>
      <c r="N17" s="394"/>
      <c r="O17" s="390" t="s">
        <v>192</v>
      </c>
      <c r="P17" s="391">
        <f t="array" ref="P17">IFERROR(VLOOKUP(O4,Dex!$B$3:$N191,8,FALSE),"")</f>
        <v>50</v>
      </c>
      <c r="Q17" s="392" t="str">
        <f t="array" ref="Q17">IFERROR(VLOOKUP(P17,Dex!$P$22:$Q$276,2,FALSE),"")</f>
        <v/>
      </c>
      <c r="R17" s="393"/>
      <c r="S17" s="394"/>
      <c r="T17" s="390" t="s">
        <v>192</v>
      </c>
      <c r="U17" s="391">
        <f t="array" ref="U17">IFERROR(VLOOKUP(T4,Dex!$B$3:$N191,8,FALSE),"")</f>
        <v>55</v>
      </c>
      <c r="V17" s="392" t="str">
        <f t="array" ref="V17">IFERROR(VLOOKUP(U17,Dex!$P$22:$Q$276,2,FALSE),"")</f>
        <v/>
      </c>
      <c r="W17" s="393"/>
      <c r="X17" s="385"/>
      <c r="Y17" s="386"/>
      <c r="Z17" s="386"/>
      <c r="AA17" s="386"/>
      <c r="AB17" s="387"/>
      <c r="AC17" s="387"/>
      <c r="AD17" s="387"/>
      <c r="AE17" s="387"/>
      <c r="AF17" s="387"/>
      <c r="AG17" s="387"/>
      <c r="AH17" s="388"/>
      <c r="AI17" s="389"/>
    </row>
    <row r="18" ht="15.75" customHeight="1">
      <c r="A18" s="312"/>
      <c r="B18" s="377"/>
      <c r="C18" s="378"/>
      <c r="D18" s="379"/>
      <c r="E18" s="395" t="s">
        <v>193</v>
      </c>
      <c r="F18" s="396">
        <f t="array" ref="F18">IFERROR(VLOOKUP(E4,Dex!$B$3:$N191,9,FALSE),"")</f>
        <v>80</v>
      </c>
      <c r="G18" s="397" t="str">
        <f t="array" ref="G18">IFERROR(VLOOKUP(F18,Dex!$P$22:$Q$276,2,FALSE),"")</f>
        <v/>
      </c>
      <c r="H18" s="398"/>
      <c r="I18" s="394"/>
      <c r="J18" s="395" t="s">
        <v>193</v>
      </c>
      <c r="K18" s="396">
        <f t="array" ref="K18">IFERROR(VLOOKUP(J4,Dex!$B$3:$N191,9,FALSE),"")</f>
        <v>70</v>
      </c>
      <c r="L18" s="397" t="str">
        <f t="array" ref="L18">IFERROR(VLOOKUP(K18,Dex!$P$22:$Q$276,2,FALSE),"")</f>
        <v/>
      </c>
      <c r="M18" s="398"/>
      <c r="N18" s="394"/>
      <c r="O18" s="395" t="s">
        <v>193</v>
      </c>
      <c r="P18" s="396">
        <f t="array" ref="P18">IFERROR(VLOOKUP(O4,Dex!$B$3:$N191,9,FALSE),"")</f>
        <v>60</v>
      </c>
      <c r="Q18" s="397" t="str">
        <f t="array" ref="Q18">IFERROR(VLOOKUP(P18,Dex!$P$22:$Q$276,2,FALSE),"")</f>
        <v/>
      </c>
      <c r="R18" s="398"/>
      <c r="S18" s="394"/>
      <c r="T18" s="395" t="s">
        <v>193</v>
      </c>
      <c r="U18" s="396">
        <f t="array" ref="U18">IFERROR(VLOOKUP(T4,Dex!$B$3:$N191,9,FALSE),"")</f>
        <v>112</v>
      </c>
      <c r="V18" s="397" t="str">
        <f t="array" ref="V18">IFERROR(VLOOKUP(U18,Dex!$P$22:$Q$276,2,FALSE),"")</f>
        <v/>
      </c>
      <c r="W18" s="398"/>
      <c r="X18" s="385"/>
      <c r="Y18" s="386"/>
      <c r="Z18" s="386"/>
      <c r="AA18" s="386"/>
      <c r="AB18" s="387"/>
      <c r="AC18" s="387"/>
      <c r="AD18" s="387"/>
      <c r="AE18" s="387"/>
      <c r="AF18" s="387"/>
      <c r="AG18" s="387"/>
      <c r="AH18" s="388"/>
      <c r="AI18" s="389"/>
    </row>
    <row r="19" ht="15.75" customHeight="1">
      <c r="A19" s="312"/>
      <c r="B19" s="377"/>
      <c r="C19" s="378"/>
      <c r="D19" s="379"/>
      <c r="E19" s="395" t="s">
        <v>194</v>
      </c>
      <c r="F19" s="396">
        <f t="array" ref="F19">IFERROR(VLOOKUP(E4,Dex!$B$3:$N191,10,FALSE),"")</f>
        <v>100</v>
      </c>
      <c r="G19" s="397" t="str">
        <f t="array" ref="G19">IFERROR(VLOOKUP(F19,Dex!$P$22:$Q$276,2,FALSE),"")</f>
        <v/>
      </c>
      <c r="H19" s="398"/>
      <c r="I19" s="394"/>
      <c r="J19" s="395" t="s">
        <v>194</v>
      </c>
      <c r="K19" s="396">
        <f t="array" ref="K19">IFERROR(VLOOKUP(J4,Dex!$B$3:$N191,10,FALSE),"")</f>
        <v>63</v>
      </c>
      <c r="L19" s="397" t="str">
        <f t="array" ref="L19">IFERROR(VLOOKUP(K19,Dex!$P$22:$Q$276,2,FALSE),"")</f>
        <v/>
      </c>
      <c r="M19" s="398"/>
      <c r="N19" s="394"/>
      <c r="O19" s="395" t="s">
        <v>194</v>
      </c>
      <c r="P19" s="396">
        <f t="array" ref="P19">IFERROR(VLOOKUP(O4,Dex!$B$3:$N191,10,FALSE),"")</f>
        <v>150</v>
      </c>
      <c r="Q19" s="397" t="str">
        <f t="array" ref="Q19">IFERROR(VLOOKUP(P19,Dex!$P$22:$Q$276,2,FALSE),"")</f>
        <v/>
      </c>
      <c r="R19" s="398"/>
      <c r="S19" s="394"/>
      <c r="T19" s="395" t="s">
        <v>194</v>
      </c>
      <c r="U19" s="396">
        <f t="array" ref="U19">IFERROR(VLOOKUP(T4,Dex!$B$3:$N191,10,FALSE),"")</f>
        <v>45</v>
      </c>
      <c r="V19" s="397" t="str">
        <f t="array" ref="V19">IFERROR(VLOOKUP(U19,Dex!$P$22:$Q$276,2,FALSE),"")</f>
        <v/>
      </c>
      <c r="W19" s="398"/>
      <c r="X19" s="385"/>
      <c r="Y19" s="386"/>
      <c r="Z19" s="386"/>
      <c r="AA19" s="386"/>
      <c r="AB19" s="387"/>
      <c r="AC19" s="387"/>
      <c r="AD19" s="387"/>
      <c r="AE19" s="387"/>
      <c r="AF19" s="387"/>
      <c r="AG19" s="387"/>
      <c r="AH19" s="388"/>
      <c r="AI19" s="389"/>
    </row>
    <row r="20" ht="15.75" customHeight="1">
      <c r="A20" s="312"/>
      <c r="B20" s="377"/>
      <c r="C20" s="378"/>
      <c r="D20" s="379"/>
      <c r="E20" s="395" t="s">
        <v>195</v>
      </c>
      <c r="F20" s="396">
        <f t="array" ref="F20">IFERROR(VLOOKUP(E4,Dex!$B$3:$N191,11,FALSE),"")</f>
        <v>30</v>
      </c>
      <c r="G20" s="397" t="str">
        <f t="array" ref="G20">IFERROR(VLOOKUP(F20,Dex!$P$22:$Q$276,2,FALSE),"")</f>
        <v/>
      </c>
      <c r="H20" s="398"/>
      <c r="I20" s="394"/>
      <c r="J20" s="395" t="s">
        <v>195</v>
      </c>
      <c r="K20" s="396">
        <f t="array" ref="K20">IFERROR(VLOOKUP(J4,Dex!$B$3:$N191,11,FALSE),"")</f>
        <v>30</v>
      </c>
      <c r="L20" s="397" t="str">
        <f t="array" ref="L20">IFERROR(VLOOKUP(K20,Dex!$P$22:$Q$276,2,FALSE),"")</f>
        <v/>
      </c>
      <c r="M20" s="398"/>
      <c r="N20" s="394"/>
      <c r="O20" s="395" t="s">
        <v>195</v>
      </c>
      <c r="P20" s="396">
        <f t="array" ref="P20">IFERROR(VLOOKUP(O4,Dex!$B$3:$N191,11,FALSE),"")</f>
        <v>30</v>
      </c>
      <c r="Q20" s="397" t="str">
        <f t="array" ref="Q20">IFERROR(VLOOKUP(P20,Dex!$P$22:$Q$276,2,FALSE),"")</f>
        <v/>
      </c>
      <c r="R20" s="398"/>
      <c r="S20" s="394"/>
      <c r="T20" s="395" t="s">
        <v>195</v>
      </c>
      <c r="U20" s="396">
        <f t="array" ref="U20">IFERROR(VLOOKUP(T4,Dex!$B$3:$N191,11,FALSE),"")</f>
        <v>74</v>
      </c>
      <c r="V20" s="397" t="str">
        <f t="array" ref="V20">IFERROR(VLOOKUP(U20,Dex!$P$22:$Q$276,2,FALSE),"")</f>
        <v/>
      </c>
      <c r="W20" s="398"/>
      <c r="X20" s="385"/>
      <c r="Y20" s="386"/>
      <c r="Z20" s="386"/>
      <c r="AA20" s="386"/>
      <c r="AB20" s="387"/>
      <c r="AC20" s="387"/>
      <c r="AD20" s="387"/>
      <c r="AE20" s="387"/>
      <c r="AF20" s="387"/>
      <c r="AG20" s="387"/>
      <c r="AH20" s="388"/>
      <c r="AI20" s="389"/>
    </row>
    <row r="21" ht="15.75" customHeight="1">
      <c r="A21" s="312"/>
      <c r="B21" s="377"/>
      <c r="C21" s="378"/>
      <c r="D21" s="379"/>
      <c r="E21" s="395" t="s">
        <v>196</v>
      </c>
      <c r="F21" s="396">
        <f t="array" ref="F21">IFERROR(VLOOKUP(E4,Dex!$B$3:$N191,12,FALSE),"")</f>
        <v>30</v>
      </c>
      <c r="G21" s="397" t="str">
        <f t="array" ref="G21">IFERROR(VLOOKUP(F21,Dex!$P$22:$Q$276,2,FALSE),"")</f>
        <v/>
      </c>
      <c r="H21" s="398"/>
      <c r="I21" s="394"/>
      <c r="J21" s="395" t="s">
        <v>196</v>
      </c>
      <c r="K21" s="396">
        <f t="array" ref="K21">IFERROR(VLOOKUP(J4,Dex!$B$3:$N191,12,FALSE),"")</f>
        <v>45</v>
      </c>
      <c r="L21" s="397" t="str">
        <f t="array" ref="L21">IFERROR(VLOOKUP(K21,Dex!$P$22:$Q$276,2,FALSE),"")</f>
        <v/>
      </c>
      <c r="M21" s="398"/>
      <c r="N21" s="394"/>
      <c r="O21" s="395" t="s">
        <v>196</v>
      </c>
      <c r="P21" s="396">
        <f t="array" ref="P21">IFERROR(VLOOKUP(O4,Dex!$B$3:$N191,12,FALSE),"")</f>
        <v>45</v>
      </c>
      <c r="Q21" s="397" t="str">
        <f t="array" ref="Q21">IFERROR(VLOOKUP(P21,Dex!$P$22:$Q$276,2,FALSE),"")</f>
        <v/>
      </c>
      <c r="R21" s="398"/>
      <c r="S21" s="394"/>
      <c r="T21" s="395" t="s">
        <v>196</v>
      </c>
      <c r="U21" s="396">
        <f t="array" ref="U21">IFERROR(VLOOKUP(T4,Dex!$B$3:$N191,12,FALSE),"")</f>
        <v>45</v>
      </c>
      <c r="V21" s="397" t="str">
        <f t="array" ref="V21">IFERROR(VLOOKUP(U21,Dex!$P$22:$Q$276,2,FALSE),"")</f>
        <v/>
      </c>
      <c r="W21" s="398"/>
      <c r="X21" s="385"/>
      <c r="Y21" s="386"/>
      <c r="Z21" s="386"/>
      <c r="AA21" s="386"/>
      <c r="AB21" s="387"/>
      <c r="AC21" s="387"/>
      <c r="AD21" s="387"/>
      <c r="AE21" s="387"/>
      <c r="AF21" s="387"/>
      <c r="AG21" s="387"/>
      <c r="AH21" s="388"/>
      <c r="AI21" s="389"/>
    </row>
    <row r="22" ht="15.75" customHeight="1">
      <c r="A22" s="312"/>
      <c r="B22" s="377"/>
      <c r="C22" s="378"/>
      <c r="D22" s="379"/>
      <c r="E22" s="399" t="s">
        <v>197</v>
      </c>
      <c r="F22" s="400">
        <f t="array" ref="F22">IFERROR(VLOOKUP(E4,Dex!$B$3:$N191,13,FALSE),"")</f>
        <v>20</v>
      </c>
      <c r="G22" s="401" t="str">
        <f t="array" ref="G22">IFERROR(VLOOKUP(F22,Dex!$P$22:$Q$276,2,FALSE),"")</f>
        <v/>
      </c>
      <c r="H22" s="402"/>
      <c r="I22" s="394"/>
      <c r="J22" s="399" t="s">
        <v>197</v>
      </c>
      <c r="K22" s="400">
        <f t="array" ref="K22">IFERROR(VLOOKUP(J4,Dex!$B$3:$N191,13,FALSE),"")</f>
        <v>47</v>
      </c>
      <c r="L22" s="401" t="str">
        <f t="array" ref="L22">IFERROR(VLOOKUP(K22,Dex!$P$22:$Q$276,2,FALSE),"")</f>
        <v/>
      </c>
      <c r="M22" s="402"/>
      <c r="N22" s="394"/>
      <c r="O22" s="399" t="s">
        <v>197</v>
      </c>
      <c r="P22" s="400">
        <f t="array" ref="P22">IFERROR(VLOOKUP(O4,Dex!$B$3:$N191,13,FALSE),"")</f>
        <v>65</v>
      </c>
      <c r="Q22" s="401" t="str">
        <f t="array" ref="Q22">IFERROR(VLOOKUP(P22,Dex!$P$22:$Q$276,2,FALSE),"")</f>
        <v/>
      </c>
      <c r="R22" s="402"/>
      <c r="S22" s="394"/>
      <c r="T22" s="399" t="s">
        <v>197</v>
      </c>
      <c r="U22" s="400">
        <f t="array" ref="U22">IFERROR(VLOOKUP(T4,Dex!$B$3:$N191,13,FALSE),"")</f>
        <v>70</v>
      </c>
      <c r="V22" s="401" t="str">
        <f t="array" ref="V22">IFERROR(VLOOKUP(U22,Dex!$P$22:$Q$276,2,FALSE),"")</f>
        <v/>
      </c>
      <c r="W22" s="402"/>
      <c r="X22" s="385"/>
      <c r="Y22" s="386"/>
      <c r="Z22" s="386"/>
      <c r="AA22" s="386"/>
      <c r="AB22" s="387"/>
      <c r="AC22" s="387"/>
      <c r="AD22" s="387"/>
      <c r="AE22" s="387"/>
      <c r="AF22" s="387"/>
      <c r="AG22" s="387"/>
      <c r="AH22" s="388"/>
      <c r="AI22" s="389"/>
    </row>
    <row r="23" ht="16.5" customHeight="1">
      <c r="A23" s="312"/>
      <c r="B23" s="377"/>
      <c r="C23" s="371"/>
      <c r="D23" s="403"/>
      <c r="E23" s="404" t="s">
        <v>198</v>
      </c>
      <c r="F23" s="405"/>
      <c r="G23" s="406"/>
      <c r="H23" s="407">
        <v>14.0</v>
      </c>
      <c r="I23" s="408"/>
      <c r="J23" s="404" t="s">
        <v>198</v>
      </c>
      <c r="K23" s="405"/>
      <c r="L23" s="406"/>
      <c r="M23" s="407">
        <v>15.0</v>
      </c>
      <c r="N23" s="409"/>
      <c r="O23" s="404" t="s">
        <v>198</v>
      </c>
      <c r="P23" s="405"/>
      <c r="Q23" s="406"/>
      <c r="R23" s="407">
        <v>27.0</v>
      </c>
      <c r="S23" s="409"/>
      <c r="T23" s="404" t="s">
        <v>198</v>
      </c>
      <c r="U23" s="405"/>
      <c r="V23" s="406"/>
      <c r="W23" s="407">
        <v>27.0</v>
      </c>
      <c r="X23" s="385"/>
      <c r="Y23" s="386"/>
      <c r="Z23" s="386"/>
      <c r="AA23" s="386"/>
      <c r="AB23" s="387"/>
      <c r="AC23" s="387"/>
      <c r="AD23" s="387"/>
      <c r="AE23" s="387"/>
      <c r="AF23" s="387"/>
      <c r="AG23" s="387"/>
      <c r="AH23" s="388"/>
      <c r="AI23" s="389"/>
    </row>
    <row r="24" ht="15.0" customHeight="1">
      <c r="A24" s="290"/>
      <c r="B24" s="410"/>
      <c r="C24" s="411"/>
      <c r="D24" s="412"/>
      <c r="E24" s="412"/>
      <c r="F24" s="412"/>
      <c r="G24" s="412"/>
      <c r="H24" s="412"/>
      <c r="I24" s="412"/>
      <c r="J24" s="412"/>
      <c r="K24" s="412"/>
      <c r="L24" s="412"/>
      <c r="M24" s="412"/>
      <c r="N24" s="412"/>
      <c r="O24" s="412"/>
      <c r="P24" s="412"/>
      <c r="Q24" s="412"/>
      <c r="R24" s="412"/>
      <c r="S24" s="412"/>
      <c r="T24" s="412"/>
      <c r="U24" s="412"/>
      <c r="V24" s="412"/>
      <c r="W24" s="412"/>
      <c r="X24" s="412"/>
      <c r="Y24" s="412"/>
      <c r="Z24" s="412"/>
      <c r="AA24" s="412"/>
      <c r="AB24" s="412"/>
      <c r="AC24" s="412"/>
      <c r="AD24" s="412"/>
      <c r="AE24" s="412"/>
      <c r="AF24" s="412"/>
      <c r="AG24" s="412"/>
      <c r="AH24" s="413"/>
      <c r="AI24" s="296"/>
    </row>
    <row r="25" ht="15.0" customHeight="1">
      <c r="A25" s="290"/>
      <c r="B25" s="414"/>
      <c r="C25" s="415"/>
      <c r="D25" s="416"/>
      <c r="E25" s="417"/>
      <c r="F25" s="417"/>
      <c r="G25" s="417"/>
      <c r="H25" s="417"/>
      <c r="I25" s="416"/>
      <c r="J25" s="417"/>
      <c r="K25" s="417"/>
      <c r="L25" s="417"/>
      <c r="M25" s="417"/>
      <c r="N25" s="416"/>
      <c r="O25" s="417"/>
      <c r="P25" s="417"/>
      <c r="Q25" s="417"/>
      <c r="R25" s="417"/>
      <c r="S25" s="416"/>
      <c r="T25" s="417"/>
      <c r="U25" s="417"/>
      <c r="V25" s="417"/>
      <c r="W25" s="417"/>
      <c r="X25" s="416"/>
      <c r="Y25" s="416"/>
      <c r="Z25" s="416"/>
      <c r="AA25" s="416"/>
      <c r="AB25" s="416"/>
      <c r="AC25" s="416"/>
      <c r="AD25" s="416"/>
      <c r="AE25" s="416"/>
      <c r="AF25" s="416"/>
      <c r="AG25" s="416"/>
      <c r="AH25" s="418"/>
      <c r="AI25" s="296"/>
    </row>
    <row r="26" ht="96.75" customHeight="1">
      <c r="A26" s="290"/>
      <c r="B26" s="419"/>
      <c r="C26" s="420" t="str">
        <f>IMAGE("https://i.ibb.co/mh2zYn4/Misty.png")</f>
        <v/>
      </c>
      <c r="D26" s="421"/>
      <c r="E26" s="422" t="str">
        <f t="array" ref="E26">IFERROR(VLOOKUP(E27,Dex!$B$3:$G191,3,FALSE),"")</f>
        <v/>
      </c>
      <c r="F26" s="302"/>
      <c r="G26" s="302"/>
      <c r="H26" s="303"/>
      <c r="I26" s="423"/>
      <c r="J26" s="422" t="str">
        <f t="array" ref="J26">IFERROR(VLOOKUP(J27,Dex!$B$3:$G191,3,FALSE),"")</f>
        <v/>
      </c>
      <c r="K26" s="302"/>
      <c r="L26" s="302"/>
      <c r="M26" s="303"/>
      <c r="N26" s="423"/>
      <c r="O26" s="422" t="str">
        <f t="array" ref="O26">IFERROR(VLOOKUP(O27,Dex!$B$3:$G191,3,FALSE),"")</f>
        <v/>
      </c>
      <c r="P26" s="302"/>
      <c r="Q26" s="302"/>
      <c r="R26" s="303"/>
      <c r="S26" s="423"/>
      <c r="T26" s="422" t="str">
        <f t="array" ref="T26">IFERROR(VLOOKUP(T27,Dex!$B$3:$G191,3,FALSE),"")</f>
        <v/>
      </c>
      <c r="U26" s="302"/>
      <c r="V26" s="302"/>
      <c r="W26" s="303"/>
      <c r="X26" s="424"/>
      <c r="Y26" s="425"/>
      <c r="Z26" s="426"/>
      <c r="AA26" s="426"/>
      <c r="AB26" s="427"/>
      <c r="AC26" s="428"/>
      <c r="AD26" s="425"/>
      <c r="AE26" s="426"/>
      <c r="AF26" s="426"/>
      <c r="AG26" s="427"/>
      <c r="AH26" s="429"/>
      <c r="AI26" s="296"/>
    </row>
    <row r="27" ht="18.75" customHeight="1">
      <c r="A27" s="312"/>
      <c r="B27" s="430"/>
      <c r="C27" s="431" t="s">
        <v>199</v>
      </c>
      <c r="D27" s="432"/>
      <c r="E27" s="433" t="s">
        <v>200</v>
      </c>
      <c r="F27" s="434"/>
      <c r="G27" s="434"/>
      <c r="H27" s="435"/>
      <c r="I27" s="436"/>
      <c r="J27" s="433" t="s">
        <v>201</v>
      </c>
      <c r="K27" s="434"/>
      <c r="L27" s="434"/>
      <c r="M27" s="435"/>
      <c r="N27" s="436"/>
      <c r="O27" s="433" t="s">
        <v>202</v>
      </c>
      <c r="P27" s="434"/>
      <c r="Q27" s="434"/>
      <c r="R27" s="435"/>
      <c r="S27" s="436"/>
      <c r="T27" s="433" t="s">
        <v>203</v>
      </c>
      <c r="U27" s="434"/>
      <c r="V27" s="434"/>
      <c r="W27" s="435"/>
      <c r="X27" s="437"/>
      <c r="Y27" s="438"/>
      <c r="Z27" s="426"/>
      <c r="AA27" s="426"/>
      <c r="AB27" s="427"/>
      <c r="AC27" s="439"/>
      <c r="AD27" s="438"/>
      <c r="AE27" s="426"/>
      <c r="AF27" s="426"/>
      <c r="AG27" s="427"/>
      <c r="AH27" s="440"/>
      <c r="AI27" s="324"/>
    </row>
    <row r="28">
      <c r="A28" s="312"/>
      <c r="B28" s="441"/>
      <c r="C28" s="326"/>
      <c r="D28" s="442"/>
      <c r="E28" s="443">
        <v>25.0</v>
      </c>
      <c r="F28" s="426"/>
      <c r="G28" s="426"/>
      <c r="H28" s="444"/>
      <c r="I28" s="436"/>
      <c r="J28" s="443">
        <v>25.0</v>
      </c>
      <c r="K28" s="426"/>
      <c r="L28" s="426"/>
      <c r="M28" s="444"/>
      <c r="N28" s="436"/>
      <c r="O28" s="443">
        <v>27.0</v>
      </c>
      <c r="P28" s="426"/>
      <c r="Q28" s="426"/>
      <c r="R28" s="444"/>
      <c r="S28" s="436"/>
      <c r="T28" s="443">
        <v>26.0</v>
      </c>
      <c r="U28" s="426"/>
      <c r="V28" s="426"/>
      <c r="W28" s="444"/>
      <c r="X28" s="437"/>
      <c r="Y28" s="445"/>
      <c r="Z28" s="426"/>
      <c r="AA28" s="426"/>
      <c r="AB28" s="427"/>
      <c r="AC28" s="439"/>
      <c r="AD28" s="445"/>
      <c r="AE28" s="426"/>
      <c r="AF28" s="426"/>
      <c r="AG28" s="427"/>
      <c r="AH28" s="446"/>
      <c r="AI28" s="334"/>
    </row>
    <row r="29" ht="25.5" customHeight="1">
      <c r="A29" s="312"/>
      <c r="B29" s="419"/>
      <c r="C29" s="447"/>
      <c r="D29" s="425"/>
      <c r="E29" s="448"/>
      <c r="F29" s="449" t="str">
        <f t="array" ref="F29">IFERROR(VLOOKUP(E27,Dex!$B$3:$H191,5,FALSE),"")</f>
        <v/>
      </c>
      <c r="G29" s="427"/>
      <c r="H29" s="450"/>
      <c r="I29" s="451"/>
      <c r="J29" s="452"/>
      <c r="K29" s="449" t="str">
        <f t="array" ref="K29">IFERROR(VLOOKUP(J27,Dex!$B$3:$H191,5,FALSE),"")</f>
        <v/>
      </c>
      <c r="L29" s="427"/>
      <c r="M29" s="453"/>
      <c r="N29" s="451"/>
      <c r="O29" s="452"/>
      <c r="P29" s="454" t="str">
        <f t="array" ref="P29">IFERROR(VLOOKUP(O27,Dex!$B$3:$H191,5,FALSE),"")</f>
        <v/>
      </c>
      <c r="Q29" s="455" t="str">
        <f t="array" ref="Q29">IFERROR(VLOOKUP(O27,Dex!$B$3:$H191,7,FALSE),"")</f>
        <v/>
      </c>
      <c r="R29" s="453"/>
      <c r="S29" s="451"/>
      <c r="T29" s="452"/>
      <c r="U29" s="454" t="str">
        <f t="array" ref="U29">IFERROR(VLOOKUP(T27,Dex!$B$3:$H191,5,FALSE),"")</f>
        <v/>
      </c>
      <c r="V29" s="455" t="str">
        <f t="array" ref="V29">IFERROR(VLOOKUP(T27,Dex!$B$3:$H191,7,FALSE),"")</f>
        <v/>
      </c>
      <c r="W29" s="453"/>
      <c r="X29" s="437"/>
      <c r="Y29" s="425"/>
      <c r="Z29" s="426"/>
      <c r="AA29" s="426"/>
      <c r="AB29" s="427"/>
      <c r="AC29" s="439"/>
      <c r="AD29" s="425"/>
      <c r="AE29" s="426"/>
      <c r="AF29" s="426"/>
      <c r="AG29" s="427"/>
      <c r="AH29" s="429"/>
      <c r="AI29" s="296"/>
    </row>
    <row r="30" ht="2.25" customHeight="1">
      <c r="A30" s="343"/>
      <c r="B30" s="419"/>
      <c r="C30" s="439"/>
      <c r="D30" s="425"/>
      <c r="E30" s="456"/>
      <c r="F30" s="457"/>
      <c r="G30" s="457"/>
      <c r="H30" s="458"/>
      <c r="I30" s="451"/>
      <c r="J30" s="459"/>
      <c r="K30" s="457"/>
      <c r="L30" s="457"/>
      <c r="M30" s="460"/>
      <c r="N30" s="451"/>
      <c r="O30" s="459"/>
      <c r="P30" s="461"/>
      <c r="Q30" s="461"/>
      <c r="R30" s="460"/>
      <c r="S30" s="451"/>
      <c r="T30" s="459"/>
      <c r="U30" s="461"/>
      <c r="V30" s="461"/>
      <c r="W30" s="460"/>
      <c r="X30" s="437"/>
      <c r="Y30" s="462"/>
      <c r="Z30" s="462"/>
      <c r="AA30" s="462"/>
      <c r="AB30" s="462"/>
      <c r="AC30" s="439"/>
      <c r="AD30" s="462"/>
      <c r="AE30" s="462"/>
      <c r="AF30" s="462"/>
      <c r="AG30" s="462"/>
      <c r="AH30" s="429"/>
      <c r="AI30" s="296"/>
    </row>
    <row r="31" ht="20.25" customHeight="1">
      <c r="A31" s="312"/>
      <c r="B31" s="419"/>
      <c r="C31" s="463"/>
      <c r="D31" s="425"/>
      <c r="E31" s="464" t="s">
        <v>204</v>
      </c>
      <c r="F31" s="465"/>
      <c r="G31" s="465"/>
      <c r="H31" s="466"/>
      <c r="I31" s="467"/>
      <c r="J31" s="464" t="s">
        <v>205</v>
      </c>
      <c r="K31" s="465"/>
      <c r="L31" s="465"/>
      <c r="M31" s="466"/>
      <c r="N31" s="467"/>
      <c r="O31" s="464" t="s">
        <v>205</v>
      </c>
      <c r="P31" s="465"/>
      <c r="Q31" s="465"/>
      <c r="R31" s="466"/>
      <c r="S31" s="467"/>
      <c r="T31" s="464" t="s">
        <v>206</v>
      </c>
      <c r="U31" s="465"/>
      <c r="V31" s="465"/>
      <c r="W31" s="466"/>
      <c r="X31" s="437"/>
      <c r="Y31" s="425"/>
      <c r="Z31" s="426"/>
      <c r="AA31" s="426"/>
      <c r="AB31" s="427"/>
      <c r="AC31" s="439"/>
      <c r="AD31" s="425"/>
      <c r="AE31" s="426"/>
      <c r="AF31" s="426"/>
      <c r="AG31" s="427"/>
      <c r="AH31" s="429"/>
      <c r="AI31" s="296"/>
    </row>
    <row r="32" ht="20.25" customHeight="1">
      <c r="A32" s="312"/>
      <c r="B32" s="419"/>
      <c r="C32" s="468"/>
      <c r="D32" s="425"/>
      <c r="E32" s="469" t="s">
        <v>207</v>
      </c>
      <c r="F32" s="426"/>
      <c r="G32" s="426"/>
      <c r="H32" s="444"/>
      <c r="I32" s="467"/>
      <c r="J32" s="469" t="s">
        <v>208</v>
      </c>
      <c r="K32" s="426"/>
      <c r="L32" s="426"/>
      <c r="M32" s="444"/>
      <c r="N32" s="467"/>
      <c r="O32" s="469" t="s">
        <v>209</v>
      </c>
      <c r="P32" s="426"/>
      <c r="Q32" s="426"/>
      <c r="R32" s="444"/>
      <c r="S32" s="467"/>
      <c r="T32" s="469" t="s">
        <v>210</v>
      </c>
      <c r="U32" s="426"/>
      <c r="V32" s="426"/>
      <c r="W32" s="444"/>
      <c r="X32" s="437"/>
      <c r="Y32" s="425"/>
      <c r="Z32" s="426"/>
      <c r="AA32" s="426"/>
      <c r="AB32" s="427"/>
      <c r="AC32" s="439"/>
      <c r="AD32" s="425"/>
      <c r="AE32" s="426"/>
      <c r="AF32" s="426"/>
      <c r="AG32" s="427"/>
      <c r="AH32" s="429"/>
      <c r="AI32" s="296"/>
    </row>
    <row r="33" ht="20.25" customHeight="1">
      <c r="A33" s="312"/>
      <c r="B33" s="419"/>
      <c r="C33" s="439"/>
      <c r="D33" s="425"/>
      <c r="E33" s="470" t="s">
        <v>211</v>
      </c>
      <c r="F33" s="471"/>
      <c r="G33" s="472"/>
      <c r="H33" s="473" t="str">
        <f>IMAGE("https://raw.githubusercontent.com/msikma/pokesprite/master/items/hold-item/eviolite.png",3)</f>
        <v/>
      </c>
      <c r="I33" s="467"/>
      <c r="J33" s="470" t="s">
        <v>212</v>
      </c>
      <c r="K33" s="471"/>
      <c r="L33" s="472"/>
      <c r="M33" s="473" t="str">
        <f>IMAGE("https://raw.githubusercontent.com/msikma/pokesprite/master/items/hold-item/mystic-water.png",3)</f>
        <v/>
      </c>
      <c r="N33" s="467"/>
      <c r="O33" s="470" t="s">
        <v>213</v>
      </c>
      <c r="P33" s="471"/>
      <c r="Q33" s="472"/>
      <c r="R33" s="473" t="str">
        <f>IMAGE("https://raw.githubusercontent.com/msikma/pokesprite/master/items/berry/sitrus.png",3)</f>
        <v/>
      </c>
      <c r="S33" s="467"/>
      <c r="T33" s="470" t="s">
        <v>214</v>
      </c>
      <c r="U33" s="471"/>
      <c r="V33" s="472"/>
      <c r="W33" s="473" t="str">
        <f>IMAGE("https://raw.githubusercontent.com/msikma/pokesprite/master/items/berry/iapapa.png",3)</f>
        <v/>
      </c>
      <c r="X33" s="437"/>
      <c r="Y33" s="425"/>
      <c r="Z33" s="426"/>
      <c r="AA33" s="426"/>
      <c r="AB33" s="427"/>
      <c r="AC33" s="439"/>
      <c r="AD33" s="425"/>
      <c r="AE33" s="426"/>
      <c r="AF33" s="426"/>
      <c r="AG33" s="427"/>
      <c r="AH33" s="429"/>
      <c r="AI33" s="296"/>
    </row>
    <row r="34" ht="20.25" customHeight="1">
      <c r="A34" s="312"/>
      <c r="B34" s="419"/>
      <c r="C34" s="463"/>
      <c r="D34" s="425"/>
      <c r="E34" s="464" t="s">
        <v>215</v>
      </c>
      <c r="F34" s="465"/>
      <c r="G34" s="465"/>
      <c r="H34" s="474" t="str">
        <f>IMAGE("https://raw.githubusercontent.com/msikma/pokesprite/master/misc/types/gen8/ice.png",4,20,20)</f>
        <v/>
      </c>
      <c r="I34" s="467"/>
      <c r="J34" s="464" t="s">
        <v>216</v>
      </c>
      <c r="K34" s="465"/>
      <c r="L34" s="465"/>
      <c r="M34" s="474" t="str">
        <f t="shared" ref="M34:M35" si="1">IMAGE("https://raw.githubusercontent.com/msikma/pokesprite/master/misc/types/gen8/water.png",4,20,20)</f>
        <v/>
      </c>
      <c r="N34" s="467"/>
      <c r="O34" s="464" t="s">
        <v>217</v>
      </c>
      <c r="P34" s="465"/>
      <c r="Q34" s="465"/>
      <c r="R34" s="474" t="str">
        <f>IMAGE("https://raw.githubusercontent.com/msikma/pokesprite/master/misc/types/gen8/psychic.png",4,20,20)</f>
        <v/>
      </c>
      <c r="S34" s="467"/>
      <c r="T34" s="464" t="s">
        <v>218</v>
      </c>
      <c r="U34" s="465"/>
      <c r="V34" s="465"/>
      <c r="W34" s="474" t="str">
        <f>IMAGE("https://raw.githubusercontent.com/msikma/pokesprite/master/misc/types/gen8/poison.png",4,20,20)</f>
        <v/>
      </c>
      <c r="X34" s="437"/>
      <c r="Y34" s="425"/>
      <c r="Z34" s="426"/>
      <c r="AA34" s="426"/>
      <c r="AB34" s="427"/>
      <c r="AC34" s="439"/>
      <c r="AD34" s="425"/>
      <c r="AE34" s="426"/>
      <c r="AF34" s="426"/>
      <c r="AG34" s="427"/>
      <c r="AH34" s="429"/>
      <c r="AI34" s="296"/>
    </row>
    <row r="35" ht="20.25" customHeight="1">
      <c r="A35" s="312"/>
      <c r="B35" s="419"/>
      <c r="C35" s="475"/>
      <c r="D35" s="425"/>
      <c r="E35" s="469" t="s">
        <v>181</v>
      </c>
      <c r="F35" s="426"/>
      <c r="G35" s="426"/>
      <c r="H35" s="476" t="str">
        <f>IMAGE("https://raw.githubusercontent.com/msikma/pokesprite/master/misc/types/gen8/rock.png",4,20,20)</f>
        <v/>
      </c>
      <c r="I35" s="467"/>
      <c r="J35" s="469" t="s">
        <v>219</v>
      </c>
      <c r="K35" s="426"/>
      <c r="L35" s="426"/>
      <c r="M35" s="476" t="str">
        <f t="shared" si="1"/>
        <v/>
      </c>
      <c r="N35" s="467"/>
      <c r="O35" s="469" t="s">
        <v>216</v>
      </c>
      <c r="P35" s="426"/>
      <c r="Q35" s="426"/>
      <c r="R35" s="476" t="str">
        <f>IMAGE("https://raw.githubusercontent.com/msikma/pokesprite/master/misc/types/gen8/water.png",4,20,20)</f>
        <v/>
      </c>
      <c r="S35" s="467"/>
      <c r="T35" s="469" t="s">
        <v>179</v>
      </c>
      <c r="U35" s="426"/>
      <c r="V35" s="426"/>
      <c r="W35" s="476" t="str">
        <f>IMAGE("https://raw.githubusercontent.com/msikma/pokesprite/master/misc/types/gen8/ground.png",4,20,20)</f>
        <v/>
      </c>
      <c r="X35" s="437"/>
      <c r="Y35" s="425"/>
      <c r="Z35" s="426"/>
      <c r="AA35" s="426"/>
      <c r="AB35" s="427"/>
      <c r="AC35" s="439"/>
      <c r="AD35" s="425"/>
      <c r="AE35" s="426"/>
      <c r="AF35" s="426"/>
      <c r="AG35" s="427"/>
      <c r="AH35" s="429"/>
      <c r="AI35" s="296"/>
    </row>
    <row r="36" ht="20.25" customHeight="1">
      <c r="A36" s="312"/>
      <c r="B36" s="419"/>
      <c r="C36" s="475"/>
      <c r="D36" s="425"/>
      <c r="E36" s="469" t="s">
        <v>219</v>
      </c>
      <c r="F36" s="426"/>
      <c r="G36" s="426"/>
      <c r="H36" s="476" t="str">
        <f>IMAGE("https://raw.githubusercontent.com/msikma/pokesprite/master/misc/types/gen8/water.png",4,20,20)</f>
        <v/>
      </c>
      <c r="I36" s="467"/>
      <c r="J36" s="469" t="s">
        <v>220</v>
      </c>
      <c r="K36" s="426"/>
      <c r="L36" s="426"/>
      <c r="M36" s="476" t="str">
        <f>IMAGE("https://raw.githubusercontent.com/msikma/pokesprite/master/misc/types/gen8/ice.png",4,20,20)</f>
        <v/>
      </c>
      <c r="N36" s="467"/>
      <c r="O36" s="469" t="s">
        <v>221</v>
      </c>
      <c r="P36" s="426"/>
      <c r="Q36" s="426"/>
      <c r="R36" s="476" t="str">
        <f>IMAGE("https://raw.githubusercontent.com/msikma/pokesprite/master/misc/types/gen8/normal.png",4,20,20)</f>
        <v/>
      </c>
      <c r="S36" s="467"/>
      <c r="T36" s="469" t="s">
        <v>181</v>
      </c>
      <c r="U36" s="426"/>
      <c r="V36" s="426"/>
      <c r="W36" s="476" t="str">
        <f>IMAGE("https://raw.githubusercontent.com/msikma/pokesprite/master/misc/types/gen8/rock.png",4,20,20)</f>
        <v/>
      </c>
      <c r="X36" s="437"/>
      <c r="Y36" s="425"/>
      <c r="Z36" s="426"/>
      <c r="AA36" s="426"/>
      <c r="AB36" s="427"/>
      <c r="AC36" s="439"/>
      <c r="AD36" s="425"/>
      <c r="AE36" s="426"/>
      <c r="AF36" s="426"/>
      <c r="AG36" s="427"/>
      <c r="AH36" s="429"/>
      <c r="AI36" s="296"/>
    </row>
    <row r="37" ht="21.0" customHeight="1">
      <c r="A37" s="312"/>
      <c r="B37" s="419"/>
      <c r="C37" s="475"/>
      <c r="D37" s="425"/>
      <c r="E37" s="477" t="s">
        <v>222</v>
      </c>
      <c r="F37" s="478"/>
      <c r="G37" s="478"/>
      <c r="H37" s="479" t="str">
        <f>IMAGE("https://raw.githubusercontent.com/msikma/pokesprite/master/misc/types/gen8/grass.png",4,20,20)</f>
        <v/>
      </c>
      <c r="I37" s="467"/>
      <c r="J37" s="477" t="s">
        <v>223</v>
      </c>
      <c r="K37" s="478"/>
      <c r="L37" s="478"/>
      <c r="M37" s="479" t="str">
        <f>IMAGE("https://raw.githubusercontent.com/msikma/pokesprite/master/misc/types/gen8/grass.png",4,20,20)</f>
        <v/>
      </c>
      <c r="N37" s="467"/>
      <c r="O37" s="477" t="s">
        <v>224</v>
      </c>
      <c r="P37" s="478"/>
      <c r="Q37" s="478"/>
      <c r="R37" s="479" t="str">
        <f>IMAGE("https://raw.githubusercontent.com/msikma/pokesprite/master/misc/types/gen8/ice.png",4,20,20)</f>
        <v/>
      </c>
      <c r="S37" s="467"/>
      <c r="T37" s="477" t="s">
        <v>221</v>
      </c>
      <c r="U37" s="478"/>
      <c r="V37" s="478"/>
      <c r="W37" s="479" t="str">
        <f>IMAGE("https://raw.githubusercontent.com/msikma/pokesprite/master/misc/types/gen8/normal.png",4,20,20)</f>
        <v/>
      </c>
      <c r="X37" s="480"/>
      <c r="Y37" s="425"/>
      <c r="Z37" s="426"/>
      <c r="AA37" s="426"/>
      <c r="AB37" s="427"/>
      <c r="AC37" s="463"/>
      <c r="AD37" s="425"/>
      <c r="AE37" s="426"/>
      <c r="AF37" s="426"/>
      <c r="AG37" s="427"/>
      <c r="AH37" s="429"/>
      <c r="AI37" s="296"/>
    </row>
    <row r="38" ht="3.0" customHeight="1">
      <c r="A38" s="343"/>
      <c r="B38" s="419"/>
      <c r="C38" s="481"/>
      <c r="D38" s="482"/>
      <c r="E38" s="483"/>
      <c r="F38" s="483"/>
      <c r="G38" s="483"/>
      <c r="H38" s="483"/>
      <c r="I38" s="482"/>
      <c r="J38" s="483"/>
      <c r="K38" s="483"/>
      <c r="L38" s="483"/>
      <c r="M38" s="483"/>
      <c r="N38" s="482"/>
      <c r="O38" s="483"/>
      <c r="P38" s="483"/>
      <c r="Q38" s="483"/>
      <c r="R38" s="483"/>
      <c r="S38" s="482"/>
      <c r="T38" s="483"/>
      <c r="U38" s="483"/>
      <c r="V38" s="483"/>
      <c r="W38" s="483"/>
      <c r="X38" s="482"/>
      <c r="Y38" s="482"/>
      <c r="Z38" s="484"/>
      <c r="AA38" s="484"/>
      <c r="AB38" s="485"/>
      <c r="AC38" s="485"/>
      <c r="AD38" s="485"/>
      <c r="AE38" s="485"/>
      <c r="AF38" s="485"/>
      <c r="AG38" s="485"/>
      <c r="AH38" s="429"/>
      <c r="AI38" s="296"/>
    </row>
    <row r="39" ht="16.5" customHeight="1">
      <c r="A39" s="312"/>
      <c r="B39" s="486"/>
      <c r="C39" s="481"/>
      <c r="D39" s="487"/>
      <c r="E39" s="488" t="s">
        <v>190</v>
      </c>
      <c r="F39" s="381"/>
      <c r="G39" s="382"/>
      <c r="H39" s="489" t="s">
        <v>191</v>
      </c>
      <c r="I39" s="490"/>
      <c r="J39" s="488" t="s">
        <v>190</v>
      </c>
      <c r="K39" s="381"/>
      <c r="L39" s="382"/>
      <c r="M39" s="489" t="s">
        <v>191</v>
      </c>
      <c r="N39" s="490"/>
      <c r="O39" s="488" t="s">
        <v>190</v>
      </c>
      <c r="P39" s="381"/>
      <c r="Q39" s="382"/>
      <c r="R39" s="489" t="s">
        <v>191</v>
      </c>
      <c r="S39" s="490"/>
      <c r="T39" s="488" t="s">
        <v>190</v>
      </c>
      <c r="U39" s="381"/>
      <c r="V39" s="382"/>
      <c r="W39" s="489" t="s">
        <v>191</v>
      </c>
      <c r="X39" s="491"/>
      <c r="Y39" s="492"/>
      <c r="Z39" s="492"/>
      <c r="AA39" s="492"/>
      <c r="AB39" s="493"/>
      <c r="AC39" s="493"/>
      <c r="AD39" s="493"/>
      <c r="AE39" s="493"/>
      <c r="AF39" s="493"/>
      <c r="AG39" s="493"/>
      <c r="AH39" s="494"/>
      <c r="AI39" s="389"/>
    </row>
    <row r="40" ht="15.75" customHeight="1">
      <c r="A40" s="312"/>
      <c r="B40" s="486"/>
      <c r="C40" s="481"/>
      <c r="D40" s="487"/>
      <c r="E40" s="495" t="s">
        <v>192</v>
      </c>
      <c r="F40" s="496">
        <f t="array" ref="F40">IFERROR(VLOOKUP(E27,Dex!$B$3:$N191,8,FALSE),"")</f>
        <v>54</v>
      </c>
      <c r="G40" s="497" t="str">
        <f t="array" ref="G40">IFERROR(VLOOKUP(F40,Dex!$P$22:$Q$276,2,FALSE),"")</f>
        <v/>
      </c>
      <c r="H40" s="498">
        <v>100.0</v>
      </c>
      <c r="I40" s="499"/>
      <c r="J40" s="495" t="s">
        <v>192</v>
      </c>
      <c r="K40" s="496">
        <f t="array" ref="K40">IFERROR(VLOOKUP(J27,Dex!$B$3:$N191,8,FALSE),"")</f>
        <v>85</v>
      </c>
      <c r="L40" s="497" t="str">
        <f t="array" ref="L40">IFERROR(VLOOKUP(K40,Dex!$P$22:$Q$276,2,FALSE),"")</f>
        <v/>
      </c>
      <c r="M40" s="498"/>
      <c r="N40" s="499"/>
      <c r="O40" s="495" t="s">
        <v>192</v>
      </c>
      <c r="P40" s="496">
        <f t="array" ref="P40">IFERROR(VLOOKUP(O27,Dex!$B$3:$N191,8,FALSE),"")</f>
        <v>60</v>
      </c>
      <c r="Q40" s="497" t="str">
        <f t="array" ref="Q40">IFERROR(VLOOKUP(P40,Dex!$P$22:$Q$276,2,FALSE),"")</f>
        <v/>
      </c>
      <c r="R40" s="498"/>
      <c r="S40" s="499"/>
      <c r="T40" s="495" t="s">
        <v>192</v>
      </c>
      <c r="U40" s="496">
        <f t="array" ref="U40">IFERROR(VLOOKUP(T27,Dex!$B$3:$N191,8,FALSE),"")</f>
        <v>130</v>
      </c>
      <c r="V40" s="497" t="str">
        <f t="array" ref="V40">IFERROR(VLOOKUP(U40,Dex!$P$22:$Q$276,2,FALSE),"")</f>
        <v/>
      </c>
      <c r="W40" s="498"/>
      <c r="X40" s="491"/>
      <c r="Y40" s="492"/>
      <c r="Z40" s="492"/>
      <c r="AA40" s="492"/>
      <c r="AB40" s="493"/>
      <c r="AC40" s="493"/>
      <c r="AD40" s="493"/>
      <c r="AE40" s="493"/>
      <c r="AF40" s="493"/>
      <c r="AG40" s="493"/>
      <c r="AH40" s="494"/>
      <c r="AI40" s="389"/>
    </row>
    <row r="41" ht="15.75" customHeight="1">
      <c r="A41" s="312"/>
      <c r="B41" s="486"/>
      <c r="C41" s="481"/>
      <c r="D41" s="487"/>
      <c r="E41" s="500" t="s">
        <v>193</v>
      </c>
      <c r="F41" s="501">
        <f t="array" ref="F41">IFERROR(VLOOKUP(E27,Dex!$B$3:$N191,9,FALSE),"")</f>
        <v>63</v>
      </c>
      <c r="G41" s="502" t="str">
        <f t="array" ref="G41">IFERROR(VLOOKUP(F41,Dex!$P$22:$Q$276,2,FALSE),"")</f>
        <v/>
      </c>
      <c r="H41" s="503">
        <v>40.0</v>
      </c>
      <c r="I41" s="499"/>
      <c r="J41" s="500" t="s">
        <v>193</v>
      </c>
      <c r="K41" s="501">
        <f t="array" ref="K41">IFERROR(VLOOKUP(J27,Dex!$B$3:$N191,9,FALSE),"")</f>
        <v>90</v>
      </c>
      <c r="L41" s="502" t="str">
        <f t="array" ref="L41">IFERROR(VLOOKUP(K41,Dex!$P$22:$Q$276,2,FALSE),"")</f>
        <v/>
      </c>
      <c r="M41" s="503"/>
      <c r="N41" s="499"/>
      <c r="O41" s="500" t="s">
        <v>193</v>
      </c>
      <c r="P41" s="501">
        <f t="array" ref="P41">IFERROR(VLOOKUP(O27,Dex!$B$3:$N191,9,FALSE),"")</f>
        <v>75</v>
      </c>
      <c r="Q41" s="502" t="str">
        <f t="array" ref="Q41">IFERROR(VLOOKUP(P41,Dex!$P$22:$Q$276,2,FALSE),"")</f>
        <v/>
      </c>
      <c r="R41" s="503"/>
      <c r="S41" s="499"/>
      <c r="T41" s="500" t="s">
        <v>193</v>
      </c>
      <c r="U41" s="501">
        <f t="array" ref="U41">IFERROR(VLOOKUP(T27,Dex!$B$3:$N191,9,FALSE),"")</f>
        <v>75</v>
      </c>
      <c r="V41" s="502" t="str">
        <f t="array" ref="V41">IFERROR(VLOOKUP(U41,Dex!$P$22:$Q$276,2,FALSE),"")</f>
        <v/>
      </c>
      <c r="W41" s="503"/>
      <c r="X41" s="491"/>
      <c r="Y41" s="492"/>
      <c r="Z41" s="492"/>
      <c r="AA41" s="492"/>
      <c r="AB41" s="493"/>
      <c r="AC41" s="493"/>
      <c r="AD41" s="493"/>
      <c r="AE41" s="493"/>
      <c r="AF41" s="493"/>
      <c r="AG41" s="493"/>
      <c r="AH41" s="494"/>
      <c r="AI41" s="389"/>
    </row>
    <row r="42" ht="15.75" customHeight="1">
      <c r="A42" s="312"/>
      <c r="B42" s="486"/>
      <c r="C42" s="481"/>
      <c r="D42" s="487"/>
      <c r="E42" s="500" t="s">
        <v>194</v>
      </c>
      <c r="F42" s="501">
        <f t="array" ref="F42">IFERROR(VLOOKUP(E27,Dex!$B$3:$N191,10,FALSE),"")</f>
        <v>52</v>
      </c>
      <c r="G42" s="502" t="str">
        <f t="array" ref="G42">IFERROR(VLOOKUP(F42,Dex!$P$22:$Q$276,2,FALSE),"")</f>
        <v/>
      </c>
      <c r="H42" s="503"/>
      <c r="I42" s="499"/>
      <c r="J42" s="500" t="s">
        <v>194</v>
      </c>
      <c r="K42" s="501">
        <f t="array" ref="K42">IFERROR(VLOOKUP(J27,Dex!$B$3:$N191,10,FALSE),"")</f>
        <v>55</v>
      </c>
      <c r="L42" s="502" t="str">
        <f t="array" ref="L42">IFERROR(VLOOKUP(K42,Dex!$P$22:$Q$276,2,FALSE),"")</f>
        <v/>
      </c>
      <c r="M42" s="503"/>
      <c r="N42" s="499"/>
      <c r="O42" s="500" t="s">
        <v>194</v>
      </c>
      <c r="P42" s="501">
        <f t="array" ref="P42">IFERROR(VLOOKUP(O27,Dex!$B$3:$N191,10,FALSE),"")</f>
        <v>85</v>
      </c>
      <c r="Q42" s="502" t="str">
        <f t="array" ref="Q42">IFERROR(VLOOKUP(P42,Dex!$P$22:$Q$276,2,FALSE),"")</f>
        <v/>
      </c>
      <c r="R42" s="503"/>
      <c r="S42" s="499"/>
      <c r="T42" s="500" t="s">
        <v>194</v>
      </c>
      <c r="U42" s="501">
        <f t="array" ref="U42">IFERROR(VLOOKUP(T27,Dex!$B$3:$N191,10,FALSE),"")</f>
        <v>60</v>
      </c>
      <c r="V42" s="502" t="str">
        <f t="array" ref="V42">IFERROR(VLOOKUP(U42,Dex!$P$22:$Q$276,2,FALSE),"")</f>
        <v/>
      </c>
      <c r="W42" s="503"/>
      <c r="X42" s="491"/>
      <c r="Y42" s="492"/>
      <c r="Z42" s="492"/>
      <c r="AA42" s="492"/>
      <c r="AB42" s="493"/>
      <c r="AC42" s="493"/>
      <c r="AD42" s="493"/>
      <c r="AE42" s="493"/>
      <c r="AF42" s="493"/>
      <c r="AG42" s="493"/>
      <c r="AH42" s="494"/>
      <c r="AI42" s="389"/>
    </row>
    <row r="43" ht="15.75" customHeight="1">
      <c r="A43" s="312"/>
      <c r="B43" s="486"/>
      <c r="C43" s="481"/>
      <c r="D43" s="487"/>
      <c r="E43" s="500" t="s">
        <v>195</v>
      </c>
      <c r="F43" s="501">
        <f t="array" ref="F43">IFERROR(VLOOKUP(E27,Dex!$B$3:$N191,11,FALSE),"")</f>
        <v>83</v>
      </c>
      <c r="G43" s="502" t="str">
        <f t="array" ref="G43">IFERROR(VLOOKUP(F43,Dex!$P$22:$Q$276,2,FALSE),"")</f>
        <v/>
      </c>
      <c r="H43" s="503">
        <v>40.0</v>
      </c>
      <c r="I43" s="499"/>
      <c r="J43" s="500" t="s">
        <v>195</v>
      </c>
      <c r="K43" s="501">
        <f t="array" ref="K43">IFERROR(VLOOKUP(J27,Dex!$B$3:$N191,11,FALSE),"")</f>
        <v>95</v>
      </c>
      <c r="L43" s="502" t="str">
        <f t="array" ref="L43">IFERROR(VLOOKUP(K43,Dex!$P$22:$Q$276,2,FALSE),"")</f>
        <v/>
      </c>
      <c r="M43" s="503"/>
      <c r="N43" s="499"/>
      <c r="O43" s="500" t="s">
        <v>195</v>
      </c>
      <c r="P43" s="501">
        <f t="array" ref="P43">IFERROR(VLOOKUP(O27,Dex!$B$3:$N191,11,FALSE),"")</f>
        <v>100</v>
      </c>
      <c r="Q43" s="502" t="str">
        <f t="array" ref="Q43">IFERROR(VLOOKUP(P43,Dex!$P$22:$Q$276,2,FALSE),"")</f>
        <v/>
      </c>
      <c r="R43" s="503"/>
      <c r="S43" s="499"/>
      <c r="T43" s="500" t="s">
        <v>195</v>
      </c>
      <c r="U43" s="501">
        <f t="array" ref="U43">IFERROR(VLOOKUP(T27,Dex!$B$3:$N191,11,FALSE),"")</f>
        <v>45</v>
      </c>
      <c r="V43" s="502" t="str">
        <f t="array" ref="V43">IFERROR(VLOOKUP(U43,Dex!$P$22:$Q$276,2,FALSE),"")</f>
        <v/>
      </c>
      <c r="W43" s="503"/>
      <c r="X43" s="491"/>
      <c r="Y43" s="492"/>
      <c r="Z43" s="492"/>
      <c r="AA43" s="492"/>
      <c r="AB43" s="493"/>
      <c r="AC43" s="493"/>
      <c r="AD43" s="493"/>
      <c r="AE43" s="493"/>
      <c r="AF43" s="493"/>
      <c r="AG43" s="493"/>
      <c r="AH43" s="494"/>
      <c r="AI43" s="389"/>
    </row>
    <row r="44" ht="15.75" customHeight="1">
      <c r="A44" s="312"/>
      <c r="B44" s="486"/>
      <c r="C44" s="481"/>
      <c r="D44" s="487"/>
      <c r="E44" s="500" t="s">
        <v>196</v>
      </c>
      <c r="F44" s="501">
        <f t="array" ref="F44">IFERROR(VLOOKUP(E27,Dex!$B$3:$N191,12,FALSE),"")</f>
        <v>56</v>
      </c>
      <c r="G44" s="502" t="str">
        <f t="array" ref="G44">IFERROR(VLOOKUP(F44,Dex!$P$22:$Q$276,2,FALSE),"")</f>
        <v/>
      </c>
      <c r="H44" s="503"/>
      <c r="I44" s="499"/>
      <c r="J44" s="500" t="s">
        <v>196</v>
      </c>
      <c r="K44" s="501">
        <f t="array" ref="K44">IFERROR(VLOOKUP(J27,Dex!$B$3:$N191,12,FALSE),"")</f>
        <v>50</v>
      </c>
      <c r="L44" s="502" t="str">
        <f t="array" ref="L44">IFERROR(VLOOKUP(K44,Dex!$P$22:$Q$276,2,FALSE),"")</f>
        <v/>
      </c>
      <c r="M44" s="503"/>
      <c r="N44" s="499"/>
      <c r="O44" s="500" t="s">
        <v>196</v>
      </c>
      <c r="P44" s="501">
        <f t="array" ref="P44">IFERROR(VLOOKUP(O27,Dex!$B$3:$N191,12,FALSE),"")</f>
        <v>85</v>
      </c>
      <c r="Q44" s="502" t="str">
        <f t="array" ref="Q44">IFERROR(VLOOKUP(P44,Dex!$P$22:$Q$276,2,FALSE),"")</f>
        <v/>
      </c>
      <c r="R44" s="503"/>
      <c r="S44" s="499"/>
      <c r="T44" s="500" t="s">
        <v>196</v>
      </c>
      <c r="U44" s="501">
        <f t="array" ref="U44">IFERROR(VLOOKUP(T27,Dex!$B$3:$N191,12,FALSE),"")</f>
        <v>100</v>
      </c>
      <c r="V44" s="502" t="str">
        <f t="array" ref="V44">IFERROR(VLOOKUP(U44,Dex!$P$22:$Q$276,2,FALSE),"")</f>
        <v/>
      </c>
      <c r="W44" s="503"/>
      <c r="X44" s="491"/>
      <c r="Y44" s="492"/>
      <c r="Z44" s="492"/>
      <c r="AA44" s="492"/>
      <c r="AB44" s="493"/>
      <c r="AC44" s="493"/>
      <c r="AD44" s="493"/>
      <c r="AE44" s="493"/>
      <c r="AF44" s="493"/>
      <c r="AG44" s="493"/>
      <c r="AH44" s="494"/>
      <c r="AI44" s="389"/>
    </row>
    <row r="45" ht="15.75" customHeight="1">
      <c r="A45" s="312"/>
      <c r="B45" s="486"/>
      <c r="C45" s="481"/>
      <c r="D45" s="487"/>
      <c r="E45" s="504" t="s">
        <v>197</v>
      </c>
      <c r="F45" s="505">
        <f t="array" ref="F45">IFERROR(VLOOKUP(E27,Dex!$B$3:$N191,13,FALSE),"")</f>
        <v>97</v>
      </c>
      <c r="G45" s="506" t="str">
        <f t="array" ref="G45">IFERROR(VLOOKUP(F45,Dex!$P$22:$Q$276,2,FALSE),"")</f>
        <v/>
      </c>
      <c r="H45" s="507"/>
      <c r="I45" s="499"/>
      <c r="J45" s="504" t="s">
        <v>197</v>
      </c>
      <c r="K45" s="505">
        <f t="array" ref="K45">IFERROR(VLOOKUP(J27,Dex!$B$3:$N191,13,FALSE),"")</f>
        <v>115</v>
      </c>
      <c r="L45" s="506" t="str">
        <f t="array" ref="L45">IFERROR(VLOOKUP(K45,Dex!$P$22:$Q$276,2,FALSE),"")</f>
        <v/>
      </c>
      <c r="M45" s="507"/>
      <c r="N45" s="499"/>
      <c r="O45" s="504" t="s">
        <v>197</v>
      </c>
      <c r="P45" s="505">
        <f t="array" ref="P45">IFERROR(VLOOKUP(O27,Dex!$B$3:$N191,13,FALSE),"")</f>
        <v>115</v>
      </c>
      <c r="Q45" s="506" t="str">
        <f t="array" ref="Q45">IFERROR(VLOOKUP(P45,Dex!$P$22:$Q$276,2,FALSE),"")</f>
        <v/>
      </c>
      <c r="R45" s="507"/>
      <c r="S45" s="499"/>
      <c r="T45" s="504" t="s">
        <v>197</v>
      </c>
      <c r="U45" s="505">
        <f t="array" ref="U45">IFERROR(VLOOKUP(T27,Dex!$B$3:$N191,13,FALSE),"")</f>
        <v>20</v>
      </c>
      <c r="V45" s="506" t="str">
        <f t="array" ref="V45">IFERROR(VLOOKUP(U45,Dex!$P$22:$Q$276,2,FALSE),"")</f>
        <v/>
      </c>
      <c r="W45" s="507"/>
      <c r="X45" s="491"/>
      <c r="Y45" s="492"/>
      <c r="Z45" s="492"/>
      <c r="AA45" s="492"/>
      <c r="AB45" s="493"/>
      <c r="AC45" s="493"/>
      <c r="AD45" s="493"/>
      <c r="AE45" s="493"/>
      <c r="AF45" s="493"/>
      <c r="AG45" s="493"/>
      <c r="AH45" s="494"/>
      <c r="AI45" s="389"/>
    </row>
    <row r="46" ht="16.5" customHeight="1">
      <c r="A46" s="312"/>
      <c r="B46" s="486"/>
      <c r="C46" s="481"/>
      <c r="D46" s="487"/>
      <c r="E46" s="508" t="s">
        <v>198</v>
      </c>
      <c r="F46" s="405"/>
      <c r="G46" s="406"/>
      <c r="H46" s="509">
        <v>61.0</v>
      </c>
      <c r="I46" s="510"/>
      <c r="J46" s="508" t="s">
        <v>198</v>
      </c>
      <c r="K46" s="405"/>
      <c r="L46" s="406"/>
      <c r="M46" s="509">
        <v>77.0</v>
      </c>
      <c r="N46" s="510"/>
      <c r="O46" s="508" t="s">
        <v>198</v>
      </c>
      <c r="P46" s="405"/>
      <c r="Q46" s="406"/>
      <c r="R46" s="509">
        <v>82.0</v>
      </c>
      <c r="S46" s="510"/>
      <c r="T46" s="508" t="s">
        <v>198</v>
      </c>
      <c r="U46" s="405"/>
      <c r="V46" s="406"/>
      <c r="W46" s="509">
        <v>23.0</v>
      </c>
      <c r="X46" s="491"/>
      <c r="Y46" s="492"/>
      <c r="Z46" s="492"/>
      <c r="AA46" s="492"/>
      <c r="AB46" s="493"/>
      <c r="AC46" s="493"/>
      <c r="AD46" s="493"/>
      <c r="AE46" s="493"/>
      <c r="AF46" s="493"/>
      <c r="AG46" s="493"/>
      <c r="AH46" s="494"/>
      <c r="AI46" s="389"/>
    </row>
    <row r="47" ht="15.0" customHeight="1">
      <c r="A47" s="290"/>
      <c r="B47" s="511"/>
      <c r="C47" s="512"/>
      <c r="D47" s="513"/>
      <c r="E47" s="514"/>
      <c r="F47" s="514"/>
      <c r="G47" s="514"/>
      <c r="H47" s="514"/>
      <c r="I47" s="513"/>
      <c r="J47" s="514"/>
      <c r="K47" s="514"/>
      <c r="L47" s="514"/>
      <c r="M47" s="514"/>
      <c r="N47" s="513"/>
      <c r="O47" s="514"/>
      <c r="P47" s="514"/>
      <c r="Q47" s="514"/>
      <c r="R47" s="514"/>
      <c r="S47" s="513"/>
      <c r="T47" s="514"/>
      <c r="U47" s="514"/>
      <c r="V47" s="514"/>
      <c r="W47" s="514"/>
      <c r="X47" s="514"/>
      <c r="Y47" s="514"/>
      <c r="Z47" s="514"/>
      <c r="AA47" s="514"/>
      <c r="AB47" s="514"/>
      <c r="AC47" s="514"/>
      <c r="AD47" s="514"/>
      <c r="AE47" s="514"/>
      <c r="AF47" s="514"/>
      <c r="AG47" s="514"/>
      <c r="AH47" s="515"/>
      <c r="AI47" s="296"/>
    </row>
    <row r="48" ht="15.0" customHeight="1">
      <c r="A48" s="290"/>
      <c r="B48" s="516"/>
      <c r="C48" s="517"/>
      <c r="D48" s="518"/>
      <c r="E48" s="519"/>
      <c r="F48" s="519"/>
      <c r="G48" s="519"/>
      <c r="H48" s="519"/>
      <c r="I48" s="518"/>
      <c r="J48" s="519"/>
      <c r="K48" s="519"/>
      <c r="L48" s="519"/>
      <c r="M48" s="519"/>
      <c r="N48" s="518"/>
      <c r="O48" s="519"/>
      <c r="P48" s="519"/>
      <c r="Q48" s="519"/>
      <c r="R48" s="519"/>
      <c r="S48" s="518"/>
      <c r="T48" s="519"/>
      <c r="U48" s="519"/>
      <c r="V48" s="519"/>
      <c r="W48" s="519"/>
      <c r="X48" s="518"/>
      <c r="Y48" s="519"/>
      <c r="Z48" s="519"/>
      <c r="AA48" s="519"/>
      <c r="AB48" s="519"/>
      <c r="AC48" s="519"/>
      <c r="AD48" s="519"/>
      <c r="AE48" s="519"/>
      <c r="AF48" s="519"/>
      <c r="AG48" s="519"/>
      <c r="AH48" s="520"/>
      <c r="AI48" s="296"/>
    </row>
    <row r="49" ht="96.75" customHeight="1">
      <c r="A49" s="290"/>
      <c r="B49" s="521"/>
      <c r="C49" s="522" t="str">
        <f>IMAGE("https://i.ibb.co/w6kjj5K/Surge.png")</f>
        <v/>
      </c>
      <c r="D49" s="523"/>
      <c r="E49" s="524" t="str">
        <f t="array" ref="E49">IFERROR(VLOOKUP(E50,Dex!$B$3:$G191,3,FALSE),"")</f>
        <v/>
      </c>
      <c r="F49" s="302"/>
      <c r="G49" s="302"/>
      <c r="H49" s="303"/>
      <c r="I49" s="525"/>
      <c r="J49" s="524" t="str">
        <f t="array" ref="J49">IFERROR(VLOOKUP(J50,Dex!$B$3:$G191,3,FALSE),"")</f>
        <v/>
      </c>
      <c r="K49" s="302"/>
      <c r="L49" s="302"/>
      <c r="M49" s="303"/>
      <c r="N49" s="525"/>
      <c r="O49" s="524" t="str">
        <f t="array" ref="O49">IFERROR(VLOOKUP(O50,Dex!$B$3:$G191,3,FALSE),"")</f>
        <v/>
      </c>
      <c r="P49" s="302"/>
      <c r="Q49" s="302"/>
      <c r="R49" s="303"/>
      <c r="S49" s="525"/>
      <c r="T49" s="524" t="str">
        <f t="array" ref="T49">IFERROR(VLOOKUP(T50,Dex!$B$3:$G191,3,FALSE),"")</f>
        <v/>
      </c>
      <c r="U49" s="302"/>
      <c r="V49" s="302"/>
      <c r="W49" s="303"/>
      <c r="X49" s="525"/>
      <c r="Y49" s="524" t="str">
        <f t="array" ref="Y49">IFERROR(VLOOKUP(Y50,Dex!$B$3:$G191,3,FALSE),"")</f>
        <v/>
      </c>
      <c r="Z49" s="302"/>
      <c r="AA49" s="302"/>
      <c r="AB49" s="303"/>
      <c r="AC49" s="526"/>
      <c r="AD49" s="527"/>
      <c r="AE49" s="528"/>
      <c r="AF49" s="528"/>
      <c r="AG49" s="529"/>
      <c r="AH49" s="530"/>
      <c r="AI49" s="296"/>
    </row>
    <row r="50" ht="18.75" customHeight="1">
      <c r="A50" s="312"/>
      <c r="B50" s="531"/>
      <c r="C50" s="532" t="s">
        <v>225</v>
      </c>
      <c r="D50" s="533"/>
      <c r="E50" s="534" t="s">
        <v>226</v>
      </c>
      <c r="F50" s="535"/>
      <c r="G50" s="535"/>
      <c r="H50" s="536"/>
      <c r="I50" s="537"/>
      <c r="J50" s="534" t="s">
        <v>227</v>
      </c>
      <c r="K50" s="535"/>
      <c r="L50" s="535"/>
      <c r="M50" s="536"/>
      <c r="N50" s="537"/>
      <c r="O50" s="534" t="s">
        <v>228</v>
      </c>
      <c r="P50" s="535"/>
      <c r="Q50" s="535"/>
      <c r="R50" s="536"/>
      <c r="S50" s="537"/>
      <c r="T50" s="534" t="s">
        <v>229</v>
      </c>
      <c r="U50" s="535"/>
      <c r="V50" s="535"/>
      <c r="W50" s="536"/>
      <c r="X50" s="537"/>
      <c r="Y50" s="534" t="s">
        <v>230</v>
      </c>
      <c r="Z50" s="535"/>
      <c r="AA50" s="535"/>
      <c r="AB50" s="536"/>
      <c r="AC50" s="538"/>
      <c r="AD50" s="539"/>
      <c r="AE50" s="528"/>
      <c r="AF50" s="528"/>
      <c r="AG50" s="529"/>
      <c r="AH50" s="540"/>
      <c r="AI50" s="324"/>
    </row>
    <row r="51">
      <c r="A51" s="312"/>
      <c r="B51" s="541"/>
      <c r="C51" s="326"/>
      <c r="D51" s="542"/>
      <c r="E51" s="543">
        <v>32.0</v>
      </c>
      <c r="F51" s="528"/>
      <c r="G51" s="528"/>
      <c r="H51" s="544"/>
      <c r="I51" s="545"/>
      <c r="J51" s="543">
        <v>33.0</v>
      </c>
      <c r="K51" s="528"/>
      <c r="L51" s="528"/>
      <c r="M51" s="544"/>
      <c r="N51" s="545"/>
      <c r="O51" s="543">
        <v>33.0</v>
      </c>
      <c r="P51" s="528"/>
      <c r="Q51" s="528"/>
      <c r="R51" s="544"/>
      <c r="S51" s="545"/>
      <c r="T51" s="543">
        <v>33.0</v>
      </c>
      <c r="U51" s="528"/>
      <c r="V51" s="528"/>
      <c r="W51" s="544"/>
      <c r="X51" s="545"/>
      <c r="Y51" s="543">
        <v>34.0</v>
      </c>
      <c r="Z51" s="528"/>
      <c r="AA51" s="528"/>
      <c r="AB51" s="544"/>
      <c r="AC51" s="538"/>
      <c r="AD51" s="546"/>
      <c r="AE51" s="528"/>
      <c r="AF51" s="528"/>
      <c r="AG51" s="529"/>
      <c r="AH51" s="547"/>
      <c r="AI51" s="334"/>
    </row>
    <row r="52" ht="25.5" customHeight="1">
      <c r="A52" s="312"/>
      <c r="B52" s="548"/>
      <c r="C52" s="549"/>
      <c r="D52" s="527"/>
      <c r="E52" s="550"/>
      <c r="F52" s="551" t="str">
        <f t="array" ref="F52">IFERROR(VLOOKUP(E50,Dex!$B$3:$H191,5,FALSE),"")</f>
        <v/>
      </c>
      <c r="G52" s="552" t="str">
        <f t="array" ref="G52">IFERROR(VLOOKUP(E50,Dex!$B$3:$H191,7,FALSE),"")</f>
        <v/>
      </c>
      <c r="H52" s="553"/>
      <c r="I52" s="554"/>
      <c r="J52" s="555"/>
      <c r="K52" s="551" t="str">
        <f t="array" ref="K52">IFERROR(VLOOKUP(J50,Dex!$B$3:$H191,5,FALSE),"")</f>
        <v/>
      </c>
      <c r="L52" s="552" t="str">
        <f t="array" ref="L52">IFERROR(VLOOKUP(J50,Dex!$B$3:$H191,7,FALSE),"")</f>
        <v/>
      </c>
      <c r="M52" s="556"/>
      <c r="N52" s="554"/>
      <c r="O52" s="555"/>
      <c r="P52" s="557" t="str">
        <f t="array" ref="P52">IFERROR(VLOOKUP(O50,Dex!$B$3:$H191,5,FALSE),"")</f>
        <v/>
      </c>
      <c r="Q52" s="529"/>
      <c r="R52" s="556"/>
      <c r="S52" s="554"/>
      <c r="T52" s="555"/>
      <c r="U52" s="551" t="str">
        <f t="array" ref="U52">IFERROR(VLOOKUP(T50,Dex!$B$3:$H191,5,FALSE),"")</f>
        <v/>
      </c>
      <c r="V52" s="552" t="str">
        <f t="array" ref="V52">IFERROR(VLOOKUP(T50,Dex!$B$3:$H191,7,FALSE),"")</f>
        <v/>
      </c>
      <c r="W52" s="556"/>
      <c r="X52" s="554"/>
      <c r="Y52" s="555"/>
      <c r="Z52" s="557" t="str">
        <f t="array" ref="Z52">IFERROR(VLOOKUP(Y50,Dex!$B$3:$H191,5,FALSE),"")</f>
        <v/>
      </c>
      <c r="AA52" s="529"/>
      <c r="AB52" s="556"/>
      <c r="AC52" s="538"/>
      <c r="AD52" s="527"/>
      <c r="AE52" s="528"/>
      <c r="AF52" s="528"/>
      <c r="AG52" s="529"/>
      <c r="AH52" s="530"/>
      <c r="AI52" s="296"/>
    </row>
    <row r="53" ht="2.25" customHeight="1">
      <c r="A53" s="343"/>
      <c r="B53" s="548"/>
      <c r="C53" s="558"/>
      <c r="D53" s="527"/>
      <c r="E53" s="559"/>
      <c r="F53" s="560"/>
      <c r="G53" s="560"/>
      <c r="H53" s="561"/>
      <c r="I53" s="554"/>
      <c r="J53" s="559"/>
      <c r="K53" s="560"/>
      <c r="L53" s="560"/>
      <c r="M53" s="561"/>
      <c r="N53" s="554"/>
      <c r="O53" s="559"/>
      <c r="P53" s="560"/>
      <c r="Q53" s="560"/>
      <c r="R53" s="561"/>
      <c r="S53" s="554"/>
      <c r="T53" s="559"/>
      <c r="U53" s="560"/>
      <c r="V53" s="560"/>
      <c r="W53" s="561"/>
      <c r="X53" s="554"/>
      <c r="Y53" s="559"/>
      <c r="Z53" s="560"/>
      <c r="AA53" s="560"/>
      <c r="AB53" s="561"/>
      <c r="AC53" s="538"/>
      <c r="AD53" s="562"/>
      <c r="AE53" s="562"/>
      <c r="AF53" s="562"/>
      <c r="AG53" s="562"/>
      <c r="AH53" s="530"/>
      <c r="AI53" s="563"/>
    </row>
    <row r="54" ht="20.25" customHeight="1">
      <c r="A54" s="312"/>
      <c r="B54" s="548"/>
      <c r="C54" s="564"/>
      <c r="D54" s="527"/>
      <c r="E54" s="565" t="s">
        <v>206</v>
      </c>
      <c r="F54" s="566"/>
      <c r="G54" s="566"/>
      <c r="H54" s="567"/>
      <c r="I54" s="568"/>
      <c r="J54" s="565" t="s">
        <v>231</v>
      </c>
      <c r="K54" s="566"/>
      <c r="L54" s="566"/>
      <c r="M54" s="567"/>
      <c r="N54" s="568"/>
      <c r="O54" s="565" t="s">
        <v>206</v>
      </c>
      <c r="P54" s="566"/>
      <c r="Q54" s="566"/>
      <c r="R54" s="567"/>
      <c r="S54" s="568"/>
      <c r="T54" s="565" t="s">
        <v>172</v>
      </c>
      <c r="U54" s="566"/>
      <c r="V54" s="566"/>
      <c r="W54" s="567"/>
      <c r="X54" s="568"/>
      <c r="Y54" s="565" t="s">
        <v>205</v>
      </c>
      <c r="Z54" s="566"/>
      <c r="AA54" s="566"/>
      <c r="AB54" s="567"/>
      <c r="AC54" s="538"/>
      <c r="AD54" s="527"/>
      <c r="AE54" s="528"/>
      <c r="AF54" s="528"/>
      <c r="AG54" s="529"/>
      <c r="AH54" s="530"/>
      <c r="AI54" s="296"/>
    </row>
    <row r="55" ht="20.25" customHeight="1">
      <c r="A55" s="312"/>
      <c r="B55" s="548"/>
      <c r="C55" s="569"/>
      <c r="D55" s="527"/>
      <c r="E55" s="570" t="s">
        <v>232</v>
      </c>
      <c r="F55" s="528"/>
      <c r="G55" s="528"/>
      <c r="H55" s="544"/>
      <c r="I55" s="568"/>
      <c r="J55" s="570" t="s">
        <v>233</v>
      </c>
      <c r="K55" s="528"/>
      <c r="L55" s="528"/>
      <c r="M55" s="544"/>
      <c r="N55" s="568"/>
      <c r="O55" s="570" t="s">
        <v>234</v>
      </c>
      <c r="P55" s="528"/>
      <c r="Q55" s="528"/>
      <c r="R55" s="544"/>
      <c r="S55" s="568"/>
      <c r="T55" s="570" t="s">
        <v>235</v>
      </c>
      <c r="U55" s="528"/>
      <c r="V55" s="528"/>
      <c r="W55" s="544"/>
      <c r="X55" s="568"/>
      <c r="Y55" s="571" t="s">
        <v>236</v>
      </c>
      <c r="Z55" s="528"/>
      <c r="AA55" s="528"/>
      <c r="AB55" s="544"/>
      <c r="AC55" s="538"/>
      <c r="AD55" s="527"/>
      <c r="AE55" s="528"/>
      <c r="AF55" s="528"/>
      <c r="AG55" s="529"/>
      <c r="AH55" s="530"/>
      <c r="AI55" s="296"/>
    </row>
    <row r="56" ht="20.25" customHeight="1">
      <c r="A56" s="312"/>
      <c r="B56" s="548"/>
      <c r="C56" s="558"/>
      <c r="D56" s="527"/>
      <c r="E56" s="572" t="s">
        <v>237</v>
      </c>
      <c r="F56" s="573"/>
      <c r="G56" s="574"/>
      <c r="H56" s="575" t="str">
        <f>IMAGE("https://raw.githubusercontent.com/msikma/pokesprite/master/items/hold-item/terrain-extender.png",3)</f>
        <v/>
      </c>
      <c r="I56" s="568"/>
      <c r="J56" s="572" t="s">
        <v>238</v>
      </c>
      <c r="K56" s="573"/>
      <c r="L56" s="574"/>
      <c r="M56" s="575" t="str">
        <f>IMAGE("https://raw.githubusercontent.com/msikma/pokesprite/master/items/berry/occa.png",3)</f>
        <v/>
      </c>
      <c r="N56" s="568"/>
      <c r="O56" s="572" t="s">
        <v>239</v>
      </c>
      <c r="P56" s="573"/>
      <c r="Q56" s="574"/>
      <c r="R56" s="575" t="str">
        <f>IMAGE("https://raw.githubusercontent.com/msikma/pokesprite/master/items/berry/shuca.png",3)</f>
        <v/>
      </c>
      <c r="S56" s="568"/>
      <c r="T56" s="572" t="s">
        <v>240</v>
      </c>
      <c r="U56" s="573"/>
      <c r="V56" s="574"/>
      <c r="W56" s="575" t="str">
        <f>IMAGE("https://raw.githubusercontent.com/msikma/pokesprite/master/items/hold-item/focus-sash.png",3)</f>
        <v/>
      </c>
      <c r="X56" s="568"/>
      <c r="Y56" s="572" t="s">
        <v>241</v>
      </c>
      <c r="Z56" s="573"/>
      <c r="AA56" s="574"/>
      <c r="AB56" s="575" t="str">
        <f>IMAGE("https://raw.githubusercontent.com/msikma/pokesprite/master/items/mega-stone/manectite.png",3)</f>
        <v/>
      </c>
      <c r="AC56" s="538"/>
      <c r="AD56" s="527"/>
      <c r="AE56" s="528"/>
      <c r="AF56" s="528"/>
      <c r="AG56" s="529"/>
      <c r="AH56" s="530"/>
      <c r="AI56" s="296"/>
    </row>
    <row r="57" ht="20.25" customHeight="1">
      <c r="A57" s="312"/>
      <c r="B57" s="548"/>
      <c r="C57" s="564"/>
      <c r="D57" s="527"/>
      <c r="E57" s="565" t="s">
        <v>242</v>
      </c>
      <c r="F57" s="566"/>
      <c r="G57" s="566"/>
      <c r="H57" s="576" t="str">
        <f>IMAGE("https://raw.githubusercontent.com/msikma/pokesprite/master/misc/types/gen8/electric.png",4,20,20)</f>
        <v/>
      </c>
      <c r="I57" s="568"/>
      <c r="J57" s="565" t="s">
        <v>242</v>
      </c>
      <c r="K57" s="566"/>
      <c r="L57" s="566"/>
      <c r="M57" s="576" t="str">
        <f>IMAGE("https://raw.githubusercontent.com/msikma/pokesprite/master/misc/types/gen8/electric.png",4,20,20)</f>
        <v/>
      </c>
      <c r="N57" s="568"/>
      <c r="O57" s="565" t="s">
        <v>243</v>
      </c>
      <c r="P57" s="566"/>
      <c r="Q57" s="566"/>
      <c r="R57" s="576" t="str">
        <f>IMAGE("https://raw.githubusercontent.com/msikma/pokesprite/master/misc/types/gen8/electric.png",4,20,20)</f>
        <v/>
      </c>
      <c r="S57" s="568"/>
      <c r="T57" s="565" t="s">
        <v>244</v>
      </c>
      <c r="U57" s="566"/>
      <c r="V57" s="566"/>
      <c r="W57" s="576" t="str">
        <f>IMAGE("https://raw.githubusercontent.com/msikma/pokesprite/master/misc/types/gen8/fighting.png",4,20,20)</f>
        <v/>
      </c>
      <c r="X57" s="568"/>
      <c r="Y57" s="565" t="s">
        <v>245</v>
      </c>
      <c r="Z57" s="566"/>
      <c r="AA57" s="566"/>
      <c r="AB57" s="576" t="str">
        <f t="shared" ref="AB57:AB58" si="2">IMAGE("https://raw.githubusercontent.com/msikma/pokesprite/master/misc/types/gen8/electric.png",4,20,20)</f>
        <v/>
      </c>
      <c r="AC57" s="538"/>
      <c r="AD57" s="527"/>
      <c r="AE57" s="528"/>
      <c r="AF57" s="528"/>
      <c r="AG57" s="529"/>
      <c r="AH57" s="530"/>
      <c r="AI57" s="296"/>
    </row>
    <row r="58" ht="20.25" customHeight="1">
      <c r="A58" s="312"/>
      <c r="B58" s="548"/>
      <c r="C58" s="577"/>
      <c r="D58" s="527"/>
      <c r="E58" s="570" t="s">
        <v>246</v>
      </c>
      <c r="F58" s="528"/>
      <c r="G58" s="528"/>
      <c r="H58" s="578" t="str">
        <f>IMAGE("https://raw.githubusercontent.com/msikma/pokesprite/master/misc/types/gen8/water.png",4,20,20)</f>
        <v/>
      </c>
      <c r="I58" s="568"/>
      <c r="J58" s="570" t="s">
        <v>247</v>
      </c>
      <c r="K58" s="528"/>
      <c r="L58" s="528"/>
      <c r="M58" s="578" t="str">
        <f>IMAGE("https://raw.githubusercontent.com/msikma/pokesprite/master/misc/types/gen8/bug.png",4,20,20)</f>
        <v/>
      </c>
      <c r="N58" s="568"/>
      <c r="O58" s="570" t="s">
        <v>248</v>
      </c>
      <c r="P58" s="528"/>
      <c r="Q58" s="528"/>
      <c r="R58" s="578" t="str">
        <f>IMAGE("https://raw.githubusercontent.com/msikma/pokesprite/master/misc/types/gen8/water.png",4,20,20)</f>
        <v/>
      </c>
      <c r="S58" s="568"/>
      <c r="T58" s="570" t="s">
        <v>249</v>
      </c>
      <c r="U58" s="528"/>
      <c r="V58" s="528"/>
      <c r="W58" s="578" t="str">
        <f>IMAGE("https://raw.githubusercontent.com/msikma/pokesprite/master/misc/types/gen8/electric.png",4,20,20)</f>
        <v/>
      </c>
      <c r="X58" s="568"/>
      <c r="Y58" s="570" t="s">
        <v>242</v>
      </c>
      <c r="Z58" s="528"/>
      <c r="AA58" s="528"/>
      <c r="AB58" s="578" t="str">
        <f t="shared" si="2"/>
        <v/>
      </c>
      <c r="AC58" s="538"/>
      <c r="AD58" s="527"/>
      <c r="AE58" s="528"/>
      <c r="AF58" s="528"/>
      <c r="AG58" s="529"/>
      <c r="AH58" s="530"/>
      <c r="AI58" s="296"/>
    </row>
    <row r="59" ht="20.25" customHeight="1">
      <c r="A59" s="312"/>
      <c r="B59" s="548"/>
      <c r="C59" s="577"/>
      <c r="D59" s="527"/>
      <c r="E59" s="570" t="s">
        <v>250</v>
      </c>
      <c r="F59" s="528"/>
      <c r="G59" s="528"/>
      <c r="H59" s="578" t="str">
        <f>IMAGE("https://raw.githubusercontent.com/msikma/pokesprite/master/misc/types/gen8/electric.png",4,20,20)</f>
        <v/>
      </c>
      <c r="I59" s="568"/>
      <c r="J59" s="570" t="s">
        <v>251</v>
      </c>
      <c r="K59" s="528"/>
      <c r="L59" s="528"/>
      <c r="M59" s="578" t="str">
        <f>IMAGE("https://raw.githubusercontent.com/msikma/pokesprite/master/misc/types/gen8/flying.png",4,20,20)</f>
        <v/>
      </c>
      <c r="N59" s="568"/>
      <c r="O59" s="570" t="s">
        <v>252</v>
      </c>
      <c r="P59" s="528"/>
      <c r="Q59" s="528"/>
      <c r="R59" s="578" t="str">
        <f>IMAGE("https://raw.githubusercontent.com/msikma/pokesprite/master/misc/types/gen8/electric.png",4,20,20)</f>
        <v/>
      </c>
      <c r="S59" s="568"/>
      <c r="T59" s="570" t="s">
        <v>215</v>
      </c>
      <c r="U59" s="528"/>
      <c r="V59" s="528"/>
      <c r="W59" s="578" t="str">
        <f>IMAGE("https://raw.githubusercontent.com/msikma/pokesprite/master/misc/types/gen8/ice.png",4,20,20)</f>
        <v/>
      </c>
      <c r="X59" s="568"/>
      <c r="Y59" s="570" t="s">
        <v>253</v>
      </c>
      <c r="Z59" s="528"/>
      <c r="AA59" s="528"/>
      <c r="AB59" s="578" t="str">
        <f>IMAGE("https://raw.githubusercontent.com/msikma/pokesprite/master/misc/types/gen8/fire.png",4,20,20)</f>
        <v/>
      </c>
      <c r="AC59" s="538"/>
      <c r="AD59" s="527"/>
      <c r="AE59" s="528"/>
      <c r="AF59" s="528"/>
      <c r="AG59" s="529"/>
      <c r="AH59" s="530"/>
      <c r="AI59" s="296"/>
    </row>
    <row r="60" ht="21.0" customHeight="1">
      <c r="A60" s="312"/>
      <c r="B60" s="548"/>
      <c r="C60" s="577"/>
      <c r="D60" s="527"/>
      <c r="E60" s="579" t="s">
        <v>254</v>
      </c>
      <c r="F60" s="580"/>
      <c r="G60" s="580"/>
      <c r="H60" s="581" t="str">
        <f>IMAGE("https://raw.githubusercontent.com/msikma/pokesprite/master/misc/types/gen8/ice.png",4,20,20)</f>
        <v/>
      </c>
      <c r="I60" s="568"/>
      <c r="J60" s="579" t="s">
        <v>255</v>
      </c>
      <c r="K60" s="580"/>
      <c r="L60" s="580"/>
      <c r="M60" s="581" t="str">
        <f>IMAGE("https://raw.githubusercontent.com/msikma/pokesprite/master/misc/types/gen8/ground.png",4,20,20)</f>
        <v/>
      </c>
      <c r="N60" s="568"/>
      <c r="O60" s="579" t="s">
        <v>223</v>
      </c>
      <c r="P60" s="580"/>
      <c r="Q60" s="580"/>
      <c r="R60" s="581" t="str">
        <f>IMAGE("https://raw.githubusercontent.com/msikma/pokesprite/master/misc/types/gen8/grass.png",4,20,20)</f>
        <v/>
      </c>
      <c r="S60" s="568"/>
      <c r="T60" s="579" t="s">
        <v>256</v>
      </c>
      <c r="U60" s="580"/>
      <c r="V60" s="580"/>
      <c r="W60" s="581" t="str">
        <f>IMAGE("https://raw.githubusercontent.com/msikma/pokesprite/master/misc/types/gen8/fighting.png",4,20,20)</f>
        <v/>
      </c>
      <c r="X60" s="568"/>
      <c r="Y60" s="579" t="s">
        <v>223</v>
      </c>
      <c r="Z60" s="580"/>
      <c r="AA60" s="580"/>
      <c r="AB60" s="581" t="str">
        <f>IMAGE("https://raw.githubusercontent.com/msikma/pokesprite/master/misc/types/gen8/grass.png",4,20,20)</f>
        <v/>
      </c>
      <c r="AC60" s="582"/>
      <c r="AD60" s="527"/>
      <c r="AE60" s="528"/>
      <c r="AF60" s="528"/>
      <c r="AG60" s="529"/>
      <c r="AH60" s="530"/>
      <c r="AI60" s="296"/>
    </row>
    <row r="61" ht="3.0" customHeight="1">
      <c r="A61" s="343"/>
      <c r="B61" s="548"/>
      <c r="C61" s="583"/>
      <c r="D61" s="584"/>
      <c r="E61" s="585"/>
      <c r="F61" s="585"/>
      <c r="G61" s="585"/>
      <c r="H61" s="585"/>
      <c r="I61" s="584"/>
      <c r="J61" s="585"/>
      <c r="K61" s="585"/>
      <c r="L61" s="585"/>
      <c r="M61" s="585"/>
      <c r="N61" s="584"/>
      <c r="O61" s="585"/>
      <c r="P61" s="585"/>
      <c r="Q61" s="585"/>
      <c r="R61" s="585"/>
      <c r="S61" s="584"/>
      <c r="T61" s="585"/>
      <c r="U61" s="585"/>
      <c r="V61" s="585"/>
      <c r="W61" s="585"/>
      <c r="X61" s="584"/>
      <c r="Y61" s="586"/>
      <c r="Z61" s="587"/>
      <c r="AA61" s="587"/>
      <c r="AB61" s="588"/>
      <c r="AC61" s="589"/>
      <c r="AD61" s="589"/>
      <c r="AE61" s="589"/>
      <c r="AF61" s="589"/>
      <c r="AG61" s="589"/>
      <c r="AH61" s="530"/>
      <c r="AI61" s="296"/>
    </row>
    <row r="62" ht="17.25" customHeight="1">
      <c r="A62" s="312"/>
      <c r="B62" s="590"/>
      <c r="C62" s="583"/>
      <c r="D62" s="591"/>
      <c r="E62" s="592" t="s">
        <v>190</v>
      </c>
      <c r="F62" s="381"/>
      <c r="G62" s="382"/>
      <c r="H62" s="593" t="s">
        <v>191</v>
      </c>
      <c r="I62" s="594"/>
      <c r="J62" s="592" t="s">
        <v>190</v>
      </c>
      <c r="K62" s="381"/>
      <c r="L62" s="382"/>
      <c r="M62" s="593" t="s">
        <v>191</v>
      </c>
      <c r="N62" s="594"/>
      <c r="O62" s="592" t="s">
        <v>190</v>
      </c>
      <c r="P62" s="381"/>
      <c r="Q62" s="382"/>
      <c r="R62" s="593" t="s">
        <v>191</v>
      </c>
      <c r="S62" s="594"/>
      <c r="T62" s="592" t="s">
        <v>190</v>
      </c>
      <c r="U62" s="381"/>
      <c r="V62" s="382"/>
      <c r="W62" s="593" t="s">
        <v>191</v>
      </c>
      <c r="X62" s="594"/>
      <c r="Y62" s="592" t="s">
        <v>190</v>
      </c>
      <c r="Z62" s="381"/>
      <c r="AA62" s="382"/>
      <c r="AB62" s="593" t="s">
        <v>191</v>
      </c>
      <c r="AC62" s="595"/>
      <c r="AD62" s="596"/>
      <c r="AE62" s="596"/>
      <c r="AF62" s="596"/>
      <c r="AG62" s="596"/>
      <c r="AH62" s="597"/>
      <c r="AI62" s="389"/>
    </row>
    <row r="63" ht="15.75" customHeight="1">
      <c r="A63" s="312"/>
      <c r="B63" s="590"/>
      <c r="C63" s="583"/>
      <c r="D63" s="591"/>
      <c r="E63" s="598" t="s">
        <v>192</v>
      </c>
      <c r="F63" s="599">
        <f t="array" ref="F63">IFERROR(VLOOKUP(E50,Dex!$B$3:$N191,8,FALSE),"")</f>
        <v>68</v>
      </c>
      <c r="G63" s="600" t="str">
        <f t="array" ref="G63">IFERROR(VLOOKUP(F63,Dex!$P$22:$Q$276,2,FALSE),"")</f>
        <v/>
      </c>
      <c r="H63" s="601"/>
      <c r="I63" s="602"/>
      <c r="J63" s="598" t="s">
        <v>192</v>
      </c>
      <c r="K63" s="599">
        <f t="array" ref="K63">IFERROR(VLOOKUP(J50,Dex!$B$3:$N191,8,FALSE),"")</f>
        <v>77</v>
      </c>
      <c r="L63" s="600" t="str">
        <f t="array" ref="L63">IFERROR(VLOOKUP(K63,Dex!$P$22:$Q$276,2,FALSE),"")</f>
        <v/>
      </c>
      <c r="M63" s="601"/>
      <c r="N63" s="602"/>
      <c r="O63" s="598" t="s">
        <v>192</v>
      </c>
      <c r="P63" s="599">
        <f t="array" ref="P63">IFERROR(VLOOKUP(O50,Dex!$B$3:$N191,8,FALSE),"")</f>
        <v>109</v>
      </c>
      <c r="Q63" s="600" t="str">
        <f t="array" ref="Q63">IFERROR(VLOOKUP(P63,Dex!$P$22:$Q$276,2,FALSE),"")</f>
        <v/>
      </c>
      <c r="R63" s="601">
        <v>100.0</v>
      </c>
      <c r="S63" s="602"/>
      <c r="T63" s="598" t="s">
        <v>192</v>
      </c>
      <c r="U63" s="599">
        <f t="array" ref="U63">IFERROR(VLOOKUP(T50,Dex!$B$3:$N191,8,FALSE),"")</f>
        <v>70</v>
      </c>
      <c r="V63" s="600" t="str">
        <f t="array" ref="V63">IFERROR(VLOOKUP(U63,Dex!$P$22:$Q$276,2,FALSE),"")</f>
        <v/>
      </c>
      <c r="W63" s="601"/>
      <c r="X63" s="602"/>
      <c r="Y63" s="598" t="s">
        <v>192</v>
      </c>
      <c r="Z63" s="599">
        <f t="array" ref="Z63">IFERROR(VLOOKUP(Y50,Dex!$B$3:$N191,8,FALSE),"")</f>
        <v>70</v>
      </c>
      <c r="AA63" s="600" t="str">
        <f t="array" ref="AA63">IFERROR(VLOOKUP(Z63,Dex!$P$22:$Q$276,2,FALSE),"")</f>
        <v/>
      </c>
      <c r="AB63" s="601"/>
      <c r="AC63" s="595"/>
      <c r="AD63" s="596"/>
      <c r="AE63" s="596"/>
      <c r="AF63" s="596"/>
      <c r="AG63" s="596"/>
      <c r="AH63" s="597"/>
      <c r="AI63" s="389"/>
    </row>
    <row r="64" ht="15.75" customHeight="1">
      <c r="A64" s="312"/>
      <c r="B64" s="590"/>
      <c r="C64" s="583"/>
      <c r="D64" s="591"/>
      <c r="E64" s="603" t="s">
        <v>193</v>
      </c>
      <c r="F64" s="604">
        <f t="array" ref="F64">IFERROR(VLOOKUP(E50,Dex!$B$3:$N191,9,FALSE),"")</f>
        <v>81</v>
      </c>
      <c r="G64" s="605" t="str">
        <f t="array" ref="G64">IFERROR(VLOOKUP(F64,Dex!$P$22:$Q$276,2,FALSE),"")</f>
        <v/>
      </c>
      <c r="H64" s="606"/>
      <c r="I64" s="602"/>
      <c r="J64" s="603" t="s">
        <v>193</v>
      </c>
      <c r="K64" s="604">
        <f t="array" ref="K64">IFERROR(VLOOKUP(J50,Dex!$B$3:$N191,9,FALSE),"")</f>
        <v>70</v>
      </c>
      <c r="L64" s="605" t="str">
        <f t="array" ref="L64">IFERROR(VLOOKUP(K64,Dex!$P$22:$Q$276,2,FALSE),"")</f>
        <v/>
      </c>
      <c r="M64" s="606"/>
      <c r="N64" s="602"/>
      <c r="O64" s="603" t="s">
        <v>193</v>
      </c>
      <c r="P64" s="604">
        <f t="array" ref="P64">IFERROR(VLOOKUP(O50,Dex!$B$3:$N191,9,FALSE),"")</f>
        <v>64</v>
      </c>
      <c r="Q64" s="605" t="str">
        <f t="array" ref="Q64">IFERROR(VLOOKUP(P64,Dex!$P$22:$Q$276,2,FALSE),"")</f>
        <v/>
      </c>
      <c r="R64" s="606"/>
      <c r="S64" s="602"/>
      <c r="T64" s="603" t="s">
        <v>193</v>
      </c>
      <c r="U64" s="604">
        <f t="array" ref="U64">IFERROR(VLOOKUP(T50,Dex!$B$3:$N191,9,FALSE),"")</f>
        <v>115</v>
      </c>
      <c r="V64" s="605" t="str">
        <f t="array" ref="V64">IFERROR(VLOOKUP(U64,Dex!$P$22:$Q$276,2,FALSE),"")</f>
        <v/>
      </c>
      <c r="W64" s="606"/>
      <c r="X64" s="602"/>
      <c r="Y64" s="603" t="s">
        <v>193</v>
      </c>
      <c r="Z64" s="604">
        <f t="array" ref="Z64">IFERROR(VLOOKUP(Y50,Dex!$B$3:$N191,9,FALSE),"")</f>
        <v>75</v>
      </c>
      <c r="AA64" s="605" t="str">
        <f t="array" ref="AA64">IFERROR(VLOOKUP(Z64,Dex!$P$22:$Q$276,2,FALSE),"")</f>
        <v/>
      </c>
      <c r="AB64" s="606"/>
      <c r="AC64" s="595"/>
      <c r="AD64" s="596"/>
      <c r="AE64" s="596"/>
      <c r="AF64" s="596"/>
      <c r="AG64" s="596"/>
      <c r="AH64" s="597"/>
      <c r="AI64" s="389"/>
    </row>
    <row r="65" ht="15.75" customHeight="1">
      <c r="A65" s="312"/>
      <c r="B65" s="590"/>
      <c r="C65" s="583"/>
      <c r="D65" s="591"/>
      <c r="E65" s="603" t="s">
        <v>194</v>
      </c>
      <c r="F65" s="604">
        <f t="array" ref="F65">IFERROR(VLOOKUP(E50,Dex!$B$3:$N191,10,FALSE),"")</f>
        <v>95</v>
      </c>
      <c r="G65" s="605" t="str">
        <f t="array" ref="G65">IFERROR(VLOOKUP(F65,Dex!$P$22:$Q$276,2,FALSE),"")</f>
        <v/>
      </c>
      <c r="H65" s="606"/>
      <c r="I65" s="602"/>
      <c r="J65" s="603" t="s">
        <v>194</v>
      </c>
      <c r="K65" s="604">
        <f t="array" ref="K65">IFERROR(VLOOKUP(J50,Dex!$B$3:$N191,10,FALSE),"")</f>
        <v>90</v>
      </c>
      <c r="L65" s="605" t="str">
        <f t="array" ref="L65">IFERROR(VLOOKUP(K65,Dex!$P$22:$Q$276,2,FALSE),"")</f>
        <v/>
      </c>
      <c r="M65" s="606"/>
      <c r="N65" s="602"/>
      <c r="O65" s="603" t="s">
        <v>194</v>
      </c>
      <c r="P65" s="604">
        <f t="array" ref="P65">IFERROR(VLOOKUP(O50,Dex!$B$3:$N191,10,FALSE),"")</f>
        <v>91</v>
      </c>
      <c r="Q65" s="605" t="str">
        <f t="array" ref="Q65">IFERROR(VLOOKUP(P65,Dex!$P$22:$Q$276,2,FALSE),"")</f>
        <v/>
      </c>
      <c r="R65" s="606"/>
      <c r="S65" s="602"/>
      <c r="T65" s="603" t="s">
        <v>194</v>
      </c>
      <c r="U65" s="604">
        <f t="array" ref="U65">IFERROR(VLOOKUP(T50,Dex!$B$3:$N191,10,FALSE),"")</f>
        <v>70</v>
      </c>
      <c r="V65" s="605" t="str">
        <f t="array" ref="V65">IFERROR(VLOOKUP(U65,Dex!$P$22:$Q$276,2,FALSE),"")</f>
        <v/>
      </c>
      <c r="W65" s="606"/>
      <c r="X65" s="602"/>
      <c r="Y65" s="603" t="s">
        <v>194</v>
      </c>
      <c r="Z65" s="604">
        <f t="array" ref="Z65">IFERROR(VLOOKUP(Y50,Dex!$B$3:$N191,10,FALSE),"")</f>
        <v>80</v>
      </c>
      <c r="AA65" s="605" t="str">
        <f t="array" ref="AA65">IFERROR(VLOOKUP(Z65,Dex!$P$22:$Q$276,2,FALSE),"")</f>
        <v/>
      </c>
      <c r="AB65" s="606"/>
      <c r="AC65" s="595"/>
      <c r="AD65" s="596"/>
      <c r="AE65" s="596"/>
      <c r="AF65" s="596"/>
      <c r="AG65" s="596"/>
      <c r="AH65" s="597"/>
      <c r="AI65" s="389"/>
    </row>
    <row r="66" ht="15.75" customHeight="1">
      <c r="A66" s="312"/>
      <c r="B66" s="590"/>
      <c r="C66" s="583"/>
      <c r="D66" s="591"/>
      <c r="E66" s="603" t="s">
        <v>195</v>
      </c>
      <c r="F66" s="604">
        <f t="array" ref="F66">IFERROR(VLOOKUP(E50,Dex!$B$3:$N191,11,FALSE),"")</f>
        <v>91</v>
      </c>
      <c r="G66" s="605" t="str">
        <f t="array" ref="G66">IFERROR(VLOOKUP(F66,Dex!$P$22:$Q$276,2,FALSE),"")</f>
        <v/>
      </c>
      <c r="H66" s="606"/>
      <c r="I66" s="602"/>
      <c r="J66" s="603" t="s">
        <v>195</v>
      </c>
      <c r="K66" s="604">
        <f t="array" ref="K66">IFERROR(VLOOKUP(J50,Dex!$B$3:$N191,11,FALSE),"")</f>
        <v>145</v>
      </c>
      <c r="L66" s="605" t="str">
        <f t="array" ref="L66">IFERROR(VLOOKUP(K66,Dex!$P$22:$Q$276,2,FALSE),"")</f>
        <v/>
      </c>
      <c r="M66" s="606"/>
      <c r="N66" s="602"/>
      <c r="O66" s="603" t="s">
        <v>195</v>
      </c>
      <c r="P66" s="604">
        <f t="array" ref="P66">IFERROR(VLOOKUP(O50,Dex!$B$3:$N191,11,FALSE),"")</f>
        <v>103</v>
      </c>
      <c r="Q66" s="605" t="str">
        <f t="array" ref="Q66">IFERROR(VLOOKUP(P66,Dex!$P$22:$Q$276,2,FALSE),"")</f>
        <v/>
      </c>
      <c r="R66" s="606"/>
      <c r="S66" s="602"/>
      <c r="T66" s="603" t="s">
        <v>195</v>
      </c>
      <c r="U66" s="604">
        <f t="array" ref="U66">IFERROR(VLOOKUP(T50,Dex!$B$3:$N191,11,FALSE),"")</f>
        <v>70</v>
      </c>
      <c r="V66" s="605" t="str">
        <f t="array" ref="V66">IFERROR(VLOOKUP(U66,Dex!$P$22:$Q$276,2,FALSE),"")</f>
        <v/>
      </c>
      <c r="W66" s="606"/>
      <c r="X66" s="602"/>
      <c r="Y66" s="603" t="s">
        <v>195</v>
      </c>
      <c r="Z66" s="604">
        <f t="array" ref="Z66">IFERROR(VLOOKUP(Y50,Dex!$B$3:$N191,11,FALSE),"")</f>
        <v>135</v>
      </c>
      <c r="AA66" s="605" t="str">
        <f t="array" ref="AA66">IFERROR(VLOOKUP(Z66,Dex!$P$22:$Q$276,2,FALSE),"")</f>
        <v/>
      </c>
      <c r="AB66" s="606"/>
      <c r="AC66" s="595"/>
      <c r="AD66" s="596"/>
      <c r="AE66" s="596"/>
      <c r="AF66" s="596"/>
      <c r="AG66" s="596"/>
      <c r="AH66" s="597"/>
      <c r="AI66" s="389"/>
    </row>
    <row r="67" ht="15.75" customHeight="1">
      <c r="A67" s="312"/>
      <c r="B67" s="590"/>
      <c r="C67" s="583"/>
      <c r="D67" s="591"/>
      <c r="E67" s="603" t="s">
        <v>196</v>
      </c>
      <c r="F67" s="604">
        <f t="array" ref="F67">IFERROR(VLOOKUP(E50,Dex!$B$3:$N191,12,FALSE),"")</f>
        <v>85</v>
      </c>
      <c r="G67" s="605" t="str">
        <f t="array" ref="G67">IFERROR(VLOOKUP(F67,Dex!$P$22:$Q$276,2,FALSE),"")</f>
        <v/>
      </c>
      <c r="H67" s="606"/>
      <c r="I67" s="602"/>
      <c r="J67" s="603" t="s">
        <v>196</v>
      </c>
      <c r="K67" s="604">
        <f t="array" ref="K67">IFERROR(VLOOKUP(J50,Dex!$B$3:$N191,12,FALSE),"")</f>
        <v>75</v>
      </c>
      <c r="L67" s="605" t="str">
        <f t="array" ref="L67">IFERROR(VLOOKUP(K67,Dex!$P$22:$Q$276,2,FALSE),"")</f>
        <v/>
      </c>
      <c r="M67" s="606"/>
      <c r="N67" s="602"/>
      <c r="O67" s="603" t="s">
        <v>196</v>
      </c>
      <c r="P67" s="604">
        <f t="array" ref="P67">IFERROR(VLOOKUP(O50,Dex!$B$3:$N191,12,FALSE),"")</f>
        <v>83</v>
      </c>
      <c r="Q67" s="605" t="str">
        <f t="array" ref="Q67">IFERROR(VLOOKUP(P67,Dex!$P$22:$Q$276,2,FALSE),"")</f>
        <v/>
      </c>
      <c r="R67" s="606"/>
      <c r="S67" s="602"/>
      <c r="T67" s="603" t="s">
        <v>196</v>
      </c>
      <c r="U67" s="604">
        <f t="array" ref="U67">IFERROR(VLOOKUP(T50,Dex!$B$3:$N191,12,FALSE),"")</f>
        <v>60</v>
      </c>
      <c r="V67" s="605" t="str">
        <f t="array" ref="V67">IFERROR(VLOOKUP(U67,Dex!$P$22:$Q$276,2,FALSE),"")</f>
        <v/>
      </c>
      <c r="W67" s="606"/>
      <c r="X67" s="602"/>
      <c r="Y67" s="603" t="s">
        <v>196</v>
      </c>
      <c r="Z67" s="604">
        <f t="array" ref="Z67">IFERROR(VLOOKUP(Y50,Dex!$B$3:$N191,12,FALSE),"")</f>
        <v>80</v>
      </c>
      <c r="AA67" s="605" t="str">
        <f t="array" ref="AA67">IFERROR(VLOOKUP(Z67,Dex!$P$22:$Q$276,2,FALSE),"")</f>
        <v/>
      </c>
      <c r="AB67" s="606"/>
      <c r="AC67" s="595"/>
      <c r="AD67" s="596"/>
      <c r="AE67" s="596"/>
      <c r="AF67" s="596"/>
      <c r="AG67" s="596"/>
      <c r="AH67" s="597"/>
      <c r="AI67" s="389"/>
    </row>
    <row r="68" ht="15.75" customHeight="1">
      <c r="A68" s="312"/>
      <c r="B68" s="590"/>
      <c r="C68" s="583"/>
      <c r="D68" s="591"/>
      <c r="E68" s="607" t="s">
        <v>197</v>
      </c>
      <c r="F68" s="608">
        <f t="array" ref="F68">IFERROR(VLOOKUP(E50,Dex!$B$3:$N191,13,FALSE),"")</f>
        <v>15</v>
      </c>
      <c r="G68" s="609" t="str">
        <f t="array" ref="G68">IFERROR(VLOOKUP(F68,Dex!$P$22:$Q$276,2,FALSE),"")</f>
        <v/>
      </c>
      <c r="H68" s="610"/>
      <c r="I68" s="602"/>
      <c r="J68" s="607" t="s">
        <v>197</v>
      </c>
      <c r="K68" s="608">
        <f t="array" ref="K68">IFERROR(VLOOKUP(J50,Dex!$B$3:$N191,13,FALSE),"")</f>
        <v>43</v>
      </c>
      <c r="L68" s="609" t="str">
        <f t="array" ref="L68">IFERROR(VLOOKUP(K68,Dex!$P$22:$Q$276,2,FALSE),"")</f>
        <v/>
      </c>
      <c r="M68" s="610"/>
      <c r="N68" s="602"/>
      <c r="O68" s="607" t="s">
        <v>197</v>
      </c>
      <c r="P68" s="608">
        <f t="array" ref="P68">IFERROR(VLOOKUP(O50,Dex!$B$3:$N191,13,FALSE),"")</f>
        <v>45</v>
      </c>
      <c r="Q68" s="609" t="str">
        <f t="array" ref="Q68">IFERROR(VLOOKUP(P68,Dex!$P$22:$Q$276,2,FALSE),"")</f>
        <v/>
      </c>
      <c r="R68" s="610"/>
      <c r="S68" s="602"/>
      <c r="T68" s="607" t="s">
        <v>197</v>
      </c>
      <c r="U68" s="608">
        <f t="array" ref="U68">IFERROR(VLOOKUP(T50,Dex!$B$3:$N191,13,FALSE),"")</f>
        <v>105</v>
      </c>
      <c r="V68" s="609" t="str">
        <f t="array" ref="V68">IFERROR(VLOOKUP(U68,Dex!$P$22:$Q$276,2,FALSE),"")</f>
        <v/>
      </c>
      <c r="W68" s="610"/>
      <c r="X68" s="602"/>
      <c r="Y68" s="607" t="s">
        <v>197</v>
      </c>
      <c r="Z68" s="608">
        <f t="array" ref="Z68">IFERROR(VLOOKUP(Y50,Dex!$B$3:$N191,13,FALSE),"")</f>
        <v>135</v>
      </c>
      <c r="AA68" s="609" t="str">
        <f t="array" ref="AA68">IFERROR(VLOOKUP(Z68,Dex!$P$22:$Q$276,2,FALSE),"")</f>
        <v/>
      </c>
      <c r="AB68" s="610"/>
      <c r="AC68" s="595"/>
      <c r="AD68" s="596"/>
      <c r="AE68" s="596"/>
      <c r="AF68" s="596"/>
      <c r="AG68" s="596"/>
      <c r="AH68" s="597"/>
      <c r="AI68" s="389"/>
    </row>
    <row r="69" ht="17.25" customHeight="1">
      <c r="A69" s="312"/>
      <c r="B69" s="590"/>
      <c r="C69" s="583"/>
      <c r="D69" s="591"/>
      <c r="E69" s="611" t="s">
        <v>198</v>
      </c>
      <c r="F69" s="405"/>
      <c r="G69" s="406"/>
      <c r="H69" s="612">
        <v>24.0</v>
      </c>
      <c r="I69" s="613"/>
      <c r="J69" s="611" t="s">
        <v>198</v>
      </c>
      <c r="K69" s="405"/>
      <c r="L69" s="406"/>
      <c r="M69" s="612">
        <v>43.0</v>
      </c>
      <c r="N69" s="613"/>
      <c r="O69" s="611" t="s">
        <v>198</v>
      </c>
      <c r="P69" s="405"/>
      <c r="Q69" s="406"/>
      <c r="R69" s="612">
        <v>44.0</v>
      </c>
      <c r="S69" s="613"/>
      <c r="T69" s="611" t="s">
        <v>198</v>
      </c>
      <c r="U69" s="405"/>
      <c r="V69" s="406"/>
      <c r="W69" s="612">
        <v>92.0</v>
      </c>
      <c r="X69" s="613"/>
      <c r="Y69" s="611" t="s">
        <v>198</v>
      </c>
      <c r="Z69" s="405"/>
      <c r="AA69" s="406"/>
      <c r="AB69" s="612">
        <v>117.0</v>
      </c>
      <c r="AC69" s="614"/>
      <c r="AD69" s="596"/>
      <c r="AE69" s="596"/>
      <c r="AF69" s="596"/>
      <c r="AG69" s="596"/>
      <c r="AH69" s="597"/>
      <c r="AI69" s="389"/>
    </row>
    <row r="70" ht="15.0" customHeight="1">
      <c r="A70" s="290"/>
      <c r="B70" s="615"/>
      <c r="C70" s="616"/>
      <c r="D70" s="617"/>
      <c r="E70" s="618"/>
      <c r="F70" s="618"/>
      <c r="G70" s="618"/>
      <c r="H70" s="618"/>
      <c r="I70" s="617"/>
      <c r="J70" s="618"/>
      <c r="K70" s="618"/>
      <c r="L70" s="618"/>
      <c r="M70" s="618"/>
      <c r="N70" s="617"/>
      <c r="O70" s="618"/>
      <c r="P70" s="618"/>
      <c r="Q70" s="618"/>
      <c r="R70" s="618"/>
      <c r="S70" s="617"/>
      <c r="T70" s="618"/>
      <c r="U70" s="618"/>
      <c r="V70" s="618"/>
      <c r="W70" s="618"/>
      <c r="X70" s="617"/>
      <c r="Y70" s="618"/>
      <c r="Z70" s="618"/>
      <c r="AA70" s="618"/>
      <c r="AB70" s="618"/>
      <c r="AC70" s="617"/>
      <c r="AD70" s="617"/>
      <c r="AE70" s="617"/>
      <c r="AF70" s="617"/>
      <c r="AG70" s="617"/>
      <c r="AH70" s="619"/>
      <c r="AI70" s="296"/>
    </row>
    <row r="71" ht="15.0" customHeight="1">
      <c r="A71" s="290"/>
      <c r="B71" s="620"/>
      <c r="C71" s="621"/>
      <c r="D71" s="622"/>
      <c r="E71" s="623"/>
      <c r="F71" s="623"/>
      <c r="G71" s="623"/>
      <c r="H71" s="623"/>
      <c r="I71" s="622"/>
      <c r="J71" s="623"/>
      <c r="K71" s="623"/>
      <c r="L71" s="623"/>
      <c r="M71" s="623"/>
      <c r="N71" s="622"/>
      <c r="O71" s="623"/>
      <c r="P71" s="623"/>
      <c r="Q71" s="623"/>
      <c r="R71" s="623"/>
      <c r="S71" s="622"/>
      <c r="T71" s="623"/>
      <c r="U71" s="623"/>
      <c r="V71" s="623"/>
      <c r="W71" s="623"/>
      <c r="X71" s="622"/>
      <c r="Y71" s="623"/>
      <c r="Z71" s="623"/>
      <c r="AA71" s="623"/>
      <c r="AB71" s="623"/>
      <c r="AC71" s="622"/>
      <c r="AD71" s="622"/>
      <c r="AE71" s="622"/>
      <c r="AF71" s="622"/>
      <c r="AG71" s="622"/>
      <c r="AH71" s="624"/>
      <c r="AI71" s="296"/>
    </row>
    <row r="72" ht="96.75" customHeight="1">
      <c r="A72" s="290"/>
      <c r="B72" s="625"/>
      <c r="C72" s="626" t="str">
        <f>IMAGE("https://i.ibb.co/z204J6T/Erika.png")</f>
        <v/>
      </c>
      <c r="D72" s="627"/>
      <c r="E72" s="628" t="str">
        <f t="array" ref="E72">IFERROR(VLOOKUP(E73,Dex!$B$3:$G191,3,FALSE),"")</f>
        <v/>
      </c>
      <c r="F72" s="302"/>
      <c r="G72" s="302"/>
      <c r="H72" s="303"/>
      <c r="I72" s="627"/>
      <c r="J72" s="628" t="str">
        <f t="array" ref="J72">IFERROR(VLOOKUP(J73,Dex!$B$3:$G191,3,FALSE),"")</f>
        <v/>
      </c>
      <c r="K72" s="302"/>
      <c r="L72" s="302"/>
      <c r="M72" s="303"/>
      <c r="N72" s="627"/>
      <c r="O72" s="628" t="str">
        <f t="array" ref="O72">IFERROR(VLOOKUP(O73,Dex!$B$3:$G191,3,FALSE),"")</f>
        <v/>
      </c>
      <c r="P72" s="302"/>
      <c r="Q72" s="302"/>
      <c r="R72" s="303"/>
      <c r="S72" s="627"/>
      <c r="T72" s="628" t="str">
        <f t="array" ref="T72">IFERROR(VLOOKUP(T73,Dex!$B$3:$G191,3,FALSE),"")</f>
        <v/>
      </c>
      <c r="U72" s="302"/>
      <c r="V72" s="302"/>
      <c r="W72" s="303"/>
      <c r="X72" s="627"/>
      <c r="Y72" s="628" t="str">
        <f t="array" ref="Y72">IFERROR(VLOOKUP(Y73,Dex!$B$3:$G191,3,FALSE),"")</f>
        <v/>
      </c>
      <c r="Z72" s="302"/>
      <c r="AA72" s="302"/>
      <c r="AB72" s="303"/>
      <c r="AC72" s="629"/>
      <c r="AD72" s="630"/>
      <c r="AE72" s="631"/>
      <c r="AF72" s="631"/>
      <c r="AG72" s="632"/>
      <c r="AH72" s="633"/>
      <c r="AI72" s="296"/>
    </row>
    <row r="73" ht="18.75" customHeight="1">
      <c r="A73" s="312"/>
      <c r="B73" s="634"/>
      <c r="C73" s="635" t="s">
        <v>257</v>
      </c>
      <c r="D73" s="636"/>
      <c r="E73" s="637" t="s">
        <v>258</v>
      </c>
      <c r="F73" s="638"/>
      <c r="G73" s="638"/>
      <c r="H73" s="639"/>
      <c r="I73" s="640"/>
      <c r="J73" s="637" t="s">
        <v>259</v>
      </c>
      <c r="K73" s="638"/>
      <c r="L73" s="638"/>
      <c r="M73" s="639"/>
      <c r="N73" s="640"/>
      <c r="O73" s="637" t="s">
        <v>260</v>
      </c>
      <c r="P73" s="638"/>
      <c r="Q73" s="638"/>
      <c r="R73" s="639"/>
      <c r="S73" s="640"/>
      <c r="T73" s="637" t="s">
        <v>261</v>
      </c>
      <c r="U73" s="638"/>
      <c r="V73" s="638"/>
      <c r="W73" s="639"/>
      <c r="X73" s="640"/>
      <c r="Y73" s="637" t="s">
        <v>262</v>
      </c>
      <c r="Z73" s="638"/>
      <c r="AA73" s="638"/>
      <c r="AB73" s="639"/>
      <c r="AC73" s="641"/>
      <c r="AD73" s="642"/>
      <c r="AE73" s="631"/>
      <c r="AF73" s="631"/>
      <c r="AG73" s="632"/>
      <c r="AH73" s="643"/>
      <c r="AI73" s="324"/>
    </row>
    <row r="74">
      <c r="A74" s="312"/>
      <c r="B74" s="644"/>
      <c r="C74" s="326"/>
      <c r="D74" s="645"/>
      <c r="E74" s="646">
        <v>43.0</v>
      </c>
      <c r="F74" s="631"/>
      <c r="G74" s="631"/>
      <c r="H74" s="647"/>
      <c r="I74" s="648"/>
      <c r="J74" s="646">
        <v>43.0</v>
      </c>
      <c r="K74" s="631"/>
      <c r="L74" s="631"/>
      <c r="M74" s="647"/>
      <c r="N74" s="648"/>
      <c r="O74" s="646">
        <v>44.0</v>
      </c>
      <c r="P74" s="631"/>
      <c r="Q74" s="631"/>
      <c r="R74" s="647"/>
      <c r="S74" s="648"/>
      <c r="T74" s="646">
        <v>44.0</v>
      </c>
      <c r="U74" s="631"/>
      <c r="V74" s="631"/>
      <c r="W74" s="647"/>
      <c r="X74" s="648"/>
      <c r="Y74" s="646">
        <v>44.0</v>
      </c>
      <c r="Z74" s="631"/>
      <c r="AA74" s="631"/>
      <c r="AB74" s="647"/>
      <c r="AC74" s="641"/>
      <c r="AD74" s="649"/>
      <c r="AE74" s="631"/>
      <c r="AF74" s="631"/>
      <c r="AG74" s="632"/>
      <c r="AH74" s="650"/>
      <c r="AI74" s="651"/>
    </row>
    <row r="75" ht="25.5" customHeight="1">
      <c r="A75" s="312"/>
      <c r="B75" s="652"/>
      <c r="C75" s="653"/>
      <c r="D75" s="630"/>
      <c r="E75" s="654"/>
      <c r="F75" s="655" t="str">
        <f t="array" ref="F75">IFERROR(VLOOKUP(E73,Dex!$B$3:$H191,5,FALSE),"")</f>
        <v/>
      </c>
      <c r="G75" s="632"/>
      <c r="H75" s="656"/>
      <c r="I75" s="657"/>
      <c r="J75" s="658"/>
      <c r="K75" s="659" t="str">
        <f t="array" ref="K75">IFERROR(VLOOKUP(J73,Dex!$B$3:$H191,5,FALSE),"")</f>
        <v/>
      </c>
      <c r="L75" s="660" t="str">
        <f t="array" ref="L75">IFERROR(VLOOKUP(J73,Dex!$B$3:$H191,7,FALSE),"")</f>
        <v/>
      </c>
      <c r="M75" s="661"/>
      <c r="N75" s="657"/>
      <c r="O75" s="658"/>
      <c r="P75" s="659" t="str">
        <f t="array" ref="P75">IFERROR(VLOOKUP(O73,Dex!$B$3:$H191,5,FALSE),"")</f>
        <v/>
      </c>
      <c r="Q75" s="660" t="str">
        <f t="array" ref="Q75">IFERROR(VLOOKUP(O73,Dex!$B$3:$H191,7,FALSE),"")</f>
        <v/>
      </c>
      <c r="R75" s="661"/>
      <c r="S75" s="657"/>
      <c r="T75" s="658"/>
      <c r="U75" s="659" t="str">
        <f t="array" ref="U75">IFERROR(VLOOKUP(T73,Dex!$B$3:$H191,5,FALSE),"")</f>
        <v/>
      </c>
      <c r="V75" s="660" t="str">
        <f t="array" ref="V75">IFERROR(VLOOKUP(T73,Dex!$B$3:$H191,7,FALSE),"")</f>
        <v/>
      </c>
      <c r="W75" s="661"/>
      <c r="X75" s="657"/>
      <c r="Y75" s="658"/>
      <c r="Z75" s="659" t="str">
        <f t="array" ref="Z75">IFERROR(VLOOKUP(Y73,Dex!$B$3:$H191,5,FALSE),"")</f>
        <v/>
      </c>
      <c r="AA75" s="660" t="str">
        <f t="array" ref="AA75">IFERROR(VLOOKUP(Y73,Dex!$B$3:$H191,7,FALSE),"")</f>
        <v/>
      </c>
      <c r="AB75" s="661"/>
      <c r="AC75" s="641"/>
      <c r="AD75" s="630"/>
      <c r="AE75" s="631"/>
      <c r="AF75" s="631"/>
      <c r="AG75" s="632"/>
      <c r="AH75" s="633"/>
      <c r="AI75" s="296"/>
    </row>
    <row r="76" ht="2.25" customHeight="1">
      <c r="A76" s="343"/>
      <c r="B76" s="652"/>
      <c r="C76" s="662"/>
      <c r="D76" s="630"/>
      <c r="E76" s="663"/>
      <c r="F76" s="664"/>
      <c r="G76" s="664"/>
      <c r="H76" s="665"/>
      <c r="I76" s="657"/>
      <c r="J76" s="663"/>
      <c r="K76" s="664"/>
      <c r="L76" s="664"/>
      <c r="M76" s="665"/>
      <c r="N76" s="657"/>
      <c r="O76" s="663"/>
      <c r="P76" s="664"/>
      <c r="Q76" s="664"/>
      <c r="R76" s="665"/>
      <c r="S76" s="657"/>
      <c r="T76" s="663"/>
      <c r="U76" s="664"/>
      <c r="V76" s="664"/>
      <c r="W76" s="665"/>
      <c r="X76" s="657"/>
      <c r="Y76" s="663"/>
      <c r="Z76" s="664"/>
      <c r="AA76" s="664"/>
      <c r="AB76" s="665"/>
      <c r="AC76" s="641"/>
      <c r="AD76" s="666"/>
      <c r="AE76" s="666"/>
      <c r="AF76" s="666"/>
      <c r="AG76" s="666"/>
      <c r="AH76" s="633"/>
      <c r="AI76" s="296"/>
    </row>
    <row r="77" ht="20.25" customHeight="1">
      <c r="A77" s="312"/>
      <c r="B77" s="652"/>
      <c r="C77" s="667"/>
      <c r="D77" s="630"/>
      <c r="E77" s="668" t="s">
        <v>172</v>
      </c>
      <c r="F77" s="669"/>
      <c r="G77" s="669"/>
      <c r="H77" s="670"/>
      <c r="I77" s="671"/>
      <c r="J77" s="668" t="s">
        <v>172</v>
      </c>
      <c r="K77" s="669"/>
      <c r="L77" s="669"/>
      <c r="M77" s="670"/>
      <c r="N77" s="671"/>
      <c r="O77" s="668" t="s">
        <v>263</v>
      </c>
      <c r="P77" s="669"/>
      <c r="Q77" s="669"/>
      <c r="R77" s="670"/>
      <c r="S77" s="671"/>
      <c r="T77" s="668" t="s">
        <v>263</v>
      </c>
      <c r="U77" s="669"/>
      <c r="V77" s="669"/>
      <c r="W77" s="670"/>
      <c r="X77" s="671"/>
      <c r="Y77" s="668" t="s">
        <v>264</v>
      </c>
      <c r="Z77" s="669"/>
      <c r="AA77" s="669"/>
      <c r="AB77" s="670"/>
      <c r="AC77" s="641"/>
      <c r="AD77" s="630"/>
      <c r="AE77" s="631"/>
      <c r="AF77" s="631"/>
      <c r="AG77" s="632"/>
      <c r="AH77" s="633"/>
      <c r="AI77" s="296"/>
    </row>
    <row r="78">
      <c r="A78" s="312"/>
      <c r="B78" s="672"/>
      <c r="C78" s="673"/>
      <c r="D78" s="674"/>
      <c r="E78" s="675" t="s">
        <v>265</v>
      </c>
      <c r="F78" s="631"/>
      <c r="G78" s="631"/>
      <c r="H78" s="647"/>
      <c r="I78" s="676"/>
      <c r="J78" s="675" t="s">
        <v>207</v>
      </c>
      <c r="K78" s="631"/>
      <c r="L78" s="631"/>
      <c r="M78" s="647"/>
      <c r="N78" s="676"/>
      <c r="O78" s="675" t="s">
        <v>266</v>
      </c>
      <c r="P78" s="631"/>
      <c r="Q78" s="631"/>
      <c r="R78" s="647"/>
      <c r="S78" s="676"/>
      <c r="T78" s="675" t="s">
        <v>267</v>
      </c>
      <c r="U78" s="631"/>
      <c r="V78" s="631"/>
      <c r="W78" s="647"/>
      <c r="X78" s="676"/>
      <c r="Y78" s="675" t="s">
        <v>268</v>
      </c>
      <c r="Z78" s="631"/>
      <c r="AA78" s="631"/>
      <c r="AB78" s="647"/>
      <c r="AC78" s="641"/>
      <c r="AD78" s="674"/>
      <c r="AE78" s="631"/>
      <c r="AF78" s="631"/>
      <c r="AG78" s="632"/>
      <c r="AH78" s="677"/>
      <c r="AI78" s="678"/>
    </row>
    <row r="79" ht="20.25" customHeight="1">
      <c r="A79" s="312"/>
      <c r="B79" s="652"/>
      <c r="C79" s="662"/>
      <c r="D79" s="630"/>
      <c r="E79" s="679" t="s">
        <v>269</v>
      </c>
      <c r="F79" s="680"/>
      <c r="G79" s="681"/>
      <c r="H79" s="682" t="str">
        <f>IMAGE("https://raw.githubusercontent.com/msikma/pokesprite/master/items/hold-item/terrain-extender.png",4,32,32)</f>
        <v/>
      </c>
      <c r="I79" s="671"/>
      <c r="J79" s="679" t="s">
        <v>240</v>
      </c>
      <c r="K79" s="680"/>
      <c r="L79" s="681"/>
      <c r="M79" s="683" t="str">
        <f>IMAGE("https://raw.githubusercontent.com/msikma/pokesprite/master/items/hold-item/focus-sash.png",3)</f>
        <v/>
      </c>
      <c r="N79" s="671"/>
      <c r="O79" s="679" t="s">
        <v>270</v>
      </c>
      <c r="P79" s="680"/>
      <c r="Q79" s="681"/>
      <c r="R79" s="683" t="str">
        <f>IMAGE("https://raw.githubusercontent.com/msikma/pokesprite/master/items/mega-stone/venusaurite.png",3)</f>
        <v/>
      </c>
      <c r="S79" s="671"/>
      <c r="T79" s="679" t="s">
        <v>271</v>
      </c>
      <c r="U79" s="680"/>
      <c r="V79" s="681"/>
      <c r="W79" s="683" t="str">
        <f>IMAGE("https://raw.githubusercontent.com/msikma/pokesprite/master/items/hold-item/grassy-seed.png",3)</f>
        <v/>
      </c>
      <c r="X79" s="671"/>
      <c r="Y79" s="679" t="s">
        <v>272</v>
      </c>
      <c r="Z79" s="680"/>
      <c r="AA79" s="681"/>
      <c r="AB79" s="683" t="str">
        <f>IMAGE("https://raw.githubusercontent.com/msikma/pokesprite/master/items/hold-item/life-orb.png",3)</f>
        <v/>
      </c>
      <c r="AC79" s="641"/>
      <c r="AD79" s="630"/>
      <c r="AE79" s="631"/>
      <c r="AF79" s="631"/>
      <c r="AG79" s="632"/>
      <c r="AH79" s="633"/>
      <c r="AI79" s="296"/>
    </row>
    <row r="80" ht="20.25" customHeight="1">
      <c r="A80" s="312"/>
      <c r="B80" s="652"/>
      <c r="C80" s="667"/>
      <c r="D80" s="630"/>
      <c r="E80" s="668" t="s">
        <v>273</v>
      </c>
      <c r="F80" s="669"/>
      <c r="G80" s="684"/>
      <c r="H80" s="685" t="str">
        <f>IMAGE("https://raw.githubusercontent.com/msikma/pokesprite/master/misc/types/gen8/grass.png",4,20,20)</f>
        <v/>
      </c>
      <c r="I80" s="671"/>
      <c r="J80" s="668" t="s">
        <v>274</v>
      </c>
      <c r="K80" s="669"/>
      <c r="L80" s="684"/>
      <c r="M80" s="685" t="str">
        <f>IMAGE("https://raw.githubusercontent.com/msikma/pokesprite/master/misc/types/gen8/grass.png",4,20,20)</f>
        <v/>
      </c>
      <c r="N80" s="671"/>
      <c r="O80" s="668" t="s">
        <v>275</v>
      </c>
      <c r="P80" s="669"/>
      <c r="Q80" s="684"/>
      <c r="R80" s="685" t="str">
        <f>IMAGE("https://raw.githubusercontent.com/msikma/pokesprite/master/misc/types/gen8/grass.png",4,20,20)</f>
        <v/>
      </c>
      <c r="S80" s="671"/>
      <c r="T80" s="668" t="s">
        <v>276</v>
      </c>
      <c r="U80" s="669"/>
      <c r="V80" s="684"/>
      <c r="W80" s="685" t="str">
        <f>IMAGE("https://raw.githubusercontent.com/msikma/pokesprite/master/misc/types/gen8/rock.png",4,20,20)</f>
        <v/>
      </c>
      <c r="X80" s="671"/>
      <c r="Y80" s="668" t="s">
        <v>277</v>
      </c>
      <c r="Z80" s="669"/>
      <c r="AA80" s="684"/>
      <c r="AB80" s="685" t="str">
        <f>IMAGE("https://raw.githubusercontent.com/msikma/pokesprite/master/misc/types/gen8/electric.png",4,20,20)</f>
        <v/>
      </c>
      <c r="AC80" s="641"/>
      <c r="AD80" s="630"/>
      <c r="AE80" s="631"/>
      <c r="AF80" s="631"/>
      <c r="AG80" s="632"/>
      <c r="AH80" s="633"/>
      <c r="AI80" s="296"/>
    </row>
    <row r="81" ht="20.25" customHeight="1">
      <c r="A81" s="312"/>
      <c r="B81" s="652"/>
      <c r="C81" s="686"/>
      <c r="D81" s="630"/>
      <c r="E81" s="675" t="s">
        <v>278</v>
      </c>
      <c r="F81" s="631"/>
      <c r="G81" s="687"/>
      <c r="H81" s="688" t="str">
        <f>IMAGE("https://raw.githubusercontent.com/msikma/pokesprite/master/misc/types/gen8/bug.png",4,20,20)</f>
        <v/>
      </c>
      <c r="I81" s="671"/>
      <c r="J81" s="675" t="s">
        <v>279</v>
      </c>
      <c r="K81" s="631"/>
      <c r="L81" s="687"/>
      <c r="M81" s="688" t="str">
        <f>IMAGE("https://raw.githubusercontent.com/msikma/pokesprite/master/misc/types/gen8/dark.png",4,20,20)</f>
        <v/>
      </c>
      <c r="N81" s="671"/>
      <c r="O81" s="675" t="s">
        <v>280</v>
      </c>
      <c r="P81" s="631"/>
      <c r="Q81" s="687"/>
      <c r="R81" s="688" t="str">
        <f>IMAGE("https://raw.githubusercontent.com/msikma/pokesprite/master/misc/types/gen8/poison.png",4,20,20)</f>
        <v/>
      </c>
      <c r="S81" s="671"/>
      <c r="T81" s="675" t="s">
        <v>275</v>
      </c>
      <c r="U81" s="631"/>
      <c r="V81" s="687"/>
      <c r="W81" s="688" t="str">
        <f>IMAGE("https://raw.githubusercontent.com/msikma/pokesprite/master/misc/types/gen8/grass.png",4,20,20)</f>
        <v/>
      </c>
      <c r="X81" s="671"/>
      <c r="Y81" s="675" t="s">
        <v>281</v>
      </c>
      <c r="Z81" s="631"/>
      <c r="AA81" s="687"/>
      <c r="AB81" s="688" t="str">
        <f>IMAGE("https://raw.githubusercontent.com/msikma/pokesprite/master/misc/types/gen8/grass.png",4,20,20)</f>
        <v/>
      </c>
      <c r="AC81" s="641"/>
      <c r="AD81" s="630"/>
      <c r="AE81" s="631"/>
      <c r="AF81" s="631"/>
      <c r="AG81" s="632"/>
      <c r="AH81" s="633"/>
      <c r="AI81" s="296"/>
    </row>
    <row r="82" ht="20.25" customHeight="1">
      <c r="A82" s="312"/>
      <c r="B82" s="652"/>
      <c r="C82" s="686"/>
      <c r="D82" s="630"/>
      <c r="E82" s="675" t="s">
        <v>282</v>
      </c>
      <c r="F82" s="631"/>
      <c r="G82" s="687"/>
      <c r="H82" s="688" t="str">
        <f>IMAGE("https://raw.githubusercontent.com/msikma/pokesprite/master/misc/types/gen8/ground.png",4,20,20)</f>
        <v/>
      </c>
      <c r="I82" s="671"/>
      <c r="J82" s="675" t="s">
        <v>278</v>
      </c>
      <c r="K82" s="631"/>
      <c r="L82" s="687"/>
      <c r="M82" s="688" t="str">
        <f>IMAGE("https://raw.githubusercontent.com/msikma/pokesprite/master/misc/types/gen8/bug.png",4,20,20)</f>
        <v/>
      </c>
      <c r="N82" s="671"/>
      <c r="O82" s="675" t="s">
        <v>283</v>
      </c>
      <c r="P82" s="631"/>
      <c r="Q82" s="687"/>
      <c r="R82" s="688" t="str">
        <f>IMAGE("https://raw.githubusercontent.com/msikma/pokesprite/master/misc/types/gen8/grass.png",4,20,20)</f>
        <v/>
      </c>
      <c r="S82" s="671"/>
      <c r="T82" s="675" t="s">
        <v>284</v>
      </c>
      <c r="U82" s="631"/>
      <c r="V82" s="687"/>
      <c r="W82" s="688" t="str">
        <f>IMAGE("https://raw.githubusercontent.com/msikma/pokesprite/master/misc/types/gen8/fairy.png",4,20,20)</f>
        <v/>
      </c>
      <c r="X82" s="671"/>
      <c r="Y82" s="675" t="s">
        <v>254</v>
      </c>
      <c r="Z82" s="631"/>
      <c r="AA82" s="687"/>
      <c r="AB82" s="688" t="str">
        <f>IMAGE("https://raw.githubusercontent.com/msikma/pokesprite/master/misc/types/gen8/ice.png",4,20,20)</f>
        <v/>
      </c>
      <c r="AC82" s="641"/>
      <c r="AD82" s="630"/>
      <c r="AE82" s="631"/>
      <c r="AF82" s="631"/>
      <c r="AG82" s="632"/>
      <c r="AH82" s="633"/>
      <c r="AI82" s="296"/>
    </row>
    <row r="83" ht="21.0" customHeight="1">
      <c r="A83" s="312"/>
      <c r="B83" s="652"/>
      <c r="C83" s="686"/>
      <c r="D83" s="630"/>
      <c r="E83" s="689" t="s">
        <v>244</v>
      </c>
      <c r="F83" s="690"/>
      <c r="G83" s="691"/>
      <c r="H83" s="692" t="str">
        <f>IMAGE("https://raw.githubusercontent.com/msikma/pokesprite/master/misc/types/gen8/fighting.png",4,20,20)</f>
        <v/>
      </c>
      <c r="I83" s="671"/>
      <c r="J83" s="689" t="s">
        <v>285</v>
      </c>
      <c r="K83" s="690"/>
      <c r="L83" s="691"/>
      <c r="M83" s="692" t="str">
        <f>IMAGE("https://raw.githubusercontent.com/msikma/pokesprite/master/misc/types/gen8/ice.png",4,20,20)</f>
        <v/>
      </c>
      <c r="N83" s="671"/>
      <c r="O83" s="689" t="s">
        <v>286</v>
      </c>
      <c r="P83" s="690"/>
      <c r="Q83" s="691"/>
      <c r="R83" s="692" t="str">
        <f>IMAGE("https://raw.githubusercontent.com/msikma/pokesprite/master/misc/types/gen8/ground.png",4,20,20)</f>
        <v/>
      </c>
      <c r="S83" s="671"/>
      <c r="T83" s="689" t="s">
        <v>287</v>
      </c>
      <c r="U83" s="690"/>
      <c r="V83" s="691"/>
      <c r="W83" s="692" t="str">
        <f>IMAGE("https://raw.githubusercontent.com/msikma/pokesprite/master/misc/types/gen8/fire.png",4,20,20)</f>
        <v/>
      </c>
      <c r="X83" s="671"/>
      <c r="Y83" s="689" t="s">
        <v>288</v>
      </c>
      <c r="Z83" s="690"/>
      <c r="AA83" s="691"/>
      <c r="AB83" s="692" t="str">
        <f>IMAGE("https://raw.githubusercontent.com/msikma/pokesprite/master/misc/types/gen8/normal.png",4,20,20)</f>
        <v/>
      </c>
      <c r="AC83" s="693"/>
      <c r="AD83" s="630"/>
      <c r="AE83" s="631"/>
      <c r="AF83" s="631"/>
      <c r="AG83" s="632"/>
      <c r="AH83" s="633"/>
      <c r="AI83" s="296"/>
    </row>
    <row r="84" ht="3.0" customHeight="1">
      <c r="A84" s="343"/>
      <c r="B84" s="652"/>
      <c r="C84" s="694"/>
      <c r="D84" s="695"/>
      <c r="E84" s="696"/>
      <c r="F84" s="696"/>
      <c r="G84" s="696"/>
      <c r="H84" s="696"/>
      <c r="I84" s="695"/>
      <c r="J84" s="696"/>
      <c r="K84" s="696"/>
      <c r="L84" s="696"/>
      <c r="M84" s="696"/>
      <c r="N84" s="695"/>
      <c r="O84" s="696"/>
      <c r="P84" s="696"/>
      <c r="Q84" s="696"/>
      <c r="R84" s="696"/>
      <c r="S84" s="695"/>
      <c r="T84" s="696"/>
      <c r="U84" s="696"/>
      <c r="V84" s="696"/>
      <c r="W84" s="696"/>
      <c r="X84" s="695"/>
      <c r="Y84" s="697"/>
      <c r="Z84" s="698"/>
      <c r="AA84" s="698"/>
      <c r="AB84" s="699"/>
      <c r="AC84" s="700"/>
      <c r="AD84" s="700"/>
      <c r="AE84" s="700"/>
      <c r="AF84" s="700"/>
      <c r="AG84" s="700"/>
      <c r="AH84" s="633"/>
      <c r="AI84" s="296"/>
    </row>
    <row r="85" ht="16.5" customHeight="1">
      <c r="A85" s="312"/>
      <c r="B85" s="701"/>
      <c r="C85" s="694"/>
      <c r="D85" s="702"/>
      <c r="E85" s="703" t="s">
        <v>190</v>
      </c>
      <c r="F85" s="381"/>
      <c r="G85" s="382"/>
      <c r="H85" s="704" t="s">
        <v>191</v>
      </c>
      <c r="I85" s="705"/>
      <c r="J85" s="703" t="s">
        <v>190</v>
      </c>
      <c r="K85" s="381"/>
      <c r="L85" s="382"/>
      <c r="M85" s="704" t="s">
        <v>191</v>
      </c>
      <c r="N85" s="705"/>
      <c r="O85" s="703" t="s">
        <v>190</v>
      </c>
      <c r="P85" s="381"/>
      <c r="Q85" s="382"/>
      <c r="R85" s="704" t="s">
        <v>191</v>
      </c>
      <c r="S85" s="705"/>
      <c r="T85" s="703" t="s">
        <v>190</v>
      </c>
      <c r="U85" s="381"/>
      <c r="V85" s="382"/>
      <c r="W85" s="704" t="s">
        <v>191</v>
      </c>
      <c r="X85" s="705"/>
      <c r="Y85" s="703" t="s">
        <v>190</v>
      </c>
      <c r="Z85" s="381"/>
      <c r="AA85" s="382"/>
      <c r="AB85" s="704" t="s">
        <v>191</v>
      </c>
      <c r="AC85" s="706"/>
      <c r="AD85" s="707"/>
      <c r="AE85" s="707"/>
      <c r="AF85" s="707"/>
      <c r="AG85" s="707"/>
      <c r="AH85" s="708"/>
      <c r="AI85" s="389"/>
    </row>
    <row r="86" ht="15.75" customHeight="1">
      <c r="A86" s="312"/>
      <c r="B86" s="701"/>
      <c r="C86" s="694"/>
      <c r="D86" s="702"/>
      <c r="E86" s="709" t="s">
        <v>192</v>
      </c>
      <c r="F86" s="710">
        <f t="array" ref="F86">IFERROR(VLOOKUP(E73,Dex!$B$3:$N191,8,FALSE),"")</f>
        <v>100</v>
      </c>
      <c r="G86" s="711" t="str">
        <f t="array" ref="G86">IFERROR(VLOOKUP(F86,Dex!$P$22:$Q$276,2,FALSE),"")</f>
        <v/>
      </c>
      <c r="H86" s="712"/>
      <c r="I86" s="713"/>
      <c r="J86" s="709" t="s">
        <v>192</v>
      </c>
      <c r="K86" s="710">
        <f t="array" ref="K86">IFERROR(VLOOKUP(J73,Dex!$B$3:$N191,8,FALSE),"")</f>
        <v>76</v>
      </c>
      <c r="L86" s="711" t="str">
        <f t="array" ref="L86">IFERROR(VLOOKUP(K86,Dex!$P$22:$Q$276,2,FALSE),"")</f>
        <v/>
      </c>
      <c r="M86" s="712"/>
      <c r="N86" s="713"/>
      <c r="O86" s="709" t="s">
        <v>192</v>
      </c>
      <c r="P86" s="710">
        <f t="array" ref="P86">IFERROR(VLOOKUP(O73,Dex!$B$3:$N191,8,FALSE),"")</f>
        <v>80</v>
      </c>
      <c r="Q86" s="711" t="str">
        <f t="array" ref="Q86">IFERROR(VLOOKUP(P86,Dex!$P$22:$Q$276,2,FALSE),"")</f>
        <v/>
      </c>
      <c r="R86" s="712">
        <v>252.0</v>
      </c>
      <c r="S86" s="713"/>
      <c r="T86" s="709" t="s">
        <v>192</v>
      </c>
      <c r="U86" s="710">
        <f t="array" ref="U86">IFERROR(VLOOKUP(T73,Dex!$B$3:$N191,8,FALSE),"")</f>
        <v>80</v>
      </c>
      <c r="V86" s="711" t="str">
        <f t="array" ref="V86">IFERROR(VLOOKUP(U86,Dex!$P$22:$Q$276,2,FALSE),"")</f>
        <v/>
      </c>
      <c r="W86" s="712">
        <v>252.0</v>
      </c>
      <c r="X86" s="713"/>
      <c r="Y86" s="709" t="s">
        <v>192</v>
      </c>
      <c r="Z86" s="710">
        <f t="array" ref="Z86">IFERROR(VLOOKUP(Y73,Dex!$B$3:$N191,8,FALSE),"")</f>
        <v>60</v>
      </c>
      <c r="AA86" s="711" t="str">
        <f t="array" ref="AA86">IFERROR(VLOOKUP(Z86,Dex!$P$22:$Q$276,2,FALSE),"")</f>
        <v/>
      </c>
      <c r="AB86" s="712"/>
      <c r="AC86" s="706"/>
      <c r="AD86" s="707"/>
      <c r="AE86" s="707"/>
      <c r="AF86" s="707"/>
      <c r="AG86" s="707"/>
      <c r="AH86" s="708"/>
      <c r="AI86" s="389"/>
    </row>
    <row r="87" ht="15.75" customHeight="1">
      <c r="A87" s="312"/>
      <c r="B87" s="701"/>
      <c r="C87" s="694"/>
      <c r="D87" s="702"/>
      <c r="E87" s="714" t="s">
        <v>193</v>
      </c>
      <c r="F87" s="715">
        <f t="array" ref="F87">IFERROR(VLOOKUP(E73,Dex!$B$3:$N191,9,FALSE),"")</f>
        <v>125</v>
      </c>
      <c r="G87" s="716" t="str">
        <f t="array" ref="G87">IFERROR(VLOOKUP(F87,Dex!$P$22:$Q$276,2,FALSE),"")</f>
        <v/>
      </c>
      <c r="H87" s="717">
        <v>252.0</v>
      </c>
      <c r="I87" s="713"/>
      <c r="J87" s="714" t="s">
        <v>193</v>
      </c>
      <c r="K87" s="715">
        <f t="array" ref="K87">IFERROR(VLOOKUP(J73,Dex!$B$3:$N191,9,FALSE),"")</f>
        <v>110</v>
      </c>
      <c r="L87" s="716" t="str">
        <f t="array" ref="L87">IFERROR(VLOOKUP(K87,Dex!$P$22:$Q$276,2,FALSE),"")</f>
        <v/>
      </c>
      <c r="M87" s="717">
        <v>252.0</v>
      </c>
      <c r="N87" s="713"/>
      <c r="O87" s="714" t="s">
        <v>193</v>
      </c>
      <c r="P87" s="715">
        <f t="array" ref="P87">IFERROR(VLOOKUP(O73,Dex!$B$3:$N191,9,FALSE),"")</f>
        <v>100</v>
      </c>
      <c r="Q87" s="716" t="str">
        <f t="array" ref="Q87">IFERROR(VLOOKUP(P87,Dex!$P$22:$Q$276,2,FALSE),"")</f>
        <v/>
      </c>
      <c r="R87" s="717"/>
      <c r="S87" s="713"/>
      <c r="T87" s="714" t="s">
        <v>193</v>
      </c>
      <c r="U87" s="715">
        <f t="array" ref="U87">IFERROR(VLOOKUP(T73,Dex!$B$3:$N191,9,FALSE),"")</f>
        <v>82</v>
      </c>
      <c r="V87" s="716" t="str">
        <f t="array" ref="V87">IFERROR(VLOOKUP(U87,Dex!$P$22:$Q$276,2,FALSE),"")</f>
        <v/>
      </c>
      <c r="W87" s="717"/>
      <c r="X87" s="713"/>
      <c r="Y87" s="714" t="s">
        <v>193</v>
      </c>
      <c r="Z87" s="715">
        <f t="array" ref="Z87">IFERROR(VLOOKUP(Y73,Dex!$B$3:$N191,9,FALSE),"")</f>
        <v>55</v>
      </c>
      <c r="AA87" s="716" t="str">
        <f t="array" ref="AA87">IFERROR(VLOOKUP(Z87,Dex!$P$22:$Q$276,2,FALSE),"")</f>
        <v/>
      </c>
      <c r="AB87" s="717">
        <v>4.0</v>
      </c>
      <c r="AC87" s="706"/>
      <c r="AD87" s="707"/>
      <c r="AE87" s="707"/>
      <c r="AF87" s="707"/>
      <c r="AG87" s="707"/>
      <c r="AH87" s="708"/>
      <c r="AI87" s="389"/>
    </row>
    <row r="88" ht="15.75" customHeight="1">
      <c r="A88" s="312"/>
      <c r="B88" s="701"/>
      <c r="C88" s="694"/>
      <c r="D88" s="702"/>
      <c r="E88" s="714" t="s">
        <v>194</v>
      </c>
      <c r="F88" s="715">
        <f t="array" ref="F88">IFERROR(VLOOKUP(E73,Dex!$B$3:$N191,10,FALSE),"")</f>
        <v>90</v>
      </c>
      <c r="G88" s="716" t="str">
        <f t="array" ref="G88">IFERROR(VLOOKUP(F88,Dex!$P$22:$Q$276,2,FALSE),"")</f>
        <v/>
      </c>
      <c r="H88" s="717">
        <v>4.0</v>
      </c>
      <c r="I88" s="713"/>
      <c r="J88" s="714" t="s">
        <v>194</v>
      </c>
      <c r="K88" s="715">
        <f t="array" ref="K88">IFERROR(VLOOKUP(J73,Dex!$B$3:$N191,10,FALSE),"")</f>
        <v>70</v>
      </c>
      <c r="L88" s="716" t="str">
        <f t="array" ref="L88">IFERROR(VLOOKUP(K88,Dex!$P$22:$Q$276,2,FALSE),"")</f>
        <v/>
      </c>
      <c r="M88" s="717">
        <v>4.0</v>
      </c>
      <c r="N88" s="713"/>
      <c r="O88" s="714" t="s">
        <v>194</v>
      </c>
      <c r="P88" s="715">
        <f t="array" ref="P88">IFERROR(VLOOKUP(O73,Dex!$B$3:$N191,10,FALSE),"")</f>
        <v>123</v>
      </c>
      <c r="Q88" s="716" t="str">
        <f t="array" ref="Q88">IFERROR(VLOOKUP(P88,Dex!$P$22:$Q$276,2,FALSE),"")</f>
        <v/>
      </c>
      <c r="R88" s="717">
        <v>4.0</v>
      </c>
      <c r="S88" s="713"/>
      <c r="T88" s="714" t="s">
        <v>194</v>
      </c>
      <c r="U88" s="715">
        <f t="array" ref="U88">IFERROR(VLOOKUP(T73,Dex!$B$3:$N191,10,FALSE),"")</f>
        <v>100</v>
      </c>
      <c r="V88" s="716" t="str">
        <f t="array" ref="V88">IFERROR(VLOOKUP(U88,Dex!$P$22:$Q$276,2,FALSE),"")</f>
        <v/>
      </c>
      <c r="W88" s="717">
        <v>4.0</v>
      </c>
      <c r="X88" s="713"/>
      <c r="Y88" s="714" t="s">
        <v>194</v>
      </c>
      <c r="Z88" s="715">
        <f t="array" ref="Z88">IFERROR(VLOOKUP(Y73,Dex!$B$3:$N191,10,FALSE),"")</f>
        <v>70</v>
      </c>
      <c r="AA88" s="716" t="str">
        <f t="array" ref="AA88">IFERROR(VLOOKUP(Z88,Dex!$P$22:$Q$276,2,FALSE),"")</f>
        <v/>
      </c>
      <c r="AB88" s="717"/>
      <c r="AC88" s="706"/>
      <c r="AD88" s="707"/>
      <c r="AE88" s="707"/>
      <c r="AF88" s="707"/>
      <c r="AG88" s="707"/>
      <c r="AH88" s="708"/>
      <c r="AI88" s="389"/>
    </row>
    <row r="89" ht="15.75" customHeight="1">
      <c r="A89" s="312"/>
      <c r="B89" s="701"/>
      <c r="C89" s="694"/>
      <c r="D89" s="702"/>
      <c r="E89" s="714" t="s">
        <v>195</v>
      </c>
      <c r="F89" s="715">
        <f t="array" ref="F89">IFERROR(VLOOKUP(E73,Dex!$B$3:$N191,11,FALSE),"")</f>
        <v>60</v>
      </c>
      <c r="G89" s="716" t="str">
        <f t="array" ref="G89">IFERROR(VLOOKUP(F89,Dex!$P$22:$Q$276,2,FALSE),"")</f>
        <v/>
      </c>
      <c r="H89" s="717"/>
      <c r="I89" s="713"/>
      <c r="J89" s="714" t="s">
        <v>195</v>
      </c>
      <c r="K89" s="715">
        <f t="array" ref="K89">IFERROR(VLOOKUP(J73,Dex!$B$3:$N191,11,FALSE),"")</f>
        <v>81</v>
      </c>
      <c r="L89" s="716" t="str">
        <f t="array" ref="L89">IFERROR(VLOOKUP(K89,Dex!$P$22:$Q$276,2,FALSE),"")</f>
        <v/>
      </c>
      <c r="M89" s="717"/>
      <c r="N89" s="713"/>
      <c r="O89" s="714" t="s">
        <v>195</v>
      </c>
      <c r="P89" s="715">
        <f t="array" ref="P89">IFERROR(VLOOKUP(O73,Dex!$B$3:$N191,11,FALSE),"")</f>
        <v>122</v>
      </c>
      <c r="Q89" s="716" t="str">
        <f t="array" ref="Q89">IFERROR(VLOOKUP(P89,Dex!$P$22:$Q$276,2,FALSE),"")</f>
        <v/>
      </c>
      <c r="R89" s="717">
        <v>252.0</v>
      </c>
      <c r="S89" s="713"/>
      <c r="T89" s="714" t="s">
        <v>195</v>
      </c>
      <c r="U89" s="715">
        <f t="array" ref="U89">IFERROR(VLOOKUP(T73,Dex!$B$3:$N191,11,FALSE),"")</f>
        <v>83</v>
      </c>
      <c r="V89" s="716" t="str">
        <f t="array" ref="V89">IFERROR(VLOOKUP(U89,Dex!$P$22:$Q$276,2,FALSE),"")</f>
        <v/>
      </c>
      <c r="W89" s="717">
        <v>252.0</v>
      </c>
      <c r="X89" s="713"/>
      <c r="Y89" s="714" t="s">
        <v>195</v>
      </c>
      <c r="Z89" s="715">
        <f t="array" ref="Z89">IFERROR(VLOOKUP(Y73,Dex!$B$3:$N191,11,FALSE),"")</f>
        <v>95</v>
      </c>
      <c r="AA89" s="716" t="str">
        <f t="array" ref="AA89">IFERROR(VLOOKUP(Z89,Dex!$P$22:$Q$276,2,FALSE),"")</f>
        <v/>
      </c>
      <c r="AB89" s="717">
        <v>252.0</v>
      </c>
      <c r="AC89" s="706"/>
      <c r="AD89" s="707"/>
      <c r="AE89" s="707"/>
      <c r="AF89" s="707"/>
      <c r="AG89" s="707"/>
      <c r="AH89" s="708"/>
      <c r="AI89" s="389"/>
    </row>
    <row r="90" ht="15.75" customHeight="1">
      <c r="A90" s="312"/>
      <c r="B90" s="701"/>
      <c r="C90" s="694"/>
      <c r="D90" s="702"/>
      <c r="E90" s="714" t="s">
        <v>196</v>
      </c>
      <c r="F90" s="715">
        <f t="array" ref="F90">IFERROR(VLOOKUP(E73,Dex!$B$3:$N191,12,FALSE),"")</f>
        <v>70</v>
      </c>
      <c r="G90" s="716" t="str">
        <f t="array" ref="G90">IFERROR(VLOOKUP(F90,Dex!$P$22:$Q$276,2,FALSE),"")</f>
        <v/>
      </c>
      <c r="H90" s="717"/>
      <c r="I90" s="713"/>
      <c r="J90" s="714" t="s">
        <v>196</v>
      </c>
      <c r="K90" s="715">
        <f t="array" ref="K90">IFERROR(VLOOKUP(J73,Dex!$B$3:$N191,12,FALSE),"")</f>
        <v>70</v>
      </c>
      <c r="L90" s="716" t="str">
        <f t="array" ref="L90">IFERROR(VLOOKUP(K90,Dex!$P$22:$Q$276,2,FALSE),"")</f>
        <v/>
      </c>
      <c r="M90" s="717"/>
      <c r="N90" s="713"/>
      <c r="O90" s="714" t="s">
        <v>196</v>
      </c>
      <c r="P90" s="715">
        <f t="array" ref="P90">IFERROR(VLOOKUP(O73,Dex!$B$3:$N191,12,FALSE),"")</f>
        <v>120</v>
      </c>
      <c r="Q90" s="716" t="str">
        <f t="array" ref="Q90">IFERROR(VLOOKUP(P90,Dex!$P$22:$Q$276,2,FALSE),"")</f>
        <v/>
      </c>
      <c r="R90" s="717"/>
      <c r="S90" s="713"/>
      <c r="T90" s="714" t="s">
        <v>196</v>
      </c>
      <c r="U90" s="715">
        <f t="array" ref="U90">IFERROR(VLOOKUP(T73,Dex!$B$3:$N191,12,FALSE),"")</f>
        <v>100</v>
      </c>
      <c r="V90" s="716" t="str">
        <f t="array" ref="V90">IFERROR(VLOOKUP(U90,Dex!$P$22:$Q$276,2,FALSE),"")</f>
        <v/>
      </c>
      <c r="W90" s="717"/>
      <c r="X90" s="713"/>
      <c r="Y90" s="714" t="s">
        <v>196</v>
      </c>
      <c r="Z90" s="715">
        <f t="array" ref="Z90">IFERROR(VLOOKUP(Y73,Dex!$B$3:$N191,12,FALSE),"")</f>
        <v>80</v>
      </c>
      <c r="AA90" s="716" t="str">
        <f t="array" ref="AA90">IFERROR(VLOOKUP(Z90,Dex!$P$22:$Q$276,2,FALSE),"")</f>
        <v/>
      </c>
      <c r="AB90" s="717"/>
      <c r="AC90" s="706"/>
      <c r="AD90" s="707"/>
      <c r="AE90" s="707"/>
      <c r="AF90" s="707"/>
      <c r="AG90" s="707"/>
      <c r="AH90" s="708"/>
      <c r="AI90" s="389"/>
    </row>
    <row r="91" ht="15.75" customHeight="1">
      <c r="A91" s="312"/>
      <c r="B91" s="701"/>
      <c r="C91" s="694"/>
      <c r="D91" s="702"/>
      <c r="E91" s="718" t="s">
        <v>197</v>
      </c>
      <c r="F91" s="719">
        <f t="array" ref="F91">IFERROR(VLOOKUP(E73,Dex!$B$3:$N191,13,FALSE),"")</f>
        <v>85</v>
      </c>
      <c r="G91" s="720" t="str">
        <f t="array" ref="G91">IFERROR(VLOOKUP(F91,Dex!$P$22:$Q$276,2,FALSE),"")</f>
        <v/>
      </c>
      <c r="H91" s="721">
        <v>252.0</v>
      </c>
      <c r="I91" s="713"/>
      <c r="J91" s="718" t="s">
        <v>197</v>
      </c>
      <c r="K91" s="719">
        <f t="array" ref="K91">IFERROR(VLOOKUP(J73,Dex!$B$3:$N191,13,FALSE),"")</f>
        <v>123</v>
      </c>
      <c r="L91" s="720" t="str">
        <f t="array" ref="L91">IFERROR(VLOOKUP(K91,Dex!$P$22:$Q$276,2,FALSE),"")</f>
        <v/>
      </c>
      <c r="M91" s="721">
        <v>252.0</v>
      </c>
      <c r="N91" s="713"/>
      <c r="O91" s="718" t="s">
        <v>197</v>
      </c>
      <c r="P91" s="719">
        <f t="array" ref="P91">IFERROR(VLOOKUP(O73,Dex!$B$3:$N191,13,FALSE),"")</f>
        <v>80</v>
      </c>
      <c r="Q91" s="720" t="str">
        <f t="array" ref="Q91">IFERROR(VLOOKUP(P91,Dex!$P$22:$Q$276,2,FALSE),"")</f>
        <v/>
      </c>
      <c r="R91" s="721"/>
      <c r="S91" s="713"/>
      <c r="T91" s="718" t="s">
        <v>197</v>
      </c>
      <c r="U91" s="719">
        <f t="array" ref="U91">IFERROR(VLOOKUP(T73,Dex!$B$3:$N191,13,FALSE),"")</f>
        <v>80</v>
      </c>
      <c r="V91" s="720" t="str">
        <f t="array" ref="V91">IFERROR(VLOOKUP(U91,Dex!$P$22:$Q$276,2,FALSE),"")</f>
        <v/>
      </c>
      <c r="W91" s="721"/>
      <c r="X91" s="713"/>
      <c r="Y91" s="718" t="s">
        <v>197</v>
      </c>
      <c r="Z91" s="719">
        <f t="array" ref="Z91">IFERROR(VLOOKUP(Y73,Dex!$B$3:$N191,13,FALSE),"")</f>
        <v>150</v>
      </c>
      <c r="AA91" s="720" t="str">
        <f t="array" ref="AA91">IFERROR(VLOOKUP(Z91,Dex!$P$22:$Q$276,2,FALSE),"")</f>
        <v/>
      </c>
      <c r="AB91" s="721">
        <v>252.0</v>
      </c>
      <c r="AC91" s="706"/>
      <c r="AD91" s="707"/>
      <c r="AE91" s="707"/>
      <c r="AF91" s="707"/>
      <c r="AG91" s="707"/>
      <c r="AH91" s="708"/>
      <c r="AI91" s="389"/>
    </row>
    <row r="92" ht="16.5" customHeight="1">
      <c r="A92" s="312"/>
      <c r="B92" s="701"/>
      <c r="C92" s="694"/>
      <c r="D92" s="702"/>
      <c r="E92" s="722" t="s">
        <v>198</v>
      </c>
      <c r="F92" s="405"/>
      <c r="G92" s="406"/>
      <c r="H92" s="723">
        <v>129.0</v>
      </c>
      <c r="I92" s="724"/>
      <c r="J92" s="722" t="s">
        <v>198</v>
      </c>
      <c r="K92" s="405"/>
      <c r="L92" s="406"/>
      <c r="M92" s="723">
        <v>166.0</v>
      </c>
      <c r="N92" s="724"/>
      <c r="O92" s="722" t="s">
        <v>198</v>
      </c>
      <c r="P92" s="405"/>
      <c r="Q92" s="406"/>
      <c r="R92" s="723">
        <v>89.0</v>
      </c>
      <c r="S92" s="724"/>
      <c r="T92" s="722" t="s">
        <v>198</v>
      </c>
      <c r="U92" s="405"/>
      <c r="V92" s="406"/>
      <c r="W92" s="723">
        <v>88.0</v>
      </c>
      <c r="X92" s="724"/>
      <c r="Y92" s="722" t="s">
        <v>198</v>
      </c>
      <c r="Z92" s="405"/>
      <c r="AA92" s="406"/>
      <c r="AB92" s="723">
        <v>195.0</v>
      </c>
      <c r="AC92" s="725"/>
      <c r="AD92" s="707"/>
      <c r="AE92" s="707"/>
      <c r="AF92" s="707"/>
      <c r="AG92" s="707"/>
      <c r="AH92" s="708"/>
      <c r="AI92" s="389"/>
    </row>
    <row r="93" ht="15.0" customHeight="1">
      <c r="A93" s="290"/>
      <c r="B93" s="726"/>
      <c r="C93" s="727"/>
      <c r="D93" s="728"/>
      <c r="E93" s="729"/>
      <c r="F93" s="729"/>
      <c r="G93" s="729"/>
      <c r="H93" s="729"/>
      <c r="I93" s="728"/>
      <c r="J93" s="729"/>
      <c r="K93" s="729"/>
      <c r="L93" s="729"/>
      <c r="M93" s="729"/>
      <c r="N93" s="728"/>
      <c r="O93" s="729"/>
      <c r="P93" s="729"/>
      <c r="Q93" s="729"/>
      <c r="R93" s="729"/>
      <c r="S93" s="728"/>
      <c r="T93" s="729"/>
      <c r="U93" s="729"/>
      <c r="V93" s="729"/>
      <c r="W93" s="729"/>
      <c r="X93" s="728"/>
      <c r="Y93" s="729"/>
      <c r="Z93" s="729"/>
      <c r="AA93" s="729"/>
      <c r="AB93" s="729"/>
      <c r="AC93" s="728"/>
      <c r="AD93" s="728"/>
      <c r="AE93" s="728"/>
      <c r="AF93" s="728"/>
      <c r="AG93" s="728"/>
      <c r="AH93" s="730"/>
      <c r="AI93" s="296"/>
    </row>
    <row r="94" ht="15.0" customHeight="1">
      <c r="A94" s="290"/>
      <c r="B94" s="731"/>
      <c r="C94" s="732"/>
      <c r="D94" s="733"/>
      <c r="E94" s="733"/>
      <c r="F94" s="733"/>
      <c r="G94" s="733"/>
      <c r="H94" s="733"/>
      <c r="I94" s="733"/>
      <c r="J94" s="733"/>
      <c r="K94" s="733"/>
      <c r="L94" s="733"/>
      <c r="M94" s="733"/>
      <c r="N94" s="733"/>
      <c r="O94" s="733"/>
      <c r="P94" s="733"/>
      <c r="Q94" s="733"/>
      <c r="R94" s="733"/>
      <c r="S94" s="733"/>
      <c r="T94" s="733"/>
      <c r="U94" s="733"/>
      <c r="V94" s="733"/>
      <c r="W94" s="733"/>
      <c r="X94" s="733"/>
      <c r="Y94" s="733"/>
      <c r="Z94" s="733"/>
      <c r="AA94" s="733"/>
      <c r="AB94" s="733"/>
      <c r="AC94" s="733"/>
      <c r="AD94" s="733"/>
      <c r="AE94" s="733"/>
      <c r="AF94" s="733"/>
      <c r="AG94" s="733"/>
      <c r="AH94" s="734"/>
      <c r="AI94" s="296"/>
    </row>
    <row r="95" ht="16.5" customHeight="1">
      <c r="A95" s="290"/>
      <c r="B95" s="735"/>
      <c r="C95" s="736"/>
      <c r="D95" s="737"/>
      <c r="E95" s="738" t="s">
        <v>289</v>
      </c>
      <c r="F95" s="739"/>
      <c r="G95" s="739"/>
      <c r="H95" s="739"/>
      <c r="I95" s="739"/>
      <c r="J95" s="739"/>
      <c r="K95" s="739"/>
      <c r="L95" s="739"/>
      <c r="M95" s="739"/>
      <c r="N95" s="739"/>
      <c r="O95" s="739"/>
      <c r="P95" s="739"/>
      <c r="Q95" s="739"/>
      <c r="R95" s="739"/>
      <c r="S95" s="739"/>
      <c r="T95" s="739"/>
      <c r="U95" s="739"/>
      <c r="V95" s="739"/>
      <c r="W95" s="739"/>
      <c r="X95" s="739"/>
      <c r="Y95" s="739"/>
      <c r="Z95" s="739"/>
      <c r="AA95" s="739"/>
      <c r="AB95" s="739"/>
      <c r="AC95" s="739"/>
      <c r="AD95" s="739"/>
      <c r="AE95" s="739"/>
      <c r="AF95" s="739"/>
      <c r="AG95" s="740"/>
      <c r="AH95" s="741"/>
      <c r="AI95" s="296"/>
    </row>
    <row r="96" ht="96.75" customHeight="1">
      <c r="A96" s="742"/>
      <c r="B96" s="743"/>
      <c r="C96" s="744" t="str">
        <f>IMAGE("https://i.ibb.co/m8V4wv5/Sabrina.png")</f>
        <v/>
      </c>
      <c r="D96" s="745"/>
      <c r="E96" s="746" t="str">
        <f t="array" ref="E96">IFERROR(VLOOKUP(E97,Dex!$B$3:$G191,3,FALSE),"")</f>
        <v/>
      </c>
      <c r="F96" s="302"/>
      <c r="G96" s="302"/>
      <c r="H96" s="303"/>
      <c r="I96" s="747"/>
      <c r="J96" s="746" t="str">
        <f t="array" ref="J96">IFERROR(VLOOKUP(J97,Dex!$B$3:$G191,3,FALSE),"")</f>
        <v/>
      </c>
      <c r="K96" s="302"/>
      <c r="L96" s="302"/>
      <c r="M96" s="303"/>
      <c r="N96" s="747"/>
      <c r="O96" s="746" t="str">
        <f t="array" ref="O96">IFERROR(VLOOKUP(O97,Dex!$B$3:$G191,3,FALSE),"")</f>
        <v/>
      </c>
      <c r="P96" s="302"/>
      <c r="Q96" s="302"/>
      <c r="R96" s="303"/>
      <c r="S96" s="747"/>
      <c r="T96" s="746" t="str">
        <f t="array" ref="T96">IFERROR(VLOOKUP(T97,Dex!$B$3:$G191,3,FALSE),"")</f>
        <v/>
      </c>
      <c r="U96" s="302"/>
      <c r="V96" s="302"/>
      <c r="W96" s="303"/>
      <c r="X96" s="747"/>
      <c r="Y96" s="746" t="str">
        <f t="array" ref="Y96">IFERROR(VLOOKUP(Y97,Dex!$B$3:$G191,3,FALSE),"")</f>
        <v/>
      </c>
      <c r="Z96" s="302"/>
      <c r="AA96" s="302"/>
      <c r="AB96" s="303"/>
      <c r="AC96" s="747"/>
      <c r="AD96" s="746" t="str">
        <f t="array" ref="AD96">IFERROR(VLOOKUP(AD97,Dex!$B$3:$G191,3,FALSE),"")</f>
        <v/>
      </c>
      <c r="AE96" s="302"/>
      <c r="AF96" s="302"/>
      <c r="AG96" s="303"/>
      <c r="AH96" s="748"/>
      <c r="AI96" s="563"/>
    </row>
    <row r="97" ht="18.75" customHeight="1">
      <c r="A97" s="312"/>
      <c r="B97" s="749"/>
      <c r="C97" s="750" t="s">
        <v>290</v>
      </c>
      <c r="D97" s="751"/>
      <c r="E97" s="752" t="s">
        <v>291</v>
      </c>
      <c r="F97" s="753"/>
      <c r="G97" s="753"/>
      <c r="H97" s="754"/>
      <c r="J97" s="752" t="s">
        <v>292</v>
      </c>
      <c r="K97" s="753"/>
      <c r="L97" s="753"/>
      <c r="M97" s="754"/>
      <c r="O97" s="752" t="s">
        <v>293</v>
      </c>
      <c r="P97" s="753"/>
      <c r="Q97" s="753"/>
      <c r="R97" s="754"/>
      <c r="T97" s="752" t="s">
        <v>294</v>
      </c>
      <c r="U97" s="753"/>
      <c r="V97" s="753"/>
      <c r="W97" s="754"/>
      <c r="Y97" s="752" t="s">
        <v>295</v>
      </c>
      <c r="Z97" s="753"/>
      <c r="AA97" s="753"/>
      <c r="AB97" s="754"/>
      <c r="AD97" s="752" t="s">
        <v>296</v>
      </c>
      <c r="AE97" s="753"/>
      <c r="AF97" s="753"/>
      <c r="AG97" s="754"/>
      <c r="AH97" s="755"/>
      <c r="AI97" s="324"/>
    </row>
    <row r="98">
      <c r="A98" s="312"/>
      <c r="B98" s="756"/>
      <c r="C98" s="326"/>
      <c r="D98" s="757"/>
      <c r="E98" s="758">
        <v>57.0</v>
      </c>
      <c r="F98" s="759"/>
      <c r="G98" s="759"/>
      <c r="H98" s="760"/>
      <c r="J98" s="758">
        <v>57.0</v>
      </c>
      <c r="K98" s="759"/>
      <c r="L98" s="759"/>
      <c r="M98" s="760"/>
      <c r="O98" s="758">
        <v>58.0</v>
      </c>
      <c r="P98" s="759"/>
      <c r="Q98" s="759"/>
      <c r="R98" s="760"/>
      <c r="T98" s="758">
        <v>58.0</v>
      </c>
      <c r="U98" s="759"/>
      <c r="V98" s="759"/>
      <c r="W98" s="760"/>
      <c r="Y98" s="758">
        <v>59.0</v>
      </c>
      <c r="Z98" s="759"/>
      <c r="AA98" s="759"/>
      <c r="AB98" s="760"/>
      <c r="AD98" s="758">
        <v>59.0</v>
      </c>
      <c r="AE98" s="759"/>
      <c r="AF98" s="759"/>
      <c r="AG98" s="760"/>
      <c r="AH98" s="761"/>
      <c r="AI98" s="334"/>
    </row>
    <row r="99" ht="25.5" customHeight="1">
      <c r="A99" s="312"/>
      <c r="B99" s="735"/>
      <c r="C99" s="762"/>
      <c r="D99" s="763"/>
      <c r="E99" s="764"/>
      <c r="F99" s="765" t="str">
        <f t="array" ref="F99">IFERROR(VLOOKUP(E97,Dex!$B$3:$H191,5,FALSE),"")</f>
        <v/>
      </c>
      <c r="G99" s="766" t="str">
        <f t="array" ref="G99">IFERROR(VLOOKUP(E97,Dex!$B$3:$H191,7,FALSE),"")</f>
        <v/>
      </c>
      <c r="H99" s="767"/>
      <c r="J99" s="768"/>
      <c r="K99" s="765" t="str">
        <f t="array" ref="K99">IFERROR(VLOOKUP(J97,Dex!$B$3:$H191,5,FALSE),"")</f>
        <v/>
      </c>
      <c r="L99" s="766" t="str">
        <f t="array" ref="L99">IFERROR(VLOOKUP(J97,Dex!$B$3:$H191,7,FALSE),"")</f>
        <v/>
      </c>
      <c r="M99" s="769"/>
      <c r="O99" s="768"/>
      <c r="P99" s="765" t="str">
        <f t="array" ref="P99">IFERROR(VLOOKUP(O97,Dex!$B$3:$H191,5,FALSE),"")</f>
        <v/>
      </c>
      <c r="Q99" s="766" t="str">
        <f t="array" ref="Q99">IFERROR(VLOOKUP(O97,Dex!$B$3:$H191,7,FALSE),"")</f>
        <v/>
      </c>
      <c r="R99" s="769"/>
      <c r="T99" s="768"/>
      <c r="U99" s="770" t="str">
        <f t="array" ref="U99">IFERROR(VLOOKUP(T97,Dex!$B$3:$H191,5,FALSE),"")</f>
        <v/>
      </c>
      <c r="V99" s="771"/>
      <c r="W99" s="769"/>
      <c r="Y99" s="768"/>
      <c r="Z99" s="765" t="str">
        <f t="array" ref="Z99">IFERROR(VLOOKUP(Y97,Dex!$B$3:$H191,5,FALSE),"")</f>
        <v/>
      </c>
      <c r="AA99" s="766" t="str">
        <f t="array" ref="AA99">IFERROR(VLOOKUP(Y97,Dex!$B$3:$H191,7,FALSE),"")</f>
        <v/>
      </c>
      <c r="AB99" s="769"/>
      <c r="AD99" s="768"/>
      <c r="AE99" s="765" t="str">
        <f t="array" ref="AE99">IFERROR(VLOOKUP(AD97,Dex!$B$3:$H191,5,FALSE),"")</f>
        <v/>
      </c>
      <c r="AF99" s="766" t="str">
        <f t="array" ref="AF99">IFERROR(VLOOKUP(AD97,Dex!$B$3:$H191,7,FALSE),"")</f>
        <v/>
      </c>
      <c r="AG99" s="769"/>
      <c r="AH99" s="748"/>
      <c r="AI99" s="296"/>
    </row>
    <row r="100" ht="2.25" customHeight="1">
      <c r="A100" s="343"/>
      <c r="B100" s="735"/>
      <c r="C100" s="772"/>
      <c r="D100" s="773"/>
      <c r="E100" s="774"/>
      <c r="F100" s="775"/>
      <c r="G100" s="775"/>
      <c r="H100" s="776"/>
      <c r="J100" s="774"/>
      <c r="K100" s="775"/>
      <c r="L100" s="775"/>
      <c r="M100" s="776"/>
      <c r="O100" s="774"/>
      <c r="P100" s="775"/>
      <c r="Q100" s="775"/>
      <c r="R100" s="776"/>
      <c r="T100" s="774"/>
      <c r="U100" s="775"/>
      <c r="V100" s="775"/>
      <c r="W100" s="776"/>
      <c r="Y100" s="774"/>
      <c r="Z100" s="775"/>
      <c r="AA100" s="775"/>
      <c r="AB100" s="776"/>
      <c r="AD100" s="774"/>
      <c r="AE100" s="777"/>
      <c r="AF100" s="775"/>
      <c r="AG100" s="776"/>
      <c r="AH100" s="748"/>
      <c r="AI100" s="296"/>
    </row>
    <row r="101" ht="20.25" customHeight="1">
      <c r="A101" s="312"/>
      <c r="B101" s="735"/>
      <c r="C101" s="778"/>
      <c r="D101" s="773"/>
      <c r="E101" s="779" t="s">
        <v>297</v>
      </c>
      <c r="F101" s="780"/>
      <c r="G101" s="780"/>
      <c r="H101" s="781"/>
      <c r="J101" s="779" t="s">
        <v>297</v>
      </c>
      <c r="K101" s="780"/>
      <c r="L101" s="780"/>
      <c r="M101" s="781"/>
      <c r="O101" s="779" t="s">
        <v>170</v>
      </c>
      <c r="P101" s="780"/>
      <c r="Q101" s="780"/>
      <c r="R101" s="781"/>
      <c r="T101" s="779" t="s">
        <v>298</v>
      </c>
      <c r="U101" s="780"/>
      <c r="V101" s="780"/>
      <c r="W101" s="781"/>
      <c r="Y101" s="779" t="s">
        <v>170</v>
      </c>
      <c r="Z101" s="780"/>
      <c r="AA101" s="780"/>
      <c r="AB101" s="781"/>
      <c r="AD101" s="779" t="s">
        <v>297</v>
      </c>
      <c r="AE101" s="780"/>
      <c r="AF101" s="780"/>
      <c r="AG101" s="781"/>
      <c r="AH101" s="748"/>
      <c r="AI101" s="296"/>
    </row>
    <row r="102">
      <c r="A102" s="312"/>
      <c r="B102" s="735"/>
      <c r="C102" s="782"/>
      <c r="D102" s="773"/>
      <c r="E102" s="783" t="s">
        <v>299</v>
      </c>
      <c r="F102" s="759"/>
      <c r="G102" s="759"/>
      <c r="H102" s="760"/>
      <c r="J102" s="783" t="s">
        <v>300</v>
      </c>
      <c r="K102" s="759"/>
      <c r="L102" s="759"/>
      <c r="M102" s="760"/>
      <c r="O102" s="783" t="s">
        <v>301</v>
      </c>
      <c r="P102" s="759"/>
      <c r="Q102" s="759"/>
      <c r="R102" s="760"/>
      <c r="T102" s="783" t="s">
        <v>302</v>
      </c>
      <c r="U102" s="759"/>
      <c r="V102" s="759"/>
      <c r="W102" s="760"/>
      <c r="Y102" s="783" t="s">
        <v>303</v>
      </c>
      <c r="Z102" s="759"/>
      <c r="AA102" s="759"/>
      <c r="AB102" s="760"/>
      <c r="AD102" s="783" t="s">
        <v>304</v>
      </c>
      <c r="AE102" s="759"/>
      <c r="AF102" s="759"/>
      <c r="AG102" s="760"/>
      <c r="AH102" s="748"/>
      <c r="AI102" s="296"/>
    </row>
    <row r="103" ht="20.25" customHeight="1">
      <c r="A103" s="312"/>
      <c r="B103" s="735"/>
      <c r="C103" s="772"/>
      <c r="D103" s="773"/>
      <c r="E103" s="784" t="s">
        <v>305</v>
      </c>
      <c r="F103" s="739"/>
      <c r="G103" s="740"/>
      <c r="H103" s="785" t="str">
        <f>IMAGE("https://raw.githubusercontent.com/msikma/pokesprite/master/items/hold-item/psychic-seed.png",3)</f>
        <v/>
      </c>
      <c r="J103" s="784" t="s">
        <v>269</v>
      </c>
      <c r="K103" s="739"/>
      <c r="L103" s="740"/>
      <c r="M103" s="785" t="str">
        <f>IMAGE("https://raw.githubusercontent.com/msikma/pokesprite/master/items/hold-item/terrain-extender.png",3)</f>
        <v/>
      </c>
      <c r="O103" s="784" t="s">
        <v>306</v>
      </c>
      <c r="P103" s="739"/>
      <c r="Q103" s="740"/>
      <c r="R103" s="785" t="str">
        <f>IMAGE("https://i.ibb.co/SK50ng3/booster.png",4,22,22)</f>
        <v/>
      </c>
      <c r="T103" s="784" t="s">
        <v>211</v>
      </c>
      <c r="U103" s="739"/>
      <c r="V103" s="740"/>
      <c r="W103" s="785" t="str">
        <f>IMAGE("https://raw.githubusercontent.com/msikma/pokesprite/master/items/hold-item/eviolite.png",3)</f>
        <v/>
      </c>
      <c r="Y103" s="784" t="s">
        <v>307</v>
      </c>
      <c r="Z103" s="739"/>
      <c r="AA103" s="740"/>
      <c r="AB103" s="785" t="str">
        <f>IMAGE("https://raw.githubusercontent.com/msikma/pokesprite/master/items/hold-item/flame-orb.png",3)</f>
        <v/>
      </c>
      <c r="AD103" s="784" t="s">
        <v>308</v>
      </c>
      <c r="AE103" s="739"/>
      <c r="AF103" s="740"/>
      <c r="AG103" s="785" t="str">
        <f>IMAGE("https://raw.githubusercontent.com/msikma/pokesprite/master/items/mega-stone/gardevoirite.png",3)</f>
        <v/>
      </c>
      <c r="AH103" s="748"/>
      <c r="AI103" s="296"/>
    </row>
    <row r="104" ht="20.25" customHeight="1">
      <c r="A104" s="312"/>
      <c r="B104" s="735"/>
      <c r="C104" s="778"/>
      <c r="D104" s="773"/>
      <c r="E104" s="779" t="s">
        <v>309</v>
      </c>
      <c r="F104" s="780"/>
      <c r="G104" s="780"/>
      <c r="H104" s="786" t="str">
        <f t="shared" ref="H104:H105" si="3">IMAGE("https://raw.githubusercontent.com/msikma/pokesprite/master/misc/types/gen8/psychic.png",4,20,20)</f>
        <v/>
      </c>
      <c r="J104" s="779" t="s">
        <v>310</v>
      </c>
      <c r="K104" s="780"/>
      <c r="L104" s="780"/>
      <c r="M104" s="786" t="str">
        <f>IMAGE("https://raw.githubusercontent.com/msikma/pokesprite/master/misc/types/gen8/psychic.png",4,20,20)</f>
        <v/>
      </c>
      <c r="O104" s="779" t="s">
        <v>279</v>
      </c>
      <c r="P104" s="780"/>
      <c r="Q104" s="780"/>
      <c r="R104" s="786" t="str">
        <f>IMAGE("https://raw.githubusercontent.com/msikma/pokesprite/master/misc/types/gen8/dark.png",4,20,20)</f>
        <v/>
      </c>
      <c r="T104" s="779" t="s">
        <v>309</v>
      </c>
      <c r="U104" s="780"/>
      <c r="V104" s="780"/>
      <c r="W104" s="786" t="str">
        <f t="shared" ref="W104:W105" si="4">IMAGE("https://raw.githubusercontent.com/msikma/pokesprite/master/misc/types/gen8/psychic.png",4,20,20)</f>
        <v/>
      </c>
      <c r="Y104" s="779" t="s">
        <v>187</v>
      </c>
      <c r="Z104" s="780"/>
      <c r="AA104" s="780"/>
      <c r="AB104" s="786" t="str">
        <f>IMAGE("https://raw.githubusercontent.com/msikma/pokesprite/master/misc/types/gen8/normal.png",4,20,20)</f>
        <v/>
      </c>
      <c r="AD104" s="779" t="s">
        <v>311</v>
      </c>
      <c r="AE104" s="780"/>
      <c r="AF104" s="780"/>
      <c r="AG104" s="786" t="str">
        <f>IMAGE("https://raw.githubusercontent.com/msikma/pokesprite/master/misc/types/gen8/fairy.png",4,20,20)</f>
        <v/>
      </c>
      <c r="AH104" s="748"/>
      <c r="AI104" s="296"/>
    </row>
    <row r="105" ht="20.25" customHeight="1">
      <c r="A105" s="312"/>
      <c r="B105" s="735"/>
      <c r="C105" s="787"/>
      <c r="D105" s="773"/>
      <c r="E105" s="783" t="s">
        <v>310</v>
      </c>
      <c r="F105" s="759"/>
      <c r="G105" s="759"/>
      <c r="H105" s="788" t="str">
        <f t="shared" si="3"/>
        <v/>
      </c>
      <c r="J105" s="783" t="s">
        <v>311</v>
      </c>
      <c r="K105" s="759"/>
      <c r="L105" s="759"/>
      <c r="M105" s="788" t="str">
        <f>IMAGE("https://raw.githubusercontent.com/msikma/pokesprite/master/misc/types/gen8/normal.png",4,20,20)</f>
        <v/>
      </c>
      <c r="O105" s="783" t="s">
        <v>312</v>
      </c>
      <c r="P105" s="759"/>
      <c r="Q105" s="759"/>
      <c r="R105" s="788" t="str">
        <f>IMAGE("https://raw.githubusercontent.com/msikma/pokesprite/master/misc/types/gen8/grass.png",4,20,20)</f>
        <v/>
      </c>
      <c r="T105" s="783" t="s">
        <v>313</v>
      </c>
      <c r="U105" s="759"/>
      <c r="V105" s="759"/>
      <c r="W105" s="788" t="str">
        <f t="shared" si="4"/>
        <v/>
      </c>
      <c r="Y105" s="783" t="s">
        <v>282</v>
      </c>
      <c r="Z105" s="759"/>
      <c r="AA105" s="759"/>
      <c r="AB105" s="788" t="str">
        <f>IMAGE("https://raw.githubusercontent.com/msikma/pokesprite/master/misc/types/gen8/ground.png",4,20,20)</f>
        <v/>
      </c>
      <c r="AD105" s="783" t="s">
        <v>310</v>
      </c>
      <c r="AE105" s="759"/>
      <c r="AF105" s="759"/>
      <c r="AG105" s="788" t="str">
        <f>IMAGE("https://raw.githubusercontent.com/msikma/pokesprite/master/misc/types/gen8/psychic.png",4,20,20)</f>
        <v/>
      </c>
      <c r="AH105" s="748"/>
      <c r="AI105" s="296"/>
    </row>
    <row r="106" ht="20.25" customHeight="1">
      <c r="A106" s="312"/>
      <c r="B106" s="735"/>
      <c r="C106" s="787"/>
      <c r="D106" s="773"/>
      <c r="E106" s="783" t="s">
        <v>314</v>
      </c>
      <c r="F106" s="759"/>
      <c r="G106" s="759"/>
      <c r="H106" s="788" t="str">
        <f>IMAGE("https://raw.githubusercontent.com/msikma/pokesprite/master/misc/types/gen8/fairy.png",4,20,20)</f>
        <v/>
      </c>
      <c r="J106" s="783" t="s">
        <v>315</v>
      </c>
      <c r="K106" s="759"/>
      <c r="L106" s="759"/>
      <c r="M106" s="788" t="str">
        <f>IMAGE("https://raw.githubusercontent.com/msikma/pokesprite/master/misc/types/gen8/fire.png",4,20,20)</f>
        <v/>
      </c>
      <c r="O106" s="783" t="s">
        <v>316</v>
      </c>
      <c r="P106" s="759"/>
      <c r="Q106" s="759"/>
      <c r="R106" s="788" t="str">
        <f>IMAGE("https://raw.githubusercontent.com/msikma/pokesprite/master/misc/types/gen8/fighting.png",4,20,20)</f>
        <v/>
      </c>
      <c r="T106" s="783" t="s">
        <v>317</v>
      </c>
      <c r="U106" s="759"/>
      <c r="V106" s="759"/>
      <c r="W106" s="788" t="str">
        <f>IMAGE("https://raw.githubusercontent.com/msikma/pokesprite/master/misc/types/gen8/ice.png",4,20,20)</f>
        <v/>
      </c>
      <c r="Y106" s="783" t="s">
        <v>189</v>
      </c>
      <c r="Z106" s="759"/>
      <c r="AA106" s="759"/>
      <c r="AB106" s="788" t="str">
        <f>IMAGE("https://raw.githubusercontent.com/msikma/pokesprite/master/misc/types/gen8/normal.png",4,20,20)</f>
        <v/>
      </c>
      <c r="AD106" s="783" t="s">
        <v>318</v>
      </c>
      <c r="AE106" s="759"/>
      <c r="AF106" s="759"/>
      <c r="AG106" s="788" t="str">
        <f>IMAGE("https://raw.githubusercontent.com/msikma/pokesprite/master/misc/types/gen8/ghost.png",4,20,20)</f>
        <v/>
      </c>
      <c r="AH106" s="748"/>
      <c r="AI106" s="296"/>
    </row>
    <row r="107" ht="21.0" customHeight="1">
      <c r="A107" s="312"/>
      <c r="B107" s="735"/>
      <c r="C107" s="787"/>
      <c r="D107" s="773"/>
      <c r="E107" s="789" t="s">
        <v>315</v>
      </c>
      <c r="F107" s="790"/>
      <c r="G107" s="790"/>
      <c r="H107" s="791" t="str">
        <f>IMAGE("https://raw.githubusercontent.com/msikma/pokesprite/master/misc/types/gen8/fire.png",4,20,20)</f>
        <v/>
      </c>
      <c r="I107" s="753"/>
      <c r="J107" s="789" t="s">
        <v>318</v>
      </c>
      <c r="K107" s="790"/>
      <c r="L107" s="790"/>
      <c r="M107" s="791" t="str">
        <f>IMAGE("https://raw.githubusercontent.com/msikma/pokesprite/master/misc/types/gen8/ghost.png",4,20,20)</f>
        <v/>
      </c>
      <c r="N107" s="753"/>
      <c r="O107" s="789" t="s">
        <v>319</v>
      </c>
      <c r="P107" s="790"/>
      <c r="Q107" s="790"/>
      <c r="R107" s="791" t="str">
        <f>IMAGE("https://raw.githubusercontent.com/msikma/pokesprite/master/misc/types/gen8/grass.png",4,20,20)</f>
        <v/>
      </c>
      <c r="S107" s="753"/>
      <c r="T107" s="789" t="s">
        <v>277</v>
      </c>
      <c r="U107" s="790"/>
      <c r="V107" s="790"/>
      <c r="W107" s="791" t="str">
        <f>IMAGE("https://raw.githubusercontent.com/msikma/pokesprite/master/misc/types/gen8/electric.png",4,20,20)</f>
        <v/>
      </c>
      <c r="X107" s="753"/>
      <c r="Y107" s="789" t="s">
        <v>320</v>
      </c>
      <c r="Z107" s="790"/>
      <c r="AA107" s="790"/>
      <c r="AB107" s="791" t="str">
        <f>IMAGE("https://raw.githubusercontent.com/msikma/pokesprite/master/misc/types/gen8/dark.png",4,20,20)</f>
        <v/>
      </c>
      <c r="AC107" s="753"/>
      <c r="AD107" s="789" t="s">
        <v>309</v>
      </c>
      <c r="AE107" s="790"/>
      <c r="AF107" s="790"/>
      <c r="AG107" s="791" t="str">
        <f>IMAGE("https://raw.githubusercontent.com/msikma/pokesprite/master/misc/types/gen8/psychic.png",4,20,20)</f>
        <v/>
      </c>
      <c r="AH107" s="748"/>
      <c r="AI107" s="296"/>
    </row>
    <row r="108" ht="3.0" customHeight="1">
      <c r="A108" s="343"/>
      <c r="B108" s="735"/>
      <c r="C108" s="792"/>
      <c r="D108" s="793"/>
      <c r="E108" s="794"/>
      <c r="F108" s="794"/>
      <c r="G108" s="794"/>
      <c r="H108" s="794"/>
      <c r="I108" s="795"/>
      <c r="J108" s="794"/>
      <c r="K108" s="794"/>
      <c r="L108" s="794"/>
      <c r="M108" s="794"/>
      <c r="N108" s="795"/>
      <c r="O108" s="794"/>
      <c r="P108" s="794"/>
      <c r="Q108" s="794"/>
      <c r="R108" s="794"/>
      <c r="S108" s="795"/>
      <c r="T108" s="794"/>
      <c r="U108" s="794"/>
      <c r="V108" s="794"/>
      <c r="W108" s="794"/>
      <c r="X108" s="795"/>
      <c r="Y108" s="796"/>
      <c r="Z108" s="797"/>
      <c r="AA108" s="797"/>
      <c r="AB108" s="798"/>
      <c r="AC108" s="795"/>
      <c r="AD108" s="798"/>
      <c r="AE108" s="798"/>
      <c r="AF108" s="798"/>
      <c r="AG108" s="798"/>
      <c r="AH108" s="741"/>
      <c r="AI108" s="296"/>
    </row>
    <row r="109" ht="16.5" customHeight="1">
      <c r="A109" s="312"/>
      <c r="B109" s="799"/>
      <c r="C109" s="792"/>
      <c r="D109" s="800"/>
      <c r="E109" s="801" t="s">
        <v>190</v>
      </c>
      <c r="F109" s="381"/>
      <c r="G109" s="382"/>
      <c r="H109" s="802" t="s">
        <v>191</v>
      </c>
      <c r="I109" s="803"/>
      <c r="J109" s="801" t="s">
        <v>190</v>
      </c>
      <c r="K109" s="381"/>
      <c r="L109" s="382"/>
      <c r="M109" s="802" t="s">
        <v>191</v>
      </c>
      <c r="N109" s="803"/>
      <c r="O109" s="801" t="s">
        <v>190</v>
      </c>
      <c r="P109" s="381"/>
      <c r="Q109" s="382"/>
      <c r="R109" s="802" t="s">
        <v>191</v>
      </c>
      <c r="S109" s="803"/>
      <c r="T109" s="801" t="s">
        <v>190</v>
      </c>
      <c r="U109" s="381"/>
      <c r="V109" s="382"/>
      <c r="W109" s="802" t="s">
        <v>191</v>
      </c>
      <c r="X109" s="803"/>
      <c r="Y109" s="801" t="s">
        <v>190</v>
      </c>
      <c r="Z109" s="381"/>
      <c r="AA109" s="382"/>
      <c r="AB109" s="802" t="s">
        <v>191</v>
      </c>
      <c r="AC109" s="803"/>
      <c r="AD109" s="801" t="s">
        <v>190</v>
      </c>
      <c r="AE109" s="381"/>
      <c r="AF109" s="382"/>
      <c r="AG109" s="802" t="s">
        <v>191</v>
      </c>
      <c r="AH109" s="804"/>
      <c r="AI109" s="389"/>
    </row>
    <row r="110" ht="15.75" customHeight="1">
      <c r="A110" s="312"/>
      <c r="B110" s="799"/>
      <c r="C110" s="792"/>
      <c r="D110" s="800"/>
      <c r="E110" s="805" t="s">
        <v>192</v>
      </c>
      <c r="F110" s="806">
        <f t="array" ref="F110">IFERROR(VLOOKUP(E97,Dex!$B$3:$N191,8,FALSE),"")</f>
        <v>57</v>
      </c>
      <c r="G110" s="807" t="str">
        <f t="array" ref="G110">IFERROR(VLOOKUP(F110,Dex!$P$22:$Q$276,2,FALSE),"")</f>
        <v/>
      </c>
      <c r="H110" s="808">
        <v>252.0</v>
      </c>
      <c r="I110" s="803"/>
      <c r="J110" s="805" t="s">
        <v>192</v>
      </c>
      <c r="K110" s="806">
        <f t="array" ref="K110">IFERROR(VLOOKUP(J97,Dex!$B$3:$N191,8,FALSE),"")</f>
        <v>70</v>
      </c>
      <c r="L110" s="807" t="str">
        <f t="array" ref="L110">IFERROR(VLOOKUP(K110,Dex!$P$22:$Q$276,2,FALSE),"")</f>
        <v/>
      </c>
      <c r="M110" s="808">
        <v>252.0</v>
      </c>
      <c r="N110" s="803"/>
      <c r="O110" s="805" t="s">
        <v>192</v>
      </c>
      <c r="P110" s="806">
        <f t="array" ref="P110">IFERROR(VLOOKUP(O97,Dex!$B$3:$N191,8,FALSE),"")</f>
        <v>111</v>
      </c>
      <c r="Q110" s="807" t="str">
        <f t="array" ref="Q110">IFERROR(VLOOKUP(P110,Dex!$P$22:$Q$276,2,FALSE),"")</f>
        <v/>
      </c>
      <c r="R110" s="808">
        <v>252.0</v>
      </c>
      <c r="S110" s="803"/>
      <c r="T110" s="805" t="s">
        <v>192</v>
      </c>
      <c r="U110" s="806">
        <f t="array" ref="U110">IFERROR(VLOOKUP(T97,Dex!$B$3:$N191,8,FALSE),"")</f>
        <v>85</v>
      </c>
      <c r="V110" s="807" t="str">
        <f t="array" ref="V110">IFERROR(VLOOKUP(U110,Dex!$P$22:$Q$276,2,FALSE),"")</f>
        <v/>
      </c>
      <c r="W110" s="808">
        <v>252.0</v>
      </c>
      <c r="X110" s="809"/>
      <c r="Y110" s="805" t="s">
        <v>192</v>
      </c>
      <c r="Z110" s="806">
        <f t="array" ref="Z110">IFERROR(VLOOKUP(Y97,Dex!$B$3:$N191,8,FALSE),"")</f>
        <v>130</v>
      </c>
      <c r="AA110" s="807" t="str">
        <f t="array" ref="AA110">IFERROR(VLOOKUP(Z110,Dex!$P$22:$Q$276,2,FALSE),"")</f>
        <v/>
      </c>
      <c r="AB110" s="808">
        <v>252.0</v>
      </c>
      <c r="AC110" s="809"/>
      <c r="AD110" s="805" t="s">
        <v>192</v>
      </c>
      <c r="AE110" s="806">
        <f t="array" ref="AE110">IFERROR(VLOOKUP(AD97,Dex!$B$3:$N191,8,FALSE),"")</f>
        <v>68</v>
      </c>
      <c r="AF110" s="807" t="str">
        <f t="array" ref="AF110">IFERROR(VLOOKUP(AE110,Dex!$P$22:$Q$276,2,FALSE),"")</f>
        <v/>
      </c>
      <c r="AG110" s="808">
        <v>252.0</v>
      </c>
      <c r="AH110" s="810"/>
      <c r="AI110" s="389"/>
    </row>
    <row r="111" ht="15.75" customHeight="1">
      <c r="A111" s="312"/>
      <c r="B111" s="799"/>
      <c r="C111" s="792"/>
      <c r="D111" s="800"/>
      <c r="E111" s="811" t="s">
        <v>193</v>
      </c>
      <c r="F111" s="812">
        <f t="array" ref="F111">IFERROR(VLOOKUP(E97,Dex!$B$3:$N191,9,FALSE),"")</f>
        <v>90</v>
      </c>
      <c r="G111" s="813" t="str">
        <f t="array" ref="G111">IFERROR(VLOOKUP(F111,Dex!$P$22:$Q$276,2,FALSE),"")</f>
        <v/>
      </c>
      <c r="H111" s="814"/>
      <c r="I111" s="803"/>
      <c r="J111" s="811" t="s">
        <v>193</v>
      </c>
      <c r="K111" s="812">
        <f t="array" ref="K111">IFERROR(VLOOKUP(J97,Dex!$B$3:$N191,9,FALSE),"")</f>
        <v>55</v>
      </c>
      <c r="L111" s="813" t="str">
        <f t="array" ref="L111">IFERROR(VLOOKUP(K111,Dex!$P$22:$Q$276,2,FALSE),"")</f>
        <v/>
      </c>
      <c r="M111" s="814"/>
      <c r="N111" s="803"/>
      <c r="O111" s="811" t="s">
        <v>193</v>
      </c>
      <c r="P111" s="812">
        <f t="array" ref="P111">IFERROR(VLOOKUP(O97,Dex!$B$3:$N191,9,FALSE),"")</f>
        <v>127</v>
      </c>
      <c r="Q111" s="813" t="str">
        <f t="array" ref="Q111">IFERROR(VLOOKUP(P111,Dex!$P$22:$Q$276,2,FALSE),"")</f>
        <v/>
      </c>
      <c r="R111" s="814">
        <v>252.0</v>
      </c>
      <c r="S111" s="803"/>
      <c r="T111" s="811" t="s">
        <v>193</v>
      </c>
      <c r="U111" s="812">
        <f t="array" ref="U111">IFERROR(VLOOKUP(T97,Dex!$B$3:$N191,9,FALSE),"")</f>
        <v>80</v>
      </c>
      <c r="V111" s="813" t="str">
        <f t="array" ref="V111">IFERROR(VLOOKUP(U111,Dex!$P$22:$Q$276,2,FALSE),"")</f>
        <v/>
      </c>
      <c r="W111" s="814"/>
      <c r="X111" s="809"/>
      <c r="Y111" s="811" t="s">
        <v>193</v>
      </c>
      <c r="Z111" s="812">
        <f t="array" ref="Z111">IFERROR(VLOOKUP(Y97,Dex!$B$3:$N191,9,FALSE),"")</f>
        <v>140</v>
      </c>
      <c r="AA111" s="813" t="str">
        <f t="array" ref="AA111">IFERROR(VLOOKUP(Z111,Dex!$P$22:$Q$276,2,FALSE),"")</f>
        <v/>
      </c>
      <c r="AB111" s="814">
        <v>252.0</v>
      </c>
      <c r="AC111" s="809"/>
      <c r="AD111" s="811" t="s">
        <v>193</v>
      </c>
      <c r="AE111" s="812">
        <f t="array" ref="AE111">IFERROR(VLOOKUP(AD97,Dex!$B$3:$N191,9,FALSE),"")</f>
        <v>85</v>
      </c>
      <c r="AF111" s="813" t="str">
        <f t="array" ref="AF111">IFERROR(VLOOKUP(AE111,Dex!$P$22:$Q$276,2,FALSE),"")</f>
        <v/>
      </c>
      <c r="AG111" s="814"/>
      <c r="AH111" s="810"/>
      <c r="AI111" s="389"/>
    </row>
    <row r="112" ht="15.75" customHeight="1">
      <c r="A112" s="312"/>
      <c r="B112" s="799"/>
      <c r="C112" s="792"/>
      <c r="D112" s="800"/>
      <c r="E112" s="811" t="s">
        <v>194</v>
      </c>
      <c r="F112" s="812">
        <f t="array" ref="F112">IFERROR(VLOOKUP(E97,Dex!$B$3:$N191,10,FALSE),"")</f>
        <v>95</v>
      </c>
      <c r="G112" s="813" t="str">
        <f t="array" ref="G112">IFERROR(VLOOKUP(F112,Dex!$P$22:$Q$276,2,FALSE),"")</f>
        <v/>
      </c>
      <c r="H112" s="814">
        <v>4.0</v>
      </c>
      <c r="I112" s="803"/>
      <c r="J112" s="811" t="s">
        <v>194</v>
      </c>
      <c r="K112" s="812">
        <f t="array" ref="K112">IFERROR(VLOOKUP(J97,Dex!$B$3:$N191,10,FALSE),"")</f>
        <v>65</v>
      </c>
      <c r="L112" s="813" t="str">
        <f t="array" ref="L112">IFERROR(VLOOKUP(K112,Dex!$P$22:$Q$276,2,FALSE),"")</f>
        <v/>
      </c>
      <c r="M112" s="814">
        <v>4.0</v>
      </c>
      <c r="N112" s="803"/>
      <c r="O112" s="811" t="s">
        <v>194</v>
      </c>
      <c r="P112" s="812">
        <f t="array" ref="P112">IFERROR(VLOOKUP(O97,Dex!$B$3:$N191,10,FALSE),"")</f>
        <v>99</v>
      </c>
      <c r="Q112" s="813" t="str">
        <f t="array" ref="Q112">IFERROR(VLOOKUP(P112,Dex!$P$22:$Q$276,2,FALSE),"")</f>
        <v/>
      </c>
      <c r="R112" s="814">
        <v>4.0</v>
      </c>
      <c r="S112" s="803"/>
      <c r="T112" s="811" t="s">
        <v>194</v>
      </c>
      <c r="U112" s="812">
        <f t="array" ref="U112">IFERROR(VLOOKUP(T97,Dex!$B$3:$N191,10,FALSE),"")</f>
        <v>90</v>
      </c>
      <c r="V112" s="813" t="str">
        <f t="array" ref="V112">IFERROR(VLOOKUP(U112,Dex!$P$22:$Q$276,2,FALSE),"")</f>
        <v/>
      </c>
      <c r="W112" s="814"/>
      <c r="X112" s="809"/>
      <c r="Y112" s="811" t="s">
        <v>194</v>
      </c>
      <c r="Z112" s="812">
        <f t="array" ref="Z112">IFERROR(VLOOKUP(Y97,Dex!$B$3:$N191,10,FALSE),"")</f>
        <v>105</v>
      </c>
      <c r="AA112" s="813" t="str">
        <f t="array" ref="AA112">IFERROR(VLOOKUP(Z112,Dex!$P$22:$Q$276,2,FALSE),"")</f>
        <v/>
      </c>
      <c r="AB112" s="814">
        <v>4.0</v>
      </c>
      <c r="AC112" s="809"/>
      <c r="AD112" s="811" t="s">
        <v>194</v>
      </c>
      <c r="AE112" s="812">
        <f t="array" ref="AE112">IFERROR(VLOOKUP(AD97,Dex!$B$3:$N191,10,FALSE),"")</f>
        <v>65</v>
      </c>
      <c r="AF112" s="813" t="str">
        <f t="array" ref="AF112">IFERROR(VLOOKUP(AE112,Dex!$P$22:$Q$276,2,FALSE),"")</f>
        <v/>
      </c>
      <c r="AG112" s="814">
        <v>4.0</v>
      </c>
      <c r="AH112" s="810"/>
      <c r="AI112" s="389"/>
    </row>
    <row r="113" ht="15.75" customHeight="1">
      <c r="A113" s="312"/>
      <c r="B113" s="799"/>
      <c r="C113" s="792"/>
      <c r="D113" s="800"/>
      <c r="E113" s="811" t="s">
        <v>195</v>
      </c>
      <c r="F113" s="812">
        <f t="array" ref="F113">IFERROR(VLOOKUP(E97,Dex!$B$3:$N191,11,FALSE),"")</f>
        <v>136</v>
      </c>
      <c r="G113" s="813" t="str">
        <f t="array" ref="G113">IFERROR(VLOOKUP(F113,Dex!$P$22:$Q$276,2,FALSE),"")</f>
        <v/>
      </c>
      <c r="H113" s="814">
        <v>252.0</v>
      </c>
      <c r="I113" s="803"/>
      <c r="J113" s="811" t="s">
        <v>195</v>
      </c>
      <c r="K113" s="812">
        <f t="array" ref="K113">IFERROR(VLOOKUP(J97,Dex!$B$3:$N191,11,FALSE),"")</f>
        <v>95</v>
      </c>
      <c r="L113" s="813" t="str">
        <f t="array" ref="L113">IFERROR(VLOOKUP(K113,Dex!$P$22:$Q$276,2,FALSE),"")</f>
        <v/>
      </c>
      <c r="M113" s="814">
        <v>252.0</v>
      </c>
      <c r="N113" s="803"/>
      <c r="O113" s="811" t="s">
        <v>195</v>
      </c>
      <c r="P113" s="812">
        <f t="array" ref="P113">IFERROR(VLOOKUP(O97,Dex!$B$3:$N191,11,FALSE),"")</f>
        <v>79</v>
      </c>
      <c r="Q113" s="813" t="str">
        <f t="array" ref="Q113">IFERROR(VLOOKUP(P113,Dex!$P$22:$Q$276,2,FALSE),"")</f>
        <v/>
      </c>
      <c r="R113" s="814"/>
      <c r="S113" s="803"/>
      <c r="T113" s="811" t="s">
        <v>195</v>
      </c>
      <c r="U113" s="812">
        <f t="array" ref="U113">IFERROR(VLOOKUP(T97,Dex!$B$3:$N191,11,FALSE),"")</f>
        <v>105</v>
      </c>
      <c r="V113" s="813" t="str">
        <f t="array" ref="V113">IFERROR(VLOOKUP(U113,Dex!$P$22:$Q$276,2,FALSE),"")</f>
        <v/>
      </c>
      <c r="W113" s="814">
        <v>252.0</v>
      </c>
      <c r="X113" s="809"/>
      <c r="Y113" s="811" t="s">
        <v>195</v>
      </c>
      <c r="Z113" s="812">
        <f t="array" ref="Z113">IFERROR(VLOOKUP(Y97,Dex!$B$3:$N191,11,FALSE),"")</f>
        <v>45</v>
      </c>
      <c r="AA113" s="813" t="str">
        <f t="array" ref="AA113">IFERROR(VLOOKUP(Z113,Dex!$P$22:$Q$276,2,FALSE),"")</f>
        <v/>
      </c>
      <c r="AB113" s="814"/>
      <c r="AC113" s="809"/>
      <c r="AD113" s="811" t="s">
        <v>195</v>
      </c>
      <c r="AE113" s="812">
        <f t="array" ref="AE113">IFERROR(VLOOKUP(AD97,Dex!$B$3:$N191,11,FALSE),"")</f>
        <v>165</v>
      </c>
      <c r="AF113" s="813" t="str">
        <f t="array" ref="AF113">IFERROR(VLOOKUP(AE113,Dex!$P$22:$Q$276,2,FALSE),"")</f>
        <v/>
      </c>
      <c r="AG113" s="814">
        <v>252.0</v>
      </c>
      <c r="AH113" s="810"/>
      <c r="AI113" s="389"/>
    </row>
    <row r="114" ht="15.75" customHeight="1">
      <c r="A114" s="312"/>
      <c r="B114" s="799"/>
      <c r="C114" s="792"/>
      <c r="D114" s="800"/>
      <c r="E114" s="811" t="s">
        <v>196</v>
      </c>
      <c r="F114" s="812">
        <f t="array" ref="F114">IFERROR(VLOOKUP(E97,Dex!$B$3:$N191,12,FALSE),"")</f>
        <v>103</v>
      </c>
      <c r="G114" s="813" t="str">
        <f t="array" ref="G114">IFERROR(VLOOKUP(F114,Dex!$P$22:$Q$276,2,FALSE),"")</f>
        <v/>
      </c>
      <c r="H114" s="814"/>
      <c r="I114" s="803"/>
      <c r="J114" s="811" t="s">
        <v>196</v>
      </c>
      <c r="K114" s="812">
        <f t="array" ref="K114">IFERROR(VLOOKUP(J97,Dex!$B$3:$N191,12,FALSE),"")</f>
        <v>105</v>
      </c>
      <c r="L114" s="813" t="str">
        <f t="array" ref="L114">IFERROR(VLOOKUP(K114,Dex!$P$22:$Q$276,2,FALSE),"")</f>
        <v/>
      </c>
      <c r="M114" s="814"/>
      <c r="N114" s="803"/>
      <c r="O114" s="811" t="s">
        <v>196</v>
      </c>
      <c r="P114" s="812">
        <f t="array" ref="P114">IFERROR(VLOOKUP(O97,Dex!$B$3:$N191,12,FALSE),"")</f>
        <v>99</v>
      </c>
      <c r="Q114" s="813" t="str">
        <f t="array" ref="Q114">IFERROR(VLOOKUP(P114,Dex!$P$22:$Q$276,2,FALSE),"")</f>
        <v/>
      </c>
      <c r="R114" s="814"/>
      <c r="S114" s="803"/>
      <c r="T114" s="811" t="s">
        <v>196</v>
      </c>
      <c r="U114" s="812">
        <f t="array" ref="U114">IFERROR(VLOOKUP(T97,Dex!$B$3:$N191,12,FALSE),"")</f>
        <v>95</v>
      </c>
      <c r="V114" s="813" t="str">
        <f t="array" ref="V114">IFERROR(VLOOKUP(U114,Dex!$P$22:$Q$276,2,FALSE),"")</f>
        <v/>
      </c>
      <c r="W114" s="814">
        <v>4.0</v>
      </c>
      <c r="X114" s="809"/>
      <c r="Y114" s="811" t="s">
        <v>196</v>
      </c>
      <c r="Z114" s="812">
        <f t="array" ref="Z114">IFERROR(VLOOKUP(Y97,Dex!$B$3:$N191,12,FALSE),"")</f>
        <v>80</v>
      </c>
      <c r="AA114" s="813" t="str">
        <f t="array" ref="AA114">IFERROR(VLOOKUP(Z114,Dex!$P$22:$Q$276,2,FALSE),"")</f>
        <v/>
      </c>
      <c r="AB114" s="814"/>
      <c r="AC114" s="809"/>
      <c r="AD114" s="811" t="s">
        <v>196</v>
      </c>
      <c r="AE114" s="812">
        <f t="array" ref="AE114">IFERROR(VLOOKUP(AD97,Dex!$B$3:$N191,12,FALSE),"")</f>
        <v>135</v>
      </c>
      <c r="AF114" s="813" t="str">
        <f t="array" ref="AF114">IFERROR(VLOOKUP(AE114,Dex!$P$22:$Q$276,2,FALSE),"")</f>
        <v/>
      </c>
      <c r="AG114" s="814"/>
      <c r="AH114" s="810"/>
      <c r="AI114" s="389"/>
    </row>
    <row r="115" ht="15.75" customHeight="1">
      <c r="A115" s="312"/>
      <c r="B115" s="799"/>
      <c r="C115" s="792"/>
      <c r="D115" s="800"/>
      <c r="E115" s="815" t="s">
        <v>197</v>
      </c>
      <c r="F115" s="816">
        <f t="array" ref="F115">IFERROR(VLOOKUP(E97,Dex!$B$3:$N191,13,FALSE),"")</f>
        <v>29</v>
      </c>
      <c r="G115" s="817" t="str">
        <f t="array" ref="G115">IFERROR(VLOOKUP(F115,Dex!$P$22:$Q$276,2,FALSE),"")</f>
        <v/>
      </c>
      <c r="H115" s="818"/>
      <c r="I115" s="803"/>
      <c r="J115" s="815" t="s">
        <v>197</v>
      </c>
      <c r="K115" s="816">
        <f t="array" ref="K115">IFERROR(VLOOKUP(J97,Dex!$B$3:$N191,13,FALSE),"")</f>
        <v>85</v>
      </c>
      <c r="L115" s="817" t="str">
        <f t="array" ref="L115">IFERROR(VLOOKUP(K115,Dex!$P$22:$Q$276,2,FALSE),"")</f>
        <v/>
      </c>
      <c r="M115" s="818"/>
      <c r="N115" s="803"/>
      <c r="O115" s="815" t="s">
        <v>197</v>
      </c>
      <c r="P115" s="816">
        <f t="array" ref="P115">IFERROR(VLOOKUP(O97,Dex!$B$3:$N191,13,FALSE),"")</f>
        <v>55</v>
      </c>
      <c r="Q115" s="817" t="str">
        <f t="array" ref="Q115">IFERROR(VLOOKUP(P115,Dex!$P$22:$Q$276,2,FALSE),"")</f>
        <v/>
      </c>
      <c r="R115" s="818"/>
      <c r="S115" s="803"/>
      <c r="T115" s="815" t="s">
        <v>197</v>
      </c>
      <c r="U115" s="816">
        <f t="array" ref="U115">IFERROR(VLOOKUP(T97,Dex!$B$3:$N191,13,FALSE),"")</f>
        <v>60</v>
      </c>
      <c r="V115" s="817" t="str">
        <f t="array" ref="V115">IFERROR(VLOOKUP(U115,Dex!$P$22:$Q$276,2,FALSE),"")</f>
        <v/>
      </c>
      <c r="W115" s="818"/>
      <c r="X115" s="809"/>
      <c r="Y115" s="815" t="s">
        <v>197</v>
      </c>
      <c r="Z115" s="816">
        <f t="array" ref="Z115">IFERROR(VLOOKUP(Y97,Dex!$B$3:$N191,13,FALSE),"")</f>
        <v>50</v>
      </c>
      <c r="AA115" s="817" t="str">
        <f t="array" ref="AA115">IFERROR(VLOOKUP(Z115,Dex!$P$22:$Q$276,2,FALSE),"")</f>
        <v/>
      </c>
      <c r="AB115" s="818"/>
      <c r="AC115" s="809"/>
      <c r="AD115" s="815" t="s">
        <v>197</v>
      </c>
      <c r="AE115" s="816">
        <f t="array" ref="AE115">IFERROR(VLOOKUP(AD97,Dex!$B$3:$N191,13,FALSE),"")</f>
        <v>100</v>
      </c>
      <c r="AF115" s="817" t="str">
        <f t="array" ref="AF115">IFERROR(VLOOKUP(AE115,Dex!$P$22:$Q$276,2,FALSE),"")</f>
        <v/>
      </c>
      <c r="AG115" s="818"/>
      <c r="AH115" s="810"/>
      <c r="AI115" s="389"/>
    </row>
    <row r="116" ht="16.5" customHeight="1">
      <c r="A116" s="312"/>
      <c r="B116" s="799"/>
      <c r="C116" s="792"/>
      <c r="D116" s="800"/>
      <c r="E116" s="819" t="s">
        <v>198</v>
      </c>
      <c r="F116" s="405"/>
      <c r="G116" s="406"/>
      <c r="H116" s="820">
        <v>34.0</v>
      </c>
      <c r="I116" s="803"/>
      <c r="J116" s="819" t="s">
        <v>198</v>
      </c>
      <c r="K116" s="405"/>
      <c r="L116" s="406"/>
      <c r="M116" s="820">
        <v>90.0</v>
      </c>
      <c r="N116" s="803"/>
      <c r="O116" s="819" t="s">
        <v>198</v>
      </c>
      <c r="P116" s="405"/>
      <c r="Q116" s="406"/>
      <c r="R116" s="820">
        <v>61.0</v>
      </c>
      <c r="S116" s="803"/>
      <c r="T116" s="819" t="s">
        <v>198</v>
      </c>
      <c r="U116" s="405"/>
      <c r="V116" s="406"/>
      <c r="W116" s="820">
        <v>66.0</v>
      </c>
      <c r="X116" s="803"/>
      <c r="Y116" s="819" t="s">
        <v>198</v>
      </c>
      <c r="Z116" s="405"/>
      <c r="AA116" s="406"/>
      <c r="AB116" s="820">
        <v>57.0</v>
      </c>
      <c r="AC116" s="803"/>
      <c r="AD116" s="819" t="s">
        <v>198</v>
      </c>
      <c r="AE116" s="405"/>
      <c r="AF116" s="406"/>
      <c r="AG116" s="820">
        <v>110.0</v>
      </c>
      <c r="AH116" s="804"/>
      <c r="AI116" s="389"/>
    </row>
    <row r="117" ht="15.0" customHeight="1">
      <c r="A117" s="290"/>
      <c r="B117" s="821"/>
      <c r="C117" s="822"/>
      <c r="D117" s="823"/>
      <c r="E117" s="824"/>
      <c r="F117" s="824"/>
      <c r="G117" s="824"/>
      <c r="H117" s="824"/>
      <c r="I117" s="823"/>
      <c r="J117" s="824"/>
      <c r="K117" s="824"/>
      <c r="L117" s="824"/>
      <c r="M117" s="824"/>
      <c r="N117" s="823"/>
      <c r="O117" s="824"/>
      <c r="P117" s="824"/>
      <c r="Q117" s="824"/>
      <c r="R117" s="824"/>
      <c r="S117" s="823"/>
      <c r="T117" s="824"/>
      <c r="U117" s="824"/>
      <c r="V117" s="824"/>
      <c r="W117" s="824"/>
      <c r="X117" s="823"/>
      <c r="Y117" s="824"/>
      <c r="Z117" s="824"/>
      <c r="AA117" s="824"/>
      <c r="AB117" s="824"/>
      <c r="AC117" s="823"/>
      <c r="AD117" s="824"/>
      <c r="AE117" s="824"/>
      <c r="AF117" s="824"/>
      <c r="AG117" s="824"/>
      <c r="AH117" s="825"/>
      <c r="AI117" s="296"/>
    </row>
    <row r="118" ht="15.0" customHeight="1">
      <c r="A118" s="290"/>
      <c r="B118" s="826"/>
      <c r="C118" s="827"/>
      <c r="D118" s="828"/>
      <c r="E118" s="829"/>
      <c r="F118" s="829"/>
      <c r="G118" s="829"/>
      <c r="H118" s="829"/>
      <c r="I118" s="828"/>
      <c r="J118" s="829"/>
      <c r="K118" s="829"/>
      <c r="L118" s="829"/>
      <c r="M118" s="829"/>
      <c r="N118" s="828"/>
      <c r="O118" s="829"/>
      <c r="P118" s="829"/>
      <c r="Q118" s="829"/>
      <c r="R118" s="829"/>
      <c r="S118" s="828"/>
      <c r="T118" s="829"/>
      <c r="U118" s="829"/>
      <c r="V118" s="829"/>
      <c r="W118" s="829"/>
      <c r="X118" s="828"/>
      <c r="Y118" s="829"/>
      <c r="Z118" s="829"/>
      <c r="AA118" s="829"/>
      <c r="AB118" s="829"/>
      <c r="AC118" s="828"/>
      <c r="AD118" s="829"/>
      <c r="AE118" s="829"/>
      <c r="AF118" s="829"/>
      <c r="AG118" s="829"/>
      <c r="AH118" s="830"/>
      <c r="AI118" s="296"/>
    </row>
    <row r="119" ht="96.75" customHeight="1">
      <c r="A119" s="290"/>
      <c r="B119" s="831"/>
      <c r="C119" s="832" t="str">
        <f>IMAGE("https://i.ibb.co/3THVf4D/Koga.png")</f>
        <v/>
      </c>
      <c r="D119" s="833"/>
      <c r="E119" s="834" t="str">
        <f t="array" ref="E119">IFERROR(VLOOKUP(E120,Dex!$B$3:$G191,3,FALSE),"")</f>
        <v/>
      </c>
      <c r="F119" s="302"/>
      <c r="G119" s="302"/>
      <c r="H119" s="303"/>
      <c r="I119" s="835"/>
      <c r="J119" s="834" t="str">
        <f t="array" ref="J119">IFERROR(VLOOKUP(J120,Dex!$B$3:$G191,3,FALSE),"")</f>
        <v/>
      </c>
      <c r="K119" s="302"/>
      <c r="L119" s="302"/>
      <c r="M119" s="303"/>
      <c r="N119" s="835"/>
      <c r="O119" s="834" t="str">
        <f t="array" ref="O119">IFERROR(VLOOKUP(O120,Dex!$B$3:$G191,3,FALSE),"")</f>
        <v/>
      </c>
      <c r="P119" s="302"/>
      <c r="Q119" s="302"/>
      <c r="R119" s="303"/>
      <c r="S119" s="835"/>
      <c r="T119" s="834" t="str">
        <f t="array" ref="T119">IFERROR(VLOOKUP(T120,Dex!$B$3:$G191,3,FALSE),"")</f>
        <v/>
      </c>
      <c r="U119" s="302"/>
      <c r="V119" s="302"/>
      <c r="W119" s="303"/>
      <c r="X119" s="835"/>
      <c r="Y119" s="834" t="str">
        <f t="array" ref="Y119">IFERROR(VLOOKUP(Y120,Dex!$B$3:$G191,3,FALSE),"")</f>
        <v/>
      </c>
      <c r="Z119" s="302"/>
      <c r="AA119" s="302"/>
      <c r="AB119" s="303"/>
      <c r="AC119" s="835"/>
      <c r="AD119" s="834" t="str">
        <f t="array" ref="AD119">IFERROR(VLOOKUP(AD120,Dex!$B$3:$G191,3,FALSE),"")</f>
        <v/>
      </c>
      <c r="AE119" s="302"/>
      <c r="AF119" s="302"/>
      <c r="AG119" s="303"/>
      <c r="AH119" s="836"/>
      <c r="AI119" s="296"/>
    </row>
    <row r="120" ht="18.75" customHeight="1">
      <c r="A120" s="312"/>
      <c r="B120" s="837"/>
      <c r="C120" s="838" t="s">
        <v>321</v>
      </c>
      <c r="E120" s="839" t="s">
        <v>322</v>
      </c>
      <c r="F120" s="840"/>
      <c r="G120" s="840"/>
      <c r="H120" s="841"/>
      <c r="J120" s="839" t="s">
        <v>323</v>
      </c>
      <c r="K120" s="840"/>
      <c r="L120" s="840"/>
      <c r="M120" s="841"/>
      <c r="O120" s="839" t="s">
        <v>324</v>
      </c>
      <c r="P120" s="840"/>
      <c r="Q120" s="840"/>
      <c r="R120" s="841"/>
      <c r="T120" s="839" t="s">
        <v>325</v>
      </c>
      <c r="U120" s="840"/>
      <c r="V120" s="840"/>
      <c r="W120" s="841"/>
      <c r="Y120" s="839" t="s">
        <v>326</v>
      </c>
      <c r="Z120" s="840"/>
      <c r="AA120" s="840"/>
      <c r="AB120" s="841"/>
      <c r="AD120" s="839" t="s">
        <v>327</v>
      </c>
      <c r="AE120" s="840"/>
      <c r="AF120" s="840"/>
      <c r="AG120" s="841"/>
      <c r="AH120" s="842"/>
      <c r="AI120" s="324"/>
    </row>
    <row r="121">
      <c r="A121" s="312"/>
      <c r="B121" s="843"/>
      <c r="C121" s="326"/>
      <c r="E121" s="844">
        <v>67.0</v>
      </c>
      <c r="F121" s="845"/>
      <c r="G121" s="845"/>
      <c r="H121" s="846"/>
      <c r="J121" s="844">
        <v>68.0</v>
      </c>
      <c r="K121" s="845"/>
      <c r="L121" s="845"/>
      <c r="M121" s="846"/>
      <c r="O121" s="844">
        <v>68.0</v>
      </c>
      <c r="P121" s="845"/>
      <c r="Q121" s="845"/>
      <c r="R121" s="846"/>
      <c r="T121" s="844">
        <v>68.0</v>
      </c>
      <c r="U121" s="845"/>
      <c r="V121" s="845"/>
      <c r="W121" s="846"/>
      <c r="Y121" s="844">
        <v>68.0</v>
      </c>
      <c r="Z121" s="845"/>
      <c r="AA121" s="845"/>
      <c r="AB121" s="846"/>
      <c r="AD121" s="844">
        <v>68.0</v>
      </c>
      <c r="AE121" s="845"/>
      <c r="AF121" s="845"/>
      <c r="AG121" s="846"/>
      <c r="AH121" s="847"/>
      <c r="AI121" s="334"/>
    </row>
    <row r="122" ht="25.5" customHeight="1">
      <c r="A122" s="312"/>
      <c r="B122" s="848"/>
      <c r="C122" s="849"/>
      <c r="E122" s="850"/>
      <c r="F122" s="851" t="str">
        <f t="array" ref="F122">IFERROR(VLOOKUP(E120,Dex!$B$3:$H191,5,FALSE),"")</f>
        <v/>
      </c>
      <c r="G122" s="852" t="str">
        <f t="array" ref="G122">IFERROR(VLOOKUP(E120,Dex!$B$3:$H191,7,FALSE),"")</f>
        <v/>
      </c>
      <c r="H122" s="853"/>
      <c r="J122" s="854"/>
      <c r="K122" s="855" t="str">
        <f t="array" ref="K122">IFERROR(VLOOKUP(J120,Dex!$B$3:$H191,5,FALSE),"")</f>
        <v/>
      </c>
      <c r="L122" s="856"/>
      <c r="M122" s="857"/>
      <c r="O122" s="858"/>
      <c r="P122" s="851" t="str">
        <f t="array" ref="P122">IFERROR(VLOOKUP(O120,Dex!$B$3:$H191,5,FALSE),"")</f>
        <v/>
      </c>
      <c r="Q122" s="852" t="str">
        <f t="array" ref="Q122">IFERROR(VLOOKUP(O120,Dex!$B$3:$H191,7,FALSE),"")</f>
        <v/>
      </c>
      <c r="R122" s="859"/>
      <c r="T122" s="858"/>
      <c r="U122" s="851" t="str">
        <f t="array" ref="U122">IFERROR(VLOOKUP(T120,Dex!$B$3:$H191,5,FALSE),"")</f>
        <v/>
      </c>
      <c r="V122" s="852" t="str">
        <f t="array" ref="V122">IFERROR(VLOOKUP(T120,Dex!$B$3:$H191,7,FALSE),"")</f>
        <v/>
      </c>
      <c r="W122" s="859"/>
      <c r="Y122" s="858"/>
      <c r="Z122" s="851" t="str">
        <f t="array" ref="Z122">IFERROR(VLOOKUP(Y120,Dex!$B$3:$H191,5,FALSE),"")</f>
        <v/>
      </c>
      <c r="AA122" s="852" t="str">
        <f t="array" ref="AA122">IFERROR(VLOOKUP(Y120,Dex!$B$3:$H191,7,FALSE),"")</f>
        <v/>
      </c>
      <c r="AB122" s="859"/>
      <c r="AD122" s="858"/>
      <c r="AE122" s="851" t="str">
        <f t="array" ref="AE122">IFERROR(VLOOKUP(AD120,Dex!$B$3:$H191,5,FALSE),"")</f>
        <v/>
      </c>
      <c r="AF122" s="852" t="str">
        <f t="array" ref="AF122">IFERROR(VLOOKUP(AD120,Dex!$B$3:$H191,7,FALSE),"")</f>
        <v/>
      </c>
      <c r="AG122" s="859"/>
      <c r="AH122" s="836"/>
      <c r="AI122" s="296"/>
    </row>
    <row r="123" ht="2.25" customHeight="1">
      <c r="A123" s="343"/>
      <c r="B123" s="860"/>
      <c r="C123" s="861"/>
      <c r="E123" s="862"/>
      <c r="F123" s="863"/>
      <c r="G123" s="863"/>
      <c r="H123" s="864"/>
      <c r="J123" s="865"/>
      <c r="K123" s="863"/>
      <c r="L123" s="863"/>
      <c r="M123" s="866"/>
      <c r="O123" s="865"/>
      <c r="P123" s="867"/>
      <c r="Q123" s="867"/>
      <c r="R123" s="866"/>
      <c r="T123" s="865"/>
      <c r="U123" s="867"/>
      <c r="V123" s="867"/>
      <c r="W123" s="866"/>
      <c r="Y123" s="865"/>
      <c r="Z123" s="867"/>
      <c r="AA123" s="867"/>
      <c r="AB123" s="866"/>
      <c r="AD123" s="865"/>
      <c r="AE123" s="868"/>
      <c r="AF123" s="867"/>
      <c r="AG123" s="866"/>
      <c r="AH123" s="836"/>
      <c r="AI123" s="296"/>
    </row>
    <row r="124" ht="20.25" customHeight="1">
      <c r="A124" s="312"/>
      <c r="B124" s="860"/>
      <c r="C124" s="869"/>
      <c r="E124" s="870" t="s">
        <v>205</v>
      </c>
      <c r="F124" s="871"/>
      <c r="G124" s="871"/>
      <c r="H124" s="872"/>
      <c r="J124" s="870" t="s">
        <v>205</v>
      </c>
      <c r="K124" s="871"/>
      <c r="L124" s="871"/>
      <c r="M124" s="872"/>
      <c r="O124" s="870" t="s">
        <v>205</v>
      </c>
      <c r="P124" s="871"/>
      <c r="Q124" s="871"/>
      <c r="R124" s="872"/>
      <c r="T124" s="870" t="s">
        <v>169</v>
      </c>
      <c r="U124" s="871"/>
      <c r="V124" s="871"/>
      <c r="W124" s="872"/>
      <c r="Y124" s="870" t="s">
        <v>205</v>
      </c>
      <c r="Z124" s="871"/>
      <c r="AA124" s="871"/>
      <c r="AB124" s="872"/>
      <c r="AD124" s="870" t="s">
        <v>205</v>
      </c>
      <c r="AE124" s="871"/>
      <c r="AF124" s="871"/>
      <c r="AG124" s="872"/>
      <c r="AH124" s="836"/>
      <c r="AI124" s="296"/>
    </row>
    <row r="125" ht="20.25" customHeight="1">
      <c r="A125" s="312"/>
      <c r="B125" s="860"/>
      <c r="C125" s="873"/>
      <c r="E125" s="874" t="s">
        <v>328</v>
      </c>
      <c r="F125" s="845"/>
      <c r="G125" s="845"/>
      <c r="H125" s="846"/>
      <c r="J125" s="874" t="s">
        <v>329</v>
      </c>
      <c r="K125" s="845"/>
      <c r="L125" s="845"/>
      <c r="M125" s="846"/>
      <c r="O125" s="874" t="s">
        <v>330</v>
      </c>
      <c r="P125" s="845"/>
      <c r="Q125" s="845"/>
      <c r="R125" s="846"/>
      <c r="T125" s="874" t="s">
        <v>331</v>
      </c>
      <c r="U125" s="845"/>
      <c r="V125" s="845"/>
      <c r="W125" s="846"/>
      <c r="Y125" s="874" t="s">
        <v>332</v>
      </c>
      <c r="Z125" s="845"/>
      <c r="AA125" s="845"/>
      <c r="AB125" s="846"/>
      <c r="AD125" s="875" t="s">
        <v>333</v>
      </c>
      <c r="AE125" s="845"/>
      <c r="AF125" s="845"/>
      <c r="AG125" s="846"/>
      <c r="AH125" s="836"/>
      <c r="AI125" s="296"/>
    </row>
    <row r="126" ht="20.25" customHeight="1">
      <c r="A126" s="312"/>
      <c r="B126" s="860"/>
      <c r="C126" s="861"/>
      <c r="E126" s="876" t="s">
        <v>334</v>
      </c>
      <c r="F126" s="877"/>
      <c r="G126" s="878"/>
      <c r="H126" s="879" t="str">
        <f>IMAGE("https://raw.githubusercontent.com/msikma/pokesprite/master/items/hold-item/choice-specs.png",3)</f>
        <v/>
      </c>
      <c r="J126" s="876" t="s">
        <v>272</v>
      </c>
      <c r="K126" s="877"/>
      <c r="L126" s="878"/>
      <c r="M126" s="879" t="str">
        <f>IMAGE("https://raw.githubusercontent.com/msikma/pokesprite/master/items/hold-item/life-orb.png",3)</f>
        <v/>
      </c>
      <c r="O126" s="876" t="s">
        <v>272</v>
      </c>
      <c r="P126" s="877"/>
      <c r="Q126" s="878"/>
      <c r="R126" s="879" t="str">
        <f>IMAGE("https://raw.githubusercontent.com/msikma/pokesprite/master/items/hold-item/life-orb.png",3)</f>
        <v/>
      </c>
      <c r="T126" s="876" t="s">
        <v>335</v>
      </c>
      <c r="U126" s="877"/>
      <c r="V126" s="878"/>
      <c r="W126" s="879" t="str">
        <f>IMAGE("https://raw.githubusercontent.com/msikma/pokesprite/master/items/hold-item/choice-scarf.png",3)</f>
        <v/>
      </c>
      <c r="Y126" s="876" t="s">
        <v>306</v>
      </c>
      <c r="Z126" s="877"/>
      <c r="AA126" s="878"/>
      <c r="AB126" s="879" t="str">
        <f>IMAGE("https://i.ibb.co/SK50ng3/booster.png",4,22,22)</f>
        <v/>
      </c>
      <c r="AD126" s="876" t="s">
        <v>336</v>
      </c>
      <c r="AE126" s="877"/>
      <c r="AF126" s="878"/>
      <c r="AG126" s="879" t="str">
        <f>IMAGE("https://raw.githubusercontent.com/msikma/pokesprite/master/items/mega-stone/banettite.png",3)</f>
        <v/>
      </c>
      <c r="AH126" s="836"/>
      <c r="AI126" s="296"/>
    </row>
    <row r="127" ht="20.25" customHeight="1">
      <c r="A127" s="312"/>
      <c r="B127" s="860"/>
      <c r="C127" s="869"/>
      <c r="E127" s="870" t="s">
        <v>337</v>
      </c>
      <c r="F127" s="871"/>
      <c r="G127" s="871"/>
      <c r="H127" s="880" t="str">
        <f>IMAGE("https://raw.githubusercontent.com/msikma/pokesprite/master/misc/types/gen8/flying.png",4,20,20)</f>
        <v/>
      </c>
      <c r="J127" s="870" t="s">
        <v>247</v>
      </c>
      <c r="K127" s="871"/>
      <c r="L127" s="871"/>
      <c r="M127" s="880" t="str">
        <f t="shared" ref="M127:M128" si="5">IMAGE("https://raw.githubusercontent.com/msikma/pokesprite/master/misc/types/gen8/bug.png",4,20,20)</f>
        <v/>
      </c>
      <c r="O127" s="870" t="s">
        <v>338</v>
      </c>
      <c r="P127" s="871"/>
      <c r="Q127" s="871"/>
      <c r="R127" s="880" t="str">
        <f t="shared" ref="R127:R128" si="6">IMAGE("https://raw.githubusercontent.com/msikma/pokesprite/master/misc/types/gen8/water.png",4,20,20)</f>
        <v/>
      </c>
      <c r="T127" s="870" t="s">
        <v>339</v>
      </c>
      <c r="U127" s="871"/>
      <c r="V127" s="871"/>
      <c r="W127" s="880" t="str">
        <f>IMAGE("https://raw.githubusercontent.com/msikma/pokesprite/master/misc/types/gen8/dark.png",4,20,20)</f>
        <v/>
      </c>
      <c r="Y127" s="870" t="s">
        <v>316</v>
      </c>
      <c r="Z127" s="871"/>
      <c r="AA127" s="871"/>
      <c r="AB127" s="880" t="str">
        <f>IMAGE("https://raw.githubusercontent.com/msikma/pokesprite/master/misc/types/gen8/fighting.png",4,20,20)</f>
        <v/>
      </c>
      <c r="AD127" s="870" t="s">
        <v>337</v>
      </c>
      <c r="AE127" s="871"/>
      <c r="AF127" s="871"/>
      <c r="AG127" s="880" t="str">
        <f>IMAGE("https://raw.githubusercontent.com/msikma/pokesprite/master/misc/types/gen8/normal.png",4,20,20)</f>
        <v/>
      </c>
      <c r="AH127" s="836"/>
      <c r="AI127" s="296"/>
    </row>
    <row r="128" ht="20.25" customHeight="1">
      <c r="A128" s="312"/>
      <c r="B128" s="860"/>
      <c r="C128" s="881"/>
      <c r="E128" s="874" t="s">
        <v>278</v>
      </c>
      <c r="F128" s="845"/>
      <c r="G128" s="845"/>
      <c r="H128" s="882" t="str">
        <f>IMAGE("https://raw.githubusercontent.com/msikma/pokesprite/master/misc/types/gen8/bug.png",4,20,20)</f>
        <v/>
      </c>
      <c r="J128" s="874" t="s">
        <v>278</v>
      </c>
      <c r="K128" s="845"/>
      <c r="L128" s="845"/>
      <c r="M128" s="882" t="str">
        <f t="shared" si="5"/>
        <v/>
      </c>
      <c r="O128" s="874" t="s">
        <v>340</v>
      </c>
      <c r="P128" s="845"/>
      <c r="Q128" s="845"/>
      <c r="R128" s="882" t="str">
        <f t="shared" si="6"/>
        <v/>
      </c>
      <c r="T128" s="874" t="s">
        <v>341</v>
      </c>
      <c r="U128" s="845"/>
      <c r="V128" s="845"/>
      <c r="W128" s="882" t="str">
        <f>IMAGE("https://raw.githubusercontent.com/msikma/pokesprite/master/misc/types/gen8/poison.png",4,20,20)</f>
        <v/>
      </c>
      <c r="Y128" s="874" t="s">
        <v>342</v>
      </c>
      <c r="Z128" s="845"/>
      <c r="AA128" s="845"/>
      <c r="AB128" s="882" t="str">
        <f>IMAGE("https://raw.githubusercontent.com/msikma/pokesprite/master/misc/types/gen8/fairy.png",4,20,20)</f>
        <v/>
      </c>
      <c r="AD128" s="874" t="s">
        <v>343</v>
      </c>
      <c r="AE128" s="845"/>
      <c r="AF128" s="845"/>
      <c r="AG128" s="882" t="str">
        <f>IMAGE("https://raw.githubusercontent.com/msikma/pokesprite/master/misc/types/gen8/electric.png",4,20,20)</f>
        <v/>
      </c>
      <c r="AH128" s="836"/>
      <c r="AI128" s="296"/>
    </row>
    <row r="129" ht="20.25" customHeight="1">
      <c r="A129" s="312"/>
      <c r="B129" s="860"/>
      <c r="C129" s="881"/>
      <c r="E129" s="874" t="s">
        <v>188</v>
      </c>
      <c r="F129" s="845"/>
      <c r="G129" s="845"/>
      <c r="H129" s="846"/>
      <c r="J129" s="874" t="s">
        <v>344</v>
      </c>
      <c r="K129" s="845"/>
      <c r="L129" s="845"/>
      <c r="M129" s="882" t="str">
        <f>IMAGE("https://raw.githubusercontent.com/msikma/pokesprite/master/misc/types/gen8/fighting.png",4,20,20)</f>
        <v/>
      </c>
      <c r="O129" s="874" t="s">
        <v>345</v>
      </c>
      <c r="P129" s="845"/>
      <c r="Q129" s="845"/>
      <c r="R129" s="882" t="str">
        <f>IMAGE("https://raw.githubusercontent.com/msikma/pokesprite/master/misc/types/gen8/dark.png",4,20,20)</f>
        <v/>
      </c>
      <c r="T129" s="874" t="s">
        <v>188</v>
      </c>
      <c r="U129" s="845"/>
      <c r="V129" s="845"/>
      <c r="W129" s="846"/>
      <c r="Y129" s="874" t="s">
        <v>279</v>
      </c>
      <c r="Z129" s="845"/>
      <c r="AA129" s="845"/>
      <c r="AB129" s="882" t="str">
        <f>IMAGE("https://raw.githubusercontent.com/msikma/pokesprite/master/misc/types/gen8/dark.png",4,20,20)</f>
        <v/>
      </c>
      <c r="AD129" s="874" t="s">
        <v>280</v>
      </c>
      <c r="AE129" s="845"/>
      <c r="AF129" s="845"/>
      <c r="AG129" s="882" t="str">
        <f>IMAGE("https://raw.githubusercontent.com/msikma/pokesprite/master/misc/types/gen8/poison.png",4,20,20)</f>
        <v/>
      </c>
      <c r="AH129" s="836"/>
      <c r="AI129" s="296"/>
    </row>
    <row r="130" ht="21.0" customHeight="1">
      <c r="A130" s="312"/>
      <c r="B130" s="860"/>
      <c r="C130" s="881"/>
      <c r="D130" s="840"/>
      <c r="E130" s="883" t="s">
        <v>188</v>
      </c>
      <c r="F130" s="884"/>
      <c r="G130" s="884"/>
      <c r="H130" s="885"/>
      <c r="I130" s="840"/>
      <c r="J130" s="883" t="s">
        <v>280</v>
      </c>
      <c r="K130" s="884"/>
      <c r="L130" s="884"/>
      <c r="M130" s="886" t="str">
        <f>IMAGE("https://raw.githubusercontent.com/msikma/pokesprite/master/misc/types/gen8/poison.png",4,20,20)</f>
        <v/>
      </c>
      <c r="N130" s="840"/>
      <c r="O130" s="883" t="s">
        <v>317</v>
      </c>
      <c r="P130" s="884"/>
      <c r="Q130" s="884"/>
      <c r="R130" s="886" t="str">
        <f>IMAGE("https://raw.githubusercontent.com/msikma/pokesprite/master/misc/types/gen8/ice.png",4,20,20)</f>
        <v/>
      </c>
      <c r="S130" s="840"/>
      <c r="T130" s="883" t="s">
        <v>188</v>
      </c>
      <c r="U130" s="884"/>
      <c r="V130" s="884"/>
      <c r="W130" s="885"/>
      <c r="X130" s="840"/>
      <c r="Y130" s="883" t="s">
        <v>346</v>
      </c>
      <c r="Z130" s="884"/>
      <c r="AA130" s="884"/>
      <c r="AB130" s="886" t="str">
        <f>IMAGE("https://raw.githubusercontent.com/msikma/pokesprite/master/misc/types/gen8/water.png",4,20,20)</f>
        <v/>
      </c>
      <c r="AC130" s="840"/>
      <c r="AD130" s="883" t="s">
        <v>223</v>
      </c>
      <c r="AE130" s="884"/>
      <c r="AF130" s="884"/>
      <c r="AG130" s="886" t="str">
        <f>IMAGE("https://raw.githubusercontent.com/msikma/pokesprite/master/misc/types/gen8/grass.png",4,20,20)</f>
        <v/>
      </c>
      <c r="AH130" s="836"/>
      <c r="AI130" s="296"/>
    </row>
    <row r="131" ht="3.0" customHeight="1">
      <c r="A131" s="343"/>
      <c r="B131" s="860"/>
      <c r="C131" s="887"/>
      <c r="D131" s="888"/>
      <c r="E131" s="889"/>
      <c r="F131" s="889"/>
      <c r="G131" s="889"/>
      <c r="H131" s="889"/>
      <c r="I131" s="888"/>
      <c r="J131" s="889"/>
      <c r="K131" s="889"/>
      <c r="L131" s="889"/>
      <c r="M131" s="889"/>
      <c r="N131" s="888"/>
      <c r="O131" s="889"/>
      <c r="P131" s="889"/>
      <c r="Q131" s="889"/>
      <c r="R131" s="889"/>
      <c r="S131" s="888"/>
      <c r="T131" s="889"/>
      <c r="U131" s="889"/>
      <c r="V131" s="889"/>
      <c r="W131" s="889"/>
      <c r="X131" s="888"/>
      <c r="Y131" s="890"/>
      <c r="Z131" s="891"/>
      <c r="AA131" s="891"/>
      <c r="AB131" s="892"/>
      <c r="AC131" s="888"/>
      <c r="AD131" s="892"/>
      <c r="AE131" s="892"/>
      <c r="AF131" s="892"/>
      <c r="AG131" s="892"/>
      <c r="AH131" s="893"/>
      <c r="AI131" s="296"/>
    </row>
    <row r="132" ht="16.5" customHeight="1">
      <c r="A132" s="312"/>
      <c r="B132" s="894"/>
      <c r="C132" s="895"/>
      <c r="D132" s="896"/>
      <c r="E132" s="897" t="s">
        <v>190</v>
      </c>
      <c r="F132" s="381"/>
      <c r="G132" s="382"/>
      <c r="H132" s="898" t="s">
        <v>191</v>
      </c>
      <c r="I132" s="899"/>
      <c r="J132" s="897" t="s">
        <v>190</v>
      </c>
      <c r="K132" s="381"/>
      <c r="L132" s="382"/>
      <c r="M132" s="898" t="s">
        <v>191</v>
      </c>
      <c r="N132" s="899"/>
      <c r="O132" s="897" t="s">
        <v>190</v>
      </c>
      <c r="P132" s="381"/>
      <c r="Q132" s="382"/>
      <c r="R132" s="898" t="s">
        <v>191</v>
      </c>
      <c r="S132" s="899"/>
      <c r="T132" s="897" t="s">
        <v>190</v>
      </c>
      <c r="U132" s="381"/>
      <c r="V132" s="382"/>
      <c r="W132" s="898" t="s">
        <v>191</v>
      </c>
      <c r="X132" s="899"/>
      <c r="Y132" s="897" t="s">
        <v>190</v>
      </c>
      <c r="Z132" s="381"/>
      <c r="AA132" s="382"/>
      <c r="AB132" s="898" t="s">
        <v>191</v>
      </c>
      <c r="AC132" s="899"/>
      <c r="AD132" s="897" t="s">
        <v>190</v>
      </c>
      <c r="AE132" s="381"/>
      <c r="AF132" s="382"/>
      <c r="AG132" s="898" t="s">
        <v>191</v>
      </c>
      <c r="AH132" s="900"/>
      <c r="AI132" s="389"/>
    </row>
    <row r="133" ht="15.75" customHeight="1">
      <c r="A133" s="312"/>
      <c r="B133" s="894"/>
      <c r="C133" s="895"/>
      <c r="D133" s="896"/>
      <c r="E133" s="901" t="s">
        <v>192</v>
      </c>
      <c r="F133" s="902">
        <f t="array" ref="F133">IFERROR(VLOOKUP(E120,Dex!$B$3:$N191,8,FALSE),"")</f>
        <v>60</v>
      </c>
      <c r="G133" s="903" t="str">
        <f t="array" ref="G133">IFERROR(VLOOKUP(F133,Dex!$P$22:$Q$276,2,FALSE),"")</f>
        <v/>
      </c>
      <c r="H133" s="904"/>
      <c r="I133" s="905"/>
      <c r="J133" s="901" t="s">
        <v>192</v>
      </c>
      <c r="K133" s="902">
        <f t="array" ref="K133">IFERROR(VLOOKUP(J120,Dex!$B$3:$N191,8,FALSE),"")</f>
        <v>80</v>
      </c>
      <c r="L133" s="903" t="str">
        <f t="array" ref="L133">IFERROR(VLOOKUP(K133,Dex!$P$22:$Q$276,2,FALSE),"")</f>
        <v/>
      </c>
      <c r="M133" s="904"/>
      <c r="N133" s="905"/>
      <c r="O133" s="901" t="s">
        <v>192</v>
      </c>
      <c r="P133" s="902">
        <f t="array" ref="P133">IFERROR(VLOOKUP(O120,Dex!$B$3:$N191,8,FALSE),"")</f>
        <v>72</v>
      </c>
      <c r="Q133" s="903" t="str">
        <f t="array" ref="Q133">IFERROR(VLOOKUP(P133,Dex!$P$22:$Q$276,2,FALSE),"")</f>
        <v/>
      </c>
      <c r="R133" s="904"/>
      <c r="S133" s="905"/>
      <c r="T133" s="901" t="s">
        <v>192</v>
      </c>
      <c r="U133" s="902">
        <f t="array" ref="U133">IFERROR(VLOOKUP(T120,Dex!$B$3:$N191,8,FALSE),"")</f>
        <v>70</v>
      </c>
      <c r="V133" s="903" t="str">
        <f t="array" ref="V133">IFERROR(VLOOKUP(U133,Dex!$P$22:$Q$276,2,FALSE),"")</f>
        <v/>
      </c>
      <c r="W133" s="904"/>
      <c r="X133" s="905"/>
      <c r="Y133" s="901" t="s">
        <v>192</v>
      </c>
      <c r="Z133" s="902">
        <f t="array" ref="Z133">IFERROR(VLOOKUP(Y120,Dex!$B$3:$N191,8,FALSE),"")</f>
        <v>74</v>
      </c>
      <c r="AA133" s="903" t="str">
        <f t="array" ref="AA133">IFERROR(VLOOKUP(Z133,Dex!$P$22:$Q$276,2,FALSE),"")</f>
        <v/>
      </c>
      <c r="AB133" s="904"/>
      <c r="AC133" s="905"/>
      <c r="AD133" s="901" t="s">
        <v>192</v>
      </c>
      <c r="AE133" s="902">
        <f t="array" ref="AE133">IFERROR(VLOOKUP(AD120,Dex!$B$3:$N191,8,FALSE),"")</f>
        <v>75</v>
      </c>
      <c r="AF133" s="903" t="str">
        <f t="array" ref="AF133">IFERROR(VLOOKUP(AE133,Dex!$P$22:$Q$276,2,FALSE),"")</f>
        <v/>
      </c>
      <c r="AG133" s="904"/>
      <c r="AH133" s="906"/>
      <c r="AI133" s="389"/>
    </row>
    <row r="134" ht="15.75" customHeight="1">
      <c r="A134" s="312"/>
      <c r="B134" s="894"/>
      <c r="C134" s="895"/>
      <c r="D134" s="896"/>
      <c r="E134" s="907" t="s">
        <v>193</v>
      </c>
      <c r="F134" s="908">
        <f t="array" ref="F134">IFERROR(VLOOKUP(E120,Dex!$B$3:$N191,9,FALSE),"")</f>
        <v>85</v>
      </c>
      <c r="G134" s="909" t="str">
        <f t="array" ref="G134">IFERROR(VLOOKUP(F134,Dex!$P$22:$Q$276,2,FALSE),"")</f>
        <v/>
      </c>
      <c r="H134" s="910"/>
      <c r="I134" s="905"/>
      <c r="J134" s="907" t="s">
        <v>193</v>
      </c>
      <c r="K134" s="908">
        <f t="array" ref="K134">IFERROR(VLOOKUP(J120,Dex!$B$3:$N191,9,FALSE),"")</f>
        <v>70</v>
      </c>
      <c r="L134" s="909" t="str">
        <f t="array" ref="L134">IFERROR(VLOOKUP(K134,Dex!$P$22:$Q$276,2,FALSE),"")</f>
        <v/>
      </c>
      <c r="M134" s="910"/>
      <c r="N134" s="905"/>
      <c r="O134" s="907" t="s">
        <v>193</v>
      </c>
      <c r="P134" s="908">
        <f t="array" ref="P134">IFERROR(VLOOKUP(O120,Dex!$B$3:$N191,9,FALSE),"")</f>
        <v>95</v>
      </c>
      <c r="Q134" s="909" t="str">
        <f t="array" ref="Q134">IFERROR(VLOOKUP(P134,Dex!$P$22:$Q$276,2,FALSE),"")</f>
        <v/>
      </c>
      <c r="R134" s="910"/>
      <c r="S134" s="905"/>
      <c r="T134" s="907" t="s">
        <v>193</v>
      </c>
      <c r="U134" s="908">
        <f t="array" ref="U134">IFERROR(VLOOKUP(T120,Dex!$B$3:$N191,9,FALSE),"")</f>
        <v>80</v>
      </c>
      <c r="V134" s="909" t="str">
        <f t="array" ref="V134">IFERROR(VLOOKUP(U134,Dex!$P$22:$Q$276,2,FALSE),"")</f>
        <v/>
      </c>
      <c r="W134" s="910">
        <v>252.0</v>
      </c>
      <c r="X134" s="905"/>
      <c r="Y134" s="907" t="s">
        <v>193</v>
      </c>
      <c r="Z134" s="908">
        <f t="array" ref="Z134">IFERROR(VLOOKUP(Y120,Dex!$B$3:$N191,9,FALSE),"")</f>
        <v>130</v>
      </c>
      <c r="AA134" s="909" t="str">
        <f t="array" ref="AA134">IFERROR(VLOOKUP(Z134,Dex!$P$22:$Q$276,2,FALSE),"")</f>
        <v/>
      </c>
      <c r="AB134" s="910">
        <v>252.0</v>
      </c>
      <c r="AC134" s="905"/>
      <c r="AD134" s="907" t="s">
        <v>193</v>
      </c>
      <c r="AE134" s="908">
        <f t="array" ref="AE134">IFERROR(VLOOKUP(AD120,Dex!$B$3:$N191,9,FALSE),"")</f>
        <v>120</v>
      </c>
      <c r="AF134" s="909" t="str">
        <f t="array" ref="AF134">IFERROR(VLOOKUP(AE134,Dex!$P$22:$Q$276,2,FALSE),"")</f>
        <v/>
      </c>
      <c r="AG134" s="910"/>
      <c r="AH134" s="906"/>
      <c r="AI134" s="389"/>
    </row>
    <row r="135" ht="15.75" customHeight="1">
      <c r="A135" s="312"/>
      <c r="B135" s="894"/>
      <c r="C135" s="895"/>
      <c r="D135" s="896"/>
      <c r="E135" s="907" t="s">
        <v>194</v>
      </c>
      <c r="F135" s="908">
        <f t="array" ref="F135">IFERROR(VLOOKUP(E120,Dex!$B$3:$N191,10,FALSE),"")</f>
        <v>60</v>
      </c>
      <c r="G135" s="909" t="str">
        <f t="array" ref="G135">IFERROR(VLOOKUP(F135,Dex!$P$22:$Q$276,2,FALSE),"")</f>
        <v/>
      </c>
      <c r="H135" s="910"/>
      <c r="I135" s="905"/>
      <c r="J135" s="907" t="s">
        <v>194</v>
      </c>
      <c r="K135" s="908">
        <f t="array" ref="K135">IFERROR(VLOOKUP(J120,Dex!$B$3:$N191,10,FALSE),"")</f>
        <v>40</v>
      </c>
      <c r="L135" s="909" t="str">
        <f t="array" ref="L135">IFERROR(VLOOKUP(K135,Dex!$P$22:$Q$276,2,FALSE),"")</f>
        <v/>
      </c>
      <c r="M135" s="910"/>
      <c r="N135" s="905"/>
      <c r="O135" s="907" t="s">
        <v>194</v>
      </c>
      <c r="P135" s="908">
        <f t="array" ref="P135">IFERROR(VLOOKUP(O120,Dex!$B$3:$N191,10,FALSE),"")</f>
        <v>67</v>
      </c>
      <c r="Q135" s="909" t="str">
        <f t="array" ref="Q135">IFERROR(VLOOKUP(P135,Dex!$P$22:$Q$276,2,FALSE),"")</f>
        <v/>
      </c>
      <c r="R135" s="910"/>
      <c r="S135" s="905"/>
      <c r="T135" s="907" t="s">
        <v>194</v>
      </c>
      <c r="U135" s="908">
        <f t="array" ref="U135">IFERROR(VLOOKUP(T120,Dex!$B$3:$N191,10,FALSE),"")</f>
        <v>110</v>
      </c>
      <c r="V135" s="909" t="str">
        <f t="array" ref="V135">IFERROR(VLOOKUP(U135,Dex!$P$22:$Q$276,2,FALSE),"")</f>
        <v/>
      </c>
      <c r="W135" s="910"/>
      <c r="X135" s="905"/>
      <c r="Y135" s="907" t="s">
        <v>194</v>
      </c>
      <c r="Z135" s="908">
        <f t="array" ref="Z135">IFERROR(VLOOKUP(Y120,Dex!$B$3:$N191,10,FALSE),"")</f>
        <v>90</v>
      </c>
      <c r="AA135" s="909" t="str">
        <f t="array" ref="AA135">IFERROR(VLOOKUP(Z135,Dex!$P$22:$Q$276,2,FALSE),"")</f>
        <v/>
      </c>
      <c r="AB135" s="910">
        <v>4.0</v>
      </c>
      <c r="AC135" s="905"/>
      <c r="AD135" s="907" t="s">
        <v>194</v>
      </c>
      <c r="AE135" s="908">
        <f t="array" ref="AE135">IFERROR(VLOOKUP(AD120,Dex!$B$3:$N191,10,FALSE),"")</f>
        <v>80</v>
      </c>
      <c r="AF135" s="909" t="str">
        <f t="array" ref="AF135">IFERROR(VLOOKUP(AE135,Dex!$P$22:$Q$276,2,FALSE),"")</f>
        <v/>
      </c>
      <c r="AG135" s="910"/>
      <c r="AH135" s="906"/>
      <c r="AI135" s="389"/>
    </row>
    <row r="136" ht="15.75" customHeight="1">
      <c r="A136" s="312"/>
      <c r="B136" s="894"/>
      <c r="C136" s="895"/>
      <c r="D136" s="896"/>
      <c r="E136" s="907" t="s">
        <v>195</v>
      </c>
      <c r="F136" s="908">
        <f t="array" ref="F136">IFERROR(VLOOKUP(E120,Dex!$B$3:$N191,11,FALSE),"")</f>
        <v>75</v>
      </c>
      <c r="G136" s="909" t="str">
        <f t="array" ref="G136">IFERROR(VLOOKUP(F136,Dex!$P$22:$Q$276,2,FALSE),"")</f>
        <v/>
      </c>
      <c r="H136" s="910">
        <v>252.0</v>
      </c>
      <c r="I136" s="905"/>
      <c r="J136" s="907" t="s">
        <v>195</v>
      </c>
      <c r="K136" s="908">
        <f t="array" ref="K136">IFERROR(VLOOKUP(J120,Dex!$B$3:$N191,11,FALSE),"")</f>
        <v>100</v>
      </c>
      <c r="L136" s="909" t="str">
        <f t="array" ref="L136">IFERROR(VLOOKUP(K136,Dex!$P$22:$Q$276,2,FALSE),"")</f>
        <v/>
      </c>
      <c r="M136" s="910">
        <v>252.0</v>
      </c>
      <c r="N136" s="905"/>
      <c r="O136" s="907" t="s">
        <v>195</v>
      </c>
      <c r="P136" s="908">
        <f t="array" ref="P136">IFERROR(VLOOKUP(O120,Dex!$B$3:$N191,11,FALSE),"")</f>
        <v>103</v>
      </c>
      <c r="Q136" s="909" t="str">
        <f t="array" ref="Q136">IFERROR(VLOOKUP(P136,Dex!$P$22:$Q$276,2,FALSE),"")</f>
        <v/>
      </c>
      <c r="R136" s="910">
        <v>252.0</v>
      </c>
      <c r="S136" s="905"/>
      <c r="T136" s="907" t="s">
        <v>195</v>
      </c>
      <c r="U136" s="908">
        <f t="array" ref="U136">IFERROR(VLOOKUP(T120,Dex!$B$3:$N191,11,FALSE),"")</f>
        <v>60</v>
      </c>
      <c r="V136" s="909" t="str">
        <f t="array" ref="V136">IFERROR(VLOOKUP(U136,Dex!$P$22:$Q$276,2,FALSE),"")</f>
        <v/>
      </c>
      <c r="W136" s="910"/>
      <c r="X136" s="905"/>
      <c r="Y136" s="907" t="s">
        <v>195</v>
      </c>
      <c r="Z136" s="908">
        <f t="array" ref="Z136">IFERROR(VLOOKUP(Y120,Dex!$B$3:$N191,11,FALSE),"")</f>
        <v>120</v>
      </c>
      <c r="AA136" s="909" t="str">
        <f t="array" ref="AA136">IFERROR(VLOOKUP(Z136,Dex!$P$22:$Q$276,2,FALSE),"")</f>
        <v/>
      </c>
      <c r="AB136" s="910"/>
      <c r="AC136" s="905"/>
      <c r="AD136" s="907" t="s">
        <v>195</v>
      </c>
      <c r="AE136" s="908">
        <f t="array" ref="AE136">IFERROR(VLOOKUP(AD120,Dex!$B$3:$N191,11,FALSE),"")</f>
        <v>155</v>
      </c>
      <c r="AF136" s="909" t="str">
        <f t="array" ref="AF136">IFERROR(VLOOKUP(AE136,Dex!$P$22:$Q$276,2,FALSE),"")</f>
        <v/>
      </c>
      <c r="AG136" s="910">
        <v>252.0</v>
      </c>
      <c r="AH136" s="906"/>
      <c r="AI136" s="389"/>
    </row>
    <row r="137" ht="15.75" customHeight="1">
      <c r="A137" s="312"/>
      <c r="B137" s="894"/>
      <c r="C137" s="895"/>
      <c r="D137" s="896"/>
      <c r="E137" s="907" t="s">
        <v>196</v>
      </c>
      <c r="F137" s="908">
        <f t="array" ref="F137">IFERROR(VLOOKUP(E120,Dex!$B$3:$N191,12,FALSE),"")</f>
        <v>50</v>
      </c>
      <c r="G137" s="909" t="str">
        <f t="array" ref="G137">IFERROR(VLOOKUP(F137,Dex!$P$22:$Q$276,2,FALSE),"")</f>
        <v/>
      </c>
      <c r="H137" s="910">
        <v>4.0</v>
      </c>
      <c r="I137" s="905"/>
      <c r="J137" s="907" t="s">
        <v>196</v>
      </c>
      <c r="K137" s="908">
        <f t="array" ref="K137">IFERROR(VLOOKUP(J120,Dex!$B$3:$N191,12,FALSE),"")</f>
        <v>60</v>
      </c>
      <c r="L137" s="909" t="str">
        <f t="array" ref="L137">IFERROR(VLOOKUP(K137,Dex!$P$22:$Q$276,2,FALSE),"")</f>
        <v/>
      </c>
      <c r="M137" s="910">
        <v>4.0</v>
      </c>
      <c r="N137" s="905"/>
      <c r="O137" s="907" t="s">
        <v>196</v>
      </c>
      <c r="P137" s="908">
        <f t="array" ref="P137">IFERROR(VLOOKUP(O120,Dex!$B$3:$N191,12,FALSE),"")</f>
        <v>71</v>
      </c>
      <c r="Q137" s="909" t="str">
        <f t="array" ref="Q137">IFERROR(VLOOKUP(P137,Dex!$P$22:$Q$276,2,FALSE),"")</f>
        <v/>
      </c>
      <c r="R137" s="910">
        <v>4.0</v>
      </c>
      <c r="S137" s="905"/>
      <c r="T137" s="907" t="s">
        <v>196</v>
      </c>
      <c r="U137" s="908">
        <f t="array" ref="U137">IFERROR(VLOOKUP(T120,Dex!$B$3:$N191,12,FALSE),"")</f>
        <v>75</v>
      </c>
      <c r="V137" s="909" t="str">
        <f t="array" ref="V137">IFERROR(VLOOKUP(U137,Dex!$P$22:$Q$276,2,FALSE),"")</f>
        <v/>
      </c>
      <c r="W137" s="910">
        <v>4.0</v>
      </c>
      <c r="X137" s="905"/>
      <c r="Y137" s="907" t="s">
        <v>196</v>
      </c>
      <c r="Z137" s="908">
        <f t="array" ref="Z137">IFERROR(VLOOKUP(Y120,Dex!$B$3:$N191,12,FALSE),"")</f>
        <v>60</v>
      </c>
      <c r="AA137" s="909" t="str">
        <f t="array" ref="AA137">IFERROR(VLOOKUP(Z137,Dex!$P$22:$Q$276,2,FALSE),"")</f>
        <v/>
      </c>
      <c r="AB137" s="910"/>
      <c r="AC137" s="905"/>
      <c r="AD137" s="907" t="s">
        <v>196</v>
      </c>
      <c r="AE137" s="908">
        <f t="array" ref="AE137">IFERROR(VLOOKUP(AD120,Dex!$B$3:$N191,12,FALSE),"")</f>
        <v>80</v>
      </c>
      <c r="AF137" s="909" t="str">
        <f t="array" ref="AF137">IFERROR(VLOOKUP(AE137,Dex!$P$22:$Q$276,2,FALSE),"")</f>
        <v/>
      </c>
      <c r="AG137" s="910">
        <v>4.0</v>
      </c>
      <c r="AH137" s="906"/>
      <c r="AI137" s="389"/>
    </row>
    <row r="138" ht="15.75" customHeight="1">
      <c r="A138" s="312"/>
      <c r="B138" s="894"/>
      <c r="C138" s="895"/>
      <c r="D138" s="896"/>
      <c r="E138" s="911" t="s">
        <v>197</v>
      </c>
      <c r="F138" s="912">
        <f t="array" ref="F138">IFERROR(VLOOKUP(E120,Dex!$B$3:$N191,13,FALSE),"")</f>
        <v>125</v>
      </c>
      <c r="G138" s="913" t="str">
        <f t="array" ref="G138">IFERROR(VLOOKUP(F138,Dex!$P$22:$Q$276,2,FALSE),"")</f>
        <v/>
      </c>
      <c r="H138" s="914">
        <v>252.0</v>
      </c>
      <c r="I138" s="905"/>
      <c r="J138" s="911" t="s">
        <v>197</v>
      </c>
      <c r="K138" s="912">
        <f t="array" ref="K138">IFERROR(VLOOKUP(J120,Dex!$B$3:$N191,13,FALSE),"")</f>
        <v>145</v>
      </c>
      <c r="L138" s="913" t="str">
        <f t="array" ref="L138">IFERROR(VLOOKUP(K138,Dex!$P$22:$Q$276,2,FALSE),"")</f>
        <v/>
      </c>
      <c r="M138" s="914">
        <v>252.0</v>
      </c>
      <c r="N138" s="905"/>
      <c r="O138" s="911" t="s">
        <v>197</v>
      </c>
      <c r="P138" s="912">
        <f t="array" ref="P138">IFERROR(VLOOKUP(O120,Dex!$B$3:$N191,13,FALSE),"")</f>
        <v>122</v>
      </c>
      <c r="Q138" s="913" t="str">
        <f t="array" ref="Q138">IFERROR(VLOOKUP(P138,Dex!$P$22:$Q$276,2,FALSE),"")</f>
        <v/>
      </c>
      <c r="R138" s="914">
        <v>252.0</v>
      </c>
      <c r="S138" s="905"/>
      <c r="T138" s="911" t="s">
        <v>197</v>
      </c>
      <c r="U138" s="912">
        <f t="array" ref="U138">IFERROR(VLOOKUP(T120,Dex!$B$3:$N191,13,FALSE),"")</f>
        <v>95</v>
      </c>
      <c r="V138" s="913" t="str">
        <f t="array" ref="V138">IFERROR(VLOOKUP(U138,Dex!$P$22:$Q$276,2,FALSE),"")</f>
        <v/>
      </c>
      <c r="W138" s="914">
        <v>252.0</v>
      </c>
      <c r="X138" s="905"/>
      <c r="Y138" s="911" t="s">
        <v>197</v>
      </c>
      <c r="Z138" s="912">
        <f t="array" ref="Z138">IFERROR(VLOOKUP(Y120,Dex!$B$3:$N191,13,FALSE),"")</f>
        <v>116</v>
      </c>
      <c r="AA138" s="913" t="str">
        <f t="array" ref="AA138">IFERROR(VLOOKUP(Z138,Dex!$P$22:$Q$276,2,FALSE),"")</f>
        <v/>
      </c>
      <c r="AB138" s="914">
        <v>252.0</v>
      </c>
      <c r="AC138" s="905"/>
      <c r="AD138" s="911" t="s">
        <v>197</v>
      </c>
      <c r="AE138" s="912">
        <f t="array" ref="AE138">IFERROR(VLOOKUP(AD120,Dex!$B$3:$N191,13,FALSE),"")</f>
        <v>111</v>
      </c>
      <c r="AF138" s="913" t="str">
        <f t="array" ref="AF138">IFERROR(VLOOKUP(AE138,Dex!$P$22:$Q$276,2,FALSE),"")</f>
        <v/>
      </c>
      <c r="AG138" s="914">
        <v>252.0</v>
      </c>
      <c r="AH138" s="906"/>
      <c r="AI138" s="389"/>
    </row>
    <row r="139" ht="16.5" customHeight="1">
      <c r="A139" s="312"/>
      <c r="B139" s="894"/>
      <c r="C139" s="895"/>
      <c r="D139" s="896"/>
      <c r="E139" s="915" t="s">
        <v>198</v>
      </c>
      <c r="F139" s="405"/>
      <c r="G139" s="406"/>
      <c r="H139" s="916">
        <v>258.0</v>
      </c>
      <c r="I139" s="899"/>
      <c r="J139" s="915" t="s">
        <v>198</v>
      </c>
      <c r="K139" s="405"/>
      <c r="L139" s="406"/>
      <c r="M139" s="916">
        <v>292.0</v>
      </c>
      <c r="N139" s="899"/>
      <c r="O139" s="917" t="s">
        <v>198</v>
      </c>
      <c r="P139" s="918"/>
      <c r="Q139" s="919"/>
      <c r="R139" s="920">
        <v>258.0</v>
      </c>
      <c r="S139" s="899"/>
      <c r="T139" s="917" t="s">
        <v>198</v>
      </c>
      <c r="U139" s="918"/>
      <c r="V139" s="919"/>
      <c r="W139" s="920">
        <v>198.0</v>
      </c>
      <c r="X139" s="899"/>
      <c r="Y139" s="917" t="s">
        <v>198</v>
      </c>
      <c r="Z139" s="918"/>
      <c r="AA139" s="919"/>
      <c r="AB139" s="920">
        <v>248.0</v>
      </c>
      <c r="AC139" s="899"/>
      <c r="AD139" s="915" t="s">
        <v>198</v>
      </c>
      <c r="AE139" s="405"/>
      <c r="AF139" s="406"/>
      <c r="AG139" s="916">
        <v>240.0</v>
      </c>
      <c r="AH139" s="900"/>
      <c r="AI139" s="389"/>
    </row>
    <row r="140" ht="16.5" customHeight="1">
      <c r="A140" s="312"/>
      <c r="B140" s="894"/>
      <c r="C140" s="895"/>
      <c r="D140" s="921"/>
      <c r="E140" s="922"/>
      <c r="F140" s="922"/>
      <c r="G140" s="922"/>
      <c r="H140" s="922"/>
      <c r="I140" s="922"/>
      <c r="J140" s="923"/>
      <c r="K140" s="923"/>
      <c r="L140" s="923"/>
      <c r="M140" s="922"/>
      <c r="N140" s="922"/>
      <c r="O140" s="924" t="s">
        <v>347</v>
      </c>
      <c r="P140" s="925"/>
      <c r="Q140" s="926"/>
      <c r="R140" s="927">
        <v>272.0</v>
      </c>
      <c r="S140" s="922"/>
      <c r="T140" s="924" t="s">
        <v>348</v>
      </c>
      <c r="U140" s="925"/>
      <c r="V140" s="926"/>
      <c r="W140" s="927">
        <v>297.0</v>
      </c>
      <c r="X140" s="922"/>
      <c r="Y140" s="924" t="s">
        <v>349</v>
      </c>
      <c r="Z140" s="925"/>
      <c r="AA140" s="926"/>
      <c r="AB140" s="927">
        <v>372.0</v>
      </c>
      <c r="AC140" s="922"/>
      <c r="AD140" s="923"/>
      <c r="AE140" s="923"/>
      <c r="AF140" s="923"/>
      <c r="AG140" s="928"/>
      <c r="AH140" s="929"/>
      <c r="AI140" s="389"/>
    </row>
    <row r="141" ht="15.0" customHeight="1">
      <c r="A141" s="290"/>
      <c r="B141" s="930"/>
      <c r="C141" s="931"/>
      <c r="D141" s="932"/>
      <c r="E141" s="932"/>
      <c r="F141" s="932"/>
      <c r="G141" s="932"/>
      <c r="H141" s="932"/>
      <c r="I141" s="932"/>
      <c r="J141" s="932"/>
      <c r="K141" s="932"/>
      <c r="L141" s="932"/>
      <c r="M141" s="932"/>
      <c r="N141" s="932"/>
      <c r="O141" s="933"/>
      <c r="P141" s="933"/>
      <c r="Q141" s="933"/>
      <c r="R141" s="933"/>
      <c r="S141" s="932"/>
      <c r="T141" s="933"/>
      <c r="U141" s="933"/>
      <c r="V141" s="933"/>
      <c r="W141" s="933"/>
      <c r="X141" s="932"/>
      <c r="Y141" s="933"/>
      <c r="Z141" s="933"/>
      <c r="AA141" s="933"/>
      <c r="AB141" s="933"/>
      <c r="AC141" s="932"/>
      <c r="AD141" s="932"/>
      <c r="AE141" s="932"/>
      <c r="AF141" s="932"/>
      <c r="AG141" s="932"/>
      <c r="AH141" s="934"/>
      <c r="AI141" s="296"/>
    </row>
    <row r="142" ht="15.0" customHeight="1">
      <c r="A142" s="290"/>
      <c r="B142" s="935"/>
      <c r="C142" s="936"/>
      <c r="D142" s="937"/>
      <c r="E142" s="937"/>
      <c r="F142" s="937"/>
      <c r="G142" s="937"/>
      <c r="H142" s="937"/>
      <c r="I142" s="937"/>
      <c r="J142" s="937"/>
      <c r="K142" s="937"/>
      <c r="L142" s="937"/>
      <c r="M142" s="937"/>
      <c r="N142" s="937"/>
      <c r="O142" s="937"/>
      <c r="P142" s="937"/>
      <c r="Q142" s="937"/>
      <c r="R142" s="937"/>
      <c r="S142" s="937"/>
      <c r="T142" s="937"/>
      <c r="U142" s="937"/>
      <c r="V142" s="937"/>
      <c r="W142" s="937"/>
      <c r="X142" s="937"/>
      <c r="Y142" s="937"/>
      <c r="Z142" s="937"/>
      <c r="AA142" s="937"/>
      <c r="AB142" s="937"/>
      <c r="AC142" s="937"/>
      <c r="AD142" s="937"/>
      <c r="AE142" s="937"/>
      <c r="AF142" s="937"/>
      <c r="AG142" s="937"/>
      <c r="AH142" s="938"/>
      <c r="AI142" s="296"/>
    </row>
    <row r="143" ht="16.5" customHeight="1">
      <c r="A143" s="290"/>
      <c r="B143" s="939"/>
      <c r="C143" s="940"/>
      <c r="D143" s="941"/>
      <c r="E143" s="942" t="s">
        <v>350</v>
      </c>
      <c r="F143" s="943"/>
      <c r="G143" s="943"/>
      <c r="H143" s="943"/>
      <c r="I143" s="943"/>
      <c r="J143" s="943"/>
      <c r="K143" s="943"/>
      <c r="L143" s="943"/>
      <c r="M143" s="943"/>
      <c r="N143" s="943"/>
      <c r="O143" s="943"/>
      <c r="P143" s="943"/>
      <c r="Q143" s="943"/>
      <c r="R143" s="943"/>
      <c r="S143" s="943"/>
      <c r="T143" s="943"/>
      <c r="U143" s="943"/>
      <c r="V143" s="943"/>
      <c r="W143" s="943"/>
      <c r="X143" s="943"/>
      <c r="Y143" s="943"/>
      <c r="Z143" s="943"/>
      <c r="AA143" s="943"/>
      <c r="AB143" s="943"/>
      <c r="AC143" s="943"/>
      <c r="AD143" s="943"/>
      <c r="AE143" s="943"/>
      <c r="AF143" s="943"/>
      <c r="AG143" s="944"/>
      <c r="AH143" s="945"/>
      <c r="AI143" s="296"/>
    </row>
    <row r="144" ht="96.75" customHeight="1">
      <c r="A144" s="290"/>
      <c r="B144" s="946"/>
      <c r="C144" s="947" t="str">
        <f>IMAGE("https://i.ibb.co/zQPJrBn/Blaine.png")</f>
        <v/>
      </c>
      <c r="D144" s="948"/>
      <c r="E144" s="949" t="str">
        <f t="array" ref="E144">IFERROR(VLOOKUP(E145,Dex!$B$3:$G191,3,FALSE),"")</f>
        <v/>
      </c>
      <c r="F144" s="302"/>
      <c r="G144" s="302"/>
      <c r="H144" s="303"/>
      <c r="I144" s="950"/>
      <c r="J144" s="949" t="str">
        <f t="array" ref="J144">IFERROR(VLOOKUP(J145,Dex!$B$3:$G191,3,FALSE),"")</f>
        <v/>
      </c>
      <c r="K144" s="302"/>
      <c r="L144" s="302"/>
      <c r="M144" s="303"/>
      <c r="N144" s="950"/>
      <c r="O144" s="949" t="str">
        <f t="array" ref="O144">IFERROR(VLOOKUP(O145,Dex!$B$3:$G191,3,FALSE),"")</f>
        <v/>
      </c>
      <c r="P144" s="302"/>
      <c r="Q144" s="302"/>
      <c r="R144" s="303"/>
      <c r="S144" s="950"/>
      <c r="T144" s="949" t="str">
        <f t="array" ref="T144">IFERROR(VLOOKUP(T145,Dex!$B$3:$G191,3,FALSE),"")</f>
        <v/>
      </c>
      <c r="U144" s="302"/>
      <c r="V144" s="302"/>
      <c r="W144" s="303"/>
      <c r="X144" s="950"/>
      <c r="Y144" s="949" t="str">
        <f t="array" ref="Y144">IFERROR(VLOOKUP(Y145,Dex!$B$3:$G191,3,FALSE),"")</f>
        <v/>
      </c>
      <c r="Z144" s="302"/>
      <c r="AA144" s="302"/>
      <c r="AB144" s="303"/>
      <c r="AC144" s="950"/>
      <c r="AD144" s="949" t="str">
        <f t="array" ref="AD144">IFERROR(VLOOKUP(AD145,Dex!$B$3:$G191,3,FALSE),"")</f>
        <v/>
      </c>
      <c r="AE144" s="302"/>
      <c r="AF144" s="302"/>
      <c r="AG144" s="303"/>
      <c r="AH144" s="951"/>
      <c r="AI144" s="296"/>
    </row>
    <row r="145" ht="18.75" customHeight="1">
      <c r="A145" s="312"/>
      <c r="B145" s="952"/>
      <c r="C145" s="953" t="s">
        <v>351</v>
      </c>
      <c r="D145" s="954"/>
      <c r="E145" s="955" t="s">
        <v>352</v>
      </c>
      <c r="F145" s="956"/>
      <c r="G145" s="956"/>
      <c r="H145" s="957"/>
      <c r="J145" s="955" t="s">
        <v>353</v>
      </c>
      <c r="K145" s="956"/>
      <c r="L145" s="956"/>
      <c r="M145" s="957"/>
      <c r="O145" s="955" t="s">
        <v>354</v>
      </c>
      <c r="P145" s="956"/>
      <c r="Q145" s="956"/>
      <c r="R145" s="957"/>
      <c r="T145" s="955" t="s">
        <v>355</v>
      </c>
      <c r="U145" s="956"/>
      <c r="V145" s="956"/>
      <c r="W145" s="957"/>
      <c r="Y145" s="955" t="s">
        <v>356</v>
      </c>
      <c r="Z145" s="956"/>
      <c r="AA145" s="956"/>
      <c r="AB145" s="957"/>
      <c r="AD145" s="955" t="s">
        <v>357</v>
      </c>
      <c r="AE145" s="956"/>
      <c r="AF145" s="956"/>
      <c r="AG145" s="957"/>
      <c r="AH145" s="958"/>
      <c r="AI145" s="324"/>
    </row>
    <row r="146">
      <c r="A146" s="312"/>
      <c r="B146" s="959"/>
      <c r="C146" s="326"/>
      <c r="D146" s="960"/>
      <c r="E146" s="961">
        <v>75.0</v>
      </c>
      <c r="F146" s="962"/>
      <c r="G146" s="962"/>
      <c r="H146" s="963"/>
      <c r="J146" s="961">
        <v>76.0</v>
      </c>
      <c r="K146" s="962"/>
      <c r="L146" s="962"/>
      <c r="M146" s="963"/>
      <c r="O146" s="961">
        <v>76.0</v>
      </c>
      <c r="P146" s="962"/>
      <c r="Q146" s="962"/>
      <c r="R146" s="963"/>
      <c r="T146" s="961">
        <v>76.0</v>
      </c>
      <c r="U146" s="962"/>
      <c r="V146" s="962"/>
      <c r="W146" s="963"/>
      <c r="Y146" s="961">
        <v>76.0</v>
      </c>
      <c r="Z146" s="962"/>
      <c r="AA146" s="962"/>
      <c r="AB146" s="963"/>
      <c r="AD146" s="961">
        <v>76.0</v>
      </c>
      <c r="AE146" s="962"/>
      <c r="AF146" s="962"/>
      <c r="AG146" s="963"/>
      <c r="AH146" s="964"/>
      <c r="AI146" s="296"/>
    </row>
    <row r="147" ht="25.5" customHeight="1">
      <c r="A147" s="312"/>
      <c r="B147" s="939"/>
      <c r="C147" s="965"/>
      <c r="D147" s="966"/>
      <c r="E147" s="967"/>
      <c r="F147" s="968" t="str">
        <f t="array" ref="F147">IFERROR(VLOOKUP(E145,Dex!$B$3:$H191,5,FALSE),"")</f>
        <v/>
      </c>
      <c r="G147" s="969" t="str">
        <f t="array" ref="G147">IFERROR(VLOOKUP(E145,Dex!$B$3:$H191,7,FALSE),"")</f>
        <v/>
      </c>
      <c r="H147" s="970"/>
      <c r="J147" s="971"/>
      <c r="K147" s="968" t="str">
        <f t="array" ref="K147">IFERROR(VLOOKUP(J145,Dex!$B$3:$H191,5,FALSE),"")</f>
        <v/>
      </c>
      <c r="L147" s="969" t="str">
        <f t="array" ref="L147">IFERROR(VLOOKUP(J145,Dex!$B$3:$H191,7,FALSE),"")</f>
        <v/>
      </c>
      <c r="M147" s="972"/>
      <c r="O147" s="971"/>
      <c r="P147" s="968" t="str">
        <f t="array" ref="P147">IFERROR(VLOOKUP(O145,Dex!$B$3:$H191,5,FALSE),"")</f>
        <v/>
      </c>
      <c r="Q147" s="969" t="str">
        <f t="array" ref="Q147">IFERROR(VLOOKUP(O145,Dex!$B$3:$H191,7,FALSE),"")</f>
        <v/>
      </c>
      <c r="R147" s="972"/>
      <c r="T147" s="973"/>
      <c r="U147" s="974" t="str">
        <f t="array" ref="U147">IFERROR(VLOOKUP(T145,Dex!$B$3:$H191,5,FALSE),"")</f>
        <v/>
      </c>
      <c r="V147" s="975"/>
      <c r="W147" s="976"/>
      <c r="Y147" s="971"/>
      <c r="Z147" s="968" t="str">
        <f t="array" ref="Z147">IFERROR(VLOOKUP(Y145,Dex!$B$3:$H191,5,FALSE),"")</f>
        <v/>
      </c>
      <c r="AA147" s="969" t="str">
        <f t="array" ref="AA147">IFERROR(VLOOKUP(Y145,Dex!$B$3:$H191,7,FALSE),"")</f>
        <v/>
      </c>
      <c r="AB147" s="972"/>
      <c r="AD147" s="971"/>
      <c r="AE147" s="968" t="str">
        <f t="array" ref="AE147">IFERROR(VLOOKUP(AD145,Dex!$B$3:$H191,5,FALSE),"")</f>
        <v/>
      </c>
      <c r="AF147" s="969" t="str">
        <f t="array" ref="AF147">IFERROR(VLOOKUP(AD145,Dex!$B$3:$H191,7,FALSE),"")</f>
        <v/>
      </c>
      <c r="AG147" s="972"/>
      <c r="AH147" s="951"/>
      <c r="AI147" s="296"/>
    </row>
    <row r="148" ht="2.25" customHeight="1">
      <c r="A148" s="343"/>
      <c r="B148" s="939"/>
      <c r="C148" s="977"/>
      <c r="D148" s="966"/>
      <c r="E148" s="978"/>
      <c r="F148" s="979"/>
      <c r="G148" s="979"/>
      <c r="H148" s="980"/>
      <c r="J148" s="981"/>
      <c r="K148" s="982"/>
      <c r="L148" s="982"/>
      <c r="M148" s="983"/>
      <c r="O148" s="981"/>
      <c r="P148" s="982"/>
      <c r="Q148" s="982"/>
      <c r="R148" s="983"/>
      <c r="T148" s="981"/>
      <c r="U148" s="979"/>
      <c r="V148" s="979"/>
      <c r="W148" s="983"/>
      <c r="Y148" s="981"/>
      <c r="Z148" s="982"/>
      <c r="AA148" s="982"/>
      <c r="AB148" s="983"/>
      <c r="AD148" s="981"/>
      <c r="AE148" s="984"/>
      <c r="AF148" s="982"/>
      <c r="AG148" s="983"/>
      <c r="AH148" s="951"/>
      <c r="AI148" s="296"/>
    </row>
    <row r="149" ht="20.25" customHeight="1">
      <c r="A149" s="312"/>
      <c r="B149" s="939"/>
      <c r="C149" s="985"/>
      <c r="D149" s="966"/>
      <c r="E149" s="986" t="s">
        <v>205</v>
      </c>
      <c r="F149" s="987"/>
      <c r="G149" s="987"/>
      <c r="H149" s="988"/>
      <c r="J149" s="986" t="s">
        <v>172</v>
      </c>
      <c r="K149" s="987"/>
      <c r="L149" s="987"/>
      <c r="M149" s="988"/>
      <c r="O149" s="986" t="s">
        <v>205</v>
      </c>
      <c r="P149" s="987"/>
      <c r="Q149" s="987"/>
      <c r="R149" s="988"/>
      <c r="T149" s="986" t="s">
        <v>263</v>
      </c>
      <c r="U149" s="987"/>
      <c r="V149" s="987"/>
      <c r="W149" s="988"/>
      <c r="Y149" s="986" t="s">
        <v>172</v>
      </c>
      <c r="Z149" s="987"/>
      <c r="AA149" s="987"/>
      <c r="AB149" s="988"/>
      <c r="AD149" s="986" t="s">
        <v>205</v>
      </c>
      <c r="AE149" s="987"/>
      <c r="AF149" s="987"/>
      <c r="AG149" s="988"/>
      <c r="AH149" s="951"/>
      <c r="AI149" s="296"/>
    </row>
    <row r="150">
      <c r="A150" s="312"/>
      <c r="B150" s="939"/>
      <c r="C150" s="989"/>
      <c r="D150" s="966"/>
      <c r="E150" s="990" t="s">
        <v>358</v>
      </c>
      <c r="F150" s="962"/>
      <c r="G150" s="962"/>
      <c r="H150" s="963"/>
      <c r="J150" s="990" t="s">
        <v>301</v>
      </c>
      <c r="K150" s="962"/>
      <c r="L150" s="962"/>
      <c r="M150" s="963"/>
      <c r="O150" s="990" t="s">
        <v>359</v>
      </c>
      <c r="P150" s="962"/>
      <c r="Q150" s="962"/>
      <c r="R150" s="963"/>
      <c r="T150" s="990" t="s">
        <v>360</v>
      </c>
      <c r="U150" s="962"/>
      <c r="V150" s="962"/>
      <c r="W150" s="963"/>
      <c r="Y150" s="990" t="s">
        <v>361</v>
      </c>
      <c r="Z150" s="962"/>
      <c r="AA150" s="962"/>
      <c r="AB150" s="963"/>
      <c r="AD150" s="990" t="s">
        <v>362</v>
      </c>
      <c r="AE150" s="962"/>
      <c r="AF150" s="962"/>
      <c r="AG150" s="963"/>
      <c r="AH150" s="951"/>
      <c r="AI150" s="296"/>
    </row>
    <row r="151" ht="20.25" customHeight="1">
      <c r="A151" s="312"/>
      <c r="B151" s="939"/>
      <c r="C151" s="977"/>
      <c r="D151" s="966"/>
      <c r="E151" s="991" t="s">
        <v>240</v>
      </c>
      <c r="F151" s="943"/>
      <c r="G151" s="944"/>
      <c r="H151" s="992" t="str">
        <f>IMAGE("https://raw.githubusercontent.com/msikma/pokesprite/master/items/hold-item/focus-sash.png",3)</f>
        <v/>
      </c>
      <c r="J151" s="991" t="s">
        <v>272</v>
      </c>
      <c r="K151" s="943"/>
      <c r="L151" s="944"/>
      <c r="M151" s="992" t="str">
        <f>IMAGE("https://raw.githubusercontent.com/msikma/pokesprite/master/items/hold-item/life-orb.png",3)</f>
        <v/>
      </c>
      <c r="O151" s="991" t="s">
        <v>363</v>
      </c>
      <c r="P151" s="943"/>
      <c r="Q151" s="944"/>
      <c r="R151" s="992" t="str">
        <f>IMAGE("https://raw.githubusercontent.com/msikma/pokesprite/master/items/berry/lum.png",3)</f>
        <v/>
      </c>
      <c r="T151" s="991" t="s">
        <v>364</v>
      </c>
      <c r="U151" s="943"/>
      <c r="V151" s="944"/>
      <c r="W151" s="992" t="str">
        <f>IMAGE("https://raw.githubusercontent.com/msikma/pokesprite/master/items/hold-item/heavy-duty-boots.png",3)</f>
        <v/>
      </c>
      <c r="Y151" s="991" t="s">
        <v>365</v>
      </c>
      <c r="Z151" s="943"/>
      <c r="AA151" s="944"/>
      <c r="AB151" s="992" t="str">
        <f>IMAGE("https://i.ibb.co/dJYFB5S/hearthflame.png",4,28,28)</f>
        <v/>
      </c>
      <c r="AD151" s="991" t="s">
        <v>366</v>
      </c>
      <c r="AE151" s="943"/>
      <c r="AF151" s="944"/>
      <c r="AG151" s="992" t="str">
        <f>IMAGE("https://raw.githubusercontent.com/msikma/pokesprite/master/items/mega-stone/charizardite-y.png",3)</f>
        <v/>
      </c>
      <c r="AH151" s="951"/>
      <c r="AI151" s="296"/>
    </row>
    <row r="152" ht="20.25" customHeight="1">
      <c r="A152" s="312"/>
      <c r="B152" s="939"/>
      <c r="C152" s="985"/>
      <c r="D152" s="966"/>
      <c r="E152" s="986" t="s">
        <v>367</v>
      </c>
      <c r="F152" s="987"/>
      <c r="G152" s="987"/>
      <c r="H152" s="993" t="str">
        <f>IMAGE("https://raw.githubusercontent.com/msikma/pokesprite/master/misc/types/gen8/fire.png",4,20,20)</f>
        <v/>
      </c>
      <c r="J152" s="986" t="s">
        <v>368</v>
      </c>
      <c r="K152" s="987"/>
      <c r="L152" s="987"/>
      <c r="M152" s="993" t="str">
        <f t="shared" ref="M152:M153" si="7">IMAGE("https://raw.githubusercontent.com/msikma/pokesprite/master/misc/types/gen8/bug.png",4,20,20)</f>
        <v/>
      </c>
      <c r="O152" s="986" t="s">
        <v>369</v>
      </c>
      <c r="P152" s="987"/>
      <c r="Q152" s="987"/>
      <c r="R152" s="993" t="str">
        <f>IMAGE("https://raw.githubusercontent.com/msikma/pokesprite/master/misc/types/gen8/normal.png",4,20,20)</f>
        <v/>
      </c>
      <c r="T152" s="986" t="s">
        <v>370</v>
      </c>
      <c r="U152" s="987"/>
      <c r="V152" s="987"/>
      <c r="W152" s="993" t="str">
        <f t="shared" ref="W152:W153" si="8">IMAGE("https://raw.githubusercontent.com/msikma/pokesprite/master/misc/types/gen8/fire.png",4,20,20)</f>
        <v/>
      </c>
      <c r="Y152" s="986" t="s">
        <v>371</v>
      </c>
      <c r="Z152" s="987"/>
      <c r="AA152" s="987"/>
      <c r="AB152" s="993" t="str">
        <f>IMAGE("https://raw.githubusercontent.com/msikma/pokesprite/master/misc/types/gen8/fire.png",4,20,20)</f>
        <v/>
      </c>
      <c r="AD152" s="986" t="s">
        <v>372</v>
      </c>
      <c r="AE152" s="987"/>
      <c r="AF152" s="987"/>
      <c r="AG152" s="993" t="str">
        <f>IMAGE("https://raw.githubusercontent.com/msikma/pokesprite/master/misc/types/gen8/fire.png",4,20,20)</f>
        <v/>
      </c>
      <c r="AH152" s="951"/>
      <c r="AI152" s="296"/>
    </row>
    <row r="153" ht="20.25" customHeight="1">
      <c r="A153" s="312"/>
      <c r="B153" s="939"/>
      <c r="C153" s="994"/>
      <c r="D153" s="966"/>
      <c r="E153" s="990" t="s">
        <v>217</v>
      </c>
      <c r="F153" s="962"/>
      <c r="G153" s="962"/>
      <c r="H153" s="995" t="str">
        <f>IMAGE("https://raw.githubusercontent.com/msikma/pokesprite/master/misc/types/gen8/psychic.png",4,20,20)</f>
        <v/>
      </c>
      <c r="J153" s="990" t="s">
        <v>278</v>
      </c>
      <c r="K153" s="962"/>
      <c r="L153" s="962"/>
      <c r="M153" s="995" t="str">
        <f t="shared" si="7"/>
        <v/>
      </c>
      <c r="O153" s="990" t="s">
        <v>275</v>
      </c>
      <c r="P153" s="962"/>
      <c r="Q153" s="962"/>
      <c r="R153" s="995" t="str">
        <f>IMAGE("https://raw.githubusercontent.com/msikma/pokesprite/master/misc/types/gen8/grass.png",4,20,20)</f>
        <v/>
      </c>
      <c r="T153" s="990" t="s">
        <v>372</v>
      </c>
      <c r="U153" s="962"/>
      <c r="V153" s="962"/>
      <c r="W153" s="995" t="str">
        <f t="shared" si="8"/>
        <v/>
      </c>
      <c r="Y153" s="990" t="s">
        <v>373</v>
      </c>
      <c r="Z153" s="962"/>
      <c r="AA153" s="962"/>
      <c r="AB153" s="995" t="str">
        <f>IMAGE("https://raw.githubusercontent.com/msikma/pokesprite/master/misc/types/gen8/grass.png",4,20,20)</f>
        <v/>
      </c>
      <c r="AD153" s="990" t="s">
        <v>374</v>
      </c>
      <c r="AE153" s="962"/>
      <c r="AF153" s="962"/>
      <c r="AG153" s="995" t="str">
        <f>IMAGE("https://raw.githubusercontent.com/msikma/pokesprite/master/misc/types/gen8/flying.png",4,20,20)</f>
        <v/>
      </c>
      <c r="AH153" s="951"/>
      <c r="AI153" s="296"/>
    </row>
    <row r="154" ht="20.25" customHeight="1">
      <c r="A154" s="312"/>
      <c r="B154" s="939"/>
      <c r="C154" s="994"/>
      <c r="D154" s="966"/>
      <c r="E154" s="990" t="s">
        <v>375</v>
      </c>
      <c r="F154" s="962"/>
      <c r="G154" s="962"/>
      <c r="H154" s="995" t="str">
        <f>IMAGE("https://raw.githubusercontent.com/msikma/pokesprite/master/misc/types/gen8/fighting.png",4,20,20)</f>
        <v/>
      </c>
      <c r="J154" s="990" t="s">
        <v>316</v>
      </c>
      <c r="K154" s="962"/>
      <c r="L154" s="962"/>
      <c r="M154" s="995" t="str">
        <f>IMAGE("https://raw.githubusercontent.com/msikma/pokesprite/master/misc/types/gen8/fighting.png",4,20,20)</f>
        <v/>
      </c>
      <c r="O154" s="990" t="s">
        <v>217</v>
      </c>
      <c r="P154" s="962"/>
      <c r="Q154" s="962"/>
      <c r="R154" s="995" t="str">
        <f>IMAGE("https://raw.githubusercontent.com/msikma/pokesprite/master/misc/types/gen8/psychic.png",4,20,20)</f>
        <v/>
      </c>
      <c r="T154" s="990" t="s">
        <v>223</v>
      </c>
      <c r="U154" s="962"/>
      <c r="V154" s="962"/>
      <c r="W154" s="995" t="str">
        <f>IMAGE("https://raw.githubusercontent.com/msikma/pokesprite/master/misc/types/gen8/grass.png",4,20,20)</f>
        <v/>
      </c>
      <c r="Y154" s="990" t="s">
        <v>279</v>
      </c>
      <c r="Z154" s="962"/>
      <c r="AA154" s="962"/>
      <c r="AB154" s="995" t="str">
        <f>IMAGE("https://raw.githubusercontent.com/msikma/pokesprite/master/misc/types/gen8/dark.png",4,20,20)</f>
        <v/>
      </c>
      <c r="AD154" s="990" t="s">
        <v>376</v>
      </c>
      <c r="AE154" s="962"/>
      <c r="AF154" s="962"/>
      <c r="AG154" s="995" t="str">
        <f>IMAGE("https://raw.githubusercontent.com/msikma/pokesprite/master/misc/types/gen8/grass.png",4,20,20)</f>
        <v/>
      </c>
      <c r="AH154" s="951"/>
      <c r="AI154" s="296"/>
    </row>
    <row r="155" ht="21.0" customHeight="1">
      <c r="A155" s="312"/>
      <c r="B155" s="939"/>
      <c r="C155" s="994"/>
      <c r="D155" s="966"/>
      <c r="E155" s="996" t="s">
        <v>377</v>
      </c>
      <c r="F155" s="997"/>
      <c r="G155" s="997"/>
      <c r="H155" s="998" t="str">
        <f>IMAGE("https://raw.githubusercontent.com/msikma/pokesprite/master/misc/types/gen8/grass.png",4,20,20)</f>
        <v/>
      </c>
      <c r="I155" s="956"/>
      <c r="J155" s="996" t="s">
        <v>378</v>
      </c>
      <c r="K155" s="997"/>
      <c r="L155" s="997"/>
      <c r="M155" s="998" t="str">
        <f>IMAGE("https://raw.githubusercontent.com/msikma/pokesprite/master/misc/types/gen8/fire.png",4,20,20)</f>
        <v/>
      </c>
      <c r="N155" s="956"/>
      <c r="O155" s="996" t="s">
        <v>379</v>
      </c>
      <c r="P155" s="997"/>
      <c r="Q155" s="997"/>
      <c r="R155" s="998" t="str">
        <f>IMAGE("https://raw.githubusercontent.com/msikma/pokesprite/master/misc/types/gen8/fire.png",4,20,20)</f>
        <v/>
      </c>
      <c r="S155" s="956"/>
      <c r="T155" s="996" t="s">
        <v>344</v>
      </c>
      <c r="U155" s="997"/>
      <c r="V155" s="997"/>
      <c r="W155" s="998" t="str">
        <f>IMAGE("https://raw.githubusercontent.com/msikma/pokesprite/master/misc/types/gen8/fighting.png",4,20,20)</f>
        <v/>
      </c>
      <c r="X155" s="956"/>
      <c r="Y155" s="996" t="s">
        <v>278</v>
      </c>
      <c r="Z155" s="997"/>
      <c r="AA155" s="997"/>
      <c r="AB155" s="998" t="str">
        <f>IMAGE("https://raw.githubusercontent.com/msikma/pokesprite/master/misc/types/gen8/bug.png",4,20,20)</f>
        <v/>
      </c>
      <c r="AC155" s="956"/>
      <c r="AD155" s="996" t="s">
        <v>380</v>
      </c>
      <c r="AE155" s="997"/>
      <c r="AF155" s="997"/>
      <c r="AG155" s="998" t="str">
        <f>IMAGE("https://raw.githubusercontent.com/msikma/pokesprite/master/misc/types/gen8/dragon.png",4,20,20)</f>
        <v/>
      </c>
      <c r="AH155" s="951"/>
      <c r="AI155" s="296"/>
    </row>
    <row r="156" ht="3.0" customHeight="1">
      <c r="A156" s="343"/>
      <c r="B156" s="939"/>
      <c r="C156" s="999"/>
      <c r="D156" s="1000"/>
      <c r="E156" s="1001"/>
      <c r="F156" s="1001"/>
      <c r="G156" s="1001"/>
      <c r="H156" s="1001"/>
      <c r="I156" s="1002"/>
      <c r="J156" s="1001"/>
      <c r="K156" s="1001"/>
      <c r="L156" s="1001"/>
      <c r="M156" s="1001"/>
      <c r="N156" s="1002"/>
      <c r="O156" s="1001"/>
      <c r="P156" s="1001"/>
      <c r="Q156" s="1001"/>
      <c r="R156" s="1001"/>
      <c r="S156" s="1002"/>
      <c r="T156" s="1001"/>
      <c r="U156" s="1001"/>
      <c r="V156" s="1001"/>
      <c r="W156" s="1001"/>
      <c r="X156" s="1002"/>
      <c r="Y156" s="1003"/>
      <c r="Z156" s="1004"/>
      <c r="AA156" s="1004"/>
      <c r="AB156" s="1005"/>
      <c r="AC156" s="1002"/>
      <c r="AD156" s="1005"/>
      <c r="AE156" s="1005"/>
      <c r="AF156" s="1005"/>
      <c r="AG156" s="1005"/>
      <c r="AH156" s="951"/>
      <c r="AI156" s="296"/>
    </row>
    <row r="157" ht="15.75" customHeight="1">
      <c r="A157" s="312"/>
      <c r="B157" s="1006"/>
      <c r="C157" s="999"/>
      <c r="D157" s="1007"/>
      <c r="E157" s="1008" t="s">
        <v>190</v>
      </c>
      <c r="F157" s="381"/>
      <c r="G157" s="382"/>
      <c r="H157" s="1009" t="s">
        <v>191</v>
      </c>
      <c r="I157" s="1010"/>
      <c r="J157" s="1008" t="s">
        <v>190</v>
      </c>
      <c r="K157" s="381"/>
      <c r="L157" s="382"/>
      <c r="M157" s="1009" t="s">
        <v>191</v>
      </c>
      <c r="N157" s="1010"/>
      <c r="O157" s="1008" t="s">
        <v>190</v>
      </c>
      <c r="P157" s="381"/>
      <c r="Q157" s="382"/>
      <c r="R157" s="1009" t="s">
        <v>191</v>
      </c>
      <c r="S157" s="1010"/>
      <c r="T157" s="1008" t="s">
        <v>190</v>
      </c>
      <c r="U157" s="381"/>
      <c r="V157" s="382"/>
      <c r="W157" s="1009" t="s">
        <v>191</v>
      </c>
      <c r="X157" s="1010"/>
      <c r="Y157" s="1008" t="s">
        <v>190</v>
      </c>
      <c r="Z157" s="381"/>
      <c r="AA157" s="382"/>
      <c r="AB157" s="1009" t="s">
        <v>191</v>
      </c>
      <c r="AC157" s="1010"/>
      <c r="AD157" s="1008" t="s">
        <v>190</v>
      </c>
      <c r="AE157" s="381"/>
      <c r="AF157" s="382"/>
      <c r="AG157" s="1009" t="s">
        <v>191</v>
      </c>
      <c r="AH157" s="1011"/>
      <c r="AI157" s="389"/>
    </row>
    <row r="158" ht="15.75" customHeight="1">
      <c r="A158" s="312"/>
      <c r="B158" s="1006"/>
      <c r="C158" s="999"/>
      <c r="D158" s="1007"/>
      <c r="E158" s="1012" t="s">
        <v>192</v>
      </c>
      <c r="F158" s="1013">
        <f t="array" ref="F158">IFERROR(VLOOKUP(E145,Dex!$B$3:$N191,8,FALSE),"")</f>
        <v>85</v>
      </c>
      <c r="G158" s="1014" t="str">
        <f t="array" ref="G158">IFERROR(VLOOKUP(F158,Dex!$P$22:$Q$276,2,FALSE),"")</f>
        <v/>
      </c>
      <c r="H158" s="1015"/>
      <c r="I158" s="1016"/>
      <c r="J158" s="1012" t="s">
        <v>192</v>
      </c>
      <c r="K158" s="1013">
        <f t="array" ref="K158">IFERROR(VLOOKUP(J145,Dex!$B$3:$N191,8,FALSE),"")</f>
        <v>85</v>
      </c>
      <c r="L158" s="1014" t="str">
        <f t="array" ref="L158">IFERROR(VLOOKUP(K158,Dex!$P$22:$Q$276,2,FALSE),"")</f>
        <v/>
      </c>
      <c r="M158" s="1015"/>
      <c r="N158" s="1016"/>
      <c r="O158" s="1012" t="s">
        <v>192</v>
      </c>
      <c r="P158" s="1013">
        <f t="array" ref="P158">IFERROR(VLOOKUP(O145,Dex!$B$3:$N191,8,FALSE),"")</f>
        <v>95</v>
      </c>
      <c r="Q158" s="1014" t="str">
        <f t="array" ref="Q158">IFERROR(VLOOKUP(P158,Dex!$P$22:$Q$276,2,FALSE),"")</f>
        <v/>
      </c>
      <c r="R158" s="1015"/>
      <c r="S158" s="1016"/>
      <c r="T158" s="1012" t="s">
        <v>192</v>
      </c>
      <c r="U158" s="1013">
        <f t="array" ref="U158">IFERROR(VLOOKUP(T145,Dex!$B$3:$N191,8,FALSE),"")</f>
        <v>78</v>
      </c>
      <c r="V158" s="1014" t="str">
        <f t="array" ref="V158">IFERROR(VLOOKUP(U158,Dex!$P$22:$Q$276,2,FALSE),"")</f>
        <v/>
      </c>
      <c r="W158" s="1015"/>
      <c r="X158" s="1016"/>
      <c r="Y158" s="1012" t="s">
        <v>192</v>
      </c>
      <c r="Z158" s="1013">
        <f t="array" ref="Z158">IFERROR(VLOOKUP(Y145,Dex!$B$3:$N191,8,FALSE),"")</f>
        <v>80</v>
      </c>
      <c r="AA158" s="1014" t="str">
        <f t="array" ref="AA158">IFERROR(VLOOKUP(Z158,Dex!$P$22:$Q$276,2,FALSE),"")</f>
        <v/>
      </c>
      <c r="AB158" s="1015"/>
      <c r="AC158" s="1016"/>
      <c r="AD158" s="1012" t="s">
        <v>192</v>
      </c>
      <c r="AE158" s="1013">
        <f t="array" ref="AE158">IFERROR(VLOOKUP(AD145,Dex!$B$3:$N191,8,FALSE),"")</f>
        <v>78</v>
      </c>
      <c r="AF158" s="1014" t="str">
        <f t="array" ref="AF158">IFERROR(VLOOKUP(AE158,Dex!$P$22:$Q$276,2,FALSE),"")</f>
        <v/>
      </c>
      <c r="AG158" s="1015"/>
      <c r="AH158" s="1017"/>
      <c r="AI158" s="389"/>
    </row>
    <row r="159" ht="15.75" customHeight="1">
      <c r="A159" s="312"/>
      <c r="B159" s="1006"/>
      <c r="C159" s="999"/>
      <c r="D159" s="1007"/>
      <c r="E159" s="1018" t="s">
        <v>193</v>
      </c>
      <c r="F159" s="1019">
        <f t="array" ref="F159">IFERROR(VLOOKUP(E145,Dex!$B$3:$N191,9,FALSE),"")</f>
        <v>60</v>
      </c>
      <c r="G159" s="1020" t="str">
        <f t="array" ref="G159">IFERROR(VLOOKUP(F159,Dex!$P$22:$Q$276,2,FALSE),"")</f>
        <v/>
      </c>
      <c r="H159" s="1021"/>
      <c r="I159" s="1016"/>
      <c r="J159" s="1018" t="s">
        <v>193</v>
      </c>
      <c r="K159" s="1019">
        <f t="array" ref="K159">IFERROR(VLOOKUP(J145,Dex!$B$3:$N191,9,FALSE),"")</f>
        <v>135</v>
      </c>
      <c r="L159" s="1020" t="str">
        <f t="array" ref="L159">IFERROR(VLOOKUP(K159,Dex!$P$22:$Q$276,2,FALSE),"")</f>
        <v/>
      </c>
      <c r="M159" s="1021">
        <v>252.0</v>
      </c>
      <c r="N159" s="1016"/>
      <c r="O159" s="1018" t="s">
        <v>193</v>
      </c>
      <c r="P159" s="1019">
        <f t="array" ref="P159">IFERROR(VLOOKUP(O145,Dex!$B$3:$N191,9,FALSE),"")</f>
        <v>95</v>
      </c>
      <c r="Q159" s="1020" t="str">
        <f t="array" ref="Q159">IFERROR(VLOOKUP(P159,Dex!$P$22:$Q$276,2,FALSE),"")</f>
        <v/>
      </c>
      <c r="R159" s="1021"/>
      <c r="S159" s="1016"/>
      <c r="T159" s="1018" t="s">
        <v>193</v>
      </c>
      <c r="U159" s="1019">
        <f t="array" ref="U159">IFERROR(VLOOKUP(T145,Dex!$B$3:$N191,9,FALSE),"")</f>
        <v>84</v>
      </c>
      <c r="V159" s="1020" t="str">
        <f t="array" ref="V159">IFERROR(VLOOKUP(U159,Dex!$P$22:$Q$276,2,FALSE),"")</f>
        <v/>
      </c>
      <c r="W159" s="1021"/>
      <c r="X159" s="1016"/>
      <c r="Y159" s="1018" t="s">
        <v>193</v>
      </c>
      <c r="Z159" s="1019">
        <f t="array" ref="Z159">IFERROR(VLOOKUP(Y145,Dex!$B$3:$N191,9,FALSE),"")</f>
        <v>120</v>
      </c>
      <c r="AA159" s="1020" t="str">
        <f t="array" ref="AA159">IFERROR(VLOOKUP(Z159,Dex!$P$22:$Q$276,2,FALSE),"")</f>
        <v/>
      </c>
      <c r="AB159" s="1021">
        <v>252.0</v>
      </c>
      <c r="AC159" s="1016"/>
      <c r="AD159" s="1018" t="s">
        <v>193</v>
      </c>
      <c r="AE159" s="1019">
        <f t="array" ref="AE159">IFERROR(VLOOKUP(AD145,Dex!$B$3:$N191,9,FALSE),"")</f>
        <v>104</v>
      </c>
      <c r="AF159" s="1020" t="str">
        <f t="array" ref="AF159">IFERROR(VLOOKUP(AE159,Dex!$P$22:$Q$276,2,FALSE),"")</f>
        <v/>
      </c>
      <c r="AG159" s="1021"/>
      <c r="AH159" s="1017"/>
      <c r="AI159" s="389"/>
    </row>
    <row r="160" ht="15.75" customHeight="1">
      <c r="A160" s="312"/>
      <c r="B160" s="1006"/>
      <c r="C160" s="999"/>
      <c r="D160" s="1007"/>
      <c r="E160" s="1018" t="s">
        <v>194</v>
      </c>
      <c r="F160" s="1019">
        <f t="array" ref="F160">IFERROR(VLOOKUP(E145,Dex!$B$3:$N191,10,FALSE),"")</f>
        <v>100</v>
      </c>
      <c r="G160" s="1020" t="str">
        <f t="array" ref="G160">IFERROR(VLOOKUP(F160,Dex!$P$22:$Q$276,2,FALSE),"")</f>
        <v/>
      </c>
      <c r="H160" s="1021">
        <v>4.0</v>
      </c>
      <c r="I160" s="1016"/>
      <c r="J160" s="1018" t="s">
        <v>194</v>
      </c>
      <c r="K160" s="1019">
        <f t="array" ref="K160">IFERROR(VLOOKUP(J145,Dex!$B$3:$N191,10,FALSE),"")</f>
        <v>79</v>
      </c>
      <c r="L160" s="1020" t="str">
        <f t="array" ref="L160">IFERROR(VLOOKUP(K160,Dex!$P$22:$Q$276,2,FALSE),"")</f>
        <v/>
      </c>
      <c r="M160" s="1021">
        <v>4.0</v>
      </c>
      <c r="N160" s="1016"/>
      <c r="O160" s="1018" t="s">
        <v>194</v>
      </c>
      <c r="P160" s="1019">
        <f t="array" ref="P160">IFERROR(VLOOKUP(O145,Dex!$B$3:$N191,10,FALSE),"")</f>
        <v>85</v>
      </c>
      <c r="Q160" s="1020" t="str">
        <f t="array" ref="Q160">IFERROR(VLOOKUP(P160,Dex!$P$22:$Q$276,2,FALSE),"")</f>
        <v/>
      </c>
      <c r="R160" s="1021">
        <v>4.0</v>
      </c>
      <c r="S160" s="1016"/>
      <c r="T160" s="1018" t="s">
        <v>194</v>
      </c>
      <c r="U160" s="1019">
        <f t="array" ref="U160">IFERROR(VLOOKUP(T145,Dex!$B$3:$N191,10,FALSE),"")</f>
        <v>78</v>
      </c>
      <c r="V160" s="1020" t="str">
        <f t="array" ref="V160">IFERROR(VLOOKUP(U160,Dex!$P$22:$Q$276,2,FALSE),"")</f>
        <v/>
      </c>
      <c r="W160" s="1021">
        <v>4.0</v>
      </c>
      <c r="X160" s="1016"/>
      <c r="Y160" s="1018" t="s">
        <v>194</v>
      </c>
      <c r="Z160" s="1019">
        <f t="array" ref="Z160">IFERROR(VLOOKUP(Y145,Dex!$B$3:$N191,10,FALSE),"")</f>
        <v>84</v>
      </c>
      <c r="AA160" s="1020" t="str">
        <f t="array" ref="AA160">IFERROR(VLOOKUP(Z160,Dex!$P$22:$Q$276,2,FALSE),"")</f>
        <v/>
      </c>
      <c r="AB160" s="1021">
        <v>4.0</v>
      </c>
      <c r="AC160" s="1016"/>
      <c r="AD160" s="1018" t="s">
        <v>194</v>
      </c>
      <c r="AE160" s="1019">
        <f t="array" ref="AE160">IFERROR(VLOOKUP(AD145,Dex!$B$3:$N191,10,FALSE),"")</f>
        <v>78</v>
      </c>
      <c r="AF160" s="1020" t="str">
        <f t="array" ref="AF160">IFERROR(VLOOKUP(AE160,Dex!$P$22:$Q$276,2,FALSE),"")</f>
        <v/>
      </c>
      <c r="AG160" s="1021">
        <v>4.0</v>
      </c>
      <c r="AH160" s="1017"/>
      <c r="AI160" s="389"/>
    </row>
    <row r="161" ht="15.75" customHeight="1">
      <c r="A161" s="312"/>
      <c r="B161" s="1006"/>
      <c r="C161" s="999"/>
      <c r="D161" s="1007"/>
      <c r="E161" s="1018" t="s">
        <v>195</v>
      </c>
      <c r="F161" s="1019">
        <f t="array" ref="F161">IFERROR(VLOOKUP(E145,Dex!$B$3:$N191,11,FALSE),"")</f>
        <v>125</v>
      </c>
      <c r="G161" s="1020" t="str">
        <f t="array" ref="G161">IFERROR(VLOOKUP(F161,Dex!$P$22:$Q$276,2,FALSE),"")</f>
        <v/>
      </c>
      <c r="H161" s="1021">
        <v>252.0</v>
      </c>
      <c r="I161" s="1016"/>
      <c r="J161" s="1018" t="s">
        <v>195</v>
      </c>
      <c r="K161" s="1019">
        <f t="array" ref="K161">IFERROR(VLOOKUP(J145,Dex!$B$3:$N191,11,FALSE),"")</f>
        <v>85</v>
      </c>
      <c r="L161" s="1020" t="str">
        <f t="array" ref="L161">IFERROR(VLOOKUP(K161,Dex!$P$22:$Q$276,2,FALSE),"")</f>
        <v/>
      </c>
      <c r="M161" s="1021"/>
      <c r="N161" s="1016"/>
      <c r="O161" s="1018" t="s">
        <v>195</v>
      </c>
      <c r="P161" s="1019">
        <f t="array" ref="P161">IFERROR(VLOOKUP(O145,Dex!$B$3:$N191,11,FALSE),"")</f>
        <v>125</v>
      </c>
      <c r="Q161" s="1020" t="str">
        <f t="array" ref="Q161">IFERROR(VLOOKUP(P161,Dex!$P$22:$Q$276,2,FALSE),"")</f>
        <v/>
      </c>
      <c r="R161" s="1021">
        <v>252.0</v>
      </c>
      <c r="S161" s="1016"/>
      <c r="T161" s="1018" t="s">
        <v>195</v>
      </c>
      <c r="U161" s="1019">
        <f t="array" ref="U161">IFERROR(VLOOKUP(T145,Dex!$B$3:$N191,11,FALSE),"")</f>
        <v>109</v>
      </c>
      <c r="V161" s="1020" t="str">
        <f t="array" ref="V161">IFERROR(VLOOKUP(U161,Dex!$P$22:$Q$276,2,FALSE),"")</f>
        <v/>
      </c>
      <c r="W161" s="1021">
        <v>252.0</v>
      </c>
      <c r="X161" s="1016"/>
      <c r="Y161" s="1018" t="s">
        <v>195</v>
      </c>
      <c r="Z161" s="1019">
        <f t="array" ref="Z161">IFERROR(VLOOKUP(Y145,Dex!$B$3:$N191,11,FALSE),"")</f>
        <v>60</v>
      </c>
      <c r="AA161" s="1020" t="str">
        <f t="array" ref="AA161">IFERROR(VLOOKUP(Z161,Dex!$P$22:$Q$276,2,FALSE),"")</f>
        <v/>
      </c>
      <c r="AB161" s="1021"/>
      <c r="AC161" s="1016"/>
      <c r="AD161" s="1018" t="s">
        <v>195</v>
      </c>
      <c r="AE161" s="1019">
        <f t="array" ref="AE161">IFERROR(VLOOKUP(AD145,Dex!$B$3:$N191,11,FALSE),"")</f>
        <v>159</v>
      </c>
      <c r="AF161" s="1020" t="str">
        <f t="array" ref="AF161">IFERROR(VLOOKUP(AE161,Dex!$P$22:$Q$276,2,FALSE),"")</f>
        <v/>
      </c>
      <c r="AG161" s="1021">
        <v>252.0</v>
      </c>
      <c r="AH161" s="1017"/>
      <c r="AI161" s="389"/>
    </row>
    <row r="162" ht="15.75" customHeight="1">
      <c r="A162" s="312"/>
      <c r="B162" s="1006"/>
      <c r="C162" s="999"/>
      <c r="D162" s="1007"/>
      <c r="E162" s="1018" t="s">
        <v>196</v>
      </c>
      <c r="F162" s="1019">
        <f t="array" ref="F162">IFERROR(VLOOKUP(E145,Dex!$B$3:$N191,12,FALSE),"")</f>
        <v>80</v>
      </c>
      <c r="G162" s="1020" t="str">
        <f t="array" ref="G162">IFERROR(VLOOKUP(F162,Dex!$P$22:$Q$276,2,FALSE),"")</f>
        <v/>
      </c>
      <c r="H162" s="1021"/>
      <c r="I162" s="1016"/>
      <c r="J162" s="1018" t="s">
        <v>196</v>
      </c>
      <c r="K162" s="1019">
        <f t="array" ref="K162">IFERROR(VLOOKUP(J145,Dex!$B$3:$N191,12,FALSE),"")</f>
        <v>105</v>
      </c>
      <c r="L162" s="1020" t="str">
        <f t="array" ref="L162">IFERROR(VLOOKUP(K162,Dex!$P$22:$Q$276,2,FALSE),"")</f>
        <v/>
      </c>
      <c r="M162" s="1021"/>
      <c r="N162" s="1016"/>
      <c r="O162" s="1018" t="s">
        <v>196</v>
      </c>
      <c r="P162" s="1019">
        <f t="array" ref="P162">IFERROR(VLOOKUP(O145,Dex!$B$3:$N191,12,FALSE),"")</f>
        <v>75</v>
      </c>
      <c r="Q162" s="1020" t="str">
        <f t="array" ref="Q162">IFERROR(VLOOKUP(P162,Dex!$P$22:$Q$276,2,FALSE),"")</f>
        <v/>
      </c>
      <c r="R162" s="1021"/>
      <c r="S162" s="1016"/>
      <c r="T162" s="1018" t="s">
        <v>196</v>
      </c>
      <c r="U162" s="1019">
        <f t="array" ref="U162">IFERROR(VLOOKUP(T145,Dex!$B$3:$N191,12,FALSE),"")</f>
        <v>85</v>
      </c>
      <c r="V162" s="1020" t="str">
        <f t="array" ref="V162">IFERROR(VLOOKUP(U162,Dex!$P$22:$Q$276,2,FALSE),"")</f>
        <v/>
      </c>
      <c r="W162" s="1021"/>
      <c r="X162" s="1016"/>
      <c r="Y162" s="1018" t="s">
        <v>196</v>
      </c>
      <c r="Z162" s="1019">
        <f t="array" ref="Z162">IFERROR(VLOOKUP(Y145,Dex!$B$3:$N191,12,FALSE),"")</f>
        <v>96</v>
      </c>
      <c r="AA162" s="1020" t="str">
        <f t="array" ref="AA162">IFERROR(VLOOKUP(Z162,Dex!$P$22:$Q$276,2,FALSE),"")</f>
        <v/>
      </c>
      <c r="AB162" s="1021"/>
      <c r="AC162" s="1016"/>
      <c r="AD162" s="1018" t="s">
        <v>196</v>
      </c>
      <c r="AE162" s="1019">
        <f t="array" ref="AE162">IFERROR(VLOOKUP(AD145,Dex!$B$3:$N191,12,FALSE),"")</f>
        <v>115</v>
      </c>
      <c r="AF162" s="1020" t="str">
        <f t="array" ref="AF162">IFERROR(VLOOKUP(AE162,Dex!$P$22:$Q$276,2,FALSE),"")</f>
        <v/>
      </c>
      <c r="AG162" s="1021"/>
      <c r="AH162" s="1017"/>
      <c r="AI162" s="389"/>
    </row>
    <row r="163" ht="15.75" customHeight="1">
      <c r="A163" s="312"/>
      <c r="B163" s="1006"/>
      <c r="C163" s="999"/>
      <c r="D163" s="1007"/>
      <c r="E163" s="1022" t="s">
        <v>197</v>
      </c>
      <c r="F163" s="1023">
        <f t="array" ref="F163">IFERROR(VLOOKUP(E145,Dex!$B$3:$N191,13,FALSE),"")</f>
        <v>75</v>
      </c>
      <c r="G163" s="1024" t="str">
        <f t="array" ref="G163">IFERROR(VLOOKUP(F163,Dex!$P$22:$Q$276,2,FALSE),"")</f>
        <v/>
      </c>
      <c r="H163" s="1025">
        <v>252.0</v>
      </c>
      <c r="I163" s="1016"/>
      <c r="J163" s="1022" t="s">
        <v>197</v>
      </c>
      <c r="K163" s="1023">
        <f t="array" ref="K163">IFERROR(VLOOKUP(J145,Dex!$B$3:$N191,13,FALSE),"")</f>
        <v>81</v>
      </c>
      <c r="L163" s="1024" t="str">
        <f t="array" ref="L163">IFERROR(VLOOKUP(K163,Dex!$P$22:$Q$276,2,FALSE),"")</f>
        <v/>
      </c>
      <c r="M163" s="1025">
        <v>252.0</v>
      </c>
      <c r="N163" s="1016"/>
      <c r="O163" s="1022" t="s">
        <v>197</v>
      </c>
      <c r="P163" s="1023">
        <f t="array" ref="P163">IFERROR(VLOOKUP(O145,Dex!$B$3:$N191,13,FALSE),"")</f>
        <v>55</v>
      </c>
      <c r="Q163" s="1024" t="str">
        <f t="array" ref="Q163">IFERROR(VLOOKUP(P163,Dex!$P$22:$Q$276,2,FALSE),"")</f>
        <v/>
      </c>
      <c r="R163" s="1025">
        <v>252.0</v>
      </c>
      <c r="S163" s="1016"/>
      <c r="T163" s="1022" t="s">
        <v>197</v>
      </c>
      <c r="U163" s="1023">
        <f t="array" ref="U163">IFERROR(VLOOKUP(T145,Dex!$B$3:$N191,13,FALSE),"")</f>
        <v>100</v>
      </c>
      <c r="V163" s="1024" t="str">
        <f t="array" ref="V163">IFERROR(VLOOKUP(U163,Dex!$P$22:$Q$276,2,FALSE),"")</f>
        <v/>
      </c>
      <c r="W163" s="1025">
        <v>252.0</v>
      </c>
      <c r="X163" s="1016"/>
      <c r="Y163" s="1022" t="s">
        <v>197</v>
      </c>
      <c r="Z163" s="1023">
        <f t="array" ref="Z163">IFERROR(VLOOKUP(Y145,Dex!$B$3:$N191,13,FALSE),"")</f>
        <v>110</v>
      </c>
      <c r="AA163" s="1024" t="str">
        <f t="array" ref="AA163">IFERROR(VLOOKUP(Z163,Dex!$P$22:$Q$276,2,FALSE),"")</f>
        <v/>
      </c>
      <c r="AB163" s="1025">
        <v>252.0</v>
      </c>
      <c r="AC163" s="1016"/>
      <c r="AD163" s="1022" t="s">
        <v>197</v>
      </c>
      <c r="AE163" s="1023">
        <f t="array" ref="AE163">IFERROR(VLOOKUP(AD145,Dex!$B$3:$N191,13,FALSE),"")</f>
        <v>100</v>
      </c>
      <c r="AF163" s="1024" t="str">
        <f t="array" ref="AF163">IFERROR(VLOOKUP(AE163,Dex!$P$22:$Q$276,2,FALSE),"")</f>
        <v/>
      </c>
      <c r="AG163" s="1025">
        <v>252.0</v>
      </c>
      <c r="AH163" s="1017"/>
      <c r="AI163" s="389"/>
    </row>
    <row r="164" ht="15.75" customHeight="1">
      <c r="A164" s="312"/>
      <c r="B164" s="1006"/>
      <c r="C164" s="999"/>
      <c r="D164" s="1007"/>
      <c r="E164" s="1026" t="s">
        <v>198</v>
      </c>
      <c r="F164" s="405"/>
      <c r="G164" s="406"/>
      <c r="H164" s="1027">
        <v>206.0</v>
      </c>
      <c r="I164" s="1010"/>
      <c r="J164" s="1026" t="s">
        <v>198</v>
      </c>
      <c r="K164" s="405"/>
      <c r="L164" s="406"/>
      <c r="M164" s="1027">
        <v>218.0</v>
      </c>
      <c r="N164" s="1010"/>
      <c r="O164" s="1028" t="s">
        <v>198</v>
      </c>
      <c r="P164" s="918"/>
      <c r="Q164" s="919"/>
      <c r="R164" s="1029">
        <v>176.0</v>
      </c>
      <c r="S164" s="1010"/>
      <c r="T164" s="1026" t="s">
        <v>198</v>
      </c>
      <c r="U164" s="405"/>
      <c r="V164" s="406"/>
      <c r="W164" s="1027">
        <v>228.0</v>
      </c>
      <c r="X164" s="1010"/>
      <c r="Y164" s="1026" t="s">
        <v>198</v>
      </c>
      <c r="Z164" s="405"/>
      <c r="AA164" s="406"/>
      <c r="AB164" s="1027">
        <v>267.0</v>
      </c>
      <c r="AC164" s="1010"/>
      <c r="AD164" s="1026" t="s">
        <v>198</v>
      </c>
      <c r="AE164" s="405"/>
      <c r="AF164" s="406"/>
      <c r="AG164" s="1027">
        <v>250.0</v>
      </c>
      <c r="AH164" s="1011"/>
      <c r="AI164" s="389"/>
    </row>
    <row r="165" ht="15.75" customHeight="1">
      <c r="A165" s="312"/>
      <c r="B165" s="1006"/>
      <c r="C165" s="999"/>
      <c r="D165" s="1007"/>
      <c r="E165" s="1030"/>
      <c r="F165" s="1030"/>
      <c r="G165" s="1030"/>
      <c r="H165" s="1030"/>
      <c r="I165" s="1010"/>
      <c r="J165" s="1031"/>
      <c r="K165" s="1031"/>
      <c r="L165" s="1031"/>
      <c r="M165" s="1030"/>
      <c r="N165" s="1010"/>
      <c r="O165" s="1032" t="s">
        <v>381</v>
      </c>
      <c r="P165" s="925"/>
      <c r="Q165" s="926"/>
      <c r="R165" s="1033">
        <v>352.0</v>
      </c>
      <c r="S165" s="1010"/>
      <c r="T165" s="1031"/>
      <c r="U165" s="1031"/>
      <c r="V165" s="1031"/>
      <c r="W165" s="1030"/>
      <c r="X165" s="1010"/>
      <c r="Y165" s="1031"/>
      <c r="Z165" s="1031"/>
      <c r="AA165" s="1031"/>
      <c r="AB165" s="1030"/>
      <c r="AC165" s="1010"/>
      <c r="AD165" s="1031"/>
      <c r="AE165" s="1031"/>
      <c r="AF165" s="1031"/>
      <c r="AG165" s="1030"/>
      <c r="AH165" s="1011"/>
      <c r="AI165" s="389"/>
    </row>
    <row r="166" ht="15.0" customHeight="1">
      <c r="A166" s="290"/>
      <c r="B166" s="1034"/>
      <c r="C166" s="1035"/>
      <c r="D166" s="1036"/>
      <c r="E166" s="1036"/>
      <c r="F166" s="1036"/>
      <c r="G166" s="1036"/>
      <c r="H166" s="1036"/>
      <c r="I166" s="1036"/>
      <c r="J166" s="1036"/>
      <c r="K166" s="1036"/>
      <c r="L166" s="1036"/>
      <c r="M166" s="1036"/>
      <c r="N166" s="1036"/>
      <c r="O166" s="1037"/>
      <c r="P166" s="1037"/>
      <c r="Q166" s="1037"/>
      <c r="R166" s="1037"/>
      <c r="S166" s="1036"/>
      <c r="T166" s="1036"/>
      <c r="U166" s="1036"/>
      <c r="V166" s="1036"/>
      <c r="W166" s="1036"/>
      <c r="X166" s="1036"/>
      <c r="Y166" s="1036"/>
      <c r="Z166" s="1036"/>
      <c r="AA166" s="1036"/>
      <c r="AB166" s="1036"/>
      <c r="AC166" s="1036"/>
      <c r="AD166" s="1036"/>
      <c r="AE166" s="1036"/>
      <c r="AF166" s="1036"/>
      <c r="AG166" s="1036"/>
      <c r="AH166" s="1038"/>
      <c r="AI166" s="296"/>
    </row>
    <row r="167" ht="15.0" customHeight="1">
      <c r="A167" s="290"/>
      <c r="B167" s="1039"/>
      <c r="C167" s="1040"/>
      <c r="D167" s="1041"/>
      <c r="E167" s="1042"/>
      <c r="F167" s="1042"/>
      <c r="G167" s="1042"/>
      <c r="H167" s="1042"/>
      <c r="I167" s="1041"/>
      <c r="J167" s="1042"/>
      <c r="K167" s="1042"/>
      <c r="L167" s="1042"/>
      <c r="M167" s="1042"/>
      <c r="N167" s="1041"/>
      <c r="O167" s="1042"/>
      <c r="P167" s="1042"/>
      <c r="Q167" s="1042"/>
      <c r="R167" s="1042"/>
      <c r="S167" s="1041"/>
      <c r="T167" s="1042"/>
      <c r="U167" s="1042"/>
      <c r="V167" s="1042"/>
      <c r="W167" s="1042"/>
      <c r="X167" s="1041"/>
      <c r="Y167" s="1042"/>
      <c r="Z167" s="1042"/>
      <c r="AA167" s="1042"/>
      <c r="AB167" s="1042"/>
      <c r="AC167" s="1041"/>
      <c r="AD167" s="1042"/>
      <c r="AE167" s="1042"/>
      <c r="AF167" s="1042"/>
      <c r="AG167" s="1042"/>
      <c r="AH167" s="1043"/>
      <c r="AI167" s="296"/>
    </row>
    <row r="168" ht="96.75" customHeight="1">
      <c r="A168" s="290"/>
      <c r="B168" s="1044"/>
      <c r="C168" s="1045" t="str">
        <f>IMAGE("https://i.ibb.co/yFkD5QH/Clair.png")</f>
        <v/>
      </c>
      <c r="D168" s="1046"/>
      <c r="E168" s="1047" t="str">
        <f t="array" ref="E168">IFERROR(VLOOKUP(E169,Dex!$B$3:$G191,3,FALSE),"")</f>
        <v/>
      </c>
      <c r="F168" s="302"/>
      <c r="G168" s="302"/>
      <c r="H168" s="303"/>
      <c r="I168" s="1048"/>
      <c r="J168" s="1047" t="str">
        <f t="array" ref="J168">IFERROR(VLOOKUP(J169,Dex!$B$3:$G191,3,FALSE),"")</f>
        <v/>
      </c>
      <c r="K168" s="302"/>
      <c r="L168" s="302"/>
      <c r="M168" s="303"/>
      <c r="N168" s="1048"/>
      <c r="O168" s="1047" t="str">
        <f t="array" ref="O168">IFERROR(VLOOKUP(O169,Dex!$B$3:$G191,3,FALSE),"")</f>
        <v/>
      </c>
      <c r="P168" s="302"/>
      <c r="Q168" s="302"/>
      <c r="R168" s="303"/>
      <c r="S168" s="1048"/>
      <c r="T168" s="1047" t="str">
        <f t="array" ref="T168">IFERROR(VLOOKUP(T169,Dex!$B$3:$G191,3,FALSE),"")</f>
        <v/>
      </c>
      <c r="U168" s="302"/>
      <c r="V168" s="302"/>
      <c r="W168" s="303"/>
      <c r="X168" s="1048"/>
      <c r="Y168" s="1047" t="str">
        <f t="array" ref="Y168">IFERROR(VLOOKUP(Y169,Dex!$B$3:$G191,3,FALSE),"")</f>
        <v/>
      </c>
      <c r="Z168" s="302"/>
      <c r="AA168" s="302"/>
      <c r="AB168" s="303"/>
      <c r="AC168" s="1048"/>
      <c r="AD168" s="1047" t="str">
        <f t="array" ref="AD168">IFERROR(VLOOKUP(AD169,Dex!$B$3:$G191,3,FALSE),"")</f>
        <v/>
      </c>
      <c r="AE168" s="302"/>
      <c r="AF168" s="302"/>
      <c r="AG168" s="303"/>
      <c r="AH168" s="1049"/>
      <c r="AI168" s="296"/>
    </row>
    <row r="169" ht="18.75" customHeight="1">
      <c r="A169" s="312"/>
      <c r="B169" s="1050"/>
      <c r="C169" s="1051" t="s">
        <v>382</v>
      </c>
      <c r="D169" s="1052"/>
      <c r="E169" s="1053" t="s">
        <v>383</v>
      </c>
      <c r="F169" s="1054"/>
      <c r="G169" s="1054"/>
      <c r="H169" s="1055"/>
      <c r="J169" s="1053" t="s">
        <v>384</v>
      </c>
      <c r="K169" s="1054"/>
      <c r="L169" s="1054"/>
      <c r="M169" s="1055"/>
      <c r="O169" s="1053" t="s">
        <v>385</v>
      </c>
      <c r="P169" s="1054"/>
      <c r="Q169" s="1054"/>
      <c r="R169" s="1055"/>
      <c r="T169" s="1053" t="s">
        <v>386</v>
      </c>
      <c r="U169" s="1054"/>
      <c r="V169" s="1054"/>
      <c r="W169" s="1055"/>
      <c r="Y169" s="1053" t="s">
        <v>387</v>
      </c>
      <c r="Z169" s="1054"/>
      <c r="AA169" s="1054"/>
      <c r="AB169" s="1055"/>
      <c r="AD169" s="1053" t="s">
        <v>388</v>
      </c>
      <c r="AE169" s="1054"/>
      <c r="AF169" s="1054"/>
      <c r="AG169" s="1055"/>
      <c r="AH169" s="1056"/>
      <c r="AI169" s="324"/>
    </row>
    <row r="170">
      <c r="A170" s="312"/>
      <c r="B170" s="1057"/>
      <c r="C170" s="326"/>
      <c r="D170" s="1058"/>
      <c r="E170" s="1059">
        <v>80.0</v>
      </c>
      <c r="F170" s="1060"/>
      <c r="G170" s="1060"/>
      <c r="H170" s="1061"/>
      <c r="J170" s="1059">
        <v>81.0</v>
      </c>
      <c r="K170" s="1060"/>
      <c r="L170" s="1060"/>
      <c r="M170" s="1061"/>
      <c r="O170" s="1059">
        <v>80.0</v>
      </c>
      <c r="P170" s="1060"/>
      <c r="Q170" s="1060"/>
      <c r="R170" s="1061"/>
      <c r="T170" s="1059">
        <v>81.0</v>
      </c>
      <c r="U170" s="1060"/>
      <c r="V170" s="1060"/>
      <c r="W170" s="1061"/>
      <c r="Y170" s="1059">
        <v>81.0</v>
      </c>
      <c r="Z170" s="1060"/>
      <c r="AA170" s="1060"/>
      <c r="AB170" s="1061"/>
      <c r="AD170" s="1059">
        <v>81.0</v>
      </c>
      <c r="AE170" s="1060"/>
      <c r="AF170" s="1060"/>
      <c r="AG170" s="1061"/>
      <c r="AH170" s="1062"/>
      <c r="AI170" s="1063"/>
    </row>
    <row r="171" ht="25.5" customHeight="1">
      <c r="A171" s="312"/>
      <c r="B171" s="1064"/>
      <c r="C171" s="1065"/>
      <c r="D171" s="1066"/>
      <c r="E171" s="1067"/>
      <c r="F171" s="1068" t="str">
        <f t="array" ref="F171">IFERROR(VLOOKUP(E169,Dex!$B$3:$H191,5,FALSE),"")</f>
        <v/>
      </c>
      <c r="G171" s="1069" t="str">
        <f t="array" ref="G171">IFERROR(VLOOKUP(E169,Dex!$B$3:$H191,7,FALSE),"")</f>
        <v/>
      </c>
      <c r="H171" s="1070"/>
      <c r="J171" s="1071"/>
      <c r="K171" s="1068" t="str">
        <f t="array" ref="K171">IFERROR(VLOOKUP(J169,Dex!$B$3:$H191,5,FALSE),"")</f>
        <v/>
      </c>
      <c r="L171" s="1069" t="str">
        <f t="array" ref="L171">IFERROR(VLOOKUP(J169,Dex!$B$3:$H191,7,FALSE),"")</f>
        <v/>
      </c>
      <c r="M171" s="1072"/>
      <c r="O171" s="1071"/>
      <c r="P171" s="1068" t="str">
        <f t="array" ref="P171">IFERROR(VLOOKUP(O169,Dex!$B$3:$H191,5,FALSE),"")</f>
        <v/>
      </c>
      <c r="Q171" s="1069" t="str">
        <f t="array" ref="Q171">IFERROR(VLOOKUP(O169,Dex!$B$3:$H191,7,FALSE),"")</f>
        <v/>
      </c>
      <c r="R171" s="1072"/>
      <c r="T171" s="1071"/>
      <c r="U171" s="1068" t="str">
        <f t="array" ref="U171">IFERROR(VLOOKUP(T169,Dex!$B$3:$H191,5,FALSE),"")</f>
        <v/>
      </c>
      <c r="V171" s="1069" t="str">
        <f t="array" ref="V171">IFERROR(VLOOKUP(T169,Dex!$B$3:$H191,7,FALSE),"")</f>
        <v/>
      </c>
      <c r="W171" s="1072"/>
      <c r="Y171" s="1071"/>
      <c r="Z171" s="1068" t="str">
        <f t="array" ref="Z171">IFERROR(VLOOKUP(Y169,Dex!$B$3:$H191,5,FALSE),"")</f>
        <v/>
      </c>
      <c r="AA171" s="1069" t="str">
        <f t="array" ref="AA171">IFERROR(VLOOKUP(Y169,Dex!$B$3:$H191,7,FALSE),"")</f>
        <v/>
      </c>
      <c r="AB171" s="1072"/>
      <c r="AD171" s="1071"/>
      <c r="AE171" s="1068" t="str">
        <f t="array" ref="AE171">IFERROR(VLOOKUP(AD169,Dex!$B$3:$H191,5,FALSE),"")</f>
        <v/>
      </c>
      <c r="AF171" s="1069" t="str">
        <f t="array" ref="AF171">IFERROR(VLOOKUP(AD169,Dex!$B$3:$H191,7,FALSE),"")</f>
        <v/>
      </c>
      <c r="AG171" s="1072"/>
      <c r="AH171" s="1049"/>
      <c r="AI171" s="296"/>
    </row>
    <row r="172" ht="2.25" customHeight="1">
      <c r="A172" s="343"/>
      <c r="B172" s="1064"/>
      <c r="C172" s="1073"/>
      <c r="D172" s="1066"/>
      <c r="E172" s="1074"/>
      <c r="F172" s="1075"/>
      <c r="G172" s="1075"/>
      <c r="H172" s="1076"/>
      <c r="J172" s="1074"/>
      <c r="K172" s="1075"/>
      <c r="L172" s="1075"/>
      <c r="M172" s="1076"/>
      <c r="O172" s="1074"/>
      <c r="P172" s="1075"/>
      <c r="Q172" s="1075"/>
      <c r="R172" s="1076"/>
      <c r="T172" s="1074"/>
      <c r="U172" s="1075"/>
      <c r="V172" s="1075"/>
      <c r="W172" s="1076"/>
      <c r="Y172" s="1074"/>
      <c r="Z172" s="1075"/>
      <c r="AA172" s="1075"/>
      <c r="AB172" s="1076"/>
      <c r="AD172" s="1074"/>
      <c r="AE172" s="1077"/>
      <c r="AF172" s="1075"/>
      <c r="AG172" s="1076"/>
      <c r="AH172" s="1049"/>
      <c r="AI172" s="296"/>
    </row>
    <row r="173" ht="20.25" customHeight="1">
      <c r="A173" s="312"/>
      <c r="B173" s="1064"/>
      <c r="C173" s="1078"/>
      <c r="D173" s="1066"/>
      <c r="E173" s="1079" t="s">
        <v>172</v>
      </c>
      <c r="F173" s="1080"/>
      <c r="G173" s="1080"/>
      <c r="H173" s="1081"/>
      <c r="J173" s="1079" t="s">
        <v>172</v>
      </c>
      <c r="K173" s="1080"/>
      <c r="L173" s="1080"/>
      <c r="M173" s="1081"/>
      <c r="O173" s="1079" t="s">
        <v>169</v>
      </c>
      <c r="P173" s="1080"/>
      <c r="Q173" s="1080"/>
      <c r="R173" s="1081"/>
      <c r="T173" s="1079" t="s">
        <v>263</v>
      </c>
      <c r="U173" s="1080"/>
      <c r="V173" s="1080"/>
      <c r="W173" s="1081"/>
      <c r="Y173" s="1079" t="s">
        <v>172</v>
      </c>
      <c r="Z173" s="1080"/>
      <c r="AA173" s="1080"/>
      <c r="AB173" s="1081"/>
      <c r="AD173" s="1079" t="s">
        <v>205</v>
      </c>
      <c r="AE173" s="1080"/>
      <c r="AF173" s="1080"/>
      <c r="AG173" s="1081"/>
      <c r="AH173" s="1049"/>
      <c r="AI173" s="296"/>
    </row>
    <row r="174" ht="20.25" customHeight="1">
      <c r="A174" s="312"/>
      <c r="B174" s="1064"/>
      <c r="C174" s="1082"/>
      <c r="D174" s="1066"/>
      <c r="E174" s="1083" t="s">
        <v>389</v>
      </c>
      <c r="F174" s="1060"/>
      <c r="G174" s="1060"/>
      <c r="H174" s="1061"/>
      <c r="J174" s="1083" t="s">
        <v>301</v>
      </c>
      <c r="K174" s="1060"/>
      <c r="L174" s="1060"/>
      <c r="M174" s="1061"/>
      <c r="O174" s="1083" t="s">
        <v>390</v>
      </c>
      <c r="P174" s="1060"/>
      <c r="Q174" s="1060"/>
      <c r="R174" s="1061"/>
      <c r="T174" s="1083" t="s">
        <v>391</v>
      </c>
      <c r="U174" s="1060"/>
      <c r="V174" s="1060"/>
      <c r="W174" s="1061"/>
      <c r="Y174" s="1083" t="s">
        <v>301</v>
      </c>
      <c r="Z174" s="1060"/>
      <c r="AA174" s="1060"/>
      <c r="AB174" s="1061"/>
      <c r="AD174" s="1083" t="s">
        <v>392</v>
      </c>
      <c r="AE174" s="1060"/>
      <c r="AF174" s="1060"/>
      <c r="AG174" s="1061"/>
      <c r="AH174" s="1049"/>
      <c r="AI174" s="296"/>
    </row>
    <row r="175" ht="20.25" customHeight="1">
      <c r="A175" s="312"/>
      <c r="B175" s="1064"/>
      <c r="C175" s="1073"/>
      <c r="D175" s="1066"/>
      <c r="E175" s="1084" t="s">
        <v>240</v>
      </c>
      <c r="F175" s="1085"/>
      <c r="G175" s="1086"/>
      <c r="H175" s="1087" t="str">
        <f>IMAGE("https://raw.githubusercontent.com/msikma/pokesprite/master/items/hold-item/focus-sash.png",3)</f>
        <v/>
      </c>
      <c r="J175" s="1084" t="s">
        <v>306</v>
      </c>
      <c r="K175" s="1085"/>
      <c r="L175" s="1086"/>
      <c r="M175" s="1087" t="str">
        <f>IMAGE("https://i.ibb.co/SK50ng3/booster.png",4,22,22)</f>
        <v/>
      </c>
      <c r="O175" s="1084" t="s">
        <v>393</v>
      </c>
      <c r="P175" s="1085"/>
      <c r="Q175" s="1086"/>
      <c r="R175" s="1087" t="str">
        <f>IMAGE("https://raw.githubusercontent.com/msikma/pokesprite/master/items/hold-item/weakness-policy.png",3)</f>
        <v/>
      </c>
      <c r="T175" s="1084" t="s">
        <v>394</v>
      </c>
      <c r="U175" s="1085"/>
      <c r="V175" s="1086"/>
      <c r="W175" s="1087" t="str">
        <f>IMAGE("https://raw.githubusercontent.com/msikma/pokesprite/master/items/hold-item/leftovers.png",3)</f>
        <v/>
      </c>
      <c r="Y175" s="1084" t="s">
        <v>306</v>
      </c>
      <c r="Z175" s="1085"/>
      <c r="AA175" s="1086"/>
      <c r="AB175" s="1087" t="str">
        <f>IMAGE("https://i.ibb.co/SK50ng3/booster.png",4,22,22)</f>
        <v/>
      </c>
      <c r="AD175" s="1084" t="s">
        <v>272</v>
      </c>
      <c r="AE175" s="1085"/>
      <c r="AF175" s="1086"/>
      <c r="AG175" s="1087" t="str">
        <f>IMAGE("https://raw.githubusercontent.com/msikma/pokesprite/master/items/hold-item/life-orb.png",3)</f>
        <v/>
      </c>
      <c r="AH175" s="1049"/>
      <c r="AI175" s="296"/>
    </row>
    <row r="176" ht="20.25" customHeight="1">
      <c r="A176" s="312"/>
      <c r="B176" s="1064"/>
      <c r="C176" s="1078"/>
      <c r="D176" s="1066"/>
      <c r="E176" s="1079" t="s">
        <v>395</v>
      </c>
      <c r="F176" s="1080"/>
      <c r="G176" s="1080"/>
      <c r="H176" s="1088" t="str">
        <f t="shared" ref="H176:H177" si="9">IMAGE("https://raw.githubusercontent.com/msikma/pokesprite/master/misc/types/gen8/rock.png",4,20,20)</f>
        <v/>
      </c>
      <c r="J176" s="1079" t="s">
        <v>396</v>
      </c>
      <c r="K176" s="1080"/>
      <c r="L176" s="1080"/>
      <c r="M176" s="1088" t="str">
        <f>IMAGE("https://raw.githubusercontent.com/msikma/pokesprite/master/misc/types/gen8/dragon.png",4,20,20)</f>
        <v/>
      </c>
      <c r="O176" s="1079" t="s">
        <v>397</v>
      </c>
      <c r="P176" s="1080"/>
      <c r="Q176" s="1080"/>
      <c r="R176" s="1088" t="str">
        <f>IMAGE("https://raw.githubusercontent.com/msikma/pokesprite/master/misc/types/gen8/normal.png",4,20,20)</f>
        <v/>
      </c>
      <c r="T176" s="1079" t="s">
        <v>398</v>
      </c>
      <c r="U176" s="1080"/>
      <c r="V176" s="1080"/>
      <c r="W176" s="1088" t="str">
        <f>IMAGE("https://raw.githubusercontent.com/msikma/pokesprite/master/misc/types/gen8/steel.png",4,20,20)</f>
        <v/>
      </c>
      <c r="Y176" s="1079" t="s">
        <v>396</v>
      </c>
      <c r="Z176" s="1080"/>
      <c r="AA176" s="1080"/>
      <c r="AB176" s="1088" t="str">
        <f>IMAGE("https://raw.githubusercontent.com/msikma/pokesprite/master/misc/types/gen8/dragon.png",4,20,20)</f>
        <v/>
      </c>
      <c r="AD176" s="1079" t="s">
        <v>372</v>
      </c>
      <c r="AE176" s="1080"/>
      <c r="AF176" s="1080"/>
      <c r="AG176" s="1088" t="str">
        <f>IMAGE("https://raw.githubusercontent.com/msikma/pokesprite/master/misc/types/gen8/fire.png",4,20,20)</f>
        <v/>
      </c>
      <c r="AH176" s="1049"/>
      <c r="AI176" s="296"/>
    </row>
    <row r="177" ht="20.25" customHeight="1">
      <c r="A177" s="312"/>
      <c r="B177" s="1064"/>
      <c r="C177" s="1089"/>
      <c r="D177" s="1066"/>
      <c r="E177" s="1083" t="s">
        <v>399</v>
      </c>
      <c r="F177" s="1060"/>
      <c r="G177" s="1060"/>
      <c r="H177" s="1090" t="str">
        <f t="shared" si="9"/>
        <v/>
      </c>
      <c r="J177" s="1083" t="s">
        <v>320</v>
      </c>
      <c r="K177" s="1060"/>
      <c r="L177" s="1060"/>
      <c r="M177" s="1090" t="str">
        <f>IMAGE("https://raw.githubusercontent.com/msikma/pokesprite/master/misc/types/gen8/dark.png",4,20,20)</f>
        <v/>
      </c>
      <c r="O177" s="1083" t="s">
        <v>396</v>
      </c>
      <c r="P177" s="1060"/>
      <c r="Q177" s="1060"/>
      <c r="R177" s="1090" t="str">
        <f>IMAGE("https://raw.githubusercontent.com/msikma/pokesprite/master/misc/types/gen8/dragon.png",4,20,20)</f>
        <v/>
      </c>
      <c r="T177" s="1083" t="s">
        <v>400</v>
      </c>
      <c r="U177" s="1060"/>
      <c r="V177" s="1060"/>
      <c r="W177" s="1090" t="str">
        <f>IMAGE("https://raw.githubusercontent.com/msikma/pokesprite/master/misc/types/gen8/fairy.png",4,20,20)</f>
        <v/>
      </c>
      <c r="Y177" s="1083" t="s">
        <v>378</v>
      </c>
      <c r="Z177" s="1060"/>
      <c r="AA177" s="1060"/>
      <c r="AB177" s="1090" t="str">
        <f>IMAGE("https://raw.githubusercontent.com/msikma/pokesprite/master/misc/types/gen8/fire.png",4,20,20)</f>
        <v/>
      </c>
      <c r="AD177" s="1083" t="s">
        <v>401</v>
      </c>
      <c r="AE177" s="1060"/>
      <c r="AF177" s="1060"/>
      <c r="AG177" s="1090" t="str">
        <f>IMAGE("https://raw.githubusercontent.com/msikma/pokesprite/master/misc/types/gen8/dark.png",4,20,20)</f>
        <v/>
      </c>
      <c r="AH177" s="1049"/>
      <c r="AI177" s="296"/>
    </row>
    <row r="178" ht="20.25" customHeight="1">
      <c r="A178" s="312"/>
      <c r="B178" s="1064"/>
      <c r="C178" s="1089"/>
      <c r="D178" s="1066"/>
      <c r="E178" s="1083" t="s">
        <v>402</v>
      </c>
      <c r="F178" s="1060"/>
      <c r="G178" s="1060"/>
      <c r="H178" s="1090" t="str">
        <f>IMAGE("https://raw.githubusercontent.com/msikma/pokesprite/master/misc/types/gen8/ground.png",4,20,20)</f>
        <v/>
      </c>
      <c r="J178" s="1083" t="s">
        <v>402</v>
      </c>
      <c r="K178" s="1060"/>
      <c r="L178" s="1060"/>
      <c r="M178" s="1090" t="str">
        <f>IMAGE("https://raw.githubusercontent.com/msikma/pokesprite/master/misc/types/gen8/ground.png",4,20,20)</f>
        <v/>
      </c>
      <c r="O178" s="1083" t="s">
        <v>403</v>
      </c>
      <c r="P178" s="1060"/>
      <c r="Q178" s="1060"/>
      <c r="R178" s="1090" t="str">
        <f>IMAGE("https://raw.githubusercontent.com/msikma/pokesprite/master/misc/types/gen8/fire.png",4,20,20)</f>
        <v/>
      </c>
      <c r="T178" s="1083" t="s">
        <v>404</v>
      </c>
      <c r="U178" s="1060"/>
      <c r="V178" s="1060"/>
      <c r="W178" s="1090" t="str">
        <f>IMAGE("https://raw.githubusercontent.com/msikma/pokesprite/master/misc/types/gen8/steel.png",4,20,20)</f>
        <v/>
      </c>
      <c r="Y178" s="1083" t="s">
        <v>402</v>
      </c>
      <c r="Z178" s="1060"/>
      <c r="AA178" s="1060"/>
      <c r="AB178" s="1090" t="str">
        <f>IMAGE("https://raw.githubusercontent.com/msikma/pokesprite/master/misc/types/gen8/ground.png",4,20,20)</f>
        <v/>
      </c>
      <c r="AD178" s="1083" t="s">
        <v>405</v>
      </c>
      <c r="AE178" s="1060"/>
      <c r="AF178" s="1060"/>
      <c r="AG178" s="1090" t="str">
        <f>IMAGE("https://raw.githubusercontent.com/msikma/pokesprite/master/misc/types/gen8/poison.png",4,20,20)</f>
        <v/>
      </c>
      <c r="AH178" s="1049"/>
      <c r="AI178" s="296"/>
    </row>
    <row r="179" ht="21.0" customHeight="1">
      <c r="A179" s="312"/>
      <c r="B179" s="1064"/>
      <c r="C179" s="1089"/>
      <c r="D179" s="1066"/>
      <c r="E179" s="1091" t="s">
        <v>406</v>
      </c>
      <c r="F179" s="1092"/>
      <c r="G179" s="1092"/>
      <c r="H179" s="1093" t="str">
        <f>IMAGE("https://raw.githubusercontent.com/msikma/pokesprite/master/misc/types/gen8/dark.png",4,20,20)</f>
        <v/>
      </c>
      <c r="I179" s="1054"/>
      <c r="J179" s="1091" t="s">
        <v>407</v>
      </c>
      <c r="K179" s="1092"/>
      <c r="L179" s="1092"/>
      <c r="M179" s="1093" t="str">
        <f>IMAGE("https://raw.githubusercontent.com/msikma/pokesprite/master/misc/types/gen8/steel.png",4,20,20)</f>
        <v/>
      </c>
      <c r="N179" s="1054"/>
      <c r="O179" s="1091" t="s">
        <v>408</v>
      </c>
      <c r="P179" s="1092"/>
      <c r="Q179" s="1092"/>
      <c r="R179" s="1093" t="str">
        <f>IMAGE("https://raw.githubusercontent.com/msikma/pokesprite/master/misc/types/gen8/flying.png",4,20,20)</f>
        <v/>
      </c>
      <c r="S179" s="1054"/>
      <c r="T179" s="1091" t="s">
        <v>375</v>
      </c>
      <c r="U179" s="1092"/>
      <c r="V179" s="1092"/>
      <c r="W179" s="1093" t="str">
        <f>IMAGE("https://raw.githubusercontent.com/msikma/pokesprite/master/misc/types/gen8/fighting.png",4,20,20)</f>
        <v/>
      </c>
      <c r="X179" s="1054"/>
      <c r="Y179" s="1091" t="s">
        <v>409</v>
      </c>
      <c r="Z179" s="1092"/>
      <c r="AA179" s="1092"/>
      <c r="AB179" s="1093" t="str">
        <f>IMAGE("https://raw.githubusercontent.com/msikma/pokesprite/master/misc/types/gen8/dragon.png",4,20,20)</f>
        <v/>
      </c>
      <c r="AC179" s="1054"/>
      <c r="AD179" s="1091" t="s">
        <v>410</v>
      </c>
      <c r="AE179" s="1092"/>
      <c r="AF179" s="1092"/>
      <c r="AG179" s="1093" t="str">
        <f>IMAGE("https://raw.githubusercontent.com/msikma/pokesprite/master/misc/types/gen8/dragon.png",4,20,20)</f>
        <v/>
      </c>
      <c r="AH179" s="1049"/>
      <c r="AI179" s="296"/>
    </row>
    <row r="180" ht="3.0" customHeight="1">
      <c r="A180" s="343"/>
      <c r="B180" s="1064"/>
      <c r="C180" s="1094"/>
      <c r="D180" s="1095"/>
      <c r="E180" s="1096"/>
      <c r="F180" s="1096"/>
      <c r="G180" s="1096"/>
      <c r="H180" s="1096"/>
      <c r="I180" s="1095"/>
      <c r="J180" s="1096"/>
      <c r="K180" s="1096"/>
      <c r="L180" s="1096"/>
      <c r="M180" s="1096"/>
      <c r="N180" s="1095"/>
      <c r="O180" s="1096"/>
      <c r="P180" s="1096"/>
      <c r="Q180" s="1096"/>
      <c r="R180" s="1096"/>
      <c r="S180" s="1095"/>
      <c r="T180" s="1096"/>
      <c r="U180" s="1096"/>
      <c r="V180" s="1096"/>
      <c r="W180" s="1096"/>
      <c r="X180" s="1095"/>
      <c r="Y180" s="1097"/>
      <c r="Z180" s="1098"/>
      <c r="AA180" s="1098"/>
      <c r="AB180" s="1099"/>
      <c r="AC180" s="1095"/>
      <c r="AD180" s="1099"/>
      <c r="AE180" s="1099"/>
      <c r="AF180" s="1099"/>
      <c r="AG180" s="1099"/>
      <c r="AH180" s="1100"/>
      <c r="AI180" s="296"/>
    </row>
    <row r="181" ht="16.5" customHeight="1">
      <c r="A181" s="312"/>
      <c r="B181" s="1101"/>
      <c r="C181" s="1094"/>
      <c r="D181" s="1102"/>
      <c r="E181" s="1103" t="s">
        <v>190</v>
      </c>
      <c r="F181" s="381"/>
      <c r="G181" s="382"/>
      <c r="H181" s="1104" t="s">
        <v>191</v>
      </c>
      <c r="I181" s="1105"/>
      <c r="J181" s="1103" t="s">
        <v>190</v>
      </c>
      <c r="K181" s="381"/>
      <c r="L181" s="382"/>
      <c r="M181" s="1104" t="s">
        <v>191</v>
      </c>
      <c r="N181" s="1105"/>
      <c r="O181" s="1103" t="s">
        <v>190</v>
      </c>
      <c r="P181" s="381"/>
      <c r="Q181" s="382"/>
      <c r="R181" s="1104" t="s">
        <v>191</v>
      </c>
      <c r="S181" s="1105"/>
      <c r="T181" s="1103" t="s">
        <v>190</v>
      </c>
      <c r="U181" s="381"/>
      <c r="V181" s="382"/>
      <c r="W181" s="1104" t="s">
        <v>191</v>
      </c>
      <c r="X181" s="1105"/>
      <c r="Y181" s="1103" t="s">
        <v>190</v>
      </c>
      <c r="Z181" s="381"/>
      <c r="AA181" s="382"/>
      <c r="AB181" s="1104" t="s">
        <v>191</v>
      </c>
      <c r="AC181" s="1105"/>
      <c r="AD181" s="1103" t="s">
        <v>190</v>
      </c>
      <c r="AE181" s="381"/>
      <c r="AF181" s="382"/>
      <c r="AG181" s="1104" t="s">
        <v>191</v>
      </c>
      <c r="AH181" s="1106"/>
      <c r="AI181" s="389"/>
    </row>
    <row r="182" ht="15.75" customHeight="1">
      <c r="A182" s="312"/>
      <c r="B182" s="1101"/>
      <c r="C182" s="1094"/>
      <c r="D182" s="1102"/>
      <c r="E182" s="1107" t="s">
        <v>192</v>
      </c>
      <c r="F182" s="1108">
        <f t="array" ref="F182">IFERROR(VLOOKUP(E169,Dex!$B$3:$N191,8,FALSE),"")</f>
        <v>80</v>
      </c>
      <c r="G182" s="1109" t="str">
        <f t="array" ref="G182">IFERROR(VLOOKUP(F182,Dex!$P$22:$Q$276,2,FALSE),"")</f>
        <v/>
      </c>
      <c r="H182" s="1110"/>
      <c r="I182" s="1111"/>
      <c r="J182" s="1107" t="s">
        <v>192</v>
      </c>
      <c r="K182" s="1108">
        <f t="array" ref="K182">IFERROR(VLOOKUP(J169,Dex!$B$3:$N191,8,FALSE),"")</f>
        <v>105</v>
      </c>
      <c r="L182" s="1109" t="str">
        <f t="array" ref="L182">IFERROR(VLOOKUP(K182,Dex!$P$22:$Q$276,2,FALSE),"")</f>
        <v/>
      </c>
      <c r="M182" s="1110"/>
      <c r="N182" s="1111"/>
      <c r="O182" s="1107" t="s">
        <v>192</v>
      </c>
      <c r="P182" s="1108">
        <f t="array" ref="P182">IFERROR(VLOOKUP(O169,Dex!$B$3:$N191,8,FALSE),"")</f>
        <v>91</v>
      </c>
      <c r="Q182" s="1109" t="str">
        <f t="array" ref="Q182">IFERROR(VLOOKUP(P182,Dex!$P$22:$Q$276,2,FALSE),"")</f>
        <v/>
      </c>
      <c r="R182" s="1110">
        <v>252.0</v>
      </c>
      <c r="S182" s="1111"/>
      <c r="T182" s="1107" t="s">
        <v>192</v>
      </c>
      <c r="U182" s="1108">
        <f t="array" ref="U182">IFERROR(VLOOKUP(T169,Dex!$B$3:$N191,8,FALSE),"")</f>
        <v>80</v>
      </c>
      <c r="V182" s="1109" t="str">
        <f t="array" ref="V182">IFERROR(VLOOKUP(U182,Dex!$P$22:$Q$276,2,FALSE),"")</f>
        <v/>
      </c>
      <c r="W182" s="1110">
        <v>252.0</v>
      </c>
      <c r="X182" s="1111"/>
      <c r="Y182" s="1107" t="s">
        <v>192</v>
      </c>
      <c r="Z182" s="1108">
        <f t="array" ref="Z182">IFERROR(VLOOKUP(Y169,Dex!$B$3:$N191,8,FALSE),"")</f>
        <v>105</v>
      </c>
      <c r="AA182" s="1109" t="str">
        <f t="array" ref="AA182">IFERROR(VLOOKUP(Z182,Dex!$P$22:$Q$276,2,FALSE),"")</f>
        <v/>
      </c>
      <c r="AB182" s="1110"/>
      <c r="AC182" s="1111"/>
      <c r="AD182" s="1107" t="s">
        <v>192</v>
      </c>
      <c r="AE182" s="1108">
        <f t="array" ref="AE182">IFERROR(VLOOKUP(AD169,Dex!$B$3:$N191,8,FALSE),"")</f>
        <v>73</v>
      </c>
      <c r="AF182" s="1109" t="str">
        <f t="array" ref="AF182">IFERROR(VLOOKUP(AE182,Dex!$P$22:$Q$276,2,FALSE),"")</f>
        <v/>
      </c>
      <c r="AG182" s="1110"/>
      <c r="AH182" s="1112"/>
      <c r="AI182" s="389"/>
    </row>
    <row r="183" ht="15.75" customHeight="1">
      <c r="A183" s="312"/>
      <c r="B183" s="1101"/>
      <c r="C183" s="1094"/>
      <c r="D183" s="1102"/>
      <c r="E183" s="1113" t="s">
        <v>193</v>
      </c>
      <c r="F183" s="1114">
        <f t="array" ref="F183">IFERROR(VLOOKUP(E169,Dex!$B$3:$N191,9,FALSE),"")</f>
        <v>105</v>
      </c>
      <c r="G183" s="1115" t="str">
        <f t="array" ref="G183">IFERROR(VLOOKUP(F183,Dex!$P$22:$Q$276,2,FALSE),"")</f>
        <v/>
      </c>
      <c r="H183" s="1116">
        <v>252.0</v>
      </c>
      <c r="I183" s="1111"/>
      <c r="J183" s="1113" t="s">
        <v>193</v>
      </c>
      <c r="K183" s="1114">
        <f t="array" ref="K183">IFERROR(VLOOKUP(J169,Dex!$B$3:$N191,9,FALSE),"")</f>
        <v>139</v>
      </c>
      <c r="L183" s="1115" t="str">
        <f t="array" ref="L183">IFERROR(VLOOKUP(K183,Dex!$P$22:$Q$276,2,FALSE),"")</f>
        <v/>
      </c>
      <c r="M183" s="1116">
        <v>252.0</v>
      </c>
      <c r="N183" s="1111"/>
      <c r="O183" s="1113" t="s">
        <v>193</v>
      </c>
      <c r="P183" s="1114">
        <f t="array" ref="P183">IFERROR(VLOOKUP(O169,Dex!$B$3:$N191,9,FALSE),"")</f>
        <v>134</v>
      </c>
      <c r="Q183" s="1115" t="str">
        <f t="array" ref="Q183">IFERROR(VLOOKUP(P183,Dex!$P$22:$Q$276,2,FALSE),"")</f>
        <v/>
      </c>
      <c r="R183" s="1116"/>
      <c r="S183" s="1111"/>
      <c r="T183" s="1113" t="s">
        <v>193</v>
      </c>
      <c r="U183" s="1114">
        <f t="array" ref="U183">IFERROR(VLOOKUP(T169,Dex!$B$3:$N191,9,FALSE),"")</f>
        <v>95</v>
      </c>
      <c r="V183" s="1115" t="str">
        <f t="array" ref="V183">IFERROR(VLOOKUP(U183,Dex!$P$22:$Q$276,2,FALSE),"")</f>
        <v/>
      </c>
      <c r="W183" s="1116"/>
      <c r="X183" s="1111"/>
      <c r="Y183" s="1113" t="s">
        <v>193</v>
      </c>
      <c r="Z183" s="1114">
        <f t="array" ref="Z183">IFERROR(VLOOKUP(Y169,Dex!$B$3:$N191,9,FALSE),"")</f>
        <v>115</v>
      </c>
      <c r="AA183" s="1115" t="str">
        <f t="array" ref="AA183">IFERROR(VLOOKUP(Z183,Dex!$P$22:$Q$276,2,FALSE),"")</f>
        <v/>
      </c>
      <c r="AB183" s="1116">
        <v>252.0</v>
      </c>
      <c r="AC183" s="1111"/>
      <c r="AD183" s="1113" t="s">
        <v>193</v>
      </c>
      <c r="AE183" s="1114">
        <f t="array" ref="AE183">IFERROR(VLOOKUP(AD169,Dex!$B$3:$N191,9,FALSE),"")</f>
        <v>73</v>
      </c>
      <c r="AF183" s="1115" t="str">
        <f t="array" ref="AF183">IFERROR(VLOOKUP(AE183,Dex!$P$22:$Q$276,2,FALSE),"")</f>
        <v/>
      </c>
      <c r="AG183" s="1116"/>
      <c r="AH183" s="1112"/>
      <c r="AI183" s="389"/>
    </row>
    <row r="184" ht="15.75" customHeight="1">
      <c r="A184" s="312"/>
      <c r="B184" s="1101"/>
      <c r="C184" s="1094"/>
      <c r="D184" s="1102"/>
      <c r="E184" s="1113" t="s">
        <v>194</v>
      </c>
      <c r="F184" s="1114">
        <f t="array" ref="F184">IFERROR(VLOOKUP(E169,Dex!$B$3:$N191,10,FALSE),"")</f>
        <v>65</v>
      </c>
      <c r="G184" s="1115" t="str">
        <f t="array" ref="G184">IFERROR(VLOOKUP(F184,Dex!$P$22:$Q$276,2,FALSE),"")</f>
        <v/>
      </c>
      <c r="H184" s="1116">
        <v>4.0</v>
      </c>
      <c r="I184" s="1111"/>
      <c r="J184" s="1113" t="s">
        <v>194</v>
      </c>
      <c r="K184" s="1114">
        <f t="array" ref="K184">IFERROR(VLOOKUP(J169,Dex!$B$3:$N191,10,FALSE),"")</f>
        <v>71</v>
      </c>
      <c r="L184" s="1115" t="str">
        <f t="array" ref="L184">IFERROR(VLOOKUP(K184,Dex!$P$22:$Q$276,2,FALSE),"")</f>
        <v/>
      </c>
      <c r="M184" s="1116">
        <v>4.0</v>
      </c>
      <c r="N184" s="1111"/>
      <c r="O184" s="1113" t="s">
        <v>194</v>
      </c>
      <c r="P184" s="1114">
        <f t="array" ref="P184">IFERROR(VLOOKUP(O169,Dex!$B$3:$N191,10,FALSE),"")</f>
        <v>95</v>
      </c>
      <c r="Q184" s="1115" t="str">
        <f t="array" ref="Q184">IFERROR(VLOOKUP(P184,Dex!$P$22:$Q$276,2,FALSE),"")</f>
        <v/>
      </c>
      <c r="R184" s="1116">
        <v>4.0</v>
      </c>
      <c r="S184" s="1111"/>
      <c r="T184" s="1113" t="s">
        <v>194</v>
      </c>
      <c r="U184" s="1114">
        <f t="array" ref="U184">IFERROR(VLOOKUP(T169,Dex!$B$3:$N191,10,FALSE),"")</f>
        <v>115</v>
      </c>
      <c r="V184" s="1115" t="str">
        <f t="array" ref="V184">IFERROR(VLOOKUP(U184,Dex!$P$22:$Q$276,2,FALSE),"")</f>
        <v/>
      </c>
      <c r="W184" s="1116"/>
      <c r="X184" s="1111"/>
      <c r="Y184" s="1113" t="s">
        <v>194</v>
      </c>
      <c r="Z184" s="1114">
        <f t="array" ref="Z184">IFERROR(VLOOKUP(Y169,Dex!$B$3:$N191,10,FALSE),"")</f>
        <v>121</v>
      </c>
      <c r="AA184" s="1115" t="str">
        <f t="array" ref="AA184">IFERROR(VLOOKUP(Z184,Dex!$P$22:$Q$276,2,FALSE),"")</f>
        <v/>
      </c>
      <c r="AB184" s="1116"/>
      <c r="AC184" s="1111"/>
      <c r="AD184" s="1113" t="s">
        <v>194</v>
      </c>
      <c r="AE184" s="1114">
        <f t="array" ref="AE184">IFERROR(VLOOKUP(AD169,Dex!$B$3:$N191,10,FALSE),"")</f>
        <v>73</v>
      </c>
      <c r="AF184" s="1115" t="str">
        <f t="array" ref="AF184">IFERROR(VLOOKUP(AE184,Dex!$P$22:$Q$276,2,FALSE),"")</f>
        <v/>
      </c>
      <c r="AG184" s="1116">
        <v>4.0</v>
      </c>
      <c r="AH184" s="1112"/>
      <c r="AI184" s="389"/>
    </row>
    <row r="185" ht="15.75" customHeight="1">
      <c r="A185" s="312"/>
      <c r="B185" s="1101"/>
      <c r="C185" s="1094"/>
      <c r="D185" s="1102"/>
      <c r="E185" s="1113" t="s">
        <v>195</v>
      </c>
      <c r="F185" s="1114">
        <f t="array" ref="F185">IFERROR(VLOOKUP(E169,Dex!$B$3:$N191,11,FALSE),"")</f>
        <v>60</v>
      </c>
      <c r="G185" s="1115" t="str">
        <f t="array" ref="G185">IFERROR(VLOOKUP(F185,Dex!$P$22:$Q$276,2,FALSE),"")</f>
        <v/>
      </c>
      <c r="H185" s="1116"/>
      <c r="I185" s="1111"/>
      <c r="J185" s="1113" t="s">
        <v>195</v>
      </c>
      <c r="K185" s="1114">
        <f t="array" ref="K185">IFERROR(VLOOKUP(J169,Dex!$B$3:$N191,11,FALSE),"")</f>
        <v>55</v>
      </c>
      <c r="L185" s="1115" t="str">
        <f t="array" ref="L185">IFERROR(VLOOKUP(K185,Dex!$P$22:$Q$276,2,FALSE),"")</f>
        <v/>
      </c>
      <c r="M185" s="1116"/>
      <c r="N185" s="1111"/>
      <c r="O185" s="1113" t="s">
        <v>195</v>
      </c>
      <c r="P185" s="1114">
        <f t="array" ref="P185">IFERROR(VLOOKUP(O169,Dex!$B$3:$N191,11,FALSE),"")</f>
        <v>100</v>
      </c>
      <c r="Q185" s="1115" t="str">
        <f t="array" ref="Q185">IFERROR(VLOOKUP(P185,Dex!$P$22:$Q$276,2,FALSE),"")</f>
        <v/>
      </c>
      <c r="R185" s="1116"/>
      <c r="S185" s="1111"/>
      <c r="T185" s="1113" t="s">
        <v>195</v>
      </c>
      <c r="U185" s="1114">
        <f t="array" ref="U185">IFERROR(VLOOKUP(T169,Dex!$B$3:$N191,11,FALSE),"")</f>
        <v>130</v>
      </c>
      <c r="V185" s="1115" t="str">
        <f t="array" ref="V185">IFERROR(VLOOKUP(U185,Dex!$P$22:$Q$276,2,FALSE),"")</f>
        <v/>
      </c>
      <c r="W185" s="1116">
        <v>252.0</v>
      </c>
      <c r="X185" s="1111"/>
      <c r="Y185" s="1113" t="s">
        <v>195</v>
      </c>
      <c r="Z185" s="1114">
        <f t="array" ref="Z185">IFERROR(VLOOKUP(Y169,Dex!$B$3:$N191,11,FALSE),"")</f>
        <v>65</v>
      </c>
      <c r="AA185" s="1115" t="str">
        <f t="array" ref="AA185">IFERROR(VLOOKUP(Z185,Dex!$P$22:$Q$276,2,FALSE),"")</f>
        <v/>
      </c>
      <c r="AB185" s="1116"/>
      <c r="AC185" s="1111"/>
      <c r="AD185" s="1113" t="s">
        <v>195</v>
      </c>
      <c r="AE185" s="1114">
        <f t="array" ref="AE185">IFERROR(VLOOKUP(AD169,Dex!$B$3:$N191,11,FALSE),"")</f>
        <v>127</v>
      </c>
      <c r="AF185" s="1115" t="str">
        <f t="array" ref="AF185">IFERROR(VLOOKUP(AE185,Dex!$P$22:$Q$276,2,FALSE),"")</f>
        <v/>
      </c>
      <c r="AG185" s="1116">
        <v>252.0</v>
      </c>
      <c r="AH185" s="1112"/>
      <c r="AI185" s="389"/>
    </row>
    <row r="186" ht="15.75" customHeight="1">
      <c r="A186" s="312"/>
      <c r="B186" s="1101"/>
      <c r="C186" s="1094"/>
      <c r="D186" s="1102"/>
      <c r="E186" s="1113" t="s">
        <v>196</v>
      </c>
      <c r="F186" s="1114">
        <f t="array" ref="F186">IFERROR(VLOOKUP(E169,Dex!$B$3:$N191,12,FALSE),"")</f>
        <v>75</v>
      </c>
      <c r="G186" s="1115" t="str">
        <f t="array" ref="G186">IFERROR(VLOOKUP(F186,Dex!$P$22:$Q$276,2,FALSE),"")</f>
        <v/>
      </c>
      <c r="H186" s="1116"/>
      <c r="I186" s="1111"/>
      <c r="J186" s="1113" t="s">
        <v>196</v>
      </c>
      <c r="K186" s="1114">
        <f t="array" ref="K186">IFERROR(VLOOKUP(J169,Dex!$B$3:$N191,12,FALSE),"")</f>
        <v>101</v>
      </c>
      <c r="L186" s="1115" t="str">
        <f t="array" ref="L186">IFERROR(VLOOKUP(K186,Dex!$P$22:$Q$276,2,FALSE),"")</f>
        <v/>
      </c>
      <c r="M186" s="1116"/>
      <c r="N186" s="1111"/>
      <c r="O186" s="1113" t="s">
        <v>196</v>
      </c>
      <c r="P186" s="1114">
        <f t="array" ref="P186">IFERROR(VLOOKUP(O169,Dex!$B$3:$N191,12,FALSE),"")</f>
        <v>100</v>
      </c>
      <c r="Q186" s="1115" t="str">
        <f t="array" ref="Q186">IFERROR(VLOOKUP(P186,Dex!$P$22:$Q$276,2,FALSE),"")</f>
        <v/>
      </c>
      <c r="R186" s="1116"/>
      <c r="S186" s="1111"/>
      <c r="T186" s="1113" t="s">
        <v>196</v>
      </c>
      <c r="U186" s="1114">
        <f t="array" ref="U186">IFERROR(VLOOKUP(T169,Dex!$B$3:$N191,12,FALSE),"")</f>
        <v>115</v>
      </c>
      <c r="V186" s="1115" t="str">
        <f t="array" ref="V186">IFERROR(VLOOKUP(U186,Dex!$P$22:$Q$276,2,FALSE),"")</f>
        <v/>
      </c>
      <c r="W186" s="1116"/>
      <c r="X186" s="1111"/>
      <c r="Y186" s="1113" t="s">
        <v>196</v>
      </c>
      <c r="Z186" s="1114">
        <f t="array" ref="Z186">IFERROR(VLOOKUP(Y169,Dex!$B$3:$N191,12,FALSE),"")</f>
        <v>93</v>
      </c>
      <c r="AA186" s="1115" t="str">
        <f t="array" ref="AA186">IFERROR(VLOOKUP(Z186,Dex!$P$22:$Q$276,2,FALSE),"")</f>
        <v/>
      </c>
      <c r="AB186" s="1116">
        <v>4.0</v>
      </c>
      <c r="AC186" s="1111"/>
      <c r="AD186" s="1113" t="s">
        <v>196</v>
      </c>
      <c r="AE186" s="1114">
        <f t="array" ref="AE186">IFERROR(VLOOKUP(AD169,Dex!$B$3:$N191,12,FALSE),"")</f>
        <v>73</v>
      </c>
      <c r="AF186" s="1115" t="str">
        <f t="array" ref="AF186">IFERROR(VLOOKUP(AE186,Dex!$P$22:$Q$276,2,FALSE),"")</f>
        <v/>
      </c>
      <c r="AG186" s="1116"/>
      <c r="AH186" s="1112"/>
      <c r="AI186" s="389"/>
    </row>
    <row r="187" ht="15.75" customHeight="1">
      <c r="A187" s="312"/>
      <c r="B187" s="1101"/>
      <c r="C187" s="1094"/>
      <c r="D187" s="1102"/>
      <c r="E187" s="1117" t="s">
        <v>197</v>
      </c>
      <c r="F187" s="1118">
        <f t="array" ref="F187">IFERROR(VLOOKUP(E169,Dex!$B$3:$N191,13,FALSE),"")</f>
        <v>130</v>
      </c>
      <c r="G187" s="1119" t="str">
        <f t="array" ref="G187">IFERROR(VLOOKUP(F187,Dex!$P$22:$Q$276,2,FALSE),"")</f>
        <v/>
      </c>
      <c r="H187" s="1120">
        <v>252.0</v>
      </c>
      <c r="I187" s="1111"/>
      <c r="J187" s="1117" t="s">
        <v>197</v>
      </c>
      <c r="K187" s="1118">
        <f t="array" ref="K187">IFERROR(VLOOKUP(J169,Dex!$B$3:$N191,13,FALSE),"")</f>
        <v>119</v>
      </c>
      <c r="L187" s="1119" t="str">
        <f t="array" ref="L187">IFERROR(VLOOKUP(K187,Dex!$P$22:$Q$276,2,FALSE),"")</f>
        <v/>
      </c>
      <c r="M187" s="1120">
        <v>252.0</v>
      </c>
      <c r="N187" s="1111"/>
      <c r="O187" s="1117" t="s">
        <v>197</v>
      </c>
      <c r="P187" s="1118">
        <f t="array" ref="P187">IFERROR(VLOOKUP(O169,Dex!$B$3:$N191,13,FALSE),"")</f>
        <v>80</v>
      </c>
      <c r="Q187" s="1119" t="str">
        <f t="array" ref="Q187">IFERROR(VLOOKUP(P187,Dex!$P$22:$Q$276,2,FALSE),"")</f>
        <v/>
      </c>
      <c r="R187" s="1120">
        <v>252.0</v>
      </c>
      <c r="S187" s="1111"/>
      <c r="T187" s="1117" t="s">
        <v>197</v>
      </c>
      <c r="U187" s="1118">
        <f t="array" ref="U187">IFERROR(VLOOKUP(T169,Dex!$B$3:$N191,13,FALSE),"")</f>
        <v>65</v>
      </c>
      <c r="V187" s="1119" t="str">
        <f t="array" ref="V187">IFERROR(VLOOKUP(U187,Dex!$P$22:$Q$276,2,FALSE),"")</f>
        <v/>
      </c>
      <c r="W187" s="1120">
        <v>4.0</v>
      </c>
      <c r="X187" s="1111"/>
      <c r="Y187" s="1117" t="s">
        <v>197</v>
      </c>
      <c r="Z187" s="1118">
        <f t="array" ref="Z187">IFERROR(VLOOKUP(Y169,Dex!$B$3:$N191,13,FALSE),"")</f>
        <v>91</v>
      </c>
      <c r="AA187" s="1119" t="str">
        <f t="array" ref="AA187">IFERROR(VLOOKUP(Z187,Dex!$P$22:$Q$276,2,FALSE),"")</f>
        <v/>
      </c>
      <c r="AB187" s="1120">
        <v>252.0</v>
      </c>
      <c r="AC187" s="1111"/>
      <c r="AD187" s="1117" t="s">
        <v>197</v>
      </c>
      <c r="AE187" s="1118">
        <f t="array" ref="AE187">IFERROR(VLOOKUP(AD169,Dex!$B$3:$N191,13,FALSE),"")</f>
        <v>121</v>
      </c>
      <c r="AF187" s="1119" t="str">
        <f t="array" ref="AF187">IFERROR(VLOOKUP(AE187,Dex!$P$22:$Q$276,2,FALSE),"")</f>
        <v/>
      </c>
      <c r="AG187" s="1120">
        <v>252.0</v>
      </c>
      <c r="AH187" s="1112"/>
      <c r="AI187" s="389"/>
    </row>
    <row r="188" ht="16.5" customHeight="1">
      <c r="A188" s="312"/>
      <c r="B188" s="1101"/>
      <c r="C188" s="1094"/>
      <c r="D188" s="1102"/>
      <c r="E188" s="1121" t="s">
        <v>198</v>
      </c>
      <c r="F188" s="405"/>
      <c r="G188" s="406"/>
      <c r="H188" s="1122">
        <v>316.0</v>
      </c>
      <c r="I188" s="1105"/>
      <c r="J188" s="1121" t="s">
        <v>198</v>
      </c>
      <c r="K188" s="405"/>
      <c r="L188" s="406"/>
      <c r="M188" s="1122">
        <v>300.0</v>
      </c>
      <c r="N188" s="1105"/>
      <c r="O188" s="1121" t="s">
        <v>198</v>
      </c>
      <c r="P188" s="405"/>
      <c r="Q188" s="406"/>
      <c r="R188" s="1122">
        <v>208.0</v>
      </c>
      <c r="S188" s="1105"/>
      <c r="T188" s="1121" t="s">
        <v>198</v>
      </c>
      <c r="U188" s="405"/>
      <c r="V188" s="406"/>
      <c r="W188" s="1122">
        <v>136.0</v>
      </c>
      <c r="X188" s="1105"/>
      <c r="Y188" s="1121" t="s">
        <v>198</v>
      </c>
      <c r="Z188" s="405"/>
      <c r="AA188" s="406"/>
      <c r="AB188" s="1122">
        <v>250.0</v>
      </c>
      <c r="AC188" s="1105"/>
      <c r="AD188" s="1123" t="s">
        <v>198</v>
      </c>
      <c r="AE188" s="918"/>
      <c r="AF188" s="919"/>
      <c r="AG188" s="1124">
        <v>304.0</v>
      </c>
      <c r="AH188" s="1106"/>
      <c r="AI188" s="389"/>
    </row>
    <row r="189" ht="16.5" customHeight="1">
      <c r="A189" s="312"/>
      <c r="B189" s="1101"/>
      <c r="C189" s="1094"/>
      <c r="D189" s="1102"/>
      <c r="E189" s="1125"/>
      <c r="F189" s="1125"/>
      <c r="G189" s="1125"/>
      <c r="H189" s="1125"/>
      <c r="I189" s="1105"/>
      <c r="J189" s="1126"/>
      <c r="K189" s="1126"/>
      <c r="L189" s="1126"/>
      <c r="M189" s="1125"/>
      <c r="N189" s="1105"/>
      <c r="O189" s="1126"/>
      <c r="P189" s="1126"/>
      <c r="Q189" s="1126"/>
      <c r="R189" s="1125"/>
      <c r="S189" s="1105"/>
      <c r="T189" s="1126"/>
      <c r="U189" s="1126"/>
      <c r="V189" s="1126"/>
      <c r="W189" s="1125"/>
      <c r="X189" s="1105"/>
      <c r="Y189" s="1126"/>
      <c r="Z189" s="1126"/>
      <c r="AA189" s="1126"/>
      <c r="AB189" s="1125"/>
      <c r="AC189" s="1105"/>
      <c r="AD189" s="1127" t="s">
        <v>411</v>
      </c>
      <c r="AE189" s="925"/>
      <c r="AF189" s="926"/>
      <c r="AG189" s="1128">
        <v>456.0</v>
      </c>
      <c r="AH189" s="1106"/>
      <c r="AI189" s="389"/>
    </row>
    <row r="190" ht="7.5" customHeight="1">
      <c r="A190" s="290"/>
      <c r="B190" s="1129"/>
      <c r="C190" s="1130"/>
      <c r="D190" s="1131"/>
      <c r="E190" s="1132"/>
      <c r="F190" s="1132"/>
      <c r="G190" s="1132"/>
      <c r="H190" s="1132"/>
      <c r="I190" s="1132"/>
      <c r="J190" s="1132"/>
      <c r="K190" s="1132"/>
      <c r="L190" s="1132"/>
      <c r="M190" s="1132"/>
      <c r="N190" s="1132"/>
      <c r="O190" s="1132"/>
      <c r="P190" s="1132"/>
      <c r="Q190" s="1132"/>
      <c r="R190" s="1132"/>
      <c r="S190" s="1132"/>
      <c r="T190" s="1132"/>
      <c r="U190" s="1132"/>
      <c r="V190" s="1132"/>
      <c r="W190" s="1132"/>
      <c r="X190" s="1132"/>
      <c r="Y190" s="1132"/>
      <c r="Z190" s="1132"/>
      <c r="AA190" s="1132"/>
      <c r="AB190" s="1132"/>
      <c r="AC190" s="1132"/>
      <c r="AD190" s="1132"/>
      <c r="AE190" s="1132"/>
      <c r="AF190" s="1132"/>
      <c r="AG190" s="1132"/>
      <c r="AH190" s="1133"/>
      <c r="AI190" s="296"/>
    </row>
    <row r="191" ht="3.75" customHeight="1">
      <c r="A191" s="287"/>
      <c r="B191" s="1134"/>
      <c r="C191" s="1135"/>
      <c r="D191" s="1134"/>
      <c r="E191" s="1134"/>
      <c r="F191" s="1134"/>
      <c r="G191" s="1134"/>
      <c r="H191" s="1134"/>
      <c r="I191" s="1134"/>
      <c r="J191" s="1134"/>
      <c r="K191" s="1134"/>
      <c r="L191" s="1134"/>
      <c r="M191" s="1134"/>
      <c r="N191" s="1134"/>
      <c r="O191" s="1134"/>
      <c r="P191" s="1134"/>
      <c r="Q191" s="1134"/>
      <c r="R191" s="1134"/>
      <c r="S191" s="1134"/>
      <c r="T191" s="1134"/>
      <c r="U191" s="1134"/>
      <c r="V191" s="1134"/>
      <c r="W191" s="1134"/>
      <c r="X191" s="1134"/>
      <c r="Y191" s="1134"/>
      <c r="Z191" s="1134"/>
      <c r="AA191" s="1134"/>
      <c r="AB191" s="1134"/>
      <c r="AC191" s="1134"/>
      <c r="AD191" s="1134"/>
      <c r="AE191" s="1134"/>
      <c r="AF191" s="1134"/>
      <c r="AG191" s="1134"/>
      <c r="AH191" s="1134"/>
      <c r="AI191" s="287"/>
    </row>
  </sheetData>
  <mergeCells count="636">
    <mergeCell ref="Y54:AB54"/>
    <mergeCell ref="Y55:AB55"/>
    <mergeCell ref="O56:Q56"/>
    <mergeCell ref="T56:V56"/>
    <mergeCell ref="Y56:AA56"/>
    <mergeCell ref="O57:Q57"/>
    <mergeCell ref="T57:V57"/>
    <mergeCell ref="Y57:AA57"/>
    <mergeCell ref="O58:Q58"/>
    <mergeCell ref="T58:V58"/>
    <mergeCell ref="Y58:AA58"/>
    <mergeCell ref="O59:Q59"/>
    <mergeCell ref="T59:V59"/>
    <mergeCell ref="Y59:AA59"/>
    <mergeCell ref="O60:Q60"/>
    <mergeCell ref="T60:V60"/>
    <mergeCell ref="O46:Q46"/>
    <mergeCell ref="T46:V46"/>
    <mergeCell ref="AC49:AC60"/>
    <mergeCell ref="O50:R50"/>
    <mergeCell ref="T50:W50"/>
    <mergeCell ref="O51:R51"/>
    <mergeCell ref="T51:W51"/>
    <mergeCell ref="Y60:AA60"/>
    <mergeCell ref="AD58:AG58"/>
    <mergeCell ref="AD59:AG59"/>
    <mergeCell ref="AD50:AG50"/>
    <mergeCell ref="AD51:AG51"/>
    <mergeCell ref="AD52:AG52"/>
    <mergeCell ref="AD54:AG54"/>
    <mergeCell ref="AD55:AG55"/>
    <mergeCell ref="AD56:AG56"/>
    <mergeCell ref="AD57:AG57"/>
    <mergeCell ref="O34:Q34"/>
    <mergeCell ref="O35:Q35"/>
    <mergeCell ref="J31:M31"/>
    <mergeCell ref="J32:M32"/>
    <mergeCell ref="O32:R32"/>
    <mergeCell ref="J33:L33"/>
    <mergeCell ref="O33:Q33"/>
    <mergeCell ref="J34:L34"/>
    <mergeCell ref="J35:L35"/>
    <mergeCell ref="J36:L36"/>
    <mergeCell ref="O36:Q36"/>
    <mergeCell ref="J37:L37"/>
    <mergeCell ref="O37:Q37"/>
    <mergeCell ref="J39:L39"/>
    <mergeCell ref="O39:Q39"/>
    <mergeCell ref="J46:L46"/>
    <mergeCell ref="Y50:AB50"/>
    <mergeCell ref="Y51:AB51"/>
    <mergeCell ref="AD60:AG60"/>
    <mergeCell ref="J49:M49"/>
    <mergeCell ref="O49:R49"/>
    <mergeCell ref="T49:W49"/>
    <mergeCell ref="Y49:AB49"/>
    <mergeCell ref="AD49:AG49"/>
    <mergeCell ref="J50:M50"/>
    <mergeCell ref="J51:M51"/>
    <mergeCell ref="J55:M55"/>
    <mergeCell ref="J56:L56"/>
    <mergeCell ref="J57:L57"/>
    <mergeCell ref="J58:L58"/>
    <mergeCell ref="J59:L59"/>
    <mergeCell ref="J60:L60"/>
    <mergeCell ref="P52:Q52"/>
    <mergeCell ref="Z52:AA52"/>
    <mergeCell ref="J54:M54"/>
    <mergeCell ref="O54:R54"/>
    <mergeCell ref="T54:W54"/>
    <mergeCell ref="O55:R55"/>
    <mergeCell ref="T55:W55"/>
    <mergeCell ref="E3:H3"/>
    <mergeCell ref="C4:C5"/>
    <mergeCell ref="E4:H4"/>
    <mergeCell ref="E5:H5"/>
    <mergeCell ref="C6:C8"/>
    <mergeCell ref="E8:H8"/>
    <mergeCell ref="O3:R3"/>
    <mergeCell ref="O4:R4"/>
    <mergeCell ref="Y3:AB3"/>
    <mergeCell ref="Y4:AB4"/>
    <mergeCell ref="J4:M4"/>
    <mergeCell ref="J5:M5"/>
    <mergeCell ref="T4:W4"/>
    <mergeCell ref="T5:W5"/>
    <mergeCell ref="AD4:AG4"/>
    <mergeCell ref="AD5:AG5"/>
    <mergeCell ref="Y6:AB6"/>
    <mergeCell ref="AD6:AG6"/>
    <mergeCell ref="O5:R5"/>
    <mergeCell ref="O11:Q11"/>
    <mergeCell ref="O12:Q12"/>
    <mergeCell ref="O13:Q13"/>
    <mergeCell ref="O14:R14"/>
    <mergeCell ref="J3:M3"/>
    <mergeCell ref="J12:L12"/>
    <mergeCell ref="J13:L13"/>
    <mergeCell ref="J14:L14"/>
    <mergeCell ref="T12:V12"/>
    <mergeCell ref="Y12:AB12"/>
    <mergeCell ref="AD12:AG12"/>
    <mergeCell ref="T13:V13"/>
    <mergeCell ref="Y13:AB13"/>
    <mergeCell ref="AD13:AG13"/>
    <mergeCell ref="T14:V14"/>
    <mergeCell ref="Y14:AB14"/>
    <mergeCell ref="T3:W3"/>
    <mergeCell ref="X3:X14"/>
    <mergeCell ref="AC3:AC14"/>
    <mergeCell ref="AD3:AG3"/>
    <mergeCell ref="Y5:AB5"/>
    <mergeCell ref="AD10:AG10"/>
    <mergeCell ref="AD11:AG11"/>
    <mergeCell ref="AD14:AG14"/>
    <mergeCell ref="J10:L10"/>
    <mergeCell ref="J11:L11"/>
    <mergeCell ref="J16:L16"/>
    <mergeCell ref="J23:L23"/>
    <mergeCell ref="J26:M26"/>
    <mergeCell ref="O9:R9"/>
    <mergeCell ref="O10:Q10"/>
    <mergeCell ref="O16:Q16"/>
    <mergeCell ref="T16:V16"/>
    <mergeCell ref="O23:Q23"/>
    <mergeCell ref="T23:V23"/>
    <mergeCell ref="O26:R26"/>
    <mergeCell ref="AD33:AG33"/>
    <mergeCell ref="T34:V34"/>
    <mergeCell ref="Y34:AB34"/>
    <mergeCell ref="AD34:AG34"/>
    <mergeCell ref="AD35:AG35"/>
    <mergeCell ref="T36:V36"/>
    <mergeCell ref="Y36:AB36"/>
    <mergeCell ref="AD36:AG36"/>
    <mergeCell ref="T37:V37"/>
    <mergeCell ref="Y37:AB37"/>
    <mergeCell ref="T39:V39"/>
    <mergeCell ref="T26:W26"/>
    <mergeCell ref="X26:X37"/>
    <mergeCell ref="Y26:AB26"/>
    <mergeCell ref="AC26:AC37"/>
    <mergeCell ref="AD26:AG26"/>
    <mergeCell ref="Y27:AB27"/>
    <mergeCell ref="Y28:AB28"/>
    <mergeCell ref="AD37:AG37"/>
    <mergeCell ref="T27:W27"/>
    <mergeCell ref="T28:W28"/>
    <mergeCell ref="AD27:AG27"/>
    <mergeCell ref="AD28:AG28"/>
    <mergeCell ref="Y29:AB29"/>
    <mergeCell ref="AD29:AG29"/>
    <mergeCell ref="T31:W31"/>
    <mergeCell ref="Y31:AB31"/>
    <mergeCell ref="AD31:AG31"/>
    <mergeCell ref="T32:W32"/>
    <mergeCell ref="Y32:AB32"/>
    <mergeCell ref="AD32:AG32"/>
    <mergeCell ref="T33:V33"/>
    <mergeCell ref="Y33:AB33"/>
    <mergeCell ref="T35:V35"/>
    <mergeCell ref="Y35:AB35"/>
    <mergeCell ref="E36:G36"/>
    <mergeCell ref="E37:G37"/>
    <mergeCell ref="E39:G39"/>
    <mergeCell ref="E46:G46"/>
    <mergeCell ref="E49:H49"/>
    <mergeCell ref="E50:H50"/>
    <mergeCell ref="E51:H51"/>
    <mergeCell ref="E54:H54"/>
    <mergeCell ref="E55:H55"/>
    <mergeCell ref="E56:G56"/>
    <mergeCell ref="E57:G57"/>
    <mergeCell ref="E58:G58"/>
    <mergeCell ref="E59:G59"/>
    <mergeCell ref="E60:G60"/>
    <mergeCell ref="E69:G69"/>
    <mergeCell ref="J69:L69"/>
    <mergeCell ref="O69:Q69"/>
    <mergeCell ref="T69:V69"/>
    <mergeCell ref="Y69:AA69"/>
    <mergeCell ref="J72:M72"/>
    <mergeCell ref="O72:R72"/>
    <mergeCell ref="E72:H72"/>
    <mergeCell ref="E73:H73"/>
    <mergeCell ref="J73:M73"/>
    <mergeCell ref="O73:R73"/>
    <mergeCell ref="E74:H74"/>
    <mergeCell ref="J74:M74"/>
    <mergeCell ref="O74:R74"/>
    <mergeCell ref="E126:G126"/>
    <mergeCell ref="E127:G127"/>
    <mergeCell ref="C120:C121"/>
    <mergeCell ref="E120:H120"/>
    <mergeCell ref="E121:H121"/>
    <mergeCell ref="C122:C124"/>
    <mergeCell ref="E124:H124"/>
    <mergeCell ref="C125:C127"/>
    <mergeCell ref="E125:H125"/>
    <mergeCell ref="O126:Q126"/>
    <mergeCell ref="J127:L127"/>
    <mergeCell ref="O127:Q127"/>
    <mergeCell ref="E128:G128"/>
    <mergeCell ref="J128:L128"/>
    <mergeCell ref="O128:Q128"/>
    <mergeCell ref="E129:H129"/>
    <mergeCell ref="J129:L129"/>
    <mergeCell ref="O129:Q129"/>
    <mergeCell ref="E130:H130"/>
    <mergeCell ref="J130:L130"/>
    <mergeCell ref="J105:L105"/>
    <mergeCell ref="J106:L106"/>
    <mergeCell ref="E116:G116"/>
    <mergeCell ref="J116:L116"/>
    <mergeCell ref="O116:Q116"/>
    <mergeCell ref="D119:D130"/>
    <mergeCell ref="I119:I130"/>
    <mergeCell ref="O130:Q130"/>
    <mergeCell ref="J101:M101"/>
    <mergeCell ref="J102:M102"/>
    <mergeCell ref="J78:M78"/>
    <mergeCell ref="J79:L79"/>
    <mergeCell ref="I96:I107"/>
    <mergeCell ref="J96:M96"/>
    <mergeCell ref="N96:N107"/>
    <mergeCell ref="J97:M97"/>
    <mergeCell ref="J98:M98"/>
    <mergeCell ref="J107:L107"/>
    <mergeCell ref="E119:H119"/>
    <mergeCell ref="J119:M119"/>
    <mergeCell ref="O119:R119"/>
    <mergeCell ref="J120:M120"/>
    <mergeCell ref="J121:M121"/>
    <mergeCell ref="K122:L122"/>
    <mergeCell ref="J124:M124"/>
    <mergeCell ref="O139:Q139"/>
    <mergeCell ref="T139:V139"/>
    <mergeCell ref="O140:Q140"/>
    <mergeCell ref="T140:V140"/>
    <mergeCell ref="O144:R144"/>
    <mergeCell ref="N119:N130"/>
    <mergeCell ref="S119:S130"/>
    <mergeCell ref="O120:R120"/>
    <mergeCell ref="O121:R121"/>
    <mergeCell ref="O124:R124"/>
    <mergeCell ref="O125:R125"/>
    <mergeCell ref="O132:Q132"/>
    <mergeCell ref="O145:R145"/>
    <mergeCell ref="O146:R146"/>
    <mergeCell ref="T146:W146"/>
    <mergeCell ref="U147:V147"/>
    <mergeCell ref="O149:R149"/>
    <mergeCell ref="T149:W149"/>
    <mergeCell ref="J149:M149"/>
    <mergeCell ref="J150:M150"/>
    <mergeCell ref="O151:Q151"/>
    <mergeCell ref="T151:V151"/>
    <mergeCell ref="E151:G151"/>
    <mergeCell ref="E152:G152"/>
    <mergeCell ref="C145:C146"/>
    <mergeCell ref="E145:H145"/>
    <mergeCell ref="E146:H146"/>
    <mergeCell ref="C147:C149"/>
    <mergeCell ref="E149:H149"/>
    <mergeCell ref="C150:C152"/>
    <mergeCell ref="E150:H150"/>
    <mergeCell ref="O170:R170"/>
    <mergeCell ref="O173:R173"/>
    <mergeCell ref="T173:W173"/>
    <mergeCell ref="O174:R174"/>
    <mergeCell ref="T174:W174"/>
    <mergeCell ref="O175:Q175"/>
    <mergeCell ref="T175:V175"/>
    <mergeCell ref="O176:Q176"/>
    <mergeCell ref="T176:V176"/>
    <mergeCell ref="O177:Q177"/>
    <mergeCell ref="T177:V177"/>
    <mergeCell ref="O178:Q178"/>
    <mergeCell ref="T178:V178"/>
    <mergeCell ref="O179:Q179"/>
    <mergeCell ref="T179:V179"/>
    <mergeCell ref="O181:Q181"/>
    <mergeCell ref="T181:V181"/>
    <mergeCell ref="O188:Q188"/>
    <mergeCell ref="T188:V188"/>
    <mergeCell ref="O168:R168"/>
    <mergeCell ref="S168:S179"/>
    <mergeCell ref="T168:W168"/>
    <mergeCell ref="X168:X179"/>
    <mergeCell ref="O169:R169"/>
    <mergeCell ref="T169:W169"/>
    <mergeCell ref="T170:W170"/>
    <mergeCell ref="O150:R150"/>
    <mergeCell ref="T150:W150"/>
    <mergeCell ref="J152:L152"/>
    <mergeCell ref="O152:Q152"/>
    <mergeCell ref="T152:V152"/>
    <mergeCell ref="J153:L153"/>
    <mergeCell ref="O153:Q153"/>
    <mergeCell ref="T153:V153"/>
    <mergeCell ref="T154:V154"/>
    <mergeCell ref="J155:L155"/>
    <mergeCell ref="O155:Q155"/>
    <mergeCell ref="T155:V155"/>
    <mergeCell ref="J144:M144"/>
    <mergeCell ref="N144:N155"/>
    <mergeCell ref="S144:S155"/>
    <mergeCell ref="X144:X155"/>
    <mergeCell ref="J145:M145"/>
    <mergeCell ref="T145:W145"/>
    <mergeCell ref="J146:M146"/>
    <mergeCell ref="J169:M169"/>
    <mergeCell ref="J170:M170"/>
    <mergeCell ref="J173:M173"/>
    <mergeCell ref="J154:L154"/>
    <mergeCell ref="O154:Q154"/>
    <mergeCell ref="O157:Q157"/>
    <mergeCell ref="T157:V157"/>
    <mergeCell ref="O164:Q164"/>
    <mergeCell ref="T164:V164"/>
    <mergeCell ref="O165:Q165"/>
    <mergeCell ref="J125:M125"/>
    <mergeCell ref="J126:L126"/>
    <mergeCell ref="E132:G132"/>
    <mergeCell ref="J132:L132"/>
    <mergeCell ref="E139:G139"/>
    <mergeCell ref="J139:L139"/>
    <mergeCell ref="I144:I155"/>
    <mergeCell ref="J157:L157"/>
    <mergeCell ref="J178:L178"/>
    <mergeCell ref="E179:G179"/>
    <mergeCell ref="J179:L179"/>
    <mergeCell ref="E181:G181"/>
    <mergeCell ref="J181:L181"/>
    <mergeCell ref="E188:G188"/>
    <mergeCell ref="J188:L188"/>
    <mergeCell ref="E154:G154"/>
    <mergeCell ref="E155:G155"/>
    <mergeCell ref="E157:G157"/>
    <mergeCell ref="E164:G164"/>
    <mergeCell ref="J164:L164"/>
    <mergeCell ref="I168:I179"/>
    <mergeCell ref="E170:H170"/>
    <mergeCell ref="J151:L151"/>
    <mergeCell ref="E153:G153"/>
    <mergeCell ref="J168:M168"/>
    <mergeCell ref="N168:N179"/>
    <mergeCell ref="J174:M174"/>
    <mergeCell ref="J175:L175"/>
    <mergeCell ref="J176:L176"/>
    <mergeCell ref="J177:L177"/>
    <mergeCell ref="E168:H168"/>
    <mergeCell ref="E169:H169"/>
    <mergeCell ref="C169:C170"/>
    <mergeCell ref="C171:C173"/>
    <mergeCell ref="C174:C176"/>
    <mergeCell ref="E173:H173"/>
    <mergeCell ref="E174:H174"/>
    <mergeCell ref="E175:G175"/>
    <mergeCell ref="E176:G176"/>
    <mergeCell ref="E177:G177"/>
    <mergeCell ref="E178:G178"/>
    <mergeCell ref="T101:W101"/>
    <mergeCell ref="Y101:AB101"/>
    <mergeCell ref="AD101:AG101"/>
    <mergeCell ref="AD102:AG102"/>
    <mergeCell ref="AD103:AF103"/>
    <mergeCell ref="AD104:AF104"/>
    <mergeCell ref="AD105:AF105"/>
    <mergeCell ref="T119:W119"/>
    <mergeCell ref="T120:W120"/>
    <mergeCell ref="AD121:AG121"/>
    <mergeCell ref="AD124:AG124"/>
    <mergeCell ref="AD125:AG125"/>
    <mergeCell ref="AD126:AF126"/>
    <mergeCell ref="Y127:AA127"/>
    <mergeCell ref="Y128:AA128"/>
    <mergeCell ref="Y132:AA132"/>
    <mergeCell ref="AD127:AF127"/>
    <mergeCell ref="AD128:AF128"/>
    <mergeCell ref="AD132:AF132"/>
    <mergeCell ref="T129:W129"/>
    <mergeCell ref="T130:W130"/>
    <mergeCell ref="T132:V132"/>
    <mergeCell ref="T116:V116"/>
    <mergeCell ref="T121:W121"/>
    <mergeCell ref="T124:W124"/>
    <mergeCell ref="T125:W125"/>
    <mergeCell ref="T126:V126"/>
    <mergeCell ref="T127:V127"/>
    <mergeCell ref="T128:V128"/>
    <mergeCell ref="Y176:AA176"/>
    <mergeCell ref="Y177:AA177"/>
    <mergeCell ref="Y178:AA178"/>
    <mergeCell ref="Y179:AA179"/>
    <mergeCell ref="Y181:AA181"/>
    <mergeCell ref="Y188:AA188"/>
    <mergeCell ref="AD188:AF188"/>
    <mergeCell ref="AD189:AF189"/>
    <mergeCell ref="Y157:AA157"/>
    <mergeCell ref="Y164:AA164"/>
    <mergeCell ref="Y168:AB168"/>
    <mergeCell ref="AC168:AC179"/>
    <mergeCell ref="Y169:AB169"/>
    <mergeCell ref="Y170:AB170"/>
    <mergeCell ref="Y173:AB173"/>
    <mergeCell ref="Y119:AB119"/>
    <mergeCell ref="AC119:AC130"/>
    <mergeCell ref="Y120:AB120"/>
    <mergeCell ref="Y121:AB121"/>
    <mergeCell ref="Y124:AB124"/>
    <mergeCell ref="Y125:AB125"/>
    <mergeCell ref="Y126:AA126"/>
    <mergeCell ref="AD106:AF106"/>
    <mergeCell ref="AD107:AF107"/>
    <mergeCell ref="Y116:AA116"/>
    <mergeCell ref="AD116:AF116"/>
    <mergeCell ref="X119:X130"/>
    <mergeCell ref="AD119:AG119"/>
    <mergeCell ref="AD120:AG120"/>
    <mergeCell ref="Y129:AA129"/>
    <mergeCell ref="Y130:AA130"/>
    <mergeCell ref="Y139:AA139"/>
    <mergeCell ref="Y140:AA140"/>
    <mergeCell ref="E143:AG143"/>
    <mergeCell ref="E144:H144"/>
    <mergeCell ref="T144:W144"/>
    <mergeCell ref="Y144:AB144"/>
    <mergeCell ref="AD144:AG144"/>
    <mergeCell ref="Y145:AB145"/>
    <mergeCell ref="AD145:AG145"/>
    <mergeCell ref="Y146:AB146"/>
    <mergeCell ref="AD146:AG146"/>
    <mergeCell ref="AD149:AG149"/>
    <mergeCell ref="AD150:AG150"/>
    <mergeCell ref="AD129:AF129"/>
    <mergeCell ref="AD130:AF130"/>
    <mergeCell ref="AD139:AF139"/>
    <mergeCell ref="AC144:AC155"/>
    <mergeCell ref="AD151:AF151"/>
    <mergeCell ref="AD152:AF152"/>
    <mergeCell ref="AD153:AF153"/>
    <mergeCell ref="Y149:AB149"/>
    <mergeCell ref="Y150:AB150"/>
    <mergeCell ref="Y151:AA151"/>
    <mergeCell ref="Y152:AA152"/>
    <mergeCell ref="Y153:AA153"/>
    <mergeCell ref="Y154:AA154"/>
    <mergeCell ref="Y155:AA155"/>
    <mergeCell ref="Y174:AB174"/>
    <mergeCell ref="Y175:AA175"/>
    <mergeCell ref="AD175:AF175"/>
    <mergeCell ref="AD176:AF176"/>
    <mergeCell ref="AD177:AF177"/>
    <mergeCell ref="AD178:AF178"/>
    <mergeCell ref="AD179:AF179"/>
    <mergeCell ref="AD181:AF181"/>
    <mergeCell ref="T8:W8"/>
    <mergeCell ref="Y8:AB8"/>
    <mergeCell ref="AD8:AG8"/>
    <mergeCell ref="T9:W9"/>
    <mergeCell ref="Y9:AB9"/>
    <mergeCell ref="AD9:AG9"/>
    <mergeCell ref="T10:V10"/>
    <mergeCell ref="Y10:AB10"/>
    <mergeCell ref="T11:V11"/>
    <mergeCell ref="Y11:AB11"/>
    <mergeCell ref="J8:M8"/>
    <mergeCell ref="O8:R8"/>
    <mergeCell ref="C9:C11"/>
    <mergeCell ref="E9:H9"/>
    <mergeCell ref="J9:M9"/>
    <mergeCell ref="E10:G10"/>
    <mergeCell ref="E11:G11"/>
    <mergeCell ref="C27:C28"/>
    <mergeCell ref="C29:C31"/>
    <mergeCell ref="E27:H27"/>
    <mergeCell ref="J27:M27"/>
    <mergeCell ref="O27:R27"/>
    <mergeCell ref="J28:M28"/>
    <mergeCell ref="O28:R28"/>
    <mergeCell ref="K29:L29"/>
    <mergeCell ref="O31:R31"/>
    <mergeCell ref="T78:W78"/>
    <mergeCell ref="Y78:AB78"/>
    <mergeCell ref="T79:V79"/>
    <mergeCell ref="Y79:AA79"/>
    <mergeCell ref="T80:V80"/>
    <mergeCell ref="Y80:AA80"/>
    <mergeCell ref="T81:V81"/>
    <mergeCell ref="Y81:AA81"/>
    <mergeCell ref="T82:V82"/>
    <mergeCell ref="Y82:AA82"/>
    <mergeCell ref="T83:V83"/>
    <mergeCell ref="Y83:AA83"/>
    <mergeCell ref="T85:V85"/>
    <mergeCell ref="Y85:AA85"/>
    <mergeCell ref="T92:V92"/>
    <mergeCell ref="Y92:AA92"/>
    <mergeCell ref="T72:W72"/>
    <mergeCell ref="Y72:AB72"/>
    <mergeCell ref="AC72:AC83"/>
    <mergeCell ref="T73:W73"/>
    <mergeCell ref="Y73:AB73"/>
    <mergeCell ref="T74:W74"/>
    <mergeCell ref="Y74:AB74"/>
    <mergeCell ref="E12:G12"/>
    <mergeCell ref="E13:G13"/>
    <mergeCell ref="E14:G14"/>
    <mergeCell ref="E16:G16"/>
    <mergeCell ref="E23:G23"/>
    <mergeCell ref="E26:H26"/>
    <mergeCell ref="E28:H28"/>
    <mergeCell ref="F29:G29"/>
    <mergeCell ref="E31:H31"/>
    <mergeCell ref="C32:C34"/>
    <mergeCell ref="E32:H32"/>
    <mergeCell ref="E33:G33"/>
    <mergeCell ref="E34:G34"/>
    <mergeCell ref="E35:G35"/>
    <mergeCell ref="C50:C51"/>
    <mergeCell ref="C52:C54"/>
    <mergeCell ref="C55:C57"/>
    <mergeCell ref="C73:C74"/>
    <mergeCell ref="C75:C77"/>
    <mergeCell ref="C78:C80"/>
    <mergeCell ref="E62:G62"/>
    <mergeCell ref="J62:L62"/>
    <mergeCell ref="O62:Q62"/>
    <mergeCell ref="T62:V62"/>
    <mergeCell ref="Y62:AA62"/>
    <mergeCell ref="T77:W77"/>
    <mergeCell ref="Y77:AB77"/>
    <mergeCell ref="AD77:AG77"/>
    <mergeCell ref="E79:G79"/>
    <mergeCell ref="E80:G80"/>
    <mergeCell ref="J80:L80"/>
    <mergeCell ref="O80:Q80"/>
    <mergeCell ref="AD81:AG81"/>
    <mergeCell ref="AD82:AG82"/>
    <mergeCell ref="AD83:AG83"/>
    <mergeCell ref="AD72:AG72"/>
    <mergeCell ref="AD73:AG73"/>
    <mergeCell ref="AD74:AG74"/>
    <mergeCell ref="AD75:AG75"/>
    <mergeCell ref="AD78:AG78"/>
    <mergeCell ref="AD79:AG79"/>
    <mergeCell ref="AD80:AG80"/>
    <mergeCell ref="T98:W98"/>
    <mergeCell ref="Y98:AB98"/>
    <mergeCell ref="E96:H96"/>
    <mergeCell ref="O96:R96"/>
    <mergeCell ref="T96:W96"/>
    <mergeCell ref="Y96:AB96"/>
    <mergeCell ref="AD96:AG96"/>
    <mergeCell ref="C97:C98"/>
    <mergeCell ref="AD97:AG97"/>
    <mergeCell ref="AD98:AG98"/>
    <mergeCell ref="U99:V99"/>
    <mergeCell ref="O101:R101"/>
    <mergeCell ref="O102:R102"/>
    <mergeCell ref="T102:W102"/>
    <mergeCell ref="Y102:AB102"/>
    <mergeCell ref="O103:Q103"/>
    <mergeCell ref="T103:V103"/>
    <mergeCell ref="Y103:AA103"/>
    <mergeCell ref="O104:Q104"/>
    <mergeCell ref="T104:V104"/>
    <mergeCell ref="Y104:AA104"/>
    <mergeCell ref="O105:Q105"/>
    <mergeCell ref="T105:V105"/>
    <mergeCell ref="Y105:AA105"/>
    <mergeCell ref="O106:Q106"/>
    <mergeCell ref="T106:V106"/>
    <mergeCell ref="Y106:AA106"/>
    <mergeCell ref="O107:Q107"/>
    <mergeCell ref="T107:V107"/>
    <mergeCell ref="Y107:AA107"/>
    <mergeCell ref="O82:Q82"/>
    <mergeCell ref="O83:Q83"/>
    <mergeCell ref="S96:S107"/>
    <mergeCell ref="X96:X107"/>
    <mergeCell ref="AC96:AC107"/>
    <mergeCell ref="T97:W97"/>
    <mergeCell ref="Y97:AB97"/>
    <mergeCell ref="F75:G75"/>
    <mergeCell ref="E77:H77"/>
    <mergeCell ref="J77:M77"/>
    <mergeCell ref="O77:R77"/>
    <mergeCell ref="E78:H78"/>
    <mergeCell ref="O78:R78"/>
    <mergeCell ref="O79:Q79"/>
    <mergeCell ref="E81:G81"/>
    <mergeCell ref="J81:L81"/>
    <mergeCell ref="O81:Q81"/>
    <mergeCell ref="E82:G82"/>
    <mergeCell ref="J82:L82"/>
    <mergeCell ref="E83:G83"/>
    <mergeCell ref="J83:L83"/>
    <mergeCell ref="E85:G85"/>
    <mergeCell ref="J85:L85"/>
    <mergeCell ref="O85:Q85"/>
    <mergeCell ref="E92:G92"/>
    <mergeCell ref="J92:L92"/>
    <mergeCell ref="O92:Q92"/>
    <mergeCell ref="E95:AG95"/>
    <mergeCell ref="O97:R97"/>
    <mergeCell ref="O98:R98"/>
    <mergeCell ref="J103:L103"/>
    <mergeCell ref="J104:L104"/>
    <mergeCell ref="J109:L109"/>
    <mergeCell ref="O109:Q109"/>
    <mergeCell ref="T109:V109"/>
    <mergeCell ref="Y109:AA109"/>
    <mergeCell ref="AD109:AF109"/>
    <mergeCell ref="E104:G104"/>
    <mergeCell ref="E105:G105"/>
    <mergeCell ref="E106:G106"/>
    <mergeCell ref="E107:G107"/>
    <mergeCell ref="E109:G109"/>
    <mergeCell ref="E97:H97"/>
    <mergeCell ref="E98:H98"/>
    <mergeCell ref="C99:C101"/>
    <mergeCell ref="E101:H101"/>
    <mergeCell ref="C102:C104"/>
    <mergeCell ref="E102:H102"/>
    <mergeCell ref="E103:G103"/>
    <mergeCell ref="AD173:AG173"/>
    <mergeCell ref="AD174:AG174"/>
    <mergeCell ref="AD154:AF154"/>
    <mergeCell ref="AD155:AF155"/>
    <mergeCell ref="AD157:AF157"/>
    <mergeCell ref="AD164:AF164"/>
    <mergeCell ref="AD168:AG168"/>
    <mergeCell ref="AD169:AG169"/>
    <mergeCell ref="AD170:AG170"/>
  </mergeCells>
  <conditionalFormatting sqref="H23 M23 R23 W23 H46 M46 R46 W46 H69 M69 R69 W69 AB69 H92 M92 R92 W92 AB92 H116 M116 R116 W116 AB116 AG116 H139 M139 R139:R140 W139:W140 AB139:AB140 AG139 H164 M164 R164:R165 W164 AB164 AG164 H188 M188 R188 W188 AB188 AG188:AG189">
    <cfRule type="cellIs" dxfId="0" priority="1" operator="between">
      <formula>1</formula>
      <formula>95</formula>
    </cfRule>
  </conditionalFormatting>
  <conditionalFormatting sqref="H23 M23 R23 W23 H46 M46 R46 W46 H69 M69 R69 W69 AB69 H92 M92 R92 W92 AB92 H116 M116 R116 W116 AB116 AG116 H139 M139 R139:R140 W139:W140 AB139:AB140 AG139 H164 M164 R164:R165 W164 AB164 AG164 H188 M188 R188 W188 AB188 AG188:AG189">
    <cfRule type="cellIs" dxfId="1" priority="2" operator="between">
      <formula>96</formula>
      <formula>195</formula>
    </cfRule>
  </conditionalFormatting>
  <conditionalFormatting sqref="H23 M23 R23 W23 H46 M46 R46 W46 H69 M69 R69 W69 AB69 H92 M92 R92 W92 AB92 H116 M116 R116 W116 AB116 AG116 H139 M139 R139:R140 W139:W140 AB139:AB140 AG139 H164 M164 R164:R165 W164 AB164 AG164 H188 M188 R188 W188 AB188 AG188:AG189">
    <cfRule type="cellIs" dxfId="2" priority="3" operator="between">
      <formula>196</formula>
      <formula>260</formula>
    </cfRule>
  </conditionalFormatting>
  <conditionalFormatting sqref="H23 M23 R23 W23 H46 M46 R46 W46 H69 M69 R69 W69 AB69 H92 M92 R92 W92 AB92 H116 M116 R116 W116 AB116 AG116 H139 M139 R139:R140 W139:W140 AB139:AB140 AG139 H164 M164 R164:R165 W164 AB164 AG164 H188 M188 R188 W188 AB188 AG188:AG189">
    <cfRule type="cellIs" dxfId="3" priority="4" operator="between">
      <formula>261</formula>
      <formula>299</formula>
    </cfRule>
  </conditionalFormatting>
  <conditionalFormatting sqref="H23 M23 R23 W23 H46 M46 R46 W46 H69 M69 R69 W69 AB69 H92 M92 R92 W92 AB92 H116 M116 R116 W116 AB116 AG116 H139 M139 R139:R140 W139:W140 AB139:AB140 AG139 H164 M164 R164:R165 W164 AB164 AG164 H188 M188 R188 W188 AB188 AG188:AG189">
    <cfRule type="cellIs" dxfId="4" priority="5" operator="between">
      <formula>300</formula>
      <formula>350</formula>
    </cfRule>
  </conditionalFormatting>
  <conditionalFormatting sqref="H23 M23 R23 W23 H46 M46 R46 W46 H69 M69 R69 W69 AB69 H92 M92 R92 W92 AB92 H116 M116 R116 W116 AB116 AG116 H139 M139 R139:R140 W139:W140 AB139:AB140 AG139 H164 M164 R164:R165 W164 AB164 AG164 H188 M188 R188 W188 AB188 AG188:AG189">
    <cfRule type="cellIs" dxfId="5" priority="6" operator="between">
      <formula>351</formula>
      <formula>450</formula>
    </cfRule>
  </conditionalFormatting>
  <conditionalFormatting sqref="H23 M23 R23 W23 H46 M46 R46 W46 H69 M69 R69 W69 AB69 H92 M92 R92 W92 AB92 H116 M116 R116 W116 AB116 AG116 H139 M139 R139:R140 W139:W140 AB139:AB140 AG139 H164 M164 R164:R165 W164 AB164 AG164 H188 M188 R188 W188 AB188 AG188:AG189">
    <cfRule type="cellIs" dxfId="6" priority="7" operator="between">
      <formula>451</formula>
      <formula>1000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3850"/>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287"/>
      <c r="B1" s="1136"/>
      <c r="C1" s="1137"/>
      <c r="D1" s="1136"/>
      <c r="E1" s="1136"/>
      <c r="F1" s="1136"/>
      <c r="G1" s="1136"/>
      <c r="H1" s="1136"/>
      <c r="I1" s="1136"/>
      <c r="J1" s="1136"/>
      <c r="K1" s="1136"/>
      <c r="L1" s="1136"/>
      <c r="M1" s="1136"/>
      <c r="N1" s="1136"/>
      <c r="O1" s="1136"/>
      <c r="P1" s="1136"/>
      <c r="Q1" s="1136"/>
      <c r="R1" s="1136"/>
      <c r="S1" s="1136"/>
      <c r="T1" s="1136"/>
      <c r="U1" s="1136"/>
      <c r="V1" s="1136"/>
      <c r="W1" s="1136"/>
      <c r="X1" s="1136"/>
      <c r="Y1" s="1136"/>
      <c r="Z1" s="1136"/>
      <c r="AA1" s="1136"/>
      <c r="AB1" s="1136"/>
      <c r="AC1" s="1136"/>
      <c r="AD1" s="1136"/>
      <c r="AE1" s="1136"/>
      <c r="AF1" s="1136"/>
      <c r="AG1" s="1136"/>
      <c r="AH1" s="1136"/>
      <c r="AI1" s="1138"/>
    </row>
    <row r="2" ht="7.5" customHeight="1">
      <c r="A2" s="290"/>
      <c r="B2" s="1139"/>
      <c r="C2" s="1140"/>
      <c r="D2" s="1141"/>
      <c r="E2" s="1141"/>
      <c r="F2" s="1141"/>
      <c r="G2" s="1141"/>
      <c r="H2" s="1141"/>
      <c r="I2" s="1141"/>
      <c r="J2" s="1141"/>
      <c r="K2" s="1141"/>
      <c r="L2" s="1141"/>
      <c r="M2" s="1141"/>
      <c r="N2" s="1141"/>
      <c r="O2" s="1141"/>
      <c r="P2" s="1141"/>
      <c r="Q2" s="1141"/>
      <c r="R2" s="1141"/>
      <c r="S2" s="1141"/>
      <c r="T2" s="1141"/>
      <c r="U2" s="1141"/>
      <c r="V2" s="1141"/>
      <c r="W2" s="1141"/>
      <c r="X2" s="1141"/>
      <c r="Y2" s="1141"/>
      <c r="Z2" s="1141"/>
      <c r="AA2" s="1141"/>
      <c r="AB2" s="1141"/>
      <c r="AC2" s="1141"/>
      <c r="AD2" s="1141"/>
      <c r="AE2" s="1141"/>
      <c r="AF2" s="1141"/>
      <c r="AG2" s="1141"/>
      <c r="AH2" s="1142"/>
      <c r="AI2" s="1143"/>
    </row>
    <row r="3">
      <c r="A3" s="297"/>
      <c r="B3" s="1144"/>
      <c r="C3" s="1145"/>
      <c r="D3" s="1146"/>
      <c r="E3" s="1147" t="s">
        <v>412</v>
      </c>
      <c r="F3" s="329"/>
      <c r="G3" s="329"/>
      <c r="H3" s="329"/>
      <c r="I3" s="329"/>
      <c r="J3" s="329"/>
      <c r="K3" s="329"/>
      <c r="L3" s="329"/>
      <c r="M3" s="329"/>
      <c r="N3" s="329"/>
      <c r="O3" s="329"/>
      <c r="P3" s="329"/>
      <c r="Q3" s="329"/>
      <c r="R3" s="329"/>
      <c r="S3" s="329"/>
      <c r="T3" s="329"/>
      <c r="U3" s="329"/>
      <c r="V3" s="329"/>
      <c r="W3" s="329"/>
      <c r="X3" s="329"/>
      <c r="Y3" s="329"/>
      <c r="Z3" s="329"/>
      <c r="AA3" s="329"/>
      <c r="AB3" s="329"/>
      <c r="AC3" s="329"/>
      <c r="AD3" s="329"/>
      <c r="AE3" s="329"/>
      <c r="AF3" s="329"/>
      <c r="AG3" s="1148"/>
      <c r="AH3" s="1149"/>
      <c r="AI3" s="1143"/>
    </row>
    <row r="4" ht="96.75" customHeight="1">
      <c r="A4" s="312"/>
      <c r="B4" s="1150"/>
      <c r="C4" s="1151" t="str">
        <f>IMAGE("https://i.ibb.co/v10Rh61/Brock.png")</f>
        <v/>
      </c>
      <c r="D4" s="1152"/>
      <c r="E4" s="1153" t="str">
        <f t="array" ref="E4">IFERROR(VLOOKUP(E5,Dex!$B$3:$G102,3,FALSE),"")</f>
        <v/>
      </c>
      <c r="F4" s="302"/>
      <c r="G4" s="302"/>
      <c r="H4" s="303"/>
      <c r="I4" s="1154"/>
      <c r="J4" s="1153" t="str">
        <f t="array" ref="J4">IFERROR(VLOOKUP(J5,Dex!$B$3:$G102,3,FALSE),"")</f>
        <v/>
      </c>
      <c r="K4" s="302"/>
      <c r="L4" s="302"/>
      <c r="M4" s="303"/>
      <c r="N4" s="1154"/>
      <c r="O4" s="1153" t="str">
        <f t="array" ref="O4">IFERROR(VLOOKUP(O5,Dex!$B$3:$G102,3,FALSE),"")</f>
        <v/>
      </c>
      <c r="P4" s="302"/>
      <c r="Q4" s="302"/>
      <c r="R4" s="303"/>
      <c r="S4" s="1154"/>
      <c r="T4" s="1153" t="str">
        <f t="array" ref="T4">IFERROR(VLOOKUP(T5,Dex!$B$3:$G102,3,FALSE),"")</f>
        <v/>
      </c>
      <c r="U4" s="302"/>
      <c r="V4" s="302"/>
      <c r="W4" s="303"/>
      <c r="X4" s="1154"/>
      <c r="Y4" s="1153" t="str">
        <f t="array" ref="Y4">IFERROR(VLOOKUP(Y5,Dex!$B$3:$G102,3,FALSE),"")</f>
        <v/>
      </c>
      <c r="Z4" s="302"/>
      <c r="AA4" s="302"/>
      <c r="AB4" s="303"/>
      <c r="AC4" s="1154"/>
      <c r="AD4" s="1153" t="str">
        <f t="array" ref="AD4">IFERROR(VLOOKUP(AD5,Dex!$B$3:$G102,3,FALSE),"")</f>
        <v/>
      </c>
      <c r="AE4" s="302"/>
      <c r="AF4" s="302"/>
      <c r="AG4" s="303"/>
      <c r="AH4" s="1155"/>
      <c r="AI4" s="1156"/>
    </row>
    <row r="5" ht="18.75" customHeight="1">
      <c r="A5" s="312"/>
      <c r="B5" s="1157"/>
      <c r="C5" s="314" t="s">
        <v>413</v>
      </c>
      <c r="D5" s="1158"/>
      <c r="E5" s="1159" t="s">
        <v>414</v>
      </c>
      <c r="F5" s="317"/>
      <c r="G5" s="317"/>
      <c r="H5" s="318"/>
      <c r="J5" s="1159" t="s">
        <v>415</v>
      </c>
      <c r="K5" s="317"/>
      <c r="L5" s="317"/>
      <c r="M5" s="318"/>
      <c r="O5" s="1159" t="s">
        <v>416</v>
      </c>
      <c r="P5" s="317"/>
      <c r="Q5" s="317"/>
      <c r="R5" s="318"/>
      <c r="T5" s="1159" t="s">
        <v>417</v>
      </c>
      <c r="U5" s="317"/>
      <c r="V5" s="317"/>
      <c r="W5" s="318"/>
      <c r="Y5" s="1159" t="s">
        <v>418</v>
      </c>
      <c r="Z5" s="317"/>
      <c r="AA5" s="317"/>
      <c r="AB5" s="318"/>
      <c r="AD5" s="1159" t="s">
        <v>419</v>
      </c>
      <c r="AE5" s="317"/>
      <c r="AF5" s="317"/>
      <c r="AG5" s="318"/>
      <c r="AH5" s="1160"/>
      <c r="AI5" s="1161"/>
    </row>
    <row r="6">
      <c r="A6" s="312"/>
      <c r="B6" s="1162"/>
      <c r="C6" s="326"/>
      <c r="D6" s="1163"/>
      <c r="E6" s="1164" t="s">
        <v>420</v>
      </c>
      <c r="F6" s="307"/>
      <c r="G6" s="307"/>
      <c r="H6" s="356"/>
      <c r="J6" s="1164" t="s">
        <v>420</v>
      </c>
      <c r="K6" s="307"/>
      <c r="L6" s="307"/>
      <c r="M6" s="356"/>
      <c r="O6" s="1164" t="s">
        <v>420</v>
      </c>
      <c r="P6" s="307"/>
      <c r="Q6" s="307"/>
      <c r="R6" s="356"/>
      <c r="T6" s="1164" t="s">
        <v>420</v>
      </c>
      <c r="U6" s="307"/>
      <c r="V6" s="307"/>
      <c r="W6" s="356"/>
      <c r="Y6" s="1164" t="s">
        <v>420</v>
      </c>
      <c r="Z6" s="307"/>
      <c r="AA6" s="307"/>
      <c r="AB6" s="356"/>
      <c r="AD6" s="1164" t="s">
        <v>420</v>
      </c>
      <c r="AE6" s="307"/>
      <c r="AF6" s="307"/>
      <c r="AG6" s="356"/>
      <c r="AH6" s="1165"/>
      <c r="AI6" s="1166"/>
    </row>
    <row r="7" ht="25.5" customHeight="1">
      <c r="A7" s="343"/>
      <c r="B7" s="1144"/>
      <c r="C7" s="1167"/>
      <c r="D7" s="1168"/>
      <c r="E7" s="1169"/>
      <c r="F7" s="1170" t="str">
        <f t="array" ref="F7">IFERROR(VLOOKUP(E5,Dex!$B$3:$H102,5,FALSE),"")</f>
        <v/>
      </c>
      <c r="G7" s="1170" t="str">
        <f t="array" ref="G7">IFERROR(VLOOKUP(E5,Dex!$B$3:$H102,7,FALSE),"")</f>
        <v/>
      </c>
      <c r="H7" s="1171"/>
      <c r="J7" s="1172"/>
      <c r="K7" s="1170" t="str">
        <f t="array" ref="K7">IFERROR(VLOOKUP(J5,Dex!$B$3:$H102,5,FALSE),"")</f>
        <v/>
      </c>
      <c r="L7" s="1170" t="str">
        <f t="array" ref="L7">IFERROR(VLOOKUP(J5,Dex!$B$3:$H102,7,FALSE),"")</f>
        <v/>
      </c>
      <c r="M7" s="1171"/>
      <c r="O7" s="1172"/>
      <c r="P7" s="1170" t="str">
        <f t="array" ref="P7">IFERROR(VLOOKUP(O5,Dex!$B$3:$H102,5,FALSE),"")</f>
        <v/>
      </c>
      <c r="Q7" s="1170" t="str">
        <f t="array" ref="Q7">IFERROR(VLOOKUP(O5,Dex!$B$3:$H102,7,FALSE),"")</f>
        <v/>
      </c>
      <c r="R7" s="1171"/>
      <c r="T7" s="1172"/>
      <c r="U7" s="1170" t="str">
        <f t="array" ref="U7">IFERROR(VLOOKUP(T5,Dex!$B$3:$H102,5,FALSE),"")</f>
        <v/>
      </c>
      <c r="V7" s="1170" t="str">
        <f t="array" ref="V7">IFERROR(VLOOKUP(T5,Dex!$B$3:$H102,7,FALSE),"")</f>
        <v/>
      </c>
      <c r="W7" s="1171"/>
      <c r="Y7" s="1172"/>
      <c r="Z7" s="1170" t="str">
        <f t="array" ref="Z7">IFERROR(VLOOKUP(Y5,Dex!$B$3:$H102,5,FALSE),"")</f>
        <v/>
      </c>
      <c r="AA7" s="1170" t="str">
        <f t="array" ref="AA7">IFERROR(VLOOKUP(Y5,Dex!$B$3:$H102,7,FALSE),"")</f>
        <v/>
      </c>
      <c r="AB7" s="1171"/>
      <c r="AD7" s="1172"/>
      <c r="AE7" s="1170" t="str">
        <f t="array" ref="AE7">IFERROR(VLOOKUP(AD5,Dex!$B$3:$H102,5,FALSE),"")</f>
        <v/>
      </c>
      <c r="AF7" s="1170" t="str">
        <f t="array" ref="AF7">IFERROR(VLOOKUP(AD5,Dex!$B$3:$H102,7,FALSE),"")</f>
        <v/>
      </c>
      <c r="AG7" s="1173"/>
      <c r="AH7" s="1155"/>
      <c r="AI7" s="1143"/>
    </row>
    <row r="8" ht="2.25" customHeight="1">
      <c r="A8" s="312"/>
      <c r="B8" s="1144"/>
      <c r="C8" s="322"/>
      <c r="D8" s="1168"/>
      <c r="E8" s="1174"/>
      <c r="F8" s="1175"/>
      <c r="G8" s="1175"/>
      <c r="H8" s="1176"/>
      <c r="J8" s="1177"/>
      <c r="K8" s="1175"/>
      <c r="L8" s="1175"/>
      <c r="M8" s="1176"/>
      <c r="O8" s="1177"/>
      <c r="P8" s="1175"/>
      <c r="Q8" s="1175"/>
      <c r="R8" s="1176"/>
      <c r="T8" s="1177"/>
      <c r="U8" s="1175"/>
      <c r="V8" s="1175"/>
      <c r="W8" s="1176"/>
      <c r="Y8" s="1177"/>
      <c r="Z8" s="1175"/>
      <c r="AA8" s="1175"/>
      <c r="AB8" s="1176"/>
      <c r="AD8" s="1177"/>
      <c r="AE8" s="1175"/>
      <c r="AF8" s="1175"/>
      <c r="AG8" s="1178"/>
      <c r="AH8" s="1155"/>
      <c r="AI8" s="1143"/>
    </row>
    <row r="9" ht="20.25" customHeight="1">
      <c r="A9" s="312"/>
      <c r="B9" s="1144"/>
      <c r="C9" s="370"/>
      <c r="D9" s="1168"/>
      <c r="E9" s="1179" t="s">
        <v>172</v>
      </c>
      <c r="F9" s="351"/>
      <c r="G9" s="351"/>
      <c r="H9" s="352"/>
      <c r="J9" s="1179" t="s">
        <v>205</v>
      </c>
      <c r="K9" s="351"/>
      <c r="L9" s="351"/>
      <c r="M9" s="352"/>
      <c r="O9" s="1179" t="s">
        <v>263</v>
      </c>
      <c r="P9" s="351"/>
      <c r="Q9" s="351"/>
      <c r="R9" s="352"/>
      <c r="T9" s="1180" t="s">
        <v>172</v>
      </c>
      <c r="U9" s="351"/>
      <c r="V9" s="351"/>
      <c r="W9" s="352"/>
      <c r="Y9" s="1179" t="s">
        <v>172</v>
      </c>
      <c r="Z9" s="351"/>
      <c r="AA9" s="351"/>
      <c r="AB9" s="352"/>
      <c r="AD9" s="1180" t="s">
        <v>172</v>
      </c>
      <c r="AE9" s="351"/>
      <c r="AF9" s="351"/>
      <c r="AG9" s="352"/>
      <c r="AH9" s="1155"/>
      <c r="AI9" s="1143"/>
    </row>
    <row r="10">
      <c r="A10" s="312"/>
      <c r="B10" s="1144"/>
      <c r="C10" s="1181"/>
      <c r="D10" s="1168"/>
      <c r="E10" s="1182" t="s">
        <v>301</v>
      </c>
      <c r="F10" s="307"/>
      <c r="G10" s="307"/>
      <c r="H10" s="356"/>
      <c r="J10" s="1182" t="s">
        <v>421</v>
      </c>
      <c r="K10" s="307"/>
      <c r="L10" s="307"/>
      <c r="M10" s="356"/>
      <c r="O10" s="1182" t="s">
        <v>422</v>
      </c>
      <c r="P10" s="307"/>
      <c r="Q10" s="307"/>
      <c r="R10" s="356"/>
      <c r="T10" s="1182" t="s">
        <v>423</v>
      </c>
      <c r="U10" s="307"/>
      <c r="V10" s="307"/>
      <c r="W10" s="356"/>
      <c r="Y10" s="1182" t="s">
        <v>424</v>
      </c>
      <c r="Z10" s="307"/>
      <c r="AA10" s="307"/>
      <c r="AB10" s="356"/>
      <c r="AD10" s="1182" t="s">
        <v>425</v>
      </c>
      <c r="AE10" s="307"/>
      <c r="AF10" s="307"/>
      <c r="AG10" s="356"/>
      <c r="AH10" s="1155"/>
      <c r="AI10" s="1143"/>
    </row>
    <row r="11" ht="20.25" customHeight="1">
      <c r="A11" s="312"/>
      <c r="B11" s="1144"/>
      <c r="C11" s="322"/>
      <c r="D11" s="1168"/>
      <c r="E11" s="1183" t="s">
        <v>306</v>
      </c>
      <c r="F11" s="329"/>
      <c r="G11" s="1148"/>
      <c r="H11" s="1184" t="str">
        <f>IMAGE("https://i.ibb.co/SK50ng3/booster.png",4,22,22)</f>
        <v/>
      </c>
      <c r="J11" s="1183" t="s">
        <v>426</v>
      </c>
      <c r="K11" s="329"/>
      <c r="L11" s="358"/>
      <c r="M11" s="1184" t="str">
        <f>IMAGE("https://raw.githubusercontent.com/msikma/pokesprite/master/items/hold-item/power-herb.png",3)</f>
        <v/>
      </c>
      <c r="O11" s="1183" t="s">
        <v>394</v>
      </c>
      <c r="P11" s="329"/>
      <c r="Q11" s="358"/>
      <c r="R11" s="1184" t="str">
        <f>IMAGE("https://raw.githubusercontent.com/msikma/pokesprite/master/items/hold-item/leftovers.png",3)</f>
        <v/>
      </c>
      <c r="T11" s="1183" t="s">
        <v>393</v>
      </c>
      <c r="U11" s="329"/>
      <c r="V11" s="1148"/>
      <c r="W11" s="1184" t="str">
        <f>IMAGE("https://raw.githubusercontent.com/msikma/pokesprite/master/items/hold-item/weakness-policy.png",3)</f>
        <v/>
      </c>
      <c r="Y11" s="1183" t="s">
        <v>240</v>
      </c>
      <c r="Z11" s="329"/>
      <c r="AA11" s="358"/>
      <c r="AB11" s="1184" t="str">
        <f>IMAGE("https://raw.githubusercontent.com/msikma/pokesprite/master/items/hold-item/focus-sash.png",3)</f>
        <v/>
      </c>
      <c r="AD11" s="1185" t="s">
        <v>427</v>
      </c>
      <c r="AE11" s="329"/>
      <c r="AF11" s="358"/>
      <c r="AG11" s="1184" t="str">
        <f>IMAGE("https://raw.githubusercontent.com/msikma/pokesprite/master/items/mega-stone/aerodactylite.png",3)</f>
        <v/>
      </c>
      <c r="AH11" s="1155"/>
      <c r="AI11" s="1143"/>
    </row>
    <row r="12" ht="20.25" customHeight="1">
      <c r="A12" s="312"/>
      <c r="B12" s="1144"/>
      <c r="C12" s="370"/>
      <c r="D12" s="1168"/>
      <c r="E12" s="1180" t="s">
        <v>395</v>
      </c>
      <c r="F12" s="351"/>
      <c r="G12" s="1186"/>
      <c r="H12" s="1187" t="str">
        <f>IMAGE("https://raw.githubusercontent.com/msikma/pokesprite/master/misc/types/gen8/rock.png",4,20,20)</f>
        <v/>
      </c>
      <c r="J12" s="1179" t="s">
        <v>428</v>
      </c>
      <c r="K12" s="351"/>
      <c r="L12" s="1186"/>
      <c r="M12" s="1187" t="str">
        <f>IMAGE("https://raw.githubusercontent.com/msikma/pokesprite/master/misc/types/gen8/normal.png",4,20,20)</f>
        <v/>
      </c>
      <c r="O12" s="1179" t="s">
        <v>286</v>
      </c>
      <c r="P12" s="351"/>
      <c r="Q12" s="1186"/>
      <c r="R12" s="1187" t="str">
        <f>IMAGE("https://raw.githubusercontent.com/msikma/pokesprite/master/misc/types/gen8/ground.png",4,20,20)</f>
        <v/>
      </c>
      <c r="T12" s="1179" t="s">
        <v>396</v>
      </c>
      <c r="U12" s="351"/>
      <c r="V12" s="1186"/>
      <c r="W12" s="1187" t="str">
        <f>IMAGE("https://raw.githubusercontent.com/msikma/pokesprite/master/misc/types/gen8/dragon.png",4,20,20)</f>
        <v/>
      </c>
      <c r="Y12" s="1179" t="s">
        <v>378</v>
      </c>
      <c r="Z12" s="351"/>
      <c r="AA12" s="1186"/>
      <c r="AB12" s="1187" t="str">
        <f>IMAGE("https://raw.githubusercontent.com/msikma/pokesprite/master/misc/types/gen8/fire.png",4,20,20)</f>
        <v/>
      </c>
      <c r="AD12" s="1180" t="s">
        <v>396</v>
      </c>
      <c r="AE12" s="351"/>
      <c r="AF12" s="1186"/>
      <c r="AG12" s="1187" t="str">
        <f>IMAGE("https://raw.githubusercontent.com/msikma/pokesprite/master/misc/types/gen8/dragon.png",4,20,20)</f>
        <v/>
      </c>
      <c r="AH12" s="1188"/>
      <c r="AI12" s="1143"/>
    </row>
    <row r="13" ht="20.25" customHeight="1">
      <c r="A13" s="312"/>
      <c r="B13" s="1144"/>
      <c r="C13" s="1189"/>
      <c r="D13" s="1168"/>
      <c r="E13" s="1190" t="s">
        <v>316</v>
      </c>
      <c r="F13" s="307"/>
      <c r="G13" s="308"/>
      <c r="H13" s="1191" t="str">
        <f>IMAGE("https://raw.githubusercontent.com/msikma/pokesprite/master/misc/types/gen8/fighting.png",4,20,20)</f>
        <v/>
      </c>
      <c r="J13" s="1182" t="s">
        <v>429</v>
      </c>
      <c r="K13" s="307"/>
      <c r="L13" s="308"/>
      <c r="M13" s="1191" t="str">
        <f>IMAGE("https://raw.githubusercontent.com/msikma/pokesprite/master/misc/types/gen8/rock.png",4,20,20)</f>
        <v/>
      </c>
      <c r="O13" s="1182" t="s">
        <v>430</v>
      </c>
      <c r="P13" s="307"/>
      <c r="Q13" s="308"/>
      <c r="R13" s="1191" t="str">
        <f>IMAGE("https://raw.githubusercontent.com/msikma/pokesprite/master/misc/types/gen8/normal.png",4,20,20)</f>
        <v/>
      </c>
      <c r="T13" s="1182" t="s">
        <v>399</v>
      </c>
      <c r="U13" s="307"/>
      <c r="V13" s="308"/>
      <c r="W13" s="1191" t="str">
        <f>IMAGE("https://raw.githubusercontent.com/msikma/pokesprite/master/misc/types/gen8/rock.png",4,20,20)</f>
        <v/>
      </c>
      <c r="Y13" s="1182" t="s">
        <v>431</v>
      </c>
      <c r="Z13" s="307"/>
      <c r="AA13" s="308"/>
      <c r="AB13" s="1191" t="str">
        <f>IMAGE("https://raw.githubusercontent.com/msikma/pokesprite/master/misc/types/gen8/rock.png",4,20,20)</f>
        <v/>
      </c>
      <c r="AD13" s="1190" t="s">
        <v>399</v>
      </c>
      <c r="AE13" s="307"/>
      <c r="AF13" s="308"/>
      <c r="AG13" s="1191" t="str">
        <f>IMAGE("https://raw.githubusercontent.com/msikma/pokesprite/master/misc/types/gen8/rock.png",4,20,20)</f>
        <v/>
      </c>
      <c r="AH13" s="1188"/>
      <c r="AI13" s="1143"/>
    </row>
    <row r="14" ht="20.25" customHeight="1">
      <c r="A14" s="312"/>
      <c r="B14" s="1144"/>
      <c r="C14" s="1189"/>
      <c r="D14" s="1168"/>
      <c r="E14" s="1182" t="s">
        <v>432</v>
      </c>
      <c r="F14" s="307"/>
      <c r="G14" s="308"/>
      <c r="H14" s="1192" t="str">
        <f>IMAGE("https://raw.githubusercontent.com/msikma/pokesprite/master/misc/types/gen8/ground.png",4,20,20)</f>
        <v/>
      </c>
      <c r="J14" s="1182" t="s">
        <v>433</v>
      </c>
      <c r="K14" s="307"/>
      <c r="L14" s="308"/>
      <c r="M14" s="1192" t="str">
        <f>IMAGE("https://raw.githubusercontent.com/msikma/pokesprite/master/misc/types/gen8/water.png",4,20,20)</f>
        <v/>
      </c>
      <c r="O14" s="1182" t="s">
        <v>434</v>
      </c>
      <c r="P14" s="307"/>
      <c r="Q14" s="308"/>
      <c r="R14" s="1191" t="str">
        <f>IMAGE("https://raw.githubusercontent.com/msikma/pokesprite/master/misc/types/gen8/fighting.png",4,20,20)</f>
        <v/>
      </c>
      <c r="T14" s="1182" t="s">
        <v>403</v>
      </c>
      <c r="U14" s="307"/>
      <c r="V14" s="308"/>
      <c r="W14" s="1192" t="str">
        <f>IMAGE("https://raw.githubusercontent.com/msikma/pokesprite/master/misc/types/gen8/fire.png",4,20,20)</f>
        <v/>
      </c>
      <c r="Y14" s="1182" t="s">
        <v>435</v>
      </c>
      <c r="Z14" s="307"/>
      <c r="AA14" s="308"/>
      <c r="AB14" s="1192" t="str">
        <f>IMAGE("https://raw.githubusercontent.com/msikma/pokesprite/master/misc/types/gen8/electric.png",4,20,20)</f>
        <v/>
      </c>
      <c r="AD14" s="1190" t="s">
        <v>402</v>
      </c>
      <c r="AE14" s="307"/>
      <c r="AF14" s="308"/>
      <c r="AG14" s="1192" t="str">
        <f>IMAGE("https://raw.githubusercontent.com/msikma/pokesprite/master/misc/types/gen8/ground.png",4,20,20)</f>
        <v/>
      </c>
      <c r="AH14" s="1188"/>
      <c r="AI14" s="1143"/>
    </row>
    <row r="15" ht="21.0" customHeight="1">
      <c r="A15" s="343"/>
      <c r="B15" s="1144"/>
      <c r="C15" s="1189"/>
      <c r="D15" s="1168"/>
      <c r="E15" s="1193" t="s">
        <v>279</v>
      </c>
      <c r="F15" s="1194"/>
      <c r="G15" s="1195"/>
      <c r="H15" s="1196" t="str">
        <f>IMAGE("https://raw.githubusercontent.com/msikma/pokesprite/master/misc/types/gen8/dark.png",4,20,20)</f>
        <v/>
      </c>
      <c r="I15" s="317"/>
      <c r="J15" s="1193" t="s">
        <v>317</v>
      </c>
      <c r="K15" s="1194"/>
      <c r="L15" s="1195"/>
      <c r="M15" s="1196" t="str">
        <f>IMAGE("https://raw.githubusercontent.com/msikma/pokesprite/master/misc/types/gen8/ice.png",4,20,20)</f>
        <v/>
      </c>
      <c r="N15" s="317"/>
      <c r="O15" s="1193" t="s">
        <v>311</v>
      </c>
      <c r="P15" s="1194"/>
      <c r="Q15" s="1195"/>
      <c r="R15" s="1196" t="str">
        <f>IMAGE("https://raw.githubusercontent.com/msikma/pokesprite/master/misc/types/gen8/normal.png",4,20,20)</f>
        <v/>
      </c>
      <c r="S15" s="317"/>
      <c r="T15" s="1193" t="s">
        <v>279</v>
      </c>
      <c r="U15" s="1194"/>
      <c r="V15" s="1195"/>
      <c r="W15" s="1196" t="str">
        <f>IMAGE("https://raw.githubusercontent.com/msikma/pokesprite/master/misc/types/gen8/dark.png",4,20,20)</f>
        <v/>
      </c>
      <c r="X15" s="317"/>
      <c r="Y15" s="1193" t="s">
        <v>397</v>
      </c>
      <c r="Z15" s="1194"/>
      <c r="AA15" s="1195"/>
      <c r="AB15" s="1196" t="str">
        <f>IMAGE("https://raw.githubusercontent.com/msikma/pokesprite/master/misc/types/gen8/normal.png",4,20,20)</f>
        <v/>
      </c>
      <c r="AC15" s="317"/>
      <c r="AD15" s="1193" t="s">
        <v>408</v>
      </c>
      <c r="AE15" s="1194"/>
      <c r="AF15" s="1195"/>
      <c r="AG15" s="1196" t="str">
        <f>IMAGE("https://raw.githubusercontent.com/msikma/pokesprite/master/misc/types/gen8/flying.png",4,20,20)</f>
        <v/>
      </c>
      <c r="AH15" s="1188"/>
      <c r="AI15" s="1143"/>
    </row>
    <row r="16" ht="3.0" customHeight="1">
      <c r="A16" s="312"/>
      <c r="B16" s="335"/>
      <c r="C16" s="1197"/>
      <c r="D16" s="372"/>
      <c r="E16" s="1198"/>
      <c r="F16" s="1198"/>
      <c r="G16" s="1198"/>
      <c r="H16" s="1198"/>
      <c r="I16" s="372"/>
      <c r="J16" s="1198"/>
      <c r="K16" s="1198"/>
      <c r="L16" s="1198"/>
      <c r="M16" s="1198"/>
      <c r="N16" s="372"/>
      <c r="O16" s="1198"/>
      <c r="P16" s="1198"/>
      <c r="Q16" s="1198"/>
      <c r="R16" s="1198"/>
      <c r="S16" s="372"/>
      <c r="T16" s="1198"/>
      <c r="U16" s="1198"/>
      <c r="V16" s="1198"/>
      <c r="W16" s="1198"/>
      <c r="X16" s="372"/>
      <c r="Y16" s="1199"/>
      <c r="Z16" s="1200"/>
      <c r="AA16" s="1200"/>
      <c r="AB16" s="1201"/>
      <c r="AC16" s="372"/>
      <c r="AD16" s="1201"/>
      <c r="AE16" s="1201"/>
      <c r="AF16" s="1201"/>
      <c r="AG16" s="1201"/>
      <c r="AH16" s="310"/>
      <c r="AI16" s="296"/>
    </row>
    <row r="17" ht="16.5" customHeight="1">
      <c r="A17" s="312"/>
      <c r="B17" s="377"/>
      <c r="C17" s="1197"/>
      <c r="D17" s="403"/>
      <c r="E17" s="380" t="s">
        <v>190</v>
      </c>
      <c r="F17" s="381"/>
      <c r="G17" s="382"/>
      <c r="H17" s="383" t="s">
        <v>191</v>
      </c>
      <c r="I17" s="394"/>
      <c r="J17" s="380" t="s">
        <v>190</v>
      </c>
      <c r="K17" s="381"/>
      <c r="L17" s="382"/>
      <c r="M17" s="383" t="s">
        <v>191</v>
      </c>
      <c r="N17" s="394"/>
      <c r="O17" s="380" t="s">
        <v>190</v>
      </c>
      <c r="P17" s="381"/>
      <c r="Q17" s="382"/>
      <c r="R17" s="383" t="s">
        <v>191</v>
      </c>
      <c r="S17" s="394"/>
      <c r="T17" s="380" t="s">
        <v>190</v>
      </c>
      <c r="U17" s="381"/>
      <c r="V17" s="382"/>
      <c r="W17" s="383" t="s">
        <v>191</v>
      </c>
      <c r="X17" s="394"/>
      <c r="Y17" s="380" t="s">
        <v>190</v>
      </c>
      <c r="Z17" s="381"/>
      <c r="AA17" s="382"/>
      <c r="AB17" s="383" t="s">
        <v>191</v>
      </c>
      <c r="AC17" s="394"/>
      <c r="AD17" s="380" t="s">
        <v>190</v>
      </c>
      <c r="AE17" s="381"/>
      <c r="AF17" s="382"/>
      <c r="AG17" s="383" t="s">
        <v>191</v>
      </c>
      <c r="AH17" s="388"/>
      <c r="AI17" s="389"/>
    </row>
    <row r="18" ht="15.75" customHeight="1">
      <c r="A18" s="312"/>
      <c r="B18" s="377"/>
      <c r="C18" s="1197"/>
      <c r="D18" s="403"/>
      <c r="E18" s="390" t="s">
        <v>192</v>
      </c>
      <c r="F18" s="391">
        <f t="array" ref="F18">IFERROR(VLOOKUP(E5,Dex!$B$3:$N102,8,FALSE),"")</f>
        <v>115</v>
      </c>
      <c r="G18" s="392" t="str">
        <f t="array" ref="G18">IFERROR(VLOOKUP(F18,Dex!$P$22:$Q$276,2,FALSE),"")</f>
        <v/>
      </c>
      <c r="H18" s="393"/>
      <c r="I18" s="1202"/>
      <c r="J18" s="390" t="s">
        <v>192</v>
      </c>
      <c r="K18" s="391">
        <f t="array" ref="K18">IFERROR(VLOOKUP(J5,Dex!$B$3:$N102,8,FALSE),"")</f>
        <v>70</v>
      </c>
      <c r="L18" s="392" t="str">
        <f t="array" ref="L18">IFERROR(VLOOKUP(K18,Dex!$P$22:$Q$276,2,FALSE),"")</f>
        <v/>
      </c>
      <c r="M18" s="393"/>
      <c r="N18" s="1202"/>
      <c r="O18" s="390" t="s">
        <v>192</v>
      </c>
      <c r="P18" s="391">
        <f t="array" ref="P18">IFERROR(VLOOKUP(O5,Dex!$B$3:$N102,8,FALSE),"")</f>
        <v>113</v>
      </c>
      <c r="Q18" s="392" t="str">
        <f t="array" ref="Q18">IFERROR(VLOOKUP(P18,Dex!$P$22:$Q$276,2,FALSE),"")</f>
        <v/>
      </c>
      <c r="R18" s="393">
        <v>252.0</v>
      </c>
      <c r="S18" s="1202"/>
      <c r="T18" s="390" t="s">
        <v>192</v>
      </c>
      <c r="U18" s="391">
        <f t="array" ref="U18">IFERROR(VLOOKUP(T5,Dex!$B$3:$N102,8,FALSE),"")</f>
        <v>100</v>
      </c>
      <c r="V18" s="392" t="str">
        <f t="array" ref="V18">IFERROR(VLOOKUP(U18,Dex!$P$22:$Q$276,2,FALSE),"")</f>
        <v/>
      </c>
      <c r="W18" s="393"/>
      <c r="X18" s="1202"/>
      <c r="Y18" s="390" t="s">
        <v>192</v>
      </c>
      <c r="Z18" s="391">
        <f t="array" ref="Z18">IFERROR(VLOOKUP(Y5,Dex!$B$3:$N102,8,FALSE),"")</f>
        <v>95</v>
      </c>
      <c r="AA18" s="392" t="str">
        <f t="array" ref="AA18">IFERROR(VLOOKUP(Z18,Dex!$P$22:$Q$276,2,FALSE),"")</f>
        <v/>
      </c>
      <c r="AB18" s="393"/>
      <c r="AC18" s="1202"/>
      <c r="AD18" s="390" t="s">
        <v>192</v>
      </c>
      <c r="AE18" s="391">
        <f t="array" ref="AE18">IFERROR(VLOOKUP(AD5,Dex!$B$3:$N102,8,FALSE),"")</f>
        <v>80</v>
      </c>
      <c r="AF18" s="392" t="str">
        <f t="array" ref="AF18">IFERROR(VLOOKUP(AE18,Dex!$P$22:$Q$276,2,FALSE),"")</f>
        <v/>
      </c>
      <c r="AG18" s="393"/>
      <c r="AH18" s="1203"/>
      <c r="AI18" s="389"/>
    </row>
    <row r="19" ht="15.75" customHeight="1">
      <c r="A19" s="312"/>
      <c r="B19" s="377"/>
      <c r="C19" s="1197"/>
      <c r="D19" s="403"/>
      <c r="E19" s="395" t="s">
        <v>193</v>
      </c>
      <c r="F19" s="396">
        <f t="array" ref="F19">IFERROR(VLOOKUP(E5,Dex!$B$3:$N102,9,FALSE),"")</f>
        <v>131</v>
      </c>
      <c r="G19" s="397" t="str">
        <f t="array" ref="G19">IFERROR(VLOOKUP(F19,Dex!$P$22:$Q$276,2,FALSE),"")</f>
        <v/>
      </c>
      <c r="H19" s="398">
        <v>252.0</v>
      </c>
      <c r="I19" s="1202"/>
      <c r="J19" s="395" t="s">
        <v>193</v>
      </c>
      <c r="K19" s="396">
        <f t="array" ref="K19">IFERROR(VLOOKUP(J5,Dex!$B$3:$N102,9,FALSE),"")</f>
        <v>60</v>
      </c>
      <c r="L19" s="397" t="str">
        <f t="array" ref="L19">IFERROR(VLOOKUP(K19,Dex!$P$22:$Q$276,2,FALSE),"")</f>
        <v/>
      </c>
      <c r="M19" s="398"/>
      <c r="N19" s="1202"/>
      <c r="O19" s="395" t="s">
        <v>193</v>
      </c>
      <c r="P19" s="396">
        <f t="array" ref="P19">IFERROR(VLOOKUP(O5,Dex!$B$3:$N102,9,FALSE),"")</f>
        <v>70</v>
      </c>
      <c r="Q19" s="397" t="str">
        <f t="array" ref="Q19">IFERROR(VLOOKUP(P19,Dex!$P$22:$Q$276,2,FALSE),"")</f>
        <v/>
      </c>
      <c r="R19" s="398"/>
      <c r="S19" s="1202"/>
      <c r="T19" s="395" t="s">
        <v>193</v>
      </c>
      <c r="U19" s="396">
        <f t="array" ref="U19">IFERROR(VLOOKUP(T5,Dex!$B$3:$N102,9,FALSE),"")</f>
        <v>134</v>
      </c>
      <c r="V19" s="397" t="str">
        <f t="array" ref="V19">IFERROR(VLOOKUP(U19,Dex!$P$22:$Q$276,2,FALSE),"")</f>
        <v/>
      </c>
      <c r="W19" s="398">
        <v>252.0</v>
      </c>
      <c r="X19" s="1202"/>
      <c r="Y19" s="395" t="s">
        <v>193</v>
      </c>
      <c r="Z19" s="396">
        <f t="array" ref="Z19">IFERROR(VLOOKUP(Y5,Dex!$B$3:$N102,9,FALSE),"")</f>
        <v>125</v>
      </c>
      <c r="AA19" s="397" t="str">
        <f t="array" ref="AA19">IFERROR(VLOOKUP(Z19,Dex!$P$22:$Q$276,2,FALSE),"")</f>
        <v/>
      </c>
      <c r="AB19" s="398">
        <v>252.0</v>
      </c>
      <c r="AC19" s="1202"/>
      <c r="AD19" s="395" t="s">
        <v>193</v>
      </c>
      <c r="AE19" s="396">
        <f t="array" ref="AE19">IFERROR(VLOOKUP(AD5,Dex!$B$3:$N102,9,FALSE),"")</f>
        <v>135</v>
      </c>
      <c r="AF19" s="397" t="str">
        <f t="array" ref="AF19">IFERROR(VLOOKUP(AE19,Dex!$P$22:$Q$276,2,FALSE),"")</f>
        <v/>
      </c>
      <c r="AG19" s="398">
        <v>252.0</v>
      </c>
      <c r="AH19" s="1203"/>
      <c r="AI19" s="389"/>
    </row>
    <row r="20" ht="15.75" customHeight="1">
      <c r="A20" s="312"/>
      <c r="B20" s="377"/>
      <c r="C20" s="1197"/>
      <c r="D20" s="403"/>
      <c r="E20" s="395" t="s">
        <v>194</v>
      </c>
      <c r="F20" s="396">
        <f t="array" ref="F20">IFERROR(VLOOKUP(E5,Dex!$B$3:$N102,10,FALSE),"")</f>
        <v>131</v>
      </c>
      <c r="G20" s="397" t="str">
        <f t="array" ref="G20">IFERROR(VLOOKUP(F20,Dex!$P$22:$Q$276,2,FALSE),"")</f>
        <v/>
      </c>
      <c r="H20" s="398"/>
      <c r="I20" s="1202"/>
      <c r="J20" s="395" t="s">
        <v>194</v>
      </c>
      <c r="K20" s="396">
        <f t="array" ref="K20">IFERROR(VLOOKUP(J5,Dex!$B$3:$N102,10,FALSE),"")</f>
        <v>125</v>
      </c>
      <c r="L20" s="397" t="str">
        <f t="array" ref="L20">IFERROR(VLOOKUP(K20,Dex!$P$22:$Q$276,2,FALSE),"")</f>
        <v/>
      </c>
      <c r="M20" s="398"/>
      <c r="N20" s="1202"/>
      <c r="O20" s="395" t="s">
        <v>194</v>
      </c>
      <c r="P20" s="396">
        <f t="array" ref="P20">IFERROR(VLOOKUP(O5,Dex!$B$3:$N102,10,FALSE),"")</f>
        <v>120</v>
      </c>
      <c r="Q20" s="397" t="str">
        <f t="array" ref="Q20">IFERROR(VLOOKUP(P20,Dex!$P$22:$Q$276,2,FALSE),"")</f>
        <v/>
      </c>
      <c r="R20" s="398"/>
      <c r="S20" s="1202"/>
      <c r="T20" s="395" t="s">
        <v>194</v>
      </c>
      <c r="U20" s="396">
        <f t="array" ref="U20">IFERROR(VLOOKUP(T5,Dex!$B$3:$N102,10,FALSE),"")</f>
        <v>110</v>
      </c>
      <c r="V20" s="397" t="str">
        <f t="array" ref="V20">IFERROR(VLOOKUP(U20,Dex!$P$22:$Q$276,2,FALSE),"")</f>
        <v/>
      </c>
      <c r="W20" s="398"/>
      <c r="X20" s="1202"/>
      <c r="Y20" s="395" t="s">
        <v>194</v>
      </c>
      <c r="Z20" s="396">
        <f t="array" ref="Z20">IFERROR(VLOOKUP(Y5,Dex!$B$3:$N102,10,FALSE),"")</f>
        <v>80</v>
      </c>
      <c r="AA20" s="397" t="str">
        <f t="array" ref="AA20">IFERROR(VLOOKUP(Z20,Dex!$P$22:$Q$276,2,FALSE),"")</f>
        <v/>
      </c>
      <c r="AB20" s="398"/>
      <c r="AC20" s="1202"/>
      <c r="AD20" s="395" t="s">
        <v>194</v>
      </c>
      <c r="AE20" s="396">
        <f t="array" ref="AE20">IFERROR(VLOOKUP(AD5,Dex!$B$3:$N102,10,FALSE),"")</f>
        <v>85</v>
      </c>
      <c r="AF20" s="397" t="str">
        <f t="array" ref="AF20">IFERROR(VLOOKUP(AE20,Dex!$P$22:$Q$276,2,FALSE),"")</f>
        <v/>
      </c>
      <c r="AG20" s="398"/>
      <c r="AH20" s="1203"/>
      <c r="AI20" s="389"/>
    </row>
    <row r="21" ht="15.75" customHeight="1">
      <c r="A21" s="312"/>
      <c r="B21" s="377"/>
      <c r="C21" s="1197"/>
      <c r="D21" s="403"/>
      <c r="E21" s="395" t="s">
        <v>195</v>
      </c>
      <c r="F21" s="396">
        <f t="array" ref="F21">IFERROR(VLOOKUP(E5,Dex!$B$3:$N102,11,FALSE),"")</f>
        <v>53</v>
      </c>
      <c r="G21" s="397" t="str">
        <f t="array" ref="G21">IFERROR(VLOOKUP(F21,Dex!$P$22:$Q$276,2,FALSE),"")</f>
        <v/>
      </c>
      <c r="H21" s="398"/>
      <c r="I21" s="1202"/>
      <c r="J21" s="395" t="s">
        <v>195</v>
      </c>
      <c r="K21" s="396">
        <f t="array" ref="K21">IFERROR(VLOOKUP(J5,Dex!$B$3:$N102,11,FALSE),"")</f>
        <v>115</v>
      </c>
      <c r="L21" s="397" t="str">
        <f t="array" ref="L21">IFERROR(VLOOKUP(K21,Dex!$P$22:$Q$276,2,FALSE),"")</f>
        <v/>
      </c>
      <c r="M21" s="398">
        <v>252.0</v>
      </c>
      <c r="N21" s="1202"/>
      <c r="O21" s="395" t="s">
        <v>195</v>
      </c>
      <c r="P21" s="396">
        <f t="array" ref="P21">IFERROR(VLOOKUP(O5,Dex!$B$3:$N102,11,FALSE),"")</f>
        <v>135</v>
      </c>
      <c r="Q21" s="397" t="str">
        <f t="array" ref="Q21">IFERROR(VLOOKUP(P21,Dex!$P$22:$Q$276,2,FALSE),"")</f>
        <v/>
      </c>
      <c r="R21" s="398">
        <v>252.0</v>
      </c>
      <c r="S21" s="1202"/>
      <c r="T21" s="395" t="s">
        <v>195</v>
      </c>
      <c r="U21" s="396">
        <f t="array" ref="U21">IFERROR(VLOOKUP(T5,Dex!$B$3:$N102,11,FALSE),"")</f>
        <v>95</v>
      </c>
      <c r="V21" s="397" t="str">
        <f t="array" ref="V21">IFERROR(VLOOKUP(U21,Dex!$P$22:$Q$276,2,FALSE),"")</f>
        <v/>
      </c>
      <c r="W21" s="398"/>
      <c r="X21" s="1202"/>
      <c r="Y21" s="395" t="s">
        <v>195</v>
      </c>
      <c r="Z21" s="396">
        <f t="array" ref="Z21">IFERROR(VLOOKUP(Y5,Dex!$B$3:$N102,11,FALSE),"")</f>
        <v>85</v>
      </c>
      <c r="AA21" s="397" t="str">
        <f t="array" ref="AA21">IFERROR(VLOOKUP(Z21,Dex!$P$22:$Q$276,2,FALSE),"")</f>
        <v/>
      </c>
      <c r="AB21" s="398"/>
      <c r="AC21" s="1202"/>
      <c r="AD21" s="395" t="s">
        <v>195</v>
      </c>
      <c r="AE21" s="396">
        <f t="array" ref="AE21">IFERROR(VLOOKUP(AD5,Dex!$B$3:$N102,11,FALSE),"")</f>
        <v>70</v>
      </c>
      <c r="AF21" s="397" t="str">
        <f t="array" ref="AF21">IFERROR(VLOOKUP(AE21,Dex!$P$22:$Q$276,2,FALSE),"")</f>
        <v/>
      </c>
      <c r="AG21" s="398"/>
      <c r="AH21" s="1203"/>
      <c r="AI21" s="389"/>
    </row>
    <row r="22" ht="15.75" customHeight="1">
      <c r="A22" s="312"/>
      <c r="B22" s="377"/>
      <c r="C22" s="1197"/>
      <c r="D22" s="403"/>
      <c r="E22" s="395" t="s">
        <v>196</v>
      </c>
      <c r="F22" s="396">
        <f t="array" ref="F22">IFERROR(VLOOKUP(E5,Dex!$B$3:$N102,12,FALSE),"")</f>
        <v>53</v>
      </c>
      <c r="G22" s="397" t="str">
        <f t="array" ref="G22">IFERROR(VLOOKUP(F22,Dex!$P$22:$Q$276,2,FALSE),"")</f>
        <v/>
      </c>
      <c r="H22" s="398">
        <v>4.0</v>
      </c>
      <c r="I22" s="1202"/>
      <c r="J22" s="395" t="s">
        <v>196</v>
      </c>
      <c r="K22" s="396">
        <f t="array" ref="K22">IFERROR(VLOOKUP(J5,Dex!$B$3:$N102,12,FALSE),"")</f>
        <v>70</v>
      </c>
      <c r="L22" s="397" t="str">
        <f t="array" ref="L22">IFERROR(VLOOKUP(K22,Dex!$P$22:$Q$276,2,FALSE),"")</f>
        <v/>
      </c>
      <c r="M22" s="398">
        <v>4.0</v>
      </c>
      <c r="N22" s="1202"/>
      <c r="O22" s="395" t="s">
        <v>196</v>
      </c>
      <c r="P22" s="396">
        <f t="array" ref="P22">IFERROR(VLOOKUP(O5,Dex!$B$3:$N102,12,FALSE),"")</f>
        <v>65</v>
      </c>
      <c r="Q22" s="397" t="str">
        <f t="array" ref="Q22">IFERROR(VLOOKUP(P22,Dex!$P$22:$Q$276,2,FALSE),"")</f>
        <v/>
      </c>
      <c r="R22" s="398">
        <v>4.0</v>
      </c>
      <c r="S22" s="1202"/>
      <c r="T22" s="395" t="s">
        <v>196</v>
      </c>
      <c r="U22" s="396">
        <f t="array" ref="U22">IFERROR(VLOOKUP(T5,Dex!$B$3:$N102,12,FALSE),"")</f>
        <v>100</v>
      </c>
      <c r="V22" s="397" t="str">
        <f t="array" ref="V22">IFERROR(VLOOKUP(U22,Dex!$P$22:$Q$276,2,FALSE),"")</f>
        <v/>
      </c>
      <c r="W22" s="398">
        <v>4.0</v>
      </c>
      <c r="X22" s="1202"/>
      <c r="Y22" s="395" t="s">
        <v>196</v>
      </c>
      <c r="Z22" s="396">
        <f t="array" ref="Z22">IFERROR(VLOOKUP(Y5,Dex!$B$3:$N102,12,FALSE),"")</f>
        <v>80</v>
      </c>
      <c r="AA22" s="397" t="str">
        <f t="array" ref="AA22">IFERROR(VLOOKUP(Z22,Dex!$P$22:$Q$276,2,FALSE),"")</f>
        <v/>
      </c>
      <c r="AB22" s="398">
        <v>4.0</v>
      </c>
      <c r="AC22" s="1202"/>
      <c r="AD22" s="395" t="s">
        <v>196</v>
      </c>
      <c r="AE22" s="396">
        <f t="array" ref="AE22">IFERROR(VLOOKUP(AD5,Dex!$B$3:$N102,12,FALSE),"")</f>
        <v>95</v>
      </c>
      <c r="AF22" s="397" t="str">
        <f t="array" ref="AF22">IFERROR(VLOOKUP(AE22,Dex!$P$22:$Q$276,2,FALSE),"")</f>
        <v/>
      </c>
      <c r="AG22" s="398">
        <v>4.0</v>
      </c>
      <c r="AH22" s="1203"/>
      <c r="AI22" s="389"/>
    </row>
    <row r="23" ht="15.75" customHeight="1">
      <c r="A23" s="312"/>
      <c r="B23" s="377"/>
      <c r="C23" s="1204" t="s">
        <v>436</v>
      </c>
      <c r="D23" s="403"/>
      <c r="E23" s="399" t="s">
        <v>197</v>
      </c>
      <c r="F23" s="400">
        <f t="array" ref="F23">IFERROR(VLOOKUP(E5,Dex!$B$3:$N102,13,FALSE),"")</f>
        <v>87</v>
      </c>
      <c r="G23" s="401" t="str">
        <f t="array" ref="G23">IFERROR(VLOOKUP(F23,Dex!$P$22:$Q$276,2,FALSE),"")</f>
        <v/>
      </c>
      <c r="H23" s="402">
        <v>252.0</v>
      </c>
      <c r="I23" s="1202"/>
      <c r="J23" s="399" t="s">
        <v>197</v>
      </c>
      <c r="K23" s="400">
        <f t="array" ref="K23">IFERROR(VLOOKUP(J5,Dex!$B$3:$N102,13,FALSE),"")</f>
        <v>55</v>
      </c>
      <c r="L23" s="401" t="str">
        <f t="array" ref="L23">IFERROR(VLOOKUP(K23,Dex!$P$22:$Q$276,2,FALSE),"")</f>
        <v/>
      </c>
      <c r="M23" s="402">
        <v>252.0</v>
      </c>
      <c r="N23" s="1202"/>
      <c r="O23" s="399" t="s">
        <v>197</v>
      </c>
      <c r="P23" s="400">
        <f t="array" ref="P23">IFERROR(VLOOKUP(O5,Dex!$B$3:$N102,13,FALSE),"")</f>
        <v>52</v>
      </c>
      <c r="Q23" s="401" t="str">
        <f t="array" ref="Q23">IFERROR(VLOOKUP(P23,Dex!$P$22:$Q$276,2,FALSE),"")</f>
        <v/>
      </c>
      <c r="R23" s="402"/>
      <c r="S23" s="1202"/>
      <c r="T23" s="399" t="s">
        <v>197</v>
      </c>
      <c r="U23" s="400">
        <f t="array" ref="U23">IFERROR(VLOOKUP(T5,Dex!$B$3:$N102,13,FALSE),"")</f>
        <v>61</v>
      </c>
      <c r="V23" s="401" t="str">
        <f t="array" ref="V23">IFERROR(VLOOKUP(U23,Dex!$P$22:$Q$276,2,FALSE),"")</f>
        <v/>
      </c>
      <c r="W23" s="402">
        <v>252.0</v>
      </c>
      <c r="X23" s="1202"/>
      <c r="Y23" s="399" t="s">
        <v>197</v>
      </c>
      <c r="Z23" s="400">
        <f t="array" ref="Z23">IFERROR(VLOOKUP(Y5,Dex!$B$3:$N102,13,FALSE),"")</f>
        <v>90</v>
      </c>
      <c r="AA23" s="401" t="str">
        <f t="array" ref="AA23">IFERROR(VLOOKUP(Z23,Dex!$P$22:$Q$276,2,FALSE),"")</f>
        <v/>
      </c>
      <c r="AB23" s="402">
        <v>252.0</v>
      </c>
      <c r="AC23" s="1202"/>
      <c r="AD23" s="399" t="s">
        <v>197</v>
      </c>
      <c r="AE23" s="400">
        <f t="array" ref="AE23">IFERROR(VLOOKUP(AD5,Dex!$B$3:$N102,13,FALSE),"")</f>
        <v>150</v>
      </c>
      <c r="AF23" s="401" t="str">
        <f t="array" ref="AF23">IFERROR(VLOOKUP(AE23,Dex!$P$22:$Q$276,2,FALSE),"")</f>
        <v/>
      </c>
      <c r="AG23" s="402">
        <v>252.0</v>
      </c>
      <c r="AH23" s="1203"/>
      <c r="AI23" s="389"/>
    </row>
    <row r="24" ht="16.5" customHeight="1">
      <c r="A24" s="312"/>
      <c r="B24" s="377"/>
      <c r="C24" s="1205" t="s">
        <v>437</v>
      </c>
      <c r="D24" s="403"/>
      <c r="E24" s="404" t="s">
        <v>198</v>
      </c>
      <c r="F24" s="405"/>
      <c r="G24" s="406"/>
      <c r="H24" s="407">
        <v>199.0</v>
      </c>
      <c r="I24" s="394"/>
      <c r="J24" s="1206" t="s">
        <v>198</v>
      </c>
      <c r="K24" s="918"/>
      <c r="L24" s="919"/>
      <c r="M24" s="1207">
        <v>152.0</v>
      </c>
      <c r="N24" s="394"/>
      <c r="O24" s="404" t="s">
        <v>198</v>
      </c>
      <c r="P24" s="405"/>
      <c r="Q24" s="406"/>
      <c r="R24" s="407">
        <v>94.0</v>
      </c>
      <c r="S24" s="394"/>
      <c r="T24" s="404" t="s">
        <v>198</v>
      </c>
      <c r="U24" s="405"/>
      <c r="V24" s="406"/>
      <c r="W24" s="407">
        <v>161.0</v>
      </c>
      <c r="X24" s="394"/>
      <c r="Y24" s="404" t="s">
        <v>198</v>
      </c>
      <c r="Z24" s="405"/>
      <c r="AA24" s="406"/>
      <c r="AB24" s="407">
        <v>203.0</v>
      </c>
      <c r="AC24" s="394"/>
      <c r="AD24" s="404" t="s">
        <v>198</v>
      </c>
      <c r="AE24" s="405"/>
      <c r="AF24" s="406"/>
      <c r="AG24" s="407">
        <v>291.0</v>
      </c>
      <c r="AH24" s="388"/>
      <c r="AI24" s="389"/>
    </row>
    <row r="25" ht="16.5" customHeight="1">
      <c r="A25" s="312"/>
      <c r="B25" s="1208"/>
      <c r="C25" s="1197"/>
      <c r="D25" s="1209"/>
      <c r="E25" s="1197"/>
      <c r="F25" s="1197"/>
      <c r="G25" s="1197"/>
      <c r="H25" s="1197"/>
      <c r="I25" s="1210"/>
      <c r="J25" s="1211" t="s">
        <v>438</v>
      </c>
      <c r="K25" s="925"/>
      <c r="L25" s="926"/>
      <c r="M25" s="1212">
        <v>304.0</v>
      </c>
      <c r="N25" s="1210"/>
      <c r="O25" s="1197"/>
      <c r="P25" s="1197"/>
      <c r="Q25" s="1197"/>
      <c r="R25" s="1197"/>
      <c r="S25" s="1210"/>
      <c r="T25" s="1197"/>
      <c r="U25" s="1197"/>
      <c r="V25" s="1197"/>
      <c r="W25" s="1197"/>
      <c r="X25" s="1210"/>
      <c r="Y25" s="1197"/>
      <c r="Z25" s="1197"/>
      <c r="AA25" s="1197"/>
      <c r="AB25" s="1197"/>
      <c r="AC25" s="1210"/>
      <c r="AD25" s="1197"/>
      <c r="AE25" s="1197"/>
      <c r="AF25" s="1197"/>
      <c r="AG25" s="1197"/>
      <c r="AH25" s="1213"/>
      <c r="AI25" s="389"/>
    </row>
    <row r="26" ht="15.0" customHeight="1">
      <c r="A26" s="312"/>
      <c r="B26" s="1214"/>
      <c r="C26" s="1215"/>
      <c r="D26" s="1216"/>
      <c r="E26" s="1215"/>
      <c r="F26" s="1215"/>
      <c r="G26" s="1215"/>
      <c r="H26" s="1215"/>
      <c r="I26" s="1216"/>
      <c r="J26" s="1217"/>
      <c r="K26" s="1217"/>
      <c r="L26" s="1217"/>
      <c r="M26" s="1217"/>
      <c r="N26" s="1216"/>
      <c r="O26" s="1215"/>
      <c r="P26" s="1215"/>
      <c r="Q26" s="1215"/>
      <c r="R26" s="1215"/>
      <c r="S26" s="1216"/>
      <c r="T26" s="1215"/>
      <c r="U26" s="1215"/>
      <c r="V26" s="1215"/>
      <c r="W26" s="1215"/>
      <c r="X26" s="1216"/>
      <c r="Y26" s="1215"/>
      <c r="Z26" s="1215"/>
      <c r="AA26" s="1215"/>
      <c r="AB26" s="1215"/>
      <c r="AC26" s="1216"/>
      <c r="AD26" s="1215"/>
      <c r="AE26" s="1215"/>
      <c r="AF26" s="1215"/>
      <c r="AG26" s="1215"/>
      <c r="AH26" s="1218"/>
      <c r="AI26" s="1143"/>
    </row>
    <row r="27" ht="15.0" customHeight="1">
      <c r="A27" s="312"/>
      <c r="B27" s="1219"/>
      <c r="C27" s="1220"/>
      <c r="D27" s="1221"/>
      <c r="E27" s="1221"/>
      <c r="F27" s="1221"/>
      <c r="G27" s="1221"/>
      <c r="H27" s="1221"/>
      <c r="I27" s="1221"/>
      <c r="J27" s="1221"/>
      <c r="K27" s="1221"/>
      <c r="L27" s="1221"/>
      <c r="M27" s="1221"/>
      <c r="N27" s="1221"/>
      <c r="O27" s="1221"/>
      <c r="P27" s="1221"/>
      <c r="Q27" s="1221"/>
      <c r="R27" s="1221"/>
      <c r="S27" s="1221"/>
      <c r="T27" s="1221"/>
      <c r="U27" s="1221"/>
      <c r="V27" s="1221"/>
      <c r="W27" s="1221"/>
      <c r="X27" s="1221"/>
      <c r="Y27" s="1221"/>
      <c r="Z27" s="1221"/>
      <c r="AA27" s="1221"/>
      <c r="AB27" s="1221"/>
      <c r="AC27" s="1221"/>
      <c r="AD27" s="1221"/>
      <c r="AE27" s="1221"/>
      <c r="AF27" s="1221"/>
      <c r="AG27" s="1221"/>
      <c r="AH27" s="1222"/>
      <c r="AI27" s="1143"/>
    </row>
    <row r="28">
      <c r="A28" s="312"/>
      <c r="B28" s="1223"/>
      <c r="C28" s="1224"/>
      <c r="D28" s="1225"/>
      <c r="E28" s="1226" t="s">
        <v>439</v>
      </c>
      <c r="F28" s="471"/>
      <c r="G28" s="471"/>
      <c r="H28" s="471"/>
      <c r="I28" s="471"/>
      <c r="J28" s="471"/>
      <c r="K28" s="471"/>
      <c r="L28" s="471"/>
      <c r="M28" s="471"/>
      <c r="N28" s="471"/>
      <c r="O28" s="471"/>
      <c r="P28" s="471"/>
      <c r="Q28" s="471"/>
      <c r="R28" s="471"/>
      <c r="S28" s="471"/>
      <c r="T28" s="471"/>
      <c r="U28" s="471"/>
      <c r="V28" s="471"/>
      <c r="W28" s="471"/>
      <c r="X28" s="471"/>
      <c r="Y28" s="471"/>
      <c r="Z28" s="471"/>
      <c r="AA28" s="471"/>
      <c r="AB28" s="471"/>
      <c r="AC28" s="471"/>
      <c r="AD28" s="471"/>
      <c r="AE28" s="471"/>
      <c r="AF28" s="471"/>
      <c r="AG28" s="472"/>
      <c r="AH28" s="1227"/>
      <c r="AI28" s="1143"/>
    </row>
    <row r="29" ht="96.75" customHeight="1">
      <c r="A29" s="312"/>
      <c r="B29" s="1228"/>
      <c r="C29" s="1229" t="str">
        <f>IMAGE("https://i.ibb.co/mh2zYn4/Misty.png")</f>
        <v/>
      </c>
      <c r="D29" s="1230"/>
      <c r="E29" s="1231" t="str">
        <f t="array" ref="E29">IFERROR(VLOOKUP(E30,Dex!$B$3:$G102,3,FALSE),"")</f>
        <v/>
      </c>
      <c r="F29" s="302"/>
      <c r="G29" s="302"/>
      <c r="H29" s="303"/>
      <c r="I29" s="1232"/>
      <c r="J29" s="1231" t="str">
        <f t="array" ref="J29">IFERROR(VLOOKUP(J30,Dex!$B$3:$G102,3,FALSE),"")</f>
        <v/>
      </c>
      <c r="K29" s="302"/>
      <c r="L29" s="302"/>
      <c r="M29" s="303"/>
      <c r="N29" s="1232"/>
      <c r="O29" s="1231" t="str">
        <f t="array" ref="O29">IFERROR(VLOOKUP(O30,Dex!$B$3:$G102,3,FALSE),"")</f>
        <v/>
      </c>
      <c r="P29" s="302"/>
      <c r="Q29" s="302"/>
      <c r="R29" s="303"/>
      <c r="S29" s="1232"/>
      <c r="T29" s="1231" t="str">
        <f t="array" ref="T29">IFERROR(VLOOKUP(T30,Dex!$B$3:$G102,3,FALSE),"")</f>
        <v/>
      </c>
      <c r="U29" s="302"/>
      <c r="V29" s="302"/>
      <c r="W29" s="303"/>
      <c r="X29" s="1232"/>
      <c r="Y29" s="1231" t="str">
        <f t="array" ref="Y29">IFERROR(VLOOKUP(Y30,Dex!$B$3:$G102,3,FALSE),"")</f>
        <v/>
      </c>
      <c r="Z29" s="302"/>
      <c r="AA29" s="302"/>
      <c r="AB29" s="303"/>
      <c r="AC29" s="1232"/>
      <c r="AD29" s="1231" t="str">
        <f t="array" ref="AD29">IFERROR(VLOOKUP(AD30,Dex!$B$3:$G102,3,FALSE),"")</f>
        <v/>
      </c>
      <c r="AE29" s="302"/>
      <c r="AF29" s="302"/>
      <c r="AG29" s="303"/>
      <c r="AH29" s="1233"/>
      <c r="AI29" s="1143"/>
    </row>
    <row r="30" ht="18.75" customHeight="1">
      <c r="A30" s="312"/>
      <c r="B30" s="1234"/>
      <c r="C30" s="431" t="s">
        <v>440</v>
      </c>
      <c r="D30" s="1235"/>
      <c r="E30" s="1236" t="s">
        <v>441</v>
      </c>
      <c r="F30" s="434"/>
      <c r="G30" s="434"/>
      <c r="H30" s="435"/>
      <c r="J30" s="1236" t="s">
        <v>442</v>
      </c>
      <c r="K30" s="434"/>
      <c r="L30" s="434"/>
      <c r="M30" s="435"/>
      <c r="O30" s="1236" t="s">
        <v>443</v>
      </c>
      <c r="P30" s="434"/>
      <c r="Q30" s="434"/>
      <c r="R30" s="435"/>
      <c r="T30" s="1236" t="s">
        <v>444</v>
      </c>
      <c r="U30" s="434"/>
      <c r="V30" s="434"/>
      <c r="W30" s="435"/>
      <c r="Y30" s="1236" t="s">
        <v>445</v>
      </c>
      <c r="Z30" s="434"/>
      <c r="AA30" s="434"/>
      <c r="AB30" s="435"/>
      <c r="AD30" s="1236" t="s">
        <v>446</v>
      </c>
      <c r="AE30" s="434"/>
      <c r="AF30" s="434"/>
      <c r="AG30" s="435"/>
      <c r="AH30" s="1237"/>
      <c r="AI30" s="1161"/>
    </row>
    <row r="31">
      <c r="A31" s="290"/>
      <c r="B31" s="1238"/>
      <c r="C31" s="326"/>
      <c r="D31" s="1239"/>
      <c r="E31" s="1240" t="s">
        <v>420</v>
      </c>
      <c r="F31" s="426"/>
      <c r="G31" s="426"/>
      <c r="H31" s="444"/>
      <c r="J31" s="1240" t="s">
        <v>420</v>
      </c>
      <c r="K31" s="426"/>
      <c r="L31" s="426"/>
      <c r="M31" s="444"/>
      <c r="O31" s="1240" t="s">
        <v>420</v>
      </c>
      <c r="P31" s="426"/>
      <c r="Q31" s="426"/>
      <c r="R31" s="444"/>
      <c r="T31" s="1240" t="s">
        <v>420</v>
      </c>
      <c r="U31" s="426"/>
      <c r="V31" s="426"/>
      <c r="W31" s="444"/>
      <c r="Y31" s="1240" t="s">
        <v>420</v>
      </c>
      <c r="Z31" s="426"/>
      <c r="AA31" s="426"/>
      <c r="AB31" s="444"/>
      <c r="AD31" s="1240" t="s">
        <v>420</v>
      </c>
      <c r="AE31" s="426"/>
      <c r="AF31" s="426"/>
      <c r="AG31" s="444"/>
      <c r="AH31" s="1241"/>
      <c r="AI31" s="1166"/>
    </row>
    <row r="32" ht="25.5" customHeight="1">
      <c r="A32" s="290"/>
      <c r="B32" s="1223"/>
      <c r="C32" s="1242"/>
      <c r="D32" s="1243"/>
      <c r="E32" s="1244"/>
      <c r="F32" s="1245" t="str">
        <f t="array" ref="F32">IFERROR(VLOOKUP(E30,Dex!$B$3:$H102,5,FALSE),"")</f>
        <v/>
      </c>
      <c r="G32" s="427"/>
      <c r="H32" s="1246"/>
      <c r="J32" s="1247"/>
      <c r="K32" s="1248" t="str">
        <f t="array" ref="K32">IFERROR(VLOOKUP(J30,Dex!$B$3:$H102,5,FALSE),"")</f>
        <v/>
      </c>
      <c r="L32" s="1249" t="str">
        <f t="array" ref="L32">IFERROR(VLOOKUP(J30,Dex!$B$3:$H102,7,FALSE),"")</f>
        <v/>
      </c>
      <c r="M32" s="1250"/>
      <c r="O32" s="1247"/>
      <c r="P32" s="1248" t="str">
        <f t="array" ref="P32">IFERROR(VLOOKUP(O30,Dex!$B$3:$H102,5,FALSE),"")</f>
        <v/>
      </c>
      <c r="Q32" s="1249" t="str">
        <f t="array" ref="Q32">IFERROR(VLOOKUP(O30,Dex!$B$3:$H102,7,FALSE),"")</f>
        <v/>
      </c>
      <c r="R32" s="1250"/>
      <c r="T32" s="1247"/>
      <c r="U32" s="1248" t="str">
        <f t="array" ref="U32">IFERROR(VLOOKUP(T30,Dex!$B$3:$H102,5,FALSE),"")</f>
        <v/>
      </c>
      <c r="V32" s="1249" t="str">
        <f t="array" ref="V32">IFERROR(VLOOKUP(T30,Dex!$B$3:$H102,7,FALSE),"")</f>
        <v/>
      </c>
      <c r="W32" s="1251"/>
      <c r="Y32" s="1247"/>
      <c r="Z32" s="1248" t="str">
        <f t="array" ref="Z32">IFERROR(VLOOKUP(Y30,Dex!$B$3:$H102,5,FALSE),"")</f>
        <v/>
      </c>
      <c r="AA32" s="1249" t="str">
        <f t="array" ref="AA32">IFERROR(VLOOKUP(Y30,Dex!$B$3:$H102,7,FALSE),"")</f>
        <v/>
      </c>
      <c r="AB32" s="1250"/>
      <c r="AD32" s="1247"/>
      <c r="AE32" s="1248" t="str">
        <f t="array" ref="AE32">IFERROR(VLOOKUP(AD30,Dex!$B$3:$H102,5,FALSE),"")</f>
        <v/>
      </c>
      <c r="AF32" s="1249" t="str">
        <f t="array" ref="AF32">IFERROR(VLOOKUP(AD30,Dex!$B$3:$H102,7,FALSE),"")</f>
        <v/>
      </c>
      <c r="AG32" s="1251"/>
      <c r="AH32" s="1233"/>
      <c r="AI32" s="1143"/>
    </row>
    <row r="33" ht="2.25" customHeight="1">
      <c r="A33" s="290"/>
      <c r="B33" s="1223"/>
      <c r="C33" s="439"/>
      <c r="D33" s="1243"/>
      <c r="E33" s="1252"/>
      <c r="F33" s="1253"/>
      <c r="G33" s="1253"/>
      <c r="H33" s="1254"/>
      <c r="J33" s="1252"/>
      <c r="K33" s="1255"/>
      <c r="L33" s="1255"/>
      <c r="M33" s="1254"/>
      <c r="O33" s="1252"/>
      <c r="P33" s="1255"/>
      <c r="Q33" s="1255"/>
      <c r="R33" s="1254"/>
      <c r="T33" s="1252"/>
      <c r="U33" s="1255"/>
      <c r="V33" s="1255"/>
      <c r="W33" s="1256"/>
      <c r="Y33" s="1252"/>
      <c r="Z33" s="1255"/>
      <c r="AA33" s="1255"/>
      <c r="AB33" s="1254"/>
      <c r="AD33" s="1252"/>
      <c r="AE33" s="1255"/>
      <c r="AF33" s="1255"/>
      <c r="AG33" s="1256"/>
      <c r="AH33" s="1233"/>
      <c r="AI33" s="1143"/>
    </row>
    <row r="34" ht="20.25" customHeight="1">
      <c r="A34" s="312"/>
      <c r="B34" s="1223"/>
      <c r="C34" s="463"/>
      <c r="D34" s="1243"/>
      <c r="E34" s="1257" t="s">
        <v>172</v>
      </c>
      <c r="F34" s="465"/>
      <c r="G34" s="465"/>
      <c r="H34" s="466"/>
      <c r="J34" s="1257" t="s">
        <v>172</v>
      </c>
      <c r="K34" s="465"/>
      <c r="L34" s="465"/>
      <c r="M34" s="466"/>
      <c r="O34" s="1257" t="s">
        <v>263</v>
      </c>
      <c r="P34" s="465"/>
      <c r="Q34" s="465"/>
      <c r="R34" s="466"/>
      <c r="T34" s="1258" t="s">
        <v>172</v>
      </c>
      <c r="U34" s="465"/>
      <c r="V34" s="465"/>
      <c r="W34" s="466"/>
      <c r="Y34" s="1257" t="s">
        <v>298</v>
      </c>
      <c r="Z34" s="465"/>
      <c r="AA34" s="465"/>
      <c r="AB34" s="466"/>
      <c r="AD34" s="1257" t="s">
        <v>205</v>
      </c>
      <c r="AE34" s="465"/>
      <c r="AF34" s="465"/>
      <c r="AG34" s="466"/>
      <c r="AH34" s="1233"/>
      <c r="AI34" s="1143"/>
    </row>
    <row r="35">
      <c r="A35" s="312"/>
      <c r="B35" s="1223"/>
      <c r="C35" s="1259"/>
      <c r="D35" s="1243"/>
      <c r="E35" s="1260" t="s">
        <v>447</v>
      </c>
      <c r="F35" s="426"/>
      <c r="G35" s="426"/>
      <c r="H35" s="444"/>
      <c r="J35" s="1261" t="s">
        <v>448</v>
      </c>
      <c r="K35" s="426"/>
      <c r="L35" s="426"/>
      <c r="M35" s="444"/>
      <c r="O35" s="1260" t="s">
        <v>173</v>
      </c>
      <c r="P35" s="426"/>
      <c r="Q35" s="426"/>
      <c r="R35" s="444"/>
      <c r="T35" s="1260" t="s">
        <v>449</v>
      </c>
      <c r="U35" s="426"/>
      <c r="V35" s="426"/>
      <c r="W35" s="444"/>
      <c r="Y35" s="1260" t="s">
        <v>450</v>
      </c>
      <c r="Z35" s="426"/>
      <c r="AA35" s="426"/>
      <c r="AB35" s="444"/>
      <c r="AD35" s="1260" t="s">
        <v>451</v>
      </c>
      <c r="AE35" s="426"/>
      <c r="AF35" s="426"/>
      <c r="AG35" s="444"/>
      <c r="AH35" s="1233"/>
      <c r="AI35" s="1143"/>
    </row>
    <row r="36" ht="20.25" customHeight="1">
      <c r="A36" s="312"/>
      <c r="B36" s="1223"/>
      <c r="C36" s="439"/>
      <c r="D36" s="1243"/>
      <c r="E36" s="1262" t="s">
        <v>212</v>
      </c>
      <c r="F36" s="471"/>
      <c r="G36" s="472"/>
      <c r="H36" s="1263" t="str">
        <f>IMAGE("https://raw.githubusercontent.com/msikma/pokesprite/master/items/hold-item/mystic-water.png",3)</f>
        <v/>
      </c>
      <c r="J36" s="1262" t="s">
        <v>452</v>
      </c>
      <c r="K36" s="471"/>
      <c r="L36" s="472"/>
      <c r="M36" s="1263" t="str">
        <f>IMAGE("https://raw.githubusercontent.com/msikma/pokesprite/master/items/hold-item/scope-lens.png",3)</f>
        <v/>
      </c>
      <c r="O36" s="1262" t="s">
        <v>394</v>
      </c>
      <c r="P36" s="471"/>
      <c r="Q36" s="472"/>
      <c r="R36" s="1263" t="str">
        <f>IMAGE("https://raw.githubusercontent.com/msikma/pokesprite/master/items/hold-item/leftovers.png",3)</f>
        <v/>
      </c>
      <c r="T36" s="1264" t="s">
        <v>453</v>
      </c>
      <c r="U36" s="471"/>
      <c r="V36" s="472"/>
      <c r="W36" s="1263" t="str">
        <f>IMAGE("https://raw.githubusercontent.com/msikma/pokesprite/master/items/mega-stone/gyaradosite.png",3)</f>
        <v/>
      </c>
      <c r="Y36" s="1262" t="s">
        <v>454</v>
      </c>
      <c r="Z36" s="471"/>
      <c r="AA36" s="472"/>
      <c r="AB36" s="1263" t="str">
        <f>IMAGE("https://raw.githubusercontent.com/msikma/pokesprite/master/items/hold-item/rocky-helmet.png",3)</f>
        <v/>
      </c>
      <c r="AD36" s="1262" t="s">
        <v>240</v>
      </c>
      <c r="AE36" s="471"/>
      <c r="AF36" s="472"/>
      <c r="AG36" s="1263" t="str">
        <f>IMAGE("https://raw.githubusercontent.com/msikma/pokesprite/master/items/hold-item/focus-sash.png",3)</f>
        <v/>
      </c>
      <c r="AH36" s="1233"/>
      <c r="AI36" s="1143"/>
    </row>
    <row r="37" ht="20.25" customHeight="1">
      <c r="A37" s="343"/>
      <c r="B37" s="1223"/>
      <c r="C37" s="463"/>
      <c r="D37" s="1243"/>
      <c r="E37" s="1257" t="s">
        <v>219</v>
      </c>
      <c r="F37" s="465"/>
      <c r="G37" s="1265"/>
      <c r="H37" s="1266" t="str">
        <f t="shared" ref="H37:H39" si="1">IMAGE("https://raw.githubusercontent.com/msikma/pokesprite/master/misc/types/gen8/water.png",4,20,20)</f>
        <v/>
      </c>
      <c r="J37" s="1257" t="s">
        <v>455</v>
      </c>
      <c r="K37" s="465"/>
      <c r="L37" s="1265"/>
      <c r="M37" s="1266" t="str">
        <f>IMAGE("https://raw.githubusercontent.com/msikma/pokesprite/master/misc/types/gen8/water.png",4,20,20)</f>
        <v/>
      </c>
      <c r="O37" s="1257" t="s">
        <v>456</v>
      </c>
      <c r="P37" s="465"/>
      <c r="Q37" s="1265"/>
      <c r="R37" s="1267" t="str">
        <f>IMAGE("https://raw.githubusercontent.com/msikma/pokesprite/master/misc/types/gen8/electric.png",4,20,20)</f>
        <v/>
      </c>
      <c r="T37" s="1258" t="s">
        <v>396</v>
      </c>
      <c r="U37" s="465"/>
      <c r="V37" s="1265"/>
      <c r="W37" s="1267" t="str">
        <f>IMAGE("https://raw.githubusercontent.com/msikma/pokesprite/master/misc/types/gen8/dragon.png",4,20,20)</f>
        <v/>
      </c>
      <c r="Y37" s="1257" t="s">
        <v>457</v>
      </c>
      <c r="Z37" s="465"/>
      <c r="AA37" s="1265"/>
      <c r="AB37" s="1267" t="str">
        <f>IMAGE("https://raw.githubusercontent.com/msikma/pokesprite/master/misc/types/gen8/grass.png",4,20,20)</f>
        <v/>
      </c>
      <c r="AD37" s="1257" t="s">
        <v>428</v>
      </c>
      <c r="AE37" s="465"/>
      <c r="AF37" s="1265"/>
      <c r="AG37" s="1267" t="str">
        <f>IMAGE("https://raw.githubusercontent.com/msikma/pokesprite/master/misc/types/gen8/normal.png",4,20,20)</f>
        <v/>
      </c>
      <c r="AH37" s="1268"/>
      <c r="AI37" s="1143"/>
    </row>
    <row r="38" ht="20.25" customHeight="1">
      <c r="A38" s="312"/>
      <c r="B38" s="1223"/>
      <c r="C38" s="1269"/>
      <c r="D38" s="1243"/>
      <c r="E38" s="1260" t="s">
        <v>458</v>
      </c>
      <c r="F38" s="426"/>
      <c r="G38" s="427"/>
      <c r="H38" s="1270" t="str">
        <f t="shared" si="1"/>
        <v/>
      </c>
      <c r="J38" s="1260" t="s">
        <v>380</v>
      </c>
      <c r="K38" s="426"/>
      <c r="L38" s="427"/>
      <c r="M38" s="1270" t="str">
        <f>IMAGE("https://raw.githubusercontent.com/msikma/pokesprite/master/misc/types/gen8/dragon.png",4,20,20)</f>
        <v/>
      </c>
      <c r="O38" s="1260" t="s">
        <v>404</v>
      </c>
      <c r="P38" s="426"/>
      <c r="Q38" s="427"/>
      <c r="R38" s="1270" t="str">
        <f>IMAGE("https://raw.githubusercontent.com/msikma/pokesprite/master/misc/types/gen8/steel.png",4,20,20)</f>
        <v/>
      </c>
      <c r="T38" s="1261" t="s">
        <v>459</v>
      </c>
      <c r="U38" s="426"/>
      <c r="V38" s="427"/>
      <c r="W38" s="1270" t="str">
        <f>IMAGE("https://raw.githubusercontent.com/msikma/pokesprite/master/misc/types/gen8/water.png",4,20,20)</f>
        <v/>
      </c>
      <c r="Y38" s="1260" t="s">
        <v>180</v>
      </c>
      <c r="Z38" s="426"/>
      <c r="AA38" s="427"/>
      <c r="AB38" s="1270" t="str">
        <f>IMAGE("https://raw.githubusercontent.com/msikma/pokesprite/master/misc/types/gen8/steel.png",4,20,20)</f>
        <v/>
      </c>
      <c r="AD38" s="1260" t="s">
        <v>433</v>
      </c>
      <c r="AE38" s="426"/>
      <c r="AF38" s="427"/>
      <c r="AG38" s="1270" t="str">
        <f>IMAGE("https://raw.githubusercontent.com/msikma/pokesprite/master/misc/types/gen8/water.png",4,20,20)</f>
        <v/>
      </c>
      <c r="AH38" s="1268"/>
      <c r="AI38" s="1143"/>
    </row>
    <row r="39" ht="20.25" customHeight="1">
      <c r="A39" s="312"/>
      <c r="B39" s="1223"/>
      <c r="C39" s="1269"/>
      <c r="D39" s="1243"/>
      <c r="E39" s="1260" t="s">
        <v>460</v>
      </c>
      <c r="F39" s="426"/>
      <c r="G39" s="427"/>
      <c r="H39" s="1270" t="str">
        <f t="shared" si="1"/>
        <v/>
      </c>
      <c r="J39" s="1260" t="s">
        <v>461</v>
      </c>
      <c r="K39" s="426"/>
      <c r="L39" s="427"/>
      <c r="M39" s="1270" t="str">
        <f>IMAGE("https://raw.githubusercontent.com/msikma/pokesprite/master/misc/types/gen8/flying.png",4,20,20)</f>
        <v/>
      </c>
      <c r="O39" s="1260" t="s">
        <v>380</v>
      </c>
      <c r="P39" s="426"/>
      <c r="Q39" s="427"/>
      <c r="R39" s="1270" t="str">
        <f>IMAGE("https://raw.githubusercontent.com/msikma/pokesprite/master/misc/types/gen8/dragon.png",4,20,20)</f>
        <v/>
      </c>
      <c r="T39" s="1261" t="s">
        <v>320</v>
      </c>
      <c r="U39" s="426"/>
      <c r="V39" s="427"/>
      <c r="W39" s="1270" t="str">
        <f>IMAGE("https://raw.githubusercontent.com/msikma/pokesprite/master/misc/types/gen8/dark.png",4,20,20)</f>
        <v/>
      </c>
      <c r="Y39" s="1260" t="s">
        <v>462</v>
      </c>
      <c r="Z39" s="426"/>
      <c r="AA39" s="427"/>
      <c r="AB39" s="1270" t="str">
        <f>IMAGE("https://raw.githubusercontent.com/msikma/pokesprite/master/misc/types/gen8/grass.png",4,20,20)</f>
        <v/>
      </c>
      <c r="AD39" s="1260" t="s">
        <v>317</v>
      </c>
      <c r="AE39" s="426"/>
      <c r="AF39" s="427"/>
      <c r="AG39" s="1270" t="str">
        <f>IMAGE("https://raw.githubusercontent.com/msikma/pokesprite/master/misc/types/gen8/ice.png",4,20,20)</f>
        <v/>
      </c>
      <c r="AH39" s="1268"/>
      <c r="AI39" s="1143"/>
    </row>
    <row r="40" ht="21.0" customHeight="1">
      <c r="A40" s="312"/>
      <c r="B40" s="1223"/>
      <c r="C40" s="1269"/>
      <c r="D40" s="1243"/>
      <c r="E40" s="1271" t="s">
        <v>244</v>
      </c>
      <c r="F40" s="478"/>
      <c r="G40" s="1272"/>
      <c r="H40" s="1273" t="str">
        <f>IMAGE("https://raw.githubusercontent.com/msikma/pokesprite/master/misc/types/gen8/fighting.png",4,20,20)</f>
        <v/>
      </c>
      <c r="I40" s="434"/>
      <c r="J40" s="1271" t="s">
        <v>317</v>
      </c>
      <c r="K40" s="478"/>
      <c r="L40" s="1272"/>
      <c r="M40" s="1273" t="str">
        <f>IMAGE("https://raw.githubusercontent.com/msikma/pokesprite/master/misc/types/gen8/ice.png",4,20,20)</f>
        <v/>
      </c>
      <c r="N40" s="434"/>
      <c r="O40" s="1271" t="s">
        <v>463</v>
      </c>
      <c r="P40" s="478"/>
      <c r="Q40" s="1272"/>
      <c r="R40" s="1273" t="str">
        <f>IMAGE("https://raw.githubusercontent.com/msikma/pokesprite/master/misc/types/gen8/fighting.png",4,20,20)</f>
        <v/>
      </c>
      <c r="S40" s="434"/>
      <c r="T40" s="1274" t="s">
        <v>402</v>
      </c>
      <c r="U40" s="478"/>
      <c r="V40" s="1272"/>
      <c r="W40" s="1273" t="str">
        <f>IMAGE("https://raw.githubusercontent.com/msikma/pokesprite/master/misc/types/gen8/ground.png",4,20,20)</f>
        <v/>
      </c>
      <c r="X40" s="434"/>
      <c r="Y40" s="1271" t="s">
        <v>252</v>
      </c>
      <c r="Z40" s="478"/>
      <c r="AA40" s="1272"/>
      <c r="AB40" s="1273" t="str">
        <f>IMAGE("https://raw.githubusercontent.com/msikma/pokesprite/master/misc/types/gen8/electric.png",4,20,20)</f>
        <v/>
      </c>
      <c r="AC40" s="434"/>
      <c r="AD40" s="1271" t="s">
        <v>464</v>
      </c>
      <c r="AE40" s="478"/>
      <c r="AF40" s="1272"/>
      <c r="AG40" s="1273" t="str">
        <f>IMAGE("https://raw.githubusercontent.com/msikma/pokesprite/master/misc/types/gen8/fairy.png",4,20,20)</f>
        <v/>
      </c>
      <c r="AH40" s="1268"/>
      <c r="AI40" s="1143"/>
    </row>
    <row r="41" ht="3.0" customHeight="1">
      <c r="A41" s="312"/>
      <c r="B41" s="1275"/>
      <c r="C41" s="1276"/>
      <c r="D41" s="482"/>
      <c r="E41" s="483"/>
      <c r="F41" s="483"/>
      <c r="G41" s="483"/>
      <c r="H41" s="483"/>
      <c r="I41" s="482"/>
      <c r="J41" s="483"/>
      <c r="K41" s="483"/>
      <c r="L41" s="483"/>
      <c r="M41" s="483"/>
      <c r="N41" s="482"/>
      <c r="O41" s="483"/>
      <c r="P41" s="483"/>
      <c r="Q41" s="483"/>
      <c r="R41" s="483"/>
      <c r="S41" s="482"/>
      <c r="T41" s="483"/>
      <c r="U41" s="483"/>
      <c r="V41" s="483"/>
      <c r="W41" s="483"/>
      <c r="X41" s="482"/>
      <c r="Y41" s="1277"/>
      <c r="Z41" s="1278"/>
      <c r="AA41" s="1278"/>
      <c r="AB41" s="1279"/>
      <c r="AC41" s="482"/>
      <c r="AD41" s="1279"/>
      <c r="AE41" s="1279"/>
      <c r="AF41" s="1279"/>
      <c r="AG41" s="1279"/>
      <c r="AH41" s="429"/>
      <c r="AI41" s="296"/>
    </row>
    <row r="42" ht="16.5" customHeight="1">
      <c r="A42" s="312"/>
      <c r="B42" s="1280"/>
      <c r="C42" s="1276"/>
      <c r="D42" s="1281"/>
      <c r="E42" s="488" t="s">
        <v>190</v>
      </c>
      <c r="F42" s="381"/>
      <c r="G42" s="382"/>
      <c r="H42" s="489" t="s">
        <v>191</v>
      </c>
      <c r="I42" s="499"/>
      <c r="J42" s="488" t="s">
        <v>190</v>
      </c>
      <c r="K42" s="381"/>
      <c r="L42" s="382"/>
      <c r="M42" s="489" t="s">
        <v>191</v>
      </c>
      <c r="N42" s="499"/>
      <c r="O42" s="488" t="s">
        <v>190</v>
      </c>
      <c r="P42" s="381"/>
      <c r="Q42" s="382"/>
      <c r="R42" s="489" t="s">
        <v>191</v>
      </c>
      <c r="S42" s="499"/>
      <c r="T42" s="488" t="s">
        <v>190</v>
      </c>
      <c r="U42" s="381"/>
      <c r="V42" s="382"/>
      <c r="W42" s="489" t="s">
        <v>191</v>
      </c>
      <c r="X42" s="499"/>
      <c r="Y42" s="488" t="s">
        <v>190</v>
      </c>
      <c r="Z42" s="381"/>
      <c r="AA42" s="382"/>
      <c r="AB42" s="489" t="s">
        <v>191</v>
      </c>
      <c r="AC42" s="499"/>
      <c r="AD42" s="488" t="s">
        <v>190</v>
      </c>
      <c r="AE42" s="381"/>
      <c r="AF42" s="382"/>
      <c r="AG42" s="489" t="s">
        <v>191</v>
      </c>
      <c r="AH42" s="1282"/>
      <c r="AI42" s="389"/>
    </row>
    <row r="43" ht="15.75" customHeight="1">
      <c r="A43" s="312"/>
      <c r="B43" s="1280"/>
      <c r="C43" s="1276"/>
      <c r="D43" s="1281"/>
      <c r="E43" s="495" t="s">
        <v>192</v>
      </c>
      <c r="F43" s="496">
        <f t="array" ref="F43">IFERROR(VLOOKUP(E30,Dex!$B$3:$N102,8,FALSE),"")</f>
        <v>100</v>
      </c>
      <c r="G43" s="497" t="str">
        <f t="array" ref="G43">IFERROR(VLOOKUP(F43,Dex!$P$22:$Q$276,2,FALSE),"")</f>
        <v/>
      </c>
      <c r="H43" s="498"/>
      <c r="I43" s="1283"/>
      <c r="J43" s="495" t="s">
        <v>192</v>
      </c>
      <c r="K43" s="496">
        <f t="array" ref="K43">IFERROR(VLOOKUP(J30,Dex!$B$3:$N102,8,FALSE),"")</f>
        <v>75</v>
      </c>
      <c r="L43" s="497" t="str">
        <f t="array" ref="L43">IFERROR(VLOOKUP(K43,Dex!$P$22:$Q$276,2,FALSE),"")</f>
        <v/>
      </c>
      <c r="M43" s="498"/>
      <c r="N43" s="1283"/>
      <c r="O43" s="495" t="s">
        <v>192</v>
      </c>
      <c r="P43" s="496">
        <f t="array" ref="P43">IFERROR(VLOOKUP(O30,Dex!$B$3:$N102,8,FALSE),"")</f>
        <v>90</v>
      </c>
      <c r="Q43" s="497" t="str">
        <f t="array" ref="Q43">IFERROR(VLOOKUP(P43,Dex!$P$22:$Q$276,2,FALSE),"")</f>
        <v/>
      </c>
      <c r="R43" s="498">
        <v>252.0</v>
      </c>
      <c r="S43" s="1283"/>
      <c r="T43" s="495" t="s">
        <v>192</v>
      </c>
      <c r="U43" s="496">
        <f t="array" ref="U43">IFERROR(VLOOKUP(T30,Dex!$B$3:$N102,8,FALSE),"")</f>
        <v>95</v>
      </c>
      <c r="V43" s="497" t="str">
        <f t="array" ref="V43">IFERROR(VLOOKUP(U43,Dex!$P$22:$Q$276,2,FALSE),"")</f>
        <v/>
      </c>
      <c r="W43" s="498"/>
      <c r="X43" s="1283"/>
      <c r="Y43" s="495" t="s">
        <v>192</v>
      </c>
      <c r="Z43" s="496">
        <f t="array" ref="Z43">IFERROR(VLOOKUP(Y30,Dex!$B$3:$N102,8,FALSE),"")</f>
        <v>74</v>
      </c>
      <c r="AA43" s="497" t="str">
        <f t="array" ref="AA43">IFERROR(VLOOKUP(Z43,Dex!$P$22:$Q$276,2,FALSE),"")</f>
        <v/>
      </c>
      <c r="AB43" s="498">
        <v>252.0</v>
      </c>
      <c r="AC43" s="1283"/>
      <c r="AD43" s="495" t="s">
        <v>192</v>
      </c>
      <c r="AE43" s="496">
        <f t="array" ref="AE43">IFERROR(VLOOKUP(AD30,Dex!$B$3:$N102,8,FALSE),"")</f>
        <v>55</v>
      </c>
      <c r="AF43" s="497" t="str">
        <f t="array" ref="AF43">IFERROR(VLOOKUP(AE43,Dex!$P$22:$Q$276,2,FALSE),"")</f>
        <v/>
      </c>
      <c r="AG43" s="498"/>
      <c r="AH43" s="1284"/>
      <c r="AI43" s="389"/>
    </row>
    <row r="44" ht="15.75" customHeight="1">
      <c r="A44" s="312"/>
      <c r="B44" s="1280"/>
      <c r="C44" s="1276"/>
      <c r="D44" s="1281"/>
      <c r="E44" s="500" t="s">
        <v>193</v>
      </c>
      <c r="F44" s="501">
        <f t="array" ref="F44">IFERROR(VLOOKUP(E30,Dex!$B$3:$N102,9,FALSE),"")</f>
        <v>160</v>
      </c>
      <c r="G44" s="502" t="str">
        <f t="array" ref="G44">IFERROR(VLOOKUP(F44,Dex!$P$22:$Q$276,2,FALSE),"")</f>
        <v/>
      </c>
      <c r="H44" s="503">
        <v>252.0</v>
      </c>
      <c r="I44" s="1283"/>
      <c r="J44" s="500" t="s">
        <v>193</v>
      </c>
      <c r="K44" s="501">
        <f t="array" ref="K44">IFERROR(VLOOKUP(J30,Dex!$B$3:$N102,9,FALSE),"")</f>
        <v>95</v>
      </c>
      <c r="L44" s="502" t="str">
        <f t="array" ref="L44">IFERROR(VLOOKUP(K44,Dex!$P$22:$Q$276,2,FALSE),"")</f>
        <v/>
      </c>
      <c r="M44" s="503"/>
      <c r="N44" s="1283"/>
      <c r="O44" s="500" t="s">
        <v>193</v>
      </c>
      <c r="P44" s="501">
        <f t="array" ref="P44">IFERROR(VLOOKUP(O30,Dex!$B$3:$N102,9,FALSE),"")</f>
        <v>105</v>
      </c>
      <c r="Q44" s="502" t="str">
        <f t="array" ref="Q44">IFERROR(VLOOKUP(P44,Dex!$P$22:$Q$276,2,FALSE),"")</f>
        <v/>
      </c>
      <c r="R44" s="503"/>
      <c r="S44" s="1283"/>
      <c r="T44" s="500" t="s">
        <v>193</v>
      </c>
      <c r="U44" s="501">
        <f t="array" ref="U44">IFERROR(VLOOKUP(T30,Dex!$B$3:$N102,9,FALSE),"")</f>
        <v>155</v>
      </c>
      <c r="V44" s="502" t="str">
        <f t="array" ref="V44">IFERROR(VLOOKUP(U44,Dex!$P$22:$Q$276,2,FALSE),"")</f>
        <v/>
      </c>
      <c r="W44" s="503">
        <v>252.0</v>
      </c>
      <c r="X44" s="1283"/>
      <c r="Y44" s="500" t="s">
        <v>193</v>
      </c>
      <c r="Z44" s="501">
        <f t="array" ref="Z44">IFERROR(VLOOKUP(Y30,Dex!$B$3:$N102,9,FALSE),"")</f>
        <v>94</v>
      </c>
      <c r="AA44" s="502" t="str">
        <f t="array" ref="AA44">IFERROR(VLOOKUP(Z44,Dex!$P$22:$Q$276,2,FALSE),"")</f>
        <v/>
      </c>
      <c r="AB44" s="503"/>
      <c r="AC44" s="1283"/>
      <c r="AD44" s="500" t="s">
        <v>193</v>
      </c>
      <c r="AE44" s="501">
        <f t="array" ref="AE44">IFERROR(VLOOKUP(AD30,Dex!$B$3:$N102,9,FALSE),"")</f>
        <v>84</v>
      </c>
      <c r="AF44" s="502" t="str">
        <f t="array" ref="AF44">IFERROR(VLOOKUP(AE44,Dex!$P$22:$Q$276,2,FALSE),"")</f>
        <v/>
      </c>
      <c r="AG44" s="503"/>
      <c r="AH44" s="1284"/>
      <c r="AI44" s="389"/>
    </row>
    <row r="45" ht="15.75" customHeight="1">
      <c r="A45" s="312"/>
      <c r="B45" s="1280"/>
      <c r="C45" s="1276"/>
      <c r="D45" s="1281"/>
      <c r="E45" s="500" t="s">
        <v>194</v>
      </c>
      <c r="F45" s="501">
        <f t="array" ref="F45">IFERROR(VLOOKUP(E30,Dex!$B$3:$N102,10,FALSE),"")</f>
        <v>97</v>
      </c>
      <c r="G45" s="502" t="str">
        <f t="array" ref="G45">IFERROR(VLOOKUP(F45,Dex!$P$22:$Q$276,2,FALSE),"")</f>
        <v/>
      </c>
      <c r="H45" s="503"/>
      <c r="I45" s="1283"/>
      <c r="J45" s="500" t="s">
        <v>194</v>
      </c>
      <c r="K45" s="501">
        <f t="array" ref="K45">IFERROR(VLOOKUP(J30,Dex!$B$3:$N102,10,FALSE),"")</f>
        <v>95</v>
      </c>
      <c r="L45" s="502" t="str">
        <f t="array" ref="L45">IFERROR(VLOOKUP(K45,Dex!$P$22:$Q$276,2,FALSE),"")</f>
        <v/>
      </c>
      <c r="M45" s="503"/>
      <c r="N45" s="1283"/>
      <c r="O45" s="500" t="s">
        <v>194</v>
      </c>
      <c r="P45" s="501">
        <f t="array" ref="P45">IFERROR(VLOOKUP(O30,Dex!$B$3:$N102,10,FALSE),"")</f>
        <v>130</v>
      </c>
      <c r="Q45" s="502" t="str">
        <f t="array" ref="Q45">IFERROR(VLOOKUP(P45,Dex!$P$22:$Q$276,2,FALSE),"")</f>
        <v/>
      </c>
      <c r="R45" s="503">
        <v>4.0</v>
      </c>
      <c r="S45" s="1283"/>
      <c r="T45" s="500" t="s">
        <v>194</v>
      </c>
      <c r="U45" s="501">
        <f t="array" ref="U45">IFERROR(VLOOKUP(T30,Dex!$B$3:$N102,10,FALSE),"")</f>
        <v>109</v>
      </c>
      <c r="V45" s="502" t="str">
        <f t="array" ref="V45">IFERROR(VLOOKUP(U45,Dex!$P$22:$Q$276,2,FALSE),"")</f>
        <v/>
      </c>
      <c r="W45" s="503"/>
      <c r="X45" s="1283"/>
      <c r="Y45" s="500" t="s">
        <v>194</v>
      </c>
      <c r="Z45" s="501">
        <f t="array" ref="Z45">IFERROR(VLOOKUP(Y30,Dex!$B$3:$N102,10,FALSE),"")</f>
        <v>131</v>
      </c>
      <c r="AA45" s="502" t="str">
        <f t="array" ref="AA45">IFERROR(VLOOKUP(Z45,Dex!$P$22:$Q$276,2,FALSE),"")</f>
        <v/>
      </c>
      <c r="AB45" s="503">
        <v>252.0</v>
      </c>
      <c r="AC45" s="1283"/>
      <c r="AD45" s="500" t="s">
        <v>194</v>
      </c>
      <c r="AE45" s="501">
        <f t="array" ref="AE45">IFERROR(VLOOKUP(AD30,Dex!$B$3:$N102,10,FALSE),"")</f>
        <v>105</v>
      </c>
      <c r="AF45" s="502" t="str">
        <f t="array" ref="AF45">IFERROR(VLOOKUP(AE45,Dex!$P$22:$Q$276,2,FALSE),"")</f>
        <v/>
      </c>
      <c r="AG45" s="503"/>
      <c r="AH45" s="1284"/>
      <c r="AI45" s="389"/>
    </row>
    <row r="46" ht="15.75" customHeight="1">
      <c r="A46" s="312"/>
      <c r="B46" s="1280"/>
      <c r="C46" s="1276"/>
      <c r="D46" s="1281"/>
      <c r="E46" s="500" t="s">
        <v>195</v>
      </c>
      <c r="F46" s="501">
        <f t="array" ref="F46">IFERROR(VLOOKUP(E30,Dex!$B$3:$N102,11,FALSE),"")</f>
        <v>106</v>
      </c>
      <c r="G46" s="502" t="str">
        <f t="array" ref="G46">IFERROR(VLOOKUP(F46,Dex!$P$22:$Q$276,2,FALSE),"")</f>
        <v/>
      </c>
      <c r="H46" s="503"/>
      <c r="I46" s="1283"/>
      <c r="J46" s="500" t="s">
        <v>195</v>
      </c>
      <c r="K46" s="501">
        <f t="array" ref="K46">IFERROR(VLOOKUP(J30,Dex!$B$3:$N102,11,FALSE),"")</f>
        <v>95</v>
      </c>
      <c r="L46" s="502" t="str">
        <f t="array" ref="L46">IFERROR(VLOOKUP(K46,Dex!$P$22:$Q$276,2,FALSE),"")</f>
        <v/>
      </c>
      <c r="M46" s="503">
        <v>252.0</v>
      </c>
      <c r="N46" s="1283"/>
      <c r="O46" s="500" t="s">
        <v>195</v>
      </c>
      <c r="P46" s="501">
        <f t="array" ref="P46">IFERROR(VLOOKUP(O30,Dex!$B$3:$N102,11,FALSE),"")</f>
        <v>125</v>
      </c>
      <c r="Q46" s="502" t="str">
        <f t="array" ref="Q46">IFERROR(VLOOKUP(P46,Dex!$P$22:$Q$276,2,FALSE),"")</f>
        <v/>
      </c>
      <c r="R46" s="503">
        <v>252.0</v>
      </c>
      <c r="S46" s="1283"/>
      <c r="T46" s="500" t="s">
        <v>195</v>
      </c>
      <c r="U46" s="501">
        <f t="array" ref="U46">IFERROR(VLOOKUP(T30,Dex!$B$3:$N102,11,FALSE),"")</f>
        <v>70</v>
      </c>
      <c r="V46" s="502" t="str">
        <f t="array" ref="V46">IFERROR(VLOOKUP(U46,Dex!$P$22:$Q$276,2,FALSE),"")</f>
        <v/>
      </c>
      <c r="W46" s="503"/>
      <c r="X46" s="1283"/>
      <c r="Y46" s="500" t="s">
        <v>195</v>
      </c>
      <c r="Z46" s="501">
        <f t="array" ref="Z46">IFERROR(VLOOKUP(Y30,Dex!$B$3:$N102,11,FALSE),"")</f>
        <v>54</v>
      </c>
      <c r="AA46" s="502" t="str">
        <f t="array" ref="AA46">IFERROR(VLOOKUP(Z46,Dex!$P$22:$Q$276,2,FALSE),"")</f>
        <v/>
      </c>
      <c r="AB46" s="503"/>
      <c r="AC46" s="1283"/>
      <c r="AD46" s="500" t="s">
        <v>195</v>
      </c>
      <c r="AE46" s="501">
        <f t="array" ref="AE46">IFERROR(VLOOKUP(AD30,Dex!$B$3:$N102,11,FALSE),"")</f>
        <v>104</v>
      </c>
      <c r="AF46" s="502" t="str">
        <f t="array" ref="AF46">IFERROR(VLOOKUP(AE46,Dex!$P$22:$Q$276,2,FALSE),"")</f>
        <v/>
      </c>
      <c r="AG46" s="503">
        <v>252.0</v>
      </c>
      <c r="AH46" s="1284"/>
      <c r="AI46" s="389"/>
    </row>
    <row r="47" ht="15.75" customHeight="1">
      <c r="A47" s="312"/>
      <c r="B47" s="1280"/>
      <c r="C47" s="1276"/>
      <c r="D47" s="1281"/>
      <c r="E47" s="500" t="s">
        <v>196</v>
      </c>
      <c r="F47" s="501">
        <f t="array" ref="F47">IFERROR(VLOOKUP(E30,Dex!$B$3:$N102,12,FALSE),"")</f>
        <v>87</v>
      </c>
      <c r="G47" s="502" t="str">
        <f t="array" ref="G47">IFERROR(VLOOKUP(F47,Dex!$P$22:$Q$276,2,FALSE),"")</f>
        <v/>
      </c>
      <c r="H47" s="503">
        <v>4.0</v>
      </c>
      <c r="I47" s="1283"/>
      <c r="J47" s="500" t="s">
        <v>196</v>
      </c>
      <c r="K47" s="501">
        <f t="array" ref="K47">IFERROR(VLOOKUP(J30,Dex!$B$3:$N102,12,FALSE),"")</f>
        <v>95</v>
      </c>
      <c r="L47" s="502" t="str">
        <f t="array" ref="L47">IFERROR(VLOOKUP(K47,Dex!$P$22:$Q$276,2,FALSE),"")</f>
        <v/>
      </c>
      <c r="M47" s="503">
        <v>4.0</v>
      </c>
      <c r="N47" s="1283"/>
      <c r="O47" s="500" t="s">
        <v>196</v>
      </c>
      <c r="P47" s="501">
        <f t="array" ref="P47">IFERROR(VLOOKUP(O30,Dex!$B$3:$N102,12,FALSE),"")</f>
        <v>65</v>
      </c>
      <c r="Q47" s="502" t="str">
        <f t="array" ref="Q47">IFERROR(VLOOKUP(P47,Dex!$P$22:$Q$276,2,FALSE),"")</f>
        <v/>
      </c>
      <c r="R47" s="503"/>
      <c r="S47" s="1283"/>
      <c r="T47" s="500" t="s">
        <v>196</v>
      </c>
      <c r="U47" s="501">
        <f t="array" ref="U47">IFERROR(VLOOKUP(T30,Dex!$B$3:$N102,12,FALSE),"")</f>
        <v>130</v>
      </c>
      <c r="V47" s="502" t="str">
        <f t="array" ref="V47">IFERROR(VLOOKUP(U47,Dex!$P$22:$Q$276,2,FALSE),"")</f>
        <v/>
      </c>
      <c r="W47" s="503">
        <v>4.0</v>
      </c>
      <c r="X47" s="1283"/>
      <c r="Y47" s="500" t="s">
        <v>196</v>
      </c>
      <c r="Z47" s="501">
        <f t="array" ref="Z47">IFERROR(VLOOKUP(Y30,Dex!$B$3:$N102,12,FALSE),"")</f>
        <v>116</v>
      </c>
      <c r="AA47" s="502" t="str">
        <f t="array" ref="AA47">IFERROR(VLOOKUP(Z47,Dex!$P$22:$Q$276,2,FALSE),"")</f>
        <v/>
      </c>
      <c r="AB47" s="503">
        <v>4.0</v>
      </c>
      <c r="AC47" s="1283"/>
      <c r="AD47" s="500" t="s">
        <v>196</v>
      </c>
      <c r="AE47" s="501">
        <f t="array" ref="AE47">IFERROR(VLOOKUP(AD30,Dex!$B$3:$N102,12,FALSE),"")</f>
        <v>75</v>
      </c>
      <c r="AF47" s="502" t="str">
        <f t="array" ref="AF47">IFERROR(VLOOKUP(AE47,Dex!$P$22:$Q$276,2,FALSE),"")</f>
        <v/>
      </c>
      <c r="AG47" s="503">
        <v>4.0</v>
      </c>
      <c r="AH47" s="1284"/>
      <c r="AI47" s="389"/>
    </row>
    <row r="48" ht="15.75" customHeight="1">
      <c r="A48" s="312"/>
      <c r="B48" s="1280"/>
      <c r="C48" s="1204" t="s">
        <v>436</v>
      </c>
      <c r="D48" s="1281"/>
      <c r="E48" s="504" t="s">
        <v>197</v>
      </c>
      <c r="F48" s="505">
        <f t="array" ref="F48">IFERROR(VLOOKUP(E30,Dex!$B$3:$N102,13,FALSE),"")</f>
        <v>100</v>
      </c>
      <c r="G48" s="506" t="str">
        <f t="array" ref="G48">IFERROR(VLOOKUP(F48,Dex!$P$22:$Q$276,2,FALSE),"")</f>
        <v/>
      </c>
      <c r="H48" s="507">
        <v>252.0</v>
      </c>
      <c r="I48" s="1283"/>
      <c r="J48" s="504" t="s">
        <v>197</v>
      </c>
      <c r="K48" s="505">
        <f t="array" ref="K48">IFERROR(VLOOKUP(J30,Dex!$B$3:$N102,13,FALSE),"")</f>
        <v>85</v>
      </c>
      <c r="L48" s="506" t="str">
        <f t="array" ref="L48">IFERROR(VLOOKUP(K48,Dex!$P$22:$Q$276,2,FALSE),"")</f>
        <v/>
      </c>
      <c r="M48" s="507">
        <v>252.0</v>
      </c>
      <c r="N48" s="1283"/>
      <c r="O48" s="504" t="s">
        <v>197</v>
      </c>
      <c r="P48" s="505">
        <f t="array" ref="P48">IFERROR(VLOOKUP(O30,Dex!$B$3:$N102,13,FALSE),"")</f>
        <v>85</v>
      </c>
      <c r="Q48" s="506" t="str">
        <f t="array" ref="Q48">IFERROR(VLOOKUP(P48,Dex!$P$22:$Q$276,2,FALSE),"")</f>
        <v/>
      </c>
      <c r="R48" s="507"/>
      <c r="S48" s="1283"/>
      <c r="T48" s="504" t="s">
        <v>197</v>
      </c>
      <c r="U48" s="505">
        <f t="array" ref="U48">IFERROR(VLOOKUP(T30,Dex!$B$3:$N102,13,FALSE),"")</f>
        <v>81</v>
      </c>
      <c r="V48" s="506" t="str">
        <f t="array" ref="V48">IFERROR(VLOOKUP(U48,Dex!$P$22:$Q$276,2,FALSE),"")</f>
        <v/>
      </c>
      <c r="W48" s="507">
        <v>252.0</v>
      </c>
      <c r="X48" s="1283"/>
      <c r="Y48" s="504" t="s">
        <v>197</v>
      </c>
      <c r="Z48" s="505">
        <f t="array" ref="Z48">IFERROR(VLOOKUP(Y30,Dex!$B$3:$N102,13,FALSE),"")</f>
        <v>20</v>
      </c>
      <c r="AA48" s="506" t="str">
        <f t="array" ref="AA48">IFERROR(VLOOKUP(Z48,Dex!$P$22:$Q$276,2,FALSE),"")</f>
        <v/>
      </c>
      <c r="AB48" s="507"/>
      <c r="AC48" s="1283"/>
      <c r="AD48" s="504" t="s">
        <v>197</v>
      </c>
      <c r="AE48" s="505">
        <f t="array" ref="AE48">IFERROR(VLOOKUP(AD30,Dex!$B$3:$N102,13,FALSE),"")</f>
        <v>52</v>
      </c>
      <c r="AF48" s="506" t="str">
        <f t="array" ref="AF48">IFERROR(VLOOKUP(AE48,Dex!$P$22:$Q$276,2,FALSE),"")</f>
        <v/>
      </c>
      <c r="AG48" s="507">
        <v>252.0</v>
      </c>
      <c r="AH48" s="1284"/>
      <c r="AI48" s="389"/>
    </row>
    <row r="49" ht="16.5" customHeight="1">
      <c r="A49" s="312"/>
      <c r="B49" s="1280"/>
      <c r="C49" s="1205" t="s">
        <v>437</v>
      </c>
      <c r="D49" s="1281"/>
      <c r="E49" s="508" t="s">
        <v>198</v>
      </c>
      <c r="F49" s="405"/>
      <c r="G49" s="406"/>
      <c r="H49" s="509">
        <v>218.0</v>
      </c>
      <c r="I49" s="499"/>
      <c r="J49" s="1285" t="s">
        <v>198</v>
      </c>
      <c r="K49" s="918"/>
      <c r="L49" s="919"/>
      <c r="M49" s="1286">
        <v>196.0</v>
      </c>
      <c r="N49" s="499"/>
      <c r="O49" s="508" t="s">
        <v>198</v>
      </c>
      <c r="P49" s="405"/>
      <c r="Q49" s="406"/>
      <c r="R49" s="509">
        <v>137.0</v>
      </c>
      <c r="S49" s="499"/>
      <c r="T49" s="508" t="s">
        <v>198</v>
      </c>
      <c r="U49" s="405"/>
      <c r="V49" s="406"/>
      <c r="W49" s="509">
        <v>190.0</v>
      </c>
      <c r="X49" s="499"/>
      <c r="Y49" s="508" t="s">
        <v>198</v>
      </c>
      <c r="Z49" s="405"/>
      <c r="AA49" s="406"/>
      <c r="AB49" s="509">
        <v>27.0</v>
      </c>
      <c r="AC49" s="499"/>
      <c r="AD49" s="508" t="s">
        <v>198</v>
      </c>
      <c r="AE49" s="405"/>
      <c r="AF49" s="406"/>
      <c r="AG49" s="509">
        <v>148.0</v>
      </c>
      <c r="AH49" s="1282"/>
      <c r="AI49" s="389"/>
    </row>
    <row r="50" ht="16.5" customHeight="1">
      <c r="A50" s="312"/>
      <c r="B50" s="1280"/>
      <c r="C50" s="1276"/>
      <c r="D50" s="1281"/>
      <c r="E50" s="1287"/>
      <c r="F50" s="1287"/>
      <c r="G50" s="1287"/>
      <c r="H50" s="1288"/>
      <c r="I50" s="499"/>
      <c r="J50" s="1289" t="s">
        <v>465</v>
      </c>
      <c r="K50" s="925"/>
      <c r="L50" s="926"/>
      <c r="M50" s="1290">
        <v>392.0</v>
      </c>
      <c r="N50" s="499"/>
      <c r="O50" s="1287"/>
      <c r="P50" s="1287"/>
      <c r="Q50" s="1287"/>
      <c r="R50" s="1288"/>
      <c r="S50" s="499"/>
      <c r="T50" s="1287"/>
      <c r="U50" s="1287"/>
      <c r="V50" s="1287"/>
      <c r="W50" s="1288"/>
      <c r="X50" s="499"/>
      <c r="Y50" s="1287"/>
      <c r="Z50" s="1287"/>
      <c r="AA50" s="1287"/>
      <c r="AB50" s="1288"/>
      <c r="AC50" s="499"/>
      <c r="AD50" s="1287"/>
      <c r="AE50" s="1287"/>
      <c r="AF50" s="1287"/>
      <c r="AG50" s="1288"/>
      <c r="AH50" s="1282"/>
      <c r="AI50" s="389"/>
    </row>
    <row r="51" ht="15.0" customHeight="1">
      <c r="A51" s="343"/>
      <c r="B51" s="1291"/>
      <c r="C51" s="1292"/>
      <c r="D51" s="1293"/>
      <c r="E51" s="1293"/>
      <c r="F51" s="1293"/>
      <c r="G51" s="1293"/>
      <c r="H51" s="1293"/>
      <c r="I51" s="1293"/>
      <c r="J51" s="1294"/>
      <c r="K51" s="1294"/>
      <c r="L51" s="1294"/>
      <c r="M51" s="1294"/>
      <c r="N51" s="1293"/>
      <c r="O51" s="1293"/>
      <c r="P51" s="1293"/>
      <c r="Q51" s="1293"/>
      <c r="R51" s="1293"/>
      <c r="S51" s="1293"/>
      <c r="T51" s="1293"/>
      <c r="U51" s="1293"/>
      <c r="V51" s="1293"/>
      <c r="W51" s="1293"/>
      <c r="X51" s="1293"/>
      <c r="Y51" s="1293"/>
      <c r="Z51" s="1293"/>
      <c r="AA51" s="1293"/>
      <c r="AB51" s="1293"/>
      <c r="AC51" s="1293"/>
      <c r="AD51" s="1293"/>
      <c r="AE51" s="1293"/>
      <c r="AF51" s="1293"/>
      <c r="AG51" s="1293"/>
      <c r="AH51" s="1295"/>
      <c r="AI51" s="1143"/>
    </row>
    <row r="52" ht="15.0" customHeight="1">
      <c r="A52" s="343"/>
      <c r="B52" s="1296"/>
      <c r="C52" s="1297"/>
      <c r="D52" s="1298"/>
      <c r="E52" s="1298"/>
      <c r="F52" s="1298"/>
      <c r="G52" s="1298"/>
      <c r="H52" s="1298"/>
      <c r="I52" s="1298"/>
      <c r="J52" s="1298"/>
      <c r="K52" s="1298"/>
      <c r="L52" s="1298"/>
      <c r="M52" s="1298"/>
      <c r="N52" s="1298"/>
      <c r="O52" s="1298"/>
      <c r="P52" s="1298"/>
      <c r="Q52" s="1298"/>
      <c r="R52" s="1298"/>
      <c r="S52" s="1298"/>
      <c r="T52" s="1298"/>
      <c r="U52" s="1298"/>
      <c r="V52" s="1298"/>
      <c r="W52" s="1298"/>
      <c r="X52" s="1298"/>
      <c r="Y52" s="1298"/>
      <c r="Z52" s="1298"/>
      <c r="AA52" s="1298"/>
      <c r="AB52" s="1298"/>
      <c r="AC52" s="1298"/>
      <c r="AD52" s="1298"/>
      <c r="AE52" s="1298"/>
      <c r="AF52" s="1298"/>
      <c r="AG52" s="1298"/>
      <c r="AH52" s="1299"/>
      <c r="AI52" s="1143"/>
    </row>
    <row r="53">
      <c r="A53" s="312"/>
      <c r="B53" s="1300"/>
      <c r="C53" s="1301"/>
      <c r="D53" s="1302"/>
      <c r="E53" s="1303" t="s">
        <v>466</v>
      </c>
      <c r="F53" s="573"/>
      <c r="G53" s="573"/>
      <c r="H53" s="573"/>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4"/>
      <c r="AH53" s="1304"/>
      <c r="AI53" s="1143"/>
    </row>
    <row r="54" ht="96.75" customHeight="1">
      <c r="A54" s="312"/>
      <c r="B54" s="1305"/>
      <c r="C54" s="1306" t="str">
        <f>IMAGE("https://i.ibb.co/w6kjj5K/Surge.png")</f>
        <v/>
      </c>
      <c r="D54" s="1307"/>
      <c r="E54" s="1308" t="str">
        <f t="array" ref="E54">IFERROR(VLOOKUP(E55,Dex!$B$3:$G102,3,FALSE),"")</f>
        <v/>
      </c>
      <c r="F54" s="302"/>
      <c r="G54" s="302"/>
      <c r="H54" s="303"/>
      <c r="I54" s="1309"/>
      <c r="J54" s="1308" t="str">
        <f t="array" ref="J54">IFERROR(VLOOKUP(J55,Dex!$B$3:$G102,3,FALSE),"")</f>
        <v/>
      </c>
      <c r="K54" s="302"/>
      <c r="L54" s="302"/>
      <c r="M54" s="303"/>
      <c r="N54" s="1309"/>
      <c r="O54" s="1308" t="str">
        <f t="array" ref="O54">IFERROR(VLOOKUP(O55,Dex!$B$3:$G102,3,FALSE),"")</f>
        <v/>
      </c>
      <c r="P54" s="302"/>
      <c r="Q54" s="302"/>
      <c r="R54" s="303"/>
      <c r="S54" s="1309"/>
      <c r="T54" s="1308" t="str">
        <f t="array" ref="T54">IFERROR(VLOOKUP(T55,Dex!$B$3:$G102,3,FALSE),"")</f>
        <v/>
      </c>
      <c r="U54" s="302"/>
      <c r="V54" s="302"/>
      <c r="W54" s="303"/>
      <c r="X54" s="1309"/>
      <c r="Y54" s="1308" t="str">
        <f t="array" ref="Y54">IFERROR(VLOOKUP(Y55,Dex!$B$3:$G102,3,FALSE),"")</f>
        <v/>
      </c>
      <c r="Z54" s="302"/>
      <c r="AA54" s="302"/>
      <c r="AB54" s="303"/>
      <c r="AC54" s="1309"/>
      <c r="AD54" s="1308" t="str">
        <f t="array" ref="AD54">IFERROR(VLOOKUP(AD55,Dex!$B$3:$G102,3,FALSE),"")</f>
        <v/>
      </c>
      <c r="AE54" s="302"/>
      <c r="AF54" s="302"/>
      <c r="AG54" s="303"/>
      <c r="AH54" s="1310"/>
      <c r="AI54" s="1143"/>
    </row>
    <row r="55" ht="18.75" customHeight="1">
      <c r="A55" s="312"/>
      <c r="B55" s="1311"/>
      <c r="C55" s="532" t="s">
        <v>467</v>
      </c>
      <c r="E55" s="1312" t="s">
        <v>468</v>
      </c>
      <c r="F55" s="535"/>
      <c r="G55" s="535"/>
      <c r="H55" s="536"/>
      <c r="J55" s="1312" t="s">
        <v>228</v>
      </c>
      <c r="K55" s="535"/>
      <c r="L55" s="535"/>
      <c r="M55" s="536"/>
      <c r="O55" s="1312" t="s">
        <v>469</v>
      </c>
      <c r="P55" s="535"/>
      <c r="Q55" s="535"/>
      <c r="R55" s="536"/>
      <c r="T55" s="1312" t="s">
        <v>229</v>
      </c>
      <c r="U55" s="535"/>
      <c r="V55" s="535"/>
      <c r="W55" s="536"/>
      <c r="Y55" s="1313" t="s">
        <v>230</v>
      </c>
      <c r="Z55" s="535"/>
      <c r="AA55" s="535"/>
      <c r="AB55" s="536"/>
      <c r="AD55" s="1312" t="s">
        <v>470</v>
      </c>
      <c r="AE55" s="535"/>
      <c r="AF55" s="535"/>
      <c r="AG55" s="536"/>
      <c r="AH55" s="1314"/>
      <c r="AI55" s="1161"/>
    </row>
    <row r="56">
      <c r="A56" s="312"/>
      <c r="B56" s="1315"/>
      <c r="C56" s="326"/>
      <c r="E56" s="1316" t="s">
        <v>420</v>
      </c>
      <c r="F56" s="528"/>
      <c r="G56" s="528"/>
      <c r="H56" s="544"/>
      <c r="J56" s="1316" t="s">
        <v>420</v>
      </c>
      <c r="K56" s="528"/>
      <c r="L56" s="528"/>
      <c r="M56" s="544"/>
      <c r="O56" s="1316" t="s">
        <v>420</v>
      </c>
      <c r="P56" s="528"/>
      <c r="Q56" s="528"/>
      <c r="R56" s="544"/>
      <c r="T56" s="1316" t="s">
        <v>420</v>
      </c>
      <c r="U56" s="528"/>
      <c r="V56" s="528"/>
      <c r="W56" s="544"/>
      <c r="Y56" s="1316" t="s">
        <v>420</v>
      </c>
      <c r="Z56" s="528"/>
      <c r="AA56" s="528"/>
      <c r="AB56" s="544"/>
      <c r="AD56" s="1316" t="s">
        <v>420</v>
      </c>
      <c r="AE56" s="528"/>
      <c r="AF56" s="528"/>
      <c r="AG56" s="544"/>
      <c r="AH56" s="1317"/>
      <c r="AI56" s="1166"/>
    </row>
    <row r="57" ht="25.5" customHeight="1">
      <c r="A57" s="312"/>
      <c r="B57" s="1300"/>
      <c r="C57" s="1318"/>
      <c r="E57" s="1319"/>
      <c r="F57" s="1320" t="str">
        <f t="array" ref="F57">IFERROR(VLOOKUP(E55,Dex!$B$3:$H102,5,FALSE),"")</f>
        <v/>
      </c>
      <c r="G57" s="1321" t="str">
        <f t="array" ref="G57">IFERROR(VLOOKUP(E55,Dex!$B$3:$H102,7,FALSE),"")</f>
        <v/>
      </c>
      <c r="H57" s="1322"/>
      <c r="J57" s="1323"/>
      <c r="K57" s="1324" t="str">
        <f t="array" ref="K57">IFERROR(VLOOKUP(J55,Dex!$B$3:$H102,5,FALSE),"")</f>
        <v/>
      </c>
      <c r="L57" s="529"/>
      <c r="M57" s="1325"/>
      <c r="O57" s="1326"/>
      <c r="P57" s="1320" t="str">
        <f t="array" ref="P57">IFERROR(VLOOKUP(O55,Dex!$B$3:$H102,5,FALSE),"")</f>
        <v/>
      </c>
      <c r="Q57" s="1321" t="str">
        <f t="array" ref="Q57">IFERROR(VLOOKUP(O55,Dex!$B$3:$H102,7,FALSE),"")</f>
        <v/>
      </c>
      <c r="R57" s="1322"/>
      <c r="T57" s="1326"/>
      <c r="U57" s="1320" t="str">
        <f t="array" ref="U57">IFERROR(VLOOKUP(T55,Dex!$B$3:$H102,5,FALSE),"")</f>
        <v/>
      </c>
      <c r="V57" s="1321" t="str">
        <f t="array" ref="V57">IFERROR(VLOOKUP(T55,Dex!$B$3:$H102,7,FALSE),"")</f>
        <v/>
      </c>
      <c r="W57" s="1322"/>
      <c r="Y57" s="1323"/>
      <c r="Z57" s="1324" t="str">
        <f t="array" ref="Z57">IFERROR(VLOOKUP(Y55,Dex!$B$3:$H102,5,FALSE),"")</f>
        <v/>
      </c>
      <c r="AA57" s="529"/>
      <c r="AB57" s="1327"/>
      <c r="AD57" s="1326"/>
      <c r="AE57" s="1320" t="str">
        <f t="array" ref="AE57">IFERROR(VLOOKUP(AD55,Dex!$B$3:$H102,5,FALSE),"")</f>
        <v/>
      </c>
      <c r="AF57" s="1321" t="str">
        <f t="array" ref="AF57">IFERROR(VLOOKUP(AD55,Dex!$B$3:$H102,7,FALSE),"")</f>
        <v/>
      </c>
      <c r="AG57" s="1328"/>
      <c r="AH57" s="1310"/>
      <c r="AI57" s="1143"/>
    </row>
    <row r="58" ht="2.25" customHeight="1">
      <c r="A58" s="312"/>
      <c r="B58" s="1300"/>
      <c r="C58" s="558"/>
      <c r="E58" s="1329"/>
      <c r="F58" s="1330"/>
      <c r="G58" s="1330"/>
      <c r="H58" s="1331"/>
      <c r="J58" s="1332"/>
      <c r="K58" s="1333"/>
      <c r="L58" s="1333"/>
      <c r="M58" s="1331"/>
      <c r="O58" s="1332"/>
      <c r="P58" s="1330"/>
      <c r="Q58" s="1330"/>
      <c r="R58" s="1331"/>
      <c r="T58" s="1332"/>
      <c r="U58" s="1330"/>
      <c r="V58" s="1330"/>
      <c r="W58" s="1331"/>
      <c r="Y58" s="1332"/>
      <c r="Z58" s="1333"/>
      <c r="AA58" s="1333"/>
      <c r="AB58" s="1334"/>
      <c r="AD58" s="1332"/>
      <c r="AE58" s="1330"/>
      <c r="AF58" s="1330"/>
      <c r="AG58" s="1334"/>
      <c r="AH58" s="1310"/>
      <c r="AI58" s="1335"/>
    </row>
    <row r="59" ht="20.25" customHeight="1">
      <c r="A59" s="312"/>
      <c r="B59" s="1300"/>
      <c r="C59" s="564"/>
      <c r="E59" s="1336" t="s">
        <v>172</v>
      </c>
      <c r="F59" s="566"/>
      <c r="G59" s="566"/>
      <c r="H59" s="567"/>
      <c r="J59" s="1336" t="s">
        <v>263</v>
      </c>
      <c r="K59" s="566"/>
      <c r="L59" s="566"/>
      <c r="M59" s="567"/>
      <c r="O59" s="1336" t="s">
        <v>205</v>
      </c>
      <c r="P59" s="566"/>
      <c r="Q59" s="566"/>
      <c r="R59" s="567"/>
      <c r="T59" s="1336" t="s">
        <v>172</v>
      </c>
      <c r="U59" s="566"/>
      <c r="V59" s="566"/>
      <c r="W59" s="567"/>
      <c r="Y59" s="1336" t="s">
        <v>205</v>
      </c>
      <c r="Z59" s="566"/>
      <c r="AA59" s="566"/>
      <c r="AB59" s="567"/>
      <c r="AD59" s="1336" t="s">
        <v>471</v>
      </c>
      <c r="AE59" s="566"/>
      <c r="AF59" s="566"/>
      <c r="AG59" s="567"/>
      <c r="AH59" s="1310"/>
      <c r="AI59" s="1143"/>
    </row>
    <row r="60" ht="20.25" customHeight="1">
      <c r="A60" s="312"/>
      <c r="B60" s="1300"/>
      <c r="C60" s="1337"/>
      <c r="E60" s="1338" t="s">
        <v>332</v>
      </c>
      <c r="F60" s="528"/>
      <c r="G60" s="528"/>
      <c r="H60" s="544"/>
      <c r="J60" s="1338" t="s">
        <v>234</v>
      </c>
      <c r="K60" s="528"/>
      <c r="L60" s="528"/>
      <c r="M60" s="544"/>
      <c r="O60" s="1338" t="s">
        <v>233</v>
      </c>
      <c r="P60" s="528"/>
      <c r="Q60" s="528"/>
      <c r="R60" s="544"/>
      <c r="T60" s="1338" t="s">
        <v>235</v>
      </c>
      <c r="U60" s="528"/>
      <c r="V60" s="528"/>
      <c r="W60" s="544"/>
      <c r="Y60" s="1339" t="s">
        <v>236</v>
      </c>
      <c r="Z60" s="528"/>
      <c r="AA60" s="528"/>
      <c r="AB60" s="544"/>
      <c r="AD60" s="1338" t="s">
        <v>332</v>
      </c>
      <c r="AE60" s="528"/>
      <c r="AF60" s="528"/>
      <c r="AG60" s="544"/>
      <c r="AH60" s="1310"/>
      <c r="AI60" s="1143"/>
    </row>
    <row r="61" ht="20.25" customHeight="1">
      <c r="A61" s="290"/>
      <c r="B61" s="1300"/>
      <c r="C61" s="558"/>
      <c r="E61" s="1340" t="s">
        <v>240</v>
      </c>
      <c r="F61" s="573"/>
      <c r="G61" s="574"/>
      <c r="H61" s="1341" t="str">
        <f>IMAGE("https://raw.githubusercontent.com/msikma/pokesprite/master/items/hold-item/focus-sash.png",3)</f>
        <v/>
      </c>
      <c r="J61" s="1340" t="s">
        <v>394</v>
      </c>
      <c r="K61" s="573"/>
      <c r="L61" s="574"/>
      <c r="M61" s="1341" t="str">
        <f>IMAGE("https://raw.githubusercontent.com/msikma/pokesprite/master/items/hold-item/leftovers.png",3)</f>
        <v/>
      </c>
      <c r="O61" s="1340" t="s">
        <v>272</v>
      </c>
      <c r="P61" s="573"/>
      <c r="Q61" s="574"/>
      <c r="R61" s="1341" t="str">
        <f>IMAGE("https://raw.githubusercontent.com/msikma/pokesprite/master/items/hold-item/life-orb.png",3)</f>
        <v/>
      </c>
      <c r="T61" s="1340" t="s">
        <v>472</v>
      </c>
      <c r="U61" s="573"/>
      <c r="V61" s="574"/>
      <c r="W61" s="1342" t="str">
        <f>IMAGE("https://www.serebii.net/itemdex/sprites/punchingglove.png",4,24,24)</f>
        <v/>
      </c>
      <c r="Y61" s="1343" t="s">
        <v>241</v>
      </c>
      <c r="Z61" s="573"/>
      <c r="AA61" s="574"/>
      <c r="AB61" s="1342" t="str">
        <f>IMAGE("https://raw.githubusercontent.com/msikma/pokesprite/master/items/mega-stone/manectite.png",3)</f>
        <v/>
      </c>
      <c r="AD61" s="1340" t="s">
        <v>473</v>
      </c>
      <c r="AE61" s="573"/>
      <c r="AF61" s="574"/>
      <c r="AG61" s="1342" t="str">
        <f>IMAGE("https://raw.githubusercontent.com/msikma/pokesprite/master/items/hold-item/assault-vest.png",3)</f>
        <v/>
      </c>
      <c r="AH61" s="1310"/>
      <c r="AI61" s="1143"/>
    </row>
    <row r="62" ht="20.25" customHeight="1">
      <c r="A62" s="290"/>
      <c r="B62" s="1300"/>
      <c r="C62" s="564"/>
      <c r="E62" s="1336" t="s">
        <v>402</v>
      </c>
      <c r="F62" s="566"/>
      <c r="G62" s="1344"/>
      <c r="H62" s="1345" t="str">
        <f>IMAGE("https://raw.githubusercontent.com/msikma/pokesprite/master/misc/types/gen8/ground.png",4,20,20)</f>
        <v/>
      </c>
      <c r="J62" s="1336" t="s">
        <v>243</v>
      </c>
      <c r="K62" s="566"/>
      <c r="L62" s="1344"/>
      <c r="M62" s="1345" t="str">
        <f>IMAGE("https://raw.githubusercontent.com/msikma/pokesprite/master/misc/types/gen8/electric.png",4,20,20)</f>
        <v/>
      </c>
      <c r="O62" s="1336" t="s">
        <v>242</v>
      </c>
      <c r="P62" s="566"/>
      <c r="Q62" s="1344"/>
      <c r="R62" s="1345" t="str">
        <f t="shared" ref="R62:R63" si="2">IMAGE("https://raw.githubusercontent.com/msikma/pokesprite/master/misc/types/gen8/electric.png",4,20,20)</f>
        <v/>
      </c>
      <c r="T62" s="1336" t="s">
        <v>249</v>
      </c>
      <c r="U62" s="566"/>
      <c r="V62" s="1344"/>
      <c r="W62" s="1345" t="str">
        <f>IMAGE("https://raw.githubusercontent.com/msikma/pokesprite/master/misc/types/gen8/electric.png",4,20,20)</f>
        <v/>
      </c>
      <c r="Y62" s="1346" t="s">
        <v>242</v>
      </c>
      <c r="Z62" s="566"/>
      <c r="AA62" s="1344"/>
      <c r="AB62" s="1345" t="str">
        <f t="shared" ref="AB62:AB63" si="3">IMAGE("https://raw.githubusercontent.com/msikma/pokesprite/master/misc/types/gen8/electric.png",4,20,20)</f>
        <v/>
      </c>
      <c r="AD62" s="1336" t="s">
        <v>474</v>
      </c>
      <c r="AE62" s="566"/>
      <c r="AF62" s="1344"/>
      <c r="AG62" s="1345" t="str">
        <f>IMAGE("https://raw.githubusercontent.com/msikma/pokesprite/master/misc/types/gen8/electric.png",4,20,20)</f>
        <v/>
      </c>
      <c r="AH62" s="1347"/>
      <c r="AI62" s="1143"/>
    </row>
    <row r="63" ht="20.25" customHeight="1">
      <c r="A63" s="290"/>
      <c r="B63" s="1300"/>
      <c r="C63" s="1348"/>
      <c r="E63" s="1338" t="s">
        <v>407</v>
      </c>
      <c r="F63" s="528"/>
      <c r="G63" s="529"/>
      <c r="H63" s="1349" t="str">
        <f>IMAGE("https://raw.githubusercontent.com/msikma/pokesprite/master/misc/types/gen8/steel.png",4,20,20)</f>
        <v/>
      </c>
      <c r="J63" s="1338" t="s">
        <v>223</v>
      </c>
      <c r="K63" s="528"/>
      <c r="L63" s="529"/>
      <c r="M63" s="1349" t="str">
        <f>IMAGE("https://raw.githubusercontent.com/msikma/pokesprite/master/misc/types/gen8/grass.png",4,20,20)</f>
        <v/>
      </c>
      <c r="O63" s="1338" t="s">
        <v>475</v>
      </c>
      <c r="P63" s="528"/>
      <c r="Q63" s="529"/>
      <c r="R63" s="1349" t="str">
        <f t="shared" si="2"/>
        <v/>
      </c>
      <c r="T63" s="1338" t="s">
        <v>316</v>
      </c>
      <c r="U63" s="528"/>
      <c r="V63" s="529"/>
      <c r="W63" s="1349" t="str">
        <f t="shared" ref="W63:W64" si="4">IMAGE("https://raw.githubusercontent.com/msikma/pokesprite/master/misc/types/gen8/fighting.png",4,20,20)</f>
        <v/>
      </c>
      <c r="Y63" s="1350" t="s">
        <v>475</v>
      </c>
      <c r="Z63" s="528"/>
      <c r="AA63" s="529"/>
      <c r="AB63" s="1349" t="str">
        <f t="shared" si="3"/>
        <v/>
      </c>
      <c r="AD63" s="1338" t="s">
        <v>244</v>
      </c>
      <c r="AE63" s="528"/>
      <c r="AF63" s="529"/>
      <c r="AG63" s="1349" t="str">
        <f>IMAGE("https://raw.githubusercontent.com/msikma/pokesprite/master/misc/types/gen8/fighting.png",4,20,20)</f>
        <v/>
      </c>
      <c r="AH63" s="1347"/>
      <c r="AI63" s="1143"/>
    </row>
    <row r="64" ht="20.25" customHeight="1">
      <c r="A64" s="312"/>
      <c r="B64" s="1300"/>
      <c r="C64" s="1348"/>
      <c r="E64" s="1338" t="s">
        <v>395</v>
      </c>
      <c r="F64" s="528"/>
      <c r="G64" s="529"/>
      <c r="H64" s="1349" t="str">
        <f>IMAGE("https://raw.githubusercontent.com/msikma/pokesprite/master/misc/types/gen8/rock.png",4,20,20)</f>
        <v/>
      </c>
      <c r="J64" s="1338" t="s">
        <v>248</v>
      </c>
      <c r="K64" s="528"/>
      <c r="L64" s="529"/>
      <c r="M64" s="1349" t="str">
        <f>IMAGE("https://raw.githubusercontent.com/msikma/pokesprite/master/misc/types/gen8/water.png",4,20,20)</f>
        <v/>
      </c>
      <c r="O64" s="1338" t="s">
        <v>246</v>
      </c>
      <c r="P64" s="528"/>
      <c r="Q64" s="529"/>
      <c r="R64" s="1349" t="str">
        <f>IMAGE("https://raw.githubusercontent.com/msikma/pokesprite/master/misc/types/gen8/water.png",4,20,20)</f>
        <v/>
      </c>
      <c r="T64" s="1338" t="s">
        <v>256</v>
      </c>
      <c r="U64" s="528"/>
      <c r="V64" s="529"/>
      <c r="W64" s="1349" t="str">
        <f t="shared" si="4"/>
        <v/>
      </c>
      <c r="Y64" s="1350" t="s">
        <v>372</v>
      </c>
      <c r="Z64" s="528"/>
      <c r="AA64" s="529"/>
      <c r="AB64" s="1349" t="str">
        <f>IMAGE("https://raw.githubusercontent.com/msikma/pokesprite/master/misc/types/gen8/fire.png",4,20,20)</f>
        <v/>
      </c>
      <c r="AD64" s="1338" t="s">
        <v>215</v>
      </c>
      <c r="AE64" s="528"/>
      <c r="AF64" s="529"/>
      <c r="AG64" s="1349" t="str">
        <f>IMAGE("https://raw.githubusercontent.com/msikma/pokesprite/master/misc/types/gen8/ice.png",4,20,20)</f>
        <v/>
      </c>
      <c r="AH64" s="1347"/>
      <c r="AI64" s="1143"/>
    </row>
    <row r="65" ht="21.0" customHeight="1">
      <c r="A65" s="312"/>
      <c r="B65" s="1300"/>
      <c r="C65" s="1348"/>
      <c r="D65" s="535"/>
      <c r="E65" s="1351" t="s">
        <v>242</v>
      </c>
      <c r="F65" s="580"/>
      <c r="G65" s="1352"/>
      <c r="H65" s="1353" t="str">
        <f>IMAGE("https://raw.githubusercontent.com/msikma/pokesprite/master/misc/types/gen8/electric.png",4,20,20)</f>
        <v/>
      </c>
      <c r="I65" s="535"/>
      <c r="J65" s="1351" t="s">
        <v>242</v>
      </c>
      <c r="K65" s="580"/>
      <c r="L65" s="1352"/>
      <c r="M65" s="1353" t="str">
        <f>IMAGE("https://raw.githubusercontent.com/msikma/pokesprite/master/misc/types/gen8/electric.png",4,20,20)</f>
        <v/>
      </c>
      <c r="N65" s="535"/>
      <c r="O65" s="1351" t="s">
        <v>254</v>
      </c>
      <c r="P65" s="580"/>
      <c r="Q65" s="1352"/>
      <c r="R65" s="1353" t="str">
        <f>IMAGE("https://raw.githubusercontent.com/msikma/pokesprite/master/misc/types/gen8/ice.png",4,20,20)</f>
        <v/>
      </c>
      <c r="S65" s="535"/>
      <c r="T65" s="1351" t="s">
        <v>215</v>
      </c>
      <c r="U65" s="580"/>
      <c r="V65" s="1352"/>
      <c r="W65" s="1353" t="str">
        <f>IMAGE("https://raw.githubusercontent.com/msikma/pokesprite/master/misc/types/gen8/ice.png",4,20,20)</f>
        <v/>
      </c>
      <c r="X65" s="535"/>
      <c r="Y65" s="1351" t="s">
        <v>223</v>
      </c>
      <c r="Z65" s="580"/>
      <c r="AA65" s="1352"/>
      <c r="AB65" s="1353" t="str">
        <f>IMAGE("https://raw.githubusercontent.com/msikma/pokesprite/master/misc/types/gen8/grass.png",4,20,20)</f>
        <v/>
      </c>
      <c r="AC65" s="535"/>
      <c r="AD65" s="1351" t="s">
        <v>476</v>
      </c>
      <c r="AE65" s="580"/>
      <c r="AF65" s="1352"/>
      <c r="AG65" s="1353" t="str">
        <f>IMAGE("https://raw.githubusercontent.com/msikma/pokesprite/master/misc/types/gen8/normal.png",4,20,20)</f>
        <v/>
      </c>
      <c r="AH65" s="1347"/>
      <c r="AI65" s="1143"/>
    </row>
    <row r="66" ht="3.0" customHeight="1">
      <c r="A66" s="312"/>
      <c r="B66" s="548"/>
      <c r="C66" s="1354"/>
      <c r="D66" s="589"/>
      <c r="E66" s="585"/>
      <c r="F66" s="585"/>
      <c r="G66" s="585"/>
      <c r="H66" s="585"/>
      <c r="I66" s="589"/>
      <c r="J66" s="585"/>
      <c r="K66" s="585"/>
      <c r="L66" s="585"/>
      <c r="M66" s="585"/>
      <c r="N66" s="589"/>
      <c r="O66" s="585"/>
      <c r="P66" s="585"/>
      <c r="Q66" s="585"/>
      <c r="R66" s="585"/>
      <c r="S66" s="589"/>
      <c r="T66" s="585"/>
      <c r="U66" s="585"/>
      <c r="V66" s="585"/>
      <c r="W66" s="585"/>
      <c r="X66" s="589"/>
      <c r="Y66" s="586"/>
      <c r="Z66" s="587"/>
      <c r="AA66" s="587"/>
      <c r="AB66" s="588"/>
      <c r="AC66" s="589"/>
      <c r="AD66" s="588"/>
      <c r="AE66" s="588"/>
      <c r="AF66" s="588"/>
      <c r="AG66" s="588"/>
      <c r="AH66" s="530"/>
      <c r="AI66" s="296"/>
    </row>
    <row r="67" ht="16.5" customHeight="1">
      <c r="A67" s="312"/>
      <c r="B67" s="590"/>
      <c r="C67" s="1354"/>
      <c r="D67" s="1355"/>
      <c r="E67" s="592" t="s">
        <v>190</v>
      </c>
      <c r="F67" s="381"/>
      <c r="G67" s="382"/>
      <c r="H67" s="593" t="s">
        <v>191</v>
      </c>
      <c r="I67" s="602"/>
      <c r="J67" s="592" t="s">
        <v>190</v>
      </c>
      <c r="K67" s="381"/>
      <c r="L67" s="382"/>
      <c r="M67" s="593" t="s">
        <v>191</v>
      </c>
      <c r="N67" s="602"/>
      <c r="O67" s="592" t="s">
        <v>190</v>
      </c>
      <c r="P67" s="381"/>
      <c r="Q67" s="382"/>
      <c r="R67" s="593" t="s">
        <v>191</v>
      </c>
      <c r="S67" s="602"/>
      <c r="T67" s="592" t="s">
        <v>190</v>
      </c>
      <c r="U67" s="381"/>
      <c r="V67" s="382"/>
      <c r="W67" s="593" t="s">
        <v>191</v>
      </c>
      <c r="X67" s="602"/>
      <c r="Y67" s="592" t="s">
        <v>190</v>
      </c>
      <c r="Z67" s="381"/>
      <c r="AA67" s="382"/>
      <c r="AB67" s="593" t="s">
        <v>191</v>
      </c>
      <c r="AC67" s="602"/>
      <c r="AD67" s="592" t="s">
        <v>190</v>
      </c>
      <c r="AE67" s="381"/>
      <c r="AF67" s="382"/>
      <c r="AG67" s="593" t="s">
        <v>191</v>
      </c>
      <c r="AH67" s="1356"/>
      <c r="AI67" s="389"/>
    </row>
    <row r="68" ht="15.75" customHeight="1">
      <c r="A68" s="312"/>
      <c r="B68" s="590"/>
      <c r="C68" s="1354"/>
      <c r="D68" s="1355"/>
      <c r="E68" s="598" t="s">
        <v>192</v>
      </c>
      <c r="F68" s="599">
        <f t="array" ref="F68">IFERROR(VLOOKUP(E55,Dex!$B$3:$N102,8,FALSE),"")</f>
        <v>90</v>
      </c>
      <c r="G68" s="600" t="str">
        <f t="array" ref="G68">IFERROR(VLOOKUP(F68,Dex!$P$22:$Q$276,2,FALSE),"")</f>
        <v/>
      </c>
      <c r="H68" s="601"/>
      <c r="I68" s="1357"/>
      <c r="J68" s="598" t="s">
        <v>192</v>
      </c>
      <c r="K68" s="599">
        <f t="array" ref="K68">IFERROR(VLOOKUP(J55,Dex!$B$3:$N102,8,FALSE),"")</f>
        <v>109</v>
      </c>
      <c r="L68" s="600" t="str">
        <f t="array" ref="L68">IFERROR(VLOOKUP(K68,Dex!$P$22:$Q$276,2,FALSE),"")</f>
        <v/>
      </c>
      <c r="M68" s="601">
        <v>252.0</v>
      </c>
      <c r="N68" s="1357"/>
      <c r="O68" s="598" t="s">
        <v>192</v>
      </c>
      <c r="P68" s="599">
        <f t="array" ref="P68">IFERROR(VLOOKUP(O55,Dex!$B$3:$N102,8,FALSE),"")</f>
        <v>50</v>
      </c>
      <c r="Q68" s="600" t="str">
        <f t="array" ref="Q68">IFERROR(VLOOKUP(P68,Dex!$P$22:$Q$276,2,FALSE),"")</f>
        <v/>
      </c>
      <c r="R68" s="601"/>
      <c r="S68" s="1357"/>
      <c r="T68" s="598" t="s">
        <v>192</v>
      </c>
      <c r="U68" s="599">
        <f t="array" ref="U68">IFERROR(VLOOKUP(T55,Dex!$B$3:$N102,8,FALSE),"")</f>
        <v>70</v>
      </c>
      <c r="V68" s="600" t="str">
        <f t="array" ref="V68">IFERROR(VLOOKUP(U68,Dex!$P$22:$Q$276,2,FALSE),"")</f>
        <v/>
      </c>
      <c r="W68" s="601"/>
      <c r="X68" s="1357"/>
      <c r="Y68" s="598" t="s">
        <v>192</v>
      </c>
      <c r="Z68" s="599">
        <f t="array" ref="Z68">IFERROR(VLOOKUP(Y55,Dex!$B$3:$N102,8,FALSE),"")</f>
        <v>70</v>
      </c>
      <c r="AA68" s="600" t="str">
        <f t="array" ref="AA68">IFERROR(VLOOKUP(Z68,Dex!$P$22:$Q$276,2,FALSE),"")</f>
        <v/>
      </c>
      <c r="AB68" s="601"/>
      <c r="AC68" s="1357"/>
      <c r="AD68" s="598" t="s">
        <v>192</v>
      </c>
      <c r="AE68" s="599">
        <f t="array" ref="AE68">IFERROR(VLOOKUP(AD55,Dex!$B$3:$N102,8,FALSE),"")</f>
        <v>154</v>
      </c>
      <c r="AF68" s="600" t="str">
        <f t="array" ref="AF68">IFERROR(VLOOKUP(AE68,Dex!$P$22:$Q$276,2,FALSE),"")</f>
        <v/>
      </c>
      <c r="AG68" s="601">
        <v>252.0</v>
      </c>
      <c r="AH68" s="1358"/>
      <c r="AI68" s="389"/>
    </row>
    <row r="69" ht="15.75" customHeight="1">
      <c r="A69" s="312"/>
      <c r="B69" s="590"/>
      <c r="C69" s="1354"/>
      <c r="D69" s="1355"/>
      <c r="E69" s="603" t="s">
        <v>193</v>
      </c>
      <c r="F69" s="604">
        <f t="array" ref="F69">IFERROR(VLOOKUP(E55,Dex!$B$3:$N102,9,FALSE),"")</f>
        <v>112</v>
      </c>
      <c r="G69" s="605" t="str">
        <f t="array" ref="G69">IFERROR(VLOOKUP(F69,Dex!$P$22:$Q$276,2,FALSE),"")</f>
        <v/>
      </c>
      <c r="H69" s="606">
        <v>252.0</v>
      </c>
      <c r="I69" s="1357"/>
      <c r="J69" s="603" t="s">
        <v>193</v>
      </c>
      <c r="K69" s="604">
        <f t="array" ref="K69">IFERROR(VLOOKUP(J55,Dex!$B$3:$N102,9,FALSE),"")</f>
        <v>64</v>
      </c>
      <c r="L69" s="605" t="str">
        <f t="array" ref="L69">IFERROR(VLOOKUP(K69,Dex!$P$22:$Q$276,2,FALSE),"")</f>
        <v/>
      </c>
      <c r="M69" s="606"/>
      <c r="N69" s="1357"/>
      <c r="O69" s="603" t="s">
        <v>193</v>
      </c>
      <c r="P69" s="604">
        <f t="array" ref="P69">IFERROR(VLOOKUP(O55,Dex!$B$3:$N102,9,FALSE),"")</f>
        <v>65</v>
      </c>
      <c r="Q69" s="605" t="str">
        <f t="array" ref="Q69">IFERROR(VLOOKUP(P69,Dex!$P$22:$Q$276,2,FALSE),"")</f>
        <v/>
      </c>
      <c r="R69" s="606"/>
      <c r="S69" s="1357"/>
      <c r="T69" s="603" t="s">
        <v>193</v>
      </c>
      <c r="U69" s="604">
        <f t="array" ref="U69">IFERROR(VLOOKUP(T55,Dex!$B$3:$N102,9,FALSE),"")</f>
        <v>115</v>
      </c>
      <c r="V69" s="605" t="str">
        <f t="array" ref="V69">IFERROR(VLOOKUP(U69,Dex!$P$22:$Q$276,2,FALSE),"")</f>
        <v/>
      </c>
      <c r="W69" s="606">
        <v>252.0</v>
      </c>
      <c r="X69" s="1357"/>
      <c r="Y69" s="603" t="s">
        <v>193</v>
      </c>
      <c r="Z69" s="604">
        <f t="array" ref="Z69">IFERROR(VLOOKUP(Y55,Dex!$B$3:$N102,9,FALSE),"")</f>
        <v>75</v>
      </c>
      <c r="AA69" s="605" t="str">
        <f t="array" ref="AA69">IFERROR(VLOOKUP(Z69,Dex!$P$22:$Q$276,2,FALSE),"")</f>
        <v/>
      </c>
      <c r="AB69" s="606"/>
      <c r="AC69" s="1357"/>
      <c r="AD69" s="603" t="s">
        <v>193</v>
      </c>
      <c r="AE69" s="604">
        <f t="array" ref="AE69">IFERROR(VLOOKUP(AD55,Dex!$B$3:$N102,9,FALSE),"")</f>
        <v>140</v>
      </c>
      <c r="AF69" s="605" t="str">
        <f t="array" ref="AF69">IFERROR(VLOOKUP(AE69,Dex!$P$22:$Q$276,2,FALSE),"")</f>
        <v/>
      </c>
      <c r="AG69" s="606">
        <v>4.0</v>
      </c>
      <c r="AH69" s="1358"/>
      <c r="AI69" s="389"/>
    </row>
    <row r="70" ht="15.75" customHeight="1">
      <c r="A70" s="312"/>
      <c r="B70" s="590"/>
      <c r="C70" s="1354"/>
      <c r="D70" s="1355"/>
      <c r="E70" s="603" t="s">
        <v>194</v>
      </c>
      <c r="F70" s="604">
        <f t="array" ref="F70">IFERROR(VLOOKUP(E55,Dex!$B$3:$N102,10,FALSE),"")</f>
        <v>120</v>
      </c>
      <c r="G70" s="605" t="str">
        <f t="array" ref="G70">IFERROR(VLOOKUP(F70,Dex!$P$22:$Q$276,2,FALSE),"")</f>
        <v/>
      </c>
      <c r="H70" s="606"/>
      <c r="I70" s="1357"/>
      <c r="J70" s="603" t="s">
        <v>194</v>
      </c>
      <c r="K70" s="604">
        <f t="array" ref="K70">IFERROR(VLOOKUP(J55,Dex!$B$3:$N102,10,FALSE),"")</f>
        <v>91</v>
      </c>
      <c r="L70" s="605" t="str">
        <f t="array" ref="L70">IFERROR(VLOOKUP(K70,Dex!$P$22:$Q$276,2,FALSE),"")</f>
        <v/>
      </c>
      <c r="M70" s="606">
        <v>4.0</v>
      </c>
      <c r="N70" s="1357"/>
      <c r="O70" s="603" t="s">
        <v>194</v>
      </c>
      <c r="P70" s="604">
        <f t="array" ref="P70">IFERROR(VLOOKUP(O55,Dex!$B$3:$N102,10,FALSE),"")</f>
        <v>107</v>
      </c>
      <c r="Q70" s="605" t="str">
        <f t="array" ref="Q70">IFERROR(VLOOKUP(P70,Dex!$P$22:$Q$276,2,FALSE),"")</f>
        <v/>
      </c>
      <c r="R70" s="606"/>
      <c r="S70" s="1357"/>
      <c r="T70" s="603" t="s">
        <v>194</v>
      </c>
      <c r="U70" s="604">
        <f t="array" ref="U70">IFERROR(VLOOKUP(T55,Dex!$B$3:$N102,10,FALSE),"")</f>
        <v>70</v>
      </c>
      <c r="V70" s="605" t="str">
        <f t="array" ref="V70">IFERROR(VLOOKUP(U70,Dex!$P$22:$Q$276,2,FALSE),"")</f>
        <v/>
      </c>
      <c r="W70" s="606"/>
      <c r="X70" s="1357"/>
      <c r="Y70" s="603" t="s">
        <v>194</v>
      </c>
      <c r="Z70" s="604">
        <f t="array" ref="Z70">IFERROR(VLOOKUP(Y55,Dex!$B$3:$N102,10,FALSE),"")</f>
        <v>80</v>
      </c>
      <c r="AA70" s="605" t="str">
        <f t="array" ref="AA70">IFERROR(VLOOKUP(Z70,Dex!$P$22:$Q$276,2,FALSE),"")</f>
        <v/>
      </c>
      <c r="AB70" s="606"/>
      <c r="AC70" s="1357"/>
      <c r="AD70" s="603" t="s">
        <v>194</v>
      </c>
      <c r="AE70" s="604">
        <f t="array" ref="AE70">IFERROR(VLOOKUP(AD55,Dex!$B$3:$N102,10,FALSE),"")</f>
        <v>108</v>
      </c>
      <c r="AF70" s="605" t="str">
        <f t="array" ref="AF70">IFERROR(VLOOKUP(AE70,Dex!$P$22:$Q$276,2,FALSE),"")</f>
        <v/>
      </c>
      <c r="AG70" s="606"/>
      <c r="AH70" s="1358"/>
      <c r="AI70" s="389"/>
    </row>
    <row r="71" ht="15.75" customHeight="1">
      <c r="A71" s="312"/>
      <c r="B71" s="590"/>
      <c r="C71" s="1354"/>
      <c r="D71" s="1355"/>
      <c r="E71" s="603" t="s">
        <v>195</v>
      </c>
      <c r="F71" s="604">
        <f t="array" ref="F71">IFERROR(VLOOKUP(E55,Dex!$B$3:$N102,11,FALSE),"")</f>
        <v>72</v>
      </c>
      <c r="G71" s="605" t="str">
        <f t="array" ref="G71">IFERROR(VLOOKUP(F71,Dex!$P$22:$Q$276,2,FALSE),"")</f>
        <v/>
      </c>
      <c r="H71" s="606"/>
      <c r="I71" s="1357"/>
      <c r="J71" s="603" t="s">
        <v>195</v>
      </c>
      <c r="K71" s="604">
        <f t="array" ref="K71">IFERROR(VLOOKUP(J55,Dex!$B$3:$N102,11,FALSE),"")</f>
        <v>103</v>
      </c>
      <c r="L71" s="605" t="str">
        <f t="array" ref="L71">IFERROR(VLOOKUP(K71,Dex!$P$22:$Q$276,2,FALSE),"")</f>
        <v/>
      </c>
      <c r="M71" s="606">
        <v>252.0</v>
      </c>
      <c r="N71" s="1357"/>
      <c r="O71" s="603" t="s">
        <v>195</v>
      </c>
      <c r="P71" s="604">
        <f t="array" ref="P71">IFERROR(VLOOKUP(O55,Dex!$B$3:$N102,11,FALSE),"")</f>
        <v>105</v>
      </c>
      <c r="Q71" s="605" t="str">
        <f t="array" ref="Q71">IFERROR(VLOOKUP(P71,Dex!$P$22:$Q$276,2,FALSE),"")</f>
        <v/>
      </c>
      <c r="R71" s="606">
        <v>252.0</v>
      </c>
      <c r="S71" s="1357"/>
      <c r="T71" s="603" t="s">
        <v>195</v>
      </c>
      <c r="U71" s="604">
        <f t="array" ref="U71">IFERROR(VLOOKUP(T55,Dex!$B$3:$N102,11,FALSE),"")</f>
        <v>70</v>
      </c>
      <c r="V71" s="605" t="str">
        <f t="array" ref="V71">IFERROR(VLOOKUP(U71,Dex!$P$22:$Q$276,2,FALSE),"")</f>
        <v/>
      </c>
      <c r="W71" s="606"/>
      <c r="X71" s="1357"/>
      <c r="Y71" s="603" t="s">
        <v>195</v>
      </c>
      <c r="Z71" s="604">
        <f t="array" ref="Z71">IFERROR(VLOOKUP(Y55,Dex!$B$3:$N102,11,FALSE),"")</f>
        <v>135</v>
      </c>
      <c r="AA71" s="605" t="str">
        <f t="array" ref="AA71">IFERROR(VLOOKUP(Z71,Dex!$P$22:$Q$276,2,FALSE),"")</f>
        <v/>
      </c>
      <c r="AB71" s="606">
        <v>252.0</v>
      </c>
      <c r="AC71" s="1357"/>
      <c r="AD71" s="603" t="s">
        <v>195</v>
      </c>
      <c r="AE71" s="604">
        <f t="array" ref="AE71">IFERROR(VLOOKUP(AD55,Dex!$B$3:$N102,11,FALSE),"")</f>
        <v>50</v>
      </c>
      <c r="AF71" s="605" t="str">
        <f t="array" ref="AF71">IFERROR(VLOOKUP(AE71,Dex!$P$22:$Q$276,2,FALSE),"")</f>
        <v/>
      </c>
      <c r="AG71" s="606"/>
      <c r="AH71" s="1358"/>
      <c r="AI71" s="389"/>
    </row>
    <row r="72" ht="15.75" customHeight="1">
      <c r="A72" s="312"/>
      <c r="B72" s="590"/>
      <c r="C72" s="1354"/>
      <c r="D72" s="1355"/>
      <c r="E72" s="603" t="s">
        <v>196</v>
      </c>
      <c r="F72" s="604">
        <f t="array" ref="F72">IFERROR(VLOOKUP(E55,Dex!$B$3:$N102,12,FALSE),"")</f>
        <v>70</v>
      </c>
      <c r="G72" s="605" t="str">
        <f t="array" ref="G72">IFERROR(VLOOKUP(F72,Dex!$P$22:$Q$276,2,FALSE),"")</f>
        <v/>
      </c>
      <c r="H72" s="606">
        <v>4.0</v>
      </c>
      <c r="I72" s="1357"/>
      <c r="J72" s="603" t="s">
        <v>196</v>
      </c>
      <c r="K72" s="604">
        <f t="array" ref="K72">IFERROR(VLOOKUP(J55,Dex!$B$3:$N102,12,FALSE),"")</f>
        <v>83</v>
      </c>
      <c r="L72" s="605" t="str">
        <f t="array" ref="L72">IFERROR(VLOOKUP(K72,Dex!$P$22:$Q$276,2,FALSE),"")</f>
        <v/>
      </c>
      <c r="M72" s="606"/>
      <c r="N72" s="1357"/>
      <c r="O72" s="603" t="s">
        <v>196</v>
      </c>
      <c r="P72" s="604">
        <f t="array" ref="P72">IFERROR(VLOOKUP(O55,Dex!$B$3:$N102,12,FALSE),"")</f>
        <v>107</v>
      </c>
      <c r="Q72" s="605" t="str">
        <f t="array" ref="Q72">IFERROR(VLOOKUP(P72,Dex!$P$22:$Q$276,2,FALSE),"")</f>
        <v/>
      </c>
      <c r="R72" s="606">
        <v>4.0</v>
      </c>
      <c r="S72" s="1357"/>
      <c r="T72" s="603" t="s">
        <v>196</v>
      </c>
      <c r="U72" s="604">
        <f t="array" ref="U72">IFERROR(VLOOKUP(T55,Dex!$B$3:$N102,12,FALSE),"")</f>
        <v>60</v>
      </c>
      <c r="V72" s="605" t="str">
        <f t="array" ref="V72">IFERROR(VLOOKUP(U72,Dex!$P$22:$Q$276,2,FALSE),"")</f>
        <v/>
      </c>
      <c r="W72" s="606">
        <v>4.0</v>
      </c>
      <c r="X72" s="1357"/>
      <c r="Y72" s="603" t="s">
        <v>196</v>
      </c>
      <c r="Z72" s="604">
        <f t="array" ref="Z72">IFERROR(VLOOKUP(Y55,Dex!$B$3:$N102,12,FALSE),"")</f>
        <v>80</v>
      </c>
      <c r="AA72" s="605" t="str">
        <f t="array" ref="AA72">IFERROR(VLOOKUP(Z72,Dex!$P$22:$Q$276,2,FALSE),"")</f>
        <v/>
      </c>
      <c r="AB72" s="606">
        <v>4.0</v>
      </c>
      <c r="AC72" s="1357"/>
      <c r="AD72" s="603" t="s">
        <v>196</v>
      </c>
      <c r="AE72" s="604">
        <f t="array" ref="AE72">IFERROR(VLOOKUP(AD55,Dex!$B$3:$N102,12,FALSE),"")</f>
        <v>68</v>
      </c>
      <c r="AF72" s="605" t="str">
        <f t="array" ref="AF72">IFERROR(VLOOKUP(AE72,Dex!$P$22:$Q$276,2,FALSE),"")</f>
        <v/>
      </c>
      <c r="AG72" s="606">
        <v>252.0</v>
      </c>
      <c r="AH72" s="1358"/>
      <c r="AI72" s="389"/>
    </row>
    <row r="73" ht="15.75" customHeight="1">
      <c r="A73" s="312"/>
      <c r="B73" s="590"/>
      <c r="C73" s="1204" t="s">
        <v>436</v>
      </c>
      <c r="D73" s="1355"/>
      <c r="E73" s="607" t="s">
        <v>197</v>
      </c>
      <c r="F73" s="608">
        <f t="array" ref="F73">IFERROR(VLOOKUP(E55,Dex!$B$3:$N102,13,FALSE),"")</f>
        <v>106</v>
      </c>
      <c r="G73" s="609" t="str">
        <f t="array" ref="G73">IFERROR(VLOOKUP(F73,Dex!$P$22:$Q$276,2,FALSE),"")</f>
        <v/>
      </c>
      <c r="H73" s="610">
        <v>252.0</v>
      </c>
      <c r="I73" s="1357"/>
      <c r="J73" s="607" t="s">
        <v>197</v>
      </c>
      <c r="K73" s="608">
        <f t="array" ref="K73">IFERROR(VLOOKUP(J55,Dex!$B$3:$N102,13,FALSE),"")</f>
        <v>45</v>
      </c>
      <c r="L73" s="609" t="str">
        <f t="array" ref="L73">IFERROR(VLOOKUP(K73,Dex!$P$22:$Q$276,2,FALSE),"")</f>
        <v/>
      </c>
      <c r="M73" s="610"/>
      <c r="N73" s="1357"/>
      <c r="O73" s="607" t="s">
        <v>197</v>
      </c>
      <c r="P73" s="608">
        <f t="array" ref="P73">IFERROR(VLOOKUP(O55,Dex!$B$3:$N102,13,FALSE),"")</f>
        <v>86</v>
      </c>
      <c r="Q73" s="609" t="str">
        <f t="array" ref="Q73">IFERROR(VLOOKUP(P73,Dex!$P$22:$Q$276,2,FALSE),"")</f>
        <v/>
      </c>
      <c r="R73" s="610">
        <v>252.0</v>
      </c>
      <c r="S73" s="1357"/>
      <c r="T73" s="607" t="s">
        <v>197</v>
      </c>
      <c r="U73" s="608">
        <f t="array" ref="U73">IFERROR(VLOOKUP(T55,Dex!$B$3:$N102,13,FALSE),"")</f>
        <v>105</v>
      </c>
      <c r="V73" s="609" t="str">
        <f t="array" ref="V73">IFERROR(VLOOKUP(U73,Dex!$P$22:$Q$276,2,FALSE),"")</f>
        <v/>
      </c>
      <c r="W73" s="610">
        <v>252.0</v>
      </c>
      <c r="X73" s="1357"/>
      <c r="Y73" s="607" t="s">
        <v>197</v>
      </c>
      <c r="Z73" s="608">
        <f t="array" ref="Z73">IFERROR(VLOOKUP(Y55,Dex!$B$3:$N102,13,FALSE),"")</f>
        <v>135</v>
      </c>
      <c r="AA73" s="609" t="str">
        <f t="array" ref="AA73">IFERROR(VLOOKUP(Z73,Dex!$P$22:$Q$276,2,FALSE),"")</f>
        <v/>
      </c>
      <c r="AB73" s="610">
        <v>252.0</v>
      </c>
      <c r="AC73" s="1357"/>
      <c r="AD73" s="607" t="s">
        <v>197</v>
      </c>
      <c r="AE73" s="608">
        <f t="array" ref="AE73">IFERROR(VLOOKUP(AD55,Dex!$B$3:$N102,13,FALSE),"")</f>
        <v>50</v>
      </c>
      <c r="AF73" s="609" t="str">
        <f t="array" ref="AF73">IFERROR(VLOOKUP(AE73,Dex!$P$22:$Q$276,2,FALSE),"")</f>
        <v/>
      </c>
      <c r="AG73" s="610"/>
      <c r="AH73" s="1358"/>
      <c r="AI73" s="389"/>
    </row>
    <row r="74" ht="16.5" customHeight="1">
      <c r="A74" s="312"/>
      <c r="B74" s="590"/>
      <c r="C74" s="1205" t="s">
        <v>437</v>
      </c>
      <c r="D74" s="1355"/>
      <c r="E74" s="1359" t="s">
        <v>198</v>
      </c>
      <c r="F74" s="918"/>
      <c r="G74" s="919"/>
      <c r="H74" s="1360">
        <v>226.0</v>
      </c>
      <c r="I74" s="602"/>
      <c r="J74" s="611" t="s">
        <v>198</v>
      </c>
      <c r="K74" s="405"/>
      <c r="L74" s="406"/>
      <c r="M74" s="612">
        <v>84.0</v>
      </c>
      <c r="N74" s="602"/>
      <c r="O74" s="611" t="s">
        <v>198</v>
      </c>
      <c r="P74" s="405"/>
      <c r="Q74" s="406"/>
      <c r="R74" s="612">
        <v>198.0</v>
      </c>
      <c r="S74" s="602"/>
      <c r="T74" s="611" t="s">
        <v>198</v>
      </c>
      <c r="U74" s="405"/>
      <c r="V74" s="406"/>
      <c r="W74" s="612">
        <v>225.0</v>
      </c>
      <c r="X74" s="602"/>
      <c r="Y74" s="611" t="s">
        <v>198</v>
      </c>
      <c r="Z74" s="405"/>
      <c r="AA74" s="406"/>
      <c r="AB74" s="612">
        <v>269.0</v>
      </c>
      <c r="AC74" s="602"/>
      <c r="AD74" s="611" t="s">
        <v>198</v>
      </c>
      <c r="AE74" s="405"/>
      <c r="AF74" s="406"/>
      <c r="AG74" s="612">
        <v>91.0</v>
      </c>
      <c r="AH74" s="1356"/>
      <c r="AI74" s="389"/>
    </row>
    <row r="75" ht="16.5" customHeight="1">
      <c r="A75" s="312"/>
      <c r="B75" s="590"/>
      <c r="C75" s="1354"/>
      <c r="D75" s="1355"/>
      <c r="E75" s="1361" t="s">
        <v>349</v>
      </c>
      <c r="F75" s="925"/>
      <c r="G75" s="926"/>
      <c r="H75" s="1362">
        <v>339.0</v>
      </c>
      <c r="I75" s="1363"/>
      <c r="J75" s="1364"/>
      <c r="K75" s="1364"/>
      <c r="L75" s="1364"/>
      <c r="M75" s="1365"/>
      <c r="N75" s="1363"/>
      <c r="O75" s="1364"/>
      <c r="P75" s="1364"/>
      <c r="Q75" s="1364"/>
      <c r="R75" s="1365"/>
      <c r="S75" s="1363"/>
      <c r="T75" s="1364"/>
      <c r="U75" s="1364"/>
      <c r="V75" s="1364"/>
      <c r="W75" s="1365"/>
      <c r="X75" s="1363"/>
      <c r="Y75" s="1364"/>
      <c r="Z75" s="1364"/>
      <c r="AA75" s="1364"/>
      <c r="AB75" s="1365"/>
      <c r="AC75" s="1363"/>
      <c r="AD75" s="1364"/>
      <c r="AE75" s="1364"/>
      <c r="AF75" s="1364"/>
      <c r="AG75" s="1365"/>
      <c r="AH75" s="1356"/>
      <c r="AI75" s="389"/>
    </row>
    <row r="76" ht="7.5" customHeight="1">
      <c r="A76" s="312"/>
      <c r="B76" s="1366"/>
      <c r="C76" s="1367"/>
      <c r="D76" s="1368"/>
      <c r="E76" s="1369"/>
      <c r="F76" s="1369"/>
      <c r="G76" s="1369"/>
      <c r="H76" s="1369"/>
      <c r="I76" s="1368"/>
      <c r="J76" s="1368"/>
      <c r="K76" s="1368"/>
      <c r="L76" s="1368"/>
      <c r="M76" s="1368"/>
      <c r="N76" s="1368"/>
      <c r="O76" s="1368"/>
      <c r="P76" s="1368"/>
      <c r="Q76" s="1368"/>
      <c r="R76" s="1368"/>
      <c r="S76" s="1368"/>
      <c r="T76" s="1368"/>
      <c r="U76" s="1368"/>
      <c r="V76" s="1368"/>
      <c r="W76" s="1368"/>
      <c r="X76" s="1368"/>
      <c r="Y76" s="1368"/>
      <c r="Z76" s="1368"/>
      <c r="AA76" s="1368"/>
      <c r="AB76" s="1368"/>
      <c r="AC76" s="1368"/>
      <c r="AD76" s="1368"/>
      <c r="AE76" s="1368"/>
      <c r="AF76" s="1368"/>
      <c r="AG76" s="1368"/>
      <c r="AH76" s="1370"/>
      <c r="AI76" s="1143"/>
    </row>
    <row r="77" ht="7.5" customHeight="1">
      <c r="A77" s="312"/>
      <c r="B77" s="1371"/>
      <c r="C77" s="1372"/>
      <c r="D77" s="1373"/>
      <c r="E77" s="1373"/>
      <c r="F77" s="1373"/>
      <c r="G77" s="1373"/>
      <c r="H77" s="1373"/>
      <c r="I77" s="1373"/>
      <c r="J77" s="1373"/>
      <c r="K77" s="1373"/>
      <c r="L77" s="1373"/>
      <c r="M77" s="1373"/>
      <c r="N77" s="1373"/>
      <c r="O77" s="1373"/>
      <c r="P77" s="1373"/>
      <c r="Q77" s="1373"/>
      <c r="R77" s="1373"/>
      <c r="S77" s="1373"/>
      <c r="T77" s="1373"/>
      <c r="U77" s="1373"/>
      <c r="V77" s="1373"/>
      <c r="W77" s="1373"/>
      <c r="X77" s="1373"/>
      <c r="Y77" s="1373"/>
      <c r="Z77" s="1373"/>
      <c r="AA77" s="1373"/>
      <c r="AB77" s="1373"/>
      <c r="AC77" s="1373"/>
      <c r="AD77" s="1373"/>
      <c r="AE77" s="1373"/>
      <c r="AF77" s="1373"/>
      <c r="AG77" s="1373"/>
      <c r="AH77" s="1374"/>
      <c r="AI77" s="1143"/>
    </row>
    <row r="78">
      <c r="A78" s="312"/>
      <c r="B78" s="1375"/>
      <c r="C78" s="1376"/>
      <c r="D78" s="1377"/>
      <c r="E78" s="1378" t="s">
        <v>477</v>
      </c>
      <c r="F78" s="680"/>
      <c r="G78" s="680"/>
      <c r="H78" s="680"/>
      <c r="I78" s="680"/>
      <c r="J78" s="680"/>
      <c r="K78" s="680"/>
      <c r="L78" s="680"/>
      <c r="M78" s="680"/>
      <c r="N78" s="680"/>
      <c r="O78" s="680"/>
      <c r="P78" s="680"/>
      <c r="Q78" s="680"/>
      <c r="R78" s="680"/>
      <c r="S78" s="680"/>
      <c r="T78" s="680"/>
      <c r="U78" s="680"/>
      <c r="V78" s="680"/>
      <c r="W78" s="680"/>
      <c r="X78" s="680"/>
      <c r="Y78" s="680"/>
      <c r="Z78" s="680"/>
      <c r="AA78" s="680"/>
      <c r="AB78" s="680"/>
      <c r="AC78" s="680"/>
      <c r="AD78" s="680"/>
      <c r="AE78" s="680"/>
      <c r="AF78" s="680"/>
      <c r="AG78" s="681"/>
      <c r="AH78" s="1379"/>
      <c r="AI78" s="1143"/>
    </row>
    <row r="79" ht="96.75" customHeight="1">
      <c r="A79" s="312"/>
      <c r="B79" s="1380"/>
      <c r="C79" s="1381" t="str">
        <f>IMAGE("https://i.ibb.co/z204J6T/Erika.png")</f>
        <v/>
      </c>
      <c r="D79" s="1382"/>
      <c r="E79" s="1383" t="str">
        <f t="array" ref="E79">IFERROR(VLOOKUP(E80,Dex!$B$3:$G102,3,FALSE),"")</f>
        <v/>
      </c>
      <c r="F79" s="302"/>
      <c r="G79" s="302"/>
      <c r="H79" s="303"/>
      <c r="I79" s="1384"/>
      <c r="J79" s="1383" t="str">
        <f t="array" ref="J79">IFERROR(VLOOKUP(J80,Dex!$B$3:$G102,3,FALSE),"")</f>
        <v/>
      </c>
      <c r="K79" s="302"/>
      <c r="L79" s="302"/>
      <c r="M79" s="303"/>
      <c r="N79" s="1384"/>
      <c r="O79" s="1383" t="str">
        <f t="array" ref="O79">IFERROR(VLOOKUP(O80,Dex!$B$3:$G102,3,FALSE),"")</f>
        <v/>
      </c>
      <c r="P79" s="302"/>
      <c r="Q79" s="302"/>
      <c r="R79" s="303"/>
      <c r="S79" s="1384"/>
      <c r="T79" s="1383" t="str">
        <f t="array" ref="T79">IFERROR(VLOOKUP(T80,Dex!$B$3:$G102,3,FALSE),"")</f>
        <v/>
      </c>
      <c r="U79" s="302"/>
      <c r="V79" s="302"/>
      <c r="W79" s="303"/>
      <c r="X79" s="1384"/>
      <c r="Y79" s="1383" t="str">
        <f t="array" ref="Y79">IFERROR(VLOOKUP(Y80,Dex!$B$3:$G102,3,FALSE),"")</f>
        <v/>
      </c>
      <c r="Z79" s="302"/>
      <c r="AA79" s="302"/>
      <c r="AB79" s="303"/>
      <c r="AC79" s="1384"/>
      <c r="AD79" s="1383" t="str">
        <f t="array" ref="AD79">IFERROR(VLOOKUP(AD80,Dex!$B$3:$G102,3,FALSE),"")</f>
        <v/>
      </c>
      <c r="AE79" s="302"/>
      <c r="AF79" s="302"/>
      <c r="AG79" s="303"/>
      <c r="AH79" s="1385"/>
      <c r="AI79" s="1143"/>
    </row>
    <row r="80" ht="18.75" customHeight="1">
      <c r="A80" s="312"/>
      <c r="B80" s="1386"/>
      <c r="C80" s="635" t="s">
        <v>478</v>
      </c>
      <c r="D80" s="1387"/>
      <c r="E80" s="1388" t="s">
        <v>479</v>
      </c>
      <c r="F80" s="638"/>
      <c r="G80" s="638"/>
      <c r="H80" s="639"/>
      <c r="J80" s="1388" t="s">
        <v>259</v>
      </c>
      <c r="K80" s="638"/>
      <c r="L80" s="638"/>
      <c r="M80" s="639"/>
      <c r="O80" s="1389" t="s">
        <v>480</v>
      </c>
      <c r="P80" s="638"/>
      <c r="Q80" s="638"/>
      <c r="R80" s="639"/>
      <c r="T80" s="1388" t="s">
        <v>481</v>
      </c>
      <c r="U80" s="638"/>
      <c r="V80" s="638"/>
      <c r="W80" s="639"/>
      <c r="Y80" s="1388" t="s">
        <v>482</v>
      </c>
      <c r="Z80" s="638"/>
      <c r="AA80" s="638"/>
      <c r="AB80" s="639"/>
      <c r="AD80" s="1388" t="s">
        <v>260</v>
      </c>
      <c r="AE80" s="638"/>
      <c r="AF80" s="638"/>
      <c r="AG80" s="639"/>
      <c r="AH80" s="1390"/>
      <c r="AI80" s="1161"/>
    </row>
    <row r="81">
      <c r="A81" s="312"/>
      <c r="B81" s="1391"/>
      <c r="C81" s="326"/>
      <c r="D81" s="1392"/>
      <c r="E81" s="1393" t="s">
        <v>420</v>
      </c>
      <c r="F81" s="631"/>
      <c r="G81" s="631"/>
      <c r="H81" s="647"/>
      <c r="J81" s="1393" t="s">
        <v>420</v>
      </c>
      <c r="K81" s="631"/>
      <c r="L81" s="631"/>
      <c r="M81" s="647"/>
      <c r="O81" s="1393" t="s">
        <v>420</v>
      </c>
      <c r="P81" s="631"/>
      <c r="Q81" s="631"/>
      <c r="R81" s="647"/>
      <c r="T81" s="1393" t="s">
        <v>420</v>
      </c>
      <c r="U81" s="631"/>
      <c r="V81" s="631"/>
      <c r="W81" s="647"/>
      <c r="Y81" s="1393" t="s">
        <v>420</v>
      </c>
      <c r="Z81" s="631"/>
      <c r="AA81" s="631"/>
      <c r="AB81" s="647"/>
      <c r="AD81" s="1393" t="s">
        <v>420</v>
      </c>
      <c r="AE81" s="631"/>
      <c r="AF81" s="631"/>
      <c r="AG81" s="647"/>
      <c r="AH81" s="1394"/>
      <c r="AI81" s="1395"/>
    </row>
    <row r="82" ht="25.5" customHeight="1">
      <c r="A82" s="343"/>
      <c r="B82" s="1375"/>
      <c r="C82" s="1396"/>
      <c r="D82" s="1397"/>
      <c r="E82" s="1398"/>
      <c r="F82" s="1399" t="str">
        <f t="array" ref="F82">IFERROR(VLOOKUP(E80,Dex!$B$3:$H102,5,FALSE),"")</f>
        <v/>
      </c>
      <c r="G82" s="1400" t="str">
        <f t="array" ref="G82">IFERROR(VLOOKUP(E80,Dex!$B$3:$H102,7,FALSE),"")</f>
        <v/>
      </c>
      <c r="H82" s="1401"/>
      <c r="J82" s="1402"/>
      <c r="K82" s="1399" t="str">
        <f t="array" ref="K82">IFERROR(VLOOKUP(J80,Dex!$B$3:$H102,5,FALSE),"")</f>
        <v/>
      </c>
      <c r="L82" s="1400" t="str">
        <f t="array" ref="L82">IFERROR(VLOOKUP(J80,Dex!$B$3:$H102,7,FALSE),"")</f>
        <v/>
      </c>
      <c r="M82" s="1401"/>
      <c r="O82" s="1402"/>
      <c r="P82" s="1399" t="str">
        <f t="array" ref="P82">IFERROR(VLOOKUP(O80,Dex!$B$3:$H102,5,FALSE),"")</f>
        <v/>
      </c>
      <c r="Q82" s="1400" t="str">
        <f t="array" ref="Q82">IFERROR(VLOOKUP(O80,Dex!$B$3:$H102,7,FALSE),"")</f>
        <v/>
      </c>
      <c r="R82" s="1401"/>
      <c r="T82" s="1402"/>
      <c r="U82" s="1399" t="str">
        <f t="array" ref="U82">IFERROR(VLOOKUP(T80,Dex!$B$3:$H102,5,FALSE),"")</f>
        <v/>
      </c>
      <c r="V82" s="1400" t="str">
        <f t="array" ref="V82">IFERROR(VLOOKUP(T80,Dex!$B$3:$H102,7,FALSE),"")</f>
        <v/>
      </c>
      <c r="W82" s="1401"/>
      <c r="Y82" s="1402"/>
      <c r="Z82" s="1399" t="str">
        <f t="array" ref="Z82">IFERROR(VLOOKUP(Y80,Dex!$B$3:$H102,5,FALSE),"")</f>
        <v/>
      </c>
      <c r="AA82" s="1400" t="str">
        <f t="array" ref="AA82">IFERROR(VLOOKUP(Y80,Dex!$B$3:$H102,7,FALSE),"")</f>
        <v/>
      </c>
      <c r="AB82" s="1401"/>
      <c r="AD82" s="1402"/>
      <c r="AE82" s="1399" t="str">
        <f t="array" ref="AE82">IFERROR(VLOOKUP(AD80,Dex!$B$3:$H102,5,FALSE),"")</f>
        <v/>
      </c>
      <c r="AF82" s="1400" t="str">
        <f t="array" ref="AF82">IFERROR(VLOOKUP(AD80,Dex!$B$3:$H102,7,FALSE),"")</f>
        <v/>
      </c>
      <c r="AG82" s="1403"/>
      <c r="AH82" s="1385"/>
      <c r="AI82" s="1143"/>
    </row>
    <row r="83" ht="2.25" customHeight="1">
      <c r="A83" s="312"/>
      <c r="B83" s="1375"/>
      <c r="C83" s="662"/>
      <c r="D83" s="1404"/>
      <c r="E83" s="1405"/>
      <c r="F83" s="1406"/>
      <c r="G83" s="1406"/>
      <c r="H83" s="1407"/>
      <c r="J83" s="1408"/>
      <c r="K83" s="1406"/>
      <c r="L83" s="1406"/>
      <c r="M83" s="1407"/>
      <c r="O83" s="1408"/>
      <c r="P83" s="1406"/>
      <c r="Q83" s="1406"/>
      <c r="R83" s="1407"/>
      <c r="T83" s="1408"/>
      <c r="U83" s="1406"/>
      <c r="V83" s="1406"/>
      <c r="W83" s="1407"/>
      <c r="Y83" s="1408"/>
      <c r="Z83" s="1406"/>
      <c r="AA83" s="1406"/>
      <c r="AB83" s="1407"/>
      <c r="AD83" s="1408"/>
      <c r="AE83" s="1406"/>
      <c r="AF83" s="1406"/>
      <c r="AG83" s="1409"/>
      <c r="AH83" s="1385"/>
      <c r="AI83" s="1143"/>
    </row>
    <row r="84" ht="20.25" customHeight="1">
      <c r="A84" s="312"/>
      <c r="B84" s="1375"/>
      <c r="C84" s="667"/>
      <c r="D84" s="1404"/>
      <c r="E84" s="1410" t="s">
        <v>172</v>
      </c>
      <c r="F84" s="669"/>
      <c r="G84" s="669"/>
      <c r="H84" s="670"/>
      <c r="J84" s="1410" t="s">
        <v>172</v>
      </c>
      <c r="K84" s="669"/>
      <c r="L84" s="669"/>
      <c r="M84" s="670"/>
      <c r="O84" s="1410" t="s">
        <v>169</v>
      </c>
      <c r="P84" s="669"/>
      <c r="Q84" s="669"/>
      <c r="R84" s="670"/>
      <c r="T84" s="1410" t="s">
        <v>263</v>
      </c>
      <c r="U84" s="669"/>
      <c r="V84" s="669"/>
      <c r="W84" s="670"/>
      <c r="Y84" s="1410" t="s">
        <v>172</v>
      </c>
      <c r="Z84" s="669"/>
      <c r="AA84" s="669"/>
      <c r="AB84" s="670"/>
      <c r="AD84" s="1410" t="s">
        <v>263</v>
      </c>
      <c r="AE84" s="669"/>
      <c r="AF84" s="669"/>
      <c r="AG84" s="670"/>
      <c r="AH84" s="1385"/>
      <c r="AI84" s="1143"/>
    </row>
    <row r="85">
      <c r="A85" s="312"/>
      <c r="B85" s="1375"/>
      <c r="C85" s="1411"/>
      <c r="D85" s="1404"/>
      <c r="E85" s="1412" t="s">
        <v>173</v>
      </c>
      <c r="F85" s="631"/>
      <c r="G85" s="631"/>
      <c r="H85" s="647"/>
      <c r="J85" s="1412" t="s">
        <v>207</v>
      </c>
      <c r="K85" s="631"/>
      <c r="L85" s="631"/>
      <c r="M85" s="647"/>
      <c r="O85" s="1412" t="s">
        <v>483</v>
      </c>
      <c r="P85" s="631"/>
      <c r="Q85" s="631"/>
      <c r="R85" s="647"/>
      <c r="T85" s="1412" t="s">
        <v>484</v>
      </c>
      <c r="U85" s="631"/>
      <c r="V85" s="631"/>
      <c r="W85" s="647"/>
      <c r="Y85" s="1412" t="s">
        <v>485</v>
      </c>
      <c r="Z85" s="631"/>
      <c r="AA85" s="631"/>
      <c r="AB85" s="647"/>
      <c r="AD85" s="1412" t="s">
        <v>486</v>
      </c>
      <c r="AE85" s="631"/>
      <c r="AF85" s="631"/>
      <c r="AG85" s="647"/>
      <c r="AH85" s="1385"/>
      <c r="AI85" s="1143"/>
    </row>
    <row r="86" ht="20.25" customHeight="1">
      <c r="A86" s="312"/>
      <c r="B86" s="1375"/>
      <c r="C86" s="662"/>
      <c r="D86" s="1404"/>
      <c r="E86" s="1413" t="s">
        <v>487</v>
      </c>
      <c r="F86" s="680"/>
      <c r="G86" s="681"/>
      <c r="H86" s="1414" t="str">
        <f>IMAGE("https://i.ibb.co/6ZBsLZp/corner.png",4,28,28)</f>
        <v/>
      </c>
      <c r="J86" s="1413" t="s">
        <v>272</v>
      </c>
      <c r="K86" s="680"/>
      <c r="L86" s="681"/>
      <c r="M86" s="1414" t="str">
        <f>IMAGE("https://raw.githubusercontent.com/msikma/pokesprite/master/items/hold-item/life-orb.png",3)</f>
        <v/>
      </c>
      <c r="O86" s="1413" t="s">
        <v>271</v>
      </c>
      <c r="P86" s="680"/>
      <c r="Q86" s="681"/>
      <c r="R86" s="1414" t="str">
        <f>IMAGE("https://raw.githubusercontent.com/msikma/pokesprite/master/items/hold-item/grassy-seed.png",3)</f>
        <v/>
      </c>
      <c r="T86" s="1413" t="s">
        <v>394</v>
      </c>
      <c r="U86" s="680"/>
      <c r="V86" s="681"/>
      <c r="W86" s="1414" t="str">
        <f>IMAGE("https://raw.githubusercontent.com/msikma/pokesprite/master/items/hold-item/leftovers.png",3)</f>
        <v/>
      </c>
      <c r="Y86" s="1413" t="s">
        <v>488</v>
      </c>
      <c r="Z86" s="680"/>
      <c r="AA86" s="681"/>
      <c r="AB86" s="1414" t="str">
        <f>IMAGE("https://raw.githubusercontent.com/msikma/pokesprite/master/items/hold-item/wide-lens.png",3)</f>
        <v/>
      </c>
      <c r="AD86" s="1413" t="s">
        <v>270</v>
      </c>
      <c r="AE86" s="680"/>
      <c r="AF86" s="681"/>
      <c r="AG86" s="1414" t="str">
        <f>IMAGE("https://raw.githubusercontent.com/msikma/pokesprite/master/items/mega-stone/venusaurite.png",3)</f>
        <v/>
      </c>
      <c r="AH86" s="1385"/>
      <c r="AI86" s="1143"/>
    </row>
    <row r="87" ht="20.25" customHeight="1">
      <c r="A87" s="312"/>
      <c r="B87" s="1375"/>
      <c r="C87" s="667"/>
      <c r="D87" s="1404"/>
      <c r="E87" s="1410" t="s">
        <v>373</v>
      </c>
      <c r="F87" s="669"/>
      <c r="G87" s="1415"/>
      <c r="H87" s="1416" t="str">
        <f>IMAGE("https://raw.githubusercontent.com/msikma/pokesprite/master/misc/types/gen8/grass.png",4,20,20)</f>
        <v/>
      </c>
      <c r="J87" s="1410" t="s">
        <v>278</v>
      </c>
      <c r="K87" s="669"/>
      <c r="L87" s="1415"/>
      <c r="M87" s="1416" t="str">
        <f>IMAGE("https://raw.githubusercontent.com/msikma/pokesprite/master/misc/types/gen8/bug.png",4,20,20)</f>
        <v/>
      </c>
      <c r="O87" s="1417" t="s">
        <v>489</v>
      </c>
      <c r="P87" s="669"/>
      <c r="Q87" s="1415"/>
      <c r="R87" s="1416" t="str">
        <f>IMAGE("https://raw.githubusercontent.com/msikma/pokesprite/master/misc/types/gen8/normal.png",4,20,20)</f>
        <v/>
      </c>
      <c r="T87" s="1410" t="s">
        <v>490</v>
      </c>
      <c r="U87" s="669"/>
      <c r="V87" s="1415"/>
      <c r="W87" s="1416" t="str">
        <f>IMAGE("https://raw.githubusercontent.com/msikma/pokesprite/master/misc/types/gen8/grass.png",4,20,20)</f>
        <v/>
      </c>
      <c r="Y87" s="1410" t="s">
        <v>491</v>
      </c>
      <c r="Z87" s="669"/>
      <c r="AA87" s="1415"/>
      <c r="AB87" s="1416" t="str">
        <f>IMAGE("https://raw.githubusercontent.com/msikma/pokesprite/master/misc/types/gen8/fighting.png",4,20,20)</f>
        <v/>
      </c>
      <c r="AD87" s="1410" t="s">
        <v>275</v>
      </c>
      <c r="AE87" s="669"/>
      <c r="AF87" s="1415"/>
      <c r="AG87" s="1416" t="str">
        <f>IMAGE("https://raw.githubusercontent.com/msikma/pokesprite/master/misc/types/gen8/grass.png",4,20,20)</f>
        <v/>
      </c>
      <c r="AH87" s="1418"/>
      <c r="AI87" s="1143"/>
    </row>
    <row r="88" ht="20.25" customHeight="1">
      <c r="A88" s="312"/>
      <c r="B88" s="1375"/>
      <c r="C88" s="1419"/>
      <c r="D88" s="1404"/>
      <c r="E88" s="1412" t="s">
        <v>371</v>
      </c>
      <c r="F88" s="631"/>
      <c r="G88" s="632"/>
      <c r="H88" s="1420" t="str">
        <f>IMAGE("https://raw.githubusercontent.com/msikma/pokesprite/master/misc/types/gen8/rock.png",4,20,20)</f>
        <v/>
      </c>
      <c r="J88" s="1412" t="s">
        <v>279</v>
      </c>
      <c r="K88" s="631"/>
      <c r="L88" s="632"/>
      <c r="M88" s="1420" t="str">
        <f>IMAGE("https://raw.githubusercontent.com/msikma/pokesprite/master/misc/types/gen8/dark.png",4,20,20)</f>
        <v/>
      </c>
      <c r="O88" s="1421" t="s">
        <v>316</v>
      </c>
      <c r="P88" s="631"/>
      <c r="Q88" s="632"/>
      <c r="R88" s="1420" t="str">
        <f>IMAGE("https://raw.githubusercontent.com/msikma/pokesprite/master/misc/types/gen8/fighting.png",4,20,20)</f>
        <v/>
      </c>
      <c r="T88" s="1412" t="s">
        <v>492</v>
      </c>
      <c r="U88" s="631"/>
      <c r="V88" s="632"/>
      <c r="W88" s="1420" t="str">
        <f>IMAGE("https://raw.githubusercontent.com/msikma/pokesprite/master/misc/types/gen8/fire.png",4,20,20)</f>
        <v/>
      </c>
      <c r="Y88" s="1412" t="s">
        <v>312</v>
      </c>
      <c r="Z88" s="631"/>
      <c r="AA88" s="632"/>
      <c r="AB88" s="1420" t="str">
        <f>IMAGE("https://raw.githubusercontent.com/msikma/pokesprite/master/misc/types/gen8/grass.png",4,20,20)</f>
        <v/>
      </c>
      <c r="AD88" s="1412" t="s">
        <v>286</v>
      </c>
      <c r="AE88" s="631"/>
      <c r="AF88" s="632"/>
      <c r="AG88" s="1420" t="str">
        <f>IMAGE("https://raw.githubusercontent.com/msikma/pokesprite/master/misc/types/gen8/ground.png",4,20,20)</f>
        <v/>
      </c>
      <c r="AH88" s="1418"/>
      <c r="AI88" s="1143"/>
    </row>
    <row r="89" ht="20.25" customHeight="1">
      <c r="A89" s="312"/>
      <c r="B89" s="1375"/>
      <c r="C89" s="1419"/>
      <c r="D89" s="1404"/>
      <c r="E89" s="1412" t="s">
        <v>279</v>
      </c>
      <c r="F89" s="631"/>
      <c r="G89" s="632"/>
      <c r="H89" s="1422" t="str">
        <f>IMAGE("https://raw.githubusercontent.com/msikma/pokesprite/master/misc/types/gen8/dark.png",4,20,20)</f>
        <v/>
      </c>
      <c r="J89" s="1412" t="s">
        <v>274</v>
      </c>
      <c r="K89" s="631"/>
      <c r="L89" s="632"/>
      <c r="M89" s="1422" t="str">
        <f>IMAGE("https://raw.githubusercontent.com/msikma/pokesprite/master/misc/types/gen8/grass.png",4,20,20)</f>
        <v/>
      </c>
      <c r="O89" s="1421" t="s">
        <v>493</v>
      </c>
      <c r="P89" s="631"/>
      <c r="Q89" s="632"/>
      <c r="R89" s="1422" t="str">
        <f>IMAGE("https://raw.githubusercontent.com/msikma/pokesprite/master/misc/types/gen8/flying.png",4,20,20)</f>
        <v/>
      </c>
      <c r="T89" s="1412" t="s">
        <v>318</v>
      </c>
      <c r="U89" s="631"/>
      <c r="V89" s="632"/>
      <c r="W89" s="1422" t="str">
        <f>IMAGE("https://raw.githubusercontent.com/msikma/pokesprite/master/misc/types/gen8/ghost.png",4,20,20)</f>
        <v/>
      </c>
      <c r="Y89" s="1412" t="s">
        <v>316</v>
      </c>
      <c r="Z89" s="631"/>
      <c r="AA89" s="632"/>
      <c r="AB89" s="1422" t="str">
        <f>IMAGE("https://raw.githubusercontent.com/msikma/pokesprite/master/misc/types/gen8/fighting.png",4,20,20)</f>
        <v/>
      </c>
      <c r="AD89" s="1412" t="s">
        <v>494</v>
      </c>
      <c r="AE89" s="631"/>
      <c r="AF89" s="632"/>
      <c r="AG89" s="1422" t="str">
        <f>IMAGE("https://raw.githubusercontent.com/msikma/pokesprite/master/misc/types/gen8/grass.png",4,20,20)</f>
        <v/>
      </c>
      <c r="AH89" s="1418"/>
      <c r="AI89" s="1143"/>
    </row>
    <row r="90" ht="21.0" customHeight="1">
      <c r="A90" s="312"/>
      <c r="B90" s="1375"/>
      <c r="C90" s="1419"/>
      <c r="D90" s="1404"/>
      <c r="E90" s="1423" t="s">
        <v>278</v>
      </c>
      <c r="F90" s="690"/>
      <c r="G90" s="1424"/>
      <c r="H90" s="1425" t="str">
        <f>IMAGE("https://raw.githubusercontent.com/msikma/pokesprite/master/misc/types/gen8/bug.png",4,20,20)</f>
        <v/>
      </c>
      <c r="I90" s="638"/>
      <c r="J90" s="1423" t="s">
        <v>285</v>
      </c>
      <c r="K90" s="690"/>
      <c r="L90" s="1424"/>
      <c r="M90" s="1425" t="str">
        <f>IMAGE("https://raw.githubusercontent.com/msikma/pokesprite/master/misc/types/gen8/ice.png",4,20,20)</f>
        <v/>
      </c>
      <c r="N90" s="638"/>
      <c r="O90" s="1426" t="s">
        <v>399</v>
      </c>
      <c r="P90" s="690"/>
      <c r="Q90" s="1424"/>
      <c r="R90" s="1425" t="str">
        <f>IMAGE("https://raw.githubusercontent.com/msikma/pokesprite/master/misc/types/gen8/rock.png",4,20,20)</f>
        <v/>
      </c>
      <c r="S90" s="638"/>
      <c r="T90" s="1423" t="s">
        <v>495</v>
      </c>
      <c r="U90" s="690"/>
      <c r="V90" s="1424"/>
      <c r="W90" s="1425" t="str">
        <f>IMAGE("https://raw.githubusercontent.com/msikma/pokesprite/master/misc/types/gen8/grass.png",4,20,20)</f>
        <v/>
      </c>
      <c r="X90" s="638"/>
      <c r="Y90" s="1423" t="s">
        <v>496</v>
      </c>
      <c r="Z90" s="690"/>
      <c r="AA90" s="1424"/>
      <c r="AB90" s="1425" t="str">
        <f>IMAGE("https://raw.githubusercontent.com/msikma/pokesprite/master/misc/types/gen8/ice.png",4,20,20)</f>
        <v/>
      </c>
      <c r="AC90" s="638"/>
      <c r="AD90" s="1423" t="s">
        <v>280</v>
      </c>
      <c r="AE90" s="690"/>
      <c r="AF90" s="1424"/>
      <c r="AG90" s="1425" t="str">
        <f>IMAGE("https://raw.githubusercontent.com/msikma/pokesprite/master/misc/types/gen8/poison.png",4,20,20)</f>
        <v/>
      </c>
      <c r="AH90" s="1418"/>
      <c r="AI90" s="1143"/>
    </row>
    <row r="91" ht="3.0" customHeight="1">
      <c r="A91" s="290"/>
      <c r="B91" s="652"/>
      <c r="C91" s="1427"/>
      <c r="D91" s="695"/>
      <c r="E91" s="696"/>
      <c r="F91" s="696"/>
      <c r="G91" s="696"/>
      <c r="H91" s="696"/>
      <c r="I91" s="695"/>
      <c r="J91" s="696"/>
      <c r="K91" s="696"/>
      <c r="L91" s="696"/>
      <c r="M91" s="696"/>
      <c r="N91" s="695"/>
      <c r="O91" s="696"/>
      <c r="P91" s="696"/>
      <c r="Q91" s="696"/>
      <c r="R91" s="696"/>
      <c r="S91" s="695"/>
      <c r="T91" s="696"/>
      <c r="U91" s="696"/>
      <c r="V91" s="696"/>
      <c r="W91" s="696"/>
      <c r="X91" s="695"/>
      <c r="Y91" s="697"/>
      <c r="Z91" s="698"/>
      <c r="AA91" s="698"/>
      <c r="AB91" s="699"/>
      <c r="AC91" s="695"/>
      <c r="AD91" s="699"/>
      <c r="AE91" s="699"/>
      <c r="AF91" s="699"/>
      <c r="AG91" s="699"/>
      <c r="AH91" s="633"/>
      <c r="AI91" s="296"/>
    </row>
    <row r="92" ht="16.5" customHeight="1">
      <c r="A92" s="312"/>
      <c r="B92" s="701"/>
      <c r="C92" s="1427"/>
      <c r="D92" s="1428"/>
      <c r="E92" s="703" t="s">
        <v>190</v>
      </c>
      <c r="F92" s="381"/>
      <c r="G92" s="382"/>
      <c r="H92" s="704" t="s">
        <v>191</v>
      </c>
      <c r="I92" s="713"/>
      <c r="J92" s="703" t="s">
        <v>190</v>
      </c>
      <c r="K92" s="381"/>
      <c r="L92" s="382"/>
      <c r="M92" s="704" t="s">
        <v>191</v>
      </c>
      <c r="N92" s="713"/>
      <c r="O92" s="703" t="s">
        <v>190</v>
      </c>
      <c r="P92" s="381"/>
      <c r="Q92" s="382"/>
      <c r="R92" s="704" t="s">
        <v>191</v>
      </c>
      <c r="S92" s="713"/>
      <c r="T92" s="703" t="s">
        <v>190</v>
      </c>
      <c r="U92" s="381"/>
      <c r="V92" s="382"/>
      <c r="W92" s="704" t="s">
        <v>191</v>
      </c>
      <c r="X92" s="713"/>
      <c r="Y92" s="703" t="s">
        <v>190</v>
      </c>
      <c r="Z92" s="381"/>
      <c r="AA92" s="382"/>
      <c r="AB92" s="704" t="s">
        <v>191</v>
      </c>
      <c r="AC92" s="713"/>
      <c r="AD92" s="703" t="s">
        <v>190</v>
      </c>
      <c r="AE92" s="381"/>
      <c r="AF92" s="382"/>
      <c r="AG92" s="704" t="s">
        <v>191</v>
      </c>
      <c r="AH92" s="1429"/>
      <c r="AI92" s="389"/>
    </row>
    <row r="93" ht="15.75" customHeight="1">
      <c r="A93" s="312"/>
      <c r="B93" s="701"/>
      <c r="C93" s="1427"/>
      <c r="D93" s="1428"/>
      <c r="E93" s="709" t="s">
        <v>192</v>
      </c>
      <c r="F93" s="710">
        <f t="array" ref="F93">IFERROR(VLOOKUP(E80,Dex!$B$3:$N102,8,FALSE),"")</f>
        <v>80</v>
      </c>
      <c r="G93" s="711" t="str">
        <f t="array" ref="G93">IFERROR(VLOOKUP(F93,Dex!$P$22:$Q$276,2,FALSE),"")</f>
        <v/>
      </c>
      <c r="H93" s="712"/>
      <c r="I93" s="1430"/>
      <c r="J93" s="709" t="s">
        <v>192</v>
      </c>
      <c r="K93" s="710">
        <f t="array" ref="K93">IFERROR(VLOOKUP(J80,Dex!$B$3:$N102,8,FALSE),"")</f>
        <v>76</v>
      </c>
      <c r="L93" s="711" t="str">
        <f t="array" ref="L93">IFERROR(VLOOKUP(K93,Dex!$P$22:$Q$276,2,FALSE),"")</f>
        <v/>
      </c>
      <c r="M93" s="712"/>
      <c r="N93" s="1430"/>
      <c r="O93" s="709" t="s">
        <v>192</v>
      </c>
      <c r="P93" s="710">
        <f t="array" ref="P93">IFERROR(VLOOKUP(O80,Dex!$B$3:$N102,8,FALSE),"")</f>
        <v>78</v>
      </c>
      <c r="Q93" s="711" t="str">
        <f t="array" ref="Q93">IFERROR(VLOOKUP(P93,Dex!$P$22:$Q$276,2,FALSE),"")</f>
        <v/>
      </c>
      <c r="R93" s="712"/>
      <c r="S93" s="1430"/>
      <c r="T93" s="709" t="s">
        <v>192</v>
      </c>
      <c r="U93" s="710">
        <f t="array" ref="U93">IFERROR(VLOOKUP(T80,Dex!$B$3:$N102,8,FALSE),"")</f>
        <v>71</v>
      </c>
      <c r="V93" s="711" t="str">
        <f t="array" ref="V93">IFERROR(VLOOKUP(U93,Dex!$P$22:$Q$276,2,FALSE),"")</f>
        <v/>
      </c>
      <c r="W93" s="712">
        <v>252.0</v>
      </c>
      <c r="X93" s="1430"/>
      <c r="Y93" s="709" t="s">
        <v>192</v>
      </c>
      <c r="Z93" s="710">
        <f t="array" ref="Z93">IFERROR(VLOOKUP(Y80,Dex!$B$3:$N102,8,FALSE),"")</f>
        <v>70</v>
      </c>
      <c r="AA93" s="711" t="str">
        <f t="array" ref="AA93">IFERROR(VLOOKUP(Z93,Dex!$P$22:$Q$276,2,FALSE),"")</f>
        <v/>
      </c>
      <c r="AB93" s="712"/>
      <c r="AC93" s="1430"/>
      <c r="AD93" s="709" t="s">
        <v>192</v>
      </c>
      <c r="AE93" s="710">
        <f t="array" ref="AE93">IFERROR(VLOOKUP(AD80,Dex!$B$3:$N102,8,FALSE),"")</f>
        <v>80</v>
      </c>
      <c r="AF93" s="711" t="str">
        <f t="array" ref="AF93">IFERROR(VLOOKUP(AE93,Dex!$P$22:$Q$276,2,FALSE),"")</f>
        <v/>
      </c>
      <c r="AG93" s="712"/>
      <c r="AH93" s="1429"/>
      <c r="AI93" s="389"/>
    </row>
    <row r="94" ht="15.75" customHeight="1">
      <c r="A94" s="312"/>
      <c r="B94" s="701"/>
      <c r="C94" s="1427"/>
      <c r="D94" s="1428"/>
      <c r="E94" s="714" t="s">
        <v>193</v>
      </c>
      <c r="F94" s="715">
        <f t="array" ref="F94">IFERROR(VLOOKUP(E80,Dex!$B$3:$N102,9,FALSE),"")</f>
        <v>120</v>
      </c>
      <c r="G94" s="716" t="str">
        <f t="array" ref="G94">IFERROR(VLOOKUP(F94,Dex!$P$22:$Q$276,2,FALSE),"")</f>
        <v/>
      </c>
      <c r="H94" s="717">
        <v>252.0</v>
      </c>
      <c r="I94" s="1430"/>
      <c r="J94" s="714" t="s">
        <v>193</v>
      </c>
      <c r="K94" s="715">
        <f t="array" ref="K94">IFERROR(VLOOKUP(J80,Dex!$B$3:$N102,9,FALSE),"")</f>
        <v>110</v>
      </c>
      <c r="L94" s="716" t="str">
        <f t="array" ref="L94">IFERROR(VLOOKUP(K94,Dex!$P$22:$Q$276,2,FALSE),"")</f>
        <v/>
      </c>
      <c r="M94" s="717">
        <v>252.0</v>
      </c>
      <c r="N94" s="1430"/>
      <c r="O94" s="714" t="s">
        <v>193</v>
      </c>
      <c r="P94" s="715">
        <f t="array" ref="P94">IFERROR(VLOOKUP(O80,Dex!$B$3:$N102,9,FALSE),"")</f>
        <v>92</v>
      </c>
      <c r="Q94" s="716" t="str">
        <f t="array" ref="Q94">IFERROR(VLOOKUP(P94,Dex!$P$22:$Q$276,2,FALSE),"")</f>
        <v/>
      </c>
      <c r="R94" s="717">
        <v>252.0</v>
      </c>
      <c r="S94" s="1430"/>
      <c r="T94" s="714" t="s">
        <v>193</v>
      </c>
      <c r="U94" s="715">
        <f t="array" ref="U94">IFERROR(VLOOKUP(T80,Dex!$B$3:$N102,9,FALSE),"")</f>
        <v>60</v>
      </c>
      <c r="V94" s="716" t="str">
        <f t="array" ref="V94">IFERROR(VLOOKUP(U94,Dex!$P$22:$Q$276,2,FALSE),"")</f>
        <v/>
      </c>
      <c r="W94" s="717"/>
      <c r="X94" s="1430"/>
      <c r="Y94" s="714" t="s">
        <v>193</v>
      </c>
      <c r="Z94" s="715">
        <f t="array" ref="Z94">IFERROR(VLOOKUP(Y80,Dex!$B$3:$N102,9,FALSE),"")</f>
        <v>105</v>
      </c>
      <c r="AA94" s="716" t="str">
        <f t="array" ref="AA94">IFERROR(VLOOKUP(Z94,Dex!$P$22:$Q$276,2,FALSE),"")</f>
        <v/>
      </c>
      <c r="AB94" s="717">
        <v>252.0</v>
      </c>
      <c r="AC94" s="1430"/>
      <c r="AD94" s="714" t="s">
        <v>193</v>
      </c>
      <c r="AE94" s="715">
        <f t="array" ref="AE94">IFERROR(VLOOKUP(AD80,Dex!$B$3:$N102,9,FALSE),"")</f>
        <v>100</v>
      </c>
      <c r="AF94" s="716" t="str">
        <f t="array" ref="AF94">IFERROR(VLOOKUP(AE94,Dex!$P$22:$Q$276,2,FALSE),"")</f>
        <v/>
      </c>
      <c r="AG94" s="717"/>
      <c r="AH94" s="1429"/>
      <c r="AI94" s="389"/>
    </row>
    <row r="95" ht="15.75" customHeight="1">
      <c r="A95" s="312"/>
      <c r="B95" s="701"/>
      <c r="C95" s="1427"/>
      <c r="D95" s="1428"/>
      <c r="E95" s="714" t="s">
        <v>194</v>
      </c>
      <c r="F95" s="715">
        <f t="array" ref="F95">IFERROR(VLOOKUP(E80,Dex!$B$3:$N102,10,FALSE),"")</f>
        <v>84</v>
      </c>
      <c r="G95" s="716" t="str">
        <f t="array" ref="G95">IFERROR(VLOOKUP(F95,Dex!$P$22:$Q$276,2,FALSE),"")</f>
        <v/>
      </c>
      <c r="H95" s="717">
        <v>4.0</v>
      </c>
      <c r="I95" s="1430"/>
      <c r="J95" s="714" t="s">
        <v>194</v>
      </c>
      <c r="K95" s="715">
        <f t="array" ref="K95">IFERROR(VLOOKUP(J80,Dex!$B$3:$N102,10,FALSE),"")</f>
        <v>70</v>
      </c>
      <c r="L95" s="716" t="str">
        <f t="array" ref="L95">IFERROR(VLOOKUP(K95,Dex!$P$22:$Q$276,2,FALSE),"")</f>
        <v/>
      </c>
      <c r="M95" s="717">
        <v>4.0</v>
      </c>
      <c r="N95" s="1430"/>
      <c r="O95" s="714" t="s">
        <v>194</v>
      </c>
      <c r="P95" s="715">
        <f t="array" ref="P95">IFERROR(VLOOKUP(O80,Dex!$B$3:$N102,10,FALSE),"")</f>
        <v>75</v>
      </c>
      <c r="Q95" s="716" t="str">
        <f t="array" ref="Q95">IFERROR(VLOOKUP(P95,Dex!$P$22:$Q$276,2,FALSE),"")</f>
        <v/>
      </c>
      <c r="R95" s="717">
        <v>4.0</v>
      </c>
      <c r="S95" s="1430"/>
      <c r="T95" s="714" t="s">
        <v>194</v>
      </c>
      <c r="U95" s="715">
        <f t="array" ref="U95">IFERROR(VLOOKUP(T80,Dex!$B$3:$N102,10,FALSE),"")</f>
        <v>106</v>
      </c>
      <c r="V95" s="716" t="str">
        <f t="array" ref="V95">IFERROR(VLOOKUP(U95,Dex!$P$22:$Q$276,2,FALSE),"")</f>
        <v/>
      </c>
      <c r="W95" s="717">
        <v>4.0</v>
      </c>
      <c r="X95" s="1430"/>
      <c r="Y95" s="714" t="s">
        <v>194</v>
      </c>
      <c r="Z95" s="715">
        <f t="array" ref="Z95">IFERROR(VLOOKUP(Y80,Dex!$B$3:$N102,10,FALSE),"")</f>
        <v>75</v>
      </c>
      <c r="AA95" s="716" t="str">
        <f t="array" ref="AA95">IFERROR(VLOOKUP(Z95,Dex!$P$22:$Q$276,2,FALSE),"")</f>
        <v/>
      </c>
      <c r="AB95" s="717"/>
      <c r="AC95" s="1430"/>
      <c r="AD95" s="714" t="s">
        <v>194</v>
      </c>
      <c r="AE95" s="715">
        <f t="array" ref="AE95">IFERROR(VLOOKUP(AD80,Dex!$B$3:$N102,10,FALSE),"")</f>
        <v>123</v>
      </c>
      <c r="AF95" s="716" t="str">
        <f t="array" ref="AF95">IFERROR(VLOOKUP(AE95,Dex!$P$22:$Q$276,2,FALSE),"")</f>
        <v/>
      </c>
      <c r="AG95" s="717"/>
      <c r="AH95" s="1429"/>
      <c r="AI95" s="389"/>
    </row>
    <row r="96" ht="15.75" customHeight="1">
      <c r="A96" s="312"/>
      <c r="B96" s="701"/>
      <c r="C96" s="1427"/>
      <c r="D96" s="1428"/>
      <c r="E96" s="714" t="s">
        <v>195</v>
      </c>
      <c r="F96" s="715">
        <f t="array" ref="F96">IFERROR(VLOOKUP(E80,Dex!$B$3:$N102,11,FALSE),"")</f>
        <v>60</v>
      </c>
      <c r="G96" s="716" t="str">
        <f t="array" ref="G96">IFERROR(VLOOKUP(F96,Dex!$P$22:$Q$276,2,FALSE),"")</f>
        <v/>
      </c>
      <c r="H96" s="717"/>
      <c r="I96" s="1430"/>
      <c r="J96" s="714" t="s">
        <v>195</v>
      </c>
      <c r="K96" s="715">
        <f t="array" ref="K96">IFERROR(VLOOKUP(J80,Dex!$B$3:$N102,11,FALSE),"")</f>
        <v>81</v>
      </c>
      <c r="L96" s="716" t="str">
        <f t="array" ref="L96">IFERROR(VLOOKUP(K96,Dex!$P$22:$Q$276,2,FALSE),"")</f>
        <v/>
      </c>
      <c r="M96" s="717"/>
      <c r="N96" s="1430"/>
      <c r="O96" s="714" t="s">
        <v>195</v>
      </c>
      <c r="P96" s="715">
        <f t="array" ref="P96">IFERROR(VLOOKUP(O80,Dex!$B$3:$N102,11,FALSE),"")</f>
        <v>74</v>
      </c>
      <c r="Q96" s="716" t="str">
        <f t="array" ref="Q96">IFERROR(VLOOKUP(P96,Dex!$P$22:$Q$276,2,FALSE),"")</f>
        <v/>
      </c>
      <c r="R96" s="717"/>
      <c r="S96" s="1430"/>
      <c r="T96" s="714" t="s">
        <v>195</v>
      </c>
      <c r="U96" s="715">
        <f t="array" ref="U96">IFERROR(VLOOKUP(T80,Dex!$B$3:$N102,11,FALSE),"")</f>
        <v>121</v>
      </c>
      <c r="V96" s="716" t="str">
        <f t="array" ref="V96">IFERROR(VLOOKUP(U96,Dex!$P$22:$Q$276,2,FALSE),"")</f>
        <v/>
      </c>
      <c r="W96" s="717">
        <v>252.0</v>
      </c>
      <c r="X96" s="1430"/>
      <c r="Y96" s="714" t="s">
        <v>195</v>
      </c>
      <c r="Z96" s="715">
        <f t="array" ref="Z96">IFERROR(VLOOKUP(Y80,Dex!$B$3:$N102,11,FALSE),"")</f>
        <v>50</v>
      </c>
      <c r="AA96" s="716" t="str">
        <f t="array" ref="AA96">IFERROR(VLOOKUP(Z96,Dex!$P$22:$Q$276,2,FALSE),"")</f>
        <v/>
      </c>
      <c r="AB96" s="717"/>
      <c r="AC96" s="1430"/>
      <c r="AD96" s="714" t="s">
        <v>195</v>
      </c>
      <c r="AE96" s="715">
        <f t="array" ref="AE96">IFERROR(VLOOKUP(AD80,Dex!$B$3:$N102,11,FALSE),"")</f>
        <v>122</v>
      </c>
      <c r="AF96" s="716" t="str">
        <f t="array" ref="AF96">IFERROR(VLOOKUP(AE96,Dex!$P$22:$Q$276,2,FALSE),"")</f>
        <v/>
      </c>
      <c r="AG96" s="717"/>
      <c r="AH96" s="1429"/>
      <c r="AI96" s="389"/>
    </row>
    <row r="97" ht="15.75" customHeight="1">
      <c r="A97" s="312"/>
      <c r="B97" s="701"/>
      <c r="C97" s="1427"/>
      <c r="D97" s="1428"/>
      <c r="E97" s="714" t="s">
        <v>196</v>
      </c>
      <c r="F97" s="715">
        <f t="array" ref="F97">IFERROR(VLOOKUP(E80,Dex!$B$3:$N102,12,FALSE),"")</f>
        <v>96</v>
      </c>
      <c r="G97" s="716" t="str">
        <f t="array" ref="G97">IFERROR(VLOOKUP(F97,Dex!$P$22:$Q$276,2,FALSE),"")</f>
        <v/>
      </c>
      <c r="H97" s="717"/>
      <c r="I97" s="1430"/>
      <c r="J97" s="714" t="s">
        <v>196</v>
      </c>
      <c r="K97" s="715">
        <f t="array" ref="K97">IFERROR(VLOOKUP(J80,Dex!$B$3:$N102,12,FALSE),"")</f>
        <v>70</v>
      </c>
      <c r="L97" s="716" t="str">
        <f t="array" ref="L97">IFERROR(VLOOKUP(K97,Dex!$P$22:$Q$276,2,FALSE),"")</f>
        <v/>
      </c>
      <c r="M97" s="717"/>
      <c r="N97" s="1430"/>
      <c r="O97" s="714" t="s">
        <v>196</v>
      </c>
      <c r="P97" s="715">
        <f t="array" ref="P97">IFERROR(VLOOKUP(O80,Dex!$B$3:$N102,12,FALSE),"")</f>
        <v>63</v>
      </c>
      <c r="Q97" s="716" t="str">
        <f t="array" ref="Q97">IFERROR(VLOOKUP(P97,Dex!$P$22:$Q$276,2,FALSE),"")</f>
        <v/>
      </c>
      <c r="R97" s="717"/>
      <c r="S97" s="1430"/>
      <c r="T97" s="714" t="s">
        <v>196</v>
      </c>
      <c r="U97" s="715">
        <f t="array" ref="U97">IFERROR(VLOOKUP(T80,Dex!$B$3:$N102,12,FALSE),"")</f>
        <v>80</v>
      </c>
      <c r="V97" s="716" t="str">
        <f t="array" ref="V97">IFERROR(VLOOKUP(U97,Dex!$P$22:$Q$276,2,FALSE),"")</f>
        <v/>
      </c>
      <c r="W97" s="717"/>
      <c r="X97" s="1430"/>
      <c r="Y97" s="714" t="s">
        <v>196</v>
      </c>
      <c r="Z97" s="715">
        <f t="array" ref="Z97">IFERROR(VLOOKUP(Y80,Dex!$B$3:$N102,12,FALSE),"")</f>
        <v>75</v>
      </c>
      <c r="AA97" s="716" t="str">
        <f t="array" ref="AA97">IFERROR(VLOOKUP(Z97,Dex!$P$22:$Q$276,2,FALSE),"")</f>
        <v/>
      </c>
      <c r="AB97" s="717">
        <v>4.0</v>
      </c>
      <c r="AC97" s="1430"/>
      <c r="AD97" s="714" t="s">
        <v>196</v>
      </c>
      <c r="AE97" s="715">
        <f t="array" ref="AE97">IFERROR(VLOOKUP(AD80,Dex!$B$3:$N102,12,FALSE),"")</f>
        <v>120</v>
      </c>
      <c r="AF97" s="716" t="str">
        <f t="array" ref="AF97">IFERROR(VLOOKUP(AE97,Dex!$P$22:$Q$276,2,FALSE),"")</f>
        <v/>
      </c>
      <c r="AG97" s="717"/>
      <c r="AH97" s="1429"/>
      <c r="AI97" s="389"/>
    </row>
    <row r="98" ht="15.75" customHeight="1">
      <c r="A98" s="312"/>
      <c r="B98" s="701"/>
      <c r="C98" s="1204" t="s">
        <v>436</v>
      </c>
      <c r="D98" s="1428"/>
      <c r="E98" s="718" t="s">
        <v>197</v>
      </c>
      <c r="F98" s="719">
        <f t="array" ref="F98">IFERROR(VLOOKUP(E80,Dex!$B$3:$N102,13,FALSE),"")</f>
        <v>110</v>
      </c>
      <c r="G98" s="720" t="str">
        <f t="array" ref="G98">IFERROR(VLOOKUP(F98,Dex!$P$22:$Q$276,2,FALSE),"")</f>
        <v/>
      </c>
      <c r="H98" s="721">
        <v>252.0</v>
      </c>
      <c r="I98" s="1430"/>
      <c r="J98" s="718" t="s">
        <v>197</v>
      </c>
      <c r="K98" s="719">
        <f t="array" ref="K98">IFERROR(VLOOKUP(J80,Dex!$B$3:$N102,13,FALSE),"")</f>
        <v>123</v>
      </c>
      <c r="L98" s="720" t="str">
        <f t="array" ref="L98">IFERROR(VLOOKUP(K98,Dex!$P$22:$Q$276,2,FALSE),"")</f>
        <v/>
      </c>
      <c r="M98" s="721">
        <v>252.0</v>
      </c>
      <c r="N98" s="1430"/>
      <c r="O98" s="718" t="s">
        <v>197</v>
      </c>
      <c r="P98" s="719">
        <f t="array" ref="P98">IFERROR(VLOOKUP(O80,Dex!$B$3:$N102,13,FALSE),"")</f>
        <v>118</v>
      </c>
      <c r="Q98" s="720" t="str">
        <f t="array" ref="Q98">IFERROR(VLOOKUP(P98,Dex!$P$22:$Q$276,2,FALSE),"")</f>
        <v/>
      </c>
      <c r="R98" s="721">
        <v>252.0</v>
      </c>
      <c r="S98" s="1430"/>
      <c r="T98" s="718" t="s">
        <v>197</v>
      </c>
      <c r="U98" s="719">
        <f t="array" ref="U98">IFERROR(VLOOKUP(T80,Dex!$B$3:$N102,13,FALSE),"")</f>
        <v>70</v>
      </c>
      <c r="V98" s="720" t="str">
        <f t="array" ref="V98">IFERROR(VLOOKUP(U98,Dex!$P$22:$Q$276,2,FALSE),"")</f>
        <v/>
      </c>
      <c r="W98" s="721"/>
      <c r="X98" s="1430"/>
      <c r="Y98" s="718" t="s">
        <v>197</v>
      </c>
      <c r="Z98" s="719">
        <f t="array" ref="Z98">IFERROR(VLOOKUP(Y80,Dex!$B$3:$N102,13,FALSE),"")</f>
        <v>105</v>
      </c>
      <c r="AA98" s="720" t="str">
        <f t="array" ref="AA98">IFERROR(VLOOKUP(Z98,Dex!$P$22:$Q$276,2,FALSE),"")</f>
        <v/>
      </c>
      <c r="AB98" s="721">
        <v>252.0</v>
      </c>
      <c r="AC98" s="1430"/>
      <c r="AD98" s="718" t="s">
        <v>197</v>
      </c>
      <c r="AE98" s="719">
        <f t="array" ref="AE98">IFERROR(VLOOKUP(AD80,Dex!$B$3:$N102,13,FALSE),"")</f>
        <v>80</v>
      </c>
      <c r="AF98" s="720" t="str">
        <f t="array" ref="AF98">IFERROR(VLOOKUP(AE98,Dex!$P$22:$Q$276,2,FALSE),"")</f>
        <v/>
      </c>
      <c r="AG98" s="721"/>
      <c r="AH98" s="1429"/>
      <c r="AI98" s="389"/>
    </row>
    <row r="99" ht="16.5" customHeight="1">
      <c r="A99" s="312"/>
      <c r="B99" s="701"/>
      <c r="C99" s="1205" t="s">
        <v>437</v>
      </c>
      <c r="D99" s="1428"/>
      <c r="E99" s="722" t="s">
        <v>198</v>
      </c>
      <c r="F99" s="405"/>
      <c r="G99" s="406"/>
      <c r="H99" s="723">
        <v>223.0</v>
      </c>
      <c r="I99" s="713"/>
      <c r="J99" s="722" t="s">
        <v>198</v>
      </c>
      <c r="K99" s="405"/>
      <c r="L99" s="406"/>
      <c r="M99" s="723">
        <v>251.0</v>
      </c>
      <c r="N99" s="713"/>
      <c r="O99" s="1431" t="s">
        <v>198</v>
      </c>
      <c r="P99" s="918"/>
      <c r="Q99" s="919"/>
      <c r="R99" s="1432">
        <v>222.0</v>
      </c>
      <c r="S99" s="713"/>
      <c r="T99" s="722" t="s">
        <v>198</v>
      </c>
      <c r="U99" s="405"/>
      <c r="V99" s="406"/>
      <c r="W99" s="723">
        <v>117.0</v>
      </c>
      <c r="X99" s="713"/>
      <c r="Y99" s="722" t="s">
        <v>198</v>
      </c>
      <c r="Z99" s="405"/>
      <c r="AA99" s="406"/>
      <c r="AB99" s="723">
        <v>225.0</v>
      </c>
      <c r="AC99" s="713"/>
      <c r="AD99" s="722" t="s">
        <v>198</v>
      </c>
      <c r="AE99" s="405"/>
      <c r="AF99" s="406"/>
      <c r="AG99" s="723">
        <v>131.0</v>
      </c>
      <c r="AH99" s="1429"/>
      <c r="AI99" s="389"/>
    </row>
    <row r="100" ht="16.5" customHeight="1">
      <c r="A100" s="312"/>
      <c r="B100" s="701"/>
      <c r="C100" s="1427"/>
      <c r="D100" s="1428"/>
      <c r="E100" s="1433"/>
      <c r="F100" s="1433"/>
      <c r="G100" s="1433"/>
      <c r="H100" s="1434"/>
      <c r="I100" s="713"/>
      <c r="J100" s="1433"/>
      <c r="K100" s="1433"/>
      <c r="L100" s="1433"/>
      <c r="M100" s="1434"/>
      <c r="N100" s="713"/>
      <c r="O100" s="1435" t="s">
        <v>497</v>
      </c>
      <c r="P100" s="925"/>
      <c r="Q100" s="926"/>
      <c r="R100" s="1436">
        <v>444.0</v>
      </c>
      <c r="S100" s="713"/>
      <c r="T100" s="1433"/>
      <c r="U100" s="1433"/>
      <c r="V100" s="1433"/>
      <c r="W100" s="1434"/>
      <c r="X100" s="713"/>
      <c r="Y100" s="1433"/>
      <c r="Z100" s="1433"/>
      <c r="AA100" s="1433"/>
      <c r="AB100" s="1434"/>
      <c r="AC100" s="713"/>
      <c r="AD100" s="1433"/>
      <c r="AE100" s="1433"/>
      <c r="AF100" s="1433"/>
      <c r="AG100" s="1434"/>
      <c r="AH100" s="1429"/>
      <c r="AI100" s="389"/>
    </row>
    <row r="101" ht="7.5" customHeight="1">
      <c r="A101" s="312"/>
      <c r="B101" s="1437"/>
      <c r="C101" s="1438"/>
      <c r="D101" s="1439"/>
      <c r="E101" s="1440"/>
      <c r="F101" s="1440"/>
      <c r="G101" s="1440"/>
      <c r="H101" s="1440"/>
      <c r="I101" s="1439"/>
      <c r="J101" s="1440"/>
      <c r="K101" s="1440"/>
      <c r="L101" s="1440"/>
      <c r="M101" s="1440"/>
      <c r="N101" s="1439"/>
      <c r="O101" s="1441"/>
      <c r="P101" s="1441"/>
      <c r="Q101" s="1441"/>
      <c r="R101" s="1441"/>
      <c r="S101" s="1439"/>
      <c r="T101" s="1439"/>
      <c r="U101" s="1439"/>
      <c r="V101" s="1439"/>
      <c r="W101" s="1439"/>
      <c r="X101" s="1439"/>
      <c r="Y101" s="1439"/>
      <c r="Z101" s="1439"/>
      <c r="AA101" s="1439"/>
      <c r="AB101" s="1439"/>
      <c r="AC101" s="1439"/>
      <c r="AD101" s="1439"/>
      <c r="AE101" s="1439"/>
      <c r="AF101" s="1439"/>
      <c r="AG101" s="1439"/>
      <c r="AH101" s="1442"/>
      <c r="AI101" s="1143"/>
    </row>
    <row r="102" ht="3.75" customHeight="1">
      <c r="A102" s="1443"/>
      <c r="B102" s="1444"/>
      <c r="C102" s="1445"/>
      <c r="D102" s="1444"/>
      <c r="E102" s="1444"/>
      <c r="F102" s="1444"/>
      <c r="G102" s="1444"/>
      <c r="H102" s="1444"/>
      <c r="I102" s="1444"/>
      <c r="J102" s="1444"/>
      <c r="K102" s="1444"/>
      <c r="L102" s="1444"/>
      <c r="M102" s="1444"/>
      <c r="N102" s="1444"/>
      <c r="O102" s="1444"/>
      <c r="P102" s="1444"/>
      <c r="Q102" s="1444"/>
      <c r="R102" s="1444"/>
      <c r="S102" s="1444"/>
      <c r="T102" s="1444"/>
      <c r="U102" s="1444"/>
      <c r="V102" s="1444"/>
      <c r="W102" s="1444"/>
      <c r="X102" s="1444"/>
      <c r="Y102" s="1444"/>
      <c r="Z102" s="1444"/>
      <c r="AA102" s="1444"/>
      <c r="AB102" s="1444"/>
      <c r="AC102" s="1444"/>
      <c r="AD102" s="1444"/>
      <c r="AE102" s="1444"/>
      <c r="AF102" s="1444"/>
      <c r="AG102" s="1444"/>
      <c r="AH102" s="1444"/>
      <c r="AI102" s="1138"/>
    </row>
  </sheetData>
  <mergeCells count="332">
    <mergeCell ref="T35:W35"/>
    <mergeCell ref="Y35:AB35"/>
    <mergeCell ref="N29:N40"/>
    <mergeCell ref="S29:S40"/>
    <mergeCell ref="X29:X40"/>
    <mergeCell ref="AC29:AC40"/>
    <mergeCell ref="Y31:AB31"/>
    <mergeCell ref="AD34:AG34"/>
    <mergeCell ref="Y36:AA36"/>
    <mergeCell ref="J24:L24"/>
    <mergeCell ref="O24:Q24"/>
    <mergeCell ref="T24:V24"/>
    <mergeCell ref="Y24:AA24"/>
    <mergeCell ref="AD24:AF24"/>
    <mergeCell ref="J25:L25"/>
    <mergeCell ref="E28:AG28"/>
    <mergeCell ref="J35:M35"/>
    <mergeCell ref="O35:R35"/>
    <mergeCell ref="O36:Q36"/>
    <mergeCell ref="T36:V36"/>
    <mergeCell ref="AD35:AG35"/>
    <mergeCell ref="AD36:AF36"/>
    <mergeCell ref="AD49:AF49"/>
    <mergeCell ref="O37:Q37"/>
    <mergeCell ref="T37:V37"/>
    <mergeCell ref="O49:Q49"/>
    <mergeCell ref="T49:V49"/>
    <mergeCell ref="Y49:AA49"/>
    <mergeCell ref="E40:G40"/>
    <mergeCell ref="E42:G42"/>
    <mergeCell ref="O42:Q42"/>
    <mergeCell ref="T42:V42"/>
    <mergeCell ref="Y42:AA42"/>
    <mergeCell ref="AD42:AF42"/>
    <mergeCell ref="E24:G24"/>
    <mergeCell ref="C35:C37"/>
    <mergeCell ref="E35:H35"/>
    <mergeCell ref="E36:G36"/>
    <mergeCell ref="E37:G37"/>
    <mergeCell ref="E38:G38"/>
    <mergeCell ref="E39:G39"/>
    <mergeCell ref="E49:G49"/>
    <mergeCell ref="I29:I40"/>
    <mergeCell ref="J36:L36"/>
    <mergeCell ref="J37:L37"/>
    <mergeCell ref="J38:L38"/>
    <mergeCell ref="J39:L39"/>
    <mergeCell ref="J40:L40"/>
    <mergeCell ref="J42:L42"/>
    <mergeCell ref="E54:H54"/>
    <mergeCell ref="E55:H55"/>
    <mergeCell ref="J55:M55"/>
    <mergeCell ref="O55:R55"/>
    <mergeCell ref="T55:W55"/>
    <mergeCell ref="E56:H56"/>
    <mergeCell ref="J56:M56"/>
    <mergeCell ref="T56:W56"/>
    <mergeCell ref="C55:C56"/>
    <mergeCell ref="C57:C59"/>
    <mergeCell ref="C60:C62"/>
    <mergeCell ref="J59:M59"/>
    <mergeCell ref="O59:R59"/>
    <mergeCell ref="T59:W59"/>
    <mergeCell ref="T60:W60"/>
    <mergeCell ref="T61:V61"/>
    <mergeCell ref="T62:V62"/>
    <mergeCell ref="T63:V63"/>
    <mergeCell ref="T64:V64"/>
    <mergeCell ref="Y61:AA61"/>
    <mergeCell ref="Y62:AA62"/>
    <mergeCell ref="AD63:AF63"/>
    <mergeCell ref="AD64:AF64"/>
    <mergeCell ref="AD54:AG54"/>
    <mergeCell ref="AD55:AG55"/>
    <mergeCell ref="AD56:AG56"/>
    <mergeCell ref="AD59:AG59"/>
    <mergeCell ref="AD60:AG60"/>
    <mergeCell ref="AD61:AF61"/>
    <mergeCell ref="AD62:AF62"/>
    <mergeCell ref="Y37:AA37"/>
    <mergeCell ref="AD37:AF37"/>
    <mergeCell ref="O38:Q38"/>
    <mergeCell ref="T38:V38"/>
    <mergeCell ref="Y38:AA38"/>
    <mergeCell ref="AD38:AF38"/>
    <mergeCell ref="O39:Q39"/>
    <mergeCell ref="T39:V39"/>
    <mergeCell ref="Y39:AA39"/>
    <mergeCell ref="AD39:AF39"/>
    <mergeCell ref="O40:Q40"/>
    <mergeCell ref="T40:V40"/>
    <mergeCell ref="Y40:AA40"/>
    <mergeCell ref="AD40:AF40"/>
    <mergeCell ref="E53:AG53"/>
    <mergeCell ref="J54:M54"/>
    <mergeCell ref="O54:R54"/>
    <mergeCell ref="T54:W54"/>
    <mergeCell ref="Y54:AB54"/>
    <mergeCell ref="T85:W85"/>
    <mergeCell ref="O86:Q86"/>
    <mergeCell ref="T86:V86"/>
    <mergeCell ref="O87:Q87"/>
    <mergeCell ref="T87:V87"/>
    <mergeCell ref="O88:Q88"/>
    <mergeCell ref="T88:V88"/>
    <mergeCell ref="O89:Q89"/>
    <mergeCell ref="T89:V89"/>
    <mergeCell ref="O90:Q90"/>
    <mergeCell ref="T90:V90"/>
    <mergeCell ref="O92:Q92"/>
    <mergeCell ref="T92:V92"/>
    <mergeCell ref="O99:Q99"/>
    <mergeCell ref="T99:V99"/>
    <mergeCell ref="Y99:AA99"/>
    <mergeCell ref="O100:Q100"/>
    <mergeCell ref="O74:Q74"/>
    <mergeCell ref="T74:V74"/>
    <mergeCell ref="S79:S90"/>
    <mergeCell ref="X79:X90"/>
    <mergeCell ref="O80:R80"/>
    <mergeCell ref="O81:R81"/>
    <mergeCell ref="T84:W84"/>
    <mergeCell ref="K57:L57"/>
    <mergeCell ref="E59:H59"/>
    <mergeCell ref="E60:H60"/>
    <mergeCell ref="J60:M60"/>
    <mergeCell ref="O60:R60"/>
    <mergeCell ref="E61:G61"/>
    <mergeCell ref="J61:L61"/>
    <mergeCell ref="O61:Q61"/>
    <mergeCell ref="O62:Q62"/>
    <mergeCell ref="E63:G63"/>
    <mergeCell ref="J63:L63"/>
    <mergeCell ref="O63:Q63"/>
    <mergeCell ref="J49:L49"/>
    <mergeCell ref="J50:L50"/>
    <mergeCell ref="D54:D65"/>
    <mergeCell ref="I54:I65"/>
    <mergeCell ref="N54:N65"/>
    <mergeCell ref="S54:S65"/>
    <mergeCell ref="O56:R56"/>
    <mergeCell ref="J80:M80"/>
    <mergeCell ref="J81:M81"/>
    <mergeCell ref="O84:R84"/>
    <mergeCell ref="O85:R85"/>
    <mergeCell ref="E81:H81"/>
    <mergeCell ref="E84:H84"/>
    <mergeCell ref="E62:G62"/>
    <mergeCell ref="J62:L62"/>
    <mergeCell ref="I79:I90"/>
    <mergeCell ref="N79:N90"/>
    <mergeCell ref="C80:C81"/>
    <mergeCell ref="E80:H80"/>
    <mergeCell ref="E85:H85"/>
    <mergeCell ref="C82:C84"/>
    <mergeCell ref="C85:C87"/>
    <mergeCell ref="J84:M84"/>
    <mergeCell ref="J85:M85"/>
    <mergeCell ref="E86:G86"/>
    <mergeCell ref="J86:L86"/>
    <mergeCell ref="E87:G87"/>
    <mergeCell ref="J87:L87"/>
    <mergeCell ref="E88:G88"/>
    <mergeCell ref="J88:L88"/>
    <mergeCell ref="E89:G89"/>
    <mergeCell ref="J89:L89"/>
    <mergeCell ref="E90:G90"/>
    <mergeCell ref="J90:L90"/>
    <mergeCell ref="E92:G92"/>
    <mergeCell ref="J92:L92"/>
    <mergeCell ref="E99:G99"/>
    <mergeCell ref="J99:L99"/>
    <mergeCell ref="Y4:AB4"/>
    <mergeCell ref="AC4:AC15"/>
    <mergeCell ref="Y5:AB5"/>
    <mergeCell ref="Y6:AB6"/>
    <mergeCell ref="Y9:AB9"/>
    <mergeCell ref="Y10:AB10"/>
    <mergeCell ref="Y11:AA11"/>
    <mergeCell ref="Y12:AA12"/>
    <mergeCell ref="O10:R10"/>
    <mergeCell ref="T10:W10"/>
    <mergeCell ref="J11:L11"/>
    <mergeCell ref="O11:Q11"/>
    <mergeCell ref="AD10:AG10"/>
    <mergeCell ref="AD11:AF11"/>
    <mergeCell ref="J12:L12"/>
    <mergeCell ref="O12:Q12"/>
    <mergeCell ref="T12:V12"/>
    <mergeCell ref="AD12:AF12"/>
    <mergeCell ref="J13:L13"/>
    <mergeCell ref="O13:Q13"/>
    <mergeCell ref="O4:R4"/>
    <mergeCell ref="O5:R5"/>
    <mergeCell ref="O14:Q14"/>
    <mergeCell ref="T4:W4"/>
    <mergeCell ref="X4:X15"/>
    <mergeCell ref="T5:W5"/>
    <mergeCell ref="T6:W6"/>
    <mergeCell ref="T9:W9"/>
    <mergeCell ref="T13:V13"/>
    <mergeCell ref="T14:V14"/>
    <mergeCell ref="J5:M5"/>
    <mergeCell ref="J6:M6"/>
    <mergeCell ref="AD5:AG5"/>
    <mergeCell ref="AD6:AG6"/>
    <mergeCell ref="AD13:AF13"/>
    <mergeCell ref="J9:M9"/>
    <mergeCell ref="O9:R9"/>
    <mergeCell ref="J4:M4"/>
    <mergeCell ref="J10:M10"/>
    <mergeCell ref="J14:L14"/>
    <mergeCell ref="E10:H10"/>
    <mergeCell ref="E14:G14"/>
    <mergeCell ref="E4:H4"/>
    <mergeCell ref="C5:C6"/>
    <mergeCell ref="E5:H5"/>
    <mergeCell ref="E6:H6"/>
    <mergeCell ref="C7:C9"/>
    <mergeCell ref="E9:H9"/>
    <mergeCell ref="C10:C12"/>
    <mergeCell ref="Y13:AA13"/>
    <mergeCell ref="Y14:AA14"/>
    <mergeCell ref="E3:AG3"/>
    <mergeCell ref="N4:N15"/>
    <mergeCell ref="S4:S15"/>
    <mergeCell ref="AD4:AG4"/>
    <mergeCell ref="O6:R6"/>
    <mergeCell ref="AD9:AG9"/>
    <mergeCell ref="T11:V11"/>
    <mergeCell ref="T17:V17"/>
    <mergeCell ref="Y17:AA17"/>
    <mergeCell ref="AD14:AF14"/>
    <mergeCell ref="J15:L15"/>
    <mergeCell ref="O15:Q15"/>
    <mergeCell ref="T15:V15"/>
    <mergeCell ref="Y15:AA15"/>
    <mergeCell ref="AD15:AF15"/>
    <mergeCell ref="O17:Q17"/>
    <mergeCell ref="AD17:AF17"/>
    <mergeCell ref="I4:I15"/>
    <mergeCell ref="E11:G11"/>
    <mergeCell ref="E12:G12"/>
    <mergeCell ref="E13:G13"/>
    <mergeCell ref="E15:G15"/>
    <mergeCell ref="E17:G17"/>
    <mergeCell ref="J17:L17"/>
    <mergeCell ref="J29:M29"/>
    <mergeCell ref="O29:R29"/>
    <mergeCell ref="T29:W29"/>
    <mergeCell ref="Y29:AB29"/>
    <mergeCell ref="AD29:AG29"/>
    <mergeCell ref="E29:H29"/>
    <mergeCell ref="E30:H30"/>
    <mergeCell ref="J30:M30"/>
    <mergeCell ref="O30:R30"/>
    <mergeCell ref="T30:W30"/>
    <mergeCell ref="Y30:AB30"/>
    <mergeCell ref="AD30:AG30"/>
    <mergeCell ref="E31:H31"/>
    <mergeCell ref="J31:M31"/>
    <mergeCell ref="O31:R31"/>
    <mergeCell ref="T31:W31"/>
    <mergeCell ref="AD31:AG31"/>
    <mergeCell ref="C30:C31"/>
    <mergeCell ref="C32:C34"/>
    <mergeCell ref="F32:G32"/>
    <mergeCell ref="E34:H34"/>
    <mergeCell ref="J34:M34"/>
    <mergeCell ref="O34:R34"/>
    <mergeCell ref="T34:W34"/>
    <mergeCell ref="Y34:AB34"/>
    <mergeCell ref="O64:Q64"/>
    <mergeCell ref="E65:G65"/>
    <mergeCell ref="J65:L65"/>
    <mergeCell ref="O65:Q65"/>
    <mergeCell ref="E64:G64"/>
    <mergeCell ref="J64:L64"/>
    <mergeCell ref="E67:G67"/>
    <mergeCell ref="J67:L67"/>
    <mergeCell ref="O67:Q67"/>
    <mergeCell ref="E74:G74"/>
    <mergeCell ref="J74:L74"/>
    <mergeCell ref="AD79:AG79"/>
    <mergeCell ref="AD80:AG80"/>
    <mergeCell ref="AD81:AG81"/>
    <mergeCell ref="E75:G75"/>
    <mergeCell ref="E78:AG78"/>
    <mergeCell ref="E79:H79"/>
    <mergeCell ref="J79:M79"/>
    <mergeCell ref="O79:R79"/>
    <mergeCell ref="T79:W79"/>
    <mergeCell ref="Y79:AB79"/>
    <mergeCell ref="AD86:AF86"/>
    <mergeCell ref="Y87:AA87"/>
    <mergeCell ref="AD87:AF87"/>
    <mergeCell ref="Y92:AA92"/>
    <mergeCell ref="AD92:AF92"/>
    <mergeCell ref="AD99:AF99"/>
    <mergeCell ref="Y74:AA74"/>
    <mergeCell ref="AD74:AF74"/>
    <mergeCell ref="AC79:AC90"/>
    <mergeCell ref="T80:W80"/>
    <mergeCell ref="Y80:AB80"/>
    <mergeCell ref="T81:W81"/>
    <mergeCell ref="Y81:AB81"/>
    <mergeCell ref="Y63:AA63"/>
    <mergeCell ref="Y64:AA64"/>
    <mergeCell ref="T65:V65"/>
    <mergeCell ref="Y65:AA65"/>
    <mergeCell ref="AD65:AF65"/>
    <mergeCell ref="T67:V67"/>
    <mergeCell ref="Y67:AA67"/>
    <mergeCell ref="AD67:AF67"/>
    <mergeCell ref="X54:X65"/>
    <mergeCell ref="AC54:AC65"/>
    <mergeCell ref="Y55:AB55"/>
    <mergeCell ref="Y56:AB56"/>
    <mergeCell ref="Z57:AA57"/>
    <mergeCell ref="Y59:AB59"/>
    <mergeCell ref="Y60:AB60"/>
    <mergeCell ref="Y84:AB84"/>
    <mergeCell ref="AD84:AG84"/>
    <mergeCell ref="AD85:AG85"/>
    <mergeCell ref="Y85:AB85"/>
    <mergeCell ref="Y86:AA86"/>
    <mergeCell ref="Y88:AA88"/>
    <mergeCell ref="AD88:AF88"/>
    <mergeCell ref="Y89:AA89"/>
    <mergeCell ref="AD89:AF89"/>
    <mergeCell ref="Y90:AA90"/>
    <mergeCell ref="AD90:AF90"/>
  </mergeCells>
  <conditionalFormatting sqref="H24 M24:M25 R24 W24 AB24 AG24 H49 M49:M50 R49 W49 AB49 AG49 H74:H75 M74 R74 W74 AB74 AG74 H99 M99 R99:R100 W99 AB99 AG99">
    <cfRule type="cellIs" dxfId="0" priority="1" operator="between">
      <formula>1</formula>
      <formula>95</formula>
    </cfRule>
  </conditionalFormatting>
  <conditionalFormatting sqref="H24 M24:M25 R24 W24 AB24 AG24 H49 M49:M50 R49 W49 AB49 AG49 H74:H75 M74 R74 W74 AB74 AG74 H99 M99 R99:R100 W99 AB99 AG99">
    <cfRule type="cellIs" dxfId="1" priority="2" operator="between">
      <formula>96</formula>
      <formula>195</formula>
    </cfRule>
  </conditionalFormatting>
  <conditionalFormatting sqref="H24 M24:M25 R24 W24 AB24 AG24 H49 M49:M50 R49 W49 AB49 AG49 H74:H75 M74 R74 W74 AB74 AG74 H99 M99 R99:R100 W99 AB99 AG99">
    <cfRule type="cellIs" dxfId="2" priority="3" operator="between">
      <formula>196</formula>
      <formula>260</formula>
    </cfRule>
  </conditionalFormatting>
  <conditionalFormatting sqref="H24 M24:M25 R24 W24 AB24 AG24 H49 M49:M50 R49 W49 AB49 AG49 H74:H75 M74 R74 W74 AB74 AG74 H99 M99 R99:R100 W99 AB99 AG99">
    <cfRule type="cellIs" dxfId="3" priority="4" operator="between">
      <formula>261</formula>
      <formula>299</formula>
    </cfRule>
  </conditionalFormatting>
  <conditionalFormatting sqref="H24 M24:M25 R24 W24 AB24 AG24 H49 M49:M50 R49 W49 AB49 AG49 H74:H75 M74 R74 W74 AB74 AG74 H99 M99 R99:R100 W99 AB99 AG99">
    <cfRule type="cellIs" dxfId="4" priority="5" operator="between">
      <formula>300</formula>
      <formula>350</formula>
    </cfRule>
  </conditionalFormatting>
  <conditionalFormatting sqref="H24 M24:M25 R24 W24 AB24 AG24 H49 M49:M50 R49 W49 AB49 AG49 H74:H75 M74 R74 W74 AB74 AG74 H99 M99 R99:R100 W99 AB99 AG99">
    <cfRule type="cellIs" dxfId="5" priority="6" operator="between">
      <formula>351</formula>
      <formula>450</formula>
    </cfRule>
  </conditionalFormatting>
  <conditionalFormatting sqref="H24 M24:M25 R24 W24 AB24 AG24 H49 M49:M50 R49 W49 AB49 AG49 H74:H75 M74 R74 W74 AB74 AG74 H99 M99 R99:R100 W99 AB99 AG99">
    <cfRule type="cellIs" dxfId="6" priority="7" operator="between">
      <formula>451</formula>
      <formula>1000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4900"/>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1446"/>
      <c r="B1" s="1447"/>
      <c r="C1" s="1448"/>
      <c r="D1" s="1447"/>
      <c r="E1" s="1447"/>
      <c r="F1" s="1447"/>
      <c r="G1" s="1447"/>
      <c r="H1" s="1447"/>
      <c r="I1" s="1447"/>
      <c r="J1" s="1447"/>
      <c r="K1" s="1447"/>
      <c r="L1" s="1447"/>
      <c r="M1" s="1447"/>
      <c r="N1" s="1447"/>
      <c r="O1" s="1447"/>
      <c r="P1" s="1447"/>
      <c r="Q1" s="1447"/>
      <c r="R1" s="1447"/>
      <c r="S1" s="1447"/>
      <c r="T1" s="1447"/>
      <c r="U1" s="1447"/>
      <c r="V1" s="1447"/>
      <c r="W1" s="1447"/>
      <c r="X1" s="1447"/>
      <c r="Y1" s="1447"/>
      <c r="Z1" s="1447"/>
      <c r="AA1" s="1447"/>
      <c r="AB1" s="1447"/>
      <c r="AC1" s="1447"/>
      <c r="AD1" s="1447"/>
      <c r="AE1" s="1447"/>
      <c r="AF1" s="1447"/>
      <c r="AG1" s="1447"/>
      <c r="AH1" s="1447"/>
      <c r="AI1" s="1449"/>
    </row>
    <row r="2" ht="7.5" customHeight="1">
      <c r="A2" s="1450"/>
      <c r="B2" s="1451"/>
      <c r="C2" s="1452"/>
      <c r="D2" s="1453"/>
      <c r="E2" s="1454"/>
      <c r="F2" s="1454"/>
      <c r="G2" s="1454"/>
      <c r="H2" s="1454"/>
      <c r="I2" s="1453"/>
      <c r="J2" s="1454"/>
      <c r="K2" s="1454"/>
      <c r="L2" s="1454"/>
      <c r="M2" s="1454"/>
      <c r="N2" s="1453"/>
      <c r="O2" s="1454"/>
      <c r="P2" s="1454"/>
      <c r="Q2" s="1454"/>
      <c r="R2" s="1454"/>
      <c r="S2" s="1453"/>
      <c r="T2" s="1453"/>
      <c r="U2" s="1453"/>
      <c r="V2" s="1453"/>
      <c r="W2" s="1453"/>
      <c r="X2" s="1453"/>
      <c r="Y2" s="1453"/>
      <c r="Z2" s="1453"/>
      <c r="AA2" s="1453"/>
      <c r="AB2" s="1453"/>
      <c r="AC2" s="1453"/>
      <c r="AD2" s="1453"/>
      <c r="AE2" s="1453"/>
      <c r="AF2" s="1453"/>
      <c r="AG2" s="1453"/>
      <c r="AH2" s="1455"/>
      <c r="AI2" s="1456"/>
    </row>
    <row r="3" ht="96.75" customHeight="1">
      <c r="A3" s="1457"/>
      <c r="B3" s="1458"/>
      <c r="C3" s="1459" t="str">
        <f>IMAGE("https://i.ibb.co/gMdPsRL/Falkner.png")</f>
        <v/>
      </c>
      <c r="D3" s="1460"/>
      <c r="E3" s="1461" t="str">
        <f t="array" ref="E3">IFERROR(VLOOKUP(E4,Dex!$B$3:$G244,3,FALSE),"")</f>
        <v/>
      </c>
      <c r="F3" s="302"/>
      <c r="G3" s="302"/>
      <c r="H3" s="303"/>
      <c r="I3" s="1460"/>
      <c r="J3" s="1461" t="str">
        <f t="array" ref="J3">IFERROR(VLOOKUP(J4,Dex!$B$3:$G244,3,FALSE),"")</f>
        <v/>
      </c>
      <c r="K3" s="302"/>
      <c r="L3" s="302"/>
      <c r="M3" s="303"/>
      <c r="N3" s="1460"/>
      <c r="O3" s="1461" t="str">
        <f t="array" ref="O3">IFERROR(VLOOKUP(O4,Dex!$B$3:$G244,3,FALSE),"")</f>
        <v/>
      </c>
      <c r="P3" s="302"/>
      <c r="Q3" s="302"/>
      <c r="R3" s="303"/>
      <c r="S3" s="1462"/>
      <c r="T3" s="1463"/>
      <c r="U3" s="1464"/>
      <c r="V3" s="1464"/>
      <c r="W3" s="1465"/>
      <c r="X3" s="1466"/>
      <c r="Y3" s="1463"/>
      <c r="Z3" s="1464"/>
      <c r="AA3" s="1464"/>
      <c r="AB3" s="1465"/>
      <c r="AC3" s="1466"/>
      <c r="AD3" s="1463"/>
      <c r="AE3" s="1464"/>
      <c r="AF3" s="1464"/>
      <c r="AG3" s="1465"/>
      <c r="AH3" s="1467"/>
      <c r="AI3" s="1456"/>
    </row>
    <row r="4" ht="18.75" customHeight="1">
      <c r="A4" s="1468"/>
      <c r="B4" s="1469"/>
      <c r="C4" s="1470" t="s">
        <v>498</v>
      </c>
      <c r="D4" s="1471"/>
      <c r="E4" s="1472" t="s">
        <v>499</v>
      </c>
      <c r="F4" s="1473"/>
      <c r="G4" s="1473"/>
      <c r="H4" s="1474"/>
      <c r="I4" s="1471"/>
      <c r="J4" s="1472" t="s">
        <v>500</v>
      </c>
      <c r="K4" s="1473"/>
      <c r="L4" s="1473"/>
      <c r="M4" s="1474"/>
      <c r="N4" s="1471"/>
      <c r="O4" s="1472" t="s">
        <v>501</v>
      </c>
      <c r="P4" s="1473"/>
      <c r="Q4" s="1473"/>
      <c r="R4" s="1474"/>
      <c r="S4" s="1475"/>
      <c r="T4" s="1476"/>
      <c r="U4" s="1464"/>
      <c r="V4" s="1464"/>
      <c r="W4" s="1465"/>
      <c r="X4" s="1477"/>
      <c r="Y4" s="1476"/>
      <c r="Z4" s="1464"/>
      <c r="AA4" s="1464"/>
      <c r="AB4" s="1465"/>
      <c r="AC4" s="1477"/>
      <c r="AD4" s="1476"/>
      <c r="AE4" s="1464"/>
      <c r="AF4" s="1464"/>
      <c r="AG4" s="1465"/>
      <c r="AH4" s="1478"/>
      <c r="AI4" s="1479"/>
    </row>
    <row r="5">
      <c r="A5" s="1468"/>
      <c r="B5" s="1480"/>
      <c r="C5" s="1481"/>
      <c r="D5" s="1482"/>
      <c r="E5" s="1483">
        <v>12.0</v>
      </c>
      <c r="F5" s="1464"/>
      <c r="G5" s="1464"/>
      <c r="H5" s="1484"/>
      <c r="I5" s="1471"/>
      <c r="J5" s="1483">
        <v>14.0</v>
      </c>
      <c r="K5" s="1464"/>
      <c r="L5" s="1464"/>
      <c r="M5" s="1484"/>
      <c r="N5" s="1471"/>
      <c r="O5" s="1483">
        <v>14.0</v>
      </c>
      <c r="P5" s="1464"/>
      <c r="Q5" s="1464"/>
      <c r="R5" s="1484"/>
      <c r="S5" s="1475"/>
      <c r="T5" s="1485"/>
      <c r="U5" s="1464"/>
      <c r="V5" s="1464"/>
      <c r="W5" s="1465"/>
      <c r="X5" s="1477"/>
      <c r="Y5" s="1485"/>
      <c r="Z5" s="1464"/>
      <c r="AA5" s="1464"/>
      <c r="AB5" s="1465"/>
      <c r="AC5" s="1477"/>
      <c r="AD5" s="1485"/>
      <c r="AE5" s="1464"/>
      <c r="AF5" s="1464"/>
      <c r="AG5" s="1465"/>
      <c r="AH5" s="1486"/>
      <c r="AI5" s="1487"/>
    </row>
    <row r="6" ht="25.5" customHeight="1">
      <c r="A6" s="1468"/>
      <c r="B6" s="1488"/>
      <c r="C6" s="1489"/>
      <c r="D6" s="1490"/>
      <c r="E6" s="1491"/>
      <c r="F6" s="1492" t="str">
        <f t="array" ref="F6">IFERROR(VLOOKUP(E4,Dex!$B$3:$H244,5,FALSE),"")</f>
        <v/>
      </c>
      <c r="G6" s="1493" t="str">
        <f t="array" ref="G6">IFERROR(VLOOKUP(E4,Dex!$B$3:$H244,7,FALSE),"")</f>
        <v/>
      </c>
      <c r="H6" s="1494"/>
      <c r="I6" s="1476"/>
      <c r="J6" s="1495"/>
      <c r="K6" s="1492" t="str">
        <f t="array" ref="K6">IFERROR(VLOOKUP(J4,Dex!$B$3:$H244,5,FALSE),"")</f>
        <v/>
      </c>
      <c r="L6" s="1493" t="str">
        <f t="array" ref="L6">IFERROR(VLOOKUP(J4,Dex!$B$3:$H244,7,FALSE),"")</f>
        <v/>
      </c>
      <c r="M6" s="1496"/>
      <c r="N6" s="1476"/>
      <c r="O6" s="1497"/>
      <c r="P6" s="1498" t="str">
        <f t="array" ref="P6">IFERROR(VLOOKUP(O4,Dex!$B$3:$H244,5,FALSE),"")</f>
        <v/>
      </c>
      <c r="Q6" s="1465"/>
      <c r="R6" s="1499"/>
      <c r="S6" s="1475"/>
      <c r="T6" s="1463"/>
      <c r="U6" s="1464"/>
      <c r="V6" s="1464"/>
      <c r="W6" s="1465"/>
      <c r="X6" s="1477"/>
      <c r="Y6" s="1463"/>
      <c r="Z6" s="1464"/>
      <c r="AA6" s="1464"/>
      <c r="AB6" s="1465"/>
      <c r="AC6" s="1477"/>
      <c r="AD6" s="1463"/>
      <c r="AE6" s="1464"/>
      <c r="AF6" s="1464"/>
      <c r="AG6" s="1465"/>
      <c r="AH6" s="1467"/>
      <c r="AI6" s="1456"/>
    </row>
    <row r="7" ht="2.25" customHeight="1">
      <c r="A7" s="1500"/>
      <c r="B7" s="1488"/>
      <c r="C7" s="1501"/>
      <c r="D7" s="1463"/>
      <c r="E7" s="1502"/>
      <c r="F7" s="1503"/>
      <c r="G7" s="1503"/>
      <c r="H7" s="1504"/>
      <c r="I7" s="1476"/>
      <c r="J7" s="1505"/>
      <c r="K7" s="1506"/>
      <c r="L7" s="1506"/>
      <c r="M7" s="1507"/>
      <c r="N7" s="1476"/>
      <c r="O7" s="1505"/>
      <c r="P7" s="1503"/>
      <c r="Q7" s="1503"/>
      <c r="R7" s="1507"/>
      <c r="S7" s="1475"/>
      <c r="T7" s="1508"/>
      <c r="U7" s="1508"/>
      <c r="V7" s="1508"/>
      <c r="W7" s="1508"/>
      <c r="X7" s="1477"/>
      <c r="Y7" s="1508"/>
      <c r="Z7" s="1508"/>
      <c r="AA7" s="1508"/>
      <c r="AB7" s="1508"/>
      <c r="AC7" s="1477"/>
      <c r="AD7" s="1508"/>
      <c r="AE7" s="1508"/>
      <c r="AF7" s="1508"/>
      <c r="AG7" s="1508"/>
      <c r="AH7" s="1467"/>
      <c r="AI7" s="1456"/>
    </row>
    <row r="8" ht="20.25" customHeight="1">
      <c r="A8" s="1468"/>
      <c r="B8" s="1488"/>
      <c r="C8" s="1509"/>
      <c r="D8" s="1463"/>
      <c r="E8" s="1510" t="s">
        <v>172</v>
      </c>
      <c r="F8" s="1511"/>
      <c r="G8" s="1511"/>
      <c r="H8" s="1512"/>
      <c r="I8" s="1476"/>
      <c r="J8" s="1510" t="s">
        <v>205</v>
      </c>
      <c r="K8" s="1511"/>
      <c r="L8" s="1511"/>
      <c r="M8" s="1512"/>
      <c r="N8" s="1476"/>
      <c r="O8" s="1510" t="s">
        <v>206</v>
      </c>
      <c r="P8" s="1511"/>
      <c r="Q8" s="1511"/>
      <c r="R8" s="1512"/>
      <c r="S8" s="1475"/>
      <c r="T8" s="1463"/>
      <c r="U8" s="1464"/>
      <c r="V8" s="1464"/>
      <c r="W8" s="1465"/>
      <c r="X8" s="1477"/>
      <c r="Y8" s="1463"/>
      <c r="Z8" s="1464"/>
      <c r="AA8" s="1464"/>
      <c r="AB8" s="1465"/>
      <c r="AC8" s="1477"/>
      <c r="AD8" s="1463"/>
      <c r="AE8" s="1464"/>
      <c r="AF8" s="1464"/>
      <c r="AG8" s="1465"/>
      <c r="AH8" s="1467"/>
      <c r="AI8" s="1456"/>
    </row>
    <row r="9" ht="20.25" customHeight="1">
      <c r="A9" s="1468"/>
      <c r="B9" s="1488"/>
      <c r="C9" s="1513"/>
      <c r="D9" s="1463"/>
      <c r="E9" s="1514" t="s">
        <v>485</v>
      </c>
      <c r="F9" s="1464"/>
      <c r="G9" s="1464"/>
      <c r="H9" s="1484"/>
      <c r="I9" s="1476"/>
      <c r="J9" s="1514" t="s">
        <v>502</v>
      </c>
      <c r="K9" s="1464"/>
      <c r="L9" s="1464"/>
      <c r="M9" s="1484"/>
      <c r="N9" s="1476"/>
      <c r="O9" s="1514" t="s">
        <v>503</v>
      </c>
      <c r="P9" s="1464"/>
      <c r="Q9" s="1464"/>
      <c r="R9" s="1484"/>
      <c r="S9" s="1475"/>
      <c r="T9" s="1463"/>
      <c r="U9" s="1464"/>
      <c r="V9" s="1464"/>
      <c r="W9" s="1465"/>
      <c r="X9" s="1477"/>
      <c r="Y9" s="1463"/>
      <c r="Z9" s="1464"/>
      <c r="AA9" s="1464"/>
      <c r="AB9" s="1465"/>
      <c r="AC9" s="1477"/>
      <c r="AD9" s="1463"/>
      <c r="AE9" s="1464"/>
      <c r="AF9" s="1464"/>
      <c r="AG9" s="1465"/>
      <c r="AH9" s="1467"/>
      <c r="AI9" s="1456"/>
    </row>
    <row r="10" ht="20.25" customHeight="1">
      <c r="A10" s="1468"/>
      <c r="B10" s="1488"/>
      <c r="C10" s="1477"/>
      <c r="D10" s="1463"/>
      <c r="E10" s="1515" t="s">
        <v>178</v>
      </c>
      <c r="F10" s="1516"/>
      <c r="G10" s="1517"/>
      <c r="H10" s="1518" t="str">
        <f>IMAGE("https://raw.githubusercontent.com/msikma/pokesprite/master/items/medicine/berry-juice.png",3)</f>
        <v/>
      </c>
      <c r="I10" s="1476"/>
      <c r="J10" s="1515" t="s">
        <v>178</v>
      </c>
      <c r="K10" s="1516"/>
      <c r="L10" s="1517"/>
      <c r="M10" s="1518" t="str">
        <f>IMAGE("https://raw.githubusercontent.com/msikma/pokesprite/master/items/medicine/berry-juice.png",3)</f>
        <v/>
      </c>
      <c r="N10" s="1476"/>
      <c r="O10" s="1515" t="s">
        <v>211</v>
      </c>
      <c r="P10" s="1516"/>
      <c r="Q10" s="1517"/>
      <c r="R10" s="1518" t="str">
        <f>IMAGE("https://raw.githubusercontent.com/msikma/pokesprite/master/items/hold-item/eviolite.png",3)</f>
        <v/>
      </c>
      <c r="S10" s="1475"/>
      <c r="T10" s="1463"/>
      <c r="U10" s="1464"/>
      <c r="V10" s="1464"/>
      <c r="W10" s="1465"/>
      <c r="X10" s="1477"/>
      <c r="Y10" s="1463"/>
      <c r="Z10" s="1464"/>
      <c r="AA10" s="1464"/>
      <c r="AB10" s="1465"/>
      <c r="AC10" s="1477"/>
      <c r="AD10" s="1463"/>
      <c r="AE10" s="1464"/>
      <c r="AF10" s="1464"/>
      <c r="AG10" s="1465"/>
      <c r="AH10" s="1467"/>
      <c r="AI10" s="1456"/>
    </row>
    <row r="11" ht="20.25" customHeight="1">
      <c r="A11" s="1468"/>
      <c r="B11" s="1488"/>
      <c r="C11" s="1519"/>
      <c r="D11" s="1463"/>
      <c r="E11" s="1510" t="s">
        <v>504</v>
      </c>
      <c r="F11" s="1511"/>
      <c r="G11" s="1511"/>
      <c r="H11" s="1520" t="str">
        <f>IMAGE("https://raw.githubusercontent.com/msikma/pokesprite/master/misc/types/gen8/flying.png",4,20,20)</f>
        <v/>
      </c>
      <c r="I11" s="1476"/>
      <c r="J11" s="1510" t="s">
        <v>505</v>
      </c>
      <c r="K11" s="1511"/>
      <c r="L11" s="1511"/>
      <c r="M11" s="1520" t="str">
        <f>IMAGE("https://raw.githubusercontent.com/msikma/pokesprite/master/misc/types/gen8/electric.png",4,20,20)</f>
        <v/>
      </c>
      <c r="N11" s="1476"/>
      <c r="O11" s="1510" t="s">
        <v>506</v>
      </c>
      <c r="P11" s="1511"/>
      <c r="Q11" s="1511"/>
      <c r="R11" s="1520" t="str">
        <f>IMAGE("https://raw.githubusercontent.com/msikma/pokesprite/master/misc/types/gen8/fairy.png",4,20,20)</f>
        <v/>
      </c>
      <c r="S11" s="1475"/>
      <c r="T11" s="1463"/>
      <c r="U11" s="1464"/>
      <c r="V11" s="1464"/>
      <c r="W11" s="1465"/>
      <c r="X11" s="1477"/>
      <c r="Y11" s="1463"/>
      <c r="Z11" s="1464"/>
      <c r="AA11" s="1464"/>
      <c r="AB11" s="1465"/>
      <c r="AC11" s="1477"/>
      <c r="AD11" s="1463"/>
      <c r="AE11" s="1464"/>
      <c r="AF11" s="1464"/>
      <c r="AG11" s="1465"/>
      <c r="AH11" s="1467"/>
      <c r="AI11" s="1456"/>
    </row>
    <row r="12" ht="20.25" customHeight="1">
      <c r="A12" s="1468"/>
      <c r="B12" s="1488"/>
      <c r="C12" s="1509"/>
      <c r="D12" s="1463"/>
      <c r="E12" s="1514" t="s">
        <v>181</v>
      </c>
      <c r="F12" s="1464"/>
      <c r="G12" s="1464"/>
      <c r="H12" s="1521" t="str">
        <f>IMAGE("https://raw.githubusercontent.com/msikma/pokesprite/master/misc/types/gen8/rock.png",4,20,20)</f>
        <v/>
      </c>
      <c r="I12" s="1476"/>
      <c r="J12" s="1514" t="s">
        <v>374</v>
      </c>
      <c r="K12" s="1464"/>
      <c r="L12" s="1464"/>
      <c r="M12" s="1521" t="str">
        <f>IMAGE("https://raw.githubusercontent.com/msikma/pokesprite/master/misc/types/gen8/flying.png",4,20,20)</f>
        <v/>
      </c>
      <c r="N12" s="1476"/>
      <c r="O12" s="1514" t="s">
        <v>251</v>
      </c>
      <c r="P12" s="1464"/>
      <c r="Q12" s="1464"/>
      <c r="R12" s="1521" t="str">
        <f>IMAGE("https://raw.githubusercontent.com/msikma/pokesprite/master/misc/types/gen8/flying.png",4,20,20)</f>
        <v/>
      </c>
      <c r="S12" s="1475"/>
      <c r="T12" s="1463"/>
      <c r="U12" s="1464"/>
      <c r="V12" s="1464"/>
      <c r="W12" s="1465"/>
      <c r="X12" s="1477"/>
      <c r="Y12" s="1463"/>
      <c r="Z12" s="1464"/>
      <c r="AA12" s="1464"/>
      <c r="AB12" s="1465"/>
      <c r="AC12" s="1477"/>
      <c r="AD12" s="1463"/>
      <c r="AE12" s="1464"/>
      <c r="AF12" s="1464"/>
      <c r="AG12" s="1465"/>
      <c r="AH12" s="1467"/>
      <c r="AI12" s="1456"/>
    </row>
    <row r="13" ht="20.25" customHeight="1">
      <c r="A13" s="1468"/>
      <c r="B13" s="1488"/>
      <c r="C13" s="1509"/>
      <c r="D13" s="1463"/>
      <c r="E13" s="1514" t="s">
        <v>507</v>
      </c>
      <c r="F13" s="1464"/>
      <c r="G13" s="1464"/>
      <c r="H13" s="1521" t="str">
        <f>IMAGE("https://raw.githubusercontent.com/msikma/pokesprite/master/misc/types/gen8/fighting.png",4,20,20)</f>
        <v/>
      </c>
      <c r="I13" s="1476"/>
      <c r="J13" s="1514" t="s">
        <v>185</v>
      </c>
      <c r="K13" s="1464"/>
      <c r="L13" s="1464"/>
      <c r="M13" s="1521" t="str">
        <f>IMAGE("https://raw.githubusercontent.com/msikma/pokesprite/master/misc/types/gen8/normal.png",4,20,20)</f>
        <v/>
      </c>
      <c r="N13" s="1476"/>
      <c r="O13" s="1514" t="s">
        <v>508</v>
      </c>
      <c r="P13" s="1464"/>
      <c r="Q13" s="1464"/>
      <c r="R13" s="1521" t="str">
        <f t="shared" ref="R13:R14" si="1">IMAGE("https://raw.githubusercontent.com/msikma/pokesprite/master/misc/types/gen8/psychic.png",4,20,20)</f>
        <v/>
      </c>
      <c r="S13" s="1475"/>
      <c r="T13" s="1463"/>
      <c r="U13" s="1464"/>
      <c r="V13" s="1464"/>
      <c r="W13" s="1465"/>
      <c r="X13" s="1477"/>
      <c r="Y13" s="1463"/>
      <c r="Z13" s="1464"/>
      <c r="AA13" s="1464"/>
      <c r="AB13" s="1465"/>
      <c r="AC13" s="1477"/>
      <c r="AD13" s="1463"/>
      <c r="AE13" s="1464"/>
      <c r="AF13" s="1464"/>
      <c r="AG13" s="1465"/>
      <c r="AH13" s="1467"/>
      <c r="AI13" s="1456"/>
    </row>
    <row r="14" ht="21.0" customHeight="1">
      <c r="A14" s="1468"/>
      <c r="B14" s="1488"/>
      <c r="C14" s="1509"/>
      <c r="D14" s="1463"/>
      <c r="E14" s="1522" t="s">
        <v>251</v>
      </c>
      <c r="F14" s="1523"/>
      <c r="G14" s="1523"/>
      <c r="H14" s="1524" t="str">
        <f>IMAGE("https://raw.githubusercontent.com/msikma/pokesprite/master/misc/types/gen8/flying.png",4,20,20)</f>
        <v/>
      </c>
      <c r="I14" s="1476"/>
      <c r="J14" s="1522" t="s">
        <v>251</v>
      </c>
      <c r="K14" s="1523"/>
      <c r="L14" s="1523"/>
      <c r="M14" s="1524" t="str">
        <f>IMAGE("https://raw.githubusercontent.com/msikma/pokesprite/master/misc/types/gen8/flying.png",4,20,20)</f>
        <v/>
      </c>
      <c r="N14" s="1476"/>
      <c r="O14" s="1522" t="s">
        <v>509</v>
      </c>
      <c r="P14" s="1523"/>
      <c r="Q14" s="1523"/>
      <c r="R14" s="1524" t="str">
        <f t="shared" si="1"/>
        <v/>
      </c>
      <c r="S14" s="1525"/>
      <c r="T14" s="1463"/>
      <c r="U14" s="1464"/>
      <c r="V14" s="1464"/>
      <c r="W14" s="1465"/>
      <c r="X14" s="1519"/>
      <c r="Y14" s="1463"/>
      <c r="Z14" s="1464"/>
      <c r="AA14" s="1464"/>
      <c r="AB14" s="1465"/>
      <c r="AC14" s="1519"/>
      <c r="AD14" s="1463"/>
      <c r="AE14" s="1464"/>
      <c r="AF14" s="1464"/>
      <c r="AG14" s="1465"/>
      <c r="AH14" s="1467"/>
      <c r="AI14" s="1456"/>
    </row>
    <row r="15" ht="3.0" customHeight="1">
      <c r="A15" s="1500"/>
      <c r="B15" s="1526"/>
      <c r="C15" s="1527"/>
      <c r="D15" s="1528"/>
      <c r="E15" s="1529"/>
      <c r="F15" s="1529"/>
      <c r="G15" s="1529"/>
      <c r="H15" s="1529"/>
      <c r="I15" s="1528"/>
      <c r="J15" s="1529"/>
      <c r="K15" s="1529"/>
      <c r="L15" s="1529"/>
      <c r="M15" s="1529"/>
      <c r="N15" s="1528"/>
      <c r="O15" s="1529"/>
      <c r="P15" s="1529"/>
      <c r="Q15" s="1529"/>
      <c r="R15" s="1529"/>
      <c r="S15" s="1528"/>
      <c r="T15" s="1528"/>
      <c r="U15" s="1528"/>
      <c r="V15" s="1528"/>
      <c r="W15" s="1528"/>
      <c r="X15" s="1528"/>
      <c r="Y15" s="1528"/>
      <c r="Z15" s="1530"/>
      <c r="AA15" s="1530"/>
      <c r="AB15" s="1531"/>
      <c r="AC15" s="1531"/>
      <c r="AD15" s="1531"/>
      <c r="AE15" s="1531"/>
      <c r="AF15" s="1531"/>
      <c r="AG15" s="1531"/>
      <c r="AH15" s="1532"/>
      <c r="AI15" s="1533"/>
    </row>
    <row r="16" ht="16.5" customHeight="1">
      <c r="A16" s="1468"/>
      <c r="B16" s="1534"/>
      <c r="C16" s="1527"/>
      <c r="D16" s="1535"/>
      <c r="E16" s="1536" t="s">
        <v>190</v>
      </c>
      <c r="F16" s="381"/>
      <c r="G16" s="382"/>
      <c r="H16" s="1537" t="s">
        <v>191</v>
      </c>
      <c r="I16" s="1535"/>
      <c r="J16" s="1536" t="s">
        <v>190</v>
      </c>
      <c r="K16" s="381"/>
      <c r="L16" s="382"/>
      <c r="M16" s="1537" t="s">
        <v>191</v>
      </c>
      <c r="N16" s="1535"/>
      <c r="O16" s="1536" t="s">
        <v>190</v>
      </c>
      <c r="P16" s="381"/>
      <c r="Q16" s="382"/>
      <c r="R16" s="1537" t="s">
        <v>191</v>
      </c>
      <c r="S16" s="1538"/>
      <c r="T16" s="1539"/>
      <c r="U16" s="1539"/>
      <c r="V16" s="1540"/>
      <c r="W16" s="1540"/>
      <c r="X16" s="1540"/>
      <c r="Y16" s="1540"/>
      <c r="Z16" s="1539"/>
      <c r="AA16" s="1539"/>
      <c r="AB16" s="1540"/>
      <c r="AC16" s="1540"/>
      <c r="AD16" s="1540"/>
      <c r="AE16" s="1540"/>
      <c r="AF16" s="1540"/>
      <c r="AG16" s="1540"/>
      <c r="AH16" s="1541"/>
      <c r="AI16" s="1542"/>
    </row>
    <row r="17" ht="15.75" customHeight="1">
      <c r="A17" s="1468"/>
      <c r="B17" s="1534"/>
      <c r="C17" s="1527"/>
      <c r="D17" s="1535"/>
      <c r="E17" s="1543" t="s">
        <v>192</v>
      </c>
      <c r="F17" s="1544">
        <f t="array" ref="F17">IFERROR(VLOOKUP(E4,Dex!$B$3:$N244,8,FALSE),"")</f>
        <v>70</v>
      </c>
      <c r="G17" s="1545" t="str">
        <f t="array" ref="G17">IFERROR(VLOOKUP(F17,Dex!$P$22:$Q$276,2,FALSE),"")</f>
        <v/>
      </c>
      <c r="H17" s="1546"/>
      <c r="I17" s="1535"/>
      <c r="J17" s="1543" t="s">
        <v>192</v>
      </c>
      <c r="K17" s="1544">
        <f t="array" ref="K17">IFERROR(VLOOKUP(J4,Dex!$B$3:$N244,8,FALSE),"")</f>
        <v>40</v>
      </c>
      <c r="L17" s="1545" t="str">
        <f t="array" ref="L17">IFERROR(VLOOKUP(K17,Dex!$P$22:$Q$276,2,FALSE),"")</f>
        <v/>
      </c>
      <c r="M17" s="1546"/>
      <c r="N17" s="1535"/>
      <c r="O17" s="1543" t="s">
        <v>192</v>
      </c>
      <c r="P17" s="1544">
        <f t="array" ref="P17">IFERROR(VLOOKUP(O4,Dex!$B$3:$N244,8,FALSE),"")</f>
        <v>30</v>
      </c>
      <c r="Q17" s="1545" t="str">
        <f t="array" ref="Q17">IFERROR(VLOOKUP(P17,Dex!$P$22:$Q$276,2,FALSE),"")</f>
        <v/>
      </c>
      <c r="R17" s="1546"/>
      <c r="S17" s="1538"/>
      <c r="T17" s="1539"/>
      <c r="U17" s="1539"/>
      <c r="V17" s="1540"/>
      <c r="W17" s="1540"/>
      <c r="X17" s="1540"/>
      <c r="Y17" s="1540"/>
      <c r="Z17" s="1539"/>
      <c r="AA17" s="1539"/>
      <c r="AB17" s="1540"/>
      <c r="AC17" s="1540"/>
      <c r="AD17" s="1540"/>
      <c r="AE17" s="1540"/>
      <c r="AF17" s="1540"/>
      <c r="AG17" s="1540"/>
      <c r="AH17" s="1541"/>
      <c r="AI17" s="1542"/>
    </row>
    <row r="18" ht="15.75" customHeight="1">
      <c r="A18" s="1468"/>
      <c r="B18" s="1534"/>
      <c r="C18" s="1527"/>
      <c r="D18" s="1535"/>
      <c r="E18" s="1547" t="s">
        <v>193</v>
      </c>
      <c r="F18" s="1548">
        <f t="array" ref="F18">IFERROR(VLOOKUP(E4,Dex!$B$3:$N244,9,FALSE),"")</f>
        <v>83</v>
      </c>
      <c r="G18" s="1549" t="str">
        <f t="array" ref="G18">IFERROR(VLOOKUP(F18,Dex!$P$22:$Q$276,2,FALSE),"")</f>
        <v/>
      </c>
      <c r="H18" s="1550"/>
      <c r="I18" s="1535"/>
      <c r="J18" s="1547" t="s">
        <v>193</v>
      </c>
      <c r="K18" s="1548">
        <f t="array" ref="K18">IFERROR(VLOOKUP(J4,Dex!$B$3:$N244,9,FALSE),"")</f>
        <v>40</v>
      </c>
      <c r="L18" s="1549" t="str">
        <f t="array" ref="L18">IFERROR(VLOOKUP(K18,Dex!$P$22:$Q$276,2,FALSE),"")</f>
        <v/>
      </c>
      <c r="M18" s="1550"/>
      <c r="N18" s="1535"/>
      <c r="O18" s="1547" t="s">
        <v>193</v>
      </c>
      <c r="P18" s="1548">
        <f t="array" ref="P18">IFERROR(VLOOKUP(O4,Dex!$B$3:$N244,9,FALSE),"")</f>
        <v>35</v>
      </c>
      <c r="Q18" s="1549" t="str">
        <f t="array" ref="Q18">IFERROR(VLOOKUP(P18,Dex!$P$22:$Q$276,2,FALSE),"")</f>
        <v/>
      </c>
      <c r="R18" s="1550"/>
      <c r="S18" s="1538"/>
      <c r="T18" s="1539"/>
      <c r="U18" s="1539"/>
      <c r="V18" s="1540"/>
      <c r="W18" s="1540"/>
      <c r="X18" s="1540"/>
      <c r="Y18" s="1540"/>
      <c r="Z18" s="1539"/>
      <c r="AA18" s="1539"/>
      <c r="AB18" s="1540"/>
      <c r="AC18" s="1540"/>
      <c r="AD18" s="1540"/>
      <c r="AE18" s="1540"/>
      <c r="AF18" s="1540"/>
      <c r="AG18" s="1540"/>
      <c r="AH18" s="1541"/>
      <c r="AI18" s="1542"/>
    </row>
    <row r="19" ht="15.75" customHeight="1">
      <c r="A19" s="1468"/>
      <c r="B19" s="1534"/>
      <c r="C19" s="1527"/>
      <c r="D19" s="1535"/>
      <c r="E19" s="1547" t="s">
        <v>194</v>
      </c>
      <c r="F19" s="1548">
        <f t="array" ref="F19">IFERROR(VLOOKUP(E4,Dex!$B$3:$N244,10,FALSE),"")</f>
        <v>50</v>
      </c>
      <c r="G19" s="1549" t="str">
        <f t="array" ref="G19">IFERROR(VLOOKUP(F19,Dex!$P$22:$Q$276,2,FALSE),"")</f>
        <v/>
      </c>
      <c r="H19" s="1550"/>
      <c r="I19" s="1535"/>
      <c r="J19" s="1547" t="s">
        <v>194</v>
      </c>
      <c r="K19" s="1548">
        <f t="array" ref="K19">IFERROR(VLOOKUP(J4,Dex!$B$3:$N244,10,FALSE),"")</f>
        <v>35</v>
      </c>
      <c r="L19" s="1549" t="str">
        <f t="array" ref="L19">IFERROR(VLOOKUP(K19,Dex!$P$22:$Q$276,2,FALSE),"")</f>
        <v/>
      </c>
      <c r="M19" s="1550"/>
      <c r="N19" s="1535"/>
      <c r="O19" s="1547" t="s">
        <v>194</v>
      </c>
      <c r="P19" s="1548">
        <f t="array" ref="P19">IFERROR(VLOOKUP(O4,Dex!$B$3:$N244,10,FALSE),"")</f>
        <v>30</v>
      </c>
      <c r="Q19" s="1549" t="str">
        <f t="array" ref="Q19">IFERROR(VLOOKUP(P19,Dex!$P$22:$Q$276,2,FALSE),"")</f>
        <v/>
      </c>
      <c r="R19" s="1550"/>
      <c r="S19" s="1538"/>
      <c r="T19" s="1539"/>
      <c r="U19" s="1539"/>
      <c r="V19" s="1540"/>
      <c r="W19" s="1540"/>
      <c r="X19" s="1540"/>
      <c r="Y19" s="1540"/>
      <c r="Z19" s="1539"/>
      <c r="AA19" s="1539"/>
      <c r="AB19" s="1540"/>
      <c r="AC19" s="1540"/>
      <c r="AD19" s="1540"/>
      <c r="AE19" s="1540"/>
      <c r="AF19" s="1540"/>
      <c r="AG19" s="1540"/>
      <c r="AH19" s="1541"/>
      <c r="AI19" s="1542"/>
    </row>
    <row r="20" ht="15.75" customHeight="1">
      <c r="A20" s="1468"/>
      <c r="B20" s="1534"/>
      <c r="C20" s="1527"/>
      <c r="D20" s="1535"/>
      <c r="E20" s="1547" t="s">
        <v>195</v>
      </c>
      <c r="F20" s="1548">
        <f t="array" ref="F20">IFERROR(VLOOKUP(E4,Dex!$B$3:$N244,11,FALSE),"")</f>
        <v>37</v>
      </c>
      <c r="G20" s="1549" t="str">
        <f t="array" ref="G20">IFERROR(VLOOKUP(F20,Dex!$P$22:$Q$276,2,FALSE),"")</f>
        <v/>
      </c>
      <c r="H20" s="1550"/>
      <c r="I20" s="1535"/>
      <c r="J20" s="1547" t="s">
        <v>195</v>
      </c>
      <c r="K20" s="1548">
        <f t="array" ref="K20">IFERROR(VLOOKUP(J4,Dex!$B$3:$N244,11,FALSE),"")</f>
        <v>55</v>
      </c>
      <c r="L20" s="1549" t="str">
        <f t="array" ref="L20">IFERROR(VLOOKUP(K20,Dex!$P$22:$Q$276,2,FALSE),"")</f>
        <v/>
      </c>
      <c r="M20" s="1550"/>
      <c r="N20" s="1535"/>
      <c r="O20" s="1547" t="s">
        <v>195</v>
      </c>
      <c r="P20" s="1548">
        <f t="array" ref="P20">IFERROR(VLOOKUP(O4,Dex!$B$3:$N244,11,FALSE),"")</f>
        <v>55</v>
      </c>
      <c r="Q20" s="1549" t="str">
        <f t="array" ref="Q20">IFERROR(VLOOKUP(P20,Dex!$P$22:$Q$276,2,FALSE),"")</f>
        <v/>
      </c>
      <c r="R20" s="1550"/>
      <c r="S20" s="1538"/>
      <c r="T20" s="1539"/>
      <c r="U20" s="1539"/>
      <c r="V20" s="1540"/>
      <c r="W20" s="1540"/>
      <c r="X20" s="1540"/>
      <c r="Y20" s="1540"/>
      <c r="Z20" s="1539"/>
      <c r="AA20" s="1539"/>
      <c r="AB20" s="1540"/>
      <c r="AC20" s="1540"/>
      <c r="AD20" s="1540"/>
      <c r="AE20" s="1540"/>
      <c r="AF20" s="1540"/>
      <c r="AG20" s="1540"/>
      <c r="AH20" s="1541"/>
      <c r="AI20" s="1542"/>
    </row>
    <row r="21" ht="15.75" customHeight="1">
      <c r="A21" s="1468"/>
      <c r="B21" s="1534"/>
      <c r="C21" s="1527"/>
      <c r="D21" s="1535"/>
      <c r="E21" s="1547" t="s">
        <v>196</v>
      </c>
      <c r="F21" s="1548">
        <f t="array" ref="F21">IFERROR(VLOOKUP(E4,Dex!$B$3:$N244,12,FALSE),"")</f>
        <v>50</v>
      </c>
      <c r="G21" s="1549" t="str">
        <f t="array" ref="G21">IFERROR(VLOOKUP(F21,Dex!$P$22:$Q$276,2,FALSE),"")</f>
        <v/>
      </c>
      <c r="H21" s="1550"/>
      <c r="I21" s="1535"/>
      <c r="J21" s="1547" t="s">
        <v>196</v>
      </c>
      <c r="K21" s="1548">
        <f t="array" ref="K21">IFERROR(VLOOKUP(J4,Dex!$B$3:$N244,12,FALSE),"")</f>
        <v>40</v>
      </c>
      <c r="L21" s="1549" t="str">
        <f t="array" ref="L21">IFERROR(VLOOKUP(K21,Dex!$P$22:$Q$276,2,FALSE),"")</f>
        <v/>
      </c>
      <c r="M21" s="1550"/>
      <c r="N21" s="1535"/>
      <c r="O21" s="1547" t="s">
        <v>196</v>
      </c>
      <c r="P21" s="1548">
        <f t="array" ref="P21">IFERROR(VLOOKUP(O4,Dex!$B$3:$N244,12,FALSE),"")</f>
        <v>30</v>
      </c>
      <c r="Q21" s="1549" t="str">
        <f t="array" ref="Q21">IFERROR(VLOOKUP(P21,Dex!$P$22:$Q$276,2,FALSE),"")</f>
        <v/>
      </c>
      <c r="R21" s="1550"/>
      <c r="S21" s="1538"/>
      <c r="T21" s="1539"/>
      <c r="U21" s="1539"/>
      <c r="V21" s="1540"/>
      <c r="W21" s="1540"/>
      <c r="X21" s="1540"/>
      <c r="Y21" s="1540"/>
      <c r="Z21" s="1539"/>
      <c r="AA21" s="1539"/>
      <c r="AB21" s="1540"/>
      <c r="AC21" s="1540"/>
      <c r="AD21" s="1540"/>
      <c r="AE21" s="1540"/>
      <c r="AF21" s="1540"/>
      <c r="AG21" s="1540"/>
      <c r="AH21" s="1541"/>
      <c r="AI21" s="1542"/>
    </row>
    <row r="22" ht="15.75" customHeight="1">
      <c r="A22" s="1468"/>
      <c r="B22" s="1534"/>
      <c r="C22" s="1527"/>
      <c r="D22" s="1535"/>
      <c r="E22" s="1551" t="s">
        <v>197</v>
      </c>
      <c r="F22" s="1552">
        <f t="array" ref="F22">IFERROR(VLOOKUP(E4,Dex!$B$3:$N244,13,FALSE),"")</f>
        <v>60</v>
      </c>
      <c r="G22" s="1553" t="str">
        <f t="array" ref="G22">IFERROR(VLOOKUP(F22,Dex!$P$22:$Q$276,2,FALSE),"")</f>
        <v/>
      </c>
      <c r="H22" s="1554"/>
      <c r="I22" s="1535"/>
      <c r="J22" s="1551" t="s">
        <v>197</v>
      </c>
      <c r="K22" s="1552">
        <f t="array" ref="K22">IFERROR(VLOOKUP(J4,Dex!$B$3:$N244,13,FALSE),"")</f>
        <v>70</v>
      </c>
      <c r="L22" s="1553" t="str">
        <f t="array" ref="L22">IFERROR(VLOOKUP(K22,Dex!$P$22:$Q$276,2,FALSE),"")</f>
        <v/>
      </c>
      <c r="M22" s="1554"/>
      <c r="N22" s="1535"/>
      <c r="O22" s="1551" t="s">
        <v>197</v>
      </c>
      <c r="P22" s="1552">
        <f t="array" ref="P22">IFERROR(VLOOKUP(O4,Dex!$B$3:$N244,13,FALSE),"")</f>
        <v>75</v>
      </c>
      <c r="Q22" s="1553" t="str">
        <f t="array" ref="Q22">IFERROR(VLOOKUP(P22,Dex!$P$22:$Q$276,2,FALSE),"")</f>
        <v/>
      </c>
      <c r="R22" s="1554"/>
      <c r="S22" s="1538"/>
      <c r="T22" s="1539"/>
      <c r="U22" s="1539"/>
      <c r="V22" s="1540"/>
      <c r="W22" s="1540"/>
      <c r="X22" s="1540"/>
      <c r="Y22" s="1540"/>
      <c r="Z22" s="1539"/>
      <c r="AA22" s="1539"/>
      <c r="AB22" s="1540"/>
      <c r="AC22" s="1540"/>
      <c r="AD22" s="1540"/>
      <c r="AE22" s="1540"/>
      <c r="AF22" s="1540"/>
      <c r="AG22" s="1540"/>
      <c r="AH22" s="1541"/>
      <c r="AI22" s="1542"/>
    </row>
    <row r="23" ht="16.5" customHeight="1">
      <c r="A23" s="1468"/>
      <c r="B23" s="1534"/>
      <c r="C23" s="1527"/>
      <c r="D23" s="1535"/>
      <c r="E23" s="1555" t="s">
        <v>198</v>
      </c>
      <c r="F23" s="405"/>
      <c r="G23" s="406"/>
      <c r="H23" s="1556">
        <v>25.0</v>
      </c>
      <c r="I23" s="1535"/>
      <c r="J23" s="1555" t="s">
        <v>198</v>
      </c>
      <c r="K23" s="405"/>
      <c r="L23" s="406"/>
      <c r="M23" s="1556">
        <v>30.0</v>
      </c>
      <c r="N23" s="1535"/>
      <c r="O23" s="1557" t="s">
        <v>198</v>
      </c>
      <c r="P23" s="918"/>
      <c r="Q23" s="919"/>
      <c r="R23" s="1558">
        <v>30.0</v>
      </c>
      <c r="S23" s="1538"/>
      <c r="T23" s="1539"/>
      <c r="U23" s="1539"/>
      <c r="V23" s="1540"/>
      <c r="W23" s="1540"/>
      <c r="X23" s="1540"/>
      <c r="Y23" s="1540"/>
      <c r="Z23" s="1539"/>
      <c r="AA23" s="1539"/>
      <c r="AB23" s="1540"/>
      <c r="AC23" s="1540"/>
      <c r="AD23" s="1540"/>
      <c r="AE23" s="1540"/>
      <c r="AF23" s="1540"/>
      <c r="AG23" s="1540"/>
      <c r="AH23" s="1541"/>
      <c r="AI23" s="1542"/>
    </row>
    <row r="24" ht="16.5" customHeight="1">
      <c r="A24" s="1468"/>
      <c r="B24" s="1559"/>
      <c r="C24" s="1560"/>
      <c r="D24" s="1561"/>
      <c r="E24" s="1527"/>
      <c r="F24" s="1527"/>
      <c r="G24" s="1527"/>
      <c r="H24" s="1527"/>
      <c r="I24" s="1561"/>
      <c r="J24" s="1527"/>
      <c r="K24" s="1527"/>
      <c r="L24" s="1527"/>
      <c r="M24" s="1527"/>
      <c r="N24" s="1561"/>
      <c r="O24" s="1562" t="s">
        <v>510</v>
      </c>
      <c r="P24" s="925"/>
      <c r="Q24" s="926"/>
      <c r="R24" s="1563">
        <v>45.0</v>
      </c>
      <c r="S24" s="1564"/>
      <c r="T24" s="1527"/>
      <c r="U24" s="1527"/>
      <c r="V24" s="1527"/>
      <c r="W24" s="1527"/>
      <c r="X24" s="1527"/>
      <c r="Y24" s="1527"/>
      <c r="Z24" s="1527"/>
      <c r="AA24" s="1527"/>
      <c r="AB24" s="1527"/>
      <c r="AC24" s="1527"/>
      <c r="AD24" s="1527"/>
      <c r="AE24" s="1527"/>
      <c r="AF24" s="1527"/>
      <c r="AG24" s="1527"/>
      <c r="AH24" s="1541"/>
      <c r="AI24" s="1542"/>
    </row>
    <row r="25" ht="15.0" customHeight="1">
      <c r="A25" s="1468"/>
      <c r="B25" s="1565"/>
      <c r="C25" s="1566"/>
      <c r="D25" s="1567"/>
      <c r="E25" s="1568"/>
      <c r="F25" s="1568"/>
      <c r="G25" s="1568"/>
      <c r="H25" s="1568"/>
      <c r="I25" s="1567"/>
      <c r="J25" s="1568"/>
      <c r="K25" s="1568"/>
      <c r="L25" s="1568"/>
      <c r="M25" s="1568"/>
      <c r="N25" s="1567"/>
      <c r="O25" s="1568"/>
      <c r="P25" s="1568"/>
      <c r="Q25" s="1568"/>
      <c r="R25" s="1568"/>
      <c r="S25" s="1568"/>
      <c r="T25" s="1568"/>
      <c r="U25" s="1568"/>
      <c r="V25" s="1568"/>
      <c r="W25" s="1568"/>
      <c r="X25" s="1568"/>
      <c r="Y25" s="1568"/>
      <c r="Z25" s="1568"/>
      <c r="AA25" s="1568"/>
      <c r="AB25" s="1568"/>
      <c r="AC25" s="1568"/>
      <c r="AD25" s="1568"/>
      <c r="AE25" s="1568"/>
      <c r="AF25" s="1568"/>
      <c r="AG25" s="1568"/>
      <c r="AH25" s="1569"/>
      <c r="AI25" s="1456"/>
    </row>
    <row r="26" ht="15.0" customHeight="1">
      <c r="A26" s="1468"/>
      <c r="B26" s="1570"/>
      <c r="C26" s="1571"/>
      <c r="D26" s="1572"/>
      <c r="E26" s="1572"/>
      <c r="F26" s="1572"/>
      <c r="G26" s="1572"/>
      <c r="H26" s="1572"/>
      <c r="I26" s="1572"/>
      <c r="J26" s="1572"/>
      <c r="K26" s="1572"/>
      <c r="L26" s="1572"/>
      <c r="M26" s="1572"/>
      <c r="N26" s="1572"/>
      <c r="O26" s="1572"/>
      <c r="P26" s="1572"/>
      <c r="Q26" s="1572"/>
      <c r="R26" s="1572"/>
      <c r="S26" s="1572"/>
      <c r="T26" s="1572"/>
      <c r="U26" s="1572"/>
      <c r="V26" s="1572"/>
      <c r="W26" s="1572"/>
      <c r="X26" s="1572"/>
      <c r="Y26" s="1572"/>
      <c r="Z26" s="1572"/>
      <c r="AA26" s="1572"/>
      <c r="AB26" s="1572"/>
      <c r="AC26" s="1572"/>
      <c r="AD26" s="1572"/>
      <c r="AE26" s="1572"/>
      <c r="AF26" s="1572"/>
      <c r="AG26" s="1573"/>
      <c r="AH26" s="1574"/>
      <c r="AI26" s="1456"/>
    </row>
    <row r="27">
      <c r="A27" s="1468"/>
      <c r="B27" s="1575"/>
      <c r="C27" s="1576"/>
      <c r="D27" s="1577"/>
      <c r="E27" s="1578" t="s">
        <v>511</v>
      </c>
      <c r="F27" s="1579"/>
      <c r="G27" s="1579"/>
      <c r="H27" s="1579"/>
      <c r="I27" s="1579"/>
      <c r="J27" s="1579"/>
      <c r="K27" s="1579"/>
      <c r="L27" s="1579"/>
      <c r="M27" s="1579"/>
      <c r="N27" s="1579"/>
      <c r="O27" s="1579"/>
      <c r="P27" s="1579"/>
      <c r="Q27" s="1579"/>
      <c r="R27" s="1579"/>
      <c r="S27" s="1579"/>
      <c r="T27" s="1579"/>
      <c r="U27" s="1579"/>
      <c r="V27" s="1579"/>
      <c r="W27" s="1580"/>
      <c r="X27" s="1581"/>
      <c r="Y27" s="1582"/>
      <c r="Z27" s="1582"/>
      <c r="AA27" s="1583"/>
      <c r="AB27" s="1577"/>
      <c r="AC27" s="1582"/>
      <c r="AD27" s="1582"/>
      <c r="AE27" s="1583"/>
      <c r="AF27" s="1584"/>
      <c r="AG27" s="1584"/>
      <c r="AH27" s="1585"/>
      <c r="AI27" s="1456"/>
    </row>
    <row r="28" ht="3.75" customHeight="1">
      <c r="A28" s="1468"/>
      <c r="B28" s="1575"/>
      <c r="C28" s="1586"/>
      <c r="D28" s="1587"/>
      <c r="E28" s="1588"/>
      <c r="F28" s="1588"/>
      <c r="G28" s="1588"/>
      <c r="H28" s="1588"/>
      <c r="I28" s="1588"/>
      <c r="J28" s="1588"/>
      <c r="K28" s="1588"/>
      <c r="L28" s="1588"/>
      <c r="M28" s="1588"/>
      <c r="N28" s="1588"/>
      <c r="O28" s="1588"/>
      <c r="P28" s="1588"/>
      <c r="Q28" s="1588"/>
      <c r="R28" s="1588"/>
      <c r="S28" s="1588"/>
      <c r="T28" s="1588"/>
      <c r="U28" s="1588"/>
      <c r="V28" s="1588"/>
      <c r="W28" s="1588"/>
      <c r="X28" s="1587"/>
      <c r="Y28" s="1587"/>
      <c r="Z28" s="1587"/>
      <c r="AA28" s="1587"/>
      <c r="AB28" s="1587"/>
      <c r="AC28" s="1587"/>
      <c r="AD28" s="1587"/>
      <c r="AE28" s="1587"/>
      <c r="AF28" s="1587"/>
      <c r="AG28" s="1587"/>
      <c r="AH28" s="1585"/>
      <c r="AI28" s="1456"/>
    </row>
    <row r="29" ht="16.5" customHeight="1">
      <c r="A29" s="1468"/>
      <c r="B29" s="1575"/>
      <c r="C29" s="1589"/>
      <c r="D29" s="1584"/>
      <c r="E29" s="1590" t="s">
        <v>512</v>
      </c>
      <c r="F29" s="1591"/>
      <c r="G29" s="1591"/>
      <c r="H29" s="1591"/>
      <c r="I29" s="1591"/>
      <c r="J29" s="1591"/>
      <c r="K29" s="1591"/>
      <c r="L29" s="1591"/>
      <c r="M29" s="1591"/>
      <c r="N29" s="1591"/>
      <c r="O29" s="1591"/>
      <c r="P29" s="1591"/>
      <c r="Q29" s="1591"/>
      <c r="R29" s="1591"/>
      <c r="S29" s="1591"/>
      <c r="T29" s="1591"/>
      <c r="U29" s="1591"/>
      <c r="V29" s="1591"/>
      <c r="W29" s="1592"/>
      <c r="X29" s="1584"/>
      <c r="Y29" s="1584"/>
      <c r="Z29" s="1584"/>
      <c r="AA29" s="1584"/>
      <c r="AB29" s="1584"/>
      <c r="AC29" s="1584"/>
      <c r="AD29" s="1584"/>
      <c r="AE29" s="1584"/>
      <c r="AF29" s="1584"/>
      <c r="AG29" s="1584"/>
      <c r="AH29" s="1585"/>
      <c r="AI29" s="1456"/>
    </row>
    <row r="30" ht="96.75" customHeight="1">
      <c r="A30" s="1468"/>
      <c r="B30" s="1593"/>
      <c r="C30" s="1594" t="str">
        <f>IMAGE("https://i.ibb.co/Lrh0bjy/Bugsy.png")</f>
        <v/>
      </c>
      <c r="D30" s="1595"/>
      <c r="E30" s="1596" t="str">
        <f t="array" ref="E30">IFERROR(VLOOKUP(E31,Dex!$B$3:$G244,3,FALSE),"")</f>
        <v/>
      </c>
      <c r="F30" s="302"/>
      <c r="G30" s="302"/>
      <c r="H30" s="303"/>
      <c r="I30" s="1597"/>
      <c r="J30" s="1596" t="str">
        <f t="array" ref="J30">IFERROR(VLOOKUP(J31,Dex!$B$3:$G244,3,FALSE),"")</f>
        <v/>
      </c>
      <c r="K30" s="302"/>
      <c r="L30" s="302"/>
      <c r="M30" s="303"/>
      <c r="N30" s="1598"/>
      <c r="O30" s="1596" t="str">
        <f t="array" ref="O30">IFERROR(VLOOKUP(O31,Dex!$B$3:$G244,3,FALSE),"")</f>
        <v/>
      </c>
      <c r="P30" s="302"/>
      <c r="Q30" s="302"/>
      <c r="R30" s="303"/>
      <c r="S30" s="1598"/>
      <c r="T30" s="1596" t="str">
        <f t="array" ref="T30">IFERROR(VLOOKUP(T31,Dex!$B$3:$G244,3,FALSE),"")</f>
        <v/>
      </c>
      <c r="U30" s="302"/>
      <c r="V30" s="302"/>
      <c r="W30" s="303"/>
      <c r="X30" s="1599"/>
      <c r="Y30" s="1577"/>
      <c r="Z30" s="1582"/>
      <c r="AA30" s="1582"/>
      <c r="AB30" s="1583"/>
      <c r="AC30" s="1600"/>
      <c r="AD30" s="1577"/>
      <c r="AE30" s="1582"/>
      <c r="AF30" s="1582"/>
      <c r="AG30" s="1583"/>
      <c r="AH30" s="1585"/>
      <c r="AI30" s="1456"/>
    </row>
    <row r="31" ht="18.75" customHeight="1">
      <c r="A31" s="1468"/>
      <c r="B31" s="1601"/>
      <c r="C31" s="1602" t="s">
        <v>513</v>
      </c>
      <c r="D31" s="1603"/>
      <c r="E31" s="1604" t="s">
        <v>514</v>
      </c>
      <c r="F31" s="1572"/>
      <c r="G31" s="1572"/>
      <c r="H31" s="1605"/>
      <c r="I31" s="1606"/>
      <c r="J31" s="1604" t="s">
        <v>515</v>
      </c>
      <c r="K31" s="1572"/>
      <c r="L31" s="1572"/>
      <c r="M31" s="1605"/>
      <c r="N31" s="1607"/>
      <c r="O31" s="1604" t="s">
        <v>516</v>
      </c>
      <c r="P31" s="1572"/>
      <c r="Q31" s="1572"/>
      <c r="R31" s="1605"/>
      <c r="S31" s="1607"/>
      <c r="T31" s="1604" t="s">
        <v>517</v>
      </c>
      <c r="U31" s="1572"/>
      <c r="V31" s="1572"/>
      <c r="W31" s="1605"/>
      <c r="X31" s="1608"/>
      <c r="Y31" s="1609"/>
      <c r="Z31" s="1582"/>
      <c r="AA31" s="1582"/>
      <c r="AB31" s="1583"/>
      <c r="AC31" s="1610"/>
      <c r="AD31" s="1609"/>
      <c r="AE31" s="1582"/>
      <c r="AF31" s="1582"/>
      <c r="AG31" s="1583"/>
      <c r="AH31" s="1611"/>
      <c r="AI31" s="1479"/>
    </row>
    <row r="32">
      <c r="A32" s="1468"/>
      <c r="B32" s="1593"/>
      <c r="C32" s="1481"/>
      <c r="D32" s="1612"/>
      <c r="E32" s="1613" t="s">
        <v>420</v>
      </c>
      <c r="F32" s="1582"/>
      <c r="G32" s="1582"/>
      <c r="H32" s="1614"/>
      <c r="I32" s="1606"/>
      <c r="J32" s="1613" t="s">
        <v>420</v>
      </c>
      <c r="K32" s="1582"/>
      <c r="L32" s="1582"/>
      <c r="M32" s="1614"/>
      <c r="N32" s="1607"/>
      <c r="O32" s="1613" t="s">
        <v>420</v>
      </c>
      <c r="P32" s="1582"/>
      <c r="Q32" s="1582"/>
      <c r="R32" s="1614"/>
      <c r="S32" s="1607"/>
      <c r="T32" s="1613" t="s">
        <v>420</v>
      </c>
      <c r="U32" s="1582"/>
      <c r="V32" s="1582"/>
      <c r="W32" s="1614"/>
      <c r="X32" s="1608"/>
      <c r="Y32" s="1577"/>
      <c r="Z32" s="1582"/>
      <c r="AA32" s="1582"/>
      <c r="AB32" s="1583"/>
      <c r="AC32" s="1610"/>
      <c r="AD32" s="1577"/>
      <c r="AE32" s="1582"/>
      <c r="AF32" s="1582"/>
      <c r="AG32" s="1583"/>
      <c r="AH32" s="1585"/>
      <c r="AI32" s="1456"/>
    </row>
    <row r="33" ht="25.5" customHeight="1">
      <c r="A33" s="1468"/>
      <c r="B33" s="1575"/>
      <c r="C33" s="1489"/>
      <c r="D33" s="1615"/>
      <c r="E33" s="1616"/>
      <c r="F33" s="1617" t="str">
        <f t="array" ref="F33">IFERROR(VLOOKUP(E31,Dex!$B$3:$H244,5,FALSE),"")</f>
        <v/>
      </c>
      <c r="G33" s="1618" t="str">
        <f t="array" ref="G33">IFERROR(VLOOKUP(E31,Dex!$B$3:$H244,7,FALSE),"")</f>
        <v/>
      </c>
      <c r="H33" s="1619"/>
      <c r="I33" s="1606"/>
      <c r="J33" s="1620"/>
      <c r="K33" s="1617" t="str">
        <f t="array" ref="K33">IFERROR(VLOOKUP(J31,Dex!$B$3:$H244,5,FALSE),"")</f>
        <v/>
      </c>
      <c r="L33" s="1618" t="str">
        <f t="array" ref="L33">IFERROR(VLOOKUP(J31,Dex!$B$3:$H244,7,FALSE),"")</f>
        <v/>
      </c>
      <c r="M33" s="1621"/>
      <c r="N33" s="1607"/>
      <c r="O33" s="1620"/>
      <c r="P33" s="1617" t="str">
        <f t="array" ref="P33">IFERROR(VLOOKUP(O31,Dex!$B$3:$H244,5,FALSE),"")</f>
        <v/>
      </c>
      <c r="Q33" s="1618" t="str">
        <f t="array" ref="Q33">IFERROR(VLOOKUP(O31,Dex!$B$3:$H244,7,FALSE),"")</f>
        <v/>
      </c>
      <c r="R33" s="1621"/>
      <c r="S33" s="1607"/>
      <c r="T33" s="1620"/>
      <c r="U33" s="1617" t="str">
        <f t="array" ref="U33">IFERROR(VLOOKUP(T31,Dex!$B$3:$H244,5,FALSE),"")</f>
        <v/>
      </c>
      <c r="V33" s="1618" t="str">
        <f t="array" ref="V33">IFERROR(VLOOKUP(T31,Dex!$B$3:$H244,7,FALSE),"")</f>
        <v/>
      </c>
      <c r="W33" s="1621"/>
      <c r="X33" s="1608"/>
      <c r="Y33" s="1577"/>
      <c r="Z33" s="1582"/>
      <c r="AA33" s="1582"/>
      <c r="AB33" s="1583"/>
      <c r="AC33" s="1610"/>
      <c r="AD33" s="1577"/>
      <c r="AE33" s="1582"/>
      <c r="AF33" s="1582"/>
      <c r="AG33" s="1583"/>
      <c r="AH33" s="1585"/>
      <c r="AI33" s="1456"/>
    </row>
    <row r="34" ht="2.25" customHeight="1">
      <c r="A34" s="1468"/>
      <c r="B34" s="1575"/>
      <c r="C34" s="1622"/>
      <c r="D34" s="1623"/>
      <c r="E34" s="1624"/>
      <c r="F34" s="1625"/>
      <c r="G34" s="1625"/>
      <c r="H34" s="1626"/>
      <c r="I34" s="1606"/>
      <c r="J34" s="1627"/>
      <c r="K34" s="1628"/>
      <c r="L34" s="1628"/>
      <c r="M34" s="1629"/>
      <c r="N34" s="1607"/>
      <c r="O34" s="1627"/>
      <c r="P34" s="1628"/>
      <c r="Q34" s="1628"/>
      <c r="R34" s="1629"/>
      <c r="S34" s="1607"/>
      <c r="T34" s="1627"/>
      <c r="U34" s="1628"/>
      <c r="V34" s="1628"/>
      <c r="W34" s="1629"/>
      <c r="X34" s="1608"/>
      <c r="Y34" s="1577"/>
      <c r="Z34" s="1582"/>
      <c r="AA34" s="1582"/>
      <c r="AB34" s="1583"/>
      <c r="AC34" s="1610"/>
      <c r="AD34" s="1577"/>
      <c r="AE34" s="1582"/>
      <c r="AF34" s="1582"/>
      <c r="AG34" s="1583"/>
      <c r="AH34" s="1585"/>
      <c r="AI34" s="1456"/>
    </row>
    <row r="35" ht="20.25" customHeight="1">
      <c r="A35" s="1468"/>
      <c r="B35" s="1575"/>
      <c r="C35" s="1576"/>
      <c r="D35" s="1577"/>
      <c r="E35" s="1630" t="s">
        <v>172</v>
      </c>
      <c r="F35" s="1631"/>
      <c r="G35" s="1631"/>
      <c r="H35" s="1632"/>
      <c r="I35" s="1606"/>
      <c r="J35" s="1630" t="s">
        <v>172</v>
      </c>
      <c r="K35" s="1631"/>
      <c r="L35" s="1631"/>
      <c r="M35" s="1632"/>
      <c r="N35" s="1607"/>
      <c r="O35" s="1630" t="s">
        <v>172</v>
      </c>
      <c r="P35" s="1631"/>
      <c r="Q35" s="1631"/>
      <c r="R35" s="1632"/>
      <c r="S35" s="1607"/>
      <c r="T35" s="1630" t="s">
        <v>471</v>
      </c>
      <c r="U35" s="1631"/>
      <c r="V35" s="1631"/>
      <c r="W35" s="1632"/>
      <c r="X35" s="1608"/>
      <c r="Y35" s="1577"/>
      <c r="Z35" s="1582"/>
      <c r="AA35" s="1582"/>
      <c r="AB35" s="1583"/>
      <c r="AC35" s="1610"/>
      <c r="AD35" s="1577"/>
      <c r="AE35" s="1582"/>
      <c r="AF35" s="1582"/>
      <c r="AG35" s="1583"/>
      <c r="AH35" s="1585"/>
      <c r="AI35" s="1456"/>
    </row>
    <row r="36" ht="20.25" customHeight="1">
      <c r="A36" s="1468"/>
      <c r="B36" s="1575"/>
      <c r="C36" s="1576"/>
      <c r="D36" s="1577"/>
      <c r="E36" s="1633" t="s">
        <v>518</v>
      </c>
      <c r="F36" s="1582"/>
      <c r="G36" s="1582"/>
      <c r="H36" s="1614"/>
      <c r="I36" s="1606"/>
      <c r="J36" s="1633" t="s">
        <v>235</v>
      </c>
      <c r="K36" s="1582"/>
      <c r="L36" s="1582"/>
      <c r="M36" s="1614"/>
      <c r="N36" s="1607"/>
      <c r="O36" s="1633" t="s">
        <v>208</v>
      </c>
      <c r="P36" s="1582"/>
      <c r="Q36" s="1582"/>
      <c r="R36" s="1614"/>
      <c r="S36" s="1607"/>
      <c r="T36" s="1633" t="s">
        <v>208</v>
      </c>
      <c r="U36" s="1582"/>
      <c r="V36" s="1582"/>
      <c r="W36" s="1614"/>
      <c r="X36" s="1608"/>
      <c r="Y36" s="1577"/>
      <c r="Z36" s="1582"/>
      <c r="AA36" s="1582"/>
      <c r="AB36" s="1583"/>
      <c r="AC36" s="1610"/>
      <c r="AD36" s="1577"/>
      <c r="AE36" s="1582"/>
      <c r="AF36" s="1582"/>
      <c r="AG36" s="1583"/>
      <c r="AH36" s="1585"/>
      <c r="AI36" s="1456"/>
    </row>
    <row r="37" ht="20.25" customHeight="1">
      <c r="A37" s="1450"/>
      <c r="B37" s="1575"/>
      <c r="C37" s="1622"/>
      <c r="D37" s="1577"/>
      <c r="E37" s="1634" t="s">
        <v>519</v>
      </c>
      <c r="F37" s="1635"/>
      <c r="G37" s="1636"/>
      <c r="H37" s="1637" t="str">
        <f>IMAGE("https://raw.githubusercontent.com/msikma/pokesprite/master/items/hold-item/silver-powder.png",3)</f>
        <v/>
      </c>
      <c r="I37" s="1606"/>
      <c r="J37" s="1634" t="s">
        <v>240</v>
      </c>
      <c r="K37" s="1635"/>
      <c r="L37" s="1636"/>
      <c r="M37" s="1637" t="str">
        <f>IMAGE("https://raw.githubusercontent.com/msikma/pokesprite/master/items/hold-item/focus-sash.png",3)</f>
        <v/>
      </c>
      <c r="N37" s="1607"/>
      <c r="O37" s="1634" t="s">
        <v>520</v>
      </c>
      <c r="P37" s="1635"/>
      <c r="Q37" s="1636"/>
      <c r="R37" s="1637" t="str">
        <f>IMAGE("https://raw.githubusercontent.com/msikma/pokesprite/master/items/berry/charti.png",3)</f>
        <v/>
      </c>
      <c r="S37" s="1607"/>
      <c r="T37" s="1634" t="s">
        <v>213</v>
      </c>
      <c r="U37" s="1635"/>
      <c r="V37" s="1636"/>
      <c r="W37" s="1637" t="str">
        <f>IMAGE("https://raw.githubusercontent.com/msikma/pokesprite/master/items/berry/sitrus.png",3)</f>
        <v/>
      </c>
      <c r="X37" s="1608"/>
      <c r="Y37" s="1577"/>
      <c r="Z37" s="1582"/>
      <c r="AA37" s="1582"/>
      <c r="AB37" s="1583"/>
      <c r="AC37" s="1610"/>
      <c r="AD37" s="1577"/>
      <c r="AE37" s="1582"/>
      <c r="AF37" s="1582"/>
      <c r="AG37" s="1583"/>
      <c r="AH37" s="1585"/>
      <c r="AI37" s="1456"/>
    </row>
    <row r="38" ht="20.25" customHeight="1">
      <c r="A38" s="1450"/>
      <c r="B38" s="1575"/>
      <c r="C38" s="1576"/>
      <c r="D38" s="1577"/>
      <c r="E38" s="1630" t="s">
        <v>368</v>
      </c>
      <c r="F38" s="1631"/>
      <c r="G38" s="1631"/>
      <c r="H38" s="1638" t="str">
        <f>IMAGE("https://raw.githubusercontent.com/msikma/pokesprite/master/misc/types/gen8/bug.png",4,20,20)</f>
        <v/>
      </c>
      <c r="I38" s="1606"/>
      <c r="J38" s="1630" t="s">
        <v>244</v>
      </c>
      <c r="K38" s="1631"/>
      <c r="L38" s="1631"/>
      <c r="M38" s="1638" t="str">
        <f t="shared" ref="M38:M39" si="2">IMAGE("https://raw.githubusercontent.com/msikma/pokesprite/master/misc/types/gen8/fighting.png",4,20,20)</f>
        <v/>
      </c>
      <c r="N38" s="1607"/>
      <c r="O38" s="1630" t="s">
        <v>521</v>
      </c>
      <c r="P38" s="1631"/>
      <c r="Q38" s="1631"/>
      <c r="R38" s="1638" t="str">
        <f>IMAGE("https://raw.githubusercontent.com/msikma/pokesprite/master/misc/types/gen8/bug.png",4,20,20)</f>
        <v/>
      </c>
      <c r="S38" s="1607"/>
      <c r="T38" s="1630" t="s">
        <v>522</v>
      </c>
      <c r="U38" s="1631"/>
      <c r="V38" s="1631"/>
      <c r="W38" s="1638" t="str">
        <f>IMAGE("https://raw.githubusercontent.com/msikma/pokesprite/master/misc/types/gen8/steel.png",4,20,20)</f>
        <v/>
      </c>
      <c r="X38" s="1608"/>
      <c r="Y38" s="1577"/>
      <c r="Z38" s="1582"/>
      <c r="AA38" s="1582"/>
      <c r="AB38" s="1583"/>
      <c r="AC38" s="1610"/>
      <c r="AD38" s="1577"/>
      <c r="AE38" s="1582"/>
      <c r="AF38" s="1582"/>
      <c r="AG38" s="1583"/>
      <c r="AH38" s="1585"/>
      <c r="AI38" s="1456"/>
    </row>
    <row r="39" ht="20.25" customHeight="1">
      <c r="A39" s="1450"/>
      <c r="B39" s="1575"/>
      <c r="C39" s="1576"/>
      <c r="D39" s="1577"/>
      <c r="E39" s="1633" t="s">
        <v>279</v>
      </c>
      <c r="F39" s="1582"/>
      <c r="G39" s="1582"/>
      <c r="H39" s="1639" t="str">
        <f>IMAGE("https://raw.githubusercontent.com/msikma/pokesprite/master/misc/types/gen8/dark.png",4,20,20)</f>
        <v/>
      </c>
      <c r="I39" s="1606"/>
      <c r="J39" s="1633" t="s">
        <v>256</v>
      </c>
      <c r="K39" s="1582"/>
      <c r="L39" s="1582"/>
      <c r="M39" s="1639" t="str">
        <f t="shared" si="2"/>
        <v/>
      </c>
      <c r="N39" s="1607"/>
      <c r="O39" s="1633" t="s">
        <v>489</v>
      </c>
      <c r="P39" s="1582"/>
      <c r="Q39" s="1582"/>
      <c r="R39" s="1639" t="str">
        <f>IMAGE("https://raw.githubusercontent.com/msikma/pokesprite/master/misc/types/gen8/normal.png",4,20,20)</f>
        <v/>
      </c>
      <c r="S39" s="1607"/>
      <c r="T39" s="1633" t="s">
        <v>278</v>
      </c>
      <c r="U39" s="1582"/>
      <c r="V39" s="1582"/>
      <c r="W39" s="1639" t="str">
        <f>IMAGE("https://raw.githubusercontent.com/msikma/pokesprite/master/misc/types/gen8/bug.png",4,20,20)</f>
        <v/>
      </c>
      <c r="X39" s="1608"/>
      <c r="Y39" s="1577"/>
      <c r="Z39" s="1582"/>
      <c r="AA39" s="1582"/>
      <c r="AB39" s="1583"/>
      <c r="AC39" s="1610"/>
      <c r="AD39" s="1577"/>
      <c r="AE39" s="1582"/>
      <c r="AF39" s="1582"/>
      <c r="AG39" s="1583"/>
      <c r="AH39" s="1585"/>
      <c r="AI39" s="1456"/>
    </row>
    <row r="40" ht="20.25" customHeight="1">
      <c r="A40" s="1468"/>
      <c r="B40" s="1575"/>
      <c r="C40" s="1576"/>
      <c r="D40" s="1577"/>
      <c r="E40" s="1633" t="s">
        <v>278</v>
      </c>
      <c r="F40" s="1582"/>
      <c r="G40" s="1582"/>
      <c r="H40" s="1639" t="str">
        <f t="shared" ref="H40:H41" si="3">IMAGE("https://raw.githubusercontent.com/msikma/pokesprite/master/misc/types/gen8/bug.png",4,20,20)</f>
        <v/>
      </c>
      <c r="I40" s="1606"/>
      <c r="J40" s="1633" t="s">
        <v>215</v>
      </c>
      <c r="K40" s="1582"/>
      <c r="L40" s="1582"/>
      <c r="M40" s="1639" t="str">
        <f>IMAGE("https://raw.githubusercontent.com/msikma/pokesprite/master/misc/types/gen8/ice.png",4,20,20)</f>
        <v/>
      </c>
      <c r="N40" s="1607"/>
      <c r="O40" s="1633" t="s">
        <v>507</v>
      </c>
      <c r="P40" s="1582"/>
      <c r="Q40" s="1582"/>
      <c r="R40" s="1639" t="str">
        <f>IMAGE("https://raw.githubusercontent.com/msikma/pokesprite/master/misc/types/gen8/fighting.png",4,20,20)</f>
        <v/>
      </c>
      <c r="S40" s="1607"/>
      <c r="T40" s="1633" t="s">
        <v>507</v>
      </c>
      <c r="U40" s="1582"/>
      <c r="V40" s="1582"/>
      <c r="W40" s="1639" t="str">
        <f>IMAGE("https://raw.githubusercontent.com/msikma/pokesprite/master/misc/types/gen8/fighting.png",4,20,20)</f>
        <v/>
      </c>
      <c r="X40" s="1608"/>
      <c r="Y40" s="1577"/>
      <c r="Z40" s="1582"/>
      <c r="AA40" s="1582"/>
      <c r="AB40" s="1583"/>
      <c r="AC40" s="1610"/>
      <c r="AD40" s="1577"/>
      <c r="AE40" s="1582"/>
      <c r="AF40" s="1582"/>
      <c r="AG40" s="1583"/>
      <c r="AH40" s="1585"/>
      <c r="AI40" s="1456"/>
    </row>
    <row r="41" ht="21.0" customHeight="1">
      <c r="A41" s="1468"/>
      <c r="B41" s="1575"/>
      <c r="C41" s="1576"/>
      <c r="D41" s="1577"/>
      <c r="E41" s="1640" t="s">
        <v>523</v>
      </c>
      <c r="F41" s="1641"/>
      <c r="G41" s="1641"/>
      <c r="H41" s="1642" t="str">
        <f t="shared" si="3"/>
        <v/>
      </c>
      <c r="I41" s="1643"/>
      <c r="J41" s="1640" t="s">
        <v>249</v>
      </c>
      <c r="K41" s="1641"/>
      <c r="L41" s="1641"/>
      <c r="M41" s="1642" t="str">
        <f>IMAGE("https://raw.githubusercontent.com/msikma/pokesprite/master/misc/types/gen8/electric.png",4,20,20)</f>
        <v/>
      </c>
      <c r="N41" s="1644"/>
      <c r="O41" s="1640" t="s">
        <v>504</v>
      </c>
      <c r="P41" s="1641"/>
      <c r="Q41" s="1641"/>
      <c r="R41" s="1642" t="str">
        <f>IMAGE("https://raw.githubusercontent.com/msikma/pokesprite/master/misc/types/gen8/flying.png",4,20,20)</f>
        <v/>
      </c>
      <c r="S41" s="1645"/>
      <c r="T41" s="1640" t="s">
        <v>504</v>
      </c>
      <c r="U41" s="1641"/>
      <c r="V41" s="1641"/>
      <c r="W41" s="1642" t="str">
        <f>IMAGE("https://raw.githubusercontent.com/msikma/pokesprite/master/misc/types/gen8/flying.png",4,20,20)</f>
        <v/>
      </c>
      <c r="X41" s="1646"/>
      <c r="Y41" s="1577"/>
      <c r="Z41" s="1582"/>
      <c r="AA41" s="1582"/>
      <c r="AB41" s="1583"/>
      <c r="AC41" s="1647"/>
      <c r="AD41" s="1577"/>
      <c r="AE41" s="1582"/>
      <c r="AF41" s="1582"/>
      <c r="AG41" s="1583"/>
      <c r="AH41" s="1585"/>
      <c r="AI41" s="1456"/>
    </row>
    <row r="42" ht="3.0" customHeight="1">
      <c r="A42" s="1468"/>
      <c r="B42" s="1648"/>
      <c r="C42" s="1649"/>
      <c r="D42" s="1650"/>
      <c r="E42" s="1651"/>
      <c r="F42" s="1651"/>
      <c r="G42" s="1651"/>
      <c r="H42" s="1651"/>
      <c r="I42" s="1650"/>
      <c r="J42" s="1651"/>
      <c r="K42" s="1651"/>
      <c r="L42" s="1651"/>
      <c r="M42" s="1651"/>
      <c r="N42" s="1652"/>
      <c r="O42" s="1651"/>
      <c r="P42" s="1651"/>
      <c r="Q42" s="1651"/>
      <c r="R42" s="1651"/>
      <c r="S42" s="1650"/>
      <c r="T42" s="1651"/>
      <c r="U42" s="1651"/>
      <c r="V42" s="1651"/>
      <c r="W42" s="1651"/>
      <c r="X42" s="1650"/>
      <c r="Y42" s="1650"/>
      <c r="Z42" s="1653"/>
      <c r="AA42" s="1653"/>
      <c r="AB42" s="1654"/>
      <c r="AC42" s="1654"/>
      <c r="AD42" s="1654"/>
      <c r="AE42" s="1654"/>
      <c r="AF42" s="1654"/>
      <c r="AG42" s="1654"/>
      <c r="AH42" s="1655"/>
      <c r="AI42" s="1533"/>
    </row>
    <row r="43" ht="16.5" customHeight="1">
      <c r="A43" s="1468"/>
      <c r="B43" s="1656"/>
      <c r="C43" s="1649"/>
      <c r="D43" s="1657"/>
      <c r="E43" s="1658" t="s">
        <v>190</v>
      </c>
      <c r="F43" s="381"/>
      <c r="G43" s="382"/>
      <c r="H43" s="1659" t="s">
        <v>191</v>
      </c>
      <c r="I43" s="1660"/>
      <c r="J43" s="1658" t="s">
        <v>190</v>
      </c>
      <c r="K43" s="381"/>
      <c r="L43" s="382"/>
      <c r="M43" s="1659" t="s">
        <v>191</v>
      </c>
      <c r="N43" s="1661"/>
      <c r="O43" s="1658" t="s">
        <v>190</v>
      </c>
      <c r="P43" s="381"/>
      <c r="Q43" s="382"/>
      <c r="R43" s="1659" t="s">
        <v>191</v>
      </c>
      <c r="S43" s="1662"/>
      <c r="T43" s="1658" t="s">
        <v>190</v>
      </c>
      <c r="U43" s="381"/>
      <c r="V43" s="382"/>
      <c r="W43" s="1659" t="s">
        <v>191</v>
      </c>
      <c r="X43" s="1663"/>
      <c r="Y43" s="1664"/>
      <c r="Z43" s="1665"/>
      <c r="AA43" s="1665"/>
      <c r="AB43" s="1664"/>
      <c r="AC43" s="1664"/>
      <c r="AD43" s="1664"/>
      <c r="AE43" s="1664"/>
      <c r="AF43" s="1664"/>
      <c r="AG43" s="1664"/>
      <c r="AH43" s="1666"/>
      <c r="AI43" s="1542"/>
    </row>
    <row r="44" ht="15.75" customHeight="1">
      <c r="A44" s="1468"/>
      <c r="B44" s="1656"/>
      <c r="C44" s="1649"/>
      <c r="D44" s="1657"/>
      <c r="E44" s="1667" t="s">
        <v>192</v>
      </c>
      <c r="F44" s="1668">
        <f t="array" ref="F44">IFERROR(VLOOKUP(E31,Dex!$B$3:$N244,8,FALSE),"")</f>
        <v>71</v>
      </c>
      <c r="G44" s="1669" t="str">
        <f t="array" ref="G44">IFERROR(VLOOKUP(F44,Dex!$P$22:$Q$276,2,FALSE),"")</f>
        <v/>
      </c>
      <c r="H44" s="1670"/>
      <c r="I44" s="1660"/>
      <c r="J44" s="1667" t="s">
        <v>192</v>
      </c>
      <c r="K44" s="1668">
        <f t="array" ref="K44">IFERROR(VLOOKUP(J31,Dex!$B$3:$N244,8,FALSE),"")</f>
        <v>55</v>
      </c>
      <c r="L44" s="1669" t="str">
        <f t="array" ref="L44">IFERROR(VLOOKUP(K44,Dex!$P$22:$Q$276,2,FALSE),"")</f>
        <v/>
      </c>
      <c r="M44" s="1670"/>
      <c r="N44" s="1661"/>
      <c r="O44" s="1667" t="s">
        <v>192</v>
      </c>
      <c r="P44" s="1668">
        <f t="array" ref="P44">IFERROR(VLOOKUP(O31,Dex!$B$3:$N244,8,FALSE),"")</f>
        <v>70</v>
      </c>
      <c r="Q44" s="1669" t="str">
        <f t="array" ref="Q44">IFERROR(VLOOKUP(P44,Dex!$P$22:$Q$276,2,FALSE),"")</f>
        <v/>
      </c>
      <c r="R44" s="1670"/>
      <c r="S44" s="1662"/>
      <c r="T44" s="1667" t="s">
        <v>192</v>
      </c>
      <c r="U44" s="1668">
        <f t="array" ref="U44">IFERROR(VLOOKUP(T31,Dex!$B$3:$N244,8,FALSE),"")</f>
        <v>70</v>
      </c>
      <c r="V44" s="1669" t="str">
        <f t="array" ref="V44">IFERROR(VLOOKUP(U44,Dex!$P$22:$Q$276,2,FALSE),"")</f>
        <v/>
      </c>
      <c r="W44" s="1670"/>
      <c r="X44" s="1663"/>
      <c r="Y44" s="1664"/>
      <c r="Z44" s="1665"/>
      <c r="AA44" s="1665"/>
      <c r="AB44" s="1664"/>
      <c r="AC44" s="1664"/>
      <c r="AD44" s="1664"/>
      <c r="AE44" s="1664"/>
      <c r="AF44" s="1664"/>
      <c r="AG44" s="1664"/>
      <c r="AH44" s="1666"/>
      <c r="AI44" s="1542"/>
    </row>
    <row r="45" ht="15.75" customHeight="1">
      <c r="A45" s="1468"/>
      <c r="B45" s="1656"/>
      <c r="C45" s="1649"/>
      <c r="D45" s="1657"/>
      <c r="E45" s="1671" t="s">
        <v>193</v>
      </c>
      <c r="F45" s="1672">
        <f t="array" ref="F45">IFERROR(VLOOKUP(E31,Dex!$B$3:$N244,9,FALSE),"")</f>
        <v>102</v>
      </c>
      <c r="G45" s="1673" t="str">
        <f t="array" ref="G45">IFERROR(VLOOKUP(F45,Dex!$P$22:$Q$276,2,FALSE),"")</f>
        <v/>
      </c>
      <c r="H45" s="1674"/>
      <c r="I45" s="1660"/>
      <c r="J45" s="1671" t="s">
        <v>193</v>
      </c>
      <c r="K45" s="1672">
        <f t="array" ref="K45">IFERROR(VLOOKUP(J31,Dex!$B$3:$N244,9,FALSE),"")</f>
        <v>90</v>
      </c>
      <c r="L45" s="1673" t="str">
        <f t="array" ref="L45">IFERROR(VLOOKUP(K45,Dex!$P$22:$Q$276,2,FALSE),"")</f>
        <v/>
      </c>
      <c r="M45" s="1674"/>
      <c r="N45" s="1661"/>
      <c r="O45" s="1671" t="s">
        <v>193</v>
      </c>
      <c r="P45" s="1672">
        <f t="array" ref="P45">IFERROR(VLOOKUP(O31,Dex!$B$3:$N244,9,FALSE),"")</f>
        <v>110</v>
      </c>
      <c r="Q45" s="1673" t="str">
        <f t="array" ref="Q45">IFERROR(VLOOKUP(P45,Dex!$P$22:$Q$276,2,FALSE),"")</f>
        <v/>
      </c>
      <c r="R45" s="1674"/>
      <c r="S45" s="1662"/>
      <c r="T45" s="1671" t="s">
        <v>193</v>
      </c>
      <c r="U45" s="1672">
        <f t="array" ref="U45">IFERROR(VLOOKUP(T31,Dex!$B$3:$N244,9,FALSE),"")</f>
        <v>130</v>
      </c>
      <c r="V45" s="1673" t="str">
        <f t="array" ref="V45">IFERROR(VLOOKUP(U45,Dex!$P$22:$Q$276,2,FALSE),"")</f>
        <v/>
      </c>
      <c r="W45" s="1674"/>
      <c r="X45" s="1663"/>
      <c r="Y45" s="1664"/>
      <c r="Z45" s="1665"/>
      <c r="AA45" s="1665"/>
      <c r="AB45" s="1664"/>
      <c r="AC45" s="1664"/>
      <c r="AD45" s="1664"/>
      <c r="AE45" s="1664"/>
      <c r="AF45" s="1664"/>
      <c r="AG45" s="1664"/>
      <c r="AH45" s="1666"/>
      <c r="AI45" s="1542"/>
    </row>
    <row r="46" ht="15.75" customHeight="1">
      <c r="A46" s="1468"/>
      <c r="B46" s="1656"/>
      <c r="C46" s="1649"/>
      <c r="D46" s="1657"/>
      <c r="E46" s="1671" t="s">
        <v>194</v>
      </c>
      <c r="F46" s="1672">
        <f t="array" ref="F46">IFERROR(VLOOKUP(E31,Dex!$B$3:$N244,10,FALSE),"")</f>
        <v>78</v>
      </c>
      <c r="G46" s="1673" t="str">
        <f t="array" ref="G46">IFERROR(VLOOKUP(F46,Dex!$P$22:$Q$276,2,FALSE),"")</f>
        <v/>
      </c>
      <c r="H46" s="1674"/>
      <c r="I46" s="1660"/>
      <c r="J46" s="1671" t="s">
        <v>194</v>
      </c>
      <c r="K46" s="1672">
        <f t="array" ref="K46">IFERROR(VLOOKUP(J31,Dex!$B$3:$N244,10,FALSE),"")</f>
        <v>50</v>
      </c>
      <c r="L46" s="1673" t="str">
        <f t="array" ref="L46">IFERROR(VLOOKUP(K46,Dex!$P$22:$Q$276,2,FALSE),"")</f>
        <v/>
      </c>
      <c r="M46" s="1674"/>
      <c r="N46" s="1661"/>
      <c r="O46" s="1671" t="s">
        <v>194</v>
      </c>
      <c r="P46" s="1672">
        <f t="array" ref="P46">IFERROR(VLOOKUP(O31,Dex!$B$3:$N244,10,FALSE),"")</f>
        <v>80</v>
      </c>
      <c r="Q46" s="1673" t="str">
        <f t="array" ref="Q46">IFERROR(VLOOKUP(P46,Dex!$P$22:$Q$276,2,FALSE),"")</f>
        <v/>
      </c>
      <c r="R46" s="1674"/>
      <c r="S46" s="1662"/>
      <c r="T46" s="1671" t="s">
        <v>194</v>
      </c>
      <c r="U46" s="1672">
        <f t="array" ref="U46">IFERROR(VLOOKUP(T31,Dex!$B$3:$N244,10,FALSE),"")</f>
        <v>100</v>
      </c>
      <c r="V46" s="1673" t="str">
        <f t="array" ref="V46">IFERROR(VLOOKUP(U46,Dex!$P$22:$Q$276,2,FALSE),"")</f>
        <v/>
      </c>
      <c r="W46" s="1674"/>
      <c r="X46" s="1663"/>
      <c r="Y46" s="1664"/>
      <c r="Z46" s="1665"/>
      <c r="AA46" s="1665"/>
      <c r="AB46" s="1664"/>
      <c r="AC46" s="1664"/>
      <c r="AD46" s="1664"/>
      <c r="AE46" s="1664"/>
      <c r="AF46" s="1664"/>
      <c r="AG46" s="1664"/>
      <c r="AH46" s="1666"/>
      <c r="AI46" s="1542"/>
    </row>
    <row r="47" ht="15.75" customHeight="1">
      <c r="A47" s="1468"/>
      <c r="B47" s="1656"/>
      <c r="C47" s="1649"/>
      <c r="D47" s="1657"/>
      <c r="E47" s="1671" t="s">
        <v>195</v>
      </c>
      <c r="F47" s="1672">
        <f t="array" ref="F47">IFERROR(VLOOKUP(E31,Dex!$B$3:$N244,11,FALSE),"")</f>
        <v>52</v>
      </c>
      <c r="G47" s="1673" t="str">
        <f t="array" ref="G47">IFERROR(VLOOKUP(F47,Dex!$P$22:$Q$276,2,FALSE),"")</f>
        <v/>
      </c>
      <c r="H47" s="1674"/>
      <c r="I47" s="1660"/>
      <c r="J47" s="1671" t="s">
        <v>195</v>
      </c>
      <c r="K47" s="1672">
        <f t="array" ref="K47">IFERROR(VLOOKUP(J31,Dex!$B$3:$N244,11,FALSE),"")</f>
        <v>35</v>
      </c>
      <c r="L47" s="1673" t="str">
        <f t="array" ref="L47">IFERROR(VLOOKUP(K47,Dex!$P$22:$Q$276,2,FALSE),"")</f>
        <v/>
      </c>
      <c r="M47" s="1674"/>
      <c r="N47" s="1661"/>
      <c r="O47" s="1671" t="s">
        <v>195</v>
      </c>
      <c r="P47" s="1672">
        <f t="array" ref="P47">IFERROR(VLOOKUP(O31,Dex!$B$3:$N244,11,FALSE),"")</f>
        <v>55</v>
      </c>
      <c r="Q47" s="1673" t="str">
        <f t="array" ref="Q47">IFERROR(VLOOKUP(P47,Dex!$P$22:$Q$276,2,FALSE),"")</f>
        <v/>
      </c>
      <c r="R47" s="1674"/>
      <c r="S47" s="1662"/>
      <c r="T47" s="1671" t="s">
        <v>195</v>
      </c>
      <c r="U47" s="1672">
        <f t="array" ref="U47">IFERROR(VLOOKUP(T31,Dex!$B$3:$N244,11,FALSE),"")</f>
        <v>55</v>
      </c>
      <c r="V47" s="1673" t="str">
        <f t="array" ref="V47">IFERROR(VLOOKUP(U47,Dex!$P$22:$Q$276,2,FALSE),"")</f>
        <v/>
      </c>
      <c r="W47" s="1674"/>
      <c r="X47" s="1663"/>
      <c r="Y47" s="1664"/>
      <c r="Z47" s="1665"/>
      <c r="AA47" s="1665"/>
      <c r="AB47" s="1664"/>
      <c r="AC47" s="1664"/>
      <c r="AD47" s="1664"/>
      <c r="AE47" s="1664"/>
      <c r="AF47" s="1664"/>
      <c r="AG47" s="1664"/>
      <c r="AH47" s="1666"/>
      <c r="AI47" s="1542"/>
    </row>
    <row r="48" ht="15.75" customHeight="1">
      <c r="A48" s="1468"/>
      <c r="B48" s="1656"/>
      <c r="C48" s="1649"/>
      <c r="D48" s="1657"/>
      <c r="E48" s="1671" t="s">
        <v>196</v>
      </c>
      <c r="F48" s="1672">
        <f t="array" ref="F48">IFERROR(VLOOKUP(E31,Dex!$B$3:$N244,12,FALSE),"")</f>
        <v>55</v>
      </c>
      <c r="G48" s="1673" t="str">
        <f t="array" ref="G48">IFERROR(VLOOKUP(F48,Dex!$P$22:$Q$276,2,FALSE),"")</f>
        <v/>
      </c>
      <c r="H48" s="1674"/>
      <c r="I48" s="1660"/>
      <c r="J48" s="1671" t="s">
        <v>196</v>
      </c>
      <c r="K48" s="1672">
        <f t="array" ref="K48">IFERROR(VLOOKUP(J31,Dex!$B$3:$N244,12,FALSE),"")</f>
        <v>100</v>
      </c>
      <c r="L48" s="1673" t="str">
        <f t="array" ref="L48">IFERROR(VLOOKUP(K48,Dex!$P$22:$Q$276,2,FALSE),"")</f>
        <v/>
      </c>
      <c r="M48" s="1674"/>
      <c r="N48" s="1661"/>
      <c r="O48" s="1671" t="s">
        <v>196</v>
      </c>
      <c r="P48" s="1672">
        <f t="array" ref="P48">IFERROR(VLOOKUP(O31,Dex!$B$3:$N244,12,FALSE),"")</f>
        <v>80</v>
      </c>
      <c r="Q48" s="1673" t="str">
        <f t="array" ref="Q48">IFERROR(VLOOKUP(P48,Dex!$P$22:$Q$276,2,FALSE),"")</f>
        <v/>
      </c>
      <c r="R48" s="1674"/>
      <c r="S48" s="1662"/>
      <c r="T48" s="1671" t="s">
        <v>196</v>
      </c>
      <c r="U48" s="1672">
        <f t="array" ref="U48">IFERROR(VLOOKUP(T31,Dex!$B$3:$N244,12,FALSE),"")</f>
        <v>80</v>
      </c>
      <c r="V48" s="1673" t="str">
        <f t="array" ref="V48">IFERROR(VLOOKUP(U48,Dex!$P$22:$Q$276,2,FALSE),"")</f>
        <v/>
      </c>
      <c r="W48" s="1674"/>
      <c r="X48" s="1663"/>
      <c r="Y48" s="1664"/>
      <c r="Z48" s="1665"/>
      <c r="AA48" s="1665"/>
      <c r="AB48" s="1664"/>
      <c r="AC48" s="1664"/>
      <c r="AD48" s="1664"/>
      <c r="AE48" s="1664"/>
      <c r="AF48" s="1664"/>
      <c r="AG48" s="1664"/>
      <c r="AH48" s="1666"/>
      <c r="AI48" s="1542"/>
    </row>
    <row r="49" ht="15.75" customHeight="1">
      <c r="A49" s="1468"/>
      <c r="B49" s="1656"/>
      <c r="C49" s="1204" t="s">
        <v>436</v>
      </c>
      <c r="D49" s="1657"/>
      <c r="E49" s="1675" t="s">
        <v>197</v>
      </c>
      <c r="F49" s="1676">
        <f t="array" ref="F49">IFERROR(VLOOKUP(E31,Dex!$B$3:$N244,13,FALSE),"")</f>
        <v>92</v>
      </c>
      <c r="G49" s="1677" t="str">
        <f t="array" ref="G49">IFERROR(VLOOKUP(F49,Dex!$P$22:$Q$276,2,FALSE),"")</f>
        <v/>
      </c>
      <c r="H49" s="1678"/>
      <c r="I49" s="1660"/>
      <c r="J49" s="1675" t="s">
        <v>197</v>
      </c>
      <c r="K49" s="1676">
        <f t="array" ref="K49">IFERROR(VLOOKUP(J31,Dex!$B$3:$N244,13,FALSE),"")</f>
        <v>85</v>
      </c>
      <c r="L49" s="1677" t="str">
        <f t="array" ref="L49">IFERROR(VLOOKUP(K49,Dex!$P$22:$Q$276,2,FALSE),"")</f>
        <v/>
      </c>
      <c r="M49" s="1678"/>
      <c r="N49" s="1661"/>
      <c r="O49" s="1675" t="s">
        <v>197</v>
      </c>
      <c r="P49" s="1676">
        <f t="array" ref="P49">IFERROR(VLOOKUP(O31,Dex!$B$3:$N244,13,FALSE),"")</f>
        <v>105</v>
      </c>
      <c r="Q49" s="1677" t="str">
        <f t="array" ref="Q49">IFERROR(VLOOKUP(P49,Dex!$P$22:$Q$276,2,FALSE),"")</f>
        <v/>
      </c>
      <c r="R49" s="1678"/>
      <c r="S49" s="1662"/>
      <c r="T49" s="1675" t="s">
        <v>197</v>
      </c>
      <c r="U49" s="1676">
        <f t="array" ref="U49">IFERROR(VLOOKUP(T31,Dex!$B$3:$N244,13,FALSE),"")</f>
        <v>65</v>
      </c>
      <c r="V49" s="1677" t="str">
        <f t="array" ref="V49">IFERROR(VLOOKUP(U49,Dex!$P$22:$Q$276,2,FALSE),"")</f>
        <v/>
      </c>
      <c r="W49" s="1678"/>
      <c r="X49" s="1663"/>
      <c r="Y49" s="1664"/>
      <c r="Z49" s="1665"/>
      <c r="AA49" s="1665"/>
      <c r="AB49" s="1664"/>
      <c r="AC49" s="1664"/>
      <c r="AD49" s="1664"/>
      <c r="AE49" s="1664"/>
      <c r="AF49" s="1664"/>
      <c r="AG49" s="1664"/>
      <c r="AH49" s="1666"/>
      <c r="AI49" s="1542"/>
    </row>
    <row r="50" ht="16.5" customHeight="1">
      <c r="A50" s="1468"/>
      <c r="B50" s="1656"/>
      <c r="C50" s="1205" t="s">
        <v>524</v>
      </c>
      <c r="D50" s="1657"/>
      <c r="E50" s="1679" t="s">
        <v>198</v>
      </c>
      <c r="F50" s="405"/>
      <c r="G50" s="406"/>
      <c r="H50" s="1680">
        <v>63.0</v>
      </c>
      <c r="I50" s="1660"/>
      <c r="J50" s="1679" t="s">
        <v>198</v>
      </c>
      <c r="K50" s="405"/>
      <c r="L50" s="406"/>
      <c r="M50" s="1680">
        <v>60.0</v>
      </c>
      <c r="N50" s="1661"/>
      <c r="O50" s="1679" t="s">
        <v>198</v>
      </c>
      <c r="P50" s="405"/>
      <c r="Q50" s="406"/>
      <c r="R50" s="1680">
        <v>71.0</v>
      </c>
      <c r="S50" s="1662"/>
      <c r="T50" s="1679" t="s">
        <v>198</v>
      </c>
      <c r="U50" s="405"/>
      <c r="V50" s="406"/>
      <c r="W50" s="1680">
        <v>45.0</v>
      </c>
      <c r="X50" s="1663"/>
      <c r="Y50" s="1664"/>
      <c r="Z50" s="1665"/>
      <c r="AA50" s="1665"/>
      <c r="AB50" s="1664"/>
      <c r="AC50" s="1664"/>
      <c r="AD50" s="1664"/>
      <c r="AE50" s="1664"/>
      <c r="AF50" s="1664"/>
      <c r="AG50" s="1664"/>
      <c r="AH50" s="1666"/>
      <c r="AI50" s="1542"/>
    </row>
    <row r="51" ht="11.25" customHeight="1">
      <c r="A51" s="1468"/>
      <c r="B51" s="1575"/>
      <c r="C51" s="1586"/>
      <c r="D51" s="1587"/>
      <c r="E51" s="1681"/>
      <c r="F51" s="1681"/>
      <c r="G51" s="1681"/>
      <c r="H51" s="1681"/>
      <c r="I51" s="1682"/>
      <c r="J51" s="1683"/>
      <c r="K51" s="1683"/>
      <c r="L51" s="1683"/>
      <c r="M51" s="1681"/>
      <c r="N51" s="1681"/>
      <c r="O51" s="1683"/>
      <c r="P51" s="1683"/>
      <c r="Q51" s="1683"/>
      <c r="R51" s="1681"/>
      <c r="S51" s="1682"/>
      <c r="T51" s="1683"/>
      <c r="U51" s="1683"/>
      <c r="V51" s="1683"/>
      <c r="W51" s="1681"/>
      <c r="X51" s="1683"/>
      <c r="Y51" s="1683"/>
      <c r="Z51" s="1683"/>
      <c r="AA51" s="1683"/>
      <c r="AB51" s="1683"/>
      <c r="AC51" s="1683"/>
      <c r="AD51" s="1683"/>
      <c r="AE51" s="1683"/>
      <c r="AF51" s="1683"/>
      <c r="AG51" s="1683"/>
      <c r="AH51" s="1574"/>
      <c r="AI51" s="1456"/>
    </row>
    <row r="52">
      <c r="A52" s="1468"/>
      <c r="B52" s="1575"/>
      <c r="C52" s="1576"/>
      <c r="D52" s="1577"/>
      <c r="E52" s="1578" t="s">
        <v>525</v>
      </c>
      <c r="F52" s="1579"/>
      <c r="G52" s="1579"/>
      <c r="H52" s="1579"/>
      <c r="I52" s="1579"/>
      <c r="J52" s="1579"/>
      <c r="K52" s="1579"/>
      <c r="L52" s="1579"/>
      <c r="M52" s="1579"/>
      <c r="N52" s="1579"/>
      <c r="O52" s="1579"/>
      <c r="P52" s="1579"/>
      <c r="Q52" s="1579"/>
      <c r="R52" s="1579"/>
      <c r="S52" s="1579"/>
      <c r="T52" s="1579"/>
      <c r="U52" s="1579"/>
      <c r="V52" s="1579"/>
      <c r="W52" s="1579"/>
      <c r="X52" s="1579"/>
      <c r="Y52" s="1579"/>
      <c r="Z52" s="1579"/>
      <c r="AA52" s="1579"/>
      <c r="AB52" s="1579"/>
      <c r="AC52" s="1579"/>
      <c r="AD52" s="1579"/>
      <c r="AE52" s="1579"/>
      <c r="AF52" s="1579"/>
      <c r="AG52" s="1580"/>
      <c r="AH52" s="1684"/>
      <c r="AI52" s="1456"/>
    </row>
    <row r="53" ht="3.75" customHeight="1">
      <c r="A53" s="1468"/>
      <c r="B53" s="1575"/>
      <c r="C53" s="1586"/>
      <c r="D53" s="1587"/>
      <c r="E53" s="1588"/>
      <c r="F53" s="1588"/>
      <c r="G53" s="1588"/>
      <c r="H53" s="1588"/>
      <c r="I53" s="1588"/>
      <c r="J53" s="1588"/>
      <c r="K53" s="1588"/>
      <c r="L53" s="1588"/>
      <c r="M53" s="1588"/>
      <c r="N53" s="1588"/>
      <c r="O53" s="1588"/>
      <c r="P53" s="1588"/>
      <c r="Q53" s="1588"/>
      <c r="R53" s="1588"/>
      <c r="S53" s="1588"/>
      <c r="T53" s="1588"/>
      <c r="U53" s="1588"/>
      <c r="V53" s="1588"/>
      <c r="W53" s="1588"/>
      <c r="X53" s="1588"/>
      <c r="Y53" s="1588"/>
      <c r="Z53" s="1588"/>
      <c r="AA53" s="1588"/>
      <c r="AB53" s="1588"/>
      <c r="AC53" s="1588"/>
      <c r="AD53" s="1588"/>
      <c r="AE53" s="1588"/>
      <c r="AF53" s="1588"/>
      <c r="AG53" s="1588"/>
      <c r="AH53" s="1585"/>
      <c r="AI53" s="1456"/>
    </row>
    <row r="54" ht="16.5" customHeight="1">
      <c r="A54" s="1468"/>
      <c r="B54" s="1575"/>
      <c r="C54" s="1589"/>
      <c r="D54" s="1584"/>
      <c r="E54" s="1590" t="s">
        <v>526</v>
      </c>
      <c r="F54" s="1591"/>
      <c r="G54" s="1591"/>
      <c r="H54" s="1591"/>
      <c r="I54" s="1591"/>
      <c r="J54" s="1591"/>
      <c r="K54" s="1591"/>
      <c r="L54" s="1591"/>
      <c r="M54" s="1591"/>
      <c r="N54" s="1591"/>
      <c r="O54" s="1591"/>
      <c r="P54" s="1591"/>
      <c r="Q54" s="1591"/>
      <c r="R54" s="1591"/>
      <c r="S54" s="1591"/>
      <c r="T54" s="1591"/>
      <c r="U54" s="1591"/>
      <c r="V54" s="1591"/>
      <c r="W54" s="1592"/>
      <c r="X54" s="1685"/>
      <c r="Y54" s="1686"/>
      <c r="Z54" s="1686"/>
      <c r="AA54" s="1686"/>
      <c r="AB54" s="1686"/>
      <c r="AC54" s="1686"/>
      <c r="AD54" s="1686"/>
      <c r="AE54" s="1686"/>
      <c r="AF54" s="1686"/>
      <c r="AG54" s="1686"/>
      <c r="AH54" s="1585"/>
      <c r="AI54" s="1456"/>
    </row>
    <row r="55" ht="96.75" customHeight="1">
      <c r="A55" s="1468"/>
      <c r="B55" s="1593"/>
      <c r="C55" s="1594" t="str">
        <f>IMAGE("https://i.ibb.co/Lrh0bjy/Bugsy.png")</f>
        <v/>
      </c>
      <c r="D55" s="1687"/>
      <c r="E55" s="1596" t="str">
        <f t="array" ref="E55">IFERROR(VLOOKUP(E56,Dex!$B$3:$G244,3,FALSE),"")</f>
        <v/>
      </c>
      <c r="F55" s="302"/>
      <c r="G55" s="302"/>
      <c r="H55" s="303"/>
      <c r="I55" s="1598"/>
      <c r="J55" s="1596" t="str">
        <f t="array" ref="J55">IFERROR(VLOOKUP(J56,Dex!$B$3:$G244,3,FALSE),"")</f>
        <v/>
      </c>
      <c r="K55" s="302"/>
      <c r="L55" s="302"/>
      <c r="M55" s="303"/>
      <c r="N55" s="1688"/>
      <c r="O55" s="1596" t="str">
        <f t="array" ref="O55">IFERROR(VLOOKUP(O56,Dex!$B$3:$G244,3,FALSE),"")</f>
        <v/>
      </c>
      <c r="P55" s="302"/>
      <c r="Q55" s="302"/>
      <c r="R55" s="303"/>
      <c r="S55" s="1688"/>
      <c r="T55" s="1596" t="str">
        <f t="array" ref="T55">IFERROR(VLOOKUP(T56,Dex!$B$3:$G244,3,FALSE),"")</f>
        <v/>
      </c>
      <c r="U55" s="302"/>
      <c r="V55" s="302"/>
      <c r="W55" s="303"/>
      <c r="X55" s="1688"/>
      <c r="Y55" s="1596" t="str">
        <f t="array" ref="Y55">IFERROR(VLOOKUP(Y56,Dex!$B$3:$G244,3,FALSE),"")</f>
        <v/>
      </c>
      <c r="Z55" s="302"/>
      <c r="AA55" s="302"/>
      <c r="AB55" s="303"/>
      <c r="AC55" s="1598"/>
      <c r="AD55" s="1596" t="str">
        <f t="array" ref="AD55">IFERROR(VLOOKUP(AD56,Dex!$B$3:$G244,3,FALSE),"")</f>
        <v/>
      </c>
      <c r="AE55" s="302"/>
      <c r="AF55" s="302"/>
      <c r="AG55" s="303"/>
      <c r="AH55" s="1689"/>
      <c r="AI55" s="1456"/>
    </row>
    <row r="56" ht="18.75" customHeight="1">
      <c r="A56" s="1468"/>
      <c r="B56" s="1690"/>
      <c r="C56" s="1602" t="s">
        <v>527</v>
      </c>
      <c r="D56" s="1691"/>
      <c r="E56" s="1604" t="s">
        <v>528</v>
      </c>
      <c r="F56" s="1572"/>
      <c r="G56" s="1572"/>
      <c r="H56" s="1605"/>
      <c r="I56" s="1607"/>
      <c r="J56" s="1604" t="s">
        <v>529</v>
      </c>
      <c r="K56" s="1572"/>
      <c r="L56" s="1572"/>
      <c r="M56" s="1605"/>
      <c r="N56" s="1607"/>
      <c r="O56" s="1604" t="s">
        <v>516</v>
      </c>
      <c r="P56" s="1572"/>
      <c r="Q56" s="1572"/>
      <c r="R56" s="1605"/>
      <c r="S56" s="1607"/>
      <c r="T56" s="1604" t="s">
        <v>514</v>
      </c>
      <c r="U56" s="1572"/>
      <c r="V56" s="1572"/>
      <c r="W56" s="1605"/>
      <c r="X56" s="1607"/>
      <c r="Y56" s="1604" t="s">
        <v>530</v>
      </c>
      <c r="Z56" s="1572"/>
      <c r="AA56" s="1572"/>
      <c r="AB56" s="1605"/>
      <c r="AC56" s="1607"/>
      <c r="AD56" s="1604" t="s">
        <v>227</v>
      </c>
      <c r="AE56" s="1572"/>
      <c r="AF56" s="1572"/>
      <c r="AG56" s="1605"/>
      <c r="AH56" s="1692"/>
      <c r="AI56" s="1479"/>
    </row>
    <row r="57">
      <c r="A57" s="1468"/>
      <c r="B57" s="1693"/>
      <c r="C57" s="1481"/>
      <c r="D57" s="1694"/>
      <c r="E57" s="1613" t="s">
        <v>420</v>
      </c>
      <c r="F57" s="1582"/>
      <c r="G57" s="1582"/>
      <c r="H57" s="1614"/>
      <c r="I57" s="1607"/>
      <c r="J57" s="1613" t="s">
        <v>420</v>
      </c>
      <c r="K57" s="1582"/>
      <c r="L57" s="1582"/>
      <c r="M57" s="1614"/>
      <c r="N57" s="1607"/>
      <c r="O57" s="1613" t="s">
        <v>420</v>
      </c>
      <c r="P57" s="1582"/>
      <c r="Q57" s="1582"/>
      <c r="R57" s="1614"/>
      <c r="S57" s="1607"/>
      <c r="T57" s="1613" t="s">
        <v>420</v>
      </c>
      <c r="U57" s="1582"/>
      <c r="V57" s="1582"/>
      <c r="W57" s="1614"/>
      <c r="X57" s="1607"/>
      <c r="Y57" s="1613" t="s">
        <v>420</v>
      </c>
      <c r="Z57" s="1582"/>
      <c r="AA57" s="1582"/>
      <c r="AB57" s="1614"/>
      <c r="AC57" s="1607"/>
      <c r="AD57" s="1613" t="s">
        <v>420</v>
      </c>
      <c r="AE57" s="1582"/>
      <c r="AF57" s="1582"/>
      <c r="AG57" s="1614"/>
      <c r="AH57" s="1695"/>
      <c r="AI57" s="1696"/>
    </row>
    <row r="58" ht="25.5" customHeight="1">
      <c r="A58" s="1468"/>
      <c r="B58" s="1575"/>
      <c r="C58" s="1489"/>
      <c r="D58" s="1623"/>
      <c r="E58" s="1620"/>
      <c r="F58" s="1617" t="str">
        <f t="array" ref="F58">IFERROR(VLOOKUP(E56,Dex!$B$3:$H244,5,FALSE),"")</f>
        <v/>
      </c>
      <c r="G58" s="1618" t="str">
        <f t="array" ref="G58">IFERROR(VLOOKUP(E56,Dex!$B$3:$H244,7,FALSE),"")</f>
        <v/>
      </c>
      <c r="H58" s="1621"/>
      <c r="I58" s="1607"/>
      <c r="J58" s="1620"/>
      <c r="K58" s="1617" t="str">
        <f t="array" ref="K58">IFERROR(VLOOKUP(J56,Dex!$B$3:$H244,5,FALSE),"")</f>
        <v/>
      </c>
      <c r="L58" s="1618" t="str">
        <f t="array" ref="L58">IFERROR(VLOOKUP(J56,Dex!$B$3:$H244,7,FALSE),"")</f>
        <v/>
      </c>
      <c r="M58" s="1621"/>
      <c r="N58" s="1607"/>
      <c r="O58" s="1620"/>
      <c r="P58" s="1617" t="str">
        <f t="array" ref="P58">IFERROR(VLOOKUP(O56,Dex!$B$3:$H244,5,FALSE),"")</f>
        <v/>
      </c>
      <c r="Q58" s="1618" t="str">
        <f t="array" ref="Q58">IFERROR(VLOOKUP(O56,Dex!$B$3:$H244,7,FALSE),"")</f>
        <v/>
      </c>
      <c r="R58" s="1621"/>
      <c r="S58" s="1607"/>
      <c r="T58" s="1620"/>
      <c r="U58" s="1617" t="str">
        <f t="array" ref="U58">IFERROR(VLOOKUP(T56,Dex!$B$3:$H244,5,FALSE),"")</f>
        <v/>
      </c>
      <c r="V58" s="1618" t="str">
        <f t="array" ref="V58">IFERROR(VLOOKUP(T56,Dex!$B$3:$H244,7,FALSE),"")</f>
        <v/>
      </c>
      <c r="W58" s="1621"/>
      <c r="X58" s="1607"/>
      <c r="Y58" s="1620"/>
      <c r="Z58" s="1617" t="str">
        <f t="array" ref="Z58">IFERROR(VLOOKUP(Y56,Dex!$B$3:$H244,5,FALSE),"")</f>
        <v/>
      </c>
      <c r="AA58" s="1618" t="str">
        <f t="array" ref="AA58">IFERROR(VLOOKUP(Y56,Dex!$B$3:$H244,7,FALSE),"")</f>
        <v/>
      </c>
      <c r="AB58" s="1621"/>
      <c r="AC58" s="1607"/>
      <c r="AD58" s="1620"/>
      <c r="AE58" s="1617" t="str">
        <f t="array" ref="AE58">IFERROR(VLOOKUP(AD56,Dex!$B$3:$H244,5,FALSE),"")</f>
        <v/>
      </c>
      <c r="AF58" s="1618" t="str">
        <f t="array" ref="AF58">IFERROR(VLOOKUP(AD56,Dex!$B$3:$H244,7,FALSE),"")</f>
        <v/>
      </c>
      <c r="AG58" s="1621"/>
      <c r="AH58" s="1689"/>
      <c r="AI58" s="1456"/>
    </row>
    <row r="59" ht="2.25" customHeight="1">
      <c r="A59" s="1468"/>
      <c r="B59" s="1575"/>
      <c r="C59" s="1622"/>
      <c r="D59" s="1623"/>
      <c r="E59" s="1627"/>
      <c r="F59" s="1628"/>
      <c r="G59" s="1628"/>
      <c r="H59" s="1629"/>
      <c r="I59" s="1607"/>
      <c r="J59" s="1627"/>
      <c r="K59" s="1628"/>
      <c r="L59" s="1628"/>
      <c r="M59" s="1629"/>
      <c r="N59" s="1607"/>
      <c r="O59" s="1627"/>
      <c r="P59" s="1628"/>
      <c r="Q59" s="1628"/>
      <c r="R59" s="1629"/>
      <c r="S59" s="1607"/>
      <c r="T59" s="1627"/>
      <c r="U59" s="1628"/>
      <c r="V59" s="1628"/>
      <c r="W59" s="1629"/>
      <c r="X59" s="1607"/>
      <c r="Y59" s="1627"/>
      <c r="Z59" s="1628"/>
      <c r="AA59" s="1628"/>
      <c r="AB59" s="1629"/>
      <c r="AC59" s="1607"/>
      <c r="AD59" s="1627"/>
      <c r="AE59" s="1628"/>
      <c r="AF59" s="1628"/>
      <c r="AG59" s="1629"/>
      <c r="AH59" s="1689"/>
      <c r="AI59" s="1456"/>
    </row>
    <row r="60" ht="20.25" customHeight="1">
      <c r="A60" s="1468"/>
      <c r="B60" s="1575"/>
      <c r="C60" s="1576"/>
      <c r="D60" s="1623"/>
      <c r="E60" s="1630" t="s">
        <v>172</v>
      </c>
      <c r="F60" s="1631"/>
      <c r="G60" s="1631"/>
      <c r="H60" s="1632"/>
      <c r="I60" s="1607"/>
      <c r="J60" s="1630" t="s">
        <v>471</v>
      </c>
      <c r="K60" s="1631"/>
      <c r="L60" s="1631"/>
      <c r="M60" s="1632"/>
      <c r="N60" s="1607"/>
      <c r="O60" s="1630" t="s">
        <v>169</v>
      </c>
      <c r="P60" s="1631"/>
      <c r="Q60" s="1631"/>
      <c r="R60" s="1632"/>
      <c r="S60" s="1607"/>
      <c r="T60" s="1630" t="s">
        <v>172</v>
      </c>
      <c r="U60" s="1631"/>
      <c r="V60" s="1631"/>
      <c r="W60" s="1632"/>
      <c r="X60" s="1607"/>
      <c r="Y60" s="1630" t="s">
        <v>531</v>
      </c>
      <c r="Z60" s="1631"/>
      <c r="AA60" s="1631"/>
      <c r="AB60" s="1632"/>
      <c r="AC60" s="1607"/>
      <c r="AD60" s="1630" t="s">
        <v>263</v>
      </c>
      <c r="AE60" s="1631"/>
      <c r="AF60" s="1631"/>
      <c r="AG60" s="1632"/>
      <c r="AH60" s="1689"/>
      <c r="AI60" s="1456"/>
    </row>
    <row r="61" ht="20.25" customHeight="1">
      <c r="A61" s="1468"/>
      <c r="B61" s="1575"/>
      <c r="C61" s="1576"/>
      <c r="D61" s="1623"/>
      <c r="E61" s="1633" t="s">
        <v>532</v>
      </c>
      <c r="F61" s="1582"/>
      <c r="G61" s="1582"/>
      <c r="H61" s="1614"/>
      <c r="I61" s="1607"/>
      <c r="J61" s="1697" t="s">
        <v>533</v>
      </c>
      <c r="K61" s="1582"/>
      <c r="L61" s="1582"/>
      <c r="M61" s="1614"/>
      <c r="N61" s="1607"/>
      <c r="O61" s="1633" t="s">
        <v>208</v>
      </c>
      <c r="P61" s="1582"/>
      <c r="Q61" s="1582"/>
      <c r="R61" s="1614"/>
      <c r="S61" s="1607"/>
      <c r="T61" s="1633" t="s">
        <v>518</v>
      </c>
      <c r="U61" s="1582"/>
      <c r="V61" s="1582"/>
      <c r="W61" s="1614"/>
      <c r="X61" s="1607"/>
      <c r="Y61" s="1633" t="s">
        <v>534</v>
      </c>
      <c r="Z61" s="1582"/>
      <c r="AA61" s="1582"/>
      <c r="AB61" s="1614"/>
      <c r="AC61" s="1607"/>
      <c r="AD61" s="1633" t="s">
        <v>233</v>
      </c>
      <c r="AE61" s="1582"/>
      <c r="AF61" s="1582"/>
      <c r="AG61" s="1614"/>
      <c r="AH61" s="1689"/>
      <c r="AI61" s="1456"/>
    </row>
    <row r="62" ht="20.25" customHeight="1">
      <c r="A62" s="1468"/>
      <c r="B62" s="1575"/>
      <c r="C62" s="1622"/>
      <c r="D62" s="1623"/>
      <c r="E62" s="1634" t="s">
        <v>240</v>
      </c>
      <c r="F62" s="1635"/>
      <c r="G62" s="1636"/>
      <c r="H62" s="1637" t="str">
        <f>IMAGE("https://raw.githubusercontent.com/msikma/pokesprite/master/items/hold-item/focus-sash.png",3)</f>
        <v/>
      </c>
      <c r="I62" s="1607"/>
      <c r="J62" s="1634" t="s">
        <v>535</v>
      </c>
      <c r="K62" s="1635"/>
      <c r="L62" s="1636"/>
      <c r="M62" s="1637" t="str">
        <f>IMAGE("https://raw.githubusercontent.com/msikma/pokesprite/master/items/mega-stone/scizorite.png",3)</f>
        <v/>
      </c>
      <c r="N62" s="1607"/>
      <c r="O62" s="1634" t="s">
        <v>211</v>
      </c>
      <c r="P62" s="1635"/>
      <c r="Q62" s="1636"/>
      <c r="R62" s="1637" t="str">
        <f>IMAGE("https://raw.githubusercontent.com/msikma/pokesprite/master/items/hold-item/eviolite.png",3)</f>
        <v/>
      </c>
      <c r="S62" s="1607"/>
      <c r="T62" s="1634" t="s">
        <v>519</v>
      </c>
      <c r="U62" s="1635"/>
      <c r="V62" s="1636"/>
      <c r="W62" s="1637" t="str">
        <f>IMAGE("https://raw.githubusercontent.com/msikma/pokesprite/master/items/hold-item/silver-powder.png",3)</f>
        <v/>
      </c>
      <c r="X62" s="1607"/>
      <c r="Y62" s="1634" t="s">
        <v>394</v>
      </c>
      <c r="Z62" s="1635"/>
      <c r="AA62" s="1636"/>
      <c r="AB62" s="1637" t="str">
        <f>IMAGE("https://raw.githubusercontent.com/msikma/pokesprite/master/items/hold-item/leftovers.png",3)</f>
        <v/>
      </c>
      <c r="AC62" s="1607"/>
      <c r="AD62" s="1634" t="s">
        <v>536</v>
      </c>
      <c r="AE62" s="1635"/>
      <c r="AF62" s="1636"/>
      <c r="AG62" s="1637" t="str">
        <f>IMAGE("https://raw.githubusercontent.com/msikma/pokesprite/master/items/hold-item/magnet.png",3)</f>
        <v/>
      </c>
      <c r="AH62" s="1689"/>
      <c r="AI62" s="1456"/>
    </row>
    <row r="63" ht="20.25" customHeight="1">
      <c r="A63" s="1500"/>
      <c r="B63" s="1575"/>
      <c r="C63" s="1576"/>
      <c r="D63" s="1577"/>
      <c r="E63" s="1630" t="s">
        <v>537</v>
      </c>
      <c r="F63" s="1631"/>
      <c r="G63" s="1631"/>
      <c r="H63" s="1638" t="str">
        <f>IMAGE("https://raw.githubusercontent.com/msikma/pokesprite/master/misc/types/gen8/rock.png",4,20,20)</f>
        <v/>
      </c>
      <c r="I63" s="1607"/>
      <c r="J63" s="1630" t="s">
        <v>522</v>
      </c>
      <c r="K63" s="1631"/>
      <c r="L63" s="1631"/>
      <c r="M63" s="1638" t="str">
        <f>IMAGE("https://raw.githubusercontent.com/msikma/pokesprite/master/misc/types/gen8/steel.png",4,20,20)</f>
        <v/>
      </c>
      <c r="N63" s="1607"/>
      <c r="O63" s="1630" t="s">
        <v>489</v>
      </c>
      <c r="P63" s="1631"/>
      <c r="Q63" s="1631"/>
      <c r="R63" s="1638" t="str">
        <f>IMAGE("https://raw.githubusercontent.com/msikma/pokesprite/master/misc/types/gen8/normal.png",4,20,20)</f>
        <v/>
      </c>
      <c r="S63" s="1607"/>
      <c r="T63" s="1630" t="s">
        <v>368</v>
      </c>
      <c r="U63" s="1631"/>
      <c r="V63" s="1631"/>
      <c r="W63" s="1638" t="str">
        <f t="shared" ref="W63:W64" si="4">IMAGE("https://raw.githubusercontent.com/msikma/pokesprite/master/misc/types/gen8/bug.png",4,20,20)</f>
        <v/>
      </c>
      <c r="X63" s="1607"/>
      <c r="Y63" s="1630" t="s">
        <v>538</v>
      </c>
      <c r="Z63" s="1631"/>
      <c r="AA63" s="1631"/>
      <c r="AB63" s="1638" t="str">
        <f>IMAGE("https://raw.githubusercontent.com/msikma/pokesprite/master/misc/types/gen8/bug.png",4,20,20)</f>
        <v/>
      </c>
      <c r="AC63" s="1607"/>
      <c r="AD63" s="1630" t="s">
        <v>539</v>
      </c>
      <c r="AE63" s="1631"/>
      <c r="AF63" s="1631"/>
      <c r="AG63" s="1638" t="str">
        <f>IMAGE("https://raw.githubusercontent.com/msikma/pokesprite/master/misc/types/gen8/electric.png",4,20,20)</f>
        <v/>
      </c>
      <c r="AH63" s="1684"/>
      <c r="AI63" s="1456"/>
    </row>
    <row r="64" ht="20.25" customHeight="1">
      <c r="A64" s="1500"/>
      <c r="B64" s="1575"/>
      <c r="C64" s="1576"/>
      <c r="D64" s="1577"/>
      <c r="E64" s="1633" t="s">
        <v>538</v>
      </c>
      <c r="F64" s="1582"/>
      <c r="G64" s="1582"/>
      <c r="H64" s="1639" t="str">
        <f t="shared" ref="H64:H65" si="5">IMAGE("https://raw.githubusercontent.com/msikma/pokesprite/master/misc/types/gen8/bug.png",4,20,20)</f>
        <v/>
      </c>
      <c r="I64" s="1607"/>
      <c r="J64" s="1633" t="s">
        <v>408</v>
      </c>
      <c r="K64" s="1582"/>
      <c r="L64" s="1582"/>
      <c r="M64" s="1639" t="str">
        <f>IMAGE("https://raw.githubusercontent.com/msikma/pokesprite/master/misc/types/gen8/flying.png",4,20,20)</f>
        <v/>
      </c>
      <c r="N64" s="1607"/>
      <c r="O64" s="1633" t="s">
        <v>408</v>
      </c>
      <c r="P64" s="1582"/>
      <c r="Q64" s="1582"/>
      <c r="R64" s="1639" t="str">
        <f>IMAGE("https://raw.githubusercontent.com/msikma/pokesprite/master/misc/types/gen8/flying.png",4,20,20)</f>
        <v/>
      </c>
      <c r="S64" s="1607"/>
      <c r="T64" s="1633" t="s">
        <v>278</v>
      </c>
      <c r="U64" s="1582"/>
      <c r="V64" s="1582"/>
      <c r="W64" s="1639" t="str">
        <f t="shared" si="4"/>
        <v/>
      </c>
      <c r="X64" s="1607"/>
      <c r="Y64" s="1633" t="s">
        <v>346</v>
      </c>
      <c r="Z64" s="1582"/>
      <c r="AA64" s="1582"/>
      <c r="AB64" s="1639" t="str">
        <f>IMAGE("https://raw.githubusercontent.com/msikma/pokesprite/master/misc/types/gen8/water.png",4,20,20)</f>
        <v/>
      </c>
      <c r="AC64" s="1607"/>
      <c r="AD64" s="1633" t="s">
        <v>247</v>
      </c>
      <c r="AE64" s="1582"/>
      <c r="AF64" s="1582"/>
      <c r="AG64" s="1639" t="str">
        <f>IMAGE("https://raw.githubusercontent.com/msikma/pokesprite/master/misc/types/gen8/bug.png",4,20,20)</f>
        <v/>
      </c>
      <c r="AH64" s="1684"/>
      <c r="AI64" s="1456"/>
    </row>
    <row r="65" ht="20.25" customHeight="1">
      <c r="A65" s="1468"/>
      <c r="B65" s="1575"/>
      <c r="C65" s="1576"/>
      <c r="D65" s="1577"/>
      <c r="E65" s="1633" t="s">
        <v>278</v>
      </c>
      <c r="F65" s="1582"/>
      <c r="G65" s="1582"/>
      <c r="H65" s="1639" t="str">
        <f t="shared" si="5"/>
        <v/>
      </c>
      <c r="I65" s="1607"/>
      <c r="J65" s="1633" t="s">
        <v>278</v>
      </c>
      <c r="K65" s="1582"/>
      <c r="L65" s="1582"/>
      <c r="M65" s="1639" t="str">
        <f>IMAGE("https://raw.githubusercontent.com/msikma/pokesprite/master/misc/types/gen8/bug.png",4,20,20)</f>
        <v/>
      </c>
      <c r="N65" s="1607"/>
      <c r="O65" s="1633" t="s">
        <v>521</v>
      </c>
      <c r="P65" s="1582"/>
      <c r="Q65" s="1582"/>
      <c r="R65" s="1639" t="str">
        <f>IMAGE("https://raw.githubusercontent.com/msikma/pokesprite/master/misc/types/gen8/bug.png",4,20,20)</f>
        <v/>
      </c>
      <c r="S65" s="1607"/>
      <c r="T65" s="1633" t="s">
        <v>279</v>
      </c>
      <c r="U65" s="1582"/>
      <c r="V65" s="1582"/>
      <c r="W65" s="1639" t="str">
        <f t="shared" ref="W65:W66" si="6">IMAGE("https://raw.githubusercontent.com/msikma/pokesprite/master/misc/types/gen8/dark.png",4,20,20)</f>
        <v/>
      </c>
      <c r="X65" s="1607"/>
      <c r="Y65" s="1633" t="s">
        <v>187</v>
      </c>
      <c r="Z65" s="1582"/>
      <c r="AA65" s="1582"/>
      <c r="AB65" s="1639" t="str">
        <f>IMAGE("https://raw.githubusercontent.com/msikma/pokesprite/master/misc/types/gen8/normal.png",4,20,20)</f>
        <v/>
      </c>
      <c r="AC65" s="1607"/>
      <c r="AD65" s="1633" t="s">
        <v>242</v>
      </c>
      <c r="AE65" s="1582"/>
      <c r="AF65" s="1582"/>
      <c r="AG65" s="1639" t="str">
        <f>IMAGE("https://raw.githubusercontent.com/msikma/pokesprite/master/misc/types/gen8/electric.png",4,20,20)</f>
        <v/>
      </c>
      <c r="AH65" s="1684"/>
      <c r="AI65" s="1456"/>
    </row>
    <row r="66" ht="21.0" customHeight="1">
      <c r="A66" s="1468"/>
      <c r="B66" s="1575"/>
      <c r="C66" s="1576"/>
      <c r="D66" s="1577"/>
      <c r="E66" s="1640" t="s">
        <v>540</v>
      </c>
      <c r="F66" s="1641"/>
      <c r="G66" s="1641"/>
      <c r="H66" s="1642" t="str">
        <f>IMAGE("https://raw.githubusercontent.com/msikma/pokesprite/master/misc/types/gen8/dark.png",4,20,20)</f>
        <v/>
      </c>
      <c r="I66" s="1645"/>
      <c r="J66" s="1640" t="s">
        <v>507</v>
      </c>
      <c r="K66" s="1641"/>
      <c r="L66" s="1641"/>
      <c r="M66" s="1642" t="str">
        <f>IMAGE("https://raw.githubusercontent.com/msikma/pokesprite/master/misc/types/gen8/fighting.png",4,20,20)</f>
        <v/>
      </c>
      <c r="N66" s="1645"/>
      <c r="O66" s="1640" t="s">
        <v>507</v>
      </c>
      <c r="P66" s="1641"/>
      <c r="Q66" s="1641"/>
      <c r="R66" s="1642" t="str">
        <f>IMAGE("https://raw.githubusercontent.com/msikma/pokesprite/master/misc/types/gen8/fighting.png",4,20,20)</f>
        <v/>
      </c>
      <c r="S66" s="1645"/>
      <c r="T66" s="1640" t="s">
        <v>541</v>
      </c>
      <c r="U66" s="1641"/>
      <c r="V66" s="1641"/>
      <c r="W66" s="1642" t="str">
        <f t="shared" si="6"/>
        <v/>
      </c>
      <c r="X66" s="1645"/>
      <c r="Y66" s="1640" t="s">
        <v>184</v>
      </c>
      <c r="Z66" s="1641"/>
      <c r="AA66" s="1641"/>
      <c r="AB66" s="1642" t="str">
        <f>IMAGE("https://raw.githubusercontent.com/msikma/pokesprite/master/misc/types/gen8/poison.png",4,20,20)</f>
        <v/>
      </c>
      <c r="AC66" s="1645"/>
      <c r="AD66" s="1640" t="s">
        <v>377</v>
      </c>
      <c r="AE66" s="1641"/>
      <c r="AF66" s="1641"/>
      <c r="AG66" s="1642" t="str">
        <f>IMAGE("https://raw.githubusercontent.com/msikma/pokesprite/master/misc/types/gen8/grass.png",4,20,20)</f>
        <v/>
      </c>
      <c r="AH66" s="1684"/>
      <c r="AI66" s="1456"/>
    </row>
    <row r="67" ht="3.0" customHeight="1">
      <c r="A67" s="1468"/>
      <c r="B67" s="1648"/>
      <c r="C67" s="1649"/>
      <c r="D67" s="1698"/>
      <c r="E67" s="1699"/>
      <c r="F67" s="1699"/>
      <c r="G67" s="1699"/>
      <c r="H67" s="1699"/>
      <c r="I67" s="1700"/>
      <c r="J67" s="1699"/>
      <c r="K67" s="1699"/>
      <c r="L67" s="1699"/>
      <c r="M67" s="1699"/>
      <c r="N67" s="1700"/>
      <c r="O67" s="1699"/>
      <c r="P67" s="1699"/>
      <c r="Q67" s="1699"/>
      <c r="R67" s="1699"/>
      <c r="S67" s="1700"/>
      <c r="T67" s="1699"/>
      <c r="U67" s="1699"/>
      <c r="V67" s="1699"/>
      <c r="W67" s="1699"/>
      <c r="X67" s="1700"/>
      <c r="Y67" s="1701"/>
      <c r="Z67" s="1702"/>
      <c r="AA67" s="1702"/>
      <c r="AB67" s="1703"/>
      <c r="AC67" s="1704"/>
      <c r="AD67" s="1703"/>
      <c r="AE67" s="1703"/>
      <c r="AF67" s="1703"/>
      <c r="AG67" s="1703"/>
      <c r="AH67" s="1705"/>
      <c r="AI67" s="1533"/>
    </row>
    <row r="68" ht="16.5" customHeight="1">
      <c r="A68" s="1468"/>
      <c r="B68" s="1656"/>
      <c r="C68" s="1649"/>
      <c r="D68" s="1657"/>
      <c r="E68" s="1658" t="s">
        <v>190</v>
      </c>
      <c r="F68" s="381"/>
      <c r="G68" s="382"/>
      <c r="H68" s="1659" t="s">
        <v>191</v>
      </c>
      <c r="I68" s="1660"/>
      <c r="J68" s="1658" t="s">
        <v>190</v>
      </c>
      <c r="K68" s="381"/>
      <c r="L68" s="382"/>
      <c r="M68" s="1659" t="s">
        <v>191</v>
      </c>
      <c r="N68" s="1660"/>
      <c r="O68" s="1658" t="s">
        <v>190</v>
      </c>
      <c r="P68" s="381"/>
      <c r="Q68" s="382"/>
      <c r="R68" s="1659" t="s">
        <v>191</v>
      </c>
      <c r="S68" s="1662"/>
      <c r="T68" s="1658" t="s">
        <v>190</v>
      </c>
      <c r="U68" s="381"/>
      <c r="V68" s="382"/>
      <c r="W68" s="1659" t="s">
        <v>191</v>
      </c>
      <c r="X68" s="1706"/>
      <c r="Y68" s="1658" t="s">
        <v>190</v>
      </c>
      <c r="Z68" s="381"/>
      <c r="AA68" s="382"/>
      <c r="AB68" s="1659" t="s">
        <v>191</v>
      </c>
      <c r="AC68" s="1706"/>
      <c r="AD68" s="1658" t="s">
        <v>190</v>
      </c>
      <c r="AE68" s="381"/>
      <c r="AF68" s="382"/>
      <c r="AG68" s="1659" t="s">
        <v>191</v>
      </c>
      <c r="AH68" s="1707"/>
      <c r="AI68" s="1542"/>
    </row>
    <row r="69" ht="15.75" customHeight="1">
      <c r="A69" s="1468"/>
      <c r="B69" s="1656"/>
      <c r="C69" s="1649"/>
      <c r="D69" s="1657"/>
      <c r="E69" s="1667" t="s">
        <v>192</v>
      </c>
      <c r="F69" s="1668">
        <f t="array" ref="F69">IFERROR(VLOOKUP(E56,Dex!$B$3:$N244,8,FALSE),"")</f>
        <v>85</v>
      </c>
      <c r="G69" s="1669" t="str">
        <f t="array" ref="G69">IFERROR(VLOOKUP(F69,Dex!$P$22:$Q$276,2,FALSE),"")</f>
        <v/>
      </c>
      <c r="H69" s="1670"/>
      <c r="I69" s="1708"/>
      <c r="J69" s="1667" t="s">
        <v>192</v>
      </c>
      <c r="K69" s="1668">
        <f t="array" ref="K69">IFERROR(VLOOKUP(J56,Dex!$B$3:$N244,8,FALSE),"")</f>
        <v>70</v>
      </c>
      <c r="L69" s="1669" t="str">
        <f t="array" ref="L69">IFERROR(VLOOKUP(K69,Dex!$P$22:$Q$276,2,FALSE),"")</f>
        <v/>
      </c>
      <c r="M69" s="1670">
        <v>252.0</v>
      </c>
      <c r="N69" s="1708"/>
      <c r="O69" s="1667" t="s">
        <v>192</v>
      </c>
      <c r="P69" s="1668">
        <f t="array" ref="P69">IFERROR(VLOOKUP(O56,Dex!$B$3:$N244,8,FALSE),"")</f>
        <v>70</v>
      </c>
      <c r="Q69" s="1669" t="str">
        <f t="array" ref="Q69">IFERROR(VLOOKUP(P69,Dex!$P$22:$Q$276,2,FALSE),"")</f>
        <v/>
      </c>
      <c r="R69" s="1670"/>
      <c r="S69" s="1709"/>
      <c r="T69" s="1667" t="s">
        <v>192</v>
      </c>
      <c r="U69" s="1668">
        <f t="array" ref="U69">IFERROR(VLOOKUP(T56,Dex!$B$3:$N244,8,FALSE),"")</f>
        <v>71</v>
      </c>
      <c r="V69" s="1669" t="str">
        <f t="array" ref="V69">IFERROR(VLOOKUP(U69,Dex!$P$22:$Q$276,2,FALSE),"")</f>
        <v/>
      </c>
      <c r="W69" s="1670"/>
      <c r="X69" s="1710"/>
      <c r="Y69" s="1667" t="s">
        <v>192</v>
      </c>
      <c r="Z69" s="1668">
        <f t="array" ref="Z69">IFERROR(VLOOKUP(Y56,Dex!$B$3:$N244,8,FALSE),"")</f>
        <v>68</v>
      </c>
      <c r="AA69" s="1669" t="str">
        <f t="array" ref="AA69">IFERROR(VLOOKUP(Z69,Dex!$P$22:$Q$276,2,FALSE),"")</f>
        <v/>
      </c>
      <c r="AB69" s="1670">
        <v>252.0</v>
      </c>
      <c r="AC69" s="1710"/>
      <c r="AD69" s="1667" t="s">
        <v>192</v>
      </c>
      <c r="AE69" s="1668">
        <f t="array" ref="AE69">IFERROR(VLOOKUP(AD56,Dex!$B$3:$N244,8,FALSE),"")</f>
        <v>77</v>
      </c>
      <c r="AF69" s="1669" t="str">
        <f t="array" ref="AF69">IFERROR(VLOOKUP(AE69,Dex!$P$22:$Q$276,2,FALSE),"")</f>
        <v/>
      </c>
      <c r="AG69" s="1670">
        <v>252.0</v>
      </c>
      <c r="AH69" s="1711"/>
      <c r="AI69" s="1542"/>
    </row>
    <row r="70" ht="15.75" customHeight="1">
      <c r="A70" s="1468"/>
      <c r="B70" s="1656"/>
      <c r="C70" s="1649"/>
      <c r="D70" s="1657"/>
      <c r="E70" s="1671" t="s">
        <v>193</v>
      </c>
      <c r="F70" s="1672">
        <f t="array" ref="F70">IFERROR(VLOOKUP(E56,Dex!$B$3:$N244,9,FALSE),"")</f>
        <v>135</v>
      </c>
      <c r="G70" s="1673" t="str">
        <f t="array" ref="G70">IFERROR(VLOOKUP(F70,Dex!$P$22:$Q$276,2,FALSE),"")</f>
        <v/>
      </c>
      <c r="H70" s="1674">
        <v>252.0</v>
      </c>
      <c r="I70" s="1708"/>
      <c r="J70" s="1671" t="s">
        <v>193</v>
      </c>
      <c r="K70" s="1672">
        <f t="array" ref="K70">IFERROR(VLOOKUP(J56,Dex!$B$3:$N244,9,FALSE),"")</f>
        <v>150</v>
      </c>
      <c r="L70" s="1673" t="str">
        <f t="array" ref="L70">IFERROR(VLOOKUP(K70,Dex!$P$22:$Q$276,2,FALSE),"")</f>
        <v/>
      </c>
      <c r="M70" s="1674">
        <v>252.0</v>
      </c>
      <c r="N70" s="1708"/>
      <c r="O70" s="1671" t="s">
        <v>193</v>
      </c>
      <c r="P70" s="1672">
        <f t="array" ref="P70">IFERROR(VLOOKUP(O56,Dex!$B$3:$N244,9,FALSE),"")</f>
        <v>110</v>
      </c>
      <c r="Q70" s="1673" t="str">
        <f t="array" ref="Q70">IFERROR(VLOOKUP(P70,Dex!$P$22:$Q$276,2,FALSE),"")</f>
        <v/>
      </c>
      <c r="R70" s="1674">
        <v>252.0</v>
      </c>
      <c r="S70" s="1709"/>
      <c r="T70" s="1671" t="s">
        <v>193</v>
      </c>
      <c r="U70" s="1672">
        <f t="array" ref="U70">IFERROR(VLOOKUP(T56,Dex!$B$3:$N244,9,FALSE),"")</f>
        <v>102</v>
      </c>
      <c r="V70" s="1673" t="str">
        <f t="array" ref="V70">IFERROR(VLOOKUP(U70,Dex!$P$22:$Q$276,2,FALSE),"")</f>
        <v/>
      </c>
      <c r="W70" s="1674">
        <v>252.0</v>
      </c>
      <c r="X70" s="1710"/>
      <c r="Y70" s="1671" t="s">
        <v>193</v>
      </c>
      <c r="Z70" s="1672">
        <f t="array" ref="Z70">IFERROR(VLOOKUP(Y56,Dex!$B$3:$N244,9,FALSE),"")</f>
        <v>70</v>
      </c>
      <c r="AA70" s="1673" t="str">
        <f t="array" ref="AA70">IFERROR(VLOOKUP(Z70,Dex!$P$22:$Q$276,2,FALSE),"")</f>
        <v/>
      </c>
      <c r="AB70" s="1674">
        <v>4.0</v>
      </c>
      <c r="AC70" s="1710"/>
      <c r="AD70" s="1671" t="s">
        <v>193</v>
      </c>
      <c r="AE70" s="1672">
        <f t="array" ref="AE70">IFERROR(VLOOKUP(AD56,Dex!$B$3:$N244,9,FALSE),"")</f>
        <v>70</v>
      </c>
      <c r="AF70" s="1673" t="str">
        <f t="array" ref="AF70">IFERROR(VLOOKUP(AE70,Dex!$P$22:$Q$276,2,FALSE),"")</f>
        <v/>
      </c>
      <c r="AG70" s="1674"/>
      <c r="AH70" s="1711"/>
      <c r="AI70" s="1542"/>
    </row>
    <row r="71" ht="15.75" customHeight="1">
      <c r="A71" s="1468"/>
      <c r="B71" s="1656"/>
      <c r="C71" s="1649"/>
      <c r="D71" s="1657"/>
      <c r="E71" s="1671" t="s">
        <v>194</v>
      </c>
      <c r="F71" s="1672">
        <f t="array" ref="F71">IFERROR(VLOOKUP(E56,Dex!$B$3:$N244,10,FALSE),"")</f>
        <v>95</v>
      </c>
      <c r="G71" s="1673" t="str">
        <f t="array" ref="G71">IFERROR(VLOOKUP(F71,Dex!$P$22:$Q$276,2,FALSE),"")</f>
        <v/>
      </c>
      <c r="H71" s="1674">
        <v>4.0</v>
      </c>
      <c r="I71" s="1708"/>
      <c r="J71" s="1671" t="s">
        <v>194</v>
      </c>
      <c r="K71" s="1672">
        <f t="array" ref="K71">IFERROR(VLOOKUP(J56,Dex!$B$3:$N244,10,FALSE),"")</f>
        <v>140</v>
      </c>
      <c r="L71" s="1673" t="str">
        <f t="array" ref="L71">IFERROR(VLOOKUP(K71,Dex!$P$22:$Q$276,2,FALSE),"")</f>
        <v/>
      </c>
      <c r="M71" s="1674">
        <v>4.0</v>
      </c>
      <c r="N71" s="1708"/>
      <c r="O71" s="1671" t="s">
        <v>194</v>
      </c>
      <c r="P71" s="1672">
        <f t="array" ref="P71">IFERROR(VLOOKUP(O56,Dex!$B$3:$N244,10,FALSE),"")</f>
        <v>80</v>
      </c>
      <c r="Q71" s="1673" t="str">
        <f t="array" ref="Q71">IFERROR(VLOOKUP(P71,Dex!$P$22:$Q$276,2,FALSE),"")</f>
        <v/>
      </c>
      <c r="R71" s="1674">
        <v>4.0</v>
      </c>
      <c r="S71" s="1709"/>
      <c r="T71" s="1671" t="s">
        <v>194</v>
      </c>
      <c r="U71" s="1672">
        <f t="array" ref="U71">IFERROR(VLOOKUP(T56,Dex!$B$3:$N244,10,FALSE),"")</f>
        <v>78</v>
      </c>
      <c r="V71" s="1673" t="str">
        <f t="array" ref="V71">IFERROR(VLOOKUP(U71,Dex!$P$22:$Q$276,2,FALSE),"")</f>
        <v/>
      </c>
      <c r="W71" s="1674">
        <v>4.0</v>
      </c>
      <c r="X71" s="1710"/>
      <c r="Y71" s="1671" t="s">
        <v>194</v>
      </c>
      <c r="Z71" s="1672">
        <f t="array" ref="Z71">IFERROR(VLOOKUP(Y56,Dex!$B$3:$N244,10,FALSE),"")</f>
        <v>92</v>
      </c>
      <c r="AA71" s="1673" t="str">
        <f t="array" ref="AA71">IFERROR(VLOOKUP(Z71,Dex!$P$22:$Q$276,2,FALSE),"")</f>
        <v/>
      </c>
      <c r="AB71" s="1674">
        <v>252.0</v>
      </c>
      <c r="AC71" s="1710"/>
      <c r="AD71" s="1671" t="s">
        <v>194</v>
      </c>
      <c r="AE71" s="1672">
        <f t="array" ref="AE71">IFERROR(VLOOKUP(AD56,Dex!$B$3:$N244,10,FALSE),"")</f>
        <v>90</v>
      </c>
      <c r="AF71" s="1673" t="str">
        <f t="array" ref="AF71">IFERROR(VLOOKUP(AE71,Dex!$P$22:$Q$276,2,FALSE),"")</f>
        <v/>
      </c>
      <c r="AG71" s="1674">
        <v>4.0</v>
      </c>
      <c r="AH71" s="1711"/>
      <c r="AI71" s="1542"/>
    </row>
    <row r="72" ht="15.75" customHeight="1">
      <c r="A72" s="1468"/>
      <c r="B72" s="1656"/>
      <c r="C72" s="1649"/>
      <c r="D72" s="1657"/>
      <c r="E72" s="1671" t="s">
        <v>195</v>
      </c>
      <c r="F72" s="1672">
        <f t="array" ref="F72">IFERROR(VLOOKUP(E56,Dex!$B$3:$N244,11,FALSE),"")</f>
        <v>30</v>
      </c>
      <c r="G72" s="1673" t="str">
        <f t="array" ref="G72">IFERROR(VLOOKUP(F72,Dex!$P$22:$Q$276,2,FALSE),"")</f>
        <v/>
      </c>
      <c r="H72" s="1674"/>
      <c r="I72" s="1708"/>
      <c r="J72" s="1671" t="s">
        <v>195</v>
      </c>
      <c r="K72" s="1672">
        <f t="array" ref="K72">IFERROR(VLOOKUP(J56,Dex!$B$3:$N244,11,FALSE),"")</f>
        <v>65</v>
      </c>
      <c r="L72" s="1673" t="str">
        <f t="array" ref="L72">IFERROR(VLOOKUP(K72,Dex!$P$22:$Q$276,2,FALSE),"")</f>
        <v/>
      </c>
      <c r="M72" s="1674"/>
      <c r="N72" s="1708"/>
      <c r="O72" s="1671" t="s">
        <v>195</v>
      </c>
      <c r="P72" s="1672">
        <f t="array" ref="P72">IFERROR(VLOOKUP(O56,Dex!$B$3:$N244,11,FALSE),"")</f>
        <v>55</v>
      </c>
      <c r="Q72" s="1673" t="str">
        <f t="array" ref="Q72">IFERROR(VLOOKUP(P72,Dex!$P$22:$Q$276,2,FALSE),"")</f>
        <v/>
      </c>
      <c r="R72" s="1674"/>
      <c r="S72" s="1709"/>
      <c r="T72" s="1671" t="s">
        <v>195</v>
      </c>
      <c r="U72" s="1672">
        <f t="array" ref="U72">IFERROR(VLOOKUP(T56,Dex!$B$3:$N244,11,FALSE),"")</f>
        <v>52</v>
      </c>
      <c r="V72" s="1673" t="str">
        <f t="array" ref="V72">IFERROR(VLOOKUP(U72,Dex!$P$22:$Q$276,2,FALSE),"")</f>
        <v/>
      </c>
      <c r="W72" s="1674"/>
      <c r="X72" s="1710"/>
      <c r="Y72" s="1671" t="s">
        <v>195</v>
      </c>
      <c r="Z72" s="1672">
        <f t="array" ref="Z72">IFERROR(VLOOKUP(Y56,Dex!$B$3:$N244,11,FALSE),"")</f>
        <v>50</v>
      </c>
      <c r="AA72" s="1673" t="str">
        <f t="array" ref="AA72">IFERROR(VLOOKUP(Z72,Dex!$P$22:$Q$276,2,FALSE),"")</f>
        <v/>
      </c>
      <c r="AB72" s="1674"/>
      <c r="AC72" s="1710"/>
      <c r="AD72" s="1671" t="s">
        <v>195</v>
      </c>
      <c r="AE72" s="1672">
        <f t="array" ref="AE72">IFERROR(VLOOKUP(AD56,Dex!$B$3:$N244,11,FALSE),"")</f>
        <v>145</v>
      </c>
      <c r="AF72" s="1673" t="str">
        <f t="array" ref="AF72">IFERROR(VLOOKUP(AE72,Dex!$P$22:$Q$276,2,FALSE),"")</f>
        <v/>
      </c>
      <c r="AG72" s="1674">
        <v>252.0</v>
      </c>
      <c r="AH72" s="1711"/>
      <c r="AI72" s="1542"/>
    </row>
    <row r="73" ht="15.75" customHeight="1">
      <c r="A73" s="1468"/>
      <c r="B73" s="1656"/>
      <c r="C73" s="1649"/>
      <c r="D73" s="1657"/>
      <c r="E73" s="1671" t="s">
        <v>196</v>
      </c>
      <c r="F73" s="1672">
        <f t="array" ref="F73">IFERROR(VLOOKUP(E56,Dex!$B$3:$N244,12,FALSE),"")</f>
        <v>70</v>
      </c>
      <c r="G73" s="1673" t="str">
        <f t="array" ref="G73">IFERROR(VLOOKUP(F73,Dex!$P$22:$Q$276,2,FALSE),"")</f>
        <v/>
      </c>
      <c r="H73" s="1674"/>
      <c r="I73" s="1708"/>
      <c r="J73" s="1671" t="s">
        <v>196</v>
      </c>
      <c r="K73" s="1672">
        <f t="array" ref="K73">IFERROR(VLOOKUP(J56,Dex!$B$3:$N244,12,FALSE),"")</f>
        <v>100</v>
      </c>
      <c r="L73" s="1673" t="str">
        <f t="array" ref="L73">IFERROR(VLOOKUP(K73,Dex!$P$22:$Q$276,2,FALSE),"")</f>
        <v/>
      </c>
      <c r="M73" s="1674"/>
      <c r="N73" s="1708"/>
      <c r="O73" s="1671" t="s">
        <v>196</v>
      </c>
      <c r="P73" s="1672">
        <f t="array" ref="P73">IFERROR(VLOOKUP(O56,Dex!$B$3:$N244,12,FALSE),"")</f>
        <v>80</v>
      </c>
      <c r="Q73" s="1673" t="str">
        <f t="array" ref="Q73">IFERROR(VLOOKUP(P73,Dex!$P$22:$Q$276,2,FALSE),"")</f>
        <v/>
      </c>
      <c r="R73" s="1674"/>
      <c r="S73" s="1709"/>
      <c r="T73" s="1671" t="s">
        <v>196</v>
      </c>
      <c r="U73" s="1672">
        <f t="array" ref="U73">IFERROR(VLOOKUP(T56,Dex!$B$3:$N244,12,FALSE),"")</f>
        <v>55</v>
      </c>
      <c r="V73" s="1673" t="str">
        <f t="array" ref="V73">IFERROR(VLOOKUP(U73,Dex!$P$22:$Q$276,2,FALSE),"")</f>
        <v/>
      </c>
      <c r="W73" s="1674"/>
      <c r="X73" s="1710"/>
      <c r="Y73" s="1671" t="s">
        <v>196</v>
      </c>
      <c r="Z73" s="1672">
        <f t="array" ref="Z73">IFERROR(VLOOKUP(Y56,Dex!$B$3:$N244,12,FALSE),"")</f>
        <v>132</v>
      </c>
      <c r="AA73" s="1673" t="str">
        <f t="array" ref="AA73">IFERROR(VLOOKUP(Z73,Dex!$P$22:$Q$276,2,FALSE),"")</f>
        <v/>
      </c>
      <c r="AB73" s="1674"/>
      <c r="AC73" s="1710"/>
      <c r="AD73" s="1671" t="s">
        <v>196</v>
      </c>
      <c r="AE73" s="1672">
        <f t="array" ref="AE73">IFERROR(VLOOKUP(AD56,Dex!$B$3:$N244,12,FALSE),"")</f>
        <v>75</v>
      </c>
      <c r="AF73" s="1673" t="str">
        <f t="array" ref="AF73">IFERROR(VLOOKUP(AE73,Dex!$P$22:$Q$276,2,FALSE),"")</f>
        <v/>
      </c>
      <c r="AG73" s="1674"/>
      <c r="AH73" s="1711"/>
      <c r="AI73" s="1542"/>
    </row>
    <row r="74" ht="15.75" customHeight="1">
      <c r="A74" s="1468"/>
      <c r="B74" s="1656"/>
      <c r="C74" s="1204" t="s">
        <v>436</v>
      </c>
      <c r="D74" s="1657"/>
      <c r="E74" s="1675" t="s">
        <v>197</v>
      </c>
      <c r="F74" s="1676">
        <f t="array" ref="F74">IFERROR(VLOOKUP(E56,Dex!$B$3:$N244,13,FALSE),"")</f>
        <v>85</v>
      </c>
      <c r="G74" s="1677" t="str">
        <f t="array" ref="G74">IFERROR(VLOOKUP(F74,Dex!$P$22:$Q$276,2,FALSE),"")</f>
        <v/>
      </c>
      <c r="H74" s="1678">
        <v>252.0</v>
      </c>
      <c r="I74" s="1708"/>
      <c r="J74" s="1675" t="s">
        <v>197</v>
      </c>
      <c r="K74" s="1676">
        <f t="array" ref="K74">IFERROR(VLOOKUP(J56,Dex!$B$3:$N244,13,FALSE),"")</f>
        <v>75</v>
      </c>
      <c r="L74" s="1677" t="str">
        <f t="array" ref="L74">IFERROR(VLOOKUP(K74,Dex!$P$22:$Q$276,2,FALSE),"")</f>
        <v/>
      </c>
      <c r="M74" s="1678"/>
      <c r="N74" s="1708"/>
      <c r="O74" s="1675" t="s">
        <v>197</v>
      </c>
      <c r="P74" s="1676">
        <f t="array" ref="P74">IFERROR(VLOOKUP(O56,Dex!$B$3:$N244,13,FALSE),"")</f>
        <v>105</v>
      </c>
      <c r="Q74" s="1677" t="str">
        <f t="array" ref="Q74">IFERROR(VLOOKUP(P74,Dex!$P$22:$Q$276,2,FALSE),"")</f>
        <v/>
      </c>
      <c r="R74" s="1678">
        <v>252.0</v>
      </c>
      <c r="S74" s="1709"/>
      <c r="T74" s="1675" t="s">
        <v>197</v>
      </c>
      <c r="U74" s="1676">
        <f t="array" ref="U74">IFERROR(VLOOKUP(T56,Dex!$B$3:$N244,13,FALSE),"")</f>
        <v>92</v>
      </c>
      <c r="V74" s="1677" t="str">
        <f t="array" ref="V74">IFERROR(VLOOKUP(U74,Dex!$P$22:$Q$276,2,FALSE),"")</f>
        <v/>
      </c>
      <c r="W74" s="1678">
        <v>252.0</v>
      </c>
      <c r="X74" s="1710"/>
      <c r="Y74" s="1675" t="s">
        <v>197</v>
      </c>
      <c r="Z74" s="1676">
        <f t="array" ref="Z74">IFERROR(VLOOKUP(Y56,Dex!$B$3:$N244,13,FALSE),"")</f>
        <v>42</v>
      </c>
      <c r="AA74" s="1677" t="str">
        <f t="array" ref="AA74">IFERROR(VLOOKUP(Z74,Dex!$P$22:$Q$276,2,FALSE),"")</f>
        <v/>
      </c>
      <c r="AB74" s="1678"/>
      <c r="AC74" s="1710"/>
      <c r="AD74" s="1675" t="s">
        <v>197</v>
      </c>
      <c r="AE74" s="1676">
        <f t="array" ref="AE74">IFERROR(VLOOKUP(AD56,Dex!$B$3:$N244,13,FALSE),"")</f>
        <v>43</v>
      </c>
      <c r="AF74" s="1677" t="str">
        <f t="array" ref="AF74">IFERROR(VLOOKUP(AE74,Dex!$P$22:$Q$276,2,FALSE),"")</f>
        <v/>
      </c>
      <c r="AG74" s="1678"/>
      <c r="AH74" s="1711"/>
      <c r="AI74" s="1542"/>
    </row>
    <row r="75" ht="16.5" customHeight="1">
      <c r="A75" s="1468"/>
      <c r="B75" s="1656"/>
      <c r="C75" s="1205" t="s">
        <v>542</v>
      </c>
      <c r="D75" s="1657"/>
      <c r="E75" s="1679" t="s">
        <v>198</v>
      </c>
      <c r="F75" s="405"/>
      <c r="G75" s="406"/>
      <c r="H75" s="1680">
        <v>128.0</v>
      </c>
      <c r="I75" s="1660"/>
      <c r="J75" s="1679" t="s">
        <v>198</v>
      </c>
      <c r="K75" s="405"/>
      <c r="L75" s="406"/>
      <c r="M75" s="1680">
        <v>81.0</v>
      </c>
      <c r="N75" s="1660"/>
      <c r="O75" s="1679" t="s">
        <v>198</v>
      </c>
      <c r="P75" s="405"/>
      <c r="Q75" s="406"/>
      <c r="R75" s="1680">
        <v>116.0</v>
      </c>
      <c r="S75" s="1662"/>
      <c r="T75" s="1679" t="s">
        <v>198</v>
      </c>
      <c r="U75" s="405"/>
      <c r="V75" s="406"/>
      <c r="W75" s="1680">
        <v>104.0</v>
      </c>
      <c r="X75" s="1706"/>
      <c r="Y75" s="1679" t="s">
        <v>198</v>
      </c>
      <c r="Z75" s="405"/>
      <c r="AA75" s="406"/>
      <c r="AB75" s="1680">
        <v>53.0</v>
      </c>
      <c r="AC75" s="1706"/>
      <c r="AD75" s="1679" t="s">
        <v>198</v>
      </c>
      <c r="AE75" s="405"/>
      <c r="AF75" s="406"/>
      <c r="AG75" s="1680">
        <v>54.0</v>
      </c>
      <c r="AH75" s="1707"/>
      <c r="AI75" s="1542"/>
    </row>
    <row r="76" ht="15.0" customHeight="1">
      <c r="A76" s="1468"/>
      <c r="B76" s="1712"/>
      <c r="C76" s="1713"/>
      <c r="D76" s="1714"/>
      <c r="E76" s="1715"/>
      <c r="F76" s="1715"/>
      <c r="G76" s="1715"/>
      <c r="H76" s="1716"/>
      <c r="I76" s="1714"/>
      <c r="J76" s="1715"/>
      <c r="K76" s="1715"/>
      <c r="L76" s="1715"/>
      <c r="M76" s="1716"/>
      <c r="N76" s="1714"/>
      <c r="O76" s="1715"/>
      <c r="P76" s="1715"/>
      <c r="Q76" s="1715"/>
      <c r="R76" s="1716"/>
      <c r="S76" s="1714"/>
      <c r="T76" s="1715"/>
      <c r="U76" s="1715"/>
      <c r="V76" s="1715"/>
      <c r="W76" s="1716"/>
      <c r="X76" s="1714"/>
      <c r="Y76" s="1715"/>
      <c r="Z76" s="1715"/>
      <c r="AA76" s="1715"/>
      <c r="AB76" s="1716"/>
      <c r="AC76" s="1714"/>
      <c r="AD76" s="1715"/>
      <c r="AE76" s="1715"/>
      <c r="AF76" s="1715"/>
      <c r="AG76" s="1716"/>
      <c r="AH76" s="1717"/>
      <c r="AI76" s="1456"/>
    </row>
    <row r="77" ht="15.0" customHeight="1">
      <c r="A77" s="1468"/>
      <c r="B77" s="1718"/>
      <c r="C77" s="1719"/>
      <c r="D77" s="1720"/>
      <c r="E77" s="1721"/>
      <c r="F77" s="1721"/>
      <c r="G77" s="1721"/>
      <c r="H77" s="1721"/>
      <c r="I77" s="1720"/>
      <c r="J77" s="1721"/>
      <c r="K77" s="1721"/>
      <c r="L77" s="1721"/>
      <c r="M77" s="1721"/>
      <c r="N77" s="1720"/>
      <c r="O77" s="1721"/>
      <c r="P77" s="1721"/>
      <c r="Q77" s="1721"/>
      <c r="R77" s="1721"/>
      <c r="S77" s="1720"/>
      <c r="T77" s="1721"/>
      <c r="U77" s="1721"/>
      <c r="V77" s="1721"/>
      <c r="W77" s="1721"/>
      <c r="X77" s="1720"/>
      <c r="Y77" s="1721"/>
      <c r="Z77" s="1721"/>
      <c r="AA77" s="1721"/>
      <c r="AB77" s="1721"/>
      <c r="AC77" s="1720"/>
      <c r="AD77" s="1720"/>
      <c r="AE77" s="1720"/>
      <c r="AF77" s="1720"/>
      <c r="AG77" s="1720"/>
      <c r="AH77" s="1722"/>
      <c r="AI77" s="1456"/>
    </row>
    <row r="78" ht="96.75" customHeight="1">
      <c r="A78" s="1468"/>
      <c r="B78" s="1723"/>
      <c r="C78" s="1724" t="str">
        <f>IMAGE("https://i.ibb.co/JtgmCkX/Whitney.png")</f>
        <v/>
      </c>
      <c r="D78" s="1725"/>
      <c r="E78" s="1726" t="str">
        <f t="array" ref="E78">IFERROR(VLOOKUP(E79,Dex!$B$3:$G244,3,FALSE),"")</f>
        <v/>
      </c>
      <c r="F78" s="1727"/>
      <c r="G78" s="1727"/>
      <c r="H78" s="1728"/>
      <c r="I78" s="1725"/>
      <c r="J78" s="1726" t="str">
        <f t="array" ref="J78">IFERROR(VLOOKUP(J79,Dex!$B$3:$G244,3,FALSE),"")</f>
        <v/>
      </c>
      <c r="K78" s="1727"/>
      <c r="L78" s="1727"/>
      <c r="M78" s="1728"/>
      <c r="N78" s="1725"/>
      <c r="O78" s="1726" t="str">
        <f t="array" ref="O78">IFERROR(VLOOKUP(O79,Dex!$B$3:$G244,3,FALSE),"")</f>
        <v/>
      </c>
      <c r="P78" s="1727"/>
      <c r="Q78" s="1727"/>
      <c r="R78" s="1728"/>
      <c r="S78" s="1725"/>
      <c r="T78" s="1726" t="str">
        <f t="array" ref="T78">IFERROR(VLOOKUP(T79,Dex!$B$3:$G244,3,FALSE),"")</f>
        <v/>
      </c>
      <c r="U78" s="1727"/>
      <c r="V78" s="1727"/>
      <c r="W78" s="1728"/>
      <c r="X78" s="1725"/>
      <c r="Y78" s="1726" t="str">
        <f t="array" ref="Y78">IFERROR(VLOOKUP(Y79,Dex!$B$3:$G244,3,FALSE),"")</f>
        <v/>
      </c>
      <c r="Z78" s="1727"/>
      <c r="AA78" s="1727"/>
      <c r="AB78" s="1728"/>
      <c r="AC78" s="1729"/>
      <c r="AD78" s="1730"/>
      <c r="AE78" s="1731"/>
      <c r="AF78" s="1731"/>
      <c r="AG78" s="1732"/>
      <c r="AH78" s="1733"/>
      <c r="AI78" s="1456"/>
    </row>
    <row r="79" ht="18.75" customHeight="1">
      <c r="A79" s="1450"/>
      <c r="B79" s="1734"/>
      <c r="C79" s="1735" t="s">
        <v>543</v>
      </c>
      <c r="D79" s="1736"/>
      <c r="E79" s="1737" t="s">
        <v>544</v>
      </c>
      <c r="F79" s="1738"/>
      <c r="G79" s="1738"/>
      <c r="H79" s="1739"/>
      <c r="I79" s="1736"/>
      <c r="J79" s="1737" t="s">
        <v>545</v>
      </c>
      <c r="K79" s="1738"/>
      <c r="L79" s="1738"/>
      <c r="M79" s="1739"/>
      <c r="N79" s="1736"/>
      <c r="O79" s="1737" t="s">
        <v>546</v>
      </c>
      <c r="P79" s="1738"/>
      <c r="Q79" s="1738"/>
      <c r="R79" s="1739"/>
      <c r="S79" s="1736"/>
      <c r="T79" s="1737" t="s">
        <v>547</v>
      </c>
      <c r="U79" s="1738"/>
      <c r="V79" s="1738"/>
      <c r="W79" s="1739"/>
      <c r="X79" s="1736"/>
      <c r="Y79" s="1737" t="s">
        <v>548</v>
      </c>
      <c r="Z79" s="1738"/>
      <c r="AA79" s="1738"/>
      <c r="AB79" s="1739"/>
      <c r="AC79" s="1740"/>
      <c r="AD79" s="1741"/>
      <c r="AE79" s="1731"/>
      <c r="AF79" s="1731"/>
      <c r="AG79" s="1732"/>
      <c r="AH79" s="1742"/>
      <c r="AI79" s="1479"/>
    </row>
    <row r="80">
      <c r="A80" s="1450"/>
      <c r="B80" s="1743"/>
      <c r="C80" s="1481"/>
      <c r="D80" s="1744"/>
      <c r="E80" s="1745" t="s">
        <v>420</v>
      </c>
      <c r="F80" s="1731"/>
      <c r="G80" s="1731"/>
      <c r="H80" s="1746"/>
      <c r="I80" s="1747"/>
      <c r="J80" s="1745" t="s">
        <v>420</v>
      </c>
      <c r="K80" s="1731"/>
      <c r="L80" s="1731"/>
      <c r="M80" s="1746"/>
      <c r="N80" s="1747"/>
      <c r="O80" s="1745" t="s">
        <v>420</v>
      </c>
      <c r="P80" s="1731"/>
      <c r="Q80" s="1731"/>
      <c r="R80" s="1746"/>
      <c r="S80" s="1747"/>
      <c r="T80" s="1745" t="s">
        <v>420</v>
      </c>
      <c r="U80" s="1731"/>
      <c r="V80" s="1731"/>
      <c r="W80" s="1746"/>
      <c r="X80" s="1747"/>
      <c r="Y80" s="1745" t="s">
        <v>420</v>
      </c>
      <c r="Z80" s="1731"/>
      <c r="AA80" s="1731"/>
      <c r="AB80" s="1746"/>
      <c r="AC80" s="1740"/>
      <c r="AD80" s="1730"/>
      <c r="AE80" s="1731"/>
      <c r="AF80" s="1731"/>
      <c r="AG80" s="1732"/>
      <c r="AH80" s="1748"/>
      <c r="AI80" s="1696"/>
    </row>
    <row r="81" ht="25.5" customHeight="1">
      <c r="A81" s="1450"/>
      <c r="B81" s="1749"/>
      <c r="C81" s="1489"/>
      <c r="D81" s="1750"/>
      <c r="E81" s="1751"/>
      <c r="F81" s="1752" t="str">
        <f t="array" ref="F81">IFERROR(VLOOKUP(E79,Dex!$B$3:$H244,5,FALSE),"")</f>
        <v/>
      </c>
      <c r="G81" s="1753" t="str">
        <f t="array" ref="G81">IFERROR(VLOOKUP(E79,Dex!$B$3:$H244,7,FALSE),"")</f>
        <v/>
      </c>
      <c r="H81" s="1754"/>
      <c r="I81" s="1741"/>
      <c r="J81" s="1755"/>
      <c r="K81" s="1752" t="str">
        <f t="array" ref="K81">IFERROR(VLOOKUP(J79,Dex!$B$3:$H244,5,FALSE),"")</f>
        <v/>
      </c>
      <c r="L81" s="1753" t="str">
        <f t="array" ref="L81">IFERROR(VLOOKUP(J79,Dex!$B$3:$H244,7,FALSE),"")</f>
        <v/>
      </c>
      <c r="M81" s="1756"/>
      <c r="N81" s="1741"/>
      <c r="O81" s="1757"/>
      <c r="P81" s="1758" t="str">
        <f t="array" ref="P81">IFERROR(VLOOKUP(O79,Dex!$B$3:$H244,5,FALSE),"")</f>
        <v/>
      </c>
      <c r="Q81" s="1732"/>
      <c r="R81" s="1759"/>
      <c r="S81" s="1741"/>
      <c r="T81" s="1755"/>
      <c r="U81" s="1752" t="str">
        <f t="array" ref="U81">IFERROR(VLOOKUP(T79,Dex!$B$3:$H244,5,FALSE),"")</f>
        <v/>
      </c>
      <c r="V81" s="1753" t="str">
        <f t="array" ref="V81">IFERROR(VLOOKUP(T79,Dex!$B$3:$H244,7,FALSE),"")</f>
        <v/>
      </c>
      <c r="W81" s="1756"/>
      <c r="X81" s="1741"/>
      <c r="Y81" s="1757"/>
      <c r="Z81" s="1758" t="str">
        <f t="array" ref="Z81">IFERROR(VLOOKUP(Y79,Dex!$B$3:$H244,5,FALSE),"")</f>
        <v/>
      </c>
      <c r="AA81" s="1732"/>
      <c r="AB81" s="1759"/>
      <c r="AC81" s="1740"/>
      <c r="AD81" s="1730"/>
      <c r="AE81" s="1731"/>
      <c r="AF81" s="1731"/>
      <c r="AG81" s="1732"/>
      <c r="AH81" s="1733"/>
      <c r="AI81" s="1456"/>
    </row>
    <row r="82" ht="2.25" customHeight="1">
      <c r="A82" s="1468"/>
      <c r="B82" s="1749"/>
      <c r="C82" s="1760"/>
      <c r="D82" s="1730"/>
      <c r="E82" s="1761"/>
      <c r="F82" s="1762"/>
      <c r="G82" s="1762"/>
      <c r="H82" s="1763"/>
      <c r="I82" s="1741"/>
      <c r="J82" s="1764"/>
      <c r="K82" s="1765"/>
      <c r="L82" s="1765"/>
      <c r="M82" s="1766"/>
      <c r="N82" s="1741"/>
      <c r="O82" s="1764"/>
      <c r="P82" s="1762"/>
      <c r="Q82" s="1762"/>
      <c r="R82" s="1766"/>
      <c r="S82" s="1741"/>
      <c r="T82" s="1764"/>
      <c r="U82" s="1765"/>
      <c r="V82" s="1765"/>
      <c r="W82" s="1766"/>
      <c r="X82" s="1741"/>
      <c r="Y82" s="1764"/>
      <c r="Z82" s="1762"/>
      <c r="AA82" s="1762"/>
      <c r="AB82" s="1766"/>
      <c r="AC82" s="1740"/>
      <c r="AD82" s="1767"/>
      <c r="AE82" s="1767"/>
      <c r="AF82" s="1767"/>
      <c r="AG82" s="1767"/>
      <c r="AH82" s="1733"/>
      <c r="AI82" s="1456"/>
    </row>
    <row r="83" ht="20.25" customHeight="1">
      <c r="A83" s="1468"/>
      <c r="B83" s="1749"/>
      <c r="C83" s="1768"/>
      <c r="D83" s="1730"/>
      <c r="E83" s="1769" t="s">
        <v>172</v>
      </c>
      <c r="F83" s="1770"/>
      <c r="G83" s="1770"/>
      <c r="H83" s="1771"/>
      <c r="I83" s="1741"/>
      <c r="J83" s="1769" t="s">
        <v>263</v>
      </c>
      <c r="K83" s="1770"/>
      <c r="L83" s="1770"/>
      <c r="M83" s="1771"/>
      <c r="N83" s="1741"/>
      <c r="O83" s="1769" t="s">
        <v>169</v>
      </c>
      <c r="P83" s="1770"/>
      <c r="Q83" s="1770"/>
      <c r="R83" s="1771"/>
      <c r="S83" s="1741"/>
      <c r="T83" s="1769" t="s">
        <v>263</v>
      </c>
      <c r="U83" s="1770"/>
      <c r="V83" s="1770"/>
      <c r="W83" s="1771"/>
      <c r="X83" s="1741"/>
      <c r="Y83" s="1769" t="s">
        <v>471</v>
      </c>
      <c r="Z83" s="1770"/>
      <c r="AA83" s="1770"/>
      <c r="AB83" s="1771"/>
      <c r="AC83" s="1740"/>
      <c r="AD83" s="1730"/>
      <c r="AE83" s="1731"/>
      <c r="AF83" s="1731"/>
      <c r="AG83" s="1732"/>
      <c r="AH83" s="1733"/>
      <c r="AI83" s="1456"/>
    </row>
    <row r="84" ht="20.25" customHeight="1">
      <c r="A84" s="1468"/>
      <c r="B84" s="1749"/>
      <c r="C84" s="1772"/>
      <c r="D84" s="1730"/>
      <c r="E84" s="1773" t="s">
        <v>361</v>
      </c>
      <c r="F84" s="1731"/>
      <c r="G84" s="1731"/>
      <c r="H84" s="1746"/>
      <c r="I84" s="1741"/>
      <c r="J84" s="1773" t="s">
        <v>549</v>
      </c>
      <c r="K84" s="1731"/>
      <c r="L84" s="1731"/>
      <c r="M84" s="1746"/>
      <c r="N84" s="1741"/>
      <c r="O84" s="1773" t="s">
        <v>550</v>
      </c>
      <c r="P84" s="1731"/>
      <c r="Q84" s="1731"/>
      <c r="R84" s="1746"/>
      <c r="S84" s="1741"/>
      <c r="T84" s="1773" t="s">
        <v>551</v>
      </c>
      <c r="U84" s="1731"/>
      <c r="V84" s="1731"/>
      <c r="W84" s="1746"/>
      <c r="X84" s="1741"/>
      <c r="Y84" s="1773" t="s">
        <v>552</v>
      </c>
      <c r="Z84" s="1731"/>
      <c r="AA84" s="1731"/>
      <c r="AB84" s="1746"/>
      <c r="AC84" s="1740"/>
      <c r="AD84" s="1730"/>
      <c r="AE84" s="1731"/>
      <c r="AF84" s="1731"/>
      <c r="AG84" s="1732"/>
      <c r="AH84" s="1733"/>
      <c r="AI84" s="1456"/>
    </row>
    <row r="85" ht="20.25" customHeight="1">
      <c r="A85" s="1468"/>
      <c r="B85" s="1749"/>
      <c r="C85" s="1774"/>
      <c r="D85" s="1730"/>
      <c r="E85" s="1775" t="s">
        <v>213</v>
      </c>
      <c r="F85" s="1776"/>
      <c r="G85" s="1777"/>
      <c r="H85" s="1778" t="str">
        <f>IMAGE("https://raw.githubusercontent.com/msikma/pokesprite/master/items/berry/sitrus.png",3)</f>
        <v/>
      </c>
      <c r="I85" s="1741"/>
      <c r="J85" s="1775" t="s">
        <v>553</v>
      </c>
      <c r="K85" s="1776"/>
      <c r="L85" s="1777"/>
      <c r="M85" s="1779" t="str">
        <f>IMAGE("https://raw.githubusercontent.com/msikma/pokesprite/master/items/hold-item/twisted-spoon.png",3)</f>
        <v/>
      </c>
      <c r="N85" s="1741"/>
      <c r="O85" s="1775" t="s">
        <v>554</v>
      </c>
      <c r="P85" s="1776"/>
      <c r="Q85" s="1777"/>
      <c r="R85" s="1778" t="str">
        <f>IMAGE("https://raw.githubusercontent.com/msikma/pokesprite/master/items/berry/chople.png",3)</f>
        <v/>
      </c>
      <c r="S85" s="1741"/>
      <c r="T85" s="1775" t="s">
        <v>555</v>
      </c>
      <c r="U85" s="1776"/>
      <c r="V85" s="1777"/>
      <c r="W85" s="1779" t="str">
        <f>IMAGE("https://raw.githubusercontent.com/msikma/pokesprite/master/items/gem/normal.png",3)</f>
        <v/>
      </c>
      <c r="X85" s="1741"/>
      <c r="Y85" s="1775" t="s">
        <v>394</v>
      </c>
      <c r="Z85" s="1776"/>
      <c r="AA85" s="1777"/>
      <c r="AB85" s="1779" t="str">
        <f>IMAGE("https://raw.githubusercontent.com/msikma/pokesprite/master/items/hold-item/leftovers.png",3)</f>
        <v/>
      </c>
      <c r="AC85" s="1740"/>
      <c r="AD85" s="1730"/>
      <c r="AE85" s="1731"/>
      <c r="AF85" s="1731"/>
      <c r="AG85" s="1732"/>
      <c r="AH85" s="1733"/>
      <c r="AI85" s="1456"/>
    </row>
    <row r="86" ht="20.25" customHeight="1">
      <c r="A86" s="1468"/>
      <c r="B86" s="1749"/>
      <c r="C86" s="1780"/>
      <c r="D86" s="1730"/>
      <c r="E86" s="1769" t="s">
        <v>556</v>
      </c>
      <c r="F86" s="1770"/>
      <c r="G86" s="1770"/>
      <c r="H86" s="1781" t="str">
        <f>IMAGE("https://raw.githubusercontent.com/msikma/pokesprite/master/misc/types/gen8/fairy.png",4,20,20)</f>
        <v/>
      </c>
      <c r="I86" s="1741"/>
      <c r="J86" s="1769" t="s">
        <v>318</v>
      </c>
      <c r="K86" s="1770"/>
      <c r="L86" s="1770"/>
      <c r="M86" s="1781" t="str">
        <f>IMAGE("https://raw.githubusercontent.com/msikma/pokesprite/master/misc/types/gen8/ghost.png",4,20,20)</f>
        <v/>
      </c>
      <c r="N86" s="1741"/>
      <c r="O86" s="1769" t="s">
        <v>557</v>
      </c>
      <c r="P86" s="1770"/>
      <c r="Q86" s="1770"/>
      <c r="R86" s="1781" t="str">
        <f t="shared" ref="R86:R87" si="7">IMAGE("https://raw.githubusercontent.com/msikma/pokesprite/master/misc/types/gen8/normal.png",4,20,20)</f>
        <v/>
      </c>
      <c r="S86" s="1741"/>
      <c r="T86" s="1769" t="s">
        <v>558</v>
      </c>
      <c r="U86" s="1770"/>
      <c r="V86" s="1770"/>
      <c r="W86" s="1781" t="str">
        <f>IMAGE("https://raw.githubusercontent.com/msikma/pokesprite/master/misc/types/gen8/dragon.png",4,20,20)</f>
        <v/>
      </c>
      <c r="X86" s="1741"/>
      <c r="Y86" s="1769" t="s">
        <v>557</v>
      </c>
      <c r="Z86" s="1770"/>
      <c r="AA86" s="1770"/>
      <c r="AB86" s="1781" t="str">
        <f>IMAGE("https://raw.githubusercontent.com/msikma/pokesprite/master/misc/types/gen8/normal.png",4,20,20)</f>
        <v/>
      </c>
      <c r="AC86" s="1740"/>
      <c r="AD86" s="1730"/>
      <c r="AE86" s="1731"/>
      <c r="AF86" s="1731"/>
      <c r="AG86" s="1732"/>
      <c r="AH86" s="1733"/>
      <c r="AI86" s="1456"/>
    </row>
    <row r="87" ht="20.25" customHeight="1">
      <c r="A87" s="1468"/>
      <c r="B87" s="1749"/>
      <c r="C87" s="1768"/>
      <c r="D87" s="1730"/>
      <c r="E87" s="1773" t="s">
        <v>559</v>
      </c>
      <c r="F87" s="1731"/>
      <c r="G87" s="1731"/>
      <c r="H87" s="1782" t="str">
        <f>IMAGE("https://raw.githubusercontent.com/msikma/pokesprite/master/misc/types/gen8/steel.png",4,20,20)</f>
        <v/>
      </c>
      <c r="I87" s="1741"/>
      <c r="J87" s="1773" t="s">
        <v>311</v>
      </c>
      <c r="K87" s="1731"/>
      <c r="L87" s="1731"/>
      <c r="M87" s="1782" t="str">
        <f>IMAGE("https://raw.githubusercontent.com/msikma/pokesprite/master/misc/types/gen8/normal.png",4,20,20)</f>
        <v/>
      </c>
      <c r="N87" s="1741"/>
      <c r="O87" s="1773" t="s">
        <v>560</v>
      </c>
      <c r="P87" s="1731"/>
      <c r="Q87" s="1731"/>
      <c r="R87" s="1782" t="str">
        <f t="shared" si="7"/>
        <v/>
      </c>
      <c r="S87" s="1741"/>
      <c r="T87" s="1773" t="s">
        <v>251</v>
      </c>
      <c r="U87" s="1731"/>
      <c r="V87" s="1731"/>
      <c r="W87" s="1782" t="str">
        <f>IMAGE("https://raw.githubusercontent.com/msikma/pokesprite/master/misc/types/gen8/flying.png",4,20,20)</f>
        <v/>
      </c>
      <c r="X87" s="1741"/>
      <c r="Y87" s="1773" t="s">
        <v>251</v>
      </c>
      <c r="Z87" s="1731"/>
      <c r="AA87" s="1731"/>
      <c r="AB87" s="1782" t="str">
        <f>IMAGE("https://raw.githubusercontent.com/msikma/pokesprite/master/misc/types/gen8/flying.png",4,20,20)</f>
        <v/>
      </c>
      <c r="AC87" s="1740"/>
      <c r="AD87" s="1730"/>
      <c r="AE87" s="1731"/>
      <c r="AF87" s="1731"/>
      <c r="AG87" s="1732"/>
      <c r="AH87" s="1733"/>
      <c r="AI87" s="1456"/>
    </row>
    <row r="88" ht="20.25" customHeight="1">
      <c r="A88" s="1468"/>
      <c r="B88" s="1749"/>
      <c r="C88" s="1768"/>
      <c r="D88" s="1730"/>
      <c r="E88" s="1773" t="s">
        <v>279</v>
      </c>
      <c r="F88" s="1731"/>
      <c r="G88" s="1731"/>
      <c r="H88" s="1782" t="str">
        <f>IMAGE("https://raw.githubusercontent.com/msikma/pokesprite/master/misc/types/gen8/dark.png",4,20,20)</f>
        <v/>
      </c>
      <c r="I88" s="1741"/>
      <c r="J88" s="1773" t="s">
        <v>561</v>
      </c>
      <c r="K88" s="1731"/>
      <c r="L88" s="1731"/>
      <c r="M88" s="1782" t="str">
        <f>IMAGE("https://raw.githubusercontent.com/msikma/pokesprite/master/misc/types/gen8/psychic.png",4,20,20)</f>
        <v/>
      </c>
      <c r="N88" s="1741"/>
      <c r="O88" s="1773" t="s">
        <v>562</v>
      </c>
      <c r="P88" s="1731"/>
      <c r="Q88" s="1731"/>
      <c r="R88" s="1782" t="str">
        <f>IMAGE("https://raw.githubusercontent.com/msikma/pokesprite/master/misc/types/gen8/psychic.png",4,20,20)</f>
        <v/>
      </c>
      <c r="S88" s="1741"/>
      <c r="T88" s="1773" t="s">
        <v>372</v>
      </c>
      <c r="U88" s="1731"/>
      <c r="V88" s="1731"/>
      <c r="W88" s="1782" t="str">
        <f>IMAGE("https://raw.githubusercontent.com/msikma/pokesprite/master/misc/types/gen8/fire.png",4,20,20)</f>
        <v/>
      </c>
      <c r="X88" s="1741"/>
      <c r="Y88" s="1773" t="s">
        <v>563</v>
      </c>
      <c r="Z88" s="1731"/>
      <c r="AA88" s="1731"/>
      <c r="AB88" s="1782" t="str">
        <f>IMAGE("https://raw.githubusercontent.com/msikma/pokesprite/master/misc/types/gen8/dark.png",4,20,20)</f>
        <v/>
      </c>
      <c r="AC88" s="1740"/>
      <c r="AD88" s="1730"/>
      <c r="AE88" s="1731"/>
      <c r="AF88" s="1731"/>
      <c r="AG88" s="1732"/>
      <c r="AH88" s="1733"/>
      <c r="AI88" s="1456"/>
    </row>
    <row r="89" ht="21.0" customHeight="1">
      <c r="A89" s="1468"/>
      <c r="B89" s="1749"/>
      <c r="C89" s="1768"/>
      <c r="D89" s="1730"/>
      <c r="E89" s="1783" t="s">
        <v>564</v>
      </c>
      <c r="F89" s="1784"/>
      <c r="G89" s="1784"/>
      <c r="H89" s="1785" t="str">
        <f>IMAGE("https://raw.githubusercontent.com/msikma/pokesprite/master/misc/types/gen8/normal.png",4,20,20)</f>
        <v/>
      </c>
      <c r="I89" s="1741"/>
      <c r="J89" s="1783" t="s">
        <v>284</v>
      </c>
      <c r="K89" s="1784"/>
      <c r="L89" s="1784"/>
      <c r="M89" s="1785" t="str">
        <f>IMAGE("https://raw.githubusercontent.com/msikma/pokesprite/master/misc/types/gen8/fairy.png",4,20,20)</f>
        <v/>
      </c>
      <c r="N89" s="1741"/>
      <c r="O89" s="1783" t="s">
        <v>282</v>
      </c>
      <c r="P89" s="1784"/>
      <c r="Q89" s="1784"/>
      <c r="R89" s="1785" t="str">
        <f>IMAGE("https://raw.githubusercontent.com/msikma/pokesprite/master/misc/types/gen8/ground.png",4,20,20)</f>
        <v/>
      </c>
      <c r="S89" s="1741"/>
      <c r="T89" s="1783" t="s">
        <v>311</v>
      </c>
      <c r="U89" s="1784"/>
      <c r="V89" s="1784"/>
      <c r="W89" s="1785" t="str">
        <f>IMAGE("https://raw.githubusercontent.com/msikma/pokesprite/master/misc/types/gen8/normal.png",4,20,20)</f>
        <v/>
      </c>
      <c r="X89" s="1741"/>
      <c r="Y89" s="1783" t="s">
        <v>565</v>
      </c>
      <c r="Z89" s="1784"/>
      <c r="AA89" s="1784"/>
      <c r="AB89" s="1785" t="str">
        <f>IMAGE("https://raw.githubusercontent.com/msikma/pokesprite/master/misc/types/gen8/poison.png",4,20,20)</f>
        <v/>
      </c>
      <c r="AC89" s="1786"/>
      <c r="AD89" s="1730"/>
      <c r="AE89" s="1731"/>
      <c r="AF89" s="1731"/>
      <c r="AG89" s="1732"/>
      <c r="AH89" s="1733"/>
      <c r="AI89" s="1456"/>
    </row>
    <row r="90" ht="3.0" customHeight="1">
      <c r="A90" s="1468"/>
      <c r="B90" s="1787"/>
      <c r="C90" s="1788"/>
      <c r="D90" s="1789"/>
      <c r="E90" s="1790"/>
      <c r="F90" s="1790"/>
      <c r="G90" s="1790"/>
      <c r="H90" s="1790"/>
      <c r="I90" s="1789"/>
      <c r="J90" s="1790"/>
      <c r="K90" s="1790"/>
      <c r="L90" s="1790"/>
      <c r="M90" s="1790"/>
      <c r="N90" s="1789"/>
      <c r="O90" s="1790"/>
      <c r="P90" s="1790"/>
      <c r="Q90" s="1790"/>
      <c r="R90" s="1790"/>
      <c r="S90" s="1789"/>
      <c r="T90" s="1790"/>
      <c r="U90" s="1790"/>
      <c r="V90" s="1790"/>
      <c r="W90" s="1790"/>
      <c r="X90" s="1789"/>
      <c r="Y90" s="1791"/>
      <c r="Z90" s="1792"/>
      <c r="AA90" s="1792"/>
      <c r="AB90" s="1793"/>
      <c r="AC90" s="1794"/>
      <c r="AD90" s="1794"/>
      <c r="AE90" s="1794"/>
      <c r="AF90" s="1794"/>
      <c r="AG90" s="1794"/>
      <c r="AH90" s="1795"/>
      <c r="AI90" s="1533"/>
    </row>
    <row r="91" ht="16.5" customHeight="1">
      <c r="A91" s="1468"/>
      <c r="B91" s="1796"/>
      <c r="C91" s="1788"/>
      <c r="D91" s="1797"/>
      <c r="E91" s="1798" t="s">
        <v>190</v>
      </c>
      <c r="F91" s="381"/>
      <c r="G91" s="382"/>
      <c r="H91" s="1799" t="s">
        <v>191</v>
      </c>
      <c r="I91" s="1797"/>
      <c r="J91" s="1798" t="s">
        <v>190</v>
      </c>
      <c r="K91" s="381"/>
      <c r="L91" s="382"/>
      <c r="M91" s="1799" t="s">
        <v>191</v>
      </c>
      <c r="N91" s="1797"/>
      <c r="O91" s="1798" t="s">
        <v>190</v>
      </c>
      <c r="P91" s="381"/>
      <c r="Q91" s="382"/>
      <c r="R91" s="1799" t="s">
        <v>191</v>
      </c>
      <c r="S91" s="1797"/>
      <c r="T91" s="1798" t="s">
        <v>190</v>
      </c>
      <c r="U91" s="381"/>
      <c r="V91" s="382"/>
      <c r="W91" s="1799" t="s">
        <v>191</v>
      </c>
      <c r="X91" s="1797"/>
      <c r="Y91" s="1798" t="s">
        <v>190</v>
      </c>
      <c r="Z91" s="381"/>
      <c r="AA91" s="382"/>
      <c r="AB91" s="1799" t="s">
        <v>191</v>
      </c>
      <c r="AC91" s="1800"/>
      <c r="AD91" s="1767"/>
      <c r="AE91" s="1767"/>
      <c r="AF91" s="1767"/>
      <c r="AG91" s="1767"/>
      <c r="AH91" s="1801"/>
      <c r="AI91" s="1542"/>
    </row>
    <row r="92" ht="15.75" customHeight="1">
      <c r="A92" s="1468"/>
      <c r="B92" s="1796"/>
      <c r="C92" s="1788"/>
      <c r="D92" s="1797"/>
      <c r="E92" s="1802" t="s">
        <v>192</v>
      </c>
      <c r="F92" s="1803">
        <f t="array" ref="F92">IFERROR(VLOOKUP(E79,Dex!$B$3:$N244,8,FALSE),"")</f>
        <v>85</v>
      </c>
      <c r="G92" s="1804" t="str">
        <f t="array" ref="G92">IFERROR(VLOOKUP(F92,Dex!$P$22:$Q$276,2,FALSE),"")</f>
        <v/>
      </c>
      <c r="H92" s="1805"/>
      <c r="I92" s="1797"/>
      <c r="J92" s="1802" t="s">
        <v>192</v>
      </c>
      <c r="K92" s="1803">
        <f t="array" ref="K92">IFERROR(VLOOKUP(J79,Dex!$B$3:$N244,8,FALSE),"")</f>
        <v>120</v>
      </c>
      <c r="L92" s="1804" t="str">
        <f t="array" ref="L92">IFERROR(VLOOKUP(K92,Dex!$P$22:$Q$276,2,FALSE),"")</f>
        <v/>
      </c>
      <c r="M92" s="1805">
        <v>252.0</v>
      </c>
      <c r="N92" s="1797"/>
      <c r="O92" s="1802" t="s">
        <v>192</v>
      </c>
      <c r="P92" s="1803">
        <f t="array" ref="P92">IFERROR(VLOOKUP(O79,Dex!$B$3:$N244,8,FALSE),"")</f>
        <v>95</v>
      </c>
      <c r="Q92" s="1804" t="str">
        <f t="array" ref="Q92">IFERROR(VLOOKUP(P92,Dex!$P$22:$Q$276,2,FALSE),"")</f>
        <v/>
      </c>
      <c r="R92" s="1805">
        <v>252.0</v>
      </c>
      <c r="S92" s="1797"/>
      <c r="T92" s="1802" t="s">
        <v>192</v>
      </c>
      <c r="U92" s="1803">
        <f t="array" ref="U92">IFERROR(VLOOKUP(T79,Dex!$B$3:$N244,8,FALSE),"")</f>
        <v>103</v>
      </c>
      <c r="V92" s="1804" t="str">
        <f t="array" ref="V92">IFERROR(VLOOKUP(U92,Dex!$P$22:$Q$276,2,FALSE),"")</f>
        <v/>
      </c>
      <c r="W92" s="1805">
        <v>252.0</v>
      </c>
      <c r="X92" s="1797"/>
      <c r="Y92" s="1802" t="s">
        <v>192</v>
      </c>
      <c r="Z92" s="1803">
        <f t="array" ref="Z92">IFERROR(VLOOKUP(Y79,Dex!$B$3:$N244,8,FALSE),"")</f>
        <v>125</v>
      </c>
      <c r="AA92" s="1804" t="str">
        <f t="array" ref="AA92">IFERROR(VLOOKUP(Z92,Dex!$P$22:$Q$276,2,FALSE),"")</f>
        <v/>
      </c>
      <c r="AB92" s="1805">
        <v>252.0</v>
      </c>
      <c r="AC92" s="1800"/>
      <c r="AD92" s="1767"/>
      <c r="AE92" s="1767"/>
      <c r="AF92" s="1767"/>
      <c r="AG92" s="1767"/>
      <c r="AH92" s="1801"/>
      <c r="AI92" s="1542"/>
    </row>
    <row r="93" ht="15.75" customHeight="1">
      <c r="A93" s="1468"/>
      <c r="B93" s="1796"/>
      <c r="C93" s="1788"/>
      <c r="D93" s="1797"/>
      <c r="E93" s="1806" t="s">
        <v>193</v>
      </c>
      <c r="F93" s="1807">
        <f t="array" ref="F93">IFERROR(VLOOKUP(E79,Dex!$B$3:$N244,9,FALSE),"")</f>
        <v>85</v>
      </c>
      <c r="G93" s="1808" t="str">
        <f t="array" ref="G93">IFERROR(VLOOKUP(F93,Dex!$P$22:$Q$276,2,FALSE),"")</f>
        <v/>
      </c>
      <c r="H93" s="1809">
        <v>252.0</v>
      </c>
      <c r="I93" s="1797"/>
      <c r="J93" s="1806" t="s">
        <v>193</v>
      </c>
      <c r="K93" s="1807">
        <f t="array" ref="K93">IFERROR(VLOOKUP(J79,Dex!$B$3:$N244,9,FALSE),"")</f>
        <v>90</v>
      </c>
      <c r="L93" s="1808" t="str">
        <f t="array" ref="L93">IFERROR(VLOOKUP(K93,Dex!$P$22:$Q$276,2,FALSE),"")</f>
        <v/>
      </c>
      <c r="M93" s="1809"/>
      <c r="N93" s="1797"/>
      <c r="O93" s="1806" t="s">
        <v>193</v>
      </c>
      <c r="P93" s="1807">
        <f t="array" ref="P93">IFERROR(VLOOKUP(O79,Dex!$B$3:$N244,9,FALSE),"")</f>
        <v>85</v>
      </c>
      <c r="Q93" s="1808" t="str">
        <f t="array" ref="Q93">IFERROR(VLOOKUP(P93,Dex!$P$22:$Q$276,2,FALSE),"")</f>
        <v/>
      </c>
      <c r="R93" s="1809">
        <v>252.0</v>
      </c>
      <c r="S93" s="1797"/>
      <c r="T93" s="1806" t="s">
        <v>193</v>
      </c>
      <c r="U93" s="1807">
        <f t="array" ref="U93">IFERROR(VLOOKUP(T79,Dex!$B$3:$N244,9,FALSE),"")</f>
        <v>50</v>
      </c>
      <c r="V93" s="1808" t="str">
        <f t="array" ref="V93">IFERROR(VLOOKUP(U93,Dex!$P$22:$Q$276,2,FALSE),"")</f>
        <v/>
      </c>
      <c r="W93" s="1809"/>
      <c r="X93" s="1797"/>
      <c r="Y93" s="1806" t="s">
        <v>193</v>
      </c>
      <c r="Z93" s="1807">
        <f t="array" ref="Z93">IFERROR(VLOOKUP(Y79,Dex!$B$3:$N244,9,FALSE),"")</f>
        <v>100</v>
      </c>
      <c r="AA93" s="1808" t="str">
        <f t="array" ref="AA93">IFERROR(VLOOKUP(Z93,Dex!$P$22:$Q$276,2,FALSE),"")</f>
        <v/>
      </c>
      <c r="AB93" s="1809"/>
      <c r="AC93" s="1800"/>
      <c r="AD93" s="1767"/>
      <c r="AE93" s="1767"/>
      <c r="AF93" s="1767"/>
      <c r="AG93" s="1767"/>
      <c r="AH93" s="1801"/>
      <c r="AI93" s="1542"/>
    </row>
    <row r="94" ht="15.75" customHeight="1">
      <c r="A94" s="1468"/>
      <c r="B94" s="1796"/>
      <c r="C94" s="1788"/>
      <c r="D94" s="1797"/>
      <c r="E94" s="1806" t="s">
        <v>194</v>
      </c>
      <c r="F94" s="1807">
        <f t="array" ref="F94">IFERROR(VLOOKUP(E79,Dex!$B$3:$N244,10,FALSE),"")</f>
        <v>87</v>
      </c>
      <c r="G94" s="1808" t="str">
        <f t="array" ref="G94">IFERROR(VLOOKUP(F94,Dex!$P$22:$Q$276,2,FALSE),"")</f>
        <v/>
      </c>
      <c r="H94" s="1809">
        <v>4.0</v>
      </c>
      <c r="I94" s="1797"/>
      <c r="J94" s="1806" t="s">
        <v>194</v>
      </c>
      <c r="K94" s="1807">
        <f t="array" ref="K94">IFERROR(VLOOKUP(J79,Dex!$B$3:$N244,10,FALSE),"")</f>
        <v>70</v>
      </c>
      <c r="L94" s="1808" t="str">
        <f t="array" ref="L94">IFERROR(VLOOKUP(K94,Dex!$P$22:$Q$276,2,FALSE),"")</f>
        <v/>
      </c>
      <c r="M94" s="1809">
        <v>4.0</v>
      </c>
      <c r="N94" s="1797"/>
      <c r="O94" s="1806" t="s">
        <v>194</v>
      </c>
      <c r="P94" s="1807">
        <f t="array" ref="P94">IFERROR(VLOOKUP(O79,Dex!$B$3:$N244,10,FALSE),"")</f>
        <v>105</v>
      </c>
      <c r="Q94" s="1808" t="str">
        <f t="array" ref="Q94">IFERROR(VLOOKUP(P94,Dex!$P$22:$Q$276,2,FALSE),"")</f>
        <v/>
      </c>
      <c r="R94" s="1809">
        <v>4.0</v>
      </c>
      <c r="S94" s="1797"/>
      <c r="T94" s="1806" t="s">
        <v>194</v>
      </c>
      <c r="U94" s="1807">
        <f t="array" ref="U94">IFERROR(VLOOKUP(T79,Dex!$B$3:$N244,10,FALSE),"")</f>
        <v>85</v>
      </c>
      <c r="V94" s="1808" t="str">
        <f t="array" ref="V94">IFERROR(VLOOKUP(U94,Dex!$P$22:$Q$276,2,FALSE),"")</f>
        <v/>
      </c>
      <c r="W94" s="1809">
        <v>4.0</v>
      </c>
      <c r="X94" s="1797"/>
      <c r="Y94" s="1806" t="s">
        <v>194</v>
      </c>
      <c r="Z94" s="1807">
        <f t="array" ref="Z94">IFERROR(VLOOKUP(Y79,Dex!$B$3:$N244,10,FALSE),"")</f>
        <v>80</v>
      </c>
      <c r="AA94" s="1808" t="str">
        <f t="array" ref="AA94">IFERROR(VLOOKUP(Z94,Dex!$P$22:$Q$276,2,FALSE),"")</f>
        <v/>
      </c>
      <c r="AB94" s="1809">
        <v>4.0</v>
      </c>
      <c r="AC94" s="1800"/>
      <c r="AD94" s="1767"/>
      <c r="AE94" s="1767"/>
      <c r="AF94" s="1767"/>
      <c r="AG94" s="1767"/>
      <c r="AH94" s="1801"/>
      <c r="AI94" s="1542"/>
    </row>
    <row r="95" ht="15.75" customHeight="1">
      <c r="A95" s="1468"/>
      <c r="B95" s="1796"/>
      <c r="C95" s="1788"/>
      <c r="D95" s="1797"/>
      <c r="E95" s="1806" t="s">
        <v>195</v>
      </c>
      <c r="F95" s="1807">
        <f t="array" ref="F95">IFERROR(VLOOKUP(E79,Dex!$B$3:$N244,11,FALSE),"")</f>
        <v>70</v>
      </c>
      <c r="G95" s="1808" t="str">
        <f t="array" ref="G95">IFERROR(VLOOKUP(F95,Dex!$P$22:$Q$276,2,FALSE),"")</f>
        <v/>
      </c>
      <c r="H95" s="1809"/>
      <c r="I95" s="1797"/>
      <c r="J95" s="1806" t="s">
        <v>195</v>
      </c>
      <c r="K95" s="1807">
        <f t="array" ref="K95">IFERROR(VLOOKUP(J79,Dex!$B$3:$N244,11,FALSE),"")</f>
        <v>110</v>
      </c>
      <c r="L95" s="1808" t="str">
        <f t="array" ref="L95">IFERROR(VLOOKUP(K95,Dex!$P$22:$Q$276,2,FALSE),"")</f>
        <v/>
      </c>
      <c r="M95" s="1809"/>
      <c r="N95" s="1797"/>
      <c r="O95" s="1806" t="s">
        <v>195</v>
      </c>
      <c r="P95" s="1807">
        <f t="array" ref="P95">IFERROR(VLOOKUP(O79,Dex!$B$3:$N244,11,FALSE),"")</f>
        <v>40</v>
      </c>
      <c r="Q95" s="1808" t="str">
        <f t="array" ref="Q95">IFERROR(VLOOKUP(P95,Dex!$P$22:$Q$276,2,FALSE),"")</f>
        <v/>
      </c>
      <c r="R95" s="1809"/>
      <c r="S95" s="1797"/>
      <c r="T95" s="1806" t="s">
        <v>195</v>
      </c>
      <c r="U95" s="1807">
        <f t="array" ref="U95">IFERROR(VLOOKUP(T79,Dex!$B$3:$N244,11,FALSE),"")</f>
        <v>135</v>
      </c>
      <c r="V95" s="1808" t="str">
        <f t="array" ref="V95">IFERROR(VLOOKUP(U95,Dex!$P$22:$Q$276,2,FALSE),"")</f>
        <v/>
      </c>
      <c r="W95" s="1809"/>
      <c r="X95" s="1797"/>
      <c r="Y95" s="1806" t="s">
        <v>195</v>
      </c>
      <c r="Z95" s="1807">
        <f t="array" ref="Z95">IFERROR(VLOOKUP(Y79,Dex!$B$3:$N244,11,FALSE),"")</f>
        <v>85</v>
      </c>
      <c r="AA95" s="1808" t="str">
        <f t="array" ref="AA95">IFERROR(VLOOKUP(Z95,Dex!$P$22:$Q$276,2,FALSE),"")</f>
        <v/>
      </c>
      <c r="AB95" s="1809"/>
      <c r="AC95" s="1800"/>
      <c r="AD95" s="1767"/>
      <c r="AE95" s="1767"/>
      <c r="AF95" s="1767"/>
      <c r="AG95" s="1767"/>
      <c r="AH95" s="1801"/>
      <c r="AI95" s="1542"/>
    </row>
    <row r="96" ht="15.75" customHeight="1">
      <c r="A96" s="1468"/>
      <c r="B96" s="1796"/>
      <c r="C96" s="1788"/>
      <c r="D96" s="1797"/>
      <c r="E96" s="1806" t="s">
        <v>196</v>
      </c>
      <c r="F96" s="1807">
        <f t="array" ref="F96">IFERROR(VLOOKUP(E79,Dex!$B$3:$N244,12,FALSE),"")</f>
        <v>105</v>
      </c>
      <c r="G96" s="1808" t="str">
        <f t="array" ref="G96">IFERROR(VLOOKUP(F96,Dex!$P$22:$Q$276,2,FALSE),"")</f>
        <v/>
      </c>
      <c r="H96" s="1809"/>
      <c r="I96" s="1797"/>
      <c r="J96" s="1806" t="s">
        <v>196</v>
      </c>
      <c r="K96" s="1807">
        <f t="array" ref="K96">IFERROR(VLOOKUP(J79,Dex!$B$3:$N244,12,FALSE),"")</f>
        <v>70</v>
      </c>
      <c r="L96" s="1808" t="str">
        <f t="array" ref="L96">IFERROR(VLOOKUP(K96,Dex!$P$22:$Q$276,2,FALSE),"")</f>
        <v/>
      </c>
      <c r="M96" s="1809"/>
      <c r="N96" s="1797"/>
      <c r="O96" s="1806" t="s">
        <v>196</v>
      </c>
      <c r="P96" s="1807">
        <f t="array" ref="P96">IFERROR(VLOOKUP(O79,Dex!$B$3:$N244,12,FALSE),"")</f>
        <v>70</v>
      </c>
      <c r="Q96" s="1808" t="str">
        <f t="array" ref="Q96">IFERROR(VLOOKUP(P96,Dex!$P$22:$Q$276,2,FALSE),"")</f>
        <v/>
      </c>
      <c r="R96" s="1809"/>
      <c r="S96" s="1797"/>
      <c r="T96" s="1806" t="s">
        <v>196</v>
      </c>
      <c r="U96" s="1807">
        <f t="array" ref="U96">IFERROR(VLOOKUP(T79,Dex!$B$3:$N244,12,FALSE),"")</f>
        <v>91</v>
      </c>
      <c r="V96" s="1808" t="str">
        <f t="array" ref="V96">IFERROR(VLOOKUP(U96,Dex!$P$22:$Q$276,2,FALSE),"")</f>
        <v/>
      </c>
      <c r="W96" s="1809"/>
      <c r="X96" s="1797"/>
      <c r="Y96" s="1806" t="s">
        <v>196</v>
      </c>
      <c r="Z96" s="1807">
        <f t="array" ref="Z96">IFERROR(VLOOKUP(Y79,Dex!$B$3:$N244,12,FALSE),"")</f>
        <v>75</v>
      </c>
      <c r="AA96" s="1808" t="str">
        <f t="array" ref="AA96">IFERROR(VLOOKUP(Z96,Dex!$P$22:$Q$276,2,FALSE),"")</f>
        <v/>
      </c>
      <c r="AB96" s="1809"/>
      <c r="AC96" s="1800"/>
      <c r="AD96" s="1767"/>
      <c r="AE96" s="1767"/>
      <c r="AF96" s="1767"/>
      <c r="AG96" s="1767"/>
      <c r="AH96" s="1801"/>
      <c r="AI96" s="1542"/>
    </row>
    <row r="97" ht="15.75" customHeight="1">
      <c r="A97" s="1468"/>
      <c r="B97" s="1796"/>
      <c r="C97" s="1204" t="s">
        <v>436</v>
      </c>
      <c r="D97" s="1797"/>
      <c r="E97" s="1810" t="s">
        <v>197</v>
      </c>
      <c r="F97" s="1811">
        <f t="array" ref="F97">IFERROR(VLOOKUP(E79,Dex!$B$3:$N244,13,FALSE),"")</f>
        <v>94</v>
      </c>
      <c r="G97" s="1812" t="str">
        <f t="array" ref="G97">IFERROR(VLOOKUP(F97,Dex!$P$22:$Q$276,2,FALSE),"")</f>
        <v/>
      </c>
      <c r="H97" s="1813">
        <v>252.0</v>
      </c>
      <c r="I97" s="1797"/>
      <c r="J97" s="1810" t="s">
        <v>197</v>
      </c>
      <c r="K97" s="1811">
        <f t="array" ref="K97">IFERROR(VLOOKUP(J79,Dex!$B$3:$N244,13,FALSE),"")</f>
        <v>60</v>
      </c>
      <c r="L97" s="1812" t="str">
        <f t="array" ref="L97">IFERROR(VLOOKUP(K97,Dex!$P$22:$Q$276,2,FALSE),"")</f>
        <v/>
      </c>
      <c r="M97" s="1813">
        <v>4.0</v>
      </c>
      <c r="N97" s="1797"/>
      <c r="O97" s="1810" t="s">
        <v>197</v>
      </c>
      <c r="P97" s="1811">
        <f t="array" ref="P97">IFERROR(VLOOKUP(O79,Dex!$B$3:$N244,13,FALSE),"")</f>
        <v>100</v>
      </c>
      <c r="Q97" s="1812" t="str">
        <f t="array" ref="Q97">IFERROR(VLOOKUP(P97,Dex!$P$22:$Q$276,2,FALSE),"")</f>
        <v/>
      </c>
      <c r="R97" s="1813">
        <v>4.0</v>
      </c>
      <c r="S97" s="1797"/>
      <c r="T97" s="1810" t="s">
        <v>197</v>
      </c>
      <c r="U97" s="1811">
        <f t="array" ref="U97">IFERROR(VLOOKUP(T79,Dex!$B$3:$N244,13,FALSE),"")</f>
        <v>36</v>
      </c>
      <c r="V97" s="1812" t="str">
        <f t="array" ref="V97">IFERROR(VLOOKUP(U97,Dex!$P$22:$Q$276,2,FALSE),"")</f>
        <v/>
      </c>
      <c r="W97" s="1813">
        <v>4.0</v>
      </c>
      <c r="X97" s="1797"/>
      <c r="Y97" s="1810" t="s">
        <v>197</v>
      </c>
      <c r="Z97" s="1811">
        <f t="array" ref="Z97">IFERROR(VLOOKUP(Y79,Dex!$B$3:$N244,13,FALSE),"")</f>
        <v>55</v>
      </c>
      <c r="AA97" s="1812" t="str">
        <f t="array" ref="AA97">IFERROR(VLOOKUP(Z97,Dex!$P$22:$Q$276,2,FALSE),"")</f>
        <v/>
      </c>
      <c r="AB97" s="1813">
        <v>4.0</v>
      </c>
      <c r="AC97" s="1800"/>
      <c r="AD97" s="1767"/>
      <c r="AE97" s="1767"/>
      <c r="AF97" s="1767"/>
      <c r="AG97" s="1767"/>
      <c r="AH97" s="1801"/>
      <c r="AI97" s="1542"/>
    </row>
    <row r="98" ht="16.5" customHeight="1">
      <c r="A98" s="1468"/>
      <c r="B98" s="1796"/>
      <c r="C98" s="1205" t="s">
        <v>566</v>
      </c>
      <c r="D98" s="1797"/>
      <c r="E98" s="1814" t="s">
        <v>198</v>
      </c>
      <c r="F98" s="405"/>
      <c r="G98" s="406"/>
      <c r="H98" s="1815">
        <v>104.0</v>
      </c>
      <c r="I98" s="1797"/>
      <c r="J98" s="1814" t="s">
        <v>198</v>
      </c>
      <c r="K98" s="405"/>
      <c r="L98" s="406"/>
      <c r="M98" s="1815">
        <v>53.0</v>
      </c>
      <c r="N98" s="1797"/>
      <c r="O98" s="1814" t="s">
        <v>198</v>
      </c>
      <c r="P98" s="405"/>
      <c r="Q98" s="406"/>
      <c r="R98" s="1815">
        <v>79.0</v>
      </c>
      <c r="S98" s="1797"/>
      <c r="T98" s="1814" t="s">
        <v>198</v>
      </c>
      <c r="U98" s="405"/>
      <c r="V98" s="406"/>
      <c r="W98" s="1815">
        <v>38.0</v>
      </c>
      <c r="X98" s="1797"/>
      <c r="Y98" s="1814" t="s">
        <v>198</v>
      </c>
      <c r="Z98" s="405"/>
      <c r="AA98" s="406"/>
      <c r="AB98" s="1815">
        <v>50.0</v>
      </c>
      <c r="AC98" s="1800"/>
      <c r="AD98" s="1767"/>
      <c r="AE98" s="1767"/>
      <c r="AF98" s="1767"/>
      <c r="AG98" s="1767"/>
      <c r="AH98" s="1801"/>
      <c r="AI98" s="1542"/>
    </row>
    <row r="99" ht="15.0" customHeight="1">
      <c r="A99" s="1468"/>
      <c r="B99" s="1816"/>
      <c r="C99" s="1817"/>
      <c r="D99" s="1818"/>
      <c r="E99" s="1819"/>
      <c r="F99" s="1819"/>
      <c r="G99" s="1819"/>
      <c r="H99" s="1819"/>
      <c r="I99" s="1818"/>
      <c r="J99" s="1819"/>
      <c r="K99" s="1819"/>
      <c r="L99" s="1819"/>
      <c r="M99" s="1819"/>
      <c r="N99" s="1818"/>
      <c r="O99" s="1819"/>
      <c r="P99" s="1819"/>
      <c r="Q99" s="1819"/>
      <c r="R99" s="1819"/>
      <c r="S99" s="1818"/>
      <c r="T99" s="1819"/>
      <c r="U99" s="1819"/>
      <c r="V99" s="1819"/>
      <c r="W99" s="1819"/>
      <c r="X99" s="1818"/>
      <c r="Y99" s="1819"/>
      <c r="Z99" s="1819"/>
      <c r="AA99" s="1819"/>
      <c r="AB99" s="1819"/>
      <c r="AC99" s="1818"/>
      <c r="AD99" s="1818"/>
      <c r="AE99" s="1818"/>
      <c r="AF99" s="1818"/>
      <c r="AG99" s="1818"/>
      <c r="AH99" s="1820"/>
      <c r="AI99" s="1456"/>
    </row>
    <row r="100" ht="15.0" customHeight="1">
      <c r="A100" s="1468"/>
      <c r="B100" s="1821"/>
      <c r="C100" s="1822"/>
      <c r="D100" s="1823"/>
      <c r="E100" s="1824"/>
      <c r="F100" s="1824"/>
      <c r="G100" s="1824"/>
      <c r="H100" s="1824"/>
      <c r="I100" s="1823"/>
      <c r="J100" s="1824"/>
      <c r="K100" s="1824"/>
      <c r="L100" s="1824"/>
      <c r="M100" s="1824"/>
      <c r="N100" s="1823"/>
      <c r="O100" s="1824"/>
      <c r="P100" s="1824"/>
      <c r="Q100" s="1824"/>
      <c r="R100" s="1824"/>
      <c r="S100" s="1823"/>
      <c r="T100" s="1824"/>
      <c r="U100" s="1824"/>
      <c r="V100" s="1824"/>
      <c r="W100" s="1824"/>
      <c r="X100" s="1823"/>
      <c r="Y100" s="1824"/>
      <c r="Z100" s="1824"/>
      <c r="AA100" s="1824"/>
      <c r="AB100" s="1824"/>
      <c r="AC100" s="1823"/>
      <c r="AD100" s="1824"/>
      <c r="AE100" s="1824"/>
      <c r="AF100" s="1824"/>
      <c r="AG100" s="1824"/>
      <c r="AH100" s="1825"/>
      <c r="AI100" s="1456"/>
    </row>
    <row r="101" ht="96.75" customHeight="1">
      <c r="A101" s="1468"/>
      <c r="B101" s="1826"/>
      <c r="C101" s="1827" t="str">
        <f>IMAGE("https://i.ibb.co/h9K4sWf/Morty.png")</f>
        <v/>
      </c>
      <c r="D101" s="1828"/>
      <c r="E101" s="1829" t="str">
        <f t="array" ref="E101">IFERROR(VLOOKUP(E102,Dex!$B$3:$G244,3,FALSE),"")</f>
        <v/>
      </c>
      <c r="F101" s="1830"/>
      <c r="G101" s="1830"/>
      <c r="H101" s="1831"/>
      <c r="I101" s="1832"/>
      <c r="J101" s="1829" t="str">
        <f t="array" ref="J101">IFERROR(VLOOKUP(J102,Dex!$B$3:$G244,3,FALSE),"")</f>
        <v/>
      </c>
      <c r="K101" s="1830"/>
      <c r="L101" s="1830"/>
      <c r="M101" s="1831"/>
      <c r="N101" s="1832"/>
      <c r="O101" s="1829" t="str">
        <f t="array" ref="O101">IFERROR(VLOOKUP(O102,Dex!$B$3:$G244,3,FALSE),"")</f>
        <v/>
      </c>
      <c r="P101" s="1830"/>
      <c r="Q101" s="1830"/>
      <c r="R101" s="1831"/>
      <c r="S101" s="1832"/>
      <c r="T101" s="1829" t="str">
        <f t="array" ref="T101">IFERROR(VLOOKUP(T102,Dex!$B$3:$G244,3,FALSE),"")</f>
        <v/>
      </c>
      <c r="U101" s="1830"/>
      <c r="V101" s="1830"/>
      <c r="W101" s="1831"/>
      <c r="X101" s="1832"/>
      <c r="Y101" s="1829" t="str">
        <f t="array" ref="Y101">IFERROR(VLOOKUP(Y102,Dex!$B$3:$G244,3,FALSE),"")</f>
        <v/>
      </c>
      <c r="Z101" s="1830"/>
      <c r="AA101" s="1830"/>
      <c r="AB101" s="1831"/>
      <c r="AC101" s="1832"/>
      <c r="AD101" s="1829" t="str">
        <f t="array" ref="AD101">IFERROR(VLOOKUP(AD102,Dex!$B$3:$G244,3,FALSE),"")</f>
        <v/>
      </c>
      <c r="AE101" s="1830"/>
      <c r="AF101" s="1830"/>
      <c r="AG101" s="1831"/>
      <c r="AH101" s="1833"/>
      <c r="AI101" s="1456"/>
    </row>
    <row r="102" ht="18.75" customHeight="1">
      <c r="A102" s="1468"/>
      <c r="B102" s="1834"/>
      <c r="C102" s="1835" t="s">
        <v>567</v>
      </c>
      <c r="D102" s="1836"/>
      <c r="E102" s="1837" t="s">
        <v>568</v>
      </c>
      <c r="F102" s="1838"/>
      <c r="G102" s="1838"/>
      <c r="H102" s="1839"/>
      <c r="J102" s="1837" t="s">
        <v>569</v>
      </c>
      <c r="K102" s="1838"/>
      <c r="L102" s="1838"/>
      <c r="M102" s="1839"/>
      <c r="O102" s="1837" t="s">
        <v>570</v>
      </c>
      <c r="P102" s="1838"/>
      <c r="Q102" s="1838"/>
      <c r="R102" s="1839"/>
      <c r="T102" s="1837" t="s">
        <v>571</v>
      </c>
      <c r="U102" s="1838"/>
      <c r="V102" s="1838"/>
      <c r="W102" s="1839"/>
      <c r="Y102" s="1837" t="s">
        <v>572</v>
      </c>
      <c r="Z102" s="1838"/>
      <c r="AA102" s="1838"/>
      <c r="AB102" s="1839"/>
      <c r="AD102" s="1837" t="s">
        <v>573</v>
      </c>
      <c r="AE102" s="1838"/>
      <c r="AF102" s="1838"/>
      <c r="AG102" s="1839"/>
      <c r="AH102" s="1840"/>
      <c r="AI102" s="1479"/>
    </row>
    <row r="103">
      <c r="A103" s="1468"/>
      <c r="B103" s="1841"/>
      <c r="C103" s="1481"/>
      <c r="D103" s="1842"/>
      <c r="E103" s="1843" t="s">
        <v>420</v>
      </c>
      <c r="F103" s="1844"/>
      <c r="G103" s="1844"/>
      <c r="H103" s="1845"/>
      <c r="J103" s="1843" t="s">
        <v>420</v>
      </c>
      <c r="K103" s="1844"/>
      <c r="L103" s="1844"/>
      <c r="M103" s="1845"/>
      <c r="O103" s="1843" t="s">
        <v>420</v>
      </c>
      <c r="P103" s="1844"/>
      <c r="Q103" s="1844"/>
      <c r="R103" s="1845"/>
      <c r="T103" s="1843" t="s">
        <v>420</v>
      </c>
      <c r="U103" s="1844"/>
      <c r="V103" s="1844"/>
      <c r="W103" s="1845"/>
      <c r="Y103" s="1843" t="s">
        <v>420</v>
      </c>
      <c r="Z103" s="1844"/>
      <c r="AA103" s="1844"/>
      <c r="AB103" s="1845"/>
      <c r="AD103" s="1843" t="s">
        <v>420</v>
      </c>
      <c r="AE103" s="1844"/>
      <c r="AF103" s="1844"/>
      <c r="AG103" s="1845"/>
      <c r="AH103" s="1846"/>
      <c r="AI103" s="1696"/>
    </row>
    <row r="104" ht="25.5" customHeight="1">
      <c r="A104" s="1468"/>
      <c r="B104" s="1847"/>
      <c r="C104" s="1489"/>
      <c r="D104" s="1848"/>
      <c r="E104" s="1849"/>
      <c r="F104" s="1850" t="str">
        <f t="array" ref="F104">IFERROR(VLOOKUP(E102,Dex!$B$3:$H244,5,FALSE),"")</f>
        <v/>
      </c>
      <c r="G104" s="1851" t="str">
        <f t="array" ref="G104">IFERROR(VLOOKUP(E102,Dex!$B$3:$H244,7,FALSE),"")</f>
        <v/>
      </c>
      <c r="H104" s="1852"/>
      <c r="J104" s="1853"/>
      <c r="K104" s="1854" t="str">
        <f t="array" ref="K104">IFERROR(VLOOKUP(J102,Dex!$B$3:$H244,5,FALSE),"")</f>
        <v/>
      </c>
      <c r="L104" s="1855"/>
      <c r="M104" s="1856"/>
      <c r="O104" s="1857"/>
      <c r="P104" s="1850" t="str">
        <f t="array" ref="P104">IFERROR(VLOOKUP(O102,Dex!$B$3:$H244,5,FALSE),"")</f>
        <v/>
      </c>
      <c r="Q104" s="1851" t="str">
        <f t="array" ref="Q104">IFERROR(VLOOKUP(O102,Dex!$B$3:$H244,7,FALSE),"")</f>
        <v/>
      </c>
      <c r="R104" s="1858"/>
      <c r="T104" s="1857"/>
      <c r="U104" s="1850" t="str">
        <f t="array" ref="U104">IFERROR(VLOOKUP(T102,Dex!$B$3:$H244,5,FALSE),"")</f>
        <v/>
      </c>
      <c r="V104" s="1851" t="str">
        <f t="array" ref="V104">IFERROR(VLOOKUP(T102,Dex!$B$3:$H244,7,FALSE),"")</f>
        <v/>
      </c>
      <c r="W104" s="1858"/>
      <c r="Y104" s="1857"/>
      <c r="Z104" s="1850" t="str">
        <f t="array" ref="Z104">IFERROR(VLOOKUP(Y102,Dex!$B$3:$H244,5,FALSE),"")</f>
        <v/>
      </c>
      <c r="AA104" s="1851" t="str">
        <f t="array" ref="AA104">IFERROR(VLOOKUP(Y102,Dex!$B$3:$H244,7,FALSE),"")</f>
        <v/>
      </c>
      <c r="AB104" s="1859"/>
      <c r="AD104" s="1857"/>
      <c r="AE104" s="1850" t="str">
        <f t="array" ref="AE104">IFERROR(VLOOKUP(AD102,Dex!$B$3:$H244,5,FALSE),"")</f>
        <v/>
      </c>
      <c r="AF104" s="1851" t="str">
        <f t="array" ref="AF104">IFERROR(VLOOKUP(AD102,Dex!$B$3:$H244,7,FALSE),"")</f>
        <v/>
      </c>
      <c r="AG104" s="1859"/>
      <c r="AH104" s="1833"/>
      <c r="AI104" s="1456"/>
    </row>
    <row r="105" ht="2.25" customHeight="1">
      <c r="A105" s="1468"/>
      <c r="B105" s="1847"/>
      <c r="C105" s="1860"/>
      <c r="D105" s="1861"/>
      <c r="E105" s="1862"/>
      <c r="F105" s="1863"/>
      <c r="G105" s="1863"/>
      <c r="H105" s="1864"/>
      <c r="J105" s="1865"/>
      <c r="K105" s="1863"/>
      <c r="L105" s="1863"/>
      <c r="M105" s="1866"/>
      <c r="O105" s="1865"/>
      <c r="P105" s="1867"/>
      <c r="Q105" s="1867"/>
      <c r="R105" s="1866"/>
      <c r="T105" s="1865"/>
      <c r="U105" s="1867"/>
      <c r="V105" s="1867"/>
      <c r="W105" s="1866"/>
      <c r="Y105" s="1865"/>
      <c r="Z105" s="1867"/>
      <c r="AA105" s="1867"/>
      <c r="AB105" s="1868"/>
      <c r="AD105" s="1865"/>
      <c r="AE105" s="1867"/>
      <c r="AF105" s="1867"/>
      <c r="AG105" s="1868"/>
      <c r="AH105" s="1833"/>
      <c r="AI105" s="1456"/>
    </row>
    <row r="106" ht="20.25" customHeight="1">
      <c r="A106" s="1468"/>
      <c r="B106" s="1847"/>
      <c r="C106" s="1869"/>
      <c r="D106" s="1861"/>
      <c r="E106" s="1870" t="s">
        <v>172</v>
      </c>
      <c r="F106" s="1871"/>
      <c r="G106" s="1871"/>
      <c r="H106" s="1872"/>
      <c r="J106" s="1870" t="s">
        <v>169</v>
      </c>
      <c r="K106" s="1871"/>
      <c r="L106" s="1871"/>
      <c r="M106" s="1872"/>
      <c r="O106" s="1870" t="s">
        <v>205</v>
      </c>
      <c r="P106" s="1871"/>
      <c r="Q106" s="1871"/>
      <c r="R106" s="1872"/>
      <c r="T106" s="1870" t="s">
        <v>205</v>
      </c>
      <c r="U106" s="1871"/>
      <c r="V106" s="1871"/>
      <c r="W106" s="1872"/>
      <c r="Y106" s="1870" t="s">
        <v>205</v>
      </c>
      <c r="Z106" s="1871"/>
      <c r="AA106" s="1871"/>
      <c r="AB106" s="1872"/>
      <c r="AD106" s="1870" t="s">
        <v>172</v>
      </c>
      <c r="AE106" s="1871"/>
      <c r="AF106" s="1871"/>
      <c r="AG106" s="1872"/>
      <c r="AH106" s="1833"/>
      <c r="AI106" s="1456"/>
    </row>
    <row r="107">
      <c r="A107" s="1468"/>
      <c r="B107" s="1847"/>
      <c r="C107" s="1873"/>
      <c r="D107" s="1861"/>
      <c r="E107" s="1874" t="s">
        <v>574</v>
      </c>
      <c r="F107" s="1844"/>
      <c r="G107" s="1844"/>
      <c r="H107" s="1845"/>
      <c r="J107" s="1874" t="s">
        <v>485</v>
      </c>
      <c r="K107" s="1844"/>
      <c r="L107" s="1844"/>
      <c r="M107" s="1845"/>
      <c r="O107" s="1874" t="s">
        <v>575</v>
      </c>
      <c r="P107" s="1844"/>
      <c r="Q107" s="1844"/>
      <c r="R107" s="1845"/>
      <c r="T107" s="1874" t="s">
        <v>576</v>
      </c>
      <c r="U107" s="1844"/>
      <c r="V107" s="1844"/>
      <c r="W107" s="1845"/>
      <c r="Y107" s="1874" t="s">
        <v>577</v>
      </c>
      <c r="Z107" s="1844"/>
      <c r="AA107" s="1844"/>
      <c r="AB107" s="1845"/>
      <c r="AD107" s="1874" t="s">
        <v>532</v>
      </c>
      <c r="AE107" s="1844"/>
      <c r="AF107" s="1844"/>
      <c r="AG107" s="1845"/>
      <c r="AH107" s="1833"/>
      <c r="AI107" s="1456"/>
    </row>
    <row r="108" ht="20.25" customHeight="1">
      <c r="A108" s="1468"/>
      <c r="B108" s="1847"/>
      <c r="C108" s="1875"/>
      <c r="D108" s="1861"/>
      <c r="E108" s="1876" t="s">
        <v>363</v>
      </c>
      <c r="F108" s="1877"/>
      <c r="G108" s="1878"/>
      <c r="H108" s="1879" t="str">
        <f>IMAGE("https://raw.githubusercontent.com/msikma/pokesprite/master/items/berry/lum.png",3)</f>
        <v/>
      </c>
      <c r="J108" s="1876" t="s">
        <v>578</v>
      </c>
      <c r="K108" s="1877"/>
      <c r="L108" s="1878"/>
      <c r="M108" s="1879" t="str">
        <f>IMAGE("https://raw.githubusercontent.com/msikma/pokesprite/master/items/evo-item/reaper-cloth.png",3)</f>
        <v/>
      </c>
      <c r="O108" s="1876" t="s">
        <v>579</v>
      </c>
      <c r="P108" s="1877"/>
      <c r="Q108" s="1878"/>
      <c r="R108" s="1879" t="str">
        <f>IMAGE("https://raw.githubusercontent.com/msikma/pokesprite/master/items/berry/colbur.png",3)</f>
        <v/>
      </c>
      <c r="T108" s="1876" t="s">
        <v>394</v>
      </c>
      <c r="U108" s="1877"/>
      <c r="V108" s="1878"/>
      <c r="W108" s="1879" t="str">
        <f>IMAGE("https://raw.githubusercontent.com/msikma/pokesprite/master/items/hold-item/leftovers.png",3)</f>
        <v/>
      </c>
      <c r="Y108" s="1876" t="s">
        <v>580</v>
      </c>
      <c r="Z108" s="1877"/>
      <c r="AA108" s="1878"/>
      <c r="AB108" s="1879" t="str">
        <f>IMAGE("https://raw.githubusercontent.com/msikma/pokesprite/master/items/mega-stone/gengarite.png",3)</f>
        <v/>
      </c>
      <c r="AD108" s="1876" t="s">
        <v>240</v>
      </c>
      <c r="AE108" s="1877"/>
      <c r="AF108" s="1878"/>
      <c r="AG108" s="1879" t="str">
        <f>IMAGE("https://raw.githubusercontent.com/msikma/pokesprite/master/items/hold-item/focus-sash.png",3)</f>
        <v/>
      </c>
      <c r="AH108" s="1833"/>
      <c r="AI108" s="1456"/>
    </row>
    <row r="109" ht="20.25" customHeight="1">
      <c r="A109" s="1468"/>
      <c r="B109" s="1847"/>
      <c r="C109" s="1880"/>
      <c r="D109" s="1861"/>
      <c r="E109" s="1870" t="s">
        <v>556</v>
      </c>
      <c r="F109" s="1871"/>
      <c r="G109" s="1871"/>
      <c r="H109" s="1881" t="str">
        <f>IMAGE("https://raw.githubusercontent.com/msikma/pokesprite/master/misc/types/gen8/fairy.png",4,20,20)</f>
        <v/>
      </c>
      <c r="J109" s="1870" t="s">
        <v>581</v>
      </c>
      <c r="K109" s="1871"/>
      <c r="L109" s="1871"/>
      <c r="M109" s="1881" t="str">
        <f t="shared" ref="M109:M110" si="8">IMAGE("https://raw.githubusercontent.com/msikma/pokesprite/master/misc/types/gen8/ghost.png",4,20,20)</f>
        <v/>
      </c>
      <c r="O109" s="1870" t="s">
        <v>311</v>
      </c>
      <c r="P109" s="1871"/>
      <c r="Q109" s="1871"/>
      <c r="R109" s="1881" t="str">
        <f>IMAGE("https://raw.githubusercontent.com/msikma/pokesprite/master/misc/types/gen8/normal.png",4,20,20)</f>
        <v/>
      </c>
      <c r="T109" s="1870" t="s">
        <v>582</v>
      </c>
      <c r="U109" s="1871"/>
      <c r="V109" s="1871"/>
      <c r="W109" s="1881" t="str">
        <f t="shared" ref="W109:W110" si="9">IMAGE("https://raw.githubusercontent.com/msikma/pokesprite/master/misc/types/gen8/fire.png",4,20,20)</f>
        <v/>
      </c>
      <c r="Y109" s="1870" t="s">
        <v>405</v>
      </c>
      <c r="Z109" s="1871"/>
      <c r="AA109" s="1871"/>
      <c r="AB109" s="1881" t="str">
        <f>IMAGE("https://raw.githubusercontent.com/msikma/pokesprite/master/misc/types/gen8/poison.png",4,20,20)</f>
        <v/>
      </c>
      <c r="AD109" s="1870" t="s">
        <v>583</v>
      </c>
      <c r="AE109" s="1871"/>
      <c r="AF109" s="1871"/>
      <c r="AG109" s="1881" t="str">
        <f>IMAGE("https://raw.githubusercontent.com/msikma/pokesprite/master/misc/types/gen8/fire.png",4,20,20)</f>
        <v/>
      </c>
      <c r="AH109" s="1833"/>
      <c r="AI109" s="1456"/>
    </row>
    <row r="110" ht="20.25" customHeight="1">
      <c r="A110" s="1468"/>
      <c r="B110" s="1847"/>
      <c r="C110" s="1869"/>
      <c r="D110" s="1861"/>
      <c r="E110" s="1874" t="s">
        <v>584</v>
      </c>
      <c r="F110" s="1844"/>
      <c r="G110" s="1844"/>
      <c r="H110" s="1882" t="str">
        <f t="shared" ref="H110:H111" si="10">IMAGE("https://raw.githubusercontent.com/msikma/pokesprite/master/misc/types/gen8/ghost.png",4,20,20)</f>
        <v/>
      </c>
      <c r="J110" s="1874" t="s">
        <v>585</v>
      </c>
      <c r="K110" s="1844"/>
      <c r="L110" s="1844"/>
      <c r="M110" s="1882" t="str">
        <f t="shared" si="8"/>
        <v/>
      </c>
      <c r="O110" s="1874" t="s">
        <v>318</v>
      </c>
      <c r="P110" s="1844"/>
      <c r="Q110" s="1844"/>
      <c r="R110" s="1882" t="str">
        <f>IMAGE("https://raw.githubusercontent.com/msikma/pokesprite/master/misc/types/gen8/ghost.png",4,20,20)</f>
        <v/>
      </c>
      <c r="T110" s="1874" t="s">
        <v>492</v>
      </c>
      <c r="U110" s="1844"/>
      <c r="V110" s="1844"/>
      <c r="W110" s="1882" t="str">
        <f t="shared" si="9"/>
        <v/>
      </c>
      <c r="Y110" s="1874" t="s">
        <v>318</v>
      </c>
      <c r="Z110" s="1844"/>
      <c r="AA110" s="1844"/>
      <c r="AB110" s="1882" t="str">
        <f>IMAGE("https://raw.githubusercontent.com/msikma/pokesprite/master/misc/types/gen8/ghost.png",4,20,20)</f>
        <v/>
      </c>
      <c r="AD110" s="1874" t="s">
        <v>585</v>
      </c>
      <c r="AE110" s="1844"/>
      <c r="AF110" s="1844"/>
      <c r="AG110" s="1882" t="str">
        <f>IMAGE("https://raw.githubusercontent.com/msikma/pokesprite/master/misc/types/gen8/ghost.png",4,20,20)</f>
        <v/>
      </c>
      <c r="AH110" s="1833"/>
      <c r="AI110" s="1456"/>
    </row>
    <row r="111" ht="20.25" customHeight="1">
      <c r="A111" s="1468"/>
      <c r="B111" s="1847"/>
      <c r="C111" s="1869"/>
      <c r="D111" s="1861"/>
      <c r="E111" s="1874" t="s">
        <v>585</v>
      </c>
      <c r="F111" s="1844"/>
      <c r="G111" s="1844"/>
      <c r="H111" s="1882" t="str">
        <f t="shared" si="10"/>
        <v/>
      </c>
      <c r="J111" s="1874" t="s">
        <v>586</v>
      </c>
      <c r="K111" s="1844"/>
      <c r="L111" s="1844"/>
      <c r="M111" s="1882" t="str">
        <f>IMAGE("https://raw.githubusercontent.com/msikma/pokesprite/master/misc/types/gen8/fighting.png",4,20,20)</f>
        <v/>
      </c>
      <c r="O111" s="1874" t="s">
        <v>372</v>
      </c>
      <c r="P111" s="1844"/>
      <c r="Q111" s="1844"/>
      <c r="R111" s="1882" t="str">
        <f>IMAGE("https://raw.githubusercontent.com/msikma/pokesprite/master/misc/types/gen8/fire.png",4,20,20)</f>
        <v/>
      </c>
      <c r="T111" s="1874" t="s">
        <v>587</v>
      </c>
      <c r="U111" s="1844"/>
      <c r="V111" s="1844"/>
      <c r="W111" s="1882" t="str">
        <f>IMAGE("https://raw.githubusercontent.com/msikma/pokesprite/master/misc/types/gen8/ghost.png",4,20,20)</f>
        <v/>
      </c>
      <c r="Y111" s="1874" t="s">
        <v>344</v>
      </c>
      <c r="Z111" s="1844"/>
      <c r="AA111" s="1844"/>
      <c r="AB111" s="1882" t="str">
        <f>IMAGE("https://raw.githubusercontent.com/msikma/pokesprite/master/misc/types/gen8/fighting.png",4,20,20)</f>
        <v/>
      </c>
      <c r="AD111" s="1874" t="s">
        <v>316</v>
      </c>
      <c r="AE111" s="1844"/>
      <c r="AF111" s="1844"/>
      <c r="AG111" s="1882" t="str">
        <f>IMAGE("https://raw.githubusercontent.com/msikma/pokesprite/master/misc/types/gen8/fighting.png",4,20,20)</f>
        <v/>
      </c>
      <c r="AH111" s="1833"/>
      <c r="AI111" s="1456"/>
    </row>
    <row r="112" ht="21.0" customHeight="1">
      <c r="A112" s="1450"/>
      <c r="B112" s="1847"/>
      <c r="C112" s="1869"/>
      <c r="D112" s="1861"/>
      <c r="E112" s="1883" t="s">
        <v>489</v>
      </c>
      <c r="F112" s="1884"/>
      <c r="G112" s="1884"/>
      <c r="H112" s="1885" t="str">
        <f>IMAGE("https://raw.githubusercontent.com/msikma/pokesprite/master/misc/types/gen8/normal.png",4,20,20)</f>
        <v/>
      </c>
      <c r="I112" s="1838"/>
      <c r="J112" s="1883" t="s">
        <v>492</v>
      </c>
      <c r="K112" s="1884"/>
      <c r="L112" s="1884"/>
      <c r="M112" s="1885" t="str">
        <f>IMAGE("https://raw.githubusercontent.com/msikma/pokesprite/master/misc/types/gen8/fire.png",4,20,20)</f>
        <v/>
      </c>
      <c r="N112" s="1838"/>
      <c r="O112" s="1883" t="s">
        <v>401</v>
      </c>
      <c r="P112" s="1884"/>
      <c r="Q112" s="1884"/>
      <c r="R112" s="1885" t="str">
        <f>IMAGE("https://raw.githubusercontent.com/msikma/pokesprite/master/misc/types/gen8/dark.png",4,20,20)</f>
        <v/>
      </c>
      <c r="S112" s="1838"/>
      <c r="T112" s="1883" t="s">
        <v>560</v>
      </c>
      <c r="U112" s="1884"/>
      <c r="V112" s="1884"/>
      <c r="W112" s="1885" t="str">
        <f>IMAGE("https://raw.githubusercontent.com/msikma/pokesprite/master/misc/types/gen8/normal.png",4,20,20)</f>
        <v/>
      </c>
      <c r="X112" s="1838"/>
      <c r="Y112" s="1883" t="s">
        <v>401</v>
      </c>
      <c r="Z112" s="1884"/>
      <c r="AA112" s="1884"/>
      <c r="AB112" s="1885" t="str">
        <f>IMAGE("https://raw.githubusercontent.com/msikma/pokesprite/master/misc/types/gen8/dark.png",4,20,20)</f>
        <v/>
      </c>
      <c r="AC112" s="1838"/>
      <c r="AD112" s="1883" t="s">
        <v>489</v>
      </c>
      <c r="AE112" s="1884"/>
      <c r="AF112" s="1884"/>
      <c r="AG112" s="1885" t="str">
        <f>IMAGE("https://raw.githubusercontent.com/msikma/pokesprite/master/misc/types/gen8/normal.png",4,20,20)</f>
        <v/>
      </c>
      <c r="AH112" s="1833"/>
      <c r="AI112" s="1456"/>
    </row>
    <row r="113" ht="3.0" customHeight="1">
      <c r="A113" s="1468"/>
      <c r="B113" s="1886"/>
      <c r="C113" s="1887"/>
      <c r="D113" s="1888"/>
      <c r="E113" s="1889"/>
      <c r="F113" s="1889"/>
      <c r="G113" s="1889"/>
      <c r="H113" s="1889"/>
      <c r="I113" s="1888"/>
      <c r="J113" s="1889"/>
      <c r="K113" s="1889"/>
      <c r="L113" s="1889"/>
      <c r="M113" s="1889"/>
      <c r="N113" s="1888"/>
      <c r="O113" s="1889"/>
      <c r="P113" s="1889"/>
      <c r="Q113" s="1889"/>
      <c r="R113" s="1889"/>
      <c r="S113" s="1888"/>
      <c r="T113" s="1889"/>
      <c r="U113" s="1889"/>
      <c r="V113" s="1889"/>
      <c r="W113" s="1889"/>
      <c r="X113" s="1888"/>
      <c r="Y113" s="1890"/>
      <c r="Z113" s="1891"/>
      <c r="AA113" s="1891"/>
      <c r="AB113" s="1892"/>
      <c r="AC113" s="1888"/>
      <c r="AD113" s="1893"/>
      <c r="AE113" s="1893"/>
      <c r="AF113" s="1893"/>
      <c r="AG113" s="1893"/>
      <c r="AH113" s="1894"/>
      <c r="AI113" s="1533"/>
    </row>
    <row r="114" ht="16.5" customHeight="1">
      <c r="A114" s="1468"/>
      <c r="B114" s="1895"/>
      <c r="C114" s="1887"/>
      <c r="D114" s="1896"/>
      <c r="E114" s="1897" t="s">
        <v>190</v>
      </c>
      <c r="F114" s="381"/>
      <c r="G114" s="382"/>
      <c r="H114" s="1898" t="s">
        <v>191</v>
      </c>
      <c r="I114" s="1899"/>
      <c r="J114" s="1897" t="s">
        <v>190</v>
      </c>
      <c r="K114" s="381"/>
      <c r="L114" s="382"/>
      <c r="M114" s="1898" t="s">
        <v>191</v>
      </c>
      <c r="N114" s="1899"/>
      <c r="O114" s="1897" t="s">
        <v>190</v>
      </c>
      <c r="P114" s="381"/>
      <c r="Q114" s="382"/>
      <c r="R114" s="1898" t="s">
        <v>191</v>
      </c>
      <c r="S114" s="1899"/>
      <c r="T114" s="1897" t="s">
        <v>190</v>
      </c>
      <c r="U114" s="381"/>
      <c r="V114" s="382"/>
      <c r="W114" s="1898" t="s">
        <v>191</v>
      </c>
      <c r="X114" s="1899"/>
      <c r="Y114" s="1897" t="s">
        <v>190</v>
      </c>
      <c r="Z114" s="381"/>
      <c r="AA114" s="382"/>
      <c r="AB114" s="1898" t="s">
        <v>191</v>
      </c>
      <c r="AC114" s="1899"/>
      <c r="AD114" s="1897" t="s">
        <v>190</v>
      </c>
      <c r="AE114" s="381"/>
      <c r="AF114" s="382"/>
      <c r="AG114" s="1898" t="s">
        <v>191</v>
      </c>
      <c r="AH114" s="1900"/>
      <c r="AI114" s="1542"/>
    </row>
    <row r="115" ht="15.75" customHeight="1">
      <c r="A115" s="1468"/>
      <c r="B115" s="1895"/>
      <c r="C115" s="1887"/>
      <c r="D115" s="1896"/>
      <c r="E115" s="1901" t="s">
        <v>192</v>
      </c>
      <c r="F115" s="1902">
        <f t="array" ref="F115">IFERROR(VLOOKUP(E102,Dex!$B$3:$N244,8,FALSE),"")</f>
        <v>55</v>
      </c>
      <c r="G115" s="1903" t="str">
        <f t="array" ref="G115">IFERROR(VLOOKUP(F115,Dex!$P$22:$Q$276,2,FALSE),"")</f>
        <v/>
      </c>
      <c r="H115" s="1904"/>
      <c r="I115" s="1905"/>
      <c r="J115" s="1901" t="s">
        <v>192</v>
      </c>
      <c r="K115" s="1902">
        <f t="array" ref="K115">IFERROR(VLOOKUP(J102,Dex!$B$3:$N244,8,FALSE),"")</f>
        <v>45</v>
      </c>
      <c r="L115" s="1903" t="str">
        <f t="array" ref="L115">IFERROR(VLOOKUP(K115,Dex!$P$22:$Q$276,2,FALSE),"")</f>
        <v/>
      </c>
      <c r="M115" s="1904">
        <v>252.0</v>
      </c>
      <c r="N115" s="1905"/>
      <c r="O115" s="1901" t="s">
        <v>192</v>
      </c>
      <c r="P115" s="1902">
        <f t="array" ref="P115">IFERROR(VLOOKUP(O102,Dex!$B$3:$N244,8,FALSE),"")</f>
        <v>55</v>
      </c>
      <c r="Q115" s="1903" t="str">
        <f t="array" ref="Q115">IFERROR(VLOOKUP(P115,Dex!$P$22:$Q$276,2,FALSE),"")</f>
        <v/>
      </c>
      <c r="R115" s="1904"/>
      <c r="S115" s="1905"/>
      <c r="T115" s="1901" t="s">
        <v>192</v>
      </c>
      <c r="U115" s="1902">
        <f t="array" ref="U115">IFERROR(VLOOKUP(T102,Dex!$B$3:$N244,8,FALSE),"")</f>
        <v>104</v>
      </c>
      <c r="V115" s="1903" t="str">
        <f t="array" ref="V115">IFERROR(VLOOKUP(U115,Dex!$P$22:$Q$276,2,FALSE),"")</f>
        <v/>
      </c>
      <c r="W115" s="1904">
        <v>248.0</v>
      </c>
      <c r="X115" s="1905"/>
      <c r="Y115" s="1901" t="s">
        <v>192</v>
      </c>
      <c r="Z115" s="1902">
        <f t="array" ref="Z115">IFERROR(VLOOKUP(Y102,Dex!$B$3:$N244,8,FALSE),"")</f>
        <v>60</v>
      </c>
      <c r="AA115" s="1903" t="str">
        <f t="array" ref="AA115">IFERROR(VLOOKUP(Z115,Dex!$P$22:$Q$276,2,FALSE),"")</f>
        <v/>
      </c>
      <c r="AB115" s="1904"/>
      <c r="AC115" s="1905"/>
      <c r="AD115" s="1901" t="s">
        <v>192</v>
      </c>
      <c r="AE115" s="1902">
        <f t="array" ref="AE115">IFERROR(VLOOKUP(AD102,Dex!$B$3:$N244,8,FALSE),"")</f>
        <v>75</v>
      </c>
      <c r="AF115" s="1903" t="str">
        <f t="array" ref="AF115">IFERROR(VLOOKUP(AE115,Dex!$P$22:$Q$276,2,FALSE),"")</f>
        <v/>
      </c>
      <c r="AG115" s="1904"/>
      <c r="AH115" s="1906"/>
      <c r="AI115" s="1542"/>
    </row>
    <row r="116" ht="15.75" customHeight="1">
      <c r="A116" s="1468"/>
      <c r="B116" s="1895"/>
      <c r="C116" s="1887"/>
      <c r="D116" s="1896"/>
      <c r="E116" s="1907" t="s">
        <v>193</v>
      </c>
      <c r="F116" s="1908">
        <f t="array" ref="F116">IFERROR(VLOOKUP(E102,Dex!$B$3:$N244,9,FALSE),"")</f>
        <v>90</v>
      </c>
      <c r="G116" s="1909" t="str">
        <f t="array" ref="G116">IFERROR(VLOOKUP(F116,Dex!$P$22:$Q$276,2,FALSE),"")</f>
        <v/>
      </c>
      <c r="H116" s="1910">
        <v>252.0</v>
      </c>
      <c r="I116" s="1905"/>
      <c r="J116" s="1907" t="s">
        <v>193</v>
      </c>
      <c r="K116" s="1908">
        <f t="array" ref="K116">IFERROR(VLOOKUP(J102,Dex!$B$3:$N244,9,FALSE),"")</f>
        <v>100</v>
      </c>
      <c r="L116" s="1909" t="str">
        <f t="array" ref="L116">IFERROR(VLOOKUP(K116,Dex!$P$22:$Q$276,2,FALSE),"")</f>
        <v/>
      </c>
      <c r="M116" s="1910">
        <v>252.0</v>
      </c>
      <c r="N116" s="1905"/>
      <c r="O116" s="1907" t="s">
        <v>193</v>
      </c>
      <c r="P116" s="1908">
        <f t="array" ref="P116">IFERROR(VLOOKUP(O102,Dex!$B$3:$N244,9,FALSE),"")</f>
        <v>100</v>
      </c>
      <c r="Q116" s="1909" t="str">
        <f t="array" ref="Q116">IFERROR(VLOOKUP(P116,Dex!$P$22:$Q$276,2,FALSE),"")</f>
        <v/>
      </c>
      <c r="R116" s="1910"/>
      <c r="S116" s="1905"/>
      <c r="T116" s="1907" t="s">
        <v>193</v>
      </c>
      <c r="U116" s="1908">
        <f t="array" ref="U116">IFERROR(VLOOKUP(T102,Dex!$B$3:$N244,9,FALSE),"")</f>
        <v>75</v>
      </c>
      <c r="V116" s="1909" t="str">
        <f t="array" ref="V116">IFERROR(VLOOKUP(U116,Dex!$P$22:$Q$276,2,FALSE),"")</f>
        <v/>
      </c>
      <c r="W116" s="1910"/>
      <c r="X116" s="1905"/>
      <c r="Y116" s="1907" t="s">
        <v>193</v>
      </c>
      <c r="Z116" s="1908">
        <f t="array" ref="Z116">IFERROR(VLOOKUP(Y102,Dex!$B$3:$N244,9,FALSE),"")</f>
        <v>65</v>
      </c>
      <c r="AA116" s="1909" t="str">
        <f t="array" ref="AA116">IFERROR(VLOOKUP(Z116,Dex!$P$22:$Q$276,2,FALSE),"")</f>
        <v/>
      </c>
      <c r="AB116" s="1910"/>
      <c r="AC116" s="1905"/>
      <c r="AD116" s="1907" t="s">
        <v>193</v>
      </c>
      <c r="AE116" s="1908">
        <f t="array" ref="AE116">IFERROR(VLOOKUP(AD102,Dex!$B$3:$N244,9,FALSE),"")</f>
        <v>125</v>
      </c>
      <c r="AF116" s="1909" t="str">
        <f t="array" ref="AF116">IFERROR(VLOOKUP(AE116,Dex!$P$22:$Q$276,2,FALSE),"")</f>
        <v/>
      </c>
      <c r="AG116" s="1910">
        <v>252.0</v>
      </c>
      <c r="AH116" s="1906"/>
      <c r="AI116" s="1542"/>
    </row>
    <row r="117" ht="15.75" customHeight="1">
      <c r="A117" s="1468"/>
      <c r="B117" s="1895"/>
      <c r="C117" s="1887"/>
      <c r="D117" s="1896"/>
      <c r="E117" s="1907" t="s">
        <v>194</v>
      </c>
      <c r="F117" s="1908">
        <f t="array" ref="F117">IFERROR(VLOOKUP(E102,Dex!$B$3:$N244,10,FALSE),"")</f>
        <v>80</v>
      </c>
      <c r="G117" s="1909" t="str">
        <f t="array" ref="G117">IFERROR(VLOOKUP(F117,Dex!$P$22:$Q$276,2,FALSE),"")</f>
        <v/>
      </c>
      <c r="H117" s="1910">
        <v>4.0</v>
      </c>
      <c r="I117" s="1905"/>
      <c r="J117" s="1907" t="s">
        <v>194</v>
      </c>
      <c r="K117" s="1908">
        <f t="array" ref="K117">IFERROR(VLOOKUP(J102,Dex!$B$3:$N244,10,FALSE),"")</f>
        <v>135</v>
      </c>
      <c r="L117" s="1909" t="str">
        <f t="array" ref="L117">IFERROR(VLOOKUP(K117,Dex!$P$22:$Q$276,2,FALSE),"")</f>
        <v/>
      </c>
      <c r="M117" s="1910">
        <v>4.0</v>
      </c>
      <c r="N117" s="1905"/>
      <c r="O117" s="1907" t="s">
        <v>194</v>
      </c>
      <c r="P117" s="1908">
        <f t="array" ref="P117">IFERROR(VLOOKUP(O102,Dex!$B$3:$N244,10,FALSE),"")</f>
        <v>60</v>
      </c>
      <c r="Q117" s="1909" t="str">
        <f t="array" ref="Q117">IFERROR(VLOOKUP(P117,Dex!$P$22:$Q$276,2,FALSE),"")</f>
        <v/>
      </c>
      <c r="R117" s="1910">
        <v>4.0</v>
      </c>
      <c r="S117" s="1905"/>
      <c r="T117" s="1907" t="s">
        <v>194</v>
      </c>
      <c r="U117" s="1908">
        <f t="array" ref="U117">IFERROR(VLOOKUP(T102,Dex!$B$3:$N244,10,FALSE),"")</f>
        <v>100</v>
      </c>
      <c r="V117" s="1909" t="str">
        <f t="array" ref="V117">IFERROR(VLOOKUP(U117,Dex!$P$22:$Q$276,2,FALSE),"")</f>
        <v/>
      </c>
      <c r="W117" s="1910"/>
      <c r="X117" s="1905"/>
      <c r="Y117" s="1907" t="s">
        <v>194</v>
      </c>
      <c r="Z117" s="1908">
        <f t="array" ref="Z117">IFERROR(VLOOKUP(Y102,Dex!$B$3:$N244,10,FALSE),"")</f>
        <v>80</v>
      </c>
      <c r="AA117" s="1909" t="str">
        <f t="array" ref="AA117">IFERROR(VLOOKUP(Z117,Dex!$P$22:$Q$276,2,FALSE),"")</f>
        <v/>
      </c>
      <c r="AB117" s="1910">
        <v>4.0</v>
      </c>
      <c r="AC117" s="1905"/>
      <c r="AD117" s="1907" t="s">
        <v>194</v>
      </c>
      <c r="AE117" s="1908">
        <f t="array" ref="AE117">IFERROR(VLOOKUP(AD102,Dex!$B$3:$N244,10,FALSE),"")</f>
        <v>80</v>
      </c>
      <c r="AF117" s="1909" t="str">
        <f t="array" ref="AF117">IFERROR(VLOOKUP(AE117,Dex!$P$22:$Q$276,2,FALSE),"")</f>
        <v/>
      </c>
      <c r="AG117" s="1910">
        <v>4.0</v>
      </c>
      <c r="AH117" s="1906"/>
      <c r="AI117" s="1542"/>
    </row>
    <row r="118" ht="15.75" customHeight="1">
      <c r="A118" s="1468"/>
      <c r="B118" s="1895"/>
      <c r="C118" s="1887"/>
      <c r="D118" s="1896"/>
      <c r="E118" s="1907" t="s">
        <v>195</v>
      </c>
      <c r="F118" s="1908">
        <f t="array" ref="F118">IFERROR(VLOOKUP(E102,Dex!$B$3:$N244,11,FALSE),"")</f>
        <v>50</v>
      </c>
      <c r="G118" s="1909" t="str">
        <f t="array" ref="G118">IFERROR(VLOOKUP(F118,Dex!$P$22:$Q$276,2,FALSE),"")</f>
        <v/>
      </c>
      <c r="H118" s="1910"/>
      <c r="I118" s="1905"/>
      <c r="J118" s="1907" t="s">
        <v>195</v>
      </c>
      <c r="K118" s="1908">
        <f t="array" ref="K118">IFERROR(VLOOKUP(J102,Dex!$B$3:$N244,11,FALSE),"")</f>
        <v>65</v>
      </c>
      <c r="L118" s="1909" t="str">
        <f t="array" ref="L118">IFERROR(VLOOKUP(K118,Dex!$P$22:$Q$276,2,FALSE),"")</f>
        <v/>
      </c>
      <c r="M118" s="1910"/>
      <c r="N118" s="1905"/>
      <c r="O118" s="1907" t="s">
        <v>195</v>
      </c>
      <c r="P118" s="1908">
        <f t="array" ref="P118">IFERROR(VLOOKUP(O102,Dex!$B$3:$N244,11,FALSE),"")</f>
        <v>125</v>
      </c>
      <c r="Q118" s="1909" t="str">
        <f t="array" ref="Q118">IFERROR(VLOOKUP(P118,Dex!$P$22:$Q$276,2,FALSE),"")</f>
        <v/>
      </c>
      <c r="R118" s="1910">
        <v>252.0</v>
      </c>
      <c r="S118" s="1905"/>
      <c r="T118" s="1907" t="s">
        <v>195</v>
      </c>
      <c r="U118" s="1908">
        <f t="array" ref="U118">IFERROR(VLOOKUP(T102,Dex!$B$3:$N244,11,FALSE),"")</f>
        <v>110</v>
      </c>
      <c r="V118" s="1909" t="str">
        <f t="array" ref="V118">IFERROR(VLOOKUP(U118,Dex!$P$22:$Q$276,2,FALSE),"")</f>
        <v/>
      </c>
      <c r="W118" s="1910">
        <v>8.0</v>
      </c>
      <c r="X118" s="1905"/>
      <c r="Y118" s="1907" t="s">
        <v>195</v>
      </c>
      <c r="Z118" s="1908">
        <f t="array" ref="Z118">IFERROR(VLOOKUP(Y102,Dex!$B$3:$N244,11,FALSE),"")</f>
        <v>170</v>
      </c>
      <c r="AA118" s="1909" t="str">
        <f t="array" ref="AA118">IFERROR(VLOOKUP(Z118,Dex!$P$22:$Q$276,2,FALSE),"")</f>
        <v/>
      </c>
      <c r="AB118" s="1910">
        <v>252.0</v>
      </c>
      <c r="AC118" s="1905"/>
      <c r="AD118" s="1907" t="s">
        <v>195</v>
      </c>
      <c r="AE118" s="1908">
        <f t="array" ref="AE118">IFERROR(VLOOKUP(AD102,Dex!$B$3:$N244,11,FALSE),"")</f>
        <v>60</v>
      </c>
      <c r="AF118" s="1909" t="str">
        <f t="array" ref="AF118">IFERROR(VLOOKUP(AE118,Dex!$P$22:$Q$276,2,FALSE),"")</f>
        <v/>
      </c>
      <c r="AG118" s="1910"/>
      <c r="AH118" s="1906"/>
      <c r="AI118" s="1542"/>
    </row>
    <row r="119" ht="15.75" customHeight="1">
      <c r="A119" s="1468"/>
      <c r="B119" s="1895"/>
      <c r="C119" s="1887"/>
      <c r="D119" s="1896"/>
      <c r="E119" s="1907" t="s">
        <v>196</v>
      </c>
      <c r="F119" s="1908">
        <f t="array" ref="F119">IFERROR(VLOOKUP(E102,Dex!$B$3:$N244,12,FALSE),"")</f>
        <v>105</v>
      </c>
      <c r="G119" s="1909" t="str">
        <f t="array" ref="G119">IFERROR(VLOOKUP(F119,Dex!$P$22:$Q$276,2,FALSE),"")</f>
        <v/>
      </c>
      <c r="H119" s="1910"/>
      <c r="I119" s="1905"/>
      <c r="J119" s="1907" t="s">
        <v>196</v>
      </c>
      <c r="K119" s="1908">
        <f t="array" ref="K119">IFERROR(VLOOKUP(J102,Dex!$B$3:$N244,12,FALSE),"")</f>
        <v>135</v>
      </c>
      <c r="L119" s="1909" t="str">
        <f t="array" ref="L119">IFERROR(VLOOKUP(K119,Dex!$P$22:$Q$276,2,FALSE),"")</f>
        <v/>
      </c>
      <c r="M119" s="1910"/>
      <c r="N119" s="1905"/>
      <c r="O119" s="1907" t="s">
        <v>196</v>
      </c>
      <c r="P119" s="1908">
        <f t="array" ref="P119">IFERROR(VLOOKUP(O102,Dex!$B$3:$N244,12,FALSE),"")</f>
        <v>60</v>
      </c>
      <c r="Q119" s="1909" t="str">
        <f t="array" ref="Q119">IFERROR(VLOOKUP(P119,Dex!$P$22:$Q$276,2,FALSE),"")</f>
        <v/>
      </c>
      <c r="R119" s="1910"/>
      <c r="S119" s="1905"/>
      <c r="T119" s="1907" t="s">
        <v>196</v>
      </c>
      <c r="U119" s="1908">
        <f t="array" ref="U119">IFERROR(VLOOKUP(T102,Dex!$B$3:$N244,12,FALSE),"")</f>
        <v>75</v>
      </c>
      <c r="V119" s="1909" t="str">
        <f t="array" ref="V119">IFERROR(VLOOKUP(U119,Dex!$P$22:$Q$276,2,FALSE),"")</f>
        <v/>
      </c>
      <c r="W119" s="1910">
        <v>252.0</v>
      </c>
      <c r="X119" s="1905"/>
      <c r="Y119" s="1907" t="s">
        <v>196</v>
      </c>
      <c r="Z119" s="1908">
        <f t="array" ref="Z119">IFERROR(VLOOKUP(Y102,Dex!$B$3:$N244,12,FALSE),"")</f>
        <v>95</v>
      </c>
      <c r="AA119" s="1909" t="str">
        <f t="array" ref="AA119">IFERROR(VLOOKUP(Z119,Dex!$P$22:$Q$276,2,FALSE),"")</f>
        <v/>
      </c>
      <c r="AB119" s="1910"/>
      <c r="AC119" s="1905"/>
      <c r="AD119" s="1907" t="s">
        <v>196</v>
      </c>
      <c r="AE119" s="1908">
        <f t="array" ref="AE119">IFERROR(VLOOKUP(AD102,Dex!$B$3:$N244,12,FALSE),"")</f>
        <v>100</v>
      </c>
      <c r="AF119" s="1909" t="str">
        <f t="array" ref="AF119">IFERROR(VLOOKUP(AE119,Dex!$P$22:$Q$276,2,FALSE),"")</f>
        <v/>
      </c>
      <c r="AG119" s="1910"/>
      <c r="AH119" s="1906"/>
      <c r="AI119" s="1542"/>
    </row>
    <row r="120" ht="15.75" customHeight="1">
      <c r="A120" s="1468"/>
      <c r="B120" s="1895"/>
      <c r="C120" s="1204" t="s">
        <v>436</v>
      </c>
      <c r="D120" s="1896"/>
      <c r="E120" s="1911" t="s">
        <v>197</v>
      </c>
      <c r="F120" s="1912">
        <f t="array" ref="F120">IFERROR(VLOOKUP(E102,Dex!$B$3:$N244,13,FALSE),"")</f>
        <v>96</v>
      </c>
      <c r="G120" s="1913" t="str">
        <f t="array" ref="G120">IFERROR(VLOOKUP(F120,Dex!$P$22:$Q$276,2,FALSE),"")</f>
        <v/>
      </c>
      <c r="H120" s="1914">
        <v>252.0</v>
      </c>
      <c r="I120" s="1905"/>
      <c r="J120" s="1911" t="s">
        <v>197</v>
      </c>
      <c r="K120" s="1912">
        <f t="array" ref="K120">IFERROR(VLOOKUP(J102,Dex!$B$3:$N244,13,FALSE),"")</f>
        <v>45</v>
      </c>
      <c r="L120" s="1913" t="str">
        <f t="array" ref="L120">IFERROR(VLOOKUP(K120,Dex!$P$22:$Q$276,2,FALSE),"")</f>
        <v/>
      </c>
      <c r="M120" s="1914"/>
      <c r="N120" s="1905"/>
      <c r="O120" s="1911" t="s">
        <v>197</v>
      </c>
      <c r="P120" s="1912">
        <f t="array" ref="P120">IFERROR(VLOOKUP(O102,Dex!$B$3:$N244,13,FALSE),"")</f>
        <v>110</v>
      </c>
      <c r="Q120" s="1913" t="str">
        <f t="array" ref="Q120">IFERROR(VLOOKUP(P120,Dex!$P$22:$Q$276,2,FALSE),"")</f>
        <v/>
      </c>
      <c r="R120" s="1914">
        <v>252.0</v>
      </c>
      <c r="S120" s="1905"/>
      <c r="T120" s="1911" t="s">
        <v>197</v>
      </c>
      <c r="U120" s="1912">
        <f t="array" ref="U120">IFERROR(VLOOKUP(T102,Dex!$B$3:$N244,13,FALSE),"")</f>
        <v>66</v>
      </c>
      <c r="V120" s="1913" t="str">
        <f t="array" ref="V120">IFERROR(VLOOKUP(U120,Dex!$P$22:$Q$276,2,FALSE),"")</f>
        <v/>
      </c>
      <c r="W120" s="1914"/>
      <c r="X120" s="1905"/>
      <c r="Y120" s="1911" t="s">
        <v>197</v>
      </c>
      <c r="Z120" s="1912">
        <f t="array" ref="Z120">IFERROR(VLOOKUP(Y102,Dex!$B$3:$N244,13,FALSE),"")</f>
        <v>130</v>
      </c>
      <c r="AA120" s="1913" t="str">
        <f t="array" ref="AA120">IFERROR(VLOOKUP(Z120,Dex!$P$22:$Q$276,2,FALSE),"")</f>
        <v/>
      </c>
      <c r="AB120" s="1914">
        <v>252.0</v>
      </c>
      <c r="AC120" s="1905"/>
      <c r="AD120" s="1911" t="s">
        <v>197</v>
      </c>
      <c r="AE120" s="1912">
        <f t="array" ref="AE120">IFERROR(VLOOKUP(AD102,Dex!$B$3:$N244,13,FALSE),"")</f>
        <v>85</v>
      </c>
      <c r="AF120" s="1913" t="str">
        <f t="array" ref="AF120">IFERROR(VLOOKUP(AE120,Dex!$P$22:$Q$276,2,FALSE),"")</f>
        <v/>
      </c>
      <c r="AG120" s="1914">
        <v>252.0</v>
      </c>
      <c r="AH120" s="1906"/>
      <c r="AI120" s="1542"/>
    </row>
    <row r="121" ht="16.5" customHeight="1">
      <c r="A121" s="1468"/>
      <c r="B121" s="1895"/>
      <c r="C121" s="1205" t="s">
        <v>542</v>
      </c>
      <c r="D121" s="1896"/>
      <c r="E121" s="1915" t="s">
        <v>198</v>
      </c>
      <c r="F121" s="405"/>
      <c r="G121" s="406"/>
      <c r="H121" s="1916">
        <v>137.0</v>
      </c>
      <c r="I121" s="1899"/>
      <c r="J121" s="1915" t="s">
        <v>198</v>
      </c>
      <c r="K121" s="405"/>
      <c r="L121" s="406"/>
      <c r="M121" s="1916">
        <v>55.0</v>
      </c>
      <c r="N121" s="1899"/>
      <c r="O121" s="1915" t="s">
        <v>198</v>
      </c>
      <c r="P121" s="405"/>
      <c r="Q121" s="406"/>
      <c r="R121" s="1916">
        <v>149.0</v>
      </c>
      <c r="S121" s="1899"/>
      <c r="T121" s="1915" t="s">
        <v>198</v>
      </c>
      <c r="U121" s="405"/>
      <c r="V121" s="406"/>
      <c r="W121" s="1916">
        <v>80.0</v>
      </c>
      <c r="X121" s="1899"/>
      <c r="Y121" s="1915" t="s">
        <v>198</v>
      </c>
      <c r="Z121" s="405"/>
      <c r="AA121" s="406"/>
      <c r="AB121" s="1916">
        <v>168.0</v>
      </c>
      <c r="AC121" s="1899"/>
      <c r="AD121" s="1915" t="s">
        <v>198</v>
      </c>
      <c r="AE121" s="405"/>
      <c r="AF121" s="406"/>
      <c r="AG121" s="1916">
        <v>126.0</v>
      </c>
      <c r="AH121" s="1900"/>
      <c r="AI121" s="1542"/>
    </row>
    <row r="122" ht="15.0" customHeight="1">
      <c r="A122" s="1468"/>
      <c r="B122" s="1917"/>
      <c r="C122" s="1918"/>
      <c r="D122" s="1919"/>
      <c r="E122" s="1919"/>
      <c r="F122" s="1919"/>
      <c r="G122" s="1919"/>
      <c r="H122" s="1919"/>
      <c r="I122" s="1919"/>
      <c r="J122" s="1920"/>
      <c r="K122" s="1920"/>
      <c r="L122" s="1920"/>
      <c r="M122" s="1919"/>
      <c r="N122" s="1919"/>
      <c r="O122" s="1920"/>
      <c r="P122" s="1920"/>
      <c r="Q122" s="1920"/>
      <c r="R122" s="1920"/>
      <c r="S122" s="1919"/>
      <c r="T122" s="1920"/>
      <c r="U122" s="1920"/>
      <c r="V122" s="1920"/>
      <c r="W122" s="1919"/>
      <c r="X122" s="1919"/>
      <c r="Y122" s="1920"/>
      <c r="Z122" s="1920"/>
      <c r="AA122" s="1920"/>
      <c r="AB122" s="1919"/>
      <c r="AC122" s="1919"/>
      <c r="AD122" s="1920"/>
      <c r="AE122" s="1920"/>
      <c r="AF122" s="1920"/>
      <c r="AG122" s="1919"/>
      <c r="AH122" s="1921"/>
      <c r="AI122" s="1456"/>
    </row>
    <row r="123" ht="15.0" customHeight="1">
      <c r="A123" s="1468"/>
      <c r="B123" s="1922"/>
      <c r="C123" s="1923"/>
      <c r="D123" s="1924"/>
      <c r="E123" s="1925"/>
      <c r="F123" s="1925"/>
      <c r="G123" s="1925"/>
      <c r="H123" s="1925"/>
      <c r="I123" s="1924"/>
      <c r="J123" s="1925"/>
      <c r="K123" s="1925"/>
      <c r="L123" s="1925"/>
      <c r="M123" s="1925"/>
      <c r="N123" s="1924"/>
      <c r="O123" s="1925"/>
      <c r="P123" s="1925"/>
      <c r="Q123" s="1925"/>
      <c r="R123" s="1925"/>
      <c r="S123" s="1924"/>
      <c r="T123" s="1925"/>
      <c r="U123" s="1925"/>
      <c r="V123" s="1925"/>
      <c r="W123" s="1925"/>
      <c r="X123" s="1924"/>
      <c r="Y123" s="1925"/>
      <c r="Z123" s="1925"/>
      <c r="AA123" s="1925"/>
      <c r="AB123" s="1925"/>
      <c r="AC123" s="1924"/>
      <c r="AD123" s="1925"/>
      <c r="AE123" s="1925"/>
      <c r="AF123" s="1925"/>
      <c r="AG123" s="1925"/>
      <c r="AH123" s="1926"/>
      <c r="AI123" s="1456"/>
    </row>
    <row r="124" ht="96.75" customHeight="1">
      <c r="A124" s="1468"/>
      <c r="B124" s="1927"/>
      <c r="C124" s="1928" t="str">
        <f>IMAGE("https://i.ibb.co/8rG6Bgc/Chuck.png")</f>
        <v/>
      </c>
      <c r="D124" s="1929"/>
      <c r="E124" s="1930" t="str">
        <f t="array" ref="E124">IFERROR(VLOOKUP(E125,Dex!$B$3:$G244,3,FALSE),"")</f>
        <v/>
      </c>
      <c r="F124" s="302"/>
      <c r="G124" s="302"/>
      <c r="H124" s="303"/>
      <c r="I124" s="1931"/>
      <c r="J124" s="1930" t="str">
        <f t="array" ref="J124">IFERROR(VLOOKUP(J125,Dex!$B$3:$G244,3,FALSE),"")</f>
        <v/>
      </c>
      <c r="K124" s="302"/>
      <c r="L124" s="302"/>
      <c r="M124" s="303"/>
      <c r="N124" s="1931"/>
      <c r="O124" s="1930" t="str">
        <f t="array" ref="O124">IFERROR(VLOOKUP(O125,Dex!$B$3:$G244,3,FALSE),"")</f>
        <v/>
      </c>
      <c r="P124" s="302"/>
      <c r="Q124" s="302"/>
      <c r="R124" s="303"/>
      <c r="S124" s="1931"/>
      <c r="T124" s="1930" t="str">
        <f t="array" ref="T124">IFERROR(VLOOKUP(T125,Dex!$B$3:$G244,3,FALSE),"")</f>
        <v/>
      </c>
      <c r="U124" s="302"/>
      <c r="V124" s="302"/>
      <c r="W124" s="303"/>
      <c r="X124" s="1931"/>
      <c r="Y124" s="1930" t="str">
        <f t="array" ref="Y124">IFERROR(VLOOKUP(Y125,Dex!$B$3:$G244,3,FALSE),"")</f>
        <v/>
      </c>
      <c r="Z124" s="302"/>
      <c r="AA124" s="302"/>
      <c r="AB124" s="303"/>
      <c r="AC124" s="1931"/>
      <c r="AD124" s="1930" t="str">
        <f t="array" ref="AD124">IFERROR(VLOOKUP(AD125,Dex!$B$3:$G244,3,FALSE),"")</f>
        <v/>
      </c>
      <c r="AE124" s="302"/>
      <c r="AF124" s="302"/>
      <c r="AG124" s="303"/>
      <c r="AH124" s="1932"/>
      <c r="AI124" s="1456"/>
    </row>
    <row r="125" ht="18.75" customHeight="1">
      <c r="A125" s="1468"/>
      <c r="B125" s="1933"/>
      <c r="C125" s="1934" t="s">
        <v>588</v>
      </c>
      <c r="D125" s="1935"/>
      <c r="E125" s="1936" t="s">
        <v>589</v>
      </c>
      <c r="F125" s="1937"/>
      <c r="G125" s="1937"/>
      <c r="H125" s="1938"/>
      <c r="I125" s="1935"/>
      <c r="J125" s="1936" t="s">
        <v>590</v>
      </c>
      <c r="K125" s="1937"/>
      <c r="L125" s="1937"/>
      <c r="M125" s="1938"/>
      <c r="N125" s="1935"/>
      <c r="O125" s="1936" t="s">
        <v>591</v>
      </c>
      <c r="P125" s="1937"/>
      <c r="Q125" s="1937"/>
      <c r="R125" s="1938"/>
      <c r="S125" s="1935"/>
      <c r="T125" s="1936" t="s">
        <v>592</v>
      </c>
      <c r="U125" s="1937"/>
      <c r="V125" s="1937"/>
      <c r="W125" s="1938"/>
      <c r="X125" s="1935"/>
      <c r="Y125" s="1936" t="s">
        <v>593</v>
      </c>
      <c r="Z125" s="1937"/>
      <c r="AA125" s="1937"/>
      <c r="AB125" s="1938"/>
      <c r="AC125" s="1935"/>
      <c r="AD125" s="1936" t="s">
        <v>594</v>
      </c>
      <c r="AE125" s="1937"/>
      <c r="AF125" s="1937"/>
      <c r="AG125" s="1938"/>
      <c r="AH125" s="1939"/>
      <c r="AI125" s="1479"/>
    </row>
    <row r="126">
      <c r="A126" s="1468"/>
      <c r="B126" s="1940"/>
      <c r="C126" s="1481"/>
      <c r="D126" s="1941"/>
      <c r="E126" s="1942" t="s">
        <v>420</v>
      </c>
      <c r="F126" s="1943"/>
      <c r="G126" s="1943"/>
      <c r="H126" s="1944"/>
      <c r="I126" s="1945"/>
      <c r="J126" s="1942" t="s">
        <v>420</v>
      </c>
      <c r="K126" s="1943"/>
      <c r="L126" s="1943"/>
      <c r="M126" s="1944"/>
      <c r="N126" s="1945"/>
      <c r="O126" s="1942" t="s">
        <v>420</v>
      </c>
      <c r="P126" s="1943"/>
      <c r="Q126" s="1943"/>
      <c r="R126" s="1944"/>
      <c r="S126" s="1945"/>
      <c r="T126" s="1942" t="s">
        <v>420</v>
      </c>
      <c r="U126" s="1943"/>
      <c r="V126" s="1943"/>
      <c r="W126" s="1944"/>
      <c r="X126" s="1945"/>
      <c r="Y126" s="1942" t="s">
        <v>420</v>
      </c>
      <c r="Z126" s="1943"/>
      <c r="AA126" s="1943"/>
      <c r="AB126" s="1944"/>
      <c r="AC126" s="1945"/>
      <c r="AD126" s="1942" t="s">
        <v>420</v>
      </c>
      <c r="AE126" s="1943"/>
      <c r="AF126" s="1943"/>
      <c r="AG126" s="1944"/>
      <c r="AH126" s="1946"/>
      <c r="AI126" s="1696"/>
    </row>
    <row r="127" ht="25.5" customHeight="1">
      <c r="A127" s="1468"/>
      <c r="B127" s="1947"/>
      <c r="C127" s="1489"/>
      <c r="D127" s="1948"/>
      <c r="E127" s="1949"/>
      <c r="F127" s="1950" t="str">
        <f t="array" ref="F127">IFERROR(VLOOKUP(E125,Dex!$B$3:$H244,5,FALSE),"")</f>
        <v/>
      </c>
      <c r="G127" s="1951"/>
      <c r="H127" s="1952"/>
      <c r="I127" s="1953"/>
      <c r="J127" s="1954"/>
      <c r="K127" s="1955" t="str">
        <f t="array" ref="K127">IFERROR(VLOOKUP(J125,Dex!$B$3:$H244,5,FALSE),"")</f>
        <v/>
      </c>
      <c r="L127" s="1956" t="str">
        <f t="array" ref="L127">IFERROR(VLOOKUP(J125,Dex!$B$3:$H244,7,FALSE),"")</f>
        <v/>
      </c>
      <c r="M127" s="1957"/>
      <c r="N127" s="1953"/>
      <c r="O127" s="1954"/>
      <c r="P127" s="1955" t="str">
        <f t="array" ref="P127">IFERROR(VLOOKUP(O125,Dex!$B$3:$H244,5,FALSE),"")</f>
        <v/>
      </c>
      <c r="Q127" s="1956" t="str">
        <f t="array" ref="Q127">IFERROR(VLOOKUP(O125,Dex!$B$3:$H244,7,FALSE),"")</f>
        <v/>
      </c>
      <c r="R127" s="1957"/>
      <c r="S127" s="1953"/>
      <c r="T127" s="1954"/>
      <c r="U127" s="1955" t="str">
        <f t="array" ref="U127">IFERROR(VLOOKUP(T125,Dex!$B$3:$H244,5,FALSE),"")</f>
        <v/>
      </c>
      <c r="V127" s="1956" t="str">
        <f t="array" ref="V127">IFERROR(VLOOKUP(T125,Dex!$B$3:$H244,7,FALSE),"")</f>
        <v/>
      </c>
      <c r="W127" s="1957"/>
      <c r="X127" s="1953"/>
      <c r="Y127" s="1954"/>
      <c r="Z127" s="1955" t="str">
        <f t="array" ref="Z127">IFERROR(VLOOKUP(Y125,Dex!$B$3:$H244,5,FALSE),"")</f>
        <v/>
      </c>
      <c r="AA127" s="1956" t="str">
        <f t="array" ref="AA127">IFERROR(VLOOKUP(Y125,Dex!$B$3:$H244,7,FALSE),"")</f>
        <v/>
      </c>
      <c r="AB127" s="1957"/>
      <c r="AC127" s="1953"/>
      <c r="AD127" s="1954"/>
      <c r="AE127" s="1955" t="str">
        <f t="array" ref="AE127">IFERROR(VLOOKUP(AD125,Dex!$B$3:$H244,5,FALSE),"")</f>
        <v/>
      </c>
      <c r="AF127" s="1956" t="str">
        <f t="array" ref="AF127">IFERROR(VLOOKUP(AD125,Dex!$B$3:$H244,7,FALSE),"")</f>
        <v/>
      </c>
      <c r="AG127" s="1958"/>
      <c r="AH127" s="1932"/>
      <c r="AI127" s="1456"/>
    </row>
    <row r="128" ht="2.25" customHeight="1">
      <c r="A128" s="1468"/>
      <c r="B128" s="1947"/>
      <c r="C128" s="1959"/>
      <c r="D128" s="1960"/>
      <c r="E128" s="1961"/>
      <c r="F128" s="1962"/>
      <c r="G128" s="1962"/>
      <c r="H128" s="1963"/>
      <c r="I128" s="1953"/>
      <c r="J128" s="1964"/>
      <c r="K128" s="1965"/>
      <c r="L128" s="1965"/>
      <c r="M128" s="1966"/>
      <c r="N128" s="1953"/>
      <c r="O128" s="1964"/>
      <c r="P128" s="1965"/>
      <c r="Q128" s="1965"/>
      <c r="R128" s="1966"/>
      <c r="S128" s="1953"/>
      <c r="T128" s="1964"/>
      <c r="U128" s="1965"/>
      <c r="V128" s="1965"/>
      <c r="W128" s="1966"/>
      <c r="X128" s="1953"/>
      <c r="Y128" s="1964"/>
      <c r="Z128" s="1965"/>
      <c r="AA128" s="1965"/>
      <c r="AB128" s="1966"/>
      <c r="AC128" s="1953"/>
      <c r="AD128" s="1964"/>
      <c r="AE128" s="1965"/>
      <c r="AF128" s="1965"/>
      <c r="AG128" s="1967"/>
      <c r="AH128" s="1932"/>
      <c r="AI128" s="1456"/>
    </row>
    <row r="129" ht="20.25" customHeight="1">
      <c r="A129" s="1468"/>
      <c r="B129" s="1947"/>
      <c r="C129" s="1968"/>
      <c r="D129" s="1960"/>
      <c r="E129" s="1969" t="s">
        <v>172</v>
      </c>
      <c r="F129" s="1970"/>
      <c r="G129" s="1970"/>
      <c r="H129" s="1971"/>
      <c r="I129" s="1953"/>
      <c r="J129" s="1969" t="s">
        <v>172</v>
      </c>
      <c r="K129" s="1970"/>
      <c r="L129" s="1970"/>
      <c r="M129" s="1971"/>
      <c r="N129" s="1953"/>
      <c r="O129" s="1969" t="s">
        <v>172</v>
      </c>
      <c r="P129" s="1970"/>
      <c r="Q129" s="1970"/>
      <c r="R129" s="1971"/>
      <c r="S129" s="1953"/>
      <c r="T129" s="1969" t="s">
        <v>172</v>
      </c>
      <c r="U129" s="1970"/>
      <c r="V129" s="1970"/>
      <c r="W129" s="1971"/>
      <c r="X129" s="1953"/>
      <c r="Y129" s="1969" t="s">
        <v>172</v>
      </c>
      <c r="Z129" s="1970"/>
      <c r="AA129" s="1970"/>
      <c r="AB129" s="1971"/>
      <c r="AC129" s="1953"/>
      <c r="AD129" s="1969" t="s">
        <v>172</v>
      </c>
      <c r="AE129" s="1970"/>
      <c r="AF129" s="1970"/>
      <c r="AG129" s="1971"/>
      <c r="AH129" s="1932"/>
      <c r="AI129" s="1456"/>
    </row>
    <row r="130">
      <c r="A130" s="1500"/>
      <c r="B130" s="1947"/>
      <c r="C130" s="1972"/>
      <c r="D130" s="1960"/>
      <c r="E130" s="1973" t="s">
        <v>208</v>
      </c>
      <c r="F130" s="1943"/>
      <c r="G130" s="1943"/>
      <c r="H130" s="1944"/>
      <c r="I130" s="1953"/>
      <c r="J130" s="1973" t="s">
        <v>595</v>
      </c>
      <c r="K130" s="1943"/>
      <c r="L130" s="1943"/>
      <c r="M130" s="1944"/>
      <c r="N130" s="1953"/>
      <c r="O130" s="1973" t="s">
        <v>596</v>
      </c>
      <c r="P130" s="1943"/>
      <c r="Q130" s="1943"/>
      <c r="R130" s="1944"/>
      <c r="S130" s="1953"/>
      <c r="T130" s="1973" t="s">
        <v>597</v>
      </c>
      <c r="U130" s="1943"/>
      <c r="V130" s="1943"/>
      <c r="W130" s="1944"/>
      <c r="X130" s="1953"/>
      <c r="Y130" s="1973" t="s">
        <v>598</v>
      </c>
      <c r="Z130" s="1943"/>
      <c r="AA130" s="1943"/>
      <c r="AB130" s="1944"/>
      <c r="AC130" s="1953"/>
      <c r="AD130" s="1973" t="s">
        <v>599</v>
      </c>
      <c r="AE130" s="1943"/>
      <c r="AF130" s="1943"/>
      <c r="AG130" s="1944"/>
      <c r="AH130" s="1932"/>
      <c r="AI130" s="1456"/>
    </row>
    <row r="131" ht="20.25" customHeight="1">
      <c r="A131" s="1468"/>
      <c r="B131" s="1947"/>
      <c r="C131" s="1974"/>
      <c r="D131" s="1960"/>
      <c r="E131" s="1975" t="s">
        <v>240</v>
      </c>
      <c r="F131" s="1976"/>
      <c r="G131" s="1977"/>
      <c r="H131" s="1978" t="str">
        <f>IMAGE("https://raw.githubusercontent.com/msikma/pokesprite/master/items/hold-item/focus-sash.png",3)</f>
        <v/>
      </c>
      <c r="I131" s="1953"/>
      <c r="J131" s="1975" t="s">
        <v>240</v>
      </c>
      <c r="K131" s="1976"/>
      <c r="L131" s="1977"/>
      <c r="M131" s="1978" t="str">
        <f>IMAGE("https://raw.githubusercontent.com/msikma/pokesprite/master/items/hold-item/focus-sash.png",3)</f>
        <v/>
      </c>
      <c r="N131" s="1953"/>
      <c r="O131" s="1975" t="s">
        <v>600</v>
      </c>
      <c r="P131" s="1976"/>
      <c r="Q131" s="1977"/>
      <c r="R131" s="1978" t="str">
        <f>IMAGE("https://raw.githubusercontent.com/msikma/pokesprite/master/items/hold-item/toxic-orb.png",3)</f>
        <v/>
      </c>
      <c r="S131" s="1953"/>
      <c r="T131" s="1975" t="s">
        <v>212</v>
      </c>
      <c r="U131" s="1976"/>
      <c r="V131" s="1977"/>
      <c r="W131" s="1978" t="str">
        <f>IMAGE("https://raw.githubusercontent.com/msikma/pokesprite/master/items/hold-item/mystic-water.png",3)</f>
        <v/>
      </c>
      <c r="X131" s="1953"/>
      <c r="Y131" s="1975" t="s">
        <v>177</v>
      </c>
      <c r="Z131" s="1976"/>
      <c r="AA131" s="1977"/>
      <c r="AB131" s="1978" t="str">
        <f>IMAGE("https://raw.githubusercontent.com/msikma/pokesprite/master/items/hold-item/air-balloon.png",3)</f>
        <v/>
      </c>
      <c r="AC131" s="1953"/>
      <c r="AD131" s="1975" t="s">
        <v>601</v>
      </c>
      <c r="AE131" s="1976"/>
      <c r="AF131" s="1977"/>
      <c r="AG131" s="1978" t="str">
        <f>IMAGE("https://raw.githubusercontent.com/msikma/pokesprite/master/items/mega-stone/galladite.png",3)</f>
        <v/>
      </c>
      <c r="AH131" s="1932"/>
      <c r="AI131" s="1456"/>
    </row>
    <row r="132" ht="20.25" customHeight="1">
      <c r="A132" s="1468"/>
      <c r="B132" s="1947"/>
      <c r="C132" s="1979"/>
      <c r="D132" s="1960"/>
      <c r="E132" s="1969" t="s">
        <v>602</v>
      </c>
      <c r="F132" s="1970"/>
      <c r="G132" s="1970"/>
      <c r="H132" s="1980" t="str">
        <f>IMAGE("https://raw.githubusercontent.com/msikma/pokesprite/master/misc/types/gen8/fighting.png",4,20,20)</f>
        <v/>
      </c>
      <c r="I132" s="1953"/>
      <c r="J132" s="1969" t="s">
        <v>316</v>
      </c>
      <c r="K132" s="1970"/>
      <c r="L132" s="1970"/>
      <c r="M132" s="1980" t="str">
        <f>IMAGE("https://raw.githubusercontent.com/msikma/pokesprite/master/misc/types/gen8/fighting.png",4,20,20)</f>
        <v/>
      </c>
      <c r="N132" s="1953"/>
      <c r="O132" s="1969" t="s">
        <v>319</v>
      </c>
      <c r="P132" s="1970"/>
      <c r="Q132" s="1970"/>
      <c r="R132" s="1980" t="str">
        <f>IMAGE("https://raw.githubusercontent.com/msikma/pokesprite/master/misc/types/gen8/grass.png",4,20,20)</f>
        <v/>
      </c>
      <c r="S132" s="1953"/>
      <c r="T132" s="1969" t="s">
        <v>603</v>
      </c>
      <c r="U132" s="1970"/>
      <c r="V132" s="1970"/>
      <c r="W132" s="1980" t="str">
        <f>IMAGE("https://raw.githubusercontent.com/msikma/pokesprite/master/misc/types/gen8/water.png",4,20,20)</f>
        <v/>
      </c>
      <c r="X132" s="1953"/>
      <c r="Y132" s="1969" t="s">
        <v>401</v>
      </c>
      <c r="Z132" s="1970"/>
      <c r="AA132" s="1970"/>
      <c r="AB132" s="1980" t="str">
        <f>IMAGE("https://raw.githubusercontent.com/msikma/pokesprite/master/misc/types/gen8/dark.png",4,20,20)</f>
        <v/>
      </c>
      <c r="AC132" s="1953"/>
      <c r="AD132" s="1969" t="s">
        <v>604</v>
      </c>
      <c r="AE132" s="1970"/>
      <c r="AF132" s="1970"/>
      <c r="AG132" s="1980" t="str">
        <f t="shared" ref="AG132:AG133" si="11">IMAGE("https://raw.githubusercontent.com/msikma/pokesprite/master/misc/types/gen8/fighting.png",4,20,20)</f>
        <v/>
      </c>
      <c r="AH132" s="1932"/>
      <c r="AI132" s="1456"/>
    </row>
    <row r="133" ht="20.25" customHeight="1">
      <c r="A133" s="1981"/>
      <c r="B133" s="1947"/>
      <c r="C133" s="1968"/>
      <c r="D133" s="1960"/>
      <c r="E133" s="1973" t="s">
        <v>285</v>
      </c>
      <c r="F133" s="1943"/>
      <c r="G133" s="1943"/>
      <c r="H133" s="1982" t="str">
        <f>IMAGE("https://raw.githubusercontent.com/msikma/pokesprite/master/misc/types/gen8/ice.png",4,20,20)</f>
        <v/>
      </c>
      <c r="I133" s="1953"/>
      <c r="J133" s="1973" t="s">
        <v>218</v>
      </c>
      <c r="K133" s="1943"/>
      <c r="L133" s="1943"/>
      <c r="M133" s="1982" t="str">
        <f>IMAGE("https://raw.githubusercontent.com/msikma/pokesprite/master/misc/types/gen8/poison.png",4,20,20)</f>
        <v/>
      </c>
      <c r="N133" s="1953"/>
      <c r="O133" s="1973" t="s">
        <v>605</v>
      </c>
      <c r="P133" s="1943"/>
      <c r="Q133" s="1943"/>
      <c r="R133" s="1982" t="str">
        <f>IMAGE("https://raw.githubusercontent.com/msikma/pokesprite/master/misc/types/gen8/normal.png",4,20,20)</f>
        <v/>
      </c>
      <c r="S133" s="1953"/>
      <c r="T133" s="1973" t="s">
        <v>316</v>
      </c>
      <c r="U133" s="1943"/>
      <c r="V133" s="1943"/>
      <c r="W133" s="1982" t="str">
        <f t="shared" ref="W133:W134" si="12">IMAGE("https://raw.githubusercontent.com/msikma/pokesprite/master/misc/types/gen8/fighting.png",4,20,20)</f>
        <v/>
      </c>
      <c r="X133" s="1953"/>
      <c r="Y133" s="1973" t="s">
        <v>375</v>
      </c>
      <c r="Z133" s="1943"/>
      <c r="AA133" s="1943"/>
      <c r="AB133" s="1982" t="str">
        <f t="shared" ref="AB133:AB134" si="13">IMAGE("https://raw.githubusercontent.com/msikma/pokesprite/master/misc/types/gen8/fighting.png",4,20,20)</f>
        <v/>
      </c>
      <c r="AC133" s="1953"/>
      <c r="AD133" s="1973" t="s">
        <v>606</v>
      </c>
      <c r="AE133" s="1943"/>
      <c r="AF133" s="1943"/>
      <c r="AG133" s="1982" t="str">
        <f t="shared" si="11"/>
        <v/>
      </c>
      <c r="AH133" s="1932"/>
      <c r="AI133" s="1456"/>
    </row>
    <row r="134" ht="20.25" customHeight="1">
      <c r="A134" s="1468"/>
      <c r="B134" s="1947"/>
      <c r="C134" s="1968"/>
      <c r="D134" s="1960"/>
      <c r="E134" s="1973" t="s">
        <v>476</v>
      </c>
      <c r="F134" s="1943"/>
      <c r="G134" s="1943"/>
      <c r="H134" s="1982" t="str">
        <f>IMAGE("https://raw.githubusercontent.com/msikma/pokesprite/master/misc/types/gen8/normal.png",4,20,20)</f>
        <v/>
      </c>
      <c r="I134" s="1953"/>
      <c r="J134" s="1973" t="s">
        <v>279</v>
      </c>
      <c r="K134" s="1943"/>
      <c r="L134" s="1943"/>
      <c r="M134" s="1982" t="str">
        <f>IMAGE("https://raw.githubusercontent.com/msikma/pokesprite/master/misc/types/gen8/dark.png",4,20,20)</f>
        <v/>
      </c>
      <c r="N134" s="1953"/>
      <c r="O134" s="1973" t="s">
        <v>607</v>
      </c>
      <c r="P134" s="1943"/>
      <c r="Q134" s="1943"/>
      <c r="R134" s="1982" t="str">
        <f>IMAGE("https://raw.githubusercontent.com/msikma/pokesprite/master/misc/types/gen8/fighting.png",4,20,20)</f>
        <v/>
      </c>
      <c r="S134" s="1953"/>
      <c r="T134" s="1973" t="s">
        <v>604</v>
      </c>
      <c r="U134" s="1943"/>
      <c r="V134" s="1943"/>
      <c r="W134" s="1982" t="str">
        <f t="shared" si="12"/>
        <v/>
      </c>
      <c r="X134" s="1953"/>
      <c r="Y134" s="1973" t="s">
        <v>434</v>
      </c>
      <c r="Z134" s="1943"/>
      <c r="AA134" s="1943"/>
      <c r="AB134" s="1982" t="str">
        <f t="shared" si="13"/>
        <v/>
      </c>
      <c r="AC134" s="1953"/>
      <c r="AD134" s="1973" t="s">
        <v>608</v>
      </c>
      <c r="AE134" s="1943"/>
      <c r="AF134" s="1943"/>
      <c r="AG134" s="1982" t="str">
        <f>IMAGE("https://raw.githubusercontent.com/msikma/pokesprite/master/misc/types/gen8/psychic.png",4,20,20)</f>
        <v/>
      </c>
      <c r="AH134" s="1932"/>
      <c r="AI134" s="1456"/>
    </row>
    <row r="135" ht="21.0" customHeight="1">
      <c r="A135" s="1468"/>
      <c r="B135" s="1947"/>
      <c r="C135" s="1968"/>
      <c r="D135" s="1960"/>
      <c r="E135" s="1983" t="s">
        <v>609</v>
      </c>
      <c r="F135" s="1984"/>
      <c r="G135" s="1984"/>
      <c r="H135" s="1985" t="str">
        <f>IMAGE("https://raw.githubusercontent.com/msikma/pokesprite/master/misc/types/gen8/dark.png",4,20,20)</f>
        <v/>
      </c>
      <c r="I135" s="1953"/>
      <c r="J135" s="1983" t="s">
        <v>399</v>
      </c>
      <c r="K135" s="1984"/>
      <c r="L135" s="1984"/>
      <c r="M135" s="1985" t="str">
        <f>IMAGE("https://raw.githubusercontent.com/msikma/pokesprite/master/misc/types/gen8/rock.png",4,20,20)</f>
        <v/>
      </c>
      <c r="N135" s="1953"/>
      <c r="O135" s="1983" t="s">
        <v>610</v>
      </c>
      <c r="P135" s="1984"/>
      <c r="Q135" s="1984"/>
      <c r="R135" s="1985" t="str">
        <f>IMAGE("https://raw.githubusercontent.com/msikma/pokesprite/master/misc/types/gen8/rock.png",4,20,20)</f>
        <v/>
      </c>
      <c r="S135" s="1953"/>
      <c r="T135" s="1983" t="s">
        <v>496</v>
      </c>
      <c r="U135" s="1984"/>
      <c r="V135" s="1984"/>
      <c r="W135" s="1985" t="str">
        <f>IMAGE("https://raw.githubusercontent.com/msikma/pokesprite/master/misc/types/gen8/ice.png",4,20,20)</f>
        <v/>
      </c>
      <c r="X135" s="1953"/>
      <c r="Y135" s="1983" t="s">
        <v>404</v>
      </c>
      <c r="Z135" s="1984"/>
      <c r="AA135" s="1984"/>
      <c r="AB135" s="1985" t="str">
        <f>IMAGE("https://raw.githubusercontent.com/msikma/pokesprite/master/misc/types/gen8/steel.png",4,20,20)</f>
        <v/>
      </c>
      <c r="AC135" s="1953"/>
      <c r="AD135" s="1983" t="s">
        <v>540</v>
      </c>
      <c r="AE135" s="1984"/>
      <c r="AF135" s="1984"/>
      <c r="AG135" s="1985" t="str">
        <f>IMAGE("https://raw.githubusercontent.com/msikma/pokesprite/master/misc/types/gen8/dark.png",4,20,20)</f>
        <v/>
      </c>
      <c r="AH135" s="1932"/>
      <c r="AI135" s="1456"/>
    </row>
    <row r="136" ht="3.0" customHeight="1">
      <c r="A136" s="1468"/>
      <c r="B136" s="1986"/>
      <c r="C136" s="1987"/>
      <c r="D136" s="1988"/>
      <c r="E136" s="1989"/>
      <c r="F136" s="1989"/>
      <c r="G136" s="1989"/>
      <c r="H136" s="1989"/>
      <c r="I136" s="1988"/>
      <c r="J136" s="1989"/>
      <c r="K136" s="1989"/>
      <c r="L136" s="1989"/>
      <c r="M136" s="1989"/>
      <c r="N136" s="1988"/>
      <c r="O136" s="1989"/>
      <c r="P136" s="1989"/>
      <c r="Q136" s="1989"/>
      <c r="R136" s="1989"/>
      <c r="S136" s="1988"/>
      <c r="T136" s="1989"/>
      <c r="U136" s="1989"/>
      <c r="V136" s="1989"/>
      <c r="W136" s="1989"/>
      <c r="X136" s="1988"/>
      <c r="Y136" s="1990"/>
      <c r="Z136" s="1991"/>
      <c r="AA136" s="1991"/>
      <c r="AB136" s="1992"/>
      <c r="AC136" s="1988"/>
      <c r="AD136" s="1993"/>
      <c r="AE136" s="1993"/>
      <c r="AF136" s="1993"/>
      <c r="AG136" s="1993"/>
      <c r="AH136" s="1994"/>
      <c r="AI136" s="1533"/>
    </row>
    <row r="137" ht="16.5" customHeight="1">
      <c r="A137" s="1468"/>
      <c r="B137" s="1995"/>
      <c r="C137" s="1987"/>
      <c r="D137" s="1996"/>
      <c r="E137" s="1997" t="s">
        <v>190</v>
      </c>
      <c r="F137" s="381"/>
      <c r="G137" s="382"/>
      <c r="H137" s="1998" t="s">
        <v>191</v>
      </c>
      <c r="I137" s="1996"/>
      <c r="J137" s="1997" t="s">
        <v>190</v>
      </c>
      <c r="K137" s="381"/>
      <c r="L137" s="382"/>
      <c r="M137" s="1998" t="s">
        <v>191</v>
      </c>
      <c r="N137" s="1996"/>
      <c r="O137" s="1997" t="s">
        <v>190</v>
      </c>
      <c r="P137" s="381"/>
      <c r="Q137" s="382"/>
      <c r="R137" s="1998" t="s">
        <v>191</v>
      </c>
      <c r="S137" s="1996"/>
      <c r="T137" s="1997" t="s">
        <v>190</v>
      </c>
      <c r="U137" s="381"/>
      <c r="V137" s="382"/>
      <c r="W137" s="1998" t="s">
        <v>191</v>
      </c>
      <c r="X137" s="1996"/>
      <c r="Y137" s="1997" t="s">
        <v>190</v>
      </c>
      <c r="Z137" s="381"/>
      <c r="AA137" s="382"/>
      <c r="AB137" s="1998" t="s">
        <v>191</v>
      </c>
      <c r="AC137" s="1996"/>
      <c r="AD137" s="1997" t="s">
        <v>190</v>
      </c>
      <c r="AE137" s="381"/>
      <c r="AF137" s="382"/>
      <c r="AG137" s="1998" t="s">
        <v>191</v>
      </c>
      <c r="AH137" s="1999"/>
      <c r="AI137" s="1542"/>
    </row>
    <row r="138" ht="15.75" customHeight="1">
      <c r="A138" s="1468"/>
      <c r="B138" s="1995"/>
      <c r="C138" s="1987"/>
      <c r="D138" s="1996"/>
      <c r="E138" s="2000" t="s">
        <v>192</v>
      </c>
      <c r="F138" s="2001">
        <f t="array" ref="F138">IFERROR(VLOOKUP(E125,Dex!$B$3:$N244,8,FALSE),"")</f>
        <v>50</v>
      </c>
      <c r="G138" s="2002" t="str">
        <f t="array" ref="G138">IFERROR(VLOOKUP(F138,Dex!$P$22:$Q$276,2,FALSE),"")</f>
        <v/>
      </c>
      <c r="H138" s="2003"/>
      <c r="I138" s="2004"/>
      <c r="J138" s="2000" t="s">
        <v>192</v>
      </c>
      <c r="K138" s="2001">
        <f t="array" ref="K138">IFERROR(VLOOKUP(J125,Dex!$B$3:$N244,8,FALSE),"")</f>
        <v>80</v>
      </c>
      <c r="L138" s="2002" t="str">
        <f t="array" ref="L138">IFERROR(VLOOKUP(K138,Dex!$P$22:$Q$276,2,FALSE),"")</f>
        <v/>
      </c>
      <c r="M138" s="2003"/>
      <c r="N138" s="2004"/>
      <c r="O138" s="2000" t="s">
        <v>192</v>
      </c>
      <c r="P138" s="2001">
        <f t="array" ref="P138">IFERROR(VLOOKUP(O125,Dex!$B$3:$N244,8,FALSE),"")</f>
        <v>60</v>
      </c>
      <c r="Q138" s="2002" t="str">
        <f t="array" ref="Q138">IFERROR(VLOOKUP(P138,Dex!$P$22:$Q$276,2,FALSE),"")</f>
        <v/>
      </c>
      <c r="R138" s="2003"/>
      <c r="S138" s="2004"/>
      <c r="T138" s="2000" t="s">
        <v>192</v>
      </c>
      <c r="U138" s="2001">
        <f t="array" ref="U138">IFERROR(VLOOKUP(T125,Dex!$B$3:$N244,8,FALSE),"")</f>
        <v>85</v>
      </c>
      <c r="V138" s="2002" t="str">
        <f t="array" ref="V138">IFERROR(VLOOKUP(U138,Dex!$P$22:$Q$276,2,FALSE),"")</f>
        <v/>
      </c>
      <c r="W138" s="2003"/>
      <c r="X138" s="2004"/>
      <c r="Y138" s="2000" t="s">
        <v>192</v>
      </c>
      <c r="Z138" s="2001">
        <f t="array" ref="Z138">IFERROR(VLOOKUP(Y125,Dex!$B$3:$N244,8,FALSE),"")</f>
        <v>70</v>
      </c>
      <c r="AA138" s="2002" t="str">
        <f t="array" ref="AA138">IFERROR(VLOOKUP(Z138,Dex!$P$22:$Q$276,2,FALSE),"")</f>
        <v/>
      </c>
      <c r="AB138" s="2003"/>
      <c r="AC138" s="2004"/>
      <c r="AD138" s="2000" t="s">
        <v>192</v>
      </c>
      <c r="AE138" s="2001">
        <f t="array" ref="AE138">IFERROR(VLOOKUP(AD125,Dex!$B$3:$N244,8,FALSE),"")</f>
        <v>68</v>
      </c>
      <c r="AF138" s="2002" t="str">
        <f t="array" ref="AF138">IFERROR(VLOOKUP(AE138,Dex!$P$22:$Q$276,2,FALSE),"")</f>
        <v/>
      </c>
      <c r="AG138" s="2003"/>
      <c r="AH138" s="2005"/>
      <c r="AI138" s="1542"/>
    </row>
    <row r="139" ht="15.75" customHeight="1">
      <c r="A139" s="1468"/>
      <c r="B139" s="1995"/>
      <c r="C139" s="1987"/>
      <c r="D139" s="1996"/>
      <c r="E139" s="2006" t="s">
        <v>193</v>
      </c>
      <c r="F139" s="2007">
        <f t="array" ref="F139">IFERROR(VLOOKUP(E125,Dex!$B$3:$N244,9,FALSE),"")</f>
        <v>95</v>
      </c>
      <c r="G139" s="2008" t="str">
        <f t="array" ref="G139">IFERROR(VLOOKUP(F139,Dex!$P$22:$Q$276,2,FALSE),"")</f>
        <v/>
      </c>
      <c r="H139" s="2009">
        <v>252.0</v>
      </c>
      <c r="I139" s="2004"/>
      <c r="J139" s="2006" t="s">
        <v>193</v>
      </c>
      <c r="K139" s="2007">
        <f t="array" ref="K139">IFERROR(VLOOKUP(J125,Dex!$B$3:$N244,9,FALSE),"")</f>
        <v>130</v>
      </c>
      <c r="L139" s="2008" t="str">
        <f t="array" ref="L139">IFERROR(VLOOKUP(K139,Dex!$P$22:$Q$276,2,FALSE),"")</f>
        <v/>
      </c>
      <c r="M139" s="2009">
        <v>252.0</v>
      </c>
      <c r="N139" s="2004"/>
      <c r="O139" s="2006" t="s">
        <v>193</v>
      </c>
      <c r="P139" s="2007">
        <f t="array" ref="P139">IFERROR(VLOOKUP(O125,Dex!$B$3:$N244,9,FALSE),"")</f>
        <v>130</v>
      </c>
      <c r="Q139" s="2008" t="str">
        <f t="array" ref="Q139">IFERROR(VLOOKUP(P139,Dex!$P$22:$Q$276,2,FALSE),"")</f>
        <v/>
      </c>
      <c r="R139" s="2009">
        <v>252.0</v>
      </c>
      <c r="S139" s="2004"/>
      <c r="T139" s="2006" t="s">
        <v>193</v>
      </c>
      <c r="U139" s="2007">
        <f t="array" ref="U139">IFERROR(VLOOKUP(T125,Dex!$B$3:$N244,9,FALSE),"")</f>
        <v>120</v>
      </c>
      <c r="V139" s="2008" t="str">
        <f t="array" ref="V139">IFERROR(VLOOKUP(U139,Dex!$P$22:$Q$276,2,FALSE),"")</f>
        <v/>
      </c>
      <c r="W139" s="2009">
        <v>252.0</v>
      </c>
      <c r="X139" s="2004"/>
      <c r="Y139" s="2006" t="s">
        <v>193</v>
      </c>
      <c r="Z139" s="2007">
        <f t="array" ref="Z139">IFERROR(VLOOKUP(Y125,Dex!$B$3:$N244,9,FALSE),"")</f>
        <v>110</v>
      </c>
      <c r="AA139" s="2008" t="str">
        <f t="array" ref="AA139">IFERROR(VLOOKUP(Z139,Dex!$P$22:$Q$276,2,FALSE),"")</f>
        <v/>
      </c>
      <c r="AB139" s="2009">
        <v>252.0</v>
      </c>
      <c r="AC139" s="2004"/>
      <c r="AD139" s="2006" t="s">
        <v>193</v>
      </c>
      <c r="AE139" s="2007">
        <f t="array" ref="AE139">IFERROR(VLOOKUP(AD125,Dex!$B$3:$N244,9,FALSE),"")</f>
        <v>165</v>
      </c>
      <c r="AF139" s="2008" t="str">
        <f t="array" ref="AF139">IFERROR(VLOOKUP(AE139,Dex!$P$22:$Q$276,2,FALSE),"")</f>
        <v/>
      </c>
      <c r="AG139" s="2009">
        <v>252.0</v>
      </c>
      <c r="AH139" s="2005"/>
      <c r="AI139" s="1542"/>
    </row>
    <row r="140" ht="15.75" customHeight="1">
      <c r="A140" s="1468"/>
      <c r="B140" s="1995"/>
      <c r="C140" s="1987"/>
      <c r="D140" s="1996"/>
      <c r="E140" s="2006" t="s">
        <v>194</v>
      </c>
      <c r="F140" s="2007">
        <f t="array" ref="F140">IFERROR(VLOOKUP(E125,Dex!$B$3:$N244,10,FALSE),"")</f>
        <v>95</v>
      </c>
      <c r="G140" s="2008" t="str">
        <f t="array" ref="G140">IFERROR(VLOOKUP(F140,Dex!$P$22:$Q$276,2,FALSE),"")</f>
        <v/>
      </c>
      <c r="H140" s="2009">
        <v>4.0</v>
      </c>
      <c r="I140" s="2004"/>
      <c r="J140" s="2006" t="s">
        <v>194</v>
      </c>
      <c r="K140" s="2007">
        <f t="array" ref="K140">IFERROR(VLOOKUP(J125,Dex!$B$3:$N244,10,FALSE),"")</f>
        <v>60</v>
      </c>
      <c r="L140" s="2008" t="str">
        <f t="array" ref="L140">IFERROR(VLOOKUP(K140,Dex!$P$22:$Q$276,2,FALSE),"")</f>
        <v/>
      </c>
      <c r="M140" s="2009">
        <v>4.0</v>
      </c>
      <c r="N140" s="2004"/>
      <c r="O140" s="2006" t="s">
        <v>194</v>
      </c>
      <c r="P140" s="2007">
        <f t="array" ref="P140">IFERROR(VLOOKUP(O125,Dex!$B$3:$N244,10,FALSE),"")</f>
        <v>80</v>
      </c>
      <c r="Q140" s="2008" t="str">
        <f t="array" ref="Q140">IFERROR(VLOOKUP(P140,Dex!$P$22:$Q$276,2,FALSE),"")</f>
        <v/>
      </c>
      <c r="R140" s="2009">
        <v>4.0</v>
      </c>
      <c r="S140" s="2004"/>
      <c r="T140" s="2006" t="s">
        <v>194</v>
      </c>
      <c r="U140" s="2007">
        <f t="array" ref="U140">IFERROR(VLOOKUP(T125,Dex!$B$3:$N244,10,FALSE),"")</f>
        <v>80</v>
      </c>
      <c r="V140" s="2008" t="str">
        <f t="array" ref="V140">IFERROR(VLOOKUP(U140,Dex!$P$22:$Q$276,2,FALSE),"")</f>
        <v/>
      </c>
      <c r="W140" s="2009">
        <v>4.0</v>
      </c>
      <c r="X140" s="2004"/>
      <c r="Y140" s="2006" t="s">
        <v>194</v>
      </c>
      <c r="Z140" s="2007">
        <f t="array" ref="Z140">IFERROR(VLOOKUP(Y125,Dex!$B$3:$N244,10,FALSE),"")</f>
        <v>70</v>
      </c>
      <c r="AA140" s="2008" t="str">
        <f t="array" ref="AA140">IFERROR(VLOOKUP(Z140,Dex!$P$22:$Q$276,2,FALSE),"")</f>
        <v/>
      </c>
      <c r="AB140" s="2009">
        <v>4.0</v>
      </c>
      <c r="AC140" s="2004"/>
      <c r="AD140" s="2006" t="s">
        <v>194</v>
      </c>
      <c r="AE140" s="2007">
        <f t="array" ref="AE140">IFERROR(VLOOKUP(AD125,Dex!$B$3:$N244,10,FALSE),"")</f>
        <v>95</v>
      </c>
      <c r="AF140" s="2008" t="str">
        <f t="array" ref="AF140">IFERROR(VLOOKUP(AE140,Dex!$P$22:$Q$276,2,FALSE),"")</f>
        <v/>
      </c>
      <c r="AG140" s="2009">
        <v>4.0</v>
      </c>
      <c r="AH140" s="2005"/>
      <c r="AI140" s="1542"/>
    </row>
    <row r="141" ht="15.75" customHeight="1">
      <c r="A141" s="1468"/>
      <c r="B141" s="1995"/>
      <c r="C141" s="1987"/>
      <c r="D141" s="1996"/>
      <c r="E141" s="2006" t="s">
        <v>195</v>
      </c>
      <c r="F141" s="2007">
        <f t="array" ref="F141">IFERROR(VLOOKUP(E125,Dex!$B$3:$N244,11,FALSE),"")</f>
        <v>35</v>
      </c>
      <c r="G141" s="2008" t="str">
        <f t="array" ref="G141">IFERROR(VLOOKUP(F141,Dex!$P$22:$Q$276,2,FALSE),"")</f>
        <v/>
      </c>
      <c r="H141" s="2009"/>
      <c r="I141" s="2004"/>
      <c r="J141" s="2006" t="s">
        <v>195</v>
      </c>
      <c r="K141" s="2007">
        <f t="array" ref="K141">IFERROR(VLOOKUP(J125,Dex!$B$3:$N244,11,FALSE),"")</f>
        <v>40</v>
      </c>
      <c r="L141" s="2008" t="str">
        <f t="array" ref="L141">IFERROR(VLOOKUP(K141,Dex!$P$22:$Q$276,2,FALSE),"")</f>
        <v/>
      </c>
      <c r="M141" s="2009"/>
      <c r="N141" s="2004"/>
      <c r="O141" s="2006" t="s">
        <v>195</v>
      </c>
      <c r="P141" s="2007">
        <f t="array" ref="P141">IFERROR(VLOOKUP(O125,Dex!$B$3:$N244,11,FALSE),"")</f>
        <v>60</v>
      </c>
      <c r="Q141" s="2008" t="str">
        <f t="array" ref="Q141">IFERROR(VLOOKUP(P141,Dex!$P$22:$Q$276,2,FALSE),"")</f>
        <v/>
      </c>
      <c r="R141" s="2009"/>
      <c r="S141" s="2004"/>
      <c r="T141" s="2006" t="s">
        <v>195</v>
      </c>
      <c r="U141" s="2007">
        <f t="array" ref="U141">IFERROR(VLOOKUP(T125,Dex!$B$3:$N244,11,FALSE),"")</f>
        <v>85</v>
      </c>
      <c r="V141" s="2008" t="str">
        <f t="array" ref="V141">IFERROR(VLOOKUP(U141,Dex!$P$22:$Q$276,2,FALSE),"")</f>
        <v/>
      </c>
      <c r="W141" s="2009"/>
      <c r="X141" s="2004"/>
      <c r="Y141" s="2006" t="s">
        <v>195</v>
      </c>
      <c r="Z141" s="2007">
        <f t="array" ref="Z141">IFERROR(VLOOKUP(Y125,Dex!$B$3:$N244,11,FALSE),"")</f>
        <v>115</v>
      </c>
      <c r="AA141" s="2008" t="str">
        <f t="array" ref="AA141">IFERROR(VLOOKUP(Z141,Dex!$P$22:$Q$276,2,FALSE),"")</f>
        <v/>
      </c>
      <c r="AB141" s="2009"/>
      <c r="AC141" s="2004"/>
      <c r="AD141" s="2006" t="s">
        <v>195</v>
      </c>
      <c r="AE141" s="2007">
        <f t="array" ref="AE141">IFERROR(VLOOKUP(AD125,Dex!$B$3:$N244,11,FALSE),"")</f>
        <v>65</v>
      </c>
      <c r="AF141" s="2008" t="str">
        <f t="array" ref="AF141">IFERROR(VLOOKUP(AE141,Dex!$P$22:$Q$276,2,FALSE),"")</f>
        <v/>
      </c>
      <c r="AG141" s="2009"/>
      <c r="AH141" s="2005"/>
      <c r="AI141" s="1542"/>
    </row>
    <row r="142" ht="15.75" customHeight="1">
      <c r="A142" s="1468"/>
      <c r="B142" s="1995"/>
      <c r="C142" s="1987"/>
      <c r="D142" s="1996"/>
      <c r="E142" s="2006" t="s">
        <v>196</v>
      </c>
      <c r="F142" s="2007">
        <f t="array" ref="F142">IFERROR(VLOOKUP(E125,Dex!$B$3:$N244,12,FALSE),"")</f>
        <v>110</v>
      </c>
      <c r="G142" s="2008" t="str">
        <f t="array" ref="G142">IFERROR(VLOOKUP(F142,Dex!$P$22:$Q$276,2,FALSE),"")</f>
        <v/>
      </c>
      <c r="H142" s="2009"/>
      <c r="I142" s="2004"/>
      <c r="J142" s="2006" t="s">
        <v>196</v>
      </c>
      <c r="K142" s="2007">
        <f t="array" ref="K142">IFERROR(VLOOKUP(J125,Dex!$B$3:$N244,12,FALSE),"")</f>
        <v>80</v>
      </c>
      <c r="L142" s="2008" t="str">
        <f t="array" ref="L142">IFERROR(VLOOKUP(K142,Dex!$P$22:$Q$276,2,FALSE),"")</f>
        <v/>
      </c>
      <c r="M142" s="2009"/>
      <c r="N142" s="2004"/>
      <c r="O142" s="2006" t="s">
        <v>196</v>
      </c>
      <c r="P142" s="2007">
        <f t="array" ref="P142">IFERROR(VLOOKUP(O125,Dex!$B$3:$N244,12,FALSE),"")</f>
        <v>60</v>
      </c>
      <c r="Q142" s="2008" t="str">
        <f t="array" ref="Q142">IFERROR(VLOOKUP(P142,Dex!$P$22:$Q$276,2,FALSE),"")</f>
        <v/>
      </c>
      <c r="R142" s="2009"/>
      <c r="S142" s="2004"/>
      <c r="T142" s="2006" t="s">
        <v>196</v>
      </c>
      <c r="U142" s="2007">
        <f t="array" ref="U142">IFERROR(VLOOKUP(T125,Dex!$B$3:$N244,12,FALSE),"")</f>
        <v>75</v>
      </c>
      <c r="V142" s="2008" t="str">
        <f t="array" ref="V142">IFERROR(VLOOKUP(U142,Dex!$P$22:$Q$276,2,FALSE),"")</f>
        <v/>
      </c>
      <c r="W142" s="2009"/>
      <c r="X142" s="2004"/>
      <c r="Y142" s="2006" t="s">
        <v>196</v>
      </c>
      <c r="Z142" s="2007">
        <f t="array" ref="Z142">IFERROR(VLOOKUP(Y125,Dex!$B$3:$N244,12,FALSE),"")</f>
        <v>70</v>
      </c>
      <c r="AA142" s="2008" t="str">
        <f t="array" ref="AA142">IFERROR(VLOOKUP(Z142,Dex!$P$22:$Q$276,2,FALSE),"")</f>
        <v/>
      </c>
      <c r="AB142" s="2009"/>
      <c r="AC142" s="2004"/>
      <c r="AD142" s="2006" t="s">
        <v>196</v>
      </c>
      <c r="AE142" s="2007">
        <f t="array" ref="AE142">IFERROR(VLOOKUP(AD125,Dex!$B$3:$N244,12,FALSE),"")</f>
        <v>115</v>
      </c>
      <c r="AF142" s="2008" t="str">
        <f t="array" ref="AF142">IFERROR(VLOOKUP(AE142,Dex!$P$22:$Q$276,2,FALSE),"")</f>
        <v/>
      </c>
      <c r="AG142" s="2009"/>
      <c r="AH142" s="2005"/>
      <c r="AI142" s="1542"/>
    </row>
    <row r="143" ht="15.75" customHeight="1">
      <c r="A143" s="1468"/>
      <c r="B143" s="1995"/>
      <c r="C143" s="1204" t="s">
        <v>436</v>
      </c>
      <c r="D143" s="1996"/>
      <c r="E143" s="2010" t="s">
        <v>197</v>
      </c>
      <c r="F143" s="2011">
        <f t="array" ref="F143">IFERROR(VLOOKUP(E125,Dex!$B$3:$N244,13,FALSE),"")</f>
        <v>70</v>
      </c>
      <c r="G143" s="2012" t="str">
        <f t="array" ref="G143">IFERROR(VLOOKUP(F143,Dex!$P$22:$Q$276,2,FALSE),"")</f>
        <v/>
      </c>
      <c r="H143" s="2013">
        <v>252.0</v>
      </c>
      <c r="I143" s="2004"/>
      <c r="J143" s="2010" t="s">
        <v>197</v>
      </c>
      <c r="K143" s="2011">
        <f t="array" ref="K143">IFERROR(VLOOKUP(J125,Dex!$B$3:$N244,13,FALSE),"")</f>
        <v>120</v>
      </c>
      <c r="L143" s="2012" t="str">
        <f t="array" ref="L143">IFERROR(VLOOKUP(K143,Dex!$P$22:$Q$276,2,FALSE),"")</f>
        <v/>
      </c>
      <c r="M143" s="2013">
        <v>252.0</v>
      </c>
      <c r="N143" s="2004"/>
      <c r="O143" s="2010" t="s">
        <v>197</v>
      </c>
      <c r="P143" s="2011">
        <f t="array" ref="P143">IFERROR(VLOOKUP(O125,Dex!$B$3:$N244,13,FALSE),"")</f>
        <v>70</v>
      </c>
      <c r="Q143" s="2012" t="str">
        <f t="array" ref="Q143">IFERROR(VLOOKUP(P143,Dex!$P$22:$Q$276,2,FALSE),"")</f>
        <v/>
      </c>
      <c r="R143" s="2013">
        <v>252.0</v>
      </c>
      <c r="S143" s="2004"/>
      <c r="T143" s="2010" t="s">
        <v>197</v>
      </c>
      <c r="U143" s="2011">
        <f t="array" ref="U143">IFERROR(VLOOKUP(T125,Dex!$B$3:$N244,13,FALSE),"")</f>
        <v>85</v>
      </c>
      <c r="V143" s="2012" t="str">
        <f t="array" ref="V143">IFERROR(VLOOKUP(U143,Dex!$P$22:$Q$276,2,FALSE),"")</f>
        <v/>
      </c>
      <c r="W143" s="2013">
        <v>252.0</v>
      </c>
      <c r="X143" s="2004"/>
      <c r="Y143" s="2010" t="s">
        <v>197</v>
      </c>
      <c r="Z143" s="2011">
        <f t="array" ref="Z143">IFERROR(VLOOKUP(Y125,Dex!$B$3:$N244,13,FALSE),"")</f>
        <v>90</v>
      </c>
      <c r="AA143" s="2012" t="str">
        <f t="array" ref="AA143">IFERROR(VLOOKUP(Z143,Dex!$P$22:$Q$276,2,FALSE),"")</f>
        <v/>
      </c>
      <c r="AB143" s="2013">
        <v>252.0</v>
      </c>
      <c r="AC143" s="2004"/>
      <c r="AD143" s="2010" t="s">
        <v>197</v>
      </c>
      <c r="AE143" s="2011">
        <f t="array" ref="AE143">IFERROR(VLOOKUP(AD125,Dex!$B$3:$N244,13,FALSE),"")</f>
        <v>110</v>
      </c>
      <c r="AF143" s="2012" t="str">
        <f t="array" ref="AF143">IFERROR(VLOOKUP(AE143,Dex!$P$22:$Q$276,2,FALSE),"")</f>
        <v/>
      </c>
      <c r="AG143" s="2013">
        <v>252.0</v>
      </c>
      <c r="AH143" s="2005"/>
      <c r="AI143" s="1542"/>
    </row>
    <row r="144" ht="16.5" customHeight="1">
      <c r="A144" s="1468"/>
      <c r="B144" s="1995"/>
      <c r="C144" s="1205" t="s">
        <v>611</v>
      </c>
      <c r="D144" s="1996"/>
      <c r="E144" s="2014" t="s">
        <v>198</v>
      </c>
      <c r="F144" s="405"/>
      <c r="G144" s="406"/>
      <c r="H144" s="2015">
        <v>151.0</v>
      </c>
      <c r="I144" s="1996"/>
      <c r="J144" s="2014" t="s">
        <v>198</v>
      </c>
      <c r="K144" s="405"/>
      <c r="L144" s="406"/>
      <c r="M144" s="2015">
        <v>214.0</v>
      </c>
      <c r="N144" s="1996"/>
      <c r="O144" s="2014" t="s">
        <v>198</v>
      </c>
      <c r="P144" s="405"/>
      <c r="Q144" s="406"/>
      <c r="R144" s="2015">
        <v>151.0</v>
      </c>
      <c r="S144" s="1996"/>
      <c r="T144" s="2014" t="s">
        <v>198</v>
      </c>
      <c r="U144" s="405"/>
      <c r="V144" s="406"/>
      <c r="W144" s="2015">
        <v>170.0</v>
      </c>
      <c r="X144" s="1996"/>
      <c r="Y144" s="2014" t="s">
        <v>198</v>
      </c>
      <c r="Z144" s="405"/>
      <c r="AA144" s="406"/>
      <c r="AB144" s="2015">
        <v>177.0</v>
      </c>
      <c r="AC144" s="1996"/>
      <c r="AD144" s="2014" t="s">
        <v>198</v>
      </c>
      <c r="AE144" s="405"/>
      <c r="AF144" s="406"/>
      <c r="AG144" s="2015">
        <v>201.0</v>
      </c>
      <c r="AH144" s="1999"/>
      <c r="AI144" s="1542"/>
    </row>
    <row r="145" ht="15.0" customHeight="1">
      <c r="A145" s="1468"/>
      <c r="B145" s="2016"/>
      <c r="C145" s="2017"/>
      <c r="D145" s="2018"/>
      <c r="E145" s="2018"/>
      <c r="F145" s="2018"/>
      <c r="G145" s="2018"/>
      <c r="H145" s="2018"/>
      <c r="I145" s="2018"/>
      <c r="J145" s="2019"/>
      <c r="K145" s="2019"/>
      <c r="L145" s="2019"/>
      <c r="M145" s="2018"/>
      <c r="N145" s="2018"/>
      <c r="O145" s="2019"/>
      <c r="P145" s="2019"/>
      <c r="Q145" s="2019"/>
      <c r="R145" s="2019"/>
      <c r="S145" s="2018"/>
      <c r="T145" s="2019"/>
      <c r="U145" s="2019"/>
      <c r="V145" s="2019"/>
      <c r="W145" s="2018"/>
      <c r="X145" s="2018"/>
      <c r="Y145" s="2019"/>
      <c r="Z145" s="2019"/>
      <c r="AA145" s="2019"/>
      <c r="AB145" s="2018"/>
      <c r="AC145" s="2018"/>
      <c r="AD145" s="2019"/>
      <c r="AE145" s="2019"/>
      <c r="AF145" s="2019"/>
      <c r="AG145" s="2018"/>
      <c r="AH145" s="2020"/>
      <c r="AI145" s="1456"/>
    </row>
    <row r="146" ht="7.5" customHeight="1">
      <c r="A146" s="1468"/>
      <c r="B146" s="2021"/>
      <c r="C146" s="2022"/>
      <c r="D146" s="2023"/>
      <c r="E146" s="2023"/>
      <c r="F146" s="2023"/>
      <c r="G146" s="2023"/>
      <c r="H146" s="2023"/>
      <c r="I146" s="2023"/>
      <c r="J146" s="2023"/>
      <c r="K146" s="2023"/>
      <c r="L146" s="2023"/>
      <c r="M146" s="2023"/>
      <c r="N146" s="2023"/>
      <c r="O146" s="2023"/>
      <c r="P146" s="2023"/>
      <c r="Q146" s="2023"/>
      <c r="R146" s="2023"/>
      <c r="S146" s="2023"/>
      <c r="T146" s="2023"/>
      <c r="U146" s="2023"/>
      <c r="V146" s="2023"/>
      <c r="W146" s="2023"/>
      <c r="X146" s="2023"/>
      <c r="Y146" s="2023"/>
      <c r="Z146" s="2023"/>
      <c r="AA146" s="2023"/>
      <c r="AB146" s="2023"/>
      <c r="AC146" s="2023"/>
      <c r="AD146" s="2023"/>
      <c r="AE146" s="2023"/>
      <c r="AF146" s="2023"/>
      <c r="AG146" s="2023"/>
      <c r="AH146" s="2024"/>
      <c r="AI146" s="1456"/>
    </row>
    <row r="147" ht="16.5" customHeight="1">
      <c r="A147" s="1468"/>
      <c r="B147" s="2025"/>
      <c r="C147" s="2026"/>
      <c r="D147" s="2027"/>
      <c r="E147" s="2028" t="s">
        <v>612</v>
      </c>
      <c r="F147" s="2029"/>
      <c r="G147" s="2029"/>
      <c r="H147" s="2029"/>
      <c r="I147" s="2029"/>
      <c r="J147" s="2029"/>
      <c r="K147" s="2029"/>
      <c r="L147" s="2029"/>
      <c r="M147" s="2029"/>
      <c r="N147" s="2029"/>
      <c r="O147" s="2029"/>
      <c r="P147" s="2029"/>
      <c r="Q147" s="2029"/>
      <c r="R147" s="2029"/>
      <c r="S147" s="2029"/>
      <c r="T147" s="2029"/>
      <c r="U147" s="2029"/>
      <c r="V147" s="2029"/>
      <c r="W147" s="2029"/>
      <c r="X147" s="2029"/>
      <c r="Y147" s="2029"/>
      <c r="Z147" s="2029"/>
      <c r="AA147" s="2029"/>
      <c r="AB147" s="2029"/>
      <c r="AC147" s="2029"/>
      <c r="AD147" s="2029"/>
      <c r="AE147" s="2029"/>
      <c r="AF147" s="2029"/>
      <c r="AG147" s="2030"/>
      <c r="AH147" s="2031"/>
      <c r="AI147" s="1456"/>
    </row>
    <row r="148" ht="96.75" customHeight="1">
      <c r="A148" s="1468"/>
      <c r="B148" s="2032"/>
      <c r="C148" s="2033" t="str">
        <f>IMAGE("https://i.ibb.co/rkZGjMV/Pryce.png")</f>
        <v/>
      </c>
      <c r="D148" s="2034"/>
      <c r="E148" s="2035" t="str">
        <f t="array" ref="E148">IFERROR(VLOOKUP(E149,Dex!$B$3:$G244,3,FALSE),"")</f>
        <v/>
      </c>
      <c r="F148" s="302"/>
      <c r="G148" s="302"/>
      <c r="H148" s="303"/>
      <c r="I148" s="2034"/>
      <c r="J148" s="2035" t="str">
        <f t="array" ref="J148">IFERROR(VLOOKUP(J149,Dex!$B$3:$G244,3,FALSE),"")</f>
        <v/>
      </c>
      <c r="K148" s="302"/>
      <c r="L148" s="302"/>
      <c r="M148" s="303"/>
      <c r="N148" s="2034"/>
      <c r="O148" s="2035" t="str">
        <f t="array" ref="O148">IFERROR(VLOOKUP(O149,Dex!$B$3:$G244,3,FALSE),"")</f>
        <v/>
      </c>
      <c r="P148" s="302"/>
      <c r="Q148" s="302"/>
      <c r="R148" s="303"/>
      <c r="S148" s="2034"/>
      <c r="T148" s="2035" t="str">
        <f t="array" ref="T148">IFERROR(VLOOKUP(T149,Dex!$B$3:$G244,3,FALSE),"")</f>
        <v/>
      </c>
      <c r="U148" s="302"/>
      <c r="V148" s="302"/>
      <c r="W148" s="303"/>
      <c r="X148" s="2034"/>
      <c r="Y148" s="2035" t="str">
        <f t="array" ref="Y148">IFERROR(VLOOKUP(Y149,Dex!$B$3:$G244,3,FALSE),"")</f>
        <v/>
      </c>
      <c r="Z148" s="302"/>
      <c r="AA148" s="302"/>
      <c r="AB148" s="303"/>
      <c r="AC148" s="2034"/>
      <c r="AD148" s="2035" t="str">
        <f t="array" ref="AD148">IFERROR(VLOOKUP(AD149,Dex!$B$3:$G244,3,FALSE),"")</f>
        <v/>
      </c>
      <c r="AE148" s="302"/>
      <c r="AF148" s="302"/>
      <c r="AG148" s="303"/>
      <c r="AH148" s="2036"/>
      <c r="AI148" s="1456"/>
    </row>
    <row r="149" ht="18.75" customHeight="1">
      <c r="A149" s="1468"/>
      <c r="B149" s="2037"/>
      <c r="C149" s="2038" t="s">
        <v>613</v>
      </c>
      <c r="D149" s="2039"/>
      <c r="E149" s="2040" t="s">
        <v>614</v>
      </c>
      <c r="F149" s="2041"/>
      <c r="G149" s="2041"/>
      <c r="H149" s="2042"/>
      <c r="I149" s="2043"/>
      <c r="J149" s="2040" t="s">
        <v>615</v>
      </c>
      <c r="K149" s="2041"/>
      <c r="L149" s="2041"/>
      <c r="M149" s="2042"/>
      <c r="N149" s="2043"/>
      <c r="O149" s="2040" t="s">
        <v>616</v>
      </c>
      <c r="P149" s="2041"/>
      <c r="Q149" s="2041"/>
      <c r="R149" s="2042"/>
      <c r="S149" s="2043"/>
      <c r="T149" s="2040" t="s">
        <v>617</v>
      </c>
      <c r="U149" s="2041"/>
      <c r="V149" s="2041"/>
      <c r="W149" s="2042"/>
      <c r="X149" s="2043"/>
      <c r="Y149" s="2040" t="s">
        <v>618</v>
      </c>
      <c r="Z149" s="2041"/>
      <c r="AA149" s="2041"/>
      <c r="AB149" s="2042"/>
      <c r="AC149" s="2043"/>
      <c r="AD149" s="2040" t="s">
        <v>619</v>
      </c>
      <c r="AE149" s="2041"/>
      <c r="AF149" s="2041"/>
      <c r="AG149" s="2042"/>
      <c r="AH149" s="2044"/>
      <c r="AI149" s="1479"/>
    </row>
    <row r="150">
      <c r="A150" s="1500"/>
      <c r="B150" s="2045"/>
      <c r="C150" s="1481"/>
      <c r="D150" s="2046"/>
      <c r="E150" s="2047" t="s">
        <v>420</v>
      </c>
      <c r="F150" s="2048"/>
      <c r="G150" s="2048"/>
      <c r="H150" s="2049"/>
      <c r="I150" s="2050"/>
      <c r="J150" s="2047" t="s">
        <v>420</v>
      </c>
      <c r="K150" s="2048"/>
      <c r="L150" s="2048"/>
      <c r="M150" s="2049"/>
      <c r="N150" s="2050"/>
      <c r="O150" s="2047" t="s">
        <v>420</v>
      </c>
      <c r="P150" s="2048"/>
      <c r="Q150" s="2048"/>
      <c r="R150" s="2049"/>
      <c r="S150" s="2050"/>
      <c r="T150" s="2047" t="s">
        <v>420</v>
      </c>
      <c r="U150" s="2048"/>
      <c r="V150" s="2048"/>
      <c r="W150" s="2049"/>
      <c r="X150" s="2050"/>
      <c r="Y150" s="2047" t="s">
        <v>420</v>
      </c>
      <c r="Z150" s="2048"/>
      <c r="AA150" s="2048"/>
      <c r="AB150" s="2049"/>
      <c r="AC150" s="2050"/>
      <c r="AD150" s="2047" t="s">
        <v>420</v>
      </c>
      <c r="AE150" s="2048"/>
      <c r="AF150" s="2048"/>
      <c r="AG150" s="2049"/>
      <c r="AH150" s="2051"/>
      <c r="AI150" s="1696"/>
    </row>
    <row r="151" ht="25.5" customHeight="1">
      <c r="A151" s="1468"/>
      <c r="B151" s="2025"/>
      <c r="C151" s="1489"/>
      <c r="D151" s="2052"/>
      <c r="E151" s="2053"/>
      <c r="F151" s="2054" t="str">
        <f t="array" ref="F151">IFERROR(VLOOKUP(E149,Dex!$B$3:$H244,5,FALSE),"")</f>
        <v/>
      </c>
      <c r="G151" s="2055" t="str">
        <f t="array" ref="G151">IFERROR(VLOOKUP(E149,Dex!$B$3:$H244,7,FALSE),"")</f>
        <v/>
      </c>
      <c r="H151" s="2056"/>
      <c r="I151" s="2057"/>
      <c r="J151" s="2058"/>
      <c r="K151" s="2054" t="str">
        <f t="array" ref="K151">IFERROR(VLOOKUP(J149,Dex!$B$3:$H244,5,FALSE),"")</f>
        <v/>
      </c>
      <c r="L151" s="2055" t="str">
        <f t="array" ref="L151">IFERROR(VLOOKUP(J149,Dex!$B$3:$H244,7,FALSE),"")</f>
        <v/>
      </c>
      <c r="M151" s="2059"/>
      <c r="N151" s="2057"/>
      <c r="O151" s="2058"/>
      <c r="P151" s="2054" t="str">
        <f t="array" ref="P151">IFERROR(VLOOKUP(O149,Dex!$B$3:$H244,5,FALSE),"")</f>
        <v/>
      </c>
      <c r="Q151" s="2055" t="str">
        <f t="array" ref="Q151">IFERROR(VLOOKUP(O149,Dex!$B$3:$H244,7,FALSE),"")</f>
        <v/>
      </c>
      <c r="R151" s="2059"/>
      <c r="S151" s="2057"/>
      <c r="T151" s="2058"/>
      <c r="U151" s="2054" t="str">
        <f t="array" ref="U151">IFERROR(VLOOKUP(T149,Dex!$B$3:$H244,5,FALSE),"")</f>
        <v/>
      </c>
      <c r="V151" s="2055" t="str">
        <f t="array" ref="V151">IFERROR(VLOOKUP(T149,Dex!$B$3:$H244,7,FALSE),"")</f>
        <v/>
      </c>
      <c r="W151" s="2059"/>
      <c r="X151" s="2057"/>
      <c r="Y151" s="2058"/>
      <c r="Z151" s="2054" t="str">
        <f t="array" ref="Z151">IFERROR(VLOOKUP(Y149,Dex!$B$3:$H244,5,FALSE),"")</f>
        <v/>
      </c>
      <c r="AA151" s="2055" t="str">
        <f t="array" ref="AA151">IFERROR(VLOOKUP(Y149,Dex!$B$3:$H244,7,FALSE),"")</f>
        <v/>
      </c>
      <c r="AB151" s="2059"/>
      <c r="AC151" s="2057"/>
      <c r="AD151" s="2060"/>
      <c r="AE151" s="2061" t="str">
        <f t="array" ref="AE151">IFERROR(VLOOKUP(AD149,Dex!$B$3:$H244,5,FALSE),"")</f>
        <v/>
      </c>
      <c r="AF151" s="2062"/>
      <c r="AG151" s="2063"/>
      <c r="AH151" s="2036"/>
      <c r="AI151" s="1456"/>
    </row>
    <row r="152" ht="2.25" customHeight="1">
      <c r="A152" s="1468"/>
      <c r="B152" s="2025"/>
      <c r="C152" s="2064"/>
      <c r="D152" s="2065"/>
      <c r="E152" s="2066"/>
      <c r="F152" s="2067"/>
      <c r="G152" s="2067"/>
      <c r="H152" s="2068"/>
      <c r="I152" s="2057"/>
      <c r="J152" s="2069"/>
      <c r="K152" s="2070"/>
      <c r="L152" s="2070"/>
      <c r="M152" s="2071"/>
      <c r="N152" s="2057"/>
      <c r="O152" s="2069"/>
      <c r="P152" s="2070"/>
      <c r="Q152" s="2070"/>
      <c r="R152" s="2071"/>
      <c r="S152" s="2057"/>
      <c r="T152" s="2069"/>
      <c r="U152" s="2070"/>
      <c r="V152" s="2070"/>
      <c r="W152" s="2071"/>
      <c r="X152" s="2057"/>
      <c r="Y152" s="2069"/>
      <c r="Z152" s="2070"/>
      <c r="AA152" s="2070"/>
      <c r="AB152" s="2071"/>
      <c r="AC152" s="2057"/>
      <c r="AD152" s="2069"/>
      <c r="AE152" s="2067"/>
      <c r="AF152" s="2067"/>
      <c r="AG152" s="2071"/>
      <c r="AH152" s="2036"/>
      <c r="AI152" s="1456"/>
    </row>
    <row r="153" ht="20.25" customHeight="1">
      <c r="A153" s="1468"/>
      <c r="B153" s="2025"/>
      <c r="C153" s="2072"/>
      <c r="D153" s="2065"/>
      <c r="E153" s="2073" t="s">
        <v>205</v>
      </c>
      <c r="F153" s="2074"/>
      <c r="G153" s="2074"/>
      <c r="H153" s="2075"/>
      <c r="I153" s="2057"/>
      <c r="J153" s="2073" t="s">
        <v>172</v>
      </c>
      <c r="K153" s="2074"/>
      <c r="L153" s="2074"/>
      <c r="M153" s="2075"/>
      <c r="N153" s="2057"/>
      <c r="O153" s="2073" t="s">
        <v>231</v>
      </c>
      <c r="P153" s="2074"/>
      <c r="Q153" s="2074"/>
      <c r="R153" s="2075"/>
      <c r="S153" s="2057"/>
      <c r="T153" s="2073" t="s">
        <v>172</v>
      </c>
      <c r="U153" s="2074"/>
      <c r="V153" s="2074"/>
      <c r="W153" s="2075"/>
      <c r="X153" s="2057"/>
      <c r="Y153" s="2073" t="s">
        <v>204</v>
      </c>
      <c r="Z153" s="2074"/>
      <c r="AA153" s="2074"/>
      <c r="AB153" s="2075"/>
      <c r="AC153" s="2057"/>
      <c r="AD153" s="2073" t="s">
        <v>172</v>
      </c>
      <c r="AE153" s="2074"/>
      <c r="AF153" s="2074"/>
      <c r="AG153" s="2075"/>
      <c r="AH153" s="2036"/>
      <c r="AI153" s="1456"/>
    </row>
    <row r="154">
      <c r="A154" s="1500"/>
      <c r="B154" s="2025"/>
      <c r="C154" s="2076"/>
      <c r="D154" s="2065"/>
      <c r="E154" s="2077" t="s">
        <v>620</v>
      </c>
      <c r="F154" s="2048"/>
      <c r="G154" s="2048"/>
      <c r="H154" s="2049"/>
      <c r="I154" s="2057"/>
      <c r="J154" s="2077" t="s">
        <v>621</v>
      </c>
      <c r="K154" s="2048"/>
      <c r="L154" s="2048"/>
      <c r="M154" s="2049"/>
      <c r="N154" s="2057"/>
      <c r="O154" s="2077" t="s">
        <v>622</v>
      </c>
      <c r="P154" s="2048"/>
      <c r="Q154" s="2048"/>
      <c r="R154" s="2049"/>
      <c r="S154" s="2057"/>
      <c r="T154" s="2077" t="s">
        <v>623</v>
      </c>
      <c r="U154" s="2048"/>
      <c r="V154" s="2048"/>
      <c r="W154" s="2049"/>
      <c r="X154" s="2057"/>
      <c r="Y154" s="2077" t="s">
        <v>624</v>
      </c>
      <c r="Z154" s="2048"/>
      <c r="AA154" s="2048"/>
      <c r="AB154" s="2049"/>
      <c r="AC154" s="2057"/>
      <c r="AD154" s="2077" t="s">
        <v>625</v>
      </c>
      <c r="AE154" s="2048"/>
      <c r="AF154" s="2048"/>
      <c r="AG154" s="2049"/>
      <c r="AH154" s="2036"/>
      <c r="AI154" s="1456"/>
    </row>
    <row r="155" ht="20.25" customHeight="1">
      <c r="A155" s="1468"/>
      <c r="B155" s="2025"/>
      <c r="C155" s="2078"/>
      <c r="D155" s="2065"/>
      <c r="E155" s="2079" t="s">
        <v>240</v>
      </c>
      <c r="F155" s="2029"/>
      <c r="G155" s="2030"/>
      <c r="H155" s="2080" t="str">
        <f>IMAGE("https://raw.githubusercontent.com/msikma/pokesprite/master/items/hold-item/focus-sash.png",3)</f>
        <v/>
      </c>
      <c r="I155" s="2057"/>
      <c r="J155" s="2079" t="s">
        <v>626</v>
      </c>
      <c r="K155" s="2029"/>
      <c r="L155" s="2030"/>
      <c r="M155" s="2080" t="str">
        <f>IMAGE("https://raw.githubusercontent.com/msikma/pokesprite/master/items/hold-item/white-herb.png",3)</f>
        <v/>
      </c>
      <c r="N155" s="2057"/>
      <c r="O155" s="2079" t="s">
        <v>394</v>
      </c>
      <c r="P155" s="2029"/>
      <c r="Q155" s="2030"/>
      <c r="R155" s="2080" t="str">
        <f>IMAGE("https://raw.githubusercontent.com/msikma/pokesprite/master/items/hold-item/leftovers.png",3)</f>
        <v/>
      </c>
      <c r="S155" s="2057"/>
      <c r="T155" s="2079" t="s">
        <v>627</v>
      </c>
      <c r="U155" s="2029"/>
      <c r="V155" s="2030"/>
      <c r="W155" s="2080" t="str">
        <f>IMAGE("https://raw.githubusercontent.com/msikma/pokesprite/master/items/hold-item/dragon-fang.png",3)</f>
        <v/>
      </c>
      <c r="X155" s="2057"/>
      <c r="Y155" s="2079" t="s">
        <v>272</v>
      </c>
      <c r="Z155" s="2029"/>
      <c r="AA155" s="2030"/>
      <c r="AB155" s="2080" t="str">
        <f>IMAGE("https://raw.githubusercontent.com/msikma/pokesprite/master/items/hold-item/life-orb.png",3)</f>
        <v/>
      </c>
      <c r="AC155" s="2057"/>
      <c r="AD155" s="2079" t="s">
        <v>628</v>
      </c>
      <c r="AE155" s="2029"/>
      <c r="AF155" s="2030"/>
      <c r="AG155" s="2080" t="str">
        <f>IMAGE("https://raw.githubusercontent.com/msikma/pokesprite/master/items/mega-stone/glalitite.png",3)</f>
        <v/>
      </c>
      <c r="AH155" s="2036"/>
      <c r="AI155" s="1456"/>
    </row>
    <row r="156" ht="20.25" customHeight="1">
      <c r="A156" s="1468"/>
      <c r="B156" s="2025"/>
      <c r="C156" s="2081"/>
      <c r="D156" s="2065"/>
      <c r="E156" s="2073" t="s">
        <v>629</v>
      </c>
      <c r="F156" s="2074"/>
      <c r="G156" s="2074"/>
      <c r="H156" s="2082" t="str">
        <f>IMAGE("https://raw.githubusercontent.com/msikma/pokesprite/master/misc/types/gen8/normal.png",4,20,20)</f>
        <v/>
      </c>
      <c r="I156" s="2057"/>
      <c r="J156" s="2073" t="s">
        <v>428</v>
      </c>
      <c r="K156" s="2074"/>
      <c r="L156" s="2074"/>
      <c r="M156" s="2082" t="str">
        <f>IMAGE("https://raw.githubusercontent.com/msikma/pokesprite/master/misc/types/gen8/normal.png",4,20,20)</f>
        <v/>
      </c>
      <c r="N156" s="2057"/>
      <c r="O156" s="2073" t="s">
        <v>184</v>
      </c>
      <c r="P156" s="2074"/>
      <c r="Q156" s="2074"/>
      <c r="R156" s="2082" t="str">
        <f>IMAGE("https://raw.githubusercontent.com/msikma/pokesprite/master/misc/types/gen8/poison.png",4,20,20)</f>
        <v/>
      </c>
      <c r="S156" s="2057"/>
      <c r="T156" s="2073" t="s">
        <v>396</v>
      </c>
      <c r="U156" s="2074"/>
      <c r="V156" s="2074"/>
      <c r="W156" s="2082" t="str">
        <f>IMAGE("https://raw.githubusercontent.com/msikma/pokesprite/master/misc/types/gen8/dragon.png",4,20,20)</f>
        <v/>
      </c>
      <c r="X156" s="2057"/>
      <c r="Y156" s="2073" t="s">
        <v>630</v>
      </c>
      <c r="Z156" s="2074"/>
      <c r="AA156" s="2074"/>
      <c r="AB156" s="2082" t="str">
        <f>IMAGE("https://raw.githubusercontent.com/msikma/pokesprite/master/misc/types/gen8/electric.png",4,20,20)</f>
        <v/>
      </c>
      <c r="AC156" s="2057"/>
      <c r="AD156" s="2073" t="s">
        <v>476</v>
      </c>
      <c r="AE156" s="2074"/>
      <c r="AF156" s="2074"/>
      <c r="AG156" s="2082" t="str">
        <f t="shared" ref="AG156:AG157" si="14">IMAGE("https://raw.githubusercontent.com/msikma/pokesprite/master/misc/types/gen8/ice.png",4,20,20)</f>
        <v/>
      </c>
      <c r="AH156" s="2036"/>
      <c r="AI156" s="1456"/>
    </row>
    <row r="157" ht="20.25" customHeight="1">
      <c r="A157" s="1981"/>
      <c r="B157" s="2025"/>
      <c r="C157" s="2072"/>
      <c r="D157" s="2065"/>
      <c r="E157" s="2077" t="s">
        <v>631</v>
      </c>
      <c r="F157" s="2048"/>
      <c r="G157" s="2048"/>
      <c r="H157" s="2083" t="str">
        <f>IMAGE("https://raw.githubusercontent.com/msikma/pokesprite/master/misc/types/gen8/psychic.png",4,20,20)</f>
        <v/>
      </c>
      <c r="I157" s="2057"/>
      <c r="J157" s="2077" t="s">
        <v>632</v>
      </c>
      <c r="K157" s="2048"/>
      <c r="L157" s="2048"/>
      <c r="M157" s="2083" t="str">
        <f>IMAGE("https://raw.githubusercontent.com/msikma/pokesprite/master/misc/types/gen8/ice.png",4,20,20)</f>
        <v/>
      </c>
      <c r="N157" s="2057"/>
      <c r="O157" s="2077" t="s">
        <v>633</v>
      </c>
      <c r="P157" s="2048"/>
      <c r="Q157" s="2048"/>
      <c r="R157" s="2083" t="str">
        <f>IMAGE("https://raw.githubusercontent.com/msikma/pokesprite/master/misc/types/gen8/psychic.png",4,20,20)</f>
        <v/>
      </c>
      <c r="S157" s="2057"/>
      <c r="T157" s="2077" t="s">
        <v>634</v>
      </c>
      <c r="U157" s="2048"/>
      <c r="V157" s="2048"/>
      <c r="W157" s="2083" t="str">
        <f>IMAGE("https://raw.githubusercontent.com/msikma/pokesprite/master/misc/types/gen8/ice.png",4,20,20)</f>
        <v/>
      </c>
      <c r="X157" s="2057"/>
      <c r="Y157" s="2077" t="s">
        <v>634</v>
      </c>
      <c r="Z157" s="2048"/>
      <c r="AA157" s="2048"/>
      <c r="AB157" s="2083" t="str">
        <f t="shared" ref="AB157:AB158" si="15">IMAGE("https://raw.githubusercontent.com/msikma/pokesprite/master/misc/types/gen8/ice.png",4,20,20)</f>
        <v/>
      </c>
      <c r="AC157" s="2057"/>
      <c r="AD157" s="2077" t="s">
        <v>635</v>
      </c>
      <c r="AE157" s="2048"/>
      <c r="AF157" s="2048"/>
      <c r="AG157" s="2083" t="str">
        <f t="shared" si="14"/>
        <v/>
      </c>
      <c r="AH157" s="2036"/>
      <c r="AI157" s="1456"/>
    </row>
    <row r="158" ht="20.25" customHeight="1">
      <c r="A158" s="1468"/>
      <c r="B158" s="2025"/>
      <c r="C158" s="2072"/>
      <c r="D158" s="2065"/>
      <c r="E158" s="2077" t="s">
        <v>636</v>
      </c>
      <c r="F158" s="2048"/>
      <c r="G158" s="2048"/>
      <c r="H158" s="2083" t="str">
        <f>IMAGE("https://raw.githubusercontent.com/msikma/pokesprite/master/misc/types/gen8/ice.png",4,20,20)</f>
        <v/>
      </c>
      <c r="I158" s="2057"/>
      <c r="J158" s="2077" t="s">
        <v>459</v>
      </c>
      <c r="K158" s="2048"/>
      <c r="L158" s="2048"/>
      <c r="M158" s="2083" t="str">
        <f>IMAGE("https://raw.githubusercontent.com/msikma/pokesprite/master/misc/types/gen8/water.png",4,20,20)</f>
        <v/>
      </c>
      <c r="N158" s="2057"/>
      <c r="O158" s="2077" t="s">
        <v>185</v>
      </c>
      <c r="P158" s="2048"/>
      <c r="Q158" s="2048"/>
      <c r="R158" s="2083" t="str">
        <f>IMAGE("https://raw.githubusercontent.com/msikma/pokesprite/master/misc/types/gen8/normal.png",4,20,20)</f>
        <v/>
      </c>
      <c r="S158" s="2057"/>
      <c r="T158" s="2077" t="s">
        <v>637</v>
      </c>
      <c r="U158" s="2048"/>
      <c r="V158" s="2048"/>
      <c r="W158" s="2083" t="str">
        <f>IMAGE("https://raw.githubusercontent.com/msikma/pokesprite/master/misc/types/gen8/dragon.png",4,20,20)</f>
        <v/>
      </c>
      <c r="X158" s="2057"/>
      <c r="Y158" s="2077" t="s">
        <v>636</v>
      </c>
      <c r="Z158" s="2048"/>
      <c r="AA158" s="2048"/>
      <c r="AB158" s="2083" t="str">
        <f t="shared" si="15"/>
        <v/>
      </c>
      <c r="AC158" s="2057"/>
      <c r="AD158" s="2077" t="s">
        <v>402</v>
      </c>
      <c r="AE158" s="2048"/>
      <c r="AF158" s="2048"/>
      <c r="AG158" s="2083" t="str">
        <f>IMAGE("https://raw.githubusercontent.com/msikma/pokesprite/master/misc/types/gen8/ground.png",4,20,20)</f>
        <v/>
      </c>
      <c r="AH158" s="2036"/>
      <c r="AI158" s="1456"/>
    </row>
    <row r="159" ht="21.0" customHeight="1">
      <c r="A159" s="1468"/>
      <c r="B159" s="2025"/>
      <c r="C159" s="2072"/>
      <c r="D159" s="2065"/>
      <c r="E159" s="2084" t="s">
        <v>344</v>
      </c>
      <c r="F159" s="2085"/>
      <c r="G159" s="2085"/>
      <c r="H159" s="2086" t="str">
        <f>IMAGE("https://raw.githubusercontent.com/msikma/pokesprite/master/misc/types/gen8/fighting.png",4,20,20)</f>
        <v/>
      </c>
      <c r="I159" s="2057"/>
      <c r="J159" s="2084" t="s">
        <v>638</v>
      </c>
      <c r="K159" s="2085"/>
      <c r="L159" s="2085"/>
      <c r="M159" s="2086" t="str">
        <f>IMAGE("https://raw.githubusercontent.com/msikma/pokesprite/master/misc/types/gen8/rock.png",4,20,20)</f>
        <v/>
      </c>
      <c r="N159" s="2057"/>
      <c r="O159" s="2084" t="s">
        <v>317</v>
      </c>
      <c r="P159" s="2085"/>
      <c r="Q159" s="2085"/>
      <c r="R159" s="2086" t="str">
        <f>IMAGE("https://raw.githubusercontent.com/msikma/pokesprite/master/misc/types/gen8/ice.png",4,20,20)</f>
        <v/>
      </c>
      <c r="S159" s="2057"/>
      <c r="T159" s="2084" t="s">
        <v>402</v>
      </c>
      <c r="U159" s="2085"/>
      <c r="V159" s="2085"/>
      <c r="W159" s="2086" t="str">
        <f>IMAGE("https://raw.githubusercontent.com/msikma/pokesprite/master/misc/types/gen8/ground.png",4,20,20)</f>
        <v/>
      </c>
      <c r="X159" s="2057"/>
      <c r="Y159" s="2084" t="s">
        <v>639</v>
      </c>
      <c r="Z159" s="2085"/>
      <c r="AA159" s="2085"/>
      <c r="AB159" s="2086" t="str">
        <f>IMAGE("https://raw.githubusercontent.com/msikma/pokesprite/master/misc/types/gen8/fighting.png",4,20,20)</f>
        <v/>
      </c>
      <c r="AC159" s="2057"/>
      <c r="AD159" s="2084" t="s">
        <v>640</v>
      </c>
      <c r="AE159" s="2085"/>
      <c r="AF159" s="2085"/>
      <c r="AG159" s="2086" t="str">
        <f>IMAGE("https://raw.githubusercontent.com/msikma/pokesprite/master/misc/types/gen8/ice.png",4,20,20)</f>
        <v/>
      </c>
      <c r="AH159" s="2036"/>
      <c r="AI159" s="1456"/>
    </row>
    <row r="160" ht="3.0" customHeight="1">
      <c r="A160" s="1468"/>
      <c r="B160" s="2087"/>
      <c r="C160" s="2088"/>
      <c r="D160" s="2089"/>
      <c r="E160" s="2090"/>
      <c r="F160" s="2090"/>
      <c r="G160" s="2090"/>
      <c r="H160" s="2090"/>
      <c r="I160" s="2089"/>
      <c r="J160" s="2090"/>
      <c r="K160" s="2090"/>
      <c r="L160" s="2090"/>
      <c r="M160" s="2090"/>
      <c r="N160" s="2089"/>
      <c r="O160" s="2090"/>
      <c r="P160" s="2090"/>
      <c r="Q160" s="2090"/>
      <c r="R160" s="2090"/>
      <c r="S160" s="2089"/>
      <c r="T160" s="2090"/>
      <c r="U160" s="2090"/>
      <c r="V160" s="2090"/>
      <c r="W160" s="2090"/>
      <c r="X160" s="2089"/>
      <c r="Y160" s="2091"/>
      <c r="Z160" s="2092"/>
      <c r="AA160" s="2092"/>
      <c r="AB160" s="2093"/>
      <c r="AC160" s="2089"/>
      <c r="AD160" s="2094"/>
      <c r="AE160" s="2094"/>
      <c r="AF160" s="2094"/>
      <c r="AG160" s="2094"/>
      <c r="AH160" s="2095"/>
      <c r="AI160" s="1533"/>
    </row>
    <row r="161" ht="16.5" customHeight="1">
      <c r="A161" s="1468"/>
      <c r="B161" s="2096"/>
      <c r="C161" s="2088"/>
      <c r="D161" s="2097"/>
      <c r="E161" s="2098" t="s">
        <v>190</v>
      </c>
      <c r="F161" s="381"/>
      <c r="G161" s="382"/>
      <c r="H161" s="2099" t="s">
        <v>191</v>
      </c>
      <c r="I161" s="2097"/>
      <c r="J161" s="2098" t="s">
        <v>190</v>
      </c>
      <c r="K161" s="381"/>
      <c r="L161" s="382"/>
      <c r="M161" s="2099" t="s">
        <v>191</v>
      </c>
      <c r="N161" s="2097"/>
      <c r="O161" s="2098" t="s">
        <v>190</v>
      </c>
      <c r="P161" s="381"/>
      <c r="Q161" s="382"/>
      <c r="R161" s="2099" t="s">
        <v>191</v>
      </c>
      <c r="S161" s="2097"/>
      <c r="T161" s="2098" t="s">
        <v>190</v>
      </c>
      <c r="U161" s="381"/>
      <c r="V161" s="382"/>
      <c r="W161" s="2099" t="s">
        <v>191</v>
      </c>
      <c r="X161" s="2097"/>
      <c r="Y161" s="2098" t="s">
        <v>190</v>
      </c>
      <c r="Z161" s="381"/>
      <c r="AA161" s="382"/>
      <c r="AB161" s="2099" t="s">
        <v>191</v>
      </c>
      <c r="AC161" s="2097"/>
      <c r="AD161" s="2098" t="s">
        <v>190</v>
      </c>
      <c r="AE161" s="381"/>
      <c r="AF161" s="382"/>
      <c r="AG161" s="2099" t="s">
        <v>191</v>
      </c>
      <c r="AH161" s="2100"/>
      <c r="AI161" s="1542"/>
    </row>
    <row r="162" ht="15.75" customHeight="1">
      <c r="A162" s="1468"/>
      <c r="B162" s="2096"/>
      <c r="C162" s="2088"/>
      <c r="D162" s="2097"/>
      <c r="E162" s="2101" t="s">
        <v>192</v>
      </c>
      <c r="F162" s="2102">
        <f t="array" ref="F162">IFERROR(VLOOKUP(E149,Dex!$B$3:$N244,8,FALSE),"")</f>
        <v>65</v>
      </c>
      <c r="G162" s="2103" t="str">
        <f t="array" ref="G162">IFERROR(VLOOKUP(F162,Dex!$P$22:$Q$276,2,FALSE),"")</f>
        <v/>
      </c>
      <c r="H162" s="2104"/>
      <c r="I162" s="2105"/>
      <c r="J162" s="2101" t="s">
        <v>192</v>
      </c>
      <c r="K162" s="2102">
        <f t="array" ref="K162">IFERROR(VLOOKUP(J149,Dex!$B$3:$N244,8,FALSE),"")</f>
        <v>50</v>
      </c>
      <c r="L162" s="2103" t="str">
        <f t="array" ref="L162">IFERROR(VLOOKUP(K162,Dex!$P$22:$Q$276,2,FALSE),"")</f>
        <v/>
      </c>
      <c r="M162" s="2104"/>
      <c r="N162" s="2105"/>
      <c r="O162" s="2101" t="s">
        <v>192</v>
      </c>
      <c r="P162" s="2102">
        <f t="array" ref="P162">IFERROR(VLOOKUP(O149,Dex!$B$3:$N244,8,FALSE),"")</f>
        <v>90</v>
      </c>
      <c r="Q162" s="2103" t="str">
        <f t="array" ref="Q162">IFERROR(VLOOKUP(P162,Dex!$P$22:$Q$276,2,FALSE),"")</f>
        <v/>
      </c>
      <c r="R162" s="2104">
        <v>252.0</v>
      </c>
      <c r="S162" s="2105"/>
      <c r="T162" s="2101" t="s">
        <v>192</v>
      </c>
      <c r="U162" s="2102">
        <f t="array" ref="U162">IFERROR(VLOOKUP(T149,Dex!$B$3:$N244,8,FALSE),"")</f>
        <v>115</v>
      </c>
      <c r="V162" s="2103" t="str">
        <f t="array" ref="V162">IFERROR(VLOOKUP(U162,Dex!$P$22:$Q$276,2,FALSE),"")</f>
        <v/>
      </c>
      <c r="W162" s="2104"/>
      <c r="X162" s="2105"/>
      <c r="Y162" s="2101" t="s">
        <v>192</v>
      </c>
      <c r="Z162" s="2102">
        <f t="array" ref="Z162">IFERROR(VLOOKUP(Y149,Dex!$B$3:$N244,8,FALSE),"")</f>
        <v>90</v>
      </c>
      <c r="AA162" s="2103" t="str">
        <f t="array" ref="AA162">IFERROR(VLOOKUP(Z162,Dex!$P$22:$Q$276,2,FALSE),"")</f>
        <v/>
      </c>
      <c r="AB162" s="2104"/>
      <c r="AC162" s="2105"/>
      <c r="AD162" s="2101" t="s">
        <v>192</v>
      </c>
      <c r="AE162" s="2102">
        <f t="array" ref="AE162">IFERROR(VLOOKUP(AD149,Dex!$B$3:$N244,8,FALSE),"")</f>
        <v>80</v>
      </c>
      <c r="AF162" s="2103" t="str">
        <f t="array" ref="AF162">IFERROR(VLOOKUP(AE162,Dex!$P$22:$Q$276,2,FALSE),"")</f>
        <v/>
      </c>
      <c r="AG162" s="2104"/>
      <c r="AH162" s="2106"/>
      <c r="AI162" s="1542"/>
    </row>
    <row r="163" ht="15.75" customHeight="1">
      <c r="A163" s="1468"/>
      <c r="B163" s="2096"/>
      <c r="C163" s="2088"/>
      <c r="D163" s="2097"/>
      <c r="E163" s="2107" t="s">
        <v>193</v>
      </c>
      <c r="F163" s="2108">
        <f t="array" ref="F163">IFERROR(VLOOKUP(E149,Dex!$B$3:$N244,9,FALSE),"")</f>
        <v>50</v>
      </c>
      <c r="G163" s="2109" t="str">
        <f t="array" ref="G163">IFERROR(VLOOKUP(F163,Dex!$P$22:$Q$276,2,FALSE),"")</f>
        <v/>
      </c>
      <c r="H163" s="2110"/>
      <c r="I163" s="2105"/>
      <c r="J163" s="2107" t="s">
        <v>193</v>
      </c>
      <c r="K163" s="2108">
        <f t="array" ref="K163">IFERROR(VLOOKUP(J149,Dex!$B$3:$N244,9,FALSE),"")</f>
        <v>95</v>
      </c>
      <c r="L163" s="2109" t="str">
        <f t="array" ref="L163">IFERROR(VLOOKUP(K163,Dex!$P$22:$Q$276,2,FALSE),"")</f>
        <v/>
      </c>
      <c r="M163" s="2110">
        <v>252.0</v>
      </c>
      <c r="N163" s="2105"/>
      <c r="O163" s="2107" t="s">
        <v>193</v>
      </c>
      <c r="P163" s="2108">
        <f t="array" ref="P163">IFERROR(VLOOKUP(O149,Dex!$B$3:$N244,9,FALSE),"")</f>
        <v>80</v>
      </c>
      <c r="Q163" s="2109" t="str">
        <f t="array" ref="Q163">IFERROR(VLOOKUP(P163,Dex!$P$22:$Q$276,2,FALSE),"")</f>
        <v/>
      </c>
      <c r="R163" s="2110"/>
      <c r="S163" s="2105"/>
      <c r="T163" s="2107" t="s">
        <v>193</v>
      </c>
      <c r="U163" s="2108">
        <f t="array" ref="U163">IFERROR(VLOOKUP(T149,Dex!$B$3:$N244,9,FALSE),"")</f>
        <v>145</v>
      </c>
      <c r="V163" s="2109" t="str">
        <f t="array" ref="V163">IFERROR(VLOOKUP(U163,Dex!$P$22:$Q$276,2,FALSE),"")</f>
        <v/>
      </c>
      <c r="W163" s="2110">
        <v>252.0</v>
      </c>
      <c r="X163" s="2105"/>
      <c r="Y163" s="2107" t="s">
        <v>193</v>
      </c>
      <c r="Z163" s="2108">
        <f t="array" ref="Z163">IFERROR(VLOOKUP(Y149,Dex!$B$3:$N244,9,FALSE),"")</f>
        <v>100</v>
      </c>
      <c r="AA163" s="2109" t="str">
        <f t="array" ref="AA163">IFERROR(VLOOKUP(Z163,Dex!$P$22:$Q$276,2,FALSE),"")</f>
        <v/>
      </c>
      <c r="AB163" s="2110">
        <v>252.0</v>
      </c>
      <c r="AC163" s="2105"/>
      <c r="AD163" s="2107" t="s">
        <v>193</v>
      </c>
      <c r="AE163" s="2108">
        <f t="array" ref="AE163">IFERROR(VLOOKUP(AD149,Dex!$B$3:$N244,9,FALSE),"")</f>
        <v>135</v>
      </c>
      <c r="AF163" s="2109" t="str">
        <f t="array" ref="AF163">IFERROR(VLOOKUP(AE163,Dex!$P$22:$Q$276,2,FALSE),"")</f>
        <v/>
      </c>
      <c r="AG163" s="2110">
        <v>252.0</v>
      </c>
      <c r="AH163" s="2106"/>
      <c r="AI163" s="1542"/>
    </row>
    <row r="164" ht="15.75" customHeight="1">
      <c r="A164" s="1468"/>
      <c r="B164" s="2096"/>
      <c r="C164" s="2088"/>
      <c r="D164" s="2097"/>
      <c r="E164" s="2107" t="s">
        <v>194</v>
      </c>
      <c r="F164" s="2108">
        <f t="array" ref="F164">IFERROR(VLOOKUP(E149,Dex!$B$3:$N244,10,FALSE),"")</f>
        <v>50</v>
      </c>
      <c r="G164" s="2109" t="str">
        <f t="array" ref="G164">IFERROR(VLOOKUP(F164,Dex!$P$22:$Q$276,2,FALSE),"")</f>
        <v/>
      </c>
      <c r="H164" s="2110"/>
      <c r="I164" s="2105"/>
      <c r="J164" s="2107" t="s">
        <v>194</v>
      </c>
      <c r="K164" s="2108">
        <f t="array" ref="K164">IFERROR(VLOOKUP(J149,Dex!$B$3:$N244,10,FALSE),"")</f>
        <v>180</v>
      </c>
      <c r="L164" s="2109" t="str">
        <f t="array" ref="L164">IFERROR(VLOOKUP(K164,Dex!$P$22:$Q$276,2,FALSE),"")</f>
        <v/>
      </c>
      <c r="M164" s="2110"/>
      <c r="N164" s="2105"/>
      <c r="O164" s="2107" t="s">
        <v>194</v>
      </c>
      <c r="P164" s="2108">
        <f t="array" ref="P164">IFERROR(VLOOKUP(O149,Dex!$B$3:$N244,10,FALSE),"")</f>
        <v>90</v>
      </c>
      <c r="Q164" s="2109" t="str">
        <f t="array" ref="Q164">IFERROR(VLOOKUP(P164,Dex!$P$22:$Q$276,2,FALSE),"")</f>
        <v/>
      </c>
      <c r="R164" s="2110">
        <v>4.0</v>
      </c>
      <c r="S164" s="2105"/>
      <c r="T164" s="2107" t="s">
        <v>194</v>
      </c>
      <c r="U164" s="2108">
        <f t="array" ref="U164">IFERROR(VLOOKUP(T149,Dex!$B$3:$N244,10,FALSE),"")</f>
        <v>92</v>
      </c>
      <c r="V164" s="2109" t="str">
        <f t="array" ref="V164">IFERROR(VLOOKUP(U164,Dex!$P$22:$Q$276,2,FALSE),"")</f>
        <v/>
      </c>
      <c r="W164" s="2110"/>
      <c r="X164" s="2105"/>
      <c r="Y164" s="2107" t="s">
        <v>194</v>
      </c>
      <c r="Z164" s="2108">
        <f t="array" ref="Z164">IFERROR(VLOOKUP(Y149,Dex!$B$3:$N244,10,FALSE),"")</f>
        <v>90</v>
      </c>
      <c r="AA164" s="2109" t="str">
        <f t="array" ref="AA164">IFERROR(VLOOKUP(Z164,Dex!$P$22:$Q$276,2,FALSE),"")</f>
        <v/>
      </c>
      <c r="AB164" s="2110"/>
      <c r="AC164" s="2105"/>
      <c r="AD164" s="2107" t="s">
        <v>194</v>
      </c>
      <c r="AE164" s="2108">
        <f t="array" ref="AE164">IFERROR(VLOOKUP(AD149,Dex!$B$3:$N244,10,FALSE),"")</f>
        <v>80</v>
      </c>
      <c r="AF164" s="2109" t="str">
        <f t="array" ref="AF164">IFERROR(VLOOKUP(AE164,Dex!$P$22:$Q$276,2,FALSE),"")</f>
        <v/>
      </c>
      <c r="AG164" s="2110"/>
      <c r="AH164" s="2106"/>
      <c r="AI164" s="1542"/>
    </row>
    <row r="165" ht="15.75" customHeight="1">
      <c r="A165" s="1468"/>
      <c r="B165" s="2096"/>
      <c r="C165" s="2088"/>
      <c r="D165" s="2097"/>
      <c r="E165" s="2107" t="s">
        <v>195</v>
      </c>
      <c r="F165" s="2108">
        <f t="array" ref="F165">IFERROR(VLOOKUP(E149,Dex!$B$3:$N244,11,FALSE),"")</f>
        <v>115</v>
      </c>
      <c r="G165" s="2109" t="str">
        <f t="array" ref="G165">IFERROR(VLOOKUP(F165,Dex!$P$22:$Q$276,2,FALSE),"")</f>
        <v/>
      </c>
      <c r="H165" s="2110">
        <v>252.0</v>
      </c>
      <c r="I165" s="2105"/>
      <c r="J165" s="2107" t="s">
        <v>195</v>
      </c>
      <c r="K165" s="2108">
        <f t="array" ref="K165">IFERROR(VLOOKUP(J149,Dex!$B$3:$N244,11,FALSE),"")</f>
        <v>85</v>
      </c>
      <c r="L165" s="2109" t="str">
        <f t="array" ref="L165">IFERROR(VLOOKUP(K165,Dex!$P$22:$Q$276,2,FALSE),"")</f>
        <v/>
      </c>
      <c r="M165" s="2110"/>
      <c r="N165" s="2105"/>
      <c r="O165" s="2107" t="s">
        <v>195</v>
      </c>
      <c r="P165" s="2108">
        <f t="array" ref="P165">IFERROR(VLOOKUP(O149,Dex!$B$3:$N244,11,FALSE),"")</f>
        <v>95</v>
      </c>
      <c r="Q165" s="2109" t="str">
        <f t="array" ref="Q165">IFERROR(VLOOKUP(P165,Dex!$P$22:$Q$276,2,FALSE),"")</f>
        <v/>
      </c>
      <c r="R165" s="2110"/>
      <c r="S165" s="2105"/>
      <c r="T165" s="2107" t="s">
        <v>195</v>
      </c>
      <c r="U165" s="2108">
        <f t="array" ref="U165">IFERROR(VLOOKUP(T149,Dex!$B$3:$N244,11,FALSE),"")</f>
        <v>75</v>
      </c>
      <c r="V165" s="2109" t="str">
        <f t="array" ref="V165">IFERROR(VLOOKUP(U165,Dex!$P$22:$Q$276,2,FALSE),"")</f>
        <v/>
      </c>
      <c r="W165" s="2110"/>
      <c r="X165" s="2105"/>
      <c r="Y165" s="2107" t="s">
        <v>195</v>
      </c>
      <c r="Z165" s="2108">
        <f t="array" ref="Z165">IFERROR(VLOOKUP(Y149,Dex!$B$3:$N244,11,FALSE),"")</f>
        <v>90</v>
      </c>
      <c r="AA165" s="2109" t="str">
        <f t="array" ref="AA165">IFERROR(VLOOKUP(Z165,Dex!$P$22:$Q$276,2,FALSE),"")</f>
        <v/>
      </c>
      <c r="AB165" s="2110"/>
      <c r="AC165" s="2105"/>
      <c r="AD165" s="2107" t="s">
        <v>195</v>
      </c>
      <c r="AE165" s="2108">
        <f t="array" ref="AE165">IFERROR(VLOOKUP(AD149,Dex!$B$3:$N244,11,FALSE),"")</f>
        <v>105</v>
      </c>
      <c r="AF165" s="2109" t="str">
        <f t="array" ref="AF165">IFERROR(VLOOKUP(AE165,Dex!$P$22:$Q$276,2,FALSE),"")</f>
        <v/>
      </c>
      <c r="AG165" s="2110"/>
      <c r="AH165" s="2106"/>
      <c r="AI165" s="1542"/>
    </row>
    <row r="166" ht="15.75" customHeight="1">
      <c r="A166" s="1468"/>
      <c r="B166" s="2096"/>
      <c r="C166" s="2088"/>
      <c r="D166" s="2097"/>
      <c r="E166" s="2107" t="s">
        <v>196</v>
      </c>
      <c r="F166" s="2108">
        <f t="array" ref="F166">IFERROR(VLOOKUP(E149,Dex!$B$3:$N244,12,FALSE),"")</f>
        <v>95</v>
      </c>
      <c r="G166" s="2109" t="str">
        <f t="array" ref="G166">IFERROR(VLOOKUP(F166,Dex!$P$22:$Q$276,2,FALSE),"")</f>
        <v/>
      </c>
      <c r="H166" s="2110">
        <v>4.0</v>
      </c>
      <c r="I166" s="2105"/>
      <c r="J166" s="2107" t="s">
        <v>196</v>
      </c>
      <c r="K166" s="2108">
        <f t="array" ref="K166">IFERROR(VLOOKUP(J149,Dex!$B$3:$N244,12,FALSE),"")</f>
        <v>45</v>
      </c>
      <c r="L166" s="2109" t="str">
        <f t="array" ref="L166">IFERROR(VLOOKUP(K166,Dex!$P$22:$Q$276,2,FALSE),"")</f>
        <v/>
      </c>
      <c r="M166" s="2110">
        <v>4.0</v>
      </c>
      <c r="N166" s="2105"/>
      <c r="O166" s="2107" t="s">
        <v>196</v>
      </c>
      <c r="P166" s="2108">
        <f t="array" ref="P166">IFERROR(VLOOKUP(O149,Dex!$B$3:$N244,12,FALSE),"")</f>
        <v>90</v>
      </c>
      <c r="Q166" s="2109" t="str">
        <f t="array" ref="Q166">IFERROR(VLOOKUP(P166,Dex!$P$22:$Q$276,2,FALSE),"")</f>
        <v/>
      </c>
      <c r="R166" s="2110">
        <v>252.0</v>
      </c>
      <c r="S166" s="2105"/>
      <c r="T166" s="2107" t="s">
        <v>196</v>
      </c>
      <c r="U166" s="2108">
        <f t="array" ref="U166">IFERROR(VLOOKUP(T149,Dex!$B$3:$N244,12,FALSE),"")</f>
        <v>86</v>
      </c>
      <c r="V166" s="2109" t="str">
        <f t="array" ref="V166">IFERROR(VLOOKUP(U166,Dex!$P$22:$Q$276,2,FALSE),"")</f>
        <v/>
      </c>
      <c r="W166" s="2110">
        <v>4.0</v>
      </c>
      <c r="X166" s="2105"/>
      <c r="Y166" s="2107" t="s">
        <v>196</v>
      </c>
      <c r="Z166" s="2108">
        <f t="array" ref="Z166">IFERROR(VLOOKUP(Y149,Dex!$B$3:$N244,12,FALSE),"")</f>
        <v>80</v>
      </c>
      <c r="AA166" s="2109" t="str">
        <f t="array" ref="AA166">IFERROR(VLOOKUP(Z166,Dex!$P$22:$Q$276,2,FALSE),"")</f>
        <v/>
      </c>
      <c r="AB166" s="2110">
        <v>4.0</v>
      </c>
      <c r="AC166" s="2105"/>
      <c r="AD166" s="2107" t="s">
        <v>196</v>
      </c>
      <c r="AE166" s="2108">
        <f t="array" ref="AE166">IFERROR(VLOOKUP(AD149,Dex!$B$3:$N244,12,FALSE),"")</f>
        <v>80</v>
      </c>
      <c r="AF166" s="2109" t="str">
        <f t="array" ref="AF166">IFERROR(VLOOKUP(AE166,Dex!$P$22:$Q$276,2,FALSE),"")</f>
        <v/>
      </c>
      <c r="AG166" s="2110">
        <v>4.0</v>
      </c>
      <c r="AH166" s="2106"/>
      <c r="AI166" s="1542"/>
    </row>
    <row r="167" ht="15.75" customHeight="1">
      <c r="A167" s="1468"/>
      <c r="B167" s="2096"/>
      <c r="C167" s="1204" t="s">
        <v>436</v>
      </c>
      <c r="D167" s="2097"/>
      <c r="E167" s="2111" t="s">
        <v>197</v>
      </c>
      <c r="F167" s="2112">
        <f t="array" ref="F167">IFERROR(VLOOKUP(E149,Dex!$B$3:$N244,13,FALSE),"")</f>
        <v>100</v>
      </c>
      <c r="G167" s="2113" t="str">
        <f t="array" ref="G167">IFERROR(VLOOKUP(F167,Dex!$P$22:$Q$276,2,FALSE),"")</f>
        <v/>
      </c>
      <c r="H167" s="2114">
        <v>252.0</v>
      </c>
      <c r="I167" s="2105"/>
      <c r="J167" s="2111" t="s">
        <v>197</v>
      </c>
      <c r="K167" s="2112">
        <f t="array" ref="K167">IFERROR(VLOOKUP(J149,Dex!$B$3:$N244,13,FALSE),"")</f>
        <v>70</v>
      </c>
      <c r="L167" s="2113" t="str">
        <f t="array" ref="L167">IFERROR(VLOOKUP(K167,Dex!$P$22:$Q$276,2,FALSE),"")</f>
        <v/>
      </c>
      <c r="M167" s="2114">
        <v>252.0</v>
      </c>
      <c r="N167" s="2105"/>
      <c r="O167" s="2111" t="s">
        <v>197</v>
      </c>
      <c r="P167" s="2112">
        <f t="array" ref="P167">IFERROR(VLOOKUP(O149,Dex!$B$3:$N244,13,FALSE),"")</f>
        <v>65</v>
      </c>
      <c r="Q167" s="2113" t="str">
        <f t="array" ref="Q167">IFERROR(VLOOKUP(P167,Dex!$P$22:$Q$276,2,FALSE),"")</f>
        <v/>
      </c>
      <c r="R167" s="2114"/>
      <c r="S167" s="2105"/>
      <c r="T167" s="2111" t="s">
        <v>197</v>
      </c>
      <c r="U167" s="2112">
        <f t="array" ref="U167">IFERROR(VLOOKUP(T149,Dex!$B$3:$N244,13,FALSE),"")</f>
        <v>87</v>
      </c>
      <c r="V167" s="2113" t="str">
        <f t="array" ref="V167">IFERROR(VLOOKUP(U167,Dex!$P$22:$Q$276,2,FALSE),"")</f>
        <v/>
      </c>
      <c r="W167" s="2114">
        <v>252.0</v>
      </c>
      <c r="X167" s="2105"/>
      <c r="Y167" s="2111" t="s">
        <v>197</v>
      </c>
      <c r="Z167" s="2112">
        <f t="array" ref="Z167">IFERROR(VLOOKUP(Y149,Dex!$B$3:$N244,13,FALSE),"")</f>
        <v>55</v>
      </c>
      <c r="AA167" s="2113" t="str">
        <f t="array" ref="AA167">IFERROR(VLOOKUP(Z167,Dex!$P$22:$Q$276,2,FALSE),"")</f>
        <v/>
      </c>
      <c r="AB167" s="2114">
        <v>252.0</v>
      </c>
      <c r="AC167" s="2105"/>
      <c r="AD167" s="2111" t="s">
        <v>197</v>
      </c>
      <c r="AE167" s="2112">
        <f t="array" ref="AE167">IFERROR(VLOOKUP(AD149,Dex!$B$3:$N244,13,FALSE),"")</f>
        <v>100</v>
      </c>
      <c r="AF167" s="2113" t="str">
        <f t="array" ref="AF167">IFERROR(VLOOKUP(AE167,Dex!$P$22:$Q$276,2,FALSE),"")</f>
        <v/>
      </c>
      <c r="AG167" s="2114">
        <v>252.0</v>
      </c>
      <c r="AH167" s="2106"/>
      <c r="AI167" s="1542"/>
    </row>
    <row r="168" ht="16.5" customHeight="1">
      <c r="A168" s="1468"/>
      <c r="B168" s="2096"/>
      <c r="C168" s="1205" t="s">
        <v>641</v>
      </c>
      <c r="D168" s="2097"/>
      <c r="E168" s="2115" t="s">
        <v>198</v>
      </c>
      <c r="F168" s="405"/>
      <c r="G168" s="406"/>
      <c r="H168" s="2116">
        <v>234.0</v>
      </c>
      <c r="I168" s="2097"/>
      <c r="J168" s="2115" t="s">
        <v>198</v>
      </c>
      <c r="K168" s="405"/>
      <c r="L168" s="406"/>
      <c r="M168" s="2116">
        <v>188.0</v>
      </c>
      <c r="N168" s="2097"/>
      <c r="O168" s="2115" t="s">
        <v>198</v>
      </c>
      <c r="P168" s="405"/>
      <c r="Q168" s="406"/>
      <c r="R168" s="2116">
        <v>119.0</v>
      </c>
      <c r="S168" s="2097"/>
      <c r="T168" s="2115" t="s">
        <v>198</v>
      </c>
      <c r="U168" s="405"/>
      <c r="V168" s="406"/>
      <c r="W168" s="2116">
        <v>214.0</v>
      </c>
      <c r="X168" s="2097"/>
      <c r="Y168" s="2117" t="s">
        <v>198</v>
      </c>
      <c r="Z168" s="918"/>
      <c r="AA168" s="919"/>
      <c r="AB168" s="2118">
        <v>149.0</v>
      </c>
      <c r="AC168" s="2097"/>
      <c r="AD168" s="2115" t="s">
        <v>198</v>
      </c>
      <c r="AE168" s="405"/>
      <c r="AF168" s="406"/>
      <c r="AG168" s="2116">
        <v>234.0</v>
      </c>
      <c r="AH168" s="2100"/>
      <c r="AI168" s="1542"/>
    </row>
    <row r="169" ht="15.75" customHeight="1">
      <c r="A169" s="1468"/>
      <c r="B169" s="2096"/>
      <c r="C169" s="2088"/>
      <c r="D169" s="2097"/>
      <c r="E169" s="2119"/>
      <c r="F169" s="2119"/>
      <c r="G169" s="2119"/>
      <c r="H169" s="2119"/>
      <c r="I169" s="2097"/>
      <c r="J169" s="2120"/>
      <c r="K169" s="2120"/>
      <c r="L169" s="2120"/>
      <c r="M169" s="2119"/>
      <c r="N169" s="2097"/>
      <c r="O169" s="2120"/>
      <c r="P169" s="2120"/>
      <c r="Q169" s="2120"/>
      <c r="R169" s="2119"/>
      <c r="S169" s="2097"/>
      <c r="T169" s="2120"/>
      <c r="U169" s="2120"/>
      <c r="V169" s="2120"/>
      <c r="W169" s="2119"/>
      <c r="X169" s="2097"/>
      <c r="Y169" s="2121" t="s">
        <v>642</v>
      </c>
      <c r="Z169" s="925"/>
      <c r="AA169" s="926"/>
      <c r="AB169" s="2122">
        <v>298.0</v>
      </c>
      <c r="AC169" s="2097"/>
      <c r="AD169" s="2120"/>
      <c r="AE169" s="2120"/>
      <c r="AF169" s="2120"/>
      <c r="AG169" s="2119"/>
      <c r="AH169" s="2100"/>
      <c r="AI169" s="1542"/>
    </row>
    <row r="170" ht="15.0" customHeight="1">
      <c r="A170" s="1468"/>
      <c r="B170" s="2123"/>
      <c r="C170" s="2124"/>
      <c r="D170" s="2125"/>
      <c r="E170" s="2126"/>
      <c r="F170" s="2126"/>
      <c r="G170" s="2126"/>
      <c r="H170" s="2126"/>
      <c r="I170" s="2125"/>
      <c r="J170" s="2126"/>
      <c r="K170" s="2126"/>
      <c r="L170" s="2126"/>
      <c r="M170" s="2126"/>
      <c r="N170" s="2125"/>
      <c r="O170" s="2126"/>
      <c r="P170" s="2126"/>
      <c r="Q170" s="2126"/>
      <c r="R170" s="2126"/>
      <c r="S170" s="2125"/>
      <c r="T170" s="2126"/>
      <c r="U170" s="2126"/>
      <c r="V170" s="2126"/>
      <c r="W170" s="2126"/>
      <c r="X170" s="2125"/>
      <c r="Y170" s="2127"/>
      <c r="Z170" s="2127"/>
      <c r="AA170" s="2127"/>
      <c r="AB170" s="2127"/>
      <c r="AC170" s="2125"/>
      <c r="AD170" s="2126"/>
      <c r="AE170" s="2126"/>
      <c r="AF170" s="2126"/>
      <c r="AG170" s="2126"/>
      <c r="AH170" s="2128"/>
      <c r="AI170" s="1456"/>
    </row>
    <row r="171" ht="15.0" customHeight="1">
      <c r="A171" s="1468"/>
      <c r="B171" s="2129"/>
      <c r="C171" s="2130"/>
      <c r="D171" s="2131"/>
      <c r="E171" s="2131"/>
      <c r="F171" s="2131"/>
      <c r="G171" s="2131"/>
      <c r="H171" s="2131"/>
      <c r="I171" s="2131"/>
      <c r="J171" s="2131"/>
      <c r="K171" s="2131"/>
      <c r="L171" s="2131"/>
      <c r="M171" s="2131"/>
      <c r="N171" s="2131"/>
      <c r="O171" s="2131"/>
      <c r="P171" s="2131"/>
      <c r="Q171" s="2131"/>
      <c r="R171" s="2131"/>
      <c r="S171" s="2131"/>
      <c r="T171" s="2131"/>
      <c r="U171" s="2131"/>
      <c r="V171" s="2131"/>
      <c r="W171" s="2131"/>
      <c r="X171" s="2131"/>
      <c r="Y171" s="2131"/>
      <c r="Z171" s="2131"/>
      <c r="AA171" s="2131"/>
      <c r="AB171" s="2131"/>
      <c r="AC171" s="2131"/>
      <c r="AD171" s="2131"/>
      <c r="AE171" s="2131"/>
      <c r="AF171" s="2131"/>
      <c r="AG171" s="2131"/>
      <c r="AH171" s="2132"/>
      <c r="AI171" s="1456"/>
    </row>
    <row r="172">
      <c r="A172" s="1468"/>
      <c r="B172" s="2133"/>
      <c r="C172" s="2134"/>
      <c r="D172" s="2135"/>
      <c r="E172" s="1578" t="s">
        <v>643</v>
      </c>
      <c r="F172" s="1579"/>
      <c r="G172" s="1579"/>
      <c r="H172" s="1579"/>
      <c r="I172" s="1579"/>
      <c r="J172" s="1579"/>
      <c r="K172" s="1579"/>
      <c r="L172" s="1579"/>
      <c r="M172" s="1579"/>
      <c r="N172" s="1579"/>
      <c r="O172" s="1579"/>
      <c r="P172" s="1579"/>
      <c r="Q172" s="1579"/>
      <c r="R172" s="1579"/>
      <c r="S172" s="1579"/>
      <c r="T172" s="1579"/>
      <c r="U172" s="1579"/>
      <c r="V172" s="1579"/>
      <c r="W172" s="1579"/>
      <c r="X172" s="1579"/>
      <c r="Y172" s="1579"/>
      <c r="Z172" s="1579"/>
      <c r="AA172" s="1579"/>
      <c r="AB172" s="1579"/>
      <c r="AC172" s="1579"/>
      <c r="AD172" s="1579"/>
      <c r="AE172" s="1579"/>
      <c r="AF172" s="1579"/>
      <c r="AG172" s="1580"/>
      <c r="AH172" s="2136"/>
      <c r="AI172" s="1456"/>
    </row>
    <row r="173" ht="3.75" customHeight="1">
      <c r="A173" s="1468"/>
      <c r="B173" s="2133"/>
      <c r="C173" s="2137"/>
      <c r="D173" s="2138"/>
      <c r="E173" s="2139"/>
      <c r="F173" s="2139"/>
      <c r="G173" s="2139"/>
      <c r="H173" s="2139"/>
      <c r="I173" s="2138"/>
      <c r="J173" s="2139"/>
      <c r="K173" s="2139"/>
      <c r="L173" s="2139"/>
      <c r="M173" s="2139"/>
      <c r="N173" s="2138"/>
      <c r="O173" s="2139"/>
      <c r="P173" s="2139"/>
      <c r="Q173" s="2139"/>
      <c r="R173" s="2139"/>
      <c r="S173" s="2138"/>
      <c r="T173" s="2139"/>
      <c r="U173" s="2139"/>
      <c r="V173" s="2139"/>
      <c r="W173" s="2139"/>
      <c r="X173" s="2138"/>
      <c r="Y173" s="2139"/>
      <c r="Z173" s="2139"/>
      <c r="AA173" s="2139"/>
      <c r="AB173" s="2139"/>
      <c r="AC173" s="2138"/>
      <c r="AD173" s="2139"/>
      <c r="AE173" s="2139"/>
      <c r="AF173" s="2139"/>
      <c r="AG173" s="2139"/>
      <c r="AH173" s="2136"/>
      <c r="AI173" s="1456"/>
    </row>
    <row r="174" ht="96.75" customHeight="1">
      <c r="A174" s="1468"/>
      <c r="B174" s="2140"/>
      <c r="C174" s="2141" t="str">
        <f>IMAGE("https://i.ibb.co/gSJKyHq/Jasmine.png")</f>
        <v/>
      </c>
      <c r="D174" s="2142"/>
      <c r="E174" s="2143" t="str">
        <f t="array" ref="E174">IFERROR(VLOOKUP(E175,Dex!$B$3:$G244,3,FALSE),"")</f>
        <v/>
      </c>
      <c r="F174" s="302"/>
      <c r="G174" s="302"/>
      <c r="H174" s="303"/>
      <c r="I174" s="2144"/>
      <c r="J174" s="2143" t="str">
        <f t="array" ref="J174">IFERROR(VLOOKUP(J175,Dex!$B$3:$G244,3,FALSE),"")</f>
        <v/>
      </c>
      <c r="K174" s="302"/>
      <c r="L174" s="302"/>
      <c r="M174" s="303"/>
      <c r="N174" s="2144"/>
      <c r="O174" s="2143" t="str">
        <f t="array" ref="O174">IFERROR(VLOOKUP(O175,Dex!$B$3:$G244,3,FALSE),"")</f>
        <v/>
      </c>
      <c r="P174" s="302"/>
      <c r="Q174" s="302"/>
      <c r="R174" s="303"/>
      <c r="S174" s="2144"/>
      <c r="T174" s="2143" t="str">
        <f t="array" ref="T174">IFERROR(VLOOKUP(T175,Dex!$B$3:$G244,3,FALSE),"")</f>
        <v/>
      </c>
      <c r="U174" s="302"/>
      <c r="V174" s="302"/>
      <c r="W174" s="303"/>
      <c r="X174" s="2144"/>
      <c r="Y174" s="2143" t="str">
        <f t="array" ref="Y174">IFERROR(VLOOKUP(Y175,Dex!$B$3:$G244,3,FALSE),"")</f>
        <v/>
      </c>
      <c r="Z174" s="302"/>
      <c r="AA174" s="302"/>
      <c r="AB174" s="303"/>
      <c r="AC174" s="2144"/>
      <c r="AD174" s="2143" t="str">
        <f t="array" ref="AD174">IFERROR(VLOOKUP(AD175,Dex!$B$3:$G244,3,FALSE),"")</f>
        <v/>
      </c>
      <c r="AE174" s="302"/>
      <c r="AF174" s="302"/>
      <c r="AG174" s="303"/>
      <c r="AH174" s="2145"/>
      <c r="AI174" s="1456"/>
    </row>
    <row r="175" ht="18.75" customHeight="1">
      <c r="A175" s="1500"/>
      <c r="B175" s="2146"/>
      <c r="C175" s="2147" t="s">
        <v>644</v>
      </c>
      <c r="D175" s="2148"/>
      <c r="E175" s="2149" t="s">
        <v>645</v>
      </c>
      <c r="F175" s="2150"/>
      <c r="G175" s="2150"/>
      <c r="H175" s="2151"/>
      <c r="I175" s="2148"/>
      <c r="J175" s="2149" t="s">
        <v>646</v>
      </c>
      <c r="K175" s="2150"/>
      <c r="L175" s="2150"/>
      <c r="M175" s="2151"/>
      <c r="N175" s="2148"/>
      <c r="O175" s="2149" t="s">
        <v>647</v>
      </c>
      <c r="P175" s="2150"/>
      <c r="Q175" s="2150"/>
      <c r="R175" s="2151"/>
      <c r="S175" s="2148"/>
      <c r="T175" s="2149" t="s">
        <v>648</v>
      </c>
      <c r="U175" s="2150"/>
      <c r="V175" s="2150"/>
      <c r="W175" s="2151"/>
      <c r="X175" s="2148"/>
      <c r="Y175" s="2149" t="s">
        <v>649</v>
      </c>
      <c r="Z175" s="2150"/>
      <c r="AA175" s="2150"/>
      <c r="AB175" s="2151"/>
      <c r="AC175" s="2148"/>
      <c r="AD175" s="2149" t="s">
        <v>650</v>
      </c>
      <c r="AE175" s="2150"/>
      <c r="AF175" s="2150"/>
      <c r="AG175" s="2151"/>
      <c r="AH175" s="2152"/>
      <c r="AI175" s="1479"/>
    </row>
    <row r="176">
      <c r="A176" s="1468"/>
      <c r="B176" s="2153"/>
      <c r="C176" s="1481"/>
      <c r="D176" s="2154"/>
      <c r="E176" s="2155" t="s">
        <v>420</v>
      </c>
      <c r="F176" s="2156"/>
      <c r="G176" s="2156"/>
      <c r="H176" s="2157"/>
      <c r="I176" s="2158"/>
      <c r="J176" s="2155" t="s">
        <v>420</v>
      </c>
      <c r="K176" s="2156"/>
      <c r="L176" s="2156"/>
      <c r="M176" s="2157"/>
      <c r="N176" s="2158"/>
      <c r="O176" s="2155" t="s">
        <v>420</v>
      </c>
      <c r="P176" s="2156"/>
      <c r="Q176" s="2156"/>
      <c r="R176" s="2157"/>
      <c r="S176" s="2158"/>
      <c r="T176" s="2155" t="s">
        <v>420</v>
      </c>
      <c r="U176" s="2156"/>
      <c r="V176" s="2156"/>
      <c r="W176" s="2157"/>
      <c r="X176" s="2158"/>
      <c r="Y176" s="2155" t="s">
        <v>420</v>
      </c>
      <c r="Z176" s="2156"/>
      <c r="AA176" s="2156"/>
      <c r="AB176" s="2157"/>
      <c r="AC176" s="2158"/>
      <c r="AD176" s="2155" t="s">
        <v>420</v>
      </c>
      <c r="AE176" s="2156"/>
      <c r="AF176" s="2156"/>
      <c r="AG176" s="2157"/>
      <c r="AH176" s="2159"/>
      <c r="AI176" s="1696"/>
    </row>
    <row r="177" ht="25.5" customHeight="1">
      <c r="A177" s="1468"/>
      <c r="B177" s="2133"/>
      <c r="C177" s="1489"/>
      <c r="D177" s="2160"/>
      <c r="E177" s="2161"/>
      <c r="F177" s="2162" t="str">
        <f t="array" ref="F177">IFERROR(VLOOKUP(E175,Dex!$B$3:$H244,5,FALSE),"")</f>
        <v/>
      </c>
      <c r="G177" s="2163" t="str">
        <f t="array" ref="G177">IFERROR(VLOOKUP(E175,Dex!$B$3:$H244,7,FALSE),"")</f>
        <v/>
      </c>
      <c r="H177" s="2164"/>
      <c r="I177" s="2165"/>
      <c r="J177" s="2166"/>
      <c r="K177" s="2167" t="str">
        <f t="array" ref="K177">IFERROR(VLOOKUP(J175,Dex!$B$3:$H244,5,FALSE),"")</f>
        <v/>
      </c>
      <c r="L177" s="2168"/>
      <c r="M177" s="2169"/>
      <c r="N177" s="2165"/>
      <c r="O177" s="2170"/>
      <c r="P177" s="2162" t="str">
        <f t="array" ref="P177">IFERROR(VLOOKUP(O175,Dex!$B$3:$H244,5,FALSE),"")</f>
        <v/>
      </c>
      <c r="Q177" s="2163" t="str">
        <f t="array" ref="Q177">IFERROR(VLOOKUP(O175,Dex!$B$3:$H244,7,FALSE),"")</f>
        <v/>
      </c>
      <c r="R177" s="2171"/>
      <c r="S177" s="2165"/>
      <c r="T177" s="2170"/>
      <c r="U177" s="2162" t="str">
        <f t="array" ref="U177">IFERROR(VLOOKUP(T175,Dex!$B$3:$H244,5,FALSE),"")</f>
        <v/>
      </c>
      <c r="V177" s="2163" t="str">
        <f t="array" ref="V177">IFERROR(VLOOKUP(T175,Dex!$B$3:$H244,7,FALSE),"")</f>
        <v/>
      </c>
      <c r="W177" s="2171"/>
      <c r="X177" s="2165"/>
      <c r="Y177" s="2170"/>
      <c r="Z177" s="2162" t="str">
        <f t="array" ref="Z177">IFERROR(VLOOKUP(Y175,Dex!$B$3:$H244,5,FALSE),"")</f>
        <v/>
      </c>
      <c r="AA177" s="2163" t="str">
        <f t="array" ref="AA177">IFERROR(VLOOKUP(Y175,Dex!$B$3:$H244,7,FALSE),"")</f>
        <v/>
      </c>
      <c r="AB177" s="2171"/>
      <c r="AC177" s="2165"/>
      <c r="AD177" s="2170"/>
      <c r="AE177" s="2167" t="str">
        <f t="array" ref="AE177">IFERROR(VLOOKUP(AD175,Dex!$B$3:$H244,5,FALSE),"")</f>
        <v/>
      </c>
      <c r="AF177" s="2168"/>
      <c r="AG177" s="2172"/>
      <c r="AH177" s="2145"/>
      <c r="AI177" s="1456"/>
    </row>
    <row r="178" ht="2.25" customHeight="1">
      <c r="A178" s="1468"/>
      <c r="B178" s="2133"/>
      <c r="C178" s="2173"/>
      <c r="D178" s="2174"/>
      <c r="E178" s="2175"/>
      <c r="F178" s="2176"/>
      <c r="G178" s="2176"/>
      <c r="H178" s="2177"/>
      <c r="I178" s="2165"/>
      <c r="J178" s="2178"/>
      <c r="K178" s="2176"/>
      <c r="L178" s="2176"/>
      <c r="M178" s="2179"/>
      <c r="N178" s="2165"/>
      <c r="O178" s="2178"/>
      <c r="P178" s="2180"/>
      <c r="Q178" s="2180"/>
      <c r="R178" s="2179"/>
      <c r="S178" s="2165"/>
      <c r="T178" s="2178"/>
      <c r="U178" s="2180"/>
      <c r="V178" s="2180"/>
      <c r="W178" s="2179"/>
      <c r="X178" s="2165"/>
      <c r="Y178" s="2178"/>
      <c r="Z178" s="2180"/>
      <c r="AA178" s="2180"/>
      <c r="AB178" s="2179"/>
      <c r="AC178" s="2165"/>
      <c r="AD178" s="2178"/>
      <c r="AE178" s="2180"/>
      <c r="AF178" s="2180"/>
      <c r="AG178" s="2181"/>
      <c r="AH178" s="2145"/>
      <c r="AI178" s="1456"/>
    </row>
    <row r="179" ht="20.25" customHeight="1">
      <c r="A179" s="1468"/>
      <c r="B179" s="2133"/>
      <c r="C179" s="2134"/>
      <c r="D179" s="2174"/>
      <c r="E179" s="2182" t="s">
        <v>169</v>
      </c>
      <c r="F179" s="2183"/>
      <c r="G179" s="2183"/>
      <c r="H179" s="2184"/>
      <c r="I179" s="2165"/>
      <c r="J179" s="2182" t="s">
        <v>169</v>
      </c>
      <c r="K179" s="2183"/>
      <c r="L179" s="2183"/>
      <c r="M179" s="2184"/>
      <c r="N179" s="2165"/>
      <c r="O179" s="2182" t="s">
        <v>263</v>
      </c>
      <c r="P179" s="2183"/>
      <c r="Q179" s="2183"/>
      <c r="R179" s="2184"/>
      <c r="S179" s="2165"/>
      <c r="T179" s="2182" t="s">
        <v>172</v>
      </c>
      <c r="U179" s="2183"/>
      <c r="V179" s="2183"/>
      <c r="W179" s="2184"/>
      <c r="X179" s="2165"/>
      <c r="Y179" s="2182" t="s">
        <v>172</v>
      </c>
      <c r="Z179" s="2183"/>
      <c r="AA179" s="2183"/>
      <c r="AB179" s="2184"/>
      <c r="AC179" s="2165"/>
      <c r="AD179" s="2182" t="s">
        <v>169</v>
      </c>
      <c r="AE179" s="2183"/>
      <c r="AF179" s="2183"/>
      <c r="AG179" s="2184"/>
      <c r="AH179" s="2145"/>
      <c r="AI179" s="1456"/>
    </row>
    <row r="180">
      <c r="A180" s="1468"/>
      <c r="B180" s="2133"/>
      <c r="C180" s="2185"/>
      <c r="D180" s="2174"/>
      <c r="E180" s="2186" t="s">
        <v>173</v>
      </c>
      <c r="F180" s="2156"/>
      <c r="G180" s="2156"/>
      <c r="H180" s="2157"/>
      <c r="I180" s="2165"/>
      <c r="J180" s="2186" t="s">
        <v>235</v>
      </c>
      <c r="K180" s="2156"/>
      <c r="L180" s="2156"/>
      <c r="M180" s="2157"/>
      <c r="N180" s="2165"/>
      <c r="O180" s="2186" t="s">
        <v>651</v>
      </c>
      <c r="P180" s="2156"/>
      <c r="Q180" s="2156"/>
      <c r="R180" s="2157"/>
      <c r="S180" s="2165"/>
      <c r="T180" s="2186" t="s">
        <v>485</v>
      </c>
      <c r="U180" s="2156"/>
      <c r="V180" s="2156"/>
      <c r="W180" s="2157"/>
      <c r="X180" s="2165"/>
      <c r="Y180" s="2186" t="s">
        <v>532</v>
      </c>
      <c r="Z180" s="2156"/>
      <c r="AA180" s="2156"/>
      <c r="AB180" s="2157"/>
      <c r="AC180" s="2165"/>
      <c r="AD180" s="2186" t="s">
        <v>652</v>
      </c>
      <c r="AE180" s="2156"/>
      <c r="AF180" s="2156"/>
      <c r="AG180" s="2157"/>
      <c r="AH180" s="2145"/>
      <c r="AI180" s="1456"/>
    </row>
    <row r="181" ht="20.25" customHeight="1">
      <c r="A181" s="1468"/>
      <c r="B181" s="2133"/>
      <c r="C181" s="2187"/>
      <c r="D181" s="2174"/>
      <c r="E181" s="2188" t="s">
        <v>554</v>
      </c>
      <c r="F181" s="2189"/>
      <c r="G181" s="2190"/>
      <c r="H181" s="2191" t="str">
        <f>IMAGE("https://raw.githubusercontent.com/msikma/pokesprite/master/items/berry/chople.png",3)</f>
        <v/>
      </c>
      <c r="I181" s="2165"/>
      <c r="J181" s="2188" t="s">
        <v>394</v>
      </c>
      <c r="K181" s="2189"/>
      <c r="L181" s="2190"/>
      <c r="M181" s="2191" t="str">
        <f>IMAGE("https://raw.githubusercontent.com/msikma/pokesprite/master/items/hold-item/leftovers.png",3)</f>
        <v/>
      </c>
      <c r="N181" s="2165"/>
      <c r="O181" s="2188" t="s">
        <v>473</v>
      </c>
      <c r="P181" s="2189"/>
      <c r="Q181" s="2190"/>
      <c r="R181" s="2191" t="str">
        <f>IMAGE("https://raw.githubusercontent.com/msikma/pokesprite/master/items/hold-item/assault-vest.png",3)</f>
        <v/>
      </c>
      <c r="S181" s="2165"/>
      <c r="T181" s="2188" t="s">
        <v>272</v>
      </c>
      <c r="U181" s="2189"/>
      <c r="V181" s="2190"/>
      <c r="W181" s="2191" t="str">
        <f>IMAGE("https://raw.githubusercontent.com/msikma/pokesprite/master/items/hold-item/life-orb.png",3)</f>
        <v/>
      </c>
      <c r="X181" s="2165"/>
      <c r="Y181" s="2188" t="s">
        <v>626</v>
      </c>
      <c r="Z181" s="2189"/>
      <c r="AA181" s="2190"/>
      <c r="AB181" s="2191" t="str">
        <f>IMAGE("https://raw.githubusercontent.com/msikma/pokesprite/master/items/hold-item/white-herb.png",3)</f>
        <v/>
      </c>
      <c r="AC181" s="2165"/>
      <c r="AD181" s="2188" t="s">
        <v>653</v>
      </c>
      <c r="AE181" s="2189"/>
      <c r="AF181" s="2190"/>
      <c r="AG181" s="2191" t="str">
        <f>IMAGE("https://raw.githubusercontent.com/msikma/pokesprite/master/items/mega-stone/aggronite.png",3)</f>
        <v/>
      </c>
      <c r="AH181" s="2145"/>
      <c r="AI181" s="1456"/>
    </row>
    <row r="182" ht="20.25" customHeight="1">
      <c r="A182" s="1468"/>
      <c r="B182" s="2133"/>
      <c r="C182" s="2192"/>
      <c r="D182" s="2174"/>
      <c r="E182" s="2182" t="s">
        <v>395</v>
      </c>
      <c r="F182" s="2183"/>
      <c r="G182" s="2183"/>
      <c r="H182" s="2193" t="str">
        <f>IMAGE("https://raw.githubusercontent.com/msikma/pokesprite/master/misc/types/gen8/rock.png",4,20,20)</f>
        <v/>
      </c>
      <c r="I182" s="2165"/>
      <c r="J182" s="2182" t="s">
        <v>654</v>
      </c>
      <c r="K182" s="2183"/>
      <c r="L182" s="2183"/>
      <c r="M182" s="2193" t="str">
        <f>IMAGE("https://raw.githubusercontent.com/msikma/pokesprite/master/misc/types/gen8/steel.png",4,20,20)</f>
        <v/>
      </c>
      <c r="N182" s="2165"/>
      <c r="O182" s="2182" t="s">
        <v>463</v>
      </c>
      <c r="P182" s="2183"/>
      <c r="Q182" s="2183"/>
      <c r="R182" s="2193" t="str">
        <f>IMAGE("https://raw.githubusercontent.com/msikma/pokesprite/master/misc/types/gen8/fighting.png",4,20,20)</f>
        <v/>
      </c>
      <c r="S182" s="2165"/>
      <c r="T182" s="2182" t="s">
        <v>407</v>
      </c>
      <c r="U182" s="2183"/>
      <c r="V182" s="2183"/>
      <c r="W182" s="2193" t="str">
        <f>IMAGE("https://raw.githubusercontent.com/msikma/pokesprite/master/misc/types/gen8/steel.png",4,20,20)</f>
        <v/>
      </c>
      <c r="X182" s="2165"/>
      <c r="Y182" s="2182" t="s">
        <v>428</v>
      </c>
      <c r="Z182" s="2183"/>
      <c r="AA182" s="2183"/>
      <c r="AB182" s="2193" t="str">
        <f>IMAGE("https://raw.githubusercontent.com/msikma/pokesprite/master/misc/types/gen8/normal.png",4,20,20)</f>
        <v/>
      </c>
      <c r="AC182" s="2165"/>
      <c r="AD182" s="2182" t="s">
        <v>655</v>
      </c>
      <c r="AE182" s="2183"/>
      <c r="AF182" s="2183"/>
      <c r="AG182" s="2193" t="str">
        <f>IMAGE("https://raw.githubusercontent.com/msikma/pokesprite/master/misc/types/gen8/steel.png",4,20,20)</f>
        <v/>
      </c>
      <c r="AH182" s="2145"/>
      <c r="AI182" s="1456"/>
    </row>
    <row r="183" ht="20.25" customHeight="1">
      <c r="A183" s="1468"/>
      <c r="B183" s="2133"/>
      <c r="C183" s="2134"/>
      <c r="D183" s="2174"/>
      <c r="E183" s="2186" t="s">
        <v>407</v>
      </c>
      <c r="F183" s="2156"/>
      <c r="G183" s="2156"/>
      <c r="H183" s="2194" t="str">
        <f>IMAGE("https://raw.githubusercontent.com/msikma/pokesprite/master/misc/types/gen8/steel.png",4,20,20)</f>
        <v/>
      </c>
      <c r="I183" s="2165"/>
      <c r="J183" s="2186" t="s">
        <v>402</v>
      </c>
      <c r="K183" s="2156"/>
      <c r="L183" s="2156"/>
      <c r="M183" s="2194" t="str">
        <f>IMAGE("https://raw.githubusercontent.com/msikma/pokesprite/master/misc/types/gen8/ground.png",4,20,20)</f>
        <v/>
      </c>
      <c r="N183" s="2165"/>
      <c r="O183" s="2186" t="s">
        <v>404</v>
      </c>
      <c r="P183" s="2156"/>
      <c r="Q183" s="2156"/>
      <c r="R183" s="2194" t="str">
        <f>IMAGE("https://raw.githubusercontent.com/msikma/pokesprite/master/misc/types/gen8/steel.png",4,20,20)</f>
        <v/>
      </c>
      <c r="S183" s="2165"/>
      <c r="T183" s="2186" t="s">
        <v>316</v>
      </c>
      <c r="U183" s="2156"/>
      <c r="V183" s="2156"/>
      <c r="W183" s="2194" t="str">
        <f>IMAGE("https://raw.githubusercontent.com/msikma/pokesprite/master/misc/types/gen8/fighting.png",4,20,20)</f>
        <v/>
      </c>
      <c r="X183" s="2165"/>
      <c r="Y183" s="2186" t="s">
        <v>656</v>
      </c>
      <c r="Z183" s="2156"/>
      <c r="AA183" s="2156"/>
      <c r="AB183" s="2194" t="str">
        <f>IMAGE("https://raw.githubusercontent.com/msikma/pokesprite/master/misc/types/gen8/steel.png",4,20,20)</f>
        <v/>
      </c>
      <c r="AC183" s="2165"/>
      <c r="AD183" s="2186" t="s">
        <v>402</v>
      </c>
      <c r="AE183" s="2156"/>
      <c r="AF183" s="2156"/>
      <c r="AG183" s="2194" t="str">
        <f>IMAGE("https://raw.githubusercontent.com/msikma/pokesprite/master/misc/types/gen8/ground.png",4,20,20)</f>
        <v/>
      </c>
      <c r="AH183" s="2145"/>
      <c r="AI183" s="1456"/>
    </row>
    <row r="184" ht="20.25" customHeight="1">
      <c r="A184" s="1468"/>
      <c r="B184" s="2133"/>
      <c r="C184" s="2134"/>
      <c r="D184" s="2174"/>
      <c r="E184" s="2186" t="s">
        <v>402</v>
      </c>
      <c r="F184" s="2156"/>
      <c r="G184" s="2156"/>
      <c r="H184" s="2194" t="str">
        <f>IMAGE("https://raw.githubusercontent.com/msikma/pokesprite/master/misc/types/gen8/ground.png",4,20,20)</f>
        <v/>
      </c>
      <c r="I184" s="2165"/>
      <c r="J184" s="2186" t="s">
        <v>215</v>
      </c>
      <c r="K184" s="2156"/>
      <c r="L184" s="2156"/>
      <c r="M184" s="2194" t="str">
        <f>IMAGE("https://raw.githubusercontent.com/msikma/pokesprite/master/misc/types/gen8/ice.png",4,20,20)</f>
        <v/>
      </c>
      <c r="N184" s="2165"/>
      <c r="O184" s="2186" t="s">
        <v>277</v>
      </c>
      <c r="P184" s="2156"/>
      <c r="Q184" s="2156"/>
      <c r="R184" s="2194" t="str">
        <f>IMAGE("https://raw.githubusercontent.com/msikma/pokesprite/master/misc/types/gen8/electric.png",4,20,20)</f>
        <v/>
      </c>
      <c r="S184" s="2165"/>
      <c r="T184" s="2186" t="s">
        <v>538</v>
      </c>
      <c r="U184" s="2156"/>
      <c r="V184" s="2156"/>
      <c r="W184" s="2194" t="str">
        <f>IMAGE("https://raw.githubusercontent.com/msikma/pokesprite/master/misc/types/gen8/bug.png",4,20,20)</f>
        <v/>
      </c>
      <c r="X184" s="2165"/>
      <c r="Y184" s="2186" t="s">
        <v>657</v>
      </c>
      <c r="Z184" s="2156"/>
      <c r="AA184" s="2156"/>
      <c r="AB184" s="2194" t="str">
        <f>IMAGE("https://raw.githubusercontent.com/msikma/pokesprite/master/misc/types/gen8/water.png",4,20,20)</f>
        <v/>
      </c>
      <c r="AC184" s="2165"/>
      <c r="AD184" s="2186" t="s">
        <v>403</v>
      </c>
      <c r="AE184" s="2156"/>
      <c r="AF184" s="2156"/>
      <c r="AG184" s="2194" t="str">
        <f>IMAGE("https://raw.githubusercontent.com/msikma/pokesprite/master/misc/types/gen8/fire.png",4,20,20)</f>
        <v/>
      </c>
      <c r="AH184" s="2145"/>
      <c r="AI184" s="1456"/>
    </row>
    <row r="185" ht="21.0" customHeight="1">
      <c r="A185" s="1468"/>
      <c r="B185" s="2133"/>
      <c r="C185" s="2134"/>
      <c r="D185" s="2174"/>
      <c r="E185" s="2195" t="s">
        <v>658</v>
      </c>
      <c r="F185" s="2196"/>
      <c r="G185" s="2196"/>
      <c r="H185" s="2197" t="str">
        <f>IMAGE("https://raw.githubusercontent.com/msikma/pokesprite/master/misc/types/gen8/normal.png",4,20,20)</f>
        <v/>
      </c>
      <c r="I185" s="2165"/>
      <c r="J185" s="2195" t="s">
        <v>249</v>
      </c>
      <c r="K185" s="2196"/>
      <c r="L185" s="2196"/>
      <c r="M185" s="2197" t="str">
        <f>IMAGE("https://raw.githubusercontent.com/msikma/pokesprite/master/misc/types/gen8/electric.png",4,20,20)</f>
        <v/>
      </c>
      <c r="N185" s="2165"/>
      <c r="O185" s="2195" t="s">
        <v>380</v>
      </c>
      <c r="P185" s="2196"/>
      <c r="Q185" s="2196"/>
      <c r="R185" s="2197" t="str">
        <f>IMAGE("https://raw.githubusercontent.com/msikma/pokesprite/master/misc/types/gen8/dragon.png",4,20,20)</f>
        <v/>
      </c>
      <c r="S185" s="2165"/>
      <c r="T185" s="2195" t="s">
        <v>659</v>
      </c>
      <c r="U185" s="2196"/>
      <c r="V185" s="2196"/>
      <c r="W185" s="2197" t="str">
        <f>IMAGE("https://raw.githubusercontent.com/msikma/pokesprite/master/misc/types/gen8/dark.png",4,20,20)</f>
        <v/>
      </c>
      <c r="X185" s="2165"/>
      <c r="Y185" s="2195" t="s">
        <v>606</v>
      </c>
      <c r="Z185" s="2196"/>
      <c r="AA185" s="2196"/>
      <c r="AB185" s="2197" t="str">
        <f>IMAGE("https://raw.githubusercontent.com/msikma/pokesprite/master/misc/types/gen8/fighting.png",4,20,20)</f>
        <v/>
      </c>
      <c r="AC185" s="2165"/>
      <c r="AD185" s="2195" t="s">
        <v>463</v>
      </c>
      <c r="AE185" s="2196"/>
      <c r="AF185" s="2196"/>
      <c r="AG185" s="2197" t="str">
        <f>IMAGE("https://raw.githubusercontent.com/msikma/pokesprite/master/misc/types/gen8/fighting.png",4,20,20)</f>
        <v/>
      </c>
      <c r="AH185" s="2145"/>
      <c r="AI185" s="1456"/>
    </row>
    <row r="186" ht="3.0" customHeight="1">
      <c r="A186" s="1468"/>
      <c r="B186" s="2198"/>
      <c r="C186" s="2199"/>
      <c r="D186" s="2200"/>
      <c r="E186" s="2090"/>
      <c r="F186" s="2090"/>
      <c r="G186" s="2090"/>
      <c r="H186" s="2090"/>
      <c r="I186" s="2200"/>
      <c r="J186" s="2090"/>
      <c r="K186" s="2090"/>
      <c r="L186" s="2090"/>
      <c r="M186" s="2090"/>
      <c r="N186" s="2200"/>
      <c r="O186" s="2090"/>
      <c r="P186" s="2090"/>
      <c r="Q186" s="2090"/>
      <c r="R186" s="2090"/>
      <c r="S186" s="2200"/>
      <c r="T186" s="2090"/>
      <c r="U186" s="2090"/>
      <c r="V186" s="2090"/>
      <c r="W186" s="2090"/>
      <c r="X186" s="2200"/>
      <c r="Y186" s="2091"/>
      <c r="Z186" s="2092"/>
      <c r="AA186" s="2092"/>
      <c r="AB186" s="2093"/>
      <c r="AC186" s="2200"/>
      <c r="AD186" s="2094"/>
      <c r="AE186" s="2094"/>
      <c r="AF186" s="2094"/>
      <c r="AG186" s="2094"/>
      <c r="AH186" s="2201"/>
      <c r="AI186" s="1533"/>
    </row>
    <row r="187" ht="16.5" customHeight="1">
      <c r="A187" s="1468"/>
      <c r="B187" s="2202"/>
      <c r="C187" s="2199"/>
      <c r="D187" s="2203"/>
      <c r="E187" s="2204" t="s">
        <v>190</v>
      </c>
      <c r="F187" s="381"/>
      <c r="G187" s="382"/>
      <c r="H187" s="2205" t="s">
        <v>191</v>
      </c>
      <c r="I187" s="2203"/>
      <c r="J187" s="2204" t="s">
        <v>190</v>
      </c>
      <c r="K187" s="381"/>
      <c r="L187" s="382"/>
      <c r="M187" s="2205" t="s">
        <v>191</v>
      </c>
      <c r="N187" s="2203"/>
      <c r="O187" s="2204" t="s">
        <v>190</v>
      </c>
      <c r="P187" s="381"/>
      <c r="Q187" s="382"/>
      <c r="R187" s="2205" t="s">
        <v>191</v>
      </c>
      <c r="S187" s="2203"/>
      <c r="T187" s="2204" t="s">
        <v>190</v>
      </c>
      <c r="U187" s="381"/>
      <c r="V187" s="382"/>
      <c r="W187" s="2205" t="s">
        <v>191</v>
      </c>
      <c r="X187" s="2203"/>
      <c r="Y187" s="2204" t="s">
        <v>190</v>
      </c>
      <c r="Z187" s="381"/>
      <c r="AA187" s="382"/>
      <c r="AB187" s="2205" t="s">
        <v>191</v>
      </c>
      <c r="AC187" s="2203"/>
      <c r="AD187" s="2204" t="s">
        <v>190</v>
      </c>
      <c r="AE187" s="381"/>
      <c r="AF187" s="382"/>
      <c r="AG187" s="2205" t="s">
        <v>191</v>
      </c>
      <c r="AH187" s="2206"/>
      <c r="AI187" s="1542"/>
    </row>
    <row r="188" ht="15.75" customHeight="1">
      <c r="A188" s="1468"/>
      <c r="B188" s="2202"/>
      <c r="C188" s="2199"/>
      <c r="D188" s="2203"/>
      <c r="E188" s="2207" t="s">
        <v>192</v>
      </c>
      <c r="F188" s="2208">
        <f t="array" ref="F188">IFERROR(VLOOKUP(E175,Dex!$B$3:$N244,8,FALSE),"")</f>
        <v>75</v>
      </c>
      <c r="G188" s="2209" t="str">
        <f t="array" ref="G188">IFERROR(VLOOKUP(F188,Dex!$P$22:$Q$276,2,FALSE),"")</f>
        <v/>
      </c>
      <c r="H188" s="2210">
        <v>252.0</v>
      </c>
      <c r="I188" s="2211"/>
      <c r="J188" s="2207" t="s">
        <v>192</v>
      </c>
      <c r="K188" s="2208">
        <f t="array" ref="K188">IFERROR(VLOOKUP(J175,Dex!$B$3:$N244,8,FALSE),"")</f>
        <v>135</v>
      </c>
      <c r="L188" s="2209" t="str">
        <f t="array" ref="L188">IFERROR(VLOOKUP(K188,Dex!$P$22:$Q$276,2,FALSE),"")</f>
        <v/>
      </c>
      <c r="M188" s="2210">
        <v>252.0</v>
      </c>
      <c r="N188" s="2211"/>
      <c r="O188" s="2207" t="s">
        <v>192</v>
      </c>
      <c r="P188" s="2208">
        <f t="array" ref="P188">IFERROR(VLOOKUP(O175,Dex!$B$3:$N244,8,FALSE),"")</f>
        <v>85</v>
      </c>
      <c r="Q188" s="2209" t="str">
        <f t="array" ref="Q188">IFERROR(VLOOKUP(P188,Dex!$P$22:$Q$276,2,FALSE),"")</f>
        <v/>
      </c>
      <c r="R188" s="2210">
        <v>252.0</v>
      </c>
      <c r="S188" s="2211"/>
      <c r="T188" s="2207" t="s">
        <v>192</v>
      </c>
      <c r="U188" s="2208">
        <f t="array" ref="U188">IFERROR(VLOOKUP(T175,Dex!$B$3:$N244,8,FALSE),"")</f>
        <v>58</v>
      </c>
      <c r="V188" s="2209" t="str">
        <f t="array" ref="V188">IFERROR(VLOOKUP(U188,Dex!$P$22:$Q$276,2,FALSE),"")</f>
        <v/>
      </c>
      <c r="W188" s="2210"/>
      <c r="X188" s="2211"/>
      <c r="Y188" s="2207" t="s">
        <v>192</v>
      </c>
      <c r="Z188" s="2208">
        <f t="array" ref="Z188">IFERROR(VLOOKUP(Y175,Dex!$B$3:$N244,8,FALSE),"")</f>
        <v>95</v>
      </c>
      <c r="AA188" s="2209" t="str">
        <f t="array" ref="AA188">IFERROR(VLOOKUP(Z188,Dex!$P$22:$Q$276,2,FALSE),"")</f>
        <v/>
      </c>
      <c r="AB188" s="2210"/>
      <c r="AC188" s="2211"/>
      <c r="AD188" s="2207" t="s">
        <v>192</v>
      </c>
      <c r="AE188" s="2208">
        <f t="array" ref="AE188">IFERROR(VLOOKUP(AD175,Dex!$B$3:$N244,8,FALSE),"")</f>
        <v>70</v>
      </c>
      <c r="AF188" s="2209" t="str">
        <f t="array" ref="AF188">IFERROR(VLOOKUP(AE188,Dex!$P$22:$Q$276,2,FALSE),"")</f>
        <v/>
      </c>
      <c r="AG188" s="2210">
        <v>252.0</v>
      </c>
      <c r="AH188" s="2212"/>
      <c r="AI188" s="1542"/>
    </row>
    <row r="189" ht="15.75" customHeight="1">
      <c r="A189" s="1468"/>
      <c r="B189" s="2202"/>
      <c r="C189" s="2199"/>
      <c r="D189" s="2203"/>
      <c r="E189" s="2213" t="s">
        <v>193</v>
      </c>
      <c r="F189" s="2214">
        <f t="array" ref="F189">IFERROR(VLOOKUP(E175,Dex!$B$3:$N244,9,FALSE),"")</f>
        <v>85</v>
      </c>
      <c r="G189" s="2215" t="str">
        <f t="array" ref="G189">IFERROR(VLOOKUP(F189,Dex!$P$22:$Q$276,2,FALSE),"")</f>
        <v/>
      </c>
      <c r="H189" s="2216">
        <v>252.0</v>
      </c>
      <c r="I189" s="2211"/>
      <c r="J189" s="2213" t="s">
        <v>193</v>
      </c>
      <c r="K189" s="2214">
        <f t="array" ref="K189">IFERROR(VLOOKUP(J175,Dex!$B$3:$N244,9,FALSE),"")</f>
        <v>143</v>
      </c>
      <c r="L189" s="2215" t="str">
        <f t="array" ref="L189">IFERROR(VLOOKUP(K189,Dex!$P$22:$Q$276,2,FALSE),"")</f>
        <v/>
      </c>
      <c r="M189" s="2216">
        <v>252.0</v>
      </c>
      <c r="N189" s="2211"/>
      <c r="O189" s="2213" t="s">
        <v>193</v>
      </c>
      <c r="P189" s="2214">
        <f t="array" ref="P189">IFERROR(VLOOKUP(O175,Dex!$B$3:$N244,9,FALSE),"")</f>
        <v>95</v>
      </c>
      <c r="Q189" s="2215" t="str">
        <f t="array" ref="Q189">IFERROR(VLOOKUP(P189,Dex!$P$22:$Q$276,2,FALSE),"")</f>
        <v/>
      </c>
      <c r="R189" s="2216"/>
      <c r="S189" s="2211"/>
      <c r="T189" s="2213" t="s">
        <v>193</v>
      </c>
      <c r="U189" s="2214">
        <f t="array" ref="U189">IFERROR(VLOOKUP(T175,Dex!$B$3:$N244,9,FALSE),"")</f>
        <v>109</v>
      </c>
      <c r="V189" s="2215" t="str">
        <f t="array" ref="V189">IFERROR(VLOOKUP(U189,Dex!$P$22:$Q$276,2,FALSE),"")</f>
        <v/>
      </c>
      <c r="W189" s="2216">
        <v>252.0</v>
      </c>
      <c r="X189" s="2211"/>
      <c r="Y189" s="2213" t="s">
        <v>193</v>
      </c>
      <c r="Z189" s="2214">
        <f t="array" ref="Z189">IFERROR(VLOOKUP(Y175,Dex!$B$3:$N244,9,FALSE),"")</f>
        <v>108</v>
      </c>
      <c r="AA189" s="2215" t="str">
        <f t="array" ref="AA189">IFERROR(VLOOKUP(Z189,Dex!$P$22:$Q$276,2,FALSE),"")</f>
        <v/>
      </c>
      <c r="AB189" s="2216">
        <v>252.0</v>
      </c>
      <c r="AC189" s="2211"/>
      <c r="AD189" s="2213" t="s">
        <v>193</v>
      </c>
      <c r="AE189" s="2214">
        <f t="array" ref="AE189">IFERROR(VLOOKUP(AD175,Dex!$B$3:$N244,9,FALSE),"")</f>
        <v>140</v>
      </c>
      <c r="AF189" s="2215" t="str">
        <f t="array" ref="AF189">IFERROR(VLOOKUP(AE189,Dex!$P$22:$Q$276,2,FALSE),"")</f>
        <v/>
      </c>
      <c r="AG189" s="2216">
        <v>252.0</v>
      </c>
      <c r="AH189" s="2212"/>
      <c r="AI189" s="1542"/>
    </row>
    <row r="190" ht="15.75" customHeight="1">
      <c r="A190" s="1468"/>
      <c r="B190" s="2202"/>
      <c r="C190" s="2199"/>
      <c r="D190" s="2203"/>
      <c r="E190" s="2213" t="s">
        <v>194</v>
      </c>
      <c r="F190" s="2214">
        <f t="array" ref="F190">IFERROR(VLOOKUP(E175,Dex!$B$3:$N244,10,FALSE),"")</f>
        <v>200</v>
      </c>
      <c r="G190" s="2215" t="str">
        <f t="array" ref="G190">IFERROR(VLOOKUP(F190,Dex!$P$22:$Q$276,2,FALSE),"")</f>
        <v/>
      </c>
      <c r="H190" s="2216"/>
      <c r="I190" s="2211"/>
      <c r="J190" s="2213" t="s">
        <v>194</v>
      </c>
      <c r="K190" s="2214">
        <f t="array" ref="K190">IFERROR(VLOOKUP(J175,Dex!$B$3:$N244,10,FALSE),"")</f>
        <v>143</v>
      </c>
      <c r="L190" s="2215" t="str">
        <f t="array" ref="L190">IFERROR(VLOOKUP(K190,Dex!$P$22:$Q$276,2,FALSE),"")</f>
        <v/>
      </c>
      <c r="M190" s="2216"/>
      <c r="N190" s="2211"/>
      <c r="O190" s="2213" t="s">
        <v>194</v>
      </c>
      <c r="P190" s="2214">
        <f t="array" ref="P190">IFERROR(VLOOKUP(O175,Dex!$B$3:$N244,10,FALSE),"")</f>
        <v>115</v>
      </c>
      <c r="Q190" s="2215" t="str">
        <f t="array" ref="Q190">IFERROR(VLOOKUP(P190,Dex!$P$22:$Q$276,2,FALSE),"")</f>
        <v/>
      </c>
      <c r="R190" s="2216"/>
      <c r="S190" s="2211"/>
      <c r="T190" s="2213" t="s">
        <v>194</v>
      </c>
      <c r="U190" s="2214">
        <f t="array" ref="U190">IFERROR(VLOOKUP(T175,Dex!$B$3:$N244,10,FALSE),"")</f>
        <v>112</v>
      </c>
      <c r="V190" s="2215" t="str">
        <f t="array" ref="V190">IFERROR(VLOOKUP(U190,Dex!$P$22:$Q$276,2,FALSE),"")</f>
        <v/>
      </c>
      <c r="W190" s="2216"/>
      <c r="X190" s="2211"/>
      <c r="Y190" s="2213" t="s">
        <v>194</v>
      </c>
      <c r="Z190" s="2214">
        <f t="array" ref="Z190">IFERROR(VLOOKUP(Y175,Dex!$B$3:$N244,10,FALSE),"")</f>
        <v>85</v>
      </c>
      <c r="AA190" s="2215" t="str">
        <f t="array" ref="AA190">IFERROR(VLOOKUP(Z190,Dex!$P$22:$Q$276,2,FALSE),"")</f>
        <v/>
      </c>
      <c r="AB190" s="2216">
        <v>4.0</v>
      </c>
      <c r="AC190" s="2211"/>
      <c r="AD190" s="2213" t="s">
        <v>194</v>
      </c>
      <c r="AE190" s="2214">
        <f t="array" ref="AE190">IFERROR(VLOOKUP(AD175,Dex!$B$3:$N244,10,FALSE),"")</f>
        <v>230</v>
      </c>
      <c r="AF190" s="2215" t="str">
        <f t="array" ref="AF190">IFERROR(VLOOKUP(AE190,Dex!$P$22:$Q$276,2,FALSE),"")</f>
        <v/>
      </c>
      <c r="AG190" s="2216">
        <v>4.0</v>
      </c>
      <c r="AH190" s="2212"/>
      <c r="AI190" s="1542"/>
    </row>
    <row r="191" ht="15.75" customHeight="1">
      <c r="A191" s="1468"/>
      <c r="B191" s="2202"/>
      <c r="C191" s="2199"/>
      <c r="D191" s="2203"/>
      <c r="E191" s="2213" t="s">
        <v>195</v>
      </c>
      <c r="F191" s="2214">
        <f t="array" ref="F191">IFERROR(VLOOKUP(E175,Dex!$B$3:$N244,11,FALSE),"")</f>
        <v>55</v>
      </c>
      <c r="G191" s="2215" t="str">
        <f t="array" ref="G191">IFERROR(VLOOKUP(F191,Dex!$P$22:$Q$276,2,FALSE),"")</f>
        <v/>
      </c>
      <c r="H191" s="2216"/>
      <c r="I191" s="2211"/>
      <c r="J191" s="2213" t="s">
        <v>195</v>
      </c>
      <c r="K191" s="2214">
        <f t="array" ref="K191">IFERROR(VLOOKUP(J175,Dex!$B$3:$N244,11,FALSE),"")</f>
        <v>80</v>
      </c>
      <c r="L191" s="2215" t="str">
        <f t="array" ref="L191">IFERROR(VLOOKUP(K191,Dex!$P$22:$Q$276,2,FALSE),"")</f>
        <v/>
      </c>
      <c r="M191" s="2216"/>
      <c r="N191" s="2211"/>
      <c r="O191" s="2213" t="s">
        <v>195</v>
      </c>
      <c r="P191" s="2214">
        <f t="array" ref="P191">IFERROR(VLOOKUP(O175,Dex!$B$3:$N244,11,FALSE),"")</f>
        <v>120</v>
      </c>
      <c r="Q191" s="2215" t="str">
        <f t="array" ref="Q191">IFERROR(VLOOKUP(P191,Dex!$P$22:$Q$276,2,FALSE),"")</f>
        <v/>
      </c>
      <c r="R191" s="2216">
        <v>252.0</v>
      </c>
      <c r="S191" s="2211"/>
      <c r="T191" s="2213" t="s">
        <v>195</v>
      </c>
      <c r="U191" s="2214">
        <f t="array" ref="U191">IFERROR(VLOOKUP(T175,Dex!$B$3:$N244,11,FALSE),"")</f>
        <v>48</v>
      </c>
      <c r="V191" s="2215" t="str">
        <f t="array" ref="V191">IFERROR(VLOOKUP(U191,Dex!$P$22:$Q$276,2,FALSE),"")</f>
        <v/>
      </c>
      <c r="W191" s="2216"/>
      <c r="X191" s="2211"/>
      <c r="Y191" s="2213" t="s">
        <v>195</v>
      </c>
      <c r="Z191" s="2214">
        <f t="array" ref="Z191">IFERROR(VLOOKUP(Y175,Dex!$B$3:$N244,11,FALSE),"")</f>
        <v>95</v>
      </c>
      <c r="AA191" s="2215" t="str">
        <f t="array" ref="AA191">IFERROR(VLOOKUP(Z191,Dex!$P$22:$Q$276,2,FALSE),"")</f>
        <v/>
      </c>
      <c r="AB191" s="2216"/>
      <c r="AC191" s="2211"/>
      <c r="AD191" s="2213" t="s">
        <v>195</v>
      </c>
      <c r="AE191" s="2214">
        <f t="array" ref="AE191">IFERROR(VLOOKUP(AD175,Dex!$B$3:$N244,11,FALSE),"")</f>
        <v>60</v>
      </c>
      <c r="AF191" s="2215" t="str">
        <f t="array" ref="AF191">IFERROR(VLOOKUP(AE191,Dex!$P$22:$Q$276,2,FALSE),"")</f>
        <v/>
      </c>
      <c r="AG191" s="2216"/>
      <c r="AH191" s="2212"/>
      <c r="AI191" s="1542"/>
    </row>
    <row r="192" ht="15.75" customHeight="1">
      <c r="A192" s="1468"/>
      <c r="B192" s="2202"/>
      <c r="C192" s="2199"/>
      <c r="D192" s="2203"/>
      <c r="E192" s="2213" t="s">
        <v>196</v>
      </c>
      <c r="F192" s="2214">
        <f t="array" ref="F192">IFERROR(VLOOKUP(E175,Dex!$B$3:$N244,12,FALSE),"")</f>
        <v>65</v>
      </c>
      <c r="G192" s="2215" t="str">
        <f t="array" ref="G192">IFERROR(VLOOKUP(F192,Dex!$P$22:$Q$276,2,FALSE),"")</f>
        <v/>
      </c>
      <c r="H192" s="2216">
        <v>4.0</v>
      </c>
      <c r="I192" s="2211"/>
      <c r="J192" s="2213" t="s">
        <v>196</v>
      </c>
      <c r="K192" s="2214">
        <f t="array" ref="K192">IFERROR(VLOOKUP(J175,Dex!$B$3:$N244,12,FALSE),"")</f>
        <v>65</v>
      </c>
      <c r="L192" s="2215" t="str">
        <f t="array" ref="L192">IFERROR(VLOOKUP(K192,Dex!$P$22:$Q$276,2,FALSE),"")</f>
        <v/>
      </c>
      <c r="M192" s="2216">
        <v>4.0</v>
      </c>
      <c r="N192" s="2211"/>
      <c r="O192" s="2213" t="s">
        <v>196</v>
      </c>
      <c r="P192" s="2214">
        <f t="array" ref="P192">IFERROR(VLOOKUP(O175,Dex!$B$3:$N244,12,FALSE),"")</f>
        <v>50</v>
      </c>
      <c r="Q192" s="2215" t="str">
        <f t="array" ref="Q192">IFERROR(VLOOKUP(P192,Dex!$P$22:$Q$276,2,FALSE),"")</f>
        <v/>
      </c>
      <c r="R192" s="2216">
        <v>4.0</v>
      </c>
      <c r="S192" s="2211"/>
      <c r="T192" s="2213" t="s">
        <v>196</v>
      </c>
      <c r="U192" s="2214">
        <f t="array" ref="U192">IFERROR(VLOOKUP(T175,Dex!$B$3:$N244,12,FALSE),"")</f>
        <v>48</v>
      </c>
      <c r="V192" s="2215" t="str">
        <f t="array" ref="V192">IFERROR(VLOOKUP(U192,Dex!$P$22:$Q$276,2,FALSE),"")</f>
        <v/>
      </c>
      <c r="W192" s="2216">
        <v>4.0</v>
      </c>
      <c r="X192" s="2211"/>
      <c r="Y192" s="2213" t="s">
        <v>196</v>
      </c>
      <c r="Z192" s="2214">
        <f t="array" ref="Z192">IFERROR(VLOOKUP(Y175,Dex!$B$3:$N244,12,FALSE),"")</f>
        <v>70</v>
      </c>
      <c r="AA192" s="2215" t="str">
        <f t="array" ref="AA192">IFERROR(VLOOKUP(Z192,Dex!$P$22:$Q$276,2,FALSE),"")</f>
        <v/>
      </c>
      <c r="AB192" s="2216"/>
      <c r="AC192" s="2211"/>
      <c r="AD192" s="2213" t="s">
        <v>196</v>
      </c>
      <c r="AE192" s="2214">
        <f t="array" ref="AE192">IFERROR(VLOOKUP(AD175,Dex!$B$3:$N244,12,FALSE),"")</f>
        <v>80</v>
      </c>
      <c r="AF192" s="2215" t="str">
        <f t="array" ref="AF192">IFERROR(VLOOKUP(AE192,Dex!$P$22:$Q$276,2,FALSE),"")</f>
        <v/>
      </c>
      <c r="AG192" s="2216"/>
      <c r="AH192" s="2212"/>
      <c r="AI192" s="1542"/>
    </row>
    <row r="193" ht="15.75" customHeight="1">
      <c r="A193" s="1468"/>
      <c r="B193" s="2202"/>
      <c r="C193" s="1204" t="s">
        <v>436</v>
      </c>
      <c r="D193" s="2203"/>
      <c r="E193" s="2217" t="s">
        <v>197</v>
      </c>
      <c r="F193" s="2218">
        <f t="array" ref="F193">IFERROR(VLOOKUP(E175,Dex!$B$3:$N244,13,FALSE),"")</f>
        <v>30</v>
      </c>
      <c r="G193" s="2219" t="str">
        <f t="array" ref="G193">IFERROR(VLOOKUP(F193,Dex!$P$22:$Q$276,2,FALSE),"")</f>
        <v/>
      </c>
      <c r="H193" s="2220"/>
      <c r="I193" s="2211"/>
      <c r="J193" s="2217" t="s">
        <v>197</v>
      </c>
      <c r="K193" s="2218">
        <f t="array" ref="K193">IFERROR(VLOOKUP(J175,Dex!$B$3:$N244,13,FALSE),"")</f>
        <v>34</v>
      </c>
      <c r="L193" s="2219" t="str">
        <f t="array" ref="L193">IFERROR(VLOOKUP(K193,Dex!$P$22:$Q$276,2,FALSE),"")</f>
        <v/>
      </c>
      <c r="M193" s="2220"/>
      <c r="N193" s="2211"/>
      <c r="O193" s="2217" t="s">
        <v>197</v>
      </c>
      <c r="P193" s="2218">
        <f t="array" ref="P193">IFERROR(VLOOKUP(O175,Dex!$B$3:$N244,13,FALSE),"")</f>
        <v>85</v>
      </c>
      <c r="Q193" s="2219" t="str">
        <f t="array" ref="Q193">IFERROR(VLOOKUP(P193,Dex!$P$22:$Q$276,2,FALSE),"")</f>
        <v/>
      </c>
      <c r="R193" s="2220"/>
      <c r="S193" s="2211"/>
      <c r="T193" s="2217" t="s">
        <v>197</v>
      </c>
      <c r="U193" s="2218">
        <f t="array" ref="U193">IFERROR(VLOOKUP(T175,Dex!$B$3:$N244,13,FALSE),"")</f>
        <v>109</v>
      </c>
      <c r="V193" s="2219" t="str">
        <f t="array" ref="V193">IFERROR(VLOOKUP(U193,Dex!$P$22:$Q$276,2,FALSE),"")</f>
        <v/>
      </c>
      <c r="W193" s="2220">
        <v>252.0</v>
      </c>
      <c r="X193" s="2211"/>
      <c r="Y193" s="2217" t="s">
        <v>197</v>
      </c>
      <c r="Z193" s="2218">
        <f t="array" ref="Z193">IFERROR(VLOOKUP(Y175,Dex!$B$3:$N244,13,FALSE),"")</f>
        <v>90</v>
      </c>
      <c r="AA193" s="2219" t="str">
        <f t="array" ref="AA193">IFERROR(VLOOKUP(Z193,Dex!$P$22:$Q$276,2,FALSE),"")</f>
        <v/>
      </c>
      <c r="AB193" s="2220">
        <v>252.0</v>
      </c>
      <c r="AC193" s="2211"/>
      <c r="AD193" s="2217" t="s">
        <v>197</v>
      </c>
      <c r="AE193" s="2218">
        <f t="array" ref="AE193">IFERROR(VLOOKUP(AD175,Dex!$B$3:$N244,13,FALSE),"")</f>
        <v>50</v>
      </c>
      <c r="AF193" s="2219" t="str">
        <f t="array" ref="AF193">IFERROR(VLOOKUP(AE193,Dex!$P$22:$Q$276,2,FALSE),"")</f>
        <v/>
      </c>
      <c r="AG193" s="2220"/>
      <c r="AH193" s="2212"/>
      <c r="AI193" s="1542"/>
    </row>
    <row r="194" ht="16.5" customHeight="1">
      <c r="A194" s="1468"/>
      <c r="B194" s="2202"/>
      <c r="C194" s="1205" t="s">
        <v>641</v>
      </c>
      <c r="D194" s="2203"/>
      <c r="E194" s="2221" t="s">
        <v>198</v>
      </c>
      <c r="F194" s="405"/>
      <c r="G194" s="406"/>
      <c r="H194" s="2222">
        <v>69.0</v>
      </c>
      <c r="I194" s="2203"/>
      <c r="J194" s="2221" t="s">
        <v>198</v>
      </c>
      <c r="K194" s="405"/>
      <c r="L194" s="406"/>
      <c r="M194" s="2222">
        <v>75.0</v>
      </c>
      <c r="N194" s="2203"/>
      <c r="O194" s="2221" t="s">
        <v>198</v>
      </c>
      <c r="P194" s="405"/>
      <c r="Q194" s="406"/>
      <c r="R194" s="2222">
        <v>147.0</v>
      </c>
      <c r="S194" s="2203"/>
      <c r="T194" s="2221" t="s">
        <v>198</v>
      </c>
      <c r="U194" s="405"/>
      <c r="V194" s="406"/>
      <c r="W194" s="2222">
        <v>248.0</v>
      </c>
      <c r="X194" s="2203"/>
      <c r="Y194" s="2221" t="s">
        <v>198</v>
      </c>
      <c r="Z194" s="405"/>
      <c r="AA194" s="406"/>
      <c r="AB194" s="2222">
        <v>218.0</v>
      </c>
      <c r="AC194" s="2203"/>
      <c r="AD194" s="2221" t="s">
        <v>198</v>
      </c>
      <c r="AE194" s="405"/>
      <c r="AF194" s="406"/>
      <c r="AG194" s="2222">
        <v>98.0</v>
      </c>
      <c r="AH194" s="2206"/>
      <c r="AI194" s="1542"/>
    </row>
    <row r="195" ht="11.25" customHeight="1">
      <c r="A195" s="1468"/>
      <c r="B195" s="2223"/>
      <c r="C195" s="2224"/>
      <c r="D195" s="2225"/>
      <c r="E195" s="2226"/>
      <c r="F195" s="2150"/>
      <c r="G195" s="2150"/>
      <c r="H195" s="2227"/>
      <c r="I195" s="2225"/>
      <c r="J195" s="2226"/>
      <c r="K195" s="2150"/>
      <c r="L195" s="2150"/>
      <c r="M195" s="2227"/>
      <c r="N195" s="2225"/>
      <c r="O195" s="2226"/>
      <c r="P195" s="2150"/>
      <c r="Q195" s="2150"/>
      <c r="R195" s="2227"/>
      <c r="S195" s="2225"/>
      <c r="T195" s="2226"/>
      <c r="U195" s="2150"/>
      <c r="V195" s="2150"/>
      <c r="W195" s="2227"/>
      <c r="X195" s="2225"/>
      <c r="Y195" s="2226"/>
      <c r="Z195" s="2150"/>
      <c r="AA195" s="2150"/>
      <c r="AB195" s="2227"/>
      <c r="AC195" s="2225"/>
      <c r="AD195" s="2226"/>
      <c r="AE195" s="2150"/>
      <c r="AF195" s="2150"/>
      <c r="AG195" s="2227"/>
      <c r="AH195" s="2228"/>
      <c r="AI195" s="2229"/>
    </row>
    <row r="196">
      <c r="A196" s="1468"/>
      <c r="B196" s="2133"/>
      <c r="C196" s="2134"/>
      <c r="D196" s="2135"/>
      <c r="E196" s="1578" t="s">
        <v>660</v>
      </c>
      <c r="F196" s="1579"/>
      <c r="G196" s="1579"/>
      <c r="H196" s="1579"/>
      <c r="I196" s="1579"/>
      <c r="J196" s="1579"/>
      <c r="K196" s="1579"/>
      <c r="L196" s="1579"/>
      <c r="M196" s="1579"/>
      <c r="N196" s="1579"/>
      <c r="O196" s="1579"/>
      <c r="P196" s="1579"/>
      <c r="Q196" s="1579"/>
      <c r="R196" s="1579"/>
      <c r="S196" s="1579"/>
      <c r="T196" s="1579"/>
      <c r="U196" s="1579"/>
      <c r="V196" s="1579"/>
      <c r="W196" s="1579"/>
      <c r="X196" s="1579"/>
      <c r="Y196" s="1579"/>
      <c r="Z196" s="1579"/>
      <c r="AA196" s="1579"/>
      <c r="AB196" s="1579"/>
      <c r="AC196" s="1579"/>
      <c r="AD196" s="1579"/>
      <c r="AE196" s="1579"/>
      <c r="AF196" s="1579"/>
      <c r="AG196" s="1580"/>
      <c r="AH196" s="2145"/>
      <c r="AI196" s="1456"/>
    </row>
    <row r="197" ht="3.75" customHeight="1">
      <c r="A197" s="1468"/>
      <c r="B197" s="2133"/>
      <c r="C197" s="2230"/>
      <c r="D197" s="2138"/>
      <c r="E197" s="2139"/>
      <c r="F197" s="2139"/>
      <c r="G197" s="2139"/>
      <c r="H197" s="2139"/>
      <c r="I197" s="2138"/>
      <c r="J197" s="2139"/>
      <c r="K197" s="2139"/>
      <c r="L197" s="2139"/>
      <c r="M197" s="2139"/>
      <c r="N197" s="2139"/>
      <c r="O197" s="2139"/>
      <c r="P197" s="2139"/>
      <c r="Q197" s="2139"/>
      <c r="R197" s="2139"/>
      <c r="S197" s="2139"/>
      <c r="T197" s="2139"/>
      <c r="U197" s="2139"/>
      <c r="V197" s="2139"/>
      <c r="W197" s="2139"/>
      <c r="X197" s="2139"/>
      <c r="Y197" s="2139"/>
      <c r="Z197" s="2139"/>
      <c r="AA197" s="2139"/>
      <c r="AB197" s="2139"/>
      <c r="AC197" s="2139"/>
      <c r="AD197" s="2139"/>
      <c r="AE197" s="2139"/>
      <c r="AF197" s="2139"/>
      <c r="AG197" s="2139"/>
      <c r="AH197" s="2231"/>
      <c r="AI197" s="1456"/>
    </row>
    <row r="198" ht="96.75" customHeight="1">
      <c r="A198" s="1468"/>
      <c r="B198" s="2133"/>
      <c r="C198" s="2141" t="str">
        <f>IMAGE("https://i.ibb.co/gSJKyHq/Jasmine.png")</f>
        <v/>
      </c>
      <c r="D198" s="2232"/>
      <c r="E198" s="2143" t="str">
        <f t="array" ref="E198">IFERROR(VLOOKUP(E199,Dex!$B$3:$G244,3,FALSE),"")</f>
        <v/>
      </c>
      <c r="F198" s="302"/>
      <c r="G198" s="302"/>
      <c r="H198" s="303"/>
      <c r="I198" s="2233"/>
      <c r="J198" s="2143" t="str">
        <f t="array" ref="J198">IFERROR(VLOOKUP(J199,Dex!$B$3:$G244,3,FALSE),"")</f>
        <v/>
      </c>
      <c r="K198" s="302"/>
      <c r="L198" s="302"/>
      <c r="M198" s="303"/>
      <c r="N198" s="2233"/>
      <c r="O198" s="2143" t="str">
        <f t="array" ref="O198">IFERROR(VLOOKUP(O199,Dex!$B$3:$G244,3,FALSE),"")</f>
        <v/>
      </c>
      <c r="P198" s="302"/>
      <c r="Q198" s="302"/>
      <c r="R198" s="303"/>
      <c r="S198" s="2233"/>
      <c r="T198" s="2143" t="str">
        <f t="array" ref="T198">IFERROR(VLOOKUP(T199,Dex!$B$3:$G244,3,FALSE),"")</f>
        <v/>
      </c>
      <c r="U198" s="302"/>
      <c r="V198" s="302"/>
      <c r="W198" s="303"/>
      <c r="X198" s="2233"/>
      <c r="Y198" s="2143" t="str">
        <f t="array" ref="Y198">IFERROR(VLOOKUP(Y199,Dex!$B$3:$G244,3,FALSE),"")</f>
        <v/>
      </c>
      <c r="Z198" s="302"/>
      <c r="AA198" s="302"/>
      <c r="AB198" s="303"/>
      <c r="AC198" s="2233"/>
      <c r="AD198" s="2143" t="str">
        <f t="array" ref="AD198">IFERROR(VLOOKUP(AD199,Dex!$B$3:$G244,3,FALSE),"")</f>
        <v/>
      </c>
      <c r="AE198" s="302"/>
      <c r="AF198" s="302"/>
      <c r="AG198" s="303"/>
      <c r="AH198" s="2145"/>
      <c r="AI198" s="1456"/>
    </row>
    <row r="199" ht="18.75" customHeight="1">
      <c r="A199" s="1468"/>
      <c r="B199" s="2146"/>
      <c r="C199" s="2147" t="s">
        <v>661</v>
      </c>
      <c r="D199" s="2234"/>
      <c r="E199" s="2149" t="s">
        <v>662</v>
      </c>
      <c r="F199" s="2150"/>
      <c r="G199" s="2150"/>
      <c r="H199" s="2151"/>
      <c r="J199" s="2149" t="s">
        <v>646</v>
      </c>
      <c r="K199" s="2150"/>
      <c r="L199" s="2150"/>
      <c r="M199" s="2151"/>
      <c r="O199" s="2149" t="s">
        <v>663</v>
      </c>
      <c r="P199" s="2150"/>
      <c r="Q199" s="2150"/>
      <c r="R199" s="2151"/>
      <c r="T199" s="2149" t="s">
        <v>664</v>
      </c>
      <c r="U199" s="2150"/>
      <c r="V199" s="2150"/>
      <c r="W199" s="2151"/>
      <c r="Y199" s="2149" t="s">
        <v>649</v>
      </c>
      <c r="Z199" s="2150"/>
      <c r="AA199" s="2150"/>
      <c r="AB199" s="2151"/>
      <c r="AD199" s="2149" t="s">
        <v>650</v>
      </c>
      <c r="AE199" s="2150"/>
      <c r="AF199" s="2150"/>
      <c r="AG199" s="2151"/>
      <c r="AH199" s="2152"/>
      <c r="AI199" s="1479"/>
    </row>
    <row r="200">
      <c r="A200" s="1468"/>
      <c r="B200" s="2153"/>
      <c r="C200" s="1481"/>
      <c r="D200" s="2235"/>
      <c r="E200" s="2155" t="s">
        <v>420</v>
      </c>
      <c r="F200" s="2156"/>
      <c r="G200" s="2156"/>
      <c r="H200" s="2157"/>
      <c r="J200" s="2155" t="s">
        <v>420</v>
      </c>
      <c r="K200" s="2156"/>
      <c r="L200" s="2156"/>
      <c r="M200" s="2157"/>
      <c r="O200" s="2155" t="s">
        <v>420</v>
      </c>
      <c r="P200" s="2156"/>
      <c r="Q200" s="2156"/>
      <c r="R200" s="2157"/>
      <c r="T200" s="2155" t="s">
        <v>420</v>
      </c>
      <c r="U200" s="2156"/>
      <c r="V200" s="2156"/>
      <c r="W200" s="2157"/>
      <c r="Y200" s="2155" t="s">
        <v>420</v>
      </c>
      <c r="Z200" s="2156"/>
      <c r="AA200" s="2156"/>
      <c r="AB200" s="2157"/>
      <c r="AD200" s="2155" t="s">
        <v>420</v>
      </c>
      <c r="AE200" s="2156"/>
      <c r="AF200" s="2156"/>
      <c r="AG200" s="2157"/>
      <c r="AH200" s="2159"/>
      <c r="AI200" s="1696"/>
    </row>
    <row r="201" ht="25.5" customHeight="1">
      <c r="A201" s="1468"/>
      <c r="B201" s="2140"/>
      <c r="C201" s="1489"/>
      <c r="D201" s="2236"/>
      <c r="E201" s="2237"/>
      <c r="F201" s="2162" t="str">
        <f t="array" ref="F201">IFERROR(VLOOKUP(E199,Dex!$B$3:$H244,5,FALSE),"")</f>
        <v/>
      </c>
      <c r="G201" s="2163" t="str">
        <f t="array" ref="G201">IFERROR(VLOOKUP(E199,Dex!$B$3:$H244,7,FALSE),"")</f>
        <v/>
      </c>
      <c r="H201" s="2171"/>
      <c r="J201" s="2166"/>
      <c r="K201" s="2167" t="str">
        <f t="array" ref="K201">IFERROR(VLOOKUP(J199,Dex!$B$3:$H244,5,FALSE),"")</f>
        <v/>
      </c>
      <c r="L201" s="2168"/>
      <c r="M201" s="2169"/>
      <c r="O201" s="2170"/>
      <c r="P201" s="2162" t="str">
        <f t="array" ref="P201">IFERROR(VLOOKUP(O199,Dex!$B$3:$H244,5,FALSE),"")</f>
        <v/>
      </c>
      <c r="Q201" s="2163" t="str">
        <f t="array" ref="Q201">IFERROR(VLOOKUP(O199,Dex!$B$3:$H244,7,FALSE),"")</f>
        <v/>
      </c>
      <c r="R201" s="2171"/>
      <c r="T201" s="2170"/>
      <c r="U201" s="2162" t="str">
        <f t="array" ref="U201">IFERROR(VLOOKUP(T199,Dex!$B$3:$H244,5,FALSE),"")</f>
        <v/>
      </c>
      <c r="V201" s="2163" t="str">
        <f t="array" ref="V201">IFERROR(VLOOKUP(T199,Dex!$B$3:$H244,7,FALSE),"")</f>
        <v/>
      </c>
      <c r="W201" s="2171"/>
      <c r="Y201" s="2170"/>
      <c r="Z201" s="2162" t="str">
        <f t="array" ref="Z201">IFERROR(VLOOKUP(Y199,Dex!$B$3:$H244,5,FALSE),"")</f>
        <v/>
      </c>
      <c r="AA201" s="2163" t="str">
        <f t="array" ref="AA201">IFERROR(VLOOKUP(Y199,Dex!$B$3:$H244,7,FALSE),"")</f>
        <v/>
      </c>
      <c r="AB201" s="2171"/>
      <c r="AD201" s="2166"/>
      <c r="AE201" s="2167" t="str">
        <f t="array" ref="AE201">IFERROR(VLOOKUP(AD199,Dex!$B$3:$H244,5,FALSE),"")</f>
        <v/>
      </c>
      <c r="AF201" s="2168"/>
      <c r="AG201" s="2238"/>
      <c r="AH201" s="2145"/>
      <c r="AI201" s="1456"/>
    </row>
    <row r="202" ht="2.25" customHeight="1">
      <c r="A202" s="1468"/>
      <c r="B202" s="2140"/>
      <c r="C202" s="2173"/>
      <c r="D202" s="2236"/>
      <c r="E202" s="2239"/>
      <c r="F202" s="2180"/>
      <c r="G202" s="2180"/>
      <c r="H202" s="2179"/>
      <c r="J202" s="2178"/>
      <c r="K202" s="2176"/>
      <c r="L202" s="2176"/>
      <c r="M202" s="2179"/>
      <c r="O202" s="2178"/>
      <c r="P202" s="2180"/>
      <c r="Q202" s="2180"/>
      <c r="R202" s="2179"/>
      <c r="T202" s="2178"/>
      <c r="U202" s="2180"/>
      <c r="V202" s="2180"/>
      <c r="W202" s="2179"/>
      <c r="Y202" s="2178"/>
      <c r="Z202" s="2180"/>
      <c r="AA202" s="2180"/>
      <c r="AB202" s="2179"/>
      <c r="AD202" s="2178"/>
      <c r="AE202" s="2176"/>
      <c r="AF202" s="2176"/>
      <c r="AG202" s="2181"/>
      <c r="AH202" s="2145"/>
      <c r="AI202" s="1456"/>
    </row>
    <row r="203" ht="20.25" customHeight="1">
      <c r="A203" s="1468"/>
      <c r="B203" s="2140"/>
      <c r="C203" s="2134"/>
      <c r="D203" s="2236"/>
      <c r="E203" s="2182" t="s">
        <v>298</v>
      </c>
      <c r="F203" s="2183"/>
      <c r="G203" s="2183"/>
      <c r="H203" s="2184"/>
      <c r="J203" s="2182" t="s">
        <v>169</v>
      </c>
      <c r="K203" s="2183"/>
      <c r="L203" s="2183"/>
      <c r="M203" s="2184"/>
      <c r="O203" s="2182" t="s">
        <v>263</v>
      </c>
      <c r="P203" s="2183"/>
      <c r="Q203" s="2183"/>
      <c r="R203" s="2184"/>
      <c r="T203" s="2182" t="s">
        <v>172</v>
      </c>
      <c r="U203" s="2183"/>
      <c r="V203" s="2183"/>
      <c r="W203" s="2184"/>
      <c r="Y203" s="2182" t="s">
        <v>172</v>
      </c>
      <c r="Z203" s="2183"/>
      <c r="AA203" s="2183"/>
      <c r="AB203" s="2184"/>
      <c r="AD203" s="2182" t="s">
        <v>169</v>
      </c>
      <c r="AE203" s="2183"/>
      <c r="AF203" s="2183"/>
      <c r="AG203" s="2184"/>
      <c r="AH203" s="2145"/>
      <c r="AI203" s="1456"/>
    </row>
    <row r="204">
      <c r="A204" s="1468"/>
      <c r="B204" s="2140"/>
      <c r="C204" s="2185"/>
      <c r="D204" s="2236"/>
      <c r="E204" s="2186" t="s">
        <v>233</v>
      </c>
      <c r="F204" s="2156"/>
      <c r="G204" s="2156"/>
      <c r="H204" s="2157"/>
      <c r="J204" s="2186" t="s">
        <v>235</v>
      </c>
      <c r="K204" s="2156"/>
      <c r="L204" s="2156"/>
      <c r="M204" s="2157"/>
      <c r="O204" s="2186" t="s">
        <v>665</v>
      </c>
      <c r="P204" s="2156"/>
      <c r="Q204" s="2156"/>
      <c r="R204" s="2157"/>
      <c r="T204" s="2186" t="s">
        <v>361</v>
      </c>
      <c r="U204" s="2156"/>
      <c r="V204" s="2156"/>
      <c r="W204" s="2157"/>
      <c r="Y204" s="2186" t="s">
        <v>532</v>
      </c>
      <c r="Z204" s="2156"/>
      <c r="AA204" s="2156"/>
      <c r="AB204" s="2157"/>
      <c r="AD204" s="2186" t="s">
        <v>666</v>
      </c>
      <c r="AE204" s="2156"/>
      <c r="AF204" s="2156"/>
      <c r="AG204" s="2157"/>
      <c r="AH204" s="2145"/>
      <c r="AI204" s="1456"/>
    </row>
    <row r="205" ht="20.25" customHeight="1">
      <c r="A205" s="1468"/>
      <c r="B205" s="2140"/>
      <c r="C205" s="2187"/>
      <c r="D205" s="2236"/>
      <c r="E205" s="2188" t="s">
        <v>394</v>
      </c>
      <c r="F205" s="2189"/>
      <c r="G205" s="2190"/>
      <c r="H205" s="2191" t="str">
        <f>IMAGE("https://raw.githubusercontent.com/msikma/pokesprite/master/items/hold-item/leftovers.png",3)</f>
        <v/>
      </c>
      <c r="J205" s="2188" t="s">
        <v>394</v>
      </c>
      <c r="K205" s="2189"/>
      <c r="L205" s="2190"/>
      <c r="M205" s="2191" t="str">
        <f>IMAGE("https://raw.githubusercontent.com/msikma/pokesprite/master/items/hold-item/leftovers.png",3)</f>
        <v/>
      </c>
      <c r="O205" s="2188" t="s">
        <v>536</v>
      </c>
      <c r="P205" s="2189"/>
      <c r="Q205" s="2190"/>
      <c r="R205" s="2191" t="str">
        <f>IMAGE("https://raw.githubusercontent.com/msikma/pokesprite/master/items/hold-item/magnet.png",3)</f>
        <v/>
      </c>
      <c r="T205" s="2188" t="s">
        <v>177</v>
      </c>
      <c r="U205" s="2189"/>
      <c r="V205" s="2190"/>
      <c r="W205" s="2191" t="str">
        <f>IMAGE("https://raw.githubusercontent.com/msikma/pokesprite/master/items/hold-item/air-balloon.png",3)</f>
        <v/>
      </c>
      <c r="Y205" s="2188" t="s">
        <v>626</v>
      </c>
      <c r="Z205" s="2189"/>
      <c r="AA205" s="2190"/>
      <c r="AB205" s="2191" t="str">
        <f>IMAGE("https://raw.githubusercontent.com/msikma/pokesprite/master/items/hold-item/white-herb.png",3)</f>
        <v/>
      </c>
      <c r="AD205" s="2188" t="s">
        <v>653</v>
      </c>
      <c r="AE205" s="2189"/>
      <c r="AF205" s="2190"/>
      <c r="AG205" s="2191" t="str">
        <f>IMAGE("https://raw.githubusercontent.com/msikma/pokesprite/master/items/mega-stone/aggronite.png",3)</f>
        <v/>
      </c>
      <c r="AH205" s="2145"/>
      <c r="AI205" s="1456"/>
    </row>
    <row r="206" ht="20.25" customHeight="1">
      <c r="A206" s="1468"/>
      <c r="B206" s="2133"/>
      <c r="C206" s="2192"/>
      <c r="D206" s="2240"/>
      <c r="E206" s="2182" t="s">
        <v>180</v>
      </c>
      <c r="F206" s="2183"/>
      <c r="G206" s="2183"/>
      <c r="H206" s="2193" t="str">
        <f>IMAGE("https://raw.githubusercontent.com/msikma/pokesprite/master/misc/types/gen8/steel.png",4,20,20)</f>
        <v/>
      </c>
      <c r="J206" s="2182" t="s">
        <v>654</v>
      </c>
      <c r="K206" s="2183"/>
      <c r="L206" s="2183"/>
      <c r="M206" s="2193" t="str">
        <f>IMAGE("https://raw.githubusercontent.com/msikma/pokesprite/master/misc/types/gen8/steel.png",4,20,20)</f>
        <v/>
      </c>
      <c r="O206" s="2182" t="s">
        <v>277</v>
      </c>
      <c r="P206" s="2183"/>
      <c r="Q206" s="2183"/>
      <c r="R206" s="2193" t="str">
        <f t="shared" ref="R206:R207" si="16">IMAGE("https://raw.githubusercontent.com/msikma/pokesprite/master/misc/types/gen8/electric.png",4,20,20)</f>
        <v/>
      </c>
      <c r="T206" s="2182" t="s">
        <v>402</v>
      </c>
      <c r="U206" s="2183"/>
      <c r="V206" s="2183"/>
      <c r="W206" s="2193" t="str">
        <f>IMAGE("https://raw.githubusercontent.com/msikma/pokesprite/master/misc/types/gen8/ground.png",4,20,20)</f>
        <v/>
      </c>
      <c r="Y206" s="2182" t="s">
        <v>428</v>
      </c>
      <c r="Z206" s="2183"/>
      <c r="AA206" s="2183"/>
      <c r="AB206" s="2193" t="str">
        <f>IMAGE("https://raw.githubusercontent.com/msikma/pokesprite/master/misc/types/gen8/normal.png",4,20,20)</f>
        <v/>
      </c>
      <c r="AD206" s="2182" t="s">
        <v>655</v>
      </c>
      <c r="AE206" s="2183"/>
      <c r="AF206" s="2183"/>
      <c r="AG206" s="2193" t="str">
        <f>IMAGE("https://raw.githubusercontent.com/msikma/pokesprite/master/misc/types/gen8/steel.png",4,20,20)</f>
        <v/>
      </c>
      <c r="AH206" s="2145"/>
      <c r="AI206" s="1456"/>
    </row>
    <row r="207" ht="20.25" customHeight="1">
      <c r="A207" s="1468"/>
      <c r="B207" s="2133"/>
      <c r="C207" s="2134"/>
      <c r="D207" s="2174"/>
      <c r="E207" s="2186" t="s">
        <v>402</v>
      </c>
      <c r="F207" s="2156"/>
      <c r="G207" s="2156"/>
      <c r="H207" s="2194" t="str">
        <f>IMAGE("https://raw.githubusercontent.com/msikma/pokesprite/master/misc/types/gen8/ground.png",4,20,20)</f>
        <v/>
      </c>
      <c r="J207" s="2186" t="s">
        <v>402</v>
      </c>
      <c r="K207" s="2156"/>
      <c r="L207" s="2156"/>
      <c r="M207" s="2194" t="str">
        <f>IMAGE("https://raw.githubusercontent.com/msikma/pokesprite/master/misc/types/gen8/ground.png",4,20,20)</f>
        <v/>
      </c>
      <c r="O207" s="2186" t="s">
        <v>242</v>
      </c>
      <c r="P207" s="2156"/>
      <c r="Q207" s="2156"/>
      <c r="R207" s="2194" t="str">
        <f t="shared" si="16"/>
        <v/>
      </c>
      <c r="T207" s="2186" t="s">
        <v>610</v>
      </c>
      <c r="U207" s="2156"/>
      <c r="V207" s="2156"/>
      <c r="W207" s="2194" t="str">
        <f>IMAGE("https://raw.githubusercontent.com/msikma/pokesprite/master/misc/types/gen8/rock.png",4,20,20)</f>
        <v/>
      </c>
      <c r="Y207" s="2186" t="s">
        <v>656</v>
      </c>
      <c r="Z207" s="2156"/>
      <c r="AA207" s="2156"/>
      <c r="AB207" s="2194" t="str">
        <f>IMAGE("https://raw.githubusercontent.com/msikma/pokesprite/master/misc/types/gen8/steel.png",4,20,20)</f>
        <v/>
      </c>
      <c r="AD207" s="2186" t="s">
        <v>402</v>
      </c>
      <c r="AE207" s="2156"/>
      <c r="AF207" s="2156"/>
      <c r="AG207" s="2194" t="str">
        <f>IMAGE("https://raw.githubusercontent.com/msikma/pokesprite/master/misc/types/gen8/ground.png",4,20,20)</f>
        <v/>
      </c>
      <c r="AH207" s="2145"/>
      <c r="AI207" s="1456"/>
    </row>
    <row r="208" ht="20.25" customHeight="1">
      <c r="A208" s="1468"/>
      <c r="B208" s="2133"/>
      <c r="C208" s="2134"/>
      <c r="D208" s="2174"/>
      <c r="E208" s="2186" t="s">
        <v>395</v>
      </c>
      <c r="F208" s="2156"/>
      <c r="G208" s="2156"/>
      <c r="H208" s="2194" t="str">
        <f>IMAGE("https://raw.githubusercontent.com/msikma/pokesprite/master/misc/types/gen8/rock.png",4,20,20)</f>
        <v/>
      </c>
      <c r="J208" s="2186" t="s">
        <v>249</v>
      </c>
      <c r="K208" s="2156"/>
      <c r="L208" s="2156"/>
      <c r="M208" s="2194" t="str">
        <f>IMAGE("https://raw.githubusercontent.com/msikma/pokesprite/master/misc/types/gen8/electric.png",4,20,20)</f>
        <v/>
      </c>
      <c r="O208" s="2186" t="s">
        <v>404</v>
      </c>
      <c r="P208" s="2156"/>
      <c r="Q208" s="2156"/>
      <c r="R208" s="2194" t="str">
        <f>IMAGE("https://raw.githubusercontent.com/msikma/pokesprite/master/misc/types/gen8/steel.png",4,20,20)</f>
        <v/>
      </c>
      <c r="T208" s="2186" t="s">
        <v>407</v>
      </c>
      <c r="U208" s="2156"/>
      <c r="V208" s="2156"/>
      <c r="W208" s="2194" t="str">
        <f>IMAGE("https://raw.githubusercontent.com/msikma/pokesprite/master/misc/types/gen8/steel.png",4,20,20)</f>
        <v/>
      </c>
      <c r="Y208" s="2186" t="s">
        <v>657</v>
      </c>
      <c r="Z208" s="2156"/>
      <c r="AA208" s="2156"/>
      <c r="AB208" s="2194" t="str">
        <f>IMAGE("https://raw.githubusercontent.com/msikma/pokesprite/master/misc/types/gen8/water.png",4,20,20)</f>
        <v/>
      </c>
      <c r="AD208" s="2186" t="s">
        <v>403</v>
      </c>
      <c r="AE208" s="2156"/>
      <c r="AF208" s="2156"/>
      <c r="AG208" s="2194" t="str">
        <f>IMAGE("https://raw.githubusercontent.com/msikma/pokesprite/master/misc/types/gen8/fire.png",4,20,20)</f>
        <v/>
      </c>
      <c r="AH208" s="2145"/>
      <c r="AI208" s="1456"/>
    </row>
    <row r="209" ht="21.0" customHeight="1">
      <c r="A209" s="1468"/>
      <c r="B209" s="2133"/>
      <c r="C209" s="2134"/>
      <c r="D209" s="2174"/>
      <c r="E209" s="2195" t="s">
        <v>288</v>
      </c>
      <c r="F209" s="2196"/>
      <c r="G209" s="2196"/>
      <c r="H209" s="2197" t="str">
        <f>IMAGE("https://raw.githubusercontent.com/msikma/pokesprite/master/misc/types/gen8/normal.png",4,20,20)</f>
        <v/>
      </c>
      <c r="I209" s="2150"/>
      <c r="J209" s="2195" t="s">
        <v>463</v>
      </c>
      <c r="K209" s="2196"/>
      <c r="L209" s="2196"/>
      <c r="M209" s="2197" t="str">
        <f>IMAGE("https://raw.githubusercontent.com/msikma/pokesprite/master/misc/types/gen8/fighting.png",4,20,20)</f>
        <v/>
      </c>
      <c r="N209" s="2150"/>
      <c r="O209" s="2195" t="s">
        <v>287</v>
      </c>
      <c r="P209" s="2196"/>
      <c r="Q209" s="2196"/>
      <c r="R209" s="2197" t="str">
        <f>IMAGE("https://raw.githubusercontent.com/msikma/pokesprite/master/misc/types/gen8/fire.png",4,20,20)</f>
        <v/>
      </c>
      <c r="S209" s="2150"/>
      <c r="T209" s="2195" t="s">
        <v>489</v>
      </c>
      <c r="U209" s="2196"/>
      <c r="V209" s="2196"/>
      <c r="W209" s="2197" t="str">
        <f>IMAGE("https://raw.githubusercontent.com/msikma/pokesprite/master/misc/types/gen8/normal.png",4,20,20)</f>
        <v/>
      </c>
      <c r="X209" s="2150"/>
      <c r="Y209" s="2195" t="s">
        <v>606</v>
      </c>
      <c r="Z209" s="2196"/>
      <c r="AA209" s="2196"/>
      <c r="AB209" s="2197" t="str">
        <f>IMAGE("https://raw.githubusercontent.com/msikma/pokesprite/master/misc/types/gen8/fighting.png",4,20,20)</f>
        <v/>
      </c>
      <c r="AC209" s="2150"/>
      <c r="AD209" s="2195" t="s">
        <v>463</v>
      </c>
      <c r="AE209" s="2196"/>
      <c r="AF209" s="2196"/>
      <c r="AG209" s="2197" t="str">
        <f>IMAGE("https://raw.githubusercontent.com/msikma/pokesprite/master/misc/types/gen8/fighting.png",4,20,20)</f>
        <v/>
      </c>
      <c r="AH209" s="2145"/>
      <c r="AI209" s="1456"/>
    </row>
    <row r="210" ht="3.0" customHeight="1">
      <c r="A210" s="1468"/>
      <c r="B210" s="2198"/>
      <c r="C210" s="2199"/>
      <c r="D210" s="2200"/>
      <c r="E210" s="2090"/>
      <c r="F210" s="2090"/>
      <c r="G210" s="2090"/>
      <c r="H210" s="2090"/>
      <c r="I210" s="2200"/>
      <c r="J210" s="2090"/>
      <c r="K210" s="2090"/>
      <c r="L210" s="2090"/>
      <c r="M210" s="2090"/>
      <c r="N210" s="2200"/>
      <c r="O210" s="2090"/>
      <c r="P210" s="2090"/>
      <c r="Q210" s="2090"/>
      <c r="R210" s="2090"/>
      <c r="S210" s="2200"/>
      <c r="T210" s="2090"/>
      <c r="U210" s="2090"/>
      <c r="V210" s="2090"/>
      <c r="W210" s="2090"/>
      <c r="X210" s="2200"/>
      <c r="Y210" s="2091"/>
      <c r="Z210" s="2092"/>
      <c r="AA210" s="2092"/>
      <c r="AB210" s="2093"/>
      <c r="AC210" s="2200"/>
      <c r="AD210" s="2094"/>
      <c r="AE210" s="2094"/>
      <c r="AF210" s="2094"/>
      <c r="AG210" s="2094"/>
      <c r="AH210" s="2201"/>
      <c r="AI210" s="1533"/>
    </row>
    <row r="211" ht="16.5" customHeight="1">
      <c r="A211" s="1468"/>
      <c r="B211" s="2202"/>
      <c r="C211" s="2199"/>
      <c r="D211" s="2203"/>
      <c r="E211" s="2204" t="s">
        <v>190</v>
      </c>
      <c r="F211" s="381"/>
      <c r="G211" s="382"/>
      <c r="H211" s="2205" t="s">
        <v>191</v>
      </c>
      <c r="I211" s="2203"/>
      <c r="J211" s="2204" t="s">
        <v>190</v>
      </c>
      <c r="K211" s="381"/>
      <c r="L211" s="382"/>
      <c r="M211" s="2205" t="s">
        <v>191</v>
      </c>
      <c r="N211" s="2203"/>
      <c r="O211" s="2204" t="s">
        <v>190</v>
      </c>
      <c r="P211" s="381"/>
      <c r="Q211" s="382"/>
      <c r="R211" s="2205" t="s">
        <v>191</v>
      </c>
      <c r="S211" s="2203"/>
      <c r="T211" s="2204" t="s">
        <v>190</v>
      </c>
      <c r="U211" s="381"/>
      <c r="V211" s="382"/>
      <c r="W211" s="2205" t="s">
        <v>191</v>
      </c>
      <c r="X211" s="2203"/>
      <c r="Y211" s="2204" t="s">
        <v>190</v>
      </c>
      <c r="Z211" s="381"/>
      <c r="AA211" s="382"/>
      <c r="AB211" s="2205" t="s">
        <v>191</v>
      </c>
      <c r="AC211" s="2203"/>
      <c r="AD211" s="2204" t="s">
        <v>190</v>
      </c>
      <c r="AE211" s="381"/>
      <c r="AF211" s="382"/>
      <c r="AG211" s="2205" t="s">
        <v>191</v>
      </c>
      <c r="AH211" s="2206"/>
      <c r="AI211" s="1542"/>
    </row>
    <row r="212" ht="15.75" customHeight="1">
      <c r="A212" s="1468"/>
      <c r="B212" s="2202"/>
      <c r="C212" s="2199"/>
      <c r="D212" s="2203"/>
      <c r="E212" s="2207" t="s">
        <v>192</v>
      </c>
      <c r="F212" s="2208">
        <f t="array" ref="F212">IFERROR(VLOOKUP(E199,Dex!$B$3:$N244,8,FALSE),"")</f>
        <v>67</v>
      </c>
      <c r="G212" s="2209" t="str">
        <f t="array" ref="G212">IFERROR(VLOOKUP(F212,Dex!$P$22:$Q$276,2,FALSE),"")</f>
        <v/>
      </c>
      <c r="H212" s="2210">
        <v>252.0</v>
      </c>
      <c r="I212" s="2211"/>
      <c r="J212" s="2207" t="s">
        <v>192</v>
      </c>
      <c r="K212" s="2208">
        <f t="array" ref="K212">IFERROR(VLOOKUP(J199,Dex!$B$3:$N244,8,FALSE),"")</f>
        <v>135</v>
      </c>
      <c r="L212" s="2209" t="str">
        <f t="array" ref="L212">IFERROR(VLOOKUP(K212,Dex!$P$22:$Q$276,2,FALSE),"")</f>
        <v/>
      </c>
      <c r="M212" s="2210">
        <v>252.0</v>
      </c>
      <c r="N212" s="2211"/>
      <c r="O212" s="2207" t="s">
        <v>192</v>
      </c>
      <c r="P212" s="2208">
        <f t="array" ref="P212">IFERROR(VLOOKUP(O199,Dex!$B$3:$N244,8,FALSE),"")</f>
        <v>70</v>
      </c>
      <c r="Q212" s="2209" t="str">
        <f t="array" ref="Q212">IFERROR(VLOOKUP(P212,Dex!$P$22:$Q$276,2,FALSE),"")</f>
        <v/>
      </c>
      <c r="R212" s="2210"/>
      <c r="S212" s="2211"/>
      <c r="T212" s="2207" t="s">
        <v>192</v>
      </c>
      <c r="U212" s="2208">
        <f t="array" ref="U212">IFERROR(VLOOKUP(T199,Dex!$B$3:$N244,8,FALSE),"")</f>
        <v>110</v>
      </c>
      <c r="V212" s="2209" t="str">
        <f t="array" ref="V212">IFERROR(VLOOKUP(U212,Dex!$P$22:$Q$276,2,FALSE),"")</f>
        <v/>
      </c>
      <c r="W212" s="2210"/>
      <c r="X212" s="2211"/>
      <c r="Y212" s="2207" t="s">
        <v>192</v>
      </c>
      <c r="Z212" s="2208">
        <f t="array" ref="Z212">IFERROR(VLOOKUP(Y199,Dex!$B$3:$N244,8,FALSE),"")</f>
        <v>95</v>
      </c>
      <c r="AA212" s="2209" t="str">
        <f t="array" ref="AA212">IFERROR(VLOOKUP(Z212,Dex!$P$22:$Q$276,2,FALSE),"")</f>
        <v/>
      </c>
      <c r="AB212" s="2210"/>
      <c r="AC212" s="2211"/>
      <c r="AD212" s="2207" t="s">
        <v>192</v>
      </c>
      <c r="AE212" s="2208">
        <f t="array" ref="AE212">IFERROR(VLOOKUP(AD199,Dex!$B$3:$N244,8,FALSE),"")</f>
        <v>70</v>
      </c>
      <c r="AF212" s="2209" t="str">
        <f t="array" ref="AF212">IFERROR(VLOOKUP(AE212,Dex!$P$22:$Q$276,2,FALSE),"")</f>
        <v/>
      </c>
      <c r="AG212" s="2210">
        <v>252.0</v>
      </c>
      <c r="AH212" s="2212"/>
      <c r="AI212" s="1542"/>
    </row>
    <row r="213" ht="15.75" customHeight="1">
      <c r="A213" s="1468"/>
      <c r="B213" s="2202"/>
      <c r="C213" s="2199"/>
      <c r="D213" s="2203"/>
      <c r="E213" s="2213" t="s">
        <v>193</v>
      </c>
      <c r="F213" s="2214">
        <f t="array" ref="F213">IFERROR(VLOOKUP(E199,Dex!$B$3:$N244,9,FALSE),"")</f>
        <v>89</v>
      </c>
      <c r="G213" s="2215" t="str">
        <f t="array" ref="G213">IFERROR(VLOOKUP(F213,Dex!$P$22:$Q$276,2,FALSE),"")</f>
        <v/>
      </c>
      <c r="H213" s="2216"/>
      <c r="I213" s="2211"/>
      <c r="J213" s="2213" t="s">
        <v>193</v>
      </c>
      <c r="K213" s="2214">
        <f t="array" ref="K213">IFERROR(VLOOKUP(J199,Dex!$B$3:$N244,9,FALSE),"")</f>
        <v>143</v>
      </c>
      <c r="L213" s="2215" t="str">
        <f t="array" ref="L213">IFERROR(VLOOKUP(K213,Dex!$P$22:$Q$276,2,FALSE),"")</f>
        <v/>
      </c>
      <c r="M213" s="2216">
        <v>252.0</v>
      </c>
      <c r="N213" s="2211"/>
      <c r="O213" s="2213" t="s">
        <v>193</v>
      </c>
      <c r="P213" s="2214">
        <f t="array" ref="P213">IFERROR(VLOOKUP(O199,Dex!$B$3:$N244,9,FALSE),"")</f>
        <v>70</v>
      </c>
      <c r="Q213" s="2215" t="str">
        <f t="array" ref="Q213">IFERROR(VLOOKUP(P213,Dex!$P$22:$Q$276,2,FALSE),"")</f>
        <v/>
      </c>
      <c r="R213" s="2216"/>
      <c r="S213" s="2211"/>
      <c r="T213" s="2213" t="s">
        <v>193</v>
      </c>
      <c r="U213" s="2214">
        <f t="array" ref="U213">IFERROR(VLOOKUP(T199,Dex!$B$3:$N244,9,FALSE),"")</f>
        <v>135</v>
      </c>
      <c r="V213" s="2215" t="str">
        <f t="array" ref="V213">IFERROR(VLOOKUP(U213,Dex!$P$22:$Q$276,2,FALSE),"")</f>
        <v/>
      </c>
      <c r="W213" s="2216">
        <v>252.0</v>
      </c>
      <c r="X213" s="2211"/>
      <c r="Y213" s="2213" t="s">
        <v>193</v>
      </c>
      <c r="Z213" s="2214">
        <f t="array" ref="Z213">IFERROR(VLOOKUP(Y199,Dex!$B$3:$N244,9,FALSE),"")</f>
        <v>108</v>
      </c>
      <c r="AA213" s="2215" t="str">
        <f t="array" ref="AA213">IFERROR(VLOOKUP(Z213,Dex!$P$22:$Q$276,2,FALSE),"")</f>
        <v/>
      </c>
      <c r="AB213" s="2216">
        <v>252.0</v>
      </c>
      <c r="AC213" s="2211"/>
      <c r="AD213" s="2213" t="s">
        <v>193</v>
      </c>
      <c r="AE213" s="2214">
        <f t="array" ref="AE213">IFERROR(VLOOKUP(AD199,Dex!$B$3:$N244,9,FALSE),"")</f>
        <v>140</v>
      </c>
      <c r="AF213" s="2215" t="str">
        <f t="array" ref="AF213">IFERROR(VLOOKUP(AE213,Dex!$P$22:$Q$276,2,FALSE),"")</f>
        <v/>
      </c>
      <c r="AG213" s="2216">
        <v>252.0</v>
      </c>
      <c r="AH213" s="2212"/>
      <c r="AI213" s="1542"/>
    </row>
    <row r="214" ht="15.75" customHeight="1">
      <c r="A214" s="1468"/>
      <c r="B214" s="2202"/>
      <c r="C214" s="2199"/>
      <c r="D214" s="2203"/>
      <c r="E214" s="2213" t="s">
        <v>194</v>
      </c>
      <c r="F214" s="2214">
        <f t="array" ref="F214">IFERROR(VLOOKUP(E199,Dex!$B$3:$N244,10,FALSE),"")</f>
        <v>116</v>
      </c>
      <c r="G214" s="2215" t="str">
        <f t="array" ref="G214">IFERROR(VLOOKUP(F214,Dex!$P$22:$Q$276,2,FALSE),"")</f>
        <v/>
      </c>
      <c r="H214" s="2216">
        <v>252.0</v>
      </c>
      <c r="I214" s="2211"/>
      <c r="J214" s="2213" t="s">
        <v>194</v>
      </c>
      <c r="K214" s="2214">
        <f t="array" ref="K214">IFERROR(VLOOKUP(J199,Dex!$B$3:$N244,10,FALSE),"")</f>
        <v>143</v>
      </c>
      <c r="L214" s="2215" t="str">
        <f t="array" ref="L214">IFERROR(VLOOKUP(K214,Dex!$P$22:$Q$276,2,FALSE),"")</f>
        <v/>
      </c>
      <c r="M214" s="2216"/>
      <c r="N214" s="2211"/>
      <c r="O214" s="2213" t="s">
        <v>194</v>
      </c>
      <c r="P214" s="2214">
        <f t="array" ref="P214">IFERROR(VLOOKUP(O199,Dex!$B$3:$N244,10,FALSE),"")</f>
        <v>115</v>
      </c>
      <c r="Q214" s="2215" t="str">
        <f t="array" ref="Q214">IFERROR(VLOOKUP(P214,Dex!$P$22:$Q$276,2,FALSE),"")</f>
        <v/>
      </c>
      <c r="R214" s="2216"/>
      <c r="S214" s="2211"/>
      <c r="T214" s="2213" t="s">
        <v>194</v>
      </c>
      <c r="U214" s="2214">
        <f t="array" ref="U214">IFERROR(VLOOKUP(T199,Dex!$B$3:$N244,10,FALSE),"")</f>
        <v>60</v>
      </c>
      <c r="V214" s="2215" t="str">
        <f t="array" ref="V214">IFERROR(VLOOKUP(U214,Dex!$P$22:$Q$276,2,FALSE),"")</f>
        <v/>
      </c>
      <c r="W214" s="2216"/>
      <c r="X214" s="2211"/>
      <c r="Y214" s="2213" t="s">
        <v>194</v>
      </c>
      <c r="Z214" s="2214">
        <f t="array" ref="Z214">IFERROR(VLOOKUP(Y199,Dex!$B$3:$N244,10,FALSE),"")</f>
        <v>85</v>
      </c>
      <c r="AA214" s="2215" t="str">
        <f t="array" ref="AA214">IFERROR(VLOOKUP(Z214,Dex!$P$22:$Q$276,2,FALSE),"")</f>
        <v/>
      </c>
      <c r="AB214" s="2216">
        <v>4.0</v>
      </c>
      <c r="AC214" s="2211"/>
      <c r="AD214" s="2213" t="s">
        <v>194</v>
      </c>
      <c r="AE214" s="2214">
        <f t="array" ref="AE214">IFERROR(VLOOKUP(AD199,Dex!$B$3:$N244,10,FALSE),"")</f>
        <v>230</v>
      </c>
      <c r="AF214" s="2215" t="str">
        <f t="array" ref="AF214">IFERROR(VLOOKUP(AE214,Dex!$P$22:$Q$276,2,FALSE),"")</f>
        <v/>
      </c>
      <c r="AG214" s="2216">
        <v>4.0</v>
      </c>
      <c r="AH214" s="2212"/>
      <c r="AI214" s="1542"/>
    </row>
    <row r="215" ht="15.75" customHeight="1">
      <c r="A215" s="1468"/>
      <c r="B215" s="2202"/>
      <c r="C215" s="2199"/>
      <c r="D215" s="2203"/>
      <c r="E215" s="2213" t="s">
        <v>195</v>
      </c>
      <c r="F215" s="2214">
        <f t="array" ref="F215">IFERROR(VLOOKUP(E199,Dex!$B$3:$N244,11,FALSE),"")</f>
        <v>79</v>
      </c>
      <c r="G215" s="2215" t="str">
        <f t="array" ref="G215">IFERROR(VLOOKUP(F215,Dex!$P$22:$Q$276,2,FALSE),"")</f>
        <v/>
      </c>
      <c r="H215" s="2216"/>
      <c r="I215" s="2211"/>
      <c r="J215" s="2213" t="s">
        <v>195</v>
      </c>
      <c r="K215" s="2214">
        <f t="array" ref="K215">IFERROR(VLOOKUP(J199,Dex!$B$3:$N244,11,FALSE),"")</f>
        <v>80</v>
      </c>
      <c r="L215" s="2215" t="str">
        <f t="array" ref="L215">IFERROR(VLOOKUP(K215,Dex!$P$22:$Q$276,2,FALSE),"")</f>
        <v/>
      </c>
      <c r="M215" s="2216"/>
      <c r="N215" s="2211"/>
      <c r="O215" s="2213" t="s">
        <v>195</v>
      </c>
      <c r="P215" s="2214">
        <f t="array" ref="P215">IFERROR(VLOOKUP(O199,Dex!$B$3:$N244,11,FALSE),"")</f>
        <v>130</v>
      </c>
      <c r="Q215" s="2215" t="str">
        <f t="array" ref="Q215">IFERROR(VLOOKUP(P215,Dex!$P$22:$Q$276,2,FALSE),"")</f>
        <v/>
      </c>
      <c r="R215" s="2216">
        <v>252.0</v>
      </c>
      <c r="S215" s="2211"/>
      <c r="T215" s="2213" t="s">
        <v>195</v>
      </c>
      <c r="U215" s="2214">
        <f t="array" ref="U215">IFERROR(VLOOKUP(T199,Dex!$B$3:$N244,11,FALSE),"")</f>
        <v>50</v>
      </c>
      <c r="V215" s="2215" t="str">
        <f t="array" ref="V215">IFERROR(VLOOKUP(U215,Dex!$P$22:$Q$276,2,FALSE),"")</f>
        <v/>
      </c>
      <c r="W215" s="2216"/>
      <c r="X215" s="2211"/>
      <c r="Y215" s="2213" t="s">
        <v>195</v>
      </c>
      <c r="Z215" s="2214">
        <f t="array" ref="Z215">IFERROR(VLOOKUP(Y199,Dex!$B$3:$N244,11,FALSE),"")</f>
        <v>95</v>
      </c>
      <c r="AA215" s="2215" t="str">
        <f t="array" ref="AA215">IFERROR(VLOOKUP(Z215,Dex!$P$22:$Q$276,2,FALSE),"")</f>
        <v/>
      </c>
      <c r="AB215" s="2216"/>
      <c r="AC215" s="2211"/>
      <c r="AD215" s="2213" t="s">
        <v>195</v>
      </c>
      <c r="AE215" s="2214">
        <f t="array" ref="AE215">IFERROR(VLOOKUP(AD199,Dex!$B$3:$N244,11,FALSE),"")</f>
        <v>60</v>
      </c>
      <c r="AF215" s="2215" t="str">
        <f t="array" ref="AF215">IFERROR(VLOOKUP(AE215,Dex!$P$22:$Q$276,2,FALSE),"")</f>
        <v/>
      </c>
      <c r="AG215" s="2216"/>
      <c r="AH215" s="2212"/>
      <c r="AI215" s="1542"/>
    </row>
    <row r="216" ht="15.75" customHeight="1">
      <c r="A216" s="1468"/>
      <c r="B216" s="2202"/>
      <c r="C216" s="2199"/>
      <c r="D216" s="2203"/>
      <c r="E216" s="2213" t="s">
        <v>196</v>
      </c>
      <c r="F216" s="2214">
        <f t="array" ref="F216">IFERROR(VLOOKUP(E199,Dex!$B$3:$N244,12,FALSE),"")</f>
        <v>116</v>
      </c>
      <c r="G216" s="2215" t="str">
        <f t="array" ref="G216">IFERROR(VLOOKUP(F216,Dex!$P$22:$Q$276,2,FALSE),"")</f>
        <v/>
      </c>
      <c r="H216" s="2216">
        <v>4.0</v>
      </c>
      <c r="I216" s="2211"/>
      <c r="J216" s="2213" t="s">
        <v>196</v>
      </c>
      <c r="K216" s="2214">
        <f t="array" ref="K216">IFERROR(VLOOKUP(J199,Dex!$B$3:$N244,12,FALSE),"")</f>
        <v>65</v>
      </c>
      <c r="L216" s="2215" t="str">
        <f t="array" ref="L216">IFERROR(VLOOKUP(K216,Dex!$P$22:$Q$276,2,FALSE),"")</f>
        <v/>
      </c>
      <c r="M216" s="2216">
        <v>4.0</v>
      </c>
      <c r="N216" s="2211"/>
      <c r="O216" s="2213" t="s">
        <v>196</v>
      </c>
      <c r="P216" s="2214">
        <f t="array" ref="P216">IFERROR(VLOOKUP(O199,Dex!$B$3:$N244,12,FALSE),"")</f>
        <v>90</v>
      </c>
      <c r="Q216" s="2215" t="str">
        <f t="array" ref="Q216">IFERROR(VLOOKUP(P216,Dex!$P$22:$Q$276,2,FALSE),"")</f>
        <v/>
      </c>
      <c r="R216" s="2216">
        <v>4.0</v>
      </c>
      <c r="S216" s="2211"/>
      <c r="T216" s="2213" t="s">
        <v>196</v>
      </c>
      <c r="U216" s="2214">
        <f t="array" ref="U216">IFERROR(VLOOKUP(T199,Dex!$B$3:$N244,12,FALSE),"")</f>
        <v>65</v>
      </c>
      <c r="V216" s="2215" t="str">
        <f t="array" ref="V216">IFERROR(VLOOKUP(U216,Dex!$P$22:$Q$276,2,FALSE),"")</f>
        <v/>
      </c>
      <c r="W216" s="2216">
        <v>4.0</v>
      </c>
      <c r="X216" s="2211"/>
      <c r="Y216" s="2213" t="s">
        <v>196</v>
      </c>
      <c r="Z216" s="2214">
        <f t="array" ref="Z216">IFERROR(VLOOKUP(Y199,Dex!$B$3:$N244,12,FALSE),"")</f>
        <v>70</v>
      </c>
      <c r="AA216" s="2215" t="str">
        <f t="array" ref="AA216">IFERROR(VLOOKUP(Z216,Dex!$P$22:$Q$276,2,FALSE),"")</f>
        <v/>
      </c>
      <c r="AB216" s="2216"/>
      <c r="AC216" s="2211"/>
      <c r="AD216" s="2213" t="s">
        <v>196</v>
      </c>
      <c r="AE216" s="2214">
        <f t="array" ref="AE216">IFERROR(VLOOKUP(AD199,Dex!$B$3:$N244,12,FALSE),"")</f>
        <v>80</v>
      </c>
      <c r="AF216" s="2215" t="str">
        <f t="array" ref="AF216">IFERROR(VLOOKUP(AE216,Dex!$P$22:$Q$276,2,FALSE),"")</f>
        <v/>
      </c>
      <c r="AG216" s="2216"/>
      <c r="AH216" s="2212"/>
      <c r="AI216" s="1542"/>
    </row>
    <row r="217" ht="15.75" customHeight="1">
      <c r="A217" s="1468"/>
      <c r="B217" s="2202"/>
      <c r="C217" s="1204" t="s">
        <v>436</v>
      </c>
      <c r="D217" s="2203"/>
      <c r="E217" s="2217" t="s">
        <v>197</v>
      </c>
      <c r="F217" s="2218">
        <f t="array" ref="F217">IFERROR(VLOOKUP(E199,Dex!$B$3:$N244,13,FALSE),"")</f>
        <v>33</v>
      </c>
      <c r="G217" s="2219" t="str">
        <f t="array" ref="G217">IFERROR(VLOOKUP(F217,Dex!$P$22:$Q$276,2,FALSE),"")</f>
        <v/>
      </c>
      <c r="H217" s="2220"/>
      <c r="I217" s="2211"/>
      <c r="J217" s="2217" t="s">
        <v>197</v>
      </c>
      <c r="K217" s="2218">
        <f t="array" ref="K217">IFERROR(VLOOKUP(J199,Dex!$B$3:$N244,13,FALSE),"")</f>
        <v>34</v>
      </c>
      <c r="L217" s="2219" t="str">
        <f t="array" ref="L217">IFERROR(VLOOKUP(K217,Dex!$P$22:$Q$276,2,FALSE),"")</f>
        <v/>
      </c>
      <c r="M217" s="2220"/>
      <c r="N217" s="2211"/>
      <c r="O217" s="2217" t="s">
        <v>197</v>
      </c>
      <c r="P217" s="2218">
        <f t="array" ref="P217">IFERROR(VLOOKUP(O199,Dex!$B$3:$N244,13,FALSE),"")</f>
        <v>60</v>
      </c>
      <c r="Q217" s="2219" t="str">
        <f t="array" ref="Q217">IFERROR(VLOOKUP(P217,Dex!$P$22:$Q$276,2,FALSE),"")</f>
        <v/>
      </c>
      <c r="R217" s="2220">
        <v>252.0</v>
      </c>
      <c r="S217" s="2211"/>
      <c r="T217" s="2217" t="s">
        <v>197</v>
      </c>
      <c r="U217" s="2218">
        <f t="array" ref="U217">IFERROR(VLOOKUP(T199,Dex!$B$3:$N244,13,FALSE),"")</f>
        <v>88</v>
      </c>
      <c r="V217" s="2219" t="str">
        <f t="array" ref="V217">IFERROR(VLOOKUP(U217,Dex!$P$22:$Q$276,2,FALSE),"")</f>
        <v/>
      </c>
      <c r="W217" s="2220">
        <v>252.0</v>
      </c>
      <c r="X217" s="2211"/>
      <c r="Y217" s="2217" t="s">
        <v>197</v>
      </c>
      <c r="Z217" s="2218">
        <f t="array" ref="Z217">IFERROR(VLOOKUP(Y199,Dex!$B$3:$N244,13,FALSE),"")</f>
        <v>90</v>
      </c>
      <c r="AA217" s="2219" t="str">
        <f t="array" ref="AA217">IFERROR(VLOOKUP(Z217,Dex!$P$22:$Q$276,2,FALSE),"")</f>
        <v/>
      </c>
      <c r="AB217" s="2220">
        <v>252.0</v>
      </c>
      <c r="AC217" s="2211"/>
      <c r="AD217" s="2217" t="s">
        <v>197</v>
      </c>
      <c r="AE217" s="2218">
        <f t="array" ref="AE217">IFERROR(VLOOKUP(AD199,Dex!$B$3:$N244,13,FALSE),"")</f>
        <v>50</v>
      </c>
      <c r="AF217" s="2219" t="str">
        <f t="array" ref="AF217">IFERROR(VLOOKUP(AE217,Dex!$P$22:$Q$276,2,FALSE),"")</f>
        <v/>
      </c>
      <c r="AG217" s="2220"/>
      <c r="AH217" s="2212"/>
      <c r="AI217" s="1542"/>
    </row>
    <row r="218" ht="16.5" customHeight="1">
      <c r="A218" s="1468"/>
      <c r="B218" s="2202"/>
      <c r="C218" s="1205" t="s">
        <v>641</v>
      </c>
      <c r="D218" s="2203"/>
      <c r="E218" s="2221" t="s">
        <v>198</v>
      </c>
      <c r="F218" s="405"/>
      <c r="G218" s="406"/>
      <c r="H218" s="2222">
        <v>45.0</v>
      </c>
      <c r="I218" s="2203"/>
      <c r="J218" s="2221" t="s">
        <v>198</v>
      </c>
      <c r="K218" s="405"/>
      <c r="L218" s="406"/>
      <c r="M218" s="2222">
        <v>75.0</v>
      </c>
      <c r="N218" s="2203"/>
      <c r="O218" s="2221" t="s">
        <v>198</v>
      </c>
      <c r="P218" s="405"/>
      <c r="Q218" s="406"/>
      <c r="R218" s="2222">
        <v>156.0</v>
      </c>
      <c r="S218" s="2203"/>
      <c r="T218" s="2221" t="s">
        <v>198</v>
      </c>
      <c r="U218" s="405"/>
      <c r="V218" s="406"/>
      <c r="W218" s="2222">
        <v>215.0</v>
      </c>
      <c r="X218" s="2203"/>
      <c r="Y218" s="2221" t="s">
        <v>198</v>
      </c>
      <c r="Z218" s="405"/>
      <c r="AA218" s="406"/>
      <c r="AB218" s="2222">
        <v>218.0</v>
      </c>
      <c r="AC218" s="2203"/>
      <c r="AD218" s="2221" t="s">
        <v>198</v>
      </c>
      <c r="AE218" s="405"/>
      <c r="AF218" s="406"/>
      <c r="AG218" s="2222">
        <v>98.0</v>
      </c>
      <c r="AH218" s="2206"/>
      <c r="AI218" s="1542"/>
    </row>
    <row r="219" ht="11.25" customHeight="1">
      <c r="A219" s="1468"/>
      <c r="B219" s="2223"/>
      <c r="C219" s="2224"/>
      <c r="D219" s="2225"/>
      <c r="E219" s="2226"/>
      <c r="F219" s="2150"/>
      <c r="G219" s="2150"/>
      <c r="H219" s="2227"/>
      <c r="I219" s="2225"/>
      <c r="J219" s="2226"/>
      <c r="K219" s="2150"/>
      <c r="L219" s="2150"/>
      <c r="M219" s="2227"/>
      <c r="N219" s="2225"/>
      <c r="O219" s="2226"/>
      <c r="P219" s="2150"/>
      <c r="Q219" s="2150"/>
      <c r="R219" s="2227"/>
      <c r="S219" s="2225"/>
      <c r="T219" s="2226"/>
      <c r="U219" s="2150"/>
      <c r="V219" s="2150"/>
      <c r="W219" s="2227"/>
      <c r="X219" s="2225"/>
      <c r="Y219" s="2226"/>
      <c r="Z219" s="2150"/>
      <c r="AA219" s="2150"/>
      <c r="AB219" s="2227"/>
      <c r="AC219" s="2225"/>
      <c r="AD219" s="2226"/>
      <c r="AE219" s="2150"/>
      <c r="AF219" s="2150"/>
      <c r="AG219" s="2227"/>
      <c r="AH219" s="2228"/>
      <c r="AI219" s="2229"/>
    </row>
    <row r="220">
      <c r="A220" s="1468"/>
      <c r="B220" s="2133"/>
      <c r="C220" s="2134"/>
      <c r="D220" s="2135"/>
      <c r="E220" s="1578" t="s">
        <v>667</v>
      </c>
      <c r="F220" s="1579"/>
      <c r="G220" s="1579"/>
      <c r="H220" s="1579"/>
      <c r="I220" s="1579"/>
      <c r="J220" s="1579"/>
      <c r="K220" s="1579"/>
      <c r="L220" s="1579"/>
      <c r="M220" s="1579"/>
      <c r="N220" s="1579"/>
      <c r="O220" s="1579"/>
      <c r="P220" s="1579"/>
      <c r="Q220" s="1579"/>
      <c r="R220" s="1579"/>
      <c r="S220" s="1579"/>
      <c r="T220" s="1579"/>
      <c r="U220" s="1579"/>
      <c r="V220" s="1579"/>
      <c r="W220" s="1579"/>
      <c r="X220" s="1579"/>
      <c r="Y220" s="1579"/>
      <c r="Z220" s="1579"/>
      <c r="AA220" s="1579"/>
      <c r="AB220" s="1579"/>
      <c r="AC220" s="1579"/>
      <c r="AD220" s="1579"/>
      <c r="AE220" s="1579"/>
      <c r="AF220" s="1579"/>
      <c r="AG220" s="1580"/>
      <c r="AH220" s="2145"/>
      <c r="AI220" s="1456"/>
    </row>
    <row r="221" ht="3.75" customHeight="1">
      <c r="A221" s="1468"/>
      <c r="B221" s="2133"/>
      <c r="C221" s="2230"/>
      <c r="D221" s="2138"/>
      <c r="E221" s="2139"/>
      <c r="F221" s="2139"/>
      <c r="G221" s="2139"/>
      <c r="H221" s="2139"/>
      <c r="I221" s="2138"/>
      <c r="J221" s="2139"/>
      <c r="K221" s="2139"/>
      <c r="L221" s="2139"/>
      <c r="M221" s="2139"/>
      <c r="N221" s="2138"/>
      <c r="O221" s="2139"/>
      <c r="P221" s="2139"/>
      <c r="Q221" s="2139"/>
      <c r="R221" s="2139"/>
      <c r="S221" s="2138"/>
      <c r="T221" s="2139"/>
      <c r="U221" s="2139"/>
      <c r="V221" s="2139"/>
      <c r="W221" s="2139"/>
      <c r="X221" s="2138"/>
      <c r="Y221" s="2139"/>
      <c r="Z221" s="2139"/>
      <c r="AA221" s="2139"/>
      <c r="AB221" s="2139"/>
      <c r="AC221" s="2138"/>
      <c r="AD221" s="2139"/>
      <c r="AE221" s="2139"/>
      <c r="AF221" s="2139"/>
      <c r="AG221" s="2139"/>
      <c r="AH221" s="2231"/>
      <c r="AI221" s="1456"/>
    </row>
    <row r="222" ht="96.75" customHeight="1">
      <c r="A222" s="1468"/>
      <c r="B222" s="2241"/>
      <c r="C222" s="2141" t="str">
        <f>IMAGE("https://i.ibb.co/gSJKyHq/Jasmine.png")</f>
        <v/>
      </c>
      <c r="D222" s="2232"/>
      <c r="E222" s="2143" t="str">
        <f t="array" ref="E222">IFERROR(VLOOKUP(E223,Dex!$B$3:$G244,3,FALSE),"")</f>
        <v/>
      </c>
      <c r="F222" s="302"/>
      <c r="G222" s="302"/>
      <c r="H222" s="303"/>
      <c r="I222" s="2242"/>
      <c r="J222" s="2143" t="str">
        <f t="array" ref="J222">IFERROR(VLOOKUP(J223,Dex!$B$3:$G244,3,FALSE),"")</f>
        <v/>
      </c>
      <c r="K222" s="302"/>
      <c r="L222" s="302"/>
      <c r="M222" s="303"/>
      <c r="N222" s="2242"/>
      <c r="O222" s="2143" t="str">
        <f t="array" ref="O222">IFERROR(VLOOKUP(O223,Dex!$B$3:$G244,3,FALSE),"")</f>
        <v/>
      </c>
      <c r="P222" s="302"/>
      <c r="Q222" s="302"/>
      <c r="R222" s="303"/>
      <c r="S222" s="2242"/>
      <c r="T222" s="2143" t="str">
        <f t="array" ref="T222">IFERROR(VLOOKUP(T223,Dex!$B$3:$G244,3,FALSE),"")</f>
        <v/>
      </c>
      <c r="U222" s="302"/>
      <c r="V222" s="302"/>
      <c r="W222" s="303"/>
      <c r="X222" s="2242"/>
      <c r="Y222" s="2143" t="str">
        <f t="array" ref="Y222">IFERROR(VLOOKUP(Y223,Dex!$B$3:$G244,3,FALSE),"")</f>
        <v/>
      </c>
      <c r="Z222" s="302"/>
      <c r="AA222" s="302"/>
      <c r="AB222" s="303"/>
      <c r="AC222" s="2242"/>
      <c r="AD222" s="2143" t="str">
        <f t="array" ref="AD222">IFERROR(VLOOKUP(AD223,Dex!$B$3:$G244,3,FALSE),"")</f>
        <v/>
      </c>
      <c r="AE222" s="302"/>
      <c r="AF222" s="302"/>
      <c r="AG222" s="303"/>
      <c r="AH222" s="2243"/>
      <c r="AI222" s="1456"/>
    </row>
    <row r="223" ht="18.75" customHeight="1">
      <c r="A223" s="1468"/>
      <c r="B223" s="2244"/>
      <c r="C223" s="2147" t="s">
        <v>668</v>
      </c>
      <c r="D223" s="2245"/>
      <c r="E223" s="2149" t="s">
        <v>669</v>
      </c>
      <c r="F223" s="2150"/>
      <c r="G223" s="2150"/>
      <c r="H223" s="2151"/>
      <c r="J223" s="2149" t="s">
        <v>646</v>
      </c>
      <c r="K223" s="2150"/>
      <c r="L223" s="2150"/>
      <c r="M223" s="2151"/>
      <c r="O223" s="2149" t="s">
        <v>663</v>
      </c>
      <c r="P223" s="2150"/>
      <c r="Q223" s="2150"/>
      <c r="R223" s="2151"/>
      <c r="T223" s="2149" t="s">
        <v>593</v>
      </c>
      <c r="U223" s="2150"/>
      <c r="V223" s="2150"/>
      <c r="W223" s="2151"/>
      <c r="Y223" s="2149" t="s">
        <v>649</v>
      </c>
      <c r="Z223" s="2150"/>
      <c r="AA223" s="2150"/>
      <c r="AB223" s="2151"/>
      <c r="AD223" s="2149" t="s">
        <v>650</v>
      </c>
      <c r="AE223" s="2150"/>
      <c r="AF223" s="2150"/>
      <c r="AG223" s="2151"/>
      <c r="AH223" s="2246"/>
      <c r="AI223" s="1479"/>
    </row>
    <row r="224">
      <c r="A224" s="1468"/>
      <c r="B224" s="2244"/>
      <c r="C224" s="1481"/>
      <c r="D224" s="2245"/>
      <c r="E224" s="2155" t="s">
        <v>420</v>
      </c>
      <c r="F224" s="2156"/>
      <c r="G224" s="2156"/>
      <c r="H224" s="2157"/>
      <c r="J224" s="2155" t="s">
        <v>420</v>
      </c>
      <c r="K224" s="2156"/>
      <c r="L224" s="2156"/>
      <c r="M224" s="2157"/>
      <c r="O224" s="2155" t="s">
        <v>420</v>
      </c>
      <c r="P224" s="2156"/>
      <c r="Q224" s="2156"/>
      <c r="R224" s="2157"/>
      <c r="T224" s="2155" t="s">
        <v>420</v>
      </c>
      <c r="U224" s="2156"/>
      <c r="V224" s="2156"/>
      <c r="W224" s="2157"/>
      <c r="Y224" s="2155" t="s">
        <v>420</v>
      </c>
      <c r="Z224" s="2156"/>
      <c r="AA224" s="2156"/>
      <c r="AB224" s="2157"/>
      <c r="AD224" s="2155" t="s">
        <v>420</v>
      </c>
      <c r="AE224" s="2156"/>
      <c r="AF224" s="2156"/>
      <c r="AG224" s="2157"/>
      <c r="AH224" s="2247"/>
      <c r="AI224" s="1696"/>
    </row>
    <row r="225" ht="25.5" customHeight="1">
      <c r="A225" s="1468"/>
      <c r="B225" s="2244"/>
      <c r="C225" s="1489"/>
      <c r="D225" s="2245"/>
      <c r="E225" s="2237"/>
      <c r="F225" s="2162" t="str">
        <f t="array" ref="F225">IFERROR(VLOOKUP(E223,Dex!$B$3:$H244,5,FALSE),"")</f>
        <v/>
      </c>
      <c r="G225" s="2163" t="str">
        <f t="array" ref="G225">IFERROR(VLOOKUP(E223,Dex!$B$3:$H244,7,FALSE),"")</f>
        <v/>
      </c>
      <c r="H225" s="2171"/>
      <c r="J225" s="2166"/>
      <c r="K225" s="2167" t="str">
        <f t="array" ref="K225">IFERROR(VLOOKUP(J223,Dex!$B$3:$H244,5,FALSE),"")</f>
        <v/>
      </c>
      <c r="L225" s="2168"/>
      <c r="M225" s="2169"/>
      <c r="O225" s="2170"/>
      <c r="P225" s="2162" t="str">
        <f t="array" ref="P225">IFERROR(VLOOKUP(O223,Dex!$B$3:$H244,5,FALSE),"")</f>
        <v/>
      </c>
      <c r="Q225" s="2163" t="str">
        <f t="array" ref="Q225">IFERROR(VLOOKUP(O223,Dex!$B$3:$H244,7,FALSE),"")</f>
        <v/>
      </c>
      <c r="R225" s="2171"/>
      <c r="T225" s="2170"/>
      <c r="U225" s="2162" t="str">
        <f t="array" ref="U225">IFERROR(VLOOKUP(T223,Dex!$B$3:$H244,5,FALSE),"")</f>
        <v/>
      </c>
      <c r="V225" s="2163" t="str">
        <f t="array" ref="V225">IFERROR(VLOOKUP(T223,Dex!$B$3:$H244,7,FALSE),"")</f>
        <v/>
      </c>
      <c r="W225" s="2171"/>
      <c r="Y225" s="2170"/>
      <c r="Z225" s="2162" t="str">
        <f t="array" ref="Z225">IFERROR(VLOOKUP(Y223,Dex!$B$3:$H244,5,FALSE),"")</f>
        <v/>
      </c>
      <c r="AA225" s="2163" t="str">
        <f t="array" ref="AA225">IFERROR(VLOOKUP(Y223,Dex!$B$3:$H244,7,FALSE),"")</f>
        <v/>
      </c>
      <c r="AB225" s="2171"/>
      <c r="AD225" s="2166"/>
      <c r="AE225" s="2167" t="str">
        <f t="array" ref="AE225">IFERROR(VLOOKUP(AD223,Dex!$B$3:$H244,5,FALSE),"")</f>
        <v/>
      </c>
      <c r="AF225" s="2168"/>
      <c r="AG225" s="2238"/>
      <c r="AH225" s="2243"/>
      <c r="AI225" s="1456"/>
    </row>
    <row r="226" ht="2.25" customHeight="1">
      <c r="A226" s="1468"/>
      <c r="B226" s="2244"/>
      <c r="C226" s="2173"/>
      <c r="D226" s="2245"/>
      <c r="E226" s="2239"/>
      <c r="F226" s="2180"/>
      <c r="G226" s="2180"/>
      <c r="H226" s="2179"/>
      <c r="J226" s="2178"/>
      <c r="K226" s="2176"/>
      <c r="L226" s="2176"/>
      <c r="M226" s="2179"/>
      <c r="O226" s="2178"/>
      <c r="P226" s="2180"/>
      <c r="Q226" s="2180"/>
      <c r="R226" s="2179"/>
      <c r="T226" s="2178"/>
      <c r="U226" s="2180"/>
      <c r="V226" s="2180"/>
      <c r="W226" s="2179"/>
      <c r="Y226" s="2178"/>
      <c r="Z226" s="2180"/>
      <c r="AA226" s="2180"/>
      <c r="AB226" s="2179"/>
      <c r="AD226" s="2178"/>
      <c r="AE226" s="2176"/>
      <c r="AF226" s="2176"/>
      <c r="AG226" s="2181"/>
      <c r="AH226" s="2243"/>
      <c r="AI226" s="1456"/>
    </row>
    <row r="227" ht="20.25" customHeight="1">
      <c r="A227" s="1468"/>
      <c r="B227" s="2244"/>
      <c r="C227" s="2134"/>
      <c r="D227" s="2245"/>
      <c r="E227" s="2182" t="s">
        <v>298</v>
      </c>
      <c r="F227" s="2183"/>
      <c r="G227" s="2183"/>
      <c r="H227" s="2184"/>
      <c r="J227" s="2182" t="s">
        <v>169</v>
      </c>
      <c r="K227" s="2183"/>
      <c r="L227" s="2183"/>
      <c r="M227" s="2184"/>
      <c r="O227" s="2182" t="s">
        <v>263</v>
      </c>
      <c r="P227" s="2183"/>
      <c r="Q227" s="2183"/>
      <c r="R227" s="2184"/>
      <c r="T227" s="2182" t="s">
        <v>172</v>
      </c>
      <c r="U227" s="2183"/>
      <c r="V227" s="2183"/>
      <c r="W227" s="2184"/>
      <c r="Y227" s="2182" t="s">
        <v>172</v>
      </c>
      <c r="Z227" s="2183"/>
      <c r="AA227" s="2183"/>
      <c r="AB227" s="2184"/>
      <c r="AD227" s="2182" t="s">
        <v>169</v>
      </c>
      <c r="AE227" s="2183"/>
      <c r="AF227" s="2183"/>
      <c r="AG227" s="2184"/>
      <c r="AH227" s="2243"/>
      <c r="AI227" s="1456"/>
    </row>
    <row r="228">
      <c r="A228" s="1468"/>
      <c r="B228" s="2244"/>
      <c r="C228" s="2185"/>
      <c r="D228" s="2245"/>
      <c r="E228" s="2186" t="s">
        <v>173</v>
      </c>
      <c r="F228" s="2156"/>
      <c r="G228" s="2156"/>
      <c r="H228" s="2157"/>
      <c r="J228" s="2186" t="s">
        <v>235</v>
      </c>
      <c r="K228" s="2156"/>
      <c r="L228" s="2156"/>
      <c r="M228" s="2157"/>
      <c r="O228" s="2186" t="s">
        <v>665</v>
      </c>
      <c r="P228" s="2156"/>
      <c r="Q228" s="2156"/>
      <c r="R228" s="2157"/>
      <c r="T228" s="2186" t="s">
        <v>598</v>
      </c>
      <c r="U228" s="2156"/>
      <c r="V228" s="2156"/>
      <c r="W228" s="2157"/>
      <c r="Y228" s="2186" t="s">
        <v>532</v>
      </c>
      <c r="Z228" s="2156"/>
      <c r="AA228" s="2156"/>
      <c r="AB228" s="2157"/>
      <c r="AD228" s="2186" t="s">
        <v>670</v>
      </c>
      <c r="AE228" s="2156"/>
      <c r="AF228" s="2156"/>
      <c r="AG228" s="2157"/>
      <c r="AH228" s="2243"/>
      <c r="AI228" s="1456"/>
    </row>
    <row r="229" ht="20.25" customHeight="1">
      <c r="A229" s="1468"/>
      <c r="B229" s="2244"/>
      <c r="C229" s="2187"/>
      <c r="D229" s="2245"/>
      <c r="E229" s="2188" t="s">
        <v>176</v>
      </c>
      <c r="F229" s="2189"/>
      <c r="G229" s="2190"/>
      <c r="H229" s="2191" t="str">
        <f>IMAGE("https://raw.githubusercontent.com/msikma/pokesprite/master/items/berry/custap.png",3)</f>
        <v/>
      </c>
      <c r="J229" s="2188" t="s">
        <v>394</v>
      </c>
      <c r="K229" s="2189"/>
      <c r="L229" s="2190"/>
      <c r="M229" s="2191" t="str">
        <f>IMAGE("https://raw.githubusercontent.com/msikma/pokesprite/master/items/hold-item/leftovers.png",3)</f>
        <v/>
      </c>
      <c r="O229" s="2188" t="s">
        <v>536</v>
      </c>
      <c r="P229" s="2189"/>
      <c r="Q229" s="2190"/>
      <c r="R229" s="2191" t="str">
        <f>IMAGE("https://raw.githubusercontent.com/msikma/pokesprite/master/items/hold-item/magnet.png",3)</f>
        <v/>
      </c>
      <c r="T229" s="2188" t="s">
        <v>177</v>
      </c>
      <c r="U229" s="2189"/>
      <c r="V229" s="2190"/>
      <c r="W229" s="2191" t="str">
        <f>IMAGE("https://raw.githubusercontent.com/msikma/pokesprite/master/items/hold-item/air-balloon.png",3)</f>
        <v/>
      </c>
      <c r="Y229" s="2188" t="s">
        <v>626</v>
      </c>
      <c r="Z229" s="2189"/>
      <c r="AA229" s="2190"/>
      <c r="AB229" s="2191" t="str">
        <f>IMAGE("https://raw.githubusercontent.com/msikma/pokesprite/master/items/hold-item/white-herb.png",3)</f>
        <v/>
      </c>
      <c r="AD229" s="2188" t="s">
        <v>653</v>
      </c>
      <c r="AE229" s="2189"/>
      <c r="AF229" s="2190"/>
      <c r="AG229" s="2191" t="str">
        <f>IMAGE("https://raw.githubusercontent.com/msikma/pokesprite/master/items/mega-stone/aggronite.png",3)</f>
        <v/>
      </c>
      <c r="AH229" s="2243"/>
      <c r="AI229" s="1456"/>
    </row>
    <row r="230" ht="20.25" customHeight="1">
      <c r="A230" s="1468"/>
      <c r="B230" s="2133"/>
      <c r="C230" s="2192"/>
      <c r="D230" s="2248"/>
      <c r="E230" s="2182" t="s">
        <v>395</v>
      </c>
      <c r="F230" s="2183"/>
      <c r="G230" s="2183"/>
      <c r="H230" s="2193" t="str">
        <f>IMAGE("https://raw.githubusercontent.com/msikma/pokesprite/master/misc/types/gen8/rock.png",4,20,20)</f>
        <v/>
      </c>
      <c r="J230" s="2182" t="s">
        <v>463</v>
      </c>
      <c r="K230" s="2183"/>
      <c r="L230" s="2183"/>
      <c r="M230" s="2193" t="str">
        <f>IMAGE("https://raw.githubusercontent.com/msikma/pokesprite/master/misc/types/gen8/fighting.png",4,20,20)</f>
        <v/>
      </c>
      <c r="O230" s="2182" t="s">
        <v>277</v>
      </c>
      <c r="P230" s="2183"/>
      <c r="Q230" s="2183"/>
      <c r="R230" s="2193" t="str">
        <f t="shared" ref="R230:R231" si="17">IMAGE("https://raw.githubusercontent.com/msikma/pokesprite/master/misc/types/gen8/electric.png",4,20,20)</f>
        <v/>
      </c>
      <c r="T230" s="2182" t="s">
        <v>489</v>
      </c>
      <c r="U230" s="2183"/>
      <c r="V230" s="2183"/>
      <c r="W230" s="2193" t="str">
        <f t="shared" ref="W230:W231" si="18">IMAGE("https://raw.githubusercontent.com/msikma/pokesprite/master/misc/types/gen8/normal.png",4,20,20)</f>
        <v/>
      </c>
      <c r="Y230" s="2182" t="s">
        <v>428</v>
      </c>
      <c r="Z230" s="2183"/>
      <c r="AA230" s="2183"/>
      <c r="AB230" s="2193" t="str">
        <f>IMAGE("https://raw.githubusercontent.com/msikma/pokesprite/master/misc/types/gen8/normal.png",4,20,20)</f>
        <v/>
      </c>
      <c r="AD230" s="2182" t="s">
        <v>655</v>
      </c>
      <c r="AE230" s="2183"/>
      <c r="AF230" s="2183"/>
      <c r="AG230" s="2193" t="str">
        <f>IMAGE("https://raw.githubusercontent.com/msikma/pokesprite/master/misc/types/gen8/steel.png",4,20,20)</f>
        <v/>
      </c>
      <c r="AH230" s="2243"/>
      <c r="AI230" s="1456"/>
    </row>
    <row r="231" ht="20.25" customHeight="1">
      <c r="A231" s="1468"/>
      <c r="B231" s="2133"/>
      <c r="C231" s="2134"/>
      <c r="D231" s="2248"/>
      <c r="E231" s="2186" t="s">
        <v>402</v>
      </c>
      <c r="F231" s="2156"/>
      <c r="G231" s="2156"/>
      <c r="H231" s="2194" t="str">
        <f>IMAGE("https://raw.githubusercontent.com/msikma/pokesprite/master/misc/types/gen8/ground.png",4,20,20)</f>
        <v/>
      </c>
      <c r="J231" s="2186" t="s">
        <v>402</v>
      </c>
      <c r="K231" s="2156"/>
      <c r="L231" s="2156"/>
      <c r="M231" s="2194" t="str">
        <f>IMAGE("https://raw.githubusercontent.com/msikma/pokesprite/master/misc/types/gen8/ground.png",4,20,20)</f>
        <v/>
      </c>
      <c r="O231" s="2186" t="s">
        <v>242</v>
      </c>
      <c r="P231" s="2156"/>
      <c r="Q231" s="2156"/>
      <c r="R231" s="2194" t="str">
        <f t="shared" si="17"/>
        <v/>
      </c>
      <c r="T231" s="2186" t="s">
        <v>397</v>
      </c>
      <c r="U231" s="2156"/>
      <c r="V231" s="2156"/>
      <c r="W231" s="2194" t="str">
        <f t="shared" si="18"/>
        <v/>
      </c>
      <c r="Y231" s="2186" t="s">
        <v>656</v>
      </c>
      <c r="Z231" s="2156"/>
      <c r="AA231" s="2156"/>
      <c r="AB231" s="2194" t="str">
        <f>IMAGE("https://raw.githubusercontent.com/msikma/pokesprite/master/misc/types/gen8/steel.png",4,20,20)</f>
        <v/>
      </c>
      <c r="AD231" s="2186" t="s">
        <v>402</v>
      </c>
      <c r="AE231" s="2156"/>
      <c r="AF231" s="2156"/>
      <c r="AG231" s="2194" t="str">
        <f>IMAGE("https://raw.githubusercontent.com/msikma/pokesprite/master/misc/types/gen8/ground.png",4,20,20)</f>
        <v/>
      </c>
      <c r="AH231" s="2243"/>
      <c r="AI231" s="1456"/>
    </row>
    <row r="232" ht="20.25" customHeight="1">
      <c r="A232" s="1468"/>
      <c r="B232" s="2133"/>
      <c r="C232" s="2134"/>
      <c r="D232" s="2248"/>
      <c r="E232" s="2186" t="s">
        <v>180</v>
      </c>
      <c r="F232" s="2156"/>
      <c r="G232" s="2156"/>
      <c r="H232" s="2194" t="str">
        <f>IMAGE("https://raw.githubusercontent.com/msikma/pokesprite/master/misc/types/gen8/steel.png",4,20,20)</f>
        <v/>
      </c>
      <c r="J232" s="2186" t="s">
        <v>654</v>
      </c>
      <c r="K232" s="2156"/>
      <c r="L232" s="2156"/>
      <c r="M232" s="2194" t="str">
        <f>IMAGE("https://raw.githubusercontent.com/msikma/pokesprite/master/misc/types/gen8/steel.png",4,20,20)</f>
        <v/>
      </c>
      <c r="O232" s="2186" t="s">
        <v>404</v>
      </c>
      <c r="P232" s="2156"/>
      <c r="Q232" s="2156"/>
      <c r="R232" s="2194" t="str">
        <f>IMAGE("https://raw.githubusercontent.com/msikma/pokesprite/master/misc/types/gen8/steel.png",4,20,20)</f>
        <v/>
      </c>
      <c r="T232" s="2186" t="s">
        <v>316</v>
      </c>
      <c r="U232" s="2156"/>
      <c r="V232" s="2156"/>
      <c r="W232" s="2194" t="str">
        <f>IMAGE("https://raw.githubusercontent.com/msikma/pokesprite/master/misc/types/gen8/fighting.png",4,20,20)</f>
        <v/>
      </c>
      <c r="Y232" s="2186" t="s">
        <v>657</v>
      </c>
      <c r="Z232" s="2156"/>
      <c r="AA232" s="2156"/>
      <c r="AB232" s="2194" t="str">
        <f>IMAGE("https://raw.githubusercontent.com/msikma/pokesprite/master/misc/types/gen8/water.png",4,20,20)</f>
        <v/>
      </c>
      <c r="AD232" s="2186" t="s">
        <v>403</v>
      </c>
      <c r="AE232" s="2156"/>
      <c r="AF232" s="2156"/>
      <c r="AG232" s="2194" t="str">
        <f>IMAGE("https://raw.githubusercontent.com/msikma/pokesprite/master/misc/types/gen8/fire.png",4,20,20)</f>
        <v/>
      </c>
      <c r="AH232" s="2243"/>
      <c r="AI232" s="1456"/>
    </row>
    <row r="233" ht="21.0" customHeight="1">
      <c r="A233" s="1468"/>
      <c r="B233" s="2133"/>
      <c r="C233" s="2134"/>
      <c r="D233" s="2248"/>
      <c r="E233" s="2195" t="s">
        <v>288</v>
      </c>
      <c r="F233" s="2196"/>
      <c r="G233" s="2196"/>
      <c r="H233" s="2197" t="str">
        <f>IMAGE("https://raw.githubusercontent.com/msikma/pokesprite/master/misc/types/gen8/normal.png",4,20,20)</f>
        <v/>
      </c>
      <c r="I233" s="2150"/>
      <c r="J233" s="2195" t="s">
        <v>249</v>
      </c>
      <c r="K233" s="2196"/>
      <c r="L233" s="2196"/>
      <c r="M233" s="2197" t="str">
        <f>IMAGE("https://raw.githubusercontent.com/msikma/pokesprite/master/misc/types/gen8/electric.png",4,20,20)</f>
        <v/>
      </c>
      <c r="N233" s="2150"/>
      <c r="O233" s="2195" t="s">
        <v>287</v>
      </c>
      <c r="P233" s="2196"/>
      <c r="Q233" s="2196"/>
      <c r="R233" s="2197" t="str">
        <f>IMAGE("https://raw.githubusercontent.com/msikma/pokesprite/master/misc/types/gen8/fire.png",4,20,20)</f>
        <v/>
      </c>
      <c r="S233" s="2150"/>
      <c r="T233" s="2195" t="s">
        <v>671</v>
      </c>
      <c r="U233" s="2196"/>
      <c r="V233" s="2196"/>
      <c r="W233" s="2197" t="str">
        <f>IMAGE("https://raw.githubusercontent.com/msikma/pokesprite/master/misc/types/gen8/steel.png",4,20,20)</f>
        <v/>
      </c>
      <c r="X233" s="2150"/>
      <c r="Y233" s="2195" t="s">
        <v>606</v>
      </c>
      <c r="Z233" s="2196"/>
      <c r="AA233" s="2196"/>
      <c r="AB233" s="2197" t="str">
        <f>IMAGE("https://raw.githubusercontent.com/msikma/pokesprite/master/misc/types/gen8/fighting.png",4,20,20)</f>
        <v/>
      </c>
      <c r="AC233" s="2150"/>
      <c r="AD233" s="2195" t="s">
        <v>463</v>
      </c>
      <c r="AE233" s="2196"/>
      <c r="AF233" s="2196"/>
      <c r="AG233" s="2197" t="str">
        <f>IMAGE("https://raw.githubusercontent.com/msikma/pokesprite/master/misc/types/gen8/fighting.png",4,20,20)</f>
        <v/>
      </c>
      <c r="AH233" s="2243"/>
      <c r="AI233" s="1456"/>
    </row>
    <row r="234" ht="3.0" customHeight="1">
      <c r="A234" s="1468"/>
      <c r="B234" s="2133"/>
      <c r="C234" s="2199"/>
      <c r="D234" s="2248"/>
      <c r="E234" s="2090"/>
      <c r="F234" s="2090"/>
      <c r="G234" s="2090"/>
      <c r="H234" s="2090"/>
      <c r="I234" s="2200"/>
      <c r="J234" s="2090"/>
      <c r="K234" s="2090"/>
      <c r="L234" s="2090"/>
      <c r="M234" s="2090"/>
      <c r="N234" s="2200"/>
      <c r="O234" s="2090"/>
      <c r="P234" s="2090"/>
      <c r="Q234" s="2090"/>
      <c r="R234" s="2090"/>
      <c r="S234" s="2200"/>
      <c r="T234" s="2090"/>
      <c r="U234" s="2090"/>
      <c r="V234" s="2090"/>
      <c r="W234" s="2090"/>
      <c r="X234" s="2200"/>
      <c r="Y234" s="2091"/>
      <c r="Z234" s="2092"/>
      <c r="AA234" s="2092"/>
      <c r="AB234" s="2093"/>
      <c r="AC234" s="2200"/>
      <c r="AD234" s="2094"/>
      <c r="AE234" s="2094"/>
      <c r="AF234" s="2094"/>
      <c r="AG234" s="2094"/>
      <c r="AH234" s="2201"/>
      <c r="AI234" s="1533"/>
    </row>
    <row r="235" ht="16.5" customHeight="1">
      <c r="A235" s="1468"/>
      <c r="B235" s="2133"/>
      <c r="C235" s="2199"/>
      <c r="D235" s="2248"/>
      <c r="E235" s="2204" t="s">
        <v>190</v>
      </c>
      <c r="F235" s="381"/>
      <c r="G235" s="382"/>
      <c r="H235" s="2205" t="s">
        <v>191</v>
      </c>
      <c r="I235" s="2203"/>
      <c r="J235" s="2204" t="s">
        <v>190</v>
      </c>
      <c r="K235" s="381"/>
      <c r="L235" s="382"/>
      <c r="M235" s="2205" t="s">
        <v>191</v>
      </c>
      <c r="N235" s="2203"/>
      <c r="O235" s="2204" t="s">
        <v>190</v>
      </c>
      <c r="P235" s="381"/>
      <c r="Q235" s="382"/>
      <c r="R235" s="2205" t="s">
        <v>191</v>
      </c>
      <c r="S235" s="2203"/>
      <c r="T235" s="2204" t="s">
        <v>190</v>
      </c>
      <c r="U235" s="381"/>
      <c r="V235" s="382"/>
      <c r="W235" s="2205" t="s">
        <v>191</v>
      </c>
      <c r="X235" s="2203"/>
      <c r="Y235" s="2204" t="s">
        <v>190</v>
      </c>
      <c r="Z235" s="381"/>
      <c r="AA235" s="382"/>
      <c r="AB235" s="2205" t="s">
        <v>191</v>
      </c>
      <c r="AC235" s="2203"/>
      <c r="AD235" s="2204" t="s">
        <v>190</v>
      </c>
      <c r="AE235" s="381"/>
      <c r="AF235" s="382"/>
      <c r="AG235" s="2205" t="s">
        <v>191</v>
      </c>
      <c r="AH235" s="2206"/>
      <c r="AI235" s="1542"/>
    </row>
    <row r="236" ht="15.75" customHeight="1">
      <c r="A236" s="1468"/>
      <c r="B236" s="2133"/>
      <c r="C236" s="2199"/>
      <c r="D236" s="2248"/>
      <c r="E236" s="2207" t="s">
        <v>192</v>
      </c>
      <c r="F236" s="2208">
        <f t="array" ref="F236">IFERROR(VLOOKUP(E223,Dex!$B$3:$N244,8,FALSE),"")</f>
        <v>75</v>
      </c>
      <c r="G236" s="2209" t="str">
        <f t="array" ref="G236">IFERROR(VLOOKUP(F236,Dex!$P$22:$Q$276,2,FALSE),"")</f>
        <v/>
      </c>
      <c r="H236" s="2210">
        <v>252.0</v>
      </c>
      <c r="I236" s="2211"/>
      <c r="J236" s="2207" t="s">
        <v>192</v>
      </c>
      <c r="K236" s="2208">
        <f t="array" ref="K236">IFERROR(VLOOKUP(J223,Dex!$B$3:$N244,8,FALSE),"")</f>
        <v>135</v>
      </c>
      <c r="L236" s="2209" t="str">
        <f t="array" ref="L236">IFERROR(VLOOKUP(K236,Dex!$P$22:$Q$276,2,FALSE),"")</f>
        <v/>
      </c>
      <c r="M236" s="2210">
        <v>252.0</v>
      </c>
      <c r="N236" s="2211"/>
      <c r="O236" s="2207" t="s">
        <v>192</v>
      </c>
      <c r="P236" s="2208">
        <f t="array" ref="P236">IFERROR(VLOOKUP(O223,Dex!$B$3:$N244,8,FALSE),"")</f>
        <v>70</v>
      </c>
      <c r="Q236" s="2209" t="str">
        <f t="array" ref="Q236">IFERROR(VLOOKUP(P236,Dex!$P$22:$Q$276,2,FALSE),"")</f>
        <v/>
      </c>
      <c r="R236" s="2210"/>
      <c r="S236" s="2211"/>
      <c r="T236" s="2207" t="s">
        <v>192</v>
      </c>
      <c r="U236" s="2208">
        <f t="array" ref="U236">IFERROR(VLOOKUP(T223,Dex!$B$3:$N244,8,FALSE),"")</f>
        <v>70</v>
      </c>
      <c r="V236" s="2209" t="str">
        <f t="array" ref="V236">IFERROR(VLOOKUP(U236,Dex!$P$22:$Q$276,2,FALSE),"")</f>
        <v/>
      </c>
      <c r="W236" s="2210"/>
      <c r="X236" s="2211"/>
      <c r="Y236" s="2207" t="s">
        <v>192</v>
      </c>
      <c r="Z236" s="2208">
        <f t="array" ref="Z236">IFERROR(VLOOKUP(Y223,Dex!$B$3:$N244,8,FALSE),"")</f>
        <v>95</v>
      </c>
      <c r="AA236" s="2209" t="str">
        <f t="array" ref="AA236">IFERROR(VLOOKUP(Z236,Dex!$P$22:$Q$276,2,FALSE),"")</f>
        <v/>
      </c>
      <c r="AB236" s="2210"/>
      <c r="AC236" s="2211"/>
      <c r="AD236" s="2207" t="s">
        <v>192</v>
      </c>
      <c r="AE236" s="2208">
        <f t="array" ref="AE236">IFERROR(VLOOKUP(AD223,Dex!$B$3:$N244,8,FALSE),"")</f>
        <v>70</v>
      </c>
      <c r="AF236" s="2209" t="str">
        <f t="array" ref="AF236">IFERROR(VLOOKUP(AE236,Dex!$P$22:$Q$276,2,FALSE),"")</f>
        <v/>
      </c>
      <c r="AG236" s="2210">
        <v>252.0</v>
      </c>
      <c r="AH236" s="2212"/>
      <c r="AI236" s="1542"/>
    </row>
    <row r="237" ht="15.75" customHeight="1">
      <c r="A237" s="1468"/>
      <c r="B237" s="2133"/>
      <c r="C237" s="2199"/>
      <c r="D237" s="2248"/>
      <c r="E237" s="2213" t="s">
        <v>193</v>
      </c>
      <c r="F237" s="2214">
        <f t="array" ref="F237">IFERROR(VLOOKUP(E223,Dex!$B$3:$N244,9,FALSE),"")</f>
        <v>90</v>
      </c>
      <c r="G237" s="2215" t="str">
        <f t="array" ref="G237">IFERROR(VLOOKUP(F237,Dex!$P$22:$Q$276,2,FALSE),"")</f>
        <v/>
      </c>
      <c r="H237" s="2216"/>
      <c r="I237" s="2211"/>
      <c r="J237" s="2213" t="s">
        <v>193</v>
      </c>
      <c r="K237" s="2214">
        <f t="array" ref="K237">IFERROR(VLOOKUP(J223,Dex!$B$3:$N244,9,FALSE),"")</f>
        <v>143</v>
      </c>
      <c r="L237" s="2215" t="str">
        <f t="array" ref="L237">IFERROR(VLOOKUP(K237,Dex!$P$22:$Q$276,2,FALSE),"")</f>
        <v/>
      </c>
      <c r="M237" s="2216">
        <v>252.0</v>
      </c>
      <c r="N237" s="2211"/>
      <c r="O237" s="2213" t="s">
        <v>193</v>
      </c>
      <c r="P237" s="2214">
        <f t="array" ref="P237">IFERROR(VLOOKUP(O223,Dex!$B$3:$N244,9,FALSE),"")</f>
        <v>70</v>
      </c>
      <c r="Q237" s="2215" t="str">
        <f t="array" ref="Q237">IFERROR(VLOOKUP(P237,Dex!$P$22:$Q$276,2,FALSE),"")</f>
        <v/>
      </c>
      <c r="R237" s="2216"/>
      <c r="S237" s="2211"/>
      <c r="T237" s="2213" t="s">
        <v>193</v>
      </c>
      <c r="U237" s="2214">
        <f t="array" ref="U237">IFERROR(VLOOKUP(T223,Dex!$B$3:$N244,9,FALSE),"")</f>
        <v>110</v>
      </c>
      <c r="V237" s="2215" t="str">
        <f t="array" ref="V237">IFERROR(VLOOKUP(U237,Dex!$P$22:$Q$276,2,FALSE),"")</f>
        <v/>
      </c>
      <c r="W237" s="2216">
        <v>252.0</v>
      </c>
      <c r="X237" s="2211"/>
      <c r="Y237" s="2213" t="s">
        <v>193</v>
      </c>
      <c r="Z237" s="2214">
        <f t="array" ref="Z237">IFERROR(VLOOKUP(Y223,Dex!$B$3:$N244,9,FALSE),"")</f>
        <v>108</v>
      </c>
      <c r="AA237" s="2215" t="str">
        <f t="array" ref="AA237">IFERROR(VLOOKUP(Z237,Dex!$P$22:$Q$276,2,FALSE),"")</f>
        <v/>
      </c>
      <c r="AB237" s="2216">
        <v>252.0</v>
      </c>
      <c r="AC237" s="2211"/>
      <c r="AD237" s="2213" t="s">
        <v>193</v>
      </c>
      <c r="AE237" s="2214">
        <f t="array" ref="AE237">IFERROR(VLOOKUP(AD223,Dex!$B$3:$N244,9,FALSE),"")</f>
        <v>140</v>
      </c>
      <c r="AF237" s="2215" t="str">
        <f t="array" ref="AF237">IFERROR(VLOOKUP(AE237,Dex!$P$22:$Q$276,2,FALSE),"")</f>
        <v/>
      </c>
      <c r="AG237" s="2216">
        <v>252.0</v>
      </c>
      <c r="AH237" s="2212"/>
      <c r="AI237" s="1542"/>
    </row>
    <row r="238" ht="15.75" customHeight="1">
      <c r="A238" s="1468"/>
      <c r="B238" s="2133"/>
      <c r="C238" s="2199"/>
      <c r="D238" s="2248"/>
      <c r="E238" s="2213" t="s">
        <v>194</v>
      </c>
      <c r="F238" s="2214">
        <f t="array" ref="F238">IFERROR(VLOOKUP(E223,Dex!$B$3:$N244,10,FALSE),"")</f>
        <v>140</v>
      </c>
      <c r="G238" s="2215" t="str">
        <f t="array" ref="G238">IFERROR(VLOOKUP(F238,Dex!$P$22:$Q$276,2,FALSE),"")</f>
        <v/>
      </c>
      <c r="H238" s="2216">
        <v>252.0</v>
      </c>
      <c r="I238" s="2211"/>
      <c r="J238" s="2213" t="s">
        <v>194</v>
      </c>
      <c r="K238" s="2214">
        <f t="array" ref="K238">IFERROR(VLOOKUP(J223,Dex!$B$3:$N244,10,FALSE),"")</f>
        <v>143</v>
      </c>
      <c r="L238" s="2215" t="str">
        <f t="array" ref="L238">IFERROR(VLOOKUP(K238,Dex!$P$22:$Q$276,2,FALSE),"")</f>
        <v/>
      </c>
      <c r="M238" s="2216"/>
      <c r="N238" s="2211"/>
      <c r="O238" s="2213" t="s">
        <v>194</v>
      </c>
      <c r="P238" s="2214">
        <f t="array" ref="P238">IFERROR(VLOOKUP(O223,Dex!$B$3:$N244,10,FALSE),"")</f>
        <v>115</v>
      </c>
      <c r="Q238" s="2215" t="str">
        <f t="array" ref="Q238">IFERROR(VLOOKUP(P238,Dex!$P$22:$Q$276,2,FALSE),"")</f>
        <v/>
      </c>
      <c r="R238" s="2216"/>
      <c r="S238" s="2211"/>
      <c r="T238" s="2213" t="s">
        <v>194</v>
      </c>
      <c r="U238" s="2214">
        <f t="array" ref="U238">IFERROR(VLOOKUP(T223,Dex!$B$3:$N244,10,FALSE),"")</f>
        <v>70</v>
      </c>
      <c r="V238" s="2215" t="str">
        <f t="array" ref="V238">IFERROR(VLOOKUP(U238,Dex!$P$22:$Q$276,2,FALSE),"")</f>
        <v/>
      </c>
      <c r="W238" s="2216"/>
      <c r="X238" s="2211"/>
      <c r="Y238" s="2213" t="s">
        <v>194</v>
      </c>
      <c r="Z238" s="2214">
        <f t="array" ref="Z238">IFERROR(VLOOKUP(Y223,Dex!$B$3:$N244,10,FALSE),"")</f>
        <v>85</v>
      </c>
      <c r="AA238" s="2215" t="str">
        <f t="array" ref="AA238">IFERROR(VLOOKUP(Z238,Dex!$P$22:$Q$276,2,FALSE),"")</f>
        <v/>
      </c>
      <c r="AB238" s="2216">
        <v>4.0</v>
      </c>
      <c r="AC238" s="2211"/>
      <c r="AD238" s="2213" t="s">
        <v>194</v>
      </c>
      <c r="AE238" s="2214">
        <f t="array" ref="AE238">IFERROR(VLOOKUP(AD223,Dex!$B$3:$N244,10,FALSE),"")</f>
        <v>230</v>
      </c>
      <c r="AF238" s="2215" t="str">
        <f t="array" ref="AF238">IFERROR(VLOOKUP(AE238,Dex!$P$22:$Q$276,2,FALSE),"")</f>
        <v/>
      </c>
      <c r="AG238" s="2216">
        <v>4.0</v>
      </c>
      <c r="AH238" s="2212"/>
      <c r="AI238" s="1542"/>
    </row>
    <row r="239" ht="15.75" customHeight="1">
      <c r="A239" s="1468"/>
      <c r="B239" s="2133"/>
      <c r="C239" s="2199"/>
      <c r="D239" s="2248"/>
      <c r="E239" s="2213" t="s">
        <v>195</v>
      </c>
      <c r="F239" s="2214">
        <f t="array" ref="F239">IFERROR(VLOOKUP(E223,Dex!$B$3:$N244,11,FALSE),"")</f>
        <v>60</v>
      </c>
      <c r="G239" s="2215" t="str">
        <f t="array" ref="G239">IFERROR(VLOOKUP(F239,Dex!$P$22:$Q$276,2,FALSE),"")</f>
        <v/>
      </c>
      <c r="H239" s="2216"/>
      <c r="I239" s="2211"/>
      <c r="J239" s="2213" t="s">
        <v>195</v>
      </c>
      <c r="K239" s="2214">
        <f t="array" ref="K239">IFERROR(VLOOKUP(J223,Dex!$B$3:$N244,11,FALSE),"")</f>
        <v>80</v>
      </c>
      <c r="L239" s="2215" t="str">
        <f t="array" ref="L239">IFERROR(VLOOKUP(K239,Dex!$P$22:$Q$276,2,FALSE),"")</f>
        <v/>
      </c>
      <c r="M239" s="2216"/>
      <c r="N239" s="2211"/>
      <c r="O239" s="2213" t="s">
        <v>195</v>
      </c>
      <c r="P239" s="2214">
        <f t="array" ref="P239">IFERROR(VLOOKUP(O223,Dex!$B$3:$N244,11,FALSE),"")</f>
        <v>130</v>
      </c>
      <c r="Q239" s="2215" t="str">
        <f t="array" ref="Q239">IFERROR(VLOOKUP(P239,Dex!$P$22:$Q$276,2,FALSE),"")</f>
        <v/>
      </c>
      <c r="R239" s="2216">
        <v>252.0</v>
      </c>
      <c r="S239" s="2211"/>
      <c r="T239" s="2213" t="s">
        <v>195</v>
      </c>
      <c r="U239" s="2214">
        <f t="array" ref="U239">IFERROR(VLOOKUP(T223,Dex!$B$3:$N244,11,FALSE),"")</f>
        <v>115</v>
      </c>
      <c r="V239" s="2215" t="str">
        <f t="array" ref="V239">IFERROR(VLOOKUP(U239,Dex!$P$22:$Q$276,2,FALSE),"")</f>
        <v/>
      </c>
      <c r="W239" s="2216"/>
      <c r="X239" s="2211"/>
      <c r="Y239" s="2213" t="s">
        <v>195</v>
      </c>
      <c r="Z239" s="2214">
        <f t="array" ref="Z239">IFERROR(VLOOKUP(Y223,Dex!$B$3:$N244,11,FALSE),"")</f>
        <v>95</v>
      </c>
      <c r="AA239" s="2215" t="str">
        <f t="array" ref="AA239">IFERROR(VLOOKUP(Z239,Dex!$P$22:$Q$276,2,FALSE),"")</f>
        <v/>
      </c>
      <c r="AB239" s="2216"/>
      <c r="AC239" s="2211"/>
      <c r="AD239" s="2213" t="s">
        <v>195</v>
      </c>
      <c r="AE239" s="2214">
        <f t="array" ref="AE239">IFERROR(VLOOKUP(AD223,Dex!$B$3:$N244,11,FALSE),"")</f>
        <v>60</v>
      </c>
      <c r="AF239" s="2215" t="str">
        <f t="array" ref="AF239">IFERROR(VLOOKUP(AE239,Dex!$P$22:$Q$276,2,FALSE),"")</f>
        <v/>
      </c>
      <c r="AG239" s="2216"/>
      <c r="AH239" s="2212"/>
      <c r="AI239" s="1542"/>
    </row>
    <row r="240" ht="15.75" customHeight="1">
      <c r="A240" s="1468"/>
      <c r="B240" s="2133"/>
      <c r="C240" s="2199"/>
      <c r="D240" s="2248"/>
      <c r="E240" s="2213" t="s">
        <v>196</v>
      </c>
      <c r="F240" s="2214">
        <f t="array" ref="F240">IFERROR(VLOOKUP(E223,Dex!$B$3:$N244,12,FALSE),"")</f>
        <v>60</v>
      </c>
      <c r="G240" s="2215" t="str">
        <f t="array" ref="G240">IFERROR(VLOOKUP(F240,Dex!$P$22:$Q$276,2,FALSE),"")</f>
        <v/>
      </c>
      <c r="H240" s="2216">
        <v>4.0</v>
      </c>
      <c r="I240" s="2211"/>
      <c r="J240" s="2213" t="s">
        <v>196</v>
      </c>
      <c r="K240" s="2214">
        <f t="array" ref="K240">IFERROR(VLOOKUP(J223,Dex!$B$3:$N244,12,FALSE),"")</f>
        <v>65</v>
      </c>
      <c r="L240" s="2215" t="str">
        <f t="array" ref="L240">IFERROR(VLOOKUP(K240,Dex!$P$22:$Q$276,2,FALSE),"")</f>
        <v/>
      </c>
      <c r="M240" s="2216">
        <v>4.0</v>
      </c>
      <c r="N240" s="2211"/>
      <c r="O240" s="2213" t="s">
        <v>196</v>
      </c>
      <c r="P240" s="2214">
        <f t="array" ref="P240">IFERROR(VLOOKUP(O223,Dex!$B$3:$N244,12,FALSE),"")</f>
        <v>90</v>
      </c>
      <c r="Q240" s="2215" t="str">
        <f t="array" ref="Q240">IFERROR(VLOOKUP(P240,Dex!$P$22:$Q$276,2,FALSE),"")</f>
        <v/>
      </c>
      <c r="R240" s="2216">
        <v>4.0</v>
      </c>
      <c r="S240" s="2211"/>
      <c r="T240" s="2213" t="s">
        <v>196</v>
      </c>
      <c r="U240" s="2214">
        <f t="array" ref="U240">IFERROR(VLOOKUP(T223,Dex!$B$3:$N244,12,FALSE),"")</f>
        <v>70</v>
      </c>
      <c r="V240" s="2215" t="str">
        <f t="array" ref="V240">IFERROR(VLOOKUP(U240,Dex!$P$22:$Q$276,2,FALSE),"")</f>
        <v/>
      </c>
      <c r="W240" s="2216">
        <v>4.0</v>
      </c>
      <c r="X240" s="2211"/>
      <c r="Y240" s="2213" t="s">
        <v>196</v>
      </c>
      <c r="Z240" s="2214">
        <f t="array" ref="Z240">IFERROR(VLOOKUP(Y223,Dex!$B$3:$N244,12,FALSE),"")</f>
        <v>70</v>
      </c>
      <c r="AA240" s="2215" t="str">
        <f t="array" ref="AA240">IFERROR(VLOOKUP(Z240,Dex!$P$22:$Q$276,2,FALSE),"")</f>
        <v/>
      </c>
      <c r="AB240" s="2216"/>
      <c r="AC240" s="2211"/>
      <c r="AD240" s="2213" t="s">
        <v>196</v>
      </c>
      <c r="AE240" s="2214">
        <f t="array" ref="AE240">IFERROR(VLOOKUP(AD223,Dex!$B$3:$N244,12,FALSE),"")</f>
        <v>80</v>
      </c>
      <c r="AF240" s="2215" t="str">
        <f t="array" ref="AF240">IFERROR(VLOOKUP(AE240,Dex!$P$22:$Q$276,2,FALSE),"")</f>
        <v/>
      </c>
      <c r="AG240" s="2216"/>
      <c r="AH240" s="2212"/>
      <c r="AI240" s="1542"/>
    </row>
    <row r="241" ht="15.75" customHeight="1">
      <c r="A241" s="1468"/>
      <c r="B241" s="2133"/>
      <c r="C241" s="1204" t="s">
        <v>436</v>
      </c>
      <c r="D241" s="2248"/>
      <c r="E241" s="2217" t="s">
        <v>197</v>
      </c>
      <c r="F241" s="2218">
        <f t="array" ref="F241">IFERROR(VLOOKUP(E223,Dex!$B$3:$N244,13,FALSE),"")</f>
        <v>40</v>
      </c>
      <c r="G241" s="2219" t="str">
        <f t="array" ref="G241">IFERROR(VLOOKUP(F241,Dex!$P$22:$Q$276,2,FALSE),"")</f>
        <v/>
      </c>
      <c r="H241" s="2220"/>
      <c r="I241" s="2211"/>
      <c r="J241" s="2217" t="s">
        <v>197</v>
      </c>
      <c r="K241" s="2218">
        <f t="array" ref="K241">IFERROR(VLOOKUP(J223,Dex!$B$3:$N244,13,FALSE),"")</f>
        <v>34</v>
      </c>
      <c r="L241" s="2219" t="str">
        <f t="array" ref="L241">IFERROR(VLOOKUP(K241,Dex!$P$22:$Q$276,2,FALSE),"")</f>
        <v/>
      </c>
      <c r="M241" s="2220"/>
      <c r="N241" s="2211"/>
      <c r="O241" s="2217" t="s">
        <v>197</v>
      </c>
      <c r="P241" s="2218">
        <f t="array" ref="P241">IFERROR(VLOOKUP(O223,Dex!$B$3:$N244,13,FALSE),"")</f>
        <v>60</v>
      </c>
      <c r="Q241" s="2219" t="str">
        <f t="array" ref="Q241">IFERROR(VLOOKUP(P241,Dex!$P$22:$Q$276,2,FALSE),"")</f>
        <v/>
      </c>
      <c r="R241" s="2220">
        <v>252.0</v>
      </c>
      <c r="S241" s="2211"/>
      <c r="T241" s="2217" t="s">
        <v>197</v>
      </c>
      <c r="U241" s="2218">
        <f t="array" ref="U241">IFERROR(VLOOKUP(T223,Dex!$B$3:$N244,13,FALSE),"")</f>
        <v>90</v>
      </c>
      <c r="V241" s="2219" t="str">
        <f t="array" ref="V241">IFERROR(VLOOKUP(U241,Dex!$P$22:$Q$276,2,FALSE),"")</f>
        <v/>
      </c>
      <c r="W241" s="2220">
        <v>252.0</v>
      </c>
      <c r="X241" s="2211"/>
      <c r="Y241" s="2217" t="s">
        <v>197</v>
      </c>
      <c r="Z241" s="2218">
        <f t="array" ref="Z241">IFERROR(VLOOKUP(Y223,Dex!$B$3:$N244,13,FALSE),"")</f>
        <v>90</v>
      </c>
      <c r="AA241" s="2219" t="str">
        <f t="array" ref="AA241">IFERROR(VLOOKUP(Z241,Dex!$P$22:$Q$276,2,FALSE),"")</f>
        <v/>
      </c>
      <c r="AB241" s="2220">
        <v>252.0</v>
      </c>
      <c r="AC241" s="2211"/>
      <c r="AD241" s="2217" t="s">
        <v>197</v>
      </c>
      <c r="AE241" s="2218">
        <f t="array" ref="AE241">IFERROR(VLOOKUP(AD223,Dex!$B$3:$N244,13,FALSE),"")</f>
        <v>50</v>
      </c>
      <c r="AF241" s="2219" t="str">
        <f t="array" ref="AF241">IFERROR(VLOOKUP(AE241,Dex!$P$22:$Q$276,2,FALSE),"")</f>
        <v/>
      </c>
      <c r="AG241" s="2220"/>
      <c r="AH241" s="2212"/>
      <c r="AI241" s="1542"/>
    </row>
    <row r="242" ht="16.5" customHeight="1">
      <c r="A242" s="1468"/>
      <c r="B242" s="2133"/>
      <c r="C242" s="1205" t="s">
        <v>641</v>
      </c>
      <c r="D242" s="2248"/>
      <c r="E242" s="2221" t="s">
        <v>198</v>
      </c>
      <c r="F242" s="405"/>
      <c r="G242" s="406"/>
      <c r="H242" s="2222">
        <v>54.0</v>
      </c>
      <c r="I242" s="2203"/>
      <c r="J242" s="2221" t="s">
        <v>198</v>
      </c>
      <c r="K242" s="405"/>
      <c r="L242" s="406"/>
      <c r="M242" s="2222">
        <v>75.0</v>
      </c>
      <c r="N242" s="2203"/>
      <c r="O242" s="2221" t="s">
        <v>198</v>
      </c>
      <c r="P242" s="405"/>
      <c r="Q242" s="406"/>
      <c r="R242" s="2222">
        <v>156.0</v>
      </c>
      <c r="S242" s="2203"/>
      <c r="T242" s="2221" t="s">
        <v>198</v>
      </c>
      <c r="U242" s="405"/>
      <c r="V242" s="406"/>
      <c r="W242" s="2222">
        <v>218.0</v>
      </c>
      <c r="X242" s="2203"/>
      <c r="Y242" s="2221" t="s">
        <v>198</v>
      </c>
      <c r="Z242" s="405"/>
      <c r="AA242" s="406"/>
      <c r="AB242" s="2222">
        <v>218.0</v>
      </c>
      <c r="AC242" s="2203"/>
      <c r="AD242" s="2221" t="s">
        <v>198</v>
      </c>
      <c r="AE242" s="405"/>
      <c r="AF242" s="406"/>
      <c r="AG242" s="2222">
        <v>98.0</v>
      </c>
      <c r="AH242" s="2206"/>
      <c r="AI242" s="1542"/>
    </row>
    <row r="243" ht="7.5" customHeight="1">
      <c r="A243" s="1468"/>
      <c r="B243" s="2249"/>
      <c r="C243" s="2250"/>
      <c r="D243" s="2251"/>
      <c r="E243" s="2252"/>
      <c r="F243" s="2252"/>
      <c r="G243" s="2252"/>
      <c r="H243" s="2252"/>
      <c r="I243" s="2251"/>
      <c r="J243" s="2252"/>
      <c r="K243" s="2252"/>
      <c r="L243" s="2252"/>
      <c r="M243" s="2252"/>
      <c r="N243" s="2251"/>
      <c r="O243" s="2252"/>
      <c r="P243" s="2252"/>
      <c r="Q243" s="2252"/>
      <c r="R243" s="2252"/>
      <c r="S243" s="2251"/>
      <c r="T243" s="2252"/>
      <c r="U243" s="2252"/>
      <c r="V243" s="2252"/>
      <c r="W243" s="2252"/>
      <c r="X243" s="2251"/>
      <c r="Y243" s="2252"/>
      <c r="Z243" s="2252"/>
      <c r="AA243" s="2252"/>
      <c r="AB243" s="2252"/>
      <c r="AC243" s="2251"/>
      <c r="AD243" s="2252"/>
      <c r="AE243" s="2252"/>
      <c r="AF243" s="2252"/>
      <c r="AG243" s="2252"/>
      <c r="AH243" s="2253"/>
      <c r="AI243" s="1456"/>
    </row>
    <row r="244" ht="3.75" customHeight="1">
      <c r="A244" s="2254"/>
      <c r="B244" s="2255"/>
      <c r="C244" s="2256"/>
      <c r="D244" s="2255"/>
      <c r="E244" s="2255"/>
      <c r="F244" s="2255"/>
      <c r="G244" s="2255"/>
      <c r="H244" s="2255"/>
      <c r="I244" s="2255"/>
      <c r="J244" s="2255"/>
      <c r="K244" s="2255"/>
      <c r="L244" s="2255"/>
      <c r="M244" s="2255"/>
      <c r="N244" s="2255"/>
      <c r="O244" s="2255"/>
      <c r="P244" s="2255"/>
      <c r="Q244" s="2255"/>
      <c r="R244" s="2255"/>
      <c r="S244" s="2255"/>
      <c r="T244" s="2255"/>
      <c r="U244" s="2255"/>
      <c r="V244" s="2255"/>
      <c r="W244" s="2255"/>
      <c r="X244" s="2255"/>
      <c r="Y244" s="2255"/>
      <c r="Z244" s="2255"/>
      <c r="AA244" s="2255"/>
      <c r="AB244" s="2255"/>
      <c r="AC244" s="2255"/>
      <c r="AD244" s="2255"/>
      <c r="AE244" s="2255"/>
      <c r="AF244" s="2255"/>
      <c r="AG244" s="2255"/>
      <c r="AH244" s="2255"/>
      <c r="AI244" s="1449"/>
    </row>
  </sheetData>
  <mergeCells count="800">
    <mergeCell ref="J155:L155"/>
    <mergeCell ref="O155:Q155"/>
    <mergeCell ref="J156:L156"/>
    <mergeCell ref="O156:Q156"/>
    <mergeCell ref="T156:V156"/>
    <mergeCell ref="O157:Q157"/>
    <mergeCell ref="T157:V157"/>
    <mergeCell ref="E161:G161"/>
    <mergeCell ref="J161:L161"/>
    <mergeCell ref="O161:Q161"/>
    <mergeCell ref="T161:V161"/>
    <mergeCell ref="Y161:AA161"/>
    <mergeCell ref="AD161:AF161"/>
    <mergeCell ref="J157:L157"/>
    <mergeCell ref="J158:L158"/>
    <mergeCell ref="O158:Q158"/>
    <mergeCell ref="T158:V158"/>
    <mergeCell ref="J159:L159"/>
    <mergeCell ref="O159:Q159"/>
    <mergeCell ref="T159:V159"/>
    <mergeCell ref="E174:H174"/>
    <mergeCell ref="E175:H175"/>
    <mergeCell ref="O174:R174"/>
    <mergeCell ref="O175:R175"/>
    <mergeCell ref="Y174:AB174"/>
    <mergeCell ref="Y175:AB175"/>
    <mergeCell ref="J175:M175"/>
    <mergeCell ref="E176:H176"/>
    <mergeCell ref="J168:L168"/>
    <mergeCell ref="O168:Q168"/>
    <mergeCell ref="T168:V168"/>
    <mergeCell ref="Y168:AA168"/>
    <mergeCell ref="AD168:AF168"/>
    <mergeCell ref="Y169:AA169"/>
    <mergeCell ref="E172:AG172"/>
    <mergeCell ref="T176:W176"/>
    <mergeCell ref="Y176:AB176"/>
    <mergeCell ref="E168:G168"/>
    <mergeCell ref="T174:W174"/>
    <mergeCell ref="AD174:AG174"/>
    <mergeCell ref="C175:C177"/>
    <mergeCell ref="T175:W175"/>
    <mergeCell ref="AD175:AG175"/>
    <mergeCell ref="AD176:AG176"/>
    <mergeCell ref="AE177:AF177"/>
    <mergeCell ref="Y179:AB179"/>
    <mergeCell ref="Y180:AB180"/>
    <mergeCell ref="Y181:AA181"/>
    <mergeCell ref="AD181:AF181"/>
    <mergeCell ref="J176:M176"/>
    <mergeCell ref="O176:R176"/>
    <mergeCell ref="O179:R179"/>
    <mergeCell ref="T179:W179"/>
    <mergeCell ref="AD179:AG179"/>
    <mergeCell ref="O180:R180"/>
    <mergeCell ref="T180:W180"/>
    <mergeCell ref="AD180:AG180"/>
    <mergeCell ref="J180:M180"/>
    <mergeCell ref="J181:L181"/>
    <mergeCell ref="O181:Q181"/>
    <mergeCell ref="T181:V181"/>
    <mergeCell ref="E182:G182"/>
    <mergeCell ref="J182:L182"/>
    <mergeCell ref="O182:Q182"/>
    <mergeCell ref="T182:V182"/>
    <mergeCell ref="Y182:AA182"/>
    <mergeCell ref="AD182:AF182"/>
    <mergeCell ref="E78:H78"/>
    <mergeCell ref="J78:M78"/>
    <mergeCell ref="T78:W78"/>
    <mergeCell ref="C79:C81"/>
    <mergeCell ref="E79:H79"/>
    <mergeCell ref="E80:H80"/>
    <mergeCell ref="O80:R80"/>
    <mergeCell ref="P81:Q81"/>
    <mergeCell ref="J84:M84"/>
    <mergeCell ref="J85:L85"/>
    <mergeCell ref="T79:W79"/>
    <mergeCell ref="T80:W80"/>
    <mergeCell ref="Y80:AB80"/>
    <mergeCell ref="Z81:AA81"/>
    <mergeCell ref="T83:W83"/>
    <mergeCell ref="Y83:AB83"/>
    <mergeCell ref="Y84:AB84"/>
    <mergeCell ref="Y87:AA87"/>
    <mergeCell ref="Y88:AA88"/>
    <mergeCell ref="Y91:AA91"/>
    <mergeCell ref="T89:V89"/>
    <mergeCell ref="Y89:AA89"/>
    <mergeCell ref="T84:W84"/>
    <mergeCell ref="T85:V85"/>
    <mergeCell ref="Y85:AA85"/>
    <mergeCell ref="T86:V86"/>
    <mergeCell ref="Y86:AA86"/>
    <mergeCell ref="T87:V87"/>
    <mergeCell ref="T88:V88"/>
    <mergeCell ref="E89:G89"/>
    <mergeCell ref="E91:G91"/>
    <mergeCell ref="J91:L91"/>
    <mergeCell ref="O91:Q91"/>
    <mergeCell ref="T91:V91"/>
    <mergeCell ref="J79:M79"/>
    <mergeCell ref="J80:M80"/>
    <mergeCell ref="E83:H83"/>
    <mergeCell ref="J83:M83"/>
    <mergeCell ref="C84:C86"/>
    <mergeCell ref="E84:H84"/>
    <mergeCell ref="E85:G85"/>
    <mergeCell ref="E86:G86"/>
    <mergeCell ref="J86:L86"/>
    <mergeCell ref="E87:G87"/>
    <mergeCell ref="J87:L87"/>
    <mergeCell ref="E88:G88"/>
    <mergeCell ref="J88:L88"/>
    <mergeCell ref="J89:L89"/>
    <mergeCell ref="O101:R101"/>
    <mergeCell ref="T101:W101"/>
    <mergeCell ref="AD101:AG101"/>
    <mergeCell ref="J102:M102"/>
    <mergeCell ref="O102:R102"/>
    <mergeCell ref="T102:W102"/>
    <mergeCell ref="Y102:AB102"/>
    <mergeCell ref="AD102:AG102"/>
    <mergeCell ref="E103:H103"/>
    <mergeCell ref="J103:M103"/>
    <mergeCell ref="O103:R103"/>
    <mergeCell ref="T103:W103"/>
    <mergeCell ref="AD103:AG103"/>
    <mergeCell ref="O109:Q109"/>
    <mergeCell ref="T109:V109"/>
    <mergeCell ref="Y109:AA109"/>
    <mergeCell ref="J110:L110"/>
    <mergeCell ref="O110:Q110"/>
    <mergeCell ref="T110:V110"/>
    <mergeCell ref="Y110:AA110"/>
    <mergeCell ref="J111:L111"/>
    <mergeCell ref="O111:Q111"/>
    <mergeCell ref="T111:V111"/>
    <mergeCell ref="Y111:AA111"/>
    <mergeCell ref="J112:L112"/>
    <mergeCell ref="O112:Q112"/>
    <mergeCell ref="T112:V112"/>
    <mergeCell ref="Y112:AA112"/>
    <mergeCell ref="I101:I112"/>
    <mergeCell ref="N101:N112"/>
    <mergeCell ref="S101:S112"/>
    <mergeCell ref="X101:X112"/>
    <mergeCell ref="AC101:AC112"/>
    <mergeCell ref="Y103:AB103"/>
    <mergeCell ref="Y106:AB106"/>
    <mergeCell ref="O107:R107"/>
    <mergeCell ref="T107:W107"/>
    <mergeCell ref="AD107:AG107"/>
    <mergeCell ref="Y107:AB107"/>
    <mergeCell ref="O108:Q108"/>
    <mergeCell ref="T108:V108"/>
    <mergeCell ref="Y108:AA108"/>
    <mergeCell ref="AD108:AF108"/>
    <mergeCell ref="AD109:AF109"/>
    <mergeCell ref="AD110:AF110"/>
    <mergeCell ref="E98:G98"/>
    <mergeCell ref="J98:L98"/>
    <mergeCell ref="O98:Q98"/>
    <mergeCell ref="T98:V98"/>
    <mergeCell ref="Y98:AA98"/>
    <mergeCell ref="E101:H101"/>
    <mergeCell ref="J101:M101"/>
    <mergeCell ref="Y101:AB101"/>
    <mergeCell ref="E102:H102"/>
    <mergeCell ref="K104:L104"/>
    <mergeCell ref="O106:R106"/>
    <mergeCell ref="T106:W106"/>
    <mergeCell ref="AD106:AG106"/>
    <mergeCell ref="E106:H106"/>
    <mergeCell ref="J106:M106"/>
    <mergeCell ref="E107:H107"/>
    <mergeCell ref="J107:M107"/>
    <mergeCell ref="E108:G108"/>
    <mergeCell ref="J108:L108"/>
    <mergeCell ref="J109:L109"/>
    <mergeCell ref="AD111:AF111"/>
    <mergeCell ref="AD112:AF112"/>
    <mergeCell ref="Y114:AA114"/>
    <mergeCell ref="AD114:AF114"/>
    <mergeCell ref="Y121:AA121"/>
    <mergeCell ref="AD121:AF121"/>
    <mergeCell ref="E124:H124"/>
    <mergeCell ref="E125:H125"/>
    <mergeCell ref="J124:M124"/>
    <mergeCell ref="O124:R124"/>
    <mergeCell ref="T124:W124"/>
    <mergeCell ref="Y124:AB124"/>
    <mergeCell ref="AD124:AG124"/>
    <mergeCell ref="T125:W125"/>
    <mergeCell ref="AD125:AG125"/>
    <mergeCell ref="E109:G109"/>
    <mergeCell ref="E110:G110"/>
    <mergeCell ref="E111:G111"/>
    <mergeCell ref="E112:G112"/>
    <mergeCell ref="E114:G114"/>
    <mergeCell ref="J114:L114"/>
    <mergeCell ref="O114:Q114"/>
    <mergeCell ref="T114:V114"/>
    <mergeCell ref="J125:M125"/>
    <mergeCell ref="O125:R125"/>
    <mergeCell ref="E126:H126"/>
    <mergeCell ref="J126:M126"/>
    <mergeCell ref="T126:W126"/>
    <mergeCell ref="C102:C104"/>
    <mergeCell ref="C107:C109"/>
    <mergeCell ref="E121:G121"/>
    <mergeCell ref="J121:L121"/>
    <mergeCell ref="O121:Q121"/>
    <mergeCell ref="T121:V121"/>
    <mergeCell ref="O126:R126"/>
    <mergeCell ref="J129:M129"/>
    <mergeCell ref="J130:M130"/>
    <mergeCell ref="T129:W129"/>
    <mergeCell ref="T130:W130"/>
    <mergeCell ref="T131:V131"/>
    <mergeCell ref="T132:V132"/>
    <mergeCell ref="T133:V133"/>
    <mergeCell ref="T134:V134"/>
    <mergeCell ref="T135:V135"/>
    <mergeCell ref="T137:V137"/>
    <mergeCell ref="E131:G131"/>
    <mergeCell ref="J131:L131"/>
    <mergeCell ref="J194:L194"/>
    <mergeCell ref="O194:Q194"/>
    <mergeCell ref="Y194:AA194"/>
    <mergeCell ref="AD194:AF194"/>
    <mergeCell ref="E194:G194"/>
    <mergeCell ref="J195:M195"/>
    <mergeCell ref="O195:R195"/>
    <mergeCell ref="T195:W195"/>
    <mergeCell ref="Y195:AB195"/>
    <mergeCell ref="AD195:AG195"/>
    <mergeCell ref="E196:AG196"/>
    <mergeCell ref="J230:L230"/>
    <mergeCell ref="J231:L231"/>
    <mergeCell ref="T230:V230"/>
    <mergeCell ref="T231:V231"/>
    <mergeCell ref="E232:G232"/>
    <mergeCell ref="J232:L232"/>
    <mergeCell ref="E233:G233"/>
    <mergeCell ref="J233:L233"/>
    <mergeCell ref="E235:G235"/>
    <mergeCell ref="J235:L235"/>
    <mergeCell ref="E242:G242"/>
    <mergeCell ref="J242:L242"/>
    <mergeCell ref="E223:H223"/>
    <mergeCell ref="K225:L225"/>
    <mergeCell ref="E228:H228"/>
    <mergeCell ref="E229:G229"/>
    <mergeCell ref="J229:L229"/>
    <mergeCell ref="E230:G230"/>
    <mergeCell ref="E231:G231"/>
    <mergeCell ref="O231:Q231"/>
    <mergeCell ref="O232:Q232"/>
    <mergeCell ref="O235:Q235"/>
    <mergeCell ref="O242:Q242"/>
    <mergeCell ref="Y231:AA231"/>
    <mergeCell ref="Y232:AA232"/>
    <mergeCell ref="Y235:AA235"/>
    <mergeCell ref="AD235:AF235"/>
    <mergeCell ref="T232:V232"/>
    <mergeCell ref="T233:V233"/>
    <mergeCell ref="T235:V235"/>
    <mergeCell ref="T242:V242"/>
    <mergeCell ref="Y242:AA242"/>
    <mergeCell ref="AD242:AF242"/>
    <mergeCell ref="I222:I233"/>
    <mergeCell ref="N222:N233"/>
    <mergeCell ref="S222:S233"/>
    <mergeCell ref="X222:X233"/>
    <mergeCell ref="AC222:AC233"/>
    <mergeCell ref="Y224:AB224"/>
    <mergeCell ref="O233:Q233"/>
    <mergeCell ref="Y233:AA233"/>
    <mergeCell ref="O227:R227"/>
    <mergeCell ref="T227:W227"/>
    <mergeCell ref="AD227:AG227"/>
    <mergeCell ref="C223:C225"/>
    <mergeCell ref="C228:C230"/>
    <mergeCell ref="J228:M228"/>
    <mergeCell ref="O228:R228"/>
    <mergeCell ref="Y227:AB227"/>
    <mergeCell ref="Y228:AB228"/>
    <mergeCell ref="AD228:AG228"/>
    <mergeCell ref="AD229:AF229"/>
    <mergeCell ref="AD230:AF230"/>
    <mergeCell ref="AD231:AF231"/>
    <mergeCell ref="AD232:AF232"/>
    <mergeCell ref="AD233:AF233"/>
    <mergeCell ref="T228:W228"/>
    <mergeCell ref="T229:V229"/>
    <mergeCell ref="O229:Q229"/>
    <mergeCell ref="O230:Q230"/>
    <mergeCell ref="Y229:AA229"/>
    <mergeCell ref="Y230:AA230"/>
    <mergeCell ref="E183:G183"/>
    <mergeCell ref="J183:L183"/>
    <mergeCell ref="O183:Q183"/>
    <mergeCell ref="T183:V183"/>
    <mergeCell ref="Y183:AA183"/>
    <mergeCell ref="AD183:AF183"/>
    <mergeCell ref="J174:M174"/>
    <mergeCell ref="K177:L177"/>
    <mergeCell ref="E179:H179"/>
    <mergeCell ref="J179:M179"/>
    <mergeCell ref="C180:C182"/>
    <mergeCell ref="E180:H180"/>
    <mergeCell ref="E181:G181"/>
    <mergeCell ref="Y184:AA184"/>
    <mergeCell ref="Y185:AA185"/>
    <mergeCell ref="Y187:AA187"/>
    <mergeCell ref="AD187:AF187"/>
    <mergeCell ref="E184:G184"/>
    <mergeCell ref="J184:L184"/>
    <mergeCell ref="T184:V184"/>
    <mergeCell ref="AD184:AF184"/>
    <mergeCell ref="E185:G185"/>
    <mergeCell ref="J185:L185"/>
    <mergeCell ref="T185:V185"/>
    <mergeCell ref="AD185:AF185"/>
    <mergeCell ref="O184:Q184"/>
    <mergeCell ref="O185:Q185"/>
    <mergeCell ref="E187:G187"/>
    <mergeCell ref="J187:L187"/>
    <mergeCell ref="O187:Q187"/>
    <mergeCell ref="T187:V187"/>
    <mergeCell ref="T194:V194"/>
    <mergeCell ref="J198:M198"/>
    <mergeCell ref="O198:R198"/>
    <mergeCell ref="T198:W198"/>
    <mergeCell ref="Y198:AB198"/>
    <mergeCell ref="AD198:AG198"/>
    <mergeCell ref="AD199:AG199"/>
    <mergeCell ref="AD200:AG200"/>
    <mergeCell ref="AE201:AF201"/>
    <mergeCell ref="E198:H198"/>
    <mergeCell ref="E199:H199"/>
    <mergeCell ref="J204:M204"/>
    <mergeCell ref="O204:R204"/>
    <mergeCell ref="Y208:AA208"/>
    <mergeCell ref="J209:L209"/>
    <mergeCell ref="O209:Q209"/>
    <mergeCell ref="T209:V209"/>
    <mergeCell ref="Y209:AA209"/>
    <mergeCell ref="I198:I209"/>
    <mergeCell ref="N198:N209"/>
    <mergeCell ref="S198:S209"/>
    <mergeCell ref="X198:X209"/>
    <mergeCell ref="AC198:AC209"/>
    <mergeCell ref="Y200:AB200"/>
    <mergeCell ref="T204:W204"/>
    <mergeCell ref="O200:R200"/>
    <mergeCell ref="T200:W200"/>
    <mergeCell ref="Y203:AB203"/>
    <mergeCell ref="Y204:AB204"/>
    <mergeCell ref="J205:L205"/>
    <mergeCell ref="O205:Q205"/>
    <mergeCell ref="T205:V205"/>
    <mergeCell ref="Y205:AA205"/>
    <mergeCell ref="J206:L206"/>
    <mergeCell ref="O206:Q206"/>
    <mergeCell ref="T206:V206"/>
    <mergeCell ref="Y206:AA206"/>
    <mergeCell ref="J207:L207"/>
    <mergeCell ref="O207:Q207"/>
    <mergeCell ref="T207:V207"/>
    <mergeCell ref="T208:V208"/>
    <mergeCell ref="O203:R203"/>
    <mergeCell ref="T203:W203"/>
    <mergeCell ref="AD203:AG203"/>
    <mergeCell ref="AD204:AG204"/>
    <mergeCell ref="AD205:AF205"/>
    <mergeCell ref="Y207:AA207"/>
    <mergeCell ref="O208:Q208"/>
    <mergeCell ref="AD208:AF208"/>
    <mergeCell ref="E218:G218"/>
    <mergeCell ref="J219:M219"/>
    <mergeCell ref="O219:R219"/>
    <mergeCell ref="T219:W219"/>
    <mergeCell ref="Y219:AB219"/>
    <mergeCell ref="AD219:AG219"/>
    <mergeCell ref="E220:AG220"/>
    <mergeCell ref="E219:H219"/>
    <mergeCell ref="E222:H222"/>
    <mergeCell ref="J222:M222"/>
    <mergeCell ref="O222:R222"/>
    <mergeCell ref="T222:W222"/>
    <mergeCell ref="Y222:AB222"/>
    <mergeCell ref="AD222:AG222"/>
    <mergeCell ref="J199:M199"/>
    <mergeCell ref="O199:R199"/>
    <mergeCell ref="T199:W199"/>
    <mergeCell ref="Y199:AB199"/>
    <mergeCell ref="E200:H200"/>
    <mergeCell ref="J200:M200"/>
    <mergeCell ref="E203:H203"/>
    <mergeCell ref="J203:M203"/>
    <mergeCell ref="J208:L208"/>
    <mergeCell ref="J218:L218"/>
    <mergeCell ref="O218:Q218"/>
    <mergeCell ref="T218:V218"/>
    <mergeCell ref="Y218:AA218"/>
    <mergeCell ref="AD206:AF206"/>
    <mergeCell ref="AD207:AF207"/>
    <mergeCell ref="AD209:AF209"/>
    <mergeCell ref="AD211:AF211"/>
    <mergeCell ref="AD218:AF218"/>
    <mergeCell ref="E209:G209"/>
    <mergeCell ref="E211:G211"/>
    <mergeCell ref="J211:L211"/>
    <mergeCell ref="O211:Q211"/>
    <mergeCell ref="T211:V211"/>
    <mergeCell ref="Y211:AA211"/>
    <mergeCell ref="AD223:AG223"/>
    <mergeCell ref="AD224:AG224"/>
    <mergeCell ref="AE225:AF225"/>
    <mergeCell ref="C199:C201"/>
    <mergeCell ref="K201:L201"/>
    <mergeCell ref="E195:H195"/>
    <mergeCell ref="C204:C206"/>
    <mergeCell ref="E204:H204"/>
    <mergeCell ref="E205:G205"/>
    <mergeCell ref="E206:G206"/>
    <mergeCell ref="E207:G207"/>
    <mergeCell ref="E208:G208"/>
    <mergeCell ref="J223:M223"/>
    <mergeCell ref="O223:R223"/>
    <mergeCell ref="T223:W223"/>
    <mergeCell ref="Y223:AB223"/>
    <mergeCell ref="E224:H224"/>
    <mergeCell ref="J224:M224"/>
    <mergeCell ref="O224:R224"/>
    <mergeCell ref="T224:W224"/>
    <mergeCell ref="E227:H227"/>
    <mergeCell ref="J227:M227"/>
    <mergeCell ref="C4:C6"/>
    <mergeCell ref="C9:C11"/>
    <mergeCell ref="C31:C33"/>
    <mergeCell ref="E5:H5"/>
    <mergeCell ref="E10:G10"/>
    <mergeCell ref="E11:G11"/>
    <mergeCell ref="E12:G12"/>
    <mergeCell ref="E13:G13"/>
    <mergeCell ref="E14:G14"/>
    <mergeCell ref="E16:G16"/>
    <mergeCell ref="O31:R31"/>
    <mergeCell ref="T31:W31"/>
    <mergeCell ref="E31:H31"/>
    <mergeCell ref="E32:H32"/>
    <mergeCell ref="E35:H35"/>
    <mergeCell ref="E36:H36"/>
    <mergeCell ref="E37:G37"/>
    <mergeCell ref="E38:G38"/>
    <mergeCell ref="J32:M32"/>
    <mergeCell ref="O32:R32"/>
    <mergeCell ref="Y31:AB31"/>
    <mergeCell ref="Y32:AB32"/>
    <mergeCell ref="Y33:AB33"/>
    <mergeCell ref="Y34:AB34"/>
    <mergeCell ref="J35:M35"/>
    <mergeCell ref="O35:R35"/>
    <mergeCell ref="T35:W35"/>
    <mergeCell ref="Y35:AB35"/>
    <mergeCell ref="J36:M36"/>
    <mergeCell ref="O36:R36"/>
    <mergeCell ref="T36:W36"/>
    <mergeCell ref="Y36:AB36"/>
    <mergeCell ref="J37:L37"/>
    <mergeCell ref="O37:Q37"/>
    <mergeCell ref="T37:V37"/>
    <mergeCell ref="Y37:AB37"/>
    <mergeCell ref="J38:L38"/>
    <mergeCell ref="O38:Q38"/>
    <mergeCell ref="J16:L16"/>
    <mergeCell ref="O16:Q16"/>
    <mergeCell ref="J23:L23"/>
    <mergeCell ref="O23:Q23"/>
    <mergeCell ref="O24:Q24"/>
    <mergeCell ref="C26:AG26"/>
    <mergeCell ref="E27:W27"/>
    <mergeCell ref="E29:W29"/>
    <mergeCell ref="J30:M30"/>
    <mergeCell ref="O30:R30"/>
    <mergeCell ref="T30:W30"/>
    <mergeCell ref="Y30:AB30"/>
    <mergeCell ref="AD30:AG30"/>
    <mergeCell ref="AD31:AG31"/>
    <mergeCell ref="E8:H8"/>
    <mergeCell ref="J8:M8"/>
    <mergeCell ref="O8:R8"/>
    <mergeCell ref="T8:W8"/>
    <mergeCell ref="AD8:AG8"/>
    <mergeCell ref="E9:H9"/>
    <mergeCell ref="J9:M9"/>
    <mergeCell ref="O9:R9"/>
    <mergeCell ref="T9:W9"/>
    <mergeCell ref="AD9:AG9"/>
    <mergeCell ref="X27:AA27"/>
    <mergeCell ref="AB27:AE27"/>
    <mergeCell ref="T39:V39"/>
    <mergeCell ref="Y39:AB39"/>
    <mergeCell ref="T40:V40"/>
    <mergeCell ref="Y40:AB40"/>
    <mergeCell ref="AD41:AG41"/>
    <mergeCell ref="E23:G23"/>
    <mergeCell ref="E30:H30"/>
    <mergeCell ref="E39:G39"/>
    <mergeCell ref="J39:L39"/>
    <mergeCell ref="O39:Q39"/>
    <mergeCell ref="J40:L40"/>
    <mergeCell ref="O40:Q40"/>
    <mergeCell ref="E40:G40"/>
    <mergeCell ref="E41:G41"/>
    <mergeCell ref="E43:G43"/>
    <mergeCell ref="J43:L43"/>
    <mergeCell ref="O43:Q43"/>
    <mergeCell ref="T43:V43"/>
    <mergeCell ref="T50:V50"/>
    <mergeCell ref="T55:W55"/>
    <mergeCell ref="Y55:AB55"/>
    <mergeCell ref="E56:H56"/>
    <mergeCell ref="J56:M56"/>
    <mergeCell ref="O56:R56"/>
    <mergeCell ref="T56:W56"/>
    <mergeCell ref="AD56:AG56"/>
    <mergeCell ref="C56:C58"/>
    <mergeCell ref="E57:H57"/>
    <mergeCell ref="J57:M57"/>
    <mergeCell ref="O57:R57"/>
    <mergeCell ref="Y56:AB56"/>
    <mergeCell ref="Y57:AB57"/>
    <mergeCell ref="AD55:AG55"/>
    <mergeCell ref="AD57:AG57"/>
    <mergeCell ref="J50:L50"/>
    <mergeCell ref="O50:Q50"/>
    <mergeCell ref="E52:AG52"/>
    <mergeCell ref="E54:W54"/>
    <mergeCell ref="E55:H55"/>
    <mergeCell ref="J55:M55"/>
    <mergeCell ref="O55:R55"/>
    <mergeCell ref="E60:H60"/>
    <mergeCell ref="J60:M60"/>
    <mergeCell ref="O60:R60"/>
    <mergeCell ref="T60:W60"/>
    <mergeCell ref="AD60:AG60"/>
    <mergeCell ref="Y60:AB60"/>
    <mergeCell ref="E61:H61"/>
    <mergeCell ref="J61:M61"/>
    <mergeCell ref="O61:R61"/>
    <mergeCell ref="T61:W61"/>
    <mergeCell ref="Y61:AB61"/>
    <mergeCell ref="AD61:AG61"/>
    <mergeCell ref="E62:G62"/>
    <mergeCell ref="J62:L62"/>
    <mergeCell ref="J63:L63"/>
    <mergeCell ref="O63:Q63"/>
    <mergeCell ref="T63:V63"/>
    <mergeCell ref="Y63:AA63"/>
    <mergeCell ref="AD63:AF63"/>
    <mergeCell ref="E50:G50"/>
    <mergeCell ref="E63:G63"/>
    <mergeCell ref="I55:I66"/>
    <mergeCell ref="N55:N66"/>
    <mergeCell ref="S55:S66"/>
    <mergeCell ref="X55:X66"/>
    <mergeCell ref="AC55:AC66"/>
    <mergeCell ref="T57:W57"/>
    <mergeCell ref="Y62:AA62"/>
    <mergeCell ref="Y66:AA66"/>
    <mergeCell ref="E64:G64"/>
    <mergeCell ref="J64:L64"/>
    <mergeCell ref="E65:G65"/>
    <mergeCell ref="J65:L65"/>
    <mergeCell ref="E66:G66"/>
    <mergeCell ref="J66:L66"/>
    <mergeCell ref="E68:G68"/>
    <mergeCell ref="O62:Q62"/>
    <mergeCell ref="T62:V62"/>
    <mergeCell ref="AD62:AF62"/>
    <mergeCell ref="O64:Q64"/>
    <mergeCell ref="T64:V64"/>
    <mergeCell ref="AD64:AF64"/>
    <mergeCell ref="Y64:AA64"/>
    <mergeCell ref="O65:Q65"/>
    <mergeCell ref="T65:V65"/>
    <mergeCell ref="Y65:AA65"/>
    <mergeCell ref="AD65:AF65"/>
    <mergeCell ref="O66:Q66"/>
    <mergeCell ref="T66:V66"/>
    <mergeCell ref="AD66:AF66"/>
    <mergeCell ref="J68:L68"/>
    <mergeCell ref="O68:Q68"/>
    <mergeCell ref="T68:V68"/>
    <mergeCell ref="Y68:AA68"/>
    <mergeCell ref="AD68:AF68"/>
    <mergeCell ref="E75:G75"/>
    <mergeCell ref="J75:L75"/>
    <mergeCell ref="O75:Q75"/>
    <mergeCell ref="T75:V75"/>
    <mergeCell ref="Y75:AA75"/>
    <mergeCell ref="AD75:AF75"/>
    <mergeCell ref="Y78:AB78"/>
    <mergeCell ref="Y79:AB79"/>
    <mergeCell ref="Y3:AB3"/>
    <mergeCell ref="AD3:AG3"/>
    <mergeCell ref="E3:H3"/>
    <mergeCell ref="E4:H4"/>
    <mergeCell ref="O3:R3"/>
    <mergeCell ref="O4:R4"/>
    <mergeCell ref="T4:W4"/>
    <mergeCell ref="Y4:AB4"/>
    <mergeCell ref="AD4:AG4"/>
    <mergeCell ref="J4:M4"/>
    <mergeCell ref="J5:M5"/>
    <mergeCell ref="O5:R5"/>
    <mergeCell ref="T5:W5"/>
    <mergeCell ref="AD5:AG5"/>
    <mergeCell ref="Y5:AB5"/>
    <mergeCell ref="P6:Q6"/>
    <mergeCell ref="T6:W6"/>
    <mergeCell ref="Y6:AB6"/>
    <mergeCell ref="AD6:AG6"/>
    <mergeCell ref="T13:W13"/>
    <mergeCell ref="Y13:AB13"/>
    <mergeCell ref="J3:M3"/>
    <mergeCell ref="S3:S14"/>
    <mergeCell ref="T3:W3"/>
    <mergeCell ref="X3:X14"/>
    <mergeCell ref="AC3:AC14"/>
    <mergeCell ref="Y8:AB8"/>
    <mergeCell ref="T10:W10"/>
    <mergeCell ref="Y9:AB9"/>
    <mergeCell ref="Y10:AB10"/>
    <mergeCell ref="J11:L11"/>
    <mergeCell ref="O11:Q11"/>
    <mergeCell ref="T11:W11"/>
    <mergeCell ref="Y11:AB11"/>
    <mergeCell ref="J12:L12"/>
    <mergeCell ref="O12:Q12"/>
    <mergeCell ref="T12:W12"/>
    <mergeCell ref="Y12:AB12"/>
    <mergeCell ref="J13:L13"/>
    <mergeCell ref="O13:Q13"/>
    <mergeCell ref="J14:L14"/>
    <mergeCell ref="O14:Q14"/>
    <mergeCell ref="AD13:AG13"/>
    <mergeCell ref="AD14:AG14"/>
    <mergeCell ref="J10:L10"/>
    <mergeCell ref="O10:Q10"/>
    <mergeCell ref="AD10:AG10"/>
    <mergeCell ref="AD11:AG11"/>
    <mergeCell ref="AD12:AG12"/>
    <mergeCell ref="T14:W14"/>
    <mergeCell ref="Y14:AB14"/>
    <mergeCell ref="T38:V38"/>
    <mergeCell ref="Y38:AB38"/>
    <mergeCell ref="J41:L41"/>
    <mergeCell ref="O41:Q41"/>
    <mergeCell ref="T41:V41"/>
    <mergeCell ref="Y41:AB41"/>
    <mergeCell ref="I30:I41"/>
    <mergeCell ref="N30:N41"/>
    <mergeCell ref="S30:S41"/>
    <mergeCell ref="X30:X41"/>
    <mergeCell ref="AC30:AC41"/>
    <mergeCell ref="J31:M31"/>
    <mergeCell ref="T32:W32"/>
    <mergeCell ref="AD32:AG32"/>
    <mergeCell ref="AD33:AG33"/>
    <mergeCell ref="AD34:AG34"/>
    <mergeCell ref="AD35:AG35"/>
    <mergeCell ref="AD36:AG36"/>
    <mergeCell ref="AD37:AG37"/>
    <mergeCell ref="AD38:AG38"/>
    <mergeCell ref="AD83:AG83"/>
    <mergeCell ref="AD84:AG84"/>
    <mergeCell ref="AD85:AG85"/>
    <mergeCell ref="AD86:AG86"/>
    <mergeCell ref="AD87:AG87"/>
    <mergeCell ref="AD88:AG88"/>
    <mergeCell ref="AD39:AG39"/>
    <mergeCell ref="AD40:AG40"/>
    <mergeCell ref="AC78:AC89"/>
    <mergeCell ref="AD78:AG78"/>
    <mergeCell ref="AD79:AG79"/>
    <mergeCell ref="AD80:AG80"/>
    <mergeCell ref="AD81:AG81"/>
    <mergeCell ref="AD89:AG89"/>
    <mergeCell ref="O88:Q88"/>
    <mergeCell ref="O89:Q89"/>
    <mergeCell ref="O78:R78"/>
    <mergeCell ref="O79:R79"/>
    <mergeCell ref="O83:R83"/>
    <mergeCell ref="O84:R84"/>
    <mergeCell ref="O85:Q85"/>
    <mergeCell ref="O86:Q86"/>
    <mergeCell ref="O87:Q87"/>
    <mergeCell ref="AD130:AG130"/>
    <mergeCell ref="AD131:AF131"/>
    <mergeCell ref="Y125:AB125"/>
    <mergeCell ref="Y126:AB126"/>
    <mergeCell ref="AD126:AG126"/>
    <mergeCell ref="Y129:AB129"/>
    <mergeCell ref="AD129:AG129"/>
    <mergeCell ref="Y130:AB130"/>
    <mergeCell ref="Y131:AA131"/>
    <mergeCell ref="Y135:AA135"/>
    <mergeCell ref="Y137:AA137"/>
    <mergeCell ref="AD137:AF137"/>
    <mergeCell ref="Y144:AA144"/>
    <mergeCell ref="AD144:AF144"/>
    <mergeCell ref="Y132:AA132"/>
    <mergeCell ref="AD132:AF132"/>
    <mergeCell ref="Y133:AA133"/>
    <mergeCell ref="AD133:AF133"/>
    <mergeCell ref="Y134:AA134"/>
    <mergeCell ref="AD134:AF134"/>
    <mergeCell ref="AD135:AF135"/>
    <mergeCell ref="O131:Q131"/>
    <mergeCell ref="O132:Q132"/>
    <mergeCell ref="O144:Q144"/>
    <mergeCell ref="T144:V144"/>
    <mergeCell ref="C125:C127"/>
    <mergeCell ref="F127:G127"/>
    <mergeCell ref="E129:H129"/>
    <mergeCell ref="O129:R129"/>
    <mergeCell ref="C130:C132"/>
    <mergeCell ref="O130:R130"/>
    <mergeCell ref="J132:L132"/>
    <mergeCell ref="J137:L137"/>
    <mergeCell ref="J144:L144"/>
    <mergeCell ref="E147:AG147"/>
    <mergeCell ref="J148:M148"/>
    <mergeCell ref="O148:R148"/>
    <mergeCell ref="T148:W148"/>
    <mergeCell ref="Y148:AB148"/>
    <mergeCell ref="AD148:AG148"/>
    <mergeCell ref="J133:L133"/>
    <mergeCell ref="O133:Q133"/>
    <mergeCell ref="J134:L134"/>
    <mergeCell ref="O134:Q134"/>
    <mergeCell ref="J135:L135"/>
    <mergeCell ref="O135:Q135"/>
    <mergeCell ref="O137:Q137"/>
    <mergeCell ref="E130:H130"/>
    <mergeCell ref="E132:G132"/>
    <mergeCell ref="E133:G133"/>
    <mergeCell ref="E134:G134"/>
    <mergeCell ref="E135:G135"/>
    <mergeCell ref="E137:G137"/>
    <mergeCell ref="E144:G144"/>
    <mergeCell ref="E149:H149"/>
    <mergeCell ref="E150:H150"/>
    <mergeCell ref="O149:R149"/>
    <mergeCell ref="O150:R150"/>
    <mergeCell ref="AD150:AG150"/>
    <mergeCell ref="Y155:AA155"/>
    <mergeCell ref="Y156:AA156"/>
    <mergeCell ref="Y157:AA157"/>
    <mergeCell ref="Y149:AB149"/>
    <mergeCell ref="Y150:AB150"/>
    <mergeCell ref="Y153:AB153"/>
    <mergeCell ref="AD153:AG153"/>
    <mergeCell ref="Y154:AB154"/>
    <mergeCell ref="AD154:AG154"/>
    <mergeCell ref="AD155:AF155"/>
    <mergeCell ref="C149:C151"/>
    <mergeCell ref="J149:M149"/>
    <mergeCell ref="T149:W149"/>
    <mergeCell ref="AD149:AG149"/>
    <mergeCell ref="J150:M150"/>
    <mergeCell ref="T150:W150"/>
    <mergeCell ref="AE151:AF151"/>
    <mergeCell ref="O153:R153"/>
    <mergeCell ref="O154:R154"/>
    <mergeCell ref="E154:H154"/>
    <mergeCell ref="E155:G155"/>
    <mergeCell ref="C154:C156"/>
    <mergeCell ref="E156:G156"/>
    <mergeCell ref="E157:G157"/>
    <mergeCell ref="E158:G158"/>
    <mergeCell ref="E159:G159"/>
    <mergeCell ref="E148:H148"/>
    <mergeCell ref="E153:H153"/>
    <mergeCell ref="J153:M153"/>
    <mergeCell ref="T153:W153"/>
    <mergeCell ref="J154:M154"/>
    <mergeCell ref="T154:W154"/>
    <mergeCell ref="T155:V155"/>
    <mergeCell ref="AD156:AF156"/>
    <mergeCell ref="AD157:AF157"/>
    <mergeCell ref="AD158:AF158"/>
    <mergeCell ref="AD159:AF159"/>
    <mergeCell ref="Y158:AA158"/>
    <mergeCell ref="Y159:AA159"/>
  </mergeCells>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0" priority="1" operator="between">
      <formula>1</formula>
      <formula>95</formula>
    </cfRule>
  </conditionalFormatting>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1" priority="2" operator="between">
      <formula>96</formula>
      <formula>195</formula>
    </cfRule>
  </conditionalFormatting>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2" priority="3" operator="between">
      <formula>196</formula>
      <formula>260</formula>
    </cfRule>
  </conditionalFormatting>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3" priority="4" operator="between">
      <formula>261</formula>
      <formula>299</formula>
    </cfRule>
  </conditionalFormatting>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4" priority="5" operator="between">
      <formula>300</formula>
      <formula>350</formula>
    </cfRule>
  </conditionalFormatting>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5" priority="6" operator="between">
      <formula>351</formula>
      <formula>450</formula>
    </cfRule>
  </conditionalFormatting>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6" priority="7" operator="between">
      <formula>451</formula>
      <formula>1000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B343"/>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2257"/>
      <c r="B1" s="2258"/>
      <c r="C1" s="2259"/>
      <c r="D1" s="2258"/>
      <c r="E1" s="2258"/>
      <c r="F1" s="2258"/>
      <c r="G1" s="2258"/>
      <c r="H1" s="2258"/>
      <c r="I1" s="2258"/>
      <c r="J1" s="2258"/>
      <c r="K1" s="2258"/>
      <c r="L1" s="2258"/>
      <c r="M1" s="2258"/>
      <c r="N1" s="2258"/>
      <c r="O1" s="2258"/>
      <c r="P1" s="2258"/>
      <c r="Q1" s="2258"/>
      <c r="R1" s="2258"/>
      <c r="S1" s="2258"/>
      <c r="T1" s="2258"/>
      <c r="U1" s="2258"/>
      <c r="V1" s="2258"/>
      <c r="W1" s="2258"/>
      <c r="X1" s="2258"/>
      <c r="Y1" s="2258"/>
      <c r="Z1" s="2258"/>
      <c r="AA1" s="2258"/>
      <c r="AB1" s="2258"/>
      <c r="AC1" s="2258"/>
      <c r="AD1" s="2258"/>
      <c r="AE1" s="2258"/>
      <c r="AF1" s="2258"/>
      <c r="AG1" s="2258"/>
      <c r="AH1" s="2258"/>
      <c r="AI1" s="2257"/>
    </row>
    <row r="2" ht="7.5" customHeight="1">
      <c r="A2" s="2260"/>
      <c r="B2" s="2261"/>
      <c r="C2" s="2262"/>
      <c r="D2" s="2263"/>
      <c r="E2" s="2264"/>
      <c r="F2" s="2264"/>
      <c r="G2" s="2264"/>
      <c r="H2" s="2264"/>
      <c r="I2" s="2264"/>
      <c r="J2" s="2264"/>
      <c r="K2" s="2264"/>
      <c r="L2" s="2264"/>
      <c r="M2" s="2264"/>
      <c r="N2" s="2264"/>
      <c r="O2" s="2264"/>
      <c r="P2" s="2264"/>
      <c r="Q2" s="2264"/>
      <c r="R2" s="2264"/>
      <c r="S2" s="2264"/>
      <c r="T2" s="2264"/>
      <c r="U2" s="2264"/>
      <c r="V2" s="2264"/>
      <c r="W2" s="2264"/>
      <c r="X2" s="2263"/>
      <c r="Y2" s="2263"/>
      <c r="Z2" s="2263"/>
      <c r="AA2" s="2263"/>
      <c r="AB2" s="2263"/>
      <c r="AC2" s="2263"/>
      <c r="AD2" s="2263"/>
      <c r="AE2" s="2263"/>
      <c r="AF2" s="2263"/>
      <c r="AG2" s="2263"/>
      <c r="AH2" s="2265"/>
      <c r="AI2" s="2266"/>
    </row>
    <row r="3">
      <c r="A3" s="2267"/>
      <c r="B3" s="2268"/>
      <c r="C3" s="2269"/>
      <c r="D3" s="2270"/>
      <c r="E3" s="2271" t="s">
        <v>672</v>
      </c>
      <c r="F3" s="1579"/>
      <c r="G3" s="1579"/>
      <c r="H3" s="1579"/>
      <c r="I3" s="1579"/>
      <c r="J3" s="1579"/>
      <c r="K3" s="1579"/>
      <c r="L3" s="1579"/>
      <c r="M3" s="1579"/>
      <c r="N3" s="1579"/>
      <c r="O3" s="1579"/>
      <c r="P3" s="1579"/>
      <c r="Q3" s="1579"/>
      <c r="R3" s="1579"/>
      <c r="S3" s="1580"/>
      <c r="T3" s="2272"/>
      <c r="U3" s="2273"/>
      <c r="V3" s="2273"/>
      <c r="W3" s="2274"/>
      <c r="X3" s="2272"/>
      <c r="Y3" s="2273"/>
      <c r="Z3" s="2273"/>
      <c r="AA3" s="2274"/>
      <c r="AB3" s="2270"/>
      <c r="AC3" s="2273"/>
      <c r="AD3" s="2273"/>
      <c r="AE3" s="2274"/>
      <c r="AF3" s="2275"/>
      <c r="AG3" s="2275"/>
      <c r="AH3" s="2276"/>
      <c r="AI3" s="2266"/>
    </row>
    <row r="4" ht="3.75" customHeight="1">
      <c r="A4" s="2267"/>
      <c r="B4" s="2268"/>
      <c r="C4" s="2277"/>
      <c r="D4" s="2278"/>
      <c r="E4" s="2279"/>
      <c r="F4" s="2279"/>
      <c r="G4" s="2279"/>
      <c r="H4" s="2279"/>
      <c r="I4" s="2280"/>
      <c r="J4" s="2279"/>
      <c r="K4" s="2279"/>
      <c r="L4" s="2279"/>
      <c r="M4" s="2279"/>
      <c r="N4" s="2280"/>
      <c r="O4" s="2280"/>
      <c r="P4" s="2280"/>
      <c r="Q4" s="2280"/>
      <c r="R4" s="2280"/>
      <c r="S4" s="2280"/>
      <c r="T4" s="2280"/>
      <c r="U4" s="2280"/>
      <c r="V4" s="2280"/>
      <c r="W4" s="2280"/>
      <c r="X4" s="2278"/>
      <c r="Y4" s="2278"/>
      <c r="Z4" s="2278"/>
      <c r="AA4" s="2278"/>
      <c r="AB4" s="2278"/>
      <c r="AC4" s="2278"/>
      <c r="AD4" s="2278"/>
      <c r="AE4" s="2278"/>
      <c r="AF4" s="2278"/>
      <c r="AG4" s="2278"/>
      <c r="AH4" s="2276"/>
      <c r="AI4" s="2266"/>
    </row>
    <row r="5" ht="96.75" customHeight="1">
      <c r="A5" s="2260"/>
      <c r="B5" s="2281"/>
      <c r="C5" s="2282" t="str">
        <f>IMAGE("https://i.ibb.co/fXwks6z/Rival.png")</f>
        <v/>
      </c>
      <c r="D5" s="2283"/>
      <c r="E5" s="2284" t="str">
        <f t="array" ref="E5">IFERROR(VLOOKUP(E6,Dex!$B$3:$G415,3,FALSE),"")</f>
        <v/>
      </c>
      <c r="F5" s="1830"/>
      <c r="G5" s="1830"/>
      <c r="H5" s="1831"/>
      <c r="I5" s="2285"/>
      <c r="J5" s="2284" t="str">
        <f t="array" ref="J5">IFERROR(VLOOKUP(J6,Dex!$B$3:$G415,3,FALSE),"")</f>
        <v/>
      </c>
      <c r="K5" s="1830"/>
      <c r="L5" s="1830"/>
      <c r="M5" s="1831"/>
      <c r="N5" s="2286"/>
      <c r="O5" s="2270"/>
      <c r="P5" s="2273"/>
      <c r="Q5" s="2273"/>
      <c r="R5" s="2274"/>
      <c r="S5" s="2287"/>
      <c r="T5" s="2270"/>
      <c r="U5" s="2273"/>
      <c r="V5" s="2273"/>
      <c r="W5" s="2274"/>
      <c r="X5" s="2287"/>
      <c r="Y5" s="2270"/>
      <c r="Z5" s="2273"/>
      <c r="AA5" s="2273"/>
      <c r="AB5" s="2274"/>
      <c r="AC5" s="2287"/>
      <c r="AD5" s="2270"/>
      <c r="AE5" s="2273"/>
      <c r="AF5" s="2273"/>
      <c r="AG5" s="2274"/>
      <c r="AH5" s="2276"/>
      <c r="AI5" s="2266"/>
    </row>
    <row r="6" ht="18.75" customHeight="1">
      <c r="A6" s="2288"/>
      <c r="B6" s="2289"/>
      <c r="C6" s="2290" t="s">
        <v>673</v>
      </c>
      <c r="D6" s="2291"/>
      <c r="E6" s="2292" t="s">
        <v>674</v>
      </c>
      <c r="F6" s="2293"/>
      <c r="G6" s="2293"/>
      <c r="H6" s="2294"/>
      <c r="I6" s="2295"/>
      <c r="J6" s="2292" t="s">
        <v>675</v>
      </c>
      <c r="K6" s="2293"/>
      <c r="L6" s="2293"/>
      <c r="M6" s="2294"/>
      <c r="N6" s="2296"/>
      <c r="O6" s="2297"/>
      <c r="P6" s="2273"/>
      <c r="Q6" s="2273"/>
      <c r="R6" s="2274"/>
      <c r="S6" s="104"/>
      <c r="T6" s="2297"/>
      <c r="U6" s="2273"/>
      <c r="V6" s="2273"/>
      <c r="W6" s="2274"/>
      <c r="X6" s="104"/>
      <c r="Y6" s="2297"/>
      <c r="Z6" s="2273"/>
      <c r="AA6" s="2273"/>
      <c r="AB6" s="2274"/>
      <c r="AC6" s="104"/>
      <c r="AD6" s="2297"/>
      <c r="AE6" s="2273"/>
      <c r="AF6" s="2273"/>
      <c r="AG6" s="2274"/>
      <c r="AH6" s="2298"/>
      <c r="AI6" s="2299"/>
    </row>
    <row r="7">
      <c r="A7" s="2260"/>
      <c r="B7" s="2300"/>
      <c r="C7" s="326"/>
      <c r="D7" s="2301"/>
      <c r="E7" s="2302">
        <v>9.0</v>
      </c>
      <c r="F7" s="2303"/>
      <c r="G7" s="2303"/>
      <c r="H7" s="2304"/>
      <c r="I7" s="2295"/>
      <c r="J7" s="2302">
        <v>9.0</v>
      </c>
      <c r="K7" s="2303"/>
      <c r="L7" s="2303"/>
      <c r="M7" s="2304"/>
      <c r="N7" s="2296"/>
      <c r="O7" s="2270"/>
      <c r="P7" s="2273"/>
      <c r="Q7" s="2273"/>
      <c r="R7" s="2274"/>
      <c r="S7" s="104"/>
      <c r="T7" s="2270"/>
      <c r="U7" s="2273"/>
      <c r="V7" s="2273"/>
      <c r="W7" s="2274"/>
      <c r="X7" s="104"/>
      <c r="Y7" s="2270"/>
      <c r="Z7" s="2273"/>
      <c r="AA7" s="2273"/>
      <c r="AB7" s="2274"/>
      <c r="AC7" s="104"/>
      <c r="AD7" s="2270"/>
      <c r="AE7" s="2273"/>
      <c r="AF7" s="2273"/>
      <c r="AG7" s="2274"/>
      <c r="AH7" s="2276"/>
      <c r="AI7" s="2266"/>
    </row>
    <row r="8" ht="25.5" customHeight="1">
      <c r="A8" s="2260"/>
      <c r="B8" s="2268"/>
      <c r="C8" s="2305"/>
      <c r="D8" s="2306"/>
      <c r="E8" s="2307"/>
      <c r="F8" s="2308" t="str">
        <f t="array" ref="F8">IFERROR(VLOOKUP(E6,Dex!$B$3:$H415,5,FALSE),"")</f>
        <v/>
      </c>
      <c r="G8" s="2309" t="str">
        <f t="array" ref="G8">IFERROR(VLOOKUP(E6,Dex!$B$3:$H415,7,FALSE),"")</f>
        <v/>
      </c>
      <c r="H8" s="2310"/>
      <c r="I8" s="2295"/>
      <c r="J8" s="2307"/>
      <c r="K8" s="2311" t="str">
        <f t="array" ref="K8">IFERROR(VLOOKUP(J6,Dex!$B$3:$H415,5,FALSE),"")</f>
        <v/>
      </c>
      <c r="L8" s="2312"/>
      <c r="M8" s="2310"/>
      <c r="N8" s="2296"/>
      <c r="O8" s="2270"/>
      <c r="P8" s="2273"/>
      <c r="Q8" s="2273"/>
      <c r="R8" s="2274"/>
      <c r="S8" s="104"/>
      <c r="T8" s="2270"/>
      <c r="U8" s="2273"/>
      <c r="V8" s="2273"/>
      <c r="W8" s="2274"/>
      <c r="X8" s="104"/>
      <c r="Y8" s="2270"/>
      <c r="Z8" s="2273"/>
      <c r="AA8" s="2273"/>
      <c r="AB8" s="2274"/>
      <c r="AC8" s="104"/>
      <c r="AD8" s="2270"/>
      <c r="AE8" s="2273"/>
      <c r="AF8" s="2273"/>
      <c r="AG8" s="2274"/>
      <c r="AH8" s="2276"/>
      <c r="AI8" s="2266"/>
    </row>
    <row r="9" ht="2.25" customHeight="1">
      <c r="A9" s="2260"/>
      <c r="B9" s="2268"/>
      <c r="C9" s="104"/>
      <c r="D9" s="2306"/>
      <c r="E9" s="2313"/>
      <c r="F9" s="2314"/>
      <c r="G9" s="2314"/>
      <c r="H9" s="2315"/>
      <c r="I9" s="2295"/>
      <c r="J9" s="2313"/>
      <c r="K9" s="2314"/>
      <c r="L9" s="2314"/>
      <c r="M9" s="2315"/>
      <c r="N9" s="2296"/>
      <c r="O9" s="2316"/>
      <c r="P9" s="2316"/>
      <c r="Q9" s="2316"/>
      <c r="R9" s="2316"/>
      <c r="S9" s="104"/>
      <c r="T9" s="2316"/>
      <c r="U9" s="2316"/>
      <c r="V9" s="2316"/>
      <c r="W9" s="2316"/>
      <c r="X9" s="104"/>
      <c r="Y9" s="2316"/>
      <c r="Z9" s="2316"/>
      <c r="AA9" s="2316"/>
      <c r="AB9" s="2316"/>
      <c r="AC9" s="104"/>
      <c r="AD9" s="2316"/>
      <c r="AE9" s="2316"/>
      <c r="AF9" s="2316"/>
      <c r="AG9" s="2316"/>
      <c r="AH9" s="2276"/>
      <c r="AI9" s="2266"/>
    </row>
    <row r="10" ht="20.25" customHeight="1">
      <c r="A10" s="2260"/>
      <c r="B10" s="2268"/>
      <c r="C10" s="281"/>
      <c r="D10" s="2306"/>
      <c r="E10" s="2317" t="s">
        <v>676</v>
      </c>
      <c r="F10" s="2318"/>
      <c r="G10" s="2318"/>
      <c r="H10" s="2319"/>
      <c r="I10" s="2295"/>
      <c r="J10" s="2317" t="s">
        <v>298</v>
      </c>
      <c r="K10" s="2318"/>
      <c r="L10" s="2318"/>
      <c r="M10" s="2319"/>
      <c r="N10" s="2296"/>
      <c r="O10" s="2270"/>
      <c r="P10" s="2273"/>
      <c r="Q10" s="2273"/>
      <c r="R10" s="2274"/>
      <c r="S10" s="104"/>
      <c r="T10" s="2270"/>
      <c r="U10" s="2273"/>
      <c r="V10" s="2273"/>
      <c r="W10" s="2274"/>
      <c r="X10" s="104"/>
      <c r="Y10" s="2270"/>
      <c r="Z10" s="2273"/>
      <c r="AA10" s="2273"/>
      <c r="AB10" s="2274"/>
      <c r="AC10" s="104"/>
      <c r="AD10" s="2270"/>
      <c r="AE10" s="2273"/>
      <c r="AF10" s="2273"/>
      <c r="AG10" s="2274"/>
      <c r="AH10" s="2276"/>
      <c r="AI10" s="2266"/>
    </row>
    <row r="11" ht="20.25" customHeight="1">
      <c r="A11" s="2260"/>
      <c r="B11" s="2268"/>
      <c r="C11" s="2320"/>
      <c r="D11" s="2306"/>
      <c r="E11" s="2321" t="s">
        <v>677</v>
      </c>
      <c r="F11" s="2273"/>
      <c r="G11" s="2273"/>
      <c r="H11" s="2322"/>
      <c r="I11" s="2295"/>
      <c r="J11" s="2321" t="s">
        <v>678</v>
      </c>
      <c r="K11" s="2273"/>
      <c r="L11" s="2273"/>
      <c r="M11" s="2322"/>
      <c r="N11" s="2296"/>
      <c r="O11" s="2270"/>
      <c r="P11" s="2273"/>
      <c r="Q11" s="2273"/>
      <c r="R11" s="2274"/>
      <c r="S11" s="104"/>
      <c r="T11" s="2270"/>
      <c r="U11" s="2273"/>
      <c r="V11" s="2273"/>
      <c r="W11" s="2274"/>
      <c r="X11" s="104"/>
      <c r="Y11" s="2270"/>
      <c r="Z11" s="2273"/>
      <c r="AA11" s="2273"/>
      <c r="AB11" s="2274"/>
      <c r="AC11" s="104"/>
      <c r="AD11" s="2270"/>
      <c r="AE11" s="2273"/>
      <c r="AF11" s="2273"/>
      <c r="AG11" s="2274"/>
      <c r="AH11" s="2276"/>
      <c r="AI11" s="2266"/>
    </row>
    <row r="12" ht="20.25" customHeight="1">
      <c r="A12" s="2260"/>
      <c r="B12" s="2268"/>
      <c r="C12" s="104"/>
      <c r="D12" s="2306"/>
      <c r="E12" s="2323" t="s">
        <v>679</v>
      </c>
      <c r="F12" s="2324"/>
      <c r="G12" s="2325"/>
      <c r="H12" s="2326" t="s">
        <v>680</v>
      </c>
      <c r="I12" s="2295"/>
      <c r="J12" s="2323" t="s">
        <v>679</v>
      </c>
      <c r="K12" s="2324"/>
      <c r="L12" s="2325"/>
      <c r="M12" s="2326" t="s">
        <v>680</v>
      </c>
      <c r="N12" s="2296"/>
      <c r="O12" s="2270"/>
      <c r="P12" s="2273"/>
      <c r="Q12" s="2273"/>
      <c r="R12" s="2274"/>
      <c r="S12" s="104"/>
      <c r="T12" s="2270"/>
      <c r="U12" s="2273"/>
      <c r="V12" s="2273"/>
      <c r="W12" s="2274"/>
      <c r="X12" s="104"/>
      <c r="Y12" s="2270"/>
      <c r="Z12" s="2273"/>
      <c r="AA12" s="2273"/>
      <c r="AB12" s="2274"/>
      <c r="AC12" s="104"/>
      <c r="AD12" s="2270"/>
      <c r="AE12" s="2273"/>
      <c r="AF12" s="2273"/>
      <c r="AG12" s="2274"/>
      <c r="AH12" s="2276"/>
      <c r="AI12" s="2266"/>
    </row>
    <row r="13" ht="20.25" customHeight="1">
      <c r="A13" s="2260"/>
      <c r="B13" s="2268"/>
      <c r="C13" s="281"/>
      <c r="D13" s="2270"/>
      <c r="E13" s="2317" t="s">
        <v>681</v>
      </c>
      <c r="F13" s="2318"/>
      <c r="G13" s="2327"/>
      <c r="H13" s="2328" t="str">
        <f t="shared" ref="H13:H15" si="1">IMAGE("https://raw.githubusercontent.com/msikma/pokesprite/master/misc/types/gen8/normal.png",4,20,20)</f>
        <v/>
      </c>
      <c r="I13" s="2295"/>
      <c r="J13" s="2317" t="s">
        <v>681</v>
      </c>
      <c r="K13" s="2318"/>
      <c r="L13" s="2327"/>
      <c r="M13" s="2328" t="str">
        <f t="shared" ref="M13:M15" si="2">IMAGE("https://raw.githubusercontent.com/msikma/pokesprite/master/misc/types/gen8/normal.png",4,20,20)</f>
        <v/>
      </c>
      <c r="N13" s="2296"/>
      <c r="O13" s="2270"/>
      <c r="P13" s="2273"/>
      <c r="Q13" s="2273"/>
      <c r="R13" s="2274"/>
      <c r="S13" s="104"/>
      <c r="T13" s="2270"/>
      <c r="U13" s="2273"/>
      <c r="V13" s="2273"/>
      <c r="W13" s="2274"/>
      <c r="X13" s="104"/>
      <c r="Y13" s="2270"/>
      <c r="Z13" s="2273"/>
      <c r="AA13" s="2273"/>
      <c r="AB13" s="2274"/>
      <c r="AC13" s="104"/>
      <c r="AD13" s="2270"/>
      <c r="AE13" s="2273"/>
      <c r="AF13" s="2273"/>
      <c r="AG13" s="2274"/>
      <c r="AH13" s="2276"/>
      <c r="AI13" s="2266"/>
    </row>
    <row r="14" ht="20.25" customHeight="1">
      <c r="A14" s="2260"/>
      <c r="B14" s="2268"/>
      <c r="C14" s="2269"/>
      <c r="D14" s="2270"/>
      <c r="E14" s="2321" t="s">
        <v>682</v>
      </c>
      <c r="F14" s="2273"/>
      <c r="G14" s="2274"/>
      <c r="H14" s="2329" t="str">
        <f t="shared" si="1"/>
        <v/>
      </c>
      <c r="I14" s="2295"/>
      <c r="J14" s="2321" t="s">
        <v>683</v>
      </c>
      <c r="K14" s="2273"/>
      <c r="L14" s="2274"/>
      <c r="M14" s="2329" t="str">
        <f t="shared" si="2"/>
        <v/>
      </c>
      <c r="N14" s="2296"/>
      <c r="O14" s="2270"/>
      <c r="P14" s="2273"/>
      <c r="Q14" s="2273"/>
      <c r="R14" s="2274"/>
      <c r="S14" s="104"/>
      <c r="T14" s="2270"/>
      <c r="U14" s="2273"/>
      <c r="V14" s="2273"/>
      <c r="W14" s="2274"/>
      <c r="X14" s="104"/>
      <c r="Y14" s="2270"/>
      <c r="Z14" s="2273"/>
      <c r="AA14" s="2273"/>
      <c r="AB14" s="2274"/>
      <c r="AC14" s="104"/>
      <c r="AD14" s="2270"/>
      <c r="AE14" s="2273"/>
      <c r="AF14" s="2273"/>
      <c r="AG14" s="2274"/>
      <c r="AH14" s="2276"/>
      <c r="AI14" s="2266"/>
    </row>
    <row r="15" ht="20.25" customHeight="1">
      <c r="A15" s="2260"/>
      <c r="B15" s="2268"/>
      <c r="C15" s="2269"/>
      <c r="D15" s="2270"/>
      <c r="E15" s="2321" t="s">
        <v>635</v>
      </c>
      <c r="F15" s="2273"/>
      <c r="G15" s="2274"/>
      <c r="H15" s="2329" t="str">
        <f t="shared" si="1"/>
        <v/>
      </c>
      <c r="I15" s="2295"/>
      <c r="J15" s="2321" t="s">
        <v>684</v>
      </c>
      <c r="K15" s="2273"/>
      <c r="L15" s="2274"/>
      <c r="M15" s="2329" t="str">
        <f t="shared" si="2"/>
        <v/>
      </c>
      <c r="N15" s="2296"/>
      <c r="O15" s="2270"/>
      <c r="P15" s="2273"/>
      <c r="Q15" s="2273"/>
      <c r="R15" s="2274"/>
      <c r="S15" s="104"/>
      <c r="T15" s="2270"/>
      <c r="U15" s="2273"/>
      <c r="V15" s="2273"/>
      <c r="W15" s="2274"/>
      <c r="X15" s="104"/>
      <c r="Y15" s="2270"/>
      <c r="Z15" s="2273"/>
      <c r="AA15" s="2273"/>
      <c r="AB15" s="2274"/>
      <c r="AC15" s="104"/>
      <c r="AD15" s="2270"/>
      <c r="AE15" s="2273"/>
      <c r="AF15" s="2273"/>
      <c r="AG15" s="2274"/>
      <c r="AH15" s="2276"/>
      <c r="AI15" s="2266"/>
    </row>
    <row r="16" ht="21.0" customHeight="1">
      <c r="A16" s="2260"/>
      <c r="B16" s="2268"/>
      <c r="C16" s="2269"/>
      <c r="D16" s="2270"/>
      <c r="E16" s="2330" t="s">
        <v>685</v>
      </c>
      <c r="F16" s="2331"/>
      <c r="G16" s="2332"/>
      <c r="H16" s="2333" t="str">
        <f>IMAGE("https://raw.githubusercontent.com/msikma/pokesprite/master/misc/types/gen8/flying.png",4,20,20)</f>
        <v/>
      </c>
      <c r="I16" s="2334"/>
      <c r="J16" s="2330" t="s">
        <v>686</v>
      </c>
      <c r="K16" s="2331"/>
      <c r="L16" s="2332"/>
      <c r="M16" s="2333" t="str">
        <f>IMAGE("https://raw.githubusercontent.com/msikma/pokesprite/master/misc/types/gen8/water.png",4,20,20)</f>
        <v/>
      </c>
      <c r="N16" s="2335"/>
      <c r="O16" s="2270"/>
      <c r="P16" s="2273"/>
      <c r="Q16" s="2273"/>
      <c r="R16" s="2274"/>
      <c r="S16" s="281"/>
      <c r="T16" s="2270"/>
      <c r="U16" s="2273"/>
      <c r="V16" s="2273"/>
      <c r="W16" s="2274"/>
      <c r="X16" s="281"/>
      <c r="Y16" s="2270"/>
      <c r="Z16" s="2273"/>
      <c r="AA16" s="2273"/>
      <c r="AB16" s="2274"/>
      <c r="AC16" s="281"/>
      <c r="AD16" s="2270"/>
      <c r="AE16" s="2273"/>
      <c r="AF16" s="2273"/>
      <c r="AG16" s="2274"/>
      <c r="AH16" s="2276"/>
      <c r="AI16" s="2266"/>
    </row>
    <row r="17" ht="3.0" customHeight="1">
      <c r="A17" s="2336"/>
      <c r="B17" s="2337"/>
      <c r="C17" s="2338"/>
      <c r="D17" s="2339"/>
      <c r="E17" s="2340"/>
      <c r="F17" s="2340"/>
      <c r="G17" s="2340"/>
      <c r="H17" s="2340"/>
      <c r="I17" s="2339"/>
      <c r="J17" s="2340"/>
      <c r="K17" s="2340"/>
      <c r="L17" s="2340"/>
      <c r="M17" s="2340"/>
      <c r="N17" s="2339"/>
      <c r="O17" s="2339"/>
      <c r="P17" s="2339"/>
      <c r="Q17" s="2339"/>
      <c r="R17" s="2339"/>
      <c r="S17" s="2339"/>
      <c r="T17" s="2339"/>
      <c r="U17" s="2339"/>
      <c r="V17" s="2339"/>
      <c r="W17" s="2339"/>
      <c r="X17" s="2339"/>
      <c r="Y17" s="2339"/>
      <c r="Z17" s="2341"/>
      <c r="AA17" s="2341"/>
      <c r="AB17" s="2342"/>
      <c r="AC17" s="2342"/>
      <c r="AD17" s="2342"/>
      <c r="AE17" s="2342"/>
      <c r="AF17" s="2342"/>
      <c r="AG17" s="2342"/>
      <c r="AH17" s="2343"/>
      <c r="AI17" s="2344"/>
    </row>
    <row r="18" ht="16.5" customHeight="1">
      <c r="A18" s="2267"/>
      <c r="B18" s="2345"/>
      <c r="C18" s="2338"/>
      <c r="D18" s="2346"/>
      <c r="E18" s="488" t="s">
        <v>190</v>
      </c>
      <c r="F18" s="381"/>
      <c r="G18" s="382"/>
      <c r="H18" s="489" t="s">
        <v>191</v>
      </c>
      <c r="I18" s="2347"/>
      <c r="J18" s="488" t="s">
        <v>190</v>
      </c>
      <c r="K18" s="381"/>
      <c r="L18" s="382"/>
      <c r="M18" s="489" t="s">
        <v>191</v>
      </c>
      <c r="N18" s="2348"/>
      <c r="O18" s="2349"/>
      <c r="P18" s="2349"/>
      <c r="Q18" s="2350"/>
      <c r="R18" s="2350"/>
      <c r="S18" s="2350"/>
      <c r="T18" s="2349"/>
      <c r="U18" s="2349"/>
      <c r="V18" s="2350"/>
      <c r="W18" s="2350"/>
      <c r="X18" s="2350"/>
      <c r="Y18" s="2349"/>
      <c r="Z18" s="2349"/>
      <c r="AA18" s="2349"/>
      <c r="AB18" s="2350"/>
      <c r="AC18" s="2350"/>
      <c r="AD18" s="2350"/>
      <c r="AE18" s="2350"/>
      <c r="AF18" s="2350"/>
      <c r="AG18" s="2350"/>
      <c r="AH18" s="2351"/>
      <c r="AI18" s="2352"/>
    </row>
    <row r="19" ht="15.75" customHeight="1">
      <c r="A19" s="2267"/>
      <c r="B19" s="2345"/>
      <c r="C19" s="2338"/>
      <c r="D19" s="2346"/>
      <c r="E19" s="495" t="s">
        <v>192</v>
      </c>
      <c r="F19" s="496">
        <f t="array" ref="F19">IFERROR(VLOOKUP(E6,Dex!$B$3:$N415,8,FALSE),"")</f>
        <v>40</v>
      </c>
      <c r="G19" s="497" t="str">
        <f t="array" ref="G19">IFERROR(VLOOKUP(F19,Dex!$P$22:$Q$276,2,FALSE),"")</f>
        <v/>
      </c>
      <c r="H19" s="498"/>
      <c r="I19" s="2347"/>
      <c r="J19" s="495" t="s">
        <v>192</v>
      </c>
      <c r="K19" s="496">
        <f t="array" ref="K19">IFERROR(VLOOKUP(J6,Dex!$B$3:$N415,8,FALSE),"")</f>
        <v>44</v>
      </c>
      <c r="L19" s="497" t="str">
        <f t="array" ref="L19">IFERROR(VLOOKUP(K19,Dex!$P$22:$Q$276,2,FALSE),"")</f>
        <v/>
      </c>
      <c r="M19" s="498"/>
      <c r="N19" s="2348"/>
      <c r="O19" s="2349"/>
      <c r="P19" s="2349"/>
      <c r="Q19" s="2350"/>
      <c r="R19" s="2350"/>
      <c r="S19" s="2350"/>
      <c r="T19" s="2349"/>
      <c r="U19" s="2349"/>
      <c r="V19" s="2350"/>
      <c r="W19" s="2350"/>
      <c r="X19" s="2350"/>
      <c r="Y19" s="2349"/>
      <c r="Z19" s="2349"/>
      <c r="AA19" s="2349"/>
      <c r="AB19" s="2350"/>
      <c r="AC19" s="2350"/>
      <c r="AD19" s="2350"/>
      <c r="AE19" s="2350"/>
      <c r="AF19" s="2350"/>
      <c r="AG19" s="2350"/>
      <c r="AH19" s="2351"/>
      <c r="AI19" s="2352"/>
    </row>
    <row r="20" ht="15.75" customHeight="1">
      <c r="A20" s="2267"/>
      <c r="B20" s="2345"/>
      <c r="C20" s="2338"/>
      <c r="D20" s="2346"/>
      <c r="E20" s="500" t="s">
        <v>193</v>
      </c>
      <c r="F20" s="501">
        <f t="array" ref="F20">IFERROR(VLOOKUP(E6,Dex!$B$3:$N415,9,FALSE),"")</f>
        <v>55</v>
      </c>
      <c r="G20" s="502" t="str">
        <f t="array" ref="G20">IFERROR(VLOOKUP(F20,Dex!$P$22:$Q$276,2,FALSE),"")</f>
        <v/>
      </c>
      <c r="H20" s="503"/>
      <c r="I20" s="2347"/>
      <c r="J20" s="500" t="s">
        <v>193</v>
      </c>
      <c r="K20" s="501">
        <f t="array" ref="K20">IFERROR(VLOOKUP(J6,Dex!$B$3:$N415,9,FALSE),"")</f>
        <v>48</v>
      </c>
      <c r="L20" s="502" t="str">
        <f t="array" ref="L20">IFERROR(VLOOKUP(K20,Dex!$P$22:$Q$276,2,FALSE),"")</f>
        <v/>
      </c>
      <c r="M20" s="503"/>
      <c r="N20" s="2348"/>
      <c r="O20" s="2349"/>
      <c r="P20" s="2349"/>
      <c r="Q20" s="2350"/>
      <c r="R20" s="2350"/>
      <c r="S20" s="2350"/>
      <c r="T20" s="2349"/>
      <c r="U20" s="2349"/>
      <c r="V20" s="2350"/>
      <c r="W20" s="2350"/>
      <c r="X20" s="2350"/>
      <c r="Y20" s="2349"/>
      <c r="Z20" s="2349"/>
      <c r="AA20" s="2349"/>
      <c r="AB20" s="2350"/>
      <c r="AC20" s="2350"/>
      <c r="AD20" s="2350"/>
      <c r="AE20" s="2350"/>
      <c r="AF20" s="2350"/>
      <c r="AG20" s="2350"/>
      <c r="AH20" s="2351"/>
      <c r="AI20" s="2352"/>
    </row>
    <row r="21" ht="15.75" customHeight="1">
      <c r="A21" s="2267"/>
      <c r="B21" s="2345"/>
      <c r="C21" s="2338"/>
      <c r="D21" s="2346"/>
      <c r="E21" s="500" t="s">
        <v>194</v>
      </c>
      <c r="F21" s="501">
        <f t="array" ref="F21">IFERROR(VLOOKUP(E6,Dex!$B$3:$N415,10,FALSE),"")</f>
        <v>30</v>
      </c>
      <c r="G21" s="502" t="str">
        <f t="array" ref="G21">IFERROR(VLOOKUP(F21,Dex!$P$22:$Q$276,2,FALSE),"")</f>
        <v/>
      </c>
      <c r="H21" s="503"/>
      <c r="I21" s="2347"/>
      <c r="J21" s="500" t="s">
        <v>194</v>
      </c>
      <c r="K21" s="501">
        <f t="array" ref="K21">IFERROR(VLOOKUP(J6,Dex!$B$3:$N415,10,FALSE),"")</f>
        <v>65</v>
      </c>
      <c r="L21" s="502" t="str">
        <f t="array" ref="L21">IFERROR(VLOOKUP(K21,Dex!$P$22:$Q$276,2,FALSE),"")</f>
        <v/>
      </c>
      <c r="M21" s="503"/>
      <c r="N21" s="2348"/>
      <c r="O21" s="2349"/>
      <c r="P21" s="2349"/>
      <c r="Q21" s="2350"/>
      <c r="R21" s="2350"/>
      <c r="S21" s="2350"/>
      <c r="T21" s="2349"/>
      <c r="U21" s="2349"/>
      <c r="V21" s="2350"/>
      <c r="W21" s="2350"/>
      <c r="X21" s="2350"/>
      <c r="Y21" s="2349"/>
      <c r="Z21" s="2349"/>
      <c r="AA21" s="2349"/>
      <c r="AB21" s="2350"/>
      <c r="AC21" s="2350"/>
      <c r="AD21" s="2350"/>
      <c r="AE21" s="2350"/>
      <c r="AF21" s="2350"/>
      <c r="AG21" s="2350"/>
      <c r="AH21" s="2351"/>
      <c r="AI21" s="2352"/>
    </row>
    <row r="22" ht="15.75" customHeight="1">
      <c r="A22" s="2267"/>
      <c r="B22" s="2345"/>
      <c r="C22" s="2338"/>
      <c r="D22" s="2346"/>
      <c r="E22" s="500" t="s">
        <v>195</v>
      </c>
      <c r="F22" s="501">
        <f t="array" ref="F22">IFERROR(VLOOKUP(E6,Dex!$B$3:$N415,11,FALSE),"")</f>
        <v>30</v>
      </c>
      <c r="G22" s="502" t="str">
        <f t="array" ref="G22">IFERROR(VLOOKUP(F22,Dex!$P$22:$Q$276,2,FALSE),"")</f>
        <v/>
      </c>
      <c r="H22" s="503"/>
      <c r="I22" s="2347"/>
      <c r="J22" s="500" t="s">
        <v>195</v>
      </c>
      <c r="K22" s="501">
        <f t="array" ref="K22">IFERROR(VLOOKUP(J6,Dex!$B$3:$N415,11,FALSE),"")</f>
        <v>50</v>
      </c>
      <c r="L22" s="502" t="str">
        <f t="array" ref="L22">IFERROR(VLOOKUP(K22,Dex!$P$22:$Q$276,2,FALSE),"")</f>
        <v/>
      </c>
      <c r="M22" s="503"/>
      <c r="N22" s="2348"/>
      <c r="O22" s="2349"/>
      <c r="P22" s="2349"/>
      <c r="Q22" s="2350"/>
      <c r="R22" s="2350"/>
      <c r="S22" s="2350"/>
      <c r="T22" s="2349"/>
      <c r="U22" s="2349"/>
      <c r="V22" s="2350"/>
      <c r="W22" s="2350"/>
      <c r="X22" s="2350"/>
      <c r="Y22" s="2349"/>
      <c r="Z22" s="2349"/>
      <c r="AA22" s="2349"/>
      <c r="AB22" s="2350"/>
      <c r="AC22" s="2350"/>
      <c r="AD22" s="2350"/>
      <c r="AE22" s="2350"/>
      <c r="AF22" s="2350"/>
      <c r="AG22" s="2350"/>
      <c r="AH22" s="2351"/>
      <c r="AI22" s="2352"/>
    </row>
    <row r="23" ht="15.75" customHeight="1">
      <c r="A23" s="2267"/>
      <c r="B23" s="2345"/>
      <c r="C23" s="2338"/>
      <c r="D23" s="2346"/>
      <c r="E23" s="500" t="s">
        <v>196</v>
      </c>
      <c r="F23" s="501">
        <f t="array" ref="F23">IFERROR(VLOOKUP(E6,Dex!$B$3:$N415,12,FALSE),"")</f>
        <v>30</v>
      </c>
      <c r="G23" s="502" t="str">
        <f t="array" ref="G23">IFERROR(VLOOKUP(F23,Dex!$P$22:$Q$276,2,FALSE),"")</f>
        <v/>
      </c>
      <c r="H23" s="503"/>
      <c r="I23" s="2347"/>
      <c r="J23" s="500" t="s">
        <v>196</v>
      </c>
      <c r="K23" s="501">
        <f t="array" ref="K23">IFERROR(VLOOKUP(J6,Dex!$B$3:$N415,12,FALSE),"")</f>
        <v>64</v>
      </c>
      <c r="L23" s="502" t="str">
        <f t="array" ref="L23">IFERROR(VLOOKUP(K23,Dex!$P$22:$Q$276,2,FALSE),"")</f>
        <v/>
      </c>
      <c r="M23" s="503"/>
      <c r="N23" s="2348"/>
      <c r="O23" s="2349"/>
      <c r="P23" s="2349"/>
      <c r="Q23" s="2350"/>
      <c r="R23" s="2350"/>
      <c r="S23" s="2350"/>
      <c r="T23" s="2349"/>
      <c r="U23" s="2349"/>
      <c r="V23" s="2350"/>
      <c r="W23" s="2350"/>
      <c r="X23" s="2350"/>
      <c r="Y23" s="2349"/>
      <c r="Z23" s="2349"/>
      <c r="AA23" s="2349"/>
      <c r="AB23" s="2350"/>
      <c r="AC23" s="2350"/>
      <c r="AD23" s="2350"/>
      <c r="AE23" s="2350"/>
      <c r="AF23" s="2350"/>
      <c r="AG23" s="2350"/>
      <c r="AH23" s="2351"/>
      <c r="AI23" s="2352"/>
    </row>
    <row r="24" ht="15.75" customHeight="1">
      <c r="A24" s="2267"/>
      <c r="B24" s="2345"/>
      <c r="C24" s="2338"/>
      <c r="D24" s="2346"/>
      <c r="E24" s="504" t="s">
        <v>197</v>
      </c>
      <c r="F24" s="505">
        <f t="array" ref="F24">IFERROR(VLOOKUP(E6,Dex!$B$3:$N415,13,FALSE),"")</f>
        <v>60</v>
      </c>
      <c r="G24" s="506" t="str">
        <f t="array" ref="G24">IFERROR(VLOOKUP(F24,Dex!$P$22:$Q$276,2,FALSE),"")</f>
        <v/>
      </c>
      <c r="H24" s="507"/>
      <c r="I24" s="2347"/>
      <c r="J24" s="504" t="s">
        <v>197</v>
      </c>
      <c r="K24" s="505">
        <f t="array" ref="K24">IFERROR(VLOOKUP(J6,Dex!$B$3:$N415,13,FALSE),"")</f>
        <v>43</v>
      </c>
      <c r="L24" s="506" t="str">
        <f t="array" ref="L24">IFERROR(VLOOKUP(K24,Dex!$P$22:$Q$276,2,FALSE),"")</f>
        <v/>
      </c>
      <c r="M24" s="507"/>
      <c r="N24" s="2348"/>
      <c r="O24" s="2349"/>
      <c r="P24" s="2349"/>
      <c r="Q24" s="2350"/>
      <c r="R24" s="2350"/>
      <c r="S24" s="2350"/>
      <c r="T24" s="2349"/>
      <c r="U24" s="2349"/>
      <c r="V24" s="2350"/>
      <c r="W24" s="2350"/>
      <c r="X24" s="2350"/>
      <c r="Y24" s="2349"/>
      <c r="Z24" s="2349"/>
      <c r="AA24" s="2349"/>
      <c r="AB24" s="2350"/>
      <c r="AC24" s="2350"/>
      <c r="AD24" s="2350"/>
      <c r="AE24" s="2350"/>
      <c r="AF24" s="2350"/>
      <c r="AG24" s="2350"/>
      <c r="AH24" s="2351"/>
      <c r="AI24" s="2352"/>
    </row>
    <row r="25" ht="16.5" customHeight="1">
      <c r="A25" s="2267"/>
      <c r="B25" s="2345"/>
      <c r="C25" s="2338"/>
      <c r="D25" s="2346"/>
      <c r="E25" s="508" t="s">
        <v>198</v>
      </c>
      <c r="F25" s="405"/>
      <c r="G25" s="406"/>
      <c r="H25" s="509">
        <v>18.0</v>
      </c>
      <c r="I25" s="2347"/>
      <c r="J25" s="508" t="s">
        <v>198</v>
      </c>
      <c r="K25" s="405"/>
      <c r="L25" s="406"/>
      <c r="M25" s="509">
        <v>12.0</v>
      </c>
      <c r="N25" s="2348"/>
      <c r="O25" s="2349"/>
      <c r="P25" s="2349"/>
      <c r="Q25" s="2350"/>
      <c r="R25" s="2350"/>
      <c r="S25" s="2350"/>
      <c r="T25" s="2349"/>
      <c r="U25" s="2349"/>
      <c r="V25" s="2350"/>
      <c r="W25" s="2350"/>
      <c r="X25" s="2350"/>
      <c r="Y25" s="2349"/>
      <c r="Z25" s="2349"/>
      <c r="AA25" s="2349"/>
      <c r="AB25" s="2350"/>
      <c r="AC25" s="2350"/>
      <c r="AD25" s="2350"/>
      <c r="AE25" s="2350"/>
      <c r="AF25" s="2350"/>
      <c r="AG25" s="2350"/>
      <c r="AH25" s="2351"/>
      <c r="AI25" s="2352"/>
    </row>
    <row r="26" ht="11.25" customHeight="1">
      <c r="A26" s="2260"/>
      <c r="B26" s="2268"/>
      <c r="C26" s="2269"/>
      <c r="D26" s="2316"/>
      <c r="E26" s="2353"/>
      <c r="F26" s="2353"/>
      <c r="G26" s="2353"/>
      <c r="H26" s="2353"/>
      <c r="I26" s="2287"/>
      <c r="J26" s="2353"/>
      <c r="K26" s="2353"/>
      <c r="L26" s="2353"/>
      <c r="M26" s="2353"/>
      <c r="N26" s="2287"/>
      <c r="O26" s="2287"/>
      <c r="P26" s="2287"/>
      <c r="Q26" s="2287"/>
      <c r="R26" s="2287"/>
      <c r="S26" s="2287"/>
      <c r="T26" s="2287"/>
      <c r="U26" s="2287"/>
      <c r="V26" s="2287"/>
      <c r="W26" s="2287"/>
      <c r="X26" s="2316"/>
      <c r="Y26" s="2316"/>
      <c r="Z26" s="2316"/>
      <c r="AA26" s="2316"/>
      <c r="AB26" s="2316"/>
      <c r="AC26" s="2316"/>
      <c r="AD26" s="2316"/>
      <c r="AE26" s="2316"/>
      <c r="AF26" s="2316"/>
      <c r="AG26" s="2316"/>
      <c r="AH26" s="2276"/>
      <c r="AI26" s="2266"/>
    </row>
    <row r="27">
      <c r="A27" s="2267"/>
      <c r="B27" s="2268"/>
      <c r="C27" s="2269"/>
      <c r="D27" s="2270"/>
      <c r="E27" s="1578" t="s">
        <v>687</v>
      </c>
      <c r="F27" s="1579"/>
      <c r="G27" s="1579"/>
      <c r="H27" s="1579"/>
      <c r="I27" s="1579"/>
      <c r="J27" s="1579"/>
      <c r="K27" s="1579"/>
      <c r="L27" s="1579"/>
      <c r="M27" s="1579"/>
      <c r="N27" s="1579"/>
      <c r="O27" s="1579"/>
      <c r="P27" s="1579"/>
      <c r="Q27" s="1579"/>
      <c r="R27" s="1579"/>
      <c r="S27" s="1580"/>
      <c r="T27" s="2272"/>
      <c r="U27" s="2273"/>
      <c r="V27" s="2273"/>
      <c r="W27" s="2274"/>
      <c r="X27" s="2272"/>
      <c r="Y27" s="2273"/>
      <c r="Z27" s="2273"/>
      <c r="AA27" s="2274"/>
      <c r="AB27" s="2270"/>
      <c r="AC27" s="2273"/>
      <c r="AD27" s="2273"/>
      <c r="AE27" s="2274"/>
      <c r="AF27" s="2275"/>
      <c r="AG27" s="2275"/>
      <c r="AH27" s="2276"/>
      <c r="AI27" s="2266"/>
    </row>
    <row r="28" ht="3.75" customHeight="1">
      <c r="A28" s="2267"/>
      <c r="B28" s="2268"/>
      <c r="C28" s="2277"/>
      <c r="D28" s="2278"/>
      <c r="E28" s="2279"/>
      <c r="F28" s="2279"/>
      <c r="G28" s="2279"/>
      <c r="H28" s="2279"/>
      <c r="I28" s="2354"/>
      <c r="J28" s="2279"/>
      <c r="K28" s="2279"/>
      <c r="L28" s="2279"/>
      <c r="M28" s="2279"/>
      <c r="N28" s="2280"/>
      <c r="O28" s="2280"/>
      <c r="P28" s="2280"/>
      <c r="Q28" s="2280"/>
      <c r="R28" s="2280"/>
      <c r="S28" s="2280"/>
      <c r="T28" s="2280"/>
      <c r="U28" s="2280"/>
      <c r="V28" s="2280"/>
      <c r="W28" s="2280"/>
      <c r="X28" s="2278"/>
      <c r="Y28" s="2278"/>
      <c r="Z28" s="2278"/>
      <c r="AA28" s="2278"/>
      <c r="AB28" s="2278"/>
      <c r="AC28" s="2278"/>
      <c r="AD28" s="2278"/>
      <c r="AE28" s="2278"/>
      <c r="AF28" s="2278"/>
      <c r="AG28" s="2278"/>
      <c r="AH28" s="2276"/>
      <c r="AI28" s="2266"/>
    </row>
    <row r="29" ht="96.75" customHeight="1">
      <c r="A29" s="2260"/>
      <c r="B29" s="2281"/>
      <c r="C29" s="2355" t="str">
        <f>IMAGE("https://i.ibb.co/fXwks6z/Rival.png")</f>
        <v/>
      </c>
      <c r="D29" s="2283"/>
      <c r="E29" s="2356" t="str">
        <f t="array" ref="E29">IFERROR(VLOOKUP(E30,Dex!$B$3:$G415,3,FALSE),"")</f>
        <v/>
      </c>
      <c r="F29" s="1830"/>
      <c r="G29" s="1830"/>
      <c r="H29" s="1831"/>
      <c r="I29" s="2357"/>
      <c r="J29" s="2356" t="str">
        <f t="array" ref="J29">IFERROR(VLOOKUP(J30,Dex!$B$3:$G415,3,FALSE),"")</f>
        <v/>
      </c>
      <c r="K29" s="1830"/>
      <c r="L29" s="1830"/>
      <c r="M29" s="1831"/>
      <c r="N29" s="2286"/>
      <c r="O29" s="2270"/>
      <c r="P29" s="2273"/>
      <c r="Q29" s="2273"/>
      <c r="R29" s="2274"/>
      <c r="S29" s="2287"/>
      <c r="T29" s="2270"/>
      <c r="U29" s="2273"/>
      <c r="V29" s="2273"/>
      <c r="W29" s="2274"/>
      <c r="X29" s="2287"/>
      <c r="Y29" s="2270"/>
      <c r="Z29" s="2273"/>
      <c r="AA29" s="2273"/>
      <c r="AB29" s="2274"/>
      <c r="AC29" s="2287"/>
      <c r="AD29" s="2270"/>
      <c r="AE29" s="2273"/>
      <c r="AF29" s="2273"/>
      <c r="AG29" s="2274"/>
      <c r="AH29" s="2276"/>
      <c r="AI29" s="2266"/>
    </row>
    <row r="30" ht="18.75" customHeight="1">
      <c r="A30" s="2288"/>
      <c r="B30" s="2358"/>
      <c r="C30" s="2290" t="s">
        <v>688</v>
      </c>
      <c r="D30" s="2359"/>
      <c r="E30" s="2292" t="s">
        <v>674</v>
      </c>
      <c r="F30" s="2293"/>
      <c r="G30" s="2293"/>
      <c r="H30" s="2294"/>
      <c r="I30" s="2295"/>
      <c r="J30" s="2292" t="s">
        <v>689</v>
      </c>
      <c r="K30" s="2293"/>
      <c r="L30" s="2293"/>
      <c r="M30" s="2294"/>
      <c r="N30" s="2296"/>
      <c r="O30" s="2297"/>
      <c r="P30" s="2273"/>
      <c r="Q30" s="2273"/>
      <c r="R30" s="2274"/>
      <c r="S30" s="104"/>
      <c r="T30" s="2297"/>
      <c r="U30" s="2273"/>
      <c r="V30" s="2273"/>
      <c r="W30" s="2274"/>
      <c r="X30" s="104"/>
      <c r="Y30" s="2297"/>
      <c r="Z30" s="2273"/>
      <c r="AA30" s="2273"/>
      <c r="AB30" s="2274"/>
      <c r="AC30" s="104"/>
      <c r="AD30" s="2297"/>
      <c r="AE30" s="2273"/>
      <c r="AF30" s="2273"/>
      <c r="AG30" s="2274"/>
      <c r="AH30" s="2298"/>
      <c r="AI30" s="2299"/>
    </row>
    <row r="31">
      <c r="A31" s="2260"/>
      <c r="B31" s="2300"/>
      <c r="C31" s="326"/>
      <c r="D31" s="2360"/>
      <c r="E31" s="2302">
        <v>9.0</v>
      </c>
      <c r="F31" s="2303"/>
      <c r="G31" s="2303"/>
      <c r="H31" s="2304"/>
      <c r="I31" s="2295"/>
      <c r="J31" s="2302">
        <v>9.0</v>
      </c>
      <c r="K31" s="2303"/>
      <c r="L31" s="2303"/>
      <c r="M31" s="2304"/>
      <c r="N31" s="2296"/>
      <c r="O31" s="2270"/>
      <c r="P31" s="2273"/>
      <c r="Q31" s="2273"/>
      <c r="R31" s="2274"/>
      <c r="S31" s="104"/>
      <c r="T31" s="2270"/>
      <c r="U31" s="2273"/>
      <c r="V31" s="2273"/>
      <c r="W31" s="2274"/>
      <c r="X31" s="104"/>
      <c r="Y31" s="2270"/>
      <c r="Z31" s="2273"/>
      <c r="AA31" s="2273"/>
      <c r="AB31" s="2274"/>
      <c r="AC31" s="104"/>
      <c r="AD31" s="2270"/>
      <c r="AE31" s="2273"/>
      <c r="AF31" s="2273"/>
      <c r="AG31" s="2274"/>
      <c r="AH31" s="2276"/>
      <c r="AI31" s="2266"/>
    </row>
    <row r="32" ht="25.5" customHeight="1">
      <c r="A32" s="2260"/>
      <c r="B32" s="2268"/>
      <c r="C32" s="2305"/>
      <c r="D32" s="2306"/>
      <c r="E32" s="2307"/>
      <c r="F32" s="2308" t="str">
        <f t="array" ref="F32">IFERROR(VLOOKUP(E30,Dex!$B$3:$H415,5,FALSE),"")</f>
        <v/>
      </c>
      <c r="G32" s="2309" t="str">
        <f t="array" ref="G32">IFERROR(VLOOKUP(E30,Dex!$B$3:$H415,7,FALSE),"")</f>
        <v/>
      </c>
      <c r="H32" s="2310"/>
      <c r="I32" s="2295"/>
      <c r="J32" s="2307"/>
      <c r="K32" s="2311" t="str">
        <f t="array" ref="K32">IFERROR(VLOOKUP(J30,Dex!$B$3:$H415,5,FALSE),"")</f>
        <v/>
      </c>
      <c r="L32" s="2312"/>
      <c r="M32" s="2310"/>
      <c r="N32" s="2296"/>
      <c r="O32" s="2270"/>
      <c r="P32" s="2273"/>
      <c r="Q32" s="2273"/>
      <c r="R32" s="2274"/>
      <c r="S32" s="104"/>
      <c r="T32" s="2270"/>
      <c r="U32" s="2273"/>
      <c r="V32" s="2273"/>
      <c r="W32" s="2274"/>
      <c r="X32" s="104"/>
      <c r="Y32" s="2270"/>
      <c r="Z32" s="2273"/>
      <c r="AA32" s="2273"/>
      <c r="AB32" s="2274"/>
      <c r="AC32" s="104"/>
      <c r="AD32" s="2270"/>
      <c r="AE32" s="2273"/>
      <c r="AF32" s="2273"/>
      <c r="AG32" s="2274"/>
      <c r="AH32" s="2276"/>
      <c r="AI32" s="2266"/>
    </row>
    <row r="33" ht="2.25" customHeight="1">
      <c r="A33" s="2260"/>
      <c r="B33" s="2268"/>
      <c r="C33" s="104"/>
      <c r="D33" s="2306"/>
      <c r="E33" s="2313"/>
      <c r="F33" s="2314"/>
      <c r="G33" s="2314"/>
      <c r="H33" s="2315"/>
      <c r="I33" s="2295"/>
      <c r="J33" s="2313"/>
      <c r="K33" s="2314"/>
      <c r="L33" s="2314"/>
      <c r="M33" s="2315"/>
      <c r="N33" s="2296"/>
      <c r="O33" s="2316"/>
      <c r="P33" s="2316"/>
      <c r="Q33" s="2316"/>
      <c r="R33" s="2316"/>
      <c r="S33" s="104"/>
      <c r="T33" s="2316"/>
      <c r="U33" s="2316"/>
      <c r="V33" s="2316"/>
      <c r="W33" s="2316"/>
      <c r="X33" s="104"/>
      <c r="Y33" s="2316"/>
      <c r="Z33" s="2316"/>
      <c r="AA33" s="2316"/>
      <c r="AB33" s="2316"/>
      <c r="AC33" s="104"/>
      <c r="AD33" s="2316"/>
      <c r="AE33" s="2316"/>
      <c r="AF33" s="2316"/>
      <c r="AG33" s="2316"/>
      <c r="AH33" s="2276"/>
      <c r="AI33" s="2266"/>
    </row>
    <row r="34" ht="20.25" customHeight="1">
      <c r="A34" s="2260"/>
      <c r="B34" s="2268"/>
      <c r="C34" s="281"/>
      <c r="D34" s="2270"/>
      <c r="E34" s="2317" t="s">
        <v>676</v>
      </c>
      <c r="F34" s="2318"/>
      <c r="G34" s="2318"/>
      <c r="H34" s="2319"/>
      <c r="I34" s="2295"/>
      <c r="J34" s="2317" t="s">
        <v>205</v>
      </c>
      <c r="K34" s="2318"/>
      <c r="L34" s="2318"/>
      <c r="M34" s="2319"/>
      <c r="N34" s="2296"/>
      <c r="O34" s="2270"/>
      <c r="P34" s="2273"/>
      <c r="Q34" s="2273"/>
      <c r="R34" s="2274"/>
      <c r="S34" s="104"/>
      <c r="T34" s="2270"/>
      <c r="U34" s="2273"/>
      <c r="V34" s="2273"/>
      <c r="W34" s="2274"/>
      <c r="X34" s="104"/>
      <c r="Y34" s="2270"/>
      <c r="Z34" s="2273"/>
      <c r="AA34" s="2273"/>
      <c r="AB34" s="2274"/>
      <c r="AC34" s="104"/>
      <c r="AD34" s="2270"/>
      <c r="AE34" s="2273"/>
      <c r="AF34" s="2273"/>
      <c r="AG34" s="2274"/>
      <c r="AH34" s="2276"/>
      <c r="AI34" s="2266"/>
    </row>
    <row r="35" ht="20.25" customHeight="1">
      <c r="A35" s="2260"/>
      <c r="B35" s="2268"/>
      <c r="C35" s="2320"/>
      <c r="D35" s="2270"/>
      <c r="E35" s="2321" t="s">
        <v>677</v>
      </c>
      <c r="F35" s="2273"/>
      <c r="G35" s="2273"/>
      <c r="H35" s="2322"/>
      <c r="I35" s="2295"/>
      <c r="J35" s="2321" t="s">
        <v>690</v>
      </c>
      <c r="K35" s="2273"/>
      <c r="L35" s="2273"/>
      <c r="M35" s="2322"/>
      <c r="N35" s="2296"/>
      <c r="O35" s="2270"/>
      <c r="P35" s="2273"/>
      <c r="Q35" s="2273"/>
      <c r="R35" s="2274"/>
      <c r="S35" s="104"/>
      <c r="T35" s="2270"/>
      <c r="U35" s="2273"/>
      <c r="V35" s="2273"/>
      <c r="W35" s="2274"/>
      <c r="X35" s="104"/>
      <c r="Y35" s="2270"/>
      <c r="Z35" s="2273"/>
      <c r="AA35" s="2273"/>
      <c r="AB35" s="2274"/>
      <c r="AC35" s="104"/>
      <c r="AD35" s="2270"/>
      <c r="AE35" s="2273"/>
      <c r="AF35" s="2273"/>
      <c r="AG35" s="2274"/>
      <c r="AH35" s="2276"/>
      <c r="AI35" s="2266"/>
    </row>
    <row r="36" ht="20.25" customHeight="1">
      <c r="A36" s="2260"/>
      <c r="B36" s="2268"/>
      <c r="C36" s="104"/>
      <c r="D36" s="2270"/>
      <c r="E36" s="2323" t="s">
        <v>679</v>
      </c>
      <c r="F36" s="2324"/>
      <c r="G36" s="2325"/>
      <c r="H36" s="2326" t="s">
        <v>680</v>
      </c>
      <c r="I36" s="2295"/>
      <c r="J36" s="2323" t="s">
        <v>679</v>
      </c>
      <c r="K36" s="2324"/>
      <c r="L36" s="2325"/>
      <c r="M36" s="2326" t="s">
        <v>680</v>
      </c>
      <c r="N36" s="2296"/>
      <c r="O36" s="2270"/>
      <c r="P36" s="2273"/>
      <c r="Q36" s="2273"/>
      <c r="R36" s="2274"/>
      <c r="S36" s="104"/>
      <c r="T36" s="2270"/>
      <c r="U36" s="2273"/>
      <c r="V36" s="2273"/>
      <c r="W36" s="2274"/>
      <c r="X36" s="104"/>
      <c r="Y36" s="2270"/>
      <c r="Z36" s="2273"/>
      <c r="AA36" s="2273"/>
      <c r="AB36" s="2274"/>
      <c r="AC36" s="104"/>
      <c r="AD36" s="2270"/>
      <c r="AE36" s="2273"/>
      <c r="AF36" s="2273"/>
      <c r="AG36" s="2274"/>
      <c r="AH36" s="2276"/>
      <c r="AI36" s="2266"/>
    </row>
    <row r="37" ht="20.25" customHeight="1">
      <c r="A37" s="2260"/>
      <c r="B37" s="2268"/>
      <c r="C37" s="281"/>
      <c r="D37" s="2270"/>
      <c r="E37" s="2317" t="s">
        <v>681</v>
      </c>
      <c r="F37" s="2318"/>
      <c r="G37" s="2327"/>
      <c r="H37" s="2328" t="str">
        <f t="shared" ref="H37:H39" si="3">IMAGE("https://raw.githubusercontent.com/msikma/pokesprite/master/misc/types/gen8/normal.png",4,20,20)</f>
        <v/>
      </c>
      <c r="I37" s="2295"/>
      <c r="J37" s="2317" t="s">
        <v>682</v>
      </c>
      <c r="K37" s="2318"/>
      <c r="L37" s="2327"/>
      <c r="M37" s="2328" t="str">
        <f t="shared" ref="M37:M38" si="4">IMAGE("https://raw.githubusercontent.com/msikma/pokesprite/master/misc/types/gen8/normal.png",4,20,20)</f>
        <v/>
      </c>
      <c r="N37" s="2296"/>
      <c r="O37" s="2270"/>
      <c r="P37" s="2273"/>
      <c r="Q37" s="2273"/>
      <c r="R37" s="2274"/>
      <c r="S37" s="104"/>
      <c r="T37" s="2270"/>
      <c r="U37" s="2273"/>
      <c r="V37" s="2273"/>
      <c r="W37" s="2274"/>
      <c r="X37" s="104"/>
      <c r="Y37" s="2270"/>
      <c r="Z37" s="2273"/>
      <c r="AA37" s="2273"/>
      <c r="AB37" s="2274"/>
      <c r="AC37" s="104"/>
      <c r="AD37" s="2270"/>
      <c r="AE37" s="2273"/>
      <c r="AF37" s="2273"/>
      <c r="AG37" s="2274"/>
      <c r="AH37" s="2276"/>
      <c r="AI37" s="2266"/>
    </row>
    <row r="38" ht="20.25" customHeight="1">
      <c r="A38" s="2260"/>
      <c r="B38" s="2268"/>
      <c r="C38" s="2269"/>
      <c r="D38" s="2270"/>
      <c r="E38" s="2321" t="s">
        <v>682</v>
      </c>
      <c r="F38" s="2273"/>
      <c r="G38" s="2274"/>
      <c r="H38" s="2329" t="str">
        <f t="shared" si="3"/>
        <v/>
      </c>
      <c r="I38" s="2295"/>
      <c r="J38" s="2321" t="s">
        <v>683</v>
      </c>
      <c r="K38" s="2273"/>
      <c r="L38" s="2274"/>
      <c r="M38" s="2329" t="str">
        <f t="shared" si="4"/>
        <v/>
      </c>
      <c r="N38" s="2296"/>
      <c r="O38" s="2270"/>
      <c r="P38" s="2273"/>
      <c r="Q38" s="2273"/>
      <c r="R38" s="2274"/>
      <c r="S38" s="104"/>
      <c r="T38" s="2270"/>
      <c r="U38" s="2273"/>
      <c r="V38" s="2273"/>
      <c r="W38" s="2274"/>
      <c r="X38" s="104"/>
      <c r="Y38" s="2270"/>
      <c r="Z38" s="2273"/>
      <c r="AA38" s="2273"/>
      <c r="AB38" s="2274"/>
      <c r="AC38" s="104"/>
      <c r="AD38" s="2270"/>
      <c r="AE38" s="2273"/>
      <c r="AF38" s="2273"/>
      <c r="AG38" s="2274"/>
      <c r="AH38" s="2276"/>
      <c r="AI38" s="2266"/>
    </row>
    <row r="39" ht="20.25" customHeight="1">
      <c r="A39" s="2260"/>
      <c r="B39" s="2268"/>
      <c r="C39" s="2269"/>
      <c r="D39" s="2270"/>
      <c r="E39" s="2321" t="s">
        <v>635</v>
      </c>
      <c r="F39" s="2273"/>
      <c r="G39" s="2274"/>
      <c r="H39" s="2329" t="str">
        <f t="shared" si="3"/>
        <v/>
      </c>
      <c r="I39" s="2295"/>
      <c r="J39" s="2321" t="s">
        <v>691</v>
      </c>
      <c r="K39" s="2273"/>
      <c r="L39" s="2274"/>
      <c r="M39" s="2329" t="str">
        <f>IMAGE("https://raw.githubusercontent.com/msikma/pokesprite/master/misc/types/gen8/fire.png",4,20,20)</f>
        <v/>
      </c>
      <c r="N39" s="2296"/>
      <c r="O39" s="2270"/>
      <c r="P39" s="2273"/>
      <c r="Q39" s="2273"/>
      <c r="R39" s="2274"/>
      <c r="S39" s="104"/>
      <c r="T39" s="2270"/>
      <c r="U39" s="2273"/>
      <c r="V39" s="2273"/>
      <c r="W39" s="2274"/>
      <c r="X39" s="104"/>
      <c r="Y39" s="2270"/>
      <c r="Z39" s="2273"/>
      <c r="AA39" s="2273"/>
      <c r="AB39" s="2274"/>
      <c r="AC39" s="104"/>
      <c r="AD39" s="2270"/>
      <c r="AE39" s="2273"/>
      <c r="AF39" s="2273"/>
      <c r="AG39" s="2274"/>
      <c r="AH39" s="2276"/>
      <c r="AI39" s="2266"/>
    </row>
    <row r="40" ht="21.0" customHeight="1">
      <c r="A40" s="2260"/>
      <c r="B40" s="2268"/>
      <c r="C40" s="2269"/>
      <c r="D40" s="2270"/>
      <c r="E40" s="2330" t="s">
        <v>685</v>
      </c>
      <c r="F40" s="2331"/>
      <c r="G40" s="2332"/>
      <c r="H40" s="2333" t="str">
        <f>IMAGE("https://raw.githubusercontent.com/msikma/pokesprite/master/misc/types/gen8/flying.png",4,20,20)</f>
        <v/>
      </c>
      <c r="I40" s="2361"/>
      <c r="J40" s="2330" t="s">
        <v>692</v>
      </c>
      <c r="K40" s="2331"/>
      <c r="L40" s="2332"/>
      <c r="M40" s="2333" t="str">
        <f>IMAGE("https://raw.githubusercontent.com/msikma/pokesprite/master/misc/types/gen8/fighting.png",4,20,20)</f>
        <v/>
      </c>
      <c r="N40" s="2335"/>
      <c r="O40" s="2270"/>
      <c r="P40" s="2273"/>
      <c r="Q40" s="2273"/>
      <c r="R40" s="2274"/>
      <c r="S40" s="281"/>
      <c r="T40" s="2270"/>
      <c r="U40" s="2273"/>
      <c r="V40" s="2273"/>
      <c r="W40" s="2274"/>
      <c r="X40" s="281"/>
      <c r="Y40" s="2270"/>
      <c r="Z40" s="2273"/>
      <c r="AA40" s="2273"/>
      <c r="AB40" s="2274"/>
      <c r="AC40" s="281"/>
      <c r="AD40" s="2270"/>
      <c r="AE40" s="2273"/>
      <c r="AF40" s="2273"/>
      <c r="AG40" s="2274"/>
      <c r="AH40" s="2276"/>
      <c r="AI40" s="2266"/>
    </row>
    <row r="41" ht="3.0" customHeight="1">
      <c r="A41" s="2336"/>
      <c r="B41" s="2337"/>
      <c r="C41" s="2338"/>
      <c r="D41" s="2339"/>
      <c r="E41" s="2340"/>
      <c r="F41" s="2340"/>
      <c r="G41" s="2340"/>
      <c r="H41" s="2340"/>
      <c r="I41" s="2339"/>
      <c r="J41" s="2340"/>
      <c r="K41" s="2340"/>
      <c r="L41" s="2340"/>
      <c r="M41" s="2340"/>
      <c r="N41" s="2339"/>
      <c r="O41" s="2339"/>
      <c r="P41" s="2339"/>
      <c r="Q41" s="2339"/>
      <c r="R41" s="2339"/>
      <c r="S41" s="2339"/>
      <c r="T41" s="2339"/>
      <c r="U41" s="2339"/>
      <c r="V41" s="2339"/>
      <c r="W41" s="2339"/>
      <c r="X41" s="2339"/>
      <c r="Y41" s="2339"/>
      <c r="Z41" s="2341"/>
      <c r="AA41" s="2341"/>
      <c r="AB41" s="2342"/>
      <c r="AC41" s="2342"/>
      <c r="AD41" s="2342"/>
      <c r="AE41" s="2342"/>
      <c r="AF41" s="2342"/>
      <c r="AG41" s="2342"/>
      <c r="AH41" s="2343"/>
      <c r="AI41" s="2344"/>
    </row>
    <row r="42" ht="16.5" customHeight="1">
      <c r="A42" s="2267"/>
      <c r="B42" s="2345"/>
      <c r="C42" s="2338"/>
      <c r="D42" s="2346"/>
      <c r="E42" s="2362" t="s">
        <v>190</v>
      </c>
      <c r="F42" s="381"/>
      <c r="G42" s="382"/>
      <c r="H42" s="2363" t="s">
        <v>191</v>
      </c>
      <c r="I42" s="2364"/>
      <c r="J42" s="2362" t="s">
        <v>190</v>
      </c>
      <c r="K42" s="381"/>
      <c r="L42" s="382"/>
      <c r="M42" s="2363" t="s">
        <v>191</v>
      </c>
      <c r="N42" s="2348"/>
      <c r="O42" s="2349"/>
      <c r="P42" s="2349"/>
      <c r="Q42" s="2350"/>
      <c r="R42" s="2350"/>
      <c r="S42" s="2350"/>
      <c r="T42" s="2349"/>
      <c r="U42" s="2349"/>
      <c r="V42" s="2350"/>
      <c r="W42" s="2350"/>
      <c r="X42" s="2350"/>
      <c r="Y42" s="2349"/>
      <c r="Z42" s="2349"/>
      <c r="AA42" s="2349"/>
      <c r="AB42" s="2350"/>
      <c r="AC42" s="2350"/>
      <c r="AD42" s="2350"/>
      <c r="AE42" s="2350"/>
      <c r="AF42" s="2350"/>
      <c r="AG42" s="2350"/>
      <c r="AH42" s="2351"/>
      <c r="AI42" s="2352"/>
    </row>
    <row r="43" ht="15.75" customHeight="1">
      <c r="A43" s="2267"/>
      <c r="B43" s="2345"/>
      <c r="C43" s="2338"/>
      <c r="D43" s="2346"/>
      <c r="E43" s="2365" t="s">
        <v>192</v>
      </c>
      <c r="F43" s="2366">
        <f t="array" ref="F43">IFERROR(VLOOKUP(E30,Dex!$B$3:$N415,8,FALSE),"")</f>
        <v>40</v>
      </c>
      <c r="G43" s="2367" t="str">
        <f t="array" ref="G43">IFERROR(VLOOKUP(F43,Dex!$P$22:$Q$276,2,FALSE),"")</f>
        <v/>
      </c>
      <c r="H43" s="2368"/>
      <c r="I43" s="2364"/>
      <c r="J43" s="2365" t="s">
        <v>192</v>
      </c>
      <c r="K43" s="2366">
        <f t="array" ref="K43">IFERROR(VLOOKUP(J30,Dex!$B$3:$N415,8,FALSE),"")</f>
        <v>39</v>
      </c>
      <c r="L43" s="2367" t="str">
        <f t="array" ref="L43">IFERROR(VLOOKUP(K43,Dex!$P$22:$Q$276,2,FALSE),"")</f>
        <v/>
      </c>
      <c r="M43" s="2368"/>
      <c r="N43" s="2348"/>
      <c r="O43" s="2349"/>
      <c r="P43" s="2349"/>
      <c r="Q43" s="2350"/>
      <c r="R43" s="2350"/>
      <c r="S43" s="2350"/>
      <c r="T43" s="2349"/>
      <c r="U43" s="2349"/>
      <c r="V43" s="2350"/>
      <c r="W43" s="2350"/>
      <c r="X43" s="2350"/>
      <c r="Y43" s="2349"/>
      <c r="Z43" s="2349"/>
      <c r="AA43" s="2349"/>
      <c r="AB43" s="2350"/>
      <c r="AC43" s="2350"/>
      <c r="AD43" s="2350"/>
      <c r="AE43" s="2350"/>
      <c r="AF43" s="2350"/>
      <c r="AG43" s="2350"/>
      <c r="AH43" s="2351"/>
      <c r="AI43" s="2352"/>
    </row>
    <row r="44" ht="15.75" customHeight="1">
      <c r="A44" s="2267"/>
      <c r="B44" s="2345"/>
      <c r="C44" s="2338"/>
      <c r="D44" s="2346"/>
      <c r="E44" s="2369" t="s">
        <v>193</v>
      </c>
      <c r="F44" s="2370">
        <f t="array" ref="F44">IFERROR(VLOOKUP(E30,Dex!$B$3:$N415,9,FALSE),"")</f>
        <v>55</v>
      </c>
      <c r="G44" s="2371" t="str">
        <f t="array" ref="G44">IFERROR(VLOOKUP(F44,Dex!$P$22:$Q$276,2,FALSE),"")</f>
        <v/>
      </c>
      <c r="H44" s="2372"/>
      <c r="I44" s="2364"/>
      <c r="J44" s="2369" t="s">
        <v>193</v>
      </c>
      <c r="K44" s="2370">
        <f t="array" ref="K44">IFERROR(VLOOKUP(J30,Dex!$B$3:$N415,9,FALSE),"")</f>
        <v>52</v>
      </c>
      <c r="L44" s="2371" t="str">
        <f t="array" ref="L44">IFERROR(VLOOKUP(K44,Dex!$P$22:$Q$276,2,FALSE),"")</f>
        <v/>
      </c>
      <c r="M44" s="2372"/>
      <c r="N44" s="2348"/>
      <c r="O44" s="2349"/>
      <c r="P44" s="2349"/>
      <c r="Q44" s="2350"/>
      <c r="R44" s="2350"/>
      <c r="S44" s="2350"/>
      <c r="T44" s="2349"/>
      <c r="U44" s="2349"/>
      <c r="V44" s="2350"/>
      <c r="W44" s="2350"/>
      <c r="X44" s="2350"/>
      <c r="Y44" s="2349"/>
      <c r="Z44" s="2349"/>
      <c r="AA44" s="2349"/>
      <c r="AB44" s="2350"/>
      <c r="AC44" s="2350"/>
      <c r="AD44" s="2350"/>
      <c r="AE44" s="2350"/>
      <c r="AF44" s="2350"/>
      <c r="AG44" s="2350"/>
      <c r="AH44" s="2351"/>
      <c r="AI44" s="2352"/>
    </row>
    <row r="45" ht="15.75" customHeight="1">
      <c r="A45" s="2267"/>
      <c r="B45" s="2345"/>
      <c r="C45" s="2338"/>
      <c r="D45" s="2346"/>
      <c r="E45" s="2369" t="s">
        <v>194</v>
      </c>
      <c r="F45" s="2370">
        <f t="array" ref="F45">IFERROR(VLOOKUP(E30,Dex!$B$3:$N415,10,FALSE),"")</f>
        <v>30</v>
      </c>
      <c r="G45" s="2371" t="str">
        <f t="array" ref="G45">IFERROR(VLOOKUP(F45,Dex!$P$22:$Q$276,2,FALSE),"")</f>
        <v/>
      </c>
      <c r="H45" s="2372"/>
      <c r="I45" s="2364"/>
      <c r="J45" s="2369" t="s">
        <v>194</v>
      </c>
      <c r="K45" s="2370">
        <f t="array" ref="K45">IFERROR(VLOOKUP(J30,Dex!$B$3:$N415,10,FALSE),"")</f>
        <v>43</v>
      </c>
      <c r="L45" s="2371" t="str">
        <f t="array" ref="L45">IFERROR(VLOOKUP(K45,Dex!$P$22:$Q$276,2,FALSE),"")</f>
        <v/>
      </c>
      <c r="M45" s="2372"/>
      <c r="N45" s="2348"/>
      <c r="O45" s="2349"/>
      <c r="P45" s="2349"/>
      <c r="Q45" s="2350"/>
      <c r="R45" s="2350"/>
      <c r="S45" s="2350"/>
      <c r="T45" s="2349"/>
      <c r="U45" s="2349"/>
      <c r="V45" s="2350"/>
      <c r="W45" s="2350"/>
      <c r="X45" s="2350"/>
      <c r="Y45" s="2349"/>
      <c r="Z45" s="2349"/>
      <c r="AA45" s="2349"/>
      <c r="AB45" s="2350"/>
      <c r="AC45" s="2350"/>
      <c r="AD45" s="2350"/>
      <c r="AE45" s="2350"/>
      <c r="AF45" s="2350"/>
      <c r="AG45" s="2350"/>
      <c r="AH45" s="2351"/>
      <c r="AI45" s="2352"/>
    </row>
    <row r="46" ht="15.75" customHeight="1">
      <c r="A46" s="2267"/>
      <c r="B46" s="2345"/>
      <c r="C46" s="2338"/>
      <c r="D46" s="2346"/>
      <c r="E46" s="2369" t="s">
        <v>195</v>
      </c>
      <c r="F46" s="2370">
        <f t="array" ref="F46">IFERROR(VLOOKUP(E30,Dex!$B$3:$N415,11,FALSE),"")</f>
        <v>30</v>
      </c>
      <c r="G46" s="2371" t="str">
        <f t="array" ref="G46">IFERROR(VLOOKUP(F46,Dex!$P$22:$Q$276,2,FALSE),"")</f>
        <v/>
      </c>
      <c r="H46" s="2372"/>
      <c r="I46" s="2364"/>
      <c r="J46" s="2369" t="s">
        <v>195</v>
      </c>
      <c r="K46" s="2370">
        <f t="array" ref="K46">IFERROR(VLOOKUP(J30,Dex!$B$3:$N415,11,FALSE),"")</f>
        <v>60</v>
      </c>
      <c r="L46" s="2371" t="str">
        <f t="array" ref="L46">IFERROR(VLOOKUP(K46,Dex!$P$22:$Q$276,2,FALSE),"")</f>
        <v/>
      </c>
      <c r="M46" s="2372"/>
      <c r="N46" s="2348"/>
      <c r="O46" s="2349"/>
      <c r="P46" s="2349"/>
      <c r="Q46" s="2350"/>
      <c r="R46" s="2350"/>
      <c r="S46" s="2350"/>
      <c r="T46" s="2349"/>
      <c r="U46" s="2349"/>
      <c r="V46" s="2350"/>
      <c r="W46" s="2350"/>
      <c r="X46" s="2350"/>
      <c r="Y46" s="2349"/>
      <c r="Z46" s="2349"/>
      <c r="AA46" s="2349"/>
      <c r="AB46" s="2350"/>
      <c r="AC46" s="2350"/>
      <c r="AD46" s="2350"/>
      <c r="AE46" s="2350"/>
      <c r="AF46" s="2350"/>
      <c r="AG46" s="2350"/>
      <c r="AH46" s="2351"/>
      <c r="AI46" s="2352"/>
    </row>
    <row r="47" ht="15.75" customHeight="1">
      <c r="A47" s="2267"/>
      <c r="B47" s="2345"/>
      <c r="C47" s="2338"/>
      <c r="D47" s="2346"/>
      <c r="E47" s="2369" t="s">
        <v>196</v>
      </c>
      <c r="F47" s="2370">
        <f t="array" ref="F47">IFERROR(VLOOKUP(E30,Dex!$B$3:$N415,12,FALSE),"")</f>
        <v>30</v>
      </c>
      <c r="G47" s="2371" t="str">
        <f t="array" ref="G47">IFERROR(VLOOKUP(F47,Dex!$P$22:$Q$276,2,FALSE),"")</f>
        <v/>
      </c>
      <c r="H47" s="2372"/>
      <c r="I47" s="2364"/>
      <c r="J47" s="2369" t="s">
        <v>196</v>
      </c>
      <c r="K47" s="2370">
        <f t="array" ref="K47">IFERROR(VLOOKUP(J30,Dex!$B$3:$N415,12,FALSE),"")</f>
        <v>50</v>
      </c>
      <c r="L47" s="2371" t="str">
        <f t="array" ref="L47">IFERROR(VLOOKUP(K47,Dex!$P$22:$Q$276,2,FALSE),"")</f>
        <v/>
      </c>
      <c r="M47" s="2372"/>
      <c r="N47" s="2348"/>
      <c r="O47" s="2349"/>
      <c r="P47" s="2349"/>
      <c r="Q47" s="2350"/>
      <c r="R47" s="2350"/>
      <c r="S47" s="2350"/>
      <c r="T47" s="2349"/>
      <c r="U47" s="2349"/>
      <c r="V47" s="2350"/>
      <c r="W47" s="2350"/>
      <c r="X47" s="2350"/>
      <c r="Y47" s="2349"/>
      <c r="Z47" s="2349"/>
      <c r="AA47" s="2349"/>
      <c r="AB47" s="2350"/>
      <c r="AC47" s="2350"/>
      <c r="AD47" s="2350"/>
      <c r="AE47" s="2350"/>
      <c r="AF47" s="2350"/>
      <c r="AG47" s="2350"/>
      <c r="AH47" s="2351"/>
      <c r="AI47" s="2352"/>
    </row>
    <row r="48" ht="15.75" customHeight="1">
      <c r="A48" s="2267"/>
      <c r="B48" s="2345"/>
      <c r="C48" s="2338"/>
      <c r="D48" s="2346"/>
      <c r="E48" s="2373" t="s">
        <v>197</v>
      </c>
      <c r="F48" s="2374">
        <f t="array" ref="F48">IFERROR(VLOOKUP(E30,Dex!$B$3:$N415,13,FALSE),"")</f>
        <v>60</v>
      </c>
      <c r="G48" s="2375" t="str">
        <f t="array" ref="G48">IFERROR(VLOOKUP(F48,Dex!$P$22:$Q$276,2,FALSE),"")</f>
        <v/>
      </c>
      <c r="H48" s="2376"/>
      <c r="I48" s="2364"/>
      <c r="J48" s="2373" t="s">
        <v>197</v>
      </c>
      <c r="K48" s="2374">
        <f t="array" ref="K48">IFERROR(VLOOKUP(J30,Dex!$B$3:$N415,13,FALSE),"")</f>
        <v>65</v>
      </c>
      <c r="L48" s="2375" t="str">
        <f t="array" ref="L48">IFERROR(VLOOKUP(K48,Dex!$P$22:$Q$276,2,FALSE),"")</f>
        <v/>
      </c>
      <c r="M48" s="2376"/>
      <c r="N48" s="2348"/>
      <c r="O48" s="2349"/>
      <c r="P48" s="2349"/>
      <c r="Q48" s="2350"/>
      <c r="R48" s="2350"/>
      <c r="S48" s="2350"/>
      <c r="T48" s="2349"/>
      <c r="U48" s="2349"/>
      <c r="V48" s="2350"/>
      <c r="W48" s="2350"/>
      <c r="X48" s="2350"/>
      <c r="Y48" s="2349"/>
      <c r="Z48" s="2349"/>
      <c r="AA48" s="2349"/>
      <c r="AB48" s="2350"/>
      <c r="AC48" s="2350"/>
      <c r="AD48" s="2350"/>
      <c r="AE48" s="2350"/>
      <c r="AF48" s="2350"/>
      <c r="AG48" s="2350"/>
      <c r="AH48" s="2351"/>
      <c r="AI48" s="2352"/>
    </row>
    <row r="49" ht="16.5" customHeight="1">
      <c r="A49" s="2267"/>
      <c r="B49" s="2345"/>
      <c r="C49" s="2338"/>
      <c r="D49" s="2346"/>
      <c r="E49" s="2377" t="s">
        <v>198</v>
      </c>
      <c r="F49" s="405"/>
      <c r="G49" s="406"/>
      <c r="H49" s="2378">
        <v>18.0</v>
      </c>
      <c r="I49" s="2364"/>
      <c r="J49" s="2377" t="s">
        <v>198</v>
      </c>
      <c r="K49" s="405"/>
      <c r="L49" s="406"/>
      <c r="M49" s="2378">
        <v>19.0</v>
      </c>
      <c r="N49" s="2348"/>
      <c r="O49" s="2349"/>
      <c r="P49" s="2349"/>
      <c r="Q49" s="2350"/>
      <c r="R49" s="2350"/>
      <c r="S49" s="2350"/>
      <c r="T49" s="2349"/>
      <c r="U49" s="2349"/>
      <c r="V49" s="2350"/>
      <c r="W49" s="2350"/>
      <c r="X49" s="2350"/>
      <c r="Y49" s="2349"/>
      <c r="Z49" s="2349"/>
      <c r="AA49" s="2349"/>
      <c r="AB49" s="2350"/>
      <c r="AC49" s="2350"/>
      <c r="AD49" s="2350"/>
      <c r="AE49" s="2350"/>
      <c r="AF49" s="2350"/>
      <c r="AG49" s="2350"/>
      <c r="AH49" s="2351"/>
      <c r="AI49" s="2352"/>
    </row>
    <row r="50" ht="11.25" customHeight="1">
      <c r="A50" s="2260"/>
      <c r="B50" s="2268"/>
      <c r="C50" s="2269"/>
      <c r="D50" s="2316"/>
      <c r="E50" s="2353"/>
      <c r="F50" s="2353"/>
      <c r="G50" s="2353"/>
      <c r="H50" s="2353"/>
      <c r="I50" s="2379"/>
      <c r="J50" s="2353"/>
      <c r="K50" s="2353"/>
      <c r="L50" s="2353"/>
      <c r="M50" s="2353"/>
      <c r="N50" s="2287"/>
      <c r="O50" s="2287"/>
      <c r="P50" s="2287"/>
      <c r="Q50" s="2287"/>
      <c r="R50" s="2287"/>
      <c r="S50" s="2287"/>
      <c r="T50" s="2287"/>
      <c r="U50" s="2287"/>
      <c r="V50" s="2287"/>
      <c r="W50" s="2287"/>
      <c r="X50" s="2316"/>
      <c r="Y50" s="2316"/>
      <c r="Z50" s="2316"/>
      <c r="AA50" s="2316"/>
      <c r="AB50" s="2316"/>
      <c r="AC50" s="2316"/>
      <c r="AD50" s="2316"/>
      <c r="AE50" s="2316"/>
      <c r="AF50" s="2316"/>
      <c r="AG50" s="2316"/>
      <c r="AH50" s="2276"/>
      <c r="AI50" s="2266"/>
    </row>
    <row r="51">
      <c r="A51" s="2267"/>
      <c r="B51" s="2268"/>
      <c r="C51" s="2269"/>
      <c r="D51" s="2270"/>
      <c r="E51" s="2380" t="s">
        <v>693</v>
      </c>
      <c r="F51" s="1579"/>
      <c r="G51" s="1579"/>
      <c r="H51" s="1579"/>
      <c r="I51" s="1579"/>
      <c r="J51" s="1579"/>
      <c r="K51" s="1579"/>
      <c r="L51" s="1579"/>
      <c r="M51" s="1579"/>
      <c r="N51" s="1579"/>
      <c r="O51" s="1579"/>
      <c r="P51" s="1579"/>
      <c r="Q51" s="1579"/>
      <c r="R51" s="1579"/>
      <c r="S51" s="1580"/>
      <c r="T51" s="2272"/>
      <c r="U51" s="2273"/>
      <c r="V51" s="2273"/>
      <c r="W51" s="2274"/>
      <c r="X51" s="2272"/>
      <c r="Y51" s="2273"/>
      <c r="Z51" s="2273"/>
      <c r="AA51" s="2274"/>
      <c r="AB51" s="2270"/>
      <c r="AC51" s="2273"/>
      <c r="AD51" s="2273"/>
      <c r="AE51" s="2274"/>
      <c r="AF51" s="2275"/>
      <c r="AG51" s="2275"/>
      <c r="AH51" s="2276"/>
      <c r="AI51" s="2266"/>
    </row>
    <row r="52" ht="3.75" customHeight="1">
      <c r="A52" s="2267"/>
      <c r="B52" s="2268"/>
      <c r="C52" s="2277"/>
      <c r="D52" s="2278"/>
      <c r="E52" s="2279"/>
      <c r="F52" s="2279"/>
      <c r="G52" s="2279"/>
      <c r="H52" s="2279"/>
      <c r="I52" s="2280"/>
      <c r="J52" s="2279"/>
      <c r="K52" s="2279"/>
      <c r="L52" s="2279"/>
      <c r="M52" s="2279"/>
      <c r="N52" s="2280"/>
      <c r="O52" s="2280"/>
      <c r="P52" s="2280"/>
      <c r="Q52" s="2280"/>
      <c r="R52" s="2280"/>
      <c r="S52" s="2280"/>
      <c r="T52" s="2280"/>
      <c r="U52" s="2280"/>
      <c r="V52" s="2280"/>
      <c r="W52" s="2280"/>
      <c r="X52" s="2278"/>
      <c r="Y52" s="2278"/>
      <c r="Z52" s="2278"/>
      <c r="AA52" s="2278"/>
      <c r="AB52" s="2278"/>
      <c r="AC52" s="2278"/>
      <c r="AD52" s="2278"/>
      <c r="AE52" s="2278"/>
      <c r="AF52" s="2278"/>
      <c r="AG52" s="2278"/>
      <c r="AH52" s="2276"/>
      <c r="AI52" s="2266"/>
    </row>
    <row r="53" ht="96.75" customHeight="1">
      <c r="A53" s="2260"/>
      <c r="B53" s="2281"/>
      <c r="C53" s="2381" t="str">
        <f>IMAGE("https://i.ibb.co/fXwks6z/Rival.png")</f>
        <v/>
      </c>
      <c r="D53" s="2283"/>
      <c r="E53" s="2382" t="str">
        <f t="array" ref="E53">IFERROR(VLOOKUP(E54,Dex!$B$3:$G415,3,FALSE),"")</f>
        <v/>
      </c>
      <c r="F53" s="1830"/>
      <c r="G53" s="1830"/>
      <c r="H53" s="1831"/>
      <c r="I53" s="2285"/>
      <c r="J53" s="2382" t="str">
        <f t="array" ref="J53">IFERROR(VLOOKUP(J54,Dex!$B$3:$G415,3,FALSE),"")</f>
        <v/>
      </c>
      <c r="K53" s="1830"/>
      <c r="L53" s="1830"/>
      <c r="M53" s="1831"/>
      <c r="N53" s="2286"/>
      <c r="O53" s="2270"/>
      <c r="P53" s="2273"/>
      <c r="Q53" s="2273"/>
      <c r="R53" s="2274"/>
      <c r="S53" s="2287"/>
      <c r="T53" s="2270"/>
      <c r="U53" s="2273"/>
      <c r="V53" s="2273"/>
      <c r="W53" s="2274"/>
      <c r="X53" s="2287"/>
      <c r="Y53" s="2270"/>
      <c r="Z53" s="2273"/>
      <c r="AA53" s="2273"/>
      <c r="AB53" s="2274"/>
      <c r="AC53" s="2287"/>
      <c r="AD53" s="2270"/>
      <c r="AE53" s="2273"/>
      <c r="AF53" s="2273"/>
      <c r="AG53" s="2274"/>
      <c r="AH53" s="2276"/>
      <c r="AI53" s="2266"/>
    </row>
    <row r="54" ht="18.75" customHeight="1">
      <c r="A54" s="2288"/>
      <c r="B54" s="2358"/>
      <c r="C54" s="2290" t="s">
        <v>694</v>
      </c>
      <c r="D54" s="2359"/>
      <c r="E54" s="2292" t="s">
        <v>674</v>
      </c>
      <c r="F54" s="2293"/>
      <c r="G54" s="2293"/>
      <c r="H54" s="2294"/>
      <c r="I54" s="2295"/>
      <c r="J54" s="2292" t="s">
        <v>695</v>
      </c>
      <c r="K54" s="2293"/>
      <c r="L54" s="2293"/>
      <c r="M54" s="2294"/>
      <c r="N54" s="2296"/>
      <c r="O54" s="2297"/>
      <c r="P54" s="2273"/>
      <c r="Q54" s="2273"/>
      <c r="R54" s="2274"/>
      <c r="S54" s="104"/>
      <c r="T54" s="2297"/>
      <c r="U54" s="2273"/>
      <c r="V54" s="2273"/>
      <c r="W54" s="2274"/>
      <c r="X54" s="104"/>
      <c r="Y54" s="2297"/>
      <c r="Z54" s="2273"/>
      <c r="AA54" s="2273"/>
      <c r="AB54" s="2274"/>
      <c r="AC54" s="104"/>
      <c r="AD54" s="2297"/>
      <c r="AE54" s="2273"/>
      <c r="AF54" s="2273"/>
      <c r="AG54" s="2274"/>
      <c r="AH54" s="2298"/>
      <c r="AI54" s="2299"/>
    </row>
    <row r="55">
      <c r="A55" s="2260"/>
      <c r="B55" s="2300"/>
      <c r="C55" s="326"/>
      <c r="D55" s="2360"/>
      <c r="E55" s="2302">
        <v>9.0</v>
      </c>
      <c r="F55" s="2303"/>
      <c r="G55" s="2303"/>
      <c r="H55" s="2304"/>
      <c r="I55" s="2295"/>
      <c r="J55" s="2302">
        <v>9.0</v>
      </c>
      <c r="K55" s="2303"/>
      <c r="L55" s="2303"/>
      <c r="M55" s="2304"/>
      <c r="N55" s="2296"/>
      <c r="O55" s="2270"/>
      <c r="P55" s="2273"/>
      <c r="Q55" s="2273"/>
      <c r="R55" s="2274"/>
      <c r="S55" s="104"/>
      <c r="T55" s="2270"/>
      <c r="U55" s="2273"/>
      <c r="V55" s="2273"/>
      <c r="W55" s="2274"/>
      <c r="X55" s="104"/>
      <c r="Y55" s="2270"/>
      <c r="Z55" s="2273"/>
      <c r="AA55" s="2273"/>
      <c r="AB55" s="2274"/>
      <c r="AC55" s="104"/>
      <c r="AD55" s="2270"/>
      <c r="AE55" s="2273"/>
      <c r="AF55" s="2273"/>
      <c r="AG55" s="2274"/>
      <c r="AH55" s="2276"/>
      <c r="AI55" s="2266"/>
    </row>
    <row r="56" ht="25.5" customHeight="1">
      <c r="A56" s="2260"/>
      <c r="B56" s="2268"/>
      <c r="C56" s="2305"/>
      <c r="D56" s="2306"/>
      <c r="E56" s="2307"/>
      <c r="F56" s="2308" t="str">
        <f t="array" ref="F56">IFERROR(VLOOKUP(E54,Dex!$B$3:$H415,5,FALSE),"")</f>
        <v/>
      </c>
      <c r="G56" s="2309" t="str">
        <f t="array" ref="G56">IFERROR(VLOOKUP(E54,Dex!$B$3:$H415,7,FALSE),"")</f>
        <v/>
      </c>
      <c r="H56" s="2310"/>
      <c r="I56" s="2295"/>
      <c r="J56" s="2307"/>
      <c r="K56" s="2311" t="str">
        <f t="array" ref="K56">IFERROR(VLOOKUP(J54,Dex!$B$3:$H415,5,FALSE),"")</f>
        <v/>
      </c>
      <c r="L56" s="2311" t="str">
        <f t="array" ref="L56">IFERROR(VLOOKUP(J54,Dex!$B$3:$H415,7,FALSE),"")</f>
        <v/>
      </c>
      <c r="M56" s="2310"/>
      <c r="N56" s="2296"/>
      <c r="O56" s="2270"/>
      <c r="P56" s="2273"/>
      <c r="Q56" s="2273"/>
      <c r="R56" s="2274"/>
      <c r="S56" s="104"/>
      <c r="T56" s="2270"/>
      <c r="U56" s="2273"/>
      <c r="V56" s="2273"/>
      <c r="W56" s="2274"/>
      <c r="X56" s="104"/>
      <c r="Y56" s="2270"/>
      <c r="Z56" s="2273"/>
      <c r="AA56" s="2273"/>
      <c r="AB56" s="2274"/>
      <c r="AC56" s="104"/>
      <c r="AD56" s="2270"/>
      <c r="AE56" s="2273"/>
      <c r="AF56" s="2273"/>
      <c r="AG56" s="2274"/>
      <c r="AH56" s="2276"/>
      <c r="AI56" s="2266"/>
    </row>
    <row r="57" ht="2.25" customHeight="1">
      <c r="A57" s="2260"/>
      <c r="B57" s="2268"/>
      <c r="C57" s="104"/>
      <c r="D57" s="2306"/>
      <c r="E57" s="2313"/>
      <c r="F57" s="2314"/>
      <c r="G57" s="2314"/>
      <c r="H57" s="2315"/>
      <c r="I57" s="2295"/>
      <c r="J57" s="2313"/>
      <c r="K57" s="2314"/>
      <c r="L57" s="2314"/>
      <c r="M57" s="2315"/>
      <c r="N57" s="2296"/>
      <c r="O57" s="2316"/>
      <c r="P57" s="2316"/>
      <c r="Q57" s="2316"/>
      <c r="R57" s="2316"/>
      <c r="S57" s="104"/>
      <c r="T57" s="2316"/>
      <c r="U57" s="2316"/>
      <c r="V57" s="2316"/>
      <c r="W57" s="2316"/>
      <c r="X57" s="104"/>
      <c r="Y57" s="2316"/>
      <c r="Z57" s="2316"/>
      <c r="AA57" s="2316"/>
      <c r="AB57" s="2316"/>
      <c r="AC57" s="104"/>
      <c r="AD57" s="2316"/>
      <c r="AE57" s="2316"/>
      <c r="AF57" s="2316"/>
      <c r="AG57" s="2316"/>
      <c r="AH57" s="2276"/>
      <c r="AI57" s="2266"/>
    </row>
    <row r="58" ht="20.25" customHeight="1">
      <c r="A58" s="2260"/>
      <c r="B58" s="2268"/>
      <c r="C58" s="281"/>
      <c r="D58" s="2270"/>
      <c r="E58" s="2317" t="s">
        <v>676</v>
      </c>
      <c r="F58" s="2318"/>
      <c r="G58" s="2318"/>
      <c r="H58" s="2319"/>
      <c r="I58" s="2295"/>
      <c r="J58" s="2317" t="s">
        <v>205</v>
      </c>
      <c r="K58" s="2318"/>
      <c r="L58" s="2318"/>
      <c r="M58" s="2319"/>
      <c r="N58" s="2296"/>
      <c r="O58" s="2270"/>
      <c r="P58" s="2273"/>
      <c r="Q58" s="2273"/>
      <c r="R58" s="2274"/>
      <c r="S58" s="104"/>
      <c r="T58" s="2270"/>
      <c r="U58" s="2273"/>
      <c r="V58" s="2273"/>
      <c r="W58" s="2274"/>
      <c r="X58" s="104"/>
      <c r="Y58" s="2270"/>
      <c r="Z58" s="2273"/>
      <c r="AA58" s="2273"/>
      <c r="AB58" s="2274"/>
      <c r="AC58" s="104"/>
      <c r="AD58" s="2270"/>
      <c r="AE58" s="2273"/>
      <c r="AF58" s="2273"/>
      <c r="AG58" s="2274"/>
      <c r="AH58" s="2276"/>
      <c r="AI58" s="2266"/>
    </row>
    <row r="59" ht="20.25" customHeight="1">
      <c r="A59" s="2260"/>
      <c r="B59" s="2268"/>
      <c r="C59" s="2320"/>
      <c r="D59" s="2270"/>
      <c r="E59" s="2321" t="s">
        <v>677</v>
      </c>
      <c r="F59" s="2273"/>
      <c r="G59" s="2273"/>
      <c r="H59" s="2322"/>
      <c r="I59" s="2295"/>
      <c r="J59" s="2321" t="s">
        <v>696</v>
      </c>
      <c r="K59" s="2273"/>
      <c r="L59" s="2273"/>
      <c r="M59" s="2322"/>
      <c r="N59" s="2296"/>
      <c r="O59" s="2270"/>
      <c r="P59" s="2273"/>
      <c r="Q59" s="2273"/>
      <c r="R59" s="2274"/>
      <c r="S59" s="104"/>
      <c r="T59" s="2270"/>
      <c r="U59" s="2273"/>
      <c r="V59" s="2273"/>
      <c r="W59" s="2274"/>
      <c r="X59" s="104"/>
      <c r="Y59" s="2270"/>
      <c r="Z59" s="2273"/>
      <c r="AA59" s="2273"/>
      <c r="AB59" s="2274"/>
      <c r="AC59" s="104"/>
      <c r="AD59" s="2270"/>
      <c r="AE59" s="2273"/>
      <c r="AF59" s="2273"/>
      <c r="AG59" s="2274"/>
      <c r="AH59" s="2276"/>
      <c r="AI59" s="2266"/>
    </row>
    <row r="60" ht="20.25" customHeight="1">
      <c r="A60" s="2260"/>
      <c r="B60" s="2268"/>
      <c r="C60" s="104"/>
      <c r="D60" s="2270"/>
      <c r="E60" s="2323" t="s">
        <v>679</v>
      </c>
      <c r="F60" s="2324"/>
      <c r="G60" s="2325"/>
      <c r="H60" s="2326" t="s">
        <v>680</v>
      </c>
      <c r="I60" s="2295"/>
      <c r="J60" s="2323" t="s">
        <v>679</v>
      </c>
      <c r="K60" s="2324"/>
      <c r="L60" s="2325"/>
      <c r="M60" s="2326" t="s">
        <v>680</v>
      </c>
      <c r="N60" s="2296"/>
      <c r="O60" s="2270"/>
      <c r="P60" s="2273"/>
      <c r="Q60" s="2273"/>
      <c r="R60" s="2274"/>
      <c r="S60" s="104"/>
      <c r="T60" s="2270"/>
      <c r="U60" s="2273"/>
      <c r="V60" s="2273"/>
      <c r="W60" s="2274"/>
      <c r="X60" s="104"/>
      <c r="Y60" s="2270"/>
      <c r="Z60" s="2273"/>
      <c r="AA60" s="2273"/>
      <c r="AB60" s="2274"/>
      <c r="AC60" s="104"/>
      <c r="AD60" s="2270"/>
      <c r="AE60" s="2273"/>
      <c r="AF60" s="2273"/>
      <c r="AG60" s="2274"/>
      <c r="AH60" s="2276"/>
      <c r="AI60" s="2266"/>
    </row>
    <row r="61" ht="20.25" customHeight="1">
      <c r="A61" s="2260"/>
      <c r="B61" s="2268"/>
      <c r="C61" s="281"/>
      <c r="D61" s="2270"/>
      <c r="E61" s="2317" t="s">
        <v>681</v>
      </c>
      <c r="F61" s="2318"/>
      <c r="G61" s="2327"/>
      <c r="H61" s="2328" t="str">
        <f t="shared" ref="H61:H63" si="5">IMAGE("https://raw.githubusercontent.com/msikma/pokesprite/master/misc/types/gen8/normal.png",4,20,20)</f>
        <v/>
      </c>
      <c r="I61" s="2295"/>
      <c r="J61" s="2317" t="s">
        <v>681</v>
      </c>
      <c r="K61" s="2318"/>
      <c r="L61" s="2327"/>
      <c r="M61" s="2328" t="str">
        <f t="shared" ref="M61:M62" si="6">IMAGE("https://raw.githubusercontent.com/msikma/pokesprite/master/misc/types/gen8/normal.png",4,20,20)</f>
        <v/>
      </c>
      <c r="N61" s="2296"/>
      <c r="O61" s="2270"/>
      <c r="P61" s="2273"/>
      <c r="Q61" s="2273"/>
      <c r="R61" s="2274"/>
      <c r="S61" s="104"/>
      <c r="T61" s="2270"/>
      <c r="U61" s="2273"/>
      <c r="V61" s="2273"/>
      <c r="W61" s="2274"/>
      <c r="X61" s="104"/>
      <c r="Y61" s="2270"/>
      <c r="Z61" s="2273"/>
      <c r="AA61" s="2273"/>
      <c r="AB61" s="2274"/>
      <c r="AC61" s="104"/>
      <c r="AD61" s="2270"/>
      <c r="AE61" s="2273"/>
      <c r="AF61" s="2273"/>
      <c r="AG61" s="2274"/>
      <c r="AH61" s="2276"/>
      <c r="AI61" s="2266"/>
    </row>
    <row r="62" ht="20.25" customHeight="1">
      <c r="A62" s="2260"/>
      <c r="B62" s="2268"/>
      <c r="C62" s="2269"/>
      <c r="D62" s="2270"/>
      <c r="E62" s="2321" t="s">
        <v>682</v>
      </c>
      <c r="F62" s="2273"/>
      <c r="G62" s="2274"/>
      <c r="H62" s="2329" t="str">
        <f t="shared" si="5"/>
        <v/>
      </c>
      <c r="I62" s="2295"/>
      <c r="J62" s="2321" t="s">
        <v>682</v>
      </c>
      <c r="K62" s="2273"/>
      <c r="L62" s="2274"/>
      <c r="M62" s="2329" t="str">
        <f t="shared" si="6"/>
        <v/>
      </c>
      <c r="N62" s="2296"/>
      <c r="O62" s="2270"/>
      <c r="P62" s="2273"/>
      <c r="Q62" s="2273"/>
      <c r="R62" s="2274"/>
      <c r="S62" s="104"/>
      <c r="T62" s="2270"/>
      <c r="U62" s="2273"/>
      <c r="V62" s="2273"/>
      <c r="W62" s="2274"/>
      <c r="X62" s="104"/>
      <c r="Y62" s="2270"/>
      <c r="Z62" s="2273"/>
      <c r="AA62" s="2273"/>
      <c r="AB62" s="2274"/>
      <c r="AC62" s="104"/>
      <c r="AD62" s="2270"/>
      <c r="AE62" s="2273"/>
      <c r="AF62" s="2273"/>
      <c r="AG62" s="2274"/>
      <c r="AH62" s="2276"/>
      <c r="AI62" s="2266"/>
    </row>
    <row r="63" ht="20.25" customHeight="1">
      <c r="A63" s="2260"/>
      <c r="B63" s="2268"/>
      <c r="C63" s="2269"/>
      <c r="D63" s="2270"/>
      <c r="E63" s="2321" t="s">
        <v>635</v>
      </c>
      <c r="F63" s="2273"/>
      <c r="G63" s="2274"/>
      <c r="H63" s="2329" t="str">
        <f t="shared" si="5"/>
        <v/>
      </c>
      <c r="I63" s="2295"/>
      <c r="J63" s="2321" t="s">
        <v>457</v>
      </c>
      <c r="K63" s="2273"/>
      <c r="L63" s="2274"/>
      <c r="M63" s="2329" t="str">
        <f t="shared" ref="M63:M64" si="7">IMAGE("https://raw.githubusercontent.com/msikma/pokesprite/master/misc/types/gen8/grass.png",4,20,20)</f>
        <v/>
      </c>
      <c r="N63" s="2296"/>
      <c r="O63" s="2270"/>
      <c r="P63" s="2273"/>
      <c r="Q63" s="2273"/>
      <c r="R63" s="2274"/>
      <c r="S63" s="104"/>
      <c r="T63" s="2270"/>
      <c r="U63" s="2273"/>
      <c r="V63" s="2273"/>
      <c r="W63" s="2274"/>
      <c r="X63" s="104"/>
      <c r="Y63" s="2270"/>
      <c r="Z63" s="2273"/>
      <c r="AA63" s="2273"/>
      <c r="AB63" s="2274"/>
      <c r="AC63" s="104"/>
      <c r="AD63" s="2270"/>
      <c r="AE63" s="2273"/>
      <c r="AF63" s="2273"/>
      <c r="AG63" s="2274"/>
      <c r="AH63" s="2276"/>
      <c r="AI63" s="2266"/>
    </row>
    <row r="64" ht="21.0" customHeight="1">
      <c r="A64" s="2260"/>
      <c r="B64" s="2268"/>
      <c r="C64" s="2269"/>
      <c r="D64" s="2270"/>
      <c r="E64" s="2330" t="s">
        <v>685</v>
      </c>
      <c r="F64" s="2331"/>
      <c r="G64" s="2332"/>
      <c r="H64" s="2333" t="str">
        <f>IMAGE("https://raw.githubusercontent.com/msikma/pokesprite/master/misc/types/gen8/flying.png",4,20,20)</f>
        <v/>
      </c>
      <c r="I64" s="2334"/>
      <c r="J64" s="2330" t="s">
        <v>697</v>
      </c>
      <c r="K64" s="2331"/>
      <c r="L64" s="2332"/>
      <c r="M64" s="2333" t="str">
        <f t="shared" si="7"/>
        <v/>
      </c>
      <c r="N64" s="2335"/>
      <c r="O64" s="2270"/>
      <c r="P64" s="2273"/>
      <c r="Q64" s="2273"/>
      <c r="R64" s="2274"/>
      <c r="S64" s="281"/>
      <c r="T64" s="2270"/>
      <c r="U64" s="2273"/>
      <c r="V64" s="2273"/>
      <c r="W64" s="2274"/>
      <c r="X64" s="281"/>
      <c r="Y64" s="2270"/>
      <c r="Z64" s="2273"/>
      <c r="AA64" s="2273"/>
      <c r="AB64" s="2274"/>
      <c r="AC64" s="281"/>
      <c r="AD64" s="2270"/>
      <c r="AE64" s="2273"/>
      <c r="AF64" s="2273"/>
      <c r="AG64" s="2274"/>
      <c r="AH64" s="2276"/>
      <c r="AI64" s="2266"/>
    </row>
    <row r="65" ht="3.0" customHeight="1">
      <c r="A65" s="2336"/>
      <c r="B65" s="2337"/>
      <c r="C65" s="2338"/>
      <c r="D65" s="2339"/>
      <c r="E65" s="2340"/>
      <c r="F65" s="2340"/>
      <c r="G65" s="2340"/>
      <c r="H65" s="2340"/>
      <c r="I65" s="2339"/>
      <c r="J65" s="2340"/>
      <c r="K65" s="2340"/>
      <c r="L65" s="2340"/>
      <c r="M65" s="2340"/>
      <c r="N65" s="2339"/>
      <c r="O65" s="2339"/>
      <c r="P65" s="2339"/>
      <c r="Q65" s="2339"/>
      <c r="R65" s="2339"/>
      <c r="S65" s="2339"/>
      <c r="T65" s="2339"/>
      <c r="U65" s="2339"/>
      <c r="V65" s="2339"/>
      <c r="W65" s="2339"/>
      <c r="X65" s="2339"/>
      <c r="Y65" s="2339"/>
      <c r="Z65" s="2341"/>
      <c r="AA65" s="2341"/>
      <c r="AB65" s="2342"/>
      <c r="AC65" s="2342"/>
      <c r="AD65" s="2342"/>
      <c r="AE65" s="2342"/>
      <c r="AF65" s="2342"/>
      <c r="AG65" s="2342"/>
      <c r="AH65" s="2343"/>
      <c r="AI65" s="2344"/>
    </row>
    <row r="66" ht="16.5" customHeight="1">
      <c r="A66" s="2267"/>
      <c r="B66" s="2345"/>
      <c r="C66" s="2338"/>
      <c r="D66" s="2346"/>
      <c r="E66" s="703" t="s">
        <v>190</v>
      </c>
      <c r="F66" s="381"/>
      <c r="G66" s="382"/>
      <c r="H66" s="704" t="s">
        <v>191</v>
      </c>
      <c r="I66" s="2347"/>
      <c r="J66" s="703" t="s">
        <v>190</v>
      </c>
      <c r="K66" s="381"/>
      <c r="L66" s="382"/>
      <c r="M66" s="704" t="s">
        <v>191</v>
      </c>
      <c r="N66" s="2348"/>
      <c r="O66" s="2349"/>
      <c r="P66" s="2349"/>
      <c r="Q66" s="2350"/>
      <c r="R66" s="2350"/>
      <c r="S66" s="2350"/>
      <c r="T66" s="2349"/>
      <c r="U66" s="2349"/>
      <c r="V66" s="2350"/>
      <c r="W66" s="2350"/>
      <c r="X66" s="2350"/>
      <c r="Y66" s="2349"/>
      <c r="Z66" s="2349"/>
      <c r="AA66" s="2349"/>
      <c r="AB66" s="2350"/>
      <c r="AC66" s="2350"/>
      <c r="AD66" s="2350"/>
      <c r="AE66" s="2350"/>
      <c r="AF66" s="2350"/>
      <c r="AG66" s="2350"/>
      <c r="AH66" s="2351"/>
      <c r="AI66" s="2352"/>
    </row>
    <row r="67" ht="15.75" customHeight="1">
      <c r="A67" s="2267"/>
      <c r="B67" s="2345"/>
      <c r="C67" s="2338"/>
      <c r="D67" s="2346"/>
      <c r="E67" s="709" t="s">
        <v>192</v>
      </c>
      <c r="F67" s="710">
        <f t="array" ref="F67">IFERROR(VLOOKUP(E54,Dex!$B$3:$N415,8,FALSE),"")</f>
        <v>40</v>
      </c>
      <c r="G67" s="711" t="str">
        <f t="array" ref="G67">IFERROR(VLOOKUP(F67,Dex!$P$22:$Q$276,2,FALSE),"")</f>
        <v/>
      </c>
      <c r="H67" s="712"/>
      <c r="I67" s="2347"/>
      <c r="J67" s="709" t="s">
        <v>192</v>
      </c>
      <c r="K67" s="710">
        <f t="array" ref="K67">IFERROR(VLOOKUP(J54,Dex!$B$3:$N415,8,FALSE),"")</f>
        <v>45</v>
      </c>
      <c r="L67" s="711" t="str">
        <f t="array" ref="L67">IFERROR(VLOOKUP(K67,Dex!$P$22:$Q$276,2,FALSE),"")</f>
        <v/>
      </c>
      <c r="M67" s="712"/>
      <c r="N67" s="2348"/>
      <c r="O67" s="2349"/>
      <c r="P67" s="2349"/>
      <c r="Q67" s="2350"/>
      <c r="R67" s="2350"/>
      <c r="S67" s="2350"/>
      <c r="T67" s="2349"/>
      <c r="U67" s="2349"/>
      <c r="V67" s="2350"/>
      <c r="W67" s="2350"/>
      <c r="X67" s="2350"/>
      <c r="Y67" s="2349"/>
      <c r="Z67" s="2349"/>
      <c r="AA67" s="2349"/>
      <c r="AB67" s="2350"/>
      <c r="AC67" s="2350"/>
      <c r="AD67" s="2350"/>
      <c r="AE67" s="2350"/>
      <c r="AF67" s="2350"/>
      <c r="AG67" s="2350"/>
      <c r="AH67" s="2351"/>
      <c r="AI67" s="2352"/>
    </row>
    <row r="68" ht="15.75" customHeight="1">
      <c r="A68" s="2267"/>
      <c r="B68" s="2345"/>
      <c r="C68" s="2338"/>
      <c r="D68" s="2346"/>
      <c r="E68" s="714" t="s">
        <v>193</v>
      </c>
      <c r="F68" s="715">
        <f t="array" ref="F68">IFERROR(VLOOKUP(E54,Dex!$B$3:$N415,9,FALSE),"")</f>
        <v>55</v>
      </c>
      <c r="G68" s="716" t="str">
        <f t="array" ref="G68">IFERROR(VLOOKUP(F68,Dex!$P$22:$Q$276,2,FALSE),"")</f>
        <v/>
      </c>
      <c r="H68" s="717"/>
      <c r="I68" s="2347"/>
      <c r="J68" s="714" t="s">
        <v>193</v>
      </c>
      <c r="K68" s="715">
        <f t="array" ref="K68">IFERROR(VLOOKUP(J54,Dex!$B$3:$N415,9,FALSE),"")</f>
        <v>49</v>
      </c>
      <c r="L68" s="716" t="str">
        <f t="array" ref="L68">IFERROR(VLOOKUP(K68,Dex!$P$22:$Q$276,2,FALSE),"")</f>
        <v/>
      </c>
      <c r="M68" s="717"/>
      <c r="N68" s="2348"/>
      <c r="O68" s="2349"/>
      <c r="P68" s="2349"/>
      <c r="Q68" s="2350"/>
      <c r="R68" s="2350"/>
      <c r="S68" s="2350"/>
      <c r="T68" s="2349"/>
      <c r="U68" s="2349"/>
      <c r="V68" s="2350"/>
      <c r="W68" s="2350"/>
      <c r="X68" s="2350"/>
      <c r="Y68" s="2349"/>
      <c r="Z68" s="2349"/>
      <c r="AA68" s="2349"/>
      <c r="AB68" s="2350"/>
      <c r="AC68" s="2350"/>
      <c r="AD68" s="2350"/>
      <c r="AE68" s="2350"/>
      <c r="AF68" s="2350"/>
      <c r="AG68" s="2350"/>
      <c r="AH68" s="2351"/>
      <c r="AI68" s="2352"/>
    </row>
    <row r="69" ht="15.75" customHeight="1">
      <c r="A69" s="2267"/>
      <c r="B69" s="2345"/>
      <c r="C69" s="2338"/>
      <c r="D69" s="2346"/>
      <c r="E69" s="714" t="s">
        <v>194</v>
      </c>
      <c r="F69" s="715">
        <f t="array" ref="F69">IFERROR(VLOOKUP(E54,Dex!$B$3:$N415,10,FALSE),"")</f>
        <v>30</v>
      </c>
      <c r="G69" s="716" t="str">
        <f t="array" ref="G69">IFERROR(VLOOKUP(F69,Dex!$P$22:$Q$276,2,FALSE),"")</f>
        <v/>
      </c>
      <c r="H69" s="717"/>
      <c r="I69" s="2347"/>
      <c r="J69" s="714" t="s">
        <v>194</v>
      </c>
      <c r="K69" s="715">
        <f t="array" ref="K69">IFERROR(VLOOKUP(J54,Dex!$B$3:$N415,10,FALSE),"")</f>
        <v>49</v>
      </c>
      <c r="L69" s="716" t="str">
        <f t="array" ref="L69">IFERROR(VLOOKUP(K69,Dex!$P$22:$Q$276,2,FALSE),"")</f>
        <v/>
      </c>
      <c r="M69" s="717"/>
      <c r="N69" s="2348"/>
      <c r="O69" s="2349"/>
      <c r="P69" s="2349"/>
      <c r="Q69" s="2350"/>
      <c r="R69" s="2350"/>
      <c r="S69" s="2350"/>
      <c r="T69" s="2349"/>
      <c r="U69" s="2349"/>
      <c r="V69" s="2350"/>
      <c r="W69" s="2350"/>
      <c r="X69" s="2350"/>
      <c r="Y69" s="2349"/>
      <c r="Z69" s="2349"/>
      <c r="AA69" s="2349"/>
      <c r="AB69" s="2350"/>
      <c r="AC69" s="2350"/>
      <c r="AD69" s="2350"/>
      <c r="AE69" s="2350"/>
      <c r="AF69" s="2350"/>
      <c r="AG69" s="2350"/>
      <c r="AH69" s="2351"/>
      <c r="AI69" s="2352"/>
    </row>
    <row r="70" ht="15.75" customHeight="1">
      <c r="A70" s="2267"/>
      <c r="B70" s="2345"/>
      <c r="C70" s="2338"/>
      <c r="D70" s="2346"/>
      <c r="E70" s="714" t="s">
        <v>195</v>
      </c>
      <c r="F70" s="715">
        <f t="array" ref="F70">IFERROR(VLOOKUP(E54,Dex!$B$3:$N415,11,FALSE),"")</f>
        <v>30</v>
      </c>
      <c r="G70" s="716" t="str">
        <f t="array" ref="G70">IFERROR(VLOOKUP(F70,Dex!$P$22:$Q$276,2,FALSE),"")</f>
        <v/>
      </c>
      <c r="H70" s="717"/>
      <c r="I70" s="2347"/>
      <c r="J70" s="714" t="s">
        <v>195</v>
      </c>
      <c r="K70" s="715">
        <f t="array" ref="K70">IFERROR(VLOOKUP(J54,Dex!$B$3:$N415,11,FALSE),"")</f>
        <v>65</v>
      </c>
      <c r="L70" s="716" t="str">
        <f t="array" ref="L70">IFERROR(VLOOKUP(K70,Dex!$P$22:$Q$276,2,FALSE),"")</f>
        <v/>
      </c>
      <c r="M70" s="717"/>
      <c r="N70" s="2348"/>
      <c r="O70" s="2349"/>
      <c r="P70" s="2349"/>
      <c r="Q70" s="2350"/>
      <c r="R70" s="2350"/>
      <c r="S70" s="2350"/>
      <c r="T70" s="2349"/>
      <c r="U70" s="2349"/>
      <c r="V70" s="2350"/>
      <c r="W70" s="2350"/>
      <c r="X70" s="2350"/>
      <c r="Y70" s="2349"/>
      <c r="Z70" s="2349"/>
      <c r="AA70" s="2349"/>
      <c r="AB70" s="2350"/>
      <c r="AC70" s="2350"/>
      <c r="AD70" s="2350"/>
      <c r="AE70" s="2350"/>
      <c r="AF70" s="2350"/>
      <c r="AG70" s="2350"/>
      <c r="AH70" s="2351"/>
      <c r="AI70" s="2352"/>
    </row>
    <row r="71" ht="15.75" customHeight="1">
      <c r="A71" s="2267"/>
      <c r="B71" s="2345"/>
      <c r="C71" s="2338"/>
      <c r="D71" s="2346"/>
      <c r="E71" s="714" t="s">
        <v>196</v>
      </c>
      <c r="F71" s="715">
        <f t="array" ref="F71">IFERROR(VLOOKUP(E54,Dex!$B$3:$N415,12,FALSE),"")</f>
        <v>30</v>
      </c>
      <c r="G71" s="716" t="str">
        <f t="array" ref="G71">IFERROR(VLOOKUP(F71,Dex!$P$22:$Q$276,2,FALSE),"")</f>
        <v/>
      </c>
      <c r="H71" s="717"/>
      <c r="I71" s="2347"/>
      <c r="J71" s="714" t="s">
        <v>196</v>
      </c>
      <c r="K71" s="715">
        <f t="array" ref="K71">IFERROR(VLOOKUP(J54,Dex!$B$3:$N415,12,FALSE),"")</f>
        <v>65</v>
      </c>
      <c r="L71" s="716" t="str">
        <f t="array" ref="L71">IFERROR(VLOOKUP(K71,Dex!$P$22:$Q$276,2,FALSE),"")</f>
        <v/>
      </c>
      <c r="M71" s="717"/>
      <c r="N71" s="2348"/>
      <c r="O71" s="2349"/>
      <c r="P71" s="2349"/>
      <c r="Q71" s="2350"/>
      <c r="R71" s="2350"/>
      <c r="S71" s="2350"/>
      <c r="T71" s="2349"/>
      <c r="U71" s="2349"/>
      <c r="V71" s="2350"/>
      <c r="W71" s="2350"/>
      <c r="X71" s="2350"/>
      <c r="Y71" s="2349"/>
      <c r="Z71" s="2349"/>
      <c r="AA71" s="2349"/>
      <c r="AB71" s="2350"/>
      <c r="AC71" s="2350"/>
      <c r="AD71" s="2350"/>
      <c r="AE71" s="2350"/>
      <c r="AF71" s="2350"/>
      <c r="AG71" s="2350"/>
      <c r="AH71" s="2351"/>
      <c r="AI71" s="2352"/>
    </row>
    <row r="72" ht="15.75" customHeight="1">
      <c r="A72" s="2267"/>
      <c r="B72" s="2345"/>
      <c r="C72" s="2338"/>
      <c r="D72" s="2346"/>
      <c r="E72" s="718" t="s">
        <v>197</v>
      </c>
      <c r="F72" s="719">
        <f t="array" ref="F72">IFERROR(VLOOKUP(E54,Dex!$B$3:$N415,13,FALSE),"")</f>
        <v>60</v>
      </c>
      <c r="G72" s="720" t="str">
        <f t="array" ref="G72">IFERROR(VLOOKUP(F72,Dex!$P$22:$Q$276,2,FALSE),"")</f>
        <v/>
      </c>
      <c r="H72" s="721"/>
      <c r="I72" s="2347"/>
      <c r="J72" s="718" t="s">
        <v>197</v>
      </c>
      <c r="K72" s="719">
        <f t="array" ref="K72">IFERROR(VLOOKUP(J54,Dex!$B$3:$N415,13,FALSE),"")</f>
        <v>45</v>
      </c>
      <c r="L72" s="720" t="str">
        <f t="array" ref="L72">IFERROR(VLOOKUP(K72,Dex!$P$22:$Q$276,2,FALSE),"")</f>
        <v/>
      </c>
      <c r="M72" s="721"/>
      <c r="N72" s="2348"/>
      <c r="O72" s="2349"/>
      <c r="P72" s="2349"/>
      <c r="Q72" s="2350"/>
      <c r="R72" s="2350"/>
      <c r="S72" s="2350"/>
      <c r="T72" s="2349"/>
      <c r="U72" s="2349"/>
      <c r="V72" s="2350"/>
      <c r="W72" s="2350"/>
      <c r="X72" s="2350"/>
      <c r="Y72" s="2349"/>
      <c r="Z72" s="2349"/>
      <c r="AA72" s="2349"/>
      <c r="AB72" s="2350"/>
      <c r="AC72" s="2350"/>
      <c r="AD72" s="2350"/>
      <c r="AE72" s="2350"/>
      <c r="AF72" s="2350"/>
      <c r="AG72" s="2350"/>
      <c r="AH72" s="2351"/>
      <c r="AI72" s="2352"/>
    </row>
    <row r="73" ht="16.5" customHeight="1">
      <c r="A73" s="2267"/>
      <c r="B73" s="2345"/>
      <c r="C73" s="2338"/>
      <c r="D73" s="2346"/>
      <c r="E73" s="722" t="s">
        <v>198</v>
      </c>
      <c r="F73" s="405"/>
      <c r="G73" s="406"/>
      <c r="H73" s="723">
        <v>18.0</v>
      </c>
      <c r="I73" s="2383"/>
      <c r="J73" s="722" t="s">
        <v>198</v>
      </c>
      <c r="K73" s="405"/>
      <c r="L73" s="406"/>
      <c r="M73" s="723">
        <v>16.0</v>
      </c>
      <c r="N73" s="2384"/>
      <c r="O73" s="2349"/>
      <c r="P73" s="2349"/>
      <c r="Q73" s="2350"/>
      <c r="R73" s="2350"/>
      <c r="S73" s="2350"/>
      <c r="T73" s="2349"/>
      <c r="U73" s="2349"/>
      <c r="V73" s="2350"/>
      <c r="W73" s="2350"/>
      <c r="X73" s="2350"/>
      <c r="Y73" s="2349"/>
      <c r="Z73" s="2349"/>
      <c r="AA73" s="2349"/>
      <c r="AB73" s="2350"/>
      <c r="AC73" s="2350"/>
      <c r="AD73" s="2350"/>
      <c r="AE73" s="2350"/>
      <c r="AF73" s="2350"/>
      <c r="AG73" s="2350"/>
      <c r="AH73" s="2351"/>
      <c r="AI73" s="2352"/>
    </row>
    <row r="74" ht="15.0" customHeight="1">
      <c r="A74" s="2260"/>
      <c r="B74" s="2385"/>
      <c r="C74" s="2386"/>
      <c r="D74" s="2387"/>
      <c r="E74" s="2388"/>
      <c r="F74" s="2388"/>
      <c r="G74" s="2388"/>
      <c r="H74" s="2388"/>
      <c r="I74" s="2387"/>
      <c r="J74" s="2388"/>
      <c r="K74" s="2388"/>
      <c r="L74" s="2388"/>
      <c r="M74" s="2388"/>
      <c r="N74" s="2387"/>
      <c r="O74" s="2387"/>
      <c r="P74" s="2387"/>
      <c r="Q74" s="2387"/>
      <c r="R74" s="2387"/>
      <c r="S74" s="2387"/>
      <c r="T74" s="2387"/>
      <c r="U74" s="2387"/>
      <c r="V74" s="2387"/>
      <c r="W74" s="2387"/>
      <c r="X74" s="2387"/>
      <c r="Y74" s="2387"/>
      <c r="Z74" s="2387"/>
      <c r="AA74" s="2387"/>
      <c r="AB74" s="2387"/>
      <c r="AC74" s="2387"/>
      <c r="AD74" s="2387"/>
      <c r="AE74" s="2387"/>
      <c r="AF74" s="2387"/>
      <c r="AG74" s="2387"/>
      <c r="AH74" s="2389"/>
      <c r="AI74" s="2266"/>
    </row>
    <row r="75" ht="15.0" customHeight="1">
      <c r="A75" s="2260"/>
      <c r="B75" s="2390"/>
      <c r="C75" s="2391"/>
      <c r="D75" s="2392"/>
      <c r="E75" s="2393"/>
      <c r="F75" s="2393"/>
      <c r="G75" s="2393"/>
      <c r="H75" s="2393"/>
      <c r="I75" s="2392"/>
      <c r="J75" s="2393"/>
      <c r="K75" s="2393"/>
      <c r="L75" s="2393"/>
      <c r="M75" s="2393"/>
      <c r="N75" s="2392"/>
      <c r="O75" s="2392"/>
      <c r="P75" s="2392"/>
      <c r="Q75" s="2392"/>
      <c r="R75" s="2392"/>
      <c r="S75" s="2392"/>
      <c r="T75" s="2392"/>
      <c r="U75" s="2392"/>
      <c r="V75" s="2392"/>
      <c r="W75" s="2392"/>
      <c r="X75" s="2392"/>
      <c r="Y75" s="2392"/>
      <c r="Z75" s="2392"/>
      <c r="AA75" s="2392"/>
      <c r="AB75" s="2392"/>
      <c r="AC75" s="2392"/>
      <c r="AD75" s="2392"/>
      <c r="AE75" s="2392"/>
      <c r="AF75" s="2392"/>
      <c r="AG75" s="2392"/>
      <c r="AH75" s="2394"/>
      <c r="AI75" s="2266"/>
    </row>
    <row r="76" ht="96.75" customHeight="1">
      <c r="A76" s="2260"/>
      <c r="B76" s="2395"/>
      <c r="C76" s="2396" t="str">
        <f>IMAGE("https://i.ibb.co/rpm30sn/Brendan.png")</f>
        <v/>
      </c>
      <c r="D76" s="2397"/>
      <c r="E76" s="2398" t="str">
        <f t="array" ref="E76">IFERROR(VLOOKUP(E77,Dex!$B$3:$G415,3,FALSE),"")</f>
        <v/>
      </c>
      <c r="F76" s="1830"/>
      <c r="G76" s="1830"/>
      <c r="H76" s="1831"/>
      <c r="I76" s="2399"/>
      <c r="J76" s="2398" t="str">
        <f t="array" ref="J76">IFERROR(VLOOKUP(J77,Dex!$B$3:$G415,3,FALSE),"")</f>
        <v/>
      </c>
      <c r="K76" s="1830"/>
      <c r="L76" s="1830"/>
      <c r="M76" s="1831"/>
      <c r="N76" s="2400"/>
      <c r="O76" s="2401"/>
      <c r="P76" s="2402"/>
      <c r="Q76" s="2402"/>
      <c r="R76" s="2403"/>
      <c r="S76" s="2404"/>
      <c r="T76" s="2401"/>
      <c r="U76" s="2402"/>
      <c r="V76" s="2402"/>
      <c r="W76" s="2403"/>
      <c r="X76" s="2404"/>
      <c r="Y76" s="2401"/>
      <c r="Z76" s="2402"/>
      <c r="AA76" s="2402"/>
      <c r="AB76" s="2403"/>
      <c r="AC76" s="2404"/>
      <c r="AD76" s="2401"/>
      <c r="AE76" s="2402"/>
      <c r="AF76" s="2402"/>
      <c r="AG76" s="2403"/>
      <c r="AH76" s="2405"/>
      <c r="AI76" s="2266"/>
    </row>
    <row r="77" ht="18.75" customHeight="1">
      <c r="A77" s="2288"/>
      <c r="B77" s="2406"/>
      <c r="C77" s="2407" t="s">
        <v>698</v>
      </c>
      <c r="D77" s="2408"/>
      <c r="E77" s="2409" t="s">
        <v>699</v>
      </c>
      <c r="F77" s="2410"/>
      <c r="G77" s="2410"/>
      <c r="H77" s="2411"/>
      <c r="I77" s="2408"/>
      <c r="J77" s="2409" t="s">
        <v>700</v>
      </c>
      <c r="K77" s="2410"/>
      <c r="L77" s="2410"/>
      <c r="M77" s="2411"/>
      <c r="N77" s="2412"/>
      <c r="O77" s="2413"/>
      <c r="P77" s="2402"/>
      <c r="Q77" s="2402"/>
      <c r="R77" s="2403"/>
      <c r="S77" s="2414"/>
      <c r="T77" s="2413"/>
      <c r="U77" s="2402"/>
      <c r="V77" s="2402"/>
      <c r="W77" s="2403"/>
      <c r="X77" s="2414"/>
      <c r="Y77" s="2413"/>
      <c r="Z77" s="2402"/>
      <c r="AA77" s="2402"/>
      <c r="AB77" s="2403"/>
      <c r="AC77" s="2414"/>
      <c r="AD77" s="2413"/>
      <c r="AE77" s="2402"/>
      <c r="AF77" s="2402"/>
      <c r="AG77" s="2403"/>
      <c r="AH77" s="2415"/>
      <c r="AI77" s="2299"/>
    </row>
    <row r="78">
      <c r="A78" s="2416"/>
      <c r="B78" s="2417"/>
      <c r="C78" s="326"/>
      <c r="D78" s="2418"/>
      <c r="E78" s="2419">
        <v>7.0</v>
      </c>
      <c r="F78" s="2420"/>
      <c r="G78" s="2420"/>
      <c r="H78" s="2421"/>
      <c r="I78" s="2422"/>
      <c r="J78" s="2419">
        <v>8.0</v>
      </c>
      <c r="K78" s="2420"/>
      <c r="L78" s="2420"/>
      <c r="M78" s="2421"/>
      <c r="N78" s="2412"/>
      <c r="O78" s="2401"/>
      <c r="P78" s="2402"/>
      <c r="Q78" s="2402"/>
      <c r="R78" s="2403"/>
      <c r="S78" s="2414"/>
      <c r="T78" s="2401"/>
      <c r="U78" s="2402"/>
      <c r="V78" s="2402"/>
      <c r="W78" s="2403"/>
      <c r="X78" s="2414"/>
      <c r="Y78" s="2401"/>
      <c r="Z78" s="2402"/>
      <c r="AA78" s="2402"/>
      <c r="AB78" s="2403"/>
      <c r="AC78" s="2414"/>
      <c r="AD78" s="2401"/>
      <c r="AE78" s="2402"/>
      <c r="AF78" s="2402"/>
      <c r="AG78" s="2403"/>
      <c r="AH78" s="2423"/>
      <c r="AI78" s="2424"/>
    </row>
    <row r="79" ht="25.5" customHeight="1">
      <c r="A79" s="2260"/>
      <c r="B79" s="2425"/>
      <c r="C79" s="2426"/>
      <c r="D79" s="2401"/>
      <c r="E79" s="2427"/>
      <c r="F79" s="2428" t="str">
        <f t="array" ref="F79">IFERROR(VLOOKUP(E77,Dex!$B$3:$H415,5,FALSE),"")</f>
        <v/>
      </c>
      <c r="G79" s="2429"/>
      <c r="H79" s="2430"/>
      <c r="I79" s="2413"/>
      <c r="J79" s="2427"/>
      <c r="K79" s="2428" t="str">
        <f t="array" ref="K79">IFERROR(VLOOKUP(J77,Dex!$B$3:$H415,5,FALSE),"")</f>
        <v/>
      </c>
      <c r="L79" s="2429"/>
      <c r="M79" s="2430"/>
      <c r="N79" s="2412"/>
      <c r="O79" s="2401"/>
      <c r="P79" s="2402"/>
      <c r="Q79" s="2402"/>
      <c r="R79" s="2403"/>
      <c r="S79" s="2414"/>
      <c r="T79" s="2401"/>
      <c r="U79" s="2402"/>
      <c r="V79" s="2402"/>
      <c r="W79" s="2403"/>
      <c r="X79" s="2414"/>
      <c r="Y79" s="2401"/>
      <c r="Z79" s="2402"/>
      <c r="AA79" s="2402"/>
      <c r="AB79" s="2403"/>
      <c r="AC79" s="2414"/>
      <c r="AD79" s="2401"/>
      <c r="AE79" s="2402"/>
      <c r="AF79" s="2402"/>
      <c r="AG79" s="2403"/>
      <c r="AH79" s="2405"/>
      <c r="AI79" s="2266"/>
    </row>
    <row r="80" ht="2.25" customHeight="1">
      <c r="A80" s="2260"/>
      <c r="B80" s="2425"/>
      <c r="C80" s="2414"/>
      <c r="D80" s="2401"/>
      <c r="E80" s="2431"/>
      <c r="F80" s="2432"/>
      <c r="G80" s="2432"/>
      <c r="H80" s="2433"/>
      <c r="I80" s="2413"/>
      <c r="J80" s="2431"/>
      <c r="K80" s="2432"/>
      <c r="L80" s="2432"/>
      <c r="M80" s="2433"/>
      <c r="N80" s="2412"/>
      <c r="O80" s="2434"/>
      <c r="P80" s="2434"/>
      <c r="Q80" s="2434"/>
      <c r="R80" s="2434"/>
      <c r="S80" s="2414"/>
      <c r="T80" s="2434"/>
      <c r="U80" s="2434"/>
      <c r="V80" s="2434"/>
      <c r="W80" s="2434"/>
      <c r="X80" s="2414"/>
      <c r="Y80" s="2434"/>
      <c r="Z80" s="2434"/>
      <c r="AA80" s="2434"/>
      <c r="AB80" s="2434"/>
      <c r="AC80" s="2414"/>
      <c r="AD80" s="2434"/>
      <c r="AE80" s="2434"/>
      <c r="AF80" s="2434"/>
      <c r="AG80" s="2434"/>
      <c r="AH80" s="2405"/>
      <c r="AI80" s="2266"/>
    </row>
    <row r="81" ht="20.25" customHeight="1">
      <c r="A81" s="2260"/>
      <c r="B81" s="2425"/>
      <c r="C81" s="2435"/>
      <c r="D81" s="2401"/>
      <c r="E81" s="2436" t="s">
        <v>701</v>
      </c>
      <c r="F81" s="2437"/>
      <c r="G81" s="2437"/>
      <c r="H81" s="2438"/>
      <c r="I81" s="2413"/>
      <c r="J81" s="2436" t="s">
        <v>702</v>
      </c>
      <c r="K81" s="2437"/>
      <c r="L81" s="2437"/>
      <c r="M81" s="2438"/>
      <c r="N81" s="2412"/>
      <c r="O81" s="2401"/>
      <c r="P81" s="2402"/>
      <c r="Q81" s="2402"/>
      <c r="R81" s="2403"/>
      <c r="S81" s="2414"/>
      <c r="T81" s="2401"/>
      <c r="U81" s="2402"/>
      <c r="V81" s="2402"/>
      <c r="W81" s="2403"/>
      <c r="X81" s="2414"/>
      <c r="Y81" s="2401"/>
      <c r="Z81" s="2402"/>
      <c r="AA81" s="2402"/>
      <c r="AB81" s="2403"/>
      <c r="AC81" s="2414"/>
      <c r="AD81" s="2401"/>
      <c r="AE81" s="2402"/>
      <c r="AF81" s="2402"/>
      <c r="AG81" s="2403"/>
      <c r="AH81" s="2405"/>
      <c r="AI81" s="2266"/>
    </row>
    <row r="82" ht="20.25" customHeight="1">
      <c r="A82" s="2260"/>
      <c r="B82" s="2425"/>
      <c r="C82" s="2439"/>
      <c r="D82" s="2401"/>
      <c r="E82" s="2440" t="s">
        <v>703</v>
      </c>
      <c r="F82" s="2402"/>
      <c r="G82" s="2402"/>
      <c r="H82" s="2441"/>
      <c r="I82" s="2413"/>
      <c r="J82" s="2440" t="s">
        <v>696</v>
      </c>
      <c r="K82" s="2402"/>
      <c r="L82" s="2402"/>
      <c r="M82" s="2441"/>
      <c r="N82" s="2412"/>
      <c r="O82" s="2401"/>
      <c r="P82" s="2402"/>
      <c r="Q82" s="2402"/>
      <c r="R82" s="2403"/>
      <c r="S82" s="2414"/>
      <c r="T82" s="2401"/>
      <c r="U82" s="2402"/>
      <c r="V82" s="2402"/>
      <c r="W82" s="2403"/>
      <c r="X82" s="2414"/>
      <c r="Y82" s="2401"/>
      <c r="Z82" s="2402"/>
      <c r="AA82" s="2402"/>
      <c r="AB82" s="2403"/>
      <c r="AC82" s="2414"/>
      <c r="AD82" s="2401"/>
      <c r="AE82" s="2402"/>
      <c r="AF82" s="2402"/>
      <c r="AG82" s="2403"/>
      <c r="AH82" s="2405"/>
      <c r="AI82" s="2266"/>
    </row>
    <row r="83" ht="20.25" customHeight="1">
      <c r="A83" s="2260"/>
      <c r="B83" s="2425"/>
      <c r="C83" s="2414"/>
      <c r="D83" s="2401"/>
      <c r="E83" s="2442" t="s">
        <v>679</v>
      </c>
      <c r="F83" s="2443"/>
      <c r="G83" s="2444"/>
      <c r="H83" s="2445" t="s">
        <v>680</v>
      </c>
      <c r="I83" s="2413"/>
      <c r="J83" s="2442" t="s">
        <v>679</v>
      </c>
      <c r="K83" s="2443"/>
      <c r="L83" s="2444"/>
      <c r="M83" s="2445" t="s">
        <v>680</v>
      </c>
      <c r="N83" s="2412"/>
      <c r="O83" s="2401"/>
      <c r="P83" s="2402"/>
      <c r="Q83" s="2402"/>
      <c r="R83" s="2403"/>
      <c r="S83" s="2414"/>
      <c r="T83" s="2401"/>
      <c r="U83" s="2402"/>
      <c r="V83" s="2402"/>
      <c r="W83" s="2403"/>
      <c r="X83" s="2414"/>
      <c r="Y83" s="2401"/>
      <c r="Z83" s="2402"/>
      <c r="AA83" s="2402"/>
      <c r="AB83" s="2403"/>
      <c r="AC83" s="2414"/>
      <c r="AD83" s="2401"/>
      <c r="AE83" s="2402"/>
      <c r="AF83" s="2402"/>
      <c r="AG83" s="2403"/>
      <c r="AH83" s="2405"/>
      <c r="AI83" s="2266"/>
    </row>
    <row r="84" ht="20.25" customHeight="1">
      <c r="A84" s="2260"/>
      <c r="B84" s="2425"/>
      <c r="C84" s="2435"/>
      <c r="D84" s="2401"/>
      <c r="E84" s="2436" t="s">
        <v>686</v>
      </c>
      <c r="F84" s="2437"/>
      <c r="G84" s="2437"/>
      <c r="H84" s="2446" t="str">
        <f>IMAGE("https://raw.githubusercontent.com/msikma/pokesprite/master/misc/types/gen8/water.png",4,20,20)</f>
        <v/>
      </c>
      <c r="I84" s="2413"/>
      <c r="J84" s="2436" t="s">
        <v>704</v>
      </c>
      <c r="K84" s="2437"/>
      <c r="L84" s="2437"/>
      <c r="M84" s="2446" t="str">
        <f t="shared" ref="M84:M85" si="8">IMAGE("https://raw.githubusercontent.com/msikma/pokesprite/master/misc/types/gen8/normal.png",4,20,20)</f>
        <v/>
      </c>
      <c r="N84" s="2412"/>
      <c r="O84" s="2401"/>
      <c r="P84" s="2402"/>
      <c r="Q84" s="2402"/>
      <c r="R84" s="2403"/>
      <c r="S84" s="2414"/>
      <c r="T84" s="2401"/>
      <c r="U84" s="2402"/>
      <c r="V84" s="2402"/>
      <c r="W84" s="2403"/>
      <c r="X84" s="2414"/>
      <c r="Y84" s="2401"/>
      <c r="Z84" s="2402"/>
      <c r="AA84" s="2402"/>
      <c r="AB84" s="2403"/>
      <c r="AC84" s="2414"/>
      <c r="AD84" s="2401"/>
      <c r="AE84" s="2402"/>
      <c r="AF84" s="2402"/>
      <c r="AG84" s="2403"/>
      <c r="AH84" s="2405"/>
      <c r="AI84" s="2266"/>
    </row>
    <row r="85" ht="20.25" customHeight="1">
      <c r="A85" s="2260"/>
      <c r="B85" s="2425"/>
      <c r="C85" s="2447"/>
      <c r="D85" s="2401"/>
      <c r="E85" s="2440" t="s">
        <v>705</v>
      </c>
      <c r="F85" s="2402"/>
      <c r="G85" s="2402"/>
      <c r="H85" s="2448" t="str">
        <f t="shared" ref="H85:H87" si="9">IMAGE("https://raw.githubusercontent.com/msikma/pokesprite/master/misc/types/gen8/normal.png",4,20,20)</f>
        <v/>
      </c>
      <c r="I85" s="2413"/>
      <c r="J85" s="2440" t="s">
        <v>706</v>
      </c>
      <c r="K85" s="2402"/>
      <c r="L85" s="2402"/>
      <c r="M85" s="2448" t="str">
        <f t="shared" si="8"/>
        <v/>
      </c>
      <c r="N85" s="2412"/>
      <c r="O85" s="2401"/>
      <c r="P85" s="2402"/>
      <c r="Q85" s="2402"/>
      <c r="R85" s="2403"/>
      <c r="S85" s="2414"/>
      <c r="T85" s="2401"/>
      <c r="U85" s="2402"/>
      <c r="V85" s="2402"/>
      <c r="W85" s="2403"/>
      <c r="X85" s="2414"/>
      <c r="Y85" s="2401"/>
      <c r="Z85" s="2402"/>
      <c r="AA85" s="2402"/>
      <c r="AB85" s="2403"/>
      <c r="AC85" s="2414"/>
      <c r="AD85" s="2401"/>
      <c r="AE85" s="2402"/>
      <c r="AF85" s="2402"/>
      <c r="AG85" s="2403"/>
      <c r="AH85" s="2405"/>
      <c r="AI85" s="2266"/>
    </row>
    <row r="86" ht="20.25" customHeight="1">
      <c r="A86" s="2260"/>
      <c r="B86" s="2425"/>
      <c r="C86" s="2447"/>
      <c r="D86" s="2401"/>
      <c r="E86" s="2440" t="s">
        <v>707</v>
      </c>
      <c r="F86" s="2402"/>
      <c r="G86" s="2402"/>
      <c r="H86" s="2448" t="str">
        <f t="shared" si="9"/>
        <v/>
      </c>
      <c r="I86" s="2413"/>
      <c r="J86" s="2440" t="s">
        <v>708</v>
      </c>
      <c r="K86" s="2402"/>
      <c r="L86" s="2402"/>
      <c r="M86" s="2448" t="str">
        <f>IMAGE("https://raw.githubusercontent.com/msikma/pokesprite/master/misc/types/gen8/grass.png",4,20,20)</f>
        <v/>
      </c>
      <c r="N86" s="2412"/>
      <c r="O86" s="2401"/>
      <c r="P86" s="2402"/>
      <c r="Q86" s="2402"/>
      <c r="R86" s="2403"/>
      <c r="S86" s="2414"/>
      <c r="T86" s="2401"/>
      <c r="U86" s="2402"/>
      <c r="V86" s="2402"/>
      <c r="W86" s="2403"/>
      <c r="X86" s="2414"/>
      <c r="Y86" s="2401"/>
      <c r="Z86" s="2402"/>
      <c r="AA86" s="2402"/>
      <c r="AB86" s="2403"/>
      <c r="AC86" s="2414"/>
      <c r="AD86" s="2401"/>
      <c r="AE86" s="2402"/>
      <c r="AF86" s="2402"/>
      <c r="AG86" s="2403"/>
      <c r="AH86" s="2405"/>
      <c r="AI86" s="2266"/>
    </row>
    <row r="87" ht="21.0" customHeight="1">
      <c r="A87" s="2260"/>
      <c r="B87" s="2425"/>
      <c r="C87" s="2447"/>
      <c r="D87" s="2401"/>
      <c r="E87" s="2449" t="s">
        <v>706</v>
      </c>
      <c r="F87" s="2450"/>
      <c r="G87" s="2450"/>
      <c r="H87" s="2451" t="str">
        <f t="shared" si="9"/>
        <v/>
      </c>
      <c r="I87" s="2413"/>
      <c r="J87" s="2449" t="s">
        <v>188</v>
      </c>
      <c r="K87" s="2450"/>
      <c r="L87" s="2450"/>
      <c r="M87" s="2452"/>
      <c r="N87" s="2453"/>
      <c r="O87" s="2401"/>
      <c r="P87" s="2402"/>
      <c r="Q87" s="2402"/>
      <c r="R87" s="2403"/>
      <c r="S87" s="2435"/>
      <c r="T87" s="2401"/>
      <c r="U87" s="2402"/>
      <c r="V87" s="2402"/>
      <c r="W87" s="2403"/>
      <c r="X87" s="2435"/>
      <c r="Y87" s="2401"/>
      <c r="Z87" s="2402"/>
      <c r="AA87" s="2402"/>
      <c r="AB87" s="2403"/>
      <c r="AC87" s="2435"/>
      <c r="AD87" s="2401"/>
      <c r="AE87" s="2402"/>
      <c r="AF87" s="2402"/>
      <c r="AG87" s="2403"/>
      <c r="AH87" s="2405"/>
      <c r="AI87" s="2266"/>
    </row>
    <row r="88" ht="3.0" customHeight="1">
      <c r="A88" s="2336"/>
      <c r="B88" s="2454"/>
      <c r="C88" s="2455"/>
      <c r="D88" s="2456"/>
      <c r="E88" s="2457"/>
      <c r="F88" s="2457"/>
      <c r="G88" s="2457"/>
      <c r="H88" s="2457"/>
      <c r="I88" s="2456"/>
      <c r="J88" s="2457"/>
      <c r="K88" s="2457"/>
      <c r="L88" s="2457"/>
      <c r="M88" s="2457"/>
      <c r="N88" s="2456"/>
      <c r="O88" s="2456"/>
      <c r="P88" s="2456"/>
      <c r="Q88" s="2456"/>
      <c r="R88" s="2456"/>
      <c r="S88" s="2456"/>
      <c r="T88" s="2456"/>
      <c r="U88" s="2456"/>
      <c r="V88" s="2456"/>
      <c r="W88" s="2456"/>
      <c r="X88" s="2456"/>
      <c r="Y88" s="2456"/>
      <c r="Z88" s="2458"/>
      <c r="AA88" s="2458"/>
      <c r="AB88" s="2459"/>
      <c r="AC88" s="2459"/>
      <c r="AD88" s="2459"/>
      <c r="AE88" s="2459"/>
      <c r="AF88" s="2459"/>
      <c r="AG88" s="2459"/>
      <c r="AH88" s="2460"/>
      <c r="AI88" s="2344"/>
    </row>
    <row r="89" ht="16.5" customHeight="1">
      <c r="A89" s="2267"/>
      <c r="B89" s="2461"/>
      <c r="C89" s="2455"/>
      <c r="D89" s="2462"/>
      <c r="E89" s="2463" t="s">
        <v>190</v>
      </c>
      <c r="F89" s="381"/>
      <c r="G89" s="382"/>
      <c r="H89" s="2464" t="s">
        <v>191</v>
      </c>
      <c r="I89" s="2465"/>
      <c r="J89" s="2463" t="s">
        <v>190</v>
      </c>
      <c r="K89" s="381"/>
      <c r="L89" s="382"/>
      <c r="M89" s="2464" t="s">
        <v>191</v>
      </c>
      <c r="N89" s="2466"/>
      <c r="O89" s="2467"/>
      <c r="P89" s="2467"/>
      <c r="Q89" s="2468"/>
      <c r="R89" s="2468"/>
      <c r="S89" s="2468"/>
      <c r="T89" s="2467"/>
      <c r="U89" s="2467"/>
      <c r="V89" s="2468"/>
      <c r="W89" s="2468"/>
      <c r="X89" s="2468"/>
      <c r="Y89" s="2467"/>
      <c r="Z89" s="2467"/>
      <c r="AA89" s="2467"/>
      <c r="AB89" s="2468"/>
      <c r="AC89" s="2468"/>
      <c r="AD89" s="2468"/>
      <c r="AE89" s="2468"/>
      <c r="AF89" s="2468"/>
      <c r="AG89" s="2468"/>
      <c r="AH89" s="2469"/>
      <c r="AI89" s="2352"/>
    </row>
    <row r="90" ht="15.75" customHeight="1">
      <c r="A90" s="2267"/>
      <c r="B90" s="2461"/>
      <c r="C90" s="2455"/>
      <c r="D90" s="2462"/>
      <c r="E90" s="2470" t="s">
        <v>192</v>
      </c>
      <c r="F90" s="2471">
        <f t="array" ref="F90">IFERROR(VLOOKUP(E77,Dex!$B$3:$N415,8,FALSE),"")</f>
        <v>43</v>
      </c>
      <c r="G90" s="2472" t="str">
        <f t="array" ref="G90">IFERROR(VLOOKUP(F90,Dex!$P$22:$Q$276,2,FALSE),"")</f>
        <v/>
      </c>
      <c r="H90" s="2473"/>
      <c r="I90" s="2465"/>
      <c r="J90" s="2470" t="s">
        <v>192</v>
      </c>
      <c r="K90" s="2471">
        <f t="array" ref="K90">IFERROR(VLOOKUP(J77,Dex!$B$3:$N415,8,FALSE),"")</f>
        <v>40</v>
      </c>
      <c r="L90" s="2472" t="str">
        <f t="array" ref="L90">IFERROR(VLOOKUP(K90,Dex!$P$22:$Q$276,2,FALSE),"")</f>
        <v/>
      </c>
      <c r="M90" s="2473"/>
      <c r="N90" s="2466"/>
      <c r="O90" s="2467"/>
      <c r="P90" s="2467"/>
      <c r="Q90" s="2468"/>
      <c r="R90" s="2468"/>
      <c r="S90" s="2468"/>
      <c r="T90" s="2467"/>
      <c r="U90" s="2467"/>
      <c r="V90" s="2468"/>
      <c r="W90" s="2468"/>
      <c r="X90" s="2468"/>
      <c r="Y90" s="2467"/>
      <c r="Z90" s="2467"/>
      <c r="AA90" s="2467"/>
      <c r="AB90" s="2468"/>
      <c r="AC90" s="2468"/>
      <c r="AD90" s="2468"/>
      <c r="AE90" s="2468"/>
      <c r="AF90" s="2468"/>
      <c r="AG90" s="2468"/>
      <c r="AH90" s="2469"/>
      <c r="AI90" s="2352"/>
    </row>
    <row r="91" ht="15.75" customHeight="1">
      <c r="A91" s="2267"/>
      <c r="B91" s="2461"/>
      <c r="C91" s="2455"/>
      <c r="D91" s="2462"/>
      <c r="E91" s="2474" t="s">
        <v>193</v>
      </c>
      <c r="F91" s="2475">
        <f t="array" ref="F91">IFERROR(VLOOKUP(E77,Dex!$B$3:$N415,9,FALSE),"")</f>
        <v>80</v>
      </c>
      <c r="G91" s="2476" t="str">
        <f t="array" ref="G91">IFERROR(VLOOKUP(F91,Dex!$P$22:$Q$276,2,FALSE),"")</f>
        <v/>
      </c>
      <c r="H91" s="2477"/>
      <c r="I91" s="2465"/>
      <c r="J91" s="2474" t="s">
        <v>193</v>
      </c>
      <c r="K91" s="2475">
        <f t="array" ref="K91">IFERROR(VLOOKUP(J77,Dex!$B$3:$N415,9,FALSE),"")</f>
        <v>45</v>
      </c>
      <c r="L91" s="2476" t="str">
        <f t="array" ref="L91">IFERROR(VLOOKUP(K91,Dex!$P$22:$Q$276,2,FALSE),"")</f>
        <v/>
      </c>
      <c r="M91" s="2477"/>
      <c r="N91" s="2466"/>
      <c r="O91" s="2467"/>
      <c r="P91" s="2467"/>
      <c r="Q91" s="2468"/>
      <c r="R91" s="2468"/>
      <c r="S91" s="2468"/>
      <c r="T91" s="2467"/>
      <c r="U91" s="2467"/>
      <c r="V91" s="2468"/>
      <c r="W91" s="2468"/>
      <c r="X91" s="2468"/>
      <c r="Y91" s="2467"/>
      <c r="Z91" s="2467"/>
      <c r="AA91" s="2467"/>
      <c r="AB91" s="2468"/>
      <c r="AC91" s="2468"/>
      <c r="AD91" s="2468"/>
      <c r="AE91" s="2468"/>
      <c r="AF91" s="2468"/>
      <c r="AG91" s="2468"/>
      <c r="AH91" s="2469"/>
      <c r="AI91" s="2352"/>
    </row>
    <row r="92" ht="15.75" customHeight="1">
      <c r="A92" s="2267"/>
      <c r="B92" s="2461"/>
      <c r="C92" s="2455"/>
      <c r="D92" s="2462"/>
      <c r="E92" s="2474" t="s">
        <v>194</v>
      </c>
      <c r="F92" s="2475">
        <f t="array" ref="F92">IFERROR(VLOOKUP(E77,Dex!$B$3:$N415,10,FALSE),"")</f>
        <v>65</v>
      </c>
      <c r="G92" s="2476" t="str">
        <f t="array" ref="G92">IFERROR(VLOOKUP(F92,Dex!$P$22:$Q$276,2,FALSE),"")</f>
        <v/>
      </c>
      <c r="H92" s="2477"/>
      <c r="I92" s="2465"/>
      <c r="J92" s="2474" t="s">
        <v>194</v>
      </c>
      <c r="K92" s="2475">
        <f t="array" ref="K92">IFERROR(VLOOKUP(J77,Dex!$B$3:$N415,10,FALSE),"")</f>
        <v>35</v>
      </c>
      <c r="L92" s="2476" t="str">
        <f t="array" ref="L92">IFERROR(VLOOKUP(K92,Dex!$P$22:$Q$276,2,FALSE),"")</f>
        <v/>
      </c>
      <c r="M92" s="2477"/>
      <c r="N92" s="2466"/>
      <c r="O92" s="2467"/>
      <c r="P92" s="2467"/>
      <c r="Q92" s="2468"/>
      <c r="R92" s="2468"/>
      <c r="S92" s="2468"/>
      <c r="T92" s="2467"/>
      <c r="U92" s="2467"/>
      <c r="V92" s="2468"/>
      <c r="W92" s="2468"/>
      <c r="X92" s="2468"/>
      <c r="Y92" s="2467"/>
      <c r="Z92" s="2467"/>
      <c r="AA92" s="2467"/>
      <c r="AB92" s="2468"/>
      <c r="AC92" s="2468"/>
      <c r="AD92" s="2468"/>
      <c r="AE92" s="2468"/>
      <c r="AF92" s="2468"/>
      <c r="AG92" s="2468"/>
      <c r="AH92" s="2469"/>
      <c r="AI92" s="2352"/>
    </row>
    <row r="93" ht="15.75" customHeight="1">
      <c r="A93" s="2267"/>
      <c r="B93" s="2461"/>
      <c r="C93" s="2455"/>
      <c r="D93" s="2462"/>
      <c r="E93" s="2474" t="s">
        <v>195</v>
      </c>
      <c r="F93" s="2475">
        <f t="array" ref="F93">IFERROR(VLOOKUP(E77,Dex!$B$3:$N415,11,FALSE),"")</f>
        <v>50</v>
      </c>
      <c r="G93" s="2476" t="str">
        <f t="array" ref="G93">IFERROR(VLOOKUP(F93,Dex!$P$22:$Q$276,2,FALSE),"")</f>
        <v/>
      </c>
      <c r="H93" s="2477"/>
      <c r="I93" s="2465"/>
      <c r="J93" s="2474" t="s">
        <v>195</v>
      </c>
      <c r="K93" s="2475">
        <f t="array" ref="K93">IFERROR(VLOOKUP(J77,Dex!$B$3:$N415,11,FALSE),"")</f>
        <v>65</v>
      </c>
      <c r="L93" s="2476" t="str">
        <f t="array" ref="L93">IFERROR(VLOOKUP(K93,Dex!$P$22:$Q$276,2,FALSE),"")</f>
        <v/>
      </c>
      <c r="M93" s="2477"/>
      <c r="N93" s="2466"/>
      <c r="O93" s="2467"/>
      <c r="P93" s="2467"/>
      <c r="Q93" s="2468"/>
      <c r="R93" s="2468"/>
      <c r="S93" s="2468"/>
      <c r="T93" s="2467"/>
      <c r="U93" s="2467"/>
      <c r="V93" s="2468"/>
      <c r="W93" s="2468"/>
      <c r="X93" s="2468"/>
      <c r="Y93" s="2467"/>
      <c r="Z93" s="2467"/>
      <c r="AA93" s="2467"/>
      <c r="AB93" s="2468"/>
      <c r="AC93" s="2468"/>
      <c r="AD93" s="2468"/>
      <c r="AE93" s="2468"/>
      <c r="AF93" s="2468"/>
      <c r="AG93" s="2468"/>
      <c r="AH93" s="2469"/>
      <c r="AI93" s="2352"/>
    </row>
    <row r="94" ht="15.75" customHeight="1">
      <c r="A94" s="2267"/>
      <c r="B94" s="2461"/>
      <c r="C94" s="2455"/>
      <c r="D94" s="2462"/>
      <c r="E94" s="2474" t="s">
        <v>196</v>
      </c>
      <c r="F94" s="2475">
        <f t="array" ref="F94">IFERROR(VLOOKUP(E77,Dex!$B$3:$N415,12,FALSE),"")</f>
        <v>35</v>
      </c>
      <c r="G94" s="2476" t="str">
        <f t="array" ref="G94">IFERROR(VLOOKUP(F94,Dex!$P$22:$Q$276,2,FALSE),"")</f>
        <v/>
      </c>
      <c r="H94" s="2477"/>
      <c r="I94" s="2465"/>
      <c r="J94" s="2474" t="s">
        <v>196</v>
      </c>
      <c r="K94" s="2475">
        <f t="array" ref="K94">IFERROR(VLOOKUP(J77,Dex!$B$3:$N415,12,FALSE),"")</f>
        <v>55</v>
      </c>
      <c r="L94" s="2476" t="str">
        <f t="array" ref="L94">IFERROR(VLOOKUP(K94,Dex!$P$22:$Q$276,2,FALSE),"")</f>
        <v/>
      </c>
      <c r="M94" s="2477"/>
      <c r="N94" s="2466"/>
      <c r="O94" s="2467"/>
      <c r="P94" s="2467"/>
      <c r="Q94" s="2468"/>
      <c r="R94" s="2468"/>
      <c r="S94" s="2468"/>
      <c r="T94" s="2467"/>
      <c r="U94" s="2467"/>
      <c r="V94" s="2468"/>
      <c r="W94" s="2468"/>
      <c r="X94" s="2468"/>
      <c r="Y94" s="2467"/>
      <c r="Z94" s="2467"/>
      <c r="AA94" s="2467"/>
      <c r="AB94" s="2468"/>
      <c r="AC94" s="2468"/>
      <c r="AD94" s="2468"/>
      <c r="AE94" s="2468"/>
      <c r="AF94" s="2468"/>
      <c r="AG94" s="2468"/>
      <c r="AH94" s="2469"/>
      <c r="AI94" s="2352"/>
    </row>
    <row r="95" ht="15.75" customHeight="1">
      <c r="A95" s="2267"/>
      <c r="B95" s="2461"/>
      <c r="C95" s="2455"/>
      <c r="D95" s="2462"/>
      <c r="E95" s="2478" t="s">
        <v>197</v>
      </c>
      <c r="F95" s="2479">
        <f t="array" ref="F95">IFERROR(VLOOKUP(E77,Dex!$B$3:$N415,13,FALSE),"")</f>
        <v>35</v>
      </c>
      <c r="G95" s="2480" t="str">
        <f t="array" ref="G95">IFERROR(VLOOKUP(F95,Dex!$P$22:$Q$276,2,FALSE),"")</f>
        <v/>
      </c>
      <c r="H95" s="2481"/>
      <c r="I95" s="2465"/>
      <c r="J95" s="2478" t="s">
        <v>197</v>
      </c>
      <c r="K95" s="2479">
        <f t="array" ref="K95">IFERROR(VLOOKUP(J77,Dex!$B$3:$N415,13,FALSE),"")</f>
        <v>70</v>
      </c>
      <c r="L95" s="2480" t="str">
        <f t="array" ref="L95">IFERROR(VLOOKUP(K95,Dex!$P$22:$Q$276,2,FALSE),"")</f>
        <v/>
      </c>
      <c r="M95" s="2481"/>
      <c r="N95" s="2466"/>
      <c r="O95" s="2467"/>
      <c r="P95" s="2467"/>
      <c r="Q95" s="2468"/>
      <c r="R95" s="2468"/>
      <c r="S95" s="2468"/>
      <c r="T95" s="2467"/>
      <c r="U95" s="2467"/>
      <c r="V95" s="2468"/>
      <c r="W95" s="2468"/>
      <c r="X95" s="2468"/>
      <c r="Y95" s="2467"/>
      <c r="Z95" s="2467"/>
      <c r="AA95" s="2467"/>
      <c r="AB95" s="2468"/>
      <c r="AC95" s="2468"/>
      <c r="AD95" s="2468"/>
      <c r="AE95" s="2468"/>
      <c r="AF95" s="2468"/>
      <c r="AG95" s="2468"/>
      <c r="AH95" s="2469"/>
      <c r="AI95" s="2352"/>
    </row>
    <row r="96" ht="16.5" customHeight="1">
      <c r="A96" s="2267"/>
      <c r="B96" s="2461"/>
      <c r="C96" s="2455"/>
      <c r="D96" s="2462"/>
      <c r="E96" s="2482" t="s">
        <v>198</v>
      </c>
      <c r="F96" s="405"/>
      <c r="G96" s="406"/>
      <c r="H96" s="2483">
        <v>10.0</v>
      </c>
      <c r="I96" s="2465"/>
      <c r="J96" s="2482" t="s">
        <v>198</v>
      </c>
      <c r="K96" s="405"/>
      <c r="L96" s="406"/>
      <c r="M96" s="2483">
        <v>17.0</v>
      </c>
      <c r="N96" s="2466"/>
      <c r="O96" s="2467"/>
      <c r="P96" s="2467"/>
      <c r="Q96" s="2468"/>
      <c r="R96" s="2468"/>
      <c r="S96" s="2468"/>
      <c r="T96" s="2467"/>
      <c r="U96" s="2467"/>
      <c r="V96" s="2468"/>
      <c r="W96" s="2468"/>
      <c r="X96" s="2468"/>
      <c r="Y96" s="2467"/>
      <c r="Z96" s="2467"/>
      <c r="AA96" s="2467"/>
      <c r="AB96" s="2468"/>
      <c r="AC96" s="2468"/>
      <c r="AD96" s="2468"/>
      <c r="AE96" s="2468"/>
      <c r="AF96" s="2468"/>
      <c r="AG96" s="2468"/>
      <c r="AH96" s="2469"/>
      <c r="AI96" s="2352"/>
    </row>
    <row r="97" ht="15.0" customHeight="1">
      <c r="A97" s="2260"/>
      <c r="B97" s="2484"/>
      <c r="C97" s="2485"/>
      <c r="D97" s="2486"/>
      <c r="E97" s="2487"/>
      <c r="F97" s="2487"/>
      <c r="G97" s="2487"/>
      <c r="H97" s="2487"/>
      <c r="I97" s="2486"/>
      <c r="J97" s="2487"/>
      <c r="K97" s="2487"/>
      <c r="L97" s="2487"/>
      <c r="M97" s="2487"/>
      <c r="N97" s="2486"/>
      <c r="O97" s="2486"/>
      <c r="P97" s="2486"/>
      <c r="Q97" s="2486"/>
      <c r="R97" s="2486"/>
      <c r="S97" s="2486"/>
      <c r="T97" s="2486"/>
      <c r="U97" s="2486"/>
      <c r="V97" s="2486"/>
      <c r="W97" s="2486"/>
      <c r="X97" s="2486"/>
      <c r="Y97" s="2486"/>
      <c r="Z97" s="2486"/>
      <c r="AA97" s="2486"/>
      <c r="AB97" s="2486"/>
      <c r="AC97" s="2486"/>
      <c r="AD97" s="2486"/>
      <c r="AE97" s="2486"/>
      <c r="AF97" s="2486"/>
      <c r="AG97" s="2486"/>
      <c r="AH97" s="2488"/>
      <c r="AI97" s="2266"/>
    </row>
    <row r="98" ht="15.0" customHeight="1">
      <c r="A98" s="2260"/>
      <c r="B98" s="2261"/>
      <c r="C98" s="2262"/>
      <c r="D98" s="2263"/>
      <c r="E98" s="2489"/>
      <c r="F98" s="2489"/>
      <c r="G98" s="2489"/>
      <c r="H98" s="2489"/>
      <c r="I98" s="2489"/>
      <c r="J98" s="2489"/>
      <c r="K98" s="2489"/>
      <c r="L98" s="2489"/>
      <c r="M98" s="2489"/>
      <c r="N98" s="2489"/>
      <c r="O98" s="2489"/>
      <c r="P98" s="2489"/>
      <c r="Q98" s="2489"/>
      <c r="R98" s="2489"/>
      <c r="S98" s="2489"/>
      <c r="T98" s="2489"/>
      <c r="U98" s="2489"/>
      <c r="V98" s="2489"/>
      <c r="W98" s="2489"/>
      <c r="X98" s="2263"/>
      <c r="Y98" s="2263"/>
      <c r="Z98" s="2263"/>
      <c r="AA98" s="2263"/>
      <c r="AB98" s="2263"/>
      <c r="AC98" s="2263"/>
      <c r="AD98" s="2263"/>
      <c r="AE98" s="2263"/>
      <c r="AF98" s="2263"/>
      <c r="AG98" s="2263"/>
      <c r="AH98" s="2265"/>
      <c r="AI98" s="2266"/>
    </row>
    <row r="99">
      <c r="A99" s="2267"/>
      <c r="B99" s="2268"/>
      <c r="C99" s="2269"/>
      <c r="D99" s="2270"/>
      <c r="E99" s="2271" t="s">
        <v>672</v>
      </c>
      <c r="F99" s="1579"/>
      <c r="G99" s="1579"/>
      <c r="H99" s="1579"/>
      <c r="I99" s="1579"/>
      <c r="J99" s="1579"/>
      <c r="K99" s="1579"/>
      <c r="L99" s="1579"/>
      <c r="M99" s="1579"/>
      <c r="N99" s="1579"/>
      <c r="O99" s="1579"/>
      <c r="P99" s="1579"/>
      <c r="Q99" s="1579"/>
      <c r="R99" s="1579"/>
      <c r="S99" s="1579"/>
      <c r="T99" s="1579"/>
      <c r="U99" s="1579"/>
      <c r="V99" s="1579"/>
      <c r="W99" s="1580"/>
      <c r="X99" s="2272"/>
      <c r="Y99" s="2273"/>
      <c r="Z99" s="2273"/>
      <c r="AA99" s="2274"/>
      <c r="AB99" s="2270"/>
      <c r="AC99" s="2273"/>
      <c r="AD99" s="2273"/>
      <c r="AE99" s="2274"/>
      <c r="AF99" s="2275"/>
      <c r="AG99" s="2275"/>
      <c r="AH99" s="2276"/>
      <c r="AI99" s="2266"/>
    </row>
    <row r="100" ht="3.75" customHeight="1">
      <c r="A100" s="2267"/>
      <c r="B100" s="2268"/>
      <c r="C100" s="2277"/>
      <c r="D100" s="2278"/>
      <c r="E100" s="2490"/>
      <c r="F100" s="2490"/>
      <c r="G100" s="2490"/>
      <c r="H100" s="2490"/>
      <c r="I100" s="2280"/>
      <c r="J100" s="2490"/>
      <c r="K100" s="2490"/>
      <c r="L100" s="2490"/>
      <c r="M100" s="2490"/>
      <c r="N100" s="2280"/>
      <c r="O100" s="2490"/>
      <c r="P100" s="2490"/>
      <c r="Q100" s="2490"/>
      <c r="R100" s="2490"/>
      <c r="S100" s="2280"/>
      <c r="T100" s="2490"/>
      <c r="U100" s="2490"/>
      <c r="V100" s="2490"/>
      <c r="W100" s="2490"/>
      <c r="X100" s="2278"/>
      <c r="Y100" s="2278"/>
      <c r="Z100" s="2278"/>
      <c r="AA100" s="2278"/>
      <c r="AB100" s="2278"/>
      <c r="AC100" s="2278"/>
      <c r="AD100" s="2278"/>
      <c r="AE100" s="2278"/>
      <c r="AF100" s="2278"/>
      <c r="AG100" s="2278"/>
      <c r="AH100" s="2276"/>
      <c r="AI100" s="2266"/>
    </row>
    <row r="101" ht="96.75" customHeight="1">
      <c r="A101" s="2260"/>
      <c r="B101" s="2281"/>
      <c r="C101" s="2282" t="str">
        <f>IMAGE("https://i.ibb.co/fXwks6z/Rival.png")</f>
        <v/>
      </c>
      <c r="D101" s="2491"/>
      <c r="E101" s="2284" t="str">
        <f t="array" ref="E101">IFERROR(VLOOKUP(E102,Dex!$B$3:$G415,3,FALSE),"")</f>
        <v/>
      </c>
      <c r="F101" s="1830"/>
      <c r="G101" s="1830"/>
      <c r="H101" s="1831"/>
      <c r="I101" s="2492"/>
      <c r="J101" s="2284" t="str">
        <f t="array" ref="J101">IFERROR(VLOOKUP(J102,Dex!$B$3:$G415,3,FALSE),"")</f>
        <v/>
      </c>
      <c r="K101" s="1830"/>
      <c r="L101" s="1830"/>
      <c r="M101" s="1831"/>
      <c r="N101" s="2492"/>
      <c r="O101" s="2284" t="str">
        <f t="array" ref="O101">IFERROR(VLOOKUP(O102,Dex!$B$3:$G415,3,FALSE),"")</f>
        <v/>
      </c>
      <c r="P101" s="1830"/>
      <c r="Q101" s="1830"/>
      <c r="R101" s="1831"/>
      <c r="S101" s="2492"/>
      <c r="T101" s="2284" t="str">
        <f t="array" ref="T101">IFERROR(VLOOKUP(T102,Dex!$B$3:$G415,3,FALSE),"")</f>
        <v/>
      </c>
      <c r="U101" s="1830"/>
      <c r="V101" s="1830"/>
      <c r="W101" s="1831"/>
      <c r="X101" s="2493"/>
      <c r="Y101" s="2270"/>
      <c r="Z101" s="2273"/>
      <c r="AA101" s="2273"/>
      <c r="AB101" s="2274"/>
      <c r="AC101" s="2287"/>
      <c r="AD101" s="2270"/>
      <c r="AE101" s="2273"/>
      <c r="AF101" s="2273"/>
      <c r="AG101" s="2274"/>
      <c r="AH101" s="2276"/>
      <c r="AI101" s="2266"/>
    </row>
    <row r="102" ht="18.75" customHeight="1">
      <c r="A102" s="2288"/>
      <c r="B102" s="2289"/>
      <c r="C102" s="2290" t="s">
        <v>709</v>
      </c>
      <c r="D102" s="2494"/>
      <c r="E102" s="2292" t="s">
        <v>710</v>
      </c>
      <c r="F102" s="2293"/>
      <c r="G102" s="2293"/>
      <c r="H102" s="2294"/>
      <c r="J102" s="2292" t="s">
        <v>711</v>
      </c>
      <c r="K102" s="2293"/>
      <c r="L102" s="2293"/>
      <c r="M102" s="2294"/>
      <c r="O102" s="2292" t="s">
        <v>712</v>
      </c>
      <c r="P102" s="2293"/>
      <c r="Q102" s="2293"/>
      <c r="R102" s="2294"/>
      <c r="T102" s="2292" t="s">
        <v>713</v>
      </c>
      <c r="U102" s="2293"/>
      <c r="V102" s="2293"/>
      <c r="W102" s="2294"/>
      <c r="X102" s="2495"/>
      <c r="Y102" s="2297"/>
      <c r="Z102" s="2273"/>
      <c r="AA102" s="2273"/>
      <c r="AB102" s="2274"/>
      <c r="AC102" s="104"/>
      <c r="AD102" s="2297"/>
      <c r="AE102" s="2273"/>
      <c r="AF102" s="2273"/>
      <c r="AG102" s="2274"/>
      <c r="AH102" s="2298"/>
      <c r="AI102" s="2299"/>
    </row>
    <row r="103">
      <c r="A103" s="2260"/>
      <c r="B103" s="2300"/>
      <c r="C103" s="326"/>
      <c r="D103" s="2360"/>
      <c r="E103" s="2496" t="s">
        <v>714</v>
      </c>
      <c r="F103" s="2303"/>
      <c r="G103" s="2303"/>
      <c r="H103" s="2304"/>
      <c r="J103" s="2496" t="s">
        <v>715</v>
      </c>
      <c r="K103" s="2303"/>
      <c r="L103" s="2303"/>
      <c r="M103" s="2304"/>
      <c r="O103" s="2496" t="s">
        <v>420</v>
      </c>
      <c r="P103" s="2303"/>
      <c r="Q103" s="2303"/>
      <c r="R103" s="2304"/>
      <c r="T103" s="2496" t="s">
        <v>714</v>
      </c>
      <c r="U103" s="2303"/>
      <c r="V103" s="2303"/>
      <c r="W103" s="2304"/>
      <c r="X103" s="2495"/>
      <c r="Y103" s="2270"/>
      <c r="Z103" s="2273"/>
      <c r="AA103" s="2273"/>
      <c r="AB103" s="2274"/>
      <c r="AC103" s="104"/>
      <c r="AD103" s="2270"/>
      <c r="AE103" s="2273"/>
      <c r="AF103" s="2273"/>
      <c r="AG103" s="2274"/>
      <c r="AH103" s="2276"/>
      <c r="AI103" s="2266"/>
    </row>
    <row r="104" ht="25.5" customHeight="1">
      <c r="A104" s="2260"/>
      <c r="B104" s="2268"/>
      <c r="C104" s="2305"/>
      <c r="D104" s="2306"/>
      <c r="E104" s="2307"/>
      <c r="F104" s="2308" t="str">
        <f t="array" ref="F104">IFERROR(VLOOKUP(E102,Dex!$B$3:$H415,5,FALSE),"")</f>
        <v/>
      </c>
      <c r="G104" s="2309" t="str">
        <f t="array" ref="G104">IFERROR(VLOOKUP(E102,Dex!$B$3:$H415,7,FALSE),"")</f>
        <v/>
      </c>
      <c r="H104" s="2310"/>
      <c r="J104" s="2307"/>
      <c r="K104" s="2308" t="str">
        <f t="array" ref="K104">IFERROR(VLOOKUP(J102,Dex!$B$3:$H415,5,FALSE),"")</f>
        <v/>
      </c>
      <c r="L104" s="2309" t="str">
        <f t="array" ref="L104">IFERROR(VLOOKUP(J102,Dex!$B$3:$H415,7,FALSE),"")</f>
        <v/>
      </c>
      <c r="M104" s="2310"/>
      <c r="O104" s="2307"/>
      <c r="P104" s="2308" t="str">
        <f t="array" ref="P104">IFERROR(VLOOKUP(O102,Dex!$B$3:$H415,5,FALSE),"")</f>
        <v/>
      </c>
      <c r="Q104" s="2309" t="str">
        <f t="array" ref="Q104">IFERROR(VLOOKUP(O102,Dex!$B$3:$H415,7,FALSE),"")</f>
        <v/>
      </c>
      <c r="R104" s="2310"/>
      <c r="T104" s="2307"/>
      <c r="U104" s="2311" t="str">
        <f t="array" ref="U104">IFERROR(VLOOKUP(T102,Dex!$B$3:$H415,5,FALSE),"")</f>
        <v/>
      </c>
      <c r="V104" s="2312"/>
      <c r="W104" s="2310"/>
      <c r="X104" s="2495"/>
      <c r="Y104" s="2270"/>
      <c r="Z104" s="2273"/>
      <c r="AA104" s="2273"/>
      <c r="AB104" s="2274"/>
      <c r="AC104" s="104"/>
      <c r="AD104" s="2270"/>
      <c r="AE104" s="2273"/>
      <c r="AF104" s="2273"/>
      <c r="AG104" s="2274"/>
      <c r="AH104" s="2276"/>
      <c r="AI104" s="2266"/>
    </row>
    <row r="105" ht="2.25" customHeight="1">
      <c r="A105" s="2260"/>
      <c r="B105" s="2268"/>
      <c r="C105" s="104"/>
      <c r="D105" s="2306"/>
      <c r="E105" s="2313"/>
      <c r="F105" s="2314"/>
      <c r="G105" s="2314"/>
      <c r="H105" s="2315"/>
      <c r="J105" s="2313"/>
      <c r="K105" s="2314"/>
      <c r="L105" s="2314"/>
      <c r="M105" s="2315"/>
      <c r="O105" s="2313"/>
      <c r="P105" s="2314"/>
      <c r="Q105" s="2314"/>
      <c r="R105" s="2315"/>
      <c r="T105" s="2313"/>
      <c r="U105" s="2314"/>
      <c r="V105" s="2314"/>
      <c r="W105" s="2315"/>
      <c r="X105" s="2495"/>
      <c r="Y105" s="2316"/>
      <c r="Z105" s="2316"/>
      <c r="AA105" s="2316"/>
      <c r="AB105" s="2316"/>
      <c r="AC105" s="104"/>
      <c r="AD105" s="2316"/>
      <c r="AE105" s="2316"/>
      <c r="AF105" s="2316"/>
      <c r="AG105" s="2316"/>
      <c r="AH105" s="2276"/>
      <c r="AI105" s="2266"/>
    </row>
    <row r="106" ht="20.25" customHeight="1">
      <c r="A106" s="2260"/>
      <c r="B106" s="2268"/>
      <c r="C106" s="281"/>
      <c r="D106" s="2270"/>
      <c r="E106" s="2317" t="s">
        <v>263</v>
      </c>
      <c r="F106" s="2318"/>
      <c r="G106" s="2318"/>
      <c r="H106" s="2319"/>
      <c r="J106" s="2317" t="s">
        <v>169</v>
      </c>
      <c r="K106" s="2318"/>
      <c r="L106" s="2318"/>
      <c r="M106" s="2319"/>
      <c r="O106" s="2317" t="s">
        <v>169</v>
      </c>
      <c r="P106" s="2318"/>
      <c r="Q106" s="2318"/>
      <c r="R106" s="2319"/>
      <c r="T106" s="2317" t="s">
        <v>263</v>
      </c>
      <c r="U106" s="2318"/>
      <c r="V106" s="2318"/>
      <c r="W106" s="2319"/>
      <c r="X106" s="2495"/>
      <c r="Y106" s="2270"/>
      <c r="Z106" s="2273"/>
      <c r="AA106" s="2273"/>
      <c r="AB106" s="2274"/>
      <c r="AC106" s="104"/>
      <c r="AD106" s="2270"/>
      <c r="AE106" s="2273"/>
      <c r="AF106" s="2273"/>
      <c r="AG106" s="2274"/>
      <c r="AH106" s="2276"/>
      <c r="AI106" s="2266"/>
    </row>
    <row r="107" ht="20.25" customHeight="1">
      <c r="A107" s="2260"/>
      <c r="B107" s="2268"/>
      <c r="C107" s="2320"/>
      <c r="D107" s="2270"/>
      <c r="E107" s="2321" t="s">
        <v>302</v>
      </c>
      <c r="F107" s="2273"/>
      <c r="G107" s="2273"/>
      <c r="H107" s="2322"/>
      <c r="J107" s="2321" t="s">
        <v>716</v>
      </c>
      <c r="K107" s="2273"/>
      <c r="L107" s="2273"/>
      <c r="M107" s="2322"/>
      <c r="O107" s="2321" t="s">
        <v>717</v>
      </c>
      <c r="P107" s="2273"/>
      <c r="Q107" s="2273"/>
      <c r="R107" s="2322"/>
      <c r="T107" s="2321" t="s">
        <v>678</v>
      </c>
      <c r="U107" s="2273"/>
      <c r="V107" s="2273"/>
      <c r="W107" s="2322"/>
      <c r="X107" s="2495"/>
      <c r="Y107" s="2270"/>
      <c r="Z107" s="2273"/>
      <c r="AA107" s="2273"/>
      <c r="AB107" s="2274"/>
      <c r="AC107" s="104"/>
      <c r="AD107" s="2270"/>
      <c r="AE107" s="2273"/>
      <c r="AF107" s="2273"/>
      <c r="AG107" s="2274"/>
      <c r="AH107" s="2276"/>
      <c r="AI107" s="2266"/>
    </row>
    <row r="108" ht="20.25" customHeight="1">
      <c r="A108" s="2260"/>
      <c r="B108" s="2268"/>
      <c r="C108" s="104"/>
      <c r="D108" s="2270"/>
      <c r="E108" s="2323" t="s">
        <v>213</v>
      </c>
      <c r="F108" s="2324"/>
      <c r="G108" s="2325"/>
      <c r="H108" s="2326" t="str">
        <f>IMAGE("https://raw.githubusercontent.com/msikma/pokesprite/master/items/berry/sitrus.png",3)</f>
        <v/>
      </c>
      <c r="J108" s="2323" t="s">
        <v>718</v>
      </c>
      <c r="K108" s="2324"/>
      <c r="L108" s="2325"/>
      <c r="M108" s="2326" t="str">
        <f>IMAGE("https://raw.githubusercontent.com/msikma/pokesprite/master/items/hold-item/muscle-band.png",3)</f>
        <v/>
      </c>
      <c r="O108" s="2323" t="s">
        <v>554</v>
      </c>
      <c r="P108" s="2324"/>
      <c r="Q108" s="2325"/>
      <c r="R108" s="2326" t="str">
        <f>IMAGE("https://raw.githubusercontent.com/msikma/pokesprite/master/items/berry/chople.png",3)</f>
        <v/>
      </c>
      <c r="T108" s="2323" t="s">
        <v>211</v>
      </c>
      <c r="U108" s="2324"/>
      <c r="V108" s="2325"/>
      <c r="W108" s="2326" t="str">
        <f>IMAGE("https://raw.githubusercontent.com/msikma/pokesprite/master/items/hold-item/eviolite.png",3)</f>
        <v/>
      </c>
      <c r="X108" s="2495"/>
      <c r="Y108" s="2270"/>
      <c r="Z108" s="2273"/>
      <c r="AA108" s="2273"/>
      <c r="AB108" s="2274"/>
      <c r="AC108" s="104"/>
      <c r="AD108" s="2270"/>
      <c r="AE108" s="2273"/>
      <c r="AF108" s="2273"/>
      <c r="AG108" s="2274"/>
      <c r="AH108" s="2276"/>
      <c r="AI108" s="2266"/>
    </row>
    <row r="109" ht="20.25" customHeight="1">
      <c r="A109" s="2260"/>
      <c r="B109" s="2268"/>
      <c r="C109" s="281"/>
      <c r="D109" s="2270"/>
      <c r="E109" s="2317" t="s">
        <v>508</v>
      </c>
      <c r="F109" s="2318"/>
      <c r="G109" s="2327"/>
      <c r="H109" s="2328" t="str">
        <f>IMAGE("https://raw.githubusercontent.com/msikma/pokesprite/master/misc/types/gen8/psychic.png",4,20,20)</f>
        <v/>
      </c>
      <c r="J109" s="2317" t="s">
        <v>635</v>
      </c>
      <c r="K109" s="2318"/>
      <c r="L109" s="2327"/>
      <c r="M109" s="2328" t="str">
        <f>IMAGE("https://raw.githubusercontent.com/msikma/pokesprite/master/misc/types/gen8/normal.png",4,20,20)</f>
        <v/>
      </c>
      <c r="O109" s="2317" t="s">
        <v>279</v>
      </c>
      <c r="P109" s="2318"/>
      <c r="Q109" s="2327"/>
      <c r="R109" s="2328" t="str">
        <f t="shared" ref="R109:R110" si="10">IMAGE("https://raw.githubusercontent.com/msikma/pokesprite/master/misc/types/gen8/dark.png",4,20,20)</f>
        <v/>
      </c>
      <c r="T109" s="2317" t="s">
        <v>719</v>
      </c>
      <c r="U109" s="2318"/>
      <c r="V109" s="2327"/>
      <c r="W109" s="2328" t="str">
        <f t="shared" ref="W109:W110" si="11">IMAGE("https://raw.githubusercontent.com/msikma/pokesprite/master/misc/types/gen8/fighting.png",4,20,20)</f>
        <v/>
      </c>
      <c r="X109" s="2495"/>
      <c r="Y109" s="2270"/>
      <c r="Z109" s="2273"/>
      <c r="AA109" s="2273"/>
      <c r="AB109" s="2274"/>
      <c r="AC109" s="104"/>
      <c r="AD109" s="2270"/>
      <c r="AE109" s="2273"/>
      <c r="AF109" s="2273"/>
      <c r="AG109" s="2274"/>
      <c r="AH109" s="2276"/>
      <c r="AI109" s="2266"/>
    </row>
    <row r="110" ht="20.25" customHeight="1">
      <c r="A110" s="2260"/>
      <c r="B110" s="2268"/>
      <c r="C110" s="2269"/>
      <c r="D110" s="2270"/>
      <c r="E110" s="2321" t="s">
        <v>314</v>
      </c>
      <c r="F110" s="2273"/>
      <c r="G110" s="2274"/>
      <c r="H110" s="2329" t="str">
        <f>IMAGE("https://raw.githubusercontent.com/msikma/pokesprite/master/misc/types/gen8/fairy.png",4,20,20)</f>
        <v/>
      </c>
      <c r="J110" s="2321" t="s">
        <v>182</v>
      </c>
      <c r="K110" s="2273"/>
      <c r="L110" s="2274"/>
      <c r="M110" s="2329" t="str">
        <f>IMAGE("https://raw.githubusercontent.com/msikma/pokesprite/master/misc/types/gen8/flying.png",4,20,20)</f>
        <v/>
      </c>
      <c r="O110" s="2321" t="s">
        <v>541</v>
      </c>
      <c r="P110" s="2273"/>
      <c r="Q110" s="2274"/>
      <c r="R110" s="2329" t="str">
        <f t="shared" si="10"/>
        <v/>
      </c>
      <c r="T110" s="2321" t="s">
        <v>720</v>
      </c>
      <c r="U110" s="2273"/>
      <c r="V110" s="2274"/>
      <c r="W110" s="2329" t="str">
        <f t="shared" si="11"/>
        <v/>
      </c>
      <c r="X110" s="2495"/>
      <c r="Y110" s="2270"/>
      <c r="Z110" s="2273"/>
      <c r="AA110" s="2273"/>
      <c r="AB110" s="2274"/>
      <c r="AC110" s="104"/>
      <c r="AD110" s="2270"/>
      <c r="AE110" s="2273"/>
      <c r="AF110" s="2273"/>
      <c r="AG110" s="2274"/>
      <c r="AH110" s="2276"/>
      <c r="AI110" s="2266"/>
    </row>
    <row r="111" ht="20.25" customHeight="1">
      <c r="A111" s="2260"/>
      <c r="B111" s="2268"/>
      <c r="C111" s="2269"/>
      <c r="D111" s="2270"/>
      <c r="E111" s="2321" t="s">
        <v>697</v>
      </c>
      <c r="F111" s="2273"/>
      <c r="G111" s="2274"/>
      <c r="H111" s="2329" t="str">
        <f>IMAGE("https://raw.githubusercontent.com/msikma/pokesprite/master/misc/types/gen8/grass.png",4,20,20)</f>
        <v/>
      </c>
      <c r="J111" s="2321" t="s">
        <v>278</v>
      </c>
      <c r="K111" s="2273"/>
      <c r="L111" s="2274"/>
      <c r="M111" s="2329" t="str">
        <f>IMAGE("https://raw.githubusercontent.com/msikma/pokesprite/master/misc/types/gen8/bug.png",4,20,20)</f>
        <v/>
      </c>
      <c r="O111" s="2321" t="s">
        <v>656</v>
      </c>
      <c r="P111" s="2273"/>
      <c r="Q111" s="2274"/>
      <c r="R111" s="2329" t="str">
        <f>IMAGE("https://raw.githubusercontent.com/msikma/pokesprite/master/misc/types/gen8/steel.png",4,20,20)</f>
        <v/>
      </c>
      <c r="T111" s="2321" t="s">
        <v>216</v>
      </c>
      <c r="U111" s="2273"/>
      <c r="V111" s="2274"/>
      <c r="W111" s="2329" t="str">
        <f>IMAGE("https://raw.githubusercontent.com/msikma/pokesprite/master/misc/types/gen8/water.png",4,20,20)</f>
        <v/>
      </c>
      <c r="X111" s="2495"/>
      <c r="Y111" s="2270"/>
      <c r="Z111" s="2273"/>
      <c r="AA111" s="2273"/>
      <c r="AB111" s="2274"/>
      <c r="AC111" s="104"/>
      <c r="AD111" s="2270"/>
      <c r="AE111" s="2273"/>
      <c r="AF111" s="2273"/>
      <c r="AG111" s="2274"/>
      <c r="AH111" s="2276"/>
      <c r="AI111" s="2266"/>
    </row>
    <row r="112" ht="21.0" customHeight="1">
      <c r="A112" s="2260"/>
      <c r="B112" s="2268"/>
      <c r="C112" s="2269"/>
      <c r="D112" s="2270"/>
      <c r="E112" s="2330" t="s">
        <v>188</v>
      </c>
      <c r="F112" s="2331"/>
      <c r="G112" s="2332"/>
      <c r="H112" s="2333"/>
      <c r="I112" s="2497"/>
      <c r="J112" s="2330" t="s">
        <v>185</v>
      </c>
      <c r="K112" s="2331"/>
      <c r="L112" s="2332"/>
      <c r="M112" s="2333" t="str">
        <f>IMAGE("https://raw.githubusercontent.com/msikma/pokesprite/master/misc/types/gen8/normal.png",4,20,20)</f>
        <v/>
      </c>
      <c r="N112" s="2497"/>
      <c r="O112" s="2330" t="s">
        <v>721</v>
      </c>
      <c r="P112" s="2331"/>
      <c r="Q112" s="2332"/>
      <c r="R112" s="2333" t="str">
        <f>IMAGE("https://raw.githubusercontent.com/msikma/pokesprite/master/misc/types/gen8/fighting.png",4,20,20)</f>
        <v/>
      </c>
      <c r="S112" s="2497"/>
      <c r="T112" s="2330" t="s">
        <v>220</v>
      </c>
      <c r="U112" s="2331"/>
      <c r="V112" s="2332"/>
      <c r="W112" s="2333" t="str">
        <f>IMAGE("https://raw.githubusercontent.com/msikma/pokesprite/master/misc/types/gen8/ice.png",4,20,20)</f>
        <v/>
      </c>
      <c r="X112" s="2498"/>
      <c r="Y112" s="2270"/>
      <c r="Z112" s="2273"/>
      <c r="AA112" s="2273"/>
      <c r="AB112" s="2274"/>
      <c r="AC112" s="281"/>
      <c r="AD112" s="2270"/>
      <c r="AE112" s="2273"/>
      <c r="AF112" s="2273"/>
      <c r="AG112" s="2274"/>
      <c r="AH112" s="2276"/>
      <c r="AI112" s="2266"/>
    </row>
    <row r="113" ht="3.0" customHeight="1">
      <c r="A113" s="2336"/>
      <c r="B113" s="2337"/>
      <c r="C113" s="2338"/>
      <c r="D113" s="2339"/>
      <c r="E113" s="2340"/>
      <c r="F113" s="2340"/>
      <c r="G113" s="2340"/>
      <c r="H113" s="2340"/>
      <c r="I113" s="2339"/>
      <c r="J113" s="2340"/>
      <c r="K113" s="2340"/>
      <c r="L113" s="2340"/>
      <c r="M113" s="2340"/>
      <c r="N113" s="2339"/>
      <c r="O113" s="2340"/>
      <c r="P113" s="2340"/>
      <c r="Q113" s="2340"/>
      <c r="R113" s="2340"/>
      <c r="S113" s="2339"/>
      <c r="T113" s="2340"/>
      <c r="U113" s="2340"/>
      <c r="V113" s="2340"/>
      <c r="W113" s="2340"/>
      <c r="X113" s="2339"/>
      <c r="Y113" s="2339"/>
      <c r="Z113" s="2341"/>
      <c r="AA113" s="2341"/>
      <c r="AB113" s="2342"/>
      <c r="AC113" s="2342"/>
      <c r="AD113" s="2342"/>
      <c r="AE113" s="2342"/>
      <c r="AF113" s="2342"/>
      <c r="AG113" s="2342"/>
      <c r="AH113" s="2343"/>
      <c r="AI113" s="2344"/>
    </row>
    <row r="114" ht="16.5" customHeight="1">
      <c r="A114" s="2267"/>
      <c r="B114" s="2345"/>
      <c r="C114" s="2338"/>
      <c r="D114" s="2346"/>
      <c r="E114" s="488" t="s">
        <v>190</v>
      </c>
      <c r="F114" s="381"/>
      <c r="G114" s="382"/>
      <c r="H114" s="489" t="s">
        <v>191</v>
      </c>
      <c r="I114" s="2347"/>
      <c r="J114" s="488" t="s">
        <v>190</v>
      </c>
      <c r="K114" s="381"/>
      <c r="L114" s="382"/>
      <c r="M114" s="489" t="s">
        <v>191</v>
      </c>
      <c r="N114" s="2347"/>
      <c r="O114" s="488" t="s">
        <v>190</v>
      </c>
      <c r="P114" s="381"/>
      <c r="Q114" s="382"/>
      <c r="R114" s="489" t="s">
        <v>191</v>
      </c>
      <c r="S114" s="2347"/>
      <c r="T114" s="488" t="s">
        <v>190</v>
      </c>
      <c r="U114" s="381"/>
      <c r="V114" s="382"/>
      <c r="W114" s="489" t="s">
        <v>191</v>
      </c>
      <c r="X114" s="2499"/>
      <c r="Y114" s="2349"/>
      <c r="Z114" s="2349"/>
      <c r="AA114" s="2349"/>
      <c r="AB114" s="2350"/>
      <c r="AC114" s="2350"/>
      <c r="AD114" s="2350"/>
      <c r="AE114" s="2350"/>
      <c r="AF114" s="2350"/>
      <c r="AG114" s="2350"/>
      <c r="AH114" s="2351"/>
      <c r="AI114" s="2352"/>
    </row>
    <row r="115" ht="15.75" customHeight="1">
      <c r="A115" s="2267"/>
      <c r="B115" s="2345"/>
      <c r="C115" s="2338"/>
      <c r="D115" s="2346"/>
      <c r="E115" s="495" t="s">
        <v>192</v>
      </c>
      <c r="F115" s="496">
        <f t="array" ref="F115">IFERROR(VLOOKUP(E102,Dex!$B$3:$N415,8,FALSE),"")</f>
        <v>38</v>
      </c>
      <c r="G115" s="497" t="str">
        <f t="array" ref="G115">IFERROR(VLOOKUP(F115,Dex!$P$22:$Q$276,2,FALSE),"")</f>
        <v/>
      </c>
      <c r="H115" s="498"/>
      <c r="I115" s="2347"/>
      <c r="J115" s="495" t="s">
        <v>192</v>
      </c>
      <c r="K115" s="496">
        <f t="array" ref="K115">IFERROR(VLOOKUP(J102,Dex!$B$3:$N415,8,FALSE),"")</f>
        <v>55</v>
      </c>
      <c r="L115" s="497" t="str">
        <f t="array" ref="L115">IFERROR(VLOOKUP(K115,Dex!$P$22:$Q$276,2,FALSE),"")</f>
        <v/>
      </c>
      <c r="M115" s="498"/>
      <c r="N115" s="2347"/>
      <c r="O115" s="495" t="s">
        <v>192</v>
      </c>
      <c r="P115" s="496">
        <f t="array" ref="P115">IFERROR(VLOOKUP(O102,Dex!$B$3:$N415,8,FALSE),"")</f>
        <v>45</v>
      </c>
      <c r="Q115" s="497" t="str">
        <f t="array" ref="Q115">IFERROR(VLOOKUP(P115,Dex!$P$22:$Q$276,2,FALSE),"")</f>
        <v/>
      </c>
      <c r="R115" s="498"/>
      <c r="S115" s="2347"/>
      <c r="T115" s="495" t="s">
        <v>192</v>
      </c>
      <c r="U115" s="496">
        <f t="array" ref="U115">IFERROR(VLOOKUP(T102,Dex!$B$3:$N415,8,FALSE),"")</f>
        <v>59</v>
      </c>
      <c r="V115" s="497" t="str">
        <f t="array" ref="V115">IFERROR(VLOOKUP(U115,Dex!$P$22:$Q$276,2,FALSE),"")</f>
        <v/>
      </c>
      <c r="W115" s="498"/>
      <c r="X115" s="2499"/>
      <c r="Y115" s="2349"/>
      <c r="Z115" s="2349"/>
      <c r="AA115" s="2349"/>
      <c r="AB115" s="2350"/>
      <c r="AC115" s="2350"/>
      <c r="AD115" s="2350"/>
      <c r="AE115" s="2350"/>
      <c r="AF115" s="2350"/>
      <c r="AG115" s="2350"/>
      <c r="AH115" s="2351"/>
      <c r="AI115" s="2352"/>
    </row>
    <row r="116" ht="15.75" customHeight="1">
      <c r="A116" s="2267"/>
      <c r="B116" s="2345"/>
      <c r="C116" s="2338"/>
      <c r="D116" s="2346"/>
      <c r="E116" s="500" t="s">
        <v>193</v>
      </c>
      <c r="F116" s="501">
        <f t="array" ref="F116">IFERROR(VLOOKUP(E102,Dex!$B$3:$N415,9,FALSE),"")</f>
        <v>35</v>
      </c>
      <c r="G116" s="502" t="str">
        <f t="array" ref="G116">IFERROR(VLOOKUP(F116,Dex!$P$22:$Q$276,2,FALSE),"")</f>
        <v/>
      </c>
      <c r="H116" s="503"/>
      <c r="I116" s="2347"/>
      <c r="J116" s="500" t="s">
        <v>193</v>
      </c>
      <c r="K116" s="501">
        <f t="array" ref="K116">IFERROR(VLOOKUP(J102,Dex!$B$3:$N415,9,FALSE),"")</f>
        <v>75</v>
      </c>
      <c r="L116" s="502" t="str">
        <f t="array" ref="L116">IFERROR(VLOOKUP(K116,Dex!$P$22:$Q$276,2,FALSE),"")</f>
        <v/>
      </c>
      <c r="M116" s="503"/>
      <c r="N116" s="2347"/>
      <c r="O116" s="500" t="s">
        <v>193</v>
      </c>
      <c r="P116" s="501">
        <f t="array" ref="P116">IFERROR(VLOOKUP(O102,Dex!$B$3:$N415,9,FALSE),"")</f>
        <v>85</v>
      </c>
      <c r="Q116" s="502" t="str">
        <f t="array" ref="Q116">IFERROR(VLOOKUP(P116,Dex!$P$22:$Q$276,2,FALSE),"")</f>
        <v/>
      </c>
      <c r="R116" s="503"/>
      <c r="S116" s="2347"/>
      <c r="T116" s="500" t="s">
        <v>193</v>
      </c>
      <c r="U116" s="501">
        <f t="array" ref="U116">IFERROR(VLOOKUP(T102,Dex!$B$3:$N415,9,FALSE),"")</f>
        <v>63</v>
      </c>
      <c r="V116" s="502" t="str">
        <f t="array" ref="V116">IFERROR(VLOOKUP(U116,Dex!$P$22:$Q$276,2,FALSE),"")</f>
        <v/>
      </c>
      <c r="W116" s="503"/>
      <c r="X116" s="2499"/>
      <c r="Y116" s="2349"/>
      <c r="Z116" s="2349"/>
      <c r="AA116" s="2349"/>
      <c r="AB116" s="2350"/>
      <c r="AC116" s="2350"/>
      <c r="AD116" s="2350"/>
      <c r="AE116" s="2350"/>
      <c r="AF116" s="2350"/>
      <c r="AG116" s="2350"/>
      <c r="AH116" s="2351"/>
      <c r="AI116" s="2352"/>
    </row>
    <row r="117" ht="15.75" customHeight="1">
      <c r="A117" s="2267"/>
      <c r="B117" s="2345"/>
      <c r="C117" s="2338"/>
      <c r="D117" s="2346"/>
      <c r="E117" s="500" t="s">
        <v>194</v>
      </c>
      <c r="F117" s="501">
        <f t="array" ref="F117">IFERROR(VLOOKUP(E102,Dex!$B$3:$N415,10,FALSE),"")</f>
        <v>35</v>
      </c>
      <c r="G117" s="502" t="str">
        <f t="array" ref="G117">IFERROR(VLOOKUP(F117,Dex!$P$22:$Q$276,2,FALSE),"")</f>
        <v/>
      </c>
      <c r="H117" s="503"/>
      <c r="I117" s="2347"/>
      <c r="J117" s="500" t="s">
        <v>194</v>
      </c>
      <c r="K117" s="501">
        <f t="array" ref="K117">IFERROR(VLOOKUP(J102,Dex!$B$3:$N415,10,FALSE),"")</f>
        <v>50</v>
      </c>
      <c r="L117" s="502" t="str">
        <f t="array" ref="L117">IFERROR(VLOOKUP(K117,Dex!$P$22:$Q$276,2,FALSE),"")</f>
        <v/>
      </c>
      <c r="M117" s="503"/>
      <c r="N117" s="2347"/>
      <c r="O117" s="500" t="s">
        <v>194</v>
      </c>
      <c r="P117" s="501">
        <f t="array" ref="P117">IFERROR(VLOOKUP(O102,Dex!$B$3:$N415,10,FALSE),"")</f>
        <v>70</v>
      </c>
      <c r="Q117" s="502" t="str">
        <f t="array" ref="Q117">IFERROR(VLOOKUP(P117,Dex!$P$22:$Q$276,2,FALSE),"")</f>
        <v/>
      </c>
      <c r="R117" s="503"/>
      <c r="S117" s="2347"/>
      <c r="T117" s="500" t="s">
        <v>194</v>
      </c>
      <c r="U117" s="501">
        <f t="array" ref="U117">IFERROR(VLOOKUP(T102,Dex!$B$3:$N415,10,FALSE),"")</f>
        <v>80</v>
      </c>
      <c r="V117" s="502" t="str">
        <f t="array" ref="V117">IFERROR(VLOOKUP(U117,Dex!$P$22:$Q$276,2,FALSE),"")</f>
        <v/>
      </c>
      <c r="W117" s="503"/>
      <c r="X117" s="2499"/>
      <c r="Y117" s="2349"/>
      <c r="Z117" s="2349"/>
      <c r="AA117" s="2349"/>
      <c r="AB117" s="2350"/>
      <c r="AC117" s="2350"/>
      <c r="AD117" s="2350"/>
      <c r="AE117" s="2350"/>
      <c r="AF117" s="2350"/>
      <c r="AG117" s="2350"/>
      <c r="AH117" s="2351"/>
      <c r="AI117" s="2352"/>
    </row>
    <row r="118" ht="15.75" customHeight="1">
      <c r="A118" s="2267"/>
      <c r="B118" s="2345"/>
      <c r="C118" s="2338"/>
      <c r="D118" s="2346"/>
      <c r="E118" s="500" t="s">
        <v>195</v>
      </c>
      <c r="F118" s="501">
        <f t="array" ref="F118">IFERROR(VLOOKUP(E102,Dex!$B$3:$N415,11,FALSE),"")</f>
        <v>65</v>
      </c>
      <c r="G118" s="502" t="str">
        <f t="array" ref="G118">IFERROR(VLOOKUP(F118,Dex!$P$22:$Q$276,2,FALSE),"")</f>
        <v/>
      </c>
      <c r="H118" s="503"/>
      <c r="I118" s="2347"/>
      <c r="J118" s="500" t="s">
        <v>195</v>
      </c>
      <c r="K118" s="501">
        <f t="array" ref="K118">IFERROR(VLOOKUP(J102,Dex!$B$3:$N415,11,FALSE),"")</f>
        <v>40</v>
      </c>
      <c r="L118" s="502" t="str">
        <f t="array" ref="L118">IFERROR(VLOOKUP(K118,Dex!$P$22:$Q$276,2,FALSE),"")</f>
        <v/>
      </c>
      <c r="M118" s="503"/>
      <c r="N118" s="2347"/>
      <c r="O118" s="500" t="s">
        <v>195</v>
      </c>
      <c r="P118" s="501">
        <f t="array" ref="P118">IFERROR(VLOOKUP(O102,Dex!$B$3:$N415,11,FALSE),"")</f>
        <v>40</v>
      </c>
      <c r="Q118" s="502" t="str">
        <f t="array" ref="Q118">IFERROR(VLOOKUP(P118,Dex!$P$22:$Q$276,2,FALSE),"")</f>
        <v/>
      </c>
      <c r="R118" s="503"/>
      <c r="S118" s="2347"/>
      <c r="T118" s="500" t="s">
        <v>195</v>
      </c>
      <c r="U118" s="501">
        <f t="array" ref="U118">IFERROR(VLOOKUP(T102,Dex!$B$3:$N415,11,FALSE),"")</f>
        <v>65</v>
      </c>
      <c r="V118" s="502" t="str">
        <f t="array" ref="V118">IFERROR(VLOOKUP(U118,Dex!$P$22:$Q$276,2,FALSE),"")</f>
        <v/>
      </c>
      <c r="W118" s="503"/>
      <c r="X118" s="2499"/>
      <c r="Y118" s="2349"/>
      <c r="Z118" s="2349"/>
      <c r="AA118" s="2349"/>
      <c r="AB118" s="2350"/>
      <c r="AC118" s="2350"/>
      <c r="AD118" s="2350"/>
      <c r="AE118" s="2350"/>
      <c r="AF118" s="2350"/>
      <c r="AG118" s="2350"/>
      <c r="AH118" s="2351"/>
      <c r="AI118" s="2352"/>
    </row>
    <row r="119" ht="15.75" customHeight="1">
      <c r="A119" s="2267"/>
      <c r="B119" s="2345"/>
      <c r="C119" s="2500"/>
      <c r="D119" s="2346"/>
      <c r="E119" s="500" t="s">
        <v>196</v>
      </c>
      <c r="F119" s="501">
        <f t="array" ref="F119">IFERROR(VLOOKUP(E102,Dex!$B$3:$N415,12,FALSE),"")</f>
        <v>55</v>
      </c>
      <c r="G119" s="502" t="str">
        <f t="array" ref="G119">IFERROR(VLOOKUP(F119,Dex!$P$22:$Q$276,2,FALSE),"")</f>
        <v/>
      </c>
      <c r="H119" s="503"/>
      <c r="I119" s="2347"/>
      <c r="J119" s="500" t="s">
        <v>196</v>
      </c>
      <c r="K119" s="501">
        <f t="array" ref="K119">IFERROR(VLOOKUP(J102,Dex!$B$3:$N415,12,FALSE),"")</f>
        <v>40</v>
      </c>
      <c r="L119" s="502" t="str">
        <f t="array" ref="L119">IFERROR(VLOOKUP(K119,Dex!$P$22:$Q$276,2,FALSE),"")</f>
        <v/>
      </c>
      <c r="M119" s="503"/>
      <c r="N119" s="2347"/>
      <c r="O119" s="500" t="s">
        <v>196</v>
      </c>
      <c r="P119" s="501">
        <f t="array" ref="P119">IFERROR(VLOOKUP(O102,Dex!$B$3:$N415,12,FALSE),"")</f>
        <v>40</v>
      </c>
      <c r="Q119" s="502" t="str">
        <f t="array" ref="Q119">IFERROR(VLOOKUP(P119,Dex!$P$22:$Q$276,2,FALSE),"")</f>
        <v/>
      </c>
      <c r="R119" s="503"/>
      <c r="S119" s="2347"/>
      <c r="T119" s="500" t="s">
        <v>196</v>
      </c>
      <c r="U119" s="501">
        <f t="array" ref="U119">IFERROR(VLOOKUP(T102,Dex!$B$3:$N415,12,FALSE),"")</f>
        <v>80</v>
      </c>
      <c r="V119" s="502" t="str">
        <f t="array" ref="V119">IFERROR(VLOOKUP(U119,Dex!$P$22:$Q$276,2,FALSE),"")</f>
        <v/>
      </c>
      <c r="W119" s="503"/>
      <c r="X119" s="2499"/>
      <c r="Y119" s="2349"/>
      <c r="Z119" s="2349"/>
      <c r="AA119" s="2349"/>
      <c r="AB119" s="2350"/>
      <c r="AC119" s="2350"/>
      <c r="AD119" s="2350"/>
      <c r="AE119" s="2350"/>
      <c r="AF119" s="2350"/>
      <c r="AG119" s="2350"/>
      <c r="AH119" s="2351"/>
      <c r="AI119" s="2352"/>
    </row>
    <row r="120" ht="15.75" customHeight="1">
      <c r="A120" s="2267"/>
      <c r="B120" s="2501"/>
      <c r="C120" s="1204" t="s">
        <v>436</v>
      </c>
      <c r="D120" s="2502"/>
      <c r="E120" s="504" t="s">
        <v>197</v>
      </c>
      <c r="F120" s="505">
        <f t="array" ref="F120">IFERROR(VLOOKUP(E102,Dex!$B$3:$N415,13,FALSE),"")</f>
        <v>50</v>
      </c>
      <c r="G120" s="506" t="str">
        <f t="array" ref="G120">IFERROR(VLOOKUP(F120,Dex!$P$22:$Q$276,2,FALSE),"")</f>
        <v/>
      </c>
      <c r="H120" s="507"/>
      <c r="I120" s="2347"/>
      <c r="J120" s="504" t="s">
        <v>197</v>
      </c>
      <c r="K120" s="505">
        <f t="array" ref="K120">IFERROR(VLOOKUP(J102,Dex!$B$3:$N415,13,FALSE),"")</f>
        <v>80</v>
      </c>
      <c r="L120" s="506" t="str">
        <f t="array" ref="L120">IFERROR(VLOOKUP(K120,Dex!$P$22:$Q$276,2,FALSE),"")</f>
        <v/>
      </c>
      <c r="M120" s="507"/>
      <c r="N120" s="2347"/>
      <c r="O120" s="504" t="s">
        <v>197</v>
      </c>
      <c r="P120" s="505">
        <f t="array" ref="P120">IFERROR(VLOOKUP(O102,Dex!$B$3:$N415,13,FALSE),"")</f>
        <v>60</v>
      </c>
      <c r="Q120" s="506" t="str">
        <f t="array" ref="Q120">IFERROR(VLOOKUP(P120,Dex!$P$22:$Q$276,2,FALSE),"")</f>
        <v/>
      </c>
      <c r="R120" s="507"/>
      <c r="S120" s="2347"/>
      <c r="T120" s="504" t="s">
        <v>197</v>
      </c>
      <c r="U120" s="505">
        <f t="array" ref="U120">IFERROR(VLOOKUP(T102,Dex!$B$3:$N415,13,FALSE),"")</f>
        <v>58</v>
      </c>
      <c r="V120" s="506" t="str">
        <f t="array" ref="V120">IFERROR(VLOOKUP(U120,Dex!$P$22:$Q$276,2,FALSE),"")</f>
        <v/>
      </c>
      <c r="W120" s="507"/>
      <c r="X120" s="2499"/>
      <c r="Y120" s="2349"/>
      <c r="Z120" s="2349"/>
      <c r="AA120" s="2349"/>
      <c r="AB120" s="2350"/>
      <c r="AC120" s="2350"/>
      <c r="AD120" s="2350"/>
      <c r="AE120" s="2350"/>
      <c r="AF120" s="2350"/>
      <c r="AG120" s="2350"/>
      <c r="AH120" s="2351"/>
      <c r="AI120" s="2352"/>
    </row>
    <row r="121" ht="16.5" customHeight="1">
      <c r="A121" s="2267"/>
      <c r="B121" s="2501"/>
      <c r="C121" s="1205" t="s">
        <v>524</v>
      </c>
      <c r="D121" s="2503"/>
      <c r="E121" s="508" t="s">
        <v>198</v>
      </c>
      <c r="F121" s="405"/>
      <c r="G121" s="406"/>
      <c r="H121" s="509">
        <v>36.0</v>
      </c>
      <c r="I121" s="2383"/>
      <c r="J121" s="508" t="s">
        <v>198</v>
      </c>
      <c r="K121" s="405"/>
      <c r="L121" s="406"/>
      <c r="M121" s="509">
        <v>48.0</v>
      </c>
      <c r="N121" s="2383"/>
      <c r="O121" s="508" t="s">
        <v>198</v>
      </c>
      <c r="P121" s="405"/>
      <c r="Q121" s="406"/>
      <c r="R121" s="509">
        <v>42.0</v>
      </c>
      <c r="S121" s="2383"/>
      <c r="T121" s="508" t="s">
        <v>198</v>
      </c>
      <c r="U121" s="405"/>
      <c r="V121" s="406"/>
      <c r="W121" s="509">
        <v>40.0</v>
      </c>
      <c r="X121" s="2504"/>
      <c r="Y121" s="2349"/>
      <c r="Z121" s="2349"/>
      <c r="AA121" s="2349"/>
      <c r="AB121" s="2350"/>
      <c r="AC121" s="2350"/>
      <c r="AD121" s="2350"/>
      <c r="AE121" s="2350"/>
      <c r="AF121" s="2350"/>
      <c r="AG121" s="2350"/>
      <c r="AH121" s="2351"/>
      <c r="AI121" s="2352"/>
    </row>
    <row r="122" ht="11.25" customHeight="1">
      <c r="A122" s="2260"/>
      <c r="B122" s="2268"/>
      <c r="C122" s="2505"/>
      <c r="D122" s="2506"/>
      <c r="E122" s="2507"/>
      <c r="F122" s="2507"/>
      <c r="G122" s="2507"/>
      <c r="H122" s="2507"/>
      <c r="I122" s="2508"/>
      <c r="J122" s="2507"/>
      <c r="K122" s="2507"/>
      <c r="L122" s="2507"/>
      <c r="M122" s="2507"/>
      <c r="N122" s="2509"/>
      <c r="O122" s="2508"/>
      <c r="P122" s="2508"/>
      <c r="Q122" s="2508"/>
      <c r="R122" s="2509"/>
      <c r="S122" s="2509"/>
      <c r="T122" s="2508"/>
      <c r="U122" s="2508"/>
      <c r="V122" s="2508"/>
      <c r="W122" s="2509"/>
      <c r="X122" s="2316"/>
      <c r="Y122" s="2316"/>
      <c r="Z122" s="2316"/>
      <c r="AA122" s="2316"/>
      <c r="AB122" s="2316"/>
      <c r="AC122" s="2316"/>
      <c r="AD122" s="2316"/>
      <c r="AE122" s="2316"/>
      <c r="AF122" s="2316"/>
      <c r="AG122" s="2316"/>
      <c r="AH122" s="2276"/>
      <c r="AI122" s="2266"/>
    </row>
    <row r="123">
      <c r="A123" s="2267"/>
      <c r="B123" s="2268"/>
      <c r="C123" s="2269"/>
      <c r="D123" s="2270"/>
      <c r="E123" s="1578" t="s">
        <v>687</v>
      </c>
      <c r="F123" s="1579"/>
      <c r="G123" s="1579"/>
      <c r="H123" s="1579"/>
      <c r="I123" s="1579"/>
      <c r="J123" s="1579"/>
      <c r="K123" s="1579"/>
      <c r="L123" s="1579"/>
      <c r="M123" s="1579"/>
      <c r="N123" s="1579"/>
      <c r="O123" s="1579"/>
      <c r="P123" s="1579"/>
      <c r="Q123" s="1579"/>
      <c r="R123" s="1579"/>
      <c r="S123" s="1579"/>
      <c r="T123" s="1579"/>
      <c r="U123" s="1579"/>
      <c r="V123" s="1579"/>
      <c r="W123" s="1580"/>
      <c r="X123" s="2272"/>
      <c r="Y123" s="2273"/>
      <c r="Z123" s="2273"/>
      <c r="AA123" s="2274"/>
      <c r="AB123" s="2270"/>
      <c r="AC123" s="2273"/>
      <c r="AD123" s="2273"/>
      <c r="AE123" s="2274"/>
      <c r="AF123" s="2275"/>
      <c r="AG123" s="2275"/>
      <c r="AH123" s="2276"/>
      <c r="AI123" s="2266"/>
    </row>
    <row r="124" ht="3.75" customHeight="1">
      <c r="A124" s="2267"/>
      <c r="B124" s="2268"/>
      <c r="C124" s="2277"/>
      <c r="D124" s="2278"/>
      <c r="E124" s="2490"/>
      <c r="F124" s="2490"/>
      <c r="G124" s="2490"/>
      <c r="H124" s="2490"/>
      <c r="I124" s="2280"/>
      <c r="J124" s="2490"/>
      <c r="K124" s="2490"/>
      <c r="L124" s="2490"/>
      <c r="M124" s="2490"/>
      <c r="N124" s="2280"/>
      <c r="O124" s="2490"/>
      <c r="P124" s="2490"/>
      <c r="Q124" s="2490"/>
      <c r="R124" s="2490"/>
      <c r="S124" s="2280"/>
      <c r="T124" s="2490"/>
      <c r="U124" s="2490"/>
      <c r="V124" s="2490"/>
      <c r="W124" s="2490"/>
      <c r="X124" s="2278"/>
      <c r="Y124" s="2278"/>
      <c r="Z124" s="2278"/>
      <c r="AA124" s="2278"/>
      <c r="AB124" s="2278"/>
      <c r="AC124" s="2278"/>
      <c r="AD124" s="2278"/>
      <c r="AE124" s="2278"/>
      <c r="AF124" s="2278"/>
      <c r="AG124" s="2278"/>
      <c r="AH124" s="2276"/>
      <c r="AI124" s="2266"/>
    </row>
    <row r="125" ht="96.75" customHeight="1">
      <c r="A125" s="2260"/>
      <c r="B125" s="2281"/>
      <c r="C125" s="2355" t="str">
        <f>IMAGE("https://i.ibb.co/fXwks6z/Rival.png")</f>
        <v/>
      </c>
      <c r="D125" s="2491"/>
      <c r="E125" s="2356" t="str">
        <f t="array" ref="E125">IFERROR(VLOOKUP(E126,Dex!$B$3:$G415,3,FALSE),"")</f>
        <v/>
      </c>
      <c r="F125" s="1830"/>
      <c r="G125" s="1830"/>
      <c r="H125" s="1831"/>
      <c r="I125" s="2492"/>
      <c r="J125" s="2356" t="str">
        <f t="array" ref="J125">IFERROR(VLOOKUP(J126,Dex!$B$3:$G415,3,FALSE),"")</f>
        <v/>
      </c>
      <c r="K125" s="1830"/>
      <c r="L125" s="1830"/>
      <c r="M125" s="1831"/>
      <c r="N125" s="2492"/>
      <c r="O125" s="2356" t="str">
        <f t="array" ref="O125">IFERROR(VLOOKUP(O126,Dex!$B$3:$G415,3,FALSE),"")</f>
        <v/>
      </c>
      <c r="P125" s="1830"/>
      <c r="Q125" s="1830"/>
      <c r="R125" s="1831"/>
      <c r="S125" s="2492"/>
      <c r="T125" s="2356" t="str">
        <f t="array" ref="T125">IFERROR(VLOOKUP(T126,Dex!$B$3:$G415,3,FALSE),"")</f>
        <v/>
      </c>
      <c r="U125" s="1830"/>
      <c r="V125" s="1830"/>
      <c r="W125" s="1831"/>
      <c r="X125" s="2493"/>
      <c r="Y125" s="2270"/>
      <c r="Z125" s="2273"/>
      <c r="AA125" s="2273"/>
      <c r="AB125" s="2274"/>
      <c r="AC125" s="2287"/>
      <c r="AD125" s="2270"/>
      <c r="AE125" s="2273"/>
      <c r="AF125" s="2273"/>
      <c r="AG125" s="2274"/>
      <c r="AH125" s="2276"/>
      <c r="AI125" s="2266"/>
    </row>
    <row r="126" ht="18.75" customHeight="1">
      <c r="A126" s="2288"/>
      <c r="B126" s="2358"/>
      <c r="C126" s="2290" t="s">
        <v>722</v>
      </c>
      <c r="D126" s="2494"/>
      <c r="E126" s="2292" t="s">
        <v>710</v>
      </c>
      <c r="F126" s="2293"/>
      <c r="G126" s="2293"/>
      <c r="H126" s="2294"/>
      <c r="J126" s="2292" t="s">
        <v>711</v>
      </c>
      <c r="K126" s="2293"/>
      <c r="L126" s="2293"/>
      <c r="M126" s="2294"/>
      <c r="O126" s="2292" t="s">
        <v>712</v>
      </c>
      <c r="P126" s="2293"/>
      <c r="Q126" s="2293"/>
      <c r="R126" s="2294"/>
      <c r="T126" s="2292" t="s">
        <v>723</v>
      </c>
      <c r="U126" s="2293"/>
      <c r="V126" s="2293"/>
      <c r="W126" s="2294"/>
      <c r="X126" s="2495"/>
      <c r="Y126" s="2297"/>
      <c r="Z126" s="2273"/>
      <c r="AA126" s="2273"/>
      <c r="AB126" s="2274"/>
      <c r="AC126" s="104"/>
      <c r="AD126" s="2297"/>
      <c r="AE126" s="2273"/>
      <c r="AF126" s="2273"/>
      <c r="AG126" s="2274"/>
      <c r="AH126" s="2298"/>
      <c r="AI126" s="2299"/>
    </row>
    <row r="127">
      <c r="A127" s="2260"/>
      <c r="B127" s="2300"/>
      <c r="C127" s="326"/>
      <c r="D127" s="2360"/>
      <c r="E127" s="2496" t="s">
        <v>714</v>
      </c>
      <c r="F127" s="2303"/>
      <c r="G127" s="2303"/>
      <c r="H127" s="2304"/>
      <c r="J127" s="2496" t="s">
        <v>715</v>
      </c>
      <c r="K127" s="2303"/>
      <c r="L127" s="2303"/>
      <c r="M127" s="2304"/>
      <c r="O127" s="2496" t="s">
        <v>420</v>
      </c>
      <c r="P127" s="2303"/>
      <c r="Q127" s="2303"/>
      <c r="R127" s="2304"/>
      <c r="T127" s="2496" t="s">
        <v>714</v>
      </c>
      <c r="U127" s="2303"/>
      <c r="V127" s="2303"/>
      <c r="W127" s="2304"/>
      <c r="X127" s="2495"/>
      <c r="Y127" s="2270"/>
      <c r="Z127" s="2273"/>
      <c r="AA127" s="2273"/>
      <c r="AB127" s="2274"/>
      <c r="AC127" s="104"/>
      <c r="AD127" s="2270"/>
      <c r="AE127" s="2273"/>
      <c r="AF127" s="2273"/>
      <c r="AG127" s="2274"/>
      <c r="AH127" s="2276"/>
      <c r="AI127" s="2266"/>
    </row>
    <row r="128" ht="25.5" customHeight="1">
      <c r="A128" s="2260"/>
      <c r="B128" s="2268"/>
      <c r="C128" s="2305"/>
      <c r="D128" s="2306"/>
      <c r="E128" s="2307"/>
      <c r="F128" s="2308" t="str">
        <f t="array" ref="F128">IFERROR(VLOOKUP(E126,Dex!$B$3:$H415,5,FALSE),"")</f>
        <v/>
      </c>
      <c r="G128" s="2309" t="str">
        <f t="array" ref="G128">IFERROR(VLOOKUP(E126,Dex!$B$3:$H415,7,FALSE),"")</f>
        <v/>
      </c>
      <c r="H128" s="2310"/>
      <c r="J128" s="2307"/>
      <c r="K128" s="2308" t="str">
        <f t="array" ref="K128">IFERROR(VLOOKUP(J126,Dex!$B$3:$H415,5,FALSE),"")</f>
        <v/>
      </c>
      <c r="L128" s="2309" t="str">
        <f t="array" ref="L128">IFERROR(VLOOKUP(J126,Dex!$B$3:$H415,7,FALSE),"")</f>
        <v/>
      </c>
      <c r="M128" s="2310"/>
      <c r="O128" s="2307"/>
      <c r="P128" s="2308" t="str">
        <f t="array" ref="P128">IFERROR(VLOOKUP(O126,Dex!$B$3:$H415,5,FALSE),"")</f>
        <v/>
      </c>
      <c r="Q128" s="2309" t="str">
        <f t="array" ref="Q128">IFERROR(VLOOKUP(O126,Dex!$B$3:$H415,7,FALSE),"")</f>
        <v/>
      </c>
      <c r="R128" s="2310"/>
      <c r="T128" s="2307"/>
      <c r="U128" s="2311" t="str">
        <f t="array" ref="U128">IFERROR(VLOOKUP(T126,Dex!$B$3:$H415,5,FALSE),"")</f>
        <v/>
      </c>
      <c r="V128" s="2312"/>
      <c r="W128" s="2310"/>
      <c r="X128" s="2495"/>
      <c r="Y128" s="2270"/>
      <c r="Z128" s="2273"/>
      <c r="AA128" s="2273"/>
      <c r="AB128" s="2274"/>
      <c r="AC128" s="104"/>
      <c r="AD128" s="2270"/>
      <c r="AE128" s="2273"/>
      <c r="AF128" s="2273"/>
      <c r="AG128" s="2274"/>
      <c r="AH128" s="2276"/>
      <c r="AI128" s="2266"/>
    </row>
    <row r="129" ht="2.25" customHeight="1">
      <c r="A129" s="2260"/>
      <c r="B129" s="2268"/>
      <c r="C129" s="104"/>
      <c r="D129" s="2306"/>
      <c r="E129" s="2313"/>
      <c r="F129" s="2314"/>
      <c r="G129" s="2314"/>
      <c r="H129" s="2315"/>
      <c r="J129" s="2313"/>
      <c r="K129" s="2314"/>
      <c r="L129" s="2314"/>
      <c r="M129" s="2315"/>
      <c r="O129" s="2313"/>
      <c r="P129" s="2314"/>
      <c r="Q129" s="2314"/>
      <c r="R129" s="2315"/>
      <c r="T129" s="2313"/>
      <c r="U129" s="2314"/>
      <c r="V129" s="2314"/>
      <c r="W129" s="2315"/>
      <c r="X129" s="2495"/>
      <c r="Y129" s="2316"/>
      <c r="Z129" s="2316"/>
      <c r="AA129" s="2316"/>
      <c r="AB129" s="2316"/>
      <c r="AC129" s="104"/>
      <c r="AD129" s="2316"/>
      <c r="AE129" s="2316"/>
      <c r="AF129" s="2316"/>
      <c r="AG129" s="2316"/>
      <c r="AH129" s="2276"/>
      <c r="AI129" s="2266"/>
    </row>
    <row r="130" ht="20.25" customHeight="1">
      <c r="A130" s="2260"/>
      <c r="B130" s="2268"/>
      <c r="C130" s="281"/>
      <c r="D130" s="2270"/>
      <c r="E130" s="2317" t="s">
        <v>263</v>
      </c>
      <c r="F130" s="2318"/>
      <c r="G130" s="2318"/>
      <c r="H130" s="2319"/>
      <c r="J130" s="2317" t="s">
        <v>169</v>
      </c>
      <c r="K130" s="2318"/>
      <c r="L130" s="2318"/>
      <c r="M130" s="2319"/>
      <c r="O130" s="2317" t="s">
        <v>169</v>
      </c>
      <c r="P130" s="2318"/>
      <c r="Q130" s="2318"/>
      <c r="R130" s="2319"/>
      <c r="T130" s="2317" t="s">
        <v>701</v>
      </c>
      <c r="U130" s="2318"/>
      <c r="V130" s="2318"/>
      <c r="W130" s="2319"/>
      <c r="X130" s="2495"/>
      <c r="Y130" s="2270"/>
      <c r="Z130" s="2273"/>
      <c r="AA130" s="2273"/>
      <c r="AB130" s="2274"/>
      <c r="AC130" s="104"/>
      <c r="AD130" s="2270"/>
      <c r="AE130" s="2273"/>
      <c r="AF130" s="2273"/>
      <c r="AG130" s="2274"/>
      <c r="AH130" s="2276"/>
      <c r="AI130" s="2266"/>
    </row>
    <row r="131" ht="20.25" customHeight="1">
      <c r="A131" s="2260"/>
      <c r="B131" s="2268"/>
      <c r="C131" s="2320"/>
      <c r="D131" s="2270"/>
      <c r="E131" s="2321" t="s">
        <v>302</v>
      </c>
      <c r="F131" s="2273"/>
      <c r="G131" s="2273"/>
      <c r="H131" s="2322"/>
      <c r="J131" s="2321" t="s">
        <v>716</v>
      </c>
      <c r="K131" s="2273"/>
      <c r="L131" s="2273"/>
      <c r="M131" s="2322"/>
      <c r="O131" s="2321" t="s">
        <v>717</v>
      </c>
      <c r="P131" s="2273"/>
      <c r="Q131" s="2273"/>
      <c r="R131" s="2322"/>
      <c r="T131" s="2321" t="s">
        <v>690</v>
      </c>
      <c r="U131" s="2273"/>
      <c r="V131" s="2273"/>
      <c r="W131" s="2322"/>
      <c r="X131" s="2495"/>
      <c r="Y131" s="2270"/>
      <c r="Z131" s="2273"/>
      <c r="AA131" s="2273"/>
      <c r="AB131" s="2274"/>
      <c r="AC131" s="104"/>
      <c r="AD131" s="2270"/>
      <c r="AE131" s="2273"/>
      <c r="AF131" s="2273"/>
      <c r="AG131" s="2274"/>
      <c r="AH131" s="2276"/>
      <c r="AI131" s="2266"/>
    </row>
    <row r="132" ht="20.25" customHeight="1">
      <c r="A132" s="2260"/>
      <c r="B132" s="2268"/>
      <c r="C132" s="104"/>
      <c r="D132" s="2270"/>
      <c r="E132" s="2323" t="s">
        <v>213</v>
      </c>
      <c r="F132" s="2324"/>
      <c r="G132" s="2325"/>
      <c r="H132" s="2326" t="str">
        <f>IMAGE("https://raw.githubusercontent.com/msikma/pokesprite/master/items/berry/sitrus.png",3)</f>
        <v/>
      </c>
      <c r="J132" s="2323" t="s">
        <v>718</v>
      </c>
      <c r="K132" s="2324"/>
      <c r="L132" s="2325"/>
      <c r="M132" s="2326" t="str">
        <f>IMAGE("https://raw.githubusercontent.com/msikma/pokesprite/master/items/hold-item/muscle-band.png",3)</f>
        <v/>
      </c>
      <c r="O132" s="2323" t="s">
        <v>554</v>
      </c>
      <c r="P132" s="2324"/>
      <c r="Q132" s="2325"/>
      <c r="R132" s="2326" t="str">
        <f>IMAGE("https://raw.githubusercontent.com/msikma/pokesprite/master/items/berry/chople.png",3)</f>
        <v/>
      </c>
      <c r="T132" s="2323" t="s">
        <v>211</v>
      </c>
      <c r="U132" s="2324"/>
      <c r="V132" s="2325"/>
      <c r="W132" s="2326" t="str">
        <f>IMAGE("https://raw.githubusercontent.com/msikma/pokesprite/master/items/hold-item/eviolite.png",3)</f>
        <v/>
      </c>
      <c r="X132" s="2495"/>
      <c r="Y132" s="2270"/>
      <c r="Z132" s="2273"/>
      <c r="AA132" s="2273"/>
      <c r="AB132" s="2274"/>
      <c r="AC132" s="104"/>
      <c r="AD132" s="2270"/>
      <c r="AE132" s="2273"/>
      <c r="AF132" s="2273"/>
      <c r="AG132" s="2274"/>
      <c r="AH132" s="2276"/>
      <c r="AI132" s="2266"/>
    </row>
    <row r="133" ht="20.25" customHeight="1">
      <c r="A133" s="2260"/>
      <c r="B133" s="2268"/>
      <c r="C133" s="281"/>
      <c r="D133" s="2270"/>
      <c r="E133" s="2317" t="s">
        <v>508</v>
      </c>
      <c r="F133" s="2318"/>
      <c r="G133" s="2327"/>
      <c r="H133" s="2328" t="str">
        <f>IMAGE("https://raw.githubusercontent.com/msikma/pokesprite/master/misc/types/gen8/psychic.png",4,20,20)</f>
        <v/>
      </c>
      <c r="J133" s="2317" t="s">
        <v>635</v>
      </c>
      <c r="K133" s="2318"/>
      <c r="L133" s="2327"/>
      <c r="M133" s="2328" t="str">
        <f>IMAGE("https://raw.githubusercontent.com/msikma/pokesprite/master/misc/types/gen8/normal.png",4,20,20)</f>
        <v/>
      </c>
      <c r="O133" s="2317" t="s">
        <v>279</v>
      </c>
      <c r="P133" s="2318"/>
      <c r="Q133" s="2327"/>
      <c r="R133" s="2328" t="str">
        <f t="shared" ref="R133:R134" si="12">IMAGE("https://raw.githubusercontent.com/msikma/pokesprite/master/misc/types/gen8/dark.png",4,20,20)</f>
        <v/>
      </c>
      <c r="T133" s="2317" t="s">
        <v>253</v>
      </c>
      <c r="U133" s="2318"/>
      <c r="V133" s="2327"/>
      <c r="W133" s="2328" t="str">
        <f>IMAGE("https://raw.githubusercontent.com/msikma/pokesprite/master/misc/types/gen8/fire.png",4,20,20)</f>
        <v/>
      </c>
      <c r="X133" s="2495"/>
      <c r="Y133" s="2270"/>
      <c r="Z133" s="2273"/>
      <c r="AA133" s="2273"/>
      <c r="AB133" s="2274"/>
      <c r="AC133" s="104"/>
      <c r="AD133" s="2270"/>
      <c r="AE133" s="2273"/>
      <c r="AF133" s="2273"/>
      <c r="AG133" s="2274"/>
      <c r="AH133" s="2276"/>
      <c r="AI133" s="2266"/>
    </row>
    <row r="134" ht="20.25" customHeight="1">
      <c r="A134" s="2260"/>
      <c r="B134" s="2268"/>
      <c r="C134" s="2269"/>
      <c r="D134" s="2270"/>
      <c r="E134" s="2321" t="s">
        <v>314</v>
      </c>
      <c r="F134" s="2273"/>
      <c r="G134" s="2274"/>
      <c r="H134" s="2329" t="str">
        <f>IMAGE("https://raw.githubusercontent.com/msikma/pokesprite/master/misc/types/gen8/fairy.png",4,20,20)</f>
        <v/>
      </c>
      <c r="J134" s="2321" t="s">
        <v>182</v>
      </c>
      <c r="K134" s="2273"/>
      <c r="L134" s="2274"/>
      <c r="M134" s="2329" t="str">
        <f>IMAGE("https://raw.githubusercontent.com/msikma/pokesprite/master/misc/types/gen8/flying.png",4,20,20)</f>
        <v/>
      </c>
      <c r="O134" s="2321" t="s">
        <v>541</v>
      </c>
      <c r="P134" s="2273"/>
      <c r="Q134" s="2274"/>
      <c r="R134" s="2329" t="str">
        <f t="shared" si="12"/>
        <v/>
      </c>
      <c r="T134" s="2321" t="s">
        <v>249</v>
      </c>
      <c r="U134" s="2273"/>
      <c r="V134" s="2274"/>
      <c r="W134" s="2329" t="str">
        <f>IMAGE("https://raw.githubusercontent.com/msikma/pokesprite/master/misc/types/gen8/electric.png",4,20,20)</f>
        <v/>
      </c>
      <c r="X134" s="2495"/>
      <c r="Y134" s="2270"/>
      <c r="Z134" s="2273"/>
      <c r="AA134" s="2273"/>
      <c r="AB134" s="2274"/>
      <c r="AC134" s="104"/>
      <c r="AD134" s="2270"/>
      <c r="AE134" s="2273"/>
      <c r="AF134" s="2273"/>
      <c r="AG134" s="2274"/>
      <c r="AH134" s="2276"/>
      <c r="AI134" s="2266"/>
    </row>
    <row r="135" ht="20.25" customHeight="1">
      <c r="A135" s="2260"/>
      <c r="B135" s="2268"/>
      <c r="C135" s="2269"/>
      <c r="D135" s="2270"/>
      <c r="E135" s="2321" t="s">
        <v>697</v>
      </c>
      <c r="F135" s="2273"/>
      <c r="G135" s="2274"/>
      <c r="H135" s="2329" t="str">
        <f>IMAGE("https://raw.githubusercontent.com/msikma/pokesprite/master/misc/types/gen8/grass.png",4,20,20)</f>
        <v/>
      </c>
      <c r="J135" s="2321" t="s">
        <v>278</v>
      </c>
      <c r="K135" s="2273"/>
      <c r="L135" s="2274"/>
      <c r="M135" s="2329" t="str">
        <f>IMAGE("https://raw.githubusercontent.com/msikma/pokesprite/master/misc/types/gen8/bug.png",4,20,20)</f>
        <v/>
      </c>
      <c r="O135" s="2321" t="s">
        <v>656</v>
      </c>
      <c r="P135" s="2273"/>
      <c r="Q135" s="2274"/>
      <c r="R135" s="2329" t="str">
        <f>IMAGE("https://raw.githubusercontent.com/msikma/pokesprite/master/misc/types/gen8/steel.png",4,20,20)</f>
        <v/>
      </c>
      <c r="T135" s="2321" t="s">
        <v>276</v>
      </c>
      <c r="U135" s="2273"/>
      <c r="V135" s="2274"/>
      <c r="W135" s="2329" t="str">
        <f>IMAGE("https://raw.githubusercontent.com/msikma/pokesprite/master/misc/types/gen8/rock.png",4,20,20)</f>
        <v/>
      </c>
      <c r="X135" s="2495"/>
      <c r="Y135" s="2270"/>
      <c r="Z135" s="2273"/>
      <c r="AA135" s="2273"/>
      <c r="AB135" s="2274"/>
      <c r="AC135" s="104"/>
      <c r="AD135" s="2270"/>
      <c r="AE135" s="2273"/>
      <c r="AF135" s="2273"/>
      <c r="AG135" s="2274"/>
      <c r="AH135" s="2276"/>
      <c r="AI135" s="2266"/>
    </row>
    <row r="136" ht="21.0" customHeight="1">
      <c r="A136" s="2260"/>
      <c r="B136" s="2268"/>
      <c r="C136" s="2269"/>
      <c r="D136" s="2270"/>
      <c r="E136" s="2330" t="s">
        <v>188</v>
      </c>
      <c r="F136" s="2331"/>
      <c r="G136" s="2332"/>
      <c r="H136" s="2333"/>
      <c r="I136" s="2497"/>
      <c r="J136" s="2330" t="s">
        <v>185</v>
      </c>
      <c r="K136" s="2331"/>
      <c r="L136" s="2332"/>
      <c r="M136" s="2333" t="str">
        <f>IMAGE("https://raw.githubusercontent.com/msikma/pokesprite/master/misc/types/gen8/normal.png",4,20,20)</f>
        <v/>
      </c>
      <c r="N136" s="2497"/>
      <c r="O136" s="2330" t="s">
        <v>721</v>
      </c>
      <c r="P136" s="2331"/>
      <c r="Q136" s="2332"/>
      <c r="R136" s="2333" t="str">
        <f>IMAGE("https://raw.githubusercontent.com/msikma/pokesprite/master/misc/types/gen8/fighting.png",4,20,20)</f>
        <v/>
      </c>
      <c r="S136" s="2497"/>
      <c r="T136" s="2330" t="s">
        <v>563</v>
      </c>
      <c r="U136" s="2331"/>
      <c r="V136" s="2332"/>
      <c r="W136" s="2333" t="str">
        <f>IMAGE("https://raw.githubusercontent.com/msikma/pokesprite/master/misc/types/gen8/dark.png",4,20,20)</f>
        <v/>
      </c>
      <c r="X136" s="2498"/>
      <c r="Y136" s="2270"/>
      <c r="Z136" s="2273"/>
      <c r="AA136" s="2273"/>
      <c r="AB136" s="2274"/>
      <c r="AC136" s="281"/>
      <c r="AD136" s="2270"/>
      <c r="AE136" s="2273"/>
      <c r="AF136" s="2273"/>
      <c r="AG136" s="2274"/>
      <c r="AH136" s="2276"/>
      <c r="AI136" s="2266"/>
    </row>
    <row r="137" ht="3.0" customHeight="1">
      <c r="A137" s="2336"/>
      <c r="B137" s="2337"/>
      <c r="C137" s="2338"/>
      <c r="D137" s="2339"/>
      <c r="E137" s="2340"/>
      <c r="F137" s="2340"/>
      <c r="G137" s="2340"/>
      <c r="H137" s="2340"/>
      <c r="I137" s="2339"/>
      <c r="J137" s="2340"/>
      <c r="K137" s="2340"/>
      <c r="L137" s="2340"/>
      <c r="M137" s="2340"/>
      <c r="N137" s="2339"/>
      <c r="O137" s="2340"/>
      <c r="P137" s="2340"/>
      <c r="Q137" s="2340"/>
      <c r="R137" s="2340"/>
      <c r="S137" s="2339"/>
      <c r="T137" s="2340"/>
      <c r="U137" s="2340"/>
      <c r="V137" s="2340"/>
      <c r="W137" s="2340"/>
      <c r="X137" s="2339"/>
      <c r="Y137" s="2339"/>
      <c r="Z137" s="2341"/>
      <c r="AA137" s="2341"/>
      <c r="AB137" s="2342"/>
      <c r="AC137" s="2342"/>
      <c r="AD137" s="2342"/>
      <c r="AE137" s="2342"/>
      <c r="AF137" s="2342"/>
      <c r="AG137" s="2342"/>
      <c r="AH137" s="2343"/>
      <c r="AI137" s="2344"/>
    </row>
    <row r="138" ht="16.5" customHeight="1">
      <c r="A138" s="2267"/>
      <c r="B138" s="2345"/>
      <c r="C138" s="2338"/>
      <c r="D138" s="2346"/>
      <c r="E138" s="2362" t="s">
        <v>190</v>
      </c>
      <c r="F138" s="381"/>
      <c r="G138" s="382"/>
      <c r="H138" s="2363" t="s">
        <v>191</v>
      </c>
      <c r="I138" s="2347"/>
      <c r="J138" s="2362" t="s">
        <v>190</v>
      </c>
      <c r="K138" s="381"/>
      <c r="L138" s="382"/>
      <c r="M138" s="2363" t="s">
        <v>191</v>
      </c>
      <c r="N138" s="2347"/>
      <c r="O138" s="2362" t="s">
        <v>190</v>
      </c>
      <c r="P138" s="381"/>
      <c r="Q138" s="382"/>
      <c r="R138" s="2363" t="s">
        <v>191</v>
      </c>
      <c r="S138" s="2347"/>
      <c r="T138" s="2362" t="s">
        <v>190</v>
      </c>
      <c r="U138" s="381"/>
      <c r="V138" s="382"/>
      <c r="W138" s="2363" t="s">
        <v>191</v>
      </c>
      <c r="X138" s="2499"/>
      <c r="Y138" s="2349"/>
      <c r="Z138" s="2349"/>
      <c r="AA138" s="2349"/>
      <c r="AB138" s="2350"/>
      <c r="AC138" s="2350"/>
      <c r="AD138" s="2350"/>
      <c r="AE138" s="2350"/>
      <c r="AF138" s="2350"/>
      <c r="AG138" s="2350"/>
      <c r="AH138" s="2351"/>
      <c r="AI138" s="2352"/>
    </row>
    <row r="139" ht="15.75" customHeight="1">
      <c r="A139" s="2267"/>
      <c r="B139" s="2345"/>
      <c r="C139" s="2338"/>
      <c r="D139" s="2346"/>
      <c r="E139" s="2365" t="s">
        <v>192</v>
      </c>
      <c r="F139" s="2366">
        <f t="array" ref="F139">IFERROR(VLOOKUP(E126,Dex!$B$3:$N415,8,FALSE),"")</f>
        <v>38</v>
      </c>
      <c r="G139" s="2367" t="str">
        <f t="array" ref="G139">IFERROR(VLOOKUP(F139,Dex!$P$22:$Q$276,2,FALSE),"")</f>
        <v/>
      </c>
      <c r="H139" s="2368"/>
      <c r="I139" s="2347"/>
      <c r="J139" s="2365" t="s">
        <v>192</v>
      </c>
      <c r="K139" s="2366">
        <f t="array" ref="K139">IFERROR(VLOOKUP(J126,Dex!$B$3:$N415,8,FALSE),"")</f>
        <v>55</v>
      </c>
      <c r="L139" s="2367" t="str">
        <f t="array" ref="L139">IFERROR(VLOOKUP(K139,Dex!$P$22:$Q$276,2,FALSE),"")</f>
        <v/>
      </c>
      <c r="M139" s="2368"/>
      <c r="N139" s="2347"/>
      <c r="O139" s="2365" t="s">
        <v>192</v>
      </c>
      <c r="P139" s="2366">
        <f t="array" ref="P139">IFERROR(VLOOKUP(O126,Dex!$B$3:$N415,8,FALSE),"")</f>
        <v>45</v>
      </c>
      <c r="Q139" s="2367" t="str">
        <f t="array" ref="Q139">IFERROR(VLOOKUP(P139,Dex!$P$22:$Q$276,2,FALSE),"")</f>
        <v/>
      </c>
      <c r="R139" s="2368"/>
      <c r="S139" s="2347"/>
      <c r="T139" s="2365" t="s">
        <v>192</v>
      </c>
      <c r="U139" s="2366">
        <f t="array" ref="U139">IFERROR(VLOOKUP(T126,Dex!$B$3:$N415,8,FALSE),"")</f>
        <v>58</v>
      </c>
      <c r="V139" s="2367" t="str">
        <f t="array" ref="V139">IFERROR(VLOOKUP(U139,Dex!$P$22:$Q$276,2,FALSE),"")</f>
        <v/>
      </c>
      <c r="W139" s="2368"/>
      <c r="X139" s="2499"/>
      <c r="Y139" s="2349"/>
      <c r="Z139" s="2349"/>
      <c r="AA139" s="2349"/>
      <c r="AB139" s="2350"/>
      <c r="AC139" s="2350"/>
      <c r="AD139" s="2350"/>
      <c r="AE139" s="2350"/>
      <c r="AF139" s="2350"/>
      <c r="AG139" s="2350"/>
      <c r="AH139" s="2351"/>
      <c r="AI139" s="2352"/>
    </row>
    <row r="140" ht="15.75" customHeight="1">
      <c r="A140" s="2267"/>
      <c r="B140" s="2345"/>
      <c r="C140" s="2338"/>
      <c r="D140" s="2346"/>
      <c r="E140" s="2369" t="s">
        <v>193</v>
      </c>
      <c r="F140" s="2370">
        <f t="array" ref="F140">IFERROR(VLOOKUP(E126,Dex!$B$3:$N415,9,FALSE),"")</f>
        <v>35</v>
      </c>
      <c r="G140" s="2371" t="str">
        <f t="array" ref="G140">IFERROR(VLOOKUP(F140,Dex!$P$22:$Q$276,2,FALSE),"")</f>
        <v/>
      </c>
      <c r="H140" s="2372"/>
      <c r="I140" s="2347"/>
      <c r="J140" s="2369" t="s">
        <v>193</v>
      </c>
      <c r="K140" s="2370">
        <f t="array" ref="K140">IFERROR(VLOOKUP(J126,Dex!$B$3:$N415,9,FALSE),"")</f>
        <v>75</v>
      </c>
      <c r="L140" s="2371" t="str">
        <f t="array" ref="L140">IFERROR(VLOOKUP(K140,Dex!$P$22:$Q$276,2,FALSE),"")</f>
        <v/>
      </c>
      <c r="M140" s="2372"/>
      <c r="N140" s="2347"/>
      <c r="O140" s="2369" t="s">
        <v>193</v>
      </c>
      <c r="P140" s="2370">
        <f t="array" ref="P140">IFERROR(VLOOKUP(O126,Dex!$B$3:$N415,9,FALSE),"")</f>
        <v>85</v>
      </c>
      <c r="Q140" s="2371" t="str">
        <f t="array" ref="Q140">IFERROR(VLOOKUP(P140,Dex!$P$22:$Q$276,2,FALSE),"")</f>
        <v/>
      </c>
      <c r="R140" s="2372"/>
      <c r="S140" s="2347"/>
      <c r="T140" s="2369" t="s">
        <v>193</v>
      </c>
      <c r="U140" s="2370">
        <f t="array" ref="U140">IFERROR(VLOOKUP(T126,Dex!$B$3:$N415,9,FALSE),"")</f>
        <v>64</v>
      </c>
      <c r="V140" s="2371" t="str">
        <f t="array" ref="V140">IFERROR(VLOOKUP(U140,Dex!$P$22:$Q$276,2,FALSE),"")</f>
        <v/>
      </c>
      <c r="W140" s="2372"/>
      <c r="X140" s="2499"/>
      <c r="Y140" s="2349"/>
      <c r="Z140" s="2349"/>
      <c r="AA140" s="2349"/>
      <c r="AB140" s="2350"/>
      <c r="AC140" s="2350"/>
      <c r="AD140" s="2350"/>
      <c r="AE140" s="2350"/>
      <c r="AF140" s="2350"/>
      <c r="AG140" s="2350"/>
      <c r="AH140" s="2351"/>
      <c r="AI140" s="2352"/>
    </row>
    <row r="141" ht="15.75" customHeight="1">
      <c r="A141" s="2267"/>
      <c r="B141" s="2345"/>
      <c r="C141" s="2338"/>
      <c r="D141" s="2346"/>
      <c r="E141" s="2369" t="s">
        <v>194</v>
      </c>
      <c r="F141" s="2370">
        <f t="array" ref="F141">IFERROR(VLOOKUP(E126,Dex!$B$3:$N415,10,FALSE),"")</f>
        <v>35</v>
      </c>
      <c r="G141" s="2371" t="str">
        <f t="array" ref="G141">IFERROR(VLOOKUP(F141,Dex!$P$22:$Q$276,2,FALSE),"")</f>
        <v/>
      </c>
      <c r="H141" s="2372"/>
      <c r="I141" s="2347"/>
      <c r="J141" s="2369" t="s">
        <v>194</v>
      </c>
      <c r="K141" s="2370">
        <f t="array" ref="K141">IFERROR(VLOOKUP(J126,Dex!$B$3:$N415,10,FALSE),"")</f>
        <v>50</v>
      </c>
      <c r="L141" s="2371" t="str">
        <f t="array" ref="L141">IFERROR(VLOOKUP(K141,Dex!$P$22:$Q$276,2,FALSE),"")</f>
        <v/>
      </c>
      <c r="M141" s="2372"/>
      <c r="N141" s="2347"/>
      <c r="O141" s="2369" t="s">
        <v>194</v>
      </c>
      <c r="P141" s="2370">
        <f t="array" ref="P141">IFERROR(VLOOKUP(O126,Dex!$B$3:$N415,10,FALSE),"")</f>
        <v>70</v>
      </c>
      <c r="Q141" s="2371" t="str">
        <f t="array" ref="Q141">IFERROR(VLOOKUP(P141,Dex!$P$22:$Q$276,2,FALSE),"")</f>
        <v/>
      </c>
      <c r="R141" s="2372"/>
      <c r="S141" s="2347"/>
      <c r="T141" s="2369" t="s">
        <v>194</v>
      </c>
      <c r="U141" s="2370">
        <f t="array" ref="U141">IFERROR(VLOOKUP(T126,Dex!$B$3:$N415,10,FALSE),"")</f>
        <v>58</v>
      </c>
      <c r="V141" s="2371" t="str">
        <f t="array" ref="V141">IFERROR(VLOOKUP(U141,Dex!$P$22:$Q$276,2,FALSE),"")</f>
        <v/>
      </c>
      <c r="W141" s="2372"/>
      <c r="X141" s="2499"/>
      <c r="Y141" s="2349"/>
      <c r="Z141" s="2349"/>
      <c r="AA141" s="2349"/>
      <c r="AB141" s="2350"/>
      <c r="AC141" s="2350"/>
      <c r="AD141" s="2350"/>
      <c r="AE141" s="2350"/>
      <c r="AF141" s="2350"/>
      <c r="AG141" s="2350"/>
      <c r="AH141" s="2351"/>
      <c r="AI141" s="2352"/>
    </row>
    <row r="142" ht="15.75" customHeight="1">
      <c r="A142" s="2267"/>
      <c r="B142" s="2345"/>
      <c r="C142" s="2338"/>
      <c r="D142" s="2346"/>
      <c r="E142" s="2369" t="s">
        <v>195</v>
      </c>
      <c r="F142" s="2370">
        <f t="array" ref="F142">IFERROR(VLOOKUP(E126,Dex!$B$3:$N415,11,FALSE),"")</f>
        <v>65</v>
      </c>
      <c r="G142" s="2371" t="str">
        <f t="array" ref="G142">IFERROR(VLOOKUP(F142,Dex!$P$22:$Q$276,2,FALSE),"")</f>
        <v/>
      </c>
      <c r="H142" s="2372"/>
      <c r="I142" s="2347"/>
      <c r="J142" s="2369" t="s">
        <v>195</v>
      </c>
      <c r="K142" s="2370">
        <f t="array" ref="K142">IFERROR(VLOOKUP(J126,Dex!$B$3:$N415,11,FALSE),"")</f>
        <v>40</v>
      </c>
      <c r="L142" s="2371" t="str">
        <f t="array" ref="L142">IFERROR(VLOOKUP(K142,Dex!$P$22:$Q$276,2,FALSE),"")</f>
        <v/>
      </c>
      <c r="M142" s="2372"/>
      <c r="N142" s="2347"/>
      <c r="O142" s="2369" t="s">
        <v>195</v>
      </c>
      <c r="P142" s="2370">
        <f t="array" ref="P142">IFERROR(VLOOKUP(O126,Dex!$B$3:$N415,11,FALSE),"")</f>
        <v>40</v>
      </c>
      <c r="Q142" s="2371" t="str">
        <f t="array" ref="Q142">IFERROR(VLOOKUP(P142,Dex!$P$22:$Q$276,2,FALSE),"")</f>
        <v/>
      </c>
      <c r="R142" s="2372"/>
      <c r="S142" s="2347"/>
      <c r="T142" s="2369" t="s">
        <v>195</v>
      </c>
      <c r="U142" s="2370">
        <f t="array" ref="U142">IFERROR(VLOOKUP(T126,Dex!$B$3:$N415,11,FALSE),"")</f>
        <v>80</v>
      </c>
      <c r="V142" s="2371" t="str">
        <f t="array" ref="V142">IFERROR(VLOOKUP(U142,Dex!$P$22:$Q$276,2,FALSE),"")</f>
        <v/>
      </c>
      <c r="W142" s="2372"/>
      <c r="X142" s="2499"/>
      <c r="Y142" s="2349"/>
      <c r="Z142" s="2349"/>
      <c r="AA142" s="2349"/>
      <c r="AB142" s="2350"/>
      <c r="AC142" s="2350"/>
      <c r="AD142" s="2350"/>
      <c r="AE142" s="2350"/>
      <c r="AF142" s="2350"/>
      <c r="AG142" s="2350"/>
      <c r="AH142" s="2351"/>
      <c r="AI142" s="2352"/>
    </row>
    <row r="143" ht="15.75" customHeight="1">
      <c r="A143" s="2267"/>
      <c r="B143" s="2345"/>
      <c r="C143" s="2500"/>
      <c r="D143" s="2346"/>
      <c r="E143" s="2369" t="s">
        <v>196</v>
      </c>
      <c r="F143" s="2370">
        <f t="array" ref="F143">IFERROR(VLOOKUP(E126,Dex!$B$3:$N415,12,FALSE),"")</f>
        <v>55</v>
      </c>
      <c r="G143" s="2371" t="str">
        <f t="array" ref="G143">IFERROR(VLOOKUP(F143,Dex!$P$22:$Q$276,2,FALSE),"")</f>
        <v/>
      </c>
      <c r="H143" s="2372"/>
      <c r="I143" s="2347"/>
      <c r="J143" s="2369" t="s">
        <v>196</v>
      </c>
      <c r="K143" s="2370">
        <f t="array" ref="K143">IFERROR(VLOOKUP(J126,Dex!$B$3:$N415,12,FALSE),"")</f>
        <v>40</v>
      </c>
      <c r="L143" s="2371" t="str">
        <f t="array" ref="L143">IFERROR(VLOOKUP(K143,Dex!$P$22:$Q$276,2,FALSE),"")</f>
        <v/>
      </c>
      <c r="M143" s="2372"/>
      <c r="N143" s="2347"/>
      <c r="O143" s="2369" t="s">
        <v>196</v>
      </c>
      <c r="P143" s="2370">
        <f t="array" ref="P143">IFERROR(VLOOKUP(O126,Dex!$B$3:$N415,12,FALSE),"")</f>
        <v>40</v>
      </c>
      <c r="Q143" s="2371" t="str">
        <f t="array" ref="Q143">IFERROR(VLOOKUP(P143,Dex!$P$22:$Q$276,2,FALSE),"")</f>
        <v/>
      </c>
      <c r="R143" s="2372"/>
      <c r="S143" s="2347"/>
      <c r="T143" s="2369" t="s">
        <v>196</v>
      </c>
      <c r="U143" s="2370">
        <f t="array" ref="U143">IFERROR(VLOOKUP(T126,Dex!$B$3:$N415,12,FALSE),"")</f>
        <v>65</v>
      </c>
      <c r="V143" s="2371" t="str">
        <f t="array" ref="V143">IFERROR(VLOOKUP(U143,Dex!$P$22:$Q$276,2,FALSE),"")</f>
        <v/>
      </c>
      <c r="W143" s="2372"/>
      <c r="X143" s="2499"/>
      <c r="Y143" s="2349"/>
      <c r="Z143" s="2349"/>
      <c r="AA143" s="2349"/>
      <c r="AB143" s="2350"/>
      <c r="AC143" s="2350"/>
      <c r="AD143" s="2350"/>
      <c r="AE143" s="2350"/>
      <c r="AF143" s="2350"/>
      <c r="AG143" s="2350"/>
      <c r="AH143" s="2351"/>
      <c r="AI143" s="2352"/>
    </row>
    <row r="144" ht="15.75" customHeight="1">
      <c r="A144" s="2267"/>
      <c r="B144" s="2501"/>
      <c r="C144" s="1204" t="s">
        <v>436</v>
      </c>
      <c r="D144" s="2502"/>
      <c r="E144" s="2373" t="s">
        <v>197</v>
      </c>
      <c r="F144" s="2374">
        <f t="array" ref="F144">IFERROR(VLOOKUP(E126,Dex!$B$3:$N415,13,FALSE),"")</f>
        <v>50</v>
      </c>
      <c r="G144" s="2375" t="str">
        <f t="array" ref="G144">IFERROR(VLOOKUP(F144,Dex!$P$22:$Q$276,2,FALSE),"")</f>
        <v/>
      </c>
      <c r="H144" s="2376"/>
      <c r="I144" s="2347"/>
      <c r="J144" s="2373" t="s">
        <v>197</v>
      </c>
      <c r="K144" s="2374">
        <f t="array" ref="K144">IFERROR(VLOOKUP(J126,Dex!$B$3:$N415,13,FALSE),"")</f>
        <v>80</v>
      </c>
      <c r="L144" s="2375" t="str">
        <f t="array" ref="L144">IFERROR(VLOOKUP(K144,Dex!$P$22:$Q$276,2,FALSE),"")</f>
        <v/>
      </c>
      <c r="M144" s="2376"/>
      <c r="N144" s="2347"/>
      <c r="O144" s="2373" t="s">
        <v>197</v>
      </c>
      <c r="P144" s="2374">
        <f t="array" ref="P144">IFERROR(VLOOKUP(O126,Dex!$B$3:$N415,13,FALSE),"")</f>
        <v>60</v>
      </c>
      <c r="Q144" s="2375" t="str">
        <f t="array" ref="Q144">IFERROR(VLOOKUP(P144,Dex!$P$22:$Q$276,2,FALSE),"")</f>
        <v/>
      </c>
      <c r="R144" s="2376"/>
      <c r="S144" s="2347"/>
      <c r="T144" s="2373" t="s">
        <v>197</v>
      </c>
      <c r="U144" s="2374">
        <f t="array" ref="U144">IFERROR(VLOOKUP(T126,Dex!$B$3:$N415,13,FALSE),"")</f>
        <v>80</v>
      </c>
      <c r="V144" s="2375" t="str">
        <f t="array" ref="V144">IFERROR(VLOOKUP(U144,Dex!$P$22:$Q$276,2,FALSE),"")</f>
        <v/>
      </c>
      <c r="W144" s="2376"/>
      <c r="X144" s="2499"/>
      <c r="Y144" s="2349"/>
      <c r="Z144" s="2349"/>
      <c r="AA144" s="2349"/>
      <c r="AB144" s="2350"/>
      <c r="AC144" s="2350"/>
      <c r="AD144" s="2350"/>
      <c r="AE144" s="2350"/>
      <c r="AF144" s="2350"/>
      <c r="AG144" s="2350"/>
      <c r="AH144" s="2351"/>
      <c r="AI144" s="2352"/>
    </row>
    <row r="145" ht="16.5" customHeight="1">
      <c r="A145" s="2267"/>
      <c r="B145" s="2501"/>
      <c r="C145" s="1205" t="s">
        <v>524</v>
      </c>
      <c r="D145" s="2503"/>
      <c r="E145" s="2377" t="s">
        <v>198</v>
      </c>
      <c r="F145" s="405"/>
      <c r="G145" s="406"/>
      <c r="H145" s="2378">
        <v>36.0</v>
      </c>
      <c r="I145" s="2383"/>
      <c r="J145" s="2377" t="s">
        <v>198</v>
      </c>
      <c r="K145" s="405"/>
      <c r="L145" s="406"/>
      <c r="M145" s="2378">
        <v>48.0</v>
      </c>
      <c r="N145" s="2383"/>
      <c r="O145" s="2377" t="s">
        <v>198</v>
      </c>
      <c r="P145" s="405"/>
      <c r="Q145" s="406"/>
      <c r="R145" s="2378">
        <v>42.0</v>
      </c>
      <c r="S145" s="2383"/>
      <c r="T145" s="2377" t="s">
        <v>198</v>
      </c>
      <c r="U145" s="405"/>
      <c r="V145" s="406"/>
      <c r="W145" s="2378">
        <v>50.0</v>
      </c>
      <c r="X145" s="2504"/>
      <c r="Y145" s="2349"/>
      <c r="Z145" s="2349"/>
      <c r="AA145" s="2349"/>
      <c r="AB145" s="2350"/>
      <c r="AC145" s="2350"/>
      <c r="AD145" s="2350"/>
      <c r="AE145" s="2350"/>
      <c r="AF145" s="2350"/>
      <c r="AG145" s="2350"/>
      <c r="AH145" s="2351"/>
      <c r="AI145" s="2352"/>
    </row>
    <row r="146" ht="11.25" customHeight="1">
      <c r="A146" s="2260"/>
      <c r="B146" s="2268"/>
      <c r="C146" s="2505"/>
      <c r="D146" s="2506"/>
      <c r="E146" s="2507"/>
      <c r="F146" s="2507"/>
      <c r="G146" s="2507"/>
      <c r="H146" s="2507"/>
      <c r="I146" s="2509"/>
      <c r="J146" s="2507"/>
      <c r="K146" s="2507"/>
      <c r="L146" s="2507"/>
      <c r="M146" s="2507"/>
      <c r="N146" s="2509"/>
      <c r="O146" s="2508"/>
      <c r="P146" s="2508"/>
      <c r="Q146" s="2508"/>
      <c r="R146" s="2509"/>
      <c r="S146" s="2509"/>
      <c r="T146" s="2508"/>
      <c r="U146" s="2508"/>
      <c r="V146" s="2508"/>
      <c r="W146" s="2509"/>
      <c r="X146" s="2316"/>
      <c r="Y146" s="2316"/>
      <c r="Z146" s="2316"/>
      <c r="AA146" s="2316"/>
      <c r="AB146" s="2316"/>
      <c r="AC146" s="2316"/>
      <c r="AD146" s="2316"/>
      <c r="AE146" s="2316"/>
      <c r="AF146" s="2316"/>
      <c r="AG146" s="2316"/>
      <c r="AH146" s="2276"/>
      <c r="AI146" s="2266"/>
    </row>
    <row r="147">
      <c r="A147" s="2267"/>
      <c r="B147" s="2268"/>
      <c r="C147" s="2269"/>
      <c r="D147" s="2270"/>
      <c r="E147" s="2380" t="s">
        <v>693</v>
      </c>
      <c r="F147" s="1579"/>
      <c r="G147" s="1579"/>
      <c r="H147" s="1579"/>
      <c r="I147" s="1579"/>
      <c r="J147" s="1579"/>
      <c r="K147" s="1579"/>
      <c r="L147" s="1579"/>
      <c r="M147" s="1579"/>
      <c r="N147" s="1579"/>
      <c r="O147" s="1579"/>
      <c r="P147" s="1579"/>
      <c r="Q147" s="1579"/>
      <c r="R147" s="1579"/>
      <c r="S147" s="1579"/>
      <c r="T147" s="1579"/>
      <c r="U147" s="1579"/>
      <c r="V147" s="1579"/>
      <c r="W147" s="1580"/>
      <c r="X147" s="2272"/>
      <c r="Y147" s="2273"/>
      <c r="Z147" s="2273"/>
      <c r="AA147" s="2274"/>
      <c r="AB147" s="2270"/>
      <c r="AC147" s="2273"/>
      <c r="AD147" s="2273"/>
      <c r="AE147" s="2274"/>
      <c r="AF147" s="2275"/>
      <c r="AG147" s="2275"/>
      <c r="AH147" s="2276"/>
      <c r="AI147" s="2266"/>
    </row>
    <row r="148" ht="3.75" customHeight="1">
      <c r="A148" s="2267"/>
      <c r="B148" s="2268"/>
      <c r="C148" s="2277"/>
      <c r="D148" s="2278"/>
      <c r="E148" s="2490"/>
      <c r="F148" s="2490"/>
      <c r="G148" s="2490"/>
      <c r="H148" s="2490"/>
      <c r="I148" s="2280"/>
      <c r="J148" s="2490"/>
      <c r="K148" s="2490"/>
      <c r="L148" s="2490"/>
      <c r="M148" s="2490"/>
      <c r="N148" s="2280"/>
      <c r="O148" s="2490"/>
      <c r="P148" s="2490"/>
      <c r="Q148" s="2490"/>
      <c r="R148" s="2490"/>
      <c r="S148" s="2280"/>
      <c r="T148" s="2490"/>
      <c r="U148" s="2490"/>
      <c r="V148" s="2490"/>
      <c r="W148" s="2490"/>
      <c r="X148" s="2278"/>
      <c r="Y148" s="2278"/>
      <c r="Z148" s="2278"/>
      <c r="AA148" s="2278"/>
      <c r="AB148" s="2278"/>
      <c r="AC148" s="2278"/>
      <c r="AD148" s="2278"/>
      <c r="AE148" s="2278"/>
      <c r="AF148" s="2278"/>
      <c r="AG148" s="2278"/>
      <c r="AH148" s="2276"/>
      <c r="AI148" s="2266"/>
    </row>
    <row r="149" ht="96.75" customHeight="1">
      <c r="A149" s="2260"/>
      <c r="B149" s="2281"/>
      <c r="C149" s="2381" t="str">
        <f>IMAGE("https://i.ibb.co/fXwks6z/Rival.png")</f>
        <v/>
      </c>
      <c r="D149" s="2491"/>
      <c r="E149" s="2382" t="str">
        <f t="array" ref="E149">IFERROR(VLOOKUP(E150,Dex!$B$3:$G415,3,FALSE),"")</f>
        <v/>
      </c>
      <c r="F149" s="1830"/>
      <c r="G149" s="1830"/>
      <c r="H149" s="1831"/>
      <c r="I149" s="2492"/>
      <c r="J149" s="2382" t="str">
        <f t="array" ref="J149">IFERROR(VLOOKUP(J150,Dex!$B$3:$G415,3,FALSE),"")</f>
        <v/>
      </c>
      <c r="K149" s="1830"/>
      <c r="L149" s="1830"/>
      <c r="M149" s="1831"/>
      <c r="N149" s="2492"/>
      <c r="O149" s="2382" t="str">
        <f t="array" ref="O149">IFERROR(VLOOKUP(O150,Dex!$B$3:$G415,3,FALSE),"")</f>
        <v/>
      </c>
      <c r="P149" s="1830"/>
      <c r="Q149" s="1830"/>
      <c r="R149" s="1831"/>
      <c r="S149" s="2492"/>
      <c r="T149" s="2382" t="str">
        <f t="array" ref="T149">IFERROR(VLOOKUP(T150,Dex!$B$3:$G415,3,FALSE),"")</f>
        <v/>
      </c>
      <c r="U149" s="1830"/>
      <c r="V149" s="1830"/>
      <c r="W149" s="1831"/>
      <c r="X149" s="2493"/>
      <c r="Y149" s="2270"/>
      <c r="Z149" s="2273"/>
      <c r="AA149" s="2273"/>
      <c r="AB149" s="2274"/>
      <c r="AC149" s="2287"/>
      <c r="AD149" s="2270"/>
      <c r="AE149" s="2273"/>
      <c r="AF149" s="2273"/>
      <c r="AG149" s="2274"/>
      <c r="AH149" s="2276"/>
      <c r="AI149" s="2266"/>
    </row>
    <row r="150" ht="18.75" customHeight="1">
      <c r="A150" s="2288"/>
      <c r="B150" s="2358"/>
      <c r="C150" s="2290" t="s">
        <v>724</v>
      </c>
      <c r="D150" s="2494"/>
      <c r="E150" s="2292" t="s">
        <v>710</v>
      </c>
      <c r="F150" s="2293"/>
      <c r="G150" s="2293"/>
      <c r="H150" s="2294"/>
      <c r="J150" s="2292" t="s">
        <v>711</v>
      </c>
      <c r="K150" s="2293"/>
      <c r="L150" s="2293"/>
      <c r="M150" s="2294"/>
      <c r="O150" s="2292" t="s">
        <v>712</v>
      </c>
      <c r="P150" s="2293"/>
      <c r="Q150" s="2293"/>
      <c r="R150" s="2294"/>
      <c r="T150" s="2292" t="s">
        <v>725</v>
      </c>
      <c r="U150" s="2293"/>
      <c r="V150" s="2293"/>
      <c r="W150" s="2294"/>
      <c r="X150" s="2495"/>
      <c r="Y150" s="2297"/>
      <c r="Z150" s="2273"/>
      <c r="AA150" s="2273"/>
      <c r="AB150" s="2274"/>
      <c r="AC150" s="104"/>
      <c r="AD150" s="2297"/>
      <c r="AE150" s="2273"/>
      <c r="AF150" s="2273"/>
      <c r="AG150" s="2274"/>
      <c r="AH150" s="2298"/>
      <c r="AI150" s="2299"/>
    </row>
    <row r="151">
      <c r="A151" s="2260"/>
      <c r="B151" s="2300"/>
      <c r="C151" s="326"/>
      <c r="D151" s="2360"/>
      <c r="E151" s="2496" t="s">
        <v>714</v>
      </c>
      <c r="F151" s="2303"/>
      <c r="G151" s="2303"/>
      <c r="H151" s="2304"/>
      <c r="J151" s="2496" t="s">
        <v>715</v>
      </c>
      <c r="K151" s="2303"/>
      <c r="L151" s="2303"/>
      <c r="M151" s="2304"/>
      <c r="O151" s="2496" t="s">
        <v>420</v>
      </c>
      <c r="P151" s="2303"/>
      <c r="Q151" s="2303"/>
      <c r="R151" s="2304"/>
      <c r="T151" s="2496" t="s">
        <v>714</v>
      </c>
      <c r="U151" s="2303"/>
      <c r="V151" s="2303"/>
      <c r="W151" s="2304"/>
      <c r="X151" s="2495"/>
      <c r="Y151" s="2270"/>
      <c r="Z151" s="2273"/>
      <c r="AA151" s="2273"/>
      <c r="AB151" s="2274"/>
      <c r="AC151" s="104"/>
      <c r="AD151" s="2270"/>
      <c r="AE151" s="2273"/>
      <c r="AF151" s="2273"/>
      <c r="AG151" s="2274"/>
      <c r="AH151" s="2276"/>
      <c r="AI151" s="2266"/>
    </row>
    <row r="152" ht="25.5" customHeight="1">
      <c r="A152" s="2260"/>
      <c r="B152" s="2268"/>
      <c r="C152" s="2305"/>
      <c r="D152" s="2306"/>
      <c r="E152" s="2307"/>
      <c r="F152" s="2308" t="str">
        <f t="array" ref="F152">IFERROR(VLOOKUP(E150,Dex!$B$3:$H415,5,FALSE),"")</f>
        <v/>
      </c>
      <c r="G152" s="2309" t="str">
        <f t="array" ref="G152">IFERROR(VLOOKUP(E150,Dex!$B$3:$H415,7,FALSE),"")</f>
        <v/>
      </c>
      <c r="H152" s="2310"/>
      <c r="J152" s="2307"/>
      <c r="K152" s="2308" t="str">
        <f t="array" ref="K152">IFERROR(VLOOKUP(J150,Dex!$B$3:$H415,5,FALSE),"")</f>
        <v/>
      </c>
      <c r="L152" s="2309" t="str">
        <f t="array" ref="L152">IFERROR(VLOOKUP(J150,Dex!$B$3:$H415,7,FALSE),"")</f>
        <v/>
      </c>
      <c r="M152" s="2310"/>
      <c r="O152" s="2307"/>
      <c r="P152" s="2308" t="str">
        <f t="array" ref="P152">IFERROR(VLOOKUP(O150,Dex!$B$3:$H415,5,FALSE),"")</f>
        <v/>
      </c>
      <c r="Q152" s="2309" t="str">
        <f t="array" ref="Q152">IFERROR(VLOOKUP(O150,Dex!$B$3:$H415,7,FALSE),"")</f>
        <v/>
      </c>
      <c r="R152" s="2310"/>
      <c r="T152" s="2307"/>
      <c r="U152" s="2308" t="str">
        <f t="array" ref="U152">IFERROR(VLOOKUP(T150,Dex!$B$3:$H415,5,FALSE),"")</f>
        <v/>
      </c>
      <c r="V152" s="2309" t="str">
        <f t="array" ref="V152">IFERROR(VLOOKUP(T150,Dex!$B$3:$H415,7,FALSE),"")</f>
        <v/>
      </c>
      <c r="W152" s="2310"/>
      <c r="X152" s="2495"/>
      <c r="Y152" s="2270"/>
      <c r="Z152" s="2273"/>
      <c r="AA152" s="2273"/>
      <c r="AB152" s="2274"/>
      <c r="AC152" s="104"/>
      <c r="AD152" s="2270"/>
      <c r="AE152" s="2273"/>
      <c r="AF152" s="2273"/>
      <c r="AG152" s="2274"/>
      <c r="AH152" s="2276"/>
      <c r="AI152" s="2266"/>
    </row>
    <row r="153" ht="2.25" customHeight="1">
      <c r="A153" s="2260"/>
      <c r="B153" s="2268"/>
      <c r="C153" s="104"/>
      <c r="D153" s="2306"/>
      <c r="E153" s="2313"/>
      <c r="F153" s="2314"/>
      <c r="G153" s="2314"/>
      <c r="H153" s="2315"/>
      <c r="J153" s="2313"/>
      <c r="K153" s="2314"/>
      <c r="L153" s="2314"/>
      <c r="M153" s="2315"/>
      <c r="O153" s="2313"/>
      <c r="P153" s="2314"/>
      <c r="Q153" s="2314"/>
      <c r="R153" s="2315"/>
      <c r="T153" s="2313"/>
      <c r="U153" s="2314"/>
      <c r="V153" s="2314"/>
      <c r="W153" s="2315"/>
      <c r="X153" s="2495"/>
      <c r="Y153" s="2316"/>
      <c r="Z153" s="2316"/>
      <c r="AA153" s="2316"/>
      <c r="AB153" s="2316"/>
      <c r="AC153" s="104"/>
      <c r="AD153" s="2316"/>
      <c r="AE153" s="2316"/>
      <c r="AF153" s="2316"/>
      <c r="AG153" s="2316"/>
      <c r="AH153" s="2276"/>
      <c r="AI153" s="2266"/>
    </row>
    <row r="154" ht="20.25" customHeight="1">
      <c r="A154" s="2260"/>
      <c r="B154" s="2268"/>
      <c r="C154" s="281"/>
      <c r="D154" s="2270"/>
      <c r="E154" s="2317" t="s">
        <v>263</v>
      </c>
      <c r="F154" s="2318"/>
      <c r="G154" s="2318"/>
      <c r="H154" s="2319"/>
      <c r="J154" s="2317" t="s">
        <v>169</v>
      </c>
      <c r="K154" s="2318"/>
      <c r="L154" s="2318"/>
      <c r="M154" s="2319"/>
      <c r="O154" s="2317" t="s">
        <v>169</v>
      </c>
      <c r="P154" s="2318"/>
      <c r="Q154" s="2318"/>
      <c r="R154" s="2319"/>
      <c r="T154" s="2317" t="s">
        <v>263</v>
      </c>
      <c r="U154" s="2318"/>
      <c r="V154" s="2318"/>
      <c r="W154" s="2319"/>
      <c r="X154" s="2495"/>
      <c r="Y154" s="2270"/>
      <c r="Z154" s="2273"/>
      <c r="AA154" s="2273"/>
      <c r="AB154" s="2274"/>
      <c r="AC154" s="104"/>
      <c r="AD154" s="2270"/>
      <c r="AE154" s="2273"/>
      <c r="AF154" s="2273"/>
      <c r="AG154" s="2274"/>
      <c r="AH154" s="2276"/>
      <c r="AI154" s="2266"/>
    </row>
    <row r="155" ht="20.25" customHeight="1">
      <c r="A155" s="2260"/>
      <c r="B155" s="2268"/>
      <c r="C155" s="2320"/>
      <c r="D155" s="2270"/>
      <c r="E155" s="2321" t="s">
        <v>302</v>
      </c>
      <c r="F155" s="2273"/>
      <c r="G155" s="2273"/>
      <c r="H155" s="2322"/>
      <c r="J155" s="2321" t="s">
        <v>716</v>
      </c>
      <c r="K155" s="2273"/>
      <c r="L155" s="2273"/>
      <c r="M155" s="2322"/>
      <c r="O155" s="2321" t="s">
        <v>717</v>
      </c>
      <c r="P155" s="2273"/>
      <c r="Q155" s="2273"/>
      <c r="R155" s="2322"/>
      <c r="T155" s="2321" t="s">
        <v>696</v>
      </c>
      <c r="U155" s="2273"/>
      <c r="V155" s="2273"/>
      <c r="W155" s="2322"/>
      <c r="X155" s="2495"/>
      <c r="Y155" s="2270"/>
      <c r="Z155" s="2273"/>
      <c r="AA155" s="2273"/>
      <c r="AB155" s="2274"/>
      <c r="AC155" s="104"/>
      <c r="AD155" s="2270"/>
      <c r="AE155" s="2273"/>
      <c r="AF155" s="2273"/>
      <c r="AG155" s="2274"/>
      <c r="AH155" s="2276"/>
      <c r="AI155" s="2266"/>
    </row>
    <row r="156" ht="20.25" customHeight="1">
      <c r="A156" s="2260"/>
      <c r="B156" s="2268"/>
      <c r="C156" s="104"/>
      <c r="D156" s="2270"/>
      <c r="E156" s="2323" t="s">
        <v>213</v>
      </c>
      <c r="F156" s="2324"/>
      <c r="G156" s="2325"/>
      <c r="H156" s="2326" t="str">
        <f>IMAGE("https://raw.githubusercontent.com/msikma/pokesprite/master/items/berry/sitrus.png",3)</f>
        <v/>
      </c>
      <c r="J156" s="2323" t="s">
        <v>718</v>
      </c>
      <c r="K156" s="2324"/>
      <c r="L156" s="2325"/>
      <c r="M156" s="2326" t="str">
        <f>IMAGE("https://raw.githubusercontent.com/msikma/pokesprite/master/items/hold-item/muscle-band.png",3)</f>
        <v/>
      </c>
      <c r="O156" s="2323" t="s">
        <v>554</v>
      </c>
      <c r="P156" s="2324"/>
      <c r="Q156" s="2325"/>
      <c r="R156" s="2326" t="str">
        <f>IMAGE("https://raw.githubusercontent.com/msikma/pokesprite/master/items/berry/chople.png",3)</f>
        <v/>
      </c>
      <c r="T156" s="2323" t="s">
        <v>211</v>
      </c>
      <c r="U156" s="2324"/>
      <c r="V156" s="2325"/>
      <c r="W156" s="2326" t="str">
        <f>IMAGE("https://raw.githubusercontent.com/msikma/pokesprite/master/items/hold-item/eviolite.png",3)</f>
        <v/>
      </c>
      <c r="X156" s="2495"/>
      <c r="Y156" s="2270"/>
      <c r="Z156" s="2273"/>
      <c r="AA156" s="2273"/>
      <c r="AB156" s="2274"/>
      <c r="AC156" s="104"/>
      <c r="AD156" s="2270"/>
      <c r="AE156" s="2273"/>
      <c r="AF156" s="2273"/>
      <c r="AG156" s="2274"/>
      <c r="AH156" s="2276"/>
      <c r="AI156" s="2266"/>
    </row>
    <row r="157" ht="20.25" customHeight="1">
      <c r="A157" s="2260"/>
      <c r="B157" s="2268"/>
      <c r="C157" s="281"/>
      <c r="D157" s="2270"/>
      <c r="E157" s="2317" t="s">
        <v>508</v>
      </c>
      <c r="F157" s="2318"/>
      <c r="G157" s="2327"/>
      <c r="H157" s="2328" t="str">
        <f>IMAGE("https://raw.githubusercontent.com/msikma/pokesprite/master/misc/types/gen8/psychic.png",4,20,20)</f>
        <v/>
      </c>
      <c r="J157" s="2317" t="s">
        <v>635</v>
      </c>
      <c r="K157" s="2318"/>
      <c r="L157" s="2327"/>
      <c r="M157" s="2328" t="str">
        <f>IMAGE("https://raw.githubusercontent.com/msikma/pokesprite/master/misc/types/gen8/normal.png",4,20,20)</f>
        <v/>
      </c>
      <c r="O157" s="2317" t="s">
        <v>279</v>
      </c>
      <c r="P157" s="2318"/>
      <c r="Q157" s="2327"/>
      <c r="R157" s="2328" t="str">
        <f t="shared" ref="R157:R158" si="13">IMAGE("https://raw.githubusercontent.com/msikma/pokesprite/master/misc/types/gen8/dark.png",4,20,20)</f>
        <v/>
      </c>
      <c r="T157" s="2317" t="s">
        <v>726</v>
      </c>
      <c r="U157" s="2318"/>
      <c r="V157" s="2327"/>
      <c r="W157" s="2328" t="str">
        <f>IMAGE("https://raw.githubusercontent.com/msikma/pokesprite/master/misc/types/gen8/grass.png",4,20,20)</f>
        <v/>
      </c>
      <c r="X157" s="2495"/>
      <c r="Y157" s="2270"/>
      <c r="Z157" s="2273"/>
      <c r="AA157" s="2273"/>
      <c r="AB157" s="2274"/>
      <c r="AC157" s="104"/>
      <c r="AD157" s="2270"/>
      <c r="AE157" s="2273"/>
      <c r="AF157" s="2273"/>
      <c r="AG157" s="2274"/>
      <c r="AH157" s="2276"/>
      <c r="AI157" s="2266"/>
    </row>
    <row r="158" ht="20.25" customHeight="1">
      <c r="A158" s="2260"/>
      <c r="B158" s="2268"/>
      <c r="C158" s="2269"/>
      <c r="D158" s="2270"/>
      <c r="E158" s="2321" t="s">
        <v>314</v>
      </c>
      <c r="F158" s="2273"/>
      <c r="G158" s="2274"/>
      <c r="H158" s="2329" t="str">
        <f>IMAGE("https://raw.githubusercontent.com/msikma/pokesprite/master/misc/types/gen8/fairy.png",4,20,20)</f>
        <v/>
      </c>
      <c r="J158" s="2321" t="s">
        <v>182</v>
      </c>
      <c r="K158" s="2273"/>
      <c r="L158" s="2274"/>
      <c r="M158" s="2329" t="str">
        <f>IMAGE("https://raw.githubusercontent.com/msikma/pokesprite/master/misc/types/gen8/flying.png",4,20,20)</f>
        <v/>
      </c>
      <c r="O158" s="2321" t="s">
        <v>541</v>
      </c>
      <c r="P158" s="2273"/>
      <c r="Q158" s="2274"/>
      <c r="R158" s="2329" t="str">
        <f t="shared" si="13"/>
        <v/>
      </c>
      <c r="T158" s="2321" t="s">
        <v>187</v>
      </c>
      <c r="U158" s="2273"/>
      <c r="V158" s="2274"/>
      <c r="W158" s="2329" t="str">
        <f>IMAGE("https://raw.githubusercontent.com/msikma/pokesprite/master/misc/types/gen8/normal.png",4,20,20)</f>
        <v/>
      </c>
      <c r="X158" s="2495"/>
      <c r="Y158" s="2270"/>
      <c r="Z158" s="2273"/>
      <c r="AA158" s="2273"/>
      <c r="AB158" s="2274"/>
      <c r="AC158" s="104"/>
      <c r="AD158" s="2270"/>
      <c r="AE158" s="2273"/>
      <c r="AF158" s="2273"/>
      <c r="AG158" s="2274"/>
      <c r="AH158" s="2276"/>
      <c r="AI158" s="2266"/>
    </row>
    <row r="159" ht="20.25" customHeight="1">
      <c r="A159" s="2260"/>
      <c r="B159" s="2268"/>
      <c r="C159" s="2269"/>
      <c r="D159" s="2270"/>
      <c r="E159" s="2321" t="s">
        <v>697</v>
      </c>
      <c r="F159" s="2273"/>
      <c r="G159" s="2274"/>
      <c r="H159" s="2329" t="str">
        <f>IMAGE("https://raw.githubusercontent.com/msikma/pokesprite/master/misc/types/gen8/grass.png",4,20,20)</f>
        <v/>
      </c>
      <c r="J159" s="2321" t="s">
        <v>278</v>
      </c>
      <c r="K159" s="2273"/>
      <c r="L159" s="2274"/>
      <c r="M159" s="2329" t="str">
        <f>IMAGE("https://raw.githubusercontent.com/msikma/pokesprite/master/misc/types/gen8/bug.png",4,20,20)</f>
        <v/>
      </c>
      <c r="O159" s="2321" t="s">
        <v>656</v>
      </c>
      <c r="P159" s="2273"/>
      <c r="Q159" s="2274"/>
      <c r="R159" s="2329" t="str">
        <f>IMAGE("https://raw.githubusercontent.com/msikma/pokesprite/master/misc/types/gen8/steel.png",4,20,20)</f>
        <v/>
      </c>
      <c r="T159" s="2321" t="s">
        <v>457</v>
      </c>
      <c r="U159" s="2273"/>
      <c r="V159" s="2274"/>
      <c r="W159" s="2329" t="str">
        <f>IMAGE("https://raw.githubusercontent.com/msikma/pokesprite/master/misc/types/gen8/grass.png",4,20,20)</f>
        <v/>
      </c>
      <c r="X159" s="2495"/>
      <c r="Y159" s="2270"/>
      <c r="Z159" s="2273"/>
      <c r="AA159" s="2273"/>
      <c r="AB159" s="2274"/>
      <c r="AC159" s="104"/>
      <c r="AD159" s="2270"/>
      <c r="AE159" s="2273"/>
      <c r="AF159" s="2273"/>
      <c r="AG159" s="2274"/>
      <c r="AH159" s="2276"/>
      <c r="AI159" s="2266"/>
    </row>
    <row r="160" ht="21.0" customHeight="1">
      <c r="A160" s="2260"/>
      <c r="B160" s="2268"/>
      <c r="C160" s="2269"/>
      <c r="D160" s="2270"/>
      <c r="E160" s="2330" t="s">
        <v>188</v>
      </c>
      <c r="F160" s="2331"/>
      <c r="G160" s="2332"/>
      <c r="H160" s="2333"/>
      <c r="I160" s="2497"/>
      <c r="J160" s="2330" t="s">
        <v>185</v>
      </c>
      <c r="K160" s="2331"/>
      <c r="L160" s="2332"/>
      <c r="M160" s="2333" t="str">
        <f>IMAGE("https://raw.githubusercontent.com/msikma/pokesprite/master/misc/types/gen8/normal.png",4,20,20)</f>
        <v/>
      </c>
      <c r="N160" s="2497"/>
      <c r="O160" s="2330" t="s">
        <v>721</v>
      </c>
      <c r="P160" s="2331"/>
      <c r="Q160" s="2332"/>
      <c r="R160" s="2333" t="str">
        <f>IMAGE("https://raw.githubusercontent.com/msikma/pokesprite/master/misc/types/gen8/fighting.png",4,20,20)</f>
        <v/>
      </c>
      <c r="S160" s="2497"/>
      <c r="T160" s="2330" t="s">
        <v>727</v>
      </c>
      <c r="U160" s="2331"/>
      <c r="V160" s="2332"/>
      <c r="W160" s="2333" t="str">
        <f>IMAGE("https://raw.githubusercontent.com/msikma/pokesprite/master/misc/types/gen8/poison.png",4,20,20)</f>
        <v/>
      </c>
      <c r="X160" s="2498"/>
      <c r="Y160" s="2270"/>
      <c r="Z160" s="2273"/>
      <c r="AA160" s="2273"/>
      <c r="AB160" s="2274"/>
      <c r="AC160" s="281"/>
      <c r="AD160" s="2270"/>
      <c r="AE160" s="2273"/>
      <c r="AF160" s="2273"/>
      <c r="AG160" s="2274"/>
      <c r="AH160" s="2276"/>
      <c r="AI160" s="2266"/>
    </row>
    <row r="161" ht="3.0" customHeight="1">
      <c r="A161" s="2336"/>
      <c r="B161" s="2337"/>
      <c r="C161" s="2338"/>
      <c r="D161" s="2339"/>
      <c r="E161" s="2340"/>
      <c r="F161" s="2340"/>
      <c r="G161" s="2340"/>
      <c r="H161" s="2340"/>
      <c r="I161" s="2339"/>
      <c r="J161" s="2340"/>
      <c r="K161" s="2340"/>
      <c r="L161" s="2340"/>
      <c r="M161" s="2340"/>
      <c r="N161" s="2339"/>
      <c r="O161" s="2340"/>
      <c r="P161" s="2340"/>
      <c r="Q161" s="2340"/>
      <c r="R161" s="2340"/>
      <c r="S161" s="2339"/>
      <c r="T161" s="2340"/>
      <c r="U161" s="2340"/>
      <c r="V161" s="2340"/>
      <c r="W161" s="2340"/>
      <c r="X161" s="2339"/>
      <c r="Y161" s="2339"/>
      <c r="Z161" s="2341"/>
      <c r="AA161" s="2341"/>
      <c r="AB161" s="2342"/>
      <c r="AC161" s="2342"/>
      <c r="AD161" s="2342"/>
      <c r="AE161" s="2342"/>
      <c r="AF161" s="2342"/>
      <c r="AG161" s="2342"/>
      <c r="AH161" s="2343"/>
      <c r="AI161" s="2344"/>
    </row>
    <row r="162" ht="16.5" customHeight="1">
      <c r="A162" s="2267"/>
      <c r="B162" s="2345"/>
      <c r="C162" s="2338"/>
      <c r="D162" s="2346"/>
      <c r="E162" s="703" t="s">
        <v>190</v>
      </c>
      <c r="F162" s="381"/>
      <c r="G162" s="382"/>
      <c r="H162" s="704" t="s">
        <v>191</v>
      </c>
      <c r="I162" s="2347"/>
      <c r="J162" s="703" t="s">
        <v>190</v>
      </c>
      <c r="K162" s="381"/>
      <c r="L162" s="382"/>
      <c r="M162" s="704" t="s">
        <v>191</v>
      </c>
      <c r="N162" s="2347"/>
      <c r="O162" s="703" t="s">
        <v>190</v>
      </c>
      <c r="P162" s="381"/>
      <c r="Q162" s="382"/>
      <c r="R162" s="704" t="s">
        <v>191</v>
      </c>
      <c r="S162" s="2347"/>
      <c r="T162" s="703" t="s">
        <v>190</v>
      </c>
      <c r="U162" s="381"/>
      <c r="V162" s="382"/>
      <c r="W162" s="704" t="s">
        <v>191</v>
      </c>
      <c r="X162" s="2499"/>
      <c r="Y162" s="2349"/>
      <c r="Z162" s="2349"/>
      <c r="AA162" s="2349"/>
      <c r="AB162" s="2350"/>
      <c r="AC162" s="2350"/>
      <c r="AD162" s="2350"/>
      <c r="AE162" s="2350"/>
      <c r="AF162" s="2350"/>
      <c r="AG162" s="2350"/>
      <c r="AH162" s="2351"/>
      <c r="AI162" s="2352"/>
    </row>
    <row r="163" ht="15.75" customHeight="1">
      <c r="A163" s="2267"/>
      <c r="B163" s="2345"/>
      <c r="C163" s="2338"/>
      <c r="D163" s="2346"/>
      <c r="E163" s="709" t="s">
        <v>192</v>
      </c>
      <c r="F163" s="710">
        <f t="array" ref="F163">IFERROR(VLOOKUP(E150,Dex!$B$3:$N415,8,FALSE),"")</f>
        <v>38</v>
      </c>
      <c r="G163" s="711" t="str">
        <f t="array" ref="G163">IFERROR(VLOOKUP(F163,Dex!$P$22:$Q$276,2,FALSE),"")</f>
        <v/>
      </c>
      <c r="H163" s="712"/>
      <c r="I163" s="2347"/>
      <c r="J163" s="709" t="s">
        <v>192</v>
      </c>
      <c r="K163" s="710">
        <f t="array" ref="K163">IFERROR(VLOOKUP(J150,Dex!$B$3:$N415,8,FALSE),"")</f>
        <v>55</v>
      </c>
      <c r="L163" s="711" t="str">
        <f t="array" ref="L163">IFERROR(VLOOKUP(K163,Dex!$P$22:$Q$276,2,FALSE),"")</f>
        <v/>
      </c>
      <c r="M163" s="712"/>
      <c r="N163" s="2347"/>
      <c r="O163" s="709" t="s">
        <v>192</v>
      </c>
      <c r="P163" s="710">
        <f t="array" ref="P163">IFERROR(VLOOKUP(O150,Dex!$B$3:$N415,8,FALSE),"")</f>
        <v>45</v>
      </c>
      <c r="Q163" s="711" t="str">
        <f t="array" ref="Q163">IFERROR(VLOOKUP(P163,Dex!$P$22:$Q$276,2,FALSE),"")</f>
        <v/>
      </c>
      <c r="R163" s="712"/>
      <c r="S163" s="2347"/>
      <c r="T163" s="709" t="s">
        <v>192</v>
      </c>
      <c r="U163" s="710">
        <f t="array" ref="U163">IFERROR(VLOOKUP(T150,Dex!$B$3:$N415,8,FALSE),"")</f>
        <v>60</v>
      </c>
      <c r="V163" s="711" t="str">
        <f t="array" ref="V163">IFERROR(VLOOKUP(U163,Dex!$P$22:$Q$276,2,FALSE),"")</f>
        <v/>
      </c>
      <c r="W163" s="712"/>
      <c r="X163" s="2499"/>
      <c r="Y163" s="2349"/>
      <c r="Z163" s="2349"/>
      <c r="AA163" s="2349"/>
      <c r="AB163" s="2350"/>
      <c r="AC163" s="2350"/>
      <c r="AD163" s="2350"/>
      <c r="AE163" s="2350"/>
      <c r="AF163" s="2350"/>
      <c r="AG163" s="2350"/>
      <c r="AH163" s="2351"/>
      <c r="AI163" s="2352"/>
    </row>
    <row r="164" ht="15.75" customHeight="1">
      <c r="A164" s="2267"/>
      <c r="B164" s="2345"/>
      <c r="C164" s="2338"/>
      <c r="D164" s="2346"/>
      <c r="E164" s="714" t="s">
        <v>193</v>
      </c>
      <c r="F164" s="715">
        <f t="array" ref="F164">IFERROR(VLOOKUP(E150,Dex!$B$3:$N415,9,FALSE),"")</f>
        <v>35</v>
      </c>
      <c r="G164" s="716" t="str">
        <f t="array" ref="G164">IFERROR(VLOOKUP(F164,Dex!$P$22:$Q$276,2,FALSE),"")</f>
        <v/>
      </c>
      <c r="H164" s="717"/>
      <c r="I164" s="2347"/>
      <c r="J164" s="714" t="s">
        <v>193</v>
      </c>
      <c r="K164" s="715">
        <f t="array" ref="K164">IFERROR(VLOOKUP(J150,Dex!$B$3:$N415,9,FALSE),"")</f>
        <v>75</v>
      </c>
      <c r="L164" s="716" t="str">
        <f t="array" ref="L164">IFERROR(VLOOKUP(K164,Dex!$P$22:$Q$276,2,FALSE),"")</f>
        <v/>
      </c>
      <c r="M164" s="717"/>
      <c r="N164" s="2347"/>
      <c r="O164" s="714" t="s">
        <v>193</v>
      </c>
      <c r="P164" s="715">
        <f t="array" ref="P164">IFERROR(VLOOKUP(O150,Dex!$B$3:$N415,9,FALSE),"")</f>
        <v>85</v>
      </c>
      <c r="Q164" s="716" t="str">
        <f t="array" ref="Q164">IFERROR(VLOOKUP(P164,Dex!$P$22:$Q$276,2,FALSE),"")</f>
        <v/>
      </c>
      <c r="R164" s="717"/>
      <c r="S164" s="2347"/>
      <c r="T164" s="714" t="s">
        <v>193</v>
      </c>
      <c r="U164" s="715">
        <f t="array" ref="U164">IFERROR(VLOOKUP(T150,Dex!$B$3:$N415,9,FALSE),"")</f>
        <v>62</v>
      </c>
      <c r="V164" s="716" t="str">
        <f t="array" ref="V164">IFERROR(VLOOKUP(U164,Dex!$P$22:$Q$276,2,FALSE),"")</f>
        <v/>
      </c>
      <c r="W164" s="717"/>
      <c r="X164" s="2499"/>
      <c r="Y164" s="2349"/>
      <c r="Z164" s="2349"/>
      <c r="AA164" s="2349"/>
      <c r="AB164" s="2350"/>
      <c r="AC164" s="2350"/>
      <c r="AD164" s="2350"/>
      <c r="AE164" s="2350"/>
      <c r="AF164" s="2350"/>
      <c r="AG164" s="2350"/>
      <c r="AH164" s="2351"/>
      <c r="AI164" s="2352"/>
    </row>
    <row r="165" ht="15.75" customHeight="1">
      <c r="A165" s="2267"/>
      <c r="B165" s="2345"/>
      <c r="C165" s="2338"/>
      <c r="D165" s="2346"/>
      <c r="E165" s="714" t="s">
        <v>194</v>
      </c>
      <c r="F165" s="715">
        <f t="array" ref="F165">IFERROR(VLOOKUP(E150,Dex!$B$3:$N415,10,FALSE),"")</f>
        <v>35</v>
      </c>
      <c r="G165" s="716" t="str">
        <f t="array" ref="G165">IFERROR(VLOOKUP(F165,Dex!$P$22:$Q$276,2,FALSE),"")</f>
        <v/>
      </c>
      <c r="H165" s="717"/>
      <c r="I165" s="2347"/>
      <c r="J165" s="714" t="s">
        <v>194</v>
      </c>
      <c r="K165" s="715">
        <f t="array" ref="K165">IFERROR(VLOOKUP(J150,Dex!$B$3:$N415,10,FALSE),"")</f>
        <v>50</v>
      </c>
      <c r="L165" s="716" t="str">
        <f t="array" ref="L165">IFERROR(VLOOKUP(K165,Dex!$P$22:$Q$276,2,FALSE),"")</f>
        <v/>
      </c>
      <c r="M165" s="717"/>
      <c r="N165" s="2347"/>
      <c r="O165" s="714" t="s">
        <v>194</v>
      </c>
      <c r="P165" s="715">
        <f t="array" ref="P165">IFERROR(VLOOKUP(O150,Dex!$B$3:$N415,10,FALSE),"")</f>
        <v>70</v>
      </c>
      <c r="Q165" s="716" t="str">
        <f t="array" ref="Q165">IFERROR(VLOOKUP(P165,Dex!$P$22:$Q$276,2,FALSE),"")</f>
        <v/>
      </c>
      <c r="R165" s="717"/>
      <c r="S165" s="2347"/>
      <c r="T165" s="714" t="s">
        <v>194</v>
      </c>
      <c r="U165" s="715">
        <f t="array" ref="U165">IFERROR(VLOOKUP(T150,Dex!$B$3:$N415,10,FALSE),"")</f>
        <v>63</v>
      </c>
      <c r="V165" s="716" t="str">
        <f t="array" ref="V165">IFERROR(VLOOKUP(U165,Dex!$P$22:$Q$276,2,FALSE),"")</f>
        <v/>
      </c>
      <c r="W165" s="717"/>
      <c r="X165" s="2499"/>
      <c r="Y165" s="2349"/>
      <c r="Z165" s="2349"/>
      <c r="AA165" s="2349"/>
      <c r="AB165" s="2350"/>
      <c r="AC165" s="2350"/>
      <c r="AD165" s="2350"/>
      <c r="AE165" s="2350"/>
      <c r="AF165" s="2350"/>
      <c r="AG165" s="2350"/>
      <c r="AH165" s="2351"/>
      <c r="AI165" s="2352"/>
    </row>
    <row r="166" ht="15.75" customHeight="1">
      <c r="A166" s="2267"/>
      <c r="B166" s="2345"/>
      <c r="C166" s="2338"/>
      <c r="D166" s="2346"/>
      <c r="E166" s="714" t="s">
        <v>195</v>
      </c>
      <c r="F166" s="715">
        <f t="array" ref="F166">IFERROR(VLOOKUP(E150,Dex!$B$3:$N415,11,FALSE),"")</f>
        <v>65</v>
      </c>
      <c r="G166" s="716" t="str">
        <f t="array" ref="G166">IFERROR(VLOOKUP(F166,Dex!$P$22:$Q$276,2,FALSE),"")</f>
        <v/>
      </c>
      <c r="H166" s="717"/>
      <c r="I166" s="2347"/>
      <c r="J166" s="714" t="s">
        <v>195</v>
      </c>
      <c r="K166" s="715">
        <f t="array" ref="K166">IFERROR(VLOOKUP(J150,Dex!$B$3:$N415,11,FALSE),"")</f>
        <v>40</v>
      </c>
      <c r="L166" s="716" t="str">
        <f t="array" ref="L166">IFERROR(VLOOKUP(K166,Dex!$P$22:$Q$276,2,FALSE),"")</f>
        <v/>
      </c>
      <c r="M166" s="717"/>
      <c r="N166" s="2347"/>
      <c r="O166" s="714" t="s">
        <v>195</v>
      </c>
      <c r="P166" s="715">
        <f t="array" ref="P166">IFERROR(VLOOKUP(O150,Dex!$B$3:$N415,11,FALSE),"")</f>
        <v>40</v>
      </c>
      <c r="Q166" s="716" t="str">
        <f t="array" ref="Q166">IFERROR(VLOOKUP(P166,Dex!$P$22:$Q$276,2,FALSE),"")</f>
        <v/>
      </c>
      <c r="R166" s="717"/>
      <c r="S166" s="2347"/>
      <c r="T166" s="714" t="s">
        <v>195</v>
      </c>
      <c r="U166" s="715">
        <f t="array" ref="U166">IFERROR(VLOOKUP(T150,Dex!$B$3:$N415,11,FALSE),"")</f>
        <v>80</v>
      </c>
      <c r="V166" s="716" t="str">
        <f t="array" ref="V166">IFERROR(VLOOKUP(U166,Dex!$P$22:$Q$276,2,FALSE),"")</f>
        <v/>
      </c>
      <c r="W166" s="717"/>
      <c r="X166" s="2499"/>
      <c r="Y166" s="2349"/>
      <c r="Z166" s="2349"/>
      <c r="AA166" s="2349"/>
      <c r="AB166" s="2350"/>
      <c r="AC166" s="2350"/>
      <c r="AD166" s="2350"/>
      <c r="AE166" s="2350"/>
      <c r="AF166" s="2350"/>
      <c r="AG166" s="2350"/>
      <c r="AH166" s="2351"/>
      <c r="AI166" s="2352"/>
    </row>
    <row r="167" ht="15.75" customHeight="1">
      <c r="A167" s="2267"/>
      <c r="B167" s="2345"/>
      <c r="C167" s="2500"/>
      <c r="D167" s="2346"/>
      <c r="E167" s="714" t="s">
        <v>196</v>
      </c>
      <c r="F167" s="715">
        <f t="array" ref="F167">IFERROR(VLOOKUP(E150,Dex!$B$3:$N415,12,FALSE),"")</f>
        <v>55</v>
      </c>
      <c r="G167" s="716" t="str">
        <f t="array" ref="G167">IFERROR(VLOOKUP(F167,Dex!$P$22:$Q$276,2,FALSE),"")</f>
        <v/>
      </c>
      <c r="H167" s="717"/>
      <c r="I167" s="2347"/>
      <c r="J167" s="714" t="s">
        <v>196</v>
      </c>
      <c r="K167" s="715">
        <f t="array" ref="K167">IFERROR(VLOOKUP(J150,Dex!$B$3:$N415,12,FALSE),"")</f>
        <v>40</v>
      </c>
      <c r="L167" s="716" t="str">
        <f t="array" ref="L167">IFERROR(VLOOKUP(K167,Dex!$P$22:$Q$276,2,FALSE),"")</f>
        <v/>
      </c>
      <c r="M167" s="717"/>
      <c r="N167" s="2347"/>
      <c r="O167" s="714" t="s">
        <v>196</v>
      </c>
      <c r="P167" s="715">
        <f t="array" ref="P167">IFERROR(VLOOKUP(O150,Dex!$B$3:$N415,12,FALSE),"")</f>
        <v>40</v>
      </c>
      <c r="Q167" s="716" t="str">
        <f t="array" ref="Q167">IFERROR(VLOOKUP(P167,Dex!$P$22:$Q$276,2,FALSE),"")</f>
        <v/>
      </c>
      <c r="R167" s="717"/>
      <c r="S167" s="2347"/>
      <c r="T167" s="714" t="s">
        <v>196</v>
      </c>
      <c r="U167" s="715">
        <f t="array" ref="U167">IFERROR(VLOOKUP(T150,Dex!$B$3:$N415,12,FALSE),"")</f>
        <v>80</v>
      </c>
      <c r="V167" s="716" t="str">
        <f t="array" ref="V167">IFERROR(VLOOKUP(U167,Dex!$P$22:$Q$276,2,FALSE),"")</f>
        <v/>
      </c>
      <c r="W167" s="717"/>
      <c r="X167" s="2499"/>
      <c r="Y167" s="2349"/>
      <c r="Z167" s="2349"/>
      <c r="AA167" s="2349"/>
      <c r="AB167" s="2350"/>
      <c r="AC167" s="2350"/>
      <c r="AD167" s="2350"/>
      <c r="AE167" s="2350"/>
      <c r="AF167" s="2350"/>
      <c r="AG167" s="2350"/>
      <c r="AH167" s="2351"/>
      <c r="AI167" s="2352"/>
    </row>
    <row r="168" ht="15.75" customHeight="1">
      <c r="A168" s="2267"/>
      <c r="B168" s="2510"/>
      <c r="C168" s="1204" t="s">
        <v>436</v>
      </c>
      <c r="D168" s="2502"/>
      <c r="E168" s="718" t="s">
        <v>197</v>
      </c>
      <c r="F168" s="719">
        <f t="array" ref="F168">IFERROR(VLOOKUP(E150,Dex!$B$3:$N415,13,FALSE),"")</f>
        <v>50</v>
      </c>
      <c r="G168" s="720" t="str">
        <f t="array" ref="G168">IFERROR(VLOOKUP(F168,Dex!$P$22:$Q$276,2,FALSE),"")</f>
        <v/>
      </c>
      <c r="H168" s="721"/>
      <c r="I168" s="2347"/>
      <c r="J168" s="718" t="s">
        <v>197</v>
      </c>
      <c r="K168" s="719">
        <f t="array" ref="K168">IFERROR(VLOOKUP(J150,Dex!$B$3:$N415,13,FALSE),"")</f>
        <v>80</v>
      </c>
      <c r="L168" s="720" t="str">
        <f t="array" ref="L168">IFERROR(VLOOKUP(K168,Dex!$P$22:$Q$276,2,FALSE),"")</f>
        <v/>
      </c>
      <c r="M168" s="721"/>
      <c r="N168" s="2347"/>
      <c r="O168" s="718" t="s">
        <v>197</v>
      </c>
      <c r="P168" s="719">
        <f t="array" ref="P168">IFERROR(VLOOKUP(O150,Dex!$B$3:$N415,13,FALSE),"")</f>
        <v>60</v>
      </c>
      <c r="Q168" s="720" t="str">
        <f t="array" ref="Q168">IFERROR(VLOOKUP(P168,Dex!$P$22:$Q$276,2,FALSE),"")</f>
        <v/>
      </c>
      <c r="R168" s="721"/>
      <c r="S168" s="2347"/>
      <c r="T168" s="718" t="s">
        <v>197</v>
      </c>
      <c r="U168" s="719">
        <f t="array" ref="U168">IFERROR(VLOOKUP(T150,Dex!$B$3:$N415,13,FALSE),"")</f>
        <v>60</v>
      </c>
      <c r="V168" s="720" t="str">
        <f t="array" ref="V168">IFERROR(VLOOKUP(U168,Dex!$P$22:$Q$276,2,FALSE),"")</f>
        <v/>
      </c>
      <c r="W168" s="721"/>
      <c r="X168" s="2499"/>
      <c r="Y168" s="2349"/>
      <c r="Z168" s="2349"/>
      <c r="AA168" s="2349"/>
      <c r="AB168" s="2350"/>
      <c r="AC168" s="2350"/>
      <c r="AD168" s="2350"/>
      <c r="AE168" s="2350"/>
      <c r="AF168" s="2350"/>
      <c r="AG168" s="2350"/>
      <c r="AH168" s="2351"/>
      <c r="AI168" s="2352"/>
    </row>
    <row r="169" ht="16.5" customHeight="1">
      <c r="A169" s="2267"/>
      <c r="B169" s="2510"/>
      <c r="C169" s="1205" t="s">
        <v>524</v>
      </c>
      <c r="D169" s="2503"/>
      <c r="E169" s="722" t="s">
        <v>198</v>
      </c>
      <c r="F169" s="405"/>
      <c r="G169" s="406"/>
      <c r="H169" s="723">
        <v>36.0</v>
      </c>
      <c r="I169" s="2383"/>
      <c r="J169" s="722" t="s">
        <v>198</v>
      </c>
      <c r="K169" s="405"/>
      <c r="L169" s="406"/>
      <c r="M169" s="723">
        <v>48.0</v>
      </c>
      <c r="N169" s="2383"/>
      <c r="O169" s="722" t="s">
        <v>198</v>
      </c>
      <c r="P169" s="405"/>
      <c r="Q169" s="406"/>
      <c r="R169" s="723">
        <v>42.0</v>
      </c>
      <c r="S169" s="2383"/>
      <c r="T169" s="722" t="s">
        <v>198</v>
      </c>
      <c r="U169" s="405"/>
      <c r="V169" s="406"/>
      <c r="W169" s="723">
        <v>41.0</v>
      </c>
      <c r="X169" s="2511"/>
      <c r="Y169" s="2349"/>
      <c r="Z169" s="2349"/>
      <c r="AA169" s="2349"/>
      <c r="AB169" s="2350"/>
      <c r="AC169" s="2350"/>
      <c r="AD169" s="2350"/>
      <c r="AE169" s="2350"/>
      <c r="AF169" s="2350"/>
      <c r="AG169" s="2350"/>
      <c r="AH169" s="2351"/>
      <c r="AI169" s="2352"/>
    </row>
    <row r="170" ht="15.0" customHeight="1">
      <c r="A170" s="2260"/>
      <c r="B170" s="2385"/>
      <c r="C170" s="2512"/>
      <c r="D170" s="2513"/>
      <c r="E170" s="2388"/>
      <c r="F170" s="2388"/>
      <c r="G170" s="2388"/>
      <c r="H170" s="2388"/>
      <c r="I170" s="2514"/>
      <c r="J170" s="2388"/>
      <c r="K170" s="2388"/>
      <c r="L170" s="2388"/>
      <c r="M170" s="2388"/>
      <c r="N170" s="2513"/>
      <c r="O170" s="2515"/>
      <c r="P170" s="2515"/>
      <c r="Q170" s="2515"/>
      <c r="R170" s="2513"/>
      <c r="S170" s="2513"/>
      <c r="T170" s="2515"/>
      <c r="U170" s="2515"/>
      <c r="V170" s="2515"/>
      <c r="W170" s="2513"/>
      <c r="X170" s="2387"/>
      <c r="Y170" s="2387"/>
      <c r="Z170" s="2387"/>
      <c r="AA170" s="2387"/>
      <c r="AB170" s="2387"/>
      <c r="AC170" s="2387"/>
      <c r="AD170" s="2387"/>
      <c r="AE170" s="2387"/>
      <c r="AF170" s="2387"/>
      <c r="AG170" s="2387"/>
      <c r="AH170" s="2389"/>
      <c r="AI170" s="2266"/>
    </row>
    <row r="171" ht="15.0" customHeight="1">
      <c r="A171" s="2260"/>
      <c r="B171" s="2390"/>
      <c r="C171" s="2391"/>
      <c r="D171" s="2392"/>
      <c r="E171" s="2393"/>
      <c r="F171" s="2393"/>
      <c r="G171" s="2393"/>
      <c r="H171" s="2393"/>
      <c r="I171" s="2392"/>
      <c r="J171" s="2393"/>
      <c r="K171" s="2393"/>
      <c r="L171" s="2393"/>
      <c r="M171" s="2393"/>
      <c r="N171" s="2392"/>
      <c r="O171" s="2393"/>
      <c r="P171" s="2393"/>
      <c r="Q171" s="2393"/>
      <c r="R171" s="2393"/>
      <c r="S171" s="2392"/>
      <c r="T171" s="2393"/>
      <c r="U171" s="2393"/>
      <c r="V171" s="2393"/>
      <c r="W171" s="2393"/>
      <c r="X171" s="2392"/>
      <c r="Y171" s="2392"/>
      <c r="Z171" s="2392"/>
      <c r="AA171" s="2392"/>
      <c r="AB171" s="2392"/>
      <c r="AC171" s="2392"/>
      <c r="AD171" s="2392"/>
      <c r="AE171" s="2392"/>
      <c r="AF171" s="2392"/>
      <c r="AG171" s="2392"/>
      <c r="AH171" s="2394"/>
      <c r="AI171" s="2266"/>
    </row>
    <row r="172" ht="96.75" customHeight="1">
      <c r="A172" s="2260"/>
      <c r="B172" s="2395"/>
      <c r="C172" s="2396" t="str">
        <f>IMAGE("https://i.ibb.co/rpm30sn/Brendan.png")</f>
        <v/>
      </c>
      <c r="D172" s="2397"/>
      <c r="E172" s="2516" t="str">
        <f t="array" ref="E172">IFERROR(VLOOKUP(E173,Dex!$B$3:$G415,3,FALSE),"")</f>
        <v/>
      </c>
      <c r="F172" s="1830"/>
      <c r="G172" s="1830"/>
      <c r="H172" s="1831"/>
      <c r="I172" s="2397"/>
      <c r="J172" s="2516" t="str">
        <f t="array" ref="J172">IFERROR(VLOOKUP(J173,Dex!$B$3:$G415,3,FALSE),"")</f>
        <v/>
      </c>
      <c r="K172" s="1830"/>
      <c r="L172" s="1830"/>
      <c r="M172" s="1831"/>
      <c r="N172" s="2397"/>
      <c r="O172" s="2516" t="str">
        <f t="array" ref="O172">IFERROR(VLOOKUP(O173,Dex!$B$3:$G415,3,FALSE),"")</f>
        <v/>
      </c>
      <c r="P172" s="1830"/>
      <c r="Q172" s="1830"/>
      <c r="R172" s="1831"/>
      <c r="S172" s="2397"/>
      <c r="T172" s="2516" t="str">
        <f t="array" ref="T172">IFERROR(VLOOKUP(T173,Dex!$B$3:$G415,3,FALSE),"")</f>
        <v/>
      </c>
      <c r="U172" s="1830"/>
      <c r="V172" s="1830"/>
      <c r="W172" s="1831"/>
      <c r="X172" s="2404"/>
      <c r="Y172" s="2401"/>
      <c r="Z172" s="2402"/>
      <c r="AA172" s="2402"/>
      <c r="AB172" s="2403"/>
      <c r="AC172" s="2404"/>
      <c r="AD172" s="2401"/>
      <c r="AE172" s="2402"/>
      <c r="AF172" s="2402"/>
      <c r="AG172" s="2403"/>
      <c r="AH172" s="2405"/>
      <c r="AI172" s="2266"/>
    </row>
    <row r="173" ht="18.75" customHeight="1">
      <c r="A173" s="2288"/>
      <c r="B173" s="2406"/>
      <c r="C173" s="2407" t="s">
        <v>728</v>
      </c>
      <c r="D173" s="2408"/>
      <c r="E173" s="2409" t="s">
        <v>729</v>
      </c>
      <c r="F173" s="2410"/>
      <c r="G173" s="2410"/>
      <c r="H173" s="2411"/>
      <c r="I173" s="2408"/>
      <c r="J173" s="2409" t="s">
        <v>730</v>
      </c>
      <c r="K173" s="2410"/>
      <c r="L173" s="2410"/>
      <c r="M173" s="2411"/>
      <c r="N173" s="2408"/>
      <c r="O173" s="2409" t="s">
        <v>731</v>
      </c>
      <c r="P173" s="2410"/>
      <c r="Q173" s="2410"/>
      <c r="R173" s="2411"/>
      <c r="S173" s="2408"/>
      <c r="T173" s="2409" t="s">
        <v>732</v>
      </c>
      <c r="U173" s="2410"/>
      <c r="V173" s="2410"/>
      <c r="W173" s="2411"/>
      <c r="X173" s="2414"/>
      <c r="Y173" s="2413"/>
      <c r="Z173" s="2402"/>
      <c r="AA173" s="2402"/>
      <c r="AB173" s="2403"/>
      <c r="AC173" s="2414"/>
      <c r="AD173" s="2413"/>
      <c r="AE173" s="2402"/>
      <c r="AF173" s="2402"/>
      <c r="AG173" s="2403"/>
      <c r="AH173" s="2415"/>
      <c r="AI173" s="2299"/>
    </row>
    <row r="174">
      <c r="A174" s="2416"/>
      <c r="B174" s="2417"/>
      <c r="C174" s="326"/>
      <c r="D174" s="2418"/>
      <c r="E174" s="2517" t="s">
        <v>420</v>
      </c>
      <c r="F174" s="2420"/>
      <c r="G174" s="2420"/>
      <c r="H174" s="2421"/>
      <c r="I174" s="2422"/>
      <c r="J174" s="2517" t="s">
        <v>420</v>
      </c>
      <c r="K174" s="2420"/>
      <c r="L174" s="2420"/>
      <c r="M174" s="2421"/>
      <c r="N174" s="2422"/>
      <c r="O174" s="2517" t="s">
        <v>420</v>
      </c>
      <c r="P174" s="2420"/>
      <c r="Q174" s="2420"/>
      <c r="R174" s="2421"/>
      <c r="S174" s="2422"/>
      <c r="T174" s="2517" t="s">
        <v>420</v>
      </c>
      <c r="U174" s="2420"/>
      <c r="V174" s="2420"/>
      <c r="W174" s="2421"/>
      <c r="X174" s="2414"/>
      <c r="Y174" s="2401"/>
      <c r="Z174" s="2402"/>
      <c r="AA174" s="2402"/>
      <c r="AB174" s="2403"/>
      <c r="AC174" s="2414"/>
      <c r="AD174" s="2401"/>
      <c r="AE174" s="2402"/>
      <c r="AF174" s="2402"/>
      <c r="AG174" s="2403"/>
      <c r="AH174" s="2423"/>
      <c r="AI174" s="2424"/>
    </row>
    <row r="175" ht="25.5" customHeight="1">
      <c r="A175" s="2260"/>
      <c r="B175" s="2425"/>
      <c r="C175" s="2426"/>
      <c r="D175" s="2401"/>
      <c r="E175" s="2427"/>
      <c r="F175" s="2428" t="str">
        <f t="array" ref="F175">IFERROR(VLOOKUP(E173,Dex!$B$3:$H415,5,FALSE),"")</f>
        <v/>
      </c>
      <c r="G175" s="2429"/>
      <c r="H175" s="2430"/>
      <c r="I175" s="2413"/>
      <c r="J175" s="2427"/>
      <c r="K175" s="2428" t="str">
        <f t="array" ref="K175">IFERROR(VLOOKUP(J173,Dex!$B$3:$H415,5,FALSE),"")</f>
        <v/>
      </c>
      <c r="L175" s="2518" t="str">
        <f t="array" ref="L175">IFERROR(VLOOKUP(J173,Dex!$B$3:$H415,7,FALSE),"")</f>
        <v/>
      </c>
      <c r="M175" s="2430"/>
      <c r="N175" s="2413"/>
      <c r="O175" s="2427"/>
      <c r="P175" s="2519" t="str">
        <f t="array" ref="P175">IFERROR(VLOOKUP(O173,Dex!$B$3:$H415,5,FALSE),"")</f>
        <v/>
      </c>
      <c r="Q175" s="2518" t="str">
        <f t="array" ref="Q175">IFERROR(VLOOKUP(O173,Dex!$B$3:$H415,7,FALSE),"")</f>
        <v/>
      </c>
      <c r="R175" s="2430"/>
      <c r="S175" s="2413"/>
      <c r="T175" s="2427"/>
      <c r="U175" s="2428" t="str">
        <f t="array" ref="U175">IFERROR(VLOOKUP(T173,Dex!$B$3:$H415,5,FALSE),"")</f>
        <v/>
      </c>
      <c r="V175" s="2429"/>
      <c r="W175" s="2430"/>
      <c r="X175" s="2414"/>
      <c r="Y175" s="2401"/>
      <c r="Z175" s="2402"/>
      <c r="AA175" s="2402"/>
      <c r="AB175" s="2403"/>
      <c r="AC175" s="2414"/>
      <c r="AD175" s="2401"/>
      <c r="AE175" s="2402"/>
      <c r="AF175" s="2402"/>
      <c r="AG175" s="2403"/>
      <c r="AH175" s="2405"/>
      <c r="AI175" s="2266"/>
    </row>
    <row r="176" ht="2.25" customHeight="1">
      <c r="A176" s="2260"/>
      <c r="B176" s="2425"/>
      <c r="C176" s="2414"/>
      <c r="D176" s="2401"/>
      <c r="E176" s="2431"/>
      <c r="F176" s="2432"/>
      <c r="G176" s="2432"/>
      <c r="H176" s="2433"/>
      <c r="I176" s="2413"/>
      <c r="J176" s="2431"/>
      <c r="K176" s="2432"/>
      <c r="L176" s="2432"/>
      <c r="M176" s="2433"/>
      <c r="N176" s="2413"/>
      <c r="O176" s="2431"/>
      <c r="P176" s="2432"/>
      <c r="Q176" s="2432"/>
      <c r="R176" s="2433"/>
      <c r="S176" s="2413"/>
      <c r="T176" s="2431"/>
      <c r="U176" s="2432"/>
      <c r="V176" s="2432"/>
      <c r="W176" s="2433"/>
      <c r="X176" s="2414"/>
      <c r="Y176" s="2434"/>
      <c r="Z176" s="2434"/>
      <c r="AA176" s="2434"/>
      <c r="AB176" s="2434"/>
      <c r="AC176" s="2414"/>
      <c r="AD176" s="2434"/>
      <c r="AE176" s="2434"/>
      <c r="AF176" s="2434"/>
      <c r="AG176" s="2434"/>
      <c r="AH176" s="2405"/>
      <c r="AI176" s="2266"/>
    </row>
    <row r="177" ht="20.25" customHeight="1">
      <c r="A177" s="2260"/>
      <c r="B177" s="2425"/>
      <c r="C177" s="2435"/>
      <c r="D177" s="2401"/>
      <c r="E177" s="2436" t="s">
        <v>264</v>
      </c>
      <c r="F177" s="2437"/>
      <c r="G177" s="2437"/>
      <c r="H177" s="2438"/>
      <c r="I177" s="2413"/>
      <c r="J177" s="2436" t="s">
        <v>263</v>
      </c>
      <c r="K177" s="2437"/>
      <c r="L177" s="2437"/>
      <c r="M177" s="2438"/>
      <c r="N177" s="2413"/>
      <c r="O177" s="2436" t="s">
        <v>169</v>
      </c>
      <c r="P177" s="2437"/>
      <c r="Q177" s="2437"/>
      <c r="R177" s="2438"/>
      <c r="S177" s="2413"/>
      <c r="T177" s="2436" t="s">
        <v>169</v>
      </c>
      <c r="U177" s="2437"/>
      <c r="V177" s="2437"/>
      <c r="W177" s="2438"/>
      <c r="X177" s="2414"/>
      <c r="Y177" s="2401"/>
      <c r="Z177" s="2402"/>
      <c r="AA177" s="2402"/>
      <c r="AB177" s="2403"/>
      <c r="AC177" s="2414"/>
      <c r="AD177" s="2401"/>
      <c r="AE177" s="2402"/>
      <c r="AF177" s="2402"/>
      <c r="AG177" s="2403"/>
      <c r="AH177" s="2405"/>
      <c r="AI177" s="2266"/>
    </row>
    <row r="178" ht="20.25" customHeight="1">
      <c r="A178" s="2260"/>
      <c r="B178" s="2425"/>
      <c r="C178" s="2439"/>
      <c r="D178" s="2401"/>
      <c r="E178" s="2440" t="s">
        <v>733</v>
      </c>
      <c r="F178" s="2402"/>
      <c r="G178" s="2402"/>
      <c r="H178" s="2441"/>
      <c r="I178" s="2413"/>
      <c r="J178" s="2440" t="s">
        <v>233</v>
      </c>
      <c r="K178" s="2402"/>
      <c r="L178" s="2402"/>
      <c r="M178" s="2441"/>
      <c r="N178" s="2413"/>
      <c r="O178" s="2440" t="s">
        <v>734</v>
      </c>
      <c r="P178" s="2402"/>
      <c r="Q178" s="2402"/>
      <c r="R178" s="2441"/>
      <c r="S178" s="2413"/>
      <c r="T178" s="2440" t="s">
        <v>696</v>
      </c>
      <c r="U178" s="2402"/>
      <c r="V178" s="2402"/>
      <c r="W178" s="2441"/>
      <c r="X178" s="2414"/>
      <c r="Y178" s="2401"/>
      <c r="Z178" s="2402"/>
      <c r="AA178" s="2402"/>
      <c r="AB178" s="2403"/>
      <c r="AC178" s="2414"/>
      <c r="AD178" s="2401"/>
      <c r="AE178" s="2402"/>
      <c r="AF178" s="2402"/>
      <c r="AG178" s="2403"/>
      <c r="AH178" s="2405"/>
      <c r="AI178" s="2266"/>
    </row>
    <row r="179" ht="20.25" customHeight="1">
      <c r="A179" s="2260"/>
      <c r="B179" s="2425"/>
      <c r="C179" s="2414"/>
      <c r="D179" s="2401"/>
      <c r="E179" s="2442" t="s">
        <v>554</v>
      </c>
      <c r="F179" s="2443"/>
      <c r="G179" s="2444"/>
      <c r="H179" s="2445" t="str">
        <f>IMAGE("https://raw.githubusercontent.com/msikma/pokesprite/master/items/berry/chople.png",3)</f>
        <v/>
      </c>
      <c r="I179" s="2413"/>
      <c r="J179" s="2442" t="s">
        <v>579</v>
      </c>
      <c r="K179" s="2443"/>
      <c r="L179" s="2444"/>
      <c r="M179" s="2445" t="str">
        <f>IMAGE("https://raw.githubusercontent.com/msikma/pokesprite/master/items/berry/colbur.png",3)</f>
        <v/>
      </c>
      <c r="N179" s="2413"/>
      <c r="O179" s="2442" t="s">
        <v>240</v>
      </c>
      <c r="P179" s="2443"/>
      <c r="Q179" s="2444"/>
      <c r="R179" s="2520" t="str">
        <f>IMAGE("https://raw.githubusercontent.com/msikma/pokesprite/master/items/hold-item/focus-sash.png",3)</f>
        <v/>
      </c>
      <c r="S179" s="2413"/>
      <c r="T179" s="2442" t="s">
        <v>213</v>
      </c>
      <c r="U179" s="2443"/>
      <c r="V179" s="2444"/>
      <c r="W179" s="2520" t="str">
        <f>IMAGE("https://raw.githubusercontent.com/msikma/pokesprite/master/items/berry/sitrus.png",3)</f>
        <v/>
      </c>
      <c r="X179" s="2414"/>
      <c r="Y179" s="2401"/>
      <c r="Z179" s="2402"/>
      <c r="AA179" s="2402"/>
      <c r="AB179" s="2403"/>
      <c r="AC179" s="2414"/>
      <c r="AD179" s="2401"/>
      <c r="AE179" s="2402"/>
      <c r="AF179" s="2402"/>
      <c r="AG179" s="2403"/>
      <c r="AH179" s="2405"/>
      <c r="AI179" s="2266"/>
    </row>
    <row r="180" ht="20.25" customHeight="1">
      <c r="A180" s="2260"/>
      <c r="B180" s="2425"/>
      <c r="C180" s="2435"/>
      <c r="D180" s="2401"/>
      <c r="E180" s="2436" t="s">
        <v>311</v>
      </c>
      <c r="F180" s="2437"/>
      <c r="G180" s="2437"/>
      <c r="H180" s="2446" t="str">
        <f>IMAGE("https://raw.githubusercontent.com/msikma/pokesprite/master/misc/types/gen8/normal.png",4,20,20)</f>
        <v/>
      </c>
      <c r="I180" s="2413"/>
      <c r="J180" s="2436" t="s">
        <v>217</v>
      </c>
      <c r="K180" s="2437"/>
      <c r="L180" s="2437"/>
      <c r="M180" s="2446" t="str">
        <f>IMAGE("https://raw.githubusercontent.com/msikma/pokesprite/master/misc/types/gen8/psychic.png",4,20,20)</f>
        <v/>
      </c>
      <c r="N180" s="2413"/>
      <c r="O180" s="2436" t="s">
        <v>735</v>
      </c>
      <c r="P180" s="2437"/>
      <c r="Q180" s="2437"/>
      <c r="R180" s="2446" t="str">
        <f t="shared" ref="R180:R181" si="14">IMAGE("https://raw.githubusercontent.com/msikma/pokesprite/master/misc/types/gen8/water.png",4,20,20)</f>
        <v/>
      </c>
      <c r="S180" s="2413"/>
      <c r="T180" s="2436" t="s">
        <v>736</v>
      </c>
      <c r="U180" s="2437"/>
      <c r="V180" s="2437"/>
      <c r="W180" s="2446" t="str">
        <f>IMAGE("https://raw.githubusercontent.com/msikma/pokesprite/master/misc/types/gen8/fighting.png",4,20,20)</f>
        <v/>
      </c>
      <c r="X180" s="2414"/>
      <c r="Y180" s="2401"/>
      <c r="Z180" s="2402"/>
      <c r="AA180" s="2402"/>
      <c r="AB180" s="2403"/>
      <c r="AC180" s="2414"/>
      <c r="AD180" s="2401"/>
      <c r="AE180" s="2402"/>
      <c r="AF180" s="2402"/>
      <c r="AG180" s="2403"/>
      <c r="AH180" s="2405"/>
      <c r="AI180" s="2266"/>
    </row>
    <row r="181" ht="20.25" customHeight="1">
      <c r="A181" s="2260"/>
      <c r="B181" s="2425"/>
      <c r="C181" s="2447"/>
      <c r="D181" s="2401"/>
      <c r="E181" s="2440" t="s">
        <v>692</v>
      </c>
      <c r="F181" s="2402"/>
      <c r="G181" s="2402"/>
      <c r="H181" s="2448" t="str">
        <f>IMAGE("https://raw.githubusercontent.com/msikma/pokesprite/master/misc/types/gen8/fighting.png",4,20,20)</f>
        <v/>
      </c>
      <c r="I181" s="2413"/>
      <c r="J181" s="2440" t="s">
        <v>737</v>
      </c>
      <c r="K181" s="2402"/>
      <c r="L181" s="2402"/>
      <c r="M181" s="2448" t="str">
        <f>IMAGE("https://raw.githubusercontent.com/msikma/pokesprite/master/misc/types/gen8/rock.png",4,20,20)</f>
        <v/>
      </c>
      <c r="N181" s="2413"/>
      <c r="O181" s="2440" t="s">
        <v>459</v>
      </c>
      <c r="P181" s="2402"/>
      <c r="Q181" s="2402"/>
      <c r="R181" s="2448" t="str">
        <f t="shared" si="14"/>
        <v/>
      </c>
      <c r="S181" s="2413"/>
      <c r="T181" s="2440" t="s">
        <v>504</v>
      </c>
      <c r="U181" s="2402"/>
      <c r="V181" s="2402"/>
      <c r="W181" s="2448" t="str">
        <f>IMAGE("https://raw.githubusercontent.com/msikma/pokesprite/master/misc/types/gen8/flying.png",4,20,20)</f>
        <v/>
      </c>
      <c r="X181" s="2414"/>
      <c r="Y181" s="2401"/>
      <c r="Z181" s="2402"/>
      <c r="AA181" s="2402"/>
      <c r="AB181" s="2403"/>
      <c r="AC181" s="2414"/>
      <c r="AD181" s="2401"/>
      <c r="AE181" s="2402"/>
      <c r="AF181" s="2402"/>
      <c r="AG181" s="2403"/>
      <c r="AH181" s="2405"/>
      <c r="AI181" s="2266"/>
    </row>
    <row r="182" ht="20.25" customHeight="1">
      <c r="A182" s="2260"/>
      <c r="B182" s="2425"/>
      <c r="C182" s="2447"/>
      <c r="D182" s="2401"/>
      <c r="E182" s="2440" t="s">
        <v>317</v>
      </c>
      <c r="F182" s="2402"/>
      <c r="G182" s="2402"/>
      <c r="H182" s="2448" t="str">
        <f>IMAGE("https://raw.githubusercontent.com/msikma/pokesprite/master/misc/types/gen8/ice.png",4,20,20)</f>
        <v/>
      </c>
      <c r="I182" s="2413"/>
      <c r="J182" s="2440" t="s">
        <v>738</v>
      </c>
      <c r="K182" s="2402"/>
      <c r="L182" s="2402"/>
      <c r="M182" s="2448" t="str">
        <f t="shared" ref="M182:M183" si="15">IMAGE("https://raw.githubusercontent.com/msikma/pokesprite/master/misc/types/gen8/psychic.png",4,20,20)</f>
        <v/>
      </c>
      <c r="N182" s="2413"/>
      <c r="O182" s="2440" t="s">
        <v>279</v>
      </c>
      <c r="P182" s="2402"/>
      <c r="Q182" s="2402"/>
      <c r="R182" s="2448" t="str">
        <f>IMAGE("https://raw.githubusercontent.com/msikma/pokesprite/master/misc/types/gen8/dark.png",4,20,20)</f>
        <v/>
      </c>
      <c r="S182" s="2413"/>
      <c r="T182" s="2440" t="s">
        <v>181</v>
      </c>
      <c r="U182" s="2402"/>
      <c r="V182" s="2402"/>
      <c r="W182" s="2448" t="str">
        <f>IMAGE("https://raw.githubusercontent.com/msikma/pokesprite/master/misc/types/gen8/rock.png",4,20,20)</f>
        <v/>
      </c>
      <c r="X182" s="2414"/>
      <c r="Y182" s="2401"/>
      <c r="Z182" s="2402"/>
      <c r="AA182" s="2402"/>
      <c r="AB182" s="2403"/>
      <c r="AC182" s="2414"/>
      <c r="AD182" s="2401"/>
      <c r="AE182" s="2402"/>
      <c r="AF182" s="2402"/>
      <c r="AG182" s="2403"/>
      <c r="AH182" s="2405"/>
      <c r="AI182" s="2266"/>
    </row>
    <row r="183" ht="21.0" customHeight="1">
      <c r="A183" s="2260"/>
      <c r="B183" s="2425"/>
      <c r="C183" s="2447"/>
      <c r="D183" s="2401"/>
      <c r="E183" s="2449" t="s">
        <v>318</v>
      </c>
      <c r="F183" s="2450"/>
      <c r="G183" s="2450"/>
      <c r="H183" s="2451" t="str">
        <f>IMAGE("https://raw.githubusercontent.com/msikma/pokesprite/master/misc/types/gen8/ghost.png",4,20,20)</f>
        <v/>
      </c>
      <c r="I183" s="2413"/>
      <c r="J183" s="2449" t="s">
        <v>509</v>
      </c>
      <c r="K183" s="2450"/>
      <c r="L183" s="2450"/>
      <c r="M183" s="2451" t="str">
        <f t="shared" si="15"/>
        <v/>
      </c>
      <c r="N183" s="2521"/>
      <c r="O183" s="2449" t="s">
        <v>538</v>
      </c>
      <c r="P183" s="2450"/>
      <c r="Q183" s="2450"/>
      <c r="R183" s="2451" t="str">
        <f>IMAGE("https://raw.githubusercontent.com/msikma/pokesprite/master/misc/types/gen8/bug.png",4,20,20)</f>
        <v/>
      </c>
      <c r="S183" s="2413"/>
      <c r="T183" s="2449" t="s">
        <v>312</v>
      </c>
      <c r="U183" s="2450"/>
      <c r="V183" s="2450"/>
      <c r="W183" s="2451" t="str">
        <f>IMAGE("https://raw.githubusercontent.com/msikma/pokesprite/master/misc/types/gen8/grass.png",4,20,20)</f>
        <v/>
      </c>
      <c r="X183" s="2435"/>
      <c r="Y183" s="2401"/>
      <c r="Z183" s="2402"/>
      <c r="AA183" s="2402"/>
      <c r="AB183" s="2403"/>
      <c r="AC183" s="2435"/>
      <c r="AD183" s="2401"/>
      <c r="AE183" s="2402"/>
      <c r="AF183" s="2402"/>
      <c r="AG183" s="2403"/>
      <c r="AH183" s="2405"/>
      <c r="AI183" s="2266"/>
    </row>
    <row r="184" ht="3.0" customHeight="1">
      <c r="A184" s="2336"/>
      <c r="B184" s="2454"/>
      <c r="C184" s="2455"/>
      <c r="D184" s="2456"/>
      <c r="E184" s="2522"/>
      <c r="F184" s="2522"/>
      <c r="G184" s="2522"/>
      <c r="H184" s="2522"/>
      <c r="I184" s="2456"/>
      <c r="J184" s="2457"/>
      <c r="K184" s="2457"/>
      <c r="L184" s="2457"/>
      <c r="M184" s="2457"/>
      <c r="N184" s="2456"/>
      <c r="O184" s="2522"/>
      <c r="P184" s="2522"/>
      <c r="Q184" s="2522"/>
      <c r="R184" s="2522"/>
      <c r="S184" s="2456"/>
      <c r="T184" s="2522"/>
      <c r="U184" s="2522"/>
      <c r="V184" s="2522"/>
      <c r="W184" s="2522"/>
      <c r="X184" s="2456"/>
      <c r="Y184" s="2456"/>
      <c r="Z184" s="2458"/>
      <c r="AA184" s="2458"/>
      <c r="AB184" s="2459"/>
      <c r="AC184" s="2459"/>
      <c r="AD184" s="2459"/>
      <c r="AE184" s="2459"/>
      <c r="AF184" s="2459"/>
      <c r="AG184" s="2459"/>
      <c r="AH184" s="2460"/>
      <c r="AI184" s="2344"/>
    </row>
    <row r="185" ht="16.5" customHeight="1">
      <c r="A185" s="2267"/>
      <c r="B185" s="2461"/>
      <c r="C185" s="2455"/>
      <c r="D185" s="2462"/>
      <c r="E185" s="2463" t="s">
        <v>190</v>
      </c>
      <c r="F185" s="381"/>
      <c r="G185" s="382"/>
      <c r="H185" s="2464" t="s">
        <v>191</v>
      </c>
      <c r="I185" s="2523"/>
      <c r="J185" s="2463" t="s">
        <v>190</v>
      </c>
      <c r="K185" s="381"/>
      <c r="L185" s="382"/>
      <c r="M185" s="2464" t="s">
        <v>191</v>
      </c>
      <c r="N185" s="2524"/>
      <c r="O185" s="2463" t="s">
        <v>190</v>
      </c>
      <c r="P185" s="381"/>
      <c r="Q185" s="382"/>
      <c r="R185" s="2464" t="s">
        <v>191</v>
      </c>
      <c r="S185" s="2524"/>
      <c r="T185" s="2463" t="s">
        <v>190</v>
      </c>
      <c r="U185" s="381"/>
      <c r="V185" s="382"/>
      <c r="W185" s="2464" t="s">
        <v>191</v>
      </c>
      <c r="X185" s="2525"/>
      <c r="Y185" s="2467"/>
      <c r="Z185" s="2467"/>
      <c r="AA185" s="2467"/>
      <c r="AB185" s="2468"/>
      <c r="AC185" s="2468"/>
      <c r="AD185" s="2468"/>
      <c r="AE185" s="2468"/>
      <c r="AF185" s="2468"/>
      <c r="AG185" s="2468"/>
      <c r="AH185" s="2469"/>
      <c r="AI185" s="2352"/>
    </row>
    <row r="186" ht="15.75" customHeight="1">
      <c r="A186" s="2267"/>
      <c r="B186" s="2461"/>
      <c r="C186" s="2455"/>
      <c r="D186" s="2462"/>
      <c r="E186" s="2470" t="s">
        <v>192</v>
      </c>
      <c r="F186" s="2471">
        <f t="array" ref="F186">IFERROR(VLOOKUP(E173,Dex!$B$3:$N415,8,FALSE),"")</f>
        <v>84</v>
      </c>
      <c r="G186" s="2472" t="str">
        <f t="array" ref="G186">IFERROR(VLOOKUP(F186,Dex!$P$22:$Q$276,2,FALSE),"")</f>
        <v/>
      </c>
      <c r="H186" s="2473">
        <v>6.0</v>
      </c>
      <c r="I186" s="2526"/>
      <c r="J186" s="2470" t="s">
        <v>192</v>
      </c>
      <c r="K186" s="2471">
        <f t="array" ref="K186">IFERROR(VLOOKUP(J173,Dex!$B$3:$N415,8,FALSE),"")</f>
        <v>90</v>
      </c>
      <c r="L186" s="2472" t="str">
        <f t="array" ref="L186">IFERROR(VLOOKUP(K186,Dex!$P$22:$Q$276,2,FALSE),"")</f>
        <v/>
      </c>
      <c r="M186" s="2473">
        <v>24.0</v>
      </c>
      <c r="N186" s="2527"/>
      <c r="O186" s="2470" t="s">
        <v>192</v>
      </c>
      <c r="P186" s="2471">
        <f t="array" ref="P186">IFERROR(VLOOKUP(O173,Dex!$B$3:$N415,8,FALSE),"")</f>
        <v>63</v>
      </c>
      <c r="Q186" s="2472" t="str">
        <f t="array" ref="Q186">IFERROR(VLOOKUP(P186,Dex!$P$22:$Q$276,2,FALSE),"")</f>
        <v/>
      </c>
      <c r="R186" s="2473"/>
      <c r="S186" s="2527"/>
      <c r="T186" s="2470" t="s">
        <v>192</v>
      </c>
      <c r="U186" s="2471">
        <f t="array" ref="U186">IFERROR(VLOOKUP(T173,Dex!$B$3:$N415,8,FALSE),"")</f>
        <v>50</v>
      </c>
      <c r="V186" s="2472" t="str">
        <f t="array" ref="V186">IFERROR(VLOOKUP(U186,Dex!$P$22:$Q$276,2,FALSE),"")</f>
        <v/>
      </c>
      <c r="W186" s="2473">
        <v>4.0</v>
      </c>
      <c r="X186" s="2528"/>
      <c r="Y186" s="2467"/>
      <c r="Z186" s="2467"/>
      <c r="AA186" s="2467"/>
      <c r="AB186" s="2468"/>
      <c r="AC186" s="2468"/>
      <c r="AD186" s="2468"/>
      <c r="AE186" s="2468"/>
      <c r="AF186" s="2468"/>
      <c r="AG186" s="2468"/>
      <c r="AH186" s="2469"/>
      <c r="AI186" s="2352"/>
    </row>
    <row r="187" ht="15.75" customHeight="1">
      <c r="A187" s="2267"/>
      <c r="B187" s="2461"/>
      <c r="C187" s="2455"/>
      <c r="D187" s="2462"/>
      <c r="E187" s="2474" t="s">
        <v>193</v>
      </c>
      <c r="F187" s="2475">
        <f t="array" ref="F187">IFERROR(VLOOKUP(E173,Dex!$B$3:$N415,9,FALSE),"")</f>
        <v>71</v>
      </c>
      <c r="G187" s="2476" t="str">
        <f t="array" ref="G187">IFERROR(VLOOKUP(F187,Dex!$P$22:$Q$276,2,FALSE),"")</f>
        <v/>
      </c>
      <c r="H187" s="2477">
        <v>128.0</v>
      </c>
      <c r="I187" s="2526"/>
      <c r="J187" s="2474" t="s">
        <v>193</v>
      </c>
      <c r="K187" s="2475">
        <f t="array" ref="K187">IFERROR(VLOOKUP(J173,Dex!$B$3:$N415,9,FALSE),"")</f>
        <v>55</v>
      </c>
      <c r="L187" s="2476" t="str">
        <f t="array" ref="L187">IFERROR(VLOOKUP(K187,Dex!$P$22:$Q$276,2,FALSE),"")</f>
        <v/>
      </c>
      <c r="M187" s="2477">
        <v>16.0</v>
      </c>
      <c r="N187" s="2527"/>
      <c r="O187" s="2474" t="s">
        <v>193</v>
      </c>
      <c r="P187" s="2475">
        <f t="array" ref="P187">IFERROR(VLOOKUP(O173,Dex!$B$3:$N415,9,FALSE),"")</f>
        <v>120</v>
      </c>
      <c r="Q187" s="2476" t="str">
        <f t="array" ref="Q187">IFERROR(VLOOKUP(P187,Dex!$P$22:$Q$276,2,FALSE),"")</f>
        <v/>
      </c>
      <c r="R187" s="2477">
        <v>8.0</v>
      </c>
      <c r="S187" s="2527"/>
      <c r="T187" s="2474" t="s">
        <v>193</v>
      </c>
      <c r="U187" s="2475">
        <f t="array" ref="U187">IFERROR(VLOOKUP(T173,Dex!$B$3:$N415,9,FALSE),"")</f>
        <v>65</v>
      </c>
      <c r="V187" s="2476" t="str">
        <f t="array" ref="V187">IFERROR(VLOOKUP(U187,Dex!$P$22:$Q$276,2,FALSE),"")</f>
        <v/>
      </c>
      <c r="W187" s="2477">
        <v>100.0</v>
      </c>
      <c r="X187" s="2528"/>
      <c r="Y187" s="2467"/>
      <c r="Z187" s="2467"/>
      <c r="AA187" s="2467"/>
      <c r="AB187" s="2468"/>
      <c r="AC187" s="2468"/>
      <c r="AD187" s="2468"/>
      <c r="AE187" s="2468"/>
      <c r="AF187" s="2468"/>
      <c r="AG187" s="2468"/>
      <c r="AH187" s="2469"/>
      <c r="AI187" s="2352"/>
    </row>
    <row r="188" ht="15.75" customHeight="1">
      <c r="A188" s="2267"/>
      <c r="B188" s="2461"/>
      <c r="C188" s="2455"/>
      <c r="D188" s="2462"/>
      <c r="E188" s="2474" t="s">
        <v>194</v>
      </c>
      <c r="F188" s="2475">
        <f t="array" ref="F188">IFERROR(VLOOKUP(E173,Dex!$B$3:$N415,10,FALSE),"")</f>
        <v>43</v>
      </c>
      <c r="G188" s="2476" t="str">
        <f t="array" ref="G188">IFERROR(VLOOKUP(F188,Dex!$P$22:$Q$276,2,FALSE),"")</f>
        <v/>
      </c>
      <c r="H188" s="2477"/>
      <c r="I188" s="2526"/>
      <c r="J188" s="2474" t="s">
        <v>194</v>
      </c>
      <c r="K188" s="2475">
        <f t="array" ref="K188">IFERROR(VLOOKUP(J173,Dex!$B$3:$N415,10,FALSE),"")</f>
        <v>65</v>
      </c>
      <c r="L188" s="2476" t="str">
        <f t="array" ref="L188">IFERROR(VLOOKUP(K188,Dex!$P$22:$Q$276,2,FALSE),"")</f>
        <v/>
      </c>
      <c r="M188" s="2477"/>
      <c r="N188" s="2527"/>
      <c r="O188" s="2474" t="s">
        <v>194</v>
      </c>
      <c r="P188" s="2475">
        <f t="array" ref="P188">IFERROR(VLOOKUP(O173,Dex!$B$3:$N415,10,FALSE),"")</f>
        <v>85</v>
      </c>
      <c r="Q188" s="2476" t="str">
        <f t="array" ref="Q188">IFERROR(VLOOKUP(P188,Dex!$P$22:$Q$276,2,FALSE),"")</f>
        <v/>
      </c>
      <c r="R188" s="2477"/>
      <c r="S188" s="2527"/>
      <c r="T188" s="2474" t="s">
        <v>194</v>
      </c>
      <c r="U188" s="2475">
        <f t="array" ref="U188">IFERROR(VLOOKUP(T173,Dex!$B$3:$N415,10,FALSE),"")</f>
        <v>45</v>
      </c>
      <c r="V188" s="2476" t="str">
        <f t="array" ref="V188">IFERROR(VLOOKUP(U188,Dex!$P$22:$Q$276,2,FALSE),"")</f>
        <v/>
      </c>
      <c r="W188" s="2477"/>
      <c r="X188" s="2528"/>
      <c r="Y188" s="2467"/>
      <c r="Z188" s="2467"/>
      <c r="AA188" s="2467"/>
      <c r="AB188" s="2468"/>
      <c r="AC188" s="2468"/>
      <c r="AD188" s="2468"/>
      <c r="AE188" s="2468"/>
      <c r="AF188" s="2468"/>
      <c r="AG188" s="2468"/>
      <c r="AH188" s="2469"/>
      <c r="AI188" s="2352"/>
    </row>
    <row r="189" ht="15.75" customHeight="1">
      <c r="A189" s="2267"/>
      <c r="B189" s="2461"/>
      <c r="C189" s="2455"/>
      <c r="D189" s="2462"/>
      <c r="E189" s="2474" t="s">
        <v>195</v>
      </c>
      <c r="F189" s="2475">
        <f t="array" ref="F189">IFERROR(VLOOKUP(E173,Dex!$B$3:$N415,11,FALSE),"")</f>
        <v>71</v>
      </c>
      <c r="G189" s="2476" t="str">
        <f t="array" ref="G189">IFERROR(VLOOKUP(F189,Dex!$P$22:$Q$276,2,FALSE),"")</f>
        <v/>
      </c>
      <c r="H189" s="2477">
        <v>128.0</v>
      </c>
      <c r="I189" s="2526"/>
      <c r="J189" s="2474" t="s">
        <v>195</v>
      </c>
      <c r="K189" s="2475">
        <f t="array" ref="K189">IFERROR(VLOOKUP(J173,Dex!$B$3:$N415,11,FALSE),"")</f>
        <v>105</v>
      </c>
      <c r="L189" s="2476" t="str">
        <f t="array" ref="L189">IFERROR(VLOOKUP(K189,Dex!$P$22:$Q$276,2,FALSE),"")</f>
        <v/>
      </c>
      <c r="M189" s="2477">
        <v>40.0</v>
      </c>
      <c r="N189" s="2527"/>
      <c r="O189" s="2474" t="s">
        <v>195</v>
      </c>
      <c r="P189" s="2475">
        <f t="array" ref="P189">IFERROR(VLOOKUP(O173,Dex!$B$3:$N415,11,FALSE),"")</f>
        <v>90</v>
      </c>
      <c r="Q189" s="2476" t="str">
        <f t="array" ref="Q189">IFERROR(VLOOKUP(P189,Dex!$P$22:$Q$276,2,FALSE),"")</f>
        <v/>
      </c>
      <c r="R189" s="2477">
        <v>8.0</v>
      </c>
      <c r="S189" s="2527"/>
      <c r="T189" s="2474" t="s">
        <v>195</v>
      </c>
      <c r="U189" s="2475">
        <f t="array" ref="U189">IFERROR(VLOOKUP(T173,Dex!$B$3:$N415,11,FALSE),"")</f>
        <v>85</v>
      </c>
      <c r="V189" s="2476" t="str">
        <f t="array" ref="V189">IFERROR(VLOOKUP(U189,Dex!$P$22:$Q$276,2,FALSE),"")</f>
        <v/>
      </c>
      <c r="W189" s="2477">
        <v>16.0</v>
      </c>
      <c r="X189" s="2528"/>
      <c r="Y189" s="2467"/>
      <c r="Z189" s="2467"/>
      <c r="AA189" s="2467"/>
      <c r="AB189" s="2468"/>
      <c r="AC189" s="2468"/>
      <c r="AD189" s="2468"/>
      <c r="AE189" s="2468"/>
      <c r="AF189" s="2468"/>
      <c r="AG189" s="2468"/>
      <c r="AH189" s="2469"/>
      <c r="AI189" s="2352"/>
    </row>
    <row r="190" ht="15.75" customHeight="1">
      <c r="A190" s="2267"/>
      <c r="B190" s="2461"/>
      <c r="C190" s="2455"/>
      <c r="D190" s="2462"/>
      <c r="E190" s="2474" t="s">
        <v>196</v>
      </c>
      <c r="F190" s="2475">
        <f t="array" ref="F190">IFERROR(VLOOKUP(E173,Dex!$B$3:$N415,12,FALSE),"")</f>
        <v>43</v>
      </c>
      <c r="G190" s="2476" t="str">
        <f t="array" ref="G190">IFERROR(VLOOKUP(F190,Dex!$P$22:$Q$276,2,FALSE),"")</f>
        <v/>
      </c>
      <c r="H190" s="2477"/>
      <c r="I190" s="2526"/>
      <c r="J190" s="2474" t="s">
        <v>196</v>
      </c>
      <c r="K190" s="2475">
        <f t="array" ref="K190">IFERROR(VLOOKUP(J173,Dex!$B$3:$N415,12,FALSE),"")</f>
        <v>85</v>
      </c>
      <c r="L190" s="2476" t="str">
        <f t="array" ref="L190">IFERROR(VLOOKUP(K190,Dex!$P$22:$Q$276,2,FALSE),"")</f>
        <v/>
      </c>
      <c r="M190" s="2477"/>
      <c r="N190" s="2527"/>
      <c r="O190" s="2474" t="s">
        <v>196</v>
      </c>
      <c r="P190" s="2475">
        <f t="array" ref="P190">IFERROR(VLOOKUP(O173,Dex!$B$3:$N415,12,FALSE),"")</f>
        <v>55</v>
      </c>
      <c r="Q190" s="2476" t="str">
        <f t="array" ref="Q190">IFERROR(VLOOKUP(P190,Dex!$P$22:$Q$276,2,FALSE),"")</f>
        <v/>
      </c>
      <c r="R190" s="2477"/>
      <c r="S190" s="2527"/>
      <c r="T190" s="2474" t="s">
        <v>196</v>
      </c>
      <c r="U190" s="2475">
        <f t="array" ref="U190">IFERROR(VLOOKUP(T173,Dex!$B$3:$N415,12,FALSE),"")</f>
        <v>65</v>
      </c>
      <c r="V190" s="2476" t="str">
        <f t="array" ref="V190">IFERROR(VLOOKUP(U190,Dex!$P$22:$Q$276,2,FALSE),"")</f>
        <v/>
      </c>
      <c r="W190" s="2477"/>
      <c r="X190" s="2528"/>
      <c r="Y190" s="2467"/>
      <c r="Z190" s="2467"/>
      <c r="AA190" s="2467"/>
      <c r="AB190" s="2468"/>
      <c r="AC190" s="2468"/>
      <c r="AD190" s="2468"/>
      <c r="AE190" s="2468"/>
      <c r="AF190" s="2468"/>
      <c r="AG190" s="2468"/>
      <c r="AH190" s="2469"/>
      <c r="AI190" s="2352"/>
    </row>
    <row r="191" ht="15.75" customHeight="1">
      <c r="A191" s="2267"/>
      <c r="B191" s="2461"/>
      <c r="C191" s="1204" t="s">
        <v>436</v>
      </c>
      <c r="D191" s="2462"/>
      <c r="E191" s="2478" t="s">
        <v>197</v>
      </c>
      <c r="F191" s="2479">
        <f t="array" ref="F191">IFERROR(VLOOKUP(E173,Dex!$B$3:$N415,13,FALSE),"")</f>
        <v>48</v>
      </c>
      <c r="G191" s="2480" t="str">
        <f t="array" ref="G191">IFERROR(VLOOKUP(F191,Dex!$P$22:$Q$276,2,FALSE),"")</f>
        <v/>
      </c>
      <c r="H191" s="2481">
        <v>252.0</v>
      </c>
      <c r="I191" s="2526"/>
      <c r="J191" s="2478" t="s">
        <v>197</v>
      </c>
      <c r="K191" s="2479">
        <f t="array" ref="K191">IFERROR(VLOOKUP(J173,Dex!$B$3:$N415,13,FALSE),"")</f>
        <v>90</v>
      </c>
      <c r="L191" s="2480" t="str">
        <f t="array" ref="L191">IFERROR(VLOOKUP(K191,Dex!$P$22:$Q$276,2,FALSE),"")</f>
        <v/>
      </c>
      <c r="M191" s="2481">
        <v>252.0</v>
      </c>
      <c r="N191" s="2527"/>
      <c r="O191" s="2478" t="s">
        <v>197</v>
      </c>
      <c r="P191" s="2479">
        <f t="array" ref="P191">IFERROR(VLOOKUP(O173,Dex!$B$3:$N415,13,FALSE),"")</f>
        <v>55</v>
      </c>
      <c r="Q191" s="2480" t="str">
        <f t="array" ref="Q191">IFERROR(VLOOKUP(P191,Dex!$P$22:$Q$276,2,FALSE),"")</f>
        <v/>
      </c>
      <c r="R191" s="2481">
        <v>252.0</v>
      </c>
      <c r="S191" s="2527"/>
      <c r="T191" s="2478" t="s">
        <v>197</v>
      </c>
      <c r="U191" s="2479">
        <f t="array" ref="U191">IFERROR(VLOOKUP(T173,Dex!$B$3:$N415,13,FALSE),"")</f>
        <v>95</v>
      </c>
      <c r="V191" s="2480" t="str">
        <f t="array" ref="V191">IFERROR(VLOOKUP(U191,Dex!$P$22:$Q$276,2,FALSE),"")</f>
        <v/>
      </c>
      <c r="W191" s="2481">
        <v>252.0</v>
      </c>
      <c r="X191" s="2528"/>
      <c r="Y191" s="2467"/>
      <c r="Z191" s="2467"/>
      <c r="AA191" s="2467"/>
      <c r="AB191" s="2468"/>
      <c r="AC191" s="2468"/>
      <c r="AD191" s="2468"/>
      <c r="AE191" s="2468"/>
      <c r="AF191" s="2468"/>
      <c r="AG191" s="2468"/>
      <c r="AH191" s="2469"/>
      <c r="AI191" s="2352"/>
    </row>
    <row r="192" ht="16.5" customHeight="1">
      <c r="A192" s="2267"/>
      <c r="B192" s="2461"/>
      <c r="C192" s="1205" t="s">
        <v>566</v>
      </c>
      <c r="D192" s="2462"/>
      <c r="E192" s="2482" t="s">
        <v>198</v>
      </c>
      <c r="F192" s="405"/>
      <c r="G192" s="406"/>
      <c r="H192" s="2483">
        <v>71.0</v>
      </c>
      <c r="I192" s="2523"/>
      <c r="J192" s="2482" t="s">
        <v>198</v>
      </c>
      <c r="K192" s="405"/>
      <c r="L192" s="406"/>
      <c r="M192" s="2483">
        <v>92.0</v>
      </c>
      <c r="N192" s="2524"/>
      <c r="O192" s="2482" t="s">
        <v>198</v>
      </c>
      <c r="P192" s="405"/>
      <c r="Q192" s="406"/>
      <c r="R192" s="2483">
        <v>70.0</v>
      </c>
      <c r="S192" s="2524"/>
      <c r="T192" s="2482" t="s">
        <v>198</v>
      </c>
      <c r="U192" s="405"/>
      <c r="V192" s="406"/>
      <c r="W192" s="2483">
        <v>95.0</v>
      </c>
      <c r="X192" s="2525"/>
      <c r="Y192" s="2467"/>
      <c r="Z192" s="2467"/>
      <c r="AA192" s="2467"/>
      <c r="AB192" s="2468"/>
      <c r="AC192" s="2468"/>
      <c r="AD192" s="2468"/>
      <c r="AE192" s="2468"/>
      <c r="AF192" s="2468"/>
      <c r="AG192" s="2468"/>
      <c r="AH192" s="2469"/>
      <c r="AI192" s="2352"/>
    </row>
    <row r="193" ht="15.0" customHeight="1">
      <c r="A193" s="2260"/>
      <c r="B193" s="2484"/>
      <c r="C193" s="2485"/>
      <c r="D193" s="2486"/>
      <c r="E193" s="2487"/>
      <c r="F193" s="2487"/>
      <c r="G193" s="2487"/>
      <c r="H193" s="2487"/>
      <c r="I193" s="2486"/>
      <c r="J193" s="2487"/>
      <c r="K193" s="2487"/>
      <c r="L193" s="2487"/>
      <c r="M193" s="2487"/>
      <c r="N193" s="2486"/>
      <c r="O193" s="2487"/>
      <c r="P193" s="2487"/>
      <c r="Q193" s="2487"/>
      <c r="R193" s="2487"/>
      <c r="S193" s="2486"/>
      <c r="T193" s="2487"/>
      <c r="U193" s="2487"/>
      <c r="V193" s="2487"/>
      <c r="W193" s="2487"/>
      <c r="X193" s="2487"/>
      <c r="Y193" s="2487"/>
      <c r="Z193" s="2487"/>
      <c r="AA193" s="2487"/>
      <c r="AB193" s="2487"/>
      <c r="AC193" s="2486"/>
      <c r="AD193" s="2486"/>
      <c r="AE193" s="2486"/>
      <c r="AF193" s="2486"/>
      <c r="AG193" s="2486"/>
      <c r="AH193" s="2488"/>
      <c r="AI193" s="2266"/>
    </row>
    <row r="194" ht="15.0" customHeight="1">
      <c r="A194" s="2260"/>
      <c r="B194" s="2261"/>
      <c r="C194" s="2262"/>
      <c r="D194" s="2263"/>
      <c r="E194" s="2264"/>
      <c r="F194" s="2264"/>
      <c r="G194" s="2264"/>
      <c r="H194" s="2264"/>
      <c r="I194" s="2264"/>
      <c r="J194" s="2264"/>
      <c r="K194" s="2264"/>
      <c r="L194" s="2264"/>
      <c r="M194" s="2264"/>
      <c r="N194" s="2264"/>
      <c r="O194" s="2264"/>
      <c r="P194" s="2264"/>
      <c r="Q194" s="2264"/>
      <c r="R194" s="2264"/>
      <c r="S194" s="2264"/>
      <c r="T194" s="2264"/>
      <c r="U194" s="2264"/>
      <c r="V194" s="2264"/>
      <c r="W194" s="2264"/>
      <c r="X194" s="2264"/>
      <c r="Y194" s="2264"/>
      <c r="Z194" s="2264"/>
      <c r="AA194" s="2264"/>
      <c r="AB194" s="2264"/>
      <c r="AC194" s="2263"/>
      <c r="AD194" s="2263"/>
      <c r="AE194" s="2263"/>
      <c r="AF194" s="2263"/>
      <c r="AG194" s="2263"/>
      <c r="AH194" s="2265"/>
      <c r="AI194" s="2266"/>
    </row>
    <row r="195">
      <c r="A195" s="2267"/>
      <c r="B195" s="2268"/>
      <c r="C195" s="2269"/>
      <c r="D195" s="2270"/>
      <c r="E195" s="2271" t="s">
        <v>672</v>
      </c>
      <c r="F195" s="1579"/>
      <c r="G195" s="1579"/>
      <c r="H195" s="1579"/>
      <c r="I195" s="1579"/>
      <c r="J195" s="1579"/>
      <c r="K195" s="1579"/>
      <c r="L195" s="1579"/>
      <c r="M195" s="1579"/>
      <c r="N195" s="1579"/>
      <c r="O195" s="1579"/>
      <c r="P195" s="1579"/>
      <c r="Q195" s="1579"/>
      <c r="R195" s="1579"/>
      <c r="S195" s="1579"/>
      <c r="T195" s="1579"/>
      <c r="U195" s="1579"/>
      <c r="V195" s="1579"/>
      <c r="W195" s="1579"/>
      <c r="X195" s="1579"/>
      <c r="Y195" s="1579"/>
      <c r="Z195" s="1579"/>
      <c r="AA195" s="1579"/>
      <c r="AB195" s="1580"/>
      <c r="AC195" s="2499"/>
      <c r="AD195" s="2350"/>
      <c r="AE195" s="2350"/>
      <c r="AF195" s="2275"/>
      <c r="AG195" s="2275"/>
      <c r="AH195" s="2276"/>
      <c r="AI195" s="2266"/>
    </row>
    <row r="196" ht="3.75" customHeight="1">
      <c r="A196" s="2267"/>
      <c r="B196" s="2268"/>
      <c r="C196" s="2277"/>
      <c r="D196" s="2278"/>
      <c r="E196" s="2490"/>
      <c r="F196" s="2490"/>
      <c r="G196" s="2490"/>
      <c r="H196" s="2490"/>
      <c r="I196" s="2280"/>
      <c r="J196" s="2490"/>
      <c r="K196" s="2490"/>
      <c r="L196" s="2490"/>
      <c r="M196" s="2490"/>
      <c r="N196" s="2280"/>
      <c r="O196" s="2490"/>
      <c r="P196" s="2490"/>
      <c r="Q196" s="2490"/>
      <c r="R196" s="2490"/>
      <c r="S196" s="2280"/>
      <c r="T196" s="2490"/>
      <c r="U196" s="2490"/>
      <c r="V196" s="2490"/>
      <c r="W196" s="2490"/>
      <c r="X196" s="2280"/>
      <c r="Y196" s="2490"/>
      <c r="Z196" s="2490"/>
      <c r="AA196" s="2490"/>
      <c r="AB196" s="2490"/>
      <c r="AC196" s="2278"/>
      <c r="AD196" s="2278"/>
      <c r="AE196" s="2278"/>
      <c r="AF196" s="2278"/>
      <c r="AG196" s="2278"/>
      <c r="AH196" s="2276"/>
      <c r="AI196" s="2266"/>
    </row>
    <row r="197" ht="96.75" customHeight="1">
      <c r="A197" s="2260"/>
      <c r="B197" s="2281"/>
      <c r="C197" s="2282" t="str">
        <f>IMAGE("https://i.ibb.co/fXwks6z/Rival.png")</f>
        <v/>
      </c>
      <c r="D197" s="2491"/>
      <c r="E197" s="2529" t="str">
        <f t="array" ref="E197">IFERROR(VLOOKUP(E198,Dex!$B$3:$G415,3,FALSE),"")</f>
        <v/>
      </c>
      <c r="F197" s="1830"/>
      <c r="G197" s="1830"/>
      <c r="H197" s="1831"/>
      <c r="I197" s="2492"/>
      <c r="J197" s="2529" t="str">
        <f t="array" ref="J197">IFERROR(VLOOKUP(J198,Dex!$B$3:$G415,3,FALSE),"")</f>
        <v/>
      </c>
      <c r="K197" s="1830"/>
      <c r="L197" s="1830"/>
      <c r="M197" s="1831"/>
      <c r="N197" s="2492"/>
      <c r="O197" s="2529" t="str">
        <f t="array" ref="O197">IFERROR(VLOOKUP(O198,Dex!$B$3:$G415,3,FALSE),"")</f>
        <v/>
      </c>
      <c r="P197" s="1830"/>
      <c r="Q197" s="1830"/>
      <c r="R197" s="1831"/>
      <c r="S197" s="2492"/>
      <c r="T197" s="2529" t="str">
        <f t="array" ref="T197">IFERROR(VLOOKUP(T198,Dex!$B$3:$G415,3,FALSE),"")</f>
        <v/>
      </c>
      <c r="U197" s="1830"/>
      <c r="V197" s="1830"/>
      <c r="W197" s="1831"/>
      <c r="X197" s="2492"/>
      <c r="Y197" s="2530" t="str">
        <f t="array" ref="Y197">IFERROR(VLOOKUP(Y198,Dex!$B$3:$G415,3,FALSE),"")</f>
        <v/>
      </c>
      <c r="Z197" s="381"/>
      <c r="AA197" s="381"/>
      <c r="AB197" s="2531"/>
      <c r="AC197" s="2493"/>
      <c r="AD197" s="2270"/>
      <c r="AE197" s="2273"/>
      <c r="AF197" s="2273"/>
      <c r="AG197" s="2274"/>
      <c r="AH197" s="2276"/>
      <c r="AI197" s="2266"/>
    </row>
    <row r="198" ht="18.75" customHeight="1">
      <c r="A198" s="2288"/>
      <c r="B198" s="2289"/>
      <c r="C198" s="2290" t="s">
        <v>739</v>
      </c>
      <c r="D198" s="2494"/>
      <c r="E198" s="2292" t="s">
        <v>740</v>
      </c>
      <c r="F198" s="2293"/>
      <c r="G198" s="2293"/>
      <c r="H198" s="2294"/>
      <c r="J198" s="2292" t="s">
        <v>741</v>
      </c>
      <c r="K198" s="2293"/>
      <c r="L198" s="2293"/>
      <c r="M198" s="2294"/>
      <c r="O198" s="2292" t="s">
        <v>742</v>
      </c>
      <c r="P198" s="2293"/>
      <c r="Q198" s="2293"/>
      <c r="R198" s="2294"/>
      <c r="T198" s="2292" t="s">
        <v>743</v>
      </c>
      <c r="U198" s="2293"/>
      <c r="V198" s="2293"/>
      <c r="W198" s="2294"/>
      <c r="Y198" s="2292" t="s">
        <v>744</v>
      </c>
      <c r="Z198" s="2293"/>
      <c r="AA198" s="2293"/>
      <c r="AB198" s="2294"/>
      <c r="AC198" s="2495"/>
      <c r="AD198" s="2297"/>
      <c r="AE198" s="2273"/>
      <c r="AF198" s="2273"/>
      <c r="AG198" s="2274"/>
      <c r="AH198" s="2298"/>
      <c r="AI198" s="2299"/>
    </row>
    <row r="199">
      <c r="A199" s="2260"/>
      <c r="B199" s="2300"/>
      <c r="C199" s="326"/>
      <c r="D199" s="2360"/>
      <c r="E199" s="2496" t="s">
        <v>715</v>
      </c>
      <c r="F199" s="2303"/>
      <c r="G199" s="2303"/>
      <c r="H199" s="2304"/>
      <c r="J199" s="2496" t="s">
        <v>714</v>
      </c>
      <c r="K199" s="2303"/>
      <c r="L199" s="2303"/>
      <c r="M199" s="2304"/>
      <c r="O199" s="2496" t="s">
        <v>714</v>
      </c>
      <c r="P199" s="2303"/>
      <c r="Q199" s="2303"/>
      <c r="R199" s="2304"/>
      <c r="T199" s="2496" t="s">
        <v>714</v>
      </c>
      <c r="U199" s="2303"/>
      <c r="V199" s="2303"/>
      <c r="W199" s="2304"/>
      <c r="Y199" s="2496" t="s">
        <v>420</v>
      </c>
      <c r="Z199" s="2303"/>
      <c r="AA199" s="2303"/>
      <c r="AB199" s="2304"/>
      <c r="AC199" s="2495"/>
      <c r="AD199" s="2270"/>
      <c r="AE199" s="2273"/>
      <c r="AF199" s="2273"/>
      <c r="AG199" s="2274"/>
      <c r="AH199" s="2276"/>
      <c r="AI199" s="2266"/>
    </row>
    <row r="200" ht="25.5" customHeight="1">
      <c r="A200" s="2260"/>
      <c r="B200" s="2268"/>
      <c r="C200" s="2305"/>
      <c r="D200" s="2306"/>
      <c r="E200" s="2307"/>
      <c r="F200" s="2308" t="str">
        <f t="array" ref="F200">IFERROR(VLOOKUP(E198,Dex!$B$3:$H415,5,FALSE),"")</f>
        <v/>
      </c>
      <c r="G200" s="2309" t="str">
        <f t="array" ref="G200">IFERROR(VLOOKUP(E198,Dex!$B$3:$H415,7,FALSE),"")</f>
        <v/>
      </c>
      <c r="H200" s="2310"/>
      <c r="J200" s="2307"/>
      <c r="K200" s="2308" t="str">
        <f t="array" ref="K200">IFERROR(VLOOKUP(J198,Dex!$B$3:$H415,5,FALSE),"")</f>
        <v/>
      </c>
      <c r="L200" s="2309" t="str">
        <f t="array" ref="L200">IFERROR(VLOOKUP(J198,Dex!$B$3:$H415,7,FALSE),"")</f>
        <v/>
      </c>
      <c r="M200" s="2310"/>
      <c r="O200" s="2307"/>
      <c r="P200" s="2308" t="str">
        <f t="array" ref="P200">IFERROR(VLOOKUP(O198,Dex!$B$3:$H415,5,FALSE),"")</f>
        <v/>
      </c>
      <c r="Q200" s="2309" t="str">
        <f t="array" ref="Q200">IFERROR(VLOOKUP(O198,Dex!$B$3:$H415,7,FALSE),"")</f>
        <v/>
      </c>
      <c r="R200" s="2310"/>
      <c r="T200" s="2307"/>
      <c r="U200" s="2311" t="str">
        <f t="array" ref="U200">IFERROR(VLOOKUP(T198,Dex!$B$3:$H415,5,FALSE),"")</f>
        <v/>
      </c>
      <c r="V200" s="2312"/>
      <c r="W200" s="2310"/>
      <c r="Y200" s="2307"/>
      <c r="Z200" s="2311" t="str">
        <f t="array" ref="Z200">IFERROR(VLOOKUP(Y198,Dex!$B$3:$H415,5,FALSE),"")</f>
        <v/>
      </c>
      <c r="AA200" s="2312"/>
      <c r="AB200" s="2310"/>
      <c r="AC200" s="2495"/>
      <c r="AD200" s="2270"/>
      <c r="AE200" s="2273"/>
      <c r="AF200" s="2273"/>
      <c r="AG200" s="2274"/>
      <c r="AH200" s="2276"/>
      <c r="AI200" s="2266"/>
    </row>
    <row r="201" ht="2.25" customHeight="1">
      <c r="A201" s="2260"/>
      <c r="B201" s="2268"/>
      <c r="C201" s="104"/>
      <c r="D201" s="2306"/>
      <c r="E201" s="2313"/>
      <c r="F201" s="2314"/>
      <c r="G201" s="2314"/>
      <c r="H201" s="2315"/>
      <c r="J201" s="2313"/>
      <c r="K201" s="2314"/>
      <c r="L201" s="2314"/>
      <c r="M201" s="2315"/>
      <c r="O201" s="2313"/>
      <c r="P201" s="2314"/>
      <c r="Q201" s="2314"/>
      <c r="R201" s="2315"/>
      <c r="T201" s="2313"/>
      <c r="U201" s="2314"/>
      <c r="V201" s="2314"/>
      <c r="W201" s="2315"/>
      <c r="Y201" s="2313"/>
      <c r="Z201" s="2314"/>
      <c r="AA201" s="2314"/>
      <c r="AB201" s="2315"/>
      <c r="AC201" s="2495"/>
      <c r="AD201" s="2316"/>
      <c r="AE201" s="2316"/>
      <c r="AF201" s="2316"/>
      <c r="AG201" s="2316"/>
      <c r="AH201" s="2276"/>
      <c r="AI201" s="2266"/>
    </row>
    <row r="202" ht="20.25" customHeight="1">
      <c r="A202" s="2260"/>
      <c r="B202" s="2268"/>
      <c r="C202" s="281"/>
      <c r="D202" s="2270"/>
      <c r="E202" s="2317" t="s">
        <v>172</v>
      </c>
      <c r="F202" s="2318"/>
      <c r="G202" s="2318"/>
      <c r="H202" s="2319"/>
      <c r="J202" s="2317" t="s">
        <v>172</v>
      </c>
      <c r="K202" s="2318"/>
      <c r="L202" s="2318"/>
      <c r="M202" s="2319"/>
      <c r="O202" s="2317" t="s">
        <v>172</v>
      </c>
      <c r="P202" s="2318"/>
      <c r="Q202" s="2318"/>
      <c r="R202" s="2319"/>
      <c r="T202" s="2317" t="s">
        <v>172</v>
      </c>
      <c r="U202" s="2318"/>
      <c r="V202" s="2318"/>
      <c r="W202" s="2319"/>
      <c r="Y202" s="2317" t="s">
        <v>263</v>
      </c>
      <c r="Z202" s="2318"/>
      <c r="AA202" s="2318"/>
      <c r="AB202" s="2319"/>
      <c r="AC202" s="2495"/>
      <c r="AD202" s="2270"/>
      <c r="AE202" s="2273"/>
      <c r="AF202" s="2273"/>
      <c r="AG202" s="2274"/>
      <c r="AH202" s="2276"/>
      <c r="AI202" s="2266"/>
    </row>
    <row r="203">
      <c r="A203" s="2260"/>
      <c r="B203" s="2268"/>
      <c r="C203" s="2320"/>
      <c r="D203" s="2270"/>
      <c r="E203" s="2321" t="s">
        <v>716</v>
      </c>
      <c r="F203" s="2273"/>
      <c r="G203" s="2273"/>
      <c r="H203" s="2322"/>
      <c r="J203" s="2321" t="s">
        <v>745</v>
      </c>
      <c r="K203" s="2273"/>
      <c r="L203" s="2273"/>
      <c r="M203" s="2322"/>
      <c r="O203" s="2321" t="s">
        <v>328</v>
      </c>
      <c r="P203" s="2273"/>
      <c r="Q203" s="2273"/>
      <c r="R203" s="2322"/>
      <c r="T203" s="2321" t="s">
        <v>329</v>
      </c>
      <c r="U203" s="2273"/>
      <c r="V203" s="2273"/>
      <c r="W203" s="2322"/>
      <c r="Y203" s="2321" t="s">
        <v>746</v>
      </c>
      <c r="Z203" s="2273"/>
      <c r="AA203" s="2273"/>
      <c r="AB203" s="2322"/>
      <c r="AC203" s="2495"/>
      <c r="AD203" s="2270"/>
      <c r="AE203" s="2273"/>
      <c r="AF203" s="2273"/>
      <c r="AG203" s="2274"/>
      <c r="AH203" s="2276"/>
      <c r="AI203" s="2266"/>
    </row>
    <row r="204" ht="20.25" customHeight="1">
      <c r="A204" s="2260"/>
      <c r="B204" s="2268"/>
      <c r="C204" s="104"/>
      <c r="D204" s="2270"/>
      <c r="E204" s="2323" t="s">
        <v>747</v>
      </c>
      <c r="F204" s="2324"/>
      <c r="G204" s="2325"/>
      <c r="H204" s="2326" t="str">
        <f>IMAGE("https://raw.githubusercontent.com/msikma/pokesprite/master/items/hold-item/sharp-beak.png",3)</f>
        <v/>
      </c>
      <c r="J204" s="2323" t="s">
        <v>554</v>
      </c>
      <c r="K204" s="2324"/>
      <c r="L204" s="2325"/>
      <c r="M204" s="2326" t="str">
        <f>IMAGE("https://raw.githubusercontent.com/msikma/pokesprite/master/items/berry/chople.png",3)</f>
        <v/>
      </c>
      <c r="O204" s="2323" t="s">
        <v>747</v>
      </c>
      <c r="P204" s="2324"/>
      <c r="Q204" s="2325"/>
      <c r="R204" s="2326" t="str">
        <f>IMAGE("https://raw.githubusercontent.com/msikma/pokesprite/master/items/hold-item/sharp-beak.png",3)</f>
        <v/>
      </c>
      <c r="T204" s="2323" t="s">
        <v>272</v>
      </c>
      <c r="U204" s="2324"/>
      <c r="V204" s="2325"/>
      <c r="W204" s="2326" t="str">
        <f>IMAGE("https://raw.githubusercontent.com/msikma/pokesprite/master/items/hold-item/life-orb.png",3)</f>
        <v/>
      </c>
      <c r="Y204" s="2323" t="s">
        <v>748</v>
      </c>
      <c r="Z204" s="2324"/>
      <c r="AA204" s="2325"/>
      <c r="AB204" s="2326" t="str">
        <f>IMAGE("https://raw.githubusercontent.com/msikma/pokesprite/master/items/mega-stone/blastoisinite.png",3)</f>
        <v/>
      </c>
      <c r="AC204" s="2495"/>
      <c r="AD204" s="2270"/>
      <c r="AE204" s="2273"/>
      <c r="AF204" s="2273"/>
      <c r="AG204" s="2274"/>
      <c r="AH204" s="2276"/>
      <c r="AI204" s="2266"/>
    </row>
    <row r="205" ht="20.25" customHeight="1">
      <c r="A205" s="2260"/>
      <c r="B205" s="2268"/>
      <c r="C205" s="281"/>
      <c r="D205" s="2270"/>
      <c r="E205" s="2317" t="s">
        <v>749</v>
      </c>
      <c r="F205" s="2318"/>
      <c r="G205" s="2327"/>
      <c r="H205" s="2328" t="str">
        <f>IMAGE("https://raw.githubusercontent.com/msikma/pokesprite/master/misc/types/gen8/flying.png",4,20,20)</f>
        <v/>
      </c>
      <c r="J205" s="2317" t="s">
        <v>489</v>
      </c>
      <c r="K205" s="2318"/>
      <c r="L205" s="2327"/>
      <c r="M205" s="2328" t="str">
        <f>IMAGE("https://raw.githubusercontent.com/msikma/pokesprite/master/misc/types/gen8/normal.png",4,20,20)</f>
        <v/>
      </c>
      <c r="O205" s="2317" t="s">
        <v>283</v>
      </c>
      <c r="P205" s="2318"/>
      <c r="Q205" s="2327"/>
      <c r="R205" s="2328" t="str">
        <f>IMAGE("https://raw.githubusercontent.com/msikma/pokesprite/master/misc/types/gen8/grass.png",4,20,20)</f>
        <v/>
      </c>
      <c r="T205" s="2317" t="s">
        <v>378</v>
      </c>
      <c r="U205" s="2318"/>
      <c r="V205" s="2327"/>
      <c r="W205" s="2328" t="str">
        <f>IMAGE("https://raw.githubusercontent.com/msikma/pokesprite/master/misc/types/gen8/fire.png",4,20,20)</f>
        <v/>
      </c>
      <c r="Y205" s="2317" t="s">
        <v>428</v>
      </c>
      <c r="Z205" s="2318"/>
      <c r="AA205" s="2327"/>
      <c r="AB205" s="2328" t="str">
        <f>IMAGE("https://raw.githubusercontent.com/msikma/pokesprite/master/misc/types/gen8/normal.png",4,20,20)</f>
        <v/>
      </c>
      <c r="AC205" s="2495"/>
      <c r="AD205" s="2270"/>
      <c r="AE205" s="2273"/>
      <c r="AF205" s="2273"/>
      <c r="AG205" s="2274"/>
      <c r="AH205" s="2276"/>
      <c r="AI205" s="2266"/>
    </row>
    <row r="206" ht="20.25" customHeight="1">
      <c r="A206" s="2260"/>
      <c r="B206" s="2268"/>
      <c r="C206" s="2269"/>
      <c r="D206" s="2270"/>
      <c r="E206" s="2321" t="s">
        <v>635</v>
      </c>
      <c r="F206" s="2273"/>
      <c r="G206" s="2274"/>
      <c r="H206" s="2329" t="str">
        <f>IMAGE("https://raw.githubusercontent.com/msikma/pokesprite/master/misc/types/gen8/normal.png",4,20,20)</f>
        <v/>
      </c>
      <c r="J206" s="2321" t="s">
        <v>279</v>
      </c>
      <c r="K206" s="2273"/>
      <c r="L206" s="2274"/>
      <c r="M206" s="2329" t="str">
        <f t="shared" ref="M206:M207" si="16">IMAGE("https://raw.githubusercontent.com/msikma/pokesprite/master/misc/types/gen8/dark.png",4,20,20)</f>
        <v/>
      </c>
      <c r="O206" s="2321" t="s">
        <v>640</v>
      </c>
      <c r="P206" s="2273"/>
      <c r="Q206" s="2274"/>
      <c r="R206" s="2329" t="str">
        <f>IMAGE("https://raw.githubusercontent.com/msikma/pokesprite/master/misc/types/gen8/flying.png",4,20,20)</f>
        <v/>
      </c>
      <c r="T206" s="2321" t="s">
        <v>610</v>
      </c>
      <c r="U206" s="2273"/>
      <c r="V206" s="2274"/>
      <c r="W206" s="2329" t="str">
        <f>IMAGE("https://raw.githubusercontent.com/msikma/pokesprite/master/misc/types/gen8/rock.png",4,20,20)</f>
        <v/>
      </c>
      <c r="Y206" s="2321" t="s">
        <v>216</v>
      </c>
      <c r="Z206" s="2273"/>
      <c r="AA206" s="2274"/>
      <c r="AB206" s="2329" t="str">
        <f>IMAGE("https://raw.githubusercontent.com/msikma/pokesprite/master/misc/types/gen8/water.png",4,20,20)</f>
        <v/>
      </c>
      <c r="AC206" s="2495"/>
      <c r="AD206" s="2270"/>
      <c r="AE206" s="2273"/>
      <c r="AF206" s="2273"/>
      <c r="AG206" s="2274"/>
      <c r="AH206" s="2276"/>
      <c r="AI206" s="2266"/>
    </row>
    <row r="207" ht="20.25" customHeight="1">
      <c r="A207" s="2260"/>
      <c r="B207" s="2268"/>
      <c r="C207" s="2269"/>
      <c r="D207" s="2270"/>
      <c r="E207" s="2321" t="s">
        <v>316</v>
      </c>
      <c r="F207" s="2273"/>
      <c r="G207" s="2274"/>
      <c r="H207" s="2329" t="str">
        <f>IMAGE("https://raw.githubusercontent.com/msikma/pokesprite/master/misc/types/gen8/fighting.png",4,20,20)</f>
        <v/>
      </c>
      <c r="J207" s="2321" t="s">
        <v>541</v>
      </c>
      <c r="K207" s="2273"/>
      <c r="L207" s="2274"/>
      <c r="M207" s="2329" t="str">
        <f t="shared" si="16"/>
        <v/>
      </c>
      <c r="O207" s="2321" t="s">
        <v>312</v>
      </c>
      <c r="P207" s="2273"/>
      <c r="Q207" s="2274"/>
      <c r="R207" s="2329" t="str">
        <f>IMAGE("https://raw.githubusercontent.com/msikma/pokesprite/master/misc/types/gen8/grass.png",4,20,20)</f>
        <v/>
      </c>
      <c r="T207" s="2321" t="s">
        <v>278</v>
      </c>
      <c r="U207" s="2273"/>
      <c r="V207" s="2274"/>
      <c r="W207" s="2329" t="str">
        <f>IMAGE("https://raw.githubusercontent.com/msikma/pokesprite/master/misc/types/gen8/bug.png",4,20,20)</f>
        <v/>
      </c>
      <c r="Y207" s="2321" t="s">
        <v>375</v>
      </c>
      <c r="Z207" s="2273"/>
      <c r="AA207" s="2274"/>
      <c r="AB207" s="2329" t="str">
        <f>IMAGE("https://raw.githubusercontent.com/msikma/pokesprite/master/misc/types/gen8/fighting.png",4,20,20)</f>
        <v/>
      </c>
      <c r="AC207" s="2495"/>
      <c r="AD207" s="2270"/>
      <c r="AE207" s="2273"/>
      <c r="AF207" s="2273"/>
      <c r="AG207" s="2274"/>
      <c r="AH207" s="2276"/>
      <c r="AI207" s="2266"/>
    </row>
    <row r="208" ht="21.0" customHeight="1">
      <c r="A208" s="2260"/>
      <c r="B208" s="2268"/>
      <c r="C208" s="2269"/>
      <c r="D208" s="2270"/>
      <c r="E208" s="2330" t="s">
        <v>278</v>
      </c>
      <c r="F208" s="2331"/>
      <c r="G208" s="2332"/>
      <c r="H208" s="2333" t="str">
        <f>IMAGE("https://raw.githubusercontent.com/msikma/pokesprite/master/misc/types/gen8/bug.png",4,20,20)</f>
        <v/>
      </c>
      <c r="I208" s="2497"/>
      <c r="J208" s="2330" t="s">
        <v>407</v>
      </c>
      <c r="K208" s="2331"/>
      <c r="L208" s="2332"/>
      <c r="M208" s="2333" t="str">
        <f>IMAGE("https://raw.githubusercontent.com/msikma/pokesprite/master/misc/types/gen8/steel.png",4,20,20)</f>
        <v/>
      </c>
      <c r="N208" s="2497"/>
      <c r="O208" s="2330" t="s">
        <v>489</v>
      </c>
      <c r="P208" s="2331"/>
      <c r="Q208" s="2332"/>
      <c r="R208" s="2333" t="str">
        <f>IMAGE("https://raw.githubusercontent.com/msikma/pokesprite/master/misc/types/gen8/flying.png",4,20,20)</f>
        <v/>
      </c>
      <c r="S208" s="2497"/>
      <c r="T208" s="2330" t="s">
        <v>402</v>
      </c>
      <c r="U208" s="2331"/>
      <c r="V208" s="2332"/>
      <c r="W208" s="2333" t="str">
        <f>IMAGE("https://raw.githubusercontent.com/msikma/pokesprite/master/misc/types/gen8/ground.png",4,20,20)</f>
        <v/>
      </c>
      <c r="X208" s="2497"/>
      <c r="Y208" s="2330" t="s">
        <v>345</v>
      </c>
      <c r="Z208" s="2331"/>
      <c r="AA208" s="2332"/>
      <c r="AB208" s="2333" t="str">
        <f>IMAGE("https://raw.githubusercontent.com/msikma/pokesprite/master/misc/types/gen8/dark.png",4,20,20)</f>
        <v/>
      </c>
      <c r="AC208" s="2498"/>
      <c r="AD208" s="2270"/>
      <c r="AE208" s="2273"/>
      <c r="AF208" s="2273"/>
      <c r="AG208" s="2274"/>
      <c r="AH208" s="2276"/>
      <c r="AI208" s="2266"/>
    </row>
    <row r="209" ht="3.0" customHeight="1">
      <c r="A209" s="2336"/>
      <c r="B209" s="2337"/>
      <c r="C209" s="2338"/>
      <c r="D209" s="2339"/>
      <c r="E209" s="2340"/>
      <c r="F209" s="2340"/>
      <c r="G209" s="2340"/>
      <c r="H209" s="2340"/>
      <c r="I209" s="2339"/>
      <c r="J209" s="2340"/>
      <c r="K209" s="2340"/>
      <c r="L209" s="2340"/>
      <c r="M209" s="2340"/>
      <c r="N209" s="2339"/>
      <c r="O209" s="2340"/>
      <c r="P209" s="2340"/>
      <c r="Q209" s="2340"/>
      <c r="R209" s="2340"/>
      <c r="S209" s="2339"/>
      <c r="T209" s="2340"/>
      <c r="U209" s="2340"/>
      <c r="V209" s="2340"/>
      <c r="W209" s="2340"/>
      <c r="X209" s="2339"/>
      <c r="Y209" s="2340"/>
      <c r="Z209" s="2340"/>
      <c r="AA209" s="2340"/>
      <c r="AB209" s="2340"/>
      <c r="AC209" s="2342"/>
      <c r="AD209" s="2342"/>
      <c r="AE209" s="2342"/>
      <c r="AF209" s="2342"/>
      <c r="AG209" s="2342"/>
      <c r="AH209" s="2343"/>
      <c r="AI209" s="2344"/>
    </row>
    <row r="210" ht="16.5" customHeight="1">
      <c r="A210" s="2267"/>
      <c r="B210" s="2345"/>
      <c r="C210" s="2338"/>
      <c r="D210" s="2346"/>
      <c r="E210" s="488" t="s">
        <v>190</v>
      </c>
      <c r="F210" s="381"/>
      <c r="G210" s="382"/>
      <c r="H210" s="489" t="s">
        <v>191</v>
      </c>
      <c r="I210" s="2347"/>
      <c r="J210" s="488" t="s">
        <v>190</v>
      </c>
      <c r="K210" s="381"/>
      <c r="L210" s="382"/>
      <c r="M210" s="489" t="s">
        <v>191</v>
      </c>
      <c r="N210" s="2347"/>
      <c r="O210" s="488" t="s">
        <v>190</v>
      </c>
      <c r="P210" s="381"/>
      <c r="Q210" s="382"/>
      <c r="R210" s="489" t="s">
        <v>191</v>
      </c>
      <c r="S210" s="2347"/>
      <c r="T210" s="488" t="s">
        <v>190</v>
      </c>
      <c r="U210" s="381"/>
      <c r="V210" s="382"/>
      <c r="W210" s="489" t="s">
        <v>191</v>
      </c>
      <c r="X210" s="2347"/>
      <c r="Y210" s="488" t="s">
        <v>190</v>
      </c>
      <c r="Z210" s="381"/>
      <c r="AA210" s="382"/>
      <c r="AB210" s="489" t="s">
        <v>191</v>
      </c>
      <c r="AC210" s="2499"/>
      <c r="AD210" s="2350"/>
      <c r="AE210" s="2350"/>
      <c r="AF210" s="2350"/>
      <c r="AG210" s="2350"/>
      <c r="AH210" s="2351"/>
      <c r="AI210" s="2352"/>
    </row>
    <row r="211" ht="15.75" customHeight="1">
      <c r="A211" s="2267"/>
      <c r="B211" s="2345"/>
      <c r="C211" s="2338"/>
      <c r="D211" s="2346"/>
      <c r="E211" s="495" t="s">
        <v>192</v>
      </c>
      <c r="F211" s="496">
        <f t="array" ref="F211">IFERROR(VLOOKUP(E198,Dex!$B$3:$N415,8,FALSE),"")</f>
        <v>85</v>
      </c>
      <c r="G211" s="497" t="str">
        <f t="array" ref="G211">IFERROR(VLOOKUP(F211,Dex!$P$22:$Q$276,2,FALSE),"")</f>
        <v/>
      </c>
      <c r="H211" s="498"/>
      <c r="I211" s="2532"/>
      <c r="J211" s="495" t="s">
        <v>192</v>
      </c>
      <c r="K211" s="496">
        <f t="array" ref="K211">IFERROR(VLOOKUP(J198,Dex!$B$3:$N415,8,FALSE),"")</f>
        <v>100</v>
      </c>
      <c r="L211" s="497" t="str">
        <f t="array" ref="L211">IFERROR(VLOOKUP(K211,Dex!$P$22:$Q$276,2,FALSE),"")</f>
        <v/>
      </c>
      <c r="M211" s="498">
        <v>252.0</v>
      </c>
      <c r="N211" s="2532"/>
      <c r="O211" s="495" t="s">
        <v>192</v>
      </c>
      <c r="P211" s="496">
        <f t="array" ref="P211">IFERROR(VLOOKUP(O198,Dex!$B$3:$N415,8,FALSE),"")</f>
        <v>75</v>
      </c>
      <c r="Q211" s="497" t="str">
        <f t="array" ref="Q211">IFERROR(VLOOKUP(P211,Dex!$P$22:$Q$276,2,FALSE),"")</f>
        <v/>
      </c>
      <c r="R211" s="498"/>
      <c r="S211" s="2532"/>
      <c r="T211" s="495" t="s">
        <v>192</v>
      </c>
      <c r="U211" s="496">
        <f t="array" ref="U211">IFERROR(VLOOKUP(T198,Dex!$B$3:$N415,8,FALSE),"")</f>
        <v>105</v>
      </c>
      <c r="V211" s="497" t="str">
        <f t="array" ref="V211">IFERROR(VLOOKUP(U211,Dex!$P$22:$Q$276,2,FALSE),"")</f>
        <v/>
      </c>
      <c r="W211" s="498"/>
      <c r="X211" s="2532"/>
      <c r="Y211" s="495" t="s">
        <v>192</v>
      </c>
      <c r="Z211" s="496">
        <f t="array" ref="Z211">IFERROR(VLOOKUP(Y198,Dex!$B$3:$N415,8,FALSE),"")</f>
        <v>79</v>
      </c>
      <c r="AA211" s="497" t="str">
        <f t="array" ref="AA211">IFERROR(VLOOKUP(Z211,Dex!$P$22:$Q$276,2,FALSE),"")</f>
        <v/>
      </c>
      <c r="AB211" s="498"/>
      <c r="AC211" s="2533"/>
      <c r="AD211" s="2350"/>
      <c r="AE211" s="2350"/>
      <c r="AF211" s="2350"/>
      <c r="AG211" s="2350"/>
      <c r="AH211" s="2351"/>
      <c r="AI211" s="2352"/>
    </row>
    <row r="212" ht="15.75" customHeight="1">
      <c r="A212" s="2267"/>
      <c r="B212" s="2345"/>
      <c r="C212" s="2338"/>
      <c r="D212" s="2346"/>
      <c r="E212" s="500" t="s">
        <v>193</v>
      </c>
      <c r="F212" s="501">
        <f t="array" ref="F212">IFERROR(VLOOKUP(E198,Dex!$B$3:$N415,9,FALSE),"")</f>
        <v>120</v>
      </c>
      <c r="G212" s="502" t="str">
        <f t="array" ref="G212">IFERROR(VLOOKUP(F212,Dex!$P$22:$Q$276,2,FALSE),"")</f>
        <v/>
      </c>
      <c r="H212" s="503">
        <v>252.0</v>
      </c>
      <c r="I212" s="2532"/>
      <c r="J212" s="500" t="s">
        <v>193</v>
      </c>
      <c r="K212" s="501">
        <f t="array" ref="K212">IFERROR(VLOOKUP(J198,Dex!$B$3:$N415,9,FALSE),"")</f>
        <v>135</v>
      </c>
      <c r="L212" s="502" t="str">
        <f t="array" ref="L212">IFERROR(VLOOKUP(K212,Dex!$P$22:$Q$276,2,FALSE),"")</f>
        <v/>
      </c>
      <c r="M212" s="503">
        <v>252.0</v>
      </c>
      <c r="N212" s="2532"/>
      <c r="O212" s="500" t="s">
        <v>193</v>
      </c>
      <c r="P212" s="501">
        <f t="array" ref="P212">IFERROR(VLOOKUP(O198,Dex!$B$3:$N415,9,FALSE),"")</f>
        <v>85</v>
      </c>
      <c r="Q212" s="502" t="str">
        <f t="array" ref="Q212">IFERROR(VLOOKUP(P212,Dex!$P$22:$Q$276,2,FALSE),"")</f>
        <v/>
      </c>
      <c r="R212" s="503">
        <v>252.0</v>
      </c>
      <c r="S212" s="2532"/>
      <c r="T212" s="500" t="s">
        <v>193</v>
      </c>
      <c r="U212" s="501">
        <f t="array" ref="U212">IFERROR(VLOOKUP(T198,Dex!$B$3:$N415,9,FALSE),"")</f>
        <v>140</v>
      </c>
      <c r="V212" s="502" t="str">
        <f t="array" ref="V212">IFERROR(VLOOKUP(U212,Dex!$P$22:$Q$276,2,FALSE),"")</f>
        <v/>
      </c>
      <c r="W212" s="503">
        <v>252.0</v>
      </c>
      <c r="X212" s="2532"/>
      <c r="Y212" s="500" t="s">
        <v>193</v>
      </c>
      <c r="Z212" s="501">
        <f t="array" ref="Z212">IFERROR(VLOOKUP(Y198,Dex!$B$3:$N415,9,FALSE),"")</f>
        <v>103</v>
      </c>
      <c r="AA212" s="502" t="str">
        <f t="array" ref="AA212">IFERROR(VLOOKUP(Z212,Dex!$P$22:$Q$276,2,FALSE),"")</f>
        <v/>
      </c>
      <c r="AB212" s="503">
        <v>252.0</v>
      </c>
      <c r="AC212" s="2533"/>
      <c r="AD212" s="2350"/>
      <c r="AE212" s="2350"/>
      <c r="AF212" s="2350"/>
      <c r="AG212" s="2350"/>
      <c r="AH212" s="2351"/>
      <c r="AI212" s="2352"/>
    </row>
    <row r="213" ht="15.75" customHeight="1">
      <c r="A213" s="2267"/>
      <c r="B213" s="2345"/>
      <c r="C213" s="2338"/>
      <c r="D213" s="2346"/>
      <c r="E213" s="500" t="s">
        <v>194</v>
      </c>
      <c r="F213" s="501">
        <f t="array" ref="F213">IFERROR(VLOOKUP(E198,Dex!$B$3:$N415,10,FALSE),"")</f>
        <v>70</v>
      </c>
      <c r="G213" s="502" t="str">
        <f t="array" ref="G213">IFERROR(VLOOKUP(F213,Dex!$P$22:$Q$276,2,FALSE),"")</f>
        <v/>
      </c>
      <c r="H213" s="503">
        <v>4.0</v>
      </c>
      <c r="I213" s="2532"/>
      <c r="J213" s="500" t="s">
        <v>194</v>
      </c>
      <c r="K213" s="501">
        <f t="array" ref="K213">IFERROR(VLOOKUP(J198,Dex!$B$3:$N415,10,FALSE),"")</f>
        <v>120</v>
      </c>
      <c r="L213" s="502" t="str">
        <f t="array" ref="L213">IFERROR(VLOOKUP(K213,Dex!$P$22:$Q$276,2,FALSE),"")</f>
        <v/>
      </c>
      <c r="M213" s="503"/>
      <c r="N213" s="2532"/>
      <c r="O213" s="500" t="s">
        <v>194</v>
      </c>
      <c r="P213" s="501">
        <f t="array" ref="P213">IFERROR(VLOOKUP(O198,Dex!$B$3:$N415,10,FALSE),"")</f>
        <v>70</v>
      </c>
      <c r="Q213" s="502" t="str">
        <f t="array" ref="Q213">IFERROR(VLOOKUP(P213,Dex!$P$22:$Q$276,2,FALSE),"")</f>
        <v/>
      </c>
      <c r="R213" s="503">
        <v>4.0</v>
      </c>
      <c r="S213" s="2532"/>
      <c r="T213" s="500" t="s">
        <v>194</v>
      </c>
      <c r="U213" s="501">
        <f t="array" ref="U213">IFERROR(VLOOKUP(T198,Dex!$B$3:$N415,10,FALSE),"")</f>
        <v>55</v>
      </c>
      <c r="V213" s="502" t="str">
        <f t="array" ref="V213">IFERROR(VLOOKUP(U213,Dex!$P$22:$Q$276,2,FALSE),"")</f>
        <v/>
      </c>
      <c r="W213" s="503">
        <v>4.0</v>
      </c>
      <c r="X213" s="2532"/>
      <c r="Y213" s="500" t="s">
        <v>194</v>
      </c>
      <c r="Z213" s="501">
        <f t="array" ref="Z213">IFERROR(VLOOKUP(Y198,Dex!$B$3:$N415,10,FALSE),"")</f>
        <v>120</v>
      </c>
      <c r="AA213" s="502" t="str">
        <f t="array" ref="AA213">IFERROR(VLOOKUP(Z213,Dex!$P$22:$Q$276,2,FALSE),"")</f>
        <v/>
      </c>
      <c r="AB213" s="503">
        <v>4.0</v>
      </c>
      <c r="AC213" s="2533"/>
      <c r="AD213" s="2350"/>
      <c r="AE213" s="2350"/>
      <c r="AF213" s="2350"/>
      <c r="AG213" s="2350"/>
      <c r="AH213" s="2351"/>
      <c r="AI213" s="2352"/>
    </row>
    <row r="214" ht="15.75" customHeight="1">
      <c r="A214" s="2267"/>
      <c r="B214" s="2345"/>
      <c r="C214" s="2338"/>
      <c r="D214" s="2346"/>
      <c r="E214" s="500" t="s">
        <v>195</v>
      </c>
      <c r="F214" s="501">
        <f t="array" ref="F214">IFERROR(VLOOKUP(E198,Dex!$B$3:$N415,11,FALSE),"")</f>
        <v>50</v>
      </c>
      <c r="G214" s="502" t="str">
        <f t="array" ref="G214">IFERROR(VLOOKUP(F214,Dex!$P$22:$Q$276,2,FALSE),"")</f>
        <v/>
      </c>
      <c r="H214" s="503"/>
      <c r="I214" s="2532"/>
      <c r="J214" s="500" t="s">
        <v>195</v>
      </c>
      <c r="K214" s="501">
        <f t="array" ref="K214">IFERROR(VLOOKUP(J198,Dex!$B$3:$N415,11,FALSE),"")</f>
        <v>60</v>
      </c>
      <c r="L214" s="502" t="str">
        <f t="array" ref="L214">IFERROR(VLOOKUP(K214,Dex!$P$22:$Q$276,2,FALSE),"")</f>
        <v/>
      </c>
      <c r="M214" s="503"/>
      <c r="N214" s="2532"/>
      <c r="O214" s="500" t="s">
        <v>195</v>
      </c>
      <c r="P214" s="501">
        <f t="array" ref="P214">IFERROR(VLOOKUP(O198,Dex!$B$3:$N415,11,FALSE),"")</f>
        <v>35</v>
      </c>
      <c r="Q214" s="502" t="str">
        <f t="array" ref="Q214">IFERROR(VLOOKUP(P214,Dex!$P$22:$Q$276,2,FALSE),"")</f>
        <v/>
      </c>
      <c r="R214" s="503"/>
      <c r="S214" s="2532"/>
      <c r="T214" s="500" t="s">
        <v>195</v>
      </c>
      <c r="U214" s="501">
        <f t="array" ref="U214">IFERROR(VLOOKUP(T198,Dex!$B$3:$N415,11,FALSE),"")</f>
        <v>30</v>
      </c>
      <c r="V214" s="502" t="str">
        <f t="array" ref="V214">IFERROR(VLOOKUP(U214,Dex!$P$22:$Q$276,2,FALSE),"")</f>
        <v/>
      </c>
      <c r="W214" s="503"/>
      <c r="X214" s="2532"/>
      <c r="Y214" s="500" t="s">
        <v>195</v>
      </c>
      <c r="Z214" s="501">
        <f t="array" ref="Z214">IFERROR(VLOOKUP(Y198,Dex!$B$3:$N415,11,FALSE),"")</f>
        <v>135</v>
      </c>
      <c r="AA214" s="502" t="str">
        <f t="array" ref="AA214">IFERROR(VLOOKUP(Z214,Dex!$P$22:$Q$276,2,FALSE),"")</f>
        <v/>
      </c>
      <c r="AB214" s="503"/>
      <c r="AC214" s="2533"/>
      <c r="AD214" s="2350"/>
      <c r="AE214" s="2350"/>
      <c r="AF214" s="2350"/>
      <c r="AG214" s="2350"/>
      <c r="AH214" s="2351"/>
      <c r="AI214" s="2352"/>
    </row>
    <row r="215" ht="15.75" customHeight="1">
      <c r="A215" s="2267"/>
      <c r="B215" s="2345"/>
      <c r="C215" s="2500"/>
      <c r="D215" s="2346"/>
      <c r="E215" s="500" t="s">
        <v>196</v>
      </c>
      <c r="F215" s="501">
        <f t="array" ref="F215">IFERROR(VLOOKUP(E198,Dex!$B$3:$N415,12,FALSE),"")</f>
        <v>60</v>
      </c>
      <c r="G215" s="502" t="str">
        <f t="array" ref="G215">IFERROR(VLOOKUP(F215,Dex!$P$22:$Q$276,2,FALSE),"")</f>
        <v/>
      </c>
      <c r="H215" s="503"/>
      <c r="I215" s="2532"/>
      <c r="J215" s="500" t="s">
        <v>196</v>
      </c>
      <c r="K215" s="501">
        <f t="array" ref="K215">IFERROR(VLOOKUP(J198,Dex!$B$3:$N415,12,FALSE),"")</f>
        <v>85</v>
      </c>
      <c r="L215" s="502" t="str">
        <f t="array" ref="L215">IFERROR(VLOOKUP(K215,Dex!$P$22:$Q$276,2,FALSE),"")</f>
        <v/>
      </c>
      <c r="M215" s="503"/>
      <c r="N215" s="2532"/>
      <c r="O215" s="500" t="s">
        <v>196</v>
      </c>
      <c r="P215" s="501">
        <f t="array" ref="P215">IFERROR(VLOOKUP(O198,Dex!$B$3:$N415,12,FALSE),"")</f>
        <v>95</v>
      </c>
      <c r="Q215" s="502" t="str">
        <f t="array" ref="Q215">IFERROR(VLOOKUP(P215,Dex!$P$22:$Q$276,2,FALSE),"")</f>
        <v/>
      </c>
      <c r="R215" s="503"/>
      <c r="S215" s="2532"/>
      <c r="T215" s="500" t="s">
        <v>196</v>
      </c>
      <c r="U215" s="501">
        <f t="array" ref="U215">IFERROR(VLOOKUP(T198,Dex!$B$3:$N415,12,FALSE),"")</f>
        <v>55</v>
      </c>
      <c r="V215" s="502" t="str">
        <f t="array" ref="V215">IFERROR(VLOOKUP(U215,Dex!$P$22:$Q$276,2,FALSE),"")</f>
        <v/>
      </c>
      <c r="W215" s="503"/>
      <c r="X215" s="2532"/>
      <c r="Y215" s="500" t="s">
        <v>196</v>
      </c>
      <c r="Z215" s="501">
        <f t="array" ref="Z215">IFERROR(VLOOKUP(Y198,Dex!$B$3:$N415,12,FALSE),"")</f>
        <v>115</v>
      </c>
      <c r="AA215" s="502" t="str">
        <f t="array" ref="AA215">IFERROR(VLOOKUP(Z215,Dex!$P$22:$Q$276,2,FALSE),"")</f>
        <v/>
      </c>
      <c r="AB215" s="503"/>
      <c r="AC215" s="2533"/>
      <c r="AD215" s="2350"/>
      <c r="AE215" s="2350"/>
      <c r="AF215" s="2350"/>
      <c r="AG215" s="2350"/>
      <c r="AH215" s="2351"/>
      <c r="AI215" s="2352"/>
    </row>
    <row r="216" ht="15.75" customHeight="1">
      <c r="A216" s="2267"/>
      <c r="B216" s="2501"/>
      <c r="C216" s="1204" t="s">
        <v>436</v>
      </c>
      <c r="D216" s="2502"/>
      <c r="E216" s="504" t="s">
        <v>197</v>
      </c>
      <c r="F216" s="505">
        <f t="array" ref="F216">IFERROR(VLOOKUP(E198,Dex!$B$3:$N415,13,FALSE),"")</f>
        <v>100</v>
      </c>
      <c r="G216" s="506" t="str">
        <f t="array" ref="G216">IFERROR(VLOOKUP(F216,Dex!$P$22:$Q$276,2,FALSE),"")</f>
        <v/>
      </c>
      <c r="H216" s="507">
        <v>252.0</v>
      </c>
      <c r="I216" s="2532"/>
      <c r="J216" s="504" t="s">
        <v>197</v>
      </c>
      <c r="K216" s="505">
        <f t="array" ref="K216">IFERROR(VLOOKUP(J198,Dex!$B$3:$N415,13,FALSE),"")</f>
        <v>50</v>
      </c>
      <c r="L216" s="506" t="str">
        <f t="array" ref="L216">IFERROR(VLOOKUP(K216,Dex!$P$22:$Q$276,2,FALSE),"")</f>
        <v/>
      </c>
      <c r="M216" s="507">
        <v>4.0</v>
      </c>
      <c r="N216" s="2532"/>
      <c r="O216" s="504" t="s">
        <v>197</v>
      </c>
      <c r="P216" s="505">
        <f t="array" ref="P216">IFERROR(VLOOKUP(O198,Dex!$B$3:$N415,13,FALSE),"")</f>
        <v>110</v>
      </c>
      <c r="Q216" s="506" t="str">
        <f t="array" ref="Q216">IFERROR(VLOOKUP(P216,Dex!$P$22:$Q$276,2,FALSE),"")</f>
        <v/>
      </c>
      <c r="R216" s="507">
        <v>252.0</v>
      </c>
      <c r="S216" s="2532"/>
      <c r="T216" s="504" t="s">
        <v>197</v>
      </c>
      <c r="U216" s="505">
        <f t="array" ref="U216">IFERROR(VLOOKUP(T198,Dex!$B$3:$N415,13,FALSE),"")</f>
        <v>95</v>
      </c>
      <c r="V216" s="506" t="str">
        <f t="array" ref="V216">IFERROR(VLOOKUP(U216,Dex!$P$22:$Q$276,2,FALSE),"")</f>
        <v/>
      </c>
      <c r="W216" s="507">
        <v>252.0</v>
      </c>
      <c r="X216" s="2532"/>
      <c r="Y216" s="504" t="s">
        <v>197</v>
      </c>
      <c r="Z216" s="505">
        <f t="array" ref="Z216">IFERROR(VLOOKUP(Y198,Dex!$B$3:$N415,13,FALSE),"")</f>
        <v>78</v>
      </c>
      <c r="AA216" s="506" t="str">
        <f t="array" ref="AA216">IFERROR(VLOOKUP(Z216,Dex!$P$22:$Q$276,2,FALSE),"")</f>
        <v/>
      </c>
      <c r="AB216" s="507">
        <v>252.0</v>
      </c>
      <c r="AC216" s="2533"/>
      <c r="AD216" s="2350"/>
      <c r="AE216" s="2350"/>
      <c r="AF216" s="2350"/>
      <c r="AG216" s="2350"/>
      <c r="AH216" s="2351"/>
      <c r="AI216" s="2352"/>
    </row>
    <row r="217" ht="16.5" customHeight="1">
      <c r="A217" s="2267"/>
      <c r="B217" s="2501"/>
      <c r="C217" s="1205" t="s">
        <v>750</v>
      </c>
      <c r="D217" s="2502"/>
      <c r="E217" s="508" t="s">
        <v>198</v>
      </c>
      <c r="F217" s="405"/>
      <c r="G217" s="406"/>
      <c r="H217" s="509">
        <v>172.0</v>
      </c>
      <c r="I217" s="2347"/>
      <c r="J217" s="508" t="s">
        <v>198</v>
      </c>
      <c r="K217" s="405"/>
      <c r="L217" s="406"/>
      <c r="M217" s="509">
        <v>81.0</v>
      </c>
      <c r="N217" s="2347"/>
      <c r="O217" s="508" t="s">
        <v>198</v>
      </c>
      <c r="P217" s="405"/>
      <c r="Q217" s="406"/>
      <c r="R217" s="509">
        <v>188.0</v>
      </c>
      <c r="S217" s="2347"/>
      <c r="T217" s="508" t="s">
        <v>198</v>
      </c>
      <c r="U217" s="405"/>
      <c r="V217" s="406"/>
      <c r="W217" s="509">
        <v>170.0</v>
      </c>
      <c r="X217" s="2347"/>
      <c r="Y217" s="508" t="s">
        <v>198</v>
      </c>
      <c r="Z217" s="405"/>
      <c r="AA217" s="406"/>
      <c r="AB217" s="509">
        <v>140.0</v>
      </c>
      <c r="AC217" s="2499"/>
      <c r="AD217" s="2350"/>
      <c r="AE217" s="2350"/>
      <c r="AF217" s="2350"/>
      <c r="AG217" s="2350"/>
      <c r="AH217" s="2351"/>
      <c r="AI217" s="2352"/>
    </row>
    <row r="218" ht="11.25" customHeight="1">
      <c r="A218" s="2260"/>
      <c r="B218" s="2268"/>
      <c r="C218" s="2505"/>
      <c r="D218" s="2316"/>
      <c r="E218" s="2353"/>
      <c r="F218" s="2353"/>
      <c r="G218" s="2353"/>
      <c r="H218" s="2353"/>
      <c r="I218" s="2287"/>
      <c r="J218" s="2353"/>
      <c r="K218" s="2353"/>
      <c r="L218" s="2353"/>
      <c r="M218" s="2353"/>
      <c r="N218" s="2287"/>
      <c r="O218" s="2534"/>
      <c r="P218" s="2534"/>
      <c r="Q218" s="2534"/>
      <c r="R218" s="2379"/>
      <c r="S218" s="2287"/>
      <c r="T218" s="2534"/>
      <c r="U218" s="2534"/>
      <c r="V218" s="2534"/>
      <c r="W218" s="2379"/>
      <c r="X218" s="2287"/>
      <c r="Y218" s="2534"/>
      <c r="Z218" s="2534"/>
      <c r="AA218" s="2534"/>
      <c r="AB218" s="2379"/>
      <c r="AC218" s="2316"/>
      <c r="AD218" s="2316"/>
      <c r="AE218" s="2316"/>
      <c r="AF218" s="2316"/>
      <c r="AG218" s="2316"/>
      <c r="AH218" s="2276"/>
      <c r="AI218" s="2266"/>
    </row>
    <row r="219">
      <c r="A219" s="2267"/>
      <c r="B219" s="2268"/>
      <c r="C219" s="2269"/>
      <c r="D219" s="2270"/>
      <c r="E219" s="1578" t="s">
        <v>687</v>
      </c>
      <c r="F219" s="1579"/>
      <c r="G219" s="1579"/>
      <c r="H219" s="1579"/>
      <c r="I219" s="1579"/>
      <c r="J219" s="1579"/>
      <c r="K219" s="1579"/>
      <c r="L219" s="1579"/>
      <c r="M219" s="1579"/>
      <c r="N219" s="1579"/>
      <c r="O219" s="1579"/>
      <c r="P219" s="1579"/>
      <c r="Q219" s="1579"/>
      <c r="R219" s="1579"/>
      <c r="S219" s="1579"/>
      <c r="T219" s="1579"/>
      <c r="U219" s="1579"/>
      <c r="V219" s="1579"/>
      <c r="W219" s="1579"/>
      <c r="X219" s="1579"/>
      <c r="Y219" s="1579"/>
      <c r="Z219" s="1579"/>
      <c r="AA219" s="1579"/>
      <c r="AB219" s="1580"/>
      <c r="AC219" s="2499"/>
      <c r="AD219" s="2350"/>
      <c r="AE219" s="2350"/>
      <c r="AF219" s="2275"/>
      <c r="AG219" s="2275"/>
      <c r="AH219" s="2276"/>
      <c r="AI219" s="2266"/>
    </row>
    <row r="220" ht="3.75" customHeight="1">
      <c r="A220" s="2267"/>
      <c r="B220" s="2268"/>
      <c r="C220" s="2277"/>
      <c r="D220" s="2278"/>
      <c r="E220" s="2490"/>
      <c r="F220" s="2490"/>
      <c r="G220" s="2490"/>
      <c r="H220" s="2490"/>
      <c r="I220" s="2280"/>
      <c r="J220" s="2490"/>
      <c r="K220" s="2490"/>
      <c r="L220" s="2490"/>
      <c r="M220" s="2490"/>
      <c r="N220" s="2280"/>
      <c r="O220" s="2490"/>
      <c r="P220" s="2490"/>
      <c r="Q220" s="2490"/>
      <c r="R220" s="2490"/>
      <c r="S220" s="2280"/>
      <c r="T220" s="2490"/>
      <c r="U220" s="2490"/>
      <c r="V220" s="2490"/>
      <c r="W220" s="2490"/>
      <c r="X220" s="2280"/>
      <c r="Y220" s="2490"/>
      <c r="Z220" s="2490"/>
      <c r="AA220" s="2490"/>
      <c r="AB220" s="2490"/>
      <c r="AC220" s="2278"/>
      <c r="AD220" s="2278"/>
      <c r="AE220" s="2278"/>
      <c r="AF220" s="2278"/>
      <c r="AG220" s="2278"/>
      <c r="AH220" s="2276"/>
      <c r="AI220" s="2266"/>
    </row>
    <row r="221" ht="96.75" customHeight="1">
      <c r="A221" s="2260"/>
      <c r="B221" s="2281"/>
      <c r="C221" s="2355" t="str">
        <f>IMAGE("https://i.ibb.co/fXwks6z/Rival.png")</f>
        <v/>
      </c>
      <c r="D221" s="2491"/>
      <c r="E221" s="2356" t="str">
        <f t="array" ref="E221">IFERROR(VLOOKUP(E222,Dex!$B$3:$G415,3,FALSE),"")</f>
        <v/>
      </c>
      <c r="F221" s="1830"/>
      <c r="G221" s="1830"/>
      <c r="H221" s="1831"/>
      <c r="I221" s="2492"/>
      <c r="J221" s="2356" t="str">
        <f t="array" ref="J221">IFERROR(VLOOKUP(J222,Dex!$B$3:$G415,3,FALSE),"")</f>
        <v/>
      </c>
      <c r="K221" s="1830"/>
      <c r="L221" s="1830"/>
      <c r="M221" s="1831"/>
      <c r="N221" s="2492"/>
      <c r="O221" s="2356" t="str">
        <f t="array" ref="O221">IFERROR(VLOOKUP(O222,Dex!$B$3:$G415,3,FALSE),"")</f>
        <v/>
      </c>
      <c r="P221" s="1830"/>
      <c r="Q221" s="1830"/>
      <c r="R221" s="1831"/>
      <c r="S221" s="2492"/>
      <c r="T221" s="2356" t="str">
        <f t="array" ref="T221">IFERROR(VLOOKUP(T222,Dex!$B$3:$G415,3,FALSE),"")</f>
        <v/>
      </c>
      <c r="U221" s="1830"/>
      <c r="V221" s="1830"/>
      <c r="W221" s="1831"/>
      <c r="X221" s="2492"/>
      <c r="Y221" s="2356" t="str">
        <f t="array" ref="Y221">IFERROR(VLOOKUP(Y222,Dex!$B$3:$G415,3,FALSE),"")</f>
        <v/>
      </c>
      <c r="Z221" s="1830"/>
      <c r="AA221" s="1830"/>
      <c r="AB221" s="1831"/>
      <c r="AC221" s="2493"/>
      <c r="AD221" s="2270"/>
      <c r="AE221" s="2273"/>
      <c r="AF221" s="2273"/>
      <c r="AG221" s="2274"/>
      <c r="AH221" s="2276"/>
      <c r="AI221" s="2266"/>
    </row>
    <row r="222" ht="18.75" customHeight="1">
      <c r="A222" s="2288"/>
      <c r="B222" s="2358"/>
      <c r="C222" s="2290" t="s">
        <v>751</v>
      </c>
      <c r="D222" s="2359"/>
      <c r="E222" s="2292" t="s">
        <v>740</v>
      </c>
      <c r="F222" s="2293"/>
      <c r="G222" s="2293"/>
      <c r="H222" s="2294"/>
      <c r="J222" s="2292" t="s">
        <v>741</v>
      </c>
      <c r="K222" s="2293"/>
      <c r="L222" s="2293"/>
      <c r="M222" s="2294"/>
      <c r="O222" s="2292" t="s">
        <v>742</v>
      </c>
      <c r="P222" s="2293"/>
      <c r="Q222" s="2293"/>
      <c r="R222" s="2294"/>
      <c r="T222" s="2292" t="s">
        <v>752</v>
      </c>
      <c r="U222" s="2293"/>
      <c r="V222" s="2293"/>
      <c r="W222" s="2294"/>
      <c r="Y222" s="2292" t="s">
        <v>357</v>
      </c>
      <c r="Z222" s="2293"/>
      <c r="AA222" s="2293"/>
      <c r="AB222" s="2294"/>
      <c r="AC222" s="2495"/>
      <c r="AD222" s="2297"/>
      <c r="AE222" s="2273"/>
      <c r="AF222" s="2273"/>
      <c r="AG222" s="2274"/>
      <c r="AH222" s="2298"/>
      <c r="AI222" s="2299"/>
    </row>
    <row r="223">
      <c r="A223" s="2260"/>
      <c r="B223" s="2300"/>
      <c r="C223" s="326"/>
      <c r="D223" s="2360"/>
      <c r="E223" s="2496" t="s">
        <v>715</v>
      </c>
      <c r="F223" s="2303"/>
      <c r="G223" s="2303"/>
      <c r="H223" s="2304"/>
      <c r="J223" s="2496" t="s">
        <v>714</v>
      </c>
      <c r="K223" s="2303"/>
      <c r="L223" s="2303"/>
      <c r="M223" s="2304"/>
      <c r="O223" s="2496" t="s">
        <v>714</v>
      </c>
      <c r="P223" s="2303"/>
      <c r="Q223" s="2303"/>
      <c r="R223" s="2304"/>
      <c r="T223" s="2496" t="s">
        <v>714</v>
      </c>
      <c r="U223" s="2303"/>
      <c r="V223" s="2303"/>
      <c r="W223" s="2304"/>
      <c r="Y223" s="2496" t="s">
        <v>420</v>
      </c>
      <c r="Z223" s="2303"/>
      <c r="AA223" s="2303"/>
      <c r="AB223" s="2304"/>
      <c r="AC223" s="2495"/>
      <c r="AD223" s="2270"/>
      <c r="AE223" s="2273"/>
      <c r="AF223" s="2273"/>
      <c r="AG223" s="2274"/>
      <c r="AH223" s="2276"/>
      <c r="AI223" s="2266"/>
    </row>
    <row r="224" ht="25.5" customHeight="1">
      <c r="A224" s="2260"/>
      <c r="B224" s="2268"/>
      <c r="C224" s="2305"/>
      <c r="D224" s="2306"/>
      <c r="E224" s="2307"/>
      <c r="F224" s="2308" t="str">
        <f t="array" ref="F224">IFERROR(VLOOKUP(E222,Dex!$B$3:$H415,5,FALSE),"")</f>
        <v/>
      </c>
      <c r="G224" s="2309" t="str">
        <f t="array" ref="G224">IFERROR(VLOOKUP(E222,Dex!$B$3:$H415,7,FALSE),"")</f>
        <v/>
      </c>
      <c r="H224" s="2310"/>
      <c r="J224" s="2307"/>
      <c r="K224" s="2308" t="str">
        <f t="array" ref="K224">IFERROR(VLOOKUP(J222,Dex!$B$3:$H415,5,FALSE),"")</f>
        <v/>
      </c>
      <c r="L224" s="2309" t="str">
        <f t="array" ref="L224">IFERROR(VLOOKUP(J222,Dex!$B$3:$H415,7,FALSE),"")</f>
        <v/>
      </c>
      <c r="M224" s="2310"/>
      <c r="O224" s="2307"/>
      <c r="P224" s="2308" t="str">
        <f t="array" ref="P224">IFERROR(VLOOKUP(O222,Dex!$B$3:$H415,5,FALSE),"")</f>
        <v/>
      </c>
      <c r="Q224" s="2309" t="str">
        <f t="array" ref="Q224">IFERROR(VLOOKUP(O222,Dex!$B$3:$H415,7,FALSE),"")</f>
        <v/>
      </c>
      <c r="R224" s="2310"/>
      <c r="T224" s="2307"/>
      <c r="U224" s="2308" t="str">
        <f t="array" ref="U224">IFERROR(VLOOKUP(T222,Dex!$B$3:$H415,5,FALSE),"")</f>
        <v/>
      </c>
      <c r="V224" s="2309" t="str">
        <f t="array" ref="V224">IFERROR(VLOOKUP(T222,Dex!$B$3:$H415,7,FALSE),"")</f>
        <v/>
      </c>
      <c r="W224" s="2310"/>
      <c r="Y224" s="2307"/>
      <c r="Z224" s="2308" t="str">
        <f t="array" ref="Z224">IFERROR(VLOOKUP(Y222,Dex!$B$3:$H415,5,FALSE),"")</f>
        <v/>
      </c>
      <c r="AA224" s="2309" t="str">
        <f t="array" ref="AA224">IFERROR(VLOOKUP(Y222,Dex!$B$3:$H415,7,FALSE),"")</f>
        <v/>
      </c>
      <c r="AB224" s="2310"/>
      <c r="AC224" s="2495"/>
      <c r="AD224" s="2270"/>
      <c r="AE224" s="2273"/>
      <c r="AF224" s="2273"/>
      <c r="AG224" s="2274"/>
      <c r="AH224" s="2276"/>
      <c r="AI224" s="2266"/>
    </row>
    <row r="225" ht="2.25" customHeight="1">
      <c r="A225" s="2260"/>
      <c r="B225" s="2268"/>
      <c r="C225" s="104"/>
      <c r="D225" s="2306"/>
      <c r="E225" s="2313"/>
      <c r="F225" s="2314"/>
      <c r="G225" s="2314"/>
      <c r="H225" s="2315"/>
      <c r="J225" s="2313"/>
      <c r="K225" s="2314"/>
      <c r="L225" s="2314"/>
      <c r="M225" s="2315"/>
      <c r="O225" s="2313"/>
      <c r="P225" s="2314"/>
      <c r="Q225" s="2314"/>
      <c r="R225" s="2315"/>
      <c r="T225" s="2313"/>
      <c r="U225" s="2314"/>
      <c r="V225" s="2314"/>
      <c r="W225" s="2315"/>
      <c r="Y225" s="2313"/>
      <c r="Z225" s="2314"/>
      <c r="AA225" s="2314"/>
      <c r="AB225" s="2315"/>
      <c r="AC225" s="2495"/>
      <c r="AD225" s="2316"/>
      <c r="AE225" s="2316"/>
      <c r="AF225" s="2316"/>
      <c r="AG225" s="2316"/>
      <c r="AH225" s="2276"/>
      <c r="AI225" s="2266"/>
    </row>
    <row r="226" ht="20.25" customHeight="1">
      <c r="A226" s="2260"/>
      <c r="B226" s="2268"/>
      <c r="C226" s="281"/>
      <c r="D226" s="2270"/>
      <c r="E226" s="2317" t="s">
        <v>172</v>
      </c>
      <c r="F226" s="2318"/>
      <c r="G226" s="2318"/>
      <c r="H226" s="2319"/>
      <c r="J226" s="2317" t="s">
        <v>172</v>
      </c>
      <c r="K226" s="2318"/>
      <c r="L226" s="2318"/>
      <c r="M226" s="2319"/>
      <c r="O226" s="2317" t="s">
        <v>172</v>
      </c>
      <c r="P226" s="2318"/>
      <c r="Q226" s="2318"/>
      <c r="R226" s="2319"/>
      <c r="T226" s="2317" t="s">
        <v>169</v>
      </c>
      <c r="U226" s="2318"/>
      <c r="V226" s="2318"/>
      <c r="W226" s="2319"/>
      <c r="Y226" s="2317" t="s">
        <v>205</v>
      </c>
      <c r="Z226" s="2318"/>
      <c r="AA226" s="2318"/>
      <c r="AB226" s="2319"/>
      <c r="AC226" s="2495"/>
      <c r="AD226" s="2270"/>
      <c r="AE226" s="2273"/>
      <c r="AF226" s="2273"/>
      <c r="AG226" s="2274"/>
      <c r="AH226" s="2276"/>
      <c r="AI226" s="2266"/>
    </row>
    <row r="227">
      <c r="A227" s="2260"/>
      <c r="B227" s="2268"/>
      <c r="C227" s="2320"/>
      <c r="D227" s="2270"/>
      <c r="E227" s="2321" t="s">
        <v>716</v>
      </c>
      <c r="F227" s="2273"/>
      <c r="G227" s="2273"/>
      <c r="H227" s="2322"/>
      <c r="J227" s="2321" t="s">
        <v>745</v>
      </c>
      <c r="K227" s="2273"/>
      <c r="L227" s="2273"/>
      <c r="M227" s="2322"/>
      <c r="O227" s="2321" t="s">
        <v>328</v>
      </c>
      <c r="P227" s="2273"/>
      <c r="Q227" s="2273"/>
      <c r="R227" s="2322"/>
      <c r="T227" s="2321" t="s">
        <v>753</v>
      </c>
      <c r="U227" s="2273"/>
      <c r="V227" s="2273"/>
      <c r="W227" s="2322"/>
      <c r="Y227" s="2321" t="s">
        <v>754</v>
      </c>
      <c r="Z227" s="2273"/>
      <c r="AA227" s="2273"/>
      <c r="AB227" s="2322"/>
      <c r="AC227" s="2495"/>
      <c r="AD227" s="2270"/>
      <c r="AE227" s="2273"/>
      <c r="AF227" s="2273"/>
      <c r="AG227" s="2274"/>
      <c r="AH227" s="2276"/>
      <c r="AI227" s="2266"/>
    </row>
    <row r="228" ht="20.25" customHeight="1">
      <c r="A228" s="2260"/>
      <c r="B228" s="2268"/>
      <c r="C228" s="104"/>
      <c r="D228" s="2270"/>
      <c r="E228" s="2323" t="s">
        <v>747</v>
      </c>
      <c r="F228" s="2324"/>
      <c r="G228" s="2325"/>
      <c r="H228" s="2326" t="str">
        <f>IMAGE("https://raw.githubusercontent.com/msikma/pokesprite/master/items/hold-item/sharp-beak.png",3)</f>
        <v/>
      </c>
      <c r="J228" s="2323" t="s">
        <v>554</v>
      </c>
      <c r="K228" s="2324"/>
      <c r="L228" s="2325"/>
      <c r="M228" s="2326" t="str">
        <f>IMAGE("https://raw.githubusercontent.com/msikma/pokesprite/master/items/berry/chople.png",3)</f>
        <v/>
      </c>
      <c r="O228" s="2323" t="s">
        <v>747</v>
      </c>
      <c r="P228" s="2324"/>
      <c r="Q228" s="2325"/>
      <c r="R228" s="2326" t="str">
        <f>IMAGE("https://raw.githubusercontent.com/msikma/pokesprite/master/items/hold-item/sharp-beak.png",3)</f>
        <v/>
      </c>
      <c r="T228" s="2323" t="s">
        <v>212</v>
      </c>
      <c r="U228" s="2324"/>
      <c r="V228" s="2325"/>
      <c r="W228" s="2326" t="str">
        <f>IMAGE("https://raw.githubusercontent.com/msikma/pokesprite/master/items/hold-item/mystic-water.png",3)</f>
        <v/>
      </c>
      <c r="Y228" s="2323" t="s">
        <v>366</v>
      </c>
      <c r="Z228" s="2324"/>
      <c r="AA228" s="2325"/>
      <c r="AB228" s="2326" t="str">
        <f>IMAGE("https://raw.githubusercontent.com/msikma/pokesprite/master/items/mega-stone/charizardite-y.png",3)</f>
        <v/>
      </c>
      <c r="AC228" s="2495"/>
      <c r="AD228" s="2270"/>
      <c r="AE228" s="2273"/>
      <c r="AF228" s="2273"/>
      <c r="AG228" s="2274"/>
      <c r="AH228" s="2276"/>
      <c r="AI228" s="2266"/>
    </row>
    <row r="229" ht="20.25" customHeight="1">
      <c r="A229" s="2260"/>
      <c r="B229" s="2268"/>
      <c r="C229" s="281"/>
      <c r="D229" s="2270"/>
      <c r="E229" s="2317" t="s">
        <v>749</v>
      </c>
      <c r="F229" s="2318"/>
      <c r="G229" s="2327"/>
      <c r="H229" s="2328" t="str">
        <f>IMAGE("https://raw.githubusercontent.com/msikma/pokesprite/master/misc/types/gen8/flying.png",4,20,20)</f>
        <v/>
      </c>
      <c r="J229" s="2317" t="s">
        <v>489</v>
      </c>
      <c r="K229" s="2318"/>
      <c r="L229" s="2327"/>
      <c r="M229" s="2328" t="str">
        <f>IMAGE("https://raw.githubusercontent.com/msikma/pokesprite/master/misc/types/gen8/normal.png",4,20,20)</f>
        <v/>
      </c>
      <c r="O229" s="2317" t="s">
        <v>283</v>
      </c>
      <c r="P229" s="2318"/>
      <c r="Q229" s="2327"/>
      <c r="R229" s="2328" t="str">
        <f>IMAGE("https://raw.githubusercontent.com/msikma/pokesprite/master/misc/types/gen8/grass.png",4,20,20)</f>
        <v/>
      </c>
      <c r="T229" s="2317" t="s">
        <v>346</v>
      </c>
      <c r="U229" s="2318"/>
      <c r="V229" s="2327"/>
      <c r="W229" s="2328" t="str">
        <f t="shared" ref="W229:W230" si="17">IMAGE("https://raw.githubusercontent.com/msikma/pokesprite/master/misc/types/gen8/water.png",4,20,20)</f>
        <v/>
      </c>
      <c r="Y229" s="2317" t="s">
        <v>372</v>
      </c>
      <c r="Z229" s="2318"/>
      <c r="AA229" s="2327"/>
      <c r="AB229" s="2328" t="str">
        <f>IMAGE("https://raw.githubusercontent.com/msikma/pokesprite/master/misc/types/gen8/fire.png",4,20,20)</f>
        <v/>
      </c>
      <c r="AC229" s="2495"/>
      <c r="AD229" s="2270"/>
      <c r="AE229" s="2273"/>
      <c r="AF229" s="2273"/>
      <c r="AG229" s="2274"/>
      <c r="AH229" s="2276"/>
      <c r="AI229" s="2266"/>
    </row>
    <row r="230" ht="20.25" customHeight="1">
      <c r="A230" s="2260"/>
      <c r="B230" s="2268"/>
      <c r="C230" s="2269"/>
      <c r="D230" s="2270"/>
      <c r="E230" s="2321" t="s">
        <v>278</v>
      </c>
      <c r="F230" s="2273"/>
      <c r="G230" s="2274"/>
      <c r="H230" s="2329" t="str">
        <f>IMAGE("https://raw.githubusercontent.com/msikma/pokesprite/master/misc/types/gen8/bug.png",4,20,20)</f>
        <v/>
      </c>
      <c r="J230" s="2321" t="s">
        <v>279</v>
      </c>
      <c r="K230" s="2273"/>
      <c r="L230" s="2274"/>
      <c r="M230" s="2329" t="str">
        <f t="shared" ref="M230:M231" si="18">IMAGE("https://raw.githubusercontent.com/msikma/pokesprite/master/misc/types/gen8/dark.png",4,20,20)</f>
        <v/>
      </c>
      <c r="O230" s="2321" t="s">
        <v>640</v>
      </c>
      <c r="P230" s="2273"/>
      <c r="Q230" s="2274"/>
      <c r="R230" s="2329" t="str">
        <f>IMAGE("https://raw.githubusercontent.com/msikma/pokesprite/master/misc/types/gen8/flying.png",4,20,20)</f>
        <v/>
      </c>
      <c r="T230" s="2321" t="s">
        <v>735</v>
      </c>
      <c r="U230" s="2273"/>
      <c r="V230" s="2274"/>
      <c r="W230" s="2329" t="str">
        <f t="shared" si="17"/>
        <v/>
      </c>
      <c r="Y230" s="2321" t="s">
        <v>374</v>
      </c>
      <c r="Z230" s="2273"/>
      <c r="AA230" s="2274"/>
      <c r="AB230" s="2329" t="str">
        <f>IMAGE("https://raw.githubusercontent.com/msikma/pokesprite/master/misc/types/gen8/flying.png",4,20,20)</f>
        <v/>
      </c>
      <c r="AC230" s="2495"/>
      <c r="AD230" s="2270"/>
      <c r="AE230" s="2273"/>
      <c r="AF230" s="2273"/>
      <c r="AG230" s="2274"/>
      <c r="AH230" s="2276"/>
      <c r="AI230" s="2266"/>
    </row>
    <row r="231" ht="20.25" customHeight="1">
      <c r="A231" s="2260"/>
      <c r="B231" s="2268"/>
      <c r="C231" s="2269"/>
      <c r="D231" s="2270"/>
      <c r="E231" s="2321" t="s">
        <v>635</v>
      </c>
      <c r="F231" s="2273"/>
      <c r="G231" s="2274"/>
      <c r="H231" s="2329" t="str">
        <f>IMAGE("https://raw.githubusercontent.com/msikma/pokesprite/master/misc/types/gen8/normal.png",4,20,20)</f>
        <v/>
      </c>
      <c r="J231" s="2321" t="s">
        <v>541</v>
      </c>
      <c r="K231" s="2273"/>
      <c r="L231" s="2274"/>
      <c r="M231" s="2329" t="str">
        <f t="shared" si="18"/>
        <v/>
      </c>
      <c r="O231" s="2321" t="s">
        <v>312</v>
      </c>
      <c r="P231" s="2273"/>
      <c r="Q231" s="2274"/>
      <c r="R231" s="2329" t="str">
        <f>IMAGE("https://raw.githubusercontent.com/msikma/pokesprite/master/misc/types/gen8/grass.png",4,20,20)</f>
        <v/>
      </c>
      <c r="T231" s="2321" t="s">
        <v>556</v>
      </c>
      <c r="U231" s="2273"/>
      <c r="V231" s="2274"/>
      <c r="W231" s="2329" t="str">
        <f>IMAGE("https://raw.githubusercontent.com/msikma/pokesprite/master/misc/types/gen8/fairy.png",4,20,20)</f>
        <v/>
      </c>
      <c r="Y231" s="2321" t="s">
        <v>376</v>
      </c>
      <c r="Z231" s="2273"/>
      <c r="AA231" s="2274"/>
      <c r="AB231" s="2329" t="str">
        <f>IMAGE("https://raw.githubusercontent.com/msikma/pokesprite/master/misc/types/gen8/grass.png",4,20,20)</f>
        <v/>
      </c>
      <c r="AC231" s="2495"/>
      <c r="AD231" s="2270"/>
      <c r="AE231" s="2273"/>
      <c r="AF231" s="2273"/>
      <c r="AG231" s="2274"/>
      <c r="AH231" s="2276"/>
      <c r="AI231" s="2266"/>
    </row>
    <row r="232" ht="21.0" customHeight="1">
      <c r="A232" s="2260"/>
      <c r="B232" s="2268"/>
      <c r="C232" s="2269"/>
      <c r="D232" s="2270"/>
      <c r="E232" s="2330" t="s">
        <v>316</v>
      </c>
      <c r="F232" s="2331"/>
      <c r="G232" s="2332"/>
      <c r="H232" s="2333" t="str">
        <f>IMAGE("https://raw.githubusercontent.com/msikma/pokesprite/master/misc/types/gen8/fighting.png",4,20,20)</f>
        <v/>
      </c>
      <c r="I232" s="2497"/>
      <c r="J232" s="2330" t="s">
        <v>407</v>
      </c>
      <c r="K232" s="2331"/>
      <c r="L232" s="2332"/>
      <c r="M232" s="2333" t="str">
        <f>IMAGE("https://raw.githubusercontent.com/msikma/pokesprite/master/misc/types/gen8/steel.png",4,20,20)</f>
        <v/>
      </c>
      <c r="N232" s="2497"/>
      <c r="O232" s="2330" t="s">
        <v>489</v>
      </c>
      <c r="P232" s="2331"/>
      <c r="Q232" s="2332"/>
      <c r="R232" s="2333" t="str">
        <f>IMAGE("https://raw.githubusercontent.com/msikma/pokesprite/master/misc/types/gen8/normal.png",4,20,20)</f>
        <v/>
      </c>
      <c r="S232" s="2497"/>
      <c r="T232" s="2330" t="s">
        <v>215</v>
      </c>
      <c r="U232" s="2331"/>
      <c r="V232" s="2332"/>
      <c r="W232" s="2333" t="str">
        <f>IMAGE("https://raw.githubusercontent.com/msikma/pokesprite/master/misc/types/gen8/ice.png",4,20,20)</f>
        <v/>
      </c>
      <c r="X232" s="2497"/>
      <c r="Y232" s="2330" t="s">
        <v>344</v>
      </c>
      <c r="Z232" s="2331"/>
      <c r="AA232" s="2332"/>
      <c r="AB232" s="2333" t="str">
        <f>IMAGE("https://raw.githubusercontent.com/msikma/pokesprite/master/misc/types/gen8/fighting.png",4,20,20)</f>
        <v/>
      </c>
      <c r="AC232" s="2498"/>
      <c r="AD232" s="2270"/>
      <c r="AE232" s="2273"/>
      <c r="AF232" s="2273"/>
      <c r="AG232" s="2274"/>
      <c r="AH232" s="2276"/>
      <c r="AI232" s="2266"/>
    </row>
    <row r="233" ht="3.0" customHeight="1">
      <c r="A233" s="2336"/>
      <c r="B233" s="2337"/>
      <c r="C233" s="2338"/>
      <c r="D233" s="2339"/>
      <c r="E233" s="2340"/>
      <c r="F233" s="2340"/>
      <c r="G233" s="2340"/>
      <c r="H233" s="2340"/>
      <c r="I233" s="2339"/>
      <c r="J233" s="2340"/>
      <c r="K233" s="2340"/>
      <c r="L233" s="2340"/>
      <c r="M233" s="2340"/>
      <c r="N233" s="2339"/>
      <c r="O233" s="2340"/>
      <c r="P233" s="2340"/>
      <c r="Q233" s="2340"/>
      <c r="R233" s="2340"/>
      <c r="S233" s="2339"/>
      <c r="T233" s="2340"/>
      <c r="U233" s="2340"/>
      <c r="V233" s="2340"/>
      <c r="W233" s="2340"/>
      <c r="X233" s="2339"/>
      <c r="Y233" s="2340"/>
      <c r="Z233" s="2340"/>
      <c r="AA233" s="2340"/>
      <c r="AB233" s="2340"/>
      <c r="AC233" s="2342"/>
      <c r="AD233" s="2342"/>
      <c r="AE233" s="2342"/>
      <c r="AF233" s="2342"/>
      <c r="AG233" s="2342"/>
      <c r="AH233" s="2343"/>
      <c r="AI233" s="2344"/>
    </row>
    <row r="234" ht="16.5" customHeight="1">
      <c r="A234" s="2267"/>
      <c r="B234" s="2345"/>
      <c r="C234" s="2338"/>
      <c r="D234" s="2346"/>
      <c r="E234" s="2362" t="s">
        <v>190</v>
      </c>
      <c r="F234" s="381"/>
      <c r="G234" s="382"/>
      <c r="H234" s="2363" t="s">
        <v>191</v>
      </c>
      <c r="I234" s="2347"/>
      <c r="J234" s="2362" t="s">
        <v>190</v>
      </c>
      <c r="K234" s="381"/>
      <c r="L234" s="382"/>
      <c r="M234" s="2363" t="s">
        <v>191</v>
      </c>
      <c r="N234" s="2347"/>
      <c r="O234" s="2362" t="s">
        <v>190</v>
      </c>
      <c r="P234" s="381"/>
      <c r="Q234" s="382"/>
      <c r="R234" s="2363" t="s">
        <v>191</v>
      </c>
      <c r="S234" s="2347"/>
      <c r="T234" s="2362" t="s">
        <v>190</v>
      </c>
      <c r="U234" s="381"/>
      <c r="V234" s="382"/>
      <c r="W234" s="2363" t="s">
        <v>191</v>
      </c>
      <c r="X234" s="2347"/>
      <c r="Y234" s="2362" t="s">
        <v>190</v>
      </c>
      <c r="Z234" s="381"/>
      <c r="AA234" s="382"/>
      <c r="AB234" s="2363" t="s">
        <v>191</v>
      </c>
      <c r="AC234" s="2499"/>
      <c r="AD234" s="2350"/>
      <c r="AE234" s="2350"/>
      <c r="AF234" s="2350"/>
      <c r="AG234" s="2350"/>
      <c r="AH234" s="2351"/>
      <c r="AI234" s="2352"/>
    </row>
    <row r="235" ht="15.75" customHeight="1">
      <c r="A235" s="2267"/>
      <c r="B235" s="2345"/>
      <c r="C235" s="2338"/>
      <c r="D235" s="2346"/>
      <c r="E235" s="2365" t="s">
        <v>192</v>
      </c>
      <c r="F235" s="2366">
        <f t="array" ref="F235">IFERROR(VLOOKUP(E222,Dex!$B$3:$N415,8,FALSE),"")</f>
        <v>85</v>
      </c>
      <c r="G235" s="2367" t="str">
        <f t="array" ref="G235">IFERROR(VLOOKUP(F235,Dex!$P$22:$Q$276,2,FALSE),"")</f>
        <v/>
      </c>
      <c r="H235" s="2368"/>
      <c r="I235" s="2532"/>
      <c r="J235" s="2365" t="s">
        <v>192</v>
      </c>
      <c r="K235" s="2366">
        <f t="array" ref="K235">IFERROR(VLOOKUP(J222,Dex!$B$3:$N415,8,FALSE),"")</f>
        <v>100</v>
      </c>
      <c r="L235" s="2367" t="str">
        <f t="array" ref="L235">IFERROR(VLOOKUP(K235,Dex!$P$22:$Q$276,2,FALSE),"")</f>
        <v/>
      </c>
      <c r="M235" s="2368">
        <v>252.0</v>
      </c>
      <c r="N235" s="2532"/>
      <c r="O235" s="2365" t="s">
        <v>192</v>
      </c>
      <c r="P235" s="2366">
        <f t="array" ref="P235">IFERROR(VLOOKUP(O222,Dex!$B$3:$N415,8,FALSE),"")</f>
        <v>75</v>
      </c>
      <c r="Q235" s="2367" t="str">
        <f t="array" ref="Q235">IFERROR(VLOOKUP(P235,Dex!$P$22:$Q$276,2,FALSE),"")</f>
        <v/>
      </c>
      <c r="R235" s="2368"/>
      <c r="S235" s="2532"/>
      <c r="T235" s="2365" t="s">
        <v>192</v>
      </c>
      <c r="U235" s="2366">
        <f t="array" ref="U235">IFERROR(VLOOKUP(T222,Dex!$B$3:$N415,8,FALSE),"")</f>
        <v>100</v>
      </c>
      <c r="V235" s="2367" t="str">
        <f t="array" ref="V235">IFERROR(VLOOKUP(U235,Dex!$P$22:$Q$276,2,FALSE),"")</f>
        <v/>
      </c>
      <c r="W235" s="2368">
        <v>252.0</v>
      </c>
      <c r="X235" s="2532"/>
      <c r="Y235" s="2365" t="s">
        <v>192</v>
      </c>
      <c r="Z235" s="2366">
        <f t="array" ref="Z235">IFERROR(VLOOKUP(Y222,Dex!$B$3:$N415,8,FALSE),"")</f>
        <v>78</v>
      </c>
      <c r="AA235" s="2367" t="str">
        <f t="array" ref="AA235">IFERROR(VLOOKUP(Z235,Dex!$P$22:$Q$276,2,FALSE),"")</f>
        <v/>
      </c>
      <c r="AB235" s="2368"/>
      <c r="AC235" s="2533"/>
      <c r="AD235" s="2350"/>
      <c r="AE235" s="2350"/>
      <c r="AF235" s="2350"/>
      <c r="AG235" s="2350"/>
      <c r="AH235" s="2351"/>
      <c r="AI235" s="2352"/>
    </row>
    <row r="236" ht="15.75" customHeight="1">
      <c r="A236" s="2267"/>
      <c r="B236" s="2345"/>
      <c r="C236" s="2338"/>
      <c r="D236" s="2346"/>
      <c r="E236" s="2369" t="s">
        <v>193</v>
      </c>
      <c r="F236" s="2370">
        <f t="array" ref="F236">IFERROR(VLOOKUP(E222,Dex!$B$3:$N415,9,FALSE),"")</f>
        <v>120</v>
      </c>
      <c r="G236" s="2371" t="str">
        <f t="array" ref="G236">IFERROR(VLOOKUP(F236,Dex!$P$22:$Q$276,2,FALSE),"")</f>
        <v/>
      </c>
      <c r="H236" s="2372">
        <v>252.0</v>
      </c>
      <c r="I236" s="2532"/>
      <c r="J236" s="2369" t="s">
        <v>193</v>
      </c>
      <c r="K236" s="2370">
        <f t="array" ref="K236">IFERROR(VLOOKUP(J222,Dex!$B$3:$N415,9,FALSE),"")</f>
        <v>135</v>
      </c>
      <c r="L236" s="2371" t="str">
        <f t="array" ref="L236">IFERROR(VLOOKUP(K236,Dex!$P$22:$Q$276,2,FALSE),"")</f>
        <v/>
      </c>
      <c r="M236" s="2372">
        <v>252.0</v>
      </c>
      <c r="N236" s="2532"/>
      <c r="O236" s="2369" t="s">
        <v>193</v>
      </c>
      <c r="P236" s="2370">
        <f t="array" ref="P236">IFERROR(VLOOKUP(O222,Dex!$B$3:$N415,9,FALSE),"")</f>
        <v>85</v>
      </c>
      <c r="Q236" s="2371" t="str">
        <f t="array" ref="Q236">IFERROR(VLOOKUP(P236,Dex!$P$22:$Q$276,2,FALSE),"")</f>
        <v/>
      </c>
      <c r="R236" s="2372">
        <v>252.0</v>
      </c>
      <c r="S236" s="2532"/>
      <c r="T236" s="2369" t="s">
        <v>193</v>
      </c>
      <c r="U236" s="2370">
        <f t="array" ref="U236">IFERROR(VLOOKUP(T222,Dex!$B$3:$N415,9,FALSE),"")</f>
        <v>50</v>
      </c>
      <c r="V236" s="2371" t="str">
        <f t="array" ref="V236">IFERROR(VLOOKUP(U236,Dex!$P$22:$Q$276,2,FALSE),"")</f>
        <v/>
      </c>
      <c r="W236" s="2372">
        <v>252.0</v>
      </c>
      <c r="X236" s="2532"/>
      <c r="Y236" s="2369" t="s">
        <v>193</v>
      </c>
      <c r="Z236" s="2370">
        <f t="array" ref="Z236">IFERROR(VLOOKUP(Y222,Dex!$B$3:$N415,9,FALSE),"")</f>
        <v>104</v>
      </c>
      <c r="AA236" s="2371" t="str">
        <f t="array" ref="AA236">IFERROR(VLOOKUP(Z236,Dex!$P$22:$Q$276,2,FALSE),"")</f>
        <v/>
      </c>
      <c r="AB236" s="2372"/>
      <c r="AC236" s="2533"/>
      <c r="AD236" s="2350"/>
      <c r="AE236" s="2350"/>
      <c r="AF236" s="2350"/>
      <c r="AG236" s="2350"/>
      <c r="AH236" s="2351"/>
      <c r="AI236" s="2352"/>
    </row>
    <row r="237" ht="15.75" customHeight="1">
      <c r="A237" s="2267"/>
      <c r="B237" s="2345"/>
      <c r="C237" s="2338"/>
      <c r="D237" s="2346"/>
      <c r="E237" s="2369" t="s">
        <v>194</v>
      </c>
      <c r="F237" s="2370">
        <f t="array" ref="F237">IFERROR(VLOOKUP(E222,Dex!$B$3:$N415,10,FALSE),"")</f>
        <v>70</v>
      </c>
      <c r="G237" s="2371" t="str">
        <f t="array" ref="G237">IFERROR(VLOOKUP(F237,Dex!$P$22:$Q$276,2,FALSE),"")</f>
        <v/>
      </c>
      <c r="H237" s="2372">
        <v>4.0</v>
      </c>
      <c r="I237" s="2532"/>
      <c r="J237" s="2369" t="s">
        <v>194</v>
      </c>
      <c r="K237" s="2370">
        <f t="array" ref="K237">IFERROR(VLOOKUP(J222,Dex!$B$3:$N415,10,FALSE),"")</f>
        <v>120</v>
      </c>
      <c r="L237" s="2371" t="str">
        <f t="array" ref="L237">IFERROR(VLOOKUP(K237,Dex!$P$22:$Q$276,2,FALSE),"")</f>
        <v/>
      </c>
      <c r="M237" s="2372"/>
      <c r="N237" s="2532"/>
      <c r="O237" s="2369" t="s">
        <v>194</v>
      </c>
      <c r="P237" s="2370">
        <f t="array" ref="P237">IFERROR(VLOOKUP(O222,Dex!$B$3:$N415,10,FALSE),"")</f>
        <v>70</v>
      </c>
      <c r="Q237" s="2371" t="str">
        <f t="array" ref="Q237">IFERROR(VLOOKUP(P237,Dex!$P$22:$Q$276,2,FALSE),"")</f>
        <v/>
      </c>
      <c r="R237" s="2372">
        <v>4.0</v>
      </c>
      <c r="S237" s="2532"/>
      <c r="T237" s="2369" t="s">
        <v>194</v>
      </c>
      <c r="U237" s="2370">
        <f t="array" ref="U237">IFERROR(VLOOKUP(T222,Dex!$B$3:$N415,10,FALSE),"")</f>
        <v>80</v>
      </c>
      <c r="V237" s="2371" t="str">
        <f t="array" ref="V237">IFERROR(VLOOKUP(U237,Dex!$P$22:$Q$276,2,FALSE),"")</f>
        <v/>
      </c>
      <c r="W237" s="2372">
        <v>4.0</v>
      </c>
      <c r="X237" s="2532"/>
      <c r="Y237" s="2369" t="s">
        <v>194</v>
      </c>
      <c r="Z237" s="2370">
        <f t="array" ref="Z237">IFERROR(VLOOKUP(Y222,Dex!$B$3:$N415,10,FALSE),"")</f>
        <v>78</v>
      </c>
      <c r="AA237" s="2371" t="str">
        <f t="array" ref="AA237">IFERROR(VLOOKUP(Z237,Dex!$P$22:$Q$276,2,FALSE),"")</f>
        <v/>
      </c>
      <c r="AB237" s="2372">
        <v>4.0</v>
      </c>
      <c r="AC237" s="2533"/>
      <c r="AD237" s="2350"/>
      <c r="AE237" s="2350"/>
      <c r="AF237" s="2350"/>
      <c r="AG237" s="2350"/>
      <c r="AH237" s="2351"/>
      <c r="AI237" s="2352"/>
    </row>
    <row r="238" ht="15.75" customHeight="1">
      <c r="A238" s="2267"/>
      <c r="B238" s="2345"/>
      <c r="C238" s="2338"/>
      <c r="D238" s="2346"/>
      <c r="E238" s="2369" t="s">
        <v>195</v>
      </c>
      <c r="F238" s="2370">
        <f t="array" ref="F238">IFERROR(VLOOKUP(E222,Dex!$B$3:$N415,11,FALSE),"")</f>
        <v>50</v>
      </c>
      <c r="G238" s="2371" t="str">
        <f t="array" ref="G238">IFERROR(VLOOKUP(F238,Dex!$P$22:$Q$276,2,FALSE),"")</f>
        <v/>
      </c>
      <c r="H238" s="2372"/>
      <c r="I238" s="2532"/>
      <c r="J238" s="2369" t="s">
        <v>195</v>
      </c>
      <c r="K238" s="2370">
        <f t="array" ref="K238">IFERROR(VLOOKUP(J222,Dex!$B$3:$N415,11,FALSE),"")</f>
        <v>60</v>
      </c>
      <c r="L238" s="2371" t="str">
        <f t="array" ref="L238">IFERROR(VLOOKUP(K238,Dex!$P$22:$Q$276,2,FALSE),"")</f>
        <v/>
      </c>
      <c r="M238" s="2372"/>
      <c r="N238" s="2532"/>
      <c r="O238" s="2369" t="s">
        <v>195</v>
      </c>
      <c r="P238" s="2370">
        <f t="array" ref="P238">IFERROR(VLOOKUP(O222,Dex!$B$3:$N415,11,FALSE),"")</f>
        <v>35</v>
      </c>
      <c r="Q238" s="2371" t="str">
        <f t="array" ref="Q238">IFERROR(VLOOKUP(P238,Dex!$P$22:$Q$276,2,FALSE),"")</f>
        <v/>
      </c>
      <c r="R238" s="2372"/>
      <c r="S238" s="2532"/>
      <c r="T238" s="2369" t="s">
        <v>195</v>
      </c>
      <c r="U238" s="2370">
        <f t="array" ref="U238">IFERROR(VLOOKUP(T222,Dex!$B$3:$N415,11,FALSE),"")</f>
        <v>60</v>
      </c>
      <c r="V238" s="2371" t="str">
        <f t="array" ref="V238">IFERROR(VLOOKUP(U238,Dex!$P$22:$Q$276,2,FALSE),"")</f>
        <v/>
      </c>
      <c r="W238" s="2372"/>
      <c r="X238" s="2532"/>
      <c r="Y238" s="2369" t="s">
        <v>195</v>
      </c>
      <c r="Z238" s="2370">
        <f t="array" ref="Z238">IFERROR(VLOOKUP(Y222,Dex!$B$3:$N415,11,FALSE),"")</f>
        <v>159</v>
      </c>
      <c r="AA238" s="2371" t="str">
        <f t="array" ref="AA238">IFERROR(VLOOKUP(Z238,Dex!$P$22:$Q$276,2,FALSE),"")</f>
        <v/>
      </c>
      <c r="AB238" s="2372">
        <v>252.0</v>
      </c>
      <c r="AC238" s="2533"/>
      <c r="AD238" s="2350"/>
      <c r="AE238" s="2350"/>
      <c r="AF238" s="2350"/>
      <c r="AG238" s="2350"/>
      <c r="AH238" s="2351"/>
      <c r="AI238" s="2352"/>
    </row>
    <row r="239" ht="15.75" customHeight="1">
      <c r="A239" s="2267"/>
      <c r="B239" s="2345"/>
      <c r="C239" s="2500"/>
      <c r="D239" s="2346"/>
      <c r="E239" s="2369" t="s">
        <v>196</v>
      </c>
      <c r="F239" s="2370">
        <f t="array" ref="F239">IFERROR(VLOOKUP(E222,Dex!$B$3:$N415,12,FALSE),"")</f>
        <v>60</v>
      </c>
      <c r="G239" s="2371" t="str">
        <f t="array" ref="G239">IFERROR(VLOOKUP(F239,Dex!$P$22:$Q$276,2,FALSE),"")</f>
        <v/>
      </c>
      <c r="H239" s="2372"/>
      <c r="I239" s="2532"/>
      <c r="J239" s="2369" t="s">
        <v>196</v>
      </c>
      <c r="K239" s="2370">
        <f t="array" ref="K239">IFERROR(VLOOKUP(J222,Dex!$B$3:$N415,12,FALSE),"")</f>
        <v>85</v>
      </c>
      <c r="L239" s="2371" t="str">
        <f t="array" ref="L239">IFERROR(VLOOKUP(K239,Dex!$P$22:$Q$276,2,FALSE),"")</f>
        <v/>
      </c>
      <c r="M239" s="2372"/>
      <c r="N239" s="2532"/>
      <c r="O239" s="2369" t="s">
        <v>196</v>
      </c>
      <c r="P239" s="2370">
        <f t="array" ref="P239">IFERROR(VLOOKUP(O222,Dex!$B$3:$N415,12,FALSE),"")</f>
        <v>95</v>
      </c>
      <c r="Q239" s="2371" t="str">
        <f t="array" ref="Q239">IFERROR(VLOOKUP(P239,Dex!$P$22:$Q$276,2,FALSE),"")</f>
        <v/>
      </c>
      <c r="R239" s="2372"/>
      <c r="S239" s="2532"/>
      <c r="T239" s="2369" t="s">
        <v>196</v>
      </c>
      <c r="U239" s="2370">
        <f t="array" ref="U239">IFERROR(VLOOKUP(T222,Dex!$B$3:$N415,12,FALSE),"")</f>
        <v>80</v>
      </c>
      <c r="V239" s="2371" t="str">
        <f t="array" ref="V239">IFERROR(VLOOKUP(U239,Dex!$P$22:$Q$276,2,FALSE),"")</f>
        <v/>
      </c>
      <c r="W239" s="2372"/>
      <c r="X239" s="2532"/>
      <c r="Y239" s="2369" t="s">
        <v>196</v>
      </c>
      <c r="Z239" s="2370">
        <f t="array" ref="Z239">IFERROR(VLOOKUP(Y222,Dex!$B$3:$N415,12,FALSE),"")</f>
        <v>115</v>
      </c>
      <c r="AA239" s="2371" t="str">
        <f t="array" ref="AA239">IFERROR(VLOOKUP(Z239,Dex!$P$22:$Q$276,2,FALSE),"")</f>
        <v/>
      </c>
      <c r="AB239" s="2372"/>
      <c r="AC239" s="2533"/>
      <c r="AD239" s="2350"/>
      <c r="AE239" s="2350"/>
      <c r="AF239" s="2350"/>
      <c r="AG239" s="2350"/>
      <c r="AH239" s="2351"/>
      <c r="AI239" s="2352"/>
    </row>
    <row r="240" ht="15.75" customHeight="1">
      <c r="A240" s="2267"/>
      <c r="B240" s="2501"/>
      <c r="C240" s="1204" t="s">
        <v>436</v>
      </c>
      <c r="D240" s="2502"/>
      <c r="E240" s="2373" t="s">
        <v>197</v>
      </c>
      <c r="F240" s="2374">
        <f t="array" ref="F240">IFERROR(VLOOKUP(E222,Dex!$B$3:$N415,13,FALSE),"")</f>
        <v>100</v>
      </c>
      <c r="G240" s="2375" t="str">
        <f t="array" ref="G240">IFERROR(VLOOKUP(F240,Dex!$P$22:$Q$276,2,FALSE),"")</f>
        <v/>
      </c>
      <c r="H240" s="2376">
        <v>252.0</v>
      </c>
      <c r="I240" s="2532"/>
      <c r="J240" s="2373" t="s">
        <v>197</v>
      </c>
      <c r="K240" s="2374">
        <f t="array" ref="K240">IFERROR(VLOOKUP(J222,Dex!$B$3:$N415,13,FALSE),"")</f>
        <v>50</v>
      </c>
      <c r="L240" s="2375" t="str">
        <f t="array" ref="L240">IFERROR(VLOOKUP(K240,Dex!$P$22:$Q$276,2,FALSE),"")</f>
        <v/>
      </c>
      <c r="M240" s="2376">
        <v>4.0</v>
      </c>
      <c r="N240" s="2532"/>
      <c r="O240" s="2373" t="s">
        <v>197</v>
      </c>
      <c r="P240" s="2374">
        <f t="array" ref="P240">IFERROR(VLOOKUP(O222,Dex!$B$3:$N415,13,FALSE),"")</f>
        <v>110</v>
      </c>
      <c r="Q240" s="2375" t="str">
        <f t="array" ref="Q240">IFERROR(VLOOKUP(P240,Dex!$P$22:$Q$276,2,FALSE),"")</f>
        <v/>
      </c>
      <c r="R240" s="2376">
        <v>252.0</v>
      </c>
      <c r="S240" s="2532"/>
      <c r="T240" s="2373" t="s">
        <v>197</v>
      </c>
      <c r="U240" s="2374">
        <f t="array" ref="U240">IFERROR(VLOOKUP(T222,Dex!$B$3:$N415,13,FALSE),"")</f>
        <v>50</v>
      </c>
      <c r="V240" s="2375" t="str">
        <f t="array" ref="V240">IFERROR(VLOOKUP(U240,Dex!$P$22:$Q$276,2,FALSE),"")</f>
        <v/>
      </c>
      <c r="W240" s="2376"/>
      <c r="X240" s="2532"/>
      <c r="Y240" s="2373" t="s">
        <v>197</v>
      </c>
      <c r="Z240" s="2374">
        <f t="array" ref="Z240">IFERROR(VLOOKUP(Y222,Dex!$B$3:$N415,13,FALSE),"")</f>
        <v>100</v>
      </c>
      <c r="AA240" s="2375" t="str">
        <f t="array" ref="AA240">IFERROR(VLOOKUP(Z240,Dex!$P$22:$Q$276,2,FALSE),"")</f>
        <v/>
      </c>
      <c r="AB240" s="2376">
        <v>252.0</v>
      </c>
      <c r="AC240" s="2533"/>
      <c r="AD240" s="2350"/>
      <c r="AE240" s="2350"/>
      <c r="AF240" s="2350"/>
      <c r="AG240" s="2350"/>
      <c r="AH240" s="2351"/>
      <c r="AI240" s="2352"/>
    </row>
    <row r="241" ht="16.5" customHeight="1">
      <c r="A241" s="2267"/>
      <c r="B241" s="2501"/>
      <c r="C241" s="1205" t="s">
        <v>750</v>
      </c>
      <c r="D241" s="2502"/>
      <c r="E241" s="2377" t="s">
        <v>198</v>
      </c>
      <c r="F241" s="405"/>
      <c r="G241" s="406"/>
      <c r="H241" s="2378">
        <v>172.0</v>
      </c>
      <c r="I241" s="2347"/>
      <c r="J241" s="2377" t="s">
        <v>198</v>
      </c>
      <c r="K241" s="405"/>
      <c r="L241" s="406"/>
      <c r="M241" s="2378">
        <v>81.0</v>
      </c>
      <c r="N241" s="2347"/>
      <c r="O241" s="2377" t="s">
        <v>198</v>
      </c>
      <c r="P241" s="405"/>
      <c r="Q241" s="406"/>
      <c r="R241" s="2378">
        <v>188.0</v>
      </c>
      <c r="S241" s="2347"/>
      <c r="T241" s="2377" t="s">
        <v>198</v>
      </c>
      <c r="U241" s="405"/>
      <c r="V241" s="406"/>
      <c r="W241" s="2378">
        <v>74.0</v>
      </c>
      <c r="X241" s="2347"/>
      <c r="Y241" s="2377" t="s">
        <v>198</v>
      </c>
      <c r="Z241" s="405"/>
      <c r="AA241" s="406"/>
      <c r="AB241" s="2378">
        <v>179.0</v>
      </c>
      <c r="AC241" s="2499"/>
      <c r="AD241" s="2350"/>
      <c r="AE241" s="2350"/>
      <c r="AF241" s="2350"/>
      <c r="AG241" s="2350"/>
      <c r="AH241" s="2351"/>
      <c r="AI241" s="2352"/>
    </row>
    <row r="242" ht="11.25" customHeight="1">
      <c r="A242" s="2260"/>
      <c r="B242" s="2268"/>
      <c r="C242" s="2505"/>
      <c r="D242" s="2316"/>
      <c r="E242" s="2353"/>
      <c r="F242" s="2353"/>
      <c r="G242" s="2353"/>
      <c r="H242" s="2353"/>
      <c r="I242" s="2287"/>
      <c r="J242" s="2353"/>
      <c r="K242" s="2353"/>
      <c r="L242" s="2353"/>
      <c r="M242" s="2353"/>
      <c r="N242" s="2287"/>
      <c r="O242" s="2534"/>
      <c r="P242" s="2534"/>
      <c r="Q242" s="2534"/>
      <c r="R242" s="2379"/>
      <c r="S242" s="2287"/>
      <c r="T242" s="2534"/>
      <c r="U242" s="2534"/>
      <c r="V242" s="2534"/>
      <c r="W242" s="2379"/>
      <c r="X242" s="2287"/>
      <c r="Y242" s="2534"/>
      <c r="Z242" s="2534"/>
      <c r="AA242" s="2534"/>
      <c r="AB242" s="2379"/>
      <c r="AC242" s="2316"/>
      <c r="AD242" s="2316"/>
      <c r="AE242" s="2316"/>
      <c r="AF242" s="2316"/>
      <c r="AG242" s="2316"/>
      <c r="AH242" s="2276"/>
      <c r="AI242" s="2266"/>
    </row>
    <row r="243">
      <c r="A243" s="2267"/>
      <c r="B243" s="2268"/>
      <c r="C243" s="2269"/>
      <c r="D243" s="2270"/>
      <c r="E243" s="2380" t="s">
        <v>693</v>
      </c>
      <c r="F243" s="1579"/>
      <c r="G243" s="1579"/>
      <c r="H243" s="1579"/>
      <c r="I243" s="1579"/>
      <c r="J243" s="1579"/>
      <c r="K243" s="1579"/>
      <c r="L243" s="1579"/>
      <c r="M243" s="1579"/>
      <c r="N243" s="1579"/>
      <c r="O243" s="1579"/>
      <c r="P243" s="1579"/>
      <c r="Q243" s="1579"/>
      <c r="R243" s="1579"/>
      <c r="S243" s="1579"/>
      <c r="T243" s="1579"/>
      <c r="U243" s="1579"/>
      <c r="V243" s="1579"/>
      <c r="W243" s="1579"/>
      <c r="X243" s="1579"/>
      <c r="Y243" s="1579"/>
      <c r="Z243" s="1579"/>
      <c r="AA243" s="1579"/>
      <c r="AB243" s="1580"/>
      <c r="AC243" s="2499"/>
      <c r="AD243" s="2535"/>
      <c r="AE243" s="2350"/>
      <c r="AF243" s="2275"/>
      <c r="AG243" s="2275"/>
      <c r="AH243" s="2276"/>
      <c r="AI243" s="2266"/>
    </row>
    <row r="244" ht="3.75" customHeight="1">
      <c r="A244" s="2267"/>
      <c r="B244" s="2268"/>
      <c r="C244" s="2277"/>
      <c r="D244" s="2278"/>
      <c r="E244" s="2490"/>
      <c r="F244" s="2490"/>
      <c r="G244" s="2490"/>
      <c r="H244" s="2490"/>
      <c r="I244" s="2354"/>
      <c r="J244" s="2490"/>
      <c r="K244" s="2490"/>
      <c r="L244" s="2490"/>
      <c r="M244" s="2490"/>
      <c r="N244" s="2354"/>
      <c r="O244" s="2490"/>
      <c r="P244" s="2490"/>
      <c r="Q244" s="2490"/>
      <c r="R244" s="2490"/>
      <c r="S244" s="2354"/>
      <c r="T244" s="2490"/>
      <c r="U244" s="2490"/>
      <c r="V244" s="2490"/>
      <c r="W244" s="2490"/>
      <c r="X244" s="2354"/>
      <c r="Y244" s="2490"/>
      <c r="Z244" s="2490"/>
      <c r="AA244" s="2490"/>
      <c r="AB244" s="2490"/>
      <c r="AC244" s="2278"/>
      <c r="AD244" s="2278"/>
      <c r="AE244" s="2278"/>
      <c r="AF244" s="2278"/>
      <c r="AG244" s="2278"/>
      <c r="AH244" s="2276"/>
      <c r="AI244" s="2266"/>
    </row>
    <row r="245" ht="96.75" customHeight="1">
      <c r="A245" s="2260"/>
      <c r="B245" s="2281"/>
      <c r="C245" s="2381" t="str">
        <f>IMAGE("https://i.ibb.co/fXwks6z/Rival.png")</f>
        <v/>
      </c>
      <c r="D245" s="2491"/>
      <c r="E245" s="2382" t="str">
        <f t="array" ref="E245">IFERROR(VLOOKUP(E246,Dex!$B$3:$G415,3,FALSE),"")</f>
        <v/>
      </c>
      <c r="F245" s="1830"/>
      <c r="G245" s="1830"/>
      <c r="H245" s="1831"/>
      <c r="I245" s="2536"/>
      <c r="J245" s="2382" t="str">
        <f t="array" ref="J245">IFERROR(VLOOKUP(J246,Dex!$B$3:$G415,3,FALSE),"")</f>
        <v/>
      </c>
      <c r="K245" s="1830"/>
      <c r="L245" s="1830"/>
      <c r="M245" s="1831"/>
      <c r="N245" s="2536"/>
      <c r="O245" s="2382" t="str">
        <f t="array" ref="O245">IFERROR(VLOOKUP(O246,Dex!$B$3:$G415,3,FALSE),"")</f>
        <v/>
      </c>
      <c r="P245" s="1830"/>
      <c r="Q245" s="1830"/>
      <c r="R245" s="1831"/>
      <c r="S245" s="2536"/>
      <c r="T245" s="2382" t="str">
        <f t="array" ref="T245">IFERROR(VLOOKUP(T246,Dex!$B$3:$G415,3,FALSE),"")</f>
        <v/>
      </c>
      <c r="U245" s="1830"/>
      <c r="V245" s="1830"/>
      <c r="W245" s="1831"/>
      <c r="X245" s="2536"/>
      <c r="Y245" s="2382" t="str">
        <f t="array" ref="Y245">IFERROR(VLOOKUP(Y246,Dex!$B$3:$G415,3,FALSE),"")</f>
        <v/>
      </c>
      <c r="Z245" s="1830"/>
      <c r="AA245" s="1830"/>
      <c r="AB245" s="1831"/>
      <c r="AC245" s="2493"/>
      <c r="AD245" s="2270"/>
      <c r="AE245" s="2273"/>
      <c r="AF245" s="2273"/>
      <c r="AG245" s="2274"/>
      <c r="AH245" s="2276"/>
      <c r="AI245" s="2266"/>
    </row>
    <row r="246" ht="18.75" customHeight="1">
      <c r="A246" s="2288"/>
      <c r="B246" s="2358"/>
      <c r="C246" s="2290" t="s">
        <v>755</v>
      </c>
      <c r="D246" s="2359"/>
      <c r="E246" s="2292" t="s">
        <v>740</v>
      </c>
      <c r="F246" s="2293"/>
      <c r="G246" s="2293"/>
      <c r="H246" s="2294"/>
      <c r="J246" s="2292" t="s">
        <v>741</v>
      </c>
      <c r="K246" s="2293"/>
      <c r="L246" s="2293"/>
      <c r="M246" s="2294"/>
      <c r="O246" s="2292" t="s">
        <v>752</v>
      </c>
      <c r="P246" s="2293"/>
      <c r="Q246" s="2293"/>
      <c r="R246" s="2294"/>
      <c r="T246" s="2292" t="s">
        <v>743</v>
      </c>
      <c r="U246" s="2293"/>
      <c r="V246" s="2293"/>
      <c r="W246" s="2294"/>
      <c r="Y246" s="2292" t="s">
        <v>260</v>
      </c>
      <c r="Z246" s="2293"/>
      <c r="AA246" s="2293"/>
      <c r="AB246" s="2294"/>
      <c r="AC246" s="2495"/>
      <c r="AD246" s="2297"/>
      <c r="AE246" s="2273"/>
      <c r="AF246" s="2273"/>
      <c r="AG246" s="2274"/>
      <c r="AH246" s="2298"/>
      <c r="AI246" s="2299"/>
    </row>
    <row r="247">
      <c r="A247" s="2260"/>
      <c r="B247" s="2300"/>
      <c r="C247" s="326"/>
      <c r="D247" s="2360"/>
      <c r="E247" s="2496" t="s">
        <v>715</v>
      </c>
      <c r="F247" s="2303"/>
      <c r="G247" s="2303"/>
      <c r="H247" s="2304"/>
      <c r="J247" s="2496" t="s">
        <v>714</v>
      </c>
      <c r="K247" s="2303"/>
      <c r="L247" s="2303"/>
      <c r="M247" s="2304"/>
      <c r="O247" s="2496" t="s">
        <v>714</v>
      </c>
      <c r="P247" s="2303"/>
      <c r="Q247" s="2303"/>
      <c r="R247" s="2304"/>
      <c r="T247" s="2496" t="s">
        <v>714</v>
      </c>
      <c r="U247" s="2303"/>
      <c r="V247" s="2303"/>
      <c r="W247" s="2304"/>
      <c r="Y247" s="2496" t="s">
        <v>420</v>
      </c>
      <c r="Z247" s="2303"/>
      <c r="AA247" s="2303"/>
      <c r="AB247" s="2304"/>
      <c r="AC247" s="2495"/>
      <c r="AD247" s="2270"/>
      <c r="AE247" s="2273"/>
      <c r="AF247" s="2273"/>
      <c r="AG247" s="2274"/>
      <c r="AH247" s="2276"/>
      <c r="AI247" s="2266"/>
    </row>
    <row r="248" ht="25.5" customHeight="1">
      <c r="A248" s="2260"/>
      <c r="B248" s="2268"/>
      <c r="C248" s="2305"/>
      <c r="D248" s="2306"/>
      <c r="E248" s="2307"/>
      <c r="F248" s="2308" t="str">
        <f t="array" ref="F248">IFERROR(VLOOKUP(E246,Dex!$B$3:$H415,5,FALSE),"")</f>
        <v/>
      </c>
      <c r="G248" s="2309" t="str">
        <f t="array" ref="G248">IFERROR(VLOOKUP(E246,Dex!$B$3:$H415,7,FALSE),"")</f>
        <v/>
      </c>
      <c r="H248" s="2310"/>
      <c r="J248" s="2307"/>
      <c r="K248" s="2308" t="str">
        <f t="array" ref="K248">IFERROR(VLOOKUP(J246,Dex!$B$3:$H415,5,FALSE),"")</f>
        <v/>
      </c>
      <c r="L248" s="2309" t="str">
        <f t="array" ref="L248">IFERROR(VLOOKUP(J246,Dex!$B$3:$H415,7,FALSE),"")</f>
        <v/>
      </c>
      <c r="M248" s="2310"/>
      <c r="O248" s="2307"/>
      <c r="P248" s="2308" t="str">
        <f t="array" ref="P248">IFERROR(VLOOKUP(O246,Dex!$B$3:$H415,5,FALSE),"")</f>
        <v/>
      </c>
      <c r="Q248" s="2309" t="str">
        <f t="array" ref="Q248">IFERROR(VLOOKUP(O246,Dex!$B$3:$H415,7,FALSE),"")</f>
        <v/>
      </c>
      <c r="R248" s="2310"/>
      <c r="T248" s="2307"/>
      <c r="U248" s="2311" t="str">
        <f t="array" ref="U248">IFERROR(VLOOKUP(T246,Dex!$B$3:$H415,5,FALSE),"")</f>
        <v/>
      </c>
      <c r="V248" s="2312"/>
      <c r="W248" s="2310"/>
      <c r="Y248" s="2307"/>
      <c r="Z248" s="2308" t="str">
        <f t="array" ref="Z248">IFERROR(VLOOKUP(Y246,Dex!$B$3:$H415,5,FALSE),"")</f>
        <v/>
      </c>
      <c r="AA248" s="2309" t="str">
        <f t="array" ref="AA248">IFERROR(VLOOKUP(Y246,Dex!$B$3:$H415,7,FALSE),"")</f>
        <v/>
      </c>
      <c r="AB248" s="2310"/>
      <c r="AC248" s="2495"/>
      <c r="AD248" s="2270"/>
      <c r="AE248" s="2273"/>
      <c r="AF248" s="2273"/>
      <c r="AG248" s="2274"/>
      <c r="AH248" s="2276"/>
      <c r="AI248" s="2266"/>
    </row>
    <row r="249" ht="2.25" customHeight="1">
      <c r="A249" s="2260"/>
      <c r="B249" s="2268"/>
      <c r="C249" s="104"/>
      <c r="D249" s="2306"/>
      <c r="E249" s="2313"/>
      <c r="F249" s="2314"/>
      <c r="G249" s="2314"/>
      <c r="H249" s="2315"/>
      <c r="J249" s="2313"/>
      <c r="K249" s="2314"/>
      <c r="L249" s="2314"/>
      <c r="M249" s="2315"/>
      <c r="O249" s="2313"/>
      <c r="P249" s="2314"/>
      <c r="Q249" s="2314"/>
      <c r="R249" s="2315"/>
      <c r="T249" s="2313"/>
      <c r="U249" s="2314"/>
      <c r="V249" s="2314"/>
      <c r="W249" s="2315"/>
      <c r="Y249" s="2313"/>
      <c r="Z249" s="2314"/>
      <c r="AA249" s="2314"/>
      <c r="AB249" s="2315"/>
      <c r="AC249" s="2495"/>
      <c r="AD249" s="2316"/>
      <c r="AE249" s="2316"/>
      <c r="AF249" s="2316"/>
      <c r="AG249" s="2316"/>
      <c r="AH249" s="2276"/>
      <c r="AI249" s="2266"/>
    </row>
    <row r="250" ht="20.25" customHeight="1">
      <c r="A250" s="2260"/>
      <c r="B250" s="2268"/>
      <c r="C250" s="281"/>
      <c r="D250" s="2270"/>
      <c r="E250" s="2317" t="s">
        <v>172</v>
      </c>
      <c r="F250" s="2318"/>
      <c r="G250" s="2318"/>
      <c r="H250" s="2319"/>
      <c r="J250" s="2317" t="s">
        <v>172</v>
      </c>
      <c r="K250" s="2318"/>
      <c r="L250" s="2318"/>
      <c r="M250" s="2319"/>
      <c r="O250" s="2317" t="s">
        <v>169</v>
      </c>
      <c r="P250" s="2318"/>
      <c r="Q250" s="2318"/>
      <c r="R250" s="2319"/>
      <c r="T250" s="2317" t="s">
        <v>172</v>
      </c>
      <c r="U250" s="2318"/>
      <c r="V250" s="2318"/>
      <c r="W250" s="2319"/>
      <c r="Y250" s="2317" t="s">
        <v>205</v>
      </c>
      <c r="Z250" s="2318"/>
      <c r="AA250" s="2318"/>
      <c r="AB250" s="2319"/>
      <c r="AC250" s="2495"/>
      <c r="AD250" s="2270"/>
      <c r="AE250" s="2273"/>
      <c r="AF250" s="2273"/>
      <c r="AG250" s="2274"/>
      <c r="AH250" s="2276"/>
      <c r="AI250" s="2266"/>
    </row>
    <row r="251">
      <c r="A251" s="2260"/>
      <c r="B251" s="2268"/>
      <c r="C251" s="2320"/>
      <c r="D251" s="2270"/>
      <c r="E251" s="2321" t="s">
        <v>716</v>
      </c>
      <c r="F251" s="2273"/>
      <c r="G251" s="2273"/>
      <c r="H251" s="2322"/>
      <c r="J251" s="2321" t="s">
        <v>745</v>
      </c>
      <c r="K251" s="2273"/>
      <c r="L251" s="2273"/>
      <c r="M251" s="2322"/>
      <c r="O251" s="2321" t="s">
        <v>753</v>
      </c>
      <c r="P251" s="2273"/>
      <c r="Q251" s="2273"/>
      <c r="R251" s="2322"/>
      <c r="T251" s="2321" t="s">
        <v>329</v>
      </c>
      <c r="U251" s="2273"/>
      <c r="V251" s="2273"/>
      <c r="W251" s="2322"/>
      <c r="Y251" s="2321" t="s">
        <v>756</v>
      </c>
      <c r="Z251" s="2273"/>
      <c r="AA251" s="2273"/>
      <c r="AB251" s="2322"/>
      <c r="AC251" s="2495"/>
      <c r="AD251" s="2270"/>
      <c r="AE251" s="2273"/>
      <c r="AF251" s="2273"/>
      <c r="AG251" s="2274"/>
      <c r="AH251" s="2276"/>
      <c r="AI251" s="2266"/>
    </row>
    <row r="252" ht="20.25" customHeight="1">
      <c r="A252" s="2260"/>
      <c r="B252" s="2268"/>
      <c r="C252" s="104"/>
      <c r="D252" s="2270"/>
      <c r="E252" s="2323" t="s">
        <v>747</v>
      </c>
      <c r="F252" s="2324"/>
      <c r="G252" s="2325"/>
      <c r="H252" s="2326" t="str">
        <f>IMAGE("https://raw.githubusercontent.com/msikma/pokesprite/master/items/hold-item/sharp-beak.png",3)</f>
        <v/>
      </c>
      <c r="J252" s="2323" t="s">
        <v>554</v>
      </c>
      <c r="K252" s="2324"/>
      <c r="L252" s="2325"/>
      <c r="M252" s="2326" t="str">
        <f>IMAGE("https://raw.githubusercontent.com/msikma/pokesprite/master/items/berry/chople.png",3)</f>
        <v/>
      </c>
      <c r="O252" s="2323" t="s">
        <v>212</v>
      </c>
      <c r="P252" s="2324"/>
      <c r="Q252" s="2325"/>
      <c r="R252" s="2326" t="str">
        <f>IMAGE("https://raw.githubusercontent.com/msikma/pokesprite/master/items/hold-item/mystic-water.png",3)</f>
        <v/>
      </c>
      <c r="T252" s="2323" t="s">
        <v>272</v>
      </c>
      <c r="U252" s="2324"/>
      <c r="V252" s="2325"/>
      <c r="W252" s="2326" t="str">
        <f>IMAGE("https://raw.githubusercontent.com/msikma/pokesprite/master/items/hold-item/life-orb.png",3)</f>
        <v/>
      </c>
      <c r="Y252" s="2323" t="s">
        <v>270</v>
      </c>
      <c r="Z252" s="2324"/>
      <c r="AA252" s="2325"/>
      <c r="AB252" s="2326" t="str">
        <f>IMAGE("https://raw.githubusercontent.com/msikma/pokesprite/master/items/mega-stone/venusaurite.png",3)</f>
        <v/>
      </c>
      <c r="AC252" s="2495"/>
      <c r="AD252" s="2270"/>
      <c r="AE252" s="2273"/>
      <c r="AF252" s="2273"/>
      <c r="AG252" s="2274"/>
      <c r="AH252" s="2276"/>
      <c r="AI252" s="2266"/>
    </row>
    <row r="253" ht="20.25" customHeight="1">
      <c r="A253" s="2260"/>
      <c r="B253" s="2268"/>
      <c r="C253" s="281"/>
      <c r="D253" s="2270"/>
      <c r="E253" s="2317" t="s">
        <v>749</v>
      </c>
      <c r="F253" s="2318"/>
      <c r="G253" s="2327"/>
      <c r="H253" s="2328" t="str">
        <f>IMAGE("https://raw.githubusercontent.com/msikma/pokesprite/master/misc/types/gen8/flying.png",4,20,20)</f>
        <v/>
      </c>
      <c r="J253" s="2317" t="s">
        <v>489</v>
      </c>
      <c r="K253" s="2318"/>
      <c r="L253" s="2327"/>
      <c r="M253" s="2328" t="str">
        <f>IMAGE("https://raw.githubusercontent.com/msikma/pokesprite/master/misc/types/gen8/normal.png",4,20,20)</f>
        <v/>
      </c>
      <c r="O253" s="2317" t="s">
        <v>346</v>
      </c>
      <c r="P253" s="2318"/>
      <c r="Q253" s="2327"/>
      <c r="R253" s="2328" t="str">
        <f t="shared" ref="R253:R254" si="19">IMAGE("https://raw.githubusercontent.com/msikma/pokesprite/master/misc/types/gen8/water.png",4,20,20)</f>
        <v/>
      </c>
      <c r="T253" s="2317" t="s">
        <v>378</v>
      </c>
      <c r="U253" s="2318"/>
      <c r="V253" s="2327"/>
      <c r="W253" s="2328" t="str">
        <f>IMAGE("https://raw.githubusercontent.com/msikma/pokesprite/master/misc/types/gen8/fire.png",4,20,20)</f>
        <v/>
      </c>
      <c r="Y253" s="2317" t="s">
        <v>283</v>
      </c>
      <c r="Z253" s="2318"/>
      <c r="AA253" s="2327"/>
      <c r="AB253" s="2328" t="str">
        <f t="shared" ref="AB253:AB254" si="20">IMAGE("https://raw.githubusercontent.com/msikma/pokesprite/master/misc/types/gen8/grass.png",4,20,20)</f>
        <v/>
      </c>
      <c r="AC253" s="2495"/>
      <c r="AD253" s="2270"/>
      <c r="AE253" s="2273"/>
      <c r="AF253" s="2273"/>
      <c r="AG253" s="2274"/>
      <c r="AH253" s="2276"/>
      <c r="AI253" s="2266"/>
    </row>
    <row r="254" ht="20.25" customHeight="1">
      <c r="A254" s="2260"/>
      <c r="B254" s="2268"/>
      <c r="C254" s="2269"/>
      <c r="D254" s="2270"/>
      <c r="E254" s="2321" t="s">
        <v>316</v>
      </c>
      <c r="F254" s="2273"/>
      <c r="G254" s="2274"/>
      <c r="H254" s="2329" t="str">
        <f>IMAGE("https://raw.githubusercontent.com/msikma/pokesprite/master/misc/types/gen8/fighting.png",4,20,20)</f>
        <v/>
      </c>
      <c r="J254" s="2321" t="s">
        <v>279</v>
      </c>
      <c r="K254" s="2273"/>
      <c r="L254" s="2274"/>
      <c r="M254" s="2329" t="str">
        <f t="shared" ref="M254:M255" si="21">IMAGE("https://raw.githubusercontent.com/msikma/pokesprite/master/misc/types/gen8/dark.png",4,20,20)</f>
        <v/>
      </c>
      <c r="O254" s="2321" t="s">
        <v>735</v>
      </c>
      <c r="P254" s="2273"/>
      <c r="Q254" s="2274"/>
      <c r="R254" s="2329" t="str">
        <f t="shared" si="19"/>
        <v/>
      </c>
      <c r="T254" s="2321" t="s">
        <v>610</v>
      </c>
      <c r="U254" s="2273"/>
      <c r="V254" s="2274"/>
      <c r="W254" s="2329" t="str">
        <f>IMAGE("https://raw.githubusercontent.com/msikma/pokesprite/master/misc/types/gen8/rock.png",4,20,20)</f>
        <v/>
      </c>
      <c r="Y254" s="2321" t="s">
        <v>275</v>
      </c>
      <c r="Z254" s="2273"/>
      <c r="AA254" s="2274"/>
      <c r="AB254" s="2329" t="str">
        <f t="shared" si="20"/>
        <v/>
      </c>
      <c r="AC254" s="2495"/>
      <c r="AD254" s="2270"/>
      <c r="AE254" s="2273"/>
      <c r="AF254" s="2273"/>
      <c r="AG254" s="2274"/>
      <c r="AH254" s="2276"/>
      <c r="AI254" s="2266"/>
    </row>
    <row r="255" ht="20.25" customHeight="1">
      <c r="A255" s="2260"/>
      <c r="B255" s="2268"/>
      <c r="C255" s="2269"/>
      <c r="D255" s="2270"/>
      <c r="E255" s="2321" t="s">
        <v>278</v>
      </c>
      <c r="F255" s="2273"/>
      <c r="G255" s="2274"/>
      <c r="H255" s="2329" t="str">
        <f>IMAGE("https://raw.githubusercontent.com/msikma/pokesprite/master/misc/types/gen8/bug.png",4,20,20)</f>
        <v/>
      </c>
      <c r="J255" s="2321" t="s">
        <v>541</v>
      </c>
      <c r="K255" s="2273"/>
      <c r="L255" s="2274"/>
      <c r="M255" s="2329" t="str">
        <f t="shared" si="21"/>
        <v/>
      </c>
      <c r="O255" s="2321" t="s">
        <v>556</v>
      </c>
      <c r="P255" s="2273"/>
      <c r="Q255" s="2274"/>
      <c r="R255" s="2329" t="str">
        <f>IMAGE("https://raw.githubusercontent.com/msikma/pokesprite/master/misc/types/gen8/fairy.png",4,20,20)</f>
        <v/>
      </c>
      <c r="T255" s="2321" t="s">
        <v>402</v>
      </c>
      <c r="U255" s="2273"/>
      <c r="V255" s="2274"/>
      <c r="W255" s="2329" t="str">
        <f>IMAGE("https://raw.githubusercontent.com/msikma/pokesprite/master/misc/types/gen8/ground.png",4,20,20)</f>
        <v/>
      </c>
      <c r="Y255" s="2321" t="s">
        <v>280</v>
      </c>
      <c r="Z255" s="2273"/>
      <c r="AA255" s="2274"/>
      <c r="AB255" s="2329" t="str">
        <f>IMAGE("https://raw.githubusercontent.com/msikma/pokesprite/master/misc/types/gen8/poison.png",4,20,20)</f>
        <v/>
      </c>
      <c r="AC255" s="2495"/>
      <c r="AD255" s="2270"/>
      <c r="AE255" s="2273"/>
      <c r="AF255" s="2273"/>
      <c r="AG255" s="2274"/>
      <c r="AH255" s="2276"/>
      <c r="AI255" s="2266"/>
    </row>
    <row r="256" ht="21.0" customHeight="1">
      <c r="A256" s="2260"/>
      <c r="B256" s="2268"/>
      <c r="C256" s="2269"/>
      <c r="D256" s="2270"/>
      <c r="E256" s="2330" t="s">
        <v>635</v>
      </c>
      <c r="F256" s="2331"/>
      <c r="G256" s="2332"/>
      <c r="H256" s="2333" t="str">
        <f>IMAGE("https://raw.githubusercontent.com/msikma/pokesprite/master/misc/types/gen8/normal.png",4,20,20)</f>
        <v/>
      </c>
      <c r="I256" s="2537"/>
      <c r="J256" s="2330" t="s">
        <v>407</v>
      </c>
      <c r="K256" s="2331"/>
      <c r="L256" s="2332"/>
      <c r="M256" s="2333" t="str">
        <f>IMAGE("https://raw.githubusercontent.com/msikma/pokesprite/master/misc/types/gen8/steel.png",4,20,20)</f>
        <v/>
      </c>
      <c r="N256" s="2537"/>
      <c r="O256" s="2330" t="s">
        <v>215</v>
      </c>
      <c r="P256" s="2331"/>
      <c r="Q256" s="2332"/>
      <c r="R256" s="2333" t="str">
        <f>IMAGE("https://raw.githubusercontent.com/msikma/pokesprite/master/misc/types/gen8/ice.png",4,20,20)</f>
        <v/>
      </c>
      <c r="S256" s="2537"/>
      <c r="T256" s="2330" t="s">
        <v>278</v>
      </c>
      <c r="U256" s="2331"/>
      <c r="V256" s="2332"/>
      <c r="W256" s="2333" t="str">
        <f>IMAGE("https://raw.githubusercontent.com/msikma/pokesprite/master/misc/types/gen8/bug.png",4,20,20)</f>
        <v/>
      </c>
      <c r="X256" s="2537"/>
      <c r="Y256" s="2330" t="s">
        <v>286</v>
      </c>
      <c r="Z256" s="2331"/>
      <c r="AA256" s="2332"/>
      <c r="AB256" s="2333" t="str">
        <f>IMAGE("https://raw.githubusercontent.com/msikma/pokesprite/master/misc/types/gen8/ground.png",4,20,20)</f>
        <v/>
      </c>
      <c r="AC256" s="2498"/>
      <c r="AD256" s="2270"/>
      <c r="AE256" s="2273"/>
      <c r="AF256" s="2273"/>
      <c r="AG256" s="2274"/>
      <c r="AH256" s="2276"/>
      <c r="AI256" s="2266"/>
    </row>
    <row r="257" ht="3.0" customHeight="1">
      <c r="A257" s="2336"/>
      <c r="B257" s="2337"/>
      <c r="C257" s="2338"/>
      <c r="D257" s="2339"/>
      <c r="E257" s="2340"/>
      <c r="F257" s="2340"/>
      <c r="G257" s="2340"/>
      <c r="H257" s="2340"/>
      <c r="I257" s="2339"/>
      <c r="J257" s="2340"/>
      <c r="K257" s="2340"/>
      <c r="L257" s="2340"/>
      <c r="M257" s="2340"/>
      <c r="N257" s="2339"/>
      <c r="O257" s="2340"/>
      <c r="P257" s="2340"/>
      <c r="Q257" s="2340"/>
      <c r="R257" s="2340"/>
      <c r="S257" s="2339"/>
      <c r="T257" s="2340"/>
      <c r="U257" s="2340"/>
      <c r="V257" s="2340"/>
      <c r="W257" s="2340"/>
      <c r="X257" s="2339"/>
      <c r="Y257" s="2340"/>
      <c r="Z257" s="2340"/>
      <c r="AA257" s="2340"/>
      <c r="AB257" s="2340"/>
      <c r="AC257" s="2342"/>
      <c r="AD257" s="2342"/>
      <c r="AE257" s="2342"/>
      <c r="AF257" s="2342"/>
      <c r="AG257" s="2342"/>
      <c r="AH257" s="2343"/>
      <c r="AI257" s="2344"/>
    </row>
    <row r="258" ht="16.5" customHeight="1">
      <c r="A258" s="2267"/>
      <c r="B258" s="2345"/>
      <c r="C258" s="2338"/>
      <c r="D258" s="2346"/>
      <c r="E258" s="703" t="s">
        <v>190</v>
      </c>
      <c r="F258" s="381"/>
      <c r="G258" s="382"/>
      <c r="H258" s="704" t="s">
        <v>191</v>
      </c>
      <c r="I258" s="2538"/>
      <c r="J258" s="703" t="s">
        <v>190</v>
      </c>
      <c r="K258" s="381"/>
      <c r="L258" s="382"/>
      <c r="M258" s="704" t="s">
        <v>191</v>
      </c>
      <c r="N258" s="2538"/>
      <c r="O258" s="703" t="s">
        <v>190</v>
      </c>
      <c r="P258" s="381"/>
      <c r="Q258" s="382"/>
      <c r="R258" s="704" t="s">
        <v>191</v>
      </c>
      <c r="S258" s="2539"/>
      <c r="T258" s="703" t="s">
        <v>190</v>
      </c>
      <c r="U258" s="381"/>
      <c r="V258" s="382"/>
      <c r="W258" s="704" t="s">
        <v>191</v>
      </c>
      <c r="X258" s="2539"/>
      <c r="Y258" s="703" t="s">
        <v>190</v>
      </c>
      <c r="Z258" s="381"/>
      <c r="AA258" s="382"/>
      <c r="AB258" s="704" t="s">
        <v>191</v>
      </c>
      <c r="AC258" s="2499"/>
      <c r="AD258" s="2350"/>
      <c r="AE258" s="2350"/>
      <c r="AF258" s="2350"/>
      <c r="AG258" s="2350"/>
      <c r="AH258" s="2351"/>
      <c r="AI258" s="2352"/>
    </row>
    <row r="259" ht="15.75" customHeight="1">
      <c r="A259" s="2267"/>
      <c r="B259" s="2345"/>
      <c r="C259" s="2338"/>
      <c r="D259" s="2346"/>
      <c r="E259" s="709" t="s">
        <v>192</v>
      </c>
      <c r="F259" s="710">
        <f t="array" ref="F259">IFERROR(VLOOKUP(E246,Dex!$B$3:$N415,8,FALSE),"")</f>
        <v>85</v>
      </c>
      <c r="G259" s="711" t="str">
        <f t="array" ref="G259">IFERROR(VLOOKUP(F259,Dex!$P$22:$Q$276,2,FALSE),"")</f>
        <v/>
      </c>
      <c r="H259" s="712"/>
      <c r="I259" s="2540"/>
      <c r="J259" s="709" t="s">
        <v>192</v>
      </c>
      <c r="K259" s="710">
        <f t="array" ref="K259">IFERROR(VLOOKUP(J246,Dex!$B$3:$N415,8,FALSE),"")</f>
        <v>100</v>
      </c>
      <c r="L259" s="711" t="str">
        <f t="array" ref="L259">IFERROR(VLOOKUP(K259,Dex!$P$22:$Q$276,2,FALSE),"")</f>
        <v/>
      </c>
      <c r="M259" s="712">
        <v>252.0</v>
      </c>
      <c r="N259" s="2540"/>
      <c r="O259" s="709" t="s">
        <v>192</v>
      </c>
      <c r="P259" s="710">
        <f t="array" ref="P259">IFERROR(VLOOKUP(O246,Dex!$B$3:$N415,8,FALSE),"")</f>
        <v>100</v>
      </c>
      <c r="Q259" s="711" t="str">
        <f t="array" ref="Q259">IFERROR(VLOOKUP(P259,Dex!$P$22:$Q$276,2,FALSE),"")</f>
        <v/>
      </c>
      <c r="R259" s="712">
        <v>252.0</v>
      </c>
      <c r="S259" s="2541"/>
      <c r="T259" s="709" t="s">
        <v>192</v>
      </c>
      <c r="U259" s="710">
        <f t="array" ref="U259">IFERROR(VLOOKUP(T246,Dex!$B$3:$N415,8,FALSE),"")</f>
        <v>105</v>
      </c>
      <c r="V259" s="711" t="str">
        <f t="array" ref="V259">IFERROR(VLOOKUP(U259,Dex!$P$22:$Q$276,2,FALSE),"")</f>
        <v/>
      </c>
      <c r="W259" s="712"/>
      <c r="X259" s="2541"/>
      <c r="Y259" s="709" t="s">
        <v>192</v>
      </c>
      <c r="Z259" s="710">
        <f t="array" ref="Z259">IFERROR(VLOOKUP(Y246,Dex!$B$3:$N415,8,FALSE),"")</f>
        <v>80</v>
      </c>
      <c r="AA259" s="711" t="str">
        <f t="array" ref="AA259">IFERROR(VLOOKUP(Z259,Dex!$P$22:$Q$276,2,FALSE),"")</f>
        <v/>
      </c>
      <c r="AB259" s="712">
        <v>252.0</v>
      </c>
      <c r="AC259" s="2533"/>
      <c r="AD259" s="2350"/>
      <c r="AE259" s="2350"/>
      <c r="AF259" s="2350"/>
      <c r="AG259" s="2350"/>
      <c r="AH259" s="2351"/>
      <c r="AI259" s="2352"/>
    </row>
    <row r="260" ht="15.75" customHeight="1">
      <c r="A260" s="2267"/>
      <c r="B260" s="2345"/>
      <c r="C260" s="2338"/>
      <c r="D260" s="2346"/>
      <c r="E260" s="714" t="s">
        <v>193</v>
      </c>
      <c r="F260" s="715">
        <f t="array" ref="F260">IFERROR(VLOOKUP(E246,Dex!$B$3:$N415,9,FALSE),"")</f>
        <v>120</v>
      </c>
      <c r="G260" s="716" t="str">
        <f t="array" ref="G260">IFERROR(VLOOKUP(F260,Dex!$P$22:$Q$276,2,FALSE),"")</f>
        <v/>
      </c>
      <c r="H260" s="717">
        <v>252.0</v>
      </c>
      <c r="I260" s="2540"/>
      <c r="J260" s="714" t="s">
        <v>193</v>
      </c>
      <c r="K260" s="715">
        <f t="array" ref="K260">IFERROR(VLOOKUP(J246,Dex!$B$3:$N415,9,FALSE),"")</f>
        <v>135</v>
      </c>
      <c r="L260" s="716" t="str">
        <f t="array" ref="L260">IFERROR(VLOOKUP(K260,Dex!$P$22:$Q$276,2,FALSE),"")</f>
        <v/>
      </c>
      <c r="M260" s="717">
        <v>252.0</v>
      </c>
      <c r="N260" s="2540"/>
      <c r="O260" s="714" t="s">
        <v>193</v>
      </c>
      <c r="P260" s="715">
        <f t="array" ref="P260">IFERROR(VLOOKUP(O246,Dex!$B$3:$N415,9,FALSE),"")</f>
        <v>50</v>
      </c>
      <c r="Q260" s="716" t="str">
        <f t="array" ref="Q260">IFERROR(VLOOKUP(P260,Dex!$P$22:$Q$276,2,FALSE),"")</f>
        <v/>
      </c>
      <c r="R260" s="717">
        <v>252.0</v>
      </c>
      <c r="S260" s="2541"/>
      <c r="T260" s="714" t="s">
        <v>193</v>
      </c>
      <c r="U260" s="715">
        <f t="array" ref="U260">IFERROR(VLOOKUP(T246,Dex!$B$3:$N415,9,FALSE),"")</f>
        <v>140</v>
      </c>
      <c r="V260" s="716" t="str">
        <f t="array" ref="V260">IFERROR(VLOOKUP(U260,Dex!$P$22:$Q$276,2,FALSE),"")</f>
        <v/>
      </c>
      <c r="W260" s="717">
        <v>252.0</v>
      </c>
      <c r="X260" s="2541"/>
      <c r="Y260" s="714" t="s">
        <v>193</v>
      </c>
      <c r="Z260" s="715">
        <f t="array" ref="Z260">IFERROR(VLOOKUP(Y246,Dex!$B$3:$N415,9,FALSE),"")</f>
        <v>100</v>
      </c>
      <c r="AA260" s="716" t="str">
        <f t="array" ref="AA260">IFERROR(VLOOKUP(Z260,Dex!$P$22:$Q$276,2,FALSE),"")</f>
        <v/>
      </c>
      <c r="AB260" s="717"/>
      <c r="AC260" s="2533"/>
      <c r="AD260" s="2350"/>
      <c r="AE260" s="2350"/>
      <c r="AF260" s="2350"/>
      <c r="AG260" s="2350"/>
      <c r="AH260" s="2351"/>
      <c r="AI260" s="2352"/>
    </row>
    <row r="261" ht="15.75" customHeight="1">
      <c r="A261" s="2267"/>
      <c r="B261" s="2345"/>
      <c r="C261" s="2338"/>
      <c r="D261" s="2346"/>
      <c r="E261" s="714" t="s">
        <v>194</v>
      </c>
      <c r="F261" s="715">
        <f t="array" ref="F261">IFERROR(VLOOKUP(E246,Dex!$B$3:$N415,10,FALSE),"")</f>
        <v>70</v>
      </c>
      <c r="G261" s="716" t="str">
        <f t="array" ref="G261">IFERROR(VLOOKUP(F261,Dex!$P$22:$Q$276,2,FALSE),"")</f>
        <v/>
      </c>
      <c r="H261" s="717">
        <v>4.0</v>
      </c>
      <c r="I261" s="2540"/>
      <c r="J261" s="714" t="s">
        <v>194</v>
      </c>
      <c r="K261" s="715">
        <f t="array" ref="K261">IFERROR(VLOOKUP(J246,Dex!$B$3:$N415,10,FALSE),"")</f>
        <v>120</v>
      </c>
      <c r="L261" s="716" t="str">
        <f t="array" ref="L261">IFERROR(VLOOKUP(K261,Dex!$P$22:$Q$276,2,FALSE),"")</f>
        <v/>
      </c>
      <c r="M261" s="717"/>
      <c r="N261" s="2540"/>
      <c r="O261" s="714" t="s">
        <v>194</v>
      </c>
      <c r="P261" s="715">
        <f t="array" ref="P261">IFERROR(VLOOKUP(O246,Dex!$B$3:$N415,10,FALSE),"")</f>
        <v>80</v>
      </c>
      <c r="Q261" s="716" t="str">
        <f t="array" ref="Q261">IFERROR(VLOOKUP(P261,Dex!$P$22:$Q$276,2,FALSE),"")</f>
        <v/>
      </c>
      <c r="R261" s="717">
        <v>4.0</v>
      </c>
      <c r="S261" s="2541"/>
      <c r="T261" s="714" t="s">
        <v>194</v>
      </c>
      <c r="U261" s="715">
        <f t="array" ref="U261">IFERROR(VLOOKUP(T246,Dex!$B$3:$N415,10,FALSE),"")</f>
        <v>55</v>
      </c>
      <c r="V261" s="716" t="str">
        <f t="array" ref="V261">IFERROR(VLOOKUP(U261,Dex!$P$22:$Q$276,2,FALSE),"")</f>
        <v/>
      </c>
      <c r="W261" s="717">
        <v>4.0</v>
      </c>
      <c r="X261" s="2541"/>
      <c r="Y261" s="714" t="s">
        <v>194</v>
      </c>
      <c r="Z261" s="715">
        <f t="array" ref="Z261">IFERROR(VLOOKUP(Y246,Dex!$B$3:$N415,10,FALSE),"")</f>
        <v>123</v>
      </c>
      <c r="AA261" s="716" t="str">
        <f t="array" ref="AA261">IFERROR(VLOOKUP(Z261,Dex!$P$22:$Q$276,2,FALSE),"")</f>
        <v/>
      </c>
      <c r="AB261" s="717">
        <v>4.0</v>
      </c>
      <c r="AC261" s="2533"/>
      <c r="AD261" s="2350"/>
      <c r="AE261" s="2350"/>
      <c r="AF261" s="2350"/>
      <c r="AG261" s="2350"/>
      <c r="AH261" s="2351"/>
      <c r="AI261" s="2352"/>
    </row>
    <row r="262" ht="15.75" customHeight="1">
      <c r="A262" s="2267"/>
      <c r="B262" s="2345"/>
      <c r="C262" s="2338"/>
      <c r="D262" s="2346"/>
      <c r="E262" s="714" t="s">
        <v>195</v>
      </c>
      <c r="F262" s="715">
        <f t="array" ref="F262">IFERROR(VLOOKUP(E246,Dex!$B$3:$N415,11,FALSE),"")</f>
        <v>50</v>
      </c>
      <c r="G262" s="716" t="str">
        <f t="array" ref="G262">IFERROR(VLOOKUP(F262,Dex!$P$22:$Q$276,2,FALSE),"")</f>
        <v/>
      </c>
      <c r="H262" s="717"/>
      <c r="I262" s="2540"/>
      <c r="J262" s="714" t="s">
        <v>195</v>
      </c>
      <c r="K262" s="715">
        <f t="array" ref="K262">IFERROR(VLOOKUP(J246,Dex!$B$3:$N415,11,FALSE),"")</f>
        <v>60</v>
      </c>
      <c r="L262" s="716" t="str">
        <f t="array" ref="L262">IFERROR(VLOOKUP(K262,Dex!$P$22:$Q$276,2,FALSE),"")</f>
        <v/>
      </c>
      <c r="M262" s="717"/>
      <c r="N262" s="2540"/>
      <c r="O262" s="714" t="s">
        <v>195</v>
      </c>
      <c r="P262" s="715">
        <f t="array" ref="P262">IFERROR(VLOOKUP(O246,Dex!$B$3:$N415,11,FALSE),"")</f>
        <v>60</v>
      </c>
      <c r="Q262" s="716" t="str">
        <f t="array" ref="Q262">IFERROR(VLOOKUP(P262,Dex!$P$22:$Q$276,2,FALSE),"")</f>
        <v/>
      </c>
      <c r="R262" s="717"/>
      <c r="S262" s="2541"/>
      <c r="T262" s="714" t="s">
        <v>195</v>
      </c>
      <c r="U262" s="715">
        <f t="array" ref="U262">IFERROR(VLOOKUP(T246,Dex!$B$3:$N415,11,FALSE),"")</f>
        <v>30</v>
      </c>
      <c r="V262" s="716" t="str">
        <f t="array" ref="V262">IFERROR(VLOOKUP(U262,Dex!$P$22:$Q$276,2,FALSE),"")</f>
        <v/>
      </c>
      <c r="W262" s="717"/>
      <c r="X262" s="2541"/>
      <c r="Y262" s="714" t="s">
        <v>195</v>
      </c>
      <c r="Z262" s="715">
        <f t="array" ref="Z262">IFERROR(VLOOKUP(Y246,Dex!$B$3:$N415,11,FALSE),"")</f>
        <v>122</v>
      </c>
      <c r="AA262" s="716" t="str">
        <f t="array" ref="AA262">IFERROR(VLOOKUP(Z262,Dex!$P$22:$Q$276,2,FALSE),"")</f>
        <v/>
      </c>
      <c r="AB262" s="717">
        <v>252.0</v>
      </c>
      <c r="AC262" s="2533"/>
      <c r="AD262" s="2350"/>
      <c r="AE262" s="2350"/>
      <c r="AF262" s="2350"/>
      <c r="AG262" s="2350"/>
      <c r="AH262" s="2351"/>
      <c r="AI262" s="2352"/>
    </row>
    <row r="263" ht="15.75" customHeight="1">
      <c r="A263" s="2267"/>
      <c r="B263" s="2345"/>
      <c r="C263" s="2500"/>
      <c r="D263" s="2346"/>
      <c r="E263" s="714" t="s">
        <v>196</v>
      </c>
      <c r="F263" s="715">
        <f t="array" ref="F263">IFERROR(VLOOKUP(E246,Dex!$B$3:$N415,12,FALSE),"")</f>
        <v>60</v>
      </c>
      <c r="G263" s="716" t="str">
        <f t="array" ref="G263">IFERROR(VLOOKUP(F263,Dex!$P$22:$Q$276,2,FALSE),"")</f>
        <v/>
      </c>
      <c r="H263" s="717"/>
      <c r="I263" s="2540"/>
      <c r="J263" s="714" t="s">
        <v>196</v>
      </c>
      <c r="K263" s="715">
        <f t="array" ref="K263">IFERROR(VLOOKUP(J246,Dex!$B$3:$N415,12,FALSE),"")</f>
        <v>85</v>
      </c>
      <c r="L263" s="716" t="str">
        <f t="array" ref="L263">IFERROR(VLOOKUP(K263,Dex!$P$22:$Q$276,2,FALSE),"")</f>
        <v/>
      </c>
      <c r="M263" s="717"/>
      <c r="N263" s="2540"/>
      <c r="O263" s="714" t="s">
        <v>196</v>
      </c>
      <c r="P263" s="715">
        <f t="array" ref="P263">IFERROR(VLOOKUP(O246,Dex!$B$3:$N415,12,FALSE),"")</f>
        <v>80</v>
      </c>
      <c r="Q263" s="716" t="str">
        <f t="array" ref="Q263">IFERROR(VLOOKUP(P263,Dex!$P$22:$Q$276,2,FALSE),"")</f>
        <v/>
      </c>
      <c r="R263" s="717"/>
      <c r="S263" s="2541"/>
      <c r="T263" s="714" t="s">
        <v>196</v>
      </c>
      <c r="U263" s="715">
        <f t="array" ref="U263">IFERROR(VLOOKUP(T246,Dex!$B$3:$N415,12,FALSE),"")</f>
        <v>55</v>
      </c>
      <c r="V263" s="716" t="str">
        <f t="array" ref="V263">IFERROR(VLOOKUP(U263,Dex!$P$22:$Q$276,2,FALSE),"")</f>
        <v/>
      </c>
      <c r="W263" s="717"/>
      <c r="X263" s="2541"/>
      <c r="Y263" s="714" t="s">
        <v>196</v>
      </c>
      <c r="Z263" s="715">
        <f t="array" ref="Z263">IFERROR(VLOOKUP(Y246,Dex!$B$3:$N415,12,FALSE),"")</f>
        <v>120</v>
      </c>
      <c r="AA263" s="716" t="str">
        <f t="array" ref="AA263">IFERROR(VLOOKUP(Z263,Dex!$P$22:$Q$276,2,FALSE),"")</f>
        <v/>
      </c>
      <c r="AB263" s="717"/>
      <c r="AC263" s="2533"/>
      <c r="AD263" s="2350"/>
      <c r="AE263" s="2350"/>
      <c r="AF263" s="2350"/>
      <c r="AG263" s="2350"/>
      <c r="AH263" s="2351"/>
      <c r="AI263" s="2352"/>
    </row>
    <row r="264" ht="15.75" customHeight="1">
      <c r="A264" s="2267"/>
      <c r="B264" s="2501"/>
      <c r="C264" s="1204" t="s">
        <v>436</v>
      </c>
      <c r="D264" s="2502"/>
      <c r="E264" s="718" t="s">
        <v>197</v>
      </c>
      <c r="F264" s="719">
        <f t="array" ref="F264">IFERROR(VLOOKUP(E246,Dex!$B$3:$N415,13,FALSE),"")</f>
        <v>100</v>
      </c>
      <c r="G264" s="720" t="str">
        <f t="array" ref="G264">IFERROR(VLOOKUP(F264,Dex!$P$22:$Q$276,2,FALSE),"")</f>
        <v/>
      </c>
      <c r="H264" s="721">
        <v>252.0</v>
      </c>
      <c r="I264" s="2540"/>
      <c r="J264" s="718" t="s">
        <v>197</v>
      </c>
      <c r="K264" s="719">
        <f t="array" ref="K264">IFERROR(VLOOKUP(J246,Dex!$B$3:$N415,13,FALSE),"")</f>
        <v>50</v>
      </c>
      <c r="L264" s="720" t="str">
        <f t="array" ref="L264">IFERROR(VLOOKUP(K264,Dex!$P$22:$Q$276,2,FALSE),"")</f>
        <v/>
      </c>
      <c r="M264" s="721">
        <v>4.0</v>
      </c>
      <c r="N264" s="2540"/>
      <c r="O264" s="718" t="s">
        <v>197</v>
      </c>
      <c r="P264" s="719">
        <f t="array" ref="P264">IFERROR(VLOOKUP(O246,Dex!$B$3:$N415,13,FALSE),"")</f>
        <v>50</v>
      </c>
      <c r="Q264" s="720" t="str">
        <f t="array" ref="Q264">IFERROR(VLOOKUP(P264,Dex!$P$22:$Q$276,2,FALSE),"")</f>
        <v/>
      </c>
      <c r="R264" s="721"/>
      <c r="S264" s="2541"/>
      <c r="T264" s="718" t="s">
        <v>197</v>
      </c>
      <c r="U264" s="719">
        <f t="array" ref="U264">IFERROR(VLOOKUP(T246,Dex!$B$3:$N415,13,FALSE),"")</f>
        <v>95</v>
      </c>
      <c r="V264" s="720" t="str">
        <f t="array" ref="V264">IFERROR(VLOOKUP(U264,Dex!$P$22:$Q$276,2,FALSE),"")</f>
        <v/>
      </c>
      <c r="W264" s="721">
        <v>252.0</v>
      </c>
      <c r="X264" s="2541"/>
      <c r="Y264" s="718" t="s">
        <v>197</v>
      </c>
      <c r="Z264" s="719">
        <f t="array" ref="Z264">IFERROR(VLOOKUP(Y246,Dex!$B$3:$N415,13,FALSE),"")</f>
        <v>80</v>
      </c>
      <c r="AA264" s="720" t="str">
        <f t="array" ref="AA264">IFERROR(VLOOKUP(Z264,Dex!$P$22:$Q$276,2,FALSE),"")</f>
        <v/>
      </c>
      <c r="AB264" s="721"/>
      <c r="AC264" s="2533"/>
      <c r="AD264" s="2350"/>
      <c r="AE264" s="2350"/>
      <c r="AF264" s="2350"/>
      <c r="AG264" s="2350"/>
      <c r="AH264" s="2351"/>
      <c r="AI264" s="2352"/>
    </row>
    <row r="265" ht="16.5" customHeight="1">
      <c r="A265" s="2267"/>
      <c r="B265" s="2501"/>
      <c r="C265" s="1205" t="s">
        <v>750</v>
      </c>
      <c r="D265" s="2502"/>
      <c r="E265" s="722" t="s">
        <v>198</v>
      </c>
      <c r="F265" s="405"/>
      <c r="G265" s="406"/>
      <c r="H265" s="723">
        <v>172.0</v>
      </c>
      <c r="I265" s="2538"/>
      <c r="J265" s="722" t="s">
        <v>198</v>
      </c>
      <c r="K265" s="405"/>
      <c r="L265" s="406"/>
      <c r="M265" s="723">
        <v>81.0</v>
      </c>
      <c r="N265" s="2538"/>
      <c r="O265" s="722" t="s">
        <v>198</v>
      </c>
      <c r="P265" s="405"/>
      <c r="Q265" s="406"/>
      <c r="R265" s="723">
        <v>74.0</v>
      </c>
      <c r="S265" s="2539"/>
      <c r="T265" s="722" t="s">
        <v>198</v>
      </c>
      <c r="U265" s="405"/>
      <c r="V265" s="406"/>
      <c r="W265" s="723">
        <v>170.0</v>
      </c>
      <c r="X265" s="2539"/>
      <c r="Y265" s="722" t="s">
        <v>198</v>
      </c>
      <c r="Z265" s="405"/>
      <c r="AA265" s="406"/>
      <c r="AB265" s="723">
        <v>118.0</v>
      </c>
      <c r="AC265" s="2499"/>
      <c r="AD265" s="2350"/>
      <c r="AE265" s="2350"/>
      <c r="AF265" s="2350"/>
      <c r="AG265" s="2350"/>
      <c r="AH265" s="2351"/>
      <c r="AI265" s="2352"/>
    </row>
    <row r="266" ht="15.0" customHeight="1">
      <c r="A266" s="2260"/>
      <c r="B266" s="2385"/>
      <c r="C266" s="2512"/>
      <c r="D266" s="2387"/>
      <c r="E266" s="2388"/>
      <c r="F266" s="2388"/>
      <c r="G266" s="2388"/>
      <c r="H266" s="2388"/>
      <c r="I266" s="2514"/>
      <c r="J266" s="2388"/>
      <c r="K266" s="2388"/>
      <c r="L266" s="2388"/>
      <c r="M266" s="2388"/>
      <c r="N266" s="2513"/>
      <c r="O266" s="2515"/>
      <c r="P266" s="2515"/>
      <c r="Q266" s="2515"/>
      <c r="R266" s="2513"/>
      <c r="S266" s="2513"/>
      <c r="T266" s="2515"/>
      <c r="U266" s="2515"/>
      <c r="V266" s="2515"/>
      <c r="W266" s="2513"/>
      <c r="X266" s="2513"/>
      <c r="Y266" s="2515"/>
      <c r="Z266" s="2515"/>
      <c r="AA266" s="2515"/>
      <c r="AB266" s="2513"/>
      <c r="AC266" s="2387"/>
      <c r="AD266" s="2387"/>
      <c r="AE266" s="2387"/>
      <c r="AF266" s="2387"/>
      <c r="AG266" s="2387"/>
      <c r="AH266" s="2389"/>
      <c r="AI266" s="2266"/>
    </row>
    <row r="267" ht="15.0" customHeight="1">
      <c r="A267" s="2260"/>
      <c r="B267" s="2390"/>
      <c r="C267" s="2391"/>
      <c r="D267" s="2392"/>
      <c r="E267" s="2393"/>
      <c r="F267" s="2393"/>
      <c r="G267" s="2393"/>
      <c r="H267" s="2393"/>
      <c r="I267" s="2392"/>
      <c r="J267" s="2393"/>
      <c r="K267" s="2393"/>
      <c r="L267" s="2393"/>
      <c r="M267" s="2393"/>
      <c r="N267" s="2392"/>
      <c r="O267" s="2393"/>
      <c r="P267" s="2393"/>
      <c r="Q267" s="2393"/>
      <c r="R267" s="2393"/>
      <c r="S267" s="2392"/>
      <c r="T267" s="2393"/>
      <c r="U267" s="2393"/>
      <c r="V267" s="2393"/>
      <c r="W267" s="2393"/>
      <c r="X267" s="2392"/>
      <c r="Y267" s="2393"/>
      <c r="Z267" s="2393"/>
      <c r="AA267" s="2393"/>
      <c r="AB267" s="2393"/>
      <c r="AC267" s="2392"/>
      <c r="AD267" s="2393"/>
      <c r="AE267" s="2393"/>
      <c r="AF267" s="2393"/>
      <c r="AG267" s="2393"/>
      <c r="AH267" s="2394"/>
      <c r="AI267" s="2266"/>
    </row>
    <row r="268" ht="96.75" customHeight="1">
      <c r="A268" s="2260"/>
      <c r="B268" s="2395"/>
      <c r="C268" s="2396" t="str">
        <f>IMAGE("https://i.ibb.co/rpm30sn/Brendan.png")</f>
        <v/>
      </c>
      <c r="D268" s="2397"/>
      <c r="E268" s="2398" t="str">
        <f t="array" ref="E268">IFERROR(VLOOKUP(E269,Dex!$B$3:$G415,3,FALSE),"")</f>
        <v/>
      </c>
      <c r="F268" s="1830"/>
      <c r="G268" s="1830"/>
      <c r="H268" s="1831"/>
      <c r="I268" s="2399"/>
      <c r="J268" s="2398" t="str">
        <f t="array" ref="J268">IFERROR(VLOOKUP(J269,Dex!$B$3:$G415,3,FALSE),"")</f>
        <v/>
      </c>
      <c r="K268" s="1830"/>
      <c r="L268" s="1830"/>
      <c r="M268" s="1831"/>
      <c r="N268" s="2399"/>
      <c r="O268" s="2398" t="str">
        <f t="array" ref="O268">IFERROR(VLOOKUP(O269,Dex!$B$3:$G415,3,FALSE),"")</f>
        <v/>
      </c>
      <c r="P268" s="1830"/>
      <c r="Q268" s="1830"/>
      <c r="R268" s="1831"/>
      <c r="S268" s="2399"/>
      <c r="T268" s="2398" t="str">
        <f t="array" ref="T268">IFERROR(VLOOKUP(T269,Dex!$B$3:$G415,3,FALSE),"")</f>
        <v/>
      </c>
      <c r="U268" s="1830"/>
      <c r="V268" s="1830"/>
      <c r="W268" s="1831"/>
      <c r="X268" s="2542"/>
      <c r="Y268" s="2398" t="str">
        <f t="array" ref="Y268">IFERROR(VLOOKUP(Y269,Dex!$B$3:$G415,3,FALSE),"")</f>
        <v/>
      </c>
      <c r="Z268" s="1830"/>
      <c r="AA268" s="1830"/>
      <c r="AB268" s="1831"/>
      <c r="AC268" s="2542"/>
      <c r="AD268" s="2398" t="str">
        <f t="array" ref="AD268">IFERROR(VLOOKUP(AD269,Dex!$B$3:$G415,3,FALSE),"")</f>
        <v/>
      </c>
      <c r="AE268" s="1830"/>
      <c r="AF268" s="1830"/>
      <c r="AG268" s="1831"/>
      <c r="AH268" s="2543"/>
      <c r="AI268" s="2266"/>
    </row>
    <row r="269" ht="18.75" customHeight="1">
      <c r="A269" s="2288"/>
      <c r="B269" s="2406"/>
      <c r="C269" s="2407" t="s">
        <v>757</v>
      </c>
      <c r="D269" s="2408"/>
      <c r="E269" s="2409" t="s">
        <v>758</v>
      </c>
      <c r="F269" s="2410"/>
      <c r="G269" s="2410"/>
      <c r="H269" s="2411"/>
      <c r="I269" s="2408"/>
      <c r="J269" s="2409" t="s">
        <v>759</v>
      </c>
      <c r="K269" s="2410"/>
      <c r="L269" s="2410"/>
      <c r="M269" s="2411"/>
      <c r="N269" s="2408"/>
      <c r="O269" s="2409" t="s">
        <v>731</v>
      </c>
      <c r="P269" s="2410"/>
      <c r="Q269" s="2410"/>
      <c r="R269" s="2411"/>
      <c r="S269" s="2408"/>
      <c r="T269" s="2409" t="s">
        <v>760</v>
      </c>
      <c r="U269" s="2410"/>
      <c r="V269" s="2410"/>
      <c r="W269" s="2411"/>
      <c r="Y269" s="2409" t="s">
        <v>761</v>
      </c>
      <c r="Z269" s="2410"/>
      <c r="AA269" s="2410"/>
      <c r="AB269" s="2411"/>
      <c r="AD269" s="2409" t="s">
        <v>762</v>
      </c>
      <c r="AE269" s="2410"/>
      <c r="AF269" s="2410"/>
      <c r="AG269" s="2411"/>
      <c r="AH269" s="2544"/>
      <c r="AI269" s="2299"/>
    </row>
    <row r="270">
      <c r="A270" s="2416"/>
      <c r="B270" s="2417"/>
      <c r="C270" s="326"/>
      <c r="D270" s="2418"/>
      <c r="E270" s="2517" t="s">
        <v>420</v>
      </c>
      <c r="F270" s="2420"/>
      <c r="G270" s="2420"/>
      <c r="H270" s="2421"/>
      <c r="I270" s="2422"/>
      <c r="J270" s="2517" t="s">
        <v>420</v>
      </c>
      <c r="K270" s="2420"/>
      <c r="L270" s="2420"/>
      <c r="M270" s="2421"/>
      <c r="N270" s="2422"/>
      <c r="O270" s="2517" t="s">
        <v>420</v>
      </c>
      <c r="P270" s="2420"/>
      <c r="Q270" s="2420"/>
      <c r="R270" s="2421"/>
      <c r="S270" s="2422"/>
      <c r="T270" s="2517" t="s">
        <v>420</v>
      </c>
      <c r="U270" s="2420"/>
      <c r="V270" s="2420"/>
      <c r="W270" s="2421"/>
      <c r="Y270" s="2517" t="s">
        <v>420</v>
      </c>
      <c r="Z270" s="2420"/>
      <c r="AA270" s="2420"/>
      <c r="AB270" s="2421"/>
      <c r="AD270" s="2517" t="s">
        <v>420</v>
      </c>
      <c r="AE270" s="2420"/>
      <c r="AF270" s="2420"/>
      <c r="AG270" s="2421"/>
      <c r="AH270" s="2545"/>
      <c r="AI270" s="2424"/>
    </row>
    <row r="271" ht="25.5" customHeight="1">
      <c r="A271" s="2260"/>
      <c r="B271" s="2425"/>
      <c r="C271" s="2426"/>
      <c r="D271" s="2401"/>
      <c r="E271" s="2427"/>
      <c r="F271" s="2519" t="str">
        <f t="array" ref="F271">IFERROR(VLOOKUP(E269,Dex!$B$3:$H415,5,FALSE),"")</f>
        <v/>
      </c>
      <c r="G271" s="2518" t="str">
        <f t="array" ref="G271">IFERROR(VLOOKUP(E269,Dex!$B$3:$H415,7,FALSE),"")</f>
        <v/>
      </c>
      <c r="H271" s="2430"/>
      <c r="I271" s="2413"/>
      <c r="J271" s="2427"/>
      <c r="K271" s="2519" t="str">
        <f t="array" ref="K271">IFERROR(VLOOKUP(J269,Dex!$B$3:$H415,5,FALSE),"")</f>
        <v/>
      </c>
      <c r="L271" s="2518" t="str">
        <f t="array" ref="L271">IFERROR(VLOOKUP(J269,Dex!$B$3:$H415,7,FALSE),"")</f>
        <v/>
      </c>
      <c r="M271" s="2430"/>
      <c r="N271" s="2413"/>
      <c r="O271" s="2427"/>
      <c r="P271" s="2519" t="str">
        <f t="array" ref="P271">IFERROR(VLOOKUP(O269,Dex!$B$3:$H415,5,FALSE),"")</f>
        <v/>
      </c>
      <c r="Q271" s="2518" t="str">
        <f t="array" ref="Q271">IFERROR(VLOOKUP(O269,Dex!$B$3:$H415,7,FALSE),"")</f>
        <v/>
      </c>
      <c r="R271" s="2430"/>
      <c r="S271" s="2413"/>
      <c r="T271" s="2427"/>
      <c r="U271" s="2428" t="str">
        <f t="array" ref="U271">IFERROR(VLOOKUP(T269,Dex!$B$3:$H415,5,FALSE),"")</f>
        <v/>
      </c>
      <c r="V271" s="2429"/>
      <c r="W271" s="2430"/>
      <c r="Y271" s="2427"/>
      <c r="Z271" s="2519" t="str">
        <f t="array" ref="Z271">IFERROR(VLOOKUP(Y269,Dex!$B$3:$H415,5,FALSE),"")</f>
        <v/>
      </c>
      <c r="AA271" s="2518" t="str">
        <f t="array" ref="AA271">IFERROR(VLOOKUP(Y269,Dex!$B$3:$H415,7,FALSE),"")</f>
        <v/>
      </c>
      <c r="AB271" s="2430"/>
      <c r="AD271" s="2427"/>
      <c r="AE271" s="2519" t="str">
        <f t="array" ref="AE271">IFERROR(VLOOKUP(AD269,Dex!$B$3:$H415,5,FALSE),"")</f>
        <v/>
      </c>
      <c r="AF271" s="2518" t="str">
        <f t="array" ref="AF271">IFERROR(VLOOKUP(AD269,Dex!$B$3:$H415,7,FALSE),"")</f>
        <v/>
      </c>
      <c r="AG271" s="2430"/>
      <c r="AH271" s="2405"/>
      <c r="AI271" s="2266"/>
    </row>
    <row r="272" ht="2.25" customHeight="1">
      <c r="A272" s="2260"/>
      <c r="B272" s="2425"/>
      <c r="C272" s="2414"/>
      <c r="D272" s="2401"/>
      <c r="E272" s="2431"/>
      <c r="F272" s="2432"/>
      <c r="G272" s="2432"/>
      <c r="H272" s="2433"/>
      <c r="I272" s="2413"/>
      <c r="J272" s="2431"/>
      <c r="K272" s="2432"/>
      <c r="L272" s="2432"/>
      <c r="M272" s="2433"/>
      <c r="N272" s="2413"/>
      <c r="O272" s="2431"/>
      <c r="P272" s="2432"/>
      <c r="Q272" s="2432"/>
      <c r="R272" s="2433"/>
      <c r="S272" s="2413"/>
      <c r="T272" s="2431"/>
      <c r="U272" s="2432"/>
      <c r="V272" s="2432"/>
      <c r="W272" s="2433"/>
      <c r="Y272" s="2431"/>
      <c r="Z272" s="2432"/>
      <c r="AA272" s="2432"/>
      <c r="AB272" s="2433"/>
      <c r="AD272" s="2431"/>
      <c r="AE272" s="2432"/>
      <c r="AF272" s="2432"/>
      <c r="AG272" s="2433"/>
      <c r="AH272" s="2405"/>
      <c r="AI272" s="2266"/>
    </row>
    <row r="273" ht="20.25" customHeight="1">
      <c r="A273" s="2260"/>
      <c r="B273" s="2425"/>
      <c r="C273" s="2435"/>
      <c r="D273" s="2401"/>
      <c r="E273" s="2436" t="s">
        <v>172</v>
      </c>
      <c r="F273" s="2437"/>
      <c r="G273" s="2437"/>
      <c r="H273" s="2438"/>
      <c r="I273" s="2521"/>
      <c r="J273" s="2436" t="s">
        <v>169</v>
      </c>
      <c r="K273" s="2437"/>
      <c r="L273" s="2437"/>
      <c r="M273" s="2438"/>
      <c r="N273" s="2521"/>
      <c r="O273" s="2436" t="s">
        <v>169</v>
      </c>
      <c r="P273" s="2437"/>
      <c r="Q273" s="2437"/>
      <c r="R273" s="2438"/>
      <c r="S273" s="2521"/>
      <c r="T273" s="2436" t="s">
        <v>205</v>
      </c>
      <c r="U273" s="2437"/>
      <c r="V273" s="2437"/>
      <c r="W273" s="2438"/>
      <c r="Y273" s="2436" t="s">
        <v>205</v>
      </c>
      <c r="Z273" s="2437"/>
      <c r="AA273" s="2437"/>
      <c r="AB273" s="2438"/>
      <c r="AD273" s="2436" t="s">
        <v>172</v>
      </c>
      <c r="AE273" s="2437"/>
      <c r="AF273" s="2437"/>
      <c r="AG273" s="2438"/>
      <c r="AH273" s="2543"/>
      <c r="AI273" s="2266"/>
    </row>
    <row r="274">
      <c r="A274" s="2260"/>
      <c r="B274" s="2425"/>
      <c r="C274" s="2439"/>
      <c r="D274" s="2401"/>
      <c r="E274" s="2440" t="s">
        <v>763</v>
      </c>
      <c r="F274" s="2402"/>
      <c r="G274" s="2402"/>
      <c r="H274" s="2441"/>
      <c r="I274" s="2521"/>
      <c r="J274" s="2440" t="s">
        <v>764</v>
      </c>
      <c r="K274" s="2402"/>
      <c r="L274" s="2402"/>
      <c r="M274" s="2441"/>
      <c r="N274" s="2521"/>
      <c r="O274" s="2440" t="s">
        <v>734</v>
      </c>
      <c r="P274" s="2402"/>
      <c r="Q274" s="2402"/>
      <c r="R274" s="2441"/>
      <c r="S274" s="2521"/>
      <c r="T274" s="2440" t="s">
        <v>733</v>
      </c>
      <c r="U274" s="2402"/>
      <c r="V274" s="2402"/>
      <c r="W274" s="2441"/>
      <c r="Y274" s="2440" t="s">
        <v>302</v>
      </c>
      <c r="Z274" s="2402"/>
      <c r="AA274" s="2402"/>
      <c r="AB274" s="2441"/>
      <c r="AD274" s="2440" t="s">
        <v>765</v>
      </c>
      <c r="AE274" s="2402"/>
      <c r="AF274" s="2402"/>
      <c r="AG274" s="2441"/>
      <c r="AH274" s="2543"/>
      <c r="AI274" s="2266"/>
    </row>
    <row r="275" ht="20.25" customHeight="1">
      <c r="A275" s="2260"/>
      <c r="B275" s="2425"/>
      <c r="C275" s="2414"/>
      <c r="D275" s="2401"/>
      <c r="E275" s="2442" t="s">
        <v>177</v>
      </c>
      <c r="F275" s="2443"/>
      <c r="G275" s="2444"/>
      <c r="H275" s="2520" t="str">
        <f>IMAGE("https://raw.githubusercontent.com/msikma/pokesprite/master/items/hold-item/air-balloon.png",3)</f>
        <v/>
      </c>
      <c r="I275" s="2413"/>
      <c r="J275" s="2442" t="s">
        <v>335</v>
      </c>
      <c r="K275" s="2443"/>
      <c r="L275" s="2444"/>
      <c r="M275" s="2520" t="str">
        <f>IMAGE("https://raw.githubusercontent.com/msikma/pokesprite/master/items/hold-item/choice-scarf.png",3)</f>
        <v/>
      </c>
      <c r="N275" s="2413"/>
      <c r="O275" s="2442" t="s">
        <v>766</v>
      </c>
      <c r="P275" s="2443"/>
      <c r="Q275" s="2444"/>
      <c r="R275" s="2520" t="str">
        <f>IMAGE("https://raw.githubusercontent.com/msikma/pokesprite/master/items/hold-item/choice-band.png",3)</f>
        <v/>
      </c>
      <c r="S275" s="2413"/>
      <c r="T275" s="2442" t="s">
        <v>767</v>
      </c>
      <c r="U275" s="2443"/>
      <c r="V275" s="2444"/>
      <c r="W275" s="2520" t="str">
        <f>IMAGE("https://raw.githubusercontent.com/msikma/pokesprite/master/items/hold-item/silk-scarf.png",3)</f>
        <v/>
      </c>
      <c r="Y275" s="2442" t="s">
        <v>768</v>
      </c>
      <c r="Z275" s="2443"/>
      <c r="AA275" s="2444"/>
      <c r="AB275" s="2520" t="str">
        <f>IMAGE("https://raw.githubusercontent.com/msikma/pokesprite/master/items/plate/pixie.png",3)</f>
        <v/>
      </c>
      <c r="AD275" s="2442" t="s">
        <v>769</v>
      </c>
      <c r="AE275" s="2443"/>
      <c r="AF275" s="2444"/>
      <c r="AG275" s="2520" t="str">
        <f>IMAGE("https://raw.githubusercontent.com/msikma/pokesprite/master/items/mega-stone/sceptilite.png",3)</f>
        <v/>
      </c>
      <c r="AH275" s="2405"/>
      <c r="AI275" s="2266"/>
    </row>
    <row r="276" ht="20.25" customHeight="1">
      <c r="A276" s="2260"/>
      <c r="B276" s="2425"/>
      <c r="C276" s="2435"/>
      <c r="D276" s="2401"/>
      <c r="E276" s="2436" t="s">
        <v>395</v>
      </c>
      <c r="F276" s="2437"/>
      <c r="G276" s="2437"/>
      <c r="H276" s="2446" t="str">
        <f>IMAGE("https://raw.githubusercontent.com/msikma/pokesprite/master/misc/types/gen8/rock.png",4,20,20)</f>
        <v/>
      </c>
      <c r="I276" s="2413"/>
      <c r="J276" s="2436" t="s">
        <v>608</v>
      </c>
      <c r="K276" s="2437"/>
      <c r="L276" s="2437"/>
      <c r="M276" s="2446" t="str">
        <f>IMAGE("https://raw.githubusercontent.com/msikma/pokesprite/master/misc/types/gen8/psychic.png",4,20,20)</f>
        <v/>
      </c>
      <c r="N276" s="2413"/>
      <c r="O276" s="2436" t="s">
        <v>735</v>
      </c>
      <c r="P276" s="2437"/>
      <c r="Q276" s="2437"/>
      <c r="R276" s="2446" t="str">
        <f t="shared" ref="R276:R277" si="22">IMAGE("https://raw.githubusercontent.com/msikma/pokesprite/master/misc/types/gen8/water.png",4,20,20)</f>
        <v/>
      </c>
      <c r="S276" s="2413"/>
      <c r="T276" s="2436" t="s">
        <v>337</v>
      </c>
      <c r="U276" s="2437"/>
      <c r="V276" s="2437"/>
      <c r="W276" s="2446" t="str">
        <f>IMAGE("https://raw.githubusercontent.com/msikma/pokesprite/master/misc/types/gen8/normal.png",4,20,20)</f>
        <v/>
      </c>
      <c r="Y276" s="2436" t="s">
        <v>344</v>
      </c>
      <c r="Z276" s="2437"/>
      <c r="AA276" s="2437"/>
      <c r="AB276" s="2446" t="str">
        <f>IMAGE("https://raw.githubusercontent.com/msikma/pokesprite/master/misc/types/gen8/fighting.png",4,20,20)</f>
        <v/>
      </c>
      <c r="AD276" s="2436" t="s">
        <v>489</v>
      </c>
      <c r="AE276" s="2437"/>
      <c r="AF276" s="2437"/>
      <c r="AG276" s="2446" t="str">
        <f>IMAGE("https://raw.githubusercontent.com/msikma/pokesprite/master/misc/types/gen8/normal.png",4,20,20)</f>
        <v/>
      </c>
      <c r="AH276" s="2405"/>
      <c r="AI276" s="2266"/>
    </row>
    <row r="277" ht="20.25" customHeight="1">
      <c r="A277" s="2260"/>
      <c r="B277" s="2425"/>
      <c r="C277" s="2447"/>
      <c r="D277" s="2401"/>
      <c r="E277" s="2440" t="s">
        <v>671</v>
      </c>
      <c r="F277" s="2402"/>
      <c r="G277" s="2402"/>
      <c r="H277" s="2448" t="str">
        <f>IMAGE("https://raw.githubusercontent.com/msikma/pokesprite/master/misc/types/gen8/steel.png",4,20,20)</f>
        <v/>
      </c>
      <c r="I277" s="2413"/>
      <c r="J277" s="2440" t="s">
        <v>316</v>
      </c>
      <c r="K277" s="2402"/>
      <c r="L277" s="2402"/>
      <c r="M277" s="2448" t="str">
        <f>IMAGE("https://raw.githubusercontent.com/msikma/pokesprite/master/misc/types/gen8/fighting.png",4,20,20)</f>
        <v/>
      </c>
      <c r="N277" s="2413"/>
      <c r="O277" s="2440" t="s">
        <v>346</v>
      </c>
      <c r="P277" s="2402"/>
      <c r="Q277" s="2402"/>
      <c r="R277" s="2448" t="str">
        <f t="shared" si="22"/>
        <v/>
      </c>
      <c r="S277" s="2413"/>
      <c r="T277" s="2440" t="s">
        <v>433</v>
      </c>
      <c r="U277" s="2402"/>
      <c r="V277" s="2402"/>
      <c r="W277" s="2448" t="str">
        <f>IMAGE("https://raw.githubusercontent.com/msikma/pokesprite/master/misc/types/gen8/water.png",4,20,20)</f>
        <v/>
      </c>
      <c r="Y277" s="2440" t="s">
        <v>464</v>
      </c>
      <c r="Z277" s="2402"/>
      <c r="AA277" s="2402"/>
      <c r="AB277" s="2448" t="str">
        <f>IMAGE("https://raw.githubusercontent.com/msikma/pokesprite/master/misc/types/gen8/fairy.png",4,20,20)</f>
        <v/>
      </c>
      <c r="AD277" s="2440" t="s">
        <v>770</v>
      </c>
      <c r="AE277" s="2402"/>
      <c r="AF277" s="2402"/>
      <c r="AG277" s="2448" t="str">
        <f>IMAGE("https://raw.githubusercontent.com/msikma/pokesprite/master/misc/types/gen8/grass.png",4,20,20)</f>
        <v/>
      </c>
      <c r="AH277" s="2405"/>
      <c r="AI277" s="2266"/>
    </row>
    <row r="278" ht="20.25" customHeight="1">
      <c r="A278" s="2260"/>
      <c r="B278" s="2425"/>
      <c r="C278" s="2447"/>
      <c r="D278" s="2401"/>
      <c r="E278" s="2440" t="s">
        <v>288</v>
      </c>
      <c r="F278" s="2402"/>
      <c r="G278" s="2402"/>
      <c r="H278" s="2448" t="str">
        <f>IMAGE("https://raw.githubusercontent.com/msikma/pokesprite/master/misc/types/gen8/normal.png",4,20,20)</f>
        <v/>
      </c>
      <c r="I278" s="2413"/>
      <c r="J278" s="2440" t="s">
        <v>249</v>
      </c>
      <c r="K278" s="2402"/>
      <c r="L278" s="2402"/>
      <c r="M278" s="2448" t="str">
        <f>IMAGE("https://raw.githubusercontent.com/msikma/pokesprite/master/misc/types/gen8/electric.png",4,20,20)</f>
        <v/>
      </c>
      <c r="N278" s="2413"/>
      <c r="O278" s="2440" t="s">
        <v>320</v>
      </c>
      <c r="P278" s="2402"/>
      <c r="Q278" s="2402"/>
      <c r="R278" s="2448" t="str">
        <f>IMAGE("https://raw.githubusercontent.com/msikma/pokesprite/master/misc/types/gen8/dark.png",4,20,20)</f>
        <v/>
      </c>
      <c r="S278" s="2413"/>
      <c r="T278" s="2440" t="s">
        <v>372</v>
      </c>
      <c r="U278" s="2402"/>
      <c r="V278" s="2402"/>
      <c r="W278" s="2448" t="str">
        <f>IMAGE("https://raw.githubusercontent.com/msikma/pokesprite/master/misc/types/gen8/fire.png",4,20,20)</f>
        <v/>
      </c>
      <c r="Y278" s="2440" t="s">
        <v>561</v>
      </c>
      <c r="Z278" s="2402"/>
      <c r="AA278" s="2402"/>
      <c r="AB278" s="2448" t="str">
        <f>IMAGE("https://raw.githubusercontent.com/msikma/pokesprite/master/misc/types/gen8/psychic.png",4,20,20)</f>
        <v/>
      </c>
      <c r="AD278" s="2440" t="s">
        <v>771</v>
      </c>
      <c r="AE278" s="2402"/>
      <c r="AF278" s="2402"/>
      <c r="AG278" s="2448" t="str">
        <f>IMAGE("https://raw.githubusercontent.com/msikma/pokesprite/master/misc/types/gen8/dragon.png",4,20,20)</f>
        <v/>
      </c>
      <c r="AH278" s="2405"/>
      <c r="AI278" s="2266"/>
    </row>
    <row r="279" ht="21.0" customHeight="1">
      <c r="A279" s="2260"/>
      <c r="B279" s="2425"/>
      <c r="C279" s="2447"/>
      <c r="D279" s="2401"/>
      <c r="E279" s="2449" t="s">
        <v>402</v>
      </c>
      <c r="F279" s="2450"/>
      <c r="G279" s="2450"/>
      <c r="H279" s="2451" t="str">
        <f>IMAGE("https://raw.githubusercontent.com/msikma/pokesprite/master/misc/types/gen8/ground.png",4,20,20)</f>
        <v/>
      </c>
      <c r="I279" s="2413"/>
      <c r="J279" s="2449" t="s">
        <v>215</v>
      </c>
      <c r="K279" s="2450"/>
      <c r="L279" s="2450"/>
      <c r="M279" s="2451" t="str">
        <f>IMAGE("https://raw.githubusercontent.com/msikma/pokesprite/master/misc/types/gen8/ice.png",4,20,20)</f>
        <v/>
      </c>
      <c r="N279" s="2521"/>
      <c r="O279" s="2449" t="s">
        <v>772</v>
      </c>
      <c r="P279" s="2450"/>
      <c r="Q279" s="2450"/>
      <c r="R279" s="2451" t="str">
        <f>IMAGE("https://raw.githubusercontent.com/msikma/pokesprite/master/misc/types/gen8/fighting.png",4,20,20)</f>
        <v/>
      </c>
      <c r="S279" s="2413"/>
      <c r="T279" s="2449" t="s">
        <v>318</v>
      </c>
      <c r="U279" s="2450"/>
      <c r="V279" s="2450"/>
      <c r="W279" s="2451" t="str">
        <f>IMAGE("https://raw.githubusercontent.com/msikma/pokesprite/master/misc/types/gen8/ghost.png",4,20,20)</f>
        <v/>
      </c>
      <c r="X279" s="2546"/>
      <c r="Y279" s="2449" t="s">
        <v>277</v>
      </c>
      <c r="Z279" s="2450"/>
      <c r="AA279" s="2450"/>
      <c r="AB279" s="2451" t="str">
        <f>IMAGE("https://raw.githubusercontent.com/msikma/pokesprite/master/misc/types/gen8/electric.png",4,20,20)</f>
        <v/>
      </c>
      <c r="AC279" s="2546"/>
      <c r="AD279" s="2449" t="s">
        <v>402</v>
      </c>
      <c r="AE279" s="2450"/>
      <c r="AF279" s="2450"/>
      <c r="AG279" s="2451" t="str">
        <f>IMAGE("https://raw.githubusercontent.com/msikma/pokesprite/master/misc/types/gen8/ground.png",4,20,20)</f>
        <v/>
      </c>
      <c r="AH279" s="2405"/>
      <c r="AI279" s="2266"/>
    </row>
    <row r="280" ht="3.0" customHeight="1">
      <c r="A280" s="2336"/>
      <c r="B280" s="2454"/>
      <c r="C280" s="2455"/>
      <c r="D280" s="2456"/>
      <c r="E280" s="2457"/>
      <c r="F280" s="2457"/>
      <c r="G280" s="2457"/>
      <c r="H280" s="2522"/>
      <c r="I280" s="2456"/>
      <c r="J280" s="2457"/>
      <c r="K280" s="2457"/>
      <c r="L280" s="2457"/>
      <c r="M280" s="2457"/>
      <c r="N280" s="2456"/>
      <c r="O280" s="2457"/>
      <c r="P280" s="2457"/>
      <c r="Q280" s="2457"/>
      <c r="R280" s="2522"/>
      <c r="S280" s="2456"/>
      <c r="T280" s="2457"/>
      <c r="U280" s="2457"/>
      <c r="V280" s="2457"/>
      <c r="W280" s="2522"/>
      <c r="X280" s="2456"/>
      <c r="Y280" s="2457"/>
      <c r="Z280" s="2457"/>
      <c r="AA280" s="2457"/>
      <c r="AB280" s="2522"/>
      <c r="AC280" s="2459"/>
      <c r="AD280" s="2457"/>
      <c r="AE280" s="2457"/>
      <c r="AF280" s="2457"/>
      <c r="AG280" s="2522"/>
      <c r="AH280" s="2460"/>
      <c r="AI280" s="2344"/>
    </row>
    <row r="281" ht="16.5" customHeight="1">
      <c r="A281" s="2267"/>
      <c r="B281" s="2461"/>
      <c r="C281" s="2455"/>
      <c r="D281" s="2462"/>
      <c r="E281" s="2463" t="s">
        <v>190</v>
      </c>
      <c r="F281" s="381"/>
      <c r="G281" s="382"/>
      <c r="H281" s="2464" t="s">
        <v>191</v>
      </c>
      <c r="I281" s="2523"/>
      <c r="J281" s="2463" t="s">
        <v>190</v>
      </c>
      <c r="K281" s="381"/>
      <c r="L281" s="382"/>
      <c r="M281" s="2464" t="s">
        <v>191</v>
      </c>
      <c r="N281" s="2524"/>
      <c r="O281" s="2463" t="s">
        <v>190</v>
      </c>
      <c r="P281" s="381"/>
      <c r="Q281" s="382"/>
      <c r="R281" s="2464" t="s">
        <v>191</v>
      </c>
      <c r="S281" s="2524"/>
      <c r="T281" s="2463" t="s">
        <v>190</v>
      </c>
      <c r="U281" s="381"/>
      <c r="V281" s="382"/>
      <c r="W281" s="2464" t="s">
        <v>191</v>
      </c>
      <c r="X281" s="2547"/>
      <c r="Y281" s="2463" t="s">
        <v>190</v>
      </c>
      <c r="Z281" s="381"/>
      <c r="AA281" s="382"/>
      <c r="AB281" s="2464" t="s">
        <v>191</v>
      </c>
      <c r="AC281" s="2547"/>
      <c r="AD281" s="2463" t="s">
        <v>190</v>
      </c>
      <c r="AE281" s="381"/>
      <c r="AF281" s="382"/>
      <c r="AG281" s="2464" t="s">
        <v>191</v>
      </c>
      <c r="AH281" s="2548"/>
      <c r="AI281" s="2352"/>
    </row>
    <row r="282" ht="15.75" customHeight="1">
      <c r="A282" s="2267"/>
      <c r="B282" s="2461"/>
      <c r="C282" s="2455"/>
      <c r="D282" s="2462"/>
      <c r="E282" s="2470" t="s">
        <v>192</v>
      </c>
      <c r="F282" s="2471">
        <f t="array" ref="F282">IFERROR(VLOOKUP(E269,Dex!$B$3:$N415,8,FALSE),"")</f>
        <v>80</v>
      </c>
      <c r="G282" s="2472" t="str">
        <f t="array" ref="G282">IFERROR(VLOOKUP(F282,Dex!$P$22:$Q$276,2,FALSE),"")</f>
        <v/>
      </c>
      <c r="H282" s="2473">
        <v>6.0</v>
      </c>
      <c r="I282" s="2526"/>
      <c r="J282" s="2470" t="s">
        <v>192</v>
      </c>
      <c r="K282" s="2471">
        <f t="array" ref="K282">IFERROR(VLOOKUP(J269,Dex!$B$3:$N415,8,FALSE),"")</f>
        <v>60</v>
      </c>
      <c r="L282" s="2472" t="str">
        <f t="array" ref="L282">IFERROR(VLOOKUP(K282,Dex!$P$22:$Q$276,2,FALSE),"")</f>
        <v/>
      </c>
      <c r="M282" s="2473">
        <v>6.0</v>
      </c>
      <c r="N282" s="2527"/>
      <c r="O282" s="2470" t="s">
        <v>192</v>
      </c>
      <c r="P282" s="2471">
        <f t="array" ref="P282">IFERROR(VLOOKUP(O269,Dex!$B$3:$N415,8,FALSE),"")</f>
        <v>63</v>
      </c>
      <c r="Q282" s="2472" t="str">
        <f t="array" ref="Q282">IFERROR(VLOOKUP(P282,Dex!$P$22:$Q$276,2,FALSE),"")</f>
        <v/>
      </c>
      <c r="R282" s="2473">
        <v>6.0</v>
      </c>
      <c r="S282" s="2527"/>
      <c r="T282" s="2470" t="s">
        <v>192</v>
      </c>
      <c r="U282" s="2471">
        <f t="array" ref="U282">IFERROR(VLOOKUP(T269,Dex!$B$3:$N415,8,FALSE),"")</f>
        <v>104</v>
      </c>
      <c r="V282" s="2472" t="str">
        <f t="array" ref="V282">IFERROR(VLOOKUP(U282,Dex!$P$22:$Q$276,2,FALSE),"")</f>
        <v/>
      </c>
      <c r="W282" s="2473">
        <v>6.0</v>
      </c>
      <c r="X282" s="2549"/>
      <c r="Y282" s="2470" t="s">
        <v>192</v>
      </c>
      <c r="Z282" s="2471">
        <f t="array" ref="Z282">IFERROR(VLOOKUP(Y269,Dex!$B$3:$N415,8,FALSE),"")</f>
        <v>68</v>
      </c>
      <c r="AA282" s="2472" t="str">
        <f t="array" ref="AA282">IFERROR(VLOOKUP(Z282,Dex!$P$22:$Q$276,2,FALSE),"")</f>
        <v/>
      </c>
      <c r="AB282" s="2473">
        <v>6.0</v>
      </c>
      <c r="AC282" s="2549"/>
      <c r="AD282" s="2470" t="s">
        <v>192</v>
      </c>
      <c r="AE282" s="2471">
        <f t="array" ref="AE282">IFERROR(VLOOKUP(AD269,Dex!$B$3:$N415,8,FALSE),"")</f>
        <v>70</v>
      </c>
      <c r="AF282" s="2472" t="str">
        <f t="array" ref="AF282">IFERROR(VLOOKUP(AE282,Dex!$P$22:$Q$276,2,FALSE),"")</f>
        <v/>
      </c>
      <c r="AG282" s="2473">
        <v>6.0</v>
      </c>
      <c r="AH282" s="2550"/>
      <c r="AI282" s="2352"/>
    </row>
    <row r="283" ht="15.75" customHeight="1">
      <c r="A283" s="2267"/>
      <c r="B283" s="2461"/>
      <c r="C283" s="2455"/>
      <c r="D283" s="2462"/>
      <c r="E283" s="2474" t="s">
        <v>193</v>
      </c>
      <c r="F283" s="2475">
        <f t="array" ref="F283">IFERROR(VLOOKUP(E269,Dex!$B$3:$N415,9,FALSE),"")</f>
        <v>135</v>
      </c>
      <c r="G283" s="2476" t="str">
        <f t="array" ref="G283">IFERROR(VLOOKUP(F283,Dex!$P$22:$Q$276,2,FALSE),"")</f>
        <v/>
      </c>
      <c r="H283" s="2477">
        <v>252.0</v>
      </c>
      <c r="I283" s="2526"/>
      <c r="J283" s="2474" t="s">
        <v>193</v>
      </c>
      <c r="K283" s="2475">
        <f t="array" ref="K283">IFERROR(VLOOKUP(J269,Dex!$B$3:$N415,9,FALSE),"")</f>
        <v>60</v>
      </c>
      <c r="L283" s="2476" t="str">
        <f t="array" ref="L283">IFERROR(VLOOKUP(K283,Dex!$P$22:$Q$276,2,FALSE),"")</f>
        <v/>
      </c>
      <c r="M283" s="2477">
        <v>252.0</v>
      </c>
      <c r="N283" s="2527"/>
      <c r="O283" s="2474" t="s">
        <v>193</v>
      </c>
      <c r="P283" s="2475">
        <f t="array" ref="P283">IFERROR(VLOOKUP(O269,Dex!$B$3:$N415,9,FALSE),"")</f>
        <v>120</v>
      </c>
      <c r="Q283" s="2476" t="str">
        <f t="array" ref="Q283">IFERROR(VLOOKUP(P283,Dex!$P$22:$Q$276,2,FALSE),"")</f>
        <v/>
      </c>
      <c r="R283" s="2477">
        <v>252.0</v>
      </c>
      <c r="S283" s="2527"/>
      <c r="T283" s="2474" t="s">
        <v>193</v>
      </c>
      <c r="U283" s="2475">
        <f t="array" ref="U283">IFERROR(VLOOKUP(T269,Dex!$B$3:$N415,9,FALSE),"")</f>
        <v>81</v>
      </c>
      <c r="V283" s="2476" t="str">
        <f t="array" ref="V283">IFERROR(VLOOKUP(U283,Dex!$P$22:$Q$276,2,FALSE),"")</f>
        <v/>
      </c>
      <c r="W283" s="2477"/>
      <c r="X283" s="2549"/>
      <c r="Y283" s="2474" t="s">
        <v>193</v>
      </c>
      <c r="Z283" s="2475">
        <f t="array" ref="Z283">IFERROR(VLOOKUP(Y269,Dex!$B$3:$N415,9,FALSE),"")</f>
        <v>65</v>
      </c>
      <c r="AA283" s="2476" t="str">
        <f t="array" ref="AA283">IFERROR(VLOOKUP(Z283,Dex!$P$22:$Q$276,2,FALSE),"")</f>
        <v/>
      </c>
      <c r="AB283" s="2477"/>
      <c r="AC283" s="2549"/>
      <c r="AD283" s="2474" t="s">
        <v>193</v>
      </c>
      <c r="AE283" s="2475">
        <f t="array" ref="AE283">IFERROR(VLOOKUP(AD269,Dex!$B$3:$N415,9,FALSE),"")</f>
        <v>135</v>
      </c>
      <c r="AF283" s="2476" t="str">
        <f t="array" ref="AF283">IFERROR(VLOOKUP(AE283,Dex!$P$22:$Q$276,2,FALSE),"")</f>
        <v/>
      </c>
      <c r="AG283" s="2477">
        <v>252.0</v>
      </c>
      <c r="AH283" s="2550"/>
      <c r="AI283" s="2352"/>
    </row>
    <row r="284" ht="15.75" customHeight="1">
      <c r="A284" s="2267"/>
      <c r="B284" s="2461"/>
      <c r="C284" s="2455"/>
      <c r="D284" s="2462"/>
      <c r="E284" s="2474" t="s">
        <v>194</v>
      </c>
      <c r="F284" s="2475">
        <f t="array" ref="F284">IFERROR(VLOOKUP(E269,Dex!$B$3:$N415,10,FALSE),"")</f>
        <v>130</v>
      </c>
      <c r="G284" s="2476" t="str">
        <f t="array" ref="G284">IFERROR(VLOOKUP(F284,Dex!$P$22:$Q$276,2,FALSE),"")</f>
        <v/>
      </c>
      <c r="H284" s="2477"/>
      <c r="I284" s="2526"/>
      <c r="J284" s="2474" t="s">
        <v>194</v>
      </c>
      <c r="K284" s="2475">
        <f t="array" ref="K284">IFERROR(VLOOKUP(J269,Dex!$B$3:$N415,10,FALSE),"")</f>
        <v>75</v>
      </c>
      <c r="L284" s="2476" t="str">
        <f t="array" ref="L284">IFERROR(VLOOKUP(K284,Dex!$P$22:$Q$276,2,FALSE),"")</f>
        <v/>
      </c>
      <c r="M284" s="2551"/>
      <c r="N284" s="2527"/>
      <c r="O284" s="2474" t="s">
        <v>194</v>
      </c>
      <c r="P284" s="2475">
        <f t="array" ref="P284">IFERROR(VLOOKUP(O269,Dex!$B$3:$N415,10,FALSE),"")</f>
        <v>85</v>
      </c>
      <c r="Q284" s="2476" t="str">
        <f t="array" ref="Q284">IFERROR(VLOOKUP(P284,Dex!$P$22:$Q$276,2,FALSE),"")</f>
        <v/>
      </c>
      <c r="R284" s="2477"/>
      <c r="S284" s="2527"/>
      <c r="T284" s="2474" t="s">
        <v>194</v>
      </c>
      <c r="U284" s="2475">
        <f t="array" ref="U284">IFERROR(VLOOKUP(T269,Dex!$B$3:$N415,10,FALSE),"")</f>
        <v>63</v>
      </c>
      <c r="V284" s="2476" t="str">
        <f t="array" ref="V284">IFERROR(VLOOKUP(U284,Dex!$P$22:$Q$276,2,FALSE),"")</f>
        <v/>
      </c>
      <c r="W284" s="2477"/>
      <c r="X284" s="2549"/>
      <c r="Y284" s="2474" t="s">
        <v>194</v>
      </c>
      <c r="Z284" s="2475">
        <f t="array" ref="Z284">IFERROR(VLOOKUP(Y269,Dex!$B$3:$N415,10,FALSE),"")</f>
        <v>65</v>
      </c>
      <c r="AA284" s="2476" t="str">
        <f t="array" ref="AA284">IFERROR(VLOOKUP(Z284,Dex!$P$22:$Q$276,2,FALSE),"")</f>
        <v/>
      </c>
      <c r="AB284" s="2477"/>
      <c r="AC284" s="2549"/>
      <c r="AD284" s="2474" t="s">
        <v>194</v>
      </c>
      <c r="AE284" s="2475">
        <f t="array" ref="AE284">IFERROR(VLOOKUP(AD269,Dex!$B$3:$N415,10,FALSE),"")</f>
        <v>75</v>
      </c>
      <c r="AF284" s="2476" t="str">
        <f t="array" ref="AF284">IFERROR(VLOOKUP(AE284,Dex!$P$22:$Q$276,2,FALSE),"")</f>
        <v/>
      </c>
      <c r="AG284" s="2477"/>
      <c r="AH284" s="2550"/>
      <c r="AI284" s="2352"/>
    </row>
    <row r="285" ht="15.75" customHeight="1">
      <c r="A285" s="2267"/>
      <c r="B285" s="2461"/>
      <c r="C285" s="2455"/>
      <c r="D285" s="2462"/>
      <c r="E285" s="2474" t="s">
        <v>195</v>
      </c>
      <c r="F285" s="2475">
        <f t="array" ref="F285">IFERROR(VLOOKUP(E269,Dex!$B$3:$N415,11,FALSE),"")</f>
        <v>95</v>
      </c>
      <c r="G285" s="2476" t="str">
        <f t="array" ref="G285">IFERROR(VLOOKUP(F285,Dex!$P$22:$Q$276,2,FALSE),"")</f>
        <v/>
      </c>
      <c r="H285" s="2477"/>
      <c r="I285" s="2526"/>
      <c r="J285" s="2474" t="s">
        <v>195</v>
      </c>
      <c r="K285" s="2475">
        <f t="array" ref="K285">IFERROR(VLOOKUP(J269,Dex!$B$3:$N415,11,FALSE),"")</f>
        <v>60</v>
      </c>
      <c r="L285" s="2476" t="str">
        <f t="array" ref="L285">IFERROR(VLOOKUP(K285,Dex!$P$22:$Q$276,2,FALSE),"")</f>
        <v/>
      </c>
      <c r="M285" s="2551"/>
      <c r="N285" s="2527"/>
      <c r="O285" s="2474" t="s">
        <v>195</v>
      </c>
      <c r="P285" s="2475">
        <f t="array" ref="P285">IFERROR(VLOOKUP(O269,Dex!$B$3:$N415,11,FALSE),"")</f>
        <v>90</v>
      </c>
      <c r="Q285" s="2476" t="str">
        <f t="array" ref="Q285">IFERROR(VLOOKUP(P285,Dex!$P$22:$Q$276,2,FALSE),"")</f>
        <v/>
      </c>
      <c r="R285" s="2477"/>
      <c r="S285" s="2527"/>
      <c r="T285" s="2474" t="s">
        <v>195</v>
      </c>
      <c r="U285" s="2475">
        <f t="array" ref="U285">IFERROR(VLOOKUP(T269,Dex!$B$3:$N415,11,FALSE),"")</f>
        <v>91</v>
      </c>
      <c r="V285" s="2476" t="str">
        <f t="array" ref="V285">IFERROR(VLOOKUP(U285,Dex!$P$22:$Q$276,2,FALSE),"")</f>
        <v/>
      </c>
      <c r="W285" s="2477">
        <v>252.0</v>
      </c>
      <c r="X285" s="2549"/>
      <c r="Y285" s="2474" t="s">
        <v>195</v>
      </c>
      <c r="Z285" s="2475">
        <f t="array" ref="Z285">IFERROR(VLOOKUP(Y269,Dex!$B$3:$N415,11,FALSE),"")</f>
        <v>125</v>
      </c>
      <c r="AA285" s="2476" t="str">
        <f t="array" ref="AA285">IFERROR(VLOOKUP(Z285,Dex!$P$22:$Q$276,2,FALSE),"")</f>
        <v/>
      </c>
      <c r="AB285" s="2477">
        <v>252.0</v>
      </c>
      <c r="AC285" s="2549"/>
      <c r="AD285" s="2474" t="s">
        <v>195</v>
      </c>
      <c r="AE285" s="2475">
        <f t="array" ref="AE285">IFERROR(VLOOKUP(AD269,Dex!$B$3:$N415,11,FALSE),"")</f>
        <v>110</v>
      </c>
      <c r="AF285" s="2476" t="str">
        <f t="array" ref="AF285">IFERROR(VLOOKUP(AE285,Dex!$P$22:$Q$276,2,FALSE),"")</f>
        <v/>
      </c>
      <c r="AG285" s="2477"/>
      <c r="AH285" s="2550"/>
      <c r="AI285" s="2352"/>
    </row>
    <row r="286" ht="15.75" customHeight="1">
      <c r="A286" s="2267"/>
      <c r="B286" s="2461"/>
      <c r="C286" s="2455"/>
      <c r="D286" s="2462"/>
      <c r="E286" s="2474" t="s">
        <v>196</v>
      </c>
      <c r="F286" s="2475">
        <f t="array" ref="F286">IFERROR(VLOOKUP(E269,Dex!$B$3:$N415,12,FALSE),"")</f>
        <v>90</v>
      </c>
      <c r="G286" s="2476" t="str">
        <f t="array" ref="G286">IFERROR(VLOOKUP(F286,Dex!$P$22:$Q$276,2,FALSE),"")</f>
        <v/>
      </c>
      <c r="H286" s="2477"/>
      <c r="I286" s="2526"/>
      <c r="J286" s="2474" t="s">
        <v>196</v>
      </c>
      <c r="K286" s="2475">
        <f t="array" ref="K286">IFERROR(VLOOKUP(J269,Dex!$B$3:$N415,12,FALSE),"")</f>
        <v>75</v>
      </c>
      <c r="L286" s="2476" t="str">
        <f t="array" ref="L286">IFERROR(VLOOKUP(K286,Dex!$P$22:$Q$276,2,FALSE),"")</f>
        <v/>
      </c>
      <c r="M286" s="2551"/>
      <c r="N286" s="2527"/>
      <c r="O286" s="2474" t="s">
        <v>196</v>
      </c>
      <c r="P286" s="2475">
        <f t="array" ref="P286">IFERROR(VLOOKUP(O269,Dex!$B$3:$N415,12,FALSE),"")</f>
        <v>55</v>
      </c>
      <c r="Q286" s="2476" t="str">
        <f t="array" ref="Q286">IFERROR(VLOOKUP(P286,Dex!$P$22:$Q$276,2,FALSE),"")</f>
        <v/>
      </c>
      <c r="R286" s="2477"/>
      <c r="S286" s="2527"/>
      <c r="T286" s="2474" t="s">
        <v>196</v>
      </c>
      <c r="U286" s="2475">
        <f t="array" ref="U286">IFERROR(VLOOKUP(T269,Dex!$B$3:$N415,12,FALSE),"")</f>
        <v>73</v>
      </c>
      <c r="V286" s="2476" t="str">
        <f t="array" ref="V286">IFERROR(VLOOKUP(U286,Dex!$P$22:$Q$276,2,FALSE),"")</f>
        <v/>
      </c>
      <c r="W286" s="2477"/>
      <c r="X286" s="2549"/>
      <c r="Y286" s="2474" t="s">
        <v>196</v>
      </c>
      <c r="Z286" s="2475">
        <f t="array" ref="Z286">IFERROR(VLOOKUP(Y269,Dex!$B$3:$N415,12,FALSE),"")</f>
        <v>115</v>
      </c>
      <c r="AA286" s="2476" t="str">
        <f t="array" ref="AA286">IFERROR(VLOOKUP(Z286,Dex!$P$22:$Q$276,2,FALSE),"")</f>
        <v/>
      </c>
      <c r="AB286" s="2477"/>
      <c r="AC286" s="2549"/>
      <c r="AD286" s="2474" t="s">
        <v>196</v>
      </c>
      <c r="AE286" s="2475">
        <f t="array" ref="AE286">IFERROR(VLOOKUP(AD269,Dex!$B$3:$N415,12,FALSE),"")</f>
        <v>85</v>
      </c>
      <c r="AF286" s="2476" t="str">
        <f t="array" ref="AF286">IFERROR(VLOOKUP(AE286,Dex!$P$22:$Q$276,2,FALSE),"")</f>
        <v/>
      </c>
      <c r="AG286" s="2477"/>
      <c r="AH286" s="2550"/>
      <c r="AI286" s="2352"/>
    </row>
    <row r="287" ht="15.75" customHeight="1">
      <c r="A287" s="2267"/>
      <c r="B287" s="2461"/>
      <c r="C287" s="1204" t="s">
        <v>436</v>
      </c>
      <c r="D287" s="2462"/>
      <c r="E287" s="2478" t="s">
        <v>197</v>
      </c>
      <c r="F287" s="2479">
        <f t="array" ref="F287">IFERROR(VLOOKUP(E269,Dex!$B$3:$N415,13,FALSE),"")</f>
        <v>70</v>
      </c>
      <c r="G287" s="2480" t="str">
        <f t="array" ref="G287">IFERROR(VLOOKUP(F287,Dex!$P$22:$Q$276,2,FALSE),"")</f>
        <v/>
      </c>
      <c r="H287" s="2481">
        <v>252.0</v>
      </c>
      <c r="I287" s="2526"/>
      <c r="J287" s="2478" t="s">
        <v>197</v>
      </c>
      <c r="K287" s="2479">
        <f t="array" ref="K287">IFERROR(VLOOKUP(J269,Dex!$B$3:$N415,13,FALSE),"")</f>
        <v>80</v>
      </c>
      <c r="L287" s="2480" t="str">
        <f t="array" ref="L287">IFERROR(VLOOKUP(K287,Dex!$P$22:$Q$276,2,FALSE),"")</f>
        <v/>
      </c>
      <c r="M287" s="2481">
        <v>252.0</v>
      </c>
      <c r="N287" s="2527"/>
      <c r="O287" s="2478" t="s">
        <v>197</v>
      </c>
      <c r="P287" s="2479">
        <f t="array" ref="P287">IFERROR(VLOOKUP(O269,Dex!$B$3:$N415,13,FALSE),"")</f>
        <v>55</v>
      </c>
      <c r="Q287" s="2480" t="str">
        <f t="array" ref="Q287">IFERROR(VLOOKUP(P287,Dex!$P$22:$Q$276,2,FALSE),"")</f>
        <v/>
      </c>
      <c r="R287" s="2481">
        <v>252.0</v>
      </c>
      <c r="S287" s="2527"/>
      <c r="T287" s="2478" t="s">
        <v>197</v>
      </c>
      <c r="U287" s="2479">
        <f t="array" ref="U287">IFERROR(VLOOKUP(T269,Dex!$B$3:$N415,13,FALSE),"")</f>
        <v>73</v>
      </c>
      <c r="V287" s="2480" t="str">
        <f t="array" ref="V287">IFERROR(VLOOKUP(U287,Dex!$P$22:$Q$276,2,FALSE),"")</f>
        <v/>
      </c>
      <c r="W287" s="2481">
        <v>252.0</v>
      </c>
      <c r="X287" s="2549"/>
      <c r="Y287" s="2478" t="s">
        <v>197</v>
      </c>
      <c r="Z287" s="2479">
        <f t="array" ref="Z287">IFERROR(VLOOKUP(Y269,Dex!$B$3:$N415,13,FALSE),"")</f>
        <v>80</v>
      </c>
      <c r="AA287" s="2480" t="str">
        <f t="array" ref="AA287">IFERROR(VLOOKUP(Z287,Dex!$P$22:$Q$276,2,FALSE),"")</f>
        <v/>
      </c>
      <c r="AB287" s="2481">
        <v>252.0</v>
      </c>
      <c r="AC287" s="2549"/>
      <c r="AD287" s="2478" t="s">
        <v>197</v>
      </c>
      <c r="AE287" s="2479">
        <f t="array" ref="AE287">IFERROR(VLOOKUP(AD269,Dex!$B$3:$N415,13,FALSE),"")</f>
        <v>145</v>
      </c>
      <c r="AF287" s="2480" t="str">
        <f t="array" ref="AF287">IFERROR(VLOOKUP(AE287,Dex!$P$22:$Q$276,2,FALSE),"")</f>
        <v/>
      </c>
      <c r="AG287" s="2481">
        <v>252.0</v>
      </c>
      <c r="AH287" s="2550"/>
      <c r="AI287" s="2352"/>
    </row>
    <row r="288" ht="16.5" customHeight="1">
      <c r="A288" s="2267"/>
      <c r="B288" s="2461"/>
      <c r="C288" s="1205" t="s">
        <v>437</v>
      </c>
      <c r="D288" s="2462"/>
      <c r="E288" s="2482" t="s">
        <v>198</v>
      </c>
      <c r="F288" s="405"/>
      <c r="G288" s="406"/>
      <c r="H288" s="2483">
        <v>174.0</v>
      </c>
      <c r="I288" s="2523"/>
      <c r="J288" s="2552" t="s">
        <v>198</v>
      </c>
      <c r="K288" s="918"/>
      <c r="L288" s="919"/>
      <c r="M288" s="2553">
        <v>172.0</v>
      </c>
      <c r="N288" s="2524"/>
      <c r="O288" s="2482" t="s">
        <v>198</v>
      </c>
      <c r="P288" s="405"/>
      <c r="Q288" s="406"/>
      <c r="R288" s="2483">
        <v>139.0</v>
      </c>
      <c r="S288" s="2524"/>
      <c r="T288" s="2482" t="s">
        <v>198</v>
      </c>
      <c r="U288" s="405"/>
      <c r="V288" s="406"/>
      <c r="W288" s="2483">
        <v>179.0</v>
      </c>
      <c r="X288" s="2547"/>
      <c r="Y288" s="2482" t="s">
        <v>198</v>
      </c>
      <c r="Z288" s="405"/>
      <c r="AA288" s="406"/>
      <c r="AB288" s="2483">
        <v>189.0</v>
      </c>
      <c r="AC288" s="2547"/>
      <c r="AD288" s="2482" t="s">
        <v>198</v>
      </c>
      <c r="AE288" s="405"/>
      <c r="AF288" s="406"/>
      <c r="AG288" s="2483">
        <v>283.0</v>
      </c>
      <c r="AH288" s="2548"/>
      <c r="AI288" s="2352"/>
    </row>
    <row r="289" ht="16.5" customHeight="1">
      <c r="A289" s="2267"/>
      <c r="B289" s="2461"/>
      <c r="C289" s="2455"/>
      <c r="D289" s="2462"/>
      <c r="E289" s="2554"/>
      <c r="F289" s="2554"/>
      <c r="G289" s="2554"/>
      <c r="H289" s="2555"/>
      <c r="I289" s="2523"/>
      <c r="J289" s="2556" t="s">
        <v>348</v>
      </c>
      <c r="K289" s="925"/>
      <c r="L289" s="926"/>
      <c r="M289" s="2557">
        <v>258.0</v>
      </c>
      <c r="N289" s="2524"/>
      <c r="O289" s="2554"/>
      <c r="P289" s="2554"/>
      <c r="Q289" s="2554"/>
      <c r="R289" s="2555"/>
      <c r="S289" s="2524"/>
      <c r="T289" s="2554"/>
      <c r="U289" s="2554"/>
      <c r="V289" s="2554"/>
      <c r="W289" s="2555"/>
      <c r="X289" s="2547"/>
      <c r="Y289" s="2554"/>
      <c r="Z289" s="2554"/>
      <c r="AA289" s="2554"/>
      <c r="AB289" s="2555"/>
      <c r="AC289" s="2547"/>
      <c r="AD289" s="2554"/>
      <c r="AE289" s="2554"/>
      <c r="AF289" s="2554"/>
      <c r="AG289" s="2555"/>
      <c r="AH289" s="2548"/>
      <c r="AI289" s="2352"/>
    </row>
    <row r="290" ht="15.0" customHeight="1">
      <c r="A290" s="2260"/>
      <c r="B290" s="2484"/>
      <c r="C290" s="2485"/>
      <c r="D290" s="2486"/>
      <c r="E290" s="2486"/>
      <c r="F290" s="2486"/>
      <c r="G290" s="2486"/>
      <c r="H290" s="2486"/>
      <c r="I290" s="2486"/>
      <c r="J290" s="2487"/>
      <c r="K290" s="2487"/>
      <c r="L290" s="2487"/>
      <c r="M290" s="2487"/>
      <c r="N290" s="2486"/>
      <c r="O290" s="2486"/>
      <c r="P290" s="2486"/>
      <c r="Q290" s="2486"/>
      <c r="R290" s="2486"/>
      <c r="S290" s="2486"/>
      <c r="T290" s="2486"/>
      <c r="U290" s="2486"/>
      <c r="V290" s="2486"/>
      <c r="W290" s="2486"/>
      <c r="X290" s="2487"/>
      <c r="Y290" s="2486"/>
      <c r="Z290" s="2486"/>
      <c r="AA290" s="2486"/>
      <c r="AB290" s="2486"/>
      <c r="AC290" s="2486"/>
      <c r="AD290" s="2486"/>
      <c r="AE290" s="2486"/>
      <c r="AF290" s="2486"/>
      <c r="AG290" s="2486"/>
      <c r="AH290" s="2488"/>
      <c r="AI290" s="2266"/>
    </row>
    <row r="291" ht="15.0" customHeight="1">
      <c r="A291" s="2260"/>
      <c r="B291" s="2558"/>
      <c r="C291" s="2559"/>
      <c r="D291" s="2560"/>
      <c r="E291" s="2561"/>
      <c r="F291" s="2561"/>
      <c r="G291" s="2561"/>
      <c r="H291" s="2561"/>
      <c r="I291" s="2560"/>
      <c r="J291" s="2561"/>
      <c r="K291" s="2561"/>
      <c r="L291" s="2561"/>
      <c r="M291" s="2561"/>
      <c r="N291" s="2560"/>
      <c r="O291" s="2561"/>
      <c r="P291" s="2561"/>
      <c r="Q291" s="2561"/>
      <c r="R291" s="2561"/>
      <c r="S291" s="2560"/>
      <c r="T291" s="2561"/>
      <c r="U291" s="2561"/>
      <c r="V291" s="2561"/>
      <c r="W291" s="2561"/>
      <c r="X291" s="2560"/>
      <c r="Y291" s="2561"/>
      <c r="Z291" s="2561"/>
      <c r="AA291" s="2561"/>
      <c r="AB291" s="2561"/>
      <c r="AC291" s="2560"/>
      <c r="AD291" s="2561"/>
      <c r="AE291" s="2561"/>
      <c r="AF291" s="2561"/>
      <c r="AG291" s="2561"/>
      <c r="AH291" s="2562"/>
      <c r="AI291" s="2266"/>
    </row>
    <row r="292" ht="96.75" customHeight="1">
      <c r="A292" s="2260"/>
      <c r="B292" s="2563"/>
      <c r="C292" s="2564" t="str">
        <f>IMAGE("https://i.ibb.co/5Y4g02T/May.png")</f>
        <v/>
      </c>
      <c r="D292" s="2565"/>
      <c r="E292" s="2566" t="str">
        <f t="array" ref="E292">IFERROR(VLOOKUP(E293,Dex!$B$3:$G415,3,FALSE),"")</f>
        <v/>
      </c>
      <c r="F292" s="1830"/>
      <c r="G292" s="1830"/>
      <c r="H292" s="1831"/>
      <c r="I292" s="2565"/>
      <c r="J292" s="2566" t="str">
        <f t="array" ref="J292">IFERROR(VLOOKUP(J293,Dex!$B$3:$G415,3,FALSE),"")</f>
        <v/>
      </c>
      <c r="K292" s="1830"/>
      <c r="L292" s="1830"/>
      <c r="M292" s="1831"/>
      <c r="N292" s="2565"/>
      <c r="O292" s="2566" t="str">
        <f t="array" ref="O292">IFERROR(VLOOKUP(O293,Dex!$B$3:$G415,3,FALSE),"")</f>
        <v/>
      </c>
      <c r="P292" s="1830"/>
      <c r="Q292" s="1830"/>
      <c r="R292" s="1831"/>
      <c r="S292" s="2565"/>
      <c r="T292" s="2566" t="str">
        <f t="array" ref="T292">IFERROR(VLOOKUP(T293,Dex!$B$3:$G415,3,FALSE),"")</f>
        <v/>
      </c>
      <c r="U292" s="1830"/>
      <c r="V292" s="1830"/>
      <c r="W292" s="1831"/>
      <c r="X292" s="2565"/>
      <c r="Y292" s="2566" t="str">
        <f t="array" ref="Y292">IFERROR(VLOOKUP(Y293,Dex!$B$3:$G415,3,FALSE),"")</f>
        <v/>
      </c>
      <c r="Z292" s="1830"/>
      <c r="AA292" s="1830"/>
      <c r="AB292" s="1831"/>
      <c r="AC292" s="2565"/>
      <c r="AD292" s="2566" t="str">
        <f t="array" ref="AD292">IFERROR(VLOOKUP(AD293,Dex!$B$3:$G415,3,FALSE),"")</f>
        <v/>
      </c>
      <c r="AE292" s="1830"/>
      <c r="AF292" s="1830"/>
      <c r="AG292" s="1831"/>
      <c r="AH292" s="2567"/>
      <c r="AI292" s="2266"/>
    </row>
    <row r="293" ht="18.75" customHeight="1">
      <c r="A293" s="2288"/>
      <c r="B293" s="2568"/>
      <c r="C293" s="2569" t="s">
        <v>773</v>
      </c>
      <c r="D293" s="2570"/>
      <c r="E293" s="2571" t="s">
        <v>774</v>
      </c>
      <c r="F293" s="2572"/>
      <c r="G293" s="2572"/>
      <c r="H293" s="2573"/>
      <c r="I293" s="2570"/>
      <c r="J293" s="2571" t="s">
        <v>591</v>
      </c>
      <c r="K293" s="2572"/>
      <c r="L293" s="2572"/>
      <c r="M293" s="2573"/>
      <c r="N293" s="2570"/>
      <c r="O293" s="2571" t="s">
        <v>775</v>
      </c>
      <c r="P293" s="2572"/>
      <c r="Q293" s="2572"/>
      <c r="R293" s="2573"/>
      <c r="S293" s="2570"/>
      <c r="T293" s="2571" t="s">
        <v>776</v>
      </c>
      <c r="U293" s="2572"/>
      <c r="V293" s="2572"/>
      <c r="W293" s="2573"/>
      <c r="X293" s="2570"/>
      <c r="Y293" s="2571" t="s">
        <v>777</v>
      </c>
      <c r="Z293" s="2572"/>
      <c r="AA293" s="2572"/>
      <c r="AB293" s="2573"/>
      <c r="AC293" s="2570"/>
      <c r="AD293" s="2571" t="s">
        <v>778</v>
      </c>
      <c r="AE293" s="2572"/>
      <c r="AF293" s="2572"/>
      <c r="AG293" s="2573"/>
      <c r="AH293" s="2574"/>
      <c r="AI293" s="2299"/>
    </row>
    <row r="294">
      <c r="A294" s="2416"/>
      <c r="B294" s="2575"/>
      <c r="C294" s="326"/>
      <c r="D294" s="2576"/>
      <c r="E294" s="2577">
        <v>71.0</v>
      </c>
      <c r="F294" s="2578"/>
      <c r="G294" s="2578"/>
      <c r="H294" s="2579"/>
      <c r="I294" s="2580"/>
      <c r="J294" s="2577">
        <v>71.0</v>
      </c>
      <c r="K294" s="2578"/>
      <c r="L294" s="2578"/>
      <c r="M294" s="2579"/>
      <c r="N294" s="2580"/>
      <c r="O294" s="2577">
        <v>72.0</v>
      </c>
      <c r="P294" s="2578"/>
      <c r="Q294" s="2578"/>
      <c r="R294" s="2579"/>
      <c r="S294" s="2580"/>
      <c r="T294" s="2577">
        <v>72.0</v>
      </c>
      <c r="U294" s="2578"/>
      <c r="V294" s="2578"/>
      <c r="W294" s="2579"/>
      <c r="X294" s="2580"/>
      <c r="Y294" s="2577">
        <v>72.0</v>
      </c>
      <c r="Z294" s="2578"/>
      <c r="AA294" s="2578"/>
      <c r="AB294" s="2579"/>
      <c r="AC294" s="2580"/>
      <c r="AD294" s="2577">
        <v>73.0</v>
      </c>
      <c r="AE294" s="2578"/>
      <c r="AF294" s="2578"/>
      <c r="AG294" s="2579"/>
      <c r="AH294" s="2581"/>
      <c r="AI294" s="2424"/>
    </row>
    <row r="295" ht="25.5" customHeight="1">
      <c r="A295" s="2260"/>
      <c r="B295" s="2582"/>
      <c r="C295" s="2583"/>
      <c r="D295" s="2584"/>
      <c r="E295" s="2585"/>
      <c r="F295" s="2586" t="str">
        <f t="array" ref="F295">IFERROR(VLOOKUP(E293,Dex!$B$3:$H415,5,FALSE),"")</f>
        <v/>
      </c>
      <c r="G295" s="2587" t="str">
        <f t="array" ref="G295">IFERROR(VLOOKUP(E293,Dex!$B$3:$H415,7,FALSE),"")</f>
        <v/>
      </c>
      <c r="H295" s="2588"/>
      <c r="I295" s="2589"/>
      <c r="J295" s="2585"/>
      <c r="K295" s="2586" t="str">
        <f t="array" ref="K295">IFERROR(VLOOKUP(J293,Dex!$B$3:$H415,5,FALSE),"")</f>
        <v/>
      </c>
      <c r="L295" s="2587" t="str">
        <f t="array" ref="L295">IFERROR(VLOOKUP(J293,Dex!$B$3:$H415,7,FALSE),"")</f>
        <v/>
      </c>
      <c r="M295" s="2588"/>
      <c r="N295" s="2589"/>
      <c r="O295" s="2585"/>
      <c r="P295" s="2590" t="str">
        <f t="array" ref="P295">IFERROR(VLOOKUP(O293,Dex!$B$3:$H415,5,FALSE),"")</f>
        <v/>
      </c>
      <c r="Q295" s="2591"/>
      <c r="R295" s="2588"/>
      <c r="S295" s="2589"/>
      <c r="T295" s="2585"/>
      <c r="U295" s="2586" t="str">
        <f t="array" ref="U295">IFERROR(VLOOKUP(T293,Dex!$B$3:$H415,5,FALSE),"")</f>
        <v/>
      </c>
      <c r="V295" s="2587" t="str">
        <f t="array" ref="V295">IFERROR(VLOOKUP(T293,Dex!$B$3:$H415,7,FALSE),"")</f>
        <v/>
      </c>
      <c r="W295" s="2588"/>
      <c r="X295" s="2589"/>
      <c r="Y295" s="2585"/>
      <c r="Z295" s="2586" t="str">
        <f t="array" ref="Z295">IFERROR(VLOOKUP(Y293,Dex!$B$3:$H415,5,FALSE),"")</f>
        <v/>
      </c>
      <c r="AA295" s="2587" t="str">
        <f t="array" ref="AA295">IFERROR(VLOOKUP(Y293,Dex!$B$3:$H415,7,FALSE),"")</f>
        <v/>
      </c>
      <c r="AB295" s="2588"/>
      <c r="AC295" s="2589"/>
      <c r="AD295" s="2585"/>
      <c r="AE295" s="2586" t="str">
        <f t="array" ref="AE295">IFERROR(VLOOKUP(AD293,Dex!$B$3:$H415,5,FALSE),"")</f>
        <v/>
      </c>
      <c r="AF295" s="2587" t="str">
        <f t="array" ref="AF295">IFERROR(VLOOKUP(AD293,Dex!$B$3:$H415,7,FALSE),"")</f>
        <v/>
      </c>
      <c r="AG295" s="2588"/>
      <c r="AH295" s="2567"/>
      <c r="AI295" s="2266"/>
    </row>
    <row r="296" ht="2.25" customHeight="1">
      <c r="A296" s="2260"/>
      <c r="B296" s="2582"/>
      <c r="C296" s="2592"/>
      <c r="D296" s="2584"/>
      <c r="E296" s="2593"/>
      <c r="F296" s="2594"/>
      <c r="G296" s="2594"/>
      <c r="H296" s="2595"/>
      <c r="I296" s="2589"/>
      <c r="J296" s="2593"/>
      <c r="K296" s="2594"/>
      <c r="L296" s="2594"/>
      <c r="M296" s="2595"/>
      <c r="N296" s="2589"/>
      <c r="O296" s="2593"/>
      <c r="P296" s="2594"/>
      <c r="Q296" s="2594"/>
      <c r="R296" s="2595"/>
      <c r="S296" s="2589"/>
      <c r="T296" s="2593"/>
      <c r="U296" s="2594"/>
      <c r="V296" s="2594"/>
      <c r="W296" s="2595"/>
      <c r="X296" s="2589"/>
      <c r="Y296" s="2593"/>
      <c r="Z296" s="2594"/>
      <c r="AA296" s="2594"/>
      <c r="AB296" s="2595"/>
      <c r="AC296" s="2589"/>
      <c r="AD296" s="2593"/>
      <c r="AE296" s="2594"/>
      <c r="AF296" s="2594"/>
      <c r="AG296" s="2595"/>
      <c r="AH296" s="2567"/>
      <c r="AI296" s="2266"/>
    </row>
    <row r="297" ht="20.25" customHeight="1">
      <c r="A297" s="2260"/>
      <c r="B297" s="2582"/>
      <c r="C297" s="2596"/>
      <c r="D297" s="2584"/>
      <c r="E297" s="2597" t="s">
        <v>172</v>
      </c>
      <c r="F297" s="2598"/>
      <c r="G297" s="2598"/>
      <c r="H297" s="2599"/>
      <c r="I297" s="2589"/>
      <c r="J297" s="2597" t="s">
        <v>172</v>
      </c>
      <c r="K297" s="2598"/>
      <c r="L297" s="2598"/>
      <c r="M297" s="2599"/>
      <c r="N297" s="2589"/>
      <c r="O297" s="2597" t="s">
        <v>205</v>
      </c>
      <c r="P297" s="2598"/>
      <c r="Q297" s="2598"/>
      <c r="R297" s="2599"/>
      <c r="S297" s="2589"/>
      <c r="T297" s="2597" t="s">
        <v>169</v>
      </c>
      <c r="U297" s="2598"/>
      <c r="V297" s="2598"/>
      <c r="W297" s="2599"/>
      <c r="X297" s="2589"/>
      <c r="Y297" s="2597" t="s">
        <v>779</v>
      </c>
      <c r="Z297" s="2598"/>
      <c r="AA297" s="2598"/>
      <c r="AB297" s="2599"/>
      <c r="AC297" s="2589"/>
      <c r="AD297" s="2597" t="s">
        <v>169</v>
      </c>
      <c r="AE297" s="2598"/>
      <c r="AF297" s="2598"/>
      <c r="AG297" s="2599"/>
      <c r="AH297" s="2567"/>
      <c r="AI297" s="2266"/>
    </row>
    <row r="298" ht="20.25" customHeight="1">
      <c r="A298" s="2260"/>
      <c r="B298" s="2582"/>
      <c r="C298" s="2600"/>
      <c r="D298" s="2584"/>
      <c r="E298" s="2601" t="s">
        <v>233</v>
      </c>
      <c r="F298" s="2602"/>
      <c r="G298" s="2602"/>
      <c r="H298" s="2603"/>
      <c r="I298" s="2589"/>
      <c r="J298" s="2601" t="s">
        <v>596</v>
      </c>
      <c r="K298" s="2602"/>
      <c r="L298" s="2602"/>
      <c r="M298" s="2603"/>
      <c r="N298" s="2589"/>
      <c r="O298" s="2601" t="s">
        <v>780</v>
      </c>
      <c r="P298" s="2602"/>
      <c r="Q298" s="2602"/>
      <c r="R298" s="2603"/>
      <c r="S298" s="2589"/>
      <c r="T298" s="2601" t="s">
        <v>424</v>
      </c>
      <c r="U298" s="2602"/>
      <c r="V298" s="2602"/>
      <c r="W298" s="2603"/>
      <c r="X298" s="2589"/>
      <c r="Y298" s="2601" t="s">
        <v>518</v>
      </c>
      <c r="Z298" s="2602"/>
      <c r="AA298" s="2602"/>
      <c r="AB298" s="2603"/>
      <c r="AC298" s="2589"/>
      <c r="AD298" s="2604" t="s">
        <v>781</v>
      </c>
      <c r="AE298" s="2602"/>
      <c r="AF298" s="2602"/>
      <c r="AG298" s="2603"/>
      <c r="AH298" s="2567"/>
      <c r="AI298" s="2266"/>
    </row>
    <row r="299" ht="20.25" customHeight="1">
      <c r="A299" s="2260"/>
      <c r="B299" s="2582"/>
      <c r="C299" s="2592"/>
      <c r="D299" s="2584"/>
      <c r="E299" s="2605" t="s">
        <v>240</v>
      </c>
      <c r="F299" s="2606"/>
      <c r="G299" s="2607"/>
      <c r="H299" s="2608" t="str">
        <f>IMAGE("https://raw.githubusercontent.com/msikma/pokesprite/master/items/hold-item/focus-sash.png",3)</f>
        <v/>
      </c>
      <c r="I299" s="2589"/>
      <c r="J299" s="2605" t="s">
        <v>600</v>
      </c>
      <c r="K299" s="2606"/>
      <c r="L299" s="2607"/>
      <c r="M299" s="2608" t="str">
        <f>IMAGE("https://raw.githubusercontent.com/msikma/pokesprite/master/items/hold-item/toxic-orb.png",3)</f>
        <v/>
      </c>
      <c r="N299" s="2589"/>
      <c r="O299" s="2605" t="s">
        <v>334</v>
      </c>
      <c r="P299" s="2606"/>
      <c r="Q299" s="2607"/>
      <c r="R299" s="2608" t="str">
        <f>IMAGE("https://raw.githubusercontent.com/msikma/pokesprite/master/items/hold-item/choice-specs.png",3)</f>
        <v/>
      </c>
      <c r="S299" s="2589"/>
      <c r="T299" s="2605" t="s">
        <v>766</v>
      </c>
      <c r="U299" s="2606"/>
      <c r="V299" s="2607"/>
      <c r="W299" s="2608" t="str">
        <f>IMAGE("https://raw.githubusercontent.com/msikma/pokesprite/master/items/hold-item/choice-band.png",3)</f>
        <v/>
      </c>
      <c r="X299" s="2589"/>
      <c r="Y299" s="2605" t="s">
        <v>272</v>
      </c>
      <c r="Z299" s="2606"/>
      <c r="AA299" s="2607"/>
      <c r="AB299" s="2608" t="str">
        <f>IMAGE("https://raw.githubusercontent.com/msikma/pokesprite/master/items/hold-item/life-orb.png",3)</f>
        <v/>
      </c>
      <c r="AC299" s="2589"/>
      <c r="AD299" s="2605" t="s">
        <v>782</v>
      </c>
      <c r="AE299" s="2606"/>
      <c r="AF299" s="2607"/>
      <c r="AG299" s="2608" t="str">
        <f>IMAGE("https://raw.githubusercontent.com/msikma/pokesprite/master/items/mega-stone/blazikenite.png",3)</f>
        <v/>
      </c>
      <c r="AH299" s="2567"/>
      <c r="AI299" s="2266"/>
    </row>
    <row r="300" ht="20.25" customHeight="1">
      <c r="A300" s="2260"/>
      <c r="B300" s="2582"/>
      <c r="C300" s="2596"/>
      <c r="D300" s="2584"/>
      <c r="E300" s="2597" t="s">
        <v>395</v>
      </c>
      <c r="F300" s="2598"/>
      <c r="G300" s="2598"/>
      <c r="H300" s="2609" t="str">
        <f>IMAGE("https://raw.githubusercontent.com/msikma/pokesprite/master/misc/types/gen8/rock.png",4,20,20)</f>
        <v/>
      </c>
      <c r="I300" s="2589"/>
      <c r="J300" s="2597" t="s">
        <v>319</v>
      </c>
      <c r="K300" s="2598"/>
      <c r="L300" s="2598"/>
      <c r="M300" s="2609" t="str">
        <f>IMAGE("https://raw.githubusercontent.com/msikma/pokesprite/master/misc/types/gen8/grass.png",4,20,20)</f>
        <v/>
      </c>
      <c r="N300" s="2589"/>
      <c r="O300" s="2597" t="s">
        <v>242</v>
      </c>
      <c r="P300" s="2598"/>
      <c r="Q300" s="2598"/>
      <c r="R300" s="2609" t="str">
        <f t="shared" ref="R300:R301" si="23">IMAGE("https://raw.githubusercontent.com/msikma/pokesprite/master/misc/types/gen8/electric.png",4,20,20)</f>
        <v/>
      </c>
      <c r="S300" s="2589"/>
      <c r="T300" s="2597" t="s">
        <v>459</v>
      </c>
      <c r="U300" s="2598"/>
      <c r="V300" s="2598"/>
      <c r="W300" s="2609" t="str">
        <f>IMAGE("https://raw.githubusercontent.com/msikma/pokesprite/master/misc/types/gen8/water.png",4,20,20)</f>
        <v/>
      </c>
      <c r="X300" s="2589"/>
      <c r="Y300" s="2597" t="s">
        <v>402</v>
      </c>
      <c r="Z300" s="2598"/>
      <c r="AA300" s="2598"/>
      <c r="AB300" s="2609" t="str">
        <f>IMAGE("https://raw.githubusercontent.com/msikma/pokesprite/master/misc/types/gen8/ground.png",4,20,20)</f>
        <v/>
      </c>
      <c r="AC300" s="2589"/>
      <c r="AD300" s="2597" t="s">
        <v>489</v>
      </c>
      <c r="AE300" s="2598"/>
      <c r="AF300" s="2598"/>
      <c r="AG300" s="2609" t="str">
        <f>IMAGE("https://raw.githubusercontent.com/msikma/pokesprite/master/misc/types/gen8/normal.png",4,20,20)</f>
        <v/>
      </c>
      <c r="AH300" s="2567"/>
      <c r="AI300" s="2266"/>
    </row>
    <row r="301" ht="20.25" customHeight="1">
      <c r="A301" s="2260"/>
      <c r="B301" s="2582"/>
      <c r="C301" s="2610"/>
      <c r="D301" s="2584"/>
      <c r="E301" s="2601" t="s">
        <v>783</v>
      </c>
      <c r="F301" s="2602"/>
      <c r="G301" s="2602"/>
      <c r="H301" s="2611" t="str">
        <f>IMAGE("https://raw.githubusercontent.com/msikma/pokesprite/master/misc/types/gen8/psychic.png",4,20,20)</f>
        <v/>
      </c>
      <c r="I301" s="2589"/>
      <c r="J301" s="2601" t="s">
        <v>605</v>
      </c>
      <c r="K301" s="2602"/>
      <c r="L301" s="2602"/>
      <c r="M301" s="2611" t="str">
        <f>IMAGE("https://raw.githubusercontent.com/msikma/pokesprite/master/misc/types/gen8/normal.png",4,20,20)</f>
        <v/>
      </c>
      <c r="N301" s="2589"/>
      <c r="O301" s="2601" t="s">
        <v>277</v>
      </c>
      <c r="P301" s="2602"/>
      <c r="Q301" s="2602"/>
      <c r="R301" s="2611" t="str">
        <f t="shared" si="23"/>
        <v/>
      </c>
      <c r="S301" s="2589"/>
      <c r="T301" s="2601" t="s">
        <v>431</v>
      </c>
      <c r="U301" s="2602"/>
      <c r="V301" s="2602"/>
      <c r="W301" s="2611" t="str">
        <f>IMAGE("https://raw.githubusercontent.com/msikma/pokesprite/master/misc/types/gen8/rock.png",4,20,20)</f>
        <v/>
      </c>
      <c r="X301" s="2589"/>
      <c r="Y301" s="2601" t="s">
        <v>410</v>
      </c>
      <c r="Z301" s="2602"/>
      <c r="AA301" s="2602"/>
      <c r="AB301" s="2611" t="str">
        <f>IMAGE("https://raw.githubusercontent.com/msikma/pokesprite/master/misc/types/gen8/dragon.png",4,20,20)</f>
        <v/>
      </c>
      <c r="AC301" s="2589"/>
      <c r="AD301" s="2601" t="s">
        <v>316</v>
      </c>
      <c r="AE301" s="2602"/>
      <c r="AF301" s="2602"/>
      <c r="AG301" s="2611" t="str">
        <f>IMAGE("https://raw.githubusercontent.com/msikma/pokesprite/master/misc/types/gen8/fighting.png",4,20,20)</f>
        <v/>
      </c>
      <c r="AH301" s="2567"/>
      <c r="AI301" s="2266"/>
    </row>
    <row r="302" ht="20.25" customHeight="1">
      <c r="A302" s="2260"/>
      <c r="B302" s="2582"/>
      <c r="C302" s="2610"/>
      <c r="D302" s="2584"/>
      <c r="E302" s="2601" t="s">
        <v>288</v>
      </c>
      <c r="F302" s="2602"/>
      <c r="G302" s="2602"/>
      <c r="H302" s="2611" t="str">
        <f>IMAGE("https://raw.githubusercontent.com/msikma/pokesprite/master/misc/types/gen8/normal.png",4,20,20)</f>
        <v/>
      </c>
      <c r="I302" s="2589"/>
      <c r="J302" s="2601" t="s">
        <v>607</v>
      </c>
      <c r="K302" s="2602"/>
      <c r="L302" s="2602"/>
      <c r="M302" s="2611" t="str">
        <f>IMAGE("https://raw.githubusercontent.com/msikma/pokesprite/master/misc/types/gen8/fighting.png",4,20,20)</f>
        <v/>
      </c>
      <c r="N302" s="2589"/>
      <c r="O302" s="2601" t="s">
        <v>784</v>
      </c>
      <c r="P302" s="2602"/>
      <c r="Q302" s="2602"/>
      <c r="R302" s="2611" t="str">
        <f>IMAGE("https://raw.githubusercontent.com/msikma/pokesprite/master/misc/types/gen8/fire.png",4,20,20)</f>
        <v/>
      </c>
      <c r="S302" s="2589"/>
      <c r="T302" s="2601" t="s">
        <v>402</v>
      </c>
      <c r="U302" s="2602"/>
      <c r="V302" s="2602"/>
      <c r="W302" s="2611" t="str">
        <f>IMAGE("https://raw.githubusercontent.com/msikma/pokesprite/master/misc/types/gen8/ground.png",4,20,20)</f>
        <v/>
      </c>
      <c r="X302" s="2589"/>
      <c r="Y302" s="2601" t="s">
        <v>785</v>
      </c>
      <c r="Z302" s="2602"/>
      <c r="AA302" s="2602"/>
      <c r="AB302" s="2611" t="str">
        <f>IMAGE("https://raw.githubusercontent.com/msikma/pokesprite/master/misc/types/gen8/fire.png",4,20,20)</f>
        <v/>
      </c>
      <c r="AC302" s="2589"/>
      <c r="AD302" s="2601" t="s">
        <v>378</v>
      </c>
      <c r="AE302" s="2602"/>
      <c r="AF302" s="2602"/>
      <c r="AG302" s="2611" t="str">
        <f>IMAGE("https://raw.githubusercontent.com/msikma/pokesprite/master/misc/types/gen8/fire.png",4,20,20)</f>
        <v/>
      </c>
      <c r="AH302" s="2567"/>
      <c r="AI302" s="2266"/>
    </row>
    <row r="303" ht="21.0" customHeight="1">
      <c r="A303" s="2260"/>
      <c r="B303" s="2582"/>
      <c r="C303" s="2610"/>
      <c r="D303" s="2584"/>
      <c r="E303" s="2612" t="s">
        <v>402</v>
      </c>
      <c r="F303" s="2613"/>
      <c r="G303" s="2613"/>
      <c r="H303" s="2614" t="str">
        <f>IMAGE("https://raw.githubusercontent.com/msikma/pokesprite/master/misc/types/gen8/ground.png",4,20,20)</f>
        <v/>
      </c>
      <c r="I303" s="2589"/>
      <c r="J303" s="2612" t="s">
        <v>610</v>
      </c>
      <c r="K303" s="2613"/>
      <c r="L303" s="2613"/>
      <c r="M303" s="2614" t="str">
        <f>IMAGE("https://raw.githubusercontent.com/msikma/pokesprite/master/misc/types/gen8/rock.png",4,20,20)</f>
        <v/>
      </c>
      <c r="N303" s="2589"/>
      <c r="O303" s="2612" t="s">
        <v>786</v>
      </c>
      <c r="P303" s="2613"/>
      <c r="Q303" s="2613"/>
      <c r="R303" s="2614" t="str">
        <f>IMAGE("https://raw.githubusercontent.com/msikma/pokesprite/master/misc/types/gen8/dark.png",4,20,20)</f>
        <v/>
      </c>
      <c r="S303" s="2589"/>
      <c r="T303" s="2612" t="s">
        <v>562</v>
      </c>
      <c r="U303" s="2613"/>
      <c r="V303" s="2613"/>
      <c r="W303" s="2614" t="str">
        <f>IMAGE("https://raw.githubusercontent.com/msikma/pokesprite/master/misc/types/gen8/psychic.png",4,20,20)</f>
        <v/>
      </c>
      <c r="X303" s="2589"/>
      <c r="Y303" s="2612" t="s">
        <v>787</v>
      </c>
      <c r="Z303" s="2613"/>
      <c r="AA303" s="2613"/>
      <c r="AB303" s="2614" t="str">
        <f>IMAGE("https://raw.githubusercontent.com/msikma/pokesprite/master/misc/types/gen8/dragon.png",4,20,20)</f>
        <v/>
      </c>
      <c r="AC303" s="2589"/>
      <c r="AD303" s="2612" t="s">
        <v>610</v>
      </c>
      <c r="AE303" s="2613"/>
      <c r="AF303" s="2613"/>
      <c r="AG303" s="2614" t="str">
        <f>IMAGE("https://raw.githubusercontent.com/msikma/pokesprite/master/misc/types/gen8/rock.png",4,20,20)</f>
        <v/>
      </c>
      <c r="AH303" s="2567"/>
      <c r="AI303" s="2266"/>
    </row>
    <row r="304" ht="3.0" customHeight="1">
      <c r="A304" s="2336"/>
      <c r="B304" s="2615"/>
      <c r="C304" s="2616"/>
      <c r="D304" s="2617"/>
      <c r="E304" s="2618"/>
      <c r="F304" s="2618"/>
      <c r="G304" s="2618"/>
      <c r="H304" s="2619"/>
      <c r="I304" s="2617"/>
      <c r="J304" s="2618"/>
      <c r="K304" s="2618"/>
      <c r="L304" s="2618"/>
      <c r="M304" s="2618"/>
      <c r="N304" s="2617"/>
      <c r="O304" s="2618"/>
      <c r="P304" s="2618"/>
      <c r="Q304" s="2618"/>
      <c r="R304" s="2619"/>
      <c r="S304" s="2617"/>
      <c r="T304" s="2618"/>
      <c r="U304" s="2618"/>
      <c r="V304" s="2618"/>
      <c r="W304" s="2619"/>
      <c r="X304" s="2617"/>
      <c r="Y304" s="2618"/>
      <c r="Z304" s="2618"/>
      <c r="AA304" s="2618"/>
      <c r="AB304" s="2619"/>
      <c r="AC304" s="2617"/>
      <c r="AD304" s="2618"/>
      <c r="AE304" s="2618"/>
      <c r="AF304" s="2618"/>
      <c r="AG304" s="2619"/>
      <c r="AH304" s="2620"/>
      <c r="AI304" s="2344"/>
    </row>
    <row r="305" ht="16.5" customHeight="1">
      <c r="A305" s="2267"/>
      <c r="B305" s="2621"/>
      <c r="C305" s="2616"/>
      <c r="D305" s="2622"/>
      <c r="E305" s="2623" t="s">
        <v>190</v>
      </c>
      <c r="F305" s="381"/>
      <c r="G305" s="382"/>
      <c r="H305" s="2624" t="s">
        <v>191</v>
      </c>
      <c r="I305" s="2625"/>
      <c r="J305" s="2623" t="s">
        <v>190</v>
      </c>
      <c r="K305" s="381"/>
      <c r="L305" s="382"/>
      <c r="M305" s="2624" t="s">
        <v>191</v>
      </c>
      <c r="N305" s="2625"/>
      <c r="O305" s="2623" t="s">
        <v>190</v>
      </c>
      <c r="P305" s="381"/>
      <c r="Q305" s="382"/>
      <c r="R305" s="2624" t="s">
        <v>191</v>
      </c>
      <c r="S305" s="2625"/>
      <c r="T305" s="2623" t="s">
        <v>190</v>
      </c>
      <c r="U305" s="381"/>
      <c r="V305" s="382"/>
      <c r="W305" s="2624" t="s">
        <v>191</v>
      </c>
      <c r="X305" s="2625"/>
      <c r="Y305" s="2623" t="s">
        <v>190</v>
      </c>
      <c r="Z305" s="381"/>
      <c r="AA305" s="382"/>
      <c r="AB305" s="2624" t="s">
        <v>191</v>
      </c>
      <c r="AC305" s="2625"/>
      <c r="AD305" s="2623" t="s">
        <v>190</v>
      </c>
      <c r="AE305" s="381"/>
      <c r="AF305" s="382"/>
      <c r="AG305" s="2624" t="s">
        <v>191</v>
      </c>
      <c r="AH305" s="2626"/>
      <c r="AI305" s="2352"/>
    </row>
    <row r="306" ht="15.75" customHeight="1">
      <c r="A306" s="2267"/>
      <c r="B306" s="2621"/>
      <c r="C306" s="2616"/>
      <c r="D306" s="2622"/>
      <c r="E306" s="2627" t="s">
        <v>192</v>
      </c>
      <c r="F306" s="2628">
        <f t="array" ref="F306">IFERROR(VLOOKUP(E293,Dex!$B$3:$N415,8,FALSE),"")</f>
        <v>90</v>
      </c>
      <c r="G306" s="2629" t="str">
        <f t="array" ref="G306">IFERROR(VLOOKUP(F306,Dex!$P$22:$Q$276,2,FALSE),"")</f>
        <v/>
      </c>
      <c r="H306" s="2630">
        <v>6.0</v>
      </c>
      <c r="I306" s="2631"/>
      <c r="J306" s="2627" t="s">
        <v>192</v>
      </c>
      <c r="K306" s="2628">
        <f t="array" ref="K306">IFERROR(VLOOKUP(J293,Dex!$B$3:$N415,8,FALSE),"")</f>
        <v>60</v>
      </c>
      <c r="L306" s="2629" t="str">
        <f t="array" ref="L306">IFERROR(VLOOKUP(K306,Dex!$P$22:$Q$276,2,FALSE),"")</f>
        <v/>
      </c>
      <c r="M306" s="2630">
        <v>6.0</v>
      </c>
      <c r="N306" s="2631"/>
      <c r="O306" s="2627" t="s">
        <v>192</v>
      </c>
      <c r="P306" s="2628">
        <f t="array" ref="P306">IFERROR(VLOOKUP(O293,Dex!$B$3:$N415,8,FALSE),"")</f>
        <v>70</v>
      </c>
      <c r="Q306" s="2629" t="str">
        <f t="array" ref="Q306">IFERROR(VLOOKUP(P306,Dex!$P$22:$Q$276,2,FALSE),"")</f>
        <v/>
      </c>
      <c r="R306" s="2630">
        <v>6.0</v>
      </c>
      <c r="S306" s="2631"/>
      <c r="T306" s="2627" t="s">
        <v>192</v>
      </c>
      <c r="U306" s="2628">
        <f t="array" ref="U306">IFERROR(VLOOKUP(T293,Dex!$B$3:$N415,8,FALSE),"")</f>
        <v>100</v>
      </c>
      <c r="V306" s="2629" t="str">
        <f t="array" ref="V306">IFERROR(VLOOKUP(U306,Dex!$P$22:$Q$276,2,FALSE),"")</f>
        <v/>
      </c>
      <c r="W306" s="2630">
        <v>252.0</v>
      </c>
      <c r="X306" s="2631"/>
      <c r="Y306" s="2627" t="s">
        <v>192</v>
      </c>
      <c r="Z306" s="2628">
        <f t="array" ref="Z306">IFERROR(VLOOKUP(Y293,Dex!$B$3:$N415,8,FALSE),"")</f>
        <v>100</v>
      </c>
      <c r="AA306" s="2629" t="str">
        <f t="array" ref="AA306">IFERROR(VLOOKUP(Z306,Dex!$P$22:$Q$276,2,FALSE),"")</f>
        <v/>
      </c>
      <c r="AB306" s="2630">
        <v>6.0</v>
      </c>
      <c r="AC306" s="2631"/>
      <c r="AD306" s="2627" t="s">
        <v>192</v>
      </c>
      <c r="AE306" s="2628">
        <f t="array" ref="AE306">IFERROR(VLOOKUP(AD293,Dex!$B$3:$N415,8,FALSE),"")</f>
        <v>80</v>
      </c>
      <c r="AF306" s="2629" t="str">
        <f t="array" ref="AF306">IFERROR(VLOOKUP(AE306,Dex!$P$22:$Q$276,2,FALSE),"")</f>
        <v/>
      </c>
      <c r="AG306" s="2630">
        <v>6.0</v>
      </c>
      <c r="AH306" s="2632"/>
      <c r="AI306" s="2352"/>
    </row>
    <row r="307" ht="15.75" customHeight="1">
      <c r="A307" s="2267"/>
      <c r="B307" s="2621"/>
      <c r="C307" s="2616"/>
      <c r="D307" s="2622"/>
      <c r="E307" s="2633" t="s">
        <v>193</v>
      </c>
      <c r="F307" s="2634">
        <f t="array" ref="F307">IFERROR(VLOOKUP(E293,Dex!$B$3:$N415,9,FALSE),"")</f>
        <v>105</v>
      </c>
      <c r="G307" s="2635" t="str">
        <f t="array" ref="G307">IFERROR(VLOOKUP(F307,Dex!$P$22:$Q$276,2,FALSE),"")</f>
        <v/>
      </c>
      <c r="H307" s="2636">
        <v>252.0</v>
      </c>
      <c r="I307" s="2631"/>
      <c r="J307" s="2633" t="s">
        <v>193</v>
      </c>
      <c r="K307" s="2634">
        <f t="array" ref="K307">IFERROR(VLOOKUP(J293,Dex!$B$3:$N415,9,FALSE),"")</f>
        <v>130</v>
      </c>
      <c r="L307" s="2635" t="str">
        <f t="array" ref="L307">IFERROR(VLOOKUP(K307,Dex!$P$22:$Q$276,2,FALSE),"")</f>
        <v/>
      </c>
      <c r="M307" s="2636">
        <v>252.0</v>
      </c>
      <c r="N307" s="2631"/>
      <c r="O307" s="2633" t="s">
        <v>193</v>
      </c>
      <c r="P307" s="2634">
        <f t="array" ref="P307">IFERROR(VLOOKUP(O293,Dex!$B$3:$N415,9,FALSE),"")</f>
        <v>75</v>
      </c>
      <c r="Q307" s="2635" t="str">
        <f t="array" ref="Q307">IFERROR(VLOOKUP(P307,Dex!$P$22:$Q$276,2,FALSE),"")</f>
        <v/>
      </c>
      <c r="R307" s="2636"/>
      <c r="S307" s="2631"/>
      <c r="T307" s="2633" t="s">
        <v>193</v>
      </c>
      <c r="U307" s="2634">
        <f t="array" ref="U307">IFERROR(VLOOKUP(T293,Dex!$B$3:$N415,9,FALSE),"")</f>
        <v>105</v>
      </c>
      <c r="V307" s="2635" t="str">
        <f t="array" ref="V307">IFERROR(VLOOKUP(U307,Dex!$P$22:$Q$276,2,FALSE),"")</f>
        <v/>
      </c>
      <c r="W307" s="2636">
        <v>252.0</v>
      </c>
      <c r="X307" s="2631"/>
      <c r="Y307" s="2633" t="s">
        <v>193</v>
      </c>
      <c r="Z307" s="2634">
        <f t="array" ref="Z307">IFERROR(VLOOKUP(Y293,Dex!$B$3:$N415,9,FALSE),"")</f>
        <v>100</v>
      </c>
      <c r="AA307" s="2635" t="str">
        <f t="array" ref="AA307">IFERROR(VLOOKUP(Z307,Dex!$P$22:$Q$276,2,FALSE),"")</f>
        <v/>
      </c>
      <c r="AB307" s="2636">
        <v>128.0</v>
      </c>
      <c r="AC307" s="2631"/>
      <c r="AD307" s="2633" t="s">
        <v>193</v>
      </c>
      <c r="AE307" s="2634">
        <f t="array" ref="AE307">IFERROR(VLOOKUP(AD293,Dex!$B$3:$N415,9,FALSE),"")</f>
        <v>160</v>
      </c>
      <c r="AF307" s="2635" t="str">
        <f t="array" ref="AF307">IFERROR(VLOOKUP(AE307,Dex!$P$22:$Q$276,2,FALSE),"")</f>
        <v/>
      </c>
      <c r="AG307" s="2636">
        <v>252.0</v>
      </c>
      <c r="AH307" s="2632"/>
      <c r="AI307" s="2352"/>
    </row>
    <row r="308" ht="15.75" customHeight="1">
      <c r="A308" s="2267"/>
      <c r="B308" s="2621"/>
      <c r="C308" s="2616"/>
      <c r="D308" s="2622"/>
      <c r="E308" s="2633" t="s">
        <v>194</v>
      </c>
      <c r="F308" s="2634">
        <f t="array" ref="F308">IFERROR(VLOOKUP(E293,Dex!$B$3:$N415,10,FALSE),"")</f>
        <v>85</v>
      </c>
      <c r="G308" s="2635" t="str">
        <f t="array" ref="G308">IFERROR(VLOOKUP(F308,Dex!$P$22:$Q$276,2,FALSE),"")</f>
        <v/>
      </c>
      <c r="H308" s="2637"/>
      <c r="I308" s="2631"/>
      <c r="J308" s="2633" t="s">
        <v>194</v>
      </c>
      <c r="K308" s="2634">
        <f t="array" ref="K308">IFERROR(VLOOKUP(J293,Dex!$B$3:$N415,10,FALSE),"")</f>
        <v>80</v>
      </c>
      <c r="L308" s="2635" t="str">
        <f t="array" ref="L308">IFERROR(VLOOKUP(K308,Dex!$P$22:$Q$276,2,FALSE),"")</f>
        <v/>
      </c>
      <c r="M308" s="2637"/>
      <c r="N308" s="2631"/>
      <c r="O308" s="2633" t="s">
        <v>194</v>
      </c>
      <c r="P308" s="2634">
        <f t="array" ref="P308">IFERROR(VLOOKUP(O293,Dex!$B$3:$N415,10,FALSE),"")</f>
        <v>60</v>
      </c>
      <c r="Q308" s="2635" t="str">
        <f t="array" ref="Q308">IFERROR(VLOOKUP(P308,Dex!$P$22:$Q$276,2,FALSE),"")</f>
        <v/>
      </c>
      <c r="R308" s="2637"/>
      <c r="S308" s="2631"/>
      <c r="T308" s="2633" t="s">
        <v>194</v>
      </c>
      <c r="U308" s="2634">
        <f t="array" ref="U308">IFERROR(VLOOKUP(T293,Dex!$B$3:$N415,10,FALSE),"")</f>
        <v>115</v>
      </c>
      <c r="V308" s="2635" t="str">
        <f t="array" ref="V308">IFERROR(VLOOKUP(U308,Dex!$P$22:$Q$276,2,FALSE),"")</f>
        <v/>
      </c>
      <c r="W308" s="2637"/>
      <c r="X308" s="2631"/>
      <c r="Y308" s="2633" t="s">
        <v>194</v>
      </c>
      <c r="Z308" s="2634">
        <f t="array" ref="Z308">IFERROR(VLOOKUP(Y293,Dex!$B$3:$N415,10,FALSE),"")</f>
        <v>80</v>
      </c>
      <c r="AA308" s="2635" t="str">
        <f t="array" ref="AA308">IFERROR(VLOOKUP(Z308,Dex!$P$22:$Q$276,2,FALSE),"")</f>
        <v/>
      </c>
      <c r="AB308" s="2637"/>
      <c r="AC308" s="2631"/>
      <c r="AD308" s="2633" t="s">
        <v>194</v>
      </c>
      <c r="AE308" s="2634">
        <f t="array" ref="AE308">IFERROR(VLOOKUP(AD293,Dex!$B$3:$N415,10,FALSE),"")</f>
        <v>80</v>
      </c>
      <c r="AF308" s="2635" t="str">
        <f t="array" ref="AF308">IFERROR(VLOOKUP(AE308,Dex!$P$22:$Q$276,2,FALSE),"")</f>
        <v/>
      </c>
      <c r="AG308" s="2637"/>
      <c r="AH308" s="2632"/>
      <c r="AI308" s="2352"/>
    </row>
    <row r="309" ht="15.75" customHeight="1">
      <c r="A309" s="2267"/>
      <c r="B309" s="2621"/>
      <c r="C309" s="2616"/>
      <c r="D309" s="2622"/>
      <c r="E309" s="2633" t="s">
        <v>195</v>
      </c>
      <c r="F309" s="2634">
        <f t="array" ref="F309">IFERROR(VLOOKUP(E293,Dex!$B$3:$N415,11,FALSE),"")</f>
        <v>55</v>
      </c>
      <c r="G309" s="2635" t="str">
        <f t="array" ref="G309">IFERROR(VLOOKUP(F309,Dex!$P$22:$Q$276,2,FALSE),"")</f>
        <v/>
      </c>
      <c r="H309" s="2637"/>
      <c r="I309" s="2631"/>
      <c r="J309" s="2633" t="s">
        <v>195</v>
      </c>
      <c r="K309" s="2634">
        <f t="array" ref="K309">IFERROR(VLOOKUP(J293,Dex!$B$3:$N415,11,FALSE),"")</f>
        <v>60</v>
      </c>
      <c r="L309" s="2635" t="str">
        <f t="array" ref="L309">IFERROR(VLOOKUP(K309,Dex!$P$22:$Q$276,2,FALSE),"")</f>
        <v/>
      </c>
      <c r="M309" s="2637"/>
      <c r="N309" s="2631"/>
      <c r="O309" s="2633" t="s">
        <v>195</v>
      </c>
      <c r="P309" s="2634">
        <f t="array" ref="P309">IFERROR(VLOOKUP(O293,Dex!$B$3:$N415,11,FALSE),"")</f>
        <v>105</v>
      </c>
      <c r="Q309" s="2635" t="str">
        <f t="array" ref="Q309">IFERROR(VLOOKUP(P309,Dex!$P$22:$Q$276,2,FALSE),"")</f>
        <v/>
      </c>
      <c r="R309" s="2637">
        <v>252.0</v>
      </c>
      <c r="S309" s="2631"/>
      <c r="T309" s="2633" t="s">
        <v>195</v>
      </c>
      <c r="U309" s="2634">
        <f t="array" ref="U309">IFERROR(VLOOKUP(T293,Dex!$B$3:$N415,11,FALSE),"")</f>
        <v>45</v>
      </c>
      <c r="V309" s="2635" t="str">
        <f t="array" ref="V309">IFERROR(VLOOKUP(U309,Dex!$P$22:$Q$276,2,FALSE),"")</f>
        <v/>
      </c>
      <c r="W309" s="2637"/>
      <c r="X309" s="2631"/>
      <c r="Y309" s="2633" t="s">
        <v>195</v>
      </c>
      <c r="Z309" s="2634">
        <f t="array" ref="Z309">IFERROR(VLOOKUP(Y293,Dex!$B$3:$N415,11,FALSE),"")</f>
        <v>100</v>
      </c>
      <c r="AA309" s="2635" t="str">
        <f t="array" ref="AA309">IFERROR(VLOOKUP(Z309,Dex!$P$22:$Q$276,2,FALSE),"")</f>
        <v/>
      </c>
      <c r="AB309" s="2637">
        <v>128.0</v>
      </c>
      <c r="AC309" s="2631"/>
      <c r="AD309" s="2633" t="s">
        <v>195</v>
      </c>
      <c r="AE309" s="2634">
        <f t="array" ref="AE309">IFERROR(VLOOKUP(AD293,Dex!$B$3:$N415,11,FALSE),"")</f>
        <v>130</v>
      </c>
      <c r="AF309" s="2635" t="str">
        <f t="array" ref="AF309">IFERROR(VLOOKUP(AE309,Dex!$P$22:$Q$276,2,FALSE),"")</f>
        <v/>
      </c>
      <c r="AG309" s="2637"/>
      <c r="AH309" s="2632"/>
      <c r="AI309" s="2352"/>
    </row>
    <row r="310" ht="15.75" customHeight="1">
      <c r="A310" s="2267"/>
      <c r="B310" s="2621"/>
      <c r="C310" s="2616"/>
      <c r="D310" s="2622"/>
      <c r="E310" s="2633" t="s">
        <v>196</v>
      </c>
      <c r="F310" s="2634">
        <f t="array" ref="F310">IFERROR(VLOOKUP(E293,Dex!$B$3:$N415,12,FALSE),"")</f>
        <v>65</v>
      </c>
      <c r="G310" s="2635" t="str">
        <f t="array" ref="G310">IFERROR(VLOOKUP(F310,Dex!$P$22:$Q$276,2,FALSE),"")</f>
        <v/>
      </c>
      <c r="H310" s="2637"/>
      <c r="I310" s="2631"/>
      <c r="J310" s="2633" t="s">
        <v>196</v>
      </c>
      <c r="K310" s="2634">
        <f t="array" ref="K310">IFERROR(VLOOKUP(J293,Dex!$B$3:$N415,12,FALSE),"")</f>
        <v>60</v>
      </c>
      <c r="L310" s="2635" t="str">
        <f t="array" ref="L310">IFERROR(VLOOKUP(K310,Dex!$P$22:$Q$276,2,FALSE),"")</f>
        <v/>
      </c>
      <c r="M310" s="2637"/>
      <c r="N310" s="2631"/>
      <c r="O310" s="2633" t="s">
        <v>196</v>
      </c>
      <c r="P310" s="2634">
        <f t="array" ref="P310">IFERROR(VLOOKUP(O293,Dex!$B$3:$N415,12,FALSE),"")</f>
        <v>60</v>
      </c>
      <c r="Q310" s="2635" t="str">
        <f t="array" ref="Q310">IFERROR(VLOOKUP(P310,Dex!$P$22:$Q$276,2,FALSE),"")</f>
        <v/>
      </c>
      <c r="R310" s="2637"/>
      <c r="S310" s="2631"/>
      <c r="T310" s="2633" t="s">
        <v>196</v>
      </c>
      <c r="U310" s="2634">
        <f t="array" ref="U310">IFERROR(VLOOKUP(T293,Dex!$B$3:$N415,12,FALSE),"")</f>
        <v>65</v>
      </c>
      <c r="V310" s="2635" t="str">
        <f t="array" ref="V310">IFERROR(VLOOKUP(U310,Dex!$P$22:$Q$276,2,FALSE),"")</f>
        <v/>
      </c>
      <c r="W310" s="2637"/>
      <c r="X310" s="2631"/>
      <c r="Y310" s="2633" t="s">
        <v>196</v>
      </c>
      <c r="Z310" s="2634">
        <f t="array" ref="Z310">IFERROR(VLOOKUP(Y293,Dex!$B$3:$N415,12,FALSE),"")</f>
        <v>80</v>
      </c>
      <c r="AA310" s="2635" t="str">
        <f t="array" ref="AA310">IFERROR(VLOOKUP(Z310,Dex!$P$22:$Q$276,2,FALSE),"")</f>
        <v/>
      </c>
      <c r="AB310" s="2637"/>
      <c r="AC310" s="2631"/>
      <c r="AD310" s="2633" t="s">
        <v>196</v>
      </c>
      <c r="AE310" s="2634">
        <f t="array" ref="AE310">IFERROR(VLOOKUP(AD293,Dex!$B$3:$N415,12,FALSE),"")</f>
        <v>80</v>
      </c>
      <c r="AF310" s="2635" t="str">
        <f t="array" ref="AF310">IFERROR(VLOOKUP(AE310,Dex!$P$22:$Q$276,2,FALSE),"")</f>
        <v/>
      </c>
      <c r="AG310" s="2637"/>
      <c r="AH310" s="2632"/>
      <c r="AI310" s="2352"/>
    </row>
    <row r="311" ht="15.75" customHeight="1">
      <c r="A311" s="2267"/>
      <c r="B311" s="2621"/>
      <c r="C311" s="2616"/>
      <c r="D311" s="2622"/>
      <c r="E311" s="2638" t="s">
        <v>197</v>
      </c>
      <c r="F311" s="2639">
        <f t="array" ref="F311">IFERROR(VLOOKUP(E293,Dex!$B$3:$N415,13,FALSE),"")</f>
        <v>90</v>
      </c>
      <c r="G311" s="2640" t="str">
        <f t="array" ref="G311">IFERROR(VLOOKUP(F311,Dex!$P$22:$Q$276,2,FALSE),"")</f>
        <v/>
      </c>
      <c r="H311" s="2641">
        <v>252.0</v>
      </c>
      <c r="I311" s="2631"/>
      <c r="J311" s="2638" t="s">
        <v>197</v>
      </c>
      <c r="K311" s="2639">
        <f t="array" ref="K311">IFERROR(VLOOKUP(J293,Dex!$B$3:$N415,13,FALSE),"")</f>
        <v>70</v>
      </c>
      <c r="L311" s="2640" t="str">
        <f t="array" ref="L311">IFERROR(VLOOKUP(K311,Dex!$P$22:$Q$276,2,FALSE),"")</f>
        <v/>
      </c>
      <c r="M311" s="2641">
        <v>252.0</v>
      </c>
      <c r="N311" s="2631"/>
      <c r="O311" s="2638" t="s">
        <v>197</v>
      </c>
      <c r="P311" s="2639">
        <f t="array" ref="P311">IFERROR(VLOOKUP(O293,Dex!$B$3:$N415,13,FALSE),"")</f>
        <v>105</v>
      </c>
      <c r="Q311" s="2640" t="str">
        <f t="array" ref="Q311">IFERROR(VLOOKUP(P311,Dex!$P$22:$Q$276,2,FALSE),"")</f>
        <v/>
      </c>
      <c r="R311" s="2641">
        <v>252.0</v>
      </c>
      <c r="S311" s="2631"/>
      <c r="T311" s="2638" t="s">
        <v>197</v>
      </c>
      <c r="U311" s="2639">
        <f t="array" ref="U311">IFERROR(VLOOKUP(T293,Dex!$B$3:$N415,13,FALSE),"")</f>
        <v>55</v>
      </c>
      <c r="V311" s="2640" t="str">
        <f t="array" ref="V311">IFERROR(VLOOKUP(U311,Dex!$P$22:$Q$276,2,FALSE),"")</f>
        <v/>
      </c>
      <c r="W311" s="2641">
        <v>6.0</v>
      </c>
      <c r="X311" s="2631"/>
      <c r="Y311" s="2638" t="s">
        <v>197</v>
      </c>
      <c r="Z311" s="2639">
        <f t="array" ref="Z311">IFERROR(VLOOKUP(Y293,Dex!$B$3:$N415,13,FALSE),"")</f>
        <v>100</v>
      </c>
      <c r="AA311" s="2640" t="str">
        <f t="array" ref="AA311">IFERROR(VLOOKUP(Z311,Dex!$P$22:$Q$276,2,FALSE),"")</f>
        <v/>
      </c>
      <c r="AB311" s="2641">
        <v>252.0</v>
      </c>
      <c r="AC311" s="2631"/>
      <c r="AD311" s="2638" t="s">
        <v>197</v>
      </c>
      <c r="AE311" s="2639">
        <f t="array" ref="AE311">IFERROR(VLOOKUP(AD293,Dex!$B$3:$N415,13,FALSE),"")</f>
        <v>100</v>
      </c>
      <c r="AF311" s="2640" t="str">
        <f t="array" ref="AF311">IFERROR(VLOOKUP(AE311,Dex!$P$22:$Q$276,2,FALSE),"")</f>
        <v/>
      </c>
      <c r="AG311" s="2641">
        <v>252.0</v>
      </c>
      <c r="AH311" s="2632"/>
      <c r="AI311" s="2352"/>
    </row>
    <row r="312" ht="16.5" customHeight="1">
      <c r="A312" s="2267"/>
      <c r="B312" s="2621"/>
      <c r="C312" s="2616"/>
      <c r="D312" s="2622"/>
      <c r="E312" s="2642" t="s">
        <v>198</v>
      </c>
      <c r="F312" s="405"/>
      <c r="G312" s="406"/>
      <c r="H312" s="2643">
        <v>218.0</v>
      </c>
      <c r="I312" s="2625"/>
      <c r="J312" s="2642" t="s">
        <v>198</v>
      </c>
      <c r="K312" s="405"/>
      <c r="L312" s="406"/>
      <c r="M312" s="2643">
        <v>188.0</v>
      </c>
      <c r="N312" s="2625"/>
      <c r="O312" s="2642" t="s">
        <v>198</v>
      </c>
      <c r="P312" s="405"/>
      <c r="Q312" s="406"/>
      <c r="R312" s="2643">
        <v>245.0</v>
      </c>
      <c r="S312" s="2625"/>
      <c r="T312" s="2642" t="s">
        <v>198</v>
      </c>
      <c r="U312" s="405"/>
      <c r="V312" s="406"/>
      <c r="W312" s="2643">
        <v>107.0</v>
      </c>
      <c r="X312" s="2625"/>
      <c r="Y312" s="2642" t="s">
        <v>198</v>
      </c>
      <c r="Z312" s="405"/>
      <c r="AA312" s="406"/>
      <c r="AB312" s="2643">
        <v>237.0</v>
      </c>
      <c r="AC312" s="2625"/>
      <c r="AD312" s="2644" t="s">
        <v>198</v>
      </c>
      <c r="AE312" s="918"/>
      <c r="AF312" s="919"/>
      <c r="AG312" s="2645">
        <v>219.0</v>
      </c>
      <c r="AH312" s="2626"/>
      <c r="AI312" s="2352"/>
    </row>
    <row r="313" ht="16.5" customHeight="1">
      <c r="A313" s="2267"/>
      <c r="B313" s="2621"/>
      <c r="C313" s="2616"/>
      <c r="D313" s="2622"/>
      <c r="E313" s="2646"/>
      <c r="F313" s="2646"/>
      <c r="G313" s="2646"/>
      <c r="H313" s="2646"/>
      <c r="I313" s="2625"/>
      <c r="J313" s="2647"/>
      <c r="K313" s="2647"/>
      <c r="L313" s="2647"/>
      <c r="M313" s="2646"/>
      <c r="N313" s="2625"/>
      <c r="O313" s="2647"/>
      <c r="P313" s="2647"/>
      <c r="Q313" s="2647"/>
      <c r="R313" s="2646"/>
      <c r="S313" s="2625"/>
      <c r="T313" s="2647"/>
      <c r="U313" s="2647"/>
      <c r="V313" s="2647"/>
      <c r="W313" s="2646"/>
      <c r="X313" s="2625"/>
      <c r="Y313" s="2647"/>
      <c r="Z313" s="2647"/>
      <c r="AA313" s="2647"/>
      <c r="AB313" s="2646"/>
      <c r="AC313" s="2625"/>
      <c r="AD313" s="2648" t="s">
        <v>510</v>
      </c>
      <c r="AE313" s="925"/>
      <c r="AF313" s="926"/>
      <c r="AG313" s="2649">
        <v>328.0</v>
      </c>
      <c r="AH313" s="2626"/>
      <c r="AI313" s="2352"/>
    </row>
    <row r="314" ht="15.0" customHeight="1">
      <c r="A314" s="2260"/>
      <c r="B314" s="2650"/>
      <c r="C314" s="2651"/>
      <c r="D314" s="2652"/>
      <c r="E314" s="2652"/>
      <c r="F314" s="2652"/>
      <c r="G314" s="2652"/>
      <c r="H314" s="2652"/>
      <c r="I314" s="2652"/>
      <c r="J314" s="2652"/>
      <c r="K314" s="2652"/>
      <c r="L314" s="2652"/>
      <c r="M314" s="2652"/>
      <c r="N314" s="2652"/>
      <c r="O314" s="2652"/>
      <c r="P314" s="2652"/>
      <c r="Q314" s="2652"/>
      <c r="R314" s="2652"/>
      <c r="S314" s="2652"/>
      <c r="T314" s="2652"/>
      <c r="U314" s="2652"/>
      <c r="V314" s="2652"/>
      <c r="W314" s="2652"/>
      <c r="X314" s="2652"/>
      <c r="Y314" s="2652"/>
      <c r="Z314" s="2652"/>
      <c r="AA314" s="2652"/>
      <c r="AB314" s="2652"/>
      <c r="AC314" s="2652"/>
      <c r="AD314" s="2561"/>
      <c r="AE314" s="2561"/>
      <c r="AF314" s="2561"/>
      <c r="AG314" s="2561"/>
      <c r="AH314" s="2653"/>
      <c r="AI314" s="2266"/>
    </row>
    <row r="315" ht="15.0" customHeight="1">
      <c r="A315" s="2260"/>
      <c r="B315" s="2261"/>
      <c r="C315" s="2262"/>
      <c r="D315" s="2263"/>
      <c r="E315" s="2264"/>
      <c r="F315" s="2264"/>
      <c r="G315" s="2264"/>
      <c r="H315" s="2264"/>
      <c r="I315" s="2264"/>
      <c r="J315" s="2264"/>
      <c r="K315" s="2264"/>
      <c r="L315" s="2264"/>
      <c r="M315" s="2264"/>
      <c r="N315" s="2264"/>
      <c r="O315" s="2264"/>
      <c r="P315" s="2264"/>
      <c r="Q315" s="2264"/>
      <c r="R315" s="2264"/>
      <c r="S315" s="2264"/>
      <c r="T315" s="2264"/>
      <c r="U315" s="2264"/>
      <c r="V315" s="2264"/>
      <c r="W315" s="2264"/>
      <c r="X315" s="2264"/>
      <c r="Y315" s="2264"/>
      <c r="Z315" s="2264"/>
      <c r="AA315" s="2264"/>
      <c r="AB315" s="2264"/>
      <c r="AC315" s="2264"/>
      <c r="AD315" s="2264"/>
      <c r="AE315" s="2264"/>
      <c r="AF315" s="2264"/>
      <c r="AG315" s="2264"/>
      <c r="AH315" s="2265"/>
      <c r="AI315" s="2266"/>
    </row>
    <row r="316">
      <c r="A316" s="2267"/>
      <c r="B316" s="2268"/>
      <c r="C316" s="2269"/>
      <c r="D316" s="2270"/>
      <c r="E316" s="2271" t="s">
        <v>672</v>
      </c>
      <c r="F316" s="1579"/>
      <c r="G316" s="1579"/>
      <c r="H316" s="1579"/>
      <c r="I316" s="1579"/>
      <c r="J316" s="1579"/>
      <c r="K316" s="1579"/>
      <c r="L316" s="1579"/>
      <c r="M316" s="1579"/>
      <c r="N316" s="1579"/>
      <c r="O316" s="1579"/>
      <c r="P316" s="1579"/>
      <c r="Q316" s="1579"/>
      <c r="R316" s="1579"/>
      <c r="S316" s="1579"/>
      <c r="T316" s="1579"/>
      <c r="U316" s="1579"/>
      <c r="V316" s="1579"/>
      <c r="W316" s="1579"/>
      <c r="X316" s="1579"/>
      <c r="Y316" s="1579"/>
      <c r="Z316" s="1579"/>
      <c r="AA316" s="1579"/>
      <c r="AB316" s="1579"/>
      <c r="AC316" s="1579"/>
      <c r="AD316" s="1579"/>
      <c r="AE316" s="1579"/>
      <c r="AF316" s="1579"/>
      <c r="AG316" s="1580"/>
      <c r="AH316" s="2654"/>
      <c r="AI316" s="2266"/>
    </row>
    <row r="317" ht="3.75" customHeight="1">
      <c r="A317" s="2267"/>
      <c r="B317" s="2268"/>
      <c r="C317" s="2277"/>
      <c r="D317" s="2278"/>
      <c r="E317" s="2490"/>
      <c r="F317" s="2490"/>
      <c r="G317" s="2490"/>
      <c r="H317" s="2490"/>
      <c r="I317" s="2278"/>
      <c r="J317" s="2490"/>
      <c r="K317" s="2490"/>
      <c r="L317" s="2490"/>
      <c r="M317" s="2490"/>
      <c r="N317" s="2278"/>
      <c r="O317" s="2490"/>
      <c r="P317" s="2490"/>
      <c r="Q317" s="2490"/>
      <c r="R317" s="2490"/>
      <c r="S317" s="2278"/>
      <c r="T317" s="2490"/>
      <c r="U317" s="2490"/>
      <c r="V317" s="2490"/>
      <c r="W317" s="2490"/>
      <c r="X317" s="2278"/>
      <c r="Y317" s="2490"/>
      <c r="Z317" s="2490"/>
      <c r="AA317" s="2490"/>
      <c r="AB317" s="2490"/>
      <c r="AC317" s="2278"/>
      <c r="AD317" s="2490"/>
      <c r="AE317" s="2490"/>
      <c r="AF317" s="2490"/>
      <c r="AG317" s="2490"/>
      <c r="AH317" s="2276"/>
      <c r="AI317" s="2266"/>
    </row>
    <row r="318" ht="96.75" customHeight="1">
      <c r="A318" s="2260"/>
      <c r="B318" s="2281"/>
      <c r="C318" s="2282" t="str">
        <f>IMAGE("https://i.ibb.co/fXwks6z/Rival.png")</f>
        <v/>
      </c>
      <c r="D318" s="2491"/>
      <c r="E318" s="2655" t="str">
        <f t="array" ref="E318">IFERROR(VLOOKUP(E319,Dex!$B$3:$G415,3,FALSE),"")</f>
        <v/>
      </c>
      <c r="F318" s="1830"/>
      <c r="G318" s="1830"/>
      <c r="H318" s="1831"/>
      <c r="I318" s="2491"/>
      <c r="J318" s="2655" t="str">
        <f t="array" ref="J318">IFERROR(VLOOKUP(J319,Dex!$B$3:$G415,3,FALSE),"")</f>
        <v/>
      </c>
      <c r="K318" s="1830"/>
      <c r="L318" s="1830"/>
      <c r="M318" s="1831"/>
      <c r="N318" s="2491"/>
      <c r="O318" s="2655" t="str">
        <f t="array" ref="O318">IFERROR(VLOOKUP(O319,Dex!$B$3:$G415,3,FALSE),"")</f>
        <v/>
      </c>
      <c r="P318" s="1830"/>
      <c r="Q318" s="1830"/>
      <c r="R318" s="1831"/>
      <c r="S318" s="2491"/>
      <c r="T318" s="2655" t="str">
        <f t="array" ref="T318">IFERROR(VLOOKUP(T319,Dex!$B$3:$G415,3,FALSE),"")</f>
        <v/>
      </c>
      <c r="U318" s="1830"/>
      <c r="V318" s="1830"/>
      <c r="W318" s="1831"/>
      <c r="X318" s="2491"/>
      <c r="Y318" s="2655" t="str">
        <f t="array" ref="Y318">IFERROR(VLOOKUP(Y319,Dex!$B$3:$G415,3,FALSE),"")</f>
        <v/>
      </c>
      <c r="Z318" s="1830"/>
      <c r="AA318" s="1830"/>
      <c r="AB318" s="1831"/>
      <c r="AC318" s="2491"/>
      <c r="AD318" s="2655" t="str">
        <f t="array" ref="AD318">IFERROR(VLOOKUP(AD319,Dex!$B$3:$G415,3,FALSE),"")</f>
        <v/>
      </c>
      <c r="AE318" s="1830"/>
      <c r="AF318" s="1830"/>
      <c r="AG318" s="1831"/>
      <c r="AH318" s="2654"/>
      <c r="AI318" s="2266"/>
    </row>
    <row r="319" ht="18.75" customHeight="1">
      <c r="A319" s="2288"/>
      <c r="B319" s="2289"/>
      <c r="C319" s="2290" t="s">
        <v>788</v>
      </c>
      <c r="D319" s="2359"/>
      <c r="E319" s="2292" t="s">
        <v>740</v>
      </c>
      <c r="F319" s="2293"/>
      <c r="G319" s="2293"/>
      <c r="H319" s="2294"/>
      <c r="I319" s="2359"/>
      <c r="J319" s="2292" t="s">
        <v>741</v>
      </c>
      <c r="K319" s="2293"/>
      <c r="L319" s="2293"/>
      <c r="M319" s="2294"/>
      <c r="N319" s="2359"/>
      <c r="O319" s="2292" t="s">
        <v>752</v>
      </c>
      <c r="P319" s="2293"/>
      <c r="Q319" s="2293"/>
      <c r="R319" s="2294"/>
      <c r="S319" s="2359"/>
      <c r="T319" s="2292" t="s">
        <v>789</v>
      </c>
      <c r="U319" s="2293"/>
      <c r="V319" s="2293"/>
      <c r="W319" s="2294"/>
      <c r="X319" s="2359"/>
      <c r="Y319" s="2292" t="s">
        <v>590</v>
      </c>
      <c r="Z319" s="2293"/>
      <c r="AA319" s="2293"/>
      <c r="AB319" s="2294"/>
      <c r="AC319" s="2359"/>
      <c r="AD319" s="2292" t="s">
        <v>744</v>
      </c>
      <c r="AE319" s="2293"/>
      <c r="AF319" s="2293"/>
      <c r="AG319" s="2294"/>
      <c r="AH319" s="2656"/>
      <c r="AI319" s="2299"/>
    </row>
    <row r="320">
      <c r="A320" s="2260"/>
      <c r="B320" s="2300"/>
      <c r="C320" s="326"/>
      <c r="D320" s="2360"/>
      <c r="E320" s="2496" t="s">
        <v>420</v>
      </c>
      <c r="F320" s="2303"/>
      <c r="G320" s="2303"/>
      <c r="H320" s="2304"/>
      <c r="I320" s="2359"/>
      <c r="J320" s="2496" t="s">
        <v>715</v>
      </c>
      <c r="K320" s="2303"/>
      <c r="L320" s="2303"/>
      <c r="M320" s="2304"/>
      <c r="N320" s="2359"/>
      <c r="O320" s="2496" t="s">
        <v>420</v>
      </c>
      <c r="P320" s="2303"/>
      <c r="Q320" s="2303"/>
      <c r="R320" s="2304"/>
      <c r="S320" s="2359"/>
      <c r="T320" s="2496" t="s">
        <v>714</v>
      </c>
      <c r="U320" s="2303"/>
      <c r="V320" s="2303"/>
      <c r="W320" s="2304"/>
      <c r="X320" s="2359"/>
      <c r="Y320" s="2496" t="s">
        <v>420</v>
      </c>
      <c r="Z320" s="2303"/>
      <c r="AA320" s="2303"/>
      <c r="AB320" s="2304"/>
      <c r="AC320" s="2359"/>
      <c r="AD320" s="2496" t="s">
        <v>420</v>
      </c>
      <c r="AE320" s="2303"/>
      <c r="AF320" s="2303"/>
      <c r="AG320" s="2304"/>
      <c r="AH320" s="2654"/>
      <c r="AI320" s="2266"/>
    </row>
    <row r="321" ht="25.5" customHeight="1">
      <c r="A321" s="2260"/>
      <c r="B321" s="2268"/>
      <c r="C321" s="2305"/>
      <c r="D321" s="2306"/>
      <c r="E321" s="2307"/>
      <c r="F321" s="2308" t="str">
        <f t="array" ref="F321">IFERROR(VLOOKUP(E319,Dex!$B$3:$H415,5,FALSE),"")</f>
        <v/>
      </c>
      <c r="G321" s="2309" t="str">
        <f t="array" ref="G321">IFERROR(VLOOKUP(E319,Dex!$B$3:$H415,7,FALSE),"")</f>
        <v/>
      </c>
      <c r="H321" s="2310"/>
      <c r="I321" s="2657"/>
      <c r="J321" s="2307"/>
      <c r="K321" s="2308" t="str">
        <f t="array" ref="K321">IFERROR(VLOOKUP(J319,Dex!$B$3:$H415,5,FALSE),"")</f>
        <v/>
      </c>
      <c r="L321" s="2309" t="str">
        <f t="array" ref="L321">IFERROR(VLOOKUP(J319,Dex!$B$3:$H415,7,FALSE),"")</f>
        <v/>
      </c>
      <c r="M321" s="2310"/>
      <c r="N321" s="2657"/>
      <c r="O321" s="2307"/>
      <c r="P321" s="2308" t="str">
        <f t="array" ref="P321">IFERROR(VLOOKUP(O319,Dex!$B$3:$H415,5,FALSE),"")</f>
        <v/>
      </c>
      <c r="Q321" s="2309" t="str">
        <f t="array" ref="Q321">IFERROR(VLOOKUP(O319,Dex!$B$3:$H415,7,FALSE),"")</f>
        <v/>
      </c>
      <c r="R321" s="2310"/>
      <c r="S321" s="2657"/>
      <c r="T321" s="2307"/>
      <c r="U321" s="2308" t="str">
        <f t="array" ref="U321">IFERROR(VLOOKUP(T319,Dex!$B$3:$H415,5,FALSE),"")</f>
        <v/>
      </c>
      <c r="V321" s="2309" t="str">
        <f t="array" ref="V321">IFERROR(VLOOKUP(T319,Dex!$B$3:$H415,7,FALSE),"")</f>
        <v/>
      </c>
      <c r="W321" s="2310"/>
      <c r="X321" s="2657"/>
      <c r="Y321" s="2307"/>
      <c r="Z321" s="2308" t="str">
        <f t="array" ref="Z321">IFERROR(VLOOKUP(Y319,Dex!$B$3:$H415,5,FALSE),"")</f>
        <v/>
      </c>
      <c r="AA321" s="2309" t="str">
        <f t="array" ref="AA321">IFERROR(VLOOKUP(Y319,Dex!$B$3:$H415,7,FALSE),"")</f>
        <v/>
      </c>
      <c r="AB321" s="2310"/>
      <c r="AC321" s="2657"/>
      <c r="AD321" s="2307"/>
      <c r="AE321" s="2311" t="str">
        <f t="array" ref="AE321">IFERROR(VLOOKUP(AD319,Dex!$B$3:$H415,5,FALSE),"")</f>
        <v/>
      </c>
      <c r="AF321" s="2312"/>
      <c r="AG321" s="2310"/>
      <c r="AH321" s="2658"/>
      <c r="AI321" s="2266"/>
    </row>
    <row r="322" ht="2.25" customHeight="1">
      <c r="A322" s="2260"/>
      <c r="B322" s="2268"/>
      <c r="C322" s="104"/>
      <c r="D322" s="2306"/>
      <c r="E322" s="2313"/>
      <c r="F322" s="2314"/>
      <c r="G322" s="2314"/>
      <c r="H322" s="2315"/>
      <c r="I322" s="2657"/>
      <c r="J322" s="2313"/>
      <c r="K322" s="2314"/>
      <c r="L322" s="2314"/>
      <c r="M322" s="2315"/>
      <c r="N322" s="2657"/>
      <c r="O322" s="2313"/>
      <c r="P322" s="2314"/>
      <c r="Q322" s="2314"/>
      <c r="R322" s="2315"/>
      <c r="S322" s="2657"/>
      <c r="T322" s="2313"/>
      <c r="U322" s="2314"/>
      <c r="V322" s="2314"/>
      <c r="W322" s="2315"/>
      <c r="X322" s="2657"/>
      <c r="Y322" s="2313"/>
      <c r="Z322" s="2314"/>
      <c r="AA322" s="2314"/>
      <c r="AB322" s="2315"/>
      <c r="AC322" s="2657"/>
      <c r="AD322" s="2313"/>
      <c r="AE322" s="2314"/>
      <c r="AF322" s="2314"/>
      <c r="AG322" s="2315"/>
      <c r="AH322" s="2658"/>
      <c r="AI322" s="2266"/>
    </row>
    <row r="323" ht="20.25" customHeight="1">
      <c r="A323" s="2260"/>
      <c r="B323" s="2268"/>
      <c r="C323" s="281"/>
      <c r="D323" s="2270"/>
      <c r="E323" s="2317" t="s">
        <v>172</v>
      </c>
      <c r="F323" s="2318"/>
      <c r="G323" s="2318"/>
      <c r="H323" s="2319"/>
      <c r="I323" s="2297"/>
      <c r="J323" s="2317" t="s">
        <v>169</v>
      </c>
      <c r="K323" s="2318"/>
      <c r="L323" s="2318"/>
      <c r="M323" s="2319"/>
      <c r="N323" s="2297"/>
      <c r="O323" s="2317" t="s">
        <v>169</v>
      </c>
      <c r="P323" s="2318"/>
      <c r="Q323" s="2318"/>
      <c r="R323" s="2319"/>
      <c r="S323" s="2297"/>
      <c r="T323" s="2317" t="s">
        <v>205</v>
      </c>
      <c r="U323" s="2318"/>
      <c r="V323" s="2318"/>
      <c r="W323" s="2319"/>
      <c r="X323" s="2297"/>
      <c r="Y323" s="2317" t="s">
        <v>172</v>
      </c>
      <c r="Z323" s="2318"/>
      <c r="AA323" s="2318"/>
      <c r="AB323" s="2319"/>
      <c r="AC323" s="2297"/>
      <c r="AD323" s="2317" t="s">
        <v>205</v>
      </c>
      <c r="AE323" s="2318"/>
      <c r="AF323" s="2318"/>
      <c r="AG323" s="2319"/>
      <c r="AH323" s="2654"/>
      <c r="AI323" s="2266"/>
    </row>
    <row r="324">
      <c r="A324" s="2260"/>
      <c r="B324" s="2268"/>
      <c r="C324" s="2320"/>
      <c r="D324" s="2270"/>
      <c r="E324" s="2321" t="s">
        <v>716</v>
      </c>
      <c r="F324" s="2273"/>
      <c r="G324" s="2273"/>
      <c r="H324" s="2322"/>
      <c r="I324" s="2297"/>
      <c r="J324" s="2321" t="s">
        <v>745</v>
      </c>
      <c r="K324" s="2273"/>
      <c r="L324" s="2273"/>
      <c r="M324" s="2322"/>
      <c r="N324" s="2297"/>
      <c r="O324" s="2321" t="s">
        <v>753</v>
      </c>
      <c r="P324" s="2273"/>
      <c r="Q324" s="2273"/>
      <c r="R324" s="2322"/>
      <c r="S324" s="2297"/>
      <c r="T324" s="2321" t="s">
        <v>332</v>
      </c>
      <c r="U324" s="2273"/>
      <c r="V324" s="2273"/>
      <c r="W324" s="2322"/>
      <c r="X324" s="2297"/>
      <c r="Y324" s="2321" t="s">
        <v>483</v>
      </c>
      <c r="Z324" s="2273"/>
      <c r="AA324" s="2273"/>
      <c r="AB324" s="2322"/>
      <c r="AC324" s="2297"/>
      <c r="AD324" s="2321" t="s">
        <v>790</v>
      </c>
      <c r="AE324" s="2273"/>
      <c r="AF324" s="2273"/>
      <c r="AG324" s="2322"/>
      <c r="AH324" s="2654"/>
      <c r="AI324" s="2266"/>
    </row>
    <row r="325" ht="20.25" customHeight="1">
      <c r="A325" s="2260"/>
      <c r="B325" s="2268"/>
      <c r="C325" s="104"/>
      <c r="D325" s="2270"/>
      <c r="E325" s="2323" t="s">
        <v>747</v>
      </c>
      <c r="F325" s="2324"/>
      <c r="G325" s="2325"/>
      <c r="H325" s="2326" t="str">
        <f>IMAGE("https://raw.githubusercontent.com/msikma/pokesprite/master/items/hold-item/sharp-beak.png",3)</f>
        <v/>
      </c>
      <c r="I325" s="2297"/>
      <c r="J325" s="2323" t="s">
        <v>554</v>
      </c>
      <c r="K325" s="2324"/>
      <c r="L325" s="2325"/>
      <c r="M325" s="2326" t="str">
        <f>IMAGE("https://raw.githubusercontent.com/msikma/pokesprite/master/items/berry/chople.png",3)</f>
        <v/>
      </c>
      <c r="N325" s="2297"/>
      <c r="O325" s="2323" t="s">
        <v>212</v>
      </c>
      <c r="P325" s="2324"/>
      <c r="Q325" s="2325"/>
      <c r="R325" s="2326" t="str">
        <f>IMAGE("https://raw.githubusercontent.com/msikma/pokesprite/master/items/hold-item/mystic-water.png",3)</f>
        <v/>
      </c>
      <c r="S325" s="2297"/>
      <c r="T325" s="2323" t="s">
        <v>306</v>
      </c>
      <c r="U325" s="2324"/>
      <c r="V325" s="2325"/>
      <c r="W325" s="2326" t="str">
        <f>IMAGE("https://i.ibb.co/SK50ng3/booster.png",4,22,22)</f>
        <v/>
      </c>
      <c r="X325" s="2297"/>
      <c r="Y325" s="2323" t="s">
        <v>240</v>
      </c>
      <c r="Z325" s="2324"/>
      <c r="AA325" s="2325"/>
      <c r="AB325" s="2326" t="str">
        <f>IMAGE("https://raw.githubusercontent.com/msikma/pokesprite/master/items/hold-item/focus-sash.png",3)</f>
        <v/>
      </c>
      <c r="AC325" s="2297"/>
      <c r="AD325" s="2323" t="s">
        <v>748</v>
      </c>
      <c r="AE325" s="2324"/>
      <c r="AF325" s="2325"/>
      <c r="AG325" s="2326" t="str">
        <f>IMAGE("https://raw.githubusercontent.com/msikma/pokesprite/master/items/mega-stone/blastoisinite.png",3)</f>
        <v/>
      </c>
      <c r="AH325" s="2658"/>
      <c r="AI325" s="2266"/>
    </row>
    <row r="326" ht="20.25" customHeight="1">
      <c r="A326" s="2260"/>
      <c r="B326" s="2268"/>
      <c r="C326" s="281"/>
      <c r="D326" s="2270"/>
      <c r="E326" s="2317" t="s">
        <v>278</v>
      </c>
      <c r="F326" s="2318"/>
      <c r="G326" s="2327"/>
      <c r="H326" s="2328" t="str">
        <f>IMAGE("https://raw.githubusercontent.com/msikma/pokesprite/master/misc/types/gen8/bug.png",4,20,20)</f>
        <v/>
      </c>
      <c r="I326" s="2297"/>
      <c r="J326" s="2317" t="s">
        <v>407</v>
      </c>
      <c r="K326" s="2318"/>
      <c r="L326" s="2327"/>
      <c r="M326" s="2328" t="str">
        <f>IMAGE("https://raw.githubusercontent.com/msikma/pokesprite/master/misc/types/gen8/steel.png",4,20,20)</f>
        <v/>
      </c>
      <c r="N326" s="2297"/>
      <c r="O326" s="2317" t="s">
        <v>215</v>
      </c>
      <c r="P326" s="2318"/>
      <c r="Q326" s="2327"/>
      <c r="R326" s="2328" t="str">
        <f>IMAGE("https://raw.githubusercontent.com/msikma/pokesprite/master/misc/types/gen8/ice.png",4,20,20)</f>
        <v/>
      </c>
      <c r="S326" s="2297"/>
      <c r="T326" s="2317" t="s">
        <v>791</v>
      </c>
      <c r="U326" s="2318"/>
      <c r="V326" s="2327"/>
      <c r="W326" s="2328" t="str">
        <f>IMAGE("https://raw.githubusercontent.com/msikma/pokesprite/master/misc/types/gen8/fire.png",4,20,20)</f>
        <v/>
      </c>
      <c r="X326" s="2297"/>
      <c r="Y326" s="2317" t="s">
        <v>316</v>
      </c>
      <c r="Z326" s="2318"/>
      <c r="AA326" s="2327"/>
      <c r="AB326" s="2328" t="str">
        <f>IMAGE("https://raw.githubusercontent.com/msikma/pokesprite/master/misc/types/gen8/fighting.png",4,20,20)</f>
        <v/>
      </c>
      <c r="AC326" s="2297"/>
      <c r="AD326" s="2317" t="s">
        <v>428</v>
      </c>
      <c r="AE326" s="2318"/>
      <c r="AF326" s="2327"/>
      <c r="AG326" s="2328" t="str">
        <f>IMAGE("https://raw.githubusercontent.com/msikma/pokesprite/master/misc/types/gen8/normal.png",4,20,20)</f>
        <v/>
      </c>
      <c r="AH326" s="2658"/>
      <c r="AI326" s="2266"/>
    </row>
    <row r="327" ht="20.25" customHeight="1">
      <c r="A327" s="2260"/>
      <c r="B327" s="2268"/>
      <c r="C327" s="2269"/>
      <c r="D327" s="2270"/>
      <c r="E327" s="2321" t="s">
        <v>635</v>
      </c>
      <c r="F327" s="2273"/>
      <c r="G327" s="2274"/>
      <c r="H327" s="2329" t="str">
        <f>IMAGE("https://raw.githubusercontent.com/msikma/pokesprite/master/misc/types/gen8/normal.png",4,20,20)</f>
        <v/>
      </c>
      <c r="I327" s="2297"/>
      <c r="J327" s="2321" t="s">
        <v>489</v>
      </c>
      <c r="K327" s="2273"/>
      <c r="L327" s="2274"/>
      <c r="M327" s="2329" t="str">
        <f>IMAGE("https://raw.githubusercontent.com/msikma/pokesprite/master/misc/types/gen8/normal.png",4,20,20)</f>
        <v/>
      </c>
      <c r="N327" s="2297"/>
      <c r="O327" s="2321" t="s">
        <v>459</v>
      </c>
      <c r="P327" s="2273"/>
      <c r="Q327" s="2274"/>
      <c r="R327" s="2329" t="str">
        <f>IMAGE("https://raw.githubusercontent.com/msikma/pokesprite/master/misc/types/gen8/water.png",4,20,20)</f>
        <v/>
      </c>
      <c r="S327" s="2297"/>
      <c r="T327" s="2321" t="s">
        <v>405</v>
      </c>
      <c r="U327" s="2273"/>
      <c r="V327" s="2274"/>
      <c r="W327" s="2329" t="str">
        <f>IMAGE("https://raw.githubusercontent.com/msikma/pokesprite/master/misc/types/gen8/poison.png",4,20,20)</f>
        <v/>
      </c>
      <c r="X327" s="2297"/>
      <c r="Y327" s="2321" t="s">
        <v>278</v>
      </c>
      <c r="Z327" s="2273"/>
      <c r="AA327" s="2274"/>
      <c r="AB327" s="2329" t="str">
        <f>IMAGE("https://raw.githubusercontent.com/msikma/pokesprite/master/misc/types/gen8/bug.png",4,20,20)</f>
        <v/>
      </c>
      <c r="AC327" s="2297"/>
      <c r="AD327" s="2321" t="s">
        <v>345</v>
      </c>
      <c r="AE327" s="2273"/>
      <c r="AF327" s="2274"/>
      <c r="AG327" s="2329" t="str">
        <f>IMAGE("https://raw.githubusercontent.com/msikma/pokesprite/master/misc/types/gen8/dark.png",4,20,20)</f>
        <v/>
      </c>
      <c r="AH327" s="2658"/>
      <c r="AI327" s="2266"/>
    </row>
    <row r="328" ht="20.25" customHeight="1">
      <c r="A328" s="2260"/>
      <c r="B328" s="2268"/>
      <c r="C328" s="2269"/>
      <c r="D328" s="2270"/>
      <c r="E328" s="2321" t="s">
        <v>749</v>
      </c>
      <c r="F328" s="2273"/>
      <c r="G328" s="2274"/>
      <c r="H328" s="2329" t="str">
        <f>IMAGE("https://raw.githubusercontent.com/msikma/pokesprite/master/misc/types/gen8/flying.png",4,20,20)</f>
        <v/>
      </c>
      <c r="I328" s="2297"/>
      <c r="J328" s="2321" t="s">
        <v>279</v>
      </c>
      <c r="K328" s="2273"/>
      <c r="L328" s="2274"/>
      <c r="M328" s="2329" t="str">
        <f t="shared" ref="M328:M329" si="24">IMAGE("https://raw.githubusercontent.com/msikma/pokesprite/master/misc/types/gen8/dark.png",4,20,20)</f>
        <v/>
      </c>
      <c r="N328" s="2297"/>
      <c r="O328" s="2321" t="s">
        <v>556</v>
      </c>
      <c r="P328" s="2273"/>
      <c r="Q328" s="2274"/>
      <c r="R328" s="2329" t="str">
        <f>IMAGE("https://raw.githubusercontent.com/msikma/pokesprite/master/misc/types/gen8/fairy.png",4,20,20)</f>
        <v/>
      </c>
      <c r="S328" s="2297"/>
      <c r="T328" s="2321" t="s">
        <v>377</v>
      </c>
      <c r="U328" s="2273"/>
      <c r="V328" s="2274"/>
      <c r="W328" s="2329" t="str">
        <f>IMAGE("https://raw.githubusercontent.com/msikma/pokesprite/master/misc/types/gen8/grass.png",4,20,20)</f>
        <v/>
      </c>
      <c r="X328" s="2297"/>
      <c r="Y328" s="2321" t="s">
        <v>792</v>
      </c>
      <c r="Z328" s="2273"/>
      <c r="AA328" s="2274"/>
      <c r="AB328" s="2329" t="str">
        <f>IMAGE("https://raw.githubusercontent.com/msikma/pokesprite/master/misc/types/gen8/poison.png",4,20,20)</f>
        <v/>
      </c>
      <c r="AC328" s="2297"/>
      <c r="AD328" s="2321" t="s">
        <v>317</v>
      </c>
      <c r="AE328" s="2273"/>
      <c r="AF328" s="2274"/>
      <c r="AG328" s="2329" t="str">
        <f>IMAGE("https://raw.githubusercontent.com/msikma/pokesprite/master/misc/types/gen8/ice.png",4,20,20)</f>
        <v/>
      </c>
      <c r="AH328" s="2658"/>
      <c r="AI328" s="2266"/>
    </row>
    <row r="329" ht="21.0" customHeight="1">
      <c r="A329" s="2260"/>
      <c r="B329" s="2268"/>
      <c r="C329" s="2269"/>
      <c r="D329" s="2270"/>
      <c r="E329" s="2330" t="s">
        <v>316</v>
      </c>
      <c r="F329" s="2331"/>
      <c r="G329" s="2332"/>
      <c r="H329" s="2333" t="str">
        <f>IMAGE("https://raw.githubusercontent.com/msikma/pokesprite/master/misc/types/gen8/fighting.png",4,20,20)</f>
        <v/>
      </c>
      <c r="I329" s="2297"/>
      <c r="J329" s="2330" t="s">
        <v>541</v>
      </c>
      <c r="K329" s="2331"/>
      <c r="L329" s="2332"/>
      <c r="M329" s="2333" t="str">
        <f t="shared" si="24"/>
        <v/>
      </c>
      <c r="N329" s="2297"/>
      <c r="O329" s="2330" t="s">
        <v>346</v>
      </c>
      <c r="P329" s="2331"/>
      <c r="Q329" s="2332"/>
      <c r="R329" s="2333" t="str">
        <f>IMAGE("https://raw.githubusercontent.com/msikma/pokesprite/master/misc/types/gen8/water.png",4,20,20)</f>
        <v/>
      </c>
      <c r="S329" s="2297"/>
      <c r="T329" s="2330" t="s">
        <v>284</v>
      </c>
      <c r="U329" s="2331"/>
      <c r="V329" s="2332"/>
      <c r="W329" s="2333" t="str">
        <f>IMAGE("https://raw.githubusercontent.com/msikma/pokesprite/master/misc/types/gen8/fairy.png",4,20,20)</f>
        <v/>
      </c>
      <c r="X329" s="2297"/>
      <c r="Y329" s="2330" t="s">
        <v>403</v>
      </c>
      <c r="Z329" s="2331"/>
      <c r="AA329" s="2332"/>
      <c r="AB329" s="2333" t="str">
        <f>IMAGE("https://raw.githubusercontent.com/msikma/pokesprite/master/misc/types/gen8/fire.png",4,20,20)</f>
        <v/>
      </c>
      <c r="AC329" s="2297"/>
      <c r="AD329" s="2330" t="s">
        <v>338</v>
      </c>
      <c r="AE329" s="2331"/>
      <c r="AF329" s="2332"/>
      <c r="AG329" s="2333" t="str">
        <f>IMAGE("https://raw.githubusercontent.com/msikma/pokesprite/master/misc/types/gen8/water.png",4,20,20)</f>
        <v/>
      </c>
      <c r="AH329" s="2658"/>
      <c r="AI329" s="2266"/>
    </row>
    <row r="330" ht="3.0" customHeight="1">
      <c r="A330" s="2336"/>
      <c r="B330" s="2337"/>
      <c r="C330" s="2338"/>
      <c r="D330" s="2339"/>
      <c r="E330" s="2340"/>
      <c r="F330" s="2340"/>
      <c r="G330" s="2340"/>
      <c r="H330" s="2340"/>
      <c r="I330" s="2339"/>
      <c r="J330" s="2340"/>
      <c r="K330" s="2340"/>
      <c r="L330" s="2340"/>
      <c r="M330" s="2340"/>
      <c r="N330" s="2339"/>
      <c r="O330" s="2340"/>
      <c r="P330" s="2340"/>
      <c r="Q330" s="2340"/>
      <c r="R330" s="2340"/>
      <c r="S330" s="2339"/>
      <c r="T330" s="2340"/>
      <c r="U330" s="2340"/>
      <c r="V330" s="2340"/>
      <c r="W330" s="2340"/>
      <c r="X330" s="2339"/>
      <c r="Y330" s="2340"/>
      <c r="Z330" s="2340"/>
      <c r="AA330" s="2340"/>
      <c r="AB330" s="2340"/>
      <c r="AC330" s="2339"/>
      <c r="AD330" s="2340"/>
      <c r="AE330" s="2340"/>
      <c r="AF330" s="2340"/>
      <c r="AG330" s="2340"/>
      <c r="AH330" s="2343"/>
      <c r="AI330" s="2344"/>
    </row>
    <row r="331" ht="16.5" customHeight="1">
      <c r="A331" s="2267"/>
      <c r="B331" s="2345"/>
      <c r="C331" s="2338"/>
      <c r="D331" s="2346"/>
      <c r="E331" s="488" t="s">
        <v>190</v>
      </c>
      <c r="F331" s="381"/>
      <c r="G331" s="382"/>
      <c r="H331" s="489" t="s">
        <v>191</v>
      </c>
      <c r="I331" s="2659"/>
      <c r="J331" s="488" t="s">
        <v>190</v>
      </c>
      <c r="K331" s="381"/>
      <c r="L331" s="382"/>
      <c r="M331" s="489" t="s">
        <v>191</v>
      </c>
      <c r="N331" s="2659"/>
      <c r="O331" s="488" t="s">
        <v>190</v>
      </c>
      <c r="P331" s="381"/>
      <c r="Q331" s="382"/>
      <c r="R331" s="489" t="s">
        <v>191</v>
      </c>
      <c r="S331" s="2659"/>
      <c r="T331" s="488" t="s">
        <v>190</v>
      </c>
      <c r="U331" s="381"/>
      <c r="V331" s="382"/>
      <c r="W331" s="489" t="s">
        <v>191</v>
      </c>
      <c r="X331" s="2659"/>
      <c r="Y331" s="488" t="s">
        <v>190</v>
      </c>
      <c r="Z331" s="381"/>
      <c r="AA331" s="382"/>
      <c r="AB331" s="489" t="s">
        <v>191</v>
      </c>
      <c r="AC331" s="2659"/>
      <c r="AD331" s="488" t="s">
        <v>190</v>
      </c>
      <c r="AE331" s="381"/>
      <c r="AF331" s="382"/>
      <c r="AG331" s="489" t="s">
        <v>191</v>
      </c>
      <c r="AH331" s="2660"/>
      <c r="AI331" s="2352"/>
    </row>
    <row r="332" ht="15.75" customHeight="1">
      <c r="A332" s="2267"/>
      <c r="B332" s="2345"/>
      <c r="C332" s="2338"/>
      <c r="D332" s="2346"/>
      <c r="E332" s="495" t="s">
        <v>192</v>
      </c>
      <c r="F332" s="496">
        <f t="array" ref="F332">IFERROR(VLOOKUP(E319,Dex!$B$3:$N415,8,FALSE),"")</f>
        <v>85</v>
      </c>
      <c r="G332" s="497" t="str">
        <f t="array" ref="G332">IFERROR(VLOOKUP(F332,Dex!$P$22:$Q$276,2,FALSE),"")</f>
        <v/>
      </c>
      <c r="H332" s="498"/>
      <c r="I332" s="2659"/>
      <c r="J332" s="495" t="s">
        <v>192</v>
      </c>
      <c r="K332" s="496">
        <f t="array" ref="K332">IFERROR(VLOOKUP(J319,Dex!$B$3:$N415,8,FALSE),"")</f>
        <v>100</v>
      </c>
      <c r="L332" s="497" t="str">
        <f t="array" ref="L332">IFERROR(VLOOKUP(K332,Dex!$P$22:$Q$276,2,FALSE),"")</f>
        <v/>
      </c>
      <c r="M332" s="498">
        <v>252.0</v>
      </c>
      <c r="N332" s="2659"/>
      <c r="O332" s="495" t="s">
        <v>192</v>
      </c>
      <c r="P332" s="496">
        <f t="array" ref="P332">IFERROR(VLOOKUP(O319,Dex!$B$3:$N415,8,FALSE),"")</f>
        <v>100</v>
      </c>
      <c r="Q332" s="497" t="str">
        <f t="array" ref="Q332">IFERROR(VLOOKUP(P332,Dex!$P$22:$Q$276,2,FALSE),"")</f>
        <v/>
      </c>
      <c r="R332" s="498">
        <v>252.0</v>
      </c>
      <c r="S332" s="2659"/>
      <c r="T332" s="495" t="s">
        <v>192</v>
      </c>
      <c r="U332" s="496">
        <f t="array" ref="U332">IFERROR(VLOOKUP(T319,Dex!$B$3:$N415,8,FALSE),"")</f>
        <v>80</v>
      </c>
      <c r="V332" s="497" t="str">
        <f t="array" ref="V332">IFERROR(VLOOKUP(U332,Dex!$P$22:$Q$276,2,FALSE),"")</f>
        <v/>
      </c>
      <c r="W332" s="498"/>
      <c r="X332" s="2659"/>
      <c r="Y332" s="495" t="s">
        <v>192</v>
      </c>
      <c r="Z332" s="496">
        <f t="array" ref="Z332">IFERROR(VLOOKUP(Y319,Dex!$B$3:$N415,8,FALSE),"")</f>
        <v>80</v>
      </c>
      <c r="AA332" s="497" t="str">
        <f t="array" ref="AA332">IFERROR(VLOOKUP(Z332,Dex!$P$22:$Q$276,2,FALSE),"")</f>
        <v/>
      </c>
      <c r="AB332" s="498"/>
      <c r="AC332" s="2659"/>
      <c r="AD332" s="495" t="s">
        <v>192</v>
      </c>
      <c r="AE332" s="496">
        <f t="array" ref="AE332">IFERROR(VLOOKUP(AD319,Dex!$B$3:$N415,8,FALSE),"")</f>
        <v>79</v>
      </c>
      <c r="AF332" s="497" t="str">
        <f t="array" ref="AF332">IFERROR(VLOOKUP(AE332,Dex!$P$22:$Q$276,2,FALSE),"")</f>
        <v/>
      </c>
      <c r="AG332" s="498"/>
      <c r="AH332" s="2661"/>
      <c r="AI332" s="2352"/>
    </row>
    <row r="333" ht="15.75" customHeight="1">
      <c r="A333" s="2267"/>
      <c r="B333" s="2345"/>
      <c r="C333" s="2338"/>
      <c r="D333" s="2346"/>
      <c r="E333" s="500" t="s">
        <v>193</v>
      </c>
      <c r="F333" s="501">
        <f t="array" ref="F333">IFERROR(VLOOKUP(E319,Dex!$B$3:$N415,9,FALSE),"")</f>
        <v>120</v>
      </c>
      <c r="G333" s="502" t="str">
        <f t="array" ref="G333">IFERROR(VLOOKUP(F333,Dex!$P$22:$Q$276,2,FALSE),"")</f>
        <v/>
      </c>
      <c r="H333" s="503">
        <v>252.0</v>
      </c>
      <c r="I333" s="2659"/>
      <c r="J333" s="500" t="s">
        <v>193</v>
      </c>
      <c r="K333" s="501">
        <f t="array" ref="K333">IFERROR(VLOOKUP(J319,Dex!$B$3:$N415,9,FALSE),"")</f>
        <v>135</v>
      </c>
      <c r="L333" s="502" t="str">
        <f t="array" ref="L333">IFERROR(VLOOKUP(K333,Dex!$P$22:$Q$276,2,FALSE),"")</f>
        <v/>
      </c>
      <c r="M333" s="503">
        <v>252.0</v>
      </c>
      <c r="N333" s="2659"/>
      <c r="O333" s="500" t="s">
        <v>193</v>
      </c>
      <c r="P333" s="501">
        <f t="array" ref="P333">IFERROR(VLOOKUP(O319,Dex!$B$3:$N415,9,FALSE),"")</f>
        <v>50</v>
      </c>
      <c r="Q333" s="502" t="str">
        <f t="array" ref="Q333">IFERROR(VLOOKUP(P333,Dex!$P$22:$Q$276,2,FALSE),"")</f>
        <v/>
      </c>
      <c r="R333" s="503">
        <v>252.0</v>
      </c>
      <c r="S333" s="2659"/>
      <c r="T333" s="500" t="s">
        <v>193</v>
      </c>
      <c r="U333" s="501">
        <f t="array" ref="U333">IFERROR(VLOOKUP(T319,Dex!$B$3:$N415,9,FALSE),"")</f>
        <v>70</v>
      </c>
      <c r="V333" s="502" t="str">
        <f t="array" ref="V333">IFERROR(VLOOKUP(U333,Dex!$P$22:$Q$276,2,FALSE),"")</f>
        <v/>
      </c>
      <c r="W333" s="503"/>
      <c r="X333" s="2659"/>
      <c r="Y333" s="500" t="s">
        <v>193</v>
      </c>
      <c r="Z333" s="501">
        <f t="array" ref="Z333">IFERROR(VLOOKUP(Y319,Dex!$B$3:$N415,9,FALSE),"")</f>
        <v>130</v>
      </c>
      <c r="AA333" s="502" t="str">
        <f t="array" ref="AA333">IFERROR(VLOOKUP(Z333,Dex!$P$22:$Q$276,2,FALSE),"")</f>
        <v/>
      </c>
      <c r="AB333" s="503">
        <v>252.0</v>
      </c>
      <c r="AC333" s="2659"/>
      <c r="AD333" s="500" t="s">
        <v>193</v>
      </c>
      <c r="AE333" s="501">
        <f t="array" ref="AE333">IFERROR(VLOOKUP(AD319,Dex!$B$3:$N415,9,FALSE),"")</f>
        <v>103</v>
      </c>
      <c r="AF333" s="502" t="str">
        <f t="array" ref="AF333">IFERROR(VLOOKUP(AE333,Dex!$P$22:$Q$276,2,FALSE),"")</f>
        <v/>
      </c>
      <c r="AG333" s="503"/>
      <c r="AH333" s="2661"/>
      <c r="AI333" s="2352"/>
    </row>
    <row r="334" ht="15.75" customHeight="1">
      <c r="A334" s="2267"/>
      <c r="B334" s="2345"/>
      <c r="C334" s="2338"/>
      <c r="D334" s="2346"/>
      <c r="E334" s="500" t="s">
        <v>194</v>
      </c>
      <c r="F334" s="501">
        <f t="array" ref="F334">IFERROR(VLOOKUP(E319,Dex!$B$3:$N415,10,FALSE),"")</f>
        <v>70</v>
      </c>
      <c r="G334" s="502" t="str">
        <f t="array" ref="G334">IFERROR(VLOOKUP(F334,Dex!$P$22:$Q$276,2,FALSE),"")</f>
        <v/>
      </c>
      <c r="H334" s="503">
        <v>4.0</v>
      </c>
      <c r="I334" s="2659"/>
      <c r="J334" s="500" t="s">
        <v>194</v>
      </c>
      <c r="K334" s="501">
        <f t="array" ref="K334">IFERROR(VLOOKUP(J319,Dex!$B$3:$N415,10,FALSE),"")</f>
        <v>120</v>
      </c>
      <c r="L334" s="502" t="str">
        <f t="array" ref="L334">IFERROR(VLOOKUP(K334,Dex!$P$22:$Q$276,2,FALSE),"")</f>
        <v/>
      </c>
      <c r="M334" s="503"/>
      <c r="N334" s="2659"/>
      <c r="O334" s="500" t="s">
        <v>194</v>
      </c>
      <c r="P334" s="501">
        <f t="array" ref="P334">IFERROR(VLOOKUP(O319,Dex!$B$3:$N415,10,FALSE),"")</f>
        <v>80</v>
      </c>
      <c r="Q334" s="502" t="str">
        <f t="array" ref="Q334">IFERROR(VLOOKUP(P334,Dex!$P$22:$Q$276,2,FALSE),"")</f>
        <v/>
      </c>
      <c r="R334" s="503">
        <v>4.0</v>
      </c>
      <c r="S334" s="2659"/>
      <c r="T334" s="500" t="s">
        <v>194</v>
      </c>
      <c r="U334" s="501">
        <f t="array" ref="U334">IFERROR(VLOOKUP(T319,Dex!$B$3:$N415,10,FALSE),"")</f>
        <v>60</v>
      </c>
      <c r="V334" s="502" t="str">
        <f t="array" ref="V334">IFERROR(VLOOKUP(U334,Dex!$P$22:$Q$276,2,FALSE),"")</f>
        <v/>
      </c>
      <c r="W334" s="503">
        <v>4.0</v>
      </c>
      <c r="X334" s="2659"/>
      <c r="Y334" s="500" t="s">
        <v>194</v>
      </c>
      <c r="Z334" s="501">
        <f t="array" ref="Z334">IFERROR(VLOOKUP(Y319,Dex!$B$3:$N415,10,FALSE),"")</f>
        <v>60</v>
      </c>
      <c r="AA334" s="502" t="str">
        <f t="array" ref="AA334">IFERROR(VLOOKUP(Z334,Dex!$P$22:$Q$276,2,FALSE),"")</f>
        <v/>
      </c>
      <c r="AB334" s="503">
        <v>4.0</v>
      </c>
      <c r="AC334" s="2659"/>
      <c r="AD334" s="500" t="s">
        <v>194</v>
      </c>
      <c r="AE334" s="501">
        <f t="array" ref="AE334">IFERROR(VLOOKUP(AD319,Dex!$B$3:$N415,10,FALSE),"")</f>
        <v>120</v>
      </c>
      <c r="AF334" s="502" t="str">
        <f t="array" ref="AF334">IFERROR(VLOOKUP(AE334,Dex!$P$22:$Q$276,2,FALSE),"")</f>
        <v/>
      </c>
      <c r="AG334" s="503">
        <v>4.0</v>
      </c>
      <c r="AH334" s="2661"/>
      <c r="AI334" s="2352"/>
    </row>
    <row r="335" ht="15.75" customHeight="1">
      <c r="A335" s="2267"/>
      <c r="B335" s="2345"/>
      <c r="C335" s="2338"/>
      <c r="D335" s="2346"/>
      <c r="E335" s="500" t="s">
        <v>195</v>
      </c>
      <c r="F335" s="501">
        <f t="array" ref="F335">IFERROR(VLOOKUP(E319,Dex!$B$3:$N415,11,FALSE),"")</f>
        <v>50</v>
      </c>
      <c r="G335" s="502" t="str">
        <f t="array" ref="G335">IFERROR(VLOOKUP(F335,Dex!$P$22:$Q$276,2,FALSE),"")</f>
        <v/>
      </c>
      <c r="H335" s="503"/>
      <c r="I335" s="2659"/>
      <c r="J335" s="500" t="s">
        <v>195</v>
      </c>
      <c r="K335" s="501">
        <f t="array" ref="K335">IFERROR(VLOOKUP(J319,Dex!$B$3:$N415,11,FALSE),"")</f>
        <v>60</v>
      </c>
      <c r="L335" s="502" t="str">
        <f t="array" ref="L335">IFERROR(VLOOKUP(K335,Dex!$P$22:$Q$276,2,FALSE),"")</f>
        <v/>
      </c>
      <c r="M335" s="503"/>
      <c r="N335" s="2659"/>
      <c r="O335" s="500" t="s">
        <v>195</v>
      </c>
      <c r="P335" s="501">
        <f t="array" ref="P335">IFERROR(VLOOKUP(O319,Dex!$B$3:$N415,11,FALSE),"")</f>
        <v>60</v>
      </c>
      <c r="Q335" s="502" t="str">
        <f t="array" ref="Q335">IFERROR(VLOOKUP(P335,Dex!$P$22:$Q$276,2,FALSE),"")</f>
        <v/>
      </c>
      <c r="R335" s="503"/>
      <c r="S335" s="2659"/>
      <c r="T335" s="500" t="s">
        <v>195</v>
      </c>
      <c r="U335" s="501">
        <f t="array" ref="U335">IFERROR(VLOOKUP(T319,Dex!$B$3:$N415,11,FALSE),"")</f>
        <v>140</v>
      </c>
      <c r="V335" s="502" t="str">
        <f t="array" ref="V335">IFERROR(VLOOKUP(U335,Dex!$P$22:$Q$276,2,FALSE),"")</f>
        <v/>
      </c>
      <c r="W335" s="503">
        <v>252.0</v>
      </c>
      <c r="X335" s="2659"/>
      <c r="Y335" s="500" t="s">
        <v>195</v>
      </c>
      <c r="Z335" s="501">
        <f t="array" ref="Z335">IFERROR(VLOOKUP(Y319,Dex!$B$3:$N415,11,FALSE),"")</f>
        <v>40</v>
      </c>
      <c r="AA335" s="502" t="str">
        <f t="array" ref="AA335">IFERROR(VLOOKUP(Z335,Dex!$P$22:$Q$276,2,FALSE),"")</f>
        <v/>
      </c>
      <c r="AB335" s="503"/>
      <c r="AC335" s="2659"/>
      <c r="AD335" s="500" t="s">
        <v>195</v>
      </c>
      <c r="AE335" s="501">
        <f t="array" ref="AE335">IFERROR(VLOOKUP(AD319,Dex!$B$3:$N415,11,FALSE),"")</f>
        <v>135</v>
      </c>
      <c r="AF335" s="502" t="str">
        <f t="array" ref="AF335">IFERROR(VLOOKUP(AE335,Dex!$P$22:$Q$276,2,FALSE),"")</f>
        <v/>
      </c>
      <c r="AG335" s="503">
        <v>252.0</v>
      </c>
      <c r="AH335" s="2661"/>
      <c r="AI335" s="2352"/>
    </row>
    <row r="336" ht="15.75" customHeight="1">
      <c r="A336" s="2267"/>
      <c r="B336" s="2345"/>
      <c r="C336" s="2500"/>
      <c r="D336" s="2346"/>
      <c r="E336" s="500" t="s">
        <v>196</v>
      </c>
      <c r="F336" s="501">
        <f t="array" ref="F336">IFERROR(VLOOKUP(E319,Dex!$B$3:$N415,12,FALSE),"")</f>
        <v>60</v>
      </c>
      <c r="G336" s="502" t="str">
        <f t="array" ref="G336">IFERROR(VLOOKUP(F336,Dex!$P$22:$Q$276,2,FALSE),"")</f>
        <v/>
      </c>
      <c r="H336" s="503"/>
      <c r="I336" s="2659"/>
      <c r="J336" s="500" t="s">
        <v>196</v>
      </c>
      <c r="K336" s="501">
        <f t="array" ref="K336">IFERROR(VLOOKUP(J319,Dex!$B$3:$N415,12,FALSE),"")</f>
        <v>85</v>
      </c>
      <c r="L336" s="502" t="str">
        <f t="array" ref="L336">IFERROR(VLOOKUP(K336,Dex!$P$22:$Q$276,2,FALSE),"")</f>
        <v/>
      </c>
      <c r="M336" s="503">
        <v>4.0</v>
      </c>
      <c r="N336" s="2659"/>
      <c r="O336" s="500" t="s">
        <v>196</v>
      </c>
      <c r="P336" s="501">
        <f t="array" ref="P336">IFERROR(VLOOKUP(O319,Dex!$B$3:$N415,12,FALSE),"")</f>
        <v>80</v>
      </c>
      <c r="Q336" s="502" t="str">
        <f t="array" ref="Q336">IFERROR(VLOOKUP(P336,Dex!$P$22:$Q$276,2,FALSE),"")</f>
        <v/>
      </c>
      <c r="R336" s="503"/>
      <c r="S336" s="2659"/>
      <c r="T336" s="500" t="s">
        <v>196</v>
      </c>
      <c r="U336" s="501">
        <f t="array" ref="U336">IFERROR(VLOOKUP(T319,Dex!$B$3:$N415,12,FALSE),"")</f>
        <v>110</v>
      </c>
      <c r="V336" s="502" t="str">
        <f t="array" ref="V336">IFERROR(VLOOKUP(U336,Dex!$P$22:$Q$276,2,FALSE),"")</f>
        <v/>
      </c>
      <c r="W336" s="503"/>
      <c r="X336" s="2659"/>
      <c r="Y336" s="500" t="s">
        <v>196</v>
      </c>
      <c r="Z336" s="501">
        <f t="array" ref="Z336">IFERROR(VLOOKUP(Y319,Dex!$B$3:$N415,12,FALSE),"")</f>
        <v>80</v>
      </c>
      <c r="AA336" s="502" t="str">
        <f t="array" ref="AA336">IFERROR(VLOOKUP(Z336,Dex!$P$22:$Q$276,2,FALSE),"")</f>
        <v/>
      </c>
      <c r="AB336" s="503"/>
      <c r="AC336" s="2659"/>
      <c r="AD336" s="500" t="s">
        <v>196</v>
      </c>
      <c r="AE336" s="501">
        <f t="array" ref="AE336">IFERROR(VLOOKUP(AD319,Dex!$B$3:$N415,12,FALSE),"")</f>
        <v>115</v>
      </c>
      <c r="AF336" s="502" t="str">
        <f t="array" ref="AF336">IFERROR(VLOOKUP(AE336,Dex!$P$22:$Q$276,2,FALSE),"")</f>
        <v/>
      </c>
      <c r="AG336" s="503"/>
      <c r="AH336" s="2661"/>
      <c r="AI336" s="2352"/>
    </row>
    <row r="337" ht="15.75" customHeight="1">
      <c r="A337" s="2267"/>
      <c r="B337" s="2501"/>
      <c r="C337" s="1204" t="s">
        <v>436</v>
      </c>
      <c r="D337" s="2502"/>
      <c r="E337" s="504" t="s">
        <v>197</v>
      </c>
      <c r="F337" s="505">
        <f t="array" ref="F337">IFERROR(VLOOKUP(E319,Dex!$B$3:$N415,13,FALSE),"")</f>
        <v>100</v>
      </c>
      <c r="G337" s="506" t="str">
        <f t="array" ref="G337">IFERROR(VLOOKUP(F337,Dex!$P$22:$Q$276,2,FALSE),"")</f>
        <v/>
      </c>
      <c r="H337" s="507">
        <v>252.0</v>
      </c>
      <c r="I337" s="2662"/>
      <c r="J337" s="504" t="s">
        <v>197</v>
      </c>
      <c r="K337" s="505">
        <f t="array" ref="K337">IFERROR(VLOOKUP(J319,Dex!$B$3:$N415,13,FALSE),"")</f>
        <v>50</v>
      </c>
      <c r="L337" s="506" t="str">
        <f t="array" ref="L337">IFERROR(VLOOKUP(K337,Dex!$P$22:$Q$276,2,FALSE),"")</f>
        <v/>
      </c>
      <c r="M337" s="507"/>
      <c r="N337" s="2662"/>
      <c r="O337" s="504" t="s">
        <v>197</v>
      </c>
      <c r="P337" s="505">
        <f t="array" ref="P337">IFERROR(VLOOKUP(O319,Dex!$B$3:$N415,13,FALSE),"")</f>
        <v>50</v>
      </c>
      <c r="Q337" s="506" t="str">
        <f t="array" ref="Q337">IFERROR(VLOOKUP(P337,Dex!$P$22:$Q$276,2,FALSE),"")</f>
        <v/>
      </c>
      <c r="R337" s="507"/>
      <c r="S337" s="2662"/>
      <c r="T337" s="504" t="s">
        <v>197</v>
      </c>
      <c r="U337" s="505">
        <f t="array" ref="U337">IFERROR(VLOOKUP(T319,Dex!$B$3:$N415,13,FALSE),"")</f>
        <v>110</v>
      </c>
      <c r="V337" s="506" t="str">
        <f t="array" ref="V337">IFERROR(VLOOKUP(U337,Dex!$P$22:$Q$276,2,FALSE),"")</f>
        <v/>
      </c>
      <c r="W337" s="507">
        <v>252.0</v>
      </c>
      <c r="X337" s="2662"/>
      <c r="Y337" s="504" t="s">
        <v>197</v>
      </c>
      <c r="Z337" s="505">
        <f t="array" ref="Z337">IFERROR(VLOOKUP(Y319,Dex!$B$3:$N415,13,FALSE),"")</f>
        <v>120</v>
      </c>
      <c r="AA337" s="506" t="str">
        <f t="array" ref="AA337">IFERROR(VLOOKUP(Z337,Dex!$P$22:$Q$276,2,FALSE),"")</f>
        <v/>
      </c>
      <c r="AB337" s="507">
        <v>252.0</v>
      </c>
      <c r="AC337" s="2662"/>
      <c r="AD337" s="504" t="s">
        <v>197</v>
      </c>
      <c r="AE337" s="505">
        <f t="array" ref="AE337">IFERROR(VLOOKUP(AD319,Dex!$B$3:$N415,13,FALSE),"")</f>
        <v>78</v>
      </c>
      <c r="AF337" s="506" t="str">
        <f t="array" ref="AF337">IFERROR(VLOOKUP(AE337,Dex!$P$22:$Q$276,2,FALSE),"")</f>
        <v/>
      </c>
      <c r="AG337" s="507">
        <v>252.0</v>
      </c>
      <c r="AH337" s="2661"/>
      <c r="AI337" s="2352"/>
    </row>
    <row r="338" ht="16.5" customHeight="1">
      <c r="A338" s="2267"/>
      <c r="B338" s="2501"/>
      <c r="C338" s="1205" t="s">
        <v>793</v>
      </c>
      <c r="D338" s="2502"/>
      <c r="E338" s="508" t="s">
        <v>198</v>
      </c>
      <c r="F338" s="405"/>
      <c r="G338" s="406"/>
      <c r="H338" s="509">
        <v>264.0</v>
      </c>
      <c r="I338" s="2662"/>
      <c r="J338" s="508" t="s">
        <v>198</v>
      </c>
      <c r="K338" s="405"/>
      <c r="L338" s="406"/>
      <c r="M338" s="509">
        <v>107.0</v>
      </c>
      <c r="N338" s="2662"/>
      <c r="O338" s="508" t="s">
        <v>198</v>
      </c>
      <c r="P338" s="405"/>
      <c r="Q338" s="406"/>
      <c r="R338" s="509">
        <v>109.0</v>
      </c>
      <c r="S338" s="2662"/>
      <c r="T338" s="508" t="s">
        <v>198</v>
      </c>
      <c r="U338" s="405"/>
      <c r="V338" s="406"/>
      <c r="W338" s="509">
        <v>278.0</v>
      </c>
      <c r="X338" s="2662"/>
      <c r="Y338" s="1285" t="s">
        <v>198</v>
      </c>
      <c r="Z338" s="918"/>
      <c r="AA338" s="919"/>
      <c r="AB338" s="1286">
        <v>299.0</v>
      </c>
      <c r="AC338" s="2662"/>
      <c r="AD338" s="508" t="s">
        <v>198</v>
      </c>
      <c r="AE338" s="405"/>
      <c r="AF338" s="406"/>
      <c r="AG338" s="509">
        <v>225.0</v>
      </c>
      <c r="AH338" s="2660"/>
      <c r="AI338" s="2352"/>
    </row>
    <row r="339" ht="16.5" customHeight="1">
      <c r="A339" s="2267"/>
      <c r="B339" s="2345"/>
      <c r="C339" s="2663"/>
      <c r="D339" s="2349"/>
      <c r="E339" s="2664"/>
      <c r="F339" s="2664"/>
      <c r="G339" s="2664"/>
      <c r="H339" s="2665"/>
      <c r="I339" s="2666"/>
      <c r="J339" s="2664"/>
      <c r="K339" s="2664"/>
      <c r="L339" s="2664"/>
      <c r="M339" s="2665"/>
      <c r="N339" s="2666"/>
      <c r="O339" s="2664"/>
      <c r="P339" s="2664"/>
      <c r="Q339" s="2664"/>
      <c r="R339" s="2665"/>
      <c r="S339" s="2666"/>
      <c r="T339" s="2664"/>
      <c r="U339" s="2664"/>
      <c r="V339" s="2664"/>
      <c r="W339" s="2665"/>
      <c r="X339" s="2666"/>
      <c r="Y339" s="1289" t="s">
        <v>497</v>
      </c>
      <c r="Z339" s="925"/>
      <c r="AA339" s="926"/>
      <c r="AB339" s="1290">
        <v>598.0</v>
      </c>
      <c r="AC339" s="2666"/>
      <c r="AD339" s="2664"/>
      <c r="AE339" s="2664"/>
      <c r="AF339" s="2664"/>
      <c r="AG339" s="2665"/>
      <c r="AH339" s="2351"/>
      <c r="AI339" s="2352"/>
    </row>
    <row r="340" ht="11.25" customHeight="1">
      <c r="A340" s="2260"/>
      <c r="B340" s="2268"/>
      <c r="C340" s="2269"/>
      <c r="D340" s="2316"/>
      <c r="E340" s="2667"/>
      <c r="F340" s="2667"/>
      <c r="G340" s="2667"/>
      <c r="H340" s="2667"/>
      <c r="I340" s="2287"/>
      <c r="J340" s="2667"/>
      <c r="K340" s="2667"/>
      <c r="L340" s="2667"/>
      <c r="M340" s="2667"/>
      <c r="N340" s="2287"/>
      <c r="O340" s="2287"/>
      <c r="P340" s="2287"/>
      <c r="Q340" s="2287"/>
      <c r="R340" s="2287"/>
      <c r="S340" s="2287"/>
      <c r="T340" s="2287"/>
      <c r="U340" s="2287"/>
      <c r="V340" s="2287"/>
      <c r="W340" s="2287"/>
      <c r="X340" s="2287"/>
      <c r="Y340" s="2534"/>
      <c r="Z340" s="2534"/>
      <c r="AA340" s="2534"/>
      <c r="AB340" s="2379"/>
      <c r="AC340" s="2287"/>
      <c r="AD340" s="2287"/>
      <c r="AE340" s="2287"/>
      <c r="AF340" s="2287"/>
      <c r="AG340" s="2287"/>
      <c r="AH340" s="2276"/>
      <c r="AI340" s="2266"/>
    </row>
    <row r="341">
      <c r="A341" s="2267"/>
      <c r="B341" s="2268"/>
      <c r="C341" s="2269"/>
      <c r="D341" s="2270"/>
      <c r="E341" s="1578" t="s">
        <v>687</v>
      </c>
      <c r="F341" s="1579"/>
      <c r="G341" s="1579"/>
      <c r="H341" s="1579"/>
      <c r="I341" s="1579"/>
      <c r="J341" s="1579"/>
      <c r="K341" s="1579"/>
      <c r="L341" s="1579"/>
      <c r="M341" s="1579"/>
      <c r="N341" s="1579"/>
      <c r="O341" s="1579"/>
      <c r="P341" s="1579"/>
      <c r="Q341" s="1579"/>
      <c r="R341" s="1579"/>
      <c r="S341" s="1579"/>
      <c r="T341" s="1579"/>
      <c r="U341" s="1579"/>
      <c r="V341" s="1579"/>
      <c r="W341" s="1579"/>
      <c r="X341" s="1579"/>
      <c r="Y341" s="1579"/>
      <c r="Z341" s="1579"/>
      <c r="AA341" s="1579"/>
      <c r="AB341" s="1579"/>
      <c r="AC341" s="1579"/>
      <c r="AD341" s="1579"/>
      <c r="AE341" s="1579"/>
      <c r="AF341" s="1579"/>
      <c r="AG341" s="1580"/>
      <c r="AH341" s="2654"/>
      <c r="AI341" s="2266"/>
    </row>
    <row r="342" ht="3.75" customHeight="1">
      <c r="A342" s="2267"/>
      <c r="B342" s="2268"/>
      <c r="C342" s="2277"/>
      <c r="D342" s="2278"/>
      <c r="E342" s="2490"/>
      <c r="F342" s="2490"/>
      <c r="G342" s="2490"/>
      <c r="H342" s="2490"/>
      <c r="I342" s="2278"/>
      <c r="J342" s="2490"/>
      <c r="K342" s="2490"/>
      <c r="L342" s="2490"/>
      <c r="M342" s="2490"/>
      <c r="N342" s="2278"/>
      <c r="O342" s="2490"/>
      <c r="P342" s="2490"/>
      <c r="Q342" s="2490"/>
      <c r="R342" s="2490"/>
      <c r="S342" s="2278"/>
      <c r="T342" s="2490"/>
      <c r="U342" s="2490"/>
      <c r="V342" s="2490"/>
      <c r="W342" s="2490"/>
      <c r="X342" s="2278"/>
      <c r="Y342" s="2490"/>
      <c r="Z342" s="2490"/>
      <c r="AA342" s="2490"/>
      <c r="AB342" s="2490"/>
      <c r="AC342" s="2278"/>
      <c r="AD342" s="2490"/>
      <c r="AE342" s="2490"/>
      <c r="AF342" s="2490"/>
      <c r="AG342" s="2490"/>
      <c r="AH342" s="2276"/>
      <c r="AI342" s="2266"/>
    </row>
    <row r="343" ht="96.75" customHeight="1">
      <c r="A343" s="2260"/>
      <c r="B343" s="2281"/>
      <c r="C343" s="2355" t="str">
        <f>IMAGE("https://i.ibb.co/fXwks6z/Rival.png")</f>
        <v/>
      </c>
      <c r="D343" s="2491"/>
      <c r="E343" s="2668" t="str">
        <f t="array" ref="E343">IFERROR(VLOOKUP(E344,Dex!$B$3:$G415,3,FALSE),"")</f>
        <v/>
      </c>
      <c r="F343" s="1830"/>
      <c r="G343" s="1830"/>
      <c r="H343" s="1831"/>
      <c r="I343" s="2491"/>
      <c r="J343" s="2668" t="str">
        <f t="array" ref="J343">IFERROR(VLOOKUP(J344,Dex!$B$3:$G415,3,FALSE),"")</f>
        <v/>
      </c>
      <c r="K343" s="1830"/>
      <c r="L343" s="1830"/>
      <c r="M343" s="1831"/>
      <c r="N343" s="2491"/>
      <c r="O343" s="2668" t="str">
        <f t="array" ref="O343">IFERROR(VLOOKUP(O344,Dex!$B$3:$G415,3,FALSE),"")</f>
        <v/>
      </c>
      <c r="P343" s="1830"/>
      <c r="Q343" s="1830"/>
      <c r="R343" s="1831"/>
      <c r="S343" s="2491"/>
      <c r="T343" s="2668" t="str">
        <f t="array" ref="T343">IFERROR(VLOOKUP(T344,Dex!$B$3:$G415,3,FALSE),"")</f>
        <v/>
      </c>
      <c r="U343" s="1830"/>
      <c r="V343" s="1830"/>
      <c r="W343" s="1831"/>
      <c r="X343" s="2491"/>
      <c r="Y343" s="2668" t="str">
        <f t="array" ref="Y343">IFERROR(VLOOKUP(Y344,Dex!$B$3:$G415,3,FALSE),"")</f>
        <v/>
      </c>
      <c r="Z343" s="1830"/>
      <c r="AA343" s="1830"/>
      <c r="AB343" s="1831"/>
      <c r="AC343" s="2491"/>
      <c r="AD343" s="2668" t="str">
        <f t="array" ref="AD343">IFERROR(VLOOKUP(AD344,Dex!$B$3:$G415,3,FALSE),"")</f>
        <v/>
      </c>
      <c r="AE343" s="1830"/>
      <c r="AF343" s="1830"/>
      <c r="AG343" s="1831"/>
      <c r="AH343" s="2654"/>
      <c r="AI343" s="2266"/>
    </row>
    <row r="344" ht="18.75" customHeight="1">
      <c r="A344" s="2288"/>
      <c r="B344" s="2358"/>
      <c r="C344" s="2290" t="s">
        <v>794</v>
      </c>
      <c r="D344" s="2359"/>
      <c r="E344" s="2292" t="s">
        <v>740</v>
      </c>
      <c r="F344" s="2293"/>
      <c r="G344" s="2293"/>
      <c r="H344" s="2294"/>
      <c r="I344" s="2359"/>
      <c r="J344" s="2292" t="s">
        <v>741</v>
      </c>
      <c r="K344" s="2293"/>
      <c r="L344" s="2293"/>
      <c r="M344" s="2294"/>
      <c r="N344" s="2359"/>
      <c r="O344" s="2292" t="s">
        <v>795</v>
      </c>
      <c r="P344" s="2293"/>
      <c r="Q344" s="2293"/>
      <c r="R344" s="2294"/>
      <c r="S344" s="2359"/>
      <c r="T344" s="2292" t="s">
        <v>752</v>
      </c>
      <c r="U344" s="2293"/>
      <c r="V344" s="2293"/>
      <c r="W344" s="2294"/>
      <c r="X344" s="2359"/>
      <c r="Y344" s="2292" t="s">
        <v>590</v>
      </c>
      <c r="Z344" s="2293"/>
      <c r="AA344" s="2293"/>
      <c r="AB344" s="2294"/>
      <c r="AC344" s="2359"/>
      <c r="AD344" s="2292" t="s">
        <v>796</v>
      </c>
      <c r="AE344" s="2293"/>
      <c r="AF344" s="2293"/>
      <c r="AG344" s="2294"/>
      <c r="AH344" s="2656"/>
      <c r="AI344" s="2299"/>
    </row>
    <row r="345">
      <c r="A345" s="2260"/>
      <c r="B345" s="2300"/>
      <c r="C345" s="326"/>
      <c r="D345" s="2360"/>
      <c r="E345" s="2496" t="s">
        <v>420</v>
      </c>
      <c r="F345" s="2303"/>
      <c r="G345" s="2303"/>
      <c r="H345" s="2304"/>
      <c r="I345" s="2359"/>
      <c r="J345" s="2496" t="s">
        <v>715</v>
      </c>
      <c r="K345" s="2303"/>
      <c r="L345" s="2303"/>
      <c r="M345" s="2304"/>
      <c r="N345" s="2359"/>
      <c r="O345" s="2496" t="s">
        <v>420</v>
      </c>
      <c r="P345" s="2303"/>
      <c r="Q345" s="2303"/>
      <c r="R345" s="2304"/>
      <c r="S345" s="2359"/>
      <c r="T345" s="2496" t="s">
        <v>714</v>
      </c>
      <c r="U345" s="2303"/>
      <c r="V345" s="2303"/>
      <c r="W345" s="2304"/>
      <c r="X345" s="2359"/>
      <c r="Y345" s="2496" t="s">
        <v>420</v>
      </c>
      <c r="Z345" s="2303"/>
      <c r="AA345" s="2303"/>
      <c r="AB345" s="2304"/>
      <c r="AC345" s="2359"/>
      <c r="AD345" s="2496" t="s">
        <v>420</v>
      </c>
      <c r="AE345" s="2303"/>
      <c r="AF345" s="2303"/>
      <c r="AG345" s="2304"/>
      <c r="AH345" s="2654"/>
      <c r="AI345" s="2266"/>
    </row>
    <row r="346" ht="25.5" customHeight="1">
      <c r="A346" s="2260"/>
      <c r="B346" s="2268"/>
      <c r="C346" s="2305"/>
      <c r="D346" s="2306"/>
      <c r="E346" s="2307"/>
      <c r="F346" s="2308" t="str">
        <f t="array" ref="F346">IFERROR(VLOOKUP(E344,Dex!$B$3:$H415,5,FALSE),"")</f>
        <v/>
      </c>
      <c r="G346" s="2309" t="str">
        <f t="array" ref="G346">IFERROR(VLOOKUP(E344,Dex!$B$3:$H415,7,FALSE),"")</f>
        <v/>
      </c>
      <c r="H346" s="2310"/>
      <c r="I346" s="2657"/>
      <c r="J346" s="2307"/>
      <c r="K346" s="2308" t="str">
        <f t="array" ref="K346">IFERROR(VLOOKUP(J344,Dex!$B$3:$H415,5,FALSE),"")</f>
        <v/>
      </c>
      <c r="L346" s="2309" t="str">
        <f t="array" ref="L346">IFERROR(VLOOKUP(J344,Dex!$B$3:$H415,7,FALSE),"")</f>
        <v/>
      </c>
      <c r="M346" s="2310"/>
      <c r="N346" s="2657"/>
      <c r="O346" s="2307"/>
      <c r="P346" s="2308" t="str">
        <f t="array" ref="P346">IFERROR(VLOOKUP(O344,Dex!$B$3:$H415,5,FALSE),"")</f>
        <v/>
      </c>
      <c r="Q346" s="2309" t="str">
        <f t="array" ref="Q346">IFERROR(VLOOKUP(O344,Dex!$B$3:$H415,7,FALSE),"")</f>
        <v/>
      </c>
      <c r="R346" s="2310"/>
      <c r="S346" s="2657"/>
      <c r="T346" s="2307"/>
      <c r="U346" s="2308" t="str">
        <f t="array" ref="U346">IFERROR(VLOOKUP(T344,Dex!$B$3:$H415,5,FALSE),"")</f>
        <v/>
      </c>
      <c r="V346" s="2309" t="str">
        <f t="array" ref="V346">IFERROR(VLOOKUP(T344,Dex!$B$3:$H415,7,FALSE),"")</f>
        <v/>
      </c>
      <c r="W346" s="2310"/>
      <c r="X346" s="2657"/>
      <c r="Y346" s="2307"/>
      <c r="Z346" s="2308" t="str">
        <f t="array" ref="Z346">IFERROR(VLOOKUP(Y344,Dex!$B$3:$H415,5,FALSE),"")</f>
        <v/>
      </c>
      <c r="AA346" s="2309" t="str">
        <f t="array" ref="AA346">IFERROR(VLOOKUP(Y344,Dex!$B$3:$H415,7,FALSE),"")</f>
        <v/>
      </c>
      <c r="AB346" s="2310"/>
      <c r="AC346" s="2657"/>
      <c r="AD346" s="2307"/>
      <c r="AE346" s="2308" t="str">
        <f t="array" ref="AE346">IFERROR(VLOOKUP(AD344,Dex!$B$3:$H415,5,FALSE),"")</f>
        <v/>
      </c>
      <c r="AF346" s="2309" t="str">
        <f t="array" ref="AF346">IFERROR(VLOOKUP(AD344,Dex!$B$3:$H415,7,FALSE),"")</f>
        <v/>
      </c>
      <c r="AG346" s="2310"/>
      <c r="AH346" s="2658"/>
      <c r="AI346" s="2266"/>
    </row>
    <row r="347" ht="2.25" customHeight="1">
      <c r="A347" s="2260"/>
      <c r="B347" s="2268"/>
      <c r="C347" s="104"/>
      <c r="D347" s="2306"/>
      <c r="E347" s="2313"/>
      <c r="F347" s="2314"/>
      <c r="G347" s="2314"/>
      <c r="H347" s="2315"/>
      <c r="I347" s="2657"/>
      <c r="J347" s="2313"/>
      <c r="K347" s="2314"/>
      <c r="L347" s="2314"/>
      <c r="M347" s="2315"/>
      <c r="N347" s="2657"/>
      <c r="O347" s="2313"/>
      <c r="P347" s="2314"/>
      <c r="Q347" s="2314"/>
      <c r="R347" s="2315"/>
      <c r="S347" s="2657"/>
      <c r="T347" s="2313"/>
      <c r="U347" s="2314"/>
      <c r="V347" s="2314"/>
      <c r="W347" s="2315"/>
      <c r="X347" s="2657"/>
      <c r="Y347" s="2313"/>
      <c r="Z347" s="2314"/>
      <c r="AA347" s="2314"/>
      <c r="AB347" s="2315"/>
      <c r="AC347" s="2657"/>
      <c r="AD347" s="2313"/>
      <c r="AE347" s="2314"/>
      <c r="AF347" s="2314"/>
      <c r="AG347" s="2315"/>
      <c r="AH347" s="2658"/>
      <c r="AI347" s="2266"/>
    </row>
    <row r="348" ht="20.25" customHeight="1">
      <c r="A348" s="2260"/>
      <c r="B348" s="2268"/>
      <c r="C348" s="281"/>
      <c r="D348" s="2270"/>
      <c r="E348" s="2317" t="s">
        <v>172</v>
      </c>
      <c r="F348" s="2318"/>
      <c r="G348" s="2318"/>
      <c r="H348" s="2319"/>
      <c r="I348" s="2297"/>
      <c r="J348" s="2317" t="s">
        <v>169</v>
      </c>
      <c r="K348" s="2318"/>
      <c r="L348" s="2318"/>
      <c r="M348" s="2319"/>
      <c r="N348" s="2297"/>
      <c r="O348" s="2317" t="s">
        <v>205</v>
      </c>
      <c r="P348" s="2318"/>
      <c r="Q348" s="2318"/>
      <c r="R348" s="2319"/>
      <c r="S348" s="2297"/>
      <c r="T348" s="2317" t="s">
        <v>169</v>
      </c>
      <c r="U348" s="2318"/>
      <c r="V348" s="2318"/>
      <c r="W348" s="2319"/>
      <c r="X348" s="2297"/>
      <c r="Y348" s="2317" t="s">
        <v>172</v>
      </c>
      <c r="Z348" s="2318"/>
      <c r="AA348" s="2318"/>
      <c r="AB348" s="2319"/>
      <c r="AC348" s="2297"/>
      <c r="AD348" s="2317" t="s">
        <v>172</v>
      </c>
      <c r="AE348" s="2318"/>
      <c r="AF348" s="2318"/>
      <c r="AG348" s="2319"/>
      <c r="AH348" s="2654"/>
      <c r="AI348" s="2266"/>
    </row>
    <row r="349">
      <c r="A349" s="2260"/>
      <c r="B349" s="2268"/>
      <c r="C349" s="2320"/>
      <c r="D349" s="2270"/>
      <c r="E349" s="2321" t="s">
        <v>716</v>
      </c>
      <c r="F349" s="2273"/>
      <c r="G349" s="2273"/>
      <c r="H349" s="2322"/>
      <c r="I349" s="2297"/>
      <c r="J349" s="2321" t="s">
        <v>745</v>
      </c>
      <c r="K349" s="2273"/>
      <c r="L349" s="2273"/>
      <c r="M349" s="2322"/>
      <c r="N349" s="2297"/>
      <c r="O349" s="2321" t="s">
        <v>301</v>
      </c>
      <c r="P349" s="2273"/>
      <c r="Q349" s="2273"/>
      <c r="R349" s="2322"/>
      <c r="S349" s="2297"/>
      <c r="T349" s="2321" t="s">
        <v>753</v>
      </c>
      <c r="U349" s="2273"/>
      <c r="V349" s="2273"/>
      <c r="W349" s="2322"/>
      <c r="X349" s="2297"/>
      <c r="Y349" s="2321" t="s">
        <v>483</v>
      </c>
      <c r="Z349" s="2273"/>
      <c r="AA349" s="2273"/>
      <c r="AB349" s="2322"/>
      <c r="AC349" s="2297"/>
      <c r="AD349" s="2321" t="s">
        <v>797</v>
      </c>
      <c r="AE349" s="2273"/>
      <c r="AF349" s="2273"/>
      <c r="AG349" s="2322"/>
      <c r="AH349" s="2654"/>
      <c r="AI349" s="2266"/>
    </row>
    <row r="350" ht="20.25" customHeight="1">
      <c r="A350" s="2260"/>
      <c r="B350" s="2268"/>
      <c r="C350" s="104"/>
      <c r="D350" s="2270"/>
      <c r="E350" s="2323" t="s">
        <v>747</v>
      </c>
      <c r="F350" s="2324"/>
      <c r="G350" s="2325"/>
      <c r="H350" s="2326" t="str">
        <f>IMAGE("https://raw.githubusercontent.com/msikma/pokesprite/master/items/hold-item/sharp-beak.png",3)</f>
        <v/>
      </c>
      <c r="I350" s="2297"/>
      <c r="J350" s="2323" t="s">
        <v>554</v>
      </c>
      <c r="K350" s="2324"/>
      <c r="L350" s="2325"/>
      <c r="M350" s="2326" t="str">
        <f>IMAGE("https://raw.githubusercontent.com/msikma/pokesprite/master/items/berry/chople.png",3)</f>
        <v/>
      </c>
      <c r="N350" s="2297"/>
      <c r="O350" s="2323" t="s">
        <v>306</v>
      </c>
      <c r="P350" s="2324"/>
      <c r="Q350" s="2325"/>
      <c r="R350" s="2326" t="str">
        <f>IMAGE("https://i.ibb.co/SK50ng3/booster.png",4,22,22)</f>
        <v/>
      </c>
      <c r="S350" s="2297"/>
      <c r="T350" s="2323" t="s">
        <v>212</v>
      </c>
      <c r="U350" s="2324"/>
      <c r="V350" s="2325"/>
      <c r="W350" s="2326" t="str">
        <f>IMAGE("https://raw.githubusercontent.com/msikma/pokesprite/master/items/hold-item/mystic-water.png",3)</f>
        <v/>
      </c>
      <c r="X350" s="2297"/>
      <c r="Y350" s="2323" t="s">
        <v>240</v>
      </c>
      <c r="Z350" s="2324"/>
      <c r="AA350" s="2325"/>
      <c r="AB350" s="2326" t="str">
        <f>IMAGE("https://raw.githubusercontent.com/msikma/pokesprite/master/items/hold-item/focus-sash.png",3)</f>
        <v/>
      </c>
      <c r="AC350" s="2297"/>
      <c r="AD350" s="2323" t="s">
        <v>798</v>
      </c>
      <c r="AE350" s="2324"/>
      <c r="AF350" s="2325"/>
      <c r="AG350" s="2326" t="str">
        <f>IMAGE("https://raw.githubusercontent.com/msikma/pokesprite/master/items/mega-stone/charizardite-x.png",3)</f>
        <v/>
      </c>
      <c r="AH350" s="2658"/>
      <c r="AI350" s="2266"/>
    </row>
    <row r="351" ht="20.25" customHeight="1">
      <c r="A351" s="2260"/>
      <c r="B351" s="2268"/>
      <c r="C351" s="281"/>
      <c r="D351" s="2270"/>
      <c r="E351" s="2317" t="s">
        <v>278</v>
      </c>
      <c r="F351" s="2318"/>
      <c r="G351" s="2327"/>
      <c r="H351" s="2328" t="str">
        <f>IMAGE("https://raw.githubusercontent.com/msikma/pokesprite/master/misc/types/gen8/bug.png",4,20,20)</f>
        <v/>
      </c>
      <c r="I351" s="2297"/>
      <c r="J351" s="2317" t="s">
        <v>407</v>
      </c>
      <c r="K351" s="2318"/>
      <c r="L351" s="2327"/>
      <c r="M351" s="2328" t="str">
        <f>IMAGE("https://raw.githubusercontent.com/msikma/pokesprite/master/misc/types/gen8/steel.png",4,20,20)</f>
        <v/>
      </c>
      <c r="N351" s="2297"/>
      <c r="O351" s="2317" t="s">
        <v>242</v>
      </c>
      <c r="P351" s="2318"/>
      <c r="Q351" s="2327"/>
      <c r="R351" s="2328" t="str">
        <f>IMAGE("https://raw.githubusercontent.com/msikma/pokesprite/master/misc/types/gen8/electric.png",4,20,20)</f>
        <v/>
      </c>
      <c r="S351" s="2297"/>
      <c r="T351" s="2317" t="s">
        <v>735</v>
      </c>
      <c r="U351" s="2318"/>
      <c r="V351" s="2327"/>
      <c r="W351" s="2328" t="str">
        <f>IMAGE("https://raw.githubusercontent.com/msikma/pokesprite/master/misc/types/gen8/water.png",4,20,20)</f>
        <v/>
      </c>
      <c r="X351" s="2297"/>
      <c r="Y351" s="2317" t="s">
        <v>316</v>
      </c>
      <c r="Z351" s="2318"/>
      <c r="AA351" s="2327"/>
      <c r="AB351" s="2328" t="str">
        <f>IMAGE("https://raw.githubusercontent.com/msikma/pokesprite/master/misc/types/gen8/fighting.png",4,20,20)</f>
        <v/>
      </c>
      <c r="AC351" s="2297"/>
      <c r="AD351" s="2317" t="s">
        <v>396</v>
      </c>
      <c r="AE351" s="2318"/>
      <c r="AF351" s="2327"/>
      <c r="AG351" s="2328" t="str">
        <f>IMAGE("https://raw.githubusercontent.com/msikma/pokesprite/master/misc/types/gen8/dragon.png",4,20,20)</f>
        <v/>
      </c>
      <c r="AH351" s="2658"/>
      <c r="AI351" s="2266"/>
    </row>
    <row r="352" ht="20.25" customHeight="1">
      <c r="A352" s="2260"/>
      <c r="B352" s="2268"/>
      <c r="C352" s="2269"/>
      <c r="D352" s="2270"/>
      <c r="E352" s="2321" t="s">
        <v>749</v>
      </c>
      <c r="F352" s="2273"/>
      <c r="G352" s="2274"/>
      <c r="H352" s="2329" t="str">
        <f>IMAGE("https://raw.githubusercontent.com/msikma/pokesprite/master/misc/types/gen8/flying.png",4,20,20)</f>
        <v/>
      </c>
      <c r="I352" s="2297"/>
      <c r="J352" s="2321" t="s">
        <v>489</v>
      </c>
      <c r="K352" s="2273"/>
      <c r="L352" s="2274"/>
      <c r="M352" s="2329" t="str">
        <f>IMAGE("https://raw.githubusercontent.com/msikma/pokesprite/master/misc/types/gen8/normal.png",4,20,20)</f>
        <v/>
      </c>
      <c r="N352" s="2297"/>
      <c r="O352" s="2321" t="s">
        <v>286</v>
      </c>
      <c r="P352" s="2273"/>
      <c r="Q352" s="2274"/>
      <c r="R352" s="2329" t="str">
        <f>IMAGE("https://raw.githubusercontent.com/msikma/pokesprite/master/misc/types/gen8/ground.png",4,20,20)</f>
        <v/>
      </c>
      <c r="S352" s="2297"/>
      <c r="T352" s="2321" t="s">
        <v>772</v>
      </c>
      <c r="U352" s="2273"/>
      <c r="V352" s="2274"/>
      <c r="W352" s="2329" t="str">
        <f>IMAGE("https://raw.githubusercontent.com/msikma/pokesprite/master/misc/types/gen8/fighting.png",4,20,20)</f>
        <v/>
      </c>
      <c r="X352" s="2297"/>
      <c r="Y352" s="2321" t="s">
        <v>278</v>
      </c>
      <c r="Z352" s="2273"/>
      <c r="AA352" s="2274"/>
      <c r="AB352" s="2329" t="str">
        <f>IMAGE("https://raw.githubusercontent.com/msikma/pokesprite/master/misc/types/gen8/bug.png",4,20,20)</f>
        <v/>
      </c>
      <c r="AC352" s="2297"/>
      <c r="AD352" s="2321" t="s">
        <v>402</v>
      </c>
      <c r="AE352" s="2273"/>
      <c r="AF352" s="2274"/>
      <c r="AG352" s="2329" t="str">
        <f>IMAGE("https://raw.githubusercontent.com/msikma/pokesprite/master/misc/types/gen8/ground.png",4,20,20)</f>
        <v/>
      </c>
      <c r="AH352" s="2658"/>
      <c r="AI352" s="2266"/>
    </row>
    <row r="353" ht="20.25" customHeight="1">
      <c r="A353" s="2260"/>
      <c r="B353" s="2268"/>
      <c r="C353" s="2269"/>
      <c r="D353" s="2270"/>
      <c r="E353" s="2321" t="s">
        <v>635</v>
      </c>
      <c r="F353" s="2273"/>
      <c r="G353" s="2274"/>
      <c r="H353" s="2329" t="str">
        <f>IMAGE("https://raw.githubusercontent.com/msikma/pokesprite/master/misc/types/gen8/normal.png",4,20,20)</f>
        <v/>
      </c>
      <c r="I353" s="2297"/>
      <c r="J353" s="2321" t="s">
        <v>279</v>
      </c>
      <c r="K353" s="2273"/>
      <c r="L353" s="2274"/>
      <c r="M353" s="2329" t="str">
        <f t="shared" ref="M353:M354" si="25">IMAGE("https://raw.githubusercontent.com/msikma/pokesprite/master/misc/types/gen8/dark.png",4,20,20)</f>
        <v/>
      </c>
      <c r="N353" s="2297"/>
      <c r="O353" s="2321" t="s">
        <v>277</v>
      </c>
      <c r="P353" s="2273"/>
      <c r="Q353" s="2274"/>
      <c r="R353" s="2329" t="str">
        <f>IMAGE("https://raw.githubusercontent.com/msikma/pokesprite/master/misc/types/gen8/electric.png",4,20,20)</f>
        <v/>
      </c>
      <c r="S353" s="2297"/>
      <c r="T353" s="2321" t="s">
        <v>556</v>
      </c>
      <c r="U353" s="2273"/>
      <c r="V353" s="2274"/>
      <c r="W353" s="2329" t="str">
        <f>IMAGE("https://raw.githubusercontent.com/msikma/pokesprite/master/misc/types/gen8/fairy.png",4,20,20)</f>
        <v/>
      </c>
      <c r="X353" s="2297"/>
      <c r="Y353" s="2321" t="s">
        <v>792</v>
      </c>
      <c r="Z353" s="2273"/>
      <c r="AA353" s="2274"/>
      <c r="AB353" s="2329" t="str">
        <f>IMAGE("https://raw.githubusercontent.com/msikma/pokesprite/master/misc/types/gen8/poison.png",4,20,20)</f>
        <v/>
      </c>
      <c r="AC353" s="2297"/>
      <c r="AD353" s="2321" t="s">
        <v>378</v>
      </c>
      <c r="AE353" s="2273"/>
      <c r="AF353" s="2274"/>
      <c r="AG353" s="2329" t="str">
        <f>IMAGE("https://raw.githubusercontent.com/msikma/pokesprite/master/misc/types/gen8/fire.png",4,20,20)</f>
        <v/>
      </c>
      <c r="AH353" s="2658"/>
      <c r="AI353" s="2266"/>
    </row>
    <row r="354" ht="21.0" customHeight="1">
      <c r="A354" s="2260"/>
      <c r="B354" s="2268"/>
      <c r="C354" s="2269"/>
      <c r="D354" s="2270"/>
      <c r="E354" s="2330" t="s">
        <v>316</v>
      </c>
      <c r="F354" s="2331"/>
      <c r="G354" s="2332"/>
      <c r="H354" s="2333" t="str">
        <f>IMAGE("https://raw.githubusercontent.com/msikma/pokesprite/master/misc/types/gen8/fighting.png",4,20,20)</f>
        <v/>
      </c>
      <c r="I354" s="2297"/>
      <c r="J354" s="2330" t="s">
        <v>541</v>
      </c>
      <c r="K354" s="2331"/>
      <c r="L354" s="2332"/>
      <c r="M354" s="2333" t="str">
        <f t="shared" si="25"/>
        <v/>
      </c>
      <c r="N354" s="2297"/>
      <c r="O354" s="2330" t="s">
        <v>254</v>
      </c>
      <c r="P354" s="2331"/>
      <c r="Q354" s="2332"/>
      <c r="R354" s="2333" t="str">
        <f>IMAGE("https://raw.githubusercontent.com/msikma/pokesprite/master/misc/types/gen8/ice.png",4,20,20)</f>
        <v/>
      </c>
      <c r="S354" s="2297"/>
      <c r="T354" s="2330" t="s">
        <v>346</v>
      </c>
      <c r="U354" s="2331"/>
      <c r="V354" s="2332"/>
      <c r="W354" s="2333" t="str">
        <f>IMAGE("https://raw.githubusercontent.com/msikma/pokesprite/master/misc/types/gen8/water.png",4,20,20)</f>
        <v/>
      </c>
      <c r="X354" s="2297"/>
      <c r="Y354" s="2330" t="s">
        <v>403</v>
      </c>
      <c r="Z354" s="2331"/>
      <c r="AA354" s="2332"/>
      <c r="AB354" s="2333" t="str">
        <f>IMAGE("https://raw.githubusercontent.com/msikma/pokesprite/master/misc/types/gen8/fire.png",4,20,20)</f>
        <v/>
      </c>
      <c r="AC354" s="2297"/>
      <c r="AD354" s="2330" t="s">
        <v>409</v>
      </c>
      <c r="AE354" s="2331"/>
      <c r="AF354" s="2332"/>
      <c r="AG354" s="2333" t="str">
        <f>IMAGE("https://raw.githubusercontent.com/msikma/pokesprite/master/misc/types/gen8/dragon.png",4,20,20)</f>
        <v/>
      </c>
      <c r="AH354" s="2658"/>
      <c r="AI354" s="2266"/>
    </row>
    <row r="355" ht="3.0" customHeight="1">
      <c r="A355" s="2336"/>
      <c r="B355" s="2337"/>
      <c r="C355" s="2338"/>
      <c r="D355" s="2339"/>
      <c r="E355" s="2340"/>
      <c r="F355" s="2340"/>
      <c r="G355" s="2340"/>
      <c r="H355" s="2340"/>
      <c r="I355" s="2339"/>
      <c r="J355" s="2340"/>
      <c r="K355" s="2340"/>
      <c r="L355" s="2340"/>
      <c r="M355" s="2340"/>
      <c r="N355" s="2339"/>
      <c r="O355" s="2340"/>
      <c r="P355" s="2340"/>
      <c r="Q355" s="2340"/>
      <c r="R355" s="2340"/>
      <c r="S355" s="2339"/>
      <c r="T355" s="2340"/>
      <c r="U355" s="2340"/>
      <c r="V355" s="2340"/>
      <c r="W355" s="2340"/>
      <c r="X355" s="2339"/>
      <c r="Y355" s="2340"/>
      <c r="Z355" s="2340"/>
      <c r="AA355" s="2340"/>
      <c r="AB355" s="2340"/>
      <c r="AC355" s="2339"/>
      <c r="AD355" s="2340"/>
      <c r="AE355" s="2340"/>
      <c r="AF355" s="2340"/>
      <c r="AG355" s="2340"/>
      <c r="AH355" s="2343"/>
      <c r="AI355" s="2344"/>
    </row>
    <row r="356" ht="16.5" customHeight="1">
      <c r="A356" s="2267"/>
      <c r="B356" s="2345"/>
      <c r="C356" s="2338"/>
      <c r="D356" s="2346"/>
      <c r="E356" s="2362" t="s">
        <v>190</v>
      </c>
      <c r="F356" s="381"/>
      <c r="G356" s="382"/>
      <c r="H356" s="2363" t="s">
        <v>191</v>
      </c>
      <c r="I356" s="2659"/>
      <c r="J356" s="2362" t="s">
        <v>190</v>
      </c>
      <c r="K356" s="381"/>
      <c r="L356" s="382"/>
      <c r="M356" s="2363" t="s">
        <v>191</v>
      </c>
      <c r="N356" s="2659"/>
      <c r="O356" s="2362" t="s">
        <v>190</v>
      </c>
      <c r="P356" s="381"/>
      <c r="Q356" s="382"/>
      <c r="R356" s="2363" t="s">
        <v>191</v>
      </c>
      <c r="S356" s="2659"/>
      <c r="T356" s="2362" t="s">
        <v>190</v>
      </c>
      <c r="U356" s="381"/>
      <c r="V356" s="382"/>
      <c r="W356" s="2363" t="s">
        <v>191</v>
      </c>
      <c r="X356" s="2659"/>
      <c r="Y356" s="2362" t="s">
        <v>190</v>
      </c>
      <c r="Z356" s="381"/>
      <c r="AA356" s="382"/>
      <c r="AB356" s="2363" t="s">
        <v>191</v>
      </c>
      <c r="AC356" s="2659"/>
      <c r="AD356" s="2362" t="s">
        <v>190</v>
      </c>
      <c r="AE356" s="381"/>
      <c r="AF356" s="382"/>
      <c r="AG356" s="2363" t="s">
        <v>191</v>
      </c>
      <c r="AH356" s="2660"/>
      <c r="AI356" s="2352"/>
    </row>
    <row r="357" ht="15.75" customHeight="1">
      <c r="A357" s="2267"/>
      <c r="B357" s="2345"/>
      <c r="C357" s="2338"/>
      <c r="D357" s="2346"/>
      <c r="E357" s="2365" t="s">
        <v>192</v>
      </c>
      <c r="F357" s="2366">
        <f t="array" ref="F357">IFERROR(VLOOKUP(E344,Dex!$B$3:$N415,8,FALSE),"")</f>
        <v>85</v>
      </c>
      <c r="G357" s="2367" t="str">
        <f t="array" ref="G357">IFERROR(VLOOKUP(F357,Dex!$P$22:$Q$276,2,FALSE),"")</f>
        <v/>
      </c>
      <c r="H357" s="2368"/>
      <c r="I357" s="2659"/>
      <c r="J357" s="2365" t="s">
        <v>192</v>
      </c>
      <c r="K357" s="2366">
        <f t="array" ref="K357">IFERROR(VLOOKUP(J344,Dex!$B$3:$N415,8,FALSE),"")</f>
        <v>100</v>
      </c>
      <c r="L357" s="2367" t="str">
        <f t="array" ref="L357">IFERROR(VLOOKUP(K357,Dex!$P$22:$Q$276,2,FALSE),"")</f>
        <v/>
      </c>
      <c r="M357" s="2368">
        <v>252.0</v>
      </c>
      <c r="N357" s="2659"/>
      <c r="O357" s="2365" t="s">
        <v>192</v>
      </c>
      <c r="P357" s="2366">
        <f t="array" ref="P357">IFERROR(VLOOKUP(O344,Dex!$B$3:$N415,8,FALSE),"")</f>
        <v>85</v>
      </c>
      <c r="Q357" s="2367" t="str">
        <f t="array" ref="Q357">IFERROR(VLOOKUP(P357,Dex!$P$22:$Q$276,2,FALSE),"")</f>
        <v/>
      </c>
      <c r="R357" s="2368"/>
      <c r="S357" s="2659"/>
      <c r="T357" s="2365" t="s">
        <v>192</v>
      </c>
      <c r="U357" s="2366">
        <f t="array" ref="U357">IFERROR(VLOOKUP(T344,Dex!$B$3:$N415,8,FALSE),"")</f>
        <v>100</v>
      </c>
      <c r="V357" s="2367" t="str">
        <f t="array" ref="V357">IFERROR(VLOOKUP(U357,Dex!$P$22:$Q$276,2,FALSE),"")</f>
        <v/>
      </c>
      <c r="W357" s="2368">
        <v>252.0</v>
      </c>
      <c r="X357" s="2659"/>
      <c r="Y357" s="2365" t="s">
        <v>192</v>
      </c>
      <c r="Z357" s="2366">
        <f t="array" ref="Z357">IFERROR(VLOOKUP(Y344,Dex!$B$3:$N415,8,FALSE),"")</f>
        <v>80</v>
      </c>
      <c r="AA357" s="2367" t="str">
        <f t="array" ref="AA357">IFERROR(VLOOKUP(Z357,Dex!$P$22:$Q$276,2,FALSE),"")</f>
        <v/>
      </c>
      <c r="AB357" s="2368"/>
      <c r="AC357" s="2659"/>
      <c r="AD357" s="2365" t="s">
        <v>192</v>
      </c>
      <c r="AE357" s="2366">
        <f t="array" ref="AE357">IFERROR(VLOOKUP(AD344,Dex!$B$3:$N415,8,FALSE),"")</f>
        <v>78</v>
      </c>
      <c r="AF357" s="2367" t="str">
        <f t="array" ref="AF357">IFERROR(VLOOKUP(AE357,Dex!$P$22:$Q$276,2,FALSE),"")</f>
        <v/>
      </c>
      <c r="AG357" s="2368"/>
      <c r="AH357" s="2661"/>
      <c r="AI357" s="2352"/>
    </row>
    <row r="358" ht="15.75" customHeight="1">
      <c r="A358" s="2267"/>
      <c r="B358" s="2345"/>
      <c r="C358" s="2338"/>
      <c r="D358" s="2346"/>
      <c r="E358" s="2369" t="s">
        <v>193</v>
      </c>
      <c r="F358" s="2370">
        <f t="array" ref="F358">IFERROR(VLOOKUP(E344,Dex!$B$3:$N415,9,FALSE),"")</f>
        <v>120</v>
      </c>
      <c r="G358" s="2371" t="str">
        <f t="array" ref="G358">IFERROR(VLOOKUP(F358,Dex!$P$22:$Q$276,2,FALSE),"")</f>
        <v/>
      </c>
      <c r="H358" s="2372">
        <v>252.0</v>
      </c>
      <c r="I358" s="2659"/>
      <c r="J358" s="2369" t="s">
        <v>193</v>
      </c>
      <c r="K358" s="2370">
        <f t="array" ref="K358">IFERROR(VLOOKUP(J344,Dex!$B$3:$N415,9,FALSE),"")</f>
        <v>135</v>
      </c>
      <c r="L358" s="2371" t="str">
        <f t="array" ref="L358">IFERROR(VLOOKUP(K358,Dex!$P$22:$Q$276,2,FALSE),"")</f>
        <v/>
      </c>
      <c r="M358" s="2372">
        <v>252.0</v>
      </c>
      <c r="N358" s="2659"/>
      <c r="O358" s="2369" t="s">
        <v>193</v>
      </c>
      <c r="P358" s="2370">
        <f t="array" ref="P358">IFERROR(VLOOKUP(O344,Dex!$B$3:$N415,9,FALSE),"")</f>
        <v>81</v>
      </c>
      <c r="Q358" s="2371" t="str">
        <f t="array" ref="Q358">IFERROR(VLOOKUP(P358,Dex!$P$22:$Q$276,2,FALSE),"")</f>
        <v/>
      </c>
      <c r="R358" s="2372"/>
      <c r="S358" s="2659"/>
      <c r="T358" s="2369" t="s">
        <v>193</v>
      </c>
      <c r="U358" s="2370">
        <f t="array" ref="U358">IFERROR(VLOOKUP(T344,Dex!$B$3:$N415,9,FALSE),"")</f>
        <v>50</v>
      </c>
      <c r="V358" s="2371" t="str">
        <f t="array" ref="V358">IFERROR(VLOOKUP(U358,Dex!$P$22:$Q$276,2,FALSE),"")</f>
        <v/>
      </c>
      <c r="W358" s="2372">
        <v>252.0</v>
      </c>
      <c r="X358" s="2659"/>
      <c r="Y358" s="2369" t="s">
        <v>193</v>
      </c>
      <c r="Z358" s="2370">
        <f t="array" ref="Z358">IFERROR(VLOOKUP(Y344,Dex!$B$3:$N415,9,FALSE),"")</f>
        <v>130</v>
      </c>
      <c r="AA358" s="2371" t="str">
        <f t="array" ref="AA358">IFERROR(VLOOKUP(Z358,Dex!$P$22:$Q$276,2,FALSE),"")</f>
        <v/>
      </c>
      <c r="AB358" s="2372">
        <v>252.0</v>
      </c>
      <c r="AC358" s="2659"/>
      <c r="AD358" s="2369" t="s">
        <v>193</v>
      </c>
      <c r="AE358" s="2370">
        <f t="array" ref="AE358">IFERROR(VLOOKUP(AD344,Dex!$B$3:$N415,9,FALSE),"")</f>
        <v>130</v>
      </c>
      <c r="AF358" s="2371" t="str">
        <f t="array" ref="AF358">IFERROR(VLOOKUP(AE358,Dex!$P$22:$Q$276,2,FALSE),"")</f>
        <v/>
      </c>
      <c r="AG358" s="2372">
        <v>252.0</v>
      </c>
      <c r="AH358" s="2661"/>
      <c r="AI358" s="2352"/>
    </row>
    <row r="359" ht="15.75" customHeight="1">
      <c r="A359" s="2267"/>
      <c r="B359" s="2345"/>
      <c r="C359" s="2338"/>
      <c r="D359" s="2346"/>
      <c r="E359" s="2369" t="s">
        <v>194</v>
      </c>
      <c r="F359" s="2370">
        <f t="array" ref="F359">IFERROR(VLOOKUP(E344,Dex!$B$3:$N415,10,FALSE),"")</f>
        <v>70</v>
      </c>
      <c r="G359" s="2371" t="str">
        <f t="array" ref="G359">IFERROR(VLOOKUP(F359,Dex!$P$22:$Q$276,2,FALSE),"")</f>
        <v/>
      </c>
      <c r="H359" s="2372">
        <v>4.0</v>
      </c>
      <c r="I359" s="2659"/>
      <c r="J359" s="2369" t="s">
        <v>194</v>
      </c>
      <c r="K359" s="2370">
        <f t="array" ref="K359">IFERROR(VLOOKUP(J344,Dex!$B$3:$N415,10,FALSE),"")</f>
        <v>120</v>
      </c>
      <c r="L359" s="2371" t="str">
        <f t="array" ref="L359">IFERROR(VLOOKUP(K359,Dex!$P$22:$Q$276,2,FALSE),"")</f>
        <v/>
      </c>
      <c r="M359" s="2372"/>
      <c r="N359" s="2659"/>
      <c r="O359" s="2369" t="s">
        <v>194</v>
      </c>
      <c r="P359" s="2370">
        <f t="array" ref="P359">IFERROR(VLOOKUP(O344,Dex!$B$3:$N415,10,FALSE),"")</f>
        <v>97</v>
      </c>
      <c r="Q359" s="2371" t="str">
        <f t="array" ref="Q359">IFERROR(VLOOKUP(P359,Dex!$P$22:$Q$276,2,FALSE),"")</f>
        <v/>
      </c>
      <c r="R359" s="2372"/>
      <c r="S359" s="2659"/>
      <c r="T359" s="2369" t="s">
        <v>194</v>
      </c>
      <c r="U359" s="2370">
        <f t="array" ref="U359">IFERROR(VLOOKUP(T344,Dex!$B$3:$N415,10,FALSE),"")</f>
        <v>80</v>
      </c>
      <c r="V359" s="2371" t="str">
        <f t="array" ref="V359">IFERROR(VLOOKUP(U359,Dex!$P$22:$Q$276,2,FALSE),"")</f>
        <v/>
      </c>
      <c r="W359" s="2372">
        <v>4.0</v>
      </c>
      <c r="X359" s="2659"/>
      <c r="Y359" s="2369" t="s">
        <v>194</v>
      </c>
      <c r="Z359" s="2370">
        <f t="array" ref="Z359">IFERROR(VLOOKUP(Y344,Dex!$B$3:$N415,10,FALSE),"")</f>
        <v>60</v>
      </c>
      <c r="AA359" s="2371" t="str">
        <f t="array" ref="AA359">IFERROR(VLOOKUP(Z359,Dex!$P$22:$Q$276,2,FALSE),"")</f>
        <v/>
      </c>
      <c r="AB359" s="2372">
        <v>4.0</v>
      </c>
      <c r="AC359" s="2659"/>
      <c r="AD359" s="2369" t="s">
        <v>194</v>
      </c>
      <c r="AE359" s="2370">
        <f t="array" ref="AE359">IFERROR(VLOOKUP(AD344,Dex!$B$3:$N415,10,FALSE),"")</f>
        <v>111</v>
      </c>
      <c r="AF359" s="2371" t="str">
        <f t="array" ref="AF359">IFERROR(VLOOKUP(AE359,Dex!$P$22:$Q$276,2,FALSE),"")</f>
        <v/>
      </c>
      <c r="AG359" s="2372"/>
      <c r="AH359" s="2661"/>
      <c r="AI359" s="2352"/>
    </row>
    <row r="360" ht="15.75" customHeight="1">
      <c r="A360" s="2267"/>
      <c r="B360" s="2345"/>
      <c r="C360" s="2338"/>
      <c r="D360" s="2346"/>
      <c r="E360" s="2369" t="s">
        <v>195</v>
      </c>
      <c r="F360" s="2370">
        <f t="array" ref="F360">IFERROR(VLOOKUP(E344,Dex!$B$3:$N415,11,FALSE),"")</f>
        <v>50</v>
      </c>
      <c r="G360" s="2371" t="str">
        <f t="array" ref="G360">IFERROR(VLOOKUP(F360,Dex!$P$22:$Q$276,2,FALSE),"")</f>
        <v/>
      </c>
      <c r="H360" s="2372"/>
      <c r="I360" s="2659"/>
      <c r="J360" s="2369" t="s">
        <v>195</v>
      </c>
      <c r="K360" s="2370">
        <f t="array" ref="K360">IFERROR(VLOOKUP(J344,Dex!$B$3:$N415,11,FALSE),"")</f>
        <v>60</v>
      </c>
      <c r="L360" s="2371" t="str">
        <f t="array" ref="L360">IFERROR(VLOOKUP(K360,Dex!$P$22:$Q$276,2,FALSE),"")</f>
        <v/>
      </c>
      <c r="M360" s="2372"/>
      <c r="N360" s="2659"/>
      <c r="O360" s="2369" t="s">
        <v>195</v>
      </c>
      <c r="P360" s="2370">
        <f t="array" ref="P360">IFERROR(VLOOKUP(O344,Dex!$B$3:$N415,11,FALSE),"")</f>
        <v>121</v>
      </c>
      <c r="Q360" s="2371" t="str">
        <f t="array" ref="Q360">IFERROR(VLOOKUP(P360,Dex!$P$22:$Q$276,2,FALSE),"")</f>
        <v/>
      </c>
      <c r="R360" s="2372">
        <v>252.0</v>
      </c>
      <c r="S360" s="2659"/>
      <c r="T360" s="2369" t="s">
        <v>195</v>
      </c>
      <c r="U360" s="2370">
        <f t="array" ref="U360">IFERROR(VLOOKUP(T344,Dex!$B$3:$N415,11,FALSE),"")</f>
        <v>60</v>
      </c>
      <c r="V360" s="2371" t="str">
        <f t="array" ref="V360">IFERROR(VLOOKUP(U360,Dex!$P$22:$Q$276,2,FALSE),"")</f>
        <v/>
      </c>
      <c r="W360" s="2372"/>
      <c r="X360" s="2659"/>
      <c r="Y360" s="2369" t="s">
        <v>195</v>
      </c>
      <c r="Z360" s="2370">
        <f t="array" ref="Z360">IFERROR(VLOOKUP(Y344,Dex!$B$3:$N415,11,FALSE),"")</f>
        <v>40</v>
      </c>
      <c r="AA360" s="2371" t="str">
        <f t="array" ref="AA360">IFERROR(VLOOKUP(Z360,Dex!$P$22:$Q$276,2,FALSE),"")</f>
        <v/>
      </c>
      <c r="AB360" s="2372"/>
      <c r="AC360" s="2659"/>
      <c r="AD360" s="2369" t="s">
        <v>195</v>
      </c>
      <c r="AE360" s="2370">
        <f t="array" ref="AE360">IFERROR(VLOOKUP(AD344,Dex!$B$3:$N415,11,FALSE),"")</f>
        <v>130</v>
      </c>
      <c r="AF360" s="2371" t="str">
        <f t="array" ref="AF360">IFERROR(VLOOKUP(AE360,Dex!$P$22:$Q$276,2,FALSE),"")</f>
        <v/>
      </c>
      <c r="AG360" s="2372"/>
      <c r="AH360" s="2661"/>
      <c r="AI360" s="2352"/>
    </row>
    <row r="361" ht="15.75" customHeight="1">
      <c r="A361" s="2267"/>
      <c r="B361" s="2345"/>
      <c r="C361" s="2500"/>
      <c r="D361" s="2346"/>
      <c r="E361" s="2369" t="s">
        <v>196</v>
      </c>
      <c r="F361" s="2370">
        <f t="array" ref="F361">IFERROR(VLOOKUP(E344,Dex!$B$3:$N415,12,FALSE),"")</f>
        <v>60</v>
      </c>
      <c r="G361" s="2371" t="str">
        <f t="array" ref="G361">IFERROR(VLOOKUP(F361,Dex!$P$22:$Q$276,2,FALSE),"")</f>
        <v/>
      </c>
      <c r="H361" s="2372"/>
      <c r="I361" s="2659"/>
      <c r="J361" s="2369" t="s">
        <v>196</v>
      </c>
      <c r="K361" s="2370">
        <f t="array" ref="K361">IFERROR(VLOOKUP(J344,Dex!$B$3:$N415,12,FALSE),"")</f>
        <v>85</v>
      </c>
      <c r="L361" s="2371" t="str">
        <f t="array" ref="L361">IFERROR(VLOOKUP(K361,Dex!$P$22:$Q$276,2,FALSE),"")</f>
        <v/>
      </c>
      <c r="M361" s="2372">
        <v>4.0</v>
      </c>
      <c r="N361" s="2659"/>
      <c r="O361" s="2369" t="s">
        <v>196</v>
      </c>
      <c r="P361" s="2370">
        <f t="array" ref="P361">IFERROR(VLOOKUP(O344,Dex!$B$3:$N415,12,FALSE),"")</f>
        <v>85</v>
      </c>
      <c r="Q361" s="2371" t="str">
        <f t="array" ref="Q361">IFERROR(VLOOKUP(P361,Dex!$P$22:$Q$276,2,FALSE),"")</f>
        <v/>
      </c>
      <c r="R361" s="2372">
        <v>4.0</v>
      </c>
      <c r="S361" s="2659"/>
      <c r="T361" s="2369" t="s">
        <v>196</v>
      </c>
      <c r="U361" s="2370">
        <f t="array" ref="U361">IFERROR(VLOOKUP(T344,Dex!$B$3:$N415,12,FALSE),"")</f>
        <v>80</v>
      </c>
      <c r="V361" s="2371" t="str">
        <f t="array" ref="V361">IFERROR(VLOOKUP(U361,Dex!$P$22:$Q$276,2,FALSE),"")</f>
        <v/>
      </c>
      <c r="W361" s="2372"/>
      <c r="X361" s="2659"/>
      <c r="Y361" s="2369" t="s">
        <v>196</v>
      </c>
      <c r="Z361" s="2370">
        <f t="array" ref="Z361">IFERROR(VLOOKUP(Y344,Dex!$B$3:$N415,12,FALSE),"")</f>
        <v>80</v>
      </c>
      <c r="AA361" s="2371" t="str">
        <f t="array" ref="AA361">IFERROR(VLOOKUP(Z361,Dex!$P$22:$Q$276,2,FALSE),"")</f>
        <v/>
      </c>
      <c r="AB361" s="2372"/>
      <c r="AC361" s="2659"/>
      <c r="AD361" s="2369" t="s">
        <v>196</v>
      </c>
      <c r="AE361" s="2370">
        <f t="array" ref="AE361">IFERROR(VLOOKUP(AD344,Dex!$B$3:$N415,12,FALSE),"")</f>
        <v>85</v>
      </c>
      <c r="AF361" s="2371" t="str">
        <f t="array" ref="AF361">IFERROR(VLOOKUP(AE361,Dex!$P$22:$Q$276,2,FALSE),"")</f>
        <v/>
      </c>
      <c r="AG361" s="2372">
        <v>4.0</v>
      </c>
      <c r="AH361" s="2661"/>
      <c r="AI361" s="2352"/>
    </row>
    <row r="362" ht="15.75" customHeight="1">
      <c r="A362" s="2267"/>
      <c r="B362" s="2501"/>
      <c r="C362" s="1204" t="s">
        <v>436</v>
      </c>
      <c r="D362" s="2502"/>
      <c r="E362" s="2373" t="s">
        <v>197</v>
      </c>
      <c r="F362" s="2374">
        <f t="array" ref="F362">IFERROR(VLOOKUP(E344,Dex!$B$3:$N415,13,FALSE),"")</f>
        <v>100</v>
      </c>
      <c r="G362" s="2375" t="str">
        <f t="array" ref="G362">IFERROR(VLOOKUP(F362,Dex!$P$22:$Q$276,2,FALSE),"")</f>
        <v/>
      </c>
      <c r="H362" s="2376">
        <v>252.0</v>
      </c>
      <c r="I362" s="2662"/>
      <c r="J362" s="2373" t="s">
        <v>197</v>
      </c>
      <c r="K362" s="2374">
        <f t="array" ref="K362">IFERROR(VLOOKUP(J344,Dex!$B$3:$N415,13,FALSE),"")</f>
        <v>50</v>
      </c>
      <c r="L362" s="2375" t="str">
        <f t="array" ref="L362">IFERROR(VLOOKUP(K362,Dex!$P$22:$Q$276,2,FALSE),"")</f>
        <v/>
      </c>
      <c r="M362" s="2376"/>
      <c r="N362" s="2662"/>
      <c r="O362" s="2373" t="s">
        <v>197</v>
      </c>
      <c r="P362" s="2374">
        <f t="array" ref="P362">IFERROR(VLOOKUP(O344,Dex!$B$3:$N415,13,FALSE),"")</f>
        <v>101</v>
      </c>
      <c r="Q362" s="2375" t="str">
        <f t="array" ref="Q362">IFERROR(VLOOKUP(P362,Dex!$P$22:$Q$276,2,FALSE),"")</f>
        <v/>
      </c>
      <c r="R362" s="2376">
        <v>252.0</v>
      </c>
      <c r="S362" s="2662"/>
      <c r="T362" s="2373" t="s">
        <v>197</v>
      </c>
      <c r="U362" s="2374">
        <f t="array" ref="U362">IFERROR(VLOOKUP(T344,Dex!$B$3:$N415,13,FALSE),"")</f>
        <v>50</v>
      </c>
      <c r="V362" s="2375" t="str">
        <f t="array" ref="V362">IFERROR(VLOOKUP(U362,Dex!$P$22:$Q$276,2,FALSE),"")</f>
        <v/>
      </c>
      <c r="W362" s="2376"/>
      <c r="X362" s="2662"/>
      <c r="Y362" s="2373" t="s">
        <v>197</v>
      </c>
      <c r="Z362" s="2374">
        <f t="array" ref="Z362">IFERROR(VLOOKUP(Y344,Dex!$B$3:$N415,13,FALSE),"")</f>
        <v>120</v>
      </c>
      <c r="AA362" s="2375" t="str">
        <f t="array" ref="AA362">IFERROR(VLOOKUP(Z362,Dex!$P$22:$Q$276,2,FALSE),"")</f>
        <v/>
      </c>
      <c r="AB362" s="2376">
        <v>252.0</v>
      </c>
      <c r="AC362" s="2662"/>
      <c r="AD362" s="2373" t="s">
        <v>197</v>
      </c>
      <c r="AE362" s="2374">
        <f t="array" ref="AE362">IFERROR(VLOOKUP(AD344,Dex!$B$3:$N415,13,FALSE),"")</f>
        <v>100</v>
      </c>
      <c r="AF362" s="2375" t="str">
        <f t="array" ref="AF362">IFERROR(VLOOKUP(AE362,Dex!$P$22:$Q$276,2,FALSE),"")</f>
        <v/>
      </c>
      <c r="AG362" s="2376">
        <v>252.0</v>
      </c>
      <c r="AH362" s="2661"/>
      <c r="AI362" s="2352"/>
    </row>
    <row r="363" ht="16.5" customHeight="1">
      <c r="A363" s="2267"/>
      <c r="B363" s="2501"/>
      <c r="C363" s="1205" t="s">
        <v>793</v>
      </c>
      <c r="D363" s="2502"/>
      <c r="E363" s="2377" t="s">
        <v>198</v>
      </c>
      <c r="F363" s="405"/>
      <c r="G363" s="406"/>
      <c r="H363" s="2378">
        <v>264.0</v>
      </c>
      <c r="I363" s="2662"/>
      <c r="J363" s="2377" t="s">
        <v>198</v>
      </c>
      <c r="K363" s="405"/>
      <c r="L363" s="406"/>
      <c r="M363" s="2378">
        <v>107.0</v>
      </c>
      <c r="N363" s="2662"/>
      <c r="O363" s="2377" t="s">
        <v>198</v>
      </c>
      <c r="P363" s="405"/>
      <c r="Q363" s="406"/>
      <c r="R363" s="2378">
        <v>265.0</v>
      </c>
      <c r="S363" s="2662"/>
      <c r="T363" s="2377" t="s">
        <v>198</v>
      </c>
      <c r="U363" s="405"/>
      <c r="V363" s="406"/>
      <c r="W363" s="2378">
        <v>108.0</v>
      </c>
      <c r="X363" s="2662"/>
      <c r="Y363" s="2669" t="s">
        <v>198</v>
      </c>
      <c r="Z363" s="918"/>
      <c r="AA363" s="919"/>
      <c r="AB363" s="2670">
        <v>299.0</v>
      </c>
      <c r="AC363" s="2662"/>
      <c r="AD363" s="2377" t="s">
        <v>198</v>
      </c>
      <c r="AE363" s="405"/>
      <c r="AF363" s="406"/>
      <c r="AG363" s="2378">
        <v>264.0</v>
      </c>
      <c r="AH363" s="2660"/>
      <c r="AI363" s="2352"/>
    </row>
    <row r="364" ht="16.5" customHeight="1">
      <c r="A364" s="2267"/>
      <c r="B364" s="2345"/>
      <c r="C364" s="2663"/>
      <c r="D364" s="2349"/>
      <c r="E364" s="2664"/>
      <c r="F364" s="2664"/>
      <c r="G364" s="2664"/>
      <c r="H364" s="2665"/>
      <c r="I364" s="2666"/>
      <c r="J364" s="2664"/>
      <c r="K364" s="2664"/>
      <c r="L364" s="2664"/>
      <c r="M364" s="2665"/>
      <c r="N364" s="2666"/>
      <c r="O364" s="2664"/>
      <c r="P364" s="2664"/>
      <c r="Q364" s="2664"/>
      <c r="R364" s="2665"/>
      <c r="S364" s="2666"/>
      <c r="T364" s="2664"/>
      <c r="U364" s="2664"/>
      <c r="V364" s="2664"/>
      <c r="W364" s="2665"/>
      <c r="X364" s="2666"/>
      <c r="Y364" s="2671" t="s">
        <v>497</v>
      </c>
      <c r="Z364" s="925"/>
      <c r="AA364" s="926"/>
      <c r="AB364" s="2672">
        <v>598.0</v>
      </c>
      <c r="AC364" s="2666"/>
      <c r="AD364" s="2664"/>
      <c r="AE364" s="2664"/>
      <c r="AF364" s="2664"/>
      <c r="AG364" s="2665"/>
      <c r="AH364" s="2351"/>
      <c r="AI364" s="2352"/>
    </row>
    <row r="365" ht="11.25" customHeight="1">
      <c r="A365" s="2260"/>
      <c r="B365" s="2268"/>
      <c r="C365" s="2269"/>
      <c r="D365" s="2316"/>
      <c r="E365" s="2667"/>
      <c r="F365" s="2667"/>
      <c r="G365" s="2667"/>
      <c r="H365" s="2667"/>
      <c r="I365" s="2287"/>
      <c r="J365" s="2667"/>
      <c r="K365" s="2667"/>
      <c r="L365" s="2667"/>
      <c r="M365" s="2667"/>
      <c r="N365" s="2287"/>
      <c r="O365" s="2287"/>
      <c r="P365" s="2287"/>
      <c r="Q365" s="2287"/>
      <c r="R365" s="2287"/>
      <c r="S365" s="2287"/>
      <c r="T365" s="2287"/>
      <c r="U365" s="2287"/>
      <c r="V365" s="2287"/>
      <c r="W365" s="2287"/>
      <c r="X365" s="2287"/>
      <c r="Y365" s="2534"/>
      <c r="Z365" s="2534"/>
      <c r="AA365" s="2534"/>
      <c r="AB365" s="2379"/>
      <c r="AC365" s="2287"/>
      <c r="AD365" s="2287"/>
      <c r="AE365" s="2287"/>
      <c r="AF365" s="2287"/>
      <c r="AG365" s="2287"/>
      <c r="AH365" s="2276"/>
      <c r="AI365" s="2266"/>
    </row>
    <row r="366">
      <c r="A366" s="2267"/>
      <c r="B366" s="2268"/>
      <c r="C366" s="2269"/>
      <c r="D366" s="2270"/>
      <c r="E366" s="2380" t="s">
        <v>693</v>
      </c>
      <c r="F366" s="1579"/>
      <c r="G366" s="1579"/>
      <c r="H366" s="1579"/>
      <c r="I366" s="1579"/>
      <c r="J366" s="1579"/>
      <c r="K366" s="1579"/>
      <c r="L366" s="1579"/>
      <c r="M366" s="1579"/>
      <c r="N366" s="1579"/>
      <c r="O366" s="1579"/>
      <c r="P366" s="1579"/>
      <c r="Q366" s="1579"/>
      <c r="R366" s="1579"/>
      <c r="S366" s="1579"/>
      <c r="T366" s="1579"/>
      <c r="U366" s="1579"/>
      <c r="V366" s="1579"/>
      <c r="W366" s="1579"/>
      <c r="X366" s="1579"/>
      <c r="Y366" s="1579"/>
      <c r="Z366" s="1579"/>
      <c r="AA366" s="1579"/>
      <c r="AB366" s="1579"/>
      <c r="AC366" s="1579"/>
      <c r="AD366" s="1579"/>
      <c r="AE366" s="1579"/>
      <c r="AF366" s="1579"/>
      <c r="AG366" s="1580"/>
      <c r="AH366" s="2654"/>
      <c r="AI366" s="2266"/>
    </row>
    <row r="367" ht="3.75" customHeight="1">
      <c r="A367" s="2267"/>
      <c r="B367" s="2268"/>
      <c r="C367" s="2277"/>
      <c r="D367" s="2278"/>
      <c r="E367" s="2490"/>
      <c r="F367" s="2490"/>
      <c r="G367" s="2490"/>
      <c r="H367" s="2490"/>
      <c r="I367" s="2278"/>
      <c r="J367" s="2490"/>
      <c r="K367" s="2490"/>
      <c r="L367" s="2490"/>
      <c r="M367" s="2490"/>
      <c r="N367" s="2278"/>
      <c r="O367" s="2490"/>
      <c r="P367" s="2490"/>
      <c r="Q367" s="2490"/>
      <c r="R367" s="2490"/>
      <c r="S367" s="2278"/>
      <c r="T367" s="2490"/>
      <c r="U367" s="2490"/>
      <c r="V367" s="2490"/>
      <c r="W367" s="2490"/>
      <c r="X367" s="2278"/>
      <c r="Y367" s="2490"/>
      <c r="Z367" s="2490"/>
      <c r="AA367" s="2490"/>
      <c r="AB367" s="2490"/>
      <c r="AC367" s="2278"/>
      <c r="AD367" s="2490"/>
      <c r="AE367" s="2490"/>
      <c r="AF367" s="2490"/>
      <c r="AG367" s="2490"/>
      <c r="AH367" s="2276"/>
      <c r="AI367" s="2266"/>
    </row>
    <row r="368" ht="96.75" customHeight="1">
      <c r="A368" s="2260"/>
      <c r="B368" s="2281"/>
      <c r="C368" s="2381" t="str">
        <f>IMAGE("https://i.ibb.co/fXwks6z/Rival.png")</f>
        <v/>
      </c>
      <c r="D368" s="2491"/>
      <c r="E368" s="2673" t="str">
        <f t="array" ref="E368">IFERROR(VLOOKUP(E369,Dex!$B$3:$G415,3,FALSE),"")</f>
        <v/>
      </c>
      <c r="F368" s="1830"/>
      <c r="G368" s="1830"/>
      <c r="H368" s="1831"/>
      <c r="I368" s="2491"/>
      <c r="J368" s="2673" t="str">
        <f t="array" ref="J368">IFERROR(VLOOKUP(J369,Dex!$B$3:$G415,3,FALSE),"")</f>
        <v/>
      </c>
      <c r="K368" s="1830"/>
      <c r="L368" s="1830"/>
      <c r="M368" s="1831"/>
      <c r="N368" s="2491"/>
      <c r="O368" s="2673" t="str">
        <f t="array" ref="O368">IFERROR(VLOOKUP(O369,Dex!$B$3:$G415,3,FALSE),"")</f>
        <v/>
      </c>
      <c r="P368" s="1830"/>
      <c r="Q368" s="1830"/>
      <c r="R368" s="1831"/>
      <c r="S368" s="2491"/>
      <c r="T368" s="2673" t="str">
        <f t="array" ref="T368">IFERROR(VLOOKUP(T369,Dex!$B$3:$G415,3,FALSE),"")</f>
        <v/>
      </c>
      <c r="U368" s="1830"/>
      <c r="V368" s="1830"/>
      <c r="W368" s="1831"/>
      <c r="X368" s="2491"/>
      <c r="Y368" s="2673" t="str">
        <f t="array" ref="Y368">IFERROR(VLOOKUP(Y369,Dex!$B$3:$G415,3,FALSE),"")</f>
        <v/>
      </c>
      <c r="Z368" s="1830"/>
      <c r="AA368" s="1830"/>
      <c r="AB368" s="1831"/>
      <c r="AC368" s="2491"/>
      <c r="AD368" s="2673" t="str">
        <f t="array" ref="AD368">IFERROR(VLOOKUP(AD369,Dex!$B$3:$G415,3,FALSE),"")</f>
        <v/>
      </c>
      <c r="AE368" s="1830"/>
      <c r="AF368" s="1830"/>
      <c r="AG368" s="1831"/>
      <c r="AH368" s="2654"/>
      <c r="AI368" s="2266"/>
    </row>
    <row r="369" ht="18.75" customHeight="1">
      <c r="A369" s="2288"/>
      <c r="B369" s="2358"/>
      <c r="C369" s="2290" t="s">
        <v>799</v>
      </c>
      <c r="D369" s="2359"/>
      <c r="E369" s="2292" t="s">
        <v>740</v>
      </c>
      <c r="F369" s="2293"/>
      <c r="G369" s="2293"/>
      <c r="H369" s="2294"/>
      <c r="I369" s="2359"/>
      <c r="J369" s="2292" t="s">
        <v>741</v>
      </c>
      <c r="K369" s="2293"/>
      <c r="L369" s="2293"/>
      <c r="M369" s="2294"/>
      <c r="N369" s="2359"/>
      <c r="O369" s="2292" t="s">
        <v>743</v>
      </c>
      <c r="P369" s="2293"/>
      <c r="Q369" s="2293"/>
      <c r="R369" s="2294"/>
      <c r="S369" s="2359"/>
      <c r="T369" s="2292" t="s">
        <v>800</v>
      </c>
      <c r="U369" s="2293"/>
      <c r="V369" s="2293"/>
      <c r="W369" s="2294"/>
      <c r="X369" s="2359"/>
      <c r="Y369" s="2292" t="s">
        <v>590</v>
      </c>
      <c r="Z369" s="2293"/>
      <c r="AA369" s="2293"/>
      <c r="AB369" s="2294"/>
      <c r="AC369" s="2359"/>
      <c r="AD369" s="2292" t="s">
        <v>260</v>
      </c>
      <c r="AE369" s="2293"/>
      <c r="AF369" s="2293"/>
      <c r="AG369" s="2294"/>
      <c r="AH369" s="2656"/>
      <c r="AI369" s="2299"/>
    </row>
    <row r="370">
      <c r="A370" s="2260"/>
      <c r="B370" s="2300"/>
      <c r="C370" s="326"/>
      <c r="D370" s="2360"/>
      <c r="E370" s="2496" t="s">
        <v>420</v>
      </c>
      <c r="F370" s="2303"/>
      <c r="G370" s="2303"/>
      <c r="H370" s="2304"/>
      <c r="I370" s="2359"/>
      <c r="J370" s="2496" t="s">
        <v>715</v>
      </c>
      <c r="K370" s="2303"/>
      <c r="L370" s="2303"/>
      <c r="M370" s="2304"/>
      <c r="N370" s="2359"/>
      <c r="O370" s="2496" t="s">
        <v>420</v>
      </c>
      <c r="P370" s="2303"/>
      <c r="Q370" s="2303"/>
      <c r="R370" s="2304"/>
      <c r="S370" s="2359"/>
      <c r="T370" s="2496" t="s">
        <v>714</v>
      </c>
      <c r="U370" s="2303"/>
      <c r="V370" s="2303"/>
      <c r="W370" s="2304"/>
      <c r="X370" s="2359"/>
      <c r="Y370" s="2496" t="s">
        <v>420</v>
      </c>
      <c r="Z370" s="2303"/>
      <c r="AA370" s="2303"/>
      <c r="AB370" s="2304"/>
      <c r="AC370" s="2359"/>
      <c r="AD370" s="2496" t="s">
        <v>420</v>
      </c>
      <c r="AE370" s="2303"/>
      <c r="AF370" s="2303"/>
      <c r="AG370" s="2304"/>
      <c r="AH370" s="2654"/>
      <c r="AI370" s="2266"/>
    </row>
    <row r="371" ht="25.5" customHeight="1">
      <c r="A371" s="2260"/>
      <c r="B371" s="2268"/>
      <c r="C371" s="2305"/>
      <c r="D371" s="2306"/>
      <c r="E371" s="2307"/>
      <c r="F371" s="2308" t="str">
        <f t="array" ref="F371">IFERROR(VLOOKUP(E369,Dex!$B$3:$H415,5,FALSE),"")</f>
        <v/>
      </c>
      <c r="G371" s="2309" t="str">
        <f t="array" ref="G371">IFERROR(VLOOKUP(E369,Dex!$B$3:$H415,7,FALSE),"")</f>
        <v/>
      </c>
      <c r="H371" s="2310"/>
      <c r="I371" s="2657"/>
      <c r="J371" s="2307"/>
      <c r="K371" s="2308" t="str">
        <f t="array" ref="K371">IFERROR(VLOOKUP(J369,Dex!$B$3:$H415,5,FALSE),"")</f>
        <v/>
      </c>
      <c r="L371" s="2309" t="str">
        <f t="array" ref="L371">IFERROR(VLOOKUP(J369,Dex!$B$3:$H415,7,FALSE),"")</f>
        <v/>
      </c>
      <c r="M371" s="2310"/>
      <c r="N371" s="2657"/>
      <c r="O371" s="2307"/>
      <c r="P371" s="2311" t="str">
        <f t="array" ref="P371">IFERROR(VLOOKUP(O369,Dex!$B$3:$H415,5,FALSE),"")</f>
        <v/>
      </c>
      <c r="Q371" s="2312"/>
      <c r="R371" s="2310"/>
      <c r="S371" s="2657"/>
      <c r="T371" s="2307"/>
      <c r="U371" s="2308" t="str">
        <f t="array" ref="U371">IFERROR(VLOOKUP(T369,Dex!$B$3:$H415,5,FALSE),"")</f>
        <v/>
      </c>
      <c r="V371" s="2309" t="str">
        <f t="array" ref="V371">IFERROR(VLOOKUP(T369,Dex!$B$3:$H415,7,FALSE),"")</f>
        <v/>
      </c>
      <c r="W371" s="2310"/>
      <c r="X371" s="2657"/>
      <c r="Y371" s="2307"/>
      <c r="Z371" s="2308" t="str">
        <f t="array" ref="Z371">IFERROR(VLOOKUP(Y369,Dex!$B$3:$H415,5,FALSE),"")</f>
        <v/>
      </c>
      <c r="AA371" s="2309" t="str">
        <f t="array" ref="AA371">IFERROR(VLOOKUP(Y369,Dex!$B$3:$H415,7,FALSE),"")</f>
        <v/>
      </c>
      <c r="AB371" s="2310"/>
      <c r="AC371" s="2657"/>
      <c r="AD371" s="2307"/>
      <c r="AE371" s="2308" t="str">
        <f t="array" ref="AE371">IFERROR(VLOOKUP(AD369,Dex!$B$3:$H415,5,FALSE),"")</f>
        <v/>
      </c>
      <c r="AF371" s="2309" t="str">
        <f t="array" ref="AF371">IFERROR(VLOOKUP(AD369,Dex!$B$3:$H415,7,FALSE),"")</f>
        <v/>
      </c>
      <c r="AG371" s="2310"/>
      <c r="AH371" s="2658"/>
      <c r="AI371" s="2266"/>
    </row>
    <row r="372" ht="2.25" customHeight="1">
      <c r="A372" s="2260"/>
      <c r="B372" s="2268"/>
      <c r="C372" s="104"/>
      <c r="D372" s="2306"/>
      <c r="E372" s="2313"/>
      <c r="F372" s="2314"/>
      <c r="G372" s="2314"/>
      <c r="H372" s="2315"/>
      <c r="I372" s="2657"/>
      <c r="J372" s="2313"/>
      <c r="K372" s="2314"/>
      <c r="L372" s="2314"/>
      <c r="M372" s="2315"/>
      <c r="N372" s="2657"/>
      <c r="O372" s="2313"/>
      <c r="P372" s="2314"/>
      <c r="Q372" s="2314"/>
      <c r="R372" s="2315"/>
      <c r="S372" s="2657"/>
      <c r="T372" s="2313"/>
      <c r="U372" s="2314"/>
      <c r="V372" s="2314"/>
      <c r="W372" s="2315"/>
      <c r="X372" s="2657"/>
      <c r="Y372" s="2313"/>
      <c r="Z372" s="2314"/>
      <c r="AA372" s="2314"/>
      <c r="AB372" s="2315"/>
      <c r="AC372" s="2657"/>
      <c r="AD372" s="2313"/>
      <c r="AE372" s="2314"/>
      <c r="AF372" s="2314"/>
      <c r="AG372" s="2315"/>
      <c r="AH372" s="2658"/>
      <c r="AI372" s="2266"/>
    </row>
    <row r="373" ht="20.25" customHeight="1">
      <c r="A373" s="2260"/>
      <c r="B373" s="2268"/>
      <c r="C373" s="281"/>
      <c r="D373" s="2270"/>
      <c r="E373" s="2317" t="s">
        <v>172</v>
      </c>
      <c r="F373" s="2318"/>
      <c r="G373" s="2318"/>
      <c r="H373" s="2319"/>
      <c r="I373" s="2297"/>
      <c r="J373" s="2317" t="s">
        <v>169</v>
      </c>
      <c r="K373" s="2318"/>
      <c r="L373" s="2318"/>
      <c r="M373" s="2319"/>
      <c r="N373" s="2297"/>
      <c r="O373" s="2317" t="s">
        <v>172</v>
      </c>
      <c r="P373" s="2318"/>
      <c r="Q373" s="2318"/>
      <c r="R373" s="2319"/>
      <c r="S373" s="2297"/>
      <c r="T373" s="2317" t="s">
        <v>205</v>
      </c>
      <c r="U373" s="2318"/>
      <c r="V373" s="2318"/>
      <c r="W373" s="2319"/>
      <c r="X373" s="2297"/>
      <c r="Y373" s="2317" t="s">
        <v>172</v>
      </c>
      <c r="Z373" s="2318"/>
      <c r="AA373" s="2318"/>
      <c r="AB373" s="2319"/>
      <c r="AC373" s="2297"/>
      <c r="AD373" s="2317" t="s">
        <v>205</v>
      </c>
      <c r="AE373" s="2318"/>
      <c r="AF373" s="2318"/>
      <c r="AG373" s="2319"/>
      <c r="AH373" s="2654"/>
      <c r="AI373" s="2266"/>
    </row>
    <row r="374">
      <c r="A374" s="2260"/>
      <c r="B374" s="2268"/>
      <c r="C374" s="2320"/>
      <c r="D374" s="2270"/>
      <c r="E374" s="2321" t="s">
        <v>716</v>
      </c>
      <c r="F374" s="2273"/>
      <c r="G374" s="2273"/>
      <c r="H374" s="2322"/>
      <c r="I374" s="2297"/>
      <c r="J374" s="2321" t="s">
        <v>745</v>
      </c>
      <c r="K374" s="2273"/>
      <c r="L374" s="2273"/>
      <c r="M374" s="2322"/>
      <c r="N374" s="2297"/>
      <c r="O374" s="2321" t="s">
        <v>329</v>
      </c>
      <c r="P374" s="2273"/>
      <c r="Q374" s="2273"/>
      <c r="R374" s="2322"/>
      <c r="S374" s="2297"/>
      <c r="T374" s="2321" t="s">
        <v>332</v>
      </c>
      <c r="U374" s="2273"/>
      <c r="V374" s="2273"/>
      <c r="W374" s="2322"/>
      <c r="X374" s="2297"/>
      <c r="Y374" s="2321" t="s">
        <v>483</v>
      </c>
      <c r="Z374" s="2273"/>
      <c r="AA374" s="2273"/>
      <c r="AB374" s="2322"/>
      <c r="AC374" s="2297"/>
      <c r="AD374" s="2321" t="s">
        <v>801</v>
      </c>
      <c r="AE374" s="2273"/>
      <c r="AF374" s="2273"/>
      <c r="AG374" s="2322"/>
      <c r="AH374" s="2654"/>
      <c r="AI374" s="2266"/>
    </row>
    <row r="375" ht="20.25" customHeight="1">
      <c r="A375" s="2260"/>
      <c r="B375" s="2268"/>
      <c r="C375" s="104"/>
      <c r="D375" s="2270"/>
      <c r="E375" s="2323" t="s">
        <v>747</v>
      </c>
      <c r="F375" s="2324"/>
      <c r="G375" s="2325"/>
      <c r="H375" s="2326" t="str">
        <f>IMAGE("https://raw.githubusercontent.com/msikma/pokesprite/master/items/hold-item/sharp-beak.png",3)</f>
        <v/>
      </c>
      <c r="I375" s="2297"/>
      <c r="J375" s="2323" t="s">
        <v>554</v>
      </c>
      <c r="K375" s="2324"/>
      <c r="L375" s="2325"/>
      <c r="M375" s="2326" t="str">
        <f>IMAGE("https://raw.githubusercontent.com/msikma/pokesprite/master/items/berry/chople.png",3)</f>
        <v/>
      </c>
      <c r="N375" s="2297"/>
      <c r="O375" s="2323" t="s">
        <v>272</v>
      </c>
      <c r="P375" s="2324"/>
      <c r="Q375" s="2325"/>
      <c r="R375" s="2326" t="str">
        <f>IMAGE("https://raw.githubusercontent.com/msikma/pokesprite/master/items/hold-item/life-orb.png",3)</f>
        <v/>
      </c>
      <c r="S375" s="2297"/>
      <c r="T375" s="2323" t="s">
        <v>306</v>
      </c>
      <c r="U375" s="2324"/>
      <c r="V375" s="2325"/>
      <c r="W375" s="2326" t="str">
        <f>IMAGE("https://i.ibb.co/SK50ng3/booster.png",4,22,22)</f>
        <v/>
      </c>
      <c r="X375" s="2297"/>
      <c r="Y375" s="2323" t="s">
        <v>240</v>
      </c>
      <c r="Z375" s="2324"/>
      <c r="AA375" s="2325"/>
      <c r="AB375" s="2326" t="str">
        <f>IMAGE("https://raw.githubusercontent.com/msikma/pokesprite/master/items/hold-item/focus-sash.png",3)</f>
        <v/>
      </c>
      <c r="AC375" s="2297"/>
      <c r="AD375" s="2323" t="s">
        <v>270</v>
      </c>
      <c r="AE375" s="2324"/>
      <c r="AF375" s="2325"/>
      <c r="AG375" s="2326" t="str">
        <f>IMAGE("https://raw.githubusercontent.com/msikma/pokesprite/master/items/mega-stone/venusaurite.png",3)</f>
        <v/>
      </c>
      <c r="AH375" s="2658"/>
      <c r="AI375" s="2266"/>
    </row>
    <row r="376" ht="20.25" customHeight="1">
      <c r="A376" s="2260"/>
      <c r="B376" s="2268"/>
      <c r="C376" s="281"/>
      <c r="D376" s="2270"/>
      <c r="E376" s="2317" t="s">
        <v>749</v>
      </c>
      <c r="F376" s="2318"/>
      <c r="G376" s="2327"/>
      <c r="H376" s="2328" t="str">
        <f>IMAGE("https://raw.githubusercontent.com/msikma/pokesprite/master/misc/types/gen8/flying.png",4,20,20)</f>
        <v/>
      </c>
      <c r="I376" s="2297"/>
      <c r="J376" s="2317" t="s">
        <v>407</v>
      </c>
      <c r="K376" s="2318"/>
      <c r="L376" s="2327"/>
      <c r="M376" s="2328" t="str">
        <f>IMAGE("https://raw.githubusercontent.com/msikma/pokesprite/master/misc/types/gen8/steel.png",4,20,20)</f>
        <v/>
      </c>
      <c r="N376" s="2297"/>
      <c r="O376" s="2317" t="s">
        <v>378</v>
      </c>
      <c r="P376" s="2318"/>
      <c r="Q376" s="2327"/>
      <c r="R376" s="2328" t="str">
        <f>IMAGE("https://raw.githubusercontent.com/msikma/pokesprite/master/misc/types/gen8/fire.png",4,20,20)</f>
        <v/>
      </c>
      <c r="S376" s="2297"/>
      <c r="T376" s="2317" t="s">
        <v>338</v>
      </c>
      <c r="U376" s="2318"/>
      <c r="V376" s="2327"/>
      <c r="W376" s="2328" t="str">
        <f>IMAGE("https://raw.githubusercontent.com/msikma/pokesprite/master/misc/types/gen8/water.png",4,20,20)</f>
        <v/>
      </c>
      <c r="X376" s="2297"/>
      <c r="Y376" s="2317" t="s">
        <v>316</v>
      </c>
      <c r="Z376" s="2318"/>
      <c r="AA376" s="2327"/>
      <c r="AB376" s="2328" t="str">
        <f>IMAGE("https://raw.githubusercontent.com/msikma/pokesprite/master/misc/types/gen8/fighting.png",4,20,20)</f>
        <v/>
      </c>
      <c r="AC376" s="2297"/>
      <c r="AD376" s="2317" t="s">
        <v>281</v>
      </c>
      <c r="AE376" s="2318"/>
      <c r="AF376" s="2327"/>
      <c r="AG376" s="2328" t="str">
        <f>IMAGE("https://raw.githubusercontent.com/msikma/pokesprite/master/misc/types/gen8/grass.png",4,20,20)</f>
        <v/>
      </c>
      <c r="AH376" s="2658"/>
      <c r="AI376" s="2266"/>
    </row>
    <row r="377" ht="20.25" customHeight="1">
      <c r="A377" s="2260"/>
      <c r="B377" s="2268"/>
      <c r="C377" s="2269"/>
      <c r="D377" s="2270"/>
      <c r="E377" s="2321" t="s">
        <v>635</v>
      </c>
      <c r="F377" s="2273"/>
      <c r="G377" s="2274"/>
      <c r="H377" s="2329" t="str">
        <f>IMAGE("https://raw.githubusercontent.com/msikma/pokesprite/master/misc/types/gen8/normal.png",4,20,20)</f>
        <v/>
      </c>
      <c r="I377" s="2297"/>
      <c r="J377" s="2321" t="s">
        <v>489</v>
      </c>
      <c r="K377" s="2273"/>
      <c r="L377" s="2274"/>
      <c r="M377" s="2329" t="str">
        <f>IMAGE("https://raw.githubusercontent.com/msikma/pokesprite/master/misc/types/gen8/normal.png",4,20,20)</f>
        <v/>
      </c>
      <c r="N377" s="2297"/>
      <c r="O377" s="2321" t="s">
        <v>610</v>
      </c>
      <c r="P377" s="2273"/>
      <c r="Q377" s="2274"/>
      <c r="R377" s="2329" t="str">
        <f>IMAGE("https://raw.githubusercontent.com/msikma/pokesprite/master/misc/types/gen8/rock.png",4,20,20)</f>
        <v/>
      </c>
      <c r="S377" s="2297"/>
      <c r="T377" s="2321" t="s">
        <v>636</v>
      </c>
      <c r="U377" s="2273"/>
      <c r="V377" s="2274"/>
      <c r="W377" s="2329" t="str">
        <f>IMAGE("https://raw.githubusercontent.com/msikma/pokesprite/master/misc/types/gen8/ice.png",4,20,20)</f>
        <v/>
      </c>
      <c r="X377" s="2297"/>
      <c r="Y377" s="2321" t="s">
        <v>278</v>
      </c>
      <c r="Z377" s="2273"/>
      <c r="AA377" s="2274"/>
      <c r="AB377" s="2329" t="str">
        <f>IMAGE("https://raw.githubusercontent.com/msikma/pokesprite/master/misc/types/gen8/bug.png",4,20,20)</f>
        <v/>
      </c>
      <c r="AC377" s="2297"/>
      <c r="AD377" s="2321" t="s">
        <v>280</v>
      </c>
      <c r="AE377" s="2273"/>
      <c r="AF377" s="2274"/>
      <c r="AG377" s="2329" t="str">
        <f>IMAGE("https://raw.githubusercontent.com/msikma/pokesprite/master/misc/types/gen8/poison.png",4,20,20)</f>
        <v/>
      </c>
      <c r="AH377" s="2658"/>
      <c r="AI377" s="2266"/>
    </row>
    <row r="378" ht="20.25" customHeight="1">
      <c r="A378" s="2260"/>
      <c r="B378" s="2268"/>
      <c r="C378" s="2269"/>
      <c r="D378" s="2270"/>
      <c r="E378" s="2321" t="s">
        <v>278</v>
      </c>
      <c r="F378" s="2273"/>
      <c r="G378" s="2274"/>
      <c r="H378" s="2329" t="str">
        <f>IMAGE("https://raw.githubusercontent.com/msikma/pokesprite/master/misc/types/gen8/bug.png",4,20,20)</f>
        <v/>
      </c>
      <c r="I378" s="2297"/>
      <c r="J378" s="2321" t="s">
        <v>279</v>
      </c>
      <c r="K378" s="2273"/>
      <c r="L378" s="2274"/>
      <c r="M378" s="2329" t="str">
        <f t="shared" ref="M378:M379" si="26">IMAGE("https://raw.githubusercontent.com/msikma/pokesprite/master/misc/types/gen8/dark.png",4,20,20)</f>
        <v/>
      </c>
      <c r="N378" s="2297"/>
      <c r="O378" s="2321" t="s">
        <v>278</v>
      </c>
      <c r="P378" s="2273"/>
      <c r="Q378" s="2274"/>
      <c r="R378" s="2329" t="str">
        <f>IMAGE("https://raw.githubusercontent.com/msikma/pokesprite/master/misc/types/gen8/bug.png",4,20,20)</f>
        <v/>
      </c>
      <c r="S378" s="2297"/>
      <c r="T378" s="2321" t="s">
        <v>219</v>
      </c>
      <c r="U378" s="2273"/>
      <c r="V378" s="2274"/>
      <c r="W378" s="2329" t="str">
        <f>IMAGE("https://raw.githubusercontent.com/msikma/pokesprite/master/misc/types/gen8/water.png",4,20,20)</f>
        <v/>
      </c>
      <c r="X378" s="2297"/>
      <c r="Y378" s="2321" t="s">
        <v>792</v>
      </c>
      <c r="Z378" s="2273"/>
      <c r="AA378" s="2274"/>
      <c r="AB378" s="2329" t="str">
        <f>IMAGE("https://raw.githubusercontent.com/msikma/pokesprite/master/misc/types/gen8/poison.png",4,20,20)</f>
        <v/>
      </c>
      <c r="AC378" s="2297"/>
      <c r="AD378" s="2321" t="s">
        <v>283</v>
      </c>
      <c r="AE378" s="2273"/>
      <c r="AF378" s="2274"/>
      <c r="AG378" s="2329" t="str">
        <f>IMAGE("https://raw.githubusercontent.com/msikma/pokesprite/master/misc/types/gen8/grass.png",4,20,20)</f>
        <v/>
      </c>
      <c r="AH378" s="2658"/>
      <c r="AI378" s="2266"/>
    </row>
    <row r="379" ht="21.0" customHeight="1">
      <c r="A379" s="2260"/>
      <c r="B379" s="2268"/>
      <c r="C379" s="2269"/>
      <c r="D379" s="2270"/>
      <c r="E379" s="2330" t="s">
        <v>316</v>
      </c>
      <c r="F379" s="2331"/>
      <c r="G379" s="2332"/>
      <c r="H379" s="2333" t="str">
        <f>IMAGE("https://raw.githubusercontent.com/msikma/pokesprite/master/misc/types/gen8/fighting.png",4,20,20)</f>
        <v/>
      </c>
      <c r="I379" s="2297"/>
      <c r="J379" s="2330" t="s">
        <v>541</v>
      </c>
      <c r="K379" s="2331"/>
      <c r="L379" s="2332"/>
      <c r="M379" s="2333" t="str">
        <f t="shared" si="26"/>
        <v/>
      </c>
      <c r="N379" s="2297"/>
      <c r="O379" s="2330" t="s">
        <v>402</v>
      </c>
      <c r="P379" s="2331"/>
      <c r="Q379" s="2332"/>
      <c r="R379" s="2333" t="str">
        <f>IMAGE("https://raw.githubusercontent.com/msikma/pokesprite/master/misc/types/gen8/ground.png",4,20,20)</f>
        <v/>
      </c>
      <c r="S379" s="2297"/>
      <c r="T379" s="2330" t="s">
        <v>317</v>
      </c>
      <c r="U379" s="2331"/>
      <c r="V379" s="2332"/>
      <c r="W379" s="2333" t="str">
        <f>IMAGE("https://raw.githubusercontent.com/msikma/pokesprite/master/misc/types/gen8/ice.png",4,20,20)</f>
        <v/>
      </c>
      <c r="X379" s="2297"/>
      <c r="Y379" s="2330" t="s">
        <v>403</v>
      </c>
      <c r="Z379" s="2331"/>
      <c r="AA379" s="2332"/>
      <c r="AB379" s="2333" t="str">
        <f>IMAGE("https://raw.githubusercontent.com/msikma/pokesprite/master/misc/types/gen8/fire.png",4,20,20)</f>
        <v/>
      </c>
      <c r="AC379" s="2297"/>
      <c r="AD379" s="2330" t="s">
        <v>286</v>
      </c>
      <c r="AE379" s="2331"/>
      <c r="AF379" s="2332"/>
      <c r="AG379" s="2333" t="str">
        <f>IMAGE("https://raw.githubusercontent.com/msikma/pokesprite/master/misc/types/gen8/ground.png",4,20,20)</f>
        <v/>
      </c>
      <c r="AH379" s="2658"/>
      <c r="AI379" s="2266"/>
    </row>
    <row r="380" ht="3.0" customHeight="1">
      <c r="A380" s="2336"/>
      <c r="B380" s="2337"/>
      <c r="C380" s="2338"/>
      <c r="D380" s="2339"/>
      <c r="E380" s="2340"/>
      <c r="F380" s="2340"/>
      <c r="G380" s="2340"/>
      <c r="H380" s="2340"/>
      <c r="I380" s="2339"/>
      <c r="J380" s="2340"/>
      <c r="K380" s="2340"/>
      <c r="L380" s="2340"/>
      <c r="M380" s="2340"/>
      <c r="N380" s="2339"/>
      <c r="O380" s="2340"/>
      <c r="P380" s="2340"/>
      <c r="Q380" s="2340"/>
      <c r="R380" s="2340"/>
      <c r="S380" s="2339"/>
      <c r="T380" s="2340"/>
      <c r="U380" s="2340"/>
      <c r="V380" s="2340"/>
      <c r="W380" s="2340"/>
      <c r="X380" s="2339"/>
      <c r="Y380" s="2340"/>
      <c r="Z380" s="2340"/>
      <c r="AA380" s="2340"/>
      <c r="AB380" s="2340"/>
      <c r="AC380" s="2339"/>
      <c r="AD380" s="2340"/>
      <c r="AE380" s="2340"/>
      <c r="AF380" s="2340"/>
      <c r="AG380" s="2340"/>
      <c r="AH380" s="2343"/>
      <c r="AI380" s="2344"/>
    </row>
    <row r="381" ht="16.5" customHeight="1">
      <c r="A381" s="2267"/>
      <c r="B381" s="2345"/>
      <c r="C381" s="2338"/>
      <c r="D381" s="2346"/>
      <c r="E381" s="703" t="s">
        <v>190</v>
      </c>
      <c r="F381" s="381"/>
      <c r="G381" s="382"/>
      <c r="H381" s="704" t="s">
        <v>191</v>
      </c>
      <c r="I381" s="2659"/>
      <c r="J381" s="703" t="s">
        <v>190</v>
      </c>
      <c r="K381" s="381"/>
      <c r="L381" s="382"/>
      <c r="M381" s="704" t="s">
        <v>191</v>
      </c>
      <c r="N381" s="2659"/>
      <c r="O381" s="703" t="s">
        <v>190</v>
      </c>
      <c r="P381" s="381"/>
      <c r="Q381" s="382"/>
      <c r="R381" s="704" t="s">
        <v>191</v>
      </c>
      <c r="S381" s="2659"/>
      <c r="T381" s="703" t="s">
        <v>190</v>
      </c>
      <c r="U381" s="381"/>
      <c r="V381" s="382"/>
      <c r="W381" s="704" t="s">
        <v>191</v>
      </c>
      <c r="X381" s="2659"/>
      <c r="Y381" s="703" t="s">
        <v>190</v>
      </c>
      <c r="Z381" s="381"/>
      <c r="AA381" s="382"/>
      <c r="AB381" s="704" t="s">
        <v>191</v>
      </c>
      <c r="AC381" s="2659"/>
      <c r="AD381" s="703" t="s">
        <v>190</v>
      </c>
      <c r="AE381" s="381"/>
      <c r="AF381" s="382"/>
      <c r="AG381" s="704" t="s">
        <v>191</v>
      </c>
      <c r="AH381" s="2660"/>
      <c r="AI381" s="2352"/>
    </row>
    <row r="382" ht="15.75" customHeight="1">
      <c r="A382" s="2267"/>
      <c r="B382" s="2345"/>
      <c r="C382" s="2338"/>
      <c r="D382" s="2346"/>
      <c r="E382" s="709" t="s">
        <v>192</v>
      </c>
      <c r="F382" s="710">
        <f t="array" ref="F382">IFERROR(VLOOKUP(E369,Dex!$B$3:$N415,8,FALSE),"")</f>
        <v>85</v>
      </c>
      <c r="G382" s="711" t="str">
        <f t="array" ref="G382">IFERROR(VLOOKUP(F382,Dex!$P$22:$Q$276,2,FALSE),"")</f>
        <v/>
      </c>
      <c r="H382" s="712"/>
      <c r="I382" s="2659"/>
      <c r="J382" s="709" t="s">
        <v>192</v>
      </c>
      <c r="K382" s="710">
        <f t="array" ref="K382">IFERROR(VLOOKUP(J369,Dex!$B$3:$N415,8,FALSE),"")</f>
        <v>100</v>
      </c>
      <c r="L382" s="711" t="str">
        <f t="array" ref="L382">IFERROR(VLOOKUP(K382,Dex!$P$22:$Q$276,2,FALSE),"")</f>
        <v/>
      </c>
      <c r="M382" s="712">
        <v>252.0</v>
      </c>
      <c r="N382" s="2659"/>
      <c r="O382" s="709" t="s">
        <v>192</v>
      </c>
      <c r="P382" s="710">
        <f t="array" ref="P382">IFERROR(VLOOKUP(O369,Dex!$B$3:$N415,8,FALSE),"")</f>
        <v>105</v>
      </c>
      <c r="Q382" s="711" t="str">
        <f t="array" ref="Q382">IFERROR(VLOOKUP(P382,Dex!$P$22:$Q$276,2,FALSE),"")</f>
        <v/>
      </c>
      <c r="R382" s="712"/>
      <c r="S382" s="2659"/>
      <c r="T382" s="709" t="s">
        <v>192</v>
      </c>
      <c r="U382" s="710">
        <f t="array" ref="U382">IFERROR(VLOOKUP(T369,Dex!$B$3:$N415,8,FALSE),"")</f>
        <v>56</v>
      </c>
      <c r="V382" s="711" t="str">
        <f t="array" ref="V382">IFERROR(VLOOKUP(U382,Dex!$P$22:$Q$276,2,FALSE),"")</f>
        <v/>
      </c>
      <c r="W382" s="712"/>
      <c r="X382" s="2659"/>
      <c r="Y382" s="709" t="s">
        <v>192</v>
      </c>
      <c r="Z382" s="710">
        <f t="array" ref="Z382">IFERROR(VLOOKUP(Y369,Dex!$B$3:$N415,8,FALSE),"")</f>
        <v>80</v>
      </c>
      <c r="AA382" s="711" t="str">
        <f t="array" ref="AA382">IFERROR(VLOOKUP(Z382,Dex!$P$22:$Q$276,2,FALSE),"")</f>
        <v/>
      </c>
      <c r="AB382" s="712"/>
      <c r="AC382" s="2659"/>
      <c r="AD382" s="709" t="s">
        <v>192</v>
      </c>
      <c r="AE382" s="710">
        <f t="array" ref="AE382">IFERROR(VLOOKUP(AD369,Dex!$B$3:$N415,8,FALSE),"")</f>
        <v>80</v>
      </c>
      <c r="AF382" s="711" t="str">
        <f t="array" ref="AF382">IFERROR(VLOOKUP(AE382,Dex!$P$22:$Q$276,2,FALSE),"")</f>
        <v/>
      </c>
      <c r="AG382" s="712">
        <v>252.0</v>
      </c>
      <c r="AH382" s="2661"/>
      <c r="AI382" s="2352"/>
    </row>
    <row r="383" ht="15.75" customHeight="1">
      <c r="A383" s="2267"/>
      <c r="B383" s="2345"/>
      <c r="C383" s="2338"/>
      <c r="D383" s="2346"/>
      <c r="E383" s="714" t="s">
        <v>193</v>
      </c>
      <c r="F383" s="715">
        <f t="array" ref="F383">IFERROR(VLOOKUP(E369,Dex!$B$3:$N415,9,FALSE),"")</f>
        <v>120</v>
      </c>
      <c r="G383" s="716" t="str">
        <f t="array" ref="G383">IFERROR(VLOOKUP(F383,Dex!$P$22:$Q$276,2,FALSE),"")</f>
        <v/>
      </c>
      <c r="H383" s="717">
        <v>252.0</v>
      </c>
      <c r="I383" s="2659"/>
      <c r="J383" s="714" t="s">
        <v>193</v>
      </c>
      <c r="K383" s="715">
        <f t="array" ref="K383">IFERROR(VLOOKUP(J369,Dex!$B$3:$N415,9,FALSE),"")</f>
        <v>135</v>
      </c>
      <c r="L383" s="716" t="str">
        <f t="array" ref="L383">IFERROR(VLOOKUP(K383,Dex!$P$22:$Q$276,2,FALSE),"")</f>
        <v/>
      </c>
      <c r="M383" s="717">
        <v>252.0</v>
      </c>
      <c r="N383" s="2659"/>
      <c r="O383" s="714" t="s">
        <v>193</v>
      </c>
      <c r="P383" s="715">
        <f t="array" ref="P383">IFERROR(VLOOKUP(O369,Dex!$B$3:$N415,9,FALSE),"")</f>
        <v>140</v>
      </c>
      <c r="Q383" s="716" t="str">
        <f t="array" ref="Q383">IFERROR(VLOOKUP(P383,Dex!$P$22:$Q$276,2,FALSE),"")</f>
        <v/>
      </c>
      <c r="R383" s="717">
        <v>252.0</v>
      </c>
      <c r="S383" s="2659"/>
      <c r="T383" s="714" t="s">
        <v>193</v>
      </c>
      <c r="U383" s="715">
        <f t="array" ref="U383">IFERROR(VLOOKUP(T369,Dex!$B$3:$N415,9,FALSE),"")</f>
        <v>80</v>
      </c>
      <c r="V383" s="716" t="str">
        <f t="array" ref="V383">IFERROR(VLOOKUP(U383,Dex!$P$22:$Q$276,2,FALSE),"")</f>
        <v/>
      </c>
      <c r="W383" s="717"/>
      <c r="X383" s="2659"/>
      <c r="Y383" s="714" t="s">
        <v>193</v>
      </c>
      <c r="Z383" s="715">
        <f t="array" ref="Z383">IFERROR(VLOOKUP(Y369,Dex!$B$3:$N415,9,FALSE),"")</f>
        <v>130</v>
      </c>
      <c r="AA383" s="716" t="str">
        <f t="array" ref="AA383">IFERROR(VLOOKUP(Z383,Dex!$P$22:$Q$276,2,FALSE),"")</f>
        <v/>
      </c>
      <c r="AB383" s="717">
        <v>252.0</v>
      </c>
      <c r="AC383" s="2659"/>
      <c r="AD383" s="714" t="s">
        <v>193</v>
      </c>
      <c r="AE383" s="715">
        <f t="array" ref="AE383">IFERROR(VLOOKUP(AD369,Dex!$B$3:$N415,9,FALSE),"")</f>
        <v>100</v>
      </c>
      <c r="AF383" s="716" t="str">
        <f t="array" ref="AF383">IFERROR(VLOOKUP(AE383,Dex!$P$22:$Q$276,2,FALSE),"")</f>
        <v/>
      </c>
      <c r="AG383" s="717"/>
      <c r="AH383" s="2661"/>
      <c r="AI383" s="2352"/>
    </row>
    <row r="384" ht="15.75" customHeight="1">
      <c r="A384" s="2267"/>
      <c r="B384" s="2345"/>
      <c r="C384" s="2338"/>
      <c r="D384" s="2346"/>
      <c r="E384" s="714" t="s">
        <v>194</v>
      </c>
      <c r="F384" s="715">
        <f t="array" ref="F384">IFERROR(VLOOKUP(E369,Dex!$B$3:$N415,10,FALSE),"")</f>
        <v>70</v>
      </c>
      <c r="G384" s="716" t="str">
        <f t="array" ref="G384">IFERROR(VLOOKUP(F384,Dex!$P$22:$Q$276,2,FALSE),"")</f>
        <v/>
      </c>
      <c r="H384" s="717">
        <v>4.0</v>
      </c>
      <c r="I384" s="2659"/>
      <c r="J384" s="714" t="s">
        <v>194</v>
      </c>
      <c r="K384" s="715">
        <f t="array" ref="K384">IFERROR(VLOOKUP(J369,Dex!$B$3:$N415,10,FALSE),"")</f>
        <v>120</v>
      </c>
      <c r="L384" s="716" t="str">
        <f t="array" ref="L384">IFERROR(VLOOKUP(K384,Dex!$P$22:$Q$276,2,FALSE),"")</f>
        <v/>
      </c>
      <c r="M384" s="717"/>
      <c r="N384" s="2659"/>
      <c r="O384" s="714" t="s">
        <v>194</v>
      </c>
      <c r="P384" s="715">
        <f t="array" ref="P384">IFERROR(VLOOKUP(O369,Dex!$B$3:$N415,10,FALSE),"")</f>
        <v>55</v>
      </c>
      <c r="Q384" s="716" t="str">
        <f t="array" ref="Q384">IFERROR(VLOOKUP(P384,Dex!$P$22:$Q$276,2,FALSE),"")</f>
        <v/>
      </c>
      <c r="R384" s="717"/>
      <c r="S384" s="2659"/>
      <c r="T384" s="714" t="s">
        <v>194</v>
      </c>
      <c r="U384" s="715">
        <f t="array" ref="U384">IFERROR(VLOOKUP(T369,Dex!$B$3:$N415,10,FALSE),"")</f>
        <v>114</v>
      </c>
      <c r="V384" s="716" t="str">
        <f t="array" ref="V384">IFERROR(VLOOKUP(U384,Dex!$P$22:$Q$276,2,FALSE),"")</f>
        <v/>
      </c>
      <c r="W384" s="717">
        <v>4.0</v>
      </c>
      <c r="X384" s="2659"/>
      <c r="Y384" s="714" t="s">
        <v>194</v>
      </c>
      <c r="Z384" s="715">
        <f t="array" ref="Z384">IFERROR(VLOOKUP(Y369,Dex!$B$3:$N415,10,FALSE),"")</f>
        <v>60</v>
      </c>
      <c r="AA384" s="716" t="str">
        <f t="array" ref="AA384">IFERROR(VLOOKUP(Z384,Dex!$P$22:$Q$276,2,FALSE),"")</f>
        <v/>
      </c>
      <c r="AB384" s="717">
        <v>4.0</v>
      </c>
      <c r="AC384" s="2659"/>
      <c r="AD384" s="714" t="s">
        <v>194</v>
      </c>
      <c r="AE384" s="715">
        <f t="array" ref="AE384">IFERROR(VLOOKUP(AD369,Dex!$B$3:$N415,10,FALSE),"")</f>
        <v>123</v>
      </c>
      <c r="AF384" s="716" t="str">
        <f t="array" ref="AF384">IFERROR(VLOOKUP(AE384,Dex!$P$22:$Q$276,2,FALSE),"")</f>
        <v/>
      </c>
      <c r="AG384" s="717">
        <v>4.0</v>
      </c>
      <c r="AH384" s="2661"/>
      <c r="AI384" s="2352"/>
    </row>
    <row r="385" ht="15.75" customHeight="1">
      <c r="A385" s="2267"/>
      <c r="B385" s="2345"/>
      <c r="C385" s="2338"/>
      <c r="D385" s="2346"/>
      <c r="E385" s="714" t="s">
        <v>195</v>
      </c>
      <c r="F385" s="715">
        <f t="array" ref="F385">IFERROR(VLOOKUP(E369,Dex!$B$3:$N415,11,FALSE),"")</f>
        <v>50</v>
      </c>
      <c r="G385" s="716" t="str">
        <f t="array" ref="G385">IFERROR(VLOOKUP(F385,Dex!$P$22:$Q$276,2,FALSE),"")</f>
        <v/>
      </c>
      <c r="H385" s="717"/>
      <c r="I385" s="2659"/>
      <c r="J385" s="714" t="s">
        <v>195</v>
      </c>
      <c r="K385" s="715">
        <f t="array" ref="K385">IFERROR(VLOOKUP(J369,Dex!$B$3:$N415,11,FALSE),"")</f>
        <v>60</v>
      </c>
      <c r="L385" s="716" t="str">
        <f t="array" ref="L385">IFERROR(VLOOKUP(K385,Dex!$P$22:$Q$276,2,FALSE),"")</f>
        <v/>
      </c>
      <c r="M385" s="717"/>
      <c r="N385" s="2659"/>
      <c r="O385" s="714" t="s">
        <v>195</v>
      </c>
      <c r="P385" s="715">
        <f t="array" ref="P385">IFERROR(VLOOKUP(O369,Dex!$B$3:$N415,11,FALSE),"")</f>
        <v>30</v>
      </c>
      <c r="Q385" s="716" t="str">
        <f t="array" ref="Q385">IFERROR(VLOOKUP(P385,Dex!$P$22:$Q$276,2,FALSE),"")</f>
        <v/>
      </c>
      <c r="R385" s="717"/>
      <c r="S385" s="2659"/>
      <c r="T385" s="714" t="s">
        <v>195</v>
      </c>
      <c r="U385" s="715">
        <f t="array" ref="U385">IFERROR(VLOOKUP(T369,Dex!$B$3:$N415,11,FALSE),"")</f>
        <v>124</v>
      </c>
      <c r="V385" s="716" t="str">
        <f t="array" ref="V385">IFERROR(VLOOKUP(U385,Dex!$P$22:$Q$276,2,FALSE),"")</f>
        <v/>
      </c>
      <c r="W385" s="717">
        <v>252.0</v>
      </c>
      <c r="X385" s="2659"/>
      <c r="Y385" s="714" t="s">
        <v>195</v>
      </c>
      <c r="Z385" s="715">
        <f t="array" ref="Z385">IFERROR(VLOOKUP(Y369,Dex!$B$3:$N415,11,FALSE),"")</f>
        <v>40</v>
      </c>
      <c r="AA385" s="716" t="str">
        <f t="array" ref="AA385">IFERROR(VLOOKUP(Z385,Dex!$P$22:$Q$276,2,FALSE),"")</f>
        <v/>
      </c>
      <c r="AB385" s="717"/>
      <c r="AC385" s="2659"/>
      <c r="AD385" s="714" t="s">
        <v>195</v>
      </c>
      <c r="AE385" s="715">
        <f t="array" ref="AE385">IFERROR(VLOOKUP(AD369,Dex!$B$3:$N415,11,FALSE),"")</f>
        <v>122</v>
      </c>
      <c r="AF385" s="716" t="str">
        <f t="array" ref="AF385">IFERROR(VLOOKUP(AE385,Dex!$P$22:$Q$276,2,FALSE),"")</f>
        <v/>
      </c>
      <c r="AG385" s="717">
        <v>252.0</v>
      </c>
      <c r="AH385" s="2661"/>
      <c r="AI385" s="2352"/>
    </row>
    <row r="386" ht="15.75" customHeight="1">
      <c r="A386" s="2267"/>
      <c r="B386" s="2345"/>
      <c r="C386" s="2500"/>
      <c r="D386" s="2346"/>
      <c r="E386" s="714" t="s">
        <v>196</v>
      </c>
      <c r="F386" s="715">
        <f t="array" ref="F386">IFERROR(VLOOKUP(E369,Dex!$B$3:$N415,12,FALSE),"")</f>
        <v>60</v>
      </c>
      <c r="G386" s="716" t="str">
        <f t="array" ref="G386">IFERROR(VLOOKUP(F386,Dex!$P$22:$Q$276,2,FALSE),"")</f>
        <v/>
      </c>
      <c r="H386" s="717"/>
      <c r="I386" s="2659"/>
      <c r="J386" s="714" t="s">
        <v>196</v>
      </c>
      <c r="K386" s="715">
        <f t="array" ref="K386">IFERROR(VLOOKUP(J369,Dex!$B$3:$N415,12,FALSE),"")</f>
        <v>85</v>
      </c>
      <c r="L386" s="716" t="str">
        <f t="array" ref="L386">IFERROR(VLOOKUP(K386,Dex!$P$22:$Q$276,2,FALSE),"")</f>
        <v/>
      </c>
      <c r="M386" s="717">
        <v>4.0</v>
      </c>
      <c r="N386" s="2659"/>
      <c r="O386" s="714" t="s">
        <v>196</v>
      </c>
      <c r="P386" s="715">
        <f t="array" ref="P386">IFERROR(VLOOKUP(O369,Dex!$B$3:$N415,12,FALSE),"")</f>
        <v>55</v>
      </c>
      <c r="Q386" s="716" t="str">
        <f t="array" ref="Q386">IFERROR(VLOOKUP(P386,Dex!$P$22:$Q$276,2,FALSE),"")</f>
        <v/>
      </c>
      <c r="R386" s="717">
        <v>4.0</v>
      </c>
      <c r="S386" s="2659"/>
      <c r="T386" s="714" t="s">
        <v>196</v>
      </c>
      <c r="U386" s="715">
        <f t="array" ref="U386">IFERROR(VLOOKUP(T369,Dex!$B$3:$N415,12,FALSE),"")</f>
        <v>60</v>
      </c>
      <c r="V386" s="716" t="str">
        <f t="array" ref="V386">IFERROR(VLOOKUP(U386,Dex!$P$22:$Q$276,2,FALSE),"")</f>
        <v/>
      </c>
      <c r="W386" s="717"/>
      <c r="X386" s="2659"/>
      <c r="Y386" s="714" t="s">
        <v>196</v>
      </c>
      <c r="Z386" s="715">
        <f t="array" ref="Z386">IFERROR(VLOOKUP(Y369,Dex!$B$3:$N415,12,FALSE),"")</f>
        <v>80</v>
      </c>
      <c r="AA386" s="716" t="str">
        <f t="array" ref="AA386">IFERROR(VLOOKUP(Z386,Dex!$P$22:$Q$276,2,FALSE),"")</f>
        <v/>
      </c>
      <c r="AB386" s="717"/>
      <c r="AC386" s="2659"/>
      <c r="AD386" s="714" t="s">
        <v>196</v>
      </c>
      <c r="AE386" s="715">
        <f t="array" ref="AE386">IFERROR(VLOOKUP(AD369,Dex!$B$3:$N415,12,FALSE),"")</f>
        <v>120</v>
      </c>
      <c r="AF386" s="716" t="str">
        <f t="array" ref="AF386">IFERROR(VLOOKUP(AE386,Dex!$P$22:$Q$276,2,FALSE),"")</f>
        <v/>
      </c>
      <c r="AG386" s="717"/>
      <c r="AH386" s="2661"/>
      <c r="AI386" s="2352"/>
    </row>
    <row r="387" ht="15.75" customHeight="1">
      <c r="A387" s="2267"/>
      <c r="B387" s="2501"/>
      <c r="C387" s="1204" t="s">
        <v>436</v>
      </c>
      <c r="D387" s="2502"/>
      <c r="E387" s="718" t="s">
        <v>197</v>
      </c>
      <c r="F387" s="719">
        <f t="array" ref="F387">IFERROR(VLOOKUP(E369,Dex!$B$3:$N415,13,FALSE),"")</f>
        <v>100</v>
      </c>
      <c r="G387" s="720" t="str">
        <f t="array" ref="G387">IFERROR(VLOOKUP(F387,Dex!$P$22:$Q$276,2,FALSE),"")</f>
        <v/>
      </c>
      <c r="H387" s="721">
        <v>252.0</v>
      </c>
      <c r="I387" s="2662"/>
      <c r="J387" s="718" t="s">
        <v>197</v>
      </c>
      <c r="K387" s="719">
        <f t="array" ref="K387">IFERROR(VLOOKUP(J369,Dex!$B$3:$N415,13,FALSE),"")</f>
        <v>50</v>
      </c>
      <c r="L387" s="720" t="str">
        <f t="array" ref="L387">IFERROR(VLOOKUP(K387,Dex!$P$22:$Q$276,2,FALSE),"")</f>
        <v/>
      </c>
      <c r="M387" s="721"/>
      <c r="N387" s="2662"/>
      <c r="O387" s="718" t="s">
        <v>197</v>
      </c>
      <c r="P387" s="719">
        <f t="array" ref="P387">IFERROR(VLOOKUP(O369,Dex!$B$3:$N415,13,FALSE),"")</f>
        <v>95</v>
      </c>
      <c r="Q387" s="720" t="str">
        <f t="array" ref="Q387">IFERROR(VLOOKUP(P387,Dex!$P$22:$Q$276,2,FALSE),"")</f>
        <v/>
      </c>
      <c r="R387" s="721">
        <v>252.0</v>
      </c>
      <c r="S387" s="2662"/>
      <c r="T387" s="718" t="s">
        <v>197</v>
      </c>
      <c r="U387" s="719">
        <f t="array" ref="U387">IFERROR(VLOOKUP(T369,Dex!$B$3:$N415,13,FALSE),"")</f>
        <v>136</v>
      </c>
      <c r="V387" s="720" t="str">
        <f t="array" ref="V387">IFERROR(VLOOKUP(U387,Dex!$P$22:$Q$276,2,FALSE),"")</f>
        <v/>
      </c>
      <c r="W387" s="721">
        <v>252.0</v>
      </c>
      <c r="X387" s="2662"/>
      <c r="Y387" s="718" t="s">
        <v>197</v>
      </c>
      <c r="Z387" s="719">
        <f t="array" ref="Z387">IFERROR(VLOOKUP(Y369,Dex!$B$3:$N415,13,FALSE),"")</f>
        <v>120</v>
      </c>
      <c r="AA387" s="720" t="str">
        <f t="array" ref="AA387">IFERROR(VLOOKUP(Z387,Dex!$P$22:$Q$276,2,FALSE),"")</f>
        <v/>
      </c>
      <c r="AB387" s="721">
        <v>252.0</v>
      </c>
      <c r="AC387" s="2662"/>
      <c r="AD387" s="718" t="s">
        <v>197</v>
      </c>
      <c r="AE387" s="719">
        <f t="array" ref="AE387">IFERROR(VLOOKUP(AD369,Dex!$B$3:$N415,13,FALSE),"")</f>
        <v>80</v>
      </c>
      <c r="AF387" s="720" t="str">
        <f t="array" ref="AF387">IFERROR(VLOOKUP(AE387,Dex!$P$22:$Q$276,2,FALSE),"")</f>
        <v/>
      </c>
      <c r="AG387" s="721"/>
      <c r="AH387" s="2661"/>
      <c r="AI387" s="2352"/>
    </row>
    <row r="388" ht="16.5" customHeight="1">
      <c r="A388" s="2267"/>
      <c r="B388" s="2501"/>
      <c r="C388" s="1205" t="s">
        <v>793</v>
      </c>
      <c r="D388" s="2502"/>
      <c r="E388" s="722" t="s">
        <v>198</v>
      </c>
      <c r="F388" s="405"/>
      <c r="G388" s="406"/>
      <c r="H388" s="723">
        <v>264.0</v>
      </c>
      <c r="I388" s="2662"/>
      <c r="J388" s="722" t="s">
        <v>198</v>
      </c>
      <c r="K388" s="405"/>
      <c r="L388" s="406"/>
      <c r="M388" s="723">
        <v>107.0</v>
      </c>
      <c r="N388" s="2662"/>
      <c r="O388" s="722" t="s">
        <v>198</v>
      </c>
      <c r="P388" s="405"/>
      <c r="Q388" s="406"/>
      <c r="R388" s="723">
        <v>255.0</v>
      </c>
      <c r="S388" s="2662"/>
      <c r="T388" s="1431" t="s">
        <v>198</v>
      </c>
      <c r="U388" s="918"/>
      <c r="V388" s="919"/>
      <c r="W388" s="1432">
        <v>323.0</v>
      </c>
      <c r="X388" s="2662"/>
      <c r="Y388" s="1431" t="s">
        <v>198</v>
      </c>
      <c r="Z388" s="918"/>
      <c r="AA388" s="919"/>
      <c r="AB388" s="1432">
        <v>299.0</v>
      </c>
      <c r="AC388" s="2662"/>
      <c r="AD388" s="722" t="s">
        <v>198</v>
      </c>
      <c r="AE388" s="405"/>
      <c r="AF388" s="406"/>
      <c r="AG388" s="723">
        <v>172.0</v>
      </c>
      <c r="AH388" s="2660"/>
      <c r="AI388" s="2352"/>
    </row>
    <row r="389" ht="16.5" customHeight="1">
      <c r="A389" s="2267"/>
      <c r="B389" s="2345"/>
      <c r="C389" s="2663"/>
      <c r="D389" s="2349"/>
      <c r="E389" s="2664"/>
      <c r="F389" s="2664"/>
      <c r="G389" s="2664"/>
      <c r="H389" s="2665"/>
      <c r="I389" s="2666"/>
      <c r="J389" s="2664"/>
      <c r="K389" s="2664"/>
      <c r="L389" s="2664"/>
      <c r="M389" s="2665"/>
      <c r="N389" s="2666"/>
      <c r="O389" s="2664"/>
      <c r="P389" s="2664"/>
      <c r="Q389" s="2664"/>
      <c r="R389" s="2665"/>
      <c r="S389" s="2666"/>
      <c r="T389" s="1435" t="s">
        <v>349</v>
      </c>
      <c r="U389" s="925"/>
      <c r="V389" s="926"/>
      <c r="W389" s="1436">
        <v>484.0</v>
      </c>
      <c r="X389" s="2659"/>
      <c r="Y389" s="1435" t="s">
        <v>497</v>
      </c>
      <c r="Z389" s="925"/>
      <c r="AA389" s="926"/>
      <c r="AB389" s="1436">
        <v>598.0</v>
      </c>
      <c r="AC389" s="2666"/>
      <c r="AD389" s="2664"/>
      <c r="AE389" s="2664"/>
      <c r="AF389" s="2664"/>
      <c r="AG389" s="2665"/>
      <c r="AH389" s="2351"/>
      <c r="AI389" s="2352"/>
    </row>
    <row r="390" ht="15.0" customHeight="1">
      <c r="A390" s="2260"/>
      <c r="B390" s="2385"/>
      <c r="C390" s="2386"/>
      <c r="D390" s="2387"/>
      <c r="E390" s="2674"/>
      <c r="F390" s="2674"/>
      <c r="G390" s="2674"/>
      <c r="H390" s="2674"/>
      <c r="I390" s="2387"/>
      <c r="J390" s="2674"/>
      <c r="K390" s="2674"/>
      <c r="L390" s="2674"/>
      <c r="M390" s="2674"/>
      <c r="N390" s="2387"/>
      <c r="O390" s="2387"/>
      <c r="P390" s="2387"/>
      <c r="Q390" s="2387"/>
      <c r="R390" s="2387"/>
      <c r="S390" s="2387"/>
      <c r="T390" s="2515"/>
      <c r="U390" s="2515"/>
      <c r="V390" s="2515"/>
      <c r="W390" s="2513"/>
      <c r="X390" s="2513"/>
      <c r="Y390" s="2515"/>
      <c r="Z390" s="2515"/>
      <c r="AA390" s="2515"/>
      <c r="AB390" s="2513"/>
      <c r="AC390" s="2387"/>
      <c r="AD390" s="2387"/>
      <c r="AE390" s="2387"/>
      <c r="AF390" s="2387"/>
      <c r="AG390" s="2387"/>
      <c r="AH390" s="2389"/>
      <c r="AI390" s="2266"/>
    </row>
    <row r="391" ht="15.0" customHeight="1">
      <c r="A391" s="2260"/>
      <c r="B391" s="2390"/>
      <c r="C391" s="2391"/>
      <c r="D391" s="2392"/>
      <c r="E391" s="2393"/>
      <c r="F391" s="2393"/>
      <c r="G391" s="2393"/>
      <c r="H391" s="2393"/>
      <c r="I391" s="2392"/>
      <c r="J391" s="2393"/>
      <c r="K391" s="2393"/>
      <c r="L391" s="2393"/>
      <c r="M391" s="2393"/>
      <c r="N391" s="2392"/>
      <c r="O391" s="2393"/>
      <c r="P391" s="2393"/>
      <c r="Q391" s="2393"/>
      <c r="R391" s="2393"/>
      <c r="S391" s="2392"/>
      <c r="T391" s="2393"/>
      <c r="U391" s="2393"/>
      <c r="V391" s="2393"/>
      <c r="W391" s="2393"/>
      <c r="X391" s="2392"/>
      <c r="Y391" s="2393"/>
      <c r="Z391" s="2393"/>
      <c r="AA391" s="2393"/>
      <c r="AB391" s="2393"/>
      <c r="AC391" s="2392"/>
      <c r="AD391" s="2393"/>
      <c r="AE391" s="2393"/>
      <c r="AF391" s="2393"/>
      <c r="AG391" s="2393"/>
      <c r="AH391" s="2394"/>
      <c r="AI391" s="2266"/>
    </row>
    <row r="392" ht="96.75" customHeight="1">
      <c r="A392" s="2260"/>
      <c r="B392" s="2395"/>
      <c r="C392" s="2396" t="str">
        <f>IMAGE("https://i.ibb.co/rpm30sn/Brendan.png")</f>
        <v/>
      </c>
      <c r="D392" s="2397"/>
      <c r="E392" s="2398" t="str">
        <f t="array" ref="E392">IFERROR(VLOOKUP(E393,Dex!$B$3:$G415,3,FALSE),"")</f>
        <v/>
      </c>
      <c r="F392" s="1830"/>
      <c r="G392" s="1830"/>
      <c r="H392" s="1831"/>
      <c r="I392" s="2399"/>
      <c r="J392" s="2398" t="str">
        <f t="array" ref="J392">IFERROR(VLOOKUP(J393,Dex!$B$3:$G415,3,FALSE),"")</f>
        <v/>
      </c>
      <c r="K392" s="1830"/>
      <c r="L392" s="1830"/>
      <c r="M392" s="1831"/>
      <c r="N392" s="2399"/>
      <c r="O392" s="2398" t="str">
        <f t="array" ref="O392">IFERROR(VLOOKUP(O393,Dex!$B$3:$G415,3,FALSE),"")</f>
        <v/>
      </c>
      <c r="P392" s="1830"/>
      <c r="Q392" s="1830"/>
      <c r="R392" s="1831"/>
      <c r="S392" s="2399"/>
      <c r="T392" s="2398" t="str">
        <f t="array" ref="T392">IFERROR(VLOOKUP(T393,Dex!$B$3:$G415,3,FALSE),"")</f>
        <v/>
      </c>
      <c r="U392" s="1830"/>
      <c r="V392" s="1830"/>
      <c r="W392" s="1831"/>
      <c r="X392" s="2542"/>
      <c r="Y392" s="2398" t="str">
        <f t="array" ref="Y392">IFERROR(VLOOKUP(Y393,Dex!$B$3:$G415,3,FALSE),"")</f>
        <v/>
      </c>
      <c r="Z392" s="1830"/>
      <c r="AA392" s="1830"/>
      <c r="AB392" s="1831"/>
      <c r="AC392" s="2542"/>
      <c r="AD392" s="2398" t="str">
        <f t="array" ref="AD392">IFERROR(VLOOKUP(AD393,Dex!$B$3:$G415,3,FALSE),"")</f>
        <v/>
      </c>
      <c r="AE392" s="1830"/>
      <c r="AF392" s="1830"/>
      <c r="AG392" s="1831"/>
      <c r="AH392" s="2543"/>
      <c r="AI392" s="2266"/>
    </row>
    <row r="393" ht="18.75" customHeight="1">
      <c r="A393" s="2288"/>
      <c r="B393" s="2406"/>
      <c r="C393" s="2407" t="s">
        <v>802</v>
      </c>
      <c r="D393" s="2408"/>
      <c r="E393" s="2409" t="s">
        <v>803</v>
      </c>
      <c r="F393" s="2410"/>
      <c r="G393" s="2410"/>
      <c r="H393" s="2411"/>
      <c r="I393" s="2408"/>
      <c r="J393" s="2409" t="s">
        <v>804</v>
      </c>
      <c r="K393" s="2410"/>
      <c r="L393" s="2410"/>
      <c r="M393" s="2411"/>
      <c r="N393" s="2408"/>
      <c r="O393" s="2409" t="s">
        <v>805</v>
      </c>
      <c r="P393" s="2410"/>
      <c r="Q393" s="2410"/>
      <c r="R393" s="2411"/>
      <c r="S393" s="2408"/>
      <c r="T393" s="2409" t="s">
        <v>806</v>
      </c>
      <c r="U393" s="2410"/>
      <c r="V393" s="2410"/>
      <c r="W393" s="2411"/>
      <c r="Y393" s="2409" t="s">
        <v>807</v>
      </c>
      <c r="Z393" s="2410"/>
      <c r="AA393" s="2410"/>
      <c r="AB393" s="2411"/>
      <c r="AD393" s="2409" t="s">
        <v>762</v>
      </c>
      <c r="AE393" s="2410"/>
      <c r="AF393" s="2410"/>
      <c r="AG393" s="2411"/>
      <c r="AH393" s="2544"/>
      <c r="AI393" s="2299"/>
    </row>
    <row r="394">
      <c r="A394" s="2416"/>
      <c r="B394" s="2417"/>
      <c r="C394" s="326"/>
      <c r="D394" s="2418"/>
      <c r="E394" s="2419">
        <v>81.0</v>
      </c>
      <c r="F394" s="2420"/>
      <c r="G394" s="2420"/>
      <c r="H394" s="2421"/>
      <c r="I394" s="2422"/>
      <c r="J394" s="2419">
        <v>81.0</v>
      </c>
      <c r="K394" s="2420"/>
      <c r="L394" s="2420"/>
      <c r="M394" s="2421"/>
      <c r="N394" s="2422"/>
      <c r="O394" s="2419">
        <v>82.0</v>
      </c>
      <c r="P394" s="2420"/>
      <c r="Q394" s="2420"/>
      <c r="R394" s="2421"/>
      <c r="S394" s="2422"/>
      <c r="T394" s="2419">
        <v>81.0</v>
      </c>
      <c r="U394" s="2420"/>
      <c r="V394" s="2420"/>
      <c r="W394" s="2421"/>
      <c r="Y394" s="2419">
        <v>81.0</v>
      </c>
      <c r="Z394" s="2420"/>
      <c r="AA394" s="2420"/>
      <c r="AB394" s="2421"/>
      <c r="AD394" s="2419">
        <v>82.0</v>
      </c>
      <c r="AE394" s="2420"/>
      <c r="AF394" s="2420"/>
      <c r="AG394" s="2421"/>
      <c r="AH394" s="2545"/>
      <c r="AI394" s="2424"/>
    </row>
    <row r="395" ht="25.5" customHeight="1">
      <c r="A395" s="2260"/>
      <c r="B395" s="2425"/>
      <c r="C395" s="2426"/>
      <c r="D395" s="2401"/>
      <c r="E395" s="2427"/>
      <c r="F395" s="2428" t="str">
        <f t="array" ref="F395">IFERROR(VLOOKUP(E393,Dex!$B$3:$H415,5,FALSE),"")</f>
        <v/>
      </c>
      <c r="G395" s="2429"/>
      <c r="H395" s="2430"/>
      <c r="I395" s="2413"/>
      <c r="J395" s="2427"/>
      <c r="K395" s="2519" t="str">
        <f t="array" ref="K395">IFERROR(VLOOKUP(J393,Dex!$B$3:$H415,5,FALSE),"")</f>
        <v/>
      </c>
      <c r="L395" s="2518" t="str">
        <f t="array" ref="L395">IFERROR(VLOOKUP(J393,Dex!$B$3:$H415,7,FALSE),"")</f>
        <v/>
      </c>
      <c r="M395" s="2430"/>
      <c r="N395" s="2413"/>
      <c r="O395" s="2427"/>
      <c r="P395" s="2519" t="str">
        <f t="array" ref="P395">IFERROR(VLOOKUP(O393,Dex!$B$3:$H415,5,FALSE),"")</f>
        <v/>
      </c>
      <c r="Q395" s="2518" t="str">
        <f t="array" ref="Q395">IFERROR(VLOOKUP(O393,Dex!$B$3:$H415,7,FALSE),"")</f>
        <v/>
      </c>
      <c r="R395" s="2430"/>
      <c r="S395" s="2413"/>
      <c r="T395" s="2427"/>
      <c r="U395" s="2519" t="str">
        <f t="array" ref="U395">IFERROR(VLOOKUP(T393,Dex!$B$3:$H415,5,FALSE),"")</f>
        <v/>
      </c>
      <c r="V395" s="2518" t="str">
        <f t="array" ref="V395">IFERROR(VLOOKUP(T393,Dex!$B$3:$H415,7,FALSE),"")</f>
        <v/>
      </c>
      <c r="W395" s="2430"/>
      <c r="Y395" s="2427"/>
      <c r="Z395" s="2519" t="str">
        <f t="array" ref="Z395">IFERROR(VLOOKUP(Y393,Dex!$B$3:$H415,5,FALSE),"")</f>
        <v/>
      </c>
      <c r="AA395" s="2518" t="str">
        <f t="array" ref="AA395">IFERROR(VLOOKUP(Y393,Dex!$B$3:$H415,7,FALSE),"")</f>
        <v/>
      </c>
      <c r="AB395" s="2430"/>
      <c r="AD395" s="2427"/>
      <c r="AE395" s="2519" t="str">
        <f t="array" ref="AE395">IFERROR(VLOOKUP(AD393,Dex!$B$3:$H415,5,FALSE),"")</f>
        <v/>
      </c>
      <c r="AF395" s="2518" t="str">
        <f t="array" ref="AF395">IFERROR(VLOOKUP(AD393,Dex!$B$3:$H415,7,FALSE),"")</f>
        <v/>
      </c>
      <c r="AG395" s="2430"/>
      <c r="AH395" s="2405"/>
      <c r="AI395" s="2266"/>
    </row>
    <row r="396" ht="2.25" customHeight="1">
      <c r="A396" s="2260"/>
      <c r="B396" s="2425"/>
      <c r="C396" s="2414"/>
      <c r="D396" s="2401"/>
      <c r="E396" s="2431"/>
      <c r="F396" s="2432"/>
      <c r="G396" s="2432"/>
      <c r="H396" s="2433"/>
      <c r="I396" s="2413"/>
      <c r="J396" s="2431"/>
      <c r="K396" s="2432"/>
      <c r="L396" s="2432"/>
      <c r="M396" s="2433"/>
      <c r="N396" s="2413"/>
      <c r="O396" s="2431"/>
      <c r="P396" s="2432"/>
      <c r="Q396" s="2432"/>
      <c r="R396" s="2433"/>
      <c r="S396" s="2413"/>
      <c r="T396" s="2431"/>
      <c r="U396" s="2432"/>
      <c r="V396" s="2432"/>
      <c r="W396" s="2433"/>
      <c r="Y396" s="2431"/>
      <c r="Z396" s="2432"/>
      <c r="AA396" s="2432"/>
      <c r="AB396" s="2433"/>
      <c r="AD396" s="2431"/>
      <c r="AE396" s="2432"/>
      <c r="AF396" s="2432"/>
      <c r="AG396" s="2433"/>
      <c r="AH396" s="2405"/>
      <c r="AI396" s="2266"/>
    </row>
    <row r="397" ht="20.25" customHeight="1">
      <c r="A397" s="2260"/>
      <c r="B397" s="2425"/>
      <c r="C397" s="2435"/>
      <c r="D397" s="2401"/>
      <c r="E397" s="2436" t="s">
        <v>264</v>
      </c>
      <c r="F397" s="2437"/>
      <c r="G397" s="2437"/>
      <c r="H397" s="2438"/>
      <c r="I397" s="2521"/>
      <c r="J397" s="2436" t="s">
        <v>172</v>
      </c>
      <c r="K397" s="2437"/>
      <c r="L397" s="2437"/>
      <c r="M397" s="2438"/>
      <c r="N397" s="2521"/>
      <c r="O397" s="2436" t="s">
        <v>205</v>
      </c>
      <c r="P397" s="2437"/>
      <c r="Q397" s="2437"/>
      <c r="R397" s="2438"/>
      <c r="S397" s="2521"/>
      <c r="T397" s="2436" t="s">
        <v>172</v>
      </c>
      <c r="U397" s="2437"/>
      <c r="V397" s="2437"/>
      <c r="W397" s="2438"/>
      <c r="Y397" s="2436" t="s">
        <v>172</v>
      </c>
      <c r="Z397" s="2437"/>
      <c r="AA397" s="2437"/>
      <c r="AB397" s="2438"/>
      <c r="AD397" s="2436" t="s">
        <v>172</v>
      </c>
      <c r="AE397" s="2437"/>
      <c r="AF397" s="2437"/>
      <c r="AG397" s="2438"/>
      <c r="AH397" s="2543"/>
      <c r="AI397" s="2266"/>
    </row>
    <row r="398">
      <c r="A398" s="2260"/>
      <c r="B398" s="2425"/>
      <c r="C398" s="2439"/>
      <c r="D398" s="2401"/>
      <c r="E398" s="2440" t="s">
        <v>808</v>
      </c>
      <c r="F398" s="2402"/>
      <c r="G398" s="2402"/>
      <c r="H398" s="2441"/>
      <c r="I398" s="2521"/>
      <c r="J398" s="2440" t="s">
        <v>552</v>
      </c>
      <c r="K398" s="2402"/>
      <c r="L398" s="2402"/>
      <c r="M398" s="2441"/>
      <c r="N398" s="2521"/>
      <c r="O398" s="2440" t="s">
        <v>809</v>
      </c>
      <c r="P398" s="2402"/>
      <c r="Q398" s="2402"/>
      <c r="R398" s="2441"/>
      <c r="S398" s="2521"/>
      <c r="T398" s="2440" t="s">
        <v>717</v>
      </c>
      <c r="U398" s="2402"/>
      <c r="V398" s="2402"/>
      <c r="W398" s="2441"/>
      <c r="Y398" s="2440" t="s">
        <v>716</v>
      </c>
      <c r="Z398" s="2402"/>
      <c r="AA398" s="2402"/>
      <c r="AB398" s="2441"/>
      <c r="AD398" s="2440" t="s">
        <v>810</v>
      </c>
      <c r="AE398" s="2402"/>
      <c r="AF398" s="2402"/>
      <c r="AG398" s="2441"/>
      <c r="AH398" s="2543"/>
      <c r="AI398" s="2266"/>
    </row>
    <row r="399" ht="20.25" customHeight="1">
      <c r="A399" s="2260"/>
      <c r="B399" s="2425"/>
      <c r="C399" s="2414"/>
      <c r="D399" s="2401"/>
      <c r="E399" s="2442" t="s">
        <v>240</v>
      </c>
      <c r="F399" s="2443"/>
      <c r="G399" s="2444"/>
      <c r="H399" s="2520" t="str">
        <f>IMAGE("https://raw.githubusercontent.com/msikma/pokesprite/master/items/hold-item/focus-sash.png",3)</f>
        <v/>
      </c>
      <c r="I399" s="2413"/>
      <c r="J399" s="2442" t="s">
        <v>335</v>
      </c>
      <c r="K399" s="2443"/>
      <c r="L399" s="2444"/>
      <c r="M399" s="2520" t="str">
        <f>IMAGE("https://raw.githubusercontent.com/msikma/pokesprite/master/items/hold-item/choice-scarf.png",3)</f>
        <v/>
      </c>
      <c r="N399" s="2413"/>
      <c r="O399" s="2442" t="s">
        <v>272</v>
      </c>
      <c r="P399" s="2443"/>
      <c r="Q399" s="2444"/>
      <c r="R399" s="2520" t="str">
        <f>IMAGE("https://raw.githubusercontent.com/msikma/pokesprite/master/items/hold-item/life-orb.png",3)</f>
        <v/>
      </c>
      <c r="S399" s="2413"/>
      <c r="T399" s="2442" t="s">
        <v>766</v>
      </c>
      <c r="U399" s="2443"/>
      <c r="V399" s="2444"/>
      <c r="W399" s="2520" t="str">
        <f>IMAGE("https://raw.githubusercontent.com/msikma/pokesprite/master/items/hold-item/choice-band.png",3)</f>
        <v/>
      </c>
      <c r="Y399" s="2442" t="s">
        <v>626</v>
      </c>
      <c r="Z399" s="2443"/>
      <c r="AA399" s="2444"/>
      <c r="AB399" s="2520" t="str">
        <f>IMAGE("https://raw.githubusercontent.com/msikma/pokesprite/master/items/hold-item/white-herb.png",3)</f>
        <v/>
      </c>
      <c r="AD399" s="2442" t="s">
        <v>769</v>
      </c>
      <c r="AE399" s="2443"/>
      <c r="AF399" s="2444"/>
      <c r="AG399" s="2520" t="str">
        <f>IMAGE("https://raw.githubusercontent.com/msikma/pokesprite/master/items/mega-stone/sceptilite.png",3)</f>
        <v/>
      </c>
      <c r="AH399" s="2405"/>
      <c r="AI399" s="2266"/>
    </row>
    <row r="400" ht="20.25" customHeight="1">
      <c r="A400" s="2260"/>
      <c r="B400" s="2425"/>
      <c r="C400" s="2435"/>
      <c r="D400" s="2401"/>
      <c r="E400" s="2436" t="s">
        <v>561</v>
      </c>
      <c r="F400" s="2437"/>
      <c r="G400" s="2437"/>
      <c r="H400" s="2446" t="str">
        <f>IMAGE("https://raw.githubusercontent.com/msikma/pokesprite/master/misc/types/gen8/psychic.png",4,20,20)</f>
        <v/>
      </c>
      <c r="I400" s="2413"/>
      <c r="J400" s="2436" t="s">
        <v>407</v>
      </c>
      <c r="K400" s="2437"/>
      <c r="L400" s="2437"/>
      <c r="M400" s="2446" t="str">
        <f>IMAGE("https://raw.githubusercontent.com/msikma/pokesprite/master/misc/types/gen8/steel.png",4,20,20)</f>
        <v/>
      </c>
      <c r="N400" s="2413"/>
      <c r="O400" s="2436" t="s">
        <v>286</v>
      </c>
      <c r="P400" s="2437"/>
      <c r="Q400" s="2437"/>
      <c r="R400" s="2446" t="str">
        <f>IMAGE("https://raw.githubusercontent.com/msikma/pokesprite/master/misc/types/gen8/ground.png",4,20,20)</f>
        <v/>
      </c>
      <c r="S400" s="2413"/>
      <c r="T400" s="2436" t="s">
        <v>749</v>
      </c>
      <c r="U400" s="2437"/>
      <c r="V400" s="2437"/>
      <c r="W400" s="2446" t="str">
        <f>IMAGE("https://raw.githubusercontent.com/msikma/pokesprite/master/misc/types/gen8/flying.png",4,20,20)</f>
        <v/>
      </c>
      <c r="Y400" s="2436" t="s">
        <v>428</v>
      </c>
      <c r="Z400" s="2437"/>
      <c r="AA400" s="2437"/>
      <c r="AB400" s="2446" t="str">
        <f>IMAGE("https://raw.githubusercontent.com/msikma/pokesprite/master/misc/types/gen8/normal.png",4,20,20)</f>
        <v/>
      </c>
      <c r="AD400" s="2436" t="s">
        <v>489</v>
      </c>
      <c r="AE400" s="2437"/>
      <c r="AF400" s="2437"/>
      <c r="AG400" s="2446" t="str">
        <f>IMAGE("https://raw.githubusercontent.com/msikma/pokesprite/master/misc/types/gen8/normal.png",4,20,20)</f>
        <v/>
      </c>
      <c r="AH400" s="2405"/>
      <c r="AI400" s="2266"/>
    </row>
    <row r="401" ht="20.25" customHeight="1">
      <c r="A401" s="2260"/>
      <c r="B401" s="2425"/>
      <c r="C401" s="2447"/>
      <c r="D401" s="2401"/>
      <c r="E401" s="2440" t="s">
        <v>317</v>
      </c>
      <c r="F401" s="2402"/>
      <c r="G401" s="2402"/>
      <c r="H401" s="2448" t="str">
        <f>IMAGE("https://raw.githubusercontent.com/msikma/pokesprite/master/misc/types/gen8/ice.png",4,20,20)</f>
        <v/>
      </c>
      <c r="I401" s="2413"/>
      <c r="J401" s="2440" t="s">
        <v>278</v>
      </c>
      <c r="K401" s="2402"/>
      <c r="L401" s="2402"/>
      <c r="M401" s="2448" t="str">
        <f>IMAGE("https://raw.githubusercontent.com/msikma/pokesprite/master/misc/types/gen8/bug.png",4,20,20)</f>
        <v/>
      </c>
      <c r="N401" s="2413"/>
      <c r="O401" s="2440" t="s">
        <v>610</v>
      </c>
      <c r="P401" s="2402"/>
      <c r="Q401" s="2402"/>
      <c r="R401" s="2448" t="str">
        <f>IMAGE("https://raw.githubusercontent.com/msikma/pokesprite/master/misc/types/gen8/rock.png",4,20,20)</f>
        <v/>
      </c>
      <c r="S401" s="2413"/>
      <c r="T401" s="2440" t="s">
        <v>316</v>
      </c>
      <c r="U401" s="2402"/>
      <c r="V401" s="2402"/>
      <c r="W401" s="2448" t="str">
        <f>IMAGE("https://raw.githubusercontent.com/msikma/pokesprite/master/misc/types/gen8/fighting.png",4,20,20)</f>
        <v/>
      </c>
      <c r="Y401" s="2440" t="s">
        <v>346</v>
      </c>
      <c r="Z401" s="2402"/>
      <c r="AA401" s="2402"/>
      <c r="AB401" s="2448" t="str">
        <f>IMAGE("https://raw.githubusercontent.com/msikma/pokesprite/master/misc/types/gen8/water.png",4,20,20)</f>
        <v/>
      </c>
      <c r="AD401" s="2440" t="s">
        <v>811</v>
      </c>
      <c r="AE401" s="2402"/>
      <c r="AF401" s="2402"/>
      <c r="AG401" s="2448" t="str">
        <f>IMAGE("https://raw.githubusercontent.com/msikma/pokesprite/master/misc/types/gen8/dragon.png",4,20,20)</f>
        <v/>
      </c>
      <c r="AH401" s="2405"/>
      <c r="AI401" s="2266"/>
    </row>
    <row r="402" ht="20.25" customHeight="1">
      <c r="A402" s="2260"/>
      <c r="B402" s="2425"/>
      <c r="C402" s="2447"/>
      <c r="D402" s="2401"/>
      <c r="E402" s="2440" t="s">
        <v>772</v>
      </c>
      <c r="F402" s="2402"/>
      <c r="G402" s="2402"/>
      <c r="H402" s="2448" t="str">
        <f>IMAGE("https://raw.githubusercontent.com/msikma/pokesprite/master/misc/types/gen8/fighting.png",4,20,20)</f>
        <v/>
      </c>
      <c r="I402" s="2413"/>
      <c r="J402" s="2440" t="s">
        <v>249</v>
      </c>
      <c r="K402" s="2402"/>
      <c r="L402" s="2402"/>
      <c r="M402" s="2448" t="str">
        <f>IMAGE("https://raw.githubusercontent.com/msikma/pokesprite/master/misc/types/gen8/electric.png",4,20,20)</f>
        <v/>
      </c>
      <c r="N402" s="2413"/>
      <c r="O402" s="2440" t="s">
        <v>405</v>
      </c>
      <c r="P402" s="2402"/>
      <c r="Q402" s="2402"/>
      <c r="R402" s="2448" t="str">
        <f>IMAGE("https://raw.githubusercontent.com/msikma/pokesprite/master/misc/types/gen8/poison.png",4,20,20)</f>
        <v/>
      </c>
      <c r="S402" s="2413"/>
      <c r="T402" s="2440" t="s">
        <v>278</v>
      </c>
      <c r="U402" s="2402"/>
      <c r="V402" s="2402"/>
      <c r="W402" s="2448" t="str">
        <f>IMAGE("https://raw.githubusercontent.com/msikma/pokesprite/master/misc/types/gen8/bug.png",4,20,20)</f>
        <v/>
      </c>
      <c r="Y402" s="2440" t="s">
        <v>320</v>
      </c>
      <c r="Z402" s="2402"/>
      <c r="AA402" s="2402"/>
      <c r="AB402" s="2448" t="str">
        <f>IMAGE("https://raw.githubusercontent.com/msikma/pokesprite/master/misc/types/gen8/dark.png",4,20,20)</f>
        <v/>
      </c>
      <c r="AD402" s="2440" t="s">
        <v>770</v>
      </c>
      <c r="AE402" s="2402"/>
      <c r="AF402" s="2402"/>
      <c r="AG402" s="2448" t="str">
        <f>IMAGE("https://raw.githubusercontent.com/msikma/pokesprite/master/misc/types/gen8/grass.png",4,20,20)</f>
        <v/>
      </c>
      <c r="AH402" s="2405"/>
      <c r="AI402" s="2266"/>
    </row>
    <row r="403" ht="21.0" customHeight="1">
      <c r="A403" s="2260"/>
      <c r="B403" s="2425"/>
      <c r="C403" s="2447"/>
      <c r="D403" s="2401"/>
      <c r="E403" s="2449" t="s">
        <v>397</v>
      </c>
      <c r="F403" s="2450"/>
      <c r="G403" s="2450"/>
      <c r="H403" s="2451" t="str">
        <f>IMAGE("https://raw.githubusercontent.com/msikma/pokesprite/master/misc/types/gen8/normal.png",4,20,20)</f>
        <v/>
      </c>
      <c r="I403" s="2413"/>
      <c r="J403" s="2449" t="s">
        <v>562</v>
      </c>
      <c r="K403" s="2450"/>
      <c r="L403" s="2450"/>
      <c r="M403" s="2451" t="str">
        <f>IMAGE("https://raw.githubusercontent.com/msikma/pokesprite/master/misc/types/gen8/psychic.png",4,20,20)</f>
        <v/>
      </c>
      <c r="N403" s="2521"/>
      <c r="O403" s="2449" t="s">
        <v>375</v>
      </c>
      <c r="P403" s="2450"/>
      <c r="Q403" s="2450"/>
      <c r="R403" s="2451" t="str">
        <f>IMAGE("https://raw.githubusercontent.com/msikma/pokesprite/master/misc/types/gen8/fighting.png",4,20,20)</f>
        <v/>
      </c>
      <c r="S403" s="2413"/>
      <c r="T403" s="2449" t="s">
        <v>812</v>
      </c>
      <c r="U403" s="2450"/>
      <c r="V403" s="2450"/>
      <c r="W403" s="2451" t="str">
        <f>IMAGE("https://raw.githubusercontent.com/msikma/pokesprite/master/misc/types/gen8/fire.png",4,20,20)</f>
        <v/>
      </c>
      <c r="X403" s="2546"/>
      <c r="Y403" s="2449" t="s">
        <v>813</v>
      </c>
      <c r="Z403" s="2450"/>
      <c r="AA403" s="2450"/>
      <c r="AB403" s="2451" t="str">
        <f>IMAGE("https://raw.githubusercontent.com/msikma/pokesprite/master/misc/types/gen8/ice.png",4,20,20)</f>
        <v/>
      </c>
      <c r="AC403" s="2546"/>
      <c r="AD403" s="2449" t="s">
        <v>402</v>
      </c>
      <c r="AE403" s="2450"/>
      <c r="AF403" s="2450"/>
      <c r="AG403" s="2451" t="str">
        <f>IMAGE("https://raw.githubusercontent.com/msikma/pokesprite/master/misc/types/gen8/ground.png",4,20,20)</f>
        <v/>
      </c>
      <c r="AH403" s="2405"/>
      <c r="AI403" s="2266"/>
    </row>
    <row r="404" ht="3.0" customHeight="1">
      <c r="A404" s="2336"/>
      <c r="B404" s="2454"/>
      <c r="C404" s="2455"/>
      <c r="D404" s="2456"/>
      <c r="E404" s="2457"/>
      <c r="F404" s="2457"/>
      <c r="G404" s="2457"/>
      <c r="H404" s="2522"/>
      <c r="I404" s="2456"/>
      <c r="J404" s="2457"/>
      <c r="K404" s="2457"/>
      <c r="L404" s="2457"/>
      <c r="M404" s="2457"/>
      <c r="N404" s="2456"/>
      <c r="O404" s="2457"/>
      <c r="P404" s="2457"/>
      <c r="Q404" s="2457"/>
      <c r="R404" s="2522"/>
      <c r="S404" s="2456"/>
      <c r="T404" s="2457"/>
      <c r="U404" s="2457"/>
      <c r="V404" s="2457"/>
      <c r="W404" s="2522"/>
      <c r="X404" s="2456"/>
      <c r="Y404" s="2457"/>
      <c r="Z404" s="2457"/>
      <c r="AA404" s="2457"/>
      <c r="AB404" s="2522"/>
      <c r="AC404" s="2459"/>
      <c r="AD404" s="2457"/>
      <c r="AE404" s="2457"/>
      <c r="AF404" s="2457"/>
      <c r="AG404" s="2522"/>
      <c r="AH404" s="2460"/>
      <c r="AI404" s="2344"/>
    </row>
    <row r="405" ht="16.5" customHeight="1">
      <c r="A405" s="2267"/>
      <c r="B405" s="2461"/>
      <c r="C405" s="2455"/>
      <c r="D405" s="2462"/>
      <c r="E405" s="2463" t="s">
        <v>190</v>
      </c>
      <c r="F405" s="381"/>
      <c r="G405" s="382"/>
      <c r="H405" s="2464" t="s">
        <v>191</v>
      </c>
      <c r="I405" s="2523"/>
      <c r="J405" s="2463" t="s">
        <v>190</v>
      </c>
      <c r="K405" s="381"/>
      <c r="L405" s="382"/>
      <c r="M405" s="2464" t="s">
        <v>191</v>
      </c>
      <c r="N405" s="2524"/>
      <c r="O405" s="2463" t="s">
        <v>190</v>
      </c>
      <c r="P405" s="381"/>
      <c r="Q405" s="382"/>
      <c r="R405" s="2464" t="s">
        <v>191</v>
      </c>
      <c r="S405" s="2524"/>
      <c r="T405" s="2463" t="s">
        <v>190</v>
      </c>
      <c r="U405" s="381"/>
      <c r="V405" s="382"/>
      <c r="W405" s="2464" t="s">
        <v>191</v>
      </c>
      <c r="X405" s="2547"/>
      <c r="Y405" s="2463" t="s">
        <v>190</v>
      </c>
      <c r="Z405" s="381"/>
      <c r="AA405" s="382"/>
      <c r="AB405" s="2464" t="s">
        <v>191</v>
      </c>
      <c r="AC405" s="2547"/>
      <c r="AD405" s="2463" t="s">
        <v>190</v>
      </c>
      <c r="AE405" s="381"/>
      <c r="AF405" s="382"/>
      <c r="AG405" s="2464" t="s">
        <v>191</v>
      </c>
      <c r="AH405" s="2548"/>
      <c r="AI405" s="2352"/>
    </row>
    <row r="406" ht="15.75" customHeight="1">
      <c r="A406" s="2267"/>
      <c r="B406" s="2461"/>
      <c r="C406" s="2455"/>
      <c r="D406" s="2462"/>
      <c r="E406" s="2470" t="s">
        <v>192</v>
      </c>
      <c r="F406" s="2471">
        <f t="array" ref="F406">IFERROR(VLOOKUP(E393,Dex!$B$3:$N415,8,FALSE),"")</f>
        <v>50</v>
      </c>
      <c r="G406" s="2472" t="str">
        <f t="array" ref="G406">IFERROR(VLOOKUP(F406,Dex!$P$22:$Q$276,2,FALSE),"")</f>
        <v/>
      </c>
      <c r="H406" s="2473"/>
      <c r="I406" s="2526"/>
      <c r="J406" s="2470" t="s">
        <v>192</v>
      </c>
      <c r="K406" s="2471">
        <f t="array" ref="K406">IFERROR(VLOOKUP(J393,Dex!$B$3:$N415,8,FALSE),"")</f>
        <v>100</v>
      </c>
      <c r="L406" s="2472" t="str">
        <f t="array" ref="L406">IFERROR(VLOOKUP(K406,Dex!$P$22:$Q$276,2,FALSE),"")</f>
        <v/>
      </c>
      <c r="M406" s="2473">
        <v>6.0</v>
      </c>
      <c r="N406" s="2527"/>
      <c r="O406" s="2470" t="s">
        <v>192</v>
      </c>
      <c r="P406" s="2471">
        <f t="array" ref="P406">IFERROR(VLOOKUP(O393,Dex!$B$3:$N415,8,FALSE),"")</f>
        <v>89</v>
      </c>
      <c r="Q406" s="2472" t="str">
        <f t="array" ref="Q406">IFERROR(VLOOKUP(P406,Dex!$P$22:$Q$276,2,FALSE),"")</f>
        <v/>
      </c>
      <c r="R406" s="2473">
        <v>6.0</v>
      </c>
      <c r="S406" s="2527"/>
      <c r="T406" s="2470" t="s">
        <v>192</v>
      </c>
      <c r="U406" s="2471">
        <f t="array" ref="U406">IFERROR(VLOOKUP(T393,Dex!$B$3:$N415,8,FALSE),"")</f>
        <v>90</v>
      </c>
      <c r="V406" s="2472" t="str">
        <f t="array" ref="V406">IFERROR(VLOOKUP(U406,Dex!$P$22:$Q$276,2,FALSE),"")</f>
        <v/>
      </c>
      <c r="W406" s="2473">
        <v>6.0</v>
      </c>
      <c r="X406" s="2549"/>
      <c r="Y406" s="2470" t="s">
        <v>192</v>
      </c>
      <c r="Z406" s="2471">
        <f t="array" ref="Z406">IFERROR(VLOOKUP(Y393,Dex!$B$3:$N415,8,FALSE),"")</f>
        <v>55</v>
      </c>
      <c r="AA406" s="2472" t="str">
        <f t="array" ref="AA406">IFERROR(VLOOKUP(Z406,Dex!$P$22:$Q$276,2,FALSE),"")</f>
        <v/>
      </c>
      <c r="AB406" s="2473">
        <v>6.0</v>
      </c>
      <c r="AC406" s="2549"/>
      <c r="AD406" s="2470" t="s">
        <v>192</v>
      </c>
      <c r="AE406" s="2471">
        <f t="array" ref="AE406">IFERROR(VLOOKUP(AD393,Dex!$B$3:$N415,8,FALSE),"")</f>
        <v>70</v>
      </c>
      <c r="AF406" s="2472" t="str">
        <f t="array" ref="AF406">IFERROR(VLOOKUP(AE406,Dex!$P$22:$Q$276,2,FALSE),"")</f>
        <v/>
      </c>
      <c r="AG406" s="2473">
        <v>6.0</v>
      </c>
      <c r="AH406" s="2550"/>
      <c r="AI406" s="2352"/>
    </row>
    <row r="407" ht="15.75" customHeight="1">
      <c r="A407" s="2267"/>
      <c r="B407" s="2461"/>
      <c r="C407" s="2455"/>
      <c r="D407" s="2462"/>
      <c r="E407" s="2474" t="s">
        <v>193</v>
      </c>
      <c r="F407" s="2475">
        <f t="array" ref="F407">IFERROR(VLOOKUP(E393,Dex!$B$3:$N415,9,FALSE),"")</f>
        <v>180</v>
      </c>
      <c r="G407" s="2476" t="str">
        <f t="array" ref="G407">IFERROR(VLOOKUP(F407,Dex!$P$22:$Q$276,2,FALSE),"")</f>
        <v/>
      </c>
      <c r="H407" s="2477">
        <v>128.0</v>
      </c>
      <c r="I407" s="2526"/>
      <c r="J407" s="2474" t="s">
        <v>193</v>
      </c>
      <c r="K407" s="2475">
        <f t="array" ref="K407">IFERROR(VLOOKUP(J393,Dex!$B$3:$N415,9,FALSE),"")</f>
        <v>100</v>
      </c>
      <c r="L407" s="2476" t="str">
        <f t="array" ref="L407">IFERROR(VLOOKUP(K407,Dex!$P$22:$Q$276,2,FALSE),"")</f>
        <v/>
      </c>
      <c r="M407" s="2477">
        <v>252.0</v>
      </c>
      <c r="N407" s="2527"/>
      <c r="O407" s="2474" t="s">
        <v>193</v>
      </c>
      <c r="P407" s="2475">
        <f t="array" ref="P407">IFERROR(VLOOKUP(O393,Dex!$B$3:$N415,9,FALSE),"")</f>
        <v>125</v>
      </c>
      <c r="Q407" s="2476" t="str">
        <f t="array" ref="Q407">IFERROR(VLOOKUP(P407,Dex!$P$22:$Q$276,2,FALSE),"")</f>
        <v/>
      </c>
      <c r="R407" s="2477"/>
      <c r="S407" s="2527"/>
      <c r="T407" s="2474" t="s">
        <v>193</v>
      </c>
      <c r="U407" s="2475">
        <f t="array" ref="U407">IFERROR(VLOOKUP(T393,Dex!$B$3:$N415,9,FALSE),"")</f>
        <v>125</v>
      </c>
      <c r="V407" s="2476" t="str">
        <f t="array" ref="V407">IFERROR(VLOOKUP(U407,Dex!$P$22:$Q$276,2,FALSE),"")</f>
        <v/>
      </c>
      <c r="W407" s="2477">
        <v>252.0</v>
      </c>
      <c r="X407" s="2549"/>
      <c r="Y407" s="2474" t="s">
        <v>193</v>
      </c>
      <c r="Z407" s="2475">
        <f t="array" ref="Z407">IFERROR(VLOOKUP(Y393,Dex!$B$3:$N415,9,FALSE),"")</f>
        <v>104</v>
      </c>
      <c r="AA407" s="2476" t="str">
        <f t="array" ref="AA407">IFERROR(VLOOKUP(Z407,Dex!$P$22:$Q$276,2,FALSE),"")</f>
        <v/>
      </c>
      <c r="AB407" s="2477">
        <v>252.0</v>
      </c>
      <c r="AC407" s="2549"/>
      <c r="AD407" s="2474" t="s">
        <v>193</v>
      </c>
      <c r="AE407" s="2475">
        <f t="array" ref="AE407">IFERROR(VLOOKUP(AD393,Dex!$B$3:$N415,9,FALSE),"")</f>
        <v>135</v>
      </c>
      <c r="AF407" s="2476" t="str">
        <f t="array" ref="AF407">IFERROR(VLOOKUP(AE407,Dex!$P$22:$Q$276,2,FALSE),"")</f>
        <v/>
      </c>
      <c r="AG407" s="2477">
        <v>252.0</v>
      </c>
      <c r="AH407" s="2550"/>
      <c r="AI407" s="2352"/>
    </row>
    <row r="408" ht="15.75" customHeight="1">
      <c r="A408" s="2267"/>
      <c r="B408" s="2461"/>
      <c r="C408" s="2455"/>
      <c r="D408" s="2462"/>
      <c r="E408" s="2474" t="s">
        <v>194</v>
      </c>
      <c r="F408" s="2475">
        <f t="array" ref="F408">IFERROR(VLOOKUP(E393,Dex!$B$3:$N415,10,FALSE),"")</f>
        <v>20</v>
      </c>
      <c r="G408" s="2476" t="str">
        <f t="array" ref="G408">IFERROR(VLOOKUP(F408,Dex!$P$22:$Q$276,2,FALSE),"")</f>
        <v/>
      </c>
      <c r="H408" s="2477"/>
      <c r="I408" s="2526"/>
      <c r="J408" s="2474" t="s">
        <v>194</v>
      </c>
      <c r="K408" s="2475">
        <f t="array" ref="K408">IFERROR(VLOOKUP(J393,Dex!$B$3:$N415,10,FALSE),"")</f>
        <v>100</v>
      </c>
      <c r="L408" s="2476" t="str">
        <f t="array" ref="L408">IFERROR(VLOOKUP(K408,Dex!$P$22:$Q$276,2,FALSE),"")</f>
        <v/>
      </c>
      <c r="M408" s="2551"/>
      <c r="N408" s="2527"/>
      <c r="O408" s="2474" t="s">
        <v>194</v>
      </c>
      <c r="P408" s="2475">
        <f t="array" ref="P408">IFERROR(VLOOKUP(O393,Dex!$B$3:$N415,10,FALSE),"")</f>
        <v>90</v>
      </c>
      <c r="Q408" s="2476" t="str">
        <f t="array" ref="Q408">IFERROR(VLOOKUP(P408,Dex!$P$22:$Q$276,2,FALSE),"")</f>
        <v/>
      </c>
      <c r="R408" s="2477"/>
      <c r="S408" s="2527"/>
      <c r="T408" s="2474" t="s">
        <v>194</v>
      </c>
      <c r="U408" s="2475">
        <f t="array" ref="U408">IFERROR(VLOOKUP(T393,Dex!$B$3:$N415,10,FALSE),"")</f>
        <v>90</v>
      </c>
      <c r="V408" s="2476" t="str">
        <f t="array" ref="V408">IFERROR(VLOOKUP(U408,Dex!$P$22:$Q$276,2,FALSE),"")</f>
        <v/>
      </c>
      <c r="W408" s="2477"/>
      <c r="X408" s="2549"/>
      <c r="Y408" s="2474" t="s">
        <v>194</v>
      </c>
      <c r="Z408" s="2475">
        <f t="array" ref="Z408">IFERROR(VLOOKUP(Y393,Dex!$B$3:$N415,10,FALSE),"")</f>
        <v>105</v>
      </c>
      <c r="AA408" s="2476" t="str">
        <f t="array" ref="AA408">IFERROR(VLOOKUP(Z408,Dex!$P$22:$Q$276,2,FALSE),"")</f>
        <v/>
      </c>
      <c r="AB408" s="2477"/>
      <c r="AC408" s="2549"/>
      <c r="AD408" s="2474" t="s">
        <v>194</v>
      </c>
      <c r="AE408" s="2475">
        <f t="array" ref="AE408">IFERROR(VLOOKUP(AD393,Dex!$B$3:$N415,10,FALSE),"")</f>
        <v>75</v>
      </c>
      <c r="AF408" s="2476" t="str">
        <f t="array" ref="AF408">IFERROR(VLOOKUP(AE408,Dex!$P$22:$Q$276,2,FALSE),"")</f>
        <v/>
      </c>
      <c r="AG408" s="2477"/>
      <c r="AH408" s="2550"/>
      <c r="AI408" s="2352"/>
    </row>
    <row r="409" ht="15.75" customHeight="1">
      <c r="A409" s="2267"/>
      <c r="B409" s="2461"/>
      <c r="C409" s="2455"/>
      <c r="D409" s="2462"/>
      <c r="E409" s="2474" t="s">
        <v>195</v>
      </c>
      <c r="F409" s="2475">
        <f t="array" ref="F409">IFERROR(VLOOKUP(E393,Dex!$B$3:$N415,11,FALSE),"")</f>
        <v>180</v>
      </c>
      <c r="G409" s="2476" t="str">
        <f t="array" ref="G409">IFERROR(VLOOKUP(F409,Dex!$P$22:$Q$276,2,FALSE),"")</f>
        <v/>
      </c>
      <c r="H409" s="2477">
        <v>132.0</v>
      </c>
      <c r="I409" s="2526"/>
      <c r="J409" s="2474" t="s">
        <v>195</v>
      </c>
      <c r="K409" s="2475">
        <f t="array" ref="K409">IFERROR(VLOOKUP(J393,Dex!$B$3:$N415,11,FALSE),"")</f>
        <v>100</v>
      </c>
      <c r="L409" s="2476" t="str">
        <f t="array" ref="L409">IFERROR(VLOOKUP(K409,Dex!$P$22:$Q$276,2,FALSE),"")</f>
        <v/>
      </c>
      <c r="M409" s="2551"/>
      <c r="N409" s="2527"/>
      <c r="O409" s="2474" t="s">
        <v>195</v>
      </c>
      <c r="P409" s="2475">
        <f t="array" ref="P409">IFERROR(VLOOKUP(O393,Dex!$B$3:$N415,11,FALSE),"")</f>
        <v>115</v>
      </c>
      <c r="Q409" s="2476" t="str">
        <f t="array" ref="Q409">IFERROR(VLOOKUP(P409,Dex!$P$22:$Q$276,2,FALSE),"")</f>
        <v/>
      </c>
      <c r="R409" s="2477">
        <v>252.0</v>
      </c>
      <c r="S409" s="2527"/>
      <c r="T409" s="2474" t="s">
        <v>195</v>
      </c>
      <c r="U409" s="2475">
        <f t="array" ref="U409">IFERROR(VLOOKUP(T393,Dex!$B$3:$N415,11,FALSE),"")</f>
        <v>85</v>
      </c>
      <c r="V409" s="2476" t="str">
        <f t="array" ref="V409">IFERROR(VLOOKUP(U409,Dex!$P$22:$Q$276,2,FALSE),"")</f>
        <v/>
      </c>
      <c r="W409" s="2477"/>
      <c r="X409" s="2549"/>
      <c r="Y409" s="2474" t="s">
        <v>195</v>
      </c>
      <c r="Z409" s="2475">
        <f t="array" ref="Z409">IFERROR(VLOOKUP(Y393,Dex!$B$3:$N415,11,FALSE),"")</f>
        <v>94</v>
      </c>
      <c r="AA409" s="2476" t="str">
        <f t="array" ref="AA409">IFERROR(VLOOKUP(Z409,Dex!$P$22:$Q$276,2,FALSE),"")</f>
        <v/>
      </c>
      <c r="AB409" s="2477"/>
      <c r="AC409" s="2549"/>
      <c r="AD409" s="2474" t="s">
        <v>195</v>
      </c>
      <c r="AE409" s="2475">
        <f t="array" ref="AE409">IFERROR(VLOOKUP(AD393,Dex!$B$3:$N415,11,FALSE),"")</f>
        <v>110</v>
      </c>
      <c r="AF409" s="2476" t="str">
        <f t="array" ref="AF409">IFERROR(VLOOKUP(AE409,Dex!$P$22:$Q$276,2,FALSE),"")</f>
        <v/>
      </c>
      <c r="AG409" s="2477"/>
      <c r="AH409" s="2550"/>
      <c r="AI409" s="2352"/>
    </row>
    <row r="410" ht="15.75" customHeight="1">
      <c r="A410" s="2267"/>
      <c r="B410" s="2461"/>
      <c r="C410" s="2455"/>
      <c r="D410" s="2462"/>
      <c r="E410" s="2474" t="s">
        <v>196</v>
      </c>
      <c r="F410" s="2475">
        <f t="array" ref="F410">IFERROR(VLOOKUP(E393,Dex!$B$3:$N415,12,FALSE),"")</f>
        <v>20</v>
      </c>
      <c r="G410" s="2476" t="str">
        <f t="array" ref="G410">IFERROR(VLOOKUP(F410,Dex!$P$22:$Q$276,2,FALSE),"")</f>
        <v/>
      </c>
      <c r="H410" s="2477"/>
      <c r="I410" s="2526"/>
      <c r="J410" s="2474" t="s">
        <v>196</v>
      </c>
      <c r="K410" s="2475">
        <f t="array" ref="K410">IFERROR(VLOOKUP(J393,Dex!$B$3:$N415,12,FALSE),"")</f>
        <v>100</v>
      </c>
      <c r="L410" s="2476" t="str">
        <f t="array" ref="L410">IFERROR(VLOOKUP(K410,Dex!$P$22:$Q$276,2,FALSE),"")</f>
        <v/>
      </c>
      <c r="M410" s="2551"/>
      <c r="N410" s="2527"/>
      <c r="O410" s="2474" t="s">
        <v>196</v>
      </c>
      <c r="P410" s="2475">
        <f t="array" ref="P410">IFERROR(VLOOKUP(O393,Dex!$B$3:$N415,12,FALSE),"")</f>
        <v>80</v>
      </c>
      <c r="Q410" s="2476" t="str">
        <f t="array" ref="Q410">IFERROR(VLOOKUP(P410,Dex!$P$22:$Q$276,2,FALSE),"")</f>
        <v/>
      </c>
      <c r="R410" s="2477"/>
      <c r="S410" s="2527"/>
      <c r="T410" s="2474" t="s">
        <v>196</v>
      </c>
      <c r="U410" s="2475">
        <f t="array" ref="U410">IFERROR(VLOOKUP(T393,Dex!$B$3:$N415,12,FALSE),"")</f>
        <v>90</v>
      </c>
      <c r="V410" s="2476" t="str">
        <f t="array" ref="V410">IFERROR(VLOOKUP(U410,Dex!$P$22:$Q$276,2,FALSE),"")</f>
        <v/>
      </c>
      <c r="W410" s="2477"/>
      <c r="X410" s="2549"/>
      <c r="Y410" s="2474" t="s">
        <v>196</v>
      </c>
      <c r="Z410" s="2475">
        <f t="array" ref="Z410">IFERROR(VLOOKUP(Y393,Dex!$B$3:$N415,12,FALSE),"")</f>
        <v>75</v>
      </c>
      <c r="AA410" s="2476" t="str">
        <f t="array" ref="AA410">IFERROR(VLOOKUP(Z410,Dex!$P$22:$Q$276,2,FALSE),"")</f>
        <v/>
      </c>
      <c r="AB410" s="2477"/>
      <c r="AC410" s="2549"/>
      <c r="AD410" s="2474" t="s">
        <v>196</v>
      </c>
      <c r="AE410" s="2475">
        <f t="array" ref="AE410">IFERROR(VLOOKUP(AD393,Dex!$B$3:$N415,12,FALSE),"")</f>
        <v>85</v>
      </c>
      <c r="AF410" s="2476" t="str">
        <f t="array" ref="AF410">IFERROR(VLOOKUP(AE410,Dex!$P$22:$Q$276,2,FALSE),"")</f>
        <v/>
      </c>
      <c r="AG410" s="2477"/>
      <c r="AH410" s="2550"/>
      <c r="AI410" s="2352"/>
    </row>
    <row r="411" ht="15.75" customHeight="1">
      <c r="A411" s="2267"/>
      <c r="B411" s="2461"/>
      <c r="C411" s="2455"/>
      <c r="D411" s="2462"/>
      <c r="E411" s="2478" t="s">
        <v>197</v>
      </c>
      <c r="F411" s="2479">
        <f t="array" ref="F411">IFERROR(VLOOKUP(E393,Dex!$B$3:$N415,13,FALSE),"")</f>
        <v>150</v>
      </c>
      <c r="G411" s="2480" t="str">
        <f t="array" ref="G411">IFERROR(VLOOKUP(F411,Dex!$P$22:$Q$276,2,FALSE),"")</f>
        <v/>
      </c>
      <c r="H411" s="2481">
        <v>252.0</v>
      </c>
      <c r="I411" s="2526"/>
      <c r="J411" s="2478" t="s">
        <v>197</v>
      </c>
      <c r="K411" s="2479">
        <f t="array" ref="K411">IFERROR(VLOOKUP(J393,Dex!$B$3:$N415,13,FALSE),"")</f>
        <v>100</v>
      </c>
      <c r="L411" s="2480" t="str">
        <f t="array" ref="L411">IFERROR(VLOOKUP(K411,Dex!$P$22:$Q$276,2,FALSE),"")</f>
        <v/>
      </c>
      <c r="M411" s="2481">
        <v>252.0</v>
      </c>
      <c r="N411" s="2527"/>
      <c r="O411" s="2478" t="s">
        <v>197</v>
      </c>
      <c r="P411" s="2479">
        <f t="array" ref="P411">IFERROR(VLOOKUP(O393,Dex!$B$3:$N415,13,FALSE),"")</f>
        <v>101</v>
      </c>
      <c r="Q411" s="2480" t="str">
        <f t="array" ref="Q411">IFERROR(VLOOKUP(P411,Dex!$P$22:$Q$276,2,FALSE),"")</f>
        <v/>
      </c>
      <c r="R411" s="2481">
        <v>252.0</v>
      </c>
      <c r="S411" s="2527"/>
      <c r="T411" s="2478" t="s">
        <v>197</v>
      </c>
      <c r="U411" s="2479">
        <f t="array" ref="U411">IFERROR(VLOOKUP(T393,Dex!$B$3:$N415,13,FALSE),"")</f>
        <v>100</v>
      </c>
      <c r="V411" s="2480" t="str">
        <f t="array" ref="V411">IFERROR(VLOOKUP(U411,Dex!$P$22:$Q$276,2,FALSE),"")</f>
        <v/>
      </c>
      <c r="W411" s="2481">
        <v>252.0</v>
      </c>
      <c r="X411" s="2549"/>
      <c r="Y411" s="2478" t="s">
        <v>197</v>
      </c>
      <c r="Z411" s="2479">
        <f t="array" ref="Z411">IFERROR(VLOOKUP(Y393,Dex!$B$3:$N415,13,FALSE),"")</f>
        <v>52</v>
      </c>
      <c r="AA411" s="2480" t="str">
        <f t="array" ref="AA411">IFERROR(VLOOKUP(Z411,Dex!$P$22:$Q$276,2,FALSE),"")</f>
        <v/>
      </c>
      <c r="AB411" s="2481">
        <v>252.0</v>
      </c>
      <c r="AC411" s="2549"/>
      <c r="AD411" s="2478" t="s">
        <v>197</v>
      </c>
      <c r="AE411" s="2479">
        <f t="array" ref="AE411">IFERROR(VLOOKUP(AD393,Dex!$B$3:$N415,13,FALSE),"")</f>
        <v>145</v>
      </c>
      <c r="AF411" s="2480" t="str">
        <f t="array" ref="AF411">IFERROR(VLOOKUP(AE411,Dex!$P$22:$Q$276,2,FALSE),"")</f>
        <v/>
      </c>
      <c r="AG411" s="2481">
        <v>252.0</v>
      </c>
      <c r="AH411" s="2550"/>
      <c r="AI411" s="2352"/>
    </row>
    <row r="412" ht="16.5" customHeight="1">
      <c r="A412" s="2267"/>
      <c r="B412" s="2461"/>
      <c r="C412" s="2455"/>
      <c r="D412" s="2462"/>
      <c r="E412" s="2482" t="s">
        <v>198</v>
      </c>
      <c r="F412" s="405"/>
      <c r="G412" s="406"/>
      <c r="H412" s="2483">
        <v>356.0</v>
      </c>
      <c r="I412" s="2523"/>
      <c r="J412" s="2552" t="s">
        <v>198</v>
      </c>
      <c r="K412" s="918"/>
      <c r="L412" s="919"/>
      <c r="M412" s="2553">
        <v>267.0</v>
      </c>
      <c r="N412" s="2524"/>
      <c r="O412" s="2482" t="s">
        <v>198</v>
      </c>
      <c r="P412" s="405"/>
      <c r="Q412" s="406"/>
      <c r="R412" s="2483">
        <v>271.0</v>
      </c>
      <c r="S412" s="2524"/>
      <c r="T412" s="2482" t="s">
        <v>198</v>
      </c>
      <c r="U412" s="405"/>
      <c r="V412" s="406"/>
      <c r="W412" s="2483">
        <v>267.0</v>
      </c>
      <c r="X412" s="2547"/>
      <c r="Y412" s="2482" t="s">
        <v>198</v>
      </c>
      <c r="Z412" s="405"/>
      <c r="AA412" s="406"/>
      <c r="AB412" s="2483">
        <v>181.0</v>
      </c>
      <c r="AC412" s="2547"/>
      <c r="AD412" s="2482" t="s">
        <v>198</v>
      </c>
      <c r="AE412" s="405"/>
      <c r="AF412" s="406"/>
      <c r="AG412" s="2483">
        <v>350.0</v>
      </c>
      <c r="AH412" s="2548"/>
      <c r="AI412" s="2352"/>
    </row>
    <row r="413" ht="16.5" customHeight="1">
      <c r="A413" s="2267"/>
      <c r="B413" s="2461"/>
      <c r="C413" s="2455"/>
      <c r="D413" s="2462"/>
      <c r="E413" s="2554"/>
      <c r="F413" s="2554"/>
      <c r="G413" s="2554"/>
      <c r="H413" s="2555"/>
      <c r="I413" s="2523"/>
      <c r="J413" s="2556" t="s">
        <v>348</v>
      </c>
      <c r="K413" s="925"/>
      <c r="L413" s="926"/>
      <c r="M413" s="2557">
        <v>400.0</v>
      </c>
      <c r="N413" s="2524"/>
      <c r="O413" s="2554"/>
      <c r="P413" s="2554"/>
      <c r="Q413" s="2554"/>
      <c r="R413" s="2555"/>
      <c r="S413" s="2524"/>
      <c r="T413" s="2554"/>
      <c r="U413" s="2554"/>
      <c r="V413" s="2554"/>
      <c r="W413" s="2555"/>
      <c r="X413" s="2547"/>
      <c r="Y413" s="2554"/>
      <c r="Z413" s="2554"/>
      <c r="AA413" s="2554"/>
      <c r="AB413" s="2555"/>
      <c r="AC413" s="2547"/>
      <c r="AD413" s="2554"/>
      <c r="AE413" s="2554"/>
      <c r="AF413" s="2554"/>
      <c r="AG413" s="2555"/>
      <c r="AH413" s="2548"/>
      <c r="AI413" s="2352"/>
    </row>
    <row r="414" ht="7.5" customHeight="1">
      <c r="A414" s="2260"/>
      <c r="B414" s="2484"/>
      <c r="C414" s="2485"/>
      <c r="D414" s="2486"/>
      <c r="E414" s="2486"/>
      <c r="F414" s="2486"/>
      <c r="G414" s="2486"/>
      <c r="H414" s="2486"/>
      <c r="I414" s="2486"/>
      <c r="J414" s="2487"/>
      <c r="K414" s="2487"/>
      <c r="L414" s="2487"/>
      <c r="M414" s="2487"/>
      <c r="N414" s="2486"/>
      <c r="O414" s="2486"/>
      <c r="P414" s="2486"/>
      <c r="Q414" s="2486"/>
      <c r="R414" s="2486"/>
      <c r="S414" s="2486"/>
      <c r="T414" s="2486"/>
      <c r="U414" s="2486"/>
      <c r="V414" s="2486"/>
      <c r="W414" s="2486"/>
      <c r="X414" s="2487"/>
      <c r="Y414" s="2486"/>
      <c r="Z414" s="2486"/>
      <c r="AA414" s="2486"/>
      <c r="AB414" s="2486"/>
      <c r="AC414" s="2486"/>
      <c r="AD414" s="2486"/>
      <c r="AE414" s="2486"/>
      <c r="AF414" s="2486"/>
      <c r="AG414" s="2486"/>
      <c r="AH414" s="2488"/>
      <c r="AI414" s="2266"/>
    </row>
    <row r="415" ht="3.75" customHeight="1">
      <c r="A415" s="2257"/>
      <c r="B415" s="2675"/>
      <c r="C415" s="2676"/>
      <c r="D415" s="2675"/>
      <c r="E415" s="2675"/>
      <c r="F415" s="2675"/>
      <c r="G415" s="2675"/>
      <c r="H415" s="2675"/>
      <c r="I415" s="2675"/>
      <c r="J415" s="2675"/>
      <c r="K415" s="2675"/>
      <c r="L415" s="2675"/>
      <c r="M415" s="2675"/>
      <c r="N415" s="2675"/>
      <c r="O415" s="2675"/>
      <c r="P415" s="2675"/>
      <c r="Q415" s="2675"/>
      <c r="R415" s="2675"/>
      <c r="S415" s="2675"/>
      <c r="T415" s="2675"/>
      <c r="U415" s="2675"/>
      <c r="V415" s="2675"/>
      <c r="W415" s="2675"/>
      <c r="X415" s="2675"/>
      <c r="Y415" s="2675"/>
      <c r="Z415" s="2675"/>
      <c r="AA415" s="2675"/>
      <c r="AB415" s="2675"/>
      <c r="AC415" s="2675"/>
      <c r="AD415" s="2675"/>
      <c r="AE415" s="2675"/>
      <c r="AF415" s="2675"/>
      <c r="AG415" s="2675"/>
      <c r="AH415" s="2675"/>
      <c r="AI415" s="2257"/>
    </row>
  </sheetData>
  <mergeCells count="1353">
    <mergeCell ref="J87:M87"/>
    <mergeCell ref="O87:R87"/>
    <mergeCell ref="T87:W87"/>
    <mergeCell ref="Y87:AB87"/>
    <mergeCell ref="J76:M76"/>
    <mergeCell ref="N76:N87"/>
    <mergeCell ref="S76:S87"/>
    <mergeCell ref="X76:X87"/>
    <mergeCell ref="AC76:AC87"/>
    <mergeCell ref="T79:W79"/>
    <mergeCell ref="T86:W86"/>
    <mergeCell ref="J84:L84"/>
    <mergeCell ref="O84:R84"/>
    <mergeCell ref="T84:W84"/>
    <mergeCell ref="Y84:AB84"/>
    <mergeCell ref="O85:R85"/>
    <mergeCell ref="T85:W85"/>
    <mergeCell ref="Y85:AB85"/>
    <mergeCell ref="Y86:AB86"/>
    <mergeCell ref="J86:L86"/>
    <mergeCell ref="O86:R86"/>
    <mergeCell ref="J89:L89"/>
    <mergeCell ref="J96:L96"/>
    <mergeCell ref="E99:W99"/>
    <mergeCell ref="X99:AA99"/>
    <mergeCell ref="AB99:AE99"/>
    <mergeCell ref="E101:H101"/>
    <mergeCell ref="C102:C103"/>
    <mergeCell ref="O101:R101"/>
    <mergeCell ref="O102:R102"/>
    <mergeCell ref="Y101:AB101"/>
    <mergeCell ref="Y102:AB102"/>
    <mergeCell ref="T102:W102"/>
    <mergeCell ref="O103:R103"/>
    <mergeCell ref="T103:W103"/>
    <mergeCell ref="AD102:AG102"/>
    <mergeCell ref="AD103:AG103"/>
    <mergeCell ref="Y103:AB103"/>
    <mergeCell ref="Y104:AB104"/>
    <mergeCell ref="U104:V104"/>
    <mergeCell ref="O106:R106"/>
    <mergeCell ref="T106:W106"/>
    <mergeCell ref="Y106:AB106"/>
    <mergeCell ref="O108:Q108"/>
    <mergeCell ref="T108:V108"/>
    <mergeCell ref="Y108:AB108"/>
    <mergeCell ref="AD108:AG108"/>
    <mergeCell ref="O109:Q109"/>
    <mergeCell ref="T109:V109"/>
    <mergeCell ref="Y109:AB109"/>
    <mergeCell ref="AD109:AG109"/>
    <mergeCell ref="O110:Q110"/>
    <mergeCell ref="T110:V110"/>
    <mergeCell ref="Y110:AB110"/>
    <mergeCell ref="AD110:AG110"/>
    <mergeCell ref="O111:Q111"/>
    <mergeCell ref="T111:V111"/>
    <mergeCell ref="Y111:AB111"/>
    <mergeCell ref="AD111:AG111"/>
    <mergeCell ref="O127:R127"/>
    <mergeCell ref="T127:W127"/>
    <mergeCell ref="T130:W130"/>
    <mergeCell ref="Y130:AB130"/>
    <mergeCell ref="T131:W131"/>
    <mergeCell ref="Y131:AB131"/>
    <mergeCell ref="T132:V132"/>
    <mergeCell ref="Y132:AB132"/>
    <mergeCell ref="T133:V133"/>
    <mergeCell ref="Y133:AB133"/>
    <mergeCell ref="T134:V134"/>
    <mergeCell ref="Y134:AB134"/>
    <mergeCell ref="T135:V135"/>
    <mergeCell ref="Y135:AB135"/>
    <mergeCell ref="O221:R221"/>
    <mergeCell ref="O222:R222"/>
    <mergeCell ref="T222:W222"/>
    <mergeCell ref="Y222:AB222"/>
    <mergeCell ref="T223:W223"/>
    <mergeCell ref="Y223:AB223"/>
    <mergeCell ref="C224:C226"/>
    <mergeCell ref="T226:W226"/>
    <mergeCell ref="Y226:AB226"/>
    <mergeCell ref="C227:C229"/>
    <mergeCell ref="T227:W227"/>
    <mergeCell ref="Y227:AB227"/>
    <mergeCell ref="T228:V228"/>
    <mergeCell ref="Y228:AA228"/>
    <mergeCell ref="O210:Q210"/>
    <mergeCell ref="T210:V210"/>
    <mergeCell ref="Y210:AA210"/>
    <mergeCell ref="E219:AB219"/>
    <mergeCell ref="J221:M221"/>
    <mergeCell ref="C222:C223"/>
    <mergeCell ref="J222:M222"/>
    <mergeCell ref="O226:R226"/>
    <mergeCell ref="E227:H227"/>
    <mergeCell ref="J227:M227"/>
    <mergeCell ref="O227:R227"/>
    <mergeCell ref="E210:G210"/>
    <mergeCell ref="J210:L210"/>
    <mergeCell ref="J217:L217"/>
    <mergeCell ref="O217:Q217"/>
    <mergeCell ref="I221:I232"/>
    <mergeCell ref="N221:N232"/>
    <mergeCell ref="S221:S232"/>
    <mergeCell ref="T278:V278"/>
    <mergeCell ref="Y278:AA278"/>
    <mergeCell ref="T279:V279"/>
    <mergeCell ref="Y279:AA279"/>
    <mergeCell ref="T256:V256"/>
    <mergeCell ref="Y256:AA256"/>
    <mergeCell ref="T258:V258"/>
    <mergeCell ref="Y258:AA258"/>
    <mergeCell ref="Y265:AA265"/>
    <mergeCell ref="X268:X279"/>
    <mergeCell ref="AC268:AC279"/>
    <mergeCell ref="T265:V265"/>
    <mergeCell ref="T269:W269"/>
    <mergeCell ref="AD269:AG269"/>
    <mergeCell ref="Y269:AB269"/>
    <mergeCell ref="T270:W270"/>
    <mergeCell ref="Y270:AB270"/>
    <mergeCell ref="AD270:AG270"/>
    <mergeCell ref="U271:V271"/>
    <mergeCell ref="T273:W273"/>
    <mergeCell ref="AD273:AG273"/>
    <mergeCell ref="Y273:AB273"/>
    <mergeCell ref="T274:W274"/>
    <mergeCell ref="Y274:AB274"/>
    <mergeCell ref="AD274:AG274"/>
    <mergeCell ref="T275:V275"/>
    <mergeCell ref="Y275:AA275"/>
    <mergeCell ref="AD275:AF275"/>
    <mergeCell ref="T276:V276"/>
    <mergeCell ref="Y276:AA276"/>
    <mergeCell ref="AD276:AF276"/>
    <mergeCell ref="T277:V277"/>
    <mergeCell ref="Y277:AA277"/>
    <mergeCell ref="AD277:AF277"/>
    <mergeCell ref="AD278:AF278"/>
    <mergeCell ref="AD279:AF279"/>
    <mergeCell ref="E298:H298"/>
    <mergeCell ref="E299:G299"/>
    <mergeCell ref="C298:C300"/>
    <mergeCell ref="E300:G300"/>
    <mergeCell ref="E293:H293"/>
    <mergeCell ref="E294:H294"/>
    <mergeCell ref="C295:C297"/>
    <mergeCell ref="E297:H297"/>
    <mergeCell ref="J297:M297"/>
    <mergeCell ref="J298:M298"/>
    <mergeCell ref="J299:L299"/>
    <mergeCell ref="J300:L300"/>
    <mergeCell ref="E268:H268"/>
    <mergeCell ref="J268:M268"/>
    <mergeCell ref="O268:R268"/>
    <mergeCell ref="C269:C270"/>
    <mergeCell ref="E269:H269"/>
    <mergeCell ref="O269:R269"/>
    <mergeCell ref="E270:H270"/>
    <mergeCell ref="O270:R270"/>
    <mergeCell ref="J269:M269"/>
    <mergeCell ref="J270:M270"/>
    <mergeCell ref="C271:C273"/>
    <mergeCell ref="E273:H273"/>
    <mergeCell ref="O273:R273"/>
    <mergeCell ref="C274:C276"/>
    <mergeCell ref="E276:G276"/>
    <mergeCell ref="O276:Q276"/>
    <mergeCell ref="T281:V281"/>
    <mergeCell ref="Y281:AA281"/>
    <mergeCell ref="AD281:AF281"/>
    <mergeCell ref="T288:V288"/>
    <mergeCell ref="Y288:AA288"/>
    <mergeCell ref="AD288:AF288"/>
    <mergeCell ref="Y292:AB292"/>
    <mergeCell ref="Y293:AB293"/>
    <mergeCell ref="Y297:AB297"/>
    <mergeCell ref="AD297:AG297"/>
    <mergeCell ref="Y298:AB298"/>
    <mergeCell ref="AD298:AG298"/>
    <mergeCell ref="AD299:AF299"/>
    <mergeCell ref="AD300:AF300"/>
    <mergeCell ref="T294:W294"/>
    <mergeCell ref="Y294:AB294"/>
    <mergeCell ref="T292:W292"/>
    <mergeCell ref="AD292:AG292"/>
    <mergeCell ref="C293:C294"/>
    <mergeCell ref="J293:M293"/>
    <mergeCell ref="T293:W293"/>
    <mergeCell ref="AD293:AG293"/>
    <mergeCell ref="J294:M294"/>
    <mergeCell ref="AD294:AG294"/>
    <mergeCell ref="T298:W298"/>
    <mergeCell ref="T299:V299"/>
    <mergeCell ref="Y299:AA299"/>
    <mergeCell ref="Y300:AA300"/>
    <mergeCell ref="T229:V229"/>
    <mergeCell ref="T230:V230"/>
    <mergeCell ref="AD229:AG229"/>
    <mergeCell ref="AD230:AG230"/>
    <mergeCell ref="AD227:AG227"/>
    <mergeCell ref="AD228:AG228"/>
    <mergeCell ref="J229:L229"/>
    <mergeCell ref="O229:Q229"/>
    <mergeCell ref="J230:L230"/>
    <mergeCell ref="O230:Q230"/>
    <mergeCell ref="Y230:AA230"/>
    <mergeCell ref="J198:M198"/>
    <mergeCell ref="O199:R199"/>
    <mergeCell ref="Y199:AB199"/>
    <mergeCell ref="Z200:AA200"/>
    <mergeCell ref="O185:Q185"/>
    <mergeCell ref="T185:V185"/>
    <mergeCell ref="O192:Q192"/>
    <mergeCell ref="T192:V192"/>
    <mergeCell ref="E195:AB195"/>
    <mergeCell ref="S197:S208"/>
    <mergeCell ref="Y198:AB198"/>
    <mergeCell ref="T197:W197"/>
    <mergeCell ref="X197:X208"/>
    <mergeCell ref="T198:W198"/>
    <mergeCell ref="T199:W199"/>
    <mergeCell ref="U200:V200"/>
    <mergeCell ref="T217:V217"/>
    <mergeCell ref="Y217:AA217"/>
    <mergeCell ref="O231:Q231"/>
    <mergeCell ref="O232:Q232"/>
    <mergeCell ref="AD231:AG231"/>
    <mergeCell ref="AD232:AG232"/>
    <mergeCell ref="E234:G234"/>
    <mergeCell ref="J234:L234"/>
    <mergeCell ref="O234:Q234"/>
    <mergeCell ref="T234:V234"/>
    <mergeCell ref="Y234:AA234"/>
    <mergeCell ref="E243:AB243"/>
    <mergeCell ref="E221:H221"/>
    <mergeCell ref="E222:H222"/>
    <mergeCell ref="E230:G230"/>
    <mergeCell ref="E231:G231"/>
    <mergeCell ref="J231:L231"/>
    <mergeCell ref="E232:G232"/>
    <mergeCell ref="J232:L232"/>
    <mergeCell ref="E245:H245"/>
    <mergeCell ref="E246:H246"/>
    <mergeCell ref="C246:C247"/>
    <mergeCell ref="C248:C250"/>
    <mergeCell ref="C251:C253"/>
    <mergeCell ref="E250:H250"/>
    <mergeCell ref="E251:H251"/>
    <mergeCell ref="E252:G252"/>
    <mergeCell ref="O252:Q252"/>
    <mergeCell ref="E253:G253"/>
    <mergeCell ref="O253:Q253"/>
    <mergeCell ref="J253:L253"/>
    <mergeCell ref="J254:L254"/>
    <mergeCell ref="E254:G254"/>
    <mergeCell ref="O254:Q254"/>
    <mergeCell ref="E256:G256"/>
    <mergeCell ref="J256:L256"/>
    <mergeCell ref="O245:R245"/>
    <mergeCell ref="S245:S256"/>
    <mergeCell ref="O246:R246"/>
    <mergeCell ref="O247:R247"/>
    <mergeCell ref="O250:R250"/>
    <mergeCell ref="O251:R251"/>
    <mergeCell ref="E255:G255"/>
    <mergeCell ref="J199:M199"/>
    <mergeCell ref="E202:H202"/>
    <mergeCell ref="E174:H174"/>
    <mergeCell ref="F175:G175"/>
    <mergeCell ref="E192:G192"/>
    <mergeCell ref="J192:L192"/>
    <mergeCell ref="I197:I208"/>
    <mergeCell ref="J197:M197"/>
    <mergeCell ref="N197:N208"/>
    <mergeCell ref="J223:M223"/>
    <mergeCell ref="O223:R223"/>
    <mergeCell ref="E226:H226"/>
    <mergeCell ref="J226:M226"/>
    <mergeCell ref="E228:G228"/>
    <mergeCell ref="J228:L228"/>
    <mergeCell ref="O228:Q228"/>
    <mergeCell ref="E229:G229"/>
    <mergeCell ref="J255:L255"/>
    <mergeCell ref="O255:Q255"/>
    <mergeCell ref="J245:M245"/>
    <mergeCell ref="N245:N256"/>
    <mergeCell ref="J246:M246"/>
    <mergeCell ref="J247:M247"/>
    <mergeCell ref="J250:M250"/>
    <mergeCell ref="J251:M251"/>
    <mergeCell ref="J252:L252"/>
    <mergeCell ref="E217:G217"/>
    <mergeCell ref="E223:H223"/>
    <mergeCell ref="E241:G241"/>
    <mergeCell ref="J241:L241"/>
    <mergeCell ref="O241:Q241"/>
    <mergeCell ref="I245:I256"/>
    <mergeCell ref="E247:H247"/>
    <mergeCell ref="O256:Q256"/>
    <mergeCell ref="E258:G258"/>
    <mergeCell ref="J258:L258"/>
    <mergeCell ref="O258:Q258"/>
    <mergeCell ref="E265:G265"/>
    <mergeCell ref="J265:L265"/>
    <mergeCell ref="O265:Q265"/>
    <mergeCell ref="J273:M273"/>
    <mergeCell ref="J274:M274"/>
    <mergeCell ref="E274:H274"/>
    <mergeCell ref="E275:G275"/>
    <mergeCell ref="E277:G277"/>
    <mergeCell ref="E278:G278"/>
    <mergeCell ref="E279:G279"/>
    <mergeCell ref="E281:G281"/>
    <mergeCell ref="E288:G288"/>
    <mergeCell ref="E292:H292"/>
    <mergeCell ref="O274:R274"/>
    <mergeCell ref="O275:Q275"/>
    <mergeCell ref="O277:Q277"/>
    <mergeCell ref="O278:Q278"/>
    <mergeCell ref="O279:Q279"/>
    <mergeCell ref="O281:Q281"/>
    <mergeCell ref="O288:Q288"/>
    <mergeCell ref="O292:R292"/>
    <mergeCell ref="J289:L289"/>
    <mergeCell ref="J292:M292"/>
    <mergeCell ref="J275:L275"/>
    <mergeCell ref="J276:L276"/>
    <mergeCell ref="J277:L277"/>
    <mergeCell ref="J278:L278"/>
    <mergeCell ref="J279:L279"/>
    <mergeCell ref="J281:L281"/>
    <mergeCell ref="J288:L288"/>
    <mergeCell ref="Y324:AB324"/>
    <mergeCell ref="Y325:AA325"/>
    <mergeCell ref="Y319:AB319"/>
    <mergeCell ref="AD319:AG319"/>
    <mergeCell ref="AD320:AG320"/>
    <mergeCell ref="AE321:AF321"/>
    <mergeCell ref="Y323:AB323"/>
    <mergeCell ref="AD323:AG323"/>
    <mergeCell ref="AD324:AG324"/>
    <mergeCell ref="O293:R293"/>
    <mergeCell ref="O294:R294"/>
    <mergeCell ref="P295:Q295"/>
    <mergeCell ref="O297:R297"/>
    <mergeCell ref="T297:W297"/>
    <mergeCell ref="O298:R298"/>
    <mergeCell ref="O299:Q299"/>
    <mergeCell ref="O300:Q300"/>
    <mergeCell ref="T300:V300"/>
    <mergeCell ref="J301:L301"/>
    <mergeCell ref="O301:Q301"/>
    <mergeCell ref="T301:V301"/>
    <mergeCell ref="Y301:AA301"/>
    <mergeCell ref="AD301:AF301"/>
    <mergeCell ref="T302:V302"/>
    <mergeCell ref="T303:V303"/>
    <mergeCell ref="T305:V305"/>
    <mergeCell ref="Y305:AA305"/>
    <mergeCell ref="AD302:AF302"/>
    <mergeCell ref="AD303:AF303"/>
    <mergeCell ref="AD305:AF305"/>
    <mergeCell ref="E301:G301"/>
    <mergeCell ref="E302:G302"/>
    <mergeCell ref="O302:Q302"/>
    <mergeCell ref="Y302:AA302"/>
    <mergeCell ref="E303:G303"/>
    <mergeCell ref="O303:Q303"/>
    <mergeCell ref="Y303:AA303"/>
    <mergeCell ref="J302:L302"/>
    <mergeCell ref="J303:L303"/>
    <mergeCell ref="E305:G305"/>
    <mergeCell ref="J305:L305"/>
    <mergeCell ref="O305:Q305"/>
    <mergeCell ref="E312:G312"/>
    <mergeCell ref="J312:L312"/>
    <mergeCell ref="J318:M318"/>
    <mergeCell ref="O318:R318"/>
    <mergeCell ref="J325:L325"/>
    <mergeCell ref="J326:L326"/>
    <mergeCell ref="J327:L327"/>
    <mergeCell ref="O327:Q327"/>
    <mergeCell ref="J328:L328"/>
    <mergeCell ref="O328:Q328"/>
    <mergeCell ref="O324:R324"/>
    <mergeCell ref="O325:Q325"/>
    <mergeCell ref="AD325:AF325"/>
    <mergeCell ref="Y326:AA326"/>
    <mergeCell ref="AD326:AF326"/>
    <mergeCell ref="Y327:AA327"/>
    <mergeCell ref="Y328:AA328"/>
    <mergeCell ref="T331:V331"/>
    <mergeCell ref="T338:V338"/>
    <mergeCell ref="T319:W319"/>
    <mergeCell ref="T320:W320"/>
    <mergeCell ref="T323:W323"/>
    <mergeCell ref="T324:W324"/>
    <mergeCell ref="T325:V325"/>
    <mergeCell ref="T326:V326"/>
    <mergeCell ref="T327:V327"/>
    <mergeCell ref="J323:M323"/>
    <mergeCell ref="J324:M324"/>
    <mergeCell ref="J329:L329"/>
    <mergeCell ref="O329:Q329"/>
    <mergeCell ref="J331:L331"/>
    <mergeCell ref="O331:Q331"/>
    <mergeCell ref="O338:Q338"/>
    <mergeCell ref="E324:H324"/>
    <mergeCell ref="E325:G325"/>
    <mergeCell ref="E327:G327"/>
    <mergeCell ref="E328:G328"/>
    <mergeCell ref="E329:G329"/>
    <mergeCell ref="E331:G331"/>
    <mergeCell ref="E338:G338"/>
    <mergeCell ref="O344:R344"/>
    <mergeCell ref="O345:R345"/>
    <mergeCell ref="Y344:AB344"/>
    <mergeCell ref="Y345:AB345"/>
    <mergeCell ref="E343:H343"/>
    <mergeCell ref="C344:C345"/>
    <mergeCell ref="J344:M344"/>
    <mergeCell ref="T344:W344"/>
    <mergeCell ref="AD344:AG344"/>
    <mergeCell ref="J345:M345"/>
    <mergeCell ref="T345:W345"/>
    <mergeCell ref="AD345:AG345"/>
    <mergeCell ref="Y348:AB348"/>
    <mergeCell ref="AD348:AG348"/>
    <mergeCell ref="Y349:AB349"/>
    <mergeCell ref="AD349:AG349"/>
    <mergeCell ref="Y350:AA350"/>
    <mergeCell ref="AD350:AF350"/>
    <mergeCell ref="AD351:AF351"/>
    <mergeCell ref="Y363:AA363"/>
    <mergeCell ref="AD363:AF363"/>
    <mergeCell ref="Y364:AA364"/>
    <mergeCell ref="Y351:AA351"/>
    <mergeCell ref="Y352:AA352"/>
    <mergeCell ref="Y353:AA353"/>
    <mergeCell ref="Y354:AA354"/>
    <mergeCell ref="AD354:AF354"/>
    <mergeCell ref="Y356:AA356"/>
    <mergeCell ref="AD356:AF356"/>
    <mergeCell ref="O312:Q312"/>
    <mergeCell ref="T312:V312"/>
    <mergeCell ref="Y312:AA312"/>
    <mergeCell ref="AD312:AF312"/>
    <mergeCell ref="AD313:AF313"/>
    <mergeCell ref="E316:AG316"/>
    <mergeCell ref="E318:H318"/>
    <mergeCell ref="AD318:AG318"/>
    <mergeCell ref="T318:W318"/>
    <mergeCell ref="Y318:AB318"/>
    <mergeCell ref="C319:C320"/>
    <mergeCell ref="E319:H319"/>
    <mergeCell ref="O319:R319"/>
    <mergeCell ref="E320:H320"/>
    <mergeCell ref="O320:R320"/>
    <mergeCell ref="Y320:AB320"/>
    <mergeCell ref="J319:M319"/>
    <mergeCell ref="J320:M320"/>
    <mergeCell ref="C321:C323"/>
    <mergeCell ref="E323:H323"/>
    <mergeCell ref="O323:R323"/>
    <mergeCell ref="C324:C326"/>
    <mergeCell ref="E326:G326"/>
    <mergeCell ref="O326:Q326"/>
    <mergeCell ref="AD327:AF327"/>
    <mergeCell ref="AD328:AF328"/>
    <mergeCell ref="AD329:AF329"/>
    <mergeCell ref="AD331:AF331"/>
    <mergeCell ref="AD338:AF338"/>
    <mergeCell ref="T328:V328"/>
    <mergeCell ref="T329:V329"/>
    <mergeCell ref="Y329:AA329"/>
    <mergeCell ref="Y331:AA331"/>
    <mergeCell ref="Y338:AA338"/>
    <mergeCell ref="Y339:AA339"/>
    <mergeCell ref="E341:AG341"/>
    <mergeCell ref="J338:L338"/>
    <mergeCell ref="J343:M343"/>
    <mergeCell ref="O343:R343"/>
    <mergeCell ref="T343:W343"/>
    <mergeCell ref="Y343:AB343"/>
    <mergeCell ref="AD343:AG343"/>
    <mergeCell ref="AD352:AF352"/>
    <mergeCell ref="AD353:AF353"/>
    <mergeCell ref="T398:W398"/>
    <mergeCell ref="Y398:AB398"/>
    <mergeCell ref="T388:V388"/>
    <mergeCell ref="T389:V389"/>
    <mergeCell ref="Y389:AA389"/>
    <mergeCell ref="J392:M392"/>
    <mergeCell ref="X392:X403"/>
    <mergeCell ref="AC392:AC403"/>
    <mergeCell ref="J393:M393"/>
    <mergeCell ref="J400:L400"/>
    <mergeCell ref="O400:Q400"/>
    <mergeCell ref="T400:V400"/>
    <mergeCell ref="Y400:AA400"/>
    <mergeCell ref="J401:L401"/>
    <mergeCell ref="O401:Q401"/>
    <mergeCell ref="T401:V401"/>
    <mergeCell ref="Y401:AA401"/>
    <mergeCell ref="J402:L402"/>
    <mergeCell ref="O402:Q402"/>
    <mergeCell ref="T402:V402"/>
    <mergeCell ref="Y402:AA402"/>
    <mergeCell ref="J403:L403"/>
    <mergeCell ref="O403:Q403"/>
    <mergeCell ref="E397:H397"/>
    <mergeCell ref="E398:H398"/>
    <mergeCell ref="AD399:AF399"/>
    <mergeCell ref="AD400:AF400"/>
    <mergeCell ref="AD401:AF401"/>
    <mergeCell ref="T403:V403"/>
    <mergeCell ref="Y403:AA403"/>
    <mergeCell ref="O405:Q405"/>
    <mergeCell ref="T405:V405"/>
    <mergeCell ref="Y405:AA405"/>
    <mergeCell ref="AD405:AF405"/>
    <mergeCell ref="E412:G412"/>
    <mergeCell ref="J412:L412"/>
    <mergeCell ref="O412:Q412"/>
    <mergeCell ref="T412:V412"/>
    <mergeCell ref="Y412:AA412"/>
    <mergeCell ref="AD412:AF412"/>
    <mergeCell ref="J413:L413"/>
    <mergeCell ref="E399:G399"/>
    <mergeCell ref="E400:G400"/>
    <mergeCell ref="E401:G401"/>
    <mergeCell ref="E402:G402"/>
    <mergeCell ref="E403:G403"/>
    <mergeCell ref="E405:G405"/>
    <mergeCell ref="J405:L405"/>
    <mergeCell ref="O379:Q379"/>
    <mergeCell ref="T379:V379"/>
    <mergeCell ref="Y379:AA379"/>
    <mergeCell ref="AD379:AF379"/>
    <mergeCell ref="E381:G381"/>
    <mergeCell ref="J381:L381"/>
    <mergeCell ref="O381:Q381"/>
    <mergeCell ref="T381:V381"/>
    <mergeCell ref="Y381:AA381"/>
    <mergeCell ref="AD381:AF381"/>
    <mergeCell ref="E376:G376"/>
    <mergeCell ref="E377:G377"/>
    <mergeCell ref="J377:L377"/>
    <mergeCell ref="O377:Q377"/>
    <mergeCell ref="E378:G378"/>
    <mergeCell ref="O378:Q378"/>
    <mergeCell ref="E379:G379"/>
    <mergeCell ref="J378:L378"/>
    <mergeCell ref="J379:L379"/>
    <mergeCell ref="E388:G388"/>
    <mergeCell ref="J388:L388"/>
    <mergeCell ref="O388:Q388"/>
    <mergeCell ref="Y388:AA388"/>
    <mergeCell ref="AD388:AF388"/>
    <mergeCell ref="O392:R392"/>
    <mergeCell ref="O393:R393"/>
    <mergeCell ref="E392:H392"/>
    <mergeCell ref="C393:C394"/>
    <mergeCell ref="E393:H393"/>
    <mergeCell ref="E394:H394"/>
    <mergeCell ref="C395:C397"/>
    <mergeCell ref="F395:G395"/>
    <mergeCell ref="C398:C400"/>
    <mergeCell ref="AD402:AF402"/>
    <mergeCell ref="AD403:AF403"/>
    <mergeCell ref="T353:V353"/>
    <mergeCell ref="T354:V354"/>
    <mergeCell ref="T356:V356"/>
    <mergeCell ref="T363:V363"/>
    <mergeCell ref="Y368:AB368"/>
    <mergeCell ref="AD368:AG368"/>
    <mergeCell ref="Y369:AB369"/>
    <mergeCell ref="AD369:AG369"/>
    <mergeCell ref="E354:G354"/>
    <mergeCell ref="J354:L354"/>
    <mergeCell ref="E356:G356"/>
    <mergeCell ref="J356:L356"/>
    <mergeCell ref="E363:G363"/>
    <mergeCell ref="J363:L363"/>
    <mergeCell ref="E366:AG366"/>
    <mergeCell ref="J369:M369"/>
    <mergeCell ref="J370:M370"/>
    <mergeCell ref="E368:H368"/>
    <mergeCell ref="J368:M368"/>
    <mergeCell ref="O368:R368"/>
    <mergeCell ref="C369:C370"/>
    <mergeCell ref="E369:H369"/>
    <mergeCell ref="O369:R369"/>
    <mergeCell ref="E370:H370"/>
    <mergeCell ref="O370:R370"/>
    <mergeCell ref="T370:W370"/>
    <mergeCell ref="Y370:AB370"/>
    <mergeCell ref="AD370:AG370"/>
    <mergeCell ref="Y373:AB373"/>
    <mergeCell ref="AD373:AG373"/>
    <mergeCell ref="AD374:AG374"/>
    <mergeCell ref="AD377:AF377"/>
    <mergeCell ref="AD378:AF378"/>
    <mergeCell ref="Y374:AB374"/>
    <mergeCell ref="Y375:AA375"/>
    <mergeCell ref="AD375:AF375"/>
    <mergeCell ref="Y376:AA376"/>
    <mergeCell ref="AD376:AF376"/>
    <mergeCell ref="Y377:AA377"/>
    <mergeCell ref="Y378:AA378"/>
    <mergeCell ref="J373:M373"/>
    <mergeCell ref="J374:M374"/>
    <mergeCell ref="T373:W373"/>
    <mergeCell ref="T374:W374"/>
    <mergeCell ref="T368:W368"/>
    <mergeCell ref="T369:W369"/>
    <mergeCell ref="P371:Q371"/>
    <mergeCell ref="E373:H373"/>
    <mergeCell ref="O373:R373"/>
    <mergeCell ref="E374:H374"/>
    <mergeCell ref="O374:R374"/>
    <mergeCell ref="O375:Q375"/>
    <mergeCell ref="O376:Q376"/>
    <mergeCell ref="C371:C373"/>
    <mergeCell ref="C374:C376"/>
    <mergeCell ref="E375:G375"/>
    <mergeCell ref="J375:L375"/>
    <mergeCell ref="T375:V375"/>
    <mergeCell ref="J376:L376"/>
    <mergeCell ref="T376:V376"/>
    <mergeCell ref="E348:H348"/>
    <mergeCell ref="E349:H349"/>
    <mergeCell ref="E344:H344"/>
    <mergeCell ref="E345:H345"/>
    <mergeCell ref="C346:C348"/>
    <mergeCell ref="J348:M348"/>
    <mergeCell ref="T348:W348"/>
    <mergeCell ref="J349:M349"/>
    <mergeCell ref="T349:W349"/>
    <mergeCell ref="J352:L352"/>
    <mergeCell ref="J353:L353"/>
    <mergeCell ref="O352:Q352"/>
    <mergeCell ref="O353:Q353"/>
    <mergeCell ref="O354:Q354"/>
    <mergeCell ref="O356:Q356"/>
    <mergeCell ref="O363:Q363"/>
    <mergeCell ref="C349:C351"/>
    <mergeCell ref="E350:G350"/>
    <mergeCell ref="J350:L350"/>
    <mergeCell ref="E351:G351"/>
    <mergeCell ref="J351:L351"/>
    <mergeCell ref="E352:G352"/>
    <mergeCell ref="E353:G353"/>
    <mergeCell ref="O348:R348"/>
    <mergeCell ref="O349:R349"/>
    <mergeCell ref="O350:Q350"/>
    <mergeCell ref="T350:V350"/>
    <mergeCell ref="O351:Q351"/>
    <mergeCell ref="T351:V351"/>
    <mergeCell ref="T352:V352"/>
    <mergeCell ref="T377:V377"/>
    <mergeCell ref="T378:V378"/>
    <mergeCell ref="T393:W393"/>
    <mergeCell ref="Y393:AB393"/>
    <mergeCell ref="J394:M394"/>
    <mergeCell ref="O394:R394"/>
    <mergeCell ref="T394:W394"/>
    <mergeCell ref="Y394:AB394"/>
    <mergeCell ref="J397:M397"/>
    <mergeCell ref="O397:R397"/>
    <mergeCell ref="T397:W397"/>
    <mergeCell ref="Y397:AB397"/>
    <mergeCell ref="J398:M398"/>
    <mergeCell ref="O398:R398"/>
    <mergeCell ref="J399:L399"/>
    <mergeCell ref="O399:Q399"/>
    <mergeCell ref="T399:V399"/>
    <mergeCell ref="Y399:AA399"/>
    <mergeCell ref="T392:W392"/>
    <mergeCell ref="Y392:AB392"/>
    <mergeCell ref="AD392:AG392"/>
    <mergeCell ref="AD393:AG393"/>
    <mergeCell ref="AD394:AG394"/>
    <mergeCell ref="AD397:AG397"/>
    <mergeCell ref="AD398:AG398"/>
    <mergeCell ref="J5:M5"/>
    <mergeCell ref="O5:R5"/>
    <mergeCell ref="X3:AA3"/>
    <mergeCell ref="Y5:AB5"/>
    <mergeCell ref="AD5:AG5"/>
    <mergeCell ref="E5:H5"/>
    <mergeCell ref="C6:C7"/>
    <mergeCell ref="E6:H6"/>
    <mergeCell ref="E7:H7"/>
    <mergeCell ref="J6:M6"/>
    <mergeCell ref="O6:R6"/>
    <mergeCell ref="T6:W6"/>
    <mergeCell ref="Y6:AB6"/>
    <mergeCell ref="AD6:AG6"/>
    <mergeCell ref="J7:M7"/>
    <mergeCell ref="O7:R7"/>
    <mergeCell ref="T7:W7"/>
    <mergeCell ref="Y7:AB7"/>
    <mergeCell ref="AD7:AG7"/>
    <mergeCell ref="T3:W3"/>
    <mergeCell ref="T5:W5"/>
    <mergeCell ref="C8:C10"/>
    <mergeCell ref="K8:L8"/>
    <mergeCell ref="E10:H10"/>
    <mergeCell ref="O8:R8"/>
    <mergeCell ref="T8:W8"/>
    <mergeCell ref="AD8:AG8"/>
    <mergeCell ref="O10:R10"/>
    <mergeCell ref="T10:W10"/>
    <mergeCell ref="AD10:AG10"/>
    <mergeCell ref="I5:I16"/>
    <mergeCell ref="C11:C13"/>
    <mergeCell ref="E11:H11"/>
    <mergeCell ref="E12:G12"/>
    <mergeCell ref="E16:G16"/>
    <mergeCell ref="J16:L16"/>
    <mergeCell ref="O11:R11"/>
    <mergeCell ref="T11:W11"/>
    <mergeCell ref="AD11:AG11"/>
    <mergeCell ref="T16:W16"/>
    <mergeCell ref="Y16:AB16"/>
    <mergeCell ref="Y11:AB11"/>
    <mergeCell ref="O12:R12"/>
    <mergeCell ref="AD12:AG12"/>
    <mergeCell ref="AD13:AG13"/>
    <mergeCell ref="AD14:AG14"/>
    <mergeCell ref="AD15:AG15"/>
    <mergeCell ref="O16:R16"/>
    <mergeCell ref="AD16:AG16"/>
    <mergeCell ref="T12:W12"/>
    <mergeCell ref="Y12:AB12"/>
    <mergeCell ref="E13:G13"/>
    <mergeCell ref="O13:R13"/>
    <mergeCell ref="T13:W13"/>
    <mergeCell ref="Y13:AB13"/>
    <mergeCell ref="E14:G14"/>
    <mergeCell ref="O14:R14"/>
    <mergeCell ref="T14:W14"/>
    <mergeCell ref="Y14:AB14"/>
    <mergeCell ref="E15:G15"/>
    <mergeCell ref="O15:R15"/>
    <mergeCell ref="T15:W15"/>
    <mergeCell ref="Y15:AB15"/>
    <mergeCell ref="J38:L38"/>
    <mergeCell ref="O38:R38"/>
    <mergeCell ref="Y39:AB39"/>
    <mergeCell ref="J40:L40"/>
    <mergeCell ref="O40:R40"/>
    <mergeCell ref="T40:W40"/>
    <mergeCell ref="Y40:AB40"/>
    <mergeCell ref="I29:I40"/>
    <mergeCell ref="N29:N40"/>
    <mergeCell ref="S29:S40"/>
    <mergeCell ref="X29:X40"/>
    <mergeCell ref="AC29:AC40"/>
    <mergeCell ref="T32:W32"/>
    <mergeCell ref="T35:W35"/>
    <mergeCell ref="O31:R31"/>
    <mergeCell ref="T31:W31"/>
    <mergeCell ref="J35:M35"/>
    <mergeCell ref="O35:R35"/>
    <mergeCell ref="Y34:AB34"/>
    <mergeCell ref="Y35:AB35"/>
    <mergeCell ref="J36:L36"/>
    <mergeCell ref="O36:R36"/>
    <mergeCell ref="T36:W36"/>
    <mergeCell ref="Y36:AB36"/>
    <mergeCell ref="J37:L37"/>
    <mergeCell ref="O37:R37"/>
    <mergeCell ref="T37:W37"/>
    <mergeCell ref="Y37:AB37"/>
    <mergeCell ref="T38:W38"/>
    <mergeCell ref="T39:W39"/>
    <mergeCell ref="O34:R34"/>
    <mergeCell ref="T34:W34"/>
    <mergeCell ref="AD34:AG34"/>
    <mergeCell ref="AD35:AG35"/>
    <mergeCell ref="AD36:AG36"/>
    <mergeCell ref="Y38:AB38"/>
    <mergeCell ref="O39:R39"/>
    <mergeCell ref="AD39:AG39"/>
    <mergeCell ref="E34:H34"/>
    <mergeCell ref="J34:M34"/>
    <mergeCell ref="J39:L39"/>
    <mergeCell ref="J42:L42"/>
    <mergeCell ref="E25:G25"/>
    <mergeCell ref="E35:H35"/>
    <mergeCell ref="E36:G36"/>
    <mergeCell ref="E37:G37"/>
    <mergeCell ref="E38:G38"/>
    <mergeCell ref="E39:G39"/>
    <mergeCell ref="E40:G40"/>
    <mergeCell ref="N5:N16"/>
    <mergeCell ref="J10:M10"/>
    <mergeCell ref="J11:M11"/>
    <mergeCell ref="J12:L12"/>
    <mergeCell ref="J13:L13"/>
    <mergeCell ref="J14:L14"/>
    <mergeCell ref="J15:L15"/>
    <mergeCell ref="E3:S3"/>
    <mergeCell ref="AB3:AE3"/>
    <mergeCell ref="S5:S16"/>
    <mergeCell ref="X5:X16"/>
    <mergeCell ref="AC5:AC16"/>
    <mergeCell ref="Y8:AB8"/>
    <mergeCell ref="Y10:AB10"/>
    <mergeCell ref="J29:M29"/>
    <mergeCell ref="O29:R29"/>
    <mergeCell ref="T29:W29"/>
    <mergeCell ref="Y29:AB29"/>
    <mergeCell ref="AD29:AG29"/>
    <mergeCell ref="E29:H29"/>
    <mergeCell ref="E30:H30"/>
    <mergeCell ref="J30:M30"/>
    <mergeCell ref="O30:R30"/>
    <mergeCell ref="T30:W30"/>
    <mergeCell ref="Y30:AB30"/>
    <mergeCell ref="AD30:AG30"/>
    <mergeCell ref="AD31:AG31"/>
    <mergeCell ref="AD32:AG32"/>
    <mergeCell ref="E31:H31"/>
    <mergeCell ref="J31:M31"/>
    <mergeCell ref="E18:G18"/>
    <mergeCell ref="J18:L18"/>
    <mergeCell ref="J25:L25"/>
    <mergeCell ref="E27:S27"/>
    <mergeCell ref="T27:W27"/>
    <mergeCell ref="X27:AA27"/>
    <mergeCell ref="AB27:AE27"/>
    <mergeCell ref="C30:C31"/>
    <mergeCell ref="C32:C34"/>
    <mergeCell ref="C35:C37"/>
    <mergeCell ref="C54:C55"/>
    <mergeCell ref="K32:L32"/>
    <mergeCell ref="O32:R32"/>
    <mergeCell ref="Y31:AB31"/>
    <mergeCell ref="Y32:AB32"/>
    <mergeCell ref="AD37:AG37"/>
    <mergeCell ref="AD38:AG38"/>
    <mergeCell ref="AD40:AG40"/>
    <mergeCell ref="E42:G42"/>
    <mergeCell ref="E49:G49"/>
    <mergeCell ref="J49:L49"/>
    <mergeCell ref="E51:S51"/>
    <mergeCell ref="T51:W51"/>
    <mergeCell ref="X51:AA51"/>
    <mergeCell ref="AB51:AE51"/>
    <mergeCell ref="E53:H53"/>
    <mergeCell ref="E54:H54"/>
    <mergeCell ref="E55:H55"/>
    <mergeCell ref="T53:W53"/>
    <mergeCell ref="Y53:AB53"/>
    <mergeCell ref="AD53:AG53"/>
    <mergeCell ref="O53:R53"/>
    <mergeCell ref="O54:R54"/>
    <mergeCell ref="T54:W54"/>
    <mergeCell ref="Y54:AB54"/>
    <mergeCell ref="AD54:AG54"/>
    <mergeCell ref="T55:W55"/>
    <mergeCell ref="Y55:AB55"/>
    <mergeCell ref="AD55:AG55"/>
    <mergeCell ref="T56:W56"/>
    <mergeCell ref="Y56:AB56"/>
    <mergeCell ref="AD56:AG56"/>
    <mergeCell ref="T58:W58"/>
    <mergeCell ref="Y58:AB58"/>
    <mergeCell ref="AD58:AG58"/>
    <mergeCell ref="AD59:AG59"/>
    <mergeCell ref="AD60:AG60"/>
    <mergeCell ref="AD61:AG61"/>
    <mergeCell ref="E58:H58"/>
    <mergeCell ref="E59:H59"/>
    <mergeCell ref="J59:M59"/>
    <mergeCell ref="O59:R59"/>
    <mergeCell ref="T59:W59"/>
    <mergeCell ref="Y59:AB59"/>
    <mergeCell ref="E60:G60"/>
    <mergeCell ref="J60:L60"/>
    <mergeCell ref="O60:R60"/>
    <mergeCell ref="T60:W60"/>
    <mergeCell ref="E61:G61"/>
    <mergeCell ref="J61:L61"/>
    <mergeCell ref="E62:G62"/>
    <mergeCell ref="J62:L62"/>
    <mergeCell ref="Y60:AB60"/>
    <mergeCell ref="O61:R61"/>
    <mergeCell ref="T61:W61"/>
    <mergeCell ref="Y61:AB61"/>
    <mergeCell ref="O62:R62"/>
    <mergeCell ref="T62:W62"/>
    <mergeCell ref="AD62:AG62"/>
    <mergeCell ref="AD63:AG63"/>
    <mergeCell ref="AD64:AG64"/>
    <mergeCell ref="J55:M55"/>
    <mergeCell ref="O55:R55"/>
    <mergeCell ref="C56:C58"/>
    <mergeCell ref="O56:R56"/>
    <mergeCell ref="J58:M58"/>
    <mergeCell ref="O58:R58"/>
    <mergeCell ref="C59:C61"/>
    <mergeCell ref="Y62:AB62"/>
    <mergeCell ref="O63:R63"/>
    <mergeCell ref="T63:W63"/>
    <mergeCell ref="Y63:AB63"/>
    <mergeCell ref="O64:R64"/>
    <mergeCell ref="T64:W64"/>
    <mergeCell ref="I53:I64"/>
    <mergeCell ref="J53:M53"/>
    <mergeCell ref="N53:N64"/>
    <mergeCell ref="S53:S64"/>
    <mergeCell ref="X53:X64"/>
    <mergeCell ref="AC53:AC64"/>
    <mergeCell ref="J54:M54"/>
    <mergeCell ref="Y64:AB64"/>
    <mergeCell ref="E63:G63"/>
    <mergeCell ref="J63:L63"/>
    <mergeCell ref="E64:G64"/>
    <mergeCell ref="J64:L64"/>
    <mergeCell ref="E66:G66"/>
    <mergeCell ref="J66:L66"/>
    <mergeCell ref="J73:L73"/>
    <mergeCell ref="T76:W76"/>
    <mergeCell ref="Y76:AB76"/>
    <mergeCell ref="AD76:AG76"/>
    <mergeCell ref="AD77:AG77"/>
    <mergeCell ref="AD78:AG78"/>
    <mergeCell ref="AD79:AG79"/>
    <mergeCell ref="E76:H76"/>
    <mergeCell ref="C77:C78"/>
    <mergeCell ref="E77:H77"/>
    <mergeCell ref="O76:R76"/>
    <mergeCell ref="O77:R77"/>
    <mergeCell ref="T77:W77"/>
    <mergeCell ref="Y77:AB77"/>
    <mergeCell ref="J77:M77"/>
    <mergeCell ref="J78:M78"/>
    <mergeCell ref="O78:R78"/>
    <mergeCell ref="T78:W78"/>
    <mergeCell ref="E78:H78"/>
    <mergeCell ref="C79:C81"/>
    <mergeCell ref="F79:G79"/>
    <mergeCell ref="E81:H81"/>
    <mergeCell ref="K79:L79"/>
    <mergeCell ref="O79:R79"/>
    <mergeCell ref="Y78:AB78"/>
    <mergeCell ref="Y79:AB79"/>
    <mergeCell ref="AD81:AG81"/>
    <mergeCell ref="AD82:AG82"/>
    <mergeCell ref="AD83:AG83"/>
    <mergeCell ref="J81:M81"/>
    <mergeCell ref="O81:R81"/>
    <mergeCell ref="T81:W81"/>
    <mergeCell ref="Y81:AB81"/>
    <mergeCell ref="C82:C84"/>
    <mergeCell ref="E82:H82"/>
    <mergeCell ref="E83:G83"/>
    <mergeCell ref="E84:G84"/>
    <mergeCell ref="J82:M82"/>
    <mergeCell ref="O82:R82"/>
    <mergeCell ref="T82:W82"/>
    <mergeCell ref="Y82:AB82"/>
    <mergeCell ref="J83:L83"/>
    <mergeCell ref="O83:R83"/>
    <mergeCell ref="T83:W83"/>
    <mergeCell ref="Y83:AB83"/>
    <mergeCell ref="AD84:AG84"/>
    <mergeCell ref="AD85:AG85"/>
    <mergeCell ref="AD86:AG86"/>
    <mergeCell ref="AD87:AG87"/>
    <mergeCell ref="J108:L108"/>
    <mergeCell ref="E109:G109"/>
    <mergeCell ref="E73:G73"/>
    <mergeCell ref="E86:G86"/>
    <mergeCell ref="E87:G87"/>
    <mergeCell ref="E89:G89"/>
    <mergeCell ref="E96:G96"/>
    <mergeCell ref="I101:I112"/>
    <mergeCell ref="N101:N112"/>
    <mergeCell ref="E125:H125"/>
    <mergeCell ref="E130:H130"/>
    <mergeCell ref="O130:R130"/>
    <mergeCell ref="E131:H131"/>
    <mergeCell ref="O131:R131"/>
    <mergeCell ref="E132:G132"/>
    <mergeCell ref="O132:Q132"/>
    <mergeCell ref="E133:G133"/>
    <mergeCell ref="O133:Q133"/>
    <mergeCell ref="E134:G134"/>
    <mergeCell ref="O134:Q134"/>
    <mergeCell ref="E135:G135"/>
    <mergeCell ref="O135:Q135"/>
    <mergeCell ref="J125:M125"/>
    <mergeCell ref="N125:N136"/>
    <mergeCell ref="J130:M130"/>
    <mergeCell ref="J131:M131"/>
    <mergeCell ref="J132:L132"/>
    <mergeCell ref="J133:L133"/>
    <mergeCell ref="J134:L134"/>
    <mergeCell ref="E136:G136"/>
    <mergeCell ref="O136:Q136"/>
    <mergeCell ref="E138:G138"/>
    <mergeCell ref="J138:L138"/>
    <mergeCell ref="O138:Q138"/>
    <mergeCell ref="E114:G114"/>
    <mergeCell ref="J114:L114"/>
    <mergeCell ref="E121:G121"/>
    <mergeCell ref="J121:L121"/>
    <mergeCell ref="O121:Q121"/>
    <mergeCell ref="I125:I136"/>
    <mergeCell ref="S125:S136"/>
    <mergeCell ref="O149:R149"/>
    <mergeCell ref="S149:S160"/>
    <mergeCell ref="O150:R150"/>
    <mergeCell ref="O151:R151"/>
    <mergeCell ref="O154:R154"/>
    <mergeCell ref="O155:R155"/>
    <mergeCell ref="E150:H150"/>
    <mergeCell ref="E151:H151"/>
    <mergeCell ref="E154:H154"/>
    <mergeCell ref="E155:H155"/>
    <mergeCell ref="J149:M149"/>
    <mergeCell ref="N149:N160"/>
    <mergeCell ref="J150:M150"/>
    <mergeCell ref="J151:M151"/>
    <mergeCell ref="J154:M154"/>
    <mergeCell ref="J155:M155"/>
    <mergeCell ref="J156:L156"/>
    <mergeCell ref="J135:L135"/>
    <mergeCell ref="J136:L136"/>
    <mergeCell ref="E145:G145"/>
    <mergeCell ref="J145:L145"/>
    <mergeCell ref="O145:Q145"/>
    <mergeCell ref="E149:H149"/>
    <mergeCell ref="I149:I160"/>
    <mergeCell ref="E156:G156"/>
    <mergeCell ref="O156:Q156"/>
    <mergeCell ref="E157:G157"/>
    <mergeCell ref="O157:Q157"/>
    <mergeCell ref="J157:L157"/>
    <mergeCell ref="J158:L158"/>
    <mergeCell ref="E158:G158"/>
    <mergeCell ref="O158:Q158"/>
    <mergeCell ref="E159:G159"/>
    <mergeCell ref="O159:Q159"/>
    <mergeCell ref="J159:L159"/>
    <mergeCell ref="J160:L160"/>
    <mergeCell ref="E169:G169"/>
    <mergeCell ref="J169:L169"/>
    <mergeCell ref="O169:Q169"/>
    <mergeCell ref="E172:H172"/>
    <mergeCell ref="J172:M172"/>
    <mergeCell ref="O172:R172"/>
    <mergeCell ref="E160:G160"/>
    <mergeCell ref="O160:Q160"/>
    <mergeCell ref="E162:G162"/>
    <mergeCell ref="J162:L162"/>
    <mergeCell ref="O162:Q162"/>
    <mergeCell ref="AD106:AG106"/>
    <mergeCell ref="O107:R107"/>
    <mergeCell ref="T107:W107"/>
    <mergeCell ref="Y107:AB107"/>
    <mergeCell ref="AD107:AG107"/>
    <mergeCell ref="Y112:AB112"/>
    <mergeCell ref="AD112:AG112"/>
    <mergeCell ref="J101:M101"/>
    <mergeCell ref="S101:S112"/>
    <mergeCell ref="T101:W101"/>
    <mergeCell ref="X101:X112"/>
    <mergeCell ref="AC101:AC112"/>
    <mergeCell ref="AD101:AG101"/>
    <mergeCell ref="AD104:AG104"/>
    <mergeCell ref="C126:C127"/>
    <mergeCell ref="E126:H126"/>
    <mergeCell ref="J126:M126"/>
    <mergeCell ref="E127:H127"/>
    <mergeCell ref="J127:M127"/>
    <mergeCell ref="C128:C130"/>
    <mergeCell ref="C131:C133"/>
    <mergeCell ref="O112:Q112"/>
    <mergeCell ref="T112:V112"/>
    <mergeCell ref="O114:Q114"/>
    <mergeCell ref="T114:V114"/>
    <mergeCell ref="T121:V121"/>
    <mergeCell ref="E123:W123"/>
    <mergeCell ref="AB123:AE123"/>
    <mergeCell ref="T125:W125"/>
    <mergeCell ref="T126:W126"/>
    <mergeCell ref="AD133:AG133"/>
    <mergeCell ref="AD134:AG134"/>
    <mergeCell ref="AD135:AG135"/>
    <mergeCell ref="AD136:AG136"/>
    <mergeCell ref="AD125:AG125"/>
    <mergeCell ref="AD126:AG126"/>
    <mergeCell ref="AD127:AG127"/>
    <mergeCell ref="AD128:AG128"/>
    <mergeCell ref="AD130:AG130"/>
    <mergeCell ref="AD131:AG131"/>
    <mergeCell ref="AD132:AG132"/>
    <mergeCell ref="AD155:AG155"/>
    <mergeCell ref="T156:V156"/>
    <mergeCell ref="Y156:AB156"/>
    <mergeCell ref="AD156:AG156"/>
    <mergeCell ref="T149:W149"/>
    <mergeCell ref="AD149:AG149"/>
    <mergeCell ref="C150:C151"/>
    <mergeCell ref="T150:W150"/>
    <mergeCell ref="AD150:AG150"/>
    <mergeCell ref="C152:C154"/>
    <mergeCell ref="C155:C157"/>
    <mergeCell ref="AD157:AG157"/>
    <mergeCell ref="X123:AA123"/>
    <mergeCell ref="O125:R125"/>
    <mergeCell ref="X125:X136"/>
    <mergeCell ref="Y125:AB125"/>
    <mergeCell ref="AC125:AC136"/>
    <mergeCell ref="O126:R126"/>
    <mergeCell ref="Y126:AB126"/>
    <mergeCell ref="T136:V136"/>
    <mergeCell ref="Y136:AB136"/>
    <mergeCell ref="T138:V138"/>
    <mergeCell ref="T145:V145"/>
    <mergeCell ref="E147:W147"/>
    <mergeCell ref="X147:AA147"/>
    <mergeCell ref="AB147:AE147"/>
    <mergeCell ref="Y151:AB151"/>
    <mergeCell ref="Y152:AB152"/>
    <mergeCell ref="AD151:AG151"/>
    <mergeCell ref="AD152:AG152"/>
    <mergeCell ref="T154:W154"/>
    <mergeCell ref="AD154:AG154"/>
    <mergeCell ref="T151:W151"/>
    <mergeCell ref="T155:W155"/>
    <mergeCell ref="T157:V157"/>
    <mergeCell ref="Y157:AB157"/>
    <mergeCell ref="Y177:AB177"/>
    <mergeCell ref="Y178:AB178"/>
    <mergeCell ref="Y179:AB179"/>
    <mergeCell ref="Y180:AB180"/>
    <mergeCell ref="Y181:AB181"/>
    <mergeCell ref="Y182:AB182"/>
    <mergeCell ref="Y154:AB154"/>
    <mergeCell ref="Y155:AB155"/>
    <mergeCell ref="Y172:AB172"/>
    <mergeCell ref="AC172:AC183"/>
    <mergeCell ref="Y173:AB173"/>
    <mergeCell ref="Y174:AB174"/>
    <mergeCell ref="Y175:AB175"/>
    <mergeCell ref="Y183:AB183"/>
    <mergeCell ref="AD178:AG178"/>
    <mergeCell ref="AD179:AG179"/>
    <mergeCell ref="AD182:AG182"/>
    <mergeCell ref="AD183:AG183"/>
    <mergeCell ref="AD159:AG159"/>
    <mergeCell ref="AD160:AG160"/>
    <mergeCell ref="AD172:AG172"/>
    <mergeCell ref="AD173:AG173"/>
    <mergeCell ref="AD174:AG174"/>
    <mergeCell ref="AD175:AG175"/>
    <mergeCell ref="AD177:AG177"/>
    <mergeCell ref="O178:R178"/>
    <mergeCell ref="T178:W178"/>
    <mergeCell ref="O182:Q182"/>
    <mergeCell ref="T182:V182"/>
    <mergeCell ref="O183:Q183"/>
    <mergeCell ref="T183:V183"/>
    <mergeCell ref="T162:V162"/>
    <mergeCell ref="T169:V169"/>
    <mergeCell ref="T172:W172"/>
    <mergeCell ref="X172:X183"/>
    <mergeCell ref="O173:R173"/>
    <mergeCell ref="T173:W173"/>
    <mergeCell ref="O174:R174"/>
    <mergeCell ref="Y127:AB127"/>
    <mergeCell ref="U128:V128"/>
    <mergeCell ref="Y128:AB128"/>
    <mergeCell ref="X149:X160"/>
    <mergeCell ref="Y149:AB149"/>
    <mergeCell ref="AC149:AC160"/>
    <mergeCell ref="Y150:AB150"/>
    <mergeCell ref="T158:V158"/>
    <mergeCell ref="Y158:AB158"/>
    <mergeCell ref="AD158:AG158"/>
    <mergeCell ref="T159:V159"/>
    <mergeCell ref="Y159:AB159"/>
    <mergeCell ref="T160:V160"/>
    <mergeCell ref="Y160:AB160"/>
    <mergeCell ref="T174:W174"/>
    <mergeCell ref="U175:V175"/>
    <mergeCell ref="O177:R177"/>
    <mergeCell ref="T177:W177"/>
    <mergeCell ref="O179:Q179"/>
    <mergeCell ref="T179:V179"/>
    <mergeCell ref="O180:Q180"/>
    <mergeCell ref="T180:V180"/>
    <mergeCell ref="AD180:AG180"/>
    <mergeCell ref="O181:Q181"/>
    <mergeCell ref="T181:V181"/>
    <mergeCell ref="AD181:AG181"/>
    <mergeCell ref="E85:G85"/>
    <mergeCell ref="J85:L85"/>
    <mergeCell ref="E102:H102"/>
    <mergeCell ref="J102:M102"/>
    <mergeCell ref="E110:G110"/>
    <mergeCell ref="J110:L110"/>
    <mergeCell ref="E111:G111"/>
    <mergeCell ref="J111:L111"/>
    <mergeCell ref="E112:G112"/>
    <mergeCell ref="J112:L112"/>
    <mergeCell ref="E177:H177"/>
    <mergeCell ref="J177:M177"/>
    <mergeCell ref="E197:H197"/>
    <mergeCell ref="E199:H199"/>
    <mergeCell ref="J203:M203"/>
    <mergeCell ref="J204:L204"/>
    <mergeCell ref="E205:G205"/>
    <mergeCell ref="J205:L205"/>
    <mergeCell ref="C198:C199"/>
    <mergeCell ref="E198:H198"/>
    <mergeCell ref="C200:C202"/>
    <mergeCell ref="J202:M202"/>
    <mergeCell ref="C203:C205"/>
    <mergeCell ref="E203:H203"/>
    <mergeCell ref="E204:G204"/>
    <mergeCell ref="O204:Q204"/>
    <mergeCell ref="O205:Q205"/>
    <mergeCell ref="O197:R197"/>
    <mergeCell ref="O198:R198"/>
    <mergeCell ref="O202:R202"/>
    <mergeCell ref="T202:W202"/>
    <mergeCell ref="O203:R203"/>
    <mergeCell ref="T203:W203"/>
    <mergeCell ref="T204:V204"/>
    <mergeCell ref="T205:V205"/>
    <mergeCell ref="AD203:AG203"/>
    <mergeCell ref="Y204:AA204"/>
    <mergeCell ref="AD204:AG204"/>
    <mergeCell ref="Y205:AA205"/>
    <mergeCell ref="AD205:AG205"/>
    <mergeCell ref="J206:L206"/>
    <mergeCell ref="O206:Q206"/>
    <mergeCell ref="T206:V206"/>
    <mergeCell ref="Y206:AA206"/>
    <mergeCell ref="AD206:AG206"/>
    <mergeCell ref="T207:V207"/>
    <mergeCell ref="T208:V208"/>
    <mergeCell ref="E206:G206"/>
    <mergeCell ref="E207:G207"/>
    <mergeCell ref="J207:L207"/>
    <mergeCell ref="O207:Q207"/>
    <mergeCell ref="E208:G208"/>
    <mergeCell ref="J208:L208"/>
    <mergeCell ref="O208:Q208"/>
    <mergeCell ref="E103:H103"/>
    <mergeCell ref="J103:M103"/>
    <mergeCell ref="C104:C106"/>
    <mergeCell ref="E106:H106"/>
    <mergeCell ref="J106:M106"/>
    <mergeCell ref="C107:C109"/>
    <mergeCell ref="J107:M107"/>
    <mergeCell ref="J109:L109"/>
    <mergeCell ref="C178:C180"/>
    <mergeCell ref="E178:H178"/>
    <mergeCell ref="E179:G179"/>
    <mergeCell ref="E180:G180"/>
    <mergeCell ref="E181:G181"/>
    <mergeCell ref="E182:G182"/>
    <mergeCell ref="E183:G183"/>
    <mergeCell ref="E185:G185"/>
    <mergeCell ref="E107:H107"/>
    <mergeCell ref="E108:G108"/>
    <mergeCell ref="C173:C174"/>
    <mergeCell ref="E173:H173"/>
    <mergeCell ref="J173:M173"/>
    <mergeCell ref="J174:M174"/>
    <mergeCell ref="C175:C177"/>
    <mergeCell ref="J178:M178"/>
    <mergeCell ref="J179:L179"/>
    <mergeCell ref="J180:L180"/>
    <mergeCell ref="J181:L181"/>
    <mergeCell ref="J182:L182"/>
    <mergeCell ref="J183:L183"/>
    <mergeCell ref="J185:L185"/>
    <mergeCell ref="Y202:AB202"/>
    <mergeCell ref="Y203:AB203"/>
    <mergeCell ref="Y207:AA207"/>
    <mergeCell ref="AD207:AG207"/>
    <mergeCell ref="Y208:AA208"/>
    <mergeCell ref="AD208:AG208"/>
    <mergeCell ref="Y197:AB197"/>
    <mergeCell ref="AC197:AC208"/>
    <mergeCell ref="AD197:AG197"/>
    <mergeCell ref="AD198:AG198"/>
    <mergeCell ref="AD199:AG199"/>
    <mergeCell ref="AD200:AG200"/>
    <mergeCell ref="AD202:AG202"/>
    <mergeCell ref="T221:W221"/>
    <mergeCell ref="Y221:AB221"/>
    <mergeCell ref="AD221:AG221"/>
    <mergeCell ref="AD222:AG222"/>
    <mergeCell ref="AD223:AG223"/>
    <mergeCell ref="AD224:AG224"/>
    <mergeCell ref="AD226:AG226"/>
    <mergeCell ref="X221:X232"/>
    <mergeCell ref="AC221:AC232"/>
    <mergeCell ref="Y229:AA229"/>
    <mergeCell ref="T231:V231"/>
    <mergeCell ref="Y231:AA231"/>
    <mergeCell ref="T232:V232"/>
    <mergeCell ref="Y232:AA232"/>
    <mergeCell ref="Y245:AB245"/>
    <mergeCell ref="Y246:AB246"/>
    <mergeCell ref="T246:W246"/>
    <mergeCell ref="T247:W247"/>
    <mergeCell ref="AD246:AG246"/>
    <mergeCell ref="AD247:AG247"/>
    <mergeCell ref="U248:V248"/>
    <mergeCell ref="AD248:AG248"/>
    <mergeCell ref="T250:W250"/>
    <mergeCell ref="Y250:AB250"/>
    <mergeCell ref="AD250:AG250"/>
    <mergeCell ref="T251:W251"/>
    <mergeCell ref="Y251:AB251"/>
    <mergeCell ref="AD251:AG251"/>
    <mergeCell ref="T252:V252"/>
    <mergeCell ref="Y252:AA252"/>
    <mergeCell ref="AD252:AG252"/>
    <mergeCell ref="T253:V253"/>
    <mergeCell ref="Y253:AA253"/>
    <mergeCell ref="AD253:AG253"/>
    <mergeCell ref="T254:V254"/>
    <mergeCell ref="Y254:AA254"/>
    <mergeCell ref="AD254:AG254"/>
    <mergeCell ref="T255:V255"/>
    <mergeCell ref="Y255:AA255"/>
    <mergeCell ref="AD255:AG255"/>
    <mergeCell ref="T241:V241"/>
    <mergeCell ref="Y241:AA241"/>
    <mergeCell ref="T245:W245"/>
    <mergeCell ref="X245:X256"/>
    <mergeCell ref="AC245:AC256"/>
    <mergeCell ref="AD245:AG245"/>
    <mergeCell ref="Y247:AB247"/>
    <mergeCell ref="AD256:AG256"/>
    <mergeCell ref="T268:W268"/>
    <mergeCell ref="Y268:AB268"/>
    <mergeCell ref="AD268:AG268"/>
  </mergeCells>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0" priority="1" operator="between">
      <formula>1</formula>
      <formula>95</formula>
    </cfRule>
  </conditionalFormatting>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1" priority="2" operator="between">
      <formula>96</formula>
      <formula>195</formula>
    </cfRule>
  </conditionalFormatting>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2" priority="3" operator="between">
      <formula>196</formula>
      <formula>260</formula>
    </cfRule>
  </conditionalFormatting>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3" priority="4" operator="between">
      <formula>261</formula>
      <formula>299</formula>
    </cfRule>
  </conditionalFormatting>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4" priority="5" operator="between">
      <formula>300</formula>
      <formula>350</formula>
    </cfRule>
  </conditionalFormatting>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5" priority="6" operator="between">
      <formula>351</formula>
      <formula>450</formula>
    </cfRule>
  </conditionalFormatting>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6" priority="7" operator="between">
      <formula>451</formula>
      <formula>1000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2316"/>
      <c r="B1" s="2287"/>
      <c r="C1" s="2320"/>
      <c r="D1" s="2287"/>
      <c r="E1" s="2287"/>
      <c r="F1" s="2287"/>
      <c r="G1" s="2287"/>
      <c r="H1" s="2287"/>
      <c r="I1" s="2287"/>
      <c r="J1" s="2287"/>
      <c r="K1" s="2287"/>
      <c r="L1" s="2287"/>
      <c r="M1" s="2287"/>
      <c r="N1" s="2287"/>
      <c r="O1" s="2287"/>
      <c r="P1" s="2287"/>
      <c r="Q1" s="2287"/>
      <c r="R1" s="2287"/>
      <c r="S1" s="2287"/>
      <c r="T1" s="2287"/>
      <c r="U1" s="2287"/>
      <c r="V1" s="2287"/>
      <c r="W1" s="2287"/>
      <c r="X1" s="2287"/>
      <c r="Y1" s="2287"/>
      <c r="Z1" s="2287"/>
      <c r="AA1" s="2287"/>
      <c r="AB1" s="2287"/>
      <c r="AC1" s="2287"/>
      <c r="AD1" s="2287"/>
      <c r="AE1" s="2287"/>
      <c r="AF1" s="2287"/>
      <c r="AG1" s="2287"/>
      <c r="AH1" s="2287"/>
      <c r="AI1" s="2316"/>
    </row>
    <row r="2" ht="7.5" customHeight="1">
      <c r="A2" s="2270"/>
      <c r="B2" s="2677"/>
      <c r="C2" s="2678"/>
      <c r="D2" s="2679"/>
      <c r="E2" s="2680"/>
      <c r="F2" s="2680"/>
      <c r="G2" s="2680"/>
      <c r="H2" s="2680"/>
      <c r="I2" s="2679"/>
      <c r="J2" s="2680"/>
      <c r="K2" s="2680"/>
      <c r="L2" s="2680"/>
      <c r="M2" s="2680"/>
      <c r="N2" s="2679"/>
      <c r="O2" s="2680"/>
      <c r="P2" s="2680"/>
      <c r="Q2" s="2680"/>
      <c r="R2" s="2680"/>
      <c r="S2" s="2679"/>
      <c r="T2" s="2679"/>
      <c r="U2" s="2679"/>
      <c r="V2" s="2679"/>
      <c r="W2" s="2679"/>
      <c r="X2" s="2679"/>
      <c r="Y2" s="2679"/>
      <c r="Z2" s="2679"/>
      <c r="AA2" s="2679"/>
      <c r="AB2" s="2679"/>
      <c r="AC2" s="2679"/>
      <c r="AD2" s="2679"/>
      <c r="AE2" s="2679"/>
      <c r="AF2" s="2679"/>
      <c r="AG2" s="2679"/>
      <c r="AH2" s="2681"/>
      <c r="AI2" s="2682"/>
    </row>
    <row r="3" ht="96.75" customHeight="1">
      <c r="A3" s="2270"/>
      <c r="B3" s="2683"/>
      <c r="C3" s="2684" t="str">
        <f>IMAGE("https://i.ibb.co/xhnkr2Z/Archer.png")</f>
        <v/>
      </c>
      <c r="D3" s="2685"/>
      <c r="E3" s="2686" t="str">
        <f t="array" ref="E3">IFERROR(VLOOKUP(E4,Dex!$B$3:$G330,3,FALSE),"")</f>
        <v/>
      </c>
      <c r="F3" s="1830"/>
      <c r="G3" s="1830"/>
      <c r="H3" s="1831"/>
      <c r="I3" s="2685"/>
      <c r="J3" s="2686" t="str">
        <f t="array" ref="J3">IFERROR(VLOOKUP(J4,Dex!$B$3:$G330,3,FALSE),"")</f>
        <v/>
      </c>
      <c r="K3" s="1830"/>
      <c r="L3" s="1830"/>
      <c r="M3" s="1831"/>
      <c r="N3" s="2685"/>
      <c r="O3" s="2686" t="str">
        <f t="array" ref="O3">IFERROR(VLOOKUP(O4,Dex!$B$3:$G330,3,FALSE),"")</f>
        <v/>
      </c>
      <c r="P3" s="1830"/>
      <c r="Q3" s="1830"/>
      <c r="R3" s="1831"/>
      <c r="S3" s="2687"/>
      <c r="T3" s="2688"/>
      <c r="U3" s="2689"/>
      <c r="V3" s="2689"/>
      <c r="W3" s="2690"/>
      <c r="X3" s="2691"/>
      <c r="Y3" s="2688"/>
      <c r="Z3" s="2689"/>
      <c r="AA3" s="2689"/>
      <c r="AB3" s="2690"/>
      <c r="AC3" s="2691"/>
      <c r="AD3" s="2688"/>
      <c r="AE3" s="2689"/>
      <c r="AF3" s="2689"/>
      <c r="AG3" s="2690"/>
      <c r="AH3" s="2692"/>
      <c r="AI3" s="2682"/>
    </row>
    <row r="4" ht="18.75" customHeight="1">
      <c r="A4" s="2297"/>
      <c r="B4" s="2693"/>
      <c r="C4" s="2694" t="s">
        <v>814</v>
      </c>
      <c r="D4" s="2695"/>
      <c r="E4" s="2696" t="s">
        <v>815</v>
      </c>
      <c r="F4" s="2697"/>
      <c r="G4" s="2697"/>
      <c r="H4" s="2698"/>
      <c r="I4" s="2695"/>
      <c r="J4" s="2696" t="s">
        <v>816</v>
      </c>
      <c r="K4" s="2697"/>
      <c r="L4" s="2697"/>
      <c r="M4" s="2698"/>
      <c r="N4" s="2695"/>
      <c r="O4" s="2696" t="s">
        <v>817</v>
      </c>
      <c r="P4" s="2697"/>
      <c r="Q4" s="2697"/>
      <c r="R4" s="2698"/>
      <c r="S4" s="2699"/>
      <c r="T4" s="2700"/>
      <c r="U4" s="2689"/>
      <c r="V4" s="2689"/>
      <c r="W4" s="2690"/>
      <c r="X4" s="2701"/>
      <c r="Y4" s="2700"/>
      <c r="Z4" s="2689"/>
      <c r="AA4" s="2689"/>
      <c r="AB4" s="2690"/>
      <c r="AC4" s="2701"/>
      <c r="AD4" s="2700"/>
      <c r="AE4" s="2689"/>
      <c r="AF4" s="2689"/>
      <c r="AG4" s="2690"/>
      <c r="AH4" s="2702"/>
      <c r="AI4" s="2703"/>
    </row>
    <row r="5">
      <c r="A5" s="2704"/>
      <c r="B5" s="2705"/>
      <c r="C5" s="326"/>
      <c r="D5" s="2706"/>
      <c r="E5" s="2707">
        <v>18.0</v>
      </c>
      <c r="F5" s="2708"/>
      <c r="G5" s="2708"/>
      <c r="H5" s="2709"/>
      <c r="I5" s="2695"/>
      <c r="J5" s="2707">
        <v>19.0</v>
      </c>
      <c r="K5" s="2708"/>
      <c r="L5" s="2708"/>
      <c r="M5" s="2709"/>
      <c r="N5" s="2695"/>
      <c r="O5" s="2707">
        <v>21.0</v>
      </c>
      <c r="P5" s="2708"/>
      <c r="Q5" s="2708"/>
      <c r="R5" s="2709"/>
      <c r="S5" s="2699"/>
      <c r="T5" s="2710"/>
      <c r="U5" s="2689"/>
      <c r="V5" s="2689"/>
      <c r="W5" s="2690"/>
      <c r="X5" s="2701"/>
      <c r="Y5" s="2710"/>
      <c r="Z5" s="2689"/>
      <c r="AA5" s="2689"/>
      <c r="AB5" s="2690"/>
      <c r="AC5" s="2701"/>
      <c r="AD5" s="2710"/>
      <c r="AE5" s="2689"/>
      <c r="AF5" s="2689"/>
      <c r="AG5" s="2690"/>
      <c r="AH5" s="2711"/>
      <c r="AI5" s="2712"/>
    </row>
    <row r="6" ht="25.5" customHeight="1">
      <c r="A6" s="2270"/>
      <c r="B6" s="2713"/>
      <c r="C6" s="2714"/>
      <c r="D6" s="2688"/>
      <c r="E6" s="2715"/>
      <c r="F6" s="2716" t="str">
        <f t="array" ref="F6">IFERROR(VLOOKUP(E4,Dex!$B$3:$H330,5,FALSE),"")</f>
        <v/>
      </c>
      <c r="G6" s="2717" t="str">
        <f t="array" ref="G6">IFERROR(VLOOKUP(E4,Dex!$B$3:$H330,7,FALSE),"")</f>
        <v/>
      </c>
      <c r="H6" s="2718"/>
      <c r="I6" s="2700"/>
      <c r="J6" s="2715"/>
      <c r="K6" s="2716" t="str">
        <f t="array" ref="K6">IFERROR(VLOOKUP(J4,Dex!$B$3:$H330,5,FALSE),"")</f>
        <v/>
      </c>
      <c r="L6" s="2717" t="str">
        <f t="array" ref="L6">IFERROR(VLOOKUP(J4,Dex!$B$3:$H330,7,FALSE),"")</f>
        <v/>
      </c>
      <c r="M6" s="2718"/>
      <c r="N6" s="2700"/>
      <c r="O6" s="2715"/>
      <c r="P6" s="2719" t="str">
        <f t="array" ref="P6">IFERROR(VLOOKUP(O4,Dex!$B$3:$H330,5,FALSE),"")</f>
        <v/>
      </c>
      <c r="Q6" s="2720"/>
      <c r="R6" s="2718"/>
      <c r="S6" s="2699"/>
      <c r="T6" s="2688"/>
      <c r="U6" s="2689"/>
      <c r="V6" s="2689"/>
      <c r="W6" s="2690"/>
      <c r="X6" s="2701"/>
      <c r="Y6" s="2688"/>
      <c r="Z6" s="2689"/>
      <c r="AA6" s="2689"/>
      <c r="AB6" s="2690"/>
      <c r="AC6" s="2701"/>
      <c r="AD6" s="2688"/>
      <c r="AE6" s="2689"/>
      <c r="AF6" s="2689"/>
      <c r="AG6" s="2690"/>
      <c r="AH6" s="2692"/>
      <c r="AI6" s="2682"/>
    </row>
    <row r="7" ht="2.25" customHeight="1">
      <c r="A7" s="2270"/>
      <c r="B7" s="2713"/>
      <c r="C7" s="2701"/>
      <c r="D7" s="2688"/>
      <c r="E7" s="2721"/>
      <c r="F7" s="2722"/>
      <c r="G7" s="2722"/>
      <c r="H7" s="2723"/>
      <c r="I7" s="2700"/>
      <c r="J7" s="2721"/>
      <c r="K7" s="2722"/>
      <c r="L7" s="2722"/>
      <c r="M7" s="2723"/>
      <c r="N7" s="2700"/>
      <c r="O7" s="2721"/>
      <c r="P7" s="2722"/>
      <c r="Q7" s="2722"/>
      <c r="R7" s="2723"/>
      <c r="S7" s="2699"/>
      <c r="T7" s="2724"/>
      <c r="U7" s="2724"/>
      <c r="V7" s="2724"/>
      <c r="W7" s="2724"/>
      <c r="X7" s="2701"/>
      <c r="Y7" s="2724"/>
      <c r="Z7" s="2724"/>
      <c r="AA7" s="2724"/>
      <c r="AB7" s="2724"/>
      <c r="AC7" s="2701"/>
      <c r="AD7" s="2724"/>
      <c r="AE7" s="2724"/>
      <c r="AF7" s="2724"/>
      <c r="AG7" s="2724"/>
      <c r="AH7" s="2692"/>
      <c r="AI7" s="2682"/>
    </row>
    <row r="8" ht="20.25" customHeight="1">
      <c r="A8" s="2270"/>
      <c r="B8" s="2713"/>
      <c r="C8" s="2725"/>
      <c r="D8" s="2688"/>
      <c r="E8" s="2726" t="s">
        <v>205</v>
      </c>
      <c r="F8" s="2727"/>
      <c r="G8" s="2727"/>
      <c r="H8" s="2728"/>
      <c r="I8" s="2700"/>
      <c r="J8" s="2726" t="s">
        <v>205</v>
      </c>
      <c r="K8" s="2727"/>
      <c r="L8" s="2727"/>
      <c r="M8" s="2728"/>
      <c r="N8" s="2700"/>
      <c r="O8" s="2726" t="s">
        <v>172</v>
      </c>
      <c r="P8" s="2727"/>
      <c r="Q8" s="2727"/>
      <c r="R8" s="2728"/>
      <c r="S8" s="2699"/>
      <c r="T8" s="2688"/>
      <c r="U8" s="2689"/>
      <c r="V8" s="2689"/>
      <c r="W8" s="2690"/>
      <c r="X8" s="2701"/>
      <c r="Y8" s="2688"/>
      <c r="Z8" s="2689"/>
      <c r="AA8" s="2689"/>
      <c r="AB8" s="2690"/>
      <c r="AC8" s="2701"/>
      <c r="AD8" s="2688"/>
      <c r="AE8" s="2689"/>
      <c r="AF8" s="2689"/>
      <c r="AG8" s="2690"/>
      <c r="AH8" s="2692"/>
      <c r="AI8" s="2682"/>
    </row>
    <row r="9" ht="20.25" customHeight="1">
      <c r="A9" s="2270"/>
      <c r="B9" s="2713"/>
      <c r="C9" s="2729"/>
      <c r="D9" s="2688"/>
      <c r="E9" s="2730" t="s">
        <v>818</v>
      </c>
      <c r="F9" s="2689"/>
      <c r="G9" s="2689"/>
      <c r="H9" s="2731"/>
      <c r="I9" s="2700"/>
      <c r="J9" s="2730" t="s">
        <v>389</v>
      </c>
      <c r="K9" s="2689"/>
      <c r="L9" s="2689"/>
      <c r="M9" s="2731"/>
      <c r="N9" s="2700"/>
      <c r="O9" s="2730" t="s">
        <v>819</v>
      </c>
      <c r="P9" s="2689"/>
      <c r="Q9" s="2689"/>
      <c r="R9" s="2731"/>
      <c r="S9" s="2699"/>
      <c r="T9" s="2688"/>
      <c r="U9" s="2689"/>
      <c r="V9" s="2689"/>
      <c r="W9" s="2690"/>
      <c r="X9" s="2701"/>
      <c r="Y9" s="2688"/>
      <c r="Z9" s="2689"/>
      <c r="AA9" s="2689"/>
      <c r="AB9" s="2690"/>
      <c r="AC9" s="2701"/>
      <c r="AD9" s="2688"/>
      <c r="AE9" s="2689"/>
      <c r="AF9" s="2689"/>
      <c r="AG9" s="2690"/>
      <c r="AH9" s="2692"/>
      <c r="AI9" s="2682"/>
    </row>
    <row r="10" ht="20.25" customHeight="1">
      <c r="A10" s="2270"/>
      <c r="B10" s="2713"/>
      <c r="C10" s="2701"/>
      <c r="D10" s="2688"/>
      <c r="E10" s="2732" t="s">
        <v>239</v>
      </c>
      <c r="F10" s="2733"/>
      <c r="G10" s="2734"/>
      <c r="H10" s="2735" t="str">
        <f>IMAGE("https://raw.githubusercontent.com/msikma/pokesprite/master/items/berry/shuca.png",3)</f>
        <v/>
      </c>
      <c r="I10" s="2700"/>
      <c r="J10" s="2732" t="s">
        <v>820</v>
      </c>
      <c r="K10" s="2733"/>
      <c r="L10" s="2734"/>
      <c r="M10" s="2735" t="str">
        <f>IMAGE("https://raw.githubusercontent.com/msikma/pokesprite/master/items/hold-item/wise-glasses.png",3)</f>
        <v/>
      </c>
      <c r="N10" s="2700"/>
      <c r="O10" s="2732" t="s">
        <v>178</v>
      </c>
      <c r="P10" s="2733"/>
      <c r="Q10" s="2734"/>
      <c r="R10" s="2735" t="str">
        <f>IMAGE("https://raw.githubusercontent.com/msikma/pokesprite/master/items/medicine/berry-juice.png",3)</f>
        <v/>
      </c>
      <c r="S10" s="2699"/>
      <c r="T10" s="2688"/>
      <c r="U10" s="2689"/>
      <c r="V10" s="2689"/>
      <c r="W10" s="2690"/>
      <c r="X10" s="2701"/>
      <c r="Y10" s="2688"/>
      <c r="Z10" s="2689"/>
      <c r="AA10" s="2689"/>
      <c r="AB10" s="2690"/>
      <c r="AC10" s="2701"/>
      <c r="AD10" s="2688"/>
      <c r="AE10" s="2689"/>
      <c r="AF10" s="2689"/>
      <c r="AG10" s="2690"/>
      <c r="AH10" s="2692"/>
      <c r="AI10" s="2682"/>
    </row>
    <row r="11" ht="20.25" customHeight="1">
      <c r="A11" s="2270"/>
      <c r="B11" s="2713"/>
      <c r="C11" s="2725"/>
      <c r="D11" s="2688"/>
      <c r="E11" s="2726" t="s">
        <v>276</v>
      </c>
      <c r="F11" s="2727"/>
      <c r="G11" s="2736"/>
      <c r="H11" s="2737" t="str">
        <f>IMAGE("https://raw.githubusercontent.com/msikma/pokesprite/master/misc/types/gen8/rock.png",4,20,20)</f>
        <v/>
      </c>
      <c r="I11" s="2700"/>
      <c r="J11" s="2726" t="s">
        <v>821</v>
      </c>
      <c r="K11" s="2727"/>
      <c r="L11" s="2736"/>
      <c r="M11" s="2737" t="str">
        <f>IMAGE("https://raw.githubusercontent.com/msikma/pokesprite/master/misc/types/gen8/dark.png",4,20,20)</f>
        <v/>
      </c>
      <c r="N11" s="2700"/>
      <c r="O11" s="2726" t="s">
        <v>563</v>
      </c>
      <c r="P11" s="2727"/>
      <c r="Q11" s="2736"/>
      <c r="R11" s="2737" t="str">
        <f>IMAGE("https://raw.githubusercontent.com/msikma/pokesprite/master/misc/types/gen8/dark.png",4,20,20)</f>
        <v/>
      </c>
      <c r="S11" s="2699"/>
      <c r="T11" s="2688"/>
      <c r="U11" s="2689"/>
      <c r="V11" s="2689"/>
      <c r="W11" s="2690"/>
      <c r="X11" s="2701"/>
      <c r="Y11" s="2688"/>
      <c r="Z11" s="2689"/>
      <c r="AA11" s="2689"/>
      <c r="AB11" s="2690"/>
      <c r="AC11" s="2701"/>
      <c r="AD11" s="2688"/>
      <c r="AE11" s="2689"/>
      <c r="AF11" s="2689"/>
      <c r="AG11" s="2690"/>
      <c r="AH11" s="2692"/>
      <c r="AI11" s="2682"/>
    </row>
    <row r="12" ht="20.25" customHeight="1">
      <c r="A12" s="2270"/>
      <c r="B12" s="2713"/>
      <c r="C12" s="2738"/>
      <c r="D12" s="2688"/>
      <c r="E12" s="2730" t="s">
        <v>822</v>
      </c>
      <c r="F12" s="2689"/>
      <c r="G12" s="2690"/>
      <c r="H12" s="2739" t="str">
        <f>IMAGE("https://raw.githubusercontent.com/msikma/pokesprite/master/misc/types/gen8/poison.png",4,20,20)</f>
        <v/>
      </c>
      <c r="I12" s="2700"/>
      <c r="J12" s="2730" t="s">
        <v>823</v>
      </c>
      <c r="K12" s="2689"/>
      <c r="L12" s="2690"/>
      <c r="M12" s="2739" t="str">
        <f>IMAGE("https://raw.githubusercontent.com/msikma/pokesprite/master/misc/types/gen8/fire.png",4,20,20)</f>
        <v/>
      </c>
      <c r="N12" s="2700"/>
      <c r="O12" s="2730" t="s">
        <v>813</v>
      </c>
      <c r="P12" s="2689"/>
      <c r="Q12" s="2690"/>
      <c r="R12" s="2739" t="str">
        <f>IMAGE("https://raw.githubusercontent.com/msikma/pokesprite/master/misc/types/gen8/ice.png",4,20,20)</f>
        <v/>
      </c>
      <c r="S12" s="2699"/>
      <c r="T12" s="2688"/>
      <c r="U12" s="2689"/>
      <c r="V12" s="2689"/>
      <c r="W12" s="2690"/>
      <c r="X12" s="2701"/>
      <c r="Y12" s="2688"/>
      <c r="Z12" s="2689"/>
      <c r="AA12" s="2689"/>
      <c r="AB12" s="2690"/>
      <c r="AC12" s="2701"/>
      <c r="AD12" s="2688"/>
      <c r="AE12" s="2689"/>
      <c r="AF12" s="2689"/>
      <c r="AG12" s="2690"/>
      <c r="AH12" s="2692"/>
      <c r="AI12" s="2682"/>
    </row>
    <row r="13" ht="20.25" customHeight="1">
      <c r="A13" s="2270"/>
      <c r="B13" s="2713"/>
      <c r="C13" s="2738"/>
      <c r="D13" s="2688"/>
      <c r="E13" s="2730" t="s">
        <v>255</v>
      </c>
      <c r="F13" s="2689"/>
      <c r="G13" s="2690"/>
      <c r="H13" s="2739" t="str">
        <f>IMAGE("https://raw.githubusercontent.com/msikma/pokesprite/master/misc/types/gen8/ground.png",4,20,20)</f>
        <v/>
      </c>
      <c r="I13" s="2700"/>
      <c r="J13" s="2730" t="s">
        <v>223</v>
      </c>
      <c r="K13" s="2689"/>
      <c r="L13" s="2690"/>
      <c r="M13" s="2739" t="str">
        <f>IMAGE("https://raw.githubusercontent.com/msikma/pokesprite/master/misc/types/gen8/grass.png",4,20,20)</f>
        <v/>
      </c>
      <c r="N13" s="2700"/>
      <c r="O13" s="2730" t="s">
        <v>824</v>
      </c>
      <c r="P13" s="2689"/>
      <c r="Q13" s="2690"/>
      <c r="R13" s="2739" t="str">
        <f>IMAGE("https://raw.githubusercontent.com/msikma/pokesprite/master/misc/types/gen8/normal.png",4,20,20)</f>
        <v/>
      </c>
      <c r="S13" s="2699"/>
      <c r="T13" s="2688"/>
      <c r="U13" s="2689"/>
      <c r="V13" s="2689"/>
      <c r="W13" s="2690"/>
      <c r="X13" s="2701"/>
      <c r="Y13" s="2688"/>
      <c r="Z13" s="2689"/>
      <c r="AA13" s="2689"/>
      <c r="AB13" s="2690"/>
      <c r="AC13" s="2701"/>
      <c r="AD13" s="2688"/>
      <c r="AE13" s="2689"/>
      <c r="AF13" s="2689"/>
      <c r="AG13" s="2690"/>
      <c r="AH13" s="2692"/>
      <c r="AI13" s="2682"/>
    </row>
    <row r="14" ht="21.0" customHeight="1">
      <c r="A14" s="2270"/>
      <c r="B14" s="2713"/>
      <c r="C14" s="2738"/>
      <c r="D14" s="2688"/>
      <c r="E14" s="2740" t="s">
        <v>187</v>
      </c>
      <c r="F14" s="2741"/>
      <c r="G14" s="2742"/>
      <c r="H14" s="2743" t="str">
        <f>IMAGE("https://raw.githubusercontent.com/msikma/pokesprite/master/misc/types/gen8/normal.png",4,20,20)</f>
        <v/>
      </c>
      <c r="I14" s="2700"/>
      <c r="J14" s="2740" t="s">
        <v>187</v>
      </c>
      <c r="K14" s="2741"/>
      <c r="L14" s="2742"/>
      <c r="M14" s="2743" t="str">
        <f>IMAGE("https://raw.githubusercontent.com/msikma/pokesprite/master/misc/types/gen8/normal.png",4,20,20)</f>
        <v/>
      </c>
      <c r="N14" s="2700"/>
      <c r="O14" s="2740" t="s">
        <v>825</v>
      </c>
      <c r="P14" s="2741"/>
      <c r="Q14" s="2742"/>
      <c r="R14" s="2743" t="str">
        <f>IMAGE("https://raw.githubusercontent.com/msikma/pokesprite/master/misc/types/gen8/fire.png",4,20,20)</f>
        <v/>
      </c>
      <c r="S14" s="2744"/>
      <c r="T14" s="2688"/>
      <c r="U14" s="2689"/>
      <c r="V14" s="2689"/>
      <c r="W14" s="2690"/>
      <c r="X14" s="2725"/>
      <c r="Y14" s="2688"/>
      <c r="Z14" s="2689"/>
      <c r="AA14" s="2689"/>
      <c r="AB14" s="2690"/>
      <c r="AC14" s="2725"/>
      <c r="AD14" s="2688"/>
      <c r="AE14" s="2689"/>
      <c r="AF14" s="2689"/>
      <c r="AG14" s="2690"/>
      <c r="AH14" s="2692"/>
      <c r="AI14" s="2682"/>
    </row>
    <row r="15" ht="3.0" customHeight="1">
      <c r="A15" s="2745"/>
      <c r="B15" s="2746"/>
      <c r="C15" s="2747"/>
      <c r="D15" s="2748"/>
      <c r="E15" s="2749"/>
      <c r="F15" s="2749"/>
      <c r="G15" s="2749"/>
      <c r="H15" s="2749"/>
      <c r="I15" s="2748"/>
      <c r="J15" s="2749"/>
      <c r="K15" s="2749"/>
      <c r="L15" s="2749"/>
      <c r="M15" s="2749"/>
      <c r="N15" s="2748"/>
      <c r="O15" s="2749"/>
      <c r="P15" s="2749"/>
      <c r="Q15" s="2749"/>
      <c r="R15" s="2749"/>
      <c r="S15" s="2750"/>
      <c r="T15" s="2750"/>
      <c r="U15" s="2750"/>
      <c r="V15" s="2750"/>
      <c r="W15" s="2750"/>
      <c r="X15" s="2748"/>
      <c r="Y15" s="2748"/>
      <c r="Z15" s="2751"/>
      <c r="AA15" s="2751"/>
      <c r="AB15" s="2752"/>
      <c r="AC15" s="2752"/>
      <c r="AD15" s="2752"/>
      <c r="AE15" s="2752"/>
      <c r="AF15" s="2752"/>
      <c r="AG15" s="2752"/>
      <c r="AH15" s="2753"/>
      <c r="AI15" s="2754"/>
    </row>
    <row r="16" ht="16.5" customHeight="1">
      <c r="A16" s="2755"/>
      <c r="B16" s="2756"/>
      <c r="C16" s="2747"/>
      <c r="D16" s="2757"/>
      <c r="E16" s="2758" t="s">
        <v>190</v>
      </c>
      <c r="F16" s="381"/>
      <c r="G16" s="382"/>
      <c r="H16" s="2759" t="s">
        <v>191</v>
      </c>
      <c r="I16" s="2760"/>
      <c r="J16" s="2758" t="s">
        <v>190</v>
      </c>
      <c r="K16" s="381"/>
      <c r="L16" s="382"/>
      <c r="M16" s="2759" t="s">
        <v>191</v>
      </c>
      <c r="N16" s="2760"/>
      <c r="O16" s="2758" t="s">
        <v>190</v>
      </c>
      <c r="P16" s="381"/>
      <c r="Q16" s="382"/>
      <c r="R16" s="2759" t="s">
        <v>191</v>
      </c>
      <c r="S16" s="2761"/>
      <c r="T16" s="2762"/>
      <c r="U16" s="2762"/>
      <c r="V16" s="2763"/>
      <c r="W16" s="2763"/>
      <c r="X16" s="2763"/>
      <c r="Y16" s="2763"/>
      <c r="Z16" s="2762"/>
      <c r="AA16" s="2762"/>
      <c r="AB16" s="2763"/>
      <c r="AC16" s="2763"/>
      <c r="AD16" s="2763"/>
      <c r="AE16" s="2763"/>
      <c r="AF16" s="2763"/>
      <c r="AG16" s="2763"/>
      <c r="AH16" s="2764"/>
      <c r="AI16" s="2499"/>
    </row>
    <row r="17" ht="16.5" customHeight="1">
      <c r="A17" s="2755"/>
      <c r="B17" s="2756"/>
      <c r="C17" s="2747"/>
      <c r="D17" s="2757"/>
      <c r="E17" s="2765" t="s">
        <v>192</v>
      </c>
      <c r="F17" s="2766">
        <f t="array" ref="F17">IFERROR(VLOOKUP(E4,Dex!$B$3:$N330,8,FALSE),"")</f>
        <v>48</v>
      </c>
      <c r="G17" s="2767" t="str">
        <f t="array" ref="G17">IFERROR(VLOOKUP(F17,Dex!$P$22:$Q$276,2,FALSE),"")</f>
        <v/>
      </c>
      <c r="H17" s="2768"/>
      <c r="I17" s="2760"/>
      <c r="J17" s="2765" t="s">
        <v>192</v>
      </c>
      <c r="K17" s="2766">
        <f t="array" ref="K17">IFERROR(VLOOKUP(J4,Dex!$B$3:$N330,8,FALSE),"")</f>
        <v>45</v>
      </c>
      <c r="L17" s="2767" t="str">
        <f t="array" ref="L17">IFERROR(VLOOKUP(K17,Dex!$P$22:$Q$276,2,FALSE),"")</f>
        <v/>
      </c>
      <c r="M17" s="2768"/>
      <c r="N17" s="2760"/>
      <c r="O17" s="2765" t="s">
        <v>192</v>
      </c>
      <c r="P17" s="2766">
        <f t="array" ref="P17">IFERROR(VLOOKUP(O4,Dex!$B$3:$N330,8,FALSE),"")</f>
        <v>70</v>
      </c>
      <c r="Q17" s="2767" t="str">
        <f t="array" ref="Q17">IFERROR(VLOOKUP(P17,Dex!$P$22:$Q$276,2,FALSE),"")</f>
        <v/>
      </c>
      <c r="R17" s="2768"/>
      <c r="S17" s="2769"/>
      <c r="T17" s="2762"/>
      <c r="U17" s="2762"/>
      <c r="V17" s="2763"/>
      <c r="W17" s="2763"/>
      <c r="X17" s="2763"/>
      <c r="Y17" s="2763"/>
      <c r="Z17" s="2762"/>
      <c r="AA17" s="2762"/>
      <c r="AB17" s="2763"/>
      <c r="AC17" s="2763"/>
      <c r="AD17" s="2763"/>
      <c r="AE17" s="2763"/>
      <c r="AF17" s="2763"/>
      <c r="AG17" s="2763"/>
      <c r="AH17" s="2764"/>
      <c r="AI17" s="2499"/>
    </row>
    <row r="18" ht="16.5" customHeight="1">
      <c r="A18" s="2755"/>
      <c r="B18" s="2756"/>
      <c r="C18" s="2747"/>
      <c r="D18" s="2757"/>
      <c r="E18" s="2770" t="s">
        <v>193</v>
      </c>
      <c r="F18" s="2771">
        <f t="array" ref="F18">IFERROR(VLOOKUP(E4,Dex!$B$3:$N330,9,FALSE),"")</f>
        <v>35</v>
      </c>
      <c r="G18" s="2772" t="str">
        <f t="array" ref="G18">IFERROR(VLOOKUP(F18,Dex!$P$22:$Q$276,2,FALSE),"")</f>
        <v/>
      </c>
      <c r="H18" s="2773"/>
      <c r="I18" s="2760"/>
      <c r="J18" s="2770" t="s">
        <v>193</v>
      </c>
      <c r="K18" s="2771">
        <f t="array" ref="K18">IFERROR(VLOOKUP(J4,Dex!$B$3:$N330,9,FALSE),"")</f>
        <v>60</v>
      </c>
      <c r="L18" s="2772" t="str">
        <f t="array" ref="L18">IFERROR(VLOOKUP(K18,Dex!$P$22:$Q$276,2,FALSE),"")</f>
        <v/>
      </c>
      <c r="M18" s="2773"/>
      <c r="N18" s="2760"/>
      <c r="O18" s="2770" t="s">
        <v>193</v>
      </c>
      <c r="P18" s="2771">
        <f t="array" ref="P18">IFERROR(VLOOKUP(O4,Dex!$B$3:$N330,9,FALSE),"")</f>
        <v>95</v>
      </c>
      <c r="Q18" s="2772" t="str">
        <f t="array" ref="Q18">IFERROR(VLOOKUP(P18,Dex!$P$22:$Q$276,2,FALSE),"")</f>
        <v/>
      </c>
      <c r="R18" s="2773"/>
      <c r="S18" s="2769"/>
      <c r="T18" s="2762"/>
      <c r="U18" s="2762"/>
      <c r="V18" s="2763"/>
      <c r="W18" s="2763"/>
      <c r="X18" s="2763"/>
      <c r="Y18" s="2763"/>
      <c r="Z18" s="2762"/>
      <c r="AA18" s="2762"/>
      <c r="AB18" s="2763"/>
      <c r="AC18" s="2763"/>
      <c r="AD18" s="2763"/>
      <c r="AE18" s="2763"/>
      <c r="AF18" s="2763"/>
      <c r="AG18" s="2763"/>
      <c r="AH18" s="2764"/>
      <c r="AI18" s="2499"/>
    </row>
    <row r="19" ht="16.5" customHeight="1">
      <c r="A19" s="2755"/>
      <c r="B19" s="2756"/>
      <c r="C19" s="2747"/>
      <c r="D19" s="2757"/>
      <c r="E19" s="2770" t="s">
        <v>194</v>
      </c>
      <c r="F19" s="2771">
        <f t="array" ref="F19">IFERROR(VLOOKUP(E4,Dex!$B$3:$N330,10,FALSE),"")</f>
        <v>42</v>
      </c>
      <c r="G19" s="2772" t="str">
        <f t="array" ref="G19">IFERROR(VLOOKUP(F19,Dex!$P$22:$Q$276,2,FALSE),"")</f>
        <v/>
      </c>
      <c r="H19" s="2773"/>
      <c r="I19" s="2760"/>
      <c r="J19" s="2770" t="s">
        <v>194</v>
      </c>
      <c r="K19" s="2771">
        <f t="array" ref="K19">IFERROR(VLOOKUP(J4,Dex!$B$3:$N330,10,FALSE),"")</f>
        <v>30</v>
      </c>
      <c r="L19" s="2772" t="str">
        <f t="array" ref="L19">IFERROR(VLOOKUP(K19,Dex!$P$22:$Q$276,2,FALSE),"")</f>
        <v/>
      </c>
      <c r="M19" s="2773"/>
      <c r="N19" s="2760"/>
      <c r="O19" s="2770" t="s">
        <v>194</v>
      </c>
      <c r="P19" s="2771">
        <f t="array" ref="P19">IFERROR(VLOOKUP(O4,Dex!$B$3:$N330,10,FALSE),"")</f>
        <v>70</v>
      </c>
      <c r="Q19" s="2772" t="str">
        <f t="array" ref="Q19">IFERROR(VLOOKUP(P19,Dex!$P$22:$Q$276,2,FALSE),"")</f>
        <v/>
      </c>
      <c r="R19" s="2773"/>
      <c r="S19" s="2769"/>
      <c r="T19" s="2762"/>
      <c r="U19" s="2762"/>
      <c r="V19" s="2763"/>
      <c r="W19" s="2763"/>
      <c r="X19" s="2763"/>
      <c r="Y19" s="2763"/>
      <c r="Z19" s="2762"/>
      <c r="AA19" s="2762"/>
      <c r="AB19" s="2763"/>
      <c r="AC19" s="2763"/>
      <c r="AD19" s="2763"/>
      <c r="AE19" s="2763"/>
      <c r="AF19" s="2763"/>
      <c r="AG19" s="2763"/>
      <c r="AH19" s="2764"/>
      <c r="AI19" s="2499"/>
    </row>
    <row r="20" ht="16.5" customHeight="1">
      <c r="A20" s="2755"/>
      <c r="B20" s="2756"/>
      <c r="C20" s="2747"/>
      <c r="D20" s="2757"/>
      <c r="E20" s="2770" t="s">
        <v>195</v>
      </c>
      <c r="F20" s="2771">
        <f t="array" ref="F20">IFERROR(VLOOKUP(E4,Dex!$B$3:$N330,11,FALSE),"")</f>
        <v>105</v>
      </c>
      <c r="G20" s="2772" t="str">
        <f t="array" ref="G20">IFERROR(VLOOKUP(F20,Dex!$P$22:$Q$276,2,FALSE),"")</f>
        <v/>
      </c>
      <c r="H20" s="2773"/>
      <c r="I20" s="2760"/>
      <c r="J20" s="2770" t="s">
        <v>195</v>
      </c>
      <c r="K20" s="2771">
        <f t="array" ref="K20">IFERROR(VLOOKUP(J4,Dex!$B$3:$N330,11,FALSE),"")</f>
        <v>80</v>
      </c>
      <c r="L20" s="2772" t="str">
        <f t="array" ref="L20">IFERROR(VLOOKUP(K20,Dex!$P$22:$Q$276,2,FALSE),"")</f>
        <v/>
      </c>
      <c r="M20" s="2773"/>
      <c r="N20" s="2760"/>
      <c r="O20" s="2770" t="s">
        <v>195</v>
      </c>
      <c r="P20" s="2771">
        <f t="array" ref="P20">IFERROR(VLOOKUP(O4,Dex!$B$3:$N330,11,FALSE),"")</f>
        <v>60</v>
      </c>
      <c r="Q20" s="2772" t="str">
        <f t="array" ref="Q20">IFERROR(VLOOKUP(P20,Dex!$P$22:$Q$276,2,FALSE),"")</f>
        <v/>
      </c>
      <c r="R20" s="2773"/>
      <c r="S20" s="2769"/>
      <c r="T20" s="2762"/>
      <c r="U20" s="2762"/>
      <c r="V20" s="2763"/>
      <c r="W20" s="2763"/>
      <c r="X20" s="2763"/>
      <c r="Y20" s="2763"/>
      <c r="Z20" s="2762"/>
      <c r="AA20" s="2762"/>
      <c r="AB20" s="2763"/>
      <c r="AC20" s="2763"/>
      <c r="AD20" s="2763"/>
      <c r="AE20" s="2763"/>
      <c r="AF20" s="2763"/>
      <c r="AG20" s="2763"/>
      <c r="AH20" s="2764"/>
      <c r="AI20" s="2499"/>
    </row>
    <row r="21" ht="16.5" customHeight="1">
      <c r="A21" s="2755"/>
      <c r="B21" s="2756"/>
      <c r="C21" s="2747"/>
      <c r="D21" s="2757"/>
      <c r="E21" s="2770" t="s">
        <v>196</v>
      </c>
      <c r="F21" s="2771">
        <f t="array" ref="F21">IFERROR(VLOOKUP(E4,Dex!$B$3:$N330,12,FALSE),"")</f>
        <v>60</v>
      </c>
      <c r="G21" s="2772" t="str">
        <f t="array" ref="G21">IFERROR(VLOOKUP(F21,Dex!$P$22:$Q$276,2,FALSE),"")</f>
        <v/>
      </c>
      <c r="H21" s="2773"/>
      <c r="I21" s="2760"/>
      <c r="J21" s="2770" t="s">
        <v>196</v>
      </c>
      <c r="K21" s="2771">
        <f t="array" ref="K21">IFERROR(VLOOKUP(J4,Dex!$B$3:$N330,12,FALSE),"")</f>
        <v>50</v>
      </c>
      <c r="L21" s="2772" t="str">
        <f t="array" ref="L21">IFERROR(VLOOKUP(K21,Dex!$P$22:$Q$276,2,FALSE),"")</f>
        <v/>
      </c>
      <c r="M21" s="2773"/>
      <c r="N21" s="2760"/>
      <c r="O21" s="2770" t="s">
        <v>196</v>
      </c>
      <c r="P21" s="2771">
        <f t="array" ref="P21">IFERROR(VLOOKUP(O4,Dex!$B$3:$N330,12,FALSE),"")</f>
        <v>60</v>
      </c>
      <c r="Q21" s="2772" t="str">
        <f t="array" ref="Q21">IFERROR(VLOOKUP(P21,Dex!$P$22:$Q$276,2,FALSE),"")</f>
        <v/>
      </c>
      <c r="R21" s="2773"/>
      <c r="S21" s="2769"/>
      <c r="T21" s="2762"/>
      <c r="U21" s="2762"/>
      <c r="V21" s="2763"/>
      <c r="W21" s="2763"/>
      <c r="X21" s="2763"/>
      <c r="Y21" s="2763"/>
      <c r="Z21" s="2762"/>
      <c r="AA21" s="2762"/>
      <c r="AB21" s="2763"/>
      <c r="AC21" s="2763"/>
      <c r="AD21" s="2763"/>
      <c r="AE21" s="2763"/>
      <c r="AF21" s="2763"/>
      <c r="AG21" s="2763"/>
      <c r="AH21" s="2764"/>
      <c r="AI21" s="2499"/>
    </row>
    <row r="22" ht="16.5" customHeight="1">
      <c r="A22" s="2755"/>
      <c r="B22" s="2756"/>
      <c r="C22" s="2747"/>
      <c r="D22" s="2757"/>
      <c r="E22" s="2774" t="s">
        <v>197</v>
      </c>
      <c r="F22" s="2775">
        <f t="array" ref="F22">IFERROR(VLOOKUP(E4,Dex!$B$3:$N330,13,FALSE),"")</f>
        <v>60</v>
      </c>
      <c r="G22" s="2776" t="str">
        <f t="array" ref="G22">IFERROR(VLOOKUP(F22,Dex!$P$22:$Q$276,2,FALSE),"")</f>
        <v/>
      </c>
      <c r="H22" s="2777"/>
      <c r="I22" s="2760"/>
      <c r="J22" s="2774" t="s">
        <v>197</v>
      </c>
      <c r="K22" s="2775">
        <f t="array" ref="K22">IFERROR(VLOOKUP(J4,Dex!$B$3:$N330,13,FALSE),"")</f>
        <v>65</v>
      </c>
      <c r="L22" s="2776" t="str">
        <f t="array" ref="L22">IFERROR(VLOOKUP(K22,Dex!$P$22:$Q$276,2,FALSE),"")</f>
        <v/>
      </c>
      <c r="M22" s="2777"/>
      <c r="N22" s="2760"/>
      <c r="O22" s="2774" t="s">
        <v>197</v>
      </c>
      <c r="P22" s="2775">
        <f t="array" ref="P22">IFERROR(VLOOKUP(O4,Dex!$B$3:$N330,13,FALSE),"")</f>
        <v>70</v>
      </c>
      <c r="Q22" s="2776" t="str">
        <f t="array" ref="Q22">IFERROR(VLOOKUP(P22,Dex!$P$22:$Q$276,2,FALSE),"")</f>
        <v/>
      </c>
      <c r="R22" s="2777"/>
      <c r="S22" s="2769"/>
      <c r="T22" s="2762"/>
      <c r="U22" s="2762"/>
      <c r="V22" s="2763"/>
      <c r="W22" s="2763"/>
      <c r="X22" s="2763"/>
      <c r="Y22" s="2763"/>
      <c r="Z22" s="2762"/>
      <c r="AA22" s="2762"/>
      <c r="AB22" s="2763"/>
      <c r="AC22" s="2763"/>
      <c r="AD22" s="2763"/>
      <c r="AE22" s="2763"/>
      <c r="AF22" s="2763"/>
      <c r="AG22" s="2763"/>
      <c r="AH22" s="2764"/>
      <c r="AI22" s="2499"/>
    </row>
    <row r="23" ht="16.5" customHeight="1">
      <c r="A23" s="2755"/>
      <c r="B23" s="2756"/>
      <c r="C23" s="2747"/>
      <c r="D23" s="2757"/>
      <c r="E23" s="2778" t="s">
        <v>198</v>
      </c>
      <c r="F23" s="405"/>
      <c r="G23" s="406"/>
      <c r="H23" s="2779">
        <v>35.0</v>
      </c>
      <c r="I23" s="2760"/>
      <c r="J23" s="2778" t="s">
        <v>198</v>
      </c>
      <c r="K23" s="405"/>
      <c r="L23" s="406"/>
      <c r="M23" s="2779">
        <v>38.0</v>
      </c>
      <c r="N23" s="2760"/>
      <c r="O23" s="2778" t="s">
        <v>198</v>
      </c>
      <c r="P23" s="405"/>
      <c r="Q23" s="406"/>
      <c r="R23" s="2779">
        <v>44.0</v>
      </c>
      <c r="S23" s="2780"/>
      <c r="T23" s="2762"/>
      <c r="U23" s="2762"/>
      <c r="V23" s="2763"/>
      <c r="W23" s="2763"/>
      <c r="X23" s="2763"/>
      <c r="Y23" s="2763"/>
      <c r="Z23" s="2762"/>
      <c r="AA23" s="2762"/>
      <c r="AB23" s="2763"/>
      <c r="AC23" s="2763"/>
      <c r="AD23" s="2763"/>
      <c r="AE23" s="2763"/>
      <c r="AF23" s="2763"/>
      <c r="AG23" s="2763"/>
      <c r="AH23" s="2764"/>
      <c r="AI23" s="2499"/>
    </row>
    <row r="24" ht="15.0" customHeight="1">
      <c r="A24" s="2270"/>
      <c r="B24" s="2781"/>
      <c r="C24" s="2782"/>
      <c r="D24" s="2783"/>
      <c r="E24" s="2784"/>
      <c r="F24" s="2784"/>
      <c r="G24" s="2784"/>
      <c r="H24" s="2784"/>
      <c r="I24" s="2783"/>
      <c r="J24" s="2784"/>
      <c r="K24" s="2784"/>
      <c r="L24" s="2784"/>
      <c r="M24" s="2784"/>
      <c r="N24" s="2783"/>
      <c r="O24" s="2784"/>
      <c r="P24" s="2784"/>
      <c r="Q24" s="2784"/>
      <c r="R24" s="2784"/>
      <c r="S24" s="2783"/>
      <c r="T24" s="2783"/>
      <c r="U24" s="2783"/>
      <c r="V24" s="2783"/>
      <c r="W24" s="2783"/>
      <c r="X24" s="2783"/>
      <c r="Y24" s="2783"/>
      <c r="Z24" s="2783"/>
      <c r="AA24" s="2783"/>
      <c r="AB24" s="2783"/>
      <c r="AC24" s="2783"/>
      <c r="AD24" s="2783"/>
      <c r="AE24" s="2783"/>
      <c r="AF24" s="2783"/>
      <c r="AG24" s="2783"/>
      <c r="AH24" s="2785"/>
      <c r="AI24" s="2682"/>
    </row>
    <row r="25" ht="15.0" customHeight="1">
      <c r="A25" s="2270"/>
      <c r="B25" s="2786"/>
      <c r="C25" s="2787"/>
      <c r="D25" s="2788"/>
      <c r="E25" s="2789"/>
      <c r="F25" s="2789"/>
      <c r="G25" s="2789"/>
      <c r="H25" s="2789"/>
      <c r="I25" s="2788"/>
      <c r="J25" s="2789"/>
      <c r="K25" s="2789"/>
      <c r="L25" s="2789"/>
      <c r="M25" s="2789"/>
      <c r="N25" s="2788"/>
      <c r="O25" s="2789"/>
      <c r="P25" s="2789"/>
      <c r="Q25" s="2789"/>
      <c r="R25" s="2789"/>
      <c r="S25" s="2788"/>
      <c r="T25" s="2789"/>
      <c r="U25" s="2789"/>
      <c r="V25" s="2789"/>
      <c r="W25" s="2789"/>
      <c r="X25" s="2788"/>
      <c r="Y25" s="2788"/>
      <c r="Z25" s="2788"/>
      <c r="AA25" s="2788"/>
      <c r="AB25" s="2788"/>
      <c r="AC25" s="2788"/>
      <c r="AD25" s="2788"/>
      <c r="AE25" s="2788"/>
      <c r="AF25" s="2788"/>
      <c r="AG25" s="2788"/>
      <c r="AH25" s="2790"/>
      <c r="AI25" s="2682"/>
    </row>
    <row r="26" ht="96.75" customHeight="1">
      <c r="A26" s="2270"/>
      <c r="B26" s="2791"/>
      <c r="C26" s="2792" t="str">
        <f>IMAGE("https://i.ibb.co/kJrTDW3/Grunt.png")</f>
        <v/>
      </c>
      <c r="D26" s="2793"/>
      <c r="E26" s="2794" t="str">
        <f t="array" ref="E26">IFERROR(VLOOKUP(E27,Dex!$B$3:$G330,3,FALSE),"")</f>
        <v/>
      </c>
      <c r="F26" s="1830"/>
      <c r="G26" s="1830"/>
      <c r="H26" s="1831"/>
      <c r="I26" s="2793"/>
      <c r="J26" s="2794" t="str">
        <f t="array" ref="J26">IFERROR(VLOOKUP(J27,Dex!$B$3:$G330,3,FALSE),"")</f>
        <v/>
      </c>
      <c r="K26" s="1830"/>
      <c r="L26" s="1830"/>
      <c r="M26" s="1831"/>
      <c r="N26" s="2793"/>
      <c r="O26" s="2794" t="str">
        <f t="array" ref="O26">IFERROR(VLOOKUP(O27,Dex!$B$3:$G330,3,FALSE),"")</f>
        <v/>
      </c>
      <c r="P26" s="1830"/>
      <c r="Q26" s="1830"/>
      <c r="R26" s="1831"/>
      <c r="S26" s="2793"/>
      <c r="T26" s="2794" t="str">
        <f t="array" ref="T26">IFERROR(VLOOKUP(T27,Dex!$B$3:$G330,3,FALSE),"")</f>
        <v/>
      </c>
      <c r="U26" s="1830"/>
      <c r="V26" s="1830"/>
      <c r="W26" s="1831"/>
      <c r="X26" s="2795"/>
      <c r="Y26" s="2796"/>
      <c r="Z26" s="2797"/>
      <c r="AA26" s="2797"/>
      <c r="AB26" s="2798"/>
      <c r="AC26" s="2799"/>
      <c r="AD26" s="2796"/>
      <c r="AE26" s="2797"/>
      <c r="AF26" s="2797"/>
      <c r="AG26" s="2798"/>
      <c r="AH26" s="2800"/>
      <c r="AI26" s="2682"/>
    </row>
    <row r="27" ht="18.75" customHeight="1">
      <c r="A27" s="2297"/>
      <c r="B27" s="2801"/>
      <c r="C27" s="2802" t="s">
        <v>826</v>
      </c>
      <c r="D27" s="2803"/>
      <c r="E27" s="2804" t="s">
        <v>827</v>
      </c>
      <c r="F27" s="2805"/>
      <c r="G27" s="2805"/>
      <c r="H27" s="2806"/>
      <c r="I27" s="2803"/>
      <c r="J27" s="2804" t="s">
        <v>828</v>
      </c>
      <c r="K27" s="2805"/>
      <c r="L27" s="2805"/>
      <c r="M27" s="2806"/>
      <c r="N27" s="2803"/>
      <c r="O27" s="2804" t="s">
        <v>829</v>
      </c>
      <c r="P27" s="2805"/>
      <c r="Q27" s="2805"/>
      <c r="R27" s="2806"/>
      <c r="S27" s="2803"/>
      <c r="T27" s="2804" t="s">
        <v>830</v>
      </c>
      <c r="U27" s="2805"/>
      <c r="V27" s="2805"/>
      <c r="W27" s="2806"/>
      <c r="X27" s="2807"/>
      <c r="Y27" s="2808"/>
      <c r="Z27" s="2797"/>
      <c r="AA27" s="2797"/>
      <c r="AB27" s="2798"/>
      <c r="AC27" s="2809"/>
      <c r="AD27" s="2808"/>
      <c r="AE27" s="2797"/>
      <c r="AF27" s="2797"/>
      <c r="AG27" s="2798"/>
      <c r="AH27" s="2810"/>
      <c r="AI27" s="2703"/>
    </row>
    <row r="28">
      <c r="A28" s="2704"/>
      <c r="B28" s="2811"/>
      <c r="C28" s="326"/>
      <c r="D28" s="2812"/>
      <c r="E28" s="2813" t="s">
        <v>420</v>
      </c>
      <c r="F28" s="2814"/>
      <c r="G28" s="2814"/>
      <c r="H28" s="2815"/>
      <c r="I28" s="2803"/>
      <c r="J28" s="2813" t="s">
        <v>715</v>
      </c>
      <c r="K28" s="2814"/>
      <c r="L28" s="2814"/>
      <c r="M28" s="2815"/>
      <c r="N28" s="2803"/>
      <c r="O28" s="2813" t="s">
        <v>715</v>
      </c>
      <c r="P28" s="2814"/>
      <c r="Q28" s="2814"/>
      <c r="R28" s="2815"/>
      <c r="S28" s="2803"/>
      <c r="T28" s="2813" t="s">
        <v>715</v>
      </c>
      <c r="U28" s="2814"/>
      <c r="V28" s="2814"/>
      <c r="W28" s="2815"/>
      <c r="X28" s="2807"/>
      <c r="Y28" s="2816"/>
      <c r="Z28" s="2797"/>
      <c r="AA28" s="2797"/>
      <c r="AB28" s="2798"/>
      <c r="AC28" s="2809"/>
      <c r="AD28" s="2816"/>
      <c r="AE28" s="2797"/>
      <c r="AF28" s="2797"/>
      <c r="AG28" s="2798"/>
      <c r="AH28" s="2817"/>
      <c r="AI28" s="2712"/>
    </row>
    <row r="29" ht="25.5" customHeight="1">
      <c r="A29" s="2270"/>
      <c r="B29" s="2818"/>
      <c r="C29" s="2819"/>
      <c r="D29" s="2796"/>
      <c r="E29" s="2820"/>
      <c r="F29" s="2821" t="str">
        <f t="array" ref="F29">IFERROR(VLOOKUP(E27,Dex!$B$3:$H330,5,FALSE),"")</f>
        <v/>
      </c>
      <c r="G29" s="2822"/>
      <c r="H29" s="2823"/>
      <c r="I29" s="2808"/>
      <c r="J29" s="2820"/>
      <c r="K29" s="2824" t="str">
        <f t="array" ref="K29">IFERROR(VLOOKUP(J27,Dex!$B$3:$H330,5,FALSE),"")</f>
        <v/>
      </c>
      <c r="L29" s="2825" t="str">
        <f t="array" ref="L29">IFERROR(VLOOKUP(J27,Dex!$B$3:$H330,7,FALSE),"")</f>
        <v/>
      </c>
      <c r="M29" s="2823"/>
      <c r="N29" s="2808"/>
      <c r="O29" s="2820"/>
      <c r="P29" s="2824" t="str">
        <f t="array" ref="P29">IFERROR(VLOOKUP(O27,Dex!$B$3:$H330,5,FALSE),"")</f>
        <v/>
      </c>
      <c r="Q29" s="2825" t="str">
        <f t="array" ref="Q29">IFERROR(VLOOKUP(O27,Dex!$B$3:$H330,7,FALSE),"")</f>
        <v/>
      </c>
      <c r="R29" s="2823"/>
      <c r="S29" s="2808"/>
      <c r="T29" s="2820"/>
      <c r="U29" s="2821" t="str">
        <f t="array" ref="U29">IFERROR(VLOOKUP(T27,Dex!$B$3:$H330,5,FALSE),"")</f>
        <v/>
      </c>
      <c r="V29" s="2822"/>
      <c r="W29" s="2823"/>
      <c r="X29" s="2807"/>
      <c r="Y29" s="2796"/>
      <c r="Z29" s="2797"/>
      <c r="AA29" s="2797"/>
      <c r="AB29" s="2798"/>
      <c r="AC29" s="2809"/>
      <c r="AD29" s="2796"/>
      <c r="AE29" s="2797"/>
      <c r="AF29" s="2797"/>
      <c r="AG29" s="2798"/>
      <c r="AH29" s="2800"/>
      <c r="AI29" s="2682"/>
    </row>
    <row r="30" ht="2.25" customHeight="1">
      <c r="A30" s="2270"/>
      <c r="B30" s="2818"/>
      <c r="C30" s="2809"/>
      <c r="D30" s="2796"/>
      <c r="E30" s="2826"/>
      <c r="F30" s="2827"/>
      <c r="G30" s="2827"/>
      <c r="H30" s="2828"/>
      <c r="I30" s="2808"/>
      <c r="J30" s="2826"/>
      <c r="K30" s="2827"/>
      <c r="L30" s="2827"/>
      <c r="M30" s="2828"/>
      <c r="N30" s="2808"/>
      <c r="O30" s="2826"/>
      <c r="P30" s="2827"/>
      <c r="Q30" s="2827"/>
      <c r="R30" s="2828"/>
      <c r="S30" s="2808"/>
      <c r="T30" s="2826"/>
      <c r="U30" s="2827"/>
      <c r="V30" s="2827"/>
      <c r="W30" s="2828"/>
      <c r="X30" s="2807"/>
      <c r="Y30" s="2829"/>
      <c r="Z30" s="2829"/>
      <c r="AA30" s="2829"/>
      <c r="AB30" s="2829"/>
      <c r="AC30" s="2809"/>
      <c r="AD30" s="2829"/>
      <c r="AE30" s="2829"/>
      <c r="AF30" s="2829"/>
      <c r="AG30" s="2829"/>
      <c r="AH30" s="2800"/>
      <c r="AI30" s="2682"/>
    </row>
    <row r="31" ht="20.25" customHeight="1">
      <c r="A31" s="2270"/>
      <c r="B31" s="2818"/>
      <c r="C31" s="2830"/>
      <c r="D31" s="2796"/>
      <c r="E31" s="2831" t="s">
        <v>471</v>
      </c>
      <c r="F31" s="2832"/>
      <c r="G31" s="2832"/>
      <c r="H31" s="2833"/>
      <c r="I31" s="2808"/>
      <c r="J31" s="2831" t="s">
        <v>531</v>
      </c>
      <c r="K31" s="2832"/>
      <c r="L31" s="2832"/>
      <c r="M31" s="2833"/>
      <c r="N31" s="2808"/>
      <c r="O31" s="2831" t="s">
        <v>471</v>
      </c>
      <c r="P31" s="2832"/>
      <c r="Q31" s="2832"/>
      <c r="R31" s="2833"/>
      <c r="S31" s="2808"/>
      <c r="T31" s="2831" t="s">
        <v>169</v>
      </c>
      <c r="U31" s="2832"/>
      <c r="V31" s="2832"/>
      <c r="W31" s="2833"/>
      <c r="X31" s="2807"/>
      <c r="Y31" s="2796"/>
      <c r="Z31" s="2797"/>
      <c r="AA31" s="2797"/>
      <c r="AB31" s="2798"/>
      <c r="AC31" s="2809"/>
      <c r="AD31" s="2796"/>
      <c r="AE31" s="2797"/>
      <c r="AF31" s="2797"/>
      <c r="AG31" s="2798"/>
      <c r="AH31" s="2800"/>
      <c r="AI31" s="2682"/>
    </row>
    <row r="32" ht="20.25" customHeight="1">
      <c r="A32" s="2270"/>
      <c r="B32" s="2818"/>
      <c r="C32" s="2834"/>
      <c r="D32" s="2796"/>
      <c r="E32" s="2835" t="s">
        <v>716</v>
      </c>
      <c r="F32" s="2797"/>
      <c r="G32" s="2797"/>
      <c r="H32" s="2836"/>
      <c r="I32" s="2808"/>
      <c r="J32" s="2835" t="s">
        <v>831</v>
      </c>
      <c r="K32" s="2797"/>
      <c r="L32" s="2797"/>
      <c r="M32" s="2836"/>
      <c r="N32" s="2808"/>
      <c r="O32" s="2835" t="s">
        <v>450</v>
      </c>
      <c r="P32" s="2797"/>
      <c r="Q32" s="2797"/>
      <c r="R32" s="2836"/>
      <c r="S32" s="2808"/>
      <c r="T32" s="2835" t="s">
        <v>832</v>
      </c>
      <c r="U32" s="2797"/>
      <c r="V32" s="2797"/>
      <c r="W32" s="2836"/>
      <c r="X32" s="2807"/>
      <c r="Y32" s="2796"/>
      <c r="Z32" s="2797"/>
      <c r="AA32" s="2797"/>
      <c r="AB32" s="2798"/>
      <c r="AC32" s="2809"/>
      <c r="AD32" s="2796"/>
      <c r="AE32" s="2797"/>
      <c r="AF32" s="2797"/>
      <c r="AG32" s="2798"/>
      <c r="AH32" s="2800"/>
      <c r="AI32" s="2682"/>
    </row>
    <row r="33" ht="20.25" customHeight="1">
      <c r="A33" s="2270"/>
      <c r="B33" s="2818"/>
      <c r="C33" s="2809"/>
      <c r="D33" s="2796"/>
      <c r="E33" s="2837" t="s">
        <v>211</v>
      </c>
      <c r="F33" s="2838"/>
      <c r="G33" s="2839"/>
      <c r="H33" s="2840" t="str">
        <f>IMAGE("https://raw.githubusercontent.com/msikma/pokesprite/master/items/hold-item/eviolite.png",3)</f>
        <v/>
      </c>
      <c r="I33" s="2808"/>
      <c r="J33" s="2837" t="s">
        <v>211</v>
      </c>
      <c r="K33" s="2838"/>
      <c r="L33" s="2839"/>
      <c r="M33" s="2840" t="str">
        <f>IMAGE("https://raw.githubusercontent.com/msikma/pokesprite/master/items/hold-item/eviolite.png",3)</f>
        <v/>
      </c>
      <c r="N33" s="2808"/>
      <c r="O33" s="2837" t="s">
        <v>454</v>
      </c>
      <c r="P33" s="2838"/>
      <c r="Q33" s="2839"/>
      <c r="R33" s="2840" t="str">
        <f>IMAGE("https://raw.githubusercontent.com/msikma/pokesprite/master/items/hold-item/rocky-helmet.png",3)</f>
        <v/>
      </c>
      <c r="S33" s="2808"/>
      <c r="T33" s="2837" t="s">
        <v>767</v>
      </c>
      <c r="U33" s="2838"/>
      <c r="V33" s="2839"/>
      <c r="W33" s="2840" t="str">
        <f>IMAGE("https://raw.githubusercontent.com/msikma/pokesprite/master/items/hold-item/silk-scarf.png",3)</f>
        <v/>
      </c>
      <c r="X33" s="2807"/>
      <c r="Y33" s="2796"/>
      <c r="Z33" s="2797"/>
      <c r="AA33" s="2797"/>
      <c r="AB33" s="2798"/>
      <c r="AC33" s="2809"/>
      <c r="AD33" s="2796"/>
      <c r="AE33" s="2797"/>
      <c r="AF33" s="2797"/>
      <c r="AG33" s="2798"/>
      <c r="AH33" s="2800"/>
      <c r="AI33" s="2682"/>
    </row>
    <row r="34" ht="20.25" customHeight="1">
      <c r="A34" s="2270"/>
      <c r="B34" s="2818"/>
      <c r="C34" s="2830"/>
      <c r="D34" s="2796"/>
      <c r="E34" s="2831" t="s">
        <v>833</v>
      </c>
      <c r="F34" s="2832"/>
      <c r="G34" s="2841"/>
      <c r="H34" s="2842" t="str">
        <f>IMAGE("https://raw.githubusercontent.com/msikma/pokesprite/master/misc/types/gen8/dragon.png",4,20,20)</f>
        <v/>
      </c>
      <c r="I34" s="2808"/>
      <c r="J34" s="2831" t="s">
        <v>557</v>
      </c>
      <c r="K34" s="2832"/>
      <c r="L34" s="2841"/>
      <c r="M34" s="2842" t="str">
        <f>IMAGE("https://raw.githubusercontent.com/msikma/pokesprite/master/misc/types/gen8/normal.png",4,20,20)</f>
        <v/>
      </c>
      <c r="N34" s="2808"/>
      <c r="O34" s="2831" t="s">
        <v>278</v>
      </c>
      <c r="P34" s="2832"/>
      <c r="Q34" s="2841"/>
      <c r="R34" s="2842" t="str">
        <f>IMAGE("https://raw.githubusercontent.com/msikma/pokesprite/master/misc/types/gen8/bug.png",4,20,20)</f>
        <v/>
      </c>
      <c r="S34" s="2808"/>
      <c r="T34" s="2831" t="s">
        <v>187</v>
      </c>
      <c r="U34" s="2832"/>
      <c r="V34" s="2841"/>
      <c r="W34" s="2842" t="str">
        <f t="shared" ref="W34:W35" si="1">IMAGE("https://raw.githubusercontent.com/msikma/pokesprite/master/misc/types/gen8/normal.png",4,20,20)</f>
        <v/>
      </c>
      <c r="X34" s="2807"/>
      <c r="Y34" s="2796"/>
      <c r="Z34" s="2797"/>
      <c r="AA34" s="2797"/>
      <c r="AB34" s="2798"/>
      <c r="AC34" s="2809"/>
      <c r="AD34" s="2796"/>
      <c r="AE34" s="2797"/>
      <c r="AF34" s="2797"/>
      <c r="AG34" s="2798"/>
      <c r="AH34" s="2800"/>
      <c r="AI34" s="2682"/>
    </row>
    <row r="35" ht="20.25" customHeight="1">
      <c r="A35" s="2270"/>
      <c r="B35" s="2818"/>
      <c r="C35" s="2843"/>
      <c r="D35" s="2796"/>
      <c r="E35" s="2835" t="s">
        <v>825</v>
      </c>
      <c r="F35" s="2797"/>
      <c r="G35" s="2798"/>
      <c r="H35" s="2844" t="str">
        <f>IMAGE("https://raw.githubusercontent.com/msikma/pokesprite/master/misc/types/gen8/fire.png",4,20,20)</f>
        <v/>
      </c>
      <c r="I35" s="2808"/>
      <c r="J35" s="2835" t="s">
        <v>610</v>
      </c>
      <c r="K35" s="2797"/>
      <c r="L35" s="2798"/>
      <c r="M35" s="2844" t="str">
        <f>IMAGE("https://raw.githubusercontent.com/msikma/pokesprite/master/misc/types/gen8/rock.png",4,20,20)</f>
        <v/>
      </c>
      <c r="N35" s="2808"/>
      <c r="O35" s="2835" t="s">
        <v>834</v>
      </c>
      <c r="P35" s="2797"/>
      <c r="Q35" s="2798"/>
      <c r="R35" s="2844" t="str">
        <f>IMAGE("https://raw.githubusercontent.com/msikma/pokesprite/master/misc/types/gen8/electric.png",4,20,20)</f>
        <v/>
      </c>
      <c r="S35" s="2808"/>
      <c r="T35" s="2835" t="s">
        <v>835</v>
      </c>
      <c r="U35" s="2797"/>
      <c r="V35" s="2798"/>
      <c r="W35" s="2844" t="str">
        <f t="shared" si="1"/>
        <v/>
      </c>
      <c r="X35" s="2807"/>
      <c r="Y35" s="2796"/>
      <c r="Z35" s="2797"/>
      <c r="AA35" s="2797"/>
      <c r="AB35" s="2798"/>
      <c r="AC35" s="2809"/>
      <c r="AD35" s="2796"/>
      <c r="AE35" s="2797"/>
      <c r="AF35" s="2797"/>
      <c r="AG35" s="2798"/>
      <c r="AH35" s="2800"/>
      <c r="AI35" s="2682"/>
    </row>
    <row r="36" ht="20.25" customHeight="1">
      <c r="A36" s="2270"/>
      <c r="B36" s="2818"/>
      <c r="C36" s="2843"/>
      <c r="D36" s="2796"/>
      <c r="E36" s="2835" t="s">
        <v>836</v>
      </c>
      <c r="F36" s="2797"/>
      <c r="G36" s="2798"/>
      <c r="H36" s="2844" t="str">
        <f>IMAGE("https://raw.githubusercontent.com/msikma/pokesprite/master/misc/types/gen8/electric.png",4,20,20)</f>
        <v/>
      </c>
      <c r="I36" s="2808"/>
      <c r="J36" s="2835" t="s">
        <v>771</v>
      </c>
      <c r="K36" s="2797"/>
      <c r="L36" s="2798"/>
      <c r="M36" s="2844" t="str">
        <f>IMAGE("https://raw.githubusercontent.com/msikma/pokesprite/master/misc/types/gen8/dragon.png",4,20,20)</f>
        <v/>
      </c>
      <c r="N36" s="2808"/>
      <c r="O36" s="2835" t="s">
        <v>407</v>
      </c>
      <c r="P36" s="2797"/>
      <c r="Q36" s="2798"/>
      <c r="R36" s="2844" t="str">
        <f>IMAGE("https://raw.githubusercontent.com/msikma/pokesprite/master/misc/types/gen8/steel.png",4,20,20)</f>
        <v/>
      </c>
      <c r="S36" s="2808"/>
      <c r="T36" s="2835" t="s">
        <v>188</v>
      </c>
      <c r="U36" s="2797"/>
      <c r="V36" s="2797"/>
      <c r="W36" s="2836"/>
      <c r="X36" s="2807"/>
      <c r="Y36" s="2796"/>
      <c r="Z36" s="2797"/>
      <c r="AA36" s="2797"/>
      <c r="AB36" s="2798"/>
      <c r="AC36" s="2809"/>
      <c r="AD36" s="2796"/>
      <c r="AE36" s="2797"/>
      <c r="AF36" s="2797"/>
      <c r="AG36" s="2798"/>
      <c r="AH36" s="2800"/>
      <c r="AI36" s="2682"/>
    </row>
    <row r="37" ht="21.0" customHeight="1">
      <c r="A37" s="2270"/>
      <c r="B37" s="2818"/>
      <c r="C37" s="2843"/>
      <c r="D37" s="2796"/>
      <c r="E37" s="2845" t="s">
        <v>179</v>
      </c>
      <c r="F37" s="2846"/>
      <c r="G37" s="2847"/>
      <c r="H37" s="2848" t="str">
        <f>IMAGE("https://raw.githubusercontent.com/msikma/pokesprite/master/misc/types/gen8/ground.png",4,20,20)</f>
        <v/>
      </c>
      <c r="I37" s="2808"/>
      <c r="J37" s="2845" t="s">
        <v>179</v>
      </c>
      <c r="K37" s="2846"/>
      <c r="L37" s="2847"/>
      <c r="M37" s="2848" t="str">
        <f>IMAGE("https://raw.githubusercontent.com/msikma/pokesprite/master/misc/types/gen8/ground.png",4,20,20)</f>
        <v/>
      </c>
      <c r="N37" s="2808"/>
      <c r="O37" s="2845" t="s">
        <v>837</v>
      </c>
      <c r="P37" s="2846"/>
      <c r="Q37" s="2847"/>
      <c r="R37" s="2848" t="str">
        <f>IMAGE("https://raw.githubusercontent.com/msikma/pokesprite/master/misc/types/gen8/electric.png",4,20,20)</f>
        <v/>
      </c>
      <c r="S37" s="2808"/>
      <c r="T37" s="2845" t="s">
        <v>188</v>
      </c>
      <c r="U37" s="2846"/>
      <c r="V37" s="2846"/>
      <c r="W37" s="2849"/>
      <c r="X37" s="2850"/>
      <c r="Y37" s="2796"/>
      <c r="Z37" s="2797"/>
      <c r="AA37" s="2797"/>
      <c r="AB37" s="2798"/>
      <c r="AC37" s="2830"/>
      <c r="AD37" s="2796"/>
      <c r="AE37" s="2797"/>
      <c r="AF37" s="2797"/>
      <c r="AG37" s="2798"/>
      <c r="AH37" s="2800"/>
      <c r="AI37" s="2682"/>
    </row>
    <row r="38" ht="3.0" customHeight="1">
      <c r="A38" s="2745"/>
      <c r="B38" s="2851"/>
      <c r="C38" s="2852"/>
      <c r="D38" s="2853"/>
      <c r="E38" s="2854"/>
      <c r="F38" s="2854"/>
      <c r="G38" s="2854"/>
      <c r="H38" s="2854"/>
      <c r="I38" s="2853"/>
      <c r="J38" s="2854"/>
      <c r="K38" s="2854"/>
      <c r="L38" s="2854"/>
      <c r="M38" s="2854"/>
      <c r="N38" s="2853"/>
      <c r="O38" s="2854"/>
      <c r="P38" s="2854"/>
      <c r="Q38" s="2854"/>
      <c r="R38" s="2854"/>
      <c r="S38" s="2853"/>
      <c r="T38" s="2855"/>
      <c r="U38" s="2855"/>
      <c r="V38" s="2855"/>
      <c r="W38" s="2856"/>
      <c r="X38" s="2853"/>
      <c r="Y38" s="2853"/>
      <c r="Z38" s="2857"/>
      <c r="AA38" s="2857"/>
      <c r="AB38" s="2858"/>
      <c r="AC38" s="2858"/>
      <c r="AD38" s="2858"/>
      <c r="AE38" s="2858"/>
      <c r="AF38" s="2858"/>
      <c r="AG38" s="2858"/>
      <c r="AH38" s="2859"/>
      <c r="AI38" s="2754"/>
    </row>
    <row r="39" ht="16.5" customHeight="1">
      <c r="A39" s="2755"/>
      <c r="B39" s="2860"/>
      <c r="C39" s="2852"/>
      <c r="D39" s="2861"/>
      <c r="E39" s="2862" t="s">
        <v>190</v>
      </c>
      <c r="F39" s="381"/>
      <c r="G39" s="382"/>
      <c r="H39" s="2863" t="s">
        <v>191</v>
      </c>
      <c r="I39" s="2864"/>
      <c r="J39" s="2862" t="s">
        <v>190</v>
      </c>
      <c r="K39" s="381"/>
      <c r="L39" s="382"/>
      <c r="M39" s="2863" t="s">
        <v>191</v>
      </c>
      <c r="N39" s="2864"/>
      <c r="O39" s="2862" t="s">
        <v>190</v>
      </c>
      <c r="P39" s="381"/>
      <c r="Q39" s="382"/>
      <c r="R39" s="2863" t="s">
        <v>191</v>
      </c>
      <c r="S39" s="2864"/>
      <c r="T39" s="2862" t="s">
        <v>190</v>
      </c>
      <c r="U39" s="381"/>
      <c r="V39" s="382"/>
      <c r="W39" s="2863" t="s">
        <v>191</v>
      </c>
      <c r="X39" s="2865"/>
      <c r="Y39" s="2866"/>
      <c r="Z39" s="2867"/>
      <c r="AA39" s="2867"/>
      <c r="AB39" s="2866"/>
      <c r="AC39" s="2866"/>
      <c r="AD39" s="2866"/>
      <c r="AE39" s="2866"/>
      <c r="AF39" s="2866"/>
      <c r="AG39" s="2866"/>
      <c r="AH39" s="2868"/>
      <c r="AI39" s="2499"/>
    </row>
    <row r="40" ht="16.5" customHeight="1">
      <c r="A40" s="2755"/>
      <c r="B40" s="2860"/>
      <c r="C40" s="2852"/>
      <c r="D40" s="2861"/>
      <c r="E40" s="2869" t="s">
        <v>192</v>
      </c>
      <c r="F40" s="2870">
        <f t="array" ref="F40">IFERROR(VLOOKUP(E27,Dex!$B$3:$N330,8,FALSE),"")</f>
        <v>55</v>
      </c>
      <c r="G40" s="2871" t="str">
        <f t="array" ref="G40">IFERROR(VLOOKUP(F40,Dex!$P$22:$Q$276,2,FALSE),"")</f>
        <v/>
      </c>
      <c r="H40" s="2872"/>
      <c r="I40" s="2864"/>
      <c r="J40" s="2869" t="s">
        <v>192</v>
      </c>
      <c r="K40" s="2870">
        <f t="array" ref="K40">IFERROR(VLOOKUP(J27,Dex!$B$3:$N330,8,FALSE),"")</f>
        <v>68</v>
      </c>
      <c r="L40" s="2871" t="str">
        <f t="array" ref="L40">IFERROR(VLOOKUP(K40,Dex!$P$22:$Q$276,2,FALSE),"")</f>
        <v/>
      </c>
      <c r="M40" s="2872"/>
      <c r="N40" s="2864"/>
      <c r="O40" s="2869" t="s">
        <v>192</v>
      </c>
      <c r="P40" s="2870">
        <f t="array" ref="P40">IFERROR(VLOOKUP(O27,Dex!$B$3:$N330,8,FALSE),"")</f>
        <v>65</v>
      </c>
      <c r="Q40" s="2871" t="str">
        <f t="array" ref="Q40">IFERROR(VLOOKUP(P40,Dex!$P$22:$Q$276,2,FALSE),"")</f>
        <v/>
      </c>
      <c r="R40" s="2872"/>
      <c r="S40" s="2864"/>
      <c r="T40" s="2869" t="s">
        <v>192</v>
      </c>
      <c r="U40" s="2870">
        <f t="array" ref="U40">IFERROR(VLOOKUP(T27,Dex!$B$3:$N330,8,FALSE),"")</f>
        <v>75</v>
      </c>
      <c r="V40" s="2871" t="str">
        <f t="array" ref="V40">IFERROR(VLOOKUP(U40,Dex!$P$22:$Q$276,2,FALSE),"")</f>
        <v/>
      </c>
      <c r="W40" s="2872"/>
      <c r="X40" s="2865"/>
      <c r="Y40" s="2866"/>
      <c r="Z40" s="2867"/>
      <c r="AA40" s="2867"/>
      <c r="AB40" s="2866"/>
      <c r="AC40" s="2866"/>
      <c r="AD40" s="2866"/>
      <c r="AE40" s="2866"/>
      <c r="AF40" s="2866"/>
      <c r="AG40" s="2866"/>
      <c r="AH40" s="2868"/>
      <c r="AI40" s="2499"/>
    </row>
    <row r="41" ht="16.5" customHeight="1">
      <c r="A41" s="2755"/>
      <c r="B41" s="2860"/>
      <c r="C41" s="2852"/>
      <c r="D41" s="2861"/>
      <c r="E41" s="2873" t="s">
        <v>193</v>
      </c>
      <c r="F41" s="2874">
        <f t="array" ref="F41">IFERROR(VLOOKUP(E27,Dex!$B$3:$N330,9,FALSE),"")</f>
        <v>70</v>
      </c>
      <c r="G41" s="2875" t="str">
        <f t="array" ref="G41">IFERROR(VLOOKUP(F41,Dex!$P$22:$Q$276,2,FALSE),"")</f>
        <v/>
      </c>
      <c r="H41" s="2876"/>
      <c r="I41" s="2864"/>
      <c r="J41" s="2873" t="s">
        <v>193</v>
      </c>
      <c r="K41" s="2874">
        <f t="array" ref="K41">IFERROR(VLOOKUP(J27,Dex!$B$3:$N330,9,FALSE),"")</f>
        <v>90</v>
      </c>
      <c r="L41" s="2875" t="str">
        <f t="array" ref="L41">IFERROR(VLOOKUP(K41,Dex!$P$22:$Q$276,2,FALSE),"")</f>
        <v/>
      </c>
      <c r="M41" s="2876"/>
      <c r="N41" s="2864"/>
      <c r="O41" s="2873" t="s">
        <v>193</v>
      </c>
      <c r="P41" s="2874">
        <f t="array" ref="P41">IFERROR(VLOOKUP(O27,Dex!$B$3:$N330,9,FALSE),"")</f>
        <v>108</v>
      </c>
      <c r="Q41" s="2875" t="str">
        <f t="array" ref="Q41">IFERROR(VLOOKUP(P41,Dex!$P$22:$Q$276,2,FALSE),"")</f>
        <v/>
      </c>
      <c r="R41" s="2876"/>
      <c r="S41" s="2864"/>
      <c r="T41" s="2873" t="s">
        <v>193</v>
      </c>
      <c r="U41" s="2874">
        <f t="array" ref="U41">IFERROR(VLOOKUP(T27,Dex!$B$3:$N330,9,FALSE),"")</f>
        <v>115</v>
      </c>
      <c r="V41" s="2875" t="str">
        <f t="array" ref="V41">IFERROR(VLOOKUP(U41,Dex!$P$22:$Q$276,2,FALSE),"")</f>
        <v/>
      </c>
      <c r="W41" s="2876"/>
      <c r="X41" s="2865"/>
      <c r="Y41" s="2866"/>
      <c r="Z41" s="2867"/>
      <c r="AA41" s="2867"/>
      <c r="AB41" s="2866"/>
      <c r="AC41" s="2866"/>
      <c r="AD41" s="2866"/>
      <c r="AE41" s="2866"/>
      <c r="AF41" s="2866"/>
      <c r="AG41" s="2866"/>
      <c r="AH41" s="2868"/>
      <c r="AI41" s="2499"/>
    </row>
    <row r="42" ht="16.5" customHeight="1">
      <c r="A42" s="2755"/>
      <c r="B42" s="2860"/>
      <c r="C42" s="2852"/>
      <c r="D42" s="2861"/>
      <c r="E42" s="2873" t="s">
        <v>194</v>
      </c>
      <c r="F42" s="2874">
        <f t="array" ref="F42">IFERROR(VLOOKUP(E27,Dex!$B$3:$N330,10,FALSE),"")</f>
        <v>45</v>
      </c>
      <c r="G42" s="2875" t="str">
        <f t="array" ref="G42">IFERROR(VLOOKUP(F42,Dex!$P$22:$Q$276,2,FALSE),"")</f>
        <v/>
      </c>
      <c r="H42" s="2876"/>
      <c r="I42" s="2864"/>
      <c r="J42" s="2873" t="s">
        <v>194</v>
      </c>
      <c r="K42" s="2874">
        <f t="array" ref="K42">IFERROR(VLOOKUP(J27,Dex!$B$3:$N330,10,FALSE),"")</f>
        <v>65</v>
      </c>
      <c r="L42" s="2875" t="str">
        <f t="array" ref="L42">IFERROR(VLOOKUP(K42,Dex!$P$22:$Q$276,2,FALSE),"")</f>
        <v/>
      </c>
      <c r="M42" s="2876"/>
      <c r="N42" s="2864"/>
      <c r="O42" s="2873" t="s">
        <v>194</v>
      </c>
      <c r="P42" s="2874">
        <f t="array" ref="P42">IFERROR(VLOOKUP(O27,Dex!$B$3:$N330,10,FALSE),"")</f>
        <v>63</v>
      </c>
      <c r="Q42" s="2875" t="str">
        <f t="array" ref="Q42">IFERROR(VLOOKUP(P42,Dex!$P$22:$Q$276,2,FALSE),"")</f>
        <v/>
      </c>
      <c r="R42" s="2876"/>
      <c r="S42" s="2864"/>
      <c r="T42" s="2873" t="s">
        <v>194</v>
      </c>
      <c r="U42" s="2874">
        <f t="array" ref="U42">IFERROR(VLOOKUP(T27,Dex!$B$3:$N330,10,FALSE),"")</f>
        <v>65</v>
      </c>
      <c r="V42" s="2875" t="str">
        <f t="array" ref="V42">IFERROR(VLOOKUP(U42,Dex!$P$22:$Q$276,2,FALSE),"")</f>
        <v/>
      </c>
      <c r="W42" s="2876"/>
      <c r="X42" s="2865"/>
      <c r="Y42" s="2866"/>
      <c r="Z42" s="2867"/>
      <c r="AA42" s="2867"/>
      <c r="AB42" s="2866"/>
      <c r="AC42" s="2866"/>
      <c r="AD42" s="2866"/>
      <c r="AE42" s="2866"/>
      <c r="AF42" s="2866"/>
      <c r="AG42" s="2866"/>
      <c r="AH42" s="2868"/>
      <c r="AI42" s="2499"/>
    </row>
    <row r="43" ht="16.5" customHeight="1">
      <c r="A43" s="2755"/>
      <c r="B43" s="2860"/>
      <c r="C43" s="2852"/>
      <c r="D43" s="2861"/>
      <c r="E43" s="2873" t="s">
        <v>195</v>
      </c>
      <c r="F43" s="2874">
        <f t="array" ref="F43">IFERROR(VLOOKUP(E27,Dex!$B$3:$N330,11,FALSE),"")</f>
        <v>70</v>
      </c>
      <c r="G43" s="2875" t="str">
        <f t="array" ref="G43">IFERROR(VLOOKUP(F43,Dex!$P$22:$Q$276,2,FALSE),"")</f>
        <v/>
      </c>
      <c r="H43" s="2876"/>
      <c r="I43" s="2864"/>
      <c r="J43" s="2873" t="s">
        <v>195</v>
      </c>
      <c r="K43" s="2874">
        <f t="array" ref="K43">IFERROR(VLOOKUP(J27,Dex!$B$3:$N330,11,FALSE),"")</f>
        <v>50</v>
      </c>
      <c r="L43" s="2875" t="str">
        <f t="array" ref="L43">IFERROR(VLOOKUP(K43,Dex!$P$22:$Q$276,2,FALSE),"")</f>
        <v/>
      </c>
      <c r="M43" s="2876"/>
      <c r="N43" s="2864"/>
      <c r="O43" s="2873" t="s">
        <v>195</v>
      </c>
      <c r="P43" s="2874">
        <f t="array" ref="P43">IFERROR(VLOOKUP(O27,Dex!$B$3:$N330,11,FALSE),"")</f>
        <v>40</v>
      </c>
      <c r="Q43" s="2875" t="str">
        <f t="array" ref="Q43">IFERROR(VLOOKUP(P43,Dex!$P$22:$Q$276,2,FALSE),"")</f>
        <v/>
      </c>
      <c r="R43" s="2876"/>
      <c r="S43" s="2864"/>
      <c r="T43" s="2873" t="s">
        <v>195</v>
      </c>
      <c r="U43" s="2874">
        <f t="array" ref="U43">IFERROR(VLOOKUP(T27,Dex!$B$3:$N330,11,FALSE),"")</f>
        <v>75</v>
      </c>
      <c r="V43" s="2875" t="str">
        <f t="array" ref="V43">IFERROR(VLOOKUP(U43,Dex!$P$22:$Q$276,2,FALSE),"")</f>
        <v/>
      </c>
      <c r="W43" s="2876"/>
      <c r="X43" s="2865"/>
      <c r="Y43" s="2866"/>
      <c r="Z43" s="2867"/>
      <c r="AA43" s="2867"/>
      <c r="AB43" s="2866"/>
      <c r="AC43" s="2866"/>
      <c r="AD43" s="2866"/>
      <c r="AE43" s="2866"/>
      <c r="AF43" s="2866"/>
      <c r="AG43" s="2866"/>
      <c r="AH43" s="2868"/>
      <c r="AI43" s="2499"/>
    </row>
    <row r="44" ht="16.5" customHeight="1">
      <c r="A44" s="2755"/>
      <c r="B44" s="2860"/>
      <c r="C44" s="2852"/>
      <c r="D44" s="2861"/>
      <c r="E44" s="2873" t="s">
        <v>196</v>
      </c>
      <c r="F44" s="2874">
        <f t="array" ref="F44">IFERROR(VLOOKUP(E27,Dex!$B$3:$N330,12,FALSE),"")</f>
        <v>50</v>
      </c>
      <c r="G44" s="2875" t="str">
        <f t="array" ref="G44">IFERROR(VLOOKUP(F44,Dex!$P$22:$Q$276,2,FALSE),"")</f>
        <v/>
      </c>
      <c r="H44" s="2876"/>
      <c r="I44" s="2864"/>
      <c r="J44" s="2873" t="s">
        <v>196</v>
      </c>
      <c r="K44" s="2874">
        <f t="array" ref="K44">IFERROR(VLOOKUP(J27,Dex!$B$3:$N330,12,FALSE),"")</f>
        <v>55</v>
      </c>
      <c r="L44" s="2875" t="str">
        <f t="array" ref="L44">IFERROR(VLOOKUP(K44,Dex!$P$22:$Q$276,2,FALSE),"")</f>
        <v/>
      </c>
      <c r="M44" s="2876"/>
      <c r="N44" s="2864"/>
      <c r="O44" s="2873" t="s">
        <v>196</v>
      </c>
      <c r="P44" s="2874">
        <f t="array" ref="P44">IFERROR(VLOOKUP(O27,Dex!$B$3:$N330,12,FALSE),"")</f>
        <v>73</v>
      </c>
      <c r="Q44" s="2875" t="str">
        <f t="array" ref="Q44">IFERROR(VLOOKUP(P44,Dex!$P$22:$Q$276,2,FALSE),"")</f>
        <v/>
      </c>
      <c r="R44" s="2876"/>
      <c r="S44" s="2864"/>
      <c r="T44" s="2873" t="s">
        <v>196</v>
      </c>
      <c r="U44" s="2874">
        <f t="array" ref="U44">IFERROR(VLOOKUP(T27,Dex!$B$3:$N330,12,FALSE),"")</f>
        <v>95</v>
      </c>
      <c r="V44" s="2875" t="str">
        <f t="array" ref="V44">IFERROR(VLOOKUP(U44,Dex!$P$22:$Q$276,2,FALSE),"")</f>
        <v/>
      </c>
      <c r="W44" s="2876"/>
      <c r="X44" s="2865"/>
      <c r="Y44" s="2866"/>
      <c r="Z44" s="2867"/>
      <c r="AA44" s="2867"/>
      <c r="AB44" s="2866"/>
      <c r="AC44" s="2866"/>
      <c r="AD44" s="2866"/>
      <c r="AE44" s="2866"/>
      <c r="AF44" s="2866"/>
      <c r="AG44" s="2866"/>
      <c r="AH44" s="2868"/>
      <c r="AI44" s="2499"/>
    </row>
    <row r="45" ht="16.5" customHeight="1">
      <c r="A45" s="2755"/>
      <c r="B45" s="2860"/>
      <c r="C45" s="1204" t="s">
        <v>436</v>
      </c>
      <c r="D45" s="2861"/>
      <c r="E45" s="2877" t="s">
        <v>197</v>
      </c>
      <c r="F45" s="2878">
        <f t="array" ref="F45">IFERROR(VLOOKUP(E27,Dex!$B$3:$N330,13,FALSE),"")</f>
        <v>60</v>
      </c>
      <c r="G45" s="2879" t="str">
        <f t="array" ref="G45">IFERROR(VLOOKUP(F45,Dex!$P$22:$Q$276,2,FALSE),"")</f>
        <v/>
      </c>
      <c r="H45" s="2880"/>
      <c r="I45" s="2864"/>
      <c r="J45" s="2877" t="s">
        <v>197</v>
      </c>
      <c r="K45" s="2878">
        <f t="array" ref="K45">IFERROR(VLOOKUP(J27,Dex!$B$3:$N330,13,FALSE),"")</f>
        <v>82</v>
      </c>
      <c r="L45" s="2879" t="str">
        <f t="array" ref="L45">IFERROR(VLOOKUP(K45,Dex!$P$22:$Q$276,2,FALSE),"")</f>
        <v/>
      </c>
      <c r="M45" s="2880"/>
      <c r="N45" s="2864"/>
      <c r="O45" s="2877" t="s">
        <v>197</v>
      </c>
      <c r="P45" s="2878">
        <f t="array" ref="P45">IFERROR(VLOOKUP(O27,Dex!$B$3:$N330,13,FALSE),"")</f>
        <v>96</v>
      </c>
      <c r="Q45" s="2879" t="str">
        <f t="array" ref="Q45">IFERROR(VLOOKUP(P45,Dex!$P$22:$Q$276,2,FALSE),"")</f>
        <v/>
      </c>
      <c r="R45" s="2880"/>
      <c r="S45" s="2864"/>
      <c r="T45" s="2877" t="s">
        <v>197</v>
      </c>
      <c r="U45" s="2878">
        <f t="array" ref="U45">IFERROR(VLOOKUP(T27,Dex!$B$3:$N330,13,FALSE),"")</f>
        <v>65</v>
      </c>
      <c r="V45" s="2879" t="str">
        <f t="array" ref="V45">IFERROR(VLOOKUP(U45,Dex!$P$22:$Q$276,2,FALSE),"")</f>
        <v/>
      </c>
      <c r="W45" s="2880"/>
      <c r="X45" s="2865"/>
      <c r="Y45" s="2866"/>
      <c r="Z45" s="2867"/>
      <c r="AA45" s="2867"/>
      <c r="AB45" s="2866"/>
      <c r="AC45" s="2866"/>
      <c r="AD45" s="2866"/>
      <c r="AE45" s="2866"/>
      <c r="AF45" s="2866"/>
      <c r="AG45" s="2866"/>
      <c r="AH45" s="2868"/>
      <c r="AI45" s="2499"/>
    </row>
    <row r="46" ht="16.5" customHeight="1">
      <c r="A46" s="2755"/>
      <c r="B46" s="2860"/>
      <c r="C46" s="1205" t="s">
        <v>524</v>
      </c>
      <c r="D46" s="2861"/>
      <c r="E46" s="2881" t="s">
        <v>198</v>
      </c>
      <c r="F46" s="405"/>
      <c r="G46" s="406"/>
      <c r="H46" s="2882">
        <v>42.0</v>
      </c>
      <c r="I46" s="2864"/>
      <c r="J46" s="2881" t="s">
        <v>198</v>
      </c>
      <c r="K46" s="405"/>
      <c r="L46" s="406"/>
      <c r="M46" s="2882">
        <v>49.0</v>
      </c>
      <c r="N46" s="2864"/>
      <c r="O46" s="2881" t="s">
        <v>198</v>
      </c>
      <c r="P46" s="405"/>
      <c r="Q46" s="406"/>
      <c r="R46" s="2882">
        <v>56.0</v>
      </c>
      <c r="S46" s="2864"/>
      <c r="T46" s="2881" t="s">
        <v>198</v>
      </c>
      <c r="U46" s="405"/>
      <c r="V46" s="406"/>
      <c r="W46" s="2882">
        <v>42.0</v>
      </c>
      <c r="X46" s="2865"/>
      <c r="Y46" s="2866"/>
      <c r="Z46" s="2867"/>
      <c r="AA46" s="2867"/>
      <c r="AB46" s="2866"/>
      <c r="AC46" s="2866"/>
      <c r="AD46" s="2866"/>
      <c r="AE46" s="2866"/>
      <c r="AF46" s="2866"/>
      <c r="AG46" s="2866"/>
      <c r="AH46" s="2868"/>
      <c r="AI46" s="2499"/>
    </row>
    <row r="47" ht="15.0" customHeight="1">
      <c r="A47" s="2270"/>
      <c r="B47" s="2883"/>
      <c r="C47" s="2884"/>
      <c r="D47" s="2885"/>
      <c r="E47" s="2886"/>
      <c r="F47" s="2886"/>
      <c r="G47" s="2886"/>
      <c r="H47" s="2886"/>
      <c r="I47" s="2885"/>
      <c r="J47" s="2886"/>
      <c r="K47" s="2886"/>
      <c r="L47" s="2886"/>
      <c r="M47" s="2886"/>
      <c r="N47" s="2885"/>
      <c r="O47" s="2886"/>
      <c r="P47" s="2886"/>
      <c r="Q47" s="2886"/>
      <c r="R47" s="2886"/>
      <c r="S47" s="2885"/>
      <c r="T47" s="2886"/>
      <c r="U47" s="2886"/>
      <c r="V47" s="2886"/>
      <c r="W47" s="2886"/>
      <c r="X47" s="2885"/>
      <c r="Y47" s="2885"/>
      <c r="Z47" s="2885"/>
      <c r="AA47" s="2885"/>
      <c r="AB47" s="2885"/>
      <c r="AC47" s="2885"/>
      <c r="AD47" s="2885"/>
      <c r="AE47" s="2885"/>
      <c r="AF47" s="2885"/>
      <c r="AG47" s="2885"/>
      <c r="AH47" s="2887"/>
      <c r="AI47" s="2682"/>
    </row>
    <row r="48" ht="15.0" customHeight="1">
      <c r="A48" s="2270"/>
      <c r="B48" s="2786"/>
      <c r="C48" s="2787"/>
      <c r="D48" s="2788"/>
      <c r="E48" s="2789"/>
      <c r="F48" s="2789"/>
      <c r="G48" s="2789"/>
      <c r="H48" s="2789"/>
      <c r="I48" s="2788"/>
      <c r="J48" s="2789"/>
      <c r="K48" s="2789"/>
      <c r="L48" s="2789"/>
      <c r="M48" s="2789"/>
      <c r="N48" s="2788"/>
      <c r="O48" s="2789"/>
      <c r="P48" s="2789"/>
      <c r="Q48" s="2789"/>
      <c r="R48" s="2789"/>
      <c r="S48" s="2788"/>
      <c r="T48" s="2789"/>
      <c r="U48" s="2789"/>
      <c r="V48" s="2789"/>
      <c r="W48" s="2789"/>
      <c r="X48" s="2788"/>
      <c r="Y48" s="2788"/>
      <c r="Z48" s="2788"/>
      <c r="AA48" s="2788"/>
      <c r="AB48" s="2788"/>
      <c r="AC48" s="2788"/>
      <c r="AD48" s="2788"/>
      <c r="AE48" s="2788"/>
      <c r="AF48" s="2788"/>
      <c r="AG48" s="2788"/>
      <c r="AH48" s="2790"/>
      <c r="AI48" s="2682"/>
    </row>
    <row r="49" ht="96.75" customHeight="1">
      <c r="A49" s="2270"/>
      <c r="B49" s="2791"/>
      <c r="C49" s="2792" t="str">
        <f>IMAGE("https://i.ibb.co/kJrTDW3/Grunt.png")</f>
        <v/>
      </c>
      <c r="D49" s="2793"/>
      <c r="E49" s="2888" t="str">
        <f t="array" ref="E49">IFERROR(VLOOKUP(E50,Dex!$B$3:$G330,3,FALSE),"")</f>
        <v/>
      </c>
      <c r="F49" s="1830"/>
      <c r="G49" s="1830"/>
      <c r="H49" s="1831"/>
      <c r="I49" s="2889"/>
      <c r="J49" s="2888" t="str">
        <f t="array" ref="J49">IFERROR(VLOOKUP(J50,Dex!$B$3:$G330,3,FALSE),"")</f>
        <v/>
      </c>
      <c r="K49" s="1830"/>
      <c r="L49" s="1830"/>
      <c r="M49" s="1831"/>
      <c r="N49" s="2889"/>
      <c r="O49" s="2888" t="str">
        <f t="array" ref="O49">IFERROR(VLOOKUP(O50,Dex!$B$3:$G330,3,FALSE),"")</f>
        <v/>
      </c>
      <c r="P49" s="1830"/>
      <c r="Q49" s="1830"/>
      <c r="R49" s="1831"/>
      <c r="S49" s="2889"/>
      <c r="T49" s="2888" t="str">
        <f t="array" ref="T49">IFERROR(VLOOKUP(T50,Dex!$B$3:$G330,3,FALSE),"")</f>
        <v/>
      </c>
      <c r="U49" s="1830"/>
      <c r="V49" s="1830"/>
      <c r="W49" s="1831"/>
      <c r="X49" s="2795"/>
      <c r="Y49" s="2796"/>
      <c r="Z49" s="2797"/>
      <c r="AA49" s="2797"/>
      <c r="AB49" s="2798"/>
      <c r="AC49" s="2799"/>
      <c r="AD49" s="2796"/>
      <c r="AE49" s="2797"/>
      <c r="AF49" s="2797"/>
      <c r="AG49" s="2798"/>
      <c r="AH49" s="2800"/>
      <c r="AI49" s="2682"/>
    </row>
    <row r="50" ht="18.75" customHeight="1">
      <c r="A50" s="2297"/>
      <c r="B50" s="2801"/>
      <c r="C50" s="2802" t="s">
        <v>838</v>
      </c>
      <c r="D50" s="2803"/>
      <c r="E50" s="2804" t="s">
        <v>839</v>
      </c>
      <c r="F50" s="2805"/>
      <c r="G50" s="2805"/>
      <c r="H50" s="2806"/>
      <c r="I50" s="2803"/>
      <c r="J50" s="2804" t="s">
        <v>840</v>
      </c>
      <c r="K50" s="2805"/>
      <c r="L50" s="2805"/>
      <c r="M50" s="2806"/>
      <c r="N50" s="2803"/>
      <c r="O50" s="2804" t="s">
        <v>841</v>
      </c>
      <c r="P50" s="2805"/>
      <c r="Q50" s="2805"/>
      <c r="R50" s="2806"/>
      <c r="S50" s="2803"/>
      <c r="T50" s="2804" t="s">
        <v>842</v>
      </c>
      <c r="U50" s="2805"/>
      <c r="V50" s="2805"/>
      <c r="W50" s="2806"/>
      <c r="X50" s="2807"/>
      <c r="Y50" s="2808"/>
      <c r="Z50" s="2797"/>
      <c r="AA50" s="2797"/>
      <c r="AB50" s="2798"/>
      <c r="AC50" s="2809"/>
      <c r="AD50" s="2808"/>
      <c r="AE50" s="2797"/>
      <c r="AF50" s="2797"/>
      <c r="AG50" s="2798"/>
      <c r="AH50" s="2810"/>
      <c r="AI50" s="2703"/>
    </row>
    <row r="51">
      <c r="A51" s="2704"/>
      <c r="B51" s="2811"/>
      <c r="C51" s="326"/>
      <c r="D51" s="2812"/>
      <c r="E51" s="2813" t="s">
        <v>715</v>
      </c>
      <c r="F51" s="2814"/>
      <c r="G51" s="2814"/>
      <c r="H51" s="2815"/>
      <c r="I51" s="2803"/>
      <c r="J51" s="2813" t="s">
        <v>714</v>
      </c>
      <c r="K51" s="2814"/>
      <c r="L51" s="2814"/>
      <c r="M51" s="2815"/>
      <c r="N51" s="2803"/>
      <c r="O51" s="2813" t="s">
        <v>843</v>
      </c>
      <c r="P51" s="2814"/>
      <c r="Q51" s="2814"/>
      <c r="R51" s="2815"/>
      <c r="S51" s="2803"/>
      <c r="T51" s="2813" t="s">
        <v>714</v>
      </c>
      <c r="U51" s="2814"/>
      <c r="V51" s="2814"/>
      <c r="W51" s="2815"/>
      <c r="X51" s="2807"/>
      <c r="Y51" s="2816"/>
      <c r="Z51" s="2797"/>
      <c r="AA51" s="2797"/>
      <c r="AB51" s="2798"/>
      <c r="AC51" s="2809"/>
      <c r="AD51" s="2816"/>
      <c r="AE51" s="2797"/>
      <c r="AF51" s="2797"/>
      <c r="AG51" s="2798"/>
      <c r="AH51" s="2817"/>
      <c r="AI51" s="2712"/>
    </row>
    <row r="52" ht="25.5" customHeight="1">
      <c r="A52" s="2270"/>
      <c r="B52" s="2818"/>
      <c r="C52" s="2819"/>
      <c r="D52" s="2796"/>
      <c r="E52" s="2820"/>
      <c r="F52" s="2821" t="str">
        <f t="array" ref="F52">IFERROR(VLOOKUP(E50,Dex!$B$3:$H330,5,FALSE),"")</f>
        <v/>
      </c>
      <c r="G52" s="2822"/>
      <c r="H52" s="2823"/>
      <c r="I52" s="2808"/>
      <c r="J52" s="2820"/>
      <c r="K52" s="2824" t="str">
        <f t="array" ref="K52">IFERROR(VLOOKUP(J50,Dex!$B$3:$H330,5,FALSE),"")</f>
        <v/>
      </c>
      <c r="L52" s="2825" t="str">
        <f t="array" ref="L52">IFERROR(VLOOKUP(J50,Dex!$B$3:$H330,7,FALSE),"")</f>
        <v/>
      </c>
      <c r="M52" s="2823"/>
      <c r="N52" s="2808"/>
      <c r="O52" s="2820"/>
      <c r="P52" s="2821" t="str">
        <f t="array" ref="P52">IFERROR(VLOOKUP(O50,Dex!$B$3:$H330,5,FALSE),"")</f>
        <v/>
      </c>
      <c r="Q52" s="2822"/>
      <c r="R52" s="2823"/>
      <c r="S52" s="2808"/>
      <c r="T52" s="2820"/>
      <c r="U52" s="2821" t="str">
        <f t="array" ref="U52">IFERROR(VLOOKUP(T50,Dex!$B$3:$H330,5,FALSE),"")</f>
        <v/>
      </c>
      <c r="V52" s="2822"/>
      <c r="W52" s="2823"/>
      <c r="X52" s="2807"/>
      <c r="Y52" s="2796"/>
      <c r="Z52" s="2797"/>
      <c r="AA52" s="2797"/>
      <c r="AB52" s="2798"/>
      <c r="AC52" s="2809"/>
      <c r="AD52" s="2796"/>
      <c r="AE52" s="2797"/>
      <c r="AF52" s="2797"/>
      <c r="AG52" s="2798"/>
      <c r="AH52" s="2800"/>
      <c r="AI52" s="2682"/>
    </row>
    <row r="53" ht="2.25" customHeight="1">
      <c r="A53" s="2270"/>
      <c r="B53" s="2818"/>
      <c r="C53" s="2809"/>
      <c r="D53" s="2796"/>
      <c r="E53" s="2826"/>
      <c r="F53" s="2827"/>
      <c r="G53" s="2827"/>
      <c r="H53" s="2828"/>
      <c r="I53" s="2808"/>
      <c r="J53" s="2826"/>
      <c r="K53" s="2827"/>
      <c r="L53" s="2827"/>
      <c r="M53" s="2828"/>
      <c r="N53" s="2808"/>
      <c r="O53" s="2826"/>
      <c r="P53" s="2827"/>
      <c r="Q53" s="2827"/>
      <c r="R53" s="2828"/>
      <c r="S53" s="2808"/>
      <c r="T53" s="2826"/>
      <c r="U53" s="2827"/>
      <c r="V53" s="2827"/>
      <c r="W53" s="2828"/>
      <c r="X53" s="2807"/>
      <c r="Y53" s="2829"/>
      <c r="Z53" s="2829"/>
      <c r="AA53" s="2829"/>
      <c r="AB53" s="2829"/>
      <c r="AC53" s="2809"/>
      <c r="AD53" s="2829"/>
      <c r="AE53" s="2829"/>
      <c r="AF53" s="2829"/>
      <c r="AG53" s="2829"/>
      <c r="AH53" s="2800"/>
      <c r="AI53" s="2682"/>
    </row>
    <row r="54" ht="20.25" customHeight="1">
      <c r="A54" s="2270"/>
      <c r="B54" s="2818"/>
      <c r="C54" s="2830"/>
      <c r="D54" s="2796"/>
      <c r="E54" s="2831" t="s">
        <v>205</v>
      </c>
      <c r="F54" s="2832"/>
      <c r="G54" s="2832"/>
      <c r="H54" s="2833"/>
      <c r="I54" s="2890"/>
      <c r="J54" s="2831" t="s">
        <v>264</v>
      </c>
      <c r="K54" s="2832"/>
      <c r="L54" s="2832"/>
      <c r="M54" s="2833"/>
      <c r="N54" s="2890"/>
      <c r="O54" s="2831" t="s">
        <v>531</v>
      </c>
      <c r="P54" s="2832"/>
      <c r="Q54" s="2832"/>
      <c r="R54" s="2833"/>
      <c r="S54" s="2890"/>
      <c r="T54" s="2831" t="s">
        <v>701</v>
      </c>
      <c r="U54" s="2832"/>
      <c r="V54" s="2832"/>
      <c r="W54" s="2833"/>
      <c r="X54" s="2807"/>
      <c r="Y54" s="2796"/>
      <c r="Z54" s="2797"/>
      <c r="AA54" s="2797"/>
      <c r="AB54" s="2798"/>
      <c r="AC54" s="2809"/>
      <c r="AD54" s="2796"/>
      <c r="AE54" s="2797"/>
      <c r="AF54" s="2797"/>
      <c r="AG54" s="2798"/>
      <c r="AH54" s="2800"/>
      <c r="AI54" s="2682"/>
    </row>
    <row r="55" ht="20.25" customHeight="1">
      <c r="A55" s="2270"/>
      <c r="B55" s="2818"/>
      <c r="C55" s="2834"/>
      <c r="D55" s="2796"/>
      <c r="E55" s="2835" t="s">
        <v>844</v>
      </c>
      <c r="F55" s="2797"/>
      <c r="G55" s="2797"/>
      <c r="H55" s="2836"/>
      <c r="I55" s="2890"/>
      <c r="J55" s="2835" t="s">
        <v>331</v>
      </c>
      <c r="K55" s="2797"/>
      <c r="L55" s="2797"/>
      <c r="M55" s="2836"/>
      <c r="N55" s="2890"/>
      <c r="O55" s="2835" t="s">
        <v>845</v>
      </c>
      <c r="P55" s="2797"/>
      <c r="Q55" s="2797"/>
      <c r="R55" s="2836"/>
      <c r="S55" s="2890"/>
      <c r="T55" s="2835" t="s">
        <v>621</v>
      </c>
      <c r="U55" s="2797"/>
      <c r="V55" s="2797"/>
      <c r="W55" s="2836"/>
      <c r="X55" s="2807"/>
      <c r="Y55" s="2796"/>
      <c r="Z55" s="2797"/>
      <c r="AA55" s="2797"/>
      <c r="AB55" s="2798"/>
      <c r="AC55" s="2809"/>
      <c r="AD55" s="2796"/>
      <c r="AE55" s="2797"/>
      <c r="AF55" s="2797"/>
      <c r="AG55" s="2798"/>
      <c r="AH55" s="2800"/>
      <c r="AI55" s="2682"/>
    </row>
    <row r="56" ht="20.25" customHeight="1">
      <c r="A56" s="2270"/>
      <c r="B56" s="2818"/>
      <c r="C56" s="2809"/>
      <c r="D56" s="2796"/>
      <c r="E56" s="2837" t="s">
        <v>846</v>
      </c>
      <c r="F56" s="2838"/>
      <c r="G56" s="2839"/>
      <c r="H56" s="2840" t="str">
        <f>IMAGE("https://raw.githubusercontent.com/msikma/pokesprite/master/items/hold-item/black-glasses.png",3)</f>
        <v/>
      </c>
      <c r="I56" s="2808"/>
      <c r="J56" s="2837" t="s">
        <v>211</v>
      </c>
      <c r="K56" s="2838"/>
      <c r="L56" s="2839"/>
      <c r="M56" s="2840" t="str">
        <f>IMAGE("https://raw.githubusercontent.com/msikma/pokesprite/master/items/hold-item/eviolite.png",3)</f>
        <v/>
      </c>
      <c r="N56" s="2808"/>
      <c r="O56" s="2837" t="s">
        <v>847</v>
      </c>
      <c r="P56" s="2838"/>
      <c r="Q56" s="2839"/>
      <c r="R56" s="2840" t="str">
        <f>IMAGE("https://raw.githubusercontent.com/msikma/pokesprite/master/items/berry/figy.png",3)</f>
        <v/>
      </c>
      <c r="S56" s="2808"/>
      <c r="T56" s="2837" t="s">
        <v>848</v>
      </c>
      <c r="U56" s="2838"/>
      <c r="V56" s="2839"/>
      <c r="W56" s="2840" t="str">
        <f>IMAGE("https://raw.githubusercontent.com/msikma/pokesprite/master/items/berry/rindo.png",3)</f>
        <v/>
      </c>
      <c r="X56" s="2807"/>
      <c r="Y56" s="2796"/>
      <c r="Z56" s="2797"/>
      <c r="AA56" s="2797"/>
      <c r="AB56" s="2798"/>
      <c r="AC56" s="2809"/>
      <c r="AD56" s="2796"/>
      <c r="AE56" s="2797"/>
      <c r="AF56" s="2797"/>
      <c r="AG56" s="2798"/>
      <c r="AH56" s="2800"/>
      <c r="AI56" s="2682"/>
    </row>
    <row r="57" ht="20.25" customHeight="1">
      <c r="A57" s="2270"/>
      <c r="B57" s="2818"/>
      <c r="C57" s="2830"/>
      <c r="D57" s="2796"/>
      <c r="E57" s="2831" t="s">
        <v>821</v>
      </c>
      <c r="F57" s="2832"/>
      <c r="G57" s="2841"/>
      <c r="H57" s="2842" t="str">
        <f>IMAGE("https://raw.githubusercontent.com/msikma/pokesprite/master/misc/types/gen8/dark.png",4,20,20)</f>
        <v/>
      </c>
      <c r="I57" s="2808"/>
      <c r="J57" s="2831" t="s">
        <v>726</v>
      </c>
      <c r="K57" s="2832"/>
      <c r="L57" s="2841"/>
      <c r="M57" s="2842" t="str">
        <f>IMAGE("https://raw.githubusercontent.com/msikma/pokesprite/master/misc/types/gen8/grass.png",4,20,20)</f>
        <v/>
      </c>
      <c r="N57" s="2808"/>
      <c r="O57" s="2831" t="s">
        <v>849</v>
      </c>
      <c r="P57" s="2832"/>
      <c r="Q57" s="2841"/>
      <c r="R57" s="2842" t="str">
        <f>IMAGE("https://raw.githubusercontent.com/msikma/pokesprite/master/misc/types/gen8/normal.png",4,20,20)</f>
        <v/>
      </c>
      <c r="S57" s="2808"/>
      <c r="T57" s="2831" t="s">
        <v>770</v>
      </c>
      <c r="U57" s="2832"/>
      <c r="V57" s="2841"/>
      <c r="W57" s="2842" t="str">
        <f>IMAGE("https://raw.githubusercontent.com/msikma/pokesprite/master/misc/types/gen8/grass.png",4,20,20)</f>
        <v/>
      </c>
      <c r="X57" s="2807"/>
      <c r="Y57" s="2796"/>
      <c r="Z57" s="2797"/>
      <c r="AA57" s="2797"/>
      <c r="AB57" s="2798"/>
      <c r="AC57" s="2809"/>
      <c r="AD57" s="2796"/>
      <c r="AE57" s="2797"/>
      <c r="AF57" s="2797"/>
      <c r="AG57" s="2798"/>
      <c r="AH57" s="2800"/>
      <c r="AI57" s="2682"/>
    </row>
    <row r="58" ht="20.25" customHeight="1">
      <c r="A58" s="2270"/>
      <c r="B58" s="2818"/>
      <c r="C58" s="2843"/>
      <c r="D58" s="2796"/>
      <c r="E58" s="2835" t="s">
        <v>216</v>
      </c>
      <c r="F58" s="2797"/>
      <c r="G58" s="2798"/>
      <c r="H58" s="2844" t="str">
        <f>IMAGE("https://raw.githubusercontent.com/msikma/pokesprite/master/misc/types/gen8/water.png",4,20,20)</f>
        <v/>
      </c>
      <c r="I58" s="2808"/>
      <c r="J58" s="2835" t="s">
        <v>341</v>
      </c>
      <c r="K58" s="2797"/>
      <c r="L58" s="2798"/>
      <c r="M58" s="2844" t="str">
        <f>IMAGE("https://raw.githubusercontent.com/msikma/pokesprite/master/misc/types/gen8/poison.png",4,20,20)</f>
        <v/>
      </c>
      <c r="N58" s="2808"/>
      <c r="O58" s="2835" t="s">
        <v>463</v>
      </c>
      <c r="P58" s="2797"/>
      <c r="Q58" s="2798"/>
      <c r="R58" s="2844" t="str">
        <f>IMAGE("https://raw.githubusercontent.com/msikma/pokesprite/master/misc/types/gen8/fighting.png",4,20,20)</f>
        <v/>
      </c>
      <c r="S58" s="2808"/>
      <c r="T58" s="2835" t="s">
        <v>638</v>
      </c>
      <c r="U58" s="2797"/>
      <c r="V58" s="2798"/>
      <c r="W58" s="2844" t="str">
        <f>IMAGE("https://raw.githubusercontent.com/msikma/pokesprite/master/misc/types/gen8/rock.png",4,20,20)</f>
        <v/>
      </c>
      <c r="X58" s="2807"/>
      <c r="Y58" s="2796"/>
      <c r="Z58" s="2797"/>
      <c r="AA58" s="2797"/>
      <c r="AB58" s="2798"/>
      <c r="AC58" s="2809"/>
      <c r="AD58" s="2796"/>
      <c r="AE58" s="2797"/>
      <c r="AF58" s="2797"/>
      <c r="AG58" s="2798"/>
      <c r="AH58" s="2800"/>
      <c r="AI58" s="2682"/>
    </row>
    <row r="59" ht="20.25" customHeight="1">
      <c r="A59" s="2270"/>
      <c r="B59" s="2818"/>
      <c r="C59" s="2843"/>
      <c r="D59" s="2796"/>
      <c r="E59" s="2835" t="s">
        <v>850</v>
      </c>
      <c r="F59" s="2797"/>
      <c r="G59" s="2798"/>
      <c r="H59" s="2844" t="str">
        <f>IMAGE("https://raw.githubusercontent.com/msikma/pokesprite/master/misc/types/gen8/dark.png",4,20,20)</f>
        <v/>
      </c>
      <c r="I59" s="2808"/>
      <c r="J59" s="2835" t="s">
        <v>851</v>
      </c>
      <c r="K59" s="2797"/>
      <c r="L59" s="2798"/>
      <c r="M59" s="2844" t="str">
        <f>IMAGE("https://raw.githubusercontent.com/msikma/pokesprite/master/misc/types/gen8/flying.png",4,20,20)</f>
        <v/>
      </c>
      <c r="N59" s="2808"/>
      <c r="O59" s="2835" t="s">
        <v>770</v>
      </c>
      <c r="P59" s="2797"/>
      <c r="Q59" s="2798"/>
      <c r="R59" s="2844" t="str">
        <f>IMAGE("https://raw.githubusercontent.com/msikma/pokesprite/master/misc/types/gen8/grass.png",4,20,20)</f>
        <v/>
      </c>
      <c r="S59" s="2808"/>
      <c r="T59" s="2835" t="s">
        <v>216</v>
      </c>
      <c r="U59" s="2797"/>
      <c r="V59" s="2798"/>
      <c r="W59" s="2844" t="str">
        <f>IMAGE("https://raw.githubusercontent.com/msikma/pokesprite/master/misc/types/gen8/water.png",4,20,20)</f>
        <v/>
      </c>
      <c r="X59" s="2807"/>
      <c r="Y59" s="2796"/>
      <c r="Z59" s="2797"/>
      <c r="AA59" s="2797"/>
      <c r="AB59" s="2798"/>
      <c r="AC59" s="2809"/>
      <c r="AD59" s="2796"/>
      <c r="AE59" s="2797"/>
      <c r="AF59" s="2797"/>
      <c r="AG59" s="2798"/>
      <c r="AH59" s="2800"/>
      <c r="AI59" s="2682"/>
    </row>
    <row r="60" ht="21.0" customHeight="1">
      <c r="A60" s="2270"/>
      <c r="B60" s="2818"/>
      <c r="C60" s="2843"/>
      <c r="D60" s="2796"/>
      <c r="E60" s="2845" t="s">
        <v>852</v>
      </c>
      <c r="F60" s="2846"/>
      <c r="G60" s="2847"/>
      <c r="H60" s="2848" t="str">
        <f>IMAGE("https://raw.githubusercontent.com/msikma/pokesprite/master/misc/types/gen8/electric.png",4,20,20)</f>
        <v/>
      </c>
      <c r="I60" s="2808"/>
      <c r="J60" s="2845" t="s">
        <v>287</v>
      </c>
      <c r="K60" s="2846"/>
      <c r="L60" s="2847"/>
      <c r="M60" s="2848" t="str">
        <f>IMAGE("https://raw.githubusercontent.com/msikma/pokesprite/master/misc/types/gen8/fire.png",4,20,20)</f>
        <v/>
      </c>
      <c r="N60" s="2808"/>
      <c r="O60" s="2845" t="s">
        <v>853</v>
      </c>
      <c r="P60" s="2846"/>
      <c r="Q60" s="2847"/>
      <c r="R60" s="2848" t="str">
        <f>IMAGE("https://raw.githubusercontent.com/msikma/pokesprite/master/misc/types/gen8/normal.png",4,20,20)</f>
        <v/>
      </c>
      <c r="S60" s="2808"/>
      <c r="T60" s="2845" t="s">
        <v>220</v>
      </c>
      <c r="U60" s="2846"/>
      <c r="V60" s="2847"/>
      <c r="W60" s="2848" t="str">
        <f>IMAGE("https://raw.githubusercontent.com/msikma/pokesprite/master/misc/types/gen8/ice.png",4,20,20)</f>
        <v/>
      </c>
      <c r="X60" s="2850"/>
      <c r="Y60" s="2796"/>
      <c r="Z60" s="2797"/>
      <c r="AA60" s="2797"/>
      <c r="AB60" s="2798"/>
      <c r="AC60" s="2830"/>
      <c r="AD60" s="2796"/>
      <c r="AE60" s="2797"/>
      <c r="AF60" s="2797"/>
      <c r="AG60" s="2798"/>
      <c r="AH60" s="2800"/>
      <c r="AI60" s="2682"/>
    </row>
    <row r="61" ht="3.0" customHeight="1">
      <c r="A61" s="2745"/>
      <c r="B61" s="2851"/>
      <c r="C61" s="2852"/>
      <c r="D61" s="2853"/>
      <c r="E61" s="2854"/>
      <c r="F61" s="2854"/>
      <c r="G61" s="2854"/>
      <c r="H61" s="2854"/>
      <c r="I61" s="2853"/>
      <c r="J61" s="2854"/>
      <c r="K61" s="2854"/>
      <c r="L61" s="2854"/>
      <c r="M61" s="2854"/>
      <c r="N61" s="2853"/>
      <c r="O61" s="2854"/>
      <c r="P61" s="2854"/>
      <c r="Q61" s="2854"/>
      <c r="R61" s="2854"/>
      <c r="S61" s="2853"/>
      <c r="T61" s="2854"/>
      <c r="U61" s="2854"/>
      <c r="V61" s="2854"/>
      <c r="W61" s="2891"/>
      <c r="X61" s="2853"/>
      <c r="Y61" s="2853"/>
      <c r="Z61" s="2857"/>
      <c r="AA61" s="2857"/>
      <c r="AB61" s="2858"/>
      <c r="AC61" s="2858"/>
      <c r="AD61" s="2858"/>
      <c r="AE61" s="2858"/>
      <c r="AF61" s="2858"/>
      <c r="AG61" s="2858"/>
      <c r="AH61" s="2859"/>
      <c r="AI61" s="2754"/>
    </row>
    <row r="62" ht="16.5" customHeight="1">
      <c r="A62" s="2755"/>
      <c r="B62" s="2860"/>
      <c r="C62" s="2852"/>
      <c r="D62" s="2861"/>
      <c r="E62" s="2862" t="s">
        <v>190</v>
      </c>
      <c r="F62" s="381"/>
      <c r="G62" s="382"/>
      <c r="H62" s="2863" t="s">
        <v>191</v>
      </c>
      <c r="I62" s="2864"/>
      <c r="J62" s="2862" t="s">
        <v>190</v>
      </c>
      <c r="K62" s="381"/>
      <c r="L62" s="382"/>
      <c r="M62" s="2863" t="s">
        <v>191</v>
      </c>
      <c r="N62" s="2864"/>
      <c r="O62" s="2862" t="s">
        <v>190</v>
      </c>
      <c r="P62" s="381"/>
      <c r="Q62" s="382"/>
      <c r="R62" s="2863" t="s">
        <v>191</v>
      </c>
      <c r="S62" s="2864"/>
      <c r="T62" s="2862" t="s">
        <v>190</v>
      </c>
      <c r="U62" s="381"/>
      <c r="V62" s="382"/>
      <c r="W62" s="2863" t="s">
        <v>191</v>
      </c>
      <c r="X62" s="2865"/>
      <c r="Y62" s="2866"/>
      <c r="Z62" s="2867"/>
      <c r="AA62" s="2867"/>
      <c r="AB62" s="2866"/>
      <c r="AC62" s="2866"/>
      <c r="AD62" s="2866"/>
      <c r="AE62" s="2866"/>
      <c r="AF62" s="2866"/>
      <c r="AG62" s="2866"/>
      <c r="AH62" s="2868"/>
      <c r="AI62" s="2499"/>
    </row>
    <row r="63" ht="16.5" customHeight="1">
      <c r="A63" s="2755"/>
      <c r="B63" s="2860"/>
      <c r="C63" s="2852"/>
      <c r="D63" s="2861"/>
      <c r="E63" s="2869" t="s">
        <v>192</v>
      </c>
      <c r="F63" s="2870">
        <f t="array" ref="F63">IFERROR(VLOOKUP(E50,Dex!$B$3:$N330,8,FALSE),"")</f>
        <v>65</v>
      </c>
      <c r="G63" s="2871" t="str">
        <f t="array" ref="G63">IFERROR(VLOOKUP(F63,Dex!$P$22:$Q$276,2,FALSE),"")</f>
        <v/>
      </c>
      <c r="H63" s="2872"/>
      <c r="I63" s="2864"/>
      <c r="J63" s="2869" t="s">
        <v>192</v>
      </c>
      <c r="K63" s="2870">
        <f t="array" ref="K63">IFERROR(VLOOKUP(J50,Dex!$B$3:$N330,8,FALSE),"")</f>
        <v>75</v>
      </c>
      <c r="L63" s="2871" t="str">
        <f t="array" ref="L63">IFERROR(VLOOKUP(K63,Dex!$P$22:$Q$276,2,FALSE),"")</f>
        <v/>
      </c>
      <c r="M63" s="2872"/>
      <c r="N63" s="2864"/>
      <c r="O63" s="2869" t="s">
        <v>192</v>
      </c>
      <c r="P63" s="2870">
        <f t="array" ref="P63">IFERROR(VLOOKUP(O50,Dex!$B$3:$N330,8,FALSE),"")</f>
        <v>115</v>
      </c>
      <c r="Q63" s="2871" t="str">
        <f t="array" ref="Q63">IFERROR(VLOOKUP(P63,Dex!$P$22:$Q$276,2,FALSE),"")</f>
        <v/>
      </c>
      <c r="R63" s="2872"/>
      <c r="S63" s="2864"/>
      <c r="T63" s="2869" t="s">
        <v>192</v>
      </c>
      <c r="U63" s="2870">
        <f t="array" ref="U63">IFERROR(VLOOKUP(T50,Dex!$B$3:$N330,8,FALSE),"")</f>
        <v>75</v>
      </c>
      <c r="V63" s="2871" t="str">
        <f t="array" ref="V63">IFERROR(VLOOKUP(U63,Dex!$P$22:$Q$276,2,FALSE),"")</f>
        <v/>
      </c>
      <c r="W63" s="2872"/>
      <c r="X63" s="2865"/>
      <c r="Y63" s="2866"/>
      <c r="Z63" s="2867"/>
      <c r="AA63" s="2867"/>
      <c r="AB63" s="2866"/>
      <c r="AC63" s="2866"/>
      <c r="AD63" s="2866"/>
      <c r="AE63" s="2866"/>
      <c r="AF63" s="2866"/>
      <c r="AG63" s="2866"/>
      <c r="AH63" s="2868"/>
      <c r="AI63" s="2499"/>
    </row>
    <row r="64" ht="16.5" customHeight="1">
      <c r="A64" s="2755"/>
      <c r="B64" s="2860"/>
      <c r="C64" s="2852"/>
      <c r="D64" s="2861"/>
      <c r="E64" s="2873" t="s">
        <v>193</v>
      </c>
      <c r="F64" s="2874">
        <f t="array" ref="F64">IFERROR(VLOOKUP(E50,Dex!$B$3:$N330,9,FALSE),"")</f>
        <v>60</v>
      </c>
      <c r="G64" s="2875" t="str">
        <f t="array" ref="G64">IFERROR(VLOOKUP(F64,Dex!$P$22:$Q$276,2,FALSE),"")</f>
        <v/>
      </c>
      <c r="H64" s="2876"/>
      <c r="I64" s="2864"/>
      <c r="J64" s="2873" t="s">
        <v>193</v>
      </c>
      <c r="K64" s="2874">
        <f t="array" ref="K64">IFERROR(VLOOKUP(J50,Dex!$B$3:$N330,9,FALSE),"")</f>
        <v>80</v>
      </c>
      <c r="L64" s="2875" t="str">
        <f t="array" ref="L64">IFERROR(VLOOKUP(K64,Dex!$P$22:$Q$276,2,FALSE),"")</f>
        <v/>
      </c>
      <c r="M64" s="2876"/>
      <c r="N64" s="2864"/>
      <c r="O64" s="2873" t="s">
        <v>193</v>
      </c>
      <c r="P64" s="2874">
        <f t="array" ref="P64">IFERROR(VLOOKUP(O50,Dex!$B$3:$N330,9,FALSE),"")</f>
        <v>90</v>
      </c>
      <c r="Q64" s="2875" t="str">
        <f t="array" ref="Q64">IFERROR(VLOOKUP(P64,Dex!$P$22:$Q$276,2,FALSE),"")</f>
        <v/>
      </c>
      <c r="R64" s="2876"/>
      <c r="S64" s="2864"/>
      <c r="T64" s="2873" t="s">
        <v>193</v>
      </c>
      <c r="U64" s="2874">
        <f t="array" ref="U64">IFERROR(VLOOKUP(T50,Dex!$B$3:$N330,9,FALSE),"")</f>
        <v>105</v>
      </c>
      <c r="V64" s="2875" t="str">
        <f t="array" ref="V64">IFERROR(VLOOKUP(U64,Dex!$P$22:$Q$276,2,FALSE),"")</f>
        <v/>
      </c>
      <c r="W64" s="2876"/>
      <c r="X64" s="2865"/>
      <c r="Y64" s="2866"/>
      <c r="Z64" s="2867"/>
      <c r="AA64" s="2867"/>
      <c r="AB64" s="2866"/>
      <c r="AC64" s="2866"/>
      <c r="AD64" s="2866"/>
      <c r="AE64" s="2866"/>
      <c r="AF64" s="2866"/>
      <c r="AG64" s="2866"/>
      <c r="AH64" s="2868"/>
      <c r="AI64" s="2499"/>
    </row>
    <row r="65" ht="16.5" customHeight="1">
      <c r="A65" s="2755"/>
      <c r="B65" s="2860"/>
      <c r="C65" s="2852"/>
      <c r="D65" s="2861"/>
      <c r="E65" s="2873" t="s">
        <v>194</v>
      </c>
      <c r="F65" s="2874">
        <f t="array" ref="F65">IFERROR(VLOOKUP(E50,Dex!$B$3:$N330,10,FALSE),"")</f>
        <v>60</v>
      </c>
      <c r="G65" s="2875" t="str">
        <f t="array" ref="G65">IFERROR(VLOOKUP(F65,Dex!$P$22:$Q$276,2,FALSE),"")</f>
        <v/>
      </c>
      <c r="H65" s="2876"/>
      <c r="I65" s="2864"/>
      <c r="J65" s="2873" t="s">
        <v>194</v>
      </c>
      <c r="K65" s="2874">
        <f t="array" ref="K65">IFERROR(VLOOKUP(J50,Dex!$B$3:$N330,10,FALSE),"")</f>
        <v>70</v>
      </c>
      <c r="L65" s="2875" t="str">
        <f t="array" ref="L65">IFERROR(VLOOKUP(K65,Dex!$P$22:$Q$276,2,FALSE),"")</f>
        <v/>
      </c>
      <c r="M65" s="2876"/>
      <c r="N65" s="2864"/>
      <c r="O65" s="2873" t="s">
        <v>194</v>
      </c>
      <c r="P65" s="2874">
        <f t="array" ref="P65">IFERROR(VLOOKUP(O50,Dex!$B$3:$N330,10,FALSE),"")</f>
        <v>70</v>
      </c>
      <c r="Q65" s="2875" t="str">
        <f t="array" ref="Q65">IFERROR(VLOOKUP(P65,Dex!$P$22:$Q$276,2,FALSE),"")</f>
        <v/>
      </c>
      <c r="R65" s="2876"/>
      <c r="S65" s="2864"/>
      <c r="T65" s="2873" t="s">
        <v>194</v>
      </c>
      <c r="U65" s="2874">
        <f t="array" ref="U65">IFERROR(VLOOKUP(T50,Dex!$B$3:$N330,10,FALSE),"")</f>
        <v>75</v>
      </c>
      <c r="V65" s="2875" t="str">
        <f t="array" ref="V65">IFERROR(VLOOKUP(U65,Dex!$P$22:$Q$276,2,FALSE),"")</f>
        <v/>
      </c>
      <c r="W65" s="2876"/>
      <c r="X65" s="2865"/>
      <c r="Y65" s="2866"/>
      <c r="Z65" s="2867"/>
      <c r="AA65" s="2867"/>
      <c r="AB65" s="2866"/>
      <c r="AC65" s="2866"/>
      <c r="AD65" s="2866"/>
      <c r="AE65" s="2866"/>
      <c r="AF65" s="2866"/>
      <c r="AG65" s="2866"/>
      <c r="AH65" s="2868"/>
      <c r="AI65" s="2499"/>
    </row>
    <row r="66" ht="16.5" customHeight="1">
      <c r="A66" s="2755"/>
      <c r="B66" s="2860"/>
      <c r="C66" s="2852"/>
      <c r="D66" s="2861"/>
      <c r="E66" s="2873" t="s">
        <v>195</v>
      </c>
      <c r="F66" s="2874">
        <f t="array" ref="F66">IFERROR(VLOOKUP(E50,Dex!$B$3:$N330,11,FALSE),"")</f>
        <v>55</v>
      </c>
      <c r="G66" s="2875" t="str">
        <f t="array" ref="G66">IFERROR(VLOOKUP(F66,Dex!$P$22:$Q$276,2,FALSE),"")</f>
        <v/>
      </c>
      <c r="H66" s="2876"/>
      <c r="I66" s="2864"/>
      <c r="J66" s="2873" t="s">
        <v>195</v>
      </c>
      <c r="K66" s="2874">
        <f t="array" ref="K66">IFERROR(VLOOKUP(J50,Dex!$B$3:$N330,11,FALSE),"")</f>
        <v>65</v>
      </c>
      <c r="L66" s="2875" t="str">
        <f t="array" ref="L66">IFERROR(VLOOKUP(K66,Dex!$P$22:$Q$276,2,FALSE),"")</f>
        <v/>
      </c>
      <c r="M66" s="2876"/>
      <c r="N66" s="2864"/>
      <c r="O66" s="2873" t="s">
        <v>195</v>
      </c>
      <c r="P66" s="2874">
        <f t="array" ref="P66">IFERROR(VLOOKUP(O50,Dex!$B$3:$N330,11,FALSE),"")</f>
        <v>59</v>
      </c>
      <c r="Q66" s="2875" t="str">
        <f t="array" ref="Q66">IFERROR(VLOOKUP(P66,Dex!$P$22:$Q$276,2,FALSE),"")</f>
        <v/>
      </c>
      <c r="R66" s="2876"/>
      <c r="S66" s="2864"/>
      <c r="T66" s="2873" t="s">
        <v>195</v>
      </c>
      <c r="U66" s="2874">
        <f t="array" ref="U66">IFERROR(VLOOKUP(T50,Dex!$B$3:$N330,11,FALSE),"")</f>
        <v>105</v>
      </c>
      <c r="V66" s="2875" t="str">
        <f t="array" ref="V66">IFERROR(VLOOKUP(U66,Dex!$P$22:$Q$276,2,FALSE),"")</f>
        <v/>
      </c>
      <c r="W66" s="2876"/>
      <c r="X66" s="2865"/>
      <c r="Y66" s="2866"/>
      <c r="Z66" s="2867"/>
      <c r="AA66" s="2867"/>
      <c r="AB66" s="2866"/>
      <c r="AC66" s="2866"/>
      <c r="AD66" s="2866"/>
      <c r="AE66" s="2866"/>
      <c r="AF66" s="2866"/>
      <c r="AG66" s="2866"/>
      <c r="AH66" s="2868"/>
      <c r="AI66" s="2499"/>
    </row>
    <row r="67" ht="16.5" customHeight="1">
      <c r="A67" s="2755"/>
      <c r="B67" s="2860"/>
      <c r="C67" s="2852"/>
      <c r="D67" s="2861"/>
      <c r="E67" s="2873" t="s">
        <v>196</v>
      </c>
      <c r="F67" s="2874">
        <f t="array" ref="F67">IFERROR(VLOOKUP(E50,Dex!$B$3:$N330,12,FALSE),"")</f>
        <v>65</v>
      </c>
      <c r="G67" s="2875" t="str">
        <f t="array" ref="G67">IFERROR(VLOOKUP(F67,Dex!$P$22:$Q$276,2,FALSE),"")</f>
        <v/>
      </c>
      <c r="H67" s="2876"/>
      <c r="I67" s="2864"/>
      <c r="J67" s="2873" t="s">
        <v>196</v>
      </c>
      <c r="K67" s="2874">
        <f t="array" ref="K67">IFERROR(VLOOKUP(J50,Dex!$B$3:$N330,12,FALSE),"")</f>
        <v>75</v>
      </c>
      <c r="L67" s="2875" t="str">
        <f t="array" ref="L67">IFERROR(VLOOKUP(K67,Dex!$P$22:$Q$276,2,FALSE),"")</f>
        <v/>
      </c>
      <c r="M67" s="2876"/>
      <c r="N67" s="2864"/>
      <c r="O67" s="2873" t="s">
        <v>196</v>
      </c>
      <c r="P67" s="2874">
        <f t="array" ref="P67">IFERROR(VLOOKUP(O50,Dex!$B$3:$N330,12,FALSE),"")</f>
        <v>90</v>
      </c>
      <c r="Q67" s="2875" t="str">
        <f t="array" ref="Q67">IFERROR(VLOOKUP(P67,Dex!$P$22:$Q$276,2,FALSE),"")</f>
        <v/>
      </c>
      <c r="R67" s="2876"/>
      <c r="S67" s="2864"/>
      <c r="T67" s="2873" t="s">
        <v>196</v>
      </c>
      <c r="U67" s="2874">
        <f t="array" ref="U67">IFERROR(VLOOKUP(T50,Dex!$B$3:$N330,12,FALSE),"")</f>
        <v>75</v>
      </c>
      <c r="V67" s="2875" t="str">
        <f t="array" ref="V67">IFERROR(VLOOKUP(U67,Dex!$P$22:$Q$276,2,FALSE),"")</f>
        <v/>
      </c>
      <c r="W67" s="2876"/>
      <c r="X67" s="2865"/>
      <c r="Y67" s="2866"/>
      <c r="Z67" s="2867"/>
      <c r="AA67" s="2867"/>
      <c r="AB67" s="2866"/>
      <c r="AC67" s="2866"/>
      <c r="AD67" s="2866"/>
      <c r="AE67" s="2866"/>
      <c r="AF67" s="2866"/>
      <c r="AG67" s="2866"/>
      <c r="AH67" s="2868"/>
      <c r="AI67" s="2499"/>
    </row>
    <row r="68" ht="16.5" customHeight="1">
      <c r="A68" s="2755"/>
      <c r="B68" s="2860"/>
      <c r="C68" s="1204" t="s">
        <v>436</v>
      </c>
      <c r="D68" s="2861"/>
      <c r="E68" s="2877" t="s">
        <v>197</v>
      </c>
      <c r="F68" s="2878">
        <f t="array" ref="F68">IFERROR(VLOOKUP(E50,Dex!$B$3:$N330,13,FALSE),"")</f>
        <v>115</v>
      </c>
      <c r="G68" s="2879" t="str">
        <f t="array" ref="G68">IFERROR(VLOOKUP(F68,Dex!$P$22:$Q$276,2,FALSE),"")</f>
        <v/>
      </c>
      <c r="H68" s="2880"/>
      <c r="I68" s="2864"/>
      <c r="J68" s="2877" t="s">
        <v>197</v>
      </c>
      <c r="K68" s="2878">
        <f t="array" ref="K68">IFERROR(VLOOKUP(J50,Dex!$B$3:$N330,13,FALSE),"")</f>
        <v>90</v>
      </c>
      <c r="L68" s="2879" t="str">
        <f t="array" ref="L68">IFERROR(VLOOKUP(K68,Dex!$P$22:$Q$276,2,FALSE),"")</f>
        <v/>
      </c>
      <c r="M68" s="2880"/>
      <c r="N68" s="2864"/>
      <c r="O68" s="2877" t="s">
        <v>197</v>
      </c>
      <c r="P68" s="2878">
        <f t="array" ref="P68">IFERROR(VLOOKUP(O50,Dex!$B$3:$N330,13,FALSE),"")</f>
        <v>65</v>
      </c>
      <c r="Q68" s="2879" t="str">
        <f t="array" ref="Q68">IFERROR(VLOOKUP(P68,Dex!$P$22:$Q$276,2,FALSE),"")</f>
        <v/>
      </c>
      <c r="R68" s="2880"/>
      <c r="S68" s="2864"/>
      <c r="T68" s="2877" t="s">
        <v>197</v>
      </c>
      <c r="U68" s="2878">
        <f t="array" ref="U68">IFERROR(VLOOKUP(T50,Dex!$B$3:$N330,13,FALSE),"")</f>
        <v>75</v>
      </c>
      <c r="V68" s="2879" t="str">
        <f t="array" ref="V68">IFERROR(VLOOKUP(U68,Dex!$P$22:$Q$276,2,FALSE),"")</f>
        <v/>
      </c>
      <c r="W68" s="2880"/>
      <c r="X68" s="2865"/>
      <c r="Y68" s="2866"/>
      <c r="Z68" s="2867"/>
      <c r="AA68" s="2867"/>
      <c r="AB68" s="2866"/>
      <c r="AC68" s="2866"/>
      <c r="AD68" s="2866"/>
      <c r="AE68" s="2866"/>
      <c r="AF68" s="2866"/>
      <c r="AG68" s="2866"/>
      <c r="AH68" s="2868"/>
      <c r="AI68" s="2499"/>
    </row>
    <row r="69" ht="16.5" customHeight="1">
      <c r="A69" s="2755"/>
      <c r="B69" s="2860"/>
      <c r="C69" s="1205" t="s">
        <v>566</v>
      </c>
      <c r="D69" s="2861"/>
      <c r="E69" s="2881" t="s">
        <v>198</v>
      </c>
      <c r="F69" s="405"/>
      <c r="G69" s="406"/>
      <c r="H69" s="2882">
        <v>91.0</v>
      </c>
      <c r="I69" s="2864"/>
      <c r="J69" s="2881" t="s">
        <v>198</v>
      </c>
      <c r="K69" s="405"/>
      <c r="L69" s="406"/>
      <c r="M69" s="2882">
        <v>77.0</v>
      </c>
      <c r="N69" s="2864"/>
      <c r="O69" s="2881" t="s">
        <v>198</v>
      </c>
      <c r="P69" s="405"/>
      <c r="Q69" s="406"/>
      <c r="R69" s="2882">
        <v>51.0</v>
      </c>
      <c r="S69" s="2864"/>
      <c r="T69" s="2881" t="s">
        <v>198</v>
      </c>
      <c r="U69" s="405"/>
      <c r="V69" s="406"/>
      <c r="W69" s="2882">
        <v>61.0</v>
      </c>
      <c r="X69" s="2865"/>
      <c r="Y69" s="2866"/>
      <c r="Z69" s="2867"/>
      <c r="AA69" s="2867"/>
      <c r="AB69" s="2866"/>
      <c r="AC69" s="2866"/>
      <c r="AD69" s="2866"/>
      <c r="AE69" s="2866"/>
      <c r="AF69" s="2866"/>
      <c r="AG69" s="2866"/>
      <c r="AH69" s="2868"/>
      <c r="AI69" s="2499"/>
    </row>
    <row r="70" ht="15.0" customHeight="1">
      <c r="A70" s="2270"/>
      <c r="B70" s="2883"/>
      <c r="C70" s="2884"/>
      <c r="D70" s="2885"/>
      <c r="E70" s="2886"/>
      <c r="F70" s="2886"/>
      <c r="G70" s="2886"/>
      <c r="H70" s="2886"/>
      <c r="I70" s="2885"/>
      <c r="J70" s="2886"/>
      <c r="K70" s="2886"/>
      <c r="L70" s="2886"/>
      <c r="M70" s="2886"/>
      <c r="N70" s="2885"/>
      <c r="O70" s="2886"/>
      <c r="P70" s="2886"/>
      <c r="Q70" s="2886"/>
      <c r="R70" s="2886"/>
      <c r="S70" s="2885"/>
      <c r="T70" s="2886"/>
      <c r="U70" s="2886"/>
      <c r="V70" s="2886"/>
      <c r="W70" s="2886"/>
      <c r="X70" s="2885"/>
      <c r="Y70" s="2885"/>
      <c r="Z70" s="2885"/>
      <c r="AA70" s="2885"/>
      <c r="AB70" s="2885"/>
      <c r="AC70" s="2885"/>
      <c r="AD70" s="2885"/>
      <c r="AE70" s="2885"/>
      <c r="AF70" s="2885"/>
      <c r="AG70" s="2885"/>
      <c r="AH70" s="2887"/>
      <c r="AI70" s="2682"/>
    </row>
    <row r="71" ht="15.0" customHeight="1">
      <c r="A71" s="2270"/>
      <c r="B71" s="2786"/>
      <c r="C71" s="2787"/>
      <c r="D71" s="2788"/>
      <c r="E71" s="2789"/>
      <c r="F71" s="2789"/>
      <c r="G71" s="2789"/>
      <c r="H71" s="2789"/>
      <c r="I71" s="2788"/>
      <c r="J71" s="2789"/>
      <c r="K71" s="2789"/>
      <c r="L71" s="2789"/>
      <c r="M71" s="2789"/>
      <c r="N71" s="2788"/>
      <c r="O71" s="2789"/>
      <c r="P71" s="2789"/>
      <c r="Q71" s="2789"/>
      <c r="R71" s="2789"/>
      <c r="S71" s="2788"/>
      <c r="T71" s="2789"/>
      <c r="U71" s="2789"/>
      <c r="V71" s="2789"/>
      <c r="W71" s="2789"/>
      <c r="X71" s="2788"/>
      <c r="Y71" s="2788"/>
      <c r="Z71" s="2788"/>
      <c r="AA71" s="2788"/>
      <c r="AB71" s="2788"/>
      <c r="AC71" s="2788"/>
      <c r="AD71" s="2788"/>
      <c r="AE71" s="2788"/>
      <c r="AF71" s="2788"/>
      <c r="AG71" s="2788"/>
      <c r="AH71" s="2790"/>
      <c r="AI71" s="2682"/>
    </row>
    <row r="72" ht="16.5" customHeight="1">
      <c r="A72" s="2270"/>
      <c r="B72" s="2892"/>
      <c r="C72" s="2843"/>
      <c r="D72" s="2829"/>
      <c r="E72" s="2893" t="s">
        <v>854</v>
      </c>
      <c r="F72" s="2838"/>
      <c r="G72" s="2838"/>
      <c r="H72" s="2838"/>
      <c r="I72" s="2838"/>
      <c r="J72" s="2838"/>
      <c r="K72" s="2838"/>
      <c r="L72" s="2838"/>
      <c r="M72" s="2838"/>
      <c r="N72" s="2838"/>
      <c r="O72" s="2838"/>
      <c r="P72" s="2838"/>
      <c r="Q72" s="2838"/>
      <c r="R72" s="2838"/>
      <c r="S72" s="2838"/>
      <c r="T72" s="2838"/>
      <c r="U72" s="2838"/>
      <c r="V72" s="2838"/>
      <c r="W72" s="2838"/>
      <c r="X72" s="2838"/>
      <c r="Y72" s="2838"/>
      <c r="Z72" s="2838"/>
      <c r="AA72" s="2838"/>
      <c r="AB72" s="2838"/>
      <c r="AC72" s="2838"/>
      <c r="AD72" s="2838"/>
      <c r="AE72" s="2838"/>
      <c r="AF72" s="2838"/>
      <c r="AG72" s="2839"/>
      <c r="AH72" s="2790"/>
      <c r="AI72" s="2682"/>
    </row>
    <row r="73" ht="96.75" customHeight="1">
      <c r="A73" s="2270"/>
      <c r="B73" s="2791"/>
      <c r="C73" s="2792" t="str">
        <f>IMAGE("https://i.ibb.co/kJrTDW3/Grunt.png")</f>
        <v/>
      </c>
      <c r="D73" s="2793"/>
      <c r="E73" s="2888" t="str">
        <f t="array" ref="E73">IFERROR(VLOOKUP(E74,Dex!$B$3:$G330,3,FALSE),"")</f>
        <v/>
      </c>
      <c r="F73" s="1830"/>
      <c r="G73" s="1830"/>
      <c r="H73" s="1831"/>
      <c r="I73" s="2889"/>
      <c r="J73" s="2888" t="str">
        <f t="array" ref="J73">IFERROR(VLOOKUP(J74,Dex!$B$3:$G330,3,FALSE),"")</f>
        <v/>
      </c>
      <c r="K73" s="1830"/>
      <c r="L73" s="1830"/>
      <c r="M73" s="1831"/>
      <c r="N73" s="2889"/>
      <c r="O73" s="2888" t="str">
        <f t="array" ref="O73">IFERROR(VLOOKUP(O74,Dex!$B$3:$G330,3,FALSE),"")</f>
        <v/>
      </c>
      <c r="P73" s="1830"/>
      <c r="Q73" s="1830"/>
      <c r="R73" s="1831"/>
      <c r="S73" s="2889"/>
      <c r="T73" s="2888" t="str">
        <f t="array" ref="T73">IFERROR(VLOOKUP(T74,Dex!$B$3:$G330,3,FALSE),"")</f>
        <v/>
      </c>
      <c r="U73" s="1830"/>
      <c r="V73" s="1830"/>
      <c r="W73" s="1831"/>
      <c r="X73" s="2795"/>
      <c r="Y73" s="2796"/>
      <c r="Z73" s="2797"/>
      <c r="AA73" s="2797"/>
      <c r="AB73" s="2798"/>
      <c r="AC73" s="2799"/>
      <c r="AD73" s="2796"/>
      <c r="AE73" s="2797"/>
      <c r="AF73" s="2797"/>
      <c r="AG73" s="2798"/>
      <c r="AH73" s="2800"/>
      <c r="AI73" s="2682"/>
    </row>
    <row r="74" ht="18.75" customHeight="1">
      <c r="A74" s="2297"/>
      <c r="B74" s="2801"/>
      <c r="C74" s="2802" t="s">
        <v>855</v>
      </c>
      <c r="D74" s="2803"/>
      <c r="E74" s="2804" t="s">
        <v>856</v>
      </c>
      <c r="F74" s="2805"/>
      <c r="G74" s="2805"/>
      <c r="H74" s="2806"/>
      <c r="I74" s="2803"/>
      <c r="J74" s="2804" t="s">
        <v>383</v>
      </c>
      <c r="K74" s="2805"/>
      <c r="L74" s="2805"/>
      <c r="M74" s="2806"/>
      <c r="N74" s="2803"/>
      <c r="O74" s="2804" t="s">
        <v>857</v>
      </c>
      <c r="P74" s="2805"/>
      <c r="Q74" s="2805"/>
      <c r="R74" s="2806"/>
      <c r="S74" s="2803"/>
      <c r="T74" s="2804" t="s">
        <v>858</v>
      </c>
      <c r="U74" s="2805"/>
      <c r="V74" s="2805"/>
      <c r="W74" s="2806"/>
      <c r="X74" s="2807"/>
      <c r="Y74" s="2808"/>
      <c r="Z74" s="2797"/>
      <c r="AA74" s="2797"/>
      <c r="AB74" s="2798"/>
      <c r="AC74" s="2809"/>
      <c r="AD74" s="2808"/>
      <c r="AE74" s="2797"/>
      <c r="AF74" s="2797"/>
      <c r="AG74" s="2798"/>
      <c r="AH74" s="2810"/>
      <c r="AI74" s="2703"/>
    </row>
    <row r="75">
      <c r="A75" s="2704"/>
      <c r="B75" s="2811"/>
      <c r="C75" s="326"/>
      <c r="D75" s="2812"/>
      <c r="E75" s="2813" t="s">
        <v>714</v>
      </c>
      <c r="F75" s="2814"/>
      <c r="G75" s="2814"/>
      <c r="H75" s="2815"/>
      <c r="I75" s="2803"/>
      <c r="J75" s="2813" t="s">
        <v>714</v>
      </c>
      <c r="K75" s="2814"/>
      <c r="L75" s="2814"/>
      <c r="M75" s="2815"/>
      <c r="N75" s="2803"/>
      <c r="O75" s="2813" t="s">
        <v>715</v>
      </c>
      <c r="P75" s="2814"/>
      <c r="Q75" s="2814"/>
      <c r="R75" s="2815"/>
      <c r="S75" s="2803"/>
      <c r="T75" s="2813" t="s">
        <v>715</v>
      </c>
      <c r="U75" s="2814"/>
      <c r="V75" s="2814"/>
      <c r="W75" s="2815"/>
      <c r="X75" s="2807"/>
      <c r="Y75" s="2816"/>
      <c r="Z75" s="2797"/>
      <c r="AA75" s="2797"/>
      <c r="AB75" s="2798"/>
      <c r="AC75" s="2809"/>
      <c r="AD75" s="2816"/>
      <c r="AE75" s="2797"/>
      <c r="AF75" s="2797"/>
      <c r="AG75" s="2798"/>
      <c r="AH75" s="2817"/>
      <c r="AI75" s="2712"/>
    </row>
    <row r="76" ht="25.5" customHeight="1">
      <c r="A76" s="2270"/>
      <c r="B76" s="2818"/>
      <c r="C76" s="2819"/>
      <c r="D76" s="2796"/>
      <c r="E76" s="2820"/>
      <c r="F76" s="2821" t="str">
        <f t="array" ref="F76">IFERROR(VLOOKUP(E74,Dex!$B$3:$H330,5,FALSE),"")</f>
        <v/>
      </c>
      <c r="G76" s="2822"/>
      <c r="H76" s="2823"/>
      <c r="I76" s="2808"/>
      <c r="J76" s="2820"/>
      <c r="K76" s="2824" t="str">
        <f t="array" ref="K76">IFERROR(VLOOKUP(J74,Dex!$B$3:$H330,5,FALSE),"")</f>
        <v/>
      </c>
      <c r="L76" s="2825" t="str">
        <f t="array" ref="L76">IFERROR(VLOOKUP(J74,Dex!$B$3:$H330,7,FALSE),"")</f>
        <v/>
      </c>
      <c r="M76" s="2823"/>
      <c r="N76" s="2808"/>
      <c r="O76" s="2820"/>
      <c r="P76" s="2824" t="str">
        <f t="array" ref="P76">IFERROR(VLOOKUP(O74,Dex!$B$3:$H330,5,FALSE),"")</f>
        <v/>
      </c>
      <c r="Q76" s="2825" t="str">
        <f t="array" ref="Q76">IFERROR(VLOOKUP(O74,Dex!$B$3:$H330,7,FALSE),"")</f>
        <v/>
      </c>
      <c r="R76" s="2823"/>
      <c r="S76" s="2808"/>
      <c r="T76" s="2820"/>
      <c r="U76" s="2824" t="str">
        <f t="array" ref="U76">IFERROR(VLOOKUP(T74,Dex!$B$3:$H330,5,FALSE),"")</f>
        <v/>
      </c>
      <c r="V76" s="2825" t="str">
        <f t="array" ref="V76">IFERROR(VLOOKUP(T74,Dex!$B$3:$H330,7,FALSE),"")</f>
        <v/>
      </c>
      <c r="W76" s="2823"/>
      <c r="X76" s="2807"/>
      <c r="Y76" s="2796"/>
      <c r="Z76" s="2797"/>
      <c r="AA76" s="2797"/>
      <c r="AB76" s="2798"/>
      <c r="AC76" s="2809"/>
      <c r="AD76" s="2796"/>
      <c r="AE76" s="2797"/>
      <c r="AF76" s="2797"/>
      <c r="AG76" s="2798"/>
      <c r="AH76" s="2800"/>
      <c r="AI76" s="2682"/>
    </row>
    <row r="77" ht="2.25" customHeight="1">
      <c r="A77" s="2270"/>
      <c r="B77" s="2818"/>
      <c r="C77" s="2809"/>
      <c r="D77" s="2796"/>
      <c r="E77" s="2826"/>
      <c r="F77" s="2827"/>
      <c r="G77" s="2827"/>
      <c r="H77" s="2828"/>
      <c r="I77" s="2808"/>
      <c r="J77" s="2826"/>
      <c r="K77" s="2827"/>
      <c r="L77" s="2827"/>
      <c r="M77" s="2828"/>
      <c r="N77" s="2808"/>
      <c r="O77" s="2826"/>
      <c r="P77" s="2827"/>
      <c r="Q77" s="2827"/>
      <c r="R77" s="2828"/>
      <c r="S77" s="2808"/>
      <c r="T77" s="2826"/>
      <c r="U77" s="2827"/>
      <c r="V77" s="2827"/>
      <c r="W77" s="2828"/>
      <c r="X77" s="2807"/>
      <c r="Y77" s="2829"/>
      <c r="Z77" s="2829"/>
      <c r="AA77" s="2829"/>
      <c r="AB77" s="2829"/>
      <c r="AC77" s="2809"/>
      <c r="AD77" s="2829"/>
      <c r="AE77" s="2829"/>
      <c r="AF77" s="2829"/>
      <c r="AG77" s="2829"/>
      <c r="AH77" s="2800"/>
      <c r="AI77" s="2682"/>
    </row>
    <row r="78" ht="20.25" customHeight="1">
      <c r="A78" s="2270"/>
      <c r="B78" s="2818"/>
      <c r="C78" s="2830"/>
      <c r="D78" s="2796"/>
      <c r="E78" s="2831" t="s">
        <v>231</v>
      </c>
      <c r="F78" s="2832"/>
      <c r="G78" s="2832"/>
      <c r="H78" s="2833"/>
      <c r="I78" s="2890"/>
      <c r="J78" s="2831" t="s">
        <v>172</v>
      </c>
      <c r="K78" s="2832"/>
      <c r="L78" s="2832"/>
      <c r="M78" s="2833"/>
      <c r="N78" s="2890"/>
      <c r="O78" s="2831" t="s">
        <v>169</v>
      </c>
      <c r="P78" s="2832"/>
      <c r="Q78" s="2832"/>
      <c r="R78" s="2833"/>
      <c r="S78" s="2890"/>
      <c r="T78" s="2831" t="s">
        <v>172</v>
      </c>
      <c r="U78" s="2832"/>
      <c r="V78" s="2832"/>
      <c r="W78" s="2833"/>
      <c r="X78" s="2807"/>
      <c r="Y78" s="2796"/>
      <c r="Z78" s="2797"/>
      <c r="AA78" s="2797"/>
      <c r="AB78" s="2798"/>
      <c r="AC78" s="2809"/>
      <c r="AD78" s="2796"/>
      <c r="AE78" s="2797"/>
      <c r="AF78" s="2797"/>
      <c r="AG78" s="2798"/>
      <c r="AH78" s="2800"/>
      <c r="AI78" s="2682"/>
    </row>
    <row r="79" ht="20.25" customHeight="1">
      <c r="A79" s="2270"/>
      <c r="B79" s="2818"/>
      <c r="C79" s="2834"/>
      <c r="D79" s="2796"/>
      <c r="E79" s="2835" t="s">
        <v>859</v>
      </c>
      <c r="F79" s="2797"/>
      <c r="G79" s="2797"/>
      <c r="H79" s="2836"/>
      <c r="I79" s="2890"/>
      <c r="J79" s="2835" t="s">
        <v>389</v>
      </c>
      <c r="K79" s="2797"/>
      <c r="L79" s="2797"/>
      <c r="M79" s="2836"/>
      <c r="N79" s="2890"/>
      <c r="O79" s="2835" t="s">
        <v>716</v>
      </c>
      <c r="P79" s="2797"/>
      <c r="Q79" s="2797"/>
      <c r="R79" s="2836"/>
      <c r="S79" s="2890"/>
      <c r="T79" s="2835" t="s">
        <v>303</v>
      </c>
      <c r="U79" s="2797"/>
      <c r="V79" s="2797"/>
      <c r="W79" s="2836"/>
      <c r="X79" s="2807"/>
      <c r="Y79" s="2796"/>
      <c r="Z79" s="2797"/>
      <c r="AA79" s="2797"/>
      <c r="AB79" s="2798"/>
      <c r="AC79" s="2809"/>
      <c r="AD79" s="2796"/>
      <c r="AE79" s="2797"/>
      <c r="AF79" s="2797"/>
      <c r="AG79" s="2798"/>
      <c r="AH79" s="2800"/>
      <c r="AI79" s="2682"/>
    </row>
    <row r="80" ht="20.25" customHeight="1">
      <c r="A80" s="2270"/>
      <c r="B80" s="2818"/>
      <c r="C80" s="2809"/>
      <c r="D80" s="2796"/>
      <c r="E80" s="2837" t="s">
        <v>579</v>
      </c>
      <c r="F80" s="2838"/>
      <c r="G80" s="2839"/>
      <c r="H80" s="2840" t="str">
        <f>IMAGE("https://raw.githubusercontent.com/msikma/pokesprite/master/items/berry/colbur.png",3)</f>
        <v/>
      </c>
      <c r="I80" s="2808"/>
      <c r="J80" s="2837" t="s">
        <v>240</v>
      </c>
      <c r="K80" s="2838"/>
      <c r="L80" s="2839"/>
      <c r="M80" s="2840" t="str">
        <f>IMAGE("https://raw.githubusercontent.com/msikma/pokesprite/master/items/hold-item/focus-sash.png",3)</f>
        <v/>
      </c>
      <c r="N80" s="2808"/>
      <c r="O80" s="2837" t="s">
        <v>363</v>
      </c>
      <c r="P80" s="2838"/>
      <c r="Q80" s="2839"/>
      <c r="R80" s="2840" t="str">
        <f>IMAGE("https://raw.githubusercontent.com/msikma/pokesprite/master/items/berry/lum.png",3)</f>
        <v/>
      </c>
      <c r="S80" s="2808"/>
      <c r="T80" s="2837" t="s">
        <v>307</v>
      </c>
      <c r="U80" s="2838"/>
      <c r="V80" s="2839"/>
      <c r="W80" s="2840" t="str">
        <f>IMAGE("https://raw.githubusercontent.com/msikma/pokesprite/master/items/hold-item/flame-orb.png",3)</f>
        <v/>
      </c>
      <c r="X80" s="2807"/>
      <c r="Y80" s="2796"/>
      <c r="Z80" s="2797"/>
      <c r="AA80" s="2797"/>
      <c r="AB80" s="2798"/>
      <c r="AC80" s="2809"/>
      <c r="AD80" s="2796"/>
      <c r="AE80" s="2797"/>
      <c r="AF80" s="2797"/>
      <c r="AG80" s="2798"/>
      <c r="AH80" s="2800"/>
      <c r="AI80" s="2682"/>
    </row>
    <row r="81" ht="20.25" customHeight="1">
      <c r="A81" s="2270"/>
      <c r="B81" s="2818"/>
      <c r="C81" s="2830"/>
      <c r="D81" s="2796"/>
      <c r="E81" s="2831" t="s">
        <v>860</v>
      </c>
      <c r="F81" s="2832"/>
      <c r="G81" s="2841"/>
      <c r="H81" s="2842" t="str">
        <f>IMAGE("https://raw.githubusercontent.com/msikma/pokesprite/master/misc/types/gen8/dark.png",4,20,20)</f>
        <v/>
      </c>
      <c r="I81" s="2808"/>
      <c r="J81" s="2831" t="s">
        <v>610</v>
      </c>
      <c r="K81" s="2832"/>
      <c r="L81" s="2841"/>
      <c r="M81" s="2842" t="str">
        <f>IMAGE("https://raw.githubusercontent.com/msikma/pokesprite/master/misc/types/gen8/rock.png",4,20,20)</f>
        <v/>
      </c>
      <c r="N81" s="2808"/>
      <c r="O81" s="2831" t="s">
        <v>244</v>
      </c>
      <c r="P81" s="2832"/>
      <c r="Q81" s="2841"/>
      <c r="R81" s="2842" t="str">
        <f>IMAGE("https://raw.githubusercontent.com/msikma/pokesprite/master/misc/types/gen8/fighting.png",4,20,20)</f>
        <v/>
      </c>
      <c r="S81" s="2808"/>
      <c r="T81" s="2831" t="s">
        <v>189</v>
      </c>
      <c r="U81" s="2832"/>
      <c r="V81" s="2841"/>
      <c r="W81" s="2842" t="str">
        <f>IMAGE("https://raw.githubusercontent.com/msikma/pokesprite/master/misc/types/gen8/normal.png",4,20,20)</f>
        <v/>
      </c>
      <c r="X81" s="2807"/>
      <c r="Y81" s="2796"/>
      <c r="Z81" s="2797"/>
      <c r="AA81" s="2797"/>
      <c r="AB81" s="2798"/>
      <c r="AC81" s="2809"/>
      <c r="AD81" s="2796"/>
      <c r="AE81" s="2797"/>
      <c r="AF81" s="2797"/>
      <c r="AG81" s="2798"/>
      <c r="AH81" s="2800"/>
      <c r="AI81" s="2682"/>
    </row>
    <row r="82" ht="20.25" customHeight="1">
      <c r="A82" s="2270"/>
      <c r="B82" s="2818"/>
      <c r="C82" s="2843"/>
      <c r="D82" s="2796"/>
      <c r="E82" s="2894" t="s">
        <v>561</v>
      </c>
      <c r="F82" s="2895"/>
      <c r="G82" s="2850"/>
      <c r="H82" s="2896" t="str">
        <f>IMAGE("https://raw.githubusercontent.com/msikma/pokesprite/master/misc/types/gen8/psychic.png",4,20,20)</f>
        <v/>
      </c>
      <c r="I82" s="2808"/>
      <c r="J82" s="2897" t="s">
        <v>408</v>
      </c>
      <c r="K82" s="2895"/>
      <c r="L82" s="2850"/>
      <c r="M82" s="2896" t="str">
        <f>IMAGE("https://raw.githubusercontent.com/msikma/pokesprite/master/misc/types/gen8/flying.png",4,20,20)</f>
        <v/>
      </c>
      <c r="N82" s="2808"/>
      <c r="O82" s="2835" t="s">
        <v>556</v>
      </c>
      <c r="P82" s="2797"/>
      <c r="Q82" s="2798"/>
      <c r="R82" s="2896" t="str">
        <f>IMAGE("https://raw.githubusercontent.com/msikma/pokesprite/master/misc/types/gen8/fairy.png",4,20,20)</f>
        <v/>
      </c>
      <c r="S82" s="2808"/>
      <c r="T82" s="2835" t="s">
        <v>279</v>
      </c>
      <c r="U82" s="2797"/>
      <c r="V82" s="2798"/>
      <c r="W82" s="2896" t="str">
        <f t="shared" ref="W82:W83" si="2">IMAGE("https://raw.githubusercontent.com/msikma/pokesprite/master/misc/types/gen8/dark.png",4,20,20)</f>
        <v/>
      </c>
      <c r="X82" s="2807"/>
      <c r="Y82" s="2796"/>
      <c r="Z82" s="2797"/>
      <c r="AA82" s="2797"/>
      <c r="AB82" s="2798"/>
      <c r="AC82" s="2809"/>
      <c r="AD82" s="2796"/>
      <c r="AE82" s="2797"/>
      <c r="AF82" s="2797"/>
      <c r="AG82" s="2798"/>
      <c r="AH82" s="2800"/>
      <c r="AI82" s="2682"/>
    </row>
    <row r="83" ht="20.25" customHeight="1">
      <c r="A83" s="2270"/>
      <c r="B83" s="2818"/>
      <c r="C83" s="2843"/>
      <c r="D83" s="2796"/>
      <c r="E83" s="2894" t="s">
        <v>279</v>
      </c>
      <c r="F83" s="2895"/>
      <c r="G83" s="2850"/>
      <c r="H83" s="2896" t="str">
        <f>IMAGE("https://raw.githubusercontent.com/msikma/pokesprite/master/misc/types/gen8/dark.png",4,20,20)</f>
        <v/>
      </c>
      <c r="I83" s="2808"/>
      <c r="J83" s="2897" t="s">
        <v>861</v>
      </c>
      <c r="K83" s="2895"/>
      <c r="L83" s="2850"/>
      <c r="M83" s="2896" t="str">
        <f>IMAGE("https://raw.githubusercontent.com/msikma/pokesprite/master/misc/types/gen8/water.png",4,20,20)</f>
        <v/>
      </c>
      <c r="N83" s="2808"/>
      <c r="O83" s="2835" t="s">
        <v>862</v>
      </c>
      <c r="P83" s="2797"/>
      <c r="Q83" s="2798"/>
      <c r="R83" s="2896" t="str">
        <f>IMAGE("https://raw.githubusercontent.com/msikma/pokesprite/master/misc/types/gen8/fire.png",4,20,20)</f>
        <v/>
      </c>
      <c r="S83" s="2808"/>
      <c r="T83" s="2835" t="s">
        <v>541</v>
      </c>
      <c r="U83" s="2797"/>
      <c r="V83" s="2798"/>
      <c r="W83" s="2896" t="str">
        <f t="shared" si="2"/>
        <v/>
      </c>
      <c r="X83" s="2807"/>
      <c r="Y83" s="2796"/>
      <c r="Z83" s="2797"/>
      <c r="AA83" s="2797"/>
      <c r="AB83" s="2798"/>
      <c r="AC83" s="2809"/>
      <c r="AD83" s="2796"/>
      <c r="AE83" s="2797"/>
      <c r="AF83" s="2797"/>
      <c r="AG83" s="2798"/>
      <c r="AH83" s="2800"/>
      <c r="AI83" s="2682"/>
    </row>
    <row r="84" ht="21.0" customHeight="1">
      <c r="A84" s="2270"/>
      <c r="B84" s="2818"/>
      <c r="C84" s="2843"/>
      <c r="D84" s="2796"/>
      <c r="E84" s="2898" t="s">
        <v>318</v>
      </c>
      <c r="F84" s="2899"/>
      <c r="G84" s="2900"/>
      <c r="H84" s="2901" t="str">
        <f>IMAGE("https://raw.githubusercontent.com/msikma/pokesprite/master/misc/types/gen8/ghost.png",4,20,20)</f>
        <v/>
      </c>
      <c r="I84" s="2808"/>
      <c r="J84" s="2898" t="s">
        <v>407</v>
      </c>
      <c r="K84" s="2899"/>
      <c r="L84" s="2900"/>
      <c r="M84" s="2901" t="str">
        <f>IMAGE("https://raw.githubusercontent.com/msikma/pokesprite/master/misc/types/gen8/steel.png",4,20,20)</f>
        <v/>
      </c>
      <c r="N84" s="2808"/>
      <c r="O84" s="2845" t="s">
        <v>863</v>
      </c>
      <c r="P84" s="2846"/>
      <c r="Q84" s="2847"/>
      <c r="R84" s="2901" t="str">
        <f>IMAGE("https://raw.githubusercontent.com/msikma/pokesprite/master/misc/types/gen8/psychic.png",4,20,20)</f>
        <v/>
      </c>
      <c r="S84" s="2808"/>
      <c r="T84" s="2845" t="s">
        <v>215</v>
      </c>
      <c r="U84" s="2846"/>
      <c r="V84" s="2847"/>
      <c r="W84" s="2901" t="str">
        <f>IMAGE("https://raw.githubusercontent.com/msikma/pokesprite/master/misc/types/gen8/ice.png",4,20,20)</f>
        <v/>
      </c>
      <c r="X84" s="2850"/>
      <c r="Y84" s="2796"/>
      <c r="Z84" s="2797"/>
      <c r="AA84" s="2797"/>
      <c r="AB84" s="2798"/>
      <c r="AC84" s="2830"/>
      <c r="AD84" s="2796"/>
      <c r="AE84" s="2797"/>
      <c r="AF84" s="2797"/>
      <c r="AG84" s="2798"/>
      <c r="AH84" s="2800"/>
      <c r="AI84" s="2682"/>
    </row>
    <row r="85" ht="3.0" customHeight="1">
      <c r="A85" s="2745"/>
      <c r="B85" s="2851"/>
      <c r="C85" s="2852"/>
      <c r="D85" s="2853"/>
      <c r="E85" s="2854"/>
      <c r="F85" s="2854"/>
      <c r="G85" s="2854"/>
      <c r="H85" s="2854"/>
      <c r="I85" s="2853"/>
      <c r="J85" s="2854"/>
      <c r="K85" s="2854"/>
      <c r="L85" s="2854"/>
      <c r="M85" s="2854"/>
      <c r="N85" s="2853"/>
      <c r="O85" s="2854"/>
      <c r="P85" s="2854"/>
      <c r="Q85" s="2854"/>
      <c r="R85" s="2854"/>
      <c r="S85" s="2853"/>
      <c r="T85" s="2854"/>
      <c r="U85" s="2854"/>
      <c r="V85" s="2854"/>
      <c r="W85" s="2891"/>
      <c r="X85" s="2853"/>
      <c r="Y85" s="2853"/>
      <c r="Z85" s="2857"/>
      <c r="AA85" s="2857"/>
      <c r="AB85" s="2858"/>
      <c r="AC85" s="2858"/>
      <c r="AD85" s="2858"/>
      <c r="AE85" s="2858"/>
      <c r="AF85" s="2858"/>
      <c r="AG85" s="2858"/>
      <c r="AH85" s="2859"/>
      <c r="AI85" s="2754"/>
    </row>
    <row r="86" ht="16.5" customHeight="1">
      <c r="A86" s="2755"/>
      <c r="B86" s="2860"/>
      <c r="C86" s="2852"/>
      <c r="D86" s="2861"/>
      <c r="E86" s="2862" t="s">
        <v>190</v>
      </c>
      <c r="F86" s="381"/>
      <c r="G86" s="382"/>
      <c r="H86" s="2863" t="s">
        <v>191</v>
      </c>
      <c r="I86" s="2864"/>
      <c r="J86" s="2862" t="s">
        <v>190</v>
      </c>
      <c r="K86" s="381"/>
      <c r="L86" s="382"/>
      <c r="M86" s="2863" t="s">
        <v>191</v>
      </c>
      <c r="N86" s="2864"/>
      <c r="O86" s="2862" t="s">
        <v>190</v>
      </c>
      <c r="P86" s="381"/>
      <c r="Q86" s="382"/>
      <c r="R86" s="2863" t="s">
        <v>191</v>
      </c>
      <c r="S86" s="2864"/>
      <c r="T86" s="2862" t="s">
        <v>190</v>
      </c>
      <c r="U86" s="381"/>
      <c r="V86" s="382"/>
      <c r="W86" s="2863" t="s">
        <v>191</v>
      </c>
      <c r="X86" s="2865"/>
      <c r="Y86" s="2866"/>
      <c r="Z86" s="2867"/>
      <c r="AA86" s="2867"/>
      <c r="AB86" s="2866"/>
      <c r="AC86" s="2866"/>
      <c r="AD86" s="2866"/>
      <c r="AE86" s="2866"/>
      <c r="AF86" s="2866"/>
      <c r="AG86" s="2866"/>
      <c r="AH86" s="2868"/>
      <c r="AI86" s="2499"/>
    </row>
    <row r="87" ht="16.5" customHeight="1">
      <c r="A87" s="2755"/>
      <c r="B87" s="2860"/>
      <c r="C87" s="2852"/>
      <c r="D87" s="2861"/>
      <c r="E87" s="2869" t="s">
        <v>192</v>
      </c>
      <c r="F87" s="2870">
        <f t="array" ref="F87">IFERROR(VLOOKUP(E74,Dex!$B$3:$N330,8,FALSE),"")</f>
        <v>85</v>
      </c>
      <c r="G87" s="2871" t="str">
        <f t="array" ref="G87">IFERROR(VLOOKUP(F87,Dex!$P$22:$Q$276,2,FALSE),"")</f>
        <v/>
      </c>
      <c r="H87" s="2872">
        <v>252.0</v>
      </c>
      <c r="I87" s="2864"/>
      <c r="J87" s="2869" t="s">
        <v>192</v>
      </c>
      <c r="K87" s="2870">
        <f t="array" ref="K87">IFERROR(VLOOKUP(J74,Dex!$B$3:$N330,8,FALSE),"")</f>
        <v>80</v>
      </c>
      <c r="L87" s="2871" t="str">
        <f t="array" ref="L87">IFERROR(VLOOKUP(K87,Dex!$P$22:$Q$276,2,FALSE),"")</f>
        <v/>
      </c>
      <c r="M87" s="2872"/>
      <c r="N87" s="2864"/>
      <c r="O87" s="2869" t="s">
        <v>192</v>
      </c>
      <c r="P87" s="2870">
        <f t="array" ref="P87">IFERROR(VLOOKUP(O74,Dex!$B$3:$N330,8,FALSE),"")</f>
        <v>100</v>
      </c>
      <c r="Q87" s="2871" t="str">
        <f t="array" ref="Q87">IFERROR(VLOOKUP(P87,Dex!$P$22:$Q$276,2,FALSE),"")</f>
        <v/>
      </c>
      <c r="R87" s="2872">
        <v>252.0</v>
      </c>
      <c r="S87" s="2864"/>
      <c r="T87" s="2869" t="s">
        <v>192</v>
      </c>
      <c r="U87" s="2870">
        <f t="array" ref="U87">IFERROR(VLOOKUP(T74,Dex!$B$3:$N330,8,FALSE),"")</f>
        <v>93</v>
      </c>
      <c r="V87" s="2871" t="str">
        <f t="array" ref="V87">IFERROR(VLOOKUP(U87,Dex!$P$22:$Q$276,2,FALSE),"")</f>
        <v/>
      </c>
      <c r="W87" s="2872"/>
      <c r="X87" s="2865"/>
      <c r="Y87" s="2866"/>
      <c r="Z87" s="2867"/>
      <c r="AA87" s="2867"/>
      <c r="AB87" s="2866"/>
      <c r="AC87" s="2866"/>
      <c r="AD87" s="2866"/>
      <c r="AE87" s="2866"/>
      <c r="AF87" s="2866"/>
      <c r="AG87" s="2866"/>
      <c r="AH87" s="2868"/>
      <c r="AI87" s="2499"/>
    </row>
    <row r="88" ht="16.5" customHeight="1">
      <c r="A88" s="2755"/>
      <c r="B88" s="2860"/>
      <c r="C88" s="2852"/>
      <c r="D88" s="2861"/>
      <c r="E88" s="2873" t="s">
        <v>193</v>
      </c>
      <c r="F88" s="2874">
        <f t="array" ref="F88">IFERROR(VLOOKUP(E74,Dex!$B$3:$N330,9,FALSE),"")</f>
        <v>73</v>
      </c>
      <c r="G88" s="2875" t="str">
        <f t="array" ref="G88">IFERROR(VLOOKUP(F88,Dex!$P$22:$Q$276,2,FALSE),"")</f>
        <v/>
      </c>
      <c r="H88" s="2876"/>
      <c r="I88" s="2864"/>
      <c r="J88" s="2873" t="s">
        <v>193</v>
      </c>
      <c r="K88" s="2874">
        <f t="array" ref="K88">IFERROR(VLOOKUP(J74,Dex!$B$3:$N330,9,FALSE),"")</f>
        <v>105</v>
      </c>
      <c r="L88" s="2875" t="str">
        <f t="array" ref="L88">IFERROR(VLOOKUP(K88,Dex!$P$22:$Q$276,2,FALSE),"")</f>
        <v/>
      </c>
      <c r="M88" s="2876">
        <v>252.0</v>
      </c>
      <c r="N88" s="2864"/>
      <c r="O88" s="2873" t="s">
        <v>193</v>
      </c>
      <c r="P88" s="2874">
        <f t="array" ref="P88">IFERROR(VLOOKUP(O74,Dex!$B$3:$N330,9,FALSE),"")</f>
        <v>120</v>
      </c>
      <c r="Q88" s="2875" t="str">
        <f t="array" ref="Q88">IFERROR(VLOOKUP(P88,Dex!$P$22:$Q$276,2,FALSE),"")</f>
        <v/>
      </c>
      <c r="R88" s="2876">
        <v>252.0</v>
      </c>
      <c r="S88" s="2864"/>
      <c r="T88" s="2873" t="s">
        <v>193</v>
      </c>
      <c r="U88" s="2874">
        <f t="array" ref="U88">IFERROR(VLOOKUP(T74,Dex!$B$3:$N330,9,FALSE),"")</f>
        <v>90</v>
      </c>
      <c r="V88" s="2875" t="str">
        <f t="array" ref="V88">IFERROR(VLOOKUP(U88,Dex!$P$22:$Q$276,2,FALSE),"")</f>
        <v/>
      </c>
      <c r="W88" s="2876">
        <v>252.0</v>
      </c>
      <c r="X88" s="2865"/>
      <c r="Y88" s="2866"/>
      <c r="Z88" s="2867"/>
      <c r="AA88" s="2867"/>
      <c r="AB88" s="2866"/>
      <c r="AC88" s="2866"/>
      <c r="AD88" s="2866"/>
      <c r="AE88" s="2866"/>
      <c r="AF88" s="2866"/>
      <c r="AG88" s="2866"/>
      <c r="AH88" s="2868"/>
      <c r="AI88" s="2499"/>
    </row>
    <row r="89" ht="16.5" customHeight="1">
      <c r="A89" s="2755"/>
      <c r="B89" s="2860"/>
      <c r="C89" s="2852"/>
      <c r="D89" s="2861"/>
      <c r="E89" s="2873" t="s">
        <v>194</v>
      </c>
      <c r="F89" s="2874">
        <f t="array" ref="F89">IFERROR(VLOOKUP(E74,Dex!$B$3:$N330,10,FALSE),"")</f>
        <v>70</v>
      </c>
      <c r="G89" s="2875" t="str">
        <f t="array" ref="G89">IFERROR(VLOOKUP(F89,Dex!$P$22:$Q$276,2,FALSE),"")</f>
        <v/>
      </c>
      <c r="H89" s="2876">
        <v>252.0</v>
      </c>
      <c r="I89" s="2864"/>
      <c r="J89" s="2873" t="s">
        <v>194</v>
      </c>
      <c r="K89" s="2874">
        <f t="array" ref="K89">IFERROR(VLOOKUP(J74,Dex!$B$3:$N330,10,FALSE),"")</f>
        <v>65</v>
      </c>
      <c r="L89" s="2875" t="str">
        <f t="array" ref="L89">IFERROR(VLOOKUP(K89,Dex!$P$22:$Q$276,2,FALSE),"")</f>
        <v/>
      </c>
      <c r="M89" s="2876">
        <v>4.0</v>
      </c>
      <c r="N89" s="2864"/>
      <c r="O89" s="2873" t="s">
        <v>194</v>
      </c>
      <c r="P89" s="2874">
        <f t="array" ref="P89">IFERROR(VLOOKUP(O74,Dex!$B$3:$N330,10,FALSE),"")</f>
        <v>75</v>
      </c>
      <c r="Q89" s="2875" t="str">
        <f t="array" ref="Q89">IFERROR(VLOOKUP(P89,Dex!$P$22:$Q$276,2,FALSE),"")</f>
        <v/>
      </c>
      <c r="R89" s="2876">
        <v>4.0</v>
      </c>
      <c r="S89" s="2864"/>
      <c r="T89" s="2873" t="s">
        <v>194</v>
      </c>
      <c r="U89" s="2874">
        <f t="array" ref="U89">IFERROR(VLOOKUP(T74,Dex!$B$3:$N330,10,FALSE),"")</f>
        <v>101</v>
      </c>
      <c r="V89" s="2875" t="str">
        <f t="array" ref="V89">IFERROR(VLOOKUP(U89,Dex!$P$22:$Q$276,2,FALSE),"")</f>
        <v/>
      </c>
      <c r="W89" s="2876">
        <v>4.0</v>
      </c>
      <c r="X89" s="2865"/>
      <c r="Y89" s="2866"/>
      <c r="Z89" s="2867"/>
      <c r="AA89" s="2867"/>
      <c r="AB89" s="2866"/>
      <c r="AC89" s="2866"/>
      <c r="AD89" s="2866"/>
      <c r="AE89" s="2866"/>
      <c r="AF89" s="2866"/>
      <c r="AG89" s="2866"/>
      <c r="AH89" s="2868"/>
      <c r="AI89" s="2499"/>
    </row>
    <row r="90" ht="16.5" customHeight="1">
      <c r="A90" s="2755"/>
      <c r="B90" s="2860"/>
      <c r="C90" s="2852"/>
      <c r="D90" s="2861"/>
      <c r="E90" s="2873" t="s">
        <v>195</v>
      </c>
      <c r="F90" s="2874">
        <f t="array" ref="F90">IFERROR(VLOOKUP(E74,Dex!$B$3:$N330,11,FALSE),"")</f>
        <v>73</v>
      </c>
      <c r="G90" s="2875" t="str">
        <f t="array" ref="G90">IFERROR(VLOOKUP(F90,Dex!$P$22:$Q$276,2,FALSE),"")</f>
        <v/>
      </c>
      <c r="H90" s="2876"/>
      <c r="I90" s="2864"/>
      <c r="J90" s="2873" t="s">
        <v>195</v>
      </c>
      <c r="K90" s="2874">
        <f t="array" ref="K90">IFERROR(VLOOKUP(J74,Dex!$B$3:$N330,11,FALSE),"")</f>
        <v>60</v>
      </c>
      <c r="L90" s="2875" t="str">
        <f t="array" ref="L90">IFERROR(VLOOKUP(K90,Dex!$P$22:$Q$276,2,FALSE),"")</f>
        <v/>
      </c>
      <c r="M90" s="2876"/>
      <c r="N90" s="2864"/>
      <c r="O90" s="2873" t="s">
        <v>195</v>
      </c>
      <c r="P90" s="2874">
        <f t="array" ref="P90">IFERROR(VLOOKUP(O74,Dex!$B$3:$N330,11,FALSE),"")</f>
        <v>60</v>
      </c>
      <c r="Q90" s="2875" t="str">
        <f t="array" ref="Q90">IFERROR(VLOOKUP(P90,Dex!$P$22:$Q$276,2,FALSE),"")</f>
        <v/>
      </c>
      <c r="R90" s="2876"/>
      <c r="S90" s="2864"/>
      <c r="T90" s="2873" t="s">
        <v>195</v>
      </c>
      <c r="U90" s="2874">
        <f t="array" ref="U90">IFERROR(VLOOKUP(T74,Dex!$B$3:$N330,11,FALSE),"")</f>
        <v>60</v>
      </c>
      <c r="V90" s="2875" t="str">
        <f t="array" ref="V90">IFERROR(VLOOKUP(U90,Dex!$P$22:$Q$276,2,FALSE),"")</f>
        <v/>
      </c>
      <c r="W90" s="2876"/>
      <c r="X90" s="2865"/>
      <c r="Y90" s="2866"/>
      <c r="Z90" s="2867"/>
      <c r="AA90" s="2867"/>
      <c r="AB90" s="2866"/>
      <c r="AC90" s="2866"/>
      <c r="AD90" s="2866"/>
      <c r="AE90" s="2866"/>
      <c r="AF90" s="2866"/>
      <c r="AG90" s="2866"/>
      <c r="AH90" s="2868"/>
      <c r="AI90" s="2499"/>
    </row>
    <row r="91" ht="16.5" customHeight="1">
      <c r="A91" s="2755"/>
      <c r="B91" s="2860"/>
      <c r="C91" s="2852"/>
      <c r="D91" s="2861"/>
      <c r="E91" s="2873" t="s">
        <v>196</v>
      </c>
      <c r="F91" s="2874">
        <f t="array" ref="F91">IFERROR(VLOOKUP(E74,Dex!$B$3:$N330,12,FALSE),"")</f>
        <v>115</v>
      </c>
      <c r="G91" s="2875" t="str">
        <f t="array" ref="G91">IFERROR(VLOOKUP(F91,Dex!$P$22:$Q$276,2,FALSE),"")</f>
        <v/>
      </c>
      <c r="H91" s="2876">
        <v>4.0</v>
      </c>
      <c r="I91" s="2864"/>
      <c r="J91" s="2873" t="s">
        <v>196</v>
      </c>
      <c r="K91" s="2874">
        <f t="array" ref="K91">IFERROR(VLOOKUP(J74,Dex!$B$3:$N330,12,FALSE),"")</f>
        <v>75</v>
      </c>
      <c r="L91" s="2875" t="str">
        <f t="array" ref="L91">IFERROR(VLOOKUP(K91,Dex!$P$22:$Q$276,2,FALSE),"")</f>
        <v/>
      </c>
      <c r="M91" s="2876"/>
      <c r="N91" s="2864"/>
      <c r="O91" s="2873" t="s">
        <v>196</v>
      </c>
      <c r="P91" s="2874">
        <f t="array" ref="P91">IFERROR(VLOOKUP(O74,Dex!$B$3:$N330,12,FALSE),"")</f>
        <v>60</v>
      </c>
      <c r="Q91" s="2875" t="str">
        <f t="array" ref="Q91">IFERROR(VLOOKUP(P91,Dex!$P$22:$Q$276,2,FALSE),"")</f>
        <v/>
      </c>
      <c r="R91" s="2876"/>
      <c r="S91" s="2864"/>
      <c r="T91" s="2873" t="s">
        <v>196</v>
      </c>
      <c r="U91" s="2874">
        <f t="array" ref="U91">IFERROR(VLOOKUP(T74,Dex!$B$3:$N330,12,FALSE),"")</f>
        <v>81</v>
      </c>
      <c r="V91" s="2875" t="str">
        <f t="array" ref="V91">IFERROR(VLOOKUP(U91,Dex!$P$22:$Q$276,2,FALSE),"")</f>
        <v/>
      </c>
      <c r="W91" s="2876"/>
      <c r="X91" s="2865"/>
      <c r="Y91" s="2866"/>
      <c r="Z91" s="2867"/>
      <c r="AA91" s="2867"/>
      <c r="AB91" s="2866"/>
      <c r="AC91" s="2866"/>
      <c r="AD91" s="2866"/>
      <c r="AE91" s="2866"/>
      <c r="AF91" s="2866"/>
      <c r="AG91" s="2866"/>
      <c r="AH91" s="2868"/>
      <c r="AI91" s="2499"/>
    </row>
    <row r="92" ht="16.5" customHeight="1">
      <c r="A92" s="2755"/>
      <c r="B92" s="2860"/>
      <c r="C92" s="1204" t="s">
        <v>436</v>
      </c>
      <c r="D92" s="2861"/>
      <c r="E92" s="2877" t="s">
        <v>197</v>
      </c>
      <c r="F92" s="2878">
        <f t="array" ref="F92">IFERROR(VLOOKUP(E74,Dex!$B$3:$N330,13,FALSE),"")</f>
        <v>67</v>
      </c>
      <c r="G92" s="2879" t="str">
        <f t="array" ref="G92">IFERROR(VLOOKUP(F92,Dex!$P$22:$Q$276,2,FALSE),"")</f>
        <v/>
      </c>
      <c r="H92" s="2880"/>
      <c r="I92" s="2864"/>
      <c r="J92" s="2877" t="s">
        <v>197</v>
      </c>
      <c r="K92" s="2878">
        <f t="array" ref="K92">IFERROR(VLOOKUP(J74,Dex!$B$3:$N330,13,FALSE),"")</f>
        <v>130</v>
      </c>
      <c r="L92" s="2879" t="str">
        <f t="array" ref="L92">IFERROR(VLOOKUP(K92,Dex!$P$22:$Q$276,2,FALSE),"")</f>
        <v/>
      </c>
      <c r="M92" s="2880">
        <v>252.0</v>
      </c>
      <c r="N92" s="2864"/>
      <c r="O92" s="2877" t="s">
        <v>197</v>
      </c>
      <c r="P92" s="2878">
        <f t="array" ref="P92">IFERROR(VLOOKUP(O74,Dex!$B$3:$N330,13,FALSE),"")</f>
        <v>45</v>
      </c>
      <c r="Q92" s="2879" t="str">
        <f t="array" ref="Q92">IFERROR(VLOOKUP(P92,Dex!$P$22:$Q$276,2,FALSE),"")</f>
        <v/>
      </c>
      <c r="R92" s="2880"/>
      <c r="S92" s="2864"/>
      <c r="T92" s="2877" t="s">
        <v>197</v>
      </c>
      <c r="U92" s="2878">
        <f t="array" ref="U92">IFERROR(VLOOKUP(T74,Dex!$B$3:$N330,13,FALSE),"")</f>
        <v>95</v>
      </c>
      <c r="V92" s="2879" t="str">
        <f t="array" ref="V92">IFERROR(VLOOKUP(U92,Dex!$P$22:$Q$276,2,FALSE),"")</f>
        <v/>
      </c>
      <c r="W92" s="2880">
        <v>252.0</v>
      </c>
      <c r="X92" s="2865"/>
      <c r="Y92" s="2866"/>
      <c r="Z92" s="2867"/>
      <c r="AA92" s="2867"/>
      <c r="AB92" s="2866"/>
      <c r="AC92" s="2866"/>
      <c r="AD92" s="2866"/>
      <c r="AE92" s="2866"/>
      <c r="AF92" s="2866"/>
      <c r="AG92" s="2866"/>
      <c r="AH92" s="2868"/>
      <c r="AI92" s="2499"/>
    </row>
    <row r="93" ht="16.5" customHeight="1">
      <c r="A93" s="2755"/>
      <c r="B93" s="2860"/>
      <c r="C93" s="1205" t="s">
        <v>864</v>
      </c>
      <c r="D93" s="2861"/>
      <c r="E93" s="2881" t="s">
        <v>198</v>
      </c>
      <c r="F93" s="405"/>
      <c r="G93" s="406"/>
      <c r="H93" s="2882">
        <v>77.0</v>
      </c>
      <c r="I93" s="2864"/>
      <c r="J93" s="2881" t="s">
        <v>198</v>
      </c>
      <c r="K93" s="405"/>
      <c r="L93" s="406"/>
      <c r="M93" s="2882">
        <v>176.0</v>
      </c>
      <c r="N93" s="2864"/>
      <c r="O93" s="2881" t="s">
        <v>198</v>
      </c>
      <c r="P93" s="405"/>
      <c r="Q93" s="406"/>
      <c r="R93" s="2882">
        <v>57.0</v>
      </c>
      <c r="S93" s="2864"/>
      <c r="T93" s="2881" t="s">
        <v>198</v>
      </c>
      <c r="U93" s="405"/>
      <c r="V93" s="406"/>
      <c r="W93" s="2882">
        <v>139.0</v>
      </c>
      <c r="X93" s="2865"/>
      <c r="Y93" s="2866"/>
      <c r="Z93" s="2867"/>
      <c r="AA93" s="2867"/>
      <c r="AB93" s="2866"/>
      <c r="AC93" s="2866"/>
      <c r="AD93" s="2866"/>
      <c r="AE93" s="2866"/>
      <c r="AF93" s="2866"/>
      <c r="AG93" s="2866"/>
      <c r="AH93" s="2868"/>
      <c r="AI93" s="2499"/>
    </row>
    <row r="94" ht="15.0" customHeight="1">
      <c r="A94" s="2270"/>
      <c r="B94" s="2883"/>
      <c r="C94" s="2884"/>
      <c r="D94" s="2885"/>
      <c r="E94" s="2886"/>
      <c r="F94" s="2886"/>
      <c r="G94" s="2886"/>
      <c r="H94" s="2886"/>
      <c r="I94" s="2885"/>
      <c r="J94" s="2886"/>
      <c r="K94" s="2886"/>
      <c r="L94" s="2886"/>
      <c r="M94" s="2886"/>
      <c r="N94" s="2885"/>
      <c r="O94" s="2886"/>
      <c r="P94" s="2886"/>
      <c r="Q94" s="2886"/>
      <c r="R94" s="2886"/>
      <c r="S94" s="2885"/>
      <c r="T94" s="2886"/>
      <c r="U94" s="2886"/>
      <c r="V94" s="2886"/>
      <c r="W94" s="2886"/>
      <c r="X94" s="2885"/>
      <c r="Y94" s="2885"/>
      <c r="Z94" s="2885"/>
      <c r="AA94" s="2885"/>
      <c r="AB94" s="2885"/>
      <c r="AC94" s="2885"/>
      <c r="AD94" s="2885"/>
      <c r="AE94" s="2885"/>
      <c r="AF94" s="2885"/>
      <c r="AG94" s="2885"/>
      <c r="AH94" s="2887"/>
      <c r="AI94" s="2682"/>
    </row>
    <row r="95" ht="15.0" customHeight="1">
      <c r="A95" s="2270"/>
      <c r="B95" s="2786"/>
      <c r="C95" s="2787"/>
      <c r="D95" s="2788"/>
      <c r="E95" s="2789"/>
      <c r="F95" s="2789"/>
      <c r="G95" s="2789"/>
      <c r="H95" s="2789"/>
      <c r="I95" s="2788"/>
      <c r="J95" s="2789"/>
      <c r="K95" s="2789"/>
      <c r="L95" s="2789"/>
      <c r="M95" s="2789"/>
      <c r="N95" s="2788"/>
      <c r="O95" s="2789"/>
      <c r="P95" s="2789"/>
      <c r="Q95" s="2789"/>
      <c r="R95" s="2789"/>
      <c r="S95" s="2788"/>
      <c r="T95" s="2789"/>
      <c r="U95" s="2789"/>
      <c r="V95" s="2789"/>
      <c r="W95" s="2789"/>
      <c r="X95" s="2788"/>
      <c r="Y95" s="2788"/>
      <c r="Z95" s="2788"/>
      <c r="AA95" s="2788"/>
      <c r="AB95" s="2788"/>
      <c r="AC95" s="2788"/>
      <c r="AD95" s="2788"/>
      <c r="AE95" s="2788"/>
      <c r="AF95" s="2788"/>
      <c r="AG95" s="2788"/>
      <c r="AH95" s="2790"/>
      <c r="AI95" s="2682"/>
    </row>
    <row r="96" ht="16.5" customHeight="1">
      <c r="A96" s="2270"/>
      <c r="B96" s="2892"/>
      <c r="C96" s="2843"/>
      <c r="D96" s="2829"/>
      <c r="E96" s="2893" t="s">
        <v>865</v>
      </c>
      <c r="F96" s="2838"/>
      <c r="G96" s="2838"/>
      <c r="H96" s="2838"/>
      <c r="I96" s="2838"/>
      <c r="J96" s="2838"/>
      <c r="K96" s="2838"/>
      <c r="L96" s="2838"/>
      <c r="M96" s="2838"/>
      <c r="N96" s="2838"/>
      <c r="O96" s="2838"/>
      <c r="P96" s="2838"/>
      <c r="Q96" s="2838"/>
      <c r="R96" s="2838"/>
      <c r="S96" s="2838"/>
      <c r="T96" s="2838"/>
      <c r="U96" s="2838"/>
      <c r="V96" s="2838"/>
      <c r="W96" s="2838"/>
      <c r="X96" s="2838"/>
      <c r="Y96" s="2838"/>
      <c r="Z96" s="2838"/>
      <c r="AA96" s="2838"/>
      <c r="AB96" s="2838"/>
      <c r="AC96" s="2838"/>
      <c r="AD96" s="2838"/>
      <c r="AE96" s="2838"/>
      <c r="AF96" s="2838"/>
      <c r="AG96" s="2839"/>
      <c r="AH96" s="2790"/>
      <c r="AI96" s="2682"/>
    </row>
    <row r="97" ht="96.75" customHeight="1">
      <c r="A97" s="2270"/>
      <c r="B97" s="2791"/>
      <c r="C97" s="2792" t="str">
        <f>IMAGE("https://i.ibb.co/kJrTDW3/Grunt.png")</f>
        <v/>
      </c>
      <c r="D97" s="2793"/>
      <c r="E97" s="2888" t="str">
        <f t="array" ref="E97">IFERROR(VLOOKUP(E98,Dex!$B$3:$G330,3,FALSE),"")</f>
        <v/>
      </c>
      <c r="F97" s="1830"/>
      <c r="G97" s="1830"/>
      <c r="H97" s="1831"/>
      <c r="I97" s="2889"/>
      <c r="J97" s="2888" t="str">
        <f t="array" ref="J97">IFERROR(VLOOKUP(J98,Dex!$B$3:$G330,3,FALSE),"")</f>
        <v/>
      </c>
      <c r="K97" s="1830"/>
      <c r="L97" s="1830"/>
      <c r="M97" s="1831"/>
      <c r="N97" s="2889"/>
      <c r="O97" s="2888" t="str">
        <f t="array" ref="O97">IFERROR(VLOOKUP(O98,Dex!$B$3:$G330,3,FALSE),"")</f>
        <v/>
      </c>
      <c r="P97" s="1830"/>
      <c r="Q97" s="1830"/>
      <c r="R97" s="1831"/>
      <c r="S97" s="2889"/>
      <c r="T97" s="2888" t="str">
        <f t="array" ref="T97">IFERROR(VLOOKUP(T98,Dex!$B$3:$G330,3,FALSE),"")</f>
        <v/>
      </c>
      <c r="U97" s="1830"/>
      <c r="V97" s="1830"/>
      <c r="W97" s="1831"/>
      <c r="X97" s="2795"/>
      <c r="Y97" s="2796"/>
      <c r="Z97" s="2797"/>
      <c r="AA97" s="2797"/>
      <c r="AB97" s="2798"/>
      <c r="AC97" s="2799"/>
      <c r="AD97" s="2796"/>
      <c r="AE97" s="2797"/>
      <c r="AF97" s="2797"/>
      <c r="AG97" s="2798"/>
      <c r="AH97" s="2800"/>
      <c r="AI97" s="2682"/>
    </row>
    <row r="98" ht="18.75" customHeight="1">
      <c r="A98" s="2297"/>
      <c r="B98" s="2801"/>
      <c r="C98" s="2802" t="s">
        <v>866</v>
      </c>
      <c r="D98" s="2803"/>
      <c r="E98" s="2804" t="s">
        <v>867</v>
      </c>
      <c r="F98" s="2805"/>
      <c r="G98" s="2805"/>
      <c r="H98" s="2806"/>
      <c r="I98" s="2803"/>
      <c r="J98" s="2804" t="s">
        <v>868</v>
      </c>
      <c r="K98" s="2805"/>
      <c r="L98" s="2805"/>
      <c r="M98" s="2806"/>
      <c r="N98" s="2803"/>
      <c r="O98" s="2804" t="s">
        <v>869</v>
      </c>
      <c r="P98" s="2805"/>
      <c r="Q98" s="2805"/>
      <c r="R98" s="2806"/>
      <c r="S98" s="2803"/>
      <c r="T98" s="2804" t="s">
        <v>870</v>
      </c>
      <c r="U98" s="2805"/>
      <c r="V98" s="2805"/>
      <c r="W98" s="2806"/>
      <c r="X98" s="2807"/>
      <c r="Y98" s="2808"/>
      <c r="Z98" s="2797"/>
      <c r="AA98" s="2797"/>
      <c r="AB98" s="2798"/>
      <c r="AC98" s="2809"/>
      <c r="AD98" s="2808"/>
      <c r="AE98" s="2797"/>
      <c r="AF98" s="2797"/>
      <c r="AG98" s="2798"/>
      <c r="AH98" s="2810"/>
      <c r="AI98" s="2703"/>
    </row>
    <row r="99">
      <c r="A99" s="2704"/>
      <c r="B99" s="2811"/>
      <c r="C99" s="326"/>
      <c r="D99" s="2812"/>
      <c r="E99" s="2813" t="s">
        <v>715</v>
      </c>
      <c r="F99" s="2814"/>
      <c r="G99" s="2814"/>
      <c r="H99" s="2815"/>
      <c r="I99" s="2803"/>
      <c r="J99" s="2813" t="s">
        <v>715</v>
      </c>
      <c r="K99" s="2814"/>
      <c r="L99" s="2814"/>
      <c r="M99" s="2815"/>
      <c r="N99" s="2803"/>
      <c r="O99" s="2813" t="s">
        <v>715</v>
      </c>
      <c r="P99" s="2814"/>
      <c r="Q99" s="2814"/>
      <c r="R99" s="2815"/>
      <c r="S99" s="2803"/>
      <c r="T99" s="2813" t="s">
        <v>715</v>
      </c>
      <c r="U99" s="2814"/>
      <c r="V99" s="2814"/>
      <c r="W99" s="2815"/>
      <c r="X99" s="2807"/>
      <c r="Y99" s="2816"/>
      <c r="Z99" s="2797"/>
      <c r="AA99" s="2797"/>
      <c r="AB99" s="2798"/>
      <c r="AC99" s="2809"/>
      <c r="AD99" s="2816"/>
      <c r="AE99" s="2797"/>
      <c r="AF99" s="2797"/>
      <c r="AG99" s="2798"/>
      <c r="AH99" s="2817"/>
      <c r="AI99" s="2712"/>
    </row>
    <row r="100" ht="25.5" customHeight="1">
      <c r="A100" s="2270"/>
      <c r="B100" s="2818"/>
      <c r="C100" s="2819"/>
      <c r="D100" s="2796"/>
      <c r="E100" s="2820"/>
      <c r="F100" s="2824" t="str">
        <f t="array" ref="F100">IFERROR(VLOOKUP(E98,Dex!$B$3:$H330,5,FALSE),"")</f>
        <v/>
      </c>
      <c r="G100" s="2825" t="str">
        <f t="array" ref="G100">IFERROR(VLOOKUP(E98,Dex!$B$3:$H330,7,FALSE),"")</f>
        <v/>
      </c>
      <c r="H100" s="2823"/>
      <c r="I100" s="2808"/>
      <c r="J100" s="2820"/>
      <c r="K100" s="2821" t="str">
        <f t="array" ref="K100">IFERROR(VLOOKUP(J98,Dex!$B$3:$H330,5,FALSE),"")</f>
        <v/>
      </c>
      <c r="L100" s="2822"/>
      <c r="M100" s="2823"/>
      <c r="N100" s="2808"/>
      <c r="O100" s="2820"/>
      <c r="P100" s="2824" t="str">
        <f t="array" ref="P100">IFERROR(VLOOKUP(O98,Dex!$B$3:$H330,5,FALSE),"")</f>
        <v/>
      </c>
      <c r="Q100" s="2825" t="str">
        <f t="array" ref="Q100">IFERROR(VLOOKUP(O98,Dex!$B$3:$H330,7,FALSE),"")</f>
        <v/>
      </c>
      <c r="R100" s="2823"/>
      <c r="S100" s="2808"/>
      <c r="T100" s="2820"/>
      <c r="U100" s="2824" t="str">
        <f t="array" ref="U100">IFERROR(VLOOKUP(T98,Dex!$B$3:$H330,5,FALSE),"")</f>
        <v/>
      </c>
      <c r="V100" s="2825" t="str">
        <f t="array" ref="V100">IFERROR(VLOOKUP(T98,Dex!$B$3:$H330,7,FALSE),"")</f>
        <v/>
      </c>
      <c r="W100" s="2823"/>
      <c r="X100" s="2807"/>
      <c r="Y100" s="2796"/>
      <c r="Z100" s="2797"/>
      <c r="AA100" s="2797"/>
      <c r="AB100" s="2798"/>
      <c r="AC100" s="2809"/>
      <c r="AD100" s="2796"/>
      <c r="AE100" s="2797"/>
      <c r="AF100" s="2797"/>
      <c r="AG100" s="2798"/>
      <c r="AH100" s="2800"/>
      <c r="AI100" s="2682"/>
    </row>
    <row r="101" ht="2.25" customHeight="1">
      <c r="A101" s="2270"/>
      <c r="B101" s="2818"/>
      <c r="C101" s="2809"/>
      <c r="D101" s="2796"/>
      <c r="E101" s="2826"/>
      <c r="F101" s="2827"/>
      <c r="G101" s="2827"/>
      <c r="H101" s="2828"/>
      <c r="I101" s="2808"/>
      <c r="J101" s="2826"/>
      <c r="K101" s="2827"/>
      <c r="L101" s="2827"/>
      <c r="M101" s="2828"/>
      <c r="N101" s="2808"/>
      <c r="O101" s="2826"/>
      <c r="P101" s="2827"/>
      <c r="Q101" s="2827"/>
      <c r="R101" s="2828"/>
      <c r="S101" s="2808"/>
      <c r="T101" s="2826"/>
      <c r="U101" s="2827"/>
      <c r="V101" s="2827"/>
      <c r="W101" s="2828"/>
      <c r="X101" s="2807"/>
      <c r="Y101" s="2829"/>
      <c r="Z101" s="2829"/>
      <c r="AA101" s="2829"/>
      <c r="AB101" s="2829"/>
      <c r="AC101" s="2809"/>
      <c r="AD101" s="2829"/>
      <c r="AE101" s="2829"/>
      <c r="AF101" s="2829"/>
      <c r="AG101" s="2829"/>
      <c r="AH101" s="2800"/>
      <c r="AI101" s="2682"/>
    </row>
    <row r="102" ht="20.25" customHeight="1">
      <c r="A102" s="2270"/>
      <c r="B102" s="2818"/>
      <c r="C102" s="2830"/>
      <c r="D102" s="2796"/>
      <c r="E102" s="2831" t="s">
        <v>206</v>
      </c>
      <c r="F102" s="2832"/>
      <c r="G102" s="2832"/>
      <c r="H102" s="2833"/>
      <c r="I102" s="2890"/>
      <c r="J102" s="2831" t="s">
        <v>172</v>
      </c>
      <c r="K102" s="2832"/>
      <c r="L102" s="2832"/>
      <c r="M102" s="2833"/>
      <c r="N102" s="2890"/>
      <c r="O102" s="2831" t="s">
        <v>205</v>
      </c>
      <c r="P102" s="2832"/>
      <c r="Q102" s="2832"/>
      <c r="R102" s="2833"/>
      <c r="S102" s="2890"/>
      <c r="T102" s="2831" t="s">
        <v>206</v>
      </c>
      <c r="U102" s="2832"/>
      <c r="V102" s="2832"/>
      <c r="W102" s="2833"/>
      <c r="X102" s="2807"/>
      <c r="Y102" s="2796"/>
      <c r="Z102" s="2797"/>
      <c r="AA102" s="2797"/>
      <c r="AB102" s="2798"/>
      <c r="AC102" s="2809"/>
      <c r="AD102" s="2796"/>
      <c r="AE102" s="2797"/>
      <c r="AF102" s="2797"/>
      <c r="AG102" s="2798"/>
      <c r="AH102" s="2800"/>
      <c r="AI102" s="2682"/>
    </row>
    <row r="103" ht="20.25" customHeight="1">
      <c r="A103" s="2270"/>
      <c r="B103" s="2818"/>
      <c r="C103" s="2834"/>
      <c r="D103" s="2796"/>
      <c r="E103" s="2835" t="s">
        <v>871</v>
      </c>
      <c r="F103" s="2797"/>
      <c r="G103" s="2797"/>
      <c r="H103" s="2836"/>
      <c r="I103" s="2890"/>
      <c r="J103" s="2835" t="s">
        <v>872</v>
      </c>
      <c r="K103" s="2797"/>
      <c r="L103" s="2797"/>
      <c r="M103" s="2836"/>
      <c r="N103" s="2890"/>
      <c r="O103" s="2835" t="s">
        <v>331</v>
      </c>
      <c r="P103" s="2797"/>
      <c r="Q103" s="2797"/>
      <c r="R103" s="2836"/>
      <c r="S103" s="2890"/>
      <c r="T103" s="2835" t="s">
        <v>873</v>
      </c>
      <c r="U103" s="2797"/>
      <c r="V103" s="2797"/>
      <c r="W103" s="2836"/>
      <c r="X103" s="2807"/>
      <c r="Y103" s="2796"/>
      <c r="Z103" s="2797"/>
      <c r="AA103" s="2797"/>
      <c r="AB103" s="2798"/>
      <c r="AC103" s="2809"/>
      <c r="AD103" s="2796"/>
      <c r="AE103" s="2797"/>
      <c r="AF103" s="2797"/>
      <c r="AG103" s="2798"/>
      <c r="AH103" s="2800"/>
      <c r="AI103" s="2682"/>
    </row>
    <row r="104" ht="20.25" customHeight="1">
      <c r="A104" s="2270"/>
      <c r="B104" s="2818"/>
      <c r="C104" s="2809"/>
      <c r="D104" s="2796"/>
      <c r="E104" s="2837" t="s">
        <v>239</v>
      </c>
      <c r="F104" s="2838"/>
      <c r="G104" s="2839"/>
      <c r="H104" s="2840" t="str">
        <f>IMAGE("https://raw.githubusercontent.com/msikma/pokesprite/master/items/berry/shuca.png",3)</f>
        <v/>
      </c>
      <c r="I104" s="2808"/>
      <c r="J104" s="2837" t="s">
        <v>363</v>
      </c>
      <c r="K104" s="2838"/>
      <c r="L104" s="2839"/>
      <c r="M104" s="2840" t="str">
        <f>IMAGE("https://raw.githubusercontent.com/msikma/pokesprite/master/items/berry/lum.png",3)</f>
        <v/>
      </c>
      <c r="N104" s="2808"/>
      <c r="O104" s="2837" t="s">
        <v>213</v>
      </c>
      <c r="P104" s="2838"/>
      <c r="Q104" s="2839"/>
      <c r="R104" s="2840" t="str">
        <f>IMAGE("https://raw.githubusercontent.com/msikma/pokesprite/master/items/berry/sitrus.png",3)</f>
        <v/>
      </c>
      <c r="S104" s="2808"/>
      <c r="T104" s="2837" t="s">
        <v>211</v>
      </c>
      <c r="U104" s="2838"/>
      <c r="V104" s="2839"/>
      <c r="W104" s="2840" t="str">
        <f>IMAGE("https://raw.githubusercontent.com/msikma/pokesprite/master/items/hold-item/eviolite.png",3)</f>
        <v/>
      </c>
      <c r="X104" s="2807"/>
      <c r="Y104" s="2796"/>
      <c r="Z104" s="2797"/>
      <c r="AA104" s="2797"/>
      <c r="AB104" s="2798"/>
      <c r="AC104" s="2809"/>
      <c r="AD104" s="2796"/>
      <c r="AE104" s="2797"/>
      <c r="AF104" s="2797"/>
      <c r="AG104" s="2798"/>
      <c r="AH104" s="2800"/>
      <c r="AI104" s="2682"/>
    </row>
    <row r="105" ht="20.25" customHeight="1">
      <c r="A105" s="2270"/>
      <c r="B105" s="2818"/>
      <c r="C105" s="2830"/>
      <c r="D105" s="2796"/>
      <c r="E105" s="2902" t="s">
        <v>280</v>
      </c>
      <c r="F105" s="2832"/>
      <c r="G105" s="2841"/>
      <c r="H105" s="2903" t="str">
        <f>IMAGE("https://raw.githubusercontent.com/msikma/pokesprite/master/misc/types/gen8/poison.png",4,20,20)</f>
        <v/>
      </c>
      <c r="I105" s="2808"/>
      <c r="J105" s="2831" t="s">
        <v>557</v>
      </c>
      <c r="K105" s="2832"/>
      <c r="L105" s="2841"/>
      <c r="M105" s="2903" t="str">
        <f>IMAGE("https://raw.githubusercontent.com/msikma/pokesprite/master/misc/types/gen8/normal.png",4,20,20)</f>
        <v/>
      </c>
      <c r="N105" s="2808"/>
      <c r="O105" s="2831" t="s">
        <v>374</v>
      </c>
      <c r="P105" s="2832"/>
      <c r="Q105" s="2841"/>
      <c r="R105" s="2903" t="str">
        <f>IMAGE("https://raw.githubusercontent.com/msikma/pokesprite/master/misc/types/gen8/flying.png",4,20,20)</f>
        <v/>
      </c>
      <c r="S105" s="2808"/>
      <c r="T105" s="2831" t="s">
        <v>380</v>
      </c>
      <c r="U105" s="2832"/>
      <c r="V105" s="2841"/>
      <c r="W105" s="2903" t="str">
        <f>IMAGE("https://raw.githubusercontent.com/msikma/pokesprite/master/misc/types/gen8/dragon.png",4,20,20)</f>
        <v/>
      </c>
      <c r="X105" s="2807"/>
      <c r="Y105" s="2796"/>
      <c r="Z105" s="2797"/>
      <c r="AA105" s="2797"/>
      <c r="AB105" s="2798"/>
      <c r="AC105" s="2809"/>
      <c r="AD105" s="2796"/>
      <c r="AE105" s="2797"/>
      <c r="AF105" s="2797"/>
      <c r="AG105" s="2798"/>
      <c r="AH105" s="2800"/>
      <c r="AI105" s="2682"/>
    </row>
    <row r="106" ht="20.25" customHeight="1">
      <c r="A106" s="2270"/>
      <c r="B106" s="2818"/>
      <c r="C106" s="2843"/>
      <c r="D106" s="2796"/>
      <c r="E106" s="2894" t="s">
        <v>874</v>
      </c>
      <c r="F106" s="2895"/>
      <c r="G106" s="2850"/>
      <c r="H106" s="2896" t="str">
        <f>IMAGE("https://raw.githubusercontent.com/msikma/pokesprite/master/misc/types/gen8/fairy.png",4,20,20)</f>
        <v/>
      </c>
      <c r="I106" s="2808"/>
      <c r="J106" s="2835" t="s">
        <v>403</v>
      </c>
      <c r="K106" s="2797"/>
      <c r="L106" s="2798"/>
      <c r="M106" s="2896" t="str">
        <f>IMAGE("https://raw.githubusercontent.com/msikma/pokesprite/master/misc/types/gen8/fire.png",4,20,20)</f>
        <v/>
      </c>
      <c r="N106" s="2808"/>
      <c r="O106" s="2835" t="s">
        <v>280</v>
      </c>
      <c r="P106" s="2797"/>
      <c r="Q106" s="2798"/>
      <c r="R106" s="2896" t="str">
        <f>IMAGE("https://raw.githubusercontent.com/msikma/pokesprite/master/misc/types/gen8/poison.png",4,20,20)</f>
        <v/>
      </c>
      <c r="S106" s="2808"/>
      <c r="T106" s="2835" t="s">
        <v>275</v>
      </c>
      <c r="U106" s="2797"/>
      <c r="V106" s="2798"/>
      <c r="W106" s="2896" t="str">
        <f>IMAGE("https://raw.githubusercontent.com/msikma/pokesprite/master/misc/types/gen8/grass.png",4,20,20)</f>
        <v/>
      </c>
      <c r="X106" s="2807"/>
      <c r="Y106" s="2796"/>
      <c r="Z106" s="2797"/>
      <c r="AA106" s="2797"/>
      <c r="AB106" s="2798"/>
      <c r="AC106" s="2809"/>
      <c r="AD106" s="2796"/>
      <c r="AE106" s="2797"/>
      <c r="AF106" s="2797"/>
      <c r="AG106" s="2798"/>
      <c r="AH106" s="2800"/>
      <c r="AI106" s="2682"/>
    </row>
    <row r="107" ht="20.25" customHeight="1">
      <c r="A107" s="2270"/>
      <c r="B107" s="2818"/>
      <c r="C107" s="2843"/>
      <c r="D107" s="2796"/>
      <c r="E107" s="2894" t="s">
        <v>372</v>
      </c>
      <c r="F107" s="2895"/>
      <c r="G107" s="2850"/>
      <c r="H107" s="2896" t="str">
        <f t="shared" ref="H107:H108" si="3">IMAGE("https://raw.githubusercontent.com/msikma/pokesprite/master/misc/types/gen8/fire.png",4,20,20)</f>
        <v/>
      </c>
      <c r="I107" s="2808"/>
      <c r="J107" s="2835" t="s">
        <v>279</v>
      </c>
      <c r="K107" s="2797"/>
      <c r="L107" s="2798"/>
      <c r="M107" s="2896" t="str">
        <f>IMAGE("https://raw.githubusercontent.com/msikma/pokesprite/master/misc/types/gen8/dark.png",4,20,20)</f>
        <v/>
      </c>
      <c r="N107" s="2808"/>
      <c r="O107" s="2835" t="s">
        <v>275</v>
      </c>
      <c r="P107" s="2797"/>
      <c r="Q107" s="2798"/>
      <c r="R107" s="2896" t="str">
        <f>IMAGE("https://raw.githubusercontent.com/msikma/pokesprite/master/misc/types/gen8/grass.png",4,20,20)</f>
        <v/>
      </c>
      <c r="S107" s="2808"/>
      <c r="T107" s="2835" t="s">
        <v>875</v>
      </c>
      <c r="U107" s="2797"/>
      <c r="V107" s="2798"/>
      <c r="W107" s="2896" t="str">
        <f>IMAGE("https://raw.githubusercontent.com/msikma/pokesprite/master/misc/types/gen8/bug.png",4,20,20)</f>
        <v/>
      </c>
      <c r="X107" s="2807"/>
      <c r="Y107" s="2796"/>
      <c r="Z107" s="2797"/>
      <c r="AA107" s="2797"/>
      <c r="AB107" s="2798"/>
      <c r="AC107" s="2809"/>
      <c r="AD107" s="2796"/>
      <c r="AE107" s="2797"/>
      <c r="AF107" s="2797"/>
      <c r="AG107" s="2798"/>
      <c r="AH107" s="2800"/>
      <c r="AI107" s="2682"/>
    </row>
    <row r="108" ht="21.0" customHeight="1">
      <c r="A108" s="2270"/>
      <c r="B108" s="2818"/>
      <c r="C108" s="2843"/>
      <c r="D108" s="2796"/>
      <c r="E108" s="2898" t="s">
        <v>492</v>
      </c>
      <c r="F108" s="2899"/>
      <c r="G108" s="2900"/>
      <c r="H108" s="2901" t="str">
        <f t="shared" si="3"/>
        <v/>
      </c>
      <c r="I108" s="2808"/>
      <c r="J108" s="2845" t="s">
        <v>215</v>
      </c>
      <c r="K108" s="2846"/>
      <c r="L108" s="2847"/>
      <c r="M108" s="2848" t="str">
        <f>IMAGE("https://raw.githubusercontent.com/msikma/pokesprite/master/misc/types/gen8/ice.png",4,20,20)</f>
        <v/>
      </c>
      <c r="N108" s="2808"/>
      <c r="O108" s="2845" t="s">
        <v>318</v>
      </c>
      <c r="P108" s="2846"/>
      <c r="Q108" s="2847"/>
      <c r="R108" s="2848" t="str">
        <f>IMAGE("https://raw.githubusercontent.com/msikma/pokesprite/master/misc/types/gen8/ghost.png",4,20,20)</f>
        <v/>
      </c>
      <c r="S108" s="2808"/>
      <c r="T108" s="2845" t="s">
        <v>221</v>
      </c>
      <c r="U108" s="2846"/>
      <c r="V108" s="2847"/>
      <c r="W108" s="2848" t="str">
        <f>IMAGE("https://raw.githubusercontent.com/msikma/pokesprite/master/misc/types/gen8/normal.png",4,20,20)</f>
        <v/>
      </c>
      <c r="X108" s="2850"/>
      <c r="Y108" s="2796"/>
      <c r="Z108" s="2797"/>
      <c r="AA108" s="2797"/>
      <c r="AB108" s="2798"/>
      <c r="AC108" s="2830"/>
      <c r="AD108" s="2796"/>
      <c r="AE108" s="2797"/>
      <c r="AF108" s="2797"/>
      <c r="AG108" s="2798"/>
      <c r="AH108" s="2800"/>
      <c r="AI108" s="2682"/>
    </row>
    <row r="109" ht="3.0" customHeight="1">
      <c r="A109" s="2745"/>
      <c r="B109" s="2851"/>
      <c r="C109" s="2852"/>
      <c r="D109" s="2853"/>
      <c r="E109" s="2854"/>
      <c r="F109" s="2854"/>
      <c r="G109" s="2854"/>
      <c r="H109" s="2854"/>
      <c r="I109" s="2853"/>
      <c r="J109" s="2854"/>
      <c r="K109" s="2854"/>
      <c r="L109" s="2854"/>
      <c r="M109" s="2854"/>
      <c r="N109" s="2853"/>
      <c r="O109" s="2854"/>
      <c r="P109" s="2854"/>
      <c r="Q109" s="2854"/>
      <c r="R109" s="2854"/>
      <c r="S109" s="2853"/>
      <c r="T109" s="2854"/>
      <c r="U109" s="2854"/>
      <c r="V109" s="2854"/>
      <c r="W109" s="2891"/>
      <c r="X109" s="2853"/>
      <c r="Y109" s="2853"/>
      <c r="Z109" s="2857"/>
      <c r="AA109" s="2857"/>
      <c r="AB109" s="2858"/>
      <c r="AC109" s="2858"/>
      <c r="AD109" s="2858"/>
      <c r="AE109" s="2858"/>
      <c r="AF109" s="2858"/>
      <c r="AG109" s="2858"/>
      <c r="AH109" s="2859"/>
      <c r="AI109" s="2754"/>
    </row>
    <row r="110" ht="16.5" customHeight="1">
      <c r="A110" s="2755"/>
      <c r="B110" s="2860"/>
      <c r="C110" s="2852"/>
      <c r="D110" s="2861"/>
      <c r="E110" s="2862" t="s">
        <v>190</v>
      </c>
      <c r="F110" s="381"/>
      <c r="G110" s="382"/>
      <c r="H110" s="2863" t="s">
        <v>191</v>
      </c>
      <c r="I110" s="2864"/>
      <c r="J110" s="2862" t="s">
        <v>190</v>
      </c>
      <c r="K110" s="381"/>
      <c r="L110" s="382"/>
      <c r="M110" s="2863" t="s">
        <v>191</v>
      </c>
      <c r="N110" s="2864"/>
      <c r="O110" s="2862" t="s">
        <v>190</v>
      </c>
      <c r="P110" s="381"/>
      <c r="Q110" s="382"/>
      <c r="R110" s="2863" t="s">
        <v>191</v>
      </c>
      <c r="S110" s="2864"/>
      <c r="T110" s="2862" t="s">
        <v>190</v>
      </c>
      <c r="U110" s="381"/>
      <c r="V110" s="382"/>
      <c r="W110" s="2863" t="s">
        <v>191</v>
      </c>
      <c r="X110" s="2865"/>
      <c r="Y110" s="2866"/>
      <c r="Z110" s="2867"/>
      <c r="AA110" s="2867"/>
      <c r="AB110" s="2866"/>
      <c r="AC110" s="2866"/>
      <c r="AD110" s="2866"/>
      <c r="AE110" s="2866"/>
      <c r="AF110" s="2866"/>
      <c r="AG110" s="2866"/>
      <c r="AH110" s="2868"/>
      <c r="AI110" s="2499"/>
    </row>
    <row r="111" ht="16.5" customHeight="1">
      <c r="A111" s="2755"/>
      <c r="B111" s="2860"/>
      <c r="C111" s="2852"/>
      <c r="D111" s="2861"/>
      <c r="E111" s="2869" t="s">
        <v>192</v>
      </c>
      <c r="F111" s="2870">
        <f t="array" ref="F111">IFERROR(VLOOKUP(E98,Dex!$B$3:$N330,8,FALSE),"")</f>
        <v>65</v>
      </c>
      <c r="G111" s="2871" t="str">
        <f t="array" ref="G111">IFERROR(VLOOKUP(F111,Dex!$P$22:$Q$276,2,FALSE),"")</f>
        <v/>
      </c>
      <c r="H111" s="2872">
        <v>252.0</v>
      </c>
      <c r="I111" s="2864"/>
      <c r="J111" s="2869" t="s">
        <v>192</v>
      </c>
      <c r="K111" s="2870">
        <f t="array" ref="K111">IFERROR(VLOOKUP(J98,Dex!$B$3:$N330,8,FALSE),"")</f>
        <v>150</v>
      </c>
      <c r="L111" s="2871" t="str">
        <f t="array" ref="L111">IFERROR(VLOOKUP(K111,Dex!$P$22:$Q$276,2,FALSE),"")</f>
        <v/>
      </c>
      <c r="M111" s="2872"/>
      <c r="N111" s="2864"/>
      <c r="O111" s="2869" t="s">
        <v>192</v>
      </c>
      <c r="P111" s="2870">
        <f t="array" ref="P111">IFERROR(VLOOKUP(O98,Dex!$B$3:$N330,8,FALSE),"")</f>
        <v>85</v>
      </c>
      <c r="Q111" s="2871" t="str">
        <f t="array" ref="Q111">IFERROR(VLOOKUP(P111,Dex!$P$22:$Q$276,2,FALSE),"")</f>
        <v/>
      </c>
      <c r="R111" s="2872"/>
      <c r="S111" s="2864"/>
      <c r="T111" s="2869" t="s">
        <v>192</v>
      </c>
      <c r="U111" s="2870">
        <f t="array" ref="U111">IFERROR(VLOOKUP(T98,Dex!$B$3:$N330,8,FALSE),"")</f>
        <v>80</v>
      </c>
      <c r="V111" s="2871" t="str">
        <f t="array" ref="V111">IFERROR(VLOOKUP(U111,Dex!$P$22:$Q$276,2,FALSE),"")</f>
        <v/>
      </c>
      <c r="W111" s="2872">
        <v>252.0</v>
      </c>
      <c r="X111" s="2865"/>
      <c r="Y111" s="2866"/>
      <c r="Z111" s="2867"/>
      <c r="AA111" s="2867"/>
      <c r="AB111" s="2866"/>
      <c r="AC111" s="2866"/>
      <c r="AD111" s="2866"/>
      <c r="AE111" s="2866"/>
      <c r="AF111" s="2866"/>
      <c r="AG111" s="2866"/>
      <c r="AH111" s="2868"/>
      <c r="AI111" s="2499"/>
    </row>
    <row r="112" ht="16.5" customHeight="1">
      <c r="A112" s="2755"/>
      <c r="B112" s="2860"/>
      <c r="C112" s="2852"/>
      <c r="D112" s="2861"/>
      <c r="E112" s="2873" t="s">
        <v>193</v>
      </c>
      <c r="F112" s="2874">
        <f t="array" ref="F112">IFERROR(VLOOKUP(E98,Dex!$B$3:$N330,9,FALSE),"")</f>
        <v>90</v>
      </c>
      <c r="G112" s="2875" t="str">
        <f t="array" ref="G112">IFERROR(VLOOKUP(F112,Dex!$P$22:$Q$276,2,FALSE),"")</f>
        <v/>
      </c>
      <c r="H112" s="2876"/>
      <c r="I112" s="2864"/>
      <c r="J112" s="2873" t="s">
        <v>193</v>
      </c>
      <c r="K112" s="2874">
        <f t="array" ref="K112">IFERROR(VLOOKUP(J98,Dex!$B$3:$N330,9,FALSE),"")</f>
        <v>160</v>
      </c>
      <c r="L112" s="2875" t="str">
        <f t="array" ref="L112">IFERROR(VLOOKUP(K112,Dex!$P$22:$Q$276,2,FALSE),"")</f>
        <v/>
      </c>
      <c r="M112" s="2876">
        <v>252.0</v>
      </c>
      <c r="N112" s="2864"/>
      <c r="O112" s="2873" t="s">
        <v>193</v>
      </c>
      <c r="P112" s="2874">
        <f t="array" ref="P112">IFERROR(VLOOKUP(O98,Dex!$B$3:$N330,9,FALSE),"")</f>
        <v>90</v>
      </c>
      <c r="Q112" s="2875" t="str">
        <f t="array" ref="Q112">IFERROR(VLOOKUP(P112,Dex!$P$22:$Q$276,2,FALSE),"")</f>
        <v/>
      </c>
      <c r="R112" s="2876"/>
      <c r="S112" s="2864"/>
      <c r="T112" s="2873" t="s">
        <v>193</v>
      </c>
      <c r="U112" s="2874">
        <f t="array" ref="U112">IFERROR(VLOOKUP(T98,Dex!$B$3:$N330,9,FALSE),"")</f>
        <v>80</v>
      </c>
      <c r="V112" s="2875" t="str">
        <f t="array" ref="V112">IFERROR(VLOOKUP(U112,Dex!$P$22:$Q$276,2,FALSE),"")</f>
        <v/>
      </c>
      <c r="W112" s="2876"/>
      <c r="X112" s="2865"/>
      <c r="Y112" s="2866"/>
      <c r="Z112" s="2867"/>
      <c r="AA112" s="2867"/>
      <c r="AB112" s="2866"/>
      <c r="AC112" s="2866"/>
      <c r="AD112" s="2866"/>
      <c r="AE112" s="2866"/>
      <c r="AF112" s="2866"/>
      <c r="AG112" s="2866"/>
      <c r="AH112" s="2868"/>
      <c r="AI112" s="2499"/>
    </row>
    <row r="113" ht="16.5" customHeight="1">
      <c r="A113" s="2755"/>
      <c r="B113" s="2860"/>
      <c r="C113" s="2852"/>
      <c r="D113" s="2861"/>
      <c r="E113" s="2873" t="s">
        <v>194</v>
      </c>
      <c r="F113" s="2874">
        <f t="array" ref="F113">IFERROR(VLOOKUP(E98,Dex!$B$3:$N330,10,FALSE),"")</f>
        <v>120</v>
      </c>
      <c r="G113" s="2875" t="str">
        <f t="array" ref="G113">IFERROR(VLOOKUP(F113,Dex!$P$22:$Q$276,2,FALSE),"")</f>
        <v/>
      </c>
      <c r="H113" s="2876">
        <v>252.0</v>
      </c>
      <c r="I113" s="2864"/>
      <c r="J113" s="2873" t="s">
        <v>194</v>
      </c>
      <c r="K113" s="2874">
        <f t="array" ref="K113">IFERROR(VLOOKUP(J98,Dex!$B$3:$N330,10,FALSE),"")</f>
        <v>100</v>
      </c>
      <c r="L113" s="2875" t="str">
        <f t="array" ref="L113">IFERROR(VLOOKUP(K113,Dex!$P$22:$Q$276,2,FALSE),"")</f>
        <v/>
      </c>
      <c r="M113" s="2876">
        <v>4.0</v>
      </c>
      <c r="N113" s="2864"/>
      <c r="O113" s="2873" t="s">
        <v>194</v>
      </c>
      <c r="P113" s="2874">
        <f t="array" ref="P113">IFERROR(VLOOKUP(O98,Dex!$B$3:$N330,10,FALSE),"")</f>
        <v>80</v>
      </c>
      <c r="Q113" s="2875" t="str">
        <f t="array" ref="Q113">IFERROR(VLOOKUP(P113,Dex!$P$22:$Q$276,2,FALSE),"")</f>
        <v/>
      </c>
      <c r="R113" s="2876">
        <v>4.0</v>
      </c>
      <c r="S113" s="2864"/>
      <c r="T113" s="2873" t="s">
        <v>194</v>
      </c>
      <c r="U113" s="2874">
        <f t="array" ref="U113">IFERROR(VLOOKUP(T98,Dex!$B$3:$N330,10,FALSE),"")</f>
        <v>110</v>
      </c>
      <c r="V113" s="2875" t="str">
        <f t="array" ref="V113">IFERROR(VLOOKUP(U113,Dex!$P$22:$Q$276,2,FALSE),"")</f>
        <v/>
      </c>
      <c r="W113" s="2876">
        <v>40.0</v>
      </c>
      <c r="X113" s="2865"/>
      <c r="Y113" s="2866"/>
      <c r="Z113" s="2867"/>
      <c r="AA113" s="2867"/>
      <c r="AB113" s="2866"/>
      <c r="AC113" s="2866"/>
      <c r="AD113" s="2866"/>
      <c r="AE113" s="2866"/>
      <c r="AF113" s="2866"/>
      <c r="AG113" s="2866"/>
      <c r="AH113" s="2868"/>
      <c r="AI113" s="2499"/>
    </row>
    <row r="114" ht="16.5" customHeight="1">
      <c r="A114" s="2755"/>
      <c r="B114" s="2860"/>
      <c r="C114" s="2852"/>
      <c r="D114" s="2861"/>
      <c r="E114" s="2873" t="s">
        <v>195</v>
      </c>
      <c r="F114" s="2874">
        <f t="array" ref="F114">IFERROR(VLOOKUP(E98,Dex!$B$3:$N330,11,FALSE),"")</f>
        <v>85</v>
      </c>
      <c r="G114" s="2875" t="str">
        <f t="array" ref="G114">IFERROR(VLOOKUP(F114,Dex!$P$22:$Q$276,2,FALSE),"")</f>
        <v/>
      </c>
      <c r="H114" s="2876">
        <v>4.0</v>
      </c>
      <c r="I114" s="2864"/>
      <c r="J114" s="2873" t="s">
        <v>195</v>
      </c>
      <c r="K114" s="2874">
        <f t="array" ref="K114">IFERROR(VLOOKUP(J98,Dex!$B$3:$N330,11,FALSE),"")</f>
        <v>95</v>
      </c>
      <c r="L114" s="2875" t="str">
        <f t="array" ref="L114">IFERROR(VLOOKUP(K114,Dex!$P$22:$Q$276,2,FALSE),"")</f>
        <v/>
      </c>
      <c r="M114" s="2876"/>
      <c r="N114" s="2864"/>
      <c r="O114" s="2873" t="s">
        <v>195</v>
      </c>
      <c r="P114" s="2874">
        <f t="array" ref="P114">IFERROR(VLOOKUP(O98,Dex!$B$3:$N330,11,FALSE),"")</f>
        <v>90</v>
      </c>
      <c r="Q114" s="2875" t="str">
        <f t="array" ref="Q114">IFERROR(VLOOKUP(P114,Dex!$P$22:$Q$276,2,FALSE),"")</f>
        <v/>
      </c>
      <c r="R114" s="2876">
        <v>252.0</v>
      </c>
      <c r="S114" s="2864"/>
      <c r="T114" s="2873" t="s">
        <v>195</v>
      </c>
      <c r="U114" s="2874">
        <f t="array" ref="U114">IFERROR(VLOOKUP(T98,Dex!$B$3:$N330,11,FALSE),"")</f>
        <v>95</v>
      </c>
      <c r="V114" s="2875" t="str">
        <f t="array" ref="V114">IFERROR(VLOOKUP(U114,Dex!$P$22:$Q$276,2,FALSE),"")</f>
        <v/>
      </c>
      <c r="W114" s="2876">
        <v>216.0</v>
      </c>
      <c r="X114" s="2865"/>
      <c r="Y114" s="2866"/>
      <c r="Z114" s="2867"/>
      <c r="AA114" s="2867"/>
      <c r="AB114" s="2866"/>
      <c r="AC114" s="2866"/>
      <c r="AD114" s="2866"/>
      <c r="AE114" s="2866"/>
      <c r="AF114" s="2866"/>
      <c r="AG114" s="2866"/>
      <c r="AH114" s="2868"/>
      <c r="AI114" s="2499"/>
    </row>
    <row r="115" ht="16.5" customHeight="1">
      <c r="A115" s="2755"/>
      <c r="B115" s="2860"/>
      <c r="C115" s="2852"/>
      <c r="D115" s="2861"/>
      <c r="E115" s="2873" t="s">
        <v>196</v>
      </c>
      <c r="F115" s="2874">
        <f t="array" ref="F115">IFERROR(VLOOKUP(E98,Dex!$B$3:$N330,12,FALSE),"")</f>
        <v>70</v>
      </c>
      <c r="G115" s="2875" t="str">
        <f t="array" ref="G115">IFERROR(VLOOKUP(F115,Dex!$P$22:$Q$276,2,FALSE),"")</f>
        <v/>
      </c>
      <c r="H115" s="2876"/>
      <c r="I115" s="2864"/>
      <c r="J115" s="2873" t="s">
        <v>196</v>
      </c>
      <c r="K115" s="2874">
        <f t="array" ref="K115">IFERROR(VLOOKUP(J98,Dex!$B$3:$N330,12,FALSE),"")</f>
        <v>65</v>
      </c>
      <c r="L115" s="2875" t="str">
        <f t="array" ref="L115">IFERROR(VLOOKUP(K115,Dex!$P$22:$Q$276,2,FALSE),"")</f>
        <v/>
      </c>
      <c r="M115" s="2876"/>
      <c r="N115" s="2864"/>
      <c r="O115" s="2873" t="s">
        <v>196</v>
      </c>
      <c r="P115" s="2874">
        <f t="array" ref="P115">IFERROR(VLOOKUP(O98,Dex!$B$3:$N330,12,FALSE),"")</f>
        <v>80</v>
      </c>
      <c r="Q115" s="2875" t="str">
        <f t="array" ref="Q115">IFERROR(VLOOKUP(P115,Dex!$P$22:$Q$276,2,FALSE),"")</f>
        <v/>
      </c>
      <c r="R115" s="2876"/>
      <c r="S115" s="2864"/>
      <c r="T115" s="2873" t="s">
        <v>196</v>
      </c>
      <c r="U115" s="2874">
        <f t="array" ref="U115">IFERROR(VLOOKUP(T98,Dex!$B$3:$N330,12,FALSE),"")</f>
        <v>80</v>
      </c>
      <c r="V115" s="2875" t="str">
        <f t="array" ref="V115">IFERROR(VLOOKUP(U115,Dex!$P$22:$Q$276,2,FALSE),"")</f>
        <v/>
      </c>
      <c r="W115" s="2876"/>
      <c r="X115" s="2865"/>
      <c r="Y115" s="2866"/>
      <c r="Z115" s="2867"/>
      <c r="AA115" s="2867"/>
      <c r="AB115" s="2866"/>
      <c r="AC115" s="2866"/>
      <c r="AD115" s="2866"/>
      <c r="AE115" s="2866"/>
      <c r="AF115" s="2866"/>
      <c r="AG115" s="2866"/>
      <c r="AH115" s="2868"/>
      <c r="AI115" s="2499"/>
    </row>
    <row r="116" ht="16.5" customHeight="1">
      <c r="A116" s="2755"/>
      <c r="B116" s="2860"/>
      <c r="C116" s="1204" t="s">
        <v>436</v>
      </c>
      <c r="D116" s="2861"/>
      <c r="E116" s="2877" t="s">
        <v>197</v>
      </c>
      <c r="F116" s="2878">
        <f t="array" ref="F116">IFERROR(VLOOKUP(E98,Dex!$B$3:$N330,13,FALSE),"")</f>
        <v>60</v>
      </c>
      <c r="G116" s="2879" t="str">
        <f t="array" ref="G116">IFERROR(VLOOKUP(F116,Dex!$P$22:$Q$276,2,FALSE),"")</f>
        <v/>
      </c>
      <c r="H116" s="2880"/>
      <c r="I116" s="2864"/>
      <c r="J116" s="2877" t="s">
        <v>197</v>
      </c>
      <c r="K116" s="2878">
        <f t="array" ref="K116">IFERROR(VLOOKUP(J98,Dex!$B$3:$N330,13,FALSE),"")</f>
        <v>100</v>
      </c>
      <c r="L116" s="2879" t="str">
        <f t="array" ref="L116">IFERROR(VLOOKUP(K116,Dex!$P$22:$Q$276,2,FALSE),"")</f>
        <v/>
      </c>
      <c r="M116" s="2880">
        <v>252.0</v>
      </c>
      <c r="N116" s="2864"/>
      <c r="O116" s="2877" t="s">
        <v>197</v>
      </c>
      <c r="P116" s="2878">
        <f t="array" ref="P116">IFERROR(VLOOKUP(O98,Dex!$B$3:$N330,13,FALSE),"")</f>
        <v>130</v>
      </c>
      <c r="Q116" s="2879" t="str">
        <f t="array" ref="Q116">IFERROR(VLOOKUP(P116,Dex!$P$22:$Q$276,2,FALSE),"")</f>
        <v/>
      </c>
      <c r="R116" s="2880">
        <v>252.0</v>
      </c>
      <c r="S116" s="2864"/>
      <c r="T116" s="2877" t="s">
        <v>197</v>
      </c>
      <c r="U116" s="2878">
        <f t="array" ref="U116">IFERROR(VLOOKUP(T98,Dex!$B$3:$N330,13,FALSE),"")</f>
        <v>40</v>
      </c>
      <c r="V116" s="2879" t="str">
        <f t="array" ref="V116">IFERROR(VLOOKUP(U116,Dex!$P$22:$Q$276,2,FALSE),"")</f>
        <v/>
      </c>
      <c r="W116" s="2880"/>
      <c r="X116" s="2865"/>
      <c r="Y116" s="2866"/>
      <c r="Z116" s="2867"/>
      <c r="AA116" s="2867"/>
      <c r="AB116" s="2866"/>
      <c r="AC116" s="2866"/>
      <c r="AD116" s="2866"/>
      <c r="AE116" s="2866"/>
      <c r="AF116" s="2866"/>
      <c r="AG116" s="2866"/>
      <c r="AH116" s="2868"/>
      <c r="AI116" s="2499"/>
    </row>
    <row r="117" ht="16.5" customHeight="1">
      <c r="A117" s="2755"/>
      <c r="B117" s="2860"/>
      <c r="C117" s="1205" t="s">
        <v>864</v>
      </c>
      <c r="D117" s="2861"/>
      <c r="E117" s="2881" t="s">
        <v>198</v>
      </c>
      <c r="F117" s="405"/>
      <c r="G117" s="406"/>
      <c r="H117" s="2882">
        <v>69.0</v>
      </c>
      <c r="I117" s="2864"/>
      <c r="J117" s="2881" t="s">
        <v>198</v>
      </c>
      <c r="K117" s="405"/>
      <c r="L117" s="406"/>
      <c r="M117" s="2882">
        <v>144.0</v>
      </c>
      <c r="N117" s="2864"/>
      <c r="O117" s="2881" t="s">
        <v>198</v>
      </c>
      <c r="P117" s="405"/>
      <c r="Q117" s="406"/>
      <c r="R117" s="2882">
        <v>172.0</v>
      </c>
      <c r="S117" s="2864"/>
      <c r="T117" s="2881" t="s">
        <v>198</v>
      </c>
      <c r="U117" s="405"/>
      <c r="V117" s="406"/>
      <c r="W117" s="2882">
        <v>52.0</v>
      </c>
      <c r="X117" s="2865"/>
      <c r="Y117" s="2866"/>
      <c r="Z117" s="2867"/>
      <c r="AA117" s="2867"/>
      <c r="AB117" s="2866"/>
      <c r="AC117" s="2866"/>
      <c r="AD117" s="2866"/>
      <c r="AE117" s="2866"/>
      <c r="AF117" s="2866"/>
      <c r="AG117" s="2866"/>
      <c r="AH117" s="2868"/>
      <c r="AI117" s="2499"/>
    </row>
    <row r="118" ht="15.0" customHeight="1">
      <c r="A118" s="2270"/>
      <c r="B118" s="2883"/>
      <c r="C118" s="2884"/>
      <c r="D118" s="2885"/>
      <c r="E118" s="2886"/>
      <c r="F118" s="2886"/>
      <c r="G118" s="2886"/>
      <c r="H118" s="2886"/>
      <c r="I118" s="2885"/>
      <c r="J118" s="2886"/>
      <c r="K118" s="2886"/>
      <c r="L118" s="2886"/>
      <c r="M118" s="2886"/>
      <c r="N118" s="2885"/>
      <c r="O118" s="2886"/>
      <c r="P118" s="2886"/>
      <c r="Q118" s="2886"/>
      <c r="R118" s="2886"/>
      <c r="S118" s="2885"/>
      <c r="T118" s="2886"/>
      <c r="U118" s="2886"/>
      <c r="V118" s="2886"/>
      <c r="W118" s="2886"/>
      <c r="X118" s="2885"/>
      <c r="Y118" s="2885"/>
      <c r="Z118" s="2885"/>
      <c r="AA118" s="2885"/>
      <c r="AB118" s="2885"/>
      <c r="AC118" s="2885"/>
      <c r="AD118" s="2885"/>
      <c r="AE118" s="2885"/>
      <c r="AF118" s="2885"/>
      <c r="AG118" s="2885"/>
      <c r="AH118" s="2887"/>
      <c r="AI118" s="2682"/>
    </row>
    <row r="119" ht="15.0" customHeight="1">
      <c r="A119" s="2270"/>
      <c r="B119" s="2786"/>
      <c r="C119" s="2787"/>
      <c r="D119" s="2788"/>
      <c r="E119" s="2789"/>
      <c r="F119" s="2789"/>
      <c r="G119" s="2789"/>
      <c r="H119" s="2789"/>
      <c r="I119" s="2788"/>
      <c r="J119" s="2789"/>
      <c r="K119" s="2789"/>
      <c r="L119" s="2789"/>
      <c r="M119" s="2789"/>
      <c r="N119" s="2788"/>
      <c r="O119" s="2789"/>
      <c r="P119" s="2789"/>
      <c r="Q119" s="2789"/>
      <c r="R119" s="2789"/>
      <c r="S119" s="2788"/>
      <c r="T119" s="2789"/>
      <c r="U119" s="2789"/>
      <c r="V119" s="2789"/>
      <c r="W119" s="2789"/>
      <c r="X119" s="2788"/>
      <c r="Y119" s="2788"/>
      <c r="Z119" s="2788"/>
      <c r="AA119" s="2788"/>
      <c r="AB119" s="2788"/>
      <c r="AC119" s="2788"/>
      <c r="AD119" s="2788"/>
      <c r="AE119" s="2788"/>
      <c r="AF119" s="2788"/>
      <c r="AG119" s="2788"/>
      <c r="AH119" s="2790"/>
      <c r="AI119" s="2682"/>
    </row>
    <row r="120" ht="16.5" customHeight="1">
      <c r="A120" s="2270"/>
      <c r="B120" s="2892"/>
      <c r="C120" s="2843"/>
      <c r="D120" s="2829"/>
      <c r="E120" s="2893" t="s">
        <v>876</v>
      </c>
      <c r="F120" s="2838"/>
      <c r="G120" s="2838"/>
      <c r="H120" s="2838"/>
      <c r="I120" s="2838"/>
      <c r="J120" s="2838"/>
      <c r="K120" s="2838"/>
      <c r="L120" s="2838"/>
      <c r="M120" s="2838"/>
      <c r="N120" s="2838"/>
      <c r="O120" s="2838"/>
      <c r="P120" s="2838"/>
      <c r="Q120" s="2838"/>
      <c r="R120" s="2838"/>
      <c r="S120" s="2838"/>
      <c r="T120" s="2838"/>
      <c r="U120" s="2838"/>
      <c r="V120" s="2838"/>
      <c r="W120" s="2838"/>
      <c r="X120" s="2838"/>
      <c r="Y120" s="2838"/>
      <c r="Z120" s="2838"/>
      <c r="AA120" s="2838"/>
      <c r="AB120" s="2838"/>
      <c r="AC120" s="2838"/>
      <c r="AD120" s="2838"/>
      <c r="AE120" s="2838"/>
      <c r="AF120" s="2838"/>
      <c r="AG120" s="2839"/>
      <c r="AH120" s="2790"/>
      <c r="AI120" s="2682"/>
    </row>
    <row r="121" ht="96.75" customHeight="1">
      <c r="A121" s="2270"/>
      <c r="B121" s="2791"/>
      <c r="C121" s="2792" t="str">
        <f>IMAGE("https://i.ibb.co/kJrTDW3/Grunt.png")</f>
        <v/>
      </c>
      <c r="D121" s="2793"/>
      <c r="E121" s="2888" t="str">
        <f t="array" ref="E121">IFERROR(VLOOKUP(E122,Dex!$B$3:$G330,3,FALSE),"")</f>
        <v/>
      </c>
      <c r="F121" s="1830"/>
      <c r="G121" s="1830"/>
      <c r="H121" s="1831"/>
      <c r="I121" s="2889"/>
      <c r="J121" s="2888" t="str">
        <f t="array" ref="J121">IFERROR(VLOOKUP(J122,Dex!$B$3:$G330,3,FALSE),"")</f>
        <v/>
      </c>
      <c r="K121" s="1830"/>
      <c r="L121" s="1830"/>
      <c r="M121" s="1831"/>
      <c r="N121" s="2889"/>
      <c r="O121" s="2888" t="str">
        <f t="array" ref="O121">IFERROR(VLOOKUP(O122,Dex!$B$3:$G330,3,FALSE),"")</f>
        <v/>
      </c>
      <c r="P121" s="1830"/>
      <c r="Q121" s="1830"/>
      <c r="R121" s="1831"/>
      <c r="S121" s="2889"/>
      <c r="T121" s="2888" t="str">
        <f t="array" ref="T121">IFERROR(VLOOKUP(T122,Dex!$B$3:$G330,3,FALSE),"")</f>
        <v/>
      </c>
      <c r="U121" s="1830"/>
      <c r="V121" s="1830"/>
      <c r="W121" s="1831"/>
      <c r="X121" s="2795"/>
      <c r="Y121" s="2796"/>
      <c r="Z121" s="2797"/>
      <c r="AA121" s="2797"/>
      <c r="AB121" s="2798"/>
      <c r="AC121" s="2799"/>
      <c r="AD121" s="2796"/>
      <c r="AE121" s="2797"/>
      <c r="AF121" s="2797"/>
      <c r="AG121" s="2798"/>
      <c r="AH121" s="2800"/>
      <c r="AI121" s="2682"/>
    </row>
    <row r="122" ht="18.75" customHeight="1">
      <c r="A122" s="2297"/>
      <c r="B122" s="2801"/>
      <c r="C122" s="2802" t="s">
        <v>877</v>
      </c>
      <c r="D122" s="2803"/>
      <c r="E122" s="2804" t="s">
        <v>878</v>
      </c>
      <c r="F122" s="2805"/>
      <c r="G122" s="2805"/>
      <c r="H122" s="2806"/>
      <c r="I122" s="2803"/>
      <c r="J122" s="2804" t="s">
        <v>879</v>
      </c>
      <c r="K122" s="2805"/>
      <c r="L122" s="2805"/>
      <c r="M122" s="2806"/>
      <c r="N122" s="2803"/>
      <c r="O122" s="2804" t="s">
        <v>880</v>
      </c>
      <c r="P122" s="2805"/>
      <c r="Q122" s="2805"/>
      <c r="R122" s="2806"/>
      <c r="S122" s="2803"/>
      <c r="T122" s="2804" t="s">
        <v>881</v>
      </c>
      <c r="U122" s="2805"/>
      <c r="V122" s="2805"/>
      <c r="W122" s="2806"/>
      <c r="X122" s="2807"/>
      <c r="Y122" s="2808"/>
      <c r="Z122" s="2797"/>
      <c r="AA122" s="2797"/>
      <c r="AB122" s="2798"/>
      <c r="AC122" s="2809"/>
      <c r="AD122" s="2808"/>
      <c r="AE122" s="2797"/>
      <c r="AF122" s="2797"/>
      <c r="AG122" s="2798"/>
      <c r="AH122" s="2810"/>
      <c r="AI122" s="2703"/>
    </row>
    <row r="123">
      <c r="A123" s="2704"/>
      <c r="B123" s="2811"/>
      <c r="C123" s="326"/>
      <c r="D123" s="2812"/>
      <c r="E123" s="2813" t="s">
        <v>714</v>
      </c>
      <c r="F123" s="2814"/>
      <c r="G123" s="2814"/>
      <c r="H123" s="2815"/>
      <c r="I123" s="2803"/>
      <c r="J123" s="2813" t="s">
        <v>715</v>
      </c>
      <c r="K123" s="2814"/>
      <c r="L123" s="2814"/>
      <c r="M123" s="2815"/>
      <c r="N123" s="2803"/>
      <c r="O123" s="2813" t="s">
        <v>715</v>
      </c>
      <c r="P123" s="2814"/>
      <c r="Q123" s="2814"/>
      <c r="R123" s="2815"/>
      <c r="S123" s="2803"/>
      <c r="T123" s="2813" t="s">
        <v>714</v>
      </c>
      <c r="U123" s="2814"/>
      <c r="V123" s="2814"/>
      <c r="W123" s="2815"/>
      <c r="X123" s="2807"/>
      <c r="Y123" s="2816"/>
      <c r="Z123" s="2797"/>
      <c r="AA123" s="2797"/>
      <c r="AB123" s="2798"/>
      <c r="AC123" s="2809"/>
      <c r="AD123" s="2816"/>
      <c r="AE123" s="2797"/>
      <c r="AF123" s="2797"/>
      <c r="AG123" s="2798"/>
      <c r="AH123" s="2817"/>
      <c r="AI123" s="2712"/>
    </row>
    <row r="124" ht="25.5" customHeight="1">
      <c r="A124" s="2270"/>
      <c r="B124" s="2818"/>
      <c r="C124" s="2819"/>
      <c r="D124" s="2796"/>
      <c r="E124" s="2820"/>
      <c r="F124" s="2824" t="str">
        <f t="array" ref="F124">IFERROR(VLOOKUP(E122,Dex!$B$3:$H330,5,FALSE),"")</f>
        <v/>
      </c>
      <c r="G124" s="2825" t="str">
        <f t="array" ref="G124">IFERROR(VLOOKUP(E122,Dex!$B$3:$H330,7,FALSE),"")</f>
        <v/>
      </c>
      <c r="H124" s="2823"/>
      <c r="I124" s="2808"/>
      <c r="J124" s="2820"/>
      <c r="K124" s="2824" t="str">
        <f t="array" ref="K124">IFERROR(VLOOKUP(J122,Dex!$B$3:$H330,5,FALSE),"")</f>
        <v/>
      </c>
      <c r="L124" s="2825" t="str">
        <f t="array" ref="L124">IFERROR(VLOOKUP(J122,Dex!$B$3:$H330,7,FALSE),"")</f>
        <v/>
      </c>
      <c r="M124" s="2823"/>
      <c r="N124" s="2808"/>
      <c r="O124" s="2820"/>
      <c r="P124" s="2824" t="str">
        <f t="array" ref="P124">IFERROR(VLOOKUP(O122,Dex!$B$3:$H330,5,FALSE),"")</f>
        <v/>
      </c>
      <c r="Q124" s="2825" t="str">
        <f t="array" ref="Q124">IFERROR(VLOOKUP(O122,Dex!$B$3:$H330,7,FALSE),"")</f>
        <v/>
      </c>
      <c r="R124" s="2823"/>
      <c r="S124" s="2808"/>
      <c r="T124" s="2820"/>
      <c r="U124" s="2821" t="str">
        <f t="array" ref="U124">IFERROR(VLOOKUP(T122,Dex!$B$3:$H330,5,FALSE),"")</f>
        <v/>
      </c>
      <c r="V124" s="2822"/>
      <c r="W124" s="2823"/>
      <c r="X124" s="2807"/>
      <c r="Y124" s="2796"/>
      <c r="Z124" s="2797"/>
      <c r="AA124" s="2797"/>
      <c r="AB124" s="2798"/>
      <c r="AC124" s="2809"/>
      <c r="AD124" s="2796"/>
      <c r="AE124" s="2797"/>
      <c r="AF124" s="2797"/>
      <c r="AG124" s="2798"/>
      <c r="AH124" s="2800"/>
      <c r="AI124" s="2682"/>
    </row>
    <row r="125" ht="2.25" customHeight="1">
      <c r="A125" s="2270"/>
      <c r="B125" s="2818"/>
      <c r="C125" s="2809"/>
      <c r="D125" s="2796"/>
      <c r="E125" s="2826"/>
      <c r="F125" s="2827"/>
      <c r="G125" s="2827"/>
      <c r="H125" s="2828"/>
      <c r="I125" s="2808"/>
      <c r="J125" s="2826"/>
      <c r="K125" s="2827"/>
      <c r="L125" s="2827"/>
      <c r="M125" s="2828"/>
      <c r="N125" s="2808"/>
      <c r="O125" s="2826"/>
      <c r="P125" s="2827"/>
      <c r="Q125" s="2827"/>
      <c r="R125" s="2828"/>
      <c r="S125" s="2808"/>
      <c r="T125" s="2826"/>
      <c r="U125" s="2827"/>
      <c r="V125" s="2827"/>
      <c r="W125" s="2828"/>
      <c r="X125" s="2807"/>
      <c r="Y125" s="2829"/>
      <c r="Z125" s="2829"/>
      <c r="AA125" s="2829"/>
      <c r="AB125" s="2829"/>
      <c r="AC125" s="2809"/>
      <c r="AD125" s="2829"/>
      <c r="AE125" s="2829"/>
      <c r="AF125" s="2829"/>
      <c r="AG125" s="2829"/>
      <c r="AH125" s="2800"/>
      <c r="AI125" s="2682"/>
    </row>
    <row r="126" ht="20.25" customHeight="1">
      <c r="A126" s="2270"/>
      <c r="B126" s="2818"/>
      <c r="C126" s="2830"/>
      <c r="D126" s="2796"/>
      <c r="E126" s="2831" t="s">
        <v>205</v>
      </c>
      <c r="F126" s="2832"/>
      <c r="G126" s="2832"/>
      <c r="H126" s="2833"/>
      <c r="I126" s="2890"/>
      <c r="J126" s="2831" t="s">
        <v>172</v>
      </c>
      <c r="K126" s="2832"/>
      <c r="L126" s="2832"/>
      <c r="M126" s="2833"/>
      <c r="N126" s="2890"/>
      <c r="O126" s="2831" t="s">
        <v>172</v>
      </c>
      <c r="P126" s="2832"/>
      <c r="Q126" s="2832"/>
      <c r="R126" s="2833"/>
      <c r="S126" s="2890"/>
      <c r="T126" s="2831" t="s">
        <v>263</v>
      </c>
      <c r="U126" s="2832"/>
      <c r="V126" s="2832"/>
      <c r="W126" s="2833"/>
      <c r="X126" s="2807"/>
      <c r="Y126" s="2796"/>
      <c r="Z126" s="2797"/>
      <c r="AA126" s="2797"/>
      <c r="AB126" s="2798"/>
      <c r="AC126" s="2809"/>
      <c r="AD126" s="2796"/>
      <c r="AE126" s="2797"/>
      <c r="AF126" s="2797"/>
      <c r="AG126" s="2798"/>
      <c r="AH126" s="2800"/>
      <c r="AI126" s="2682"/>
    </row>
    <row r="127" ht="20.25" customHeight="1">
      <c r="A127" s="2270"/>
      <c r="B127" s="2818"/>
      <c r="C127" s="2834"/>
      <c r="D127" s="2796"/>
      <c r="E127" s="2835" t="s">
        <v>882</v>
      </c>
      <c r="F127" s="2797"/>
      <c r="G127" s="2797"/>
      <c r="H127" s="2836"/>
      <c r="I127" s="2890"/>
      <c r="J127" s="2835" t="s">
        <v>883</v>
      </c>
      <c r="K127" s="2797"/>
      <c r="L127" s="2797"/>
      <c r="M127" s="2836"/>
      <c r="N127" s="2890"/>
      <c r="O127" s="2835" t="s">
        <v>620</v>
      </c>
      <c r="P127" s="2797"/>
      <c r="Q127" s="2797"/>
      <c r="R127" s="2836"/>
      <c r="S127" s="2890"/>
      <c r="T127" s="2835" t="s">
        <v>233</v>
      </c>
      <c r="U127" s="2797"/>
      <c r="V127" s="2797"/>
      <c r="W127" s="2836"/>
      <c r="X127" s="2807"/>
      <c r="Y127" s="2796"/>
      <c r="Z127" s="2797"/>
      <c r="AA127" s="2797"/>
      <c r="AB127" s="2798"/>
      <c r="AC127" s="2809"/>
      <c r="AD127" s="2796"/>
      <c r="AE127" s="2797"/>
      <c r="AF127" s="2797"/>
      <c r="AG127" s="2798"/>
      <c r="AH127" s="2800"/>
      <c r="AI127" s="2682"/>
    </row>
    <row r="128" ht="20.25" customHeight="1">
      <c r="A128" s="2270"/>
      <c r="B128" s="2818"/>
      <c r="C128" s="2809"/>
      <c r="D128" s="2796"/>
      <c r="E128" s="2837" t="s">
        <v>488</v>
      </c>
      <c r="F128" s="2838"/>
      <c r="G128" s="2839"/>
      <c r="H128" s="2840" t="str">
        <f>IMAGE("https://raw.githubusercontent.com/msikma/pokesprite/master/items/hold-item/wide-lens.png",3)</f>
        <v/>
      </c>
      <c r="I128" s="2808"/>
      <c r="J128" s="2837" t="s">
        <v>240</v>
      </c>
      <c r="K128" s="2838"/>
      <c r="L128" s="2839"/>
      <c r="M128" s="2840" t="str">
        <f>IMAGE("https://raw.githubusercontent.com/msikma/pokesprite/master/items/hold-item/focus-sash.png",3)</f>
        <v/>
      </c>
      <c r="N128" s="2808"/>
      <c r="O128" s="2837" t="s">
        <v>363</v>
      </c>
      <c r="P128" s="2838"/>
      <c r="Q128" s="2839"/>
      <c r="R128" s="2840" t="str">
        <f>IMAGE("https://raw.githubusercontent.com/msikma/pokesprite/master/items/berry/lum.png",3)</f>
        <v/>
      </c>
      <c r="S128" s="2808"/>
      <c r="T128" s="2837" t="s">
        <v>884</v>
      </c>
      <c r="U128" s="2838"/>
      <c r="V128" s="2839"/>
      <c r="W128" s="2840" t="str">
        <f>IMAGE("https://raw.githubusercontent.com/msikma/pokesprite/master/items/hold-item/expert-belt.png",3)</f>
        <v/>
      </c>
      <c r="X128" s="2807"/>
      <c r="Y128" s="2796"/>
      <c r="Z128" s="2797"/>
      <c r="AA128" s="2797"/>
      <c r="AB128" s="2798"/>
      <c r="AC128" s="2809"/>
      <c r="AD128" s="2796"/>
      <c r="AE128" s="2797"/>
      <c r="AF128" s="2797"/>
      <c r="AG128" s="2798"/>
      <c r="AH128" s="2800"/>
      <c r="AI128" s="2682"/>
    </row>
    <row r="129" ht="20.25" customHeight="1">
      <c r="A129" s="2270"/>
      <c r="B129" s="2818"/>
      <c r="C129" s="2830"/>
      <c r="D129" s="2796"/>
      <c r="E129" s="2831" t="s">
        <v>885</v>
      </c>
      <c r="F129" s="2832"/>
      <c r="G129" s="2841"/>
      <c r="H129" s="2842" t="str">
        <f t="shared" ref="H129:H130" si="4">IMAGE("https://raw.githubusercontent.com/msikma/pokesprite/master/misc/types/gen8/flying.png",4,20,20)</f>
        <v/>
      </c>
      <c r="I129" s="2808"/>
      <c r="J129" s="2831" t="s">
        <v>886</v>
      </c>
      <c r="K129" s="2832"/>
      <c r="L129" s="2841"/>
      <c r="M129" s="2903" t="str">
        <f>IMAGE("https://raw.githubusercontent.com/msikma/pokesprite/master/misc/types/gen8/dark.png",4,20,20)</f>
        <v/>
      </c>
      <c r="N129" s="2808"/>
      <c r="O129" s="2902" t="s">
        <v>218</v>
      </c>
      <c r="P129" s="2832"/>
      <c r="Q129" s="2841"/>
      <c r="R129" s="2903" t="str">
        <f>IMAGE("https://raw.githubusercontent.com/msikma/pokesprite/master/misc/types/gen8/poison.png",4,20,20)</f>
        <v/>
      </c>
      <c r="S129" s="2808"/>
      <c r="T129" s="2831" t="s">
        <v>277</v>
      </c>
      <c r="U129" s="2832"/>
      <c r="V129" s="2841"/>
      <c r="W129" s="2903" t="str">
        <f>IMAGE("https://raw.githubusercontent.com/msikma/pokesprite/master/misc/types/gen8/electric.png",4,20,20)</f>
        <v/>
      </c>
      <c r="X129" s="2807"/>
      <c r="Y129" s="2796"/>
      <c r="Z129" s="2797"/>
      <c r="AA129" s="2797"/>
      <c r="AB129" s="2798"/>
      <c r="AC129" s="2809"/>
      <c r="AD129" s="2796"/>
      <c r="AE129" s="2797"/>
      <c r="AF129" s="2797"/>
      <c r="AG129" s="2798"/>
      <c r="AH129" s="2800"/>
      <c r="AI129" s="2682"/>
    </row>
    <row r="130" ht="20.25" customHeight="1">
      <c r="A130" s="2270"/>
      <c r="B130" s="2818"/>
      <c r="C130" s="2843"/>
      <c r="D130" s="2796"/>
      <c r="E130" s="2835" t="s">
        <v>461</v>
      </c>
      <c r="F130" s="2797"/>
      <c r="G130" s="2798"/>
      <c r="H130" s="2904" t="str">
        <f t="shared" si="4"/>
        <v/>
      </c>
      <c r="I130" s="2808"/>
      <c r="J130" s="2894" t="s">
        <v>312</v>
      </c>
      <c r="K130" s="2895"/>
      <c r="L130" s="2850"/>
      <c r="M130" s="2896" t="str">
        <f>IMAGE("https://raw.githubusercontent.com/msikma/pokesprite/master/misc/types/gen8/grass.png",4,20,20)</f>
        <v/>
      </c>
      <c r="N130" s="2808"/>
      <c r="O130" s="2894" t="s">
        <v>244</v>
      </c>
      <c r="P130" s="2895"/>
      <c r="Q130" s="2850"/>
      <c r="R130" s="2896" t="str">
        <f>IMAGE("https://raw.githubusercontent.com/msikma/pokesprite/master/misc/types/gen8/fighting.png",4,20,20)</f>
        <v/>
      </c>
      <c r="S130" s="2808"/>
      <c r="T130" s="2835" t="s">
        <v>275</v>
      </c>
      <c r="U130" s="2797"/>
      <c r="V130" s="2798"/>
      <c r="W130" s="2896" t="str">
        <f>IMAGE("https://raw.githubusercontent.com/msikma/pokesprite/master/misc/types/gen8/grass.png",4,20,20)</f>
        <v/>
      </c>
      <c r="X130" s="2807"/>
      <c r="Y130" s="2796"/>
      <c r="Z130" s="2797"/>
      <c r="AA130" s="2797"/>
      <c r="AB130" s="2798"/>
      <c r="AC130" s="2809"/>
      <c r="AD130" s="2796"/>
      <c r="AE130" s="2797"/>
      <c r="AF130" s="2797"/>
      <c r="AG130" s="2798"/>
      <c r="AH130" s="2800"/>
      <c r="AI130" s="2682"/>
    </row>
    <row r="131" ht="20.25" customHeight="1">
      <c r="A131" s="2270"/>
      <c r="B131" s="2818"/>
      <c r="C131" s="2843"/>
      <c r="D131" s="2796"/>
      <c r="E131" s="2835" t="s">
        <v>785</v>
      </c>
      <c r="F131" s="2797"/>
      <c r="G131" s="2798"/>
      <c r="H131" s="2905" t="str">
        <f t="shared" ref="H131:H132" si="5">IMAGE("https://raw.githubusercontent.com/msikma/pokesprite/master/misc/types/gen8/fire.png",4,20,20)</f>
        <v/>
      </c>
      <c r="I131" s="2808"/>
      <c r="J131" s="2894" t="s">
        <v>639</v>
      </c>
      <c r="K131" s="2895"/>
      <c r="L131" s="2850"/>
      <c r="M131" s="2896" t="str">
        <f>IMAGE("https://raw.githubusercontent.com/msikma/pokesprite/master/misc/types/gen8/fighting.png",4,20,20)</f>
        <v/>
      </c>
      <c r="N131" s="2808"/>
      <c r="O131" s="2897" t="s">
        <v>215</v>
      </c>
      <c r="P131" s="2895"/>
      <c r="Q131" s="2850"/>
      <c r="R131" s="2896" t="str">
        <f>IMAGE("https://raw.githubusercontent.com/msikma/pokesprite/master/misc/types/gen8/ice.png",4,20,20)</f>
        <v/>
      </c>
      <c r="S131" s="2808"/>
      <c r="T131" s="2835" t="s">
        <v>372</v>
      </c>
      <c r="U131" s="2797"/>
      <c r="V131" s="2798"/>
      <c r="W131" s="2896" t="str">
        <f>IMAGE("https://raw.githubusercontent.com/msikma/pokesprite/master/misc/types/gen8/fire.png",4,20,20)</f>
        <v/>
      </c>
      <c r="X131" s="2807"/>
      <c r="Y131" s="2796"/>
      <c r="Z131" s="2797"/>
      <c r="AA131" s="2797"/>
      <c r="AB131" s="2798"/>
      <c r="AC131" s="2809"/>
      <c r="AD131" s="2796"/>
      <c r="AE131" s="2797"/>
      <c r="AF131" s="2797"/>
      <c r="AG131" s="2798"/>
      <c r="AH131" s="2800"/>
      <c r="AI131" s="2682"/>
    </row>
    <row r="132" ht="21.0" customHeight="1">
      <c r="A132" s="2270"/>
      <c r="B132" s="2818"/>
      <c r="C132" s="2843"/>
      <c r="D132" s="2796"/>
      <c r="E132" s="2845" t="s">
        <v>492</v>
      </c>
      <c r="F132" s="2846"/>
      <c r="G132" s="2847"/>
      <c r="H132" s="2848" t="str">
        <f t="shared" si="5"/>
        <v/>
      </c>
      <c r="I132" s="2808"/>
      <c r="J132" s="2898" t="s">
        <v>538</v>
      </c>
      <c r="K132" s="2899"/>
      <c r="L132" s="2900"/>
      <c r="M132" s="2901" t="str">
        <f>IMAGE("https://raw.githubusercontent.com/msikma/pokesprite/master/misc/types/gen8/bug.png",4,20,20)</f>
        <v/>
      </c>
      <c r="N132" s="2808"/>
      <c r="O132" s="2898" t="s">
        <v>279</v>
      </c>
      <c r="P132" s="2899"/>
      <c r="Q132" s="2900"/>
      <c r="R132" s="2901" t="str">
        <f>IMAGE("https://raw.githubusercontent.com/msikma/pokesprite/master/misc/types/gen8/dark.png",4,20,20)</f>
        <v/>
      </c>
      <c r="S132" s="2808"/>
      <c r="T132" s="2845" t="s">
        <v>380</v>
      </c>
      <c r="U132" s="2846"/>
      <c r="V132" s="2847"/>
      <c r="W132" s="2901" t="str">
        <f>IMAGE("https://raw.githubusercontent.com/msikma/pokesprite/master/misc/types/gen8/dragon.png",4,20,20)</f>
        <v/>
      </c>
      <c r="X132" s="2850"/>
      <c r="Y132" s="2796"/>
      <c r="Z132" s="2797"/>
      <c r="AA132" s="2797"/>
      <c r="AB132" s="2798"/>
      <c r="AC132" s="2830"/>
      <c r="AD132" s="2796"/>
      <c r="AE132" s="2797"/>
      <c r="AF132" s="2797"/>
      <c r="AG132" s="2798"/>
      <c r="AH132" s="2800"/>
      <c r="AI132" s="2682"/>
    </row>
    <row r="133" ht="3.0" customHeight="1">
      <c r="A133" s="2745"/>
      <c r="B133" s="2851"/>
      <c r="C133" s="2852"/>
      <c r="D133" s="2853"/>
      <c r="E133" s="2854"/>
      <c r="F133" s="2854"/>
      <c r="G133" s="2854"/>
      <c r="H133" s="2854"/>
      <c r="I133" s="2853"/>
      <c r="J133" s="2854"/>
      <c r="K133" s="2854"/>
      <c r="L133" s="2854"/>
      <c r="M133" s="2854"/>
      <c r="N133" s="2853"/>
      <c r="O133" s="2854"/>
      <c r="P133" s="2854"/>
      <c r="Q133" s="2854"/>
      <c r="R133" s="2854"/>
      <c r="S133" s="2853"/>
      <c r="T133" s="2854"/>
      <c r="U133" s="2854"/>
      <c r="V133" s="2854"/>
      <c r="W133" s="2891"/>
      <c r="X133" s="2853"/>
      <c r="Y133" s="2853"/>
      <c r="Z133" s="2857"/>
      <c r="AA133" s="2857"/>
      <c r="AB133" s="2858"/>
      <c r="AC133" s="2858"/>
      <c r="AD133" s="2858"/>
      <c r="AE133" s="2858"/>
      <c r="AF133" s="2858"/>
      <c r="AG133" s="2858"/>
      <c r="AH133" s="2859"/>
      <c r="AI133" s="2754"/>
    </row>
    <row r="134" ht="16.5" customHeight="1">
      <c r="A134" s="2755"/>
      <c r="B134" s="2860"/>
      <c r="C134" s="2852"/>
      <c r="D134" s="2861"/>
      <c r="E134" s="2862" t="s">
        <v>190</v>
      </c>
      <c r="F134" s="381"/>
      <c r="G134" s="382"/>
      <c r="H134" s="2863" t="s">
        <v>191</v>
      </c>
      <c r="I134" s="2864"/>
      <c r="J134" s="2862" t="s">
        <v>190</v>
      </c>
      <c r="K134" s="381"/>
      <c r="L134" s="382"/>
      <c r="M134" s="2863" t="s">
        <v>191</v>
      </c>
      <c r="N134" s="2864"/>
      <c r="O134" s="2862" t="s">
        <v>190</v>
      </c>
      <c r="P134" s="381"/>
      <c r="Q134" s="382"/>
      <c r="R134" s="2863" t="s">
        <v>191</v>
      </c>
      <c r="S134" s="2864"/>
      <c r="T134" s="2862" t="s">
        <v>190</v>
      </c>
      <c r="U134" s="381"/>
      <c r="V134" s="382"/>
      <c r="W134" s="2863" t="s">
        <v>191</v>
      </c>
      <c r="X134" s="2865"/>
      <c r="Y134" s="2866"/>
      <c r="Z134" s="2867"/>
      <c r="AA134" s="2867"/>
      <c r="AB134" s="2866"/>
      <c r="AC134" s="2866"/>
      <c r="AD134" s="2866"/>
      <c r="AE134" s="2866"/>
      <c r="AF134" s="2866"/>
      <c r="AG134" s="2866"/>
      <c r="AH134" s="2868"/>
      <c r="AI134" s="2499"/>
    </row>
    <row r="135" ht="16.5" customHeight="1">
      <c r="A135" s="2755"/>
      <c r="B135" s="2860"/>
      <c r="C135" s="2852"/>
      <c r="D135" s="2861"/>
      <c r="E135" s="2869" t="s">
        <v>192</v>
      </c>
      <c r="F135" s="2870">
        <f t="array" ref="F135">IFERROR(VLOOKUP(E122,Dex!$B$3:$N330,8,FALSE),"")</f>
        <v>78</v>
      </c>
      <c r="G135" s="2871" t="str">
        <f t="array" ref="G135">IFERROR(VLOOKUP(F135,Dex!$P$22:$Q$276,2,FALSE),"")</f>
        <v/>
      </c>
      <c r="H135" s="2872"/>
      <c r="I135" s="2864"/>
      <c r="J135" s="2869" t="s">
        <v>192</v>
      </c>
      <c r="K135" s="2870">
        <f t="array" ref="K135">IFERROR(VLOOKUP(J122,Dex!$B$3:$N330,8,FALSE),"")</f>
        <v>90</v>
      </c>
      <c r="L135" s="2871" t="str">
        <f t="array" ref="L135">IFERROR(VLOOKUP(K135,Dex!$P$22:$Q$276,2,FALSE),"")</f>
        <v/>
      </c>
      <c r="M135" s="2872"/>
      <c r="N135" s="2864"/>
      <c r="O135" s="2869" t="s">
        <v>192</v>
      </c>
      <c r="P135" s="2870">
        <f t="array" ref="P135">IFERROR(VLOOKUP(O122,Dex!$B$3:$N330,8,FALSE),"")</f>
        <v>83</v>
      </c>
      <c r="Q135" s="2871" t="str">
        <f t="array" ref="Q135">IFERROR(VLOOKUP(P135,Dex!$P$22:$Q$276,2,FALSE),"")</f>
        <v/>
      </c>
      <c r="R135" s="2872"/>
      <c r="S135" s="2864"/>
      <c r="T135" s="2869" t="s">
        <v>192</v>
      </c>
      <c r="U135" s="2870">
        <f t="array" ref="U135">IFERROR(VLOOKUP(T122,Dex!$B$3:$N330,8,FALSE),"")</f>
        <v>85</v>
      </c>
      <c r="V135" s="2871" t="str">
        <f t="array" ref="V135">IFERROR(VLOOKUP(U135,Dex!$P$22:$Q$276,2,FALSE),"")</f>
        <v/>
      </c>
      <c r="W135" s="2872">
        <v>252.0</v>
      </c>
      <c r="X135" s="2865"/>
      <c r="Y135" s="2866"/>
      <c r="Z135" s="2867"/>
      <c r="AA135" s="2867"/>
      <c r="AB135" s="2866"/>
      <c r="AC135" s="2866"/>
      <c r="AD135" s="2866"/>
      <c r="AE135" s="2866"/>
      <c r="AF135" s="2866"/>
      <c r="AG135" s="2866"/>
      <c r="AH135" s="2868"/>
      <c r="AI135" s="2499"/>
    </row>
    <row r="136" ht="16.5" customHeight="1">
      <c r="A136" s="2755"/>
      <c r="B136" s="2860"/>
      <c r="C136" s="2852"/>
      <c r="D136" s="2861"/>
      <c r="E136" s="2873" t="s">
        <v>193</v>
      </c>
      <c r="F136" s="2874">
        <f t="array" ref="F136">IFERROR(VLOOKUP(E122,Dex!$B$3:$N330,9,FALSE),"")</f>
        <v>91</v>
      </c>
      <c r="G136" s="2875" t="str">
        <f t="array" ref="G136">IFERROR(VLOOKUP(F136,Dex!$P$22:$Q$276,2,FALSE),"")</f>
        <v/>
      </c>
      <c r="H136" s="2876"/>
      <c r="I136" s="2864"/>
      <c r="J136" s="2873" t="s">
        <v>193</v>
      </c>
      <c r="K136" s="2874">
        <f t="array" ref="K136">IFERROR(VLOOKUP(J122,Dex!$B$3:$N330,9,FALSE),"")</f>
        <v>120</v>
      </c>
      <c r="L136" s="2875" t="str">
        <f t="array" ref="L136">IFERROR(VLOOKUP(K136,Dex!$P$22:$Q$276,2,FALSE),"")</f>
        <v/>
      </c>
      <c r="M136" s="2876">
        <v>252.0</v>
      </c>
      <c r="N136" s="2864"/>
      <c r="O136" s="2873" t="s">
        <v>193</v>
      </c>
      <c r="P136" s="2874">
        <f t="array" ref="P136">IFERROR(VLOOKUP(O122,Dex!$B$3:$N330,9,FALSE),"")</f>
        <v>106</v>
      </c>
      <c r="Q136" s="2875" t="str">
        <f t="array" ref="Q136">IFERROR(VLOOKUP(P136,Dex!$P$22:$Q$276,2,FALSE),"")</f>
        <v/>
      </c>
      <c r="R136" s="2876">
        <v>252.0</v>
      </c>
      <c r="S136" s="2864"/>
      <c r="T136" s="2873" t="s">
        <v>193</v>
      </c>
      <c r="U136" s="2874">
        <f t="array" ref="U136">IFERROR(VLOOKUP(T122,Dex!$B$3:$N330,9,FALSE),"")</f>
        <v>105</v>
      </c>
      <c r="V136" s="2875" t="str">
        <f t="array" ref="V136">IFERROR(VLOOKUP(U136,Dex!$P$22:$Q$276,2,FALSE),"")</f>
        <v/>
      </c>
      <c r="W136" s="2876"/>
      <c r="X136" s="2865"/>
      <c r="Y136" s="2866"/>
      <c r="Z136" s="2867"/>
      <c r="AA136" s="2867"/>
      <c r="AB136" s="2866"/>
      <c r="AC136" s="2866"/>
      <c r="AD136" s="2866"/>
      <c r="AE136" s="2866"/>
      <c r="AF136" s="2866"/>
      <c r="AG136" s="2866"/>
      <c r="AH136" s="2868"/>
      <c r="AI136" s="2499"/>
    </row>
    <row r="137" ht="16.5" customHeight="1">
      <c r="A137" s="2755"/>
      <c r="B137" s="2860"/>
      <c r="C137" s="2852"/>
      <c r="D137" s="2861"/>
      <c r="E137" s="2873" t="s">
        <v>194</v>
      </c>
      <c r="F137" s="2874">
        <f t="array" ref="F137">IFERROR(VLOOKUP(E122,Dex!$B$3:$N330,10,FALSE),"")</f>
        <v>71</v>
      </c>
      <c r="G137" s="2875" t="str">
        <f t="array" ref="G137">IFERROR(VLOOKUP(F137,Dex!$P$22:$Q$276,2,FALSE),"")</f>
        <v/>
      </c>
      <c r="H137" s="2876">
        <v>4.0</v>
      </c>
      <c r="I137" s="2864"/>
      <c r="J137" s="2873" t="s">
        <v>194</v>
      </c>
      <c r="K137" s="2874">
        <f t="array" ref="K137">IFERROR(VLOOKUP(J122,Dex!$B$3:$N330,10,FALSE),"")</f>
        <v>60</v>
      </c>
      <c r="L137" s="2875" t="str">
        <f t="array" ref="L137">IFERROR(VLOOKUP(K137,Dex!$P$22:$Q$276,2,FALSE),"")</f>
        <v/>
      </c>
      <c r="M137" s="2876">
        <v>4.0</v>
      </c>
      <c r="N137" s="2864"/>
      <c r="O137" s="2873" t="s">
        <v>194</v>
      </c>
      <c r="P137" s="2874">
        <f t="array" ref="P137">IFERROR(VLOOKUP(O122,Dex!$B$3:$N330,10,FALSE),"")</f>
        <v>65</v>
      </c>
      <c r="Q137" s="2875" t="str">
        <f t="array" ref="Q137">IFERROR(VLOOKUP(P137,Dex!$P$22:$Q$276,2,FALSE),"")</f>
        <v/>
      </c>
      <c r="R137" s="2876">
        <v>4.0</v>
      </c>
      <c r="S137" s="2864"/>
      <c r="T137" s="2873" t="s">
        <v>194</v>
      </c>
      <c r="U137" s="2874">
        <f t="array" ref="U137">IFERROR(VLOOKUP(T122,Dex!$B$3:$N330,10,FALSE),"")</f>
        <v>80</v>
      </c>
      <c r="V137" s="2875" t="str">
        <f t="array" ref="V137">IFERROR(VLOOKUP(U137,Dex!$P$22:$Q$276,2,FALSE),"")</f>
        <v/>
      </c>
      <c r="W137" s="2876"/>
      <c r="X137" s="2865"/>
      <c r="Y137" s="2866"/>
      <c r="Z137" s="2867"/>
      <c r="AA137" s="2867"/>
      <c r="AB137" s="2866"/>
      <c r="AC137" s="2866"/>
      <c r="AD137" s="2866"/>
      <c r="AE137" s="2866"/>
      <c r="AF137" s="2866"/>
      <c r="AG137" s="2866"/>
      <c r="AH137" s="2868"/>
      <c r="AI137" s="2499"/>
    </row>
    <row r="138" ht="16.5" customHeight="1">
      <c r="A138" s="2755"/>
      <c r="B138" s="2860"/>
      <c r="C138" s="2852"/>
      <c r="D138" s="2861"/>
      <c r="E138" s="2873" t="s">
        <v>195</v>
      </c>
      <c r="F138" s="2874">
        <f t="array" ref="F138">IFERROR(VLOOKUP(E122,Dex!$B$3:$N330,11,FALSE),"")</f>
        <v>74</v>
      </c>
      <c r="G138" s="2875" t="str">
        <f t="array" ref="G138">IFERROR(VLOOKUP(F138,Dex!$P$22:$Q$276,2,FALSE),"")</f>
        <v/>
      </c>
      <c r="H138" s="2876">
        <v>252.0</v>
      </c>
      <c r="I138" s="2864"/>
      <c r="J138" s="2873" t="s">
        <v>195</v>
      </c>
      <c r="K138" s="2874">
        <f t="array" ref="K138">IFERROR(VLOOKUP(J122,Dex!$B$3:$N330,11,FALSE),"")</f>
        <v>110</v>
      </c>
      <c r="L138" s="2875" t="str">
        <f t="array" ref="L138">IFERROR(VLOOKUP(K138,Dex!$P$22:$Q$276,2,FALSE),"")</f>
        <v/>
      </c>
      <c r="M138" s="2876"/>
      <c r="N138" s="2864"/>
      <c r="O138" s="2873" t="s">
        <v>195</v>
      </c>
      <c r="P138" s="2874">
        <f t="array" ref="P138">IFERROR(VLOOKUP(O122,Dex!$B$3:$N330,11,FALSE),"")</f>
        <v>86</v>
      </c>
      <c r="Q138" s="2875" t="str">
        <f t="array" ref="Q138">IFERROR(VLOOKUP(P138,Dex!$P$22:$Q$276,2,FALSE),"")</f>
        <v/>
      </c>
      <c r="R138" s="2876"/>
      <c r="S138" s="2864"/>
      <c r="T138" s="2873" t="s">
        <v>195</v>
      </c>
      <c r="U138" s="2874">
        <f t="array" ref="U138">IFERROR(VLOOKUP(T122,Dex!$B$3:$N330,11,FALSE),"")</f>
        <v>115</v>
      </c>
      <c r="V138" s="2875" t="str">
        <f t="array" ref="V138">IFERROR(VLOOKUP(U138,Dex!$P$22:$Q$276,2,FALSE),"")</f>
        <v/>
      </c>
      <c r="W138" s="2876">
        <v>252.0</v>
      </c>
      <c r="X138" s="2865"/>
      <c r="Y138" s="2866"/>
      <c r="Z138" s="2867"/>
      <c r="AA138" s="2867"/>
      <c r="AB138" s="2866"/>
      <c r="AC138" s="2866"/>
      <c r="AD138" s="2866"/>
      <c r="AE138" s="2866"/>
      <c r="AF138" s="2866"/>
      <c r="AG138" s="2866"/>
      <c r="AH138" s="2868"/>
      <c r="AI138" s="2499"/>
    </row>
    <row r="139" ht="16.5" customHeight="1">
      <c r="A139" s="2755"/>
      <c r="B139" s="2860"/>
      <c r="C139" s="2852"/>
      <c r="D139" s="2861"/>
      <c r="E139" s="2873" t="s">
        <v>196</v>
      </c>
      <c r="F139" s="2874">
        <f t="array" ref="F139">IFERROR(VLOOKUP(E122,Dex!$B$3:$N330,12,FALSE),"")</f>
        <v>69</v>
      </c>
      <c r="G139" s="2875" t="str">
        <f t="array" ref="G139">IFERROR(VLOOKUP(F139,Dex!$P$22:$Q$276,2,FALSE),"")</f>
        <v/>
      </c>
      <c r="H139" s="2876"/>
      <c r="I139" s="2864"/>
      <c r="J139" s="2873" t="s">
        <v>196</v>
      </c>
      <c r="K139" s="2874">
        <f t="array" ref="K139">IFERROR(VLOOKUP(J122,Dex!$B$3:$N330,12,FALSE),"")</f>
        <v>60</v>
      </c>
      <c r="L139" s="2875" t="str">
        <f t="array" ref="L139">IFERROR(VLOOKUP(K139,Dex!$P$22:$Q$276,2,FALSE),"")</f>
        <v/>
      </c>
      <c r="M139" s="2876"/>
      <c r="N139" s="2864"/>
      <c r="O139" s="2873" t="s">
        <v>196</v>
      </c>
      <c r="P139" s="2874">
        <f t="array" ref="P139">IFERROR(VLOOKUP(O122,Dex!$B$3:$N330,12,FALSE),"")</f>
        <v>65</v>
      </c>
      <c r="Q139" s="2875" t="str">
        <f t="array" ref="Q139">IFERROR(VLOOKUP(P139,Dex!$P$22:$Q$276,2,FALSE),"")</f>
        <v/>
      </c>
      <c r="R139" s="2876"/>
      <c r="S139" s="2864"/>
      <c r="T139" s="2873" t="s">
        <v>196</v>
      </c>
      <c r="U139" s="2874">
        <f t="array" ref="U139">IFERROR(VLOOKUP(T122,Dex!$B$3:$N330,12,FALSE),"")</f>
        <v>80</v>
      </c>
      <c r="V139" s="2875" t="str">
        <f t="array" ref="V139">IFERROR(VLOOKUP(U139,Dex!$P$22:$Q$276,2,FALSE),"")</f>
        <v/>
      </c>
      <c r="W139" s="2876"/>
      <c r="X139" s="2865"/>
      <c r="Y139" s="2866"/>
      <c r="Z139" s="2867"/>
      <c r="AA139" s="2867"/>
      <c r="AB139" s="2866"/>
      <c r="AC139" s="2866"/>
      <c r="AD139" s="2866"/>
      <c r="AE139" s="2866"/>
      <c r="AF139" s="2866"/>
      <c r="AG139" s="2866"/>
      <c r="AH139" s="2868"/>
      <c r="AI139" s="2499"/>
    </row>
    <row r="140" ht="16.5" customHeight="1">
      <c r="A140" s="2755"/>
      <c r="B140" s="2860"/>
      <c r="C140" s="1204" t="s">
        <v>436</v>
      </c>
      <c r="D140" s="2861"/>
      <c r="E140" s="2877" t="s">
        <v>197</v>
      </c>
      <c r="F140" s="2878">
        <f t="array" ref="F140">IFERROR(VLOOKUP(E122,Dex!$B$3:$N330,13,FALSE),"")</f>
        <v>126</v>
      </c>
      <c r="G140" s="2879" t="str">
        <f t="array" ref="G140">IFERROR(VLOOKUP(F140,Dex!$P$22:$Q$276,2,FALSE),"")</f>
        <v/>
      </c>
      <c r="H140" s="2880">
        <v>252.0</v>
      </c>
      <c r="I140" s="2864"/>
      <c r="J140" s="2877" t="s">
        <v>197</v>
      </c>
      <c r="K140" s="2878">
        <f t="array" ref="K140">IFERROR(VLOOKUP(J122,Dex!$B$3:$N330,13,FALSE),"")</f>
        <v>80</v>
      </c>
      <c r="L140" s="2879" t="str">
        <f t="array" ref="L140">IFERROR(VLOOKUP(K140,Dex!$P$22:$Q$276,2,FALSE),"")</f>
        <v/>
      </c>
      <c r="M140" s="2880">
        <v>252.0</v>
      </c>
      <c r="N140" s="2864"/>
      <c r="O140" s="2877" t="s">
        <v>197</v>
      </c>
      <c r="P140" s="2878">
        <f t="array" ref="P140">IFERROR(VLOOKUP(O122,Dex!$B$3:$N330,13,FALSE),"")</f>
        <v>85</v>
      </c>
      <c r="Q140" s="2879" t="str">
        <f t="array" ref="Q140">IFERROR(VLOOKUP(P140,Dex!$P$22:$Q$276,2,FALSE),"")</f>
        <v/>
      </c>
      <c r="R140" s="2880">
        <v>252.0</v>
      </c>
      <c r="S140" s="2864"/>
      <c r="T140" s="2877" t="s">
        <v>197</v>
      </c>
      <c r="U140" s="2878">
        <f t="array" ref="U140">IFERROR(VLOOKUP(T122,Dex!$B$3:$N330,13,FALSE),"")</f>
        <v>50</v>
      </c>
      <c r="V140" s="2879" t="str">
        <f t="array" ref="V140">IFERROR(VLOOKUP(U140,Dex!$P$22:$Q$276,2,FALSE),"")</f>
        <v/>
      </c>
      <c r="W140" s="2880">
        <v>4.0</v>
      </c>
      <c r="X140" s="2865"/>
      <c r="Y140" s="2866"/>
      <c r="Z140" s="2867"/>
      <c r="AA140" s="2867"/>
      <c r="AB140" s="2866"/>
      <c r="AC140" s="2866"/>
      <c r="AD140" s="2866"/>
      <c r="AE140" s="2866"/>
      <c r="AF140" s="2866"/>
      <c r="AG140" s="2866"/>
      <c r="AH140" s="2868"/>
      <c r="AI140" s="2499"/>
    </row>
    <row r="141" ht="16.5" customHeight="1">
      <c r="A141" s="2755"/>
      <c r="B141" s="2860"/>
      <c r="C141" s="1205" t="s">
        <v>864</v>
      </c>
      <c r="D141" s="2861"/>
      <c r="E141" s="2881" t="s">
        <v>198</v>
      </c>
      <c r="F141" s="405"/>
      <c r="G141" s="406"/>
      <c r="H141" s="2882">
        <v>172.0</v>
      </c>
      <c r="I141" s="2864"/>
      <c r="J141" s="2881" t="s">
        <v>198</v>
      </c>
      <c r="K141" s="405"/>
      <c r="L141" s="406"/>
      <c r="M141" s="2882">
        <v>125.0</v>
      </c>
      <c r="N141" s="2864"/>
      <c r="O141" s="2881" t="s">
        <v>198</v>
      </c>
      <c r="P141" s="405"/>
      <c r="Q141" s="406"/>
      <c r="R141" s="2882">
        <v>129.0</v>
      </c>
      <c r="S141" s="2864"/>
      <c r="T141" s="2881" t="s">
        <v>198</v>
      </c>
      <c r="U141" s="405"/>
      <c r="V141" s="406"/>
      <c r="W141" s="2882">
        <v>63.0</v>
      </c>
      <c r="X141" s="2865"/>
      <c r="Y141" s="2866"/>
      <c r="Z141" s="2867"/>
      <c r="AA141" s="2867"/>
      <c r="AB141" s="2866"/>
      <c r="AC141" s="2866"/>
      <c r="AD141" s="2866"/>
      <c r="AE141" s="2866"/>
      <c r="AF141" s="2866"/>
      <c r="AG141" s="2866"/>
      <c r="AH141" s="2868"/>
      <c r="AI141" s="2499"/>
    </row>
    <row r="142" ht="15.0" customHeight="1">
      <c r="A142" s="2270"/>
      <c r="B142" s="2883"/>
      <c r="C142" s="2884"/>
      <c r="D142" s="2885"/>
      <c r="E142" s="2886"/>
      <c r="F142" s="2886"/>
      <c r="G142" s="2886"/>
      <c r="H142" s="2886"/>
      <c r="I142" s="2885"/>
      <c r="J142" s="2886"/>
      <c r="K142" s="2886"/>
      <c r="L142" s="2886"/>
      <c r="M142" s="2886"/>
      <c r="N142" s="2885"/>
      <c r="O142" s="2886"/>
      <c r="P142" s="2886"/>
      <c r="Q142" s="2886"/>
      <c r="R142" s="2886"/>
      <c r="S142" s="2885"/>
      <c r="T142" s="2886"/>
      <c r="U142" s="2886"/>
      <c r="V142" s="2886"/>
      <c r="W142" s="2886"/>
      <c r="X142" s="2885"/>
      <c r="Y142" s="2885"/>
      <c r="Z142" s="2885"/>
      <c r="AA142" s="2885"/>
      <c r="AB142" s="2885"/>
      <c r="AC142" s="2885"/>
      <c r="AD142" s="2885"/>
      <c r="AE142" s="2885"/>
      <c r="AF142" s="2885"/>
      <c r="AG142" s="2885"/>
      <c r="AH142" s="2887"/>
      <c r="AI142" s="2682"/>
    </row>
    <row r="143" ht="15.0" customHeight="1">
      <c r="A143" s="2270"/>
      <c r="B143" s="2906"/>
      <c r="C143" s="2907"/>
      <c r="D143" s="2908"/>
      <c r="E143" s="2909"/>
      <c r="F143" s="2909"/>
      <c r="G143" s="2909"/>
      <c r="H143" s="2909"/>
      <c r="I143" s="2908"/>
      <c r="J143" s="2909"/>
      <c r="K143" s="2909"/>
      <c r="L143" s="2909"/>
      <c r="M143" s="2909"/>
      <c r="N143" s="2908"/>
      <c r="O143" s="2909"/>
      <c r="P143" s="2909"/>
      <c r="Q143" s="2909"/>
      <c r="R143" s="2909"/>
      <c r="S143" s="2908"/>
      <c r="T143" s="2909"/>
      <c r="U143" s="2909"/>
      <c r="V143" s="2909"/>
      <c r="W143" s="2909"/>
      <c r="X143" s="2908"/>
      <c r="Y143" s="2909"/>
      <c r="Z143" s="2909"/>
      <c r="AA143" s="2909"/>
      <c r="AB143" s="2909"/>
      <c r="AC143" s="2908"/>
      <c r="AD143" s="2909"/>
      <c r="AE143" s="2909"/>
      <c r="AF143" s="2909"/>
      <c r="AG143" s="2909"/>
      <c r="AH143" s="2910"/>
      <c r="AI143" s="2682"/>
    </row>
    <row r="144" ht="96.75" customHeight="1">
      <c r="A144" s="2270"/>
      <c r="B144" s="2911"/>
      <c r="C144" s="2912" t="str">
        <f>IMAGE("https://i.ibb.co/dcBy1qG/Giovanni.png")</f>
        <v/>
      </c>
      <c r="D144" s="2913"/>
      <c r="E144" s="2914" t="str">
        <f t="array" ref="E144">IFERROR(VLOOKUP(E145,Dex!$B$3:$G330,3,FALSE),"")</f>
        <v/>
      </c>
      <c r="F144" s="1830"/>
      <c r="G144" s="1830"/>
      <c r="H144" s="1831"/>
      <c r="I144" s="2915"/>
      <c r="J144" s="2914" t="str">
        <f t="array" ref="J144">IFERROR(VLOOKUP(J145,Dex!$B$3:$G330,3,FALSE),"")</f>
        <v/>
      </c>
      <c r="K144" s="1830"/>
      <c r="L144" s="1830"/>
      <c r="M144" s="1831"/>
      <c r="N144" s="2915"/>
      <c r="O144" s="2914" t="str">
        <f t="array" ref="O144">IFERROR(VLOOKUP(O145,Dex!$B$3:$G330,3,FALSE),"")</f>
        <v/>
      </c>
      <c r="P144" s="1830"/>
      <c r="Q144" s="1830"/>
      <c r="R144" s="1831"/>
      <c r="S144" s="2915"/>
      <c r="T144" s="2914" t="str">
        <f t="array" ref="T144">IFERROR(VLOOKUP(T145,Dex!$B$3:$G330,3,FALSE),"")</f>
        <v/>
      </c>
      <c r="U144" s="1830"/>
      <c r="V144" s="1830"/>
      <c r="W144" s="1831"/>
      <c r="X144" s="2915"/>
      <c r="Y144" s="2914" t="str">
        <f t="array" ref="Y144">IFERROR(VLOOKUP(Y145,Dex!$B$3:$G330,3,FALSE),"")</f>
        <v/>
      </c>
      <c r="Z144" s="1830"/>
      <c r="AA144" s="1830"/>
      <c r="AB144" s="1831"/>
      <c r="AC144" s="2915"/>
      <c r="AD144" s="2914" t="str">
        <f t="array" ref="AD144">IFERROR(VLOOKUP(AD145,Dex!$B$3:$G330,3,FALSE),"")</f>
        <v/>
      </c>
      <c r="AE144" s="1830"/>
      <c r="AF144" s="1830"/>
      <c r="AG144" s="1831"/>
      <c r="AH144" s="2916"/>
      <c r="AI144" s="2682"/>
    </row>
    <row r="145" ht="18.75" customHeight="1">
      <c r="A145" s="2297"/>
      <c r="B145" s="2917"/>
      <c r="C145" s="2918" t="s">
        <v>887</v>
      </c>
      <c r="D145" s="2919"/>
      <c r="E145" s="2920" t="s">
        <v>888</v>
      </c>
      <c r="F145" s="2921"/>
      <c r="G145" s="2921"/>
      <c r="H145" s="2922"/>
      <c r="I145" s="2919"/>
      <c r="J145" s="2920" t="s">
        <v>889</v>
      </c>
      <c r="K145" s="2921"/>
      <c r="L145" s="2921"/>
      <c r="M145" s="2922"/>
      <c r="N145" s="2919"/>
      <c r="O145" s="2920" t="s">
        <v>890</v>
      </c>
      <c r="P145" s="2921"/>
      <c r="Q145" s="2921"/>
      <c r="R145" s="2922"/>
      <c r="S145" s="2919"/>
      <c r="T145" s="2920" t="s">
        <v>891</v>
      </c>
      <c r="U145" s="2921"/>
      <c r="V145" s="2921"/>
      <c r="W145" s="2922"/>
      <c r="X145" s="2919"/>
      <c r="Y145" s="2920" t="s">
        <v>892</v>
      </c>
      <c r="Z145" s="2921"/>
      <c r="AA145" s="2921"/>
      <c r="AB145" s="2922"/>
      <c r="AC145" s="2919"/>
      <c r="AD145" s="2920" t="s">
        <v>893</v>
      </c>
      <c r="AE145" s="2921"/>
      <c r="AF145" s="2921"/>
      <c r="AG145" s="2922"/>
      <c r="AH145" s="2923"/>
      <c r="AI145" s="2703"/>
    </row>
    <row r="146">
      <c r="A146" s="2924"/>
      <c r="B146" s="2925"/>
      <c r="C146" s="326"/>
      <c r="D146" s="2926"/>
      <c r="E146" s="2927">
        <v>45.0</v>
      </c>
      <c r="F146" s="2928"/>
      <c r="G146" s="2928"/>
      <c r="H146" s="2929"/>
      <c r="I146" s="2930"/>
      <c r="J146" s="2927">
        <v>45.0</v>
      </c>
      <c r="K146" s="2928"/>
      <c r="L146" s="2928"/>
      <c r="M146" s="2929"/>
      <c r="N146" s="2930"/>
      <c r="O146" s="2927">
        <v>46.0</v>
      </c>
      <c r="P146" s="2928"/>
      <c r="Q146" s="2928"/>
      <c r="R146" s="2929"/>
      <c r="S146" s="2930"/>
      <c r="T146" s="2927">
        <v>46.0</v>
      </c>
      <c r="U146" s="2928"/>
      <c r="V146" s="2928"/>
      <c r="W146" s="2929"/>
      <c r="X146" s="2930"/>
      <c r="Y146" s="2927">
        <v>47.0</v>
      </c>
      <c r="Z146" s="2928"/>
      <c r="AA146" s="2928"/>
      <c r="AB146" s="2929"/>
      <c r="AC146" s="2930"/>
      <c r="AD146" s="2927">
        <v>46.0</v>
      </c>
      <c r="AE146" s="2928"/>
      <c r="AF146" s="2928"/>
      <c r="AG146" s="2929"/>
      <c r="AH146" s="2931"/>
      <c r="AI146" s="2932"/>
    </row>
    <row r="147" ht="25.5" customHeight="1">
      <c r="A147" s="2270"/>
      <c r="B147" s="2933"/>
      <c r="C147" s="2934"/>
      <c r="D147" s="2935"/>
      <c r="E147" s="2936"/>
      <c r="F147" s="2937" t="str">
        <f t="array" ref="F147">IFERROR(VLOOKUP(E145,Dex!$B$3:$H330,5,FALSE),"")</f>
        <v/>
      </c>
      <c r="G147" s="2938" t="str">
        <f t="array" ref="G147">IFERROR(VLOOKUP(E145,Dex!$B$3:$H330,7,FALSE),"")</f>
        <v/>
      </c>
      <c r="H147" s="2939"/>
      <c r="I147" s="2940"/>
      <c r="J147" s="2936"/>
      <c r="K147" s="2937" t="str">
        <f t="array" ref="K147">IFERROR(VLOOKUP(J145,Dex!$B$3:$H330,5,FALSE),"")</f>
        <v/>
      </c>
      <c r="L147" s="2938" t="str">
        <f t="array" ref="L147">IFERROR(VLOOKUP(J145,Dex!$B$3:$H330,7,FALSE),"")</f>
        <v/>
      </c>
      <c r="M147" s="2939"/>
      <c r="N147" s="2940"/>
      <c r="O147" s="2936"/>
      <c r="P147" s="2937" t="str">
        <f t="array" ref="P147">IFERROR(VLOOKUP(O145,Dex!$B$3:$H330,5,FALSE),"")</f>
        <v/>
      </c>
      <c r="Q147" s="2938" t="str">
        <f t="array" ref="Q147">IFERROR(VLOOKUP(O145,Dex!$B$3:$H330,7,FALSE),"")</f>
        <v/>
      </c>
      <c r="R147" s="2939"/>
      <c r="S147" s="2940"/>
      <c r="T147" s="2936"/>
      <c r="U147" s="2941" t="str">
        <f t="array" ref="U147">IFERROR(VLOOKUP(T145,Dex!$B$3:$H330,5,FALSE),"")</f>
        <v/>
      </c>
      <c r="V147" s="2942"/>
      <c r="W147" s="2939"/>
      <c r="X147" s="2940"/>
      <c r="Y147" s="2936"/>
      <c r="Z147" s="2941" t="str">
        <f t="array" ref="Z147">IFERROR(VLOOKUP(Y145,Dex!$B$3:$H330,5,FALSE),"")</f>
        <v/>
      </c>
      <c r="AA147" s="2942"/>
      <c r="AB147" s="2939"/>
      <c r="AC147" s="2940"/>
      <c r="AD147" s="2936"/>
      <c r="AE147" s="2937" t="str">
        <f t="array" ref="AE147">IFERROR(VLOOKUP(AD145,Dex!$B$3:$H330,5,FALSE),"")</f>
        <v/>
      </c>
      <c r="AF147" s="2938" t="str">
        <f t="array" ref="AF147">IFERROR(VLOOKUP(AD145,Dex!$B$3:$H330,7,FALSE),"")</f>
        <v/>
      </c>
      <c r="AG147" s="2939"/>
      <c r="AH147" s="2916"/>
      <c r="AI147" s="2682"/>
    </row>
    <row r="148" ht="2.25" customHeight="1">
      <c r="A148" s="2270"/>
      <c r="B148" s="2933"/>
      <c r="C148" s="2943"/>
      <c r="D148" s="2935"/>
      <c r="E148" s="2944"/>
      <c r="F148" s="2945"/>
      <c r="G148" s="2945"/>
      <c r="H148" s="2946"/>
      <c r="I148" s="2940"/>
      <c r="J148" s="2944"/>
      <c r="K148" s="2945"/>
      <c r="L148" s="2945"/>
      <c r="M148" s="2946"/>
      <c r="N148" s="2940"/>
      <c r="O148" s="2944"/>
      <c r="P148" s="2945"/>
      <c r="Q148" s="2945"/>
      <c r="R148" s="2946"/>
      <c r="S148" s="2940"/>
      <c r="T148" s="2944"/>
      <c r="U148" s="2945"/>
      <c r="V148" s="2945"/>
      <c r="W148" s="2946"/>
      <c r="X148" s="2940"/>
      <c r="Y148" s="2944"/>
      <c r="Z148" s="2945"/>
      <c r="AA148" s="2945"/>
      <c r="AB148" s="2946"/>
      <c r="AC148" s="2940"/>
      <c r="AD148" s="2944"/>
      <c r="AE148" s="2945"/>
      <c r="AF148" s="2945"/>
      <c r="AG148" s="2946"/>
      <c r="AH148" s="2916"/>
      <c r="AI148" s="2682"/>
    </row>
    <row r="149" ht="20.25" customHeight="1">
      <c r="A149" s="2270"/>
      <c r="B149" s="2933"/>
      <c r="C149" s="2947"/>
      <c r="D149" s="2935"/>
      <c r="E149" s="2948" t="s">
        <v>205</v>
      </c>
      <c r="F149" s="2949"/>
      <c r="G149" s="2949"/>
      <c r="H149" s="2950"/>
      <c r="I149" s="2940"/>
      <c r="J149" s="2948" t="s">
        <v>172</v>
      </c>
      <c r="K149" s="2949"/>
      <c r="L149" s="2949"/>
      <c r="M149" s="2950"/>
      <c r="N149" s="2940"/>
      <c r="O149" s="2948" t="s">
        <v>172</v>
      </c>
      <c r="P149" s="2949"/>
      <c r="Q149" s="2949"/>
      <c r="R149" s="2950"/>
      <c r="S149" s="2940"/>
      <c r="T149" s="2948" t="s">
        <v>172</v>
      </c>
      <c r="U149" s="2949"/>
      <c r="V149" s="2949"/>
      <c r="W149" s="2950"/>
      <c r="X149" s="2940"/>
      <c r="Y149" s="2948" t="s">
        <v>531</v>
      </c>
      <c r="Z149" s="2949"/>
      <c r="AA149" s="2949"/>
      <c r="AB149" s="2950"/>
      <c r="AC149" s="2940"/>
      <c r="AD149" s="2948" t="s">
        <v>172</v>
      </c>
      <c r="AE149" s="2949"/>
      <c r="AF149" s="2949"/>
      <c r="AG149" s="2950"/>
      <c r="AH149" s="2916"/>
      <c r="AI149" s="2682"/>
    </row>
    <row r="150">
      <c r="A150" s="2270"/>
      <c r="B150" s="2933"/>
      <c r="C150" s="2951"/>
      <c r="D150" s="2935"/>
      <c r="E150" s="2952" t="s">
        <v>329</v>
      </c>
      <c r="F150" s="2953"/>
      <c r="G150" s="2953"/>
      <c r="H150" s="2954"/>
      <c r="I150" s="2940"/>
      <c r="J150" s="2952" t="s">
        <v>894</v>
      </c>
      <c r="K150" s="2953"/>
      <c r="L150" s="2953"/>
      <c r="M150" s="2954"/>
      <c r="N150" s="2940"/>
      <c r="O150" s="2952" t="s">
        <v>690</v>
      </c>
      <c r="P150" s="2953"/>
      <c r="Q150" s="2953"/>
      <c r="R150" s="2954"/>
      <c r="S150" s="2940"/>
      <c r="T150" s="2952" t="s">
        <v>895</v>
      </c>
      <c r="U150" s="2953"/>
      <c r="V150" s="2953"/>
      <c r="W150" s="2954"/>
      <c r="X150" s="2940"/>
      <c r="Y150" s="2952" t="s">
        <v>896</v>
      </c>
      <c r="Z150" s="2953"/>
      <c r="AA150" s="2953"/>
      <c r="AB150" s="2954"/>
      <c r="AC150" s="2940"/>
      <c r="AD150" s="2952" t="s">
        <v>532</v>
      </c>
      <c r="AE150" s="2953"/>
      <c r="AF150" s="2953"/>
      <c r="AG150" s="2954"/>
      <c r="AH150" s="2916"/>
      <c r="AI150" s="2682"/>
    </row>
    <row r="151" ht="20.25" customHeight="1">
      <c r="A151" s="2270"/>
      <c r="B151" s="2933"/>
      <c r="C151" s="2943"/>
      <c r="D151" s="2935"/>
      <c r="E151" s="2955" t="s">
        <v>272</v>
      </c>
      <c r="F151" s="2956"/>
      <c r="G151" s="2957"/>
      <c r="H151" s="2958" t="str">
        <f>IMAGE("https://raw.githubusercontent.com/msikma/pokesprite/master/items/hold-item/life-orb.png",3)</f>
        <v/>
      </c>
      <c r="I151" s="2940"/>
      <c r="J151" s="2955" t="s">
        <v>452</v>
      </c>
      <c r="K151" s="2956"/>
      <c r="L151" s="2957"/>
      <c r="M151" s="2958" t="str">
        <f>IMAGE("https://raw.githubusercontent.com/msikma/pokesprite/master/items/hold-item/scope-lens.png",3)</f>
        <v/>
      </c>
      <c r="N151" s="2940"/>
      <c r="O151" s="2955" t="s">
        <v>240</v>
      </c>
      <c r="P151" s="2956"/>
      <c r="Q151" s="2957"/>
      <c r="R151" s="2958" t="str">
        <f>IMAGE("https://raw.githubusercontent.com/msikma/pokesprite/master/items/hold-item/focus-sash.png",3)</f>
        <v/>
      </c>
      <c r="S151" s="2940"/>
      <c r="T151" s="2955" t="s">
        <v>897</v>
      </c>
      <c r="U151" s="2956"/>
      <c r="V151" s="2957"/>
      <c r="W151" s="2958" t="str">
        <f>IMAGE("https://raw.githubusercontent.com/msikma/pokesprite/master/items/mega-stone/kangaskhanite.png",3)</f>
        <v/>
      </c>
      <c r="X151" s="2940"/>
      <c r="Y151" s="2955" t="s">
        <v>213</v>
      </c>
      <c r="Z151" s="2956"/>
      <c r="AA151" s="2957"/>
      <c r="AB151" s="2958" t="str">
        <f>IMAGE("https://raw.githubusercontent.com/msikma/pokesprite/master/items/berry/sitrus.png",3)</f>
        <v/>
      </c>
      <c r="AC151" s="2940"/>
      <c r="AD151" s="2955" t="s">
        <v>213</v>
      </c>
      <c r="AE151" s="2956"/>
      <c r="AF151" s="2957"/>
      <c r="AG151" s="2958" t="str">
        <f>IMAGE("https://raw.githubusercontent.com/msikma/pokesprite/master/items/berry/sitrus.png",3)</f>
        <v/>
      </c>
      <c r="AH151" s="2916"/>
      <c r="AI151" s="2682"/>
    </row>
    <row r="152" ht="20.25" customHeight="1">
      <c r="A152" s="2270"/>
      <c r="B152" s="2933"/>
      <c r="C152" s="2947"/>
      <c r="D152" s="2935"/>
      <c r="E152" s="2948" t="s">
        <v>286</v>
      </c>
      <c r="F152" s="2949"/>
      <c r="G152" s="2959"/>
      <c r="H152" s="2960" t="str">
        <f>IMAGE("https://raw.githubusercontent.com/msikma/pokesprite/master/misc/types/gen8/ground.png",4,20,20)</f>
        <v/>
      </c>
      <c r="I152" s="2940"/>
      <c r="J152" s="2948" t="s">
        <v>540</v>
      </c>
      <c r="K152" s="2949"/>
      <c r="L152" s="2959"/>
      <c r="M152" s="2960" t="str">
        <f t="shared" ref="M152:M153" si="6">IMAGE("https://raw.githubusercontent.com/msikma/pokesprite/master/misc/types/gen8/dark.png",4,20,20)</f>
        <v/>
      </c>
      <c r="N152" s="2940"/>
      <c r="O152" s="2948" t="s">
        <v>489</v>
      </c>
      <c r="P152" s="2949"/>
      <c r="Q152" s="2959"/>
      <c r="R152" s="2960" t="str">
        <f>IMAGE("https://raw.githubusercontent.com/msikma/pokesprite/master/misc/types/gen8/normal.png",4,20,20)</f>
        <v/>
      </c>
      <c r="S152" s="2940"/>
      <c r="T152" s="2948" t="s">
        <v>476</v>
      </c>
      <c r="U152" s="2949"/>
      <c r="V152" s="2959"/>
      <c r="W152" s="2960" t="str">
        <f t="shared" ref="W152:W153" si="7">IMAGE("https://raw.githubusercontent.com/msikma/pokesprite/master/misc/types/gen8/normal.png",4,20,20)</f>
        <v/>
      </c>
      <c r="X152" s="2940"/>
      <c r="Y152" s="2948" t="s">
        <v>898</v>
      </c>
      <c r="Z152" s="2949"/>
      <c r="AA152" s="2959"/>
      <c r="AB152" s="2960" t="str">
        <f>IMAGE("https://raw.githubusercontent.com/msikma/pokesprite/master/misc/types/gen8/normal.png",4,20,20)</f>
        <v/>
      </c>
      <c r="AC152" s="2940"/>
      <c r="AD152" s="2948" t="s">
        <v>899</v>
      </c>
      <c r="AE152" s="2949"/>
      <c r="AF152" s="2959"/>
      <c r="AG152" s="2960" t="str">
        <f>IMAGE("https://raw.githubusercontent.com/msikma/pokesprite/master/misc/types/gen8/normal.png",4,20,20)</f>
        <v/>
      </c>
      <c r="AH152" s="2916"/>
      <c r="AI152" s="2682"/>
    </row>
    <row r="153" ht="20.25" customHeight="1">
      <c r="A153" s="2270"/>
      <c r="B153" s="2933"/>
      <c r="C153" s="2961"/>
      <c r="D153" s="2935"/>
      <c r="E153" s="2952" t="s">
        <v>317</v>
      </c>
      <c r="F153" s="2953"/>
      <c r="G153" s="2962"/>
      <c r="H153" s="2963" t="str">
        <f>IMAGE("https://raw.githubusercontent.com/msikma/pokesprite/master/misc/types/gen8/ice.png",4,20,20)</f>
        <v/>
      </c>
      <c r="I153" s="2940"/>
      <c r="J153" s="2952" t="s">
        <v>541</v>
      </c>
      <c r="K153" s="2953"/>
      <c r="L153" s="2962"/>
      <c r="M153" s="2963" t="str">
        <f t="shared" si="6"/>
        <v/>
      </c>
      <c r="N153" s="2940"/>
      <c r="O153" s="2952" t="s">
        <v>900</v>
      </c>
      <c r="P153" s="2953"/>
      <c r="Q153" s="2962"/>
      <c r="R153" s="2963" t="str">
        <f>IMAGE("https://raw.githubusercontent.com/msikma/pokesprite/master/misc/types/gen8/fire.png",4,20,20)</f>
        <v/>
      </c>
      <c r="S153" s="2940"/>
      <c r="T153" s="2952" t="s">
        <v>557</v>
      </c>
      <c r="U153" s="2953"/>
      <c r="V153" s="2962"/>
      <c r="W153" s="2963" t="str">
        <f t="shared" si="7"/>
        <v/>
      </c>
      <c r="X153" s="2940"/>
      <c r="Y153" s="2952" t="s">
        <v>407</v>
      </c>
      <c r="Z153" s="2953"/>
      <c r="AA153" s="2962"/>
      <c r="AB153" s="2963" t="str">
        <f>IMAGE("https://raw.githubusercontent.com/msikma/pokesprite/master/misc/types/gen8/steel.png",4,20,20)</f>
        <v/>
      </c>
      <c r="AC153" s="2940"/>
      <c r="AD153" s="2952" t="s">
        <v>901</v>
      </c>
      <c r="AE153" s="2953"/>
      <c r="AF153" s="2962"/>
      <c r="AG153" s="2963" t="str">
        <f>IMAGE("https://raw.githubusercontent.com/msikma/pokesprite/master/misc/types/gen8/water.png",4,20,20)</f>
        <v/>
      </c>
      <c r="AH153" s="2916"/>
      <c r="AI153" s="2682"/>
    </row>
    <row r="154" ht="20.25" customHeight="1">
      <c r="A154" s="2270"/>
      <c r="B154" s="2933"/>
      <c r="C154" s="2961"/>
      <c r="D154" s="2935"/>
      <c r="E154" s="2952" t="s">
        <v>280</v>
      </c>
      <c r="F154" s="2953"/>
      <c r="G154" s="2962"/>
      <c r="H154" s="2963" t="str">
        <f>IMAGE("https://raw.githubusercontent.com/msikma/pokesprite/master/misc/types/gen8/poison.png",4,20,20)</f>
        <v/>
      </c>
      <c r="I154" s="2940"/>
      <c r="J154" s="2952" t="s">
        <v>902</v>
      </c>
      <c r="K154" s="2953"/>
      <c r="L154" s="2962"/>
      <c r="M154" s="2963" t="str">
        <f>IMAGE("https://raw.githubusercontent.com/msikma/pokesprite/master/misc/types/gen8/flying.png",4,20,20)</f>
        <v/>
      </c>
      <c r="N154" s="2940"/>
      <c r="O154" s="2952" t="s">
        <v>316</v>
      </c>
      <c r="P154" s="2953"/>
      <c r="Q154" s="2962"/>
      <c r="R154" s="2963" t="str">
        <f>IMAGE("https://raw.githubusercontent.com/msikma/pokesprite/master/misc/types/gen8/fighting.png",4,20,20)</f>
        <v/>
      </c>
      <c r="S154" s="2940"/>
      <c r="T154" s="2952" t="s">
        <v>320</v>
      </c>
      <c r="U154" s="2953"/>
      <c r="V154" s="2962"/>
      <c r="W154" s="2963" t="str">
        <f>IMAGE("https://raw.githubusercontent.com/msikma/pokesprite/master/misc/types/gen8/dark.png",4,20,20)</f>
        <v/>
      </c>
      <c r="X154" s="2940"/>
      <c r="Y154" s="2952" t="s">
        <v>402</v>
      </c>
      <c r="Z154" s="2953"/>
      <c r="AA154" s="2962"/>
      <c r="AB154" s="2963" t="str">
        <f>IMAGE("https://raw.githubusercontent.com/msikma/pokesprite/master/misc/types/gen8/ground.png",4,20,20)</f>
        <v/>
      </c>
      <c r="AC154" s="2940"/>
      <c r="AD154" s="2952" t="s">
        <v>608</v>
      </c>
      <c r="AE154" s="2953"/>
      <c r="AF154" s="2962"/>
      <c r="AG154" s="2963" t="str">
        <f>IMAGE("https://raw.githubusercontent.com/msikma/pokesprite/master/misc/types/gen8/psychic.png",4,20,20)</f>
        <v/>
      </c>
      <c r="AH154" s="2916"/>
      <c r="AI154" s="2682"/>
    </row>
    <row r="155" ht="21.0" customHeight="1">
      <c r="A155" s="2270"/>
      <c r="B155" s="2933"/>
      <c r="C155" s="2961"/>
      <c r="D155" s="2935"/>
      <c r="E155" s="2964" t="s">
        <v>277</v>
      </c>
      <c r="F155" s="2965"/>
      <c r="G155" s="2966"/>
      <c r="H155" s="2967" t="str">
        <f>IMAGE("https://raw.githubusercontent.com/msikma/pokesprite/master/misc/types/gen8/electric.png",4,20,20)</f>
        <v/>
      </c>
      <c r="I155" s="2940"/>
      <c r="J155" s="2964" t="s">
        <v>903</v>
      </c>
      <c r="K155" s="2965"/>
      <c r="L155" s="2966"/>
      <c r="M155" s="2967" t="str">
        <f>IMAGE("https://raw.githubusercontent.com/msikma/pokesprite/master/misc/types/gen8/fire.png",4,20,20)</f>
        <v/>
      </c>
      <c r="N155" s="2940"/>
      <c r="O155" s="2964" t="s">
        <v>249</v>
      </c>
      <c r="P155" s="2965"/>
      <c r="Q155" s="2966"/>
      <c r="R155" s="2967" t="str">
        <f>IMAGE("https://raw.githubusercontent.com/msikma/pokesprite/master/misc/types/gen8/electric.png",4,20,20)</f>
        <v/>
      </c>
      <c r="S155" s="2940"/>
      <c r="T155" s="2964" t="s">
        <v>736</v>
      </c>
      <c r="U155" s="2965"/>
      <c r="V155" s="2966"/>
      <c r="W155" s="2967" t="str">
        <f>IMAGE("https://raw.githubusercontent.com/msikma/pokesprite/master/misc/types/gen8/fighting.png",4,20,20)</f>
        <v/>
      </c>
      <c r="X155" s="2940"/>
      <c r="Y155" s="2964" t="s">
        <v>463</v>
      </c>
      <c r="Z155" s="2965"/>
      <c r="AA155" s="2966"/>
      <c r="AB155" s="2967" t="str">
        <f>IMAGE("https://raw.githubusercontent.com/msikma/pokesprite/master/misc/types/gen8/fighting.png",4,20,20)</f>
        <v/>
      </c>
      <c r="AC155" s="2940"/>
      <c r="AD155" s="2964" t="s">
        <v>735</v>
      </c>
      <c r="AE155" s="2965"/>
      <c r="AF155" s="2966"/>
      <c r="AG155" s="2967" t="str">
        <f>IMAGE("https://raw.githubusercontent.com/msikma/pokesprite/master/misc/types/gen8/water.png",4,20,20)</f>
        <v/>
      </c>
      <c r="AH155" s="2916"/>
      <c r="AI155" s="2682"/>
    </row>
    <row r="156" ht="3.0" customHeight="1">
      <c r="A156" s="2745"/>
      <c r="B156" s="2968"/>
      <c r="C156" s="2969"/>
      <c r="D156" s="2970"/>
      <c r="E156" s="2971"/>
      <c r="F156" s="2971"/>
      <c r="G156" s="2971"/>
      <c r="H156" s="2971"/>
      <c r="I156" s="2970"/>
      <c r="J156" s="2971"/>
      <c r="K156" s="2971"/>
      <c r="L156" s="2971"/>
      <c r="M156" s="2971"/>
      <c r="N156" s="2970"/>
      <c r="O156" s="2971"/>
      <c r="P156" s="2971"/>
      <c r="Q156" s="2971"/>
      <c r="R156" s="2971"/>
      <c r="S156" s="2970"/>
      <c r="T156" s="2971"/>
      <c r="U156" s="2971"/>
      <c r="V156" s="2971"/>
      <c r="W156" s="2972"/>
      <c r="X156" s="2970"/>
      <c r="Y156" s="2973"/>
      <c r="Z156" s="2974"/>
      <c r="AA156" s="2974"/>
      <c r="AB156" s="2975"/>
      <c r="AC156" s="2970"/>
      <c r="AD156" s="2976"/>
      <c r="AE156" s="2976"/>
      <c r="AF156" s="2976"/>
      <c r="AG156" s="2975"/>
      <c r="AH156" s="2977"/>
      <c r="AI156" s="2754"/>
    </row>
    <row r="157" ht="16.5" customHeight="1">
      <c r="A157" s="2755"/>
      <c r="B157" s="2978"/>
      <c r="C157" s="2969"/>
      <c r="D157" s="2979"/>
      <c r="E157" s="2980" t="s">
        <v>190</v>
      </c>
      <c r="F157" s="381"/>
      <c r="G157" s="382"/>
      <c r="H157" s="2981" t="s">
        <v>191</v>
      </c>
      <c r="I157" s="2982"/>
      <c r="J157" s="2980" t="s">
        <v>190</v>
      </c>
      <c r="K157" s="381"/>
      <c r="L157" s="382"/>
      <c r="M157" s="2981" t="s">
        <v>191</v>
      </c>
      <c r="N157" s="2982"/>
      <c r="O157" s="2980" t="s">
        <v>190</v>
      </c>
      <c r="P157" s="381"/>
      <c r="Q157" s="382"/>
      <c r="R157" s="2981" t="s">
        <v>191</v>
      </c>
      <c r="S157" s="2982"/>
      <c r="T157" s="2980" t="s">
        <v>190</v>
      </c>
      <c r="U157" s="381"/>
      <c r="V157" s="382"/>
      <c r="W157" s="2981" t="s">
        <v>191</v>
      </c>
      <c r="X157" s="2982"/>
      <c r="Y157" s="2980" t="s">
        <v>190</v>
      </c>
      <c r="Z157" s="381"/>
      <c r="AA157" s="382"/>
      <c r="AB157" s="2981" t="s">
        <v>191</v>
      </c>
      <c r="AC157" s="2982"/>
      <c r="AD157" s="2980" t="s">
        <v>190</v>
      </c>
      <c r="AE157" s="381"/>
      <c r="AF157" s="382"/>
      <c r="AG157" s="2981" t="s">
        <v>191</v>
      </c>
      <c r="AH157" s="2983"/>
      <c r="AI157" s="2499"/>
    </row>
    <row r="158" ht="16.5" customHeight="1">
      <c r="A158" s="2755"/>
      <c r="B158" s="2978"/>
      <c r="C158" s="2969"/>
      <c r="D158" s="2979"/>
      <c r="E158" s="2984" t="s">
        <v>192</v>
      </c>
      <c r="F158" s="2985">
        <f t="array" ref="F158">IFERROR(VLOOKUP(E145,Dex!$B$3:$N330,8,FALSE),"")</f>
        <v>81</v>
      </c>
      <c r="G158" s="2986" t="str">
        <f t="array" ref="G158">IFERROR(VLOOKUP(F158,Dex!$P$22:$Q$276,2,FALSE),"")</f>
        <v/>
      </c>
      <c r="H158" s="2987"/>
      <c r="I158" s="2982"/>
      <c r="J158" s="2984" t="s">
        <v>192</v>
      </c>
      <c r="K158" s="2985">
        <f t="array" ref="K158">IFERROR(VLOOKUP(J145,Dex!$B$3:$N330,8,FALSE),"")</f>
        <v>100</v>
      </c>
      <c r="L158" s="2986" t="str">
        <f t="array" ref="L158">IFERROR(VLOOKUP(K158,Dex!$P$22:$Q$276,2,FALSE),"")</f>
        <v/>
      </c>
      <c r="M158" s="2987"/>
      <c r="N158" s="2982"/>
      <c r="O158" s="2984" t="s">
        <v>192</v>
      </c>
      <c r="P158" s="2985">
        <f t="array" ref="P158">IFERROR(VLOOKUP(O145,Dex!$B$3:$N330,8,FALSE),"")</f>
        <v>76</v>
      </c>
      <c r="Q158" s="2986" t="str">
        <f t="array" ref="Q158">IFERROR(VLOOKUP(P158,Dex!$P$22:$Q$276,2,FALSE),"")</f>
        <v/>
      </c>
      <c r="R158" s="2987"/>
      <c r="S158" s="2982"/>
      <c r="T158" s="2984" t="s">
        <v>192</v>
      </c>
      <c r="U158" s="2985">
        <f t="array" ref="U158">IFERROR(VLOOKUP(T145,Dex!$B$3:$N330,8,FALSE),"")</f>
        <v>105</v>
      </c>
      <c r="V158" s="2986" t="str">
        <f t="array" ref="V158">IFERROR(VLOOKUP(U158,Dex!$P$22:$Q$276,2,FALSE),"")</f>
        <v/>
      </c>
      <c r="W158" s="2987"/>
      <c r="X158" s="2982"/>
      <c r="Y158" s="2984" t="s">
        <v>192</v>
      </c>
      <c r="Z158" s="2985">
        <f t="array" ref="Z158">IFERROR(VLOOKUP(Y145,Dex!$B$3:$N330,8,FALSE),"")</f>
        <v>70</v>
      </c>
      <c r="AA158" s="2986" t="str">
        <f t="array" ref="AA158">IFERROR(VLOOKUP(Z158,Dex!$P$22:$Q$276,2,FALSE),"")</f>
        <v/>
      </c>
      <c r="AB158" s="2987">
        <v>252.0</v>
      </c>
      <c r="AC158" s="2982"/>
      <c r="AD158" s="2984" t="s">
        <v>192</v>
      </c>
      <c r="AE158" s="2985">
        <f t="array" ref="AE158">IFERROR(VLOOKUP(AD145,Dex!$B$3:$N330,8,FALSE),"")</f>
        <v>95</v>
      </c>
      <c r="AF158" s="2986" t="str">
        <f t="array" ref="AF158">IFERROR(VLOOKUP(AE158,Dex!$P$22:$Q$276,2,FALSE),"")</f>
        <v/>
      </c>
      <c r="AG158" s="2987"/>
      <c r="AH158" s="2983"/>
      <c r="AI158" s="2499"/>
    </row>
    <row r="159" ht="16.5" customHeight="1">
      <c r="A159" s="2755"/>
      <c r="B159" s="2978"/>
      <c r="C159" s="2969"/>
      <c r="D159" s="2979"/>
      <c r="E159" s="2988" t="s">
        <v>193</v>
      </c>
      <c r="F159" s="2989">
        <f t="array" ref="F159">IFERROR(VLOOKUP(E145,Dex!$B$3:$N330,9,FALSE),"")</f>
        <v>102</v>
      </c>
      <c r="G159" s="2990" t="str">
        <f t="array" ref="G159">IFERROR(VLOOKUP(F159,Dex!$P$22:$Q$276,2,FALSE),"")</f>
        <v/>
      </c>
      <c r="H159" s="2991"/>
      <c r="I159" s="2982"/>
      <c r="J159" s="2988" t="s">
        <v>193</v>
      </c>
      <c r="K159" s="2989">
        <f t="array" ref="K159">IFERROR(VLOOKUP(J145,Dex!$B$3:$N330,9,FALSE),"")</f>
        <v>125</v>
      </c>
      <c r="L159" s="2990" t="str">
        <f t="array" ref="L159">IFERROR(VLOOKUP(K159,Dex!$P$22:$Q$276,2,FALSE),"")</f>
        <v/>
      </c>
      <c r="M159" s="2991">
        <v>252.0</v>
      </c>
      <c r="N159" s="2982"/>
      <c r="O159" s="2988" t="s">
        <v>193</v>
      </c>
      <c r="P159" s="2989">
        <f t="array" ref="P159">IFERROR(VLOOKUP(O145,Dex!$B$3:$N330,9,FALSE),"")</f>
        <v>110</v>
      </c>
      <c r="Q159" s="2990" t="str">
        <f t="array" ref="Q159">IFERROR(VLOOKUP(P159,Dex!$P$22:$Q$276,2,FALSE),"")</f>
        <v/>
      </c>
      <c r="R159" s="2991">
        <v>252.0</v>
      </c>
      <c r="S159" s="2982"/>
      <c r="T159" s="2988" t="s">
        <v>193</v>
      </c>
      <c r="U159" s="2989">
        <f t="array" ref="U159">IFERROR(VLOOKUP(T145,Dex!$B$3:$N330,9,FALSE),"")</f>
        <v>125</v>
      </c>
      <c r="V159" s="2990" t="str">
        <f t="array" ref="V159">IFERROR(VLOOKUP(U159,Dex!$P$22:$Q$276,2,FALSE),"")</f>
        <v/>
      </c>
      <c r="W159" s="2991">
        <v>252.0</v>
      </c>
      <c r="X159" s="2982"/>
      <c r="Y159" s="2988" t="s">
        <v>193</v>
      </c>
      <c r="Z159" s="2989">
        <f t="array" ref="Z159">IFERROR(VLOOKUP(Y145,Dex!$B$3:$N330,9,FALSE),"")</f>
        <v>85</v>
      </c>
      <c r="AA159" s="2990" t="str">
        <f t="array" ref="AA159">IFERROR(VLOOKUP(Z159,Dex!$P$22:$Q$276,2,FALSE),"")</f>
        <v/>
      </c>
      <c r="AB159" s="2991"/>
      <c r="AC159" s="2982"/>
      <c r="AD159" s="2988" t="s">
        <v>193</v>
      </c>
      <c r="AE159" s="2989">
        <f t="array" ref="AE159">IFERROR(VLOOKUP(AD145,Dex!$B$3:$N330,9,FALSE),"")</f>
        <v>102</v>
      </c>
      <c r="AF159" s="2990" t="str">
        <f t="array" ref="AF159">IFERROR(VLOOKUP(AE159,Dex!$P$22:$Q$276,2,FALSE),"")</f>
        <v/>
      </c>
      <c r="AG159" s="2991">
        <v>252.0</v>
      </c>
      <c r="AH159" s="2983"/>
      <c r="AI159" s="2499"/>
    </row>
    <row r="160" ht="16.5" customHeight="1">
      <c r="A160" s="2755"/>
      <c r="B160" s="2978"/>
      <c r="C160" s="2969"/>
      <c r="D160" s="2979"/>
      <c r="E160" s="2988" t="s">
        <v>194</v>
      </c>
      <c r="F160" s="2989">
        <f t="array" ref="F160">IFERROR(VLOOKUP(E145,Dex!$B$3:$N330,10,FALSE),"")</f>
        <v>77</v>
      </c>
      <c r="G160" s="2990" t="str">
        <f t="array" ref="G160">IFERROR(VLOOKUP(F160,Dex!$P$22:$Q$276,2,FALSE),"")</f>
        <v/>
      </c>
      <c r="H160" s="2991">
        <v>4.0</v>
      </c>
      <c r="I160" s="2982"/>
      <c r="J160" s="2988" t="s">
        <v>194</v>
      </c>
      <c r="K160" s="2989">
        <f t="array" ref="K160">IFERROR(VLOOKUP(J145,Dex!$B$3:$N330,10,FALSE),"")</f>
        <v>52</v>
      </c>
      <c r="L160" s="2990" t="str">
        <f t="array" ref="L160">IFERROR(VLOOKUP(K160,Dex!$P$22:$Q$276,2,FALSE),"")</f>
        <v/>
      </c>
      <c r="M160" s="2991">
        <v>4.0</v>
      </c>
      <c r="N160" s="2982"/>
      <c r="O160" s="2988" t="s">
        <v>194</v>
      </c>
      <c r="P160" s="2989">
        <f t="array" ref="P160">IFERROR(VLOOKUP(O145,Dex!$B$3:$N330,10,FALSE),"")</f>
        <v>71</v>
      </c>
      <c r="Q160" s="2990" t="str">
        <f t="array" ref="Q160">IFERROR(VLOOKUP(P160,Dex!$P$22:$Q$276,2,FALSE),"")</f>
        <v/>
      </c>
      <c r="R160" s="2991">
        <v>4.0</v>
      </c>
      <c r="S160" s="2982"/>
      <c r="T160" s="2988" t="s">
        <v>194</v>
      </c>
      <c r="U160" s="2989">
        <f t="array" ref="U160">IFERROR(VLOOKUP(T145,Dex!$B$3:$N330,10,FALSE),"")</f>
        <v>100</v>
      </c>
      <c r="V160" s="2990" t="str">
        <f t="array" ref="V160">IFERROR(VLOOKUP(U160,Dex!$P$22:$Q$276,2,FALSE),"")</f>
        <v/>
      </c>
      <c r="W160" s="2991">
        <v>4.0</v>
      </c>
      <c r="X160" s="2982"/>
      <c r="Y160" s="2988" t="s">
        <v>194</v>
      </c>
      <c r="Z160" s="2989">
        <f t="array" ref="Z160">IFERROR(VLOOKUP(Y145,Dex!$B$3:$N330,10,FALSE),"")</f>
        <v>145</v>
      </c>
      <c r="AA160" s="2990" t="str">
        <f t="array" ref="AA160">IFERROR(VLOOKUP(Z160,Dex!$P$22:$Q$276,2,FALSE),"")</f>
        <v/>
      </c>
      <c r="AB160" s="2991">
        <v>252.0</v>
      </c>
      <c r="AC160" s="2982"/>
      <c r="AD160" s="2988" t="s">
        <v>194</v>
      </c>
      <c r="AE160" s="2989">
        <f t="array" ref="AE160">IFERROR(VLOOKUP(AD145,Dex!$B$3:$N330,10,FALSE),"")</f>
        <v>83</v>
      </c>
      <c r="AF160" s="2990" t="str">
        <f t="array" ref="AF160">IFERROR(VLOOKUP(AE160,Dex!$P$22:$Q$276,2,FALSE),"")</f>
        <v/>
      </c>
      <c r="AG160" s="2991">
        <v>4.0</v>
      </c>
      <c r="AH160" s="2983"/>
      <c r="AI160" s="2499"/>
    </row>
    <row r="161" ht="16.5" customHeight="1">
      <c r="A161" s="2755"/>
      <c r="B161" s="2978"/>
      <c r="C161" s="2969"/>
      <c r="D161" s="2979"/>
      <c r="E161" s="2988" t="s">
        <v>195</v>
      </c>
      <c r="F161" s="2989">
        <f t="array" ref="F161">IFERROR(VLOOKUP(E145,Dex!$B$3:$N330,11,FALSE),"")</f>
        <v>85</v>
      </c>
      <c r="G161" s="2990" t="str">
        <f t="array" ref="G161">IFERROR(VLOOKUP(F161,Dex!$P$22:$Q$276,2,FALSE),"")</f>
        <v/>
      </c>
      <c r="H161" s="2991">
        <v>252.0</v>
      </c>
      <c r="I161" s="2982"/>
      <c r="J161" s="2988" t="s">
        <v>195</v>
      </c>
      <c r="K161" s="2989">
        <f t="array" ref="K161">IFERROR(VLOOKUP(J145,Dex!$B$3:$N330,11,FALSE),"")</f>
        <v>105</v>
      </c>
      <c r="L161" s="2990" t="str">
        <f t="array" ref="L161">IFERROR(VLOOKUP(K161,Dex!$P$22:$Q$276,2,FALSE),"")</f>
        <v/>
      </c>
      <c r="M161" s="2991"/>
      <c r="N161" s="2982"/>
      <c r="O161" s="2988" t="s">
        <v>195</v>
      </c>
      <c r="P161" s="2989">
        <f t="array" ref="P161">IFERROR(VLOOKUP(O145,Dex!$B$3:$N330,11,FALSE),"")</f>
        <v>110</v>
      </c>
      <c r="Q161" s="2990" t="str">
        <f t="array" ref="Q161">IFERROR(VLOOKUP(P161,Dex!$P$22:$Q$276,2,FALSE),"")</f>
        <v/>
      </c>
      <c r="R161" s="2991"/>
      <c r="S161" s="2982"/>
      <c r="T161" s="2988" t="s">
        <v>195</v>
      </c>
      <c r="U161" s="2989">
        <f t="array" ref="U161">IFERROR(VLOOKUP(T145,Dex!$B$3:$N330,11,FALSE),"")</f>
        <v>60</v>
      </c>
      <c r="V161" s="2990" t="str">
        <f t="array" ref="V161">IFERROR(VLOOKUP(U161,Dex!$P$22:$Q$276,2,FALSE),"")</f>
        <v/>
      </c>
      <c r="W161" s="2991"/>
      <c r="X161" s="2982"/>
      <c r="Y161" s="2988" t="s">
        <v>195</v>
      </c>
      <c r="Z161" s="2989">
        <f t="array" ref="Z161">IFERROR(VLOOKUP(Y145,Dex!$B$3:$N330,11,FALSE),"")</f>
        <v>60</v>
      </c>
      <c r="AA161" s="2990" t="str">
        <f t="array" ref="AA161">IFERROR(VLOOKUP(Z161,Dex!$P$22:$Q$276,2,FALSE),"")</f>
        <v/>
      </c>
      <c r="AB161" s="2991"/>
      <c r="AC161" s="2982"/>
      <c r="AD161" s="2988" t="s">
        <v>195</v>
      </c>
      <c r="AE161" s="2989">
        <f t="array" ref="AE161">IFERROR(VLOOKUP(AD145,Dex!$B$3:$N330,11,FALSE),"")</f>
        <v>78</v>
      </c>
      <c r="AF161" s="2990" t="str">
        <f t="array" ref="AF161">IFERROR(VLOOKUP(AE161,Dex!$P$22:$Q$276,2,FALSE),"")</f>
        <v/>
      </c>
      <c r="AG161" s="2991"/>
      <c r="AH161" s="2983"/>
      <c r="AI161" s="2499"/>
    </row>
    <row r="162" ht="16.5" customHeight="1">
      <c r="A162" s="2755"/>
      <c r="B162" s="2978"/>
      <c r="C162" s="2969"/>
      <c r="D162" s="2979"/>
      <c r="E162" s="2988" t="s">
        <v>196</v>
      </c>
      <c r="F162" s="2989">
        <f t="array" ref="F162">IFERROR(VLOOKUP(E145,Dex!$B$3:$N330,12,FALSE),"")</f>
        <v>75</v>
      </c>
      <c r="G162" s="2990" t="str">
        <f t="array" ref="G162">IFERROR(VLOOKUP(F162,Dex!$P$22:$Q$276,2,FALSE),"")</f>
        <v/>
      </c>
      <c r="H162" s="2991"/>
      <c r="I162" s="2982"/>
      <c r="J162" s="2988" t="s">
        <v>196</v>
      </c>
      <c r="K162" s="2989">
        <f t="array" ref="K162">IFERROR(VLOOKUP(J145,Dex!$B$3:$N330,12,FALSE),"")</f>
        <v>52</v>
      </c>
      <c r="L162" s="2990" t="str">
        <f t="array" ref="L162">IFERROR(VLOOKUP(K162,Dex!$P$22:$Q$276,2,FALSE),"")</f>
        <v/>
      </c>
      <c r="M162" s="2991"/>
      <c r="N162" s="2982"/>
      <c r="O162" s="2988" t="s">
        <v>196</v>
      </c>
      <c r="P162" s="2989">
        <f t="array" ref="P162">IFERROR(VLOOKUP(O145,Dex!$B$3:$N330,12,FALSE),"")</f>
        <v>71</v>
      </c>
      <c r="Q162" s="2990" t="str">
        <f t="array" ref="Q162">IFERROR(VLOOKUP(P162,Dex!$P$22:$Q$276,2,FALSE),"")</f>
        <v/>
      </c>
      <c r="R162" s="2991"/>
      <c r="S162" s="2982"/>
      <c r="T162" s="2988" t="s">
        <v>196</v>
      </c>
      <c r="U162" s="2989">
        <f t="array" ref="U162">IFERROR(VLOOKUP(T145,Dex!$B$3:$N330,12,FALSE),"")</f>
        <v>100</v>
      </c>
      <c r="V162" s="2990" t="str">
        <f t="array" ref="V162">IFERROR(VLOOKUP(U162,Dex!$P$22:$Q$276,2,FALSE),"")</f>
        <v/>
      </c>
      <c r="W162" s="2991"/>
      <c r="X162" s="2982"/>
      <c r="Y162" s="2988" t="s">
        <v>196</v>
      </c>
      <c r="Z162" s="2989">
        <f t="array" ref="Z162">IFERROR(VLOOKUP(Y145,Dex!$B$3:$N330,12,FALSE),"")</f>
        <v>55</v>
      </c>
      <c r="AA162" s="2990" t="str">
        <f t="array" ref="AA162">IFERROR(VLOOKUP(Z162,Dex!$P$22:$Q$276,2,FALSE),"")</f>
        <v/>
      </c>
      <c r="AB162" s="2991">
        <v>4.0</v>
      </c>
      <c r="AC162" s="2982"/>
      <c r="AD162" s="2988" t="s">
        <v>196</v>
      </c>
      <c r="AE162" s="2989">
        <f t="array" ref="AE162">IFERROR(VLOOKUP(AD145,Dex!$B$3:$N330,12,FALSE),"")</f>
        <v>75</v>
      </c>
      <c r="AF162" s="2990" t="str">
        <f t="array" ref="AF162">IFERROR(VLOOKUP(AE162,Dex!$P$22:$Q$276,2,FALSE),"")</f>
        <v/>
      </c>
      <c r="AG162" s="2991"/>
      <c r="AH162" s="2983"/>
      <c r="AI162" s="2499"/>
    </row>
    <row r="163" ht="16.5" customHeight="1">
      <c r="A163" s="2755"/>
      <c r="B163" s="2978"/>
      <c r="C163" s="2969"/>
      <c r="D163" s="2979"/>
      <c r="E163" s="2992" t="s">
        <v>197</v>
      </c>
      <c r="F163" s="2993">
        <f t="array" ref="F163">IFERROR(VLOOKUP(E145,Dex!$B$3:$N330,13,FALSE),"")</f>
        <v>85</v>
      </c>
      <c r="G163" s="2994" t="str">
        <f t="array" ref="G163">IFERROR(VLOOKUP(F163,Dex!$P$22:$Q$276,2,FALSE),"")</f>
        <v/>
      </c>
      <c r="H163" s="2995">
        <v>252.0</v>
      </c>
      <c r="I163" s="2982"/>
      <c r="J163" s="2992" t="s">
        <v>197</v>
      </c>
      <c r="K163" s="2993">
        <f t="array" ref="K163">IFERROR(VLOOKUP(J145,Dex!$B$3:$N330,13,FALSE),"")</f>
        <v>96</v>
      </c>
      <c r="L163" s="2994" t="str">
        <f t="array" ref="L163">IFERROR(VLOOKUP(K163,Dex!$P$22:$Q$276,2,FALSE),"")</f>
        <v/>
      </c>
      <c r="M163" s="2995">
        <v>252.0</v>
      </c>
      <c r="N163" s="2982"/>
      <c r="O163" s="2992" t="s">
        <v>197</v>
      </c>
      <c r="P163" s="2993">
        <f t="array" ref="P163">IFERROR(VLOOKUP(O145,Dex!$B$3:$N330,13,FALSE),"")</f>
        <v>113</v>
      </c>
      <c r="Q163" s="2994" t="str">
        <f t="array" ref="Q163">IFERROR(VLOOKUP(P163,Dex!$P$22:$Q$276,2,FALSE),"")</f>
        <v/>
      </c>
      <c r="R163" s="2995">
        <v>252.0</v>
      </c>
      <c r="S163" s="2982"/>
      <c r="T163" s="2992" t="s">
        <v>197</v>
      </c>
      <c r="U163" s="2993">
        <f t="array" ref="U163">IFERROR(VLOOKUP(T145,Dex!$B$3:$N330,13,FALSE),"")</f>
        <v>100</v>
      </c>
      <c r="V163" s="2994" t="str">
        <f t="array" ref="V163">IFERROR(VLOOKUP(U163,Dex!$P$22:$Q$276,2,FALSE),"")</f>
        <v/>
      </c>
      <c r="W163" s="2995">
        <v>252.0</v>
      </c>
      <c r="X163" s="2982"/>
      <c r="Y163" s="2992" t="s">
        <v>197</v>
      </c>
      <c r="Z163" s="2993">
        <f t="array" ref="Z163">IFERROR(VLOOKUP(Y145,Dex!$B$3:$N330,13,FALSE),"")</f>
        <v>65</v>
      </c>
      <c r="AA163" s="2994" t="str">
        <f t="array" ref="AA163">IFERROR(VLOOKUP(Z163,Dex!$P$22:$Q$276,2,FALSE),"")</f>
        <v/>
      </c>
      <c r="AB163" s="2995"/>
      <c r="AC163" s="2982"/>
      <c r="AD163" s="2992" t="s">
        <v>197</v>
      </c>
      <c r="AE163" s="2993">
        <f t="array" ref="AE163">IFERROR(VLOOKUP(AD145,Dex!$B$3:$N330,13,FALSE),"")</f>
        <v>70</v>
      </c>
      <c r="AF163" s="2994" t="str">
        <f t="array" ref="AF163">IFERROR(VLOOKUP(AE163,Dex!$P$22:$Q$276,2,FALSE),"")</f>
        <v/>
      </c>
      <c r="AG163" s="2995">
        <v>252.0</v>
      </c>
      <c r="AH163" s="2983"/>
      <c r="AI163" s="2499"/>
    </row>
    <row r="164" ht="16.5" customHeight="1">
      <c r="A164" s="2755"/>
      <c r="B164" s="2978"/>
      <c r="C164" s="2969"/>
      <c r="D164" s="2979"/>
      <c r="E164" s="2996" t="s">
        <v>198</v>
      </c>
      <c r="F164" s="405"/>
      <c r="G164" s="406"/>
      <c r="H164" s="2997">
        <v>135.0</v>
      </c>
      <c r="I164" s="2982"/>
      <c r="J164" s="2996" t="s">
        <v>198</v>
      </c>
      <c r="K164" s="405"/>
      <c r="L164" s="406"/>
      <c r="M164" s="2997">
        <v>146.0</v>
      </c>
      <c r="N164" s="2982"/>
      <c r="O164" s="2996" t="s">
        <v>198</v>
      </c>
      <c r="P164" s="405"/>
      <c r="Q164" s="406"/>
      <c r="R164" s="2997">
        <v>167.0</v>
      </c>
      <c r="S164" s="2982"/>
      <c r="T164" s="2996" t="s">
        <v>198</v>
      </c>
      <c r="U164" s="405"/>
      <c r="V164" s="406"/>
      <c r="W164" s="2997">
        <v>154.0</v>
      </c>
      <c r="X164" s="2982"/>
      <c r="Y164" s="2996" t="s">
        <v>198</v>
      </c>
      <c r="Z164" s="405"/>
      <c r="AA164" s="406"/>
      <c r="AB164" s="2997">
        <v>80.0</v>
      </c>
      <c r="AC164" s="2982"/>
      <c r="AD164" s="2996" t="s">
        <v>198</v>
      </c>
      <c r="AE164" s="405"/>
      <c r="AF164" s="406"/>
      <c r="AG164" s="2997">
        <v>123.0</v>
      </c>
      <c r="AH164" s="2983"/>
      <c r="AI164" s="2499"/>
    </row>
    <row r="165" ht="15.0" customHeight="1">
      <c r="A165" s="2270"/>
      <c r="B165" s="2998"/>
      <c r="C165" s="2999"/>
      <c r="D165" s="3000"/>
      <c r="E165" s="3001"/>
      <c r="F165" s="3001"/>
      <c r="G165" s="3001"/>
      <c r="H165" s="3001"/>
      <c r="I165" s="3000"/>
      <c r="J165" s="3001"/>
      <c r="K165" s="3001"/>
      <c r="L165" s="3001"/>
      <c r="M165" s="3001"/>
      <c r="N165" s="3000"/>
      <c r="O165" s="3001"/>
      <c r="P165" s="3001"/>
      <c r="Q165" s="3001"/>
      <c r="R165" s="3001"/>
      <c r="S165" s="3000"/>
      <c r="T165" s="3001"/>
      <c r="U165" s="3001"/>
      <c r="V165" s="3001"/>
      <c r="W165" s="3001"/>
      <c r="X165" s="3000"/>
      <c r="Y165" s="3001"/>
      <c r="Z165" s="3001"/>
      <c r="AA165" s="3001"/>
      <c r="AB165" s="3001"/>
      <c r="AC165" s="3000"/>
      <c r="AD165" s="3001"/>
      <c r="AE165" s="3001"/>
      <c r="AF165" s="3001"/>
      <c r="AG165" s="3001"/>
      <c r="AH165" s="3002"/>
      <c r="AI165" s="2682"/>
    </row>
    <row r="166" ht="15.0" customHeight="1">
      <c r="A166" s="2270"/>
      <c r="B166" s="3003"/>
      <c r="C166" s="3004"/>
      <c r="D166" s="3005"/>
      <c r="E166" s="3005"/>
      <c r="F166" s="3005"/>
      <c r="G166" s="3005"/>
      <c r="H166" s="3005"/>
      <c r="I166" s="3005"/>
      <c r="J166" s="3005"/>
      <c r="K166" s="3005"/>
      <c r="L166" s="3005"/>
      <c r="M166" s="3005"/>
      <c r="N166" s="3005"/>
      <c r="O166" s="3005"/>
      <c r="P166" s="3005"/>
      <c r="Q166" s="3005"/>
      <c r="R166" s="3005"/>
      <c r="S166" s="3005"/>
      <c r="T166" s="3005"/>
      <c r="U166" s="3005"/>
      <c r="V166" s="3005"/>
      <c r="W166" s="3005"/>
      <c r="X166" s="3005"/>
      <c r="Y166" s="3005"/>
      <c r="Z166" s="3005"/>
      <c r="AA166" s="3005"/>
      <c r="AB166" s="3005"/>
      <c r="AC166" s="3005"/>
      <c r="AD166" s="3005"/>
      <c r="AE166" s="3005"/>
      <c r="AF166" s="3005"/>
      <c r="AG166" s="3005"/>
      <c r="AH166" s="3006"/>
      <c r="AI166" s="2682"/>
    </row>
    <row r="167">
      <c r="A167" s="2270"/>
      <c r="B167" s="3007"/>
      <c r="C167" s="3008"/>
      <c r="D167" s="3009"/>
      <c r="E167" s="3010" t="s">
        <v>904</v>
      </c>
      <c r="F167" s="3011"/>
      <c r="G167" s="3011"/>
      <c r="H167" s="3011"/>
      <c r="I167" s="3011"/>
      <c r="J167" s="3011"/>
      <c r="K167" s="3011"/>
      <c r="L167" s="3011"/>
      <c r="M167" s="3011"/>
      <c r="N167" s="3011"/>
      <c r="O167" s="3011"/>
      <c r="P167" s="3011"/>
      <c r="Q167" s="3011"/>
      <c r="R167" s="3012"/>
      <c r="S167" s="3013"/>
      <c r="T167" s="3013"/>
      <c r="U167" s="3013"/>
      <c r="V167" s="3013"/>
      <c r="W167" s="3013"/>
      <c r="X167" s="3013"/>
      <c r="Y167" s="3013"/>
      <c r="Z167" s="3013"/>
      <c r="AA167" s="3013"/>
      <c r="AB167" s="3013"/>
      <c r="AC167" s="3013"/>
      <c r="AD167" s="3013"/>
      <c r="AE167" s="3013"/>
      <c r="AF167" s="3013"/>
      <c r="AG167" s="3013"/>
      <c r="AH167" s="3014"/>
      <c r="AI167" s="2682"/>
    </row>
    <row r="168" ht="96.75" customHeight="1">
      <c r="A168" s="2270"/>
      <c r="B168" s="3015"/>
      <c r="C168" s="3016" t="str">
        <f>IMAGE("https://i.ibb.co/Ryc6bMZ/Archer-Ariana.png",2)</f>
        <v/>
      </c>
      <c r="D168" s="3017"/>
      <c r="E168" s="3018" t="str">
        <f t="array" ref="E168">IFERROR(VLOOKUP(E169,Dex!$B$3:$G330,3,FALSE),"")</f>
        <v/>
      </c>
      <c r="F168" s="1830"/>
      <c r="G168" s="1830"/>
      <c r="H168" s="1831"/>
      <c r="I168" s="3019"/>
      <c r="J168" s="3018" t="str">
        <f t="array" ref="J168">IFERROR(VLOOKUP(J169,Dex!$B$3:$G330,3,FALSE),"")</f>
        <v/>
      </c>
      <c r="K168" s="1830"/>
      <c r="L168" s="1830"/>
      <c r="M168" s="1831"/>
      <c r="N168" s="3019"/>
      <c r="O168" s="3018" t="str">
        <f t="array" ref="O168">IFERROR(VLOOKUP(O169,Dex!$B$3:$G330,3,FALSE),"")</f>
        <v/>
      </c>
      <c r="P168" s="1830"/>
      <c r="Q168" s="1830"/>
      <c r="R168" s="1831"/>
      <c r="S168" s="3019"/>
      <c r="T168" s="3020" t="str">
        <f t="array" ref="T168">IFERROR(VLOOKUP(T169,Dex!$B$3:$G330,3,FALSE),"")</f>
        <v/>
      </c>
      <c r="U168" s="1830"/>
      <c r="V168" s="1830"/>
      <c r="W168" s="1831"/>
      <c r="X168" s="3019"/>
      <c r="Y168" s="3020" t="str">
        <f t="array" ref="Y168">IFERROR(VLOOKUP(Y169,Dex!$B$3:$G330,3,FALSE),"")</f>
        <v/>
      </c>
      <c r="Z168" s="1830"/>
      <c r="AA168" s="1830"/>
      <c r="AB168" s="1831"/>
      <c r="AC168" s="3019"/>
      <c r="AD168" s="3020" t="str">
        <f t="array" ref="AD168">IFERROR(VLOOKUP(AD169,Dex!$B$3:$G330,3,FALSE),"")</f>
        <v/>
      </c>
      <c r="AE168" s="1830"/>
      <c r="AF168" s="1830"/>
      <c r="AG168" s="1831"/>
      <c r="AH168" s="3021"/>
      <c r="AI168" s="2682"/>
    </row>
    <row r="169" ht="18.75" customHeight="1">
      <c r="A169" s="2297"/>
      <c r="B169" s="3022"/>
      <c r="C169" s="3023" t="s">
        <v>905</v>
      </c>
      <c r="D169" s="3024"/>
      <c r="E169" s="3025" t="s">
        <v>906</v>
      </c>
      <c r="F169" s="3026"/>
      <c r="G169" s="3026"/>
      <c r="H169" s="3027"/>
      <c r="I169" s="1607"/>
      <c r="J169" s="3025" t="s">
        <v>907</v>
      </c>
      <c r="K169" s="3026"/>
      <c r="L169" s="3026"/>
      <c r="M169" s="3027"/>
      <c r="N169" s="1607"/>
      <c r="O169" s="3025" t="s">
        <v>908</v>
      </c>
      <c r="P169" s="3026"/>
      <c r="Q169" s="3026"/>
      <c r="R169" s="3027"/>
      <c r="S169" s="1607"/>
      <c r="T169" s="2696" t="s">
        <v>909</v>
      </c>
      <c r="U169" s="2697"/>
      <c r="V169" s="2697"/>
      <c r="W169" s="2698"/>
      <c r="X169" s="1607"/>
      <c r="Y169" s="2696" t="s">
        <v>910</v>
      </c>
      <c r="Z169" s="2697"/>
      <c r="AA169" s="2697"/>
      <c r="AB169" s="2698"/>
      <c r="AC169" s="1607"/>
      <c r="AD169" s="2696" t="s">
        <v>911</v>
      </c>
      <c r="AE169" s="2697"/>
      <c r="AF169" s="2697"/>
      <c r="AG169" s="2698"/>
      <c r="AH169" s="3028"/>
      <c r="AI169" s="2703"/>
    </row>
    <row r="170">
      <c r="A170" s="2924"/>
      <c r="B170" s="3029"/>
      <c r="C170" s="3030"/>
      <c r="D170" s="3031"/>
      <c r="E170" s="3032">
        <v>54.0</v>
      </c>
      <c r="F170" s="3033"/>
      <c r="G170" s="3033"/>
      <c r="H170" s="3034"/>
      <c r="I170" s="1607"/>
      <c r="J170" s="3032">
        <v>55.0</v>
      </c>
      <c r="K170" s="3033"/>
      <c r="L170" s="3033"/>
      <c r="M170" s="3034"/>
      <c r="N170" s="1607"/>
      <c r="O170" s="3032">
        <v>55.0</v>
      </c>
      <c r="P170" s="3033"/>
      <c r="Q170" s="3033"/>
      <c r="R170" s="3034"/>
      <c r="S170" s="1607"/>
      <c r="T170" s="2707">
        <v>54.0</v>
      </c>
      <c r="U170" s="2708"/>
      <c r="V170" s="2708"/>
      <c r="W170" s="2709"/>
      <c r="X170" s="1607"/>
      <c r="Y170" s="2707">
        <v>55.0</v>
      </c>
      <c r="Z170" s="2708"/>
      <c r="AA170" s="2708"/>
      <c r="AB170" s="2709"/>
      <c r="AC170" s="1607"/>
      <c r="AD170" s="2707">
        <v>55.0</v>
      </c>
      <c r="AE170" s="2708"/>
      <c r="AF170" s="2708"/>
      <c r="AG170" s="2709"/>
      <c r="AH170" s="3035"/>
      <c r="AI170" s="2932"/>
    </row>
    <row r="171" ht="25.5" customHeight="1">
      <c r="A171" s="2270"/>
      <c r="B171" s="3036"/>
      <c r="C171" s="3030"/>
      <c r="D171" s="3037"/>
      <c r="E171" s="3038"/>
      <c r="F171" s="3039" t="str">
        <f t="array" ref="F171">IFERROR(VLOOKUP(E169,Dex!$B$3:$H330,5,FALSE),"")</f>
        <v/>
      </c>
      <c r="G171" s="3040" t="str">
        <f t="array" ref="G171">IFERROR(VLOOKUP(E169,Dex!$B$3:$H330,7,FALSE),"")</f>
        <v/>
      </c>
      <c r="H171" s="3041"/>
      <c r="I171" s="1607"/>
      <c r="J171" s="3038"/>
      <c r="K171" s="3039" t="str">
        <f t="array" ref="K171">IFERROR(VLOOKUP(J169,Dex!$B$3:$H330,5,FALSE),"")</f>
        <v/>
      </c>
      <c r="L171" s="3040" t="str">
        <f t="array" ref="L171">IFERROR(VLOOKUP(J169,Dex!$B$3:$H330,7,FALSE),"")</f>
        <v/>
      </c>
      <c r="M171" s="3041"/>
      <c r="N171" s="1607"/>
      <c r="O171" s="3038"/>
      <c r="P171" s="3039" t="str">
        <f t="array" ref="P171">IFERROR(VLOOKUP(O169,Dex!$B$3:$H330,5,FALSE),"")</f>
        <v/>
      </c>
      <c r="Q171" s="3040" t="str">
        <f t="array" ref="Q171">IFERROR(VLOOKUP(O169,Dex!$B$3:$H330,7,FALSE),"")</f>
        <v/>
      </c>
      <c r="R171" s="3041"/>
      <c r="S171" s="1607"/>
      <c r="T171" s="2715"/>
      <c r="U171" s="2719" t="str">
        <f t="array" ref="U171">IFERROR(VLOOKUP(T169,Dex!$B$3:$H330,5,FALSE),"")</f>
        <v/>
      </c>
      <c r="V171" s="2720"/>
      <c r="W171" s="2718"/>
      <c r="X171" s="1607"/>
      <c r="Y171" s="2715"/>
      <c r="Z171" s="2716" t="str">
        <f t="array" ref="Z171">IFERROR(VLOOKUP(Y169,Dex!$B$3:$H330,5,FALSE),"")</f>
        <v/>
      </c>
      <c r="AA171" s="2717" t="str">
        <f t="array" ref="AA171">IFERROR(VLOOKUP(Y169,Dex!$B$3:$H330,7,FALSE),"")</f>
        <v/>
      </c>
      <c r="AB171" s="2718"/>
      <c r="AC171" s="1607"/>
      <c r="AD171" s="2715"/>
      <c r="AE171" s="2716" t="str">
        <f t="array" ref="AE171">IFERROR(VLOOKUP(AD169,Dex!$B$3:$H330,5,FALSE),"")</f>
        <v/>
      </c>
      <c r="AF171" s="2717" t="str">
        <f t="array" ref="AF171">IFERROR(VLOOKUP(AD169,Dex!$B$3:$H330,7,FALSE),"")</f>
        <v/>
      </c>
      <c r="AG171" s="2718"/>
      <c r="AH171" s="3021"/>
      <c r="AI171" s="2682"/>
    </row>
    <row r="172" ht="2.25" customHeight="1">
      <c r="A172" s="2270"/>
      <c r="B172" s="3036"/>
      <c r="C172" s="3030"/>
      <c r="D172" s="3037"/>
      <c r="E172" s="3042"/>
      <c r="F172" s="3043"/>
      <c r="G172" s="3043"/>
      <c r="H172" s="3044"/>
      <c r="I172" s="1607"/>
      <c r="J172" s="3042"/>
      <c r="K172" s="3043"/>
      <c r="L172" s="3043"/>
      <c r="M172" s="3044"/>
      <c r="N172" s="1607"/>
      <c r="O172" s="3042"/>
      <c r="P172" s="3043"/>
      <c r="Q172" s="3043"/>
      <c r="R172" s="3044"/>
      <c r="S172" s="1607"/>
      <c r="T172" s="2721"/>
      <c r="U172" s="2722"/>
      <c r="V172" s="2722"/>
      <c r="W172" s="2723"/>
      <c r="X172" s="1607"/>
      <c r="Y172" s="2721"/>
      <c r="Z172" s="2722"/>
      <c r="AA172" s="2722"/>
      <c r="AB172" s="2723"/>
      <c r="AC172" s="1607"/>
      <c r="AD172" s="2721"/>
      <c r="AE172" s="2722"/>
      <c r="AF172" s="2722"/>
      <c r="AG172" s="2723"/>
      <c r="AH172" s="3021"/>
      <c r="AI172" s="2682"/>
    </row>
    <row r="173" ht="20.25" customHeight="1">
      <c r="A173" s="2270"/>
      <c r="B173" s="3036"/>
      <c r="C173" s="3045"/>
      <c r="D173" s="3037"/>
      <c r="E173" s="3046" t="s">
        <v>169</v>
      </c>
      <c r="F173" s="3047"/>
      <c r="G173" s="3047"/>
      <c r="H173" s="3048"/>
      <c r="I173" s="1607"/>
      <c r="J173" s="3046" t="s">
        <v>263</v>
      </c>
      <c r="K173" s="3047"/>
      <c r="L173" s="3047"/>
      <c r="M173" s="3048"/>
      <c r="N173" s="1607"/>
      <c r="O173" s="3046" t="s">
        <v>169</v>
      </c>
      <c r="P173" s="3047"/>
      <c r="Q173" s="3047"/>
      <c r="R173" s="3048"/>
      <c r="S173" s="1607"/>
      <c r="T173" s="2726" t="s">
        <v>263</v>
      </c>
      <c r="U173" s="2727"/>
      <c r="V173" s="2727"/>
      <c r="W173" s="2728"/>
      <c r="X173" s="1607"/>
      <c r="Y173" s="2726" t="s">
        <v>205</v>
      </c>
      <c r="Z173" s="2727"/>
      <c r="AA173" s="2727"/>
      <c r="AB173" s="2728"/>
      <c r="AC173" s="1607"/>
      <c r="AD173" s="2726" t="s">
        <v>264</v>
      </c>
      <c r="AE173" s="2727"/>
      <c r="AF173" s="2727"/>
      <c r="AG173" s="2728"/>
      <c r="AH173" s="3021"/>
      <c r="AI173" s="2682"/>
    </row>
    <row r="174">
      <c r="A174" s="2270"/>
      <c r="B174" s="3036"/>
      <c r="C174" s="3049"/>
      <c r="D174" s="3037"/>
      <c r="E174" s="3050" t="s">
        <v>716</v>
      </c>
      <c r="F174" s="3051"/>
      <c r="G174" s="3051"/>
      <c r="H174" s="3052"/>
      <c r="I174" s="1607"/>
      <c r="J174" s="3050" t="s">
        <v>912</v>
      </c>
      <c r="K174" s="3051"/>
      <c r="L174" s="3051"/>
      <c r="M174" s="3052"/>
      <c r="N174" s="1607"/>
      <c r="O174" s="3050" t="s">
        <v>913</v>
      </c>
      <c r="P174" s="3051"/>
      <c r="Q174" s="3051"/>
      <c r="R174" s="3052"/>
      <c r="S174" s="1607"/>
      <c r="T174" s="2730" t="s">
        <v>914</v>
      </c>
      <c r="U174" s="2689"/>
      <c r="V174" s="2689"/>
      <c r="W174" s="2731"/>
      <c r="X174" s="1607"/>
      <c r="Y174" s="2730" t="s">
        <v>915</v>
      </c>
      <c r="Z174" s="2689"/>
      <c r="AA174" s="2689"/>
      <c r="AB174" s="2731"/>
      <c r="AC174" s="1607"/>
      <c r="AD174" s="2730" t="s">
        <v>916</v>
      </c>
      <c r="AE174" s="2689"/>
      <c r="AF174" s="2689"/>
      <c r="AG174" s="2731"/>
      <c r="AH174" s="3021"/>
      <c r="AI174" s="2682"/>
    </row>
    <row r="175" ht="20.25" customHeight="1">
      <c r="A175" s="2270"/>
      <c r="B175" s="3036"/>
      <c r="C175" s="3049"/>
      <c r="D175" s="3037"/>
      <c r="E175" s="3053" t="s">
        <v>213</v>
      </c>
      <c r="F175" s="3054"/>
      <c r="G175" s="3055"/>
      <c r="H175" s="3056" t="str">
        <f>IMAGE("https://raw.githubusercontent.com/msikma/pokesprite/master/items/berry/sitrus.png",3)</f>
        <v/>
      </c>
      <c r="I175" s="1607"/>
      <c r="J175" s="3053" t="s">
        <v>917</v>
      </c>
      <c r="K175" s="3054"/>
      <c r="L175" s="3055"/>
      <c r="M175" s="3056" t="str">
        <f>IMAGE("https://raw.githubusercontent.com/msikma/pokesprite/master/items/hold-item/throat-spray.png",3)</f>
        <v/>
      </c>
      <c r="N175" s="1607"/>
      <c r="O175" s="3053" t="s">
        <v>918</v>
      </c>
      <c r="P175" s="3054"/>
      <c r="Q175" s="3055"/>
      <c r="R175" s="3056" t="str">
        <f>IMAGE("https://raw.githubusercontent.com/msikma/pokesprite/master/items/mega-stone/mawilite.png",3)</f>
        <v/>
      </c>
      <c r="S175" s="1607"/>
      <c r="T175" s="2732" t="s">
        <v>579</v>
      </c>
      <c r="U175" s="2733"/>
      <c r="V175" s="2734"/>
      <c r="W175" s="2735" t="str">
        <f>IMAGE("https://raw.githubusercontent.com/msikma/pokesprite/master/items/berry/colbur.png",3)</f>
        <v/>
      </c>
      <c r="X175" s="1607"/>
      <c r="Y175" s="2732" t="s">
        <v>213</v>
      </c>
      <c r="Z175" s="2733"/>
      <c r="AA175" s="2734"/>
      <c r="AB175" s="2735" t="str">
        <f>IMAGE("https://raw.githubusercontent.com/msikma/pokesprite/master/items/berry/sitrus.png",3)</f>
        <v/>
      </c>
      <c r="AC175" s="1607"/>
      <c r="AD175" s="2732" t="s">
        <v>919</v>
      </c>
      <c r="AE175" s="2733"/>
      <c r="AF175" s="2734"/>
      <c r="AG175" s="2735" t="str">
        <f>IMAGE("https://raw.githubusercontent.com/msikma/pokesprite/master/items/mega-stone/houndoominite.png",3)</f>
        <v/>
      </c>
      <c r="AH175" s="3021"/>
      <c r="AI175" s="2682"/>
    </row>
    <row r="176" ht="20.25" customHeight="1">
      <c r="A176" s="2270"/>
      <c r="B176" s="3036"/>
      <c r="C176" s="3057"/>
      <c r="D176" s="3058"/>
      <c r="E176" s="3046" t="s">
        <v>476</v>
      </c>
      <c r="F176" s="3047"/>
      <c r="G176" s="3059"/>
      <c r="H176" s="3060" t="str">
        <f>IMAGE("https://raw.githubusercontent.com/msikma/pokesprite/master/misc/types/gen8/normal.png",4,20,20)</f>
        <v/>
      </c>
      <c r="I176" s="1607"/>
      <c r="J176" s="3046" t="s">
        <v>311</v>
      </c>
      <c r="K176" s="3047"/>
      <c r="L176" s="3059"/>
      <c r="M176" s="3060" t="str">
        <f t="shared" ref="M176:M177" si="8">IMAGE("https://raw.githubusercontent.com/msikma/pokesprite/master/misc/types/gen8/water.png",4,20,20)</f>
        <v/>
      </c>
      <c r="N176" s="1607"/>
      <c r="O176" s="3046" t="s">
        <v>556</v>
      </c>
      <c r="P176" s="3047"/>
      <c r="Q176" s="3059"/>
      <c r="R176" s="3060" t="str">
        <f>IMAGE("https://raw.githubusercontent.com/msikma/pokesprite/master/misc/types/gen8/fairy.png",4,20,20)</f>
        <v/>
      </c>
      <c r="S176" s="1607"/>
      <c r="T176" s="2726" t="s">
        <v>561</v>
      </c>
      <c r="U176" s="2727"/>
      <c r="V176" s="2736"/>
      <c r="W176" s="2737" t="str">
        <f>IMAGE("https://raw.githubusercontent.com/msikma/pokesprite/master/misc/types/gen8/psychic.png",4,20,20)</f>
        <v/>
      </c>
      <c r="X176" s="1607"/>
      <c r="Y176" s="2726" t="s">
        <v>318</v>
      </c>
      <c r="Z176" s="2727"/>
      <c r="AA176" s="2736"/>
      <c r="AB176" s="2737" t="str">
        <f>IMAGE("https://raw.githubusercontent.com/msikma/pokesprite/master/misc/types/gen8/ghost.png",4,20,20)</f>
        <v/>
      </c>
      <c r="AC176" s="1607"/>
      <c r="AD176" s="2726" t="s">
        <v>903</v>
      </c>
      <c r="AE176" s="2727"/>
      <c r="AF176" s="2736"/>
      <c r="AG176" s="2737" t="str">
        <f>IMAGE("https://raw.githubusercontent.com/msikma/pokesprite/master/misc/types/gen8/fire.png",4,20,20)</f>
        <v/>
      </c>
      <c r="AH176" s="3061"/>
      <c r="AI176" s="2682"/>
    </row>
    <row r="177" ht="20.25" customHeight="1">
      <c r="A177" s="2270"/>
      <c r="B177" s="3036"/>
      <c r="C177" s="3062"/>
      <c r="D177" s="3058"/>
      <c r="E177" s="3050" t="s">
        <v>850</v>
      </c>
      <c r="F177" s="3051"/>
      <c r="G177" s="3063"/>
      <c r="H177" s="3064" t="str">
        <f t="shared" ref="H177:H178" si="9">IMAGE("https://raw.githubusercontent.com/msikma/pokesprite/master/misc/types/gen8/dark.png",4,20,20)</f>
        <v/>
      </c>
      <c r="I177" s="1607"/>
      <c r="J177" s="3050" t="s">
        <v>246</v>
      </c>
      <c r="K177" s="3051"/>
      <c r="L177" s="3063"/>
      <c r="M177" s="3064" t="str">
        <f t="shared" si="8"/>
        <v/>
      </c>
      <c r="N177" s="1607"/>
      <c r="O177" s="3050" t="s">
        <v>541</v>
      </c>
      <c r="P177" s="3051"/>
      <c r="Q177" s="3063"/>
      <c r="R177" s="3064" t="str">
        <f>IMAGE("https://raw.githubusercontent.com/msikma/pokesprite/master/misc/types/gen8/dark.png",4,20,20)</f>
        <v/>
      </c>
      <c r="S177" s="1607"/>
      <c r="T177" s="2730" t="s">
        <v>318</v>
      </c>
      <c r="U177" s="2689"/>
      <c r="V177" s="2690"/>
      <c r="W177" s="2739" t="str">
        <f>IMAGE("https://raw.githubusercontent.com/msikma/pokesprite/master/misc/types/gen8/ghost.png",4,20,20)</f>
        <v/>
      </c>
      <c r="X177" s="1607"/>
      <c r="Y177" s="2730" t="s">
        <v>920</v>
      </c>
      <c r="Z177" s="2689"/>
      <c r="AA177" s="2690"/>
      <c r="AB177" s="2739" t="str">
        <f>IMAGE("https://raw.githubusercontent.com/msikma/pokesprite/master/misc/types/gen8/steel.png",4,20,20)</f>
        <v/>
      </c>
      <c r="AC177" s="1607"/>
      <c r="AD177" s="2730" t="s">
        <v>345</v>
      </c>
      <c r="AE177" s="2689"/>
      <c r="AF177" s="2690"/>
      <c r="AG177" s="2739" t="str">
        <f>IMAGE("https://raw.githubusercontent.com/msikma/pokesprite/master/misc/types/gen8/dark.png",4,20,20)</f>
        <v/>
      </c>
      <c r="AH177" s="3061"/>
      <c r="AI177" s="2682"/>
    </row>
    <row r="178" ht="20.25" customHeight="1">
      <c r="A178" s="2270"/>
      <c r="B178" s="3007"/>
      <c r="C178" s="3065"/>
      <c r="D178" s="3066"/>
      <c r="E178" s="3050" t="s">
        <v>921</v>
      </c>
      <c r="F178" s="3051"/>
      <c r="G178" s="3063"/>
      <c r="H178" s="3064" t="str">
        <f t="shared" si="9"/>
        <v/>
      </c>
      <c r="I178" s="1607"/>
      <c r="J178" s="3050" t="s">
        <v>561</v>
      </c>
      <c r="K178" s="3051"/>
      <c r="L178" s="3063"/>
      <c r="M178" s="3064" t="str">
        <f>IMAGE("https://raw.githubusercontent.com/msikma/pokesprite/master/misc/types/gen8/psychic.png",4,20,20)</f>
        <v/>
      </c>
      <c r="N178" s="1607"/>
      <c r="O178" s="3050" t="s">
        <v>407</v>
      </c>
      <c r="P178" s="3051"/>
      <c r="Q178" s="3063"/>
      <c r="R178" s="3064" t="str">
        <f>IMAGE("https://raw.githubusercontent.com/msikma/pokesprite/master/misc/types/gen8/steel.png",4,20,20)</f>
        <v/>
      </c>
      <c r="S178" s="1607"/>
      <c r="T178" s="2730" t="s">
        <v>922</v>
      </c>
      <c r="U178" s="2689"/>
      <c r="V178" s="2690"/>
      <c r="W178" s="2739" t="str">
        <f>IMAGE("https://raw.githubusercontent.com/msikma/pokesprite/master/misc/types/gen8/fighting.png",4,20,20)</f>
        <v/>
      </c>
      <c r="X178" s="1607"/>
      <c r="Y178" s="2730" t="s">
        <v>344</v>
      </c>
      <c r="Z178" s="2689"/>
      <c r="AA178" s="2690"/>
      <c r="AB178" s="2739" t="str">
        <f>IMAGE("https://raw.githubusercontent.com/msikma/pokesprite/master/misc/types/gen8/fighting.png",4,20,20)</f>
        <v/>
      </c>
      <c r="AC178" s="1607"/>
      <c r="AD178" s="2730" t="s">
        <v>923</v>
      </c>
      <c r="AE178" s="2689"/>
      <c r="AF178" s="2690"/>
      <c r="AG178" s="2739" t="str">
        <f>IMAGE("https://raw.githubusercontent.com/msikma/pokesprite/master/misc/types/gen8/ground.png",4,20,20)</f>
        <v/>
      </c>
      <c r="AH178" s="3061"/>
      <c r="AI178" s="2682"/>
    </row>
    <row r="179" ht="21.0" customHeight="1">
      <c r="A179" s="2270"/>
      <c r="B179" s="3007"/>
      <c r="C179" s="3008"/>
      <c r="D179" s="3066"/>
      <c r="E179" s="3067" t="s">
        <v>403</v>
      </c>
      <c r="F179" s="3068"/>
      <c r="G179" s="3069"/>
      <c r="H179" s="3070" t="str">
        <f>IMAGE("https://raw.githubusercontent.com/msikma/pokesprite/master/misc/types/gen8/fire.png",4,20,20)</f>
        <v/>
      </c>
      <c r="I179" s="3071"/>
      <c r="J179" s="3067" t="s">
        <v>284</v>
      </c>
      <c r="K179" s="3068"/>
      <c r="L179" s="3069"/>
      <c r="M179" s="3070" t="str">
        <f>IMAGE("https://raw.githubusercontent.com/msikma/pokesprite/master/misc/types/gen8/fairy.png",4,20,20)</f>
        <v/>
      </c>
      <c r="N179" s="3071"/>
      <c r="O179" s="3067" t="s">
        <v>249</v>
      </c>
      <c r="P179" s="3068"/>
      <c r="Q179" s="3069"/>
      <c r="R179" s="3070" t="str">
        <f>IMAGE("https://raw.githubusercontent.com/msikma/pokesprite/master/misc/types/gen8/electric.png",4,20,20)</f>
        <v/>
      </c>
      <c r="S179" s="3071"/>
      <c r="T179" s="2740" t="s">
        <v>252</v>
      </c>
      <c r="U179" s="2741"/>
      <c r="V179" s="2742"/>
      <c r="W179" s="2743" t="str">
        <f>IMAGE("https://raw.githubusercontent.com/msikma/pokesprite/master/misc/types/gen8/electric.png",4,20,20)</f>
        <v/>
      </c>
      <c r="X179" s="3071"/>
      <c r="Y179" s="2740" t="s">
        <v>221</v>
      </c>
      <c r="Z179" s="2741"/>
      <c r="AA179" s="2742"/>
      <c r="AB179" s="2743" t="str">
        <f>IMAGE("https://raw.githubusercontent.com/msikma/pokesprite/master/misc/types/gen8/normal.png",4,20,20)</f>
        <v/>
      </c>
      <c r="AC179" s="3071"/>
      <c r="AD179" s="2740" t="s">
        <v>541</v>
      </c>
      <c r="AE179" s="2741"/>
      <c r="AF179" s="2742"/>
      <c r="AG179" s="2743" t="str">
        <f>IMAGE("https://raw.githubusercontent.com/msikma/pokesprite/master/misc/types/gen8/dark.png",4,20,20)</f>
        <v/>
      </c>
      <c r="AH179" s="3061"/>
      <c r="AI179" s="2682"/>
    </row>
    <row r="180" ht="3.0" customHeight="1">
      <c r="A180" s="2745"/>
      <c r="B180" s="3072"/>
      <c r="C180" s="3065"/>
      <c r="D180" s="3073"/>
      <c r="E180" s="3074"/>
      <c r="F180" s="3074"/>
      <c r="G180" s="3074"/>
      <c r="H180" s="3074"/>
      <c r="I180" s="3073"/>
      <c r="J180" s="3074"/>
      <c r="K180" s="3074"/>
      <c r="L180" s="3074"/>
      <c r="M180" s="3074"/>
      <c r="N180" s="3073"/>
      <c r="O180" s="3074"/>
      <c r="P180" s="3074"/>
      <c r="Q180" s="3074"/>
      <c r="R180" s="3074"/>
      <c r="S180" s="3073"/>
      <c r="T180" s="3074"/>
      <c r="U180" s="3074"/>
      <c r="V180" s="3074"/>
      <c r="W180" s="3075"/>
      <c r="X180" s="3073"/>
      <c r="Y180" s="3076"/>
      <c r="Z180" s="3077"/>
      <c r="AA180" s="3077"/>
      <c r="AB180" s="3078"/>
      <c r="AC180" s="3079"/>
      <c r="AD180" s="3080"/>
      <c r="AE180" s="3080"/>
      <c r="AF180" s="3080"/>
      <c r="AG180" s="3078"/>
      <c r="AH180" s="3081"/>
      <c r="AI180" s="2754"/>
    </row>
    <row r="181" ht="16.5" customHeight="1">
      <c r="A181" s="2755"/>
      <c r="B181" s="3082"/>
      <c r="C181" s="3065"/>
      <c r="D181" s="3083"/>
      <c r="E181" s="3084" t="s">
        <v>190</v>
      </c>
      <c r="F181" s="381"/>
      <c r="G181" s="382"/>
      <c r="H181" s="3085" t="s">
        <v>191</v>
      </c>
      <c r="I181" s="3086"/>
      <c r="J181" s="3084" t="s">
        <v>190</v>
      </c>
      <c r="K181" s="381"/>
      <c r="L181" s="382"/>
      <c r="M181" s="3085" t="s">
        <v>191</v>
      </c>
      <c r="N181" s="3086"/>
      <c r="O181" s="3084" t="s">
        <v>190</v>
      </c>
      <c r="P181" s="381"/>
      <c r="Q181" s="382"/>
      <c r="R181" s="3085" t="s">
        <v>191</v>
      </c>
      <c r="S181" s="3086"/>
      <c r="T181" s="2758" t="s">
        <v>190</v>
      </c>
      <c r="U181" s="381"/>
      <c r="V181" s="382"/>
      <c r="W181" s="2759" t="s">
        <v>191</v>
      </c>
      <c r="X181" s="3087"/>
      <c r="Y181" s="2758" t="s">
        <v>190</v>
      </c>
      <c r="Z181" s="381"/>
      <c r="AA181" s="382"/>
      <c r="AB181" s="2759" t="s">
        <v>191</v>
      </c>
      <c r="AC181" s="3088"/>
      <c r="AD181" s="2758" t="s">
        <v>190</v>
      </c>
      <c r="AE181" s="381"/>
      <c r="AF181" s="382"/>
      <c r="AG181" s="2759" t="s">
        <v>191</v>
      </c>
      <c r="AH181" s="3089"/>
      <c r="AI181" s="2499"/>
    </row>
    <row r="182" ht="16.5" customHeight="1">
      <c r="A182" s="2755"/>
      <c r="B182" s="3082"/>
      <c r="C182" s="3065"/>
      <c r="D182" s="3083"/>
      <c r="E182" s="3090" t="s">
        <v>192</v>
      </c>
      <c r="F182" s="3091">
        <f t="array" ref="F182">IFERROR(VLOOKUP(E169,Dex!$B$3:$N330,8,FALSE),"")</f>
        <v>95</v>
      </c>
      <c r="G182" s="3092" t="str">
        <f t="array" ref="G182">IFERROR(VLOOKUP(F182,Dex!$P$22:$Q$276,2,FALSE),"")</f>
        <v/>
      </c>
      <c r="H182" s="3093">
        <v>252.0</v>
      </c>
      <c r="I182" s="3086"/>
      <c r="J182" s="3090" t="s">
        <v>192</v>
      </c>
      <c r="K182" s="3091">
        <f t="array" ref="K182">IFERROR(VLOOKUP(J169,Dex!$B$3:$N330,8,FALSE),"")</f>
        <v>80</v>
      </c>
      <c r="L182" s="3092" t="str">
        <f t="array" ref="L182">IFERROR(VLOOKUP(K182,Dex!$P$22:$Q$276,2,FALSE),"")</f>
        <v/>
      </c>
      <c r="M182" s="3093">
        <v>6.0</v>
      </c>
      <c r="N182" s="3086"/>
      <c r="O182" s="3090" t="s">
        <v>192</v>
      </c>
      <c r="P182" s="3091">
        <f t="array" ref="P182">IFERROR(VLOOKUP(O169,Dex!$B$3:$N330,8,FALSE),"")</f>
        <v>50</v>
      </c>
      <c r="Q182" s="3092" t="str">
        <f t="array" ref="Q182">IFERROR(VLOOKUP(P182,Dex!$P$22:$Q$276,2,FALSE),"")</f>
        <v/>
      </c>
      <c r="R182" s="3093">
        <v>252.0</v>
      </c>
      <c r="S182" s="3086"/>
      <c r="T182" s="2765" t="s">
        <v>192</v>
      </c>
      <c r="U182" s="2766">
        <f t="array" ref="U182">IFERROR(VLOOKUP(T169,Dex!$B$3:$N330,8,FALSE),"")</f>
        <v>70</v>
      </c>
      <c r="V182" s="2767" t="str">
        <f t="array" ref="V182">IFERROR(VLOOKUP(U182,Dex!$P$22:$Q$276,2,FALSE),"")</f>
        <v/>
      </c>
      <c r="W182" s="2768">
        <v>252.0</v>
      </c>
      <c r="X182" s="3094"/>
      <c r="Y182" s="2765" t="s">
        <v>192</v>
      </c>
      <c r="Z182" s="2766">
        <f t="array" ref="Z182">IFERROR(VLOOKUP(Y169,Dex!$B$3:$N330,8,FALSE),"")</f>
        <v>87</v>
      </c>
      <c r="AA182" s="2767" t="str">
        <f t="array" ref="AA182">IFERROR(VLOOKUP(Z182,Dex!$P$22:$Q$276,2,FALSE),"")</f>
        <v/>
      </c>
      <c r="AB182" s="2768"/>
      <c r="AC182" s="3095"/>
      <c r="AD182" s="2765" t="s">
        <v>192</v>
      </c>
      <c r="AE182" s="2766">
        <f t="array" ref="AE182">IFERROR(VLOOKUP(AD169,Dex!$B$3:$N330,8,FALSE),"")</f>
        <v>75</v>
      </c>
      <c r="AF182" s="2767" t="str">
        <f t="array" ref="AF182">IFERROR(VLOOKUP(AE182,Dex!$P$22:$Q$276,2,FALSE),"")</f>
        <v/>
      </c>
      <c r="AG182" s="2768"/>
      <c r="AH182" s="3089"/>
      <c r="AI182" s="2499"/>
    </row>
    <row r="183" ht="16.5" customHeight="1">
      <c r="A183" s="2755"/>
      <c r="B183" s="3082"/>
      <c r="C183" s="3065"/>
      <c r="D183" s="3083"/>
      <c r="E183" s="3096" t="s">
        <v>193</v>
      </c>
      <c r="F183" s="3097">
        <f t="array" ref="F183">IFERROR(VLOOKUP(E169,Dex!$B$3:$N330,9,FALSE),"")</f>
        <v>115</v>
      </c>
      <c r="G183" s="3098" t="str">
        <f t="array" ref="G183">IFERROR(VLOOKUP(F183,Dex!$P$22:$Q$276,2,FALSE),"")</f>
        <v/>
      </c>
      <c r="H183" s="3099">
        <v>252.0</v>
      </c>
      <c r="I183" s="3086"/>
      <c r="J183" s="3096" t="s">
        <v>193</v>
      </c>
      <c r="K183" s="3097">
        <f t="array" ref="K183">IFERROR(VLOOKUP(J169,Dex!$B$3:$N330,9,FALSE),"")</f>
        <v>74</v>
      </c>
      <c r="L183" s="3098" t="str">
        <f t="array" ref="L183">IFERROR(VLOOKUP(K183,Dex!$P$22:$Q$276,2,FALSE),"")</f>
        <v/>
      </c>
      <c r="M183" s="3099"/>
      <c r="N183" s="3086"/>
      <c r="O183" s="3096" t="s">
        <v>193</v>
      </c>
      <c r="P183" s="3097">
        <f t="array" ref="P183">IFERROR(VLOOKUP(O169,Dex!$B$3:$N330,9,FALSE),"")</f>
        <v>105</v>
      </c>
      <c r="Q183" s="3098" t="str">
        <f t="array" ref="Q183">IFERROR(VLOOKUP(P183,Dex!$P$22:$Q$276,2,FALSE),"")</f>
        <v/>
      </c>
      <c r="R183" s="3099">
        <v>252.0</v>
      </c>
      <c r="S183" s="3086"/>
      <c r="T183" s="2770" t="s">
        <v>193</v>
      </c>
      <c r="U183" s="2771">
        <f t="array" ref="U183">IFERROR(VLOOKUP(T169,Dex!$B$3:$N330,9,FALSE),"")</f>
        <v>55</v>
      </c>
      <c r="V183" s="2772" t="str">
        <f t="array" ref="V183">IFERROR(VLOOKUP(U183,Dex!$P$22:$Q$276,2,FALSE),"")</f>
        <v/>
      </c>
      <c r="W183" s="2773"/>
      <c r="X183" s="3094"/>
      <c r="Y183" s="2770" t="s">
        <v>193</v>
      </c>
      <c r="Z183" s="2771">
        <f t="array" ref="Z183">IFERROR(VLOOKUP(Y169,Dex!$B$3:$N330,9,FALSE),"")</f>
        <v>60</v>
      </c>
      <c r="AA183" s="2772" t="str">
        <f t="array" ref="AA183">IFERROR(VLOOKUP(Z183,Dex!$P$22:$Q$276,2,FALSE),"")</f>
        <v/>
      </c>
      <c r="AB183" s="2773"/>
      <c r="AC183" s="3095"/>
      <c r="AD183" s="2770" t="s">
        <v>193</v>
      </c>
      <c r="AE183" s="2771">
        <f t="array" ref="AE183">IFERROR(VLOOKUP(AD169,Dex!$B$3:$N330,9,FALSE),"")</f>
        <v>110</v>
      </c>
      <c r="AF183" s="2772" t="str">
        <f t="array" ref="AF183">IFERROR(VLOOKUP(AE183,Dex!$P$22:$Q$276,2,FALSE),"")</f>
        <v/>
      </c>
      <c r="AG183" s="2773"/>
      <c r="AH183" s="3089"/>
      <c r="AI183" s="2499"/>
    </row>
    <row r="184" ht="16.5" customHeight="1">
      <c r="A184" s="2755"/>
      <c r="B184" s="3082"/>
      <c r="C184" s="3065"/>
      <c r="D184" s="3083"/>
      <c r="E184" s="3096" t="s">
        <v>194</v>
      </c>
      <c r="F184" s="3097">
        <f t="array" ref="F184">IFERROR(VLOOKUP(E169,Dex!$B$3:$N330,10,FALSE),"")</f>
        <v>90</v>
      </c>
      <c r="G184" s="3098" t="str">
        <f t="array" ref="G184">IFERROR(VLOOKUP(F184,Dex!$P$22:$Q$276,2,FALSE),"")</f>
        <v/>
      </c>
      <c r="H184" s="3099"/>
      <c r="I184" s="3086"/>
      <c r="J184" s="3096" t="s">
        <v>194</v>
      </c>
      <c r="K184" s="3097">
        <f t="array" ref="K184">IFERROR(VLOOKUP(J169,Dex!$B$3:$N330,10,FALSE),"")</f>
        <v>74</v>
      </c>
      <c r="L184" s="3098" t="str">
        <f t="array" ref="L184">IFERROR(VLOOKUP(K184,Dex!$P$22:$Q$276,2,FALSE),"")</f>
        <v/>
      </c>
      <c r="M184" s="3099"/>
      <c r="N184" s="3086"/>
      <c r="O184" s="3096" t="s">
        <v>194</v>
      </c>
      <c r="P184" s="3097">
        <f t="array" ref="P184">IFERROR(VLOOKUP(O169,Dex!$B$3:$N330,10,FALSE),"")</f>
        <v>125</v>
      </c>
      <c r="Q184" s="3098" t="str">
        <f t="array" ref="Q184">IFERROR(VLOOKUP(P184,Dex!$P$22:$Q$276,2,FALSE),"")</f>
        <v/>
      </c>
      <c r="R184" s="3099"/>
      <c r="S184" s="3086"/>
      <c r="T184" s="2770" t="s">
        <v>194</v>
      </c>
      <c r="U184" s="2771">
        <f t="array" ref="U184">IFERROR(VLOOKUP(T169,Dex!$B$3:$N330,10,FALSE),"")</f>
        <v>95</v>
      </c>
      <c r="V184" s="2772" t="str">
        <f t="array" ref="V184">IFERROR(VLOOKUP(U184,Dex!$P$22:$Q$276,2,FALSE),"")</f>
        <v/>
      </c>
      <c r="W184" s="2773">
        <v>4.0</v>
      </c>
      <c r="X184" s="3094"/>
      <c r="Y184" s="2770" t="s">
        <v>194</v>
      </c>
      <c r="Z184" s="2771">
        <f t="array" ref="Z184">IFERROR(VLOOKUP(Y169,Dex!$B$3:$N330,10,FALSE),"")</f>
        <v>95</v>
      </c>
      <c r="AA184" s="2772" t="str">
        <f t="array" ref="AA184">IFERROR(VLOOKUP(Z184,Dex!$P$22:$Q$276,2,FALSE),"")</f>
        <v/>
      </c>
      <c r="AB184" s="2773">
        <v>4.0</v>
      </c>
      <c r="AC184" s="3095"/>
      <c r="AD184" s="2770" t="s">
        <v>194</v>
      </c>
      <c r="AE184" s="2771">
        <f t="array" ref="AE184">IFERROR(VLOOKUP(AD169,Dex!$B$3:$N330,10,FALSE),"")</f>
        <v>90</v>
      </c>
      <c r="AF184" s="2772" t="str">
        <f t="array" ref="AF184">IFERROR(VLOOKUP(AE184,Dex!$P$22:$Q$276,2,FALSE),"")</f>
        <v/>
      </c>
      <c r="AG184" s="2773">
        <v>4.0</v>
      </c>
      <c r="AH184" s="3089"/>
      <c r="AI184" s="2499"/>
    </row>
    <row r="185" ht="16.5" customHeight="1">
      <c r="A185" s="2755"/>
      <c r="B185" s="3082"/>
      <c r="C185" s="3065"/>
      <c r="D185" s="3083"/>
      <c r="E185" s="3096" t="s">
        <v>195</v>
      </c>
      <c r="F185" s="3097">
        <f t="array" ref="F185">IFERROR(VLOOKUP(E169,Dex!$B$3:$N330,11,FALSE),"")</f>
        <v>80</v>
      </c>
      <c r="G185" s="3098" t="str">
        <f t="array" ref="G185">IFERROR(VLOOKUP(F185,Dex!$P$22:$Q$276,2,FALSE),"")</f>
        <v/>
      </c>
      <c r="H185" s="3099"/>
      <c r="I185" s="3086"/>
      <c r="J185" s="3096" t="s">
        <v>195</v>
      </c>
      <c r="K185" s="3097">
        <f t="array" ref="K185">IFERROR(VLOOKUP(J169,Dex!$B$3:$N330,11,FALSE),"")</f>
        <v>126</v>
      </c>
      <c r="L185" s="3098" t="str">
        <f t="array" ref="L185">IFERROR(VLOOKUP(K185,Dex!$P$22:$Q$276,2,FALSE),"")</f>
        <v/>
      </c>
      <c r="M185" s="3099">
        <v>252.0</v>
      </c>
      <c r="N185" s="3086"/>
      <c r="O185" s="3096" t="s">
        <v>195</v>
      </c>
      <c r="P185" s="3097">
        <f t="array" ref="P185">IFERROR(VLOOKUP(O169,Dex!$B$3:$N330,11,FALSE),"")</f>
        <v>55</v>
      </c>
      <c r="Q185" s="3098" t="str">
        <f t="array" ref="Q185">IFERROR(VLOOKUP(P185,Dex!$P$22:$Q$276,2,FALSE),"")</f>
        <v/>
      </c>
      <c r="R185" s="3099"/>
      <c r="S185" s="3086"/>
      <c r="T185" s="2770" t="s">
        <v>195</v>
      </c>
      <c r="U185" s="2771">
        <f t="array" ref="U185">IFERROR(VLOOKUP(T169,Dex!$B$3:$N330,11,FALSE),"")</f>
        <v>95</v>
      </c>
      <c r="V185" s="2772" t="str">
        <f t="array" ref="V185">IFERROR(VLOOKUP(U185,Dex!$P$22:$Q$276,2,FALSE),"")</f>
        <v/>
      </c>
      <c r="W185" s="2773">
        <v>252.0</v>
      </c>
      <c r="X185" s="3094"/>
      <c r="Y185" s="2770" t="s">
        <v>195</v>
      </c>
      <c r="Z185" s="2771">
        <f t="array" ref="Z185">IFERROR(VLOOKUP(Y169,Dex!$B$3:$N330,11,FALSE),"")</f>
        <v>133</v>
      </c>
      <c r="AA185" s="2772" t="str">
        <f t="array" ref="AA185">IFERROR(VLOOKUP(Z185,Dex!$P$22:$Q$276,2,FALSE),"")</f>
        <v/>
      </c>
      <c r="AB185" s="2773">
        <v>252.0</v>
      </c>
      <c r="AC185" s="3095"/>
      <c r="AD185" s="2770" t="s">
        <v>195</v>
      </c>
      <c r="AE185" s="2771">
        <f t="array" ref="AE185">IFERROR(VLOOKUP(AD169,Dex!$B$3:$N330,11,FALSE),"")</f>
        <v>140</v>
      </c>
      <c r="AF185" s="2772" t="str">
        <f t="array" ref="AF185">IFERROR(VLOOKUP(AE185,Dex!$P$22:$Q$276,2,FALSE),"")</f>
        <v/>
      </c>
      <c r="AG185" s="2773">
        <v>252.0</v>
      </c>
      <c r="AH185" s="3089"/>
      <c r="AI185" s="2499"/>
    </row>
    <row r="186" ht="16.5" customHeight="1">
      <c r="A186" s="2755"/>
      <c r="B186" s="3082"/>
      <c r="C186" s="3065"/>
      <c r="D186" s="3083"/>
      <c r="E186" s="3096" t="s">
        <v>196</v>
      </c>
      <c r="F186" s="3097">
        <f t="array" ref="F186">IFERROR(VLOOKUP(E169,Dex!$B$3:$N330,12,FALSE),"")</f>
        <v>90</v>
      </c>
      <c r="G186" s="3098" t="str">
        <f t="array" ref="G186">IFERROR(VLOOKUP(F186,Dex!$P$22:$Q$276,2,FALSE),"")</f>
        <v/>
      </c>
      <c r="H186" s="3099"/>
      <c r="I186" s="3086"/>
      <c r="J186" s="3096" t="s">
        <v>196</v>
      </c>
      <c r="K186" s="3097">
        <f t="array" ref="K186">IFERROR(VLOOKUP(J169,Dex!$B$3:$N330,12,FALSE),"")</f>
        <v>116</v>
      </c>
      <c r="L186" s="3098" t="str">
        <f t="array" ref="L186">IFERROR(VLOOKUP(K186,Dex!$P$22:$Q$276,2,FALSE),"")</f>
        <v/>
      </c>
      <c r="M186" s="3099"/>
      <c r="N186" s="3086"/>
      <c r="O186" s="3096" t="s">
        <v>196</v>
      </c>
      <c r="P186" s="3097">
        <f t="array" ref="P186">IFERROR(VLOOKUP(O169,Dex!$B$3:$N330,12,FALSE),"")</f>
        <v>95</v>
      </c>
      <c r="Q186" s="3098" t="str">
        <f t="array" ref="Q186">IFERROR(VLOOKUP(P186,Dex!$P$22:$Q$276,2,FALSE),"")</f>
        <v/>
      </c>
      <c r="R186" s="3099"/>
      <c r="S186" s="3086"/>
      <c r="T186" s="2770" t="s">
        <v>196</v>
      </c>
      <c r="U186" s="2771">
        <f t="array" ref="U186">IFERROR(VLOOKUP(T169,Dex!$B$3:$N330,12,FALSE),"")</f>
        <v>110</v>
      </c>
      <c r="V186" s="2772" t="str">
        <f t="array" ref="V186">IFERROR(VLOOKUP(U186,Dex!$P$22:$Q$276,2,FALSE),"")</f>
        <v/>
      </c>
      <c r="W186" s="2773"/>
      <c r="X186" s="3094"/>
      <c r="Y186" s="2770" t="s">
        <v>196</v>
      </c>
      <c r="Z186" s="2771">
        <f t="array" ref="Z186">IFERROR(VLOOKUP(Y169,Dex!$B$3:$N330,12,FALSE),"")</f>
        <v>91</v>
      </c>
      <c r="AA186" s="2772" t="str">
        <f t="array" ref="AA186">IFERROR(VLOOKUP(Z186,Dex!$P$22:$Q$276,2,FALSE),"")</f>
        <v/>
      </c>
      <c r="AB186" s="2773"/>
      <c r="AC186" s="3095"/>
      <c r="AD186" s="2770" t="s">
        <v>196</v>
      </c>
      <c r="AE186" s="2771">
        <f t="array" ref="AE186">IFERROR(VLOOKUP(AD169,Dex!$B$3:$N330,12,FALSE),"")</f>
        <v>90</v>
      </c>
      <c r="AF186" s="2772" t="str">
        <f t="array" ref="AF186">IFERROR(VLOOKUP(AE186,Dex!$P$22:$Q$276,2,FALSE),"")</f>
        <v/>
      </c>
      <c r="AG186" s="2773"/>
      <c r="AH186" s="3089"/>
      <c r="AI186" s="2499"/>
    </row>
    <row r="187" ht="16.5" customHeight="1">
      <c r="A187" s="2755"/>
      <c r="B187" s="3082"/>
      <c r="C187" s="3065"/>
      <c r="D187" s="3083"/>
      <c r="E187" s="3100" t="s">
        <v>197</v>
      </c>
      <c r="F187" s="3101">
        <f t="array" ref="F187">IFERROR(VLOOKUP(E169,Dex!$B$3:$N330,13,FALSE),"")</f>
        <v>60</v>
      </c>
      <c r="G187" s="3102" t="str">
        <f t="array" ref="G187">IFERROR(VLOOKUP(F187,Dex!$P$22:$Q$276,2,FALSE),"")</f>
        <v/>
      </c>
      <c r="H187" s="3103">
        <v>6.0</v>
      </c>
      <c r="I187" s="3086"/>
      <c r="J187" s="3100" t="s">
        <v>197</v>
      </c>
      <c r="K187" s="3101">
        <f t="array" ref="K187">IFERROR(VLOOKUP(J169,Dex!$B$3:$N330,13,FALSE),"")</f>
        <v>60</v>
      </c>
      <c r="L187" s="3102" t="str">
        <f t="array" ref="L187">IFERROR(VLOOKUP(K187,Dex!$P$22:$Q$276,2,FALSE),"")</f>
        <v/>
      </c>
      <c r="M187" s="3103">
        <v>252.0</v>
      </c>
      <c r="N187" s="3086"/>
      <c r="O187" s="3100" t="s">
        <v>197</v>
      </c>
      <c r="P187" s="3101">
        <f t="array" ref="P187">IFERROR(VLOOKUP(O169,Dex!$B$3:$N330,13,FALSE),"")</f>
        <v>50</v>
      </c>
      <c r="Q187" s="3102" t="str">
        <f t="array" ref="Q187">IFERROR(VLOOKUP(P187,Dex!$P$22:$Q$276,2,FALSE),"")</f>
        <v/>
      </c>
      <c r="R187" s="3103">
        <v>6.0</v>
      </c>
      <c r="S187" s="3086"/>
      <c r="T187" s="2774" t="s">
        <v>197</v>
      </c>
      <c r="U187" s="2775">
        <f t="array" ref="U187">IFERROR(VLOOKUP(T169,Dex!$B$3:$N330,13,FALSE),"")</f>
        <v>65</v>
      </c>
      <c r="V187" s="2776" t="str">
        <f t="array" ref="V187">IFERROR(VLOOKUP(U187,Dex!$P$22:$Q$276,2,FALSE),"")</f>
        <v/>
      </c>
      <c r="W187" s="2777"/>
      <c r="X187" s="3094"/>
      <c r="Y187" s="2774" t="s">
        <v>197</v>
      </c>
      <c r="Z187" s="2775">
        <f t="array" ref="Z187">IFERROR(VLOOKUP(Y169,Dex!$B$3:$N330,13,FALSE),"")</f>
        <v>84</v>
      </c>
      <c r="AA187" s="2776" t="str">
        <f t="array" ref="AA187">IFERROR(VLOOKUP(Z187,Dex!$P$22:$Q$276,2,FALSE),"")</f>
        <v/>
      </c>
      <c r="AB187" s="2777">
        <v>252.0</v>
      </c>
      <c r="AC187" s="3095"/>
      <c r="AD187" s="2774" t="s">
        <v>197</v>
      </c>
      <c r="AE187" s="2775">
        <f t="array" ref="AE187">IFERROR(VLOOKUP(AD169,Dex!$B$3:$N330,13,FALSE),"")</f>
        <v>115</v>
      </c>
      <c r="AF187" s="2776" t="str">
        <f t="array" ref="AF187">IFERROR(VLOOKUP(AE187,Dex!$P$22:$Q$276,2,FALSE),"")</f>
        <v/>
      </c>
      <c r="AG187" s="2777">
        <v>252.0</v>
      </c>
      <c r="AH187" s="3089"/>
      <c r="AI187" s="2499"/>
    </row>
    <row r="188" ht="16.5" customHeight="1">
      <c r="A188" s="2755"/>
      <c r="B188" s="3082"/>
      <c r="C188" s="3065"/>
      <c r="D188" s="3083"/>
      <c r="E188" s="3104" t="s">
        <v>198</v>
      </c>
      <c r="F188" s="405"/>
      <c r="G188" s="406"/>
      <c r="H188" s="3105">
        <v>87.0</v>
      </c>
      <c r="I188" s="3086"/>
      <c r="J188" s="3104" t="s">
        <v>198</v>
      </c>
      <c r="K188" s="405"/>
      <c r="L188" s="406"/>
      <c r="M188" s="3105">
        <v>122.0</v>
      </c>
      <c r="N188" s="3086"/>
      <c r="O188" s="3104" t="s">
        <v>198</v>
      </c>
      <c r="P188" s="405"/>
      <c r="Q188" s="406"/>
      <c r="R188" s="3105">
        <v>77.0</v>
      </c>
      <c r="S188" s="3086"/>
      <c r="T188" s="2778" t="s">
        <v>198</v>
      </c>
      <c r="U188" s="405"/>
      <c r="V188" s="406"/>
      <c r="W188" s="2779">
        <v>91.0</v>
      </c>
      <c r="X188" s="3087"/>
      <c r="Y188" s="2778" t="s">
        <v>198</v>
      </c>
      <c r="Z188" s="405"/>
      <c r="AA188" s="406"/>
      <c r="AB188" s="2779">
        <v>163.0</v>
      </c>
      <c r="AC188" s="3088"/>
      <c r="AD188" s="2778" t="s">
        <v>198</v>
      </c>
      <c r="AE188" s="405"/>
      <c r="AF188" s="406"/>
      <c r="AG188" s="2779">
        <v>201.0</v>
      </c>
      <c r="AH188" s="3089"/>
      <c r="AI188" s="2499"/>
    </row>
    <row r="189" ht="3.75" customHeight="1">
      <c r="A189" s="2270"/>
      <c r="B189" s="3007"/>
      <c r="C189" s="3106"/>
      <c r="D189" s="3009"/>
      <c r="E189" s="3107"/>
      <c r="F189" s="3107"/>
      <c r="G189" s="3107"/>
      <c r="H189" s="3107"/>
      <c r="I189" s="3009"/>
      <c r="J189" s="3107"/>
      <c r="K189" s="3107"/>
      <c r="L189" s="3107"/>
      <c r="M189" s="3107"/>
      <c r="N189" s="3009"/>
      <c r="O189" s="3107"/>
      <c r="P189" s="3107"/>
      <c r="Q189" s="3107"/>
      <c r="R189" s="3107"/>
      <c r="S189" s="3009"/>
      <c r="T189" s="3108"/>
      <c r="U189" s="3108"/>
      <c r="V189" s="3108"/>
      <c r="W189" s="3108"/>
      <c r="X189" s="3009"/>
      <c r="Y189" s="3108"/>
      <c r="Z189" s="3108"/>
      <c r="AA189" s="3108"/>
      <c r="AB189" s="3108"/>
      <c r="AC189" s="3009"/>
      <c r="AD189" s="3108"/>
      <c r="AE189" s="3108"/>
      <c r="AF189" s="3108"/>
      <c r="AG189" s="3108"/>
      <c r="AH189" s="3014"/>
      <c r="AI189" s="2682"/>
    </row>
    <row r="190" ht="96.75" customHeight="1">
      <c r="A190" s="2270"/>
      <c r="B190" s="3036"/>
      <c r="C190" s="2396" t="str">
        <f>IMAGE("https://i.ibb.co/rpm30sn/Brendan.png")</f>
        <v/>
      </c>
      <c r="D190" s="3109"/>
      <c r="E190" s="2398" t="str">
        <f t="array" ref="E190">IFERROR(VLOOKUP(E191,Dex!$B$3:$G330,3,FALSE),"")</f>
        <v/>
      </c>
      <c r="F190" s="1830"/>
      <c r="G190" s="1830"/>
      <c r="H190" s="1831"/>
      <c r="I190" s="3110"/>
      <c r="J190" s="2398" t="str">
        <f t="array" ref="J190">IFERROR(VLOOKUP(J191,Dex!$B$3:$G330,3,FALSE),"")</f>
        <v/>
      </c>
      <c r="K190" s="1830"/>
      <c r="L190" s="1830"/>
      <c r="M190" s="1831"/>
      <c r="N190" s="3110"/>
      <c r="O190" s="2398" t="str">
        <f t="array" ref="O190">IFERROR(VLOOKUP(O191,Dex!$B$3:$G330,3,FALSE),"")</f>
        <v/>
      </c>
      <c r="P190" s="1830"/>
      <c r="Q190" s="1830"/>
      <c r="R190" s="1831"/>
      <c r="S190" s="3111"/>
      <c r="T190" s="3066"/>
      <c r="U190" s="3011"/>
      <c r="V190" s="3011"/>
      <c r="W190" s="3012"/>
      <c r="X190" s="3112"/>
      <c r="Y190" s="3066"/>
      <c r="Z190" s="3011"/>
      <c r="AA190" s="3011"/>
      <c r="AB190" s="3012"/>
      <c r="AC190" s="3112"/>
      <c r="AD190" s="3066"/>
      <c r="AE190" s="3011"/>
      <c r="AF190" s="3011"/>
      <c r="AG190" s="3012"/>
      <c r="AH190" s="3014"/>
      <c r="AI190" s="2682"/>
    </row>
    <row r="191" ht="18.75" customHeight="1">
      <c r="A191" s="2297"/>
      <c r="B191" s="3022"/>
      <c r="C191" s="2407" t="s">
        <v>924</v>
      </c>
      <c r="D191" s="3113"/>
      <c r="E191" s="2409" t="s">
        <v>925</v>
      </c>
      <c r="F191" s="2410"/>
      <c r="G191" s="2410"/>
      <c r="H191" s="2411"/>
      <c r="I191" s="3113"/>
      <c r="J191" s="2409" t="s">
        <v>760</v>
      </c>
      <c r="K191" s="2410"/>
      <c r="L191" s="2410"/>
      <c r="M191" s="2411"/>
      <c r="N191" s="3113"/>
      <c r="O191" s="2409" t="s">
        <v>762</v>
      </c>
      <c r="P191" s="2410"/>
      <c r="Q191" s="2410"/>
      <c r="R191" s="2411"/>
      <c r="S191" s="3114"/>
      <c r="T191" s="3115"/>
      <c r="U191" s="3011"/>
      <c r="V191" s="3011"/>
      <c r="W191" s="3012"/>
      <c r="X191" s="3116"/>
      <c r="Y191" s="3115"/>
      <c r="Z191" s="3011"/>
      <c r="AA191" s="3011"/>
      <c r="AB191" s="3012"/>
      <c r="AC191" s="3116"/>
      <c r="AD191" s="3115"/>
      <c r="AE191" s="3011"/>
      <c r="AF191" s="3011"/>
      <c r="AG191" s="3012"/>
      <c r="AH191" s="3117"/>
      <c r="AI191" s="2703"/>
    </row>
    <row r="192">
      <c r="A192" s="3118"/>
      <c r="B192" s="3119"/>
      <c r="C192" s="326"/>
      <c r="D192" s="3120"/>
      <c r="E192" s="2419">
        <v>55.0</v>
      </c>
      <c r="F192" s="2420"/>
      <c r="G192" s="2420"/>
      <c r="H192" s="2421"/>
      <c r="I192" s="3121"/>
      <c r="J192" s="2419">
        <v>55.0</v>
      </c>
      <c r="K192" s="2420"/>
      <c r="L192" s="2420"/>
      <c r="M192" s="2421"/>
      <c r="N192" s="3121"/>
      <c r="O192" s="2419">
        <v>55.0</v>
      </c>
      <c r="P192" s="2420"/>
      <c r="Q192" s="2420"/>
      <c r="R192" s="2421"/>
      <c r="S192" s="3122"/>
      <c r="T192" s="3066"/>
      <c r="U192" s="3011"/>
      <c r="V192" s="3011"/>
      <c r="W192" s="3012"/>
      <c r="X192" s="3116"/>
      <c r="Y192" s="3066"/>
      <c r="Z192" s="3011"/>
      <c r="AA192" s="3011"/>
      <c r="AB192" s="3012"/>
      <c r="AC192" s="3116"/>
      <c r="AD192" s="3066"/>
      <c r="AE192" s="3011"/>
      <c r="AF192" s="3011"/>
      <c r="AG192" s="3012"/>
      <c r="AH192" s="3123"/>
      <c r="AI192" s="3124"/>
    </row>
    <row r="193" ht="25.5" customHeight="1">
      <c r="A193" s="2270"/>
      <c r="B193" s="3007"/>
      <c r="C193" s="3125"/>
      <c r="D193" s="3066"/>
      <c r="E193" s="2427"/>
      <c r="F193" s="2519" t="str">
        <f t="array" ref="F193">IFERROR(VLOOKUP(E191,Dex!$B$3:$H330,5,FALSE),"")</f>
        <v/>
      </c>
      <c r="G193" s="2518" t="str">
        <f t="array" ref="G193">IFERROR(VLOOKUP(E191,Dex!$B$3:$H330,7,FALSE),"")</f>
        <v/>
      </c>
      <c r="H193" s="2430"/>
      <c r="I193" s="3115"/>
      <c r="J193" s="2427"/>
      <c r="K193" s="2428" t="str">
        <f t="array" ref="K193">IFERROR(VLOOKUP(J191,Dex!$B$3:$H330,5,FALSE),"")</f>
        <v/>
      </c>
      <c r="L193" s="2429"/>
      <c r="M193" s="2430"/>
      <c r="N193" s="3115"/>
      <c r="O193" s="2427"/>
      <c r="P193" s="2519" t="str">
        <f t="array" ref="P193">IFERROR(VLOOKUP(O191,Dex!$B$3:$H330,5,FALSE),"")</f>
        <v/>
      </c>
      <c r="Q193" s="2518" t="str">
        <f t="array" ref="Q193">IFERROR(VLOOKUP(O191,Dex!$B$3:$H330,7,FALSE),"")</f>
        <v/>
      </c>
      <c r="R193" s="2430"/>
      <c r="S193" s="3126"/>
      <c r="T193" s="3066"/>
      <c r="U193" s="3011"/>
      <c r="V193" s="3011"/>
      <c r="W193" s="3012"/>
      <c r="X193" s="3116"/>
      <c r="Y193" s="3066"/>
      <c r="Z193" s="3011"/>
      <c r="AA193" s="3011"/>
      <c r="AB193" s="3012"/>
      <c r="AC193" s="3116"/>
      <c r="AD193" s="3066"/>
      <c r="AE193" s="3011"/>
      <c r="AF193" s="3011"/>
      <c r="AG193" s="3012"/>
      <c r="AH193" s="3014"/>
      <c r="AI193" s="2682"/>
    </row>
    <row r="194" ht="2.25" customHeight="1">
      <c r="A194" s="2270"/>
      <c r="B194" s="3007"/>
      <c r="C194" s="3116"/>
      <c r="D194" s="3066"/>
      <c r="E194" s="2431"/>
      <c r="F194" s="2432"/>
      <c r="G194" s="2432"/>
      <c r="H194" s="2433"/>
      <c r="I194" s="3115"/>
      <c r="J194" s="2431"/>
      <c r="K194" s="2432"/>
      <c r="L194" s="2432"/>
      <c r="M194" s="2433"/>
      <c r="N194" s="3115"/>
      <c r="O194" s="2431"/>
      <c r="P194" s="2432"/>
      <c r="Q194" s="2432"/>
      <c r="R194" s="2433"/>
      <c r="S194" s="3126"/>
      <c r="T194" s="3009"/>
      <c r="U194" s="3009"/>
      <c r="V194" s="3009"/>
      <c r="W194" s="3009"/>
      <c r="X194" s="3116"/>
      <c r="Y194" s="3009"/>
      <c r="Z194" s="3009"/>
      <c r="AA194" s="3009"/>
      <c r="AB194" s="3009"/>
      <c r="AC194" s="3116"/>
      <c r="AD194" s="3009"/>
      <c r="AE194" s="3009"/>
      <c r="AF194" s="3009"/>
      <c r="AG194" s="3009"/>
      <c r="AH194" s="3014"/>
      <c r="AI194" s="2682"/>
    </row>
    <row r="195" ht="20.25" customHeight="1">
      <c r="A195" s="2270"/>
      <c r="B195" s="3007"/>
      <c r="C195" s="3062"/>
      <c r="D195" s="3066"/>
      <c r="E195" s="2436" t="s">
        <v>263</v>
      </c>
      <c r="F195" s="2437"/>
      <c r="G195" s="2437"/>
      <c r="H195" s="2438"/>
      <c r="I195" s="3115"/>
      <c r="J195" s="2436" t="s">
        <v>205</v>
      </c>
      <c r="K195" s="2437"/>
      <c r="L195" s="2437"/>
      <c r="M195" s="2438"/>
      <c r="N195" s="3115"/>
      <c r="O195" s="2436" t="s">
        <v>205</v>
      </c>
      <c r="P195" s="2437"/>
      <c r="Q195" s="2437"/>
      <c r="R195" s="2438"/>
      <c r="S195" s="3127"/>
      <c r="T195" s="3066"/>
      <c r="U195" s="3011"/>
      <c r="V195" s="3011"/>
      <c r="W195" s="3012"/>
      <c r="X195" s="3116"/>
      <c r="Y195" s="3066"/>
      <c r="Z195" s="3011"/>
      <c r="AA195" s="3011"/>
      <c r="AB195" s="3012"/>
      <c r="AC195" s="3116"/>
      <c r="AD195" s="3066"/>
      <c r="AE195" s="3011"/>
      <c r="AF195" s="3011"/>
      <c r="AG195" s="3012"/>
      <c r="AH195" s="3014"/>
      <c r="AI195" s="2682"/>
    </row>
    <row r="196">
      <c r="A196" s="2270"/>
      <c r="B196" s="3007"/>
      <c r="C196" s="3128"/>
      <c r="D196" s="3066"/>
      <c r="E196" s="2440" t="s">
        <v>716</v>
      </c>
      <c r="F196" s="2402"/>
      <c r="G196" s="2402"/>
      <c r="H196" s="2441"/>
      <c r="I196" s="3115"/>
      <c r="J196" s="2440" t="s">
        <v>733</v>
      </c>
      <c r="K196" s="2402"/>
      <c r="L196" s="2402"/>
      <c r="M196" s="2441"/>
      <c r="N196" s="3115"/>
      <c r="O196" s="2440" t="s">
        <v>926</v>
      </c>
      <c r="P196" s="2402"/>
      <c r="Q196" s="2402"/>
      <c r="R196" s="2441"/>
      <c r="S196" s="3127"/>
      <c r="T196" s="3066"/>
      <c r="U196" s="3011"/>
      <c r="V196" s="3011"/>
      <c r="W196" s="3012"/>
      <c r="X196" s="3116"/>
      <c r="Y196" s="3066"/>
      <c r="Z196" s="3011"/>
      <c r="AA196" s="3011"/>
      <c r="AB196" s="3012"/>
      <c r="AC196" s="3116"/>
      <c r="AD196" s="3066"/>
      <c r="AE196" s="3011"/>
      <c r="AF196" s="3011"/>
      <c r="AG196" s="3012"/>
      <c r="AH196" s="3014"/>
      <c r="AI196" s="2682"/>
    </row>
    <row r="197" ht="20.25" customHeight="1">
      <c r="A197" s="2270"/>
      <c r="B197" s="3007"/>
      <c r="C197" s="3116"/>
      <c r="D197" s="3066"/>
      <c r="E197" s="2442" t="s">
        <v>214</v>
      </c>
      <c r="F197" s="2443"/>
      <c r="G197" s="2444"/>
      <c r="H197" s="2520" t="str">
        <f>IMAGE("https://raw.githubusercontent.com/msikma/pokesprite/master/items/berry/iapapa.png",3)</f>
        <v/>
      </c>
      <c r="I197" s="3115"/>
      <c r="J197" s="2442" t="s">
        <v>767</v>
      </c>
      <c r="K197" s="2443"/>
      <c r="L197" s="2444"/>
      <c r="M197" s="2520" t="str">
        <f>IMAGE("https://raw.githubusercontent.com/msikma/pokesprite/master/items/hold-item/silk-scarf.png",3)</f>
        <v/>
      </c>
      <c r="N197" s="3115"/>
      <c r="O197" s="2442" t="s">
        <v>769</v>
      </c>
      <c r="P197" s="2443"/>
      <c r="Q197" s="2444"/>
      <c r="R197" s="2520" t="str">
        <f>IMAGE("https://raw.githubusercontent.com/msikma/pokesprite/master/items/mega-stone/sceptilite.png",3)</f>
        <v/>
      </c>
      <c r="S197" s="3126"/>
      <c r="T197" s="3066"/>
      <c r="U197" s="3011"/>
      <c r="V197" s="3011"/>
      <c r="W197" s="3012"/>
      <c r="X197" s="3116"/>
      <c r="Y197" s="3066"/>
      <c r="Z197" s="3011"/>
      <c r="AA197" s="3011"/>
      <c r="AB197" s="3012"/>
      <c r="AC197" s="3116"/>
      <c r="AD197" s="3066"/>
      <c r="AE197" s="3011"/>
      <c r="AF197" s="3011"/>
      <c r="AG197" s="3012"/>
      <c r="AH197" s="3014"/>
      <c r="AI197" s="2682"/>
    </row>
    <row r="198" ht="20.25" customHeight="1">
      <c r="A198" s="2270"/>
      <c r="B198" s="3007"/>
      <c r="C198" s="3062"/>
      <c r="D198" s="3066"/>
      <c r="E198" s="2436" t="s">
        <v>247</v>
      </c>
      <c r="F198" s="2437"/>
      <c r="G198" s="3129"/>
      <c r="H198" s="3130" t="str">
        <f>IMAGE("https://raw.githubusercontent.com/msikma/pokesprite/master/misc/types/gen8/bug.png",4,20,20)</f>
        <v/>
      </c>
      <c r="I198" s="3115"/>
      <c r="J198" s="2436" t="s">
        <v>927</v>
      </c>
      <c r="K198" s="2437"/>
      <c r="L198" s="3129"/>
      <c r="M198" s="3130" t="str">
        <f>IMAGE("https://raw.githubusercontent.com/msikma/pokesprite/master/misc/types/gen8/fire.png",4,20,20)</f>
        <v/>
      </c>
      <c r="N198" s="3115"/>
      <c r="O198" s="2436" t="s">
        <v>726</v>
      </c>
      <c r="P198" s="2437"/>
      <c r="Q198" s="3129"/>
      <c r="R198" s="3130" t="str">
        <f>IMAGE("https://raw.githubusercontent.com/msikma/pokesprite/master/misc/types/gen8/grass.png",4,20,20)</f>
        <v/>
      </c>
      <c r="S198" s="3126"/>
      <c r="T198" s="3066"/>
      <c r="U198" s="3011"/>
      <c r="V198" s="3011"/>
      <c r="W198" s="3012"/>
      <c r="X198" s="3116"/>
      <c r="Y198" s="3066"/>
      <c r="Z198" s="3011"/>
      <c r="AA198" s="3011"/>
      <c r="AB198" s="3012"/>
      <c r="AC198" s="3116"/>
      <c r="AD198" s="3066"/>
      <c r="AE198" s="3011"/>
      <c r="AF198" s="3011"/>
      <c r="AG198" s="3012"/>
      <c r="AH198" s="3014"/>
      <c r="AI198" s="2682"/>
    </row>
    <row r="199" ht="20.25" customHeight="1">
      <c r="A199" s="2270"/>
      <c r="B199" s="3007"/>
      <c r="C199" s="3008"/>
      <c r="D199" s="3066"/>
      <c r="E199" s="2440" t="s">
        <v>246</v>
      </c>
      <c r="F199" s="2402"/>
      <c r="G199" s="2403"/>
      <c r="H199" s="3131" t="str">
        <f>IMAGE("https://raw.githubusercontent.com/msikma/pokesprite/master/misc/types/gen8/water.png",4,20,20)</f>
        <v/>
      </c>
      <c r="I199" s="3115"/>
      <c r="J199" s="2440" t="s">
        <v>433</v>
      </c>
      <c r="K199" s="2402"/>
      <c r="L199" s="2403"/>
      <c r="M199" s="3131" t="str">
        <f>IMAGE("https://raw.githubusercontent.com/msikma/pokesprite/master/misc/types/gen8/water.png",4,20,20)</f>
        <v/>
      </c>
      <c r="N199" s="3115"/>
      <c r="O199" s="2440" t="s">
        <v>558</v>
      </c>
      <c r="P199" s="2402"/>
      <c r="Q199" s="2403"/>
      <c r="R199" s="3131" t="str">
        <f>IMAGE("https://raw.githubusercontent.com/msikma/pokesprite/master/misc/types/gen8/dragon.png",4,20,20)</f>
        <v/>
      </c>
      <c r="S199" s="3126"/>
      <c r="T199" s="3066"/>
      <c r="U199" s="3011"/>
      <c r="V199" s="3011"/>
      <c r="W199" s="3012"/>
      <c r="X199" s="3116"/>
      <c r="Y199" s="3066"/>
      <c r="Z199" s="3011"/>
      <c r="AA199" s="3011"/>
      <c r="AB199" s="3012"/>
      <c r="AC199" s="3116"/>
      <c r="AD199" s="3066"/>
      <c r="AE199" s="3011"/>
      <c r="AF199" s="3011"/>
      <c r="AG199" s="3012"/>
      <c r="AH199" s="3014"/>
      <c r="AI199" s="2682"/>
    </row>
    <row r="200" ht="20.25" customHeight="1">
      <c r="A200" s="2270"/>
      <c r="B200" s="3007"/>
      <c r="C200" s="3008"/>
      <c r="D200" s="3066"/>
      <c r="E200" s="2440" t="s">
        <v>275</v>
      </c>
      <c r="F200" s="2402"/>
      <c r="G200" s="2403"/>
      <c r="H200" s="3131" t="str">
        <f t="shared" ref="H200:H201" si="10">IMAGE("https://raw.githubusercontent.com/msikma/pokesprite/master/misc/types/gen8/grass.png",4,20,20)</f>
        <v/>
      </c>
      <c r="I200" s="3115"/>
      <c r="J200" s="2440" t="s">
        <v>344</v>
      </c>
      <c r="K200" s="2402"/>
      <c r="L200" s="2403"/>
      <c r="M200" s="3131" t="str">
        <f>IMAGE("https://raw.githubusercontent.com/msikma/pokesprite/master/misc/types/gen8/fighting.png",4,20,20)</f>
        <v/>
      </c>
      <c r="N200" s="3115"/>
      <c r="O200" s="2440" t="s">
        <v>344</v>
      </c>
      <c r="P200" s="2402"/>
      <c r="Q200" s="2403"/>
      <c r="R200" s="3131" t="str">
        <f>IMAGE("https://raw.githubusercontent.com/msikma/pokesprite/master/misc/types/gen8/fighting.png",4,20,20)</f>
        <v/>
      </c>
      <c r="S200" s="3126"/>
      <c r="T200" s="3066"/>
      <c r="U200" s="3011"/>
      <c r="V200" s="3011"/>
      <c r="W200" s="3012"/>
      <c r="X200" s="3116"/>
      <c r="Y200" s="3066"/>
      <c r="Z200" s="3011"/>
      <c r="AA200" s="3011"/>
      <c r="AB200" s="3012"/>
      <c r="AC200" s="3116"/>
      <c r="AD200" s="3066"/>
      <c r="AE200" s="3011"/>
      <c r="AF200" s="3011"/>
      <c r="AG200" s="3012"/>
      <c r="AH200" s="3014"/>
      <c r="AI200" s="2682"/>
    </row>
    <row r="201" ht="21.0" customHeight="1">
      <c r="A201" s="2270"/>
      <c r="B201" s="3007"/>
      <c r="C201" s="3008"/>
      <c r="D201" s="3066"/>
      <c r="E201" s="2449" t="s">
        <v>928</v>
      </c>
      <c r="F201" s="2450"/>
      <c r="G201" s="3132"/>
      <c r="H201" s="3133" t="str">
        <f t="shared" si="10"/>
        <v/>
      </c>
      <c r="I201" s="3115"/>
      <c r="J201" s="2449" t="s">
        <v>311</v>
      </c>
      <c r="K201" s="2450"/>
      <c r="L201" s="3132"/>
      <c r="M201" s="3133" t="str">
        <f>IMAGE("https://raw.githubusercontent.com/msikma/pokesprite/master/misc/types/gen8/normal.png",4,20,20)</f>
        <v/>
      </c>
      <c r="N201" s="3115"/>
      <c r="O201" s="2449" t="s">
        <v>287</v>
      </c>
      <c r="P201" s="2450"/>
      <c r="Q201" s="3132"/>
      <c r="R201" s="3133" t="str">
        <f>IMAGE("https://raw.githubusercontent.com/msikma/pokesprite/master/misc/types/gen8/fire.png",4,20,20)</f>
        <v/>
      </c>
      <c r="S201" s="3126"/>
      <c r="T201" s="3066"/>
      <c r="U201" s="3011"/>
      <c r="V201" s="3011"/>
      <c r="W201" s="3012"/>
      <c r="X201" s="3062"/>
      <c r="Y201" s="3066"/>
      <c r="Z201" s="3011"/>
      <c r="AA201" s="3011"/>
      <c r="AB201" s="3012"/>
      <c r="AC201" s="3062"/>
      <c r="AD201" s="3066"/>
      <c r="AE201" s="3011"/>
      <c r="AF201" s="3011"/>
      <c r="AG201" s="3012"/>
      <c r="AH201" s="3014"/>
      <c r="AI201" s="2682"/>
    </row>
    <row r="202" ht="3.0" customHeight="1">
      <c r="A202" s="2745"/>
      <c r="B202" s="3072"/>
      <c r="C202" s="3065"/>
      <c r="D202" s="3073"/>
      <c r="E202" s="3134"/>
      <c r="F202" s="3134"/>
      <c r="G202" s="3134"/>
      <c r="H202" s="3135"/>
      <c r="I202" s="3073"/>
      <c r="J202" s="3134"/>
      <c r="K202" s="3134"/>
      <c r="L202" s="3134"/>
      <c r="M202" s="3134"/>
      <c r="N202" s="3073"/>
      <c r="O202" s="3134"/>
      <c r="P202" s="3134"/>
      <c r="Q202" s="3134"/>
      <c r="R202" s="3135"/>
      <c r="S202" s="3073"/>
      <c r="T202" s="3073"/>
      <c r="U202" s="3136"/>
      <c r="V202" s="3136"/>
      <c r="W202" s="3079"/>
      <c r="X202" s="3073"/>
      <c r="Y202" s="3073"/>
      <c r="Z202" s="3136"/>
      <c r="AA202" s="3136"/>
      <c r="AB202" s="3079"/>
      <c r="AC202" s="3079"/>
      <c r="AD202" s="3073"/>
      <c r="AE202" s="3136"/>
      <c r="AF202" s="3136"/>
      <c r="AG202" s="3079"/>
      <c r="AH202" s="3081"/>
      <c r="AI202" s="2754"/>
    </row>
    <row r="203" ht="15.75" customHeight="1">
      <c r="A203" s="2755"/>
      <c r="B203" s="3082"/>
      <c r="C203" s="3065"/>
      <c r="D203" s="3083"/>
      <c r="E203" s="2463" t="s">
        <v>190</v>
      </c>
      <c r="F203" s="381"/>
      <c r="G203" s="382"/>
      <c r="H203" s="2464" t="s">
        <v>191</v>
      </c>
      <c r="I203" s="3137"/>
      <c r="J203" s="2463" t="s">
        <v>190</v>
      </c>
      <c r="K203" s="381"/>
      <c r="L203" s="382"/>
      <c r="M203" s="2464" t="s">
        <v>191</v>
      </c>
      <c r="N203" s="3137"/>
      <c r="O203" s="2463" t="s">
        <v>190</v>
      </c>
      <c r="P203" s="381"/>
      <c r="Q203" s="382"/>
      <c r="R203" s="2464" t="s">
        <v>191</v>
      </c>
      <c r="S203" s="3138"/>
      <c r="T203" s="3139"/>
      <c r="U203" s="3139"/>
      <c r="V203" s="3139"/>
      <c r="W203" s="3140"/>
      <c r="X203" s="3140"/>
      <c r="Y203" s="3139"/>
      <c r="Z203" s="3139"/>
      <c r="AA203" s="3139"/>
      <c r="AB203" s="3140"/>
      <c r="AC203" s="3140"/>
      <c r="AD203" s="3139"/>
      <c r="AE203" s="3139"/>
      <c r="AF203" s="3139"/>
      <c r="AG203" s="3140"/>
      <c r="AH203" s="3141"/>
      <c r="AI203" s="2499"/>
    </row>
    <row r="204" ht="15.75" customHeight="1">
      <c r="A204" s="2755"/>
      <c r="B204" s="3082"/>
      <c r="C204" s="3065"/>
      <c r="D204" s="3083"/>
      <c r="E204" s="2470" t="s">
        <v>192</v>
      </c>
      <c r="F204" s="2471">
        <f t="array" ref="F204">IFERROR(VLOOKUP(E191,Dex!$B$3:$N330,8,FALSE),"")</f>
        <v>80</v>
      </c>
      <c r="G204" s="2472" t="str">
        <f t="array" ref="G204">IFERROR(VLOOKUP(F204,Dex!$P$22:$Q$276,2,FALSE),"")</f>
        <v/>
      </c>
      <c r="H204" s="2473">
        <v>252.0</v>
      </c>
      <c r="I204" s="3137"/>
      <c r="J204" s="2470" t="s">
        <v>192</v>
      </c>
      <c r="K204" s="2471">
        <f t="array" ref="K204">IFERROR(VLOOKUP(J191,Dex!$B$3:$N330,8,FALSE),"")</f>
        <v>104</v>
      </c>
      <c r="L204" s="2472" t="str">
        <f t="array" ref="L204">IFERROR(VLOOKUP(K204,Dex!$P$22:$Q$276,2,FALSE),"")</f>
        <v/>
      </c>
      <c r="M204" s="2473">
        <v>6.0</v>
      </c>
      <c r="N204" s="3137"/>
      <c r="O204" s="2470" t="s">
        <v>192</v>
      </c>
      <c r="P204" s="2471">
        <f t="array" ref="P204">IFERROR(VLOOKUP(O191,Dex!$B$3:$N330,8,FALSE),"")</f>
        <v>70</v>
      </c>
      <c r="Q204" s="2472" t="str">
        <f t="array" ref="Q204">IFERROR(VLOOKUP(P204,Dex!$P$22:$Q$276,2,FALSE),"")</f>
        <v/>
      </c>
      <c r="R204" s="2473"/>
      <c r="S204" s="3142"/>
      <c r="T204" s="3139"/>
      <c r="U204" s="3139"/>
      <c r="V204" s="3139"/>
      <c r="W204" s="3140"/>
      <c r="X204" s="3143"/>
      <c r="Y204" s="3139"/>
      <c r="Z204" s="3139"/>
      <c r="AA204" s="3139"/>
      <c r="AB204" s="3140"/>
      <c r="AC204" s="3143"/>
      <c r="AD204" s="3139"/>
      <c r="AE204" s="3139"/>
      <c r="AF204" s="3139"/>
      <c r="AG204" s="3140"/>
      <c r="AH204" s="3144"/>
      <c r="AI204" s="2499"/>
    </row>
    <row r="205" ht="15.75" customHeight="1">
      <c r="A205" s="2755"/>
      <c r="B205" s="3082"/>
      <c r="C205" s="3065"/>
      <c r="D205" s="3083"/>
      <c r="E205" s="2474" t="s">
        <v>193</v>
      </c>
      <c r="F205" s="2475">
        <f t="array" ref="F205">IFERROR(VLOOKUP(E191,Dex!$B$3:$N330,9,FALSE),"")</f>
        <v>60</v>
      </c>
      <c r="G205" s="2476" t="str">
        <f t="array" ref="G205">IFERROR(VLOOKUP(F205,Dex!$P$22:$Q$276,2,FALSE),"")</f>
        <v/>
      </c>
      <c r="H205" s="2477"/>
      <c r="I205" s="3137"/>
      <c r="J205" s="2474" t="s">
        <v>193</v>
      </c>
      <c r="K205" s="2475">
        <f t="array" ref="K205">IFERROR(VLOOKUP(J191,Dex!$B$3:$N330,9,FALSE),"")</f>
        <v>81</v>
      </c>
      <c r="L205" s="2476" t="str">
        <f t="array" ref="L205">IFERROR(VLOOKUP(K205,Dex!$P$22:$Q$276,2,FALSE),"")</f>
        <v/>
      </c>
      <c r="M205" s="2477"/>
      <c r="N205" s="3137"/>
      <c r="O205" s="2474" t="s">
        <v>193</v>
      </c>
      <c r="P205" s="2475">
        <f t="array" ref="P205">IFERROR(VLOOKUP(O191,Dex!$B$3:$N330,9,FALSE),"")</f>
        <v>135</v>
      </c>
      <c r="Q205" s="2476" t="str">
        <f t="array" ref="Q205">IFERROR(VLOOKUP(P205,Dex!$P$22:$Q$276,2,FALSE),"")</f>
        <v/>
      </c>
      <c r="R205" s="2477"/>
      <c r="S205" s="3142"/>
      <c r="T205" s="3139"/>
      <c r="U205" s="3139"/>
      <c r="V205" s="3139"/>
      <c r="W205" s="3140"/>
      <c r="X205" s="3143"/>
      <c r="Y205" s="3139"/>
      <c r="Z205" s="3139"/>
      <c r="AA205" s="3139"/>
      <c r="AB205" s="3140"/>
      <c r="AC205" s="3143"/>
      <c r="AD205" s="3139"/>
      <c r="AE205" s="3139"/>
      <c r="AF205" s="3139"/>
      <c r="AG205" s="3140"/>
      <c r="AH205" s="3144"/>
      <c r="AI205" s="2499"/>
    </row>
    <row r="206" ht="15.75" customHeight="1">
      <c r="A206" s="2755"/>
      <c r="B206" s="3082"/>
      <c r="C206" s="3065"/>
      <c r="D206" s="3083"/>
      <c r="E206" s="2474" t="s">
        <v>194</v>
      </c>
      <c r="F206" s="2475">
        <f t="array" ref="F206">IFERROR(VLOOKUP(E191,Dex!$B$3:$N330,10,FALSE),"")</f>
        <v>62</v>
      </c>
      <c r="G206" s="2476" t="str">
        <f t="array" ref="G206">IFERROR(VLOOKUP(F206,Dex!$P$22:$Q$276,2,FALSE),"")</f>
        <v/>
      </c>
      <c r="H206" s="2477"/>
      <c r="I206" s="3137"/>
      <c r="J206" s="2474" t="s">
        <v>194</v>
      </c>
      <c r="K206" s="2475">
        <f t="array" ref="K206">IFERROR(VLOOKUP(J191,Dex!$B$3:$N330,10,FALSE),"")</f>
        <v>63</v>
      </c>
      <c r="L206" s="2476" t="str">
        <f t="array" ref="L206">IFERROR(VLOOKUP(K206,Dex!$P$22:$Q$276,2,FALSE),"")</f>
        <v/>
      </c>
      <c r="M206" s="2477"/>
      <c r="N206" s="3137"/>
      <c r="O206" s="2474" t="s">
        <v>194</v>
      </c>
      <c r="P206" s="2475">
        <f t="array" ref="P206">IFERROR(VLOOKUP(O191,Dex!$B$3:$N330,10,FALSE),"")</f>
        <v>75</v>
      </c>
      <c r="Q206" s="2476" t="str">
        <f t="array" ref="Q206">IFERROR(VLOOKUP(P206,Dex!$P$22:$Q$276,2,FALSE),"")</f>
        <v/>
      </c>
      <c r="R206" s="2477"/>
      <c r="S206" s="3142"/>
      <c r="T206" s="3139"/>
      <c r="U206" s="3139"/>
      <c r="V206" s="3139"/>
      <c r="W206" s="3140"/>
      <c r="X206" s="3143"/>
      <c r="Y206" s="3139"/>
      <c r="Z206" s="3139"/>
      <c r="AA206" s="3139"/>
      <c r="AB206" s="3140"/>
      <c r="AC206" s="3143"/>
      <c r="AD206" s="3139"/>
      <c r="AE206" s="3139"/>
      <c r="AF206" s="3139"/>
      <c r="AG206" s="3140"/>
      <c r="AH206" s="3144"/>
      <c r="AI206" s="2499"/>
    </row>
    <row r="207" ht="15.75" customHeight="1">
      <c r="A207" s="2755"/>
      <c r="B207" s="3082"/>
      <c r="C207" s="3065"/>
      <c r="D207" s="3083"/>
      <c r="E207" s="2474" t="s">
        <v>195</v>
      </c>
      <c r="F207" s="2475">
        <f t="array" ref="F207">IFERROR(VLOOKUP(E191,Dex!$B$3:$N330,11,FALSE),"")</f>
        <v>100</v>
      </c>
      <c r="G207" s="2476" t="str">
        <f t="array" ref="G207">IFERROR(VLOOKUP(F207,Dex!$P$22:$Q$276,2,FALSE),"")</f>
        <v/>
      </c>
      <c r="H207" s="2477">
        <v>252.0</v>
      </c>
      <c r="I207" s="3137"/>
      <c r="J207" s="2474" t="s">
        <v>195</v>
      </c>
      <c r="K207" s="2475">
        <f t="array" ref="K207">IFERROR(VLOOKUP(J191,Dex!$B$3:$N330,11,FALSE),"")</f>
        <v>91</v>
      </c>
      <c r="L207" s="2476" t="str">
        <f t="array" ref="L207">IFERROR(VLOOKUP(K207,Dex!$P$22:$Q$276,2,FALSE),"")</f>
        <v/>
      </c>
      <c r="M207" s="2477">
        <v>252.0</v>
      </c>
      <c r="N207" s="3137"/>
      <c r="O207" s="2474" t="s">
        <v>195</v>
      </c>
      <c r="P207" s="2475">
        <f t="array" ref="P207">IFERROR(VLOOKUP(O191,Dex!$B$3:$N330,11,FALSE),"")</f>
        <v>110</v>
      </c>
      <c r="Q207" s="2476" t="str">
        <f t="array" ref="Q207">IFERROR(VLOOKUP(P207,Dex!$P$22:$Q$276,2,FALSE),"")</f>
        <v/>
      </c>
      <c r="R207" s="2477">
        <v>252.0</v>
      </c>
      <c r="S207" s="3142"/>
      <c r="T207" s="3139"/>
      <c r="U207" s="3139"/>
      <c r="V207" s="3139"/>
      <c r="W207" s="3140"/>
      <c r="X207" s="3143"/>
      <c r="Y207" s="3139"/>
      <c r="Z207" s="3139"/>
      <c r="AA207" s="3139"/>
      <c r="AB207" s="3140"/>
      <c r="AC207" s="3143"/>
      <c r="AD207" s="3139"/>
      <c r="AE207" s="3139"/>
      <c r="AF207" s="3139"/>
      <c r="AG207" s="3140"/>
      <c r="AH207" s="3144"/>
      <c r="AI207" s="2499"/>
    </row>
    <row r="208" ht="15.75" customHeight="1">
      <c r="A208" s="2755"/>
      <c r="B208" s="3082"/>
      <c r="C208" s="3065"/>
      <c r="D208" s="3083"/>
      <c r="E208" s="2474" t="s">
        <v>196</v>
      </c>
      <c r="F208" s="2475">
        <f t="array" ref="F208">IFERROR(VLOOKUP(E191,Dex!$B$3:$N330,12,FALSE),"")</f>
        <v>82</v>
      </c>
      <c r="G208" s="2476" t="str">
        <f t="array" ref="G208">IFERROR(VLOOKUP(F208,Dex!$P$22:$Q$276,2,FALSE),"")</f>
        <v/>
      </c>
      <c r="H208" s="2477"/>
      <c r="I208" s="3137"/>
      <c r="J208" s="2474" t="s">
        <v>196</v>
      </c>
      <c r="K208" s="2475">
        <f t="array" ref="K208">IFERROR(VLOOKUP(J191,Dex!$B$3:$N330,12,FALSE),"")</f>
        <v>73</v>
      </c>
      <c r="L208" s="2476" t="str">
        <f t="array" ref="L208">IFERROR(VLOOKUP(K208,Dex!$P$22:$Q$276,2,FALSE),"")</f>
        <v/>
      </c>
      <c r="M208" s="2477"/>
      <c r="N208" s="3137"/>
      <c r="O208" s="2474" t="s">
        <v>196</v>
      </c>
      <c r="P208" s="2475">
        <f t="array" ref="P208">IFERROR(VLOOKUP(O191,Dex!$B$3:$N330,12,FALSE),"")</f>
        <v>85</v>
      </c>
      <c r="Q208" s="2476" t="str">
        <f t="array" ref="Q208">IFERROR(VLOOKUP(P208,Dex!$P$22:$Q$276,2,FALSE),"")</f>
        <v/>
      </c>
      <c r="R208" s="2477">
        <v>4.0</v>
      </c>
      <c r="S208" s="3142"/>
      <c r="T208" s="3139"/>
      <c r="U208" s="3139"/>
      <c r="V208" s="3139"/>
      <c r="W208" s="3140"/>
      <c r="X208" s="3143"/>
      <c r="Y208" s="3139"/>
      <c r="Z208" s="3139"/>
      <c r="AA208" s="3139"/>
      <c r="AB208" s="3140"/>
      <c r="AC208" s="3143"/>
      <c r="AD208" s="3139"/>
      <c r="AE208" s="3139"/>
      <c r="AF208" s="3139"/>
      <c r="AG208" s="3140"/>
      <c r="AH208" s="3144"/>
      <c r="AI208" s="2499"/>
    </row>
    <row r="209" ht="15.75" customHeight="1">
      <c r="A209" s="2755"/>
      <c r="B209" s="3082"/>
      <c r="C209" s="3065"/>
      <c r="D209" s="3083"/>
      <c r="E209" s="2478" t="s">
        <v>197</v>
      </c>
      <c r="F209" s="2479">
        <f t="array" ref="F209">IFERROR(VLOOKUP(E191,Dex!$B$3:$N330,13,FALSE),"")</f>
        <v>80</v>
      </c>
      <c r="G209" s="2480" t="str">
        <f t="array" ref="G209">IFERROR(VLOOKUP(F209,Dex!$P$22:$Q$276,2,FALSE),"")</f>
        <v/>
      </c>
      <c r="H209" s="2481">
        <v>6.0</v>
      </c>
      <c r="I209" s="3137"/>
      <c r="J209" s="2478" t="s">
        <v>197</v>
      </c>
      <c r="K209" s="2479">
        <f t="array" ref="K209">IFERROR(VLOOKUP(J191,Dex!$B$3:$N330,13,FALSE),"")</f>
        <v>73</v>
      </c>
      <c r="L209" s="2480" t="str">
        <f t="array" ref="L209">IFERROR(VLOOKUP(K209,Dex!$P$22:$Q$276,2,FALSE),"")</f>
        <v/>
      </c>
      <c r="M209" s="2481">
        <v>252.0</v>
      </c>
      <c r="N209" s="3137"/>
      <c r="O209" s="2478" t="s">
        <v>197</v>
      </c>
      <c r="P209" s="2479">
        <f t="array" ref="P209">IFERROR(VLOOKUP(O191,Dex!$B$3:$N330,13,FALSE),"")</f>
        <v>145</v>
      </c>
      <c r="Q209" s="2480" t="str">
        <f t="array" ref="Q209">IFERROR(VLOOKUP(P209,Dex!$P$22:$Q$276,2,FALSE),"")</f>
        <v/>
      </c>
      <c r="R209" s="2481">
        <v>252.0</v>
      </c>
      <c r="S209" s="3142"/>
      <c r="T209" s="3139"/>
      <c r="U209" s="3139"/>
      <c r="V209" s="3139"/>
      <c r="W209" s="3140"/>
      <c r="X209" s="3143"/>
      <c r="Y209" s="3139"/>
      <c r="Z209" s="3139"/>
      <c r="AA209" s="3139"/>
      <c r="AB209" s="3140"/>
      <c r="AC209" s="3143"/>
      <c r="AD209" s="3139"/>
      <c r="AE209" s="3139"/>
      <c r="AF209" s="3139"/>
      <c r="AG209" s="3140"/>
      <c r="AH209" s="3144"/>
      <c r="AI209" s="2499"/>
    </row>
    <row r="210" ht="15.75" customHeight="1">
      <c r="A210" s="2755"/>
      <c r="B210" s="3082"/>
      <c r="C210" s="3065"/>
      <c r="D210" s="3083"/>
      <c r="E210" s="2482" t="s">
        <v>198</v>
      </c>
      <c r="F210" s="405"/>
      <c r="G210" s="406"/>
      <c r="H210" s="2483">
        <v>110.0</v>
      </c>
      <c r="I210" s="3137"/>
      <c r="J210" s="2482" t="s">
        <v>198</v>
      </c>
      <c r="K210" s="405"/>
      <c r="L210" s="406"/>
      <c r="M210" s="2483">
        <v>150.0</v>
      </c>
      <c r="N210" s="3137"/>
      <c r="O210" s="2482" t="s">
        <v>198</v>
      </c>
      <c r="P210" s="405"/>
      <c r="Q210" s="406"/>
      <c r="R210" s="2483">
        <v>237.0</v>
      </c>
      <c r="S210" s="3138"/>
      <c r="T210" s="3139"/>
      <c r="U210" s="3139"/>
      <c r="V210" s="3139"/>
      <c r="W210" s="3140"/>
      <c r="X210" s="3140"/>
      <c r="Y210" s="3139"/>
      <c r="Z210" s="3139"/>
      <c r="AA210" s="3139"/>
      <c r="AB210" s="3139"/>
      <c r="AC210" s="3140"/>
      <c r="AD210" s="3139"/>
      <c r="AE210" s="3139"/>
      <c r="AF210" s="3139"/>
      <c r="AG210" s="3140"/>
      <c r="AH210" s="3141"/>
      <c r="AI210" s="2499"/>
    </row>
    <row r="211" ht="15.0" customHeight="1">
      <c r="A211" s="2270"/>
      <c r="B211" s="3145"/>
      <c r="C211" s="3146"/>
      <c r="D211" s="3147"/>
      <c r="E211" s="3148"/>
      <c r="F211" s="3148"/>
      <c r="G211" s="3148"/>
      <c r="H211" s="3149"/>
      <c r="I211" s="3147"/>
      <c r="J211" s="3148"/>
      <c r="K211" s="3148"/>
      <c r="L211" s="3148"/>
      <c r="M211" s="3148"/>
      <c r="N211" s="3147"/>
      <c r="O211" s="3148"/>
      <c r="P211" s="3148"/>
      <c r="Q211" s="3148"/>
      <c r="R211" s="3149"/>
      <c r="S211" s="3147"/>
      <c r="T211" s="3147"/>
      <c r="U211" s="3147"/>
      <c r="V211" s="3147"/>
      <c r="W211" s="3147"/>
      <c r="X211" s="3147"/>
      <c r="Y211" s="3147"/>
      <c r="Z211" s="3147"/>
      <c r="AA211" s="3147"/>
      <c r="AB211" s="3147"/>
      <c r="AC211" s="3147"/>
      <c r="AD211" s="3147"/>
      <c r="AE211" s="3147"/>
      <c r="AF211" s="3147"/>
      <c r="AG211" s="3147"/>
      <c r="AH211" s="3150"/>
      <c r="AI211" s="2682"/>
    </row>
    <row r="212" ht="15.0" customHeight="1">
      <c r="A212" s="2270"/>
      <c r="B212" s="3151"/>
      <c r="C212" s="3152"/>
      <c r="D212" s="3153"/>
      <c r="E212" s="3154"/>
      <c r="F212" s="3154"/>
      <c r="G212" s="3154"/>
      <c r="H212" s="3154"/>
      <c r="I212" s="3153"/>
      <c r="J212" s="3154"/>
      <c r="K212" s="3154"/>
      <c r="L212" s="3154"/>
      <c r="M212" s="3154"/>
      <c r="N212" s="3153"/>
      <c r="O212" s="3154"/>
      <c r="P212" s="3154"/>
      <c r="Q212" s="3154"/>
      <c r="R212" s="3154"/>
      <c r="S212" s="3153"/>
      <c r="T212" s="3154"/>
      <c r="U212" s="3154"/>
      <c r="V212" s="3154"/>
      <c r="W212" s="3154"/>
      <c r="X212" s="3153"/>
      <c r="Y212" s="3154"/>
      <c r="Z212" s="3154"/>
      <c r="AA212" s="3154"/>
      <c r="AB212" s="3154"/>
      <c r="AC212" s="3153"/>
      <c r="AD212" s="3154"/>
      <c r="AE212" s="3154"/>
      <c r="AF212" s="3154"/>
      <c r="AG212" s="3154"/>
      <c r="AH212" s="3155"/>
      <c r="AI212" s="2682"/>
    </row>
    <row r="213" ht="96.75" customHeight="1">
      <c r="A213" s="2270"/>
      <c r="B213" s="2911"/>
      <c r="C213" s="2912" t="str">
        <f>IMAGE("https://i.ibb.co/dcBy1qG/Giovanni.png")</f>
        <v/>
      </c>
      <c r="D213" s="2913"/>
      <c r="E213" s="2914" t="str">
        <f t="array" ref="E213">IFERROR(VLOOKUP(E214,Dex!$B$3:$G330,3,FALSE),"")</f>
        <v/>
      </c>
      <c r="F213" s="1830"/>
      <c r="G213" s="1830"/>
      <c r="H213" s="1831"/>
      <c r="I213" s="2915"/>
      <c r="J213" s="2914" t="str">
        <f t="array" ref="J213">IFERROR(VLOOKUP(J214,Dex!$B$3:$G330,3,FALSE),"")</f>
        <v/>
      </c>
      <c r="K213" s="1830"/>
      <c r="L213" s="1830"/>
      <c r="M213" s="1831"/>
      <c r="N213" s="2915"/>
      <c r="O213" s="2914" t="str">
        <f t="array" ref="O213">IFERROR(VLOOKUP(O214,Dex!$B$3:$G330,3,FALSE),"")</f>
        <v/>
      </c>
      <c r="P213" s="1830"/>
      <c r="Q213" s="1830"/>
      <c r="R213" s="1831"/>
      <c r="S213" s="2915"/>
      <c r="T213" s="2914" t="str">
        <f t="array" ref="T213">IFERROR(VLOOKUP(T214,Dex!$B$3:$G330,3,FALSE),"")</f>
        <v/>
      </c>
      <c r="U213" s="1830"/>
      <c r="V213" s="1830"/>
      <c r="W213" s="1831"/>
      <c r="X213" s="2915"/>
      <c r="Y213" s="2914" t="str">
        <f t="array" ref="Y213">IFERROR(VLOOKUP(Y214,Dex!$B$3:$G330,3,FALSE),"")</f>
        <v/>
      </c>
      <c r="Z213" s="1830"/>
      <c r="AA213" s="1830"/>
      <c r="AB213" s="1831"/>
      <c r="AC213" s="2915"/>
      <c r="AD213" s="2914" t="str">
        <f t="array" ref="AD213">IFERROR(VLOOKUP(AD214,Dex!$B$3:$G330,3,FALSE),"")</f>
        <v/>
      </c>
      <c r="AE213" s="1830"/>
      <c r="AF213" s="1830"/>
      <c r="AG213" s="1831"/>
      <c r="AH213" s="2916"/>
      <c r="AI213" s="2682"/>
    </row>
    <row r="214" ht="18.75" customHeight="1">
      <c r="A214" s="2297"/>
      <c r="B214" s="2917"/>
      <c r="C214" s="2918" t="s">
        <v>929</v>
      </c>
      <c r="D214" s="2919"/>
      <c r="E214" s="2920" t="s">
        <v>930</v>
      </c>
      <c r="F214" s="2921"/>
      <c r="G214" s="2921"/>
      <c r="H214" s="2922"/>
      <c r="I214" s="2919"/>
      <c r="J214" s="2920" t="s">
        <v>664</v>
      </c>
      <c r="K214" s="2921"/>
      <c r="L214" s="2921"/>
      <c r="M214" s="2922"/>
      <c r="N214" s="2919"/>
      <c r="O214" s="2920" t="s">
        <v>891</v>
      </c>
      <c r="P214" s="2921"/>
      <c r="Q214" s="2921"/>
      <c r="R214" s="2922"/>
      <c r="S214" s="2919"/>
      <c r="T214" s="2920" t="s">
        <v>931</v>
      </c>
      <c r="U214" s="2921"/>
      <c r="V214" s="2921"/>
      <c r="W214" s="2922"/>
      <c r="X214" s="2919"/>
      <c r="Y214" s="2920" t="s">
        <v>932</v>
      </c>
      <c r="Z214" s="2921"/>
      <c r="AA214" s="2921"/>
      <c r="AB214" s="2922"/>
      <c r="AC214" s="2919"/>
      <c r="AD214" s="2920" t="s">
        <v>933</v>
      </c>
      <c r="AE214" s="2921"/>
      <c r="AF214" s="2921"/>
      <c r="AG214" s="2922"/>
      <c r="AH214" s="2923"/>
      <c r="AI214" s="2703"/>
    </row>
    <row r="215">
      <c r="A215" s="2924"/>
      <c r="B215" s="2925"/>
      <c r="C215" s="326"/>
      <c r="D215" s="2926"/>
      <c r="E215" s="2927">
        <v>56.0</v>
      </c>
      <c r="F215" s="2928"/>
      <c r="G215" s="2928"/>
      <c r="H215" s="2929"/>
      <c r="I215" s="2930"/>
      <c r="J215" s="2927">
        <v>57.0</v>
      </c>
      <c r="K215" s="2928"/>
      <c r="L215" s="2928"/>
      <c r="M215" s="2929"/>
      <c r="N215" s="2930"/>
      <c r="O215" s="2927">
        <v>57.0</v>
      </c>
      <c r="P215" s="2928"/>
      <c r="Q215" s="2928"/>
      <c r="R215" s="2929"/>
      <c r="S215" s="2930"/>
      <c r="T215" s="2927">
        <v>57.0</v>
      </c>
      <c r="U215" s="2928"/>
      <c r="V215" s="2928"/>
      <c r="W215" s="2929"/>
      <c r="X215" s="2930"/>
      <c r="Y215" s="2927">
        <v>57.0</v>
      </c>
      <c r="Z215" s="2928"/>
      <c r="AA215" s="2928"/>
      <c r="AB215" s="2929"/>
      <c r="AC215" s="2930"/>
      <c r="AD215" s="2927">
        <v>56.0</v>
      </c>
      <c r="AE215" s="2928"/>
      <c r="AF215" s="2928"/>
      <c r="AG215" s="2929"/>
      <c r="AH215" s="2931"/>
      <c r="AI215" s="2932"/>
    </row>
    <row r="216" ht="25.5" customHeight="1">
      <c r="A216" s="2270"/>
      <c r="B216" s="2933"/>
      <c r="C216" s="2934"/>
      <c r="D216" s="2935"/>
      <c r="E216" s="2936"/>
      <c r="F216" s="2941" t="str">
        <f t="array" ref="F216">IFERROR(VLOOKUP(E214,Dex!$B$3:$H330,5,FALSE),"")</f>
        <v/>
      </c>
      <c r="G216" s="2942"/>
      <c r="H216" s="2939"/>
      <c r="I216" s="3156"/>
      <c r="J216" s="2936"/>
      <c r="K216" s="2937" t="str">
        <f t="array" ref="K216">IFERROR(VLOOKUP(J214,Dex!$B$3:$H330,5,FALSE),"")</f>
        <v/>
      </c>
      <c r="L216" s="2938" t="str">
        <f t="array" ref="L216">IFERROR(VLOOKUP(J214,Dex!$B$3:$H330,7,FALSE),"")</f>
        <v/>
      </c>
      <c r="M216" s="2939"/>
      <c r="N216" s="3156"/>
      <c r="O216" s="2936"/>
      <c r="P216" s="2941" t="str">
        <f t="array" ref="P216">IFERROR(VLOOKUP(O214,Dex!$B$3:$H330,5,FALSE),"")</f>
        <v/>
      </c>
      <c r="Q216" s="2942"/>
      <c r="R216" s="2939"/>
      <c r="S216" s="3156"/>
      <c r="T216" s="2936"/>
      <c r="U216" s="2941" t="str">
        <f t="array" ref="U216">IFERROR(VLOOKUP(T214,Dex!$B$3:$H330,5,FALSE),"")</f>
        <v/>
      </c>
      <c r="V216" s="2942"/>
      <c r="W216" s="2939"/>
      <c r="X216" s="3156"/>
      <c r="Y216" s="2936"/>
      <c r="Z216" s="2937" t="str">
        <f t="array" ref="Z216">IFERROR(VLOOKUP(Y214,Dex!$B$3:$H330,5,FALSE),"")</f>
        <v/>
      </c>
      <c r="AA216" s="2938" t="str">
        <f t="array" ref="AA216">IFERROR(VLOOKUP(Y214,Dex!$B$3:$H330,7,FALSE),"")</f>
        <v/>
      </c>
      <c r="AB216" s="2939"/>
      <c r="AC216" s="3156"/>
      <c r="AD216" s="2936"/>
      <c r="AE216" s="2937" t="str">
        <f t="array" ref="AE216">IFERROR(VLOOKUP(AD214,Dex!$B$3:$H330,5,FALSE),"")</f>
        <v/>
      </c>
      <c r="AF216" s="2938" t="str">
        <f t="array" ref="AF216">IFERROR(VLOOKUP(AD214,Dex!$B$3:$H330,7,FALSE),"")</f>
        <v/>
      </c>
      <c r="AG216" s="2939"/>
      <c r="AH216" s="2916"/>
      <c r="AI216" s="2682"/>
    </row>
    <row r="217" ht="2.25" customHeight="1">
      <c r="A217" s="2270"/>
      <c r="B217" s="2933"/>
      <c r="C217" s="2943"/>
      <c r="D217" s="2935"/>
      <c r="E217" s="2944"/>
      <c r="F217" s="2945"/>
      <c r="G217" s="2945"/>
      <c r="H217" s="2946"/>
      <c r="I217" s="3156"/>
      <c r="J217" s="2944"/>
      <c r="K217" s="2945"/>
      <c r="L217" s="2945"/>
      <c r="M217" s="2946"/>
      <c r="N217" s="3156"/>
      <c r="O217" s="2944"/>
      <c r="P217" s="2945"/>
      <c r="Q217" s="2945"/>
      <c r="R217" s="2946"/>
      <c r="S217" s="3156"/>
      <c r="T217" s="2944"/>
      <c r="U217" s="2945"/>
      <c r="V217" s="2945"/>
      <c r="W217" s="2946"/>
      <c r="X217" s="3156"/>
      <c r="Y217" s="2944"/>
      <c r="Z217" s="2945"/>
      <c r="AA217" s="2945"/>
      <c r="AB217" s="2946"/>
      <c r="AC217" s="3156"/>
      <c r="AD217" s="2944"/>
      <c r="AE217" s="2945"/>
      <c r="AF217" s="2945"/>
      <c r="AG217" s="2946"/>
      <c r="AH217" s="2916"/>
      <c r="AI217" s="2682"/>
    </row>
    <row r="218" ht="20.25" customHeight="1">
      <c r="A218" s="2270"/>
      <c r="B218" s="2933"/>
      <c r="C218" s="2947"/>
      <c r="D218" s="2935"/>
      <c r="E218" s="2948" t="s">
        <v>169</v>
      </c>
      <c r="F218" s="2949"/>
      <c r="G218" s="2949"/>
      <c r="H218" s="2950"/>
      <c r="I218" s="3157"/>
      <c r="J218" s="2948" t="s">
        <v>169</v>
      </c>
      <c r="K218" s="2949"/>
      <c r="L218" s="2949"/>
      <c r="M218" s="2950"/>
      <c r="N218" s="3157"/>
      <c r="O218" s="2948" t="s">
        <v>172</v>
      </c>
      <c r="P218" s="2949"/>
      <c r="Q218" s="2949"/>
      <c r="R218" s="2950"/>
      <c r="S218" s="3157"/>
      <c r="T218" s="2948" t="s">
        <v>531</v>
      </c>
      <c r="U218" s="2949"/>
      <c r="V218" s="2949"/>
      <c r="W218" s="2950"/>
      <c r="X218" s="3157"/>
      <c r="Y218" s="2948" t="s">
        <v>172</v>
      </c>
      <c r="Z218" s="2949"/>
      <c r="AA218" s="2949"/>
      <c r="AB218" s="2950"/>
      <c r="AC218" s="3157"/>
      <c r="AD218" s="2948" t="s">
        <v>172</v>
      </c>
      <c r="AE218" s="2949"/>
      <c r="AF218" s="2949"/>
      <c r="AG218" s="2950"/>
      <c r="AH218" s="2916"/>
      <c r="AI218" s="2682"/>
    </row>
    <row r="219">
      <c r="A219" s="2270"/>
      <c r="B219" s="2933"/>
      <c r="C219" s="2951"/>
      <c r="D219" s="2935"/>
      <c r="E219" s="2952" t="s">
        <v>423</v>
      </c>
      <c r="F219" s="2953"/>
      <c r="G219" s="2953"/>
      <c r="H219" s="2954"/>
      <c r="I219" s="3157"/>
      <c r="J219" s="2952" t="s">
        <v>934</v>
      </c>
      <c r="K219" s="2953"/>
      <c r="L219" s="2953"/>
      <c r="M219" s="2954"/>
      <c r="N219" s="3157"/>
      <c r="O219" s="2952" t="s">
        <v>935</v>
      </c>
      <c r="P219" s="2953"/>
      <c r="Q219" s="2953"/>
      <c r="R219" s="2954"/>
      <c r="S219" s="3157"/>
      <c r="T219" s="2952" t="s">
        <v>936</v>
      </c>
      <c r="U219" s="2953"/>
      <c r="V219" s="2953"/>
      <c r="W219" s="2954"/>
      <c r="X219" s="3157"/>
      <c r="Y219" s="2952" t="s">
        <v>937</v>
      </c>
      <c r="Z219" s="2953"/>
      <c r="AA219" s="2953"/>
      <c r="AB219" s="2954"/>
      <c r="AC219" s="3157"/>
      <c r="AD219" s="2952" t="s">
        <v>424</v>
      </c>
      <c r="AE219" s="2953"/>
      <c r="AF219" s="2953"/>
      <c r="AG219" s="2954"/>
      <c r="AH219" s="2916"/>
      <c r="AI219" s="2682"/>
    </row>
    <row r="220" ht="20.25" customHeight="1">
      <c r="A220" s="2270"/>
      <c r="B220" s="2933"/>
      <c r="C220" s="2943"/>
      <c r="D220" s="2935"/>
      <c r="E220" s="2955" t="s">
        <v>938</v>
      </c>
      <c r="F220" s="2956"/>
      <c r="G220" s="2957"/>
      <c r="H220" s="2958" t="str">
        <f>IMAGE("https://raw.githubusercontent.com/msikma/pokesprite/master/items/hold-item/smooth-rock.png",3)</f>
        <v/>
      </c>
      <c r="I220" s="3156"/>
      <c r="J220" s="2955" t="s">
        <v>240</v>
      </c>
      <c r="K220" s="2956"/>
      <c r="L220" s="2957"/>
      <c r="M220" s="2958" t="str">
        <f>IMAGE("https://raw.githubusercontent.com/msikma/pokesprite/master/items/hold-item/focus-sash.png",3)</f>
        <v/>
      </c>
      <c r="N220" s="3156"/>
      <c r="O220" s="2955" t="s">
        <v>897</v>
      </c>
      <c r="P220" s="2956"/>
      <c r="Q220" s="2957"/>
      <c r="R220" s="2958" t="str">
        <f>IMAGE("https://raw.githubusercontent.com/msikma/pokesprite/master/items/mega-stone/kangaskhanite.png",3)</f>
        <v/>
      </c>
      <c r="S220" s="3156"/>
      <c r="T220" s="2955" t="s">
        <v>394</v>
      </c>
      <c r="U220" s="2956"/>
      <c r="V220" s="2957"/>
      <c r="W220" s="2958" t="str">
        <f>IMAGE("https://raw.githubusercontent.com/msikma/pokesprite/master/items/hold-item/leftovers.png",3)</f>
        <v/>
      </c>
      <c r="X220" s="3156"/>
      <c r="Y220" s="2955" t="s">
        <v>939</v>
      </c>
      <c r="Z220" s="2956"/>
      <c r="AA220" s="2957"/>
      <c r="AB220" s="2958" t="str">
        <f>IMAGE("https://raw.githubusercontent.com/msikma/pokesprite/master/items/berry/yache.png",3)</f>
        <v/>
      </c>
      <c r="AC220" s="3156"/>
      <c r="AD220" s="2955" t="s">
        <v>626</v>
      </c>
      <c r="AE220" s="2956"/>
      <c r="AF220" s="2957"/>
      <c r="AG220" s="2958" t="str">
        <f>IMAGE("https://raw.githubusercontent.com/msikma/pokesprite/master/items/hold-item/white-herb.png",3)</f>
        <v/>
      </c>
      <c r="AH220" s="2916"/>
      <c r="AI220" s="2682"/>
    </row>
    <row r="221" ht="20.25" customHeight="1">
      <c r="A221" s="2270"/>
      <c r="B221" s="2933"/>
      <c r="C221" s="2947"/>
      <c r="D221" s="2935"/>
      <c r="E221" s="2948" t="s">
        <v>399</v>
      </c>
      <c r="F221" s="2949"/>
      <c r="G221" s="2959"/>
      <c r="H221" s="2960" t="str">
        <f>IMAGE("https://raw.githubusercontent.com/msikma/pokesprite/master/misc/types/gen8/rock.png",4,20,20)</f>
        <v/>
      </c>
      <c r="I221" s="3156"/>
      <c r="J221" s="2948" t="s">
        <v>402</v>
      </c>
      <c r="K221" s="2949"/>
      <c r="L221" s="2959"/>
      <c r="M221" s="2960" t="str">
        <f>IMAGE("https://raw.githubusercontent.com/msikma/pokesprite/master/misc/types/gen8/ground.png",4,20,20)</f>
        <v/>
      </c>
      <c r="N221" s="3156"/>
      <c r="O221" s="2948" t="s">
        <v>736</v>
      </c>
      <c r="P221" s="2949"/>
      <c r="Q221" s="2959"/>
      <c r="R221" s="2960" t="str">
        <f>IMAGE("https://raw.githubusercontent.com/msikma/pokesprite/master/misc/types/gen8/fighting.png",4,20,20)</f>
        <v/>
      </c>
      <c r="S221" s="3156"/>
      <c r="T221" s="2948" t="s">
        <v>187</v>
      </c>
      <c r="U221" s="2949"/>
      <c r="V221" s="2959"/>
      <c r="W221" s="2960" t="str">
        <f>IMAGE("https://raw.githubusercontent.com/msikma/pokesprite/master/misc/types/gen8/normal.png",4,20,20)</f>
        <v/>
      </c>
      <c r="X221" s="3156"/>
      <c r="Y221" s="2948" t="s">
        <v>489</v>
      </c>
      <c r="Z221" s="2949"/>
      <c r="AA221" s="2959"/>
      <c r="AB221" s="2960" t="str">
        <f>IMAGE("https://raw.githubusercontent.com/msikma/pokesprite/master/misc/types/gen8/normal.png",4,20,20)</f>
        <v/>
      </c>
      <c r="AC221" s="3156"/>
      <c r="AD221" s="2948" t="s">
        <v>428</v>
      </c>
      <c r="AE221" s="2949"/>
      <c r="AF221" s="2959"/>
      <c r="AG221" s="2960" t="str">
        <f>IMAGE("https://raw.githubusercontent.com/msikma/pokesprite/master/misc/types/gen8/normal.png",4,20,20)</f>
        <v/>
      </c>
      <c r="AH221" s="2916"/>
      <c r="AI221" s="2682"/>
    </row>
    <row r="222" ht="20.25" customHeight="1">
      <c r="A222" s="2270"/>
      <c r="B222" s="2933"/>
      <c r="C222" s="2961"/>
      <c r="D222" s="2935"/>
      <c r="E222" s="2952" t="s">
        <v>402</v>
      </c>
      <c r="F222" s="2953"/>
      <c r="G222" s="2962"/>
      <c r="H222" s="2963" t="str">
        <f>IMAGE("https://raw.githubusercontent.com/msikma/pokesprite/master/misc/types/gen8/ground.png",4,20,20)</f>
        <v/>
      </c>
      <c r="I222" s="3156"/>
      <c r="J222" s="2952" t="s">
        <v>407</v>
      </c>
      <c r="K222" s="2953"/>
      <c r="L222" s="2962"/>
      <c r="M222" s="2963" t="str">
        <f>IMAGE("https://raw.githubusercontent.com/msikma/pokesprite/master/misc/types/gen8/steel.png",4,20,20)</f>
        <v/>
      </c>
      <c r="N222" s="3156"/>
      <c r="O222" s="2952" t="s">
        <v>476</v>
      </c>
      <c r="P222" s="2953"/>
      <c r="Q222" s="2962"/>
      <c r="R222" s="2963" t="str">
        <f t="shared" ref="R222:R223" si="11">IMAGE("https://raw.githubusercontent.com/msikma/pokesprite/master/misc/types/gen8/normal.png",4,20,20)</f>
        <v/>
      </c>
      <c r="S222" s="3156"/>
      <c r="T222" s="2952" t="s">
        <v>463</v>
      </c>
      <c r="U222" s="2953"/>
      <c r="V222" s="2962"/>
      <c r="W222" s="2963" t="str">
        <f>IMAGE("https://raw.githubusercontent.com/msikma/pokesprite/master/misc/types/gen8/fighting.png",4,20,20)</f>
        <v/>
      </c>
      <c r="X222" s="3156"/>
      <c r="Y222" s="2952" t="s">
        <v>402</v>
      </c>
      <c r="Z222" s="2953"/>
      <c r="AA222" s="2962"/>
      <c r="AB222" s="2963" t="str">
        <f>IMAGE("https://raw.githubusercontent.com/msikma/pokesprite/master/misc/types/gen8/ground.png",4,20,20)</f>
        <v/>
      </c>
      <c r="AC222" s="3156"/>
      <c r="AD222" s="2952" t="s">
        <v>940</v>
      </c>
      <c r="AE222" s="2953"/>
      <c r="AF222" s="2962"/>
      <c r="AG222" s="2963" t="str">
        <f>IMAGE("https://raw.githubusercontent.com/msikma/pokesprite/master/misc/types/gen8/grass.png",4,20,20)</f>
        <v/>
      </c>
      <c r="AH222" s="2916"/>
      <c r="AI222" s="2682"/>
    </row>
    <row r="223" ht="20.25" customHeight="1">
      <c r="A223" s="2270"/>
      <c r="B223" s="2933"/>
      <c r="C223" s="2961"/>
      <c r="D223" s="2935"/>
      <c r="E223" s="2952" t="s">
        <v>658</v>
      </c>
      <c r="F223" s="2953"/>
      <c r="G223" s="2962"/>
      <c r="H223" s="2963" t="str">
        <f>IMAGE("https://raw.githubusercontent.com/msikma/pokesprite/master/misc/types/gen8/normal.png",4,20,20)</f>
        <v/>
      </c>
      <c r="I223" s="3156"/>
      <c r="J223" s="2952" t="s">
        <v>610</v>
      </c>
      <c r="K223" s="2953"/>
      <c r="L223" s="2962"/>
      <c r="M223" s="2963" t="str">
        <f>IMAGE("https://raw.githubusercontent.com/msikma/pokesprite/master/misc/types/gen8/rock.png",4,20,20)</f>
        <v/>
      </c>
      <c r="N223" s="3156"/>
      <c r="O223" s="2952" t="s">
        <v>557</v>
      </c>
      <c r="P223" s="2953"/>
      <c r="Q223" s="2962"/>
      <c r="R223" s="2963" t="str">
        <f t="shared" si="11"/>
        <v/>
      </c>
      <c r="S223" s="3156"/>
      <c r="T223" s="2952" t="s">
        <v>941</v>
      </c>
      <c r="U223" s="2953"/>
      <c r="V223" s="2962"/>
      <c r="W223" s="2963" t="str">
        <f>IMAGE("https://raw.githubusercontent.com/msikma/pokesprite/master/misc/types/gen8/rock.png",4,20,20)</f>
        <v/>
      </c>
      <c r="X223" s="3156"/>
      <c r="Y223" s="2952" t="s">
        <v>610</v>
      </c>
      <c r="Z223" s="2953"/>
      <c r="AA223" s="2962"/>
      <c r="AB223" s="2963" t="str">
        <f>IMAGE("https://raw.githubusercontent.com/msikma/pokesprite/master/misc/types/gen8/rock.png",4,20,20)</f>
        <v/>
      </c>
      <c r="AC223" s="3156"/>
      <c r="AD223" s="2952" t="s">
        <v>402</v>
      </c>
      <c r="AE223" s="2953"/>
      <c r="AF223" s="2962"/>
      <c r="AG223" s="2963" t="str">
        <f>IMAGE("https://raw.githubusercontent.com/msikma/pokesprite/master/misc/types/gen8/ground.png",4,20,20)</f>
        <v/>
      </c>
      <c r="AH223" s="2916"/>
      <c r="AI223" s="2682"/>
    </row>
    <row r="224" ht="21.0" customHeight="1">
      <c r="A224" s="2270"/>
      <c r="B224" s="2933"/>
      <c r="C224" s="2961"/>
      <c r="D224" s="2935"/>
      <c r="E224" s="2964" t="s">
        <v>395</v>
      </c>
      <c r="F224" s="2965"/>
      <c r="G224" s="2966"/>
      <c r="H224" s="2967" t="str">
        <f>IMAGE("https://raw.githubusercontent.com/msikma/pokesprite/master/misc/types/gen8/rock.png",4,20,20)</f>
        <v/>
      </c>
      <c r="I224" s="3156"/>
      <c r="J224" s="2964" t="s">
        <v>489</v>
      </c>
      <c r="K224" s="2965"/>
      <c r="L224" s="2966"/>
      <c r="M224" s="2967" t="str">
        <f>IMAGE("https://raw.githubusercontent.com/msikma/pokesprite/master/misc/types/gen8/normal.png",4,20,20)</f>
        <v/>
      </c>
      <c r="N224" s="3156"/>
      <c r="O224" s="2964" t="s">
        <v>320</v>
      </c>
      <c r="P224" s="2965"/>
      <c r="Q224" s="2966"/>
      <c r="R224" s="2967" t="str">
        <f>IMAGE("https://raw.githubusercontent.com/msikma/pokesprite/master/misc/types/gen8/dark.png",4,20,20)</f>
        <v/>
      </c>
      <c r="S224" s="3156"/>
      <c r="T224" s="2964" t="s">
        <v>221</v>
      </c>
      <c r="U224" s="2965"/>
      <c r="V224" s="2966"/>
      <c r="W224" s="2967" t="str">
        <f>IMAGE("https://raw.githubusercontent.com/msikma/pokesprite/master/misc/types/gen8/normal.png",4,20,20)</f>
        <v/>
      </c>
      <c r="X224" s="3156"/>
      <c r="Y224" s="2964" t="s">
        <v>811</v>
      </c>
      <c r="Z224" s="2965"/>
      <c r="AA224" s="2966"/>
      <c r="AB224" s="2967" t="str">
        <f>IMAGE("https://raw.githubusercontent.com/msikma/pokesprite/master/misc/types/gen8/dragon.png",4,20,20)</f>
        <v/>
      </c>
      <c r="AC224" s="3156"/>
      <c r="AD224" s="2964" t="s">
        <v>431</v>
      </c>
      <c r="AE224" s="2965"/>
      <c r="AF224" s="2966"/>
      <c r="AG224" s="2967" t="str">
        <f>IMAGE("https://raw.githubusercontent.com/msikma/pokesprite/master/misc/types/gen8/rock.png",4,20,20)</f>
        <v/>
      </c>
      <c r="AH224" s="2916"/>
      <c r="AI224" s="2682"/>
    </row>
    <row r="225" ht="3.0" customHeight="1">
      <c r="A225" s="2745"/>
      <c r="B225" s="2968"/>
      <c r="C225" s="2969"/>
      <c r="D225" s="2970"/>
      <c r="E225" s="2971"/>
      <c r="F225" s="2971"/>
      <c r="G225" s="2971"/>
      <c r="H225" s="2971"/>
      <c r="I225" s="2970"/>
      <c r="J225" s="2971"/>
      <c r="K225" s="2971"/>
      <c r="L225" s="2971"/>
      <c r="M225" s="2971"/>
      <c r="N225" s="2970"/>
      <c r="O225" s="2971"/>
      <c r="P225" s="2971"/>
      <c r="Q225" s="2971"/>
      <c r="R225" s="2971"/>
      <c r="S225" s="2970"/>
      <c r="T225" s="2971"/>
      <c r="U225" s="2971"/>
      <c r="V225" s="2971"/>
      <c r="W225" s="2972"/>
      <c r="X225" s="2970"/>
      <c r="Y225" s="3158"/>
      <c r="Z225" s="3159"/>
      <c r="AA225" s="3159"/>
      <c r="AB225" s="2975"/>
      <c r="AC225" s="2970"/>
      <c r="AD225" s="2976"/>
      <c r="AE225" s="2976"/>
      <c r="AF225" s="2976"/>
      <c r="AG225" s="2975"/>
      <c r="AH225" s="2977"/>
      <c r="AI225" s="2754"/>
    </row>
    <row r="226" ht="16.5" customHeight="1">
      <c r="A226" s="2755"/>
      <c r="B226" s="2978"/>
      <c r="C226" s="2969"/>
      <c r="D226" s="2979"/>
      <c r="E226" s="2980" t="s">
        <v>190</v>
      </c>
      <c r="F226" s="381"/>
      <c r="G226" s="382"/>
      <c r="H226" s="2981" t="s">
        <v>191</v>
      </c>
      <c r="I226" s="3160"/>
      <c r="J226" s="2980" t="s">
        <v>190</v>
      </c>
      <c r="K226" s="381"/>
      <c r="L226" s="382"/>
      <c r="M226" s="2981" t="s">
        <v>191</v>
      </c>
      <c r="N226" s="3160"/>
      <c r="O226" s="2980" t="s">
        <v>190</v>
      </c>
      <c r="P226" s="381"/>
      <c r="Q226" s="382"/>
      <c r="R226" s="2981" t="s">
        <v>191</v>
      </c>
      <c r="S226" s="3160"/>
      <c r="T226" s="2980" t="s">
        <v>190</v>
      </c>
      <c r="U226" s="381"/>
      <c r="V226" s="382"/>
      <c r="W226" s="2981" t="s">
        <v>191</v>
      </c>
      <c r="X226" s="3160"/>
      <c r="Y226" s="2980" t="s">
        <v>190</v>
      </c>
      <c r="Z226" s="381"/>
      <c r="AA226" s="382"/>
      <c r="AB226" s="2981" t="s">
        <v>191</v>
      </c>
      <c r="AC226" s="3160"/>
      <c r="AD226" s="2980" t="s">
        <v>190</v>
      </c>
      <c r="AE226" s="381"/>
      <c r="AF226" s="382"/>
      <c r="AG226" s="2981" t="s">
        <v>191</v>
      </c>
      <c r="AH226" s="2983"/>
      <c r="AI226" s="2499"/>
    </row>
    <row r="227" ht="16.5" customHeight="1">
      <c r="A227" s="2755"/>
      <c r="B227" s="2978"/>
      <c r="C227" s="2969"/>
      <c r="D227" s="2979"/>
      <c r="E227" s="2984" t="s">
        <v>192</v>
      </c>
      <c r="F227" s="2985">
        <f t="array" ref="F227">IFERROR(VLOOKUP(E214,Dex!$B$3:$N330,8,FALSE),"")</f>
        <v>108</v>
      </c>
      <c r="G227" s="2986" t="str">
        <f t="array" ref="G227">IFERROR(VLOOKUP(F227,Dex!$P$22:$Q$276,2,FALSE),"")</f>
        <v/>
      </c>
      <c r="H227" s="2987">
        <v>252.0</v>
      </c>
      <c r="I227" s="3160"/>
      <c r="J227" s="2984" t="s">
        <v>192</v>
      </c>
      <c r="K227" s="2985">
        <f t="array" ref="K227">IFERROR(VLOOKUP(J214,Dex!$B$3:$N330,8,FALSE),"")</f>
        <v>110</v>
      </c>
      <c r="L227" s="2986" t="str">
        <f t="array" ref="L227">IFERROR(VLOOKUP(K227,Dex!$P$22:$Q$276,2,FALSE),"")</f>
        <v/>
      </c>
      <c r="M227" s="2987"/>
      <c r="N227" s="3160"/>
      <c r="O227" s="2984" t="s">
        <v>192</v>
      </c>
      <c r="P227" s="2985">
        <f t="array" ref="P227">IFERROR(VLOOKUP(O214,Dex!$B$3:$N330,8,FALSE),"")</f>
        <v>105</v>
      </c>
      <c r="Q227" s="2986" t="str">
        <f t="array" ref="Q227">IFERROR(VLOOKUP(P227,Dex!$P$22:$Q$276,2,FALSE),"")</f>
        <v/>
      </c>
      <c r="R227" s="2987"/>
      <c r="S227" s="3160"/>
      <c r="T227" s="2984" t="s">
        <v>192</v>
      </c>
      <c r="U227" s="2985">
        <f t="array" ref="U227">IFERROR(VLOOKUP(T214,Dex!$B$3:$N330,8,FALSE),"")</f>
        <v>100</v>
      </c>
      <c r="V227" s="2986" t="str">
        <f t="array" ref="V227">IFERROR(VLOOKUP(U227,Dex!$P$22:$Q$276,2,FALSE),"")</f>
        <v/>
      </c>
      <c r="W227" s="2987">
        <v>252.0</v>
      </c>
      <c r="X227" s="3160"/>
      <c r="Y227" s="2984" t="s">
        <v>192</v>
      </c>
      <c r="Z227" s="2985">
        <f t="array" ref="Z227">IFERROR(VLOOKUP(Y214,Dex!$B$3:$N330,8,FALSE),"")</f>
        <v>108</v>
      </c>
      <c r="AA227" s="2986" t="str">
        <f t="array" ref="AA227">IFERROR(VLOOKUP(Z227,Dex!$P$22:$Q$276,2,FALSE),"")</f>
        <v/>
      </c>
      <c r="AB227" s="2987"/>
      <c r="AC227" s="3160"/>
      <c r="AD227" s="2984" t="s">
        <v>192</v>
      </c>
      <c r="AE227" s="2985">
        <f t="array" ref="AE227">IFERROR(VLOOKUP(AD214,Dex!$B$3:$N330,8,FALSE),"")</f>
        <v>95</v>
      </c>
      <c r="AF227" s="2986" t="str">
        <f t="array" ref="AF227">IFERROR(VLOOKUP(AE227,Dex!$P$22:$Q$276,2,FALSE),"")</f>
        <v/>
      </c>
      <c r="AG227" s="2987"/>
      <c r="AH227" s="2983"/>
      <c r="AI227" s="2499"/>
    </row>
    <row r="228" ht="16.5" customHeight="1">
      <c r="A228" s="2755"/>
      <c r="B228" s="2978"/>
      <c r="C228" s="2969"/>
      <c r="D228" s="2979"/>
      <c r="E228" s="2988" t="s">
        <v>193</v>
      </c>
      <c r="F228" s="2989">
        <f t="array" ref="F228">IFERROR(VLOOKUP(E214,Dex!$B$3:$N330,9,FALSE),"")</f>
        <v>112</v>
      </c>
      <c r="G228" s="2990" t="str">
        <f t="array" ref="G228">IFERROR(VLOOKUP(F228,Dex!$P$22:$Q$276,2,FALSE),"")</f>
        <v/>
      </c>
      <c r="H228" s="2991">
        <v>252.0</v>
      </c>
      <c r="I228" s="3160"/>
      <c r="J228" s="2988" t="s">
        <v>193</v>
      </c>
      <c r="K228" s="2989">
        <f t="array" ref="K228">IFERROR(VLOOKUP(J214,Dex!$B$3:$N330,9,FALSE),"")</f>
        <v>135</v>
      </c>
      <c r="L228" s="2990" t="str">
        <f t="array" ref="L228">IFERROR(VLOOKUP(K228,Dex!$P$22:$Q$276,2,FALSE),"")</f>
        <v/>
      </c>
      <c r="M228" s="2991">
        <v>252.0</v>
      </c>
      <c r="N228" s="3160"/>
      <c r="O228" s="2988" t="s">
        <v>193</v>
      </c>
      <c r="P228" s="2989">
        <f t="array" ref="P228">IFERROR(VLOOKUP(O214,Dex!$B$3:$N330,9,FALSE),"")</f>
        <v>125</v>
      </c>
      <c r="Q228" s="2990" t="str">
        <f t="array" ref="Q228">IFERROR(VLOOKUP(P228,Dex!$P$22:$Q$276,2,FALSE),"")</f>
        <v/>
      </c>
      <c r="R228" s="2991">
        <v>252.0</v>
      </c>
      <c r="S228" s="3160"/>
      <c r="T228" s="2988" t="s">
        <v>193</v>
      </c>
      <c r="U228" s="2989">
        <f t="array" ref="U228">IFERROR(VLOOKUP(T214,Dex!$B$3:$N330,9,FALSE),"")</f>
        <v>100</v>
      </c>
      <c r="V228" s="2990" t="str">
        <f t="array" ref="V228">IFERROR(VLOOKUP(U228,Dex!$P$22:$Q$276,2,FALSE),"")</f>
        <v/>
      </c>
      <c r="W228" s="2991"/>
      <c r="X228" s="3160"/>
      <c r="Y228" s="2988" t="s">
        <v>193</v>
      </c>
      <c r="Z228" s="2989">
        <f t="array" ref="Z228">IFERROR(VLOOKUP(Y214,Dex!$B$3:$N330,9,FALSE),"")</f>
        <v>130</v>
      </c>
      <c r="AA228" s="2990" t="str">
        <f t="array" ref="AA228">IFERROR(VLOOKUP(Z228,Dex!$P$22:$Q$276,2,FALSE),"")</f>
        <v/>
      </c>
      <c r="AB228" s="2991">
        <v>252.0</v>
      </c>
      <c r="AC228" s="3160"/>
      <c r="AD228" s="2988" t="s">
        <v>193</v>
      </c>
      <c r="AE228" s="2989">
        <f t="array" ref="AE228">IFERROR(VLOOKUP(AD214,Dex!$B$3:$N330,9,FALSE),"")</f>
        <v>109</v>
      </c>
      <c r="AF228" s="2990" t="str">
        <f t="array" ref="AF228">IFERROR(VLOOKUP(AE228,Dex!$P$22:$Q$276,2,FALSE),"")</f>
        <v/>
      </c>
      <c r="AG228" s="2991">
        <v>252.0</v>
      </c>
      <c r="AH228" s="2983"/>
      <c r="AI228" s="2499"/>
    </row>
    <row r="229" ht="16.5" customHeight="1">
      <c r="A229" s="2755"/>
      <c r="B229" s="2978"/>
      <c r="C229" s="2969"/>
      <c r="D229" s="2979"/>
      <c r="E229" s="2988" t="s">
        <v>194</v>
      </c>
      <c r="F229" s="2989">
        <f t="array" ref="F229">IFERROR(VLOOKUP(E214,Dex!$B$3:$N330,10,FALSE),"")</f>
        <v>118</v>
      </c>
      <c r="G229" s="2990" t="str">
        <f t="array" ref="G229">IFERROR(VLOOKUP(F229,Dex!$P$22:$Q$276,2,FALSE),"")</f>
        <v/>
      </c>
      <c r="H229" s="2991">
        <v>4.0</v>
      </c>
      <c r="I229" s="3160"/>
      <c r="J229" s="2988" t="s">
        <v>194</v>
      </c>
      <c r="K229" s="2989">
        <f t="array" ref="K229">IFERROR(VLOOKUP(J214,Dex!$B$3:$N330,10,FALSE),"")</f>
        <v>60</v>
      </c>
      <c r="L229" s="2990" t="str">
        <f t="array" ref="L229">IFERROR(VLOOKUP(K229,Dex!$P$22:$Q$276,2,FALSE),"")</f>
        <v/>
      </c>
      <c r="M229" s="2991">
        <v>4.0</v>
      </c>
      <c r="N229" s="3160"/>
      <c r="O229" s="2988" t="s">
        <v>194</v>
      </c>
      <c r="P229" s="2989">
        <f t="array" ref="P229">IFERROR(VLOOKUP(O214,Dex!$B$3:$N330,10,FALSE),"")</f>
        <v>100</v>
      </c>
      <c r="Q229" s="2990" t="str">
        <f t="array" ref="Q229">IFERROR(VLOOKUP(P229,Dex!$P$22:$Q$276,2,FALSE),"")</f>
        <v/>
      </c>
      <c r="R229" s="2991">
        <v>4.0</v>
      </c>
      <c r="S229" s="3160"/>
      <c r="T229" s="2988" t="s">
        <v>194</v>
      </c>
      <c r="U229" s="2989">
        <f t="array" ref="U229">IFERROR(VLOOKUP(T214,Dex!$B$3:$N330,10,FALSE),"")</f>
        <v>130</v>
      </c>
      <c r="V229" s="2990" t="str">
        <f t="array" ref="V229">IFERROR(VLOOKUP(U229,Dex!$P$22:$Q$276,2,FALSE),"")</f>
        <v/>
      </c>
      <c r="W229" s="2991">
        <v>252.0</v>
      </c>
      <c r="X229" s="3160"/>
      <c r="Y229" s="2988" t="s">
        <v>194</v>
      </c>
      <c r="Z229" s="2989">
        <f t="array" ref="Z229">IFERROR(VLOOKUP(Y214,Dex!$B$3:$N330,10,FALSE),"")</f>
        <v>95</v>
      </c>
      <c r="AA229" s="2990" t="str">
        <f t="array" ref="AA229">IFERROR(VLOOKUP(Z229,Dex!$P$22:$Q$276,2,FALSE),"")</f>
        <v/>
      </c>
      <c r="AB229" s="2991">
        <v>4.0</v>
      </c>
      <c r="AC229" s="3160"/>
      <c r="AD229" s="2988" t="s">
        <v>194</v>
      </c>
      <c r="AE229" s="2989">
        <f t="array" ref="AE229">IFERROR(VLOOKUP(AD214,Dex!$B$3:$N330,10,FALSE),"")</f>
        <v>105</v>
      </c>
      <c r="AF229" s="2990" t="str">
        <f t="array" ref="AF229">IFERROR(VLOOKUP(AE229,Dex!$P$22:$Q$276,2,FALSE),"")</f>
        <v/>
      </c>
      <c r="AG229" s="2991"/>
      <c r="AH229" s="2983"/>
      <c r="AI229" s="2499"/>
    </row>
    <row r="230" ht="16.5" customHeight="1">
      <c r="A230" s="2755"/>
      <c r="B230" s="2978"/>
      <c r="C230" s="2969"/>
      <c r="D230" s="2979"/>
      <c r="E230" s="2988" t="s">
        <v>195</v>
      </c>
      <c r="F230" s="2989">
        <f t="array" ref="F230">IFERROR(VLOOKUP(E214,Dex!$B$3:$N330,11,FALSE),"")</f>
        <v>68</v>
      </c>
      <c r="G230" s="2990" t="str">
        <f t="array" ref="G230">IFERROR(VLOOKUP(F230,Dex!$P$22:$Q$276,2,FALSE),"")</f>
        <v/>
      </c>
      <c r="H230" s="2991"/>
      <c r="I230" s="3160"/>
      <c r="J230" s="2988" t="s">
        <v>195</v>
      </c>
      <c r="K230" s="2989">
        <f t="array" ref="K230">IFERROR(VLOOKUP(J214,Dex!$B$3:$N330,11,FALSE),"")</f>
        <v>50</v>
      </c>
      <c r="L230" s="2990" t="str">
        <f t="array" ref="L230">IFERROR(VLOOKUP(K230,Dex!$P$22:$Q$276,2,FALSE),"")</f>
        <v/>
      </c>
      <c r="M230" s="2991"/>
      <c r="N230" s="3160"/>
      <c r="O230" s="2988" t="s">
        <v>195</v>
      </c>
      <c r="P230" s="2989">
        <f t="array" ref="P230">IFERROR(VLOOKUP(O214,Dex!$B$3:$N330,11,FALSE),"")</f>
        <v>60</v>
      </c>
      <c r="Q230" s="2990" t="str">
        <f t="array" ref="Q230">IFERROR(VLOOKUP(P230,Dex!$P$22:$Q$276,2,FALSE),"")</f>
        <v/>
      </c>
      <c r="R230" s="2991"/>
      <c r="S230" s="3160"/>
      <c r="T230" s="2988" t="s">
        <v>195</v>
      </c>
      <c r="U230" s="2989">
        <f t="array" ref="U230">IFERROR(VLOOKUP(T214,Dex!$B$3:$N330,11,FALSE),"")</f>
        <v>45</v>
      </c>
      <c r="V230" s="2990" t="str">
        <f t="array" ref="V230">IFERROR(VLOOKUP(U230,Dex!$P$22:$Q$276,2,FALSE),"")</f>
        <v/>
      </c>
      <c r="W230" s="2991"/>
      <c r="X230" s="3160"/>
      <c r="Y230" s="2988" t="s">
        <v>195</v>
      </c>
      <c r="Z230" s="2989">
        <f t="array" ref="Z230">IFERROR(VLOOKUP(Y214,Dex!$B$3:$N330,11,FALSE),"")</f>
        <v>80</v>
      </c>
      <c r="AA230" s="2990" t="str">
        <f t="array" ref="AA230">IFERROR(VLOOKUP(Z230,Dex!$P$22:$Q$276,2,FALSE),"")</f>
        <v/>
      </c>
      <c r="AB230" s="2991"/>
      <c r="AC230" s="3160"/>
      <c r="AD230" s="2988" t="s">
        <v>195</v>
      </c>
      <c r="AE230" s="2989">
        <f t="array" ref="AE230">IFERROR(VLOOKUP(AD214,Dex!$B$3:$N330,11,FALSE),"")</f>
        <v>75</v>
      </c>
      <c r="AF230" s="2990" t="str">
        <f t="array" ref="AF230">IFERROR(VLOOKUP(AE230,Dex!$P$22:$Q$276,2,FALSE),"")</f>
        <v/>
      </c>
      <c r="AG230" s="2991"/>
      <c r="AH230" s="2983"/>
      <c r="AI230" s="2499"/>
    </row>
    <row r="231" ht="16.5" customHeight="1">
      <c r="A231" s="2755"/>
      <c r="B231" s="2978"/>
      <c r="C231" s="2969"/>
      <c r="D231" s="2979"/>
      <c r="E231" s="2988" t="s">
        <v>196</v>
      </c>
      <c r="F231" s="2989">
        <f t="array" ref="F231">IFERROR(VLOOKUP(E214,Dex!$B$3:$N330,12,FALSE),"")</f>
        <v>72</v>
      </c>
      <c r="G231" s="2990" t="str">
        <f t="array" ref="G231">IFERROR(VLOOKUP(F231,Dex!$P$22:$Q$276,2,FALSE),"")</f>
        <v/>
      </c>
      <c r="H231" s="2991"/>
      <c r="I231" s="3160"/>
      <c r="J231" s="2988" t="s">
        <v>196</v>
      </c>
      <c r="K231" s="2989">
        <f t="array" ref="K231">IFERROR(VLOOKUP(J214,Dex!$B$3:$N330,12,FALSE),"")</f>
        <v>65</v>
      </c>
      <c r="L231" s="2990" t="str">
        <f t="array" ref="L231">IFERROR(VLOOKUP(K231,Dex!$P$22:$Q$276,2,FALSE),"")</f>
        <v/>
      </c>
      <c r="M231" s="2991"/>
      <c r="N231" s="3160"/>
      <c r="O231" s="2988" t="s">
        <v>196</v>
      </c>
      <c r="P231" s="2989">
        <f t="array" ref="P231">IFERROR(VLOOKUP(O214,Dex!$B$3:$N330,12,FALSE),"")</f>
        <v>100</v>
      </c>
      <c r="Q231" s="2990" t="str">
        <f t="array" ref="Q231">IFERROR(VLOOKUP(P231,Dex!$P$22:$Q$276,2,FALSE),"")</f>
        <v/>
      </c>
      <c r="R231" s="2991"/>
      <c r="S231" s="3160"/>
      <c r="T231" s="2988" t="s">
        <v>196</v>
      </c>
      <c r="U231" s="2989">
        <f t="array" ref="U231">IFERROR(VLOOKUP(T214,Dex!$B$3:$N330,12,FALSE),"")</f>
        <v>90</v>
      </c>
      <c r="V231" s="2990" t="str">
        <f t="array" ref="V231">IFERROR(VLOOKUP(U231,Dex!$P$22:$Q$276,2,FALSE),"")</f>
        <v/>
      </c>
      <c r="W231" s="2991">
        <v>4.0</v>
      </c>
      <c r="X231" s="3160"/>
      <c r="Y231" s="2988" t="s">
        <v>196</v>
      </c>
      <c r="Z231" s="2989">
        <f t="array" ref="Z231">IFERROR(VLOOKUP(Y214,Dex!$B$3:$N330,12,FALSE),"")</f>
        <v>85</v>
      </c>
      <c r="AA231" s="2990" t="str">
        <f t="array" ref="AA231">IFERROR(VLOOKUP(Z231,Dex!$P$22:$Q$276,2,FALSE),"")</f>
        <v/>
      </c>
      <c r="AB231" s="2991"/>
      <c r="AC231" s="3160"/>
      <c r="AD231" s="2988" t="s">
        <v>196</v>
      </c>
      <c r="AE231" s="2989">
        <f t="array" ref="AE231">IFERROR(VLOOKUP(AD214,Dex!$B$3:$N330,12,FALSE),"")</f>
        <v>85</v>
      </c>
      <c r="AF231" s="2990" t="str">
        <f t="array" ref="AF231">IFERROR(VLOOKUP(AE231,Dex!$P$22:$Q$276,2,FALSE),"")</f>
        <v/>
      </c>
      <c r="AG231" s="2991">
        <v>4.0</v>
      </c>
      <c r="AH231" s="2983"/>
      <c r="AI231" s="2499"/>
    </row>
    <row r="232" ht="16.5" customHeight="1">
      <c r="A232" s="2755"/>
      <c r="B232" s="2978"/>
      <c r="C232" s="2969"/>
      <c r="D232" s="2979"/>
      <c r="E232" s="2992" t="s">
        <v>197</v>
      </c>
      <c r="F232" s="2993">
        <f t="array" ref="F232">IFERROR(VLOOKUP(E214,Dex!$B$3:$N330,13,FALSE),"")</f>
        <v>47</v>
      </c>
      <c r="G232" s="2994" t="str">
        <f t="array" ref="G232">IFERROR(VLOOKUP(F232,Dex!$P$22:$Q$276,2,FALSE),"")</f>
        <v/>
      </c>
      <c r="H232" s="2995"/>
      <c r="I232" s="3160"/>
      <c r="J232" s="2992" t="s">
        <v>197</v>
      </c>
      <c r="K232" s="2993">
        <f t="array" ref="K232">IFERROR(VLOOKUP(J214,Dex!$B$3:$N330,13,FALSE),"")</f>
        <v>88</v>
      </c>
      <c r="L232" s="2994" t="str">
        <f t="array" ref="L232">IFERROR(VLOOKUP(K232,Dex!$P$22:$Q$276,2,FALSE),"")</f>
        <v/>
      </c>
      <c r="M232" s="2995">
        <v>252.0</v>
      </c>
      <c r="N232" s="3160"/>
      <c r="O232" s="2992" t="s">
        <v>197</v>
      </c>
      <c r="P232" s="2993">
        <f t="array" ref="P232">IFERROR(VLOOKUP(O214,Dex!$B$3:$N330,13,FALSE),"")</f>
        <v>100</v>
      </c>
      <c r="Q232" s="2994" t="str">
        <f t="array" ref="Q232">IFERROR(VLOOKUP(P232,Dex!$P$22:$Q$276,2,FALSE),"")</f>
        <v/>
      </c>
      <c r="R232" s="2995">
        <v>252.0</v>
      </c>
      <c r="S232" s="3160"/>
      <c r="T232" s="2992" t="s">
        <v>197</v>
      </c>
      <c r="U232" s="2993">
        <f t="array" ref="U232">IFERROR(VLOOKUP(T214,Dex!$B$3:$N330,13,FALSE),"")</f>
        <v>35</v>
      </c>
      <c r="V232" s="2994" t="str">
        <f t="array" ref="V232">IFERROR(VLOOKUP(U232,Dex!$P$22:$Q$276,2,FALSE),"")</f>
        <v/>
      </c>
      <c r="W232" s="2995"/>
      <c r="X232" s="3160"/>
      <c r="Y232" s="2992" t="s">
        <v>197</v>
      </c>
      <c r="Z232" s="2993">
        <f t="array" ref="Z232">IFERROR(VLOOKUP(Y214,Dex!$B$3:$N330,13,FALSE),"")</f>
        <v>102</v>
      </c>
      <c r="AA232" s="2994" t="str">
        <f t="array" ref="AA232">IFERROR(VLOOKUP(Z232,Dex!$P$22:$Q$276,2,FALSE),"")</f>
        <v/>
      </c>
      <c r="AB232" s="2995">
        <v>252.0</v>
      </c>
      <c r="AC232" s="3160"/>
      <c r="AD232" s="2992" t="s">
        <v>197</v>
      </c>
      <c r="AE232" s="2993">
        <f t="array" ref="AE232">IFERROR(VLOOKUP(AD214,Dex!$B$3:$N330,13,FALSE),"")</f>
        <v>56</v>
      </c>
      <c r="AF232" s="2994" t="str">
        <f t="array" ref="AF232">IFERROR(VLOOKUP(AE232,Dex!$P$22:$Q$276,2,FALSE),"")</f>
        <v/>
      </c>
      <c r="AG232" s="2995">
        <v>252.0</v>
      </c>
      <c r="AH232" s="2983"/>
      <c r="AI232" s="2499"/>
    </row>
    <row r="233" ht="16.5" customHeight="1">
      <c r="A233" s="2755"/>
      <c r="B233" s="2978"/>
      <c r="C233" s="2969"/>
      <c r="D233" s="2979"/>
      <c r="E233" s="2996" t="s">
        <v>198</v>
      </c>
      <c r="F233" s="405"/>
      <c r="G233" s="406"/>
      <c r="H233" s="2997">
        <v>75.0</v>
      </c>
      <c r="I233" s="3160"/>
      <c r="J233" s="3161" t="s">
        <v>198</v>
      </c>
      <c r="K233" s="918"/>
      <c r="L233" s="919"/>
      <c r="M233" s="3162">
        <v>158.0</v>
      </c>
      <c r="N233" s="3160"/>
      <c r="O233" s="2996" t="s">
        <v>198</v>
      </c>
      <c r="P233" s="405"/>
      <c r="Q233" s="406"/>
      <c r="R233" s="2997">
        <v>189.0</v>
      </c>
      <c r="S233" s="3160"/>
      <c r="T233" s="2996" t="s">
        <v>198</v>
      </c>
      <c r="U233" s="405"/>
      <c r="V233" s="406"/>
      <c r="W233" s="2997">
        <v>62.0</v>
      </c>
      <c r="X233" s="3160"/>
      <c r="Y233" s="2996" t="s">
        <v>198</v>
      </c>
      <c r="Z233" s="405"/>
      <c r="AA233" s="406"/>
      <c r="AB233" s="2997">
        <v>191.0</v>
      </c>
      <c r="AC233" s="3160"/>
      <c r="AD233" s="2996" t="s">
        <v>198</v>
      </c>
      <c r="AE233" s="405"/>
      <c r="AF233" s="406"/>
      <c r="AG233" s="2997">
        <v>132.0</v>
      </c>
      <c r="AH233" s="2983"/>
      <c r="AI233" s="2499"/>
    </row>
    <row r="234" ht="16.5" customHeight="1">
      <c r="A234" s="2755"/>
      <c r="B234" s="2978"/>
      <c r="C234" s="2969"/>
      <c r="D234" s="3163"/>
      <c r="E234" s="3164"/>
      <c r="F234" s="3164"/>
      <c r="G234" s="3164"/>
      <c r="H234" s="3165"/>
      <c r="I234" s="2982"/>
      <c r="J234" s="3166" t="s">
        <v>942</v>
      </c>
      <c r="K234" s="925"/>
      <c r="L234" s="926"/>
      <c r="M234" s="3167">
        <v>316.0</v>
      </c>
      <c r="N234" s="3168"/>
      <c r="O234" s="3164"/>
      <c r="P234" s="3164"/>
      <c r="Q234" s="3164"/>
      <c r="R234" s="3165"/>
      <c r="S234" s="3169"/>
      <c r="T234" s="3164"/>
      <c r="U234" s="3164"/>
      <c r="V234" s="3164"/>
      <c r="W234" s="3165"/>
      <c r="X234" s="3169"/>
      <c r="Y234" s="3164"/>
      <c r="Z234" s="3164"/>
      <c r="AA234" s="3164"/>
      <c r="AB234" s="3165"/>
      <c r="AC234" s="3169"/>
      <c r="AD234" s="3164"/>
      <c r="AE234" s="3164"/>
      <c r="AF234" s="3164"/>
      <c r="AG234" s="3165"/>
      <c r="AH234" s="3170"/>
      <c r="AI234" s="2499"/>
    </row>
    <row r="235" ht="15.0" customHeight="1">
      <c r="A235" s="2270"/>
      <c r="B235" s="2998"/>
      <c r="C235" s="2999"/>
      <c r="D235" s="3000"/>
      <c r="E235" s="3000"/>
      <c r="F235" s="3000"/>
      <c r="G235" s="3000"/>
      <c r="H235" s="3000"/>
      <c r="I235" s="3000"/>
      <c r="J235" s="3001"/>
      <c r="K235" s="3001"/>
      <c r="L235" s="3001"/>
      <c r="M235" s="3001"/>
      <c r="N235" s="3000"/>
      <c r="O235" s="3000"/>
      <c r="P235" s="3000"/>
      <c r="Q235" s="3000"/>
      <c r="R235" s="3000"/>
      <c r="S235" s="3000"/>
      <c r="T235" s="3000"/>
      <c r="U235" s="3000"/>
      <c r="V235" s="3000"/>
      <c r="W235" s="3000"/>
      <c r="X235" s="3000"/>
      <c r="Y235" s="3000"/>
      <c r="Z235" s="3000"/>
      <c r="AA235" s="3000"/>
      <c r="AB235" s="3000"/>
      <c r="AC235" s="3000"/>
      <c r="AD235" s="3000"/>
      <c r="AE235" s="3000"/>
      <c r="AF235" s="3000"/>
      <c r="AG235" s="3000"/>
      <c r="AH235" s="3002"/>
      <c r="AI235" s="2682"/>
    </row>
    <row r="236" ht="15.0" customHeight="1">
      <c r="A236" s="2270"/>
      <c r="B236" s="2677"/>
      <c r="C236" s="2678"/>
      <c r="D236" s="2679"/>
      <c r="E236" s="3171"/>
      <c r="F236" s="3171"/>
      <c r="G236" s="3171"/>
      <c r="H236" s="3171"/>
      <c r="I236" s="2679"/>
      <c r="J236" s="3171"/>
      <c r="K236" s="3171"/>
      <c r="L236" s="3171"/>
      <c r="M236" s="3171"/>
      <c r="N236" s="2679"/>
      <c r="O236" s="3171"/>
      <c r="P236" s="3171"/>
      <c r="Q236" s="3171"/>
      <c r="R236" s="3171"/>
      <c r="S236" s="2679"/>
      <c r="T236" s="3171"/>
      <c r="U236" s="3171"/>
      <c r="V236" s="3171"/>
      <c r="W236" s="3171"/>
      <c r="X236" s="2679"/>
      <c r="Y236" s="2679"/>
      <c r="Z236" s="2679"/>
      <c r="AA236" s="2679"/>
      <c r="AB236" s="2679"/>
      <c r="AC236" s="2679"/>
      <c r="AD236" s="2679"/>
      <c r="AE236" s="2679"/>
      <c r="AF236" s="2679"/>
      <c r="AG236" s="2679"/>
      <c r="AH236" s="2681"/>
      <c r="AI236" s="2682"/>
    </row>
    <row r="237" ht="96.75" customHeight="1">
      <c r="A237" s="2270"/>
      <c r="B237" s="2683"/>
      <c r="C237" s="2684" t="str">
        <f>IMAGE("https://i.ibb.co/xhnkr2Z/Archer.png")</f>
        <v/>
      </c>
      <c r="D237" s="2685"/>
      <c r="E237" s="3020" t="str">
        <f t="array" ref="E237">IFERROR(VLOOKUP(E238,Dex!$B$3:$G330,3,FALSE),"")</f>
        <v/>
      </c>
      <c r="F237" s="1830"/>
      <c r="G237" s="1830"/>
      <c r="H237" s="1831"/>
      <c r="I237" s="3172"/>
      <c r="J237" s="3020" t="str">
        <f t="array" ref="J237">IFERROR(VLOOKUP(J238,Dex!$B$3:$G330,3,FALSE),"")</f>
        <v/>
      </c>
      <c r="K237" s="1830"/>
      <c r="L237" s="1830"/>
      <c r="M237" s="1831"/>
      <c r="N237" s="3172"/>
      <c r="O237" s="3020" t="str">
        <f t="array" ref="O237">IFERROR(VLOOKUP(O238,Dex!$B$3:$G330,3,FALSE),"")</f>
        <v/>
      </c>
      <c r="P237" s="1830"/>
      <c r="Q237" s="1830"/>
      <c r="R237" s="1831"/>
      <c r="S237" s="3173"/>
      <c r="T237" s="3020" t="str">
        <f t="array" ref="T237">IFERROR(VLOOKUP(T238,Dex!$B$3:$G330,3,FALSE),"")</f>
        <v/>
      </c>
      <c r="U237" s="1830"/>
      <c r="V237" s="1830"/>
      <c r="W237" s="1831"/>
      <c r="X237" s="2687"/>
      <c r="Y237" s="2688"/>
      <c r="Z237" s="2689"/>
      <c r="AA237" s="2689"/>
      <c r="AB237" s="2690"/>
      <c r="AC237" s="2691"/>
      <c r="AD237" s="2688"/>
      <c r="AE237" s="2689"/>
      <c r="AF237" s="2689"/>
      <c r="AG237" s="2690"/>
      <c r="AH237" s="2692"/>
      <c r="AI237" s="2682"/>
    </row>
    <row r="238" ht="18.75" customHeight="1">
      <c r="A238" s="2297"/>
      <c r="B238" s="2693"/>
      <c r="C238" s="2694" t="s">
        <v>943</v>
      </c>
      <c r="D238" s="2695"/>
      <c r="E238" s="2696" t="s">
        <v>944</v>
      </c>
      <c r="F238" s="2697"/>
      <c r="G238" s="2697"/>
      <c r="H238" s="2698"/>
      <c r="I238" s="2695"/>
      <c r="J238" s="2696" t="s">
        <v>648</v>
      </c>
      <c r="K238" s="2697"/>
      <c r="L238" s="2697"/>
      <c r="M238" s="2698"/>
      <c r="N238" s="2695"/>
      <c r="O238" s="2696" t="s">
        <v>568</v>
      </c>
      <c r="P238" s="2697"/>
      <c r="Q238" s="2697"/>
      <c r="R238" s="2698"/>
      <c r="T238" s="2696" t="s">
        <v>911</v>
      </c>
      <c r="U238" s="2697"/>
      <c r="V238" s="2697"/>
      <c r="W238" s="2698"/>
      <c r="X238" s="2699"/>
      <c r="Y238" s="2700"/>
      <c r="Z238" s="2689"/>
      <c r="AA238" s="2689"/>
      <c r="AB238" s="2690"/>
      <c r="AC238" s="2701"/>
      <c r="AD238" s="2700"/>
      <c r="AE238" s="2689"/>
      <c r="AF238" s="2689"/>
      <c r="AG238" s="2690"/>
      <c r="AH238" s="2702"/>
      <c r="AI238" s="2703"/>
    </row>
    <row r="239">
      <c r="A239" s="2704"/>
      <c r="B239" s="2705"/>
      <c r="C239" s="326"/>
      <c r="D239" s="2706"/>
      <c r="E239" s="2707">
        <v>77.0</v>
      </c>
      <c r="F239" s="2708"/>
      <c r="G239" s="2708"/>
      <c r="H239" s="2709"/>
      <c r="I239" s="2695"/>
      <c r="J239" s="2707">
        <v>78.0</v>
      </c>
      <c r="K239" s="2708"/>
      <c r="L239" s="2708"/>
      <c r="M239" s="2709"/>
      <c r="N239" s="2695"/>
      <c r="O239" s="2707">
        <v>79.0</v>
      </c>
      <c r="P239" s="2708"/>
      <c r="Q239" s="2708"/>
      <c r="R239" s="2709"/>
      <c r="T239" s="2707">
        <v>79.0</v>
      </c>
      <c r="U239" s="2708"/>
      <c r="V239" s="2708"/>
      <c r="W239" s="2709"/>
      <c r="X239" s="2699"/>
      <c r="Y239" s="2710"/>
      <c r="Z239" s="2689"/>
      <c r="AA239" s="2689"/>
      <c r="AB239" s="2690"/>
      <c r="AC239" s="2701"/>
      <c r="AD239" s="2710"/>
      <c r="AE239" s="2689"/>
      <c r="AF239" s="2689"/>
      <c r="AG239" s="2690"/>
      <c r="AH239" s="2711"/>
      <c r="AI239" s="2712"/>
    </row>
    <row r="240" ht="25.5" customHeight="1">
      <c r="A240" s="2270"/>
      <c r="B240" s="2713"/>
      <c r="C240" s="2714"/>
      <c r="D240" s="2688"/>
      <c r="E240" s="2715"/>
      <c r="F240" s="2716" t="str">
        <f t="array" ref="F240">IFERROR(VLOOKUP(E238,Dex!$B$3:$H330,5,FALSE),"")</f>
        <v/>
      </c>
      <c r="G240" s="2717" t="str">
        <f t="array" ref="G240">IFERROR(VLOOKUP(E238,Dex!$B$3:$H330,7,FALSE),"")</f>
        <v/>
      </c>
      <c r="H240" s="2718"/>
      <c r="I240" s="2700"/>
      <c r="J240" s="2715"/>
      <c r="K240" s="2716" t="str">
        <f t="array" ref="K240">IFERROR(VLOOKUP(J238,Dex!$B$3:$H330,5,FALSE),"")</f>
        <v/>
      </c>
      <c r="L240" s="2717" t="str">
        <f t="array" ref="L240">IFERROR(VLOOKUP(J238,Dex!$B$3:$H330,7,FALSE),"")</f>
        <v/>
      </c>
      <c r="M240" s="2718"/>
      <c r="N240" s="2700"/>
      <c r="O240" s="2715"/>
      <c r="P240" s="2716" t="str">
        <f t="array" ref="P240">IFERROR(VLOOKUP(O238,Dex!$B$3:$H330,5,FALSE),"")</f>
        <v/>
      </c>
      <c r="Q240" s="2717" t="str">
        <f t="array" ref="Q240">IFERROR(VLOOKUP(O238,Dex!$B$3:$H330,7,FALSE),"")</f>
        <v/>
      </c>
      <c r="R240" s="2718"/>
      <c r="T240" s="2715"/>
      <c r="U240" s="2716" t="str">
        <f t="array" ref="U240">IFERROR(VLOOKUP(T238,Dex!$B$3:$H330,5,FALSE),"")</f>
        <v/>
      </c>
      <c r="V240" s="2717" t="str">
        <f t="array" ref="V240">IFERROR(VLOOKUP(T238,Dex!$B$3:$H330,7,FALSE),"")</f>
        <v/>
      </c>
      <c r="W240" s="2718"/>
      <c r="X240" s="2699"/>
      <c r="Y240" s="2688"/>
      <c r="Z240" s="2689"/>
      <c r="AA240" s="2689"/>
      <c r="AB240" s="2690"/>
      <c r="AC240" s="2701"/>
      <c r="AD240" s="2688"/>
      <c r="AE240" s="2689"/>
      <c r="AF240" s="2689"/>
      <c r="AG240" s="2690"/>
      <c r="AH240" s="2692"/>
      <c r="AI240" s="2682"/>
    </row>
    <row r="241" ht="2.25" customHeight="1">
      <c r="A241" s="2270"/>
      <c r="B241" s="2713"/>
      <c r="C241" s="2701"/>
      <c r="D241" s="2688"/>
      <c r="E241" s="2721"/>
      <c r="F241" s="2722"/>
      <c r="G241" s="2722"/>
      <c r="H241" s="2723"/>
      <c r="I241" s="2700"/>
      <c r="J241" s="2721"/>
      <c r="K241" s="2722"/>
      <c r="L241" s="2722"/>
      <c r="M241" s="2723"/>
      <c r="N241" s="2700"/>
      <c r="O241" s="2721"/>
      <c r="P241" s="2722"/>
      <c r="Q241" s="2722"/>
      <c r="R241" s="2723"/>
      <c r="T241" s="2721"/>
      <c r="U241" s="2722"/>
      <c r="V241" s="2722"/>
      <c r="W241" s="2723"/>
      <c r="X241" s="2699"/>
      <c r="Y241" s="2724"/>
      <c r="Z241" s="2724"/>
      <c r="AA241" s="2724"/>
      <c r="AB241" s="2724"/>
      <c r="AC241" s="2701"/>
      <c r="AD241" s="2724"/>
      <c r="AE241" s="2724"/>
      <c r="AF241" s="2724"/>
      <c r="AG241" s="2724"/>
      <c r="AH241" s="2692"/>
      <c r="AI241" s="2682"/>
    </row>
    <row r="242" ht="20.25" customHeight="1">
      <c r="A242" s="2270"/>
      <c r="B242" s="2713"/>
      <c r="C242" s="2725"/>
      <c r="D242" s="2688"/>
      <c r="E242" s="2726" t="s">
        <v>172</v>
      </c>
      <c r="F242" s="2727"/>
      <c r="G242" s="2727"/>
      <c r="H242" s="2728"/>
      <c r="I242" s="3174"/>
      <c r="J242" s="2726" t="s">
        <v>172</v>
      </c>
      <c r="K242" s="2727"/>
      <c r="L242" s="2727"/>
      <c r="M242" s="2728"/>
      <c r="N242" s="3174"/>
      <c r="O242" s="2726" t="s">
        <v>172</v>
      </c>
      <c r="P242" s="2727"/>
      <c r="Q242" s="2727"/>
      <c r="R242" s="2728"/>
      <c r="T242" s="2726" t="s">
        <v>205</v>
      </c>
      <c r="U242" s="2727"/>
      <c r="V242" s="2727"/>
      <c r="W242" s="2728"/>
      <c r="X242" s="2699"/>
      <c r="Y242" s="2688"/>
      <c r="Z242" s="2689"/>
      <c r="AA242" s="2689"/>
      <c r="AB242" s="2690"/>
      <c r="AC242" s="2701"/>
      <c r="AD242" s="2688"/>
      <c r="AE242" s="2689"/>
      <c r="AF242" s="2689"/>
      <c r="AG242" s="2690"/>
      <c r="AH242" s="2692"/>
      <c r="AI242" s="2682"/>
    </row>
    <row r="243">
      <c r="A243" s="2270"/>
      <c r="B243" s="2713"/>
      <c r="C243" s="2729"/>
      <c r="D243" s="2688"/>
      <c r="E243" s="2730" t="s">
        <v>550</v>
      </c>
      <c r="F243" s="2689"/>
      <c r="G243" s="2689"/>
      <c r="H243" s="2731"/>
      <c r="I243" s="3174"/>
      <c r="J243" s="2730" t="s">
        <v>485</v>
      </c>
      <c r="K243" s="2689"/>
      <c r="L243" s="2689"/>
      <c r="M243" s="2731"/>
      <c r="N243" s="3174"/>
      <c r="O243" s="2730" t="s">
        <v>574</v>
      </c>
      <c r="P243" s="2689"/>
      <c r="Q243" s="2689"/>
      <c r="R243" s="2731"/>
      <c r="T243" s="2730" t="s">
        <v>945</v>
      </c>
      <c r="U243" s="2689"/>
      <c r="V243" s="2689"/>
      <c r="W243" s="2731"/>
      <c r="X243" s="2699"/>
      <c r="Y243" s="2688"/>
      <c r="Z243" s="2689"/>
      <c r="AA243" s="2689"/>
      <c r="AB243" s="2690"/>
      <c r="AC243" s="2701"/>
      <c r="AD243" s="2688"/>
      <c r="AE243" s="2689"/>
      <c r="AF243" s="2689"/>
      <c r="AG243" s="2690"/>
      <c r="AH243" s="2692"/>
      <c r="AI243" s="2682"/>
    </row>
    <row r="244" ht="20.25" customHeight="1">
      <c r="A244" s="2270"/>
      <c r="B244" s="2713"/>
      <c r="C244" s="2701"/>
      <c r="D244" s="2688"/>
      <c r="E244" s="2732" t="s">
        <v>240</v>
      </c>
      <c r="F244" s="2733"/>
      <c r="G244" s="2734"/>
      <c r="H244" s="2735" t="str">
        <f>IMAGE("https://raw.githubusercontent.com/msikma/pokesprite/master/items/hold-item/focus-sash.png",3)</f>
        <v/>
      </c>
      <c r="I244" s="2700"/>
      <c r="J244" s="2732" t="s">
        <v>272</v>
      </c>
      <c r="K244" s="2733"/>
      <c r="L244" s="2734"/>
      <c r="M244" s="2735" t="str">
        <f>IMAGE("https://raw.githubusercontent.com/msikma/pokesprite/master/items/hold-item/life-orb.png",3)</f>
        <v/>
      </c>
      <c r="N244" s="2700"/>
      <c r="O244" s="2732" t="s">
        <v>363</v>
      </c>
      <c r="P244" s="2733"/>
      <c r="Q244" s="2734"/>
      <c r="R244" s="2735" t="str">
        <f>IMAGE("https://raw.githubusercontent.com/msikma/pokesprite/master/items/berry/lum.png",3)</f>
        <v/>
      </c>
      <c r="T244" s="2732" t="s">
        <v>919</v>
      </c>
      <c r="U244" s="2733"/>
      <c r="V244" s="2734"/>
      <c r="W244" s="2735" t="str">
        <f>IMAGE("https://raw.githubusercontent.com/msikma/pokesprite/master/items/mega-stone/houndoominite.png",3)</f>
        <v/>
      </c>
      <c r="X244" s="2699"/>
      <c r="Y244" s="2688"/>
      <c r="Z244" s="2689"/>
      <c r="AA244" s="2689"/>
      <c r="AB244" s="2690"/>
      <c r="AC244" s="2701"/>
      <c r="AD244" s="2688"/>
      <c r="AE244" s="2689"/>
      <c r="AF244" s="2689"/>
      <c r="AG244" s="2690"/>
      <c r="AH244" s="2692"/>
      <c r="AI244" s="2682"/>
    </row>
    <row r="245" ht="20.25" customHeight="1">
      <c r="A245" s="2270"/>
      <c r="B245" s="2713"/>
      <c r="C245" s="2725"/>
      <c r="D245" s="2688"/>
      <c r="E245" s="2726" t="s">
        <v>402</v>
      </c>
      <c r="F245" s="2727"/>
      <c r="G245" s="2736"/>
      <c r="H245" s="2737" t="str">
        <f>IMAGE("https://raw.githubusercontent.com/msikma/pokesprite/master/misc/types/gen8/ground.png",4,20,20)</f>
        <v/>
      </c>
      <c r="I245" s="2700"/>
      <c r="J245" s="2726" t="s">
        <v>659</v>
      </c>
      <c r="K245" s="2727"/>
      <c r="L245" s="2736"/>
      <c r="M245" s="2737" t="str">
        <f>IMAGE("https://raw.githubusercontent.com/msikma/pokesprite/master/misc/types/gen8/dark.png",4,20,20)</f>
        <v/>
      </c>
      <c r="N245" s="2700"/>
      <c r="O245" s="2726" t="s">
        <v>556</v>
      </c>
      <c r="P245" s="2727"/>
      <c r="Q245" s="2736"/>
      <c r="R245" s="2737" t="str">
        <f>IMAGE("https://raw.githubusercontent.com/msikma/pokesprite/master/misc/types/gen8/fairy.png",4,20,20)</f>
        <v/>
      </c>
      <c r="T245" s="2726" t="s">
        <v>946</v>
      </c>
      <c r="U245" s="2727"/>
      <c r="V245" s="2736"/>
      <c r="W245" s="2737" t="str">
        <f>IMAGE("https://raw.githubusercontent.com/msikma/pokesprite/master/misc/types/gen8/dark.png",4,20,20)</f>
        <v/>
      </c>
      <c r="X245" s="2699"/>
      <c r="Y245" s="2688"/>
      <c r="Z245" s="2689"/>
      <c r="AA245" s="2689"/>
      <c r="AB245" s="2690"/>
      <c r="AC245" s="2701"/>
      <c r="AD245" s="2688"/>
      <c r="AE245" s="2689"/>
      <c r="AF245" s="2689"/>
      <c r="AG245" s="2690"/>
      <c r="AH245" s="2692"/>
      <c r="AI245" s="2682"/>
    </row>
    <row r="246" ht="20.25" customHeight="1">
      <c r="A246" s="2270"/>
      <c r="B246" s="2713"/>
      <c r="C246" s="2738"/>
      <c r="D246" s="2688"/>
      <c r="E246" s="2730" t="s">
        <v>947</v>
      </c>
      <c r="F246" s="2689"/>
      <c r="G246" s="2690"/>
      <c r="H246" s="2739" t="str">
        <f>IMAGE("https://raw.githubusercontent.com/msikma/pokesprite/master/misc/types/gen8/ice.png",4,20,20)</f>
        <v/>
      </c>
      <c r="I246" s="2700"/>
      <c r="J246" s="2730" t="s">
        <v>407</v>
      </c>
      <c r="K246" s="2689"/>
      <c r="L246" s="2690"/>
      <c r="M246" s="2739" t="str">
        <f>IMAGE("https://raw.githubusercontent.com/msikma/pokesprite/master/misc/types/gen8/steel.png",4,20,20)</f>
        <v/>
      </c>
      <c r="N246" s="2700"/>
      <c r="O246" s="2730" t="s">
        <v>489</v>
      </c>
      <c r="P246" s="2689"/>
      <c r="Q246" s="2690"/>
      <c r="R246" s="2739" t="str">
        <f>IMAGE("https://raw.githubusercontent.com/msikma/pokesprite/master/misc/types/gen8/normal.png",4,20,20)</f>
        <v/>
      </c>
      <c r="T246" s="2730" t="s">
        <v>372</v>
      </c>
      <c r="U246" s="2689"/>
      <c r="V246" s="2690"/>
      <c r="W246" s="2739" t="str">
        <f>IMAGE("https://raw.githubusercontent.com/msikma/pokesprite/master/misc/types/gen8/fire.png",4,20,20)</f>
        <v/>
      </c>
      <c r="X246" s="2699"/>
      <c r="Y246" s="2688"/>
      <c r="Z246" s="2689"/>
      <c r="AA246" s="2689"/>
      <c r="AB246" s="2690"/>
      <c r="AC246" s="2701"/>
      <c r="AD246" s="2688"/>
      <c r="AE246" s="2689"/>
      <c r="AF246" s="2689"/>
      <c r="AG246" s="2690"/>
      <c r="AH246" s="2692"/>
      <c r="AI246" s="2682"/>
    </row>
    <row r="247" ht="20.25" customHeight="1">
      <c r="A247" s="2270"/>
      <c r="B247" s="2713"/>
      <c r="C247" s="2738"/>
      <c r="D247" s="2688"/>
      <c r="E247" s="2730" t="s">
        <v>948</v>
      </c>
      <c r="F247" s="2689"/>
      <c r="G247" s="2690"/>
      <c r="H247" s="2739" t="str">
        <f>IMAGE("https://raw.githubusercontent.com/msikma/pokesprite/master/misc/types/gen8/normal.png",4,20,20)</f>
        <v/>
      </c>
      <c r="I247" s="2700"/>
      <c r="J247" s="2730" t="s">
        <v>538</v>
      </c>
      <c r="K247" s="2689"/>
      <c r="L247" s="2690"/>
      <c r="M247" s="2739" t="str">
        <f>IMAGE("https://raw.githubusercontent.com/msikma/pokesprite/master/misc/types/gen8/bug.png",4,20,20)</f>
        <v/>
      </c>
      <c r="N247" s="2700"/>
      <c r="O247" s="2730" t="s">
        <v>584</v>
      </c>
      <c r="P247" s="2689"/>
      <c r="Q247" s="2690"/>
      <c r="R247" s="2739" t="str">
        <f t="shared" ref="R247:R248" si="12">IMAGE("https://raw.githubusercontent.com/msikma/pokesprite/master/misc/types/gen8/ghost.png",4,20,20)</f>
        <v/>
      </c>
      <c r="T247" s="2730" t="s">
        <v>541</v>
      </c>
      <c r="U247" s="2689"/>
      <c r="V247" s="2690"/>
      <c r="W247" s="2739" t="str">
        <f>IMAGE("https://raw.githubusercontent.com/msikma/pokesprite/master/misc/types/gen8/dark.png",4,20,20)</f>
        <v/>
      </c>
      <c r="X247" s="2699"/>
      <c r="Y247" s="2688"/>
      <c r="Z247" s="2689"/>
      <c r="AA247" s="2689"/>
      <c r="AB247" s="2690"/>
      <c r="AC247" s="2701"/>
      <c r="AD247" s="2688"/>
      <c r="AE247" s="2689"/>
      <c r="AF247" s="2689"/>
      <c r="AG247" s="2690"/>
      <c r="AH247" s="2692"/>
      <c r="AI247" s="2682"/>
    </row>
    <row r="248" ht="21.0" customHeight="1">
      <c r="A248" s="2270"/>
      <c r="B248" s="2713"/>
      <c r="C248" s="2738"/>
      <c r="D248" s="2688"/>
      <c r="E248" s="2740" t="s">
        <v>634</v>
      </c>
      <c r="F248" s="2741"/>
      <c r="G248" s="2742"/>
      <c r="H248" s="2743" t="str">
        <f>IMAGE("https://raw.githubusercontent.com/msikma/pokesprite/master/misc/types/gen8/ice.png",4,20,20)</f>
        <v/>
      </c>
      <c r="I248" s="2700"/>
      <c r="J248" s="2740" t="s">
        <v>772</v>
      </c>
      <c r="K248" s="2741"/>
      <c r="L248" s="2742"/>
      <c r="M248" s="2743" t="str">
        <f>IMAGE("https://raw.githubusercontent.com/msikma/pokesprite/master/misc/types/gen8/fighting.png",4,20,20)</f>
        <v/>
      </c>
      <c r="N248" s="2700"/>
      <c r="O248" s="2740" t="s">
        <v>585</v>
      </c>
      <c r="P248" s="2741"/>
      <c r="Q248" s="2742"/>
      <c r="R248" s="2743" t="str">
        <f t="shared" si="12"/>
        <v/>
      </c>
      <c r="S248" s="3175"/>
      <c r="T248" s="2740" t="s">
        <v>280</v>
      </c>
      <c r="U248" s="2741"/>
      <c r="V248" s="2742"/>
      <c r="W248" s="2743" t="str">
        <f>IMAGE("https://raw.githubusercontent.com/msikma/pokesprite/master/misc/types/gen8/poison.png",4,20,20)</f>
        <v/>
      </c>
      <c r="X248" s="2744"/>
      <c r="Y248" s="2688"/>
      <c r="Z248" s="2689"/>
      <c r="AA248" s="2689"/>
      <c r="AB248" s="2690"/>
      <c r="AC248" s="2725"/>
      <c r="AD248" s="2688"/>
      <c r="AE248" s="2689"/>
      <c r="AF248" s="2689"/>
      <c r="AG248" s="2690"/>
      <c r="AH248" s="2692"/>
      <c r="AI248" s="2682"/>
    </row>
    <row r="249" ht="3.0" customHeight="1">
      <c r="A249" s="2745"/>
      <c r="B249" s="2746"/>
      <c r="C249" s="2747"/>
      <c r="D249" s="2748"/>
      <c r="E249" s="2749"/>
      <c r="F249" s="2749"/>
      <c r="G249" s="2749"/>
      <c r="H249" s="2749"/>
      <c r="I249" s="2748"/>
      <c r="J249" s="2749"/>
      <c r="K249" s="2749"/>
      <c r="L249" s="2749"/>
      <c r="M249" s="2749"/>
      <c r="N249" s="2748"/>
      <c r="O249" s="2749"/>
      <c r="P249" s="2749"/>
      <c r="Q249" s="2749"/>
      <c r="R249" s="2749"/>
      <c r="S249" s="2750"/>
      <c r="T249" s="2749"/>
      <c r="U249" s="2749"/>
      <c r="V249" s="2749"/>
      <c r="W249" s="2749"/>
      <c r="X249" s="2748"/>
      <c r="Y249" s="2748"/>
      <c r="Z249" s="2751"/>
      <c r="AA249" s="2751"/>
      <c r="AB249" s="2752"/>
      <c r="AC249" s="2752"/>
      <c r="AD249" s="2752"/>
      <c r="AE249" s="2752"/>
      <c r="AF249" s="2752"/>
      <c r="AG249" s="2752"/>
      <c r="AH249" s="2753"/>
      <c r="AI249" s="2754"/>
    </row>
    <row r="250" ht="16.5" customHeight="1">
      <c r="A250" s="2755"/>
      <c r="B250" s="2756"/>
      <c r="C250" s="2747"/>
      <c r="D250" s="2757"/>
      <c r="E250" s="2758" t="s">
        <v>190</v>
      </c>
      <c r="F250" s="381"/>
      <c r="G250" s="382"/>
      <c r="H250" s="2759" t="s">
        <v>191</v>
      </c>
      <c r="I250" s="2760"/>
      <c r="J250" s="2758" t="s">
        <v>190</v>
      </c>
      <c r="K250" s="381"/>
      <c r="L250" s="382"/>
      <c r="M250" s="2759" t="s">
        <v>191</v>
      </c>
      <c r="N250" s="2760"/>
      <c r="O250" s="2758" t="s">
        <v>190</v>
      </c>
      <c r="P250" s="381"/>
      <c r="Q250" s="382"/>
      <c r="R250" s="2759" t="s">
        <v>191</v>
      </c>
      <c r="S250" s="3176"/>
      <c r="T250" s="2758" t="s">
        <v>190</v>
      </c>
      <c r="U250" s="381"/>
      <c r="V250" s="382"/>
      <c r="W250" s="2759" t="s">
        <v>191</v>
      </c>
      <c r="X250" s="2763"/>
      <c r="Y250" s="2763"/>
      <c r="Z250" s="2762"/>
      <c r="AA250" s="2762"/>
      <c r="AB250" s="2763"/>
      <c r="AC250" s="2763"/>
      <c r="AD250" s="2763"/>
      <c r="AE250" s="2763"/>
      <c r="AF250" s="2763"/>
      <c r="AG250" s="2763"/>
      <c r="AH250" s="2764"/>
      <c r="AI250" s="2499"/>
    </row>
    <row r="251" ht="16.5" customHeight="1">
      <c r="A251" s="2755"/>
      <c r="B251" s="2756"/>
      <c r="C251" s="2747"/>
      <c r="D251" s="2757"/>
      <c r="E251" s="2765" t="s">
        <v>192</v>
      </c>
      <c r="F251" s="2766">
        <f t="array" ref="F251">IFERROR(VLOOKUP(E238,Dex!$B$3:$N330,8,FALSE),"")</f>
        <v>110</v>
      </c>
      <c r="G251" s="2767" t="str">
        <f t="array" ref="G251">IFERROR(VLOOKUP(F251,Dex!$P$22:$Q$276,2,FALSE),"")</f>
        <v/>
      </c>
      <c r="H251" s="2768">
        <v>6.0</v>
      </c>
      <c r="I251" s="2760"/>
      <c r="J251" s="2765" t="s">
        <v>192</v>
      </c>
      <c r="K251" s="2766">
        <f t="array" ref="K251">IFERROR(VLOOKUP(J238,Dex!$B$3:$N330,8,FALSE),"")</f>
        <v>58</v>
      </c>
      <c r="L251" s="2767" t="str">
        <f t="array" ref="L251">IFERROR(VLOOKUP(K251,Dex!$P$22:$Q$276,2,FALSE),"")</f>
        <v/>
      </c>
      <c r="M251" s="2768">
        <v>6.0</v>
      </c>
      <c r="N251" s="2760"/>
      <c r="O251" s="2765" t="s">
        <v>192</v>
      </c>
      <c r="P251" s="2766">
        <f t="array" ref="P251">IFERROR(VLOOKUP(O238,Dex!$B$3:$N330,8,FALSE),"")</f>
        <v>55</v>
      </c>
      <c r="Q251" s="2767" t="str">
        <f t="array" ref="Q251">IFERROR(VLOOKUP(P251,Dex!$P$22:$Q$276,2,FALSE),"")</f>
        <v/>
      </c>
      <c r="R251" s="2768">
        <v>6.0</v>
      </c>
      <c r="S251" s="3177"/>
      <c r="T251" s="2765" t="s">
        <v>192</v>
      </c>
      <c r="U251" s="2766">
        <f t="array" ref="U251">IFERROR(VLOOKUP(T238,Dex!$B$3:$N330,8,FALSE),"")</f>
        <v>75</v>
      </c>
      <c r="V251" s="2767" t="str">
        <f t="array" ref="V251">IFERROR(VLOOKUP(U251,Dex!$P$22:$Q$276,2,FALSE),"")</f>
        <v/>
      </c>
      <c r="W251" s="2768">
        <v>6.0</v>
      </c>
      <c r="X251" s="2763"/>
      <c r="Y251" s="2763"/>
      <c r="Z251" s="2762"/>
      <c r="AA251" s="2762"/>
      <c r="AB251" s="2763"/>
      <c r="AC251" s="2763"/>
      <c r="AD251" s="2763"/>
      <c r="AE251" s="2763"/>
      <c r="AF251" s="2763"/>
      <c r="AG251" s="2763"/>
      <c r="AH251" s="2764"/>
      <c r="AI251" s="2499"/>
    </row>
    <row r="252" ht="16.5" customHeight="1">
      <c r="A252" s="2755"/>
      <c r="B252" s="2756"/>
      <c r="C252" s="2747"/>
      <c r="D252" s="2757"/>
      <c r="E252" s="2770" t="s">
        <v>193</v>
      </c>
      <c r="F252" s="2771">
        <f t="array" ref="F252">IFERROR(VLOOKUP(E238,Dex!$B$3:$N330,9,FALSE),"")</f>
        <v>130</v>
      </c>
      <c r="G252" s="2772" t="str">
        <f t="array" ref="G252">IFERROR(VLOOKUP(F252,Dex!$P$22:$Q$276,2,FALSE),"")</f>
        <v/>
      </c>
      <c r="H252" s="2773">
        <v>252.0</v>
      </c>
      <c r="I252" s="2760"/>
      <c r="J252" s="2770" t="s">
        <v>193</v>
      </c>
      <c r="K252" s="2771">
        <f t="array" ref="K252">IFERROR(VLOOKUP(J238,Dex!$B$3:$N330,9,FALSE),"")</f>
        <v>109</v>
      </c>
      <c r="L252" s="2772" t="str">
        <f t="array" ref="L252">IFERROR(VLOOKUP(K252,Dex!$P$22:$Q$276,2,FALSE),"")</f>
        <v/>
      </c>
      <c r="M252" s="2773">
        <v>252.0</v>
      </c>
      <c r="N252" s="2760"/>
      <c r="O252" s="2770" t="s">
        <v>193</v>
      </c>
      <c r="P252" s="2771">
        <f t="array" ref="P252">IFERROR(VLOOKUP(O238,Dex!$B$3:$N330,9,FALSE),"")</f>
        <v>90</v>
      </c>
      <c r="Q252" s="2772" t="str">
        <f t="array" ref="Q252">IFERROR(VLOOKUP(P252,Dex!$P$22:$Q$276,2,FALSE),"")</f>
        <v/>
      </c>
      <c r="R252" s="2773">
        <v>252.0</v>
      </c>
      <c r="S252" s="3177"/>
      <c r="T252" s="2770" t="s">
        <v>193</v>
      </c>
      <c r="U252" s="2771">
        <f t="array" ref="U252">IFERROR(VLOOKUP(T238,Dex!$B$3:$N330,9,FALSE),"")</f>
        <v>110</v>
      </c>
      <c r="V252" s="2772" t="str">
        <f t="array" ref="V252">IFERROR(VLOOKUP(U252,Dex!$P$22:$Q$276,2,FALSE),"")</f>
        <v/>
      </c>
      <c r="W252" s="2773"/>
      <c r="X252" s="2763"/>
      <c r="Y252" s="2763"/>
      <c r="Z252" s="2762"/>
      <c r="AA252" s="2762"/>
      <c r="AB252" s="2763"/>
      <c r="AC252" s="2763"/>
      <c r="AD252" s="2763"/>
      <c r="AE252" s="2763"/>
      <c r="AF252" s="2763"/>
      <c r="AG252" s="2763"/>
      <c r="AH252" s="2764"/>
      <c r="AI252" s="2499"/>
    </row>
    <row r="253" ht="16.5" customHeight="1">
      <c r="A253" s="2755"/>
      <c r="B253" s="2756"/>
      <c r="C253" s="2747"/>
      <c r="D253" s="2757"/>
      <c r="E253" s="2770" t="s">
        <v>194</v>
      </c>
      <c r="F253" s="2771">
        <f t="array" ref="F253">IFERROR(VLOOKUP(E238,Dex!$B$3:$N330,10,FALSE),"")</f>
        <v>80</v>
      </c>
      <c r="G253" s="2772" t="str">
        <f t="array" ref="G253">IFERROR(VLOOKUP(F253,Dex!$P$22:$Q$276,2,FALSE),"")</f>
        <v/>
      </c>
      <c r="H253" s="2773"/>
      <c r="I253" s="2760"/>
      <c r="J253" s="2770" t="s">
        <v>194</v>
      </c>
      <c r="K253" s="2771">
        <f t="array" ref="K253">IFERROR(VLOOKUP(J238,Dex!$B$3:$N330,10,FALSE),"")</f>
        <v>112</v>
      </c>
      <c r="L253" s="2772" t="str">
        <f t="array" ref="L253">IFERROR(VLOOKUP(K253,Dex!$P$22:$Q$276,2,FALSE),"")</f>
        <v/>
      </c>
      <c r="M253" s="2773"/>
      <c r="N253" s="2760"/>
      <c r="O253" s="2770" t="s">
        <v>194</v>
      </c>
      <c r="P253" s="2771">
        <f t="array" ref="P253">IFERROR(VLOOKUP(O238,Dex!$B$3:$N330,10,FALSE),"")</f>
        <v>80</v>
      </c>
      <c r="Q253" s="2772" t="str">
        <f t="array" ref="Q253">IFERROR(VLOOKUP(P253,Dex!$P$22:$Q$276,2,FALSE),"")</f>
        <v/>
      </c>
      <c r="R253" s="2773"/>
      <c r="S253" s="3177"/>
      <c r="T253" s="2770" t="s">
        <v>194</v>
      </c>
      <c r="U253" s="2771">
        <f t="array" ref="U253">IFERROR(VLOOKUP(T238,Dex!$B$3:$N330,10,FALSE),"")</f>
        <v>90</v>
      </c>
      <c r="V253" s="2772" t="str">
        <f t="array" ref="V253">IFERROR(VLOOKUP(U253,Dex!$P$22:$Q$276,2,FALSE),"")</f>
        <v/>
      </c>
      <c r="W253" s="2773"/>
      <c r="X253" s="2763"/>
      <c r="Y253" s="2763"/>
      <c r="Z253" s="2762"/>
      <c r="AA253" s="2762"/>
      <c r="AB253" s="2763"/>
      <c r="AC253" s="2763"/>
      <c r="AD253" s="2763"/>
      <c r="AE253" s="2763"/>
      <c r="AF253" s="2763"/>
      <c r="AG253" s="2763"/>
      <c r="AH253" s="2764"/>
      <c r="AI253" s="2499"/>
    </row>
    <row r="254" ht="16.5" customHeight="1">
      <c r="A254" s="2755"/>
      <c r="B254" s="2756"/>
      <c r="C254" s="2747"/>
      <c r="D254" s="2757"/>
      <c r="E254" s="2770" t="s">
        <v>195</v>
      </c>
      <c r="F254" s="2771">
        <f t="array" ref="F254">IFERROR(VLOOKUP(E238,Dex!$B$3:$N330,11,FALSE),"")</f>
        <v>70</v>
      </c>
      <c r="G254" s="2772" t="str">
        <f t="array" ref="G254">IFERROR(VLOOKUP(F254,Dex!$P$22:$Q$276,2,FALSE),"")</f>
        <v/>
      </c>
      <c r="H254" s="2773"/>
      <c r="I254" s="2760"/>
      <c r="J254" s="2770" t="s">
        <v>195</v>
      </c>
      <c r="K254" s="2771">
        <f t="array" ref="K254">IFERROR(VLOOKUP(J238,Dex!$B$3:$N330,11,FALSE),"")</f>
        <v>48</v>
      </c>
      <c r="L254" s="2772" t="str">
        <f t="array" ref="L254">IFERROR(VLOOKUP(K254,Dex!$P$22:$Q$276,2,FALSE),"")</f>
        <v/>
      </c>
      <c r="M254" s="2773"/>
      <c r="N254" s="2760"/>
      <c r="O254" s="2770" t="s">
        <v>195</v>
      </c>
      <c r="P254" s="2771">
        <f t="array" ref="P254">IFERROR(VLOOKUP(O238,Dex!$B$3:$N330,11,FALSE),"")</f>
        <v>50</v>
      </c>
      <c r="Q254" s="2772" t="str">
        <f t="array" ref="Q254">IFERROR(VLOOKUP(P254,Dex!$P$22:$Q$276,2,FALSE),"")</f>
        <v/>
      </c>
      <c r="R254" s="2773"/>
      <c r="S254" s="3177"/>
      <c r="T254" s="2770" t="s">
        <v>195</v>
      </c>
      <c r="U254" s="2771">
        <f t="array" ref="U254">IFERROR(VLOOKUP(T238,Dex!$B$3:$N330,11,FALSE),"")</f>
        <v>140</v>
      </c>
      <c r="V254" s="2772" t="str">
        <f t="array" ref="V254">IFERROR(VLOOKUP(U254,Dex!$P$22:$Q$276,2,FALSE),"")</f>
        <v/>
      </c>
      <c r="W254" s="2773">
        <v>252.0</v>
      </c>
      <c r="X254" s="2763"/>
      <c r="Y254" s="2763"/>
      <c r="Z254" s="2762"/>
      <c r="AA254" s="2762"/>
      <c r="AB254" s="2763"/>
      <c r="AC254" s="2763"/>
      <c r="AD254" s="2763"/>
      <c r="AE254" s="2763"/>
      <c r="AF254" s="2763"/>
      <c r="AG254" s="2763"/>
      <c r="AH254" s="2764"/>
      <c r="AI254" s="2499"/>
    </row>
    <row r="255" ht="16.5" customHeight="1">
      <c r="A255" s="2755"/>
      <c r="B255" s="2756"/>
      <c r="C255" s="2747"/>
      <c r="D255" s="2757"/>
      <c r="E255" s="2770" t="s">
        <v>196</v>
      </c>
      <c r="F255" s="2771">
        <f t="array" ref="F255">IFERROR(VLOOKUP(E238,Dex!$B$3:$N330,12,FALSE),"")</f>
        <v>60</v>
      </c>
      <c r="G255" s="2772" t="str">
        <f t="array" ref="G255">IFERROR(VLOOKUP(F255,Dex!$P$22:$Q$276,2,FALSE),"")</f>
        <v/>
      </c>
      <c r="H255" s="2773"/>
      <c r="I255" s="2760"/>
      <c r="J255" s="2770" t="s">
        <v>196</v>
      </c>
      <c r="K255" s="2771">
        <f t="array" ref="K255">IFERROR(VLOOKUP(J238,Dex!$B$3:$N330,12,FALSE),"")</f>
        <v>48</v>
      </c>
      <c r="L255" s="2772" t="str">
        <f t="array" ref="L255">IFERROR(VLOOKUP(K255,Dex!$P$22:$Q$276,2,FALSE),"")</f>
        <v/>
      </c>
      <c r="M255" s="2773"/>
      <c r="N255" s="2760"/>
      <c r="O255" s="2770" t="s">
        <v>196</v>
      </c>
      <c r="P255" s="2771">
        <f t="array" ref="P255">IFERROR(VLOOKUP(O238,Dex!$B$3:$N330,12,FALSE),"")</f>
        <v>105</v>
      </c>
      <c r="Q255" s="2772" t="str">
        <f t="array" ref="Q255">IFERROR(VLOOKUP(P255,Dex!$P$22:$Q$276,2,FALSE),"")</f>
        <v/>
      </c>
      <c r="R255" s="2773"/>
      <c r="S255" s="3177"/>
      <c r="T255" s="2770" t="s">
        <v>196</v>
      </c>
      <c r="U255" s="2771">
        <f t="array" ref="U255">IFERROR(VLOOKUP(T238,Dex!$B$3:$N330,12,FALSE),"")</f>
        <v>90</v>
      </c>
      <c r="V255" s="2772" t="str">
        <f t="array" ref="V255">IFERROR(VLOOKUP(U255,Dex!$P$22:$Q$276,2,FALSE),"")</f>
        <v/>
      </c>
      <c r="W255" s="2773"/>
      <c r="X255" s="2763"/>
      <c r="Y255" s="2763"/>
      <c r="Z255" s="2762"/>
      <c r="AA255" s="2762"/>
      <c r="AB255" s="2763"/>
      <c r="AC255" s="2763"/>
      <c r="AD255" s="2763"/>
      <c r="AE255" s="2763"/>
      <c r="AF255" s="2763"/>
      <c r="AG255" s="2763"/>
      <c r="AH255" s="2764"/>
      <c r="AI255" s="2499"/>
    </row>
    <row r="256" ht="16.5" customHeight="1">
      <c r="A256" s="2755"/>
      <c r="B256" s="2756"/>
      <c r="C256" s="2747"/>
      <c r="D256" s="2757"/>
      <c r="E256" s="2774" t="s">
        <v>197</v>
      </c>
      <c r="F256" s="2775">
        <f t="array" ref="F256">IFERROR(VLOOKUP(E238,Dex!$B$3:$N330,13,FALSE),"")</f>
        <v>80</v>
      </c>
      <c r="G256" s="2776" t="str">
        <f t="array" ref="G256">IFERROR(VLOOKUP(F256,Dex!$P$22:$Q$276,2,FALSE),"")</f>
        <v/>
      </c>
      <c r="H256" s="2777">
        <v>252.0</v>
      </c>
      <c r="I256" s="2760"/>
      <c r="J256" s="2774" t="s">
        <v>197</v>
      </c>
      <c r="K256" s="2775">
        <f t="array" ref="K256">IFERROR(VLOOKUP(J238,Dex!$B$3:$N330,13,FALSE),"")</f>
        <v>109</v>
      </c>
      <c r="L256" s="2776" t="str">
        <f t="array" ref="L256">IFERROR(VLOOKUP(K256,Dex!$P$22:$Q$276,2,FALSE),"")</f>
        <v/>
      </c>
      <c r="M256" s="2777">
        <v>252.0</v>
      </c>
      <c r="N256" s="2760"/>
      <c r="O256" s="2774" t="s">
        <v>197</v>
      </c>
      <c r="P256" s="2775">
        <f t="array" ref="P256">IFERROR(VLOOKUP(O238,Dex!$B$3:$N330,13,FALSE),"")</f>
        <v>96</v>
      </c>
      <c r="Q256" s="2776" t="str">
        <f t="array" ref="Q256">IFERROR(VLOOKUP(P256,Dex!$P$22:$Q$276,2,FALSE),"")</f>
        <v/>
      </c>
      <c r="R256" s="2777">
        <v>252.0</v>
      </c>
      <c r="S256" s="3177"/>
      <c r="T256" s="2774" t="s">
        <v>197</v>
      </c>
      <c r="U256" s="2775">
        <f t="array" ref="U256">IFERROR(VLOOKUP(T238,Dex!$B$3:$N330,13,FALSE),"")</f>
        <v>115</v>
      </c>
      <c r="V256" s="2776" t="str">
        <f t="array" ref="V256">IFERROR(VLOOKUP(U256,Dex!$P$22:$Q$276,2,FALSE),"")</f>
        <v/>
      </c>
      <c r="W256" s="2777">
        <v>252.0</v>
      </c>
      <c r="X256" s="2763"/>
      <c r="Y256" s="2763"/>
      <c r="Z256" s="2762"/>
      <c r="AA256" s="2762"/>
      <c r="AB256" s="2763"/>
      <c r="AC256" s="2763"/>
      <c r="AD256" s="2763"/>
      <c r="AE256" s="2763"/>
      <c r="AF256" s="2763"/>
      <c r="AG256" s="2763"/>
      <c r="AH256" s="2764"/>
      <c r="AI256" s="2499"/>
    </row>
    <row r="257" ht="16.5" customHeight="1">
      <c r="A257" s="2755"/>
      <c r="B257" s="2756"/>
      <c r="C257" s="2747"/>
      <c r="D257" s="2757"/>
      <c r="E257" s="2778" t="s">
        <v>198</v>
      </c>
      <c r="F257" s="405"/>
      <c r="G257" s="406"/>
      <c r="H257" s="2779">
        <v>220.0</v>
      </c>
      <c r="I257" s="2760"/>
      <c r="J257" s="2778" t="s">
        <v>198</v>
      </c>
      <c r="K257" s="405"/>
      <c r="L257" s="406"/>
      <c r="M257" s="2779">
        <v>272.0</v>
      </c>
      <c r="N257" s="2760"/>
      <c r="O257" s="2778" t="s">
        <v>198</v>
      </c>
      <c r="P257" s="405"/>
      <c r="Q257" s="406"/>
      <c r="R257" s="2779">
        <v>253.0</v>
      </c>
      <c r="S257" s="3178"/>
      <c r="T257" s="2778" t="s">
        <v>198</v>
      </c>
      <c r="U257" s="405"/>
      <c r="V257" s="406"/>
      <c r="W257" s="2779">
        <v>286.0</v>
      </c>
      <c r="X257" s="2763"/>
      <c r="Y257" s="2763"/>
      <c r="Z257" s="2762"/>
      <c r="AA257" s="2762"/>
      <c r="AB257" s="2763"/>
      <c r="AC257" s="2763"/>
      <c r="AD257" s="2763"/>
      <c r="AE257" s="2763"/>
      <c r="AF257" s="2763"/>
      <c r="AG257" s="2763"/>
      <c r="AH257" s="2764"/>
      <c r="AI257" s="2499"/>
    </row>
    <row r="258" ht="11.25" customHeight="1">
      <c r="A258" s="2270"/>
      <c r="B258" s="2756"/>
      <c r="C258" s="2763"/>
      <c r="D258" s="2763"/>
      <c r="E258" s="2784"/>
      <c r="F258" s="2784"/>
      <c r="G258" s="2784"/>
      <c r="H258" s="2784"/>
      <c r="I258" s="2783"/>
      <c r="J258" s="2784"/>
      <c r="K258" s="2784"/>
      <c r="L258" s="2784"/>
      <c r="M258" s="2784"/>
      <c r="N258" s="2783"/>
      <c r="O258" s="2784"/>
      <c r="P258" s="2784"/>
      <c r="Q258" s="2784"/>
      <c r="R258" s="2784"/>
      <c r="S258" s="2783"/>
      <c r="T258" s="3179"/>
      <c r="U258" s="3179"/>
      <c r="V258" s="3179"/>
      <c r="W258" s="2783"/>
      <c r="X258" s="2763"/>
      <c r="Y258" s="2763"/>
      <c r="Z258" s="2763"/>
      <c r="AA258" s="2763"/>
      <c r="AB258" s="2763"/>
      <c r="AC258" s="2763"/>
      <c r="AD258" s="2763"/>
      <c r="AE258" s="2763"/>
      <c r="AF258" s="2763"/>
      <c r="AG258" s="2763"/>
      <c r="AH258" s="2764"/>
      <c r="AI258" s="2499"/>
    </row>
    <row r="259" ht="11.25" customHeight="1">
      <c r="A259" s="2270"/>
      <c r="B259" s="2756"/>
      <c r="C259" s="2763"/>
      <c r="D259" s="2763"/>
      <c r="E259" s="3180" t="s">
        <v>949</v>
      </c>
      <c r="F259" s="3181"/>
      <c r="G259" s="3181"/>
      <c r="H259" s="3181"/>
      <c r="I259" s="3181"/>
      <c r="J259" s="3181"/>
      <c r="K259" s="3181"/>
      <c r="L259" s="3181"/>
      <c r="M259" s="3181"/>
      <c r="N259" s="3181"/>
      <c r="O259" s="3181"/>
      <c r="P259" s="3181"/>
      <c r="Q259" s="3181"/>
      <c r="R259" s="3181"/>
      <c r="S259" s="3181"/>
      <c r="T259" s="3181"/>
      <c r="U259" s="3181"/>
      <c r="V259" s="3181"/>
      <c r="W259" s="3182"/>
      <c r="X259" s="2763"/>
      <c r="Y259" s="2763"/>
      <c r="Z259" s="2763"/>
      <c r="AA259" s="2763"/>
      <c r="AB259" s="2763"/>
      <c r="AC259" s="2763"/>
      <c r="AD259" s="2763"/>
      <c r="AE259" s="2763"/>
      <c r="AF259" s="2763"/>
      <c r="AG259" s="2763"/>
      <c r="AH259" s="2764"/>
      <c r="AI259" s="2499"/>
    </row>
    <row r="260" ht="11.25" customHeight="1">
      <c r="A260" s="2270"/>
      <c r="B260" s="3183"/>
      <c r="C260" s="3184"/>
      <c r="D260" s="3184"/>
      <c r="E260" s="114"/>
      <c r="F260" s="3185"/>
      <c r="G260" s="3185"/>
      <c r="H260" s="3185"/>
      <c r="I260" s="3185"/>
      <c r="J260" s="3185"/>
      <c r="K260" s="3185"/>
      <c r="L260" s="3185"/>
      <c r="M260" s="3185"/>
      <c r="N260" s="3185"/>
      <c r="O260" s="3185"/>
      <c r="P260" s="3185"/>
      <c r="Q260" s="3185"/>
      <c r="R260" s="3185"/>
      <c r="S260" s="3185"/>
      <c r="T260" s="3185"/>
      <c r="U260" s="3185"/>
      <c r="V260" s="3185"/>
      <c r="W260" s="3186"/>
      <c r="X260" s="3184"/>
      <c r="Y260" s="3184"/>
      <c r="Z260" s="3184"/>
      <c r="AA260" s="3184"/>
      <c r="AB260" s="3184"/>
      <c r="AC260" s="3184"/>
      <c r="AD260" s="3184"/>
      <c r="AE260" s="3184"/>
      <c r="AF260" s="3184"/>
      <c r="AG260" s="3184"/>
      <c r="AH260" s="3187"/>
      <c r="AI260" s="2499"/>
    </row>
    <row r="261" ht="3.75" customHeight="1">
      <c r="A261" s="2270"/>
      <c r="B261" s="3183"/>
      <c r="C261" s="3184"/>
      <c r="D261" s="3184"/>
      <c r="E261" s="3188"/>
      <c r="F261" s="3188"/>
      <c r="G261" s="3188"/>
      <c r="H261" s="3188"/>
      <c r="I261" s="3189"/>
      <c r="J261" s="3188"/>
      <c r="K261" s="3188"/>
      <c r="L261" s="3188"/>
      <c r="M261" s="3188"/>
      <c r="N261" s="3189"/>
      <c r="O261" s="3188"/>
      <c r="P261" s="3188"/>
      <c r="Q261" s="3188"/>
      <c r="R261" s="3188"/>
      <c r="S261" s="3189"/>
      <c r="T261" s="3188"/>
      <c r="U261" s="3188"/>
      <c r="V261" s="3188"/>
      <c r="W261" s="3188"/>
      <c r="X261" s="3184"/>
      <c r="Y261" s="3184"/>
      <c r="Z261" s="3184"/>
      <c r="AA261" s="3184"/>
      <c r="AB261" s="3184"/>
      <c r="AC261" s="3184"/>
      <c r="AD261" s="3184"/>
      <c r="AE261" s="3184"/>
      <c r="AF261" s="3184"/>
      <c r="AG261" s="3184"/>
      <c r="AH261" s="3187"/>
      <c r="AI261" s="2499"/>
    </row>
    <row r="262" ht="96.75" customHeight="1">
      <c r="A262" s="2270"/>
      <c r="B262" s="3183"/>
      <c r="C262" s="3016" t="str">
        <f>IMAGE("https://i.ibb.co/qgT6ZFT/Ariana.png")</f>
        <v/>
      </c>
      <c r="D262" s="3190"/>
      <c r="E262" s="3018" t="str">
        <f t="array" ref="E262">IFERROR(VLOOKUP(E263,Dex!$B$3:$G330,3,FALSE),"")</f>
        <v/>
      </c>
      <c r="F262" s="1830"/>
      <c r="G262" s="1830"/>
      <c r="H262" s="1831"/>
      <c r="I262" s="3191"/>
      <c r="J262" s="3018" t="str">
        <f t="array" ref="J262">IFERROR(VLOOKUP(J263,Dex!$B$3:$G330,3,FALSE),"")</f>
        <v/>
      </c>
      <c r="K262" s="1830"/>
      <c r="L262" s="1830"/>
      <c r="M262" s="1831"/>
      <c r="N262" s="3191"/>
      <c r="O262" s="3018" t="str">
        <f t="array" ref="O262">IFERROR(VLOOKUP(O263,Dex!$B$3:$G330,3,FALSE),"")</f>
        <v/>
      </c>
      <c r="P262" s="1830"/>
      <c r="Q262" s="1830"/>
      <c r="R262" s="1831"/>
      <c r="S262" s="3191"/>
      <c r="T262" s="3018" t="str">
        <f t="array" ref="T262">IFERROR(VLOOKUP(T263,Dex!$B$3:$G330,3,FALSE),"")</f>
        <v/>
      </c>
      <c r="U262" s="1830"/>
      <c r="V262" s="1830"/>
      <c r="W262" s="1831"/>
      <c r="X262" s="3192"/>
      <c r="Y262" s="3193"/>
      <c r="Z262" s="3051"/>
      <c r="AA262" s="3051"/>
      <c r="AB262" s="3063"/>
      <c r="AC262" s="3194"/>
      <c r="AD262" s="3193"/>
      <c r="AE262" s="3051"/>
      <c r="AF262" s="3051"/>
      <c r="AG262" s="3063"/>
      <c r="AH262" s="3187"/>
      <c r="AI262" s="2499"/>
    </row>
    <row r="263" ht="18.75" customHeight="1">
      <c r="A263" s="2297"/>
      <c r="B263" s="3183"/>
      <c r="C263" s="3195" t="s">
        <v>950</v>
      </c>
      <c r="D263" s="3196"/>
      <c r="E263" s="3025" t="s">
        <v>291</v>
      </c>
      <c r="F263" s="3026"/>
      <c r="G263" s="3026"/>
      <c r="H263" s="3027"/>
      <c r="I263" s="3196"/>
      <c r="J263" s="3025" t="s">
        <v>951</v>
      </c>
      <c r="K263" s="3026"/>
      <c r="L263" s="3026"/>
      <c r="M263" s="3027"/>
      <c r="N263" s="3196"/>
      <c r="O263" s="3025" t="s">
        <v>889</v>
      </c>
      <c r="P263" s="3026"/>
      <c r="Q263" s="3026"/>
      <c r="R263" s="3027"/>
      <c r="S263" s="3196"/>
      <c r="T263" s="3025" t="s">
        <v>908</v>
      </c>
      <c r="U263" s="3026"/>
      <c r="V263" s="3026"/>
      <c r="W263" s="3027"/>
      <c r="X263" s="3197"/>
      <c r="Y263" s="3198"/>
      <c r="Z263" s="3051"/>
      <c r="AA263" s="3051"/>
      <c r="AB263" s="3063"/>
      <c r="AC263" s="3199"/>
      <c r="AD263" s="3198"/>
      <c r="AE263" s="3051"/>
      <c r="AF263" s="3051"/>
      <c r="AG263" s="3063"/>
      <c r="AH263" s="3187"/>
      <c r="AI263" s="2703"/>
    </row>
    <row r="264">
      <c r="A264" s="2704"/>
      <c r="B264" s="3183"/>
      <c r="C264" s="326"/>
      <c r="D264" s="3200"/>
      <c r="E264" s="3032">
        <v>77.0</v>
      </c>
      <c r="F264" s="3033"/>
      <c r="G264" s="3033"/>
      <c r="H264" s="3034"/>
      <c r="I264" s="3196"/>
      <c r="J264" s="3032">
        <v>78.0</v>
      </c>
      <c r="K264" s="3033"/>
      <c r="L264" s="3033"/>
      <c r="M264" s="3034"/>
      <c r="N264" s="3196"/>
      <c r="O264" s="3032">
        <v>78.0</v>
      </c>
      <c r="P264" s="3033"/>
      <c r="Q264" s="3033"/>
      <c r="R264" s="3034"/>
      <c r="S264" s="3196"/>
      <c r="T264" s="3032">
        <v>79.0</v>
      </c>
      <c r="U264" s="3033"/>
      <c r="V264" s="3033"/>
      <c r="W264" s="3034"/>
      <c r="X264" s="3197"/>
      <c r="Y264" s="3201"/>
      <c r="Z264" s="3051"/>
      <c r="AA264" s="3051"/>
      <c r="AB264" s="3063"/>
      <c r="AC264" s="3199"/>
      <c r="AD264" s="3201"/>
      <c r="AE264" s="3051"/>
      <c r="AF264" s="3051"/>
      <c r="AG264" s="3063"/>
      <c r="AH264" s="3187"/>
      <c r="AI264" s="2712"/>
    </row>
    <row r="265" ht="25.5" customHeight="1">
      <c r="A265" s="2270"/>
      <c r="B265" s="3183"/>
      <c r="C265" s="3202"/>
      <c r="D265" s="3193"/>
      <c r="E265" s="3038"/>
      <c r="F265" s="3039" t="str">
        <f t="array" ref="F265">IFERROR(VLOOKUP(E263,Dex!$B$3:$H330,5,FALSE),"")</f>
        <v/>
      </c>
      <c r="G265" s="3040" t="str">
        <f t="array" ref="G265">IFERROR(VLOOKUP(E263,Dex!$B$3:$H330,7,FALSE),"")</f>
        <v/>
      </c>
      <c r="H265" s="3041"/>
      <c r="I265" s="3198"/>
      <c r="J265" s="3038"/>
      <c r="K265" s="3039" t="str">
        <f t="array" ref="K265">IFERROR(VLOOKUP(J263,Dex!$B$3:$H330,5,FALSE),"")</f>
        <v/>
      </c>
      <c r="L265" s="3040" t="str">
        <f t="array" ref="L265">IFERROR(VLOOKUP(J263,Dex!$B$3:$H330,7,FALSE),"")</f>
        <v/>
      </c>
      <c r="M265" s="3041"/>
      <c r="N265" s="3198"/>
      <c r="O265" s="3038"/>
      <c r="P265" s="3039" t="str">
        <f t="array" ref="P265">IFERROR(VLOOKUP(O263,Dex!$B$3:$H330,5,FALSE),"")</f>
        <v/>
      </c>
      <c r="Q265" s="3040" t="str">
        <f t="array" ref="Q265">IFERROR(VLOOKUP(O263,Dex!$B$3:$H330,7,FALSE),"")</f>
        <v/>
      </c>
      <c r="R265" s="3041"/>
      <c r="S265" s="3198"/>
      <c r="T265" s="3038"/>
      <c r="U265" s="3039" t="str">
        <f t="array" ref="U265">IFERROR(VLOOKUP(T263,Dex!$B$3:$H330,5,FALSE),"")</f>
        <v/>
      </c>
      <c r="V265" s="3040" t="str">
        <f t="array" ref="V265">IFERROR(VLOOKUP(T263,Dex!$B$3:$H330,7,FALSE),"")</f>
        <v/>
      </c>
      <c r="W265" s="3041"/>
      <c r="X265" s="3197"/>
      <c r="Y265" s="3193"/>
      <c r="Z265" s="3051"/>
      <c r="AA265" s="3051"/>
      <c r="AB265" s="3063"/>
      <c r="AC265" s="3199"/>
      <c r="AD265" s="3193"/>
      <c r="AE265" s="3051"/>
      <c r="AF265" s="3051"/>
      <c r="AG265" s="3063"/>
      <c r="AH265" s="3187"/>
      <c r="AI265" s="2682"/>
    </row>
    <row r="266" ht="2.25" customHeight="1">
      <c r="A266" s="2270"/>
      <c r="B266" s="3183"/>
      <c r="C266" s="3199"/>
      <c r="D266" s="3193"/>
      <c r="E266" s="3042"/>
      <c r="F266" s="3043"/>
      <c r="G266" s="3043"/>
      <c r="H266" s="3044"/>
      <c r="I266" s="3198"/>
      <c r="J266" s="3042"/>
      <c r="K266" s="3043"/>
      <c r="L266" s="3043"/>
      <c r="M266" s="3044"/>
      <c r="N266" s="3198"/>
      <c r="O266" s="3042"/>
      <c r="P266" s="3043"/>
      <c r="Q266" s="3043"/>
      <c r="R266" s="3044"/>
      <c r="S266" s="3198"/>
      <c r="T266" s="3042"/>
      <c r="U266" s="3043"/>
      <c r="V266" s="3043"/>
      <c r="W266" s="3044"/>
      <c r="X266" s="3197"/>
      <c r="Y266" s="3203"/>
      <c r="Z266" s="3203"/>
      <c r="AA266" s="3203"/>
      <c r="AB266" s="3203"/>
      <c r="AC266" s="3199"/>
      <c r="AD266" s="3203"/>
      <c r="AE266" s="3203"/>
      <c r="AF266" s="3203"/>
      <c r="AG266" s="3203"/>
      <c r="AH266" s="3187"/>
      <c r="AI266" s="2682"/>
    </row>
    <row r="267" ht="20.25" customHeight="1">
      <c r="A267" s="2270"/>
      <c r="B267" s="3183"/>
      <c r="C267" s="3204"/>
      <c r="D267" s="3193"/>
      <c r="E267" s="3046" t="s">
        <v>263</v>
      </c>
      <c r="F267" s="3047"/>
      <c r="G267" s="3047"/>
      <c r="H267" s="3048"/>
      <c r="I267" s="3198"/>
      <c r="J267" s="3046" t="s">
        <v>169</v>
      </c>
      <c r="K267" s="3047"/>
      <c r="L267" s="3047"/>
      <c r="M267" s="3048"/>
      <c r="N267" s="3198"/>
      <c r="O267" s="3046" t="s">
        <v>172</v>
      </c>
      <c r="P267" s="3047"/>
      <c r="Q267" s="3047"/>
      <c r="R267" s="3048"/>
      <c r="S267" s="3198"/>
      <c r="T267" s="3046" t="s">
        <v>169</v>
      </c>
      <c r="U267" s="3047"/>
      <c r="V267" s="3047"/>
      <c r="W267" s="3048"/>
      <c r="X267" s="3197"/>
      <c r="Y267" s="3193"/>
      <c r="Z267" s="3051"/>
      <c r="AA267" s="3051"/>
      <c r="AB267" s="3063"/>
      <c r="AC267" s="3199"/>
      <c r="AD267" s="3193"/>
      <c r="AE267" s="3051"/>
      <c r="AF267" s="3051"/>
      <c r="AG267" s="3063"/>
      <c r="AH267" s="3187"/>
      <c r="AI267" s="2682"/>
    </row>
    <row r="268">
      <c r="A268" s="2270"/>
      <c r="B268" s="3183"/>
      <c r="C268" s="3205"/>
      <c r="D268" s="3193"/>
      <c r="E268" s="3050" t="s">
        <v>299</v>
      </c>
      <c r="F268" s="3051"/>
      <c r="G268" s="3051"/>
      <c r="H268" s="3052"/>
      <c r="I268" s="3198"/>
      <c r="J268" s="3050" t="s">
        <v>952</v>
      </c>
      <c r="K268" s="3051"/>
      <c r="L268" s="3051"/>
      <c r="M268" s="3052"/>
      <c r="N268" s="3198"/>
      <c r="O268" s="3050" t="s">
        <v>894</v>
      </c>
      <c r="P268" s="3051"/>
      <c r="Q268" s="3051"/>
      <c r="R268" s="3052"/>
      <c r="S268" s="3198"/>
      <c r="T268" s="3050" t="s">
        <v>953</v>
      </c>
      <c r="U268" s="3051"/>
      <c r="V268" s="3051"/>
      <c r="W268" s="3052"/>
      <c r="X268" s="3197"/>
      <c r="Y268" s="3193"/>
      <c r="Z268" s="3051"/>
      <c r="AA268" s="3051"/>
      <c r="AB268" s="3063"/>
      <c r="AC268" s="3199"/>
      <c r="AD268" s="3193"/>
      <c r="AE268" s="3051"/>
      <c r="AF268" s="3051"/>
      <c r="AG268" s="3063"/>
      <c r="AH268" s="3187"/>
      <c r="AI268" s="2682"/>
    </row>
    <row r="269" ht="20.25" customHeight="1">
      <c r="A269" s="2270"/>
      <c r="B269" s="3183"/>
      <c r="C269" s="3199"/>
      <c r="D269" s="3193"/>
      <c r="E269" s="3053" t="s">
        <v>213</v>
      </c>
      <c r="F269" s="3054"/>
      <c r="G269" s="3055"/>
      <c r="H269" s="3056" t="str">
        <f>IMAGE("https://raw.githubusercontent.com/msikma/pokesprite/master/items/berry/sitrus.png",3)</f>
        <v/>
      </c>
      <c r="I269" s="3198"/>
      <c r="J269" s="3053" t="s">
        <v>393</v>
      </c>
      <c r="K269" s="3054"/>
      <c r="L269" s="3055"/>
      <c r="M269" s="3056" t="str">
        <f>IMAGE("https://raw.githubusercontent.com/msikma/pokesprite/master/items/hold-item/weakness-policy.png",3)</f>
        <v/>
      </c>
      <c r="N269" s="3198"/>
      <c r="O269" s="3053" t="s">
        <v>452</v>
      </c>
      <c r="P269" s="3054"/>
      <c r="Q269" s="3055"/>
      <c r="R269" s="3056" t="str">
        <f>IMAGE("https://raw.githubusercontent.com/msikma/pokesprite/master/items/hold-item/scope-lens.png",3)</f>
        <v/>
      </c>
      <c r="S269" s="3198"/>
      <c r="T269" s="3053" t="s">
        <v>918</v>
      </c>
      <c r="U269" s="3054"/>
      <c r="V269" s="3055"/>
      <c r="W269" s="3056" t="str">
        <f>IMAGE("https://raw.githubusercontent.com/msikma/pokesprite/master/items/mega-stone/mawilite.png",3)</f>
        <v/>
      </c>
      <c r="X269" s="3197"/>
      <c r="Y269" s="3193"/>
      <c r="Z269" s="3051"/>
      <c r="AA269" s="3051"/>
      <c r="AB269" s="3063"/>
      <c r="AC269" s="3199"/>
      <c r="AD269" s="3193"/>
      <c r="AE269" s="3051"/>
      <c r="AF269" s="3051"/>
      <c r="AG269" s="3063"/>
      <c r="AH269" s="3187"/>
      <c r="AI269" s="2682"/>
    </row>
    <row r="270" ht="20.25" customHeight="1">
      <c r="A270" s="2270"/>
      <c r="B270" s="3183"/>
      <c r="C270" s="3204"/>
      <c r="D270" s="3193"/>
      <c r="E270" s="3046" t="s">
        <v>309</v>
      </c>
      <c r="F270" s="3047"/>
      <c r="G270" s="3059"/>
      <c r="H270" s="3060" t="str">
        <f t="shared" ref="H270:H271" si="13">IMAGE("https://raw.githubusercontent.com/msikma/pokesprite/master/misc/types/gen8/psychic.png",4,20,20)</f>
        <v/>
      </c>
      <c r="I270" s="3198"/>
      <c r="J270" s="3046" t="s">
        <v>402</v>
      </c>
      <c r="K270" s="3047"/>
      <c r="L270" s="3059"/>
      <c r="M270" s="3060" t="str">
        <f>IMAGE("https://raw.githubusercontent.com/msikma/pokesprite/master/misc/types/gen8/ground.png",4,20,20)</f>
        <v/>
      </c>
      <c r="N270" s="3198"/>
      <c r="O270" s="3046" t="s">
        <v>541</v>
      </c>
      <c r="P270" s="3047"/>
      <c r="Q270" s="3059"/>
      <c r="R270" s="3060" t="str">
        <f t="shared" ref="R270:R271" si="14">IMAGE("https://raw.githubusercontent.com/msikma/pokesprite/master/misc/types/gen8/dark.png",4,20,20)</f>
        <v/>
      </c>
      <c r="S270" s="3198"/>
      <c r="T270" s="3046" t="s">
        <v>541</v>
      </c>
      <c r="U270" s="3047"/>
      <c r="V270" s="3059"/>
      <c r="W270" s="3060" t="str">
        <f>IMAGE("https://raw.githubusercontent.com/msikma/pokesprite/master/misc/types/gen8/dark.png",4,20,20)</f>
        <v/>
      </c>
      <c r="X270" s="3197"/>
      <c r="Y270" s="3193"/>
      <c r="Z270" s="3051"/>
      <c r="AA270" s="3051"/>
      <c r="AB270" s="3063"/>
      <c r="AC270" s="3199"/>
      <c r="AD270" s="3193"/>
      <c r="AE270" s="3051"/>
      <c r="AF270" s="3051"/>
      <c r="AG270" s="3063"/>
      <c r="AH270" s="3187"/>
      <c r="AI270" s="2682"/>
    </row>
    <row r="271" ht="20.25" customHeight="1">
      <c r="A271" s="2270"/>
      <c r="B271" s="3183"/>
      <c r="C271" s="3206"/>
      <c r="D271" s="3193"/>
      <c r="E271" s="3050" t="s">
        <v>561</v>
      </c>
      <c r="F271" s="3051"/>
      <c r="G271" s="3063"/>
      <c r="H271" s="3064" t="str">
        <f t="shared" si="13"/>
        <v/>
      </c>
      <c r="I271" s="3198"/>
      <c r="J271" s="3050" t="s">
        <v>638</v>
      </c>
      <c r="K271" s="3051"/>
      <c r="L271" s="3063"/>
      <c r="M271" s="3064" t="str">
        <f>IMAGE("https://raw.githubusercontent.com/msikma/pokesprite/master/misc/types/gen8/rock.png",4,20,20)</f>
        <v/>
      </c>
      <c r="N271" s="3198"/>
      <c r="O271" s="3050" t="s">
        <v>540</v>
      </c>
      <c r="P271" s="3051"/>
      <c r="Q271" s="3063"/>
      <c r="R271" s="3064" t="str">
        <f t="shared" si="14"/>
        <v/>
      </c>
      <c r="S271" s="3198"/>
      <c r="T271" s="3050" t="s">
        <v>407</v>
      </c>
      <c r="U271" s="3051"/>
      <c r="V271" s="3063"/>
      <c r="W271" s="3064" t="str">
        <f>IMAGE("https://raw.githubusercontent.com/msikma/pokesprite/master/misc/types/gen8/steel.png",4,20,20)</f>
        <v/>
      </c>
      <c r="X271" s="3197"/>
      <c r="Y271" s="3193"/>
      <c r="Z271" s="3051"/>
      <c r="AA271" s="3051"/>
      <c r="AB271" s="3063"/>
      <c r="AC271" s="3199"/>
      <c r="AD271" s="3193"/>
      <c r="AE271" s="3051"/>
      <c r="AF271" s="3051"/>
      <c r="AG271" s="3063"/>
      <c r="AH271" s="3187"/>
      <c r="AI271" s="2682"/>
    </row>
    <row r="272" ht="20.25" customHeight="1">
      <c r="A272" s="2270"/>
      <c r="B272" s="3183"/>
      <c r="C272" s="3206"/>
      <c r="D272" s="3193"/>
      <c r="E272" s="3050" t="s">
        <v>284</v>
      </c>
      <c r="F272" s="3051"/>
      <c r="G272" s="3063"/>
      <c r="H272" s="3064" t="str">
        <f>IMAGE("https://raw.githubusercontent.com/msikma/pokesprite/master/misc/types/gen8/fairy.png",4,20,20)</f>
        <v/>
      </c>
      <c r="I272" s="3198"/>
      <c r="J272" s="3050" t="s">
        <v>215</v>
      </c>
      <c r="K272" s="3051"/>
      <c r="L272" s="3063"/>
      <c r="M272" s="3064" t="str">
        <f>IMAGE("https://raw.githubusercontent.com/msikma/pokesprite/master/misc/types/gen8/ice.png",4,20,20)</f>
        <v/>
      </c>
      <c r="N272" s="3198"/>
      <c r="O272" s="3050" t="s">
        <v>902</v>
      </c>
      <c r="P272" s="3051"/>
      <c r="Q272" s="3063"/>
      <c r="R272" s="3064" t="str">
        <f>IMAGE("https://raw.githubusercontent.com/msikma/pokesprite/master/misc/types/gen8/flying.png",4,20,20)</f>
        <v/>
      </c>
      <c r="S272" s="3198"/>
      <c r="T272" s="3050" t="s">
        <v>556</v>
      </c>
      <c r="U272" s="3051"/>
      <c r="V272" s="3063"/>
      <c r="W272" s="3064" t="str">
        <f>IMAGE("https://raw.githubusercontent.com/msikma/pokesprite/master/misc/types/gen8/fairy.png",4,20,20)</f>
        <v/>
      </c>
      <c r="X272" s="3197"/>
      <c r="Y272" s="3193"/>
      <c r="Z272" s="3051"/>
      <c r="AA272" s="3051"/>
      <c r="AB272" s="3063"/>
      <c r="AC272" s="3199"/>
      <c r="AD272" s="3193"/>
      <c r="AE272" s="3051"/>
      <c r="AF272" s="3051"/>
      <c r="AG272" s="3063"/>
      <c r="AH272" s="3187"/>
      <c r="AI272" s="2682"/>
    </row>
    <row r="273" ht="21.0" customHeight="1">
      <c r="A273" s="2270"/>
      <c r="B273" s="3183"/>
      <c r="C273" s="3206"/>
      <c r="D273" s="3193"/>
      <c r="E273" s="3067" t="s">
        <v>315</v>
      </c>
      <c r="F273" s="3068"/>
      <c r="G273" s="3069"/>
      <c r="H273" s="3070" t="str">
        <f>IMAGE("https://raw.githubusercontent.com/msikma/pokesprite/master/misc/types/gen8/fire.png",4,20,20)</f>
        <v/>
      </c>
      <c r="I273" s="3198"/>
      <c r="J273" s="3067" t="s">
        <v>954</v>
      </c>
      <c r="K273" s="3068"/>
      <c r="L273" s="3069"/>
      <c r="M273" s="3070" t="str">
        <f>IMAGE("https://raw.githubusercontent.com/msikma/pokesprite/master/misc/types/gen8/fire.png",4,20,20)</f>
        <v/>
      </c>
      <c r="N273" s="3198"/>
      <c r="O273" s="3067" t="s">
        <v>772</v>
      </c>
      <c r="P273" s="3068"/>
      <c r="Q273" s="3069"/>
      <c r="R273" s="3070" t="str">
        <f>IMAGE("https://raw.githubusercontent.com/msikma/pokesprite/master/misc/types/gen8/fighting.png",4,20,20)</f>
        <v/>
      </c>
      <c r="S273" s="3198"/>
      <c r="T273" s="3067" t="s">
        <v>489</v>
      </c>
      <c r="U273" s="3068"/>
      <c r="V273" s="3069"/>
      <c r="W273" s="3070" t="str">
        <f>IMAGE("https://raw.githubusercontent.com/msikma/pokesprite/master/misc/types/gen8/normal.png",4,20,20)</f>
        <v/>
      </c>
      <c r="X273" s="3207"/>
      <c r="Y273" s="3193"/>
      <c r="Z273" s="3051"/>
      <c r="AA273" s="3051"/>
      <c r="AB273" s="3063"/>
      <c r="AC273" s="3204"/>
      <c r="AD273" s="3193"/>
      <c r="AE273" s="3051"/>
      <c r="AF273" s="3051"/>
      <c r="AG273" s="3063"/>
      <c r="AH273" s="3187"/>
      <c r="AI273" s="2682"/>
    </row>
    <row r="274" ht="3.0" customHeight="1">
      <c r="A274" s="2745"/>
      <c r="B274" s="3208"/>
      <c r="C274" s="3209"/>
      <c r="D274" s="3210"/>
      <c r="E274" s="3211"/>
      <c r="F274" s="3211"/>
      <c r="G274" s="3211"/>
      <c r="H274" s="3211"/>
      <c r="I274" s="3210"/>
      <c r="J274" s="3211"/>
      <c r="K274" s="3211"/>
      <c r="L274" s="3211"/>
      <c r="M274" s="3211"/>
      <c r="N274" s="3210"/>
      <c r="O274" s="3211"/>
      <c r="P274" s="3211"/>
      <c r="Q274" s="3211"/>
      <c r="R274" s="3211"/>
      <c r="S274" s="3210"/>
      <c r="T274" s="3211"/>
      <c r="U274" s="3211"/>
      <c r="V274" s="3211"/>
      <c r="W274" s="3211"/>
      <c r="X274" s="3210"/>
      <c r="Y274" s="3210"/>
      <c r="Z274" s="3212"/>
      <c r="AA274" s="3212"/>
      <c r="AB274" s="3213"/>
      <c r="AC274" s="3213"/>
      <c r="AD274" s="3213"/>
      <c r="AE274" s="3213"/>
      <c r="AF274" s="3213"/>
      <c r="AG274" s="3213"/>
      <c r="AH274" s="3214"/>
      <c r="AI274" s="2754"/>
    </row>
    <row r="275" ht="16.5" customHeight="1">
      <c r="A275" s="2755"/>
      <c r="B275" s="3215"/>
      <c r="C275" s="3209"/>
      <c r="D275" s="3216"/>
      <c r="E275" s="3084" t="s">
        <v>190</v>
      </c>
      <c r="F275" s="381"/>
      <c r="G275" s="382"/>
      <c r="H275" s="3085" t="s">
        <v>191</v>
      </c>
      <c r="I275" s="3217"/>
      <c r="J275" s="3084" t="s">
        <v>190</v>
      </c>
      <c r="K275" s="381"/>
      <c r="L275" s="382"/>
      <c r="M275" s="3085" t="s">
        <v>191</v>
      </c>
      <c r="N275" s="3217"/>
      <c r="O275" s="3084" t="s">
        <v>190</v>
      </c>
      <c r="P275" s="381"/>
      <c r="Q275" s="382"/>
      <c r="R275" s="3085" t="s">
        <v>191</v>
      </c>
      <c r="S275" s="3217"/>
      <c r="T275" s="3084" t="s">
        <v>190</v>
      </c>
      <c r="U275" s="381"/>
      <c r="V275" s="382"/>
      <c r="W275" s="3085" t="s">
        <v>191</v>
      </c>
      <c r="X275" s="3218"/>
      <c r="Y275" s="3219"/>
      <c r="Z275" s="3184"/>
      <c r="AA275" s="3184"/>
      <c r="AB275" s="3219"/>
      <c r="AC275" s="3219"/>
      <c r="AD275" s="3219"/>
      <c r="AE275" s="3219"/>
      <c r="AF275" s="3219"/>
      <c r="AG275" s="3219"/>
      <c r="AH275" s="3220"/>
      <c r="AI275" s="2499"/>
    </row>
    <row r="276" ht="16.5" customHeight="1">
      <c r="A276" s="2755"/>
      <c r="B276" s="3215"/>
      <c r="C276" s="3209"/>
      <c r="D276" s="3216"/>
      <c r="E276" s="3090" t="s">
        <v>192</v>
      </c>
      <c r="F276" s="3091">
        <f t="array" ref="F276">IFERROR(VLOOKUP(E263,Dex!$B$3:$N330,8,FALSE),"")</f>
        <v>57</v>
      </c>
      <c r="G276" s="3092" t="str">
        <f t="array" ref="G276">IFERROR(VLOOKUP(F276,Dex!$P$22:$Q$276,2,FALSE),"")</f>
        <v/>
      </c>
      <c r="H276" s="3093">
        <v>252.0</v>
      </c>
      <c r="I276" s="3217"/>
      <c r="J276" s="3090" t="s">
        <v>192</v>
      </c>
      <c r="K276" s="3091">
        <f t="array" ref="K276">IFERROR(VLOOKUP(J263,Dex!$B$3:$N330,8,FALSE),"")</f>
        <v>115</v>
      </c>
      <c r="L276" s="3092" t="str">
        <f t="array" ref="L276">IFERROR(VLOOKUP(K276,Dex!$P$22:$Q$276,2,FALSE),"")</f>
        <v/>
      </c>
      <c r="M276" s="3093">
        <v>252.0</v>
      </c>
      <c r="N276" s="3217"/>
      <c r="O276" s="3090" t="s">
        <v>192</v>
      </c>
      <c r="P276" s="3091">
        <f t="array" ref="P276">IFERROR(VLOOKUP(O263,Dex!$B$3:$N330,8,FALSE),"")</f>
        <v>100</v>
      </c>
      <c r="Q276" s="3092" t="str">
        <f t="array" ref="Q276">IFERROR(VLOOKUP(P276,Dex!$P$22:$Q$276,2,FALSE),"")</f>
        <v/>
      </c>
      <c r="R276" s="3093">
        <v>6.0</v>
      </c>
      <c r="S276" s="3217"/>
      <c r="T276" s="3090" t="s">
        <v>192</v>
      </c>
      <c r="U276" s="3091">
        <f t="array" ref="U276">IFERROR(VLOOKUP(T263,Dex!$B$3:$N330,8,FALSE),"")</f>
        <v>50</v>
      </c>
      <c r="V276" s="3092" t="str">
        <f t="array" ref="V276">IFERROR(VLOOKUP(U276,Dex!$P$22:$Q$276,2,FALSE),"")</f>
        <v/>
      </c>
      <c r="W276" s="3093">
        <v>252.0</v>
      </c>
      <c r="X276" s="3218"/>
      <c r="Y276" s="3219"/>
      <c r="Z276" s="3184"/>
      <c r="AA276" s="3184"/>
      <c r="AB276" s="3219"/>
      <c r="AC276" s="3219"/>
      <c r="AD276" s="3219"/>
      <c r="AE276" s="3219"/>
      <c r="AF276" s="3219"/>
      <c r="AG276" s="3219"/>
      <c r="AH276" s="3220"/>
      <c r="AI276" s="2499"/>
    </row>
    <row r="277" ht="16.5" customHeight="1">
      <c r="A277" s="2755"/>
      <c r="B277" s="3215"/>
      <c r="C277" s="3209"/>
      <c r="D277" s="3216"/>
      <c r="E277" s="3096" t="s">
        <v>193</v>
      </c>
      <c r="F277" s="3097">
        <f t="array" ref="F277">IFERROR(VLOOKUP(E263,Dex!$B$3:$N330,9,FALSE),"")</f>
        <v>90</v>
      </c>
      <c r="G277" s="3098" t="str">
        <f t="array" ref="G277">IFERROR(VLOOKUP(F277,Dex!$P$22:$Q$276,2,FALSE),"")</f>
        <v/>
      </c>
      <c r="H277" s="3099"/>
      <c r="I277" s="3217"/>
      <c r="J277" s="3096" t="s">
        <v>193</v>
      </c>
      <c r="K277" s="3097">
        <f t="array" ref="K277">IFERROR(VLOOKUP(J263,Dex!$B$3:$N330,9,FALSE),"")</f>
        <v>140</v>
      </c>
      <c r="L277" s="3098" t="str">
        <f t="array" ref="L277">IFERROR(VLOOKUP(K277,Dex!$P$22:$Q$276,2,FALSE),"")</f>
        <v/>
      </c>
      <c r="M277" s="3099">
        <v>252.0</v>
      </c>
      <c r="N277" s="3217"/>
      <c r="O277" s="3096" t="s">
        <v>193</v>
      </c>
      <c r="P277" s="3097">
        <f t="array" ref="P277">IFERROR(VLOOKUP(O263,Dex!$B$3:$N330,9,FALSE),"")</f>
        <v>125</v>
      </c>
      <c r="Q277" s="3098" t="str">
        <f t="array" ref="Q277">IFERROR(VLOOKUP(P277,Dex!$P$22:$Q$276,2,FALSE),"")</f>
        <v/>
      </c>
      <c r="R277" s="3099">
        <v>252.0</v>
      </c>
      <c r="S277" s="3217"/>
      <c r="T277" s="3096" t="s">
        <v>193</v>
      </c>
      <c r="U277" s="3097">
        <f t="array" ref="U277">IFERROR(VLOOKUP(T263,Dex!$B$3:$N330,9,FALSE),"")</f>
        <v>105</v>
      </c>
      <c r="V277" s="3098" t="str">
        <f t="array" ref="V277">IFERROR(VLOOKUP(U277,Dex!$P$22:$Q$276,2,FALSE),"")</f>
        <v/>
      </c>
      <c r="W277" s="3099">
        <v>252.0</v>
      </c>
      <c r="X277" s="3218"/>
      <c r="Y277" s="3219"/>
      <c r="Z277" s="3184"/>
      <c r="AA277" s="3184"/>
      <c r="AB277" s="3219"/>
      <c r="AC277" s="3219"/>
      <c r="AD277" s="3219"/>
      <c r="AE277" s="3219"/>
      <c r="AF277" s="3219"/>
      <c r="AG277" s="3219"/>
      <c r="AH277" s="3220"/>
      <c r="AI277" s="2499"/>
    </row>
    <row r="278" ht="16.5" customHeight="1">
      <c r="A278" s="2755"/>
      <c r="B278" s="3215"/>
      <c r="C278" s="3209"/>
      <c r="D278" s="3216"/>
      <c r="E278" s="3096" t="s">
        <v>194</v>
      </c>
      <c r="F278" s="3097">
        <f t="array" ref="F278">IFERROR(VLOOKUP(E263,Dex!$B$3:$N330,10,FALSE),"")</f>
        <v>95</v>
      </c>
      <c r="G278" s="3098" t="str">
        <f t="array" ref="G278">IFERROR(VLOOKUP(F278,Dex!$P$22:$Q$276,2,FALSE),"")</f>
        <v/>
      </c>
      <c r="H278" s="3099"/>
      <c r="I278" s="3217"/>
      <c r="J278" s="3096" t="s">
        <v>194</v>
      </c>
      <c r="K278" s="3097">
        <f t="array" ref="K278">IFERROR(VLOOKUP(J263,Dex!$B$3:$N330,10,FALSE),"")</f>
        <v>130</v>
      </c>
      <c r="L278" s="3098" t="str">
        <f t="array" ref="L278">IFERROR(VLOOKUP(K278,Dex!$P$22:$Q$276,2,FALSE),"")</f>
        <v/>
      </c>
      <c r="M278" s="3099"/>
      <c r="N278" s="3217"/>
      <c r="O278" s="3096" t="s">
        <v>194</v>
      </c>
      <c r="P278" s="3097">
        <f t="array" ref="P278">IFERROR(VLOOKUP(O263,Dex!$B$3:$N330,10,FALSE),"")</f>
        <v>52</v>
      </c>
      <c r="Q278" s="3098" t="str">
        <f t="array" ref="Q278">IFERROR(VLOOKUP(P278,Dex!$P$22:$Q$276,2,FALSE),"")</f>
        <v/>
      </c>
      <c r="R278" s="3099"/>
      <c r="S278" s="3217"/>
      <c r="T278" s="3096" t="s">
        <v>194</v>
      </c>
      <c r="U278" s="3097">
        <f t="array" ref="U278">IFERROR(VLOOKUP(T263,Dex!$B$3:$N330,10,FALSE),"")</f>
        <v>125</v>
      </c>
      <c r="V278" s="3098" t="str">
        <f t="array" ref="V278">IFERROR(VLOOKUP(U278,Dex!$P$22:$Q$276,2,FALSE),"")</f>
        <v/>
      </c>
      <c r="W278" s="3099"/>
      <c r="X278" s="3218"/>
      <c r="Y278" s="3219"/>
      <c r="Z278" s="3184"/>
      <c r="AA278" s="3184"/>
      <c r="AB278" s="3219"/>
      <c r="AC278" s="3219"/>
      <c r="AD278" s="3219"/>
      <c r="AE278" s="3219"/>
      <c r="AF278" s="3219"/>
      <c r="AG278" s="3219"/>
      <c r="AH278" s="3220"/>
      <c r="AI278" s="2499"/>
    </row>
    <row r="279" ht="16.5" customHeight="1">
      <c r="A279" s="2755"/>
      <c r="B279" s="3215"/>
      <c r="C279" s="3209"/>
      <c r="D279" s="3216"/>
      <c r="E279" s="3096" t="s">
        <v>195</v>
      </c>
      <c r="F279" s="3097">
        <f t="array" ref="F279">IFERROR(VLOOKUP(E263,Dex!$B$3:$N330,11,FALSE),"")</f>
        <v>136</v>
      </c>
      <c r="G279" s="3098" t="str">
        <f t="array" ref="G279">IFERROR(VLOOKUP(F279,Dex!$P$22:$Q$276,2,FALSE),"")</f>
        <v/>
      </c>
      <c r="H279" s="3099">
        <v>252.0</v>
      </c>
      <c r="I279" s="3217"/>
      <c r="J279" s="3096" t="s">
        <v>195</v>
      </c>
      <c r="K279" s="3097">
        <f t="array" ref="K279">IFERROR(VLOOKUP(J263,Dex!$B$3:$N330,11,FALSE),"")</f>
        <v>55</v>
      </c>
      <c r="L279" s="3098" t="str">
        <f t="array" ref="L279">IFERROR(VLOOKUP(K279,Dex!$P$22:$Q$276,2,FALSE),"")</f>
        <v/>
      </c>
      <c r="M279" s="3099"/>
      <c r="N279" s="3217"/>
      <c r="O279" s="3096" t="s">
        <v>195</v>
      </c>
      <c r="P279" s="3097">
        <f t="array" ref="P279">IFERROR(VLOOKUP(O263,Dex!$B$3:$N330,11,FALSE),"")</f>
        <v>105</v>
      </c>
      <c r="Q279" s="3098" t="str">
        <f t="array" ref="Q279">IFERROR(VLOOKUP(P279,Dex!$P$22:$Q$276,2,FALSE),"")</f>
        <v/>
      </c>
      <c r="R279" s="3099"/>
      <c r="S279" s="3217"/>
      <c r="T279" s="3096" t="s">
        <v>195</v>
      </c>
      <c r="U279" s="3097">
        <f t="array" ref="U279">IFERROR(VLOOKUP(T263,Dex!$B$3:$N330,11,FALSE),"")</f>
        <v>55</v>
      </c>
      <c r="V279" s="3098" t="str">
        <f t="array" ref="V279">IFERROR(VLOOKUP(U279,Dex!$P$22:$Q$276,2,FALSE),"")</f>
        <v/>
      </c>
      <c r="W279" s="3099"/>
      <c r="X279" s="3218"/>
      <c r="Y279" s="3219"/>
      <c r="Z279" s="3184"/>
      <c r="AA279" s="3184"/>
      <c r="AB279" s="3219"/>
      <c r="AC279" s="3219"/>
      <c r="AD279" s="3219"/>
      <c r="AE279" s="3219"/>
      <c r="AF279" s="3219"/>
      <c r="AG279" s="3219"/>
      <c r="AH279" s="3220"/>
      <c r="AI279" s="2499"/>
    </row>
    <row r="280" ht="16.5" customHeight="1">
      <c r="A280" s="2755"/>
      <c r="B280" s="3215"/>
      <c r="C280" s="3209"/>
      <c r="D280" s="3216"/>
      <c r="E280" s="3096" t="s">
        <v>196</v>
      </c>
      <c r="F280" s="3097">
        <f t="array" ref="F280">IFERROR(VLOOKUP(E263,Dex!$B$3:$N330,12,FALSE),"")</f>
        <v>103</v>
      </c>
      <c r="G280" s="3098" t="str">
        <f t="array" ref="G280">IFERROR(VLOOKUP(F280,Dex!$P$22:$Q$276,2,FALSE),"")</f>
        <v/>
      </c>
      <c r="H280" s="3099"/>
      <c r="I280" s="3217"/>
      <c r="J280" s="3096" t="s">
        <v>196</v>
      </c>
      <c r="K280" s="3097">
        <f t="array" ref="K280">IFERROR(VLOOKUP(J263,Dex!$B$3:$N330,12,FALSE),"")</f>
        <v>55</v>
      </c>
      <c r="L280" s="3098" t="str">
        <f t="array" ref="L280">IFERROR(VLOOKUP(K280,Dex!$P$22:$Q$276,2,FALSE),"")</f>
        <v/>
      </c>
      <c r="M280" s="3099"/>
      <c r="N280" s="3217"/>
      <c r="O280" s="3096" t="s">
        <v>196</v>
      </c>
      <c r="P280" s="3097">
        <f t="array" ref="P280">IFERROR(VLOOKUP(O263,Dex!$B$3:$N330,12,FALSE),"")</f>
        <v>52</v>
      </c>
      <c r="Q280" s="3098" t="str">
        <f t="array" ref="Q280">IFERROR(VLOOKUP(P280,Dex!$P$22:$Q$276,2,FALSE),"")</f>
        <v/>
      </c>
      <c r="R280" s="3099"/>
      <c r="S280" s="3217"/>
      <c r="T280" s="3096" t="s">
        <v>196</v>
      </c>
      <c r="U280" s="3097">
        <f t="array" ref="U280">IFERROR(VLOOKUP(T263,Dex!$B$3:$N330,12,FALSE),"")</f>
        <v>95</v>
      </c>
      <c r="V280" s="3098" t="str">
        <f t="array" ref="V280">IFERROR(VLOOKUP(U280,Dex!$P$22:$Q$276,2,FALSE),"")</f>
        <v/>
      </c>
      <c r="W280" s="3099"/>
      <c r="X280" s="3218"/>
      <c r="Y280" s="3219"/>
      <c r="Z280" s="3184"/>
      <c r="AA280" s="3184"/>
      <c r="AB280" s="3219"/>
      <c r="AC280" s="3219"/>
      <c r="AD280" s="3219"/>
      <c r="AE280" s="3219"/>
      <c r="AF280" s="3219"/>
      <c r="AG280" s="3219"/>
      <c r="AH280" s="3220"/>
      <c r="AI280" s="2499"/>
    </row>
    <row r="281" ht="16.5" customHeight="1">
      <c r="A281" s="2755"/>
      <c r="B281" s="3215"/>
      <c r="C281" s="3209"/>
      <c r="D281" s="3216"/>
      <c r="E281" s="3100" t="s">
        <v>197</v>
      </c>
      <c r="F281" s="3101">
        <f t="array" ref="F281">IFERROR(VLOOKUP(E263,Dex!$B$3:$N330,13,FALSE),"")</f>
        <v>29</v>
      </c>
      <c r="G281" s="3102" t="str">
        <f t="array" ref="G281">IFERROR(VLOOKUP(F281,Dex!$P$22:$Q$276,2,FALSE),"")</f>
        <v/>
      </c>
      <c r="H281" s="3103">
        <v>6.0</v>
      </c>
      <c r="I281" s="3217"/>
      <c r="J281" s="3100" t="s">
        <v>197</v>
      </c>
      <c r="K281" s="3101">
        <f t="array" ref="K281">IFERROR(VLOOKUP(J263,Dex!$B$3:$N330,13,FALSE),"")</f>
        <v>40</v>
      </c>
      <c r="L281" s="3102" t="str">
        <f t="array" ref="L281">IFERROR(VLOOKUP(K281,Dex!$P$22:$Q$276,2,FALSE),"")</f>
        <v/>
      </c>
      <c r="M281" s="3103">
        <v>6.0</v>
      </c>
      <c r="N281" s="3217"/>
      <c r="O281" s="3100" t="s">
        <v>197</v>
      </c>
      <c r="P281" s="3101">
        <f t="array" ref="P281">IFERROR(VLOOKUP(O263,Dex!$B$3:$N330,13,FALSE),"")</f>
        <v>96</v>
      </c>
      <c r="Q281" s="3102" t="str">
        <f t="array" ref="Q281">IFERROR(VLOOKUP(P281,Dex!$P$22:$Q$276,2,FALSE),"")</f>
        <v/>
      </c>
      <c r="R281" s="3103">
        <v>252.0</v>
      </c>
      <c r="S281" s="3217"/>
      <c r="T281" s="3100" t="s">
        <v>197</v>
      </c>
      <c r="U281" s="3101">
        <f t="array" ref="U281">IFERROR(VLOOKUP(T263,Dex!$B$3:$N330,13,FALSE),"")</f>
        <v>50</v>
      </c>
      <c r="V281" s="3102" t="str">
        <f t="array" ref="V281">IFERROR(VLOOKUP(U281,Dex!$P$22:$Q$276,2,FALSE),"")</f>
        <v/>
      </c>
      <c r="W281" s="3103">
        <v>6.0</v>
      </c>
      <c r="X281" s="3218"/>
      <c r="Y281" s="3219"/>
      <c r="Z281" s="3184"/>
      <c r="AA281" s="3184"/>
      <c r="AB281" s="3219"/>
      <c r="AC281" s="3219"/>
      <c r="AD281" s="3219"/>
      <c r="AE281" s="3219"/>
      <c r="AF281" s="3219"/>
      <c r="AG281" s="3219"/>
      <c r="AH281" s="3220"/>
      <c r="AI281" s="2499"/>
    </row>
    <row r="282" ht="16.5" customHeight="1">
      <c r="A282" s="2755"/>
      <c r="B282" s="3215"/>
      <c r="C282" s="3209"/>
      <c r="D282" s="3216"/>
      <c r="E282" s="3104" t="s">
        <v>198</v>
      </c>
      <c r="F282" s="405"/>
      <c r="G282" s="406"/>
      <c r="H282" s="3105">
        <v>74.0</v>
      </c>
      <c r="I282" s="3217"/>
      <c r="J282" s="3104" t="s">
        <v>198</v>
      </c>
      <c r="K282" s="405"/>
      <c r="L282" s="406"/>
      <c r="M282" s="3105">
        <v>92.0</v>
      </c>
      <c r="N282" s="3217"/>
      <c r="O282" s="3104" t="s">
        <v>198</v>
      </c>
      <c r="P282" s="405"/>
      <c r="Q282" s="406"/>
      <c r="R282" s="3105">
        <v>250.0</v>
      </c>
      <c r="S282" s="3217"/>
      <c r="T282" s="3104" t="s">
        <v>198</v>
      </c>
      <c r="U282" s="405"/>
      <c r="V282" s="406"/>
      <c r="W282" s="3105">
        <v>109.0</v>
      </c>
      <c r="X282" s="3218"/>
      <c r="Y282" s="3219"/>
      <c r="Z282" s="3184"/>
      <c r="AA282" s="3184"/>
      <c r="AB282" s="3219"/>
      <c r="AC282" s="3219"/>
      <c r="AD282" s="3219"/>
      <c r="AE282" s="3219"/>
      <c r="AF282" s="3219"/>
      <c r="AG282" s="3219"/>
      <c r="AH282" s="3220"/>
      <c r="AI282" s="2499"/>
    </row>
    <row r="283" ht="15.0" customHeight="1">
      <c r="A283" s="2270"/>
      <c r="B283" s="3221"/>
      <c r="C283" s="3222"/>
      <c r="D283" s="3223"/>
      <c r="E283" s="3224"/>
      <c r="F283" s="3224"/>
      <c r="G283" s="3224"/>
      <c r="H283" s="3224"/>
      <c r="I283" s="3223"/>
      <c r="J283" s="3224"/>
      <c r="K283" s="3224"/>
      <c r="L283" s="3224"/>
      <c r="M283" s="3224"/>
      <c r="N283" s="3223"/>
      <c r="O283" s="3224"/>
      <c r="P283" s="3224"/>
      <c r="Q283" s="3224"/>
      <c r="R283" s="3224"/>
      <c r="S283" s="3223"/>
      <c r="T283" s="3225"/>
      <c r="U283" s="3225"/>
      <c r="V283" s="3225"/>
      <c r="W283" s="3226"/>
      <c r="X283" s="3223"/>
      <c r="Y283" s="3223"/>
      <c r="Z283" s="3223"/>
      <c r="AA283" s="3223"/>
      <c r="AB283" s="3223"/>
      <c r="AC283" s="3223"/>
      <c r="AD283" s="3223"/>
      <c r="AE283" s="3223"/>
      <c r="AF283" s="3223"/>
      <c r="AG283" s="3223"/>
      <c r="AH283" s="3227"/>
      <c r="AI283" s="2682"/>
    </row>
    <row r="284" ht="15.0" customHeight="1">
      <c r="A284" s="2270"/>
      <c r="B284" s="3228"/>
      <c r="C284" s="3229"/>
      <c r="D284" s="3230"/>
      <c r="E284" s="3230"/>
      <c r="F284" s="3230"/>
      <c r="G284" s="3230"/>
      <c r="H284" s="3230"/>
      <c r="I284" s="3230"/>
      <c r="J284" s="3230"/>
      <c r="K284" s="3230"/>
      <c r="L284" s="3230"/>
      <c r="M284" s="3230"/>
      <c r="N284" s="3230"/>
      <c r="O284" s="3230"/>
      <c r="P284" s="3230"/>
      <c r="Q284" s="3230"/>
      <c r="R284" s="3230"/>
      <c r="S284" s="3230"/>
      <c r="T284" s="3230"/>
      <c r="U284" s="3230"/>
      <c r="V284" s="3230"/>
      <c r="W284" s="3230"/>
      <c r="X284" s="3230"/>
      <c r="Y284" s="3230"/>
      <c r="Z284" s="3230"/>
      <c r="AA284" s="3230"/>
      <c r="AB284" s="3230"/>
      <c r="AC284" s="3230"/>
      <c r="AD284" s="3230"/>
      <c r="AE284" s="3230"/>
      <c r="AF284" s="3230"/>
      <c r="AG284" s="3230"/>
      <c r="AH284" s="3231"/>
      <c r="AI284" s="2682"/>
    </row>
    <row r="285" ht="16.5" customHeight="1">
      <c r="A285" s="2270"/>
      <c r="B285" s="3232"/>
      <c r="C285" s="3233"/>
      <c r="D285" s="3234"/>
      <c r="E285" s="3235" t="s">
        <v>955</v>
      </c>
      <c r="F285" s="3236"/>
      <c r="G285" s="3236"/>
      <c r="H285" s="3236"/>
      <c r="I285" s="3236"/>
      <c r="J285" s="3236"/>
      <c r="K285" s="3236"/>
      <c r="L285" s="3236"/>
      <c r="M285" s="3236"/>
      <c r="N285" s="3236"/>
      <c r="O285" s="3236"/>
      <c r="P285" s="3236"/>
      <c r="Q285" s="3236"/>
      <c r="R285" s="3236"/>
      <c r="S285" s="3236"/>
      <c r="T285" s="3236"/>
      <c r="U285" s="3236"/>
      <c r="V285" s="3236"/>
      <c r="W285" s="3236"/>
      <c r="X285" s="3236"/>
      <c r="Y285" s="3236"/>
      <c r="Z285" s="3236"/>
      <c r="AA285" s="3236"/>
      <c r="AB285" s="3236"/>
      <c r="AC285" s="3236"/>
      <c r="AD285" s="3236"/>
      <c r="AE285" s="3236"/>
      <c r="AF285" s="3236"/>
      <c r="AG285" s="3237"/>
      <c r="AH285" s="3238"/>
      <c r="AI285" s="2682"/>
    </row>
    <row r="286" ht="96.75" customHeight="1">
      <c r="A286" s="2270"/>
      <c r="B286" s="3239"/>
      <c r="C286" s="2912" t="str">
        <f>IMAGE("https://i.ibb.co/dcBy1qG/Giovanni.png")</f>
        <v/>
      </c>
      <c r="D286" s="3240"/>
      <c r="E286" s="2914" t="str">
        <f t="array" ref="E286">IFERROR(VLOOKUP(E287,Dex!$B$3:$G330,3,FALSE),"")</f>
        <v/>
      </c>
      <c r="F286" s="1830"/>
      <c r="G286" s="1830"/>
      <c r="H286" s="1831"/>
      <c r="I286" s="3241"/>
      <c r="J286" s="2914" t="str">
        <f t="array" ref="J286">IFERROR(VLOOKUP(J287,Dex!$B$3:$G330,3,FALSE),"")</f>
        <v/>
      </c>
      <c r="K286" s="1830"/>
      <c r="L286" s="1830"/>
      <c r="M286" s="1831"/>
      <c r="N286" s="3241"/>
      <c r="O286" s="2914" t="str">
        <f t="array" ref="O286">IFERROR(VLOOKUP(O287,Dex!$B$3:$G330,3,FALSE),"")</f>
        <v/>
      </c>
      <c r="P286" s="1830"/>
      <c r="Q286" s="1830"/>
      <c r="R286" s="1831"/>
      <c r="S286" s="3241"/>
      <c r="T286" s="2914" t="str">
        <f t="array" ref="T286">IFERROR(VLOOKUP(T287,Dex!$B$3:$G330,3,FALSE),"")</f>
        <v/>
      </c>
      <c r="U286" s="1830"/>
      <c r="V286" s="1830"/>
      <c r="W286" s="1831"/>
      <c r="X286" s="3241"/>
      <c r="Y286" s="2914" t="str">
        <f t="array" ref="Y286">IFERROR(VLOOKUP(Y287,Dex!$B$3:$G330,3,FALSE),"")</f>
        <v/>
      </c>
      <c r="Z286" s="1830"/>
      <c r="AA286" s="1830"/>
      <c r="AB286" s="1831"/>
      <c r="AC286" s="3241"/>
      <c r="AD286" s="2914" t="str">
        <f t="array" ref="AD286">IFERROR(VLOOKUP(AD287,Dex!$B$3:$G330,3,FALSE),"")</f>
        <v/>
      </c>
      <c r="AE286" s="1830"/>
      <c r="AF286" s="1830"/>
      <c r="AG286" s="1831"/>
      <c r="AH286" s="3242"/>
      <c r="AI286" s="2682"/>
    </row>
    <row r="287" ht="18.75" customHeight="1">
      <c r="A287" s="2297"/>
      <c r="B287" s="3243"/>
      <c r="C287" s="2918" t="s">
        <v>956</v>
      </c>
      <c r="D287" s="3244"/>
      <c r="E287" s="2920" t="s">
        <v>957</v>
      </c>
      <c r="F287" s="2921"/>
      <c r="G287" s="2921"/>
      <c r="H287" s="2922"/>
      <c r="I287" s="3244"/>
      <c r="J287" s="2920" t="s">
        <v>958</v>
      </c>
      <c r="K287" s="2921"/>
      <c r="L287" s="2921"/>
      <c r="M287" s="2922"/>
      <c r="N287" s="3244"/>
      <c r="O287" s="2920" t="s">
        <v>664</v>
      </c>
      <c r="P287" s="2921"/>
      <c r="Q287" s="2921"/>
      <c r="R287" s="2922"/>
      <c r="S287" s="3244"/>
      <c r="T287" s="2920" t="s">
        <v>417</v>
      </c>
      <c r="U287" s="2921"/>
      <c r="V287" s="2921"/>
      <c r="W287" s="2922"/>
      <c r="X287" s="3244"/>
      <c r="Y287" s="2920" t="s">
        <v>959</v>
      </c>
      <c r="Z287" s="2921"/>
      <c r="AA287" s="2921"/>
      <c r="AB287" s="2922"/>
      <c r="AC287" s="3244"/>
      <c r="AD287" s="2920" t="s">
        <v>960</v>
      </c>
      <c r="AE287" s="2921"/>
      <c r="AF287" s="2921"/>
      <c r="AG287" s="2922"/>
      <c r="AH287" s="3245"/>
      <c r="AI287" s="2703"/>
    </row>
    <row r="288">
      <c r="A288" s="2924"/>
      <c r="B288" s="3246"/>
      <c r="C288" s="326"/>
      <c r="D288" s="3247"/>
      <c r="E288" s="2927">
        <v>80.0</v>
      </c>
      <c r="F288" s="2928"/>
      <c r="G288" s="2928"/>
      <c r="H288" s="2929"/>
      <c r="I288" s="3248"/>
      <c r="J288" s="2927">
        <v>80.0</v>
      </c>
      <c r="K288" s="2928"/>
      <c r="L288" s="2928"/>
      <c r="M288" s="2929"/>
      <c r="N288" s="3248"/>
      <c r="O288" s="2927">
        <v>80.0</v>
      </c>
      <c r="P288" s="2928"/>
      <c r="Q288" s="2928"/>
      <c r="R288" s="2929"/>
      <c r="S288" s="3248"/>
      <c r="T288" s="2927">
        <v>80.0</v>
      </c>
      <c r="U288" s="2928"/>
      <c r="V288" s="2928"/>
      <c r="W288" s="2929"/>
      <c r="X288" s="3248"/>
      <c r="Y288" s="2927">
        <v>80.0</v>
      </c>
      <c r="Z288" s="2928"/>
      <c r="AA288" s="2928"/>
      <c r="AB288" s="2929"/>
      <c r="AC288" s="3248"/>
      <c r="AD288" s="2927">
        <v>80.0</v>
      </c>
      <c r="AE288" s="2928"/>
      <c r="AF288" s="2928"/>
      <c r="AG288" s="2929"/>
      <c r="AH288" s="3249"/>
      <c r="AI288" s="2932"/>
    </row>
    <row r="289" ht="25.5" customHeight="1">
      <c r="A289" s="2270"/>
      <c r="B289" s="3232"/>
      <c r="C289" s="3250"/>
      <c r="D289" s="3251"/>
      <c r="E289" s="2936"/>
      <c r="F289" s="2937" t="str">
        <f t="array" ref="F289">IFERROR(VLOOKUP(E287,Dex!$B$3:$H330,5,FALSE),"")</f>
        <v/>
      </c>
      <c r="G289" s="2938" t="str">
        <f t="array" ref="G289">IFERROR(VLOOKUP(E287,Dex!$B$3:$H330,7,FALSE),"")</f>
        <v/>
      </c>
      <c r="H289" s="2939"/>
      <c r="I289" s="3252"/>
      <c r="J289" s="2936"/>
      <c r="K289" s="2937" t="str">
        <f t="array" ref="K289">IFERROR(VLOOKUP(J287,Dex!$B$3:$H330,5,FALSE),"")</f>
        <v/>
      </c>
      <c r="L289" s="2938" t="str">
        <f t="array" ref="L289">IFERROR(VLOOKUP(J287,Dex!$B$3:$H330,7,FALSE),"")</f>
        <v/>
      </c>
      <c r="M289" s="2939"/>
      <c r="N289" s="3252"/>
      <c r="O289" s="2936"/>
      <c r="P289" s="2937" t="str">
        <f t="array" ref="P289">IFERROR(VLOOKUP(O287,Dex!$B$3:$H330,5,FALSE),"")</f>
        <v/>
      </c>
      <c r="Q289" s="2938" t="str">
        <f t="array" ref="Q289">IFERROR(VLOOKUP(O287,Dex!$B$3:$H330,7,FALSE),"")</f>
        <v/>
      </c>
      <c r="R289" s="2939"/>
      <c r="S289" s="3252"/>
      <c r="T289" s="2936"/>
      <c r="U289" s="2937" t="str">
        <f t="array" ref="U289">IFERROR(VLOOKUP(T287,Dex!$B$3:$H330,5,FALSE),"")</f>
        <v/>
      </c>
      <c r="V289" s="2938" t="str">
        <f t="array" ref="V289">IFERROR(VLOOKUP(T287,Dex!$B$3:$H330,7,FALSE),"")</f>
        <v/>
      </c>
      <c r="W289" s="2939"/>
      <c r="X289" s="3252"/>
      <c r="Y289" s="2936"/>
      <c r="Z289" s="2937" t="str">
        <f t="array" ref="Z289">IFERROR(VLOOKUP(Y287,Dex!$B$3:$H330,5,FALSE),"")</f>
        <v/>
      </c>
      <c r="AA289" s="2938" t="str">
        <f t="array" ref="AA289">IFERROR(VLOOKUP(Y287,Dex!$B$3:$H330,7,FALSE),"")</f>
        <v/>
      </c>
      <c r="AB289" s="2939"/>
      <c r="AC289" s="3252"/>
      <c r="AD289" s="2936"/>
      <c r="AE289" s="2941" t="str">
        <f t="array" ref="AE289">IFERROR(VLOOKUP(AD287,Dex!$B$3:$H330,5,FALSE),"")</f>
        <v/>
      </c>
      <c r="AF289" s="2942"/>
      <c r="AG289" s="2939"/>
      <c r="AH289" s="3242"/>
      <c r="AI289" s="2682"/>
    </row>
    <row r="290" ht="2.25" customHeight="1">
      <c r="A290" s="2270"/>
      <c r="B290" s="3232"/>
      <c r="C290" s="3253"/>
      <c r="D290" s="3251"/>
      <c r="E290" s="2944"/>
      <c r="F290" s="2945"/>
      <c r="G290" s="2945"/>
      <c r="H290" s="2946"/>
      <c r="I290" s="3252"/>
      <c r="J290" s="2944"/>
      <c r="K290" s="2945"/>
      <c r="L290" s="2945"/>
      <c r="M290" s="2946"/>
      <c r="N290" s="3252"/>
      <c r="O290" s="2944"/>
      <c r="P290" s="2945"/>
      <c r="Q290" s="2945"/>
      <c r="R290" s="2946"/>
      <c r="S290" s="3252"/>
      <c r="T290" s="2944"/>
      <c r="U290" s="2945"/>
      <c r="V290" s="2945"/>
      <c r="W290" s="2946"/>
      <c r="X290" s="3252"/>
      <c r="Y290" s="2944"/>
      <c r="Z290" s="2945"/>
      <c r="AA290" s="2945"/>
      <c r="AB290" s="2946"/>
      <c r="AC290" s="3252"/>
      <c r="AD290" s="2944"/>
      <c r="AE290" s="2945"/>
      <c r="AF290" s="2945"/>
      <c r="AG290" s="2946"/>
      <c r="AH290" s="3242"/>
      <c r="AI290" s="2682"/>
    </row>
    <row r="291" ht="20.25" customHeight="1">
      <c r="A291" s="2270"/>
      <c r="B291" s="3232"/>
      <c r="C291" s="3254"/>
      <c r="D291" s="3251"/>
      <c r="E291" s="2948" t="s">
        <v>205</v>
      </c>
      <c r="F291" s="2949"/>
      <c r="G291" s="2949"/>
      <c r="H291" s="2950"/>
      <c r="I291" s="3252"/>
      <c r="J291" s="2948" t="s">
        <v>169</v>
      </c>
      <c r="K291" s="2949"/>
      <c r="L291" s="2949"/>
      <c r="M291" s="2950"/>
      <c r="N291" s="3252"/>
      <c r="O291" s="2948" t="s">
        <v>169</v>
      </c>
      <c r="P291" s="2949"/>
      <c r="Q291" s="2949"/>
      <c r="R291" s="2950"/>
      <c r="S291" s="3252"/>
      <c r="T291" s="2948" t="s">
        <v>471</v>
      </c>
      <c r="U291" s="2949"/>
      <c r="V291" s="2949"/>
      <c r="W291" s="2950"/>
      <c r="X291" s="3252"/>
      <c r="Y291" s="2948" t="s">
        <v>263</v>
      </c>
      <c r="Z291" s="2949"/>
      <c r="AA291" s="2949"/>
      <c r="AB291" s="2950"/>
      <c r="AC291" s="3252"/>
      <c r="AD291" s="2948" t="s">
        <v>205</v>
      </c>
      <c r="AE291" s="2949"/>
      <c r="AF291" s="2949"/>
      <c r="AG291" s="2950"/>
      <c r="AH291" s="3242"/>
      <c r="AI291" s="2682"/>
    </row>
    <row r="292">
      <c r="A292" s="2270"/>
      <c r="B292" s="3232"/>
      <c r="C292" s="3255"/>
      <c r="D292" s="3251"/>
      <c r="E292" s="2952" t="s">
        <v>300</v>
      </c>
      <c r="F292" s="2953"/>
      <c r="G292" s="2953"/>
      <c r="H292" s="2954"/>
      <c r="I292" s="3252"/>
      <c r="J292" s="2952" t="s">
        <v>716</v>
      </c>
      <c r="K292" s="2953"/>
      <c r="L292" s="2953"/>
      <c r="M292" s="2954"/>
      <c r="N292" s="3252"/>
      <c r="O292" s="2952" t="s">
        <v>809</v>
      </c>
      <c r="P292" s="2953"/>
      <c r="Q292" s="2953"/>
      <c r="R292" s="2954"/>
      <c r="S292" s="3252"/>
      <c r="T292" s="2952" t="s">
        <v>423</v>
      </c>
      <c r="U292" s="2953"/>
      <c r="V292" s="2953"/>
      <c r="W292" s="2954"/>
      <c r="X292" s="3252"/>
      <c r="Y292" s="2952" t="s">
        <v>392</v>
      </c>
      <c r="Z292" s="2953"/>
      <c r="AA292" s="2953"/>
      <c r="AB292" s="2954"/>
      <c r="AC292" s="3252"/>
      <c r="AD292" s="2952" t="s">
        <v>961</v>
      </c>
      <c r="AE292" s="2953"/>
      <c r="AF292" s="2953"/>
      <c r="AG292" s="2954"/>
      <c r="AH292" s="3242"/>
      <c r="AI292" s="2682"/>
    </row>
    <row r="293" ht="20.25" customHeight="1">
      <c r="A293" s="2270"/>
      <c r="B293" s="3232"/>
      <c r="C293" s="3253"/>
      <c r="D293" s="3251"/>
      <c r="E293" s="2955" t="s">
        <v>237</v>
      </c>
      <c r="F293" s="2956"/>
      <c r="G293" s="2957"/>
      <c r="H293" s="2958" t="str">
        <f>IMAGE("https://raw.githubusercontent.com/msikma/pokesprite/master/items/hold-item/terrain-extender.png",3)</f>
        <v/>
      </c>
      <c r="I293" s="3252"/>
      <c r="J293" s="2955" t="s">
        <v>305</v>
      </c>
      <c r="K293" s="2956"/>
      <c r="L293" s="2957"/>
      <c r="M293" s="2958" t="str">
        <f>IMAGE("https://raw.githubusercontent.com/msikma/pokesprite/master/items/hold-item/psychic-seed.png",3)</f>
        <v/>
      </c>
      <c r="N293" s="3252"/>
      <c r="O293" s="2955" t="s">
        <v>240</v>
      </c>
      <c r="P293" s="2956"/>
      <c r="Q293" s="2957"/>
      <c r="R293" s="2958" t="str">
        <f>IMAGE("https://raw.githubusercontent.com/msikma/pokesprite/master/items/hold-item/focus-sash.png",3)</f>
        <v/>
      </c>
      <c r="S293" s="3252"/>
      <c r="T293" s="2955" t="s">
        <v>473</v>
      </c>
      <c r="U293" s="2956"/>
      <c r="V293" s="2957"/>
      <c r="W293" s="2958" t="str">
        <f>IMAGE("https://raw.githubusercontent.com/msikma/pokesprite/master/items/hold-item/assault-vest.png",3)</f>
        <v/>
      </c>
      <c r="X293" s="3252"/>
      <c r="Y293" s="2955" t="s">
        <v>426</v>
      </c>
      <c r="Z293" s="2956"/>
      <c r="AA293" s="2957"/>
      <c r="AB293" s="2958" t="str">
        <f>IMAGE("https://raw.githubusercontent.com/msikma/pokesprite/master/items/hold-item/power-herb.png",3)</f>
        <v/>
      </c>
      <c r="AC293" s="3252"/>
      <c r="AD293" s="2955" t="s">
        <v>679</v>
      </c>
      <c r="AE293" s="2956"/>
      <c r="AF293" s="2957"/>
      <c r="AG293" s="3256" t="s">
        <v>680</v>
      </c>
      <c r="AH293" s="3242"/>
      <c r="AI293" s="2682"/>
    </row>
    <row r="294" ht="20.25" customHeight="1">
      <c r="A294" s="2270"/>
      <c r="B294" s="3232"/>
      <c r="C294" s="3254"/>
      <c r="D294" s="3251"/>
      <c r="E294" s="2948" t="s">
        <v>464</v>
      </c>
      <c r="F294" s="2949"/>
      <c r="G294" s="2959"/>
      <c r="H294" s="2960" t="str">
        <f>IMAGE("https://raw.githubusercontent.com/msikma/pokesprite/master/misc/types/gen8/fairy.png",4,20,20)</f>
        <v/>
      </c>
      <c r="I294" s="3252"/>
      <c r="J294" s="2948" t="s">
        <v>658</v>
      </c>
      <c r="K294" s="2949"/>
      <c r="L294" s="2959"/>
      <c r="M294" s="2960" t="str">
        <f>IMAGE("https://raw.githubusercontent.com/msikma/pokesprite/master/misc/types/gen8/normal.png",4,20,20)</f>
        <v/>
      </c>
      <c r="N294" s="3252"/>
      <c r="O294" s="2948" t="s">
        <v>282</v>
      </c>
      <c r="P294" s="2949"/>
      <c r="Q294" s="2959"/>
      <c r="R294" s="2960" t="str">
        <f>IMAGE("https://raw.githubusercontent.com/msikma/pokesprite/master/misc/types/gen8/ground.png",4,20,20)</f>
        <v/>
      </c>
      <c r="S294" s="3252"/>
      <c r="T294" s="2948" t="s">
        <v>282</v>
      </c>
      <c r="U294" s="2949"/>
      <c r="V294" s="2959"/>
      <c r="W294" s="2960" t="str">
        <f>IMAGE("https://raw.githubusercontent.com/msikma/pokesprite/master/misc/types/gen8/ground.png",4,20,20)</f>
        <v/>
      </c>
      <c r="X294" s="3252"/>
      <c r="Y294" s="2948" t="s">
        <v>962</v>
      </c>
      <c r="Z294" s="2949"/>
      <c r="AA294" s="2959"/>
      <c r="AB294" s="2960" t="str">
        <f>IMAGE("https://raw.githubusercontent.com/msikma/pokesprite/master/misc/types/gen8/steel.png",4,20,20)</f>
        <v/>
      </c>
      <c r="AC294" s="3252"/>
      <c r="AD294" s="2948" t="s">
        <v>310</v>
      </c>
      <c r="AE294" s="2949"/>
      <c r="AF294" s="2959"/>
      <c r="AG294" s="2960" t="str">
        <f t="shared" ref="AG294:AG295" si="15">IMAGE("https://raw.githubusercontent.com/msikma/pokesprite/master/misc/types/gen8/psychic.png",4,20,20)</f>
        <v/>
      </c>
      <c r="AH294" s="3242"/>
      <c r="AI294" s="2682"/>
    </row>
    <row r="295" ht="20.25" customHeight="1">
      <c r="A295" s="2270"/>
      <c r="B295" s="3232"/>
      <c r="C295" s="3257"/>
      <c r="D295" s="3251"/>
      <c r="E295" s="2952" t="s">
        <v>561</v>
      </c>
      <c r="F295" s="2953"/>
      <c r="G295" s="2962"/>
      <c r="H295" s="2963" t="str">
        <f>IMAGE("https://raw.githubusercontent.com/msikma/pokesprite/master/misc/types/gen8/psychic.png",4,20,20)</f>
        <v/>
      </c>
      <c r="I295" s="3252"/>
      <c r="J295" s="2952" t="s">
        <v>279</v>
      </c>
      <c r="K295" s="2953"/>
      <c r="L295" s="2962"/>
      <c r="M295" s="2963" t="str">
        <f>IMAGE("https://raw.githubusercontent.com/msikma/pokesprite/master/misc/types/gen8/dark.png",4,20,20)</f>
        <v/>
      </c>
      <c r="N295" s="3252"/>
      <c r="O295" s="2952" t="s">
        <v>407</v>
      </c>
      <c r="P295" s="2953"/>
      <c r="Q295" s="2962"/>
      <c r="R295" s="2963" t="str">
        <f>IMAGE("https://raw.githubusercontent.com/msikma/pokesprite/master/misc/types/gen8/steel.png",4,20,20)</f>
        <v/>
      </c>
      <c r="S295" s="3252"/>
      <c r="T295" s="2952" t="s">
        <v>279</v>
      </c>
      <c r="U295" s="2953"/>
      <c r="V295" s="2962"/>
      <c r="W295" s="2963" t="str">
        <f>IMAGE("https://raw.githubusercontent.com/msikma/pokesprite/master/misc/types/gen8/dark.png",4,20,20)</f>
        <v/>
      </c>
      <c r="X295" s="3252"/>
      <c r="Y295" s="2952" t="s">
        <v>429</v>
      </c>
      <c r="Z295" s="2953"/>
      <c r="AA295" s="2962"/>
      <c r="AB295" s="2963" t="str">
        <f>IMAGE("https://raw.githubusercontent.com/msikma/pokesprite/master/misc/types/gen8/rock.png",4,20,20)</f>
        <v/>
      </c>
      <c r="AC295" s="3252"/>
      <c r="AD295" s="2952" t="s">
        <v>963</v>
      </c>
      <c r="AE295" s="2953"/>
      <c r="AF295" s="2962"/>
      <c r="AG295" s="2963" t="str">
        <f t="shared" si="15"/>
        <v/>
      </c>
      <c r="AH295" s="3242"/>
      <c r="AI295" s="2682"/>
    </row>
    <row r="296" ht="20.25" customHeight="1">
      <c r="A296" s="2270"/>
      <c r="B296" s="3232"/>
      <c r="C296" s="3257"/>
      <c r="D296" s="3251"/>
      <c r="E296" s="2952" t="s">
        <v>277</v>
      </c>
      <c r="F296" s="2953"/>
      <c r="G296" s="2962"/>
      <c r="H296" s="2963" t="str">
        <f>IMAGE("https://raw.githubusercontent.com/msikma/pokesprite/master/misc/types/gen8/electric.png",4,20,20)</f>
        <v/>
      </c>
      <c r="I296" s="3252"/>
      <c r="J296" s="2952" t="s">
        <v>244</v>
      </c>
      <c r="K296" s="2953"/>
      <c r="L296" s="2962"/>
      <c r="M296" s="2963" t="str">
        <f>IMAGE("https://raw.githubusercontent.com/msikma/pokesprite/master/misc/types/gen8/fighting.png",4,20,20)</f>
        <v/>
      </c>
      <c r="N296" s="3252"/>
      <c r="O296" s="2952" t="s">
        <v>610</v>
      </c>
      <c r="P296" s="2953"/>
      <c r="Q296" s="2962"/>
      <c r="R296" s="2963" t="str">
        <f>IMAGE("https://raw.githubusercontent.com/msikma/pokesprite/master/misc/types/gen8/rock.png",4,20,20)</f>
        <v/>
      </c>
      <c r="S296" s="3252"/>
      <c r="T296" s="2952" t="s">
        <v>610</v>
      </c>
      <c r="U296" s="2953"/>
      <c r="V296" s="2962"/>
      <c r="W296" s="2963" t="str">
        <f>IMAGE("https://raw.githubusercontent.com/msikma/pokesprite/master/misc/types/gen8/rock.png",4,20,20)</f>
        <v/>
      </c>
      <c r="X296" s="3252"/>
      <c r="Y296" s="2952" t="s">
        <v>372</v>
      </c>
      <c r="Z296" s="2953"/>
      <c r="AA296" s="2962"/>
      <c r="AB296" s="2963" t="str">
        <f>IMAGE("https://raw.githubusercontent.com/msikma/pokesprite/master/misc/types/gen8/fire.png",4,20,20)</f>
        <v/>
      </c>
      <c r="AC296" s="3252"/>
      <c r="AD296" s="2952" t="s">
        <v>375</v>
      </c>
      <c r="AE296" s="2953"/>
      <c r="AF296" s="2962"/>
      <c r="AG296" s="2963" t="str">
        <f>IMAGE("https://raw.githubusercontent.com/msikma/pokesprite/master/misc/types/gen8/fighting.png",4,20,20)</f>
        <v/>
      </c>
      <c r="AH296" s="3242"/>
      <c r="AI296" s="2682"/>
    </row>
    <row r="297" ht="21.0" customHeight="1">
      <c r="A297" s="2270"/>
      <c r="B297" s="3232"/>
      <c r="C297" s="3257"/>
      <c r="D297" s="3251"/>
      <c r="E297" s="2964" t="s">
        <v>375</v>
      </c>
      <c r="F297" s="2965"/>
      <c r="G297" s="2966"/>
      <c r="H297" s="2967" t="str">
        <f>IMAGE("https://raw.githubusercontent.com/msikma/pokesprite/master/misc/types/gen8/fighting.png",4,20,20)</f>
        <v/>
      </c>
      <c r="I297" s="3252"/>
      <c r="J297" s="2964" t="s">
        <v>215</v>
      </c>
      <c r="K297" s="2965"/>
      <c r="L297" s="2966"/>
      <c r="M297" s="2967" t="str">
        <f>IMAGE("https://raw.githubusercontent.com/msikma/pokesprite/master/misc/types/gen8/ice.png",4,20,20)</f>
        <v/>
      </c>
      <c r="N297" s="3252"/>
      <c r="O297" s="2964" t="s">
        <v>489</v>
      </c>
      <c r="P297" s="2965"/>
      <c r="Q297" s="2966"/>
      <c r="R297" s="2967" t="str">
        <f>IMAGE("https://raw.githubusercontent.com/msikma/pokesprite/master/misc/types/gen8/normal.png",4,20,20)</f>
        <v/>
      </c>
      <c r="S297" s="3252"/>
      <c r="T297" s="2964" t="s">
        <v>403</v>
      </c>
      <c r="U297" s="2965"/>
      <c r="V297" s="2966"/>
      <c r="W297" s="2967" t="str">
        <f>IMAGE("https://raw.githubusercontent.com/msikma/pokesprite/master/misc/types/gen8/fire.png",4,20,20)</f>
        <v/>
      </c>
      <c r="X297" s="3252"/>
      <c r="Y297" s="2964" t="s">
        <v>374</v>
      </c>
      <c r="Z297" s="2965"/>
      <c r="AA297" s="2966"/>
      <c r="AB297" s="2967" t="str">
        <f>IMAGE("https://raw.githubusercontent.com/msikma/pokesprite/master/misc/types/gen8/flying.png",4,20,20)</f>
        <v/>
      </c>
      <c r="AC297" s="3252"/>
      <c r="AD297" s="2964" t="s">
        <v>372</v>
      </c>
      <c r="AE297" s="2965"/>
      <c r="AF297" s="2966"/>
      <c r="AG297" s="2967" t="str">
        <f>IMAGE("https://raw.githubusercontent.com/msikma/pokesprite/master/misc/types/gen8/fire.png",4,20,20)</f>
        <v/>
      </c>
      <c r="AH297" s="3242"/>
      <c r="AI297" s="2682"/>
    </row>
    <row r="298" ht="3.0" customHeight="1">
      <c r="A298" s="2745"/>
      <c r="B298" s="3258"/>
      <c r="C298" s="3259"/>
      <c r="D298" s="3260"/>
      <c r="E298" s="3261"/>
      <c r="F298" s="3261"/>
      <c r="G298" s="3261"/>
      <c r="H298" s="3261"/>
      <c r="I298" s="3260"/>
      <c r="J298" s="3261"/>
      <c r="K298" s="3261"/>
      <c r="L298" s="3261"/>
      <c r="M298" s="3261"/>
      <c r="N298" s="3260"/>
      <c r="O298" s="3261"/>
      <c r="P298" s="3261"/>
      <c r="Q298" s="3261"/>
      <c r="R298" s="3261"/>
      <c r="S298" s="3260"/>
      <c r="T298" s="3261"/>
      <c r="U298" s="3261"/>
      <c r="V298" s="3261"/>
      <c r="W298" s="3262"/>
      <c r="X298" s="3260"/>
      <c r="Y298" s="3263"/>
      <c r="Z298" s="3264"/>
      <c r="AA298" s="3264"/>
      <c r="AB298" s="3265"/>
      <c r="AC298" s="3260"/>
      <c r="AD298" s="3266"/>
      <c r="AE298" s="3266"/>
      <c r="AF298" s="3266"/>
      <c r="AG298" s="3265"/>
      <c r="AH298" s="3267"/>
      <c r="AI298" s="2754"/>
    </row>
    <row r="299" ht="16.5" customHeight="1">
      <c r="A299" s="2755"/>
      <c r="B299" s="3268"/>
      <c r="C299" s="3259"/>
      <c r="D299" s="3269"/>
      <c r="E299" s="2980" t="s">
        <v>190</v>
      </c>
      <c r="F299" s="381"/>
      <c r="G299" s="382"/>
      <c r="H299" s="2981" t="s">
        <v>191</v>
      </c>
      <c r="I299" s="3270"/>
      <c r="J299" s="2980" t="s">
        <v>190</v>
      </c>
      <c r="K299" s="381"/>
      <c r="L299" s="382"/>
      <c r="M299" s="2981" t="s">
        <v>191</v>
      </c>
      <c r="N299" s="3270"/>
      <c r="O299" s="2980" t="s">
        <v>190</v>
      </c>
      <c r="P299" s="381"/>
      <c r="Q299" s="382"/>
      <c r="R299" s="2981" t="s">
        <v>191</v>
      </c>
      <c r="S299" s="3270"/>
      <c r="T299" s="2980" t="s">
        <v>190</v>
      </c>
      <c r="U299" s="381"/>
      <c r="V299" s="382"/>
      <c r="W299" s="2981" t="s">
        <v>191</v>
      </c>
      <c r="X299" s="3270"/>
      <c r="Y299" s="2980" t="s">
        <v>190</v>
      </c>
      <c r="Z299" s="381"/>
      <c r="AA299" s="382"/>
      <c r="AB299" s="2981" t="s">
        <v>191</v>
      </c>
      <c r="AC299" s="3270"/>
      <c r="AD299" s="2980" t="s">
        <v>190</v>
      </c>
      <c r="AE299" s="381"/>
      <c r="AF299" s="382"/>
      <c r="AG299" s="2981" t="s">
        <v>191</v>
      </c>
      <c r="AH299" s="3271"/>
      <c r="AI299" s="2499"/>
    </row>
    <row r="300" ht="16.5" customHeight="1">
      <c r="A300" s="2755"/>
      <c r="B300" s="3268"/>
      <c r="C300" s="3259"/>
      <c r="D300" s="3269"/>
      <c r="E300" s="2984" t="s">
        <v>192</v>
      </c>
      <c r="F300" s="2985">
        <f t="array" ref="F300">IFERROR(VLOOKUP(E287,Dex!$B$3:$N330,8,FALSE),"")</f>
        <v>70</v>
      </c>
      <c r="G300" s="2986" t="str">
        <f t="array" ref="G300">IFERROR(VLOOKUP(F300,Dex!$P$22:$Q$276,2,FALSE),"")</f>
        <v/>
      </c>
      <c r="H300" s="2987">
        <v>4.0</v>
      </c>
      <c r="I300" s="3270"/>
      <c r="J300" s="2984" t="s">
        <v>192</v>
      </c>
      <c r="K300" s="2985">
        <f t="array" ref="K300">IFERROR(VLOOKUP(J287,Dex!$B$3:$N330,8,FALSE),"")</f>
        <v>65</v>
      </c>
      <c r="L300" s="2986" t="str">
        <f t="array" ref="L300">IFERROR(VLOOKUP(K300,Dex!$P$22:$Q$276,2,FALSE),"")</f>
        <v/>
      </c>
      <c r="M300" s="2987">
        <v>252.0</v>
      </c>
      <c r="N300" s="3270"/>
      <c r="O300" s="2984" t="s">
        <v>192</v>
      </c>
      <c r="P300" s="2985">
        <f t="array" ref="P300">IFERROR(VLOOKUP(O287,Dex!$B$3:$N330,8,FALSE),"")</f>
        <v>110</v>
      </c>
      <c r="Q300" s="2986" t="str">
        <f t="array" ref="Q300">IFERROR(VLOOKUP(P300,Dex!$P$22:$Q$276,2,FALSE),"")</f>
        <v/>
      </c>
      <c r="R300" s="2987">
        <v>4.0</v>
      </c>
      <c r="S300" s="3270"/>
      <c r="T300" s="2984" t="s">
        <v>192</v>
      </c>
      <c r="U300" s="2985">
        <f t="array" ref="U300">IFERROR(VLOOKUP(T287,Dex!$B$3:$N330,8,FALSE),"")</f>
        <v>100</v>
      </c>
      <c r="V300" s="2986" t="str">
        <f t="array" ref="V300">IFERROR(VLOOKUP(U300,Dex!$P$22:$Q$276,2,FALSE),"")</f>
        <v/>
      </c>
      <c r="W300" s="2987">
        <v>252.0</v>
      </c>
      <c r="X300" s="3270"/>
      <c r="Y300" s="2984" t="s">
        <v>192</v>
      </c>
      <c r="Z300" s="2985">
        <f t="array" ref="Z300">IFERROR(VLOOKUP(Y287,Dex!$B$3:$N330,8,FALSE),"")</f>
        <v>97</v>
      </c>
      <c r="AA300" s="2986" t="str">
        <f t="array" ref="AA300">IFERROR(VLOOKUP(Z300,Dex!$P$22:$Q$276,2,FALSE),"")</f>
        <v/>
      </c>
      <c r="AB300" s="2987">
        <v>4.0</v>
      </c>
      <c r="AC300" s="3270"/>
      <c r="AD300" s="2984" t="s">
        <v>192</v>
      </c>
      <c r="AE300" s="2985">
        <f t="array" ref="AE300">IFERROR(VLOOKUP(AD287,Dex!$B$3:$N330,8,FALSE),"")</f>
        <v>106</v>
      </c>
      <c r="AF300" s="2986" t="str">
        <f t="array" ref="AF300">IFERROR(VLOOKUP(AE300,Dex!$P$22:$Q$276,2,FALSE),"")</f>
        <v/>
      </c>
      <c r="AG300" s="2987">
        <v>4.0</v>
      </c>
      <c r="AH300" s="3271"/>
      <c r="AI300" s="2499"/>
    </row>
    <row r="301" ht="16.5" customHeight="1">
      <c r="A301" s="2755"/>
      <c r="B301" s="3268"/>
      <c r="C301" s="3259"/>
      <c r="D301" s="3269"/>
      <c r="E301" s="2988" t="s">
        <v>193</v>
      </c>
      <c r="F301" s="2989">
        <f t="array" ref="F301">IFERROR(VLOOKUP(E287,Dex!$B$3:$N330,9,FALSE),"")</f>
        <v>85</v>
      </c>
      <c r="G301" s="2990" t="str">
        <f t="array" ref="G301">IFERROR(VLOOKUP(F301,Dex!$P$22:$Q$276,2,FALSE),"")</f>
        <v/>
      </c>
      <c r="H301" s="2991"/>
      <c r="I301" s="3270"/>
      <c r="J301" s="2988" t="s">
        <v>193</v>
      </c>
      <c r="K301" s="2989">
        <f t="array" ref="K301">IFERROR(VLOOKUP(J287,Dex!$B$3:$N330,9,FALSE),"")</f>
        <v>90</v>
      </c>
      <c r="L301" s="2990" t="str">
        <f t="array" ref="L301">IFERROR(VLOOKUP(K301,Dex!$P$22:$Q$276,2,FALSE),"")</f>
        <v/>
      </c>
      <c r="M301" s="2991">
        <v>252.0</v>
      </c>
      <c r="N301" s="3270"/>
      <c r="O301" s="2988" t="s">
        <v>193</v>
      </c>
      <c r="P301" s="2989">
        <f t="array" ref="P301">IFERROR(VLOOKUP(O287,Dex!$B$3:$N330,9,FALSE),"")</f>
        <v>135</v>
      </c>
      <c r="Q301" s="2990" t="str">
        <f t="array" ref="Q301">IFERROR(VLOOKUP(P301,Dex!$P$22:$Q$276,2,FALSE),"")</f>
        <v/>
      </c>
      <c r="R301" s="2991">
        <v>252.0</v>
      </c>
      <c r="S301" s="3270"/>
      <c r="T301" s="2988" t="s">
        <v>193</v>
      </c>
      <c r="U301" s="2989">
        <f t="array" ref="U301">IFERROR(VLOOKUP(T287,Dex!$B$3:$N330,9,FALSE),"")</f>
        <v>134</v>
      </c>
      <c r="V301" s="2990" t="str">
        <f t="array" ref="V301">IFERROR(VLOOKUP(U301,Dex!$P$22:$Q$276,2,FALSE),"")</f>
        <v/>
      </c>
      <c r="W301" s="2991">
        <v>4.0</v>
      </c>
      <c r="X301" s="3270"/>
      <c r="Y301" s="2988" t="s">
        <v>193</v>
      </c>
      <c r="Z301" s="2989">
        <f t="array" ref="Z301">IFERROR(VLOOKUP(Y287,Dex!$B$3:$N330,9,FALSE),"")</f>
        <v>101</v>
      </c>
      <c r="AA301" s="2990" t="str">
        <f t="array" ref="AA301">IFERROR(VLOOKUP(Z301,Dex!$P$22:$Q$276,2,FALSE),"")</f>
        <v/>
      </c>
      <c r="AB301" s="2991"/>
      <c r="AC301" s="3270"/>
      <c r="AD301" s="2988" t="s">
        <v>193</v>
      </c>
      <c r="AE301" s="2989">
        <f t="array" ref="AE301">IFERROR(VLOOKUP(AD287,Dex!$B$3:$N330,9,FALSE),"")</f>
        <v>150</v>
      </c>
      <c r="AF301" s="2990" t="str">
        <f t="array" ref="AF301">IFERROR(VLOOKUP(AE301,Dex!$P$22:$Q$276,2,FALSE),"")</f>
        <v/>
      </c>
      <c r="AG301" s="2991"/>
      <c r="AH301" s="3271"/>
      <c r="AI301" s="2499"/>
    </row>
    <row r="302" ht="16.5" customHeight="1">
      <c r="A302" s="2755"/>
      <c r="B302" s="3268"/>
      <c r="C302" s="3259"/>
      <c r="D302" s="3269"/>
      <c r="E302" s="2988" t="s">
        <v>194</v>
      </c>
      <c r="F302" s="2989">
        <f t="array" ref="F302">IFERROR(VLOOKUP(E287,Dex!$B$3:$N330,10,FALSE),"")</f>
        <v>75</v>
      </c>
      <c r="G302" s="2990" t="str">
        <f t="array" ref="G302">IFERROR(VLOOKUP(F302,Dex!$P$22:$Q$276,2,FALSE),"")</f>
        <v/>
      </c>
      <c r="H302" s="2991"/>
      <c r="I302" s="3270"/>
      <c r="J302" s="2988" t="s">
        <v>194</v>
      </c>
      <c r="K302" s="2989">
        <f t="array" ref="K302">IFERROR(VLOOKUP(J287,Dex!$B$3:$N330,10,FALSE),"")</f>
        <v>115</v>
      </c>
      <c r="L302" s="2990" t="str">
        <f t="array" ref="L302">IFERROR(VLOOKUP(K302,Dex!$P$22:$Q$276,2,FALSE),"")</f>
        <v/>
      </c>
      <c r="M302" s="2991">
        <v>4.0</v>
      </c>
      <c r="N302" s="3270"/>
      <c r="O302" s="2988" t="s">
        <v>194</v>
      </c>
      <c r="P302" s="2989">
        <f t="array" ref="P302">IFERROR(VLOOKUP(O287,Dex!$B$3:$N330,10,FALSE),"")</f>
        <v>60</v>
      </c>
      <c r="Q302" s="2990" t="str">
        <f t="array" ref="Q302">IFERROR(VLOOKUP(P302,Dex!$P$22:$Q$276,2,FALSE),"")</f>
        <v/>
      </c>
      <c r="R302" s="2991"/>
      <c r="S302" s="3270"/>
      <c r="T302" s="2988" t="s">
        <v>194</v>
      </c>
      <c r="U302" s="2989">
        <f t="array" ref="U302">IFERROR(VLOOKUP(T287,Dex!$B$3:$N330,10,FALSE),"")</f>
        <v>110</v>
      </c>
      <c r="V302" s="2990" t="str">
        <f t="array" ref="V302">IFERROR(VLOOKUP(U302,Dex!$P$22:$Q$276,2,FALSE),"")</f>
        <v/>
      </c>
      <c r="W302" s="2991"/>
      <c r="X302" s="3270"/>
      <c r="Y302" s="2988" t="s">
        <v>194</v>
      </c>
      <c r="Z302" s="2989">
        <f t="array" ref="Z302">IFERROR(VLOOKUP(Y287,Dex!$B$3:$N330,10,FALSE),"")</f>
        <v>103</v>
      </c>
      <c r="AA302" s="2990" t="str">
        <f t="array" ref="AA302">IFERROR(VLOOKUP(Z302,Dex!$P$22:$Q$276,2,FALSE),"")</f>
        <v/>
      </c>
      <c r="AB302" s="2991"/>
      <c r="AC302" s="3270"/>
      <c r="AD302" s="2988" t="s">
        <v>194</v>
      </c>
      <c r="AE302" s="2989">
        <f t="array" ref="AE302">IFERROR(VLOOKUP(AD287,Dex!$B$3:$N330,10,FALSE),"")</f>
        <v>70</v>
      </c>
      <c r="AF302" s="2990" t="str">
        <f t="array" ref="AF302">IFERROR(VLOOKUP(AE302,Dex!$P$22:$Q$276,2,FALSE),"")</f>
        <v/>
      </c>
      <c r="AG302" s="2991"/>
      <c r="AH302" s="3271"/>
      <c r="AI302" s="2499"/>
    </row>
    <row r="303" ht="16.5" customHeight="1">
      <c r="A303" s="2755"/>
      <c r="B303" s="3268"/>
      <c r="C303" s="3259"/>
      <c r="D303" s="3269"/>
      <c r="E303" s="2988" t="s">
        <v>195</v>
      </c>
      <c r="F303" s="2989">
        <f t="array" ref="F303">IFERROR(VLOOKUP(E287,Dex!$B$3:$N330,11,FALSE),"")</f>
        <v>130</v>
      </c>
      <c r="G303" s="2990" t="str">
        <f t="array" ref="G303">IFERROR(VLOOKUP(F303,Dex!$P$22:$Q$276,2,FALSE),"")</f>
        <v/>
      </c>
      <c r="H303" s="2991">
        <v>252.0</v>
      </c>
      <c r="I303" s="3270"/>
      <c r="J303" s="2988" t="s">
        <v>195</v>
      </c>
      <c r="K303" s="2989">
        <f t="array" ref="K303">IFERROR(VLOOKUP(J287,Dex!$B$3:$N330,11,FALSE),"")</f>
        <v>45</v>
      </c>
      <c r="L303" s="2990" t="str">
        <f t="array" ref="L303">IFERROR(VLOOKUP(K303,Dex!$P$22:$Q$276,2,FALSE),"")</f>
        <v/>
      </c>
      <c r="M303" s="2991"/>
      <c r="N303" s="3270"/>
      <c r="O303" s="2988" t="s">
        <v>195</v>
      </c>
      <c r="P303" s="2989">
        <f t="array" ref="P303">IFERROR(VLOOKUP(O287,Dex!$B$3:$N330,11,FALSE),"")</f>
        <v>50</v>
      </c>
      <c r="Q303" s="2990" t="str">
        <f t="array" ref="Q303">IFERROR(VLOOKUP(P303,Dex!$P$22:$Q$276,2,FALSE),"")</f>
        <v/>
      </c>
      <c r="R303" s="2991"/>
      <c r="S303" s="3270"/>
      <c r="T303" s="2988" t="s">
        <v>195</v>
      </c>
      <c r="U303" s="2989">
        <f t="array" ref="U303">IFERROR(VLOOKUP(T287,Dex!$B$3:$N330,11,FALSE),"")</f>
        <v>95</v>
      </c>
      <c r="V303" s="2990" t="str">
        <f t="array" ref="V303">IFERROR(VLOOKUP(U303,Dex!$P$22:$Q$276,2,FALSE),"")</f>
        <v/>
      </c>
      <c r="W303" s="2991"/>
      <c r="X303" s="3270"/>
      <c r="Y303" s="2988" t="s">
        <v>195</v>
      </c>
      <c r="Z303" s="2989">
        <f t="array" ref="Z303">IFERROR(VLOOKUP(Y287,Dex!$B$3:$N330,11,FALSE),"")</f>
        <v>107</v>
      </c>
      <c r="AA303" s="2990" t="str">
        <f t="array" ref="AA303">IFERROR(VLOOKUP(Z303,Dex!$P$22:$Q$276,2,FALSE),"")</f>
        <v/>
      </c>
      <c r="AB303" s="2991">
        <v>252.0</v>
      </c>
      <c r="AC303" s="3270"/>
      <c r="AD303" s="2988" t="s">
        <v>195</v>
      </c>
      <c r="AE303" s="2989">
        <f t="array" ref="AE303">IFERROR(VLOOKUP(AD287,Dex!$B$3:$N330,11,FALSE),"")</f>
        <v>194</v>
      </c>
      <c r="AF303" s="2990" t="str">
        <f t="array" ref="AF303">IFERROR(VLOOKUP(AE303,Dex!$P$22:$Q$276,2,FALSE),"")</f>
        <v/>
      </c>
      <c r="AG303" s="2991">
        <v>252.0</v>
      </c>
      <c r="AH303" s="3271"/>
      <c r="AI303" s="2499"/>
    </row>
    <row r="304" ht="16.5" customHeight="1">
      <c r="A304" s="2755"/>
      <c r="B304" s="3268"/>
      <c r="C304" s="3259"/>
      <c r="D304" s="3269"/>
      <c r="E304" s="2988" t="s">
        <v>196</v>
      </c>
      <c r="F304" s="2989">
        <f t="array" ref="F304">IFERROR(VLOOKUP(E287,Dex!$B$3:$N330,12,FALSE),"")</f>
        <v>115</v>
      </c>
      <c r="G304" s="2990" t="str">
        <f t="array" ref="G304">IFERROR(VLOOKUP(F304,Dex!$P$22:$Q$276,2,FALSE),"")</f>
        <v/>
      </c>
      <c r="H304" s="2991"/>
      <c r="I304" s="3270"/>
      <c r="J304" s="2988" t="s">
        <v>196</v>
      </c>
      <c r="K304" s="2989">
        <f t="array" ref="K304">IFERROR(VLOOKUP(J287,Dex!$B$3:$N330,12,FALSE),"")</f>
        <v>115</v>
      </c>
      <c r="L304" s="2990" t="str">
        <f t="array" ref="L304">IFERROR(VLOOKUP(K304,Dex!$P$22:$Q$276,2,FALSE),"")</f>
        <v/>
      </c>
      <c r="M304" s="2991"/>
      <c r="N304" s="3270"/>
      <c r="O304" s="2988" t="s">
        <v>196</v>
      </c>
      <c r="P304" s="2989">
        <f t="array" ref="P304">IFERROR(VLOOKUP(O287,Dex!$B$3:$N330,12,FALSE),"")</f>
        <v>65</v>
      </c>
      <c r="Q304" s="2990" t="str">
        <f t="array" ref="Q304">IFERROR(VLOOKUP(P304,Dex!$P$22:$Q$276,2,FALSE),"")</f>
        <v/>
      </c>
      <c r="R304" s="2991"/>
      <c r="S304" s="3270"/>
      <c r="T304" s="2988" t="s">
        <v>196</v>
      </c>
      <c r="U304" s="2989">
        <f t="array" ref="U304">IFERROR(VLOOKUP(T287,Dex!$B$3:$N330,12,FALSE),"")</f>
        <v>100</v>
      </c>
      <c r="V304" s="2990" t="str">
        <f t="array" ref="V304">IFERROR(VLOOKUP(U304,Dex!$P$22:$Q$276,2,FALSE),"")</f>
        <v/>
      </c>
      <c r="W304" s="2991">
        <v>252.0</v>
      </c>
      <c r="X304" s="3270"/>
      <c r="Y304" s="2988" t="s">
        <v>196</v>
      </c>
      <c r="Z304" s="2989">
        <f t="array" ref="Z304">IFERROR(VLOOKUP(Y287,Dex!$B$3:$N330,12,FALSE),"")</f>
        <v>101</v>
      </c>
      <c r="AA304" s="2990" t="str">
        <f t="array" ref="AA304">IFERROR(VLOOKUP(Z304,Dex!$P$22:$Q$276,2,FALSE),"")</f>
        <v/>
      </c>
      <c r="AB304" s="2991"/>
      <c r="AC304" s="3270"/>
      <c r="AD304" s="2988" t="s">
        <v>196</v>
      </c>
      <c r="AE304" s="2989">
        <f t="array" ref="AE304">IFERROR(VLOOKUP(AD287,Dex!$B$3:$N330,12,FALSE),"")</f>
        <v>120</v>
      </c>
      <c r="AF304" s="2990" t="str">
        <f t="array" ref="AF304">IFERROR(VLOOKUP(AE304,Dex!$P$22:$Q$276,2,FALSE),"")</f>
        <v/>
      </c>
      <c r="AG304" s="2991"/>
      <c r="AH304" s="3271"/>
      <c r="AI304" s="2499"/>
    </row>
    <row r="305" ht="16.5" customHeight="1">
      <c r="A305" s="2755"/>
      <c r="B305" s="3268"/>
      <c r="C305" s="3259"/>
      <c r="D305" s="3269"/>
      <c r="E305" s="2992" t="s">
        <v>197</v>
      </c>
      <c r="F305" s="2993">
        <f t="array" ref="F305">IFERROR(VLOOKUP(E287,Dex!$B$3:$N330,13,FALSE),"")</f>
        <v>95</v>
      </c>
      <c r="G305" s="2994" t="str">
        <f t="array" ref="G305">IFERROR(VLOOKUP(F305,Dex!$P$22:$Q$276,2,FALSE),"")</f>
        <v/>
      </c>
      <c r="H305" s="2995">
        <v>252.0</v>
      </c>
      <c r="I305" s="3270"/>
      <c r="J305" s="2992" t="s">
        <v>197</v>
      </c>
      <c r="K305" s="2993">
        <f t="array" ref="K305">IFERROR(VLOOKUP(J287,Dex!$B$3:$N330,13,FALSE),"")</f>
        <v>58</v>
      </c>
      <c r="L305" s="2994" t="str">
        <f t="array" ref="L305">IFERROR(VLOOKUP(K305,Dex!$P$22:$Q$276,2,FALSE),"")</f>
        <v/>
      </c>
      <c r="M305" s="2995"/>
      <c r="N305" s="3270"/>
      <c r="O305" s="2992" t="s">
        <v>197</v>
      </c>
      <c r="P305" s="2993">
        <f t="array" ref="P305">IFERROR(VLOOKUP(O287,Dex!$B$3:$N330,13,FALSE),"")</f>
        <v>88</v>
      </c>
      <c r="Q305" s="2994" t="str">
        <f t="array" ref="Q305">IFERROR(VLOOKUP(P305,Dex!$P$22:$Q$276,2,FALSE),"")</f>
        <v/>
      </c>
      <c r="R305" s="2995">
        <v>252.0</v>
      </c>
      <c r="S305" s="3270"/>
      <c r="T305" s="2992" t="s">
        <v>197</v>
      </c>
      <c r="U305" s="2993">
        <f t="array" ref="U305">IFERROR(VLOOKUP(T287,Dex!$B$3:$N330,13,FALSE),"")</f>
        <v>61</v>
      </c>
      <c r="V305" s="2994" t="str">
        <f t="array" ref="V305">IFERROR(VLOOKUP(U305,Dex!$P$22:$Q$276,2,FALSE),"")</f>
        <v/>
      </c>
      <c r="W305" s="2995"/>
      <c r="X305" s="3270"/>
      <c r="Y305" s="2992" t="s">
        <v>197</v>
      </c>
      <c r="Z305" s="2993">
        <f t="array" ref="Z305">IFERROR(VLOOKUP(Y287,Dex!$B$3:$N330,13,FALSE),"")</f>
        <v>61</v>
      </c>
      <c r="AA305" s="2994" t="str">
        <f t="array" ref="AA305">IFERROR(VLOOKUP(Z305,Dex!$P$22:$Q$276,2,FALSE),"")</f>
        <v/>
      </c>
      <c r="AB305" s="2995">
        <v>252.0</v>
      </c>
      <c r="AC305" s="3270"/>
      <c r="AD305" s="2992" t="s">
        <v>197</v>
      </c>
      <c r="AE305" s="2993">
        <f t="array" ref="AE305">IFERROR(VLOOKUP(AD287,Dex!$B$3:$N330,13,FALSE),"")</f>
        <v>140</v>
      </c>
      <c r="AF305" s="2994" t="str">
        <f t="array" ref="AF305">IFERROR(VLOOKUP(AE305,Dex!$P$22:$Q$276,2,FALSE),"")</f>
        <v/>
      </c>
      <c r="AG305" s="2995">
        <v>252.0</v>
      </c>
      <c r="AH305" s="3271"/>
      <c r="AI305" s="2499"/>
    </row>
    <row r="306" ht="16.5" customHeight="1">
      <c r="A306" s="2755"/>
      <c r="B306" s="3268"/>
      <c r="C306" s="3259"/>
      <c r="D306" s="3269"/>
      <c r="E306" s="2996" t="s">
        <v>198</v>
      </c>
      <c r="F306" s="405"/>
      <c r="G306" s="406"/>
      <c r="H306" s="2997">
        <v>255.0</v>
      </c>
      <c r="I306" s="3270"/>
      <c r="J306" s="2996" t="s">
        <v>198</v>
      </c>
      <c r="K306" s="405"/>
      <c r="L306" s="406"/>
      <c r="M306" s="2997">
        <v>122.0</v>
      </c>
      <c r="N306" s="3270"/>
      <c r="O306" s="2996" t="s">
        <v>198</v>
      </c>
      <c r="P306" s="405"/>
      <c r="Q306" s="406"/>
      <c r="R306" s="2997">
        <v>221.0</v>
      </c>
      <c r="S306" s="3270"/>
      <c r="T306" s="2996" t="s">
        <v>198</v>
      </c>
      <c r="U306" s="405"/>
      <c r="V306" s="406"/>
      <c r="W306" s="2997">
        <v>127.0</v>
      </c>
      <c r="X306" s="3270"/>
      <c r="Y306" s="2996" t="s">
        <v>198</v>
      </c>
      <c r="Z306" s="405"/>
      <c r="AA306" s="406"/>
      <c r="AB306" s="2997">
        <v>177.0</v>
      </c>
      <c r="AC306" s="3270"/>
      <c r="AD306" s="2996" t="s">
        <v>198</v>
      </c>
      <c r="AE306" s="405"/>
      <c r="AF306" s="406"/>
      <c r="AG306" s="2997">
        <v>334.0</v>
      </c>
      <c r="AH306" s="3271"/>
      <c r="AI306" s="2499"/>
    </row>
    <row r="307" ht="3.75" customHeight="1">
      <c r="A307" s="2755"/>
      <c r="B307" s="3232"/>
      <c r="C307" s="3272"/>
      <c r="D307" s="3273"/>
      <c r="E307" s="3274"/>
      <c r="F307" s="3274"/>
      <c r="G307" s="3274"/>
      <c r="H307" s="3274"/>
      <c r="I307" s="3275"/>
      <c r="J307" s="3274"/>
      <c r="K307" s="3274"/>
      <c r="L307" s="3274"/>
      <c r="M307" s="3274"/>
      <c r="N307" s="3275"/>
      <c r="O307" s="3274"/>
      <c r="P307" s="3274"/>
      <c r="Q307" s="3274"/>
      <c r="R307" s="3274"/>
      <c r="S307" s="3275"/>
      <c r="T307" s="3276"/>
      <c r="U307" s="3276"/>
      <c r="V307" s="3276"/>
      <c r="W307" s="3276"/>
      <c r="X307" s="3275"/>
      <c r="Y307" s="3276"/>
      <c r="Z307" s="3276"/>
      <c r="AA307" s="3276"/>
      <c r="AB307" s="3276"/>
      <c r="AC307" s="3275"/>
      <c r="AD307" s="3276"/>
      <c r="AE307" s="3276"/>
      <c r="AF307" s="3276"/>
      <c r="AG307" s="3276"/>
      <c r="AH307" s="3238"/>
      <c r="AI307" s="2499"/>
    </row>
    <row r="308" ht="96.75" customHeight="1">
      <c r="A308" s="2270"/>
      <c r="B308" s="3277"/>
      <c r="C308" s="3278" t="str">
        <f>IMAGE("https://i.ibb.co/q7H43Kp/Lance.png")</f>
        <v/>
      </c>
      <c r="D308" s="3240"/>
      <c r="E308" s="3279" t="str">
        <f t="array" ref="E308">IFERROR(VLOOKUP(E309,Dex!$B$3:$G330,3,FALSE),"")</f>
        <v/>
      </c>
      <c r="F308" s="1830"/>
      <c r="G308" s="1830"/>
      <c r="H308" s="1831"/>
      <c r="I308" s="3280"/>
      <c r="J308" s="3279" t="str">
        <f t="array" ref="J308">IFERROR(VLOOKUP(J309,Dex!$B$3:$G330,3,FALSE),"")</f>
        <v/>
      </c>
      <c r="K308" s="1830"/>
      <c r="L308" s="1830"/>
      <c r="M308" s="1831"/>
      <c r="N308" s="3280"/>
      <c r="O308" s="3279" t="str">
        <f t="array" ref="O308">IFERROR(VLOOKUP(O309,Dex!$B$3:$G330,3,FALSE),"")</f>
        <v/>
      </c>
      <c r="P308" s="1830"/>
      <c r="Q308" s="1830"/>
      <c r="R308" s="1831"/>
      <c r="S308" s="3281"/>
      <c r="T308" s="3251"/>
      <c r="U308" s="3236"/>
      <c r="V308" s="3236"/>
      <c r="W308" s="3237"/>
      <c r="X308" s="3282"/>
      <c r="Y308" s="3251"/>
      <c r="Z308" s="3236"/>
      <c r="AA308" s="3236"/>
      <c r="AB308" s="3237"/>
      <c r="AC308" s="3282"/>
      <c r="AD308" s="3251"/>
      <c r="AE308" s="3236"/>
      <c r="AF308" s="3236"/>
      <c r="AG308" s="3237"/>
      <c r="AH308" s="3238"/>
      <c r="AI308" s="2682"/>
    </row>
    <row r="309" ht="18.75" customHeight="1">
      <c r="A309" s="2297"/>
      <c r="B309" s="3283"/>
      <c r="C309" s="3284" t="s">
        <v>964</v>
      </c>
      <c r="D309" s="3244"/>
      <c r="E309" s="3285" t="s">
        <v>965</v>
      </c>
      <c r="F309" s="3286"/>
      <c r="G309" s="3286"/>
      <c r="H309" s="3287"/>
      <c r="I309" s="3288"/>
      <c r="J309" s="3285" t="s">
        <v>966</v>
      </c>
      <c r="K309" s="3286"/>
      <c r="L309" s="3286"/>
      <c r="M309" s="3287"/>
      <c r="N309" s="3288"/>
      <c r="O309" s="3285" t="s">
        <v>967</v>
      </c>
      <c r="P309" s="3286"/>
      <c r="Q309" s="3286"/>
      <c r="R309" s="3287"/>
      <c r="S309" s="3289"/>
      <c r="T309" s="3252"/>
      <c r="U309" s="3236"/>
      <c r="V309" s="3236"/>
      <c r="W309" s="3237"/>
      <c r="X309" s="3253"/>
      <c r="Y309" s="3252"/>
      <c r="Z309" s="3236"/>
      <c r="AA309" s="3236"/>
      <c r="AB309" s="3237"/>
      <c r="AC309" s="3253"/>
      <c r="AD309" s="3252"/>
      <c r="AE309" s="3236"/>
      <c r="AF309" s="3236"/>
      <c r="AG309" s="3237"/>
      <c r="AH309" s="3290"/>
      <c r="AI309" s="2703"/>
    </row>
    <row r="310">
      <c r="A310" s="2924"/>
      <c r="B310" s="3291"/>
      <c r="C310" s="326"/>
      <c r="D310" s="3247"/>
      <c r="E310" s="3292">
        <v>83.0</v>
      </c>
      <c r="F310" s="3293"/>
      <c r="G310" s="3293"/>
      <c r="H310" s="3294"/>
      <c r="I310" s="3288"/>
      <c r="J310" s="3292">
        <v>83.0</v>
      </c>
      <c r="K310" s="3293"/>
      <c r="L310" s="3293"/>
      <c r="M310" s="3294"/>
      <c r="N310" s="3288"/>
      <c r="O310" s="3292">
        <v>82.0</v>
      </c>
      <c r="P310" s="3293"/>
      <c r="Q310" s="3293"/>
      <c r="R310" s="3294"/>
      <c r="S310" s="3289"/>
      <c r="T310" s="3295"/>
      <c r="U310" s="3236"/>
      <c r="V310" s="3236"/>
      <c r="W310" s="3237"/>
      <c r="X310" s="3253"/>
      <c r="Y310" s="3295"/>
      <c r="Z310" s="3236"/>
      <c r="AA310" s="3236"/>
      <c r="AB310" s="3237"/>
      <c r="AC310" s="3253"/>
      <c r="AD310" s="3295"/>
      <c r="AE310" s="3236"/>
      <c r="AF310" s="3236"/>
      <c r="AG310" s="3237"/>
      <c r="AH310" s="3296"/>
      <c r="AI310" s="2932"/>
    </row>
    <row r="311" ht="25.5" customHeight="1">
      <c r="A311" s="2270"/>
      <c r="B311" s="3232"/>
      <c r="C311" s="3250"/>
      <c r="D311" s="3251"/>
      <c r="E311" s="3297"/>
      <c r="F311" s="3298" t="str">
        <f t="array" ref="F311">IFERROR(VLOOKUP(E309,Dex!$B$3:$H330,5,FALSE),"")</f>
        <v/>
      </c>
      <c r="G311" s="3299" t="str">
        <f t="array" ref="G311">IFERROR(VLOOKUP(E309,Dex!$B$3:$H330,7,FALSE),"")</f>
        <v/>
      </c>
      <c r="H311" s="3300"/>
      <c r="I311" s="3288"/>
      <c r="J311" s="3297"/>
      <c r="K311" s="3298" t="str">
        <f t="array" ref="K311">IFERROR(VLOOKUP(J309,Dex!$B$3:$H330,5,FALSE),"")</f>
        <v/>
      </c>
      <c r="L311" s="3299" t="str">
        <f t="array" ref="L311">IFERROR(VLOOKUP(J309,Dex!$B$3:$H330,7,FALSE),"")</f>
        <v/>
      </c>
      <c r="M311" s="3300"/>
      <c r="N311" s="3288"/>
      <c r="O311" s="3297"/>
      <c r="P311" s="3298" t="str">
        <f t="array" ref="P311">IFERROR(VLOOKUP(O309,Dex!$B$3:$H330,5,FALSE),"")</f>
        <v/>
      </c>
      <c r="Q311" s="3299" t="str">
        <f t="array" ref="Q311">IFERROR(VLOOKUP(O309,Dex!$B$3:$H330,7,FALSE),"")</f>
        <v/>
      </c>
      <c r="R311" s="3300"/>
      <c r="S311" s="3289"/>
      <c r="T311" s="3251"/>
      <c r="U311" s="3236"/>
      <c r="V311" s="3236"/>
      <c r="W311" s="3237"/>
      <c r="X311" s="3253"/>
      <c r="Y311" s="3251"/>
      <c r="Z311" s="3236"/>
      <c r="AA311" s="3236"/>
      <c r="AB311" s="3237"/>
      <c r="AC311" s="3253"/>
      <c r="AD311" s="3251"/>
      <c r="AE311" s="3236"/>
      <c r="AF311" s="3236"/>
      <c r="AG311" s="3237"/>
      <c r="AH311" s="3238"/>
      <c r="AI311" s="2682"/>
    </row>
    <row r="312" ht="2.25" customHeight="1">
      <c r="A312" s="2270"/>
      <c r="B312" s="3232"/>
      <c r="C312" s="3253"/>
      <c r="D312" s="3251"/>
      <c r="E312" s="3301"/>
      <c r="F312" s="3302"/>
      <c r="G312" s="3302"/>
      <c r="H312" s="3303"/>
      <c r="I312" s="3288"/>
      <c r="J312" s="3301"/>
      <c r="K312" s="3302"/>
      <c r="L312" s="3302"/>
      <c r="M312" s="3303"/>
      <c r="N312" s="3288"/>
      <c r="O312" s="3301"/>
      <c r="P312" s="3302"/>
      <c r="Q312" s="3302"/>
      <c r="R312" s="3303"/>
      <c r="S312" s="3289"/>
      <c r="T312" s="3234"/>
      <c r="U312" s="3234"/>
      <c r="V312" s="3234"/>
      <c r="W312" s="3234"/>
      <c r="X312" s="3253"/>
      <c r="Y312" s="3234"/>
      <c r="Z312" s="3234"/>
      <c r="AA312" s="3234"/>
      <c r="AB312" s="3234"/>
      <c r="AC312" s="3253"/>
      <c r="AD312" s="3234"/>
      <c r="AE312" s="3234"/>
      <c r="AF312" s="3234"/>
      <c r="AG312" s="3234"/>
      <c r="AH312" s="3238"/>
      <c r="AI312" s="2682"/>
    </row>
    <row r="313" ht="20.25" customHeight="1">
      <c r="A313" s="2270"/>
      <c r="B313" s="3232"/>
      <c r="C313" s="3254"/>
      <c r="D313" s="3251"/>
      <c r="E313" s="3304" t="s">
        <v>779</v>
      </c>
      <c r="F313" s="3305"/>
      <c r="G313" s="3305"/>
      <c r="H313" s="3306"/>
      <c r="I313" s="3288"/>
      <c r="J313" s="3304" t="s">
        <v>263</v>
      </c>
      <c r="K313" s="3305"/>
      <c r="L313" s="3305"/>
      <c r="M313" s="3306"/>
      <c r="N313" s="3288"/>
      <c r="O313" s="3304" t="s">
        <v>779</v>
      </c>
      <c r="P313" s="3305"/>
      <c r="Q313" s="3305"/>
      <c r="R313" s="3306"/>
      <c r="S313" s="3289"/>
      <c r="T313" s="3251"/>
      <c r="U313" s="3236"/>
      <c r="V313" s="3236"/>
      <c r="W313" s="3237"/>
      <c r="X313" s="3253"/>
      <c r="Y313" s="3251"/>
      <c r="Z313" s="3236"/>
      <c r="AA313" s="3236"/>
      <c r="AB313" s="3237"/>
      <c r="AC313" s="3253"/>
      <c r="AD313" s="3251"/>
      <c r="AE313" s="3236"/>
      <c r="AF313" s="3236"/>
      <c r="AG313" s="3237"/>
      <c r="AH313" s="3238"/>
      <c r="AI313" s="2682"/>
    </row>
    <row r="314">
      <c r="A314" s="2270"/>
      <c r="B314" s="3232"/>
      <c r="C314" s="3255"/>
      <c r="D314" s="3251"/>
      <c r="E314" s="3307" t="s">
        <v>763</v>
      </c>
      <c r="F314" s="3308"/>
      <c r="G314" s="3308"/>
      <c r="H314" s="3309"/>
      <c r="I314" s="3288"/>
      <c r="J314" s="3307" t="s">
        <v>968</v>
      </c>
      <c r="K314" s="3308"/>
      <c r="L314" s="3308"/>
      <c r="M314" s="3309"/>
      <c r="N314" s="3288"/>
      <c r="O314" s="3307" t="s">
        <v>969</v>
      </c>
      <c r="P314" s="3308"/>
      <c r="Q314" s="3308"/>
      <c r="R314" s="3309"/>
      <c r="S314" s="3289"/>
      <c r="T314" s="3251"/>
      <c r="U314" s="3236"/>
      <c r="V314" s="3236"/>
      <c r="W314" s="3237"/>
      <c r="X314" s="3253"/>
      <c r="Y314" s="3251"/>
      <c r="Z314" s="3236"/>
      <c r="AA314" s="3236"/>
      <c r="AB314" s="3237"/>
      <c r="AC314" s="3253"/>
      <c r="AD314" s="3251"/>
      <c r="AE314" s="3236"/>
      <c r="AF314" s="3236"/>
      <c r="AG314" s="3237"/>
      <c r="AH314" s="3238"/>
      <c r="AI314" s="2682"/>
    </row>
    <row r="315" ht="20.25" customHeight="1">
      <c r="A315" s="2270"/>
      <c r="B315" s="3232"/>
      <c r="C315" s="3253"/>
      <c r="D315" s="3251"/>
      <c r="E315" s="3310" t="s">
        <v>970</v>
      </c>
      <c r="F315" s="3311"/>
      <c r="G315" s="3312"/>
      <c r="H315" s="3313" t="str">
        <f>IMAGE("https://raw.githubusercontent.com/msikma/pokesprite/master/items/hold-item/spell-tag.png",3)</f>
        <v/>
      </c>
      <c r="I315" s="3288"/>
      <c r="J315" s="3310" t="s">
        <v>473</v>
      </c>
      <c r="K315" s="3311"/>
      <c r="L315" s="3312"/>
      <c r="M315" s="3313" t="str">
        <f>IMAGE("https://raw.githubusercontent.com/msikma/pokesprite/master/items/hold-item/assault-vest.png",3)</f>
        <v/>
      </c>
      <c r="N315" s="3288"/>
      <c r="O315" s="3310" t="s">
        <v>971</v>
      </c>
      <c r="P315" s="3311"/>
      <c r="Q315" s="3312"/>
      <c r="R315" s="3313" t="str">
        <f>IMAGE("https://raw.githubusercontent.com/msikma/pokesprite/master/items/mega-stone/salamencite.png",3)</f>
        <v/>
      </c>
      <c r="S315" s="3289"/>
      <c r="T315" s="3251"/>
      <c r="U315" s="3236"/>
      <c r="V315" s="3236"/>
      <c r="W315" s="3237"/>
      <c r="X315" s="3253"/>
      <c r="Y315" s="3251"/>
      <c r="Z315" s="3236"/>
      <c r="AA315" s="3236"/>
      <c r="AB315" s="3237"/>
      <c r="AC315" s="3253"/>
      <c r="AD315" s="3251"/>
      <c r="AE315" s="3236"/>
      <c r="AF315" s="3236"/>
      <c r="AG315" s="3237"/>
      <c r="AH315" s="3238"/>
      <c r="AI315" s="2682"/>
    </row>
    <row r="316" ht="20.25" customHeight="1">
      <c r="A316" s="2270"/>
      <c r="B316" s="3232"/>
      <c r="C316" s="3254"/>
      <c r="D316" s="3251"/>
      <c r="E316" s="3304" t="s">
        <v>972</v>
      </c>
      <c r="F316" s="3305"/>
      <c r="G316" s="3314"/>
      <c r="H316" s="3315" t="str">
        <f>IMAGE("https://raw.githubusercontent.com/msikma/pokesprite/master/misc/types/gen8/ghost.png",4,20,20)</f>
        <v/>
      </c>
      <c r="I316" s="3288"/>
      <c r="J316" s="3316" t="s">
        <v>380</v>
      </c>
      <c r="K316" s="3305"/>
      <c r="L316" s="3314"/>
      <c r="M316" s="3315" t="str">
        <f>IMAGE("https://raw.githubusercontent.com/msikma/pokesprite/master/misc/types/gen8/dragon.png",4,20,20)</f>
        <v/>
      </c>
      <c r="N316" s="3288"/>
      <c r="O316" s="3316" t="s">
        <v>640</v>
      </c>
      <c r="P316" s="3305"/>
      <c r="Q316" s="3314"/>
      <c r="R316" s="3315" t="str">
        <f>IMAGE("https://raw.githubusercontent.com/msikma/pokesprite/master/misc/types/gen8/flying.png",4,20,20)</f>
        <v/>
      </c>
      <c r="S316" s="3289"/>
      <c r="T316" s="3251"/>
      <c r="U316" s="3236"/>
      <c r="V316" s="3236"/>
      <c r="W316" s="3237"/>
      <c r="X316" s="3253"/>
      <c r="Y316" s="3251"/>
      <c r="Z316" s="3236"/>
      <c r="AA316" s="3236"/>
      <c r="AB316" s="3237"/>
      <c r="AC316" s="3253"/>
      <c r="AD316" s="3251"/>
      <c r="AE316" s="3236"/>
      <c r="AF316" s="3236"/>
      <c r="AG316" s="3237"/>
      <c r="AH316" s="3238"/>
      <c r="AI316" s="2682"/>
    </row>
    <row r="317" ht="20.25" customHeight="1">
      <c r="A317" s="2270"/>
      <c r="B317" s="3232"/>
      <c r="C317" s="3257"/>
      <c r="D317" s="3251"/>
      <c r="E317" s="3307" t="s">
        <v>973</v>
      </c>
      <c r="F317" s="3308"/>
      <c r="G317" s="3317"/>
      <c r="H317" s="3318" t="str">
        <f>IMAGE("https://raw.githubusercontent.com/msikma/pokesprite/master/misc/types/gen8/dragon.png",4,20,20)</f>
        <v/>
      </c>
      <c r="I317" s="3288"/>
      <c r="J317" s="3319" t="s">
        <v>404</v>
      </c>
      <c r="K317" s="3308"/>
      <c r="L317" s="3317"/>
      <c r="M317" s="3318" t="str">
        <f>IMAGE("https://raw.githubusercontent.com/msikma/pokesprite/master/misc/types/gen8/steel.png",4,20,20)</f>
        <v/>
      </c>
      <c r="N317" s="3288"/>
      <c r="O317" s="3307" t="s">
        <v>861</v>
      </c>
      <c r="P317" s="3308"/>
      <c r="Q317" s="3317"/>
      <c r="R317" s="3318" t="str">
        <f>IMAGE("https://raw.githubusercontent.com/msikma/pokesprite/master/misc/types/gen8/water.png",4,20,20)</f>
        <v/>
      </c>
      <c r="S317" s="3289"/>
      <c r="T317" s="3251"/>
      <c r="U317" s="3236"/>
      <c r="V317" s="3236"/>
      <c r="W317" s="3237"/>
      <c r="X317" s="3253"/>
      <c r="Y317" s="3251"/>
      <c r="Z317" s="3236"/>
      <c r="AA317" s="3236"/>
      <c r="AB317" s="3237"/>
      <c r="AC317" s="3253"/>
      <c r="AD317" s="3251"/>
      <c r="AE317" s="3236"/>
      <c r="AF317" s="3236"/>
      <c r="AG317" s="3237"/>
      <c r="AH317" s="3238"/>
      <c r="AI317" s="2682"/>
    </row>
    <row r="318" ht="20.25" customHeight="1">
      <c r="A318" s="2270"/>
      <c r="B318" s="3232"/>
      <c r="C318" s="3257"/>
      <c r="D318" s="3251"/>
      <c r="E318" s="3307" t="s">
        <v>372</v>
      </c>
      <c r="F318" s="3308"/>
      <c r="G318" s="3317"/>
      <c r="H318" s="3318" t="str">
        <f>IMAGE("https://raw.githubusercontent.com/msikma/pokesprite/master/misc/types/gen8/fire.png",4,20,20)</f>
        <v/>
      </c>
      <c r="I318" s="3288"/>
      <c r="J318" s="3307" t="s">
        <v>463</v>
      </c>
      <c r="K318" s="3308"/>
      <c r="L318" s="3317"/>
      <c r="M318" s="3318" t="str">
        <f>IMAGE("https://raw.githubusercontent.com/msikma/pokesprite/master/misc/types/gen8/fighting.png",4,20,20)</f>
        <v/>
      </c>
      <c r="N318" s="3288"/>
      <c r="O318" s="3307" t="s">
        <v>372</v>
      </c>
      <c r="P318" s="3308"/>
      <c r="Q318" s="3317"/>
      <c r="R318" s="3318" t="str">
        <f>IMAGE("https://raw.githubusercontent.com/msikma/pokesprite/master/misc/types/gen8/fire.png",4,20,20)</f>
        <v/>
      </c>
      <c r="S318" s="3289"/>
      <c r="T318" s="3251"/>
      <c r="U318" s="3236"/>
      <c r="V318" s="3236"/>
      <c r="W318" s="3237"/>
      <c r="X318" s="3253"/>
      <c r="Y318" s="3251"/>
      <c r="Z318" s="3236"/>
      <c r="AA318" s="3236"/>
      <c r="AB318" s="3237"/>
      <c r="AC318" s="3253"/>
      <c r="AD318" s="3251"/>
      <c r="AE318" s="3236"/>
      <c r="AF318" s="3236"/>
      <c r="AG318" s="3237"/>
      <c r="AH318" s="3238"/>
      <c r="AI318" s="2682"/>
    </row>
    <row r="319" ht="21.0" customHeight="1">
      <c r="A319" s="2270"/>
      <c r="B319" s="3232"/>
      <c r="C319" s="3257"/>
      <c r="D319" s="3251"/>
      <c r="E319" s="3320" t="s">
        <v>277</v>
      </c>
      <c r="F319" s="3321"/>
      <c r="G319" s="3322"/>
      <c r="H319" s="3323" t="str">
        <f>IMAGE("https://raw.githubusercontent.com/msikma/pokesprite/master/misc/types/gen8/electric.png",4,20,20)</f>
        <v/>
      </c>
      <c r="I319" s="3324"/>
      <c r="J319" s="3325" t="s">
        <v>927</v>
      </c>
      <c r="K319" s="3321"/>
      <c r="L319" s="3322"/>
      <c r="M319" s="3323" t="str">
        <f>IMAGE("https://raw.githubusercontent.com/msikma/pokesprite/master/misc/types/gen8/fire.png",4,20,20)</f>
        <v/>
      </c>
      <c r="N319" s="3324"/>
      <c r="O319" s="3320" t="s">
        <v>311</v>
      </c>
      <c r="P319" s="3321"/>
      <c r="Q319" s="3322"/>
      <c r="R319" s="3323" t="str">
        <f>IMAGE("https://raw.githubusercontent.com/msikma/pokesprite/master/misc/types/gen8/flying.png",4,20,20)</f>
        <v/>
      </c>
      <c r="S319" s="3326"/>
      <c r="T319" s="3251"/>
      <c r="U319" s="3236"/>
      <c r="V319" s="3236"/>
      <c r="W319" s="3237"/>
      <c r="X319" s="3254"/>
      <c r="Y319" s="3251"/>
      <c r="Z319" s="3236"/>
      <c r="AA319" s="3236"/>
      <c r="AB319" s="3237"/>
      <c r="AC319" s="3254"/>
      <c r="AD319" s="3251"/>
      <c r="AE319" s="3236"/>
      <c r="AF319" s="3236"/>
      <c r="AG319" s="3237"/>
      <c r="AH319" s="3238"/>
      <c r="AI319" s="2682"/>
    </row>
    <row r="320" ht="3.0" customHeight="1">
      <c r="A320" s="2745"/>
      <c r="B320" s="3258"/>
      <c r="C320" s="3259"/>
      <c r="D320" s="3260"/>
      <c r="E320" s="3261"/>
      <c r="F320" s="3261"/>
      <c r="G320" s="3261"/>
      <c r="H320" s="3261"/>
      <c r="I320" s="3260"/>
      <c r="J320" s="3261"/>
      <c r="K320" s="3261"/>
      <c r="L320" s="3261"/>
      <c r="M320" s="3261"/>
      <c r="N320" s="3260"/>
      <c r="O320" s="3261"/>
      <c r="P320" s="3261"/>
      <c r="Q320" s="3261"/>
      <c r="R320" s="3261"/>
      <c r="S320" s="3260"/>
      <c r="T320" s="3327"/>
      <c r="U320" s="3327"/>
      <c r="V320" s="3327"/>
      <c r="W320" s="3327"/>
      <c r="X320" s="3260"/>
      <c r="Y320" s="3260"/>
      <c r="Z320" s="3328"/>
      <c r="AA320" s="3328"/>
      <c r="AB320" s="3329"/>
      <c r="AC320" s="3260"/>
      <c r="AD320" s="3329"/>
      <c r="AE320" s="3329"/>
      <c r="AF320" s="3329"/>
      <c r="AG320" s="3329"/>
      <c r="AH320" s="3267"/>
      <c r="AI320" s="2754"/>
    </row>
    <row r="321" ht="16.5" customHeight="1">
      <c r="A321" s="2755"/>
      <c r="B321" s="3268"/>
      <c r="C321" s="3259"/>
      <c r="D321" s="3269"/>
      <c r="E321" s="3330" t="s">
        <v>190</v>
      </c>
      <c r="F321" s="381"/>
      <c r="G321" s="382"/>
      <c r="H321" s="3331" t="s">
        <v>191</v>
      </c>
      <c r="I321" s="3332"/>
      <c r="J321" s="3330" t="s">
        <v>190</v>
      </c>
      <c r="K321" s="381"/>
      <c r="L321" s="382"/>
      <c r="M321" s="3331" t="s">
        <v>191</v>
      </c>
      <c r="N321" s="3332"/>
      <c r="O321" s="3330" t="s">
        <v>190</v>
      </c>
      <c r="P321" s="381"/>
      <c r="Q321" s="382"/>
      <c r="R321" s="3331" t="s">
        <v>191</v>
      </c>
      <c r="S321" s="3333"/>
      <c r="T321" s="3334"/>
      <c r="U321" s="3334"/>
      <c r="V321" s="3334"/>
      <c r="W321" s="3334"/>
      <c r="X321" s="3334"/>
      <c r="Y321" s="3334"/>
      <c r="Z321" s="3334"/>
      <c r="AA321" s="3334"/>
      <c r="AB321" s="3334"/>
      <c r="AC321" s="3334"/>
      <c r="AD321" s="3334"/>
      <c r="AE321" s="3334"/>
      <c r="AF321" s="3334"/>
      <c r="AG321" s="3334"/>
      <c r="AH321" s="3335"/>
      <c r="AI321" s="2499"/>
    </row>
    <row r="322" ht="16.5" customHeight="1">
      <c r="A322" s="2755"/>
      <c r="B322" s="3268"/>
      <c r="C322" s="3259"/>
      <c r="D322" s="3269"/>
      <c r="E322" s="3336" t="s">
        <v>192</v>
      </c>
      <c r="F322" s="3337">
        <f t="array" ref="F322">IFERROR(VLOOKUP(E309,Dex!$B$3:$N330,8,FALSE),"")</f>
        <v>88</v>
      </c>
      <c r="G322" s="3338" t="str">
        <f t="array" ref="G322">IFERROR(VLOOKUP(F322,Dex!$P$22:$Q$276,2,FALSE),"")</f>
        <v/>
      </c>
      <c r="H322" s="3339"/>
      <c r="I322" s="3332"/>
      <c r="J322" s="3336" t="s">
        <v>192</v>
      </c>
      <c r="K322" s="3337">
        <f t="array" ref="K322">IFERROR(VLOOKUP(J309,Dex!$B$3:$N330,8,FALSE),"")</f>
        <v>100</v>
      </c>
      <c r="L322" s="3338" t="str">
        <f t="array" ref="L322">IFERROR(VLOOKUP(K322,Dex!$P$22:$Q$276,2,FALSE),"")</f>
        <v/>
      </c>
      <c r="M322" s="3339">
        <v>252.0</v>
      </c>
      <c r="N322" s="3332"/>
      <c r="O322" s="3336" t="s">
        <v>192</v>
      </c>
      <c r="P322" s="3337">
        <f t="array" ref="P322">IFERROR(VLOOKUP(O309,Dex!$B$3:$N330,8,FALSE),"")</f>
        <v>95</v>
      </c>
      <c r="Q322" s="3338" t="str">
        <f t="array" ref="Q322">IFERROR(VLOOKUP(P322,Dex!$P$22:$Q$276,2,FALSE),"")</f>
        <v/>
      </c>
      <c r="R322" s="3339"/>
      <c r="S322" s="3333"/>
      <c r="T322" s="3334"/>
      <c r="U322" s="3334"/>
      <c r="V322" s="3334"/>
      <c r="W322" s="3334"/>
      <c r="X322" s="3334"/>
      <c r="Y322" s="3334"/>
      <c r="Z322" s="3334"/>
      <c r="AA322" s="3334"/>
      <c r="AB322" s="3334"/>
      <c r="AC322" s="3334"/>
      <c r="AD322" s="3334"/>
      <c r="AE322" s="3334"/>
      <c r="AF322" s="3334"/>
      <c r="AG322" s="3334"/>
      <c r="AH322" s="3335"/>
      <c r="AI322" s="2499"/>
    </row>
    <row r="323" ht="16.5" customHeight="1">
      <c r="A323" s="2755"/>
      <c r="B323" s="3268"/>
      <c r="C323" s="3259"/>
      <c r="D323" s="3269"/>
      <c r="E323" s="3340" t="s">
        <v>193</v>
      </c>
      <c r="F323" s="3341">
        <f t="array" ref="F323">IFERROR(VLOOKUP(E309,Dex!$B$3:$N330,9,FALSE),"")</f>
        <v>120</v>
      </c>
      <c r="G323" s="3342" t="str">
        <f t="array" ref="G323">IFERROR(VLOOKUP(F323,Dex!$P$22:$Q$276,2,FALSE),"")</f>
        <v/>
      </c>
      <c r="H323" s="3343">
        <v>252.0</v>
      </c>
      <c r="I323" s="3332"/>
      <c r="J323" s="3340" t="s">
        <v>193</v>
      </c>
      <c r="K323" s="3341">
        <f t="array" ref="K323">IFERROR(VLOOKUP(J309,Dex!$B$3:$N330,9,FALSE),"")</f>
        <v>120</v>
      </c>
      <c r="L323" s="3342" t="str">
        <f t="array" ref="L323">IFERROR(VLOOKUP(K323,Dex!$P$22:$Q$276,2,FALSE),"")</f>
        <v/>
      </c>
      <c r="M323" s="3343"/>
      <c r="N323" s="3332"/>
      <c r="O323" s="3340" t="s">
        <v>193</v>
      </c>
      <c r="P323" s="3341">
        <f t="array" ref="P323">IFERROR(VLOOKUP(O309,Dex!$B$3:$N330,9,FALSE),"")</f>
        <v>145</v>
      </c>
      <c r="Q323" s="3342" t="str">
        <f t="array" ref="Q323">IFERROR(VLOOKUP(P323,Dex!$P$22:$Q$276,2,FALSE),"")</f>
        <v/>
      </c>
      <c r="R323" s="3343">
        <v>252.0</v>
      </c>
      <c r="S323" s="3333"/>
      <c r="T323" s="3334"/>
      <c r="U323" s="3334"/>
      <c r="V323" s="3334"/>
      <c r="W323" s="3334"/>
      <c r="X323" s="3334"/>
      <c r="Y323" s="3334"/>
      <c r="Z323" s="3334"/>
      <c r="AA323" s="3334"/>
      <c r="AB323" s="3334"/>
      <c r="AC323" s="3334"/>
      <c r="AD323" s="3334"/>
      <c r="AE323" s="3334"/>
      <c r="AF323" s="3334"/>
      <c r="AG323" s="3334"/>
      <c r="AH323" s="3335"/>
      <c r="AI323" s="2499"/>
    </row>
    <row r="324" ht="16.5" customHeight="1">
      <c r="A324" s="2755"/>
      <c r="B324" s="3268"/>
      <c r="C324" s="3259"/>
      <c r="D324" s="3269"/>
      <c r="E324" s="3340" t="s">
        <v>194</v>
      </c>
      <c r="F324" s="3341">
        <f t="array" ref="F324">IFERROR(VLOOKUP(E309,Dex!$B$3:$N330,10,FALSE),"")</f>
        <v>75</v>
      </c>
      <c r="G324" s="3342" t="str">
        <f t="array" ref="G324">IFERROR(VLOOKUP(F324,Dex!$P$22:$Q$276,2,FALSE),"")</f>
        <v/>
      </c>
      <c r="H324" s="3343"/>
      <c r="I324" s="3332"/>
      <c r="J324" s="3340" t="s">
        <v>194</v>
      </c>
      <c r="K324" s="3341">
        <f t="array" ref="K324">IFERROR(VLOOKUP(J309,Dex!$B$3:$N330,10,FALSE),"")</f>
        <v>120</v>
      </c>
      <c r="L324" s="3342" t="str">
        <f t="array" ref="L324">IFERROR(VLOOKUP(K324,Dex!$P$22:$Q$276,2,FALSE),"")</f>
        <v/>
      </c>
      <c r="M324" s="3343">
        <v>4.0</v>
      </c>
      <c r="N324" s="3332"/>
      <c r="O324" s="3340" t="s">
        <v>194</v>
      </c>
      <c r="P324" s="3341">
        <f t="array" ref="P324">IFERROR(VLOOKUP(O309,Dex!$B$3:$N330,10,FALSE),"")</f>
        <v>130</v>
      </c>
      <c r="Q324" s="3342" t="str">
        <f t="array" ref="Q324">IFERROR(VLOOKUP(P324,Dex!$P$22:$Q$276,2,FALSE),"")</f>
        <v/>
      </c>
      <c r="R324" s="3343"/>
      <c r="S324" s="3333"/>
      <c r="T324" s="3334"/>
      <c r="U324" s="3334"/>
      <c r="V324" s="3334"/>
      <c r="W324" s="3334"/>
      <c r="X324" s="3334"/>
      <c r="Y324" s="3334"/>
      <c r="Z324" s="3334"/>
      <c r="AA324" s="3334"/>
      <c r="AB324" s="3334"/>
      <c r="AC324" s="3334"/>
      <c r="AD324" s="3334"/>
      <c r="AE324" s="3334"/>
      <c r="AF324" s="3334"/>
      <c r="AG324" s="3334"/>
      <c r="AH324" s="3335"/>
      <c r="AI324" s="2499"/>
    </row>
    <row r="325" ht="16.5" customHeight="1">
      <c r="A325" s="2755"/>
      <c r="B325" s="3268"/>
      <c r="C325" s="3259"/>
      <c r="D325" s="3269"/>
      <c r="E325" s="3340" t="s">
        <v>195</v>
      </c>
      <c r="F325" s="3341">
        <f t="array" ref="F325">IFERROR(VLOOKUP(E309,Dex!$B$3:$N330,11,FALSE),"")</f>
        <v>100</v>
      </c>
      <c r="G325" s="3342" t="str">
        <f t="array" ref="G325">IFERROR(VLOOKUP(F325,Dex!$P$22:$Q$276,2,FALSE),"")</f>
        <v/>
      </c>
      <c r="H325" s="3343"/>
      <c r="I325" s="3332"/>
      <c r="J325" s="3340" t="s">
        <v>195</v>
      </c>
      <c r="K325" s="3341">
        <f t="array" ref="K325">IFERROR(VLOOKUP(J309,Dex!$B$3:$N330,11,FALSE),"")</f>
        <v>150</v>
      </c>
      <c r="L325" s="3342" t="str">
        <f t="array" ref="L325">IFERROR(VLOOKUP(K325,Dex!$P$22:$Q$276,2,FALSE),"")</f>
        <v/>
      </c>
      <c r="M325" s="3343">
        <v>36.0</v>
      </c>
      <c r="N325" s="3332"/>
      <c r="O325" s="3340" t="s">
        <v>195</v>
      </c>
      <c r="P325" s="3341">
        <f t="array" ref="P325">IFERROR(VLOOKUP(O309,Dex!$B$3:$N330,11,FALSE),"")</f>
        <v>120</v>
      </c>
      <c r="Q325" s="3342" t="str">
        <f t="array" ref="Q325">IFERROR(VLOOKUP(P325,Dex!$P$22:$Q$276,2,FALSE),"")</f>
        <v/>
      </c>
      <c r="R325" s="3343">
        <v>4.0</v>
      </c>
      <c r="S325" s="3333"/>
      <c r="T325" s="3334"/>
      <c r="U325" s="3334"/>
      <c r="V325" s="3334"/>
      <c r="W325" s="3334"/>
      <c r="X325" s="3334"/>
      <c r="Y325" s="3334"/>
      <c r="Z325" s="3334"/>
      <c r="AA325" s="3334"/>
      <c r="AB325" s="3334"/>
      <c r="AC325" s="3334"/>
      <c r="AD325" s="3334"/>
      <c r="AE325" s="3334"/>
      <c r="AF325" s="3334"/>
      <c r="AG325" s="3334"/>
      <c r="AH325" s="3335"/>
      <c r="AI325" s="2499"/>
    </row>
    <row r="326" ht="16.5" customHeight="1">
      <c r="A326" s="2755"/>
      <c r="B326" s="3268"/>
      <c r="C326" s="3259"/>
      <c r="D326" s="3269"/>
      <c r="E326" s="3340" t="s">
        <v>196</v>
      </c>
      <c r="F326" s="3341">
        <f t="array" ref="F326">IFERROR(VLOOKUP(E309,Dex!$B$3:$N330,12,FALSE),"")</f>
        <v>75</v>
      </c>
      <c r="G326" s="3342" t="str">
        <f t="array" ref="G326">IFERROR(VLOOKUP(F326,Dex!$P$22:$Q$276,2,FALSE),"")</f>
        <v/>
      </c>
      <c r="H326" s="3343">
        <v>68.0</v>
      </c>
      <c r="I326" s="3332"/>
      <c r="J326" s="3340" t="s">
        <v>196</v>
      </c>
      <c r="K326" s="3341">
        <f t="array" ref="K326">IFERROR(VLOOKUP(J309,Dex!$B$3:$N330,12,FALSE),"")</f>
        <v>100</v>
      </c>
      <c r="L326" s="3342" t="str">
        <f t="array" ref="L326">IFERROR(VLOOKUP(K326,Dex!$P$22:$Q$276,2,FALSE),"")</f>
        <v/>
      </c>
      <c r="M326" s="3343">
        <v>216.0</v>
      </c>
      <c r="N326" s="3332"/>
      <c r="O326" s="3340" t="s">
        <v>196</v>
      </c>
      <c r="P326" s="3341">
        <f t="array" ref="P326">IFERROR(VLOOKUP(O309,Dex!$B$3:$N330,12,FALSE),"")</f>
        <v>90</v>
      </c>
      <c r="Q326" s="3342" t="str">
        <f t="array" ref="Q326">IFERROR(VLOOKUP(P326,Dex!$P$22:$Q$276,2,FALSE),"")</f>
        <v/>
      </c>
      <c r="R326" s="3343"/>
      <c r="S326" s="3333"/>
      <c r="T326" s="3334"/>
      <c r="U326" s="3334"/>
      <c r="V326" s="3334"/>
      <c r="W326" s="3334"/>
      <c r="X326" s="3334"/>
      <c r="Y326" s="3334"/>
      <c r="Z326" s="3334"/>
      <c r="AA326" s="3334"/>
      <c r="AB326" s="3334"/>
      <c r="AC326" s="3334"/>
      <c r="AD326" s="3334"/>
      <c r="AE326" s="3334"/>
      <c r="AF326" s="3334"/>
      <c r="AG326" s="3334"/>
      <c r="AH326" s="3335"/>
      <c r="AI326" s="2499"/>
    </row>
    <row r="327" ht="16.5" customHeight="1">
      <c r="A327" s="2755"/>
      <c r="B327" s="3268"/>
      <c r="C327" s="3259"/>
      <c r="D327" s="3269"/>
      <c r="E327" s="3344" t="s">
        <v>197</v>
      </c>
      <c r="F327" s="3345">
        <f t="array" ref="F327">IFERROR(VLOOKUP(E309,Dex!$B$3:$N330,13,FALSE),"")</f>
        <v>142</v>
      </c>
      <c r="G327" s="3346" t="str">
        <f t="array" ref="G327">IFERROR(VLOOKUP(F327,Dex!$P$22:$Q$276,2,FALSE),"")</f>
        <v/>
      </c>
      <c r="H327" s="3347">
        <v>188.0</v>
      </c>
      <c r="I327" s="3332"/>
      <c r="J327" s="3344" t="s">
        <v>197</v>
      </c>
      <c r="K327" s="3345">
        <f t="array" ref="K327">IFERROR(VLOOKUP(J309,Dex!$B$3:$N330,13,FALSE),"")</f>
        <v>90</v>
      </c>
      <c r="L327" s="3346" t="str">
        <f t="array" ref="L327">IFERROR(VLOOKUP(K327,Dex!$P$22:$Q$276,2,FALSE),"")</f>
        <v/>
      </c>
      <c r="M327" s="3347"/>
      <c r="N327" s="3332"/>
      <c r="O327" s="3344" t="s">
        <v>197</v>
      </c>
      <c r="P327" s="3345">
        <f t="array" ref="P327">IFERROR(VLOOKUP(O309,Dex!$B$3:$N330,13,FALSE),"")</f>
        <v>120</v>
      </c>
      <c r="Q327" s="3346" t="str">
        <f t="array" ref="Q327">IFERROR(VLOOKUP(P327,Dex!$P$22:$Q$276,2,FALSE),"")</f>
        <v/>
      </c>
      <c r="R327" s="3347">
        <v>252.0</v>
      </c>
      <c r="S327" s="3333"/>
      <c r="T327" s="3334"/>
      <c r="U327" s="3334"/>
      <c r="V327" s="3334"/>
      <c r="W327" s="3334"/>
      <c r="X327" s="3334"/>
      <c r="Y327" s="3334"/>
      <c r="Z327" s="3334"/>
      <c r="AA327" s="3334"/>
      <c r="AB327" s="3334"/>
      <c r="AC327" s="3334"/>
      <c r="AD327" s="3334"/>
      <c r="AE327" s="3334"/>
      <c r="AF327" s="3334"/>
      <c r="AG327" s="3334"/>
      <c r="AH327" s="3335"/>
      <c r="AI327" s="2499"/>
    </row>
    <row r="328" ht="16.5" customHeight="1">
      <c r="A328" s="2755"/>
      <c r="B328" s="3268"/>
      <c r="C328" s="3259"/>
      <c r="D328" s="3269"/>
      <c r="E328" s="3348" t="s">
        <v>198</v>
      </c>
      <c r="F328" s="405"/>
      <c r="G328" s="406"/>
      <c r="H328" s="3349">
        <v>335.0</v>
      </c>
      <c r="I328" s="3332"/>
      <c r="J328" s="3348" t="s">
        <v>198</v>
      </c>
      <c r="K328" s="405"/>
      <c r="L328" s="406"/>
      <c r="M328" s="3349">
        <v>180.0</v>
      </c>
      <c r="N328" s="3332"/>
      <c r="O328" s="3348" t="s">
        <v>198</v>
      </c>
      <c r="P328" s="405"/>
      <c r="Q328" s="406"/>
      <c r="R328" s="3349">
        <v>305.0</v>
      </c>
      <c r="S328" s="3333"/>
      <c r="T328" s="3334"/>
      <c r="U328" s="3334"/>
      <c r="V328" s="3334"/>
      <c r="W328" s="3334"/>
      <c r="X328" s="3334"/>
      <c r="Y328" s="3334"/>
      <c r="Z328" s="3334"/>
      <c r="AA328" s="3334"/>
      <c r="AB328" s="3334"/>
      <c r="AC328" s="3334"/>
      <c r="AD328" s="3334"/>
      <c r="AE328" s="3334"/>
      <c r="AF328" s="3334"/>
      <c r="AG328" s="3334"/>
      <c r="AH328" s="3335"/>
      <c r="AI328" s="2499"/>
    </row>
    <row r="329" ht="7.5" customHeight="1">
      <c r="A329" s="2270"/>
      <c r="B329" s="3350"/>
      <c r="C329" s="3351"/>
      <c r="D329" s="3352"/>
      <c r="E329" s="3352"/>
      <c r="F329" s="3352"/>
      <c r="G329" s="3352"/>
      <c r="H329" s="3352"/>
      <c r="I329" s="3353"/>
      <c r="J329" s="3354"/>
      <c r="K329" s="3354"/>
      <c r="L329" s="3354"/>
      <c r="M329" s="3352"/>
      <c r="N329" s="3353"/>
      <c r="O329" s="3354"/>
      <c r="P329" s="3354"/>
      <c r="Q329" s="3354"/>
      <c r="R329" s="3352"/>
      <c r="S329" s="3353"/>
      <c r="T329" s="3353"/>
      <c r="U329" s="3353"/>
      <c r="V329" s="3353"/>
      <c r="W329" s="3353"/>
      <c r="X329" s="3353"/>
      <c r="Y329" s="3353"/>
      <c r="Z329" s="3353"/>
      <c r="AA329" s="3353"/>
      <c r="AB329" s="3353"/>
      <c r="AC329" s="3353"/>
      <c r="AD329" s="3353"/>
      <c r="AE329" s="3353"/>
      <c r="AF329" s="3353"/>
      <c r="AG329" s="3353"/>
      <c r="AH329" s="3355"/>
      <c r="AI329" s="2682"/>
    </row>
    <row r="330" ht="3.75" customHeight="1">
      <c r="A330" s="2316"/>
      <c r="B330" s="3356"/>
      <c r="C330" s="3357"/>
      <c r="D330" s="3356"/>
      <c r="E330" s="3356"/>
      <c r="F330" s="3356"/>
      <c r="G330" s="3356"/>
      <c r="H330" s="3356"/>
      <c r="I330" s="3356"/>
      <c r="J330" s="3356"/>
      <c r="K330" s="3356"/>
      <c r="L330" s="3356"/>
      <c r="M330" s="3356"/>
      <c r="N330" s="3356"/>
      <c r="O330" s="3356"/>
      <c r="P330" s="3356"/>
      <c r="Q330" s="3356"/>
      <c r="R330" s="3356"/>
      <c r="S330" s="3356"/>
      <c r="T330" s="3356"/>
      <c r="U330" s="3356"/>
      <c r="V330" s="3356"/>
      <c r="W330" s="3356"/>
      <c r="X330" s="3356"/>
      <c r="Y330" s="3356"/>
      <c r="Z330" s="3356"/>
      <c r="AA330" s="3356"/>
      <c r="AB330" s="3356"/>
      <c r="AC330" s="3356"/>
      <c r="AD330" s="3356"/>
      <c r="AE330" s="3356"/>
      <c r="AF330" s="3356"/>
      <c r="AG330" s="3356"/>
      <c r="AH330" s="3356"/>
      <c r="AI330" s="2316"/>
    </row>
  </sheetData>
  <mergeCells count="1080">
    <mergeCell ref="E108:G108"/>
    <mergeCell ref="J108:L108"/>
    <mergeCell ref="J110:L110"/>
    <mergeCell ref="O110:Q110"/>
    <mergeCell ref="J107:L107"/>
    <mergeCell ref="O107:Q107"/>
    <mergeCell ref="J117:L117"/>
    <mergeCell ref="O117:Q117"/>
    <mergeCell ref="E120:AG120"/>
    <mergeCell ref="O121:R121"/>
    <mergeCell ref="AD121:AG121"/>
    <mergeCell ref="AD130:AG130"/>
    <mergeCell ref="AD131:AG131"/>
    <mergeCell ref="AD132:AG132"/>
    <mergeCell ref="AD122:AG122"/>
    <mergeCell ref="AD123:AG123"/>
    <mergeCell ref="AD124:AG124"/>
    <mergeCell ref="AD126:AG126"/>
    <mergeCell ref="AD127:AG127"/>
    <mergeCell ref="AD128:AG128"/>
    <mergeCell ref="AD129:AG129"/>
    <mergeCell ref="U124:V124"/>
    <mergeCell ref="T126:W126"/>
    <mergeCell ref="T127:W127"/>
    <mergeCell ref="T128:V128"/>
    <mergeCell ref="T129:V129"/>
    <mergeCell ref="T130:V130"/>
    <mergeCell ref="T107:V107"/>
    <mergeCell ref="T108:V108"/>
    <mergeCell ref="T110:V110"/>
    <mergeCell ref="T117:V117"/>
    <mergeCell ref="X121:X132"/>
    <mergeCell ref="T122:W122"/>
    <mergeCell ref="T123:W123"/>
    <mergeCell ref="T131:V131"/>
    <mergeCell ref="T132:V132"/>
    <mergeCell ref="T134:V134"/>
    <mergeCell ref="T141:V141"/>
    <mergeCell ref="T144:W144"/>
    <mergeCell ref="AD144:AG144"/>
    <mergeCell ref="AD145:AG145"/>
    <mergeCell ref="AD146:AG146"/>
    <mergeCell ref="Y150:AB150"/>
    <mergeCell ref="Y151:AA151"/>
    <mergeCell ref="AD151:AF151"/>
    <mergeCell ref="Y152:AA152"/>
    <mergeCell ref="AD152:AF152"/>
    <mergeCell ref="Y153:AA153"/>
    <mergeCell ref="AD153:AF153"/>
    <mergeCell ref="Y144:AB144"/>
    <mergeCell ref="Y145:AB145"/>
    <mergeCell ref="Y146:AB146"/>
    <mergeCell ref="Z147:AA147"/>
    <mergeCell ref="Y149:AB149"/>
    <mergeCell ref="AD149:AG149"/>
    <mergeCell ref="AD150:AG150"/>
    <mergeCell ref="O98:R98"/>
    <mergeCell ref="O99:R99"/>
    <mergeCell ref="Y98:AB98"/>
    <mergeCell ref="Y99:AB99"/>
    <mergeCell ref="J99:M99"/>
    <mergeCell ref="K100:L100"/>
    <mergeCell ref="C100:C102"/>
    <mergeCell ref="E102:H102"/>
    <mergeCell ref="J102:M102"/>
    <mergeCell ref="O102:R102"/>
    <mergeCell ref="T102:W102"/>
    <mergeCell ref="Y102:AB102"/>
    <mergeCell ref="AD102:AG102"/>
    <mergeCell ref="AD103:AG103"/>
    <mergeCell ref="AD104:AG104"/>
    <mergeCell ref="AD105:AG105"/>
    <mergeCell ref="J103:M103"/>
    <mergeCell ref="O103:R103"/>
    <mergeCell ref="T103:W103"/>
    <mergeCell ref="Y103:AB103"/>
    <mergeCell ref="J104:L104"/>
    <mergeCell ref="O104:Q104"/>
    <mergeCell ref="T104:V104"/>
    <mergeCell ref="Y104:AB104"/>
    <mergeCell ref="J105:L105"/>
    <mergeCell ref="O105:Q105"/>
    <mergeCell ref="T105:V105"/>
    <mergeCell ref="Y105:AB105"/>
    <mergeCell ref="E106:G106"/>
    <mergeCell ref="J106:L106"/>
    <mergeCell ref="O106:Q106"/>
    <mergeCell ref="T106:V106"/>
    <mergeCell ref="AD106:AG106"/>
    <mergeCell ref="AD107:AG107"/>
    <mergeCell ref="AD108:AG108"/>
    <mergeCell ref="O126:R126"/>
    <mergeCell ref="O127:R127"/>
    <mergeCell ref="J121:M121"/>
    <mergeCell ref="J122:M122"/>
    <mergeCell ref="O122:R122"/>
    <mergeCell ref="J123:M123"/>
    <mergeCell ref="O123:R123"/>
    <mergeCell ref="J126:M126"/>
    <mergeCell ref="J127:M127"/>
    <mergeCell ref="C103:C105"/>
    <mergeCell ref="E103:H103"/>
    <mergeCell ref="E104:G104"/>
    <mergeCell ref="E105:G105"/>
    <mergeCell ref="Y106:AB106"/>
    <mergeCell ref="Y107:AB107"/>
    <mergeCell ref="O97:R97"/>
    <mergeCell ref="X97:X108"/>
    <mergeCell ref="AC97:AC108"/>
    <mergeCell ref="C98:C99"/>
    <mergeCell ref="T99:W99"/>
    <mergeCell ref="Y100:AB100"/>
    <mergeCell ref="O108:Q108"/>
    <mergeCell ref="Y108:AB108"/>
    <mergeCell ref="C122:C123"/>
    <mergeCell ref="C124:C126"/>
    <mergeCell ref="C127:C129"/>
    <mergeCell ref="Y127:AB127"/>
    <mergeCell ref="Y128:AB128"/>
    <mergeCell ref="Y129:AB129"/>
    <mergeCell ref="Y130:AB130"/>
    <mergeCell ref="J131:L131"/>
    <mergeCell ref="O131:Q131"/>
    <mergeCell ref="Y131:AB131"/>
    <mergeCell ref="J132:L132"/>
    <mergeCell ref="O132:Q132"/>
    <mergeCell ref="Y132:AB132"/>
    <mergeCell ref="T121:W121"/>
    <mergeCell ref="Y121:AB121"/>
    <mergeCell ref="AC121:AC132"/>
    <mergeCell ref="Y122:AB122"/>
    <mergeCell ref="Y123:AB123"/>
    <mergeCell ref="Y124:AB124"/>
    <mergeCell ref="Y126:AB126"/>
    <mergeCell ref="T181:V181"/>
    <mergeCell ref="Y181:AA181"/>
    <mergeCell ref="AD181:AF181"/>
    <mergeCell ref="O181:Q181"/>
    <mergeCell ref="O188:Q188"/>
    <mergeCell ref="T188:V188"/>
    <mergeCell ref="Y188:AA188"/>
    <mergeCell ref="AD188:AF188"/>
    <mergeCell ref="O190:R190"/>
    <mergeCell ref="T190:W190"/>
    <mergeCell ref="O191:R191"/>
    <mergeCell ref="O192:R192"/>
    <mergeCell ref="O195:R195"/>
    <mergeCell ref="O196:R196"/>
    <mergeCell ref="O197:Q197"/>
    <mergeCell ref="O198:Q198"/>
    <mergeCell ref="O199:Q199"/>
    <mergeCell ref="T214:W214"/>
    <mergeCell ref="T215:W215"/>
    <mergeCell ref="Y215:AB215"/>
    <mergeCell ref="AD215:AG215"/>
    <mergeCell ref="O200:Q200"/>
    <mergeCell ref="O201:Q201"/>
    <mergeCell ref="T213:W213"/>
    <mergeCell ref="Y213:AB213"/>
    <mergeCell ref="AD213:AG213"/>
    <mergeCell ref="Y214:AB214"/>
    <mergeCell ref="AD214:AG214"/>
    <mergeCell ref="O214:R214"/>
    <mergeCell ref="O215:R215"/>
    <mergeCell ref="J203:L203"/>
    <mergeCell ref="J210:L210"/>
    <mergeCell ref="O210:Q210"/>
    <mergeCell ref="J213:M213"/>
    <mergeCell ref="O213:R213"/>
    <mergeCell ref="J214:M214"/>
    <mergeCell ref="J215:M215"/>
    <mergeCell ref="T153:V153"/>
    <mergeCell ref="T154:V154"/>
    <mergeCell ref="Y154:AA154"/>
    <mergeCell ref="AD154:AF154"/>
    <mergeCell ref="Y155:AA155"/>
    <mergeCell ref="AD155:AF155"/>
    <mergeCell ref="T155:V155"/>
    <mergeCell ref="T157:V157"/>
    <mergeCell ref="Y157:AA157"/>
    <mergeCell ref="AD157:AF157"/>
    <mergeCell ref="Y168:AB168"/>
    <mergeCell ref="Y169:AB169"/>
    <mergeCell ref="T145:W145"/>
    <mergeCell ref="T146:W146"/>
    <mergeCell ref="U147:V147"/>
    <mergeCell ref="T149:W149"/>
    <mergeCell ref="T150:W150"/>
    <mergeCell ref="T151:V151"/>
    <mergeCell ref="T152:V152"/>
    <mergeCell ref="AD169:AG169"/>
    <mergeCell ref="Y170:AB170"/>
    <mergeCell ref="AD170:AG170"/>
    <mergeCell ref="Y173:AB173"/>
    <mergeCell ref="AD173:AG173"/>
    <mergeCell ref="Y174:AB174"/>
    <mergeCell ref="AD174:AG174"/>
    <mergeCell ref="T164:V164"/>
    <mergeCell ref="Y164:AA164"/>
    <mergeCell ref="AD164:AF164"/>
    <mergeCell ref="T168:W168"/>
    <mergeCell ref="AC168:AC179"/>
    <mergeCell ref="AD168:AG168"/>
    <mergeCell ref="T169:W169"/>
    <mergeCell ref="T170:W170"/>
    <mergeCell ref="U171:V171"/>
    <mergeCell ref="T173:W173"/>
    <mergeCell ref="T174:W174"/>
    <mergeCell ref="T175:V175"/>
    <mergeCell ref="T176:V176"/>
    <mergeCell ref="T179:V179"/>
    <mergeCell ref="Y201:AB201"/>
    <mergeCell ref="AD201:AG201"/>
    <mergeCell ref="Y179:AA179"/>
    <mergeCell ref="AD179:AF179"/>
    <mergeCell ref="Y190:AB190"/>
    <mergeCell ref="AC190:AC201"/>
    <mergeCell ref="AD190:AG190"/>
    <mergeCell ref="Y191:AB191"/>
    <mergeCell ref="Y192:AB192"/>
    <mergeCell ref="Y193:AB193"/>
    <mergeCell ref="AD193:AG193"/>
    <mergeCell ref="Y195:AB195"/>
    <mergeCell ref="AD195:AG195"/>
    <mergeCell ref="Y196:AB196"/>
    <mergeCell ref="AD196:AG196"/>
    <mergeCell ref="Y197:AB197"/>
    <mergeCell ref="AD197:AG197"/>
    <mergeCell ref="Y198:AB198"/>
    <mergeCell ref="AD198:AG198"/>
    <mergeCell ref="Y199:AB199"/>
    <mergeCell ref="AD199:AG199"/>
    <mergeCell ref="Y200:AB200"/>
    <mergeCell ref="AD200:AG200"/>
    <mergeCell ref="AD223:AF223"/>
    <mergeCell ref="AD224:AF224"/>
    <mergeCell ref="AD226:AF226"/>
    <mergeCell ref="AD233:AF233"/>
    <mergeCell ref="AD237:AG237"/>
    <mergeCell ref="AD238:AG238"/>
    <mergeCell ref="AD239:AG239"/>
    <mergeCell ref="AD240:AG240"/>
    <mergeCell ref="AD242:AG242"/>
    <mergeCell ref="AD243:AG243"/>
    <mergeCell ref="AD244:AG244"/>
    <mergeCell ref="AD245:AG245"/>
    <mergeCell ref="AD246:AG246"/>
    <mergeCell ref="AD247:AG247"/>
    <mergeCell ref="AD269:AG269"/>
    <mergeCell ref="AD270:AG270"/>
    <mergeCell ref="AD271:AG271"/>
    <mergeCell ref="AD272:AG272"/>
    <mergeCell ref="AD273:AG273"/>
    <mergeCell ref="AD248:AG248"/>
    <mergeCell ref="AD262:AG262"/>
    <mergeCell ref="AD263:AG263"/>
    <mergeCell ref="AD264:AG264"/>
    <mergeCell ref="AD265:AG265"/>
    <mergeCell ref="AD267:AG267"/>
    <mergeCell ref="AD268:AG268"/>
    <mergeCell ref="Y175:AA175"/>
    <mergeCell ref="AD175:AF175"/>
    <mergeCell ref="Y176:AA176"/>
    <mergeCell ref="AD176:AF176"/>
    <mergeCell ref="Y177:AA177"/>
    <mergeCell ref="AD177:AF177"/>
    <mergeCell ref="Y178:AA178"/>
    <mergeCell ref="AD178:AF178"/>
    <mergeCell ref="X168:X179"/>
    <mergeCell ref="X190:X201"/>
    <mergeCell ref="T177:V177"/>
    <mergeCell ref="T178:V178"/>
    <mergeCell ref="T191:W191"/>
    <mergeCell ref="T192:W192"/>
    <mergeCell ref="T193:W193"/>
    <mergeCell ref="T195:W195"/>
    <mergeCell ref="T196:W196"/>
    <mergeCell ref="AD191:AG191"/>
    <mergeCell ref="AD192:AG192"/>
    <mergeCell ref="AD218:AG218"/>
    <mergeCell ref="AD219:AG219"/>
    <mergeCell ref="AD220:AF220"/>
    <mergeCell ref="AD221:AF221"/>
    <mergeCell ref="AD222:AF222"/>
    <mergeCell ref="Y245:AB245"/>
    <mergeCell ref="Y246:AB246"/>
    <mergeCell ref="Y247:AB247"/>
    <mergeCell ref="Y248:AB248"/>
    <mergeCell ref="Y233:AA233"/>
    <mergeCell ref="Y237:AB237"/>
    <mergeCell ref="AC237:AC248"/>
    <mergeCell ref="Y238:AB238"/>
    <mergeCell ref="Y239:AB239"/>
    <mergeCell ref="Y240:AB240"/>
    <mergeCell ref="Y242:AB242"/>
    <mergeCell ref="E126:H126"/>
    <mergeCell ref="E127:H127"/>
    <mergeCell ref="E128:G128"/>
    <mergeCell ref="J128:L128"/>
    <mergeCell ref="O128:Q128"/>
    <mergeCell ref="J129:L129"/>
    <mergeCell ref="O129:Q129"/>
    <mergeCell ref="E129:G129"/>
    <mergeCell ref="E130:G130"/>
    <mergeCell ref="J130:L130"/>
    <mergeCell ref="O130:Q130"/>
    <mergeCell ref="J134:L134"/>
    <mergeCell ref="O134:Q134"/>
    <mergeCell ref="O141:Q141"/>
    <mergeCell ref="J141:L141"/>
    <mergeCell ref="J144:M144"/>
    <mergeCell ref="O144:R144"/>
    <mergeCell ref="C145:C146"/>
    <mergeCell ref="E145:H145"/>
    <mergeCell ref="O145:R145"/>
    <mergeCell ref="E146:H146"/>
    <mergeCell ref="O146:R146"/>
    <mergeCell ref="J149:M149"/>
    <mergeCell ref="J150:M150"/>
    <mergeCell ref="E150:H150"/>
    <mergeCell ref="E151:G151"/>
    <mergeCell ref="E153:G153"/>
    <mergeCell ref="E154:G154"/>
    <mergeCell ref="E155:G155"/>
    <mergeCell ref="E157:G157"/>
    <mergeCell ref="J145:M145"/>
    <mergeCell ref="J146:M146"/>
    <mergeCell ref="C147:C149"/>
    <mergeCell ref="E149:H149"/>
    <mergeCell ref="O149:R149"/>
    <mergeCell ref="C150:C152"/>
    <mergeCell ref="E152:G152"/>
    <mergeCell ref="O152:Q152"/>
    <mergeCell ref="E167:R167"/>
    <mergeCell ref="J168:M168"/>
    <mergeCell ref="C169:C173"/>
    <mergeCell ref="C176:C177"/>
    <mergeCell ref="J151:L151"/>
    <mergeCell ref="J152:L152"/>
    <mergeCell ref="J153:L153"/>
    <mergeCell ref="J154:L154"/>
    <mergeCell ref="J155:L155"/>
    <mergeCell ref="J157:L157"/>
    <mergeCell ref="J164:L164"/>
    <mergeCell ref="O164:Q164"/>
    <mergeCell ref="O168:R168"/>
    <mergeCell ref="J169:M169"/>
    <mergeCell ref="O169:R169"/>
    <mergeCell ref="J170:M170"/>
    <mergeCell ref="O170:R170"/>
    <mergeCell ref="O173:R173"/>
    <mergeCell ref="S168:S179"/>
    <mergeCell ref="O174:R174"/>
    <mergeCell ref="O175:Q175"/>
    <mergeCell ref="O176:Q176"/>
    <mergeCell ref="O177:Q177"/>
    <mergeCell ref="O178:Q178"/>
    <mergeCell ref="O179:Q179"/>
    <mergeCell ref="J173:M173"/>
    <mergeCell ref="J174:M174"/>
    <mergeCell ref="J175:L175"/>
    <mergeCell ref="J176:L176"/>
    <mergeCell ref="J177:L177"/>
    <mergeCell ref="J178:L178"/>
    <mergeCell ref="J179:L179"/>
    <mergeCell ref="O150:R150"/>
    <mergeCell ref="O151:Q151"/>
    <mergeCell ref="O153:Q153"/>
    <mergeCell ref="O154:Q154"/>
    <mergeCell ref="O155:Q155"/>
    <mergeCell ref="O157:Q157"/>
    <mergeCell ref="N168:N179"/>
    <mergeCell ref="J181:L181"/>
    <mergeCell ref="J188:L188"/>
    <mergeCell ref="J190:M190"/>
    <mergeCell ref="J191:M191"/>
    <mergeCell ref="J192:M192"/>
    <mergeCell ref="K193:L193"/>
    <mergeCell ref="J195:M195"/>
    <mergeCell ref="J196:M196"/>
    <mergeCell ref="J197:L197"/>
    <mergeCell ref="J198:L198"/>
    <mergeCell ref="J199:L199"/>
    <mergeCell ref="J200:L200"/>
    <mergeCell ref="J201:L201"/>
    <mergeCell ref="O203:Q203"/>
    <mergeCell ref="O242:R242"/>
    <mergeCell ref="O243:R243"/>
    <mergeCell ref="O246:Q246"/>
    <mergeCell ref="O247:Q247"/>
    <mergeCell ref="O220:Q220"/>
    <mergeCell ref="O221:Q221"/>
    <mergeCell ref="O233:Q233"/>
    <mergeCell ref="O237:R237"/>
    <mergeCell ref="S237:S248"/>
    <mergeCell ref="O238:R238"/>
    <mergeCell ref="O239:R239"/>
    <mergeCell ref="O248:Q248"/>
    <mergeCell ref="J238:M238"/>
    <mergeCell ref="J239:M239"/>
    <mergeCell ref="J242:M242"/>
    <mergeCell ref="J243:M243"/>
    <mergeCell ref="J244:L244"/>
    <mergeCell ref="J245:L245"/>
    <mergeCell ref="J246:L246"/>
    <mergeCell ref="J247:L247"/>
    <mergeCell ref="J248:L248"/>
    <mergeCell ref="J250:L250"/>
    <mergeCell ref="J257:L257"/>
    <mergeCell ref="E259:W260"/>
    <mergeCell ref="J262:M262"/>
    <mergeCell ref="O262:R262"/>
    <mergeCell ref="T262:W262"/>
    <mergeCell ref="O263:R263"/>
    <mergeCell ref="E247:G247"/>
    <mergeCell ref="E248:G248"/>
    <mergeCell ref="E250:G250"/>
    <mergeCell ref="E257:G257"/>
    <mergeCell ref="E262:H262"/>
    <mergeCell ref="E263:H263"/>
    <mergeCell ref="E264:H264"/>
    <mergeCell ref="P216:Q216"/>
    <mergeCell ref="J218:M218"/>
    <mergeCell ref="O218:R218"/>
    <mergeCell ref="J219:M219"/>
    <mergeCell ref="O219:R219"/>
    <mergeCell ref="J220:L220"/>
    <mergeCell ref="J221:L221"/>
    <mergeCell ref="J222:L222"/>
    <mergeCell ref="O222:Q222"/>
    <mergeCell ref="J223:L223"/>
    <mergeCell ref="O223:Q223"/>
    <mergeCell ref="J224:L224"/>
    <mergeCell ref="O224:Q224"/>
    <mergeCell ref="O226:Q226"/>
    <mergeCell ref="J226:L226"/>
    <mergeCell ref="J233:L233"/>
    <mergeCell ref="J234:L234"/>
    <mergeCell ref="J237:M237"/>
    <mergeCell ref="C238:C239"/>
    <mergeCell ref="E238:H238"/>
    <mergeCell ref="C240:C242"/>
    <mergeCell ref="O244:Q244"/>
    <mergeCell ref="O245:Q245"/>
    <mergeCell ref="O250:Q250"/>
    <mergeCell ref="O257:Q257"/>
    <mergeCell ref="E239:H239"/>
    <mergeCell ref="E242:H242"/>
    <mergeCell ref="C243:C245"/>
    <mergeCell ref="E243:H243"/>
    <mergeCell ref="E244:G244"/>
    <mergeCell ref="E245:G245"/>
    <mergeCell ref="E246:G246"/>
    <mergeCell ref="J263:M263"/>
    <mergeCell ref="J264:M264"/>
    <mergeCell ref="O264:R264"/>
    <mergeCell ref="O267:R267"/>
    <mergeCell ref="O268:R268"/>
    <mergeCell ref="O269:Q269"/>
    <mergeCell ref="Y286:AB286"/>
    <mergeCell ref="AD286:AG286"/>
    <mergeCell ref="Y287:AB287"/>
    <mergeCell ref="AD287:AG287"/>
    <mergeCell ref="E282:G282"/>
    <mergeCell ref="J282:L282"/>
    <mergeCell ref="O282:Q282"/>
    <mergeCell ref="T282:V282"/>
    <mergeCell ref="E285:AG285"/>
    <mergeCell ref="E286:H286"/>
    <mergeCell ref="J286:M286"/>
    <mergeCell ref="T27:W27"/>
    <mergeCell ref="U29:V29"/>
    <mergeCell ref="Y37:AB37"/>
    <mergeCell ref="AD37:AG37"/>
    <mergeCell ref="O26:R26"/>
    <mergeCell ref="T26:W26"/>
    <mergeCell ref="X26:X37"/>
    <mergeCell ref="AC26:AC37"/>
    <mergeCell ref="AD26:AG26"/>
    <mergeCell ref="AD27:AG27"/>
    <mergeCell ref="Y29:AB29"/>
    <mergeCell ref="O34:Q34"/>
    <mergeCell ref="T34:V34"/>
    <mergeCell ref="Y34:AB34"/>
    <mergeCell ref="AD34:AG34"/>
    <mergeCell ref="O35:Q35"/>
    <mergeCell ref="T35:V35"/>
    <mergeCell ref="Y35:AB35"/>
    <mergeCell ref="AD35:AG35"/>
    <mergeCell ref="O36:Q36"/>
    <mergeCell ref="T36:W36"/>
    <mergeCell ref="Y36:AB36"/>
    <mergeCell ref="AD36:AG36"/>
    <mergeCell ref="O37:Q37"/>
    <mergeCell ref="T37:W37"/>
    <mergeCell ref="E5:H5"/>
    <mergeCell ref="E8:H8"/>
    <mergeCell ref="C9:C11"/>
    <mergeCell ref="E9:H9"/>
    <mergeCell ref="E10:G10"/>
    <mergeCell ref="E11:G11"/>
    <mergeCell ref="E12:G12"/>
    <mergeCell ref="Y26:AB26"/>
    <mergeCell ref="Y27:AB27"/>
    <mergeCell ref="C27:C28"/>
    <mergeCell ref="E28:H28"/>
    <mergeCell ref="J28:M28"/>
    <mergeCell ref="E16:G16"/>
    <mergeCell ref="J16:L16"/>
    <mergeCell ref="E23:G23"/>
    <mergeCell ref="J23:L23"/>
    <mergeCell ref="O23:Q23"/>
    <mergeCell ref="J26:M26"/>
    <mergeCell ref="J27:M27"/>
    <mergeCell ref="O27:R27"/>
    <mergeCell ref="O28:R28"/>
    <mergeCell ref="T28:W28"/>
    <mergeCell ref="Y28:AB28"/>
    <mergeCell ref="J39:L39"/>
    <mergeCell ref="O39:Q39"/>
    <mergeCell ref="T39:V39"/>
    <mergeCell ref="J31:M31"/>
    <mergeCell ref="J32:M32"/>
    <mergeCell ref="J33:L33"/>
    <mergeCell ref="J34:L34"/>
    <mergeCell ref="J35:L35"/>
    <mergeCell ref="J36:L36"/>
    <mergeCell ref="J37:L37"/>
    <mergeCell ref="E26:H26"/>
    <mergeCell ref="E27:H27"/>
    <mergeCell ref="C29:C31"/>
    <mergeCell ref="F29:G29"/>
    <mergeCell ref="E31:H31"/>
    <mergeCell ref="C32:C34"/>
    <mergeCell ref="E32:H32"/>
    <mergeCell ref="E49:H49"/>
    <mergeCell ref="C50:C51"/>
    <mergeCell ref="E50:H50"/>
    <mergeCell ref="E51:H51"/>
    <mergeCell ref="C52:C54"/>
    <mergeCell ref="F52:G52"/>
    <mergeCell ref="E54:H54"/>
    <mergeCell ref="E33:G33"/>
    <mergeCell ref="E34:G34"/>
    <mergeCell ref="E35:G35"/>
    <mergeCell ref="E36:G36"/>
    <mergeCell ref="E37:G37"/>
    <mergeCell ref="E39:G39"/>
    <mergeCell ref="E46:G46"/>
    <mergeCell ref="O49:R49"/>
    <mergeCell ref="O50:R50"/>
    <mergeCell ref="J50:M50"/>
    <mergeCell ref="J51:M51"/>
    <mergeCell ref="P52:Q52"/>
    <mergeCell ref="U52:V52"/>
    <mergeCell ref="AD51:AG51"/>
    <mergeCell ref="AD52:AG52"/>
    <mergeCell ref="Y3:AB3"/>
    <mergeCell ref="AD3:AG3"/>
    <mergeCell ref="E3:H3"/>
    <mergeCell ref="E4:H4"/>
    <mergeCell ref="O3:R3"/>
    <mergeCell ref="O4:R4"/>
    <mergeCell ref="T4:W4"/>
    <mergeCell ref="Y4:AB4"/>
    <mergeCell ref="AD4:AG4"/>
    <mergeCell ref="J4:M4"/>
    <mergeCell ref="J5:M5"/>
    <mergeCell ref="C4:C5"/>
    <mergeCell ref="C6:C8"/>
    <mergeCell ref="AD11:AG11"/>
    <mergeCell ref="AD12:AG12"/>
    <mergeCell ref="AD13:AG13"/>
    <mergeCell ref="O5:R5"/>
    <mergeCell ref="T5:W5"/>
    <mergeCell ref="AD5:AG5"/>
    <mergeCell ref="AD6:AG6"/>
    <mergeCell ref="AD8:AG8"/>
    <mergeCell ref="AD9:AG9"/>
    <mergeCell ref="AD10:AG10"/>
    <mergeCell ref="T13:W13"/>
    <mergeCell ref="Y13:AB13"/>
    <mergeCell ref="J3:M3"/>
    <mergeCell ref="S3:S14"/>
    <mergeCell ref="T3:W3"/>
    <mergeCell ref="X3:X14"/>
    <mergeCell ref="AC3:AC14"/>
    <mergeCell ref="Y5:AB5"/>
    <mergeCell ref="Y6:AB6"/>
    <mergeCell ref="O16:Q16"/>
    <mergeCell ref="T10:W10"/>
    <mergeCell ref="Y10:AB10"/>
    <mergeCell ref="J11:L11"/>
    <mergeCell ref="O11:Q11"/>
    <mergeCell ref="T11:W11"/>
    <mergeCell ref="Y11:AB11"/>
    <mergeCell ref="J12:L12"/>
    <mergeCell ref="O12:Q12"/>
    <mergeCell ref="T12:W12"/>
    <mergeCell ref="Y12:AB12"/>
    <mergeCell ref="J13:L13"/>
    <mergeCell ref="O13:Q13"/>
    <mergeCell ref="J14:L14"/>
    <mergeCell ref="O14:Q14"/>
    <mergeCell ref="AD14:AG14"/>
    <mergeCell ref="P6:Q6"/>
    <mergeCell ref="T6:W6"/>
    <mergeCell ref="J8:M8"/>
    <mergeCell ref="O8:R8"/>
    <mergeCell ref="T8:W8"/>
    <mergeCell ref="Y8:AB8"/>
    <mergeCell ref="J9:M9"/>
    <mergeCell ref="O9:R9"/>
    <mergeCell ref="T9:W9"/>
    <mergeCell ref="Y9:AB9"/>
    <mergeCell ref="J10:L10"/>
    <mergeCell ref="O10:Q10"/>
    <mergeCell ref="E13:G13"/>
    <mergeCell ref="E14:G14"/>
    <mergeCell ref="T14:W14"/>
    <mergeCell ref="Y14:AB14"/>
    <mergeCell ref="AD28:AG28"/>
    <mergeCell ref="AD29:AG29"/>
    <mergeCell ref="O31:R31"/>
    <mergeCell ref="T31:W31"/>
    <mergeCell ref="Y31:AB31"/>
    <mergeCell ref="AD31:AG31"/>
    <mergeCell ref="O32:R32"/>
    <mergeCell ref="T32:W32"/>
    <mergeCell ref="Y32:AB32"/>
    <mergeCell ref="AD32:AG32"/>
    <mergeCell ref="O33:Q33"/>
    <mergeCell ref="T33:V33"/>
    <mergeCell ref="Y33:AB33"/>
    <mergeCell ref="AD33:AG33"/>
    <mergeCell ref="Y54:AB54"/>
    <mergeCell ref="AD54:AG54"/>
    <mergeCell ref="Y55:AB55"/>
    <mergeCell ref="AD55:AG55"/>
    <mergeCell ref="Y56:AB56"/>
    <mergeCell ref="AD56:AG56"/>
    <mergeCell ref="Y57:AB57"/>
    <mergeCell ref="AD57:AG57"/>
    <mergeCell ref="Y58:AB58"/>
    <mergeCell ref="AD58:AG58"/>
    <mergeCell ref="Y59:AB59"/>
    <mergeCell ref="AD59:AG59"/>
    <mergeCell ref="Y60:AB60"/>
    <mergeCell ref="AD60:AG60"/>
    <mergeCell ref="Y49:AB49"/>
    <mergeCell ref="AC49:AC60"/>
    <mergeCell ref="AD49:AG49"/>
    <mergeCell ref="Y50:AB50"/>
    <mergeCell ref="AD50:AG50"/>
    <mergeCell ref="Y51:AB51"/>
    <mergeCell ref="Y52:AB52"/>
    <mergeCell ref="J58:L58"/>
    <mergeCell ref="O58:Q58"/>
    <mergeCell ref="E57:G57"/>
    <mergeCell ref="O57:Q57"/>
    <mergeCell ref="E58:G58"/>
    <mergeCell ref="E59:G59"/>
    <mergeCell ref="J59:L59"/>
    <mergeCell ref="O59:Q59"/>
    <mergeCell ref="E60:G60"/>
    <mergeCell ref="T56:V56"/>
    <mergeCell ref="J57:L57"/>
    <mergeCell ref="T57:V57"/>
    <mergeCell ref="J60:L60"/>
    <mergeCell ref="O60:Q60"/>
    <mergeCell ref="J46:L46"/>
    <mergeCell ref="O46:Q46"/>
    <mergeCell ref="T46:V46"/>
    <mergeCell ref="J49:M49"/>
    <mergeCell ref="T49:W49"/>
    <mergeCell ref="X49:X60"/>
    <mergeCell ref="O51:R51"/>
    <mergeCell ref="T60:V60"/>
    <mergeCell ref="Y73:AB73"/>
    <mergeCell ref="AD73:AG73"/>
    <mergeCell ref="AD74:AG74"/>
    <mergeCell ref="AD75:AG75"/>
    <mergeCell ref="AD76:AG76"/>
    <mergeCell ref="E69:G69"/>
    <mergeCell ref="J69:L69"/>
    <mergeCell ref="O69:Q69"/>
    <mergeCell ref="T69:V69"/>
    <mergeCell ref="E72:AG72"/>
    <mergeCell ref="E73:H73"/>
    <mergeCell ref="J73:M73"/>
    <mergeCell ref="T50:W50"/>
    <mergeCell ref="T51:W51"/>
    <mergeCell ref="T54:W54"/>
    <mergeCell ref="T55:W55"/>
    <mergeCell ref="O55:R55"/>
    <mergeCell ref="O56:Q56"/>
    <mergeCell ref="J54:M54"/>
    <mergeCell ref="O54:R54"/>
    <mergeCell ref="C55:C57"/>
    <mergeCell ref="E55:H55"/>
    <mergeCell ref="J55:M55"/>
    <mergeCell ref="E56:G56"/>
    <mergeCell ref="J56:L56"/>
    <mergeCell ref="T58:V58"/>
    <mergeCell ref="T59:V59"/>
    <mergeCell ref="E62:G62"/>
    <mergeCell ref="J62:L62"/>
    <mergeCell ref="O62:Q62"/>
    <mergeCell ref="T62:V62"/>
    <mergeCell ref="T73:W73"/>
    <mergeCell ref="T74:W74"/>
    <mergeCell ref="T82:V82"/>
    <mergeCell ref="Y82:AB82"/>
    <mergeCell ref="J84:L84"/>
    <mergeCell ref="O84:Q84"/>
    <mergeCell ref="O86:Q86"/>
    <mergeCell ref="T86:V86"/>
    <mergeCell ref="T84:V84"/>
    <mergeCell ref="Y84:AB84"/>
    <mergeCell ref="O73:R73"/>
    <mergeCell ref="X73:X84"/>
    <mergeCell ref="AC73:AC84"/>
    <mergeCell ref="J74:M74"/>
    <mergeCell ref="J75:M75"/>
    <mergeCell ref="T75:W75"/>
    <mergeCell ref="Y76:AB76"/>
    <mergeCell ref="J79:M79"/>
    <mergeCell ref="O79:R79"/>
    <mergeCell ref="T79:W79"/>
    <mergeCell ref="Y79:AB79"/>
    <mergeCell ref="J80:L80"/>
    <mergeCell ref="O80:Q80"/>
    <mergeCell ref="T80:V80"/>
    <mergeCell ref="Y80:AB80"/>
    <mergeCell ref="J81:L81"/>
    <mergeCell ref="O81:Q81"/>
    <mergeCell ref="T81:V81"/>
    <mergeCell ref="Y81:AB81"/>
    <mergeCell ref="J82:L82"/>
    <mergeCell ref="O82:Q82"/>
    <mergeCell ref="E74:H74"/>
    <mergeCell ref="E75:H75"/>
    <mergeCell ref="O74:R74"/>
    <mergeCell ref="O75:R75"/>
    <mergeCell ref="O83:Q83"/>
    <mergeCell ref="Y74:AB74"/>
    <mergeCell ref="Y75:AB75"/>
    <mergeCell ref="J78:M78"/>
    <mergeCell ref="O78:R78"/>
    <mergeCell ref="T83:V83"/>
    <mergeCell ref="Y83:AB83"/>
    <mergeCell ref="AD83:AG83"/>
    <mergeCell ref="AD84:AG84"/>
    <mergeCell ref="T78:W78"/>
    <mergeCell ref="Y78:AB78"/>
    <mergeCell ref="AD78:AG78"/>
    <mergeCell ref="AD79:AG79"/>
    <mergeCell ref="AD80:AG80"/>
    <mergeCell ref="AD81:AG81"/>
    <mergeCell ref="AD82:AG82"/>
    <mergeCell ref="E83:G83"/>
    <mergeCell ref="E84:G84"/>
    <mergeCell ref="C74:C75"/>
    <mergeCell ref="E78:H78"/>
    <mergeCell ref="E79:H79"/>
    <mergeCell ref="C76:C78"/>
    <mergeCell ref="F76:G76"/>
    <mergeCell ref="C79:C81"/>
    <mergeCell ref="E80:G80"/>
    <mergeCell ref="E81:G81"/>
    <mergeCell ref="E82:G82"/>
    <mergeCell ref="J83:L83"/>
    <mergeCell ref="Y97:AB97"/>
    <mergeCell ref="AD97:AG97"/>
    <mergeCell ref="AD98:AG98"/>
    <mergeCell ref="AD99:AG99"/>
    <mergeCell ref="AD100:AG100"/>
    <mergeCell ref="E86:G86"/>
    <mergeCell ref="J86:L86"/>
    <mergeCell ref="E93:G93"/>
    <mergeCell ref="J93:L93"/>
    <mergeCell ref="O93:Q93"/>
    <mergeCell ref="T93:V93"/>
    <mergeCell ref="E96:AG96"/>
    <mergeCell ref="J97:M97"/>
    <mergeCell ref="J98:M98"/>
    <mergeCell ref="T97:W97"/>
    <mergeCell ref="T98:W98"/>
    <mergeCell ref="E98:H98"/>
    <mergeCell ref="E99:H99"/>
    <mergeCell ref="E176:G176"/>
    <mergeCell ref="E177:G177"/>
    <mergeCell ref="E178:G178"/>
    <mergeCell ref="E179:G179"/>
    <mergeCell ref="E181:G181"/>
    <mergeCell ref="E188:G188"/>
    <mergeCell ref="E190:H190"/>
    <mergeCell ref="E191:H191"/>
    <mergeCell ref="E192:H192"/>
    <mergeCell ref="E219:H219"/>
    <mergeCell ref="E220:G220"/>
    <mergeCell ref="E203:G203"/>
    <mergeCell ref="E210:G210"/>
    <mergeCell ref="E213:H213"/>
    <mergeCell ref="E214:H214"/>
    <mergeCell ref="E215:H215"/>
    <mergeCell ref="F216:G216"/>
    <mergeCell ref="E218:H218"/>
    <mergeCell ref="E97:H97"/>
    <mergeCell ref="E107:G107"/>
    <mergeCell ref="E110:G110"/>
    <mergeCell ref="E117:G117"/>
    <mergeCell ref="E121:H121"/>
    <mergeCell ref="E122:H122"/>
    <mergeCell ref="E123:H123"/>
    <mergeCell ref="E168:H168"/>
    <mergeCell ref="E169:H169"/>
    <mergeCell ref="E170:H170"/>
    <mergeCell ref="E173:H173"/>
    <mergeCell ref="E174:H174"/>
    <mergeCell ref="E175:G175"/>
    <mergeCell ref="E131:G131"/>
    <mergeCell ref="E132:G132"/>
    <mergeCell ref="E134:G134"/>
    <mergeCell ref="E141:G141"/>
    <mergeCell ref="E144:H144"/>
    <mergeCell ref="E164:G164"/>
    <mergeCell ref="I168:I179"/>
    <mergeCell ref="C191:C192"/>
    <mergeCell ref="C193:C195"/>
    <mergeCell ref="C196:C198"/>
    <mergeCell ref="C214:C215"/>
    <mergeCell ref="C216:C218"/>
    <mergeCell ref="C219:C221"/>
    <mergeCell ref="E221:G221"/>
    <mergeCell ref="E222:G222"/>
    <mergeCell ref="E223:G223"/>
    <mergeCell ref="E224:G224"/>
    <mergeCell ref="E226:G226"/>
    <mergeCell ref="E233:G233"/>
    <mergeCell ref="E237:H237"/>
    <mergeCell ref="E195:H195"/>
    <mergeCell ref="E196:H196"/>
    <mergeCell ref="E197:G197"/>
    <mergeCell ref="E198:G198"/>
    <mergeCell ref="E199:G199"/>
    <mergeCell ref="E200:G200"/>
    <mergeCell ref="E201:G201"/>
    <mergeCell ref="T226:V226"/>
    <mergeCell ref="T233:V233"/>
    <mergeCell ref="T237:W237"/>
    <mergeCell ref="X237:X248"/>
    <mergeCell ref="T238:W238"/>
    <mergeCell ref="T239:W239"/>
    <mergeCell ref="T242:W242"/>
    <mergeCell ref="T247:V247"/>
    <mergeCell ref="T248:V248"/>
    <mergeCell ref="T250:V250"/>
    <mergeCell ref="T257:V257"/>
    <mergeCell ref="X262:X273"/>
    <mergeCell ref="T263:W263"/>
    <mergeCell ref="T264:W264"/>
    <mergeCell ref="Y269:AB269"/>
    <mergeCell ref="Y270:AB270"/>
    <mergeCell ref="Y271:AB271"/>
    <mergeCell ref="Y272:AB272"/>
    <mergeCell ref="Y243:AB243"/>
    <mergeCell ref="Y244:AB244"/>
    <mergeCell ref="Y262:AB262"/>
    <mergeCell ref="AC262:AC273"/>
    <mergeCell ref="Y263:AB263"/>
    <mergeCell ref="Y264:AB264"/>
    <mergeCell ref="Y265:AB265"/>
    <mergeCell ref="Y273:AB273"/>
    <mergeCell ref="T197:W197"/>
    <mergeCell ref="T198:W198"/>
    <mergeCell ref="T199:W199"/>
    <mergeCell ref="T200:W200"/>
    <mergeCell ref="T201:W201"/>
    <mergeCell ref="U216:V216"/>
    <mergeCell ref="Y218:AB218"/>
    <mergeCell ref="T218:W218"/>
    <mergeCell ref="T219:W219"/>
    <mergeCell ref="T220:V220"/>
    <mergeCell ref="T221:V221"/>
    <mergeCell ref="T222:V222"/>
    <mergeCell ref="T223:V223"/>
    <mergeCell ref="T224:V224"/>
    <mergeCell ref="Y219:AB219"/>
    <mergeCell ref="Y220:AA220"/>
    <mergeCell ref="Y221:AA221"/>
    <mergeCell ref="Y222:AA222"/>
    <mergeCell ref="Y223:AA223"/>
    <mergeCell ref="Y224:AA224"/>
    <mergeCell ref="Y226:AA226"/>
    <mergeCell ref="T243:W243"/>
    <mergeCell ref="T244:V244"/>
    <mergeCell ref="T245:V245"/>
    <mergeCell ref="T246:V246"/>
    <mergeCell ref="T267:W267"/>
    <mergeCell ref="T268:W268"/>
    <mergeCell ref="Y267:AB267"/>
    <mergeCell ref="Y268:AB268"/>
    <mergeCell ref="O286:R286"/>
    <mergeCell ref="T286:W286"/>
    <mergeCell ref="C287:C288"/>
    <mergeCell ref="E287:H287"/>
    <mergeCell ref="O287:R287"/>
    <mergeCell ref="E288:H288"/>
    <mergeCell ref="O288:R288"/>
    <mergeCell ref="AD291:AG291"/>
    <mergeCell ref="AD292:AG292"/>
    <mergeCell ref="T287:W287"/>
    <mergeCell ref="T288:W288"/>
    <mergeCell ref="Y288:AB288"/>
    <mergeCell ref="AD288:AG288"/>
    <mergeCell ref="AE289:AF289"/>
    <mergeCell ref="Y291:AB291"/>
    <mergeCell ref="Y292:AB292"/>
    <mergeCell ref="Y296:AA296"/>
    <mergeCell ref="Y297:AA297"/>
    <mergeCell ref="AD297:AF297"/>
    <mergeCell ref="AD299:AF299"/>
    <mergeCell ref="Y293:AA293"/>
    <mergeCell ref="AD293:AF293"/>
    <mergeCell ref="Y294:AA294"/>
    <mergeCell ref="AD294:AF294"/>
    <mergeCell ref="Y295:AA295"/>
    <mergeCell ref="AD295:AF295"/>
    <mergeCell ref="AD296:AF296"/>
    <mergeCell ref="J268:M268"/>
    <mergeCell ref="J269:L269"/>
    <mergeCell ref="T269:V269"/>
    <mergeCell ref="E270:G270"/>
    <mergeCell ref="J270:L270"/>
    <mergeCell ref="O270:Q270"/>
    <mergeCell ref="T270:V270"/>
    <mergeCell ref="C263:C264"/>
    <mergeCell ref="C265:C267"/>
    <mergeCell ref="E267:H267"/>
    <mergeCell ref="J267:M267"/>
    <mergeCell ref="C268:C270"/>
    <mergeCell ref="E268:H268"/>
    <mergeCell ref="E269:G269"/>
    <mergeCell ref="E271:G271"/>
    <mergeCell ref="J271:L271"/>
    <mergeCell ref="O271:Q271"/>
    <mergeCell ref="T271:V271"/>
    <mergeCell ref="J272:L272"/>
    <mergeCell ref="O272:Q272"/>
    <mergeCell ref="T272:V272"/>
    <mergeCell ref="O275:Q275"/>
    <mergeCell ref="T275:V275"/>
    <mergeCell ref="E272:G272"/>
    <mergeCell ref="E273:G273"/>
    <mergeCell ref="J273:L273"/>
    <mergeCell ref="O273:Q273"/>
    <mergeCell ref="T273:V273"/>
    <mergeCell ref="E275:G275"/>
    <mergeCell ref="J275:L275"/>
    <mergeCell ref="E291:H291"/>
    <mergeCell ref="E292:H292"/>
    <mergeCell ref="J287:M287"/>
    <mergeCell ref="J288:M288"/>
    <mergeCell ref="C289:C291"/>
    <mergeCell ref="J291:M291"/>
    <mergeCell ref="T291:W291"/>
    <mergeCell ref="J292:M292"/>
    <mergeCell ref="T292:W292"/>
    <mergeCell ref="C292:C294"/>
    <mergeCell ref="E293:G293"/>
    <mergeCell ref="J293:L293"/>
    <mergeCell ref="E294:G294"/>
    <mergeCell ref="J294:L294"/>
    <mergeCell ref="E295:G295"/>
    <mergeCell ref="E296:G296"/>
    <mergeCell ref="O291:R291"/>
    <mergeCell ref="O292:R292"/>
    <mergeCell ref="O293:Q293"/>
    <mergeCell ref="T293:V293"/>
    <mergeCell ref="O294:Q294"/>
    <mergeCell ref="T294:V294"/>
    <mergeCell ref="T295:V295"/>
    <mergeCell ref="E308:H308"/>
    <mergeCell ref="J308:M308"/>
    <mergeCell ref="O308:R308"/>
    <mergeCell ref="T308:W308"/>
    <mergeCell ref="Y308:AB308"/>
    <mergeCell ref="AD308:AG308"/>
    <mergeCell ref="E306:G306"/>
    <mergeCell ref="C309:C310"/>
    <mergeCell ref="O306:Q306"/>
    <mergeCell ref="O309:R309"/>
    <mergeCell ref="T309:W309"/>
    <mergeCell ref="Y309:AB309"/>
    <mergeCell ref="AD309:AG309"/>
    <mergeCell ref="AD310:AG310"/>
    <mergeCell ref="T296:V296"/>
    <mergeCell ref="T297:V297"/>
    <mergeCell ref="T299:V299"/>
    <mergeCell ref="Y299:AA299"/>
    <mergeCell ref="T306:V306"/>
    <mergeCell ref="Y306:AA306"/>
    <mergeCell ref="AD306:AF306"/>
    <mergeCell ref="Y317:AB317"/>
    <mergeCell ref="O318:Q318"/>
    <mergeCell ref="T318:W318"/>
    <mergeCell ref="Y318:AB318"/>
    <mergeCell ref="O319:Q319"/>
    <mergeCell ref="T319:W319"/>
    <mergeCell ref="O321:Q321"/>
    <mergeCell ref="O328:Q328"/>
    <mergeCell ref="O295:Q295"/>
    <mergeCell ref="O296:Q296"/>
    <mergeCell ref="O297:Q297"/>
    <mergeCell ref="O299:Q299"/>
    <mergeCell ref="S308:S319"/>
    <mergeCell ref="X308:X319"/>
    <mergeCell ref="AC308:AC319"/>
    <mergeCell ref="Y319:AB319"/>
    <mergeCell ref="O310:R310"/>
    <mergeCell ref="T310:W310"/>
    <mergeCell ref="Y310:AB310"/>
    <mergeCell ref="T311:W311"/>
    <mergeCell ref="Y311:AB311"/>
    <mergeCell ref="AD311:AG311"/>
    <mergeCell ref="O313:R313"/>
    <mergeCell ref="T313:W313"/>
    <mergeCell ref="AD313:AG313"/>
    <mergeCell ref="Y313:AB313"/>
    <mergeCell ref="O314:R314"/>
    <mergeCell ref="T314:W314"/>
    <mergeCell ref="Y314:AB314"/>
    <mergeCell ref="AD314:AG314"/>
    <mergeCell ref="O315:Q315"/>
    <mergeCell ref="T315:W315"/>
    <mergeCell ref="AD315:AG315"/>
    <mergeCell ref="Y315:AB315"/>
    <mergeCell ref="O316:Q316"/>
    <mergeCell ref="T316:W316"/>
    <mergeCell ref="Y316:AB316"/>
    <mergeCell ref="AD316:AG316"/>
    <mergeCell ref="O317:Q317"/>
    <mergeCell ref="T317:W317"/>
    <mergeCell ref="AD317:AG317"/>
    <mergeCell ref="AD318:AG318"/>
    <mergeCell ref="AD319:AG319"/>
    <mergeCell ref="E310:H310"/>
    <mergeCell ref="J310:M310"/>
    <mergeCell ref="C311:C313"/>
    <mergeCell ref="E313:H313"/>
    <mergeCell ref="J313:M313"/>
    <mergeCell ref="C314:C316"/>
    <mergeCell ref="J314:M314"/>
    <mergeCell ref="J316:L316"/>
    <mergeCell ref="E297:G297"/>
    <mergeCell ref="J297:L297"/>
    <mergeCell ref="E299:G299"/>
    <mergeCell ref="J299:L299"/>
    <mergeCell ref="J306:L306"/>
    <mergeCell ref="I308:I319"/>
    <mergeCell ref="N308:N319"/>
    <mergeCell ref="J295:L295"/>
    <mergeCell ref="J296:L296"/>
    <mergeCell ref="E309:H309"/>
    <mergeCell ref="J309:M309"/>
    <mergeCell ref="E314:H314"/>
    <mergeCell ref="E315:G315"/>
    <mergeCell ref="E328:G328"/>
    <mergeCell ref="J315:L315"/>
    <mergeCell ref="E316:G316"/>
    <mergeCell ref="E317:G317"/>
    <mergeCell ref="J317:L317"/>
    <mergeCell ref="E318:G318"/>
    <mergeCell ref="J318:L318"/>
    <mergeCell ref="E319:G319"/>
    <mergeCell ref="J319:L319"/>
    <mergeCell ref="E321:G321"/>
    <mergeCell ref="J321:L321"/>
    <mergeCell ref="J328:L328"/>
  </mergeCells>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0" priority="1" operator="between">
      <formula>1</formula>
      <formula>95</formula>
    </cfRule>
  </conditionalFormatting>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1" priority="2" operator="between">
      <formula>96</formula>
      <formula>195</formula>
    </cfRule>
  </conditionalFormatting>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2" priority="3" operator="between">
      <formula>196</formula>
      <formula>260</formula>
    </cfRule>
  </conditionalFormatting>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3" priority="4" operator="between">
      <formula>261</formula>
      <formula>299</formula>
    </cfRule>
  </conditionalFormatting>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4" priority="5" operator="between">
      <formula>300</formula>
      <formula>350</formula>
    </cfRule>
  </conditionalFormatting>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5" priority="6" operator="between">
      <formula>351</formula>
      <formula>450</formula>
    </cfRule>
  </conditionalFormatting>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6" priority="7" operator="between">
      <formula>451</formula>
      <formula>1000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58E5"/>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3358"/>
      <c r="B1" s="3359"/>
      <c r="C1" s="3360"/>
      <c r="D1" s="3359"/>
      <c r="E1" s="3359"/>
      <c r="F1" s="3359"/>
      <c r="G1" s="3359"/>
      <c r="H1" s="3359"/>
      <c r="I1" s="3359"/>
      <c r="J1" s="3359"/>
      <c r="K1" s="3359"/>
      <c r="L1" s="3359"/>
      <c r="M1" s="3359"/>
      <c r="N1" s="3359"/>
      <c r="O1" s="3359"/>
      <c r="P1" s="3359"/>
      <c r="Q1" s="3359"/>
      <c r="R1" s="3359"/>
      <c r="S1" s="3359"/>
      <c r="T1" s="3359"/>
      <c r="U1" s="3359"/>
      <c r="V1" s="3359"/>
      <c r="W1" s="3359"/>
      <c r="X1" s="3359"/>
      <c r="Y1" s="3359"/>
      <c r="Z1" s="3359"/>
      <c r="AA1" s="3359"/>
      <c r="AB1" s="3359"/>
      <c r="AC1" s="3359"/>
      <c r="AD1" s="3359"/>
      <c r="AE1" s="3359"/>
      <c r="AF1" s="3359"/>
      <c r="AG1" s="3359"/>
      <c r="AH1" s="3359"/>
      <c r="AI1" s="3358"/>
    </row>
    <row r="2" ht="7.5" customHeight="1">
      <c r="A2" s="3361"/>
      <c r="B2" s="3362"/>
      <c r="C2" s="3363"/>
      <c r="D2" s="3364"/>
      <c r="E2" s="3364"/>
      <c r="F2" s="3364"/>
      <c r="G2" s="3364"/>
      <c r="H2" s="3364"/>
      <c r="I2" s="3364"/>
      <c r="J2" s="3365"/>
      <c r="K2" s="3365"/>
      <c r="L2" s="3365"/>
      <c r="M2" s="3365"/>
      <c r="N2" s="3364"/>
      <c r="O2" s="3364"/>
      <c r="P2" s="3364"/>
      <c r="Q2" s="3364"/>
      <c r="R2" s="3364"/>
      <c r="S2" s="3364"/>
      <c r="T2" s="3364"/>
      <c r="U2" s="3364"/>
      <c r="V2" s="3364"/>
      <c r="W2" s="3364"/>
      <c r="X2" s="3364"/>
      <c r="Y2" s="3364"/>
      <c r="Z2" s="3364"/>
      <c r="AA2" s="3364"/>
      <c r="AB2" s="3364"/>
      <c r="AC2" s="3364"/>
      <c r="AD2" s="3364"/>
      <c r="AE2" s="3364"/>
      <c r="AF2" s="3364"/>
      <c r="AG2" s="3364"/>
      <c r="AH2" s="3366"/>
      <c r="AI2" s="3367"/>
    </row>
    <row r="3" ht="96.75" customHeight="1">
      <c r="A3" s="3368"/>
      <c r="B3" s="3369"/>
      <c r="C3" s="3370" t="str">
        <f>IMAGE("https://i.ibb.co/8sm893K/Lass.png")</f>
        <v/>
      </c>
      <c r="D3" s="3371"/>
      <c r="E3" s="3372" t="str">
        <f t="array" ref="E3">IFERROR(VLOOKUP(E4,Dex!$B$3:$G1022,3,FALSE),"")</f>
        <v/>
      </c>
      <c r="F3" s="381"/>
      <c r="G3" s="381"/>
      <c r="H3" s="2531"/>
      <c r="I3" s="3373"/>
      <c r="J3" s="3372" t="str">
        <f t="array" ref="J3">IFERROR(VLOOKUP(J4,Dex!$B$3:$G1022,3,FALSE),"")</f>
        <v/>
      </c>
      <c r="K3" s="381"/>
      <c r="L3" s="381"/>
      <c r="M3" s="2531"/>
      <c r="N3" s="3374"/>
      <c r="O3" s="3372" t="str">
        <f t="array" ref="O3">IFERROR(VLOOKUP(O4,Dex!$B$3:$G1022,3,FALSE),"")</f>
        <v/>
      </c>
      <c r="P3" s="381"/>
      <c r="Q3" s="381"/>
      <c r="R3" s="2531"/>
      <c r="S3" s="3375"/>
      <c r="T3" s="3376"/>
      <c r="U3" s="3377"/>
      <c r="V3" s="3377"/>
      <c r="W3" s="3378"/>
      <c r="X3" s="3375"/>
      <c r="Y3" s="3376"/>
      <c r="Z3" s="3377"/>
      <c r="AA3" s="3377"/>
      <c r="AB3" s="3378"/>
      <c r="AC3" s="3375"/>
      <c r="AD3" s="3376"/>
      <c r="AE3" s="3377"/>
      <c r="AF3" s="3377"/>
      <c r="AG3" s="3378"/>
      <c r="AH3" s="3379"/>
      <c r="AI3" s="3380"/>
    </row>
    <row r="4" ht="18.75" customHeight="1">
      <c r="A4" s="3381"/>
      <c r="B4" s="3382"/>
      <c r="C4" s="3383" t="s">
        <v>974</v>
      </c>
      <c r="D4" s="3384"/>
      <c r="E4" s="3385" t="s">
        <v>975</v>
      </c>
      <c r="F4" s="3386"/>
      <c r="G4" s="3386"/>
      <c r="H4" s="3387"/>
      <c r="I4" s="3388"/>
      <c r="J4" s="3385" t="s">
        <v>976</v>
      </c>
      <c r="K4" s="3386"/>
      <c r="L4" s="3386"/>
      <c r="M4" s="3387"/>
      <c r="N4" s="3389"/>
      <c r="O4" s="3385" t="s">
        <v>977</v>
      </c>
      <c r="P4" s="3386"/>
      <c r="Q4" s="3386"/>
      <c r="R4" s="3387"/>
      <c r="S4" s="3390"/>
      <c r="T4" s="3391"/>
      <c r="U4" s="3377"/>
      <c r="V4" s="3377"/>
      <c r="W4" s="3378"/>
      <c r="X4" s="3390"/>
      <c r="Y4" s="3391"/>
      <c r="Z4" s="3377"/>
      <c r="AA4" s="3377"/>
      <c r="AB4" s="3378"/>
      <c r="AC4" s="3390"/>
      <c r="AD4" s="3391"/>
      <c r="AE4" s="3377"/>
      <c r="AF4" s="3377"/>
      <c r="AG4" s="3378"/>
      <c r="AH4" s="3392"/>
      <c r="AI4" s="3393"/>
    </row>
    <row r="5">
      <c r="A5" s="3394"/>
      <c r="B5" s="3395"/>
      <c r="C5" s="1481"/>
      <c r="D5" s="3396"/>
      <c r="E5" s="3397" t="s">
        <v>714</v>
      </c>
      <c r="F5" s="3398"/>
      <c r="G5" s="3398"/>
      <c r="H5" s="3399"/>
      <c r="I5" s="3388"/>
      <c r="J5" s="3397" t="s">
        <v>843</v>
      </c>
      <c r="K5" s="3398"/>
      <c r="L5" s="3398"/>
      <c r="M5" s="3399"/>
      <c r="N5" s="3389"/>
      <c r="O5" s="3397" t="s">
        <v>714</v>
      </c>
      <c r="P5" s="3398"/>
      <c r="Q5" s="3398"/>
      <c r="R5" s="3399"/>
      <c r="S5" s="3390"/>
      <c r="T5" s="3400"/>
      <c r="U5" s="3377"/>
      <c r="V5" s="3377"/>
      <c r="W5" s="3378"/>
      <c r="X5" s="3390"/>
      <c r="Y5" s="3400"/>
      <c r="Z5" s="3377"/>
      <c r="AA5" s="3377"/>
      <c r="AB5" s="3378"/>
      <c r="AC5" s="3390"/>
      <c r="AD5" s="3400"/>
      <c r="AE5" s="3377"/>
      <c r="AF5" s="3377"/>
      <c r="AG5" s="3378"/>
      <c r="AH5" s="3401"/>
      <c r="AI5" s="3402"/>
    </row>
    <row r="6" ht="25.5" customHeight="1">
      <c r="A6" s="3368"/>
      <c r="B6" s="3369"/>
      <c r="C6" s="1489"/>
      <c r="D6" s="3403"/>
      <c r="E6" s="3404"/>
      <c r="F6" s="3405" t="str">
        <f t="array" ref="F6">IFERROR(VLOOKUP(E4,Dex!$B$3:$H1022,5,FALSE),"")</f>
        <v/>
      </c>
      <c r="G6" s="3406" t="str">
        <f t="array" ref="G6">IFERROR(VLOOKUP(E4,Dex!$B$3:$H1022,7,FALSE),"")</f>
        <v/>
      </c>
      <c r="H6" s="3407"/>
      <c r="I6" s="3388"/>
      <c r="J6" s="3404"/>
      <c r="K6" s="3408" t="str">
        <f t="array" ref="K6">IFERROR(VLOOKUP(J4,Dex!$B$3:$H1022,5,FALSE),"")</f>
        <v/>
      </c>
      <c r="L6" s="3409"/>
      <c r="M6" s="3407"/>
      <c r="N6" s="3389"/>
      <c r="O6" s="3404"/>
      <c r="P6" s="3408" t="str">
        <f t="array" ref="P6">IFERROR(VLOOKUP(O4,Dex!$B$3:$H1022,5,FALSE),"")</f>
        <v/>
      </c>
      <c r="Q6" s="3409"/>
      <c r="R6" s="3407"/>
      <c r="S6" s="3390"/>
      <c r="T6" s="3376"/>
      <c r="U6" s="3377"/>
      <c r="V6" s="3377"/>
      <c r="W6" s="3378"/>
      <c r="X6" s="3390"/>
      <c r="Y6" s="3376"/>
      <c r="Z6" s="3377"/>
      <c r="AA6" s="3377"/>
      <c r="AB6" s="3378"/>
      <c r="AC6" s="3390"/>
      <c r="AD6" s="3376"/>
      <c r="AE6" s="3377"/>
      <c r="AF6" s="3377"/>
      <c r="AG6" s="3378"/>
      <c r="AH6" s="3379"/>
      <c r="AI6" s="3380"/>
    </row>
    <row r="7" ht="2.25" customHeight="1">
      <c r="A7" s="3368"/>
      <c r="B7" s="3369"/>
      <c r="C7" s="3410"/>
      <c r="D7" s="3371"/>
      <c r="E7" s="3411"/>
      <c r="F7" s="3412"/>
      <c r="G7" s="3412"/>
      <c r="H7" s="3413"/>
      <c r="I7" s="3388"/>
      <c r="J7" s="3411"/>
      <c r="K7" s="3412"/>
      <c r="L7" s="3412"/>
      <c r="M7" s="3413"/>
      <c r="N7" s="3389"/>
      <c r="O7" s="3411"/>
      <c r="P7" s="3412"/>
      <c r="Q7" s="3412"/>
      <c r="R7" s="3413"/>
      <c r="S7" s="3390"/>
      <c r="T7" s="3414"/>
      <c r="U7" s="3414"/>
      <c r="V7" s="3414"/>
      <c r="W7" s="3414"/>
      <c r="X7" s="3390"/>
      <c r="Y7" s="3414"/>
      <c r="Z7" s="3414"/>
      <c r="AA7" s="3414"/>
      <c r="AB7" s="3414"/>
      <c r="AC7" s="3390"/>
      <c r="AD7" s="3414"/>
      <c r="AE7" s="3414"/>
      <c r="AF7" s="3414"/>
      <c r="AG7" s="3414"/>
      <c r="AH7" s="3379"/>
      <c r="AI7" s="3380"/>
    </row>
    <row r="8" ht="20.25" customHeight="1">
      <c r="A8" s="3368"/>
      <c r="B8" s="3369"/>
      <c r="C8" s="3410"/>
      <c r="D8" s="3415"/>
      <c r="E8" s="3416" t="s">
        <v>171</v>
      </c>
      <c r="F8" s="3417"/>
      <c r="G8" s="3417"/>
      <c r="H8" s="3418"/>
      <c r="I8" s="3388"/>
      <c r="J8" s="3416" t="s">
        <v>171</v>
      </c>
      <c r="K8" s="3417"/>
      <c r="L8" s="3417"/>
      <c r="M8" s="3418"/>
      <c r="N8" s="3389"/>
      <c r="O8" s="3416" t="s">
        <v>171</v>
      </c>
      <c r="P8" s="3417"/>
      <c r="Q8" s="3417"/>
      <c r="R8" s="3418"/>
      <c r="S8" s="3390"/>
      <c r="T8" s="3376"/>
      <c r="U8" s="3377"/>
      <c r="V8" s="3377"/>
      <c r="W8" s="3378"/>
      <c r="X8" s="3390"/>
      <c r="Y8" s="3376"/>
      <c r="Z8" s="3377"/>
      <c r="AA8" s="3377"/>
      <c r="AB8" s="3378"/>
      <c r="AC8" s="3390"/>
      <c r="AD8" s="3376"/>
      <c r="AE8" s="3377"/>
      <c r="AF8" s="3377"/>
      <c r="AG8" s="3378"/>
      <c r="AH8" s="3379"/>
      <c r="AI8" s="3380"/>
    </row>
    <row r="9" ht="20.25" customHeight="1">
      <c r="A9" s="3368"/>
      <c r="B9" s="3369"/>
      <c r="C9" s="3419"/>
      <c r="D9" s="3415"/>
      <c r="E9" s="3420" t="s">
        <v>978</v>
      </c>
      <c r="F9" s="3377"/>
      <c r="G9" s="3377"/>
      <c r="H9" s="3421"/>
      <c r="I9" s="3388"/>
      <c r="J9" s="3420" t="s">
        <v>979</v>
      </c>
      <c r="K9" s="3377"/>
      <c r="L9" s="3377"/>
      <c r="M9" s="3421"/>
      <c r="N9" s="3389"/>
      <c r="O9" s="3420" t="s">
        <v>980</v>
      </c>
      <c r="P9" s="3377"/>
      <c r="Q9" s="3377"/>
      <c r="R9" s="3421"/>
      <c r="S9" s="3390"/>
      <c r="T9" s="3376"/>
      <c r="U9" s="3377"/>
      <c r="V9" s="3377"/>
      <c r="W9" s="3378"/>
      <c r="X9" s="3390"/>
      <c r="Y9" s="3376"/>
      <c r="Z9" s="3377"/>
      <c r="AA9" s="3377"/>
      <c r="AB9" s="3378"/>
      <c r="AC9" s="3390"/>
      <c r="AD9" s="3376"/>
      <c r="AE9" s="3377"/>
      <c r="AF9" s="3377"/>
      <c r="AG9" s="3378"/>
      <c r="AH9" s="3379"/>
      <c r="AI9" s="3380"/>
    </row>
    <row r="10" ht="20.25" customHeight="1">
      <c r="A10" s="3368"/>
      <c r="B10" s="3369"/>
      <c r="C10" s="3390"/>
      <c r="D10" s="3415"/>
      <c r="E10" s="3422" t="s">
        <v>981</v>
      </c>
      <c r="F10" s="3423"/>
      <c r="G10" s="3424"/>
      <c r="H10" s="3425" t="str">
        <f>IMAGE("https://raw.githubusercontent.com/msikma/pokesprite/master/items/berry/oran.png",3)</f>
        <v/>
      </c>
      <c r="I10" s="3388"/>
      <c r="J10" s="3422" t="s">
        <v>272</v>
      </c>
      <c r="K10" s="3423"/>
      <c r="L10" s="3424"/>
      <c r="M10" s="3425" t="str">
        <f>IMAGE("https://raw.githubusercontent.com/msikma/pokesprite/master/items/hold-item/life-orb.png",3)</f>
        <v/>
      </c>
      <c r="N10" s="3389"/>
      <c r="O10" s="3426" t="s">
        <v>679</v>
      </c>
      <c r="P10" s="3427"/>
      <c r="Q10" s="3428"/>
      <c r="R10" s="3429" t="s">
        <v>680</v>
      </c>
      <c r="S10" s="3390"/>
      <c r="T10" s="3376"/>
      <c r="U10" s="3377"/>
      <c r="V10" s="3377"/>
      <c r="W10" s="3378"/>
      <c r="X10" s="3390"/>
      <c r="Y10" s="3376"/>
      <c r="Z10" s="3377"/>
      <c r="AA10" s="3377"/>
      <c r="AB10" s="3378"/>
      <c r="AC10" s="3390"/>
      <c r="AD10" s="3376"/>
      <c r="AE10" s="3377"/>
      <c r="AF10" s="3377"/>
      <c r="AG10" s="3378"/>
      <c r="AH10" s="3379"/>
      <c r="AI10" s="3380"/>
    </row>
    <row r="11" ht="20.25" customHeight="1">
      <c r="A11" s="3368"/>
      <c r="B11" s="3369"/>
      <c r="C11" s="3430"/>
      <c r="D11" s="3371"/>
      <c r="E11" s="3416" t="s">
        <v>721</v>
      </c>
      <c r="F11" s="3417"/>
      <c r="G11" s="3431"/>
      <c r="H11" s="3432" t="str">
        <f>IMAGE("https://raw.githubusercontent.com/msikma/pokesprite/master/misc/types/gen8/fighting.png",4,20,20)</f>
        <v/>
      </c>
      <c r="I11" s="3388"/>
      <c r="J11" s="3416" t="s">
        <v>982</v>
      </c>
      <c r="K11" s="3417"/>
      <c r="L11" s="3431"/>
      <c r="M11" s="3432" t="str">
        <f>IMAGE("https://raw.githubusercontent.com/msikma/pokesprite/master/misc/types/gen8/normal.png",4,20,20)</f>
        <v/>
      </c>
      <c r="N11" s="3389"/>
      <c r="O11" s="3433" t="s">
        <v>983</v>
      </c>
      <c r="P11" s="3434"/>
      <c r="Q11" s="3435"/>
      <c r="R11" s="3436" t="str">
        <f t="shared" ref="R11:R14" si="1">IMAGE("https://raw.githubusercontent.com/msikma/pokesprite/master/misc/types/gen8/normal.png",4,20,20)</f>
        <v/>
      </c>
      <c r="S11" s="3390"/>
      <c r="T11" s="3376"/>
      <c r="U11" s="3377"/>
      <c r="V11" s="3377"/>
      <c r="W11" s="3378"/>
      <c r="X11" s="3390"/>
      <c r="Y11" s="3376"/>
      <c r="Z11" s="3377"/>
      <c r="AA11" s="3377"/>
      <c r="AB11" s="3378"/>
      <c r="AC11" s="3390"/>
      <c r="AD11" s="3376"/>
      <c r="AE11" s="3377"/>
      <c r="AF11" s="3377"/>
      <c r="AG11" s="3378"/>
      <c r="AH11" s="3379"/>
      <c r="AI11" s="3380"/>
    </row>
    <row r="12" ht="20.25" customHeight="1">
      <c r="A12" s="3368"/>
      <c r="B12" s="3369"/>
      <c r="C12" s="3437"/>
      <c r="D12" s="3371"/>
      <c r="E12" s="3420" t="s">
        <v>681</v>
      </c>
      <c r="F12" s="3377"/>
      <c r="G12" s="3378"/>
      <c r="H12" s="3438" t="str">
        <f>IMAGE("https://raw.githubusercontent.com/msikma/pokesprite/master/misc/types/gen8/normal.png",4,20,20)</f>
        <v/>
      </c>
      <c r="I12" s="3388"/>
      <c r="J12" s="3420" t="s">
        <v>188</v>
      </c>
      <c r="K12" s="3377"/>
      <c r="L12" s="3377"/>
      <c r="M12" s="3421"/>
      <c r="N12" s="3389"/>
      <c r="O12" s="3420" t="s">
        <v>187</v>
      </c>
      <c r="P12" s="3377"/>
      <c r="Q12" s="3378"/>
      <c r="R12" s="3438" t="str">
        <f t="shared" si="1"/>
        <v/>
      </c>
      <c r="S12" s="3390"/>
      <c r="T12" s="3376"/>
      <c r="U12" s="3377"/>
      <c r="V12" s="3377"/>
      <c r="W12" s="3378"/>
      <c r="X12" s="3390"/>
      <c r="Y12" s="3376"/>
      <c r="Z12" s="3377"/>
      <c r="AA12" s="3377"/>
      <c r="AB12" s="3378"/>
      <c r="AC12" s="3390"/>
      <c r="AD12" s="3376"/>
      <c r="AE12" s="3377"/>
      <c r="AF12" s="3377"/>
      <c r="AG12" s="3378"/>
      <c r="AH12" s="3379"/>
      <c r="AI12" s="3380"/>
    </row>
    <row r="13" ht="20.25" customHeight="1">
      <c r="A13" s="3368"/>
      <c r="B13" s="3369"/>
      <c r="C13" s="3437"/>
      <c r="D13" s="3371"/>
      <c r="E13" s="3420" t="s">
        <v>504</v>
      </c>
      <c r="F13" s="3377"/>
      <c r="G13" s="3378"/>
      <c r="H13" s="3438" t="str">
        <f>IMAGE("https://raw.githubusercontent.com/msikma/pokesprite/master/misc/types/gen8/flying.png",4,20,20)</f>
        <v/>
      </c>
      <c r="I13" s="3388"/>
      <c r="J13" s="3420" t="s">
        <v>188</v>
      </c>
      <c r="K13" s="3377"/>
      <c r="L13" s="3377"/>
      <c r="M13" s="3421"/>
      <c r="N13" s="3389"/>
      <c r="O13" s="3420" t="s">
        <v>984</v>
      </c>
      <c r="P13" s="3377"/>
      <c r="Q13" s="3378"/>
      <c r="R13" s="3438" t="str">
        <f t="shared" si="1"/>
        <v/>
      </c>
      <c r="S13" s="3390"/>
      <c r="T13" s="3376"/>
      <c r="U13" s="3377"/>
      <c r="V13" s="3377"/>
      <c r="W13" s="3378"/>
      <c r="X13" s="3390"/>
      <c r="Y13" s="3376"/>
      <c r="Z13" s="3377"/>
      <c r="AA13" s="3377"/>
      <c r="AB13" s="3378"/>
      <c r="AC13" s="3390"/>
      <c r="AD13" s="3376"/>
      <c r="AE13" s="3377"/>
      <c r="AF13" s="3377"/>
      <c r="AG13" s="3378"/>
      <c r="AH13" s="3379"/>
      <c r="AI13" s="3380"/>
    </row>
    <row r="14" ht="21.0" customHeight="1">
      <c r="A14" s="3368"/>
      <c r="B14" s="3369"/>
      <c r="C14" s="3437"/>
      <c r="D14" s="3371"/>
      <c r="E14" s="3439" t="s">
        <v>188</v>
      </c>
      <c r="F14" s="3440"/>
      <c r="G14" s="3440"/>
      <c r="H14" s="3441"/>
      <c r="I14" s="3442"/>
      <c r="J14" s="3439" t="s">
        <v>188</v>
      </c>
      <c r="K14" s="3440"/>
      <c r="L14" s="3440"/>
      <c r="M14" s="3441"/>
      <c r="N14" s="3435"/>
      <c r="O14" s="3439" t="s">
        <v>985</v>
      </c>
      <c r="P14" s="3440"/>
      <c r="Q14" s="3443"/>
      <c r="R14" s="3444" t="str">
        <f t="shared" si="1"/>
        <v/>
      </c>
      <c r="S14" s="3430"/>
      <c r="T14" s="3376"/>
      <c r="U14" s="3377"/>
      <c r="V14" s="3377"/>
      <c r="W14" s="3378"/>
      <c r="X14" s="3430"/>
      <c r="Y14" s="3376"/>
      <c r="Z14" s="3377"/>
      <c r="AA14" s="3377"/>
      <c r="AB14" s="3378"/>
      <c r="AC14" s="3430"/>
      <c r="AD14" s="3376"/>
      <c r="AE14" s="3377"/>
      <c r="AF14" s="3377"/>
      <c r="AG14" s="3378"/>
      <c r="AH14" s="3379"/>
      <c r="AI14" s="3380"/>
    </row>
    <row r="15" ht="3.0" customHeight="1">
      <c r="A15" s="3445"/>
      <c r="B15" s="3446"/>
      <c r="C15" s="3447"/>
      <c r="D15" s="3448"/>
      <c r="E15" s="3449"/>
      <c r="F15" s="3449"/>
      <c r="G15" s="3449"/>
      <c r="H15" s="3449"/>
      <c r="I15" s="3448"/>
      <c r="J15" s="3450"/>
      <c r="K15" s="3450"/>
      <c r="L15" s="3450"/>
      <c r="M15" s="3451"/>
      <c r="N15" s="3448"/>
      <c r="O15" s="3452"/>
      <c r="P15" s="3452"/>
      <c r="Q15" s="3452"/>
      <c r="R15" s="3449"/>
      <c r="S15" s="3449"/>
      <c r="T15" s="3449"/>
      <c r="U15" s="3449"/>
      <c r="V15" s="3449"/>
      <c r="W15" s="3449"/>
      <c r="X15" s="3448"/>
      <c r="Y15" s="3448"/>
      <c r="Z15" s="3453"/>
      <c r="AA15" s="3453"/>
      <c r="AB15" s="3454"/>
      <c r="AC15" s="3454"/>
      <c r="AD15" s="3454"/>
      <c r="AE15" s="3454"/>
      <c r="AF15" s="3454"/>
      <c r="AG15" s="3454"/>
      <c r="AH15" s="3455"/>
      <c r="AI15" s="3456"/>
    </row>
    <row r="16" ht="16.5" customHeight="1">
      <c r="A16" s="3457"/>
      <c r="B16" s="3458"/>
      <c r="C16" s="3447"/>
      <c r="D16" s="3459"/>
      <c r="E16" s="3460" t="s">
        <v>190</v>
      </c>
      <c r="F16" s="381"/>
      <c r="G16" s="382"/>
      <c r="H16" s="3461" t="s">
        <v>191</v>
      </c>
      <c r="I16" s="3462"/>
      <c r="J16" s="3460" t="s">
        <v>190</v>
      </c>
      <c r="K16" s="381"/>
      <c r="L16" s="382"/>
      <c r="M16" s="3461" t="s">
        <v>191</v>
      </c>
      <c r="N16" s="3462"/>
      <c r="O16" s="3460" t="s">
        <v>190</v>
      </c>
      <c r="P16" s="381"/>
      <c r="Q16" s="382"/>
      <c r="R16" s="3461" t="s">
        <v>191</v>
      </c>
      <c r="S16" s="3463"/>
      <c r="T16" s="3459"/>
      <c r="U16" s="3459"/>
      <c r="V16" s="3464"/>
      <c r="W16" s="3464"/>
      <c r="X16" s="3464"/>
      <c r="Y16" s="3464"/>
      <c r="Z16" s="3459"/>
      <c r="AA16" s="3459"/>
      <c r="AB16" s="3464"/>
      <c r="AC16" s="3464"/>
      <c r="AD16" s="3464"/>
      <c r="AE16" s="3464"/>
      <c r="AF16" s="3464"/>
      <c r="AG16" s="3464"/>
      <c r="AH16" s="3465"/>
      <c r="AI16" s="3466"/>
    </row>
    <row r="17" ht="16.5" customHeight="1">
      <c r="A17" s="3457"/>
      <c r="B17" s="3458"/>
      <c r="C17" s="3447"/>
      <c r="D17" s="3459"/>
      <c r="E17" s="3467" t="s">
        <v>192</v>
      </c>
      <c r="F17" s="3468">
        <f t="array" ref="F17">IFERROR(VLOOKUP(E4,Dex!$B$3:$N1022,8,FALSE),"")</f>
        <v>70</v>
      </c>
      <c r="G17" s="3469" t="str">
        <f t="array" ref="G17">IFERROR(VLOOKUP(F17,Dex!$P$22:$Q$276,2,FALSE),"")</f>
        <v/>
      </c>
      <c r="H17" s="3470"/>
      <c r="I17" s="3471"/>
      <c r="J17" s="3467" t="s">
        <v>192</v>
      </c>
      <c r="K17" s="3468">
        <f t="array" ref="K17">IFERROR(VLOOKUP(J4,Dex!$B$3:$N1022,8,FALSE),"")</f>
        <v>70</v>
      </c>
      <c r="L17" s="3469" t="str">
        <f t="array" ref="L17">IFERROR(VLOOKUP(K17,Dex!$P$22:$Q$276,2,FALSE),"")</f>
        <v/>
      </c>
      <c r="M17" s="3470"/>
      <c r="N17" s="3471"/>
      <c r="O17" s="3467" t="s">
        <v>192</v>
      </c>
      <c r="P17" s="3468">
        <f t="array" ref="P17">IFERROR(VLOOKUP(O4,Dex!$B$3:$N1022,8,FALSE),"")</f>
        <v>103</v>
      </c>
      <c r="Q17" s="3469" t="str">
        <f t="array" ref="Q17">IFERROR(VLOOKUP(P17,Dex!$P$22:$Q$276,2,FALSE),"")</f>
        <v/>
      </c>
      <c r="R17" s="3470"/>
      <c r="S17" s="3471"/>
      <c r="T17" s="3459"/>
      <c r="U17" s="3459"/>
      <c r="V17" s="3464"/>
      <c r="W17" s="3464"/>
      <c r="X17" s="3464"/>
      <c r="Y17" s="3464"/>
      <c r="Z17" s="3459"/>
      <c r="AA17" s="3459"/>
      <c r="AB17" s="3464"/>
      <c r="AC17" s="3464"/>
      <c r="AD17" s="3464"/>
      <c r="AE17" s="3464"/>
      <c r="AF17" s="3464"/>
      <c r="AG17" s="3464"/>
      <c r="AH17" s="3465"/>
      <c r="AI17" s="3466"/>
    </row>
    <row r="18" ht="16.5" customHeight="1">
      <c r="A18" s="3457"/>
      <c r="B18" s="3458"/>
      <c r="C18" s="3447"/>
      <c r="D18" s="3459"/>
      <c r="E18" s="3472" t="s">
        <v>193</v>
      </c>
      <c r="F18" s="3473">
        <f t="array" ref="F18">IFERROR(VLOOKUP(E4,Dex!$B$3:$N1022,9,FALSE),"")</f>
        <v>75</v>
      </c>
      <c r="G18" s="3474" t="str">
        <f t="array" ref="G18">IFERROR(VLOOKUP(F18,Dex!$P$22:$Q$276,2,FALSE),"")</f>
        <v/>
      </c>
      <c r="H18" s="3475"/>
      <c r="I18" s="3471"/>
      <c r="J18" s="3472" t="s">
        <v>193</v>
      </c>
      <c r="K18" s="3473">
        <f t="array" ref="K18">IFERROR(VLOOKUP(J4,Dex!$B$3:$N1022,9,FALSE),"")</f>
        <v>45</v>
      </c>
      <c r="L18" s="3474" t="str">
        <f t="array" ref="L18">IFERROR(VLOOKUP(K18,Dex!$P$22:$Q$276,2,FALSE),"")</f>
        <v/>
      </c>
      <c r="M18" s="3475"/>
      <c r="N18" s="3471"/>
      <c r="O18" s="3472" t="s">
        <v>193</v>
      </c>
      <c r="P18" s="3473">
        <f t="array" ref="P18">IFERROR(VLOOKUP(O4,Dex!$B$3:$N1022,9,FALSE),"")</f>
        <v>60</v>
      </c>
      <c r="Q18" s="3474" t="str">
        <f t="array" ref="Q18">IFERROR(VLOOKUP(P18,Dex!$P$22:$Q$276,2,FALSE),"")</f>
        <v/>
      </c>
      <c r="R18" s="3475"/>
      <c r="S18" s="3471"/>
      <c r="T18" s="3459"/>
      <c r="U18" s="3459"/>
      <c r="V18" s="3464"/>
      <c r="W18" s="3464"/>
      <c r="X18" s="3464"/>
      <c r="Y18" s="3464"/>
      <c r="Z18" s="3459"/>
      <c r="AA18" s="3459"/>
      <c r="AB18" s="3464"/>
      <c r="AC18" s="3464"/>
      <c r="AD18" s="3464"/>
      <c r="AE18" s="3464"/>
      <c r="AF18" s="3464"/>
      <c r="AG18" s="3464"/>
      <c r="AH18" s="3465"/>
      <c r="AI18" s="3466"/>
    </row>
    <row r="19" ht="16.5" customHeight="1">
      <c r="A19" s="3457"/>
      <c r="B19" s="3458"/>
      <c r="C19" s="3447"/>
      <c r="D19" s="3459"/>
      <c r="E19" s="3472" t="s">
        <v>194</v>
      </c>
      <c r="F19" s="3473">
        <f t="array" ref="F19">IFERROR(VLOOKUP(E4,Dex!$B$3:$N1022,10,FALSE),"")</f>
        <v>50</v>
      </c>
      <c r="G19" s="3474" t="str">
        <f t="array" ref="G19">IFERROR(VLOOKUP(F19,Dex!$P$22:$Q$276,2,FALSE),"")</f>
        <v/>
      </c>
      <c r="H19" s="3475"/>
      <c r="I19" s="3471"/>
      <c r="J19" s="3472" t="s">
        <v>194</v>
      </c>
      <c r="K19" s="3473">
        <f t="array" ref="K19">IFERROR(VLOOKUP(J4,Dex!$B$3:$N1022,10,FALSE),"")</f>
        <v>48</v>
      </c>
      <c r="L19" s="3474" t="str">
        <f t="array" ref="L19">IFERROR(VLOOKUP(K19,Dex!$P$22:$Q$276,2,FALSE),"")</f>
        <v/>
      </c>
      <c r="M19" s="3475"/>
      <c r="N19" s="3471"/>
      <c r="O19" s="3472" t="s">
        <v>194</v>
      </c>
      <c r="P19" s="3473">
        <f t="array" ref="P19">IFERROR(VLOOKUP(O4,Dex!$B$3:$N1022,10,FALSE),"")</f>
        <v>86</v>
      </c>
      <c r="Q19" s="3474" t="str">
        <f t="array" ref="Q19">IFERROR(VLOOKUP(P19,Dex!$P$22:$Q$276,2,FALSE),"")</f>
        <v/>
      </c>
      <c r="R19" s="3475"/>
      <c r="S19" s="3471"/>
      <c r="T19" s="3459"/>
      <c r="U19" s="3459"/>
      <c r="V19" s="3464"/>
      <c r="W19" s="3464"/>
      <c r="X19" s="3464"/>
      <c r="Y19" s="3464"/>
      <c r="Z19" s="3459"/>
      <c r="AA19" s="3459"/>
      <c r="AB19" s="3464"/>
      <c r="AC19" s="3464"/>
      <c r="AD19" s="3464"/>
      <c r="AE19" s="3464"/>
      <c r="AF19" s="3464"/>
      <c r="AG19" s="3464"/>
      <c r="AH19" s="3465"/>
      <c r="AI19" s="3466"/>
    </row>
    <row r="20" ht="16.5" customHeight="1">
      <c r="A20" s="3457"/>
      <c r="B20" s="3458"/>
      <c r="C20" s="3447"/>
      <c r="D20" s="3459"/>
      <c r="E20" s="3472" t="s">
        <v>195</v>
      </c>
      <c r="F20" s="3473">
        <f t="array" ref="F20">IFERROR(VLOOKUP(E4,Dex!$B$3:$N1022,11,FALSE),"")</f>
        <v>45</v>
      </c>
      <c r="G20" s="3474" t="str">
        <f t="array" ref="G20">IFERROR(VLOOKUP(F20,Dex!$P$22:$Q$276,2,FALSE),"")</f>
        <v/>
      </c>
      <c r="H20" s="3475"/>
      <c r="I20" s="3471"/>
      <c r="J20" s="3472" t="s">
        <v>195</v>
      </c>
      <c r="K20" s="3473">
        <f t="array" ref="K20">IFERROR(VLOOKUP(J4,Dex!$B$3:$N1022,11,FALSE),"")</f>
        <v>60</v>
      </c>
      <c r="L20" s="3474" t="str">
        <f t="array" ref="L20">IFERROR(VLOOKUP(K20,Dex!$P$22:$Q$276,2,FALSE),"")</f>
        <v/>
      </c>
      <c r="M20" s="3475"/>
      <c r="N20" s="3471"/>
      <c r="O20" s="3472" t="s">
        <v>195</v>
      </c>
      <c r="P20" s="3473">
        <f t="array" ref="P20">IFERROR(VLOOKUP(O4,Dex!$B$3:$N1022,11,FALSE),"")</f>
        <v>60</v>
      </c>
      <c r="Q20" s="3474" t="str">
        <f t="array" ref="Q20">IFERROR(VLOOKUP(P20,Dex!$P$22:$Q$276,2,FALSE),"")</f>
        <v/>
      </c>
      <c r="R20" s="3475"/>
      <c r="S20" s="3471"/>
      <c r="T20" s="3459"/>
      <c r="U20" s="3459"/>
      <c r="V20" s="3464"/>
      <c r="W20" s="3464"/>
      <c r="X20" s="3464"/>
      <c r="Y20" s="3464"/>
      <c r="Z20" s="3459"/>
      <c r="AA20" s="3459"/>
      <c r="AB20" s="3464"/>
      <c r="AC20" s="3464"/>
      <c r="AD20" s="3464"/>
      <c r="AE20" s="3464"/>
      <c r="AF20" s="3464"/>
      <c r="AG20" s="3464"/>
      <c r="AH20" s="3465"/>
      <c r="AI20" s="3466"/>
    </row>
    <row r="21" ht="16.5" customHeight="1">
      <c r="A21" s="3457"/>
      <c r="B21" s="3458"/>
      <c r="C21" s="3447"/>
      <c r="D21" s="3459"/>
      <c r="E21" s="3472" t="s">
        <v>196</v>
      </c>
      <c r="F21" s="3473">
        <f t="array" ref="F21">IFERROR(VLOOKUP(E4,Dex!$B$3:$N1022,12,FALSE),"")</f>
        <v>50</v>
      </c>
      <c r="G21" s="3474" t="str">
        <f t="array" ref="G21">IFERROR(VLOOKUP(F21,Dex!$P$22:$Q$276,2,FALSE),"")</f>
        <v/>
      </c>
      <c r="H21" s="3475"/>
      <c r="I21" s="3471"/>
      <c r="J21" s="3472" t="s">
        <v>196</v>
      </c>
      <c r="K21" s="3473">
        <f t="array" ref="K21">IFERROR(VLOOKUP(J4,Dex!$B$3:$N1022,12,FALSE),"")</f>
        <v>65</v>
      </c>
      <c r="L21" s="3474" t="str">
        <f t="array" ref="L21">IFERROR(VLOOKUP(K21,Dex!$P$22:$Q$276,2,FALSE),"")</f>
        <v/>
      </c>
      <c r="M21" s="3475"/>
      <c r="N21" s="3471"/>
      <c r="O21" s="3472" t="s">
        <v>196</v>
      </c>
      <c r="P21" s="3473">
        <f t="array" ref="P21">IFERROR(VLOOKUP(O4,Dex!$B$3:$N1022,12,FALSE),"")</f>
        <v>86</v>
      </c>
      <c r="Q21" s="3474" t="str">
        <f t="array" ref="Q21">IFERROR(VLOOKUP(P21,Dex!$P$22:$Q$276,2,FALSE),"")</f>
        <v/>
      </c>
      <c r="R21" s="3475"/>
      <c r="S21" s="3471"/>
      <c r="T21" s="3459"/>
      <c r="U21" s="3459"/>
      <c r="V21" s="3464"/>
      <c r="W21" s="3464"/>
      <c r="X21" s="3464"/>
      <c r="Y21" s="3464"/>
      <c r="Z21" s="3459"/>
      <c r="AA21" s="3459"/>
      <c r="AB21" s="3464"/>
      <c r="AC21" s="3464"/>
      <c r="AD21" s="3464"/>
      <c r="AE21" s="3464"/>
      <c r="AF21" s="3464"/>
      <c r="AG21" s="3464"/>
      <c r="AH21" s="3465"/>
      <c r="AI21" s="3466"/>
    </row>
    <row r="22" ht="16.5" customHeight="1">
      <c r="A22" s="3457"/>
      <c r="B22" s="3458"/>
      <c r="C22" s="1204" t="s">
        <v>436</v>
      </c>
      <c r="D22" s="3459"/>
      <c r="E22" s="3476" t="s">
        <v>197</v>
      </c>
      <c r="F22" s="3477">
        <f t="array" ref="F22">IFERROR(VLOOKUP(E4,Dex!$B$3:$N1022,13,FALSE),"")</f>
        <v>50</v>
      </c>
      <c r="G22" s="3478" t="str">
        <f t="array" ref="G22">IFERROR(VLOOKUP(F22,Dex!$P$22:$Q$276,2,FALSE),"")</f>
        <v/>
      </c>
      <c r="H22" s="3479"/>
      <c r="I22" s="3471"/>
      <c r="J22" s="3476" t="s">
        <v>197</v>
      </c>
      <c r="K22" s="3477">
        <f t="array" ref="K22">IFERROR(VLOOKUP(J4,Dex!$B$3:$N1022,13,FALSE),"")</f>
        <v>35</v>
      </c>
      <c r="L22" s="3478" t="str">
        <f t="array" ref="L22">IFERROR(VLOOKUP(K22,Dex!$P$22:$Q$276,2,FALSE),"")</f>
        <v/>
      </c>
      <c r="M22" s="3479"/>
      <c r="N22" s="3471"/>
      <c r="O22" s="3476" t="s">
        <v>197</v>
      </c>
      <c r="P22" s="3477">
        <f t="array" ref="P22">IFERROR(VLOOKUP(O4,Dex!$B$3:$N1022,13,FALSE),"")</f>
        <v>50</v>
      </c>
      <c r="Q22" s="3478" t="str">
        <f t="array" ref="Q22">IFERROR(VLOOKUP(P22,Dex!$P$22:$Q$276,2,FALSE),"")</f>
        <v/>
      </c>
      <c r="R22" s="3479"/>
      <c r="S22" s="3471"/>
      <c r="T22" s="3459"/>
      <c r="U22" s="3459"/>
      <c r="V22" s="3464"/>
      <c r="W22" s="3464"/>
      <c r="X22" s="3464"/>
      <c r="Y22" s="3464"/>
      <c r="Z22" s="3459"/>
      <c r="AA22" s="3459"/>
      <c r="AB22" s="3464"/>
      <c r="AC22" s="3464"/>
      <c r="AD22" s="3464"/>
      <c r="AE22" s="3464"/>
      <c r="AF22" s="3464"/>
      <c r="AG22" s="3464"/>
      <c r="AH22" s="3465"/>
      <c r="AI22" s="3466"/>
    </row>
    <row r="23" ht="16.5" customHeight="1">
      <c r="A23" s="3457"/>
      <c r="B23" s="3458"/>
      <c r="C23" s="1205" t="s">
        <v>986</v>
      </c>
      <c r="D23" s="3459"/>
      <c r="E23" s="3480" t="s">
        <v>198</v>
      </c>
      <c r="F23" s="405"/>
      <c r="G23" s="406"/>
      <c r="H23" s="3481">
        <v>20.0</v>
      </c>
      <c r="I23" s="3462"/>
      <c r="J23" s="3480" t="s">
        <v>198</v>
      </c>
      <c r="K23" s="405"/>
      <c r="L23" s="406"/>
      <c r="M23" s="3481">
        <v>15.0</v>
      </c>
      <c r="N23" s="3462"/>
      <c r="O23" s="3480" t="s">
        <v>198</v>
      </c>
      <c r="P23" s="405"/>
      <c r="Q23" s="406"/>
      <c r="R23" s="3481">
        <v>20.0</v>
      </c>
      <c r="S23" s="3471"/>
      <c r="T23" s="3459"/>
      <c r="U23" s="3459"/>
      <c r="V23" s="3464"/>
      <c r="W23" s="3464"/>
      <c r="X23" s="3464"/>
      <c r="Y23" s="3464"/>
      <c r="Z23" s="3459"/>
      <c r="AA23" s="3459"/>
      <c r="AB23" s="3464"/>
      <c r="AC23" s="3464"/>
      <c r="AD23" s="3464"/>
      <c r="AE23" s="3464"/>
      <c r="AF23" s="3464"/>
      <c r="AG23" s="3464"/>
      <c r="AH23" s="3465"/>
      <c r="AI23" s="3466"/>
    </row>
    <row r="24" ht="15.0" customHeight="1">
      <c r="A24" s="3368"/>
      <c r="B24" s="3482"/>
      <c r="C24" s="3483"/>
      <c r="D24" s="3484"/>
      <c r="E24" s="3485"/>
      <c r="F24" s="3485"/>
      <c r="G24" s="3485"/>
      <c r="H24" s="3485"/>
      <c r="I24" s="3486"/>
      <c r="J24" s="3487"/>
      <c r="K24" s="3487"/>
      <c r="L24" s="3487"/>
      <c r="M24" s="3485"/>
      <c r="N24" s="3488"/>
      <c r="O24" s="3487"/>
      <c r="P24" s="3487"/>
      <c r="Q24" s="3487"/>
      <c r="R24" s="3486"/>
      <c r="S24" s="3488"/>
      <c r="T24" s="3489"/>
      <c r="U24" s="3489"/>
      <c r="V24" s="3489"/>
      <c r="W24" s="3489"/>
      <c r="X24" s="3488"/>
      <c r="Y24" s="3489"/>
      <c r="Z24" s="3489"/>
      <c r="AA24" s="3489"/>
      <c r="AB24" s="3489"/>
      <c r="AC24" s="3488"/>
      <c r="AD24" s="3489"/>
      <c r="AE24" s="3489"/>
      <c r="AF24" s="3489"/>
      <c r="AG24" s="3489"/>
      <c r="AH24" s="3490"/>
      <c r="AI24" s="3380"/>
    </row>
    <row r="25" ht="15.0" customHeight="1">
      <c r="A25" s="3361"/>
      <c r="B25" s="3491"/>
      <c r="C25" s="3492"/>
      <c r="D25" s="3493"/>
      <c r="E25" s="3494"/>
      <c r="F25" s="3494"/>
      <c r="G25" s="3494"/>
      <c r="H25" s="3494"/>
      <c r="I25" s="3493"/>
      <c r="J25" s="3494"/>
      <c r="K25" s="3494"/>
      <c r="L25" s="3494"/>
      <c r="M25" s="3494"/>
      <c r="N25" s="3493"/>
      <c r="O25" s="3493"/>
      <c r="P25" s="3493"/>
      <c r="Q25" s="3493"/>
      <c r="R25" s="3493"/>
      <c r="S25" s="3493"/>
      <c r="T25" s="3493"/>
      <c r="U25" s="3493"/>
      <c r="V25" s="3493"/>
      <c r="W25" s="3493"/>
      <c r="X25" s="3493"/>
      <c r="Y25" s="3493"/>
      <c r="Z25" s="3493"/>
      <c r="AA25" s="3493"/>
      <c r="AB25" s="3493"/>
      <c r="AC25" s="3493"/>
      <c r="AD25" s="3493"/>
      <c r="AE25" s="3493"/>
      <c r="AF25" s="3493"/>
      <c r="AG25" s="3493"/>
      <c r="AH25" s="3495"/>
      <c r="AI25" s="3367"/>
    </row>
    <row r="26" ht="96.75" customHeight="1">
      <c r="A26" s="3368"/>
      <c r="B26" s="3496"/>
      <c r="C26" s="3497" t="str">
        <f>IMAGE("https://i.ibb.co/26kF6WW/Ace-Trainer-F.png")</f>
        <v/>
      </c>
      <c r="D26" s="3498"/>
      <c r="E26" s="3499" t="str">
        <f t="array" ref="E26">IFERROR(VLOOKUP(E27,Dex!$B$3:$G1022,3,FALSE),"")</f>
        <v/>
      </c>
      <c r="F26" s="381"/>
      <c r="G26" s="381"/>
      <c r="H26" s="2531"/>
      <c r="I26" s="3500"/>
      <c r="J26" s="3499" t="str">
        <f t="array" ref="J26">IFERROR(VLOOKUP(J27,Dex!$B$3:$G1022,3,FALSE),"")</f>
        <v/>
      </c>
      <c r="K26" s="381"/>
      <c r="L26" s="381"/>
      <c r="M26" s="2531"/>
      <c r="N26" s="3501"/>
      <c r="O26" s="3502"/>
      <c r="P26" s="3503"/>
      <c r="Q26" s="3503"/>
      <c r="R26" s="3504"/>
      <c r="S26" s="3505"/>
      <c r="T26" s="3502"/>
      <c r="U26" s="3503"/>
      <c r="V26" s="3503"/>
      <c r="W26" s="3504"/>
      <c r="X26" s="3506"/>
      <c r="Y26" s="3502"/>
      <c r="Z26" s="3503"/>
      <c r="AA26" s="3503"/>
      <c r="AB26" s="3504"/>
      <c r="AC26" s="3505"/>
      <c r="AD26" s="3502"/>
      <c r="AE26" s="3503"/>
      <c r="AF26" s="3503"/>
      <c r="AG26" s="3504"/>
      <c r="AH26" s="3507"/>
      <c r="AI26" s="3380"/>
    </row>
    <row r="27" ht="18.75" customHeight="1">
      <c r="A27" s="3381"/>
      <c r="B27" s="3508"/>
      <c r="C27" s="3509" t="s">
        <v>987</v>
      </c>
      <c r="D27" s="3510"/>
      <c r="E27" s="3511" t="s">
        <v>988</v>
      </c>
      <c r="F27" s="3512"/>
      <c r="G27" s="3512"/>
      <c r="H27" s="3513"/>
      <c r="J27" s="3511" t="s">
        <v>989</v>
      </c>
      <c r="K27" s="3512"/>
      <c r="L27" s="3512"/>
      <c r="M27" s="3513"/>
      <c r="N27" s="3514"/>
      <c r="O27" s="3515"/>
      <c r="P27" s="3503"/>
      <c r="Q27" s="3503"/>
      <c r="R27" s="3504"/>
      <c r="S27" s="3516"/>
      <c r="T27" s="3515"/>
      <c r="U27" s="3503"/>
      <c r="V27" s="3503"/>
      <c r="W27" s="3504"/>
      <c r="X27" s="3516"/>
      <c r="Y27" s="3515"/>
      <c r="Z27" s="3503"/>
      <c r="AA27" s="3503"/>
      <c r="AB27" s="3504"/>
      <c r="AC27" s="3516"/>
      <c r="AD27" s="3515"/>
      <c r="AE27" s="3503"/>
      <c r="AF27" s="3503"/>
      <c r="AG27" s="3504"/>
      <c r="AH27" s="3517"/>
      <c r="AI27" s="3393"/>
    </row>
    <row r="28">
      <c r="A28" s="3394"/>
      <c r="B28" s="3518"/>
      <c r="C28" s="1481"/>
      <c r="D28" s="3519"/>
      <c r="E28" s="3520" t="s">
        <v>714</v>
      </c>
      <c r="F28" s="3521"/>
      <c r="G28" s="3521"/>
      <c r="H28" s="3522"/>
      <c r="J28" s="3520" t="s">
        <v>714</v>
      </c>
      <c r="K28" s="3521"/>
      <c r="L28" s="3521"/>
      <c r="M28" s="3522"/>
      <c r="N28" s="3514"/>
      <c r="O28" s="3523"/>
      <c r="P28" s="3503"/>
      <c r="Q28" s="3503"/>
      <c r="R28" s="3504"/>
      <c r="S28" s="3516"/>
      <c r="T28" s="3523"/>
      <c r="U28" s="3503"/>
      <c r="V28" s="3503"/>
      <c r="W28" s="3504"/>
      <c r="X28" s="3516"/>
      <c r="Y28" s="3523"/>
      <c r="Z28" s="3503"/>
      <c r="AA28" s="3503"/>
      <c r="AB28" s="3504"/>
      <c r="AC28" s="3516"/>
      <c r="AD28" s="3523"/>
      <c r="AE28" s="3503"/>
      <c r="AF28" s="3503"/>
      <c r="AG28" s="3504"/>
      <c r="AH28" s="3524"/>
      <c r="AI28" s="3402"/>
    </row>
    <row r="29" ht="25.5" customHeight="1">
      <c r="A29" s="3368"/>
      <c r="B29" s="3496"/>
      <c r="C29" s="1489"/>
      <c r="D29" s="3498"/>
      <c r="E29" s="3525"/>
      <c r="F29" s="3526" t="str">
        <f t="array" ref="F29">IFERROR(VLOOKUP(E27,Dex!$B$3:$H1022,5,FALSE),"")</f>
        <v/>
      </c>
      <c r="G29" s="3527"/>
      <c r="H29" s="3528"/>
      <c r="J29" s="3525"/>
      <c r="K29" s="3526" t="str">
        <f t="array" ref="K29">IFERROR(VLOOKUP(J27,Dex!$B$3:$H1022,5,FALSE),"")</f>
        <v/>
      </c>
      <c r="L29" s="3527"/>
      <c r="M29" s="3528"/>
      <c r="N29" s="3514"/>
      <c r="O29" s="3502"/>
      <c r="P29" s="3503"/>
      <c r="Q29" s="3503"/>
      <c r="R29" s="3504"/>
      <c r="S29" s="3516"/>
      <c r="T29" s="3502"/>
      <c r="U29" s="3503"/>
      <c r="V29" s="3503"/>
      <c r="W29" s="3504"/>
      <c r="X29" s="3516"/>
      <c r="Y29" s="3502"/>
      <c r="Z29" s="3503"/>
      <c r="AA29" s="3503"/>
      <c r="AB29" s="3504"/>
      <c r="AC29" s="3516"/>
      <c r="AD29" s="3502"/>
      <c r="AE29" s="3503"/>
      <c r="AF29" s="3503"/>
      <c r="AG29" s="3504"/>
      <c r="AH29" s="3507"/>
      <c r="AI29" s="3380"/>
    </row>
    <row r="30" ht="2.25" customHeight="1">
      <c r="A30" s="3368"/>
      <c r="B30" s="3496"/>
      <c r="C30" s="3529"/>
      <c r="D30" s="3498"/>
      <c r="E30" s="3530"/>
      <c r="F30" s="3531"/>
      <c r="G30" s="3531"/>
      <c r="H30" s="3532"/>
      <c r="J30" s="3530"/>
      <c r="K30" s="3531"/>
      <c r="L30" s="3531"/>
      <c r="M30" s="3532"/>
      <c r="N30" s="3514"/>
      <c r="O30" s="3533"/>
      <c r="P30" s="3533"/>
      <c r="Q30" s="3533"/>
      <c r="R30" s="3533"/>
      <c r="S30" s="3516"/>
      <c r="T30" s="3533"/>
      <c r="U30" s="3533"/>
      <c r="V30" s="3533"/>
      <c r="W30" s="3533"/>
      <c r="X30" s="3516"/>
      <c r="Y30" s="3533"/>
      <c r="Z30" s="3533"/>
      <c r="AA30" s="3533"/>
      <c r="AB30" s="3533"/>
      <c r="AC30" s="3516"/>
      <c r="AD30" s="3533"/>
      <c r="AE30" s="3533"/>
      <c r="AF30" s="3533"/>
      <c r="AG30" s="3533"/>
      <c r="AH30" s="3507"/>
      <c r="AI30" s="3380"/>
    </row>
    <row r="31" ht="20.25" customHeight="1">
      <c r="A31" s="3368"/>
      <c r="B31" s="3496"/>
      <c r="C31" s="3529"/>
      <c r="D31" s="3498"/>
      <c r="E31" s="3534" t="s">
        <v>171</v>
      </c>
      <c r="F31" s="3535"/>
      <c r="G31" s="3535"/>
      <c r="H31" s="3536"/>
      <c r="J31" s="3534" t="s">
        <v>171</v>
      </c>
      <c r="K31" s="3535"/>
      <c r="L31" s="3535"/>
      <c r="M31" s="3536"/>
      <c r="N31" s="3514"/>
      <c r="O31" s="3502"/>
      <c r="P31" s="3503"/>
      <c r="Q31" s="3503"/>
      <c r="R31" s="3504"/>
      <c r="S31" s="3516"/>
      <c r="T31" s="3502"/>
      <c r="U31" s="3503"/>
      <c r="V31" s="3503"/>
      <c r="W31" s="3504"/>
      <c r="X31" s="3516"/>
      <c r="Y31" s="3502"/>
      <c r="Z31" s="3503"/>
      <c r="AA31" s="3503"/>
      <c r="AB31" s="3504"/>
      <c r="AC31" s="3516"/>
      <c r="AD31" s="3502"/>
      <c r="AE31" s="3503"/>
      <c r="AF31" s="3503"/>
      <c r="AG31" s="3504"/>
      <c r="AH31" s="3507"/>
      <c r="AI31" s="3380"/>
    </row>
    <row r="32" ht="20.25" customHeight="1">
      <c r="A32" s="3368"/>
      <c r="B32" s="3496"/>
      <c r="C32" s="3537"/>
      <c r="D32" s="3498"/>
      <c r="E32" s="3538" t="s">
        <v>990</v>
      </c>
      <c r="F32" s="3503"/>
      <c r="G32" s="3503"/>
      <c r="H32" s="3539"/>
      <c r="J32" s="3538" t="s">
        <v>845</v>
      </c>
      <c r="K32" s="3503"/>
      <c r="L32" s="3503"/>
      <c r="M32" s="3539"/>
      <c r="N32" s="3514"/>
      <c r="O32" s="3502"/>
      <c r="P32" s="3503"/>
      <c r="Q32" s="3503"/>
      <c r="R32" s="3504"/>
      <c r="S32" s="3516"/>
      <c r="T32" s="3502"/>
      <c r="U32" s="3503"/>
      <c r="V32" s="3503"/>
      <c r="W32" s="3504"/>
      <c r="X32" s="3516"/>
      <c r="Y32" s="3502"/>
      <c r="Z32" s="3503"/>
      <c r="AA32" s="3503"/>
      <c r="AB32" s="3504"/>
      <c r="AC32" s="3516"/>
      <c r="AD32" s="3502"/>
      <c r="AE32" s="3503"/>
      <c r="AF32" s="3503"/>
      <c r="AG32" s="3504"/>
      <c r="AH32" s="3507"/>
      <c r="AI32" s="3380"/>
    </row>
    <row r="33" ht="20.25" customHeight="1">
      <c r="A33" s="3368"/>
      <c r="B33" s="3496"/>
      <c r="C33" s="3516"/>
      <c r="D33" s="3498"/>
      <c r="E33" s="3540" t="s">
        <v>178</v>
      </c>
      <c r="F33" s="3541"/>
      <c r="G33" s="3542"/>
      <c r="H33" s="3543" t="str">
        <f>IMAGE("https://raw.githubusercontent.com/msikma/pokesprite/master/items/medicine/berry-juice.png",3)</f>
        <v/>
      </c>
      <c r="J33" s="3540" t="s">
        <v>214</v>
      </c>
      <c r="K33" s="3541"/>
      <c r="L33" s="3542"/>
      <c r="M33" s="3543" t="str">
        <f>IMAGE("https://raw.githubusercontent.com/msikma/pokesprite/master/items/berry/iapapa.png",3)</f>
        <v/>
      </c>
      <c r="N33" s="3514"/>
      <c r="O33" s="3502"/>
      <c r="P33" s="3503"/>
      <c r="Q33" s="3503"/>
      <c r="R33" s="3504"/>
      <c r="S33" s="3516"/>
      <c r="T33" s="3502"/>
      <c r="U33" s="3503"/>
      <c r="V33" s="3503"/>
      <c r="W33" s="3504"/>
      <c r="X33" s="3516"/>
      <c r="Y33" s="3502"/>
      <c r="Z33" s="3503"/>
      <c r="AA33" s="3503"/>
      <c r="AB33" s="3504"/>
      <c r="AC33" s="3516"/>
      <c r="AD33" s="3502"/>
      <c r="AE33" s="3503"/>
      <c r="AF33" s="3503"/>
      <c r="AG33" s="3504"/>
      <c r="AH33" s="3507"/>
      <c r="AI33" s="3380"/>
    </row>
    <row r="34" ht="20.25" customHeight="1">
      <c r="A34" s="3368"/>
      <c r="B34" s="3496"/>
      <c r="C34" s="3544"/>
      <c r="D34" s="3498"/>
      <c r="E34" s="3534" t="s">
        <v>991</v>
      </c>
      <c r="F34" s="3535"/>
      <c r="G34" s="3545"/>
      <c r="H34" s="3546" t="str">
        <f>IMAGE("https://raw.githubusercontent.com/msikma/pokesprite/master/misc/types/gen8/fire.png",4,20,20)</f>
        <v/>
      </c>
      <c r="J34" s="3534" t="s">
        <v>992</v>
      </c>
      <c r="K34" s="3535"/>
      <c r="L34" s="3545"/>
      <c r="M34" s="3546" t="str">
        <f t="shared" ref="M34:M35" si="2">IMAGE("https://raw.githubusercontent.com/msikma/pokesprite/master/misc/types/gen8/poison.png",4,20,20)</f>
        <v/>
      </c>
      <c r="N34" s="3514"/>
      <c r="O34" s="3502"/>
      <c r="P34" s="3503"/>
      <c r="Q34" s="3503"/>
      <c r="R34" s="3504"/>
      <c r="S34" s="3516"/>
      <c r="T34" s="3502"/>
      <c r="U34" s="3503"/>
      <c r="V34" s="3503"/>
      <c r="W34" s="3504"/>
      <c r="X34" s="3516"/>
      <c r="Y34" s="3502"/>
      <c r="Z34" s="3503"/>
      <c r="AA34" s="3503"/>
      <c r="AB34" s="3504"/>
      <c r="AC34" s="3516"/>
      <c r="AD34" s="3502"/>
      <c r="AE34" s="3503"/>
      <c r="AF34" s="3503"/>
      <c r="AG34" s="3504"/>
      <c r="AH34" s="3507"/>
      <c r="AI34" s="3380"/>
    </row>
    <row r="35" ht="20.25" customHeight="1">
      <c r="A35" s="3368"/>
      <c r="B35" s="3496"/>
      <c r="C35" s="3529"/>
      <c r="D35" s="3498"/>
      <c r="E35" s="3538" t="s">
        <v>993</v>
      </c>
      <c r="F35" s="3503"/>
      <c r="G35" s="3504"/>
      <c r="H35" s="3547" t="str">
        <f>IMAGE("https://raw.githubusercontent.com/msikma/pokesprite/master/misc/types/gen8/ghost.png",4,20,20)</f>
        <v/>
      </c>
      <c r="J35" s="3538" t="s">
        <v>727</v>
      </c>
      <c r="K35" s="3503"/>
      <c r="L35" s="3504"/>
      <c r="M35" s="3547" t="str">
        <f t="shared" si="2"/>
        <v/>
      </c>
      <c r="N35" s="3514"/>
      <c r="O35" s="3502"/>
      <c r="P35" s="3503"/>
      <c r="Q35" s="3503"/>
      <c r="R35" s="3504"/>
      <c r="S35" s="3516"/>
      <c r="T35" s="3502"/>
      <c r="U35" s="3503"/>
      <c r="V35" s="3503"/>
      <c r="W35" s="3504"/>
      <c r="X35" s="3516"/>
      <c r="Y35" s="3502"/>
      <c r="Z35" s="3503"/>
      <c r="AA35" s="3503"/>
      <c r="AB35" s="3504"/>
      <c r="AC35" s="3516"/>
      <c r="AD35" s="3502"/>
      <c r="AE35" s="3503"/>
      <c r="AF35" s="3503"/>
      <c r="AG35" s="3504"/>
      <c r="AH35" s="3507"/>
      <c r="AI35" s="3380"/>
    </row>
    <row r="36" ht="20.25" customHeight="1">
      <c r="A36" s="3368"/>
      <c r="B36" s="3496"/>
      <c r="C36" s="3529"/>
      <c r="D36" s="3498"/>
      <c r="E36" s="3538" t="s">
        <v>492</v>
      </c>
      <c r="F36" s="3503"/>
      <c r="G36" s="3504"/>
      <c r="H36" s="3547" t="str">
        <f>IMAGE("https://raw.githubusercontent.com/msikma/pokesprite/master/misc/types/gen8/fire.png",4,20,20)</f>
        <v/>
      </c>
      <c r="J36" s="3538" t="s">
        <v>770</v>
      </c>
      <c r="K36" s="3503"/>
      <c r="L36" s="3504"/>
      <c r="M36" s="3547" t="str">
        <f>IMAGE("https://raw.githubusercontent.com/msikma/pokesprite/master/misc/types/gen8/grass.png",4,20,20)</f>
        <v/>
      </c>
      <c r="N36" s="3514"/>
      <c r="O36" s="3502"/>
      <c r="P36" s="3503"/>
      <c r="Q36" s="3503"/>
      <c r="R36" s="3504"/>
      <c r="S36" s="3516"/>
      <c r="T36" s="3502"/>
      <c r="U36" s="3503"/>
      <c r="V36" s="3503"/>
      <c r="W36" s="3504"/>
      <c r="X36" s="3516"/>
      <c r="Y36" s="3502"/>
      <c r="Z36" s="3503"/>
      <c r="AA36" s="3503"/>
      <c r="AB36" s="3504"/>
      <c r="AC36" s="3516"/>
      <c r="AD36" s="3502"/>
      <c r="AE36" s="3503"/>
      <c r="AF36" s="3503"/>
      <c r="AG36" s="3504"/>
      <c r="AH36" s="3507"/>
      <c r="AI36" s="3380"/>
    </row>
    <row r="37" ht="21.0" customHeight="1">
      <c r="A37" s="3368"/>
      <c r="B37" s="3496"/>
      <c r="C37" s="3529"/>
      <c r="D37" s="3498"/>
      <c r="E37" s="3548" t="s">
        <v>994</v>
      </c>
      <c r="F37" s="3549"/>
      <c r="G37" s="3550"/>
      <c r="H37" s="3551" t="str">
        <f>IMAGE("https://raw.githubusercontent.com/msikma/pokesprite/master/misc/types/gen8/poison.png",4,20,20)</f>
        <v/>
      </c>
      <c r="I37" s="3552"/>
      <c r="J37" s="3548" t="s">
        <v>185</v>
      </c>
      <c r="K37" s="3549"/>
      <c r="L37" s="3550"/>
      <c r="M37" s="3551" t="str">
        <f>IMAGE("https://raw.githubusercontent.com/msikma/pokesprite/master/misc/types/gen8/normal.png",4,20,20)</f>
        <v/>
      </c>
      <c r="N37" s="3553"/>
      <c r="O37" s="3502"/>
      <c r="P37" s="3503"/>
      <c r="Q37" s="3503"/>
      <c r="R37" s="3504"/>
      <c r="S37" s="3544"/>
      <c r="T37" s="3502"/>
      <c r="U37" s="3503"/>
      <c r="V37" s="3503"/>
      <c r="W37" s="3504"/>
      <c r="X37" s="3544"/>
      <c r="Y37" s="3502"/>
      <c r="Z37" s="3503"/>
      <c r="AA37" s="3503"/>
      <c r="AB37" s="3504"/>
      <c r="AC37" s="3544"/>
      <c r="AD37" s="3502"/>
      <c r="AE37" s="3503"/>
      <c r="AF37" s="3503"/>
      <c r="AG37" s="3504"/>
      <c r="AH37" s="3507"/>
      <c r="AI37" s="3380"/>
    </row>
    <row r="38" ht="3.0" customHeight="1">
      <c r="A38" s="3445"/>
      <c r="B38" s="3554"/>
      <c r="C38" s="3555"/>
      <c r="D38" s="3556"/>
      <c r="E38" s="3557"/>
      <c r="F38" s="3557"/>
      <c r="G38" s="3557"/>
      <c r="H38" s="3557"/>
      <c r="I38" s="3556"/>
      <c r="J38" s="3558"/>
      <c r="K38" s="3558"/>
      <c r="L38" s="3558"/>
      <c r="M38" s="3557"/>
      <c r="N38" s="3556"/>
      <c r="O38" s="3559"/>
      <c r="P38" s="3559"/>
      <c r="Q38" s="3559"/>
      <c r="R38" s="3559"/>
      <c r="S38" s="3559"/>
      <c r="T38" s="3559"/>
      <c r="U38" s="3559"/>
      <c r="V38" s="3559"/>
      <c r="W38" s="3559"/>
      <c r="X38" s="3556"/>
      <c r="Y38" s="3556"/>
      <c r="Z38" s="3560"/>
      <c r="AA38" s="3560"/>
      <c r="AB38" s="3561"/>
      <c r="AC38" s="3561"/>
      <c r="AD38" s="3561"/>
      <c r="AE38" s="3561"/>
      <c r="AF38" s="3561"/>
      <c r="AG38" s="3561"/>
      <c r="AH38" s="3562"/>
      <c r="AI38" s="3456"/>
    </row>
    <row r="39" ht="16.5" customHeight="1">
      <c r="A39" s="3457"/>
      <c r="B39" s="3563"/>
      <c r="C39" s="3555"/>
      <c r="D39" s="3564"/>
      <c r="E39" s="3565" t="s">
        <v>190</v>
      </c>
      <c r="F39" s="381"/>
      <c r="G39" s="382"/>
      <c r="H39" s="3566" t="s">
        <v>191</v>
      </c>
      <c r="I39" s="3567"/>
      <c r="J39" s="3565" t="s">
        <v>190</v>
      </c>
      <c r="K39" s="381"/>
      <c r="L39" s="382"/>
      <c r="M39" s="3566" t="s">
        <v>191</v>
      </c>
      <c r="N39" s="3564"/>
      <c r="O39" s="3559"/>
      <c r="P39" s="3559"/>
      <c r="Q39" s="3559"/>
      <c r="R39" s="3559"/>
      <c r="S39" s="3556"/>
      <c r="T39" s="3556"/>
      <c r="U39" s="3568"/>
      <c r="V39" s="3569"/>
      <c r="W39" s="3569"/>
      <c r="X39" s="3569"/>
      <c r="Y39" s="3569"/>
      <c r="Z39" s="3564"/>
      <c r="AA39" s="3564"/>
      <c r="AB39" s="3569"/>
      <c r="AC39" s="3569"/>
      <c r="AD39" s="3569"/>
      <c r="AE39" s="3569"/>
      <c r="AF39" s="3569"/>
      <c r="AG39" s="3569"/>
      <c r="AH39" s="3570"/>
      <c r="AI39" s="3466"/>
    </row>
    <row r="40" ht="16.5" customHeight="1">
      <c r="A40" s="3457"/>
      <c r="B40" s="3563"/>
      <c r="C40" s="3555"/>
      <c r="D40" s="3564"/>
      <c r="E40" s="3571" t="s">
        <v>192</v>
      </c>
      <c r="F40" s="3572">
        <f t="array" ref="F40">IFERROR(VLOOKUP(E27,Dex!$B$3:$N1022,8,FALSE),"")</f>
        <v>40</v>
      </c>
      <c r="G40" s="3573" t="str">
        <f t="array" ref="G40">IFERROR(VLOOKUP(F40,Dex!$P$22:$Q$276,2,FALSE),"")</f>
        <v/>
      </c>
      <c r="H40" s="3574"/>
      <c r="I40" s="3575"/>
      <c r="J40" s="3571" t="s">
        <v>192</v>
      </c>
      <c r="K40" s="3572">
        <f t="array" ref="K40">IFERROR(VLOOKUP(J27,Dex!$B$3:$N1022,8,FALSE),"")</f>
        <v>70</v>
      </c>
      <c r="L40" s="3573" t="str">
        <f t="array" ref="L40">IFERROR(VLOOKUP(K40,Dex!$P$22:$Q$276,2,FALSE),"")</f>
        <v/>
      </c>
      <c r="M40" s="3574"/>
      <c r="N40" s="3564"/>
      <c r="O40" s="3564"/>
      <c r="P40" s="3564"/>
      <c r="Q40" s="3569"/>
      <c r="R40" s="3569"/>
      <c r="S40" s="3569"/>
      <c r="T40" s="3569"/>
      <c r="U40" s="3576"/>
      <c r="V40" s="3569"/>
      <c r="W40" s="3569"/>
      <c r="X40" s="3569"/>
      <c r="Y40" s="3569"/>
      <c r="Z40" s="3564"/>
      <c r="AA40" s="3564"/>
      <c r="AB40" s="3569"/>
      <c r="AC40" s="3569"/>
      <c r="AD40" s="3569"/>
      <c r="AE40" s="3569"/>
      <c r="AF40" s="3569"/>
      <c r="AG40" s="3569"/>
      <c r="AH40" s="3570"/>
      <c r="AI40" s="3466"/>
    </row>
    <row r="41" ht="16.5" customHeight="1">
      <c r="A41" s="3457"/>
      <c r="B41" s="3563"/>
      <c r="C41" s="3555"/>
      <c r="D41" s="3564"/>
      <c r="E41" s="3577" t="s">
        <v>193</v>
      </c>
      <c r="F41" s="3578">
        <f t="array" ref="F41">IFERROR(VLOOKUP(E27,Dex!$B$3:$N1022,9,FALSE),"")</f>
        <v>50</v>
      </c>
      <c r="G41" s="3579" t="str">
        <f t="array" ref="G41">IFERROR(VLOOKUP(F41,Dex!$P$22:$Q$276,2,FALSE),"")</f>
        <v/>
      </c>
      <c r="H41" s="3580"/>
      <c r="I41" s="3575"/>
      <c r="J41" s="3577" t="s">
        <v>193</v>
      </c>
      <c r="K41" s="3578">
        <f t="array" ref="K41">IFERROR(VLOOKUP(J27,Dex!$B$3:$N1022,9,FALSE),"")</f>
        <v>43</v>
      </c>
      <c r="L41" s="3579" t="str">
        <f t="array" ref="L41">IFERROR(VLOOKUP(K41,Dex!$P$22:$Q$276,2,FALSE),"")</f>
        <v/>
      </c>
      <c r="M41" s="3580"/>
      <c r="N41" s="3564"/>
      <c r="O41" s="3564"/>
      <c r="P41" s="3564"/>
      <c r="Q41" s="3569"/>
      <c r="R41" s="3569"/>
      <c r="S41" s="3569"/>
      <c r="T41" s="3569"/>
      <c r="U41" s="3581"/>
      <c r="V41" s="3569"/>
      <c r="W41" s="3569"/>
      <c r="X41" s="3569"/>
      <c r="Y41" s="3569"/>
      <c r="Z41" s="3564"/>
      <c r="AA41" s="3564"/>
      <c r="AB41" s="3569"/>
      <c r="AC41" s="3569"/>
      <c r="AD41" s="3569"/>
      <c r="AE41" s="3569"/>
      <c r="AF41" s="3569"/>
      <c r="AG41" s="3569"/>
      <c r="AH41" s="3570"/>
      <c r="AI41" s="3466"/>
    </row>
    <row r="42" ht="16.5" customHeight="1">
      <c r="A42" s="3457"/>
      <c r="B42" s="3563"/>
      <c r="C42" s="3555"/>
      <c r="D42" s="3564"/>
      <c r="E42" s="3577" t="s">
        <v>194</v>
      </c>
      <c r="F42" s="3578">
        <f t="array" ref="F42">IFERROR(VLOOKUP(E27,Dex!$B$3:$N1022,10,FALSE),"")</f>
        <v>40</v>
      </c>
      <c r="G42" s="3579" t="str">
        <f t="array" ref="G42">IFERROR(VLOOKUP(F42,Dex!$P$22:$Q$276,2,FALSE),"")</f>
        <v/>
      </c>
      <c r="H42" s="3580"/>
      <c r="I42" s="3575"/>
      <c r="J42" s="3577" t="s">
        <v>194</v>
      </c>
      <c r="K42" s="3578">
        <f t="array" ref="K42">IFERROR(VLOOKUP(J27,Dex!$B$3:$N1022,10,FALSE),"")</f>
        <v>53</v>
      </c>
      <c r="L42" s="3579" t="str">
        <f t="array" ref="L42">IFERROR(VLOOKUP(K42,Dex!$P$22:$Q$276,2,FALSE),"")</f>
        <v/>
      </c>
      <c r="M42" s="3580"/>
      <c r="N42" s="3564"/>
      <c r="O42" s="3564"/>
      <c r="P42" s="3564"/>
      <c r="Q42" s="3569"/>
      <c r="R42" s="3569"/>
      <c r="S42" s="3569"/>
      <c r="T42" s="3569"/>
      <c r="U42" s="3582"/>
      <c r="V42" s="3569"/>
      <c r="W42" s="3569"/>
      <c r="X42" s="3569"/>
      <c r="Y42" s="3569"/>
      <c r="Z42" s="3564"/>
      <c r="AA42" s="3564"/>
      <c r="AB42" s="3569"/>
      <c r="AC42" s="3569"/>
      <c r="AD42" s="3569"/>
      <c r="AE42" s="3569"/>
      <c r="AF42" s="3569"/>
      <c r="AG42" s="3569"/>
      <c r="AH42" s="3570"/>
      <c r="AI42" s="3466"/>
    </row>
    <row r="43" ht="16.5" customHeight="1">
      <c r="A43" s="3457"/>
      <c r="B43" s="3563"/>
      <c r="C43" s="3555"/>
      <c r="D43" s="3564"/>
      <c r="E43" s="3577" t="s">
        <v>195</v>
      </c>
      <c r="F43" s="3578">
        <f t="array" ref="F43">IFERROR(VLOOKUP(E27,Dex!$B$3:$N1022,11,FALSE),"")</f>
        <v>50</v>
      </c>
      <c r="G43" s="3579" t="str">
        <f t="array" ref="G43">IFERROR(VLOOKUP(F43,Dex!$P$22:$Q$276,2,FALSE),"")</f>
        <v/>
      </c>
      <c r="H43" s="3580"/>
      <c r="I43" s="3575"/>
      <c r="J43" s="3577" t="s">
        <v>195</v>
      </c>
      <c r="K43" s="3578">
        <f t="array" ref="K43">IFERROR(VLOOKUP(J27,Dex!$B$3:$N1022,11,FALSE),"")</f>
        <v>43</v>
      </c>
      <c r="L43" s="3579" t="str">
        <f t="array" ref="L43">IFERROR(VLOOKUP(K43,Dex!$P$22:$Q$276,2,FALSE),"")</f>
        <v/>
      </c>
      <c r="M43" s="3580"/>
      <c r="N43" s="3564"/>
      <c r="O43" s="3564"/>
      <c r="P43" s="3564"/>
      <c r="Q43" s="3569"/>
      <c r="R43" s="3569"/>
      <c r="S43" s="3569"/>
      <c r="T43" s="3569"/>
      <c r="U43" s="3516"/>
      <c r="V43" s="3569"/>
      <c r="W43" s="3569"/>
      <c r="X43" s="3569"/>
      <c r="Y43" s="3569"/>
      <c r="Z43" s="3564"/>
      <c r="AA43" s="3564"/>
      <c r="AB43" s="3569"/>
      <c r="AC43" s="3569"/>
      <c r="AD43" s="3569"/>
      <c r="AE43" s="3569"/>
      <c r="AF43" s="3569"/>
      <c r="AG43" s="3569"/>
      <c r="AH43" s="3570"/>
      <c r="AI43" s="3466"/>
    </row>
    <row r="44" ht="16.5" customHeight="1">
      <c r="A44" s="3457"/>
      <c r="B44" s="3563"/>
      <c r="C44" s="3555"/>
      <c r="D44" s="3564"/>
      <c r="E44" s="3577" t="s">
        <v>196</v>
      </c>
      <c r="F44" s="3578">
        <f t="array" ref="F44">IFERROR(VLOOKUP(E27,Dex!$B$3:$N1022,12,FALSE),"")</f>
        <v>40</v>
      </c>
      <c r="G44" s="3579" t="str">
        <f t="array" ref="G44">IFERROR(VLOOKUP(F44,Dex!$P$22:$Q$276,2,FALSE),"")</f>
        <v/>
      </c>
      <c r="H44" s="3580"/>
      <c r="I44" s="3575"/>
      <c r="J44" s="3577" t="s">
        <v>196</v>
      </c>
      <c r="K44" s="3578">
        <f t="array" ref="K44">IFERROR(VLOOKUP(J27,Dex!$B$3:$N1022,12,FALSE),"")</f>
        <v>53</v>
      </c>
      <c r="L44" s="3579" t="str">
        <f t="array" ref="L44">IFERROR(VLOOKUP(K44,Dex!$P$22:$Q$276,2,FALSE),"")</f>
        <v/>
      </c>
      <c r="M44" s="3580"/>
      <c r="N44" s="3564"/>
      <c r="O44" s="3564"/>
      <c r="P44" s="3564"/>
      <c r="Q44" s="3569"/>
      <c r="R44" s="3569"/>
      <c r="S44" s="3569"/>
      <c r="T44" s="3569"/>
      <c r="U44" s="3516"/>
      <c r="V44" s="3569"/>
      <c r="W44" s="3569"/>
      <c r="X44" s="3569"/>
      <c r="Y44" s="3569"/>
      <c r="Z44" s="3564"/>
      <c r="AA44" s="3564"/>
      <c r="AB44" s="3569"/>
      <c r="AC44" s="3569"/>
      <c r="AD44" s="3569"/>
      <c r="AE44" s="3569"/>
      <c r="AF44" s="3569"/>
      <c r="AG44" s="3569"/>
      <c r="AH44" s="3570"/>
      <c r="AI44" s="3466"/>
    </row>
    <row r="45" ht="16.5" customHeight="1">
      <c r="A45" s="3457"/>
      <c r="B45" s="3563"/>
      <c r="C45" s="1204" t="s">
        <v>436</v>
      </c>
      <c r="D45" s="3564"/>
      <c r="E45" s="3583" t="s">
        <v>197</v>
      </c>
      <c r="F45" s="3584">
        <f t="array" ref="F45">IFERROR(VLOOKUP(E27,Dex!$B$3:$N1022,13,FALSE),"")</f>
        <v>35</v>
      </c>
      <c r="G45" s="3585" t="str">
        <f t="array" ref="G45">IFERROR(VLOOKUP(F45,Dex!$P$22:$Q$276,2,FALSE),"")</f>
        <v/>
      </c>
      <c r="H45" s="3586"/>
      <c r="I45" s="3575"/>
      <c r="J45" s="3583" t="s">
        <v>197</v>
      </c>
      <c r="K45" s="3584">
        <f t="array" ref="K45">IFERROR(VLOOKUP(J27,Dex!$B$3:$N1022,13,FALSE),"")</f>
        <v>40</v>
      </c>
      <c r="L45" s="3585" t="str">
        <f t="array" ref="L45">IFERROR(VLOOKUP(K45,Dex!$P$22:$Q$276,2,FALSE),"")</f>
        <v/>
      </c>
      <c r="M45" s="3586"/>
      <c r="N45" s="3564"/>
      <c r="O45" s="3564"/>
      <c r="P45" s="3564"/>
      <c r="Q45" s="3569"/>
      <c r="R45" s="3569"/>
      <c r="S45" s="3569"/>
      <c r="T45" s="3569"/>
      <c r="U45" s="3516"/>
      <c r="V45" s="3569"/>
      <c r="W45" s="3569"/>
      <c r="X45" s="3569"/>
      <c r="Y45" s="3569"/>
      <c r="Z45" s="3564"/>
      <c r="AA45" s="3564"/>
      <c r="AB45" s="3569"/>
      <c r="AC45" s="3569"/>
      <c r="AD45" s="3569"/>
      <c r="AE45" s="3569"/>
      <c r="AF45" s="3569"/>
      <c r="AG45" s="3569"/>
      <c r="AH45" s="3570"/>
      <c r="AI45" s="3466"/>
    </row>
    <row r="46" ht="16.5" customHeight="1">
      <c r="A46" s="3457"/>
      <c r="B46" s="3563"/>
      <c r="C46" s="1205" t="s">
        <v>986</v>
      </c>
      <c r="D46" s="3564"/>
      <c r="E46" s="3587" t="s">
        <v>198</v>
      </c>
      <c r="F46" s="405"/>
      <c r="G46" s="406"/>
      <c r="H46" s="3588">
        <v>17.0</v>
      </c>
      <c r="I46" s="3567"/>
      <c r="J46" s="3587" t="s">
        <v>198</v>
      </c>
      <c r="K46" s="405"/>
      <c r="L46" s="406"/>
      <c r="M46" s="3588">
        <v>18.0</v>
      </c>
      <c r="N46" s="3564"/>
      <c r="O46" s="3564"/>
      <c r="P46" s="3564"/>
      <c r="Q46" s="3569"/>
      <c r="R46" s="3569"/>
      <c r="S46" s="3569"/>
      <c r="T46" s="3569"/>
      <c r="U46" s="3544"/>
      <c r="V46" s="3569"/>
      <c r="W46" s="3569"/>
      <c r="X46" s="3569"/>
      <c r="Y46" s="3569"/>
      <c r="Z46" s="3564"/>
      <c r="AA46" s="3564"/>
      <c r="AB46" s="3569"/>
      <c r="AC46" s="3569"/>
      <c r="AD46" s="3569"/>
      <c r="AE46" s="3569"/>
      <c r="AF46" s="3569"/>
      <c r="AG46" s="3569"/>
      <c r="AH46" s="3570"/>
      <c r="AI46" s="3466"/>
    </row>
    <row r="47" ht="15.0" customHeight="1">
      <c r="A47" s="3368"/>
      <c r="B47" s="3589"/>
      <c r="C47" s="3590"/>
      <c r="D47" s="3591"/>
      <c r="E47" s="3592"/>
      <c r="F47" s="3592"/>
      <c r="G47" s="3592"/>
      <c r="H47" s="3593"/>
      <c r="I47" s="3593"/>
      <c r="J47" s="3594"/>
      <c r="K47" s="3594"/>
      <c r="L47" s="3594"/>
      <c r="M47" s="3593"/>
      <c r="N47" s="3595"/>
      <c r="O47" s="3596"/>
      <c r="P47" s="3596"/>
      <c r="Q47" s="3597"/>
      <c r="R47" s="3597"/>
      <c r="S47" s="3597"/>
      <c r="T47" s="3597"/>
      <c r="U47" s="3596"/>
      <c r="V47" s="3598"/>
      <c r="W47" s="3598"/>
      <c r="X47" s="3595"/>
      <c r="Y47" s="3598"/>
      <c r="Z47" s="3598"/>
      <c r="AA47" s="3598"/>
      <c r="AB47" s="3598"/>
      <c r="AC47" s="3598"/>
      <c r="AD47" s="3598"/>
      <c r="AE47" s="3598"/>
      <c r="AF47" s="3598"/>
      <c r="AG47" s="3598"/>
      <c r="AH47" s="3599"/>
      <c r="AI47" s="3380"/>
    </row>
    <row r="48" ht="15.0" customHeight="1">
      <c r="A48" s="3368"/>
      <c r="B48" s="3600"/>
      <c r="C48" s="3601"/>
      <c r="D48" s="3602"/>
      <c r="E48" s="3603"/>
      <c r="F48" s="3603"/>
      <c r="G48" s="3603"/>
      <c r="H48" s="3604"/>
      <c r="I48" s="3604"/>
      <c r="J48" s="3603"/>
      <c r="K48" s="3603"/>
      <c r="L48" s="3603"/>
      <c r="M48" s="3604"/>
      <c r="N48" s="3605"/>
      <c r="O48" s="3606"/>
      <c r="P48" s="3606"/>
      <c r="Q48" s="3606"/>
      <c r="R48" s="3606"/>
      <c r="S48" s="3606"/>
      <c r="T48" s="3606"/>
      <c r="U48" s="3606"/>
      <c r="V48" s="3606"/>
      <c r="W48" s="3606"/>
      <c r="X48" s="3605"/>
      <c r="Y48" s="3606"/>
      <c r="Z48" s="3606"/>
      <c r="AA48" s="3606"/>
      <c r="AB48" s="3606"/>
      <c r="AC48" s="3606"/>
      <c r="AD48" s="3606"/>
      <c r="AE48" s="3606"/>
      <c r="AF48" s="3606"/>
      <c r="AG48" s="3606"/>
      <c r="AH48" s="3607"/>
      <c r="AI48" s="3380"/>
    </row>
    <row r="49">
      <c r="A49" s="3361"/>
      <c r="B49" s="3608"/>
      <c r="C49" s="3609"/>
      <c r="D49" s="3610"/>
      <c r="E49" s="3611" t="s">
        <v>995</v>
      </c>
      <c r="F49" s="3612"/>
      <c r="G49" s="3612"/>
      <c r="H49" s="3612"/>
      <c r="I49" s="3612"/>
      <c r="J49" s="3612"/>
      <c r="K49" s="3612"/>
      <c r="L49" s="3612"/>
      <c r="M49" s="3612"/>
      <c r="N49" s="3612"/>
      <c r="O49" s="3612"/>
      <c r="P49" s="3612"/>
      <c r="Q49" s="3612"/>
      <c r="R49" s="3612"/>
      <c r="S49" s="3612"/>
      <c r="T49" s="3612"/>
      <c r="U49" s="3612"/>
      <c r="V49" s="3612"/>
      <c r="W49" s="3612"/>
      <c r="X49" s="3612"/>
      <c r="Y49" s="3612"/>
      <c r="Z49" s="3612"/>
      <c r="AA49" s="3612"/>
      <c r="AB49" s="3612"/>
      <c r="AC49" s="3612"/>
      <c r="AD49" s="3612"/>
      <c r="AE49" s="3612"/>
      <c r="AF49" s="3612"/>
      <c r="AG49" s="3613"/>
      <c r="AH49" s="3614"/>
      <c r="AI49" s="3367"/>
    </row>
    <row r="50" ht="96.75" customHeight="1">
      <c r="A50" s="3361"/>
      <c r="B50" s="3608"/>
      <c r="C50" s="3615" t="str">
        <f>IMAGE("https://i.ibb.co/vsXQ7g7/Super-Nerd.png")</f>
        <v/>
      </c>
      <c r="D50" s="3616"/>
      <c r="E50" s="3617" t="str">
        <f t="array" ref="E50">IFERROR(VLOOKUP(E51,Dex!$B$3:$G1022,3,FALSE),"")</f>
        <v/>
      </c>
      <c r="F50" s="381"/>
      <c r="G50" s="381"/>
      <c r="H50" s="2531"/>
      <c r="I50" s="3618"/>
      <c r="J50" s="3617" t="str">
        <f t="array" ref="J50">IFERROR(VLOOKUP(J51,Dex!$B$3:$G1022,3,FALSE),"")</f>
        <v/>
      </c>
      <c r="K50" s="381"/>
      <c r="L50" s="381"/>
      <c r="M50" s="2531"/>
      <c r="N50" s="3618"/>
      <c r="O50" s="3617" t="str">
        <f t="array" ref="O50">IFERROR(VLOOKUP(O51,Dex!$B$3:$G1022,3,FALSE),"")</f>
        <v/>
      </c>
      <c r="P50" s="381"/>
      <c r="Q50" s="381"/>
      <c r="R50" s="2531"/>
      <c r="S50" s="3618"/>
      <c r="T50" s="3617" t="str">
        <f t="array" ref="T50">IFERROR(VLOOKUP(T51,Dex!$B$3:$G1022,3,FALSE),"")</f>
        <v/>
      </c>
      <c r="U50" s="381"/>
      <c r="V50" s="381"/>
      <c r="W50" s="2531"/>
      <c r="X50" s="3619"/>
      <c r="Y50" s="3620"/>
      <c r="Z50" s="3612"/>
      <c r="AA50" s="3612"/>
      <c r="AB50" s="3613"/>
      <c r="AC50" s="3619"/>
      <c r="AD50" s="3620"/>
      <c r="AE50" s="3612"/>
      <c r="AF50" s="3612"/>
      <c r="AG50" s="3613"/>
      <c r="AH50" s="3614"/>
      <c r="AI50" s="3367"/>
    </row>
    <row r="51" ht="18.75" customHeight="1">
      <c r="A51" s="3621"/>
      <c r="B51" s="3622"/>
      <c r="C51" s="3623" t="s">
        <v>996</v>
      </c>
      <c r="D51" s="3624"/>
      <c r="E51" s="3625" t="s">
        <v>997</v>
      </c>
      <c r="F51" s="3626"/>
      <c r="G51" s="3626"/>
      <c r="H51" s="3627"/>
      <c r="I51" s="3628"/>
      <c r="J51" s="3625" t="s">
        <v>998</v>
      </c>
      <c r="K51" s="3626"/>
      <c r="L51" s="3626"/>
      <c r="M51" s="3627"/>
      <c r="N51" s="3628"/>
      <c r="O51" s="3625" t="s">
        <v>999</v>
      </c>
      <c r="P51" s="3626"/>
      <c r="Q51" s="3626"/>
      <c r="R51" s="3627"/>
      <c r="S51" s="3628"/>
      <c r="T51" s="3625" t="s">
        <v>1000</v>
      </c>
      <c r="U51" s="3626"/>
      <c r="V51" s="3626"/>
      <c r="W51" s="3627"/>
      <c r="X51" s="3628"/>
      <c r="Y51" s="3629"/>
      <c r="Z51" s="3612"/>
      <c r="AA51" s="3612"/>
      <c r="AB51" s="3613"/>
      <c r="AC51" s="3628"/>
      <c r="AD51" s="3629"/>
      <c r="AE51" s="3612"/>
      <c r="AF51" s="3612"/>
      <c r="AG51" s="3613"/>
      <c r="AH51" s="3630"/>
      <c r="AI51" s="3631"/>
    </row>
    <row r="52">
      <c r="A52" s="3632"/>
      <c r="B52" s="3633"/>
      <c r="C52" s="1481"/>
      <c r="D52" s="3634"/>
      <c r="E52" s="3635" t="s">
        <v>843</v>
      </c>
      <c r="F52" s="3636"/>
      <c r="G52" s="3636"/>
      <c r="H52" s="3637"/>
      <c r="I52" s="3628"/>
      <c r="J52" s="3635" t="s">
        <v>843</v>
      </c>
      <c r="K52" s="3636"/>
      <c r="L52" s="3636"/>
      <c r="M52" s="3637"/>
      <c r="N52" s="3628"/>
      <c r="O52" s="3635" t="s">
        <v>843</v>
      </c>
      <c r="P52" s="3636"/>
      <c r="Q52" s="3636"/>
      <c r="R52" s="3637"/>
      <c r="S52" s="3628"/>
      <c r="T52" s="3635" t="s">
        <v>843</v>
      </c>
      <c r="U52" s="3636"/>
      <c r="V52" s="3636"/>
      <c r="W52" s="3637"/>
      <c r="X52" s="3628"/>
      <c r="Y52" s="3638"/>
      <c r="Z52" s="3612"/>
      <c r="AA52" s="3612"/>
      <c r="AB52" s="3613"/>
      <c r="AC52" s="3628"/>
      <c r="AD52" s="3638"/>
      <c r="AE52" s="3612"/>
      <c r="AF52" s="3612"/>
      <c r="AG52" s="3613"/>
      <c r="AH52" s="3639"/>
      <c r="AI52" s="3640"/>
    </row>
    <row r="53" ht="25.5" customHeight="1">
      <c r="A53" s="3361"/>
      <c r="B53" s="3608"/>
      <c r="C53" s="1489"/>
      <c r="D53" s="3610"/>
      <c r="E53" s="3641"/>
      <c r="F53" s="3642" t="str">
        <f t="array" ref="F53">IFERROR(VLOOKUP(E51,Dex!$B$3:$H1022,5,FALSE),"")</f>
        <v/>
      </c>
      <c r="G53" s="3643"/>
      <c r="H53" s="3644"/>
      <c r="I53" s="3628"/>
      <c r="J53" s="3641"/>
      <c r="K53" s="3645" t="str">
        <f t="array" ref="K53">IFERROR(VLOOKUP(J51,Dex!$B$3:$H1022,5,FALSE),"")</f>
        <v/>
      </c>
      <c r="L53" s="3646" t="str">
        <f t="array" ref="L53">IFERROR(VLOOKUP(J51,Dex!$B$3:$H1022,7,FALSE),"")</f>
        <v/>
      </c>
      <c r="M53" s="3644"/>
      <c r="N53" s="3628"/>
      <c r="O53" s="3641"/>
      <c r="P53" s="3645" t="str">
        <f t="array" ref="P53">IFERROR(VLOOKUP(O51,Dex!$B$3:$H1022,5,FALSE),"")</f>
        <v/>
      </c>
      <c r="Q53" s="3646" t="str">
        <f t="array" ref="Q53">IFERROR(VLOOKUP(O51,Dex!$B$3:$H1022,7,FALSE),"")</f>
        <v/>
      </c>
      <c r="R53" s="3644"/>
      <c r="S53" s="3628"/>
      <c r="T53" s="3647"/>
      <c r="U53" s="3648" t="str">
        <f t="array" ref="U53">IFERROR(VLOOKUP(T51,Dex!$B$3:$H1022,5,FALSE),"")</f>
        <v/>
      </c>
      <c r="V53" s="3649" t="str">
        <f t="array" ref="V53">IFERROR(VLOOKUP(T51,Dex!$B$3:$H1022,7,FALSE),"")</f>
        <v/>
      </c>
      <c r="W53" s="3650"/>
      <c r="X53" s="3628"/>
      <c r="Y53" s="3620"/>
      <c r="Z53" s="3612"/>
      <c r="AA53" s="3612"/>
      <c r="AB53" s="3613"/>
      <c r="AC53" s="3628"/>
      <c r="AD53" s="3620"/>
      <c r="AE53" s="3612"/>
      <c r="AF53" s="3612"/>
      <c r="AG53" s="3613"/>
      <c r="AH53" s="3614"/>
      <c r="AI53" s="3367"/>
    </row>
    <row r="54" ht="2.25" customHeight="1">
      <c r="A54" s="3361"/>
      <c r="B54" s="3608"/>
      <c r="C54" s="3609"/>
      <c r="D54" s="3610"/>
      <c r="E54" s="3651"/>
      <c r="F54" s="3652"/>
      <c r="G54" s="3652"/>
      <c r="H54" s="3653"/>
      <c r="I54" s="3628"/>
      <c r="J54" s="3651"/>
      <c r="K54" s="3652"/>
      <c r="L54" s="3652"/>
      <c r="M54" s="3653"/>
      <c r="N54" s="3628"/>
      <c r="O54" s="3651"/>
      <c r="P54" s="3652"/>
      <c r="Q54" s="3652"/>
      <c r="R54" s="3653"/>
      <c r="S54" s="3628"/>
      <c r="T54" s="3654"/>
      <c r="U54" s="3655"/>
      <c r="V54" s="3655"/>
      <c r="W54" s="3656"/>
      <c r="X54" s="3628"/>
      <c r="Y54" s="3610"/>
      <c r="Z54" s="3610"/>
      <c r="AA54" s="3610"/>
      <c r="AB54" s="3610"/>
      <c r="AC54" s="3628"/>
      <c r="AD54" s="3610"/>
      <c r="AE54" s="3610"/>
      <c r="AF54" s="3610"/>
      <c r="AG54" s="3610"/>
      <c r="AH54" s="3614"/>
      <c r="AI54" s="3367"/>
    </row>
    <row r="55" ht="20.25" customHeight="1">
      <c r="A55" s="3361"/>
      <c r="B55" s="3608"/>
      <c r="C55" s="3609"/>
      <c r="D55" s="3610"/>
      <c r="E55" s="3657" t="s">
        <v>169</v>
      </c>
      <c r="F55" s="3658"/>
      <c r="G55" s="3658"/>
      <c r="H55" s="3659"/>
      <c r="I55" s="3628"/>
      <c r="J55" s="3657" t="s">
        <v>264</v>
      </c>
      <c r="K55" s="3658"/>
      <c r="L55" s="3658"/>
      <c r="M55" s="3659"/>
      <c r="N55" s="3628"/>
      <c r="O55" s="3657" t="s">
        <v>471</v>
      </c>
      <c r="P55" s="3658"/>
      <c r="Q55" s="3658"/>
      <c r="R55" s="3659"/>
      <c r="S55" s="3628"/>
      <c r="T55" s="3657" t="s">
        <v>471</v>
      </c>
      <c r="U55" s="3658"/>
      <c r="V55" s="3658"/>
      <c r="W55" s="3659"/>
      <c r="X55" s="3628"/>
      <c r="Y55" s="3620"/>
      <c r="Z55" s="3612"/>
      <c r="AA55" s="3612"/>
      <c r="AB55" s="3613"/>
      <c r="AC55" s="3628"/>
      <c r="AD55" s="3620"/>
      <c r="AE55" s="3612"/>
      <c r="AF55" s="3612"/>
      <c r="AG55" s="3613"/>
      <c r="AH55" s="3614"/>
      <c r="AI55" s="3367"/>
    </row>
    <row r="56" ht="20.25" customHeight="1">
      <c r="A56" s="3361"/>
      <c r="B56" s="3608"/>
      <c r="C56" s="3660"/>
      <c r="D56" s="3610"/>
      <c r="E56" s="3661" t="s">
        <v>265</v>
      </c>
      <c r="F56" s="3612"/>
      <c r="G56" s="3612"/>
      <c r="H56" s="3662"/>
      <c r="I56" s="3628"/>
      <c r="J56" s="3661" t="s">
        <v>268</v>
      </c>
      <c r="K56" s="3612"/>
      <c r="L56" s="3612"/>
      <c r="M56" s="3662"/>
      <c r="N56" s="3628"/>
      <c r="O56" s="3661" t="s">
        <v>1001</v>
      </c>
      <c r="P56" s="3612"/>
      <c r="Q56" s="3612"/>
      <c r="R56" s="3662"/>
      <c r="S56" s="3628"/>
      <c r="T56" s="3661" t="s">
        <v>1002</v>
      </c>
      <c r="U56" s="3612"/>
      <c r="V56" s="3612"/>
      <c r="W56" s="3662"/>
      <c r="X56" s="3628"/>
      <c r="Y56" s="3620"/>
      <c r="Z56" s="3612"/>
      <c r="AA56" s="3612"/>
      <c r="AB56" s="3613"/>
      <c r="AC56" s="3628"/>
      <c r="AD56" s="3620"/>
      <c r="AE56" s="3612"/>
      <c r="AF56" s="3612"/>
      <c r="AG56" s="3613"/>
      <c r="AH56" s="3614"/>
      <c r="AI56" s="3367"/>
    </row>
    <row r="57" ht="20.25" customHeight="1">
      <c r="A57" s="3361"/>
      <c r="B57" s="3608"/>
      <c r="C57" s="3628"/>
      <c r="D57" s="3610"/>
      <c r="E57" s="3663" t="s">
        <v>211</v>
      </c>
      <c r="F57" s="3664"/>
      <c r="G57" s="3665"/>
      <c r="H57" s="3666" t="str">
        <f>IMAGE("https://raw.githubusercontent.com/msikma/pokesprite/master/items/hold-item/eviolite.png",3)</f>
        <v/>
      </c>
      <c r="I57" s="3628"/>
      <c r="J57" s="3663" t="s">
        <v>240</v>
      </c>
      <c r="K57" s="3664"/>
      <c r="L57" s="3665"/>
      <c r="M57" s="3666" t="str">
        <f>IMAGE("https://raw.githubusercontent.com/msikma/pokesprite/master/items/hold-item/focus-sash.png",3)</f>
        <v/>
      </c>
      <c r="N57" s="3628"/>
      <c r="O57" s="3663" t="s">
        <v>271</v>
      </c>
      <c r="P57" s="3664"/>
      <c r="Q57" s="3665"/>
      <c r="R57" s="3666" t="str">
        <f>IMAGE("https://raw.githubusercontent.com/msikma/pokesprite/master/items/hold-item/grassy-seed.png",3)</f>
        <v/>
      </c>
      <c r="S57" s="3628"/>
      <c r="T57" s="3663" t="s">
        <v>213</v>
      </c>
      <c r="U57" s="3664"/>
      <c r="V57" s="3665"/>
      <c r="W57" s="3666" t="str">
        <f>IMAGE("https://raw.githubusercontent.com/msikma/pokesprite/master/items/berry/sitrus.png",3)</f>
        <v/>
      </c>
      <c r="X57" s="3628"/>
      <c r="Y57" s="3620"/>
      <c r="Z57" s="3612"/>
      <c r="AA57" s="3612"/>
      <c r="AB57" s="3613"/>
      <c r="AC57" s="3628"/>
      <c r="AD57" s="3620"/>
      <c r="AE57" s="3612"/>
      <c r="AF57" s="3612"/>
      <c r="AG57" s="3613"/>
      <c r="AH57" s="3614"/>
      <c r="AI57" s="3367"/>
    </row>
    <row r="58" ht="20.25" customHeight="1">
      <c r="A58" s="3361"/>
      <c r="B58" s="3608"/>
      <c r="C58" s="3667"/>
      <c r="D58" s="3610"/>
      <c r="E58" s="3657" t="s">
        <v>476</v>
      </c>
      <c r="F58" s="3658"/>
      <c r="G58" s="3668"/>
      <c r="H58" s="3669" t="str">
        <f>IMAGE("https://raw.githubusercontent.com/msikma/pokesprite/master/misc/types/gen8/normal.png",4,20,20)</f>
        <v/>
      </c>
      <c r="I58" s="3628"/>
      <c r="J58" s="3657" t="s">
        <v>697</v>
      </c>
      <c r="K58" s="3658"/>
      <c r="L58" s="3668"/>
      <c r="M58" s="3669" t="str">
        <f>IMAGE("https://raw.githubusercontent.com/msikma/pokesprite/master/misc/types/gen8/grass.png",4,20,20)</f>
        <v/>
      </c>
      <c r="N58" s="3628"/>
      <c r="O58" s="3657" t="s">
        <v>635</v>
      </c>
      <c r="P58" s="3658"/>
      <c r="Q58" s="3668"/>
      <c r="R58" s="3669" t="str">
        <f>IMAGE("https://raw.githubusercontent.com/msikma/pokesprite/master/misc/types/gen8/normal.png",4,20,20)</f>
        <v/>
      </c>
      <c r="S58" s="3628"/>
      <c r="T58" s="3657" t="s">
        <v>492</v>
      </c>
      <c r="U58" s="3658"/>
      <c r="V58" s="3668"/>
      <c r="W58" s="3669" t="str">
        <f>IMAGE("https://raw.githubusercontent.com/msikma/pokesprite/master/misc/types/gen8/fire.png",4,20,20)</f>
        <v/>
      </c>
      <c r="X58" s="3628"/>
      <c r="Y58" s="3620"/>
      <c r="Z58" s="3612"/>
      <c r="AA58" s="3612"/>
      <c r="AB58" s="3613"/>
      <c r="AC58" s="3628"/>
      <c r="AD58" s="3620"/>
      <c r="AE58" s="3612"/>
      <c r="AF58" s="3612"/>
      <c r="AG58" s="3613"/>
      <c r="AH58" s="3614"/>
      <c r="AI58" s="3367"/>
    </row>
    <row r="59" ht="20.25" customHeight="1">
      <c r="A59" s="3361"/>
      <c r="B59" s="3608"/>
      <c r="C59" s="3609"/>
      <c r="D59" s="3610"/>
      <c r="E59" s="3661" t="s">
        <v>1003</v>
      </c>
      <c r="F59" s="3612"/>
      <c r="G59" s="3613"/>
      <c r="H59" s="3670" t="str">
        <f>IMAGE("https://raw.githubusercontent.com/msikma/pokesprite/master/misc/types/gen8/grass.png",4,20,20)</f>
        <v/>
      </c>
      <c r="I59" s="3628"/>
      <c r="J59" s="3661" t="s">
        <v>186</v>
      </c>
      <c r="K59" s="3612"/>
      <c r="L59" s="3613"/>
      <c r="M59" s="3670" t="str">
        <f>IMAGE("https://raw.githubusercontent.com/msikma/pokesprite/master/misc/types/gen8/normal.png",4,20,20)</f>
        <v/>
      </c>
      <c r="N59" s="3628"/>
      <c r="O59" s="3661" t="s">
        <v>735</v>
      </c>
      <c r="P59" s="3612"/>
      <c r="Q59" s="3613"/>
      <c r="R59" s="3670" t="str">
        <f>IMAGE("https://raw.githubusercontent.com/msikma/pokesprite/master/misc/types/gen8/water.png",4,20,20)</f>
        <v/>
      </c>
      <c r="S59" s="3628"/>
      <c r="T59" s="3661" t="s">
        <v>221</v>
      </c>
      <c r="U59" s="3612"/>
      <c r="V59" s="3613"/>
      <c r="W59" s="3670" t="str">
        <f t="shared" ref="W59:W60" si="3">IMAGE("https://raw.githubusercontent.com/msikma/pokesprite/master/misc/types/gen8/normal.png",4,20,20)</f>
        <v/>
      </c>
      <c r="X59" s="3628"/>
      <c r="Y59" s="3620"/>
      <c r="Z59" s="3612"/>
      <c r="AA59" s="3612"/>
      <c r="AB59" s="3613"/>
      <c r="AC59" s="3628"/>
      <c r="AD59" s="3620"/>
      <c r="AE59" s="3612"/>
      <c r="AF59" s="3612"/>
      <c r="AG59" s="3613"/>
      <c r="AH59" s="3614"/>
      <c r="AI59" s="3367"/>
    </row>
    <row r="60" ht="20.25" customHeight="1">
      <c r="A60" s="3361"/>
      <c r="B60" s="3608"/>
      <c r="C60" s="3609"/>
      <c r="D60" s="3610"/>
      <c r="E60" s="3661" t="s">
        <v>279</v>
      </c>
      <c r="F60" s="3612"/>
      <c r="G60" s="3613"/>
      <c r="H60" s="3670" t="str">
        <f>IMAGE("https://raw.githubusercontent.com/msikma/pokesprite/master/misc/types/gen8/dark.png",4,20,20)</f>
        <v/>
      </c>
      <c r="I60" s="3628"/>
      <c r="J60" s="3661" t="s">
        <v>852</v>
      </c>
      <c r="K60" s="3612"/>
      <c r="L60" s="3613"/>
      <c r="M60" s="3670" t="str">
        <f>IMAGE("https://raw.githubusercontent.com/msikma/pokesprite/master/misc/types/gen8/electric.png",4,20,20)</f>
        <v/>
      </c>
      <c r="N60" s="3628"/>
      <c r="O60" s="3661" t="s">
        <v>1004</v>
      </c>
      <c r="P60" s="3612"/>
      <c r="Q60" s="3613"/>
      <c r="R60" s="3670" t="str">
        <f>IMAGE("https://raw.githubusercontent.com/msikma/pokesprite/master/misc/types/gen8/ghost.png",4,20,20)</f>
        <v/>
      </c>
      <c r="S60" s="3628"/>
      <c r="T60" s="3661" t="s">
        <v>187</v>
      </c>
      <c r="U60" s="3612"/>
      <c r="V60" s="3613"/>
      <c r="W60" s="3670" t="str">
        <f t="shared" si="3"/>
        <v/>
      </c>
      <c r="X60" s="3628"/>
      <c r="Y60" s="3620"/>
      <c r="Z60" s="3612"/>
      <c r="AA60" s="3612"/>
      <c r="AB60" s="3613"/>
      <c r="AC60" s="3628"/>
      <c r="AD60" s="3620"/>
      <c r="AE60" s="3612"/>
      <c r="AF60" s="3612"/>
      <c r="AG60" s="3613"/>
      <c r="AH60" s="3614"/>
      <c r="AI60" s="3367"/>
    </row>
    <row r="61" ht="21.0" customHeight="1">
      <c r="A61" s="3361"/>
      <c r="B61" s="3608"/>
      <c r="C61" s="3609"/>
      <c r="D61" s="3610"/>
      <c r="E61" s="3671" t="s">
        <v>278</v>
      </c>
      <c r="F61" s="3672"/>
      <c r="G61" s="3673"/>
      <c r="H61" s="3674" t="str">
        <f>IMAGE("https://raw.githubusercontent.com/msikma/pokesprite/master/misc/types/gen8/bug.png",4,20,20)</f>
        <v/>
      </c>
      <c r="I61" s="3667"/>
      <c r="J61" s="3671" t="s">
        <v>254</v>
      </c>
      <c r="K61" s="3672"/>
      <c r="L61" s="3673"/>
      <c r="M61" s="3674" t="str">
        <f>IMAGE("https://raw.githubusercontent.com/msikma/pokesprite/master/misc/types/gen8/ice.png",4,20,20)</f>
        <v/>
      </c>
      <c r="N61" s="3667"/>
      <c r="O61" s="3671" t="s">
        <v>507</v>
      </c>
      <c r="P61" s="3672"/>
      <c r="Q61" s="3673"/>
      <c r="R61" s="3674" t="str">
        <f>IMAGE("https://raw.githubusercontent.com/msikma/pokesprite/master/misc/types/gen8/fighting.png",4,20,20)</f>
        <v/>
      </c>
      <c r="S61" s="3667"/>
      <c r="T61" s="3671" t="s">
        <v>1005</v>
      </c>
      <c r="U61" s="3672"/>
      <c r="V61" s="3673"/>
      <c r="W61" s="3674" t="str">
        <f>IMAGE("https://raw.githubusercontent.com/msikma/pokesprite/master/misc/types/gen8/dark.png",4,20,20)</f>
        <v/>
      </c>
      <c r="X61" s="3667"/>
      <c r="Y61" s="3620"/>
      <c r="Z61" s="3612"/>
      <c r="AA61" s="3612"/>
      <c r="AB61" s="3613"/>
      <c r="AC61" s="3667"/>
      <c r="AD61" s="3620"/>
      <c r="AE61" s="3612"/>
      <c r="AF61" s="3612"/>
      <c r="AG61" s="3613"/>
      <c r="AH61" s="3614"/>
      <c r="AI61" s="3367"/>
    </row>
    <row r="62" ht="3.0" customHeight="1">
      <c r="A62" s="3445"/>
      <c r="B62" s="3675"/>
      <c r="C62" s="3676"/>
      <c r="D62" s="3677"/>
      <c r="E62" s="3678"/>
      <c r="F62" s="3678"/>
      <c r="G62" s="3678"/>
      <c r="H62" s="3678"/>
      <c r="I62" s="3677"/>
      <c r="J62" s="3678"/>
      <c r="K62" s="3678"/>
      <c r="L62" s="3678"/>
      <c r="M62" s="3678"/>
      <c r="N62" s="3677"/>
      <c r="O62" s="3678"/>
      <c r="P62" s="3678"/>
      <c r="Q62" s="3678"/>
      <c r="R62" s="3678"/>
      <c r="S62" s="3678"/>
      <c r="T62" s="3678"/>
      <c r="U62" s="3678"/>
      <c r="V62" s="3678"/>
      <c r="W62" s="3678"/>
      <c r="X62" s="3677"/>
      <c r="Y62" s="3677"/>
      <c r="Z62" s="3679"/>
      <c r="AA62" s="3679"/>
      <c r="AB62" s="3680"/>
      <c r="AC62" s="3680"/>
      <c r="AD62" s="3680"/>
      <c r="AE62" s="3680"/>
      <c r="AF62" s="3680"/>
      <c r="AG62" s="3680"/>
      <c r="AH62" s="3681"/>
      <c r="AI62" s="3456"/>
    </row>
    <row r="63" ht="16.5" customHeight="1">
      <c r="A63" s="3457"/>
      <c r="B63" s="3682"/>
      <c r="C63" s="3676"/>
      <c r="D63" s="3683"/>
      <c r="E63" s="3684" t="s">
        <v>190</v>
      </c>
      <c r="F63" s="381"/>
      <c r="G63" s="382"/>
      <c r="H63" s="3685" t="s">
        <v>191</v>
      </c>
      <c r="I63" s="3686"/>
      <c r="J63" s="3684" t="s">
        <v>190</v>
      </c>
      <c r="K63" s="381"/>
      <c r="L63" s="382"/>
      <c r="M63" s="3685" t="s">
        <v>191</v>
      </c>
      <c r="N63" s="3686"/>
      <c r="O63" s="3684" t="s">
        <v>190</v>
      </c>
      <c r="P63" s="381"/>
      <c r="Q63" s="382"/>
      <c r="R63" s="3685" t="s">
        <v>191</v>
      </c>
      <c r="S63" s="3686"/>
      <c r="T63" s="3684" t="s">
        <v>190</v>
      </c>
      <c r="U63" s="381"/>
      <c r="V63" s="382"/>
      <c r="W63" s="3685" t="s">
        <v>191</v>
      </c>
      <c r="X63" s="3687"/>
      <c r="Y63" s="3687"/>
      <c r="Z63" s="3683"/>
      <c r="AA63" s="3688"/>
      <c r="AB63" s="3687"/>
      <c r="AC63" s="3687"/>
      <c r="AD63" s="3687"/>
      <c r="AE63" s="3687"/>
      <c r="AF63" s="3687"/>
      <c r="AG63" s="3687"/>
      <c r="AH63" s="3689"/>
      <c r="AI63" s="3466"/>
    </row>
    <row r="64" ht="16.5" customHeight="1">
      <c r="A64" s="3457"/>
      <c r="B64" s="3682"/>
      <c r="C64" s="3676"/>
      <c r="D64" s="3683"/>
      <c r="E64" s="3690" t="s">
        <v>192</v>
      </c>
      <c r="F64" s="3691">
        <f t="array" ref="F64">IFERROR(VLOOKUP(E51,Dex!$B$3:$N1022,8,FALSE),"")</f>
        <v>70</v>
      </c>
      <c r="G64" s="3692" t="str">
        <f t="array" ref="G64">IFERROR(VLOOKUP(F64,Dex!$P$22:$Q$276,2,FALSE),"")</f>
        <v/>
      </c>
      <c r="H64" s="3693"/>
      <c r="I64" s="3686"/>
      <c r="J64" s="3690" t="s">
        <v>192</v>
      </c>
      <c r="K64" s="3691">
        <f t="array" ref="K64">IFERROR(VLOOKUP(J51,Dex!$B$3:$N1022,8,FALSE),"")</f>
        <v>40</v>
      </c>
      <c r="L64" s="3692" t="str">
        <f t="array" ref="L64">IFERROR(VLOOKUP(K64,Dex!$P$22:$Q$276,2,FALSE),"")</f>
        <v/>
      </c>
      <c r="M64" s="3693"/>
      <c r="N64" s="3686"/>
      <c r="O64" s="3690" t="s">
        <v>192</v>
      </c>
      <c r="P64" s="3691">
        <f t="array" ref="P64">IFERROR(VLOOKUP(O51,Dex!$B$3:$N1022,8,FALSE),"")</f>
        <v>79</v>
      </c>
      <c r="Q64" s="3692" t="str">
        <f t="array" ref="Q64">IFERROR(VLOOKUP(P64,Dex!$P$22:$Q$276,2,FALSE),"")</f>
        <v/>
      </c>
      <c r="R64" s="3693"/>
      <c r="S64" s="3694"/>
      <c r="T64" s="3690" t="s">
        <v>192</v>
      </c>
      <c r="U64" s="3691">
        <f t="array" ref="U64">IFERROR(VLOOKUP(T51,Dex!$B$3:$N1022,8,FALSE),"")</f>
        <v>50</v>
      </c>
      <c r="V64" s="3692" t="str">
        <f t="array" ref="V64">IFERROR(VLOOKUP(U64,Dex!$P$22:$Q$276,2,FALSE),"")</f>
        <v/>
      </c>
      <c r="W64" s="3693"/>
      <c r="X64" s="3687"/>
      <c r="Y64" s="3687"/>
      <c r="Z64" s="3683"/>
      <c r="AA64" s="3695"/>
      <c r="AB64" s="3687"/>
      <c r="AC64" s="3687"/>
      <c r="AD64" s="3687"/>
      <c r="AE64" s="3687"/>
      <c r="AF64" s="3687"/>
      <c r="AG64" s="3687"/>
      <c r="AH64" s="3689"/>
      <c r="AI64" s="3466"/>
    </row>
    <row r="65" ht="16.5" customHeight="1">
      <c r="A65" s="3457"/>
      <c r="B65" s="3682"/>
      <c r="C65" s="3676"/>
      <c r="D65" s="3683"/>
      <c r="E65" s="3696" t="s">
        <v>193</v>
      </c>
      <c r="F65" s="3697">
        <f t="array" ref="F65">IFERROR(VLOOKUP(E51,Dex!$B$3:$N1022,9,FALSE),"")</f>
        <v>85</v>
      </c>
      <c r="G65" s="3698" t="str">
        <f t="array" ref="G65">IFERROR(VLOOKUP(F65,Dex!$P$22:$Q$276,2,FALSE),"")</f>
        <v/>
      </c>
      <c r="H65" s="3699"/>
      <c r="I65" s="3686"/>
      <c r="J65" s="3696" t="s">
        <v>193</v>
      </c>
      <c r="K65" s="3697">
        <f t="array" ref="K65">IFERROR(VLOOKUP(J51,Dex!$B$3:$N1022,9,FALSE),"")</f>
        <v>30</v>
      </c>
      <c r="L65" s="3698" t="str">
        <f t="array" ref="L65">IFERROR(VLOOKUP(K65,Dex!$P$22:$Q$276,2,FALSE),"")</f>
        <v/>
      </c>
      <c r="M65" s="3699"/>
      <c r="N65" s="3686"/>
      <c r="O65" s="3696" t="s">
        <v>193</v>
      </c>
      <c r="P65" s="3697">
        <f t="array" ref="P65">IFERROR(VLOOKUP(O51,Dex!$B$3:$N1022,9,FALSE),"")</f>
        <v>85</v>
      </c>
      <c r="Q65" s="3698" t="str">
        <f t="array" ref="Q65">IFERROR(VLOOKUP(P65,Dex!$P$22:$Q$276,2,FALSE),"")</f>
        <v/>
      </c>
      <c r="R65" s="3699"/>
      <c r="S65" s="3694"/>
      <c r="T65" s="3696" t="s">
        <v>193</v>
      </c>
      <c r="U65" s="3697">
        <f t="array" ref="U65">IFERROR(VLOOKUP(T51,Dex!$B$3:$N1022,9,FALSE),"")</f>
        <v>75</v>
      </c>
      <c r="V65" s="3698" t="str">
        <f t="array" ref="V65">IFERROR(VLOOKUP(U65,Dex!$P$22:$Q$276,2,FALSE),"")</f>
        <v/>
      </c>
      <c r="W65" s="3699"/>
      <c r="X65" s="3687"/>
      <c r="Y65" s="3687"/>
      <c r="Z65" s="3683"/>
      <c r="AA65" s="3700"/>
      <c r="AB65" s="3687"/>
      <c r="AC65" s="3687"/>
      <c r="AD65" s="3687"/>
      <c r="AE65" s="3687"/>
      <c r="AF65" s="3687"/>
      <c r="AG65" s="3687"/>
      <c r="AH65" s="3689"/>
      <c r="AI65" s="3466"/>
    </row>
    <row r="66" ht="16.5" customHeight="1">
      <c r="A66" s="3457"/>
      <c r="B66" s="3682"/>
      <c r="C66" s="3676"/>
      <c r="D66" s="3683"/>
      <c r="E66" s="3696" t="s">
        <v>194</v>
      </c>
      <c r="F66" s="3697">
        <f t="array" ref="F66">IFERROR(VLOOKUP(E51,Dex!$B$3:$N1022,10,FALSE),"")</f>
        <v>70</v>
      </c>
      <c r="G66" s="3698" t="str">
        <f t="array" ref="G66">IFERROR(VLOOKUP(F66,Dex!$P$22:$Q$276,2,FALSE),"")</f>
        <v/>
      </c>
      <c r="H66" s="3699"/>
      <c r="I66" s="3686"/>
      <c r="J66" s="3696" t="s">
        <v>194</v>
      </c>
      <c r="K66" s="3697">
        <f t="array" ref="K66">IFERROR(VLOOKUP(J51,Dex!$B$3:$N1022,10,FALSE),"")</f>
        <v>50</v>
      </c>
      <c r="L66" s="3698" t="str">
        <f t="array" ref="L66">IFERROR(VLOOKUP(K66,Dex!$P$22:$Q$276,2,FALSE),"")</f>
        <v/>
      </c>
      <c r="M66" s="3699"/>
      <c r="N66" s="3686"/>
      <c r="O66" s="3696" t="s">
        <v>194</v>
      </c>
      <c r="P66" s="3697">
        <f t="array" ref="P66">IFERROR(VLOOKUP(O51,Dex!$B$3:$N1022,10,FALSE),"")</f>
        <v>80</v>
      </c>
      <c r="Q66" s="3698" t="str">
        <f t="array" ref="Q66">IFERROR(VLOOKUP(P66,Dex!$P$22:$Q$276,2,FALSE),"")</f>
        <v/>
      </c>
      <c r="R66" s="3699"/>
      <c r="S66" s="3694"/>
      <c r="T66" s="3696" t="s">
        <v>194</v>
      </c>
      <c r="U66" s="3697">
        <f t="array" ref="U66">IFERROR(VLOOKUP(T51,Dex!$B$3:$N1022,10,FALSE),"")</f>
        <v>75</v>
      </c>
      <c r="V66" s="3698" t="str">
        <f t="array" ref="V66">IFERROR(VLOOKUP(U66,Dex!$P$22:$Q$276,2,FALSE),"")</f>
        <v/>
      </c>
      <c r="W66" s="3699"/>
      <c r="X66" s="3687"/>
      <c r="Y66" s="3687"/>
      <c r="Z66" s="3683"/>
      <c r="AA66" s="3701"/>
      <c r="AB66" s="3687"/>
      <c r="AC66" s="3687"/>
      <c r="AD66" s="3687"/>
      <c r="AE66" s="3687"/>
      <c r="AF66" s="3687"/>
      <c r="AG66" s="3687"/>
      <c r="AH66" s="3689"/>
      <c r="AI66" s="3466"/>
    </row>
    <row r="67" ht="16.5" customHeight="1">
      <c r="A67" s="3457"/>
      <c r="B67" s="3682"/>
      <c r="C67" s="3676"/>
      <c r="D67" s="3683"/>
      <c r="E67" s="3696" t="s">
        <v>195</v>
      </c>
      <c r="F67" s="3697">
        <f t="array" ref="F67">IFERROR(VLOOKUP(E51,Dex!$B$3:$N1022,11,FALSE),"")</f>
        <v>55</v>
      </c>
      <c r="G67" s="3698" t="str">
        <f t="array" ref="G67">IFERROR(VLOOKUP(F67,Dex!$P$22:$Q$276,2,FALSE),"")</f>
        <v/>
      </c>
      <c r="H67" s="3699"/>
      <c r="I67" s="3686"/>
      <c r="J67" s="3696" t="s">
        <v>195</v>
      </c>
      <c r="K67" s="3697">
        <f t="array" ref="K67">IFERROR(VLOOKUP(J51,Dex!$B$3:$N1022,11,FALSE),"")</f>
        <v>55</v>
      </c>
      <c r="L67" s="3698" t="str">
        <f t="array" ref="L67">IFERROR(VLOOKUP(K67,Dex!$P$22:$Q$276,2,FALSE),"")</f>
        <v/>
      </c>
      <c r="M67" s="3699"/>
      <c r="N67" s="3686"/>
      <c r="O67" s="3696" t="s">
        <v>195</v>
      </c>
      <c r="P67" s="3697">
        <f t="array" ref="P67">IFERROR(VLOOKUP(O51,Dex!$B$3:$N1022,11,FALSE),"")</f>
        <v>55</v>
      </c>
      <c r="Q67" s="3698" t="str">
        <f t="array" ref="Q67">IFERROR(VLOOKUP(P67,Dex!$P$22:$Q$276,2,FALSE),"")</f>
        <v/>
      </c>
      <c r="R67" s="3699"/>
      <c r="S67" s="3694"/>
      <c r="T67" s="3696" t="s">
        <v>195</v>
      </c>
      <c r="U67" s="3697">
        <f t="array" ref="U67">IFERROR(VLOOKUP(T51,Dex!$B$3:$N1022,11,FALSE),"")</f>
        <v>65</v>
      </c>
      <c r="V67" s="3698" t="str">
        <f t="array" ref="V67">IFERROR(VLOOKUP(U67,Dex!$P$22:$Q$276,2,FALSE),"")</f>
        <v/>
      </c>
      <c r="W67" s="3699"/>
      <c r="X67" s="3687"/>
      <c r="Y67" s="3687"/>
      <c r="Z67" s="3683"/>
      <c r="AA67" s="3628"/>
      <c r="AB67" s="3687"/>
      <c r="AC67" s="3687"/>
      <c r="AD67" s="3687"/>
      <c r="AE67" s="3687"/>
      <c r="AF67" s="3687"/>
      <c r="AG67" s="3687"/>
      <c r="AH67" s="3689"/>
      <c r="AI67" s="3466"/>
    </row>
    <row r="68" ht="16.5" customHeight="1">
      <c r="A68" s="3457"/>
      <c r="B68" s="3682"/>
      <c r="C68" s="3676"/>
      <c r="D68" s="3683"/>
      <c r="E68" s="3696" t="s">
        <v>196</v>
      </c>
      <c r="F68" s="3697">
        <f t="array" ref="F68">IFERROR(VLOOKUP(E51,Dex!$B$3:$N1022,12,FALSE),"")</f>
        <v>60</v>
      </c>
      <c r="G68" s="3698" t="str">
        <f t="array" ref="G68">IFERROR(VLOOKUP(F68,Dex!$P$22:$Q$276,2,FALSE),"")</f>
        <v/>
      </c>
      <c r="H68" s="3699"/>
      <c r="I68" s="3686"/>
      <c r="J68" s="3696" t="s">
        <v>196</v>
      </c>
      <c r="K68" s="3697">
        <f t="array" ref="K68">IFERROR(VLOOKUP(J51,Dex!$B$3:$N1022,12,FALSE),"")</f>
        <v>55</v>
      </c>
      <c r="L68" s="3698" t="str">
        <f t="array" ref="L68">IFERROR(VLOOKUP(K68,Dex!$P$22:$Q$276,2,FALSE),"")</f>
        <v/>
      </c>
      <c r="M68" s="3699"/>
      <c r="N68" s="3686"/>
      <c r="O68" s="3696" t="s">
        <v>196</v>
      </c>
      <c r="P68" s="3697">
        <f t="array" ref="P68">IFERROR(VLOOKUP(O51,Dex!$B$3:$N1022,12,FALSE),"")</f>
        <v>80</v>
      </c>
      <c r="Q68" s="3698" t="str">
        <f t="array" ref="Q68">IFERROR(VLOOKUP(P68,Dex!$P$22:$Q$276,2,FALSE),"")</f>
        <v/>
      </c>
      <c r="R68" s="3699"/>
      <c r="S68" s="3694"/>
      <c r="T68" s="3696" t="s">
        <v>196</v>
      </c>
      <c r="U68" s="3697">
        <f t="array" ref="U68">IFERROR(VLOOKUP(T51,Dex!$B$3:$N1022,12,FALSE),"")</f>
        <v>65</v>
      </c>
      <c r="V68" s="3698" t="str">
        <f t="array" ref="V68">IFERROR(VLOOKUP(U68,Dex!$P$22:$Q$276,2,FALSE),"")</f>
        <v/>
      </c>
      <c r="W68" s="3699"/>
      <c r="X68" s="3687"/>
      <c r="Y68" s="3687"/>
      <c r="Z68" s="3683"/>
      <c r="AA68" s="3628"/>
      <c r="AB68" s="3687"/>
      <c r="AC68" s="3687"/>
      <c r="AD68" s="3687"/>
      <c r="AE68" s="3687"/>
      <c r="AF68" s="3687"/>
      <c r="AG68" s="3687"/>
      <c r="AH68" s="3689"/>
      <c r="AI68" s="3466"/>
    </row>
    <row r="69" ht="16.5" customHeight="1">
      <c r="A69" s="3457"/>
      <c r="B69" s="3682"/>
      <c r="C69" s="1204" t="s">
        <v>436</v>
      </c>
      <c r="D69" s="3683"/>
      <c r="E69" s="3702" t="s">
        <v>197</v>
      </c>
      <c r="F69" s="3703">
        <f t="array" ref="F69">IFERROR(VLOOKUP(E51,Dex!$B$3:$N1022,13,FALSE),"")</f>
        <v>80</v>
      </c>
      <c r="G69" s="3704" t="str">
        <f t="array" ref="G69">IFERROR(VLOOKUP(F69,Dex!$P$22:$Q$276,2,FALSE),"")</f>
        <v/>
      </c>
      <c r="H69" s="3705"/>
      <c r="I69" s="3686"/>
      <c r="J69" s="3702" t="s">
        <v>197</v>
      </c>
      <c r="K69" s="3703">
        <f t="array" ref="K69">IFERROR(VLOOKUP(J51,Dex!$B$3:$N1022,13,FALSE),"")</f>
        <v>100</v>
      </c>
      <c r="L69" s="3704" t="str">
        <f t="array" ref="L69">IFERROR(VLOOKUP(K69,Dex!$P$22:$Q$276,2,FALSE),"")</f>
        <v/>
      </c>
      <c r="M69" s="3705"/>
      <c r="N69" s="3686"/>
      <c r="O69" s="3702" t="s">
        <v>197</v>
      </c>
      <c r="P69" s="3703">
        <f t="array" ref="P69">IFERROR(VLOOKUP(O51,Dex!$B$3:$N1022,13,FALSE),"")</f>
        <v>50</v>
      </c>
      <c r="Q69" s="3704" t="str">
        <f t="array" ref="Q69">IFERROR(VLOOKUP(P69,Dex!$P$22:$Q$276,2,FALSE),"")</f>
        <v/>
      </c>
      <c r="R69" s="3705"/>
      <c r="S69" s="3694"/>
      <c r="T69" s="3702" t="s">
        <v>197</v>
      </c>
      <c r="U69" s="3703">
        <f t="array" ref="U69">IFERROR(VLOOKUP(T51,Dex!$B$3:$N1022,13,FALSE),"")</f>
        <v>50</v>
      </c>
      <c r="V69" s="3704" t="str">
        <f t="array" ref="V69">IFERROR(VLOOKUP(U69,Dex!$P$22:$Q$276,2,FALSE),"")</f>
        <v/>
      </c>
      <c r="W69" s="3705"/>
      <c r="X69" s="3687"/>
      <c r="Y69" s="3687"/>
      <c r="Z69" s="3683"/>
      <c r="AA69" s="3628"/>
      <c r="AB69" s="3687"/>
      <c r="AC69" s="3687"/>
      <c r="AD69" s="3687"/>
      <c r="AE69" s="3687"/>
      <c r="AF69" s="3687"/>
      <c r="AG69" s="3687"/>
      <c r="AH69" s="3689"/>
      <c r="AI69" s="3466"/>
    </row>
    <row r="70" ht="16.5" customHeight="1">
      <c r="A70" s="3457"/>
      <c r="B70" s="3682"/>
      <c r="C70" s="1205" t="s">
        <v>1006</v>
      </c>
      <c r="D70" s="3683"/>
      <c r="E70" s="3706" t="s">
        <v>198</v>
      </c>
      <c r="F70" s="405"/>
      <c r="G70" s="406"/>
      <c r="H70" s="3707">
        <v>37.0</v>
      </c>
      <c r="I70" s="3686"/>
      <c r="J70" s="3706" t="s">
        <v>198</v>
      </c>
      <c r="K70" s="405"/>
      <c r="L70" s="406"/>
      <c r="M70" s="3707">
        <v>48.0</v>
      </c>
      <c r="N70" s="3686"/>
      <c r="O70" s="3706" t="s">
        <v>198</v>
      </c>
      <c r="P70" s="405"/>
      <c r="Q70" s="406"/>
      <c r="R70" s="3707">
        <v>27.0</v>
      </c>
      <c r="S70" s="3694"/>
      <c r="T70" s="3706" t="s">
        <v>198</v>
      </c>
      <c r="U70" s="405"/>
      <c r="V70" s="406"/>
      <c r="W70" s="3707">
        <v>27.0</v>
      </c>
      <c r="X70" s="3687"/>
      <c r="Y70" s="3687"/>
      <c r="Z70" s="3683"/>
      <c r="AA70" s="3667"/>
      <c r="AB70" s="3687"/>
      <c r="AC70" s="3687"/>
      <c r="AD70" s="3687"/>
      <c r="AE70" s="3687"/>
      <c r="AF70" s="3687"/>
      <c r="AG70" s="3687"/>
      <c r="AH70" s="3689"/>
      <c r="AI70" s="3466"/>
    </row>
    <row r="71" ht="15.0" customHeight="1">
      <c r="A71" s="3361"/>
      <c r="B71" s="3708"/>
      <c r="C71" s="3709"/>
      <c r="D71" s="3710"/>
      <c r="E71" s="3710"/>
      <c r="F71" s="3710"/>
      <c r="G71" s="3710"/>
      <c r="H71" s="3710"/>
      <c r="I71" s="3710"/>
      <c r="J71" s="3710"/>
      <c r="K71" s="3710"/>
      <c r="L71" s="3710"/>
      <c r="M71" s="3710"/>
      <c r="N71" s="3710"/>
      <c r="O71" s="3710"/>
      <c r="P71" s="3710"/>
      <c r="Q71" s="3710"/>
      <c r="R71" s="3710"/>
      <c r="S71" s="3710"/>
      <c r="T71" s="3710"/>
      <c r="U71" s="3710"/>
      <c r="V71" s="3710"/>
      <c r="W71" s="3710"/>
      <c r="X71" s="3710"/>
      <c r="Y71" s="3710"/>
      <c r="Z71" s="3710"/>
      <c r="AA71" s="3710"/>
      <c r="AB71" s="3710"/>
      <c r="AC71" s="3710"/>
      <c r="AD71" s="3710"/>
      <c r="AE71" s="3710"/>
      <c r="AF71" s="3710"/>
      <c r="AG71" s="3710"/>
      <c r="AH71" s="3711"/>
      <c r="AI71" s="3367"/>
    </row>
    <row r="72" ht="15.0" customHeight="1">
      <c r="A72" s="3361"/>
      <c r="B72" s="3712"/>
      <c r="C72" s="3713"/>
      <c r="D72" s="3714"/>
      <c r="E72" s="3714"/>
      <c r="F72" s="3714"/>
      <c r="G72" s="3714"/>
      <c r="H72" s="3714"/>
      <c r="I72" s="3714"/>
      <c r="J72" s="3714"/>
      <c r="K72" s="3714"/>
      <c r="L72" s="3714"/>
      <c r="M72" s="3714"/>
      <c r="N72" s="3714"/>
      <c r="O72" s="3714"/>
      <c r="P72" s="3714"/>
      <c r="Q72" s="3714"/>
      <c r="R72" s="3714"/>
      <c r="S72" s="3714"/>
      <c r="T72" s="3714"/>
      <c r="U72" s="3714"/>
      <c r="V72" s="3714"/>
      <c r="W72" s="3714"/>
      <c r="X72" s="3714"/>
      <c r="Y72" s="3714"/>
      <c r="Z72" s="3714"/>
      <c r="AA72" s="3714"/>
      <c r="AB72" s="3714"/>
      <c r="AC72" s="3714"/>
      <c r="AD72" s="3714"/>
      <c r="AE72" s="3714"/>
      <c r="AF72" s="3714"/>
      <c r="AG72" s="3714"/>
      <c r="AH72" s="3715"/>
      <c r="AI72" s="3367"/>
    </row>
    <row r="73">
      <c r="A73" s="3361"/>
      <c r="B73" s="3716"/>
      <c r="C73" s="3717"/>
      <c r="D73" s="3718"/>
      <c r="E73" s="3719" t="s">
        <v>1007</v>
      </c>
      <c r="F73" s="3720"/>
      <c r="G73" s="3720"/>
      <c r="H73" s="3720"/>
      <c r="I73" s="3720"/>
      <c r="J73" s="3720"/>
      <c r="K73" s="3720"/>
      <c r="L73" s="3720"/>
      <c r="M73" s="3720"/>
      <c r="N73" s="3720"/>
      <c r="O73" s="3720"/>
      <c r="P73" s="3720"/>
      <c r="Q73" s="3720"/>
      <c r="R73" s="3720"/>
      <c r="S73" s="3720"/>
      <c r="T73" s="3720"/>
      <c r="U73" s="3720"/>
      <c r="V73" s="3720"/>
      <c r="W73" s="3720"/>
      <c r="X73" s="3720"/>
      <c r="Y73" s="3720"/>
      <c r="Z73" s="3720"/>
      <c r="AA73" s="3720"/>
      <c r="AB73" s="3720"/>
      <c r="AC73" s="3720"/>
      <c r="AD73" s="3720"/>
      <c r="AE73" s="3720"/>
      <c r="AF73" s="3720"/>
      <c r="AG73" s="3721"/>
      <c r="AH73" s="3722"/>
      <c r="AI73" s="3367"/>
    </row>
    <row r="74" ht="96.75" customHeight="1">
      <c r="A74" s="3361"/>
      <c r="B74" s="3716"/>
      <c r="C74" s="3723" t="str">
        <f>IMAGE("https://i.ibb.co/cw6n81f/Bug-Catcher.png")</f>
        <v/>
      </c>
      <c r="D74" s="3724"/>
      <c r="E74" s="3725" t="str">
        <f t="array" ref="E74">IFERROR(VLOOKUP(E75,Dex!$B$3:$G1022,3,FALSE),"")</f>
        <v/>
      </c>
      <c r="F74" s="1830"/>
      <c r="G74" s="1830"/>
      <c r="H74" s="1831"/>
      <c r="I74" s="3726"/>
      <c r="J74" s="3725" t="str">
        <f t="array" ref="J74">IFERROR(VLOOKUP(J75,Dex!$B$3:$G1022,3,FALSE),"")</f>
        <v/>
      </c>
      <c r="K74" s="1830"/>
      <c r="L74" s="1830"/>
      <c r="M74" s="1831"/>
      <c r="N74" s="3726"/>
      <c r="O74" s="3725" t="str">
        <f t="array" ref="O74">IFERROR(VLOOKUP(O75,Dex!$B$3:$G1022,3,FALSE),"")</f>
        <v/>
      </c>
      <c r="P74" s="1830"/>
      <c r="Q74" s="1830"/>
      <c r="R74" s="1831"/>
      <c r="S74" s="3727"/>
      <c r="T74" s="3728"/>
      <c r="U74" s="3720"/>
      <c r="V74" s="3720"/>
      <c r="W74" s="3721"/>
      <c r="X74" s="3727"/>
      <c r="Y74" s="3728"/>
      <c r="Z74" s="3720"/>
      <c r="AA74" s="3720"/>
      <c r="AB74" s="3721"/>
      <c r="AC74" s="3727"/>
      <c r="AD74" s="3728"/>
      <c r="AE74" s="3720"/>
      <c r="AF74" s="3720"/>
      <c r="AG74" s="3721"/>
      <c r="AH74" s="3722"/>
      <c r="AI74" s="3367"/>
    </row>
    <row r="75" ht="18.75" customHeight="1">
      <c r="A75" s="3621"/>
      <c r="B75" s="3729"/>
      <c r="C75" s="3730" t="s">
        <v>1008</v>
      </c>
      <c r="D75" s="3731"/>
      <c r="E75" s="3732" t="s">
        <v>1009</v>
      </c>
      <c r="F75" s="3733"/>
      <c r="G75" s="3733"/>
      <c r="H75" s="3734"/>
      <c r="I75" s="3735"/>
      <c r="J75" s="3732" t="s">
        <v>1010</v>
      </c>
      <c r="K75" s="3733"/>
      <c r="L75" s="3733"/>
      <c r="M75" s="3734"/>
      <c r="N75" s="3735"/>
      <c r="O75" s="3732" t="s">
        <v>1011</v>
      </c>
      <c r="P75" s="3733"/>
      <c r="Q75" s="3733"/>
      <c r="R75" s="3734"/>
      <c r="S75" s="3735"/>
      <c r="T75" s="3736"/>
      <c r="U75" s="3720"/>
      <c r="V75" s="3720"/>
      <c r="W75" s="3721"/>
      <c r="X75" s="3735"/>
      <c r="Y75" s="3736"/>
      <c r="Z75" s="3720"/>
      <c r="AA75" s="3720"/>
      <c r="AB75" s="3721"/>
      <c r="AC75" s="3735"/>
      <c r="AD75" s="3736"/>
      <c r="AE75" s="3720"/>
      <c r="AF75" s="3720"/>
      <c r="AG75" s="3721"/>
      <c r="AH75" s="3737"/>
      <c r="AI75" s="3631"/>
    </row>
    <row r="76">
      <c r="A76" s="3632"/>
      <c r="B76" s="3738"/>
      <c r="C76" s="1481"/>
      <c r="D76" s="3739"/>
      <c r="E76" s="3740" t="s">
        <v>843</v>
      </c>
      <c r="F76" s="3741"/>
      <c r="G76" s="3741"/>
      <c r="H76" s="3742"/>
      <c r="I76" s="3735"/>
      <c r="J76" s="3740" t="s">
        <v>715</v>
      </c>
      <c r="K76" s="3741"/>
      <c r="L76" s="3741"/>
      <c r="M76" s="3742"/>
      <c r="N76" s="3735"/>
      <c r="O76" s="3740" t="s">
        <v>715</v>
      </c>
      <c r="P76" s="3741"/>
      <c r="Q76" s="3741"/>
      <c r="R76" s="3742"/>
      <c r="S76" s="3735"/>
      <c r="T76" s="3743"/>
      <c r="U76" s="3720"/>
      <c r="V76" s="3720"/>
      <c r="W76" s="3721"/>
      <c r="X76" s="3735"/>
      <c r="Y76" s="3743"/>
      <c r="Z76" s="3720"/>
      <c r="AA76" s="3720"/>
      <c r="AB76" s="3721"/>
      <c r="AC76" s="3735"/>
      <c r="AD76" s="3743"/>
      <c r="AE76" s="3720"/>
      <c r="AF76" s="3720"/>
      <c r="AG76" s="3721"/>
      <c r="AH76" s="3744"/>
      <c r="AI76" s="3640"/>
    </row>
    <row r="77" ht="25.5" customHeight="1">
      <c r="A77" s="3361"/>
      <c r="B77" s="3716"/>
      <c r="C77" s="1489"/>
      <c r="D77" s="3718"/>
      <c r="E77" s="3745"/>
      <c r="F77" s="3746" t="str">
        <f t="array" ref="F77">IFERROR(VLOOKUP(E75,Dex!$B$3:$H1022,5,FALSE),"")</f>
        <v/>
      </c>
      <c r="G77" s="3747" t="str">
        <f t="array" ref="G77">IFERROR(VLOOKUP(E75,Dex!$B$3:$H1022,7,FALSE),"")</f>
        <v/>
      </c>
      <c r="H77" s="3748"/>
      <c r="I77" s="3735"/>
      <c r="J77" s="3745"/>
      <c r="K77" s="3746" t="str">
        <f t="array" ref="K77">IFERROR(VLOOKUP(J75,Dex!$B$3:$H1022,5,FALSE),"")</f>
        <v/>
      </c>
      <c r="L77" s="3747" t="str">
        <f t="array" ref="L77">IFERROR(VLOOKUP(J75,Dex!$B$3:$H1022,7,FALSE),"")</f>
        <v/>
      </c>
      <c r="M77" s="3748"/>
      <c r="N77" s="3735"/>
      <c r="O77" s="3745"/>
      <c r="P77" s="3746" t="str">
        <f t="array" ref="P77">IFERROR(VLOOKUP(O75,Dex!$B$3:$H1022,5,FALSE),"")</f>
        <v/>
      </c>
      <c r="Q77" s="3747" t="str">
        <f t="array" ref="Q77">IFERROR(VLOOKUP(O75,Dex!$B$3:$H1022,7,FALSE),"")</f>
        <v/>
      </c>
      <c r="R77" s="3748"/>
      <c r="S77" s="3735"/>
      <c r="T77" s="3728"/>
      <c r="U77" s="3720"/>
      <c r="V77" s="3720"/>
      <c r="W77" s="3721"/>
      <c r="X77" s="3735"/>
      <c r="Y77" s="3728"/>
      <c r="Z77" s="3720"/>
      <c r="AA77" s="3720"/>
      <c r="AB77" s="3721"/>
      <c r="AC77" s="3735"/>
      <c r="AD77" s="3728"/>
      <c r="AE77" s="3720"/>
      <c r="AF77" s="3720"/>
      <c r="AG77" s="3721"/>
      <c r="AH77" s="3722"/>
      <c r="AI77" s="3367"/>
    </row>
    <row r="78" ht="2.25" customHeight="1">
      <c r="A78" s="3361"/>
      <c r="B78" s="3716"/>
      <c r="C78" s="3717"/>
      <c r="D78" s="3718"/>
      <c r="E78" s="3749"/>
      <c r="F78" s="3750"/>
      <c r="G78" s="3750"/>
      <c r="H78" s="3751"/>
      <c r="I78" s="3735"/>
      <c r="J78" s="3749"/>
      <c r="K78" s="3750"/>
      <c r="L78" s="3750"/>
      <c r="M78" s="3751"/>
      <c r="N78" s="3735"/>
      <c r="O78" s="3749"/>
      <c r="P78" s="3750"/>
      <c r="Q78" s="3750"/>
      <c r="R78" s="3751"/>
      <c r="S78" s="3735"/>
      <c r="T78" s="3718"/>
      <c r="U78" s="3718"/>
      <c r="V78" s="3718"/>
      <c r="W78" s="3718"/>
      <c r="X78" s="3735"/>
      <c r="Y78" s="3718"/>
      <c r="Z78" s="3718"/>
      <c r="AA78" s="3718"/>
      <c r="AB78" s="3718"/>
      <c r="AC78" s="3735"/>
      <c r="AD78" s="3718"/>
      <c r="AE78" s="3718"/>
      <c r="AF78" s="3718"/>
      <c r="AG78" s="3718"/>
      <c r="AH78" s="3722"/>
      <c r="AI78" s="3367"/>
    </row>
    <row r="79" ht="20.25" customHeight="1">
      <c r="A79" s="3361"/>
      <c r="B79" s="3716"/>
      <c r="C79" s="3717"/>
      <c r="D79" s="3718"/>
      <c r="E79" s="3752" t="s">
        <v>171</v>
      </c>
      <c r="F79" s="3753"/>
      <c r="G79" s="3753"/>
      <c r="H79" s="3754"/>
      <c r="I79" s="3735"/>
      <c r="J79" s="3752" t="s">
        <v>205</v>
      </c>
      <c r="K79" s="3753"/>
      <c r="L79" s="3753"/>
      <c r="M79" s="3754"/>
      <c r="N79" s="3735"/>
      <c r="O79" s="3752" t="s">
        <v>471</v>
      </c>
      <c r="P79" s="3753"/>
      <c r="Q79" s="3753"/>
      <c r="R79" s="3754"/>
      <c r="S79" s="3735"/>
      <c r="T79" s="3728"/>
      <c r="U79" s="3720"/>
      <c r="V79" s="3720"/>
      <c r="W79" s="3721"/>
      <c r="X79" s="3735"/>
      <c r="Y79" s="3728"/>
      <c r="Z79" s="3720"/>
      <c r="AA79" s="3720"/>
      <c r="AB79" s="3721"/>
      <c r="AC79" s="3735"/>
      <c r="AD79" s="3728"/>
      <c r="AE79" s="3720"/>
      <c r="AF79" s="3720"/>
      <c r="AG79" s="3721"/>
      <c r="AH79" s="3722"/>
      <c r="AI79" s="3367"/>
    </row>
    <row r="80" ht="20.25" customHeight="1">
      <c r="A80" s="3361"/>
      <c r="B80" s="3716"/>
      <c r="C80" s="3755"/>
      <c r="D80" s="3718"/>
      <c r="E80" s="3756" t="s">
        <v>1012</v>
      </c>
      <c r="F80" s="3720"/>
      <c r="G80" s="3720"/>
      <c r="H80" s="3757"/>
      <c r="I80" s="3735"/>
      <c r="J80" s="3756" t="s">
        <v>1013</v>
      </c>
      <c r="K80" s="3720"/>
      <c r="L80" s="3720"/>
      <c r="M80" s="3757"/>
      <c r="N80" s="3735"/>
      <c r="O80" s="3756" t="s">
        <v>1014</v>
      </c>
      <c r="P80" s="3720"/>
      <c r="Q80" s="3720"/>
      <c r="R80" s="3757"/>
      <c r="S80" s="3735"/>
      <c r="T80" s="3728"/>
      <c r="U80" s="3720"/>
      <c r="V80" s="3720"/>
      <c r="W80" s="3721"/>
      <c r="X80" s="3735"/>
      <c r="Y80" s="3728"/>
      <c r="Z80" s="3720"/>
      <c r="AA80" s="3720"/>
      <c r="AB80" s="3721"/>
      <c r="AC80" s="3735"/>
      <c r="AD80" s="3728"/>
      <c r="AE80" s="3720"/>
      <c r="AF80" s="3720"/>
      <c r="AG80" s="3721"/>
      <c r="AH80" s="3722"/>
      <c r="AI80" s="3367"/>
    </row>
    <row r="81" ht="20.25" customHeight="1">
      <c r="A81" s="3361"/>
      <c r="B81" s="3716"/>
      <c r="C81" s="3735"/>
      <c r="D81" s="3718"/>
      <c r="E81" s="3758" t="s">
        <v>520</v>
      </c>
      <c r="F81" s="3759"/>
      <c r="G81" s="3760"/>
      <c r="H81" s="3761" t="str">
        <f>IMAGE("https://raw.githubusercontent.com/msikma/pokesprite/master/items/berry/charti.png",3)</f>
        <v/>
      </c>
      <c r="I81" s="3735"/>
      <c r="J81" s="3758" t="s">
        <v>213</v>
      </c>
      <c r="K81" s="3759"/>
      <c r="L81" s="3760"/>
      <c r="M81" s="3761" t="str">
        <f>IMAGE("https://raw.githubusercontent.com/msikma/pokesprite/master/items/berry/sitrus.png",3)</f>
        <v/>
      </c>
      <c r="N81" s="3735"/>
      <c r="O81" s="3758" t="s">
        <v>454</v>
      </c>
      <c r="P81" s="3759"/>
      <c r="Q81" s="3760"/>
      <c r="R81" s="3761" t="str">
        <f>IMAGE("https://raw.githubusercontent.com/msikma/pokesprite/master/items/hold-item/rocky-helmet.png",3)</f>
        <v/>
      </c>
      <c r="S81" s="3735"/>
      <c r="T81" s="3728"/>
      <c r="U81" s="3720"/>
      <c r="V81" s="3720"/>
      <c r="W81" s="3721"/>
      <c r="X81" s="3735"/>
      <c r="Y81" s="3728"/>
      <c r="Z81" s="3720"/>
      <c r="AA81" s="3720"/>
      <c r="AB81" s="3721"/>
      <c r="AC81" s="3735"/>
      <c r="AD81" s="3728"/>
      <c r="AE81" s="3720"/>
      <c r="AF81" s="3720"/>
      <c r="AG81" s="3721"/>
      <c r="AH81" s="3722"/>
      <c r="AI81" s="3367"/>
    </row>
    <row r="82" ht="20.25" customHeight="1">
      <c r="A82" s="3361"/>
      <c r="B82" s="3716"/>
      <c r="C82" s="3762"/>
      <c r="D82" s="3718"/>
      <c r="E82" s="3752" t="s">
        <v>1015</v>
      </c>
      <c r="F82" s="3753"/>
      <c r="G82" s="3763"/>
      <c r="H82" s="3764" t="str">
        <f>IMAGE("https://raw.githubusercontent.com/msikma/pokesprite/master/misc/types/gen8/bug.png",4,20,20)</f>
        <v/>
      </c>
      <c r="I82" s="3735"/>
      <c r="J82" s="3752" t="s">
        <v>283</v>
      </c>
      <c r="K82" s="3753"/>
      <c r="L82" s="3763"/>
      <c r="M82" s="3764" t="str">
        <f>IMAGE("https://raw.githubusercontent.com/msikma/pokesprite/master/misc/types/gen8/grass.png",4,20,20)</f>
        <v/>
      </c>
      <c r="N82" s="3735"/>
      <c r="O82" s="3752" t="s">
        <v>179</v>
      </c>
      <c r="P82" s="3753"/>
      <c r="Q82" s="3763"/>
      <c r="R82" s="3764" t="str">
        <f>IMAGE("https://raw.githubusercontent.com/msikma/pokesprite/master/misc/types/gen8/ground.png",4,20,20)</f>
        <v/>
      </c>
      <c r="S82" s="3735"/>
      <c r="T82" s="3728"/>
      <c r="U82" s="3720"/>
      <c r="V82" s="3720"/>
      <c r="W82" s="3721"/>
      <c r="X82" s="3735"/>
      <c r="Y82" s="3728"/>
      <c r="Z82" s="3720"/>
      <c r="AA82" s="3720"/>
      <c r="AB82" s="3721"/>
      <c r="AC82" s="3735"/>
      <c r="AD82" s="3728"/>
      <c r="AE82" s="3720"/>
      <c r="AF82" s="3720"/>
      <c r="AG82" s="3721"/>
      <c r="AH82" s="3722"/>
      <c r="AI82" s="3367"/>
    </row>
    <row r="83" ht="20.25" customHeight="1">
      <c r="A83" s="3361"/>
      <c r="B83" s="3716"/>
      <c r="C83" s="3717"/>
      <c r="D83" s="3718"/>
      <c r="E83" s="3756" t="s">
        <v>1016</v>
      </c>
      <c r="F83" s="3720"/>
      <c r="G83" s="3721"/>
      <c r="H83" s="3765" t="str">
        <f>IMAGE("https://raw.githubusercontent.com/msikma/pokesprite/master/misc/types/gen8/electric.png",4,20,20)</f>
        <v/>
      </c>
      <c r="I83" s="3735"/>
      <c r="J83" s="3756" t="s">
        <v>1017</v>
      </c>
      <c r="K83" s="3720"/>
      <c r="L83" s="3721"/>
      <c r="M83" s="3765" t="str">
        <f>IMAGE("https://raw.githubusercontent.com/msikma/pokesprite/master/misc/types/gen8/ghost.png",4,20,20)</f>
        <v/>
      </c>
      <c r="N83" s="3735"/>
      <c r="O83" s="3756" t="s">
        <v>521</v>
      </c>
      <c r="P83" s="3720"/>
      <c r="Q83" s="3721"/>
      <c r="R83" s="3765" t="str">
        <f>IMAGE("https://raw.githubusercontent.com/msikma/pokesprite/master/misc/types/gen8/bug.png",4,20,20)</f>
        <v/>
      </c>
      <c r="S83" s="3735"/>
      <c r="T83" s="3728"/>
      <c r="U83" s="3720"/>
      <c r="V83" s="3720"/>
      <c r="W83" s="3721"/>
      <c r="X83" s="3735"/>
      <c r="Y83" s="3728"/>
      <c r="Z83" s="3720"/>
      <c r="AA83" s="3720"/>
      <c r="AB83" s="3721"/>
      <c r="AC83" s="3735"/>
      <c r="AD83" s="3728"/>
      <c r="AE83" s="3720"/>
      <c r="AF83" s="3720"/>
      <c r="AG83" s="3721"/>
      <c r="AH83" s="3722"/>
      <c r="AI83" s="3367"/>
    </row>
    <row r="84" ht="20.25" customHeight="1">
      <c r="A84" s="3361"/>
      <c r="B84" s="3716"/>
      <c r="C84" s="3717"/>
      <c r="D84" s="3718"/>
      <c r="E84" s="3756" t="s">
        <v>851</v>
      </c>
      <c r="F84" s="3720"/>
      <c r="G84" s="3721"/>
      <c r="H84" s="3765" t="str">
        <f>IMAGE("https://raw.githubusercontent.com/msikma/pokesprite/master/misc/types/gen8/flying.png",4,20,20)</f>
        <v/>
      </c>
      <c r="I84" s="3735"/>
      <c r="J84" s="3756" t="s">
        <v>851</v>
      </c>
      <c r="K84" s="3720"/>
      <c r="L84" s="3721"/>
      <c r="M84" s="3765" t="str">
        <f>IMAGE("https://raw.githubusercontent.com/msikma/pokesprite/master/misc/types/gen8/flying.png",4,20,20)</f>
        <v/>
      </c>
      <c r="N84" s="3735"/>
      <c r="O84" s="3756" t="s">
        <v>181</v>
      </c>
      <c r="P84" s="3720"/>
      <c r="Q84" s="3721"/>
      <c r="R84" s="3765" t="str">
        <f>IMAGE("https://raw.githubusercontent.com/msikma/pokesprite/master/misc/types/gen8/rock.png",4,20,20)</f>
        <v/>
      </c>
      <c r="S84" s="3735"/>
      <c r="T84" s="3728"/>
      <c r="U84" s="3720"/>
      <c r="V84" s="3720"/>
      <c r="W84" s="3721"/>
      <c r="X84" s="3735"/>
      <c r="Y84" s="3728"/>
      <c r="Z84" s="3720"/>
      <c r="AA84" s="3720"/>
      <c r="AB84" s="3721"/>
      <c r="AC84" s="3735"/>
      <c r="AD84" s="3728"/>
      <c r="AE84" s="3720"/>
      <c r="AF84" s="3720"/>
      <c r="AG84" s="3721"/>
      <c r="AH84" s="3722"/>
      <c r="AI84" s="3367"/>
    </row>
    <row r="85" ht="21.0" customHeight="1">
      <c r="A85" s="3361"/>
      <c r="B85" s="3716"/>
      <c r="C85" s="3717"/>
      <c r="D85" s="3718"/>
      <c r="E85" s="3766" t="s">
        <v>314</v>
      </c>
      <c r="F85" s="3767"/>
      <c r="G85" s="3768"/>
      <c r="H85" s="3769" t="str">
        <f>IMAGE("https://raw.githubusercontent.com/msikma/pokesprite/master/misc/types/gen8/fairy.png",4,20,20)</f>
        <v/>
      </c>
      <c r="I85" s="3762"/>
      <c r="J85" s="3766" t="s">
        <v>726</v>
      </c>
      <c r="K85" s="3767"/>
      <c r="L85" s="3768"/>
      <c r="M85" s="3769" t="str">
        <f>IMAGE("https://raw.githubusercontent.com/msikma/pokesprite/master/misc/types/gen8/grass.png",4,20,20)</f>
        <v/>
      </c>
      <c r="N85" s="3762"/>
      <c r="O85" s="3766" t="s">
        <v>541</v>
      </c>
      <c r="P85" s="3767"/>
      <c r="Q85" s="3768"/>
      <c r="R85" s="3769" t="str">
        <f>IMAGE("https://raw.githubusercontent.com/msikma/pokesprite/master/misc/types/gen8/dark.png",4,20,20)</f>
        <v/>
      </c>
      <c r="S85" s="3762"/>
      <c r="T85" s="3728"/>
      <c r="U85" s="3720"/>
      <c r="V85" s="3720"/>
      <c r="W85" s="3721"/>
      <c r="X85" s="3762"/>
      <c r="Y85" s="3728"/>
      <c r="Z85" s="3720"/>
      <c r="AA85" s="3720"/>
      <c r="AB85" s="3721"/>
      <c r="AC85" s="3762"/>
      <c r="AD85" s="3728"/>
      <c r="AE85" s="3720"/>
      <c r="AF85" s="3720"/>
      <c r="AG85" s="3721"/>
      <c r="AH85" s="3722"/>
      <c r="AI85" s="3367"/>
    </row>
    <row r="86" ht="3.0" customHeight="1">
      <c r="A86" s="3445"/>
      <c r="B86" s="3770"/>
      <c r="C86" s="3771"/>
      <c r="D86" s="3772"/>
      <c r="E86" s="3773"/>
      <c r="F86" s="3773"/>
      <c r="G86" s="3773"/>
      <c r="H86" s="3773"/>
      <c r="I86" s="3772"/>
      <c r="J86" s="3774"/>
      <c r="K86" s="3774"/>
      <c r="L86" s="3774"/>
      <c r="M86" s="3773"/>
      <c r="N86" s="3772"/>
      <c r="O86" s="3774"/>
      <c r="P86" s="3774"/>
      <c r="Q86" s="3774"/>
      <c r="R86" s="3773"/>
      <c r="S86" s="3773"/>
      <c r="T86" s="3773"/>
      <c r="U86" s="3773"/>
      <c r="V86" s="3773"/>
      <c r="W86" s="3773"/>
      <c r="X86" s="3772"/>
      <c r="Y86" s="3772"/>
      <c r="Z86" s="3775"/>
      <c r="AA86" s="3775"/>
      <c r="AB86" s="3776"/>
      <c r="AC86" s="3776"/>
      <c r="AD86" s="3776"/>
      <c r="AE86" s="3776"/>
      <c r="AF86" s="3776"/>
      <c r="AG86" s="3776"/>
      <c r="AH86" s="3777"/>
      <c r="AI86" s="3456"/>
    </row>
    <row r="87" ht="16.5" customHeight="1">
      <c r="A87" s="3457"/>
      <c r="B87" s="3778"/>
      <c r="C87" s="3771"/>
      <c r="D87" s="3779"/>
      <c r="E87" s="1658" t="s">
        <v>190</v>
      </c>
      <c r="F87" s="381"/>
      <c r="G87" s="382"/>
      <c r="H87" s="1659" t="s">
        <v>191</v>
      </c>
      <c r="I87" s="3780"/>
      <c r="J87" s="1658" t="s">
        <v>190</v>
      </c>
      <c r="K87" s="381"/>
      <c r="L87" s="382"/>
      <c r="M87" s="1659" t="s">
        <v>191</v>
      </c>
      <c r="N87" s="3780"/>
      <c r="O87" s="1658" t="s">
        <v>190</v>
      </c>
      <c r="P87" s="381"/>
      <c r="Q87" s="382"/>
      <c r="R87" s="1659" t="s">
        <v>191</v>
      </c>
      <c r="S87" s="3772"/>
      <c r="T87" s="3781"/>
      <c r="U87" s="3781"/>
      <c r="V87" s="3781"/>
      <c r="W87" s="3781"/>
      <c r="X87" s="3781"/>
      <c r="Y87" s="3781"/>
      <c r="Z87" s="3782"/>
      <c r="AA87" s="3782"/>
      <c r="AB87" s="3781"/>
      <c r="AC87" s="3781"/>
      <c r="AD87" s="3781"/>
      <c r="AE87" s="3781"/>
      <c r="AF87" s="3781"/>
      <c r="AG87" s="3781"/>
      <c r="AH87" s="3783"/>
      <c r="AI87" s="3466"/>
    </row>
    <row r="88" ht="16.5" customHeight="1">
      <c r="A88" s="3457"/>
      <c r="B88" s="3778"/>
      <c r="C88" s="3771"/>
      <c r="D88" s="3779"/>
      <c r="E88" s="1667" t="s">
        <v>192</v>
      </c>
      <c r="F88" s="1668">
        <f t="array" ref="F88">IFERROR(VLOOKUP(E75,Dex!$B$3:$N1022,8,FALSE),"")</f>
        <v>80</v>
      </c>
      <c r="G88" s="1669" t="str">
        <f t="array" ref="G88">IFERROR(VLOOKUP(F88,Dex!$P$22:$Q$276,2,FALSE),"")</f>
        <v/>
      </c>
      <c r="H88" s="1670"/>
      <c r="I88" s="3784"/>
      <c r="J88" s="1667" t="s">
        <v>192</v>
      </c>
      <c r="K88" s="1668">
        <f t="array" ref="K88">IFERROR(VLOOKUP(J75,Dex!$B$3:$N1022,8,FALSE),"")</f>
        <v>60</v>
      </c>
      <c r="L88" s="1669" t="str">
        <f t="array" ref="L88">IFERROR(VLOOKUP(K88,Dex!$P$22:$Q$276,2,FALSE),"")</f>
        <v/>
      </c>
      <c r="M88" s="1670"/>
      <c r="N88" s="3784"/>
      <c r="O88" s="1667" t="s">
        <v>192</v>
      </c>
      <c r="P88" s="1668">
        <f t="array" ref="P88">IFERROR(VLOOKUP(O75,Dex!$B$3:$N1022,8,FALSE),"")</f>
        <v>60</v>
      </c>
      <c r="Q88" s="1669" t="str">
        <f t="array" ref="Q88">IFERROR(VLOOKUP(P88,Dex!$P$22:$Q$276,2,FALSE),"")</f>
        <v/>
      </c>
      <c r="R88" s="1670"/>
      <c r="S88" s="3781"/>
      <c r="T88" s="3781"/>
      <c r="U88" s="3781"/>
      <c r="V88" s="3781"/>
      <c r="W88" s="3781"/>
      <c r="X88" s="3781"/>
      <c r="Y88" s="3781"/>
      <c r="Z88" s="3785"/>
      <c r="AA88" s="3785"/>
      <c r="AB88" s="3781"/>
      <c r="AC88" s="3781"/>
      <c r="AD88" s="3781"/>
      <c r="AE88" s="3781"/>
      <c r="AF88" s="3781"/>
      <c r="AG88" s="3781"/>
      <c r="AH88" s="3783"/>
      <c r="AI88" s="3466"/>
    </row>
    <row r="89" ht="16.5" customHeight="1">
      <c r="A89" s="3457"/>
      <c r="B89" s="3778"/>
      <c r="C89" s="3771"/>
      <c r="D89" s="3779"/>
      <c r="E89" s="1671" t="s">
        <v>193</v>
      </c>
      <c r="F89" s="1672">
        <f t="array" ref="F89">IFERROR(VLOOKUP(E75,Dex!$B$3:$N1022,9,FALSE),"")</f>
        <v>52</v>
      </c>
      <c r="G89" s="1673" t="str">
        <f t="array" ref="G89">IFERROR(VLOOKUP(F89,Dex!$P$22:$Q$276,2,FALSE),"")</f>
        <v/>
      </c>
      <c r="H89" s="1674"/>
      <c r="I89" s="3784"/>
      <c r="J89" s="1671" t="s">
        <v>193</v>
      </c>
      <c r="K89" s="1672">
        <f t="array" ref="K89">IFERROR(VLOOKUP(J75,Dex!$B$3:$N1022,9,FALSE),"")</f>
        <v>60</v>
      </c>
      <c r="L89" s="1673" t="str">
        <f t="array" ref="L89">IFERROR(VLOOKUP(K89,Dex!$P$22:$Q$276,2,FALSE),"")</f>
        <v/>
      </c>
      <c r="M89" s="1674"/>
      <c r="N89" s="3784"/>
      <c r="O89" s="1671" t="s">
        <v>193</v>
      </c>
      <c r="P89" s="1672">
        <f t="array" ref="P89">IFERROR(VLOOKUP(O75,Dex!$B$3:$N1022,9,FALSE),"")</f>
        <v>59</v>
      </c>
      <c r="Q89" s="1673" t="str">
        <f t="array" ref="Q89">IFERROR(VLOOKUP(P89,Dex!$P$22:$Q$276,2,FALSE),"")</f>
        <v/>
      </c>
      <c r="R89" s="1674"/>
      <c r="S89" s="3781"/>
      <c r="T89" s="3781"/>
      <c r="U89" s="3781"/>
      <c r="V89" s="3781"/>
      <c r="W89" s="3781"/>
      <c r="X89" s="3781"/>
      <c r="Y89" s="3781"/>
      <c r="Z89" s="3786"/>
      <c r="AA89" s="3786"/>
      <c r="AB89" s="3781"/>
      <c r="AC89" s="3781"/>
      <c r="AD89" s="3781"/>
      <c r="AE89" s="3781"/>
      <c r="AF89" s="3781"/>
      <c r="AG89" s="3781"/>
      <c r="AH89" s="3783"/>
      <c r="AI89" s="3466"/>
    </row>
    <row r="90" ht="16.5" customHeight="1">
      <c r="A90" s="3457"/>
      <c r="B90" s="3778"/>
      <c r="C90" s="3771"/>
      <c r="D90" s="3779"/>
      <c r="E90" s="1671" t="s">
        <v>194</v>
      </c>
      <c r="F90" s="1672">
        <f t="array" ref="F90">IFERROR(VLOOKUP(E75,Dex!$B$3:$N1022,10,FALSE),"")</f>
        <v>50</v>
      </c>
      <c r="G90" s="1673" t="str">
        <f t="array" ref="G90">IFERROR(VLOOKUP(F90,Dex!$P$22:$Q$276,2,FALSE),"")</f>
        <v/>
      </c>
      <c r="H90" s="1674"/>
      <c r="I90" s="3784"/>
      <c r="J90" s="1671" t="s">
        <v>194</v>
      </c>
      <c r="K90" s="1672">
        <f t="array" ref="K90">IFERROR(VLOOKUP(J75,Dex!$B$3:$N1022,10,FALSE),"")</f>
        <v>45</v>
      </c>
      <c r="L90" s="1673" t="str">
        <f t="array" ref="L90">IFERROR(VLOOKUP(K90,Dex!$P$22:$Q$276,2,FALSE),"")</f>
        <v/>
      </c>
      <c r="M90" s="1674"/>
      <c r="N90" s="3784"/>
      <c r="O90" s="1671" t="s">
        <v>194</v>
      </c>
      <c r="P90" s="1672">
        <f t="array" ref="P90">IFERROR(VLOOKUP(O75,Dex!$B$3:$N1022,10,FALSE),"")</f>
        <v>105</v>
      </c>
      <c r="Q90" s="1673" t="str">
        <f t="array" ref="Q90">IFERROR(VLOOKUP(P90,Dex!$P$22:$Q$276,2,FALSE),"")</f>
        <v/>
      </c>
      <c r="R90" s="1674"/>
      <c r="S90" s="3781"/>
      <c r="T90" s="3781"/>
      <c r="U90" s="3781"/>
      <c r="V90" s="3781"/>
      <c r="W90" s="3781"/>
      <c r="X90" s="3781"/>
      <c r="Y90" s="3781"/>
      <c r="Z90" s="3787"/>
      <c r="AA90" s="3787"/>
      <c r="AB90" s="3781"/>
      <c r="AC90" s="3781"/>
      <c r="AD90" s="3781"/>
      <c r="AE90" s="3781"/>
      <c r="AF90" s="3781"/>
      <c r="AG90" s="3781"/>
      <c r="AH90" s="3783"/>
      <c r="AI90" s="3466"/>
    </row>
    <row r="91" ht="16.5" customHeight="1">
      <c r="A91" s="3457"/>
      <c r="B91" s="3778"/>
      <c r="C91" s="3771"/>
      <c r="D91" s="3779"/>
      <c r="E91" s="1671" t="s">
        <v>195</v>
      </c>
      <c r="F91" s="1672">
        <f t="array" ref="F91">IFERROR(VLOOKUP(E75,Dex!$B$3:$N1022,11,FALSE),"")</f>
        <v>90</v>
      </c>
      <c r="G91" s="1673" t="str">
        <f t="array" ref="G91">IFERROR(VLOOKUP(F91,Dex!$P$22:$Q$276,2,FALSE),"")</f>
        <v/>
      </c>
      <c r="H91" s="1674"/>
      <c r="I91" s="3784"/>
      <c r="J91" s="1671" t="s">
        <v>195</v>
      </c>
      <c r="K91" s="1672">
        <f t="array" ref="K91">IFERROR(VLOOKUP(J75,Dex!$B$3:$N1022,11,FALSE),"")</f>
        <v>50</v>
      </c>
      <c r="L91" s="1673" t="str">
        <f t="array" ref="L91">IFERROR(VLOOKUP(K91,Dex!$P$22:$Q$276,2,FALSE),"")</f>
        <v/>
      </c>
      <c r="M91" s="1674"/>
      <c r="N91" s="3784"/>
      <c r="O91" s="1671" t="s">
        <v>195</v>
      </c>
      <c r="P91" s="1672">
        <f t="array" ref="P91">IFERROR(VLOOKUP(O75,Dex!$B$3:$N1022,11,FALSE),"")</f>
        <v>79</v>
      </c>
      <c r="Q91" s="1673" t="str">
        <f t="array" ref="Q91">IFERROR(VLOOKUP(P91,Dex!$P$22:$Q$276,2,FALSE),"")</f>
        <v/>
      </c>
      <c r="R91" s="1674"/>
      <c r="S91" s="3781"/>
      <c r="T91" s="3781"/>
      <c r="U91" s="3781"/>
      <c r="V91" s="3781"/>
      <c r="W91" s="3781"/>
      <c r="X91" s="3781"/>
      <c r="Y91" s="3781"/>
      <c r="Z91" s="3735"/>
      <c r="AA91" s="3735"/>
      <c r="AB91" s="3781"/>
      <c r="AC91" s="3781"/>
      <c r="AD91" s="3781"/>
      <c r="AE91" s="3781"/>
      <c r="AF91" s="3781"/>
      <c r="AG91" s="3781"/>
      <c r="AH91" s="3783"/>
      <c r="AI91" s="3466"/>
    </row>
    <row r="92" ht="16.5" customHeight="1">
      <c r="A92" s="3457"/>
      <c r="B92" s="3778"/>
      <c r="C92" s="3771"/>
      <c r="D92" s="3779"/>
      <c r="E92" s="1671" t="s">
        <v>196</v>
      </c>
      <c r="F92" s="1672">
        <f t="array" ref="F92">IFERROR(VLOOKUP(E75,Dex!$B$3:$N1022,12,FALSE),"")</f>
        <v>50</v>
      </c>
      <c r="G92" s="1673" t="str">
        <f t="array" ref="G92">IFERROR(VLOOKUP(F92,Dex!$P$22:$Q$276,2,FALSE),"")</f>
        <v/>
      </c>
      <c r="H92" s="1674"/>
      <c r="I92" s="3784"/>
      <c r="J92" s="1671" t="s">
        <v>196</v>
      </c>
      <c r="K92" s="1672">
        <f t="array" ref="K92">IFERROR(VLOOKUP(J75,Dex!$B$3:$N1022,12,FALSE),"")</f>
        <v>95</v>
      </c>
      <c r="L92" s="1673" t="str">
        <f t="array" ref="L92">IFERROR(VLOOKUP(K92,Dex!$P$22:$Q$276,2,FALSE),"")</f>
        <v/>
      </c>
      <c r="M92" s="1674"/>
      <c r="N92" s="3784"/>
      <c r="O92" s="1671" t="s">
        <v>196</v>
      </c>
      <c r="P92" s="1672">
        <f t="array" ref="P92">IFERROR(VLOOKUP(O75,Dex!$B$3:$N1022,12,FALSE),"")</f>
        <v>85</v>
      </c>
      <c r="Q92" s="1673" t="str">
        <f t="array" ref="Q92">IFERROR(VLOOKUP(P92,Dex!$P$22:$Q$276,2,FALSE),"")</f>
        <v/>
      </c>
      <c r="R92" s="1674"/>
      <c r="S92" s="3781"/>
      <c r="T92" s="3781"/>
      <c r="U92" s="3781"/>
      <c r="V92" s="3781"/>
      <c r="W92" s="3781"/>
      <c r="X92" s="3781"/>
      <c r="Y92" s="3781"/>
      <c r="Z92" s="3735"/>
      <c r="AA92" s="3735"/>
      <c r="AB92" s="3781"/>
      <c r="AC92" s="3781"/>
      <c r="AD92" s="3781"/>
      <c r="AE92" s="3781"/>
      <c r="AF92" s="3781"/>
      <c r="AG92" s="3781"/>
      <c r="AH92" s="3783"/>
      <c r="AI92" s="3466"/>
    </row>
    <row r="93" ht="16.5" customHeight="1">
      <c r="A93" s="3457"/>
      <c r="B93" s="3778"/>
      <c r="C93" s="1204" t="s">
        <v>436</v>
      </c>
      <c r="D93" s="3779"/>
      <c r="E93" s="1675" t="s">
        <v>197</v>
      </c>
      <c r="F93" s="1676">
        <f t="array" ref="F93">IFERROR(VLOOKUP(E75,Dex!$B$3:$N1022,13,FALSE),"")</f>
        <v>89</v>
      </c>
      <c r="G93" s="1677" t="str">
        <f t="array" ref="G93">IFERROR(VLOOKUP(F93,Dex!$P$22:$Q$276,2,FALSE),"")</f>
        <v/>
      </c>
      <c r="H93" s="1678"/>
      <c r="I93" s="3784"/>
      <c r="J93" s="1675" t="s">
        <v>197</v>
      </c>
      <c r="K93" s="1676">
        <f t="array" ref="K93">IFERROR(VLOOKUP(J75,Dex!$B$3:$N1022,13,FALSE),"")</f>
        <v>80</v>
      </c>
      <c r="L93" s="1677" t="str">
        <f t="array" ref="L93">IFERROR(VLOOKUP(K93,Dex!$P$22:$Q$276,2,FALSE),"")</f>
        <v/>
      </c>
      <c r="M93" s="1678"/>
      <c r="N93" s="3784"/>
      <c r="O93" s="1675" t="s">
        <v>197</v>
      </c>
      <c r="P93" s="1676">
        <f t="array" ref="P93">IFERROR(VLOOKUP(O75,Dex!$B$3:$N1022,13,FALSE),"")</f>
        <v>36</v>
      </c>
      <c r="Q93" s="1677" t="str">
        <f t="array" ref="Q93">IFERROR(VLOOKUP(P93,Dex!$P$22:$Q$276,2,FALSE),"")</f>
        <v/>
      </c>
      <c r="R93" s="1678"/>
      <c r="S93" s="3781"/>
      <c r="T93" s="3781"/>
      <c r="U93" s="3781"/>
      <c r="V93" s="3781"/>
      <c r="W93" s="3781"/>
      <c r="X93" s="3781"/>
      <c r="Y93" s="3781"/>
      <c r="Z93" s="3735"/>
      <c r="AA93" s="3735"/>
      <c r="AB93" s="3781"/>
      <c r="AC93" s="3781"/>
      <c r="AD93" s="3781"/>
      <c r="AE93" s="3781"/>
      <c r="AF93" s="3781"/>
      <c r="AG93" s="3781"/>
      <c r="AH93" s="3783"/>
      <c r="AI93" s="3466"/>
    </row>
    <row r="94" ht="16.5" customHeight="1">
      <c r="A94" s="3457"/>
      <c r="B94" s="3778"/>
      <c r="C94" s="1205" t="s">
        <v>524</v>
      </c>
      <c r="D94" s="3779"/>
      <c r="E94" s="1679" t="s">
        <v>198</v>
      </c>
      <c r="F94" s="405"/>
      <c r="G94" s="406"/>
      <c r="H94" s="1680">
        <v>50.0</v>
      </c>
      <c r="I94" s="3780"/>
      <c r="J94" s="1679" t="s">
        <v>198</v>
      </c>
      <c r="K94" s="405"/>
      <c r="L94" s="406"/>
      <c r="M94" s="1680">
        <v>48.0</v>
      </c>
      <c r="N94" s="3780"/>
      <c r="O94" s="1679" t="s">
        <v>198</v>
      </c>
      <c r="P94" s="405"/>
      <c r="Q94" s="406"/>
      <c r="R94" s="1680">
        <v>28.0</v>
      </c>
      <c r="S94" s="3781"/>
      <c r="T94" s="3781"/>
      <c r="U94" s="3781"/>
      <c r="V94" s="3781"/>
      <c r="W94" s="3781"/>
      <c r="X94" s="3781"/>
      <c r="Y94" s="3781"/>
      <c r="Z94" s="3762"/>
      <c r="AA94" s="3762"/>
      <c r="AB94" s="3781"/>
      <c r="AC94" s="3781"/>
      <c r="AD94" s="3781"/>
      <c r="AE94" s="3781"/>
      <c r="AF94" s="3781"/>
      <c r="AG94" s="3781"/>
      <c r="AH94" s="3783"/>
      <c r="AI94" s="3466"/>
    </row>
    <row r="95" ht="15.0" customHeight="1">
      <c r="A95" s="3361"/>
      <c r="B95" s="3788"/>
      <c r="C95" s="3789"/>
      <c r="D95" s="3790"/>
      <c r="E95" s="3791"/>
      <c r="F95" s="3791"/>
      <c r="G95" s="3791"/>
      <c r="H95" s="3791"/>
      <c r="I95" s="3790"/>
      <c r="J95" s="3792"/>
      <c r="K95" s="3792"/>
      <c r="L95" s="3792"/>
      <c r="M95" s="3791"/>
      <c r="N95" s="3790"/>
      <c r="O95" s="3792"/>
      <c r="P95" s="3792"/>
      <c r="Q95" s="3792"/>
      <c r="R95" s="3791"/>
      <c r="S95" s="3790"/>
      <c r="T95" s="3790"/>
      <c r="U95" s="3790"/>
      <c r="V95" s="3790"/>
      <c r="W95" s="3790"/>
      <c r="X95" s="3790"/>
      <c r="Y95" s="3790"/>
      <c r="Z95" s="3790"/>
      <c r="AA95" s="3790"/>
      <c r="AB95" s="3790"/>
      <c r="AC95" s="3790"/>
      <c r="AD95" s="3790"/>
      <c r="AE95" s="3790"/>
      <c r="AF95" s="3790"/>
      <c r="AG95" s="3790"/>
      <c r="AH95" s="3793"/>
      <c r="AI95" s="3367"/>
    </row>
    <row r="96" ht="15.0" customHeight="1">
      <c r="A96" s="3361"/>
      <c r="B96" s="3794"/>
      <c r="C96" s="3795"/>
      <c r="D96" s="3796"/>
      <c r="E96" s="3796"/>
      <c r="F96" s="3796"/>
      <c r="G96" s="3796"/>
      <c r="H96" s="3796"/>
      <c r="I96" s="3796"/>
      <c r="J96" s="3796"/>
      <c r="K96" s="3796"/>
      <c r="L96" s="3796"/>
      <c r="M96" s="3796"/>
      <c r="N96" s="3796"/>
      <c r="O96" s="3796"/>
      <c r="P96" s="3796"/>
      <c r="Q96" s="3796"/>
      <c r="R96" s="3796"/>
      <c r="S96" s="3796"/>
      <c r="T96" s="3796"/>
      <c r="U96" s="3796"/>
      <c r="V96" s="3796"/>
      <c r="W96" s="3796"/>
      <c r="X96" s="3796"/>
      <c r="Y96" s="3796"/>
      <c r="Z96" s="3796"/>
      <c r="AA96" s="3796"/>
      <c r="AB96" s="3796"/>
      <c r="AC96" s="3796"/>
      <c r="AD96" s="3796"/>
      <c r="AE96" s="3796"/>
      <c r="AF96" s="3796"/>
      <c r="AG96" s="3796"/>
      <c r="AH96" s="3797"/>
      <c r="AI96" s="3367"/>
    </row>
    <row r="97">
      <c r="A97" s="3361"/>
      <c r="B97" s="3798"/>
      <c r="C97" s="3799"/>
      <c r="D97" s="3800"/>
      <c r="E97" s="3801" t="s">
        <v>1018</v>
      </c>
      <c r="F97" s="3423"/>
      <c r="G97" s="3423"/>
      <c r="H97" s="3423"/>
      <c r="I97" s="3423"/>
      <c r="J97" s="3423"/>
      <c r="K97" s="3423"/>
      <c r="L97" s="3423"/>
      <c r="M97" s="3423"/>
      <c r="N97" s="3423"/>
      <c r="O97" s="3423"/>
      <c r="P97" s="3423"/>
      <c r="Q97" s="3423"/>
      <c r="R97" s="3423"/>
      <c r="S97" s="3423"/>
      <c r="T97" s="3423"/>
      <c r="U97" s="3423"/>
      <c r="V97" s="3423"/>
      <c r="W97" s="3423"/>
      <c r="X97" s="3423"/>
      <c r="Y97" s="3423"/>
      <c r="Z97" s="3423"/>
      <c r="AA97" s="3423"/>
      <c r="AB97" s="3423"/>
      <c r="AC97" s="3423"/>
      <c r="AD97" s="3423"/>
      <c r="AE97" s="3423"/>
      <c r="AF97" s="3423"/>
      <c r="AG97" s="3424"/>
      <c r="AH97" s="3802"/>
      <c r="AI97" s="3367"/>
    </row>
    <row r="98" ht="96.75" customHeight="1">
      <c r="A98" s="3368"/>
      <c r="B98" s="3369"/>
      <c r="C98" s="3370" t="str">
        <f>IMAGE("https://i.ibb.co/8sm893K/Lass.png")</f>
        <v/>
      </c>
      <c r="D98" s="3415"/>
      <c r="E98" s="3372" t="str">
        <f t="array" ref="E98">IFERROR(VLOOKUP(E99,Dex!$B$3:$G1022,3,FALSE),"")</f>
        <v/>
      </c>
      <c r="F98" s="381"/>
      <c r="G98" s="381"/>
      <c r="H98" s="2531"/>
      <c r="I98" s="3803"/>
      <c r="J98" s="3372" t="str">
        <f t="array" ref="J98">IFERROR(VLOOKUP(J99,Dex!$B$3:$G1022,3,FALSE),"")</f>
        <v/>
      </c>
      <c r="K98" s="381"/>
      <c r="L98" s="381"/>
      <c r="M98" s="2531"/>
      <c r="N98" s="3804"/>
      <c r="O98" s="3372" t="str">
        <f t="array" ref="O98">IFERROR(VLOOKUP(O99,Dex!$B$3:$G1022,3,FALSE),"")</f>
        <v/>
      </c>
      <c r="P98" s="381"/>
      <c r="Q98" s="381"/>
      <c r="R98" s="2531"/>
      <c r="S98" s="3805"/>
      <c r="T98" s="3376"/>
      <c r="U98" s="3377"/>
      <c r="V98" s="3377"/>
      <c r="W98" s="3378"/>
      <c r="X98" s="3375"/>
      <c r="Y98" s="3376"/>
      <c r="Z98" s="3377"/>
      <c r="AA98" s="3377"/>
      <c r="AB98" s="3378"/>
      <c r="AC98" s="3375"/>
      <c r="AD98" s="3376"/>
      <c r="AE98" s="3377"/>
      <c r="AF98" s="3377"/>
      <c r="AG98" s="3378"/>
      <c r="AH98" s="3379"/>
      <c r="AI98" s="3380"/>
    </row>
    <row r="99" ht="18.75" customHeight="1">
      <c r="A99" s="3381"/>
      <c r="B99" s="3382"/>
      <c r="C99" s="3383" t="s">
        <v>1019</v>
      </c>
      <c r="D99" s="3806"/>
      <c r="E99" s="3385" t="s">
        <v>1020</v>
      </c>
      <c r="F99" s="3386"/>
      <c r="G99" s="3386"/>
      <c r="H99" s="3387"/>
      <c r="J99" s="3385" t="s">
        <v>1021</v>
      </c>
      <c r="K99" s="3386"/>
      <c r="L99" s="3386"/>
      <c r="M99" s="3387"/>
      <c r="O99" s="3385" t="s">
        <v>1022</v>
      </c>
      <c r="P99" s="3386"/>
      <c r="Q99" s="3386"/>
      <c r="R99" s="3387"/>
      <c r="S99" s="3389"/>
      <c r="T99" s="3391"/>
      <c r="U99" s="3377"/>
      <c r="V99" s="3377"/>
      <c r="W99" s="3378"/>
      <c r="X99" s="3390"/>
      <c r="Y99" s="3391"/>
      <c r="Z99" s="3377"/>
      <c r="AA99" s="3377"/>
      <c r="AB99" s="3378"/>
      <c r="AC99" s="3390"/>
      <c r="AD99" s="3391"/>
      <c r="AE99" s="3377"/>
      <c r="AF99" s="3377"/>
      <c r="AG99" s="3378"/>
      <c r="AH99" s="3392"/>
      <c r="AI99" s="3393"/>
    </row>
    <row r="100">
      <c r="A100" s="3394"/>
      <c r="B100" s="3395"/>
      <c r="C100" s="1481"/>
      <c r="D100" s="3807"/>
      <c r="E100" s="3397" t="s">
        <v>714</v>
      </c>
      <c r="F100" s="3398"/>
      <c r="G100" s="3398"/>
      <c r="H100" s="3399"/>
      <c r="J100" s="3397" t="s">
        <v>715</v>
      </c>
      <c r="K100" s="3398"/>
      <c r="L100" s="3398"/>
      <c r="M100" s="3399"/>
      <c r="O100" s="3397" t="s">
        <v>715</v>
      </c>
      <c r="P100" s="3398"/>
      <c r="Q100" s="3398"/>
      <c r="R100" s="3399"/>
      <c r="S100" s="3389"/>
      <c r="T100" s="3400"/>
      <c r="U100" s="3377"/>
      <c r="V100" s="3377"/>
      <c r="W100" s="3378"/>
      <c r="X100" s="3390"/>
      <c r="Y100" s="3400"/>
      <c r="Z100" s="3377"/>
      <c r="AA100" s="3377"/>
      <c r="AB100" s="3378"/>
      <c r="AC100" s="3390"/>
      <c r="AD100" s="3400"/>
      <c r="AE100" s="3377"/>
      <c r="AF100" s="3377"/>
      <c r="AG100" s="3378"/>
      <c r="AH100" s="3401"/>
      <c r="AI100" s="3402"/>
    </row>
    <row r="101" ht="25.5" customHeight="1">
      <c r="A101" s="3368"/>
      <c r="B101" s="3369"/>
      <c r="C101" s="1489"/>
      <c r="D101" s="3403"/>
      <c r="E101" s="3404"/>
      <c r="F101" s="3405" t="str">
        <f t="array" ref="F101">IFERROR(VLOOKUP(E99,Dex!$B$3:$H1022,5,FALSE),"")</f>
        <v/>
      </c>
      <c r="G101" s="3406" t="str">
        <f t="array" ref="G101">IFERROR(VLOOKUP(E99,Dex!$B$3:$H1022,7,FALSE),"")</f>
        <v/>
      </c>
      <c r="H101" s="3407"/>
      <c r="J101" s="3404"/>
      <c r="K101" s="3405" t="str">
        <f t="array" ref="K101">IFERROR(VLOOKUP(J99,Dex!$B$3:$H1022,5,FALSE),"")</f>
        <v/>
      </c>
      <c r="L101" s="3406" t="str">
        <f t="array" ref="L101">IFERROR(VLOOKUP(J99,Dex!$B$3:$H1022,7,FALSE),"")</f>
        <v/>
      </c>
      <c r="M101" s="3407"/>
      <c r="O101" s="3404"/>
      <c r="P101" s="3408" t="str">
        <f t="array" ref="P101">IFERROR(VLOOKUP(O99,Dex!$B$3:$H1022,5,FALSE),"")</f>
        <v/>
      </c>
      <c r="Q101" s="3409"/>
      <c r="R101" s="3407"/>
      <c r="S101" s="3389"/>
      <c r="T101" s="3376"/>
      <c r="U101" s="3377"/>
      <c r="V101" s="3377"/>
      <c r="W101" s="3378"/>
      <c r="X101" s="3390"/>
      <c r="Y101" s="3376"/>
      <c r="Z101" s="3377"/>
      <c r="AA101" s="3377"/>
      <c r="AB101" s="3378"/>
      <c r="AC101" s="3390"/>
      <c r="AD101" s="3376"/>
      <c r="AE101" s="3377"/>
      <c r="AF101" s="3377"/>
      <c r="AG101" s="3378"/>
      <c r="AH101" s="3379"/>
      <c r="AI101" s="3380"/>
    </row>
    <row r="102" ht="2.25" customHeight="1">
      <c r="A102" s="3368"/>
      <c r="B102" s="3369"/>
      <c r="C102" s="3410"/>
      <c r="D102" s="3371"/>
      <c r="E102" s="3411"/>
      <c r="F102" s="3412"/>
      <c r="G102" s="3412"/>
      <c r="H102" s="3413"/>
      <c r="J102" s="3411"/>
      <c r="K102" s="3412"/>
      <c r="L102" s="3412"/>
      <c r="M102" s="3413"/>
      <c r="O102" s="3411"/>
      <c r="P102" s="3412"/>
      <c r="Q102" s="3412"/>
      <c r="R102" s="3413"/>
      <c r="S102" s="3389"/>
      <c r="T102" s="3414"/>
      <c r="U102" s="3414"/>
      <c r="V102" s="3414"/>
      <c r="W102" s="3414"/>
      <c r="X102" s="3390"/>
      <c r="Y102" s="3414"/>
      <c r="Z102" s="3414"/>
      <c r="AA102" s="3414"/>
      <c r="AB102" s="3414"/>
      <c r="AC102" s="3390"/>
      <c r="AD102" s="3414"/>
      <c r="AE102" s="3414"/>
      <c r="AF102" s="3414"/>
      <c r="AG102" s="3414"/>
      <c r="AH102" s="3379"/>
      <c r="AI102" s="3380"/>
    </row>
    <row r="103" ht="20.25" customHeight="1">
      <c r="A103" s="3368"/>
      <c r="B103" s="3369"/>
      <c r="C103" s="3410"/>
      <c r="D103" s="3415"/>
      <c r="E103" s="3416" t="s">
        <v>206</v>
      </c>
      <c r="F103" s="3417"/>
      <c r="G103" s="3417"/>
      <c r="H103" s="3418"/>
      <c r="J103" s="3416" t="s">
        <v>263</v>
      </c>
      <c r="K103" s="3417"/>
      <c r="L103" s="3417"/>
      <c r="M103" s="3418"/>
      <c r="O103" s="3416" t="s">
        <v>171</v>
      </c>
      <c r="P103" s="3417"/>
      <c r="Q103" s="3417"/>
      <c r="R103" s="3418"/>
      <c r="S103" s="3389"/>
      <c r="T103" s="3376"/>
      <c r="U103" s="3377"/>
      <c r="V103" s="3377"/>
      <c r="W103" s="3378"/>
      <c r="X103" s="3390"/>
      <c r="Y103" s="3376"/>
      <c r="Z103" s="3377"/>
      <c r="AA103" s="3377"/>
      <c r="AB103" s="3378"/>
      <c r="AC103" s="3390"/>
      <c r="AD103" s="3376"/>
      <c r="AE103" s="3377"/>
      <c r="AF103" s="3377"/>
      <c r="AG103" s="3378"/>
      <c r="AH103" s="3379"/>
      <c r="AI103" s="3380"/>
    </row>
    <row r="104" ht="20.25" customHeight="1">
      <c r="A104" s="3368"/>
      <c r="B104" s="3369"/>
      <c r="C104" s="3419"/>
      <c r="D104" s="3415"/>
      <c r="E104" s="3420" t="s">
        <v>1012</v>
      </c>
      <c r="F104" s="3377"/>
      <c r="G104" s="3377"/>
      <c r="H104" s="3421"/>
      <c r="J104" s="3420" t="s">
        <v>1023</v>
      </c>
      <c r="K104" s="3377"/>
      <c r="L104" s="3377"/>
      <c r="M104" s="3421"/>
      <c r="O104" s="3420" t="s">
        <v>912</v>
      </c>
      <c r="P104" s="3377"/>
      <c r="Q104" s="3377"/>
      <c r="R104" s="3421"/>
      <c r="S104" s="3389"/>
      <c r="T104" s="3376"/>
      <c r="U104" s="3377"/>
      <c r="V104" s="3377"/>
      <c r="W104" s="3378"/>
      <c r="X104" s="3390"/>
      <c r="Y104" s="3376"/>
      <c r="Z104" s="3377"/>
      <c r="AA104" s="3377"/>
      <c r="AB104" s="3378"/>
      <c r="AC104" s="3390"/>
      <c r="AD104" s="3376"/>
      <c r="AE104" s="3377"/>
      <c r="AF104" s="3377"/>
      <c r="AG104" s="3378"/>
      <c r="AH104" s="3379"/>
      <c r="AI104" s="3380"/>
    </row>
    <row r="105" ht="20.25" customHeight="1">
      <c r="A105" s="3368"/>
      <c r="B105" s="3369"/>
      <c r="C105" s="3390"/>
      <c r="D105" s="3415"/>
      <c r="E105" s="3422" t="s">
        <v>211</v>
      </c>
      <c r="F105" s="3423"/>
      <c r="G105" s="3424"/>
      <c r="H105" s="3425" t="str">
        <f>IMAGE("https://raw.githubusercontent.com/msikma/pokesprite/master/items/hold-item/eviolite.png",3)</f>
        <v/>
      </c>
      <c r="J105" s="3422" t="s">
        <v>554</v>
      </c>
      <c r="K105" s="3423"/>
      <c r="L105" s="3424"/>
      <c r="M105" s="3425" t="str">
        <f>IMAGE("https://raw.githubusercontent.com/msikma/pokesprite/master/items/berry/chople.png",3)</f>
        <v/>
      </c>
      <c r="O105" s="3422" t="s">
        <v>213</v>
      </c>
      <c r="P105" s="3423"/>
      <c r="Q105" s="3424"/>
      <c r="R105" s="3425" t="str">
        <f>IMAGE("https://raw.githubusercontent.com/msikma/pokesprite/master/items/berry/sitrus.png",3)</f>
        <v/>
      </c>
      <c r="S105" s="3389"/>
      <c r="T105" s="3376"/>
      <c r="U105" s="3377"/>
      <c r="V105" s="3377"/>
      <c r="W105" s="3378"/>
      <c r="X105" s="3390"/>
      <c r="Y105" s="3376"/>
      <c r="Z105" s="3377"/>
      <c r="AA105" s="3377"/>
      <c r="AB105" s="3378"/>
      <c r="AC105" s="3390"/>
      <c r="AD105" s="3376"/>
      <c r="AE105" s="3377"/>
      <c r="AF105" s="3377"/>
      <c r="AG105" s="3378"/>
      <c r="AH105" s="3379"/>
      <c r="AI105" s="3380"/>
    </row>
    <row r="106" ht="20.25" customHeight="1">
      <c r="A106" s="3368"/>
      <c r="B106" s="3369"/>
      <c r="C106" s="3430"/>
      <c r="D106" s="3415"/>
      <c r="E106" s="3416" t="s">
        <v>1024</v>
      </c>
      <c r="F106" s="3417"/>
      <c r="G106" s="3431"/>
      <c r="H106" s="3432" t="str">
        <f>IMAGE("https://raw.githubusercontent.com/msikma/pokesprite/master/misc/types/gen8/normal.png",4,20,20)</f>
        <v/>
      </c>
      <c r="J106" s="3416" t="s">
        <v>1024</v>
      </c>
      <c r="K106" s="3417"/>
      <c r="L106" s="3431"/>
      <c r="M106" s="3432" t="str">
        <f>IMAGE("https://raw.githubusercontent.com/msikma/pokesprite/master/misc/types/gen8/ice.png",4,20,20)</f>
        <v/>
      </c>
      <c r="O106" s="3416" t="s">
        <v>1024</v>
      </c>
      <c r="P106" s="3417"/>
      <c r="Q106" s="3431"/>
      <c r="R106" s="3432" t="str">
        <f>IMAGE("https://raw.githubusercontent.com/msikma/pokesprite/master/misc/types/gen8/water.png",4,20,20)</f>
        <v/>
      </c>
      <c r="S106" s="3389"/>
      <c r="T106" s="3376"/>
      <c r="U106" s="3377"/>
      <c r="V106" s="3377"/>
      <c r="W106" s="3378"/>
      <c r="X106" s="3390"/>
      <c r="Y106" s="3376"/>
      <c r="Z106" s="3377"/>
      <c r="AA106" s="3377"/>
      <c r="AB106" s="3378"/>
      <c r="AC106" s="3390"/>
      <c r="AD106" s="3376"/>
      <c r="AE106" s="3377"/>
      <c r="AF106" s="3377"/>
      <c r="AG106" s="3378"/>
      <c r="AH106" s="3379"/>
      <c r="AI106" s="3380"/>
    </row>
    <row r="107" ht="20.25" customHeight="1">
      <c r="A107" s="3368"/>
      <c r="B107" s="3369"/>
      <c r="C107" s="3437"/>
      <c r="D107" s="3415"/>
      <c r="E107" s="3420" t="s">
        <v>314</v>
      </c>
      <c r="F107" s="3377"/>
      <c r="G107" s="3378"/>
      <c r="H107" s="3438" t="str">
        <f>IMAGE("https://raw.githubusercontent.com/msikma/pokesprite/master/misc/types/gen8/fairy.png",4,20,20)</f>
        <v/>
      </c>
      <c r="J107" s="3420" t="s">
        <v>276</v>
      </c>
      <c r="K107" s="3377"/>
      <c r="L107" s="3378"/>
      <c r="M107" s="3438" t="str">
        <f>IMAGE("https://raw.githubusercontent.com/msikma/pokesprite/master/misc/types/gen8/rock.png",4,20,20)</f>
        <v/>
      </c>
      <c r="O107" s="3420" t="s">
        <v>314</v>
      </c>
      <c r="P107" s="3377"/>
      <c r="Q107" s="3378"/>
      <c r="R107" s="3438" t="str">
        <f>IMAGE("https://raw.githubusercontent.com/msikma/pokesprite/master/misc/types/gen8/fairy.png",4,20,20)</f>
        <v/>
      </c>
      <c r="S107" s="3389"/>
      <c r="T107" s="3376"/>
      <c r="U107" s="3377"/>
      <c r="V107" s="3377"/>
      <c r="W107" s="3378"/>
      <c r="X107" s="3390"/>
      <c r="Y107" s="3376"/>
      <c r="Z107" s="3377"/>
      <c r="AA107" s="3377"/>
      <c r="AB107" s="3378"/>
      <c r="AC107" s="3390"/>
      <c r="AD107" s="3376"/>
      <c r="AE107" s="3377"/>
      <c r="AF107" s="3377"/>
      <c r="AG107" s="3378"/>
      <c r="AH107" s="3379"/>
      <c r="AI107" s="3380"/>
    </row>
    <row r="108" ht="20.25" customHeight="1">
      <c r="A108" s="3368"/>
      <c r="B108" s="3369"/>
      <c r="C108" s="3437"/>
      <c r="D108" s="3415"/>
      <c r="E108" s="3420" t="s">
        <v>823</v>
      </c>
      <c r="F108" s="3377"/>
      <c r="G108" s="3378"/>
      <c r="H108" s="3438" t="str">
        <f>IMAGE("https://raw.githubusercontent.com/msikma/pokesprite/master/misc/types/gen8/fire.png",4,20,20)</f>
        <v/>
      </c>
      <c r="J108" s="3420" t="s">
        <v>216</v>
      </c>
      <c r="K108" s="3377"/>
      <c r="L108" s="3378"/>
      <c r="M108" s="3438" t="str">
        <f>IMAGE("https://raw.githubusercontent.com/msikma/pokesprite/master/misc/types/gen8/water.png",4,20,20)</f>
        <v/>
      </c>
      <c r="O108" s="3420" t="s">
        <v>220</v>
      </c>
      <c r="P108" s="3377"/>
      <c r="Q108" s="3378"/>
      <c r="R108" s="3438" t="str">
        <f>IMAGE("https://raw.githubusercontent.com/msikma/pokesprite/master/misc/types/gen8/ice.png",4,20,20)</f>
        <v/>
      </c>
      <c r="S108" s="3389"/>
      <c r="T108" s="3376"/>
      <c r="U108" s="3377"/>
      <c r="V108" s="3377"/>
      <c r="W108" s="3378"/>
      <c r="X108" s="3390"/>
      <c r="Y108" s="3376"/>
      <c r="Z108" s="3377"/>
      <c r="AA108" s="3377"/>
      <c r="AB108" s="3378"/>
      <c r="AC108" s="3390"/>
      <c r="AD108" s="3376"/>
      <c r="AE108" s="3377"/>
      <c r="AF108" s="3377"/>
      <c r="AG108" s="3378"/>
      <c r="AH108" s="3379"/>
      <c r="AI108" s="3380"/>
    </row>
    <row r="109" ht="21.0" customHeight="1">
      <c r="A109" s="3368"/>
      <c r="B109" s="3369"/>
      <c r="C109" s="3437"/>
      <c r="D109" s="3415"/>
      <c r="E109" s="3439" t="s">
        <v>220</v>
      </c>
      <c r="F109" s="3440"/>
      <c r="G109" s="3443"/>
      <c r="H109" s="3444" t="str">
        <f>IMAGE("https://raw.githubusercontent.com/msikma/pokesprite/master/misc/types/gen8/ice.png",4,20,20)</f>
        <v/>
      </c>
      <c r="I109" s="3434"/>
      <c r="J109" s="3439" t="s">
        <v>255</v>
      </c>
      <c r="K109" s="3440"/>
      <c r="L109" s="3443"/>
      <c r="M109" s="3444" t="str">
        <f>IMAGE("https://raw.githubusercontent.com/msikma/pokesprite/master/misc/types/gen8/ground.png",4,20,20)</f>
        <v/>
      </c>
      <c r="N109" s="3434"/>
      <c r="O109" s="3439" t="s">
        <v>735</v>
      </c>
      <c r="P109" s="3440"/>
      <c r="Q109" s="3443"/>
      <c r="R109" s="3444" t="str">
        <f>IMAGE("https://raw.githubusercontent.com/msikma/pokesprite/master/misc/types/gen8/water.png",4,20,20)</f>
        <v/>
      </c>
      <c r="S109" s="3435"/>
      <c r="T109" s="3376"/>
      <c r="U109" s="3377"/>
      <c r="V109" s="3377"/>
      <c r="W109" s="3378"/>
      <c r="X109" s="3430"/>
      <c r="Y109" s="3376"/>
      <c r="Z109" s="3377"/>
      <c r="AA109" s="3377"/>
      <c r="AB109" s="3378"/>
      <c r="AC109" s="3430"/>
      <c r="AD109" s="3376"/>
      <c r="AE109" s="3377"/>
      <c r="AF109" s="3377"/>
      <c r="AG109" s="3378"/>
      <c r="AH109" s="3379"/>
      <c r="AI109" s="3380"/>
    </row>
    <row r="110" ht="3.0" customHeight="1">
      <c r="A110" s="3445"/>
      <c r="B110" s="3446"/>
      <c r="C110" s="3447"/>
      <c r="D110" s="3448"/>
      <c r="E110" s="3450"/>
      <c r="F110" s="3450"/>
      <c r="G110" s="3450"/>
      <c r="H110" s="3451"/>
      <c r="I110" s="3448"/>
      <c r="J110" s="3450"/>
      <c r="K110" s="3450"/>
      <c r="L110" s="3450"/>
      <c r="M110" s="3451"/>
      <c r="N110" s="3448"/>
      <c r="O110" s="3450"/>
      <c r="P110" s="3450"/>
      <c r="Q110" s="3450"/>
      <c r="R110" s="3449"/>
      <c r="S110" s="3449"/>
      <c r="T110" s="3449"/>
      <c r="U110" s="3449"/>
      <c r="V110" s="3449"/>
      <c r="W110" s="3449"/>
      <c r="X110" s="3448"/>
      <c r="Y110" s="3448"/>
      <c r="Z110" s="3453"/>
      <c r="AA110" s="3453"/>
      <c r="AB110" s="3454"/>
      <c r="AC110" s="3454"/>
      <c r="AD110" s="3454"/>
      <c r="AE110" s="3454"/>
      <c r="AF110" s="3454"/>
      <c r="AG110" s="3454"/>
      <c r="AH110" s="3455"/>
      <c r="AI110" s="3456"/>
    </row>
    <row r="111" ht="16.5" customHeight="1">
      <c r="A111" s="3457"/>
      <c r="B111" s="3458"/>
      <c r="C111" s="3447"/>
      <c r="D111" s="3808"/>
      <c r="E111" s="3460" t="s">
        <v>190</v>
      </c>
      <c r="F111" s="381"/>
      <c r="G111" s="382"/>
      <c r="H111" s="3461" t="s">
        <v>191</v>
      </c>
      <c r="I111" s="3462"/>
      <c r="J111" s="3460" t="s">
        <v>190</v>
      </c>
      <c r="K111" s="381"/>
      <c r="L111" s="382"/>
      <c r="M111" s="3461" t="s">
        <v>191</v>
      </c>
      <c r="N111" s="3462"/>
      <c r="O111" s="3460" t="s">
        <v>190</v>
      </c>
      <c r="P111" s="381"/>
      <c r="Q111" s="382"/>
      <c r="R111" s="3461" t="s">
        <v>191</v>
      </c>
      <c r="S111" s="3463"/>
      <c r="T111" s="3459"/>
      <c r="U111" s="3459"/>
      <c r="V111" s="3464"/>
      <c r="W111" s="3464"/>
      <c r="X111" s="3464"/>
      <c r="Y111" s="3464"/>
      <c r="Z111" s="3459"/>
      <c r="AA111" s="3459"/>
      <c r="AB111" s="3464"/>
      <c r="AC111" s="3464"/>
      <c r="AD111" s="3464"/>
      <c r="AE111" s="3464"/>
      <c r="AF111" s="3464"/>
      <c r="AG111" s="3464"/>
      <c r="AH111" s="3465"/>
      <c r="AI111" s="3466"/>
    </row>
    <row r="112" ht="16.5" customHeight="1">
      <c r="A112" s="3457"/>
      <c r="B112" s="3458"/>
      <c r="C112" s="3447"/>
      <c r="D112" s="3459"/>
      <c r="E112" s="3467" t="s">
        <v>192</v>
      </c>
      <c r="F112" s="3468">
        <f t="array" ref="F112">IFERROR(VLOOKUP(E99,Dex!$B$3:$N1022,8,FALSE),"")</f>
        <v>115</v>
      </c>
      <c r="G112" s="3469" t="str">
        <f t="array" ref="G112">IFERROR(VLOOKUP(F112,Dex!$P$22:$Q$276,2,FALSE),"")</f>
        <v/>
      </c>
      <c r="H112" s="3470"/>
      <c r="I112" s="3471"/>
      <c r="J112" s="3467" t="s">
        <v>192</v>
      </c>
      <c r="K112" s="3468">
        <f t="array" ref="K112">IFERROR(VLOOKUP(J99,Dex!$B$3:$N1022,8,FALSE),"")</f>
        <v>77</v>
      </c>
      <c r="L112" s="3469" t="str">
        <f t="array" ref="L112">IFERROR(VLOOKUP(K112,Dex!$P$22:$Q$276,2,FALSE),"")</f>
        <v/>
      </c>
      <c r="M112" s="3470"/>
      <c r="N112" s="3471"/>
      <c r="O112" s="3467" t="s">
        <v>192</v>
      </c>
      <c r="P112" s="3468">
        <f t="array" ref="P112">IFERROR(VLOOKUP(O99,Dex!$B$3:$N1022,8,FALSE),"")</f>
        <v>60</v>
      </c>
      <c r="Q112" s="3469" t="str">
        <f t="array" ref="Q112">IFERROR(VLOOKUP(P112,Dex!$P$22:$Q$276,2,FALSE),"")</f>
        <v/>
      </c>
      <c r="R112" s="3470"/>
      <c r="S112" s="3471"/>
      <c r="T112" s="3459"/>
      <c r="U112" s="3459"/>
      <c r="V112" s="3464"/>
      <c r="W112" s="3464"/>
      <c r="X112" s="3464"/>
      <c r="Y112" s="3464"/>
      <c r="Z112" s="3459"/>
      <c r="AA112" s="3459"/>
      <c r="AB112" s="3464"/>
      <c r="AC112" s="3464"/>
      <c r="AD112" s="3464"/>
      <c r="AE112" s="3464"/>
      <c r="AF112" s="3464"/>
      <c r="AG112" s="3464"/>
      <c r="AH112" s="3465"/>
      <c r="AI112" s="3466"/>
    </row>
    <row r="113" ht="16.5" customHeight="1">
      <c r="A113" s="3457"/>
      <c r="B113" s="3458"/>
      <c r="C113" s="3447"/>
      <c r="D113" s="3459"/>
      <c r="E113" s="3472" t="s">
        <v>193</v>
      </c>
      <c r="F113" s="3473">
        <f t="array" ref="F113">IFERROR(VLOOKUP(E99,Dex!$B$3:$N1022,9,FALSE),"")</f>
        <v>45</v>
      </c>
      <c r="G113" s="3474" t="str">
        <f t="array" ref="G113">IFERROR(VLOOKUP(F113,Dex!$P$22:$Q$276,2,FALSE),"")</f>
        <v/>
      </c>
      <c r="H113" s="3475"/>
      <c r="I113" s="3471"/>
      <c r="J113" s="3472" t="s">
        <v>193</v>
      </c>
      <c r="K113" s="3473">
        <f t="array" ref="K113">IFERROR(VLOOKUP(J99,Dex!$B$3:$N1022,9,FALSE),"")</f>
        <v>59</v>
      </c>
      <c r="L113" s="3474" t="str">
        <f t="array" ref="L113">IFERROR(VLOOKUP(K113,Dex!$P$22:$Q$276,2,FALSE),"")</f>
        <v/>
      </c>
      <c r="M113" s="3475"/>
      <c r="N113" s="3471"/>
      <c r="O113" s="3472" t="s">
        <v>193</v>
      </c>
      <c r="P113" s="3473">
        <f t="array" ref="P113">IFERROR(VLOOKUP(O99,Dex!$B$3:$N1022,9,FALSE),"")</f>
        <v>69</v>
      </c>
      <c r="Q113" s="3474" t="str">
        <f t="array" ref="Q113">IFERROR(VLOOKUP(P113,Dex!$P$22:$Q$276,2,FALSE),"")</f>
        <v/>
      </c>
      <c r="R113" s="3475"/>
      <c r="S113" s="3471"/>
      <c r="T113" s="3459"/>
      <c r="U113" s="3459"/>
      <c r="V113" s="3464"/>
      <c r="W113" s="3464"/>
      <c r="X113" s="3464"/>
      <c r="Y113" s="3464"/>
      <c r="Z113" s="3459"/>
      <c r="AA113" s="3459"/>
      <c r="AB113" s="3464"/>
      <c r="AC113" s="3464"/>
      <c r="AD113" s="3464"/>
      <c r="AE113" s="3464"/>
      <c r="AF113" s="3464"/>
      <c r="AG113" s="3464"/>
      <c r="AH113" s="3465"/>
      <c r="AI113" s="3466"/>
    </row>
    <row r="114" ht="16.5" customHeight="1">
      <c r="A114" s="3457"/>
      <c r="B114" s="3458"/>
      <c r="C114" s="3447"/>
      <c r="D114" s="3459"/>
      <c r="E114" s="3472" t="s">
        <v>194</v>
      </c>
      <c r="F114" s="3473">
        <f t="array" ref="F114">IFERROR(VLOOKUP(E99,Dex!$B$3:$N1022,10,FALSE),"")</f>
        <v>20</v>
      </c>
      <c r="G114" s="3474" t="str">
        <f t="array" ref="G114">IFERROR(VLOOKUP(F114,Dex!$P$22:$Q$276,2,FALSE),"")</f>
        <v/>
      </c>
      <c r="H114" s="3475"/>
      <c r="I114" s="3471"/>
      <c r="J114" s="3472" t="s">
        <v>194</v>
      </c>
      <c r="K114" s="3473">
        <f t="array" ref="K114">IFERROR(VLOOKUP(J99,Dex!$B$3:$N1022,10,FALSE),"")</f>
        <v>50</v>
      </c>
      <c r="L114" s="3474" t="str">
        <f t="array" ref="L114">IFERROR(VLOOKUP(K114,Dex!$P$22:$Q$276,2,FALSE),"")</f>
        <v/>
      </c>
      <c r="M114" s="3475"/>
      <c r="N114" s="3471"/>
      <c r="O114" s="3472" t="s">
        <v>194</v>
      </c>
      <c r="P114" s="3473">
        <f t="array" ref="P114">IFERROR(VLOOKUP(O99,Dex!$B$3:$N1022,10,FALSE),"")</f>
        <v>69</v>
      </c>
      <c r="Q114" s="3474" t="str">
        <f t="array" ref="Q114">IFERROR(VLOOKUP(P114,Dex!$P$22:$Q$276,2,FALSE),"")</f>
        <v/>
      </c>
      <c r="R114" s="3475"/>
      <c r="S114" s="3471"/>
      <c r="T114" s="3459"/>
      <c r="U114" s="3459"/>
      <c r="V114" s="3464"/>
      <c r="W114" s="3464"/>
      <c r="X114" s="3464"/>
      <c r="Y114" s="3464"/>
      <c r="Z114" s="3459"/>
      <c r="AA114" s="3459"/>
      <c r="AB114" s="3464"/>
      <c r="AC114" s="3464"/>
      <c r="AD114" s="3464"/>
      <c r="AE114" s="3464"/>
      <c r="AF114" s="3464"/>
      <c r="AG114" s="3464"/>
      <c r="AH114" s="3465"/>
      <c r="AI114" s="3466"/>
    </row>
    <row r="115" ht="16.5" customHeight="1">
      <c r="A115" s="3457"/>
      <c r="B115" s="3458"/>
      <c r="C115" s="3447"/>
      <c r="D115" s="3459"/>
      <c r="E115" s="3472" t="s">
        <v>195</v>
      </c>
      <c r="F115" s="3473">
        <f t="array" ref="F115">IFERROR(VLOOKUP(E99,Dex!$B$3:$N1022,11,FALSE),"")</f>
        <v>45</v>
      </c>
      <c r="G115" s="3474" t="str">
        <f t="array" ref="G115">IFERROR(VLOOKUP(F115,Dex!$P$22:$Q$276,2,FALSE),"")</f>
        <v/>
      </c>
      <c r="H115" s="3475"/>
      <c r="I115" s="3471"/>
      <c r="J115" s="3472" t="s">
        <v>195</v>
      </c>
      <c r="K115" s="3473">
        <f t="array" ref="K115">IFERROR(VLOOKUP(J99,Dex!$B$3:$N1022,11,FALSE),"")</f>
        <v>67</v>
      </c>
      <c r="L115" s="3474" t="str">
        <f t="array" ref="L115">IFERROR(VLOOKUP(K115,Dex!$P$22:$Q$276,2,FALSE),"")</f>
        <v/>
      </c>
      <c r="M115" s="3475"/>
      <c r="N115" s="3471"/>
      <c r="O115" s="3472" t="s">
        <v>195</v>
      </c>
      <c r="P115" s="3473">
        <f t="array" ref="P115">IFERROR(VLOOKUP(O99,Dex!$B$3:$N1022,11,FALSE),"")</f>
        <v>91</v>
      </c>
      <c r="Q115" s="3474" t="str">
        <f t="array" ref="Q115">IFERROR(VLOOKUP(P115,Dex!$P$22:$Q$276,2,FALSE),"")</f>
        <v/>
      </c>
      <c r="R115" s="3475"/>
      <c r="S115" s="3471"/>
      <c r="T115" s="3459"/>
      <c r="U115" s="3459"/>
      <c r="V115" s="3464"/>
      <c r="W115" s="3464"/>
      <c r="X115" s="3464"/>
      <c r="Y115" s="3464"/>
      <c r="Z115" s="3459"/>
      <c r="AA115" s="3459"/>
      <c r="AB115" s="3464"/>
      <c r="AC115" s="3464"/>
      <c r="AD115" s="3464"/>
      <c r="AE115" s="3464"/>
      <c r="AF115" s="3464"/>
      <c r="AG115" s="3464"/>
      <c r="AH115" s="3465"/>
      <c r="AI115" s="3466"/>
    </row>
    <row r="116" ht="16.5" customHeight="1">
      <c r="A116" s="3457"/>
      <c r="B116" s="3458"/>
      <c r="C116" s="3447"/>
      <c r="D116" s="3459"/>
      <c r="E116" s="3472" t="s">
        <v>196</v>
      </c>
      <c r="F116" s="3473">
        <f t="array" ref="F116">IFERROR(VLOOKUP(E99,Dex!$B$3:$N1022,12,FALSE),"")</f>
        <v>25</v>
      </c>
      <c r="G116" s="3474" t="str">
        <f t="array" ref="G116">IFERROR(VLOOKUP(F116,Dex!$P$22:$Q$276,2,FALSE),"")</f>
        <v/>
      </c>
      <c r="H116" s="3475"/>
      <c r="I116" s="3471"/>
      <c r="J116" s="3472" t="s">
        <v>196</v>
      </c>
      <c r="K116" s="3473">
        <f t="array" ref="K116">IFERROR(VLOOKUP(J99,Dex!$B$3:$N1022,12,FALSE),"")</f>
        <v>63</v>
      </c>
      <c r="L116" s="3474" t="str">
        <f t="array" ref="L116">IFERROR(VLOOKUP(K116,Dex!$P$22:$Q$276,2,FALSE),"")</f>
        <v/>
      </c>
      <c r="M116" s="3475"/>
      <c r="N116" s="3471"/>
      <c r="O116" s="3472" t="s">
        <v>196</v>
      </c>
      <c r="P116" s="3473">
        <f t="array" ref="P116">IFERROR(VLOOKUP(O99,Dex!$B$3:$N1022,12,FALSE),"")</f>
        <v>81</v>
      </c>
      <c r="Q116" s="3474" t="str">
        <f t="array" ref="Q116">IFERROR(VLOOKUP(P116,Dex!$P$22:$Q$276,2,FALSE),"")</f>
        <v/>
      </c>
      <c r="R116" s="3475"/>
      <c r="S116" s="3471"/>
      <c r="T116" s="3459"/>
      <c r="U116" s="3459"/>
      <c r="V116" s="3464"/>
      <c r="W116" s="3464"/>
      <c r="X116" s="3464"/>
      <c r="Y116" s="3464"/>
      <c r="Z116" s="3459"/>
      <c r="AA116" s="3459"/>
      <c r="AB116" s="3464"/>
      <c r="AC116" s="3464"/>
      <c r="AD116" s="3464"/>
      <c r="AE116" s="3464"/>
      <c r="AF116" s="3464"/>
      <c r="AG116" s="3464"/>
      <c r="AH116" s="3465"/>
      <c r="AI116" s="3466"/>
    </row>
    <row r="117" ht="16.5" customHeight="1">
      <c r="A117" s="3457"/>
      <c r="B117" s="3458"/>
      <c r="C117" s="1204" t="s">
        <v>436</v>
      </c>
      <c r="D117" s="3459"/>
      <c r="E117" s="3476" t="s">
        <v>197</v>
      </c>
      <c r="F117" s="3477">
        <f t="array" ref="F117">IFERROR(VLOOKUP(E99,Dex!$B$3:$N1022,13,FALSE),"")</f>
        <v>20</v>
      </c>
      <c r="G117" s="3478" t="str">
        <f t="array" ref="G117">IFERROR(VLOOKUP(F117,Dex!$P$22:$Q$276,2,FALSE),"")</f>
        <v/>
      </c>
      <c r="H117" s="3479"/>
      <c r="I117" s="3471"/>
      <c r="J117" s="3476" t="s">
        <v>197</v>
      </c>
      <c r="K117" s="3477">
        <f t="array" ref="K117">IFERROR(VLOOKUP(J99,Dex!$B$3:$N1022,13,FALSE),"")</f>
        <v>46</v>
      </c>
      <c r="L117" s="3478" t="str">
        <f t="array" ref="L117">IFERROR(VLOOKUP(K117,Dex!$P$22:$Q$276,2,FALSE),"")</f>
        <v/>
      </c>
      <c r="M117" s="3479"/>
      <c r="N117" s="3471"/>
      <c r="O117" s="3476" t="s">
        <v>197</v>
      </c>
      <c r="P117" s="3477">
        <f t="array" ref="P117">IFERROR(VLOOKUP(O99,Dex!$B$3:$N1022,13,FALSE),"")</f>
        <v>50</v>
      </c>
      <c r="Q117" s="3478" t="str">
        <f t="array" ref="Q117">IFERROR(VLOOKUP(P117,Dex!$P$22:$Q$276,2,FALSE),"")</f>
        <v/>
      </c>
      <c r="R117" s="3479"/>
      <c r="S117" s="3471"/>
      <c r="T117" s="3459"/>
      <c r="U117" s="3459"/>
      <c r="V117" s="3464"/>
      <c r="W117" s="3464"/>
      <c r="X117" s="3464"/>
      <c r="Y117" s="3464"/>
      <c r="Z117" s="3459"/>
      <c r="AA117" s="3459"/>
      <c r="AB117" s="3464"/>
      <c r="AC117" s="3464"/>
      <c r="AD117" s="3464"/>
      <c r="AE117" s="3464"/>
      <c r="AF117" s="3464"/>
      <c r="AG117" s="3464"/>
      <c r="AH117" s="3465"/>
      <c r="AI117" s="3466"/>
    </row>
    <row r="118" ht="16.5" customHeight="1">
      <c r="A118" s="3457"/>
      <c r="B118" s="3458"/>
      <c r="C118" s="1205" t="s">
        <v>524</v>
      </c>
      <c r="D118" s="3808"/>
      <c r="E118" s="3480" t="s">
        <v>198</v>
      </c>
      <c r="F118" s="405"/>
      <c r="G118" s="406"/>
      <c r="H118" s="3481">
        <v>22.0</v>
      </c>
      <c r="I118" s="3462"/>
      <c r="J118" s="3480" t="s">
        <v>198</v>
      </c>
      <c r="K118" s="405"/>
      <c r="L118" s="406"/>
      <c r="M118" s="3481">
        <v>33.0</v>
      </c>
      <c r="N118" s="3462"/>
      <c r="O118" s="3480" t="s">
        <v>198</v>
      </c>
      <c r="P118" s="405"/>
      <c r="Q118" s="406"/>
      <c r="R118" s="3481">
        <v>35.0</v>
      </c>
      <c r="S118" s="3471"/>
      <c r="T118" s="3459"/>
      <c r="U118" s="3459"/>
      <c r="V118" s="3464"/>
      <c r="W118" s="3464"/>
      <c r="X118" s="3464"/>
      <c r="Y118" s="3464"/>
      <c r="Z118" s="3459"/>
      <c r="AA118" s="3459"/>
      <c r="AB118" s="3464"/>
      <c r="AC118" s="3464"/>
      <c r="AD118" s="3464"/>
      <c r="AE118" s="3464"/>
      <c r="AF118" s="3464"/>
      <c r="AG118" s="3464"/>
      <c r="AH118" s="3465"/>
      <c r="AI118" s="3466"/>
    </row>
    <row r="119" ht="15.0" customHeight="1">
      <c r="A119" s="3368"/>
      <c r="B119" s="3482"/>
      <c r="C119" s="3483"/>
      <c r="D119" s="3484"/>
      <c r="E119" s="3487"/>
      <c r="F119" s="3487"/>
      <c r="G119" s="3487"/>
      <c r="H119" s="3485"/>
      <c r="I119" s="3486"/>
      <c r="J119" s="3487"/>
      <c r="K119" s="3487"/>
      <c r="L119" s="3487"/>
      <c r="M119" s="3485"/>
      <c r="N119" s="3488"/>
      <c r="O119" s="3487"/>
      <c r="P119" s="3487"/>
      <c r="Q119" s="3487"/>
      <c r="R119" s="3486"/>
      <c r="S119" s="3488"/>
      <c r="T119" s="3489"/>
      <c r="U119" s="3489"/>
      <c r="V119" s="3489"/>
      <c r="W119" s="3489"/>
      <c r="X119" s="3488"/>
      <c r="Y119" s="3489"/>
      <c r="Z119" s="3489"/>
      <c r="AA119" s="3489"/>
      <c r="AB119" s="3489"/>
      <c r="AC119" s="3488"/>
      <c r="AD119" s="3489"/>
      <c r="AE119" s="3489"/>
      <c r="AF119" s="3489"/>
      <c r="AG119" s="3489"/>
      <c r="AH119" s="3490"/>
      <c r="AI119" s="3380"/>
    </row>
    <row r="120" ht="15.0" customHeight="1">
      <c r="A120" s="3361"/>
      <c r="B120" s="3809"/>
      <c r="C120" s="3810"/>
      <c r="D120" s="3811"/>
      <c r="E120" s="3811"/>
      <c r="F120" s="3811"/>
      <c r="G120" s="3811"/>
      <c r="H120" s="3811"/>
      <c r="I120" s="3811"/>
      <c r="J120" s="3811"/>
      <c r="K120" s="3811"/>
      <c r="L120" s="3811"/>
      <c r="M120" s="3811"/>
      <c r="N120" s="3811"/>
      <c r="O120" s="3811"/>
      <c r="P120" s="3811"/>
      <c r="Q120" s="3811"/>
      <c r="R120" s="3811"/>
      <c r="S120" s="3811"/>
      <c r="T120" s="3811"/>
      <c r="U120" s="3811"/>
      <c r="V120" s="3811"/>
      <c r="W120" s="3811"/>
      <c r="X120" s="3811"/>
      <c r="Y120" s="3811"/>
      <c r="Z120" s="3811"/>
      <c r="AA120" s="3811"/>
      <c r="AB120" s="3811"/>
      <c r="AC120" s="3811"/>
      <c r="AD120" s="3811"/>
      <c r="AE120" s="3811"/>
      <c r="AF120" s="3811"/>
      <c r="AG120" s="3811"/>
      <c r="AH120" s="3812"/>
      <c r="AI120" s="3367"/>
    </row>
    <row r="121">
      <c r="A121" s="3361"/>
      <c r="B121" s="3813"/>
      <c r="C121" s="3814"/>
      <c r="D121" s="3815"/>
      <c r="E121" s="3816" t="s">
        <v>1025</v>
      </c>
      <c r="F121" s="3817"/>
      <c r="G121" s="3817"/>
      <c r="H121" s="3817"/>
      <c r="I121" s="3817"/>
      <c r="J121" s="3817"/>
      <c r="K121" s="3817"/>
      <c r="L121" s="3817"/>
      <c r="M121" s="3817"/>
      <c r="N121" s="3817"/>
      <c r="O121" s="3817"/>
      <c r="P121" s="3817"/>
      <c r="Q121" s="3817"/>
      <c r="R121" s="3817"/>
      <c r="S121" s="3817"/>
      <c r="T121" s="3817"/>
      <c r="U121" s="3817"/>
      <c r="V121" s="3817"/>
      <c r="W121" s="3817"/>
      <c r="X121" s="3817"/>
      <c r="Y121" s="3817"/>
      <c r="Z121" s="3817"/>
      <c r="AA121" s="3817"/>
      <c r="AB121" s="3817"/>
      <c r="AC121" s="3817"/>
      <c r="AD121" s="3817"/>
      <c r="AE121" s="3817"/>
      <c r="AF121" s="3817"/>
      <c r="AG121" s="3818"/>
      <c r="AH121" s="3819"/>
      <c r="AI121" s="3367"/>
    </row>
    <row r="122" ht="96.75" customHeight="1">
      <c r="A122" s="3361"/>
      <c r="B122" s="3813"/>
      <c r="C122" s="3820" t="str">
        <f>IMAGE("https://i.ibb.co/6nGd7Gm/Youngster.png")</f>
        <v/>
      </c>
      <c r="D122" s="3821"/>
      <c r="E122" s="3822" t="str">
        <f t="array" ref="E122">IFERROR(VLOOKUP(E123,Dex!$B$3:$G1022,3,FALSE),"")</f>
        <v/>
      </c>
      <c r="F122" s="1830"/>
      <c r="G122" s="1830"/>
      <c r="H122" s="1831"/>
      <c r="I122" s="3823"/>
      <c r="J122" s="3822" t="str">
        <f t="array" ref="J122">IFERROR(VLOOKUP(J123,Dex!$B$3:$G1022,3,FALSE),"")</f>
        <v/>
      </c>
      <c r="K122" s="1830"/>
      <c r="L122" s="1830"/>
      <c r="M122" s="1831"/>
      <c r="N122" s="3823"/>
      <c r="O122" s="3822" t="str">
        <f t="array" ref="O122">IFERROR(VLOOKUP(O123,Dex!$B$3:$G1022,3,FALSE),"")</f>
        <v/>
      </c>
      <c r="P122" s="1830"/>
      <c r="Q122" s="1830"/>
      <c r="R122" s="1831"/>
      <c r="S122" s="3824"/>
      <c r="T122" s="3825"/>
      <c r="U122" s="3817"/>
      <c r="V122" s="3817"/>
      <c r="W122" s="3818"/>
      <c r="X122" s="3824"/>
      <c r="Y122" s="3825"/>
      <c r="Z122" s="3817"/>
      <c r="AA122" s="3817"/>
      <c r="AB122" s="3818"/>
      <c r="AC122" s="3824"/>
      <c r="AD122" s="3825"/>
      <c r="AE122" s="3817"/>
      <c r="AF122" s="3817"/>
      <c r="AG122" s="3818"/>
      <c r="AH122" s="3819"/>
      <c r="AI122" s="3367"/>
    </row>
    <row r="123" ht="18.75" customHeight="1">
      <c r="A123" s="3621"/>
      <c r="B123" s="3826"/>
      <c r="C123" s="3827" t="s">
        <v>1026</v>
      </c>
      <c r="D123" s="3828"/>
      <c r="E123" s="3829" t="s">
        <v>1027</v>
      </c>
      <c r="F123" s="3830"/>
      <c r="G123" s="3830"/>
      <c r="H123" s="3831"/>
      <c r="I123" s="3832"/>
      <c r="J123" s="3829" t="s">
        <v>1028</v>
      </c>
      <c r="K123" s="3830"/>
      <c r="L123" s="3830"/>
      <c r="M123" s="3831"/>
      <c r="N123" s="3832"/>
      <c r="O123" s="3829" t="s">
        <v>1029</v>
      </c>
      <c r="P123" s="3830"/>
      <c r="Q123" s="3830"/>
      <c r="R123" s="3831"/>
      <c r="S123" s="3832"/>
      <c r="T123" s="3833"/>
      <c r="U123" s="3817"/>
      <c r="V123" s="3817"/>
      <c r="W123" s="3818"/>
      <c r="X123" s="3832"/>
      <c r="Y123" s="3833"/>
      <c r="Z123" s="3817"/>
      <c r="AA123" s="3817"/>
      <c r="AB123" s="3818"/>
      <c r="AC123" s="3832"/>
      <c r="AD123" s="3833"/>
      <c r="AE123" s="3817"/>
      <c r="AF123" s="3817"/>
      <c r="AG123" s="3818"/>
      <c r="AH123" s="3834"/>
      <c r="AI123" s="3631"/>
    </row>
    <row r="124">
      <c r="A124" s="3632"/>
      <c r="B124" s="3835"/>
      <c r="C124" s="1481"/>
      <c r="D124" s="3836"/>
      <c r="E124" s="3837" t="s">
        <v>715</v>
      </c>
      <c r="F124" s="3838"/>
      <c r="G124" s="3838"/>
      <c r="H124" s="3839"/>
      <c r="I124" s="3832"/>
      <c r="J124" s="3837" t="s">
        <v>715</v>
      </c>
      <c r="K124" s="3838"/>
      <c r="L124" s="3838"/>
      <c r="M124" s="3839"/>
      <c r="N124" s="3832"/>
      <c r="O124" s="3837" t="s">
        <v>715</v>
      </c>
      <c r="P124" s="3838"/>
      <c r="Q124" s="3838"/>
      <c r="R124" s="3839"/>
      <c r="S124" s="3832"/>
      <c r="T124" s="3840"/>
      <c r="U124" s="3817"/>
      <c r="V124" s="3817"/>
      <c r="W124" s="3818"/>
      <c r="X124" s="3832"/>
      <c r="Y124" s="3840"/>
      <c r="Z124" s="3817"/>
      <c r="AA124" s="3817"/>
      <c r="AB124" s="3818"/>
      <c r="AC124" s="3832"/>
      <c r="AD124" s="3840"/>
      <c r="AE124" s="3817"/>
      <c r="AF124" s="3817"/>
      <c r="AG124" s="3818"/>
      <c r="AH124" s="3841"/>
      <c r="AI124" s="3640"/>
    </row>
    <row r="125" ht="25.5" customHeight="1">
      <c r="A125" s="3361"/>
      <c r="B125" s="3813"/>
      <c r="C125" s="1489"/>
      <c r="D125" s="3815"/>
      <c r="E125" s="3842"/>
      <c r="F125" s="3843" t="str">
        <f t="array" ref="F125">IFERROR(VLOOKUP(E123,Dex!$B$3:$H1022,5,FALSE),"")</f>
        <v/>
      </c>
      <c r="G125" s="3844"/>
      <c r="H125" s="3845"/>
      <c r="I125" s="3832"/>
      <c r="J125" s="3842"/>
      <c r="K125" s="3843" t="str">
        <f t="array" ref="K125">IFERROR(VLOOKUP(J123,Dex!$B$3:$H1022,5,FALSE),"")</f>
        <v/>
      </c>
      <c r="L125" s="3844"/>
      <c r="M125" s="3845"/>
      <c r="N125" s="3832"/>
      <c r="O125" s="3842"/>
      <c r="P125" s="3846" t="str">
        <f t="array" ref="P125">IFERROR(VLOOKUP(O123,Dex!$B$3:$H1022,5,FALSE),"")</f>
        <v/>
      </c>
      <c r="Q125" s="3846" t="str">
        <f t="array" ref="Q125">IFERROR(VLOOKUP(O123,Dex!$B$3:$H1022,7,FALSE),"")</f>
        <v/>
      </c>
      <c r="R125" s="3845"/>
      <c r="S125" s="3832"/>
      <c r="T125" s="3825"/>
      <c r="U125" s="3817"/>
      <c r="V125" s="3817"/>
      <c r="W125" s="3818"/>
      <c r="X125" s="3832"/>
      <c r="Y125" s="3825"/>
      <c r="Z125" s="3817"/>
      <c r="AA125" s="3817"/>
      <c r="AB125" s="3818"/>
      <c r="AC125" s="3832"/>
      <c r="AD125" s="3825"/>
      <c r="AE125" s="3817"/>
      <c r="AF125" s="3817"/>
      <c r="AG125" s="3818"/>
      <c r="AH125" s="3819"/>
      <c r="AI125" s="3367"/>
    </row>
    <row r="126" ht="2.25" customHeight="1">
      <c r="A126" s="3361"/>
      <c r="B126" s="3813"/>
      <c r="C126" s="3814"/>
      <c r="D126" s="3815"/>
      <c r="E126" s="3847"/>
      <c r="F126" s="3848"/>
      <c r="G126" s="3848"/>
      <c r="H126" s="3849"/>
      <c r="I126" s="3832"/>
      <c r="J126" s="3847"/>
      <c r="K126" s="3848"/>
      <c r="L126" s="3848"/>
      <c r="M126" s="3849"/>
      <c r="N126" s="3832"/>
      <c r="O126" s="3847"/>
      <c r="P126" s="3848"/>
      <c r="Q126" s="3848"/>
      <c r="R126" s="3849"/>
      <c r="S126" s="3832"/>
      <c r="T126" s="3815"/>
      <c r="U126" s="3815"/>
      <c r="V126" s="3815"/>
      <c r="W126" s="3815"/>
      <c r="X126" s="3832"/>
      <c r="Y126" s="3815"/>
      <c r="Z126" s="3815"/>
      <c r="AA126" s="3815"/>
      <c r="AB126" s="3815"/>
      <c r="AC126" s="3832"/>
      <c r="AD126" s="3815"/>
      <c r="AE126" s="3815"/>
      <c r="AF126" s="3815"/>
      <c r="AG126" s="3815"/>
      <c r="AH126" s="3819"/>
      <c r="AI126" s="3367"/>
    </row>
    <row r="127" ht="20.25" customHeight="1">
      <c r="A127" s="3361"/>
      <c r="B127" s="3813"/>
      <c r="C127" s="3814"/>
      <c r="D127" s="3815"/>
      <c r="E127" s="3850" t="s">
        <v>205</v>
      </c>
      <c r="F127" s="3851"/>
      <c r="G127" s="3851"/>
      <c r="H127" s="3852"/>
      <c r="I127" s="3832"/>
      <c r="J127" s="3850" t="s">
        <v>205</v>
      </c>
      <c r="K127" s="3851"/>
      <c r="L127" s="3851"/>
      <c r="M127" s="3852"/>
      <c r="N127" s="3832"/>
      <c r="O127" s="3850" t="s">
        <v>171</v>
      </c>
      <c r="P127" s="3851"/>
      <c r="Q127" s="3851"/>
      <c r="R127" s="3852"/>
      <c r="S127" s="3832"/>
      <c r="T127" s="3825"/>
      <c r="U127" s="3817"/>
      <c r="V127" s="3817"/>
      <c r="W127" s="3818"/>
      <c r="X127" s="3832"/>
      <c r="Y127" s="3825"/>
      <c r="Z127" s="3817"/>
      <c r="AA127" s="3817"/>
      <c r="AB127" s="3818"/>
      <c r="AC127" s="3832"/>
      <c r="AD127" s="3825"/>
      <c r="AE127" s="3817"/>
      <c r="AF127" s="3817"/>
      <c r="AG127" s="3818"/>
      <c r="AH127" s="3819"/>
      <c r="AI127" s="3367"/>
    </row>
    <row r="128" ht="20.25" customHeight="1">
      <c r="A128" s="3361"/>
      <c r="B128" s="3813"/>
      <c r="C128" s="3853"/>
      <c r="D128" s="3815"/>
      <c r="E128" s="3854" t="s">
        <v>1030</v>
      </c>
      <c r="F128" s="3817"/>
      <c r="G128" s="3817"/>
      <c r="H128" s="3855"/>
      <c r="I128" s="3832"/>
      <c r="J128" s="3854" t="s">
        <v>1031</v>
      </c>
      <c r="K128" s="3817"/>
      <c r="L128" s="3817"/>
      <c r="M128" s="3855"/>
      <c r="N128" s="3832"/>
      <c r="O128" s="3854" t="s">
        <v>1032</v>
      </c>
      <c r="P128" s="3817"/>
      <c r="Q128" s="3817"/>
      <c r="R128" s="3855"/>
      <c r="S128" s="3832"/>
      <c r="T128" s="3825"/>
      <c r="U128" s="3817"/>
      <c r="V128" s="3817"/>
      <c r="W128" s="3818"/>
      <c r="X128" s="3832"/>
      <c r="Y128" s="3825"/>
      <c r="Z128" s="3817"/>
      <c r="AA128" s="3817"/>
      <c r="AB128" s="3818"/>
      <c r="AC128" s="3832"/>
      <c r="AD128" s="3825"/>
      <c r="AE128" s="3817"/>
      <c r="AF128" s="3817"/>
      <c r="AG128" s="3818"/>
      <c r="AH128" s="3819"/>
      <c r="AI128" s="3367"/>
    </row>
    <row r="129" ht="20.25" customHeight="1">
      <c r="A129" s="3361"/>
      <c r="B129" s="3813"/>
      <c r="C129" s="3832"/>
      <c r="D129" s="3815"/>
      <c r="E129" s="3856" t="s">
        <v>239</v>
      </c>
      <c r="F129" s="3857"/>
      <c r="G129" s="3858"/>
      <c r="H129" s="3859" t="str">
        <f>IMAGE("https://raw.githubusercontent.com/msikma/pokesprite/master/items/berry/shuca.png",3)</f>
        <v/>
      </c>
      <c r="I129" s="3832"/>
      <c r="J129" s="3856" t="s">
        <v>536</v>
      </c>
      <c r="K129" s="3857"/>
      <c r="L129" s="3858"/>
      <c r="M129" s="3859" t="str">
        <f>IMAGE("https://raw.githubusercontent.com/msikma/pokesprite/master/items/hold-item/magnet.png",3)</f>
        <v/>
      </c>
      <c r="N129" s="3832"/>
      <c r="O129" s="3856" t="s">
        <v>238</v>
      </c>
      <c r="P129" s="3857"/>
      <c r="Q129" s="3858"/>
      <c r="R129" s="3859" t="str">
        <f>IMAGE("https://raw.githubusercontent.com/msikma/pokesprite/master/items/berry/occa.png",3)</f>
        <v/>
      </c>
      <c r="S129" s="3832"/>
      <c r="T129" s="3825"/>
      <c r="U129" s="3817"/>
      <c r="V129" s="3817"/>
      <c r="W129" s="3818"/>
      <c r="X129" s="3832"/>
      <c r="Y129" s="3825"/>
      <c r="Z129" s="3817"/>
      <c r="AA129" s="3817"/>
      <c r="AB129" s="3818"/>
      <c r="AC129" s="3832"/>
      <c r="AD129" s="3825"/>
      <c r="AE129" s="3817"/>
      <c r="AF129" s="3817"/>
      <c r="AG129" s="3818"/>
      <c r="AH129" s="3819"/>
      <c r="AI129" s="3367"/>
    </row>
    <row r="130" ht="20.25" customHeight="1">
      <c r="A130" s="3361"/>
      <c r="B130" s="3813"/>
      <c r="C130" s="3860"/>
      <c r="D130" s="3815"/>
      <c r="E130" s="3850" t="s">
        <v>222</v>
      </c>
      <c r="F130" s="3851"/>
      <c r="G130" s="3861"/>
      <c r="H130" s="3862" t="str">
        <f>IMAGE("https://raw.githubusercontent.com/msikma/pokesprite/master/misc/types/gen8/grass.png",4,20,20)</f>
        <v/>
      </c>
      <c r="I130" s="3832"/>
      <c r="J130" s="3850" t="s">
        <v>852</v>
      </c>
      <c r="K130" s="3851"/>
      <c r="L130" s="3861"/>
      <c r="M130" s="3862" t="str">
        <f>IMAGE("https://raw.githubusercontent.com/msikma/pokesprite/master/misc/types/gen8/electric.png",4,20,20)</f>
        <v/>
      </c>
      <c r="N130" s="3832"/>
      <c r="O130" s="3850" t="s">
        <v>947</v>
      </c>
      <c r="P130" s="3851"/>
      <c r="Q130" s="3861"/>
      <c r="R130" s="3862" t="str">
        <f>IMAGE("https://raw.githubusercontent.com/msikma/pokesprite/master/misc/types/gen8/ice.png",4,20,20)</f>
        <v/>
      </c>
      <c r="S130" s="3832"/>
      <c r="T130" s="3825"/>
      <c r="U130" s="3817"/>
      <c r="V130" s="3817"/>
      <c r="W130" s="3818"/>
      <c r="X130" s="3832"/>
      <c r="Y130" s="3825"/>
      <c r="Z130" s="3817"/>
      <c r="AA130" s="3817"/>
      <c r="AB130" s="3818"/>
      <c r="AC130" s="3832"/>
      <c r="AD130" s="3825"/>
      <c r="AE130" s="3817"/>
      <c r="AF130" s="3817"/>
      <c r="AG130" s="3818"/>
      <c r="AH130" s="3819"/>
      <c r="AI130" s="3367"/>
    </row>
    <row r="131" ht="20.25" customHeight="1">
      <c r="A131" s="3361"/>
      <c r="B131" s="3813"/>
      <c r="C131" s="3814"/>
      <c r="D131" s="3815"/>
      <c r="E131" s="3854" t="s">
        <v>1016</v>
      </c>
      <c r="F131" s="3817"/>
      <c r="G131" s="3818"/>
      <c r="H131" s="3863" t="str">
        <f>IMAGE("https://raw.githubusercontent.com/msikma/pokesprite/master/misc/types/gen8/electric.png",4,20,20)</f>
        <v/>
      </c>
      <c r="I131" s="3832"/>
      <c r="J131" s="3854" t="s">
        <v>1024</v>
      </c>
      <c r="K131" s="3817"/>
      <c r="L131" s="3818"/>
      <c r="M131" s="3863" t="str">
        <f>IMAGE("https://raw.githubusercontent.com/msikma/pokesprite/master/misc/types/gen8/normal.png",4,20,20)</f>
        <v/>
      </c>
      <c r="N131" s="3832"/>
      <c r="O131" s="3854" t="s">
        <v>726</v>
      </c>
      <c r="P131" s="3817"/>
      <c r="Q131" s="3818"/>
      <c r="R131" s="3863" t="str">
        <f>IMAGE("https://raw.githubusercontent.com/msikma/pokesprite/master/misc/types/gen8/grass.png",4,20,20)</f>
        <v/>
      </c>
      <c r="S131" s="3832"/>
      <c r="T131" s="3825"/>
      <c r="U131" s="3817"/>
      <c r="V131" s="3817"/>
      <c r="W131" s="3818"/>
      <c r="X131" s="3832"/>
      <c r="Y131" s="3825"/>
      <c r="Z131" s="3817"/>
      <c r="AA131" s="3817"/>
      <c r="AB131" s="3818"/>
      <c r="AC131" s="3832"/>
      <c r="AD131" s="3825"/>
      <c r="AE131" s="3817"/>
      <c r="AF131" s="3817"/>
      <c r="AG131" s="3818"/>
      <c r="AH131" s="3819"/>
      <c r="AI131" s="3367"/>
    </row>
    <row r="132" ht="20.25" customHeight="1">
      <c r="A132" s="3361"/>
      <c r="B132" s="3813"/>
      <c r="C132" s="3814"/>
      <c r="D132" s="3815"/>
      <c r="E132" s="3854" t="s">
        <v>1033</v>
      </c>
      <c r="F132" s="3817"/>
      <c r="G132" s="3818"/>
      <c r="H132" s="3863" t="str">
        <f>IMAGE("https://raw.githubusercontent.com/msikma/pokesprite/master/misc/types/gen8/bug.png",4,20,20)</f>
        <v/>
      </c>
      <c r="I132" s="3832"/>
      <c r="J132" s="3854" t="s">
        <v>253</v>
      </c>
      <c r="K132" s="3817"/>
      <c r="L132" s="3818"/>
      <c r="M132" s="3863" t="str">
        <f>IMAGE("https://raw.githubusercontent.com/msikma/pokesprite/master/misc/types/gen8/fire.png",4,20,20)</f>
        <v/>
      </c>
      <c r="N132" s="3832"/>
      <c r="O132" s="3854" t="s">
        <v>220</v>
      </c>
      <c r="P132" s="3817"/>
      <c r="Q132" s="3818"/>
      <c r="R132" s="3863" t="str">
        <f>IMAGE("https://raw.githubusercontent.com/msikma/pokesprite/master/misc/types/gen8/ice.png",4,20,20)</f>
        <v/>
      </c>
      <c r="S132" s="3832"/>
      <c r="T132" s="3825"/>
      <c r="U132" s="3817"/>
      <c r="V132" s="3817"/>
      <c r="W132" s="3818"/>
      <c r="X132" s="3832"/>
      <c r="Y132" s="3825"/>
      <c r="Z132" s="3817"/>
      <c r="AA132" s="3817"/>
      <c r="AB132" s="3818"/>
      <c r="AC132" s="3832"/>
      <c r="AD132" s="3825"/>
      <c r="AE132" s="3817"/>
      <c r="AF132" s="3817"/>
      <c r="AG132" s="3818"/>
      <c r="AH132" s="3819"/>
      <c r="AI132" s="3367"/>
    </row>
    <row r="133" ht="21.0" customHeight="1">
      <c r="A133" s="3361"/>
      <c r="B133" s="3813"/>
      <c r="C133" s="3814"/>
      <c r="D133" s="3815"/>
      <c r="E133" s="3864" t="s">
        <v>245</v>
      </c>
      <c r="F133" s="3865"/>
      <c r="G133" s="3866"/>
      <c r="H133" s="3867" t="str">
        <f>IMAGE("https://raw.githubusercontent.com/msikma/pokesprite/master/misc/types/gen8/electric.png",4,20,20)</f>
        <v/>
      </c>
      <c r="I133" s="3860"/>
      <c r="J133" s="3864" t="s">
        <v>1033</v>
      </c>
      <c r="K133" s="3865"/>
      <c r="L133" s="3866"/>
      <c r="M133" s="3867" t="str">
        <f>IMAGE("https://raw.githubusercontent.com/msikma/pokesprite/master/misc/types/gen8/bug.png",4,20,20)</f>
        <v/>
      </c>
      <c r="N133" s="3860"/>
      <c r="O133" s="3864" t="s">
        <v>216</v>
      </c>
      <c r="P133" s="3865"/>
      <c r="Q133" s="3866"/>
      <c r="R133" s="3867" t="str">
        <f>IMAGE("https://raw.githubusercontent.com/msikma/pokesprite/master/misc/types/gen8/water.png",4,20,20)</f>
        <v/>
      </c>
      <c r="S133" s="3860"/>
      <c r="T133" s="3825"/>
      <c r="U133" s="3817"/>
      <c r="V133" s="3817"/>
      <c r="W133" s="3818"/>
      <c r="X133" s="3860"/>
      <c r="Y133" s="3825"/>
      <c r="Z133" s="3817"/>
      <c r="AA133" s="3817"/>
      <c r="AB133" s="3818"/>
      <c r="AC133" s="3860"/>
      <c r="AD133" s="3825"/>
      <c r="AE133" s="3817"/>
      <c r="AF133" s="3817"/>
      <c r="AG133" s="3818"/>
      <c r="AH133" s="3819"/>
      <c r="AI133" s="3367"/>
    </row>
    <row r="134" ht="3.0" customHeight="1">
      <c r="A134" s="3445"/>
      <c r="B134" s="3868"/>
      <c r="C134" s="3869"/>
      <c r="D134" s="3870"/>
      <c r="E134" s="3871"/>
      <c r="F134" s="3871"/>
      <c r="G134" s="3871"/>
      <c r="H134" s="3871"/>
      <c r="I134" s="3870"/>
      <c r="J134" s="3872"/>
      <c r="K134" s="3872"/>
      <c r="L134" s="3872"/>
      <c r="M134" s="3871"/>
      <c r="N134" s="3870"/>
      <c r="O134" s="3872"/>
      <c r="P134" s="3872"/>
      <c r="Q134" s="3872"/>
      <c r="R134" s="3871"/>
      <c r="S134" s="3871"/>
      <c r="T134" s="3871"/>
      <c r="U134" s="3871"/>
      <c r="V134" s="3871"/>
      <c r="W134" s="3871"/>
      <c r="X134" s="3870"/>
      <c r="Y134" s="3870"/>
      <c r="Z134" s="3873"/>
      <c r="AA134" s="3873"/>
      <c r="AB134" s="3874"/>
      <c r="AC134" s="3874"/>
      <c r="AD134" s="3874"/>
      <c r="AE134" s="3874"/>
      <c r="AF134" s="3874"/>
      <c r="AG134" s="3874"/>
      <c r="AH134" s="3875"/>
      <c r="AI134" s="3456"/>
    </row>
    <row r="135" ht="16.5" customHeight="1">
      <c r="A135" s="3457"/>
      <c r="B135" s="3876"/>
      <c r="C135" s="3869"/>
      <c r="D135" s="3877"/>
      <c r="E135" s="3878" t="s">
        <v>190</v>
      </c>
      <c r="F135" s="381"/>
      <c r="G135" s="382"/>
      <c r="H135" s="3879" t="s">
        <v>191</v>
      </c>
      <c r="I135" s="3880"/>
      <c r="J135" s="3878" t="s">
        <v>190</v>
      </c>
      <c r="K135" s="381"/>
      <c r="L135" s="382"/>
      <c r="M135" s="3879" t="s">
        <v>191</v>
      </c>
      <c r="N135" s="3880"/>
      <c r="O135" s="3878" t="s">
        <v>190</v>
      </c>
      <c r="P135" s="381"/>
      <c r="Q135" s="382"/>
      <c r="R135" s="3879" t="s">
        <v>191</v>
      </c>
      <c r="S135" s="3881"/>
      <c r="T135" s="3877"/>
      <c r="U135" s="3877"/>
      <c r="V135" s="3882"/>
      <c r="W135" s="3883"/>
      <c r="X135" s="3883"/>
      <c r="Y135" s="3883"/>
      <c r="Z135" s="3877"/>
      <c r="AA135" s="3877"/>
      <c r="AB135" s="3883"/>
      <c r="AC135" s="3883"/>
      <c r="AD135" s="3883"/>
      <c r="AE135" s="3883"/>
      <c r="AF135" s="3883"/>
      <c r="AG135" s="3883"/>
      <c r="AH135" s="3884"/>
      <c r="AI135" s="3466"/>
    </row>
    <row r="136" ht="16.5" customHeight="1">
      <c r="A136" s="3457"/>
      <c r="B136" s="3876"/>
      <c r="C136" s="3869"/>
      <c r="D136" s="3877"/>
      <c r="E136" s="3885" t="s">
        <v>192</v>
      </c>
      <c r="F136" s="3886">
        <f t="array" ref="F136">IFERROR(VLOOKUP(E123,Dex!$B$3:$N1022,8,FALSE),"")</f>
        <v>60</v>
      </c>
      <c r="G136" s="3887" t="str">
        <f t="array" ref="G136">IFERROR(VLOOKUP(F136,Dex!$P$22:$Q$276,2,FALSE),"")</f>
        <v/>
      </c>
      <c r="H136" s="3888"/>
      <c r="I136" s="3889"/>
      <c r="J136" s="3885" t="s">
        <v>192</v>
      </c>
      <c r="K136" s="3886">
        <f t="array" ref="K136">IFERROR(VLOOKUP(J123,Dex!$B$3:$N1022,8,FALSE),"")</f>
        <v>40</v>
      </c>
      <c r="L136" s="3887" t="str">
        <f t="array" ref="L136">IFERROR(VLOOKUP(K136,Dex!$P$22:$Q$276,2,FALSE),"")</f>
        <v/>
      </c>
      <c r="M136" s="3888"/>
      <c r="N136" s="3889"/>
      <c r="O136" s="3885" t="s">
        <v>192</v>
      </c>
      <c r="P136" s="3886">
        <f t="array" ref="P136">IFERROR(VLOOKUP(O123,Dex!$B$3:$N1022,8,FALSE),"")</f>
        <v>60</v>
      </c>
      <c r="Q136" s="3887" t="str">
        <f t="array" ref="Q136">IFERROR(VLOOKUP(P136,Dex!$P$22:$Q$276,2,FALSE),"")</f>
        <v/>
      </c>
      <c r="R136" s="3888"/>
      <c r="S136" s="3889"/>
      <c r="T136" s="3877"/>
      <c r="U136" s="3877"/>
      <c r="V136" s="3890"/>
      <c r="W136" s="3883"/>
      <c r="X136" s="3883"/>
      <c r="Y136" s="3883"/>
      <c r="Z136" s="3877"/>
      <c r="AA136" s="3877"/>
      <c r="AB136" s="3883"/>
      <c r="AC136" s="3883"/>
      <c r="AD136" s="3883"/>
      <c r="AE136" s="3883"/>
      <c r="AF136" s="3883"/>
      <c r="AG136" s="3883"/>
      <c r="AH136" s="3884"/>
      <c r="AI136" s="3466"/>
    </row>
    <row r="137" ht="16.5" customHeight="1">
      <c r="A137" s="3457"/>
      <c r="B137" s="3876"/>
      <c r="C137" s="3869"/>
      <c r="D137" s="3877"/>
      <c r="E137" s="3891" t="s">
        <v>193</v>
      </c>
      <c r="F137" s="3892">
        <f t="array" ref="F137">IFERROR(VLOOKUP(E123,Dex!$B$3:$N1022,9,FALSE),"")</f>
        <v>50</v>
      </c>
      <c r="G137" s="3893" t="str">
        <f t="array" ref="G137">IFERROR(VLOOKUP(F137,Dex!$P$22:$Q$276,2,FALSE),"")</f>
        <v/>
      </c>
      <c r="H137" s="3894"/>
      <c r="I137" s="3889"/>
      <c r="J137" s="3891" t="s">
        <v>193</v>
      </c>
      <c r="K137" s="3892">
        <f t="array" ref="K137">IFERROR(VLOOKUP(J123,Dex!$B$3:$N1022,9,FALSE),"")</f>
        <v>45</v>
      </c>
      <c r="L137" s="3893" t="str">
        <f t="array" ref="L137">IFERROR(VLOOKUP(K137,Dex!$P$22:$Q$276,2,FALSE),"")</f>
        <v/>
      </c>
      <c r="M137" s="3894"/>
      <c r="N137" s="3889"/>
      <c r="O137" s="3891" t="s">
        <v>193</v>
      </c>
      <c r="P137" s="3892">
        <f t="array" ref="P137">IFERROR(VLOOKUP(O123,Dex!$B$3:$N1022,9,FALSE),"")</f>
        <v>62</v>
      </c>
      <c r="Q137" s="3893" t="str">
        <f t="array" ref="Q137">IFERROR(VLOOKUP(P137,Dex!$P$22:$Q$276,2,FALSE),"")</f>
        <v/>
      </c>
      <c r="R137" s="3894"/>
      <c r="S137" s="3889"/>
      <c r="T137" s="3877"/>
      <c r="U137" s="3877"/>
      <c r="V137" s="3895"/>
      <c r="W137" s="3883"/>
      <c r="X137" s="3883"/>
      <c r="Y137" s="3883"/>
      <c r="Z137" s="3877"/>
      <c r="AA137" s="3877"/>
      <c r="AB137" s="3883"/>
      <c r="AC137" s="3883"/>
      <c r="AD137" s="3883"/>
      <c r="AE137" s="3883"/>
      <c r="AF137" s="3883"/>
      <c r="AG137" s="3883"/>
      <c r="AH137" s="3884"/>
      <c r="AI137" s="3466"/>
    </row>
    <row r="138" ht="16.5" customHeight="1">
      <c r="A138" s="3457"/>
      <c r="B138" s="3876"/>
      <c r="C138" s="3869"/>
      <c r="D138" s="3877"/>
      <c r="E138" s="3891" t="s">
        <v>194</v>
      </c>
      <c r="F138" s="3892">
        <f t="array" ref="F138">IFERROR(VLOOKUP(E123,Dex!$B$3:$N1022,10,FALSE),"")</f>
        <v>40</v>
      </c>
      <c r="G138" s="3893" t="str">
        <f t="array" ref="G138">IFERROR(VLOOKUP(F138,Dex!$P$22:$Q$276,2,FALSE),"")</f>
        <v/>
      </c>
      <c r="H138" s="3894"/>
      <c r="I138" s="3889"/>
      <c r="J138" s="3891" t="s">
        <v>194</v>
      </c>
      <c r="K138" s="3892">
        <f t="array" ref="K138">IFERROR(VLOOKUP(J123,Dex!$B$3:$N1022,10,FALSE),"")</f>
        <v>40</v>
      </c>
      <c r="L138" s="3893" t="str">
        <f t="array" ref="L138">IFERROR(VLOOKUP(K138,Dex!$P$22:$Q$276,2,FALSE),"")</f>
        <v/>
      </c>
      <c r="M138" s="3894"/>
      <c r="N138" s="3889"/>
      <c r="O138" s="3891" t="s">
        <v>194</v>
      </c>
      <c r="P138" s="3892">
        <f t="array" ref="P138">IFERROR(VLOOKUP(O123,Dex!$B$3:$N1022,10,FALSE),"")</f>
        <v>50</v>
      </c>
      <c r="Q138" s="3893" t="str">
        <f t="array" ref="Q138">IFERROR(VLOOKUP(P138,Dex!$P$22:$Q$276,2,FALSE),"")</f>
        <v/>
      </c>
      <c r="R138" s="3894"/>
      <c r="S138" s="3889"/>
      <c r="T138" s="3877"/>
      <c r="U138" s="3877"/>
      <c r="V138" s="3896" t="str">
        <f>IMAGE("https://play.pokemonshowdown.com/sprites/trainers/youngster-gen4.png",4,140,140)</f>
        <v/>
      </c>
      <c r="W138" s="3883"/>
      <c r="X138" s="3883"/>
      <c r="Y138" s="3883"/>
      <c r="Z138" s="3877"/>
      <c r="AA138" s="3877"/>
      <c r="AB138" s="3883"/>
      <c r="AC138" s="3883"/>
      <c r="AD138" s="3883"/>
      <c r="AE138" s="3883"/>
      <c r="AF138" s="3883"/>
      <c r="AG138" s="3883"/>
      <c r="AH138" s="3884"/>
      <c r="AI138" s="3466"/>
    </row>
    <row r="139" ht="16.5" customHeight="1">
      <c r="A139" s="3457"/>
      <c r="B139" s="3876"/>
      <c r="C139" s="3869"/>
      <c r="D139" s="3877"/>
      <c r="E139" s="3891" t="s">
        <v>195</v>
      </c>
      <c r="F139" s="3892">
        <f t="array" ref="F139">IFERROR(VLOOKUP(E123,Dex!$B$3:$N1022,11,FALSE),"")</f>
        <v>85</v>
      </c>
      <c r="G139" s="3893" t="str">
        <f t="array" ref="G139">IFERROR(VLOOKUP(F139,Dex!$P$22:$Q$276,2,FALSE),"")</f>
        <v/>
      </c>
      <c r="H139" s="3894"/>
      <c r="I139" s="3889"/>
      <c r="J139" s="3891" t="s">
        <v>195</v>
      </c>
      <c r="K139" s="3892">
        <f t="array" ref="K139">IFERROR(VLOOKUP(J123,Dex!$B$3:$N1022,11,FALSE),"")</f>
        <v>65</v>
      </c>
      <c r="L139" s="3893" t="str">
        <f t="array" ref="L139">IFERROR(VLOOKUP(K139,Dex!$P$22:$Q$276,2,FALSE),"")</f>
        <v/>
      </c>
      <c r="M139" s="3894"/>
      <c r="N139" s="3889"/>
      <c r="O139" s="3891" t="s">
        <v>195</v>
      </c>
      <c r="P139" s="3892">
        <f t="array" ref="P139">IFERROR(VLOOKUP(O123,Dex!$B$3:$N1022,11,FALSE),"")</f>
        <v>62</v>
      </c>
      <c r="Q139" s="3893" t="str">
        <f t="array" ref="Q139">IFERROR(VLOOKUP(P139,Dex!$P$22:$Q$276,2,FALSE),"")</f>
        <v/>
      </c>
      <c r="R139" s="3894"/>
      <c r="S139" s="3889"/>
      <c r="T139" s="3877"/>
      <c r="U139" s="3877"/>
      <c r="V139" s="3832"/>
      <c r="W139" s="3883"/>
      <c r="X139" s="3883"/>
      <c r="Y139" s="3883"/>
      <c r="Z139" s="3877"/>
      <c r="AA139" s="3877"/>
      <c r="AB139" s="3883"/>
      <c r="AC139" s="3883"/>
      <c r="AD139" s="3883"/>
      <c r="AE139" s="3883"/>
      <c r="AF139" s="3883"/>
      <c r="AG139" s="3883"/>
      <c r="AH139" s="3884"/>
      <c r="AI139" s="3466"/>
    </row>
    <row r="140" ht="16.5" customHeight="1">
      <c r="A140" s="3457"/>
      <c r="B140" s="3876"/>
      <c r="C140" s="3869"/>
      <c r="D140" s="3877"/>
      <c r="E140" s="3891" t="s">
        <v>196</v>
      </c>
      <c r="F140" s="3892">
        <f t="array" ref="F140">IFERROR(VLOOKUP(E123,Dex!$B$3:$N1022,12,FALSE),"")</f>
        <v>75</v>
      </c>
      <c r="G140" s="3893" t="str">
        <f t="array" ref="G140">IFERROR(VLOOKUP(F140,Dex!$P$22:$Q$276,2,FALSE),"")</f>
        <v/>
      </c>
      <c r="H140" s="3894"/>
      <c r="I140" s="3889"/>
      <c r="J140" s="3891" t="s">
        <v>196</v>
      </c>
      <c r="K140" s="3892">
        <f t="array" ref="K140">IFERROR(VLOOKUP(J123,Dex!$B$3:$N1022,12,FALSE),"")</f>
        <v>40</v>
      </c>
      <c r="L140" s="3893" t="str">
        <f t="array" ref="L140">IFERROR(VLOOKUP(K140,Dex!$P$22:$Q$276,2,FALSE),"")</f>
        <v/>
      </c>
      <c r="M140" s="3894"/>
      <c r="N140" s="3889"/>
      <c r="O140" s="3891" t="s">
        <v>196</v>
      </c>
      <c r="P140" s="3892">
        <f t="array" ref="P140">IFERROR(VLOOKUP(O123,Dex!$B$3:$N1022,12,FALSE),"")</f>
        <v>60</v>
      </c>
      <c r="Q140" s="3893" t="str">
        <f t="array" ref="Q140">IFERROR(VLOOKUP(P140,Dex!$P$22:$Q$276,2,FALSE),"")</f>
        <v/>
      </c>
      <c r="R140" s="3894"/>
      <c r="S140" s="3889"/>
      <c r="T140" s="3877"/>
      <c r="U140" s="3877"/>
      <c r="V140" s="3832"/>
      <c r="W140" s="3883"/>
      <c r="X140" s="3883"/>
      <c r="Y140" s="3883"/>
      <c r="Z140" s="3877"/>
      <c r="AA140" s="3877"/>
      <c r="AB140" s="3883"/>
      <c r="AC140" s="3883"/>
      <c r="AD140" s="3883"/>
      <c r="AE140" s="3883"/>
      <c r="AF140" s="3883"/>
      <c r="AG140" s="3883"/>
      <c r="AH140" s="3884"/>
      <c r="AI140" s="3466"/>
    </row>
    <row r="141" ht="16.5" customHeight="1">
      <c r="A141" s="3457"/>
      <c r="B141" s="3876"/>
      <c r="C141" s="1204" t="s">
        <v>436</v>
      </c>
      <c r="D141" s="3877"/>
      <c r="E141" s="3897" t="s">
        <v>197</v>
      </c>
      <c r="F141" s="3898">
        <f t="array" ref="F141">IFERROR(VLOOKUP(E123,Dex!$B$3:$N1022,13,FALSE),"")</f>
        <v>110</v>
      </c>
      <c r="G141" s="3899" t="str">
        <f t="array" ref="G141">IFERROR(VLOOKUP(F141,Dex!$P$22:$Q$276,2,FALSE),"")</f>
        <v/>
      </c>
      <c r="H141" s="3900"/>
      <c r="I141" s="3889"/>
      <c r="J141" s="3897" t="s">
        <v>197</v>
      </c>
      <c r="K141" s="3898">
        <f t="array" ref="K141">IFERROR(VLOOKUP(J123,Dex!$B$3:$N1022,13,FALSE),"")</f>
        <v>65</v>
      </c>
      <c r="L141" s="3899" t="str">
        <f t="array" ref="L141">IFERROR(VLOOKUP(K141,Dex!$P$22:$Q$276,2,FALSE),"")</f>
        <v/>
      </c>
      <c r="M141" s="3900"/>
      <c r="N141" s="3889"/>
      <c r="O141" s="3897" t="s">
        <v>197</v>
      </c>
      <c r="P141" s="3898">
        <f t="array" ref="P141">IFERROR(VLOOKUP(O123,Dex!$B$3:$N1022,13,FALSE),"")</f>
        <v>40</v>
      </c>
      <c r="Q141" s="3899" t="str">
        <f t="array" ref="Q141">IFERROR(VLOOKUP(P141,Dex!$P$22:$Q$276,2,FALSE),"")</f>
        <v/>
      </c>
      <c r="R141" s="3900"/>
      <c r="S141" s="3889"/>
      <c r="T141" s="3877"/>
      <c r="U141" s="3877"/>
      <c r="V141" s="3832"/>
      <c r="W141" s="3883"/>
      <c r="X141" s="3883"/>
      <c r="Y141" s="3883"/>
      <c r="Z141" s="3877"/>
      <c r="AA141" s="3877"/>
      <c r="AB141" s="3883"/>
      <c r="AC141" s="3883"/>
      <c r="AD141" s="3883"/>
      <c r="AE141" s="3883"/>
      <c r="AF141" s="3883"/>
      <c r="AG141" s="3883"/>
      <c r="AH141" s="3884"/>
      <c r="AI141" s="3466"/>
    </row>
    <row r="142" ht="16.5" customHeight="1">
      <c r="A142" s="3457"/>
      <c r="B142" s="3876"/>
      <c r="C142" s="1205" t="s">
        <v>524</v>
      </c>
      <c r="D142" s="3877"/>
      <c r="E142" s="3901" t="s">
        <v>198</v>
      </c>
      <c r="F142" s="405"/>
      <c r="G142" s="406"/>
      <c r="H142" s="3902">
        <v>68.0</v>
      </c>
      <c r="I142" s="3880"/>
      <c r="J142" s="3901" t="s">
        <v>198</v>
      </c>
      <c r="K142" s="405"/>
      <c r="L142" s="406"/>
      <c r="M142" s="3902">
        <v>46.0</v>
      </c>
      <c r="N142" s="3880"/>
      <c r="O142" s="3901" t="s">
        <v>198</v>
      </c>
      <c r="P142" s="405"/>
      <c r="Q142" s="406"/>
      <c r="R142" s="3902">
        <v>30.0</v>
      </c>
      <c r="S142" s="3889"/>
      <c r="T142" s="3877"/>
      <c r="U142" s="3877"/>
      <c r="V142" s="3860"/>
      <c r="W142" s="3883"/>
      <c r="X142" s="3883"/>
      <c r="Y142" s="3883"/>
      <c r="Z142" s="3877"/>
      <c r="AA142" s="3877"/>
      <c r="AB142" s="3883"/>
      <c r="AC142" s="3883"/>
      <c r="AD142" s="3883"/>
      <c r="AE142" s="3883"/>
      <c r="AF142" s="3883"/>
      <c r="AG142" s="3883"/>
      <c r="AH142" s="3884"/>
      <c r="AI142" s="3466"/>
    </row>
    <row r="143" ht="15.0" customHeight="1">
      <c r="A143" s="3361"/>
      <c r="B143" s="3903"/>
      <c r="C143" s="3904"/>
      <c r="D143" s="3905"/>
      <c r="E143" s="3905"/>
      <c r="F143" s="3905"/>
      <c r="G143" s="3905"/>
      <c r="H143" s="3905"/>
      <c r="I143" s="3905"/>
      <c r="J143" s="3906"/>
      <c r="K143" s="3906"/>
      <c r="L143" s="3906"/>
      <c r="M143" s="3905"/>
      <c r="N143" s="3905"/>
      <c r="O143" s="3906"/>
      <c r="P143" s="3906"/>
      <c r="Q143" s="3906"/>
      <c r="R143" s="3905"/>
      <c r="S143" s="3905"/>
      <c r="T143" s="3905"/>
      <c r="U143" s="3905"/>
      <c r="V143" s="3905"/>
      <c r="W143" s="3905"/>
      <c r="X143" s="3905"/>
      <c r="Y143" s="3905"/>
      <c r="Z143" s="3905"/>
      <c r="AA143" s="3905"/>
      <c r="AB143" s="3905"/>
      <c r="AC143" s="3905"/>
      <c r="AD143" s="3905"/>
      <c r="AE143" s="3905"/>
      <c r="AF143" s="3905"/>
      <c r="AG143" s="3905"/>
      <c r="AH143" s="3907"/>
      <c r="AI143" s="3367"/>
    </row>
    <row r="144" ht="15.0" customHeight="1">
      <c r="A144" s="3361"/>
      <c r="B144" s="3794"/>
      <c r="C144" s="3795"/>
      <c r="D144" s="3796"/>
      <c r="E144" s="3796"/>
      <c r="F144" s="3796"/>
      <c r="G144" s="3796"/>
      <c r="H144" s="3796"/>
      <c r="I144" s="3796"/>
      <c r="J144" s="3796"/>
      <c r="K144" s="3796"/>
      <c r="L144" s="3796"/>
      <c r="M144" s="3796"/>
      <c r="N144" s="3796"/>
      <c r="O144" s="3796"/>
      <c r="P144" s="3796"/>
      <c r="Q144" s="3796"/>
      <c r="R144" s="3796"/>
      <c r="S144" s="3796"/>
      <c r="T144" s="3796"/>
      <c r="U144" s="3796"/>
      <c r="V144" s="3796"/>
      <c r="W144" s="3796"/>
      <c r="X144" s="3796"/>
      <c r="Y144" s="3796"/>
      <c r="Z144" s="3796"/>
      <c r="AA144" s="3796"/>
      <c r="AB144" s="3796"/>
      <c r="AC144" s="3796"/>
      <c r="AD144" s="3796"/>
      <c r="AE144" s="3796"/>
      <c r="AF144" s="3796"/>
      <c r="AG144" s="3796"/>
      <c r="AH144" s="3797"/>
      <c r="AI144" s="3367"/>
    </row>
    <row r="145" ht="96.75" customHeight="1">
      <c r="A145" s="3368"/>
      <c r="B145" s="3369"/>
      <c r="C145" s="3370" t="str">
        <f>IMAGE("https://i.ibb.co/8sm893K/Lass.png")</f>
        <v/>
      </c>
      <c r="D145" s="3415"/>
      <c r="E145" s="3372" t="str">
        <f t="array" ref="E145">IFERROR(VLOOKUP(E146,Dex!$B$3:$G1022,3,FALSE),"")</f>
        <v/>
      </c>
      <c r="F145" s="381"/>
      <c r="G145" s="381"/>
      <c r="H145" s="2531"/>
      <c r="I145" s="3803"/>
      <c r="J145" s="3372" t="str">
        <f t="array" ref="J145">IFERROR(VLOOKUP(J146,Dex!$B$3:$G1022,3,FALSE),"")</f>
        <v/>
      </c>
      <c r="K145" s="381"/>
      <c r="L145" s="381"/>
      <c r="M145" s="2531"/>
      <c r="N145" s="3804"/>
      <c r="O145" s="3372" t="str">
        <f t="array" ref="O145">IFERROR(VLOOKUP(O146,Dex!$B$3:$G1022,3,FALSE),"")</f>
        <v/>
      </c>
      <c r="P145" s="381"/>
      <c r="Q145" s="381"/>
      <c r="R145" s="2531"/>
      <c r="S145" s="3805"/>
      <c r="T145" s="3376"/>
      <c r="U145" s="3377"/>
      <c r="V145" s="3377"/>
      <c r="W145" s="3378"/>
      <c r="X145" s="3375"/>
      <c r="Y145" s="3376"/>
      <c r="Z145" s="3377"/>
      <c r="AA145" s="3377"/>
      <c r="AB145" s="3378"/>
      <c r="AC145" s="3375"/>
      <c r="AD145" s="3376"/>
      <c r="AE145" s="3377"/>
      <c r="AF145" s="3377"/>
      <c r="AG145" s="3378"/>
      <c r="AH145" s="3379"/>
      <c r="AI145" s="3380"/>
    </row>
    <row r="146" ht="18.75" customHeight="1">
      <c r="A146" s="3381"/>
      <c r="B146" s="3382"/>
      <c r="C146" s="3383" t="s">
        <v>1034</v>
      </c>
      <c r="D146" s="3806"/>
      <c r="E146" s="3385" t="s">
        <v>1035</v>
      </c>
      <c r="F146" s="3386"/>
      <c r="G146" s="3386"/>
      <c r="H146" s="3387"/>
      <c r="J146" s="3385" t="s">
        <v>1036</v>
      </c>
      <c r="K146" s="3386"/>
      <c r="L146" s="3386"/>
      <c r="M146" s="3387"/>
      <c r="O146" s="3385" t="s">
        <v>1037</v>
      </c>
      <c r="P146" s="3386"/>
      <c r="Q146" s="3386"/>
      <c r="R146" s="3387"/>
      <c r="S146" s="3389"/>
      <c r="T146" s="3391"/>
      <c r="U146" s="3377"/>
      <c r="V146" s="3377"/>
      <c r="W146" s="3378"/>
      <c r="X146" s="3390"/>
      <c r="Y146" s="3391"/>
      <c r="Z146" s="3377"/>
      <c r="AA146" s="3377"/>
      <c r="AB146" s="3378"/>
      <c r="AC146" s="3390"/>
      <c r="AD146" s="3391"/>
      <c r="AE146" s="3377"/>
      <c r="AF146" s="3377"/>
      <c r="AG146" s="3378"/>
      <c r="AH146" s="3392"/>
      <c r="AI146" s="3393"/>
    </row>
    <row r="147">
      <c r="A147" s="3394"/>
      <c r="B147" s="3395"/>
      <c r="C147" s="1481"/>
      <c r="D147" s="3807"/>
      <c r="E147" s="3397" t="s">
        <v>715</v>
      </c>
      <c r="F147" s="3398"/>
      <c r="G147" s="3398"/>
      <c r="H147" s="3399"/>
      <c r="J147" s="3397" t="s">
        <v>843</v>
      </c>
      <c r="K147" s="3398"/>
      <c r="L147" s="3398"/>
      <c r="M147" s="3399"/>
      <c r="O147" s="3397" t="s">
        <v>715</v>
      </c>
      <c r="P147" s="3398"/>
      <c r="Q147" s="3398"/>
      <c r="R147" s="3399"/>
      <c r="S147" s="3389"/>
      <c r="T147" s="3400"/>
      <c r="U147" s="3377"/>
      <c r="V147" s="3377"/>
      <c r="W147" s="3378"/>
      <c r="X147" s="3390"/>
      <c r="Y147" s="3400"/>
      <c r="Z147" s="3377"/>
      <c r="AA147" s="3377"/>
      <c r="AB147" s="3378"/>
      <c r="AC147" s="3390"/>
      <c r="AD147" s="3400"/>
      <c r="AE147" s="3377"/>
      <c r="AF147" s="3377"/>
      <c r="AG147" s="3378"/>
      <c r="AH147" s="3401"/>
      <c r="AI147" s="3402"/>
    </row>
    <row r="148" ht="25.5" customHeight="1">
      <c r="A148" s="3368"/>
      <c r="B148" s="3369"/>
      <c r="C148" s="1489"/>
      <c r="D148" s="3403"/>
      <c r="E148" s="3404"/>
      <c r="F148" s="3408" t="str">
        <f t="array" ref="F148">IFERROR(VLOOKUP(E146,Dex!$B$3:$H1022,5,FALSE),"")</f>
        <v/>
      </c>
      <c r="G148" s="3409"/>
      <c r="H148" s="3407"/>
      <c r="J148" s="3404"/>
      <c r="K148" s="3405" t="str">
        <f t="array" ref="K148">IFERROR(VLOOKUP(J146,Dex!$B$3:$H1022,5,FALSE),"")</f>
        <v/>
      </c>
      <c r="L148" s="3406" t="str">
        <f t="array" ref="L148">IFERROR(VLOOKUP(J146,Dex!$B$3:$H1022,7,FALSE),"")</f>
        <v/>
      </c>
      <c r="M148" s="3407"/>
      <c r="O148" s="3404"/>
      <c r="P148" s="3408" t="str">
        <f t="array" ref="P148">IFERROR(VLOOKUP(O146,Dex!$B$3:$H1022,5,FALSE),"")</f>
        <v/>
      </c>
      <c r="Q148" s="3409"/>
      <c r="R148" s="3407"/>
      <c r="S148" s="3389"/>
      <c r="T148" s="3376"/>
      <c r="U148" s="3377"/>
      <c r="V148" s="3377"/>
      <c r="W148" s="3378"/>
      <c r="X148" s="3390"/>
      <c r="Y148" s="3376"/>
      <c r="Z148" s="3377"/>
      <c r="AA148" s="3377"/>
      <c r="AB148" s="3378"/>
      <c r="AC148" s="3390"/>
      <c r="AD148" s="3376"/>
      <c r="AE148" s="3377"/>
      <c r="AF148" s="3377"/>
      <c r="AG148" s="3378"/>
      <c r="AH148" s="3379"/>
      <c r="AI148" s="3380"/>
    </row>
    <row r="149" ht="2.25" customHeight="1">
      <c r="A149" s="3368"/>
      <c r="B149" s="3369"/>
      <c r="C149" s="3410"/>
      <c r="D149" s="3371"/>
      <c r="E149" s="3411"/>
      <c r="F149" s="3412"/>
      <c r="G149" s="3412"/>
      <c r="H149" s="3413"/>
      <c r="J149" s="3411"/>
      <c r="K149" s="3412"/>
      <c r="L149" s="3412"/>
      <c r="M149" s="3413"/>
      <c r="O149" s="3411"/>
      <c r="P149" s="3412"/>
      <c r="Q149" s="3412"/>
      <c r="R149" s="3413"/>
      <c r="S149" s="3389"/>
      <c r="T149" s="3414"/>
      <c r="U149" s="3414"/>
      <c r="V149" s="3414"/>
      <c r="W149" s="3414"/>
      <c r="X149" s="3390"/>
      <c r="Y149" s="3414"/>
      <c r="Z149" s="3414"/>
      <c r="AA149" s="3414"/>
      <c r="AB149" s="3414"/>
      <c r="AC149" s="3390"/>
      <c r="AD149" s="3414"/>
      <c r="AE149" s="3414"/>
      <c r="AF149" s="3414"/>
      <c r="AG149" s="3414"/>
      <c r="AH149" s="3379"/>
      <c r="AI149" s="3380"/>
    </row>
    <row r="150" ht="20.25" customHeight="1">
      <c r="A150" s="3368"/>
      <c r="B150" s="3369"/>
      <c r="C150" s="3410"/>
      <c r="D150" s="3415"/>
      <c r="E150" s="3416" t="s">
        <v>171</v>
      </c>
      <c r="F150" s="3417"/>
      <c r="G150" s="3417"/>
      <c r="H150" s="3418"/>
      <c r="J150" s="3416" t="s">
        <v>171</v>
      </c>
      <c r="K150" s="3417"/>
      <c r="L150" s="3417"/>
      <c r="M150" s="3418"/>
      <c r="O150" s="3416" t="s">
        <v>263</v>
      </c>
      <c r="P150" s="3417"/>
      <c r="Q150" s="3417"/>
      <c r="R150" s="3418"/>
      <c r="S150" s="3389"/>
      <c r="T150" s="3376"/>
      <c r="U150" s="3377"/>
      <c r="V150" s="3377"/>
      <c r="W150" s="3378"/>
      <c r="X150" s="3390"/>
      <c r="Y150" s="3376"/>
      <c r="Z150" s="3377"/>
      <c r="AA150" s="3377"/>
      <c r="AB150" s="3378"/>
      <c r="AC150" s="3390"/>
      <c r="AD150" s="3376"/>
      <c r="AE150" s="3377"/>
      <c r="AF150" s="3377"/>
      <c r="AG150" s="3378"/>
      <c r="AH150" s="3379"/>
      <c r="AI150" s="3380"/>
    </row>
    <row r="151" ht="20.25" customHeight="1">
      <c r="A151" s="3368"/>
      <c r="B151" s="3369"/>
      <c r="C151" s="3419"/>
      <c r="D151" s="3415"/>
      <c r="E151" s="3420" t="s">
        <v>1038</v>
      </c>
      <c r="F151" s="3377"/>
      <c r="G151" s="3377"/>
      <c r="H151" s="3421"/>
      <c r="J151" s="3420" t="s">
        <v>552</v>
      </c>
      <c r="K151" s="3377"/>
      <c r="L151" s="3377"/>
      <c r="M151" s="3421"/>
      <c r="O151" s="3420" t="s">
        <v>1039</v>
      </c>
      <c r="P151" s="3377"/>
      <c r="Q151" s="3377"/>
      <c r="R151" s="3421"/>
      <c r="S151" s="3389"/>
      <c r="T151" s="3376"/>
      <c r="U151" s="3377"/>
      <c r="V151" s="3377"/>
      <c r="W151" s="3378"/>
      <c r="X151" s="3390"/>
      <c r="Y151" s="3376"/>
      <c r="Z151" s="3377"/>
      <c r="AA151" s="3377"/>
      <c r="AB151" s="3378"/>
      <c r="AC151" s="3390"/>
      <c r="AD151" s="3376"/>
      <c r="AE151" s="3377"/>
      <c r="AF151" s="3377"/>
      <c r="AG151" s="3378"/>
      <c r="AH151" s="3379"/>
      <c r="AI151" s="3380"/>
    </row>
    <row r="152" ht="20.25" customHeight="1">
      <c r="A152" s="3368"/>
      <c r="B152" s="3369"/>
      <c r="C152" s="3390"/>
      <c r="D152" s="3415"/>
      <c r="E152" s="3422" t="s">
        <v>213</v>
      </c>
      <c r="F152" s="3423"/>
      <c r="G152" s="3424"/>
      <c r="H152" s="3425" t="str">
        <f>IMAGE("https://raw.githubusercontent.com/msikma/pokesprite/master/items/berry/sitrus.png",3)</f>
        <v/>
      </c>
      <c r="J152" s="3422" t="s">
        <v>213</v>
      </c>
      <c r="K152" s="3423"/>
      <c r="L152" s="3424"/>
      <c r="M152" s="3425" t="str">
        <f>IMAGE("https://raw.githubusercontent.com/msikma/pokesprite/master/items/berry/sitrus.png",3)</f>
        <v/>
      </c>
      <c r="O152" s="3422" t="s">
        <v>1040</v>
      </c>
      <c r="P152" s="3423"/>
      <c r="Q152" s="3424"/>
      <c r="R152" s="3425" t="str">
        <f>IMAGE("https://raw.githubusercontent.com/msikma/pokesprite/master/items/evo-item/deep-sea-tooth.png",3)</f>
        <v/>
      </c>
      <c r="S152" s="3389"/>
      <c r="T152" s="3376"/>
      <c r="U152" s="3377"/>
      <c r="V152" s="3377"/>
      <c r="W152" s="3378"/>
      <c r="X152" s="3390"/>
      <c r="Y152" s="3376"/>
      <c r="Z152" s="3377"/>
      <c r="AA152" s="3377"/>
      <c r="AB152" s="3378"/>
      <c r="AC152" s="3390"/>
      <c r="AD152" s="3376"/>
      <c r="AE152" s="3377"/>
      <c r="AF152" s="3377"/>
      <c r="AG152" s="3378"/>
      <c r="AH152" s="3379"/>
      <c r="AI152" s="3380"/>
    </row>
    <row r="153" ht="20.25" customHeight="1">
      <c r="A153" s="3368"/>
      <c r="B153" s="3369"/>
      <c r="C153" s="3430"/>
      <c r="D153" s="3415"/>
      <c r="E153" s="3416" t="s">
        <v>1041</v>
      </c>
      <c r="F153" s="3417"/>
      <c r="G153" s="3431"/>
      <c r="H153" s="3432" t="str">
        <f>IMAGE("https://raw.githubusercontent.com/msikma/pokesprite/master/misc/types/gen8/ground.png",4,20,20)</f>
        <v/>
      </c>
      <c r="J153" s="3416" t="s">
        <v>374</v>
      </c>
      <c r="K153" s="3417"/>
      <c r="L153" s="3431"/>
      <c r="M153" s="3432" t="str">
        <f>IMAGE("https://raw.githubusercontent.com/msikma/pokesprite/master/misc/types/gen8/flying.png",4,20,20)</f>
        <v/>
      </c>
      <c r="O153" s="3416" t="s">
        <v>216</v>
      </c>
      <c r="P153" s="3417"/>
      <c r="Q153" s="3431"/>
      <c r="R153" s="3432" t="str">
        <f>IMAGE("https://raw.githubusercontent.com/msikma/pokesprite/master/misc/types/gen8/water.png",4,20,20)</f>
        <v/>
      </c>
      <c r="S153" s="3389"/>
      <c r="T153" s="3376"/>
      <c r="U153" s="3377"/>
      <c r="V153" s="3377"/>
      <c r="W153" s="3378"/>
      <c r="X153" s="3390"/>
      <c r="Y153" s="3376"/>
      <c r="Z153" s="3377"/>
      <c r="AA153" s="3377"/>
      <c r="AB153" s="3378"/>
      <c r="AC153" s="3390"/>
      <c r="AD153" s="3376"/>
      <c r="AE153" s="3377"/>
      <c r="AF153" s="3377"/>
      <c r="AG153" s="3378"/>
      <c r="AH153" s="3379"/>
      <c r="AI153" s="3380"/>
    </row>
    <row r="154" ht="20.25" customHeight="1">
      <c r="A154" s="3368"/>
      <c r="B154" s="3369"/>
      <c r="C154" s="3437"/>
      <c r="D154" s="3415"/>
      <c r="E154" s="3420" t="s">
        <v>189</v>
      </c>
      <c r="F154" s="3377"/>
      <c r="G154" s="3378"/>
      <c r="H154" s="3438" t="str">
        <f>IMAGE("https://raw.githubusercontent.com/msikma/pokesprite/master/misc/types/gen8/normal.png",4,20,20)</f>
        <v/>
      </c>
      <c r="J154" s="3420" t="s">
        <v>252</v>
      </c>
      <c r="K154" s="3377"/>
      <c r="L154" s="3378"/>
      <c r="M154" s="3438" t="str">
        <f>IMAGE("https://raw.githubusercontent.com/msikma/pokesprite/master/misc/types/gen8/electric.png",4,20,20)</f>
        <v/>
      </c>
      <c r="O154" s="3420" t="s">
        <v>220</v>
      </c>
      <c r="P154" s="3377"/>
      <c r="Q154" s="3378"/>
      <c r="R154" s="3438" t="str">
        <f>IMAGE("https://raw.githubusercontent.com/msikma/pokesprite/master/misc/types/gen8/ice.png",4,20,20)</f>
        <v/>
      </c>
      <c r="S154" s="3389"/>
      <c r="T154" s="3376"/>
      <c r="U154" s="3377"/>
      <c r="V154" s="3377"/>
      <c r="W154" s="3378"/>
      <c r="X154" s="3390"/>
      <c r="Y154" s="3376"/>
      <c r="Z154" s="3377"/>
      <c r="AA154" s="3377"/>
      <c r="AB154" s="3378"/>
      <c r="AC154" s="3390"/>
      <c r="AD154" s="3376"/>
      <c r="AE154" s="3377"/>
      <c r="AF154" s="3377"/>
      <c r="AG154" s="3378"/>
      <c r="AH154" s="3379"/>
      <c r="AI154" s="3380"/>
    </row>
    <row r="155" ht="20.25" customHeight="1">
      <c r="A155" s="3368"/>
      <c r="B155" s="3369"/>
      <c r="C155" s="3437"/>
      <c r="D155" s="3415"/>
      <c r="E155" s="3420" t="s">
        <v>1042</v>
      </c>
      <c r="F155" s="3377"/>
      <c r="G155" s="3378"/>
      <c r="H155" s="3438" t="str">
        <f>IMAGE("https://raw.githubusercontent.com/msikma/pokesprite/master/misc/types/gen8/grass.png",4,20,20)</f>
        <v/>
      </c>
      <c r="J155" s="3420" t="s">
        <v>314</v>
      </c>
      <c r="K155" s="3377"/>
      <c r="L155" s="3378"/>
      <c r="M155" s="3438" t="str">
        <f>IMAGE("https://raw.githubusercontent.com/msikma/pokesprite/master/misc/types/gen8/fairy.png",4,20,20)</f>
        <v/>
      </c>
      <c r="O155" s="3420" t="s">
        <v>633</v>
      </c>
      <c r="P155" s="3377"/>
      <c r="Q155" s="3378"/>
      <c r="R155" s="3438" t="str">
        <f>IMAGE("https://raw.githubusercontent.com/msikma/pokesprite/master/misc/types/gen8/psychic.png",4,20,20)</f>
        <v/>
      </c>
      <c r="S155" s="3389"/>
      <c r="T155" s="3376"/>
      <c r="U155" s="3377"/>
      <c r="V155" s="3377"/>
      <c r="W155" s="3378"/>
      <c r="X155" s="3390"/>
      <c r="Y155" s="3376"/>
      <c r="Z155" s="3377"/>
      <c r="AA155" s="3377"/>
      <c r="AB155" s="3378"/>
      <c r="AC155" s="3390"/>
      <c r="AD155" s="3376"/>
      <c r="AE155" s="3377"/>
      <c r="AF155" s="3377"/>
      <c r="AG155" s="3378"/>
      <c r="AH155" s="3379"/>
      <c r="AI155" s="3380"/>
    </row>
    <row r="156" ht="21.0" customHeight="1">
      <c r="A156" s="3368"/>
      <c r="B156" s="3369"/>
      <c r="C156" s="3437"/>
      <c r="D156" s="3415"/>
      <c r="E156" s="3439" t="s">
        <v>836</v>
      </c>
      <c r="F156" s="3440"/>
      <c r="G156" s="3443"/>
      <c r="H156" s="3444" t="str">
        <f>IMAGE("https://raw.githubusercontent.com/msikma/pokesprite/master/misc/types/gen8/electric.png",4,20,20)</f>
        <v/>
      </c>
      <c r="I156" s="3434"/>
      <c r="J156" s="3439" t="s">
        <v>697</v>
      </c>
      <c r="K156" s="3440"/>
      <c r="L156" s="3443"/>
      <c r="M156" s="3444" t="str">
        <f>IMAGE("https://raw.githubusercontent.com/msikma/pokesprite/master/misc/types/gen8/grass.png",4,20,20)</f>
        <v/>
      </c>
      <c r="N156" s="3434"/>
      <c r="O156" s="3439" t="s">
        <v>185</v>
      </c>
      <c r="P156" s="3440"/>
      <c r="Q156" s="3443"/>
      <c r="R156" s="3444" t="str">
        <f>IMAGE("https://raw.githubusercontent.com/msikma/pokesprite/master/misc/types/gen8/normal.png",4,20,20)</f>
        <v/>
      </c>
      <c r="S156" s="3435"/>
      <c r="T156" s="3376"/>
      <c r="U156" s="3377"/>
      <c r="V156" s="3377"/>
      <c r="W156" s="3378"/>
      <c r="X156" s="3430"/>
      <c r="Y156" s="3376"/>
      <c r="Z156" s="3377"/>
      <c r="AA156" s="3377"/>
      <c r="AB156" s="3378"/>
      <c r="AC156" s="3430"/>
      <c r="AD156" s="3376"/>
      <c r="AE156" s="3377"/>
      <c r="AF156" s="3377"/>
      <c r="AG156" s="3378"/>
      <c r="AH156" s="3379"/>
      <c r="AI156" s="3380"/>
    </row>
    <row r="157" ht="3.0" customHeight="1">
      <c r="A157" s="3445"/>
      <c r="B157" s="3446"/>
      <c r="C157" s="3447"/>
      <c r="D157" s="3448"/>
      <c r="E157" s="3450"/>
      <c r="F157" s="3450"/>
      <c r="G157" s="3450"/>
      <c r="H157" s="3451"/>
      <c r="I157" s="3448"/>
      <c r="J157" s="3450"/>
      <c r="K157" s="3450"/>
      <c r="L157" s="3450"/>
      <c r="M157" s="3451"/>
      <c r="N157" s="3448"/>
      <c r="O157" s="3450"/>
      <c r="P157" s="3450"/>
      <c r="Q157" s="3450"/>
      <c r="R157" s="3449"/>
      <c r="S157" s="3449"/>
      <c r="T157" s="3449"/>
      <c r="U157" s="3449"/>
      <c r="V157" s="3449"/>
      <c r="W157" s="3449"/>
      <c r="X157" s="3448"/>
      <c r="Y157" s="3448"/>
      <c r="Z157" s="3453"/>
      <c r="AA157" s="3453"/>
      <c r="AB157" s="3454"/>
      <c r="AC157" s="3454"/>
      <c r="AD157" s="3454"/>
      <c r="AE157" s="3454"/>
      <c r="AF157" s="3454"/>
      <c r="AG157" s="3454"/>
      <c r="AH157" s="3455"/>
      <c r="AI157" s="3456"/>
    </row>
    <row r="158" ht="16.5" customHeight="1">
      <c r="A158" s="3457"/>
      <c r="B158" s="3458"/>
      <c r="C158" s="3447"/>
      <c r="D158" s="3808"/>
      <c r="E158" s="3460" t="s">
        <v>190</v>
      </c>
      <c r="F158" s="381"/>
      <c r="G158" s="382"/>
      <c r="H158" s="3461" t="s">
        <v>191</v>
      </c>
      <c r="I158" s="3462"/>
      <c r="J158" s="3460" t="s">
        <v>190</v>
      </c>
      <c r="K158" s="381"/>
      <c r="L158" s="382"/>
      <c r="M158" s="3461" t="s">
        <v>191</v>
      </c>
      <c r="N158" s="3462"/>
      <c r="O158" s="3460" t="s">
        <v>190</v>
      </c>
      <c r="P158" s="381"/>
      <c r="Q158" s="382"/>
      <c r="R158" s="3461" t="s">
        <v>191</v>
      </c>
      <c r="S158" s="3463"/>
      <c r="T158" s="3459"/>
      <c r="U158" s="3459"/>
      <c r="V158" s="3464"/>
      <c r="W158" s="3464"/>
      <c r="X158" s="3464"/>
      <c r="Y158" s="3464"/>
      <c r="Z158" s="3459"/>
      <c r="AA158" s="3459"/>
      <c r="AB158" s="3464"/>
      <c r="AC158" s="3464"/>
      <c r="AD158" s="3464"/>
      <c r="AE158" s="3464"/>
      <c r="AF158" s="3464"/>
      <c r="AG158" s="3464"/>
      <c r="AH158" s="3465"/>
      <c r="AI158" s="3466"/>
    </row>
    <row r="159" ht="16.5" customHeight="1">
      <c r="A159" s="3457"/>
      <c r="B159" s="3458"/>
      <c r="C159" s="3447"/>
      <c r="D159" s="3459"/>
      <c r="E159" s="3467" t="s">
        <v>192</v>
      </c>
      <c r="F159" s="3468">
        <f t="array" ref="F159">IFERROR(VLOOKUP(E146,Dex!$B$3:$N1022,8,FALSE),"")</f>
        <v>120</v>
      </c>
      <c r="G159" s="3469" t="str">
        <f t="array" ref="G159">IFERROR(VLOOKUP(F159,Dex!$P$22:$Q$276,2,FALSE),"")</f>
        <v/>
      </c>
      <c r="H159" s="3470"/>
      <c r="I159" s="3471"/>
      <c r="J159" s="3467" t="s">
        <v>192</v>
      </c>
      <c r="K159" s="3468">
        <f t="array" ref="K159">IFERROR(VLOOKUP(J146,Dex!$B$3:$N1022,8,FALSE),"")</f>
        <v>55</v>
      </c>
      <c r="L159" s="3469" t="str">
        <f t="array" ref="L159">IFERROR(VLOOKUP(K159,Dex!$P$22:$Q$276,2,FALSE),"")</f>
        <v/>
      </c>
      <c r="M159" s="3470"/>
      <c r="N159" s="3471"/>
      <c r="O159" s="3467" t="s">
        <v>192</v>
      </c>
      <c r="P159" s="3468">
        <f t="array" ref="P159">IFERROR(VLOOKUP(O146,Dex!$B$3:$N1022,8,FALSE),"")</f>
        <v>35</v>
      </c>
      <c r="Q159" s="3469" t="str">
        <f t="array" ref="Q159">IFERROR(VLOOKUP(P159,Dex!$P$22:$Q$276,2,FALSE),"")</f>
        <v/>
      </c>
      <c r="R159" s="3470"/>
      <c r="S159" s="3471"/>
      <c r="T159" s="3459"/>
      <c r="U159" s="3459"/>
      <c r="V159" s="3464"/>
      <c r="W159" s="3464"/>
      <c r="X159" s="3464"/>
      <c r="Y159" s="3464"/>
      <c r="Z159" s="3459"/>
      <c r="AA159" s="3459"/>
      <c r="AB159" s="3464"/>
      <c r="AC159" s="3464"/>
      <c r="AD159" s="3464"/>
      <c r="AE159" s="3464"/>
      <c r="AF159" s="3464"/>
      <c r="AG159" s="3464"/>
      <c r="AH159" s="3465"/>
      <c r="AI159" s="3466"/>
    </row>
    <row r="160" ht="16.5" customHeight="1">
      <c r="A160" s="3457"/>
      <c r="B160" s="3458"/>
      <c r="C160" s="3447"/>
      <c r="D160" s="3459"/>
      <c r="E160" s="3472" t="s">
        <v>193</v>
      </c>
      <c r="F160" s="3473">
        <f t="array" ref="F160">IFERROR(VLOOKUP(E146,Dex!$B$3:$N1022,9,FALSE),"")</f>
        <v>95</v>
      </c>
      <c r="G160" s="3474" t="str">
        <f t="array" ref="G160">IFERROR(VLOOKUP(F160,Dex!$P$22:$Q$276,2,FALSE),"")</f>
        <v/>
      </c>
      <c r="H160" s="3475"/>
      <c r="I160" s="3471"/>
      <c r="J160" s="3472" t="s">
        <v>193</v>
      </c>
      <c r="K160" s="3473">
        <f t="array" ref="K160">IFERROR(VLOOKUP(J146,Dex!$B$3:$N1022,9,FALSE),"")</f>
        <v>40</v>
      </c>
      <c r="L160" s="3474" t="str">
        <f t="array" ref="L160">IFERROR(VLOOKUP(K160,Dex!$P$22:$Q$276,2,FALSE),"")</f>
        <v/>
      </c>
      <c r="M160" s="3475"/>
      <c r="N160" s="3471"/>
      <c r="O160" s="3472" t="s">
        <v>193</v>
      </c>
      <c r="P160" s="3473">
        <f t="array" ref="P160">IFERROR(VLOOKUP(O146,Dex!$B$3:$N1022,9,FALSE),"")</f>
        <v>64</v>
      </c>
      <c r="Q160" s="3474" t="str">
        <f t="array" ref="Q160">IFERROR(VLOOKUP(P160,Dex!$P$22:$Q$276,2,FALSE),"")</f>
        <v/>
      </c>
      <c r="R160" s="3475"/>
      <c r="S160" s="3471"/>
      <c r="T160" s="3459"/>
      <c r="U160" s="3459"/>
      <c r="V160" s="3464"/>
      <c r="W160" s="3464"/>
      <c r="X160" s="3464"/>
      <c r="Y160" s="3464"/>
      <c r="Z160" s="3459"/>
      <c r="AA160" s="3459"/>
      <c r="AB160" s="3464"/>
      <c r="AC160" s="3464"/>
      <c r="AD160" s="3464"/>
      <c r="AE160" s="3464"/>
      <c r="AF160" s="3464"/>
      <c r="AG160" s="3464"/>
      <c r="AH160" s="3465"/>
      <c r="AI160" s="3466"/>
    </row>
    <row r="161" ht="16.5" customHeight="1">
      <c r="A161" s="3457"/>
      <c r="B161" s="3458"/>
      <c r="C161" s="3447"/>
      <c r="D161" s="3459"/>
      <c r="E161" s="3472" t="s">
        <v>194</v>
      </c>
      <c r="F161" s="3473">
        <f t="array" ref="F161">IFERROR(VLOOKUP(E146,Dex!$B$3:$N1022,10,FALSE),"")</f>
        <v>95</v>
      </c>
      <c r="G161" s="3474" t="str">
        <f t="array" ref="G161">IFERROR(VLOOKUP(F161,Dex!$P$22:$Q$276,2,FALSE),"")</f>
        <v/>
      </c>
      <c r="H161" s="3475"/>
      <c r="I161" s="3471"/>
      <c r="J161" s="3472" t="s">
        <v>194</v>
      </c>
      <c r="K161" s="3473">
        <f t="array" ref="K161">IFERROR(VLOOKUP(J146,Dex!$B$3:$N1022,10,FALSE),"")</f>
        <v>85</v>
      </c>
      <c r="L161" s="3474" t="str">
        <f t="array" ref="L161">IFERROR(VLOOKUP(K161,Dex!$P$22:$Q$276,2,FALSE),"")</f>
        <v/>
      </c>
      <c r="M161" s="3475"/>
      <c r="N161" s="3471"/>
      <c r="O161" s="3472" t="s">
        <v>194</v>
      </c>
      <c r="P161" s="3473">
        <f t="array" ref="P161">IFERROR(VLOOKUP(O146,Dex!$B$3:$N1022,10,FALSE),"")</f>
        <v>85</v>
      </c>
      <c r="Q161" s="3474" t="str">
        <f t="array" ref="Q161">IFERROR(VLOOKUP(P161,Dex!$P$22:$Q$276,2,FALSE),"")</f>
        <v/>
      </c>
      <c r="R161" s="3475"/>
      <c r="S161" s="3471"/>
      <c r="T161" s="3459"/>
      <c r="U161" s="3459"/>
      <c r="V161" s="3464"/>
      <c r="W161" s="3464"/>
      <c r="X161" s="3464"/>
      <c r="Y161" s="3464"/>
      <c r="Z161" s="3459"/>
      <c r="AA161" s="3459"/>
      <c r="AB161" s="3464"/>
      <c r="AC161" s="3464"/>
      <c r="AD161" s="3464"/>
      <c r="AE161" s="3464"/>
      <c r="AF161" s="3464"/>
      <c r="AG161" s="3464"/>
      <c r="AH161" s="3465"/>
      <c r="AI161" s="3466"/>
    </row>
    <row r="162" ht="16.5" customHeight="1">
      <c r="A162" s="3457"/>
      <c r="B162" s="3458"/>
      <c r="C162" s="3447"/>
      <c r="D162" s="3459"/>
      <c r="E162" s="3472" t="s">
        <v>195</v>
      </c>
      <c r="F162" s="3473">
        <f t="array" ref="F162">IFERROR(VLOOKUP(E146,Dex!$B$3:$N1022,11,FALSE),"")</f>
        <v>55</v>
      </c>
      <c r="G162" s="3474" t="str">
        <f t="array" ref="G162">IFERROR(VLOOKUP(F162,Dex!$P$22:$Q$276,2,FALSE),"")</f>
        <v/>
      </c>
      <c r="H162" s="3475"/>
      <c r="I162" s="3471"/>
      <c r="J162" s="3472" t="s">
        <v>195</v>
      </c>
      <c r="K162" s="3473">
        <f t="array" ref="K162">IFERROR(VLOOKUP(J146,Dex!$B$3:$N1022,11,FALSE),"")</f>
        <v>80</v>
      </c>
      <c r="L162" s="3474" t="str">
        <f t="array" ref="L162">IFERROR(VLOOKUP(K162,Dex!$P$22:$Q$276,2,FALSE),"")</f>
        <v/>
      </c>
      <c r="M162" s="3475"/>
      <c r="N162" s="3471"/>
      <c r="O162" s="3472" t="s">
        <v>195</v>
      </c>
      <c r="P162" s="3473">
        <f t="array" ref="P162">IFERROR(VLOOKUP(O146,Dex!$B$3:$N1022,11,FALSE),"")</f>
        <v>74</v>
      </c>
      <c r="Q162" s="3474" t="str">
        <f t="array" ref="Q162">IFERROR(VLOOKUP(P162,Dex!$P$22:$Q$276,2,FALSE),"")</f>
        <v/>
      </c>
      <c r="R162" s="3475"/>
      <c r="S162" s="3471"/>
      <c r="T162" s="3459"/>
      <c r="U162" s="3459"/>
      <c r="V162" s="3464"/>
      <c r="W162" s="3464"/>
      <c r="X162" s="3464"/>
      <c r="Y162" s="3464"/>
      <c r="Z162" s="3459"/>
      <c r="AA162" s="3459"/>
      <c r="AB162" s="3464"/>
      <c r="AC162" s="3464"/>
      <c r="AD162" s="3464"/>
      <c r="AE162" s="3464"/>
      <c r="AF162" s="3464"/>
      <c r="AG162" s="3464"/>
      <c r="AH162" s="3465"/>
      <c r="AI162" s="3466"/>
    </row>
    <row r="163" ht="16.5" customHeight="1">
      <c r="A163" s="3457"/>
      <c r="B163" s="3458"/>
      <c r="C163" s="3447"/>
      <c r="D163" s="3459"/>
      <c r="E163" s="3472" t="s">
        <v>196</v>
      </c>
      <c r="F163" s="3473">
        <f t="array" ref="F163">IFERROR(VLOOKUP(E146,Dex!$B$3:$N1022,12,FALSE),"")</f>
        <v>75</v>
      </c>
      <c r="G163" s="3474" t="str">
        <f t="array" ref="G163">IFERROR(VLOOKUP(F163,Dex!$P$22:$Q$276,2,FALSE),"")</f>
        <v/>
      </c>
      <c r="H163" s="3475"/>
      <c r="I163" s="3471"/>
      <c r="J163" s="3472" t="s">
        <v>196</v>
      </c>
      <c r="K163" s="3473">
        <f t="array" ref="K163">IFERROR(VLOOKUP(J146,Dex!$B$3:$N1022,12,FALSE),"")</f>
        <v>105</v>
      </c>
      <c r="L163" s="3474" t="str">
        <f t="array" ref="L163">IFERROR(VLOOKUP(K163,Dex!$P$22:$Q$276,2,FALSE),"")</f>
        <v/>
      </c>
      <c r="M163" s="3475"/>
      <c r="N163" s="3471"/>
      <c r="O163" s="3472" t="s">
        <v>196</v>
      </c>
      <c r="P163" s="3473">
        <f t="array" ref="P163">IFERROR(VLOOKUP(O146,Dex!$B$3:$N1022,12,FALSE),"")</f>
        <v>55</v>
      </c>
      <c r="Q163" s="3474" t="str">
        <f t="array" ref="Q163">IFERROR(VLOOKUP(P163,Dex!$P$22:$Q$276,2,FALSE),"")</f>
        <v/>
      </c>
      <c r="R163" s="3475"/>
      <c r="S163" s="3471"/>
      <c r="T163" s="3459"/>
      <c r="U163" s="3459"/>
      <c r="V163" s="3464"/>
      <c r="W163" s="3464"/>
      <c r="X163" s="3464"/>
      <c r="Y163" s="3464"/>
      <c r="Z163" s="3459"/>
      <c r="AA163" s="3459"/>
      <c r="AB163" s="3464"/>
      <c r="AC163" s="3464"/>
      <c r="AD163" s="3464"/>
      <c r="AE163" s="3464"/>
      <c r="AF163" s="3464"/>
      <c r="AG163" s="3464"/>
      <c r="AH163" s="3465"/>
      <c r="AI163" s="3466"/>
    </row>
    <row r="164" ht="16.5" customHeight="1">
      <c r="A164" s="3457"/>
      <c r="B164" s="3458"/>
      <c r="C164" s="1204" t="s">
        <v>436</v>
      </c>
      <c r="D164" s="3459"/>
      <c r="E164" s="3476" t="s">
        <v>197</v>
      </c>
      <c r="F164" s="3477">
        <f t="array" ref="F164">IFERROR(VLOOKUP(E146,Dex!$B$3:$N1022,13,FALSE),"")</f>
        <v>20</v>
      </c>
      <c r="G164" s="3478" t="str">
        <f t="array" ref="G164">IFERROR(VLOOKUP(F164,Dex!$P$22:$Q$276,2,FALSE),"")</f>
        <v/>
      </c>
      <c r="H164" s="3479"/>
      <c r="I164" s="3471"/>
      <c r="J164" s="3476" t="s">
        <v>197</v>
      </c>
      <c r="K164" s="3477">
        <f t="array" ref="K164">IFERROR(VLOOKUP(J146,Dex!$B$3:$N1022,13,FALSE),"")</f>
        <v>40</v>
      </c>
      <c r="L164" s="3478" t="str">
        <f t="array" ref="L164">IFERROR(VLOOKUP(K164,Dex!$P$22:$Q$276,2,FALSE),"")</f>
        <v/>
      </c>
      <c r="M164" s="3479"/>
      <c r="N164" s="3471"/>
      <c r="O164" s="3476" t="s">
        <v>197</v>
      </c>
      <c r="P164" s="3477">
        <f t="array" ref="P164">IFERROR(VLOOKUP(O146,Dex!$B$3:$N1022,13,FALSE),"")</f>
        <v>32</v>
      </c>
      <c r="Q164" s="3478" t="str">
        <f t="array" ref="Q164">IFERROR(VLOOKUP(P164,Dex!$P$22:$Q$276,2,FALSE),"")</f>
        <v/>
      </c>
      <c r="R164" s="3479"/>
      <c r="S164" s="3471"/>
      <c r="T164" s="3459"/>
      <c r="U164" s="3459"/>
      <c r="V164" s="3464"/>
      <c r="W164" s="3464"/>
      <c r="X164" s="3464"/>
      <c r="Y164" s="3464"/>
      <c r="Z164" s="3459"/>
      <c r="AA164" s="3459"/>
      <c r="AB164" s="3464"/>
      <c r="AC164" s="3464"/>
      <c r="AD164" s="3464"/>
      <c r="AE164" s="3464"/>
      <c r="AF164" s="3464"/>
      <c r="AG164" s="3464"/>
      <c r="AH164" s="3465"/>
      <c r="AI164" s="3466"/>
    </row>
    <row r="165" ht="16.5" customHeight="1">
      <c r="A165" s="3457"/>
      <c r="B165" s="3458"/>
      <c r="C165" s="1205" t="s">
        <v>524</v>
      </c>
      <c r="D165" s="3808"/>
      <c r="E165" s="3480" t="s">
        <v>198</v>
      </c>
      <c r="F165" s="405"/>
      <c r="G165" s="406"/>
      <c r="H165" s="3481">
        <v>21.0</v>
      </c>
      <c r="I165" s="3462"/>
      <c r="J165" s="3480" t="s">
        <v>198</v>
      </c>
      <c r="K165" s="405"/>
      <c r="L165" s="406"/>
      <c r="M165" s="3481">
        <v>29.0</v>
      </c>
      <c r="N165" s="3462"/>
      <c r="O165" s="3480" t="s">
        <v>198</v>
      </c>
      <c r="P165" s="405"/>
      <c r="Q165" s="406"/>
      <c r="R165" s="3481">
        <v>26.0</v>
      </c>
      <c r="S165" s="3471"/>
      <c r="T165" s="3459"/>
      <c r="U165" s="3459"/>
      <c r="V165" s="3464"/>
      <c r="W165" s="3464"/>
      <c r="X165" s="3464"/>
      <c r="Y165" s="3464"/>
      <c r="Z165" s="3459"/>
      <c r="AA165" s="3459"/>
      <c r="AB165" s="3464"/>
      <c r="AC165" s="3464"/>
      <c r="AD165" s="3464"/>
      <c r="AE165" s="3464"/>
      <c r="AF165" s="3464"/>
      <c r="AG165" s="3464"/>
      <c r="AH165" s="3465"/>
      <c r="AI165" s="3466"/>
    </row>
    <row r="166" ht="15.0" customHeight="1">
      <c r="A166" s="3368"/>
      <c r="B166" s="3482"/>
      <c r="C166" s="3483"/>
      <c r="D166" s="3484"/>
      <c r="E166" s="3487"/>
      <c r="F166" s="3487"/>
      <c r="G166" s="3487"/>
      <c r="H166" s="3485"/>
      <c r="I166" s="3486"/>
      <c r="J166" s="3487"/>
      <c r="K166" s="3487"/>
      <c r="L166" s="3487"/>
      <c r="M166" s="3485"/>
      <c r="N166" s="3488"/>
      <c r="O166" s="3487"/>
      <c r="P166" s="3487"/>
      <c r="Q166" s="3487"/>
      <c r="R166" s="3486"/>
      <c r="S166" s="3488"/>
      <c r="T166" s="3489"/>
      <c r="U166" s="3489"/>
      <c r="V166" s="3489"/>
      <c r="W166" s="3489"/>
      <c r="X166" s="3488"/>
      <c r="Y166" s="3489"/>
      <c r="Z166" s="3489"/>
      <c r="AA166" s="3489"/>
      <c r="AB166" s="3489"/>
      <c r="AC166" s="3488"/>
      <c r="AD166" s="3489"/>
      <c r="AE166" s="3489"/>
      <c r="AF166" s="3489"/>
      <c r="AG166" s="3489"/>
      <c r="AH166" s="3490"/>
      <c r="AI166" s="3380"/>
    </row>
    <row r="167" ht="15.0" customHeight="1">
      <c r="A167" s="3361"/>
      <c r="B167" s="3908"/>
      <c r="C167" s="3909"/>
      <c r="D167" s="3909"/>
      <c r="E167" s="3909"/>
      <c r="F167" s="3909"/>
      <c r="G167" s="3909"/>
      <c r="H167" s="3909"/>
      <c r="I167" s="3909"/>
      <c r="J167" s="3909"/>
      <c r="K167" s="3909"/>
      <c r="L167" s="3909"/>
      <c r="M167" s="3909"/>
      <c r="N167" s="3909"/>
      <c r="O167" s="3909"/>
      <c r="P167" s="3909"/>
      <c r="Q167" s="3909"/>
      <c r="R167" s="3909"/>
      <c r="S167" s="3909"/>
      <c r="T167" s="3909"/>
      <c r="U167" s="3909"/>
      <c r="V167" s="3909"/>
      <c r="W167" s="3909"/>
      <c r="X167" s="3909"/>
      <c r="Y167" s="3909"/>
      <c r="Z167" s="3909"/>
      <c r="AA167" s="3909"/>
      <c r="AB167" s="3909"/>
      <c r="AC167" s="3909"/>
      <c r="AD167" s="3909"/>
      <c r="AE167" s="3909"/>
      <c r="AF167" s="3909"/>
      <c r="AG167" s="3909"/>
      <c r="AH167" s="3910"/>
      <c r="AI167" s="3367"/>
    </row>
    <row r="168" ht="96.75" customHeight="1">
      <c r="A168" s="3361"/>
      <c r="B168" s="3911"/>
      <c r="C168" s="3912" t="str">
        <f>IMAGE("https://i.ibb.co/n7Pn1gb/Camper.png")</f>
        <v/>
      </c>
      <c r="D168" s="3913"/>
      <c r="E168" s="3914" t="str">
        <f t="array" ref="E168">IFERROR(VLOOKUP(E169,Dex!$B$3:$G1022,3,FALSE),"")</f>
        <v/>
      </c>
      <c r="F168" s="1830"/>
      <c r="G168" s="1830"/>
      <c r="H168" s="1831"/>
      <c r="I168" s="3915"/>
      <c r="J168" s="3914" t="str">
        <f t="array" ref="J168">IFERROR(VLOOKUP(J169,Dex!$B$3:$G1022,3,FALSE),"")</f>
        <v/>
      </c>
      <c r="K168" s="1830"/>
      <c r="L168" s="1830"/>
      <c r="M168" s="1831"/>
      <c r="N168" s="3915"/>
      <c r="O168" s="3914" t="str">
        <f t="array" ref="O168">IFERROR(VLOOKUP(O169,Dex!$B$3:$G1022,3,FALSE),"")</f>
        <v/>
      </c>
      <c r="P168" s="1830"/>
      <c r="Q168" s="1830"/>
      <c r="R168" s="1831"/>
      <c r="S168" s="3916"/>
      <c r="T168" s="3917"/>
      <c r="U168" s="3918"/>
      <c r="V168" s="3918"/>
      <c r="W168" s="3919"/>
      <c r="X168" s="3916"/>
      <c r="Y168" s="3917"/>
      <c r="Z168" s="3918"/>
      <c r="AA168" s="3918"/>
      <c r="AB168" s="3919"/>
      <c r="AC168" s="3916"/>
      <c r="AD168" s="3917"/>
      <c r="AE168" s="3918"/>
      <c r="AF168" s="3918"/>
      <c r="AG168" s="3919"/>
      <c r="AH168" s="3920"/>
      <c r="AI168" s="3367"/>
    </row>
    <row r="169" ht="18.75" customHeight="1">
      <c r="A169" s="3621"/>
      <c r="B169" s="3921"/>
      <c r="C169" s="3922" t="s">
        <v>1043</v>
      </c>
      <c r="D169" s="3923"/>
      <c r="E169" s="3924" t="s">
        <v>1044</v>
      </c>
      <c r="F169" s="3925"/>
      <c r="G169" s="3925"/>
      <c r="H169" s="3926"/>
      <c r="I169" s="3927"/>
      <c r="J169" s="3924" t="s">
        <v>1045</v>
      </c>
      <c r="K169" s="3925"/>
      <c r="L169" s="3925"/>
      <c r="M169" s="3926"/>
      <c r="N169" s="3927"/>
      <c r="O169" s="3924" t="s">
        <v>1046</v>
      </c>
      <c r="P169" s="3925"/>
      <c r="Q169" s="3925"/>
      <c r="R169" s="3926"/>
      <c r="S169" s="3927"/>
      <c r="T169" s="3928"/>
      <c r="U169" s="3918"/>
      <c r="V169" s="3918"/>
      <c r="W169" s="3919"/>
      <c r="X169" s="3927"/>
      <c r="Y169" s="3928"/>
      <c r="Z169" s="3918"/>
      <c r="AA169" s="3918"/>
      <c r="AB169" s="3919"/>
      <c r="AC169" s="3927"/>
      <c r="AD169" s="3928"/>
      <c r="AE169" s="3918"/>
      <c r="AF169" s="3918"/>
      <c r="AG169" s="3919"/>
      <c r="AH169" s="3929"/>
      <c r="AI169" s="3631"/>
    </row>
    <row r="170">
      <c r="A170" s="3632"/>
      <c r="B170" s="3930"/>
      <c r="C170" s="1481"/>
      <c r="D170" s="3931"/>
      <c r="E170" s="3932" t="s">
        <v>714</v>
      </c>
      <c r="F170" s="3933"/>
      <c r="G170" s="3933"/>
      <c r="H170" s="3934"/>
      <c r="I170" s="3927"/>
      <c r="J170" s="3932" t="s">
        <v>420</v>
      </c>
      <c r="K170" s="3933"/>
      <c r="L170" s="3933"/>
      <c r="M170" s="3934"/>
      <c r="N170" s="3927"/>
      <c r="O170" s="3932" t="s">
        <v>714</v>
      </c>
      <c r="P170" s="3933"/>
      <c r="Q170" s="3933"/>
      <c r="R170" s="3934"/>
      <c r="S170" s="3927"/>
      <c r="T170" s="3935"/>
      <c r="U170" s="3918"/>
      <c r="V170" s="3918"/>
      <c r="W170" s="3919"/>
      <c r="X170" s="3927"/>
      <c r="Y170" s="3935"/>
      <c r="Z170" s="3918"/>
      <c r="AA170" s="3918"/>
      <c r="AB170" s="3919"/>
      <c r="AC170" s="3927"/>
      <c r="AD170" s="3935"/>
      <c r="AE170" s="3918"/>
      <c r="AF170" s="3918"/>
      <c r="AG170" s="3919"/>
      <c r="AH170" s="3936"/>
      <c r="AI170" s="3640"/>
    </row>
    <row r="171" ht="25.5" customHeight="1">
      <c r="A171" s="3361"/>
      <c r="B171" s="3911"/>
      <c r="C171" s="1489"/>
      <c r="D171" s="3937"/>
      <c r="E171" s="3938"/>
      <c r="F171" s="3939" t="str">
        <f t="array" ref="F171">IFERROR(VLOOKUP(E169,Dex!$B$3:$H1022,5,FALSE),"")</f>
        <v/>
      </c>
      <c r="G171" s="3940"/>
      <c r="H171" s="3941"/>
      <c r="I171" s="3927"/>
      <c r="J171" s="3938"/>
      <c r="K171" s="3942" t="str">
        <f t="array" ref="K171">IFERROR(VLOOKUP(J169,Dex!$B$3:$H1022,5,FALSE),"")</f>
        <v/>
      </c>
      <c r="L171" s="3943" t="str">
        <f t="array" ref="L171">IFERROR(VLOOKUP(J169,Dex!$B$3:$H1022,7,FALSE),"")</f>
        <v/>
      </c>
      <c r="M171" s="3941"/>
      <c r="N171" s="3927"/>
      <c r="O171" s="3938"/>
      <c r="P171" s="3939" t="str">
        <f t="array" ref="P171">IFERROR(VLOOKUP(O169,Dex!$B$3:$H1022,5,FALSE),"")</f>
        <v/>
      </c>
      <c r="Q171" s="3940"/>
      <c r="R171" s="3941"/>
      <c r="S171" s="3927"/>
      <c r="T171" s="3917"/>
      <c r="U171" s="3918"/>
      <c r="V171" s="3918"/>
      <c r="W171" s="3919"/>
      <c r="X171" s="3927"/>
      <c r="Y171" s="3917"/>
      <c r="Z171" s="3918"/>
      <c r="AA171" s="3918"/>
      <c r="AB171" s="3919"/>
      <c r="AC171" s="3927"/>
      <c r="AD171" s="3917"/>
      <c r="AE171" s="3918"/>
      <c r="AF171" s="3918"/>
      <c r="AG171" s="3919"/>
      <c r="AH171" s="3920"/>
      <c r="AI171" s="3367"/>
    </row>
    <row r="172" ht="2.25" customHeight="1">
      <c r="A172" s="3361"/>
      <c r="B172" s="3911"/>
      <c r="C172" s="3944"/>
      <c r="D172" s="3937"/>
      <c r="E172" s="3945"/>
      <c r="F172" s="3946"/>
      <c r="G172" s="3946"/>
      <c r="H172" s="3947"/>
      <c r="I172" s="3927"/>
      <c r="J172" s="3945"/>
      <c r="K172" s="3946"/>
      <c r="L172" s="3946"/>
      <c r="M172" s="3947"/>
      <c r="N172" s="3927"/>
      <c r="O172" s="3945"/>
      <c r="P172" s="3946"/>
      <c r="Q172" s="3946"/>
      <c r="R172" s="3947"/>
      <c r="S172" s="3927"/>
      <c r="T172" s="3937"/>
      <c r="U172" s="3937"/>
      <c r="V172" s="3937"/>
      <c r="W172" s="3937"/>
      <c r="X172" s="3927"/>
      <c r="Y172" s="3937"/>
      <c r="Z172" s="3937"/>
      <c r="AA172" s="3937"/>
      <c r="AB172" s="3937"/>
      <c r="AC172" s="3927"/>
      <c r="AD172" s="3937"/>
      <c r="AE172" s="3937"/>
      <c r="AF172" s="3937"/>
      <c r="AG172" s="3937"/>
      <c r="AH172" s="3920"/>
      <c r="AI172" s="3367"/>
    </row>
    <row r="173" ht="20.25" customHeight="1">
      <c r="A173" s="3361"/>
      <c r="B173" s="3911"/>
      <c r="C173" s="3944"/>
      <c r="D173" s="3937"/>
      <c r="E173" s="3948" t="s">
        <v>169</v>
      </c>
      <c r="F173" s="3949"/>
      <c r="G173" s="3949"/>
      <c r="H173" s="3950"/>
      <c r="I173" s="3927"/>
      <c r="J173" s="3948" t="s">
        <v>205</v>
      </c>
      <c r="K173" s="3949"/>
      <c r="L173" s="3949"/>
      <c r="M173" s="3950"/>
      <c r="N173" s="3927"/>
      <c r="O173" s="3948" t="s">
        <v>206</v>
      </c>
      <c r="P173" s="3949"/>
      <c r="Q173" s="3949"/>
      <c r="R173" s="3950"/>
      <c r="S173" s="3927"/>
      <c r="T173" s="3917"/>
      <c r="U173" s="3918"/>
      <c r="V173" s="3918"/>
      <c r="W173" s="3919"/>
      <c r="X173" s="3927"/>
      <c r="Y173" s="3917"/>
      <c r="Z173" s="3918"/>
      <c r="AA173" s="3918"/>
      <c r="AB173" s="3919"/>
      <c r="AC173" s="3927"/>
      <c r="AD173" s="3917"/>
      <c r="AE173" s="3918"/>
      <c r="AF173" s="3918"/>
      <c r="AG173" s="3919"/>
      <c r="AH173" s="3920"/>
      <c r="AI173" s="3367"/>
    </row>
    <row r="174" ht="20.25" customHeight="1">
      <c r="A174" s="3361"/>
      <c r="B174" s="3911"/>
      <c r="C174" s="3951"/>
      <c r="D174" s="3937"/>
      <c r="E174" s="3952" t="s">
        <v>716</v>
      </c>
      <c r="F174" s="3918"/>
      <c r="G174" s="3918"/>
      <c r="H174" s="3953"/>
      <c r="I174" s="3927"/>
      <c r="J174" s="3952" t="s">
        <v>1047</v>
      </c>
      <c r="K174" s="3918"/>
      <c r="L174" s="3918"/>
      <c r="M174" s="3953"/>
      <c r="N174" s="3927"/>
      <c r="O174" s="3952" t="s">
        <v>233</v>
      </c>
      <c r="P174" s="3918"/>
      <c r="Q174" s="3918"/>
      <c r="R174" s="3953"/>
      <c r="S174" s="3927"/>
      <c r="T174" s="3917"/>
      <c r="U174" s="3918"/>
      <c r="V174" s="3918"/>
      <c r="W174" s="3919"/>
      <c r="X174" s="3927"/>
      <c r="Y174" s="3917"/>
      <c r="Z174" s="3918"/>
      <c r="AA174" s="3918"/>
      <c r="AB174" s="3919"/>
      <c r="AC174" s="3927"/>
      <c r="AD174" s="3917"/>
      <c r="AE174" s="3918"/>
      <c r="AF174" s="3918"/>
      <c r="AG174" s="3919"/>
      <c r="AH174" s="3920"/>
      <c r="AI174" s="3367"/>
    </row>
    <row r="175" ht="20.25" customHeight="1">
      <c r="A175" s="3361"/>
      <c r="B175" s="3911"/>
      <c r="C175" s="3927"/>
      <c r="D175" s="3937"/>
      <c r="E175" s="3954" t="s">
        <v>846</v>
      </c>
      <c r="F175" s="3955"/>
      <c r="G175" s="3956"/>
      <c r="H175" s="3957" t="str">
        <f>IMAGE("https://raw.githubusercontent.com/msikma/pokesprite/master/items/hold-item/black-glasses.png",3)</f>
        <v/>
      </c>
      <c r="I175" s="3927"/>
      <c r="J175" s="3954" t="s">
        <v>1048</v>
      </c>
      <c r="K175" s="3955"/>
      <c r="L175" s="3956"/>
      <c r="M175" s="3957" t="str">
        <f>IMAGE("https://raw.githubusercontent.com/msikma/pokesprite/master/items/hold-item/black-sludge.png",3)</f>
        <v/>
      </c>
      <c r="N175" s="3927"/>
      <c r="O175" s="3954" t="s">
        <v>211</v>
      </c>
      <c r="P175" s="3955"/>
      <c r="Q175" s="3956"/>
      <c r="R175" s="3957" t="str">
        <f>IMAGE("https://raw.githubusercontent.com/msikma/pokesprite/master/items/hold-item/eviolite.png",3)</f>
        <v/>
      </c>
      <c r="S175" s="3927"/>
      <c r="T175" s="3917"/>
      <c r="U175" s="3918"/>
      <c r="V175" s="3918"/>
      <c r="W175" s="3919"/>
      <c r="X175" s="3927"/>
      <c r="Y175" s="3917"/>
      <c r="Z175" s="3918"/>
      <c r="AA175" s="3918"/>
      <c r="AB175" s="3919"/>
      <c r="AC175" s="3927"/>
      <c r="AD175" s="3917"/>
      <c r="AE175" s="3918"/>
      <c r="AF175" s="3918"/>
      <c r="AG175" s="3919"/>
      <c r="AH175" s="3920"/>
      <c r="AI175" s="3367"/>
    </row>
    <row r="176" ht="20.25" customHeight="1">
      <c r="A176" s="3361"/>
      <c r="B176" s="3911"/>
      <c r="C176" s="3958"/>
      <c r="D176" s="3937"/>
      <c r="E176" s="3948" t="s">
        <v>1049</v>
      </c>
      <c r="F176" s="3949"/>
      <c r="G176" s="3959"/>
      <c r="H176" s="3960" t="str">
        <f>IMAGE("https://raw.githubusercontent.com/msikma/pokesprite/master/misc/types/gen8/grass.png",4,20,20)</f>
        <v/>
      </c>
      <c r="I176" s="3927"/>
      <c r="J176" s="3948" t="s">
        <v>184</v>
      </c>
      <c r="K176" s="3949"/>
      <c r="L176" s="3959"/>
      <c r="M176" s="3960" t="str">
        <f>IMAGE("https://raw.githubusercontent.com/msikma/pokesprite/master/misc/types/gen8/poison.png",4,20,20)</f>
        <v/>
      </c>
      <c r="N176" s="3927"/>
      <c r="O176" s="3948" t="s">
        <v>587</v>
      </c>
      <c r="P176" s="3949"/>
      <c r="Q176" s="3959"/>
      <c r="R176" s="3960" t="str">
        <f>IMAGE("https://raw.githubusercontent.com/msikma/pokesprite/master/misc/types/gen8/ghost.png",4,20,20)</f>
        <v/>
      </c>
      <c r="S176" s="3927"/>
      <c r="T176" s="3917"/>
      <c r="U176" s="3918"/>
      <c r="V176" s="3918"/>
      <c r="W176" s="3919"/>
      <c r="X176" s="3927"/>
      <c r="Y176" s="3917"/>
      <c r="Z176" s="3918"/>
      <c r="AA176" s="3918"/>
      <c r="AB176" s="3919"/>
      <c r="AC176" s="3927"/>
      <c r="AD176" s="3917"/>
      <c r="AE176" s="3918"/>
      <c r="AF176" s="3918"/>
      <c r="AG176" s="3919"/>
      <c r="AH176" s="3920"/>
      <c r="AI176" s="3367"/>
    </row>
    <row r="177" ht="20.25" customHeight="1">
      <c r="A177" s="3361"/>
      <c r="B177" s="3911"/>
      <c r="C177" s="3944"/>
      <c r="D177" s="3937"/>
      <c r="E177" s="3952" t="s">
        <v>563</v>
      </c>
      <c r="F177" s="3918"/>
      <c r="G177" s="3919"/>
      <c r="H177" s="3961" t="str">
        <f>IMAGE("https://raw.githubusercontent.com/msikma/pokesprite/master/misc/types/gen8/dark.png",4,20,20)</f>
        <v/>
      </c>
      <c r="I177" s="3927"/>
      <c r="J177" s="3952" t="s">
        <v>605</v>
      </c>
      <c r="K177" s="3918"/>
      <c r="L177" s="3919"/>
      <c r="M177" s="3961" t="str">
        <f t="shared" ref="M177:M178" si="4">IMAGE("https://raw.githubusercontent.com/msikma/pokesprite/master/misc/types/gen8/normal.png",4,20,20)</f>
        <v/>
      </c>
      <c r="N177" s="3927"/>
      <c r="O177" s="3952" t="s">
        <v>492</v>
      </c>
      <c r="P177" s="3918"/>
      <c r="Q177" s="3919"/>
      <c r="R177" s="3961" t="str">
        <f>IMAGE("https://raw.githubusercontent.com/msikma/pokesprite/master/misc/types/gen8/fire.png",4,20,20)</f>
        <v/>
      </c>
      <c r="S177" s="3927"/>
      <c r="T177" s="3917"/>
      <c r="U177" s="3918"/>
      <c r="V177" s="3918"/>
      <c r="W177" s="3919"/>
      <c r="X177" s="3927"/>
      <c r="Y177" s="3917"/>
      <c r="Z177" s="3918"/>
      <c r="AA177" s="3918"/>
      <c r="AB177" s="3919"/>
      <c r="AC177" s="3927"/>
      <c r="AD177" s="3917"/>
      <c r="AE177" s="3918"/>
      <c r="AF177" s="3918"/>
      <c r="AG177" s="3919"/>
      <c r="AH177" s="3920"/>
      <c r="AI177" s="3367"/>
    </row>
    <row r="178" ht="20.25" customHeight="1">
      <c r="A178" s="3361"/>
      <c r="B178" s="3911"/>
      <c r="C178" s="3944"/>
      <c r="D178" s="3937"/>
      <c r="E178" s="3952" t="s">
        <v>825</v>
      </c>
      <c r="F178" s="3918"/>
      <c r="G178" s="3919"/>
      <c r="H178" s="3961" t="str">
        <f>IMAGE("https://raw.githubusercontent.com/msikma/pokesprite/master/misc/types/gen8/fire.png",4,20,20)</f>
        <v/>
      </c>
      <c r="I178" s="3927"/>
      <c r="J178" s="3952" t="s">
        <v>187</v>
      </c>
      <c r="K178" s="3918"/>
      <c r="L178" s="3919"/>
      <c r="M178" s="3961" t="str">
        <f t="shared" si="4"/>
        <v/>
      </c>
      <c r="N178" s="3927"/>
      <c r="O178" s="3952" t="s">
        <v>220</v>
      </c>
      <c r="P178" s="3918"/>
      <c r="Q178" s="3919"/>
      <c r="R178" s="3961" t="str">
        <f>IMAGE("https://raw.githubusercontent.com/msikma/pokesprite/master/misc/types/gen8/ice.png",4,20,20)</f>
        <v/>
      </c>
      <c r="S178" s="3927"/>
      <c r="T178" s="3917"/>
      <c r="U178" s="3918"/>
      <c r="V178" s="3918"/>
      <c r="W178" s="3919"/>
      <c r="X178" s="3927"/>
      <c r="Y178" s="3917"/>
      <c r="Z178" s="3918"/>
      <c r="AA178" s="3918"/>
      <c r="AB178" s="3919"/>
      <c r="AC178" s="3927"/>
      <c r="AD178" s="3917"/>
      <c r="AE178" s="3918"/>
      <c r="AF178" s="3918"/>
      <c r="AG178" s="3919"/>
      <c r="AH178" s="3920"/>
      <c r="AI178" s="3367"/>
    </row>
    <row r="179" ht="21.0" customHeight="1">
      <c r="A179" s="3361"/>
      <c r="B179" s="3911"/>
      <c r="C179" s="3944"/>
      <c r="D179" s="3937"/>
      <c r="E179" s="3962" t="s">
        <v>813</v>
      </c>
      <c r="F179" s="3963"/>
      <c r="G179" s="3964"/>
      <c r="H179" s="3965" t="str">
        <f>IMAGE("https://raw.githubusercontent.com/msikma/pokesprite/master/misc/types/gen8/ice.png",4,20,20)</f>
        <v/>
      </c>
      <c r="I179" s="3958"/>
      <c r="J179" s="3962" t="s">
        <v>823</v>
      </c>
      <c r="K179" s="3963"/>
      <c r="L179" s="3964"/>
      <c r="M179" s="3965" t="str">
        <f>IMAGE("https://raw.githubusercontent.com/msikma/pokesprite/master/misc/types/gen8/fire.png",4,20,20)</f>
        <v/>
      </c>
      <c r="N179" s="3958"/>
      <c r="O179" s="3962" t="s">
        <v>852</v>
      </c>
      <c r="P179" s="3963"/>
      <c r="Q179" s="3964"/>
      <c r="R179" s="3965" t="str">
        <f>IMAGE("https://raw.githubusercontent.com/msikma/pokesprite/master/misc/types/gen8/electric.png",4,20,20)</f>
        <v/>
      </c>
      <c r="S179" s="3958"/>
      <c r="T179" s="3917"/>
      <c r="U179" s="3918"/>
      <c r="V179" s="3918"/>
      <c r="W179" s="3919"/>
      <c r="X179" s="3958"/>
      <c r="Y179" s="3917"/>
      <c r="Z179" s="3918"/>
      <c r="AA179" s="3918"/>
      <c r="AB179" s="3919"/>
      <c r="AC179" s="3958"/>
      <c r="AD179" s="3917"/>
      <c r="AE179" s="3918"/>
      <c r="AF179" s="3918"/>
      <c r="AG179" s="3919"/>
      <c r="AH179" s="3920"/>
      <c r="AI179" s="3367"/>
    </row>
    <row r="180" ht="3.0" customHeight="1">
      <c r="A180" s="3445"/>
      <c r="B180" s="3966"/>
      <c r="C180" s="3967"/>
      <c r="D180" s="3968"/>
      <c r="E180" s="3969"/>
      <c r="F180" s="3969"/>
      <c r="G180" s="3969"/>
      <c r="H180" s="3969"/>
      <c r="I180" s="3968"/>
      <c r="J180" s="3970"/>
      <c r="K180" s="3970"/>
      <c r="L180" s="3970"/>
      <c r="M180" s="3969"/>
      <c r="N180" s="3968"/>
      <c r="O180" s="3970"/>
      <c r="P180" s="3970"/>
      <c r="Q180" s="3970"/>
      <c r="R180" s="3969"/>
      <c r="S180" s="3969"/>
      <c r="T180" s="3969"/>
      <c r="U180" s="3969"/>
      <c r="V180" s="3969"/>
      <c r="W180" s="3969"/>
      <c r="X180" s="3968"/>
      <c r="Y180" s="3968"/>
      <c r="Z180" s="3971"/>
      <c r="AA180" s="3971"/>
      <c r="AB180" s="3972"/>
      <c r="AC180" s="3972"/>
      <c r="AD180" s="3972"/>
      <c r="AE180" s="3972"/>
      <c r="AF180" s="3972"/>
      <c r="AG180" s="3972"/>
      <c r="AH180" s="3973"/>
      <c r="AI180" s="3456"/>
    </row>
    <row r="181" ht="16.5" customHeight="1">
      <c r="A181" s="3457"/>
      <c r="B181" s="3974"/>
      <c r="C181" s="3967"/>
      <c r="D181" s="3975"/>
      <c r="E181" s="3976" t="s">
        <v>190</v>
      </c>
      <c r="F181" s="381"/>
      <c r="G181" s="382"/>
      <c r="H181" s="3977" t="s">
        <v>191</v>
      </c>
      <c r="I181" s="3978"/>
      <c r="J181" s="3976" t="s">
        <v>190</v>
      </c>
      <c r="K181" s="381"/>
      <c r="L181" s="382"/>
      <c r="M181" s="3977" t="s">
        <v>191</v>
      </c>
      <c r="N181" s="3978"/>
      <c r="O181" s="3976" t="s">
        <v>190</v>
      </c>
      <c r="P181" s="381"/>
      <c r="Q181" s="382"/>
      <c r="R181" s="3977" t="s">
        <v>191</v>
      </c>
      <c r="S181" s="3979"/>
      <c r="T181" s="3975"/>
      <c r="U181" s="3975"/>
      <c r="V181" s="3980"/>
      <c r="W181" s="3981"/>
      <c r="X181" s="3981"/>
      <c r="Y181" s="3981"/>
      <c r="Z181" s="3975"/>
      <c r="AA181" s="3975"/>
      <c r="AB181" s="3981"/>
      <c r="AC181" s="3981"/>
      <c r="AD181" s="3981"/>
      <c r="AE181" s="3981"/>
      <c r="AF181" s="3981"/>
      <c r="AG181" s="3981"/>
      <c r="AH181" s="3982"/>
      <c r="AI181" s="3466"/>
    </row>
    <row r="182" ht="16.5" customHeight="1">
      <c r="A182" s="3457"/>
      <c r="B182" s="3974"/>
      <c r="C182" s="3967"/>
      <c r="D182" s="3975"/>
      <c r="E182" s="3983" t="s">
        <v>192</v>
      </c>
      <c r="F182" s="3984">
        <f t="array" ref="F182">IFERROR(VLOOKUP(E169,Dex!$B$3:$N1022,8,FALSE),"")</f>
        <v>80</v>
      </c>
      <c r="G182" s="3985" t="str">
        <f t="array" ref="G182">IFERROR(VLOOKUP(F182,Dex!$P$22:$Q$276,2,FALSE),"")</f>
        <v/>
      </c>
      <c r="H182" s="3986"/>
      <c r="I182" s="3975"/>
      <c r="J182" s="3983" t="s">
        <v>192</v>
      </c>
      <c r="K182" s="3984">
        <f t="array" ref="K182">IFERROR(VLOOKUP(J169,Dex!$B$3:$N1022,8,FALSE),"")</f>
        <v>48</v>
      </c>
      <c r="L182" s="3985" t="str">
        <f t="array" ref="L182">IFERROR(VLOOKUP(K182,Dex!$P$22:$Q$276,2,FALSE),"")</f>
        <v/>
      </c>
      <c r="M182" s="3986"/>
      <c r="N182" s="3975"/>
      <c r="O182" s="3983" t="s">
        <v>192</v>
      </c>
      <c r="P182" s="3984">
        <f t="array" ref="P182">IFERROR(VLOOKUP(O169,Dex!$B$3:$N1022,8,FALSE),"")</f>
        <v>60</v>
      </c>
      <c r="Q182" s="3985" t="str">
        <f t="array" ref="Q182">IFERROR(VLOOKUP(P182,Dex!$P$22:$Q$276,2,FALSE),"")</f>
        <v/>
      </c>
      <c r="R182" s="3986"/>
      <c r="S182" s="3987"/>
      <c r="T182" s="3975"/>
      <c r="U182" s="3975"/>
      <c r="V182" s="3988"/>
      <c r="W182" s="3981"/>
      <c r="X182" s="3981"/>
      <c r="Y182" s="3981"/>
      <c r="Z182" s="3975"/>
      <c r="AA182" s="3975"/>
      <c r="AB182" s="3981"/>
      <c r="AC182" s="3981"/>
      <c r="AD182" s="3981"/>
      <c r="AE182" s="3981"/>
      <c r="AF182" s="3981"/>
      <c r="AG182" s="3981"/>
      <c r="AH182" s="3982"/>
      <c r="AI182" s="3466"/>
    </row>
    <row r="183" ht="16.5" customHeight="1">
      <c r="A183" s="3457"/>
      <c r="B183" s="3974"/>
      <c r="C183" s="3967"/>
      <c r="D183" s="3975"/>
      <c r="E183" s="3989" t="s">
        <v>193</v>
      </c>
      <c r="F183" s="3990">
        <f t="array" ref="F183">IFERROR(VLOOKUP(E169,Dex!$B$3:$N1022,9,FALSE),"")</f>
        <v>120</v>
      </c>
      <c r="G183" s="3991" t="str">
        <f t="array" ref="G183">IFERROR(VLOOKUP(F183,Dex!$P$22:$Q$276,2,FALSE),"")</f>
        <v/>
      </c>
      <c r="H183" s="3992"/>
      <c r="I183" s="3975"/>
      <c r="J183" s="3989" t="s">
        <v>193</v>
      </c>
      <c r="K183" s="3990">
        <f t="array" ref="K183">IFERROR(VLOOKUP(J169,Dex!$B$3:$N1022,9,FALSE),"")</f>
        <v>44</v>
      </c>
      <c r="L183" s="3991" t="str">
        <f t="array" ref="L183">IFERROR(VLOOKUP(K183,Dex!$P$22:$Q$276,2,FALSE),"")</f>
        <v/>
      </c>
      <c r="M183" s="3992"/>
      <c r="N183" s="3975"/>
      <c r="O183" s="3989" t="s">
        <v>193</v>
      </c>
      <c r="P183" s="3990">
        <f t="array" ref="P183">IFERROR(VLOOKUP(O169,Dex!$B$3:$N1022,9,FALSE),"")</f>
        <v>60</v>
      </c>
      <c r="Q183" s="3991" t="str">
        <f t="array" ref="Q183">IFERROR(VLOOKUP(P183,Dex!$P$22:$Q$276,2,FALSE),"")</f>
        <v/>
      </c>
      <c r="R183" s="3992"/>
      <c r="S183" s="3987"/>
      <c r="T183" s="3975"/>
      <c r="U183" s="3975"/>
      <c r="V183" s="3993"/>
      <c r="W183" s="3981"/>
      <c r="X183" s="3981"/>
      <c r="Y183" s="3981"/>
      <c r="Z183" s="3975"/>
      <c r="AA183" s="3975"/>
      <c r="AB183" s="3981"/>
      <c r="AC183" s="3981"/>
      <c r="AD183" s="3981"/>
      <c r="AE183" s="3981"/>
      <c r="AF183" s="3981"/>
      <c r="AG183" s="3981"/>
      <c r="AH183" s="3982"/>
      <c r="AI183" s="3466"/>
    </row>
    <row r="184" ht="16.5" customHeight="1">
      <c r="A184" s="3457"/>
      <c r="B184" s="3974"/>
      <c r="C184" s="3967"/>
      <c r="D184" s="3975"/>
      <c r="E184" s="3989" t="s">
        <v>194</v>
      </c>
      <c r="F184" s="3990">
        <f t="array" ref="F184">IFERROR(VLOOKUP(E169,Dex!$B$3:$N1022,10,FALSE),"")</f>
        <v>90</v>
      </c>
      <c r="G184" s="3991" t="str">
        <f t="array" ref="G184">IFERROR(VLOOKUP(F184,Dex!$P$22:$Q$276,2,FALSE),"")</f>
        <v/>
      </c>
      <c r="H184" s="3992"/>
      <c r="I184" s="3975"/>
      <c r="J184" s="3989" t="s">
        <v>194</v>
      </c>
      <c r="K184" s="3990">
        <f t="array" ref="K184">IFERROR(VLOOKUP(J169,Dex!$B$3:$N1022,10,FALSE),"")</f>
        <v>40</v>
      </c>
      <c r="L184" s="3991" t="str">
        <f t="array" ref="L184">IFERROR(VLOOKUP(K184,Dex!$P$22:$Q$276,2,FALSE),"")</f>
        <v/>
      </c>
      <c r="M184" s="3992"/>
      <c r="N184" s="3975"/>
      <c r="O184" s="3989" t="s">
        <v>194</v>
      </c>
      <c r="P184" s="3990">
        <f t="array" ref="P184">IFERROR(VLOOKUP(O169,Dex!$B$3:$N1022,10,FALSE),"")</f>
        <v>60</v>
      </c>
      <c r="Q184" s="3991" t="str">
        <f t="array" ref="Q184">IFERROR(VLOOKUP(P184,Dex!$P$22:$Q$276,2,FALSE),"")</f>
        <v/>
      </c>
      <c r="R184" s="3992"/>
      <c r="S184" s="3987"/>
      <c r="T184" s="3975"/>
      <c r="U184" s="3975"/>
      <c r="V184" s="3994"/>
      <c r="W184" s="3981"/>
      <c r="X184" s="3981"/>
      <c r="Y184" s="3981"/>
      <c r="Z184" s="3975"/>
      <c r="AA184" s="3975"/>
      <c r="AB184" s="3981"/>
      <c r="AC184" s="3981"/>
      <c r="AD184" s="3981"/>
      <c r="AE184" s="3981"/>
      <c r="AF184" s="3981"/>
      <c r="AG184" s="3981"/>
      <c r="AH184" s="3982"/>
      <c r="AI184" s="3466"/>
    </row>
    <row r="185" ht="16.5" customHeight="1">
      <c r="A185" s="3457"/>
      <c r="B185" s="3974"/>
      <c r="C185" s="3967"/>
      <c r="D185" s="3975"/>
      <c r="E185" s="3989" t="s">
        <v>195</v>
      </c>
      <c r="F185" s="3990">
        <f t="array" ref="F185">IFERROR(VLOOKUP(E169,Dex!$B$3:$N1022,11,FALSE),"")</f>
        <v>60</v>
      </c>
      <c r="G185" s="3991" t="str">
        <f t="array" ref="G185">IFERROR(VLOOKUP(F185,Dex!$P$22:$Q$276,2,FALSE),"")</f>
        <v/>
      </c>
      <c r="H185" s="3992"/>
      <c r="I185" s="3975"/>
      <c r="J185" s="3989" t="s">
        <v>195</v>
      </c>
      <c r="K185" s="3990">
        <f t="array" ref="K185">IFERROR(VLOOKUP(J169,Dex!$B$3:$N1022,11,FALSE),"")</f>
        <v>71</v>
      </c>
      <c r="L185" s="3991" t="str">
        <f t="array" ref="L185">IFERROR(VLOOKUP(K185,Dex!$P$22:$Q$276,2,FALSE),"")</f>
        <v/>
      </c>
      <c r="M185" s="3992"/>
      <c r="N185" s="3975"/>
      <c r="O185" s="3989" t="s">
        <v>195</v>
      </c>
      <c r="P185" s="3990">
        <f t="array" ref="P185">IFERROR(VLOOKUP(O169,Dex!$B$3:$N1022,11,FALSE),"")</f>
        <v>85</v>
      </c>
      <c r="Q185" s="3991" t="str">
        <f t="array" ref="Q185">IFERROR(VLOOKUP(P185,Dex!$P$22:$Q$276,2,FALSE),"")</f>
        <v/>
      </c>
      <c r="R185" s="3992"/>
      <c r="S185" s="3987"/>
      <c r="T185" s="3975"/>
      <c r="U185" s="3975"/>
      <c r="V185" s="3927"/>
      <c r="W185" s="3981"/>
      <c r="X185" s="3981"/>
      <c r="Y185" s="3981"/>
      <c r="Z185" s="3975"/>
      <c r="AA185" s="3975"/>
      <c r="AB185" s="3981"/>
      <c r="AC185" s="3981"/>
      <c r="AD185" s="3981"/>
      <c r="AE185" s="3981"/>
      <c r="AF185" s="3981"/>
      <c r="AG185" s="3981"/>
      <c r="AH185" s="3982"/>
      <c r="AI185" s="3466"/>
    </row>
    <row r="186" ht="16.5" customHeight="1">
      <c r="A186" s="3457"/>
      <c r="B186" s="3974"/>
      <c r="C186" s="3967"/>
      <c r="D186" s="3975"/>
      <c r="E186" s="3989" t="s">
        <v>196</v>
      </c>
      <c r="F186" s="3990">
        <f t="array" ref="F186">IFERROR(VLOOKUP(E169,Dex!$B$3:$N1022,12,FALSE),"")</f>
        <v>70</v>
      </c>
      <c r="G186" s="3991" t="str">
        <f t="array" ref="G186">IFERROR(VLOOKUP(F186,Dex!$P$22:$Q$276,2,FALSE),"")</f>
        <v/>
      </c>
      <c r="H186" s="3992"/>
      <c r="I186" s="3975"/>
      <c r="J186" s="3989" t="s">
        <v>196</v>
      </c>
      <c r="K186" s="3990">
        <f t="array" ref="K186">IFERROR(VLOOKUP(J169,Dex!$B$3:$N1022,12,FALSE),"")</f>
        <v>40</v>
      </c>
      <c r="L186" s="3991" t="str">
        <f t="array" ref="L186">IFERROR(VLOOKUP(K186,Dex!$P$22:$Q$276,2,FALSE),"")</f>
        <v/>
      </c>
      <c r="M186" s="3992"/>
      <c r="N186" s="3975"/>
      <c r="O186" s="3989" t="s">
        <v>196</v>
      </c>
      <c r="P186" s="3990">
        <f t="array" ref="P186">IFERROR(VLOOKUP(O169,Dex!$B$3:$N1022,12,FALSE),"")</f>
        <v>85</v>
      </c>
      <c r="Q186" s="3991" t="str">
        <f t="array" ref="Q186">IFERROR(VLOOKUP(P186,Dex!$P$22:$Q$276,2,FALSE),"")</f>
        <v/>
      </c>
      <c r="R186" s="3992"/>
      <c r="S186" s="3987"/>
      <c r="T186" s="3975"/>
      <c r="U186" s="3975"/>
      <c r="V186" s="3927"/>
      <c r="W186" s="3981"/>
      <c r="X186" s="3981"/>
      <c r="Y186" s="3981"/>
      <c r="Z186" s="3975"/>
      <c r="AA186" s="3975"/>
      <c r="AB186" s="3981"/>
      <c r="AC186" s="3981"/>
      <c r="AD186" s="3981"/>
      <c r="AE186" s="3981"/>
      <c r="AF186" s="3981"/>
      <c r="AG186" s="3981"/>
      <c r="AH186" s="3982"/>
      <c r="AI186" s="3466"/>
    </row>
    <row r="187" ht="16.5" customHeight="1">
      <c r="A187" s="3457"/>
      <c r="B187" s="3974"/>
      <c r="C187" s="1204" t="s">
        <v>436</v>
      </c>
      <c r="D187" s="3975"/>
      <c r="E187" s="3995" t="s">
        <v>197</v>
      </c>
      <c r="F187" s="3996">
        <f t="array" ref="F187">IFERROR(VLOOKUP(E169,Dex!$B$3:$N1022,13,FALSE),"")</f>
        <v>85</v>
      </c>
      <c r="G187" s="3997" t="str">
        <f t="array" ref="G187">IFERROR(VLOOKUP(F187,Dex!$P$22:$Q$276,2,FALSE),"")</f>
        <v/>
      </c>
      <c r="H187" s="3998"/>
      <c r="I187" s="3975"/>
      <c r="J187" s="3995" t="s">
        <v>197</v>
      </c>
      <c r="K187" s="3996">
        <f t="array" ref="K187">IFERROR(VLOOKUP(J169,Dex!$B$3:$N1022,13,FALSE),"")</f>
        <v>77</v>
      </c>
      <c r="L187" s="3997" t="str">
        <f t="array" ref="L187">IFERROR(VLOOKUP(K187,Dex!$P$22:$Q$276,2,FALSE),"")</f>
        <v/>
      </c>
      <c r="M187" s="3998"/>
      <c r="N187" s="3975"/>
      <c r="O187" s="3995" t="s">
        <v>197</v>
      </c>
      <c r="P187" s="3996">
        <f t="array" ref="P187">IFERROR(VLOOKUP(O169,Dex!$B$3:$N1022,13,FALSE),"")</f>
        <v>85</v>
      </c>
      <c r="Q187" s="3997" t="str">
        <f t="array" ref="Q187">IFERROR(VLOOKUP(P187,Dex!$P$22:$Q$276,2,FALSE),"")</f>
        <v/>
      </c>
      <c r="R187" s="3998"/>
      <c r="S187" s="3987"/>
      <c r="T187" s="3975"/>
      <c r="U187" s="3975"/>
      <c r="V187" s="3927"/>
      <c r="W187" s="3981"/>
      <c r="X187" s="3981"/>
      <c r="Y187" s="3981"/>
      <c r="Z187" s="3975"/>
      <c r="AA187" s="3975"/>
      <c r="AB187" s="3981"/>
      <c r="AC187" s="3981"/>
      <c r="AD187" s="3981"/>
      <c r="AE187" s="3981"/>
      <c r="AF187" s="3981"/>
      <c r="AG187" s="3981"/>
      <c r="AH187" s="3982"/>
      <c r="AI187" s="3466"/>
    </row>
    <row r="188" ht="16.5" customHeight="1">
      <c r="A188" s="3457"/>
      <c r="B188" s="3974"/>
      <c r="C188" s="1205" t="s">
        <v>524</v>
      </c>
      <c r="D188" s="3975"/>
      <c r="E188" s="3999" t="s">
        <v>198</v>
      </c>
      <c r="F188" s="405"/>
      <c r="G188" s="406"/>
      <c r="H188" s="4000">
        <v>53.0</v>
      </c>
      <c r="I188" s="3978"/>
      <c r="J188" s="3999" t="s">
        <v>198</v>
      </c>
      <c r="K188" s="405"/>
      <c r="L188" s="406"/>
      <c r="M188" s="4000">
        <v>56.0</v>
      </c>
      <c r="N188" s="3978"/>
      <c r="O188" s="3999" t="s">
        <v>198</v>
      </c>
      <c r="P188" s="405"/>
      <c r="Q188" s="406"/>
      <c r="R188" s="4000">
        <v>53.0</v>
      </c>
      <c r="S188" s="3987"/>
      <c r="T188" s="3975"/>
      <c r="U188" s="3975"/>
      <c r="V188" s="3958"/>
      <c r="W188" s="3981"/>
      <c r="X188" s="3981"/>
      <c r="Y188" s="3981"/>
      <c r="Z188" s="3975"/>
      <c r="AA188" s="3975"/>
      <c r="AB188" s="3981"/>
      <c r="AC188" s="3981"/>
      <c r="AD188" s="3981"/>
      <c r="AE188" s="3981"/>
      <c r="AF188" s="3981"/>
      <c r="AG188" s="3981"/>
      <c r="AH188" s="3982"/>
      <c r="AI188" s="3466"/>
    </row>
    <row r="189" ht="15.0" customHeight="1">
      <c r="A189" s="3361"/>
      <c r="B189" s="4001"/>
      <c r="C189" s="4002"/>
      <c r="D189" s="4003"/>
      <c r="E189" s="4004"/>
      <c r="F189" s="4004"/>
      <c r="G189" s="4004"/>
      <c r="H189" s="4004"/>
      <c r="I189" s="4005"/>
      <c r="J189" s="4006"/>
      <c r="K189" s="4006"/>
      <c r="L189" s="4006"/>
      <c r="M189" s="4004"/>
      <c r="N189" s="4005"/>
      <c r="O189" s="4006"/>
      <c r="P189" s="4006"/>
      <c r="Q189" s="4006"/>
      <c r="R189" s="4004"/>
      <c r="S189" s="4003"/>
      <c r="T189" s="4003"/>
      <c r="U189" s="4003"/>
      <c r="V189" s="4003"/>
      <c r="W189" s="4003"/>
      <c r="X189" s="4003"/>
      <c r="Y189" s="4003"/>
      <c r="Z189" s="4003"/>
      <c r="AA189" s="4003"/>
      <c r="AB189" s="4003"/>
      <c r="AC189" s="4003"/>
      <c r="AD189" s="4003"/>
      <c r="AE189" s="4003"/>
      <c r="AF189" s="4003"/>
      <c r="AG189" s="4003"/>
      <c r="AH189" s="4007"/>
      <c r="AI189" s="3367"/>
    </row>
    <row r="190" ht="15.0" customHeight="1">
      <c r="A190" s="3361"/>
      <c r="B190" s="4008"/>
      <c r="C190" s="4009"/>
      <c r="D190" s="4009"/>
      <c r="E190" s="4009"/>
      <c r="F190" s="4009"/>
      <c r="G190" s="4009"/>
      <c r="H190" s="4009"/>
      <c r="I190" s="4009"/>
      <c r="J190" s="4009"/>
      <c r="K190" s="4009"/>
      <c r="L190" s="4009"/>
      <c r="M190" s="4009"/>
      <c r="N190" s="4009"/>
      <c r="O190" s="4009"/>
      <c r="P190" s="4009"/>
      <c r="Q190" s="4009"/>
      <c r="R190" s="4009"/>
      <c r="S190" s="4009"/>
      <c r="T190" s="4009"/>
      <c r="U190" s="4009"/>
      <c r="V190" s="4009"/>
      <c r="W190" s="4009"/>
      <c r="X190" s="4009"/>
      <c r="Y190" s="4009"/>
      <c r="Z190" s="4009"/>
      <c r="AA190" s="4009"/>
      <c r="AB190" s="4009"/>
      <c r="AC190" s="4009"/>
      <c r="AD190" s="4009"/>
      <c r="AE190" s="4009"/>
      <c r="AF190" s="4009"/>
      <c r="AG190" s="4009"/>
      <c r="AH190" s="4010"/>
      <c r="AI190" s="3367"/>
    </row>
    <row r="191">
      <c r="A191" s="3361"/>
      <c r="B191" s="4011"/>
      <c r="C191" s="4012"/>
      <c r="D191" s="4013"/>
      <c r="E191" s="4014" t="s">
        <v>1050</v>
      </c>
      <c r="F191" s="4015"/>
      <c r="G191" s="4015"/>
      <c r="H191" s="4015"/>
      <c r="I191" s="4015"/>
      <c r="J191" s="4015"/>
      <c r="K191" s="4015"/>
      <c r="L191" s="4015"/>
      <c r="M191" s="4015"/>
      <c r="N191" s="4015"/>
      <c r="O191" s="4015"/>
      <c r="P191" s="4015"/>
      <c r="Q191" s="4015"/>
      <c r="R191" s="4015"/>
      <c r="S191" s="4015"/>
      <c r="T191" s="4015"/>
      <c r="U191" s="4015"/>
      <c r="V191" s="4015"/>
      <c r="W191" s="4015"/>
      <c r="X191" s="4015"/>
      <c r="Y191" s="4015"/>
      <c r="Z191" s="4015"/>
      <c r="AA191" s="4015"/>
      <c r="AB191" s="4015"/>
      <c r="AC191" s="4015"/>
      <c r="AD191" s="4015"/>
      <c r="AE191" s="4015"/>
      <c r="AF191" s="4015"/>
      <c r="AG191" s="4016"/>
      <c r="AH191" s="4017"/>
      <c r="AI191" s="3367"/>
    </row>
    <row r="192" ht="96.75" customHeight="1">
      <c r="A192" s="3361"/>
      <c r="B192" s="4011"/>
      <c r="C192" s="3912" t="str">
        <f>IMAGE("https://i.ibb.co/mGsbFtG/Lass-Gentleman.png",2)</f>
        <v/>
      </c>
      <c r="D192" s="4018"/>
      <c r="E192" s="3372" t="str">
        <f t="array" ref="E192">IFERROR(VLOOKUP(E193,Dex!$B$3:$G1022,3,FALSE),"")</f>
        <v/>
      </c>
      <c r="F192" s="381"/>
      <c r="G192" s="381"/>
      <c r="H192" s="2531"/>
      <c r="I192" s="4019"/>
      <c r="J192" s="3372" t="str">
        <f t="array" ref="J192">IFERROR(VLOOKUP(J193,Dex!$B$3:$G1022,3,FALSE),"")</f>
        <v/>
      </c>
      <c r="K192" s="381"/>
      <c r="L192" s="381"/>
      <c r="M192" s="2531"/>
      <c r="N192" s="4020"/>
      <c r="O192" s="4021" t="str">
        <f t="array" ref="O192">IFERROR(VLOOKUP(O193,Dex!$B$3:$G1022,3,FALSE),"")</f>
        <v/>
      </c>
      <c r="P192" s="1830"/>
      <c r="Q192" s="1830"/>
      <c r="R192" s="1831"/>
      <c r="S192" s="4022"/>
      <c r="T192" s="4021" t="str">
        <f t="array" ref="T192">IFERROR(VLOOKUP(T193,Dex!$B$3:$G1022,3,FALSE),"")</f>
        <v/>
      </c>
      <c r="U192" s="1830"/>
      <c r="V192" s="1830"/>
      <c r="W192" s="1831"/>
      <c r="X192" s="4022"/>
      <c r="Y192" s="4021" t="str">
        <f t="array" ref="Y192">IFERROR(VLOOKUP(Y193,Dex!$B$3:$G1022,3,FALSE),"")</f>
        <v/>
      </c>
      <c r="Z192" s="1830"/>
      <c r="AA192" s="1830"/>
      <c r="AB192" s="1831"/>
      <c r="AC192" s="4023"/>
      <c r="AD192" s="4024"/>
      <c r="AE192" s="4025"/>
      <c r="AF192" s="4025"/>
      <c r="AG192" s="4026"/>
      <c r="AH192" s="4017"/>
      <c r="AI192" s="3367"/>
    </row>
    <row r="193" ht="18.75" customHeight="1">
      <c r="A193" s="3621"/>
      <c r="B193" s="4027"/>
      <c r="C193" s="4028" t="s">
        <v>1051</v>
      </c>
      <c r="D193" s="4029"/>
      <c r="E193" s="3385" t="s">
        <v>1052</v>
      </c>
      <c r="F193" s="3386"/>
      <c r="G193" s="3386"/>
      <c r="H193" s="3387"/>
      <c r="J193" s="3385" t="s">
        <v>1053</v>
      </c>
      <c r="K193" s="3386"/>
      <c r="L193" s="3386"/>
      <c r="M193" s="3387"/>
      <c r="N193" s="4030"/>
      <c r="O193" s="4031" t="s">
        <v>1054</v>
      </c>
      <c r="P193" s="4032"/>
      <c r="Q193" s="4032"/>
      <c r="R193" s="4033"/>
      <c r="S193" s="4034"/>
      <c r="T193" s="4031" t="s">
        <v>1055</v>
      </c>
      <c r="U193" s="4032"/>
      <c r="V193" s="4032"/>
      <c r="W193" s="4033"/>
      <c r="X193" s="4034"/>
      <c r="Y193" s="4031" t="s">
        <v>1056</v>
      </c>
      <c r="Z193" s="4032"/>
      <c r="AA193" s="4032"/>
      <c r="AB193" s="4033"/>
      <c r="AC193" s="4034"/>
      <c r="AD193" s="4035"/>
      <c r="AE193" s="4035"/>
      <c r="AF193" s="4035"/>
      <c r="AG193" s="4035"/>
      <c r="AH193" s="4036"/>
      <c r="AI193" s="3631"/>
    </row>
    <row r="194">
      <c r="A194" s="3632"/>
      <c r="B194" s="4037"/>
      <c r="C194" s="3030"/>
      <c r="D194" s="4038"/>
      <c r="E194" s="3397" t="s">
        <v>420</v>
      </c>
      <c r="F194" s="3398"/>
      <c r="G194" s="3398"/>
      <c r="H194" s="3399"/>
      <c r="J194" s="3397" t="s">
        <v>420</v>
      </c>
      <c r="K194" s="3398"/>
      <c r="L194" s="3398"/>
      <c r="M194" s="3399"/>
      <c r="N194" s="4030"/>
      <c r="O194" s="4039" t="s">
        <v>715</v>
      </c>
      <c r="P194" s="4040"/>
      <c r="Q194" s="4040"/>
      <c r="R194" s="4041"/>
      <c r="S194" s="4034"/>
      <c r="T194" s="4039" t="s">
        <v>715</v>
      </c>
      <c r="U194" s="4040"/>
      <c r="V194" s="4040"/>
      <c r="W194" s="4041"/>
      <c r="X194" s="4034"/>
      <c r="Y194" s="4039" t="s">
        <v>715</v>
      </c>
      <c r="Z194" s="4040"/>
      <c r="AA194" s="4040"/>
      <c r="AB194" s="4041"/>
      <c r="AC194" s="4034"/>
      <c r="AD194" s="4042"/>
      <c r="AE194" s="4025"/>
      <c r="AF194" s="4025"/>
      <c r="AG194" s="4026"/>
      <c r="AH194" s="4043"/>
      <c r="AI194" s="3640"/>
    </row>
    <row r="195" ht="25.5" customHeight="1">
      <c r="A195" s="3361"/>
      <c r="B195" s="4011"/>
      <c r="C195" s="3030"/>
      <c r="D195" s="4013"/>
      <c r="E195" s="3404"/>
      <c r="F195" s="3408" t="str">
        <f t="array" ref="F195">IFERROR(VLOOKUP(E193,Dex!$B$3:$H1022,5,FALSE),"")</f>
        <v/>
      </c>
      <c r="G195" s="3409"/>
      <c r="H195" s="3407"/>
      <c r="J195" s="3404"/>
      <c r="K195" s="3408" t="str">
        <f t="array" ref="K195">IFERROR(VLOOKUP(J193,Dex!$B$3:$H1022,5,FALSE),"")</f>
        <v/>
      </c>
      <c r="L195" s="3409"/>
      <c r="M195" s="3407"/>
      <c r="N195" s="4030"/>
      <c r="O195" s="4044"/>
      <c r="P195" s="4045" t="str">
        <f t="array" ref="P195">IFERROR(VLOOKUP(O193,Dex!$B$3:$H1022,5,FALSE),"")</f>
        <v/>
      </c>
      <c r="Q195" s="4046" t="str">
        <f t="array" ref="Q195">IFERROR(VLOOKUP(O193,Dex!$B$3:$H1022,7,FALSE),"")</f>
        <v/>
      </c>
      <c r="R195" s="4047"/>
      <c r="S195" s="4034"/>
      <c r="T195" s="4044"/>
      <c r="U195" s="4048" t="str">
        <f t="array" ref="U195">IFERROR(VLOOKUP(T193,Dex!$B$3:$H1022,5,FALSE),"")</f>
        <v/>
      </c>
      <c r="V195" s="4049"/>
      <c r="W195" s="4047"/>
      <c r="X195" s="4034"/>
      <c r="Y195" s="4044"/>
      <c r="Z195" s="4045" t="str">
        <f t="array" ref="Z195">IFERROR(VLOOKUP(Y193,Dex!$B$3:$H1022,5,FALSE),"")</f>
        <v/>
      </c>
      <c r="AA195" s="4046" t="str">
        <f t="array" ref="AA195">IFERROR(VLOOKUP(Y193,Dex!$B$3:$H1022,7,FALSE),"")</f>
        <v/>
      </c>
      <c r="AB195" s="4047"/>
      <c r="AC195" s="4034"/>
      <c r="AD195" s="4024"/>
      <c r="AE195" s="4025"/>
      <c r="AF195" s="4025"/>
      <c r="AG195" s="4026"/>
      <c r="AH195" s="4017"/>
      <c r="AI195" s="3367"/>
    </row>
    <row r="196" ht="2.25" customHeight="1">
      <c r="A196" s="3361"/>
      <c r="B196" s="4011"/>
      <c r="C196" s="3030"/>
      <c r="D196" s="4013"/>
      <c r="E196" s="3411"/>
      <c r="F196" s="3412"/>
      <c r="G196" s="3412"/>
      <c r="H196" s="3413"/>
      <c r="J196" s="3411"/>
      <c r="K196" s="3412"/>
      <c r="L196" s="3412"/>
      <c r="M196" s="3413"/>
      <c r="N196" s="4030"/>
      <c r="O196" s="4050"/>
      <c r="P196" s="4051"/>
      <c r="Q196" s="4051"/>
      <c r="R196" s="4052"/>
      <c r="S196" s="4034"/>
      <c r="T196" s="4050"/>
      <c r="U196" s="4051"/>
      <c r="V196" s="4051"/>
      <c r="W196" s="4052"/>
      <c r="X196" s="4034"/>
      <c r="Y196" s="4050"/>
      <c r="Z196" s="4051"/>
      <c r="AA196" s="4051"/>
      <c r="AB196" s="4052"/>
      <c r="AC196" s="4034"/>
      <c r="AD196" s="4024"/>
      <c r="AE196" s="4025"/>
      <c r="AF196" s="4025"/>
      <c r="AG196" s="4026"/>
      <c r="AH196" s="4017"/>
      <c r="AI196" s="3367"/>
    </row>
    <row r="197" ht="20.25" customHeight="1">
      <c r="A197" s="3361"/>
      <c r="B197" s="4011"/>
      <c r="C197" s="3030"/>
      <c r="D197" s="4024"/>
      <c r="E197" s="3416" t="s">
        <v>171</v>
      </c>
      <c r="F197" s="3417"/>
      <c r="G197" s="3417"/>
      <c r="H197" s="3418"/>
      <c r="J197" s="3416" t="s">
        <v>264</v>
      </c>
      <c r="K197" s="3417"/>
      <c r="L197" s="3417"/>
      <c r="M197" s="3418"/>
      <c r="N197" s="4030"/>
      <c r="O197" s="4053" t="s">
        <v>263</v>
      </c>
      <c r="P197" s="4054"/>
      <c r="Q197" s="4054"/>
      <c r="R197" s="4055"/>
      <c r="S197" s="4034"/>
      <c r="T197" s="4053" t="s">
        <v>205</v>
      </c>
      <c r="U197" s="4054"/>
      <c r="V197" s="4054"/>
      <c r="W197" s="4055"/>
      <c r="X197" s="4034"/>
      <c r="Y197" s="4053" t="s">
        <v>263</v>
      </c>
      <c r="Z197" s="4054"/>
      <c r="AA197" s="4054"/>
      <c r="AB197" s="4055"/>
      <c r="AC197" s="4034"/>
      <c r="AD197" s="4024"/>
      <c r="AE197" s="4025"/>
      <c r="AF197" s="4025"/>
      <c r="AG197" s="4026"/>
      <c r="AH197" s="4017"/>
      <c r="AI197" s="3367"/>
    </row>
    <row r="198" ht="20.25" customHeight="1">
      <c r="A198" s="3361"/>
      <c r="B198" s="4011"/>
      <c r="C198" s="3045"/>
      <c r="D198" s="4024"/>
      <c r="E198" s="3420" t="s">
        <v>1039</v>
      </c>
      <c r="F198" s="3377"/>
      <c r="G198" s="3377"/>
      <c r="H198" s="3421"/>
      <c r="J198" s="3420" t="s">
        <v>845</v>
      </c>
      <c r="K198" s="3377"/>
      <c r="L198" s="3377"/>
      <c r="M198" s="3421"/>
      <c r="N198" s="4030"/>
      <c r="O198" s="4056" t="s">
        <v>518</v>
      </c>
      <c r="P198" s="4057"/>
      <c r="Q198" s="4057"/>
      <c r="R198" s="4058"/>
      <c r="S198" s="4034"/>
      <c r="T198" s="4056" t="s">
        <v>845</v>
      </c>
      <c r="U198" s="4057"/>
      <c r="V198" s="4057"/>
      <c r="W198" s="4058"/>
      <c r="X198" s="4034"/>
      <c r="Y198" s="4056" t="s">
        <v>329</v>
      </c>
      <c r="Z198" s="4057"/>
      <c r="AA198" s="4057"/>
      <c r="AB198" s="4058"/>
      <c r="AC198" s="4034"/>
      <c r="AD198" s="4024"/>
      <c r="AE198" s="4025"/>
      <c r="AF198" s="4025"/>
      <c r="AG198" s="4026"/>
      <c r="AH198" s="4017"/>
      <c r="AI198" s="3367"/>
    </row>
    <row r="199" ht="20.25" customHeight="1">
      <c r="A199" s="3361"/>
      <c r="B199" s="4011"/>
      <c r="C199" s="4059"/>
      <c r="D199" s="4024"/>
      <c r="E199" s="3422" t="s">
        <v>211</v>
      </c>
      <c r="F199" s="3423"/>
      <c r="G199" s="3424"/>
      <c r="H199" s="3425" t="str">
        <f>IMAGE("https://raw.githubusercontent.com/msikma/pokesprite/master/items/hold-item/eviolite.png",3)</f>
        <v/>
      </c>
      <c r="J199" s="3422" t="s">
        <v>1057</v>
      </c>
      <c r="K199" s="3423"/>
      <c r="L199" s="3424"/>
      <c r="M199" s="3425" t="str">
        <f>IMAGE("https://raw.githubusercontent.com/msikma/pokesprite/master/items/hold-item/charcoal.png",3)</f>
        <v/>
      </c>
      <c r="N199" s="4030"/>
      <c r="O199" s="4060" t="s">
        <v>1058</v>
      </c>
      <c r="P199" s="4061"/>
      <c r="Q199" s="4062"/>
      <c r="R199" s="4063"/>
      <c r="S199" s="4034"/>
      <c r="T199" s="4060" t="s">
        <v>1058</v>
      </c>
      <c r="U199" s="4061"/>
      <c r="V199" s="4062"/>
      <c r="W199" s="4063"/>
      <c r="X199" s="4034"/>
      <c r="Y199" s="4060" t="s">
        <v>272</v>
      </c>
      <c r="Z199" s="4061"/>
      <c r="AA199" s="4062"/>
      <c r="AB199" s="4063" t="str">
        <f>IMAGE("https://raw.githubusercontent.com/msikma/pokesprite/master/items/hold-item/life-orb.png",3)</f>
        <v/>
      </c>
      <c r="AC199" s="4034"/>
      <c r="AD199" s="4024"/>
      <c r="AE199" s="4025"/>
      <c r="AF199" s="4025"/>
      <c r="AG199" s="4026"/>
      <c r="AH199" s="4017"/>
      <c r="AI199" s="3367"/>
    </row>
    <row r="200" ht="20.25" customHeight="1">
      <c r="A200" s="3361"/>
      <c r="B200" s="4011"/>
      <c r="C200" s="4059"/>
      <c r="D200" s="4024"/>
      <c r="E200" s="3416" t="s">
        <v>1059</v>
      </c>
      <c r="F200" s="3417"/>
      <c r="G200" s="3431"/>
      <c r="H200" s="3432" t="str">
        <f>IMAGE("https://raw.githubusercontent.com/msikma/pokesprite/master/misc/types/gen8/water.png",4,20,20)</f>
        <v/>
      </c>
      <c r="J200" s="3416" t="s">
        <v>1060</v>
      </c>
      <c r="K200" s="3417"/>
      <c r="L200" s="3431"/>
      <c r="M200" s="3432" t="str">
        <f>IMAGE("https://raw.githubusercontent.com/msikma/pokesprite/master/misc/types/gen8/fire.png",4,20,20)</f>
        <v/>
      </c>
      <c r="N200" s="4030"/>
      <c r="O200" s="4053" t="s">
        <v>585</v>
      </c>
      <c r="P200" s="4054"/>
      <c r="Q200" s="4064"/>
      <c r="R200" s="4065" t="str">
        <f>IMAGE("https://raw.githubusercontent.com/msikma/pokesprite/master/misc/types/gen8/ghost.png",4,20,20)</f>
        <v/>
      </c>
      <c r="S200" s="4034"/>
      <c r="T200" s="4053" t="s">
        <v>1061</v>
      </c>
      <c r="U200" s="4054"/>
      <c r="V200" s="4064"/>
      <c r="W200" s="4065" t="str">
        <f>IMAGE("https://raw.githubusercontent.com/msikma/pokesprite/master/misc/types/gen8/grass.png",4,20,20)</f>
        <v/>
      </c>
      <c r="X200" s="4034"/>
      <c r="Y200" s="4053" t="s">
        <v>314</v>
      </c>
      <c r="Z200" s="4054"/>
      <c r="AA200" s="4064"/>
      <c r="AB200" s="4065" t="str">
        <f>IMAGE("https://raw.githubusercontent.com/msikma/pokesprite/master/misc/types/gen8/fairy.png",4,20,20)</f>
        <v/>
      </c>
      <c r="AC200" s="4034"/>
      <c r="AD200" s="4024"/>
      <c r="AE200" s="4025"/>
      <c r="AF200" s="4025"/>
      <c r="AG200" s="4026"/>
      <c r="AH200" s="4017"/>
      <c r="AI200" s="3367"/>
    </row>
    <row r="201" ht="20.25" customHeight="1">
      <c r="A201" s="3361"/>
      <c r="B201" s="4011"/>
      <c r="C201" s="4012"/>
      <c r="D201" s="4024"/>
      <c r="E201" s="3420" t="s">
        <v>404</v>
      </c>
      <c r="F201" s="3377"/>
      <c r="G201" s="3378"/>
      <c r="H201" s="3438" t="str">
        <f>IMAGE("https://raw.githubusercontent.com/msikma/pokesprite/master/misc/types/gen8/steel.png",4,20,20)</f>
        <v/>
      </c>
      <c r="J201" s="3420" t="s">
        <v>639</v>
      </c>
      <c r="K201" s="3377"/>
      <c r="L201" s="3378"/>
      <c r="M201" s="3438" t="str">
        <f>IMAGE("https://raw.githubusercontent.com/msikma/pokesprite/master/misc/types/gen8/fighting.png",4,20,20)</f>
        <v/>
      </c>
      <c r="N201" s="4030"/>
      <c r="O201" s="4056" t="s">
        <v>1061</v>
      </c>
      <c r="P201" s="4057"/>
      <c r="Q201" s="4066"/>
      <c r="R201" s="4067" t="str">
        <f>IMAGE("https://raw.githubusercontent.com/msikma/pokesprite/master/misc/types/gen8/grass.png",4,20,20)</f>
        <v/>
      </c>
      <c r="S201" s="4034"/>
      <c r="T201" s="4056" t="s">
        <v>344</v>
      </c>
      <c r="U201" s="4057"/>
      <c r="V201" s="4066"/>
      <c r="W201" s="4067" t="str">
        <f>IMAGE("https://raw.githubusercontent.com/msikma/pokesprite/master/misc/types/gen8/fighting.png",4,20,20)</f>
        <v/>
      </c>
      <c r="X201" s="4034"/>
      <c r="Y201" s="4056" t="s">
        <v>852</v>
      </c>
      <c r="Z201" s="4057"/>
      <c r="AA201" s="4066"/>
      <c r="AB201" s="4067" t="str">
        <f>IMAGE("https://raw.githubusercontent.com/msikma/pokesprite/master/misc/types/gen8/electric.png",4,20,20)</f>
        <v/>
      </c>
      <c r="AC201" s="4034"/>
      <c r="AD201" s="4024"/>
      <c r="AE201" s="4025"/>
      <c r="AF201" s="4025"/>
      <c r="AG201" s="4026"/>
      <c r="AH201" s="4017"/>
      <c r="AI201" s="3367"/>
    </row>
    <row r="202" ht="20.25" customHeight="1">
      <c r="A202" s="3361"/>
      <c r="B202" s="4011"/>
      <c r="C202" s="4012"/>
      <c r="D202" s="4024"/>
      <c r="E202" s="3420" t="s">
        <v>317</v>
      </c>
      <c r="F202" s="3377"/>
      <c r="G202" s="3378"/>
      <c r="H202" s="3438" t="str">
        <f>IMAGE("https://raw.githubusercontent.com/msikma/pokesprite/master/misc/types/gen8/ice.png",4,20,20)</f>
        <v/>
      </c>
      <c r="J202" s="3420" t="s">
        <v>222</v>
      </c>
      <c r="K202" s="3377"/>
      <c r="L202" s="3378"/>
      <c r="M202" s="3438" t="str">
        <f>IMAGE("https://raw.githubusercontent.com/msikma/pokesprite/master/misc/types/gen8/grass.png",4,20,20)</f>
        <v/>
      </c>
      <c r="N202" s="4030"/>
      <c r="O202" s="4056" t="s">
        <v>374</v>
      </c>
      <c r="P202" s="4057"/>
      <c r="Q202" s="4066"/>
      <c r="R202" s="4067" t="str">
        <f>IMAGE("https://raw.githubusercontent.com/msikma/pokesprite/master/misc/types/gen8/flying.png",4,20,20)</f>
        <v/>
      </c>
      <c r="S202" s="4034"/>
      <c r="T202" s="4056" t="s">
        <v>287</v>
      </c>
      <c r="U202" s="4057"/>
      <c r="V202" s="4066"/>
      <c r="W202" s="4067" t="str">
        <f>IMAGE("https://raw.githubusercontent.com/msikma/pokesprite/master/misc/types/gen8/fire.png",4,20,20)</f>
        <v/>
      </c>
      <c r="X202" s="4034"/>
      <c r="Y202" s="4056" t="s">
        <v>1024</v>
      </c>
      <c r="Z202" s="4057"/>
      <c r="AA202" s="4066"/>
      <c r="AB202" s="4067" t="str">
        <f>IMAGE("https://raw.githubusercontent.com/msikma/pokesprite/master/misc/types/gen8/normal.png",4,20,20)</f>
        <v/>
      </c>
      <c r="AC202" s="4034"/>
      <c r="AD202" s="4024"/>
      <c r="AE202" s="4025"/>
      <c r="AF202" s="4025"/>
      <c r="AG202" s="4026"/>
      <c r="AH202" s="4017"/>
      <c r="AI202" s="3367"/>
    </row>
    <row r="203" ht="21.0" customHeight="1">
      <c r="A203" s="3361"/>
      <c r="B203" s="4011"/>
      <c r="C203" s="4012"/>
      <c r="D203" s="4024"/>
      <c r="E203" s="3439" t="s">
        <v>223</v>
      </c>
      <c r="F203" s="3440"/>
      <c r="G203" s="3443"/>
      <c r="H203" s="3444" t="str">
        <f>IMAGE("https://raw.githubusercontent.com/msikma/pokesprite/master/misc/types/gen8/grass.png",4,20,20)</f>
        <v/>
      </c>
      <c r="I203" s="4068"/>
      <c r="J203" s="3439" t="s">
        <v>254</v>
      </c>
      <c r="K203" s="3440"/>
      <c r="L203" s="3443"/>
      <c r="M203" s="3444" t="str">
        <f>IMAGE("https://raw.githubusercontent.com/msikma/pokesprite/master/misc/types/gen8/ice.png",4,20,20)</f>
        <v/>
      </c>
      <c r="N203" s="4069"/>
      <c r="O203" s="4070" t="s">
        <v>287</v>
      </c>
      <c r="P203" s="4071"/>
      <c r="Q203" s="4072"/>
      <c r="R203" s="4073" t="str">
        <f>IMAGE("https://raw.githubusercontent.com/msikma/pokesprite/master/misc/types/gen8/fire.png",4,20,20)</f>
        <v/>
      </c>
      <c r="S203" s="4074"/>
      <c r="T203" s="4070" t="s">
        <v>737</v>
      </c>
      <c r="U203" s="4071"/>
      <c r="V203" s="4072"/>
      <c r="W203" s="4073" t="str">
        <f>IMAGE("https://raw.githubusercontent.com/msikma/pokesprite/master/misc/types/gen8/rock.png",4,20,20)</f>
        <v/>
      </c>
      <c r="X203" s="4074"/>
      <c r="Y203" s="4070" t="s">
        <v>823</v>
      </c>
      <c r="Z203" s="4071"/>
      <c r="AA203" s="4072"/>
      <c r="AB203" s="4073" t="str">
        <f>IMAGE("https://raw.githubusercontent.com/msikma/pokesprite/master/misc/types/gen8/fire.png",4,20,20)</f>
        <v/>
      </c>
      <c r="AC203" s="4074"/>
      <c r="AD203" s="4024"/>
      <c r="AE203" s="4025"/>
      <c r="AF203" s="4025"/>
      <c r="AG203" s="4026"/>
      <c r="AH203" s="4017"/>
      <c r="AI203" s="3367"/>
    </row>
    <row r="204" ht="3.0" customHeight="1">
      <c r="A204" s="3445"/>
      <c r="B204" s="4075"/>
      <c r="C204" s="4076"/>
      <c r="D204" s="4077"/>
      <c r="E204" s="4078"/>
      <c r="F204" s="4078"/>
      <c r="G204" s="4078"/>
      <c r="H204" s="4079"/>
      <c r="I204" s="4077"/>
      <c r="J204" s="4078"/>
      <c r="K204" s="4078"/>
      <c r="L204" s="4078"/>
      <c r="M204" s="4079"/>
      <c r="N204" s="4077"/>
      <c r="O204" s="4079"/>
      <c r="P204" s="4079"/>
      <c r="Q204" s="4079"/>
      <c r="R204" s="4079"/>
      <c r="S204" s="4079"/>
      <c r="T204" s="4080"/>
      <c r="U204" s="4080"/>
      <c r="V204" s="4080"/>
      <c r="W204" s="4079"/>
      <c r="X204" s="4077"/>
      <c r="Y204" s="4081"/>
      <c r="Z204" s="4082"/>
      <c r="AA204" s="4082"/>
      <c r="AB204" s="4083"/>
      <c r="AC204" s="4083"/>
      <c r="AD204" s="4083"/>
      <c r="AE204" s="4083"/>
      <c r="AF204" s="4083"/>
      <c r="AG204" s="4083"/>
      <c r="AH204" s="4084"/>
      <c r="AI204" s="3456"/>
    </row>
    <row r="205" ht="16.5" customHeight="1">
      <c r="A205" s="4085"/>
      <c r="B205" s="4086"/>
      <c r="C205" s="4087"/>
      <c r="D205" s="4088"/>
      <c r="E205" s="3460" t="s">
        <v>190</v>
      </c>
      <c r="F205" s="381"/>
      <c r="G205" s="382"/>
      <c r="H205" s="3461" t="s">
        <v>191</v>
      </c>
      <c r="I205" s="4088"/>
      <c r="J205" s="3460" t="s">
        <v>190</v>
      </c>
      <c r="K205" s="381"/>
      <c r="L205" s="382"/>
      <c r="M205" s="3461" t="s">
        <v>191</v>
      </c>
      <c r="N205" s="4089"/>
      <c r="O205" s="4090" t="s">
        <v>190</v>
      </c>
      <c r="P205" s="381"/>
      <c r="Q205" s="382"/>
      <c r="R205" s="4091" t="s">
        <v>191</v>
      </c>
      <c r="S205" s="4092"/>
      <c r="T205" s="4090" t="s">
        <v>190</v>
      </c>
      <c r="U205" s="381"/>
      <c r="V205" s="382"/>
      <c r="W205" s="4091" t="s">
        <v>191</v>
      </c>
      <c r="X205" s="4093"/>
      <c r="Y205" s="4090" t="s">
        <v>190</v>
      </c>
      <c r="Z205" s="381"/>
      <c r="AA205" s="382"/>
      <c r="AB205" s="4091" t="s">
        <v>191</v>
      </c>
      <c r="AC205" s="4094"/>
      <c r="AD205" s="4095"/>
      <c r="AE205" s="4096"/>
      <c r="AF205" s="4094"/>
      <c r="AG205" s="4094"/>
      <c r="AH205" s="4097"/>
      <c r="AI205" s="4098"/>
    </row>
    <row r="206" ht="16.5" customHeight="1">
      <c r="A206" s="4085"/>
      <c r="B206" s="4086"/>
      <c r="C206" s="4087"/>
      <c r="D206" s="4089"/>
      <c r="E206" s="3467" t="s">
        <v>192</v>
      </c>
      <c r="F206" s="3468">
        <f t="array" ref="F206">IFERROR(VLOOKUP(E193,Dex!$B$3:$N1022,8,FALSE),"")</f>
        <v>75</v>
      </c>
      <c r="G206" s="3469" t="str">
        <f t="array" ref="G206">IFERROR(VLOOKUP(F206,Dex!$P$22:$Q$276,2,FALSE),"")</f>
        <v/>
      </c>
      <c r="H206" s="3470"/>
      <c r="I206" s="4089"/>
      <c r="J206" s="3467" t="s">
        <v>192</v>
      </c>
      <c r="K206" s="3468">
        <f t="array" ref="K206">IFERROR(VLOOKUP(J193,Dex!$B$3:$N1022,8,FALSE),"")</f>
        <v>75</v>
      </c>
      <c r="L206" s="3469" t="str">
        <f t="array" ref="L206">IFERROR(VLOOKUP(K206,Dex!$P$22:$Q$276,2,FALSE),"")</f>
        <v/>
      </c>
      <c r="M206" s="3470"/>
      <c r="N206" s="4089"/>
      <c r="O206" s="4099" t="s">
        <v>192</v>
      </c>
      <c r="P206" s="4100">
        <f t="array" ref="P206">IFERROR(VLOOKUP(O193,Dex!$B$3:$N1022,8,FALSE),"")</f>
        <v>78</v>
      </c>
      <c r="Q206" s="4101" t="str">
        <f t="array" ref="Q206">IFERROR(VLOOKUP(P206,Dex!$P$22:$Q$276,2,FALSE),"")</f>
        <v/>
      </c>
      <c r="R206" s="4102"/>
      <c r="S206" s="4089"/>
      <c r="T206" s="4099" t="s">
        <v>192</v>
      </c>
      <c r="U206" s="4100">
        <f t="array" ref="U206">IFERROR(VLOOKUP(T193,Dex!$B$3:$N1022,8,FALSE),"")</f>
        <v>75</v>
      </c>
      <c r="V206" s="4101" t="str">
        <f t="array" ref="V206">IFERROR(VLOOKUP(U206,Dex!$P$22:$Q$276,2,FALSE),"")</f>
        <v/>
      </c>
      <c r="W206" s="4102"/>
      <c r="X206" s="4094"/>
      <c r="Y206" s="4099" t="s">
        <v>192</v>
      </c>
      <c r="Z206" s="4100">
        <f t="array" ref="Z206">IFERROR(VLOOKUP(Y193,Dex!$B$3:$N1022,8,FALSE),"")</f>
        <v>140</v>
      </c>
      <c r="AA206" s="4101" t="str">
        <f t="array" ref="AA206">IFERROR(VLOOKUP(Z206,Dex!$P$22:$Q$276,2,FALSE),"")</f>
        <v/>
      </c>
      <c r="AB206" s="4102"/>
      <c r="AC206" s="4094"/>
      <c r="AD206" s="4103"/>
      <c r="AE206" s="4103"/>
      <c r="AF206" s="4094"/>
      <c r="AG206" s="4094"/>
      <c r="AH206" s="4097"/>
      <c r="AI206" s="4098"/>
    </row>
    <row r="207" ht="16.5" customHeight="1">
      <c r="A207" s="4085"/>
      <c r="B207" s="4086"/>
      <c r="C207" s="4087"/>
      <c r="D207" s="4089"/>
      <c r="E207" s="3472" t="s">
        <v>193</v>
      </c>
      <c r="F207" s="3473">
        <f t="array" ref="F207">IFERROR(VLOOKUP(E193,Dex!$B$3:$N1022,9,FALSE),"")</f>
        <v>75</v>
      </c>
      <c r="G207" s="3474" t="str">
        <f t="array" ref="G207">IFERROR(VLOOKUP(F207,Dex!$P$22:$Q$276,2,FALSE),"")</f>
        <v/>
      </c>
      <c r="H207" s="3475"/>
      <c r="I207" s="4089"/>
      <c r="J207" s="3472" t="s">
        <v>193</v>
      </c>
      <c r="K207" s="3473">
        <f t="array" ref="K207">IFERROR(VLOOKUP(J193,Dex!$B$3:$N1022,9,FALSE),"")</f>
        <v>98</v>
      </c>
      <c r="L207" s="3474" t="str">
        <f t="array" ref="L207">IFERROR(VLOOKUP(K207,Dex!$P$22:$Q$276,2,FALSE),"")</f>
        <v/>
      </c>
      <c r="M207" s="3475"/>
      <c r="N207" s="4089"/>
      <c r="O207" s="4104" t="s">
        <v>193</v>
      </c>
      <c r="P207" s="4105">
        <f t="array" ref="P207">IFERROR(VLOOKUP(O193,Dex!$B$3:$N1022,9,FALSE),"")</f>
        <v>75</v>
      </c>
      <c r="Q207" s="4106" t="str">
        <f t="array" ref="Q207">IFERROR(VLOOKUP(P207,Dex!$P$22:$Q$276,2,FALSE),"")</f>
        <v/>
      </c>
      <c r="R207" s="4107"/>
      <c r="S207" s="4089"/>
      <c r="T207" s="4104" t="s">
        <v>193</v>
      </c>
      <c r="U207" s="4105">
        <f t="array" ref="U207">IFERROR(VLOOKUP(T193,Dex!$B$3:$N1022,9,FALSE),"")</f>
        <v>98</v>
      </c>
      <c r="V207" s="4106" t="str">
        <f t="array" ref="V207">IFERROR(VLOOKUP(U207,Dex!$P$22:$Q$276,2,FALSE),"")</f>
        <v/>
      </c>
      <c r="W207" s="4107"/>
      <c r="X207" s="4094"/>
      <c r="Y207" s="4104" t="s">
        <v>193</v>
      </c>
      <c r="Z207" s="4105">
        <f t="array" ref="Z207">IFERROR(VLOOKUP(Y193,Dex!$B$3:$N1022,9,FALSE),"")</f>
        <v>70</v>
      </c>
      <c r="AA207" s="4106" t="str">
        <f t="array" ref="AA207">IFERROR(VLOOKUP(Z207,Dex!$P$22:$Q$276,2,FALSE),"")</f>
        <v/>
      </c>
      <c r="AB207" s="4107"/>
      <c r="AC207" s="4094"/>
      <c r="AD207" s="4108"/>
      <c r="AE207" s="4109"/>
      <c r="AF207" s="4094"/>
      <c r="AG207" s="4094"/>
      <c r="AH207" s="4097"/>
      <c r="AI207" s="4098"/>
    </row>
    <row r="208" ht="16.5" customHeight="1">
      <c r="A208" s="4085"/>
      <c r="B208" s="4086"/>
      <c r="C208" s="4087"/>
      <c r="D208" s="4089"/>
      <c r="E208" s="3472" t="s">
        <v>194</v>
      </c>
      <c r="F208" s="3473">
        <f t="array" ref="F208">IFERROR(VLOOKUP(E193,Dex!$B$3:$N1022,10,FALSE),"")</f>
        <v>60</v>
      </c>
      <c r="G208" s="3474" t="str">
        <f t="array" ref="G208">IFERROR(VLOOKUP(F208,Dex!$P$22:$Q$276,2,FALSE),"")</f>
        <v/>
      </c>
      <c r="H208" s="3475"/>
      <c r="I208" s="4089"/>
      <c r="J208" s="3472" t="s">
        <v>194</v>
      </c>
      <c r="K208" s="3473">
        <f t="array" ref="K208">IFERROR(VLOOKUP(J193,Dex!$B$3:$N1022,10,FALSE),"")</f>
        <v>63</v>
      </c>
      <c r="L208" s="3474" t="str">
        <f t="array" ref="L208">IFERROR(VLOOKUP(K208,Dex!$P$22:$Q$276,2,FALSE),"")</f>
        <v/>
      </c>
      <c r="M208" s="3475"/>
      <c r="N208" s="4089"/>
      <c r="O208" s="4104" t="s">
        <v>194</v>
      </c>
      <c r="P208" s="4105">
        <f t="array" ref="P208">IFERROR(VLOOKUP(O193,Dex!$B$3:$N1022,10,FALSE),"")</f>
        <v>75</v>
      </c>
      <c r="Q208" s="4106" t="str">
        <f t="array" ref="Q208">IFERROR(VLOOKUP(P208,Dex!$P$22:$Q$276,2,FALSE),"")</f>
        <v/>
      </c>
      <c r="R208" s="4107"/>
      <c r="S208" s="4089"/>
      <c r="T208" s="4104" t="s">
        <v>194</v>
      </c>
      <c r="U208" s="4105">
        <f t="array" ref="U208">IFERROR(VLOOKUP(T193,Dex!$B$3:$N1022,10,FALSE),"")</f>
        <v>63</v>
      </c>
      <c r="V208" s="4106" t="str">
        <f t="array" ref="V208">IFERROR(VLOOKUP(U208,Dex!$P$22:$Q$276,2,FALSE),"")</f>
        <v/>
      </c>
      <c r="W208" s="4107"/>
      <c r="X208" s="4094"/>
      <c r="Y208" s="4104" t="s">
        <v>194</v>
      </c>
      <c r="Z208" s="4105">
        <f t="array" ref="Z208">IFERROR(VLOOKUP(Y193,Dex!$B$3:$N1022,10,FALSE),"")</f>
        <v>45</v>
      </c>
      <c r="AA208" s="4106" t="str">
        <f t="array" ref="AA208">IFERROR(VLOOKUP(Z208,Dex!$P$22:$Q$276,2,FALSE),"")</f>
        <v/>
      </c>
      <c r="AB208" s="4107"/>
      <c r="AC208" s="4094"/>
      <c r="AD208" s="4034"/>
      <c r="AE208" s="4034"/>
      <c r="AF208" s="4094"/>
      <c r="AG208" s="4094"/>
      <c r="AH208" s="4097"/>
      <c r="AI208" s="4098"/>
    </row>
    <row r="209" ht="16.5" customHeight="1">
      <c r="A209" s="4085"/>
      <c r="B209" s="4086"/>
      <c r="C209" s="4087"/>
      <c r="D209" s="4089"/>
      <c r="E209" s="3472" t="s">
        <v>195</v>
      </c>
      <c r="F209" s="3473">
        <f t="array" ref="F209">IFERROR(VLOOKUP(E193,Dex!$B$3:$N1022,11,FALSE),"")</f>
        <v>83</v>
      </c>
      <c r="G209" s="3474" t="str">
        <f t="array" ref="G209">IFERROR(VLOOKUP(F209,Dex!$P$22:$Q$276,2,FALSE),"")</f>
        <v/>
      </c>
      <c r="H209" s="3475"/>
      <c r="I209" s="4089"/>
      <c r="J209" s="3472" t="s">
        <v>195</v>
      </c>
      <c r="K209" s="3473">
        <f t="array" ref="K209">IFERROR(VLOOKUP(J193,Dex!$B$3:$N1022,11,FALSE),"")</f>
        <v>98</v>
      </c>
      <c r="L209" s="3474" t="str">
        <f t="array" ref="L209">IFERROR(VLOOKUP(K209,Dex!$P$22:$Q$276,2,FALSE),"")</f>
        <v/>
      </c>
      <c r="M209" s="3475"/>
      <c r="N209" s="4089"/>
      <c r="O209" s="4104" t="s">
        <v>195</v>
      </c>
      <c r="P209" s="4105">
        <f t="array" ref="P209">IFERROR(VLOOKUP(O193,Dex!$B$3:$N1022,11,FALSE),"")</f>
        <v>70</v>
      </c>
      <c r="Q209" s="4106" t="str">
        <f t="array" ref="Q209">IFERROR(VLOOKUP(P209,Dex!$P$22:$Q$276,2,FALSE),"")</f>
        <v/>
      </c>
      <c r="R209" s="4107"/>
      <c r="S209" s="4089"/>
      <c r="T209" s="4104" t="s">
        <v>195</v>
      </c>
      <c r="U209" s="4105">
        <f t="array" ref="U209">IFERROR(VLOOKUP(T193,Dex!$B$3:$N1022,11,FALSE),"")</f>
        <v>98</v>
      </c>
      <c r="V209" s="4106" t="str">
        <f t="array" ref="V209">IFERROR(VLOOKUP(U209,Dex!$P$22:$Q$276,2,FALSE),"")</f>
        <v/>
      </c>
      <c r="W209" s="4107"/>
      <c r="X209" s="4094"/>
      <c r="Y209" s="4104" t="s">
        <v>195</v>
      </c>
      <c r="Z209" s="4105">
        <f t="array" ref="Z209">IFERROR(VLOOKUP(Y193,Dex!$B$3:$N1022,11,FALSE),"")</f>
        <v>85</v>
      </c>
      <c r="AA209" s="4106" t="str">
        <f t="array" ref="AA209">IFERROR(VLOOKUP(Z209,Dex!$P$22:$Q$276,2,FALSE),"")</f>
        <v/>
      </c>
      <c r="AB209" s="4107"/>
      <c r="AC209" s="4094"/>
      <c r="AD209" s="4074"/>
      <c r="AE209" s="4034"/>
      <c r="AF209" s="4094"/>
      <c r="AG209" s="4094"/>
      <c r="AH209" s="4097"/>
      <c r="AI209" s="4098"/>
    </row>
    <row r="210" ht="16.5" customHeight="1">
      <c r="A210" s="4085"/>
      <c r="B210" s="4086"/>
      <c r="C210" s="4087"/>
      <c r="D210" s="4089"/>
      <c r="E210" s="3472" t="s">
        <v>196</v>
      </c>
      <c r="F210" s="3473">
        <f t="array" ref="F210">IFERROR(VLOOKUP(E193,Dex!$B$3:$N1022,12,FALSE),"")</f>
        <v>60</v>
      </c>
      <c r="G210" s="3474" t="str">
        <f t="array" ref="G210">IFERROR(VLOOKUP(F210,Dex!$P$22:$Q$276,2,FALSE),"")</f>
        <v/>
      </c>
      <c r="H210" s="3475"/>
      <c r="I210" s="4089"/>
      <c r="J210" s="3472" t="s">
        <v>196</v>
      </c>
      <c r="K210" s="3473">
        <f t="array" ref="K210">IFERROR(VLOOKUP(J193,Dex!$B$3:$N1022,12,FALSE),"")</f>
        <v>63</v>
      </c>
      <c r="L210" s="3474" t="str">
        <f t="array" ref="L210">IFERROR(VLOOKUP(K210,Dex!$P$22:$Q$276,2,FALSE),"")</f>
        <v/>
      </c>
      <c r="M210" s="3475"/>
      <c r="N210" s="4089"/>
      <c r="O210" s="4104" t="s">
        <v>196</v>
      </c>
      <c r="P210" s="4105">
        <f t="array" ref="P210">IFERROR(VLOOKUP(O193,Dex!$B$3:$N1022,12,FALSE),"")</f>
        <v>70</v>
      </c>
      <c r="Q210" s="4106" t="str">
        <f t="array" ref="Q210">IFERROR(VLOOKUP(P210,Dex!$P$22:$Q$276,2,FALSE),"")</f>
        <v/>
      </c>
      <c r="R210" s="4107"/>
      <c r="S210" s="4089"/>
      <c r="T210" s="4104" t="s">
        <v>196</v>
      </c>
      <c r="U210" s="4105">
        <f t="array" ref="U210">IFERROR(VLOOKUP(T193,Dex!$B$3:$N1022,12,FALSE),"")</f>
        <v>63</v>
      </c>
      <c r="V210" s="4106" t="str">
        <f t="array" ref="V210">IFERROR(VLOOKUP(U210,Dex!$P$22:$Q$276,2,FALSE),"")</f>
        <v/>
      </c>
      <c r="W210" s="4107"/>
      <c r="X210" s="4094"/>
      <c r="Y210" s="4104" t="s">
        <v>196</v>
      </c>
      <c r="Z210" s="4105">
        <f t="array" ref="Z210">IFERROR(VLOOKUP(Y193,Dex!$B$3:$N1022,12,FALSE),"")</f>
        <v>50</v>
      </c>
      <c r="AA210" s="4106" t="str">
        <f t="array" ref="AA210">IFERROR(VLOOKUP(Z210,Dex!$P$22:$Q$276,2,FALSE),"")</f>
        <v/>
      </c>
      <c r="AB210" s="4107"/>
      <c r="AC210" s="4094"/>
      <c r="AD210" s="4094"/>
      <c r="AE210" s="4074"/>
      <c r="AF210" s="4094"/>
      <c r="AG210" s="4094"/>
      <c r="AH210" s="4097"/>
      <c r="AI210" s="4098"/>
    </row>
    <row r="211" ht="16.5" customHeight="1">
      <c r="A211" s="4085"/>
      <c r="B211" s="4086"/>
      <c r="C211" s="1204" t="s">
        <v>436</v>
      </c>
      <c r="D211" s="4089"/>
      <c r="E211" s="3476" t="s">
        <v>197</v>
      </c>
      <c r="F211" s="3477">
        <f t="array" ref="F211">IFERROR(VLOOKUP(E193,Dex!$B$3:$N1022,13,FALSE),"")</f>
        <v>60</v>
      </c>
      <c r="G211" s="3478" t="str">
        <f t="array" ref="G211">IFERROR(VLOOKUP(F211,Dex!$P$22:$Q$276,2,FALSE),"")</f>
        <v/>
      </c>
      <c r="H211" s="3479"/>
      <c r="I211" s="4089"/>
      <c r="J211" s="3476" t="s">
        <v>197</v>
      </c>
      <c r="K211" s="3477">
        <f t="array" ref="K211">IFERROR(VLOOKUP(J193,Dex!$B$3:$N1022,13,FALSE),"")</f>
        <v>101</v>
      </c>
      <c r="L211" s="3478" t="str">
        <f t="array" ref="L211">IFERROR(VLOOKUP(K211,Dex!$P$22:$Q$276,2,FALSE),"")</f>
        <v/>
      </c>
      <c r="M211" s="3479"/>
      <c r="N211" s="4089"/>
      <c r="O211" s="4110" t="s">
        <v>197</v>
      </c>
      <c r="P211" s="4111">
        <f t="array" ref="P211">IFERROR(VLOOKUP(O193,Dex!$B$3:$N1022,13,FALSE),"")</f>
        <v>52</v>
      </c>
      <c r="Q211" s="4112" t="str">
        <f t="array" ref="Q211">IFERROR(VLOOKUP(P211,Dex!$P$22:$Q$276,2,FALSE),"")</f>
        <v/>
      </c>
      <c r="R211" s="4113"/>
      <c r="S211" s="4089"/>
      <c r="T211" s="4110" t="s">
        <v>197</v>
      </c>
      <c r="U211" s="4111">
        <f t="array" ref="U211">IFERROR(VLOOKUP(T193,Dex!$B$3:$N1022,13,FALSE),"")</f>
        <v>101</v>
      </c>
      <c r="V211" s="4112" t="str">
        <f t="array" ref="V211">IFERROR(VLOOKUP(U211,Dex!$P$22:$Q$276,2,FALSE),"")</f>
        <v/>
      </c>
      <c r="W211" s="4113"/>
      <c r="X211" s="4094"/>
      <c r="Y211" s="4110" t="s">
        <v>197</v>
      </c>
      <c r="Z211" s="4111">
        <f t="array" ref="Z211">IFERROR(VLOOKUP(Y193,Dex!$B$3:$N1022,13,FALSE),"")</f>
        <v>45</v>
      </c>
      <c r="AA211" s="4112" t="str">
        <f t="array" ref="AA211">IFERROR(VLOOKUP(Z211,Dex!$P$22:$Q$276,2,FALSE),"")</f>
        <v/>
      </c>
      <c r="AB211" s="4113"/>
      <c r="AC211" s="4094"/>
      <c r="AD211" s="4094"/>
      <c r="AE211" s="4094"/>
      <c r="AF211" s="4094"/>
      <c r="AG211" s="4094"/>
      <c r="AH211" s="4097"/>
      <c r="AI211" s="4098"/>
    </row>
    <row r="212" ht="16.5" customHeight="1">
      <c r="A212" s="4085"/>
      <c r="B212" s="4086"/>
      <c r="C212" s="1205" t="s">
        <v>566</v>
      </c>
      <c r="D212" s="4088"/>
      <c r="E212" s="3480" t="s">
        <v>198</v>
      </c>
      <c r="F212" s="405"/>
      <c r="G212" s="406"/>
      <c r="H212" s="3481">
        <v>53.0</v>
      </c>
      <c r="I212" s="4088"/>
      <c r="J212" s="3480" t="s">
        <v>198</v>
      </c>
      <c r="K212" s="405"/>
      <c r="L212" s="406"/>
      <c r="M212" s="3481">
        <v>86.0</v>
      </c>
      <c r="N212" s="4089"/>
      <c r="O212" s="4114" t="s">
        <v>198</v>
      </c>
      <c r="P212" s="405"/>
      <c r="Q212" s="406"/>
      <c r="R212" s="4115">
        <v>45.0</v>
      </c>
      <c r="S212" s="4088"/>
      <c r="T212" s="4114" t="s">
        <v>198</v>
      </c>
      <c r="U212" s="405"/>
      <c r="V212" s="406"/>
      <c r="W212" s="4115">
        <v>81.0</v>
      </c>
      <c r="X212" s="4093"/>
      <c r="Y212" s="4114" t="s">
        <v>198</v>
      </c>
      <c r="Z212" s="405"/>
      <c r="AA212" s="406"/>
      <c r="AB212" s="4115">
        <v>41.0</v>
      </c>
      <c r="AC212" s="4094"/>
      <c r="AD212" s="4094"/>
      <c r="AE212" s="4094"/>
      <c r="AF212" s="4094"/>
      <c r="AG212" s="4094"/>
      <c r="AH212" s="4097"/>
      <c r="AI212" s="4098"/>
    </row>
    <row r="213" ht="15.0" customHeight="1">
      <c r="A213" s="3361"/>
      <c r="B213" s="4116"/>
      <c r="C213" s="4117"/>
      <c r="D213" s="4118"/>
      <c r="E213" s="4119"/>
      <c r="F213" s="4119"/>
      <c r="G213" s="4119"/>
      <c r="H213" s="4120"/>
      <c r="I213" s="4121"/>
      <c r="J213" s="4119"/>
      <c r="K213" s="4119"/>
      <c r="L213" s="4119"/>
      <c r="M213" s="4120"/>
      <c r="N213" s="4121"/>
      <c r="O213" s="4122"/>
      <c r="P213" s="4122"/>
      <c r="Q213" s="4122"/>
      <c r="R213" s="4122"/>
      <c r="S213" s="4121"/>
      <c r="T213" s="4119"/>
      <c r="U213" s="4119"/>
      <c r="V213" s="4119"/>
      <c r="W213" s="4122"/>
      <c r="X213" s="4121"/>
      <c r="Y213" s="4119"/>
      <c r="Z213" s="4119"/>
      <c r="AA213" s="4119"/>
      <c r="AB213" s="4122"/>
      <c r="AC213" s="4118"/>
      <c r="AD213" s="4118"/>
      <c r="AE213" s="4118"/>
      <c r="AF213" s="4118"/>
      <c r="AG213" s="4118"/>
      <c r="AH213" s="4123"/>
      <c r="AI213" s="3367"/>
    </row>
    <row r="214" ht="15.0" customHeight="1">
      <c r="A214" s="3361"/>
      <c r="B214" s="4124"/>
      <c r="C214" s="4125"/>
      <c r="D214" s="4125"/>
      <c r="E214" s="4125"/>
      <c r="F214" s="4125"/>
      <c r="G214" s="4125"/>
      <c r="H214" s="4125"/>
      <c r="I214" s="4125"/>
      <c r="J214" s="4125"/>
      <c r="K214" s="4125"/>
      <c r="L214" s="4125"/>
      <c r="M214" s="4125"/>
      <c r="N214" s="4125"/>
      <c r="O214" s="4125"/>
      <c r="P214" s="4125"/>
      <c r="Q214" s="4125"/>
      <c r="R214" s="4125"/>
      <c r="S214" s="4125"/>
      <c r="T214" s="4125"/>
      <c r="U214" s="4125"/>
      <c r="V214" s="4125"/>
      <c r="W214" s="4125"/>
      <c r="X214" s="4125"/>
      <c r="Y214" s="4125"/>
      <c r="Z214" s="4125"/>
      <c r="AA214" s="4125"/>
      <c r="AB214" s="4125"/>
      <c r="AC214" s="4125"/>
      <c r="AD214" s="4125"/>
      <c r="AE214" s="4125"/>
      <c r="AF214" s="4125"/>
      <c r="AG214" s="4125"/>
      <c r="AH214" s="4126"/>
      <c r="AI214" s="3367"/>
    </row>
    <row r="215">
      <c r="A215" s="3361"/>
      <c r="B215" s="4127"/>
      <c r="C215" s="4128"/>
      <c r="D215" s="4129"/>
      <c r="E215" s="4130" t="s">
        <v>1062</v>
      </c>
      <c r="F215" s="4131"/>
      <c r="G215" s="4131"/>
      <c r="H215" s="4131"/>
      <c r="I215" s="4131"/>
      <c r="J215" s="4131"/>
      <c r="K215" s="4131"/>
      <c r="L215" s="4131"/>
      <c r="M215" s="4131"/>
      <c r="N215" s="4131"/>
      <c r="O215" s="4131"/>
      <c r="P215" s="4131"/>
      <c r="Q215" s="4131"/>
      <c r="R215" s="4131"/>
      <c r="S215" s="4131"/>
      <c r="T215" s="4131"/>
      <c r="U215" s="4131"/>
      <c r="V215" s="4131"/>
      <c r="W215" s="4131"/>
      <c r="X215" s="4131"/>
      <c r="Y215" s="4131"/>
      <c r="Z215" s="4131"/>
      <c r="AA215" s="4131"/>
      <c r="AB215" s="4131"/>
      <c r="AC215" s="4131"/>
      <c r="AD215" s="4131"/>
      <c r="AE215" s="4131"/>
      <c r="AF215" s="4131"/>
      <c r="AG215" s="4132"/>
      <c r="AH215" s="4133"/>
      <c r="AI215" s="3367"/>
    </row>
    <row r="216" ht="96.75" customHeight="1">
      <c r="A216" s="3361"/>
      <c r="B216" s="4127"/>
      <c r="C216" s="4134" t="str">
        <f>IMAGE("https://i.ibb.co/vj4rHpy/Sailors.png",2)</f>
        <v/>
      </c>
      <c r="D216" s="4135"/>
      <c r="E216" s="4136" t="str">
        <f t="array" ref="E216">IFERROR(VLOOKUP(E217,Dex!$B$3:$G1022,3,FALSE),"")</f>
        <v/>
      </c>
      <c r="F216" s="1830"/>
      <c r="G216" s="1830"/>
      <c r="H216" s="1831"/>
      <c r="I216" s="4137"/>
      <c r="J216" s="4136" t="str">
        <f t="array" ref="J216">IFERROR(VLOOKUP(J217,Dex!$B$3:$G1022,3,FALSE),"")</f>
        <v/>
      </c>
      <c r="K216" s="1830"/>
      <c r="L216" s="1830"/>
      <c r="M216" s="1831"/>
      <c r="N216" s="4137"/>
      <c r="O216" s="4136" t="str">
        <f t="array" ref="O216">IFERROR(VLOOKUP(O217,Dex!$B$3:$G1022,3,FALSE),"")</f>
        <v/>
      </c>
      <c r="P216" s="1830"/>
      <c r="Q216" s="1830"/>
      <c r="R216" s="1831"/>
      <c r="S216" s="4137"/>
      <c r="T216" s="4138" t="str">
        <f t="array" ref="T216">IFERROR(VLOOKUP(T217,Dex!$B$3:$G1022,3,FALSE),"")</f>
        <v/>
      </c>
      <c r="U216" s="1830"/>
      <c r="V216" s="1830"/>
      <c r="W216" s="1831"/>
      <c r="X216" s="4137"/>
      <c r="Y216" s="4138" t="str">
        <f t="array" ref="Y216">IFERROR(VLOOKUP(Y217,Dex!$B$3:$G1022,3,FALSE),"")</f>
        <v/>
      </c>
      <c r="Z216" s="1830"/>
      <c r="AA216" s="1830"/>
      <c r="AB216" s="1831"/>
      <c r="AC216" s="4139"/>
      <c r="AD216" s="4140"/>
      <c r="AE216" s="4131"/>
      <c r="AF216" s="4131"/>
      <c r="AG216" s="4132"/>
      <c r="AH216" s="4133"/>
      <c r="AI216" s="3367"/>
    </row>
    <row r="217" ht="18.75" customHeight="1">
      <c r="A217" s="3621"/>
      <c r="B217" s="4141"/>
      <c r="C217" s="4142" t="s">
        <v>1063</v>
      </c>
      <c r="D217" s="4143"/>
      <c r="E217" s="4144" t="s">
        <v>1064</v>
      </c>
      <c r="F217" s="4145"/>
      <c r="G217" s="4145"/>
      <c r="H217" s="4146"/>
      <c r="I217" s="4147"/>
      <c r="J217" s="4144" t="s">
        <v>1065</v>
      </c>
      <c r="K217" s="4145"/>
      <c r="L217" s="4145"/>
      <c r="M217" s="4146"/>
      <c r="N217" s="4147"/>
      <c r="O217" s="4144" t="s">
        <v>1066</v>
      </c>
      <c r="P217" s="4145"/>
      <c r="Q217" s="4145"/>
      <c r="R217" s="4146"/>
      <c r="S217" s="4147"/>
      <c r="T217" s="4148" t="s">
        <v>1067</v>
      </c>
      <c r="U217" s="4149"/>
      <c r="V217" s="4149"/>
      <c r="W217" s="4150"/>
      <c r="X217" s="4147"/>
      <c r="Y217" s="4148" t="s">
        <v>1068</v>
      </c>
      <c r="Z217" s="4149"/>
      <c r="AA217" s="4149"/>
      <c r="AB217" s="4150"/>
      <c r="AC217" s="4147"/>
      <c r="AD217" s="4151"/>
      <c r="AE217" s="4143"/>
      <c r="AF217" s="4151"/>
      <c r="AG217" s="4151"/>
      <c r="AH217" s="4152"/>
      <c r="AI217" s="3631"/>
    </row>
    <row r="218">
      <c r="A218" s="3632"/>
      <c r="B218" s="4153"/>
      <c r="C218" s="3030"/>
      <c r="D218" s="4154"/>
      <c r="E218" s="4155" t="s">
        <v>420</v>
      </c>
      <c r="F218" s="4156"/>
      <c r="G218" s="4156"/>
      <c r="H218" s="4157"/>
      <c r="I218" s="4147"/>
      <c r="J218" s="4155" t="s">
        <v>715</v>
      </c>
      <c r="K218" s="4156"/>
      <c r="L218" s="4156"/>
      <c r="M218" s="4157"/>
      <c r="N218" s="4147"/>
      <c r="O218" s="4155" t="s">
        <v>843</v>
      </c>
      <c r="P218" s="4156"/>
      <c r="Q218" s="4156"/>
      <c r="R218" s="4157"/>
      <c r="S218" s="4147"/>
      <c r="T218" s="4158" t="s">
        <v>715</v>
      </c>
      <c r="U218" s="4159"/>
      <c r="V218" s="4159"/>
      <c r="W218" s="4160"/>
      <c r="X218" s="4147"/>
      <c r="Y218" s="4158" t="s">
        <v>715</v>
      </c>
      <c r="Z218" s="4159"/>
      <c r="AA218" s="4159"/>
      <c r="AB218" s="4160"/>
      <c r="AC218" s="4147"/>
      <c r="AD218" s="4161"/>
      <c r="AE218" s="4131"/>
      <c r="AF218" s="4131"/>
      <c r="AG218" s="4132"/>
      <c r="AH218" s="4162"/>
      <c r="AI218" s="3640"/>
    </row>
    <row r="219" ht="25.5" customHeight="1">
      <c r="A219" s="3361"/>
      <c r="B219" s="4127"/>
      <c r="C219" s="3030"/>
      <c r="D219" s="4129"/>
      <c r="E219" s="4163"/>
      <c r="F219" s="4164" t="str">
        <f t="array" ref="F219">IFERROR(VLOOKUP(E217,Dex!$B$3:$H1022,5,FALSE),"")</f>
        <v/>
      </c>
      <c r="G219" s="4165" t="str">
        <f t="array" ref="G219">IFERROR(VLOOKUP(E217,Dex!$B$3:$H1022,7,FALSE),"")</f>
        <v/>
      </c>
      <c r="H219" s="4166"/>
      <c r="I219" s="4147"/>
      <c r="J219" s="4163"/>
      <c r="K219" s="4167" t="str">
        <f t="array" ref="K219">IFERROR(VLOOKUP(J217,Dex!$B$3:$H1022,5,FALSE),"")</f>
        <v/>
      </c>
      <c r="L219" s="4168"/>
      <c r="M219" s="4166"/>
      <c r="N219" s="4147"/>
      <c r="O219" s="4163"/>
      <c r="P219" s="4164" t="str">
        <f t="array" ref="P219">IFERROR(VLOOKUP(O217,Dex!$B$3:$H1022,5,FALSE),"")</f>
        <v/>
      </c>
      <c r="Q219" s="4165" t="str">
        <f t="array" ref="Q219">IFERROR(VLOOKUP(O217,Dex!$B$3:$H1022,7,FALSE),"")</f>
        <v/>
      </c>
      <c r="R219" s="4166"/>
      <c r="S219" s="4147"/>
      <c r="T219" s="4169"/>
      <c r="U219" s="4170" t="str">
        <f t="array" ref="U219">IFERROR(VLOOKUP(T217,Dex!$B$3:$H1022,5,FALSE),"")</f>
        <v/>
      </c>
      <c r="V219" s="4171" t="str">
        <f t="array" ref="V219">IFERROR(VLOOKUP(T217,Dex!$B$3:$H1022,7,FALSE),"")</f>
        <v/>
      </c>
      <c r="W219" s="4172"/>
      <c r="X219" s="4147"/>
      <c r="Y219" s="4169"/>
      <c r="Z219" s="4170" t="str">
        <f t="array" ref="Z219">IFERROR(VLOOKUP(Y217,Dex!$B$3:$H1022,5,FALSE),"")</f>
        <v/>
      </c>
      <c r="AA219" s="4171" t="str">
        <f t="array" ref="AA219">IFERROR(VLOOKUP(Y217,Dex!$B$3:$H1022,7,FALSE),"")</f>
        <v/>
      </c>
      <c r="AB219" s="4172"/>
      <c r="AC219" s="4147"/>
      <c r="AD219" s="4173"/>
      <c r="AE219" s="4131"/>
      <c r="AF219" s="4131"/>
      <c r="AG219" s="4132"/>
      <c r="AH219" s="4133"/>
      <c r="AI219" s="3367"/>
    </row>
    <row r="220" ht="2.25" customHeight="1">
      <c r="A220" s="3361"/>
      <c r="B220" s="4127"/>
      <c r="C220" s="3030"/>
      <c r="D220" s="4129"/>
      <c r="E220" s="4174"/>
      <c r="F220" s="4175"/>
      <c r="G220" s="4175"/>
      <c r="H220" s="4176"/>
      <c r="I220" s="4147"/>
      <c r="J220" s="4174"/>
      <c r="K220" s="4175"/>
      <c r="L220" s="4175"/>
      <c r="M220" s="4176"/>
      <c r="N220" s="4147"/>
      <c r="O220" s="4174"/>
      <c r="P220" s="4175"/>
      <c r="Q220" s="4175"/>
      <c r="R220" s="4176"/>
      <c r="S220" s="4147"/>
      <c r="T220" s="4177"/>
      <c r="U220" s="4178"/>
      <c r="V220" s="4178"/>
      <c r="W220" s="4179"/>
      <c r="X220" s="4147"/>
      <c r="Y220" s="4177"/>
      <c r="Z220" s="4178"/>
      <c r="AA220" s="4178"/>
      <c r="AB220" s="4179"/>
      <c r="AC220" s="4147"/>
      <c r="AD220" s="4173"/>
      <c r="AE220" s="4131"/>
      <c r="AF220" s="4131"/>
      <c r="AG220" s="4132"/>
      <c r="AH220" s="4133"/>
      <c r="AI220" s="3367"/>
    </row>
    <row r="221" ht="20.25" customHeight="1">
      <c r="A221" s="3361"/>
      <c r="B221" s="4127"/>
      <c r="C221" s="3030"/>
      <c r="D221" s="4129"/>
      <c r="E221" s="4180" t="s">
        <v>263</v>
      </c>
      <c r="F221" s="4181"/>
      <c r="G221" s="4181"/>
      <c r="H221" s="4182"/>
      <c r="I221" s="4147"/>
      <c r="J221" s="4180" t="s">
        <v>205</v>
      </c>
      <c r="K221" s="4181"/>
      <c r="L221" s="4181"/>
      <c r="M221" s="4182"/>
      <c r="N221" s="4147"/>
      <c r="O221" s="4180" t="s">
        <v>263</v>
      </c>
      <c r="P221" s="4181"/>
      <c r="Q221" s="4181"/>
      <c r="R221" s="4182"/>
      <c r="S221" s="4147"/>
      <c r="T221" s="4183" t="s">
        <v>205</v>
      </c>
      <c r="U221" s="4184"/>
      <c r="V221" s="4184"/>
      <c r="W221" s="4185"/>
      <c r="X221" s="4147"/>
      <c r="Y221" s="4183" t="s">
        <v>205</v>
      </c>
      <c r="Z221" s="4184"/>
      <c r="AA221" s="4184"/>
      <c r="AB221" s="4185"/>
      <c r="AC221" s="4147"/>
      <c r="AD221" s="4140"/>
      <c r="AE221" s="4131"/>
      <c r="AF221" s="4131"/>
      <c r="AG221" s="4132"/>
      <c r="AH221" s="4133"/>
      <c r="AI221" s="3367"/>
    </row>
    <row r="222" ht="20.25" customHeight="1">
      <c r="A222" s="3361"/>
      <c r="B222" s="4127"/>
      <c r="C222" s="3045"/>
      <c r="D222" s="4129"/>
      <c r="E222" s="4186" t="s">
        <v>1069</v>
      </c>
      <c r="F222" s="4187"/>
      <c r="G222" s="4187"/>
      <c r="H222" s="4188"/>
      <c r="I222" s="4147"/>
      <c r="J222" s="4186" t="s">
        <v>1069</v>
      </c>
      <c r="K222" s="4187"/>
      <c r="L222" s="4187"/>
      <c r="M222" s="4188"/>
      <c r="N222" s="4147"/>
      <c r="O222" s="4186" t="s">
        <v>1069</v>
      </c>
      <c r="P222" s="4187"/>
      <c r="Q222" s="4187"/>
      <c r="R222" s="4188"/>
      <c r="S222" s="4147"/>
      <c r="T222" s="4189" t="s">
        <v>1070</v>
      </c>
      <c r="U222" s="4131"/>
      <c r="V222" s="4131"/>
      <c r="W222" s="4190"/>
      <c r="X222" s="4147"/>
      <c r="Y222" s="4189" t="s">
        <v>329</v>
      </c>
      <c r="Z222" s="4131"/>
      <c r="AA222" s="4131"/>
      <c r="AB222" s="4190"/>
      <c r="AC222" s="4147"/>
      <c r="AD222" s="4140"/>
      <c r="AE222" s="4131"/>
      <c r="AF222" s="4131"/>
      <c r="AG222" s="4132"/>
      <c r="AH222" s="4133"/>
      <c r="AI222" s="3367"/>
    </row>
    <row r="223" ht="20.25" customHeight="1">
      <c r="A223" s="3361"/>
      <c r="B223" s="4127"/>
      <c r="C223" s="4191"/>
      <c r="D223" s="4129"/>
      <c r="E223" s="4192" t="s">
        <v>211</v>
      </c>
      <c r="F223" s="4193"/>
      <c r="G223" s="4194"/>
      <c r="H223" s="4195" t="str">
        <f>IMAGE("https://raw.githubusercontent.com/msikma/pokesprite/master/items/hold-item/eviolite.png",3)</f>
        <v/>
      </c>
      <c r="I223" s="4147"/>
      <c r="J223" s="4192" t="s">
        <v>679</v>
      </c>
      <c r="K223" s="4193"/>
      <c r="L223" s="4194"/>
      <c r="M223" s="4195" t="s">
        <v>680</v>
      </c>
      <c r="N223" s="4147"/>
      <c r="O223" s="4192" t="s">
        <v>213</v>
      </c>
      <c r="P223" s="4193"/>
      <c r="Q223" s="4194"/>
      <c r="R223" s="4195" t="str">
        <f>IMAGE("https://raw.githubusercontent.com/msikma/pokesprite/master/items/berry/sitrus.png",3)</f>
        <v/>
      </c>
      <c r="S223" s="4147"/>
      <c r="T223" s="4196" t="s">
        <v>240</v>
      </c>
      <c r="U223" s="4197"/>
      <c r="V223" s="4198"/>
      <c r="W223" s="4199" t="str">
        <f>IMAGE("https://raw.githubusercontent.com/msikma/pokesprite/master/items/hold-item/focus-sash.png",3)</f>
        <v/>
      </c>
      <c r="X223" s="4147"/>
      <c r="Y223" s="4196" t="s">
        <v>679</v>
      </c>
      <c r="Z223" s="4197"/>
      <c r="AA223" s="4198"/>
      <c r="AB223" s="4199" t="s">
        <v>680</v>
      </c>
      <c r="AC223" s="4147"/>
      <c r="AD223" s="4140"/>
      <c r="AE223" s="4131"/>
      <c r="AF223" s="4131"/>
      <c r="AG223" s="4132"/>
      <c r="AH223" s="4133"/>
      <c r="AI223" s="3367"/>
    </row>
    <row r="224" ht="20.25" customHeight="1">
      <c r="A224" s="3361"/>
      <c r="B224" s="4127"/>
      <c r="C224" s="4191"/>
      <c r="D224" s="4129"/>
      <c r="E224" s="4180" t="s">
        <v>276</v>
      </c>
      <c r="F224" s="4181"/>
      <c r="G224" s="4200"/>
      <c r="H224" s="4201" t="str">
        <f>IMAGE("https://raw.githubusercontent.com/msikma/pokesprite/master/misc/types/gen8/rock.png",4,20,20)</f>
        <v/>
      </c>
      <c r="I224" s="4147"/>
      <c r="J224" s="4180" t="s">
        <v>246</v>
      </c>
      <c r="K224" s="4181"/>
      <c r="L224" s="4200"/>
      <c r="M224" s="4201" t="str">
        <f>IMAGE("https://raw.githubusercontent.com/msikma/pokesprite/master/misc/types/gen8/water.png",4,20,20)</f>
        <v/>
      </c>
      <c r="N224" s="4147"/>
      <c r="O224" s="4180" t="s">
        <v>246</v>
      </c>
      <c r="P224" s="4181"/>
      <c r="Q224" s="4200"/>
      <c r="R224" s="4201" t="str">
        <f>IMAGE("https://raw.githubusercontent.com/msikma/pokesprite/master/misc/types/gen8/water.png",4,20,20)</f>
        <v/>
      </c>
      <c r="S224" s="4147"/>
      <c r="T224" s="4183" t="s">
        <v>433</v>
      </c>
      <c r="U224" s="4184"/>
      <c r="V224" s="4202"/>
      <c r="W224" s="4203" t="str">
        <f>IMAGE("https://raw.githubusercontent.com/msikma/pokesprite/master/misc/types/gen8/water.png",4,20,20)</f>
        <v/>
      </c>
      <c r="X224" s="4147"/>
      <c r="Y224" s="4183" t="s">
        <v>433</v>
      </c>
      <c r="Z224" s="4184"/>
      <c r="AA224" s="4202"/>
      <c r="AB224" s="4203" t="str">
        <f>IMAGE("https://raw.githubusercontent.com/msikma/pokesprite/master/misc/types/gen8/water.png",4,20,20)</f>
        <v/>
      </c>
      <c r="AC224" s="4147"/>
      <c r="AD224" s="4140"/>
      <c r="AE224" s="4131"/>
      <c r="AF224" s="4131"/>
      <c r="AG224" s="4132"/>
      <c r="AH224" s="4133"/>
      <c r="AI224" s="3367"/>
    </row>
    <row r="225" ht="20.25" customHeight="1">
      <c r="A225" s="3361"/>
      <c r="B225" s="4127"/>
      <c r="C225" s="4128"/>
      <c r="D225" s="4129"/>
      <c r="E225" s="4186" t="s">
        <v>275</v>
      </c>
      <c r="F225" s="4187"/>
      <c r="G225" s="4204"/>
      <c r="H225" s="4205" t="str">
        <f>IMAGE("https://raw.githubusercontent.com/msikma/pokesprite/master/misc/types/gen8/grass.png",4,20,20)</f>
        <v/>
      </c>
      <c r="I225" s="4147"/>
      <c r="J225" s="4186" t="s">
        <v>317</v>
      </c>
      <c r="K225" s="4187"/>
      <c r="L225" s="4204"/>
      <c r="M225" s="4205" t="str">
        <f>IMAGE("https://raw.githubusercontent.com/msikma/pokesprite/master/misc/types/gen8/ice.png",4,20,20)</f>
        <v/>
      </c>
      <c r="N225" s="4147"/>
      <c r="O225" s="4186" t="s">
        <v>380</v>
      </c>
      <c r="P225" s="4187"/>
      <c r="Q225" s="4204"/>
      <c r="R225" s="4205" t="str">
        <f>IMAGE("https://raw.githubusercontent.com/msikma/pokesprite/master/misc/types/gen8/dragon.png",4,20,20)</f>
        <v/>
      </c>
      <c r="S225" s="4147"/>
      <c r="T225" s="4189" t="s">
        <v>278</v>
      </c>
      <c r="U225" s="4131"/>
      <c r="V225" s="4132"/>
      <c r="W225" s="4206" t="str">
        <f>IMAGE("https://raw.githubusercontent.com/msikma/pokesprite/master/misc/types/gen8/bug.png",4,20,20)</f>
        <v/>
      </c>
      <c r="X225" s="4147"/>
      <c r="Y225" s="4189" t="s">
        <v>923</v>
      </c>
      <c r="Z225" s="4131"/>
      <c r="AA225" s="4132"/>
      <c r="AB225" s="4206" t="str">
        <f>IMAGE("https://raw.githubusercontent.com/msikma/pokesprite/master/misc/types/gen8/ground.png",4,20,20)</f>
        <v/>
      </c>
      <c r="AC225" s="4147"/>
      <c r="AD225" s="4140"/>
      <c r="AE225" s="4131"/>
      <c r="AF225" s="4131"/>
      <c r="AG225" s="4132"/>
      <c r="AH225" s="4133"/>
      <c r="AI225" s="3367"/>
    </row>
    <row r="226" ht="20.25" customHeight="1">
      <c r="A226" s="3361"/>
      <c r="B226" s="4127"/>
      <c r="C226" s="4128"/>
      <c r="D226" s="4129"/>
      <c r="E226" s="4186" t="s">
        <v>286</v>
      </c>
      <c r="F226" s="4187"/>
      <c r="G226" s="4204"/>
      <c r="H226" s="4205" t="str">
        <f>IMAGE("https://raw.githubusercontent.com/msikma/pokesprite/master/misc/types/gen8/ground.png",4,20,20)</f>
        <v/>
      </c>
      <c r="I226" s="4147"/>
      <c r="J226" s="4186" t="s">
        <v>223</v>
      </c>
      <c r="K226" s="4187"/>
      <c r="L226" s="4204"/>
      <c r="M226" s="4205" t="str">
        <f>IMAGE("https://raw.githubusercontent.com/msikma/pokesprite/master/misc/types/gen8/grass.png",4,20,20)</f>
        <v/>
      </c>
      <c r="N226" s="4147"/>
      <c r="O226" s="4186" t="s">
        <v>1071</v>
      </c>
      <c r="P226" s="4187"/>
      <c r="Q226" s="4204"/>
      <c r="R226" s="4205" t="str">
        <f>IMAGE("https://raw.githubusercontent.com/msikma/pokesprite/master/misc/types/gen8/normal.png",4,20,20)</f>
        <v/>
      </c>
      <c r="S226" s="4147"/>
      <c r="T226" s="4189" t="s">
        <v>374</v>
      </c>
      <c r="U226" s="4131"/>
      <c r="V226" s="4132"/>
      <c r="W226" s="4206" t="str">
        <f>IMAGE("https://raw.githubusercontent.com/msikma/pokesprite/master/misc/types/gen8/flying.png",4,20,20)</f>
        <v/>
      </c>
      <c r="X226" s="4147"/>
      <c r="Y226" s="4189" t="s">
        <v>727</v>
      </c>
      <c r="Z226" s="4131"/>
      <c r="AA226" s="4132"/>
      <c r="AB226" s="4206" t="str">
        <f>IMAGE("https://raw.githubusercontent.com/msikma/pokesprite/master/misc/types/gen8/poison.png",4,20,20)</f>
        <v/>
      </c>
      <c r="AC226" s="4147"/>
      <c r="AD226" s="4140"/>
      <c r="AE226" s="4131"/>
      <c r="AF226" s="4131"/>
      <c r="AG226" s="4132"/>
      <c r="AH226" s="4133"/>
      <c r="AI226" s="3367"/>
    </row>
    <row r="227" ht="21.0" customHeight="1">
      <c r="A227" s="3361"/>
      <c r="B227" s="4127"/>
      <c r="C227" s="4128"/>
      <c r="D227" s="4129"/>
      <c r="E227" s="4207" t="s">
        <v>287</v>
      </c>
      <c r="F227" s="4208"/>
      <c r="G227" s="4209"/>
      <c r="H227" s="4210" t="str">
        <f>IMAGE("https://raw.githubusercontent.com/msikma/pokesprite/master/misc/types/gen8/fire.png",4,20,20)</f>
        <v/>
      </c>
      <c r="I227" s="4211"/>
      <c r="J227" s="4207" t="s">
        <v>219</v>
      </c>
      <c r="K227" s="4208"/>
      <c r="L227" s="4209"/>
      <c r="M227" s="4210" t="str">
        <f>IMAGE("https://raw.githubusercontent.com/msikma/pokesprite/master/misc/types/gen8/water.png",4,20,20)</f>
        <v/>
      </c>
      <c r="N227" s="4211"/>
      <c r="O227" s="4207" t="s">
        <v>220</v>
      </c>
      <c r="P227" s="4208"/>
      <c r="Q227" s="4209"/>
      <c r="R227" s="4210" t="str">
        <f>IMAGE("https://raw.githubusercontent.com/msikma/pokesprite/master/misc/types/gen8/ice.png",4,20,20)</f>
        <v/>
      </c>
      <c r="S227" s="4211"/>
      <c r="T227" s="4212" t="s">
        <v>1072</v>
      </c>
      <c r="U227" s="4213"/>
      <c r="V227" s="4214"/>
      <c r="W227" s="4215" t="str">
        <f>IMAGE("https://raw.githubusercontent.com/msikma/pokesprite/master/misc/types/gen8/normal.png",4,20,20)</f>
        <v/>
      </c>
      <c r="X227" s="4211"/>
      <c r="Y227" s="4212" t="s">
        <v>1073</v>
      </c>
      <c r="Z227" s="4213"/>
      <c r="AA227" s="4214"/>
      <c r="AB227" s="4215" t="str">
        <f>IMAGE("https://raw.githubusercontent.com/msikma/pokesprite/master/misc/types/gen8/psychic.png",4,20,20)</f>
        <v/>
      </c>
      <c r="AC227" s="4211"/>
      <c r="AD227" s="4140"/>
      <c r="AE227" s="4131"/>
      <c r="AF227" s="4131"/>
      <c r="AG227" s="4132"/>
      <c r="AH227" s="4133"/>
      <c r="AI227" s="3367"/>
    </row>
    <row r="228" ht="3.0" customHeight="1">
      <c r="A228" s="3445"/>
      <c r="B228" s="4216"/>
      <c r="C228" s="4217"/>
      <c r="D228" s="4218"/>
      <c r="E228" s="4219"/>
      <c r="F228" s="4219"/>
      <c r="G228" s="4219"/>
      <c r="H228" s="4219"/>
      <c r="I228" s="4218"/>
      <c r="J228" s="4220"/>
      <c r="K228" s="4220"/>
      <c r="L228" s="4220"/>
      <c r="M228" s="4219"/>
      <c r="N228" s="4218"/>
      <c r="O228" s="4220"/>
      <c r="P228" s="4220"/>
      <c r="Q228" s="4220"/>
      <c r="R228" s="4219"/>
      <c r="S228" s="4219"/>
      <c r="T228" s="4219"/>
      <c r="U228" s="4219"/>
      <c r="V228" s="4219"/>
      <c r="W228" s="4219"/>
      <c r="X228" s="4218"/>
      <c r="Y228" s="4221"/>
      <c r="Z228" s="4222"/>
      <c r="AA228" s="4222"/>
      <c r="AB228" s="4223"/>
      <c r="AC228" s="4223"/>
      <c r="AD228" s="4223"/>
      <c r="AE228" s="4223"/>
      <c r="AF228" s="4223"/>
      <c r="AG228" s="4223"/>
      <c r="AH228" s="4224"/>
      <c r="AI228" s="3456"/>
    </row>
    <row r="229" ht="16.5" customHeight="1">
      <c r="A229" s="4085"/>
      <c r="B229" s="4225"/>
      <c r="C229" s="4226"/>
      <c r="D229" s="4227"/>
      <c r="E229" s="4228" t="s">
        <v>190</v>
      </c>
      <c r="F229" s="381"/>
      <c r="G229" s="382"/>
      <c r="H229" s="4229" t="s">
        <v>191</v>
      </c>
      <c r="I229" s="4230"/>
      <c r="J229" s="4228" t="s">
        <v>190</v>
      </c>
      <c r="K229" s="381"/>
      <c r="L229" s="382"/>
      <c r="M229" s="4229" t="s">
        <v>191</v>
      </c>
      <c r="N229" s="4230"/>
      <c r="O229" s="4228" t="s">
        <v>190</v>
      </c>
      <c r="P229" s="381"/>
      <c r="Q229" s="382"/>
      <c r="R229" s="4229" t="s">
        <v>191</v>
      </c>
      <c r="S229" s="4231"/>
      <c r="T229" s="4232" t="s">
        <v>190</v>
      </c>
      <c r="U229" s="381"/>
      <c r="V229" s="382"/>
      <c r="W229" s="4233" t="s">
        <v>191</v>
      </c>
      <c r="X229" s="4234"/>
      <c r="Y229" s="4232" t="s">
        <v>190</v>
      </c>
      <c r="Z229" s="381"/>
      <c r="AA229" s="382"/>
      <c r="AB229" s="4233" t="s">
        <v>191</v>
      </c>
      <c r="AC229" s="4235"/>
      <c r="AD229" s="4236"/>
      <c r="AE229" s="4237"/>
      <c r="AF229" s="4235"/>
      <c r="AG229" s="4235"/>
      <c r="AH229" s="4238"/>
      <c r="AI229" s="4098"/>
    </row>
    <row r="230" ht="16.5" customHeight="1">
      <c r="A230" s="4085"/>
      <c r="B230" s="4225"/>
      <c r="C230" s="4226"/>
      <c r="D230" s="4227"/>
      <c r="E230" s="4239" t="s">
        <v>192</v>
      </c>
      <c r="F230" s="4240">
        <f t="array" ref="F230">IFERROR(VLOOKUP(E217,Dex!$B$3:$N1022,8,FALSE),"")</f>
        <v>66</v>
      </c>
      <c r="G230" s="4241" t="str">
        <f t="array" ref="G230">IFERROR(VLOOKUP(F230,Dex!$P$22:$Q$276,2,FALSE),"")</f>
        <v/>
      </c>
      <c r="H230" s="4242"/>
      <c r="I230" s="4227"/>
      <c r="J230" s="4239" t="s">
        <v>192</v>
      </c>
      <c r="K230" s="4240">
        <f t="array" ref="K230">IFERROR(VLOOKUP(J217,Dex!$B$3:$N1022,8,FALSE),"")</f>
        <v>79</v>
      </c>
      <c r="L230" s="4241" t="str">
        <f t="array" ref="L230">IFERROR(VLOOKUP(K230,Dex!$P$22:$Q$276,2,FALSE),"")</f>
        <v/>
      </c>
      <c r="M230" s="4242"/>
      <c r="N230" s="4227"/>
      <c r="O230" s="4239" t="s">
        <v>192</v>
      </c>
      <c r="P230" s="4240">
        <f t="array" ref="P230">IFERROR(VLOOKUP(O217,Dex!$B$3:$N1022,8,FALSE),"")</f>
        <v>78</v>
      </c>
      <c r="Q230" s="4241" t="str">
        <f t="array" ref="Q230">IFERROR(VLOOKUP(P230,Dex!$P$22:$Q$276,2,FALSE),"")</f>
        <v/>
      </c>
      <c r="R230" s="4242"/>
      <c r="S230" s="4227"/>
      <c r="T230" s="4243" t="s">
        <v>192</v>
      </c>
      <c r="U230" s="4244">
        <f t="array" ref="U230">IFERROR(VLOOKUP(T217,Dex!$B$3:$N1022,8,FALSE),"")</f>
        <v>85</v>
      </c>
      <c r="V230" s="4245" t="str">
        <f t="array" ref="V230">IFERROR(VLOOKUP(U230,Dex!$P$22:$Q$276,2,FALSE),"")</f>
        <v/>
      </c>
      <c r="W230" s="4246"/>
      <c r="X230" s="4235"/>
      <c r="Y230" s="4243" t="s">
        <v>192</v>
      </c>
      <c r="Z230" s="4244">
        <f t="array" ref="Z230">IFERROR(VLOOKUP(Y217,Dex!$B$3:$N1022,8,FALSE),"")</f>
        <v>90</v>
      </c>
      <c r="AA230" s="4245" t="str">
        <f t="array" ref="AA230">IFERROR(VLOOKUP(Z230,Dex!$P$22:$Q$276,2,FALSE),"")</f>
        <v/>
      </c>
      <c r="AB230" s="4246"/>
      <c r="AC230" s="4235"/>
      <c r="AD230" s="4247"/>
      <c r="AE230" s="4247"/>
      <c r="AF230" s="4235"/>
      <c r="AG230" s="4235"/>
      <c r="AH230" s="4238"/>
      <c r="AI230" s="4098"/>
    </row>
    <row r="231" ht="16.5" customHeight="1">
      <c r="A231" s="4085"/>
      <c r="B231" s="4225"/>
      <c r="C231" s="4226"/>
      <c r="D231" s="4227"/>
      <c r="E231" s="4248" t="s">
        <v>193</v>
      </c>
      <c r="F231" s="4249">
        <f t="array" ref="F231">IFERROR(VLOOKUP(E217,Dex!$B$3:$N1022,9,FALSE),"")</f>
        <v>41</v>
      </c>
      <c r="G231" s="4250" t="str">
        <f t="array" ref="G231">IFERROR(VLOOKUP(F231,Dex!$P$22:$Q$276,2,FALSE),"")</f>
        <v/>
      </c>
      <c r="H231" s="4251"/>
      <c r="I231" s="4227"/>
      <c r="J231" s="4248" t="s">
        <v>193</v>
      </c>
      <c r="K231" s="4249">
        <f t="array" ref="K231">IFERROR(VLOOKUP(J217,Dex!$B$3:$N1022,9,FALSE),"")</f>
        <v>59</v>
      </c>
      <c r="L231" s="4250" t="str">
        <f t="array" ref="L231">IFERROR(VLOOKUP(K231,Dex!$P$22:$Q$276,2,FALSE),"")</f>
        <v/>
      </c>
      <c r="M231" s="4251"/>
      <c r="N231" s="4227"/>
      <c r="O231" s="4248" t="s">
        <v>193</v>
      </c>
      <c r="P231" s="4249">
        <f t="array" ref="P231">IFERROR(VLOOKUP(O217,Dex!$B$3:$N1022,9,FALSE),"")</f>
        <v>50</v>
      </c>
      <c r="Q231" s="4250" t="str">
        <f t="array" ref="Q231">IFERROR(VLOOKUP(P231,Dex!$P$22:$Q$276,2,FALSE),"")</f>
        <v/>
      </c>
      <c r="R231" s="4251"/>
      <c r="S231" s="4227"/>
      <c r="T231" s="4252" t="s">
        <v>193</v>
      </c>
      <c r="U231" s="4253">
        <f t="array" ref="U231">IFERROR(VLOOKUP(T217,Dex!$B$3:$N1022,9,FALSE),"")</f>
        <v>85</v>
      </c>
      <c r="V231" s="4254" t="str">
        <f t="array" ref="V231">IFERROR(VLOOKUP(U231,Dex!$P$22:$Q$276,2,FALSE),"")</f>
        <v/>
      </c>
      <c r="W231" s="4255"/>
      <c r="X231" s="4235"/>
      <c r="Y231" s="4252" t="s">
        <v>193</v>
      </c>
      <c r="Z231" s="4253">
        <f t="array" ref="Z231">IFERROR(VLOOKUP(Y217,Dex!$B$3:$N1022,9,FALSE),"")</f>
        <v>92</v>
      </c>
      <c r="AA231" s="4254" t="str">
        <f t="array" ref="AA231">IFERROR(VLOOKUP(Z231,Dex!$P$22:$Q$276,2,FALSE),"")</f>
        <v/>
      </c>
      <c r="AB231" s="4255"/>
      <c r="AC231" s="4235"/>
      <c r="AD231" s="4256"/>
      <c r="AE231" s="4257"/>
      <c r="AF231" s="4235"/>
      <c r="AG231" s="4235"/>
      <c r="AH231" s="4238"/>
      <c r="AI231" s="4098"/>
    </row>
    <row r="232" ht="16.5" customHeight="1">
      <c r="A232" s="4085"/>
      <c r="B232" s="4225"/>
      <c r="C232" s="4226"/>
      <c r="D232" s="4227"/>
      <c r="E232" s="4248" t="s">
        <v>194</v>
      </c>
      <c r="F232" s="4249">
        <f t="array" ref="F232">IFERROR(VLOOKUP(E217,Dex!$B$3:$N1022,10,FALSE),"")</f>
        <v>77</v>
      </c>
      <c r="G232" s="4250" t="str">
        <f t="array" ref="G232">IFERROR(VLOOKUP(F232,Dex!$P$22:$Q$276,2,FALSE),"")</f>
        <v/>
      </c>
      <c r="H232" s="4251"/>
      <c r="I232" s="4227"/>
      <c r="J232" s="4248" t="s">
        <v>194</v>
      </c>
      <c r="K232" s="4249">
        <f t="array" ref="K232">IFERROR(VLOOKUP(J217,Dex!$B$3:$N1022,10,FALSE),"")</f>
        <v>76</v>
      </c>
      <c r="L232" s="4250" t="str">
        <f t="array" ref="L232">IFERROR(VLOOKUP(K232,Dex!$P$22:$Q$276,2,FALSE),"")</f>
        <v/>
      </c>
      <c r="M232" s="4251"/>
      <c r="N232" s="4227"/>
      <c r="O232" s="4248" t="s">
        <v>194</v>
      </c>
      <c r="P232" s="4249">
        <f t="array" ref="P232">IFERROR(VLOOKUP(O217,Dex!$B$3:$N1022,10,FALSE),"")</f>
        <v>70</v>
      </c>
      <c r="Q232" s="4250" t="str">
        <f t="array" ref="Q232">IFERROR(VLOOKUP(P232,Dex!$P$22:$Q$276,2,FALSE),"")</f>
        <v/>
      </c>
      <c r="R232" s="4251"/>
      <c r="S232" s="4227"/>
      <c r="T232" s="4252" t="s">
        <v>194</v>
      </c>
      <c r="U232" s="4253">
        <f t="array" ref="U232">IFERROR(VLOOKUP(T217,Dex!$B$3:$N1022,10,FALSE),"")</f>
        <v>65</v>
      </c>
      <c r="V232" s="4254" t="str">
        <f t="array" ref="V232">IFERROR(VLOOKUP(U232,Dex!$P$22:$Q$276,2,FALSE),"")</f>
        <v/>
      </c>
      <c r="W232" s="4255"/>
      <c r="X232" s="4235"/>
      <c r="Y232" s="4252" t="s">
        <v>194</v>
      </c>
      <c r="Z232" s="4253">
        <f t="array" ref="Z232">IFERROR(VLOOKUP(Y217,Dex!$B$3:$N1022,10,FALSE),"")</f>
        <v>87</v>
      </c>
      <c r="AA232" s="4254" t="str">
        <f t="array" ref="AA232">IFERROR(VLOOKUP(Z232,Dex!$P$22:$Q$276,2,FALSE),"")</f>
        <v/>
      </c>
      <c r="AB232" s="4255"/>
      <c r="AC232" s="4235"/>
      <c r="AD232" s="4147"/>
      <c r="AE232" s="4147"/>
      <c r="AF232" s="4235"/>
      <c r="AG232" s="4235"/>
      <c r="AH232" s="4238"/>
      <c r="AI232" s="4098"/>
    </row>
    <row r="233" ht="16.5" customHeight="1">
      <c r="A233" s="4085"/>
      <c r="B233" s="4225"/>
      <c r="C233" s="4226"/>
      <c r="D233" s="4227"/>
      <c r="E233" s="4248" t="s">
        <v>195</v>
      </c>
      <c r="F233" s="4249">
        <f t="array" ref="F233">IFERROR(VLOOKUP(E217,Dex!$B$3:$N1022,11,FALSE),"")</f>
        <v>61</v>
      </c>
      <c r="G233" s="4250" t="str">
        <f t="array" ref="G233">IFERROR(VLOOKUP(F233,Dex!$P$22:$Q$276,2,FALSE),"")</f>
        <v/>
      </c>
      <c r="H233" s="4251"/>
      <c r="I233" s="4227"/>
      <c r="J233" s="4248" t="s">
        <v>195</v>
      </c>
      <c r="K233" s="4249">
        <f t="array" ref="K233">IFERROR(VLOOKUP(J217,Dex!$B$3:$N1022,11,FALSE),"")</f>
        <v>96</v>
      </c>
      <c r="L233" s="4250" t="str">
        <f t="array" ref="L233">IFERROR(VLOOKUP(K233,Dex!$P$22:$Q$276,2,FALSE),"")</f>
        <v/>
      </c>
      <c r="M233" s="4251"/>
      <c r="N233" s="4227"/>
      <c r="O233" s="4248" t="s">
        <v>195</v>
      </c>
      <c r="P233" s="4249">
        <f t="array" ref="P233">IFERROR(VLOOKUP(O217,Dex!$B$3:$N1022,11,FALSE),"")</f>
        <v>120</v>
      </c>
      <c r="Q233" s="4250" t="str">
        <f t="array" ref="Q233">IFERROR(VLOOKUP(P233,Dex!$P$22:$Q$276,2,FALSE),"")</f>
        <v/>
      </c>
      <c r="R233" s="4251"/>
      <c r="S233" s="4227"/>
      <c r="T233" s="4252" t="s">
        <v>195</v>
      </c>
      <c r="U233" s="4253">
        <f t="array" ref="U233">IFERROR(VLOOKUP(T217,Dex!$B$3:$N1022,11,FALSE),"")</f>
        <v>100</v>
      </c>
      <c r="V233" s="4254" t="str">
        <f t="array" ref="V233">IFERROR(VLOOKUP(U233,Dex!$P$22:$Q$276,2,FALSE),"")</f>
        <v/>
      </c>
      <c r="W233" s="4255"/>
      <c r="X233" s="4235"/>
      <c r="Y233" s="4252" t="s">
        <v>195</v>
      </c>
      <c r="Z233" s="4253">
        <f t="array" ref="Z233">IFERROR(VLOOKUP(Y217,Dex!$B$3:$N1022,11,FALSE),"")</f>
        <v>75</v>
      </c>
      <c r="AA233" s="4254" t="str">
        <f t="array" ref="AA233">IFERROR(VLOOKUP(Z233,Dex!$P$22:$Q$276,2,FALSE),"")</f>
        <v/>
      </c>
      <c r="AB233" s="4255"/>
      <c r="AC233" s="4235"/>
      <c r="AD233" s="4211"/>
      <c r="AE233" s="4147"/>
      <c r="AF233" s="4235"/>
      <c r="AG233" s="4235"/>
      <c r="AH233" s="4238"/>
      <c r="AI233" s="4098"/>
    </row>
    <row r="234" ht="16.5" customHeight="1">
      <c r="A234" s="4085"/>
      <c r="B234" s="4225"/>
      <c r="C234" s="4226"/>
      <c r="D234" s="4227"/>
      <c r="E234" s="4248" t="s">
        <v>196</v>
      </c>
      <c r="F234" s="4249">
        <f t="array" ref="F234">IFERROR(VLOOKUP(E217,Dex!$B$3:$N1022,12,FALSE),"")</f>
        <v>87</v>
      </c>
      <c r="G234" s="4250" t="str">
        <f t="array" ref="G234">IFERROR(VLOOKUP(F234,Dex!$P$22:$Q$276,2,FALSE),"")</f>
        <v/>
      </c>
      <c r="H234" s="4251"/>
      <c r="I234" s="4227"/>
      <c r="J234" s="4248" t="s">
        <v>196</v>
      </c>
      <c r="K234" s="4249">
        <f t="array" ref="K234">IFERROR(VLOOKUP(J217,Dex!$B$3:$N1022,12,FALSE),"")</f>
        <v>69</v>
      </c>
      <c r="L234" s="4250" t="str">
        <f t="array" ref="L234">IFERROR(VLOOKUP(K234,Dex!$P$22:$Q$276,2,FALSE),"")</f>
        <v/>
      </c>
      <c r="M234" s="4251"/>
      <c r="N234" s="4227"/>
      <c r="O234" s="4248" t="s">
        <v>196</v>
      </c>
      <c r="P234" s="4249">
        <f t="array" ref="P234">IFERROR(VLOOKUP(O217,Dex!$B$3:$N1022,12,FALSE),"")</f>
        <v>95</v>
      </c>
      <c r="Q234" s="4250" t="str">
        <f t="array" ref="Q234">IFERROR(VLOOKUP(P234,Dex!$P$22:$Q$276,2,FALSE),"")</f>
        <v/>
      </c>
      <c r="R234" s="4251"/>
      <c r="S234" s="4227"/>
      <c r="T234" s="4252" t="s">
        <v>196</v>
      </c>
      <c r="U234" s="4253">
        <f t="array" ref="U234">IFERROR(VLOOKUP(T217,Dex!$B$3:$N1022,12,FALSE),"")</f>
        <v>95</v>
      </c>
      <c r="V234" s="4254" t="str">
        <f t="array" ref="V234">IFERROR(VLOOKUP(U234,Dex!$P$22:$Q$276,2,FALSE),"")</f>
        <v/>
      </c>
      <c r="W234" s="4255"/>
      <c r="X234" s="4235"/>
      <c r="Y234" s="4252" t="s">
        <v>196</v>
      </c>
      <c r="Z234" s="4253">
        <f t="array" ref="Z234">IFERROR(VLOOKUP(Y217,Dex!$B$3:$N1022,12,FALSE),"")</f>
        <v>85</v>
      </c>
      <c r="AA234" s="4254" t="str">
        <f t="array" ref="AA234">IFERROR(VLOOKUP(Z234,Dex!$P$22:$Q$276,2,FALSE),"")</f>
        <v/>
      </c>
      <c r="AB234" s="4255"/>
      <c r="AC234" s="4235"/>
      <c r="AD234" s="4235"/>
      <c r="AE234" s="4211"/>
      <c r="AF234" s="4235"/>
      <c r="AG234" s="4235"/>
      <c r="AH234" s="4238"/>
      <c r="AI234" s="4098"/>
    </row>
    <row r="235" ht="16.5" customHeight="1">
      <c r="A235" s="4085"/>
      <c r="B235" s="4225"/>
      <c r="C235" s="1204" t="s">
        <v>436</v>
      </c>
      <c r="D235" s="4227"/>
      <c r="E235" s="4258" t="s">
        <v>197</v>
      </c>
      <c r="F235" s="4259">
        <f t="array" ref="F235">IFERROR(VLOOKUP(E217,Dex!$B$3:$N1022,13,FALSE),"")</f>
        <v>23</v>
      </c>
      <c r="G235" s="4260" t="str">
        <f t="array" ref="G235">IFERROR(VLOOKUP(F235,Dex!$P$22:$Q$276,2,FALSE),"")</f>
        <v/>
      </c>
      <c r="H235" s="4261"/>
      <c r="I235" s="4227"/>
      <c r="J235" s="4258" t="s">
        <v>197</v>
      </c>
      <c r="K235" s="4259">
        <f t="array" ref="K235">IFERROR(VLOOKUP(J217,Dex!$B$3:$N1022,13,FALSE),"")</f>
        <v>101</v>
      </c>
      <c r="L235" s="4260" t="str">
        <f t="array" ref="L235">IFERROR(VLOOKUP(K235,Dex!$P$22:$Q$276,2,FALSE),"")</f>
        <v/>
      </c>
      <c r="M235" s="4261"/>
      <c r="N235" s="4227"/>
      <c r="O235" s="4258" t="s">
        <v>197</v>
      </c>
      <c r="P235" s="4259">
        <f t="array" ref="P235">IFERROR(VLOOKUP(O217,Dex!$B$3:$N1022,13,FALSE),"")</f>
        <v>82</v>
      </c>
      <c r="Q235" s="4260" t="str">
        <f t="array" ref="Q235">IFERROR(VLOOKUP(P235,Dex!$P$22:$Q$276,2,FALSE),"")</f>
        <v/>
      </c>
      <c r="R235" s="4261"/>
      <c r="S235" s="4227"/>
      <c r="T235" s="4262" t="s">
        <v>197</v>
      </c>
      <c r="U235" s="4263">
        <f t="array" ref="U235">IFERROR(VLOOKUP(T217,Dex!$B$3:$N1022,13,FALSE),"")</f>
        <v>105</v>
      </c>
      <c r="V235" s="4264" t="str">
        <f t="array" ref="V235">IFERROR(VLOOKUP(U235,Dex!$P$22:$Q$276,2,FALSE),"")</f>
        <v/>
      </c>
      <c r="W235" s="4265"/>
      <c r="X235" s="4235"/>
      <c r="Y235" s="4262" t="s">
        <v>197</v>
      </c>
      <c r="Z235" s="4263">
        <f t="array" ref="Z235">IFERROR(VLOOKUP(Y217,Dex!$B$3:$N1022,13,FALSE),"")</f>
        <v>76</v>
      </c>
      <c r="AA235" s="4264" t="str">
        <f t="array" ref="AA235">IFERROR(VLOOKUP(Z235,Dex!$P$22:$Q$276,2,FALSE),"")</f>
        <v/>
      </c>
      <c r="AB235" s="4265"/>
      <c r="AC235" s="4235"/>
      <c r="AD235" s="4235"/>
      <c r="AE235" s="4235"/>
      <c r="AF235" s="4235"/>
      <c r="AG235" s="4235"/>
      <c r="AH235" s="4238"/>
      <c r="AI235" s="4098"/>
    </row>
    <row r="236" ht="16.5" customHeight="1">
      <c r="A236" s="4085"/>
      <c r="B236" s="4225"/>
      <c r="C236" s="1205" t="s">
        <v>566</v>
      </c>
      <c r="D236" s="4227"/>
      <c r="E236" s="4266" t="s">
        <v>198</v>
      </c>
      <c r="F236" s="405"/>
      <c r="G236" s="406"/>
      <c r="H236" s="4267">
        <v>29.0</v>
      </c>
      <c r="I236" s="4230"/>
      <c r="J236" s="4266" t="s">
        <v>198</v>
      </c>
      <c r="K236" s="405"/>
      <c r="L236" s="406"/>
      <c r="M236" s="4267">
        <v>81.0</v>
      </c>
      <c r="N236" s="4230"/>
      <c r="O236" s="4266" t="s">
        <v>198</v>
      </c>
      <c r="P236" s="405"/>
      <c r="Q236" s="406"/>
      <c r="R236" s="4267">
        <v>61.0</v>
      </c>
      <c r="S236" s="4227"/>
      <c r="T236" s="4268" t="s">
        <v>198</v>
      </c>
      <c r="U236" s="405"/>
      <c r="V236" s="406"/>
      <c r="W236" s="4269">
        <v>84.0</v>
      </c>
      <c r="X236" s="4234"/>
      <c r="Y236" s="4268" t="s">
        <v>198</v>
      </c>
      <c r="Z236" s="405"/>
      <c r="AA236" s="406"/>
      <c r="AB236" s="4269">
        <v>64.0</v>
      </c>
      <c r="AC236" s="4235"/>
      <c r="AD236" s="4235"/>
      <c r="AE236" s="4235"/>
      <c r="AF236" s="4235"/>
      <c r="AG236" s="4235"/>
      <c r="AH236" s="4238"/>
      <c r="AI236" s="4098"/>
    </row>
    <row r="237" ht="15.0" customHeight="1">
      <c r="A237" s="3361"/>
      <c r="B237" s="4270"/>
      <c r="C237" s="4271"/>
      <c r="D237" s="4272"/>
      <c r="E237" s="4273"/>
      <c r="F237" s="4273"/>
      <c r="G237" s="4273"/>
      <c r="H237" s="4273"/>
      <c r="I237" s="4274"/>
      <c r="J237" s="4275"/>
      <c r="K237" s="4275"/>
      <c r="L237" s="4275"/>
      <c r="M237" s="4273"/>
      <c r="N237" s="4274"/>
      <c r="O237" s="4275"/>
      <c r="P237" s="4275"/>
      <c r="Q237" s="4275"/>
      <c r="R237" s="4273"/>
      <c r="S237" s="4274"/>
      <c r="T237" s="4273"/>
      <c r="U237" s="4273"/>
      <c r="V237" s="4273"/>
      <c r="W237" s="4273"/>
      <c r="X237" s="4274"/>
      <c r="Y237" s="4275"/>
      <c r="Z237" s="4275"/>
      <c r="AA237" s="4275"/>
      <c r="AB237" s="4273"/>
      <c r="AC237" s="4272"/>
      <c r="AD237" s="4272"/>
      <c r="AE237" s="4272"/>
      <c r="AF237" s="4272"/>
      <c r="AG237" s="4272"/>
      <c r="AH237" s="4276"/>
      <c r="AI237" s="3367"/>
    </row>
    <row r="238" ht="15.0" customHeight="1">
      <c r="A238" s="3361"/>
      <c r="B238" s="3908"/>
      <c r="C238" s="3909"/>
      <c r="D238" s="3909"/>
      <c r="E238" s="4277"/>
      <c r="F238" s="4277"/>
      <c r="G238" s="4277"/>
      <c r="H238" s="4277"/>
      <c r="I238" s="3909"/>
      <c r="J238" s="4277"/>
      <c r="K238" s="4277"/>
      <c r="L238" s="4277"/>
      <c r="M238" s="4277"/>
      <c r="N238" s="3909"/>
      <c r="O238" s="4277"/>
      <c r="P238" s="4277"/>
      <c r="Q238" s="4277"/>
      <c r="R238" s="4277"/>
      <c r="S238" s="3909"/>
      <c r="T238" s="4277"/>
      <c r="U238" s="4277"/>
      <c r="V238" s="4277"/>
      <c r="W238" s="4277"/>
      <c r="X238" s="3909"/>
      <c r="Y238" s="3909"/>
      <c r="Z238" s="3909"/>
      <c r="AA238" s="3909"/>
      <c r="AB238" s="3909"/>
      <c r="AC238" s="3909"/>
      <c r="AD238" s="3909"/>
      <c r="AE238" s="3909"/>
      <c r="AF238" s="3909"/>
      <c r="AG238" s="3909"/>
      <c r="AH238" s="3910"/>
      <c r="AI238" s="3367"/>
    </row>
    <row r="239" ht="96.75" customHeight="1">
      <c r="A239" s="3361"/>
      <c r="B239" s="3911"/>
      <c r="C239" s="3912" t="str">
        <f>IMAGE("https://i.ibb.co/LSRVQF1/Picnicker.png")</f>
        <v/>
      </c>
      <c r="D239" s="4278"/>
      <c r="E239" s="4279" t="str">
        <f t="array" ref="E239">IFERROR(VLOOKUP(E240,Dex!$B$3:$G1022,3,FALSE),"")</f>
        <v/>
      </c>
      <c r="F239" s="381"/>
      <c r="G239" s="381"/>
      <c r="H239" s="4280"/>
      <c r="I239" s="4281"/>
      <c r="J239" s="4279" t="str">
        <f t="array" ref="J239">IFERROR(VLOOKUP(J240,Dex!$B$3:$G1022,3,FALSE),"")</f>
        <v/>
      </c>
      <c r="K239" s="381"/>
      <c r="L239" s="381"/>
      <c r="M239" s="4280"/>
      <c r="N239" s="4281"/>
      <c r="O239" s="4279" t="str">
        <f t="array" ref="O239">IFERROR(VLOOKUP(O240,Dex!$B$3:$G1022,3,FALSE),"")</f>
        <v/>
      </c>
      <c r="P239" s="381"/>
      <c r="Q239" s="381"/>
      <c r="R239" s="4280"/>
      <c r="S239" s="4282"/>
      <c r="T239" s="4279" t="str">
        <f t="array" ref="T239">IFERROR(VLOOKUP(T240,Dex!$B$3:$G1022,3,FALSE),"")</f>
        <v/>
      </c>
      <c r="U239" s="381"/>
      <c r="V239" s="381"/>
      <c r="W239" s="4280"/>
      <c r="X239" s="4283"/>
      <c r="Y239" s="3917"/>
      <c r="Z239" s="3918"/>
      <c r="AA239" s="3918"/>
      <c r="AB239" s="3919"/>
      <c r="AC239" s="3916"/>
      <c r="AD239" s="3917"/>
      <c r="AE239" s="3918"/>
      <c r="AF239" s="3918"/>
      <c r="AG239" s="3919"/>
      <c r="AH239" s="3920"/>
      <c r="AI239" s="3367"/>
    </row>
    <row r="240" ht="18.75" customHeight="1">
      <c r="A240" s="3621"/>
      <c r="B240" s="3921"/>
      <c r="C240" s="3922" t="s">
        <v>1074</v>
      </c>
      <c r="D240" s="4284"/>
      <c r="E240" s="3924" t="s">
        <v>1075</v>
      </c>
      <c r="F240" s="3925"/>
      <c r="G240" s="3925"/>
      <c r="H240" s="3926"/>
      <c r="J240" s="3924" t="s">
        <v>1076</v>
      </c>
      <c r="K240" s="3925"/>
      <c r="L240" s="3925"/>
      <c r="M240" s="3926"/>
      <c r="O240" s="3924" t="s">
        <v>1077</v>
      </c>
      <c r="P240" s="3925"/>
      <c r="Q240" s="3925"/>
      <c r="R240" s="3926"/>
      <c r="T240" s="3924" t="s">
        <v>1078</v>
      </c>
      <c r="U240" s="3925"/>
      <c r="V240" s="3925"/>
      <c r="W240" s="3926"/>
      <c r="X240" s="4285"/>
      <c r="Y240" s="3928"/>
      <c r="Z240" s="3918"/>
      <c r="AA240" s="3918"/>
      <c r="AB240" s="3919"/>
      <c r="AC240" s="3927"/>
      <c r="AD240" s="3928"/>
      <c r="AE240" s="3918"/>
      <c r="AF240" s="3918"/>
      <c r="AG240" s="3919"/>
      <c r="AH240" s="3929"/>
      <c r="AI240" s="3631"/>
    </row>
    <row r="241">
      <c r="A241" s="3632"/>
      <c r="B241" s="3930"/>
      <c r="C241" s="1481"/>
      <c r="D241" s="4286"/>
      <c r="E241" s="3932" t="s">
        <v>420</v>
      </c>
      <c r="F241" s="3933"/>
      <c r="G241" s="3933"/>
      <c r="H241" s="3934"/>
      <c r="J241" s="3932" t="s">
        <v>420</v>
      </c>
      <c r="K241" s="3933"/>
      <c r="L241" s="3933"/>
      <c r="M241" s="3934"/>
      <c r="O241" s="3932" t="s">
        <v>715</v>
      </c>
      <c r="P241" s="3933"/>
      <c r="Q241" s="3933"/>
      <c r="R241" s="3934"/>
      <c r="T241" s="3932" t="s">
        <v>715</v>
      </c>
      <c r="U241" s="3933"/>
      <c r="V241" s="3933"/>
      <c r="W241" s="3934"/>
      <c r="X241" s="4285"/>
      <c r="Y241" s="3935"/>
      <c r="Z241" s="3918"/>
      <c r="AA241" s="3918"/>
      <c r="AB241" s="3919"/>
      <c r="AC241" s="3927"/>
      <c r="AD241" s="3935"/>
      <c r="AE241" s="3918"/>
      <c r="AF241" s="3918"/>
      <c r="AG241" s="3919"/>
      <c r="AH241" s="3936"/>
      <c r="AI241" s="3640"/>
    </row>
    <row r="242" ht="25.5" customHeight="1">
      <c r="A242" s="3361"/>
      <c r="B242" s="3911"/>
      <c r="C242" s="1489"/>
      <c r="D242" s="3937"/>
      <c r="E242" s="3938"/>
      <c r="F242" s="3939" t="str">
        <f t="array" ref="F242">IFERROR(VLOOKUP(E240,Dex!$B$3:$H1022,5,FALSE),"")</f>
        <v/>
      </c>
      <c r="G242" s="3940"/>
      <c r="H242" s="3941"/>
      <c r="J242" s="3938"/>
      <c r="K242" s="3939" t="str">
        <f t="array" ref="K242">IFERROR(VLOOKUP(J240,Dex!$B$3:$H1022,5,FALSE),"")</f>
        <v/>
      </c>
      <c r="L242" s="3940"/>
      <c r="M242" s="3941"/>
      <c r="O242" s="3938"/>
      <c r="P242" s="3942" t="str">
        <f t="array" ref="P242">IFERROR(VLOOKUP(O240,Dex!$B$3:$H1022,5,FALSE),"")</f>
        <v/>
      </c>
      <c r="Q242" s="3943" t="str">
        <f t="array" ref="Q242">IFERROR(VLOOKUP(O240,Dex!$B$3:$H1022,7,FALSE),"")</f>
        <v/>
      </c>
      <c r="R242" s="3941"/>
      <c r="T242" s="3938"/>
      <c r="U242" s="3939" t="str">
        <f t="array" ref="U242">IFERROR(VLOOKUP(T240,Dex!$B$3:$H1022,5,FALSE),"")</f>
        <v/>
      </c>
      <c r="V242" s="3940"/>
      <c r="W242" s="3941"/>
      <c r="X242" s="4285"/>
      <c r="Y242" s="3917"/>
      <c r="Z242" s="3918"/>
      <c r="AA242" s="3918"/>
      <c r="AB242" s="3919"/>
      <c r="AC242" s="3927"/>
      <c r="AD242" s="3917"/>
      <c r="AE242" s="3918"/>
      <c r="AF242" s="3918"/>
      <c r="AG242" s="3919"/>
      <c r="AH242" s="3920"/>
      <c r="AI242" s="3367"/>
    </row>
    <row r="243" ht="2.25" customHeight="1">
      <c r="A243" s="3361"/>
      <c r="B243" s="3911"/>
      <c r="C243" s="3944"/>
      <c r="D243" s="3937"/>
      <c r="E243" s="3945"/>
      <c r="F243" s="3946"/>
      <c r="G243" s="3946"/>
      <c r="H243" s="3947"/>
      <c r="J243" s="3945"/>
      <c r="K243" s="3946"/>
      <c r="L243" s="3946"/>
      <c r="M243" s="3947"/>
      <c r="O243" s="3945"/>
      <c r="P243" s="3946"/>
      <c r="Q243" s="3946"/>
      <c r="R243" s="3947"/>
      <c r="T243" s="3945"/>
      <c r="U243" s="3946"/>
      <c r="V243" s="3946"/>
      <c r="W243" s="3947"/>
      <c r="X243" s="4285"/>
      <c r="Y243" s="3937"/>
      <c r="Z243" s="3937"/>
      <c r="AA243" s="3937"/>
      <c r="AB243" s="3937"/>
      <c r="AC243" s="3927"/>
      <c r="AD243" s="3937"/>
      <c r="AE243" s="3937"/>
      <c r="AF243" s="3937"/>
      <c r="AG243" s="3937"/>
      <c r="AH243" s="3920"/>
      <c r="AI243" s="3367"/>
    </row>
    <row r="244" ht="20.25" customHeight="1">
      <c r="A244" s="3361"/>
      <c r="B244" s="3911"/>
      <c r="C244" s="3944"/>
      <c r="D244" s="3917"/>
      <c r="E244" s="3948" t="s">
        <v>172</v>
      </c>
      <c r="F244" s="3949"/>
      <c r="G244" s="3949"/>
      <c r="H244" s="3950"/>
      <c r="J244" s="3948" t="s">
        <v>172</v>
      </c>
      <c r="K244" s="3949"/>
      <c r="L244" s="3949"/>
      <c r="M244" s="3950"/>
      <c r="O244" s="3948" t="s">
        <v>171</v>
      </c>
      <c r="P244" s="3949"/>
      <c r="Q244" s="3949"/>
      <c r="R244" s="3950"/>
      <c r="T244" s="3948" t="s">
        <v>171</v>
      </c>
      <c r="U244" s="3949"/>
      <c r="V244" s="3949"/>
      <c r="W244" s="3950"/>
      <c r="X244" s="4285"/>
      <c r="Y244" s="3917"/>
      <c r="Z244" s="3918"/>
      <c r="AA244" s="3918"/>
      <c r="AB244" s="3919"/>
      <c r="AC244" s="3927"/>
      <c r="AD244" s="3917"/>
      <c r="AE244" s="3918"/>
      <c r="AF244" s="3918"/>
      <c r="AG244" s="3919"/>
      <c r="AH244" s="3920"/>
      <c r="AI244" s="3367"/>
    </row>
    <row r="245" ht="20.25" customHeight="1">
      <c r="A245" s="3361"/>
      <c r="B245" s="3911"/>
      <c r="C245" s="3951"/>
      <c r="D245" s="3917"/>
      <c r="E245" s="3952" t="s">
        <v>1079</v>
      </c>
      <c r="F245" s="3918"/>
      <c r="G245" s="3918"/>
      <c r="H245" s="3953"/>
      <c r="J245" s="3952" t="s">
        <v>1080</v>
      </c>
      <c r="K245" s="3918"/>
      <c r="L245" s="3918"/>
      <c r="M245" s="3953"/>
      <c r="O245" s="3952" t="s">
        <v>598</v>
      </c>
      <c r="P245" s="3918"/>
      <c r="Q245" s="3918"/>
      <c r="R245" s="3953"/>
      <c r="T245" s="3952" t="s">
        <v>1002</v>
      </c>
      <c r="U245" s="3918"/>
      <c r="V245" s="3918"/>
      <c r="W245" s="3953"/>
      <c r="X245" s="4285"/>
      <c r="Y245" s="3917"/>
      <c r="Z245" s="3918"/>
      <c r="AA245" s="3918"/>
      <c r="AB245" s="3919"/>
      <c r="AC245" s="3927"/>
      <c r="AD245" s="3917"/>
      <c r="AE245" s="3918"/>
      <c r="AF245" s="3918"/>
      <c r="AG245" s="3919"/>
      <c r="AH245" s="3920"/>
      <c r="AI245" s="3367"/>
    </row>
    <row r="246" ht="20.25" customHeight="1">
      <c r="A246" s="3361"/>
      <c r="B246" s="3911"/>
      <c r="C246" s="3927"/>
      <c r="D246" s="3917"/>
      <c r="E246" s="3954" t="s">
        <v>335</v>
      </c>
      <c r="F246" s="3955"/>
      <c r="G246" s="3956"/>
      <c r="H246" s="3957" t="str">
        <f>IMAGE("https://raw.githubusercontent.com/msikma/pokesprite/master/items/hold-item/choice-scarf.png",3)</f>
        <v/>
      </c>
      <c r="J246" s="3954" t="s">
        <v>679</v>
      </c>
      <c r="K246" s="3955"/>
      <c r="L246" s="3956"/>
      <c r="M246" s="4287" t="s">
        <v>680</v>
      </c>
      <c r="O246" s="3954" t="s">
        <v>211</v>
      </c>
      <c r="P246" s="3955"/>
      <c r="Q246" s="3956"/>
      <c r="R246" s="3957" t="str">
        <f>IMAGE("https://raw.githubusercontent.com/msikma/pokesprite/master/items/hold-item/eviolite.png",3)</f>
        <v/>
      </c>
      <c r="T246" s="3954" t="s">
        <v>240</v>
      </c>
      <c r="U246" s="3955"/>
      <c r="V246" s="3956"/>
      <c r="W246" s="3957" t="str">
        <f>IMAGE("https://raw.githubusercontent.com/msikma/pokesprite/master/items/hold-item/focus-sash.png",3)</f>
        <v/>
      </c>
      <c r="X246" s="4285"/>
      <c r="Y246" s="3917"/>
      <c r="Z246" s="3918"/>
      <c r="AA246" s="3918"/>
      <c r="AB246" s="3919"/>
      <c r="AC246" s="3927"/>
      <c r="AD246" s="3917"/>
      <c r="AE246" s="3918"/>
      <c r="AF246" s="3918"/>
      <c r="AG246" s="3919"/>
      <c r="AH246" s="3920"/>
      <c r="AI246" s="3367"/>
    </row>
    <row r="247" ht="20.25" customHeight="1">
      <c r="A247" s="3361"/>
      <c r="B247" s="3911"/>
      <c r="C247" s="3958"/>
      <c r="D247" s="3917"/>
      <c r="E247" s="3948" t="s">
        <v>1081</v>
      </c>
      <c r="F247" s="3949"/>
      <c r="G247" s="3959"/>
      <c r="H247" s="3960" t="str">
        <f>IMAGE("https://raw.githubusercontent.com/msikma/pokesprite/master/misc/types/gen8/fire.png",4,20,20)</f>
        <v/>
      </c>
      <c r="J247" s="3948" t="s">
        <v>1082</v>
      </c>
      <c r="K247" s="3949"/>
      <c r="L247" s="3959"/>
      <c r="M247" s="3960" t="str">
        <f>IMAGE("https://raw.githubusercontent.com/msikma/pokesprite/master/misc/types/gen8/normal.png",4,20,20)</f>
        <v/>
      </c>
      <c r="O247" s="3948" t="s">
        <v>1082</v>
      </c>
      <c r="P247" s="3949"/>
      <c r="Q247" s="3959"/>
      <c r="R247" s="3960" t="str">
        <f>IMAGE("https://raw.githubusercontent.com/msikma/pokesprite/master/misc/types/gen8/normal.png",4,20,20)</f>
        <v/>
      </c>
      <c r="T247" s="3948" t="s">
        <v>1082</v>
      </c>
      <c r="U247" s="3949"/>
      <c r="V247" s="3959"/>
      <c r="W247" s="3960" t="str">
        <f>IMAGE("https://raw.githubusercontent.com/msikma/pokesprite/master/misc/types/gen8/normal.png",4,20,20)</f>
        <v/>
      </c>
      <c r="X247" s="4285"/>
      <c r="Y247" s="3917"/>
      <c r="Z247" s="3918"/>
      <c r="AA247" s="3918"/>
      <c r="AB247" s="3919"/>
      <c r="AC247" s="3927"/>
      <c r="AD247" s="3917"/>
      <c r="AE247" s="3918"/>
      <c r="AF247" s="3918"/>
      <c r="AG247" s="3919"/>
      <c r="AH247" s="3920"/>
      <c r="AI247" s="3367"/>
    </row>
    <row r="248" ht="20.25" customHeight="1">
      <c r="A248" s="3361"/>
      <c r="B248" s="3911"/>
      <c r="C248" s="3944"/>
      <c r="D248" s="3917"/>
      <c r="E248" s="3952" t="s">
        <v>1083</v>
      </c>
      <c r="F248" s="3918"/>
      <c r="G248" s="3919"/>
      <c r="H248" s="3961" t="str">
        <f>IMAGE("https://raw.githubusercontent.com/msikma/pokesprite/master/misc/types/gen8/flying.png",4,20,20)</f>
        <v/>
      </c>
      <c r="J248" s="3952" t="s">
        <v>188</v>
      </c>
      <c r="K248" s="3918"/>
      <c r="L248" s="3918"/>
      <c r="M248" s="3953"/>
      <c r="O248" s="3952" t="s">
        <v>188</v>
      </c>
      <c r="P248" s="3918"/>
      <c r="Q248" s="3918"/>
      <c r="R248" s="3953"/>
      <c r="T248" s="3952" t="s">
        <v>188</v>
      </c>
      <c r="U248" s="3918"/>
      <c r="V248" s="3918"/>
      <c r="W248" s="3953"/>
      <c r="X248" s="4285"/>
      <c r="Y248" s="3917"/>
      <c r="Z248" s="3918"/>
      <c r="AA248" s="3918"/>
      <c r="AB248" s="3919"/>
      <c r="AC248" s="3927"/>
      <c r="AD248" s="3917"/>
      <c r="AE248" s="3918"/>
      <c r="AF248" s="3918"/>
      <c r="AG248" s="3919"/>
      <c r="AH248" s="3920"/>
      <c r="AI248" s="3367"/>
    </row>
    <row r="249" ht="20.25" customHeight="1">
      <c r="A249" s="3361"/>
      <c r="B249" s="3911"/>
      <c r="C249" s="3944"/>
      <c r="D249" s="3917"/>
      <c r="E249" s="3952" t="s">
        <v>1084</v>
      </c>
      <c r="F249" s="3918"/>
      <c r="G249" s="3919"/>
      <c r="H249" s="3961" t="str">
        <f>IMAGE("https://raw.githubusercontent.com/msikma/pokesprite/master/misc/types/gen8/psychic.png",4,20,20)</f>
        <v/>
      </c>
      <c r="J249" s="3952" t="s">
        <v>188</v>
      </c>
      <c r="K249" s="3918"/>
      <c r="L249" s="3918"/>
      <c r="M249" s="3953"/>
      <c r="O249" s="3952" t="s">
        <v>188</v>
      </c>
      <c r="P249" s="3918"/>
      <c r="Q249" s="3918"/>
      <c r="R249" s="3953"/>
      <c r="T249" s="3952" t="s">
        <v>188</v>
      </c>
      <c r="U249" s="3918"/>
      <c r="V249" s="3918"/>
      <c r="W249" s="3953"/>
      <c r="X249" s="4285"/>
      <c r="Y249" s="3917"/>
      <c r="Z249" s="3918"/>
      <c r="AA249" s="3918"/>
      <c r="AB249" s="3919"/>
      <c r="AC249" s="3927"/>
      <c r="AD249" s="3917"/>
      <c r="AE249" s="3918"/>
      <c r="AF249" s="3918"/>
      <c r="AG249" s="3919"/>
      <c r="AH249" s="3920"/>
      <c r="AI249" s="3367"/>
    </row>
    <row r="250" ht="21.0" customHeight="1">
      <c r="A250" s="3361"/>
      <c r="B250" s="3911"/>
      <c r="C250" s="3944"/>
      <c r="D250" s="3917"/>
      <c r="E250" s="3962" t="s">
        <v>316</v>
      </c>
      <c r="F250" s="3963"/>
      <c r="G250" s="3964"/>
      <c r="H250" s="3965" t="str">
        <f>IMAGE("https://raw.githubusercontent.com/msikma/pokesprite/master/misc/types/gen8/fighting.png",4,20,20)</f>
        <v/>
      </c>
      <c r="I250" s="4288"/>
      <c r="J250" s="3962" t="s">
        <v>188</v>
      </c>
      <c r="K250" s="3963"/>
      <c r="L250" s="3963"/>
      <c r="M250" s="4289"/>
      <c r="N250" s="4288"/>
      <c r="O250" s="3962" t="s">
        <v>188</v>
      </c>
      <c r="P250" s="3963"/>
      <c r="Q250" s="3963"/>
      <c r="R250" s="4289"/>
      <c r="S250" s="4288"/>
      <c r="T250" s="3962" t="s">
        <v>188</v>
      </c>
      <c r="U250" s="3963"/>
      <c r="V250" s="3963"/>
      <c r="W250" s="4289"/>
      <c r="X250" s="4290"/>
      <c r="Y250" s="3917"/>
      <c r="Z250" s="3918"/>
      <c r="AA250" s="3918"/>
      <c r="AB250" s="3919"/>
      <c r="AC250" s="3958"/>
      <c r="AD250" s="3917"/>
      <c r="AE250" s="3918"/>
      <c r="AF250" s="3918"/>
      <c r="AG250" s="3919"/>
      <c r="AH250" s="3920"/>
      <c r="AI250" s="3367"/>
    </row>
    <row r="251" ht="3.0" customHeight="1">
      <c r="A251" s="3445"/>
      <c r="B251" s="3966"/>
      <c r="C251" s="3967"/>
      <c r="D251" s="3968"/>
      <c r="E251" s="4291"/>
      <c r="F251" s="4291"/>
      <c r="G251" s="4291"/>
      <c r="H251" s="3969"/>
      <c r="I251" s="3968"/>
      <c r="J251" s="4292"/>
      <c r="K251" s="4292"/>
      <c r="L251" s="4292"/>
      <c r="M251" s="3969"/>
      <c r="N251" s="3968"/>
      <c r="O251" s="4292"/>
      <c r="P251" s="4292"/>
      <c r="Q251" s="4292"/>
      <c r="R251" s="3969"/>
      <c r="S251" s="3969"/>
      <c r="T251" s="4292"/>
      <c r="U251" s="4292"/>
      <c r="V251" s="4292"/>
      <c r="W251" s="3969"/>
      <c r="X251" s="3968"/>
      <c r="Y251" s="3968"/>
      <c r="Z251" s="3971"/>
      <c r="AA251" s="3971"/>
      <c r="AB251" s="3972"/>
      <c r="AC251" s="3972"/>
      <c r="AD251" s="3972"/>
      <c r="AE251" s="3972"/>
      <c r="AF251" s="3972"/>
      <c r="AG251" s="3972"/>
      <c r="AH251" s="3973"/>
      <c r="AI251" s="3456"/>
    </row>
    <row r="252" ht="16.5" customHeight="1">
      <c r="A252" s="3457"/>
      <c r="B252" s="3974"/>
      <c r="C252" s="3967"/>
      <c r="D252" s="3975"/>
      <c r="E252" s="3976" t="s">
        <v>190</v>
      </c>
      <c r="F252" s="381"/>
      <c r="G252" s="382"/>
      <c r="H252" s="3977" t="s">
        <v>191</v>
      </c>
      <c r="I252" s="3978"/>
      <c r="J252" s="3976" t="s">
        <v>190</v>
      </c>
      <c r="K252" s="381"/>
      <c r="L252" s="382"/>
      <c r="M252" s="3977" t="s">
        <v>191</v>
      </c>
      <c r="N252" s="3978"/>
      <c r="O252" s="3976" t="s">
        <v>190</v>
      </c>
      <c r="P252" s="381"/>
      <c r="Q252" s="382"/>
      <c r="R252" s="3977" t="s">
        <v>191</v>
      </c>
      <c r="S252" s="4293"/>
      <c r="T252" s="3976" t="s">
        <v>190</v>
      </c>
      <c r="U252" s="381"/>
      <c r="V252" s="382"/>
      <c r="W252" s="3977" t="s">
        <v>191</v>
      </c>
      <c r="X252" s="3981"/>
      <c r="Y252" s="3981"/>
      <c r="Z252" s="3975"/>
      <c r="AA252" s="3975"/>
      <c r="AB252" s="3981"/>
      <c r="AC252" s="3981"/>
      <c r="AD252" s="3981"/>
      <c r="AE252" s="3981"/>
      <c r="AF252" s="3981"/>
      <c r="AG252" s="3981"/>
      <c r="AH252" s="3982"/>
      <c r="AI252" s="3466"/>
    </row>
    <row r="253" ht="16.5" customHeight="1">
      <c r="A253" s="3457"/>
      <c r="B253" s="3974"/>
      <c r="C253" s="3967"/>
      <c r="D253" s="3975"/>
      <c r="E253" s="3983" t="s">
        <v>192</v>
      </c>
      <c r="F253" s="3984">
        <f t="array" ref="F253">IFERROR(VLOOKUP(E240,Dex!$B$3:$N1022,8,FALSE),"")</f>
        <v>55</v>
      </c>
      <c r="G253" s="3985" t="str">
        <f t="array" ref="G253">IFERROR(VLOOKUP(F253,Dex!$P$22:$Q$276,2,FALSE),"")</f>
        <v/>
      </c>
      <c r="H253" s="3986"/>
      <c r="I253" s="3975"/>
      <c r="J253" s="3983" t="s">
        <v>192</v>
      </c>
      <c r="K253" s="3984">
        <f t="array" ref="K253">IFERROR(VLOOKUP(J240,Dex!$B$3:$N1022,8,FALSE),"")</f>
        <v>80</v>
      </c>
      <c r="L253" s="3985" t="str">
        <f t="array" ref="L253">IFERROR(VLOOKUP(K253,Dex!$P$22:$Q$276,2,FALSE),"")</f>
        <v/>
      </c>
      <c r="M253" s="3986"/>
      <c r="N253" s="3975"/>
      <c r="O253" s="3983" t="s">
        <v>192</v>
      </c>
      <c r="P253" s="3984">
        <f t="array" ref="P253">IFERROR(VLOOKUP(O240,Dex!$B$3:$N1022,8,FALSE),"")</f>
        <v>55</v>
      </c>
      <c r="Q253" s="3985" t="str">
        <f t="array" ref="Q253">IFERROR(VLOOKUP(P253,Dex!$P$22:$Q$276,2,FALSE),"")</f>
        <v/>
      </c>
      <c r="R253" s="3986"/>
      <c r="S253" s="3987"/>
      <c r="T253" s="3983" t="s">
        <v>192</v>
      </c>
      <c r="U253" s="3984">
        <f t="array" ref="U253">IFERROR(VLOOKUP(T240,Dex!$B$3:$N1022,8,FALSE),"")</f>
        <v>64</v>
      </c>
      <c r="V253" s="3985" t="str">
        <f t="array" ref="V253">IFERROR(VLOOKUP(U253,Dex!$P$22:$Q$276,2,FALSE),"")</f>
        <v/>
      </c>
      <c r="W253" s="3986"/>
      <c r="X253" s="3981"/>
      <c r="Y253" s="3981"/>
      <c r="Z253" s="3975"/>
      <c r="AA253" s="3975"/>
      <c r="AB253" s="3981"/>
      <c r="AC253" s="3981"/>
      <c r="AD253" s="3981"/>
      <c r="AE253" s="3981"/>
      <c r="AF253" s="3981"/>
      <c r="AG253" s="3981"/>
      <c r="AH253" s="3982"/>
      <c r="AI253" s="3466"/>
    </row>
    <row r="254" ht="16.5" customHeight="1">
      <c r="A254" s="3457"/>
      <c r="B254" s="3974"/>
      <c r="C254" s="3967"/>
      <c r="D254" s="3975"/>
      <c r="E254" s="3989" t="s">
        <v>193</v>
      </c>
      <c r="F254" s="3990">
        <f t="array" ref="F254">IFERROR(VLOOKUP(E240,Dex!$B$3:$N1022,9,FALSE),"")</f>
        <v>20</v>
      </c>
      <c r="G254" s="3991" t="str">
        <f t="array" ref="G254">IFERROR(VLOOKUP(F254,Dex!$P$22:$Q$276,2,FALSE),"")</f>
        <v/>
      </c>
      <c r="H254" s="3992"/>
      <c r="I254" s="3975"/>
      <c r="J254" s="3989" t="s">
        <v>193</v>
      </c>
      <c r="K254" s="3990">
        <f t="array" ref="K254">IFERROR(VLOOKUP(J240,Dex!$B$3:$N1022,9,FALSE),"")</f>
        <v>80</v>
      </c>
      <c r="L254" s="3991" t="str">
        <f t="array" ref="L254">IFERROR(VLOOKUP(K254,Dex!$P$22:$Q$276,2,FALSE),"")</f>
        <v/>
      </c>
      <c r="M254" s="3992"/>
      <c r="N254" s="3975"/>
      <c r="O254" s="3989" t="s">
        <v>193</v>
      </c>
      <c r="P254" s="3990">
        <f t="array" ref="P254">IFERROR(VLOOKUP(O240,Dex!$B$3:$N1022,9,FALSE),"")</f>
        <v>95</v>
      </c>
      <c r="Q254" s="3991" t="str">
        <f t="array" ref="Q254">IFERROR(VLOOKUP(P254,Dex!$P$22:$Q$276,2,FALSE),"")</f>
        <v/>
      </c>
      <c r="R254" s="3992"/>
      <c r="S254" s="3987"/>
      <c r="T254" s="3989" t="s">
        <v>193</v>
      </c>
      <c r="U254" s="3990">
        <f t="array" ref="U254">IFERROR(VLOOKUP(T240,Dex!$B$3:$N1022,9,FALSE),"")</f>
        <v>98</v>
      </c>
      <c r="V254" s="3991" t="str">
        <f t="array" ref="V254">IFERROR(VLOOKUP(U254,Dex!$P$22:$Q$276,2,FALSE),"")</f>
        <v/>
      </c>
      <c r="W254" s="3992"/>
      <c r="X254" s="3981"/>
      <c r="Y254" s="3981"/>
      <c r="Z254" s="3975"/>
      <c r="AA254" s="3975"/>
      <c r="AB254" s="3981"/>
      <c r="AC254" s="3981"/>
      <c r="AD254" s="3981"/>
      <c r="AE254" s="3981"/>
      <c r="AF254" s="3981"/>
      <c r="AG254" s="3981"/>
      <c r="AH254" s="3982"/>
      <c r="AI254" s="3466"/>
    </row>
    <row r="255" ht="16.5" customHeight="1">
      <c r="A255" s="3457"/>
      <c r="B255" s="3974"/>
      <c r="C255" s="3967"/>
      <c r="D255" s="3975"/>
      <c r="E255" s="3989" t="s">
        <v>194</v>
      </c>
      <c r="F255" s="3990">
        <f t="array" ref="F255">IFERROR(VLOOKUP(E240,Dex!$B$3:$N1022,10,FALSE),"")</f>
        <v>35</v>
      </c>
      <c r="G255" s="3991" t="str">
        <f t="array" ref="G255">IFERROR(VLOOKUP(F255,Dex!$P$22:$Q$276,2,FALSE),"")</f>
        <v/>
      </c>
      <c r="H255" s="3992"/>
      <c r="I255" s="3975"/>
      <c r="J255" s="3989" t="s">
        <v>194</v>
      </c>
      <c r="K255" s="3990">
        <f t="array" ref="K255">IFERROR(VLOOKUP(J240,Dex!$B$3:$N1022,10,FALSE),"")</f>
        <v>80</v>
      </c>
      <c r="L255" s="3991" t="str">
        <f t="array" ref="L255">IFERROR(VLOOKUP(K255,Dex!$P$22:$Q$276,2,FALSE),"")</f>
        <v/>
      </c>
      <c r="M255" s="3992"/>
      <c r="N255" s="3975"/>
      <c r="O255" s="3989" t="s">
        <v>194</v>
      </c>
      <c r="P255" s="3990">
        <f t="array" ref="P255">IFERROR(VLOOKUP(O240,Dex!$B$3:$N1022,10,FALSE),"")</f>
        <v>55</v>
      </c>
      <c r="Q255" s="3991" t="str">
        <f t="array" ref="Q255">IFERROR(VLOOKUP(P255,Dex!$P$22:$Q$276,2,FALSE),"")</f>
        <v/>
      </c>
      <c r="R255" s="3992"/>
      <c r="S255" s="3987"/>
      <c r="T255" s="3989" t="s">
        <v>194</v>
      </c>
      <c r="U255" s="3990">
        <f t="array" ref="U255">IFERROR(VLOOKUP(T240,Dex!$B$3:$N1022,10,FALSE),"")</f>
        <v>50</v>
      </c>
      <c r="V255" s="3991" t="str">
        <f t="array" ref="V255">IFERROR(VLOOKUP(U255,Dex!$P$22:$Q$276,2,FALSE),"")</f>
        <v/>
      </c>
      <c r="W255" s="3992"/>
      <c r="X255" s="3981"/>
      <c r="Y255" s="3981"/>
      <c r="Z255" s="3975"/>
      <c r="AA255" s="3975"/>
      <c r="AB255" s="3981"/>
      <c r="AC255" s="3981"/>
      <c r="AD255" s="3981"/>
      <c r="AE255" s="3981"/>
      <c r="AF255" s="3981"/>
      <c r="AG255" s="3981"/>
      <c r="AH255" s="3982"/>
      <c r="AI255" s="3466"/>
    </row>
    <row r="256" ht="16.5" customHeight="1">
      <c r="A256" s="3457"/>
      <c r="B256" s="3974"/>
      <c r="C256" s="3967"/>
      <c r="D256" s="3975"/>
      <c r="E256" s="3989" t="s">
        <v>195</v>
      </c>
      <c r="F256" s="3990">
        <f t="array" ref="F256">IFERROR(VLOOKUP(E240,Dex!$B$3:$N1022,11,FALSE),"")</f>
        <v>20</v>
      </c>
      <c r="G256" s="3991" t="str">
        <f t="array" ref="G256">IFERROR(VLOOKUP(F256,Dex!$P$22:$Q$276,2,FALSE),"")</f>
        <v/>
      </c>
      <c r="H256" s="3992"/>
      <c r="I256" s="3975"/>
      <c r="J256" s="3989" t="s">
        <v>195</v>
      </c>
      <c r="K256" s="3990">
        <f t="array" ref="K256">IFERROR(VLOOKUP(J240,Dex!$B$3:$N1022,11,FALSE),"")</f>
        <v>80</v>
      </c>
      <c r="L256" s="3991" t="str">
        <f t="array" ref="L256">IFERROR(VLOOKUP(K256,Dex!$P$22:$Q$276,2,FALSE),"")</f>
        <v/>
      </c>
      <c r="M256" s="3992"/>
      <c r="N256" s="3975"/>
      <c r="O256" s="3989" t="s">
        <v>195</v>
      </c>
      <c r="P256" s="3990">
        <f t="array" ref="P256">IFERROR(VLOOKUP(O240,Dex!$B$3:$N1022,11,FALSE),"")</f>
        <v>35</v>
      </c>
      <c r="Q256" s="3991" t="str">
        <f t="array" ref="Q256">IFERROR(VLOOKUP(P256,Dex!$P$22:$Q$276,2,FALSE),"")</f>
        <v/>
      </c>
      <c r="R256" s="3992"/>
      <c r="S256" s="3987"/>
      <c r="T256" s="3989" t="s">
        <v>195</v>
      </c>
      <c r="U256" s="3990">
        <f t="array" ref="U256">IFERROR(VLOOKUP(T240,Dex!$B$3:$N1022,11,FALSE),"")</f>
        <v>78</v>
      </c>
      <c r="V256" s="3991" t="str">
        <f t="array" ref="V256">IFERROR(VLOOKUP(U256,Dex!$P$22:$Q$276,2,FALSE),"")</f>
        <v/>
      </c>
      <c r="W256" s="3992"/>
      <c r="X256" s="3981"/>
      <c r="Y256" s="3981"/>
      <c r="Z256" s="3975"/>
      <c r="AA256" s="3975"/>
      <c r="AB256" s="3981"/>
      <c r="AC256" s="3981"/>
      <c r="AD256" s="3981"/>
      <c r="AE256" s="3981"/>
      <c r="AF256" s="3981"/>
      <c r="AG256" s="3981"/>
      <c r="AH256" s="3982"/>
      <c r="AI256" s="3466"/>
    </row>
    <row r="257" ht="16.5" customHeight="1">
      <c r="A257" s="3457"/>
      <c r="B257" s="3974"/>
      <c r="C257" s="3967"/>
      <c r="D257" s="3975"/>
      <c r="E257" s="3989" t="s">
        <v>196</v>
      </c>
      <c r="F257" s="3990">
        <f t="array" ref="F257">IFERROR(VLOOKUP(E240,Dex!$B$3:$N1022,12,FALSE),"")</f>
        <v>45</v>
      </c>
      <c r="G257" s="3991" t="str">
        <f t="array" ref="G257">IFERROR(VLOOKUP(F257,Dex!$P$22:$Q$276,2,FALSE),"")</f>
        <v/>
      </c>
      <c r="H257" s="3992"/>
      <c r="I257" s="3975"/>
      <c r="J257" s="3989" t="s">
        <v>196</v>
      </c>
      <c r="K257" s="3990">
        <f t="array" ref="K257">IFERROR(VLOOKUP(J240,Dex!$B$3:$N1022,12,FALSE),"")</f>
        <v>80</v>
      </c>
      <c r="L257" s="3991" t="str">
        <f t="array" ref="L257">IFERROR(VLOOKUP(K257,Dex!$P$22:$Q$276,2,FALSE),"")</f>
        <v/>
      </c>
      <c r="M257" s="3992"/>
      <c r="N257" s="3975"/>
      <c r="O257" s="3989" t="s">
        <v>196</v>
      </c>
      <c r="P257" s="3990">
        <f t="array" ref="P257">IFERROR(VLOOKUP(O240,Dex!$B$3:$N1022,12,FALSE),"")</f>
        <v>75</v>
      </c>
      <c r="Q257" s="3991" t="str">
        <f t="array" ref="Q257">IFERROR(VLOOKUP(P257,Dex!$P$22:$Q$276,2,FALSE),"")</f>
        <v/>
      </c>
      <c r="R257" s="3992"/>
      <c r="S257" s="3987"/>
      <c r="T257" s="3989" t="s">
        <v>196</v>
      </c>
      <c r="U257" s="3990">
        <f t="array" ref="U257">IFERROR(VLOOKUP(T240,Dex!$B$3:$N1022,12,FALSE),"")</f>
        <v>50</v>
      </c>
      <c r="V257" s="3991" t="str">
        <f t="array" ref="V257">IFERROR(VLOOKUP(U257,Dex!$P$22:$Q$276,2,FALSE),"")</f>
        <v/>
      </c>
      <c r="W257" s="3992"/>
      <c r="X257" s="3981"/>
      <c r="Y257" s="3981"/>
      <c r="Z257" s="3975"/>
      <c r="AA257" s="3975"/>
      <c r="AB257" s="3981"/>
      <c r="AC257" s="3981"/>
      <c r="AD257" s="3981"/>
      <c r="AE257" s="3981"/>
      <c r="AF257" s="3981"/>
      <c r="AG257" s="3981"/>
      <c r="AH257" s="3982"/>
      <c r="AI257" s="3466"/>
    </row>
    <row r="258" ht="16.5" customHeight="1">
      <c r="A258" s="3457"/>
      <c r="B258" s="3974"/>
      <c r="C258" s="3967"/>
      <c r="D258" s="3975"/>
      <c r="E258" s="3995" t="s">
        <v>197</v>
      </c>
      <c r="F258" s="3996">
        <f t="array" ref="F258">IFERROR(VLOOKUP(E240,Dex!$B$3:$N1022,13,FALSE),"")</f>
        <v>75</v>
      </c>
      <c r="G258" s="3997" t="str">
        <f t="array" ref="G258">IFERROR(VLOOKUP(F258,Dex!$P$22:$Q$276,2,FALSE),"")</f>
        <v/>
      </c>
      <c r="H258" s="3998"/>
      <c r="I258" s="3975"/>
      <c r="J258" s="3995" t="s">
        <v>197</v>
      </c>
      <c r="K258" s="3996">
        <f t="array" ref="K258">IFERROR(VLOOKUP(J240,Dex!$B$3:$N1022,13,FALSE),"")</f>
        <v>80</v>
      </c>
      <c r="L258" s="3997" t="str">
        <f t="array" ref="L258">IFERROR(VLOOKUP(K258,Dex!$P$22:$Q$276,2,FALSE),"")</f>
        <v/>
      </c>
      <c r="M258" s="3998"/>
      <c r="N258" s="3975"/>
      <c r="O258" s="3995" t="s">
        <v>197</v>
      </c>
      <c r="P258" s="3996">
        <f t="array" ref="P258">IFERROR(VLOOKUP(O240,Dex!$B$3:$N1022,13,FALSE),"")</f>
        <v>115</v>
      </c>
      <c r="Q258" s="3997" t="str">
        <f t="array" ref="Q258">IFERROR(VLOOKUP(P258,Dex!$P$22:$Q$276,2,FALSE),"")</f>
        <v/>
      </c>
      <c r="R258" s="3998"/>
      <c r="S258" s="3987"/>
      <c r="T258" s="3995" t="s">
        <v>197</v>
      </c>
      <c r="U258" s="3996">
        <f t="array" ref="U258">IFERROR(VLOOKUP(T240,Dex!$B$3:$N1022,13,FALSE),"")</f>
        <v>106</v>
      </c>
      <c r="V258" s="3997" t="str">
        <f t="array" ref="V258">IFERROR(VLOOKUP(U258,Dex!$P$22:$Q$276,2,FALSE),"")</f>
        <v/>
      </c>
      <c r="W258" s="3998"/>
      <c r="X258" s="3981"/>
      <c r="Y258" s="3981"/>
      <c r="Z258" s="3975"/>
      <c r="AA258" s="3975"/>
      <c r="AB258" s="3981"/>
      <c r="AC258" s="3981"/>
      <c r="AD258" s="3981"/>
      <c r="AE258" s="3981"/>
      <c r="AF258" s="3981"/>
      <c r="AG258" s="3981"/>
      <c r="AH258" s="3982"/>
      <c r="AI258" s="3466"/>
    </row>
    <row r="259" ht="16.5" customHeight="1">
      <c r="A259" s="3457"/>
      <c r="B259" s="3974"/>
      <c r="C259" s="1204" t="s">
        <v>436</v>
      </c>
      <c r="D259" s="3975"/>
      <c r="E259" s="4294" t="s">
        <v>198</v>
      </c>
      <c r="F259" s="918"/>
      <c r="G259" s="919"/>
      <c r="H259" s="4295">
        <v>89.0</v>
      </c>
      <c r="I259" s="3978"/>
      <c r="J259" s="3999" t="s">
        <v>198</v>
      </c>
      <c r="K259" s="405"/>
      <c r="L259" s="406"/>
      <c r="M259" s="4000">
        <v>93.0</v>
      </c>
      <c r="N259" s="3978"/>
      <c r="O259" s="3999" t="s">
        <v>198</v>
      </c>
      <c r="P259" s="405"/>
      <c r="Q259" s="406"/>
      <c r="R259" s="4000">
        <v>109.0</v>
      </c>
      <c r="S259" s="4296"/>
      <c r="T259" s="3999" t="s">
        <v>198</v>
      </c>
      <c r="U259" s="405"/>
      <c r="V259" s="406"/>
      <c r="W259" s="4000">
        <v>102.0</v>
      </c>
      <c r="X259" s="3981"/>
      <c r="Y259" s="3981"/>
      <c r="Z259" s="3975"/>
      <c r="AA259" s="3975"/>
      <c r="AB259" s="3981"/>
      <c r="AC259" s="3981"/>
      <c r="AD259" s="3981"/>
      <c r="AE259" s="3981"/>
      <c r="AF259" s="3981"/>
      <c r="AG259" s="3981"/>
      <c r="AH259" s="3982"/>
      <c r="AI259" s="3466"/>
    </row>
    <row r="260" ht="16.5" customHeight="1">
      <c r="A260" s="3457"/>
      <c r="B260" s="4297"/>
      <c r="C260" s="1205" t="s">
        <v>542</v>
      </c>
      <c r="D260" s="4298"/>
      <c r="E260" s="4299" t="s">
        <v>348</v>
      </c>
      <c r="F260" s="925"/>
      <c r="G260" s="926"/>
      <c r="H260" s="4300">
        <v>133.0</v>
      </c>
      <c r="I260" s="4298"/>
      <c r="J260" s="4301"/>
      <c r="K260" s="4302"/>
      <c r="L260" s="4302"/>
      <c r="M260" s="4303"/>
      <c r="N260" s="4298"/>
      <c r="O260" s="4301"/>
      <c r="P260" s="4302"/>
      <c r="Q260" s="4302"/>
      <c r="R260" s="4303"/>
      <c r="S260" s="4304"/>
      <c r="T260" s="4301"/>
      <c r="U260" s="4302"/>
      <c r="V260" s="4302"/>
      <c r="W260" s="4303"/>
      <c r="X260" s="4303"/>
      <c r="Y260" s="4303"/>
      <c r="Z260" s="4298"/>
      <c r="AA260" s="4298"/>
      <c r="AB260" s="4303"/>
      <c r="AC260" s="4303"/>
      <c r="AD260" s="4303"/>
      <c r="AE260" s="4303"/>
      <c r="AF260" s="4303"/>
      <c r="AG260" s="4303"/>
      <c r="AH260" s="4305"/>
      <c r="AI260" s="3466"/>
    </row>
    <row r="261" ht="15.0" customHeight="1">
      <c r="A261" s="3361"/>
      <c r="B261" s="4001"/>
      <c r="C261" s="4002"/>
      <c r="D261" s="4003"/>
      <c r="E261" s="4004"/>
      <c r="F261" s="4004"/>
      <c r="G261" s="4004"/>
      <c r="H261" s="4004"/>
      <c r="I261" s="4005"/>
      <c r="J261" s="4004"/>
      <c r="K261" s="4004"/>
      <c r="L261" s="4004"/>
      <c r="M261" s="4004"/>
      <c r="N261" s="4005"/>
      <c r="O261" s="4004"/>
      <c r="P261" s="4004"/>
      <c r="Q261" s="4004"/>
      <c r="R261" s="4004"/>
      <c r="S261" s="4003"/>
      <c r="T261" s="4003"/>
      <c r="U261" s="4003"/>
      <c r="V261" s="4003"/>
      <c r="W261" s="4003"/>
      <c r="X261" s="4003"/>
      <c r="Y261" s="4003"/>
      <c r="Z261" s="4003"/>
      <c r="AA261" s="4003"/>
      <c r="AB261" s="4003"/>
      <c r="AC261" s="4003"/>
      <c r="AD261" s="4003"/>
      <c r="AE261" s="4003"/>
      <c r="AF261" s="4003"/>
      <c r="AG261" s="4003"/>
      <c r="AH261" s="4007"/>
      <c r="AI261" s="3367"/>
    </row>
    <row r="262" ht="15.0" customHeight="1">
      <c r="A262" s="3361"/>
      <c r="B262" s="4306"/>
      <c r="C262" s="4307"/>
      <c r="D262" s="4307"/>
      <c r="E262" s="4307"/>
      <c r="F262" s="4307"/>
      <c r="G262" s="4307"/>
      <c r="H262" s="4307"/>
      <c r="I262" s="4307"/>
      <c r="J262" s="4307"/>
      <c r="K262" s="4307"/>
      <c r="L262" s="4307"/>
      <c r="M262" s="4307"/>
      <c r="N262" s="4307"/>
      <c r="O262" s="4307"/>
      <c r="P262" s="4307"/>
      <c r="Q262" s="4307"/>
      <c r="R262" s="4307"/>
      <c r="S262" s="4307"/>
      <c r="T262" s="4307"/>
      <c r="U262" s="4307"/>
      <c r="V262" s="4307"/>
      <c r="W262" s="4307"/>
      <c r="X262" s="4307"/>
      <c r="Y262" s="4307"/>
      <c r="Z262" s="4307"/>
      <c r="AA262" s="4307"/>
      <c r="AB262" s="4307"/>
      <c r="AC262" s="4307"/>
      <c r="AD262" s="4307"/>
      <c r="AE262" s="4307"/>
      <c r="AF262" s="4307"/>
      <c r="AG262" s="4307"/>
      <c r="AH262" s="4308"/>
      <c r="AI262" s="3367"/>
    </row>
    <row r="263">
      <c r="A263" s="3361"/>
      <c r="B263" s="4309"/>
      <c r="C263" s="4310"/>
      <c r="D263" s="4311"/>
      <c r="E263" s="4312" t="s">
        <v>1085</v>
      </c>
      <c r="F263" s="4313"/>
      <c r="G263" s="4313"/>
      <c r="H263" s="4313"/>
      <c r="I263" s="4313"/>
      <c r="J263" s="4313"/>
      <c r="K263" s="4313"/>
      <c r="L263" s="4313"/>
      <c r="M263" s="4313"/>
      <c r="N263" s="4313"/>
      <c r="O263" s="4313"/>
      <c r="P263" s="4313"/>
      <c r="Q263" s="4313"/>
      <c r="R263" s="4313"/>
      <c r="S263" s="4313"/>
      <c r="T263" s="4313"/>
      <c r="U263" s="4313"/>
      <c r="V263" s="4313"/>
      <c r="W263" s="4313"/>
      <c r="X263" s="4313"/>
      <c r="Y263" s="4313"/>
      <c r="Z263" s="4313"/>
      <c r="AA263" s="4313"/>
      <c r="AB263" s="4313"/>
      <c r="AC263" s="4313"/>
      <c r="AD263" s="4313"/>
      <c r="AE263" s="4313"/>
      <c r="AF263" s="4313"/>
      <c r="AG263" s="4314"/>
      <c r="AH263" s="4315"/>
      <c r="AI263" s="3367"/>
    </row>
    <row r="264" ht="96.75" customHeight="1">
      <c r="A264" s="3361"/>
      <c r="B264" s="4309"/>
      <c r="C264" s="4316" t="str">
        <f>IMAGE("https://i.ibb.co/26DXmkJ/Ghost.png")</f>
        <v/>
      </c>
      <c r="D264" s="4317"/>
      <c r="E264" s="4318" t="str">
        <f t="array" ref="E264">IFERROR(VLOOKUP(E265,Dex!$B$3:$G1022,3,FALSE),"")</f>
        <v/>
      </c>
      <c r="F264" s="381"/>
      <c r="G264" s="381"/>
      <c r="H264" s="4280"/>
      <c r="I264" s="4319"/>
      <c r="J264" s="4320"/>
      <c r="K264" s="4313"/>
      <c r="L264" s="4313"/>
      <c r="M264" s="4314"/>
      <c r="N264" s="4319"/>
      <c r="O264" s="4320"/>
      <c r="P264" s="4313"/>
      <c r="Q264" s="4313"/>
      <c r="R264" s="4314"/>
      <c r="S264" s="4319"/>
      <c r="T264" s="4320"/>
      <c r="U264" s="4313"/>
      <c r="V264" s="4313"/>
      <c r="W264" s="4314"/>
      <c r="X264" s="4319"/>
      <c r="Y264" s="4320"/>
      <c r="Z264" s="4313"/>
      <c r="AA264" s="4313"/>
      <c r="AB264" s="4314"/>
      <c r="AC264" s="4319"/>
      <c r="AD264" s="4320"/>
      <c r="AE264" s="4313"/>
      <c r="AF264" s="4313"/>
      <c r="AG264" s="4314"/>
      <c r="AH264" s="4315"/>
      <c r="AI264" s="3367"/>
    </row>
    <row r="265" ht="18.75" customHeight="1">
      <c r="A265" s="3621"/>
      <c r="B265" s="4321"/>
      <c r="C265" s="4322" t="s">
        <v>1086</v>
      </c>
      <c r="D265" s="4323"/>
      <c r="E265" s="4324" t="s">
        <v>1087</v>
      </c>
      <c r="F265" s="4325"/>
      <c r="G265" s="4325"/>
      <c r="H265" s="4326"/>
      <c r="I265" s="4327"/>
      <c r="J265" s="4328"/>
      <c r="K265" s="4313"/>
      <c r="L265" s="4313"/>
      <c r="M265" s="4314"/>
      <c r="N265" s="4327"/>
      <c r="O265" s="4328"/>
      <c r="P265" s="4313"/>
      <c r="Q265" s="4313"/>
      <c r="R265" s="4314"/>
      <c r="S265" s="4327"/>
      <c r="T265" s="4328"/>
      <c r="U265" s="4313"/>
      <c r="V265" s="4313"/>
      <c r="W265" s="4314"/>
      <c r="X265" s="4327"/>
      <c r="Y265" s="4328"/>
      <c r="Z265" s="4313"/>
      <c r="AA265" s="4313"/>
      <c r="AB265" s="4314"/>
      <c r="AC265" s="4327"/>
      <c r="AD265" s="4328"/>
      <c r="AE265" s="4313"/>
      <c r="AF265" s="4313"/>
      <c r="AG265" s="4314"/>
      <c r="AH265" s="4329"/>
      <c r="AI265" s="3631"/>
    </row>
    <row r="266">
      <c r="A266" s="3632"/>
      <c r="B266" s="4330"/>
      <c r="C266" s="326"/>
      <c r="D266" s="4331"/>
      <c r="E266" s="4332">
        <v>58.0</v>
      </c>
      <c r="F266" s="4313"/>
      <c r="G266" s="4313"/>
      <c r="H266" s="4333"/>
      <c r="I266" s="4327"/>
      <c r="J266" s="4334"/>
      <c r="K266" s="4313"/>
      <c r="L266" s="4313"/>
      <c r="M266" s="4314"/>
      <c r="N266" s="4327"/>
      <c r="O266" s="4334"/>
      <c r="P266" s="4313"/>
      <c r="Q266" s="4313"/>
      <c r="R266" s="4314"/>
      <c r="S266" s="4327"/>
      <c r="T266" s="4334"/>
      <c r="U266" s="4313"/>
      <c r="V266" s="4313"/>
      <c r="W266" s="4314"/>
      <c r="X266" s="4327"/>
      <c r="Y266" s="4334"/>
      <c r="Z266" s="4313"/>
      <c r="AA266" s="4313"/>
      <c r="AB266" s="4314"/>
      <c r="AC266" s="4327"/>
      <c r="AD266" s="4334"/>
      <c r="AE266" s="4313"/>
      <c r="AF266" s="4313"/>
      <c r="AG266" s="4314"/>
      <c r="AH266" s="4335"/>
      <c r="AI266" s="3640"/>
    </row>
    <row r="267" ht="25.5" customHeight="1">
      <c r="A267" s="3361"/>
      <c r="B267" s="4309"/>
      <c r="C267" s="4336"/>
      <c r="D267" s="4311"/>
      <c r="E267" s="4337"/>
      <c r="F267" s="4338" t="str">
        <f t="array" ref="F267">IFERROR(VLOOKUP(E265,Dex!$B$3:$H1022,5,FALSE),"")</f>
        <v/>
      </c>
      <c r="G267" s="4339" t="str">
        <f t="array" ref="G267">IFERROR(VLOOKUP(E265,Dex!$B$3:$H1022,7,FALSE),"")</f>
        <v/>
      </c>
      <c r="H267" s="4340"/>
      <c r="I267" s="4327"/>
      <c r="J267" s="4320"/>
      <c r="K267" s="4313"/>
      <c r="L267" s="4313"/>
      <c r="M267" s="4314"/>
      <c r="N267" s="4327"/>
      <c r="O267" s="4320"/>
      <c r="P267" s="4313"/>
      <c r="Q267" s="4313"/>
      <c r="R267" s="4314"/>
      <c r="S267" s="4327"/>
      <c r="T267" s="4320"/>
      <c r="U267" s="4313"/>
      <c r="V267" s="4313"/>
      <c r="W267" s="4314"/>
      <c r="X267" s="4327"/>
      <c r="Y267" s="4320"/>
      <c r="Z267" s="4313"/>
      <c r="AA267" s="4313"/>
      <c r="AB267" s="4314"/>
      <c r="AC267" s="4327"/>
      <c r="AD267" s="4320"/>
      <c r="AE267" s="4313"/>
      <c r="AF267" s="4313"/>
      <c r="AG267" s="4314"/>
      <c r="AH267" s="4315"/>
      <c r="AI267" s="3367"/>
    </row>
    <row r="268" ht="2.25" customHeight="1">
      <c r="A268" s="3361"/>
      <c r="B268" s="4309"/>
      <c r="C268" s="4327"/>
      <c r="D268" s="4311"/>
      <c r="E268" s="4341"/>
      <c r="F268" s="4342"/>
      <c r="G268" s="4342"/>
      <c r="H268" s="4343"/>
      <c r="I268" s="4327"/>
      <c r="J268" s="4311"/>
      <c r="K268" s="4311"/>
      <c r="L268" s="4311"/>
      <c r="M268" s="4311"/>
      <c r="N268" s="4327"/>
      <c r="O268" s="4311"/>
      <c r="P268" s="4311"/>
      <c r="Q268" s="4311"/>
      <c r="R268" s="4311"/>
      <c r="S268" s="4327"/>
      <c r="T268" s="4311"/>
      <c r="U268" s="4311"/>
      <c r="V268" s="4311"/>
      <c r="W268" s="4311"/>
      <c r="X268" s="4327"/>
      <c r="Y268" s="4311"/>
      <c r="Z268" s="4311"/>
      <c r="AA268" s="4311"/>
      <c r="AB268" s="4311"/>
      <c r="AC268" s="4327"/>
      <c r="AD268" s="4311"/>
      <c r="AE268" s="4311"/>
      <c r="AF268" s="4311"/>
      <c r="AG268" s="4311"/>
      <c r="AH268" s="4315"/>
      <c r="AI268" s="3367"/>
    </row>
    <row r="269" ht="20.25" customHeight="1">
      <c r="A269" s="3361"/>
      <c r="B269" s="4309"/>
      <c r="C269" s="4344"/>
      <c r="D269" s="4311"/>
      <c r="E269" s="4345" t="s">
        <v>172</v>
      </c>
      <c r="F269" s="4346"/>
      <c r="G269" s="4346"/>
      <c r="H269" s="4347"/>
      <c r="I269" s="4327"/>
      <c r="J269" s="4320"/>
      <c r="K269" s="4313"/>
      <c r="L269" s="4313"/>
      <c r="M269" s="4314"/>
      <c r="N269" s="4327"/>
      <c r="O269" s="4320"/>
      <c r="P269" s="4313"/>
      <c r="Q269" s="4313"/>
      <c r="R269" s="4314"/>
      <c r="S269" s="4327"/>
      <c r="T269" s="4320"/>
      <c r="U269" s="4313"/>
      <c r="V269" s="4313"/>
      <c r="W269" s="4314"/>
      <c r="X269" s="4327"/>
      <c r="Y269" s="4320"/>
      <c r="Z269" s="4313"/>
      <c r="AA269" s="4313"/>
      <c r="AB269" s="4314"/>
      <c r="AC269" s="4327"/>
      <c r="AD269" s="4320"/>
      <c r="AE269" s="4313"/>
      <c r="AF269" s="4313"/>
      <c r="AG269" s="4314"/>
      <c r="AH269" s="4315"/>
      <c r="AI269" s="3367"/>
    </row>
    <row r="270" ht="20.25" customHeight="1">
      <c r="A270" s="3361"/>
      <c r="B270" s="4309"/>
      <c r="C270" s="4336"/>
      <c r="D270" s="4311"/>
      <c r="E270" s="4348" t="s">
        <v>1088</v>
      </c>
      <c r="F270" s="4313"/>
      <c r="G270" s="4313"/>
      <c r="H270" s="4333"/>
      <c r="I270" s="4327"/>
      <c r="J270" s="4320"/>
      <c r="K270" s="4313"/>
      <c r="L270" s="4313"/>
      <c r="M270" s="4314"/>
      <c r="N270" s="4327"/>
      <c r="O270" s="4320"/>
      <c r="P270" s="4313"/>
      <c r="Q270" s="4313"/>
      <c r="R270" s="4314"/>
      <c r="S270" s="4327"/>
      <c r="T270" s="4320"/>
      <c r="U270" s="4313"/>
      <c r="V270" s="4313"/>
      <c r="W270" s="4314"/>
      <c r="X270" s="4327"/>
      <c r="Y270" s="4320"/>
      <c r="Z270" s="4313"/>
      <c r="AA270" s="4313"/>
      <c r="AB270" s="4314"/>
      <c r="AC270" s="4327"/>
      <c r="AD270" s="4320"/>
      <c r="AE270" s="4313"/>
      <c r="AF270" s="4313"/>
      <c r="AG270" s="4314"/>
      <c r="AH270" s="4315"/>
      <c r="AI270" s="3367"/>
    </row>
    <row r="271" ht="20.25" customHeight="1">
      <c r="A271" s="3361"/>
      <c r="B271" s="4309"/>
      <c r="C271" s="4327"/>
      <c r="D271" s="4311"/>
      <c r="E271" s="4349" t="s">
        <v>1089</v>
      </c>
      <c r="F271" s="4350"/>
      <c r="G271" s="4351"/>
      <c r="H271" s="4352" t="str">
        <f>IMAGE("https://raw.githubusercontent.com/msikma/pokesprite/master/items/hold-item/thick-club.png",3)</f>
        <v/>
      </c>
      <c r="I271" s="4327"/>
      <c r="J271" s="4320"/>
      <c r="K271" s="4313"/>
      <c r="L271" s="4313"/>
      <c r="M271" s="4314"/>
      <c r="N271" s="4327"/>
      <c r="O271" s="4320"/>
      <c r="P271" s="4313"/>
      <c r="Q271" s="4313"/>
      <c r="R271" s="4314"/>
      <c r="S271" s="4327"/>
      <c r="T271" s="4320"/>
      <c r="U271" s="4313"/>
      <c r="V271" s="4313"/>
      <c r="W271" s="4314"/>
      <c r="X271" s="4327"/>
      <c r="Y271" s="4320"/>
      <c r="Z271" s="4313"/>
      <c r="AA271" s="4313"/>
      <c r="AB271" s="4314"/>
      <c r="AC271" s="4327"/>
      <c r="AD271" s="4320"/>
      <c r="AE271" s="4313"/>
      <c r="AF271" s="4313"/>
      <c r="AG271" s="4314"/>
      <c r="AH271" s="4315"/>
      <c r="AI271" s="3367"/>
    </row>
    <row r="272" ht="20.25" customHeight="1">
      <c r="A272" s="3361"/>
      <c r="B272" s="4309"/>
      <c r="C272" s="4344"/>
      <c r="D272" s="4311"/>
      <c r="E272" s="4353" t="s">
        <v>1090</v>
      </c>
      <c r="F272" s="4346"/>
      <c r="G272" s="4354"/>
      <c r="H272" s="4355" t="str">
        <f>IMAGE("https://raw.githubusercontent.com/msikma/pokesprite/master/misc/types/gen8/ground.png",4,20,20)</f>
        <v/>
      </c>
      <c r="I272" s="4327"/>
      <c r="J272" s="4320"/>
      <c r="K272" s="4313"/>
      <c r="L272" s="4313"/>
      <c r="M272" s="4314"/>
      <c r="N272" s="4327"/>
      <c r="O272" s="4320"/>
      <c r="P272" s="4313"/>
      <c r="Q272" s="4313"/>
      <c r="R272" s="4314"/>
      <c r="S272" s="4327"/>
      <c r="T272" s="4320"/>
      <c r="U272" s="4313"/>
      <c r="V272" s="4313"/>
      <c r="W272" s="4314"/>
      <c r="X272" s="4327"/>
      <c r="Y272" s="4320"/>
      <c r="Z272" s="4313"/>
      <c r="AA272" s="4313"/>
      <c r="AB272" s="4314"/>
      <c r="AC272" s="4327"/>
      <c r="AD272" s="4320"/>
      <c r="AE272" s="4313"/>
      <c r="AF272" s="4313"/>
      <c r="AG272" s="4314"/>
      <c r="AH272" s="4315"/>
      <c r="AI272" s="3367"/>
    </row>
    <row r="273" ht="20.25" customHeight="1">
      <c r="A273" s="3361"/>
      <c r="B273" s="4309"/>
      <c r="C273" s="4310"/>
      <c r="D273" s="4311"/>
      <c r="E273" s="4356" t="s">
        <v>1091</v>
      </c>
      <c r="F273" s="4313"/>
      <c r="G273" s="4314"/>
      <c r="H273" s="4357" t="str">
        <f>IMAGE("https://raw.githubusercontent.com/msikma/pokesprite/master/misc/types/gen8/ghost.png",4,20,20)</f>
        <v/>
      </c>
      <c r="I273" s="4327"/>
      <c r="J273" s="4320"/>
      <c r="K273" s="4313"/>
      <c r="L273" s="4313"/>
      <c r="M273" s="4314"/>
      <c r="N273" s="4327"/>
      <c r="O273" s="4320"/>
      <c r="P273" s="4313"/>
      <c r="Q273" s="4313"/>
      <c r="R273" s="4314"/>
      <c r="S273" s="4327"/>
      <c r="T273" s="4320"/>
      <c r="U273" s="4313"/>
      <c r="V273" s="4313"/>
      <c r="W273" s="4314"/>
      <c r="X273" s="4327"/>
      <c r="Y273" s="4320"/>
      <c r="Z273" s="4313"/>
      <c r="AA273" s="4313"/>
      <c r="AB273" s="4314"/>
      <c r="AC273" s="4327"/>
      <c r="AD273" s="4320"/>
      <c r="AE273" s="4313"/>
      <c r="AF273" s="4313"/>
      <c r="AG273" s="4314"/>
      <c r="AH273" s="4315"/>
      <c r="AI273" s="3367"/>
    </row>
    <row r="274" ht="20.25" customHeight="1">
      <c r="A274" s="3361"/>
      <c r="B274" s="4309"/>
      <c r="C274" s="4310"/>
      <c r="D274" s="4311"/>
      <c r="E274" s="4356" t="s">
        <v>403</v>
      </c>
      <c r="F274" s="4313"/>
      <c r="G274" s="4314"/>
      <c r="H274" s="4357" t="str">
        <f>IMAGE("https://raw.githubusercontent.com/msikma/pokesprite/master/misc/types/gen8/fire.png",4,20,20)</f>
        <v/>
      </c>
      <c r="I274" s="4327"/>
      <c r="J274" s="4320"/>
      <c r="K274" s="4313"/>
      <c r="L274" s="4313"/>
      <c r="M274" s="4314"/>
      <c r="N274" s="4327"/>
      <c r="O274" s="4320"/>
      <c r="P274" s="4313"/>
      <c r="Q274" s="4313"/>
      <c r="R274" s="4314"/>
      <c r="S274" s="4327"/>
      <c r="T274" s="4320"/>
      <c r="U274" s="4313"/>
      <c r="V274" s="4313"/>
      <c r="W274" s="4314"/>
      <c r="X274" s="4327"/>
      <c r="Y274" s="4320"/>
      <c r="Z274" s="4313"/>
      <c r="AA274" s="4313"/>
      <c r="AB274" s="4314"/>
      <c r="AC274" s="4327"/>
      <c r="AD274" s="4320"/>
      <c r="AE274" s="4313"/>
      <c r="AF274" s="4313"/>
      <c r="AG274" s="4314"/>
      <c r="AH274" s="4315"/>
      <c r="AI274" s="3367"/>
    </row>
    <row r="275" ht="21.0" customHeight="1">
      <c r="A275" s="3361"/>
      <c r="B275" s="4309"/>
      <c r="C275" s="4310"/>
      <c r="D275" s="4311"/>
      <c r="E275" s="4358" t="s">
        <v>249</v>
      </c>
      <c r="F275" s="4359"/>
      <c r="G275" s="4360"/>
      <c r="H275" s="4361" t="str">
        <f>IMAGE("https://raw.githubusercontent.com/msikma/pokesprite/master/misc/types/gen8/electric.png",4,20,20)</f>
        <v/>
      </c>
      <c r="I275" s="4344"/>
      <c r="J275" s="4320"/>
      <c r="K275" s="4313"/>
      <c r="L275" s="4313"/>
      <c r="M275" s="4314"/>
      <c r="N275" s="4344"/>
      <c r="O275" s="4320"/>
      <c r="P275" s="4313"/>
      <c r="Q275" s="4313"/>
      <c r="R275" s="4314"/>
      <c r="S275" s="4344"/>
      <c r="T275" s="4320"/>
      <c r="U275" s="4313"/>
      <c r="V275" s="4313"/>
      <c r="W275" s="4314"/>
      <c r="X275" s="4344"/>
      <c r="Y275" s="4320"/>
      <c r="Z275" s="4313"/>
      <c r="AA275" s="4313"/>
      <c r="AB275" s="4314"/>
      <c r="AC275" s="4344"/>
      <c r="AD275" s="4320"/>
      <c r="AE275" s="4313"/>
      <c r="AF275" s="4313"/>
      <c r="AG275" s="4314"/>
      <c r="AH275" s="4315"/>
      <c r="AI275" s="3367"/>
    </row>
    <row r="276" ht="3.0" customHeight="1">
      <c r="A276" s="3445"/>
      <c r="B276" s="4362"/>
      <c r="C276" s="4363"/>
      <c r="D276" s="4364"/>
      <c r="E276" s="4365"/>
      <c r="F276" s="4365"/>
      <c r="G276" s="4365"/>
      <c r="H276" s="4365"/>
      <c r="I276" s="4364"/>
      <c r="J276" s="4365"/>
      <c r="K276" s="4365"/>
      <c r="L276" s="4365"/>
      <c r="M276" s="4365"/>
      <c r="N276" s="4364"/>
      <c r="O276" s="4365"/>
      <c r="P276" s="4365"/>
      <c r="Q276" s="4365"/>
      <c r="R276" s="4365"/>
      <c r="S276" s="4365"/>
      <c r="T276" s="4365"/>
      <c r="U276" s="4365"/>
      <c r="V276" s="4365"/>
      <c r="W276" s="4365"/>
      <c r="X276" s="4364"/>
      <c r="Y276" s="4364"/>
      <c r="Z276" s="4366"/>
      <c r="AA276" s="4366"/>
      <c r="AB276" s="4367"/>
      <c r="AC276" s="4367"/>
      <c r="AD276" s="4367"/>
      <c r="AE276" s="4367"/>
      <c r="AF276" s="4367"/>
      <c r="AG276" s="4367"/>
      <c r="AH276" s="4368"/>
      <c r="AI276" s="3456"/>
    </row>
    <row r="277" ht="16.5" customHeight="1">
      <c r="A277" s="3457"/>
      <c r="B277" s="4369"/>
      <c r="C277" s="4363"/>
      <c r="D277" s="4370"/>
      <c r="E277" s="4371" t="s">
        <v>190</v>
      </c>
      <c r="F277" s="381"/>
      <c r="G277" s="382"/>
      <c r="H277" s="4372" t="s">
        <v>191</v>
      </c>
      <c r="I277" s="4370"/>
      <c r="J277" s="4373"/>
      <c r="K277" s="4370"/>
      <c r="L277" s="4370"/>
      <c r="M277" s="4373"/>
      <c r="N277" s="4373"/>
      <c r="O277" s="4373"/>
      <c r="P277" s="4373"/>
      <c r="Q277" s="4370"/>
      <c r="R277" s="4370"/>
      <c r="S277" s="4373"/>
      <c r="T277" s="4373"/>
      <c r="U277" s="4373"/>
      <c r="V277" s="4370"/>
      <c r="W277" s="4370"/>
      <c r="X277" s="4373"/>
      <c r="Y277" s="4373"/>
      <c r="Z277" s="4373"/>
      <c r="AA277" s="4370"/>
      <c r="AB277" s="4373"/>
      <c r="AC277" s="4373"/>
      <c r="AD277" s="4373"/>
      <c r="AE277" s="4373"/>
      <c r="AF277" s="4373"/>
      <c r="AG277" s="4373"/>
      <c r="AH277" s="4374"/>
      <c r="AI277" s="3466"/>
    </row>
    <row r="278" ht="16.5" customHeight="1">
      <c r="A278" s="3457"/>
      <c r="B278" s="4369"/>
      <c r="C278" s="4363"/>
      <c r="D278" s="4370"/>
      <c r="E278" s="4375" t="s">
        <v>192</v>
      </c>
      <c r="F278" s="4376">
        <f t="array" ref="F278">IFERROR(VLOOKUP(E265,Dex!$B$3:$N1022,8,FALSE),"")</f>
        <v>60</v>
      </c>
      <c r="G278" s="4377" t="str">
        <f t="array" ref="G278">IFERROR(VLOOKUP(F278,Dex!$P$22:$Q$276,2,FALSE),"")</f>
        <v/>
      </c>
      <c r="H278" s="4378">
        <v>252.0</v>
      </c>
      <c r="I278" s="4370"/>
      <c r="J278" s="4373"/>
      <c r="K278" s="4370"/>
      <c r="L278" s="4370"/>
      <c r="M278" s="4373"/>
      <c r="N278" s="4373"/>
      <c r="O278" s="4373"/>
      <c r="P278" s="4373"/>
      <c r="Q278" s="4370"/>
      <c r="R278" s="4370"/>
      <c r="S278" s="4373"/>
      <c r="T278" s="4373"/>
      <c r="U278" s="4373"/>
      <c r="V278" s="4370"/>
      <c r="W278" s="4370"/>
      <c r="X278" s="4373"/>
      <c r="Y278" s="4373"/>
      <c r="Z278" s="4373"/>
      <c r="AA278" s="4370"/>
      <c r="AB278" s="4373"/>
      <c r="AC278" s="4373"/>
      <c r="AD278" s="4373"/>
      <c r="AE278" s="4373"/>
      <c r="AF278" s="4373"/>
      <c r="AG278" s="4373"/>
      <c r="AH278" s="4374"/>
      <c r="AI278" s="3466"/>
    </row>
    <row r="279" ht="16.5" customHeight="1">
      <c r="A279" s="3457"/>
      <c r="B279" s="4369"/>
      <c r="C279" s="4363"/>
      <c r="D279" s="4370"/>
      <c r="E279" s="4379" t="s">
        <v>193</v>
      </c>
      <c r="F279" s="4380">
        <f t="array" ref="F279">IFERROR(VLOOKUP(E265,Dex!$B$3:$N1022,9,FALSE),"")</f>
        <v>80</v>
      </c>
      <c r="G279" s="4381" t="str">
        <f t="array" ref="G279">IFERROR(VLOOKUP(F279,Dex!$P$22:$Q$276,2,FALSE),"")</f>
        <v/>
      </c>
      <c r="H279" s="4382">
        <v>252.0</v>
      </c>
      <c r="I279" s="4370"/>
      <c r="J279" s="4373"/>
      <c r="K279" s="4370"/>
      <c r="L279" s="4370"/>
      <c r="M279" s="4373"/>
      <c r="N279" s="4373"/>
      <c r="O279" s="4373"/>
      <c r="P279" s="4373"/>
      <c r="Q279" s="4370"/>
      <c r="R279" s="4370"/>
      <c r="S279" s="4373"/>
      <c r="T279" s="4373"/>
      <c r="U279" s="4373"/>
      <c r="V279" s="4370"/>
      <c r="W279" s="4370"/>
      <c r="X279" s="4373"/>
      <c r="Y279" s="4373"/>
      <c r="Z279" s="4373"/>
      <c r="AA279" s="4370"/>
      <c r="AB279" s="4373"/>
      <c r="AC279" s="4373"/>
      <c r="AD279" s="4373"/>
      <c r="AE279" s="4373"/>
      <c r="AF279" s="4373"/>
      <c r="AG279" s="4373"/>
      <c r="AH279" s="4374"/>
      <c r="AI279" s="3466"/>
    </row>
    <row r="280" ht="16.5" customHeight="1">
      <c r="A280" s="3457"/>
      <c r="B280" s="4369"/>
      <c r="C280" s="4363"/>
      <c r="D280" s="4370"/>
      <c r="E280" s="4379" t="s">
        <v>194</v>
      </c>
      <c r="F280" s="4380">
        <f t="array" ref="F280">IFERROR(VLOOKUP(E265,Dex!$B$3:$N1022,10,FALSE),"")</f>
        <v>110</v>
      </c>
      <c r="G280" s="4381" t="str">
        <f t="array" ref="G280">IFERROR(VLOOKUP(F280,Dex!$P$22:$Q$276,2,FALSE),"")</f>
        <v/>
      </c>
      <c r="H280" s="4382">
        <v>252.0</v>
      </c>
      <c r="I280" s="4370"/>
      <c r="J280" s="4373"/>
      <c r="K280" s="4370"/>
      <c r="L280" s="4370"/>
      <c r="M280" s="4373"/>
      <c r="N280" s="4373"/>
      <c r="O280" s="4373"/>
      <c r="P280" s="4373"/>
      <c r="Q280" s="4370"/>
      <c r="R280" s="4370"/>
      <c r="S280" s="4373"/>
      <c r="T280" s="4373"/>
      <c r="U280" s="4373"/>
      <c r="V280" s="4370"/>
      <c r="W280" s="4370"/>
      <c r="X280" s="4373"/>
      <c r="Y280" s="4373"/>
      <c r="Z280" s="4373"/>
      <c r="AA280" s="4370"/>
      <c r="AB280" s="4373"/>
      <c r="AC280" s="4373"/>
      <c r="AD280" s="4373"/>
      <c r="AE280" s="4373"/>
      <c r="AF280" s="4373"/>
      <c r="AG280" s="4373"/>
      <c r="AH280" s="4374"/>
      <c r="AI280" s="3466"/>
    </row>
    <row r="281" ht="16.5" customHeight="1">
      <c r="A281" s="3457"/>
      <c r="B281" s="4369"/>
      <c r="C281" s="4363"/>
      <c r="D281" s="4370"/>
      <c r="E281" s="4379" t="s">
        <v>195</v>
      </c>
      <c r="F281" s="4380">
        <f t="array" ref="F281">IFERROR(VLOOKUP(E265,Dex!$B$3:$N1022,11,FALSE),"")</f>
        <v>50</v>
      </c>
      <c r="G281" s="4381" t="str">
        <f t="array" ref="G281">IFERROR(VLOOKUP(F281,Dex!$P$22:$Q$276,2,FALSE),"")</f>
        <v/>
      </c>
      <c r="H281" s="4382"/>
      <c r="I281" s="4370"/>
      <c r="J281" s="4373"/>
      <c r="K281" s="4370"/>
      <c r="L281" s="4370"/>
      <c r="M281" s="4373"/>
      <c r="N281" s="4373"/>
      <c r="O281" s="4373"/>
      <c r="P281" s="4373"/>
      <c r="Q281" s="4370"/>
      <c r="R281" s="4370"/>
      <c r="S281" s="4373"/>
      <c r="T281" s="4373"/>
      <c r="U281" s="4373"/>
      <c r="V281" s="4370"/>
      <c r="W281" s="4370"/>
      <c r="X281" s="4373"/>
      <c r="Y281" s="4373"/>
      <c r="Z281" s="4373"/>
      <c r="AA281" s="4370"/>
      <c r="AB281" s="4373"/>
      <c r="AC281" s="4373"/>
      <c r="AD281" s="4373"/>
      <c r="AE281" s="4373"/>
      <c r="AF281" s="4373"/>
      <c r="AG281" s="4373"/>
      <c r="AH281" s="4374"/>
      <c r="AI281" s="3466"/>
    </row>
    <row r="282" ht="16.5" customHeight="1">
      <c r="A282" s="3457"/>
      <c r="B282" s="4369"/>
      <c r="C282" s="4363"/>
      <c r="D282" s="4370"/>
      <c r="E282" s="4379" t="s">
        <v>196</v>
      </c>
      <c r="F282" s="4380">
        <f t="array" ref="F282">IFERROR(VLOOKUP(E265,Dex!$B$3:$N1022,12,FALSE),"")</f>
        <v>80</v>
      </c>
      <c r="G282" s="4381" t="str">
        <f t="array" ref="G282">IFERROR(VLOOKUP(F282,Dex!$P$22:$Q$276,2,FALSE),"")</f>
        <v/>
      </c>
      <c r="H282" s="4382">
        <v>252.0</v>
      </c>
      <c r="I282" s="4370"/>
      <c r="J282" s="4373"/>
      <c r="K282" s="4370"/>
      <c r="L282" s="4370"/>
      <c r="M282" s="4373"/>
      <c r="N282" s="4373"/>
      <c r="O282" s="4373"/>
      <c r="P282" s="4373"/>
      <c r="Q282" s="4370"/>
      <c r="R282" s="4370"/>
      <c r="S282" s="4373"/>
      <c r="T282" s="4373"/>
      <c r="U282" s="4373"/>
      <c r="V282" s="4370"/>
      <c r="W282" s="4370"/>
      <c r="X282" s="4373"/>
      <c r="Y282" s="4373"/>
      <c r="Z282" s="4373"/>
      <c r="AA282" s="4370"/>
      <c r="AB282" s="4373"/>
      <c r="AC282" s="4373"/>
      <c r="AD282" s="4373"/>
      <c r="AE282" s="4373"/>
      <c r="AF282" s="4373"/>
      <c r="AG282" s="4373"/>
      <c r="AH282" s="4374"/>
      <c r="AI282" s="3466"/>
    </row>
    <row r="283" ht="16.5" customHeight="1">
      <c r="A283" s="3457"/>
      <c r="B283" s="4369"/>
      <c r="C283" s="4363"/>
      <c r="D283" s="4370"/>
      <c r="E283" s="4383" t="s">
        <v>197</v>
      </c>
      <c r="F283" s="4384">
        <f t="array" ref="F283">IFERROR(VLOOKUP(E265,Dex!$B$3:$N1022,13,FALSE),"")</f>
        <v>45</v>
      </c>
      <c r="G283" s="4385" t="str">
        <f t="array" ref="G283">IFERROR(VLOOKUP(F283,Dex!$P$22:$Q$276,2,FALSE),"")</f>
        <v/>
      </c>
      <c r="H283" s="4382">
        <v>252.0</v>
      </c>
      <c r="I283" s="4370"/>
      <c r="J283" s="4373"/>
      <c r="K283" s="4370"/>
      <c r="L283" s="4370"/>
      <c r="M283" s="4373"/>
      <c r="N283" s="4373"/>
      <c r="O283" s="4373"/>
      <c r="P283" s="4373"/>
      <c r="Q283" s="4370"/>
      <c r="R283" s="4370"/>
      <c r="S283" s="4373"/>
      <c r="T283" s="4373"/>
      <c r="U283" s="4373"/>
      <c r="V283" s="4370"/>
      <c r="W283" s="4370"/>
      <c r="X283" s="4373"/>
      <c r="Y283" s="4373"/>
      <c r="Z283" s="4373"/>
      <c r="AA283" s="4370"/>
      <c r="AB283" s="4373"/>
      <c r="AC283" s="4373"/>
      <c r="AD283" s="4373"/>
      <c r="AE283" s="4373"/>
      <c r="AF283" s="4373"/>
      <c r="AG283" s="4373"/>
      <c r="AH283" s="4374"/>
      <c r="AI283" s="3466"/>
    </row>
    <row r="284" ht="16.5" customHeight="1">
      <c r="A284" s="3457"/>
      <c r="B284" s="4369"/>
      <c r="C284" s="4363"/>
      <c r="D284" s="4370"/>
      <c r="E284" s="4386" t="s">
        <v>198</v>
      </c>
      <c r="F284" s="405"/>
      <c r="G284" s="406"/>
      <c r="H284" s="4387">
        <v>183.0</v>
      </c>
      <c r="I284" s="4370"/>
      <c r="J284" s="4373"/>
      <c r="K284" s="4370"/>
      <c r="L284" s="4370"/>
      <c r="M284" s="4373"/>
      <c r="N284" s="4373"/>
      <c r="O284" s="4373"/>
      <c r="P284" s="4373"/>
      <c r="Q284" s="4370"/>
      <c r="R284" s="4370"/>
      <c r="S284" s="4373"/>
      <c r="T284" s="4373"/>
      <c r="U284" s="4373"/>
      <c r="V284" s="4370"/>
      <c r="W284" s="4370"/>
      <c r="X284" s="4373"/>
      <c r="Y284" s="4373"/>
      <c r="Z284" s="4373"/>
      <c r="AA284" s="4370"/>
      <c r="AB284" s="4373"/>
      <c r="AC284" s="4373"/>
      <c r="AD284" s="4373"/>
      <c r="AE284" s="4373"/>
      <c r="AF284" s="4373"/>
      <c r="AG284" s="4373"/>
      <c r="AH284" s="4374"/>
      <c r="AI284" s="3466"/>
    </row>
    <row r="285" ht="15.0" customHeight="1">
      <c r="A285" s="3361"/>
      <c r="B285" s="4388"/>
      <c r="C285" s="4389"/>
      <c r="D285" s="4390"/>
      <c r="E285" s="4391"/>
      <c r="F285" s="4391"/>
      <c r="G285" s="4391"/>
      <c r="H285" s="4391"/>
      <c r="I285" s="4390"/>
      <c r="J285" s="4390"/>
      <c r="K285" s="4390"/>
      <c r="L285" s="4390"/>
      <c r="M285" s="4390"/>
      <c r="N285" s="4390"/>
      <c r="O285" s="4390"/>
      <c r="P285" s="4390"/>
      <c r="Q285" s="4390"/>
      <c r="R285" s="4390"/>
      <c r="S285" s="4390"/>
      <c r="T285" s="4390"/>
      <c r="U285" s="4390"/>
      <c r="V285" s="4390"/>
      <c r="W285" s="4390"/>
      <c r="X285" s="4390"/>
      <c r="Y285" s="4390"/>
      <c r="Z285" s="4390"/>
      <c r="AA285" s="4390"/>
      <c r="AB285" s="4390"/>
      <c r="AC285" s="4390"/>
      <c r="AD285" s="4390"/>
      <c r="AE285" s="4390"/>
      <c r="AF285" s="4390"/>
      <c r="AG285" s="4390"/>
      <c r="AH285" s="4392"/>
      <c r="AI285" s="3367"/>
    </row>
    <row r="286" ht="15.0" customHeight="1">
      <c r="A286" s="3361"/>
      <c r="B286" s="4393"/>
      <c r="C286" s="4394"/>
      <c r="D286" s="4394"/>
      <c r="E286" s="4394"/>
      <c r="F286" s="4394"/>
      <c r="G286" s="4394"/>
      <c r="H286" s="4394"/>
      <c r="I286" s="4394"/>
      <c r="J286" s="4394"/>
      <c r="K286" s="4394"/>
      <c r="L286" s="4394"/>
      <c r="M286" s="4394"/>
      <c r="N286" s="4394"/>
      <c r="O286" s="4394"/>
      <c r="P286" s="4394"/>
      <c r="Q286" s="4394"/>
      <c r="R286" s="4394"/>
      <c r="S286" s="4394"/>
      <c r="T286" s="4394"/>
      <c r="U286" s="4394"/>
      <c r="V286" s="4394"/>
      <c r="W286" s="4394"/>
      <c r="X286" s="4394"/>
      <c r="Y286" s="4394"/>
      <c r="Z286" s="4394"/>
      <c r="AA286" s="4394"/>
      <c r="AB286" s="4394"/>
      <c r="AC286" s="4394"/>
      <c r="AD286" s="4394"/>
      <c r="AE286" s="4394"/>
      <c r="AF286" s="4394"/>
      <c r="AG286" s="4394"/>
      <c r="AH286" s="4395"/>
      <c r="AI286" s="3367"/>
    </row>
    <row r="287">
      <c r="A287" s="3361"/>
      <c r="B287" s="4396"/>
      <c r="C287" s="4397"/>
      <c r="D287" s="4398"/>
      <c r="E287" s="4399" t="s">
        <v>1092</v>
      </c>
      <c r="F287" s="4400"/>
      <c r="G287" s="4400"/>
      <c r="H287" s="4400"/>
      <c r="I287" s="4400"/>
      <c r="J287" s="4400"/>
      <c r="K287" s="4400"/>
      <c r="L287" s="4400"/>
      <c r="M287" s="4400"/>
      <c r="N287" s="4400"/>
      <c r="O287" s="4400"/>
      <c r="P287" s="4400"/>
      <c r="Q287" s="4400"/>
      <c r="R287" s="4400"/>
      <c r="S287" s="4400"/>
      <c r="T287" s="4400"/>
      <c r="U287" s="4400"/>
      <c r="V287" s="4400"/>
      <c r="W287" s="4400"/>
      <c r="X287" s="4400"/>
      <c r="Y287" s="4400"/>
      <c r="Z287" s="4400"/>
      <c r="AA287" s="4400"/>
      <c r="AB287" s="4400"/>
      <c r="AC287" s="4400"/>
      <c r="AD287" s="4400"/>
      <c r="AE287" s="4400"/>
      <c r="AF287" s="4400"/>
      <c r="AG287" s="4401"/>
      <c r="AH287" s="4402"/>
      <c r="AI287" s="3367"/>
    </row>
    <row r="288" ht="96.75" customHeight="1">
      <c r="A288" s="3361"/>
      <c r="B288" s="4396"/>
      <c r="C288" s="4403" t="str">
        <f>IMAGE("https://i.ibb.co/3hYCYv8/Rocker.png")</f>
        <v/>
      </c>
      <c r="D288" s="4404"/>
      <c r="E288" s="4405" t="str">
        <f t="array" ref="E288">IFERROR(VLOOKUP(E289,Dex!$B$3:$G1022,3,FALSE),"")</f>
        <v/>
      </c>
      <c r="F288" s="1830"/>
      <c r="G288" s="1830"/>
      <c r="H288" s="1831"/>
      <c r="I288" s="4406"/>
      <c r="J288" s="4405" t="str">
        <f t="array" ref="J288">IFERROR(VLOOKUP(J289,Dex!$B$3:$G1022,3,FALSE),"")</f>
        <v/>
      </c>
      <c r="K288" s="1830"/>
      <c r="L288" s="1830"/>
      <c r="M288" s="1831"/>
      <c r="N288" s="4406"/>
      <c r="O288" s="4405" t="str">
        <f t="array" ref="O288">IFERROR(VLOOKUP(O289,Dex!$B$3:$G1022,3,FALSE),"")</f>
        <v/>
      </c>
      <c r="P288" s="1830"/>
      <c r="Q288" s="1830"/>
      <c r="R288" s="1831"/>
      <c r="S288" s="4406"/>
      <c r="T288" s="4405" t="str">
        <f t="array" ref="T288">IFERROR(VLOOKUP(T289,Dex!$B$3:$G1022,3,FALSE),"")</f>
        <v/>
      </c>
      <c r="U288" s="1830"/>
      <c r="V288" s="1830"/>
      <c r="W288" s="1831"/>
      <c r="X288" s="4406"/>
      <c r="Y288" s="4405" t="str">
        <f t="array" ref="Y288">IFERROR(VLOOKUP(Y289,Dex!$B$3:$G1022,3,FALSE),"")</f>
        <v/>
      </c>
      <c r="Z288" s="1830"/>
      <c r="AA288" s="1830"/>
      <c r="AB288" s="1831"/>
      <c r="AC288" s="4407"/>
      <c r="AD288" s="4408"/>
      <c r="AE288" s="4400"/>
      <c r="AF288" s="4400"/>
      <c r="AG288" s="4401"/>
      <c r="AH288" s="4402"/>
      <c r="AI288" s="3367"/>
    </row>
    <row r="289" ht="18.75" customHeight="1">
      <c r="A289" s="3621"/>
      <c r="B289" s="4409"/>
      <c r="C289" s="4410" t="s">
        <v>1093</v>
      </c>
      <c r="D289" s="4411"/>
      <c r="E289" s="4412" t="s">
        <v>1094</v>
      </c>
      <c r="F289" s="4413"/>
      <c r="G289" s="4413"/>
      <c r="H289" s="4414"/>
      <c r="I289" s="4415"/>
      <c r="J289" s="4412" t="s">
        <v>1095</v>
      </c>
      <c r="K289" s="4413"/>
      <c r="L289" s="4413"/>
      <c r="M289" s="4414"/>
      <c r="N289" s="4415"/>
      <c r="O289" s="4412" t="s">
        <v>1068</v>
      </c>
      <c r="P289" s="4413"/>
      <c r="Q289" s="4413"/>
      <c r="R289" s="4414"/>
      <c r="S289" s="4415"/>
      <c r="T289" s="4412" t="s">
        <v>1096</v>
      </c>
      <c r="U289" s="4413"/>
      <c r="V289" s="4413"/>
      <c r="W289" s="4414"/>
      <c r="X289" s="4415"/>
      <c r="Y289" s="4412" t="s">
        <v>616</v>
      </c>
      <c r="Z289" s="4413"/>
      <c r="AA289" s="4413"/>
      <c r="AB289" s="4414"/>
      <c r="AC289" s="4415"/>
      <c r="AD289" s="4416"/>
      <c r="AE289" s="4400"/>
      <c r="AF289" s="4400"/>
      <c r="AG289" s="4401"/>
      <c r="AH289" s="4417"/>
      <c r="AI289" s="3631"/>
    </row>
    <row r="290">
      <c r="A290" s="3632"/>
      <c r="B290" s="4418"/>
      <c r="C290" s="1481"/>
      <c r="D290" s="4419"/>
      <c r="E290" s="4420" t="s">
        <v>843</v>
      </c>
      <c r="F290" s="4421"/>
      <c r="G290" s="4421"/>
      <c r="H290" s="4422"/>
      <c r="I290" s="4415"/>
      <c r="J290" s="4420" t="s">
        <v>843</v>
      </c>
      <c r="K290" s="4421"/>
      <c r="L290" s="4421"/>
      <c r="M290" s="4422"/>
      <c r="N290" s="4415"/>
      <c r="O290" s="4420" t="s">
        <v>843</v>
      </c>
      <c r="P290" s="4421"/>
      <c r="Q290" s="4421"/>
      <c r="R290" s="4422"/>
      <c r="S290" s="4415"/>
      <c r="T290" s="4420" t="s">
        <v>843</v>
      </c>
      <c r="U290" s="4421"/>
      <c r="V290" s="4421"/>
      <c r="W290" s="4422"/>
      <c r="X290" s="4415"/>
      <c r="Y290" s="4420" t="s">
        <v>843</v>
      </c>
      <c r="Z290" s="4421"/>
      <c r="AA290" s="4421"/>
      <c r="AB290" s="4422"/>
      <c r="AC290" s="4415"/>
      <c r="AD290" s="4423"/>
      <c r="AE290" s="4400"/>
      <c r="AF290" s="4400"/>
      <c r="AG290" s="4401"/>
      <c r="AH290" s="4424"/>
      <c r="AI290" s="3640"/>
    </row>
    <row r="291" ht="25.5" customHeight="1">
      <c r="A291" s="3361"/>
      <c r="B291" s="4396"/>
      <c r="C291" s="1489"/>
      <c r="D291" s="4398"/>
      <c r="E291" s="4425"/>
      <c r="F291" s="4426" t="str">
        <f t="array" ref="F291">IFERROR(VLOOKUP(E289,Dex!$B$3:$H1022,5,FALSE),"")</f>
        <v/>
      </c>
      <c r="G291" s="4427" t="str">
        <f t="array" ref="G291">IFERROR(VLOOKUP(E289,Dex!$B$3:$H1022,7,FALSE),"")</f>
        <v/>
      </c>
      <c r="H291" s="4428"/>
      <c r="I291" s="4415"/>
      <c r="J291" s="4425"/>
      <c r="K291" s="4426" t="str">
        <f t="array" ref="K291">IFERROR(VLOOKUP(J289,Dex!$B$3:$H1022,5,FALSE),"")</f>
        <v/>
      </c>
      <c r="L291" s="4427" t="str">
        <f t="array" ref="L291">IFERROR(VLOOKUP(J289,Dex!$B$3:$H1022,7,FALSE),"")</f>
        <v/>
      </c>
      <c r="M291" s="4428"/>
      <c r="N291" s="4415"/>
      <c r="O291" s="4425"/>
      <c r="P291" s="4426" t="str">
        <f t="array" ref="P291">IFERROR(VLOOKUP(O289,Dex!$B$3:$H1022,5,FALSE),"")</f>
        <v/>
      </c>
      <c r="Q291" s="4427" t="str">
        <f t="array" ref="Q291">IFERROR(VLOOKUP(O289,Dex!$B$3:$H1022,7,FALSE),"")</f>
        <v/>
      </c>
      <c r="R291" s="4428"/>
      <c r="S291" s="4415"/>
      <c r="T291" s="4425"/>
      <c r="U291" s="4426" t="str">
        <f t="array" ref="U291">IFERROR(VLOOKUP(T289,Dex!$B$3:$H1022,5,FALSE),"")</f>
        <v/>
      </c>
      <c r="V291" s="4427" t="str">
        <f t="array" ref="V291">IFERROR(VLOOKUP(T289,Dex!$B$3:$H1022,7,FALSE),"")</f>
        <v/>
      </c>
      <c r="W291" s="4428"/>
      <c r="X291" s="4415"/>
      <c r="Y291" s="4425"/>
      <c r="Z291" s="4426" t="str">
        <f t="array" ref="Z291">IFERROR(VLOOKUP(Y289,Dex!$B$3:$H1022,5,FALSE),"")</f>
        <v/>
      </c>
      <c r="AA291" s="4427" t="str">
        <f t="array" ref="AA291">IFERROR(VLOOKUP(Y289,Dex!$B$3:$H1022,7,FALSE),"")</f>
        <v/>
      </c>
      <c r="AB291" s="4428"/>
      <c r="AC291" s="4415"/>
      <c r="AD291" s="4408"/>
      <c r="AE291" s="4400"/>
      <c r="AF291" s="4400"/>
      <c r="AG291" s="4401"/>
      <c r="AH291" s="4402"/>
      <c r="AI291" s="3367"/>
    </row>
    <row r="292" ht="2.25" customHeight="1">
      <c r="A292" s="3361"/>
      <c r="B292" s="4396"/>
      <c r="C292" s="4397"/>
      <c r="D292" s="4398"/>
      <c r="E292" s="4429"/>
      <c r="F292" s="4430"/>
      <c r="G292" s="4430"/>
      <c r="H292" s="4431"/>
      <c r="I292" s="4415"/>
      <c r="J292" s="4429"/>
      <c r="K292" s="4430"/>
      <c r="L292" s="4430"/>
      <c r="M292" s="4431"/>
      <c r="N292" s="4415"/>
      <c r="O292" s="4429"/>
      <c r="P292" s="4430"/>
      <c r="Q292" s="4430"/>
      <c r="R292" s="4431"/>
      <c r="S292" s="4415"/>
      <c r="T292" s="4429"/>
      <c r="U292" s="4430"/>
      <c r="V292" s="4430"/>
      <c r="W292" s="4431"/>
      <c r="X292" s="4415"/>
      <c r="Y292" s="4429"/>
      <c r="Z292" s="4430"/>
      <c r="AA292" s="4430"/>
      <c r="AB292" s="4431"/>
      <c r="AC292" s="4415"/>
      <c r="AD292" s="4398"/>
      <c r="AE292" s="4398"/>
      <c r="AF292" s="4398"/>
      <c r="AG292" s="4398"/>
      <c r="AH292" s="4402"/>
      <c r="AI292" s="3367"/>
    </row>
    <row r="293" ht="20.25" customHeight="1">
      <c r="A293" s="3361"/>
      <c r="B293" s="4396"/>
      <c r="C293" s="4397"/>
      <c r="D293" s="4398"/>
      <c r="E293" s="4432" t="s">
        <v>471</v>
      </c>
      <c r="F293" s="4433"/>
      <c r="G293" s="4433"/>
      <c r="H293" s="4434"/>
      <c r="I293" s="4415"/>
      <c r="J293" s="4432" t="s">
        <v>205</v>
      </c>
      <c r="K293" s="4433"/>
      <c r="L293" s="4433"/>
      <c r="M293" s="4434"/>
      <c r="N293" s="4415"/>
      <c r="O293" s="4432" t="s">
        <v>205</v>
      </c>
      <c r="P293" s="4433"/>
      <c r="Q293" s="4433"/>
      <c r="R293" s="4434"/>
      <c r="S293" s="4415"/>
      <c r="T293" s="4432" t="s">
        <v>205</v>
      </c>
      <c r="U293" s="4433"/>
      <c r="V293" s="4433"/>
      <c r="W293" s="4434"/>
      <c r="X293" s="4415"/>
      <c r="Y293" s="4432" t="s">
        <v>206</v>
      </c>
      <c r="Z293" s="4433"/>
      <c r="AA293" s="4433"/>
      <c r="AB293" s="4434"/>
      <c r="AC293" s="4415"/>
      <c r="AD293" s="4408"/>
      <c r="AE293" s="4400"/>
      <c r="AF293" s="4400"/>
      <c r="AG293" s="4401"/>
      <c r="AH293" s="4402"/>
      <c r="AI293" s="3367"/>
    </row>
    <row r="294" ht="20.25" customHeight="1">
      <c r="A294" s="3361"/>
      <c r="B294" s="4396"/>
      <c r="C294" s="4397"/>
      <c r="D294" s="4398"/>
      <c r="E294" s="4435" t="s">
        <v>550</v>
      </c>
      <c r="F294" s="4400"/>
      <c r="G294" s="4400"/>
      <c r="H294" s="4436"/>
      <c r="I294" s="4415"/>
      <c r="J294" s="4435" t="s">
        <v>620</v>
      </c>
      <c r="K294" s="4400"/>
      <c r="L294" s="4400"/>
      <c r="M294" s="4436"/>
      <c r="N294" s="4415"/>
      <c r="O294" s="4435" t="s">
        <v>329</v>
      </c>
      <c r="P294" s="4400"/>
      <c r="Q294" s="4400"/>
      <c r="R294" s="4436"/>
      <c r="S294" s="4415"/>
      <c r="T294" s="4435" t="s">
        <v>518</v>
      </c>
      <c r="U294" s="4400"/>
      <c r="V294" s="4400"/>
      <c r="W294" s="4436"/>
      <c r="X294" s="4415"/>
      <c r="Y294" s="4435" t="s">
        <v>1032</v>
      </c>
      <c r="Z294" s="4400"/>
      <c r="AA294" s="4400"/>
      <c r="AB294" s="4436"/>
      <c r="AC294" s="4415"/>
      <c r="AD294" s="4408"/>
      <c r="AE294" s="4400"/>
      <c r="AF294" s="4400"/>
      <c r="AG294" s="4401"/>
      <c r="AH294" s="4402"/>
      <c r="AI294" s="3367"/>
    </row>
    <row r="295" ht="20.25" customHeight="1">
      <c r="A295" s="3361"/>
      <c r="B295" s="4396"/>
      <c r="C295" s="4397"/>
      <c r="D295" s="4398"/>
      <c r="E295" s="4437" t="s">
        <v>211</v>
      </c>
      <c r="F295" s="4438"/>
      <c r="G295" s="4439"/>
      <c r="H295" s="4440" t="str">
        <f>IMAGE("https://raw.githubusercontent.com/msikma/pokesprite/master/items/hold-item/eviolite.png",3)</f>
        <v/>
      </c>
      <c r="I295" s="4415"/>
      <c r="J295" s="4437" t="s">
        <v>272</v>
      </c>
      <c r="K295" s="4438"/>
      <c r="L295" s="4439"/>
      <c r="M295" s="4440" t="str">
        <f>IMAGE("https://raw.githubusercontent.com/msikma/pokesprite/master/items/hold-item/life-orb.png",3)</f>
        <v/>
      </c>
      <c r="N295" s="4415"/>
      <c r="O295" s="4437" t="s">
        <v>272</v>
      </c>
      <c r="P295" s="4438"/>
      <c r="Q295" s="4439"/>
      <c r="R295" s="4440" t="str">
        <f>IMAGE("https://raw.githubusercontent.com/msikma/pokesprite/master/items/hold-item/life-orb.png",3)</f>
        <v/>
      </c>
      <c r="S295" s="4415"/>
      <c r="T295" s="4437" t="s">
        <v>334</v>
      </c>
      <c r="U295" s="4438"/>
      <c r="V295" s="4439"/>
      <c r="W295" s="4440" t="str">
        <f>IMAGE("https://raw.githubusercontent.com/msikma/pokesprite/master/items/hold-item/choice-specs.png",3)</f>
        <v/>
      </c>
      <c r="X295" s="4415"/>
      <c r="Y295" s="4437" t="s">
        <v>394</v>
      </c>
      <c r="Z295" s="4438"/>
      <c r="AA295" s="4439"/>
      <c r="AB295" s="4440" t="str">
        <f>IMAGE("https://raw.githubusercontent.com/msikma/pokesprite/master/items/hold-item/leftovers.png",3)</f>
        <v/>
      </c>
      <c r="AC295" s="4415"/>
      <c r="AD295" s="4408"/>
      <c r="AE295" s="4400"/>
      <c r="AF295" s="4400"/>
      <c r="AG295" s="4401"/>
      <c r="AH295" s="4402"/>
      <c r="AI295" s="3367"/>
    </row>
    <row r="296" ht="20.25" customHeight="1">
      <c r="A296" s="3361"/>
      <c r="B296" s="4396"/>
      <c r="C296" s="4441"/>
      <c r="D296" s="4398"/>
      <c r="E296" s="4432" t="s">
        <v>395</v>
      </c>
      <c r="F296" s="4433"/>
      <c r="G296" s="4442"/>
      <c r="H296" s="4443" t="str">
        <f>IMAGE("https://raw.githubusercontent.com/msikma/pokesprite/master/misc/types/gen8/rock.png",4,20,20)</f>
        <v/>
      </c>
      <c r="I296" s="4415"/>
      <c r="J296" s="4432" t="s">
        <v>337</v>
      </c>
      <c r="K296" s="4433"/>
      <c r="L296" s="4442"/>
      <c r="M296" s="4443" t="str">
        <f>IMAGE("https://raw.githubusercontent.com/msikma/pokesprite/master/misc/types/gen8/normal.png",4,20,20)</f>
        <v/>
      </c>
      <c r="N296" s="4415"/>
      <c r="O296" s="4432" t="s">
        <v>286</v>
      </c>
      <c r="P296" s="4433"/>
      <c r="Q296" s="4442"/>
      <c r="R296" s="4443" t="str">
        <f>IMAGE("https://raw.githubusercontent.com/msikma/pokesprite/master/misc/types/gen8/ground.png",4,20,20)</f>
        <v/>
      </c>
      <c r="S296" s="4415"/>
      <c r="T296" s="4432" t="s">
        <v>247</v>
      </c>
      <c r="U296" s="4433"/>
      <c r="V296" s="4442"/>
      <c r="W296" s="4443" t="str">
        <f>IMAGE("https://raw.githubusercontent.com/msikma/pokesprite/master/misc/types/gen8/bug.png",4,20,20)</f>
        <v/>
      </c>
      <c r="X296" s="4415"/>
      <c r="Y296" s="4432" t="s">
        <v>1097</v>
      </c>
      <c r="Z296" s="4433"/>
      <c r="AA296" s="4442"/>
      <c r="AB296" s="4443" t="str">
        <f>IMAGE("https://raw.githubusercontent.com/msikma/pokesprite/master/misc/types/gen8/ice.png",4,20,20)</f>
        <v/>
      </c>
      <c r="AC296" s="4415"/>
      <c r="AD296" s="4408"/>
      <c r="AE296" s="4400"/>
      <c r="AF296" s="4400"/>
      <c r="AG296" s="4401"/>
      <c r="AH296" s="4402"/>
      <c r="AI296" s="3367"/>
    </row>
    <row r="297" ht="20.25" customHeight="1">
      <c r="A297" s="3361"/>
      <c r="B297" s="4396"/>
      <c r="C297" s="4441"/>
      <c r="D297" s="4398"/>
      <c r="E297" s="4435" t="s">
        <v>402</v>
      </c>
      <c r="F297" s="4400"/>
      <c r="G297" s="4401"/>
      <c r="H297" s="4444" t="str">
        <f>IMAGE("https://raw.githubusercontent.com/msikma/pokesprite/master/misc/types/gen8/ground.png",4,20,20)</f>
        <v/>
      </c>
      <c r="I297" s="4415"/>
      <c r="J297" s="4435" t="s">
        <v>433</v>
      </c>
      <c r="K297" s="4400"/>
      <c r="L297" s="4401"/>
      <c r="M297" s="4444" t="str">
        <f>IMAGE("https://raw.githubusercontent.com/msikma/pokesprite/master/misc/types/gen8/water.png",4,20,20)</f>
        <v/>
      </c>
      <c r="N297" s="4415"/>
      <c r="O297" s="4435" t="s">
        <v>1097</v>
      </c>
      <c r="P297" s="4400"/>
      <c r="Q297" s="4401"/>
      <c r="R297" s="4444" t="str">
        <f>IMAGE("https://raw.githubusercontent.com/msikma/pokesprite/master/misc/types/gen8/ice.png",4,20,20)</f>
        <v/>
      </c>
      <c r="S297" s="4415"/>
      <c r="T297" s="4435" t="s">
        <v>374</v>
      </c>
      <c r="U297" s="4400"/>
      <c r="V297" s="4401"/>
      <c r="W297" s="4444" t="str">
        <f>IMAGE("https://raw.githubusercontent.com/msikma/pokesprite/master/misc/types/gen8/flying.png",4,20,20)</f>
        <v/>
      </c>
      <c r="X297" s="4415"/>
      <c r="Y297" s="4435" t="s">
        <v>605</v>
      </c>
      <c r="Z297" s="4400"/>
      <c r="AA297" s="4401"/>
      <c r="AB297" s="4444" t="str">
        <f t="shared" ref="AB297:AB298" si="5">IMAGE("https://raw.githubusercontent.com/msikma/pokesprite/master/misc/types/gen8/normal.png",4,20,20)</f>
        <v/>
      </c>
      <c r="AC297" s="4415"/>
      <c r="AD297" s="4408"/>
      <c r="AE297" s="4400"/>
      <c r="AF297" s="4400"/>
      <c r="AG297" s="4401"/>
      <c r="AH297" s="4402"/>
      <c r="AI297" s="3367"/>
    </row>
    <row r="298" ht="20.25" customHeight="1">
      <c r="A298" s="3361"/>
      <c r="B298" s="4396"/>
      <c r="C298" s="4441"/>
      <c r="D298" s="4398"/>
      <c r="E298" s="4435" t="s">
        <v>658</v>
      </c>
      <c r="F298" s="4400"/>
      <c r="G298" s="4401"/>
      <c r="H298" s="4444" t="str">
        <f>IMAGE("https://raw.githubusercontent.com/msikma/pokesprite/master/misc/types/gen8/normal.png",4,20,20)</f>
        <v/>
      </c>
      <c r="I298" s="4415"/>
      <c r="J298" s="4435" t="s">
        <v>379</v>
      </c>
      <c r="K298" s="4400"/>
      <c r="L298" s="4401"/>
      <c r="M298" s="4444" t="str">
        <f>IMAGE("https://raw.githubusercontent.com/msikma/pokesprite/master/misc/types/gen8/ice.png",4,20,20)</f>
        <v/>
      </c>
      <c r="N298" s="4415"/>
      <c r="O298" s="4435" t="s">
        <v>785</v>
      </c>
      <c r="P298" s="4400"/>
      <c r="Q298" s="4401"/>
      <c r="R298" s="4444" t="str">
        <f>IMAGE("https://raw.githubusercontent.com/msikma/pokesprite/master/misc/types/gen8/fire.png",4,20,20)</f>
        <v/>
      </c>
      <c r="S298" s="4415"/>
      <c r="T298" s="4435" t="s">
        <v>278</v>
      </c>
      <c r="U298" s="4400"/>
      <c r="V298" s="4401"/>
      <c r="W298" s="4444" t="str">
        <f>IMAGE("https://raw.githubusercontent.com/msikma/pokesprite/master/misc/types/gen8/bug.png",4,20,20)</f>
        <v/>
      </c>
      <c r="X298" s="4415"/>
      <c r="Y298" s="4435" t="s">
        <v>187</v>
      </c>
      <c r="Z298" s="4400"/>
      <c r="AA298" s="4401"/>
      <c r="AB298" s="4444" t="str">
        <f t="shared" si="5"/>
        <v/>
      </c>
      <c r="AC298" s="4415"/>
      <c r="AD298" s="4408"/>
      <c r="AE298" s="4400"/>
      <c r="AF298" s="4400"/>
      <c r="AG298" s="4401"/>
      <c r="AH298" s="4402"/>
      <c r="AI298" s="3367"/>
    </row>
    <row r="299" ht="21.0" customHeight="1">
      <c r="A299" s="3361"/>
      <c r="B299" s="4396"/>
      <c r="C299" s="4441"/>
      <c r="D299" s="4398"/>
      <c r="E299" s="4445" t="s">
        <v>634</v>
      </c>
      <c r="F299" s="4446"/>
      <c r="G299" s="4447"/>
      <c r="H299" s="4448" t="str">
        <f>IMAGE("https://raw.githubusercontent.com/msikma/pokesprite/master/misc/types/gen8/ice.png",4,20,20)</f>
        <v/>
      </c>
      <c r="I299" s="4449"/>
      <c r="J299" s="4445" t="s">
        <v>242</v>
      </c>
      <c r="K299" s="4446"/>
      <c r="L299" s="4447"/>
      <c r="M299" s="4448" t="str">
        <f>IMAGE("https://raw.githubusercontent.com/msikma/pokesprite/master/misc/types/gen8/electric.png",4,20,20)</f>
        <v/>
      </c>
      <c r="N299" s="4449"/>
      <c r="O299" s="4445" t="s">
        <v>277</v>
      </c>
      <c r="P299" s="4446"/>
      <c r="Q299" s="4447"/>
      <c r="R299" s="4448" t="str">
        <f>IMAGE("https://raw.githubusercontent.com/msikma/pokesprite/master/misc/types/gen8/electric.png",4,20,20)</f>
        <v/>
      </c>
      <c r="S299" s="4449"/>
      <c r="T299" s="4445" t="s">
        <v>275</v>
      </c>
      <c r="U299" s="4446"/>
      <c r="V299" s="4447"/>
      <c r="W299" s="4448" t="str">
        <f>IMAGE("https://raw.githubusercontent.com/msikma/pokesprite/master/misc/types/gen8/grass.png",4,20,20)</f>
        <v/>
      </c>
      <c r="X299" s="4449"/>
      <c r="Y299" s="4445" t="s">
        <v>184</v>
      </c>
      <c r="Z299" s="4446"/>
      <c r="AA299" s="4447"/>
      <c r="AB299" s="4448" t="str">
        <f>IMAGE("https://raw.githubusercontent.com/msikma/pokesprite/master/misc/types/gen8/poison.png",4,20,20)</f>
        <v/>
      </c>
      <c r="AC299" s="4449"/>
      <c r="AD299" s="4408"/>
      <c r="AE299" s="4400"/>
      <c r="AF299" s="4400"/>
      <c r="AG299" s="4401"/>
      <c r="AH299" s="4402"/>
      <c r="AI299" s="3367"/>
    </row>
    <row r="300" ht="3.0" customHeight="1">
      <c r="A300" s="3445"/>
      <c r="B300" s="4450"/>
      <c r="C300" s="4441"/>
      <c r="D300" s="4451"/>
      <c r="E300" s="4452"/>
      <c r="F300" s="4452"/>
      <c r="G300" s="4452"/>
      <c r="H300" s="4452"/>
      <c r="I300" s="4451"/>
      <c r="J300" s="4452"/>
      <c r="K300" s="4452"/>
      <c r="L300" s="4452"/>
      <c r="M300" s="4452"/>
      <c r="N300" s="4451"/>
      <c r="O300" s="4452"/>
      <c r="P300" s="4452"/>
      <c r="Q300" s="4452"/>
      <c r="R300" s="4452"/>
      <c r="S300" s="4452"/>
      <c r="T300" s="4452"/>
      <c r="U300" s="4452"/>
      <c r="V300" s="4452"/>
      <c r="W300" s="4452"/>
      <c r="X300" s="4451"/>
      <c r="Y300" s="4451"/>
      <c r="Z300" s="4453"/>
      <c r="AA300" s="4453"/>
      <c r="AB300" s="4454"/>
      <c r="AC300" s="4454"/>
      <c r="AD300" s="4454"/>
      <c r="AE300" s="4454"/>
      <c r="AF300" s="4454"/>
      <c r="AG300" s="4454"/>
      <c r="AH300" s="4455"/>
      <c r="AI300" s="3456"/>
    </row>
    <row r="301" ht="16.5" customHeight="1">
      <c r="A301" s="3457"/>
      <c r="B301" s="4456"/>
      <c r="C301" s="4441"/>
      <c r="D301" s="4457"/>
      <c r="E301" s="4458" t="s">
        <v>190</v>
      </c>
      <c r="F301" s="381"/>
      <c r="G301" s="382"/>
      <c r="H301" s="4459" t="s">
        <v>191</v>
      </c>
      <c r="I301" s="4457"/>
      <c r="J301" s="4458" t="s">
        <v>190</v>
      </c>
      <c r="K301" s="381"/>
      <c r="L301" s="382"/>
      <c r="M301" s="4459" t="s">
        <v>191</v>
      </c>
      <c r="N301" s="4460"/>
      <c r="O301" s="4458" t="s">
        <v>190</v>
      </c>
      <c r="P301" s="381"/>
      <c r="Q301" s="382"/>
      <c r="R301" s="4459" t="s">
        <v>191</v>
      </c>
      <c r="S301" s="4460"/>
      <c r="T301" s="4458" t="s">
        <v>190</v>
      </c>
      <c r="U301" s="381"/>
      <c r="V301" s="382"/>
      <c r="W301" s="4459" t="s">
        <v>191</v>
      </c>
      <c r="X301" s="4460"/>
      <c r="Y301" s="4458" t="s">
        <v>190</v>
      </c>
      <c r="Z301" s="381"/>
      <c r="AA301" s="382"/>
      <c r="AB301" s="4459" t="s">
        <v>191</v>
      </c>
      <c r="AC301" s="4460"/>
      <c r="AD301" s="4460"/>
      <c r="AE301" s="4460"/>
      <c r="AF301" s="4460"/>
      <c r="AG301" s="4460"/>
      <c r="AH301" s="4461"/>
      <c r="AI301" s="3466"/>
    </row>
    <row r="302" ht="16.5" customHeight="1">
      <c r="A302" s="3457"/>
      <c r="B302" s="4456"/>
      <c r="C302" s="4441"/>
      <c r="D302" s="4457"/>
      <c r="E302" s="4462" t="s">
        <v>192</v>
      </c>
      <c r="F302" s="4463">
        <f t="array" ref="F302">IFERROR(VLOOKUP(E289,Dex!$B$3:$N1022,8,FALSE),"")</f>
        <v>100</v>
      </c>
      <c r="G302" s="4464" t="str">
        <f t="array" ref="G302">IFERROR(VLOOKUP(F302,Dex!$P$22:$Q$276,2,FALSE),"")</f>
        <v/>
      </c>
      <c r="H302" s="4465">
        <v>252.0</v>
      </c>
      <c r="I302" s="4457"/>
      <c r="J302" s="4462" t="s">
        <v>192</v>
      </c>
      <c r="K302" s="4463">
        <f t="array" ref="K302">IFERROR(VLOOKUP(J289,Dex!$B$3:$N1022,8,FALSE),"")</f>
        <v>62</v>
      </c>
      <c r="L302" s="4464" t="str">
        <f t="array" ref="L302">IFERROR(VLOOKUP(K302,Dex!$P$22:$Q$276,2,FALSE),"")</f>
        <v/>
      </c>
      <c r="M302" s="4465"/>
      <c r="N302" s="4460"/>
      <c r="O302" s="4462" t="s">
        <v>192</v>
      </c>
      <c r="P302" s="4463">
        <f t="array" ref="P302">IFERROR(VLOOKUP(O289,Dex!$B$3:$N1022,8,FALSE),"")</f>
        <v>90</v>
      </c>
      <c r="Q302" s="4464" t="str">
        <f t="array" ref="Q302">IFERROR(VLOOKUP(P302,Dex!$P$22:$Q$276,2,FALSE),"")</f>
        <v/>
      </c>
      <c r="R302" s="4465"/>
      <c r="S302" s="4460"/>
      <c r="T302" s="4462" t="s">
        <v>192</v>
      </c>
      <c r="U302" s="4463">
        <f t="array" ref="U302">IFERROR(VLOOKUP(T289,Dex!$B$3:$N1022,8,FALSE),"")</f>
        <v>86</v>
      </c>
      <c r="V302" s="4464" t="str">
        <f t="array" ref="V302">IFERROR(VLOOKUP(U302,Dex!$P$22:$Q$276,2,FALSE),"")</f>
        <v/>
      </c>
      <c r="W302" s="4465"/>
      <c r="X302" s="4460"/>
      <c r="Y302" s="4462" t="s">
        <v>192</v>
      </c>
      <c r="Z302" s="4463">
        <f t="array" ref="Z302">IFERROR(VLOOKUP(Y289,Dex!$B$3:$N1022,8,FALSE),"")</f>
        <v>90</v>
      </c>
      <c r="AA302" s="4464" t="str">
        <f t="array" ref="AA302">IFERROR(VLOOKUP(Z302,Dex!$P$22:$Q$276,2,FALSE),"")</f>
        <v/>
      </c>
      <c r="AB302" s="4465">
        <v>252.0</v>
      </c>
      <c r="AC302" s="4460"/>
      <c r="AD302" s="4460"/>
      <c r="AE302" s="4460"/>
      <c r="AF302" s="4460"/>
      <c r="AG302" s="4460"/>
      <c r="AH302" s="4461"/>
      <c r="AI302" s="3466"/>
    </row>
    <row r="303" ht="16.5" customHeight="1">
      <c r="A303" s="3457"/>
      <c r="B303" s="4456"/>
      <c r="C303" s="4441"/>
      <c r="D303" s="4457"/>
      <c r="E303" s="4466" t="s">
        <v>193</v>
      </c>
      <c r="F303" s="4467">
        <f t="array" ref="F303">IFERROR(VLOOKUP(E289,Dex!$B$3:$N1022,9,FALSE),"")</f>
        <v>100</v>
      </c>
      <c r="G303" s="4468" t="str">
        <f t="array" ref="G303">IFERROR(VLOOKUP(F303,Dex!$P$22:$Q$276,2,FALSE),"")</f>
        <v/>
      </c>
      <c r="H303" s="4469"/>
      <c r="I303" s="4457"/>
      <c r="J303" s="4466" t="s">
        <v>193</v>
      </c>
      <c r="K303" s="4467">
        <f t="array" ref="K303">IFERROR(VLOOKUP(J289,Dex!$B$3:$N1022,9,FALSE),"")</f>
        <v>55</v>
      </c>
      <c r="L303" s="4468" t="str">
        <f t="array" ref="L303">IFERROR(VLOOKUP(K303,Dex!$P$22:$Q$276,2,FALSE),"")</f>
        <v/>
      </c>
      <c r="M303" s="4469"/>
      <c r="N303" s="4460"/>
      <c r="O303" s="4466" t="s">
        <v>193</v>
      </c>
      <c r="P303" s="4467">
        <f t="array" ref="P303">IFERROR(VLOOKUP(O289,Dex!$B$3:$N1022,9,FALSE),"")</f>
        <v>92</v>
      </c>
      <c r="Q303" s="4468" t="str">
        <f t="array" ref="Q303">IFERROR(VLOOKUP(P303,Dex!$P$22:$Q$276,2,FALSE),"")</f>
        <v/>
      </c>
      <c r="R303" s="4469"/>
      <c r="S303" s="4460"/>
      <c r="T303" s="4466" t="s">
        <v>193</v>
      </c>
      <c r="U303" s="4467">
        <f t="array" ref="U303">IFERROR(VLOOKUP(T289,Dex!$B$3:$N1022,9,FALSE),"")</f>
        <v>76</v>
      </c>
      <c r="V303" s="4468" t="str">
        <f t="array" ref="V303">IFERROR(VLOOKUP(U303,Dex!$P$22:$Q$276,2,FALSE),"")</f>
        <v/>
      </c>
      <c r="W303" s="4469"/>
      <c r="X303" s="4460"/>
      <c r="Y303" s="4466" t="s">
        <v>193</v>
      </c>
      <c r="Z303" s="4467">
        <f t="array" ref="Z303">IFERROR(VLOOKUP(Y289,Dex!$B$3:$N1022,9,FALSE),"")</f>
        <v>80</v>
      </c>
      <c r="AA303" s="4468" t="str">
        <f t="array" ref="AA303">IFERROR(VLOOKUP(Z303,Dex!$P$22:$Q$276,2,FALSE),"")</f>
        <v/>
      </c>
      <c r="AB303" s="4469"/>
      <c r="AC303" s="4460"/>
      <c r="AD303" s="4460"/>
      <c r="AE303" s="4460"/>
      <c r="AF303" s="4460"/>
      <c r="AG303" s="4460"/>
      <c r="AH303" s="4461"/>
      <c r="AI303" s="3466"/>
    </row>
    <row r="304" ht="16.5" customHeight="1">
      <c r="A304" s="3457"/>
      <c r="B304" s="4456"/>
      <c r="C304" s="4441"/>
      <c r="D304" s="4457"/>
      <c r="E304" s="4466" t="s">
        <v>194</v>
      </c>
      <c r="F304" s="4467">
        <f t="array" ref="F304">IFERROR(VLOOKUP(E289,Dex!$B$3:$N1022,10,FALSE),"")</f>
        <v>80</v>
      </c>
      <c r="G304" s="4468" t="str">
        <f t="array" ref="G304">IFERROR(VLOOKUP(F304,Dex!$P$22:$Q$276,2,FALSE),"")</f>
        <v/>
      </c>
      <c r="H304" s="4469">
        <v>4.0</v>
      </c>
      <c r="I304" s="4457"/>
      <c r="J304" s="4466" t="s">
        <v>194</v>
      </c>
      <c r="K304" s="4467">
        <f t="array" ref="K304">IFERROR(VLOOKUP(J289,Dex!$B$3:$N1022,10,FALSE),"")</f>
        <v>52</v>
      </c>
      <c r="L304" s="4468" t="str">
        <f t="array" ref="L304">IFERROR(VLOOKUP(K304,Dex!$P$22:$Q$276,2,FALSE),"")</f>
        <v/>
      </c>
      <c r="M304" s="4469"/>
      <c r="N304" s="4460"/>
      <c r="O304" s="4466" t="s">
        <v>194</v>
      </c>
      <c r="P304" s="4467">
        <f t="array" ref="P304">IFERROR(VLOOKUP(O289,Dex!$B$3:$N1022,10,FALSE),"")</f>
        <v>87</v>
      </c>
      <c r="Q304" s="4468" t="str">
        <f t="array" ref="Q304">IFERROR(VLOOKUP(P304,Dex!$P$22:$Q$276,2,FALSE),"")</f>
        <v/>
      </c>
      <c r="R304" s="4469"/>
      <c r="S304" s="4460"/>
      <c r="T304" s="4466" t="s">
        <v>194</v>
      </c>
      <c r="U304" s="4467">
        <f t="array" ref="U304">IFERROR(VLOOKUP(T289,Dex!$B$3:$N1022,10,FALSE),"")</f>
        <v>86</v>
      </c>
      <c r="V304" s="4468" t="str">
        <f t="array" ref="V304">IFERROR(VLOOKUP(U304,Dex!$P$22:$Q$276,2,FALSE),"")</f>
        <v/>
      </c>
      <c r="W304" s="4469"/>
      <c r="X304" s="4460"/>
      <c r="Y304" s="4466" t="s">
        <v>194</v>
      </c>
      <c r="Z304" s="4467">
        <f t="array" ref="Z304">IFERROR(VLOOKUP(Y289,Dex!$B$3:$N1022,10,FALSE),"")</f>
        <v>90</v>
      </c>
      <c r="AA304" s="4468" t="str">
        <f t="array" ref="AA304">IFERROR(VLOOKUP(Z304,Dex!$P$22:$Q$276,2,FALSE),"")</f>
        <v/>
      </c>
      <c r="AB304" s="4469">
        <v>252.0</v>
      </c>
      <c r="AC304" s="4460"/>
      <c r="AD304" s="4460"/>
      <c r="AE304" s="4460"/>
      <c r="AF304" s="4460"/>
      <c r="AG304" s="4460"/>
      <c r="AH304" s="4461"/>
      <c r="AI304" s="3466"/>
    </row>
    <row r="305" ht="16.5" customHeight="1">
      <c r="A305" s="3457"/>
      <c r="B305" s="4456"/>
      <c r="C305" s="4441"/>
      <c r="D305" s="4457"/>
      <c r="E305" s="4466" t="s">
        <v>195</v>
      </c>
      <c r="F305" s="4467">
        <f t="array" ref="F305">IFERROR(VLOOKUP(E289,Dex!$B$3:$N1022,11,FALSE),"")</f>
        <v>60</v>
      </c>
      <c r="G305" s="4468" t="str">
        <f t="array" ref="G305">IFERROR(VLOOKUP(F305,Dex!$P$22:$Q$276,2,FALSE),"")</f>
        <v/>
      </c>
      <c r="H305" s="4469"/>
      <c r="I305" s="4457"/>
      <c r="J305" s="4466" t="s">
        <v>195</v>
      </c>
      <c r="K305" s="4467">
        <f t="array" ref="K305">IFERROR(VLOOKUP(J289,Dex!$B$3:$N1022,11,FALSE),"")</f>
        <v>109</v>
      </c>
      <c r="L305" s="4468" t="str">
        <f t="array" ref="L305">IFERROR(VLOOKUP(K305,Dex!$P$22:$Q$276,2,FALSE),"")</f>
        <v/>
      </c>
      <c r="M305" s="4469">
        <v>252.0</v>
      </c>
      <c r="N305" s="4460"/>
      <c r="O305" s="4466" t="s">
        <v>195</v>
      </c>
      <c r="P305" s="4467">
        <f t="array" ref="P305">IFERROR(VLOOKUP(O289,Dex!$B$3:$N1022,11,FALSE),"")</f>
        <v>75</v>
      </c>
      <c r="Q305" s="4468" t="str">
        <f t="array" ref="Q305">IFERROR(VLOOKUP(P305,Dex!$P$22:$Q$276,2,FALSE),"")</f>
        <v/>
      </c>
      <c r="R305" s="4469">
        <v>252.0</v>
      </c>
      <c r="S305" s="4460"/>
      <c r="T305" s="4466" t="s">
        <v>195</v>
      </c>
      <c r="U305" s="4467">
        <f t="array" ref="U305">IFERROR(VLOOKUP(T289,Dex!$B$3:$N1022,11,FALSE),"")</f>
        <v>116</v>
      </c>
      <c r="V305" s="4468" t="str">
        <f t="array" ref="V305">IFERROR(VLOOKUP(U305,Dex!$P$22:$Q$276,2,FALSE),"")</f>
        <v/>
      </c>
      <c r="W305" s="4469">
        <v>252.0</v>
      </c>
      <c r="X305" s="4460"/>
      <c r="Y305" s="4466" t="s">
        <v>195</v>
      </c>
      <c r="Z305" s="4467">
        <f t="array" ref="Z305">IFERROR(VLOOKUP(Y289,Dex!$B$3:$N1022,11,FALSE),"")</f>
        <v>95</v>
      </c>
      <c r="AA305" s="4468" t="str">
        <f t="array" ref="AA305">IFERROR(VLOOKUP(Z305,Dex!$P$22:$Q$276,2,FALSE),"")</f>
        <v/>
      </c>
      <c r="AB305" s="4469"/>
      <c r="AC305" s="4460"/>
      <c r="AD305" s="4460"/>
      <c r="AE305" s="4460"/>
      <c r="AF305" s="4460"/>
      <c r="AG305" s="4460"/>
      <c r="AH305" s="4461"/>
      <c r="AI305" s="3466"/>
    </row>
    <row r="306" ht="16.5" customHeight="1">
      <c r="A306" s="3457"/>
      <c r="B306" s="4456"/>
      <c r="C306" s="4441"/>
      <c r="D306" s="4457"/>
      <c r="E306" s="4466" t="s">
        <v>196</v>
      </c>
      <c r="F306" s="4467">
        <f t="array" ref="F306">IFERROR(VLOOKUP(E289,Dex!$B$3:$N1022,12,FALSE),"")</f>
        <v>60</v>
      </c>
      <c r="G306" s="4468" t="str">
        <f t="array" ref="G306">IFERROR(VLOOKUP(F306,Dex!$P$22:$Q$276,2,FALSE),"")</f>
        <v/>
      </c>
      <c r="H306" s="4469">
        <v>252.0</v>
      </c>
      <c r="I306" s="4457"/>
      <c r="J306" s="4466" t="s">
        <v>196</v>
      </c>
      <c r="K306" s="4467">
        <f t="array" ref="K306">IFERROR(VLOOKUP(J289,Dex!$B$3:$N1022,12,FALSE),"")</f>
        <v>94</v>
      </c>
      <c r="L306" s="4468" t="str">
        <f t="array" ref="L306">IFERROR(VLOOKUP(K306,Dex!$P$22:$Q$276,2,FALSE),"")</f>
        <v/>
      </c>
      <c r="M306" s="4469">
        <v>4.0</v>
      </c>
      <c r="N306" s="4460"/>
      <c r="O306" s="4466" t="s">
        <v>196</v>
      </c>
      <c r="P306" s="4467">
        <f t="array" ref="P306">IFERROR(VLOOKUP(O289,Dex!$B$3:$N1022,12,FALSE),"")</f>
        <v>85</v>
      </c>
      <c r="Q306" s="4468" t="str">
        <f t="array" ref="Q306">IFERROR(VLOOKUP(P306,Dex!$P$22:$Q$276,2,FALSE),"")</f>
        <v/>
      </c>
      <c r="R306" s="4469">
        <v>4.0</v>
      </c>
      <c r="S306" s="4460"/>
      <c r="T306" s="4466" t="s">
        <v>196</v>
      </c>
      <c r="U306" s="4467">
        <f t="array" ref="U306">IFERROR(VLOOKUP(T289,Dex!$B$3:$N1022,12,FALSE),"")</f>
        <v>56</v>
      </c>
      <c r="V306" s="4468" t="str">
        <f t="array" ref="V306">IFERROR(VLOOKUP(U306,Dex!$P$22:$Q$276,2,FALSE),"")</f>
        <v/>
      </c>
      <c r="W306" s="4469">
        <v>4.0</v>
      </c>
      <c r="X306" s="4460"/>
      <c r="Y306" s="4466" t="s">
        <v>196</v>
      </c>
      <c r="Z306" s="4467">
        <f t="array" ref="Z306">IFERROR(VLOOKUP(Y289,Dex!$B$3:$N1022,12,FALSE),"")</f>
        <v>90</v>
      </c>
      <c r="AA306" s="4468" t="str">
        <f t="array" ref="AA306">IFERROR(VLOOKUP(Z306,Dex!$P$22:$Q$276,2,FALSE),"")</f>
        <v/>
      </c>
      <c r="AB306" s="4469">
        <v>4.0</v>
      </c>
      <c r="AC306" s="4460"/>
      <c r="AD306" s="4460"/>
      <c r="AE306" s="4460"/>
      <c r="AF306" s="4460"/>
      <c r="AG306" s="4460"/>
      <c r="AH306" s="4461"/>
      <c r="AI306" s="3466"/>
    </row>
    <row r="307" ht="16.5" customHeight="1">
      <c r="A307" s="3457"/>
      <c r="B307" s="4456"/>
      <c r="C307" s="1204" t="s">
        <v>436</v>
      </c>
      <c r="D307" s="4457"/>
      <c r="E307" s="4470" t="s">
        <v>197</v>
      </c>
      <c r="F307" s="4471">
        <f t="array" ref="F307">IFERROR(VLOOKUP(E289,Dex!$B$3:$N1022,13,FALSE),"")</f>
        <v>50</v>
      </c>
      <c r="G307" s="4472" t="str">
        <f t="array" ref="G307">IFERROR(VLOOKUP(F307,Dex!$P$22:$Q$276,2,FALSE),"")</f>
        <v/>
      </c>
      <c r="H307" s="4473"/>
      <c r="I307" s="4457"/>
      <c r="J307" s="4470" t="s">
        <v>197</v>
      </c>
      <c r="K307" s="4471">
        <f t="array" ref="K307">IFERROR(VLOOKUP(J289,Dex!$B$3:$N1022,13,FALSE),"")</f>
        <v>109</v>
      </c>
      <c r="L307" s="4472" t="str">
        <f t="array" ref="L307">IFERROR(VLOOKUP(K307,Dex!$P$22:$Q$276,2,FALSE),"")</f>
        <v/>
      </c>
      <c r="M307" s="4473">
        <v>252.0</v>
      </c>
      <c r="N307" s="4460"/>
      <c r="O307" s="4470" t="s">
        <v>197</v>
      </c>
      <c r="P307" s="4471">
        <f t="array" ref="P307">IFERROR(VLOOKUP(O289,Dex!$B$3:$N1022,13,FALSE),"")</f>
        <v>76</v>
      </c>
      <c r="Q307" s="4472" t="str">
        <f t="array" ref="Q307">IFERROR(VLOOKUP(P307,Dex!$P$22:$Q$276,2,FALSE),"")</f>
        <v/>
      </c>
      <c r="R307" s="4473">
        <v>252.0</v>
      </c>
      <c r="S307" s="4460"/>
      <c r="T307" s="4470" t="s">
        <v>197</v>
      </c>
      <c r="U307" s="4471">
        <f t="array" ref="U307">IFERROR(VLOOKUP(T289,Dex!$B$3:$N1022,13,FALSE),"")</f>
        <v>95</v>
      </c>
      <c r="V307" s="4472" t="str">
        <f t="array" ref="V307">IFERROR(VLOOKUP(U307,Dex!$P$22:$Q$276,2,FALSE),"")</f>
        <v/>
      </c>
      <c r="W307" s="4473">
        <v>252.0</v>
      </c>
      <c r="X307" s="4460"/>
      <c r="Y307" s="4470" t="s">
        <v>197</v>
      </c>
      <c r="Z307" s="4471">
        <f t="array" ref="Z307">IFERROR(VLOOKUP(Y289,Dex!$B$3:$N1022,13,FALSE),"")</f>
        <v>65</v>
      </c>
      <c r="AA307" s="4472" t="str">
        <f t="array" ref="AA307">IFERROR(VLOOKUP(Z307,Dex!$P$22:$Q$276,2,FALSE),"")</f>
        <v/>
      </c>
      <c r="AB307" s="4473"/>
      <c r="AC307" s="4460"/>
      <c r="AD307" s="4460"/>
      <c r="AE307" s="4460"/>
      <c r="AF307" s="4460"/>
      <c r="AG307" s="4460"/>
      <c r="AH307" s="4461"/>
      <c r="AI307" s="3466"/>
    </row>
    <row r="308" ht="16.5" customHeight="1">
      <c r="A308" s="3457"/>
      <c r="B308" s="4456"/>
      <c r="C308" s="1205" t="s">
        <v>437</v>
      </c>
      <c r="D308" s="4457"/>
      <c r="E308" s="4474" t="s">
        <v>198</v>
      </c>
      <c r="F308" s="405"/>
      <c r="G308" s="406"/>
      <c r="H308" s="4475">
        <v>87.0</v>
      </c>
      <c r="I308" s="4457"/>
      <c r="J308" s="4474" t="s">
        <v>198</v>
      </c>
      <c r="K308" s="405"/>
      <c r="L308" s="406"/>
      <c r="M308" s="4475">
        <v>221.0</v>
      </c>
      <c r="N308" s="4460"/>
      <c r="O308" s="4474" t="s">
        <v>198</v>
      </c>
      <c r="P308" s="405"/>
      <c r="Q308" s="406"/>
      <c r="R308" s="4475">
        <v>174.0</v>
      </c>
      <c r="S308" s="4460"/>
      <c r="T308" s="4474" t="s">
        <v>198</v>
      </c>
      <c r="U308" s="405"/>
      <c r="V308" s="406"/>
      <c r="W308" s="4475">
        <v>201.0</v>
      </c>
      <c r="X308" s="4460"/>
      <c r="Y308" s="4474" t="s">
        <v>198</v>
      </c>
      <c r="Z308" s="405"/>
      <c r="AA308" s="406"/>
      <c r="AB308" s="4475">
        <v>106.0</v>
      </c>
      <c r="AC308" s="4460"/>
      <c r="AD308" s="4460"/>
      <c r="AE308" s="4460"/>
      <c r="AF308" s="4460"/>
      <c r="AG308" s="4460"/>
      <c r="AH308" s="4461"/>
      <c r="AI308" s="3466"/>
    </row>
    <row r="309" ht="15.0" customHeight="1">
      <c r="A309" s="3361"/>
      <c r="B309" s="4476"/>
      <c r="C309" s="4477"/>
      <c r="D309" s="4478"/>
      <c r="E309" s="4478"/>
      <c r="F309" s="4478"/>
      <c r="G309" s="4478"/>
      <c r="H309" s="4478"/>
      <c r="I309" s="4478"/>
      <c r="J309" s="4478"/>
      <c r="K309" s="4478"/>
      <c r="L309" s="4478"/>
      <c r="M309" s="4478"/>
      <c r="N309" s="4478"/>
      <c r="O309" s="4478"/>
      <c r="P309" s="4478"/>
      <c r="Q309" s="4478"/>
      <c r="R309" s="4478"/>
      <c r="S309" s="4478"/>
      <c r="T309" s="4478"/>
      <c r="U309" s="4478"/>
      <c r="V309" s="4478"/>
      <c r="W309" s="4478"/>
      <c r="X309" s="4478"/>
      <c r="Y309" s="4478"/>
      <c r="Z309" s="4478"/>
      <c r="AA309" s="4478"/>
      <c r="AB309" s="4478"/>
      <c r="AC309" s="4478"/>
      <c r="AD309" s="4478"/>
      <c r="AE309" s="4478"/>
      <c r="AF309" s="4478"/>
      <c r="AG309" s="4478"/>
      <c r="AH309" s="4479"/>
      <c r="AI309" s="3367"/>
    </row>
    <row r="310" ht="15.0" customHeight="1">
      <c r="A310" s="3361"/>
      <c r="B310" s="3908"/>
      <c r="C310" s="3909"/>
      <c r="D310" s="3909"/>
      <c r="E310" s="3909"/>
      <c r="F310" s="3909"/>
      <c r="G310" s="3909"/>
      <c r="H310" s="3909"/>
      <c r="I310" s="3909"/>
      <c r="J310" s="3909"/>
      <c r="K310" s="3909"/>
      <c r="L310" s="3909"/>
      <c r="M310" s="3909"/>
      <c r="N310" s="3909"/>
      <c r="O310" s="3909"/>
      <c r="P310" s="3909"/>
      <c r="Q310" s="3909"/>
      <c r="R310" s="3909"/>
      <c r="S310" s="3909"/>
      <c r="T310" s="3909"/>
      <c r="U310" s="3909"/>
      <c r="V310" s="3909"/>
      <c r="W310" s="3909"/>
      <c r="X310" s="3909"/>
      <c r="Y310" s="3909"/>
      <c r="Z310" s="3909"/>
      <c r="AA310" s="3909"/>
      <c r="AB310" s="3909"/>
      <c r="AC310" s="3909"/>
      <c r="AD310" s="3909"/>
      <c r="AE310" s="3909"/>
      <c r="AF310" s="3909"/>
      <c r="AG310" s="3909"/>
      <c r="AH310" s="3910"/>
      <c r="AI310" s="3367"/>
    </row>
    <row r="311">
      <c r="A311" s="3361"/>
      <c r="B311" s="3911"/>
      <c r="C311" s="3944"/>
      <c r="D311" s="3937"/>
      <c r="E311" s="4480" t="s">
        <v>1098</v>
      </c>
      <c r="F311" s="3955"/>
      <c r="G311" s="3955"/>
      <c r="H311" s="3955"/>
      <c r="I311" s="3955"/>
      <c r="J311" s="3955"/>
      <c r="K311" s="3955"/>
      <c r="L311" s="3955"/>
      <c r="M311" s="3955"/>
      <c r="N311" s="3955"/>
      <c r="O311" s="3955"/>
      <c r="P311" s="3955"/>
      <c r="Q311" s="3955"/>
      <c r="R311" s="3955"/>
      <c r="S311" s="3955"/>
      <c r="T311" s="3955"/>
      <c r="U311" s="3955"/>
      <c r="V311" s="3955"/>
      <c r="W311" s="3955"/>
      <c r="X311" s="3955"/>
      <c r="Y311" s="3955"/>
      <c r="Z311" s="3955"/>
      <c r="AA311" s="3955"/>
      <c r="AB311" s="3955"/>
      <c r="AC311" s="3955"/>
      <c r="AD311" s="3955"/>
      <c r="AE311" s="3955"/>
      <c r="AF311" s="3955"/>
      <c r="AG311" s="3956"/>
      <c r="AH311" s="3920"/>
      <c r="AI311" s="3367"/>
    </row>
    <row r="312" ht="96.75" customHeight="1">
      <c r="A312" s="3361"/>
      <c r="B312" s="3911"/>
      <c r="C312" s="3912" t="str">
        <f>IMAGE("https://i.ibb.co/n7Pn1gb/Camper.png")</f>
        <v/>
      </c>
      <c r="D312" s="4278"/>
      <c r="E312" s="3914" t="str">
        <f t="array" ref="E312">IFERROR(VLOOKUP(E313,Dex!$B$3:$G1022,3,FALSE),"")</f>
        <v/>
      </c>
      <c r="F312" s="1830"/>
      <c r="G312" s="1830"/>
      <c r="H312" s="1831"/>
      <c r="I312" s="4281"/>
      <c r="J312" s="3914" t="str">
        <f t="array" ref="J312">IFERROR(VLOOKUP(J313,Dex!$B$3:$G1022,3,FALSE),"")</f>
        <v/>
      </c>
      <c r="K312" s="1830"/>
      <c r="L312" s="1830"/>
      <c r="M312" s="1831"/>
      <c r="N312" s="4281"/>
      <c r="O312" s="3914" t="str">
        <f t="array" ref="O312">IFERROR(VLOOKUP(O313,Dex!$B$3:$G1022,3,FALSE),"")</f>
        <v/>
      </c>
      <c r="P312" s="1830"/>
      <c r="Q312" s="1830"/>
      <c r="R312" s="1831"/>
      <c r="S312" s="4283"/>
      <c r="T312" s="3917"/>
      <c r="U312" s="3918"/>
      <c r="V312" s="3918"/>
      <c r="W312" s="3919"/>
      <c r="X312" s="3916"/>
      <c r="Y312" s="3917"/>
      <c r="Z312" s="3918"/>
      <c r="AA312" s="3918"/>
      <c r="AB312" s="3919"/>
      <c r="AC312" s="3916"/>
      <c r="AD312" s="3917"/>
      <c r="AE312" s="3918"/>
      <c r="AF312" s="3918"/>
      <c r="AG312" s="3919"/>
      <c r="AH312" s="3920"/>
      <c r="AI312" s="3367"/>
    </row>
    <row r="313" ht="18.75" customHeight="1">
      <c r="A313" s="3621"/>
      <c r="B313" s="3921"/>
      <c r="C313" s="3922" t="s">
        <v>1099</v>
      </c>
      <c r="D313" s="4284"/>
      <c r="E313" s="3924" t="s">
        <v>1100</v>
      </c>
      <c r="F313" s="3925"/>
      <c r="G313" s="3925"/>
      <c r="H313" s="3926"/>
      <c r="J313" s="3924" t="s">
        <v>1101</v>
      </c>
      <c r="K313" s="3925"/>
      <c r="L313" s="3925"/>
      <c r="M313" s="3926"/>
      <c r="O313" s="3924" t="s">
        <v>1102</v>
      </c>
      <c r="P313" s="3925"/>
      <c r="Q313" s="3925"/>
      <c r="R313" s="3926"/>
      <c r="S313" s="4285"/>
      <c r="T313" s="3928"/>
      <c r="U313" s="3918"/>
      <c r="V313" s="3918"/>
      <c r="W313" s="3919"/>
      <c r="X313" s="3927"/>
      <c r="Y313" s="3928"/>
      <c r="Z313" s="3918"/>
      <c r="AA313" s="3918"/>
      <c r="AB313" s="3919"/>
      <c r="AC313" s="3927"/>
      <c r="AD313" s="3928"/>
      <c r="AE313" s="3918"/>
      <c r="AF313" s="3918"/>
      <c r="AG313" s="3919"/>
      <c r="AH313" s="3929"/>
      <c r="AI313" s="3631"/>
    </row>
    <row r="314">
      <c r="A314" s="3632"/>
      <c r="B314" s="3930"/>
      <c r="C314" s="1481"/>
      <c r="D314" s="4286"/>
      <c r="E314" s="3932" t="s">
        <v>843</v>
      </c>
      <c r="F314" s="3933"/>
      <c r="G314" s="3933"/>
      <c r="H314" s="3934"/>
      <c r="J314" s="3932" t="s">
        <v>843</v>
      </c>
      <c r="K314" s="3933"/>
      <c r="L314" s="3933"/>
      <c r="M314" s="3934"/>
      <c r="O314" s="3932" t="s">
        <v>843</v>
      </c>
      <c r="P314" s="3933"/>
      <c r="Q314" s="3933"/>
      <c r="R314" s="3934"/>
      <c r="S314" s="4285"/>
      <c r="T314" s="3935"/>
      <c r="U314" s="3918"/>
      <c r="V314" s="3918"/>
      <c r="W314" s="3919"/>
      <c r="X314" s="3927"/>
      <c r="Y314" s="3935"/>
      <c r="Z314" s="3918"/>
      <c r="AA314" s="3918"/>
      <c r="AB314" s="3919"/>
      <c r="AC314" s="3927"/>
      <c r="AD314" s="3935"/>
      <c r="AE314" s="3918"/>
      <c r="AF314" s="3918"/>
      <c r="AG314" s="3919"/>
      <c r="AH314" s="3936"/>
      <c r="AI314" s="3640"/>
    </row>
    <row r="315" ht="25.5" customHeight="1">
      <c r="A315" s="3361"/>
      <c r="B315" s="3911"/>
      <c r="C315" s="1489"/>
      <c r="D315" s="3937"/>
      <c r="E315" s="3938"/>
      <c r="F315" s="3939" t="str">
        <f t="array" ref="F315">IFERROR(VLOOKUP(E313,Dex!$B$3:$H1022,5,FALSE),"")</f>
        <v/>
      </c>
      <c r="G315" s="3940"/>
      <c r="H315" s="3941"/>
      <c r="J315" s="3938"/>
      <c r="K315" s="3942" t="str">
        <f t="array" ref="K315">IFERROR(VLOOKUP(J313,Dex!$B$3:$H1022,5,FALSE),"")</f>
        <v/>
      </c>
      <c r="L315" s="3943" t="str">
        <f t="array" ref="L315">IFERROR(VLOOKUP(J313,Dex!$B$3:$H1022,7,FALSE),"")</f>
        <v/>
      </c>
      <c r="M315" s="3941"/>
      <c r="O315" s="3938"/>
      <c r="P315" s="3939" t="str">
        <f t="array" ref="P315">IFERROR(VLOOKUP(O313,Dex!$B$3:$H1022,5,FALSE),"")</f>
        <v/>
      </c>
      <c r="Q315" s="3940"/>
      <c r="R315" s="3941"/>
      <c r="S315" s="4285"/>
      <c r="T315" s="3917"/>
      <c r="U315" s="3918"/>
      <c r="V315" s="3918"/>
      <c r="W315" s="3919"/>
      <c r="X315" s="3927"/>
      <c r="Y315" s="3917"/>
      <c r="Z315" s="3918"/>
      <c r="AA315" s="3918"/>
      <c r="AB315" s="3919"/>
      <c r="AC315" s="3927"/>
      <c r="AD315" s="3917"/>
      <c r="AE315" s="3918"/>
      <c r="AF315" s="3918"/>
      <c r="AG315" s="3919"/>
      <c r="AH315" s="3920"/>
      <c r="AI315" s="3367"/>
    </row>
    <row r="316" ht="2.25" customHeight="1">
      <c r="A316" s="3361"/>
      <c r="B316" s="3911"/>
      <c r="C316" s="3944"/>
      <c r="D316" s="3937"/>
      <c r="E316" s="3945"/>
      <c r="F316" s="3946"/>
      <c r="G316" s="3946"/>
      <c r="H316" s="3947"/>
      <c r="J316" s="3945"/>
      <c r="K316" s="3946"/>
      <c r="L316" s="3946"/>
      <c r="M316" s="3947"/>
      <c r="O316" s="3945"/>
      <c r="P316" s="3946"/>
      <c r="Q316" s="3946"/>
      <c r="R316" s="3947"/>
      <c r="S316" s="4285"/>
      <c r="T316" s="3937"/>
      <c r="U316" s="3937"/>
      <c r="V316" s="3937"/>
      <c r="W316" s="3937"/>
      <c r="X316" s="3927"/>
      <c r="Y316" s="3937"/>
      <c r="Z316" s="3937"/>
      <c r="AA316" s="3937"/>
      <c r="AB316" s="3937"/>
      <c r="AC316" s="3927"/>
      <c r="AD316" s="3937"/>
      <c r="AE316" s="3937"/>
      <c r="AF316" s="3937"/>
      <c r="AG316" s="3937"/>
      <c r="AH316" s="3920"/>
      <c r="AI316" s="3367"/>
    </row>
    <row r="317" ht="20.25" customHeight="1">
      <c r="A317" s="3361"/>
      <c r="B317" s="3911"/>
      <c r="C317" s="3944"/>
      <c r="D317" s="3917"/>
      <c r="E317" s="3948" t="s">
        <v>172</v>
      </c>
      <c r="F317" s="3949"/>
      <c r="G317" s="3949"/>
      <c r="H317" s="3950"/>
      <c r="J317" s="3948" t="s">
        <v>172</v>
      </c>
      <c r="K317" s="3949"/>
      <c r="L317" s="3949"/>
      <c r="M317" s="3950"/>
      <c r="O317" s="3948" t="s">
        <v>471</v>
      </c>
      <c r="P317" s="3949"/>
      <c r="Q317" s="3949"/>
      <c r="R317" s="3950"/>
      <c r="S317" s="4285"/>
      <c r="T317" s="3917"/>
      <c r="U317" s="3918"/>
      <c r="V317" s="3918"/>
      <c r="W317" s="3919"/>
      <c r="X317" s="3927"/>
      <c r="Y317" s="3917"/>
      <c r="Z317" s="3918"/>
      <c r="AA317" s="3918"/>
      <c r="AB317" s="3919"/>
      <c r="AC317" s="3927"/>
      <c r="AD317" s="3917"/>
      <c r="AE317" s="3918"/>
      <c r="AF317" s="3918"/>
      <c r="AG317" s="3919"/>
      <c r="AH317" s="3920"/>
      <c r="AI317" s="3367"/>
    </row>
    <row r="318" ht="20.25" customHeight="1">
      <c r="A318" s="3361"/>
      <c r="B318" s="3911"/>
      <c r="C318" s="3951"/>
      <c r="D318" s="3917"/>
      <c r="E318" s="3952" t="s">
        <v>1103</v>
      </c>
      <c r="F318" s="3918"/>
      <c r="G318" s="3918"/>
      <c r="H318" s="3953"/>
      <c r="J318" s="3952" t="s">
        <v>624</v>
      </c>
      <c r="K318" s="3918"/>
      <c r="L318" s="3918"/>
      <c r="M318" s="3953"/>
      <c r="O318" s="3952" t="s">
        <v>235</v>
      </c>
      <c r="P318" s="3918"/>
      <c r="Q318" s="3918"/>
      <c r="R318" s="3953"/>
      <c r="S318" s="4285"/>
      <c r="T318" s="3917"/>
      <c r="U318" s="3918"/>
      <c r="V318" s="3918"/>
      <c r="W318" s="3919"/>
      <c r="X318" s="3927"/>
      <c r="Y318" s="3917"/>
      <c r="Z318" s="3918"/>
      <c r="AA318" s="3918"/>
      <c r="AB318" s="3919"/>
      <c r="AC318" s="3927"/>
      <c r="AD318" s="3917"/>
      <c r="AE318" s="3918"/>
      <c r="AF318" s="3918"/>
      <c r="AG318" s="3919"/>
      <c r="AH318" s="3920"/>
      <c r="AI318" s="3367"/>
    </row>
    <row r="319" ht="20.25" customHeight="1">
      <c r="A319" s="3361"/>
      <c r="B319" s="3911"/>
      <c r="C319" s="3927"/>
      <c r="D319" s="3917"/>
      <c r="E319" s="3954" t="s">
        <v>335</v>
      </c>
      <c r="F319" s="3955"/>
      <c r="G319" s="3956"/>
      <c r="H319" s="3957" t="str">
        <f>IMAGE("https://raw.githubusercontent.com/msikma/pokesprite/master/items/hold-item/choice-scarf.png",3)</f>
        <v/>
      </c>
      <c r="J319" s="3954" t="s">
        <v>240</v>
      </c>
      <c r="K319" s="3955"/>
      <c r="L319" s="3956"/>
      <c r="M319" s="3957" t="str">
        <f>IMAGE("https://raw.githubusercontent.com/msikma/pokesprite/master/items/hold-item/focus-sash.png",3)</f>
        <v/>
      </c>
      <c r="O319" s="3954" t="s">
        <v>473</v>
      </c>
      <c r="P319" s="3955"/>
      <c r="Q319" s="3956"/>
      <c r="R319" s="3957" t="str">
        <f>IMAGE("https://raw.githubusercontent.com/msikma/pokesprite/master/items/hold-item/assault-vest.png",3)</f>
        <v/>
      </c>
      <c r="S319" s="4285"/>
      <c r="T319" s="3917"/>
      <c r="U319" s="3918"/>
      <c r="V319" s="3918"/>
      <c r="W319" s="3919"/>
      <c r="X319" s="3927"/>
      <c r="Y319" s="3917"/>
      <c r="Z319" s="3918"/>
      <c r="AA319" s="3918"/>
      <c r="AB319" s="3919"/>
      <c r="AC319" s="3927"/>
      <c r="AD319" s="3917"/>
      <c r="AE319" s="3918"/>
      <c r="AF319" s="3918"/>
      <c r="AG319" s="3919"/>
      <c r="AH319" s="3920"/>
      <c r="AI319" s="3367"/>
    </row>
    <row r="320" ht="20.25" customHeight="1">
      <c r="A320" s="3361"/>
      <c r="B320" s="3911"/>
      <c r="C320" s="3958"/>
      <c r="D320" s="3917"/>
      <c r="E320" s="3948" t="s">
        <v>278</v>
      </c>
      <c r="F320" s="3949"/>
      <c r="G320" s="3959"/>
      <c r="H320" s="3960" t="str">
        <f>IMAGE("https://raw.githubusercontent.com/msikma/pokesprite/master/misc/types/gen8/bug.png",4,20,20)</f>
        <v/>
      </c>
      <c r="J320" s="3948" t="s">
        <v>489</v>
      </c>
      <c r="K320" s="3949"/>
      <c r="L320" s="3959"/>
      <c r="M320" s="3960" t="str">
        <f>IMAGE("https://raw.githubusercontent.com/msikma/pokesprite/master/misc/types/gen8/normal.png",4,20,20)</f>
        <v/>
      </c>
      <c r="O320" s="3948" t="s">
        <v>244</v>
      </c>
      <c r="P320" s="3949"/>
      <c r="Q320" s="3959"/>
      <c r="R320" s="3960" t="str">
        <f t="shared" ref="R320:R321" si="6">IMAGE("https://raw.githubusercontent.com/msikma/pokesprite/master/misc/types/gen8/fighting.png",4,20,20)</f>
        <v/>
      </c>
      <c r="S320" s="4285"/>
      <c r="T320" s="3917"/>
      <c r="U320" s="3918"/>
      <c r="V320" s="3918"/>
      <c r="W320" s="3919"/>
      <c r="X320" s="3927"/>
      <c r="Y320" s="3917"/>
      <c r="Z320" s="3918"/>
      <c r="AA320" s="3918"/>
      <c r="AB320" s="3919"/>
      <c r="AC320" s="3927"/>
      <c r="AD320" s="3917"/>
      <c r="AE320" s="3918"/>
      <c r="AF320" s="3918"/>
      <c r="AG320" s="3919"/>
      <c r="AH320" s="3920"/>
      <c r="AI320" s="3367"/>
    </row>
    <row r="321" ht="20.25" customHeight="1">
      <c r="A321" s="3361"/>
      <c r="B321" s="3911"/>
      <c r="C321" s="3944"/>
      <c r="D321" s="3917"/>
      <c r="E321" s="3952" t="s">
        <v>378</v>
      </c>
      <c r="F321" s="3918"/>
      <c r="G321" s="3919"/>
      <c r="H321" s="3961" t="str">
        <f>IMAGE("https://raw.githubusercontent.com/msikma/pokesprite/master/misc/types/gen8/fire.png",4,20,20)</f>
        <v/>
      </c>
      <c r="J321" s="3952" t="s">
        <v>402</v>
      </c>
      <c r="K321" s="3918"/>
      <c r="L321" s="3919"/>
      <c r="M321" s="3961" t="str">
        <f>IMAGE("https://raw.githubusercontent.com/msikma/pokesprite/master/misc/types/gen8/ground.png",4,20,20)</f>
        <v/>
      </c>
      <c r="O321" s="3952" t="s">
        <v>256</v>
      </c>
      <c r="P321" s="3918"/>
      <c r="Q321" s="3919"/>
      <c r="R321" s="3961" t="str">
        <f t="shared" si="6"/>
        <v/>
      </c>
      <c r="S321" s="4285"/>
      <c r="T321" s="3917"/>
      <c r="U321" s="3918"/>
      <c r="V321" s="3918"/>
      <c r="W321" s="3919"/>
      <c r="X321" s="3927"/>
      <c r="Y321" s="3917"/>
      <c r="Z321" s="3918"/>
      <c r="AA321" s="3918"/>
      <c r="AB321" s="3919"/>
      <c r="AC321" s="3927"/>
      <c r="AD321" s="3917"/>
      <c r="AE321" s="3918"/>
      <c r="AF321" s="3918"/>
      <c r="AG321" s="3919"/>
      <c r="AH321" s="3920"/>
      <c r="AI321" s="3367"/>
    </row>
    <row r="322" ht="20.25" customHeight="1">
      <c r="A322" s="3361"/>
      <c r="B322" s="3911"/>
      <c r="C322" s="3944"/>
      <c r="D322" s="3917"/>
      <c r="E322" s="3952" t="s">
        <v>634</v>
      </c>
      <c r="F322" s="3918"/>
      <c r="G322" s="3919"/>
      <c r="H322" s="3961" t="str">
        <f>IMAGE("https://raw.githubusercontent.com/msikma/pokesprite/master/misc/types/gen8/ice.png",4,20,20)</f>
        <v/>
      </c>
      <c r="J322" s="3952" t="s">
        <v>407</v>
      </c>
      <c r="K322" s="3918"/>
      <c r="L322" s="3919"/>
      <c r="M322" s="3961" t="str">
        <f>IMAGE("https://raw.githubusercontent.com/msikma/pokesprite/master/misc/types/gen8/steel.png",4,20,20)</f>
        <v/>
      </c>
      <c r="O322" s="3952" t="s">
        <v>279</v>
      </c>
      <c r="P322" s="3918"/>
      <c r="Q322" s="3919"/>
      <c r="R322" s="3961" t="str">
        <f>IMAGE("https://raw.githubusercontent.com/msikma/pokesprite/master/misc/types/gen8/dark.png",4,20,20)</f>
        <v/>
      </c>
      <c r="S322" s="4285"/>
      <c r="T322" s="3917"/>
      <c r="U322" s="3918"/>
      <c r="V322" s="3918"/>
      <c r="W322" s="3919"/>
      <c r="X322" s="3927"/>
      <c r="Y322" s="3917"/>
      <c r="Z322" s="3918"/>
      <c r="AA322" s="3918"/>
      <c r="AB322" s="3919"/>
      <c r="AC322" s="3927"/>
      <c r="AD322" s="3917"/>
      <c r="AE322" s="3918"/>
      <c r="AF322" s="3918"/>
      <c r="AG322" s="3919"/>
      <c r="AH322" s="3920"/>
      <c r="AI322" s="3367"/>
    </row>
    <row r="323" ht="21.0" customHeight="1">
      <c r="A323" s="3361"/>
      <c r="B323" s="3911"/>
      <c r="C323" s="3944"/>
      <c r="D323" s="3917"/>
      <c r="E323" s="3962" t="s">
        <v>402</v>
      </c>
      <c r="F323" s="3963"/>
      <c r="G323" s="3964"/>
      <c r="H323" s="3965" t="str">
        <f>IMAGE("https://raw.githubusercontent.com/msikma/pokesprite/master/misc/types/gen8/ground.png",4,20,20)</f>
        <v/>
      </c>
      <c r="I323" s="4288"/>
      <c r="J323" s="3962" t="s">
        <v>634</v>
      </c>
      <c r="K323" s="3963"/>
      <c r="L323" s="3964"/>
      <c r="M323" s="3965" t="str">
        <f>IMAGE("https://raw.githubusercontent.com/msikma/pokesprite/master/misc/types/gen8/ice.png",4,20,20)</f>
        <v/>
      </c>
      <c r="N323" s="4288"/>
      <c r="O323" s="3962" t="s">
        <v>249</v>
      </c>
      <c r="P323" s="3963"/>
      <c r="Q323" s="3964"/>
      <c r="R323" s="3965" t="str">
        <f>IMAGE("https://raw.githubusercontent.com/msikma/pokesprite/master/misc/types/gen8/electric.png",4,20,20)</f>
        <v/>
      </c>
      <c r="S323" s="4290"/>
      <c r="T323" s="3917"/>
      <c r="U323" s="3918"/>
      <c r="V323" s="3918"/>
      <c r="W323" s="3919"/>
      <c r="X323" s="3958"/>
      <c r="Y323" s="3917"/>
      <c r="Z323" s="3918"/>
      <c r="AA323" s="3918"/>
      <c r="AB323" s="3919"/>
      <c r="AC323" s="3958"/>
      <c r="AD323" s="3917"/>
      <c r="AE323" s="3918"/>
      <c r="AF323" s="3918"/>
      <c r="AG323" s="3919"/>
      <c r="AH323" s="3920"/>
      <c r="AI323" s="3367"/>
    </row>
    <row r="324" ht="3.0" customHeight="1">
      <c r="A324" s="3445"/>
      <c r="B324" s="3966"/>
      <c r="C324" s="3967"/>
      <c r="D324" s="3968"/>
      <c r="E324" s="4291"/>
      <c r="F324" s="4291"/>
      <c r="G324" s="4291"/>
      <c r="H324" s="3969"/>
      <c r="I324" s="3968"/>
      <c r="J324" s="4292"/>
      <c r="K324" s="4292"/>
      <c r="L324" s="4292"/>
      <c r="M324" s="3969"/>
      <c r="N324" s="3968"/>
      <c r="O324" s="4292"/>
      <c r="P324" s="4292"/>
      <c r="Q324" s="4292"/>
      <c r="R324" s="3969"/>
      <c r="S324" s="3969"/>
      <c r="T324" s="3969"/>
      <c r="U324" s="3969"/>
      <c r="V324" s="3969"/>
      <c r="W324" s="3969"/>
      <c r="X324" s="3968"/>
      <c r="Y324" s="3968"/>
      <c r="Z324" s="3971"/>
      <c r="AA324" s="3971"/>
      <c r="AB324" s="3972"/>
      <c r="AC324" s="3972"/>
      <c r="AD324" s="3972"/>
      <c r="AE324" s="3972"/>
      <c r="AF324" s="3972"/>
      <c r="AG324" s="3972"/>
      <c r="AH324" s="3973"/>
      <c r="AI324" s="3456"/>
    </row>
    <row r="325" ht="16.5" customHeight="1">
      <c r="A325" s="3457"/>
      <c r="B325" s="3974"/>
      <c r="C325" s="3967"/>
      <c r="D325" s="3975"/>
      <c r="E325" s="3976" t="s">
        <v>190</v>
      </c>
      <c r="F325" s="381"/>
      <c r="G325" s="382"/>
      <c r="H325" s="3977" t="s">
        <v>191</v>
      </c>
      <c r="I325" s="3978"/>
      <c r="J325" s="3976" t="s">
        <v>190</v>
      </c>
      <c r="K325" s="381"/>
      <c r="L325" s="382"/>
      <c r="M325" s="3977" t="s">
        <v>191</v>
      </c>
      <c r="N325" s="3978"/>
      <c r="O325" s="3976" t="s">
        <v>190</v>
      </c>
      <c r="P325" s="381"/>
      <c r="Q325" s="382"/>
      <c r="R325" s="3977" t="s">
        <v>191</v>
      </c>
      <c r="S325" s="3979"/>
      <c r="T325" s="3975"/>
      <c r="U325" s="3975"/>
      <c r="V325" s="3980"/>
      <c r="W325" s="3981"/>
      <c r="X325" s="3981"/>
      <c r="Y325" s="3981"/>
      <c r="Z325" s="3975"/>
      <c r="AA325" s="3975"/>
      <c r="AB325" s="3981"/>
      <c r="AC325" s="3981"/>
      <c r="AD325" s="3981"/>
      <c r="AE325" s="3981"/>
      <c r="AF325" s="3981"/>
      <c r="AG325" s="3981"/>
      <c r="AH325" s="3982"/>
      <c r="AI325" s="3466"/>
    </row>
    <row r="326" ht="16.5" customHeight="1">
      <c r="A326" s="3457"/>
      <c r="B326" s="3974"/>
      <c r="C326" s="3967"/>
      <c r="D326" s="3975"/>
      <c r="E326" s="3983" t="s">
        <v>192</v>
      </c>
      <c r="F326" s="3984">
        <f t="array" ref="F326">IFERROR(VLOOKUP(E313,Dex!$B$3:$N1022,8,FALSE),"")</f>
        <v>105</v>
      </c>
      <c r="G326" s="3985" t="str">
        <f t="array" ref="G326">IFERROR(VLOOKUP(F326,Dex!$P$22:$Q$276,2,FALSE),"")</f>
        <v/>
      </c>
      <c r="H326" s="3986"/>
      <c r="I326" s="3975"/>
      <c r="J326" s="3983" t="s">
        <v>192</v>
      </c>
      <c r="K326" s="3984">
        <f t="array" ref="K326">IFERROR(VLOOKUP(J313,Dex!$B$3:$N1022,8,FALSE),"")</f>
        <v>75</v>
      </c>
      <c r="L326" s="3985" t="str">
        <f t="array" ref="L326">IFERROR(VLOOKUP(K326,Dex!$P$22:$Q$276,2,FALSE),"")</f>
        <v/>
      </c>
      <c r="M326" s="3986"/>
      <c r="N326" s="3975"/>
      <c r="O326" s="3983" t="s">
        <v>192</v>
      </c>
      <c r="P326" s="3984">
        <f t="array" ref="P326">IFERROR(VLOOKUP(O313,Dex!$B$3:$N1022,8,FALSE),"")</f>
        <v>105</v>
      </c>
      <c r="Q326" s="3985" t="str">
        <f t="array" ref="Q326">IFERROR(VLOOKUP(P326,Dex!$P$22:$Q$276,2,FALSE),"")</f>
        <v/>
      </c>
      <c r="R326" s="3986">
        <v>252.0</v>
      </c>
      <c r="S326" s="3987"/>
      <c r="T326" s="3975"/>
      <c r="U326" s="3975"/>
      <c r="V326" s="3988"/>
      <c r="W326" s="3981"/>
      <c r="X326" s="3981"/>
      <c r="Y326" s="3981"/>
      <c r="Z326" s="3975"/>
      <c r="AA326" s="3975"/>
      <c r="AB326" s="3981"/>
      <c r="AC326" s="3981"/>
      <c r="AD326" s="3981"/>
      <c r="AE326" s="3981"/>
      <c r="AF326" s="3981"/>
      <c r="AG326" s="3981"/>
      <c r="AH326" s="3982"/>
      <c r="AI326" s="3466"/>
    </row>
    <row r="327" ht="16.5" customHeight="1">
      <c r="A327" s="3457"/>
      <c r="B327" s="3974"/>
      <c r="C327" s="3967"/>
      <c r="D327" s="3975"/>
      <c r="E327" s="3989" t="s">
        <v>193</v>
      </c>
      <c r="F327" s="3990">
        <f t="array" ref="F327">IFERROR(VLOOKUP(E313,Dex!$B$3:$N1022,9,FALSE),"")</f>
        <v>140</v>
      </c>
      <c r="G327" s="3991" t="str">
        <f t="array" ref="G327">IFERROR(VLOOKUP(F327,Dex!$P$22:$Q$276,2,FALSE),"")</f>
        <v/>
      </c>
      <c r="H327" s="3992">
        <v>252.0</v>
      </c>
      <c r="I327" s="3975"/>
      <c r="J327" s="3989" t="s">
        <v>193</v>
      </c>
      <c r="K327" s="3990">
        <f t="array" ref="K327">IFERROR(VLOOKUP(J313,Dex!$B$3:$N1022,9,FALSE),"")</f>
        <v>110</v>
      </c>
      <c r="L327" s="3991" t="str">
        <f t="array" ref="L327">IFERROR(VLOOKUP(K327,Dex!$P$22:$Q$276,2,FALSE),"")</f>
        <v/>
      </c>
      <c r="M327" s="3992">
        <v>252.0</v>
      </c>
      <c r="N327" s="3975"/>
      <c r="O327" s="3989" t="s">
        <v>193</v>
      </c>
      <c r="P327" s="3990">
        <f t="array" ref="P327">IFERROR(VLOOKUP(O313,Dex!$B$3:$N1022,9,FALSE),"")</f>
        <v>140</v>
      </c>
      <c r="Q327" s="3991" t="str">
        <f t="array" ref="Q327">IFERROR(VLOOKUP(P327,Dex!$P$22:$Q$276,2,FALSE),"")</f>
        <v/>
      </c>
      <c r="R327" s="3992">
        <v>4.0</v>
      </c>
      <c r="S327" s="3987"/>
      <c r="T327" s="3975"/>
      <c r="U327" s="3975"/>
      <c r="V327" s="3993"/>
      <c r="W327" s="3981"/>
      <c r="X327" s="3981"/>
      <c r="Y327" s="3981"/>
      <c r="Z327" s="3975"/>
      <c r="AA327" s="3975"/>
      <c r="AB327" s="3981"/>
      <c r="AC327" s="3981"/>
      <c r="AD327" s="3981"/>
      <c r="AE327" s="3981"/>
      <c r="AF327" s="3981"/>
      <c r="AG327" s="3981"/>
      <c r="AH327" s="3982"/>
      <c r="AI327" s="3466"/>
    </row>
    <row r="328" ht="16.5" customHeight="1">
      <c r="A328" s="3457"/>
      <c r="B328" s="3974"/>
      <c r="C328" s="3967"/>
      <c r="D328" s="3975"/>
      <c r="E328" s="3989" t="s">
        <v>194</v>
      </c>
      <c r="F328" s="3990">
        <f t="array" ref="F328">IFERROR(VLOOKUP(E313,Dex!$B$3:$N1022,10,FALSE),"")</f>
        <v>55</v>
      </c>
      <c r="G328" s="3991" t="str">
        <f t="array" ref="G328">IFERROR(VLOOKUP(F328,Dex!$P$22:$Q$276,2,FALSE),"")</f>
        <v/>
      </c>
      <c r="H328" s="3992"/>
      <c r="I328" s="3975"/>
      <c r="J328" s="3989" t="s">
        <v>194</v>
      </c>
      <c r="K328" s="3990">
        <f t="array" ref="K328">IFERROR(VLOOKUP(J313,Dex!$B$3:$N1022,10,FALSE),"")</f>
        <v>120</v>
      </c>
      <c r="L328" s="3991" t="str">
        <f t="array" ref="L328">IFERROR(VLOOKUP(K328,Dex!$P$22:$Q$276,2,FALSE),"")</f>
        <v/>
      </c>
      <c r="M328" s="3992"/>
      <c r="N328" s="3975"/>
      <c r="O328" s="3989" t="s">
        <v>194</v>
      </c>
      <c r="P328" s="3990">
        <f t="array" ref="P328">IFERROR(VLOOKUP(O313,Dex!$B$3:$N1022,10,FALSE),"")</f>
        <v>95</v>
      </c>
      <c r="Q328" s="3991" t="str">
        <f t="array" ref="Q328">IFERROR(VLOOKUP(P328,Dex!$P$22:$Q$276,2,FALSE),"")</f>
        <v/>
      </c>
      <c r="R328" s="3992"/>
      <c r="S328" s="3987"/>
      <c r="T328" s="3975"/>
      <c r="U328" s="3975"/>
      <c r="V328" s="3994"/>
      <c r="W328" s="3981"/>
      <c r="X328" s="3981"/>
      <c r="Y328" s="3981"/>
      <c r="Z328" s="3975"/>
      <c r="AA328" s="3975"/>
      <c r="AB328" s="3981"/>
      <c r="AC328" s="3981"/>
      <c r="AD328" s="3981"/>
      <c r="AE328" s="3981"/>
      <c r="AF328" s="3981"/>
      <c r="AG328" s="3981"/>
      <c r="AH328" s="3982"/>
      <c r="AI328" s="3466"/>
    </row>
    <row r="329" ht="16.5" customHeight="1">
      <c r="A329" s="3457"/>
      <c r="B329" s="3974"/>
      <c r="C329" s="3967"/>
      <c r="D329" s="3975"/>
      <c r="E329" s="3989" t="s">
        <v>195</v>
      </c>
      <c r="F329" s="3990">
        <f t="array" ref="F329">IFERROR(VLOOKUP(E313,Dex!$B$3:$N1022,11,FALSE),"")</f>
        <v>30</v>
      </c>
      <c r="G329" s="3991" t="str">
        <f t="array" ref="G329">IFERROR(VLOOKUP(F329,Dex!$P$22:$Q$276,2,FALSE),"")</f>
        <v/>
      </c>
      <c r="H329" s="3992"/>
      <c r="I329" s="3975"/>
      <c r="J329" s="3989" t="s">
        <v>195</v>
      </c>
      <c r="K329" s="3990">
        <f t="array" ref="K329">IFERROR(VLOOKUP(J313,Dex!$B$3:$N1022,11,FALSE),"")</f>
        <v>25</v>
      </c>
      <c r="L329" s="3991" t="str">
        <f t="array" ref="L329">IFERROR(VLOOKUP(K329,Dex!$P$22:$Q$276,2,FALSE),"")</f>
        <v/>
      </c>
      <c r="M329" s="3992"/>
      <c r="N329" s="3975"/>
      <c r="O329" s="3989" t="s">
        <v>195</v>
      </c>
      <c r="P329" s="3990">
        <f t="array" ref="P329">IFERROR(VLOOKUP(O313,Dex!$B$3:$N1022,11,FALSE),"")</f>
        <v>55</v>
      </c>
      <c r="Q329" s="3991" t="str">
        <f t="array" ref="Q329">IFERROR(VLOOKUP(P329,Dex!$P$22:$Q$276,2,FALSE),"")</f>
        <v/>
      </c>
      <c r="R329" s="3992"/>
      <c r="S329" s="3987"/>
      <c r="T329" s="3975"/>
      <c r="U329" s="3975"/>
      <c r="V329" s="3927"/>
      <c r="W329" s="3981"/>
      <c r="X329" s="3981"/>
      <c r="Y329" s="3981"/>
      <c r="Z329" s="3975"/>
      <c r="AA329" s="3975"/>
      <c r="AB329" s="3981"/>
      <c r="AC329" s="3981"/>
      <c r="AD329" s="3981"/>
      <c r="AE329" s="3981"/>
      <c r="AF329" s="3981"/>
      <c r="AG329" s="3981"/>
      <c r="AH329" s="3982"/>
      <c r="AI329" s="3466"/>
    </row>
    <row r="330" ht="16.5" customHeight="1">
      <c r="A330" s="3457"/>
      <c r="B330" s="3974"/>
      <c r="C330" s="3967"/>
      <c r="D330" s="3975"/>
      <c r="E330" s="3989" t="s">
        <v>196</v>
      </c>
      <c r="F330" s="3990">
        <f t="array" ref="F330">IFERROR(VLOOKUP(E313,Dex!$B$3:$N1022,12,FALSE),"")</f>
        <v>55</v>
      </c>
      <c r="G330" s="3991" t="str">
        <f t="array" ref="G330">IFERROR(VLOOKUP(F330,Dex!$P$22:$Q$276,2,FALSE),"")</f>
        <v/>
      </c>
      <c r="H330" s="3992">
        <v>4.0</v>
      </c>
      <c r="I330" s="3975"/>
      <c r="J330" s="3989" t="s">
        <v>196</v>
      </c>
      <c r="K330" s="3990">
        <f t="array" ref="K330">IFERROR(VLOOKUP(J313,Dex!$B$3:$N1022,12,FALSE),"")</f>
        <v>65</v>
      </c>
      <c r="L330" s="3991" t="str">
        <f t="array" ref="L330">IFERROR(VLOOKUP(K330,Dex!$P$22:$Q$276,2,FALSE),"")</f>
        <v/>
      </c>
      <c r="M330" s="3992">
        <v>4.0</v>
      </c>
      <c r="N330" s="3975"/>
      <c r="O330" s="3989" t="s">
        <v>196</v>
      </c>
      <c r="P330" s="3990">
        <f t="array" ref="P330">IFERROR(VLOOKUP(O313,Dex!$B$3:$N1022,12,FALSE),"")</f>
        <v>65</v>
      </c>
      <c r="Q330" s="3991" t="str">
        <f t="array" ref="Q330">IFERROR(VLOOKUP(P330,Dex!$P$22:$Q$276,2,FALSE),"")</f>
        <v/>
      </c>
      <c r="R330" s="3992">
        <v>252.0</v>
      </c>
      <c r="S330" s="3987"/>
      <c r="T330" s="3975"/>
      <c r="U330" s="3975"/>
      <c r="V330" s="3927"/>
      <c r="W330" s="3981"/>
      <c r="X330" s="3981"/>
      <c r="Y330" s="3981"/>
      <c r="Z330" s="3975"/>
      <c r="AA330" s="3975"/>
      <c r="AB330" s="3981"/>
      <c r="AC330" s="3981"/>
      <c r="AD330" s="3981"/>
      <c r="AE330" s="3981"/>
      <c r="AF330" s="3981"/>
      <c r="AG330" s="3981"/>
      <c r="AH330" s="3982"/>
      <c r="AI330" s="3466"/>
    </row>
    <row r="331" ht="16.5" customHeight="1">
      <c r="A331" s="3457"/>
      <c r="B331" s="3974"/>
      <c r="C331" s="1204" t="s">
        <v>436</v>
      </c>
      <c r="D331" s="3975"/>
      <c r="E331" s="3995" t="s">
        <v>197</v>
      </c>
      <c r="F331" s="3996">
        <f t="array" ref="F331">IFERROR(VLOOKUP(E313,Dex!$B$3:$N1022,13,FALSE),"")</f>
        <v>95</v>
      </c>
      <c r="G331" s="3997" t="str">
        <f t="array" ref="G331">IFERROR(VLOOKUP(F331,Dex!$P$22:$Q$276,2,FALSE),"")</f>
        <v/>
      </c>
      <c r="H331" s="3998">
        <v>252.0</v>
      </c>
      <c r="I331" s="3975"/>
      <c r="J331" s="3995" t="s">
        <v>197</v>
      </c>
      <c r="K331" s="3996">
        <f t="array" ref="K331">IFERROR(VLOOKUP(J313,Dex!$B$3:$N1022,13,FALSE),"")</f>
        <v>65</v>
      </c>
      <c r="L331" s="3997" t="str">
        <f t="array" ref="L331">IFERROR(VLOOKUP(K331,Dex!$P$22:$Q$276,2,FALSE),"")</f>
        <v/>
      </c>
      <c r="M331" s="3998">
        <v>252.0</v>
      </c>
      <c r="N331" s="3975"/>
      <c r="O331" s="3995" t="s">
        <v>197</v>
      </c>
      <c r="P331" s="3996">
        <f t="array" ref="P331">IFERROR(VLOOKUP(O313,Dex!$B$3:$N1022,13,FALSE),"")</f>
        <v>45</v>
      </c>
      <c r="Q331" s="3997" t="str">
        <f t="array" ref="Q331">IFERROR(VLOOKUP(P331,Dex!$P$22:$Q$276,2,FALSE),"")</f>
        <v/>
      </c>
      <c r="R331" s="3998"/>
      <c r="S331" s="3987"/>
      <c r="T331" s="3975"/>
      <c r="U331" s="3975"/>
      <c r="V331" s="3927"/>
      <c r="W331" s="3981"/>
      <c r="X331" s="3981"/>
      <c r="Y331" s="3981"/>
      <c r="Z331" s="3975"/>
      <c r="AA331" s="3975"/>
      <c r="AB331" s="3981"/>
      <c r="AC331" s="3981"/>
      <c r="AD331" s="3981"/>
      <c r="AE331" s="3981"/>
      <c r="AF331" s="3981"/>
      <c r="AG331" s="3981"/>
      <c r="AH331" s="3982"/>
      <c r="AI331" s="3466"/>
    </row>
    <row r="332" ht="16.5" customHeight="1">
      <c r="A332" s="3457"/>
      <c r="B332" s="3974"/>
      <c r="C332" s="1205" t="s">
        <v>437</v>
      </c>
      <c r="D332" s="3978"/>
      <c r="E332" s="4294" t="s">
        <v>198</v>
      </c>
      <c r="F332" s="918"/>
      <c r="G332" s="919"/>
      <c r="H332" s="4295">
        <v>201.0</v>
      </c>
      <c r="I332" s="3978"/>
      <c r="J332" s="4294" t="s">
        <v>198</v>
      </c>
      <c r="K332" s="918"/>
      <c r="L332" s="919"/>
      <c r="M332" s="4295">
        <v>160.0</v>
      </c>
      <c r="N332" s="3978"/>
      <c r="O332" s="3999" t="s">
        <v>198</v>
      </c>
      <c r="P332" s="405"/>
      <c r="Q332" s="406"/>
      <c r="R332" s="4000">
        <v>81.0</v>
      </c>
      <c r="S332" s="3987"/>
      <c r="T332" s="3975"/>
      <c r="U332" s="3975"/>
      <c r="V332" s="3958"/>
      <c r="W332" s="3981"/>
      <c r="X332" s="3981"/>
      <c r="Y332" s="3981"/>
      <c r="Z332" s="3975"/>
      <c r="AA332" s="3975"/>
      <c r="AB332" s="3981"/>
      <c r="AC332" s="3981"/>
      <c r="AD332" s="3981"/>
      <c r="AE332" s="3981"/>
      <c r="AF332" s="3981"/>
      <c r="AG332" s="3981"/>
      <c r="AH332" s="3982"/>
      <c r="AI332" s="3466"/>
    </row>
    <row r="333" ht="16.5" customHeight="1">
      <c r="A333" s="3457"/>
      <c r="B333" s="4297"/>
      <c r="C333" s="4481"/>
      <c r="D333" s="4298"/>
      <c r="E333" s="4299" t="s">
        <v>348</v>
      </c>
      <c r="F333" s="925"/>
      <c r="G333" s="926"/>
      <c r="H333" s="4300">
        <v>301.0</v>
      </c>
      <c r="I333" s="4482"/>
      <c r="J333" s="4299" t="s">
        <v>642</v>
      </c>
      <c r="K333" s="925"/>
      <c r="L333" s="926"/>
      <c r="M333" s="4300">
        <v>320.0</v>
      </c>
      <c r="N333" s="4298"/>
      <c r="O333" s="4302"/>
      <c r="P333" s="4483"/>
      <c r="Q333" s="4301"/>
      <c r="R333" s="4303"/>
      <c r="S333" s="4303"/>
      <c r="T333" s="4298"/>
      <c r="U333" s="4298"/>
      <c r="V333" s="3994"/>
      <c r="W333" s="4303"/>
      <c r="X333" s="4303"/>
      <c r="Y333" s="4303"/>
      <c r="Z333" s="4298"/>
      <c r="AA333" s="4298"/>
      <c r="AB333" s="4303"/>
      <c r="AC333" s="4303"/>
      <c r="AD333" s="4303"/>
      <c r="AE333" s="4303"/>
      <c r="AF333" s="4303"/>
      <c r="AG333" s="4303"/>
      <c r="AH333" s="4305"/>
      <c r="AI333" s="3466"/>
    </row>
    <row r="334" ht="11.25" customHeight="1">
      <c r="A334" s="3361"/>
      <c r="B334" s="3911"/>
      <c r="C334" s="3944"/>
      <c r="D334" s="3937"/>
      <c r="E334" s="4484"/>
      <c r="F334" s="4484"/>
      <c r="G334" s="4484"/>
      <c r="H334" s="4484"/>
      <c r="I334" s="3915"/>
      <c r="J334" s="4485"/>
      <c r="K334" s="4485"/>
      <c r="L334" s="4485"/>
      <c r="M334" s="4484"/>
      <c r="N334" s="3915"/>
      <c r="O334" s="4484"/>
      <c r="P334" s="4484"/>
      <c r="Q334" s="4484"/>
      <c r="R334" s="4484"/>
      <c r="S334" s="3937"/>
      <c r="T334" s="3937"/>
      <c r="U334" s="3937"/>
      <c r="V334" s="3937"/>
      <c r="W334" s="3937"/>
      <c r="X334" s="3937"/>
      <c r="Y334" s="3937"/>
      <c r="Z334" s="3937"/>
      <c r="AA334" s="3937"/>
      <c r="AB334" s="3937"/>
      <c r="AC334" s="3937"/>
      <c r="AD334" s="3937"/>
      <c r="AE334" s="3937"/>
      <c r="AF334" s="3937"/>
      <c r="AG334" s="3937"/>
      <c r="AH334" s="3920"/>
      <c r="AI334" s="3367"/>
    </row>
    <row r="335" ht="11.25" customHeight="1">
      <c r="A335" s="3361"/>
      <c r="B335" s="4486"/>
      <c r="C335" s="4487"/>
      <c r="D335" s="4488"/>
      <c r="E335" s="3180" t="s">
        <v>949</v>
      </c>
      <c r="F335" s="3181"/>
      <c r="G335" s="3181"/>
      <c r="H335" s="3181"/>
      <c r="I335" s="3181"/>
      <c r="J335" s="3181"/>
      <c r="K335" s="3181"/>
      <c r="L335" s="3181"/>
      <c r="M335" s="3181"/>
      <c r="N335" s="3181"/>
      <c r="O335" s="3181"/>
      <c r="P335" s="3181"/>
      <c r="Q335" s="3181"/>
      <c r="R335" s="3182"/>
      <c r="S335" s="4489"/>
      <c r="T335" s="4487"/>
      <c r="U335" s="4487"/>
      <c r="V335" s="4487"/>
      <c r="W335" s="4487"/>
      <c r="X335" s="4487"/>
      <c r="Y335" s="4487"/>
      <c r="Z335" s="4487"/>
      <c r="AA335" s="4487"/>
      <c r="AB335" s="4487"/>
      <c r="AC335" s="4487"/>
      <c r="AD335" s="4487"/>
      <c r="AE335" s="4487"/>
      <c r="AF335" s="4487"/>
      <c r="AG335" s="4487"/>
      <c r="AH335" s="4490"/>
      <c r="AI335" s="3367"/>
    </row>
    <row r="336" ht="11.25" customHeight="1">
      <c r="A336" s="3361"/>
      <c r="B336" s="4491"/>
      <c r="C336" s="4492"/>
      <c r="D336" s="4493"/>
      <c r="E336" s="114"/>
      <c r="F336" s="3185"/>
      <c r="G336" s="3185"/>
      <c r="H336" s="3185"/>
      <c r="I336" s="3185"/>
      <c r="J336" s="3185"/>
      <c r="K336" s="3185"/>
      <c r="L336" s="3185"/>
      <c r="M336" s="3185"/>
      <c r="N336" s="3185"/>
      <c r="O336" s="3185"/>
      <c r="P336" s="3185"/>
      <c r="Q336" s="3185"/>
      <c r="R336" s="3186"/>
      <c r="S336" s="4494"/>
      <c r="T336" s="4492"/>
      <c r="U336" s="4492"/>
      <c r="V336" s="4492"/>
      <c r="W336" s="4492"/>
      <c r="X336" s="4492"/>
      <c r="Y336" s="4492"/>
      <c r="Z336" s="4492"/>
      <c r="AA336" s="4492"/>
      <c r="AB336" s="4492"/>
      <c r="AC336" s="4492"/>
      <c r="AD336" s="4492"/>
      <c r="AE336" s="4492"/>
      <c r="AF336" s="4492"/>
      <c r="AG336" s="4492"/>
      <c r="AH336" s="4495"/>
      <c r="AI336" s="3367"/>
    </row>
    <row r="337" ht="3.75" customHeight="1">
      <c r="A337" s="3361"/>
      <c r="B337" s="4491"/>
      <c r="C337" s="4492"/>
      <c r="D337" s="4496"/>
      <c r="E337" s="4497"/>
      <c r="F337" s="4497"/>
      <c r="G337" s="4497"/>
      <c r="H337" s="4497"/>
      <c r="I337" s="4497"/>
      <c r="J337" s="4497"/>
      <c r="K337" s="4497"/>
      <c r="L337" s="4497"/>
      <c r="M337" s="4497"/>
      <c r="N337" s="4497"/>
      <c r="O337" s="4497"/>
      <c r="P337" s="4497"/>
      <c r="Q337" s="4497"/>
      <c r="R337" s="4497"/>
      <c r="S337" s="4496"/>
      <c r="T337" s="4496"/>
      <c r="U337" s="4496"/>
      <c r="V337" s="4496"/>
      <c r="W337" s="4496"/>
      <c r="X337" s="4496"/>
      <c r="Y337" s="4496"/>
      <c r="Z337" s="4496"/>
      <c r="AA337" s="4496"/>
      <c r="AB337" s="4496"/>
      <c r="AC337" s="4496"/>
      <c r="AD337" s="4496"/>
      <c r="AE337" s="4496"/>
      <c r="AF337" s="4496"/>
      <c r="AG337" s="4496"/>
      <c r="AH337" s="4495"/>
      <c r="AI337" s="3367"/>
    </row>
    <row r="338">
      <c r="A338" s="3361"/>
      <c r="B338" s="4498"/>
      <c r="C338" s="4499"/>
      <c r="D338" s="4500"/>
      <c r="E338" s="4501" t="s">
        <v>1104</v>
      </c>
      <c r="F338" s="4502"/>
      <c r="G338" s="4502"/>
      <c r="H338" s="4502"/>
      <c r="I338" s="4502"/>
      <c r="J338" s="4502"/>
      <c r="K338" s="4502"/>
      <c r="L338" s="4502"/>
      <c r="M338" s="4502"/>
      <c r="N338" s="4502"/>
      <c r="O338" s="4502"/>
      <c r="P338" s="4502"/>
      <c r="Q338" s="4502"/>
      <c r="R338" s="4502"/>
      <c r="S338" s="4502"/>
      <c r="T338" s="4502"/>
      <c r="U338" s="4502"/>
      <c r="V338" s="4502"/>
      <c r="W338" s="4502"/>
      <c r="X338" s="4502"/>
      <c r="Y338" s="4502"/>
      <c r="Z338" s="4502"/>
      <c r="AA338" s="4502"/>
      <c r="AB338" s="4502"/>
      <c r="AC338" s="4502"/>
      <c r="AD338" s="4502"/>
      <c r="AE338" s="4502"/>
      <c r="AF338" s="4502"/>
      <c r="AG338" s="4503"/>
      <c r="AH338" s="4504"/>
      <c r="AI338" s="3367"/>
    </row>
    <row r="339" ht="96.75" customHeight="1">
      <c r="A339" s="3361"/>
      <c r="B339" s="4505"/>
      <c r="C339" s="4506" t="str">
        <f>IMAGE("https://i.ibb.co/QpKd0mc/Fisherman.png")</f>
        <v/>
      </c>
      <c r="D339" s="4507"/>
      <c r="E339" s="4508" t="str">
        <f t="array" ref="E339">IFERROR(VLOOKUP(E340,Dex!$B$3:$G1022,3,FALSE),"")</f>
        <v/>
      </c>
      <c r="F339" s="1830"/>
      <c r="G339" s="1830"/>
      <c r="H339" s="1831"/>
      <c r="I339" s="4509"/>
      <c r="J339" s="4508" t="str">
        <f t="array" ref="J339">IFERROR(VLOOKUP(J340,Dex!$B$3:$G1022,3,FALSE),"")</f>
        <v/>
      </c>
      <c r="K339" s="1830"/>
      <c r="L339" s="1830"/>
      <c r="M339" s="1831"/>
      <c r="N339" s="4510"/>
      <c r="O339" s="4511"/>
      <c r="P339" s="4512"/>
      <c r="Q339" s="4512"/>
      <c r="R339" s="4513"/>
      <c r="S339" s="4514"/>
      <c r="T339" s="4511"/>
      <c r="U339" s="4512"/>
      <c r="V339" s="4512"/>
      <c r="W339" s="4513"/>
      <c r="X339" s="4514"/>
      <c r="Y339" s="4511"/>
      <c r="Z339" s="4512"/>
      <c r="AA339" s="4512"/>
      <c r="AB339" s="4513"/>
      <c r="AC339" s="4514"/>
      <c r="AD339" s="4511"/>
      <c r="AE339" s="4512"/>
      <c r="AF339" s="4512"/>
      <c r="AG339" s="4513"/>
      <c r="AH339" s="4495"/>
      <c r="AI339" s="3367"/>
    </row>
    <row r="340" ht="18.75" customHeight="1">
      <c r="A340" s="3621"/>
      <c r="B340" s="4515"/>
      <c r="C340" s="4516" t="s">
        <v>1105</v>
      </c>
      <c r="D340" s="4517"/>
      <c r="E340" s="4518" t="s">
        <v>1106</v>
      </c>
      <c r="F340" s="4519"/>
      <c r="G340" s="4519"/>
      <c r="H340" s="4520"/>
      <c r="I340" s="4521"/>
      <c r="J340" s="4518" t="s">
        <v>618</v>
      </c>
      <c r="K340" s="4519"/>
      <c r="L340" s="4519"/>
      <c r="M340" s="4520"/>
      <c r="N340" s="4522"/>
      <c r="O340" s="4523"/>
      <c r="P340" s="4512"/>
      <c r="Q340" s="4512"/>
      <c r="R340" s="4513"/>
      <c r="S340" s="4524"/>
      <c r="T340" s="4523"/>
      <c r="U340" s="4512"/>
      <c r="V340" s="4512"/>
      <c r="W340" s="4513"/>
      <c r="X340" s="4524"/>
      <c r="Y340" s="4523"/>
      <c r="Z340" s="4512"/>
      <c r="AA340" s="4512"/>
      <c r="AB340" s="4513"/>
      <c r="AC340" s="4524"/>
      <c r="AD340" s="4523"/>
      <c r="AE340" s="4512"/>
      <c r="AF340" s="4512"/>
      <c r="AG340" s="4513"/>
      <c r="AH340" s="4525"/>
      <c r="AI340" s="3631"/>
    </row>
    <row r="341">
      <c r="A341" s="3632"/>
      <c r="B341" s="4526"/>
      <c r="C341" s="1481"/>
      <c r="D341" s="4527"/>
      <c r="E341" s="4528" t="s">
        <v>843</v>
      </c>
      <c r="F341" s="4529"/>
      <c r="G341" s="4529"/>
      <c r="H341" s="4530"/>
      <c r="I341" s="4521"/>
      <c r="J341" s="4528" t="s">
        <v>843</v>
      </c>
      <c r="K341" s="4529"/>
      <c r="L341" s="4529"/>
      <c r="M341" s="4530"/>
      <c r="N341" s="4522"/>
      <c r="O341" s="4531"/>
      <c r="P341" s="4512"/>
      <c r="Q341" s="4512"/>
      <c r="R341" s="4513"/>
      <c r="S341" s="4524"/>
      <c r="T341" s="4531"/>
      <c r="U341" s="4512"/>
      <c r="V341" s="4512"/>
      <c r="W341" s="4513"/>
      <c r="X341" s="4524"/>
      <c r="Y341" s="4531"/>
      <c r="Z341" s="4512"/>
      <c r="AA341" s="4512"/>
      <c r="AB341" s="4513"/>
      <c r="AC341" s="4524"/>
      <c r="AD341" s="4531"/>
      <c r="AE341" s="4512"/>
      <c r="AF341" s="4512"/>
      <c r="AG341" s="4513"/>
      <c r="AH341" s="4532"/>
      <c r="AI341" s="3640"/>
    </row>
    <row r="342" ht="25.5" customHeight="1">
      <c r="A342" s="3361"/>
      <c r="B342" s="4505"/>
      <c r="C342" s="1489"/>
      <c r="D342" s="4533"/>
      <c r="E342" s="4534"/>
      <c r="F342" s="4535" t="str">
        <f t="array" ref="F342">IFERROR(VLOOKUP(E340,Dex!$B$3:$H1022,5,FALSE),"")</f>
        <v/>
      </c>
      <c r="G342" s="4536" t="str">
        <f t="array" ref="G342">IFERROR(VLOOKUP(E340,Dex!$B$3:$H1022,7,FALSE),"")</f>
        <v/>
      </c>
      <c r="H342" s="4537"/>
      <c r="I342" s="4521"/>
      <c r="J342" s="4534"/>
      <c r="K342" s="4535" t="str">
        <f t="array" ref="K342">IFERROR(VLOOKUP(J340,Dex!$B$3:$H1022,5,FALSE),"")</f>
        <v/>
      </c>
      <c r="L342" s="4536" t="str">
        <f t="array" ref="L342">IFERROR(VLOOKUP(J340,Dex!$B$3:$H1022,7,FALSE),"")</f>
        <v/>
      </c>
      <c r="M342" s="4537"/>
      <c r="N342" s="4522"/>
      <c r="O342" s="4511"/>
      <c r="P342" s="4512"/>
      <c r="Q342" s="4512"/>
      <c r="R342" s="4513"/>
      <c r="S342" s="4524"/>
      <c r="T342" s="4511"/>
      <c r="U342" s="4512"/>
      <c r="V342" s="4512"/>
      <c r="W342" s="4513"/>
      <c r="X342" s="4524"/>
      <c r="Y342" s="4511"/>
      <c r="Z342" s="4512"/>
      <c r="AA342" s="4512"/>
      <c r="AB342" s="4513"/>
      <c r="AC342" s="4524"/>
      <c r="AD342" s="4511"/>
      <c r="AE342" s="4512"/>
      <c r="AF342" s="4512"/>
      <c r="AG342" s="4513"/>
      <c r="AH342" s="4495"/>
      <c r="AI342" s="3367"/>
    </row>
    <row r="343" ht="2.25" customHeight="1">
      <c r="A343" s="3361"/>
      <c r="B343" s="4538"/>
      <c r="C343" s="4539"/>
      <c r="D343" s="4540"/>
      <c r="E343" s="4541"/>
      <c r="F343" s="4542"/>
      <c r="G343" s="4542"/>
      <c r="H343" s="4543"/>
      <c r="I343" s="4521"/>
      <c r="J343" s="4541"/>
      <c r="K343" s="4542"/>
      <c r="L343" s="4542"/>
      <c r="M343" s="4543"/>
      <c r="N343" s="4522"/>
      <c r="O343" s="4544"/>
      <c r="P343" s="4544"/>
      <c r="Q343" s="4544"/>
      <c r="R343" s="4544"/>
      <c r="S343" s="4524"/>
      <c r="T343" s="4544"/>
      <c r="U343" s="4544"/>
      <c r="V343" s="4544"/>
      <c r="W343" s="4544"/>
      <c r="X343" s="4524"/>
      <c r="Y343" s="4544"/>
      <c r="Z343" s="4544"/>
      <c r="AA343" s="4544"/>
      <c r="AB343" s="4544"/>
      <c r="AC343" s="4524"/>
      <c r="AD343" s="4544"/>
      <c r="AE343" s="4544"/>
      <c r="AF343" s="4544"/>
      <c r="AG343" s="4544"/>
      <c r="AH343" s="4495"/>
      <c r="AI343" s="3367"/>
    </row>
    <row r="344" ht="20.25" customHeight="1">
      <c r="A344" s="3361"/>
      <c r="B344" s="4491"/>
      <c r="C344" s="4545"/>
      <c r="D344" s="4540"/>
      <c r="E344" s="4546" t="s">
        <v>205</v>
      </c>
      <c r="F344" s="4547"/>
      <c r="G344" s="4547"/>
      <c r="H344" s="4548"/>
      <c r="I344" s="4521"/>
      <c r="J344" s="4546" t="s">
        <v>264</v>
      </c>
      <c r="K344" s="4547"/>
      <c r="L344" s="4547"/>
      <c r="M344" s="4548"/>
      <c r="N344" s="4522"/>
      <c r="O344" s="4511"/>
      <c r="P344" s="4512"/>
      <c r="Q344" s="4512"/>
      <c r="R344" s="4513"/>
      <c r="S344" s="4524"/>
      <c r="T344" s="4511"/>
      <c r="U344" s="4512"/>
      <c r="V344" s="4512"/>
      <c r="W344" s="4513"/>
      <c r="X344" s="4524"/>
      <c r="Y344" s="4511"/>
      <c r="Z344" s="4512"/>
      <c r="AA344" s="4512"/>
      <c r="AB344" s="4513"/>
      <c r="AC344" s="4524"/>
      <c r="AD344" s="4511"/>
      <c r="AE344" s="4512"/>
      <c r="AF344" s="4512"/>
      <c r="AG344" s="4513"/>
      <c r="AH344" s="4495"/>
      <c r="AI344" s="3367"/>
    </row>
    <row r="345" ht="20.25" customHeight="1">
      <c r="A345" s="3361"/>
      <c r="B345" s="4491"/>
      <c r="C345" s="4545"/>
      <c r="D345" s="4540"/>
      <c r="E345" s="4549" t="s">
        <v>1032</v>
      </c>
      <c r="F345" s="4512"/>
      <c r="G345" s="4512"/>
      <c r="H345" s="4550"/>
      <c r="I345" s="4521"/>
      <c r="J345" s="4549" t="s">
        <v>624</v>
      </c>
      <c r="K345" s="4512"/>
      <c r="L345" s="4512"/>
      <c r="M345" s="4550"/>
      <c r="N345" s="4522"/>
      <c r="O345" s="4511"/>
      <c r="P345" s="4512"/>
      <c r="Q345" s="4512"/>
      <c r="R345" s="4513"/>
      <c r="S345" s="4524"/>
      <c r="T345" s="4511"/>
      <c r="U345" s="4512"/>
      <c r="V345" s="4512"/>
      <c r="W345" s="4513"/>
      <c r="X345" s="4524"/>
      <c r="Y345" s="4511"/>
      <c r="Z345" s="4512"/>
      <c r="AA345" s="4512"/>
      <c r="AB345" s="4513"/>
      <c r="AC345" s="4524"/>
      <c r="AD345" s="4511"/>
      <c r="AE345" s="4512"/>
      <c r="AF345" s="4512"/>
      <c r="AG345" s="4513"/>
      <c r="AH345" s="4495"/>
      <c r="AI345" s="3367"/>
    </row>
    <row r="346" ht="20.25" customHeight="1">
      <c r="A346" s="3361"/>
      <c r="B346" s="4491"/>
      <c r="C346" s="4545"/>
      <c r="D346" s="4540"/>
      <c r="E346" s="4551" t="s">
        <v>1107</v>
      </c>
      <c r="F346" s="4502"/>
      <c r="G346" s="4503"/>
      <c r="H346" s="4552" t="str">
        <f>IMAGE("https://raw.githubusercontent.com/msikma/pokesprite/master/items/hold-item/light-clay.png",3)</f>
        <v/>
      </c>
      <c r="I346" s="4521"/>
      <c r="J346" s="4551" t="s">
        <v>536</v>
      </c>
      <c r="K346" s="4502"/>
      <c r="L346" s="4503"/>
      <c r="M346" s="4552" t="str">
        <f>IMAGE("https://raw.githubusercontent.com/msikma/pokesprite/master/items/hold-item/magnet.png",3)</f>
        <v/>
      </c>
      <c r="N346" s="4522"/>
      <c r="O346" s="4511"/>
      <c r="P346" s="4512"/>
      <c r="Q346" s="4512"/>
      <c r="R346" s="4513"/>
      <c r="S346" s="4524"/>
      <c r="T346" s="4511"/>
      <c r="U346" s="4512"/>
      <c r="V346" s="4512"/>
      <c r="W346" s="4513"/>
      <c r="X346" s="4524"/>
      <c r="Y346" s="4511"/>
      <c r="Z346" s="4512"/>
      <c r="AA346" s="4512"/>
      <c r="AB346" s="4513"/>
      <c r="AC346" s="4524"/>
      <c r="AD346" s="4511"/>
      <c r="AE346" s="4512"/>
      <c r="AF346" s="4512"/>
      <c r="AG346" s="4513"/>
      <c r="AH346" s="4495"/>
      <c r="AI346" s="3367"/>
    </row>
    <row r="347" ht="20.25" customHeight="1">
      <c r="A347" s="3361"/>
      <c r="B347" s="4491"/>
      <c r="C347" s="4553"/>
      <c r="D347" s="4511"/>
      <c r="E347" s="4546" t="s">
        <v>1108</v>
      </c>
      <c r="F347" s="4547"/>
      <c r="G347" s="4554"/>
      <c r="H347" s="4555" t="str">
        <f t="shared" ref="H347:H348" si="7">IMAGE("https://raw.githubusercontent.com/msikma/pokesprite/master/misc/types/gen8/ice.png",4,20,20)</f>
        <v/>
      </c>
      <c r="I347" s="4521"/>
      <c r="J347" s="4546" t="s">
        <v>630</v>
      </c>
      <c r="K347" s="4547"/>
      <c r="L347" s="4554"/>
      <c r="M347" s="4555" t="str">
        <f>IMAGE("https://raw.githubusercontent.com/msikma/pokesprite/master/misc/types/gen8/electric.png",4,20,20)</f>
        <v/>
      </c>
      <c r="N347" s="4522"/>
      <c r="O347" s="4511"/>
      <c r="P347" s="4512"/>
      <c r="Q347" s="4512"/>
      <c r="R347" s="4513"/>
      <c r="S347" s="4524"/>
      <c r="T347" s="4511"/>
      <c r="U347" s="4512"/>
      <c r="V347" s="4512"/>
      <c r="W347" s="4513"/>
      <c r="X347" s="4524"/>
      <c r="Y347" s="4511"/>
      <c r="Z347" s="4512"/>
      <c r="AA347" s="4512"/>
      <c r="AB347" s="4513"/>
      <c r="AC347" s="4524"/>
      <c r="AD347" s="4511"/>
      <c r="AE347" s="4512"/>
      <c r="AF347" s="4512"/>
      <c r="AG347" s="4513"/>
      <c r="AH347" s="4495"/>
      <c r="AI347" s="3367"/>
    </row>
    <row r="348" ht="20.25" customHeight="1">
      <c r="A348" s="3361"/>
      <c r="B348" s="4491"/>
      <c r="C348" s="4553"/>
      <c r="D348" s="4511"/>
      <c r="E348" s="4549" t="s">
        <v>1097</v>
      </c>
      <c r="F348" s="4512"/>
      <c r="G348" s="4513"/>
      <c r="H348" s="4556" t="str">
        <f t="shared" si="7"/>
        <v/>
      </c>
      <c r="I348" s="4521"/>
      <c r="J348" s="4549" t="s">
        <v>1097</v>
      </c>
      <c r="K348" s="4512"/>
      <c r="L348" s="4513"/>
      <c r="M348" s="4556" t="str">
        <f>IMAGE("https://raw.githubusercontent.com/msikma/pokesprite/master/misc/types/gen8/ice.png",4,20,20)</f>
        <v/>
      </c>
      <c r="N348" s="4522"/>
      <c r="O348" s="4511"/>
      <c r="P348" s="4512"/>
      <c r="Q348" s="4512"/>
      <c r="R348" s="4513"/>
      <c r="S348" s="4524"/>
      <c r="T348" s="4511"/>
      <c r="U348" s="4512"/>
      <c r="V348" s="4512"/>
      <c r="W348" s="4513"/>
      <c r="X348" s="4524"/>
      <c r="Y348" s="4511"/>
      <c r="Z348" s="4512"/>
      <c r="AA348" s="4512"/>
      <c r="AB348" s="4513"/>
      <c r="AC348" s="4524"/>
      <c r="AD348" s="4511"/>
      <c r="AE348" s="4512"/>
      <c r="AF348" s="4512"/>
      <c r="AG348" s="4513"/>
      <c r="AH348" s="4495"/>
      <c r="AI348" s="3367"/>
    </row>
    <row r="349" ht="20.25" customHeight="1">
      <c r="A349" s="3361"/>
      <c r="B349" s="4491"/>
      <c r="C349" s="4553"/>
      <c r="D349" s="4511"/>
      <c r="E349" s="4549" t="s">
        <v>318</v>
      </c>
      <c r="F349" s="4512"/>
      <c r="G349" s="4513"/>
      <c r="H349" s="4556" t="str">
        <f>IMAGE("https://raw.githubusercontent.com/msikma/pokesprite/master/misc/types/gen8/ghost.png",4,20,20)</f>
        <v/>
      </c>
      <c r="I349" s="4521"/>
      <c r="J349" s="4549" t="s">
        <v>639</v>
      </c>
      <c r="K349" s="4512"/>
      <c r="L349" s="4513"/>
      <c r="M349" s="4556" t="str">
        <f>IMAGE("https://raw.githubusercontent.com/msikma/pokesprite/master/misc/types/gen8/fighting.png",4,20,20)</f>
        <v/>
      </c>
      <c r="N349" s="4522"/>
      <c r="O349" s="4511"/>
      <c r="P349" s="4512"/>
      <c r="Q349" s="4512"/>
      <c r="R349" s="4513"/>
      <c r="S349" s="4524"/>
      <c r="T349" s="4511"/>
      <c r="U349" s="4512"/>
      <c r="V349" s="4512"/>
      <c r="W349" s="4513"/>
      <c r="X349" s="4524"/>
      <c r="Y349" s="4511"/>
      <c r="Z349" s="4512"/>
      <c r="AA349" s="4512"/>
      <c r="AB349" s="4513"/>
      <c r="AC349" s="4524"/>
      <c r="AD349" s="4511"/>
      <c r="AE349" s="4512"/>
      <c r="AF349" s="4512"/>
      <c r="AG349" s="4513"/>
      <c r="AH349" s="4495"/>
      <c r="AI349" s="3367"/>
    </row>
    <row r="350" ht="21.0" customHeight="1">
      <c r="A350" s="3361"/>
      <c r="B350" s="4491"/>
      <c r="C350" s="4553"/>
      <c r="D350" s="4511"/>
      <c r="E350" s="4557" t="s">
        <v>636</v>
      </c>
      <c r="F350" s="4558"/>
      <c r="G350" s="4559"/>
      <c r="H350" s="4560" t="str">
        <f>IMAGE("https://raw.githubusercontent.com/msikma/pokesprite/master/misc/types/gen8/ice.png",4,20,20)</f>
        <v/>
      </c>
      <c r="I350" s="4561"/>
      <c r="J350" s="4557" t="s">
        <v>399</v>
      </c>
      <c r="K350" s="4558"/>
      <c r="L350" s="4559"/>
      <c r="M350" s="4560" t="str">
        <f>IMAGE("https://raw.githubusercontent.com/msikma/pokesprite/master/misc/types/gen8/rock.png",4,20,20)</f>
        <v/>
      </c>
      <c r="N350" s="4562"/>
      <c r="O350" s="4511"/>
      <c r="P350" s="4512"/>
      <c r="Q350" s="4512"/>
      <c r="R350" s="4513"/>
      <c r="S350" s="4563"/>
      <c r="T350" s="4511"/>
      <c r="U350" s="4512"/>
      <c r="V350" s="4512"/>
      <c r="W350" s="4513"/>
      <c r="X350" s="4563"/>
      <c r="Y350" s="4511"/>
      <c r="Z350" s="4512"/>
      <c r="AA350" s="4512"/>
      <c r="AB350" s="4513"/>
      <c r="AC350" s="4563"/>
      <c r="AD350" s="4511"/>
      <c r="AE350" s="4512"/>
      <c r="AF350" s="4512"/>
      <c r="AG350" s="4513"/>
      <c r="AH350" s="4495"/>
      <c r="AI350" s="3367"/>
    </row>
    <row r="351" ht="3.0" customHeight="1">
      <c r="A351" s="3445"/>
      <c r="B351" s="4564"/>
      <c r="C351" s="4553"/>
      <c r="D351" s="4565"/>
      <c r="E351" s="4566"/>
      <c r="F351" s="4566"/>
      <c r="G351" s="4566"/>
      <c r="H351" s="4567"/>
      <c r="I351" s="4565"/>
      <c r="J351" s="4566"/>
      <c r="K351" s="4566"/>
      <c r="L351" s="4566"/>
      <c r="M351" s="4567"/>
      <c r="N351" s="4565"/>
      <c r="O351" s="4568"/>
      <c r="P351" s="4568"/>
      <c r="Q351" s="4568"/>
      <c r="R351" s="4568"/>
      <c r="S351" s="4568"/>
      <c r="T351" s="4568"/>
      <c r="U351" s="4568"/>
      <c r="V351" s="4568"/>
      <c r="W351" s="4568"/>
      <c r="X351" s="4565"/>
      <c r="Y351" s="4565"/>
      <c r="Z351" s="4569"/>
      <c r="AA351" s="4569"/>
      <c r="AB351" s="4570"/>
      <c r="AC351" s="4570"/>
      <c r="AD351" s="4570"/>
      <c r="AE351" s="4570"/>
      <c r="AF351" s="4570"/>
      <c r="AG351" s="4570"/>
      <c r="AH351" s="4571"/>
      <c r="AI351" s="3456"/>
    </row>
    <row r="352" ht="16.5" customHeight="1">
      <c r="A352" s="3457"/>
      <c r="B352" s="4572"/>
      <c r="C352" s="4553"/>
      <c r="D352" s="4573"/>
      <c r="E352" s="4574" t="s">
        <v>190</v>
      </c>
      <c r="F352" s="381"/>
      <c r="G352" s="382"/>
      <c r="H352" s="4575" t="s">
        <v>191</v>
      </c>
      <c r="I352" s="4576"/>
      <c r="J352" s="4574" t="s">
        <v>190</v>
      </c>
      <c r="K352" s="381"/>
      <c r="L352" s="382"/>
      <c r="M352" s="4575" t="s">
        <v>191</v>
      </c>
      <c r="N352" s="4577"/>
      <c r="O352" s="4578"/>
      <c r="P352" s="4578"/>
      <c r="Q352" s="4579"/>
      <c r="R352" s="4580"/>
      <c r="S352" s="4581"/>
      <c r="T352" s="4578"/>
      <c r="U352" s="4578"/>
      <c r="V352" s="4579"/>
      <c r="W352" s="4580"/>
      <c r="X352" s="4580"/>
      <c r="Y352" s="4580"/>
      <c r="Z352" s="4578"/>
      <c r="AA352" s="4578"/>
      <c r="AB352" s="4580"/>
      <c r="AC352" s="4580"/>
      <c r="AD352" s="4580"/>
      <c r="AE352" s="4580"/>
      <c r="AF352" s="4580"/>
      <c r="AG352" s="4580"/>
      <c r="AH352" s="4582"/>
      <c r="AI352" s="3466"/>
    </row>
    <row r="353" ht="16.5" customHeight="1">
      <c r="A353" s="3457"/>
      <c r="B353" s="4572"/>
      <c r="C353" s="4553"/>
      <c r="D353" s="4573"/>
      <c r="E353" s="4583" t="s">
        <v>192</v>
      </c>
      <c r="F353" s="4584">
        <f t="array" ref="F353">IFERROR(VLOOKUP(E340,Dex!$B$3:$N1022,8,FALSE),"")</f>
        <v>70</v>
      </c>
      <c r="G353" s="4585" t="str">
        <f t="array" ref="G353">IFERROR(VLOOKUP(F353,Dex!$P$22:$Q$276,2,FALSE),"")</f>
        <v/>
      </c>
      <c r="H353" s="4586"/>
      <c r="I353" s="4576"/>
      <c r="J353" s="4583" t="s">
        <v>192</v>
      </c>
      <c r="K353" s="4584">
        <f t="array" ref="K353">IFERROR(VLOOKUP(J340,Dex!$B$3:$N1022,8,FALSE),"")</f>
        <v>90</v>
      </c>
      <c r="L353" s="4585" t="str">
        <f t="array" ref="L353">IFERROR(VLOOKUP(K353,Dex!$P$22:$Q$276,2,FALSE),"")</f>
        <v/>
      </c>
      <c r="M353" s="4586"/>
      <c r="N353" s="4577"/>
      <c r="O353" s="4578"/>
      <c r="P353" s="4578"/>
      <c r="Q353" s="4587"/>
      <c r="R353" s="4580"/>
      <c r="S353" s="4588"/>
      <c r="T353" s="4578"/>
      <c r="U353" s="4578"/>
      <c r="V353" s="4587"/>
      <c r="W353" s="4580"/>
      <c r="X353" s="4580"/>
      <c r="Y353" s="4580"/>
      <c r="Z353" s="4578"/>
      <c r="AA353" s="4578"/>
      <c r="AB353" s="4580"/>
      <c r="AC353" s="4580"/>
      <c r="AD353" s="4580"/>
      <c r="AE353" s="4580"/>
      <c r="AF353" s="4580"/>
      <c r="AG353" s="4580"/>
      <c r="AH353" s="4582"/>
      <c r="AI353" s="3466"/>
    </row>
    <row r="354" ht="16.5" customHeight="1">
      <c r="A354" s="3457"/>
      <c r="B354" s="4572"/>
      <c r="C354" s="4553"/>
      <c r="D354" s="4573"/>
      <c r="E354" s="4589" t="s">
        <v>193</v>
      </c>
      <c r="F354" s="4590">
        <f t="array" ref="F354">IFERROR(VLOOKUP(E340,Dex!$B$3:$N1022,9,FALSE),"")</f>
        <v>95</v>
      </c>
      <c r="G354" s="4591" t="str">
        <f t="array" ref="G354">IFERROR(VLOOKUP(F354,Dex!$P$22:$Q$276,2,FALSE),"")</f>
        <v/>
      </c>
      <c r="H354" s="4592"/>
      <c r="I354" s="4576"/>
      <c r="J354" s="4589" t="s">
        <v>193</v>
      </c>
      <c r="K354" s="4590">
        <f t="array" ref="K354">IFERROR(VLOOKUP(J340,Dex!$B$3:$N1022,9,FALSE),"")</f>
        <v>100</v>
      </c>
      <c r="L354" s="4591" t="str">
        <f t="array" ref="L354">IFERROR(VLOOKUP(K354,Dex!$P$22:$Q$276,2,FALSE),"")</f>
        <v/>
      </c>
      <c r="M354" s="4592">
        <v>252.0</v>
      </c>
      <c r="N354" s="4577"/>
      <c r="O354" s="4578"/>
      <c r="P354" s="4578"/>
      <c r="Q354" s="4593"/>
      <c r="R354" s="4580"/>
      <c r="S354" s="4588"/>
      <c r="T354" s="4578"/>
      <c r="U354" s="4578"/>
      <c r="V354" s="4593"/>
      <c r="W354" s="4580"/>
      <c r="X354" s="4580"/>
      <c r="Y354" s="4580"/>
      <c r="Z354" s="4578"/>
      <c r="AA354" s="4578"/>
      <c r="AB354" s="4580"/>
      <c r="AC354" s="4580"/>
      <c r="AD354" s="4580"/>
      <c r="AE354" s="4580"/>
      <c r="AF354" s="4580"/>
      <c r="AG354" s="4580"/>
      <c r="AH354" s="4582"/>
      <c r="AI354" s="3466"/>
    </row>
    <row r="355" ht="16.5" customHeight="1">
      <c r="A355" s="3457"/>
      <c r="B355" s="4572"/>
      <c r="C355" s="4553"/>
      <c r="D355" s="4573"/>
      <c r="E355" s="4589" t="s">
        <v>194</v>
      </c>
      <c r="F355" s="4590">
        <f t="array" ref="F355">IFERROR(VLOOKUP(E340,Dex!$B$3:$N1022,10,FALSE),"")</f>
        <v>70</v>
      </c>
      <c r="G355" s="4591" t="str">
        <f t="array" ref="G355">IFERROR(VLOOKUP(F355,Dex!$P$22:$Q$276,2,FALSE),"")</f>
        <v/>
      </c>
      <c r="H355" s="4592"/>
      <c r="I355" s="4576"/>
      <c r="J355" s="4589" t="s">
        <v>194</v>
      </c>
      <c r="K355" s="4590">
        <f t="array" ref="K355">IFERROR(VLOOKUP(J340,Dex!$B$3:$N1022,10,FALSE),"")</f>
        <v>90</v>
      </c>
      <c r="L355" s="4591" t="str">
        <f t="array" ref="L355">IFERROR(VLOOKUP(K355,Dex!$P$22:$Q$276,2,FALSE),"")</f>
        <v/>
      </c>
      <c r="M355" s="4592"/>
      <c r="N355" s="4577"/>
      <c r="O355" s="4578"/>
      <c r="P355" s="4578"/>
      <c r="Q355" s="4594"/>
      <c r="R355" s="4580"/>
      <c r="S355" s="4588"/>
      <c r="T355" s="4578"/>
      <c r="U355" s="4578"/>
      <c r="V355" s="4594"/>
      <c r="W355" s="4580"/>
      <c r="X355" s="4580"/>
      <c r="Y355" s="4580"/>
      <c r="Z355" s="4578"/>
      <c r="AA355" s="4578"/>
      <c r="AB355" s="4580"/>
      <c r="AC355" s="4580"/>
      <c r="AD355" s="4580"/>
      <c r="AE355" s="4580"/>
      <c r="AF355" s="4580"/>
      <c r="AG355" s="4580"/>
      <c r="AH355" s="4582"/>
      <c r="AI355" s="3466"/>
    </row>
    <row r="356" ht="16.5" customHeight="1">
      <c r="A356" s="3457"/>
      <c r="B356" s="4572"/>
      <c r="C356" s="4553"/>
      <c r="D356" s="4573"/>
      <c r="E356" s="4589" t="s">
        <v>195</v>
      </c>
      <c r="F356" s="4590">
        <f t="array" ref="F356">IFERROR(VLOOKUP(E340,Dex!$B$3:$N1022,11,FALSE),"")</f>
        <v>95</v>
      </c>
      <c r="G356" s="4591" t="str">
        <f t="array" ref="G356">IFERROR(VLOOKUP(F356,Dex!$P$22:$Q$276,2,FALSE),"")</f>
        <v/>
      </c>
      <c r="H356" s="4592">
        <v>252.0</v>
      </c>
      <c r="I356" s="4576"/>
      <c r="J356" s="4589" t="s">
        <v>195</v>
      </c>
      <c r="K356" s="4590">
        <f t="array" ref="K356">IFERROR(VLOOKUP(J340,Dex!$B$3:$N1022,11,FALSE),"")</f>
        <v>90</v>
      </c>
      <c r="L356" s="4591" t="str">
        <f t="array" ref="L356">IFERROR(VLOOKUP(K356,Dex!$P$22:$Q$276,2,FALSE),"")</f>
        <v/>
      </c>
      <c r="M356" s="4592"/>
      <c r="N356" s="4577"/>
      <c r="O356" s="4578"/>
      <c r="P356" s="4578"/>
      <c r="Q356" s="4524"/>
      <c r="R356" s="4580"/>
      <c r="S356" s="4588"/>
      <c r="T356" s="4578"/>
      <c r="U356" s="4578"/>
      <c r="V356" s="4524"/>
      <c r="W356" s="4580"/>
      <c r="X356" s="4580"/>
      <c r="Y356" s="4580"/>
      <c r="Z356" s="4578"/>
      <c r="AA356" s="4578"/>
      <c r="AB356" s="4580"/>
      <c r="AC356" s="4580"/>
      <c r="AD356" s="4580"/>
      <c r="AE356" s="4580"/>
      <c r="AF356" s="4580"/>
      <c r="AG356" s="4580"/>
      <c r="AH356" s="4582"/>
      <c r="AI356" s="3466"/>
    </row>
    <row r="357" ht="16.5" customHeight="1">
      <c r="A357" s="3457"/>
      <c r="B357" s="4572"/>
      <c r="C357" s="4553"/>
      <c r="D357" s="4573"/>
      <c r="E357" s="4589" t="s">
        <v>196</v>
      </c>
      <c r="F357" s="4590">
        <f t="array" ref="F357">IFERROR(VLOOKUP(E340,Dex!$B$3:$N1022,12,FALSE),"")</f>
        <v>70</v>
      </c>
      <c r="G357" s="4591" t="str">
        <f t="array" ref="G357">IFERROR(VLOOKUP(F357,Dex!$P$22:$Q$276,2,FALSE),"")</f>
        <v/>
      </c>
      <c r="H357" s="4592">
        <v>4.0</v>
      </c>
      <c r="I357" s="4576"/>
      <c r="J357" s="4589" t="s">
        <v>196</v>
      </c>
      <c r="K357" s="4590">
        <f t="array" ref="K357">IFERROR(VLOOKUP(J340,Dex!$B$3:$N1022,12,FALSE),"")</f>
        <v>80</v>
      </c>
      <c r="L357" s="4591" t="str">
        <f t="array" ref="L357">IFERROR(VLOOKUP(K357,Dex!$P$22:$Q$276,2,FALSE),"")</f>
        <v/>
      </c>
      <c r="M357" s="4592">
        <v>4.0</v>
      </c>
      <c r="N357" s="4577"/>
      <c r="O357" s="4578"/>
      <c r="P357" s="4578"/>
      <c r="Q357" s="4524"/>
      <c r="R357" s="4580"/>
      <c r="S357" s="4588"/>
      <c r="T357" s="4578"/>
      <c r="U357" s="4578"/>
      <c r="V357" s="4524"/>
      <c r="W357" s="4580"/>
      <c r="X357" s="4580"/>
      <c r="Y357" s="4580"/>
      <c r="Z357" s="4578"/>
      <c r="AA357" s="4578"/>
      <c r="AB357" s="4580"/>
      <c r="AC357" s="4580"/>
      <c r="AD357" s="4580"/>
      <c r="AE357" s="4580"/>
      <c r="AF357" s="4580"/>
      <c r="AG357" s="4580"/>
      <c r="AH357" s="4582"/>
      <c r="AI357" s="3466"/>
    </row>
    <row r="358" ht="16.5" customHeight="1">
      <c r="A358" s="3457"/>
      <c r="B358" s="4572"/>
      <c r="C358" s="1204" t="s">
        <v>436</v>
      </c>
      <c r="D358" s="4573"/>
      <c r="E358" s="4595" t="s">
        <v>197</v>
      </c>
      <c r="F358" s="4596">
        <f t="array" ref="F358">IFERROR(VLOOKUP(E340,Dex!$B$3:$N1022,13,FALSE),"")</f>
        <v>110</v>
      </c>
      <c r="G358" s="4597" t="str">
        <f t="array" ref="G358">IFERROR(VLOOKUP(F358,Dex!$P$22:$Q$276,2,FALSE),"")</f>
        <v/>
      </c>
      <c r="H358" s="4598">
        <v>252.0</v>
      </c>
      <c r="I358" s="4576"/>
      <c r="J358" s="4595" t="s">
        <v>197</v>
      </c>
      <c r="K358" s="4596">
        <f t="array" ref="K358">IFERROR(VLOOKUP(J340,Dex!$B$3:$N1022,13,FALSE),"")</f>
        <v>55</v>
      </c>
      <c r="L358" s="4597" t="str">
        <f t="array" ref="L358">IFERROR(VLOOKUP(K358,Dex!$P$22:$Q$276,2,FALSE),"")</f>
        <v/>
      </c>
      <c r="M358" s="4598">
        <v>252.0</v>
      </c>
      <c r="N358" s="4577"/>
      <c r="O358" s="4578"/>
      <c r="P358" s="4578"/>
      <c r="Q358" s="4524"/>
      <c r="R358" s="4580"/>
      <c r="S358" s="4588"/>
      <c r="T358" s="4578"/>
      <c r="U358" s="4578"/>
      <c r="V358" s="4524"/>
      <c r="W358" s="4580"/>
      <c r="X358" s="4580"/>
      <c r="Y358" s="4580"/>
      <c r="Z358" s="4578"/>
      <c r="AA358" s="4578"/>
      <c r="AB358" s="4580"/>
      <c r="AC358" s="4580"/>
      <c r="AD358" s="4580"/>
      <c r="AE358" s="4580"/>
      <c r="AF358" s="4580"/>
      <c r="AG358" s="4580"/>
      <c r="AH358" s="4582"/>
      <c r="AI358" s="3466"/>
    </row>
    <row r="359" ht="16.5" customHeight="1">
      <c r="A359" s="3457"/>
      <c r="B359" s="4572"/>
      <c r="C359" s="1205" t="s">
        <v>437</v>
      </c>
      <c r="D359" s="4599"/>
      <c r="E359" s="4600" t="s">
        <v>198</v>
      </c>
      <c r="F359" s="405"/>
      <c r="G359" s="406"/>
      <c r="H359" s="4601">
        <v>222.0</v>
      </c>
      <c r="I359" s="4602"/>
      <c r="J359" s="4603" t="s">
        <v>198</v>
      </c>
      <c r="K359" s="918"/>
      <c r="L359" s="919"/>
      <c r="M359" s="4604">
        <v>146.0</v>
      </c>
      <c r="N359" s="4577"/>
      <c r="O359" s="4578"/>
      <c r="P359" s="4578"/>
      <c r="Q359" s="4563"/>
      <c r="R359" s="4580"/>
      <c r="S359" s="4588"/>
      <c r="T359" s="4578"/>
      <c r="U359" s="4578"/>
      <c r="V359" s="4563"/>
      <c r="W359" s="4580"/>
      <c r="X359" s="4580"/>
      <c r="Y359" s="4580"/>
      <c r="Z359" s="4578"/>
      <c r="AA359" s="4578"/>
      <c r="AB359" s="4580"/>
      <c r="AC359" s="4580"/>
      <c r="AD359" s="4580"/>
      <c r="AE359" s="4580"/>
      <c r="AF359" s="4580"/>
      <c r="AG359" s="4580"/>
      <c r="AH359" s="4582"/>
      <c r="AI359" s="3466"/>
    </row>
    <row r="360" ht="16.5" customHeight="1">
      <c r="A360" s="3457"/>
      <c r="B360" s="4572"/>
      <c r="C360" s="4553"/>
      <c r="D360" s="4578"/>
      <c r="E360" s="4605"/>
      <c r="F360" s="4606"/>
      <c r="G360" s="4607"/>
      <c r="H360" s="4607"/>
      <c r="I360" s="4573"/>
      <c r="J360" s="4608" t="s">
        <v>642</v>
      </c>
      <c r="K360" s="925"/>
      <c r="L360" s="926"/>
      <c r="M360" s="4609">
        <v>292.0</v>
      </c>
      <c r="N360" s="4577"/>
      <c r="O360" s="4578"/>
      <c r="P360" s="4610"/>
      <c r="Q360" s="4580"/>
      <c r="R360" s="4580"/>
      <c r="S360" s="4580"/>
      <c r="T360" s="4578"/>
      <c r="U360" s="4578"/>
      <c r="V360" s="4610"/>
      <c r="W360" s="4580"/>
      <c r="X360" s="4580"/>
      <c r="Y360" s="4580"/>
      <c r="Z360" s="4578"/>
      <c r="AA360" s="4578"/>
      <c r="AB360" s="4580"/>
      <c r="AC360" s="4580"/>
      <c r="AD360" s="4580"/>
      <c r="AE360" s="4580"/>
      <c r="AF360" s="4580"/>
      <c r="AG360" s="4580"/>
      <c r="AH360" s="4582"/>
      <c r="AI360" s="3466"/>
    </row>
    <row r="361" ht="3.75" customHeight="1">
      <c r="A361" s="3361"/>
      <c r="B361" s="4491"/>
      <c r="C361" s="4545"/>
      <c r="D361" s="4544"/>
      <c r="E361" s="4611"/>
      <c r="F361" s="4611"/>
      <c r="G361" s="4611"/>
      <c r="H361" s="4611"/>
      <c r="I361" s="4612"/>
      <c r="J361" s="4613"/>
      <c r="K361" s="4613"/>
      <c r="L361" s="4613"/>
      <c r="M361" s="4613"/>
      <c r="N361" s="4612"/>
      <c r="O361" s="4611"/>
      <c r="P361" s="4611"/>
      <c r="Q361" s="4611"/>
      <c r="R361" s="4611"/>
      <c r="S361" s="4544"/>
      <c r="T361" s="4544"/>
      <c r="U361" s="4544"/>
      <c r="V361" s="4544"/>
      <c r="W361" s="4544"/>
      <c r="X361" s="4544"/>
      <c r="Y361" s="4544"/>
      <c r="Z361" s="4544"/>
      <c r="AA361" s="4544"/>
      <c r="AB361" s="4544"/>
      <c r="AC361" s="4544"/>
      <c r="AD361" s="4544"/>
      <c r="AE361" s="4544"/>
      <c r="AF361" s="4544"/>
      <c r="AG361" s="4544"/>
      <c r="AH361" s="4495"/>
      <c r="AI361" s="3367"/>
    </row>
    <row r="362" ht="15.0" customHeight="1">
      <c r="A362" s="3361"/>
      <c r="B362" s="4614"/>
      <c r="C362" s="4615"/>
      <c r="D362" s="4616"/>
      <c r="E362" s="4617"/>
      <c r="F362" s="4617"/>
      <c r="G362" s="4617"/>
      <c r="H362" s="4617"/>
      <c r="I362" s="4616"/>
      <c r="J362" s="4617"/>
      <c r="K362" s="4617"/>
      <c r="L362" s="4617"/>
      <c r="M362" s="4617"/>
      <c r="N362" s="4616"/>
      <c r="O362" s="4616"/>
      <c r="P362" s="4616"/>
      <c r="Q362" s="4616"/>
      <c r="R362" s="4616"/>
      <c r="S362" s="4616"/>
      <c r="T362" s="4616"/>
      <c r="U362" s="4616"/>
      <c r="V362" s="4616"/>
      <c r="W362" s="4616"/>
      <c r="X362" s="4616"/>
      <c r="Y362" s="4616"/>
      <c r="Z362" s="4616"/>
      <c r="AA362" s="4616"/>
      <c r="AB362" s="4616"/>
      <c r="AC362" s="4616"/>
      <c r="AD362" s="4616"/>
      <c r="AE362" s="4616"/>
      <c r="AF362" s="4616"/>
      <c r="AG362" s="4616"/>
      <c r="AH362" s="4618"/>
      <c r="AI362" s="3367"/>
    </row>
    <row r="363" ht="15.0" customHeight="1">
      <c r="A363" s="3361"/>
      <c r="B363" s="4619"/>
      <c r="C363" s="4620"/>
      <c r="D363" s="4621"/>
      <c r="E363" s="4622"/>
      <c r="F363" s="4622"/>
      <c r="G363" s="4622"/>
      <c r="H363" s="4622"/>
      <c r="I363" s="4622"/>
      <c r="J363" s="4622"/>
      <c r="K363" s="4622"/>
      <c r="L363" s="4622"/>
      <c r="M363" s="4622"/>
      <c r="N363" s="4622"/>
      <c r="O363" s="4622"/>
      <c r="P363" s="4622"/>
      <c r="Q363" s="4622"/>
      <c r="R363" s="4622"/>
      <c r="S363" s="4622"/>
      <c r="T363" s="4622"/>
      <c r="U363" s="4622"/>
      <c r="V363" s="4622"/>
      <c r="W363" s="4622"/>
      <c r="X363" s="4622"/>
      <c r="Y363" s="4622"/>
      <c r="Z363" s="4622"/>
      <c r="AA363" s="4622"/>
      <c r="AB363" s="4622"/>
      <c r="AC363" s="4622"/>
      <c r="AD363" s="4622"/>
      <c r="AE363" s="4622"/>
      <c r="AF363" s="4622"/>
      <c r="AG363" s="4622"/>
      <c r="AH363" s="4623"/>
      <c r="AI363" s="3367"/>
    </row>
    <row r="364">
      <c r="A364" s="3361"/>
      <c r="B364" s="4624"/>
      <c r="C364" s="4625"/>
      <c r="D364" s="4626"/>
      <c r="E364" s="4627" t="s">
        <v>1109</v>
      </c>
      <c r="F364" s="4628"/>
      <c r="G364" s="4628"/>
      <c r="H364" s="4628"/>
      <c r="I364" s="4628"/>
      <c r="J364" s="4628"/>
      <c r="K364" s="4628"/>
      <c r="L364" s="4628"/>
      <c r="M364" s="4628"/>
      <c r="N364" s="4628"/>
      <c r="O364" s="4628"/>
      <c r="P364" s="4628"/>
      <c r="Q364" s="4628"/>
      <c r="R364" s="4628"/>
      <c r="S364" s="4628"/>
      <c r="T364" s="4628"/>
      <c r="U364" s="4628"/>
      <c r="V364" s="4628"/>
      <c r="W364" s="4628"/>
      <c r="X364" s="4628"/>
      <c r="Y364" s="4628"/>
      <c r="Z364" s="4628"/>
      <c r="AA364" s="4628"/>
      <c r="AB364" s="4628"/>
      <c r="AC364" s="4628"/>
      <c r="AD364" s="4628"/>
      <c r="AE364" s="4628"/>
      <c r="AF364" s="4628"/>
      <c r="AG364" s="4629"/>
      <c r="AH364" s="4630"/>
      <c r="AI364" s="3367"/>
    </row>
    <row r="365" ht="96.75" customHeight="1">
      <c r="A365" s="3361"/>
      <c r="B365" s="4631"/>
      <c r="C365" s="4632" t="str">
        <f>IMAGE("https://i.ibb.co/26GFSbd/Bird-Keeper.png")</f>
        <v/>
      </c>
      <c r="D365" s="4633"/>
      <c r="E365" s="4634" t="str">
        <f t="array" ref="E365">IFERROR(VLOOKUP(E366,Dex!$B$3:$G1022,3,FALSE),"")</f>
        <v/>
      </c>
      <c r="F365" s="381"/>
      <c r="G365" s="381"/>
      <c r="H365" s="4280"/>
      <c r="I365" s="4635"/>
      <c r="J365" s="4634" t="str">
        <f t="array" ref="J365">IFERROR(VLOOKUP(J366,Dex!$B$3:$G1022,3,FALSE),"")</f>
        <v/>
      </c>
      <c r="K365" s="381"/>
      <c r="L365" s="381"/>
      <c r="M365" s="4280"/>
      <c r="N365" s="4635"/>
      <c r="O365" s="4634" t="str">
        <f t="array" ref="O365">IFERROR(VLOOKUP(O366,Dex!$B$3:$G1022,3,FALSE),"")</f>
        <v/>
      </c>
      <c r="P365" s="381"/>
      <c r="Q365" s="381"/>
      <c r="R365" s="4280"/>
      <c r="S365" s="4636"/>
      <c r="T365" s="4634" t="str">
        <f t="array" ref="T365">IFERROR(VLOOKUP(T366,Dex!$B$3:$G1022,3,FALSE),"")</f>
        <v/>
      </c>
      <c r="U365" s="381"/>
      <c r="V365" s="381"/>
      <c r="W365" s="4280"/>
      <c r="X365" s="4637"/>
      <c r="Y365" s="4638"/>
      <c r="Z365" s="4639"/>
      <c r="AA365" s="4639"/>
      <c r="AB365" s="4640"/>
      <c r="AC365" s="4626"/>
      <c r="AD365" s="4638"/>
      <c r="AE365" s="4639"/>
      <c r="AF365" s="4639"/>
      <c r="AG365" s="4640"/>
      <c r="AH365" s="4641"/>
      <c r="AI365" s="3367"/>
    </row>
    <row r="366" ht="18.75" customHeight="1">
      <c r="A366" s="3621"/>
      <c r="B366" s="4642"/>
      <c r="C366" s="4643" t="s">
        <v>1110</v>
      </c>
      <c r="D366" s="4644"/>
      <c r="E366" s="4645" t="s">
        <v>1111</v>
      </c>
      <c r="F366" s="4646"/>
      <c r="G366" s="4646"/>
      <c r="H366" s="4647"/>
      <c r="I366" s="4648"/>
      <c r="J366" s="4645" t="s">
        <v>796</v>
      </c>
      <c r="K366" s="4646"/>
      <c r="L366" s="4646"/>
      <c r="M366" s="4647"/>
      <c r="N366" s="4648"/>
      <c r="O366" s="4645" t="s">
        <v>1112</v>
      </c>
      <c r="P366" s="4646"/>
      <c r="Q366" s="4646"/>
      <c r="R366" s="4647"/>
      <c r="S366" s="4649"/>
      <c r="T366" s="4645" t="s">
        <v>1113</v>
      </c>
      <c r="U366" s="4646"/>
      <c r="V366" s="4646"/>
      <c r="W366" s="4647"/>
      <c r="X366" s="4650"/>
      <c r="Y366" s="4651"/>
      <c r="Z366" s="4639"/>
      <c r="AA366" s="4639"/>
      <c r="AB366" s="4640"/>
      <c r="AC366" s="4652"/>
      <c r="AD366" s="4651"/>
      <c r="AE366" s="4639"/>
      <c r="AF366" s="4639"/>
      <c r="AG366" s="4640"/>
      <c r="AH366" s="4653"/>
      <c r="AI366" s="3631"/>
    </row>
    <row r="367">
      <c r="A367" s="3632"/>
      <c r="B367" s="4654"/>
      <c r="C367" s="1481"/>
      <c r="D367" s="4655"/>
      <c r="E367" s="4656" t="s">
        <v>715</v>
      </c>
      <c r="F367" s="4657"/>
      <c r="G367" s="4657"/>
      <c r="H367" s="4658"/>
      <c r="I367" s="4648"/>
      <c r="J367" s="4656" t="s">
        <v>843</v>
      </c>
      <c r="K367" s="4657"/>
      <c r="L367" s="4657"/>
      <c r="M367" s="4658"/>
      <c r="N367" s="4648"/>
      <c r="O367" s="4656" t="s">
        <v>843</v>
      </c>
      <c r="P367" s="4657"/>
      <c r="Q367" s="4657"/>
      <c r="R367" s="4658"/>
      <c r="S367" s="4649"/>
      <c r="T367" s="4656" t="s">
        <v>843</v>
      </c>
      <c r="U367" s="4657"/>
      <c r="V367" s="4657"/>
      <c r="W367" s="4658"/>
      <c r="X367" s="4650"/>
      <c r="Y367" s="4659"/>
      <c r="Z367" s="4639"/>
      <c r="AA367" s="4639"/>
      <c r="AB367" s="4640"/>
      <c r="AC367" s="4652"/>
      <c r="AD367" s="4659"/>
      <c r="AE367" s="4639"/>
      <c r="AF367" s="4639"/>
      <c r="AG367" s="4640"/>
      <c r="AH367" s="4660"/>
      <c r="AI367" s="3640"/>
    </row>
    <row r="368" ht="25.5" customHeight="1">
      <c r="A368" s="3361"/>
      <c r="B368" s="4631"/>
      <c r="C368" s="1489"/>
      <c r="D368" s="4661"/>
      <c r="E368" s="4662"/>
      <c r="F368" s="4663" t="str">
        <f t="array" ref="F368">IFERROR(VLOOKUP(E366,Dex!$B$3:$H1022,5,FALSE),"")</f>
        <v/>
      </c>
      <c r="G368" s="4664" t="str">
        <f t="array" ref="G368">IFERROR(VLOOKUP(E366,Dex!$B$3:$H1022,7,FALSE),"")</f>
        <v/>
      </c>
      <c r="H368" s="4665"/>
      <c r="I368" s="4648"/>
      <c r="J368" s="4662"/>
      <c r="K368" s="4663" t="str">
        <f t="array" ref="K368">IFERROR(VLOOKUP(J366,Dex!$B$3:$H1022,5,FALSE),"")</f>
        <v/>
      </c>
      <c r="L368" s="4664" t="str">
        <f t="array" ref="L368">IFERROR(VLOOKUP(J366,Dex!$B$3:$H1022,7,FALSE),"")</f>
        <v/>
      </c>
      <c r="M368" s="4665"/>
      <c r="N368" s="4648"/>
      <c r="O368" s="4662"/>
      <c r="P368" s="4663" t="str">
        <f t="array" ref="P368">IFERROR(VLOOKUP(O366,Dex!$B$3:$H1022,5,FALSE),"")</f>
        <v/>
      </c>
      <c r="Q368" s="4664" t="str">
        <f t="array" ref="Q368">IFERROR(VLOOKUP(O366,Dex!$B$3:$H1022,7,FALSE),"")</f>
        <v/>
      </c>
      <c r="R368" s="4665"/>
      <c r="S368" s="4649"/>
      <c r="T368" s="4662"/>
      <c r="U368" s="4663" t="str">
        <f t="array" ref="U368">IFERROR(VLOOKUP(T366,Dex!$B$3:$H1022,5,FALSE),"")</f>
        <v/>
      </c>
      <c r="V368" s="4664" t="str">
        <f t="array" ref="V368">IFERROR(VLOOKUP(T366,Dex!$B$3:$H1022,7,FALSE),"")</f>
        <v/>
      </c>
      <c r="W368" s="4665"/>
      <c r="X368" s="4650"/>
      <c r="Y368" s="4638"/>
      <c r="Z368" s="4639"/>
      <c r="AA368" s="4639"/>
      <c r="AB368" s="4640"/>
      <c r="AC368" s="4652"/>
      <c r="AD368" s="4638"/>
      <c r="AE368" s="4639"/>
      <c r="AF368" s="4639"/>
      <c r="AG368" s="4640"/>
      <c r="AH368" s="4641"/>
      <c r="AI368" s="3367"/>
    </row>
    <row r="369" ht="2.25" customHeight="1">
      <c r="A369" s="3361"/>
      <c r="B369" s="4624"/>
      <c r="C369" s="4666"/>
      <c r="D369" s="4667"/>
      <c r="E369" s="4668"/>
      <c r="F369" s="4669"/>
      <c r="G369" s="4669"/>
      <c r="H369" s="4670"/>
      <c r="I369" s="4648"/>
      <c r="J369" s="4668"/>
      <c r="K369" s="4669"/>
      <c r="L369" s="4669"/>
      <c r="M369" s="4670"/>
      <c r="N369" s="4648"/>
      <c r="O369" s="4668"/>
      <c r="P369" s="4669"/>
      <c r="Q369" s="4669"/>
      <c r="R369" s="4670"/>
      <c r="S369" s="4649"/>
      <c r="T369" s="4668"/>
      <c r="U369" s="4669"/>
      <c r="V369" s="4669"/>
      <c r="W369" s="4670"/>
      <c r="X369" s="4650"/>
      <c r="Y369" s="4671"/>
      <c r="Z369" s="4671"/>
      <c r="AA369" s="4671"/>
      <c r="AB369" s="4671"/>
      <c r="AC369" s="4652"/>
      <c r="AD369" s="4671"/>
      <c r="AE369" s="4671"/>
      <c r="AF369" s="4671"/>
      <c r="AG369" s="4671"/>
      <c r="AH369" s="4641"/>
      <c r="AI369" s="3367"/>
    </row>
    <row r="370" ht="20.25" customHeight="1">
      <c r="A370" s="3361"/>
      <c r="B370" s="4624"/>
      <c r="C370" s="4672"/>
      <c r="D370" s="4667"/>
      <c r="E370" s="4673" t="s">
        <v>172</v>
      </c>
      <c r="F370" s="4674"/>
      <c r="G370" s="4674"/>
      <c r="H370" s="4675"/>
      <c r="I370" s="4648"/>
      <c r="J370" s="4673" t="s">
        <v>172</v>
      </c>
      <c r="K370" s="4674"/>
      <c r="L370" s="4674"/>
      <c r="M370" s="4675"/>
      <c r="N370" s="4648"/>
      <c r="O370" s="4673" t="s">
        <v>263</v>
      </c>
      <c r="P370" s="4674"/>
      <c r="Q370" s="4674"/>
      <c r="R370" s="4675"/>
      <c r="S370" s="4649"/>
      <c r="T370" s="4673" t="s">
        <v>169</v>
      </c>
      <c r="U370" s="4674"/>
      <c r="V370" s="4674"/>
      <c r="W370" s="4675"/>
      <c r="X370" s="4650"/>
      <c r="Y370" s="4638"/>
      <c r="Z370" s="4639"/>
      <c r="AA370" s="4639"/>
      <c r="AB370" s="4640"/>
      <c r="AC370" s="4652"/>
      <c r="AD370" s="4638"/>
      <c r="AE370" s="4639"/>
      <c r="AF370" s="4639"/>
      <c r="AG370" s="4640"/>
      <c r="AH370" s="4641"/>
      <c r="AI370" s="3367"/>
    </row>
    <row r="371">
      <c r="A371" s="3361"/>
      <c r="B371" s="4624"/>
      <c r="C371" s="4672"/>
      <c r="D371" s="4667"/>
      <c r="E371" s="4676" t="s">
        <v>596</v>
      </c>
      <c r="F371" s="4639"/>
      <c r="G371" s="4639"/>
      <c r="H371" s="4677"/>
      <c r="I371" s="4648"/>
      <c r="J371" s="4676" t="s">
        <v>1114</v>
      </c>
      <c r="K371" s="4639"/>
      <c r="L371" s="4639"/>
      <c r="M371" s="4677"/>
      <c r="N371" s="4648"/>
      <c r="O371" s="4676" t="s">
        <v>552</v>
      </c>
      <c r="P371" s="4639"/>
      <c r="Q371" s="4639"/>
      <c r="R371" s="4677"/>
      <c r="S371" s="4649"/>
      <c r="T371" s="4676" t="s">
        <v>359</v>
      </c>
      <c r="U371" s="4639"/>
      <c r="V371" s="4639"/>
      <c r="W371" s="4677"/>
      <c r="X371" s="4650"/>
      <c r="Y371" s="4638"/>
      <c r="Z371" s="4639"/>
      <c r="AA371" s="4639"/>
      <c r="AB371" s="4640"/>
      <c r="AC371" s="4652"/>
      <c r="AD371" s="4638"/>
      <c r="AE371" s="4639"/>
      <c r="AF371" s="4639"/>
      <c r="AG371" s="4640"/>
      <c r="AH371" s="4641"/>
      <c r="AI371" s="3367"/>
    </row>
    <row r="372" ht="20.25" customHeight="1">
      <c r="A372" s="3361"/>
      <c r="B372" s="4624"/>
      <c r="C372" s="4672"/>
      <c r="D372" s="4667"/>
      <c r="E372" s="4678" t="s">
        <v>600</v>
      </c>
      <c r="F372" s="4628"/>
      <c r="G372" s="4629"/>
      <c r="H372" s="4679" t="str">
        <f>IMAGE("https://raw.githubusercontent.com/msikma/pokesprite/master/items/hold-item/toxic-orb.png",3)</f>
        <v/>
      </c>
      <c r="I372" s="4648"/>
      <c r="J372" s="4678" t="s">
        <v>798</v>
      </c>
      <c r="K372" s="4628"/>
      <c r="L372" s="4629"/>
      <c r="M372" s="4679" t="str">
        <f>IMAGE("https://raw.githubusercontent.com/msikma/pokesprite/master/items/mega-stone/charizardite-x.png",3)</f>
        <v/>
      </c>
      <c r="N372" s="4648"/>
      <c r="O372" s="4678" t="s">
        <v>394</v>
      </c>
      <c r="P372" s="4628"/>
      <c r="Q372" s="4629"/>
      <c r="R372" s="4679" t="str">
        <f>IMAGE("https://raw.githubusercontent.com/msikma/pokesprite/master/items/hold-item/leftovers.png",3)</f>
        <v/>
      </c>
      <c r="S372" s="4649"/>
      <c r="T372" s="4678" t="s">
        <v>240</v>
      </c>
      <c r="U372" s="4628"/>
      <c r="V372" s="4629"/>
      <c r="W372" s="4679" t="str">
        <f>IMAGE("https://raw.githubusercontent.com/msikma/pokesprite/master/items/hold-item/focus-sash.png",3)</f>
        <v/>
      </c>
      <c r="X372" s="4650"/>
      <c r="Y372" s="4638"/>
      <c r="Z372" s="4639"/>
      <c r="AA372" s="4639"/>
      <c r="AB372" s="4640"/>
      <c r="AC372" s="4652"/>
      <c r="AD372" s="4638"/>
      <c r="AE372" s="4639"/>
      <c r="AF372" s="4639"/>
      <c r="AG372" s="4640"/>
      <c r="AH372" s="4641"/>
      <c r="AI372" s="3367"/>
    </row>
    <row r="373" ht="20.25" customHeight="1">
      <c r="A373" s="3361"/>
      <c r="B373" s="4624"/>
      <c r="C373" s="4680"/>
      <c r="D373" s="4638"/>
      <c r="E373" s="4673" t="s">
        <v>278</v>
      </c>
      <c r="F373" s="4674"/>
      <c r="G373" s="4681"/>
      <c r="H373" s="4682" t="str">
        <f>IMAGE("https://raw.githubusercontent.com/msikma/pokesprite/master/misc/types/gen8/bug.png",4,20,20)</f>
        <v/>
      </c>
      <c r="I373" s="4648"/>
      <c r="J373" s="4673" t="s">
        <v>396</v>
      </c>
      <c r="K373" s="4674"/>
      <c r="L373" s="4681"/>
      <c r="M373" s="4682" t="str">
        <f>IMAGE("https://raw.githubusercontent.com/msikma/pokesprite/master/misc/types/gen8/dragon.png",4,20,20)</f>
        <v/>
      </c>
      <c r="N373" s="4648"/>
      <c r="O373" s="4673" t="s">
        <v>374</v>
      </c>
      <c r="P373" s="4674"/>
      <c r="Q373" s="4681"/>
      <c r="R373" s="4682" t="str">
        <f>IMAGE("https://raw.githubusercontent.com/msikma/pokesprite/master/misc/types/gen8/flying.png",4,20,20)</f>
        <v/>
      </c>
      <c r="S373" s="4649"/>
      <c r="T373" s="4673" t="s">
        <v>369</v>
      </c>
      <c r="U373" s="4674"/>
      <c r="V373" s="4681"/>
      <c r="W373" s="4682" t="str">
        <f>IMAGE("https://raw.githubusercontent.com/msikma/pokesprite/master/misc/types/gen8/normal.png",4,20,20)</f>
        <v/>
      </c>
      <c r="X373" s="4650"/>
      <c r="Y373" s="4638"/>
      <c r="Z373" s="4639"/>
      <c r="AA373" s="4639"/>
      <c r="AB373" s="4640"/>
      <c r="AC373" s="4652"/>
      <c r="AD373" s="4638"/>
      <c r="AE373" s="4639"/>
      <c r="AF373" s="4639"/>
      <c r="AG373" s="4640"/>
      <c r="AH373" s="4641"/>
      <c r="AI373" s="3367"/>
    </row>
    <row r="374" ht="20.25" customHeight="1">
      <c r="A374" s="3361"/>
      <c r="B374" s="4624"/>
      <c r="C374" s="4680"/>
      <c r="D374" s="4638"/>
      <c r="E374" s="4676" t="s">
        <v>402</v>
      </c>
      <c r="F374" s="4639"/>
      <c r="G374" s="4640"/>
      <c r="H374" s="4683" t="str">
        <f>IMAGE("https://raw.githubusercontent.com/msikma/pokesprite/master/misc/types/gen8/ground.png",4,20,20)</f>
        <v/>
      </c>
      <c r="I374" s="4648"/>
      <c r="J374" s="4676" t="s">
        <v>378</v>
      </c>
      <c r="K374" s="4639"/>
      <c r="L374" s="4640"/>
      <c r="M374" s="4683" t="str">
        <f>IMAGE("https://raw.githubusercontent.com/msikma/pokesprite/master/misc/types/gen8/fire.png",4,20,20)</f>
        <v/>
      </c>
      <c r="N374" s="4648"/>
      <c r="O374" s="4676" t="s">
        <v>785</v>
      </c>
      <c r="P374" s="4639"/>
      <c r="Q374" s="4640"/>
      <c r="R374" s="4683" t="str">
        <f>IMAGE("https://raw.githubusercontent.com/msikma/pokesprite/master/misc/types/gen8/fire.png",4,20,20)</f>
        <v/>
      </c>
      <c r="S374" s="4649"/>
      <c r="T374" s="4676" t="s">
        <v>275</v>
      </c>
      <c r="U374" s="4639"/>
      <c r="V374" s="4640"/>
      <c r="W374" s="4683" t="str">
        <f>IMAGE("https://raw.githubusercontent.com/msikma/pokesprite/master/misc/types/gen8/grass.png",4,20,20)</f>
        <v/>
      </c>
      <c r="X374" s="4650"/>
      <c r="Y374" s="4638"/>
      <c r="Z374" s="4639"/>
      <c r="AA374" s="4639"/>
      <c r="AB374" s="4640"/>
      <c r="AC374" s="4652"/>
      <c r="AD374" s="4638"/>
      <c r="AE374" s="4639"/>
      <c r="AF374" s="4639"/>
      <c r="AG374" s="4640"/>
      <c r="AH374" s="4641"/>
      <c r="AI374" s="3367"/>
    </row>
    <row r="375" ht="20.25" customHeight="1">
      <c r="A375" s="3361"/>
      <c r="B375" s="4624"/>
      <c r="C375" s="4680"/>
      <c r="D375" s="4638"/>
      <c r="E375" s="4676" t="s">
        <v>395</v>
      </c>
      <c r="F375" s="4639"/>
      <c r="G375" s="4640"/>
      <c r="H375" s="4683" t="str">
        <f>IMAGE("https://raw.githubusercontent.com/msikma/pokesprite/master/misc/types/gen8/rock.png",4,20,20)</f>
        <v/>
      </c>
      <c r="I375" s="4648"/>
      <c r="J375" s="4676" t="s">
        <v>409</v>
      </c>
      <c r="K375" s="4639"/>
      <c r="L375" s="4640"/>
      <c r="M375" s="4683" t="str">
        <f>IMAGE("https://raw.githubusercontent.com/msikma/pokesprite/master/misc/types/gen8/dragon.png",4,20,20)</f>
        <v/>
      </c>
      <c r="N375" s="4648"/>
      <c r="O375" s="4676" t="s">
        <v>252</v>
      </c>
      <c r="P375" s="4639"/>
      <c r="Q375" s="4640"/>
      <c r="R375" s="4683" t="str">
        <f>IMAGE("https://raw.githubusercontent.com/msikma/pokesprite/master/misc/types/gen8/electric.png",4,20,20)</f>
        <v/>
      </c>
      <c r="S375" s="4649"/>
      <c r="T375" s="4676" t="s">
        <v>379</v>
      </c>
      <c r="U375" s="4639"/>
      <c r="V375" s="4640"/>
      <c r="W375" s="4683" t="str">
        <f>IMAGE("https://raw.githubusercontent.com/msikma/pokesprite/master/misc/types/gen8/fire.png",4,20,20)</f>
        <v/>
      </c>
      <c r="X375" s="4650"/>
      <c r="Y375" s="4638"/>
      <c r="Z375" s="4639"/>
      <c r="AA375" s="4639"/>
      <c r="AB375" s="4640"/>
      <c r="AC375" s="4652"/>
      <c r="AD375" s="4638"/>
      <c r="AE375" s="4639"/>
      <c r="AF375" s="4639"/>
      <c r="AG375" s="4640"/>
      <c r="AH375" s="4641"/>
      <c r="AI375" s="3367"/>
    </row>
    <row r="376" ht="21.0" customHeight="1">
      <c r="A376" s="3361"/>
      <c r="B376" s="4624"/>
      <c r="C376" s="4680"/>
      <c r="D376" s="4638"/>
      <c r="E376" s="4684" t="s">
        <v>408</v>
      </c>
      <c r="F376" s="4685"/>
      <c r="G376" s="4686"/>
      <c r="H376" s="4687" t="str">
        <f>IMAGE("https://raw.githubusercontent.com/msikma/pokesprite/master/misc/types/gen8/flying.png",4,20,20)</f>
        <v/>
      </c>
      <c r="I376" s="4688"/>
      <c r="J376" s="4684" t="s">
        <v>402</v>
      </c>
      <c r="K376" s="4685"/>
      <c r="L376" s="4686"/>
      <c r="M376" s="4687" t="str">
        <f>IMAGE("https://raw.githubusercontent.com/msikma/pokesprite/master/misc/types/gen8/ground.png",4,20,20)</f>
        <v/>
      </c>
      <c r="N376" s="4688"/>
      <c r="O376" s="4684" t="s">
        <v>251</v>
      </c>
      <c r="P376" s="4685"/>
      <c r="Q376" s="4686"/>
      <c r="R376" s="4687" t="str">
        <f>IMAGE("https://raw.githubusercontent.com/msikma/pokesprite/master/misc/types/gen8/flying.png",4,20,20)</f>
        <v/>
      </c>
      <c r="S376" s="4689"/>
      <c r="T376" s="4684" t="s">
        <v>380</v>
      </c>
      <c r="U376" s="4685"/>
      <c r="V376" s="4686"/>
      <c r="W376" s="4687" t="str">
        <f>IMAGE("https://raw.githubusercontent.com/msikma/pokesprite/master/misc/types/gen8/dragon.png",4,20,20)</f>
        <v/>
      </c>
      <c r="X376" s="4690"/>
      <c r="Y376" s="4638"/>
      <c r="Z376" s="4639"/>
      <c r="AA376" s="4639"/>
      <c r="AB376" s="4640"/>
      <c r="AC376" s="4691"/>
      <c r="AD376" s="4638"/>
      <c r="AE376" s="4639"/>
      <c r="AF376" s="4639"/>
      <c r="AG376" s="4640"/>
      <c r="AH376" s="4641"/>
      <c r="AI376" s="3367"/>
    </row>
    <row r="377" ht="3.0" customHeight="1">
      <c r="A377" s="3445"/>
      <c r="B377" s="4692"/>
      <c r="C377" s="4680"/>
      <c r="D377" s="4693"/>
      <c r="E377" s="4694"/>
      <c r="F377" s="4694"/>
      <c r="G377" s="4694"/>
      <c r="H377" s="4695"/>
      <c r="I377" s="4693"/>
      <c r="J377" s="4696"/>
      <c r="K377" s="4696"/>
      <c r="L377" s="4696"/>
      <c r="M377" s="4695"/>
      <c r="N377" s="4693"/>
      <c r="O377" s="4697"/>
      <c r="P377" s="4697"/>
      <c r="Q377" s="4697"/>
      <c r="R377" s="4698"/>
      <c r="S377" s="4699"/>
      <c r="T377" s="4698"/>
      <c r="U377" s="4698"/>
      <c r="V377" s="4698"/>
      <c r="W377" s="4698"/>
      <c r="X377" s="4693"/>
      <c r="Y377" s="4693"/>
      <c r="Z377" s="4700"/>
      <c r="AA377" s="4700"/>
      <c r="AB377" s="4701"/>
      <c r="AC377" s="4701"/>
      <c r="AD377" s="4701"/>
      <c r="AE377" s="4701"/>
      <c r="AF377" s="4701"/>
      <c r="AG377" s="4701"/>
      <c r="AH377" s="4702"/>
      <c r="AI377" s="3456"/>
    </row>
    <row r="378" ht="16.5" customHeight="1">
      <c r="A378" s="3457"/>
      <c r="B378" s="4703"/>
      <c r="C378" s="4680"/>
      <c r="D378" s="4704"/>
      <c r="E378" s="4705" t="s">
        <v>190</v>
      </c>
      <c r="F378" s="381"/>
      <c r="G378" s="382"/>
      <c r="H378" s="4706" t="s">
        <v>191</v>
      </c>
      <c r="I378" s="4707"/>
      <c r="J378" s="4705" t="s">
        <v>190</v>
      </c>
      <c r="K378" s="381"/>
      <c r="L378" s="382"/>
      <c r="M378" s="4706" t="s">
        <v>191</v>
      </c>
      <c r="N378" s="4707"/>
      <c r="O378" s="4705" t="s">
        <v>190</v>
      </c>
      <c r="P378" s="381"/>
      <c r="Q378" s="382"/>
      <c r="R378" s="4706" t="s">
        <v>191</v>
      </c>
      <c r="S378" s="4708"/>
      <c r="T378" s="4705" t="s">
        <v>190</v>
      </c>
      <c r="U378" s="381"/>
      <c r="V378" s="382"/>
      <c r="W378" s="4706" t="s">
        <v>191</v>
      </c>
      <c r="X378" s="4709"/>
      <c r="Y378" s="4710"/>
      <c r="Z378" s="4711"/>
      <c r="AA378" s="4711"/>
      <c r="AB378" s="4710"/>
      <c r="AC378" s="4710"/>
      <c r="AD378" s="4710"/>
      <c r="AE378" s="4710"/>
      <c r="AF378" s="4710"/>
      <c r="AG378" s="4710"/>
      <c r="AH378" s="4712"/>
      <c r="AI378" s="3466"/>
    </row>
    <row r="379" ht="16.5" customHeight="1">
      <c r="A379" s="3457"/>
      <c r="B379" s="4703"/>
      <c r="C379" s="4680"/>
      <c r="D379" s="4704"/>
      <c r="E379" s="4713" t="s">
        <v>192</v>
      </c>
      <c r="F379" s="4714">
        <f t="array" ref="F379">IFERROR(VLOOKUP(E366,Dex!$B$3:$N1022,8,FALSE),"")</f>
        <v>75</v>
      </c>
      <c r="G379" s="4715" t="str">
        <f t="array" ref="G379">IFERROR(VLOOKUP(F379,Dex!$P$22:$Q$276,2,FALSE),"")</f>
        <v/>
      </c>
      <c r="H379" s="4716">
        <v>252.0</v>
      </c>
      <c r="I379" s="4717"/>
      <c r="J379" s="4713" t="s">
        <v>192</v>
      </c>
      <c r="K379" s="4714">
        <f t="array" ref="K379">IFERROR(VLOOKUP(J366,Dex!$B$3:$N1022,8,FALSE),"")</f>
        <v>78</v>
      </c>
      <c r="L379" s="4715" t="str">
        <f t="array" ref="L379">IFERROR(VLOOKUP(K379,Dex!$P$22:$Q$276,2,FALSE),"")</f>
        <v/>
      </c>
      <c r="M379" s="4716">
        <v>252.0</v>
      </c>
      <c r="N379" s="4718"/>
      <c r="O379" s="4713" t="s">
        <v>192</v>
      </c>
      <c r="P379" s="4714">
        <f t="array" ref="P379">IFERROR(VLOOKUP(O366,Dex!$B$3:$N1022,8,FALSE),"")</f>
        <v>85</v>
      </c>
      <c r="Q379" s="4715" t="str">
        <f t="array" ref="Q379">IFERROR(VLOOKUP(P379,Dex!$P$22:$Q$276,2,FALSE),"")</f>
        <v/>
      </c>
      <c r="R379" s="4716">
        <v>252.0</v>
      </c>
      <c r="S379" s="4719"/>
      <c r="T379" s="4713" t="s">
        <v>192</v>
      </c>
      <c r="U379" s="4714">
        <f t="array" ref="U379">IFERROR(VLOOKUP(T366,Dex!$B$3:$N1022,8,FALSE),"")</f>
        <v>99</v>
      </c>
      <c r="V379" s="4715" t="str">
        <f t="array" ref="V379">IFERROR(VLOOKUP(U379,Dex!$P$22:$Q$276,2,FALSE),"")</f>
        <v/>
      </c>
      <c r="W379" s="4716"/>
      <c r="X379" s="4709"/>
      <c r="Y379" s="4710"/>
      <c r="Z379" s="4711"/>
      <c r="AA379" s="4711"/>
      <c r="AB379" s="4710"/>
      <c r="AC379" s="4710"/>
      <c r="AD379" s="4710"/>
      <c r="AE379" s="4710"/>
      <c r="AF379" s="4710"/>
      <c r="AG379" s="4710"/>
      <c r="AH379" s="4712"/>
      <c r="AI379" s="3466"/>
    </row>
    <row r="380" ht="16.5" customHeight="1">
      <c r="A380" s="3457"/>
      <c r="B380" s="4703"/>
      <c r="C380" s="4680"/>
      <c r="D380" s="4704"/>
      <c r="E380" s="4720" t="s">
        <v>193</v>
      </c>
      <c r="F380" s="4721">
        <f t="array" ref="F380">IFERROR(VLOOKUP(E366,Dex!$B$3:$N1022,9,FALSE),"")</f>
        <v>95</v>
      </c>
      <c r="G380" s="4722" t="str">
        <f t="array" ref="G380">IFERROR(VLOOKUP(F380,Dex!$P$22:$Q$276,2,FALSE),"")</f>
        <v/>
      </c>
      <c r="H380" s="4723">
        <v>4.0</v>
      </c>
      <c r="I380" s="4717"/>
      <c r="J380" s="4720" t="s">
        <v>193</v>
      </c>
      <c r="K380" s="4721">
        <f t="array" ref="K380">IFERROR(VLOOKUP(J366,Dex!$B$3:$N1022,9,FALSE),"")</f>
        <v>130</v>
      </c>
      <c r="L380" s="4722" t="str">
        <f t="array" ref="L380">IFERROR(VLOOKUP(K380,Dex!$P$22:$Q$276,2,FALSE),"")</f>
        <v/>
      </c>
      <c r="M380" s="4723">
        <v>4.0</v>
      </c>
      <c r="N380" s="4718"/>
      <c r="O380" s="4720" t="s">
        <v>193</v>
      </c>
      <c r="P380" s="4721">
        <f t="array" ref="P380">IFERROR(VLOOKUP(O366,Dex!$B$3:$N1022,9,FALSE),"")</f>
        <v>50</v>
      </c>
      <c r="Q380" s="4722" t="str">
        <f t="array" ref="Q380">IFERROR(VLOOKUP(P380,Dex!$P$22:$Q$276,2,FALSE),"")</f>
        <v/>
      </c>
      <c r="R380" s="4723">
        <v>4.0</v>
      </c>
      <c r="S380" s="4719"/>
      <c r="T380" s="4720" t="s">
        <v>193</v>
      </c>
      <c r="U380" s="4721">
        <f t="array" ref="U380">IFERROR(VLOOKUP(T366,Dex!$B$3:$N1022,9,FALSE),"")</f>
        <v>68</v>
      </c>
      <c r="V380" s="4722" t="str">
        <f t="array" ref="V380">IFERROR(VLOOKUP(U380,Dex!$P$22:$Q$276,2,FALSE),"")</f>
        <v/>
      </c>
      <c r="W380" s="4723"/>
      <c r="X380" s="4709"/>
      <c r="Y380" s="4710"/>
      <c r="Z380" s="4711"/>
      <c r="AA380" s="4711"/>
      <c r="AB380" s="4710"/>
      <c r="AC380" s="4710"/>
      <c r="AD380" s="4710"/>
      <c r="AE380" s="4710"/>
      <c r="AF380" s="4710"/>
      <c r="AG380" s="4710"/>
      <c r="AH380" s="4712"/>
      <c r="AI380" s="3466"/>
    </row>
    <row r="381" ht="16.5" customHeight="1">
      <c r="A381" s="3457"/>
      <c r="B381" s="4703"/>
      <c r="C381" s="4680"/>
      <c r="D381" s="4704"/>
      <c r="E381" s="4720" t="s">
        <v>194</v>
      </c>
      <c r="F381" s="4721">
        <f t="array" ref="F381">IFERROR(VLOOKUP(E366,Dex!$B$3:$N1022,10,FALSE),"")</f>
        <v>125</v>
      </c>
      <c r="G381" s="4722" t="str">
        <f t="array" ref="G381">IFERROR(VLOOKUP(F381,Dex!$P$22:$Q$276,2,FALSE),"")</f>
        <v/>
      </c>
      <c r="H381" s="4723"/>
      <c r="I381" s="4717"/>
      <c r="J381" s="4720" t="s">
        <v>194</v>
      </c>
      <c r="K381" s="4721">
        <f t="array" ref="K381">IFERROR(VLOOKUP(J366,Dex!$B$3:$N1022,10,FALSE),"")</f>
        <v>111</v>
      </c>
      <c r="L381" s="4722" t="str">
        <f t="array" ref="L381">IFERROR(VLOOKUP(K381,Dex!$P$22:$Q$276,2,FALSE),"")</f>
        <v/>
      </c>
      <c r="M381" s="4723"/>
      <c r="N381" s="4718"/>
      <c r="O381" s="4720" t="s">
        <v>194</v>
      </c>
      <c r="P381" s="4721">
        <f t="array" ref="P381">IFERROR(VLOOKUP(O366,Dex!$B$3:$N1022,10,FALSE),"")</f>
        <v>95</v>
      </c>
      <c r="Q381" s="4722" t="str">
        <f t="array" ref="Q381">IFERROR(VLOOKUP(P381,Dex!$P$22:$Q$276,2,FALSE),"")</f>
        <v/>
      </c>
      <c r="R381" s="4723"/>
      <c r="S381" s="4719"/>
      <c r="T381" s="4720" t="s">
        <v>194</v>
      </c>
      <c r="U381" s="4721">
        <f t="array" ref="U381">IFERROR(VLOOKUP(T366,Dex!$B$3:$N1022,10,FALSE),"")</f>
        <v>83</v>
      </c>
      <c r="V381" s="4722" t="str">
        <f t="array" ref="V381">IFERROR(VLOOKUP(U381,Dex!$P$22:$Q$276,2,FALSE),"")</f>
        <v/>
      </c>
      <c r="W381" s="4723">
        <v>4.0</v>
      </c>
      <c r="X381" s="4709"/>
      <c r="Y381" s="4710"/>
      <c r="Z381" s="4711"/>
      <c r="AA381" s="4711"/>
      <c r="AB381" s="4710"/>
      <c r="AC381" s="4710"/>
      <c r="AD381" s="4710"/>
      <c r="AE381" s="4710"/>
      <c r="AF381" s="4710"/>
      <c r="AG381" s="4710"/>
      <c r="AH381" s="4712"/>
      <c r="AI381" s="3466"/>
    </row>
    <row r="382" ht="16.5" customHeight="1">
      <c r="A382" s="3457"/>
      <c r="B382" s="4703"/>
      <c r="C382" s="4680"/>
      <c r="D382" s="4704"/>
      <c r="E382" s="4720" t="s">
        <v>195</v>
      </c>
      <c r="F382" s="4721">
        <f t="array" ref="F382">IFERROR(VLOOKUP(E366,Dex!$B$3:$N1022,11,FALSE),"")</f>
        <v>45</v>
      </c>
      <c r="G382" s="4722" t="str">
        <f t="array" ref="G382">IFERROR(VLOOKUP(F382,Dex!$P$22:$Q$276,2,FALSE),"")</f>
        <v/>
      </c>
      <c r="H382" s="4723"/>
      <c r="I382" s="4717"/>
      <c r="J382" s="4720" t="s">
        <v>195</v>
      </c>
      <c r="K382" s="4721">
        <f t="array" ref="K382">IFERROR(VLOOKUP(J366,Dex!$B$3:$N1022,11,FALSE),"")</f>
        <v>130</v>
      </c>
      <c r="L382" s="4722" t="str">
        <f t="array" ref="L382">IFERROR(VLOOKUP(K382,Dex!$P$22:$Q$276,2,FALSE),"")</f>
        <v/>
      </c>
      <c r="M382" s="4723"/>
      <c r="N382" s="4718"/>
      <c r="O382" s="4720" t="s">
        <v>195</v>
      </c>
      <c r="P382" s="4721">
        <f t="array" ref="P382">IFERROR(VLOOKUP(O366,Dex!$B$3:$N1022,11,FALSE),"")</f>
        <v>120</v>
      </c>
      <c r="Q382" s="4722" t="str">
        <f t="array" ref="Q382">IFERROR(VLOOKUP(P382,Dex!$P$22:$Q$276,2,FALSE),"")</f>
        <v/>
      </c>
      <c r="R382" s="4723"/>
      <c r="S382" s="4719"/>
      <c r="T382" s="4720" t="s">
        <v>195</v>
      </c>
      <c r="U382" s="4721">
        <f t="array" ref="U382">IFERROR(VLOOKUP(T366,Dex!$B$3:$N1022,11,FALSE),"")</f>
        <v>92</v>
      </c>
      <c r="V382" s="4722" t="str">
        <f t="array" ref="V382">IFERROR(VLOOKUP(U382,Dex!$P$22:$Q$276,2,FALSE),"")</f>
        <v/>
      </c>
      <c r="W382" s="4723">
        <v>252.0</v>
      </c>
      <c r="X382" s="4709"/>
      <c r="Y382" s="4710"/>
      <c r="Z382" s="4711"/>
      <c r="AA382" s="4711"/>
      <c r="AB382" s="4710"/>
      <c r="AC382" s="4710"/>
      <c r="AD382" s="4710"/>
      <c r="AE382" s="4710"/>
      <c r="AF382" s="4710"/>
      <c r="AG382" s="4710"/>
      <c r="AH382" s="4712"/>
      <c r="AI382" s="3466"/>
    </row>
    <row r="383" ht="16.5" customHeight="1">
      <c r="A383" s="3457"/>
      <c r="B383" s="4703"/>
      <c r="C383" s="4680"/>
      <c r="D383" s="4704"/>
      <c r="E383" s="4720" t="s">
        <v>196</v>
      </c>
      <c r="F383" s="4721">
        <f t="array" ref="F383">IFERROR(VLOOKUP(E366,Dex!$B$3:$N1022,12,FALSE),"")</f>
        <v>75</v>
      </c>
      <c r="G383" s="4722" t="str">
        <f t="array" ref="G383">IFERROR(VLOOKUP(F383,Dex!$P$22:$Q$276,2,FALSE),"")</f>
        <v/>
      </c>
      <c r="H383" s="4723"/>
      <c r="I383" s="4717"/>
      <c r="J383" s="4720" t="s">
        <v>196</v>
      </c>
      <c r="K383" s="4721">
        <f t="array" ref="K383">IFERROR(VLOOKUP(J366,Dex!$B$3:$N1022,12,FALSE),"")</f>
        <v>85</v>
      </c>
      <c r="L383" s="4722" t="str">
        <f t="array" ref="L383">IFERROR(VLOOKUP(K383,Dex!$P$22:$Q$276,2,FALSE),"")</f>
        <v/>
      </c>
      <c r="M383" s="4723"/>
      <c r="N383" s="4718"/>
      <c r="O383" s="4720" t="s">
        <v>196</v>
      </c>
      <c r="P383" s="4721">
        <f t="array" ref="P383">IFERROR(VLOOKUP(O366,Dex!$B$3:$N1022,12,FALSE),"")</f>
        <v>115</v>
      </c>
      <c r="Q383" s="4722" t="str">
        <f t="array" ref="Q383">IFERROR(VLOOKUP(P383,Dex!$P$22:$Q$276,2,FALSE),"")</f>
        <v/>
      </c>
      <c r="R383" s="4723"/>
      <c r="S383" s="4719"/>
      <c r="T383" s="4720" t="s">
        <v>196</v>
      </c>
      <c r="U383" s="4721">
        <f t="array" ref="U383">IFERROR(VLOOKUP(T366,Dex!$B$3:$N1022,12,FALSE),"")</f>
        <v>87</v>
      </c>
      <c r="V383" s="4722" t="str">
        <f t="array" ref="V383">IFERROR(VLOOKUP(U383,Dex!$P$22:$Q$276,2,FALSE),"")</f>
        <v/>
      </c>
      <c r="W383" s="4723"/>
      <c r="X383" s="4709"/>
      <c r="Y383" s="4710"/>
      <c r="Z383" s="4711"/>
      <c r="AA383" s="4711"/>
      <c r="AB383" s="4710"/>
      <c r="AC383" s="4710"/>
      <c r="AD383" s="4710"/>
      <c r="AE383" s="4710"/>
      <c r="AF383" s="4710"/>
      <c r="AG383" s="4710"/>
      <c r="AH383" s="4712"/>
      <c r="AI383" s="3466"/>
    </row>
    <row r="384" ht="16.5" customHeight="1">
      <c r="A384" s="3457"/>
      <c r="B384" s="4703"/>
      <c r="C384" s="1204" t="s">
        <v>436</v>
      </c>
      <c r="D384" s="4704"/>
      <c r="E384" s="4724" t="s">
        <v>197</v>
      </c>
      <c r="F384" s="4725">
        <f t="array" ref="F384">IFERROR(VLOOKUP(E366,Dex!$B$3:$N1022,13,FALSE),"")</f>
        <v>95</v>
      </c>
      <c r="G384" s="4726" t="str">
        <f t="array" ref="G384">IFERROR(VLOOKUP(F384,Dex!$P$22:$Q$276,2,FALSE),"")</f>
        <v/>
      </c>
      <c r="H384" s="4727">
        <v>252.0</v>
      </c>
      <c r="I384" s="4717"/>
      <c r="J384" s="4724" t="s">
        <v>197</v>
      </c>
      <c r="K384" s="4725">
        <f t="array" ref="K384">IFERROR(VLOOKUP(J366,Dex!$B$3:$N1022,13,FALSE),"")</f>
        <v>100</v>
      </c>
      <c r="L384" s="4726" t="str">
        <f t="array" ref="L384">IFERROR(VLOOKUP(K384,Dex!$P$22:$Q$276,2,FALSE),"")</f>
        <v/>
      </c>
      <c r="M384" s="4727">
        <v>252.0</v>
      </c>
      <c r="N384" s="4718"/>
      <c r="O384" s="4724" t="s">
        <v>197</v>
      </c>
      <c r="P384" s="4725">
        <f t="array" ref="P384">IFERROR(VLOOKUP(O366,Dex!$B$3:$N1022,13,FALSE),"")</f>
        <v>80</v>
      </c>
      <c r="Q384" s="4726" t="str">
        <f t="array" ref="Q384">IFERROR(VLOOKUP(P384,Dex!$P$22:$Q$276,2,FALSE),"")</f>
        <v/>
      </c>
      <c r="R384" s="4727">
        <v>252.0</v>
      </c>
      <c r="S384" s="4719"/>
      <c r="T384" s="4724" t="s">
        <v>197</v>
      </c>
      <c r="U384" s="4725">
        <f t="array" ref="U384">IFERROR(VLOOKUP(T366,Dex!$B$3:$N1022,13,FALSE),"")</f>
        <v>81</v>
      </c>
      <c r="V384" s="4726" t="str">
        <f t="array" ref="V384">IFERROR(VLOOKUP(U384,Dex!$P$22:$Q$276,2,FALSE),"")</f>
        <v/>
      </c>
      <c r="W384" s="4727">
        <v>252.0</v>
      </c>
      <c r="X384" s="4709"/>
      <c r="Y384" s="4710"/>
      <c r="Z384" s="4711"/>
      <c r="AA384" s="4711"/>
      <c r="AB384" s="4710"/>
      <c r="AC384" s="4710"/>
      <c r="AD384" s="4710"/>
      <c r="AE384" s="4710"/>
      <c r="AF384" s="4710"/>
      <c r="AG384" s="4710"/>
      <c r="AH384" s="4712"/>
      <c r="AI384" s="3466"/>
    </row>
    <row r="385" ht="16.5" customHeight="1">
      <c r="A385" s="3457"/>
      <c r="B385" s="4703"/>
      <c r="C385" s="1205" t="s">
        <v>437</v>
      </c>
      <c r="D385" s="4728"/>
      <c r="E385" s="4729" t="s">
        <v>198</v>
      </c>
      <c r="F385" s="405"/>
      <c r="G385" s="406"/>
      <c r="H385" s="4730">
        <v>204.0</v>
      </c>
      <c r="I385" s="4707"/>
      <c r="J385" s="4729" t="s">
        <v>198</v>
      </c>
      <c r="K385" s="405"/>
      <c r="L385" s="406"/>
      <c r="M385" s="4730">
        <v>209.0</v>
      </c>
      <c r="N385" s="4707"/>
      <c r="O385" s="4729" t="s">
        <v>198</v>
      </c>
      <c r="P385" s="405"/>
      <c r="Q385" s="406"/>
      <c r="R385" s="4730">
        <v>165.0</v>
      </c>
      <c r="S385" s="4719"/>
      <c r="T385" s="4731" t="s">
        <v>198</v>
      </c>
      <c r="U385" s="918"/>
      <c r="V385" s="919"/>
      <c r="W385" s="4732">
        <v>166.0</v>
      </c>
      <c r="X385" s="4709"/>
      <c r="Y385" s="4710"/>
      <c r="Z385" s="4711"/>
      <c r="AA385" s="4711"/>
      <c r="AB385" s="4710"/>
      <c r="AC385" s="4710"/>
      <c r="AD385" s="4710"/>
      <c r="AE385" s="4710"/>
      <c r="AF385" s="4710"/>
      <c r="AG385" s="4710"/>
      <c r="AH385" s="4712"/>
      <c r="AI385" s="3466"/>
    </row>
    <row r="386" ht="16.5" customHeight="1">
      <c r="A386" s="3457"/>
      <c r="B386" s="4703"/>
      <c r="C386" s="4680"/>
      <c r="D386" s="4711"/>
      <c r="E386" s="4733"/>
      <c r="F386" s="4734"/>
      <c r="G386" s="4735"/>
      <c r="H386" s="4735"/>
      <c r="I386" s="4711"/>
      <c r="J386" s="4736"/>
      <c r="K386" s="4737"/>
      <c r="L386" s="4738"/>
      <c r="M386" s="4735"/>
      <c r="N386" s="4711"/>
      <c r="O386" s="4736"/>
      <c r="P386" s="4737"/>
      <c r="Q386" s="4738"/>
      <c r="R386" s="4739"/>
      <c r="S386" s="4740"/>
      <c r="T386" s="4741" t="s">
        <v>381</v>
      </c>
      <c r="U386" s="925"/>
      <c r="V386" s="926"/>
      <c r="W386" s="4742">
        <v>332.0</v>
      </c>
      <c r="X386" s="4709"/>
      <c r="Y386" s="4710"/>
      <c r="Z386" s="4711"/>
      <c r="AA386" s="4711"/>
      <c r="AB386" s="4710"/>
      <c r="AC386" s="4710"/>
      <c r="AD386" s="4710"/>
      <c r="AE386" s="4710"/>
      <c r="AF386" s="4710"/>
      <c r="AG386" s="4710"/>
      <c r="AH386" s="4712"/>
      <c r="AI386" s="3466"/>
    </row>
    <row r="387" ht="15.0" customHeight="1">
      <c r="A387" s="3361"/>
      <c r="B387" s="4743"/>
      <c r="C387" s="4744"/>
      <c r="D387" s="4745"/>
      <c r="E387" s="4746"/>
      <c r="F387" s="4746"/>
      <c r="G387" s="4746"/>
      <c r="H387" s="4746"/>
      <c r="I387" s="4745"/>
      <c r="J387" s="4746"/>
      <c r="K387" s="4746"/>
      <c r="L387" s="4746"/>
      <c r="M387" s="4746"/>
      <c r="N387" s="4745"/>
      <c r="O387" s="4746"/>
      <c r="P387" s="4746"/>
      <c r="Q387" s="4746"/>
      <c r="R387" s="4746"/>
      <c r="S387" s="4745"/>
      <c r="T387" s="4747"/>
      <c r="U387" s="4747"/>
      <c r="V387" s="4747"/>
      <c r="W387" s="4747"/>
      <c r="X387" s="4745"/>
      <c r="Y387" s="4745"/>
      <c r="Z387" s="4745"/>
      <c r="AA387" s="4745"/>
      <c r="AB387" s="4745"/>
      <c r="AC387" s="4745"/>
      <c r="AD387" s="4745"/>
      <c r="AE387" s="4745"/>
      <c r="AF387" s="4745"/>
      <c r="AG387" s="4745"/>
      <c r="AH387" s="4748"/>
      <c r="AI387" s="3367"/>
    </row>
    <row r="388" ht="15.0" customHeight="1">
      <c r="A388" s="3361"/>
      <c r="B388" s="3908"/>
      <c r="C388" s="3909"/>
      <c r="D388" s="3909"/>
      <c r="E388" s="4277"/>
      <c r="F388" s="4277"/>
      <c r="G388" s="4277"/>
      <c r="H388" s="4277"/>
      <c r="I388" s="3909"/>
      <c r="J388" s="4277"/>
      <c r="K388" s="4277"/>
      <c r="L388" s="4277"/>
      <c r="M388" s="4277"/>
      <c r="N388" s="3909"/>
      <c r="O388" s="4277"/>
      <c r="P388" s="4277"/>
      <c r="Q388" s="4277"/>
      <c r="R388" s="4277"/>
      <c r="S388" s="3909"/>
      <c r="T388" s="4277"/>
      <c r="U388" s="4277"/>
      <c r="V388" s="4277"/>
      <c r="W388" s="4277"/>
      <c r="X388" s="3909"/>
      <c r="Y388" s="3909"/>
      <c r="Z388" s="3909"/>
      <c r="AA388" s="3909"/>
      <c r="AB388" s="3909"/>
      <c r="AC388" s="3909"/>
      <c r="AD388" s="3909"/>
      <c r="AE388" s="3909"/>
      <c r="AF388" s="3909"/>
      <c r="AG388" s="3909"/>
      <c r="AH388" s="3910"/>
      <c r="AI388" s="3367"/>
    </row>
    <row r="389">
      <c r="A389" s="3361"/>
      <c r="B389" s="3911"/>
      <c r="C389" s="3944"/>
      <c r="D389" s="3937"/>
      <c r="E389" s="4480" t="s">
        <v>1115</v>
      </c>
      <c r="F389" s="3955"/>
      <c r="G389" s="3955"/>
      <c r="H389" s="3955"/>
      <c r="I389" s="3955"/>
      <c r="J389" s="3955"/>
      <c r="K389" s="3955"/>
      <c r="L389" s="3955"/>
      <c r="M389" s="3955"/>
      <c r="N389" s="3955"/>
      <c r="O389" s="3955"/>
      <c r="P389" s="3955"/>
      <c r="Q389" s="3955"/>
      <c r="R389" s="3955"/>
      <c r="S389" s="3955"/>
      <c r="T389" s="3955"/>
      <c r="U389" s="3955"/>
      <c r="V389" s="3955"/>
      <c r="W389" s="3955"/>
      <c r="X389" s="3955"/>
      <c r="Y389" s="3955"/>
      <c r="Z389" s="3955"/>
      <c r="AA389" s="3955"/>
      <c r="AB389" s="3955"/>
      <c r="AC389" s="3955"/>
      <c r="AD389" s="3955"/>
      <c r="AE389" s="3955"/>
      <c r="AF389" s="3955"/>
      <c r="AG389" s="3956"/>
      <c r="AH389" s="3920"/>
      <c r="AI389" s="3367"/>
    </row>
    <row r="390" ht="96.75" customHeight="1">
      <c r="A390" s="3361"/>
      <c r="B390" s="3911"/>
      <c r="C390" s="3912" t="str">
        <f>IMAGE("https://i.ibb.co/LSRVQF1/Picnicker.png")</f>
        <v/>
      </c>
      <c r="D390" s="4278"/>
      <c r="E390" s="3914" t="str">
        <f t="array" ref="E390">IFERROR(VLOOKUP(E391,Dex!$B$3:$G1022,3,FALSE),"")</f>
        <v/>
      </c>
      <c r="F390" s="1830"/>
      <c r="G390" s="1830"/>
      <c r="H390" s="1831"/>
      <c r="I390" s="4281"/>
      <c r="J390" s="3914" t="str">
        <f t="array" ref="J390">IFERROR(VLOOKUP(J391,Dex!$B$3:$G1022,3,FALSE),"")</f>
        <v/>
      </c>
      <c r="K390" s="1830"/>
      <c r="L390" s="1830"/>
      <c r="M390" s="1831"/>
      <c r="N390" s="4281"/>
      <c r="O390" s="3914" t="str">
        <f t="array" ref="O390">IFERROR(VLOOKUP(O391,Dex!$B$3:$G1022,3,FALSE),"")</f>
        <v/>
      </c>
      <c r="P390" s="1830"/>
      <c r="Q390" s="1830"/>
      <c r="R390" s="1831"/>
      <c r="S390" s="4282"/>
      <c r="T390" s="3914" t="str">
        <f t="array" ref="T390">IFERROR(VLOOKUP(T391,Dex!$B$3:$G1022,3,FALSE),"")</f>
        <v/>
      </c>
      <c r="U390" s="1830"/>
      <c r="V390" s="1830"/>
      <c r="W390" s="1831"/>
      <c r="X390" s="4282"/>
      <c r="Y390" s="3914" t="str">
        <f t="array" ref="Y390">IFERROR(VLOOKUP(Y391,Dex!$B$3:$G1022,3,FALSE),"")</f>
        <v/>
      </c>
      <c r="Z390" s="1830"/>
      <c r="AA390" s="1830"/>
      <c r="AB390" s="1831"/>
      <c r="AC390" s="4283"/>
      <c r="AD390" s="3917"/>
      <c r="AE390" s="3918"/>
      <c r="AF390" s="3918"/>
      <c r="AG390" s="3919"/>
      <c r="AH390" s="3920"/>
      <c r="AI390" s="3367"/>
    </row>
    <row r="391" ht="18.75" customHeight="1">
      <c r="A391" s="3621"/>
      <c r="B391" s="3921"/>
      <c r="C391" s="3922" t="s">
        <v>1116</v>
      </c>
      <c r="D391" s="4284"/>
      <c r="E391" s="3924" t="s">
        <v>879</v>
      </c>
      <c r="F391" s="3925"/>
      <c r="G391" s="3925"/>
      <c r="H391" s="3926"/>
      <c r="J391" s="3924" t="s">
        <v>1117</v>
      </c>
      <c r="K391" s="3925"/>
      <c r="L391" s="3925"/>
      <c r="M391" s="3926"/>
      <c r="O391" s="3924" t="s">
        <v>1118</v>
      </c>
      <c r="P391" s="3925"/>
      <c r="Q391" s="3925"/>
      <c r="R391" s="3926"/>
      <c r="T391" s="3924" t="s">
        <v>418</v>
      </c>
      <c r="U391" s="3925"/>
      <c r="V391" s="3925"/>
      <c r="W391" s="3926"/>
      <c r="Y391" s="3924" t="s">
        <v>1119</v>
      </c>
      <c r="Z391" s="3925"/>
      <c r="AA391" s="3925"/>
      <c r="AB391" s="3926"/>
      <c r="AC391" s="4285"/>
      <c r="AD391" s="3928"/>
      <c r="AE391" s="3918"/>
      <c r="AF391" s="3918"/>
      <c r="AG391" s="3919"/>
      <c r="AH391" s="3929"/>
      <c r="AI391" s="3631"/>
    </row>
    <row r="392">
      <c r="A392" s="3632"/>
      <c r="B392" s="3930"/>
      <c r="C392" s="1481"/>
      <c r="D392" s="4286"/>
      <c r="E392" s="3932" t="s">
        <v>843</v>
      </c>
      <c r="F392" s="3933"/>
      <c r="G392" s="3933"/>
      <c r="H392" s="3934"/>
      <c r="J392" s="3932" t="s">
        <v>843</v>
      </c>
      <c r="K392" s="3933"/>
      <c r="L392" s="3933"/>
      <c r="M392" s="3934"/>
      <c r="O392" s="3932" t="s">
        <v>843</v>
      </c>
      <c r="P392" s="3933"/>
      <c r="Q392" s="3933"/>
      <c r="R392" s="3934"/>
      <c r="T392" s="3932" t="s">
        <v>843</v>
      </c>
      <c r="U392" s="3933"/>
      <c r="V392" s="3933"/>
      <c r="W392" s="3934"/>
      <c r="Y392" s="3932" t="s">
        <v>843</v>
      </c>
      <c r="Z392" s="3933"/>
      <c r="AA392" s="3933"/>
      <c r="AB392" s="3934"/>
      <c r="AC392" s="4285"/>
      <c r="AD392" s="3935"/>
      <c r="AE392" s="3918"/>
      <c r="AF392" s="3918"/>
      <c r="AG392" s="3919"/>
      <c r="AH392" s="3936"/>
      <c r="AI392" s="3640"/>
    </row>
    <row r="393" ht="25.5" customHeight="1">
      <c r="A393" s="3361"/>
      <c r="B393" s="3911"/>
      <c r="C393" s="1489"/>
      <c r="D393" s="3937"/>
      <c r="E393" s="3938"/>
      <c r="F393" s="3942" t="str">
        <f t="array" ref="F393">IFERROR(VLOOKUP(E391,Dex!$B$3:$H1022,5,FALSE),"")</f>
        <v/>
      </c>
      <c r="G393" s="3943" t="str">
        <f t="array" ref="G393">IFERROR(VLOOKUP(E391,Dex!$B$3:$H1022,7,FALSE),"")</f>
        <v/>
      </c>
      <c r="H393" s="3941"/>
      <c r="J393" s="3938"/>
      <c r="K393" s="3939" t="str">
        <f t="array" ref="K393">IFERROR(VLOOKUP(J391,Dex!$B$3:$H1022,5,FALSE),"")</f>
        <v/>
      </c>
      <c r="L393" s="3940"/>
      <c r="M393" s="3941"/>
      <c r="O393" s="3938"/>
      <c r="P393" s="3939" t="str">
        <f t="array" ref="P393">IFERROR(VLOOKUP(O391,Dex!$B$3:$H1022,5,FALSE),"")</f>
        <v/>
      </c>
      <c r="Q393" s="3940"/>
      <c r="R393" s="3941"/>
      <c r="T393" s="3938"/>
      <c r="U393" s="3942" t="str">
        <f t="array" ref="U393">IFERROR(VLOOKUP(T391,Dex!$B$3:$H1022,5,FALSE),"")</f>
        <v/>
      </c>
      <c r="V393" s="3943" t="str">
        <f t="array" ref="V393">IFERROR(VLOOKUP(T391,Dex!$B$3:$H1022,7,FALSE),"")</f>
        <v/>
      </c>
      <c r="W393" s="3941"/>
      <c r="Y393" s="3938"/>
      <c r="Z393" s="3939" t="str">
        <f t="array" ref="Z393">IFERROR(VLOOKUP(Y391,Dex!$B$3:$H1022,5,FALSE),"")</f>
        <v/>
      </c>
      <c r="AA393" s="3940"/>
      <c r="AB393" s="3941"/>
      <c r="AC393" s="4285"/>
      <c r="AD393" s="3917"/>
      <c r="AE393" s="3918"/>
      <c r="AF393" s="3918"/>
      <c r="AG393" s="3919"/>
      <c r="AH393" s="3920"/>
      <c r="AI393" s="3367"/>
    </row>
    <row r="394" ht="2.25" customHeight="1">
      <c r="A394" s="3361"/>
      <c r="B394" s="3911"/>
      <c r="C394" s="3944"/>
      <c r="D394" s="3937"/>
      <c r="E394" s="3945"/>
      <c r="F394" s="3946"/>
      <c r="G394" s="3946"/>
      <c r="H394" s="3947"/>
      <c r="J394" s="3945"/>
      <c r="K394" s="3946"/>
      <c r="L394" s="3946"/>
      <c r="M394" s="3947"/>
      <c r="O394" s="3945"/>
      <c r="P394" s="3946"/>
      <c r="Q394" s="3946"/>
      <c r="R394" s="3947"/>
      <c r="T394" s="3945"/>
      <c r="U394" s="3946"/>
      <c r="V394" s="3946"/>
      <c r="W394" s="3947"/>
      <c r="Y394" s="3945"/>
      <c r="Z394" s="3946"/>
      <c r="AA394" s="3946"/>
      <c r="AB394" s="3947"/>
      <c r="AC394" s="4285"/>
      <c r="AD394" s="3937"/>
      <c r="AE394" s="3937"/>
      <c r="AF394" s="3937"/>
      <c r="AG394" s="3937"/>
      <c r="AH394" s="3920"/>
      <c r="AI394" s="3367"/>
    </row>
    <row r="395" ht="20.25" customHeight="1">
      <c r="A395" s="3361"/>
      <c r="B395" s="3911"/>
      <c r="C395" s="3944"/>
      <c r="D395" s="3917"/>
      <c r="E395" s="3948" t="s">
        <v>169</v>
      </c>
      <c r="F395" s="3949"/>
      <c r="G395" s="3949"/>
      <c r="H395" s="3950"/>
      <c r="J395" s="3948" t="s">
        <v>263</v>
      </c>
      <c r="K395" s="3949"/>
      <c r="L395" s="3949"/>
      <c r="M395" s="3950"/>
      <c r="O395" s="3948" t="s">
        <v>205</v>
      </c>
      <c r="P395" s="3949"/>
      <c r="Q395" s="3949"/>
      <c r="R395" s="3950"/>
      <c r="T395" s="3948" t="s">
        <v>169</v>
      </c>
      <c r="U395" s="3949"/>
      <c r="V395" s="3949"/>
      <c r="W395" s="3950"/>
      <c r="Y395" s="3948" t="s">
        <v>206</v>
      </c>
      <c r="Z395" s="3949"/>
      <c r="AA395" s="3949"/>
      <c r="AB395" s="3950"/>
      <c r="AC395" s="4285"/>
      <c r="AD395" s="3917"/>
      <c r="AE395" s="3918"/>
      <c r="AF395" s="3918"/>
      <c r="AG395" s="3919"/>
      <c r="AH395" s="3920"/>
      <c r="AI395" s="3367"/>
    </row>
    <row r="396">
      <c r="A396" s="3361"/>
      <c r="B396" s="3911"/>
      <c r="C396" s="3951"/>
      <c r="D396" s="3917"/>
      <c r="E396" s="3952" t="s">
        <v>359</v>
      </c>
      <c r="F396" s="3918"/>
      <c r="G396" s="3918"/>
      <c r="H396" s="3953"/>
      <c r="J396" s="3952" t="s">
        <v>551</v>
      </c>
      <c r="K396" s="3918"/>
      <c r="L396" s="3918"/>
      <c r="M396" s="3953"/>
      <c r="O396" s="3952" t="s">
        <v>299</v>
      </c>
      <c r="P396" s="3918"/>
      <c r="Q396" s="3918"/>
      <c r="R396" s="3953"/>
      <c r="T396" s="3952" t="s">
        <v>424</v>
      </c>
      <c r="U396" s="3918"/>
      <c r="V396" s="3918"/>
      <c r="W396" s="3953"/>
      <c r="Y396" s="3952" t="s">
        <v>1120</v>
      </c>
      <c r="Z396" s="3918"/>
      <c r="AA396" s="3918"/>
      <c r="AB396" s="3953"/>
      <c r="AC396" s="4285"/>
      <c r="AD396" s="3917"/>
      <c r="AE396" s="3918"/>
      <c r="AF396" s="3918"/>
      <c r="AG396" s="3919"/>
      <c r="AH396" s="3920"/>
      <c r="AI396" s="3367"/>
    </row>
    <row r="397" ht="20.25" customHeight="1">
      <c r="A397" s="3361"/>
      <c r="B397" s="3911"/>
      <c r="C397" s="3927"/>
      <c r="D397" s="3917"/>
      <c r="E397" s="3954" t="s">
        <v>272</v>
      </c>
      <c r="F397" s="3955"/>
      <c r="G397" s="3956"/>
      <c r="H397" s="3957" t="str">
        <f>IMAGE("https://raw.githubusercontent.com/msikma/pokesprite/master/items/hold-item/life-orb.png",3)</f>
        <v/>
      </c>
      <c r="J397" s="3954" t="s">
        <v>473</v>
      </c>
      <c r="K397" s="3955"/>
      <c r="L397" s="3956"/>
      <c r="M397" s="3957" t="str">
        <f>IMAGE("https://raw.githubusercontent.com/msikma/pokesprite/master/items/hold-item/assault-vest.png",3)</f>
        <v/>
      </c>
      <c r="O397" s="3954" t="s">
        <v>553</v>
      </c>
      <c r="P397" s="3955"/>
      <c r="Q397" s="3956"/>
      <c r="R397" s="3957" t="str">
        <f>IMAGE("https://raw.githubusercontent.com/msikma/pokesprite/master/items/hold-item/twisted-spoon.png",3)</f>
        <v/>
      </c>
      <c r="T397" s="3954" t="s">
        <v>177</v>
      </c>
      <c r="U397" s="3955"/>
      <c r="V397" s="3956"/>
      <c r="W397" s="3957" t="str">
        <f>IMAGE("https://raw.githubusercontent.com/msikma/pokesprite/master/items/hold-item/air-balloon.png",3)</f>
        <v/>
      </c>
      <c r="Y397" s="3954" t="s">
        <v>1121</v>
      </c>
      <c r="Z397" s="3955"/>
      <c r="AA397" s="3956"/>
      <c r="AB397" s="3957" t="str">
        <f>IMAGE("https://raw.githubusercontent.com/msikma/pokesprite/master/items/mega-stone/slowbronite.png",3)</f>
        <v/>
      </c>
      <c r="AC397" s="4285"/>
      <c r="AD397" s="3917"/>
      <c r="AE397" s="3918"/>
      <c r="AF397" s="3918"/>
      <c r="AG397" s="3919"/>
      <c r="AH397" s="3920"/>
      <c r="AI397" s="3367"/>
    </row>
    <row r="398" ht="20.25" customHeight="1">
      <c r="A398" s="3361"/>
      <c r="B398" s="3911"/>
      <c r="C398" s="3958"/>
      <c r="D398" s="3917"/>
      <c r="E398" s="3948" t="s">
        <v>476</v>
      </c>
      <c r="F398" s="3949"/>
      <c r="G398" s="3959"/>
      <c r="H398" s="3960" t="str">
        <f>IMAGE("https://raw.githubusercontent.com/msikma/pokesprite/master/misc/types/gen8/normal.png",4,20,20)</f>
        <v/>
      </c>
      <c r="J398" s="3948" t="s">
        <v>785</v>
      </c>
      <c r="K398" s="3949"/>
      <c r="L398" s="3959"/>
      <c r="M398" s="3960" t="str">
        <f>IMAGE("https://raw.githubusercontent.com/msikma/pokesprite/master/misc/types/gen8/fire.png",4,20,20)</f>
        <v/>
      </c>
      <c r="O398" s="3948" t="s">
        <v>509</v>
      </c>
      <c r="P398" s="3949"/>
      <c r="Q398" s="3959"/>
      <c r="R398" s="3960" t="str">
        <f t="shared" ref="R398:R399" si="8">IMAGE("https://raw.githubusercontent.com/msikma/pokesprite/master/misc/types/gen8/psychic.png",4,20,20)</f>
        <v/>
      </c>
      <c r="T398" s="3948" t="s">
        <v>431</v>
      </c>
      <c r="U398" s="3949"/>
      <c r="V398" s="3959"/>
      <c r="W398" s="3960" t="str">
        <f>IMAGE("https://raw.githubusercontent.com/msikma/pokesprite/master/misc/types/gen8/rock.png",4,20,20)</f>
        <v/>
      </c>
      <c r="Y398" s="3948" t="s">
        <v>464</v>
      </c>
      <c r="Z398" s="3949"/>
      <c r="AA398" s="3959"/>
      <c r="AB398" s="3960" t="str">
        <f>IMAGE("https://raw.githubusercontent.com/msikma/pokesprite/master/misc/types/gen8/fairy.png",4,20,20)</f>
        <v/>
      </c>
      <c r="AC398" s="4285"/>
      <c r="AD398" s="3917"/>
      <c r="AE398" s="3918"/>
      <c r="AF398" s="3918"/>
      <c r="AG398" s="3919"/>
      <c r="AH398" s="3920"/>
      <c r="AI398" s="3367"/>
    </row>
    <row r="399" ht="20.25" customHeight="1">
      <c r="A399" s="3361"/>
      <c r="B399" s="3911"/>
      <c r="C399" s="3944"/>
      <c r="D399" s="3917"/>
      <c r="E399" s="3952" t="s">
        <v>1122</v>
      </c>
      <c r="F399" s="3918"/>
      <c r="G399" s="3919"/>
      <c r="H399" s="3961" t="str">
        <f>IMAGE("https://raw.githubusercontent.com/msikma/pokesprite/master/misc/types/gen8/grass.png",4,20,20)</f>
        <v/>
      </c>
      <c r="J399" s="3952" t="s">
        <v>1123</v>
      </c>
      <c r="K399" s="3918"/>
      <c r="L399" s="3919"/>
      <c r="M399" s="3961" t="str">
        <f>IMAGE("https://raw.githubusercontent.com/msikma/pokesprite/master/misc/types/gen8/dragon.png",4,20,20)</f>
        <v/>
      </c>
      <c r="O399" s="3952" t="s">
        <v>561</v>
      </c>
      <c r="P399" s="3918"/>
      <c r="Q399" s="3919"/>
      <c r="R399" s="3961" t="str">
        <f t="shared" si="8"/>
        <v/>
      </c>
      <c r="T399" s="3952" t="s">
        <v>376</v>
      </c>
      <c r="U399" s="3918"/>
      <c r="V399" s="3919"/>
      <c r="W399" s="3961" t="str">
        <f>IMAGE("https://raw.githubusercontent.com/msikma/pokesprite/master/misc/types/gen8/grass.png",4,20,20)</f>
        <v/>
      </c>
      <c r="Y399" s="3952" t="s">
        <v>315</v>
      </c>
      <c r="Z399" s="3918"/>
      <c r="AA399" s="3919"/>
      <c r="AB399" s="3961" t="str">
        <f>IMAGE("https://raw.githubusercontent.com/msikma/pokesprite/master/misc/types/gen8/fire.png",4,20,20)</f>
        <v/>
      </c>
      <c r="AC399" s="4285"/>
      <c r="AD399" s="3917"/>
      <c r="AE399" s="3918"/>
      <c r="AF399" s="3918"/>
      <c r="AG399" s="3919"/>
      <c r="AH399" s="3920"/>
      <c r="AI399" s="3367"/>
    </row>
    <row r="400" ht="20.25" customHeight="1">
      <c r="A400" s="3361"/>
      <c r="B400" s="3911"/>
      <c r="C400" s="3944"/>
      <c r="D400" s="3917"/>
      <c r="E400" s="3952" t="s">
        <v>279</v>
      </c>
      <c r="F400" s="3918"/>
      <c r="G400" s="3919"/>
      <c r="H400" s="3961" t="str">
        <f t="shared" ref="H400:H401" si="9">IMAGE("https://raw.githubusercontent.com/msikma/pokesprite/master/misc/types/gen8/dark.png",4,20,20)</f>
        <v/>
      </c>
      <c r="J400" s="3952" t="s">
        <v>280</v>
      </c>
      <c r="K400" s="3918"/>
      <c r="L400" s="3919"/>
      <c r="M400" s="3961" t="str">
        <f>IMAGE("https://raw.githubusercontent.com/msikma/pokesprite/master/misc/types/gen8/poison.png",4,20,20)</f>
        <v/>
      </c>
      <c r="O400" s="3952" t="s">
        <v>379</v>
      </c>
      <c r="P400" s="3918"/>
      <c r="Q400" s="3919"/>
      <c r="R400" s="3961" t="str">
        <f>IMAGE("https://raw.githubusercontent.com/msikma/pokesprite/master/misc/types/gen8/fire.png",4,20,20)</f>
        <v/>
      </c>
      <c r="T400" s="3952" t="s">
        <v>378</v>
      </c>
      <c r="U400" s="3918"/>
      <c r="V400" s="3919"/>
      <c r="W400" s="3961" t="str">
        <f>IMAGE("https://raw.githubusercontent.com/msikma/pokesprite/master/misc/types/gen8/fire.png",4,20,20)</f>
        <v/>
      </c>
      <c r="Y400" s="3952" t="s">
        <v>1124</v>
      </c>
      <c r="Z400" s="3918"/>
      <c r="AA400" s="3919"/>
      <c r="AB400" s="3961" t="str">
        <f>IMAGE("https://raw.githubusercontent.com/msikma/pokesprite/master/misc/types/gen8/fairy.png",4,20,20)</f>
        <v/>
      </c>
      <c r="AC400" s="4285"/>
      <c r="AD400" s="3917"/>
      <c r="AE400" s="3918"/>
      <c r="AF400" s="3918"/>
      <c r="AG400" s="3919"/>
      <c r="AH400" s="3920"/>
      <c r="AI400" s="3367"/>
    </row>
    <row r="401" ht="21.0" customHeight="1">
      <c r="A401" s="3361"/>
      <c r="B401" s="3911"/>
      <c r="C401" s="3944"/>
      <c r="D401" s="3917"/>
      <c r="E401" s="3962" t="s">
        <v>850</v>
      </c>
      <c r="F401" s="3963"/>
      <c r="G401" s="3964"/>
      <c r="H401" s="3965" t="str">
        <f t="shared" si="9"/>
        <v/>
      </c>
      <c r="I401" s="4288"/>
      <c r="J401" s="3962" t="s">
        <v>277</v>
      </c>
      <c r="K401" s="3963"/>
      <c r="L401" s="3964"/>
      <c r="M401" s="3965" t="str">
        <f>IMAGE("https://raw.githubusercontent.com/msikma/pokesprite/master/misc/types/gen8/electric.png",4,20,20)</f>
        <v/>
      </c>
      <c r="N401" s="4288"/>
      <c r="O401" s="3962" t="s">
        <v>318</v>
      </c>
      <c r="P401" s="3963"/>
      <c r="Q401" s="3964"/>
      <c r="R401" s="3965" t="str">
        <f>IMAGE("https://raw.githubusercontent.com/msikma/pokesprite/master/misc/types/gen8/ghost.png",4,20,20)</f>
        <v/>
      </c>
      <c r="S401" s="4288"/>
      <c r="T401" s="3962" t="s">
        <v>1125</v>
      </c>
      <c r="U401" s="3963"/>
      <c r="V401" s="3964"/>
      <c r="W401" s="3965" t="str">
        <f>IMAGE("https://raw.githubusercontent.com/msikma/pokesprite/master/misc/types/gen8/rock.png",4,20,20)</f>
        <v/>
      </c>
      <c r="X401" s="4288"/>
      <c r="Y401" s="3962" t="s">
        <v>221</v>
      </c>
      <c r="Z401" s="3963"/>
      <c r="AA401" s="3964"/>
      <c r="AB401" s="3965" t="str">
        <f>IMAGE("https://raw.githubusercontent.com/msikma/pokesprite/master/misc/types/gen8/normal.png",4,20,20)</f>
        <v/>
      </c>
      <c r="AC401" s="4290"/>
      <c r="AD401" s="3917"/>
      <c r="AE401" s="3918"/>
      <c r="AF401" s="3918"/>
      <c r="AG401" s="3919"/>
      <c r="AH401" s="3920"/>
      <c r="AI401" s="3367"/>
    </row>
    <row r="402" ht="3.0" customHeight="1">
      <c r="A402" s="3445"/>
      <c r="B402" s="3966"/>
      <c r="C402" s="3967"/>
      <c r="D402" s="3968"/>
      <c r="E402" s="4291"/>
      <c r="F402" s="4291"/>
      <c r="G402" s="4291"/>
      <c r="H402" s="3969"/>
      <c r="I402" s="3968"/>
      <c r="J402" s="4292"/>
      <c r="K402" s="4292"/>
      <c r="L402" s="4292"/>
      <c r="M402" s="4291"/>
      <c r="N402" s="3968"/>
      <c r="O402" s="4292"/>
      <c r="P402" s="4292"/>
      <c r="Q402" s="4292"/>
      <c r="R402" s="4291"/>
      <c r="S402" s="3969"/>
      <c r="T402" s="4292"/>
      <c r="U402" s="4292"/>
      <c r="V402" s="4292"/>
      <c r="W402" s="4291"/>
      <c r="X402" s="3968"/>
      <c r="Y402" s="4292"/>
      <c r="Z402" s="4292"/>
      <c r="AA402" s="4292"/>
      <c r="AB402" s="4291"/>
      <c r="AC402" s="3972"/>
      <c r="AD402" s="3972"/>
      <c r="AE402" s="3972"/>
      <c r="AF402" s="3972"/>
      <c r="AG402" s="3972"/>
      <c r="AH402" s="3973"/>
      <c r="AI402" s="3456"/>
    </row>
    <row r="403" ht="16.5" customHeight="1">
      <c r="A403" s="3457"/>
      <c r="B403" s="3974"/>
      <c r="C403" s="3967"/>
      <c r="D403" s="3975"/>
      <c r="E403" s="3976" t="s">
        <v>190</v>
      </c>
      <c r="F403" s="381"/>
      <c r="G403" s="382"/>
      <c r="H403" s="3977" t="s">
        <v>191</v>
      </c>
      <c r="I403" s="3978"/>
      <c r="J403" s="3976" t="s">
        <v>190</v>
      </c>
      <c r="K403" s="381"/>
      <c r="L403" s="382"/>
      <c r="M403" s="3977" t="s">
        <v>191</v>
      </c>
      <c r="N403" s="3978"/>
      <c r="O403" s="3976" t="s">
        <v>190</v>
      </c>
      <c r="P403" s="381"/>
      <c r="Q403" s="382"/>
      <c r="R403" s="3977" t="s">
        <v>191</v>
      </c>
      <c r="S403" s="4293"/>
      <c r="T403" s="3976" t="s">
        <v>190</v>
      </c>
      <c r="U403" s="381"/>
      <c r="V403" s="382"/>
      <c r="W403" s="3977" t="s">
        <v>191</v>
      </c>
      <c r="X403" s="4749"/>
      <c r="Y403" s="3976" t="s">
        <v>190</v>
      </c>
      <c r="Z403" s="381"/>
      <c r="AA403" s="382"/>
      <c r="AB403" s="3977" t="s">
        <v>191</v>
      </c>
      <c r="AC403" s="3981"/>
      <c r="AD403" s="3981"/>
      <c r="AE403" s="3981"/>
      <c r="AF403" s="3981"/>
      <c r="AG403" s="3981"/>
      <c r="AH403" s="3982"/>
      <c r="AI403" s="3466"/>
    </row>
    <row r="404" ht="16.5" customHeight="1">
      <c r="A404" s="3457"/>
      <c r="B404" s="3974"/>
      <c r="C404" s="3967"/>
      <c r="D404" s="3975"/>
      <c r="E404" s="3983" t="s">
        <v>192</v>
      </c>
      <c r="F404" s="3984">
        <f t="array" ref="F404">IFERROR(VLOOKUP(E391,Dex!$B$3:$N1022,8,FALSE),"")</f>
        <v>90</v>
      </c>
      <c r="G404" s="3985" t="str">
        <f t="array" ref="G404">IFERROR(VLOOKUP(F404,Dex!$P$22:$Q$276,2,FALSE),"")</f>
        <v/>
      </c>
      <c r="H404" s="3986"/>
      <c r="I404" s="3975"/>
      <c r="J404" s="3983" t="s">
        <v>192</v>
      </c>
      <c r="K404" s="3984">
        <f t="array" ref="K404">IFERROR(VLOOKUP(J391,Dex!$B$3:$N1022,8,FALSE),"")</f>
        <v>90</v>
      </c>
      <c r="L404" s="3985" t="str">
        <f t="array" ref="L404">IFERROR(VLOOKUP(K404,Dex!$P$22:$Q$276,2,FALSE),"")</f>
        <v/>
      </c>
      <c r="M404" s="3986">
        <v>252.0</v>
      </c>
      <c r="N404" s="3975"/>
      <c r="O404" s="3983" t="s">
        <v>192</v>
      </c>
      <c r="P404" s="3984">
        <f t="array" ref="P404">IFERROR(VLOOKUP(O391,Dex!$B$3:$N1022,8,FALSE),"")</f>
        <v>65</v>
      </c>
      <c r="Q404" s="3985" t="str">
        <f t="array" ref="Q404">IFERROR(VLOOKUP(P404,Dex!$P$22:$Q$276,2,FALSE),"")</f>
        <v/>
      </c>
      <c r="R404" s="3986"/>
      <c r="S404" s="3987"/>
      <c r="T404" s="3983" t="s">
        <v>192</v>
      </c>
      <c r="U404" s="3984">
        <f t="array" ref="U404">IFERROR(VLOOKUP(T391,Dex!$B$3:$N1022,8,FALSE),"")</f>
        <v>95</v>
      </c>
      <c r="V404" s="3985" t="str">
        <f t="array" ref="V404">IFERROR(VLOOKUP(U404,Dex!$P$22:$Q$276,2,FALSE),"")</f>
        <v/>
      </c>
      <c r="W404" s="3986"/>
      <c r="X404" s="3981"/>
      <c r="Y404" s="3983" t="s">
        <v>192</v>
      </c>
      <c r="Z404" s="3984">
        <f t="array" ref="Z404">IFERROR(VLOOKUP(Y391,Dex!$B$3:$N1022,8,FALSE),"")</f>
        <v>65</v>
      </c>
      <c r="AA404" s="3985" t="str">
        <f t="array" ref="AA404">IFERROR(VLOOKUP(Z404,Dex!$P$22:$Q$276,2,FALSE),"")</f>
        <v/>
      </c>
      <c r="AB404" s="3986">
        <v>252.0</v>
      </c>
      <c r="AC404" s="3981"/>
      <c r="AD404" s="3981"/>
      <c r="AE404" s="3981"/>
      <c r="AF404" s="3981"/>
      <c r="AG404" s="3981"/>
      <c r="AH404" s="3982"/>
      <c r="AI404" s="3466"/>
    </row>
    <row r="405" ht="16.5" customHeight="1">
      <c r="A405" s="3457"/>
      <c r="B405" s="3974"/>
      <c r="C405" s="3967"/>
      <c r="D405" s="3975"/>
      <c r="E405" s="3989" t="s">
        <v>193</v>
      </c>
      <c r="F405" s="3990">
        <f t="array" ref="F405">IFERROR(VLOOKUP(E391,Dex!$B$3:$N1022,9,FALSE),"")</f>
        <v>120</v>
      </c>
      <c r="G405" s="3991" t="str">
        <f t="array" ref="G405">IFERROR(VLOOKUP(F405,Dex!$P$22:$Q$276,2,FALSE),"")</f>
        <v/>
      </c>
      <c r="H405" s="3992">
        <v>252.0</v>
      </c>
      <c r="I405" s="3975"/>
      <c r="J405" s="3989" t="s">
        <v>193</v>
      </c>
      <c r="K405" s="3990">
        <f t="array" ref="K405">IFERROR(VLOOKUP(J391,Dex!$B$3:$N1022,9,FALSE),"")</f>
        <v>100</v>
      </c>
      <c r="L405" s="3991" t="str">
        <f t="array" ref="L405">IFERROR(VLOOKUP(K405,Dex!$P$22:$Q$276,2,FALSE),"")</f>
        <v/>
      </c>
      <c r="M405" s="3992"/>
      <c r="N405" s="3975"/>
      <c r="O405" s="3989" t="s">
        <v>193</v>
      </c>
      <c r="P405" s="3990">
        <f t="array" ref="P405">IFERROR(VLOOKUP(O391,Dex!$B$3:$N1022,9,FALSE),"")</f>
        <v>65</v>
      </c>
      <c r="Q405" s="3991" t="str">
        <f t="array" ref="Q405">IFERROR(VLOOKUP(P405,Dex!$P$22:$Q$276,2,FALSE),"")</f>
        <v/>
      </c>
      <c r="R405" s="3992"/>
      <c r="S405" s="3987"/>
      <c r="T405" s="3989" t="s">
        <v>193</v>
      </c>
      <c r="U405" s="3990">
        <f t="array" ref="U405">IFERROR(VLOOKUP(T391,Dex!$B$3:$N1022,9,FALSE),"")</f>
        <v>125</v>
      </c>
      <c r="V405" s="3991" t="str">
        <f t="array" ref="V405">IFERROR(VLOOKUP(U405,Dex!$P$22:$Q$276,2,FALSE),"")</f>
        <v/>
      </c>
      <c r="W405" s="3992">
        <v>252.0</v>
      </c>
      <c r="X405" s="3981"/>
      <c r="Y405" s="3989" t="s">
        <v>193</v>
      </c>
      <c r="Z405" s="3990">
        <f t="array" ref="Z405">IFERROR(VLOOKUP(Y391,Dex!$B$3:$N1022,9,FALSE),"")</f>
        <v>70</v>
      </c>
      <c r="AA405" s="3991" t="str">
        <f t="array" ref="AA405">IFERROR(VLOOKUP(Z405,Dex!$P$22:$Q$276,2,FALSE),"")</f>
        <v/>
      </c>
      <c r="AB405" s="3992"/>
      <c r="AC405" s="3981"/>
      <c r="AD405" s="3981"/>
      <c r="AE405" s="3981"/>
      <c r="AF405" s="3981"/>
      <c r="AG405" s="3981"/>
      <c r="AH405" s="3982"/>
      <c r="AI405" s="3466"/>
    </row>
    <row r="406" ht="16.5" customHeight="1">
      <c r="A406" s="3457"/>
      <c r="B406" s="3974"/>
      <c r="C406" s="3967"/>
      <c r="D406" s="3975"/>
      <c r="E406" s="3989" t="s">
        <v>194</v>
      </c>
      <c r="F406" s="3990">
        <f t="array" ref="F406">IFERROR(VLOOKUP(E391,Dex!$B$3:$N1022,10,FALSE),"")</f>
        <v>60</v>
      </c>
      <c r="G406" s="3991" t="str">
        <f t="array" ref="G406">IFERROR(VLOOKUP(F406,Dex!$P$22:$Q$276,2,FALSE),"")</f>
        <v/>
      </c>
      <c r="H406" s="3992">
        <v>4.0</v>
      </c>
      <c r="I406" s="3975"/>
      <c r="J406" s="3989" t="s">
        <v>194</v>
      </c>
      <c r="K406" s="3990">
        <f t="array" ref="K406">IFERROR(VLOOKUP(J391,Dex!$B$3:$N1022,10,FALSE),"")</f>
        <v>70</v>
      </c>
      <c r="L406" s="3991" t="str">
        <f t="array" ref="L406">IFERROR(VLOOKUP(K406,Dex!$P$22:$Q$276,2,FALSE),"")</f>
        <v/>
      </c>
      <c r="M406" s="3992"/>
      <c r="N406" s="3975"/>
      <c r="O406" s="3989" t="s">
        <v>194</v>
      </c>
      <c r="P406" s="3990">
        <f t="array" ref="P406">IFERROR(VLOOKUP(O391,Dex!$B$3:$N1022,10,FALSE),"")</f>
        <v>60</v>
      </c>
      <c r="Q406" s="3991" t="str">
        <f t="array" ref="Q406">IFERROR(VLOOKUP(P406,Dex!$P$22:$Q$276,2,FALSE),"")</f>
        <v/>
      </c>
      <c r="R406" s="3992">
        <v>4.0</v>
      </c>
      <c r="S406" s="3987"/>
      <c r="T406" s="3989" t="s">
        <v>194</v>
      </c>
      <c r="U406" s="3990">
        <f t="array" ref="U406">IFERROR(VLOOKUP(T391,Dex!$B$3:$N1022,10,FALSE),"")</f>
        <v>80</v>
      </c>
      <c r="V406" s="3991" t="str">
        <f t="array" ref="V406">IFERROR(VLOOKUP(U406,Dex!$P$22:$Q$276,2,FALSE),"")</f>
        <v/>
      </c>
      <c r="W406" s="3992">
        <v>4.0</v>
      </c>
      <c r="X406" s="3981"/>
      <c r="Y406" s="3989" t="s">
        <v>194</v>
      </c>
      <c r="Z406" s="3990">
        <f t="array" ref="Z406">IFERROR(VLOOKUP(Y391,Dex!$B$3:$N1022,10,FALSE),"")</f>
        <v>90</v>
      </c>
      <c r="AA406" s="3991" t="str">
        <f t="array" ref="AA406">IFERROR(VLOOKUP(Z406,Dex!$P$22:$Q$276,2,FALSE),"")</f>
        <v/>
      </c>
      <c r="AB406" s="3992">
        <v>252.0</v>
      </c>
      <c r="AC406" s="3981"/>
      <c r="AD406" s="3981"/>
      <c r="AE406" s="3981"/>
      <c r="AF406" s="3981"/>
      <c r="AG406" s="3981"/>
      <c r="AH406" s="3982"/>
      <c r="AI406" s="3466"/>
    </row>
    <row r="407" ht="16.5" customHeight="1">
      <c r="A407" s="3457"/>
      <c r="B407" s="3974"/>
      <c r="C407" s="3967"/>
      <c r="D407" s="3975"/>
      <c r="E407" s="3989" t="s">
        <v>195</v>
      </c>
      <c r="F407" s="3990">
        <f t="array" ref="F407">IFERROR(VLOOKUP(E391,Dex!$B$3:$N1022,11,FALSE),"")</f>
        <v>110</v>
      </c>
      <c r="G407" s="3991" t="str">
        <f t="array" ref="G407">IFERROR(VLOOKUP(F407,Dex!$P$22:$Q$276,2,FALSE),"")</f>
        <v/>
      </c>
      <c r="H407" s="3992"/>
      <c r="I407" s="3975"/>
      <c r="J407" s="3989" t="s">
        <v>195</v>
      </c>
      <c r="K407" s="3990">
        <f t="array" ref="K407">IFERROR(VLOOKUP(J391,Dex!$B$3:$N1022,11,FALSE),"")</f>
        <v>110</v>
      </c>
      <c r="L407" s="3991" t="str">
        <f t="array" ref="L407">IFERROR(VLOOKUP(K407,Dex!$P$22:$Q$276,2,FALSE),"")</f>
        <v/>
      </c>
      <c r="M407" s="3992">
        <v>252.0</v>
      </c>
      <c r="N407" s="3975"/>
      <c r="O407" s="3989" t="s">
        <v>195</v>
      </c>
      <c r="P407" s="3990">
        <f t="array" ref="P407">IFERROR(VLOOKUP(O391,Dex!$B$3:$N1022,11,FALSE),"")</f>
        <v>130</v>
      </c>
      <c r="Q407" s="3991" t="str">
        <f t="array" ref="Q407">IFERROR(VLOOKUP(P407,Dex!$P$22:$Q$276,2,FALSE),"")</f>
        <v/>
      </c>
      <c r="R407" s="3992">
        <v>252.0</v>
      </c>
      <c r="S407" s="3987"/>
      <c r="T407" s="3989" t="s">
        <v>195</v>
      </c>
      <c r="U407" s="3990">
        <f t="array" ref="U407">IFERROR(VLOOKUP(T391,Dex!$B$3:$N1022,11,FALSE),"")</f>
        <v>85</v>
      </c>
      <c r="V407" s="3991" t="str">
        <f t="array" ref="V407">IFERROR(VLOOKUP(U407,Dex!$P$22:$Q$276,2,FALSE),"")</f>
        <v/>
      </c>
      <c r="W407" s="3992"/>
      <c r="X407" s="3981"/>
      <c r="Y407" s="3989" t="s">
        <v>195</v>
      </c>
      <c r="Z407" s="3990">
        <f t="array" ref="Z407">IFERROR(VLOOKUP(Y391,Dex!$B$3:$N1022,11,FALSE),"")</f>
        <v>140</v>
      </c>
      <c r="AA407" s="3991" t="str">
        <f t="array" ref="AA407">IFERROR(VLOOKUP(Z407,Dex!$P$22:$Q$276,2,FALSE),"")</f>
        <v/>
      </c>
      <c r="AB407" s="3992">
        <v>4.0</v>
      </c>
      <c r="AC407" s="3981"/>
      <c r="AD407" s="3981"/>
      <c r="AE407" s="3981"/>
      <c r="AF407" s="3981"/>
      <c r="AG407" s="3981"/>
      <c r="AH407" s="3982"/>
      <c r="AI407" s="3466"/>
    </row>
    <row r="408" ht="16.5" customHeight="1">
      <c r="A408" s="3457"/>
      <c r="B408" s="3974"/>
      <c r="C408" s="3967"/>
      <c r="D408" s="3975"/>
      <c r="E408" s="3989" t="s">
        <v>196</v>
      </c>
      <c r="F408" s="3990">
        <f t="array" ref="F408">IFERROR(VLOOKUP(E391,Dex!$B$3:$N1022,12,FALSE),"")</f>
        <v>60</v>
      </c>
      <c r="G408" s="3991" t="str">
        <f t="array" ref="G408">IFERROR(VLOOKUP(F408,Dex!$P$22:$Q$276,2,FALSE),"")</f>
        <v/>
      </c>
      <c r="H408" s="3992"/>
      <c r="I408" s="3975"/>
      <c r="J408" s="3989" t="s">
        <v>196</v>
      </c>
      <c r="K408" s="3990">
        <f t="array" ref="K408">IFERROR(VLOOKUP(J391,Dex!$B$3:$N1022,12,FALSE),"")</f>
        <v>150</v>
      </c>
      <c r="L408" s="3991" t="str">
        <f t="array" ref="L408">IFERROR(VLOOKUP(K408,Dex!$P$22:$Q$276,2,FALSE),"")</f>
        <v/>
      </c>
      <c r="M408" s="3992">
        <v>4.0</v>
      </c>
      <c r="N408" s="3975"/>
      <c r="O408" s="3989" t="s">
        <v>196</v>
      </c>
      <c r="P408" s="3990">
        <f t="array" ref="P408">IFERROR(VLOOKUP(O391,Dex!$B$3:$N1022,12,FALSE),"")</f>
        <v>95</v>
      </c>
      <c r="Q408" s="3991" t="str">
        <f t="array" ref="Q408">IFERROR(VLOOKUP(P408,Dex!$P$22:$Q$276,2,FALSE),"")</f>
        <v/>
      </c>
      <c r="R408" s="3992"/>
      <c r="S408" s="3987"/>
      <c r="T408" s="3989" t="s">
        <v>196</v>
      </c>
      <c r="U408" s="3990">
        <f t="array" ref="U408">IFERROR(VLOOKUP(T391,Dex!$B$3:$N1022,12,FALSE),"")</f>
        <v>80</v>
      </c>
      <c r="V408" s="3991" t="str">
        <f t="array" ref="V408">IFERROR(VLOOKUP(U408,Dex!$P$22:$Q$276,2,FALSE),"")</f>
        <v/>
      </c>
      <c r="W408" s="3992"/>
      <c r="X408" s="3981"/>
      <c r="Y408" s="3989" t="s">
        <v>196</v>
      </c>
      <c r="Z408" s="3990">
        <f t="array" ref="Z408">IFERROR(VLOOKUP(Y391,Dex!$B$3:$N1022,12,FALSE),"")</f>
        <v>131</v>
      </c>
      <c r="AA408" s="3991" t="str">
        <f t="array" ref="AA408">IFERROR(VLOOKUP(Z408,Dex!$P$22:$Q$276,2,FALSE),"")</f>
        <v/>
      </c>
      <c r="AB408" s="3992"/>
      <c r="AC408" s="3981"/>
      <c r="AD408" s="3981"/>
      <c r="AE408" s="3981"/>
      <c r="AF408" s="3981"/>
      <c r="AG408" s="3981"/>
      <c r="AH408" s="3982"/>
      <c r="AI408" s="3466"/>
    </row>
    <row r="409" ht="16.5" customHeight="1">
      <c r="A409" s="3457"/>
      <c r="B409" s="3974"/>
      <c r="C409" s="1204" t="s">
        <v>436</v>
      </c>
      <c r="D409" s="3975"/>
      <c r="E409" s="3995" t="s">
        <v>197</v>
      </c>
      <c r="F409" s="3996">
        <f t="array" ref="F409">IFERROR(VLOOKUP(E391,Dex!$B$3:$N1022,13,FALSE),"")</f>
        <v>80</v>
      </c>
      <c r="G409" s="3997" t="str">
        <f t="array" ref="G409">IFERROR(VLOOKUP(F409,Dex!$P$22:$Q$276,2,FALSE),"")</f>
        <v/>
      </c>
      <c r="H409" s="3998">
        <v>252.0</v>
      </c>
      <c r="I409" s="3975"/>
      <c r="J409" s="3995" t="s">
        <v>197</v>
      </c>
      <c r="K409" s="3996">
        <f t="array" ref="K409">IFERROR(VLOOKUP(J391,Dex!$B$3:$N1022,13,FALSE),"")</f>
        <v>80</v>
      </c>
      <c r="L409" s="3997" t="str">
        <f t="array" ref="L409">IFERROR(VLOOKUP(K409,Dex!$P$22:$Q$276,2,FALSE),"")</f>
        <v/>
      </c>
      <c r="M409" s="3998"/>
      <c r="N409" s="3975"/>
      <c r="O409" s="3995" t="s">
        <v>197</v>
      </c>
      <c r="P409" s="3996">
        <f t="array" ref="P409">IFERROR(VLOOKUP(O391,Dex!$B$3:$N1022,13,FALSE),"")</f>
        <v>110</v>
      </c>
      <c r="Q409" s="3997" t="str">
        <f t="array" ref="Q409">IFERROR(VLOOKUP(P409,Dex!$P$22:$Q$276,2,FALSE),"")</f>
        <v/>
      </c>
      <c r="R409" s="3998">
        <v>252.0</v>
      </c>
      <c r="S409" s="3987"/>
      <c r="T409" s="3995" t="s">
        <v>197</v>
      </c>
      <c r="U409" s="3996">
        <f t="array" ref="U409">IFERROR(VLOOKUP(T391,Dex!$B$3:$N1022,13,FALSE),"")</f>
        <v>90</v>
      </c>
      <c r="V409" s="3997" t="str">
        <f t="array" ref="V409">IFERROR(VLOOKUP(U409,Dex!$P$22:$Q$276,2,FALSE),"")</f>
        <v/>
      </c>
      <c r="W409" s="3998">
        <v>252.0</v>
      </c>
      <c r="X409" s="3981"/>
      <c r="Y409" s="3995" t="s">
        <v>197</v>
      </c>
      <c r="Z409" s="3996">
        <f t="array" ref="Z409">IFERROR(VLOOKUP(Y391,Dex!$B$3:$N1022,13,FALSE),"")</f>
        <v>84</v>
      </c>
      <c r="AA409" s="3997" t="str">
        <f t="array" ref="AA409">IFERROR(VLOOKUP(Z409,Dex!$P$22:$Q$276,2,FALSE),"")</f>
        <v/>
      </c>
      <c r="AB409" s="3998"/>
      <c r="AC409" s="3981"/>
      <c r="AD409" s="3981"/>
      <c r="AE409" s="3981"/>
      <c r="AF409" s="3981"/>
      <c r="AG409" s="3981"/>
      <c r="AH409" s="3982"/>
      <c r="AI409" s="3466"/>
    </row>
    <row r="410" ht="16.5" customHeight="1">
      <c r="A410" s="3457"/>
      <c r="B410" s="3974"/>
      <c r="C410" s="1205" t="s">
        <v>437</v>
      </c>
      <c r="D410" s="3975"/>
      <c r="E410" s="4294" t="s">
        <v>198</v>
      </c>
      <c r="F410" s="918"/>
      <c r="G410" s="919"/>
      <c r="H410" s="4295">
        <v>165.0</v>
      </c>
      <c r="I410" s="3978"/>
      <c r="J410" s="3999" t="s">
        <v>198</v>
      </c>
      <c r="K410" s="405"/>
      <c r="L410" s="406"/>
      <c r="M410" s="4000">
        <v>125.0</v>
      </c>
      <c r="N410" s="3978"/>
      <c r="O410" s="3999" t="s">
        <v>198</v>
      </c>
      <c r="P410" s="405"/>
      <c r="Q410" s="406"/>
      <c r="R410" s="4000">
        <v>222.0</v>
      </c>
      <c r="S410" s="4296"/>
      <c r="T410" s="3999" t="s">
        <v>198</v>
      </c>
      <c r="U410" s="405"/>
      <c r="V410" s="406"/>
      <c r="W410" s="4000">
        <v>203.0</v>
      </c>
      <c r="X410" s="4749"/>
      <c r="Y410" s="3999" t="s">
        <v>198</v>
      </c>
      <c r="Z410" s="405"/>
      <c r="AA410" s="406"/>
      <c r="AB410" s="4000">
        <v>130.0</v>
      </c>
      <c r="AC410" s="3981"/>
      <c r="AD410" s="3981"/>
      <c r="AE410" s="3981"/>
      <c r="AF410" s="3981"/>
      <c r="AG410" s="3981"/>
      <c r="AH410" s="3982"/>
      <c r="AI410" s="3466"/>
    </row>
    <row r="411" ht="16.5" customHeight="1">
      <c r="A411" s="3457"/>
      <c r="B411" s="4297"/>
      <c r="C411" s="4481"/>
      <c r="D411" s="4298"/>
      <c r="E411" s="4299" t="s">
        <v>381</v>
      </c>
      <c r="F411" s="925"/>
      <c r="G411" s="926"/>
      <c r="H411" s="4300">
        <v>330.0</v>
      </c>
      <c r="I411" s="4298"/>
      <c r="J411" s="4301"/>
      <c r="K411" s="4302"/>
      <c r="L411" s="4302"/>
      <c r="M411" s="4303"/>
      <c r="N411" s="4298"/>
      <c r="O411" s="4301"/>
      <c r="P411" s="4302"/>
      <c r="Q411" s="4302"/>
      <c r="R411" s="4303"/>
      <c r="S411" s="4304"/>
      <c r="T411" s="4301"/>
      <c r="U411" s="4302"/>
      <c r="V411" s="4302"/>
      <c r="W411" s="4303"/>
      <c r="X411" s="4303"/>
      <c r="Y411" s="4301"/>
      <c r="Z411" s="4302"/>
      <c r="AA411" s="4302"/>
      <c r="AB411" s="4303"/>
      <c r="AC411" s="4303"/>
      <c r="AD411" s="4303"/>
      <c r="AE411" s="4303"/>
      <c r="AF411" s="4303"/>
      <c r="AG411" s="4303"/>
      <c r="AH411" s="4305"/>
      <c r="AI411" s="3466"/>
    </row>
    <row r="412" ht="15.0" customHeight="1">
      <c r="A412" s="3361"/>
      <c r="B412" s="4001"/>
      <c r="C412" s="4002"/>
      <c r="D412" s="4003"/>
      <c r="E412" s="4004"/>
      <c r="F412" s="4004"/>
      <c r="G412" s="4004"/>
      <c r="H412" s="4004"/>
      <c r="I412" s="4005"/>
      <c r="J412" s="4004"/>
      <c r="K412" s="4004"/>
      <c r="L412" s="4004"/>
      <c r="M412" s="4004"/>
      <c r="N412" s="4005"/>
      <c r="O412" s="4004"/>
      <c r="P412" s="4004"/>
      <c r="Q412" s="4004"/>
      <c r="R412" s="4004"/>
      <c r="S412" s="4003"/>
      <c r="T412" s="4003"/>
      <c r="U412" s="4003"/>
      <c r="V412" s="4003"/>
      <c r="W412" s="4003"/>
      <c r="X412" s="4003"/>
      <c r="Y412" s="4003"/>
      <c r="Z412" s="4003"/>
      <c r="AA412" s="4003"/>
      <c r="AB412" s="4003"/>
      <c r="AC412" s="4003"/>
      <c r="AD412" s="4003"/>
      <c r="AE412" s="4003"/>
      <c r="AF412" s="4003"/>
      <c r="AG412" s="4003"/>
      <c r="AH412" s="4007"/>
      <c r="AI412" s="3367"/>
    </row>
    <row r="413" ht="15.0" customHeight="1">
      <c r="A413" s="3361"/>
      <c r="B413" s="3908"/>
      <c r="C413" s="3909"/>
      <c r="D413" s="3909"/>
      <c r="E413" s="4277"/>
      <c r="F413" s="4277"/>
      <c r="G413" s="4277"/>
      <c r="H413" s="4277"/>
      <c r="I413" s="3909"/>
      <c r="J413" s="4277"/>
      <c r="K413" s="4277"/>
      <c r="L413" s="4277"/>
      <c r="M413" s="4277"/>
      <c r="N413" s="3909"/>
      <c r="O413" s="4277"/>
      <c r="P413" s="4277"/>
      <c r="Q413" s="4277"/>
      <c r="R413" s="4277"/>
      <c r="S413" s="3909"/>
      <c r="T413" s="4277"/>
      <c r="U413" s="4277"/>
      <c r="V413" s="4277"/>
      <c r="W413" s="4277"/>
      <c r="X413" s="3909"/>
      <c r="Y413" s="3909"/>
      <c r="Z413" s="3909"/>
      <c r="AA413" s="3909"/>
      <c r="AB413" s="3909"/>
      <c r="AC413" s="3909"/>
      <c r="AD413" s="3909"/>
      <c r="AE413" s="3909"/>
      <c r="AF413" s="3909"/>
      <c r="AG413" s="3909"/>
      <c r="AH413" s="3910"/>
      <c r="AI413" s="3367"/>
    </row>
    <row r="414">
      <c r="A414" s="3361"/>
      <c r="B414" s="3911"/>
      <c r="C414" s="3944"/>
      <c r="D414" s="3937"/>
      <c r="E414" s="4480" t="s">
        <v>1126</v>
      </c>
      <c r="F414" s="3955"/>
      <c r="G414" s="3955"/>
      <c r="H414" s="3955"/>
      <c r="I414" s="3955"/>
      <c r="J414" s="3955"/>
      <c r="K414" s="3955"/>
      <c r="L414" s="3955"/>
      <c r="M414" s="3955"/>
      <c r="N414" s="3955"/>
      <c r="O414" s="3955"/>
      <c r="P414" s="3955"/>
      <c r="Q414" s="3955"/>
      <c r="R414" s="3955"/>
      <c r="S414" s="3955"/>
      <c r="T414" s="3955"/>
      <c r="U414" s="3955"/>
      <c r="V414" s="3955"/>
      <c r="W414" s="3955"/>
      <c r="X414" s="3955"/>
      <c r="Y414" s="3955"/>
      <c r="Z414" s="3955"/>
      <c r="AA414" s="3955"/>
      <c r="AB414" s="3955"/>
      <c r="AC414" s="3955"/>
      <c r="AD414" s="3955"/>
      <c r="AE414" s="3955"/>
      <c r="AF414" s="3955"/>
      <c r="AG414" s="3956"/>
      <c r="AH414" s="3920"/>
      <c r="AI414" s="3367"/>
    </row>
    <row r="415" ht="96.75" customHeight="1">
      <c r="A415" s="3361"/>
      <c r="B415" s="3911"/>
      <c r="C415" s="3912" t="str">
        <f>IMAGE("https://i.ibb.co/LSRVQF1/Picnicker.png")</f>
        <v/>
      </c>
      <c r="D415" s="4278"/>
      <c r="E415" s="4750" t="str">
        <f t="array" ref="E415">IFERROR(VLOOKUP(E416,Dex!$B$3:$G1022,3,FALSE),"")</f>
        <v/>
      </c>
      <c r="F415" s="1830"/>
      <c r="G415" s="1830"/>
      <c r="H415" s="1831"/>
      <c r="I415" s="4281"/>
      <c r="J415" s="4750" t="str">
        <f t="array" ref="J415">IFERROR(VLOOKUP(J416,Dex!$B$3:$G1022,3,FALSE),"")</f>
        <v/>
      </c>
      <c r="K415" s="1830"/>
      <c r="L415" s="1830"/>
      <c r="M415" s="1831"/>
      <c r="N415" s="4281"/>
      <c r="O415" s="4750" t="str">
        <f t="array" ref="O415">IFERROR(VLOOKUP(O416,Dex!$B$3:$G1022,3,FALSE),"")</f>
        <v/>
      </c>
      <c r="P415" s="1830"/>
      <c r="Q415" s="1830"/>
      <c r="R415" s="1831"/>
      <c r="S415" s="4282"/>
      <c r="T415" s="4750" t="str">
        <f t="array" ref="T415">IFERROR(VLOOKUP(T416,Dex!$B$3:$G1022,3,FALSE),"")</f>
        <v/>
      </c>
      <c r="U415" s="1830"/>
      <c r="V415" s="1830"/>
      <c r="W415" s="1831"/>
      <c r="X415" s="4282"/>
      <c r="Y415" s="3917"/>
      <c r="Z415" s="3918"/>
      <c r="AA415" s="3918"/>
      <c r="AB415" s="3919"/>
      <c r="AC415" s="4283"/>
      <c r="AD415" s="3917"/>
      <c r="AE415" s="3918"/>
      <c r="AF415" s="3918"/>
      <c r="AG415" s="3919"/>
      <c r="AH415" s="3920"/>
      <c r="AI415" s="3367"/>
    </row>
    <row r="416" ht="18.75" customHeight="1">
      <c r="A416" s="3621"/>
      <c r="B416" s="3921"/>
      <c r="C416" s="3922" t="s">
        <v>1127</v>
      </c>
      <c r="D416" s="4284"/>
      <c r="E416" s="3924" t="s">
        <v>1128</v>
      </c>
      <c r="F416" s="3925"/>
      <c r="G416" s="3925"/>
      <c r="H416" s="3926"/>
      <c r="J416" s="3924" t="s">
        <v>1129</v>
      </c>
      <c r="K416" s="3925"/>
      <c r="L416" s="3925"/>
      <c r="M416" s="3926"/>
      <c r="O416" s="3924" t="s">
        <v>1130</v>
      </c>
      <c r="P416" s="3925"/>
      <c r="Q416" s="3925"/>
      <c r="R416" s="3926"/>
      <c r="T416" s="3924" t="s">
        <v>1131</v>
      </c>
      <c r="U416" s="3925"/>
      <c r="V416" s="3925"/>
      <c r="W416" s="3926"/>
      <c r="Y416" s="3928"/>
      <c r="Z416" s="3918"/>
      <c r="AA416" s="3918"/>
      <c r="AB416" s="3919"/>
      <c r="AC416" s="4285"/>
      <c r="AD416" s="3928"/>
      <c r="AE416" s="3918"/>
      <c r="AF416" s="3918"/>
      <c r="AG416" s="3919"/>
      <c r="AH416" s="3929"/>
      <c r="AI416" s="3631"/>
    </row>
    <row r="417">
      <c r="A417" s="3632"/>
      <c r="B417" s="3930"/>
      <c r="C417" s="1481"/>
      <c r="D417" s="4286"/>
      <c r="E417" s="3932" t="s">
        <v>843</v>
      </c>
      <c r="F417" s="3933"/>
      <c r="G417" s="3933"/>
      <c r="H417" s="3934"/>
      <c r="J417" s="3932" t="s">
        <v>843</v>
      </c>
      <c r="K417" s="3933"/>
      <c r="L417" s="3933"/>
      <c r="M417" s="3934"/>
      <c r="O417" s="3932" t="s">
        <v>843</v>
      </c>
      <c r="P417" s="3933"/>
      <c r="Q417" s="3933"/>
      <c r="R417" s="3934"/>
      <c r="T417" s="3932" t="s">
        <v>843</v>
      </c>
      <c r="U417" s="3933"/>
      <c r="V417" s="3933"/>
      <c r="W417" s="3934"/>
      <c r="Y417" s="3935"/>
      <c r="Z417" s="3918"/>
      <c r="AA417" s="3918"/>
      <c r="AB417" s="3919"/>
      <c r="AC417" s="4285"/>
      <c r="AD417" s="3935"/>
      <c r="AE417" s="3918"/>
      <c r="AF417" s="3918"/>
      <c r="AG417" s="3919"/>
      <c r="AH417" s="3936"/>
      <c r="AI417" s="3640"/>
    </row>
    <row r="418" ht="25.5" customHeight="1">
      <c r="A418" s="3361"/>
      <c r="B418" s="3911"/>
      <c r="C418" s="1489"/>
      <c r="D418" s="3937"/>
      <c r="E418" s="3938"/>
      <c r="F418" s="3939" t="str">
        <f t="array" ref="F418">IFERROR(VLOOKUP(E416,Dex!$B$3:$H1022,5,FALSE),"")</f>
        <v/>
      </c>
      <c r="G418" s="3940"/>
      <c r="H418" s="3941"/>
      <c r="J418" s="3938"/>
      <c r="K418" s="3939" t="str">
        <f t="array" ref="K418">IFERROR(VLOOKUP(J416,Dex!$B$3:$H1022,5,FALSE),"")</f>
        <v/>
      </c>
      <c r="L418" s="3940"/>
      <c r="M418" s="3941"/>
      <c r="O418" s="3938"/>
      <c r="P418" s="3942" t="str">
        <f t="array" ref="P418">IFERROR(VLOOKUP(O416,Dex!$B$3:$H1022,5,FALSE),"")</f>
        <v/>
      </c>
      <c r="Q418" s="3943" t="str">
        <f t="array" ref="Q418">IFERROR(VLOOKUP(O416,Dex!$B$3:$H1022,7,FALSE),"")</f>
        <v/>
      </c>
      <c r="R418" s="3941"/>
      <c r="T418" s="3938"/>
      <c r="U418" s="3942" t="str">
        <f t="array" ref="U418">IFERROR(VLOOKUP(T416,Dex!$B$3:$H1022,5,FALSE),"")</f>
        <v/>
      </c>
      <c r="V418" s="3943" t="str">
        <f t="array" ref="V418">IFERROR(VLOOKUP(T416,Dex!$B$3:$H1022,7,FALSE),"")</f>
        <v/>
      </c>
      <c r="W418" s="3941"/>
      <c r="Y418" s="3917"/>
      <c r="Z418" s="3918"/>
      <c r="AA418" s="3918"/>
      <c r="AB418" s="3919"/>
      <c r="AC418" s="4285"/>
      <c r="AD418" s="3917"/>
      <c r="AE418" s="3918"/>
      <c r="AF418" s="3918"/>
      <c r="AG418" s="3919"/>
      <c r="AH418" s="3920"/>
      <c r="AI418" s="3367"/>
    </row>
    <row r="419" ht="2.25" customHeight="1">
      <c r="A419" s="3361"/>
      <c r="B419" s="3911"/>
      <c r="C419" s="3944"/>
      <c r="D419" s="3937"/>
      <c r="E419" s="3945"/>
      <c r="F419" s="3946"/>
      <c r="G419" s="3946"/>
      <c r="H419" s="3947"/>
      <c r="J419" s="3945"/>
      <c r="K419" s="3946"/>
      <c r="L419" s="3946"/>
      <c r="M419" s="3947"/>
      <c r="O419" s="3945"/>
      <c r="P419" s="3946"/>
      <c r="Q419" s="3946"/>
      <c r="R419" s="3947"/>
      <c r="T419" s="3945"/>
      <c r="U419" s="3946"/>
      <c r="V419" s="3946"/>
      <c r="W419" s="3947"/>
      <c r="Y419" s="3937"/>
      <c r="Z419" s="3937"/>
      <c r="AA419" s="3937"/>
      <c r="AB419" s="3937"/>
      <c r="AC419" s="4285"/>
      <c r="AD419" s="3937"/>
      <c r="AE419" s="3937"/>
      <c r="AF419" s="3937"/>
      <c r="AG419" s="3937"/>
      <c r="AH419" s="3920"/>
      <c r="AI419" s="3367"/>
    </row>
    <row r="420" ht="20.25" customHeight="1">
      <c r="A420" s="3361"/>
      <c r="B420" s="3911"/>
      <c r="C420" s="3944"/>
      <c r="D420" s="3917"/>
      <c r="E420" s="3948" t="s">
        <v>205</v>
      </c>
      <c r="F420" s="3949"/>
      <c r="G420" s="3949"/>
      <c r="H420" s="3950"/>
      <c r="J420" s="3948" t="s">
        <v>206</v>
      </c>
      <c r="K420" s="3949"/>
      <c r="L420" s="3949"/>
      <c r="M420" s="3950"/>
      <c r="O420" s="3948" t="s">
        <v>205</v>
      </c>
      <c r="P420" s="3949"/>
      <c r="Q420" s="3949"/>
      <c r="R420" s="3950"/>
      <c r="T420" s="3948" t="s">
        <v>206</v>
      </c>
      <c r="U420" s="3949"/>
      <c r="V420" s="3949"/>
      <c r="W420" s="3950"/>
      <c r="Y420" s="3917"/>
      <c r="Z420" s="3918"/>
      <c r="AA420" s="3918"/>
      <c r="AB420" s="3919"/>
      <c r="AC420" s="4285"/>
      <c r="AD420" s="3917"/>
      <c r="AE420" s="3918"/>
      <c r="AF420" s="3918"/>
      <c r="AG420" s="3919"/>
      <c r="AH420" s="3920"/>
      <c r="AI420" s="3367"/>
    </row>
    <row r="421">
      <c r="A421" s="3361"/>
      <c r="B421" s="3911"/>
      <c r="C421" s="3951"/>
      <c r="D421" s="3917"/>
      <c r="E421" s="3952" t="s">
        <v>359</v>
      </c>
      <c r="F421" s="3918"/>
      <c r="G421" s="3918"/>
      <c r="H421" s="3953"/>
      <c r="J421" s="3952" t="s">
        <v>1132</v>
      </c>
      <c r="K421" s="3918"/>
      <c r="L421" s="3918"/>
      <c r="M421" s="3953"/>
      <c r="O421" s="3952" t="s">
        <v>1133</v>
      </c>
      <c r="P421" s="3918"/>
      <c r="Q421" s="3918"/>
      <c r="R421" s="3953"/>
      <c r="T421" s="3952" t="s">
        <v>1134</v>
      </c>
      <c r="U421" s="3918"/>
      <c r="V421" s="3918"/>
      <c r="W421" s="3953"/>
      <c r="Y421" s="3917"/>
      <c r="Z421" s="3918"/>
      <c r="AA421" s="3918"/>
      <c r="AB421" s="3919"/>
      <c r="AC421" s="4285"/>
      <c r="AD421" s="3917"/>
      <c r="AE421" s="3918"/>
      <c r="AF421" s="3918"/>
      <c r="AG421" s="3919"/>
      <c r="AH421" s="3920"/>
      <c r="AI421" s="3367"/>
    </row>
    <row r="422" ht="20.25" customHeight="1">
      <c r="A422" s="3361"/>
      <c r="B422" s="3911"/>
      <c r="C422" s="3927"/>
      <c r="D422" s="3917"/>
      <c r="E422" s="3954" t="s">
        <v>473</v>
      </c>
      <c r="F422" s="3955"/>
      <c r="G422" s="3956"/>
      <c r="H422" s="3957" t="str">
        <f>IMAGE("https://raw.githubusercontent.com/msikma/pokesprite/master/items/hold-item/assault-vest.png",3)</f>
        <v/>
      </c>
      <c r="J422" s="3954" t="s">
        <v>211</v>
      </c>
      <c r="K422" s="3955"/>
      <c r="L422" s="3956"/>
      <c r="M422" s="3957" t="str">
        <f>IMAGE("https://raw.githubusercontent.com/msikma/pokesprite/master/items/hold-item/eviolite.png",3)</f>
        <v/>
      </c>
      <c r="O422" s="3954" t="s">
        <v>335</v>
      </c>
      <c r="P422" s="3955"/>
      <c r="Q422" s="3956"/>
      <c r="R422" s="3957" t="str">
        <f>IMAGE("https://raw.githubusercontent.com/msikma/pokesprite/master/items/hold-item/choice-scarf.png",3)</f>
        <v/>
      </c>
      <c r="T422" s="3954" t="s">
        <v>1135</v>
      </c>
      <c r="U422" s="3955"/>
      <c r="V422" s="3956"/>
      <c r="W422" s="3957" t="str">
        <f>IMAGE("https://raw.githubusercontent.com/msikma/pokesprite/master/items/mega-stone/altarianite.png",3)</f>
        <v/>
      </c>
      <c r="Y422" s="3917"/>
      <c r="Z422" s="3918"/>
      <c r="AA422" s="3918"/>
      <c r="AB422" s="3919"/>
      <c r="AC422" s="4285"/>
      <c r="AD422" s="3917"/>
      <c r="AE422" s="3918"/>
      <c r="AF422" s="3918"/>
      <c r="AG422" s="3919"/>
      <c r="AH422" s="3920"/>
      <c r="AI422" s="3367"/>
    </row>
    <row r="423" ht="20.25" customHeight="1">
      <c r="A423" s="3361"/>
      <c r="B423" s="3911"/>
      <c r="C423" s="3958"/>
      <c r="D423" s="3917"/>
      <c r="E423" s="3948" t="s">
        <v>376</v>
      </c>
      <c r="F423" s="3949"/>
      <c r="G423" s="3959"/>
      <c r="H423" s="3960" t="str">
        <f>IMAGE("https://raw.githubusercontent.com/msikma/pokesprite/master/misc/types/gen8/grass.png",4,20,20)</f>
        <v/>
      </c>
      <c r="J423" s="3948" t="s">
        <v>252</v>
      </c>
      <c r="K423" s="3949"/>
      <c r="L423" s="3959"/>
      <c r="M423" s="3960" t="str">
        <f>IMAGE("https://raw.githubusercontent.com/msikma/pokesprite/master/misc/types/gen8/electric.png",4,20,20)</f>
        <v/>
      </c>
      <c r="O423" s="3948" t="s">
        <v>785</v>
      </c>
      <c r="P423" s="3949"/>
      <c r="Q423" s="3959"/>
      <c r="R423" s="3960" t="str">
        <f>IMAGE("https://raw.githubusercontent.com/msikma/pokesprite/master/misc/types/gen8/fire.png",4,20,20)</f>
        <v/>
      </c>
      <c r="T423" s="3948" t="s">
        <v>785</v>
      </c>
      <c r="U423" s="3949"/>
      <c r="V423" s="3959"/>
      <c r="W423" s="3960" t="str">
        <f>IMAGE("https://raw.githubusercontent.com/msikma/pokesprite/master/misc/types/gen8/fire.png",4,20,20)</f>
        <v/>
      </c>
      <c r="Y423" s="3917"/>
      <c r="Z423" s="3918"/>
      <c r="AA423" s="3918"/>
      <c r="AB423" s="3919"/>
      <c r="AC423" s="4285"/>
      <c r="AD423" s="3917"/>
      <c r="AE423" s="3918"/>
      <c r="AF423" s="3918"/>
      <c r="AG423" s="3919"/>
      <c r="AH423" s="3920"/>
      <c r="AI423" s="3367"/>
    </row>
    <row r="424" ht="20.25" customHeight="1">
      <c r="A424" s="3361"/>
      <c r="B424" s="3911"/>
      <c r="C424" s="3944"/>
      <c r="D424" s="3917"/>
      <c r="E424" s="3952" t="s">
        <v>287</v>
      </c>
      <c r="F424" s="3918"/>
      <c r="G424" s="3919"/>
      <c r="H424" s="3961" t="str">
        <f>IMAGE("https://raw.githubusercontent.com/msikma/pokesprite/master/misc/types/gen8/fire.png",4,20,20)</f>
        <v/>
      </c>
      <c r="J424" s="3952" t="s">
        <v>719</v>
      </c>
      <c r="K424" s="3918"/>
      <c r="L424" s="3919"/>
      <c r="M424" s="3961" t="str">
        <f>IMAGE("https://raw.githubusercontent.com/msikma/pokesprite/master/misc/types/gen8/fighting.png",4,20,20)</f>
        <v/>
      </c>
      <c r="O424" s="3952" t="s">
        <v>376</v>
      </c>
      <c r="P424" s="3918"/>
      <c r="Q424" s="3919"/>
      <c r="R424" s="3961" t="str">
        <f>IMAGE("https://raw.githubusercontent.com/msikma/pokesprite/master/misc/types/gen8/grass.png",4,20,20)</f>
        <v/>
      </c>
      <c r="T424" s="3952" t="s">
        <v>311</v>
      </c>
      <c r="U424" s="3918"/>
      <c r="V424" s="3919"/>
      <c r="W424" s="3961" t="str">
        <f>IMAGE("https://raw.githubusercontent.com/msikma/pokesprite/master/misc/types/gen8/fairy.png",4,20,20)</f>
        <v/>
      </c>
      <c r="Y424" s="3917"/>
      <c r="Z424" s="3918"/>
      <c r="AA424" s="3918"/>
      <c r="AB424" s="3919"/>
      <c r="AC424" s="4285"/>
      <c r="AD424" s="3917"/>
      <c r="AE424" s="3918"/>
      <c r="AF424" s="3918"/>
      <c r="AG424" s="3919"/>
      <c r="AH424" s="3920"/>
      <c r="AI424" s="3367"/>
    </row>
    <row r="425" ht="20.25" customHeight="1">
      <c r="A425" s="3361"/>
      <c r="B425" s="3911"/>
      <c r="C425" s="3944"/>
      <c r="D425" s="3917"/>
      <c r="E425" s="3952" t="s">
        <v>280</v>
      </c>
      <c r="F425" s="3918"/>
      <c r="G425" s="3919"/>
      <c r="H425" s="3961" t="str">
        <f>IMAGE("https://raw.githubusercontent.com/msikma/pokesprite/master/misc/types/gen8/poison.png",4,20,20)</f>
        <v/>
      </c>
      <c r="J425" s="3952" t="s">
        <v>313</v>
      </c>
      <c r="K425" s="3918"/>
      <c r="L425" s="3919"/>
      <c r="M425" s="3961" t="str">
        <f>IMAGE("https://raw.githubusercontent.com/msikma/pokesprite/master/misc/types/gen8/psychic.png",4,20,20)</f>
        <v/>
      </c>
      <c r="O425" s="3952" t="s">
        <v>318</v>
      </c>
      <c r="P425" s="3918"/>
      <c r="Q425" s="3919"/>
      <c r="R425" s="3961" t="str">
        <f>IMAGE("https://raw.githubusercontent.com/msikma/pokesprite/master/misc/types/gen8/ghost.png",4,20,20)</f>
        <v/>
      </c>
      <c r="T425" s="3952" t="s">
        <v>251</v>
      </c>
      <c r="U425" s="3918"/>
      <c r="V425" s="3919"/>
      <c r="W425" s="3961" t="str">
        <f>IMAGE("https://raw.githubusercontent.com/msikma/pokesprite/master/misc/types/gen8/flying.png",4,20,20)</f>
        <v/>
      </c>
      <c r="Y425" s="3917"/>
      <c r="Z425" s="3918"/>
      <c r="AA425" s="3918"/>
      <c r="AB425" s="3919"/>
      <c r="AC425" s="4285"/>
      <c r="AD425" s="3917"/>
      <c r="AE425" s="3918"/>
      <c r="AF425" s="3918"/>
      <c r="AG425" s="3919"/>
      <c r="AH425" s="3920"/>
      <c r="AI425" s="3367"/>
    </row>
    <row r="426" ht="21.0" customHeight="1">
      <c r="A426" s="3361"/>
      <c r="B426" s="3911"/>
      <c r="C426" s="3944"/>
      <c r="D426" s="3917"/>
      <c r="E426" s="3962" t="s">
        <v>279</v>
      </c>
      <c r="F426" s="3963"/>
      <c r="G426" s="3964"/>
      <c r="H426" s="3965" t="str">
        <f>IMAGE("https://raw.githubusercontent.com/msikma/pokesprite/master/misc/types/gen8/dark.png",4,20,20)</f>
        <v/>
      </c>
      <c r="I426" s="4288"/>
      <c r="J426" s="3962" t="s">
        <v>1136</v>
      </c>
      <c r="K426" s="3963"/>
      <c r="L426" s="3964"/>
      <c r="M426" s="3965" t="str">
        <f>IMAGE("https://raw.githubusercontent.com/msikma/pokesprite/master/misc/types/gen8/normal.png",4,20,20)</f>
        <v/>
      </c>
      <c r="N426" s="4288"/>
      <c r="O426" s="3962" t="s">
        <v>1084</v>
      </c>
      <c r="P426" s="3963"/>
      <c r="Q426" s="3964"/>
      <c r="R426" s="3965" t="str">
        <f>IMAGE("https://raw.githubusercontent.com/msikma/pokesprite/master/misc/types/gen8/psychic.png",4,20,20)</f>
        <v/>
      </c>
      <c r="S426" s="4288"/>
      <c r="T426" s="3962" t="s">
        <v>402</v>
      </c>
      <c r="U426" s="3963"/>
      <c r="V426" s="3964"/>
      <c r="W426" s="3965" t="str">
        <f>IMAGE("https://raw.githubusercontent.com/msikma/pokesprite/master/misc/types/gen8/ground.png",4,20,20)</f>
        <v/>
      </c>
      <c r="X426" s="4288"/>
      <c r="Y426" s="3917"/>
      <c r="Z426" s="3918"/>
      <c r="AA426" s="3918"/>
      <c r="AB426" s="3919"/>
      <c r="AC426" s="4290"/>
      <c r="AD426" s="3917"/>
      <c r="AE426" s="3918"/>
      <c r="AF426" s="3918"/>
      <c r="AG426" s="3919"/>
      <c r="AH426" s="3920"/>
      <c r="AI426" s="3367"/>
    </row>
    <row r="427" ht="3.0" customHeight="1">
      <c r="A427" s="3445"/>
      <c r="B427" s="3966"/>
      <c r="C427" s="3967"/>
      <c r="D427" s="3968"/>
      <c r="E427" s="4292"/>
      <c r="F427" s="4292"/>
      <c r="G427" s="4292"/>
      <c r="H427" s="3969"/>
      <c r="I427" s="3968"/>
      <c r="J427" s="4292"/>
      <c r="K427" s="4292"/>
      <c r="L427" s="4292"/>
      <c r="M427" s="4291"/>
      <c r="N427" s="3968"/>
      <c r="O427" s="4291"/>
      <c r="P427" s="4291"/>
      <c r="Q427" s="4291"/>
      <c r="R427" s="4291"/>
      <c r="S427" s="3969"/>
      <c r="T427" s="4292"/>
      <c r="U427" s="4292"/>
      <c r="V427" s="4292"/>
      <c r="W427" s="4291"/>
      <c r="X427" s="3968"/>
      <c r="Y427" s="3972"/>
      <c r="Z427" s="3972"/>
      <c r="AA427" s="3972"/>
      <c r="AB427" s="3972"/>
      <c r="AC427" s="3972"/>
      <c r="AD427" s="3972"/>
      <c r="AE427" s="3972"/>
      <c r="AF427" s="3972"/>
      <c r="AG427" s="3972"/>
      <c r="AH427" s="3973"/>
      <c r="AI427" s="3456"/>
    </row>
    <row r="428" ht="16.5" customHeight="1">
      <c r="A428" s="3457"/>
      <c r="B428" s="3974"/>
      <c r="C428" s="3967"/>
      <c r="D428" s="3978"/>
      <c r="E428" s="3976" t="s">
        <v>190</v>
      </c>
      <c r="F428" s="381"/>
      <c r="G428" s="382"/>
      <c r="H428" s="3977" t="s">
        <v>191</v>
      </c>
      <c r="I428" s="3978"/>
      <c r="J428" s="3976" t="s">
        <v>190</v>
      </c>
      <c r="K428" s="381"/>
      <c r="L428" s="382"/>
      <c r="M428" s="3977" t="s">
        <v>191</v>
      </c>
      <c r="N428" s="3975"/>
      <c r="O428" s="3976" t="s">
        <v>190</v>
      </c>
      <c r="P428" s="381"/>
      <c r="Q428" s="382"/>
      <c r="R428" s="3977" t="s">
        <v>191</v>
      </c>
      <c r="S428" s="4293"/>
      <c r="T428" s="3976" t="s">
        <v>190</v>
      </c>
      <c r="U428" s="381"/>
      <c r="V428" s="382"/>
      <c r="W428" s="3977" t="s">
        <v>191</v>
      </c>
      <c r="X428" s="4749"/>
      <c r="Y428" s="3981"/>
      <c r="Z428" s="3981"/>
      <c r="AA428" s="3981"/>
      <c r="AB428" s="3981"/>
      <c r="AC428" s="3981"/>
      <c r="AD428" s="3981"/>
      <c r="AE428" s="3981"/>
      <c r="AF428" s="3981"/>
      <c r="AG428" s="3981"/>
      <c r="AH428" s="3982"/>
      <c r="AI428" s="3466"/>
    </row>
    <row r="429" ht="16.5" customHeight="1">
      <c r="A429" s="3457"/>
      <c r="B429" s="3974"/>
      <c r="C429" s="3967"/>
      <c r="D429" s="3975"/>
      <c r="E429" s="3983" t="s">
        <v>192</v>
      </c>
      <c r="F429" s="3984">
        <f t="array" ref="F429">IFERROR(VLOOKUP(E416,Dex!$B$3:$N1022,8,FALSE),"")</f>
        <v>100</v>
      </c>
      <c r="G429" s="3985" t="str">
        <f t="array" ref="G429">IFERROR(VLOOKUP(F429,Dex!$P$22:$Q$276,2,FALSE),"")</f>
        <v/>
      </c>
      <c r="H429" s="3986"/>
      <c r="I429" s="3975"/>
      <c r="J429" s="3983" t="s">
        <v>192</v>
      </c>
      <c r="K429" s="3984">
        <f t="array" ref="K429">IFERROR(VLOOKUP(J416,Dex!$B$3:$N1022,8,FALSE),"")</f>
        <v>250</v>
      </c>
      <c r="L429" s="3985" t="str">
        <f t="array" ref="L429">IFERROR(VLOOKUP(K429,Dex!$P$22:$Q$276,2,FALSE),"")</f>
        <v/>
      </c>
      <c r="M429" s="3986">
        <v>252.0</v>
      </c>
      <c r="N429" s="3975"/>
      <c r="O429" s="3983" t="s">
        <v>192</v>
      </c>
      <c r="P429" s="3984">
        <f t="array" ref="P429">IFERROR(VLOOKUP(O416,Dex!$B$3:$N1022,8,FALSE),"")</f>
        <v>60</v>
      </c>
      <c r="Q429" s="3985" t="str">
        <f t="array" ref="Q429">IFERROR(VLOOKUP(P429,Dex!$P$22:$Q$276,2,FALSE),"")</f>
        <v/>
      </c>
      <c r="R429" s="3986"/>
      <c r="S429" s="3987"/>
      <c r="T429" s="3983" t="s">
        <v>192</v>
      </c>
      <c r="U429" s="3984">
        <f t="array" ref="U429">IFERROR(VLOOKUP(T416,Dex!$B$3:$N1022,8,FALSE),"")</f>
        <v>85</v>
      </c>
      <c r="V429" s="3985" t="str">
        <f t="array" ref="V429">IFERROR(VLOOKUP(U429,Dex!$P$22:$Q$276,2,FALSE),"")</f>
        <v/>
      </c>
      <c r="W429" s="3986">
        <v>252.0</v>
      </c>
      <c r="X429" s="3981"/>
      <c r="Y429" s="3981"/>
      <c r="Z429" s="3981"/>
      <c r="AA429" s="3981"/>
      <c r="AB429" s="3981"/>
      <c r="AC429" s="3981"/>
      <c r="AD429" s="3981"/>
      <c r="AE429" s="3981"/>
      <c r="AF429" s="3981"/>
      <c r="AG429" s="3981"/>
      <c r="AH429" s="3982"/>
      <c r="AI429" s="3466"/>
    </row>
    <row r="430" ht="16.5" customHeight="1">
      <c r="A430" s="3457"/>
      <c r="B430" s="3974"/>
      <c r="C430" s="3967"/>
      <c r="D430" s="3975"/>
      <c r="E430" s="3989" t="s">
        <v>193</v>
      </c>
      <c r="F430" s="3990">
        <f t="array" ref="F430">IFERROR(VLOOKUP(E416,Dex!$B$3:$N1022,9,FALSE),"")</f>
        <v>100</v>
      </c>
      <c r="G430" s="3991" t="str">
        <f t="array" ref="G430">IFERROR(VLOOKUP(F430,Dex!$P$22:$Q$276,2,FALSE),"")</f>
        <v/>
      </c>
      <c r="H430" s="3992"/>
      <c r="I430" s="3975"/>
      <c r="J430" s="3989" t="s">
        <v>193</v>
      </c>
      <c r="K430" s="3990">
        <f t="array" ref="K430">IFERROR(VLOOKUP(J416,Dex!$B$3:$N1022,9,FALSE),"")</f>
        <v>5</v>
      </c>
      <c r="L430" s="3991" t="str">
        <f t="array" ref="L430">IFERROR(VLOOKUP(K430,Dex!$P$22:$Q$276,2,FALSE),"")</f>
        <v/>
      </c>
      <c r="M430" s="3992"/>
      <c r="N430" s="3975"/>
      <c r="O430" s="3989" t="s">
        <v>193</v>
      </c>
      <c r="P430" s="3990">
        <f t="array" ref="P430">IFERROR(VLOOKUP(O416,Dex!$B$3:$N1022,9,FALSE),"")</f>
        <v>55</v>
      </c>
      <c r="Q430" s="3991" t="str">
        <f t="array" ref="Q430">IFERROR(VLOOKUP(P430,Dex!$P$22:$Q$276,2,FALSE),"")</f>
        <v/>
      </c>
      <c r="R430" s="3992"/>
      <c r="S430" s="3987"/>
      <c r="T430" s="3989" t="s">
        <v>193</v>
      </c>
      <c r="U430" s="3990">
        <f t="array" ref="U430">IFERROR(VLOOKUP(T416,Dex!$B$3:$N1022,9,FALSE),"")</f>
        <v>110</v>
      </c>
      <c r="V430" s="3991" t="str">
        <f t="array" ref="V430">IFERROR(VLOOKUP(U430,Dex!$P$22:$Q$276,2,FALSE),"")</f>
        <v/>
      </c>
      <c r="W430" s="3992"/>
      <c r="X430" s="3981"/>
      <c r="Y430" s="3981"/>
      <c r="Z430" s="3981"/>
      <c r="AA430" s="3981"/>
      <c r="AB430" s="3981"/>
      <c r="AC430" s="3981"/>
      <c r="AD430" s="3981"/>
      <c r="AE430" s="3981"/>
      <c r="AF430" s="3981"/>
      <c r="AG430" s="3981"/>
      <c r="AH430" s="3982"/>
      <c r="AI430" s="3466"/>
    </row>
    <row r="431" ht="16.5" customHeight="1">
      <c r="A431" s="3457"/>
      <c r="B431" s="3974"/>
      <c r="C431" s="3967"/>
      <c r="D431" s="3975"/>
      <c r="E431" s="3989" t="s">
        <v>194</v>
      </c>
      <c r="F431" s="3990">
        <f t="array" ref="F431">IFERROR(VLOOKUP(E416,Dex!$B$3:$N1022,10,FALSE),"")</f>
        <v>125</v>
      </c>
      <c r="G431" s="3991" t="str">
        <f t="array" ref="G431">IFERROR(VLOOKUP(F431,Dex!$P$22:$Q$276,2,FALSE),"")</f>
        <v/>
      </c>
      <c r="H431" s="3992"/>
      <c r="I431" s="3975"/>
      <c r="J431" s="3989" t="s">
        <v>194</v>
      </c>
      <c r="K431" s="3990">
        <f t="array" ref="K431">IFERROR(VLOOKUP(J416,Dex!$B$3:$N1022,10,FALSE),"")</f>
        <v>5</v>
      </c>
      <c r="L431" s="3991" t="str">
        <f t="array" ref="L431">IFERROR(VLOOKUP(K431,Dex!$P$22:$Q$276,2,FALSE),"")</f>
        <v/>
      </c>
      <c r="M431" s="3992">
        <v>252.0</v>
      </c>
      <c r="N431" s="3975"/>
      <c r="O431" s="3989" t="s">
        <v>194</v>
      </c>
      <c r="P431" s="3990">
        <f t="array" ref="P431">IFERROR(VLOOKUP(O416,Dex!$B$3:$N1022,10,FALSE),"")</f>
        <v>90</v>
      </c>
      <c r="Q431" s="3991" t="str">
        <f t="array" ref="Q431">IFERROR(VLOOKUP(P431,Dex!$P$22:$Q$276,2,FALSE),"")</f>
        <v/>
      </c>
      <c r="R431" s="3992">
        <v>4.0</v>
      </c>
      <c r="S431" s="3987"/>
      <c r="T431" s="3989" t="s">
        <v>194</v>
      </c>
      <c r="U431" s="3990">
        <f t="array" ref="U431">IFERROR(VLOOKUP(T416,Dex!$B$3:$N1022,10,FALSE),"")</f>
        <v>110</v>
      </c>
      <c r="V431" s="3991" t="str">
        <f t="array" ref="V431">IFERROR(VLOOKUP(U431,Dex!$P$22:$Q$276,2,FALSE),"")</f>
        <v/>
      </c>
      <c r="W431" s="3992">
        <v>252.0</v>
      </c>
      <c r="X431" s="3981"/>
      <c r="Y431" s="3981"/>
      <c r="Z431" s="3981"/>
      <c r="AA431" s="3981"/>
      <c r="AB431" s="3981"/>
      <c r="AC431" s="3981"/>
      <c r="AD431" s="3981"/>
      <c r="AE431" s="3981"/>
      <c r="AF431" s="3981"/>
      <c r="AG431" s="3981"/>
      <c r="AH431" s="3982"/>
      <c r="AI431" s="3466"/>
    </row>
    <row r="432" ht="16.5" customHeight="1">
      <c r="A432" s="3457"/>
      <c r="B432" s="3974"/>
      <c r="C432" s="3967"/>
      <c r="D432" s="3975"/>
      <c r="E432" s="3989" t="s">
        <v>195</v>
      </c>
      <c r="F432" s="3990">
        <f t="array" ref="F432">IFERROR(VLOOKUP(E416,Dex!$B$3:$N1022,11,FALSE),"")</f>
        <v>110</v>
      </c>
      <c r="G432" s="3991" t="str">
        <f t="array" ref="G432">IFERROR(VLOOKUP(F432,Dex!$P$22:$Q$276,2,FALSE),"")</f>
        <v/>
      </c>
      <c r="H432" s="3992">
        <v>252.0</v>
      </c>
      <c r="I432" s="3975"/>
      <c r="J432" s="3989" t="s">
        <v>195</v>
      </c>
      <c r="K432" s="3990">
        <f t="array" ref="K432">IFERROR(VLOOKUP(J416,Dex!$B$3:$N1022,11,FALSE),"")</f>
        <v>35</v>
      </c>
      <c r="L432" s="3991" t="str">
        <f t="array" ref="L432">IFERROR(VLOOKUP(K432,Dex!$P$22:$Q$276,2,FALSE),"")</f>
        <v/>
      </c>
      <c r="M432" s="3992"/>
      <c r="N432" s="3975"/>
      <c r="O432" s="3989" t="s">
        <v>195</v>
      </c>
      <c r="P432" s="3990">
        <f t="array" ref="P432">IFERROR(VLOOKUP(O416,Dex!$B$3:$N1022,11,FALSE),"")</f>
        <v>145</v>
      </c>
      <c r="Q432" s="3991" t="str">
        <f t="array" ref="Q432">IFERROR(VLOOKUP(P432,Dex!$P$22:$Q$276,2,FALSE),"")</f>
        <v/>
      </c>
      <c r="R432" s="3992">
        <v>252.0</v>
      </c>
      <c r="S432" s="3987"/>
      <c r="T432" s="3989" t="s">
        <v>195</v>
      </c>
      <c r="U432" s="3990">
        <f t="array" ref="U432">IFERROR(VLOOKUP(T416,Dex!$B$3:$N1022,11,FALSE),"")</f>
        <v>110</v>
      </c>
      <c r="V432" s="3991" t="str">
        <f t="array" ref="V432">IFERROR(VLOOKUP(U432,Dex!$P$22:$Q$276,2,FALSE),"")</f>
        <v/>
      </c>
      <c r="W432" s="3992">
        <v>4.0</v>
      </c>
      <c r="X432" s="3981"/>
      <c r="Y432" s="3981"/>
      <c r="Z432" s="3981"/>
      <c r="AA432" s="3981"/>
      <c r="AB432" s="3981"/>
      <c r="AC432" s="3981"/>
      <c r="AD432" s="3981"/>
      <c r="AE432" s="3981"/>
      <c r="AF432" s="3981"/>
      <c r="AG432" s="3981"/>
      <c r="AH432" s="3982"/>
      <c r="AI432" s="3466"/>
    </row>
    <row r="433" ht="16.5" customHeight="1">
      <c r="A433" s="3457"/>
      <c r="B433" s="3974"/>
      <c r="C433" s="3967"/>
      <c r="D433" s="3975"/>
      <c r="E433" s="3989" t="s">
        <v>196</v>
      </c>
      <c r="F433" s="3990">
        <f t="array" ref="F433">IFERROR(VLOOKUP(E416,Dex!$B$3:$N1022,12,FALSE),"")</f>
        <v>50</v>
      </c>
      <c r="G433" s="3991" t="str">
        <f t="array" ref="G433">IFERROR(VLOOKUP(F433,Dex!$P$22:$Q$276,2,FALSE),"")</f>
        <v/>
      </c>
      <c r="H433" s="3992"/>
      <c r="I433" s="3975"/>
      <c r="J433" s="3989" t="s">
        <v>196</v>
      </c>
      <c r="K433" s="3990">
        <f t="array" ref="K433">IFERROR(VLOOKUP(J416,Dex!$B$3:$N1022,12,FALSE),"")</f>
        <v>105</v>
      </c>
      <c r="L433" s="3991" t="str">
        <f t="array" ref="L433">IFERROR(VLOOKUP(K433,Dex!$P$22:$Q$276,2,FALSE),"")</f>
        <v/>
      </c>
      <c r="M433" s="3992">
        <v>4.0</v>
      </c>
      <c r="N433" s="3975"/>
      <c r="O433" s="3989" t="s">
        <v>196</v>
      </c>
      <c r="P433" s="3990">
        <f t="array" ref="P433">IFERROR(VLOOKUP(O416,Dex!$B$3:$N1022,12,FALSE),"")</f>
        <v>90</v>
      </c>
      <c r="Q433" s="3991" t="str">
        <f t="array" ref="Q433">IFERROR(VLOOKUP(P433,Dex!$P$22:$Q$276,2,FALSE),"")</f>
        <v/>
      </c>
      <c r="R433" s="3992"/>
      <c r="S433" s="3987"/>
      <c r="T433" s="3989" t="s">
        <v>196</v>
      </c>
      <c r="U433" s="3990">
        <f t="array" ref="U433">IFERROR(VLOOKUP(T416,Dex!$B$3:$N1022,12,FALSE),"")</f>
        <v>105</v>
      </c>
      <c r="V433" s="3991" t="str">
        <f t="array" ref="V433">IFERROR(VLOOKUP(U433,Dex!$P$22:$Q$276,2,FALSE),"")</f>
        <v/>
      </c>
      <c r="W433" s="3992"/>
      <c r="X433" s="3981"/>
      <c r="Y433" s="3981"/>
      <c r="Z433" s="3981"/>
      <c r="AA433" s="3981"/>
      <c r="AB433" s="3981"/>
      <c r="AC433" s="3981"/>
      <c r="AD433" s="3981"/>
      <c r="AE433" s="3981"/>
      <c r="AF433" s="3981"/>
      <c r="AG433" s="3981"/>
      <c r="AH433" s="3982"/>
      <c r="AI433" s="3466"/>
    </row>
    <row r="434" ht="16.5" customHeight="1">
      <c r="A434" s="3457"/>
      <c r="B434" s="3974"/>
      <c r="C434" s="1204" t="s">
        <v>436</v>
      </c>
      <c r="D434" s="3975"/>
      <c r="E434" s="3995" t="s">
        <v>197</v>
      </c>
      <c r="F434" s="3996">
        <f t="array" ref="F434">IFERROR(VLOOKUP(E416,Dex!$B$3:$N1022,13,FALSE),"")</f>
        <v>50</v>
      </c>
      <c r="G434" s="3997" t="str">
        <f t="array" ref="G434">IFERROR(VLOOKUP(F434,Dex!$P$22:$Q$276,2,FALSE),"")</f>
        <v/>
      </c>
      <c r="H434" s="3998">
        <v>252.0</v>
      </c>
      <c r="I434" s="3975"/>
      <c r="J434" s="3995" t="s">
        <v>197</v>
      </c>
      <c r="K434" s="3996">
        <f t="array" ref="K434">IFERROR(VLOOKUP(J416,Dex!$B$3:$N1022,13,FALSE),"")</f>
        <v>50</v>
      </c>
      <c r="L434" s="3997" t="str">
        <f t="array" ref="L434">IFERROR(VLOOKUP(K434,Dex!$P$22:$Q$276,2,FALSE),"")</f>
        <v/>
      </c>
      <c r="M434" s="3998"/>
      <c r="N434" s="3975"/>
      <c r="O434" s="3995" t="s">
        <v>197</v>
      </c>
      <c r="P434" s="3996">
        <f t="array" ref="P434">IFERROR(VLOOKUP(O416,Dex!$B$3:$N1022,13,FALSE),"")</f>
        <v>80</v>
      </c>
      <c r="Q434" s="3997" t="str">
        <f t="array" ref="Q434">IFERROR(VLOOKUP(P434,Dex!$P$22:$Q$276,2,FALSE),"")</f>
        <v/>
      </c>
      <c r="R434" s="3998">
        <v>252.0</v>
      </c>
      <c r="S434" s="3987"/>
      <c r="T434" s="3995" t="s">
        <v>197</v>
      </c>
      <c r="U434" s="3996">
        <f t="array" ref="U434">IFERROR(VLOOKUP(T416,Dex!$B$3:$N1022,13,FALSE),"")</f>
        <v>80</v>
      </c>
      <c r="V434" s="3997" t="str">
        <f t="array" ref="V434">IFERROR(VLOOKUP(U434,Dex!$P$22:$Q$276,2,FALSE),"")</f>
        <v/>
      </c>
      <c r="W434" s="3998"/>
      <c r="X434" s="3981"/>
      <c r="Y434" s="3981"/>
      <c r="Z434" s="3981"/>
      <c r="AA434" s="3981"/>
      <c r="AB434" s="3981"/>
      <c r="AC434" s="3981"/>
      <c r="AD434" s="3981"/>
      <c r="AE434" s="3981"/>
      <c r="AF434" s="3981"/>
      <c r="AG434" s="3981"/>
      <c r="AH434" s="3982"/>
      <c r="AI434" s="3466"/>
    </row>
    <row r="435" ht="16.5" customHeight="1">
      <c r="A435" s="3457"/>
      <c r="B435" s="3974"/>
      <c r="C435" s="1205" t="s">
        <v>437</v>
      </c>
      <c r="D435" s="3978"/>
      <c r="E435" s="4294" t="s">
        <v>198</v>
      </c>
      <c r="F435" s="918"/>
      <c r="G435" s="919"/>
      <c r="H435" s="4295">
        <v>138.0</v>
      </c>
      <c r="I435" s="3978"/>
      <c r="J435" s="3999" t="s">
        <v>198</v>
      </c>
      <c r="K435" s="405"/>
      <c r="L435" s="406"/>
      <c r="M435" s="4000">
        <v>87.0</v>
      </c>
      <c r="N435" s="3978"/>
      <c r="O435" s="4294" t="s">
        <v>198</v>
      </c>
      <c r="P435" s="918"/>
      <c r="Q435" s="919"/>
      <c r="R435" s="4295">
        <v>181.0</v>
      </c>
      <c r="S435" s="4296"/>
      <c r="T435" s="3999" t="s">
        <v>198</v>
      </c>
      <c r="U435" s="405"/>
      <c r="V435" s="406"/>
      <c r="W435" s="4000">
        <v>125.0</v>
      </c>
      <c r="X435" s="4749"/>
      <c r="Y435" s="3981"/>
      <c r="Z435" s="3981"/>
      <c r="AA435" s="3981"/>
      <c r="AB435" s="3981"/>
      <c r="AC435" s="3981"/>
      <c r="AD435" s="3981"/>
      <c r="AE435" s="3981"/>
      <c r="AF435" s="3981"/>
      <c r="AG435" s="3981"/>
      <c r="AH435" s="3982"/>
      <c r="AI435" s="3466"/>
    </row>
    <row r="436" ht="16.5" customHeight="1">
      <c r="A436" s="3457"/>
      <c r="B436" s="4297"/>
      <c r="C436" s="4481"/>
      <c r="D436" s="4482"/>
      <c r="E436" s="4299" t="s">
        <v>381</v>
      </c>
      <c r="F436" s="925"/>
      <c r="G436" s="926"/>
      <c r="H436" s="4300">
        <v>276.0</v>
      </c>
      <c r="I436" s="4298"/>
      <c r="J436" s="4301"/>
      <c r="K436" s="4302"/>
      <c r="L436" s="4302"/>
      <c r="M436" s="4303"/>
      <c r="N436" s="4298"/>
      <c r="O436" s="4299" t="s">
        <v>348</v>
      </c>
      <c r="P436" s="925"/>
      <c r="Q436" s="926"/>
      <c r="R436" s="4300">
        <v>271.0</v>
      </c>
      <c r="S436" s="4304"/>
      <c r="T436" s="4301"/>
      <c r="U436" s="4302"/>
      <c r="V436" s="4302"/>
      <c r="W436" s="4303"/>
      <c r="X436" s="4303"/>
      <c r="Y436" s="4301"/>
      <c r="Z436" s="4302"/>
      <c r="AA436" s="4302"/>
      <c r="AB436" s="4303"/>
      <c r="AC436" s="4303"/>
      <c r="AD436" s="4303"/>
      <c r="AE436" s="4303"/>
      <c r="AF436" s="4303"/>
      <c r="AG436" s="4303"/>
      <c r="AH436" s="4305"/>
      <c r="AI436" s="3466"/>
    </row>
    <row r="437" ht="15.0" customHeight="1">
      <c r="A437" s="3361"/>
      <c r="B437" s="4001"/>
      <c r="C437" s="4002"/>
      <c r="D437" s="4003"/>
      <c r="E437" s="4006"/>
      <c r="F437" s="4006"/>
      <c r="G437" s="4006"/>
      <c r="H437" s="4004"/>
      <c r="I437" s="4005"/>
      <c r="J437" s="4004"/>
      <c r="K437" s="4004"/>
      <c r="L437" s="4004"/>
      <c r="M437" s="4004"/>
      <c r="N437" s="4005"/>
      <c r="O437" s="4004"/>
      <c r="P437" s="4004"/>
      <c r="Q437" s="4004"/>
      <c r="R437" s="4004"/>
      <c r="S437" s="4003"/>
      <c r="T437" s="4003"/>
      <c r="U437" s="4003"/>
      <c r="V437" s="4003"/>
      <c r="W437" s="4003"/>
      <c r="X437" s="4003"/>
      <c r="Y437" s="4003"/>
      <c r="Z437" s="4003"/>
      <c r="AA437" s="4003"/>
      <c r="AB437" s="4003"/>
      <c r="AC437" s="4003"/>
      <c r="AD437" s="4003"/>
      <c r="AE437" s="4003"/>
      <c r="AF437" s="4003"/>
      <c r="AG437" s="4003"/>
      <c r="AH437" s="4007"/>
      <c r="AI437" s="3367"/>
    </row>
    <row r="438" ht="15.0" customHeight="1">
      <c r="A438" s="3361"/>
      <c r="B438" s="4751"/>
      <c r="C438" s="4752"/>
      <c r="D438" s="4752"/>
      <c r="E438" s="4752"/>
      <c r="F438" s="4752"/>
      <c r="G438" s="4752"/>
      <c r="H438" s="4752"/>
      <c r="I438" s="4752"/>
      <c r="J438" s="4752"/>
      <c r="K438" s="4752"/>
      <c r="L438" s="4752"/>
      <c r="M438" s="4752"/>
      <c r="N438" s="4752"/>
      <c r="O438" s="4752"/>
      <c r="P438" s="4752"/>
      <c r="Q438" s="4752"/>
      <c r="R438" s="4752"/>
      <c r="S438" s="4752"/>
      <c r="T438" s="4752"/>
      <c r="U438" s="4752"/>
      <c r="V438" s="4752"/>
      <c r="W438" s="4752"/>
      <c r="X438" s="4752"/>
      <c r="Y438" s="4752"/>
      <c r="Z438" s="4752"/>
      <c r="AA438" s="4752"/>
      <c r="AB438" s="4752"/>
      <c r="AC438" s="4752"/>
      <c r="AD438" s="4752"/>
      <c r="AE438" s="4752"/>
      <c r="AF438" s="4752"/>
      <c r="AG438" s="4752"/>
      <c r="AH438" s="4753"/>
      <c r="AI438" s="3367"/>
    </row>
    <row r="439">
      <c r="A439" s="3361"/>
      <c r="B439" s="4754"/>
      <c r="C439" s="4755"/>
      <c r="D439" s="4756"/>
      <c r="E439" s="4757" t="s">
        <v>1137</v>
      </c>
      <c r="F439" s="4758"/>
      <c r="G439" s="4758"/>
      <c r="H439" s="4758"/>
      <c r="I439" s="4758"/>
      <c r="J439" s="4758"/>
      <c r="K439" s="4758"/>
      <c r="L439" s="4758"/>
      <c r="M439" s="4758"/>
      <c r="N439" s="4758"/>
      <c r="O439" s="4758"/>
      <c r="P439" s="4758"/>
      <c r="Q439" s="4758"/>
      <c r="R439" s="4758"/>
      <c r="S439" s="4758"/>
      <c r="T439" s="4758"/>
      <c r="U439" s="4758"/>
      <c r="V439" s="4758"/>
      <c r="W439" s="4758"/>
      <c r="X439" s="4758"/>
      <c r="Y439" s="4758"/>
      <c r="Z439" s="4758"/>
      <c r="AA439" s="4758"/>
      <c r="AB439" s="4758"/>
      <c r="AC439" s="4758"/>
      <c r="AD439" s="4758"/>
      <c r="AE439" s="4758"/>
      <c r="AF439" s="4758"/>
      <c r="AG439" s="4759"/>
      <c r="AH439" s="4760"/>
      <c r="AI439" s="3367"/>
    </row>
    <row r="440" ht="96.75" customHeight="1">
      <c r="A440" s="3361"/>
      <c r="B440" s="4761"/>
      <c r="C440" s="4762" t="str">
        <f>IMAGE("https://i.ibb.co/KLN8KG6/Beautys.png",2)</f>
        <v/>
      </c>
      <c r="D440" s="4763"/>
      <c r="E440" s="4764" t="str">
        <f t="array" ref="E440">IFERROR(VLOOKUP(E441,Dex!$B$3:$G1022,3,FALSE),"")</f>
        <v/>
      </c>
      <c r="F440" s="1830"/>
      <c r="G440" s="1830"/>
      <c r="H440" s="1831"/>
      <c r="I440" s="4756"/>
      <c r="J440" s="4764" t="str">
        <f t="array" ref="J440">IFERROR(VLOOKUP(J441,Dex!$B$3:$G1022,3,FALSE),"")</f>
        <v/>
      </c>
      <c r="K440" s="1830"/>
      <c r="L440" s="1830"/>
      <c r="M440" s="1831"/>
      <c r="N440" s="4756"/>
      <c r="O440" s="4764" t="str">
        <f t="array" ref="O440">IFERROR(VLOOKUP(O441,Dex!$B$3:$G1022,3,FALSE),"")</f>
        <v/>
      </c>
      <c r="P440" s="1830"/>
      <c r="Q440" s="1830"/>
      <c r="R440" s="1831"/>
      <c r="S440" s="4756"/>
      <c r="T440" s="4765" t="str">
        <f t="array" ref="T440">IFERROR(VLOOKUP(T441,Dex!$B$3:$G1022,3,FALSE),"")</f>
        <v/>
      </c>
      <c r="U440" s="1830"/>
      <c r="V440" s="1830"/>
      <c r="W440" s="1831"/>
      <c r="X440" s="4756"/>
      <c r="Y440" s="4765" t="str">
        <f t="array" ref="Y440">IFERROR(VLOOKUP(Y441,Dex!$B$3:$G1022,3,FALSE),"")</f>
        <v/>
      </c>
      <c r="Z440" s="1830"/>
      <c r="AA440" s="1830"/>
      <c r="AB440" s="1831"/>
      <c r="AC440" s="4766"/>
      <c r="AD440" s="4767"/>
      <c r="AE440" s="4768"/>
      <c r="AF440" s="4768"/>
      <c r="AG440" s="4769"/>
      <c r="AH440" s="4770"/>
      <c r="AI440" s="3367"/>
    </row>
    <row r="441" ht="18.75" customHeight="1">
      <c r="A441" s="3621"/>
      <c r="B441" s="4771"/>
      <c r="C441" s="4772" t="s">
        <v>1138</v>
      </c>
      <c r="D441" s="4773"/>
      <c r="E441" s="4774" t="s">
        <v>1139</v>
      </c>
      <c r="F441" s="4775"/>
      <c r="G441" s="4775"/>
      <c r="H441" s="4776"/>
      <c r="I441" s="4763"/>
      <c r="J441" s="4774" t="s">
        <v>1140</v>
      </c>
      <c r="K441" s="4775"/>
      <c r="L441" s="4775"/>
      <c r="M441" s="4776"/>
      <c r="N441" s="4763"/>
      <c r="O441" s="4774" t="s">
        <v>1141</v>
      </c>
      <c r="P441" s="4775"/>
      <c r="Q441" s="4775"/>
      <c r="R441" s="4776"/>
      <c r="S441" s="4763"/>
      <c r="T441" s="4777" t="s">
        <v>1142</v>
      </c>
      <c r="U441" s="4778"/>
      <c r="V441" s="4778"/>
      <c r="W441" s="4779"/>
      <c r="X441" s="4763"/>
      <c r="Y441" s="4780" t="s">
        <v>1143</v>
      </c>
      <c r="Z441" s="4781"/>
      <c r="AA441" s="4781"/>
      <c r="AB441" s="4782"/>
      <c r="AC441" s="4783"/>
      <c r="AD441" s="4784"/>
      <c r="AE441" s="4768"/>
      <c r="AF441" s="4768"/>
      <c r="AG441" s="4769"/>
      <c r="AH441" s="4785"/>
      <c r="AI441" s="3631"/>
    </row>
    <row r="442">
      <c r="A442" s="3632"/>
      <c r="B442" s="4786"/>
      <c r="C442" s="3030"/>
      <c r="D442" s="4787"/>
      <c r="E442" s="4788" t="s">
        <v>843</v>
      </c>
      <c r="F442" s="4789"/>
      <c r="G442" s="4789"/>
      <c r="H442" s="4790"/>
      <c r="I442" s="4773"/>
      <c r="J442" s="4788" t="s">
        <v>843</v>
      </c>
      <c r="K442" s="4789"/>
      <c r="L442" s="4789"/>
      <c r="M442" s="4790"/>
      <c r="N442" s="4773"/>
      <c r="O442" s="4788" t="s">
        <v>843</v>
      </c>
      <c r="P442" s="4789"/>
      <c r="Q442" s="4789"/>
      <c r="R442" s="4790"/>
      <c r="S442" s="4773"/>
      <c r="T442" s="4791" t="s">
        <v>843</v>
      </c>
      <c r="U442" s="4792"/>
      <c r="V442" s="4792"/>
      <c r="W442" s="4793"/>
      <c r="X442" s="4773"/>
      <c r="Y442" s="4794" t="s">
        <v>843</v>
      </c>
      <c r="Z442" s="4795"/>
      <c r="AA442" s="4795"/>
      <c r="AB442" s="4796"/>
      <c r="AC442" s="4783"/>
      <c r="AD442" s="4797"/>
      <c r="AE442" s="4768"/>
      <c r="AF442" s="4768"/>
      <c r="AG442" s="4769"/>
      <c r="AH442" s="4798"/>
      <c r="AI442" s="3640"/>
    </row>
    <row r="443" ht="25.5" customHeight="1">
      <c r="A443" s="3361"/>
      <c r="B443" s="4761"/>
      <c r="C443" s="3030"/>
      <c r="D443" s="4799"/>
      <c r="E443" s="4800"/>
      <c r="F443" s="4801" t="str">
        <f t="array" ref="F443">IFERROR(VLOOKUP(E441,Dex!$B$3:$H1022,5,FALSE),"")</f>
        <v/>
      </c>
      <c r="G443" s="4802"/>
      <c r="H443" s="4803"/>
      <c r="I443" s="4787"/>
      <c r="J443" s="4800"/>
      <c r="K443" s="4804" t="str">
        <f t="array" ref="K443">IFERROR(VLOOKUP(J441,Dex!$B$3:$H1022,5,FALSE),"")</f>
        <v/>
      </c>
      <c r="L443" s="4805" t="str">
        <f t="array" ref="L443">IFERROR(VLOOKUP(J441,Dex!$B$3:$H1022,7,FALSE),"")</f>
        <v/>
      </c>
      <c r="M443" s="4803"/>
      <c r="N443" s="4787"/>
      <c r="O443" s="4800"/>
      <c r="P443" s="4801" t="str">
        <f t="array" ref="P443">IFERROR(VLOOKUP(O441,Dex!$B$3:$H1022,5,FALSE),"")</f>
        <v/>
      </c>
      <c r="Q443" s="4802"/>
      <c r="R443" s="4803"/>
      <c r="S443" s="4787"/>
      <c r="T443" s="4806"/>
      <c r="U443" s="4807" t="str">
        <f t="array" ref="U443">IFERROR(VLOOKUP(T441,Dex!$B$3:$H1022,5,FALSE),"")</f>
        <v/>
      </c>
      <c r="V443" s="4808"/>
      <c r="W443" s="4809"/>
      <c r="X443" s="4787"/>
      <c r="Y443" s="4810"/>
      <c r="Z443" s="4807" t="str">
        <f t="array" ref="Z443">IFERROR(VLOOKUP(Y441,Dex!$B$3:$H1022,5,FALSE),"")</f>
        <v/>
      </c>
      <c r="AA443" s="4808"/>
      <c r="AB443" s="4811"/>
      <c r="AC443" s="4783"/>
      <c r="AD443" s="4812"/>
      <c r="AE443" s="4768"/>
      <c r="AF443" s="4768"/>
      <c r="AG443" s="4769"/>
      <c r="AH443" s="4770"/>
      <c r="AI443" s="3367"/>
    </row>
    <row r="444" ht="2.25" customHeight="1">
      <c r="A444" s="3361"/>
      <c r="B444" s="4761"/>
      <c r="C444" s="3030"/>
      <c r="D444" s="4799"/>
      <c r="E444" s="4813"/>
      <c r="F444" s="4814"/>
      <c r="G444" s="4814"/>
      <c r="H444" s="4815"/>
      <c r="I444" s="4799"/>
      <c r="J444" s="4813"/>
      <c r="K444" s="4814"/>
      <c r="L444" s="4814"/>
      <c r="M444" s="4815"/>
      <c r="N444" s="4799"/>
      <c r="O444" s="4813"/>
      <c r="P444" s="4814"/>
      <c r="Q444" s="4814"/>
      <c r="R444" s="4815"/>
      <c r="S444" s="4799"/>
      <c r="T444" s="4816"/>
      <c r="U444" s="4817"/>
      <c r="V444" s="4817"/>
      <c r="W444" s="4818"/>
      <c r="X444" s="4799"/>
      <c r="Y444" s="4816"/>
      <c r="Z444" s="4817"/>
      <c r="AA444" s="4817"/>
      <c r="AB444" s="4818"/>
      <c r="AC444" s="4783"/>
      <c r="AD444" s="4756"/>
      <c r="AE444" s="4756"/>
      <c r="AF444" s="4756"/>
      <c r="AG444" s="4756"/>
      <c r="AH444" s="4770"/>
      <c r="AI444" s="3367"/>
    </row>
    <row r="445" ht="20.25" customHeight="1">
      <c r="A445" s="3361"/>
      <c r="B445" s="4761"/>
      <c r="C445" s="3030"/>
      <c r="D445" s="4799"/>
      <c r="E445" s="4819" t="s">
        <v>172</v>
      </c>
      <c r="F445" s="4820"/>
      <c r="G445" s="4820"/>
      <c r="H445" s="4821"/>
      <c r="I445" s="4799"/>
      <c r="J445" s="4819" t="s">
        <v>264</v>
      </c>
      <c r="K445" s="4820"/>
      <c r="L445" s="4820"/>
      <c r="M445" s="4821"/>
      <c r="N445" s="4799"/>
      <c r="O445" s="4819" t="s">
        <v>231</v>
      </c>
      <c r="P445" s="4820"/>
      <c r="Q445" s="4820"/>
      <c r="R445" s="4821"/>
      <c r="S445" s="4799"/>
      <c r="T445" s="4822" t="s">
        <v>169</v>
      </c>
      <c r="U445" s="4823"/>
      <c r="V445" s="4823"/>
      <c r="W445" s="4824"/>
      <c r="X445" s="4799"/>
      <c r="Y445" s="4822" t="s">
        <v>172</v>
      </c>
      <c r="Z445" s="4823"/>
      <c r="AA445" s="4823"/>
      <c r="AB445" s="4824"/>
      <c r="AC445" s="4783"/>
      <c r="AD445" s="4767"/>
      <c r="AE445" s="4768"/>
      <c r="AF445" s="4768"/>
      <c r="AG445" s="4769"/>
      <c r="AH445" s="4770"/>
      <c r="AI445" s="3367"/>
    </row>
    <row r="446" ht="20.25" customHeight="1">
      <c r="A446" s="3361"/>
      <c r="B446" s="4761"/>
      <c r="C446" s="3045"/>
      <c r="D446" s="4799"/>
      <c r="E446" s="4825" t="s">
        <v>1144</v>
      </c>
      <c r="F446" s="4768"/>
      <c r="G446" s="4768"/>
      <c r="H446" s="4826"/>
      <c r="I446" s="4799"/>
      <c r="J446" s="4825" t="s">
        <v>359</v>
      </c>
      <c r="K446" s="4768"/>
      <c r="L446" s="4768"/>
      <c r="M446" s="4826"/>
      <c r="N446" s="4799"/>
      <c r="O446" s="4825" t="s">
        <v>1132</v>
      </c>
      <c r="P446" s="4768"/>
      <c r="Q446" s="4768"/>
      <c r="R446" s="4826"/>
      <c r="S446" s="4799"/>
      <c r="T446" s="4827" t="s">
        <v>551</v>
      </c>
      <c r="U446" s="4792"/>
      <c r="V446" s="4792"/>
      <c r="W446" s="4793"/>
      <c r="X446" s="4799"/>
      <c r="Y446" s="4827" t="s">
        <v>551</v>
      </c>
      <c r="Z446" s="4792"/>
      <c r="AA446" s="4792"/>
      <c r="AB446" s="4793"/>
      <c r="AC446" s="4783"/>
      <c r="AD446" s="4767"/>
      <c r="AE446" s="4768"/>
      <c r="AF446" s="4768"/>
      <c r="AG446" s="4769"/>
      <c r="AH446" s="4770"/>
      <c r="AI446" s="3367"/>
    </row>
    <row r="447" ht="20.25" customHeight="1">
      <c r="A447" s="3361"/>
      <c r="B447" s="4754"/>
      <c r="C447" s="4828"/>
      <c r="D447" s="4767"/>
      <c r="E447" s="4829" t="s">
        <v>240</v>
      </c>
      <c r="F447" s="4758"/>
      <c r="G447" s="4759"/>
      <c r="H447" s="4830" t="str">
        <f>IMAGE("https://raw.githubusercontent.com/msikma/pokesprite/master/items/hold-item/focus-sash.png",3)</f>
        <v/>
      </c>
      <c r="I447" s="4799"/>
      <c r="J447" s="4829" t="s">
        <v>213</v>
      </c>
      <c r="K447" s="4758"/>
      <c r="L447" s="4759"/>
      <c r="M447" s="4830" t="str">
        <f>IMAGE("https://raw.githubusercontent.com/msikma/pokesprite/master/items/berry/sitrus.png",3)</f>
        <v/>
      </c>
      <c r="N447" s="4799"/>
      <c r="O447" s="4829" t="s">
        <v>473</v>
      </c>
      <c r="P447" s="4758"/>
      <c r="Q447" s="4759"/>
      <c r="R447" s="4830" t="str">
        <f>IMAGE("https://raw.githubusercontent.com/msikma/pokesprite/master/items/hold-item/assault-vest.png",3)</f>
        <v/>
      </c>
      <c r="S447" s="4799"/>
      <c r="T447" s="4831" t="s">
        <v>555</v>
      </c>
      <c r="U447" s="4832"/>
      <c r="V447" s="4833"/>
      <c r="W447" s="4834" t="str">
        <f>IMAGE("https://raw.githubusercontent.com/msikma/pokesprite/master/items/gem/normal.png",3)</f>
        <v/>
      </c>
      <c r="X447" s="4799"/>
      <c r="Y447" s="4831" t="s">
        <v>536</v>
      </c>
      <c r="Z447" s="4832"/>
      <c r="AA447" s="4833"/>
      <c r="AB447" s="4834" t="str">
        <f>IMAGE("https://raw.githubusercontent.com/msikma/pokesprite/master/items/hold-item/magnet.png",3)</f>
        <v/>
      </c>
      <c r="AC447" s="4783"/>
      <c r="AD447" s="4767"/>
      <c r="AE447" s="4768"/>
      <c r="AF447" s="4768"/>
      <c r="AG447" s="4769"/>
      <c r="AH447" s="4770"/>
      <c r="AI447" s="3367"/>
    </row>
    <row r="448" ht="20.25" customHeight="1">
      <c r="A448" s="3361"/>
      <c r="B448" s="4754"/>
      <c r="C448" s="4835"/>
      <c r="D448" s="4836"/>
      <c r="E448" s="4819" t="s">
        <v>1145</v>
      </c>
      <c r="F448" s="4820"/>
      <c r="G448" s="4837"/>
      <c r="H448" s="4838" t="str">
        <f>IMAGE("https://raw.githubusercontent.com/msikma/pokesprite/master/misc/types/gen8/grass.png",4,20,20)</f>
        <v/>
      </c>
      <c r="I448" s="4767"/>
      <c r="J448" s="4819" t="s">
        <v>1145</v>
      </c>
      <c r="K448" s="4820"/>
      <c r="L448" s="4837"/>
      <c r="M448" s="4838" t="str">
        <f>IMAGE("https://raw.githubusercontent.com/msikma/pokesprite/master/misc/types/gen8/grass.png",4,20,20)</f>
        <v/>
      </c>
      <c r="N448" s="4767"/>
      <c r="O448" s="4819" t="s">
        <v>1145</v>
      </c>
      <c r="P448" s="4820"/>
      <c r="Q448" s="4837"/>
      <c r="R448" s="4838" t="str">
        <f>IMAGE("https://raw.githubusercontent.com/msikma/pokesprite/master/misc/types/gen8/grass.png",4,20,20)</f>
        <v/>
      </c>
      <c r="S448" s="4767"/>
      <c r="T448" s="4822" t="s">
        <v>1146</v>
      </c>
      <c r="U448" s="4823"/>
      <c r="V448" s="4839"/>
      <c r="W448" s="4840" t="str">
        <f>IMAGE("https://raw.githubusercontent.com/msikma/pokesprite/master/misc/types/gen8/normal.png",4,20,20)</f>
        <v/>
      </c>
      <c r="X448" s="4767"/>
      <c r="Y448" s="4822" t="s">
        <v>1147</v>
      </c>
      <c r="Z448" s="4823"/>
      <c r="AA448" s="4839"/>
      <c r="AB448" s="4840" t="str">
        <f>IMAGE("https://raw.githubusercontent.com/msikma/pokesprite/master/misc/types/gen8/electric.png",4,20,20)</f>
        <v/>
      </c>
      <c r="AC448" s="4783"/>
      <c r="AD448" s="4767"/>
      <c r="AE448" s="4768"/>
      <c r="AF448" s="4768"/>
      <c r="AG448" s="4769"/>
      <c r="AH448" s="4770"/>
      <c r="AI448" s="3367"/>
    </row>
    <row r="449" ht="20.25" customHeight="1">
      <c r="A449" s="3361"/>
      <c r="B449" s="4754"/>
      <c r="C449" s="4841"/>
      <c r="D449" s="4767"/>
      <c r="E449" s="4825" t="s">
        <v>1072</v>
      </c>
      <c r="F449" s="4768"/>
      <c r="G449" s="4769"/>
      <c r="H449" s="4842" t="str">
        <f>IMAGE("https://raw.githubusercontent.com/msikma/pokesprite/master/misc/types/gen8/normal.png",4,20,20)</f>
        <v/>
      </c>
      <c r="I449" s="4836"/>
      <c r="J449" s="4825" t="s">
        <v>1072</v>
      </c>
      <c r="K449" s="4768"/>
      <c r="L449" s="4769"/>
      <c r="M449" s="4842" t="str">
        <f>IMAGE("https://raw.githubusercontent.com/msikma/pokesprite/master/misc/types/gen8/normal.png",4,20,20)</f>
        <v/>
      </c>
      <c r="N449" s="4836"/>
      <c r="O449" s="4825" t="s">
        <v>464</v>
      </c>
      <c r="P449" s="4768"/>
      <c r="Q449" s="4769"/>
      <c r="R449" s="4842" t="str">
        <f>IMAGE("https://raw.githubusercontent.com/msikma/pokesprite/master/misc/types/gen8/fairy.png",4,20,20)</f>
        <v/>
      </c>
      <c r="S449" s="4836"/>
      <c r="T449" s="4827" t="s">
        <v>282</v>
      </c>
      <c r="U449" s="4792"/>
      <c r="V449" s="4843"/>
      <c r="W449" s="4844" t="str">
        <f>IMAGE("https://raw.githubusercontent.com/msikma/pokesprite/master/misc/types/gen8/ground.png",4,20,20)</f>
        <v/>
      </c>
      <c r="X449" s="4836"/>
      <c r="Y449" s="4827" t="s">
        <v>378</v>
      </c>
      <c r="Z449" s="4792"/>
      <c r="AA449" s="4843"/>
      <c r="AB449" s="4844" t="str">
        <f>IMAGE("https://raw.githubusercontent.com/msikma/pokesprite/master/misc/types/gen8/fire.png",4,20,20)</f>
        <v/>
      </c>
      <c r="AC449" s="4783"/>
      <c r="AD449" s="4767"/>
      <c r="AE449" s="4768"/>
      <c r="AF449" s="4768"/>
      <c r="AG449" s="4769"/>
      <c r="AH449" s="4770"/>
      <c r="AI449" s="3367"/>
    </row>
    <row r="450" ht="20.25" customHeight="1">
      <c r="A450" s="3361"/>
      <c r="B450" s="4754"/>
      <c r="C450" s="4841"/>
      <c r="D450" s="4767"/>
      <c r="E450" s="4825" t="s">
        <v>538</v>
      </c>
      <c r="F450" s="4768"/>
      <c r="G450" s="4769"/>
      <c r="H450" s="4842" t="str">
        <f>IMAGE("https://raw.githubusercontent.com/msikma/pokesprite/master/misc/types/gen8/bug.png",4,20,20)</f>
        <v/>
      </c>
      <c r="I450" s="4767"/>
      <c r="J450" s="4825" t="s">
        <v>286</v>
      </c>
      <c r="K450" s="4768"/>
      <c r="L450" s="4769"/>
      <c r="M450" s="4842" t="str">
        <f>IMAGE("https://raw.githubusercontent.com/msikma/pokesprite/master/misc/types/gen8/ground.png",4,20,20)</f>
        <v/>
      </c>
      <c r="N450" s="4767"/>
      <c r="O450" s="4825" t="s">
        <v>1072</v>
      </c>
      <c r="P450" s="4768"/>
      <c r="Q450" s="4769"/>
      <c r="R450" s="4842" t="str">
        <f>IMAGE("https://raw.githubusercontent.com/msikma/pokesprite/master/misc/types/gen8/normal.png",4,20,20)</f>
        <v/>
      </c>
      <c r="S450" s="4767"/>
      <c r="T450" s="4827" t="s">
        <v>562</v>
      </c>
      <c r="U450" s="4792"/>
      <c r="V450" s="4843"/>
      <c r="W450" s="4844" t="str">
        <f>IMAGE("https://raw.githubusercontent.com/msikma/pokesprite/master/misc/types/gen8/psychic.png",4,20,20)</f>
        <v/>
      </c>
      <c r="X450" s="4767"/>
      <c r="Y450" s="4827" t="s">
        <v>639</v>
      </c>
      <c r="Z450" s="4792"/>
      <c r="AA450" s="4843"/>
      <c r="AB450" s="4844" t="str">
        <f>IMAGE("https://raw.githubusercontent.com/msikma/pokesprite/master/misc/types/gen8/fighting.png",4,20,20)</f>
        <v/>
      </c>
      <c r="AC450" s="4783"/>
      <c r="AD450" s="4767"/>
      <c r="AE450" s="4768"/>
      <c r="AF450" s="4768"/>
      <c r="AG450" s="4769"/>
      <c r="AH450" s="4770"/>
      <c r="AI450" s="3367"/>
    </row>
    <row r="451" ht="21.0" customHeight="1">
      <c r="A451" s="3361"/>
      <c r="B451" s="4754"/>
      <c r="C451" s="4841"/>
      <c r="D451" s="4767"/>
      <c r="E451" s="4845" t="s">
        <v>1148</v>
      </c>
      <c r="F451" s="4846"/>
      <c r="G451" s="4847"/>
      <c r="H451" s="4848" t="str">
        <f>IMAGE("https://raw.githubusercontent.com/msikma/pokesprite/master/misc/types/gen8/normal.png",4,20,20)</f>
        <v/>
      </c>
      <c r="I451" s="4767"/>
      <c r="J451" s="4845" t="s">
        <v>379</v>
      </c>
      <c r="K451" s="4846"/>
      <c r="L451" s="4847"/>
      <c r="M451" s="4848" t="str">
        <f>IMAGE("https://raw.githubusercontent.com/msikma/pokesprite/master/misc/types/gen8/fire.png",4,20,20)</f>
        <v/>
      </c>
      <c r="N451" s="4767"/>
      <c r="O451" s="4845" t="s">
        <v>287</v>
      </c>
      <c r="P451" s="4846"/>
      <c r="Q451" s="4847"/>
      <c r="R451" s="4848" t="str">
        <f>IMAGE("https://raw.githubusercontent.com/msikma/pokesprite/master/misc/types/gen8/fire.png",4,20,20)</f>
        <v/>
      </c>
      <c r="S451" s="4767"/>
      <c r="T451" s="4849" t="s">
        <v>316</v>
      </c>
      <c r="U451" s="4850"/>
      <c r="V451" s="4851"/>
      <c r="W451" s="4852" t="str">
        <f>IMAGE("https://raw.githubusercontent.com/msikma/pokesprite/master/misc/types/gen8/fighting.png",4,20,20)</f>
        <v/>
      </c>
      <c r="X451" s="4767"/>
      <c r="Y451" s="4849" t="s">
        <v>1148</v>
      </c>
      <c r="Z451" s="4850"/>
      <c r="AA451" s="4851"/>
      <c r="AB451" s="4852" t="str">
        <f>IMAGE("https://raw.githubusercontent.com/msikma/pokesprite/master/misc/types/gen8/normal.png",4,20,20)</f>
        <v/>
      </c>
      <c r="AC451" s="4853"/>
      <c r="AD451" s="4767"/>
      <c r="AE451" s="4768"/>
      <c r="AF451" s="4768"/>
      <c r="AG451" s="4769"/>
      <c r="AH451" s="4770"/>
      <c r="AI451" s="3367"/>
    </row>
    <row r="452" ht="3.0" customHeight="1">
      <c r="A452" s="3445"/>
      <c r="B452" s="4854"/>
      <c r="C452" s="4855"/>
      <c r="D452" s="4856"/>
      <c r="E452" s="4857"/>
      <c r="F452" s="4857"/>
      <c r="G452" s="4857"/>
      <c r="H452" s="4858"/>
      <c r="I452" s="4756"/>
      <c r="J452" s="4859"/>
      <c r="K452" s="4859"/>
      <c r="L452" s="4859"/>
      <c r="M452" s="4859"/>
      <c r="N452" s="4756"/>
      <c r="O452" s="4857"/>
      <c r="P452" s="4857"/>
      <c r="Q452" s="4857"/>
      <c r="R452" s="4859"/>
      <c r="S452" s="4756"/>
      <c r="T452" s="4859"/>
      <c r="U452" s="4859"/>
      <c r="V452" s="4859"/>
      <c r="W452" s="4859"/>
      <c r="X452" s="4756"/>
      <c r="Y452" s="4860"/>
      <c r="Z452" s="4860"/>
      <c r="AA452" s="4860"/>
      <c r="AB452" s="4861"/>
      <c r="AC452" s="4862"/>
      <c r="AD452" s="4862"/>
      <c r="AE452" s="4862"/>
      <c r="AF452" s="4862"/>
      <c r="AG452" s="4862"/>
      <c r="AH452" s="4863"/>
      <c r="AI452" s="3456"/>
    </row>
    <row r="453" ht="16.5" customHeight="1">
      <c r="A453" s="3457"/>
      <c r="B453" s="4864"/>
      <c r="C453" s="4865"/>
      <c r="D453" s="4866"/>
      <c r="E453" s="4867" t="s">
        <v>190</v>
      </c>
      <c r="F453" s="381"/>
      <c r="G453" s="382"/>
      <c r="H453" s="4868" t="s">
        <v>191</v>
      </c>
      <c r="I453" s="4869"/>
      <c r="J453" s="4867" t="s">
        <v>190</v>
      </c>
      <c r="K453" s="381"/>
      <c r="L453" s="382"/>
      <c r="M453" s="4868" t="s">
        <v>191</v>
      </c>
      <c r="N453" s="4870"/>
      <c r="O453" s="4867" t="s">
        <v>190</v>
      </c>
      <c r="P453" s="381"/>
      <c r="Q453" s="382"/>
      <c r="R453" s="4868" t="s">
        <v>191</v>
      </c>
      <c r="S453" s="4869"/>
      <c r="T453" s="4871" t="s">
        <v>190</v>
      </c>
      <c r="U453" s="381"/>
      <c r="V453" s="382"/>
      <c r="W453" s="4872" t="s">
        <v>191</v>
      </c>
      <c r="X453" s="4870"/>
      <c r="Y453" s="4871" t="s">
        <v>190</v>
      </c>
      <c r="Z453" s="381"/>
      <c r="AA453" s="382"/>
      <c r="AB453" s="4872" t="s">
        <v>191</v>
      </c>
      <c r="AC453" s="4873"/>
      <c r="AD453" s="4874"/>
      <c r="AE453" s="4874"/>
      <c r="AF453" s="4874"/>
      <c r="AG453" s="4874"/>
      <c r="AH453" s="4875"/>
      <c r="AI453" s="3466"/>
    </row>
    <row r="454" ht="16.5" customHeight="1">
      <c r="A454" s="3457"/>
      <c r="B454" s="4864"/>
      <c r="C454" s="4865"/>
      <c r="D454" s="4876"/>
      <c r="E454" s="4877" t="s">
        <v>192</v>
      </c>
      <c r="F454" s="4878">
        <f t="array" ref="F454">IFERROR(VLOOKUP(E441,Dex!$B$3:$N1022,8,FALSE),"")</f>
        <v>70</v>
      </c>
      <c r="G454" s="4879" t="str">
        <f t="array" ref="G454">IFERROR(VLOOKUP(F454,Dex!$P$22:$Q$276,2,FALSE),"")</f>
        <v/>
      </c>
      <c r="H454" s="4880"/>
      <c r="I454" s="4876"/>
      <c r="J454" s="4877" t="s">
        <v>192</v>
      </c>
      <c r="K454" s="4878">
        <f t="array" ref="K454">IFERROR(VLOOKUP(J441,Dex!$B$3:$N1022,8,FALSE),"")</f>
        <v>80</v>
      </c>
      <c r="L454" s="4879" t="str">
        <f t="array" ref="L454">IFERROR(VLOOKUP(K454,Dex!$P$22:$Q$276,2,FALSE),"")</f>
        <v/>
      </c>
      <c r="M454" s="4880"/>
      <c r="N454" s="4876"/>
      <c r="O454" s="4877" t="s">
        <v>192</v>
      </c>
      <c r="P454" s="4878">
        <f t="array" ref="P454">IFERROR(VLOOKUP(O441,Dex!$B$3:$N1022,8,FALSE),"")</f>
        <v>78</v>
      </c>
      <c r="Q454" s="4879" t="str">
        <f t="array" ref="Q454">IFERROR(VLOOKUP(P454,Dex!$P$22:$Q$276,2,FALSE),"")</f>
        <v/>
      </c>
      <c r="R454" s="4880">
        <v>252.0</v>
      </c>
      <c r="S454" s="4876"/>
      <c r="T454" s="4881" t="s">
        <v>192</v>
      </c>
      <c r="U454" s="4882">
        <f t="array" ref="U454">IFERROR(VLOOKUP(T441,Dex!$B$3:$N1022,8,FALSE),"")</f>
        <v>100</v>
      </c>
      <c r="V454" s="4883" t="str">
        <f t="array" ref="V454">IFERROR(VLOOKUP(U454,Dex!$P$22:$Q$276,2,FALSE),"")</f>
        <v/>
      </c>
      <c r="W454" s="4884">
        <v>252.0</v>
      </c>
      <c r="X454" s="4876"/>
      <c r="Y454" s="4881" t="s">
        <v>192</v>
      </c>
      <c r="Z454" s="4882">
        <f t="array" ref="Z454">IFERROR(VLOOKUP(Y441,Dex!$B$3:$N1022,8,FALSE),"")</f>
        <v>75</v>
      </c>
      <c r="AA454" s="4883" t="str">
        <f t="array" ref="AA454">IFERROR(VLOOKUP(Z454,Dex!$P$22:$Q$276,2,FALSE),"")</f>
        <v/>
      </c>
      <c r="AB454" s="4884"/>
      <c r="AC454" s="4873"/>
      <c r="AD454" s="4874"/>
      <c r="AE454" s="4874"/>
      <c r="AF454" s="4874"/>
      <c r="AG454" s="4874"/>
      <c r="AH454" s="4875"/>
      <c r="AI454" s="3466"/>
    </row>
    <row r="455" ht="16.5" customHeight="1">
      <c r="A455" s="3457"/>
      <c r="B455" s="4864"/>
      <c r="C455" s="4865"/>
      <c r="D455" s="4876"/>
      <c r="E455" s="4885" t="s">
        <v>193</v>
      </c>
      <c r="F455" s="4886">
        <f t="array" ref="F455">IFERROR(VLOOKUP(E441,Dex!$B$3:$N1022,9,FALSE),"")</f>
        <v>100</v>
      </c>
      <c r="G455" s="4887" t="str">
        <f t="array" ref="G455">IFERROR(VLOOKUP(F455,Dex!$P$22:$Q$276,2,FALSE),"")</f>
        <v/>
      </c>
      <c r="H455" s="4888">
        <v>252.0</v>
      </c>
      <c r="I455" s="4876"/>
      <c r="J455" s="4885" t="s">
        <v>193</v>
      </c>
      <c r="K455" s="4886">
        <f t="array" ref="K455">IFERROR(VLOOKUP(J441,Dex!$B$3:$N1022,9,FALSE),"")</f>
        <v>82</v>
      </c>
      <c r="L455" s="4887" t="str">
        <f t="array" ref="L455">IFERROR(VLOOKUP(K455,Dex!$P$22:$Q$276,2,FALSE),"")</f>
        <v/>
      </c>
      <c r="M455" s="4888">
        <v>4.0</v>
      </c>
      <c r="N455" s="4876"/>
      <c r="O455" s="4885" t="s">
        <v>193</v>
      </c>
      <c r="P455" s="4886">
        <f t="array" ref="P455">IFERROR(VLOOKUP(O441,Dex!$B$3:$N1022,9,FALSE),"")</f>
        <v>65</v>
      </c>
      <c r="Q455" s="4887" t="str">
        <f t="array" ref="Q455">IFERROR(VLOOKUP(P455,Dex!$P$22:$Q$276,2,FALSE),"")</f>
        <v/>
      </c>
      <c r="R455" s="4888"/>
      <c r="S455" s="4876"/>
      <c r="T455" s="4889" t="s">
        <v>193</v>
      </c>
      <c r="U455" s="4890">
        <f t="array" ref="U455">IFERROR(VLOOKUP(T441,Dex!$B$3:$N1022,9,FALSE),"")</f>
        <v>110</v>
      </c>
      <c r="V455" s="4891" t="str">
        <f t="array" ref="V455">IFERROR(VLOOKUP(U455,Dex!$P$22:$Q$276,2,FALSE),"")</f>
        <v/>
      </c>
      <c r="W455" s="4892">
        <v>252.0</v>
      </c>
      <c r="X455" s="4876"/>
      <c r="Y455" s="4889" t="s">
        <v>193</v>
      </c>
      <c r="Z455" s="4890">
        <f t="array" ref="Z455">IFERROR(VLOOKUP(Y441,Dex!$B$3:$N1022,9,FALSE),"")</f>
        <v>100</v>
      </c>
      <c r="AA455" s="4891" t="str">
        <f t="array" ref="AA455">IFERROR(VLOOKUP(Z455,Dex!$P$22:$Q$276,2,FALSE),"")</f>
        <v/>
      </c>
      <c r="AB455" s="4892">
        <v>252.0</v>
      </c>
      <c r="AC455" s="4873"/>
      <c r="AD455" s="4874"/>
      <c r="AE455" s="4874"/>
      <c r="AF455" s="4874"/>
      <c r="AG455" s="4874"/>
      <c r="AH455" s="4875"/>
      <c r="AI455" s="3466"/>
    </row>
    <row r="456" ht="16.5" customHeight="1">
      <c r="A456" s="3457"/>
      <c r="B456" s="4864"/>
      <c r="C456" s="4865"/>
      <c r="D456" s="4876"/>
      <c r="E456" s="4885" t="s">
        <v>194</v>
      </c>
      <c r="F456" s="4886">
        <f t="array" ref="F456">IFERROR(VLOOKUP(E441,Dex!$B$3:$N1022,10,FALSE),"")</f>
        <v>70</v>
      </c>
      <c r="G456" s="4887" t="str">
        <f t="array" ref="G456">IFERROR(VLOOKUP(F456,Dex!$P$22:$Q$276,2,FALSE),"")</f>
        <v/>
      </c>
      <c r="H456" s="4888">
        <v>4.0</v>
      </c>
      <c r="I456" s="4876"/>
      <c r="J456" s="4885" t="s">
        <v>194</v>
      </c>
      <c r="K456" s="4886">
        <f t="array" ref="K456">IFERROR(VLOOKUP(J441,Dex!$B$3:$N1022,10,FALSE),"")</f>
        <v>83</v>
      </c>
      <c r="L456" s="4887" t="str">
        <f t="array" ref="L456">IFERROR(VLOOKUP(K456,Dex!$P$22:$Q$276,2,FALSE),"")</f>
        <v/>
      </c>
      <c r="M456" s="4888"/>
      <c r="N456" s="4876"/>
      <c r="O456" s="4885" t="s">
        <v>194</v>
      </c>
      <c r="P456" s="4886">
        <f t="array" ref="P456">IFERROR(VLOOKUP(O441,Dex!$B$3:$N1022,10,FALSE),"")</f>
        <v>68</v>
      </c>
      <c r="Q456" s="4887" t="str">
        <f t="array" ref="Q456">IFERROR(VLOOKUP(P456,Dex!$P$22:$Q$276,2,FALSE),"")</f>
        <v/>
      </c>
      <c r="R456" s="4888"/>
      <c r="S456" s="4876"/>
      <c r="T456" s="4889" t="s">
        <v>194</v>
      </c>
      <c r="U456" s="4890">
        <f t="array" ref="U456">IFERROR(VLOOKUP(T441,Dex!$B$3:$N1022,10,FALSE),"")</f>
        <v>95</v>
      </c>
      <c r="V456" s="4891" t="str">
        <f t="array" ref="V456">IFERROR(VLOOKUP(U456,Dex!$P$22:$Q$276,2,FALSE),"")</f>
        <v/>
      </c>
      <c r="W456" s="4892"/>
      <c r="X456" s="4876"/>
      <c r="Y456" s="4889" t="s">
        <v>194</v>
      </c>
      <c r="Z456" s="4890">
        <f t="array" ref="Z456">IFERROR(VLOOKUP(Y441,Dex!$B$3:$N1022,10,FALSE),"")</f>
        <v>63</v>
      </c>
      <c r="AA456" s="4891" t="str">
        <f t="array" ref="AA456">IFERROR(VLOOKUP(Z456,Dex!$P$22:$Q$276,2,FALSE),"")</f>
        <v/>
      </c>
      <c r="AB456" s="4892">
        <v>4.0</v>
      </c>
      <c r="AC456" s="4873"/>
      <c r="AD456" s="4874"/>
      <c r="AE456" s="4874"/>
      <c r="AF456" s="4874"/>
      <c r="AG456" s="4874"/>
      <c r="AH456" s="4875"/>
      <c r="AI456" s="3466"/>
    </row>
    <row r="457" ht="16.5" customHeight="1">
      <c r="A457" s="3457"/>
      <c r="B457" s="4864"/>
      <c r="C457" s="4865"/>
      <c r="D457" s="4876"/>
      <c r="E457" s="4885" t="s">
        <v>195</v>
      </c>
      <c r="F457" s="4886">
        <f t="array" ref="F457">IFERROR(VLOOKUP(E441,Dex!$B$3:$N1022,11,FALSE),"")</f>
        <v>60</v>
      </c>
      <c r="G457" s="4887" t="str">
        <f t="array" ref="G457">IFERROR(VLOOKUP(F457,Dex!$P$22:$Q$276,2,FALSE),"")</f>
        <v/>
      </c>
      <c r="H457" s="4888"/>
      <c r="I457" s="4876"/>
      <c r="J457" s="4885" t="s">
        <v>195</v>
      </c>
      <c r="K457" s="4886">
        <f t="array" ref="K457">IFERROR(VLOOKUP(J441,Dex!$B$3:$N1022,11,FALSE),"")</f>
        <v>100</v>
      </c>
      <c r="L457" s="4887" t="str">
        <f t="array" ref="L457">IFERROR(VLOOKUP(K457,Dex!$P$22:$Q$276,2,FALSE),"")</f>
        <v/>
      </c>
      <c r="M457" s="4888">
        <v>252.0</v>
      </c>
      <c r="N457" s="4876"/>
      <c r="O457" s="4885" t="s">
        <v>195</v>
      </c>
      <c r="P457" s="4886">
        <f t="array" ref="P457">IFERROR(VLOOKUP(O441,Dex!$B$3:$N1022,11,FALSE),"")</f>
        <v>112</v>
      </c>
      <c r="Q457" s="4887" t="str">
        <f t="array" ref="Q457">IFERROR(VLOOKUP(P457,Dex!$P$22:$Q$276,2,FALSE),"")</f>
        <v/>
      </c>
      <c r="R457" s="4888">
        <v>4.0</v>
      </c>
      <c r="S457" s="4876"/>
      <c r="T457" s="4889" t="s">
        <v>195</v>
      </c>
      <c r="U457" s="4890">
        <f t="array" ref="U457">IFERROR(VLOOKUP(T441,Dex!$B$3:$N1022,11,FALSE),"")</f>
        <v>40</v>
      </c>
      <c r="V457" s="4891" t="str">
        <f t="array" ref="V457">IFERROR(VLOOKUP(U457,Dex!$P$22:$Q$276,2,FALSE),"")</f>
        <v/>
      </c>
      <c r="W457" s="4892"/>
      <c r="X457" s="4876"/>
      <c r="Y457" s="4889" t="s">
        <v>195</v>
      </c>
      <c r="Z457" s="4890">
        <f t="array" ref="Z457">IFERROR(VLOOKUP(Y441,Dex!$B$3:$N1022,11,FALSE),"")</f>
        <v>80</v>
      </c>
      <c r="AA457" s="4891" t="str">
        <f t="array" ref="AA457">IFERROR(VLOOKUP(Z457,Dex!$P$22:$Q$276,2,FALSE),"")</f>
        <v/>
      </c>
      <c r="AB457" s="4892"/>
      <c r="AC457" s="4873"/>
      <c r="AD457" s="4874"/>
      <c r="AE457" s="4874"/>
      <c r="AF457" s="4874"/>
      <c r="AG457" s="4874"/>
      <c r="AH457" s="4875"/>
      <c r="AI457" s="3466"/>
    </row>
    <row r="458" ht="16.5" customHeight="1">
      <c r="A458" s="3457"/>
      <c r="B458" s="4864"/>
      <c r="C458" s="4865"/>
      <c r="D458" s="4876"/>
      <c r="E458" s="4885" t="s">
        <v>196</v>
      </c>
      <c r="F458" s="4886">
        <f t="array" ref="F458">IFERROR(VLOOKUP(E441,Dex!$B$3:$N1022,12,FALSE),"")</f>
        <v>78</v>
      </c>
      <c r="G458" s="4887" t="str">
        <f t="array" ref="G458">IFERROR(VLOOKUP(F458,Dex!$P$22:$Q$276,2,FALSE),"")</f>
        <v/>
      </c>
      <c r="H458" s="4888"/>
      <c r="I458" s="4876"/>
      <c r="J458" s="4885" t="s">
        <v>196</v>
      </c>
      <c r="K458" s="4886">
        <f t="array" ref="K458">IFERROR(VLOOKUP(J441,Dex!$B$3:$N1022,12,FALSE),"")</f>
        <v>100</v>
      </c>
      <c r="L458" s="4887" t="str">
        <f t="array" ref="L458">IFERROR(VLOOKUP(K458,Dex!$P$22:$Q$276,2,FALSE),"")</f>
        <v/>
      </c>
      <c r="M458" s="4888"/>
      <c r="N458" s="4876"/>
      <c r="O458" s="4885" t="s">
        <v>196</v>
      </c>
      <c r="P458" s="4886">
        <f t="array" ref="P458">IFERROR(VLOOKUP(O441,Dex!$B$3:$N1022,12,FALSE),"")</f>
        <v>154</v>
      </c>
      <c r="Q458" s="4887" t="str">
        <f t="array" ref="Q458">IFERROR(VLOOKUP(P458,Dex!$P$22:$Q$276,2,FALSE),"")</f>
        <v/>
      </c>
      <c r="R458" s="4888">
        <v>252.0</v>
      </c>
      <c r="S458" s="4876"/>
      <c r="T458" s="4889" t="s">
        <v>196</v>
      </c>
      <c r="U458" s="4890">
        <f t="array" ref="U458">IFERROR(VLOOKUP(T441,Dex!$B$3:$N1022,12,FALSE),"")</f>
        <v>95</v>
      </c>
      <c r="V458" s="4891" t="str">
        <f t="array" ref="V458">IFERROR(VLOOKUP(U458,Dex!$P$22:$Q$276,2,FALSE),"")</f>
        <v/>
      </c>
      <c r="W458" s="4892"/>
      <c r="X458" s="4876"/>
      <c r="Y458" s="4889" t="s">
        <v>196</v>
      </c>
      <c r="Z458" s="4890">
        <f t="array" ref="Z458">IFERROR(VLOOKUP(Y441,Dex!$B$3:$N1022,12,FALSE),"")</f>
        <v>63</v>
      </c>
      <c r="AA458" s="4891" t="str">
        <f t="array" ref="AA458">IFERROR(VLOOKUP(Z458,Dex!$P$22:$Q$276,2,FALSE),"")</f>
        <v/>
      </c>
      <c r="AB458" s="4892"/>
      <c r="AC458" s="4873"/>
      <c r="AD458" s="4874"/>
      <c r="AE458" s="4874"/>
      <c r="AF458" s="4874"/>
      <c r="AG458" s="4874"/>
      <c r="AH458" s="4875"/>
      <c r="AI458" s="3466"/>
    </row>
    <row r="459" ht="16.5" customHeight="1">
      <c r="A459" s="3457"/>
      <c r="B459" s="4864"/>
      <c r="C459" s="1204" t="s">
        <v>436</v>
      </c>
      <c r="D459" s="4876"/>
      <c r="E459" s="4893" t="s">
        <v>197</v>
      </c>
      <c r="F459" s="4894">
        <f t="array" ref="F459">IFERROR(VLOOKUP(E441,Dex!$B$3:$N1022,13,FALSE),"")</f>
        <v>85</v>
      </c>
      <c r="G459" s="4895" t="str">
        <f t="array" ref="G459">IFERROR(VLOOKUP(F459,Dex!$P$22:$Q$276,2,FALSE),"")</f>
        <v/>
      </c>
      <c r="H459" s="4896">
        <v>252.0</v>
      </c>
      <c r="I459" s="4876"/>
      <c r="J459" s="4893" t="s">
        <v>197</v>
      </c>
      <c r="K459" s="4894">
        <f t="array" ref="K459">IFERROR(VLOOKUP(J441,Dex!$B$3:$N1022,13,FALSE),"")</f>
        <v>80</v>
      </c>
      <c r="L459" s="4895" t="str">
        <f t="array" ref="L459">IFERROR(VLOOKUP(K459,Dex!$P$22:$Q$276,2,FALSE),"")</f>
        <v/>
      </c>
      <c r="M459" s="4896">
        <v>252.0</v>
      </c>
      <c r="N459" s="4876"/>
      <c r="O459" s="4893" t="s">
        <v>197</v>
      </c>
      <c r="P459" s="4894">
        <f t="array" ref="P459">IFERROR(VLOOKUP(O441,Dex!$B$3:$N1022,13,FALSE),"")</f>
        <v>75</v>
      </c>
      <c r="Q459" s="4895" t="str">
        <f t="array" ref="Q459">IFERROR(VLOOKUP(P459,Dex!$P$22:$Q$276,2,FALSE),"")</f>
        <v/>
      </c>
      <c r="R459" s="4896"/>
      <c r="S459" s="4876"/>
      <c r="T459" s="4897" t="s">
        <v>197</v>
      </c>
      <c r="U459" s="4898">
        <f t="array" ref="U459">IFERROR(VLOOKUP(T441,Dex!$B$3:$N1022,13,FALSE),"")</f>
        <v>65</v>
      </c>
      <c r="V459" s="4899" t="str">
        <f t="array" ref="V459">IFERROR(VLOOKUP(U459,Dex!$P$22:$Q$276,2,FALSE),"")</f>
        <v/>
      </c>
      <c r="W459" s="4900">
        <v>4.0</v>
      </c>
      <c r="X459" s="4876"/>
      <c r="Y459" s="4897" t="s">
        <v>197</v>
      </c>
      <c r="Z459" s="4898">
        <f t="array" ref="Z459">IFERROR(VLOOKUP(Y441,Dex!$B$3:$N1022,13,FALSE),"")</f>
        <v>116</v>
      </c>
      <c r="AA459" s="4899" t="str">
        <f t="array" ref="AA459">IFERROR(VLOOKUP(Z459,Dex!$P$22:$Q$276,2,FALSE),"")</f>
        <v/>
      </c>
      <c r="AB459" s="4900">
        <v>252.0</v>
      </c>
      <c r="AC459" s="4873"/>
      <c r="AD459" s="4874"/>
      <c r="AE459" s="4874"/>
      <c r="AF459" s="4874"/>
      <c r="AG459" s="4874"/>
      <c r="AH459" s="4875"/>
      <c r="AI459" s="3466"/>
    </row>
    <row r="460" ht="16.5" customHeight="1">
      <c r="A460" s="3457"/>
      <c r="B460" s="4864"/>
      <c r="C460" s="1205" t="s">
        <v>437</v>
      </c>
      <c r="D460" s="4866"/>
      <c r="E460" s="4901" t="s">
        <v>198</v>
      </c>
      <c r="F460" s="405"/>
      <c r="G460" s="406"/>
      <c r="H460" s="4902">
        <v>188.0</v>
      </c>
      <c r="I460" s="4876"/>
      <c r="J460" s="4903" t="s">
        <v>198</v>
      </c>
      <c r="K460" s="918"/>
      <c r="L460" s="919"/>
      <c r="M460" s="4904">
        <v>181.0</v>
      </c>
      <c r="N460" s="4866"/>
      <c r="O460" s="4901" t="s">
        <v>198</v>
      </c>
      <c r="P460" s="405"/>
      <c r="Q460" s="406"/>
      <c r="R460" s="4902">
        <v>118.0</v>
      </c>
      <c r="S460" s="4876"/>
      <c r="T460" s="4905" t="s">
        <v>198</v>
      </c>
      <c r="U460" s="405"/>
      <c r="V460" s="406"/>
      <c r="W460" s="4906">
        <v>107.0</v>
      </c>
      <c r="X460" s="4866"/>
      <c r="Y460" s="4905" t="s">
        <v>198</v>
      </c>
      <c r="Z460" s="405"/>
      <c r="AA460" s="406"/>
      <c r="AB460" s="4906">
        <v>231.0</v>
      </c>
      <c r="AC460" s="4873"/>
      <c r="AD460" s="4874"/>
      <c r="AE460" s="4874"/>
      <c r="AF460" s="4874"/>
      <c r="AG460" s="4874"/>
      <c r="AH460" s="4875"/>
      <c r="AI460" s="3466"/>
    </row>
    <row r="461" ht="16.5" customHeight="1">
      <c r="A461" s="3457"/>
      <c r="B461" s="4864"/>
      <c r="C461" s="4855"/>
      <c r="D461" s="4866"/>
      <c r="E461" s="4907" t="s">
        <v>1149</v>
      </c>
      <c r="F461" s="925"/>
      <c r="G461" s="926"/>
      <c r="H461" s="4908">
        <v>282.0</v>
      </c>
      <c r="I461" s="4866"/>
      <c r="J461" s="4907" t="s">
        <v>381</v>
      </c>
      <c r="K461" s="925"/>
      <c r="L461" s="926"/>
      <c r="M461" s="4908">
        <v>362.0</v>
      </c>
      <c r="N461" s="4866"/>
      <c r="O461" s="4909"/>
      <c r="P461" s="4909"/>
      <c r="Q461" s="4909"/>
      <c r="R461" s="4855"/>
      <c r="S461" s="4866"/>
      <c r="T461" s="4855"/>
      <c r="U461" s="4855"/>
      <c r="V461" s="4855"/>
      <c r="W461" s="4855"/>
      <c r="X461" s="4866"/>
      <c r="Y461" s="4909"/>
      <c r="Z461" s="4909"/>
      <c r="AA461" s="4909"/>
      <c r="AB461" s="4855"/>
      <c r="AC461" s="4855"/>
      <c r="AD461" s="4874"/>
      <c r="AE461" s="4874"/>
      <c r="AF461" s="4874"/>
      <c r="AG461" s="4874"/>
      <c r="AH461" s="4875"/>
      <c r="AI461" s="3466"/>
    </row>
    <row r="462" ht="15.0" customHeight="1">
      <c r="A462" s="3361"/>
      <c r="B462" s="4910"/>
      <c r="C462" s="4911"/>
      <c r="D462" s="4912"/>
      <c r="E462" s="4913"/>
      <c r="F462" s="4913"/>
      <c r="G462" s="4913"/>
      <c r="H462" s="4913"/>
      <c r="I462" s="4914"/>
      <c r="J462" s="4913"/>
      <c r="K462" s="4913"/>
      <c r="L462" s="4913"/>
      <c r="M462" s="4913"/>
      <c r="N462" s="4914"/>
      <c r="O462" s="4913"/>
      <c r="P462" s="4913"/>
      <c r="Q462" s="4913"/>
      <c r="R462" s="4913"/>
      <c r="S462" s="4914"/>
      <c r="T462" s="4913"/>
      <c r="U462" s="4913"/>
      <c r="V462" s="4913"/>
      <c r="W462" s="4913"/>
      <c r="X462" s="4914"/>
      <c r="Y462" s="4913"/>
      <c r="Z462" s="4913"/>
      <c r="AA462" s="4913"/>
      <c r="AB462" s="4913"/>
      <c r="AC462" s="4912"/>
      <c r="AD462" s="4912"/>
      <c r="AE462" s="4912"/>
      <c r="AF462" s="4912"/>
      <c r="AG462" s="4912"/>
      <c r="AH462" s="4915"/>
      <c r="AI462" s="3367"/>
    </row>
    <row r="463" ht="15.0" customHeight="1">
      <c r="A463" s="3361"/>
      <c r="B463" s="4619"/>
      <c r="C463" s="4620"/>
      <c r="D463" s="4621"/>
      <c r="E463" s="4622"/>
      <c r="F463" s="4622"/>
      <c r="G463" s="4622"/>
      <c r="H463" s="4622"/>
      <c r="I463" s="4622"/>
      <c r="J463" s="4622"/>
      <c r="K463" s="4622"/>
      <c r="L463" s="4622"/>
      <c r="M463" s="4622"/>
      <c r="N463" s="4622"/>
      <c r="O463" s="4622"/>
      <c r="P463" s="4622"/>
      <c r="Q463" s="4622"/>
      <c r="R463" s="4622"/>
      <c r="S463" s="4622"/>
      <c r="T463" s="4622"/>
      <c r="U463" s="4622"/>
      <c r="V463" s="4622"/>
      <c r="W463" s="4622"/>
      <c r="X463" s="4622"/>
      <c r="Y463" s="4622"/>
      <c r="Z463" s="4622"/>
      <c r="AA463" s="4622"/>
      <c r="AB463" s="4622"/>
      <c r="AC463" s="4622"/>
      <c r="AD463" s="4622"/>
      <c r="AE463" s="4622"/>
      <c r="AF463" s="4622"/>
      <c r="AG463" s="4622"/>
      <c r="AH463" s="4623"/>
      <c r="AI463" s="3367"/>
    </row>
    <row r="464">
      <c r="A464" s="3361"/>
      <c r="B464" s="4624"/>
      <c r="C464" s="4625"/>
      <c r="D464" s="4626"/>
      <c r="E464" s="4627" t="s">
        <v>1150</v>
      </c>
      <c r="F464" s="4628"/>
      <c r="G464" s="4628"/>
      <c r="H464" s="4628"/>
      <c r="I464" s="4628"/>
      <c r="J464" s="4628"/>
      <c r="K464" s="4628"/>
      <c r="L464" s="4628"/>
      <c r="M464" s="4628"/>
      <c r="N464" s="4628"/>
      <c r="O464" s="4628"/>
      <c r="P464" s="4628"/>
      <c r="Q464" s="4628"/>
      <c r="R464" s="4628"/>
      <c r="S464" s="4628"/>
      <c r="T464" s="4628"/>
      <c r="U464" s="4628"/>
      <c r="V464" s="4628"/>
      <c r="W464" s="4628"/>
      <c r="X464" s="4628"/>
      <c r="Y464" s="4628"/>
      <c r="Z464" s="4628"/>
      <c r="AA464" s="4628"/>
      <c r="AB464" s="4628"/>
      <c r="AC464" s="4628"/>
      <c r="AD464" s="4628"/>
      <c r="AE464" s="4628"/>
      <c r="AF464" s="4628"/>
      <c r="AG464" s="4629"/>
      <c r="AH464" s="4630"/>
      <c r="AI464" s="3367"/>
    </row>
    <row r="465" ht="96.75" customHeight="1">
      <c r="A465" s="3361"/>
      <c r="B465" s="4631"/>
      <c r="C465" s="4632" t="str">
        <f>IMAGE("https://i.ibb.co/26GFSbd/Bird-Keeper.png")</f>
        <v/>
      </c>
      <c r="D465" s="4916"/>
      <c r="E465" s="4634" t="str">
        <f t="array" ref="E465">IFERROR(VLOOKUP(E466,Dex!$B$3:$G1022,3,FALSE),"")</f>
        <v/>
      </c>
      <c r="F465" s="381"/>
      <c r="G465" s="381"/>
      <c r="H465" s="4280"/>
      <c r="I465" s="4917"/>
      <c r="J465" s="4634" t="str">
        <f t="array" ref="J465">IFERROR(VLOOKUP(J466,Dex!$B$3:$G1022,3,FALSE),"")</f>
        <v/>
      </c>
      <c r="K465" s="381"/>
      <c r="L465" s="381"/>
      <c r="M465" s="4280"/>
      <c r="N465" s="4917"/>
      <c r="O465" s="4634" t="str">
        <f t="array" ref="O465">IFERROR(VLOOKUP(O466,Dex!$B$3:$G1022,3,FALSE),"")</f>
        <v/>
      </c>
      <c r="P465" s="381"/>
      <c r="Q465" s="381"/>
      <c r="R465" s="4280"/>
      <c r="S465" s="4917"/>
      <c r="T465" s="4634" t="str">
        <f t="array" ref="T465">IFERROR(VLOOKUP(T466,Dex!$B$3:$G1022,3,FALSE),"")</f>
        <v/>
      </c>
      <c r="U465" s="381"/>
      <c r="V465" s="381"/>
      <c r="W465" s="4280"/>
      <c r="X465" s="4637"/>
      <c r="Y465" s="4638"/>
      <c r="Z465" s="4639"/>
      <c r="AA465" s="4639"/>
      <c r="AB465" s="4640"/>
      <c r="AC465" s="4626"/>
      <c r="AD465" s="4638"/>
      <c r="AE465" s="4639"/>
      <c r="AF465" s="4639"/>
      <c r="AG465" s="4640"/>
      <c r="AH465" s="4641"/>
      <c r="AI465" s="3367"/>
    </row>
    <row r="466" ht="18.75" customHeight="1">
      <c r="A466" s="3621"/>
      <c r="B466" s="4642"/>
      <c r="C466" s="4643" t="s">
        <v>1151</v>
      </c>
      <c r="D466" s="4918"/>
      <c r="E466" s="4645" t="s">
        <v>951</v>
      </c>
      <c r="F466" s="4646"/>
      <c r="G466" s="4646"/>
      <c r="H466" s="4647"/>
      <c r="J466" s="4645" t="s">
        <v>761</v>
      </c>
      <c r="K466" s="4646"/>
      <c r="L466" s="4646"/>
      <c r="M466" s="4647"/>
      <c r="O466" s="4645" t="s">
        <v>1152</v>
      </c>
      <c r="P466" s="4646"/>
      <c r="Q466" s="4646"/>
      <c r="R466" s="4647"/>
      <c r="T466" s="4645" t="s">
        <v>965</v>
      </c>
      <c r="U466" s="4646"/>
      <c r="V466" s="4646"/>
      <c r="W466" s="4647"/>
      <c r="X466" s="4650"/>
      <c r="Y466" s="4651"/>
      <c r="Z466" s="4639"/>
      <c r="AA466" s="4639"/>
      <c r="AB466" s="4640"/>
      <c r="AC466" s="4652"/>
      <c r="AD466" s="4651"/>
      <c r="AE466" s="4639"/>
      <c r="AF466" s="4639"/>
      <c r="AG466" s="4640"/>
      <c r="AH466" s="4653"/>
      <c r="AI466" s="3631"/>
    </row>
    <row r="467">
      <c r="A467" s="3632"/>
      <c r="B467" s="4654"/>
      <c r="C467" s="1481"/>
      <c r="D467" s="4919"/>
      <c r="E467" s="4656" t="s">
        <v>843</v>
      </c>
      <c r="F467" s="4657"/>
      <c r="G467" s="4657"/>
      <c r="H467" s="4658"/>
      <c r="J467" s="4656" t="s">
        <v>843</v>
      </c>
      <c r="K467" s="4657"/>
      <c r="L467" s="4657"/>
      <c r="M467" s="4658"/>
      <c r="O467" s="4656" t="s">
        <v>843</v>
      </c>
      <c r="P467" s="4657"/>
      <c r="Q467" s="4657"/>
      <c r="R467" s="4658"/>
      <c r="T467" s="4656" t="s">
        <v>843</v>
      </c>
      <c r="U467" s="4657"/>
      <c r="V467" s="4657"/>
      <c r="W467" s="4658"/>
      <c r="X467" s="4650"/>
      <c r="Y467" s="4659"/>
      <c r="Z467" s="4639"/>
      <c r="AA467" s="4639"/>
      <c r="AB467" s="4640"/>
      <c r="AC467" s="4652"/>
      <c r="AD467" s="4659"/>
      <c r="AE467" s="4639"/>
      <c r="AF467" s="4639"/>
      <c r="AG467" s="4640"/>
      <c r="AH467" s="4660"/>
      <c r="AI467" s="3640"/>
    </row>
    <row r="468" ht="25.5" customHeight="1">
      <c r="A468" s="3361"/>
      <c r="B468" s="4631"/>
      <c r="C468" s="1489"/>
      <c r="D468" s="4661"/>
      <c r="E468" s="4662"/>
      <c r="F468" s="4663" t="str">
        <f t="array" ref="F468">IFERROR(VLOOKUP(E466,Dex!$B$3:$H1022,5,FALSE),"")</f>
        <v/>
      </c>
      <c r="G468" s="4664" t="str">
        <f t="array" ref="G468">IFERROR(VLOOKUP(E466,Dex!$B$3:$H1022,7,FALSE),"")</f>
        <v/>
      </c>
      <c r="H468" s="4665"/>
      <c r="J468" s="4662"/>
      <c r="K468" s="4663" t="str">
        <f t="array" ref="K468">IFERROR(VLOOKUP(J466,Dex!$B$3:$H1022,5,FALSE),"")</f>
        <v/>
      </c>
      <c r="L468" s="4664" t="str">
        <f t="array" ref="L468">IFERROR(VLOOKUP(J466,Dex!$B$3:$H1022,7,FALSE),"")</f>
        <v/>
      </c>
      <c r="M468" s="4665"/>
      <c r="O468" s="4662"/>
      <c r="P468" s="4920" t="str">
        <f t="array" ref="P468">IFERROR(VLOOKUP(O466,Dex!$B$3:$H1022,5,FALSE),"")</f>
        <v/>
      </c>
      <c r="Q468" s="4921"/>
      <c r="R468" s="4665"/>
      <c r="T468" s="4662"/>
      <c r="U468" s="4663" t="str">
        <f t="array" ref="U468">IFERROR(VLOOKUP(T466,Dex!$B$3:$H1022,5,FALSE),"")</f>
        <v/>
      </c>
      <c r="V468" s="4664" t="str">
        <f t="array" ref="V468">IFERROR(VLOOKUP(T466,Dex!$B$3:$H1022,7,FALSE),"")</f>
        <v/>
      </c>
      <c r="W468" s="4665"/>
      <c r="X468" s="4650"/>
      <c r="Y468" s="4638"/>
      <c r="Z468" s="4639"/>
      <c r="AA468" s="4639"/>
      <c r="AB468" s="4640"/>
      <c r="AC468" s="4652"/>
      <c r="AD468" s="4638"/>
      <c r="AE468" s="4639"/>
      <c r="AF468" s="4639"/>
      <c r="AG468" s="4640"/>
      <c r="AH468" s="4641"/>
      <c r="AI468" s="3367"/>
    </row>
    <row r="469" ht="2.25" customHeight="1">
      <c r="A469" s="3361"/>
      <c r="B469" s="4624"/>
      <c r="C469" s="4666"/>
      <c r="D469" s="4667"/>
      <c r="E469" s="4668"/>
      <c r="F469" s="4669"/>
      <c r="G469" s="4669"/>
      <c r="H469" s="4670"/>
      <c r="J469" s="4668"/>
      <c r="K469" s="4669"/>
      <c r="L469" s="4669"/>
      <c r="M469" s="4670"/>
      <c r="O469" s="4668"/>
      <c r="P469" s="4669"/>
      <c r="Q469" s="4669"/>
      <c r="R469" s="4670"/>
      <c r="T469" s="4668"/>
      <c r="U469" s="4669"/>
      <c r="V469" s="4669"/>
      <c r="W469" s="4670"/>
      <c r="X469" s="4650"/>
      <c r="Y469" s="4671"/>
      <c r="Z469" s="4671"/>
      <c r="AA469" s="4671"/>
      <c r="AB469" s="4671"/>
      <c r="AC469" s="4652"/>
      <c r="AD469" s="4671"/>
      <c r="AE469" s="4671"/>
      <c r="AF469" s="4671"/>
      <c r="AG469" s="4671"/>
      <c r="AH469" s="4641"/>
      <c r="AI469" s="3367"/>
    </row>
    <row r="470" ht="20.25" customHeight="1">
      <c r="A470" s="3361"/>
      <c r="B470" s="4624"/>
      <c r="C470" s="4672"/>
      <c r="D470" s="4638"/>
      <c r="E470" s="4673" t="s">
        <v>471</v>
      </c>
      <c r="F470" s="4674"/>
      <c r="G470" s="4674"/>
      <c r="H470" s="4675"/>
      <c r="J470" s="4673" t="s">
        <v>205</v>
      </c>
      <c r="K470" s="4674"/>
      <c r="L470" s="4674"/>
      <c r="M470" s="4675"/>
      <c r="O470" s="4673" t="s">
        <v>172</v>
      </c>
      <c r="P470" s="4674"/>
      <c r="Q470" s="4674"/>
      <c r="R470" s="4675"/>
      <c r="T470" s="4673" t="s">
        <v>264</v>
      </c>
      <c r="U470" s="4674"/>
      <c r="V470" s="4674"/>
      <c r="W470" s="4675"/>
      <c r="X470" s="4650"/>
      <c r="Y470" s="4638"/>
      <c r="Z470" s="4639"/>
      <c r="AA470" s="4639"/>
      <c r="AB470" s="4640"/>
      <c r="AC470" s="4652"/>
      <c r="AD470" s="4638"/>
      <c r="AE470" s="4639"/>
      <c r="AF470" s="4639"/>
      <c r="AG470" s="4640"/>
      <c r="AH470" s="4641"/>
      <c r="AI470" s="3367"/>
    </row>
    <row r="471" ht="20.25" customHeight="1">
      <c r="A471" s="3361"/>
      <c r="B471" s="4624"/>
      <c r="C471" s="4672"/>
      <c r="D471" s="4638"/>
      <c r="E471" s="4676" t="s">
        <v>952</v>
      </c>
      <c r="F471" s="4639"/>
      <c r="G471" s="4639"/>
      <c r="H471" s="4677"/>
      <c r="J471" s="4676" t="s">
        <v>302</v>
      </c>
      <c r="K471" s="4639"/>
      <c r="L471" s="4639"/>
      <c r="M471" s="4677"/>
      <c r="O471" s="4676" t="s">
        <v>360</v>
      </c>
      <c r="P471" s="4639"/>
      <c r="Q471" s="4639"/>
      <c r="R471" s="4677"/>
      <c r="T471" s="4676" t="s">
        <v>651</v>
      </c>
      <c r="U471" s="4639"/>
      <c r="V471" s="4639"/>
      <c r="W471" s="4677"/>
      <c r="X471" s="4650"/>
      <c r="Y471" s="4638"/>
      <c r="Z471" s="4639"/>
      <c r="AA471" s="4639"/>
      <c r="AB471" s="4640"/>
      <c r="AC471" s="4652"/>
      <c r="AD471" s="4638"/>
      <c r="AE471" s="4639"/>
      <c r="AF471" s="4639"/>
      <c r="AG471" s="4640"/>
      <c r="AH471" s="4641"/>
      <c r="AI471" s="3367"/>
    </row>
    <row r="472" ht="20.25" customHeight="1">
      <c r="A472" s="3361"/>
      <c r="B472" s="4624"/>
      <c r="C472" s="4672"/>
      <c r="D472" s="4638"/>
      <c r="E472" s="4678" t="s">
        <v>848</v>
      </c>
      <c r="F472" s="4628"/>
      <c r="G472" s="4629"/>
      <c r="H472" s="4679" t="str">
        <f>IMAGE("https://raw.githubusercontent.com/msikma/pokesprite/master/items/berry/rindo.png",3)</f>
        <v/>
      </c>
      <c r="J472" s="4678" t="s">
        <v>363</v>
      </c>
      <c r="K472" s="4628"/>
      <c r="L472" s="4629"/>
      <c r="M472" s="4679" t="str">
        <f>IMAGE("https://raw.githubusercontent.com/msikma/pokesprite/master/items/berry/lum.png",3)</f>
        <v/>
      </c>
      <c r="O472" s="4678" t="s">
        <v>1057</v>
      </c>
      <c r="P472" s="4628"/>
      <c r="Q472" s="4629"/>
      <c r="R472" s="4679" t="str">
        <f>IMAGE("https://raw.githubusercontent.com/msikma/pokesprite/master/items/hold-item/charcoal.png",3)</f>
        <v/>
      </c>
      <c r="T472" s="4678" t="s">
        <v>970</v>
      </c>
      <c r="U472" s="4628"/>
      <c r="V472" s="4629"/>
      <c r="W472" s="4679" t="str">
        <f>IMAGE("https://raw.githubusercontent.com/msikma/pokesprite/master/items/hold-item/spell-tag.png",3)</f>
        <v/>
      </c>
      <c r="X472" s="4650"/>
      <c r="Y472" s="4638"/>
      <c r="Z472" s="4639"/>
      <c r="AA472" s="4639"/>
      <c r="AB472" s="4640"/>
      <c r="AC472" s="4652"/>
      <c r="AD472" s="4638"/>
      <c r="AE472" s="4639"/>
      <c r="AF472" s="4639"/>
      <c r="AG472" s="4640"/>
      <c r="AH472" s="4641"/>
      <c r="AI472" s="3367"/>
    </row>
    <row r="473" ht="20.25" customHeight="1">
      <c r="A473" s="3361"/>
      <c r="B473" s="4624"/>
      <c r="C473" s="4680"/>
      <c r="D473" s="4638"/>
      <c r="E473" s="4673" t="s">
        <v>395</v>
      </c>
      <c r="F473" s="4674"/>
      <c r="G473" s="4681"/>
      <c r="H473" s="4682" t="str">
        <f t="shared" ref="H473:H474" si="10">IMAGE("https://raw.githubusercontent.com/msikma/pokesprite/master/misc/types/gen8/rock.png",4,20,20)</f>
        <v/>
      </c>
      <c r="J473" s="4673" t="s">
        <v>509</v>
      </c>
      <c r="K473" s="4674"/>
      <c r="L473" s="4681"/>
      <c r="M473" s="4682" t="str">
        <f t="shared" ref="M473:M474" si="11">IMAGE("https://raw.githubusercontent.com/msikma/pokesprite/master/misc/types/gen8/psychic.png",4,20,20)</f>
        <v/>
      </c>
      <c r="O473" s="4673" t="s">
        <v>1153</v>
      </c>
      <c r="P473" s="4674"/>
      <c r="Q473" s="4681"/>
      <c r="R473" s="4682" t="str">
        <f>IMAGE("https://raw.githubusercontent.com/msikma/pokesprite/master/misc/types/gen8/fire.png",4,20,20)</f>
        <v/>
      </c>
      <c r="T473" s="4673" t="s">
        <v>318</v>
      </c>
      <c r="U473" s="4674"/>
      <c r="V473" s="4681"/>
      <c r="W473" s="4682" t="str">
        <f>IMAGE("https://raw.githubusercontent.com/msikma/pokesprite/master/misc/types/gen8/ghost.png",4,20,20)</f>
        <v/>
      </c>
      <c r="X473" s="4650"/>
      <c r="Y473" s="4638"/>
      <c r="Z473" s="4639"/>
      <c r="AA473" s="4639"/>
      <c r="AB473" s="4640"/>
      <c r="AC473" s="4652"/>
      <c r="AD473" s="4638"/>
      <c r="AE473" s="4639"/>
      <c r="AF473" s="4639"/>
      <c r="AG473" s="4640"/>
      <c r="AH473" s="4641"/>
      <c r="AI473" s="3367"/>
    </row>
    <row r="474" ht="20.25" customHeight="1">
      <c r="A474" s="3361"/>
      <c r="B474" s="4624"/>
      <c r="C474" s="4680"/>
      <c r="D474" s="4638"/>
      <c r="E474" s="4676" t="s">
        <v>399</v>
      </c>
      <c r="F474" s="4639"/>
      <c r="G474" s="4640"/>
      <c r="H474" s="4683" t="str">
        <f t="shared" si="10"/>
        <v/>
      </c>
      <c r="J474" s="4676" t="s">
        <v>561</v>
      </c>
      <c r="K474" s="4639"/>
      <c r="L474" s="4640"/>
      <c r="M474" s="4683" t="str">
        <f t="shared" si="11"/>
        <v/>
      </c>
      <c r="O474" s="4676" t="s">
        <v>1122</v>
      </c>
      <c r="P474" s="4639"/>
      <c r="Q474" s="4640"/>
      <c r="R474" s="4683" t="str">
        <f>IMAGE("https://raw.githubusercontent.com/msikma/pokesprite/master/misc/types/gen8/grass.png",4,20,20)</f>
        <v/>
      </c>
      <c r="T474" s="4676" t="s">
        <v>973</v>
      </c>
      <c r="U474" s="4639"/>
      <c r="V474" s="4640"/>
      <c r="W474" s="4683" t="str">
        <f>IMAGE("https://raw.githubusercontent.com/msikma/pokesprite/master/misc/types/gen8/dragon.png",4,20,20)</f>
        <v/>
      </c>
      <c r="X474" s="4650"/>
      <c r="Y474" s="4638"/>
      <c r="Z474" s="4639"/>
      <c r="AA474" s="4639"/>
      <c r="AB474" s="4640"/>
      <c r="AC474" s="4652"/>
      <c r="AD474" s="4638"/>
      <c r="AE474" s="4639"/>
      <c r="AF474" s="4639"/>
      <c r="AG474" s="4640"/>
      <c r="AH474" s="4641"/>
      <c r="AI474" s="3367"/>
    </row>
    <row r="475" ht="20.25" customHeight="1">
      <c r="A475" s="3361"/>
      <c r="B475" s="4624"/>
      <c r="C475" s="4680"/>
      <c r="D475" s="4638"/>
      <c r="E475" s="4676" t="s">
        <v>402</v>
      </c>
      <c r="F475" s="4639"/>
      <c r="G475" s="4640"/>
      <c r="H475" s="4683" t="str">
        <f>IMAGE("https://raw.githubusercontent.com/msikma/pokesprite/master/misc/types/gen8/ground.png",4,20,20)</f>
        <v/>
      </c>
      <c r="J475" s="4676" t="s">
        <v>464</v>
      </c>
      <c r="K475" s="4639"/>
      <c r="L475" s="4640"/>
      <c r="M475" s="4683" t="str">
        <f>IMAGE("https://raw.githubusercontent.com/msikma/pokesprite/master/misc/types/gen8/fairy.png",4,20,20)</f>
        <v/>
      </c>
      <c r="O475" s="4676" t="s">
        <v>1154</v>
      </c>
      <c r="P475" s="4639"/>
      <c r="Q475" s="4640"/>
      <c r="R475" s="4683" t="str">
        <f>IMAGE("https://raw.githubusercontent.com/msikma/pokesprite/master/misc/types/gen8/fighting.png",4,20,20)</f>
        <v/>
      </c>
      <c r="T475" s="4676" t="s">
        <v>785</v>
      </c>
      <c r="U475" s="4639"/>
      <c r="V475" s="4640"/>
      <c r="W475" s="4683" t="str">
        <f>IMAGE("https://raw.githubusercontent.com/msikma/pokesprite/master/misc/types/gen8/fire.png",4,20,20)</f>
        <v/>
      </c>
      <c r="X475" s="4650"/>
      <c r="Y475" s="4638"/>
      <c r="Z475" s="4639"/>
      <c r="AA475" s="4639"/>
      <c r="AB475" s="4640"/>
      <c r="AC475" s="4652"/>
      <c r="AD475" s="4638"/>
      <c r="AE475" s="4639"/>
      <c r="AF475" s="4639"/>
      <c r="AG475" s="4640"/>
      <c r="AH475" s="4641"/>
      <c r="AI475" s="3367"/>
    </row>
    <row r="476" ht="21.0" customHeight="1">
      <c r="A476" s="3361"/>
      <c r="B476" s="4624"/>
      <c r="C476" s="4680"/>
      <c r="D476" s="4638"/>
      <c r="E476" s="4684" t="s">
        <v>403</v>
      </c>
      <c r="F476" s="4685"/>
      <c r="G476" s="4686"/>
      <c r="H476" s="4687" t="str">
        <f>IMAGE("https://raw.githubusercontent.com/msikma/pokesprite/master/misc/types/gen8/fire.png",4,20,20)</f>
        <v/>
      </c>
      <c r="I476" s="4922"/>
      <c r="J476" s="4684" t="s">
        <v>315</v>
      </c>
      <c r="K476" s="4685"/>
      <c r="L476" s="4686"/>
      <c r="M476" s="4687" t="str">
        <f>IMAGE("https://raw.githubusercontent.com/msikma/pokesprite/master/misc/types/gen8/fire.png",4,20,20)</f>
        <v/>
      </c>
      <c r="N476" s="4922"/>
      <c r="O476" s="4684" t="s">
        <v>282</v>
      </c>
      <c r="P476" s="4685"/>
      <c r="Q476" s="4686"/>
      <c r="R476" s="4687" t="str">
        <f>IMAGE("https://raw.githubusercontent.com/msikma/pokesprite/master/misc/types/gen8/ground.png",4,20,20)</f>
        <v/>
      </c>
      <c r="S476" s="4922"/>
      <c r="T476" s="4684" t="s">
        <v>278</v>
      </c>
      <c r="U476" s="4685"/>
      <c r="V476" s="4686"/>
      <c r="W476" s="4687" t="str">
        <f>IMAGE("https://raw.githubusercontent.com/msikma/pokesprite/master/misc/types/gen8/bug.png",4,20,20)</f>
        <v/>
      </c>
      <c r="X476" s="4690"/>
      <c r="Y476" s="4638"/>
      <c r="Z476" s="4639"/>
      <c r="AA476" s="4639"/>
      <c r="AB476" s="4640"/>
      <c r="AC476" s="4691"/>
      <c r="AD476" s="4638"/>
      <c r="AE476" s="4639"/>
      <c r="AF476" s="4639"/>
      <c r="AG476" s="4640"/>
      <c r="AH476" s="4641"/>
      <c r="AI476" s="3367"/>
    </row>
    <row r="477" ht="3.0" customHeight="1">
      <c r="A477" s="3445"/>
      <c r="B477" s="4692"/>
      <c r="C477" s="4680"/>
      <c r="D477" s="4693"/>
      <c r="E477" s="4696"/>
      <c r="F477" s="4696"/>
      <c r="G477" s="4696"/>
      <c r="H477" s="4695"/>
      <c r="I477" s="4693"/>
      <c r="J477" s="4696"/>
      <c r="K477" s="4696"/>
      <c r="L477" s="4696"/>
      <c r="M477" s="4695"/>
      <c r="N477" s="4693"/>
      <c r="O477" s="4696"/>
      <c r="P477" s="4696"/>
      <c r="Q477" s="4696"/>
      <c r="R477" s="4698"/>
      <c r="S477" s="4699"/>
      <c r="T477" s="4696"/>
      <c r="U477" s="4696"/>
      <c r="V477" s="4696"/>
      <c r="W477" s="4698"/>
      <c r="X477" s="4693"/>
      <c r="Y477" s="4693"/>
      <c r="Z477" s="4700"/>
      <c r="AA477" s="4700"/>
      <c r="AB477" s="4701"/>
      <c r="AC477" s="4701"/>
      <c r="AD477" s="4701"/>
      <c r="AE477" s="4701"/>
      <c r="AF477" s="4701"/>
      <c r="AG477" s="4701"/>
      <c r="AH477" s="4702"/>
      <c r="AI477" s="3456"/>
    </row>
    <row r="478" ht="16.5" customHeight="1">
      <c r="A478" s="3457"/>
      <c r="B478" s="4703"/>
      <c r="C478" s="4680"/>
      <c r="D478" s="4728"/>
      <c r="E478" s="4705" t="s">
        <v>190</v>
      </c>
      <c r="F478" s="381"/>
      <c r="G478" s="382"/>
      <c r="H478" s="4706" t="s">
        <v>191</v>
      </c>
      <c r="I478" s="4707"/>
      <c r="J478" s="4705" t="s">
        <v>190</v>
      </c>
      <c r="K478" s="381"/>
      <c r="L478" s="382"/>
      <c r="M478" s="4706" t="s">
        <v>191</v>
      </c>
      <c r="N478" s="4707"/>
      <c r="O478" s="4705" t="s">
        <v>190</v>
      </c>
      <c r="P478" s="381"/>
      <c r="Q478" s="382"/>
      <c r="R478" s="4706" t="s">
        <v>191</v>
      </c>
      <c r="S478" s="4923"/>
      <c r="T478" s="4705" t="s">
        <v>190</v>
      </c>
      <c r="U478" s="381"/>
      <c r="V478" s="382"/>
      <c r="W478" s="4706" t="s">
        <v>191</v>
      </c>
      <c r="X478" s="4709"/>
      <c r="Y478" s="4710"/>
      <c r="Z478" s="4711"/>
      <c r="AA478" s="4711"/>
      <c r="AB478" s="4710"/>
      <c r="AC478" s="4710"/>
      <c r="AD478" s="4710"/>
      <c r="AE478" s="4710"/>
      <c r="AF478" s="4710"/>
      <c r="AG478" s="4710"/>
      <c r="AH478" s="4712"/>
      <c r="AI478" s="3466"/>
    </row>
    <row r="479" ht="16.5" customHeight="1">
      <c r="A479" s="3457"/>
      <c r="B479" s="4703"/>
      <c r="C479" s="4680"/>
      <c r="D479" s="4704"/>
      <c r="E479" s="4713" t="s">
        <v>192</v>
      </c>
      <c r="F479" s="4714">
        <f t="array" ref="F479">IFERROR(VLOOKUP(E466,Dex!$B$3:$N1022,8,FALSE),"")</f>
        <v>115</v>
      </c>
      <c r="G479" s="4715" t="str">
        <f t="array" ref="G479">IFERROR(VLOOKUP(F479,Dex!$P$22:$Q$276,2,FALSE),"")</f>
        <v/>
      </c>
      <c r="H479" s="4716">
        <v>252.0</v>
      </c>
      <c r="I479" s="4717"/>
      <c r="J479" s="4713" t="s">
        <v>192</v>
      </c>
      <c r="K479" s="4714">
        <f t="array" ref="K479">IFERROR(VLOOKUP(J466,Dex!$B$3:$N1022,8,FALSE),"")</f>
        <v>68</v>
      </c>
      <c r="L479" s="4715" t="str">
        <f t="array" ref="L479">IFERROR(VLOOKUP(K479,Dex!$P$22:$Q$276,2,FALSE),"")</f>
        <v/>
      </c>
      <c r="M479" s="4716"/>
      <c r="N479" s="4718"/>
      <c r="O479" s="4713" t="s">
        <v>192</v>
      </c>
      <c r="P479" s="4714">
        <f t="array" ref="P479">IFERROR(VLOOKUP(O466,Dex!$B$3:$N1022,8,FALSE),"")</f>
        <v>65</v>
      </c>
      <c r="Q479" s="4715" t="str">
        <f t="array" ref="Q479">IFERROR(VLOOKUP(P479,Dex!$P$22:$Q$276,2,FALSE),"")</f>
        <v/>
      </c>
      <c r="R479" s="4716"/>
      <c r="S479" s="4719"/>
      <c r="T479" s="4713" t="s">
        <v>192</v>
      </c>
      <c r="U479" s="4714">
        <f t="array" ref="U479">IFERROR(VLOOKUP(T466,Dex!$B$3:$N1022,8,FALSE),"")</f>
        <v>88</v>
      </c>
      <c r="V479" s="4715" t="str">
        <f t="array" ref="V479">IFERROR(VLOOKUP(U479,Dex!$P$22:$Q$276,2,FALSE),"")</f>
        <v/>
      </c>
      <c r="W479" s="4716"/>
      <c r="X479" s="4709"/>
      <c r="Y479" s="4710"/>
      <c r="Z479" s="4711"/>
      <c r="AA479" s="4711"/>
      <c r="AB479" s="4710"/>
      <c r="AC479" s="4710"/>
      <c r="AD479" s="4710"/>
      <c r="AE479" s="4710"/>
      <c r="AF479" s="4710"/>
      <c r="AG479" s="4710"/>
      <c r="AH479" s="4712"/>
      <c r="AI479" s="3466"/>
    </row>
    <row r="480" ht="16.5" customHeight="1">
      <c r="A480" s="3457"/>
      <c r="B480" s="4703"/>
      <c r="C480" s="4680"/>
      <c r="D480" s="4704"/>
      <c r="E480" s="4720" t="s">
        <v>193</v>
      </c>
      <c r="F480" s="4721">
        <f t="array" ref="F480">IFERROR(VLOOKUP(E466,Dex!$B$3:$N1022,9,FALSE),"")</f>
        <v>140</v>
      </c>
      <c r="G480" s="4722" t="str">
        <f t="array" ref="G480">IFERROR(VLOOKUP(F480,Dex!$P$22:$Q$276,2,FALSE),"")</f>
        <v/>
      </c>
      <c r="H480" s="4723">
        <v>252.0</v>
      </c>
      <c r="I480" s="4717"/>
      <c r="J480" s="4720" t="s">
        <v>193</v>
      </c>
      <c r="K480" s="4721">
        <f t="array" ref="K480">IFERROR(VLOOKUP(J466,Dex!$B$3:$N1022,9,FALSE),"")</f>
        <v>65</v>
      </c>
      <c r="L480" s="4722" t="str">
        <f t="array" ref="L480">IFERROR(VLOOKUP(K480,Dex!$P$22:$Q$276,2,FALSE),"")</f>
        <v/>
      </c>
      <c r="M480" s="4723"/>
      <c r="N480" s="4718"/>
      <c r="O480" s="4720" t="s">
        <v>193</v>
      </c>
      <c r="P480" s="4721">
        <f t="array" ref="P480">IFERROR(VLOOKUP(O466,Dex!$B$3:$N1022,9,FALSE),"")</f>
        <v>100</v>
      </c>
      <c r="Q480" s="4722" t="str">
        <f t="array" ref="Q480">IFERROR(VLOOKUP(P480,Dex!$P$22:$Q$276,2,FALSE),"")</f>
        <v/>
      </c>
      <c r="R480" s="4723">
        <v>252.0</v>
      </c>
      <c r="S480" s="4719"/>
      <c r="T480" s="4720" t="s">
        <v>193</v>
      </c>
      <c r="U480" s="4721">
        <f t="array" ref="U480">IFERROR(VLOOKUP(T466,Dex!$B$3:$N1022,9,FALSE),"")</f>
        <v>120</v>
      </c>
      <c r="V480" s="4722" t="str">
        <f t="array" ref="V480">IFERROR(VLOOKUP(U480,Dex!$P$22:$Q$276,2,FALSE),"")</f>
        <v/>
      </c>
      <c r="W480" s="4723">
        <v>4.0</v>
      </c>
      <c r="X480" s="4709"/>
      <c r="Y480" s="4710"/>
      <c r="Z480" s="4711"/>
      <c r="AA480" s="4711"/>
      <c r="AB480" s="4710"/>
      <c r="AC480" s="4710"/>
      <c r="AD480" s="4710"/>
      <c r="AE480" s="4710"/>
      <c r="AF480" s="4710"/>
      <c r="AG480" s="4710"/>
      <c r="AH480" s="4712"/>
      <c r="AI480" s="3466"/>
    </row>
    <row r="481" ht="16.5" customHeight="1">
      <c r="A481" s="3457"/>
      <c r="B481" s="4703"/>
      <c r="C481" s="4680"/>
      <c r="D481" s="4704"/>
      <c r="E481" s="4720" t="s">
        <v>194</v>
      </c>
      <c r="F481" s="4721">
        <f t="array" ref="F481">IFERROR(VLOOKUP(E466,Dex!$B$3:$N1022,10,FALSE),"")</f>
        <v>130</v>
      </c>
      <c r="G481" s="4722" t="str">
        <f t="array" ref="G481">IFERROR(VLOOKUP(F481,Dex!$P$22:$Q$276,2,FALSE),"")</f>
        <v/>
      </c>
      <c r="H481" s="4723"/>
      <c r="I481" s="4717"/>
      <c r="J481" s="4720" t="s">
        <v>194</v>
      </c>
      <c r="K481" s="4721">
        <f t="array" ref="K481">IFERROR(VLOOKUP(J466,Dex!$B$3:$N1022,10,FALSE),"")</f>
        <v>65</v>
      </c>
      <c r="L481" s="4722" t="str">
        <f t="array" ref="L481">IFERROR(VLOOKUP(K481,Dex!$P$22:$Q$276,2,FALSE),"")</f>
        <v/>
      </c>
      <c r="M481" s="4723">
        <v>4.0</v>
      </c>
      <c r="N481" s="4718"/>
      <c r="O481" s="4720" t="s">
        <v>194</v>
      </c>
      <c r="P481" s="4721">
        <f t="array" ref="P481">IFERROR(VLOOKUP(O466,Dex!$B$3:$N1022,10,FALSE),"")</f>
        <v>70</v>
      </c>
      <c r="Q481" s="4722" t="str">
        <f t="array" ref="Q481">IFERROR(VLOOKUP(P481,Dex!$P$22:$Q$276,2,FALSE),"")</f>
        <v/>
      </c>
      <c r="R481" s="4723">
        <v>4.0</v>
      </c>
      <c r="S481" s="4719"/>
      <c r="T481" s="4720" t="s">
        <v>194</v>
      </c>
      <c r="U481" s="4721">
        <f t="array" ref="U481">IFERROR(VLOOKUP(T466,Dex!$B$3:$N1022,10,FALSE),"")</f>
        <v>75</v>
      </c>
      <c r="V481" s="4722" t="str">
        <f t="array" ref="V481">IFERROR(VLOOKUP(U481,Dex!$P$22:$Q$276,2,FALSE),"")</f>
        <v/>
      </c>
      <c r="W481" s="4723"/>
      <c r="X481" s="4709"/>
      <c r="Y481" s="4710"/>
      <c r="Z481" s="4711"/>
      <c r="AA481" s="4711"/>
      <c r="AB481" s="4710"/>
      <c r="AC481" s="4710"/>
      <c r="AD481" s="4710"/>
      <c r="AE481" s="4710"/>
      <c r="AF481" s="4710"/>
      <c r="AG481" s="4710"/>
      <c r="AH481" s="4712"/>
      <c r="AI481" s="3466"/>
    </row>
    <row r="482" ht="16.5" customHeight="1">
      <c r="A482" s="3457"/>
      <c r="B482" s="4703"/>
      <c r="C482" s="4680"/>
      <c r="D482" s="4704"/>
      <c r="E482" s="4720" t="s">
        <v>195</v>
      </c>
      <c r="F482" s="4721">
        <f t="array" ref="F482">IFERROR(VLOOKUP(E466,Dex!$B$3:$N1022,11,FALSE),"")</f>
        <v>55</v>
      </c>
      <c r="G482" s="4722" t="str">
        <f t="array" ref="G482">IFERROR(VLOOKUP(F482,Dex!$P$22:$Q$276,2,FALSE),"")</f>
        <v/>
      </c>
      <c r="H482" s="4723"/>
      <c r="I482" s="4717"/>
      <c r="J482" s="4720" t="s">
        <v>195</v>
      </c>
      <c r="K482" s="4721">
        <f t="array" ref="K482">IFERROR(VLOOKUP(J466,Dex!$B$3:$N1022,11,FALSE),"")</f>
        <v>125</v>
      </c>
      <c r="L482" s="4722" t="str">
        <f t="array" ref="L482">IFERROR(VLOOKUP(K482,Dex!$P$22:$Q$276,2,FALSE),"")</f>
        <v/>
      </c>
      <c r="M482" s="4723">
        <v>252.0</v>
      </c>
      <c r="N482" s="4718"/>
      <c r="O482" s="4720" t="s">
        <v>195</v>
      </c>
      <c r="P482" s="4721">
        <f t="array" ref="P482">IFERROR(VLOOKUP(O466,Dex!$B$3:$N1022,11,FALSE),"")</f>
        <v>60</v>
      </c>
      <c r="Q482" s="4722" t="str">
        <f t="array" ref="Q482">IFERROR(VLOOKUP(P482,Dex!$P$22:$Q$276,2,FALSE),"")</f>
        <v/>
      </c>
      <c r="R482" s="4723"/>
      <c r="S482" s="4719"/>
      <c r="T482" s="4720" t="s">
        <v>195</v>
      </c>
      <c r="U482" s="4721">
        <f t="array" ref="U482">IFERROR(VLOOKUP(T466,Dex!$B$3:$N1022,11,FALSE),"")</f>
        <v>100</v>
      </c>
      <c r="V482" s="4722" t="str">
        <f t="array" ref="V482">IFERROR(VLOOKUP(U482,Dex!$P$22:$Q$276,2,FALSE),"")</f>
        <v/>
      </c>
      <c r="W482" s="4723">
        <v>252.0</v>
      </c>
      <c r="X482" s="4709"/>
      <c r="Y482" s="4710"/>
      <c r="Z482" s="4711"/>
      <c r="AA482" s="4711"/>
      <c r="AB482" s="4710"/>
      <c r="AC482" s="4710"/>
      <c r="AD482" s="4710"/>
      <c r="AE482" s="4710"/>
      <c r="AF482" s="4710"/>
      <c r="AG482" s="4710"/>
      <c r="AH482" s="4712"/>
      <c r="AI482" s="3466"/>
    </row>
    <row r="483" ht="16.5" customHeight="1">
      <c r="A483" s="3457"/>
      <c r="B483" s="4703"/>
      <c r="C483" s="4680"/>
      <c r="D483" s="4704"/>
      <c r="E483" s="4720" t="s">
        <v>196</v>
      </c>
      <c r="F483" s="4721">
        <f t="array" ref="F483">IFERROR(VLOOKUP(E466,Dex!$B$3:$N1022,12,FALSE),"")</f>
        <v>55</v>
      </c>
      <c r="G483" s="4722" t="str">
        <f t="array" ref="G483">IFERROR(VLOOKUP(F483,Dex!$P$22:$Q$276,2,FALSE),"")</f>
        <v/>
      </c>
      <c r="H483" s="4723">
        <v>4.0</v>
      </c>
      <c r="I483" s="4717"/>
      <c r="J483" s="4720" t="s">
        <v>196</v>
      </c>
      <c r="K483" s="4721">
        <f t="array" ref="K483">IFERROR(VLOOKUP(J466,Dex!$B$3:$N1022,12,FALSE),"")</f>
        <v>115</v>
      </c>
      <c r="L483" s="4722" t="str">
        <f t="array" ref="L483">IFERROR(VLOOKUP(K483,Dex!$P$22:$Q$276,2,FALSE),"")</f>
        <v/>
      </c>
      <c r="M483" s="4723"/>
      <c r="N483" s="4718"/>
      <c r="O483" s="4720" t="s">
        <v>196</v>
      </c>
      <c r="P483" s="4721">
        <f t="array" ref="P483">IFERROR(VLOOKUP(O466,Dex!$B$3:$N1022,12,FALSE),"")</f>
        <v>80</v>
      </c>
      <c r="Q483" s="4722" t="str">
        <f t="array" ref="Q483">IFERROR(VLOOKUP(P483,Dex!$P$22:$Q$276,2,FALSE),"")</f>
        <v/>
      </c>
      <c r="R483" s="4723"/>
      <c r="S483" s="4719"/>
      <c r="T483" s="4720" t="s">
        <v>196</v>
      </c>
      <c r="U483" s="4721">
        <f t="array" ref="U483">IFERROR(VLOOKUP(T466,Dex!$B$3:$N1022,12,FALSE),"")</f>
        <v>75</v>
      </c>
      <c r="V483" s="4722" t="str">
        <f t="array" ref="V483">IFERROR(VLOOKUP(U483,Dex!$P$22:$Q$276,2,FALSE),"")</f>
        <v/>
      </c>
      <c r="W483" s="4723"/>
      <c r="X483" s="4709"/>
      <c r="Y483" s="4710"/>
      <c r="Z483" s="4711"/>
      <c r="AA483" s="4711"/>
      <c r="AB483" s="4710"/>
      <c r="AC483" s="4710"/>
      <c r="AD483" s="4710"/>
      <c r="AE483" s="4710"/>
      <c r="AF483" s="4710"/>
      <c r="AG483" s="4710"/>
      <c r="AH483" s="4712"/>
      <c r="AI483" s="3466"/>
    </row>
    <row r="484" ht="16.5" customHeight="1">
      <c r="A484" s="3457"/>
      <c r="B484" s="4703"/>
      <c r="C484" s="1204" t="s">
        <v>436</v>
      </c>
      <c r="D484" s="4704"/>
      <c r="E484" s="4724" t="s">
        <v>197</v>
      </c>
      <c r="F484" s="4725">
        <f t="array" ref="F484">IFERROR(VLOOKUP(E466,Dex!$B$3:$N1022,13,FALSE),"")</f>
        <v>40</v>
      </c>
      <c r="G484" s="4726" t="str">
        <f t="array" ref="G484">IFERROR(VLOOKUP(F484,Dex!$P$22:$Q$276,2,FALSE),"")</f>
        <v/>
      </c>
      <c r="H484" s="4727"/>
      <c r="I484" s="4717"/>
      <c r="J484" s="4724" t="s">
        <v>197</v>
      </c>
      <c r="K484" s="4725">
        <f t="array" ref="K484">IFERROR(VLOOKUP(J466,Dex!$B$3:$N1022,13,FALSE),"")</f>
        <v>80</v>
      </c>
      <c r="L484" s="4726" t="str">
        <f t="array" ref="L484">IFERROR(VLOOKUP(K484,Dex!$P$22:$Q$276,2,FALSE),"")</f>
        <v/>
      </c>
      <c r="M484" s="4727">
        <v>252.0</v>
      </c>
      <c r="N484" s="4718"/>
      <c r="O484" s="4724" t="s">
        <v>197</v>
      </c>
      <c r="P484" s="4725">
        <f t="array" ref="P484">IFERROR(VLOOKUP(O466,Dex!$B$3:$N1022,13,FALSE),"")</f>
        <v>125</v>
      </c>
      <c r="Q484" s="4726" t="str">
        <f t="array" ref="Q484">IFERROR(VLOOKUP(P484,Dex!$P$22:$Q$276,2,FALSE),"")</f>
        <v/>
      </c>
      <c r="R484" s="4727">
        <v>252.0</v>
      </c>
      <c r="S484" s="4719"/>
      <c r="T484" s="4724" t="s">
        <v>197</v>
      </c>
      <c r="U484" s="4725">
        <f t="array" ref="U484">IFERROR(VLOOKUP(T466,Dex!$B$3:$N1022,13,FALSE),"")</f>
        <v>142</v>
      </c>
      <c r="V484" s="4726" t="str">
        <f t="array" ref="V484">IFERROR(VLOOKUP(U484,Dex!$P$22:$Q$276,2,FALSE),"")</f>
        <v/>
      </c>
      <c r="W484" s="4727">
        <v>252.0</v>
      </c>
      <c r="X484" s="4709"/>
      <c r="Y484" s="4710"/>
      <c r="Z484" s="4711"/>
      <c r="AA484" s="4711"/>
      <c r="AB484" s="4710"/>
      <c r="AC484" s="4710"/>
      <c r="AD484" s="4710"/>
      <c r="AE484" s="4710"/>
      <c r="AF484" s="4710"/>
      <c r="AG484" s="4710"/>
      <c r="AH484" s="4712"/>
      <c r="AI484" s="3466"/>
    </row>
    <row r="485" ht="16.5" customHeight="1">
      <c r="A485" s="3457"/>
      <c r="B485" s="4703"/>
      <c r="C485" s="1205" t="s">
        <v>437</v>
      </c>
      <c r="D485" s="4728"/>
      <c r="E485" s="4729" t="s">
        <v>198</v>
      </c>
      <c r="F485" s="405"/>
      <c r="G485" s="406"/>
      <c r="H485" s="4730">
        <v>74.0</v>
      </c>
      <c r="I485" s="4707"/>
      <c r="J485" s="4729" t="s">
        <v>198</v>
      </c>
      <c r="K485" s="405"/>
      <c r="L485" s="406"/>
      <c r="M485" s="4730">
        <v>181.0</v>
      </c>
      <c r="N485" s="4707"/>
      <c r="O485" s="4729" t="s">
        <v>198</v>
      </c>
      <c r="P485" s="405"/>
      <c r="Q485" s="406"/>
      <c r="R485" s="4730">
        <v>243.0</v>
      </c>
      <c r="S485" s="4924"/>
      <c r="T485" s="4729" t="s">
        <v>198</v>
      </c>
      <c r="U485" s="405"/>
      <c r="V485" s="406"/>
      <c r="W485" s="4730">
        <v>267.0</v>
      </c>
      <c r="X485" s="4709"/>
      <c r="Y485" s="4710"/>
      <c r="Z485" s="4711"/>
      <c r="AA485" s="4711"/>
      <c r="AB485" s="4710"/>
      <c r="AC485" s="4710"/>
      <c r="AD485" s="4710"/>
      <c r="AE485" s="4710"/>
      <c r="AF485" s="4710"/>
      <c r="AG485" s="4710"/>
      <c r="AH485" s="4712"/>
      <c r="AI485" s="3466"/>
    </row>
    <row r="486" ht="15.0" customHeight="1">
      <c r="A486" s="3361"/>
      <c r="B486" s="4743"/>
      <c r="C486" s="4744"/>
      <c r="D486" s="4745"/>
      <c r="E486" s="4747"/>
      <c r="F486" s="4747"/>
      <c r="G486" s="4747"/>
      <c r="H486" s="4746"/>
      <c r="I486" s="4745"/>
      <c r="J486" s="4747"/>
      <c r="K486" s="4747"/>
      <c r="L486" s="4747"/>
      <c r="M486" s="4746"/>
      <c r="N486" s="4745"/>
      <c r="O486" s="4747"/>
      <c r="P486" s="4747"/>
      <c r="Q486" s="4747"/>
      <c r="R486" s="4746"/>
      <c r="S486" s="4745"/>
      <c r="T486" s="4747"/>
      <c r="U486" s="4747"/>
      <c r="V486" s="4747"/>
      <c r="W486" s="4747"/>
      <c r="X486" s="4745"/>
      <c r="Y486" s="4745"/>
      <c r="Z486" s="4745"/>
      <c r="AA486" s="4745"/>
      <c r="AB486" s="4745"/>
      <c r="AC486" s="4745"/>
      <c r="AD486" s="4745"/>
      <c r="AE486" s="4745"/>
      <c r="AF486" s="4745"/>
      <c r="AG486" s="4745"/>
      <c r="AH486" s="4748"/>
      <c r="AI486" s="3367"/>
    </row>
    <row r="487" ht="15.0" customHeight="1">
      <c r="A487" s="3361"/>
      <c r="B487" s="4925"/>
      <c r="C487" s="4926"/>
      <c r="D487" s="4926"/>
      <c r="E487" s="4926"/>
      <c r="F487" s="4926"/>
      <c r="G487" s="4926"/>
      <c r="H487" s="4926"/>
      <c r="I487" s="4926"/>
      <c r="J487" s="4926"/>
      <c r="K487" s="4926"/>
      <c r="L487" s="4926"/>
      <c r="M487" s="4926"/>
      <c r="N487" s="4926"/>
      <c r="O487" s="4926"/>
      <c r="P487" s="4926"/>
      <c r="Q487" s="4926"/>
      <c r="R487" s="4926"/>
      <c r="S487" s="4926"/>
      <c r="T487" s="4926"/>
      <c r="U487" s="4926"/>
      <c r="V487" s="4926"/>
      <c r="W487" s="4926"/>
      <c r="X487" s="4926"/>
      <c r="Y487" s="4926"/>
      <c r="Z487" s="4926"/>
      <c r="AA487" s="4926"/>
      <c r="AB487" s="4926"/>
      <c r="AC487" s="4926"/>
      <c r="AD487" s="4926"/>
      <c r="AE487" s="4926"/>
      <c r="AF487" s="4926"/>
      <c r="AG487" s="4926"/>
      <c r="AH487" s="4927"/>
      <c r="AI487" s="3367"/>
    </row>
    <row r="488">
      <c r="A488" s="3361"/>
      <c r="B488" s="2268"/>
      <c r="C488" s="4928"/>
      <c r="D488" s="2287"/>
      <c r="E488" s="4929" t="s">
        <v>1155</v>
      </c>
      <c r="F488" s="2324"/>
      <c r="G488" s="2324"/>
      <c r="H488" s="2324"/>
      <c r="I488" s="2324"/>
      <c r="J488" s="2324"/>
      <c r="K488" s="2324"/>
      <c r="L488" s="2324"/>
      <c r="M488" s="2324"/>
      <c r="N488" s="2324"/>
      <c r="O488" s="2324"/>
      <c r="P488" s="2324"/>
      <c r="Q488" s="2324"/>
      <c r="R488" s="2324"/>
      <c r="S488" s="2324"/>
      <c r="T488" s="2324"/>
      <c r="U488" s="2324"/>
      <c r="V488" s="2324"/>
      <c r="W488" s="2324"/>
      <c r="X488" s="2324"/>
      <c r="Y488" s="2324"/>
      <c r="Z488" s="2324"/>
      <c r="AA488" s="2324"/>
      <c r="AB488" s="2324"/>
      <c r="AC488" s="2324"/>
      <c r="AD488" s="2324"/>
      <c r="AE488" s="2324"/>
      <c r="AF488" s="2324"/>
      <c r="AG488" s="4930"/>
      <c r="AH488" s="4931"/>
      <c r="AI488" s="3367"/>
    </row>
    <row r="489" ht="96.75" customHeight="1">
      <c r="A489" s="3361"/>
      <c r="B489" s="2300"/>
      <c r="C489" s="4932" t="str">
        <f>IMAGE("https://i.ibb.co/qsQbp4Z/Biker.png")</f>
        <v/>
      </c>
      <c r="D489" s="2492"/>
      <c r="E489" s="4933" t="str">
        <f t="array" ref="E489">IFERROR(VLOOKUP(E490,Dex!$B$3:$G1022,3,FALSE),"")</f>
        <v/>
      </c>
      <c r="F489" s="1830"/>
      <c r="G489" s="1830"/>
      <c r="H489" s="1831"/>
      <c r="I489" s="2492"/>
      <c r="J489" s="4933" t="str">
        <f t="array" ref="J489">IFERROR(VLOOKUP(J490,Dex!$B$3:$G1022,3,FALSE),"")</f>
        <v/>
      </c>
      <c r="K489" s="1830"/>
      <c r="L489" s="1830"/>
      <c r="M489" s="1831"/>
      <c r="N489" s="2492"/>
      <c r="O489" s="4933" t="str">
        <f t="array" ref="O489">IFERROR(VLOOKUP(O490,Dex!$B$3:$G1022,3,FALSE),"")</f>
        <v/>
      </c>
      <c r="P489" s="1830"/>
      <c r="Q489" s="1830"/>
      <c r="R489" s="1831"/>
      <c r="S489" s="2492"/>
      <c r="T489" s="4933" t="str">
        <f t="array" ref="T489">IFERROR(VLOOKUP(T490,Dex!$B$3:$G1022,3,FALSE),"")</f>
        <v/>
      </c>
      <c r="U489" s="1830"/>
      <c r="V489" s="1830"/>
      <c r="W489" s="1831"/>
      <c r="X489" s="2493"/>
      <c r="Y489" s="2270"/>
      <c r="Z489" s="2273"/>
      <c r="AA489" s="2273"/>
      <c r="AB489" s="2274"/>
      <c r="AC489" s="2287"/>
      <c r="AD489" s="2270"/>
      <c r="AE489" s="2273"/>
      <c r="AF489" s="2273"/>
      <c r="AG489" s="2274"/>
      <c r="AH489" s="2276"/>
      <c r="AI489" s="3367"/>
    </row>
    <row r="490" ht="18.75" customHeight="1">
      <c r="A490" s="3621"/>
      <c r="B490" s="2358"/>
      <c r="C490" s="4934" t="s">
        <v>1156</v>
      </c>
      <c r="E490" s="2292" t="s">
        <v>1157</v>
      </c>
      <c r="F490" s="2293"/>
      <c r="G490" s="2293"/>
      <c r="H490" s="2294"/>
      <c r="J490" s="2292" t="s">
        <v>1158</v>
      </c>
      <c r="K490" s="2293"/>
      <c r="L490" s="2293"/>
      <c r="M490" s="2294"/>
      <c r="O490" s="2292" t="s">
        <v>1159</v>
      </c>
      <c r="P490" s="2293"/>
      <c r="Q490" s="2293"/>
      <c r="R490" s="2294"/>
      <c r="T490" s="2292" t="s">
        <v>944</v>
      </c>
      <c r="U490" s="2293"/>
      <c r="V490" s="2293"/>
      <c r="W490" s="2294"/>
      <c r="X490" s="2495"/>
      <c r="Y490" s="2297"/>
      <c r="Z490" s="2273"/>
      <c r="AA490" s="2273"/>
      <c r="AB490" s="2274"/>
      <c r="AC490" s="104"/>
      <c r="AD490" s="2297"/>
      <c r="AE490" s="2273"/>
      <c r="AF490" s="2273"/>
      <c r="AG490" s="2274"/>
      <c r="AH490" s="2298"/>
      <c r="AI490" s="3631"/>
    </row>
    <row r="491">
      <c r="A491" s="3632"/>
      <c r="B491" s="4935"/>
      <c r="C491" s="1481"/>
      <c r="E491" s="2496" t="s">
        <v>843</v>
      </c>
      <c r="F491" s="2303"/>
      <c r="G491" s="2303"/>
      <c r="H491" s="2304"/>
      <c r="J491" s="2496" t="s">
        <v>843</v>
      </c>
      <c r="K491" s="2303"/>
      <c r="L491" s="2303"/>
      <c r="M491" s="2304"/>
      <c r="O491" s="2496" t="s">
        <v>843</v>
      </c>
      <c r="P491" s="2303"/>
      <c r="Q491" s="2303"/>
      <c r="R491" s="2304"/>
      <c r="T491" s="2496" t="s">
        <v>843</v>
      </c>
      <c r="U491" s="2303"/>
      <c r="V491" s="2303"/>
      <c r="W491" s="2304"/>
      <c r="X491" s="2495"/>
      <c r="Y491" s="2704"/>
      <c r="Z491" s="2273"/>
      <c r="AA491" s="2273"/>
      <c r="AB491" s="2274"/>
      <c r="AC491" s="104"/>
      <c r="AD491" s="2704"/>
      <c r="AE491" s="2273"/>
      <c r="AF491" s="2273"/>
      <c r="AG491" s="2274"/>
      <c r="AH491" s="4936"/>
      <c r="AI491" s="3640"/>
    </row>
    <row r="492" ht="25.5" customHeight="1">
      <c r="A492" s="3361"/>
      <c r="B492" s="2300"/>
      <c r="C492" s="1489"/>
      <c r="E492" s="2307"/>
      <c r="F492" s="2308" t="str">
        <f t="array" ref="F492">IFERROR(VLOOKUP(E490,Dex!$B$3:$H1022,5,FALSE),"")</f>
        <v/>
      </c>
      <c r="G492" s="2309" t="str">
        <f t="array" ref="G492">IFERROR(VLOOKUP(E490,Dex!$B$3:$H1022,7,FALSE),"")</f>
        <v/>
      </c>
      <c r="H492" s="2310"/>
      <c r="J492" s="2307"/>
      <c r="K492" s="2308" t="str">
        <f t="array" ref="K492">IFERROR(VLOOKUP(J490,Dex!$B$3:$H1022,5,FALSE),"")</f>
        <v/>
      </c>
      <c r="L492" s="2309" t="str">
        <f t="array" ref="L492">IFERROR(VLOOKUP(J490,Dex!$B$3:$H1022,7,FALSE),"")</f>
        <v/>
      </c>
      <c r="M492" s="2310"/>
      <c r="O492" s="2307"/>
      <c r="P492" s="2308" t="str">
        <f t="array" ref="P492">IFERROR(VLOOKUP(O490,Dex!$B$3:$H1022,5,FALSE),"")</f>
        <v/>
      </c>
      <c r="Q492" s="2309" t="str">
        <f t="array" ref="Q492">IFERROR(VLOOKUP(O490,Dex!$B$3:$H1022,7,FALSE),"")</f>
        <v/>
      </c>
      <c r="R492" s="2310"/>
      <c r="T492" s="2307"/>
      <c r="U492" s="2308" t="str">
        <f t="array" ref="U492">IFERROR(VLOOKUP(T490,Dex!$B$3:$H1022,5,FALSE),"")</f>
        <v/>
      </c>
      <c r="V492" s="2309" t="str">
        <f t="array" ref="V492">IFERROR(VLOOKUP(T490,Dex!$B$3:$H1022,7,FALSE),"")</f>
        <v/>
      </c>
      <c r="W492" s="2310"/>
      <c r="X492" s="2495"/>
      <c r="Y492" s="2270"/>
      <c r="Z492" s="2273"/>
      <c r="AA492" s="2273"/>
      <c r="AB492" s="2274"/>
      <c r="AC492" s="104"/>
      <c r="AD492" s="2270"/>
      <c r="AE492" s="2273"/>
      <c r="AF492" s="2273"/>
      <c r="AG492" s="2274"/>
      <c r="AH492" s="2276"/>
      <c r="AI492" s="3367"/>
    </row>
    <row r="493" ht="2.25" customHeight="1">
      <c r="A493" s="3361"/>
      <c r="B493" s="2300"/>
      <c r="C493" s="4666"/>
      <c r="E493" s="2313"/>
      <c r="F493" s="2314"/>
      <c r="G493" s="2314"/>
      <c r="H493" s="2315"/>
      <c r="J493" s="2313"/>
      <c r="K493" s="2314"/>
      <c r="L493" s="2314"/>
      <c r="M493" s="2315"/>
      <c r="O493" s="2313"/>
      <c r="P493" s="2314"/>
      <c r="Q493" s="2314"/>
      <c r="R493" s="2315"/>
      <c r="T493" s="2313"/>
      <c r="U493" s="2314"/>
      <c r="V493" s="2314"/>
      <c r="W493" s="2315"/>
      <c r="X493" s="2495"/>
      <c r="Y493" s="2316"/>
      <c r="Z493" s="2316"/>
      <c r="AA493" s="2316"/>
      <c r="AB493" s="2316"/>
      <c r="AC493" s="104"/>
      <c r="AD493" s="2316"/>
      <c r="AE493" s="2316"/>
      <c r="AF493" s="2316"/>
      <c r="AG493" s="2316"/>
      <c r="AH493" s="2276"/>
      <c r="AI493" s="3367"/>
    </row>
    <row r="494" ht="20.25" customHeight="1">
      <c r="A494" s="3361"/>
      <c r="B494" s="2268"/>
      <c r="C494" s="4937"/>
      <c r="E494" s="2317" t="s">
        <v>169</v>
      </c>
      <c r="F494" s="2318"/>
      <c r="G494" s="2318"/>
      <c r="H494" s="2319"/>
      <c r="J494" s="2317" t="s">
        <v>169</v>
      </c>
      <c r="K494" s="2318"/>
      <c r="L494" s="2318"/>
      <c r="M494" s="2319"/>
      <c r="O494" s="2317" t="s">
        <v>263</v>
      </c>
      <c r="P494" s="2318"/>
      <c r="Q494" s="2318"/>
      <c r="R494" s="2319"/>
      <c r="T494" s="2317" t="s">
        <v>172</v>
      </c>
      <c r="U494" s="2318"/>
      <c r="V494" s="2318"/>
      <c r="W494" s="2319"/>
      <c r="X494" s="2495"/>
      <c r="Y494" s="2270"/>
      <c r="Z494" s="2273"/>
      <c r="AA494" s="2273"/>
      <c r="AB494" s="2274"/>
      <c r="AC494" s="104"/>
      <c r="AD494" s="2270"/>
      <c r="AE494" s="2273"/>
      <c r="AF494" s="2273"/>
      <c r="AG494" s="2274"/>
      <c r="AH494" s="2276"/>
      <c r="AI494" s="3367"/>
    </row>
    <row r="495">
      <c r="A495" s="3361"/>
      <c r="B495" s="2268"/>
      <c r="C495" s="2269"/>
      <c r="E495" s="2321" t="s">
        <v>173</v>
      </c>
      <c r="F495" s="2273"/>
      <c r="G495" s="2273"/>
      <c r="H495" s="2322"/>
      <c r="J495" s="2321" t="s">
        <v>359</v>
      </c>
      <c r="K495" s="2273"/>
      <c r="L495" s="2273"/>
      <c r="M495" s="2322"/>
      <c r="O495" s="2321" t="s">
        <v>1160</v>
      </c>
      <c r="P495" s="2273"/>
      <c r="Q495" s="2273"/>
      <c r="R495" s="2322"/>
      <c r="T495" s="2321" t="s">
        <v>550</v>
      </c>
      <c r="U495" s="2273"/>
      <c r="V495" s="2273"/>
      <c r="W495" s="2322"/>
      <c r="X495" s="2495"/>
      <c r="Y495" s="2270"/>
      <c r="Z495" s="2273"/>
      <c r="AA495" s="2273"/>
      <c r="AB495" s="2274"/>
      <c r="AC495" s="104"/>
      <c r="AD495" s="2270"/>
      <c r="AE495" s="2273"/>
      <c r="AF495" s="2273"/>
      <c r="AG495" s="2274"/>
      <c r="AH495" s="2276"/>
      <c r="AI495" s="3367"/>
    </row>
    <row r="496" ht="20.25" customHeight="1">
      <c r="A496" s="3361"/>
      <c r="B496" s="2268"/>
      <c r="C496" s="2269"/>
      <c r="E496" s="2323" t="s">
        <v>176</v>
      </c>
      <c r="F496" s="2324"/>
      <c r="G496" s="4930"/>
      <c r="H496" s="4938" t="str">
        <f>IMAGE("https://raw.githubusercontent.com/msikma/pokesprite/master/items/berry/custap.png",3)</f>
        <v/>
      </c>
      <c r="J496" s="2323" t="s">
        <v>240</v>
      </c>
      <c r="K496" s="2324"/>
      <c r="L496" s="4930"/>
      <c r="M496" s="4938" t="str">
        <f>IMAGE("https://raw.githubusercontent.com/msikma/pokesprite/master/items/hold-item/focus-sash.png",3)</f>
        <v/>
      </c>
      <c r="O496" s="2323" t="s">
        <v>1161</v>
      </c>
      <c r="P496" s="2324"/>
      <c r="Q496" s="4930"/>
      <c r="R496" s="4938" t="str">
        <f>IMAGE("https://raw.githubusercontent.com/msikma/pokesprite/master/items/mega-stone/cameruptite.png",3)</f>
        <v/>
      </c>
      <c r="T496" s="2323" t="s">
        <v>1162</v>
      </c>
      <c r="U496" s="2324"/>
      <c r="V496" s="4930"/>
      <c r="W496" s="4938" t="str">
        <f>IMAGE("https://raw.githubusercontent.com/msikma/pokesprite/master/items/hold-item/soft-sand.png",3)</f>
        <v/>
      </c>
      <c r="X496" s="2495"/>
      <c r="Y496" s="2270"/>
      <c r="Z496" s="2273"/>
      <c r="AA496" s="2273"/>
      <c r="AB496" s="2274"/>
      <c r="AC496" s="104"/>
      <c r="AD496" s="2270"/>
      <c r="AE496" s="2273"/>
      <c r="AF496" s="2273"/>
      <c r="AG496" s="2274"/>
      <c r="AH496" s="2276"/>
      <c r="AI496" s="3367"/>
    </row>
    <row r="497" ht="20.25" customHeight="1">
      <c r="A497" s="3361"/>
      <c r="B497" s="2268"/>
      <c r="C497" s="2338"/>
      <c r="E497" s="2317" t="s">
        <v>395</v>
      </c>
      <c r="F497" s="2318"/>
      <c r="G497" s="2327"/>
      <c r="H497" s="4939" t="str">
        <f>IMAGE("https://raw.githubusercontent.com/msikma/pokesprite/master/misc/types/gen8/rock.png",4,20,20)</f>
        <v/>
      </c>
      <c r="J497" s="2317" t="s">
        <v>1122</v>
      </c>
      <c r="K497" s="2318"/>
      <c r="L497" s="2327"/>
      <c r="M497" s="4939" t="str">
        <f>IMAGE("https://raw.githubusercontent.com/msikma/pokesprite/master/misc/types/gen8/grass.png",4,20,20)</f>
        <v/>
      </c>
      <c r="O497" s="2317" t="s">
        <v>785</v>
      </c>
      <c r="P497" s="2318"/>
      <c r="Q497" s="2327"/>
      <c r="R497" s="4939" t="str">
        <f>IMAGE("https://raw.githubusercontent.com/msikma/pokesprite/master/misc/types/gen8/fire.png",4,20,20)</f>
        <v/>
      </c>
      <c r="T497" s="2317" t="s">
        <v>1163</v>
      </c>
      <c r="U497" s="2318"/>
      <c r="V497" s="2327"/>
      <c r="W497" s="4939" t="str">
        <f>IMAGE("https://raw.githubusercontent.com/msikma/pokesprite/master/misc/types/gen8/ground.png",4,20,20)</f>
        <v/>
      </c>
      <c r="X497" s="2495"/>
      <c r="Y497" s="2270"/>
      <c r="Z497" s="2273"/>
      <c r="AA497" s="2273"/>
      <c r="AB497" s="2274"/>
      <c r="AC497" s="104"/>
      <c r="AD497" s="2270"/>
      <c r="AE497" s="2273"/>
      <c r="AF497" s="2273"/>
      <c r="AG497" s="2274"/>
      <c r="AH497" s="2276"/>
      <c r="AI497" s="3367"/>
    </row>
    <row r="498" ht="20.25" customHeight="1">
      <c r="A498" s="3361"/>
      <c r="B498" s="2268"/>
      <c r="C498" s="2338"/>
      <c r="E498" s="2321" t="s">
        <v>1164</v>
      </c>
      <c r="F498" s="2273"/>
      <c r="G498" s="2274"/>
      <c r="H498" s="4940" t="str">
        <f>IMAGE("https://raw.githubusercontent.com/msikma/pokesprite/master/misc/types/gen8/ground.png",4,20,20)</f>
        <v/>
      </c>
      <c r="J498" s="2321" t="s">
        <v>489</v>
      </c>
      <c r="K498" s="2273"/>
      <c r="L498" s="2274"/>
      <c r="M498" s="4940" t="str">
        <f>IMAGE("https://raw.githubusercontent.com/msikma/pokesprite/master/misc/types/gen8/normal.png",4,20,20)</f>
        <v/>
      </c>
      <c r="O498" s="2321" t="s">
        <v>286</v>
      </c>
      <c r="P498" s="2273"/>
      <c r="Q498" s="2274"/>
      <c r="R498" s="4940" t="str">
        <f>IMAGE("https://raw.githubusercontent.com/msikma/pokesprite/master/misc/types/gen8/ground.png",4,20,20)</f>
        <v/>
      </c>
      <c r="T498" s="2321" t="s">
        <v>634</v>
      </c>
      <c r="U498" s="2273"/>
      <c r="V498" s="2274"/>
      <c r="W498" s="4940" t="str">
        <f t="shared" ref="W498:W499" si="12">IMAGE("https://raw.githubusercontent.com/msikma/pokesprite/master/misc/types/gen8/ice.png",4,20,20)</f>
        <v/>
      </c>
      <c r="X498" s="2495"/>
      <c r="Y498" s="2270"/>
      <c r="Z498" s="2273"/>
      <c r="AA498" s="2273"/>
      <c r="AB498" s="2274"/>
      <c r="AC498" s="104"/>
      <c r="AD498" s="2270"/>
      <c r="AE498" s="2273"/>
      <c r="AF498" s="2273"/>
      <c r="AG498" s="2274"/>
      <c r="AH498" s="2276"/>
      <c r="AI498" s="3367"/>
    </row>
    <row r="499" ht="20.25" customHeight="1">
      <c r="A499" s="3361"/>
      <c r="B499" s="2268"/>
      <c r="C499" s="2338"/>
      <c r="E499" s="2321" t="s">
        <v>399</v>
      </c>
      <c r="F499" s="2273"/>
      <c r="G499" s="2274"/>
      <c r="H499" s="4940" t="str">
        <f>IMAGE("https://raw.githubusercontent.com/msikma/pokesprite/master/misc/types/gen8/rock.png",4,20,20)</f>
        <v/>
      </c>
      <c r="J499" s="2321" t="s">
        <v>538</v>
      </c>
      <c r="K499" s="2273"/>
      <c r="L499" s="2274"/>
      <c r="M499" s="4940" t="str">
        <f>IMAGE("https://raw.githubusercontent.com/msikma/pokesprite/master/misc/types/gen8/bug.png",4,20,20)</f>
        <v/>
      </c>
      <c r="O499" s="2321" t="s">
        <v>376</v>
      </c>
      <c r="P499" s="2273"/>
      <c r="Q499" s="2274"/>
      <c r="R499" s="4940" t="str">
        <f>IMAGE("https://raw.githubusercontent.com/msikma/pokesprite/master/misc/types/gen8/grass.png",4,20,20)</f>
        <v/>
      </c>
      <c r="T499" s="2321" t="s">
        <v>947</v>
      </c>
      <c r="U499" s="2273"/>
      <c r="V499" s="2274"/>
      <c r="W499" s="4940" t="str">
        <f t="shared" si="12"/>
        <v/>
      </c>
      <c r="X499" s="2495"/>
      <c r="Y499" s="2270"/>
      <c r="Z499" s="2273"/>
      <c r="AA499" s="2273"/>
      <c r="AB499" s="2274"/>
      <c r="AC499" s="104"/>
      <c r="AD499" s="2270"/>
      <c r="AE499" s="2273"/>
      <c r="AF499" s="2273"/>
      <c r="AG499" s="2274"/>
      <c r="AH499" s="2276"/>
      <c r="AI499" s="3367"/>
    </row>
    <row r="500" ht="21.0" customHeight="1">
      <c r="A500" s="3361"/>
      <c r="B500" s="2268"/>
      <c r="C500" s="2338"/>
      <c r="D500" s="2497"/>
      <c r="E500" s="2330" t="s">
        <v>402</v>
      </c>
      <c r="F500" s="2331"/>
      <c r="G500" s="2332"/>
      <c r="H500" s="4941" t="str">
        <f>IMAGE("https://raw.githubusercontent.com/msikma/pokesprite/master/misc/types/gen8/ground.png",4,20,20)</f>
        <v/>
      </c>
      <c r="I500" s="2497"/>
      <c r="J500" s="2330" t="s">
        <v>606</v>
      </c>
      <c r="K500" s="2331"/>
      <c r="L500" s="2332"/>
      <c r="M500" s="4941" t="str">
        <f>IMAGE("https://raw.githubusercontent.com/msikma/pokesprite/master/misc/types/gen8/fighting.png",4,20,20)</f>
        <v/>
      </c>
      <c r="N500" s="2497"/>
      <c r="O500" s="2330" t="s">
        <v>276</v>
      </c>
      <c r="P500" s="2331"/>
      <c r="Q500" s="2332"/>
      <c r="R500" s="4941" t="str">
        <f>IMAGE("https://raw.githubusercontent.com/msikma/pokesprite/master/misc/types/gen8/rock.png",4,20,20)</f>
        <v/>
      </c>
      <c r="S500" s="2497"/>
      <c r="T500" s="2330" t="s">
        <v>181</v>
      </c>
      <c r="U500" s="2331"/>
      <c r="V500" s="2332"/>
      <c r="W500" s="4941" t="str">
        <f>IMAGE("https://raw.githubusercontent.com/msikma/pokesprite/master/misc/types/gen8/rock.png",4,20,20)</f>
        <v/>
      </c>
      <c r="X500" s="2498"/>
      <c r="Y500" s="2270"/>
      <c r="Z500" s="2273"/>
      <c r="AA500" s="2273"/>
      <c r="AB500" s="2274"/>
      <c r="AC500" s="281"/>
      <c r="AD500" s="2270"/>
      <c r="AE500" s="2273"/>
      <c r="AF500" s="2273"/>
      <c r="AG500" s="2274"/>
      <c r="AH500" s="2276"/>
      <c r="AI500" s="3367"/>
    </row>
    <row r="501" ht="3.0" customHeight="1">
      <c r="A501" s="3445"/>
      <c r="B501" s="2337"/>
      <c r="C501" s="2338"/>
      <c r="D501" s="2339"/>
      <c r="E501" s="4942"/>
      <c r="F501" s="4942"/>
      <c r="G501" s="4942"/>
      <c r="H501" s="4943"/>
      <c r="I501" s="2339"/>
      <c r="J501" s="4944"/>
      <c r="K501" s="4944"/>
      <c r="L501" s="4944"/>
      <c r="M501" s="4943"/>
      <c r="N501" s="2339"/>
      <c r="O501" s="4944"/>
      <c r="P501" s="4944"/>
      <c r="Q501" s="4944"/>
      <c r="R501" s="4945"/>
      <c r="S501" s="2339"/>
      <c r="T501" s="4944"/>
      <c r="U501" s="4944"/>
      <c r="V501" s="4944"/>
      <c r="W501" s="4945"/>
      <c r="X501" s="2339"/>
      <c r="Y501" s="2339"/>
      <c r="Z501" s="2341"/>
      <c r="AA501" s="2341"/>
      <c r="AB501" s="2342"/>
      <c r="AC501" s="2342"/>
      <c r="AD501" s="2342"/>
      <c r="AE501" s="2342"/>
      <c r="AF501" s="2342"/>
      <c r="AG501" s="2342"/>
      <c r="AH501" s="2343"/>
      <c r="AI501" s="3456"/>
    </row>
    <row r="502" ht="16.5" customHeight="1">
      <c r="A502" s="3457"/>
      <c r="B502" s="2345"/>
      <c r="C502" s="2338"/>
      <c r="D502" s="4946"/>
      <c r="E502" s="4947" t="s">
        <v>190</v>
      </c>
      <c r="F502" s="381"/>
      <c r="G502" s="382"/>
      <c r="H502" s="4948" t="s">
        <v>191</v>
      </c>
      <c r="I502" s="4946"/>
      <c r="J502" s="4947" t="s">
        <v>190</v>
      </c>
      <c r="K502" s="381"/>
      <c r="L502" s="382"/>
      <c r="M502" s="4948" t="s">
        <v>191</v>
      </c>
      <c r="N502" s="4946"/>
      <c r="O502" s="4947" t="s">
        <v>190</v>
      </c>
      <c r="P502" s="381"/>
      <c r="Q502" s="382"/>
      <c r="R502" s="4948" t="s">
        <v>191</v>
      </c>
      <c r="S502" s="4946"/>
      <c r="T502" s="4947" t="s">
        <v>190</v>
      </c>
      <c r="U502" s="381"/>
      <c r="V502" s="382"/>
      <c r="W502" s="4948" t="s">
        <v>191</v>
      </c>
      <c r="X502" s="4949"/>
      <c r="Y502" s="2350"/>
      <c r="Z502" s="2349"/>
      <c r="AA502" s="2349"/>
      <c r="AB502" s="2350"/>
      <c r="AC502" s="2350"/>
      <c r="AD502" s="2350"/>
      <c r="AE502" s="2350"/>
      <c r="AF502" s="2350"/>
      <c r="AG502" s="2350"/>
      <c r="AH502" s="2351"/>
      <c r="AI502" s="3466"/>
    </row>
    <row r="503" ht="16.5" customHeight="1">
      <c r="A503" s="3457"/>
      <c r="B503" s="2345"/>
      <c r="C503" s="2338"/>
      <c r="D503" s="4950"/>
      <c r="E503" s="4951" t="s">
        <v>192</v>
      </c>
      <c r="F503" s="4952">
        <f t="array" ref="F503">IFERROR(VLOOKUP(E490,Dex!$B$3:$N1022,8,FALSE),"")</f>
        <v>70</v>
      </c>
      <c r="G503" s="4953" t="str">
        <f t="array" ref="G503">IFERROR(VLOOKUP(F503,Dex!$P$22:$Q$276,2,FALSE),"")</f>
        <v/>
      </c>
      <c r="H503" s="4954">
        <v>252.0</v>
      </c>
      <c r="I503" s="4950"/>
      <c r="J503" s="4951" t="s">
        <v>192</v>
      </c>
      <c r="K503" s="4952">
        <f t="array" ref="K503">IFERROR(VLOOKUP(J490,Dex!$B$3:$N1022,8,FALSE),"")</f>
        <v>75</v>
      </c>
      <c r="L503" s="4953" t="str">
        <f t="array" ref="L503">IFERROR(VLOOKUP(K503,Dex!$P$22:$Q$276,2,FALSE),"")</f>
        <v/>
      </c>
      <c r="M503" s="4954"/>
      <c r="N503" s="4950"/>
      <c r="O503" s="4951" t="s">
        <v>192</v>
      </c>
      <c r="P503" s="4952">
        <f t="array" ref="P503">IFERROR(VLOOKUP(O490,Dex!$B$3:$N1022,8,FALSE),"")</f>
        <v>90</v>
      </c>
      <c r="Q503" s="4953" t="str">
        <f t="array" ref="Q503">IFERROR(VLOOKUP(P503,Dex!$P$22:$Q$276,2,FALSE),"")</f>
        <v/>
      </c>
      <c r="R503" s="4954">
        <v>252.0</v>
      </c>
      <c r="S503" s="4950"/>
      <c r="T503" s="4951" t="s">
        <v>192</v>
      </c>
      <c r="U503" s="4952">
        <f t="array" ref="U503">IFERROR(VLOOKUP(T490,Dex!$B$3:$N1022,8,FALSE),"")</f>
        <v>110</v>
      </c>
      <c r="V503" s="4953" t="str">
        <f t="array" ref="V503">IFERROR(VLOOKUP(U503,Dex!$P$22:$Q$276,2,FALSE),"")</f>
        <v/>
      </c>
      <c r="W503" s="4954"/>
      <c r="X503" s="4949"/>
      <c r="Y503" s="2350"/>
      <c r="Z503" s="2349"/>
      <c r="AA503" s="2349"/>
      <c r="AB503" s="2350"/>
      <c r="AC503" s="2350"/>
      <c r="AD503" s="2350"/>
      <c r="AE503" s="2350"/>
      <c r="AF503" s="2350"/>
      <c r="AG503" s="2350"/>
      <c r="AH503" s="2351"/>
      <c r="AI503" s="3466"/>
    </row>
    <row r="504" ht="16.5" customHeight="1">
      <c r="A504" s="3457"/>
      <c r="B504" s="2345"/>
      <c r="C504" s="2338"/>
      <c r="D504" s="4950"/>
      <c r="E504" s="4955" t="s">
        <v>193</v>
      </c>
      <c r="F504" s="4956">
        <f t="array" ref="F504">IFERROR(VLOOKUP(E490,Dex!$B$3:$N1022,9,FALSE),"")</f>
        <v>105</v>
      </c>
      <c r="G504" s="4957" t="str">
        <f t="array" ref="G504">IFERROR(VLOOKUP(F504,Dex!$P$22:$Q$276,2,FALSE),"")</f>
        <v/>
      </c>
      <c r="H504" s="4958">
        <v>252.0</v>
      </c>
      <c r="I504" s="4950"/>
      <c r="J504" s="4955" t="s">
        <v>193</v>
      </c>
      <c r="K504" s="4956">
        <f t="array" ref="K504">IFERROR(VLOOKUP(J490,Dex!$B$3:$N1022,9,FALSE),"")</f>
        <v>103</v>
      </c>
      <c r="L504" s="4957" t="str">
        <f t="array" ref="L504">IFERROR(VLOOKUP(K504,Dex!$P$22:$Q$276,2,FALSE),"")</f>
        <v/>
      </c>
      <c r="M504" s="4958">
        <v>252.0</v>
      </c>
      <c r="N504" s="4950"/>
      <c r="O504" s="4955" t="s">
        <v>193</v>
      </c>
      <c r="P504" s="4956">
        <f t="array" ref="P504">IFERROR(VLOOKUP(O490,Dex!$B$3:$N1022,9,FALSE),"")</f>
        <v>100</v>
      </c>
      <c r="Q504" s="4957" t="str">
        <f t="array" ref="Q504">IFERROR(VLOOKUP(P504,Dex!$P$22:$Q$276,2,FALSE),"")</f>
        <v/>
      </c>
      <c r="R504" s="4958"/>
      <c r="S504" s="4950"/>
      <c r="T504" s="4955" t="s">
        <v>193</v>
      </c>
      <c r="U504" s="4956">
        <f t="array" ref="U504">IFERROR(VLOOKUP(T490,Dex!$B$3:$N1022,9,FALSE),"")</f>
        <v>130</v>
      </c>
      <c r="V504" s="4957" t="str">
        <f t="array" ref="V504">IFERROR(VLOOKUP(U504,Dex!$P$22:$Q$276,2,FALSE),"")</f>
        <v/>
      </c>
      <c r="W504" s="4958">
        <v>252.0</v>
      </c>
      <c r="X504" s="4949"/>
      <c r="Y504" s="2350"/>
      <c r="Z504" s="2349"/>
      <c r="AA504" s="2349"/>
      <c r="AB504" s="2350"/>
      <c r="AC504" s="2350"/>
      <c r="AD504" s="2350"/>
      <c r="AE504" s="2350"/>
      <c r="AF504" s="2350"/>
      <c r="AG504" s="2350"/>
      <c r="AH504" s="2351"/>
      <c r="AI504" s="3466"/>
    </row>
    <row r="505" ht="16.5" customHeight="1">
      <c r="A505" s="3457"/>
      <c r="B505" s="2345"/>
      <c r="C505" s="2338"/>
      <c r="D505" s="4950"/>
      <c r="E505" s="4955" t="s">
        <v>194</v>
      </c>
      <c r="F505" s="4956">
        <f t="array" ref="F505">IFERROR(VLOOKUP(E490,Dex!$B$3:$N1022,10,FALSE),"")</f>
        <v>125</v>
      </c>
      <c r="G505" s="4957" t="str">
        <f t="array" ref="G505">IFERROR(VLOOKUP(F505,Dex!$P$22:$Q$276,2,FALSE),"")</f>
        <v/>
      </c>
      <c r="H505" s="4958">
        <v>4.0</v>
      </c>
      <c r="I505" s="4950"/>
      <c r="J505" s="4955" t="s">
        <v>194</v>
      </c>
      <c r="K505" s="4956">
        <f t="array" ref="K505">IFERROR(VLOOKUP(J490,Dex!$B$3:$N1022,10,FALSE),"")</f>
        <v>80</v>
      </c>
      <c r="L505" s="4957" t="str">
        <f t="array" ref="L505">IFERROR(VLOOKUP(K505,Dex!$P$22:$Q$276,2,FALSE),"")</f>
        <v/>
      </c>
      <c r="M505" s="4958">
        <v>4.0</v>
      </c>
      <c r="N505" s="4950"/>
      <c r="O505" s="4955" t="s">
        <v>194</v>
      </c>
      <c r="P505" s="4956">
        <f t="array" ref="P505">IFERROR(VLOOKUP(O490,Dex!$B$3:$N1022,10,FALSE),"")</f>
        <v>110</v>
      </c>
      <c r="Q505" s="4957" t="str">
        <f t="array" ref="Q505">IFERROR(VLOOKUP(P505,Dex!$P$22:$Q$276,2,FALSE),"")</f>
        <v/>
      </c>
      <c r="R505" s="4958">
        <v>4.0</v>
      </c>
      <c r="S505" s="4950"/>
      <c r="T505" s="4955" t="s">
        <v>194</v>
      </c>
      <c r="U505" s="4956">
        <f t="array" ref="U505">IFERROR(VLOOKUP(T490,Dex!$B$3:$N1022,10,FALSE),"")</f>
        <v>80</v>
      </c>
      <c r="V505" s="4957" t="str">
        <f t="array" ref="V505">IFERROR(VLOOKUP(U505,Dex!$P$22:$Q$276,2,FALSE),"")</f>
        <v/>
      </c>
      <c r="W505" s="4958">
        <v>4.0</v>
      </c>
      <c r="X505" s="4949"/>
      <c r="Y505" s="2350"/>
      <c r="Z505" s="2349"/>
      <c r="AA505" s="2349"/>
      <c r="AB505" s="2350"/>
      <c r="AC505" s="2350"/>
      <c r="AD505" s="2350"/>
      <c r="AE505" s="2350"/>
      <c r="AF505" s="2350"/>
      <c r="AG505" s="2350"/>
      <c r="AH505" s="2351"/>
      <c r="AI505" s="3466"/>
    </row>
    <row r="506" ht="16.5" customHeight="1">
      <c r="A506" s="3457"/>
      <c r="B506" s="2345"/>
      <c r="C506" s="2338"/>
      <c r="D506" s="4950"/>
      <c r="E506" s="4955" t="s">
        <v>195</v>
      </c>
      <c r="F506" s="4956">
        <f t="array" ref="F506">IFERROR(VLOOKUP(E490,Dex!$B$3:$N1022,11,FALSE),"")</f>
        <v>65</v>
      </c>
      <c r="G506" s="4957" t="str">
        <f t="array" ref="G506">IFERROR(VLOOKUP(F506,Dex!$P$22:$Q$276,2,FALSE),"")</f>
        <v/>
      </c>
      <c r="H506" s="4958"/>
      <c r="I506" s="4950"/>
      <c r="J506" s="4955" t="s">
        <v>195</v>
      </c>
      <c r="K506" s="4956">
        <f t="array" ref="K506">IFERROR(VLOOKUP(J490,Dex!$B$3:$N1022,11,FALSE),"")</f>
        <v>70</v>
      </c>
      <c r="L506" s="4957" t="str">
        <f t="array" ref="L506">IFERROR(VLOOKUP(K506,Dex!$P$22:$Q$276,2,FALSE),"")</f>
        <v/>
      </c>
      <c r="M506" s="4958"/>
      <c r="N506" s="4950"/>
      <c r="O506" s="4955" t="s">
        <v>195</v>
      </c>
      <c r="P506" s="4956">
        <f t="array" ref="P506">IFERROR(VLOOKUP(O490,Dex!$B$3:$N1022,11,FALSE),"")</f>
        <v>145</v>
      </c>
      <c r="Q506" s="4957" t="str">
        <f t="array" ref="Q506">IFERROR(VLOOKUP(P506,Dex!$P$22:$Q$276,2,FALSE),"")</f>
        <v/>
      </c>
      <c r="R506" s="4958">
        <v>252.0</v>
      </c>
      <c r="S506" s="4950"/>
      <c r="T506" s="4955" t="s">
        <v>195</v>
      </c>
      <c r="U506" s="4956">
        <f t="array" ref="U506">IFERROR(VLOOKUP(T490,Dex!$B$3:$N1022,11,FALSE),"")</f>
        <v>70</v>
      </c>
      <c r="V506" s="4957" t="str">
        <f t="array" ref="V506">IFERROR(VLOOKUP(U506,Dex!$P$22:$Q$276,2,FALSE),"")</f>
        <v/>
      </c>
      <c r="W506" s="4958"/>
      <c r="X506" s="4949"/>
      <c r="Y506" s="2350"/>
      <c r="Z506" s="2349"/>
      <c r="AA506" s="2349"/>
      <c r="AB506" s="2350"/>
      <c r="AC506" s="2350"/>
      <c r="AD506" s="2350"/>
      <c r="AE506" s="2350"/>
      <c r="AF506" s="2350"/>
      <c r="AG506" s="2350"/>
      <c r="AH506" s="2351"/>
      <c r="AI506" s="3466"/>
    </row>
    <row r="507" ht="16.5" customHeight="1">
      <c r="A507" s="3457"/>
      <c r="B507" s="2345"/>
      <c r="C507" s="2338"/>
      <c r="D507" s="4950"/>
      <c r="E507" s="4955" t="s">
        <v>196</v>
      </c>
      <c r="F507" s="4956">
        <f t="array" ref="F507">IFERROR(VLOOKUP(E490,Dex!$B$3:$N1022,12,FALSE),"")</f>
        <v>75</v>
      </c>
      <c r="G507" s="4957" t="str">
        <f t="array" ref="G507">IFERROR(VLOOKUP(F507,Dex!$P$22:$Q$276,2,FALSE),"")</f>
        <v/>
      </c>
      <c r="H507" s="4958"/>
      <c r="I507" s="4950"/>
      <c r="J507" s="4955" t="s">
        <v>196</v>
      </c>
      <c r="K507" s="4956">
        <f t="array" ref="K507">IFERROR(VLOOKUP(J490,Dex!$B$3:$N1022,12,FALSE),"")</f>
        <v>80</v>
      </c>
      <c r="L507" s="4957" t="str">
        <f t="array" ref="L507">IFERROR(VLOOKUP(K507,Dex!$P$22:$Q$276,2,FALSE),"")</f>
        <v/>
      </c>
      <c r="M507" s="4958"/>
      <c r="N507" s="4950"/>
      <c r="O507" s="4955" t="s">
        <v>196</v>
      </c>
      <c r="P507" s="4956">
        <f t="array" ref="P507">IFERROR(VLOOKUP(O490,Dex!$B$3:$N1022,12,FALSE),"")</f>
        <v>115</v>
      </c>
      <c r="Q507" s="4957" t="str">
        <f t="array" ref="Q507">IFERROR(VLOOKUP(P507,Dex!$P$22:$Q$276,2,FALSE),"")</f>
        <v/>
      </c>
      <c r="R507" s="4958"/>
      <c r="S507" s="4950"/>
      <c r="T507" s="4955" t="s">
        <v>196</v>
      </c>
      <c r="U507" s="4956">
        <f t="array" ref="U507">IFERROR(VLOOKUP(T490,Dex!$B$3:$N1022,12,FALSE),"")</f>
        <v>60</v>
      </c>
      <c r="V507" s="4957" t="str">
        <f t="array" ref="V507">IFERROR(VLOOKUP(U507,Dex!$P$22:$Q$276,2,FALSE),"")</f>
        <v/>
      </c>
      <c r="W507" s="4958"/>
      <c r="X507" s="4949"/>
      <c r="Y507" s="2350"/>
      <c r="Z507" s="2349"/>
      <c r="AA507" s="2349"/>
      <c r="AB507" s="2350"/>
      <c r="AC507" s="2350"/>
      <c r="AD507" s="2350"/>
      <c r="AE507" s="2350"/>
      <c r="AF507" s="2350"/>
      <c r="AG507" s="2350"/>
      <c r="AH507" s="2351"/>
      <c r="AI507" s="3466"/>
    </row>
    <row r="508" ht="16.5" customHeight="1">
      <c r="A508" s="3457"/>
      <c r="B508" s="2345"/>
      <c r="C508" s="1204" t="s">
        <v>436</v>
      </c>
      <c r="D508" s="4950"/>
      <c r="E508" s="4959" t="s">
        <v>197</v>
      </c>
      <c r="F508" s="4960">
        <f t="array" ref="F508">IFERROR(VLOOKUP(E490,Dex!$B$3:$N1022,13,FALSE),"")</f>
        <v>55</v>
      </c>
      <c r="G508" s="4961" t="str">
        <f t="array" ref="G508">IFERROR(VLOOKUP(F508,Dex!$P$22:$Q$276,2,FALSE),"")</f>
        <v/>
      </c>
      <c r="H508" s="4962"/>
      <c r="I508" s="4950"/>
      <c r="J508" s="4959" t="s">
        <v>197</v>
      </c>
      <c r="K508" s="4960">
        <f t="array" ref="K508">IFERROR(VLOOKUP(J490,Dex!$B$3:$N1022,13,FALSE),"")</f>
        <v>92</v>
      </c>
      <c r="L508" s="4961" t="str">
        <f t="array" ref="L508">IFERROR(VLOOKUP(K508,Dex!$P$22:$Q$276,2,FALSE),"")</f>
        <v/>
      </c>
      <c r="M508" s="4962">
        <v>252.0</v>
      </c>
      <c r="N508" s="4950"/>
      <c r="O508" s="4959" t="s">
        <v>197</v>
      </c>
      <c r="P508" s="4960">
        <f t="array" ref="P508">IFERROR(VLOOKUP(O490,Dex!$B$3:$N1022,13,FALSE),"")</f>
        <v>20</v>
      </c>
      <c r="Q508" s="4961" t="str">
        <f t="array" ref="Q508">IFERROR(VLOOKUP(P508,Dex!$P$22:$Q$276,2,FALSE),"")</f>
        <v/>
      </c>
      <c r="R508" s="4962"/>
      <c r="S508" s="4950"/>
      <c r="T508" s="4959" t="s">
        <v>197</v>
      </c>
      <c r="U508" s="4960">
        <f t="array" ref="U508">IFERROR(VLOOKUP(T490,Dex!$B$3:$N1022,13,FALSE),"")</f>
        <v>80</v>
      </c>
      <c r="V508" s="4961" t="str">
        <f t="array" ref="V508">IFERROR(VLOOKUP(U508,Dex!$P$22:$Q$276,2,FALSE),"")</f>
        <v/>
      </c>
      <c r="W508" s="4962">
        <v>252.0</v>
      </c>
      <c r="X508" s="4949"/>
      <c r="Y508" s="2350"/>
      <c r="Z508" s="2349"/>
      <c r="AA508" s="2349"/>
      <c r="AB508" s="2350"/>
      <c r="AC508" s="2350"/>
      <c r="AD508" s="2350"/>
      <c r="AE508" s="2350"/>
      <c r="AF508" s="2350"/>
      <c r="AG508" s="2350"/>
      <c r="AH508" s="2351"/>
      <c r="AI508" s="3466"/>
    </row>
    <row r="509" ht="16.5" customHeight="1">
      <c r="A509" s="3457"/>
      <c r="B509" s="2345"/>
      <c r="C509" s="1205" t="s">
        <v>437</v>
      </c>
      <c r="D509" s="4946"/>
      <c r="E509" s="4963" t="s">
        <v>198</v>
      </c>
      <c r="F509" s="405"/>
      <c r="G509" s="406"/>
      <c r="H509" s="4964">
        <v>93.0</v>
      </c>
      <c r="I509" s="4946"/>
      <c r="J509" s="4965" t="s">
        <v>198</v>
      </c>
      <c r="K509" s="918"/>
      <c r="L509" s="919"/>
      <c r="M509" s="4966">
        <v>180.0</v>
      </c>
      <c r="N509" s="4946"/>
      <c r="O509" s="4963" t="s">
        <v>198</v>
      </c>
      <c r="P509" s="405"/>
      <c r="Q509" s="406"/>
      <c r="R509" s="4964">
        <v>49.0</v>
      </c>
      <c r="S509" s="4946"/>
      <c r="T509" s="4963" t="s">
        <v>198</v>
      </c>
      <c r="U509" s="405"/>
      <c r="V509" s="406"/>
      <c r="W509" s="4964">
        <v>181.0</v>
      </c>
      <c r="X509" s="4949"/>
      <c r="Y509" s="2350"/>
      <c r="Z509" s="2349"/>
      <c r="AA509" s="2349"/>
      <c r="AB509" s="2350"/>
      <c r="AC509" s="2350"/>
      <c r="AD509" s="2350"/>
      <c r="AE509" s="2350"/>
      <c r="AF509" s="2350"/>
      <c r="AG509" s="2350"/>
      <c r="AH509" s="2351"/>
      <c r="AI509" s="3466"/>
    </row>
    <row r="510" ht="16.5" customHeight="1">
      <c r="A510" s="3457"/>
      <c r="B510" s="2345"/>
      <c r="C510" s="2338"/>
      <c r="D510" s="4967"/>
      <c r="E510" s="2338"/>
      <c r="F510" s="2338"/>
      <c r="G510" s="2338"/>
      <c r="H510" s="2338"/>
      <c r="I510" s="4967"/>
      <c r="J510" s="4968" t="s">
        <v>381</v>
      </c>
      <c r="K510" s="925"/>
      <c r="L510" s="926"/>
      <c r="M510" s="4969">
        <v>360.0</v>
      </c>
      <c r="N510" s="4967"/>
      <c r="O510" s="4970"/>
      <c r="P510" s="4970"/>
      <c r="Q510" s="4970"/>
      <c r="R510" s="2338"/>
      <c r="S510" s="4967"/>
      <c r="T510" s="4970"/>
      <c r="U510" s="4970"/>
      <c r="V510" s="4970"/>
      <c r="W510" s="2338"/>
      <c r="X510" s="2499"/>
      <c r="Y510" s="2350"/>
      <c r="Z510" s="2349"/>
      <c r="AA510" s="2349"/>
      <c r="AB510" s="2350"/>
      <c r="AC510" s="2350"/>
      <c r="AD510" s="2350"/>
      <c r="AE510" s="2350"/>
      <c r="AF510" s="2350"/>
      <c r="AG510" s="2350"/>
      <c r="AH510" s="2351"/>
      <c r="AI510" s="3466"/>
    </row>
    <row r="511" ht="15.0" customHeight="1">
      <c r="A511" s="3361"/>
      <c r="B511" s="2385"/>
      <c r="C511" s="2386"/>
      <c r="D511" s="4971"/>
      <c r="E511" s="4972"/>
      <c r="F511" s="4972"/>
      <c r="G511" s="4972"/>
      <c r="H511" s="4972"/>
      <c r="I511" s="4971"/>
      <c r="J511" s="4972"/>
      <c r="K511" s="4972"/>
      <c r="L511" s="4972"/>
      <c r="M511" s="4972"/>
      <c r="N511" s="4971"/>
      <c r="O511" s="4972"/>
      <c r="P511" s="4972"/>
      <c r="Q511" s="4972"/>
      <c r="R511" s="4972"/>
      <c r="S511" s="4971"/>
      <c r="T511" s="4972"/>
      <c r="U511" s="4972"/>
      <c r="V511" s="4972"/>
      <c r="W511" s="4972"/>
      <c r="X511" s="2387"/>
      <c r="Y511" s="2387"/>
      <c r="Z511" s="2387"/>
      <c r="AA511" s="2387"/>
      <c r="AB511" s="2387"/>
      <c r="AC511" s="2387"/>
      <c r="AD511" s="2387"/>
      <c r="AE511" s="2387"/>
      <c r="AF511" s="2387"/>
      <c r="AG511" s="2387"/>
      <c r="AH511" s="2389"/>
      <c r="AI511" s="3367"/>
    </row>
    <row r="512" ht="15.0" customHeight="1">
      <c r="A512" s="3361"/>
      <c r="B512" s="4619"/>
      <c r="C512" s="4620"/>
      <c r="D512" s="4621"/>
      <c r="E512" s="4622"/>
      <c r="F512" s="4622"/>
      <c r="G512" s="4622"/>
      <c r="H512" s="4622"/>
      <c r="I512" s="4622"/>
      <c r="J512" s="4622"/>
      <c r="K512" s="4622"/>
      <c r="L512" s="4622"/>
      <c r="M512" s="4622"/>
      <c r="N512" s="4622"/>
      <c r="O512" s="4622"/>
      <c r="P512" s="4622"/>
      <c r="Q512" s="4622"/>
      <c r="R512" s="4622"/>
      <c r="S512" s="4622"/>
      <c r="T512" s="4622"/>
      <c r="U512" s="4622"/>
      <c r="V512" s="4622"/>
      <c r="W512" s="4622"/>
      <c r="X512" s="4622"/>
      <c r="Y512" s="4622"/>
      <c r="Z512" s="4622"/>
      <c r="AA512" s="4622"/>
      <c r="AB512" s="4622"/>
      <c r="AC512" s="4622"/>
      <c r="AD512" s="4622"/>
      <c r="AE512" s="4622"/>
      <c r="AF512" s="4622"/>
      <c r="AG512" s="4622"/>
      <c r="AH512" s="4623"/>
      <c r="AI512" s="3367"/>
    </row>
    <row r="513">
      <c r="A513" s="3361"/>
      <c r="B513" s="4624"/>
      <c r="C513" s="4625"/>
      <c r="D513" s="4626"/>
      <c r="E513" s="4627" t="s">
        <v>1165</v>
      </c>
      <c r="F513" s="4628"/>
      <c r="G513" s="4628"/>
      <c r="H513" s="4628"/>
      <c r="I513" s="4628"/>
      <c r="J513" s="4628"/>
      <c r="K513" s="4628"/>
      <c r="L513" s="4628"/>
      <c r="M513" s="4628"/>
      <c r="N513" s="4628"/>
      <c r="O513" s="4628"/>
      <c r="P513" s="4628"/>
      <c r="Q513" s="4628"/>
      <c r="R513" s="4628"/>
      <c r="S513" s="4628"/>
      <c r="T513" s="4628"/>
      <c r="U513" s="4628"/>
      <c r="V513" s="4628"/>
      <c r="W513" s="4628"/>
      <c r="X513" s="4628"/>
      <c r="Y513" s="4628"/>
      <c r="Z513" s="4628"/>
      <c r="AA513" s="4628"/>
      <c r="AB513" s="4628"/>
      <c r="AC513" s="4628"/>
      <c r="AD513" s="4628"/>
      <c r="AE513" s="4628"/>
      <c r="AF513" s="4628"/>
      <c r="AG513" s="4629"/>
      <c r="AH513" s="4630"/>
      <c r="AI513" s="3367"/>
    </row>
    <row r="514" ht="96.75" customHeight="1">
      <c r="A514" s="3361"/>
      <c r="B514" s="4631"/>
      <c r="C514" s="4632" t="str">
        <f>IMAGE("https://i.ibb.co/26GFSbd/Bird-Keeper.png")</f>
        <v/>
      </c>
      <c r="D514" s="4916"/>
      <c r="E514" s="4634" t="str">
        <f t="array" ref="E514">IFERROR(VLOOKUP(E515,Dex!$B$3:$G1022,3,FALSE),"")</f>
        <v/>
      </c>
      <c r="F514" s="381"/>
      <c r="G514" s="381"/>
      <c r="H514" s="4280"/>
      <c r="I514" s="4917"/>
      <c r="J514" s="4634" t="str">
        <f t="array" ref="J514">IFERROR(VLOOKUP(J515,Dex!$B$3:$G1022,3,FALSE),"")</f>
        <v/>
      </c>
      <c r="K514" s="381"/>
      <c r="L514" s="381"/>
      <c r="M514" s="4280"/>
      <c r="N514" s="4917"/>
      <c r="O514" s="4634" t="str">
        <f t="array" ref="O514">IFERROR(VLOOKUP(O515,Dex!$B$3:$G1022,3,FALSE),"")</f>
        <v/>
      </c>
      <c r="P514" s="381"/>
      <c r="Q514" s="381"/>
      <c r="R514" s="4280"/>
      <c r="S514" s="4917"/>
      <c r="T514" s="4634" t="str">
        <f t="array" ref="T514">IFERROR(VLOOKUP(T515,Dex!$B$3:$G1022,3,FALSE),"")</f>
        <v/>
      </c>
      <c r="U514" s="381"/>
      <c r="V514" s="381"/>
      <c r="W514" s="4280"/>
      <c r="X514" s="4637"/>
      <c r="Y514" s="4638"/>
      <c r="Z514" s="4639"/>
      <c r="AA514" s="4639"/>
      <c r="AB514" s="4640"/>
      <c r="AC514" s="4626"/>
      <c r="AD514" s="4638"/>
      <c r="AE514" s="4639"/>
      <c r="AF514" s="4639"/>
      <c r="AG514" s="4640"/>
      <c r="AH514" s="4641"/>
      <c r="AI514" s="3367"/>
    </row>
    <row r="515" ht="18.75" customHeight="1">
      <c r="A515" s="3621"/>
      <c r="B515" s="4642"/>
      <c r="C515" s="4643" t="s">
        <v>1166</v>
      </c>
      <c r="D515" s="4918"/>
      <c r="E515" s="4645" t="s">
        <v>354</v>
      </c>
      <c r="F515" s="4646"/>
      <c r="G515" s="4646"/>
      <c r="H515" s="4647"/>
      <c r="J515" s="4645" t="s">
        <v>1167</v>
      </c>
      <c r="K515" s="4646"/>
      <c r="L515" s="4646"/>
      <c r="M515" s="4647"/>
      <c r="O515" s="4645" t="s">
        <v>1168</v>
      </c>
      <c r="P515" s="4646"/>
      <c r="Q515" s="4646"/>
      <c r="R515" s="4647"/>
      <c r="T515" s="4645" t="s">
        <v>1169</v>
      </c>
      <c r="U515" s="4646"/>
      <c r="V515" s="4646"/>
      <c r="W515" s="4647"/>
      <c r="X515" s="4650"/>
      <c r="Y515" s="4651"/>
      <c r="Z515" s="4639"/>
      <c r="AA515" s="4639"/>
      <c r="AB515" s="4640"/>
      <c r="AC515" s="4652"/>
      <c r="AD515" s="4651"/>
      <c r="AE515" s="4639"/>
      <c r="AF515" s="4639"/>
      <c r="AG515" s="4640"/>
      <c r="AH515" s="4653"/>
      <c r="AI515" s="3631"/>
    </row>
    <row r="516">
      <c r="A516" s="3632"/>
      <c r="B516" s="4654"/>
      <c r="C516" s="1481"/>
      <c r="D516" s="4919"/>
      <c r="E516" s="4656" t="s">
        <v>843</v>
      </c>
      <c r="F516" s="4657"/>
      <c r="G516" s="4657"/>
      <c r="H516" s="4658"/>
      <c r="J516" s="4656" t="s">
        <v>843</v>
      </c>
      <c r="K516" s="4657"/>
      <c r="L516" s="4657"/>
      <c r="M516" s="4658"/>
      <c r="O516" s="4656" t="s">
        <v>843</v>
      </c>
      <c r="P516" s="4657"/>
      <c r="Q516" s="4657"/>
      <c r="R516" s="4658"/>
      <c r="T516" s="4656" t="s">
        <v>843</v>
      </c>
      <c r="U516" s="4657"/>
      <c r="V516" s="4657"/>
      <c r="W516" s="4658"/>
      <c r="X516" s="4650"/>
      <c r="Y516" s="4659"/>
      <c r="Z516" s="4639"/>
      <c r="AA516" s="4639"/>
      <c r="AB516" s="4640"/>
      <c r="AC516" s="4652"/>
      <c r="AD516" s="4659"/>
      <c r="AE516" s="4639"/>
      <c r="AF516" s="4639"/>
      <c r="AG516" s="4640"/>
      <c r="AH516" s="4660"/>
      <c r="AI516" s="3640"/>
    </row>
    <row r="517" ht="25.5" customHeight="1">
      <c r="A517" s="3361"/>
      <c r="B517" s="4631"/>
      <c r="C517" s="1489"/>
      <c r="D517" s="4661"/>
      <c r="E517" s="4662"/>
      <c r="F517" s="4663" t="str">
        <f t="array" ref="F517">IFERROR(VLOOKUP(E515,Dex!$B$3:$H1022,5,FALSE),"")</f>
        <v/>
      </c>
      <c r="G517" s="4664" t="str">
        <f t="array" ref="G517">IFERROR(VLOOKUP(E515,Dex!$B$3:$H1022,7,FALSE),"")</f>
        <v/>
      </c>
      <c r="H517" s="4665"/>
      <c r="J517" s="4662"/>
      <c r="K517" s="4663" t="str">
        <f t="array" ref="K517">IFERROR(VLOOKUP(J515,Dex!$B$3:$H1022,5,FALSE),"")</f>
        <v/>
      </c>
      <c r="L517" s="4664" t="str">
        <f t="array" ref="L517">IFERROR(VLOOKUP(J515,Dex!$B$3:$H1022,7,FALSE),"")</f>
        <v/>
      </c>
      <c r="M517" s="4665"/>
      <c r="O517" s="4662"/>
      <c r="P517" s="4663" t="str">
        <f t="array" ref="P517">IFERROR(VLOOKUP(O515,Dex!$B$3:$H1022,5,FALSE),"")</f>
        <v/>
      </c>
      <c r="Q517" s="4664" t="str">
        <f t="array" ref="Q517">IFERROR(VLOOKUP(O515,Dex!$B$3:$H1022,7,FALSE),"")</f>
        <v/>
      </c>
      <c r="R517" s="4665"/>
      <c r="T517" s="4662"/>
      <c r="U517" s="4920" t="str">
        <f t="array" ref="U517">IFERROR(VLOOKUP(T515,Dex!$B$3:$H1022,5,FALSE),"")</f>
        <v/>
      </c>
      <c r="V517" s="4921"/>
      <c r="W517" s="4665"/>
      <c r="X517" s="4650"/>
      <c r="Y517" s="4638"/>
      <c r="Z517" s="4639"/>
      <c r="AA517" s="4639"/>
      <c r="AB517" s="4640"/>
      <c r="AC517" s="4652"/>
      <c r="AD517" s="4638"/>
      <c r="AE517" s="4639"/>
      <c r="AF517" s="4639"/>
      <c r="AG517" s="4640"/>
      <c r="AH517" s="4641"/>
      <c r="AI517" s="3367"/>
    </row>
    <row r="518" ht="2.25" customHeight="1">
      <c r="A518" s="3361"/>
      <c r="B518" s="4624"/>
      <c r="C518" s="4666"/>
      <c r="D518" s="4667"/>
      <c r="E518" s="4668"/>
      <c r="F518" s="4669"/>
      <c r="G518" s="4669"/>
      <c r="H518" s="4670"/>
      <c r="J518" s="4668"/>
      <c r="K518" s="4669"/>
      <c r="L518" s="4669"/>
      <c r="M518" s="4670"/>
      <c r="O518" s="4668"/>
      <c r="P518" s="4669"/>
      <c r="Q518" s="4669"/>
      <c r="R518" s="4670"/>
      <c r="T518" s="4668"/>
      <c r="U518" s="4669"/>
      <c r="V518" s="4669"/>
      <c r="W518" s="4670"/>
      <c r="X518" s="4650"/>
      <c r="Y518" s="4671"/>
      <c r="Z518" s="4671"/>
      <c r="AA518" s="4671"/>
      <c r="AB518" s="4671"/>
      <c r="AC518" s="4652"/>
      <c r="AD518" s="4671"/>
      <c r="AE518" s="4671"/>
      <c r="AF518" s="4671"/>
      <c r="AG518" s="4671"/>
      <c r="AH518" s="4641"/>
      <c r="AI518" s="3367"/>
    </row>
    <row r="519" ht="20.25" customHeight="1">
      <c r="A519" s="3361"/>
      <c r="B519" s="4624"/>
      <c r="C519" s="4672"/>
      <c r="D519" s="4638"/>
      <c r="E519" s="4673" t="s">
        <v>205</v>
      </c>
      <c r="F519" s="4674"/>
      <c r="G519" s="4674"/>
      <c r="H519" s="4675"/>
      <c r="J519" s="4673" t="s">
        <v>172</v>
      </c>
      <c r="K519" s="4674"/>
      <c r="L519" s="4674"/>
      <c r="M519" s="4675"/>
      <c r="O519" s="4673" t="s">
        <v>264</v>
      </c>
      <c r="P519" s="4674"/>
      <c r="Q519" s="4674"/>
      <c r="R519" s="4675"/>
      <c r="T519" s="4673" t="s">
        <v>205</v>
      </c>
      <c r="U519" s="4674"/>
      <c r="V519" s="4674"/>
      <c r="W519" s="4675"/>
      <c r="X519" s="4650"/>
      <c r="Y519" s="4638"/>
      <c r="Z519" s="4639"/>
      <c r="AA519" s="4639"/>
      <c r="AB519" s="4640"/>
      <c r="AC519" s="4652"/>
      <c r="AD519" s="4638"/>
      <c r="AE519" s="4639"/>
      <c r="AF519" s="4639"/>
      <c r="AG519" s="4640"/>
      <c r="AH519" s="4641"/>
      <c r="AI519" s="3367"/>
    </row>
    <row r="520" ht="20.25" customHeight="1">
      <c r="A520" s="3361"/>
      <c r="B520" s="4624"/>
      <c r="C520" s="4672"/>
      <c r="D520" s="4638"/>
      <c r="E520" s="4676" t="s">
        <v>359</v>
      </c>
      <c r="F520" s="4639"/>
      <c r="G520" s="4639"/>
      <c r="H520" s="4677"/>
      <c r="J520" s="4676" t="s">
        <v>175</v>
      </c>
      <c r="K520" s="4639"/>
      <c r="L520" s="4639"/>
      <c r="M520" s="4677"/>
      <c r="O520" s="4676" t="s">
        <v>1170</v>
      </c>
      <c r="P520" s="4639"/>
      <c r="Q520" s="4639"/>
      <c r="R520" s="4677"/>
      <c r="T520" s="4676" t="s">
        <v>502</v>
      </c>
      <c r="U520" s="4639"/>
      <c r="V520" s="4639"/>
      <c r="W520" s="4677"/>
      <c r="X520" s="4650"/>
      <c r="Y520" s="4638"/>
      <c r="Z520" s="4639"/>
      <c r="AA520" s="4639"/>
      <c r="AB520" s="4640"/>
      <c r="AC520" s="4652"/>
      <c r="AD520" s="4638"/>
      <c r="AE520" s="4639"/>
      <c r="AF520" s="4639"/>
      <c r="AG520" s="4640"/>
      <c r="AH520" s="4641"/>
      <c r="AI520" s="3367"/>
    </row>
    <row r="521" ht="20.25" customHeight="1">
      <c r="A521" s="3361"/>
      <c r="B521" s="4624"/>
      <c r="C521" s="4672"/>
      <c r="D521" s="4638"/>
      <c r="E521" s="4678" t="s">
        <v>240</v>
      </c>
      <c r="F521" s="4628"/>
      <c r="G521" s="4629"/>
      <c r="H521" s="4679" t="str">
        <f>IMAGE("https://raw.githubusercontent.com/msikma/pokesprite/master/items/hold-item/focus-sash.png",3)</f>
        <v/>
      </c>
      <c r="J521" s="4678" t="s">
        <v>747</v>
      </c>
      <c r="K521" s="4628"/>
      <c r="L521" s="4629"/>
      <c r="M521" s="4679" t="str">
        <f>IMAGE("https://raw.githubusercontent.com/msikma/pokesprite/master/items/hold-item/sharp-beak.png",3)</f>
        <v/>
      </c>
      <c r="O521" s="4678" t="s">
        <v>1057</v>
      </c>
      <c r="P521" s="4628"/>
      <c r="Q521" s="4629"/>
      <c r="R521" s="4679" t="str">
        <f>IMAGE("https://raw.githubusercontent.com/msikma/pokesprite/master/items/hold-item/charcoal.png",3)</f>
        <v/>
      </c>
      <c r="T521" s="4678" t="s">
        <v>272</v>
      </c>
      <c r="U521" s="4628"/>
      <c r="V521" s="4629"/>
      <c r="W521" s="4679" t="str">
        <f>IMAGE("https://raw.githubusercontent.com/msikma/pokesprite/master/items/hold-item/life-orb.png",3)</f>
        <v/>
      </c>
      <c r="X521" s="4650"/>
      <c r="Y521" s="4638"/>
      <c r="Z521" s="4639"/>
      <c r="AA521" s="4639"/>
      <c r="AB521" s="4640"/>
      <c r="AC521" s="4652"/>
      <c r="AD521" s="4638"/>
      <c r="AE521" s="4639"/>
      <c r="AF521" s="4639"/>
      <c r="AG521" s="4640"/>
      <c r="AH521" s="4641"/>
      <c r="AI521" s="3367"/>
    </row>
    <row r="522" ht="20.25" customHeight="1">
      <c r="A522" s="3361"/>
      <c r="B522" s="4624"/>
      <c r="C522" s="4680"/>
      <c r="D522" s="4638"/>
      <c r="E522" s="4673" t="s">
        <v>283</v>
      </c>
      <c r="F522" s="4674"/>
      <c r="G522" s="4681"/>
      <c r="H522" s="4682" t="str">
        <f t="shared" ref="H522:H523" si="13">IMAGE("https://raw.githubusercontent.com/msikma/pokesprite/master/misc/types/gen8/grass.png",4,20,20)</f>
        <v/>
      </c>
      <c r="J522" s="4673" t="s">
        <v>749</v>
      </c>
      <c r="K522" s="4674"/>
      <c r="L522" s="4681"/>
      <c r="M522" s="4682" t="str">
        <f>IMAGE("https://raw.githubusercontent.com/msikma/pokesprite/master/misc/types/gen8/flying.png",4,20,20)</f>
        <v/>
      </c>
      <c r="O522" s="4673" t="s">
        <v>378</v>
      </c>
      <c r="P522" s="4674"/>
      <c r="Q522" s="4681"/>
      <c r="R522" s="4682" t="str">
        <f>IMAGE("https://raw.githubusercontent.com/msikma/pokesprite/master/misc/types/gen8/fire.png",4,20,20)</f>
        <v/>
      </c>
      <c r="T522" s="4673" t="s">
        <v>242</v>
      </c>
      <c r="U522" s="4674"/>
      <c r="V522" s="4681"/>
      <c r="W522" s="4682" t="str">
        <f t="shared" ref="W522:W523" si="14">IMAGE("https://raw.githubusercontent.com/msikma/pokesprite/master/misc/types/gen8/electric.png",4,20,20)</f>
        <v/>
      </c>
      <c r="X522" s="4650"/>
      <c r="Y522" s="4638"/>
      <c r="Z522" s="4639"/>
      <c r="AA522" s="4639"/>
      <c r="AB522" s="4640"/>
      <c r="AC522" s="4652"/>
      <c r="AD522" s="4638"/>
      <c r="AE522" s="4639"/>
      <c r="AF522" s="4639"/>
      <c r="AG522" s="4640"/>
      <c r="AH522" s="4641"/>
      <c r="AI522" s="3367"/>
    </row>
    <row r="523" ht="20.25" customHeight="1">
      <c r="A523" s="3361"/>
      <c r="B523" s="4624"/>
      <c r="C523" s="4680"/>
      <c r="D523" s="4638"/>
      <c r="E523" s="4676" t="s">
        <v>376</v>
      </c>
      <c r="F523" s="4639"/>
      <c r="G523" s="4640"/>
      <c r="H523" s="4683" t="str">
        <f t="shared" si="13"/>
        <v/>
      </c>
      <c r="J523" s="4676" t="s">
        <v>431</v>
      </c>
      <c r="K523" s="4639"/>
      <c r="L523" s="4640"/>
      <c r="M523" s="4683" t="str">
        <f>IMAGE("https://raw.githubusercontent.com/msikma/pokesprite/master/misc/types/gen8/rock.png",4,20,20)</f>
        <v/>
      </c>
      <c r="O523" s="4676" t="s">
        <v>316</v>
      </c>
      <c r="P523" s="4639"/>
      <c r="Q523" s="4640"/>
      <c r="R523" s="4683" t="str">
        <f>IMAGE("https://raw.githubusercontent.com/msikma/pokesprite/master/misc/types/gen8/fighting.png",4,20,20)</f>
        <v/>
      </c>
      <c r="T523" s="4676" t="s">
        <v>277</v>
      </c>
      <c r="U523" s="4639"/>
      <c r="V523" s="4640"/>
      <c r="W523" s="4683" t="str">
        <f t="shared" si="14"/>
        <v/>
      </c>
      <c r="X523" s="4650"/>
      <c r="Y523" s="4638"/>
      <c r="Z523" s="4639"/>
      <c r="AA523" s="4639"/>
      <c r="AB523" s="4640"/>
      <c r="AC523" s="4652"/>
      <c r="AD523" s="4638"/>
      <c r="AE523" s="4639"/>
      <c r="AF523" s="4639"/>
      <c r="AG523" s="4640"/>
      <c r="AH523" s="4641"/>
      <c r="AI523" s="3367"/>
    </row>
    <row r="524" ht="20.25" customHeight="1">
      <c r="A524" s="3361"/>
      <c r="B524" s="4624"/>
      <c r="C524" s="4680"/>
      <c r="D524" s="4638"/>
      <c r="E524" s="4676" t="s">
        <v>217</v>
      </c>
      <c r="F524" s="4639"/>
      <c r="G524" s="4640"/>
      <c r="H524" s="4683" t="str">
        <f>IMAGE("https://raw.githubusercontent.com/msikma/pokesprite/master/misc/types/gen8/psychic.png",4,20,20)</f>
        <v/>
      </c>
      <c r="J524" s="4676" t="s">
        <v>402</v>
      </c>
      <c r="K524" s="4639"/>
      <c r="L524" s="4640"/>
      <c r="M524" s="4683" t="str">
        <f>IMAGE("https://raw.githubusercontent.com/msikma/pokesprite/master/misc/types/gen8/ground.png",4,20,20)</f>
        <v/>
      </c>
      <c r="O524" s="4676" t="s">
        <v>435</v>
      </c>
      <c r="P524" s="4639"/>
      <c r="Q524" s="4640"/>
      <c r="R524" s="4683" t="str">
        <f>IMAGE("https://raw.githubusercontent.com/msikma/pokesprite/master/misc/types/gen8/electric.png",4,20,20)</f>
        <v/>
      </c>
      <c r="T524" s="4676" t="s">
        <v>379</v>
      </c>
      <c r="U524" s="4639"/>
      <c r="V524" s="4640"/>
      <c r="W524" s="4683" t="str">
        <f>IMAGE("https://raw.githubusercontent.com/msikma/pokesprite/master/misc/types/gen8/fire.png",4,20,20)</f>
        <v/>
      </c>
      <c r="X524" s="4650"/>
      <c r="Y524" s="4638"/>
      <c r="Z524" s="4639"/>
      <c r="AA524" s="4639"/>
      <c r="AB524" s="4640"/>
      <c r="AC524" s="4652"/>
      <c r="AD524" s="4638"/>
      <c r="AE524" s="4639"/>
      <c r="AF524" s="4639"/>
      <c r="AG524" s="4640"/>
      <c r="AH524" s="4641"/>
      <c r="AI524" s="3367"/>
    </row>
    <row r="525" ht="21.0" customHeight="1">
      <c r="A525" s="3361"/>
      <c r="B525" s="4624"/>
      <c r="C525" s="4680"/>
      <c r="D525" s="4638"/>
      <c r="E525" s="4684" t="s">
        <v>379</v>
      </c>
      <c r="F525" s="4685"/>
      <c r="G525" s="4686"/>
      <c r="H525" s="4687" t="str">
        <f>IMAGE("https://raw.githubusercontent.com/msikma/pokesprite/master/misc/types/gen8/fire.png",4,20,20)</f>
        <v/>
      </c>
      <c r="I525" s="4922"/>
      <c r="J525" s="4684" t="s">
        <v>278</v>
      </c>
      <c r="K525" s="4685"/>
      <c r="L525" s="4686"/>
      <c r="M525" s="4687" t="str">
        <f>IMAGE("https://raw.githubusercontent.com/msikma/pokesprite/master/misc/types/gen8/bug.png",4,20,20)</f>
        <v/>
      </c>
      <c r="N525" s="4922"/>
      <c r="O525" s="4684" t="s">
        <v>376</v>
      </c>
      <c r="P525" s="4685"/>
      <c r="Q525" s="4686"/>
      <c r="R525" s="4687" t="str">
        <f>IMAGE("https://raw.githubusercontent.com/msikma/pokesprite/master/misc/types/gen8/grass.png",4,20,20)</f>
        <v/>
      </c>
      <c r="S525" s="4922"/>
      <c r="T525" s="4684" t="s">
        <v>223</v>
      </c>
      <c r="U525" s="4685"/>
      <c r="V525" s="4686"/>
      <c r="W525" s="4687" t="str">
        <f>IMAGE("https://raw.githubusercontent.com/msikma/pokesprite/master/misc/types/gen8/grass.png",4,20,20)</f>
        <v/>
      </c>
      <c r="X525" s="4690"/>
      <c r="Y525" s="4638"/>
      <c r="Z525" s="4639"/>
      <c r="AA525" s="4639"/>
      <c r="AB525" s="4640"/>
      <c r="AC525" s="4691"/>
      <c r="AD525" s="4638"/>
      <c r="AE525" s="4639"/>
      <c r="AF525" s="4639"/>
      <c r="AG525" s="4640"/>
      <c r="AH525" s="4641"/>
      <c r="AI525" s="3367"/>
    </row>
    <row r="526" ht="3.0" customHeight="1">
      <c r="A526" s="3445"/>
      <c r="B526" s="4692"/>
      <c r="C526" s="4680"/>
      <c r="D526" s="4693"/>
      <c r="E526" s="4696"/>
      <c r="F526" s="4696"/>
      <c r="G526" s="4696"/>
      <c r="H526" s="4695"/>
      <c r="I526" s="4693"/>
      <c r="J526" s="4696"/>
      <c r="K526" s="4696"/>
      <c r="L526" s="4696"/>
      <c r="M526" s="4695"/>
      <c r="N526" s="4693"/>
      <c r="O526" s="4696"/>
      <c r="P526" s="4696"/>
      <c r="Q526" s="4696"/>
      <c r="R526" s="4698"/>
      <c r="S526" s="4699"/>
      <c r="T526" s="4696"/>
      <c r="U526" s="4696"/>
      <c r="V526" s="4696"/>
      <c r="W526" s="4698"/>
      <c r="X526" s="4693"/>
      <c r="Y526" s="4693"/>
      <c r="Z526" s="4700"/>
      <c r="AA526" s="4700"/>
      <c r="AB526" s="4701"/>
      <c r="AC526" s="4701"/>
      <c r="AD526" s="4701"/>
      <c r="AE526" s="4701"/>
      <c r="AF526" s="4701"/>
      <c r="AG526" s="4701"/>
      <c r="AH526" s="4702"/>
      <c r="AI526" s="3456"/>
    </row>
    <row r="527" ht="16.5" customHeight="1">
      <c r="A527" s="3457"/>
      <c r="B527" s="4703"/>
      <c r="C527" s="4680"/>
      <c r="D527" s="4728"/>
      <c r="E527" s="4705" t="s">
        <v>190</v>
      </c>
      <c r="F527" s="381"/>
      <c r="G527" s="382"/>
      <c r="H527" s="4706" t="s">
        <v>191</v>
      </c>
      <c r="I527" s="4707"/>
      <c r="J527" s="4705" t="s">
        <v>190</v>
      </c>
      <c r="K527" s="381"/>
      <c r="L527" s="382"/>
      <c r="M527" s="4706" t="s">
        <v>191</v>
      </c>
      <c r="N527" s="4707"/>
      <c r="O527" s="4705" t="s">
        <v>190</v>
      </c>
      <c r="P527" s="381"/>
      <c r="Q527" s="382"/>
      <c r="R527" s="4706" t="s">
        <v>191</v>
      </c>
      <c r="S527" s="4923"/>
      <c r="T527" s="4705" t="s">
        <v>190</v>
      </c>
      <c r="U527" s="381"/>
      <c r="V527" s="382"/>
      <c r="W527" s="4706" t="s">
        <v>191</v>
      </c>
      <c r="X527" s="4709"/>
      <c r="Y527" s="4710"/>
      <c r="Z527" s="4711"/>
      <c r="AA527" s="4711"/>
      <c r="AB527" s="4710"/>
      <c r="AC527" s="4710"/>
      <c r="AD527" s="4710"/>
      <c r="AE527" s="4710"/>
      <c r="AF527" s="4710"/>
      <c r="AG527" s="4710"/>
      <c r="AH527" s="4712"/>
      <c r="AI527" s="3466"/>
    </row>
    <row r="528" ht="16.5" customHeight="1">
      <c r="A528" s="3457"/>
      <c r="B528" s="4703"/>
      <c r="C528" s="4680"/>
      <c r="D528" s="4704"/>
      <c r="E528" s="4713" t="s">
        <v>192</v>
      </c>
      <c r="F528" s="4714">
        <f t="array" ref="F528">IFERROR(VLOOKUP(E515,Dex!$B$3:$N1022,8,FALSE),"")</f>
        <v>95</v>
      </c>
      <c r="G528" s="4715" t="str">
        <f t="array" ref="G528">IFERROR(VLOOKUP(F528,Dex!$P$22:$Q$276,2,FALSE),"")</f>
        <v/>
      </c>
      <c r="H528" s="4716"/>
      <c r="I528" s="4717"/>
      <c r="J528" s="4713" t="s">
        <v>192</v>
      </c>
      <c r="K528" s="4714">
        <f t="array" ref="K528">IFERROR(VLOOKUP(J515,Dex!$B$3:$N1022,8,FALSE),"")</f>
        <v>75</v>
      </c>
      <c r="L528" s="4715" t="str">
        <f t="array" ref="L528">IFERROR(VLOOKUP(K528,Dex!$P$22:$Q$276,2,FALSE),"")</f>
        <v/>
      </c>
      <c r="M528" s="4716"/>
      <c r="N528" s="4718"/>
      <c r="O528" s="4713" t="s">
        <v>192</v>
      </c>
      <c r="P528" s="4714">
        <f t="array" ref="P528">IFERROR(VLOOKUP(O515,Dex!$B$3:$N1022,8,FALSE),"")</f>
        <v>110</v>
      </c>
      <c r="Q528" s="4715" t="str">
        <f t="array" ref="Q528">IFERROR(VLOOKUP(P528,Dex!$P$22:$Q$276,2,FALSE),"")</f>
        <v/>
      </c>
      <c r="R528" s="4716"/>
      <c r="S528" s="4719"/>
      <c r="T528" s="4713" t="s">
        <v>192</v>
      </c>
      <c r="U528" s="4714">
        <f t="array" ref="U528">IFERROR(VLOOKUP(T515,Dex!$B$3:$N1022,8,FALSE),"")</f>
        <v>65</v>
      </c>
      <c r="V528" s="4715" t="str">
        <f t="array" ref="V528">IFERROR(VLOOKUP(U528,Dex!$P$22:$Q$276,2,FALSE),"")</f>
        <v/>
      </c>
      <c r="W528" s="4716"/>
      <c r="X528" s="4709"/>
      <c r="Y528" s="4710"/>
      <c r="Z528" s="4711"/>
      <c r="AA528" s="4711"/>
      <c r="AB528" s="4710"/>
      <c r="AC528" s="4710"/>
      <c r="AD528" s="4710"/>
      <c r="AE528" s="4710"/>
      <c r="AF528" s="4710"/>
      <c r="AG528" s="4710"/>
      <c r="AH528" s="4712"/>
      <c r="AI528" s="3466"/>
    </row>
    <row r="529" ht="16.5" customHeight="1">
      <c r="A529" s="3457"/>
      <c r="B529" s="4703"/>
      <c r="C529" s="4680"/>
      <c r="D529" s="4704"/>
      <c r="E529" s="4720" t="s">
        <v>193</v>
      </c>
      <c r="F529" s="4721">
        <f t="array" ref="F529">IFERROR(VLOOKUP(E515,Dex!$B$3:$N1022,9,FALSE),"")</f>
        <v>95</v>
      </c>
      <c r="G529" s="4722" t="str">
        <f t="array" ref="G529">IFERROR(VLOOKUP(F529,Dex!$P$22:$Q$276,2,FALSE),"")</f>
        <v/>
      </c>
      <c r="H529" s="4723"/>
      <c r="I529" s="4717"/>
      <c r="J529" s="4720" t="s">
        <v>193</v>
      </c>
      <c r="K529" s="4721">
        <f t="array" ref="K529">IFERROR(VLOOKUP(J515,Dex!$B$3:$N1022,9,FALSE),"")</f>
        <v>140</v>
      </c>
      <c r="L529" s="4722" t="str">
        <f t="array" ref="L529">IFERROR(VLOOKUP(K529,Dex!$P$22:$Q$276,2,FALSE),"")</f>
        <v/>
      </c>
      <c r="M529" s="4723">
        <v>252.0</v>
      </c>
      <c r="N529" s="4718"/>
      <c r="O529" s="4720" t="s">
        <v>193</v>
      </c>
      <c r="P529" s="4721">
        <f t="array" ref="P529">IFERROR(VLOOKUP(O515,Dex!$B$3:$N1022,9,FALSE),"")</f>
        <v>123</v>
      </c>
      <c r="Q529" s="4722" t="str">
        <f t="array" ref="Q529">IFERROR(VLOOKUP(P529,Dex!$P$22:$Q$276,2,FALSE),"")</f>
        <v/>
      </c>
      <c r="R529" s="4723">
        <v>252.0</v>
      </c>
      <c r="S529" s="4719"/>
      <c r="T529" s="4720" t="s">
        <v>193</v>
      </c>
      <c r="U529" s="4721">
        <f t="array" ref="U529">IFERROR(VLOOKUP(T515,Dex!$B$3:$N1022,9,FALSE),"")</f>
        <v>65</v>
      </c>
      <c r="V529" s="4722" t="str">
        <f t="array" ref="V529">IFERROR(VLOOKUP(U529,Dex!$P$22:$Q$276,2,FALSE),"")</f>
        <v/>
      </c>
      <c r="W529" s="4723"/>
      <c r="X529" s="4709"/>
      <c r="Y529" s="4710"/>
      <c r="Z529" s="4711"/>
      <c r="AA529" s="4711"/>
      <c r="AB529" s="4710"/>
      <c r="AC529" s="4710"/>
      <c r="AD529" s="4710"/>
      <c r="AE529" s="4710"/>
      <c r="AF529" s="4710"/>
      <c r="AG529" s="4710"/>
      <c r="AH529" s="4712"/>
      <c r="AI529" s="3466"/>
    </row>
    <row r="530" ht="16.5" customHeight="1">
      <c r="A530" s="3457"/>
      <c r="B530" s="4703"/>
      <c r="C530" s="4680"/>
      <c r="D530" s="4704"/>
      <c r="E530" s="4720" t="s">
        <v>194</v>
      </c>
      <c r="F530" s="4721">
        <f t="array" ref="F530">IFERROR(VLOOKUP(E515,Dex!$B$3:$N1022,10,FALSE),"")</f>
        <v>85</v>
      </c>
      <c r="G530" s="4722" t="str">
        <f t="array" ref="G530">IFERROR(VLOOKUP(F530,Dex!$P$22:$Q$276,2,FALSE),"")</f>
        <v/>
      </c>
      <c r="H530" s="4723">
        <v>4.0</v>
      </c>
      <c r="I530" s="4717"/>
      <c r="J530" s="4720" t="s">
        <v>194</v>
      </c>
      <c r="K530" s="4721">
        <f t="array" ref="K530">IFERROR(VLOOKUP(J515,Dex!$B$3:$N1022,10,FALSE),"")</f>
        <v>65</v>
      </c>
      <c r="L530" s="4722" t="str">
        <f t="array" ref="L530">IFERROR(VLOOKUP(K530,Dex!$P$22:$Q$276,2,FALSE),"")</f>
        <v/>
      </c>
      <c r="M530" s="4723">
        <v>4.0</v>
      </c>
      <c r="N530" s="4718"/>
      <c r="O530" s="4720" t="s">
        <v>194</v>
      </c>
      <c r="P530" s="4721">
        <f t="array" ref="P530">IFERROR(VLOOKUP(O515,Dex!$B$3:$N1022,10,FALSE),"")</f>
        <v>65</v>
      </c>
      <c r="Q530" s="4722" t="str">
        <f t="array" ref="Q530">IFERROR(VLOOKUP(P530,Dex!$P$22:$Q$276,2,FALSE),"")</f>
        <v/>
      </c>
      <c r="R530" s="4723">
        <v>4.0</v>
      </c>
      <c r="S530" s="4719"/>
      <c r="T530" s="4720" t="s">
        <v>194</v>
      </c>
      <c r="U530" s="4721">
        <f t="array" ref="U530">IFERROR(VLOOKUP(T515,Dex!$B$3:$N1022,10,FALSE),"")</f>
        <v>60</v>
      </c>
      <c r="V530" s="4722" t="str">
        <f t="array" ref="V530">IFERROR(VLOOKUP(U530,Dex!$P$22:$Q$276,2,FALSE),"")</f>
        <v/>
      </c>
      <c r="W530" s="4723">
        <v>4.0</v>
      </c>
      <c r="X530" s="4709"/>
      <c r="Y530" s="4710"/>
      <c r="Z530" s="4711"/>
      <c r="AA530" s="4711"/>
      <c r="AB530" s="4710"/>
      <c r="AC530" s="4710"/>
      <c r="AD530" s="4710"/>
      <c r="AE530" s="4710"/>
      <c r="AF530" s="4710"/>
      <c r="AG530" s="4710"/>
      <c r="AH530" s="4712"/>
      <c r="AI530" s="3466"/>
    </row>
    <row r="531" ht="16.5" customHeight="1">
      <c r="A531" s="3457"/>
      <c r="B531" s="4703"/>
      <c r="C531" s="4680"/>
      <c r="D531" s="4704"/>
      <c r="E531" s="4720" t="s">
        <v>195</v>
      </c>
      <c r="F531" s="4721">
        <f t="array" ref="F531">IFERROR(VLOOKUP(E515,Dex!$B$3:$N1022,11,FALSE),"")</f>
        <v>125</v>
      </c>
      <c r="G531" s="4722" t="str">
        <f t="array" ref="G531">IFERROR(VLOOKUP(F531,Dex!$P$22:$Q$276,2,FALSE),"")</f>
        <v/>
      </c>
      <c r="H531" s="4723">
        <v>252.0</v>
      </c>
      <c r="I531" s="4717"/>
      <c r="J531" s="4720" t="s">
        <v>195</v>
      </c>
      <c r="K531" s="4721">
        <f t="array" ref="K531">IFERROR(VLOOKUP(J515,Dex!$B$3:$N1022,11,FALSE),"")</f>
        <v>112</v>
      </c>
      <c r="L531" s="4722" t="str">
        <f t="array" ref="L531">IFERROR(VLOOKUP(K531,Dex!$P$22:$Q$276,2,FALSE),"")</f>
        <v/>
      </c>
      <c r="M531" s="4723"/>
      <c r="N531" s="4718"/>
      <c r="O531" s="4720" t="s">
        <v>195</v>
      </c>
      <c r="P531" s="4721">
        <f t="array" ref="P531">IFERROR(VLOOKUP(O515,Dex!$B$3:$N1022,11,FALSE),"")</f>
        <v>100</v>
      </c>
      <c r="Q531" s="4722" t="str">
        <f t="array" ref="Q531">IFERROR(VLOOKUP(P531,Dex!$P$22:$Q$276,2,FALSE),"")</f>
        <v/>
      </c>
      <c r="R531" s="4723"/>
      <c r="S531" s="4719"/>
      <c r="T531" s="4720" t="s">
        <v>195</v>
      </c>
      <c r="U531" s="4721">
        <f t="array" ref="U531">IFERROR(VLOOKUP(T515,Dex!$B$3:$N1022,11,FALSE),"")</f>
        <v>110</v>
      </c>
      <c r="V531" s="4722" t="str">
        <f t="array" ref="V531">IFERROR(VLOOKUP(U531,Dex!$P$22:$Q$276,2,FALSE),"")</f>
        <v/>
      </c>
      <c r="W531" s="4723">
        <v>252.0</v>
      </c>
      <c r="X531" s="4709"/>
      <c r="Y531" s="4710"/>
      <c r="Z531" s="4711"/>
      <c r="AA531" s="4711"/>
      <c r="AB531" s="4710"/>
      <c r="AC531" s="4710"/>
      <c r="AD531" s="4710"/>
      <c r="AE531" s="4710"/>
      <c r="AF531" s="4710"/>
      <c r="AG531" s="4710"/>
      <c r="AH531" s="4712"/>
      <c r="AI531" s="3466"/>
    </row>
    <row r="532" ht="16.5" customHeight="1">
      <c r="A532" s="3457"/>
      <c r="B532" s="4703"/>
      <c r="C532" s="4680"/>
      <c r="D532" s="4704"/>
      <c r="E532" s="4720" t="s">
        <v>196</v>
      </c>
      <c r="F532" s="4721">
        <f t="array" ref="F532">IFERROR(VLOOKUP(E515,Dex!$B$3:$N1022,12,FALSE),"")</f>
        <v>75</v>
      </c>
      <c r="G532" s="4722" t="str">
        <f t="array" ref="G532">IFERROR(VLOOKUP(F532,Dex!$P$22:$Q$276,2,FALSE),"")</f>
        <v/>
      </c>
      <c r="H532" s="4723"/>
      <c r="I532" s="4717"/>
      <c r="J532" s="4720" t="s">
        <v>196</v>
      </c>
      <c r="K532" s="4721">
        <f t="array" ref="K532">IFERROR(VLOOKUP(J515,Dex!$B$3:$N1022,12,FALSE),"")</f>
        <v>65</v>
      </c>
      <c r="L532" s="4722" t="str">
        <f t="array" ref="L532">IFERROR(VLOOKUP(K532,Dex!$P$22:$Q$276,2,FALSE),"")</f>
        <v/>
      </c>
      <c r="M532" s="4723"/>
      <c r="N532" s="4718"/>
      <c r="O532" s="4720" t="s">
        <v>196</v>
      </c>
      <c r="P532" s="4721">
        <f t="array" ref="P532">IFERROR(VLOOKUP(O515,Dex!$B$3:$N1022,12,FALSE),"")</f>
        <v>65</v>
      </c>
      <c r="Q532" s="4722" t="str">
        <f t="array" ref="Q532">IFERROR(VLOOKUP(P532,Dex!$P$22:$Q$276,2,FALSE),"")</f>
        <v/>
      </c>
      <c r="R532" s="4723"/>
      <c r="S532" s="4719"/>
      <c r="T532" s="4720" t="s">
        <v>196</v>
      </c>
      <c r="U532" s="4721">
        <f t="array" ref="U532">IFERROR(VLOOKUP(T515,Dex!$B$3:$N1022,12,FALSE),"")</f>
        <v>95</v>
      </c>
      <c r="V532" s="4722" t="str">
        <f t="array" ref="V532">IFERROR(VLOOKUP(U532,Dex!$P$22:$Q$276,2,FALSE),"")</f>
        <v/>
      </c>
      <c r="W532" s="4723"/>
      <c r="X532" s="4709"/>
      <c r="Y532" s="4710"/>
      <c r="Z532" s="4711"/>
      <c r="AA532" s="4711"/>
      <c r="AB532" s="4710"/>
      <c r="AC532" s="4710"/>
      <c r="AD532" s="4710"/>
      <c r="AE532" s="4710"/>
      <c r="AF532" s="4710"/>
      <c r="AG532" s="4710"/>
      <c r="AH532" s="4712"/>
      <c r="AI532" s="3466"/>
    </row>
    <row r="533" ht="16.5" customHeight="1">
      <c r="A533" s="3457"/>
      <c r="B533" s="4703"/>
      <c r="C533" s="1204" t="s">
        <v>436</v>
      </c>
      <c r="D533" s="4704"/>
      <c r="E533" s="4724" t="s">
        <v>197</v>
      </c>
      <c r="F533" s="4725">
        <f t="array" ref="F533">IFERROR(VLOOKUP(E515,Dex!$B$3:$N1022,13,FALSE),"")</f>
        <v>55</v>
      </c>
      <c r="G533" s="4726" t="str">
        <f t="array" ref="G533">IFERROR(VLOOKUP(F533,Dex!$P$22:$Q$276,2,FALSE),"")</f>
        <v/>
      </c>
      <c r="H533" s="4727">
        <v>252.0</v>
      </c>
      <c r="I533" s="4717"/>
      <c r="J533" s="4724" t="s">
        <v>197</v>
      </c>
      <c r="K533" s="4725">
        <f t="array" ref="K533">IFERROR(VLOOKUP(J515,Dex!$B$3:$N1022,13,FALSE),"")</f>
        <v>110</v>
      </c>
      <c r="L533" s="4726" t="str">
        <f t="array" ref="L533">IFERROR(VLOOKUP(K533,Dex!$P$22:$Q$276,2,FALSE),"")</f>
        <v/>
      </c>
      <c r="M533" s="4727">
        <v>252.0</v>
      </c>
      <c r="N533" s="4718"/>
      <c r="O533" s="4724" t="s">
        <v>197</v>
      </c>
      <c r="P533" s="4725">
        <f t="array" ref="P533">IFERROR(VLOOKUP(O515,Dex!$B$3:$N1022,13,FALSE),"")</f>
        <v>65</v>
      </c>
      <c r="Q533" s="4726" t="str">
        <f t="array" ref="Q533">IFERROR(VLOOKUP(P533,Dex!$P$22:$Q$276,2,FALSE),"")</f>
        <v/>
      </c>
      <c r="R533" s="4727">
        <v>252.0</v>
      </c>
      <c r="S533" s="4719"/>
      <c r="T533" s="4724" t="s">
        <v>197</v>
      </c>
      <c r="U533" s="4725">
        <f t="array" ref="U533">IFERROR(VLOOKUP(T515,Dex!$B$3:$N1022,13,FALSE),"")</f>
        <v>130</v>
      </c>
      <c r="V533" s="4726" t="str">
        <f t="array" ref="V533">IFERROR(VLOOKUP(U533,Dex!$P$22:$Q$276,2,FALSE),"")</f>
        <v/>
      </c>
      <c r="W533" s="4727">
        <v>252.0</v>
      </c>
      <c r="X533" s="4709"/>
      <c r="Y533" s="4710"/>
      <c r="Z533" s="4711"/>
      <c r="AA533" s="4711"/>
      <c r="AB533" s="4710"/>
      <c r="AC533" s="4710"/>
      <c r="AD533" s="4710"/>
      <c r="AE533" s="4710"/>
      <c r="AF533" s="4710"/>
      <c r="AG533" s="4710"/>
      <c r="AH533" s="4712"/>
      <c r="AI533" s="3466"/>
    </row>
    <row r="534" ht="16.5" customHeight="1">
      <c r="A534" s="3457"/>
      <c r="B534" s="4703"/>
      <c r="C534" s="1205" t="s">
        <v>437</v>
      </c>
      <c r="D534" s="4728"/>
      <c r="E534" s="4731" t="s">
        <v>198</v>
      </c>
      <c r="F534" s="918"/>
      <c r="G534" s="919"/>
      <c r="H534" s="4732">
        <v>146.0</v>
      </c>
      <c r="I534" s="4707"/>
      <c r="J534" s="4729" t="s">
        <v>198</v>
      </c>
      <c r="K534" s="405"/>
      <c r="L534" s="406"/>
      <c r="M534" s="4730">
        <v>222.0</v>
      </c>
      <c r="N534" s="4707"/>
      <c r="O534" s="4731" t="s">
        <v>198</v>
      </c>
      <c r="P534" s="918"/>
      <c r="Q534" s="919"/>
      <c r="R534" s="4732">
        <v>160.0</v>
      </c>
      <c r="S534" s="4924"/>
      <c r="T534" s="4729" t="s">
        <v>198</v>
      </c>
      <c r="U534" s="405"/>
      <c r="V534" s="406"/>
      <c r="W534" s="4730">
        <v>250.0</v>
      </c>
      <c r="X534" s="4709"/>
      <c r="Y534" s="4710"/>
      <c r="Z534" s="4711"/>
      <c r="AA534" s="4711"/>
      <c r="AB534" s="4710"/>
      <c r="AC534" s="4710"/>
      <c r="AD534" s="4710"/>
      <c r="AE534" s="4710"/>
      <c r="AF534" s="4710"/>
      <c r="AG534" s="4710"/>
      <c r="AH534" s="4712"/>
      <c r="AI534" s="3466"/>
    </row>
    <row r="535" ht="16.5" customHeight="1">
      <c r="A535" s="3457"/>
      <c r="B535" s="4973"/>
      <c r="C535" s="4974"/>
      <c r="D535" s="4975"/>
      <c r="E535" s="4741" t="s">
        <v>381</v>
      </c>
      <c r="F535" s="925"/>
      <c r="G535" s="926"/>
      <c r="H535" s="4742">
        <v>292.0</v>
      </c>
      <c r="I535" s="4976"/>
      <c r="J535" s="4977"/>
      <c r="K535" s="4977"/>
      <c r="L535" s="4978"/>
      <c r="M535" s="4979"/>
      <c r="N535" s="4976"/>
      <c r="O535" s="4741" t="s">
        <v>1171</v>
      </c>
      <c r="P535" s="925"/>
      <c r="Q535" s="926"/>
      <c r="R535" s="4742">
        <v>240.0</v>
      </c>
      <c r="S535" s="4980"/>
      <c r="T535" s="4977"/>
      <c r="U535" s="4977"/>
      <c r="V535" s="4978"/>
      <c r="W535" s="4979"/>
      <c r="X535" s="4979"/>
      <c r="Y535" s="4979"/>
      <c r="Z535" s="4981"/>
      <c r="AA535" s="4981"/>
      <c r="AB535" s="4979"/>
      <c r="AC535" s="4979"/>
      <c r="AD535" s="4979"/>
      <c r="AE535" s="4979"/>
      <c r="AF535" s="4979"/>
      <c r="AG535" s="4979"/>
      <c r="AH535" s="4982"/>
      <c r="AI535" s="3466"/>
    </row>
    <row r="536" ht="15.0" customHeight="1">
      <c r="A536" s="3361"/>
      <c r="B536" s="4743"/>
      <c r="C536" s="4744"/>
      <c r="D536" s="4745"/>
      <c r="E536" s="4747"/>
      <c r="F536" s="4747"/>
      <c r="G536" s="4747"/>
      <c r="H536" s="4746"/>
      <c r="I536" s="4745"/>
      <c r="J536" s="4745"/>
      <c r="K536" s="4745"/>
      <c r="L536" s="4745"/>
      <c r="M536" s="4745"/>
      <c r="N536" s="4745"/>
      <c r="O536" s="4746"/>
      <c r="P536" s="4746"/>
      <c r="Q536" s="4746"/>
      <c r="R536" s="4746"/>
      <c r="S536" s="4745"/>
      <c r="T536" s="4745"/>
      <c r="U536" s="4745"/>
      <c r="V536" s="4745"/>
      <c r="W536" s="4745"/>
      <c r="X536" s="4745"/>
      <c r="Y536" s="4745"/>
      <c r="Z536" s="4745"/>
      <c r="AA536" s="4745"/>
      <c r="AB536" s="4745"/>
      <c r="AC536" s="4745"/>
      <c r="AD536" s="4745"/>
      <c r="AE536" s="4745"/>
      <c r="AF536" s="4745"/>
      <c r="AG536" s="4745"/>
      <c r="AH536" s="4748"/>
      <c r="AI536" s="3367"/>
    </row>
    <row r="537" ht="15.0" customHeight="1">
      <c r="A537" s="3361"/>
      <c r="B537" s="4925"/>
      <c r="C537" s="4926"/>
      <c r="D537" s="4926"/>
      <c r="E537" s="4926"/>
      <c r="F537" s="4926"/>
      <c r="G537" s="4926"/>
      <c r="H537" s="4926"/>
      <c r="I537" s="4926"/>
      <c r="J537" s="4926"/>
      <c r="K537" s="4926"/>
      <c r="L537" s="4926"/>
      <c r="M537" s="4926"/>
      <c r="N537" s="4926"/>
      <c r="O537" s="4926"/>
      <c r="P537" s="4926"/>
      <c r="Q537" s="4926"/>
      <c r="R537" s="4926"/>
      <c r="S537" s="4926"/>
      <c r="T537" s="4926"/>
      <c r="U537" s="4926"/>
      <c r="V537" s="4926"/>
      <c r="W537" s="4926"/>
      <c r="X537" s="4926"/>
      <c r="Y537" s="4926"/>
      <c r="Z537" s="4926"/>
      <c r="AA537" s="4926"/>
      <c r="AB537" s="4926"/>
      <c r="AC537" s="4926"/>
      <c r="AD537" s="4926"/>
      <c r="AE537" s="4926"/>
      <c r="AF537" s="4926"/>
      <c r="AG537" s="4926"/>
      <c r="AH537" s="4927"/>
      <c r="AI537" s="3367"/>
    </row>
    <row r="538">
      <c r="A538" s="3361"/>
      <c r="B538" s="2268"/>
      <c r="C538" s="4928"/>
      <c r="D538" s="2287"/>
      <c r="E538" s="4929" t="s">
        <v>1172</v>
      </c>
      <c r="F538" s="2324"/>
      <c r="G538" s="2324"/>
      <c r="H538" s="2324"/>
      <c r="I538" s="2324"/>
      <c r="J538" s="2324"/>
      <c r="K538" s="2324"/>
      <c r="L538" s="2324"/>
      <c r="M538" s="2324"/>
      <c r="N538" s="2324"/>
      <c r="O538" s="2324"/>
      <c r="P538" s="2324"/>
      <c r="Q538" s="2324"/>
      <c r="R538" s="2324"/>
      <c r="S538" s="2324"/>
      <c r="T538" s="2324"/>
      <c r="U538" s="2324"/>
      <c r="V538" s="2324"/>
      <c r="W538" s="2324"/>
      <c r="X538" s="2324"/>
      <c r="Y538" s="2324"/>
      <c r="Z538" s="2324"/>
      <c r="AA538" s="2324"/>
      <c r="AB538" s="2324"/>
      <c r="AC538" s="2324"/>
      <c r="AD538" s="2324"/>
      <c r="AE538" s="2324"/>
      <c r="AF538" s="2324"/>
      <c r="AG538" s="4930"/>
      <c r="AH538" s="4931"/>
      <c r="AI538" s="3367"/>
    </row>
    <row r="539" ht="96.75" customHeight="1">
      <c r="A539" s="3361"/>
      <c r="B539" s="2300"/>
      <c r="C539" s="4932" t="str">
        <f>IMAGE("https://i.ibb.co/qsQbp4Z/Biker.png")</f>
        <v/>
      </c>
      <c r="D539" s="2492"/>
      <c r="E539" s="4933" t="str">
        <f t="array" ref="E539">IFERROR(VLOOKUP(E540,Dex!$B$3:$G1022,3,FALSE),"")</f>
        <v/>
      </c>
      <c r="F539" s="1830"/>
      <c r="G539" s="1830"/>
      <c r="H539" s="1831"/>
      <c r="I539" s="2492"/>
      <c r="J539" s="4933" t="str">
        <f t="array" ref="J539">IFERROR(VLOOKUP(J540,Dex!$B$3:$G1022,3,FALSE),"")</f>
        <v/>
      </c>
      <c r="K539" s="1830"/>
      <c r="L539" s="1830"/>
      <c r="M539" s="1831"/>
      <c r="N539" s="2492"/>
      <c r="O539" s="4933" t="str">
        <f t="array" ref="O539">IFERROR(VLOOKUP(O540,Dex!$B$3:$G1022,3,FALSE),"")</f>
        <v/>
      </c>
      <c r="P539" s="1830"/>
      <c r="Q539" s="1830"/>
      <c r="R539" s="1831"/>
      <c r="S539" s="2492"/>
      <c r="T539" s="2270"/>
      <c r="U539" s="2273"/>
      <c r="V539" s="2273"/>
      <c r="W539" s="2274"/>
      <c r="X539" s="2493"/>
      <c r="Y539" s="2270"/>
      <c r="Z539" s="2273"/>
      <c r="AA539" s="2273"/>
      <c r="AB539" s="2274"/>
      <c r="AC539" s="2287"/>
      <c r="AD539" s="2270"/>
      <c r="AE539" s="2273"/>
      <c r="AF539" s="2273"/>
      <c r="AG539" s="2274"/>
      <c r="AH539" s="2276"/>
      <c r="AI539" s="3367"/>
    </row>
    <row r="540" ht="18.75" customHeight="1">
      <c r="A540" s="3621"/>
      <c r="B540" s="2358"/>
      <c r="C540" s="4934" t="s">
        <v>1173</v>
      </c>
      <c r="E540" s="2292" t="s">
        <v>1174</v>
      </c>
      <c r="F540" s="2293"/>
      <c r="G540" s="2293"/>
      <c r="H540" s="2294"/>
      <c r="J540" s="2292" t="s">
        <v>1095</v>
      </c>
      <c r="K540" s="2293"/>
      <c r="L540" s="2293"/>
      <c r="M540" s="2294"/>
      <c r="O540" s="2292" t="s">
        <v>1175</v>
      </c>
      <c r="P540" s="2293"/>
      <c r="Q540" s="2293"/>
      <c r="R540" s="2294"/>
      <c r="T540" s="2297"/>
      <c r="U540" s="2273"/>
      <c r="V540" s="2273"/>
      <c r="W540" s="2274"/>
      <c r="X540" s="2495"/>
      <c r="Y540" s="2297"/>
      <c r="Z540" s="2273"/>
      <c r="AA540" s="2273"/>
      <c r="AB540" s="2274"/>
      <c r="AC540" s="104"/>
      <c r="AD540" s="2297"/>
      <c r="AE540" s="2273"/>
      <c r="AF540" s="2273"/>
      <c r="AG540" s="2274"/>
      <c r="AH540" s="2298"/>
      <c r="AI540" s="3631"/>
    </row>
    <row r="541">
      <c r="A541" s="3632"/>
      <c r="B541" s="4935"/>
      <c r="C541" s="1481"/>
      <c r="E541" s="2496" t="s">
        <v>843</v>
      </c>
      <c r="F541" s="2303"/>
      <c r="G541" s="2303"/>
      <c r="H541" s="2304"/>
      <c r="J541" s="2496" t="s">
        <v>843</v>
      </c>
      <c r="K541" s="2303"/>
      <c r="L541" s="2303"/>
      <c r="M541" s="2304"/>
      <c r="O541" s="2496" t="s">
        <v>843</v>
      </c>
      <c r="P541" s="2303"/>
      <c r="Q541" s="2303"/>
      <c r="R541" s="2304"/>
      <c r="T541" s="2704"/>
      <c r="U541" s="2273"/>
      <c r="V541" s="2273"/>
      <c r="W541" s="2274"/>
      <c r="X541" s="2495"/>
      <c r="Y541" s="2704"/>
      <c r="Z541" s="2273"/>
      <c r="AA541" s="2273"/>
      <c r="AB541" s="2274"/>
      <c r="AC541" s="104"/>
      <c r="AD541" s="2704"/>
      <c r="AE541" s="2273"/>
      <c r="AF541" s="2273"/>
      <c r="AG541" s="2274"/>
      <c r="AH541" s="4936"/>
      <c r="AI541" s="3640"/>
    </row>
    <row r="542" ht="25.5" customHeight="1">
      <c r="A542" s="3361"/>
      <c r="B542" s="2300"/>
      <c r="C542" s="1489"/>
      <c r="E542" s="2307"/>
      <c r="F542" s="2311" t="str">
        <f t="array" ref="F542">IFERROR(VLOOKUP(E540,Dex!$B$3:$H1022,5,FALSE),"")</f>
        <v/>
      </c>
      <c r="G542" s="2312"/>
      <c r="H542" s="2310"/>
      <c r="J542" s="2307"/>
      <c r="K542" s="2308" t="str">
        <f t="array" ref="K542">IFERROR(VLOOKUP(J540,Dex!$B$3:$H1022,5,FALSE),"")</f>
        <v/>
      </c>
      <c r="L542" s="2309" t="str">
        <f t="array" ref="L542">IFERROR(VLOOKUP(J540,Dex!$B$3:$H1022,7,FALSE),"")</f>
        <v/>
      </c>
      <c r="M542" s="2310"/>
      <c r="O542" s="2307"/>
      <c r="P542" s="2308" t="str">
        <f t="array" ref="P542">IFERROR(VLOOKUP(O540,Dex!$B$3:$H1022,5,FALSE),"")</f>
        <v/>
      </c>
      <c r="Q542" s="2309" t="str">
        <f t="array" ref="Q542">IFERROR(VLOOKUP(O540,Dex!$B$3:$H1022,7,FALSE),"")</f>
        <v/>
      </c>
      <c r="R542" s="2310"/>
      <c r="T542" s="2270"/>
      <c r="U542" s="2273"/>
      <c r="V542" s="2273"/>
      <c r="W542" s="2274"/>
      <c r="X542" s="2495"/>
      <c r="Y542" s="2270"/>
      <c r="Z542" s="2273"/>
      <c r="AA542" s="2273"/>
      <c r="AB542" s="2274"/>
      <c r="AC542" s="104"/>
      <c r="AD542" s="2270"/>
      <c r="AE542" s="2273"/>
      <c r="AF542" s="2273"/>
      <c r="AG542" s="2274"/>
      <c r="AH542" s="2276"/>
      <c r="AI542" s="3367"/>
    </row>
    <row r="543" ht="2.25" customHeight="1">
      <c r="A543" s="3361"/>
      <c r="B543" s="2300"/>
      <c r="C543" s="4666"/>
      <c r="E543" s="2313"/>
      <c r="F543" s="2314"/>
      <c r="G543" s="2314"/>
      <c r="H543" s="2315"/>
      <c r="J543" s="2313"/>
      <c r="K543" s="2314"/>
      <c r="L543" s="2314"/>
      <c r="M543" s="2315"/>
      <c r="O543" s="2313"/>
      <c r="P543" s="2314"/>
      <c r="Q543" s="2314"/>
      <c r="R543" s="2315"/>
      <c r="T543" s="2316"/>
      <c r="U543" s="2316"/>
      <c r="V543" s="2316"/>
      <c r="W543" s="2316"/>
      <c r="X543" s="2495"/>
      <c r="Y543" s="2316"/>
      <c r="Z543" s="2316"/>
      <c r="AA543" s="2316"/>
      <c r="AB543" s="2316"/>
      <c r="AC543" s="104"/>
      <c r="AD543" s="2316"/>
      <c r="AE543" s="2316"/>
      <c r="AF543" s="2316"/>
      <c r="AG543" s="2316"/>
      <c r="AH543" s="2276"/>
      <c r="AI543" s="3367"/>
    </row>
    <row r="544" ht="20.25" customHeight="1">
      <c r="A544" s="3361"/>
      <c r="B544" s="2268"/>
      <c r="C544" s="4937"/>
      <c r="E544" s="2317" t="s">
        <v>172</v>
      </c>
      <c r="F544" s="2318"/>
      <c r="G544" s="2318"/>
      <c r="H544" s="2319"/>
      <c r="J544" s="2317" t="s">
        <v>205</v>
      </c>
      <c r="K544" s="2318"/>
      <c r="L544" s="2318"/>
      <c r="M544" s="2319"/>
      <c r="O544" s="2317" t="s">
        <v>264</v>
      </c>
      <c r="P544" s="2318"/>
      <c r="Q544" s="2318"/>
      <c r="R544" s="2319"/>
      <c r="T544" s="2270"/>
      <c r="U544" s="2273"/>
      <c r="V544" s="2273"/>
      <c r="W544" s="2274"/>
      <c r="X544" s="2495"/>
      <c r="Y544" s="2270"/>
      <c r="Z544" s="2273"/>
      <c r="AA544" s="2273"/>
      <c r="AB544" s="2274"/>
      <c r="AC544" s="104"/>
      <c r="AD544" s="2270"/>
      <c r="AE544" s="2273"/>
      <c r="AF544" s="2273"/>
      <c r="AG544" s="2274"/>
      <c r="AH544" s="2276"/>
      <c r="AI544" s="3367"/>
    </row>
    <row r="545" ht="20.25" customHeight="1">
      <c r="A545" s="3361"/>
      <c r="B545" s="2268"/>
      <c r="C545" s="2269"/>
      <c r="E545" s="2321" t="s">
        <v>598</v>
      </c>
      <c r="F545" s="2273"/>
      <c r="G545" s="2273"/>
      <c r="H545" s="2322"/>
      <c r="J545" s="2321" t="s">
        <v>937</v>
      </c>
      <c r="K545" s="2273"/>
      <c r="L545" s="2273"/>
      <c r="M545" s="2322"/>
      <c r="O545" s="2321" t="s">
        <v>809</v>
      </c>
      <c r="P545" s="2273"/>
      <c r="Q545" s="2273"/>
      <c r="R545" s="2322"/>
      <c r="T545" s="2270"/>
      <c r="U545" s="2273"/>
      <c r="V545" s="2273"/>
      <c r="W545" s="2274"/>
      <c r="X545" s="2495"/>
      <c r="Y545" s="2270"/>
      <c r="Z545" s="2273"/>
      <c r="AA545" s="2273"/>
      <c r="AB545" s="2274"/>
      <c r="AC545" s="104"/>
      <c r="AD545" s="2270"/>
      <c r="AE545" s="2273"/>
      <c r="AF545" s="2273"/>
      <c r="AG545" s="2274"/>
      <c r="AH545" s="2276"/>
      <c r="AI545" s="3367"/>
    </row>
    <row r="546" ht="20.25" customHeight="1">
      <c r="A546" s="3361"/>
      <c r="B546" s="2268"/>
      <c r="C546" s="2269"/>
      <c r="E546" s="2323" t="s">
        <v>272</v>
      </c>
      <c r="F546" s="2324"/>
      <c r="G546" s="4930"/>
      <c r="H546" s="4938" t="str">
        <f>IMAGE("https://raw.githubusercontent.com/msikma/pokesprite/master/items/hold-item/life-orb.png",3)</f>
        <v/>
      </c>
      <c r="J546" s="2323" t="s">
        <v>240</v>
      </c>
      <c r="K546" s="2324"/>
      <c r="L546" s="4930"/>
      <c r="M546" s="4938" t="str">
        <f>IMAGE("https://raw.githubusercontent.com/msikma/pokesprite/master/items/hold-item/focus-sash.png",3)</f>
        <v/>
      </c>
      <c r="O546" s="2323" t="s">
        <v>272</v>
      </c>
      <c r="P546" s="2324"/>
      <c r="Q546" s="4930"/>
      <c r="R546" s="4938" t="str">
        <f>IMAGE("https://raw.githubusercontent.com/msikma/pokesprite/master/items/hold-item/life-orb.png",3)</f>
        <v/>
      </c>
      <c r="T546" s="2270"/>
      <c r="U546" s="2273"/>
      <c r="V546" s="2273"/>
      <c r="W546" s="2274"/>
      <c r="X546" s="2495"/>
      <c r="Y546" s="2270"/>
      <c r="Z546" s="2273"/>
      <c r="AA546" s="2273"/>
      <c r="AB546" s="2274"/>
      <c r="AC546" s="104"/>
      <c r="AD546" s="2270"/>
      <c r="AE546" s="2273"/>
      <c r="AF546" s="2273"/>
      <c r="AG546" s="2274"/>
      <c r="AH546" s="2276"/>
      <c r="AI546" s="3367"/>
    </row>
    <row r="547" ht="20.25" customHeight="1">
      <c r="A547" s="3361"/>
      <c r="B547" s="2268"/>
      <c r="C547" s="2338"/>
      <c r="E547" s="2317" t="s">
        <v>476</v>
      </c>
      <c r="F547" s="2318"/>
      <c r="G547" s="2327"/>
      <c r="H547" s="4939" t="str">
        <f>IMAGE("https://raw.githubusercontent.com/msikma/pokesprite/master/misc/types/gen8/normal.png",4,20,20)</f>
        <v/>
      </c>
      <c r="J547" s="2317" t="s">
        <v>242</v>
      </c>
      <c r="K547" s="2318"/>
      <c r="L547" s="2327"/>
      <c r="M547" s="4939" t="str">
        <f>IMAGE("https://raw.githubusercontent.com/msikma/pokesprite/master/misc/types/gen8/electric.png",4,20,20)</f>
        <v/>
      </c>
      <c r="O547" s="2317" t="s">
        <v>402</v>
      </c>
      <c r="P547" s="2318"/>
      <c r="Q547" s="2327"/>
      <c r="R547" s="4939" t="str">
        <f>IMAGE("https://raw.githubusercontent.com/msikma/pokesprite/master/misc/types/gen8/ground.png",4,20,20)</f>
        <v/>
      </c>
      <c r="T547" s="2270"/>
      <c r="U547" s="2273"/>
      <c r="V547" s="2273"/>
      <c r="W547" s="2274"/>
      <c r="X547" s="2495"/>
      <c r="Y547" s="2270"/>
      <c r="Z547" s="2273"/>
      <c r="AA547" s="2273"/>
      <c r="AB547" s="2274"/>
      <c r="AC547" s="104"/>
      <c r="AD547" s="2270"/>
      <c r="AE547" s="2273"/>
      <c r="AF547" s="2273"/>
      <c r="AG547" s="2274"/>
      <c r="AH547" s="2276"/>
      <c r="AI547" s="3367"/>
    </row>
    <row r="548" ht="20.25" customHeight="1">
      <c r="A548" s="3361"/>
      <c r="B548" s="2268"/>
      <c r="C548" s="2338"/>
      <c r="E548" s="2321" t="s">
        <v>316</v>
      </c>
      <c r="F548" s="2273"/>
      <c r="G548" s="2274"/>
      <c r="H548" s="4940" t="str">
        <f>IMAGE("https://raw.githubusercontent.com/msikma/pokesprite/master/misc/types/gen8/fighting.png",4,20,20)</f>
        <v/>
      </c>
      <c r="J548" s="2321" t="s">
        <v>337</v>
      </c>
      <c r="K548" s="2273"/>
      <c r="L548" s="2274"/>
      <c r="M548" s="4940" t="str">
        <f>IMAGE("https://raw.githubusercontent.com/msikma/pokesprite/master/misc/types/gen8/normal.png",4,20,20)</f>
        <v/>
      </c>
      <c r="O548" s="2321" t="s">
        <v>407</v>
      </c>
      <c r="P548" s="2273"/>
      <c r="Q548" s="2274"/>
      <c r="R548" s="4940" t="str">
        <f>IMAGE("https://raw.githubusercontent.com/msikma/pokesprite/master/misc/types/gen8/steel.png",4,20,20)</f>
        <v/>
      </c>
      <c r="T548" s="2270"/>
      <c r="U548" s="2273"/>
      <c r="V548" s="2273"/>
      <c r="W548" s="2274"/>
      <c r="X548" s="2495"/>
      <c r="Y548" s="2270"/>
      <c r="Z548" s="2273"/>
      <c r="AA548" s="2273"/>
      <c r="AB548" s="2274"/>
      <c r="AC548" s="104"/>
      <c r="AD548" s="2270"/>
      <c r="AE548" s="2273"/>
      <c r="AF548" s="2273"/>
      <c r="AG548" s="2274"/>
      <c r="AH548" s="2276"/>
      <c r="AI548" s="3367"/>
    </row>
    <row r="549" ht="20.25" customHeight="1">
      <c r="A549" s="3361"/>
      <c r="B549" s="2268"/>
      <c r="C549" s="2338"/>
      <c r="E549" s="2321" t="s">
        <v>279</v>
      </c>
      <c r="F549" s="2273"/>
      <c r="G549" s="2274"/>
      <c r="H549" s="4940" t="str">
        <f>IMAGE("https://raw.githubusercontent.com/msikma/pokesprite/master/misc/types/gen8/dark.png",4,20,20)</f>
        <v/>
      </c>
      <c r="J549" s="2321" t="s">
        <v>379</v>
      </c>
      <c r="K549" s="2273"/>
      <c r="L549" s="2274"/>
      <c r="M549" s="4940" t="str">
        <f>IMAGE("https://raw.githubusercontent.com/msikma/pokesprite/master/misc/types/gen8/rock.png",4,20,20)</f>
        <v/>
      </c>
      <c r="O549" s="2321" t="s">
        <v>541</v>
      </c>
      <c r="P549" s="2273"/>
      <c r="Q549" s="2274"/>
      <c r="R549" s="4940" t="str">
        <f>IMAGE("https://raw.githubusercontent.com/msikma/pokesprite/master/misc/types/gen8/dark.png",4,20,20)</f>
        <v/>
      </c>
      <c r="T549" s="2270"/>
      <c r="U549" s="2273"/>
      <c r="V549" s="2273"/>
      <c r="W549" s="2274"/>
      <c r="X549" s="2495"/>
      <c r="Y549" s="2270"/>
      <c r="Z549" s="2273"/>
      <c r="AA549" s="2273"/>
      <c r="AB549" s="2274"/>
      <c r="AC549" s="104"/>
      <c r="AD549" s="2270"/>
      <c r="AE549" s="2273"/>
      <c r="AF549" s="2273"/>
      <c r="AG549" s="2274"/>
      <c r="AH549" s="2276"/>
      <c r="AI549" s="3367"/>
    </row>
    <row r="550" ht="21.0" customHeight="1">
      <c r="A550" s="3361"/>
      <c r="B550" s="2268"/>
      <c r="C550" s="2338"/>
      <c r="D550" s="2497"/>
      <c r="E550" s="2330" t="s">
        <v>278</v>
      </c>
      <c r="F550" s="2331"/>
      <c r="G550" s="2332"/>
      <c r="H550" s="4941" t="str">
        <f>IMAGE("https://raw.githubusercontent.com/msikma/pokesprite/master/misc/types/gen8/bug.png",4,20,20)</f>
        <v/>
      </c>
      <c r="I550" s="2497"/>
      <c r="J550" s="2330" t="s">
        <v>433</v>
      </c>
      <c r="K550" s="2331"/>
      <c r="L550" s="2332"/>
      <c r="M550" s="4941" t="str">
        <f>IMAGE("https://raw.githubusercontent.com/msikma/pokesprite/master/misc/types/gen8/water.png",4,20,20)</f>
        <v/>
      </c>
      <c r="N550" s="2497"/>
      <c r="O550" s="2330" t="s">
        <v>399</v>
      </c>
      <c r="P550" s="2331"/>
      <c r="Q550" s="2332"/>
      <c r="R550" s="4941" t="str">
        <f>IMAGE("https://raw.githubusercontent.com/msikma/pokesprite/master/misc/types/gen8/rock.png",4,20,20)</f>
        <v/>
      </c>
      <c r="S550" s="2497"/>
      <c r="T550" s="2270"/>
      <c r="U550" s="2273"/>
      <c r="V550" s="2273"/>
      <c r="W550" s="2274"/>
      <c r="X550" s="2498"/>
      <c r="Y550" s="2270"/>
      <c r="Z550" s="2273"/>
      <c r="AA550" s="2273"/>
      <c r="AB550" s="2274"/>
      <c r="AC550" s="281"/>
      <c r="AD550" s="2270"/>
      <c r="AE550" s="2273"/>
      <c r="AF550" s="2273"/>
      <c r="AG550" s="2274"/>
      <c r="AH550" s="2276"/>
      <c r="AI550" s="3367"/>
    </row>
    <row r="551" ht="3.0" customHeight="1">
      <c r="A551" s="3445"/>
      <c r="B551" s="2337"/>
      <c r="C551" s="2338"/>
      <c r="D551" s="2339"/>
      <c r="E551" s="4942"/>
      <c r="F551" s="4942"/>
      <c r="G551" s="4942"/>
      <c r="H551" s="4943"/>
      <c r="I551" s="2339"/>
      <c r="J551" s="4944"/>
      <c r="K551" s="4944"/>
      <c r="L551" s="4944"/>
      <c r="M551" s="4943"/>
      <c r="N551" s="2339"/>
      <c r="O551" s="4944"/>
      <c r="P551" s="4944"/>
      <c r="Q551" s="4944"/>
      <c r="R551" s="4945"/>
      <c r="S551" s="2339"/>
      <c r="T551" s="2339"/>
      <c r="U551" s="2341"/>
      <c r="V551" s="2341"/>
      <c r="W551" s="2342"/>
      <c r="X551" s="2339"/>
      <c r="Y551" s="2339"/>
      <c r="Z551" s="2341"/>
      <c r="AA551" s="2341"/>
      <c r="AB551" s="2342"/>
      <c r="AC551" s="2342"/>
      <c r="AD551" s="2342"/>
      <c r="AE551" s="2342"/>
      <c r="AF551" s="2342"/>
      <c r="AG551" s="2342"/>
      <c r="AH551" s="2343"/>
      <c r="AI551" s="3456"/>
    </row>
    <row r="552" ht="16.5" customHeight="1">
      <c r="A552" s="3457"/>
      <c r="B552" s="2345"/>
      <c r="C552" s="2338"/>
      <c r="D552" s="4946"/>
      <c r="E552" s="4947" t="s">
        <v>190</v>
      </c>
      <c r="F552" s="381"/>
      <c r="G552" s="382"/>
      <c r="H552" s="4948" t="s">
        <v>191</v>
      </c>
      <c r="I552" s="4946"/>
      <c r="J552" s="4947" t="s">
        <v>190</v>
      </c>
      <c r="K552" s="381"/>
      <c r="L552" s="382"/>
      <c r="M552" s="4948" t="s">
        <v>191</v>
      </c>
      <c r="N552" s="4946"/>
      <c r="O552" s="4947" t="s">
        <v>190</v>
      </c>
      <c r="P552" s="381"/>
      <c r="Q552" s="382"/>
      <c r="R552" s="4948" t="s">
        <v>191</v>
      </c>
      <c r="S552" s="4946"/>
      <c r="T552" s="2350"/>
      <c r="U552" s="2349"/>
      <c r="V552" s="2349"/>
      <c r="W552" s="2350"/>
      <c r="X552" s="4949"/>
      <c r="Y552" s="2350"/>
      <c r="Z552" s="2349"/>
      <c r="AA552" s="2349"/>
      <c r="AB552" s="2350"/>
      <c r="AC552" s="2350"/>
      <c r="AD552" s="2350"/>
      <c r="AE552" s="2350"/>
      <c r="AF552" s="2350"/>
      <c r="AG552" s="2350"/>
      <c r="AH552" s="2351"/>
      <c r="AI552" s="3466"/>
    </row>
    <row r="553" ht="16.5" customHeight="1">
      <c r="A553" s="3457"/>
      <c r="B553" s="2345"/>
      <c r="C553" s="2338"/>
      <c r="D553" s="4950"/>
      <c r="E553" s="4951" t="s">
        <v>192</v>
      </c>
      <c r="F553" s="4952">
        <f t="array" ref="F553">IFERROR(VLOOKUP(E540,Dex!$B$3:$N1022,8,FALSE),"")</f>
        <v>65</v>
      </c>
      <c r="G553" s="4953" t="str">
        <f t="array" ref="G553">IFERROR(VLOOKUP(F553,Dex!$P$22:$Q$276,2,FALSE),"")</f>
        <v/>
      </c>
      <c r="H553" s="4954"/>
      <c r="I553" s="4950"/>
      <c r="J553" s="4951" t="s">
        <v>192</v>
      </c>
      <c r="K553" s="4952">
        <f t="array" ref="K553">IFERROR(VLOOKUP(J540,Dex!$B$3:$N1022,8,FALSE),"")</f>
        <v>62</v>
      </c>
      <c r="L553" s="4953" t="str">
        <f t="array" ref="L553">IFERROR(VLOOKUP(K553,Dex!$P$22:$Q$276,2,FALSE),"")</f>
        <v/>
      </c>
      <c r="M553" s="4954"/>
      <c r="N553" s="4950"/>
      <c r="O553" s="4951" t="s">
        <v>192</v>
      </c>
      <c r="P553" s="4952">
        <f t="array" ref="P553">IFERROR(VLOOKUP(O540,Dex!$B$3:$N1022,8,FALSE),"")</f>
        <v>35</v>
      </c>
      <c r="Q553" s="4953" t="str">
        <f t="array" ref="Q553">IFERROR(VLOOKUP(P553,Dex!$P$22:$Q$276,2,FALSE),"")</f>
        <v/>
      </c>
      <c r="R553" s="4954"/>
      <c r="S553" s="4950"/>
      <c r="T553" s="2350"/>
      <c r="U553" s="2349"/>
      <c r="V553" s="2349"/>
      <c r="W553" s="2350"/>
      <c r="X553" s="4949"/>
      <c r="Y553" s="2350"/>
      <c r="Z553" s="2349"/>
      <c r="AA553" s="2349"/>
      <c r="AB553" s="2350"/>
      <c r="AC553" s="2350"/>
      <c r="AD553" s="2350"/>
      <c r="AE553" s="2350"/>
      <c r="AF553" s="2350"/>
      <c r="AG553" s="2350"/>
      <c r="AH553" s="2351"/>
      <c r="AI553" s="3466"/>
    </row>
    <row r="554" ht="16.5" customHeight="1">
      <c r="A554" s="3457"/>
      <c r="B554" s="2345"/>
      <c r="C554" s="2338"/>
      <c r="D554" s="4950"/>
      <c r="E554" s="4955" t="s">
        <v>193</v>
      </c>
      <c r="F554" s="4956">
        <f t="array" ref="F554">IFERROR(VLOOKUP(E540,Dex!$B$3:$N1022,9,FALSE),"")</f>
        <v>125</v>
      </c>
      <c r="G554" s="4957" t="str">
        <f t="array" ref="G554">IFERROR(VLOOKUP(F554,Dex!$P$22:$Q$276,2,FALSE),"")</f>
        <v/>
      </c>
      <c r="H554" s="4958">
        <v>252.0</v>
      </c>
      <c r="I554" s="4950"/>
      <c r="J554" s="4955" t="s">
        <v>193</v>
      </c>
      <c r="K554" s="4956">
        <f t="array" ref="K554">IFERROR(VLOOKUP(J540,Dex!$B$3:$N1022,9,FALSE),"")</f>
        <v>55</v>
      </c>
      <c r="L554" s="4957" t="str">
        <f t="array" ref="L554">IFERROR(VLOOKUP(K554,Dex!$P$22:$Q$276,2,FALSE),"")</f>
        <v/>
      </c>
      <c r="M554" s="4958"/>
      <c r="N554" s="4950"/>
      <c r="O554" s="4955" t="s">
        <v>193</v>
      </c>
      <c r="P554" s="4956">
        <f t="array" ref="P554">IFERROR(VLOOKUP(O540,Dex!$B$3:$N1022,9,FALSE),"")</f>
        <v>110</v>
      </c>
      <c r="Q554" s="4957" t="str">
        <f t="array" ref="Q554">IFERROR(VLOOKUP(P554,Dex!$P$22:$Q$276,2,FALSE),"")</f>
        <v/>
      </c>
      <c r="R554" s="4958">
        <v>252.0</v>
      </c>
      <c r="S554" s="4950"/>
      <c r="T554" s="2350"/>
      <c r="U554" s="2349"/>
      <c r="V554" s="2349"/>
      <c r="W554" s="2350"/>
      <c r="X554" s="4949"/>
      <c r="Y554" s="2350"/>
      <c r="Z554" s="2349"/>
      <c r="AA554" s="2349"/>
      <c r="AB554" s="2350"/>
      <c r="AC554" s="2350"/>
      <c r="AD554" s="2350"/>
      <c r="AE554" s="2350"/>
      <c r="AF554" s="2350"/>
      <c r="AG554" s="2350"/>
      <c r="AH554" s="2351"/>
      <c r="AI554" s="3466"/>
    </row>
    <row r="555" ht="16.5" customHeight="1">
      <c r="A555" s="3457"/>
      <c r="B555" s="2345"/>
      <c r="C555" s="2338"/>
      <c r="D555" s="4950"/>
      <c r="E555" s="4955" t="s">
        <v>194</v>
      </c>
      <c r="F555" s="4956">
        <f t="array" ref="F555">IFERROR(VLOOKUP(E540,Dex!$B$3:$N1022,10,FALSE),"")</f>
        <v>60</v>
      </c>
      <c r="G555" s="4957" t="str">
        <f t="array" ref="G555">IFERROR(VLOOKUP(F555,Dex!$P$22:$Q$276,2,FALSE),"")</f>
        <v/>
      </c>
      <c r="H555" s="4958"/>
      <c r="I555" s="4950"/>
      <c r="J555" s="4955" t="s">
        <v>194</v>
      </c>
      <c r="K555" s="4956">
        <f t="array" ref="K555">IFERROR(VLOOKUP(J540,Dex!$B$3:$N1022,10,FALSE),"")</f>
        <v>52</v>
      </c>
      <c r="L555" s="4957" t="str">
        <f t="array" ref="L555">IFERROR(VLOOKUP(K555,Dex!$P$22:$Q$276,2,FALSE),"")</f>
        <v/>
      </c>
      <c r="M555" s="4958"/>
      <c r="N555" s="4950"/>
      <c r="O555" s="4955" t="s">
        <v>194</v>
      </c>
      <c r="P555" s="4956">
        <f t="array" ref="P555">IFERROR(VLOOKUP(O540,Dex!$B$3:$N1022,10,FALSE),"")</f>
        <v>60</v>
      </c>
      <c r="Q555" s="4957" t="str">
        <f t="array" ref="Q555">IFERROR(VLOOKUP(P555,Dex!$P$22:$Q$276,2,FALSE),"")</f>
        <v/>
      </c>
      <c r="R555" s="4958"/>
      <c r="S555" s="4950"/>
      <c r="T555" s="2350"/>
      <c r="U555" s="2349"/>
      <c r="V555" s="2349"/>
      <c r="W555" s="2350"/>
      <c r="X555" s="4949"/>
      <c r="Y555" s="2350"/>
      <c r="Z555" s="2349"/>
      <c r="AA555" s="2349"/>
      <c r="AB555" s="2350"/>
      <c r="AC555" s="2350"/>
      <c r="AD555" s="2350"/>
      <c r="AE555" s="2350"/>
      <c r="AF555" s="2350"/>
      <c r="AG555" s="2350"/>
      <c r="AH555" s="2351"/>
      <c r="AI555" s="3466"/>
    </row>
    <row r="556" ht="16.5" customHeight="1">
      <c r="A556" s="3457"/>
      <c r="B556" s="2345"/>
      <c r="C556" s="2338"/>
      <c r="D556" s="4950"/>
      <c r="E556" s="4955" t="s">
        <v>195</v>
      </c>
      <c r="F556" s="4956">
        <f t="array" ref="F556">IFERROR(VLOOKUP(E540,Dex!$B$3:$N1022,11,FALSE),"")</f>
        <v>95</v>
      </c>
      <c r="G556" s="4957" t="str">
        <f t="array" ref="G556">IFERROR(VLOOKUP(F556,Dex!$P$22:$Q$276,2,FALSE),"")</f>
        <v/>
      </c>
      <c r="H556" s="4958"/>
      <c r="I556" s="4950"/>
      <c r="J556" s="4955" t="s">
        <v>195</v>
      </c>
      <c r="K556" s="4956">
        <f t="array" ref="K556">IFERROR(VLOOKUP(J540,Dex!$B$3:$N1022,11,FALSE),"")</f>
        <v>109</v>
      </c>
      <c r="L556" s="4957" t="str">
        <f t="array" ref="L556">IFERROR(VLOOKUP(K556,Dex!$P$22:$Q$276,2,FALSE),"")</f>
        <v/>
      </c>
      <c r="M556" s="4958">
        <v>252.0</v>
      </c>
      <c r="N556" s="4950"/>
      <c r="O556" s="4955" t="s">
        <v>195</v>
      </c>
      <c r="P556" s="4956">
        <f t="array" ref="P556">IFERROR(VLOOKUP(O540,Dex!$B$3:$N1022,11,FALSE),"")</f>
        <v>50</v>
      </c>
      <c r="Q556" s="4957" t="str">
        <f t="array" ref="Q556">IFERROR(VLOOKUP(P556,Dex!$P$22:$Q$276,2,FALSE),"")</f>
        <v/>
      </c>
      <c r="R556" s="4958"/>
      <c r="S556" s="4950"/>
      <c r="T556" s="2350"/>
      <c r="U556" s="2349"/>
      <c r="V556" s="2349"/>
      <c r="W556" s="2350"/>
      <c r="X556" s="4949"/>
      <c r="Y556" s="2350"/>
      <c r="Z556" s="2349"/>
      <c r="AA556" s="2349"/>
      <c r="AB556" s="2350"/>
      <c r="AC556" s="2350"/>
      <c r="AD556" s="2350"/>
      <c r="AE556" s="2350"/>
      <c r="AF556" s="2350"/>
      <c r="AG556" s="2350"/>
      <c r="AH556" s="2351"/>
      <c r="AI556" s="3466"/>
    </row>
    <row r="557" ht="16.5" customHeight="1">
      <c r="A557" s="3457"/>
      <c r="B557" s="2345"/>
      <c r="C557" s="2338"/>
      <c r="D557" s="4950"/>
      <c r="E557" s="4955" t="s">
        <v>196</v>
      </c>
      <c r="F557" s="4956">
        <f t="array" ref="F557">IFERROR(VLOOKUP(E540,Dex!$B$3:$N1022,12,FALSE),"")</f>
        <v>60</v>
      </c>
      <c r="G557" s="4957" t="str">
        <f t="array" ref="G557">IFERROR(VLOOKUP(F557,Dex!$P$22:$Q$276,2,FALSE),"")</f>
        <v/>
      </c>
      <c r="H557" s="4958">
        <v>4.0</v>
      </c>
      <c r="I557" s="4950"/>
      <c r="J557" s="4955" t="s">
        <v>196</v>
      </c>
      <c r="K557" s="4956">
        <f t="array" ref="K557">IFERROR(VLOOKUP(J540,Dex!$B$3:$N1022,12,FALSE),"")</f>
        <v>94</v>
      </c>
      <c r="L557" s="4957" t="str">
        <f t="array" ref="L557">IFERROR(VLOOKUP(K557,Dex!$P$22:$Q$276,2,FALSE),"")</f>
        <v/>
      </c>
      <c r="M557" s="4958">
        <v>4.0</v>
      </c>
      <c r="N557" s="4950"/>
      <c r="O557" s="4955" t="s">
        <v>196</v>
      </c>
      <c r="P557" s="4956">
        <f t="array" ref="P557">IFERROR(VLOOKUP(O540,Dex!$B$3:$N1022,12,FALSE),"")</f>
        <v>70</v>
      </c>
      <c r="Q557" s="4957" t="str">
        <f t="array" ref="Q557">IFERROR(VLOOKUP(P557,Dex!$P$22:$Q$276,2,FALSE),"")</f>
        <v/>
      </c>
      <c r="R557" s="4958">
        <v>4.0</v>
      </c>
      <c r="S557" s="4950"/>
      <c r="T557" s="2350"/>
      <c r="U557" s="2349"/>
      <c r="V557" s="2349"/>
      <c r="W557" s="2350"/>
      <c r="X557" s="4949"/>
      <c r="Y557" s="2350"/>
      <c r="Z557" s="2349"/>
      <c r="AA557" s="2349"/>
      <c r="AB557" s="2350"/>
      <c r="AC557" s="2350"/>
      <c r="AD557" s="2350"/>
      <c r="AE557" s="2350"/>
      <c r="AF557" s="2350"/>
      <c r="AG557" s="2350"/>
      <c r="AH557" s="2351"/>
      <c r="AI557" s="3466"/>
    </row>
    <row r="558" ht="16.5" customHeight="1">
      <c r="A558" s="3457"/>
      <c r="B558" s="2345"/>
      <c r="C558" s="1204" t="s">
        <v>436</v>
      </c>
      <c r="D558" s="4950"/>
      <c r="E558" s="4959" t="s">
        <v>197</v>
      </c>
      <c r="F558" s="4960">
        <f t="array" ref="F558">IFERROR(VLOOKUP(E540,Dex!$B$3:$N1022,13,FALSE),"")</f>
        <v>105</v>
      </c>
      <c r="G558" s="4961" t="str">
        <f t="array" ref="G558">IFERROR(VLOOKUP(F558,Dex!$P$22:$Q$276,2,FALSE),"")</f>
        <v/>
      </c>
      <c r="H558" s="4962">
        <v>252.0</v>
      </c>
      <c r="I558" s="4950"/>
      <c r="J558" s="4959" t="s">
        <v>197</v>
      </c>
      <c r="K558" s="4960">
        <f t="array" ref="K558">IFERROR(VLOOKUP(J540,Dex!$B$3:$N1022,13,FALSE),"")</f>
        <v>109</v>
      </c>
      <c r="L558" s="4961" t="str">
        <f t="array" ref="L558">IFERROR(VLOOKUP(K558,Dex!$P$22:$Q$276,2,FALSE),"")</f>
        <v/>
      </c>
      <c r="M558" s="4962">
        <v>252.0</v>
      </c>
      <c r="N558" s="4950"/>
      <c r="O558" s="4959" t="s">
        <v>197</v>
      </c>
      <c r="P558" s="4960">
        <f t="array" ref="P558">IFERROR(VLOOKUP(O540,Dex!$B$3:$N1022,13,FALSE),"")</f>
        <v>110</v>
      </c>
      <c r="Q558" s="4961" t="str">
        <f t="array" ref="Q558">IFERROR(VLOOKUP(P558,Dex!$P$22:$Q$276,2,FALSE),"")</f>
        <v/>
      </c>
      <c r="R558" s="4962">
        <v>252.0</v>
      </c>
      <c r="S558" s="4950"/>
      <c r="T558" s="2350"/>
      <c r="U558" s="2349"/>
      <c r="V558" s="2349"/>
      <c r="W558" s="2350"/>
      <c r="X558" s="4949"/>
      <c r="Y558" s="2350"/>
      <c r="Z558" s="2349"/>
      <c r="AA558" s="2349"/>
      <c r="AB558" s="2350"/>
      <c r="AC558" s="2350"/>
      <c r="AD558" s="2350"/>
      <c r="AE558" s="2350"/>
      <c r="AF558" s="2350"/>
      <c r="AG558" s="2350"/>
      <c r="AH558" s="2351"/>
      <c r="AI558" s="3466"/>
    </row>
    <row r="559" ht="16.5" customHeight="1">
      <c r="A559" s="3457"/>
      <c r="B559" s="2345"/>
      <c r="C559" s="1205" t="s">
        <v>437</v>
      </c>
      <c r="D559" s="4946"/>
      <c r="E559" s="4963" t="s">
        <v>198</v>
      </c>
      <c r="F559" s="405"/>
      <c r="G559" s="406"/>
      <c r="H559" s="4964">
        <v>215.0</v>
      </c>
      <c r="I559" s="4946"/>
      <c r="J559" s="4963" t="s">
        <v>198</v>
      </c>
      <c r="K559" s="405"/>
      <c r="L559" s="406"/>
      <c r="M559" s="4964">
        <v>221.0</v>
      </c>
      <c r="N559" s="4946"/>
      <c r="O559" s="4963" t="s">
        <v>198</v>
      </c>
      <c r="P559" s="405"/>
      <c r="Q559" s="406"/>
      <c r="R559" s="4964">
        <v>222.0</v>
      </c>
      <c r="S559" s="4946"/>
      <c r="T559" s="2350"/>
      <c r="U559" s="2349"/>
      <c r="V559" s="2349"/>
      <c r="W559" s="2350"/>
      <c r="X559" s="4949"/>
      <c r="Y559" s="2350"/>
      <c r="Z559" s="2349"/>
      <c r="AA559" s="2349"/>
      <c r="AB559" s="2350"/>
      <c r="AC559" s="2350"/>
      <c r="AD559" s="2350"/>
      <c r="AE559" s="2350"/>
      <c r="AF559" s="2350"/>
      <c r="AG559" s="2350"/>
      <c r="AH559" s="2351"/>
      <c r="AI559" s="3466"/>
    </row>
    <row r="560" ht="11.25" customHeight="1">
      <c r="A560" s="3361"/>
      <c r="B560" s="2268"/>
      <c r="C560" s="2269"/>
      <c r="D560" s="4983"/>
      <c r="E560" s="4984"/>
      <c r="F560" s="4984"/>
      <c r="G560" s="4984"/>
      <c r="H560" s="4984"/>
      <c r="I560" s="4985"/>
      <c r="J560" s="4984"/>
      <c r="K560" s="4984"/>
      <c r="L560" s="4984"/>
      <c r="M560" s="4984"/>
      <c r="N560" s="4985"/>
      <c r="O560" s="4984"/>
      <c r="P560" s="4984"/>
      <c r="Q560" s="4984"/>
      <c r="R560" s="4984"/>
      <c r="S560" s="4985"/>
      <c r="T560" s="4984"/>
      <c r="U560" s="4984"/>
      <c r="V560" s="4984"/>
      <c r="W560" s="4984"/>
      <c r="X560" s="2316"/>
      <c r="Y560" s="2316"/>
      <c r="Z560" s="2316"/>
      <c r="AA560" s="2316"/>
      <c r="AB560" s="2316"/>
      <c r="AC560" s="2316"/>
      <c r="AD560" s="2316"/>
      <c r="AE560" s="2316"/>
      <c r="AF560" s="2316"/>
      <c r="AG560" s="2316"/>
      <c r="AH560" s="2276"/>
      <c r="AI560" s="3367"/>
    </row>
    <row r="561" ht="11.25" customHeight="1">
      <c r="A561" s="3361"/>
      <c r="B561" s="2268"/>
      <c r="C561" s="4986"/>
      <c r="D561" s="4987"/>
      <c r="E561" s="4988" t="s">
        <v>1176</v>
      </c>
      <c r="F561" s="3181"/>
      <c r="G561" s="3181"/>
      <c r="H561" s="3181"/>
      <c r="I561" s="3181"/>
      <c r="J561" s="3181"/>
      <c r="K561" s="3181"/>
      <c r="L561" s="3181"/>
      <c r="M561" s="3181"/>
      <c r="N561" s="3181"/>
      <c r="O561" s="3181"/>
      <c r="P561" s="3181"/>
      <c r="Q561" s="3181"/>
      <c r="R561" s="3182"/>
      <c r="S561" s="4989"/>
      <c r="T561" s="2273"/>
      <c r="U561" s="2273"/>
      <c r="V561" s="2274"/>
      <c r="W561" s="4989"/>
      <c r="X561" s="2273"/>
      <c r="Y561" s="2273"/>
      <c r="Z561" s="2274"/>
      <c r="AA561" s="4986"/>
      <c r="AB561" s="4986"/>
      <c r="AC561" s="4986"/>
      <c r="AD561" s="4986"/>
      <c r="AE561" s="4986"/>
      <c r="AF561" s="4986"/>
      <c r="AG561" s="4986"/>
      <c r="AH561" s="2276"/>
      <c r="AI561" s="3367"/>
    </row>
    <row r="562" ht="11.25" customHeight="1">
      <c r="A562" s="3361"/>
      <c r="B562" s="2268"/>
      <c r="C562" s="2269"/>
      <c r="D562" s="2270"/>
      <c r="E562" s="114"/>
      <c r="F562" s="3185"/>
      <c r="G562" s="3185"/>
      <c r="H562" s="3185"/>
      <c r="I562" s="3185"/>
      <c r="J562" s="3185"/>
      <c r="K562" s="3185"/>
      <c r="L562" s="3185"/>
      <c r="M562" s="3185"/>
      <c r="N562" s="3185"/>
      <c r="O562" s="3185"/>
      <c r="P562" s="3185"/>
      <c r="Q562" s="3185"/>
      <c r="R562" s="3186"/>
      <c r="S562" s="2346"/>
      <c r="T562" s="2273"/>
      <c r="U562" s="2273"/>
      <c r="V562" s="2274"/>
      <c r="W562" s="4990"/>
      <c r="X562" s="2497"/>
      <c r="Y562" s="2497"/>
      <c r="Z562" s="2498"/>
      <c r="AA562" s="4991"/>
      <c r="AB562" s="4991"/>
      <c r="AC562" s="4991"/>
      <c r="AD562" s="4991"/>
      <c r="AE562" s="4991"/>
      <c r="AF562" s="4991"/>
      <c r="AG562" s="4991"/>
      <c r="AH562" s="2276"/>
      <c r="AI562" s="3367"/>
    </row>
    <row r="563" ht="3.75" customHeight="1">
      <c r="A563" s="3361"/>
      <c r="B563" s="2268"/>
      <c r="C563" s="2269"/>
      <c r="D563" s="4983"/>
      <c r="E563" s="4992"/>
      <c r="F563" s="4992"/>
      <c r="G563" s="4992"/>
      <c r="H563" s="4992"/>
      <c r="I563" s="4993"/>
      <c r="J563" s="4992"/>
      <c r="K563" s="4992"/>
      <c r="L563" s="4992"/>
      <c r="M563" s="4992"/>
      <c r="N563" s="4993"/>
      <c r="O563" s="4992"/>
      <c r="P563" s="4992"/>
      <c r="Q563" s="4992"/>
      <c r="R563" s="4992"/>
      <c r="S563" s="4993"/>
      <c r="T563" s="4992"/>
      <c r="U563" s="4992"/>
      <c r="V563" s="4992"/>
      <c r="W563" s="4992"/>
      <c r="X563" s="2316"/>
      <c r="Y563" s="2316"/>
      <c r="Z563" s="2316"/>
      <c r="AA563" s="2316"/>
      <c r="AB563" s="2316"/>
      <c r="AC563" s="2316"/>
      <c r="AD563" s="2316"/>
      <c r="AE563" s="2316"/>
      <c r="AF563" s="2316"/>
      <c r="AG563" s="2316"/>
      <c r="AH563" s="2276"/>
      <c r="AI563" s="3367"/>
    </row>
    <row r="564">
      <c r="A564" s="3361"/>
      <c r="B564" s="2268"/>
      <c r="C564" s="4928"/>
      <c r="D564" s="2287"/>
      <c r="E564" s="4929" t="s">
        <v>1177</v>
      </c>
      <c r="F564" s="2324"/>
      <c r="G564" s="2324"/>
      <c r="H564" s="2324"/>
      <c r="I564" s="2324"/>
      <c r="J564" s="2324"/>
      <c r="K564" s="2324"/>
      <c r="L564" s="2324"/>
      <c r="M564" s="2324"/>
      <c r="N564" s="2324"/>
      <c r="O564" s="2324"/>
      <c r="P564" s="2324"/>
      <c r="Q564" s="2324"/>
      <c r="R564" s="2324"/>
      <c r="S564" s="2324"/>
      <c r="T564" s="2324"/>
      <c r="U564" s="2324"/>
      <c r="V564" s="2324"/>
      <c r="W564" s="2324"/>
      <c r="X564" s="2324"/>
      <c r="Y564" s="2324"/>
      <c r="Z564" s="2324"/>
      <c r="AA564" s="2324"/>
      <c r="AB564" s="2324"/>
      <c r="AC564" s="2324"/>
      <c r="AD564" s="2324"/>
      <c r="AE564" s="2324"/>
      <c r="AF564" s="2324"/>
      <c r="AG564" s="4930"/>
      <c r="AH564" s="4931"/>
      <c r="AI564" s="3367"/>
    </row>
    <row r="565" ht="96.75" customHeight="1">
      <c r="A565" s="3361"/>
      <c r="B565" s="2300"/>
      <c r="C565" s="4932" t="str">
        <f>IMAGE("https://i.ibb.co/Wv3HtLh/CueBall.png")</f>
        <v/>
      </c>
      <c r="D565" s="2492"/>
      <c r="E565" s="4933" t="str">
        <f t="array" ref="E565">IFERROR(VLOOKUP(E566,Dex!$B$3:$G1022,3,FALSE),"")</f>
        <v/>
      </c>
      <c r="F565" s="1830"/>
      <c r="G565" s="1830"/>
      <c r="H565" s="1831"/>
      <c r="I565" s="2492"/>
      <c r="J565" s="2270"/>
      <c r="K565" s="2273"/>
      <c r="L565" s="2273"/>
      <c r="M565" s="2274"/>
      <c r="N565" s="4985"/>
      <c r="O565" s="2270"/>
      <c r="P565" s="2273"/>
      <c r="Q565" s="2273"/>
      <c r="R565" s="2274"/>
      <c r="S565" s="4985"/>
      <c r="T565" s="2270"/>
      <c r="U565" s="2273"/>
      <c r="V565" s="2273"/>
      <c r="W565" s="2274"/>
      <c r="X565" s="2493"/>
      <c r="Y565" s="2270"/>
      <c r="Z565" s="2273"/>
      <c r="AA565" s="2273"/>
      <c r="AB565" s="2274"/>
      <c r="AC565" s="2287"/>
      <c r="AD565" s="2270"/>
      <c r="AE565" s="2273"/>
      <c r="AF565" s="2273"/>
      <c r="AG565" s="2274"/>
      <c r="AH565" s="2276"/>
      <c r="AI565" s="3367"/>
    </row>
    <row r="566" ht="18.75" customHeight="1">
      <c r="A566" s="3621"/>
      <c r="B566" s="2358"/>
      <c r="C566" s="4934" t="s">
        <v>1178</v>
      </c>
      <c r="E566" s="2292" t="s">
        <v>1179</v>
      </c>
      <c r="F566" s="2293"/>
      <c r="G566" s="2293"/>
      <c r="H566" s="2294"/>
      <c r="J566" s="2297"/>
      <c r="K566" s="2273"/>
      <c r="L566" s="2273"/>
      <c r="M566" s="2274"/>
      <c r="N566" s="104"/>
      <c r="O566" s="2297"/>
      <c r="P566" s="2273"/>
      <c r="Q566" s="2273"/>
      <c r="R566" s="2274"/>
      <c r="S566" s="104"/>
      <c r="T566" s="2297"/>
      <c r="U566" s="2273"/>
      <c r="V566" s="2273"/>
      <c r="W566" s="2274"/>
      <c r="X566" s="2495"/>
      <c r="Y566" s="2297"/>
      <c r="Z566" s="2273"/>
      <c r="AA566" s="2273"/>
      <c r="AB566" s="2274"/>
      <c r="AC566" s="104"/>
      <c r="AD566" s="2297"/>
      <c r="AE566" s="2273"/>
      <c r="AF566" s="2273"/>
      <c r="AG566" s="2274"/>
      <c r="AH566" s="2298"/>
      <c r="AI566" s="3631"/>
    </row>
    <row r="567">
      <c r="A567" s="3632"/>
      <c r="B567" s="4935"/>
      <c r="C567" s="1481"/>
      <c r="E567" s="2496" t="s">
        <v>843</v>
      </c>
      <c r="F567" s="2303"/>
      <c r="G567" s="2303"/>
      <c r="H567" s="2304"/>
      <c r="J567" s="2704"/>
      <c r="K567" s="2273"/>
      <c r="L567" s="2273"/>
      <c r="M567" s="2274"/>
      <c r="N567" s="104"/>
      <c r="O567" s="2704"/>
      <c r="P567" s="2273"/>
      <c r="Q567" s="2273"/>
      <c r="R567" s="2274"/>
      <c r="S567" s="104"/>
      <c r="T567" s="2704"/>
      <c r="U567" s="2273"/>
      <c r="V567" s="2273"/>
      <c r="W567" s="2274"/>
      <c r="X567" s="2495"/>
      <c r="Y567" s="2704"/>
      <c r="Z567" s="2273"/>
      <c r="AA567" s="2273"/>
      <c r="AB567" s="2274"/>
      <c r="AC567" s="104"/>
      <c r="AD567" s="2704"/>
      <c r="AE567" s="2273"/>
      <c r="AF567" s="2273"/>
      <c r="AG567" s="2274"/>
      <c r="AH567" s="4936"/>
      <c r="AI567" s="3640"/>
    </row>
    <row r="568" ht="25.5" customHeight="1">
      <c r="A568" s="3361"/>
      <c r="B568" s="2300"/>
      <c r="C568" s="1489"/>
      <c r="E568" s="2307"/>
      <c r="F568" s="4994" t="str">
        <f t="array" ref="F568">IFERROR(VLOOKUP(E566,Dex!$B$3:$H1022,5,FALSE),"")</f>
        <v/>
      </c>
      <c r="G568" s="4995" t="str">
        <f t="array" ref="G568">IFERROR(VLOOKUP(E566,Dex!$B$3:$H1022,7,FALSE),"")</f>
        <v/>
      </c>
      <c r="H568" s="2310"/>
      <c r="J568" s="2270"/>
      <c r="K568" s="2273"/>
      <c r="L568" s="2273"/>
      <c r="M568" s="2274"/>
      <c r="N568" s="104"/>
      <c r="O568" s="2270"/>
      <c r="P568" s="2273"/>
      <c r="Q568" s="2273"/>
      <c r="R568" s="2274"/>
      <c r="S568" s="104"/>
      <c r="T568" s="2270"/>
      <c r="U568" s="2273"/>
      <c r="V568" s="2273"/>
      <c r="W568" s="2274"/>
      <c r="X568" s="2495"/>
      <c r="Y568" s="2270"/>
      <c r="Z568" s="2273"/>
      <c r="AA568" s="2273"/>
      <c r="AB568" s="2274"/>
      <c r="AC568" s="104"/>
      <c r="AD568" s="2270"/>
      <c r="AE568" s="2273"/>
      <c r="AF568" s="2273"/>
      <c r="AG568" s="2274"/>
      <c r="AH568" s="2276"/>
      <c r="AI568" s="3367"/>
    </row>
    <row r="569" ht="2.25" customHeight="1">
      <c r="A569" s="3361"/>
      <c r="B569" s="2300"/>
      <c r="C569" s="4666"/>
      <c r="E569" s="2313"/>
      <c r="F569" s="2314"/>
      <c r="G569" s="2314"/>
      <c r="H569" s="2315"/>
      <c r="J569" s="2316"/>
      <c r="K569" s="2316"/>
      <c r="L569" s="2316"/>
      <c r="M569" s="2316"/>
      <c r="N569" s="104"/>
      <c r="O569" s="2316"/>
      <c r="P569" s="2316"/>
      <c r="Q569" s="2316"/>
      <c r="R569" s="2316"/>
      <c r="S569" s="104"/>
      <c r="T569" s="2316"/>
      <c r="U569" s="2316"/>
      <c r="V569" s="2316"/>
      <c r="W569" s="2316"/>
      <c r="X569" s="2495"/>
      <c r="Y569" s="2316"/>
      <c r="Z569" s="2316"/>
      <c r="AA569" s="2316"/>
      <c r="AB569" s="2316"/>
      <c r="AC569" s="104"/>
      <c r="AD569" s="2316"/>
      <c r="AE569" s="2316"/>
      <c r="AF569" s="2316"/>
      <c r="AG569" s="2316"/>
      <c r="AH569" s="2276"/>
      <c r="AI569" s="3367"/>
    </row>
    <row r="570" ht="20.25" customHeight="1">
      <c r="A570" s="3361"/>
      <c r="B570" s="2268"/>
      <c r="C570" s="4937"/>
      <c r="E570" s="2317" t="s">
        <v>172</v>
      </c>
      <c r="F570" s="2318"/>
      <c r="G570" s="2318"/>
      <c r="H570" s="2319"/>
      <c r="J570" s="2270"/>
      <c r="K570" s="2273"/>
      <c r="L570" s="2273"/>
      <c r="M570" s="2274"/>
      <c r="N570" s="104"/>
      <c r="O570" s="2270"/>
      <c r="P570" s="2273"/>
      <c r="Q570" s="2273"/>
      <c r="R570" s="2274"/>
      <c r="S570" s="104"/>
      <c r="T570" s="2270"/>
      <c r="U570" s="2273"/>
      <c r="V570" s="2273"/>
      <c r="W570" s="2274"/>
      <c r="X570" s="2495"/>
      <c r="Y570" s="2270"/>
      <c r="Z570" s="2273"/>
      <c r="AA570" s="2273"/>
      <c r="AB570" s="2274"/>
      <c r="AC570" s="104"/>
      <c r="AD570" s="2270"/>
      <c r="AE570" s="2273"/>
      <c r="AF570" s="2273"/>
      <c r="AG570" s="2274"/>
      <c r="AH570" s="2276"/>
      <c r="AI570" s="3367"/>
    </row>
    <row r="571" ht="20.25" customHeight="1">
      <c r="A571" s="3361"/>
      <c r="B571" s="2268"/>
      <c r="C571" s="2269"/>
      <c r="E571" s="2321" t="s">
        <v>934</v>
      </c>
      <c r="F571" s="2273"/>
      <c r="G571" s="2273"/>
      <c r="H571" s="2322"/>
      <c r="J571" s="2270"/>
      <c r="K571" s="2273"/>
      <c r="L571" s="2273"/>
      <c r="M571" s="2274"/>
      <c r="N571" s="104"/>
      <c r="O571" s="2270"/>
      <c r="P571" s="2273"/>
      <c r="Q571" s="2273"/>
      <c r="R571" s="2274"/>
      <c r="S571" s="104"/>
      <c r="T571" s="2270"/>
      <c r="U571" s="2273"/>
      <c r="V571" s="2273"/>
      <c r="W571" s="2274"/>
      <c r="X571" s="2495"/>
      <c r="Y571" s="2270"/>
      <c r="Z571" s="2273"/>
      <c r="AA571" s="2273"/>
      <c r="AB571" s="2274"/>
      <c r="AC571" s="104"/>
      <c r="AD571" s="2270"/>
      <c r="AE571" s="2273"/>
      <c r="AF571" s="2273"/>
      <c r="AG571" s="2274"/>
      <c r="AH571" s="2276"/>
      <c r="AI571" s="3367"/>
    </row>
    <row r="572" ht="20.25" customHeight="1">
      <c r="A572" s="3361"/>
      <c r="B572" s="2268"/>
      <c r="C572" s="2269"/>
      <c r="E572" s="2323" t="s">
        <v>536</v>
      </c>
      <c r="F572" s="2324"/>
      <c r="G572" s="4930"/>
      <c r="H572" s="4996" t="str">
        <f>IMAGE("https://raw.githubusercontent.com/msikma/pokesprite/master/items/hold-item/magnet.png",3)</f>
        <v/>
      </c>
      <c r="J572" s="2270"/>
      <c r="K572" s="2273"/>
      <c r="L572" s="2273"/>
      <c r="M572" s="2274"/>
      <c r="N572" s="104"/>
      <c r="O572" s="2270"/>
      <c r="P572" s="2273"/>
      <c r="Q572" s="2273"/>
      <c r="R572" s="2274"/>
      <c r="S572" s="104"/>
      <c r="T572" s="2270"/>
      <c r="U572" s="2273"/>
      <c r="V572" s="2273"/>
      <c r="W572" s="2274"/>
      <c r="X572" s="2495"/>
      <c r="Y572" s="2270"/>
      <c r="Z572" s="2273"/>
      <c r="AA572" s="2273"/>
      <c r="AB572" s="2274"/>
      <c r="AC572" s="104"/>
      <c r="AD572" s="2270"/>
      <c r="AE572" s="2273"/>
      <c r="AF572" s="2273"/>
      <c r="AG572" s="2274"/>
      <c r="AH572" s="2276"/>
      <c r="AI572" s="3367"/>
    </row>
    <row r="573" ht="20.25" customHeight="1">
      <c r="A573" s="3361"/>
      <c r="B573" s="2268"/>
      <c r="C573" s="2338"/>
      <c r="E573" s="2317" t="s">
        <v>630</v>
      </c>
      <c r="F573" s="2318"/>
      <c r="G573" s="2327"/>
      <c r="H573" s="4997" t="str">
        <f>IMAGE("https://raw.githubusercontent.com/msikma/pokesprite/master/misc/types/gen8/electric.png",4,20,20)</f>
        <v/>
      </c>
      <c r="J573" s="2270"/>
      <c r="K573" s="2273"/>
      <c r="L573" s="2273"/>
      <c r="M573" s="2274"/>
      <c r="N573" s="104"/>
      <c r="O573" s="2270"/>
      <c r="P573" s="2273"/>
      <c r="Q573" s="2273"/>
      <c r="R573" s="2274"/>
      <c r="S573" s="104"/>
      <c r="T573" s="2270"/>
      <c r="U573" s="2273"/>
      <c r="V573" s="2273"/>
      <c r="W573" s="2274"/>
      <c r="X573" s="2495"/>
      <c r="Y573" s="2270"/>
      <c r="Z573" s="2273"/>
      <c r="AA573" s="2273"/>
      <c r="AB573" s="2274"/>
      <c r="AC573" s="104"/>
      <c r="AD573" s="2270"/>
      <c r="AE573" s="2273"/>
      <c r="AF573" s="2273"/>
      <c r="AG573" s="2274"/>
      <c r="AH573" s="2276"/>
      <c r="AI573" s="3367"/>
    </row>
    <row r="574" ht="20.25" customHeight="1">
      <c r="A574" s="3361"/>
      <c r="B574" s="2268"/>
      <c r="C574" s="2338"/>
      <c r="E574" s="2321" t="s">
        <v>409</v>
      </c>
      <c r="F574" s="2273"/>
      <c r="G574" s="2274"/>
      <c r="H574" s="4998" t="str">
        <f>IMAGE("https://raw.githubusercontent.com/msikma/pokesprite/master/misc/types/gen8/dragon.png",4,20,20)</f>
        <v/>
      </c>
      <c r="J574" s="2270"/>
      <c r="K574" s="2273"/>
      <c r="L574" s="2273"/>
      <c r="M574" s="2274"/>
      <c r="N574" s="104"/>
      <c r="O574" s="2270"/>
      <c r="P574" s="2273"/>
      <c r="Q574" s="2273"/>
      <c r="R574" s="2274"/>
      <c r="S574" s="104"/>
      <c r="T574" s="2270"/>
      <c r="U574" s="2273"/>
      <c r="V574" s="2273"/>
      <c r="W574" s="2274"/>
      <c r="X574" s="2495"/>
      <c r="Y574" s="2270"/>
      <c r="Z574" s="2273"/>
      <c r="AA574" s="2273"/>
      <c r="AB574" s="2274"/>
      <c r="AC574" s="104"/>
      <c r="AD574" s="2270"/>
      <c r="AE574" s="2273"/>
      <c r="AF574" s="2273"/>
      <c r="AG574" s="2274"/>
      <c r="AH574" s="2276"/>
      <c r="AI574" s="3367"/>
    </row>
    <row r="575" ht="20.25" customHeight="1">
      <c r="A575" s="3361"/>
      <c r="B575" s="2268"/>
      <c r="C575" s="2338"/>
      <c r="E575" s="2321" t="s">
        <v>402</v>
      </c>
      <c r="F575" s="2273"/>
      <c r="G575" s="2274"/>
      <c r="H575" s="4998" t="str">
        <f>IMAGE("https://raw.githubusercontent.com/msikma/pokesprite/master/misc/types/gen8/ground.png",4,20,20)</f>
        <v/>
      </c>
      <c r="J575" s="2270"/>
      <c r="K575" s="2273"/>
      <c r="L575" s="2273"/>
      <c r="M575" s="2274"/>
      <c r="N575" s="104"/>
      <c r="O575" s="2270"/>
      <c r="P575" s="2273"/>
      <c r="Q575" s="2273"/>
      <c r="R575" s="2274"/>
      <c r="S575" s="104"/>
      <c r="T575" s="2270"/>
      <c r="U575" s="2273"/>
      <c r="V575" s="2273"/>
      <c r="W575" s="2274"/>
      <c r="X575" s="2495"/>
      <c r="Y575" s="2270"/>
      <c r="Z575" s="2273"/>
      <c r="AA575" s="2273"/>
      <c r="AB575" s="2274"/>
      <c r="AC575" s="104"/>
      <c r="AD575" s="2270"/>
      <c r="AE575" s="2273"/>
      <c r="AF575" s="2273"/>
      <c r="AG575" s="2274"/>
      <c r="AH575" s="2276"/>
      <c r="AI575" s="3367"/>
    </row>
    <row r="576" ht="21.0" customHeight="1">
      <c r="A576" s="3361"/>
      <c r="B576" s="2268"/>
      <c r="C576" s="2338"/>
      <c r="D576" s="2497"/>
      <c r="E576" s="2330" t="s">
        <v>785</v>
      </c>
      <c r="F576" s="2331"/>
      <c r="G576" s="2332"/>
      <c r="H576" s="4999" t="str">
        <f>IMAGE("https://raw.githubusercontent.com/msikma/pokesprite/master/misc/types/gen8/fire.png",4,20,20)</f>
        <v/>
      </c>
      <c r="I576" s="2497"/>
      <c r="J576" s="2270"/>
      <c r="K576" s="2273"/>
      <c r="L576" s="2273"/>
      <c r="M576" s="2274"/>
      <c r="N576" s="281"/>
      <c r="O576" s="2270"/>
      <c r="P576" s="2273"/>
      <c r="Q576" s="2273"/>
      <c r="R576" s="2274"/>
      <c r="S576" s="281"/>
      <c r="T576" s="2270"/>
      <c r="U576" s="2273"/>
      <c r="V576" s="2273"/>
      <c r="W576" s="2274"/>
      <c r="X576" s="2498"/>
      <c r="Y576" s="2270"/>
      <c r="Z576" s="2273"/>
      <c r="AA576" s="2273"/>
      <c r="AB576" s="2274"/>
      <c r="AC576" s="281"/>
      <c r="AD576" s="2270"/>
      <c r="AE576" s="2273"/>
      <c r="AF576" s="2273"/>
      <c r="AG576" s="2274"/>
      <c r="AH576" s="2276"/>
      <c r="AI576" s="3367"/>
    </row>
    <row r="577" ht="3.0" customHeight="1">
      <c r="A577" s="3445"/>
      <c r="B577" s="2337"/>
      <c r="C577" s="2338"/>
      <c r="D577" s="2339"/>
      <c r="E577" s="4942"/>
      <c r="F577" s="4942"/>
      <c r="G577" s="4942"/>
      <c r="H577" s="4943"/>
      <c r="I577" s="2339"/>
      <c r="J577" s="2339"/>
      <c r="K577" s="2341"/>
      <c r="L577" s="2341"/>
      <c r="M577" s="2342"/>
      <c r="N577" s="2339"/>
      <c r="O577" s="2339"/>
      <c r="P577" s="2341"/>
      <c r="Q577" s="2341"/>
      <c r="R577" s="2342"/>
      <c r="S577" s="2339"/>
      <c r="T577" s="2339"/>
      <c r="U577" s="2341"/>
      <c r="V577" s="2341"/>
      <c r="W577" s="2342"/>
      <c r="X577" s="2339"/>
      <c r="Y577" s="2339"/>
      <c r="Z577" s="2341"/>
      <c r="AA577" s="2341"/>
      <c r="AB577" s="2342"/>
      <c r="AC577" s="2342"/>
      <c r="AD577" s="2342"/>
      <c r="AE577" s="2342"/>
      <c r="AF577" s="2342"/>
      <c r="AG577" s="2342"/>
      <c r="AH577" s="2343"/>
      <c r="AI577" s="3456"/>
    </row>
    <row r="578" ht="16.5" customHeight="1">
      <c r="A578" s="3457"/>
      <c r="B578" s="2345"/>
      <c r="C578" s="2338"/>
      <c r="D578" s="4946"/>
      <c r="E578" s="4947" t="s">
        <v>190</v>
      </c>
      <c r="F578" s="381"/>
      <c r="G578" s="382"/>
      <c r="H578" s="4948" t="s">
        <v>191</v>
      </c>
      <c r="I578" s="4946"/>
      <c r="J578" s="2350"/>
      <c r="K578" s="2349"/>
      <c r="L578" s="2349"/>
      <c r="M578" s="2350"/>
      <c r="N578" s="2349"/>
      <c r="O578" s="2350"/>
      <c r="P578" s="2349"/>
      <c r="Q578" s="2349"/>
      <c r="R578" s="2350"/>
      <c r="S578" s="2349"/>
      <c r="T578" s="2350"/>
      <c r="U578" s="2349"/>
      <c r="V578" s="2349"/>
      <c r="W578" s="2350"/>
      <c r="X578" s="4949"/>
      <c r="Y578" s="2350"/>
      <c r="Z578" s="2349"/>
      <c r="AA578" s="2349"/>
      <c r="AB578" s="2350"/>
      <c r="AC578" s="2350"/>
      <c r="AD578" s="2350"/>
      <c r="AE578" s="2350"/>
      <c r="AF578" s="2350"/>
      <c r="AG578" s="2350"/>
      <c r="AH578" s="2351"/>
      <c r="AI578" s="3466"/>
    </row>
    <row r="579" ht="16.5" customHeight="1">
      <c r="A579" s="3457"/>
      <c r="B579" s="2345"/>
      <c r="C579" s="2338"/>
      <c r="D579" s="4950"/>
      <c r="E579" s="4951" t="s">
        <v>192</v>
      </c>
      <c r="F579" s="4952">
        <f t="array" ref="F579">IFERROR(VLOOKUP(E566,Dex!$B$3:$N1022,8,FALSE),"")</f>
        <v>90</v>
      </c>
      <c r="G579" s="4953" t="str">
        <f t="array" ref="G579">IFERROR(VLOOKUP(F579,Dex!$P$22:$Q$276,2,FALSE),"")</f>
        <v/>
      </c>
      <c r="H579" s="4954"/>
      <c r="I579" s="4950"/>
      <c r="J579" s="2350"/>
      <c r="K579" s="2349"/>
      <c r="L579" s="2349"/>
      <c r="M579" s="2350"/>
      <c r="N579" s="2349"/>
      <c r="O579" s="2350"/>
      <c r="P579" s="2349"/>
      <c r="Q579" s="2349"/>
      <c r="R579" s="2350"/>
      <c r="S579" s="2349"/>
      <c r="T579" s="2350"/>
      <c r="U579" s="2349"/>
      <c r="V579" s="2349"/>
      <c r="W579" s="2350"/>
      <c r="X579" s="4949"/>
      <c r="Y579" s="2350"/>
      <c r="Z579" s="2349"/>
      <c r="AA579" s="2349"/>
      <c r="AB579" s="2350"/>
      <c r="AC579" s="2350"/>
      <c r="AD579" s="2350"/>
      <c r="AE579" s="2350"/>
      <c r="AF579" s="2350"/>
      <c r="AG579" s="2350"/>
      <c r="AH579" s="2351"/>
      <c r="AI579" s="3466"/>
    </row>
    <row r="580" ht="16.5" customHeight="1">
      <c r="A580" s="3457"/>
      <c r="B580" s="2345"/>
      <c r="C580" s="2338"/>
      <c r="D580" s="4950"/>
      <c r="E580" s="4955" t="s">
        <v>193</v>
      </c>
      <c r="F580" s="4956">
        <f t="array" ref="F580">IFERROR(VLOOKUP(E566,Dex!$B$3:$N1022,9,FALSE),"")</f>
        <v>100</v>
      </c>
      <c r="G580" s="4957" t="str">
        <f t="array" ref="G580">IFERROR(VLOOKUP(F580,Dex!$P$22:$Q$276,2,FALSE),"")</f>
        <v/>
      </c>
      <c r="H580" s="4958">
        <v>252.0</v>
      </c>
      <c r="I580" s="4950"/>
      <c r="J580" s="2350"/>
      <c r="K580" s="2349"/>
      <c r="L580" s="2349"/>
      <c r="M580" s="2350"/>
      <c r="N580" s="2349"/>
      <c r="O580" s="2350"/>
      <c r="P580" s="2349"/>
      <c r="Q580" s="2349"/>
      <c r="R580" s="2350"/>
      <c r="S580" s="2349"/>
      <c r="T580" s="2350"/>
      <c r="U580" s="2349"/>
      <c r="V580" s="2349"/>
      <c r="W580" s="2350"/>
      <c r="X580" s="4949"/>
      <c r="Y580" s="2350"/>
      <c r="Z580" s="2349"/>
      <c r="AA580" s="2349"/>
      <c r="AB580" s="2350"/>
      <c r="AC580" s="2350"/>
      <c r="AD580" s="2350"/>
      <c r="AE580" s="2350"/>
      <c r="AF580" s="2350"/>
      <c r="AG580" s="2350"/>
      <c r="AH580" s="2351"/>
      <c r="AI580" s="3466"/>
    </row>
    <row r="581" ht="16.5" customHeight="1">
      <c r="A581" s="3457"/>
      <c r="B581" s="2345"/>
      <c r="C581" s="2338"/>
      <c r="D581" s="4950"/>
      <c r="E581" s="4955" t="s">
        <v>194</v>
      </c>
      <c r="F581" s="4956">
        <f t="array" ref="F581">IFERROR(VLOOKUP(E566,Dex!$B$3:$N1022,10,FALSE),"")</f>
        <v>90</v>
      </c>
      <c r="G581" s="4957" t="str">
        <f t="array" ref="G581">IFERROR(VLOOKUP(F581,Dex!$P$22:$Q$276,2,FALSE),"")</f>
        <v/>
      </c>
      <c r="H581" s="4958"/>
      <c r="I581" s="4950"/>
      <c r="J581" s="2350"/>
      <c r="K581" s="2349"/>
      <c r="L581" s="2349"/>
      <c r="M581" s="2350"/>
      <c r="N581" s="2349"/>
      <c r="O581" s="2350"/>
      <c r="P581" s="2349"/>
      <c r="Q581" s="2349"/>
      <c r="R581" s="2350"/>
      <c r="S581" s="2349"/>
      <c r="T581" s="2350"/>
      <c r="U581" s="2349"/>
      <c r="V581" s="2349"/>
      <c r="W581" s="2350"/>
      <c r="X581" s="4949"/>
      <c r="Y581" s="2350"/>
      <c r="Z581" s="2349"/>
      <c r="AA581" s="2349"/>
      <c r="AB581" s="2350"/>
      <c r="AC581" s="2350"/>
      <c r="AD581" s="2350"/>
      <c r="AE581" s="2350"/>
      <c r="AF581" s="2350"/>
      <c r="AG581" s="2350"/>
      <c r="AH581" s="2351"/>
      <c r="AI581" s="3466"/>
    </row>
    <row r="582" ht="16.5" customHeight="1">
      <c r="A582" s="3457"/>
      <c r="B582" s="2345"/>
      <c r="C582" s="2338"/>
      <c r="D582" s="4950"/>
      <c r="E582" s="4955" t="s">
        <v>195</v>
      </c>
      <c r="F582" s="4956">
        <f t="array" ref="F582">IFERROR(VLOOKUP(E566,Dex!$B$3:$N1022,11,FALSE),"")</f>
        <v>80</v>
      </c>
      <c r="G582" s="4957" t="str">
        <f t="array" ref="G582">IFERROR(VLOOKUP(F582,Dex!$P$22:$Q$276,2,FALSE),"")</f>
        <v/>
      </c>
      <c r="H582" s="4958"/>
      <c r="I582" s="4950"/>
      <c r="J582" s="2350"/>
      <c r="K582" s="2349"/>
      <c r="L582" s="2349"/>
      <c r="M582" s="2350"/>
      <c r="N582" s="2349"/>
      <c r="O582" s="2350"/>
      <c r="P582" s="2349"/>
      <c r="Q582" s="2349"/>
      <c r="R582" s="2350"/>
      <c r="S582" s="2349"/>
      <c r="T582" s="2350"/>
      <c r="U582" s="2349"/>
      <c r="V582" s="2349"/>
      <c r="W582" s="2350"/>
      <c r="X582" s="4949"/>
      <c r="Y582" s="2350"/>
      <c r="Z582" s="2349"/>
      <c r="AA582" s="2349"/>
      <c r="AB582" s="2350"/>
      <c r="AC582" s="2350"/>
      <c r="AD582" s="2350"/>
      <c r="AE582" s="2350"/>
      <c r="AF582" s="2350"/>
      <c r="AG582" s="2350"/>
      <c r="AH582" s="2351"/>
      <c r="AI582" s="3466"/>
    </row>
    <row r="583" ht="16.5" customHeight="1">
      <c r="A583" s="3457"/>
      <c r="B583" s="2345"/>
      <c r="C583" s="2338"/>
      <c r="D583" s="4950"/>
      <c r="E583" s="4955" t="s">
        <v>196</v>
      </c>
      <c r="F583" s="4956">
        <f t="array" ref="F583">IFERROR(VLOOKUP(E566,Dex!$B$3:$N1022,12,FALSE),"")</f>
        <v>70</v>
      </c>
      <c r="G583" s="4957" t="str">
        <f t="array" ref="G583">IFERROR(VLOOKUP(F583,Dex!$P$22:$Q$276,2,FALSE),"")</f>
        <v/>
      </c>
      <c r="H583" s="4958">
        <v>4.0</v>
      </c>
      <c r="I583" s="4950"/>
      <c r="J583" s="2350"/>
      <c r="K583" s="2349"/>
      <c r="L583" s="2349"/>
      <c r="M583" s="2350"/>
      <c r="N583" s="2349"/>
      <c r="O583" s="2350"/>
      <c r="P583" s="2349"/>
      <c r="Q583" s="2349"/>
      <c r="R583" s="2350"/>
      <c r="S583" s="2349"/>
      <c r="T583" s="2350"/>
      <c r="U583" s="2349"/>
      <c r="V583" s="2349"/>
      <c r="W583" s="2350"/>
      <c r="X583" s="4949"/>
      <c r="Y583" s="2350"/>
      <c r="Z583" s="2349"/>
      <c r="AA583" s="2349"/>
      <c r="AB583" s="2350"/>
      <c r="AC583" s="2350"/>
      <c r="AD583" s="2350"/>
      <c r="AE583" s="2350"/>
      <c r="AF583" s="2350"/>
      <c r="AG583" s="2350"/>
      <c r="AH583" s="2351"/>
      <c r="AI583" s="3466"/>
    </row>
    <row r="584" ht="16.5" customHeight="1">
      <c r="A584" s="3457"/>
      <c r="B584" s="2345"/>
      <c r="C584" s="1204" t="s">
        <v>436</v>
      </c>
      <c r="D584" s="4950"/>
      <c r="E584" s="4959" t="s">
        <v>197</v>
      </c>
      <c r="F584" s="4960">
        <f t="array" ref="F584">IFERROR(VLOOKUP(E566,Dex!$B$3:$N1022,13,FALSE),"")</f>
        <v>75</v>
      </c>
      <c r="G584" s="4961" t="str">
        <f t="array" ref="G584">IFERROR(VLOOKUP(F584,Dex!$P$22:$Q$276,2,FALSE),"")</f>
        <v/>
      </c>
      <c r="H584" s="4962">
        <v>252.0</v>
      </c>
      <c r="I584" s="4950"/>
      <c r="J584" s="2350"/>
      <c r="K584" s="2349"/>
      <c r="L584" s="2349"/>
      <c r="M584" s="2350"/>
      <c r="N584" s="2349"/>
      <c r="O584" s="2350"/>
      <c r="P584" s="2349"/>
      <c r="Q584" s="2349"/>
      <c r="R584" s="2350"/>
      <c r="S584" s="2349"/>
      <c r="T584" s="2350"/>
      <c r="U584" s="2349"/>
      <c r="V584" s="2349"/>
      <c r="W584" s="2350"/>
      <c r="X584" s="4949"/>
      <c r="Y584" s="2350"/>
      <c r="Z584" s="2349"/>
      <c r="AA584" s="2349"/>
      <c r="AB584" s="2350"/>
      <c r="AC584" s="2350"/>
      <c r="AD584" s="2350"/>
      <c r="AE584" s="2350"/>
      <c r="AF584" s="2350"/>
      <c r="AG584" s="2350"/>
      <c r="AH584" s="2351"/>
      <c r="AI584" s="3466"/>
    </row>
    <row r="585" ht="16.5" customHeight="1">
      <c r="A585" s="3457"/>
      <c r="B585" s="2345"/>
      <c r="C585" s="1205" t="s">
        <v>437</v>
      </c>
      <c r="D585" s="4946"/>
      <c r="E585" s="4965" t="s">
        <v>198</v>
      </c>
      <c r="F585" s="918"/>
      <c r="G585" s="919"/>
      <c r="H585" s="4966">
        <v>173.0</v>
      </c>
      <c r="I585" s="4946"/>
      <c r="J585" s="2350"/>
      <c r="K585" s="2349"/>
      <c r="L585" s="2349"/>
      <c r="M585" s="2350"/>
      <c r="N585" s="2349"/>
      <c r="O585" s="2350"/>
      <c r="P585" s="2349"/>
      <c r="Q585" s="2349"/>
      <c r="R585" s="2350"/>
      <c r="S585" s="2349"/>
      <c r="T585" s="2350"/>
      <c r="U585" s="2349"/>
      <c r="V585" s="2349"/>
      <c r="W585" s="2350"/>
      <c r="X585" s="4949"/>
      <c r="Y585" s="2350"/>
      <c r="Z585" s="2349"/>
      <c r="AA585" s="2349"/>
      <c r="AB585" s="2350"/>
      <c r="AC585" s="2350"/>
      <c r="AD585" s="2350"/>
      <c r="AE585" s="2350"/>
      <c r="AF585" s="2350"/>
      <c r="AG585" s="2350"/>
      <c r="AH585" s="2351"/>
      <c r="AI585" s="3466"/>
    </row>
    <row r="586" ht="16.5" customHeight="1">
      <c r="A586" s="3457"/>
      <c r="B586" s="2345"/>
      <c r="C586" s="2338"/>
      <c r="D586" s="4967"/>
      <c r="E586" s="4968" t="s">
        <v>942</v>
      </c>
      <c r="F586" s="925"/>
      <c r="G586" s="926"/>
      <c r="H586" s="4969">
        <v>346.0</v>
      </c>
      <c r="I586" s="4967"/>
      <c r="J586" s="5000"/>
      <c r="K586" s="5001"/>
      <c r="L586" s="5001"/>
      <c r="M586" s="5000"/>
      <c r="N586" s="2349"/>
      <c r="O586" s="5000"/>
      <c r="P586" s="5001"/>
      <c r="Q586" s="5001"/>
      <c r="R586" s="5000"/>
      <c r="S586" s="2349"/>
      <c r="T586" s="5000"/>
      <c r="U586" s="5001"/>
      <c r="V586" s="5001"/>
      <c r="W586" s="5000"/>
      <c r="X586" s="2499"/>
      <c r="Y586" s="2350"/>
      <c r="Z586" s="2349"/>
      <c r="AA586" s="2349"/>
      <c r="AB586" s="2350"/>
      <c r="AC586" s="2350"/>
      <c r="AD586" s="2350"/>
      <c r="AE586" s="2350"/>
      <c r="AF586" s="2350"/>
      <c r="AG586" s="2350"/>
      <c r="AH586" s="2351"/>
      <c r="AI586" s="3466"/>
    </row>
    <row r="587" ht="11.25" customHeight="1">
      <c r="A587" s="3361"/>
      <c r="B587" s="2268"/>
      <c r="C587" s="2269"/>
      <c r="D587" s="4983"/>
      <c r="E587" s="4984"/>
      <c r="F587" s="4984"/>
      <c r="G587" s="4984"/>
      <c r="H587" s="4984"/>
      <c r="I587" s="4985"/>
      <c r="J587" s="4984"/>
      <c r="K587" s="4984"/>
      <c r="L587" s="4984"/>
      <c r="M587" s="4984"/>
      <c r="N587" s="4985"/>
      <c r="O587" s="4984"/>
      <c r="P587" s="4984"/>
      <c r="Q587" s="4984"/>
      <c r="R587" s="4984"/>
      <c r="S587" s="4985"/>
      <c r="T587" s="4984"/>
      <c r="U587" s="4984"/>
      <c r="V587" s="4984"/>
      <c r="W587" s="4984"/>
      <c r="X587" s="2316"/>
      <c r="Y587" s="2316"/>
      <c r="Z587" s="2316"/>
      <c r="AA587" s="2316"/>
      <c r="AB587" s="2316"/>
      <c r="AC587" s="2316"/>
      <c r="AD587" s="2316"/>
      <c r="AE587" s="2316"/>
      <c r="AF587" s="2316"/>
      <c r="AG587" s="2316"/>
      <c r="AH587" s="2276"/>
      <c r="AI587" s="3367"/>
    </row>
    <row r="588" ht="11.25" customHeight="1">
      <c r="A588" s="3361"/>
      <c r="B588" s="2268"/>
      <c r="C588" s="4986"/>
      <c r="D588" s="4987"/>
      <c r="E588" s="4988" t="s">
        <v>1176</v>
      </c>
      <c r="F588" s="3181"/>
      <c r="G588" s="3181"/>
      <c r="H588" s="3181"/>
      <c r="I588" s="3181"/>
      <c r="J588" s="3181"/>
      <c r="K588" s="3181"/>
      <c r="L588" s="3181"/>
      <c r="M588" s="3181"/>
      <c r="N588" s="3181"/>
      <c r="O588" s="3181"/>
      <c r="P588" s="3181"/>
      <c r="Q588" s="3181"/>
      <c r="R588" s="3182"/>
      <c r="S588" s="4989"/>
      <c r="T588" s="2273"/>
      <c r="U588" s="2273"/>
      <c r="V588" s="2274"/>
      <c r="W588" s="4989"/>
      <c r="X588" s="2273"/>
      <c r="Y588" s="2273"/>
      <c r="Z588" s="2274"/>
      <c r="AA588" s="4986"/>
      <c r="AB588" s="4986"/>
      <c r="AC588" s="4986"/>
      <c r="AD588" s="4986"/>
      <c r="AE588" s="4986"/>
      <c r="AF588" s="4986"/>
      <c r="AG588" s="4986"/>
      <c r="AH588" s="2276"/>
      <c r="AI588" s="3367"/>
    </row>
    <row r="589" ht="11.25" customHeight="1">
      <c r="A589" s="3361"/>
      <c r="B589" s="2268"/>
      <c r="C589" s="2269"/>
      <c r="D589" s="2270"/>
      <c r="E589" s="114"/>
      <c r="F589" s="3185"/>
      <c r="G589" s="3185"/>
      <c r="H589" s="3185"/>
      <c r="I589" s="3185"/>
      <c r="J589" s="3185"/>
      <c r="K589" s="3185"/>
      <c r="L589" s="3185"/>
      <c r="M589" s="3185"/>
      <c r="N589" s="3185"/>
      <c r="O589" s="3185"/>
      <c r="P589" s="3185"/>
      <c r="Q589" s="3185"/>
      <c r="R589" s="3186"/>
      <c r="S589" s="2346"/>
      <c r="T589" s="2273"/>
      <c r="U589" s="2273"/>
      <c r="V589" s="2274"/>
      <c r="W589" s="4990"/>
      <c r="X589" s="2497"/>
      <c r="Y589" s="2497"/>
      <c r="Z589" s="2498"/>
      <c r="AA589" s="4991"/>
      <c r="AB589" s="4991"/>
      <c r="AC589" s="4991"/>
      <c r="AD589" s="4991"/>
      <c r="AE589" s="4991"/>
      <c r="AF589" s="4991"/>
      <c r="AG589" s="4991"/>
      <c r="AH589" s="2276"/>
      <c r="AI589" s="3367"/>
    </row>
    <row r="590" ht="3.75" customHeight="1">
      <c r="A590" s="3361"/>
      <c r="B590" s="2268"/>
      <c r="C590" s="2269"/>
      <c r="D590" s="4983"/>
      <c r="E590" s="4992"/>
      <c r="F590" s="4992"/>
      <c r="G590" s="4992"/>
      <c r="H590" s="4992"/>
      <c r="I590" s="4993"/>
      <c r="J590" s="4992"/>
      <c r="K590" s="4992"/>
      <c r="L590" s="4992"/>
      <c r="M590" s="4992"/>
      <c r="N590" s="4993"/>
      <c r="O590" s="4992"/>
      <c r="P590" s="4992"/>
      <c r="Q590" s="4992"/>
      <c r="R590" s="4992"/>
      <c r="S590" s="4993"/>
      <c r="T590" s="4992"/>
      <c r="U590" s="4992"/>
      <c r="V590" s="4992"/>
      <c r="W590" s="4992"/>
      <c r="X590" s="2316"/>
      <c r="Y590" s="2316"/>
      <c r="Z590" s="2316"/>
      <c r="AA590" s="2316"/>
      <c r="AB590" s="2316"/>
      <c r="AC590" s="2316"/>
      <c r="AD590" s="2316"/>
      <c r="AE590" s="2316"/>
      <c r="AF590" s="2316"/>
      <c r="AG590" s="2316"/>
      <c r="AH590" s="2276"/>
      <c r="AI590" s="3367"/>
    </row>
    <row r="591">
      <c r="A591" s="3361"/>
      <c r="B591" s="2268"/>
      <c r="C591" s="4928"/>
      <c r="D591" s="2287"/>
      <c r="E591" s="4929" t="s">
        <v>1180</v>
      </c>
      <c r="F591" s="2324"/>
      <c r="G591" s="2324"/>
      <c r="H591" s="2324"/>
      <c r="I591" s="2324"/>
      <c r="J591" s="2324"/>
      <c r="K591" s="2324"/>
      <c r="L591" s="2324"/>
      <c r="M591" s="2324"/>
      <c r="N591" s="2324"/>
      <c r="O591" s="2324"/>
      <c r="P591" s="2324"/>
      <c r="Q591" s="2324"/>
      <c r="R591" s="2324"/>
      <c r="S591" s="2324"/>
      <c r="T591" s="2324"/>
      <c r="U591" s="2324"/>
      <c r="V591" s="2324"/>
      <c r="W591" s="2324"/>
      <c r="X591" s="2324"/>
      <c r="Y591" s="2324"/>
      <c r="Z591" s="2324"/>
      <c r="AA591" s="2324"/>
      <c r="AB591" s="2324"/>
      <c r="AC591" s="2324"/>
      <c r="AD591" s="2324"/>
      <c r="AE591" s="2324"/>
      <c r="AF591" s="2324"/>
      <c r="AG591" s="4930"/>
      <c r="AH591" s="4931"/>
      <c r="AI591" s="3367"/>
    </row>
    <row r="592" ht="96.75" customHeight="1">
      <c r="A592" s="3361"/>
      <c r="B592" s="2300"/>
      <c r="C592" s="4932" t="str">
        <f>IMAGE("https://i.ibb.co/Wv3HtLh/CueBall.png")</f>
        <v/>
      </c>
      <c r="D592" s="2492"/>
      <c r="E592" s="4933" t="str">
        <f t="array" ref="E592">IFERROR(VLOOKUP(E593,Dex!$B$3:$G1022,3,FALSE),"")</f>
        <v/>
      </c>
      <c r="F592" s="1830"/>
      <c r="G592" s="1830"/>
      <c r="H592" s="1831"/>
      <c r="I592" s="2492"/>
      <c r="J592" s="4933" t="str">
        <f t="array" ref="J592">IFERROR(VLOOKUP(J593,Dex!$B$3:$G1022,3,FALSE),"")</f>
        <v/>
      </c>
      <c r="K592" s="1830"/>
      <c r="L592" s="1830"/>
      <c r="M592" s="1831"/>
      <c r="N592" s="4985"/>
      <c r="O592" s="2270"/>
      <c r="P592" s="2273"/>
      <c r="Q592" s="2273"/>
      <c r="R592" s="2274"/>
      <c r="S592" s="4985"/>
      <c r="T592" s="2270"/>
      <c r="U592" s="2273"/>
      <c r="V592" s="2273"/>
      <c r="W592" s="2274"/>
      <c r="X592" s="2493"/>
      <c r="Y592" s="2270"/>
      <c r="Z592" s="2273"/>
      <c r="AA592" s="2273"/>
      <c r="AB592" s="2274"/>
      <c r="AC592" s="2287"/>
      <c r="AD592" s="2270"/>
      <c r="AE592" s="2273"/>
      <c r="AF592" s="2273"/>
      <c r="AG592" s="2274"/>
      <c r="AH592" s="2276"/>
      <c r="AI592" s="3367"/>
    </row>
    <row r="593" ht="18.75" customHeight="1">
      <c r="A593" s="3621"/>
      <c r="B593" s="2358"/>
      <c r="C593" s="4934" t="s">
        <v>1181</v>
      </c>
      <c r="E593" s="2292" t="s">
        <v>1182</v>
      </c>
      <c r="F593" s="2293"/>
      <c r="G593" s="2293"/>
      <c r="H593" s="2294"/>
      <c r="J593" s="2292" t="s">
        <v>1183</v>
      </c>
      <c r="K593" s="2293"/>
      <c r="L593" s="2293"/>
      <c r="M593" s="2294"/>
      <c r="N593" s="104"/>
      <c r="O593" s="2297"/>
      <c r="P593" s="2273"/>
      <c r="Q593" s="2273"/>
      <c r="R593" s="2274"/>
      <c r="S593" s="104"/>
      <c r="T593" s="2297"/>
      <c r="U593" s="2273"/>
      <c r="V593" s="2273"/>
      <c r="W593" s="2274"/>
      <c r="X593" s="2495"/>
      <c r="Y593" s="2297"/>
      <c r="Z593" s="2273"/>
      <c r="AA593" s="2273"/>
      <c r="AB593" s="2274"/>
      <c r="AC593" s="104"/>
      <c r="AD593" s="2297"/>
      <c r="AE593" s="2273"/>
      <c r="AF593" s="2273"/>
      <c r="AG593" s="2274"/>
      <c r="AH593" s="2298"/>
      <c r="AI593" s="3631"/>
    </row>
    <row r="594">
      <c r="A594" s="3632"/>
      <c r="B594" s="4935"/>
      <c r="C594" s="1481"/>
      <c r="E594" s="2496" t="s">
        <v>843</v>
      </c>
      <c r="F594" s="2303"/>
      <c r="G594" s="2303"/>
      <c r="H594" s="2304"/>
      <c r="J594" s="2496" t="s">
        <v>843</v>
      </c>
      <c r="K594" s="2303"/>
      <c r="L594" s="2303"/>
      <c r="M594" s="2304"/>
      <c r="N594" s="104"/>
      <c r="O594" s="2704"/>
      <c r="P594" s="2273"/>
      <c r="Q594" s="2273"/>
      <c r="R594" s="2274"/>
      <c r="S594" s="104"/>
      <c r="T594" s="2704"/>
      <c r="U594" s="2273"/>
      <c r="V594" s="2273"/>
      <c r="W594" s="2274"/>
      <c r="X594" s="2495"/>
      <c r="Y594" s="2704"/>
      <c r="Z594" s="2273"/>
      <c r="AA594" s="2273"/>
      <c r="AB594" s="2274"/>
      <c r="AC594" s="104"/>
      <c r="AD594" s="2704"/>
      <c r="AE594" s="2273"/>
      <c r="AF594" s="2273"/>
      <c r="AG594" s="2274"/>
      <c r="AH594" s="4936"/>
      <c r="AI594" s="3640"/>
    </row>
    <row r="595" ht="25.5" customHeight="1">
      <c r="A595" s="3361"/>
      <c r="B595" s="2300"/>
      <c r="C595" s="1489"/>
      <c r="E595" s="2307"/>
      <c r="F595" s="5002" t="str">
        <f t="array" ref="F595">IFERROR(VLOOKUP(E593,Dex!$B$3:$H1022,5,FALSE),"")</f>
        <v/>
      </c>
      <c r="G595" s="2312"/>
      <c r="H595" s="2310"/>
      <c r="J595" s="2307"/>
      <c r="K595" s="5002" t="str">
        <f t="array" ref="K595">IFERROR(VLOOKUP(J593,Dex!$B$3:$H1022,5,FALSE),"")</f>
        <v/>
      </c>
      <c r="L595" s="2312"/>
      <c r="M595" s="2310"/>
      <c r="N595" s="104"/>
      <c r="O595" s="2270"/>
      <c r="P595" s="2273"/>
      <c r="Q595" s="2273"/>
      <c r="R595" s="2274"/>
      <c r="S595" s="104"/>
      <c r="T595" s="2270"/>
      <c r="U595" s="2273"/>
      <c r="V595" s="2273"/>
      <c r="W595" s="2274"/>
      <c r="X595" s="2495"/>
      <c r="Y595" s="2270"/>
      <c r="Z595" s="2273"/>
      <c r="AA595" s="2273"/>
      <c r="AB595" s="2274"/>
      <c r="AC595" s="104"/>
      <c r="AD595" s="2270"/>
      <c r="AE595" s="2273"/>
      <c r="AF595" s="2273"/>
      <c r="AG595" s="2274"/>
      <c r="AH595" s="2276"/>
      <c r="AI595" s="3367"/>
    </row>
    <row r="596" ht="2.25" customHeight="1">
      <c r="A596" s="3361"/>
      <c r="B596" s="2300"/>
      <c r="C596" s="4666"/>
      <c r="E596" s="2313"/>
      <c r="F596" s="2314"/>
      <c r="G596" s="2314"/>
      <c r="H596" s="2315"/>
      <c r="J596" s="2313"/>
      <c r="K596" s="2314"/>
      <c r="L596" s="2314"/>
      <c r="M596" s="2315"/>
      <c r="N596" s="104"/>
      <c r="O596" s="2316"/>
      <c r="P596" s="2316"/>
      <c r="Q596" s="2316"/>
      <c r="R596" s="2316"/>
      <c r="S596" s="104"/>
      <c r="T596" s="2316"/>
      <c r="U596" s="2316"/>
      <c r="V596" s="2316"/>
      <c r="W596" s="2316"/>
      <c r="X596" s="2495"/>
      <c r="Y596" s="2316"/>
      <c r="Z596" s="2316"/>
      <c r="AA596" s="2316"/>
      <c r="AB596" s="2316"/>
      <c r="AC596" s="104"/>
      <c r="AD596" s="2316"/>
      <c r="AE596" s="2316"/>
      <c r="AF596" s="2316"/>
      <c r="AG596" s="2316"/>
      <c r="AH596" s="2276"/>
      <c r="AI596" s="3367"/>
    </row>
    <row r="597" ht="20.25" customHeight="1">
      <c r="A597" s="3361"/>
      <c r="B597" s="2268"/>
      <c r="C597" s="4937"/>
      <c r="E597" s="2317" t="s">
        <v>172</v>
      </c>
      <c r="F597" s="2318"/>
      <c r="G597" s="2318"/>
      <c r="H597" s="2319"/>
      <c r="J597" s="2317" t="s">
        <v>471</v>
      </c>
      <c r="K597" s="2318"/>
      <c r="L597" s="2318"/>
      <c r="M597" s="2319"/>
      <c r="N597" s="104"/>
      <c r="O597" s="2270"/>
      <c r="P597" s="2273"/>
      <c r="Q597" s="2273"/>
      <c r="R597" s="2274"/>
      <c r="S597" s="104"/>
      <c r="T597" s="2270"/>
      <c r="U597" s="2273"/>
      <c r="V597" s="2273"/>
      <c r="W597" s="2274"/>
      <c r="X597" s="2495"/>
      <c r="Y597" s="2270"/>
      <c r="Z597" s="2273"/>
      <c r="AA597" s="2273"/>
      <c r="AB597" s="2274"/>
      <c r="AC597" s="104"/>
      <c r="AD597" s="2270"/>
      <c r="AE597" s="2273"/>
      <c r="AF597" s="2273"/>
      <c r="AG597" s="2274"/>
      <c r="AH597" s="2276"/>
      <c r="AI597" s="3367"/>
    </row>
    <row r="598" ht="20.25" customHeight="1">
      <c r="A598" s="3361"/>
      <c r="B598" s="2268"/>
      <c r="C598" s="2269"/>
      <c r="E598" s="2321" t="s">
        <v>1184</v>
      </c>
      <c r="F598" s="2273"/>
      <c r="G598" s="2273"/>
      <c r="H598" s="2322"/>
      <c r="J598" s="2321" t="s">
        <v>550</v>
      </c>
      <c r="K598" s="2273"/>
      <c r="L598" s="2273"/>
      <c r="M598" s="2322"/>
      <c r="N598" s="104"/>
      <c r="O598" s="2270"/>
      <c r="P598" s="2273"/>
      <c r="Q598" s="2273"/>
      <c r="R598" s="2274"/>
      <c r="S598" s="104"/>
      <c r="T598" s="2270"/>
      <c r="U598" s="2273"/>
      <c r="V598" s="2273"/>
      <c r="W598" s="2274"/>
      <c r="X598" s="2495"/>
      <c r="Y598" s="2270"/>
      <c r="Z598" s="2273"/>
      <c r="AA598" s="2273"/>
      <c r="AB598" s="2274"/>
      <c r="AC598" s="104"/>
      <c r="AD598" s="2270"/>
      <c r="AE598" s="2273"/>
      <c r="AF598" s="2273"/>
      <c r="AG598" s="2274"/>
      <c r="AH598" s="2276"/>
      <c r="AI598" s="3367"/>
    </row>
    <row r="599" ht="20.25" customHeight="1">
      <c r="A599" s="3361"/>
      <c r="B599" s="2268"/>
      <c r="C599" s="2269"/>
      <c r="E599" s="2323" t="s">
        <v>272</v>
      </c>
      <c r="F599" s="2324"/>
      <c r="G599" s="4930"/>
      <c r="H599" s="4996" t="str">
        <f>IMAGE("https://raw.githubusercontent.com/msikma/pokesprite/master/items/hold-item/life-orb.png",3)</f>
        <v/>
      </c>
      <c r="J599" s="2323" t="s">
        <v>473</v>
      </c>
      <c r="K599" s="2324"/>
      <c r="L599" s="4930"/>
      <c r="M599" s="4996" t="str">
        <f>IMAGE("https://raw.githubusercontent.com/msikma/pokesprite/master/items/hold-item/assault-vest.png",3)</f>
        <v/>
      </c>
      <c r="N599" s="104"/>
      <c r="O599" s="2270"/>
      <c r="P599" s="2273"/>
      <c r="Q599" s="2273"/>
      <c r="R599" s="2274"/>
      <c r="S599" s="104"/>
      <c r="T599" s="2270"/>
      <c r="U599" s="2273"/>
      <c r="V599" s="2273"/>
      <c r="W599" s="2274"/>
      <c r="X599" s="2495"/>
      <c r="Y599" s="2270"/>
      <c r="Z599" s="2273"/>
      <c r="AA599" s="2273"/>
      <c r="AB599" s="2274"/>
      <c r="AC599" s="104"/>
      <c r="AD599" s="2270"/>
      <c r="AE599" s="2273"/>
      <c r="AF599" s="2273"/>
      <c r="AG599" s="2274"/>
      <c r="AH599" s="2276"/>
      <c r="AI599" s="3367"/>
    </row>
    <row r="600" ht="20.25" customHeight="1">
      <c r="A600" s="3361"/>
      <c r="B600" s="2268"/>
      <c r="C600" s="2338"/>
      <c r="E600" s="2317" t="s">
        <v>402</v>
      </c>
      <c r="F600" s="2318"/>
      <c r="G600" s="2327"/>
      <c r="H600" s="4997" t="str">
        <f>IMAGE("https://raw.githubusercontent.com/msikma/pokesprite/master/misc/types/gen8/ground.png",4,20,20)</f>
        <v/>
      </c>
      <c r="J600" s="2317" t="s">
        <v>476</v>
      </c>
      <c r="K600" s="2318"/>
      <c r="L600" s="2327"/>
      <c r="M600" s="4997" t="str">
        <f>IMAGE("https://raw.githubusercontent.com/msikma/pokesprite/master/misc/types/gen8/normal.png",4,20,20)</f>
        <v/>
      </c>
      <c r="N600" s="104"/>
      <c r="O600" s="2270"/>
      <c r="P600" s="2273"/>
      <c r="Q600" s="2273"/>
      <c r="R600" s="2274"/>
      <c r="S600" s="104"/>
      <c r="T600" s="2270"/>
      <c r="U600" s="2273"/>
      <c r="V600" s="2273"/>
      <c r="W600" s="2274"/>
      <c r="X600" s="2495"/>
      <c r="Y600" s="2270"/>
      <c r="Z600" s="2273"/>
      <c r="AA600" s="2273"/>
      <c r="AB600" s="2274"/>
      <c r="AC600" s="104"/>
      <c r="AD600" s="2270"/>
      <c r="AE600" s="2273"/>
      <c r="AF600" s="2273"/>
      <c r="AG600" s="2274"/>
      <c r="AH600" s="2276"/>
      <c r="AI600" s="3367"/>
    </row>
    <row r="601" ht="20.25" customHeight="1">
      <c r="A601" s="3361"/>
      <c r="B601" s="2268"/>
      <c r="C601" s="2338"/>
      <c r="E601" s="2321" t="s">
        <v>399</v>
      </c>
      <c r="F601" s="2273"/>
      <c r="G601" s="2274"/>
      <c r="H601" s="4998" t="str">
        <f>IMAGE("https://raw.githubusercontent.com/msikma/pokesprite/master/misc/types/gen8/rock.png",4,20,20)</f>
        <v/>
      </c>
      <c r="J601" s="2321" t="s">
        <v>279</v>
      </c>
      <c r="K601" s="2273"/>
      <c r="L601" s="2274"/>
      <c r="M601" s="4998" t="str">
        <f>IMAGE("https://raw.githubusercontent.com/msikma/pokesprite/master/misc/types/gen8/dark.png",4,20,20)</f>
        <v/>
      </c>
      <c r="N601" s="104"/>
      <c r="O601" s="2270"/>
      <c r="P601" s="2273"/>
      <c r="Q601" s="2273"/>
      <c r="R601" s="2274"/>
      <c r="S601" s="104"/>
      <c r="T601" s="2270"/>
      <c r="U601" s="2273"/>
      <c r="V601" s="2273"/>
      <c r="W601" s="2274"/>
      <c r="X601" s="2495"/>
      <c r="Y601" s="2270"/>
      <c r="Z601" s="2273"/>
      <c r="AA601" s="2273"/>
      <c r="AB601" s="2274"/>
      <c r="AC601" s="104"/>
      <c r="AD601" s="2270"/>
      <c r="AE601" s="2273"/>
      <c r="AF601" s="2273"/>
      <c r="AG601" s="2274"/>
      <c r="AH601" s="2276"/>
      <c r="AI601" s="3367"/>
    </row>
    <row r="602" ht="20.25" customHeight="1">
      <c r="A602" s="3361"/>
      <c r="B602" s="2268"/>
      <c r="C602" s="2338"/>
      <c r="E602" s="2321" t="s">
        <v>504</v>
      </c>
      <c r="F602" s="2273"/>
      <c r="G602" s="2274"/>
      <c r="H602" s="4998" t="str">
        <f>IMAGE("https://raw.githubusercontent.com/msikma/pokesprite/master/misc/types/gen8/flying.png",4,20,20)</f>
        <v/>
      </c>
      <c r="J602" s="2321" t="s">
        <v>244</v>
      </c>
      <c r="K602" s="2273"/>
      <c r="L602" s="2274"/>
      <c r="M602" s="4998" t="str">
        <f>IMAGE("https://raw.githubusercontent.com/msikma/pokesprite/master/misc/types/gen8/fighting.png",4,20,20)</f>
        <v/>
      </c>
      <c r="N602" s="104"/>
      <c r="O602" s="2270"/>
      <c r="P602" s="2273"/>
      <c r="Q602" s="2273"/>
      <c r="R602" s="2274"/>
      <c r="S602" s="104"/>
      <c r="T602" s="2270"/>
      <c r="U602" s="2273"/>
      <c r="V602" s="2273"/>
      <c r="W602" s="2274"/>
      <c r="X602" s="2495"/>
      <c r="Y602" s="2270"/>
      <c r="Z602" s="2273"/>
      <c r="AA602" s="2273"/>
      <c r="AB602" s="2274"/>
      <c r="AC602" s="104"/>
      <c r="AD602" s="2270"/>
      <c r="AE602" s="2273"/>
      <c r="AF602" s="2273"/>
      <c r="AG602" s="2274"/>
      <c r="AH602" s="2276"/>
      <c r="AI602" s="3367"/>
    </row>
    <row r="603" ht="21.0" customHeight="1">
      <c r="A603" s="3361"/>
      <c r="B603" s="2268"/>
      <c r="C603" s="2338"/>
      <c r="D603" s="2497"/>
      <c r="E603" s="2330" t="s">
        <v>541</v>
      </c>
      <c r="F603" s="2331"/>
      <c r="G603" s="2332"/>
      <c r="H603" s="4999" t="str">
        <f>IMAGE("https://raw.githubusercontent.com/msikma/pokesprite/master/misc/types/gen8/dark.png",4,20,20)</f>
        <v/>
      </c>
      <c r="I603" s="2497"/>
      <c r="J603" s="2330" t="s">
        <v>655</v>
      </c>
      <c r="K603" s="2331"/>
      <c r="L603" s="2332"/>
      <c r="M603" s="4999" t="str">
        <f>IMAGE("https://raw.githubusercontent.com/msikma/pokesprite/master/misc/types/gen8/steel.png",4,20,20)</f>
        <v/>
      </c>
      <c r="N603" s="281"/>
      <c r="O603" s="2270"/>
      <c r="P603" s="2273"/>
      <c r="Q603" s="2273"/>
      <c r="R603" s="2274"/>
      <c r="S603" s="281"/>
      <c r="T603" s="2270"/>
      <c r="U603" s="2273"/>
      <c r="V603" s="2273"/>
      <c r="W603" s="2274"/>
      <c r="X603" s="2498"/>
      <c r="Y603" s="2270"/>
      <c r="Z603" s="2273"/>
      <c r="AA603" s="2273"/>
      <c r="AB603" s="2274"/>
      <c r="AC603" s="281"/>
      <c r="AD603" s="2270"/>
      <c r="AE603" s="2273"/>
      <c r="AF603" s="2273"/>
      <c r="AG603" s="2274"/>
      <c r="AH603" s="2276"/>
      <c r="AI603" s="3367"/>
    </row>
    <row r="604" ht="3.0" customHeight="1">
      <c r="A604" s="3445"/>
      <c r="B604" s="2337"/>
      <c r="C604" s="2338"/>
      <c r="D604" s="2339"/>
      <c r="E604" s="4944"/>
      <c r="F604" s="4944"/>
      <c r="G604" s="4944"/>
      <c r="H604" s="4943"/>
      <c r="I604" s="2339"/>
      <c r="J604" s="2339"/>
      <c r="K604" s="2341"/>
      <c r="L604" s="2341"/>
      <c r="M604" s="2342"/>
      <c r="N604" s="2339"/>
      <c r="O604" s="2339"/>
      <c r="P604" s="2341"/>
      <c r="Q604" s="2341"/>
      <c r="R604" s="2342"/>
      <c r="S604" s="2339"/>
      <c r="T604" s="2339"/>
      <c r="U604" s="2341"/>
      <c r="V604" s="2341"/>
      <c r="W604" s="2342"/>
      <c r="X604" s="2339"/>
      <c r="Y604" s="2339"/>
      <c r="Z604" s="2341"/>
      <c r="AA604" s="2341"/>
      <c r="AB604" s="2342"/>
      <c r="AC604" s="2342"/>
      <c r="AD604" s="2342"/>
      <c r="AE604" s="2342"/>
      <c r="AF604" s="2342"/>
      <c r="AG604" s="2342"/>
      <c r="AH604" s="2343"/>
      <c r="AI604" s="3456"/>
    </row>
    <row r="605" ht="16.5" customHeight="1">
      <c r="A605" s="3457"/>
      <c r="B605" s="2345"/>
      <c r="C605" s="2338"/>
      <c r="D605" s="4946"/>
      <c r="E605" s="4947" t="s">
        <v>190</v>
      </c>
      <c r="F605" s="381"/>
      <c r="G605" s="382"/>
      <c r="H605" s="4948" t="s">
        <v>191</v>
      </c>
      <c r="I605" s="4946"/>
      <c r="J605" s="4947" t="s">
        <v>190</v>
      </c>
      <c r="K605" s="381"/>
      <c r="L605" s="382"/>
      <c r="M605" s="4948" t="s">
        <v>191</v>
      </c>
      <c r="N605" s="2349"/>
      <c r="O605" s="2350"/>
      <c r="P605" s="2349"/>
      <c r="Q605" s="2349"/>
      <c r="R605" s="2350"/>
      <c r="S605" s="2349"/>
      <c r="T605" s="2350"/>
      <c r="U605" s="2349"/>
      <c r="V605" s="2349"/>
      <c r="W605" s="2350"/>
      <c r="X605" s="4949"/>
      <c r="Y605" s="2350"/>
      <c r="Z605" s="2349"/>
      <c r="AA605" s="2349"/>
      <c r="AB605" s="2350"/>
      <c r="AC605" s="2350"/>
      <c r="AD605" s="2350"/>
      <c r="AE605" s="2350"/>
      <c r="AF605" s="2350"/>
      <c r="AG605" s="2350"/>
      <c r="AH605" s="2351"/>
      <c r="AI605" s="3466"/>
    </row>
    <row r="606" ht="16.5" customHeight="1">
      <c r="A606" s="3457"/>
      <c r="B606" s="2345"/>
      <c r="C606" s="2338"/>
      <c r="D606" s="4950"/>
      <c r="E606" s="4951" t="s">
        <v>192</v>
      </c>
      <c r="F606" s="4952">
        <f t="array" ref="F606">IFERROR(VLOOKUP(E593,Dex!$B$3:$N1022,8,FALSE),"")</f>
        <v>35</v>
      </c>
      <c r="G606" s="4953" t="str">
        <f t="array" ref="G606">IFERROR(VLOOKUP(F606,Dex!$P$22:$Q$276,2,FALSE),"")</f>
        <v/>
      </c>
      <c r="H606" s="4954"/>
      <c r="I606" s="4950"/>
      <c r="J606" s="4951" t="s">
        <v>192</v>
      </c>
      <c r="K606" s="4952">
        <f t="array" ref="K606">IFERROR(VLOOKUP(J593,Dex!$B$3:$N1022,8,FALSE),"")</f>
        <v>144</v>
      </c>
      <c r="L606" s="4953" t="str">
        <f t="array" ref="L606">IFERROR(VLOOKUP(K606,Dex!$P$22:$Q$276,2,FALSE),"")</f>
        <v/>
      </c>
      <c r="M606" s="4954">
        <v>252.0</v>
      </c>
      <c r="N606" s="2349"/>
      <c r="O606" s="2350"/>
      <c r="P606" s="2349"/>
      <c r="Q606" s="2349"/>
      <c r="R606" s="2350"/>
      <c r="S606" s="2349"/>
      <c r="T606" s="2350"/>
      <c r="U606" s="2349"/>
      <c r="V606" s="2349"/>
      <c r="W606" s="2350"/>
      <c r="X606" s="4949"/>
      <c r="Y606" s="2350"/>
      <c r="Z606" s="2349"/>
      <c r="AA606" s="2349"/>
      <c r="AB606" s="2350"/>
      <c r="AC606" s="2350"/>
      <c r="AD606" s="2350"/>
      <c r="AE606" s="2350"/>
      <c r="AF606" s="2350"/>
      <c r="AG606" s="2350"/>
      <c r="AH606" s="2351"/>
      <c r="AI606" s="3466"/>
    </row>
    <row r="607" ht="16.5" customHeight="1">
      <c r="A607" s="3457"/>
      <c r="B607" s="2345"/>
      <c r="C607" s="2338"/>
      <c r="D607" s="4950"/>
      <c r="E607" s="4955" t="s">
        <v>193</v>
      </c>
      <c r="F607" s="4956">
        <f t="array" ref="F607">IFERROR(VLOOKUP(E593,Dex!$B$3:$N1022,9,FALSE),"")</f>
        <v>100</v>
      </c>
      <c r="G607" s="4957" t="str">
        <f t="array" ref="G607">IFERROR(VLOOKUP(F607,Dex!$P$22:$Q$276,2,FALSE),"")</f>
        <v/>
      </c>
      <c r="H607" s="4958">
        <v>252.0</v>
      </c>
      <c r="I607" s="4950"/>
      <c r="J607" s="4955" t="s">
        <v>193</v>
      </c>
      <c r="K607" s="4956">
        <f t="array" ref="K607">IFERROR(VLOOKUP(J593,Dex!$B$3:$N1022,9,FALSE),"")</f>
        <v>120</v>
      </c>
      <c r="L607" s="4957" t="str">
        <f t="array" ref="L607">IFERROR(VLOOKUP(K607,Dex!$P$22:$Q$276,2,FALSE),"")</f>
        <v/>
      </c>
      <c r="M607" s="4958">
        <v>252.0</v>
      </c>
      <c r="N607" s="2349"/>
      <c r="O607" s="2350"/>
      <c r="P607" s="2349"/>
      <c r="Q607" s="2349"/>
      <c r="R607" s="2350"/>
      <c r="S607" s="2349"/>
      <c r="T607" s="2350"/>
      <c r="U607" s="2349"/>
      <c r="V607" s="2349"/>
      <c r="W607" s="2350"/>
      <c r="X607" s="4949"/>
      <c r="Y607" s="2350"/>
      <c r="Z607" s="2349"/>
      <c r="AA607" s="2349"/>
      <c r="AB607" s="2350"/>
      <c r="AC607" s="2350"/>
      <c r="AD607" s="2350"/>
      <c r="AE607" s="2350"/>
      <c r="AF607" s="2350"/>
      <c r="AG607" s="2350"/>
      <c r="AH607" s="2351"/>
      <c r="AI607" s="3466"/>
    </row>
    <row r="608" ht="16.5" customHeight="1">
      <c r="A608" s="3457"/>
      <c r="B608" s="2345"/>
      <c r="C608" s="2338"/>
      <c r="D608" s="4950"/>
      <c r="E608" s="4955" t="s">
        <v>194</v>
      </c>
      <c r="F608" s="4956">
        <f t="array" ref="F608">IFERROR(VLOOKUP(E593,Dex!$B$3:$N1022,10,FALSE),"")</f>
        <v>50</v>
      </c>
      <c r="G608" s="4957" t="str">
        <f t="array" ref="G608">IFERROR(VLOOKUP(F608,Dex!$P$22:$Q$276,2,FALSE),"")</f>
        <v/>
      </c>
      <c r="H608" s="4958"/>
      <c r="I608" s="4950"/>
      <c r="J608" s="4955" t="s">
        <v>194</v>
      </c>
      <c r="K608" s="4956">
        <f t="array" ref="K608">IFERROR(VLOOKUP(J593,Dex!$B$3:$N1022,10,FALSE),"")</f>
        <v>60</v>
      </c>
      <c r="L608" s="4957" t="str">
        <f t="array" ref="L608">IFERROR(VLOOKUP(K608,Dex!$P$22:$Q$276,2,FALSE),"")</f>
        <v/>
      </c>
      <c r="M608" s="4958"/>
      <c r="N608" s="2349"/>
      <c r="O608" s="2350"/>
      <c r="P608" s="2349"/>
      <c r="Q608" s="2349"/>
      <c r="R608" s="2350"/>
      <c r="S608" s="2349"/>
      <c r="T608" s="2350"/>
      <c r="U608" s="2349"/>
      <c r="V608" s="2349"/>
      <c r="W608" s="2350"/>
      <c r="X608" s="4949"/>
      <c r="Y608" s="2350"/>
      <c r="Z608" s="2349"/>
      <c r="AA608" s="2349"/>
      <c r="AB608" s="2350"/>
      <c r="AC608" s="2350"/>
      <c r="AD608" s="2350"/>
      <c r="AE608" s="2350"/>
      <c r="AF608" s="2350"/>
      <c r="AG608" s="2350"/>
      <c r="AH608" s="2351"/>
      <c r="AI608" s="3466"/>
    </row>
    <row r="609" ht="16.5" customHeight="1">
      <c r="A609" s="3457"/>
      <c r="B609" s="2345"/>
      <c r="C609" s="2338"/>
      <c r="D609" s="4950"/>
      <c r="E609" s="4955" t="s">
        <v>195</v>
      </c>
      <c r="F609" s="4956">
        <f t="array" ref="F609">IFERROR(VLOOKUP(E593,Dex!$B$3:$N1022,11,FALSE),"")</f>
        <v>50</v>
      </c>
      <c r="G609" s="4957" t="str">
        <f t="array" ref="G609">IFERROR(VLOOKUP(F609,Dex!$P$22:$Q$276,2,FALSE),"")</f>
        <v/>
      </c>
      <c r="H609" s="4958"/>
      <c r="I609" s="4950"/>
      <c r="J609" s="4955" t="s">
        <v>195</v>
      </c>
      <c r="K609" s="4956">
        <f t="array" ref="K609">IFERROR(VLOOKUP(J593,Dex!$B$3:$N1022,11,FALSE),"")</f>
        <v>40</v>
      </c>
      <c r="L609" s="4957" t="str">
        <f t="array" ref="L609">IFERROR(VLOOKUP(K609,Dex!$P$22:$Q$276,2,FALSE),"")</f>
        <v/>
      </c>
      <c r="M609" s="4958"/>
      <c r="N609" s="2349"/>
      <c r="O609" s="2350"/>
      <c r="P609" s="2349"/>
      <c r="Q609" s="2349"/>
      <c r="R609" s="2350"/>
      <c r="S609" s="2349"/>
      <c r="T609" s="2350"/>
      <c r="U609" s="2349"/>
      <c r="V609" s="2349"/>
      <c r="W609" s="2350"/>
      <c r="X609" s="4949"/>
      <c r="Y609" s="2350"/>
      <c r="Z609" s="2349"/>
      <c r="AA609" s="2349"/>
      <c r="AB609" s="2350"/>
      <c r="AC609" s="2350"/>
      <c r="AD609" s="2350"/>
      <c r="AE609" s="2350"/>
      <c r="AF609" s="2350"/>
      <c r="AG609" s="2350"/>
      <c r="AH609" s="2351"/>
      <c r="AI609" s="3466"/>
    </row>
    <row r="610" ht="16.5" customHeight="1">
      <c r="A610" s="3457"/>
      <c r="B610" s="2345"/>
      <c r="C610" s="2338"/>
      <c r="D610" s="4950"/>
      <c r="E610" s="4955" t="s">
        <v>196</v>
      </c>
      <c r="F610" s="4956">
        <f t="array" ref="F610">IFERROR(VLOOKUP(E593,Dex!$B$3:$N1022,12,FALSE),"")</f>
        <v>70</v>
      </c>
      <c r="G610" s="4957" t="str">
        <f t="array" ref="G610">IFERROR(VLOOKUP(F610,Dex!$P$22:$Q$276,2,FALSE),"")</f>
        <v/>
      </c>
      <c r="H610" s="4958">
        <v>4.0</v>
      </c>
      <c r="I610" s="4950"/>
      <c r="J610" s="4955" t="s">
        <v>196</v>
      </c>
      <c r="K610" s="4956">
        <f t="array" ref="K610">IFERROR(VLOOKUP(J593,Dex!$B$3:$N1022,12,FALSE),"")</f>
        <v>60</v>
      </c>
      <c r="L610" s="4957" t="str">
        <f t="array" ref="L610">IFERROR(VLOOKUP(K610,Dex!$P$22:$Q$276,2,FALSE),"")</f>
        <v/>
      </c>
      <c r="M610" s="4958">
        <v>4.0</v>
      </c>
      <c r="N610" s="2349"/>
      <c r="O610" s="2350"/>
      <c r="P610" s="2349"/>
      <c r="Q610" s="2349"/>
      <c r="R610" s="2350"/>
      <c r="S610" s="2349"/>
      <c r="T610" s="2350"/>
      <c r="U610" s="2349"/>
      <c r="V610" s="2349"/>
      <c r="W610" s="2350"/>
      <c r="X610" s="4949"/>
      <c r="Y610" s="2350"/>
      <c r="Z610" s="2349"/>
      <c r="AA610" s="2349"/>
      <c r="AB610" s="2350"/>
      <c r="AC610" s="2350"/>
      <c r="AD610" s="2350"/>
      <c r="AE610" s="2350"/>
      <c r="AF610" s="2350"/>
      <c r="AG610" s="2350"/>
      <c r="AH610" s="2351"/>
      <c r="AI610" s="3466"/>
    </row>
    <row r="611" ht="16.5" customHeight="1">
      <c r="A611" s="3457"/>
      <c r="B611" s="2345"/>
      <c r="C611" s="1204" t="s">
        <v>436</v>
      </c>
      <c r="D611" s="4950"/>
      <c r="E611" s="4959" t="s">
        <v>197</v>
      </c>
      <c r="F611" s="4960">
        <f t="array" ref="F611">IFERROR(VLOOKUP(E593,Dex!$B$3:$N1022,13,FALSE),"")</f>
        <v>120</v>
      </c>
      <c r="G611" s="4961" t="str">
        <f t="array" ref="G611">IFERROR(VLOOKUP(F611,Dex!$P$22:$Q$276,2,FALSE),"")</f>
        <v/>
      </c>
      <c r="H611" s="4962">
        <v>252.0</v>
      </c>
      <c r="I611" s="4950"/>
      <c r="J611" s="4959" t="s">
        <v>197</v>
      </c>
      <c r="K611" s="4960">
        <f t="array" ref="K611">IFERROR(VLOOKUP(J593,Dex!$B$3:$N1022,13,FALSE),"")</f>
        <v>50</v>
      </c>
      <c r="L611" s="4961" t="str">
        <f t="array" ref="L611">IFERROR(VLOOKUP(K611,Dex!$P$22:$Q$276,2,FALSE),"")</f>
        <v/>
      </c>
      <c r="M611" s="4962"/>
      <c r="N611" s="2349"/>
      <c r="O611" s="2350"/>
      <c r="P611" s="2349"/>
      <c r="Q611" s="2349"/>
      <c r="R611" s="2350"/>
      <c r="S611" s="2349"/>
      <c r="T611" s="2350"/>
      <c r="U611" s="2349"/>
      <c r="V611" s="2349"/>
      <c r="W611" s="2350"/>
      <c r="X611" s="4949"/>
      <c r="Y611" s="2350"/>
      <c r="Z611" s="2349"/>
      <c r="AA611" s="2349"/>
      <c r="AB611" s="2350"/>
      <c r="AC611" s="2350"/>
      <c r="AD611" s="2350"/>
      <c r="AE611" s="2350"/>
      <c r="AF611" s="2350"/>
      <c r="AG611" s="2350"/>
      <c r="AH611" s="2351"/>
      <c r="AI611" s="3466"/>
    </row>
    <row r="612" ht="16.5" customHeight="1">
      <c r="A612" s="3457"/>
      <c r="B612" s="2345"/>
      <c r="C612" s="1205" t="s">
        <v>437</v>
      </c>
      <c r="D612" s="4946"/>
      <c r="E612" s="4963" t="s">
        <v>198</v>
      </c>
      <c r="F612" s="405"/>
      <c r="G612" s="406"/>
      <c r="H612" s="4964">
        <v>236.0</v>
      </c>
      <c r="I612" s="4946"/>
      <c r="J612" s="4963" t="s">
        <v>198</v>
      </c>
      <c r="K612" s="405"/>
      <c r="L612" s="406"/>
      <c r="M612" s="4964">
        <v>87.0</v>
      </c>
      <c r="N612" s="2349"/>
      <c r="O612" s="2350"/>
      <c r="P612" s="2349"/>
      <c r="Q612" s="2349"/>
      <c r="R612" s="2350"/>
      <c r="S612" s="2349"/>
      <c r="T612" s="2350"/>
      <c r="U612" s="2349"/>
      <c r="V612" s="2349"/>
      <c r="W612" s="2350"/>
      <c r="X612" s="4949"/>
      <c r="Y612" s="2350"/>
      <c r="Z612" s="2349"/>
      <c r="AA612" s="2349"/>
      <c r="AB612" s="2350"/>
      <c r="AC612" s="2350"/>
      <c r="AD612" s="2350"/>
      <c r="AE612" s="2350"/>
      <c r="AF612" s="2350"/>
      <c r="AG612" s="2350"/>
      <c r="AH612" s="2351"/>
      <c r="AI612" s="3466"/>
    </row>
    <row r="613" ht="15.0" customHeight="1">
      <c r="A613" s="3361"/>
      <c r="B613" s="2385"/>
      <c r="C613" s="2386"/>
      <c r="D613" s="4971"/>
      <c r="E613" s="4972"/>
      <c r="F613" s="4972"/>
      <c r="G613" s="4972"/>
      <c r="H613" s="4972"/>
      <c r="I613" s="4971"/>
      <c r="J613" s="4972"/>
      <c r="K613" s="4972"/>
      <c r="L613" s="4972"/>
      <c r="M613" s="4972"/>
      <c r="N613" s="4971"/>
      <c r="O613" s="4972"/>
      <c r="P613" s="4972"/>
      <c r="Q613" s="4972"/>
      <c r="R613" s="4972"/>
      <c r="S613" s="4971"/>
      <c r="T613" s="4972"/>
      <c r="U613" s="4972"/>
      <c r="V613" s="4972"/>
      <c r="W613" s="4972"/>
      <c r="X613" s="2387"/>
      <c r="Y613" s="2387"/>
      <c r="Z613" s="2387"/>
      <c r="AA613" s="2387"/>
      <c r="AB613" s="2387"/>
      <c r="AC613" s="2387"/>
      <c r="AD613" s="2387"/>
      <c r="AE613" s="2387"/>
      <c r="AF613" s="2387"/>
      <c r="AG613" s="2387"/>
      <c r="AH613" s="2389"/>
      <c r="AI613" s="3367"/>
    </row>
    <row r="614" ht="15.0" customHeight="1">
      <c r="A614" s="3361"/>
      <c r="B614" s="4925"/>
      <c r="C614" s="4926"/>
      <c r="D614" s="4926"/>
      <c r="E614" s="4926"/>
      <c r="F614" s="4926"/>
      <c r="G614" s="4926"/>
      <c r="H614" s="4926"/>
      <c r="I614" s="4926"/>
      <c r="J614" s="4926"/>
      <c r="K614" s="4926"/>
      <c r="L614" s="4926"/>
      <c r="M614" s="4926"/>
      <c r="N614" s="4926"/>
      <c r="O614" s="4926"/>
      <c r="P614" s="4926"/>
      <c r="Q614" s="4926"/>
      <c r="R614" s="4926"/>
      <c r="S614" s="4926"/>
      <c r="T614" s="4926"/>
      <c r="U614" s="4926"/>
      <c r="V614" s="4926"/>
      <c r="W614" s="4926"/>
      <c r="X614" s="4926"/>
      <c r="Y614" s="4926"/>
      <c r="Z614" s="4926"/>
      <c r="AA614" s="4926"/>
      <c r="AB614" s="4926"/>
      <c r="AC614" s="4926"/>
      <c r="AD614" s="4926"/>
      <c r="AE614" s="4926"/>
      <c r="AF614" s="4926"/>
      <c r="AG614" s="4926"/>
      <c r="AH614" s="4927"/>
      <c r="AI614" s="3367"/>
    </row>
    <row r="615">
      <c r="A615" s="3361"/>
      <c r="B615" s="2268"/>
      <c r="C615" s="4928"/>
      <c r="D615" s="2287"/>
      <c r="E615" s="4929" t="s">
        <v>1185</v>
      </c>
      <c r="F615" s="2324"/>
      <c r="G615" s="2324"/>
      <c r="H615" s="2324"/>
      <c r="I615" s="2324"/>
      <c r="J615" s="2324"/>
      <c r="K615" s="2324"/>
      <c r="L615" s="2324"/>
      <c r="M615" s="2324"/>
      <c r="N615" s="2324"/>
      <c r="O615" s="2324"/>
      <c r="P615" s="2324"/>
      <c r="Q615" s="2324"/>
      <c r="R615" s="2324"/>
      <c r="S615" s="2324"/>
      <c r="T615" s="2324"/>
      <c r="U615" s="2324"/>
      <c r="V615" s="2324"/>
      <c r="W615" s="2324"/>
      <c r="X615" s="2324"/>
      <c r="Y615" s="2324"/>
      <c r="Z615" s="2324"/>
      <c r="AA615" s="2324"/>
      <c r="AB615" s="2324"/>
      <c r="AC615" s="2324"/>
      <c r="AD615" s="2324"/>
      <c r="AE615" s="2324"/>
      <c r="AF615" s="2324"/>
      <c r="AG615" s="4930"/>
      <c r="AH615" s="4931"/>
      <c r="AI615" s="3367"/>
    </row>
    <row r="616" ht="96.75" customHeight="1">
      <c r="A616" s="3361"/>
      <c r="B616" s="2300"/>
      <c r="C616" s="4932" t="str">
        <f>IMAGE("https://i.ibb.co/qsQbp4Z/Biker.png")</f>
        <v/>
      </c>
      <c r="D616" s="2492"/>
      <c r="E616" s="4933" t="str">
        <f t="array" ref="E616">IFERROR(VLOOKUP(E617,Dex!$B$3:$G1022,3,FALSE),"")</f>
        <v/>
      </c>
      <c r="F616" s="1830"/>
      <c r="G616" s="1830"/>
      <c r="H616" s="1831"/>
      <c r="I616" s="2492"/>
      <c r="J616" s="4933" t="str">
        <f t="array" ref="J616">IFERROR(VLOOKUP(J617,Dex!$B$3:$G1022,3,FALSE),"")</f>
        <v/>
      </c>
      <c r="K616" s="1830"/>
      <c r="L616" s="1830"/>
      <c r="M616" s="1831"/>
      <c r="N616" s="2492"/>
      <c r="O616" s="4933" t="str">
        <f t="array" ref="O616">IFERROR(VLOOKUP(O617,Dex!$B$3:$G1022,3,FALSE),"")</f>
        <v/>
      </c>
      <c r="P616" s="1830"/>
      <c r="Q616" s="1830"/>
      <c r="R616" s="1831"/>
      <c r="S616" s="2492"/>
      <c r="T616" s="4933" t="str">
        <f t="array" ref="T616">IFERROR(VLOOKUP(T617,Dex!$B$3:$G1022,3,FALSE),"")</f>
        <v/>
      </c>
      <c r="U616" s="1830"/>
      <c r="V616" s="1830"/>
      <c r="W616" s="1831"/>
      <c r="X616" s="2493"/>
      <c r="Y616" s="2270"/>
      <c r="Z616" s="2273"/>
      <c r="AA616" s="2273"/>
      <c r="AB616" s="2274"/>
      <c r="AC616" s="2287"/>
      <c r="AD616" s="2270"/>
      <c r="AE616" s="2273"/>
      <c r="AF616" s="2273"/>
      <c r="AG616" s="2274"/>
      <c r="AH616" s="2276"/>
      <c r="AI616" s="3367"/>
    </row>
    <row r="617" ht="18.75" customHeight="1">
      <c r="A617" s="3621"/>
      <c r="B617" s="2358"/>
      <c r="C617" s="4934" t="s">
        <v>1186</v>
      </c>
      <c r="E617" s="2292" t="s">
        <v>323</v>
      </c>
      <c r="F617" s="2293"/>
      <c r="G617" s="2293"/>
      <c r="H617" s="2294"/>
      <c r="J617" s="2292" t="s">
        <v>1187</v>
      </c>
      <c r="K617" s="2293"/>
      <c r="L617" s="2293"/>
      <c r="M617" s="2294"/>
      <c r="O617" s="2292" t="s">
        <v>1188</v>
      </c>
      <c r="P617" s="2293"/>
      <c r="Q617" s="2293"/>
      <c r="R617" s="2294"/>
      <c r="T617" s="2292" t="s">
        <v>1189</v>
      </c>
      <c r="U617" s="2293"/>
      <c r="V617" s="2293"/>
      <c r="W617" s="2294"/>
      <c r="X617" s="2495"/>
      <c r="Y617" s="2297"/>
      <c r="Z617" s="2273"/>
      <c r="AA617" s="2273"/>
      <c r="AB617" s="2274"/>
      <c r="AC617" s="104"/>
      <c r="AD617" s="2297"/>
      <c r="AE617" s="2273"/>
      <c r="AF617" s="2273"/>
      <c r="AG617" s="2274"/>
      <c r="AH617" s="2298"/>
      <c r="AI617" s="3631"/>
    </row>
    <row r="618">
      <c r="A618" s="3632"/>
      <c r="B618" s="4935"/>
      <c r="C618" s="1481"/>
      <c r="E618" s="2496" t="s">
        <v>843</v>
      </c>
      <c r="F618" s="2303"/>
      <c r="G618" s="2303"/>
      <c r="H618" s="2304"/>
      <c r="J618" s="2496" t="s">
        <v>843</v>
      </c>
      <c r="K618" s="2303"/>
      <c r="L618" s="2303"/>
      <c r="M618" s="2304"/>
      <c r="O618" s="2496" t="s">
        <v>843</v>
      </c>
      <c r="P618" s="2303"/>
      <c r="Q618" s="2303"/>
      <c r="R618" s="2304"/>
      <c r="T618" s="2496" t="s">
        <v>715</v>
      </c>
      <c r="U618" s="2303"/>
      <c r="V618" s="2303"/>
      <c r="W618" s="2304"/>
      <c r="X618" s="2495"/>
      <c r="Y618" s="2704"/>
      <c r="Z618" s="2273"/>
      <c r="AA618" s="2273"/>
      <c r="AB618" s="2274"/>
      <c r="AC618" s="104"/>
      <c r="AD618" s="2704"/>
      <c r="AE618" s="2273"/>
      <c r="AF618" s="2273"/>
      <c r="AG618" s="2274"/>
      <c r="AH618" s="4936"/>
      <c r="AI618" s="3640"/>
    </row>
    <row r="619" ht="25.5" customHeight="1">
      <c r="A619" s="3361"/>
      <c r="B619" s="2300"/>
      <c r="C619" s="1489"/>
      <c r="E619" s="2307"/>
      <c r="F619" s="2311" t="str">
        <f t="array" ref="F619">IFERROR(VLOOKUP(E617,Dex!$B$3:$H1022,5,FALSE),"")</f>
        <v/>
      </c>
      <c r="G619" s="2312"/>
      <c r="H619" s="2310"/>
      <c r="J619" s="2307"/>
      <c r="K619" s="2311" t="str">
        <f t="array" ref="K619">IFERROR(VLOOKUP(J617,Dex!$B$3:$H1022,5,FALSE),"")</f>
        <v/>
      </c>
      <c r="L619" s="2312"/>
      <c r="M619" s="2310"/>
      <c r="O619" s="2307"/>
      <c r="P619" s="2308" t="str">
        <f t="array" ref="P619">IFERROR(VLOOKUP(O617,Dex!$B$3:$H1022,5,FALSE),"")</f>
        <v/>
      </c>
      <c r="Q619" s="2309" t="str">
        <f t="array" ref="Q619">IFERROR(VLOOKUP(O617,Dex!$B$3:$H1022,7,FALSE),"")</f>
        <v/>
      </c>
      <c r="R619" s="2310"/>
      <c r="T619" s="2307"/>
      <c r="U619" s="2311" t="str">
        <f t="array" ref="U619">IFERROR(VLOOKUP(T617,Dex!$B$3:$H1022,5,FALSE),"")</f>
        <v/>
      </c>
      <c r="V619" s="2312"/>
      <c r="W619" s="2310"/>
      <c r="X619" s="2495"/>
      <c r="Y619" s="2270"/>
      <c r="Z619" s="2273"/>
      <c r="AA619" s="2273"/>
      <c r="AB619" s="2274"/>
      <c r="AC619" s="104"/>
      <c r="AD619" s="2270"/>
      <c r="AE619" s="2273"/>
      <c r="AF619" s="2273"/>
      <c r="AG619" s="2274"/>
      <c r="AH619" s="2276"/>
      <c r="AI619" s="3367"/>
    </row>
    <row r="620" ht="2.25" customHeight="1">
      <c r="A620" s="3361"/>
      <c r="B620" s="2300"/>
      <c r="C620" s="4666"/>
      <c r="E620" s="2313"/>
      <c r="F620" s="2314"/>
      <c r="G620" s="2314"/>
      <c r="H620" s="2315"/>
      <c r="J620" s="2313"/>
      <c r="K620" s="2314"/>
      <c r="L620" s="2314"/>
      <c r="M620" s="2315"/>
      <c r="O620" s="2313"/>
      <c r="P620" s="2314"/>
      <c r="Q620" s="2314"/>
      <c r="R620" s="2315"/>
      <c r="T620" s="2313"/>
      <c r="U620" s="2314"/>
      <c r="V620" s="2314"/>
      <c r="W620" s="2315"/>
      <c r="X620" s="2495"/>
      <c r="Y620" s="2316"/>
      <c r="Z620" s="2316"/>
      <c r="AA620" s="2316"/>
      <c r="AB620" s="2316"/>
      <c r="AC620" s="104"/>
      <c r="AD620" s="2316"/>
      <c r="AE620" s="2316"/>
      <c r="AF620" s="2316"/>
      <c r="AG620" s="2316"/>
      <c r="AH620" s="2276"/>
      <c r="AI620" s="3367"/>
    </row>
    <row r="621" ht="20.25" customHeight="1">
      <c r="A621" s="3361"/>
      <c r="B621" s="2268"/>
      <c r="C621" s="4937"/>
      <c r="E621" s="2317" t="s">
        <v>205</v>
      </c>
      <c r="F621" s="2318"/>
      <c r="G621" s="2318"/>
      <c r="H621" s="2319"/>
      <c r="J621" s="2317" t="s">
        <v>471</v>
      </c>
      <c r="K621" s="2318"/>
      <c r="L621" s="2318"/>
      <c r="M621" s="2319"/>
      <c r="O621" s="2317" t="s">
        <v>205</v>
      </c>
      <c r="P621" s="2318"/>
      <c r="Q621" s="2318"/>
      <c r="R621" s="2319"/>
      <c r="T621" s="2317" t="s">
        <v>172</v>
      </c>
      <c r="U621" s="2318"/>
      <c r="V621" s="2318"/>
      <c r="W621" s="2319"/>
      <c r="X621" s="2495"/>
      <c r="Y621" s="2270"/>
      <c r="Z621" s="2273"/>
      <c r="AA621" s="2273"/>
      <c r="AB621" s="2274"/>
      <c r="AC621" s="104"/>
      <c r="AD621" s="2270"/>
      <c r="AE621" s="2273"/>
      <c r="AF621" s="2273"/>
      <c r="AG621" s="2274"/>
      <c r="AH621" s="2276"/>
      <c r="AI621" s="3367"/>
    </row>
    <row r="622" ht="20.25" customHeight="1">
      <c r="A622" s="3361"/>
      <c r="B622" s="2268"/>
      <c r="C622" s="2269"/>
      <c r="E622" s="2321" t="s">
        <v>329</v>
      </c>
      <c r="F622" s="2273"/>
      <c r="G622" s="2273"/>
      <c r="H622" s="2322"/>
      <c r="J622" s="2321" t="s">
        <v>809</v>
      </c>
      <c r="K622" s="2273"/>
      <c r="L622" s="2273"/>
      <c r="M622" s="2322"/>
      <c r="O622" s="2321" t="s">
        <v>208</v>
      </c>
      <c r="P622" s="2273"/>
      <c r="Q622" s="2273"/>
      <c r="R622" s="2322"/>
      <c r="T622" s="2321" t="s">
        <v>934</v>
      </c>
      <c r="U622" s="2273"/>
      <c r="V622" s="2273"/>
      <c r="W622" s="2322"/>
      <c r="X622" s="2495"/>
      <c r="Y622" s="2270"/>
      <c r="Z622" s="2273"/>
      <c r="AA622" s="2273"/>
      <c r="AB622" s="2274"/>
      <c r="AC622" s="104"/>
      <c r="AD622" s="2270"/>
      <c r="AE622" s="2273"/>
      <c r="AF622" s="2273"/>
      <c r="AG622" s="2274"/>
      <c r="AH622" s="2276"/>
      <c r="AI622" s="3367"/>
    </row>
    <row r="623" ht="20.25" customHeight="1">
      <c r="A623" s="3361"/>
      <c r="B623" s="2268"/>
      <c r="C623" s="2269"/>
      <c r="E623" s="2323" t="s">
        <v>272</v>
      </c>
      <c r="F623" s="2324"/>
      <c r="G623" s="4930"/>
      <c r="H623" s="4938" t="str">
        <f>IMAGE("https://raw.githubusercontent.com/msikma/pokesprite/master/items/hold-item/life-orb.png",3)</f>
        <v/>
      </c>
      <c r="J623" s="2323" t="s">
        <v>473</v>
      </c>
      <c r="K623" s="2324"/>
      <c r="L623" s="4930"/>
      <c r="M623" s="4938" t="str">
        <f>IMAGE("https://raw.githubusercontent.com/msikma/pokesprite/master/items/hold-item/assault-vest.png",3)</f>
        <v/>
      </c>
      <c r="O623" s="2323" t="s">
        <v>363</v>
      </c>
      <c r="P623" s="2324"/>
      <c r="Q623" s="4930"/>
      <c r="R623" s="4938" t="str">
        <f>IMAGE("https://raw.githubusercontent.com/msikma/pokesprite/master/items/berry/lum.png",3)</f>
        <v/>
      </c>
      <c r="T623" s="2323" t="s">
        <v>970</v>
      </c>
      <c r="U623" s="2324"/>
      <c r="V623" s="4930"/>
      <c r="W623" s="4938" t="str">
        <f>IMAGE("https://raw.githubusercontent.com/msikma/pokesprite/master/items/hold-item/spell-tag.png",3)</f>
        <v/>
      </c>
      <c r="X623" s="2495"/>
      <c r="Y623" s="2270"/>
      <c r="Z623" s="2273"/>
      <c r="AA623" s="2273"/>
      <c r="AB623" s="2274"/>
      <c r="AC623" s="104"/>
      <c r="AD623" s="2270"/>
      <c r="AE623" s="2273"/>
      <c r="AF623" s="2273"/>
      <c r="AG623" s="2274"/>
      <c r="AH623" s="2276"/>
      <c r="AI623" s="3367"/>
    </row>
    <row r="624" ht="20.25" customHeight="1">
      <c r="A624" s="3361"/>
      <c r="B624" s="2268"/>
      <c r="C624" s="2338"/>
      <c r="E624" s="2317" t="s">
        <v>278</v>
      </c>
      <c r="F624" s="2318"/>
      <c r="G624" s="2327"/>
      <c r="H624" s="4939" t="str">
        <f t="shared" ref="H624:H625" si="15">IMAGE("https://raw.githubusercontent.com/msikma/pokesprite/master/misc/types/gen8/bug.png",4,20,20)</f>
        <v/>
      </c>
      <c r="J624" s="2317" t="s">
        <v>402</v>
      </c>
      <c r="K624" s="2318"/>
      <c r="L624" s="2327"/>
      <c r="M624" s="4939" t="str">
        <f>IMAGE("https://raw.githubusercontent.com/msikma/pokesprite/master/misc/types/gen8/ground.png",4,20,20)</f>
        <v/>
      </c>
      <c r="O624" s="2317" t="s">
        <v>275</v>
      </c>
      <c r="P624" s="2318"/>
      <c r="Q624" s="2327"/>
      <c r="R624" s="4939" t="str">
        <f>IMAGE("https://raw.githubusercontent.com/msikma/pokesprite/master/misc/types/gen8/grass.png",4,20,20)</f>
        <v/>
      </c>
      <c r="T624" s="2317" t="s">
        <v>1190</v>
      </c>
      <c r="U624" s="2318"/>
      <c r="V624" s="2327"/>
      <c r="W624" s="4939" t="str">
        <f>IMAGE("https://raw.githubusercontent.com/msikma/pokesprite/master/misc/types/gen8/ghost.png",4,20,20)</f>
        <v/>
      </c>
      <c r="X624" s="2495"/>
      <c r="Y624" s="2270"/>
      <c r="Z624" s="2273"/>
      <c r="AA624" s="2273"/>
      <c r="AB624" s="2274"/>
      <c r="AC624" s="104"/>
      <c r="AD624" s="2270"/>
      <c r="AE624" s="2273"/>
      <c r="AF624" s="2273"/>
      <c r="AG624" s="2274"/>
      <c r="AH624" s="2276"/>
      <c r="AI624" s="3367"/>
    </row>
    <row r="625" ht="20.25" customHeight="1">
      <c r="A625" s="3361"/>
      <c r="B625" s="2268"/>
      <c r="C625" s="2338"/>
      <c r="E625" s="2321" t="s">
        <v>247</v>
      </c>
      <c r="F625" s="2273"/>
      <c r="G625" s="2274"/>
      <c r="H625" s="4940" t="str">
        <f t="shared" si="15"/>
        <v/>
      </c>
      <c r="J625" s="2321" t="s">
        <v>399</v>
      </c>
      <c r="K625" s="2273"/>
      <c r="L625" s="2274"/>
      <c r="M625" s="4940" t="str">
        <f>IMAGE("https://raw.githubusercontent.com/msikma/pokesprite/master/misc/types/gen8/rock.png",4,20,20)</f>
        <v/>
      </c>
      <c r="O625" s="2321" t="s">
        <v>379</v>
      </c>
      <c r="P625" s="2273"/>
      <c r="Q625" s="2274"/>
      <c r="R625" s="4940" t="str">
        <f>IMAGE("https://raw.githubusercontent.com/msikma/pokesprite/master/misc/types/gen8/rock.png",4,20,20)</f>
        <v/>
      </c>
      <c r="T625" s="2321" t="s">
        <v>463</v>
      </c>
      <c r="U625" s="2273"/>
      <c r="V625" s="2274"/>
      <c r="W625" s="4940" t="str">
        <f>IMAGE("https://raw.githubusercontent.com/msikma/pokesprite/master/misc/types/gen8/fighting.png",4,20,20)</f>
        <v/>
      </c>
      <c r="X625" s="2495"/>
      <c r="Y625" s="2270"/>
      <c r="Z625" s="2273"/>
      <c r="AA625" s="2273"/>
      <c r="AB625" s="2274"/>
      <c r="AC625" s="104"/>
      <c r="AD625" s="2270"/>
      <c r="AE625" s="2273"/>
      <c r="AF625" s="2273"/>
      <c r="AG625" s="2274"/>
      <c r="AH625" s="2276"/>
      <c r="AI625" s="3367"/>
    </row>
    <row r="626" ht="20.25" customHeight="1">
      <c r="A626" s="3361"/>
      <c r="B626" s="2268"/>
      <c r="C626" s="2338"/>
      <c r="E626" s="2321" t="s">
        <v>344</v>
      </c>
      <c r="F626" s="2273"/>
      <c r="G626" s="2274"/>
      <c r="H626" s="4940" t="str">
        <f>IMAGE("https://raw.githubusercontent.com/msikma/pokesprite/master/misc/types/gen8/fighting.png",4,20,20)</f>
        <v/>
      </c>
      <c r="J626" s="2321" t="s">
        <v>288</v>
      </c>
      <c r="K626" s="2273"/>
      <c r="L626" s="2274"/>
      <c r="M626" s="4940" t="str">
        <f>IMAGE("https://raw.githubusercontent.com/msikma/pokesprite/master/misc/types/gen8/normal.png",4,20,20)</f>
        <v/>
      </c>
      <c r="O626" s="2321" t="s">
        <v>287</v>
      </c>
      <c r="P626" s="2273"/>
      <c r="Q626" s="2274"/>
      <c r="R626" s="4940" t="str">
        <f>IMAGE("https://raw.githubusercontent.com/msikma/pokesprite/master/misc/types/gen8/fire.png",4,20,20)</f>
        <v/>
      </c>
      <c r="T626" s="2321" t="s">
        <v>825</v>
      </c>
      <c r="U626" s="2273"/>
      <c r="V626" s="2274"/>
      <c r="W626" s="4940" t="str">
        <f>IMAGE("https://raw.githubusercontent.com/msikma/pokesprite/master/misc/types/gen8/fire.png",4,20,20)</f>
        <v/>
      </c>
      <c r="X626" s="2495"/>
      <c r="Y626" s="2270"/>
      <c r="Z626" s="2273"/>
      <c r="AA626" s="2273"/>
      <c r="AB626" s="2274"/>
      <c r="AC626" s="104"/>
      <c r="AD626" s="2270"/>
      <c r="AE626" s="2273"/>
      <c r="AF626" s="2273"/>
      <c r="AG626" s="2274"/>
      <c r="AH626" s="2276"/>
      <c r="AI626" s="3367"/>
    </row>
    <row r="627" ht="21.0" customHeight="1">
      <c r="A627" s="3361"/>
      <c r="B627" s="2268"/>
      <c r="C627" s="2338"/>
      <c r="D627" s="2497"/>
      <c r="E627" s="5003" t="s">
        <v>280</v>
      </c>
      <c r="F627" s="5004"/>
      <c r="G627" s="103"/>
      <c r="H627" s="5005" t="str">
        <f>IMAGE("https://raw.githubusercontent.com/msikma/pokesprite/master/misc/types/gen8/poison.png",4,20,20)</f>
        <v/>
      </c>
      <c r="I627" s="2497"/>
      <c r="J627" s="5003" t="s">
        <v>463</v>
      </c>
      <c r="K627" s="5004"/>
      <c r="L627" s="103"/>
      <c r="M627" s="5005" t="str">
        <f>IMAGE("https://raw.githubusercontent.com/msikma/pokesprite/master/misc/types/gen8/fighting.png",4,20,20)</f>
        <v/>
      </c>
      <c r="N627" s="2497"/>
      <c r="O627" s="5003" t="s">
        <v>283</v>
      </c>
      <c r="P627" s="5004"/>
      <c r="Q627" s="103"/>
      <c r="R627" s="5005" t="str">
        <f>IMAGE("https://raw.githubusercontent.com/msikma/pokesprite/master/misc/types/gen8/grass.png",4,20,20)</f>
        <v/>
      </c>
      <c r="S627" s="2497"/>
      <c r="T627" s="5003" t="s">
        <v>813</v>
      </c>
      <c r="U627" s="5004"/>
      <c r="V627" s="103"/>
      <c r="W627" s="5005" t="str">
        <f>IMAGE("https://raw.githubusercontent.com/msikma/pokesprite/master/misc/types/gen8/ice.png",4,20,20)</f>
        <v/>
      </c>
      <c r="X627" s="2498"/>
      <c r="Y627" s="2270"/>
      <c r="Z627" s="2273"/>
      <c r="AA627" s="2273"/>
      <c r="AB627" s="2274"/>
      <c r="AC627" s="281"/>
      <c r="AD627" s="2270"/>
      <c r="AE627" s="2273"/>
      <c r="AF627" s="2273"/>
      <c r="AG627" s="2274"/>
      <c r="AH627" s="2276"/>
      <c r="AI627" s="3367"/>
    </row>
    <row r="628" ht="3.0" customHeight="1">
      <c r="A628" s="3445"/>
      <c r="B628" s="2337"/>
      <c r="C628" s="2338"/>
      <c r="D628" s="2339"/>
      <c r="E628" s="4942"/>
      <c r="F628" s="4942"/>
      <c r="G628" s="4942"/>
      <c r="H628" s="4943"/>
      <c r="I628" s="2339"/>
      <c r="J628" s="4944"/>
      <c r="K628" s="4944"/>
      <c r="L628" s="4944"/>
      <c r="M628" s="4943"/>
      <c r="N628" s="2339"/>
      <c r="O628" s="4944"/>
      <c r="P628" s="4944"/>
      <c r="Q628" s="4944"/>
      <c r="R628" s="4945"/>
      <c r="S628" s="2339"/>
      <c r="T628" s="4944"/>
      <c r="U628" s="4944"/>
      <c r="V628" s="4944"/>
      <c r="W628" s="4945"/>
      <c r="X628" s="2339"/>
      <c r="Y628" s="2339"/>
      <c r="Z628" s="2341"/>
      <c r="AA628" s="2341"/>
      <c r="AB628" s="2342"/>
      <c r="AC628" s="2342"/>
      <c r="AD628" s="2342"/>
      <c r="AE628" s="2342"/>
      <c r="AF628" s="2342"/>
      <c r="AG628" s="2342"/>
      <c r="AH628" s="2343"/>
      <c r="AI628" s="3456"/>
    </row>
    <row r="629" ht="16.5" customHeight="1">
      <c r="A629" s="3457"/>
      <c r="B629" s="2345"/>
      <c r="C629" s="2338"/>
      <c r="D629" s="4946"/>
      <c r="E629" s="4947" t="s">
        <v>190</v>
      </c>
      <c r="F629" s="381"/>
      <c r="G629" s="382"/>
      <c r="H629" s="4948" t="s">
        <v>191</v>
      </c>
      <c r="I629" s="4946"/>
      <c r="J629" s="4947" t="s">
        <v>190</v>
      </c>
      <c r="K629" s="381"/>
      <c r="L629" s="382"/>
      <c r="M629" s="4948" t="s">
        <v>191</v>
      </c>
      <c r="N629" s="4946"/>
      <c r="O629" s="4947" t="s">
        <v>190</v>
      </c>
      <c r="P629" s="381"/>
      <c r="Q629" s="382"/>
      <c r="R629" s="4948" t="s">
        <v>191</v>
      </c>
      <c r="S629" s="4946"/>
      <c r="T629" s="4947" t="s">
        <v>190</v>
      </c>
      <c r="U629" s="381"/>
      <c r="V629" s="382"/>
      <c r="W629" s="4948" t="s">
        <v>191</v>
      </c>
      <c r="X629" s="4949"/>
      <c r="Y629" s="2350"/>
      <c r="Z629" s="2349"/>
      <c r="AA629" s="2349"/>
      <c r="AB629" s="2350"/>
      <c r="AC629" s="2350"/>
      <c r="AD629" s="2350"/>
      <c r="AE629" s="2350"/>
      <c r="AF629" s="2350"/>
      <c r="AG629" s="2350"/>
      <c r="AH629" s="2351"/>
      <c r="AI629" s="3466"/>
    </row>
    <row r="630" ht="16.5" customHeight="1">
      <c r="A630" s="3457"/>
      <c r="B630" s="2345"/>
      <c r="C630" s="2338"/>
      <c r="D630" s="4950"/>
      <c r="E630" s="4951" t="s">
        <v>192</v>
      </c>
      <c r="F630" s="4952">
        <f t="array" ref="F630">IFERROR(VLOOKUP(E617,Dex!$B$3:$N1022,8,FALSE),"")</f>
        <v>80</v>
      </c>
      <c r="G630" s="4953" t="str">
        <f t="array" ref="G630">IFERROR(VLOOKUP(F630,Dex!$P$22:$Q$276,2,FALSE),"")</f>
        <v/>
      </c>
      <c r="H630" s="4954"/>
      <c r="I630" s="4950"/>
      <c r="J630" s="4951" t="s">
        <v>192</v>
      </c>
      <c r="K630" s="4952">
        <f t="array" ref="K630">IFERROR(VLOOKUP(J617,Dex!$B$3:$N1022,8,FALSE),"")</f>
        <v>85</v>
      </c>
      <c r="L630" s="4953" t="str">
        <f t="array" ref="L630">IFERROR(VLOOKUP(K630,Dex!$P$22:$Q$276,2,FALSE),"")</f>
        <v/>
      </c>
      <c r="M630" s="4954">
        <v>252.0</v>
      </c>
      <c r="N630" s="4950"/>
      <c r="O630" s="4951" t="s">
        <v>192</v>
      </c>
      <c r="P630" s="4952">
        <f t="array" ref="P630">IFERROR(VLOOKUP(O617,Dex!$B$3:$N1022,8,FALSE),"")</f>
        <v>60</v>
      </c>
      <c r="Q630" s="4953" t="str">
        <f t="array" ref="Q630">IFERROR(VLOOKUP(P630,Dex!$P$22:$Q$276,2,FALSE),"")</f>
        <v/>
      </c>
      <c r="R630" s="4954"/>
      <c r="S630" s="4950"/>
      <c r="T630" s="4951" t="s">
        <v>192</v>
      </c>
      <c r="U630" s="4952">
        <f t="array" ref="U630">IFERROR(VLOOKUP(T617,Dex!$B$3:$N1022,8,FALSE),"")</f>
        <v>72</v>
      </c>
      <c r="V630" s="4953" t="str">
        <f t="array" ref="V630">IFERROR(VLOOKUP(U630,Dex!$P$22:$Q$276,2,FALSE),"")</f>
        <v/>
      </c>
      <c r="W630" s="4954"/>
      <c r="X630" s="4949"/>
      <c r="Y630" s="2350"/>
      <c r="Z630" s="2349"/>
      <c r="AA630" s="2349"/>
      <c r="AB630" s="2350"/>
      <c r="AC630" s="2350"/>
      <c r="AD630" s="2350"/>
      <c r="AE630" s="2350"/>
      <c r="AF630" s="2350"/>
      <c r="AG630" s="2350"/>
      <c r="AH630" s="2351"/>
      <c r="AI630" s="3466"/>
    </row>
    <row r="631" ht="16.5" customHeight="1">
      <c r="A631" s="3457"/>
      <c r="B631" s="2345"/>
      <c r="C631" s="2338"/>
      <c r="D631" s="4950"/>
      <c r="E631" s="4955" t="s">
        <v>193</v>
      </c>
      <c r="F631" s="4956">
        <f t="array" ref="F631">IFERROR(VLOOKUP(E617,Dex!$B$3:$N1022,9,FALSE),"")</f>
        <v>70</v>
      </c>
      <c r="G631" s="4957" t="str">
        <f t="array" ref="G631">IFERROR(VLOOKUP(F631,Dex!$P$22:$Q$276,2,FALSE),"")</f>
        <v/>
      </c>
      <c r="H631" s="4958"/>
      <c r="I631" s="4950"/>
      <c r="J631" s="4955" t="s">
        <v>193</v>
      </c>
      <c r="K631" s="4956">
        <f t="array" ref="K631">IFERROR(VLOOKUP(J617,Dex!$B$3:$N1022,9,FALSE),"")</f>
        <v>135</v>
      </c>
      <c r="L631" s="4957" t="str">
        <f t="array" ref="L631">IFERROR(VLOOKUP(K631,Dex!$P$22:$Q$276,2,FALSE),"")</f>
        <v/>
      </c>
      <c r="M631" s="4958">
        <v>252.0</v>
      </c>
      <c r="N631" s="4950"/>
      <c r="O631" s="4955" t="s">
        <v>193</v>
      </c>
      <c r="P631" s="4956">
        <f t="array" ref="P631">IFERROR(VLOOKUP(O617,Dex!$B$3:$N1022,9,FALSE),"")</f>
        <v>70</v>
      </c>
      <c r="Q631" s="4957" t="str">
        <f t="array" ref="Q631">IFERROR(VLOOKUP(P631,Dex!$P$22:$Q$276,2,FALSE),"")</f>
        <v/>
      </c>
      <c r="R631" s="4958">
        <v>252.0</v>
      </c>
      <c r="S631" s="4950"/>
      <c r="T631" s="4955" t="s">
        <v>193</v>
      </c>
      <c r="U631" s="4956">
        <f t="array" ref="U631">IFERROR(VLOOKUP(T617,Dex!$B$3:$N1022,9,FALSE),"")</f>
        <v>101</v>
      </c>
      <c r="V631" s="4957" t="str">
        <f t="array" ref="V631">IFERROR(VLOOKUP(U631,Dex!$P$22:$Q$276,2,FALSE),"")</f>
        <v/>
      </c>
      <c r="W631" s="4958">
        <v>252.0</v>
      </c>
      <c r="X631" s="4949"/>
      <c r="Y631" s="2350"/>
      <c r="Z631" s="2349"/>
      <c r="AA631" s="2349"/>
      <c r="AB631" s="2350"/>
      <c r="AC631" s="2350"/>
      <c r="AD631" s="2350"/>
      <c r="AE631" s="2350"/>
      <c r="AF631" s="2350"/>
      <c r="AG631" s="2350"/>
      <c r="AH631" s="2351"/>
      <c r="AI631" s="3466"/>
    </row>
    <row r="632" ht="16.5" customHeight="1">
      <c r="A632" s="3457"/>
      <c r="B632" s="2345"/>
      <c r="C632" s="2338"/>
      <c r="D632" s="4950"/>
      <c r="E632" s="4955" t="s">
        <v>194</v>
      </c>
      <c r="F632" s="4956">
        <f t="array" ref="F632">IFERROR(VLOOKUP(E617,Dex!$B$3:$N1022,10,FALSE),"")</f>
        <v>40</v>
      </c>
      <c r="G632" s="4957" t="str">
        <f t="array" ref="G632">IFERROR(VLOOKUP(F632,Dex!$P$22:$Q$276,2,FALSE),"")</f>
        <v/>
      </c>
      <c r="H632" s="4958"/>
      <c r="I632" s="4950"/>
      <c r="J632" s="4955" t="s">
        <v>194</v>
      </c>
      <c r="K632" s="4956">
        <f t="array" ref="K632">IFERROR(VLOOKUP(J617,Dex!$B$3:$N1022,10,FALSE),"")</f>
        <v>130</v>
      </c>
      <c r="L632" s="4957" t="str">
        <f t="array" ref="L632">IFERROR(VLOOKUP(K632,Dex!$P$22:$Q$276,2,FALSE),"")</f>
        <v/>
      </c>
      <c r="M632" s="4958"/>
      <c r="N632" s="4950"/>
      <c r="O632" s="4955" t="s">
        <v>194</v>
      </c>
      <c r="P632" s="4956">
        <f t="array" ref="P632">IFERROR(VLOOKUP(O617,Dex!$B$3:$N1022,10,FALSE),"")</f>
        <v>65</v>
      </c>
      <c r="Q632" s="4957" t="str">
        <f t="array" ref="Q632">IFERROR(VLOOKUP(P632,Dex!$P$22:$Q$276,2,FALSE),"")</f>
        <v/>
      </c>
      <c r="R632" s="4958">
        <v>4.0</v>
      </c>
      <c r="S632" s="4950"/>
      <c r="T632" s="4955" t="s">
        <v>194</v>
      </c>
      <c r="U632" s="4956">
        <f t="array" ref="U632">IFERROR(VLOOKUP(T617,Dex!$B$3:$N1022,10,FALSE),"")</f>
        <v>100</v>
      </c>
      <c r="V632" s="4957" t="str">
        <f t="array" ref="V632">IFERROR(VLOOKUP(U632,Dex!$P$22:$Q$276,2,FALSE),"")</f>
        <v/>
      </c>
      <c r="W632" s="4958"/>
      <c r="X632" s="4949"/>
      <c r="Y632" s="2350"/>
      <c r="Z632" s="2349"/>
      <c r="AA632" s="2349"/>
      <c r="AB632" s="2350"/>
      <c r="AC632" s="2350"/>
      <c r="AD632" s="2350"/>
      <c r="AE632" s="2350"/>
      <c r="AF632" s="2350"/>
      <c r="AG632" s="2350"/>
      <c r="AH632" s="2351"/>
      <c r="AI632" s="3466"/>
    </row>
    <row r="633" ht="16.5" customHeight="1">
      <c r="A633" s="3457"/>
      <c r="B633" s="2345"/>
      <c r="C633" s="2338"/>
      <c r="D633" s="4950"/>
      <c r="E633" s="4955" t="s">
        <v>195</v>
      </c>
      <c r="F633" s="4956">
        <f t="array" ref="F633">IFERROR(VLOOKUP(E617,Dex!$B$3:$N1022,11,FALSE),"")</f>
        <v>100</v>
      </c>
      <c r="G633" s="4957" t="str">
        <f t="array" ref="G633">IFERROR(VLOOKUP(F633,Dex!$P$22:$Q$276,2,FALSE),"")</f>
        <v/>
      </c>
      <c r="H633" s="4958">
        <v>252.0</v>
      </c>
      <c r="I633" s="4950"/>
      <c r="J633" s="4955" t="s">
        <v>195</v>
      </c>
      <c r="K633" s="4956">
        <f t="array" ref="K633">IFERROR(VLOOKUP(J617,Dex!$B$3:$N1022,11,FALSE),"")</f>
        <v>60</v>
      </c>
      <c r="L633" s="4957" t="str">
        <f t="array" ref="L633">IFERROR(VLOOKUP(K633,Dex!$P$22:$Q$276,2,FALSE),"")</f>
        <v/>
      </c>
      <c r="M633" s="4958"/>
      <c r="N633" s="4950"/>
      <c r="O633" s="4955" t="s">
        <v>195</v>
      </c>
      <c r="P633" s="4956">
        <f t="array" ref="P633">IFERROR(VLOOKUP(O617,Dex!$B$3:$N1022,11,FALSE),"")</f>
        <v>125</v>
      </c>
      <c r="Q633" s="4957" t="str">
        <f t="array" ref="Q633">IFERROR(VLOOKUP(P633,Dex!$P$22:$Q$276,2,FALSE),"")</f>
        <v/>
      </c>
      <c r="R633" s="4958"/>
      <c r="S633" s="4950"/>
      <c r="T633" s="4955" t="s">
        <v>195</v>
      </c>
      <c r="U633" s="4956">
        <f t="array" ref="U633">IFERROR(VLOOKUP(T617,Dex!$B$3:$N1022,11,FALSE),"")</f>
        <v>50</v>
      </c>
      <c r="V633" s="4957" t="str">
        <f t="array" ref="V633">IFERROR(VLOOKUP(U633,Dex!$P$22:$Q$276,2,FALSE),"")</f>
        <v/>
      </c>
      <c r="W633" s="4958"/>
      <c r="X633" s="4949"/>
      <c r="Y633" s="2350"/>
      <c r="Z633" s="2349"/>
      <c r="AA633" s="2349"/>
      <c r="AB633" s="2350"/>
      <c r="AC633" s="2350"/>
      <c r="AD633" s="2350"/>
      <c r="AE633" s="2350"/>
      <c r="AF633" s="2350"/>
      <c r="AG633" s="2350"/>
      <c r="AH633" s="2351"/>
      <c r="AI633" s="3466"/>
    </row>
    <row r="634" ht="16.5" customHeight="1">
      <c r="A634" s="3457"/>
      <c r="B634" s="2345"/>
      <c r="C634" s="2338"/>
      <c r="D634" s="4950"/>
      <c r="E634" s="4955" t="s">
        <v>196</v>
      </c>
      <c r="F634" s="4956">
        <f t="array" ref="F634">IFERROR(VLOOKUP(E617,Dex!$B$3:$N1022,12,FALSE),"")</f>
        <v>60</v>
      </c>
      <c r="G634" s="4957" t="str">
        <f t="array" ref="G634">IFERROR(VLOOKUP(F634,Dex!$P$22:$Q$276,2,FALSE),"")</f>
        <v/>
      </c>
      <c r="H634" s="4958">
        <v>4.0</v>
      </c>
      <c r="I634" s="4950"/>
      <c r="J634" s="4955" t="s">
        <v>196</v>
      </c>
      <c r="K634" s="4956">
        <f t="array" ref="K634">IFERROR(VLOOKUP(J617,Dex!$B$3:$N1022,12,FALSE),"")</f>
        <v>80</v>
      </c>
      <c r="L634" s="4957" t="str">
        <f t="array" ref="L634">IFERROR(VLOOKUP(K634,Dex!$P$22:$Q$276,2,FALSE),"")</f>
        <v/>
      </c>
      <c r="M634" s="4958">
        <v>4.0</v>
      </c>
      <c r="N634" s="4950"/>
      <c r="O634" s="4955" t="s">
        <v>196</v>
      </c>
      <c r="P634" s="4956">
        <f t="array" ref="P634">IFERROR(VLOOKUP(O617,Dex!$B$3:$N1022,12,FALSE),"")</f>
        <v>105</v>
      </c>
      <c r="Q634" s="4957" t="str">
        <f t="array" ref="Q634">IFERROR(VLOOKUP(P634,Dex!$P$22:$Q$276,2,FALSE),"")</f>
        <v/>
      </c>
      <c r="R634" s="4958"/>
      <c r="S634" s="4950"/>
      <c r="T634" s="4955" t="s">
        <v>196</v>
      </c>
      <c r="U634" s="4956">
        <f t="array" ref="U634">IFERROR(VLOOKUP(T617,Dex!$B$3:$N1022,12,FALSE),"")</f>
        <v>97</v>
      </c>
      <c r="V634" s="4957" t="str">
        <f t="array" ref="V634">IFERROR(VLOOKUP(U634,Dex!$P$22:$Q$276,2,FALSE),"")</f>
        <v/>
      </c>
      <c r="W634" s="4958">
        <v>4.0</v>
      </c>
      <c r="X634" s="4949"/>
      <c r="Y634" s="2350"/>
      <c r="Z634" s="2349"/>
      <c r="AA634" s="2349"/>
      <c r="AB634" s="2350"/>
      <c r="AC634" s="2350"/>
      <c r="AD634" s="2350"/>
      <c r="AE634" s="2350"/>
      <c r="AF634" s="2350"/>
      <c r="AG634" s="2350"/>
      <c r="AH634" s="2351"/>
      <c r="AI634" s="3466"/>
    </row>
    <row r="635" ht="16.5" customHeight="1">
      <c r="A635" s="3457"/>
      <c r="B635" s="2345"/>
      <c r="C635" s="1204" t="s">
        <v>436</v>
      </c>
      <c r="D635" s="4950"/>
      <c r="E635" s="4959" t="s">
        <v>197</v>
      </c>
      <c r="F635" s="4960">
        <f t="array" ref="F635">IFERROR(VLOOKUP(E617,Dex!$B$3:$N1022,13,FALSE),"")</f>
        <v>145</v>
      </c>
      <c r="G635" s="4961" t="str">
        <f t="array" ref="G635">IFERROR(VLOOKUP(F635,Dex!$P$22:$Q$276,2,FALSE),"")</f>
        <v/>
      </c>
      <c r="H635" s="4962">
        <v>252.0</v>
      </c>
      <c r="I635" s="4950"/>
      <c r="J635" s="4959" t="s">
        <v>197</v>
      </c>
      <c r="K635" s="4960">
        <f t="array" ref="K635">IFERROR(VLOOKUP(J617,Dex!$B$3:$N1022,13,FALSE),"")</f>
        <v>25</v>
      </c>
      <c r="L635" s="4961" t="str">
        <f t="array" ref="L635">IFERROR(VLOOKUP(K635,Dex!$P$22:$Q$276,2,FALSE),"")</f>
        <v/>
      </c>
      <c r="M635" s="4962"/>
      <c r="N635" s="4950"/>
      <c r="O635" s="4959" t="s">
        <v>197</v>
      </c>
      <c r="P635" s="4960">
        <f t="array" ref="P635">IFERROR(VLOOKUP(O617,Dex!$B$3:$N1022,13,FALSE),"")</f>
        <v>90</v>
      </c>
      <c r="Q635" s="4961" t="str">
        <f t="array" ref="Q635">IFERROR(VLOOKUP(P635,Dex!$P$22:$Q$276,2,FALSE),"")</f>
        <v/>
      </c>
      <c r="R635" s="4962">
        <v>252.0</v>
      </c>
      <c r="S635" s="4950"/>
      <c r="T635" s="4959" t="s">
        <v>197</v>
      </c>
      <c r="U635" s="4960">
        <f t="array" ref="U635">IFERROR(VLOOKUP(T617,Dex!$B$3:$N1022,13,FALSE),"")</f>
        <v>68</v>
      </c>
      <c r="V635" s="4961" t="str">
        <f t="array" ref="V635">IFERROR(VLOOKUP(U635,Dex!$P$22:$Q$276,2,FALSE),"")</f>
        <v/>
      </c>
      <c r="W635" s="4962">
        <v>252.0</v>
      </c>
      <c r="X635" s="4949"/>
      <c r="Y635" s="2350"/>
      <c r="Z635" s="2349"/>
      <c r="AA635" s="2349"/>
      <c r="AB635" s="2350"/>
      <c r="AC635" s="2350"/>
      <c r="AD635" s="2350"/>
      <c r="AE635" s="2350"/>
      <c r="AF635" s="2350"/>
      <c r="AG635" s="2350"/>
      <c r="AH635" s="2351"/>
      <c r="AI635" s="3466"/>
    </row>
    <row r="636" ht="16.5" customHeight="1">
      <c r="A636" s="3457"/>
      <c r="B636" s="2345"/>
      <c r="C636" s="1205" t="s">
        <v>437</v>
      </c>
      <c r="D636" s="4946"/>
      <c r="E636" s="4963" t="s">
        <v>198</v>
      </c>
      <c r="F636" s="405"/>
      <c r="G636" s="406"/>
      <c r="H636" s="4964">
        <v>270.0</v>
      </c>
      <c r="I636" s="4946"/>
      <c r="J636" s="4963" t="s">
        <v>198</v>
      </c>
      <c r="K636" s="405"/>
      <c r="L636" s="406"/>
      <c r="M636" s="4964">
        <v>56.0</v>
      </c>
      <c r="N636" s="4946"/>
      <c r="O636" s="4963" t="s">
        <v>198</v>
      </c>
      <c r="P636" s="405"/>
      <c r="Q636" s="406"/>
      <c r="R636" s="4964">
        <v>193.0</v>
      </c>
      <c r="S636" s="4946"/>
      <c r="T636" s="4965" t="s">
        <v>198</v>
      </c>
      <c r="U636" s="918"/>
      <c r="V636" s="919"/>
      <c r="W636" s="4966">
        <v>167.0</v>
      </c>
      <c r="X636" s="4949"/>
      <c r="Y636" s="2350"/>
      <c r="Z636" s="2349"/>
      <c r="AA636" s="2349"/>
      <c r="AB636" s="2350"/>
      <c r="AC636" s="2350"/>
      <c r="AD636" s="2350"/>
      <c r="AE636" s="2350"/>
      <c r="AF636" s="2350"/>
      <c r="AG636" s="2350"/>
      <c r="AH636" s="2351"/>
      <c r="AI636" s="3466"/>
    </row>
    <row r="637" ht="16.5" customHeight="1">
      <c r="A637" s="3457"/>
      <c r="B637" s="2345"/>
      <c r="C637" s="2338"/>
      <c r="D637" s="4967"/>
      <c r="E637" s="2338"/>
      <c r="F637" s="2338"/>
      <c r="G637" s="2338"/>
      <c r="H637" s="2338"/>
      <c r="I637" s="4967"/>
      <c r="J637" s="2338"/>
      <c r="K637" s="2338"/>
      <c r="L637" s="2338"/>
      <c r="M637" s="2338"/>
      <c r="N637" s="4967"/>
      <c r="O637" s="4970"/>
      <c r="P637" s="4970"/>
      <c r="Q637" s="4970"/>
      <c r="R637" s="2338"/>
      <c r="S637" s="4967"/>
      <c r="T637" s="4968" t="s">
        <v>942</v>
      </c>
      <c r="U637" s="925"/>
      <c r="V637" s="926"/>
      <c r="W637" s="4969">
        <v>334.0</v>
      </c>
      <c r="X637" s="2499"/>
      <c r="Y637" s="2350"/>
      <c r="Z637" s="2349"/>
      <c r="AA637" s="2349"/>
      <c r="AB637" s="2350"/>
      <c r="AC637" s="2350"/>
      <c r="AD637" s="2350"/>
      <c r="AE637" s="2350"/>
      <c r="AF637" s="2350"/>
      <c r="AG637" s="2350"/>
      <c r="AH637" s="2351"/>
      <c r="AI637" s="3466"/>
    </row>
    <row r="638" ht="15.0" customHeight="1">
      <c r="A638" s="3361"/>
      <c r="B638" s="2385"/>
      <c r="C638" s="2386"/>
      <c r="D638" s="4971"/>
      <c r="E638" s="4972"/>
      <c r="F638" s="4972"/>
      <c r="G638" s="4972"/>
      <c r="H638" s="4972"/>
      <c r="I638" s="4971"/>
      <c r="J638" s="4972"/>
      <c r="K638" s="4972"/>
      <c r="L638" s="4972"/>
      <c r="M638" s="4972"/>
      <c r="N638" s="4971"/>
      <c r="O638" s="4972"/>
      <c r="P638" s="4972"/>
      <c r="Q638" s="4972"/>
      <c r="R638" s="4972"/>
      <c r="S638" s="4971"/>
      <c r="T638" s="4972"/>
      <c r="U638" s="4972"/>
      <c r="V638" s="4972"/>
      <c r="W638" s="4972"/>
      <c r="X638" s="2387"/>
      <c r="Y638" s="2387"/>
      <c r="Z638" s="2387"/>
      <c r="AA638" s="2387"/>
      <c r="AB638" s="2387"/>
      <c r="AC638" s="2387"/>
      <c r="AD638" s="2387"/>
      <c r="AE638" s="2387"/>
      <c r="AF638" s="2387"/>
      <c r="AG638" s="2387"/>
      <c r="AH638" s="2389"/>
      <c r="AI638" s="3367"/>
    </row>
    <row r="639" ht="15.0" customHeight="1">
      <c r="A639" s="3361"/>
      <c r="B639" s="4925"/>
      <c r="C639" s="4926"/>
      <c r="D639" s="4926"/>
      <c r="E639" s="4926"/>
      <c r="F639" s="4926"/>
      <c r="G639" s="4926"/>
      <c r="H639" s="4926"/>
      <c r="I639" s="4926"/>
      <c r="J639" s="4926"/>
      <c r="K639" s="4926"/>
      <c r="L639" s="4926"/>
      <c r="M639" s="4926"/>
      <c r="N639" s="4926"/>
      <c r="O639" s="4926"/>
      <c r="P639" s="4926"/>
      <c r="Q639" s="4926"/>
      <c r="R639" s="4926"/>
      <c r="S639" s="4926"/>
      <c r="T639" s="4926"/>
      <c r="U639" s="4926"/>
      <c r="V639" s="4926"/>
      <c r="W639" s="4926"/>
      <c r="X639" s="4926"/>
      <c r="Y639" s="4926"/>
      <c r="Z639" s="4926"/>
      <c r="AA639" s="4926"/>
      <c r="AB639" s="4926"/>
      <c r="AC639" s="4926"/>
      <c r="AD639" s="4926"/>
      <c r="AE639" s="4926"/>
      <c r="AF639" s="4926"/>
      <c r="AG639" s="4926"/>
      <c r="AH639" s="4927"/>
      <c r="AI639" s="3367"/>
    </row>
    <row r="640">
      <c r="A640" s="3361"/>
      <c r="B640" s="2268"/>
      <c r="C640" s="4928"/>
      <c r="D640" s="2287"/>
      <c r="E640" s="4929" t="s">
        <v>1191</v>
      </c>
      <c r="F640" s="2324"/>
      <c r="G640" s="2324"/>
      <c r="H640" s="2324"/>
      <c r="I640" s="2324"/>
      <c r="J640" s="2324"/>
      <c r="K640" s="2324"/>
      <c r="L640" s="2324"/>
      <c r="M640" s="2324"/>
      <c r="N640" s="2324"/>
      <c r="O640" s="2324"/>
      <c r="P640" s="2324"/>
      <c r="Q640" s="2324"/>
      <c r="R640" s="2324"/>
      <c r="S640" s="2324"/>
      <c r="T640" s="2324"/>
      <c r="U640" s="2324"/>
      <c r="V640" s="2324"/>
      <c r="W640" s="2324"/>
      <c r="X640" s="2324"/>
      <c r="Y640" s="2324"/>
      <c r="Z640" s="2324"/>
      <c r="AA640" s="2324"/>
      <c r="AB640" s="2324"/>
      <c r="AC640" s="2324"/>
      <c r="AD640" s="2324"/>
      <c r="AE640" s="2324"/>
      <c r="AF640" s="2324"/>
      <c r="AG640" s="4930"/>
      <c r="AH640" s="4931"/>
      <c r="AI640" s="3367"/>
    </row>
    <row r="641" ht="96.75" customHeight="1">
      <c r="A641" s="3361"/>
      <c r="B641" s="2300"/>
      <c r="C641" s="4932" t="str">
        <f>IMAGE("https://i.ibb.co/Wv3HtLh/CueBall.png")</f>
        <v/>
      </c>
      <c r="D641" s="2492"/>
      <c r="E641" s="4933" t="str">
        <f t="array" ref="E641">IFERROR(VLOOKUP(E642,Dex!$B$3:$G1022,3,FALSE),"")</f>
        <v/>
      </c>
      <c r="F641" s="1830"/>
      <c r="G641" s="1830"/>
      <c r="H641" s="1831"/>
      <c r="I641" s="2492"/>
      <c r="J641" s="4933" t="str">
        <f t="array" ref="J641">IFERROR(VLOOKUP(J642,Dex!$B$3:$G1022,3,FALSE),"")</f>
        <v/>
      </c>
      <c r="K641" s="1830"/>
      <c r="L641" s="1830"/>
      <c r="M641" s="1831"/>
      <c r="N641" s="2492"/>
      <c r="O641" s="4933" t="str">
        <f t="array" ref="O641">IFERROR(VLOOKUP(O642,Dex!$B$3:$G1022,3,FALSE),"")</f>
        <v/>
      </c>
      <c r="P641" s="1830"/>
      <c r="Q641" s="1830"/>
      <c r="R641" s="1831"/>
      <c r="S641" s="2492"/>
      <c r="T641" s="4933" t="str">
        <f t="array" ref="T641">IFERROR(VLOOKUP(T642,Dex!$B$3:$G1022,3,FALSE),"")</f>
        <v/>
      </c>
      <c r="U641" s="1830"/>
      <c r="V641" s="1830"/>
      <c r="W641" s="1831"/>
      <c r="X641" s="2493"/>
      <c r="Y641" s="2270"/>
      <c r="Z641" s="2273"/>
      <c r="AA641" s="2273"/>
      <c r="AB641" s="2274"/>
      <c r="AC641" s="2287"/>
      <c r="AD641" s="2270"/>
      <c r="AE641" s="2273"/>
      <c r="AF641" s="2273"/>
      <c r="AG641" s="2274"/>
      <c r="AH641" s="2276"/>
      <c r="AI641" s="3367"/>
    </row>
    <row r="642" ht="18.75" customHeight="1">
      <c r="A642" s="3621"/>
      <c r="B642" s="2358"/>
      <c r="C642" s="4934" t="s">
        <v>1192</v>
      </c>
      <c r="E642" s="2292" t="s">
        <v>1193</v>
      </c>
      <c r="F642" s="2293"/>
      <c r="G642" s="2293"/>
      <c r="H642" s="2294"/>
      <c r="J642" s="2292" t="s">
        <v>1194</v>
      </c>
      <c r="K642" s="2293"/>
      <c r="L642" s="2293"/>
      <c r="M642" s="2294"/>
      <c r="O642" s="2292" t="s">
        <v>529</v>
      </c>
      <c r="P642" s="2293"/>
      <c r="Q642" s="2293"/>
      <c r="R642" s="2294"/>
      <c r="T642" s="2292" t="s">
        <v>1195</v>
      </c>
      <c r="U642" s="2293"/>
      <c r="V642" s="2293"/>
      <c r="W642" s="2294"/>
      <c r="X642" s="2495"/>
      <c r="Y642" s="2297"/>
      <c r="Z642" s="2273"/>
      <c r="AA642" s="2273"/>
      <c r="AB642" s="2274"/>
      <c r="AC642" s="104"/>
      <c r="AD642" s="2297"/>
      <c r="AE642" s="2273"/>
      <c r="AF642" s="2273"/>
      <c r="AG642" s="2274"/>
      <c r="AH642" s="2298"/>
      <c r="AI642" s="3631"/>
    </row>
    <row r="643">
      <c r="A643" s="3632"/>
      <c r="B643" s="4935"/>
      <c r="C643" s="1481"/>
      <c r="E643" s="2496" t="s">
        <v>843</v>
      </c>
      <c r="F643" s="2303"/>
      <c r="G643" s="2303"/>
      <c r="H643" s="2304"/>
      <c r="J643" s="2496" t="s">
        <v>843</v>
      </c>
      <c r="K643" s="2303"/>
      <c r="L643" s="2303"/>
      <c r="M643" s="2304"/>
      <c r="O643" s="2496" t="s">
        <v>843</v>
      </c>
      <c r="P643" s="2303"/>
      <c r="Q643" s="2303"/>
      <c r="R643" s="2304"/>
      <c r="T643" s="2496" t="s">
        <v>843</v>
      </c>
      <c r="U643" s="2303"/>
      <c r="V643" s="2303"/>
      <c r="W643" s="2304"/>
      <c r="X643" s="2495"/>
      <c r="Y643" s="2704"/>
      <c r="Z643" s="2273"/>
      <c r="AA643" s="2273"/>
      <c r="AB643" s="2274"/>
      <c r="AC643" s="104"/>
      <c r="AD643" s="2704"/>
      <c r="AE643" s="2273"/>
      <c r="AF643" s="2273"/>
      <c r="AG643" s="2274"/>
      <c r="AH643" s="4936"/>
      <c r="AI643" s="3640"/>
    </row>
    <row r="644" ht="25.5" customHeight="1">
      <c r="A644" s="3361"/>
      <c r="B644" s="2300"/>
      <c r="C644" s="1489"/>
      <c r="E644" s="2307"/>
      <c r="F644" s="2308" t="str">
        <f t="array" ref="F644">IFERROR(VLOOKUP(E642,Dex!$B$3:$H1022,5,FALSE),"")</f>
        <v/>
      </c>
      <c r="G644" s="2309" t="str">
        <f t="array" ref="G644">IFERROR(VLOOKUP(E642,Dex!$B$3:$H1022,7,FALSE),"")</f>
        <v/>
      </c>
      <c r="H644" s="2310"/>
      <c r="J644" s="2307"/>
      <c r="K644" s="2308" t="str">
        <f t="array" ref="K644">IFERROR(VLOOKUP(J642,Dex!$B$3:$H1022,5,FALSE),"")</f>
        <v/>
      </c>
      <c r="L644" s="2309" t="str">
        <f t="array" ref="L644">IFERROR(VLOOKUP(J642,Dex!$B$3:$H1022,7,FALSE),"")</f>
        <v/>
      </c>
      <c r="M644" s="2310"/>
      <c r="O644" s="2307"/>
      <c r="P644" s="2308" t="str">
        <f t="array" ref="P644">IFERROR(VLOOKUP(O642,Dex!$B$3:$H1022,5,FALSE),"")</f>
        <v/>
      </c>
      <c r="Q644" s="2309" t="str">
        <f t="array" ref="Q644">IFERROR(VLOOKUP(O642,Dex!$B$3:$H1022,7,FALSE),"")</f>
        <v/>
      </c>
      <c r="R644" s="2310"/>
      <c r="T644" s="2307"/>
      <c r="U644" s="2308" t="str">
        <f t="array" ref="U644">IFERROR(VLOOKUP(T642,Dex!$B$3:$H1022,5,FALSE),"")</f>
        <v/>
      </c>
      <c r="V644" s="2309" t="str">
        <f t="array" ref="V644">IFERROR(VLOOKUP(T642,Dex!$B$3:$H1022,7,FALSE),"")</f>
        <v/>
      </c>
      <c r="W644" s="2310"/>
      <c r="X644" s="2495"/>
      <c r="Y644" s="2270"/>
      <c r="Z644" s="2273"/>
      <c r="AA644" s="2273"/>
      <c r="AB644" s="2274"/>
      <c r="AC644" s="104"/>
      <c r="AD644" s="2270"/>
      <c r="AE644" s="2273"/>
      <c r="AF644" s="2273"/>
      <c r="AG644" s="2274"/>
      <c r="AH644" s="2276"/>
      <c r="AI644" s="3367"/>
    </row>
    <row r="645" ht="2.25" customHeight="1">
      <c r="A645" s="3361"/>
      <c r="B645" s="2300"/>
      <c r="C645" s="4666"/>
      <c r="E645" s="2313"/>
      <c r="F645" s="2314"/>
      <c r="G645" s="2314"/>
      <c r="H645" s="2315"/>
      <c r="J645" s="2313"/>
      <c r="K645" s="2314"/>
      <c r="L645" s="2314"/>
      <c r="M645" s="2315"/>
      <c r="O645" s="2313"/>
      <c r="P645" s="2314"/>
      <c r="Q645" s="2314"/>
      <c r="R645" s="2315"/>
      <c r="T645" s="2313"/>
      <c r="U645" s="2314"/>
      <c r="V645" s="2314"/>
      <c r="W645" s="2315"/>
      <c r="X645" s="2495"/>
      <c r="Y645" s="2316"/>
      <c r="Z645" s="2316"/>
      <c r="AA645" s="2316"/>
      <c r="AB645" s="2316"/>
      <c r="AC645" s="104"/>
      <c r="AD645" s="2316"/>
      <c r="AE645" s="2316"/>
      <c r="AF645" s="2316"/>
      <c r="AG645" s="2316"/>
      <c r="AH645" s="2276"/>
      <c r="AI645" s="3367"/>
    </row>
    <row r="646" ht="20.25" customHeight="1">
      <c r="A646" s="3361"/>
      <c r="B646" s="2268"/>
      <c r="C646" s="4937"/>
      <c r="E646" s="2317" t="s">
        <v>1196</v>
      </c>
      <c r="F646" s="2318"/>
      <c r="G646" s="2318"/>
      <c r="H646" s="2319"/>
      <c r="J646" s="2317" t="s">
        <v>172</v>
      </c>
      <c r="K646" s="2318"/>
      <c r="L646" s="2318"/>
      <c r="M646" s="2319"/>
      <c r="O646" s="2317" t="s">
        <v>169</v>
      </c>
      <c r="P646" s="2318"/>
      <c r="Q646" s="2318"/>
      <c r="R646" s="2319"/>
      <c r="T646" s="2317" t="s">
        <v>172</v>
      </c>
      <c r="U646" s="2318"/>
      <c r="V646" s="2318"/>
      <c r="W646" s="2319"/>
      <c r="X646" s="2495"/>
      <c r="Y646" s="2270"/>
      <c r="Z646" s="2273"/>
      <c r="AA646" s="2273"/>
      <c r="AB646" s="2274"/>
      <c r="AC646" s="104"/>
      <c r="AD646" s="2270"/>
      <c r="AE646" s="2273"/>
      <c r="AF646" s="2273"/>
      <c r="AG646" s="2274"/>
      <c r="AH646" s="2276"/>
      <c r="AI646" s="3367"/>
    </row>
    <row r="647">
      <c r="A647" s="3361"/>
      <c r="B647" s="2268"/>
      <c r="C647" s="2269"/>
      <c r="E647" s="2321" t="s">
        <v>1197</v>
      </c>
      <c r="F647" s="2273"/>
      <c r="G647" s="2273"/>
      <c r="H647" s="2322"/>
      <c r="J647" s="2321" t="s">
        <v>174</v>
      </c>
      <c r="K647" s="2273"/>
      <c r="L647" s="2273"/>
      <c r="M647" s="2322"/>
      <c r="O647" s="5006" t="s">
        <v>1198</v>
      </c>
      <c r="P647" s="2273"/>
      <c r="Q647" s="2273"/>
      <c r="R647" s="2322"/>
      <c r="T647" s="2321" t="s">
        <v>934</v>
      </c>
      <c r="U647" s="2273"/>
      <c r="V647" s="2273"/>
      <c r="W647" s="2322"/>
      <c r="X647" s="2495"/>
      <c r="Y647" s="2270"/>
      <c r="Z647" s="2273"/>
      <c r="AA647" s="2273"/>
      <c r="AB647" s="2274"/>
      <c r="AC647" s="104"/>
      <c r="AD647" s="2270"/>
      <c r="AE647" s="2273"/>
      <c r="AF647" s="2273"/>
      <c r="AG647" s="2274"/>
      <c r="AH647" s="2276"/>
      <c r="AI647" s="3367"/>
    </row>
    <row r="648" ht="20.25" customHeight="1">
      <c r="A648" s="3361"/>
      <c r="B648" s="2268"/>
      <c r="C648" s="2269"/>
      <c r="E648" s="2323" t="s">
        <v>394</v>
      </c>
      <c r="F648" s="2324"/>
      <c r="G648" s="4930"/>
      <c r="H648" s="4938" t="str">
        <f>IMAGE("https://raw.githubusercontent.com/msikma/pokesprite/master/items/hold-item/leftovers.png",3)</f>
        <v/>
      </c>
      <c r="J648" s="2323" t="s">
        <v>177</v>
      </c>
      <c r="K648" s="2324"/>
      <c r="L648" s="4930"/>
      <c r="M648" s="4938" t="str">
        <f>IMAGE("https://raw.githubusercontent.com/msikma/pokesprite/master/items/hold-item/air-balloon.png",3)</f>
        <v/>
      </c>
      <c r="O648" s="2323" t="s">
        <v>535</v>
      </c>
      <c r="P648" s="2324"/>
      <c r="Q648" s="4930"/>
      <c r="R648" s="4938" t="str">
        <f>IMAGE("https://raw.githubusercontent.com/msikma/pokesprite/master/items/mega-stone/scizorite.png",3)</f>
        <v/>
      </c>
      <c r="T648" s="2323" t="s">
        <v>272</v>
      </c>
      <c r="U648" s="2324"/>
      <c r="V648" s="4930"/>
      <c r="W648" s="4938" t="str">
        <f>IMAGE("https://raw.githubusercontent.com/msikma/pokesprite/master/items/hold-item/life-orb.png",3)</f>
        <v/>
      </c>
      <c r="X648" s="2495"/>
      <c r="Y648" s="2270"/>
      <c r="Z648" s="2273"/>
      <c r="AA648" s="2273"/>
      <c r="AB648" s="2274"/>
      <c r="AC648" s="104"/>
      <c r="AD648" s="2270"/>
      <c r="AE648" s="2273"/>
      <c r="AF648" s="2273"/>
      <c r="AG648" s="2274"/>
      <c r="AH648" s="2276"/>
      <c r="AI648" s="3367"/>
    </row>
    <row r="649" ht="20.25" customHeight="1">
      <c r="A649" s="3361"/>
      <c r="B649" s="2268"/>
      <c r="C649" s="2338"/>
      <c r="E649" s="2317" t="s">
        <v>395</v>
      </c>
      <c r="F649" s="2318"/>
      <c r="G649" s="2327"/>
      <c r="H649" s="4939" t="str">
        <f>IMAGE("https://raw.githubusercontent.com/msikma/pokesprite/master/misc/types/gen8/rock.png",4,20,20)</f>
        <v/>
      </c>
      <c r="J649" s="2317" t="s">
        <v>398</v>
      </c>
      <c r="K649" s="2318"/>
      <c r="L649" s="2327"/>
      <c r="M649" s="4939" t="str">
        <f t="shared" ref="M649:M650" si="16">IMAGE("https://raw.githubusercontent.com/msikma/pokesprite/master/misc/types/gen8/steel.png",4,20,20)</f>
        <v/>
      </c>
      <c r="O649" s="2317" t="s">
        <v>278</v>
      </c>
      <c r="P649" s="2318"/>
      <c r="Q649" s="2327"/>
      <c r="R649" s="4939" t="str">
        <f>IMAGE("https://raw.githubusercontent.com/msikma/pokesprite/master/misc/types/gen8/bug.png",4,20,20)</f>
        <v/>
      </c>
      <c r="T649" s="2317" t="s">
        <v>1199</v>
      </c>
      <c r="U649" s="2318"/>
      <c r="V649" s="2327"/>
      <c r="W649" s="4939" t="str">
        <f>IMAGE("https://raw.githubusercontent.com/msikma/pokesprite/master/misc/types/gen8/grass.png",4,20,20)</f>
        <v/>
      </c>
      <c r="X649" s="2495"/>
      <c r="Y649" s="2270"/>
      <c r="Z649" s="2273"/>
      <c r="AA649" s="2273"/>
      <c r="AB649" s="2274"/>
      <c r="AC649" s="104"/>
      <c r="AD649" s="2270"/>
      <c r="AE649" s="2273"/>
      <c r="AF649" s="2273"/>
      <c r="AG649" s="2274"/>
      <c r="AH649" s="2276"/>
      <c r="AI649" s="3367"/>
    </row>
    <row r="650" ht="20.25" customHeight="1">
      <c r="A650" s="3361"/>
      <c r="B650" s="2268"/>
      <c r="C650" s="2338"/>
      <c r="E650" s="2321" t="s">
        <v>219</v>
      </c>
      <c r="F650" s="2273"/>
      <c r="G650" s="2274"/>
      <c r="H650" s="4940" t="str">
        <f>IMAGE("https://raw.githubusercontent.com/msikma/pokesprite/master/misc/types/gen8/water.png",4,20,20)</f>
        <v/>
      </c>
      <c r="J650" s="2321" t="s">
        <v>407</v>
      </c>
      <c r="K650" s="2273"/>
      <c r="L650" s="2274"/>
      <c r="M650" s="4940" t="str">
        <f t="shared" si="16"/>
        <v/>
      </c>
      <c r="O650" s="2321" t="s">
        <v>522</v>
      </c>
      <c r="P650" s="2273"/>
      <c r="Q650" s="2274"/>
      <c r="R650" s="4940" t="str">
        <f>IMAGE("https://raw.githubusercontent.com/msikma/pokesprite/master/misc/types/gen8/steel.png",4,20,20)</f>
        <v/>
      </c>
      <c r="T650" s="2321" t="s">
        <v>541</v>
      </c>
      <c r="U650" s="2273"/>
      <c r="V650" s="2274"/>
      <c r="W650" s="4940" t="str">
        <f t="shared" ref="W650:W651" si="17">IMAGE("https://raw.githubusercontent.com/msikma/pokesprite/master/misc/types/gen8/dark.png",4,20,20)</f>
        <v/>
      </c>
      <c r="X650" s="2495"/>
      <c r="Y650" s="2270"/>
      <c r="Z650" s="2273"/>
      <c r="AA650" s="2273"/>
      <c r="AB650" s="2274"/>
      <c r="AC650" s="104"/>
      <c r="AD650" s="2270"/>
      <c r="AE650" s="2273"/>
      <c r="AF650" s="2273"/>
      <c r="AG650" s="2274"/>
      <c r="AH650" s="2276"/>
      <c r="AI650" s="3367"/>
    </row>
    <row r="651" ht="20.25" customHeight="1">
      <c r="A651" s="3361"/>
      <c r="B651" s="2268"/>
      <c r="C651" s="2338"/>
      <c r="E651" s="2321" t="s">
        <v>402</v>
      </c>
      <c r="F651" s="2273"/>
      <c r="G651" s="2274"/>
      <c r="H651" s="4940" t="str">
        <f>IMAGE("https://raw.githubusercontent.com/msikma/pokesprite/master/misc/types/gen8/ground.png",4,20,20)</f>
        <v/>
      </c>
      <c r="J651" s="2321" t="s">
        <v>1200</v>
      </c>
      <c r="K651" s="2273"/>
      <c r="L651" s="2274"/>
      <c r="M651" s="4940" t="str">
        <f>IMAGE("https://raw.githubusercontent.com/msikma/pokesprite/master/misc/types/gen8/poison.png",4,20,20)</f>
        <v/>
      </c>
      <c r="O651" s="2321" t="s">
        <v>507</v>
      </c>
      <c r="P651" s="2273"/>
      <c r="Q651" s="2274"/>
      <c r="R651" s="4940" t="str">
        <f>IMAGE("https://raw.githubusercontent.com/msikma/pokesprite/master/misc/types/gen8/fighting.png",4,20,20)</f>
        <v/>
      </c>
      <c r="T651" s="2321" t="s">
        <v>279</v>
      </c>
      <c r="U651" s="2273"/>
      <c r="V651" s="2274"/>
      <c r="W651" s="4940" t="str">
        <f t="shared" si="17"/>
        <v/>
      </c>
      <c r="X651" s="2495"/>
      <c r="Y651" s="2270"/>
      <c r="Z651" s="2273"/>
      <c r="AA651" s="2273"/>
      <c r="AB651" s="2274"/>
      <c r="AC651" s="104"/>
      <c r="AD651" s="2270"/>
      <c r="AE651" s="2273"/>
      <c r="AF651" s="2273"/>
      <c r="AG651" s="2274"/>
      <c r="AH651" s="2276"/>
      <c r="AI651" s="3367"/>
    </row>
    <row r="652" ht="21.0" customHeight="1">
      <c r="A652" s="3361"/>
      <c r="B652" s="2268"/>
      <c r="C652" s="2338"/>
      <c r="D652" s="2497"/>
      <c r="E652" s="2330" t="s">
        <v>985</v>
      </c>
      <c r="F652" s="2331"/>
      <c r="G652" s="2332"/>
      <c r="H652" s="4941" t="str">
        <f>IMAGE("https://raw.githubusercontent.com/msikma/pokesprite/master/misc/types/gen8/normal.png",4,20,20)</f>
        <v/>
      </c>
      <c r="I652" s="2497"/>
      <c r="J652" s="2330" t="s">
        <v>282</v>
      </c>
      <c r="K652" s="2331"/>
      <c r="L652" s="2332"/>
      <c r="M652" s="4941" t="str">
        <f>IMAGE("https://raw.githubusercontent.com/msikma/pokesprite/master/misc/types/gen8/ground.png",4,20,20)</f>
        <v/>
      </c>
      <c r="N652" s="2497"/>
      <c r="O652" s="2330" t="s">
        <v>279</v>
      </c>
      <c r="P652" s="2331"/>
      <c r="Q652" s="2332"/>
      <c r="R652" s="4941" t="str">
        <f>IMAGE("https://raw.githubusercontent.com/msikma/pokesprite/master/misc/types/gen8/dark.png",4,20,20)</f>
        <v/>
      </c>
      <c r="S652" s="2497"/>
      <c r="T652" s="2330" t="s">
        <v>489</v>
      </c>
      <c r="U652" s="2331"/>
      <c r="V652" s="2332"/>
      <c r="W652" s="4941" t="str">
        <f>IMAGE("https://raw.githubusercontent.com/msikma/pokesprite/master/misc/types/gen8/normal.png",4,20,20)</f>
        <v/>
      </c>
      <c r="X652" s="2498"/>
      <c r="Y652" s="2270"/>
      <c r="Z652" s="2273"/>
      <c r="AA652" s="2273"/>
      <c r="AB652" s="2274"/>
      <c r="AC652" s="281"/>
      <c r="AD652" s="2270"/>
      <c r="AE652" s="2273"/>
      <c r="AF652" s="2273"/>
      <c r="AG652" s="2274"/>
      <c r="AH652" s="2276"/>
      <c r="AI652" s="3367"/>
    </row>
    <row r="653" ht="3.0" customHeight="1">
      <c r="A653" s="3445"/>
      <c r="B653" s="2337"/>
      <c r="C653" s="2338"/>
      <c r="D653" s="2339"/>
      <c r="E653" s="4942"/>
      <c r="F653" s="4942"/>
      <c r="G653" s="4942"/>
      <c r="H653" s="4943"/>
      <c r="I653" s="2339"/>
      <c r="J653" s="4944"/>
      <c r="K653" s="4944"/>
      <c r="L653" s="4944"/>
      <c r="M653" s="4943"/>
      <c r="N653" s="2339"/>
      <c r="O653" s="4944"/>
      <c r="P653" s="4944"/>
      <c r="Q653" s="4944"/>
      <c r="R653" s="4945"/>
      <c r="S653" s="2339"/>
      <c r="T653" s="4944"/>
      <c r="U653" s="4944"/>
      <c r="V653" s="4944"/>
      <c r="W653" s="4945"/>
      <c r="X653" s="2339"/>
      <c r="Y653" s="2339"/>
      <c r="Z653" s="2341"/>
      <c r="AA653" s="2341"/>
      <c r="AB653" s="2342"/>
      <c r="AC653" s="2342"/>
      <c r="AD653" s="2342"/>
      <c r="AE653" s="2342"/>
      <c r="AF653" s="2342"/>
      <c r="AG653" s="2342"/>
      <c r="AH653" s="2343"/>
      <c r="AI653" s="3456"/>
    </row>
    <row r="654" ht="16.5" customHeight="1">
      <c r="A654" s="3457"/>
      <c r="B654" s="2345"/>
      <c r="C654" s="2338"/>
      <c r="D654" s="4946"/>
      <c r="E654" s="4947" t="s">
        <v>190</v>
      </c>
      <c r="F654" s="381"/>
      <c r="G654" s="382"/>
      <c r="H654" s="4948" t="s">
        <v>191</v>
      </c>
      <c r="I654" s="4946"/>
      <c r="J654" s="4947" t="s">
        <v>190</v>
      </c>
      <c r="K654" s="381"/>
      <c r="L654" s="382"/>
      <c r="M654" s="4948" t="s">
        <v>191</v>
      </c>
      <c r="N654" s="4946"/>
      <c r="O654" s="4947" t="s">
        <v>190</v>
      </c>
      <c r="P654" s="381"/>
      <c r="Q654" s="382"/>
      <c r="R654" s="4948" t="s">
        <v>191</v>
      </c>
      <c r="S654" s="4946"/>
      <c r="T654" s="4947" t="s">
        <v>190</v>
      </c>
      <c r="U654" s="381"/>
      <c r="V654" s="382"/>
      <c r="W654" s="4948" t="s">
        <v>191</v>
      </c>
      <c r="X654" s="4949"/>
      <c r="Y654" s="2350"/>
      <c r="Z654" s="2349"/>
      <c r="AA654" s="2349"/>
      <c r="AB654" s="2350"/>
      <c r="AC654" s="2350"/>
      <c r="AD654" s="2350"/>
      <c r="AE654" s="2350"/>
      <c r="AF654" s="2350"/>
      <c r="AG654" s="2350"/>
      <c r="AH654" s="2351"/>
      <c r="AI654" s="3466"/>
    </row>
    <row r="655" ht="16.5" customHeight="1">
      <c r="A655" s="3457"/>
      <c r="B655" s="2345"/>
      <c r="C655" s="2338"/>
      <c r="D655" s="4950"/>
      <c r="E655" s="4951" t="s">
        <v>192</v>
      </c>
      <c r="F655" s="4952">
        <f t="array" ref="F655">IFERROR(VLOOKUP(E642,Dex!$B$3:$N1022,8,FALSE),"")</f>
        <v>100</v>
      </c>
      <c r="G655" s="4953" t="str">
        <f t="array" ref="G655">IFERROR(VLOOKUP(F655,Dex!$P$22:$Q$276,2,FALSE),"")</f>
        <v/>
      </c>
      <c r="H655" s="4954">
        <v>252.0</v>
      </c>
      <c r="I655" s="4950"/>
      <c r="J655" s="4951" t="s">
        <v>192</v>
      </c>
      <c r="K655" s="4952">
        <f t="array" ref="K655">IFERROR(VLOOKUP(J642,Dex!$B$3:$N1022,8,FALSE),"")</f>
        <v>80</v>
      </c>
      <c r="L655" s="4953" t="str">
        <f t="array" ref="L655">IFERROR(VLOOKUP(K655,Dex!$P$22:$Q$276,2,FALSE),"")</f>
        <v/>
      </c>
      <c r="M655" s="4954"/>
      <c r="N655" s="4950"/>
      <c r="O655" s="4951" t="s">
        <v>192</v>
      </c>
      <c r="P655" s="4952">
        <f t="array" ref="P655">IFERROR(VLOOKUP(O642,Dex!$B$3:$N1022,8,FALSE),"")</f>
        <v>70</v>
      </c>
      <c r="Q655" s="4953" t="str">
        <f t="array" ref="Q655">IFERROR(VLOOKUP(P655,Dex!$P$22:$Q$276,2,FALSE),"")</f>
        <v/>
      </c>
      <c r="R655" s="4954">
        <v>252.0</v>
      </c>
      <c r="S655" s="4950"/>
      <c r="T655" s="4951" t="s">
        <v>192</v>
      </c>
      <c r="U655" s="4952">
        <f t="array" ref="U655">IFERROR(VLOOKUP(T642,Dex!$B$3:$N1022,8,FALSE),"")</f>
        <v>70</v>
      </c>
      <c r="V655" s="4953" t="str">
        <f t="array" ref="V655">IFERROR(VLOOKUP(U655,Dex!$P$22:$Q$276,2,FALSE),"")</f>
        <v/>
      </c>
      <c r="W655" s="4954"/>
      <c r="X655" s="4949"/>
      <c r="Y655" s="2350"/>
      <c r="Z655" s="2349"/>
      <c r="AA655" s="2349"/>
      <c r="AB655" s="2350"/>
      <c r="AC655" s="2350"/>
      <c r="AD655" s="2350"/>
      <c r="AE655" s="2350"/>
      <c r="AF655" s="2350"/>
      <c r="AG655" s="2350"/>
      <c r="AH655" s="2351"/>
      <c r="AI655" s="3466"/>
    </row>
    <row r="656" ht="16.5" customHeight="1">
      <c r="A656" s="3457"/>
      <c r="B656" s="2345"/>
      <c r="C656" s="2338"/>
      <c r="D656" s="4950"/>
      <c r="E656" s="4955" t="s">
        <v>193</v>
      </c>
      <c r="F656" s="4956">
        <f t="array" ref="F656">IFERROR(VLOOKUP(E642,Dex!$B$3:$N1022,9,FALSE),"")</f>
        <v>110</v>
      </c>
      <c r="G656" s="4957" t="str">
        <f t="array" ref="G656">IFERROR(VLOOKUP(F656,Dex!$P$22:$Q$276,2,FALSE),"")</f>
        <v/>
      </c>
      <c r="H656" s="4958">
        <v>4.0</v>
      </c>
      <c r="I656" s="4950"/>
      <c r="J656" s="4955" t="s">
        <v>193</v>
      </c>
      <c r="K656" s="4956">
        <f t="array" ref="K656">IFERROR(VLOOKUP(J642,Dex!$B$3:$N1022,9,FALSE),"")</f>
        <v>119</v>
      </c>
      <c r="L656" s="4957" t="str">
        <f t="array" ref="L656">IFERROR(VLOOKUP(K656,Dex!$P$22:$Q$276,2,FALSE),"")</f>
        <v/>
      </c>
      <c r="M656" s="4958">
        <v>252.0</v>
      </c>
      <c r="N656" s="4950"/>
      <c r="O656" s="4955" t="s">
        <v>193</v>
      </c>
      <c r="P656" s="4956">
        <f t="array" ref="P656">IFERROR(VLOOKUP(O642,Dex!$B$3:$N1022,9,FALSE),"")</f>
        <v>150</v>
      </c>
      <c r="Q656" s="4957" t="str">
        <f t="array" ref="Q656">IFERROR(VLOOKUP(P656,Dex!$P$22:$Q$276,2,FALSE),"")</f>
        <v/>
      </c>
      <c r="R656" s="4958">
        <v>252.0</v>
      </c>
      <c r="S656" s="4950"/>
      <c r="T656" s="4955" t="s">
        <v>193</v>
      </c>
      <c r="U656" s="4956">
        <f t="array" ref="U656">IFERROR(VLOOKUP(T642,Dex!$B$3:$N1022,9,FALSE),"")</f>
        <v>120</v>
      </c>
      <c r="V656" s="4957" t="str">
        <f t="array" ref="V656">IFERROR(VLOOKUP(U656,Dex!$P$22:$Q$276,2,FALSE),"")</f>
        <v/>
      </c>
      <c r="W656" s="4958">
        <v>252.0</v>
      </c>
      <c r="X656" s="4949"/>
      <c r="Y656" s="2350"/>
      <c r="Z656" s="2349"/>
      <c r="AA656" s="2349"/>
      <c r="AB656" s="2350"/>
      <c r="AC656" s="2350"/>
      <c r="AD656" s="2350"/>
      <c r="AE656" s="2350"/>
      <c r="AF656" s="2350"/>
      <c r="AG656" s="2350"/>
      <c r="AH656" s="2351"/>
      <c r="AI656" s="3466"/>
    </row>
    <row r="657" ht="16.5" customHeight="1">
      <c r="A657" s="3457"/>
      <c r="B657" s="2345"/>
      <c r="C657" s="2338"/>
      <c r="D657" s="4950"/>
      <c r="E657" s="4955" t="s">
        <v>194</v>
      </c>
      <c r="F657" s="4956">
        <f t="array" ref="F657">IFERROR(VLOOKUP(E642,Dex!$B$3:$N1022,10,FALSE),"")</f>
        <v>90</v>
      </c>
      <c r="G657" s="4957" t="str">
        <f t="array" ref="G657">IFERROR(VLOOKUP(F657,Dex!$P$22:$Q$276,2,FALSE),"")</f>
        <v/>
      </c>
      <c r="H657" s="4958">
        <v>252.0</v>
      </c>
      <c r="I657" s="4950"/>
      <c r="J657" s="4955" t="s">
        <v>194</v>
      </c>
      <c r="K657" s="4956">
        <f t="array" ref="K657">IFERROR(VLOOKUP(J642,Dex!$B$3:$N1022,10,FALSE),"")</f>
        <v>90</v>
      </c>
      <c r="L657" s="4957" t="str">
        <f t="array" ref="L657">IFERROR(VLOOKUP(K657,Dex!$P$22:$Q$276,2,FALSE),"")</f>
        <v/>
      </c>
      <c r="M657" s="4958">
        <v>4.0</v>
      </c>
      <c r="N657" s="4950"/>
      <c r="O657" s="4955" t="s">
        <v>194</v>
      </c>
      <c r="P657" s="4956">
        <f t="array" ref="P657">IFERROR(VLOOKUP(O642,Dex!$B$3:$N1022,10,FALSE),"")</f>
        <v>140</v>
      </c>
      <c r="Q657" s="4957" t="str">
        <f t="array" ref="Q657">IFERROR(VLOOKUP(P657,Dex!$P$22:$Q$276,2,FALSE),"")</f>
        <v/>
      </c>
      <c r="R657" s="4958">
        <v>4.0</v>
      </c>
      <c r="S657" s="4950"/>
      <c r="T657" s="4955" t="s">
        <v>194</v>
      </c>
      <c r="U657" s="4956">
        <f t="array" ref="U657">IFERROR(VLOOKUP(T642,Dex!$B$3:$N1022,10,FALSE),"")</f>
        <v>60</v>
      </c>
      <c r="V657" s="4957" t="str">
        <f t="array" ref="V657">IFERROR(VLOOKUP(U657,Dex!$P$22:$Q$276,2,FALSE),"")</f>
        <v/>
      </c>
      <c r="W657" s="4958">
        <v>4.0</v>
      </c>
      <c r="X657" s="4949"/>
      <c r="Y657" s="2350"/>
      <c r="Z657" s="2349"/>
      <c r="AA657" s="2349"/>
      <c r="AB657" s="2350"/>
      <c r="AC657" s="2350"/>
      <c r="AD657" s="2350"/>
      <c r="AE657" s="2350"/>
      <c r="AF657" s="2350"/>
      <c r="AG657" s="2350"/>
      <c r="AH657" s="2351"/>
      <c r="AI657" s="3466"/>
    </row>
    <row r="658" ht="16.5" customHeight="1">
      <c r="A658" s="3457"/>
      <c r="B658" s="2345"/>
      <c r="C658" s="2338"/>
      <c r="D658" s="4950"/>
      <c r="E658" s="4955" t="s">
        <v>195</v>
      </c>
      <c r="F658" s="4956">
        <f t="array" ref="F658">IFERROR(VLOOKUP(E642,Dex!$B$3:$N1022,11,FALSE),"")</f>
        <v>85</v>
      </c>
      <c r="G658" s="4957" t="str">
        <f t="array" ref="G658">IFERROR(VLOOKUP(F658,Dex!$P$22:$Q$276,2,FALSE),"")</f>
        <v/>
      </c>
      <c r="H658" s="4958"/>
      <c r="I658" s="4950"/>
      <c r="J658" s="4955" t="s">
        <v>195</v>
      </c>
      <c r="K658" s="4956">
        <f t="array" ref="K658">IFERROR(VLOOKUP(J642,Dex!$B$3:$N1022,11,FALSE),"")</f>
        <v>54</v>
      </c>
      <c r="L658" s="4957" t="str">
        <f t="array" ref="L658">IFERROR(VLOOKUP(K658,Dex!$P$22:$Q$276,2,FALSE),"")</f>
        <v/>
      </c>
      <c r="M658" s="4958"/>
      <c r="N658" s="4950"/>
      <c r="O658" s="4955" t="s">
        <v>195</v>
      </c>
      <c r="P658" s="4956">
        <f t="array" ref="P658">IFERROR(VLOOKUP(O642,Dex!$B$3:$N1022,11,FALSE),"")</f>
        <v>65</v>
      </c>
      <c r="Q658" s="4957" t="str">
        <f t="array" ref="Q658">IFERROR(VLOOKUP(P658,Dex!$P$22:$Q$276,2,FALSE),"")</f>
        <v/>
      </c>
      <c r="R658" s="4958"/>
      <c r="S658" s="4950"/>
      <c r="T658" s="4955" t="s">
        <v>195</v>
      </c>
      <c r="U658" s="4956">
        <f t="array" ref="U658">IFERROR(VLOOKUP(T642,Dex!$B$3:$N1022,11,FALSE),"")</f>
        <v>120</v>
      </c>
      <c r="V658" s="4957" t="str">
        <f t="array" ref="V658">IFERROR(VLOOKUP(U658,Dex!$P$22:$Q$276,2,FALSE),"")</f>
        <v/>
      </c>
      <c r="W658" s="4958"/>
      <c r="X658" s="4949"/>
      <c r="Y658" s="2350"/>
      <c r="Z658" s="2349"/>
      <c r="AA658" s="2349"/>
      <c r="AB658" s="2350"/>
      <c r="AC658" s="2350"/>
      <c r="AD658" s="2350"/>
      <c r="AE658" s="2350"/>
      <c r="AF658" s="2350"/>
      <c r="AG658" s="2350"/>
      <c r="AH658" s="2351"/>
      <c r="AI658" s="3466"/>
    </row>
    <row r="659" ht="16.5" customHeight="1">
      <c r="A659" s="3457"/>
      <c r="B659" s="2345"/>
      <c r="C659" s="2338"/>
      <c r="D659" s="4950"/>
      <c r="E659" s="4955" t="s">
        <v>196</v>
      </c>
      <c r="F659" s="4956">
        <f t="array" ref="F659">IFERROR(VLOOKUP(E642,Dex!$B$3:$N1022,12,FALSE),"")</f>
        <v>90</v>
      </c>
      <c r="G659" s="4957" t="str">
        <f t="array" ref="G659">IFERROR(VLOOKUP(F659,Dex!$P$22:$Q$276,2,FALSE),"")</f>
        <v/>
      </c>
      <c r="H659" s="4958"/>
      <c r="I659" s="4950"/>
      <c r="J659" s="4955" t="s">
        <v>196</v>
      </c>
      <c r="K659" s="4956">
        <f t="array" ref="K659">IFERROR(VLOOKUP(J642,Dex!$B$3:$N1022,12,FALSE),"")</f>
        <v>67</v>
      </c>
      <c r="L659" s="4957" t="str">
        <f t="array" ref="L659">IFERROR(VLOOKUP(K659,Dex!$P$22:$Q$276,2,FALSE),"")</f>
        <v/>
      </c>
      <c r="M659" s="4958"/>
      <c r="N659" s="4950"/>
      <c r="O659" s="4955" t="s">
        <v>196</v>
      </c>
      <c r="P659" s="4956">
        <f t="array" ref="P659">IFERROR(VLOOKUP(O642,Dex!$B$3:$N1022,12,FALSE),"")</f>
        <v>100</v>
      </c>
      <c r="Q659" s="4957" t="str">
        <f t="array" ref="Q659">IFERROR(VLOOKUP(P659,Dex!$P$22:$Q$276,2,FALSE),"")</f>
        <v/>
      </c>
      <c r="R659" s="4958"/>
      <c r="S659" s="4950"/>
      <c r="T659" s="4955" t="s">
        <v>196</v>
      </c>
      <c r="U659" s="4956">
        <f t="array" ref="U659">IFERROR(VLOOKUP(T642,Dex!$B$3:$N1022,12,FALSE),"")</f>
        <v>60</v>
      </c>
      <c r="V659" s="4957" t="str">
        <f t="array" ref="V659">IFERROR(VLOOKUP(U659,Dex!$P$22:$Q$276,2,FALSE),"")</f>
        <v/>
      </c>
      <c r="W659" s="4958"/>
      <c r="X659" s="4949"/>
      <c r="Y659" s="2350"/>
      <c r="Z659" s="2349"/>
      <c r="AA659" s="2349"/>
      <c r="AB659" s="2350"/>
      <c r="AC659" s="2350"/>
      <c r="AD659" s="2350"/>
      <c r="AE659" s="2350"/>
      <c r="AF659" s="2350"/>
      <c r="AG659" s="2350"/>
      <c r="AH659" s="2351"/>
      <c r="AI659" s="3466"/>
    </row>
    <row r="660" ht="16.5" customHeight="1">
      <c r="A660" s="3457"/>
      <c r="B660" s="2345"/>
      <c r="C660" s="1204" t="s">
        <v>436</v>
      </c>
      <c r="D660" s="4950"/>
      <c r="E660" s="4959" t="s">
        <v>197</v>
      </c>
      <c r="F660" s="4960">
        <f t="array" ref="F660">IFERROR(VLOOKUP(E642,Dex!$B$3:$N1022,13,FALSE),"")</f>
        <v>60</v>
      </c>
      <c r="G660" s="4961" t="str">
        <f t="array" ref="G660">IFERROR(VLOOKUP(F660,Dex!$P$22:$Q$276,2,FALSE),"")</f>
        <v/>
      </c>
      <c r="H660" s="4962"/>
      <c r="I660" s="4950"/>
      <c r="J660" s="4959" t="s">
        <v>197</v>
      </c>
      <c r="K660" s="4960">
        <f t="array" ref="K660">IFERROR(VLOOKUP(J642,Dex!$B$3:$N1022,13,FALSE),"")</f>
        <v>90</v>
      </c>
      <c r="L660" s="4961" t="str">
        <f t="array" ref="L660">IFERROR(VLOOKUP(K660,Dex!$P$22:$Q$276,2,FALSE),"")</f>
        <v/>
      </c>
      <c r="M660" s="4962">
        <v>252.0</v>
      </c>
      <c r="N660" s="4950"/>
      <c r="O660" s="4959" t="s">
        <v>197</v>
      </c>
      <c r="P660" s="4960">
        <f t="array" ref="P660">IFERROR(VLOOKUP(O642,Dex!$B$3:$N1022,13,FALSE),"")</f>
        <v>75</v>
      </c>
      <c r="Q660" s="4961" t="str">
        <f t="array" ref="Q660">IFERROR(VLOOKUP(P660,Dex!$P$22:$Q$276,2,FALSE),"")</f>
        <v/>
      </c>
      <c r="R660" s="4962"/>
      <c r="S660" s="4950"/>
      <c r="T660" s="4959" t="s">
        <v>197</v>
      </c>
      <c r="U660" s="4960">
        <f t="array" ref="U660">IFERROR(VLOOKUP(T642,Dex!$B$3:$N1022,13,FALSE),"")</f>
        <v>55</v>
      </c>
      <c r="V660" s="4961" t="str">
        <f t="array" ref="V660">IFERROR(VLOOKUP(U660,Dex!$P$22:$Q$276,2,FALSE),"")</f>
        <v/>
      </c>
      <c r="W660" s="4962">
        <v>252.0</v>
      </c>
      <c r="X660" s="4949"/>
      <c r="Y660" s="2350"/>
      <c r="Z660" s="2349"/>
      <c r="AA660" s="2349"/>
      <c r="AB660" s="2350"/>
      <c r="AC660" s="2350"/>
      <c r="AD660" s="2350"/>
      <c r="AE660" s="2350"/>
      <c r="AF660" s="2350"/>
      <c r="AG660" s="2350"/>
      <c r="AH660" s="2351"/>
      <c r="AI660" s="3466"/>
    </row>
    <row r="661" ht="16.5" customHeight="1">
      <c r="A661" s="3457"/>
      <c r="B661" s="2345"/>
      <c r="C661" s="1205" t="s">
        <v>437</v>
      </c>
      <c r="D661" s="4946"/>
      <c r="E661" s="4963" t="s">
        <v>198</v>
      </c>
      <c r="F661" s="405"/>
      <c r="G661" s="406"/>
      <c r="H661" s="4964">
        <v>90.0</v>
      </c>
      <c r="I661" s="4946"/>
      <c r="J661" s="4963" t="s">
        <v>198</v>
      </c>
      <c r="K661" s="405"/>
      <c r="L661" s="406"/>
      <c r="M661" s="4964">
        <v>194.0</v>
      </c>
      <c r="N661" s="4946"/>
      <c r="O661" s="4963" t="s">
        <v>198</v>
      </c>
      <c r="P661" s="405"/>
      <c r="Q661" s="406"/>
      <c r="R661" s="4964">
        <v>119.0</v>
      </c>
      <c r="S661" s="4946"/>
      <c r="T661" s="4965" t="s">
        <v>198</v>
      </c>
      <c r="U661" s="918"/>
      <c r="V661" s="919"/>
      <c r="W661" s="4966">
        <v>146.0</v>
      </c>
      <c r="X661" s="4949"/>
      <c r="Y661" s="2350"/>
      <c r="Z661" s="2349"/>
      <c r="AA661" s="2349"/>
      <c r="AB661" s="2350"/>
      <c r="AC661" s="2350"/>
      <c r="AD661" s="2350"/>
      <c r="AE661" s="2350"/>
      <c r="AF661" s="2350"/>
      <c r="AG661" s="2350"/>
      <c r="AH661" s="2351"/>
      <c r="AI661" s="3466"/>
    </row>
    <row r="662" ht="16.5" customHeight="1">
      <c r="A662" s="3457"/>
      <c r="B662" s="2345"/>
      <c r="C662" s="2338"/>
      <c r="D662" s="4967"/>
      <c r="E662" s="2338"/>
      <c r="F662" s="2338"/>
      <c r="G662" s="2338"/>
      <c r="H662" s="2338"/>
      <c r="I662" s="4967"/>
      <c r="J662" s="2338"/>
      <c r="K662" s="2338"/>
      <c r="L662" s="2338"/>
      <c r="M662" s="2338"/>
      <c r="N662" s="4967"/>
      <c r="O662" s="4970"/>
      <c r="P662" s="4970"/>
      <c r="Q662" s="4970"/>
      <c r="R662" s="2338"/>
      <c r="S662" s="4967"/>
      <c r="T662" s="4968" t="s">
        <v>942</v>
      </c>
      <c r="U662" s="925"/>
      <c r="V662" s="926"/>
      <c r="W662" s="4969">
        <v>292.0</v>
      </c>
      <c r="X662" s="2499"/>
      <c r="Y662" s="2350"/>
      <c r="Z662" s="2349"/>
      <c r="AA662" s="2349"/>
      <c r="AB662" s="2350"/>
      <c r="AC662" s="2350"/>
      <c r="AD662" s="2350"/>
      <c r="AE662" s="2350"/>
      <c r="AF662" s="2350"/>
      <c r="AG662" s="2350"/>
      <c r="AH662" s="2351"/>
      <c r="AI662" s="3466"/>
    </row>
    <row r="663" ht="15.0" customHeight="1">
      <c r="A663" s="3361"/>
      <c r="B663" s="2385"/>
      <c r="C663" s="2386"/>
      <c r="D663" s="4971"/>
      <c r="E663" s="4972"/>
      <c r="F663" s="4972"/>
      <c r="G663" s="4972"/>
      <c r="H663" s="4972"/>
      <c r="I663" s="4971"/>
      <c r="J663" s="4972"/>
      <c r="K663" s="4972"/>
      <c r="L663" s="4972"/>
      <c r="M663" s="4972"/>
      <c r="N663" s="4971"/>
      <c r="O663" s="4972"/>
      <c r="P663" s="4972"/>
      <c r="Q663" s="4972"/>
      <c r="R663" s="4972"/>
      <c r="S663" s="4971"/>
      <c r="T663" s="4972"/>
      <c r="U663" s="4972"/>
      <c r="V663" s="4972"/>
      <c r="W663" s="4972"/>
      <c r="X663" s="2387"/>
      <c r="Y663" s="2387"/>
      <c r="Z663" s="2387"/>
      <c r="AA663" s="2387"/>
      <c r="AB663" s="2387"/>
      <c r="AC663" s="2387"/>
      <c r="AD663" s="2387"/>
      <c r="AE663" s="2387"/>
      <c r="AF663" s="2387"/>
      <c r="AG663" s="2387"/>
      <c r="AH663" s="2389"/>
      <c r="AI663" s="3367"/>
    </row>
    <row r="664" ht="15.0" customHeight="1">
      <c r="A664" s="3361"/>
      <c r="B664" s="4925"/>
      <c r="C664" s="4926"/>
      <c r="D664" s="4926"/>
      <c r="E664" s="4926"/>
      <c r="F664" s="4926"/>
      <c r="G664" s="4926"/>
      <c r="H664" s="4926"/>
      <c r="I664" s="4926"/>
      <c r="J664" s="4926"/>
      <c r="K664" s="4926"/>
      <c r="L664" s="4926"/>
      <c r="M664" s="4926"/>
      <c r="N664" s="4926"/>
      <c r="O664" s="4926"/>
      <c r="P664" s="4926"/>
      <c r="Q664" s="4926"/>
      <c r="R664" s="4926"/>
      <c r="S664" s="4926"/>
      <c r="T664" s="4926"/>
      <c r="U664" s="4926"/>
      <c r="V664" s="4926"/>
      <c r="W664" s="4926"/>
      <c r="X664" s="4926"/>
      <c r="Y664" s="4926"/>
      <c r="Z664" s="4926"/>
      <c r="AA664" s="4926"/>
      <c r="AB664" s="4926"/>
      <c r="AC664" s="4926"/>
      <c r="AD664" s="4926"/>
      <c r="AE664" s="4926"/>
      <c r="AF664" s="4926"/>
      <c r="AG664" s="4926"/>
      <c r="AH664" s="4927"/>
      <c r="AI664" s="3367"/>
    </row>
    <row r="665">
      <c r="A665" s="3361"/>
      <c r="B665" s="2268"/>
      <c r="C665" s="4928"/>
      <c r="D665" s="2287"/>
      <c r="E665" s="4929" t="s">
        <v>1201</v>
      </c>
      <c r="F665" s="2324"/>
      <c r="G665" s="2324"/>
      <c r="H665" s="2324"/>
      <c r="I665" s="2324"/>
      <c r="J665" s="2324"/>
      <c r="K665" s="2324"/>
      <c r="L665" s="2324"/>
      <c r="M665" s="2324"/>
      <c r="N665" s="2324"/>
      <c r="O665" s="2324"/>
      <c r="P665" s="2324"/>
      <c r="Q665" s="2324"/>
      <c r="R665" s="2324"/>
      <c r="S665" s="2324"/>
      <c r="T665" s="2324"/>
      <c r="U665" s="2324"/>
      <c r="V665" s="2324"/>
      <c r="W665" s="2324"/>
      <c r="X665" s="2324"/>
      <c r="Y665" s="2324"/>
      <c r="Z665" s="2324"/>
      <c r="AA665" s="2324"/>
      <c r="AB665" s="2324"/>
      <c r="AC665" s="2324"/>
      <c r="AD665" s="2324"/>
      <c r="AE665" s="2324"/>
      <c r="AF665" s="2324"/>
      <c r="AG665" s="4930"/>
      <c r="AH665" s="4931"/>
      <c r="AI665" s="3367"/>
    </row>
    <row r="666" ht="96.75" customHeight="1">
      <c r="A666" s="3361"/>
      <c r="B666" s="2300"/>
      <c r="C666" s="4932" t="str">
        <f>IMAGE("https://i.ibb.co/qsQbp4Z/Biker.png")</f>
        <v/>
      </c>
      <c r="D666" s="2492"/>
      <c r="E666" s="4933" t="str">
        <f t="array" ref="E666">IFERROR(VLOOKUP(E667,Dex!$B$3:$G1022,3,FALSE),"")</f>
        <v/>
      </c>
      <c r="F666" s="1830"/>
      <c r="G666" s="1830"/>
      <c r="H666" s="1831"/>
      <c r="I666" s="2492"/>
      <c r="J666" s="4933" t="str">
        <f t="array" ref="J666">IFERROR(VLOOKUP(J667,Dex!$B$3:$G1022,3,FALSE),"")</f>
        <v/>
      </c>
      <c r="K666" s="1830"/>
      <c r="L666" s="1830"/>
      <c r="M666" s="1831"/>
      <c r="N666" s="2492"/>
      <c r="O666" s="4933" t="str">
        <f t="array" ref="O666">IFERROR(VLOOKUP(O667,Dex!$B$3:$G1022,3,FALSE),"")</f>
        <v/>
      </c>
      <c r="P666" s="1830"/>
      <c r="Q666" s="1830"/>
      <c r="R666" s="1831"/>
      <c r="S666" s="2492"/>
      <c r="T666" s="4933" t="str">
        <f t="array" ref="T666">IFERROR(VLOOKUP(T667,Dex!$B$3:$G1022,3,FALSE),"")</f>
        <v/>
      </c>
      <c r="U666" s="1830"/>
      <c r="V666" s="1830"/>
      <c r="W666" s="1831"/>
      <c r="X666" s="5007"/>
      <c r="Y666" s="4933" t="str">
        <f t="array" ref="Y666">IFERROR(VLOOKUP(Y667,Dex!$B$3:$G1022,3,FALSE),"")</f>
        <v/>
      </c>
      <c r="Z666" s="1830"/>
      <c r="AA666" s="1830"/>
      <c r="AB666" s="1831"/>
      <c r="AC666" s="2493"/>
      <c r="AD666" s="2270"/>
      <c r="AE666" s="2273"/>
      <c r="AF666" s="2273"/>
      <c r="AG666" s="2274"/>
      <c r="AH666" s="2276"/>
      <c r="AI666" s="3367"/>
    </row>
    <row r="667" ht="18.75" customHeight="1">
      <c r="A667" s="3621"/>
      <c r="B667" s="2358"/>
      <c r="C667" s="4934" t="s">
        <v>1202</v>
      </c>
      <c r="E667" s="2292" t="s">
        <v>1203</v>
      </c>
      <c r="F667" s="2293"/>
      <c r="G667" s="2293"/>
      <c r="H667" s="2294"/>
      <c r="J667" s="2292" t="s">
        <v>1204</v>
      </c>
      <c r="K667" s="2293"/>
      <c r="L667" s="2293"/>
      <c r="M667" s="2294"/>
      <c r="O667" s="2292" t="s">
        <v>1205</v>
      </c>
      <c r="P667" s="2293"/>
      <c r="Q667" s="2293"/>
      <c r="R667" s="2294"/>
      <c r="T667" s="2292" t="s">
        <v>324</v>
      </c>
      <c r="U667" s="2293"/>
      <c r="V667" s="2293"/>
      <c r="W667" s="2294"/>
      <c r="Y667" s="2292" t="s">
        <v>1206</v>
      </c>
      <c r="Z667" s="2293"/>
      <c r="AA667" s="2293"/>
      <c r="AB667" s="2294"/>
      <c r="AC667" s="2495"/>
      <c r="AD667" s="2297"/>
      <c r="AE667" s="2273"/>
      <c r="AF667" s="2273"/>
      <c r="AG667" s="2274"/>
      <c r="AH667" s="2298"/>
      <c r="AI667" s="3631"/>
    </row>
    <row r="668">
      <c r="A668" s="3632"/>
      <c r="B668" s="4935"/>
      <c r="C668" s="1481"/>
      <c r="E668" s="2496" t="s">
        <v>715</v>
      </c>
      <c r="F668" s="2303"/>
      <c r="G668" s="2303"/>
      <c r="H668" s="2304"/>
      <c r="J668" s="2496" t="s">
        <v>843</v>
      </c>
      <c r="K668" s="2303"/>
      <c r="L668" s="2303"/>
      <c r="M668" s="2304"/>
      <c r="O668" s="2496" t="s">
        <v>843</v>
      </c>
      <c r="P668" s="2303"/>
      <c r="Q668" s="2303"/>
      <c r="R668" s="2304"/>
      <c r="T668" s="2496" t="s">
        <v>843</v>
      </c>
      <c r="U668" s="2303"/>
      <c r="V668" s="2303"/>
      <c r="W668" s="2304"/>
      <c r="Y668" s="2302">
        <v>1.0</v>
      </c>
      <c r="Z668" s="2303"/>
      <c r="AA668" s="2303"/>
      <c r="AB668" s="2304"/>
      <c r="AC668" s="2495"/>
      <c r="AD668" s="2704"/>
      <c r="AE668" s="2273"/>
      <c r="AF668" s="2273"/>
      <c r="AG668" s="2274"/>
      <c r="AH668" s="4936"/>
      <c r="AI668" s="3640"/>
    </row>
    <row r="669" ht="25.5" customHeight="1">
      <c r="A669" s="3361"/>
      <c r="B669" s="2300"/>
      <c r="C669" s="1489"/>
      <c r="E669" s="2307"/>
      <c r="F669" s="2308" t="str">
        <f t="array" ref="F669">IFERROR(VLOOKUP(E667,Dex!$B$3:$H1022,5,FALSE),"")</f>
        <v/>
      </c>
      <c r="G669" s="2309" t="str">
        <f t="array" ref="G669">IFERROR(VLOOKUP(E667,Dex!$B$3:$H1022,7,FALSE),"")</f>
        <v/>
      </c>
      <c r="H669" s="2310"/>
      <c r="J669" s="2307"/>
      <c r="K669" s="2308" t="str">
        <f t="array" ref="K669">IFERROR(VLOOKUP(J667,Dex!$B$3:$H1022,5,FALSE),"")</f>
        <v/>
      </c>
      <c r="L669" s="2309" t="str">
        <f t="array" ref="L669">IFERROR(VLOOKUP(J667,Dex!$B$3:$H1022,7,FALSE),"")</f>
        <v/>
      </c>
      <c r="M669" s="2310"/>
      <c r="O669" s="2307"/>
      <c r="P669" s="2308" t="str">
        <f t="array" ref="P669">IFERROR(VLOOKUP(O667,Dex!$B$3:$H1022,5,FALSE),"")</f>
        <v/>
      </c>
      <c r="Q669" s="2309" t="str">
        <f t="array" ref="Q669">IFERROR(VLOOKUP(O667,Dex!$B$3:$H1022,7,FALSE),"")</f>
        <v/>
      </c>
      <c r="R669" s="2310"/>
      <c r="T669" s="2307"/>
      <c r="U669" s="2308" t="str">
        <f t="array" ref="U669">IFERROR(VLOOKUP(T667,Dex!$B$3:$H1022,5,FALSE),"")</f>
        <v/>
      </c>
      <c r="V669" s="2309" t="str">
        <f t="array" ref="V669">IFERROR(VLOOKUP(T667,Dex!$B$3:$H1022,7,FALSE),"")</f>
        <v/>
      </c>
      <c r="W669" s="2310"/>
      <c r="Y669" s="2307"/>
      <c r="Z669" s="2308" t="str">
        <f t="array" ref="Z669">IFERROR(VLOOKUP(Y667,Dex!$B$3:$H1022,5,FALSE),"")</f>
        <v/>
      </c>
      <c r="AA669" s="2309" t="str">
        <f t="array" ref="AA669">IFERROR(VLOOKUP(Y667,Dex!$B$3:$H1022,7,FALSE),"")</f>
        <v/>
      </c>
      <c r="AB669" s="2310"/>
      <c r="AC669" s="2495"/>
      <c r="AD669" s="2270"/>
      <c r="AE669" s="2273"/>
      <c r="AF669" s="2273"/>
      <c r="AG669" s="2274"/>
      <c r="AH669" s="2276"/>
      <c r="AI669" s="3367"/>
    </row>
    <row r="670" ht="2.25" customHeight="1">
      <c r="A670" s="3361"/>
      <c r="B670" s="2300"/>
      <c r="C670" s="4666"/>
      <c r="E670" s="2313"/>
      <c r="F670" s="2314"/>
      <c r="G670" s="2314"/>
      <c r="H670" s="2315"/>
      <c r="J670" s="2313"/>
      <c r="K670" s="2314"/>
      <c r="L670" s="2314"/>
      <c r="M670" s="2315"/>
      <c r="O670" s="2313"/>
      <c r="P670" s="2314"/>
      <c r="Q670" s="2314"/>
      <c r="R670" s="2315"/>
      <c r="T670" s="2313"/>
      <c r="U670" s="2314"/>
      <c r="V670" s="2314"/>
      <c r="W670" s="2315"/>
      <c r="Y670" s="2313"/>
      <c r="Z670" s="2314"/>
      <c r="AA670" s="2314"/>
      <c r="AB670" s="2315"/>
      <c r="AC670" s="2495"/>
      <c r="AD670" s="2316"/>
      <c r="AE670" s="2316"/>
      <c r="AF670" s="2316"/>
      <c r="AG670" s="2316"/>
      <c r="AH670" s="2276"/>
      <c r="AI670" s="3367"/>
    </row>
    <row r="671" ht="20.25" customHeight="1">
      <c r="A671" s="3361"/>
      <c r="B671" s="2268"/>
      <c r="C671" s="4937"/>
      <c r="E671" s="2317" t="s">
        <v>231</v>
      </c>
      <c r="F671" s="2318"/>
      <c r="G671" s="2318"/>
      <c r="H671" s="2319"/>
      <c r="J671" s="2317" t="s">
        <v>172</v>
      </c>
      <c r="K671" s="2318"/>
      <c r="L671" s="2318"/>
      <c r="M671" s="2319"/>
      <c r="O671" s="2317" t="s">
        <v>172</v>
      </c>
      <c r="P671" s="2318"/>
      <c r="Q671" s="2318"/>
      <c r="R671" s="2319"/>
      <c r="T671" s="2317" t="s">
        <v>264</v>
      </c>
      <c r="U671" s="2318"/>
      <c r="V671" s="2318"/>
      <c r="W671" s="2319"/>
      <c r="Y671" s="2317" t="s">
        <v>171</v>
      </c>
      <c r="Z671" s="2318"/>
      <c r="AA671" s="2318"/>
      <c r="AB671" s="2319"/>
      <c r="AC671" s="2495"/>
      <c r="AD671" s="2270"/>
      <c r="AE671" s="2273"/>
      <c r="AF671" s="2273"/>
      <c r="AG671" s="2274"/>
      <c r="AH671" s="2276"/>
      <c r="AI671" s="3367"/>
    </row>
    <row r="672">
      <c r="A672" s="3361"/>
      <c r="B672" s="2268"/>
      <c r="C672" s="2269"/>
      <c r="E672" s="2321" t="s">
        <v>937</v>
      </c>
      <c r="F672" s="2273"/>
      <c r="G672" s="2273"/>
      <c r="H672" s="2322"/>
      <c r="J672" s="2321" t="s">
        <v>934</v>
      </c>
      <c r="K672" s="2273"/>
      <c r="L672" s="2273"/>
      <c r="M672" s="2322"/>
      <c r="O672" s="2321" t="s">
        <v>1207</v>
      </c>
      <c r="P672" s="2273"/>
      <c r="Q672" s="2273"/>
      <c r="R672" s="2322"/>
      <c r="T672" s="2321" t="s">
        <v>207</v>
      </c>
      <c r="U672" s="2273"/>
      <c r="V672" s="2273"/>
      <c r="W672" s="2322"/>
      <c r="Y672" s="2321" t="s">
        <v>173</v>
      </c>
      <c r="Z672" s="2273"/>
      <c r="AA672" s="2273"/>
      <c r="AB672" s="2322"/>
      <c r="AC672" s="2495"/>
      <c r="AD672" s="2270"/>
      <c r="AE672" s="2273"/>
      <c r="AF672" s="2273"/>
      <c r="AG672" s="2274"/>
      <c r="AH672" s="2276"/>
      <c r="AI672" s="3367"/>
    </row>
    <row r="673" ht="20.25" customHeight="1">
      <c r="A673" s="3361"/>
      <c r="B673" s="2268"/>
      <c r="C673" s="2269"/>
      <c r="E673" s="2323" t="s">
        <v>240</v>
      </c>
      <c r="F673" s="2324"/>
      <c r="G673" s="4930"/>
      <c r="H673" s="4938" t="str">
        <f>IMAGE("https://raw.githubusercontent.com/msikma/pokesprite/master/items/hold-item/focus-sash.png",3)</f>
        <v/>
      </c>
      <c r="J673" s="2323" t="s">
        <v>212</v>
      </c>
      <c r="K673" s="2324"/>
      <c r="L673" s="4930"/>
      <c r="M673" s="4938" t="str">
        <f>IMAGE("https://raw.githubusercontent.com/msikma/pokesprite/master/items/hold-item/mystic-water.png",3)</f>
        <v/>
      </c>
      <c r="O673" s="2323" t="s">
        <v>1208</v>
      </c>
      <c r="P673" s="2324"/>
      <c r="Q673" s="4930"/>
      <c r="R673" s="4938" t="str">
        <f>IMAGE("https://raw.githubusercontent.com/msikma/pokesprite/master/items/mega-stone/beedrillite.png",3)</f>
        <v/>
      </c>
      <c r="T673" s="2323" t="s">
        <v>272</v>
      </c>
      <c r="U673" s="2324"/>
      <c r="V673" s="4930"/>
      <c r="W673" s="4938" t="str">
        <f>IMAGE("https://raw.githubusercontent.com/msikma/pokesprite/master/items/hold-item/life-orb.png",3)</f>
        <v/>
      </c>
      <c r="Y673" s="2323" t="s">
        <v>1209</v>
      </c>
      <c r="Z673" s="2324"/>
      <c r="AA673" s="4930"/>
      <c r="AB673" s="4938" t="str">
        <f>IMAGE("https://raw.githubusercontent.com/msikma/pokesprite/master/items/hold-item/shell-bell.png",3)</f>
        <v/>
      </c>
      <c r="AC673" s="2495"/>
      <c r="AD673" s="2270"/>
      <c r="AE673" s="2273"/>
      <c r="AF673" s="2273"/>
      <c r="AG673" s="2274"/>
      <c r="AH673" s="2276"/>
      <c r="AI673" s="3367"/>
    </row>
    <row r="674" ht="20.25" customHeight="1">
      <c r="A674" s="3361"/>
      <c r="B674" s="2268"/>
      <c r="C674" s="2338"/>
      <c r="E674" s="2317" t="s">
        <v>395</v>
      </c>
      <c r="F674" s="2318"/>
      <c r="G674" s="2327"/>
      <c r="H674" s="4939" t="str">
        <f>IMAGE("https://raw.githubusercontent.com/msikma/pokesprite/master/misc/types/gen8/rock.png",4,20,20)</f>
        <v/>
      </c>
      <c r="J674" s="2317" t="s">
        <v>1210</v>
      </c>
      <c r="K674" s="2318"/>
      <c r="L674" s="2327"/>
      <c r="M674" s="4939" t="str">
        <f>IMAGE("https://raw.githubusercontent.com/msikma/pokesprite/master/misc/types/gen8/water.png",4,20,20)</f>
        <v/>
      </c>
      <c r="O674" s="2317" t="s">
        <v>278</v>
      </c>
      <c r="P674" s="2318"/>
      <c r="Q674" s="2327"/>
      <c r="R674" s="4939" t="str">
        <f>IMAGE("https://raw.githubusercontent.com/msikma/pokesprite/master/misc/types/gen8/bug.png",4,20,20)</f>
        <v/>
      </c>
      <c r="T674" s="2317" t="s">
        <v>278</v>
      </c>
      <c r="U674" s="2318"/>
      <c r="V674" s="2327"/>
      <c r="W674" s="4939" t="str">
        <f>IMAGE("https://raw.githubusercontent.com/msikma/pokesprite/master/misc/types/gen8/bug.png",4,20,20)</f>
        <v/>
      </c>
      <c r="Y674" s="2317" t="s">
        <v>948</v>
      </c>
      <c r="Z674" s="2318"/>
      <c r="AA674" s="2327"/>
      <c r="AB674" s="4939" t="str">
        <f>IMAGE("https://raw.githubusercontent.com/msikma/pokesprite/master/misc/types/gen8/normal.png",4,20,20)</f>
        <v/>
      </c>
      <c r="AC674" s="2495"/>
      <c r="AD674" s="2270"/>
      <c r="AE674" s="2273"/>
      <c r="AF674" s="2273"/>
      <c r="AG674" s="2274"/>
      <c r="AH674" s="2276"/>
      <c r="AI674" s="3367"/>
    </row>
    <row r="675" ht="20.25" customHeight="1">
      <c r="A675" s="3361"/>
      <c r="B675" s="2268"/>
      <c r="C675" s="2338"/>
      <c r="E675" s="2321" t="s">
        <v>252</v>
      </c>
      <c r="F675" s="2273"/>
      <c r="G675" s="2274"/>
      <c r="H675" s="4940" t="str">
        <f>IMAGE("https://raw.githubusercontent.com/msikma/pokesprite/master/misc/types/gen8/electric.png",4,20,20)</f>
        <v/>
      </c>
      <c r="J675" s="2321" t="s">
        <v>409</v>
      </c>
      <c r="K675" s="2273"/>
      <c r="L675" s="2274"/>
      <c r="M675" s="4940" t="str">
        <f>IMAGE("https://raw.githubusercontent.com/msikma/pokesprite/master/misc/types/gen8/dragon.png",4,20,20)</f>
        <v/>
      </c>
      <c r="O675" s="2321" t="s">
        <v>1211</v>
      </c>
      <c r="P675" s="2273"/>
      <c r="Q675" s="2274"/>
      <c r="R675" s="4940" t="str">
        <f>IMAGE("https://raw.githubusercontent.com/msikma/pokesprite/master/misc/types/gen8/ground.png",4,20,20)</f>
        <v/>
      </c>
      <c r="T675" s="2321" t="s">
        <v>338</v>
      </c>
      <c r="U675" s="2273"/>
      <c r="V675" s="2274"/>
      <c r="W675" s="4940" t="str">
        <f>IMAGE("https://raw.githubusercontent.com/msikma/pokesprite/master/misc/types/gen8/water.png",4,20,20)</f>
        <v/>
      </c>
      <c r="Y675" s="2321" t="s">
        <v>188</v>
      </c>
      <c r="Z675" s="2273"/>
      <c r="AA675" s="2273"/>
      <c r="AB675" s="2322"/>
      <c r="AC675" s="2495"/>
      <c r="AD675" s="2270"/>
      <c r="AE675" s="2273"/>
      <c r="AF675" s="2273"/>
      <c r="AG675" s="2274"/>
      <c r="AH675" s="2276"/>
      <c r="AI675" s="3367"/>
    </row>
    <row r="676" ht="20.25" customHeight="1">
      <c r="A676" s="3361"/>
      <c r="B676" s="2268"/>
      <c r="C676" s="2338"/>
      <c r="E676" s="2321" t="s">
        <v>286</v>
      </c>
      <c r="F676" s="2273"/>
      <c r="G676" s="2274"/>
      <c r="H676" s="4940" t="str">
        <f>IMAGE("https://raw.githubusercontent.com/msikma/pokesprite/master/misc/types/gen8/ground.png",4,20,20)</f>
        <v/>
      </c>
      <c r="J676" s="2321" t="s">
        <v>863</v>
      </c>
      <c r="K676" s="2273"/>
      <c r="L676" s="2274"/>
      <c r="M676" s="4940" t="str">
        <f>IMAGE("https://raw.githubusercontent.com/msikma/pokesprite/master/misc/types/gen8/psychic.png",4,20,20)</f>
        <v/>
      </c>
      <c r="O676" s="2321" t="s">
        <v>218</v>
      </c>
      <c r="P676" s="2273"/>
      <c r="Q676" s="2274"/>
      <c r="R676" s="4940" t="str">
        <f>IMAGE("https://raw.githubusercontent.com/msikma/pokesprite/master/misc/types/gen8/poison.png",4,20,20)</f>
        <v/>
      </c>
      <c r="T676" s="2321" t="s">
        <v>1200</v>
      </c>
      <c r="U676" s="2273"/>
      <c r="V676" s="2274"/>
      <c r="W676" s="4940" t="str">
        <f>IMAGE("https://raw.githubusercontent.com/msikma/pokesprite/master/misc/types/gen8/poison.png",4,20,20)</f>
        <v/>
      </c>
      <c r="Y676" s="2321" t="s">
        <v>188</v>
      </c>
      <c r="Z676" s="2273"/>
      <c r="AA676" s="2273"/>
      <c r="AB676" s="2322"/>
      <c r="AC676" s="2495"/>
      <c r="AD676" s="2270"/>
      <c r="AE676" s="2273"/>
      <c r="AF676" s="2273"/>
      <c r="AG676" s="2274"/>
      <c r="AH676" s="2276"/>
      <c r="AI676" s="3367"/>
    </row>
    <row r="677" ht="21.0" customHeight="1">
      <c r="A677" s="3361"/>
      <c r="B677" s="2268"/>
      <c r="C677" s="2338"/>
      <c r="D677" s="2497"/>
      <c r="E677" s="2330" t="s">
        <v>242</v>
      </c>
      <c r="F677" s="2331"/>
      <c r="G677" s="2332"/>
      <c r="H677" s="4941" t="str">
        <f>IMAGE("https://raw.githubusercontent.com/msikma/pokesprite/master/misc/types/gen8/electric.png",4,20,20)</f>
        <v/>
      </c>
      <c r="I677" s="2497"/>
      <c r="J677" s="2330" t="s">
        <v>320</v>
      </c>
      <c r="K677" s="2331"/>
      <c r="L677" s="2332"/>
      <c r="M677" s="4941" t="str">
        <f>IMAGE("https://raw.githubusercontent.com/msikma/pokesprite/master/misc/types/gen8/dark.png",4,20,20)</f>
        <v/>
      </c>
      <c r="N677" s="2497"/>
      <c r="O677" s="2330" t="s">
        <v>1212</v>
      </c>
      <c r="P677" s="2331"/>
      <c r="Q677" s="2332"/>
      <c r="R677" s="4941" t="str">
        <f>IMAGE("https://raw.githubusercontent.com/msikma/pokesprite/master/misc/types/gen8/dark.png",4,20,20)</f>
        <v/>
      </c>
      <c r="S677" s="2497"/>
      <c r="T677" s="2330" t="s">
        <v>317</v>
      </c>
      <c r="U677" s="2331"/>
      <c r="V677" s="2332"/>
      <c r="W677" s="4941" t="str">
        <f>IMAGE("https://raw.githubusercontent.com/msikma/pokesprite/master/misc/types/gen8/ice.png",4,20,20)</f>
        <v/>
      </c>
      <c r="X677" s="2497"/>
      <c r="Y677" s="2330" t="s">
        <v>188</v>
      </c>
      <c r="Z677" s="2331"/>
      <c r="AA677" s="2331"/>
      <c r="AB677" s="5008"/>
      <c r="AC677" s="2498"/>
      <c r="AD677" s="2270"/>
      <c r="AE677" s="2273"/>
      <c r="AF677" s="2273"/>
      <c r="AG677" s="2274"/>
      <c r="AH677" s="2276"/>
      <c r="AI677" s="3367"/>
    </row>
    <row r="678" ht="3.0" customHeight="1">
      <c r="A678" s="3445"/>
      <c r="B678" s="2337"/>
      <c r="C678" s="2338"/>
      <c r="D678" s="2339"/>
      <c r="E678" s="4942"/>
      <c r="F678" s="4942"/>
      <c r="G678" s="4942"/>
      <c r="H678" s="4943"/>
      <c r="I678" s="2339"/>
      <c r="J678" s="4944"/>
      <c r="K678" s="4944"/>
      <c r="L678" s="4944"/>
      <c r="M678" s="4943"/>
      <c r="N678" s="2339"/>
      <c r="O678" s="4944"/>
      <c r="P678" s="4944"/>
      <c r="Q678" s="4944"/>
      <c r="R678" s="4945"/>
      <c r="S678" s="2339"/>
      <c r="T678" s="4944"/>
      <c r="U678" s="4944"/>
      <c r="V678" s="4944"/>
      <c r="W678" s="4945"/>
      <c r="X678" s="2339"/>
      <c r="Y678" s="4944"/>
      <c r="Z678" s="4944"/>
      <c r="AA678" s="4944"/>
      <c r="AB678" s="4945"/>
      <c r="AC678" s="2342"/>
      <c r="AD678" s="2342"/>
      <c r="AE678" s="2342"/>
      <c r="AF678" s="2342"/>
      <c r="AG678" s="2342"/>
      <c r="AH678" s="2343"/>
      <c r="AI678" s="3456"/>
    </row>
    <row r="679" ht="16.5" customHeight="1">
      <c r="A679" s="3457"/>
      <c r="B679" s="2345"/>
      <c r="C679" s="2338"/>
      <c r="D679" s="4946"/>
      <c r="E679" s="4947" t="s">
        <v>190</v>
      </c>
      <c r="F679" s="381"/>
      <c r="G679" s="382"/>
      <c r="H679" s="4948" t="s">
        <v>191</v>
      </c>
      <c r="I679" s="4946"/>
      <c r="J679" s="4947" t="s">
        <v>190</v>
      </c>
      <c r="K679" s="381"/>
      <c r="L679" s="382"/>
      <c r="M679" s="4948" t="s">
        <v>191</v>
      </c>
      <c r="N679" s="4946"/>
      <c r="O679" s="4947" t="s">
        <v>190</v>
      </c>
      <c r="P679" s="381"/>
      <c r="Q679" s="382"/>
      <c r="R679" s="4948" t="s">
        <v>191</v>
      </c>
      <c r="S679" s="4946"/>
      <c r="T679" s="4947" t="s">
        <v>190</v>
      </c>
      <c r="U679" s="381"/>
      <c r="V679" s="382"/>
      <c r="W679" s="4948" t="s">
        <v>191</v>
      </c>
      <c r="X679" s="4949"/>
      <c r="Y679" s="4947" t="s">
        <v>190</v>
      </c>
      <c r="Z679" s="381"/>
      <c r="AA679" s="382"/>
      <c r="AB679" s="4948" t="s">
        <v>191</v>
      </c>
      <c r="AC679" s="2350"/>
      <c r="AD679" s="2350"/>
      <c r="AE679" s="2350"/>
      <c r="AF679" s="2350"/>
      <c r="AG679" s="2350"/>
      <c r="AH679" s="2351"/>
      <c r="AI679" s="3466"/>
    </row>
    <row r="680" ht="16.5" customHeight="1">
      <c r="A680" s="3457"/>
      <c r="B680" s="2345"/>
      <c r="C680" s="2338"/>
      <c r="D680" s="4950"/>
      <c r="E680" s="4951" t="s">
        <v>192</v>
      </c>
      <c r="F680" s="4952">
        <f t="array" ref="F680">IFERROR(VLOOKUP(E667,Dex!$B$3:$N1022,8,FALSE),"")</f>
        <v>109</v>
      </c>
      <c r="G680" s="4953" t="str">
        <f t="array" ref="G680">IFERROR(VLOOKUP(F680,Dex!$P$22:$Q$276,2,FALSE),"")</f>
        <v/>
      </c>
      <c r="H680" s="4954">
        <v>252.0</v>
      </c>
      <c r="I680" s="4950"/>
      <c r="J680" s="4951" t="s">
        <v>192</v>
      </c>
      <c r="K680" s="4952">
        <f t="array" ref="K680">IFERROR(VLOOKUP(J667,Dex!$B$3:$N1022,8,FALSE),"")</f>
        <v>90</v>
      </c>
      <c r="L680" s="4953" t="str">
        <f t="array" ref="L680">IFERROR(VLOOKUP(K680,Dex!$P$22:$Q$276,2,FALSE),"")</f>
        <v/>
      </c>
      <c r="M680" s="4954"/>
      <c r="N680" s="4950"/>
      <c r="O680" s="4951" t="s">
        <v>192</v>
      </c>
      <c r="P680" s="4952">
        <f t="array" ref="P680">IFERROR(VLOOKUP(O667,Dex!$B$3:$N1022,8,FALSE),"")</f>
        <v>65</v>
      </c>
      <c r="Q680" s="4953" t="str">
        <f t="array" ref="Q680">IFERROR(VLOOKUP(P680,Dex!$P$22:$Q$276,2,FALSE),"")</f>
        <v/>
      </c>
      <c r="R680" s="4954"/>
      <c r="S680" s="4950"/>
      <c r="T680" s="4951" t="s">
        <v>192</v>
      </c>
      <c r="U680" s="4952">
        <f t="array" ref="U680">IFERROR(VLOOKUP(T667,Dex!$B$3:$N1022,8,FALSE),"")</f>
        <v>72</v>
      </c>
      <c r="V680" s="4953" t="str">
        <f t="array" ref="V680">IFERROR(VLOOKUP(U680,Dex!$P$22:$Q$276,2,FALSE),"")</f>
        <v/>
      </c>
      <c r="W680" s="4954"/>
      <c r="X680" s="4949"/>
      <c r="Y680" s="4951" t="s">
        <v>192</v>
      </c>
      <c r="Z680" s="4952">
        <f t="array" ref="Z680">IFERROR(VLOOKUP(Y667,Dex!$B$3:$N1022,8,FALSE),"")</f>
        <v>50</v>
      </c>
      <c r="AA680" s="4953" t="str">
        <f t="array" ref="AA680">IFERROR(VLOOKUP(Z680,Dex!$P$22:$Q$276,2,FALSE),"")</f>
        <v/>
      </c>
      <c r="AB680" s="4954"/>
      <c r="AC680" s="2350"/>
      <c r="AD680" s="2350"/>
      <c r="AE680" s="2350"/>
      <c r="AF680" s="2350"/>
      <c r="AG680" s="2350"/>
      <c r="AH680" s="2351"/>
      <c r="AI680" s="3466"/>
    </row>
    <row r="681" ht="16.5" customHeight="1">
      <c r="A681" s="3457"/>
      <c r="B681" s="2345"/>
      <c r="C681" s="2338"/>
      <c r="D681" s="4950"/>
      <c r="E681" s="4955" t="s">
        <v>193</v>
      </c>
      <c r="F681" s="4956">
        <f t="array" ref="F681">IFERROR(VLOOKUP(E667,Dex!$B$3:$N1022,9,FALSE),"")</f>
        <v>66</v>
      </c>
      <c r="G681" s="4957" t="str">
        <f t="array" ref="G681">IFERROR(VLOOKUP(F681,Dex!$P$22:$Q$276,2,FALSE),"")</f>
        <v/>
      </c>
      <c r="H681" s="4958"/>
      <c r="I681" s="4950"/>
      <c r="J681" s="4955" t="s">
        <v>193</v>
      </c>
      <c r="K681" s="4956">
        <f t="array" ref="K681">IFERROR(VLOOKUP(J667,Dex!$B$3:$N1022,9,FALSE),"")</f>
        <v>90</v>
      </c>
      <c r="L681" s="4957" t="str">
        <f t="array" ref="L681">IFERROR(VLOOKUP(K681,Dex!$P$22:$Q$276,2,FALSE),"")</f>
        <v/>
      </c>
      <c r="M681" s="4958">
        <v>252.0</v>
      </c>
      <c r="N681" s="4950"/>
      <c r="O681" s="4955" t="s">
        <v>193</v>
      </c>
      <c r="P681" s="4956">
        <f t="array" ref="P681">IFERROR(VLOOKUP(O667,Dex!$B$3:$N1022,9,FALSE),"")</f>
        <v>150</v>
      </c>
      <c r="Q681" s="4957" t="str">
        <f t="array" ref="Q681">IFERROR(VLOOKUP(P681,Dex!$P$22:$Q$276,2,FALSE),"")</f>
        <v/>
      </c>
      <c r="R681" s="4958">
        <v>252.0</v>
      </c>
      <c r="S681" s="4950"/>
      <c r="T681" s="4955" t="s">
        <v>193</v>
      </c>
      <c r="U681" s="4956">
        <f t="array" ref="U681">IFERROR(VLOOKUP(T667,Dex!$B$3:$N1022,9,FALSE),"")</f>
        <v>95</v>
      </c>
      <c r="V681" s="4957" t="str">
        <f t="array" ref="V681">IFERROR(VLOOKUP(U681,Dex!$P$22:$Q$276,2,FALSE),"")</f>
        <v/>
      </c>
      <c r="W681" s="4958"/>
      <c r="X681" s="4949"/>
      <c r="Y681" s="4955" t="s">
        <v>193</v>
      </c>
      <c r="Z681" s="4956">
        <f t="array" ref="Z681">IFERROR(VLOOKUP(Y667,Dex!$B$3:$N1022,9,FALSE),"")</f>
        <v>70</v>
      </c>
      <c r="AA681" s="4957" t="str">
        <f t="array" ref="AA681">IFERROR(VLOOKUP(Z681,Dex!$P$22:$Q$276,2,FALSE),"")</f>
        <v/>
      </c>
      <c r="AB681" s="4958"/>
      <c r="AC681" s="2350"/>
      <c r="AD681" s="2350"/>
      <c r="AE681" s="2350"/>
      <c r="AF681" s="2350"/>
      <c r="AG681" s="2350"/>
      <c r="AH681" s="2351"/>
      <c r="AI681" s="3466"/>
    </row>
    <row r="682" ht="16.5" customHeight="1">
      <c r="A682" s="3457"/>
      <c r="B682" s="2345"/>
      <c r="C682" s="2338"/>
      <c r="D682" s="4950"/>
      <c r="E682" s="4955" t="s">
        <v>194</v>
      </c>
      <c r="F682" s="4956">
        <f t="array" ref="F682">IFERROR(VLOOKUP(E667,Dex!$B$3:$N1022,10,FALSE),"")</f>
        <v>84</v>
      </c>
      <c r="G682" s="4957" t="str">
        <f t="array" ref="G682">IFERROR(VLOOKUP(F682,Dex!$P$22:$Q$276,2,FALSE),"")</f>
        <v/>
      </c>
      <c r="H682" s="4958"/>
      <c r="I682" s="4950"/>
      <c r="J682" s="4955" t="s">
        <v>194</v>
      </c>
      <c r="K682" s="4956">
        <f t="array" ref="K682">IFERROR(VLOOKUP(J667,Dex!$B$3:$N1022,10,FALSE),"")</f>
        <v>100</v>
      </c>
      <c r="L682" s="4957" t="str">
        <f t="array" ref="L682">IFERROR(VLOOKUP(K682,Dex!$P$22:$Q$276,2,FALSE),"")</f>
        <v/>
      </c>
      <c r="M682" s="4958"/>
      <c r="N682" s="4950"/>
      <c r="O682" s="4955" t="s">
        <v>194</v>
      </c>
      <c r="P682" s="4956">
        <f t="array" ref="P682">IFERROR(VLOOKUP(O667,Dex!$B$3:$N1022,10,FALSE),"")</f>
        <v>40</v>
      </c>
      <c r="Q682" s="4957" t="str">
        <f t="array" ref="Q682">IFERROR(VLOOKUP(P682,Dex!$P$22:$Q$276,2,FALSE),"")</f>
        <v/>
      </c>
      <c r="R682" s="4958"/>
      <c r="S682" s="4950"/>
      <c r="T682" s="4955" t="s">
        <v>194</v>
      </c>
      <c r="U682" s="4956">
        <f t="array" ref="U682">IFERROR(VLOOKUP(T667,Dex!$B$3:$N1022,10,FALSE),"")</f>
        <v>67</v>
      </c>
      <c r="V682" s="4957" t="str">
        <f t="array" ref="V682">IFERROR(VLOOKUP(U682,Dex!$P$22:$Q$276,2,FALSE),"")</f>
        <v/>
      </c>
      <c r="W682" s="4958"/>
      <c r="X682" s="4949"/>
      <c r="Y682" s="4955" t="s">
        <v>194</v>
      </c>
      <c r="Z682" s="4956">
        <f t="array" ref="Z682">IFERROR(VLOOKUP(Y667,Dex!$B$3:$N1022,10,FALSE),"")</f>
        <v>100</v>
      </c>
      <c r="AA682" s="4957" t="str">
        <f t="array" ref="AA682">IFERROR(VLOOKUP(Z682,Dex!$P$22:$Q$276,2,FALSE),"")</f>
        <v/>
      </c>
      <c r="AB682" s="4958"/>
      <c r="AC682" s="2350"/>
      <c r="AD682" s="2350"/>
      <c r="AE682" s="2350"/>
      <c r="AF682" s="2350"/>
      <c r="AG682" s="2350"/>
      <c r="AH682" s="2351"/>
      <c r="AI682" s="3466"/>
    </row>
    <row r="683" ht="16.5" customHeight="1">
      <c r="A683" s="3457"/>
      <c r="B683" s="2345"/>
      <c r="C683" s="2338"/>
      <c r="D683" s="4950"/>
      <c r="E683" s="4955" t="s">
        <v>195</v>
      </c>
      <c r="F683" s="4956">
        <f t="array" ref="F683">IFERROR(VLOOKUP(E667,Dex!$B$3:$N1022,11,FALSE),"")</f>
        <v>81</v>
      </c>
      <c r="G683" s="4957" t="str">
        <f t="array" ref="G683">IFERROR(VLOOKUP(F683,Dex!$P$22:$Q$276,2,FALSE),"")</f>
        <v/>
      </c>
      <c r="H683" s="4958">
        <v>252.0</v>
      </c>
      <c r="I683" s="4950"/>
      <c r="J683" s="4955" t="s">
        <v>195</v>
      </c>
      <c r="K683" s="4956">
        <f t="array" ref="K683">IFERROR(VLOOKUP(J667,Dex!$B$3:$N1022,11,FALSE),"")</f>
        <v>70</v>
      </c>
      <c r="L683" s="4957" t="str">
        <f t="array" ref="L683">IFERROR(VLOOKUP(K683,Dex!$P$22:$Q$276,2,FALSE),"")</f>
        <v/>
      </c>
      <c r="M683" s="4958"/>
      <c r="N683" s="4950"/>
      <c r="O683" s="4955" t="s">
        <v>195</v>
      </c>
      <c r="P683" s="4956">
        <f t="array" ref="P683">IFERROR(VLOOKUP(O667,Dex!$B$3:$N1022,11,FALSE),"")</f>
        <v>15</v>
      </c>
      <c r="Q683" s="4957" t="str">
        <f t="array" ref="Q683">IFERROR(VLOOKUP(P683,Dex!$P$22:$Q$276,2,FALSE),"")</f>
        <v/>
      </c>
      <c r="R683" s="4958"/>
      <c r="S683" s="4950"/>
      <c r="T683" s="4955" t="s">
        <v>195</v>
      </c>
      <c r="U683" s="4956">
        <f t="array" ref="U683">IFERROR(VLOOKUP(T667,Dex!$B$3:$N1022,11,FALSE),"")</f>
        <v>103</v>
      </c>
      <c r="V683" s="4957" t="str">
        <f t="array" ref="V683">IFERROR(VLOOKUP(U683,Dex!$P$22:$Q$276,2,FALSE),"")</f>
        <v/>
      </c>
      <c r="W683" s="4958">
        <v>252.0</v>
      </c>
      <c r="X683" s="4949"/>
      <c r="Y683" s="4955" t="s">
        <v>195</v>
      </c>
      <c r="Z683" s="4956">
        <f t="array" ref="Z683">IFERROR(VLOOKUP(Y667,Dex!$B$3:$N1022,11,FALSE),"")</f>
        <v>40</v>
      </c>
      <c r="AA683" s="4957" t="str">
        <f t="array" ref="AA683">IFERROR(VLOOKUP(Z683,Dex!$P$22:$Q$276,2,FALSE),"")</f>
        <v/>
      </c>
      <c r="AB683" s="4958"/>
      <c r="AC683" s="2350"/>
      <c r="AD683" s="2350"/>
      <c r="AE683" s="2350"/>
      <c r="AF683" s="2350"/>
      <c r="AG683" s="2350"/>
      <c r="AH683" s="2351"/>
      <c r="AI683" s="3466"/>
    </row>
    <row r="684" ht="16.5" customHeight="1">
      <c r="A684" s="3457"/>
      <c r="B684" s="2345"/>
      <c r="C684" s="2338"/>
      <c r="D684" s="4950"/>
      <c r="E684" s="4955" t="s">
        <v>196</v>
      </c>
      <c r="F684" s="4956">
        <f t="array" ref="F684">IFERROR(VLOOKUP(E667,Dex!$B$3:$N1022,12,FALSE),"")</f>
        <v>99</v>
      </c>
      <c r="G684" s="4957" t="str">
        <f t="array" ref="G684">IFERROR(VLOOKUP(F684,Dex!$P$22:$Q$276,2,FALSE),"")</f>
        <v/>
      </c>
      <c r="H684" s="4958">
        <v>4.0</v>
      </c>
      <c r="I684" s="4950"/>
      <c r="J684" s="4955" t="s">
        <v>196</v>
      </c>
      <c r="K684" s="4956">
        <f t="array" ref="K684">IFERROR(VLOOKUP(J667,Dex!$B$3:$N1022,12,FALSE),"")</f>
        <v>80</v>
      </c>
      <c r="L684" s="4957" t="str">
        <f t="array" ref="L684">IFERROR(VLOOKUP(K684,Dex!$P$22:$Q$276,2,FALSE),"")</f>
        <v/>
      </c>
      <c r="M684" s="4958">
        <v>4.0</v>
      </c>
      <c r="N684" s="4950"/>
      <c r="O684" s="4955" t="s">
        <v>196</v>
      </c>
      <c r="P684" s="4956">
        <f t="array" ref="P684">IFERROR(VLOOKUP(O667,Dex!$B$3:$N1022,12,FALSE),"")</f>
        <v>80</v>
      </c>
      <c r="Q684" s="4957" t="str">
        <f t="array" ref="Q684">IFERROR(VLOOKUP(P684,Dex!$P$22:$Q$276,2,FALSE),"")</f>
        <v/>
      </c>
      <c r="R684" s="4958">
        <v>4.0</v>
      </c>
      <c r="S684" s="4950"/>
      <c r="T684" s="4955" t="s">
        <v>196</v>
      </c>
      <c r="U684" s="4956">
        <f t="array" ref="U684">IFERROR(VLOOKUP(T667,Dex!$B$3:$N1022,12,FALSE),"")</f>
        <v>71</v>
      </c>
      <c r="V684" s="4957" t="str">
        <f t="array" ref="V684">IFERROR(VLOOKUP(U684,Dex!$P$22:$Q$276,2,FALSE),"")</f>
        <v/>
      </c>
      <c r="W684" s="4958">
        <v>4.0</v>
      </c>
      <c r="X684" s="4949"/>
      <c r="Y684" s="4955" t="s">
        <v>196</v>
      </c>
      <c r="Z684" s="4956">
        <f t="array" ref="Z684">IFERROR(VLOOKUP(Y667,Dex!$B$3:$N1022,12,FALSE),"")</f>
        <v>40</v>
      </c>
      <c r="AA684" s="4957" t="str">
        <f t="array" ref="AA684">IFERROR(VLOOKUP(Z684,Dex!$P$22:$Q$276,2,FALSE),"")</f>
        <v/>
      </c>
      <c r="AB684" s="4958"/>
      <c r="AC684" s="2350"/>
      <c r="AD684" s="2350"/>
      <c r="AE684" s="2350"/>
      <c r="AF684" s="2350"/>
      <c r="AG684" s="2350"/>
      <c r="AH684" s="2351"/>
      <c r="AI684" s="3466"/>
    </row>
    <row r="685" ht="16.5" customHeight="1">
      <c r="A685" s="3457"/>
      <c r="B685" s="2345"/>
      <c r="C685" s="1204" t="s">
        <v>436</v>
      </c>
      <c r="D685" s="4950"/>
      <c r="E685" s="4959" t="s">
        <v>197</v>
      </c>
      <c r="F685" s="4960">
        <f t="array" ref="F685">IFERROR(VLOOKUP(E667,Dex!$B$3:$N1022,13,FALSE),"")</f>
        <v>32</v>
      </c>
      <c r="G685" s="4961" t="str">
        <f t="array" ref="G685">IFERROR(VLOOKUP(F685,Dex!$P$22:$Q$276,2,FALSE),"")</f>
        <v/>
      </c>
      <c r="H685" s="4962"/>
      <c r="I685" s="4950"/>
      <c r="J685" s="4959" t="s">
        <v>197</v>
      </c>
      <c r="K685" s="4960">
        <f t="array" ref="K685">IFERROR(VLOOKUP(J667,Dex!$B$3:$N1022,13,FALSE),"")</f>
        <v>75</v>
      </c>
      <c r="L685" s="4961" t="str">
        <f t="array" ref="L685">IFERROR(VLOOKUP(K685,Dex!$P$22:$Q$276,2,FALSE),"")</f>
        <v/>
      </c>
      <c r="M685" s="4962">
        <v>252.0</v>
      </c>
      <c r="N685" s="4950"/>
      <c r="O685" s="4959" t="s">
        <v>197</v>
      </c>
      <c r="P685" s="4960">
        <f t="array" ref="P685">IFERROR(VLOOKUP(O667,Dex!$B$3:$N1022,13,FALSE),"")</f>
        <v>145</v>
      </c>
      <c r="Q685" s="4961" t="str">
        <f t="array" ref="Q685">IFERROR(VLOOKUP(P685,Dex!$P$22:$Q$276,2,FALSE),"")</f>
        <v/>
      </c>
      <c r="R685" s="4962">
        <v>252.0</v>
      </c>
      <c r="S685" s="4950"/>
      <c r="T685" s="4959" t="s">
        <v>197</v>
      </c>
      <c r="U685" s="4960">
        <f t="array" ref="U685">IFERROR(VLOOKUP(T667,Dex!$B$3:$N1022,13,FALSE),"")</f>
        <v>122</v>
      </c>
      <c r="V685" s="4961" t="str">
        <f t="array" ref="V685">IFERROR(VLOOKUP(U685,Dex!$P$22:$Q$276,2,FALSE),"")</f>
        <v/>
      </c>
      <c r="W685" s="4962">
        <v>252.0</v>
      </c>
      <c r="X685" s="4949"/>
      <c r="Y685" s="4959" t="s">
        <v>197</v>
      </c>
      <c r="Z685" s="4960">
        <f t="array" ref="Z685">IFERROR(VLOOKUP(Y667,Dex!$B$3:$N1022,13,FALSE),"")</f>
        <v>30</v>
      </c>
      <c r="AA685" s="4961" t="str">
        <f t="array" ref="AA685">IFERROR(VLOOKUP(Z685,Dex!$P$22:$Q$276,2,FALSE),"")</f>
        <v/>
      </c>
      <c r="AB685" s="4962"/>
      <c r="AC685" s="2350"/>
      <c r="AD685" s="2350"/>
      <c r="AE685" s="2350"/>
      <c r="AF685" s="2350"/>
      <c r="AG685" s="2350"/>
      <c r="AH685" s="2351"/>
      <c r="AI685" s="3466"/>
    </row>
    <row r="686" ht="16.5" customHeight="1">
      <c r="A686" s="3457"/>
      <c r="B686" s="2345"/>
      <c r="C686" s="1205" t="s">
        <v>437</v>
      </c>
      <c r="D686" s="4946"/>
      <c r="E686" s="4963" t="s">
        <v>198</v>
      </c>
      <c r="F686" s="405"/>
      <c r="G686" s="406"/>
      <c r="H686" s="4964">
        <v>65.0</v>
      </c>
      <c r="I686" s="4946"/>
      <c r="J686" s="4965" t="s">
        <v>198</v>
      </c>
      <c r="K686" s="918"/>
      <c r="L686" s="919"/>
      <c r="M686" s="4966">
        <v>173.0</v>
      </c>
      <c r="N686" s="4946"/>
      <c r="O686" s="4963" t="s">
        <v>198</v>
      </c>
      <c r="P686" s="405"/>
      <c r="Q686" s="406"/>
      <c r="R686" s="4964">
        <v>270.0</v>
      </c>
      <c r="S686" s="4946"/>
      <c r="T686" s="4963" t="s">
        <v>198</v>
      </c>
      <c r="U686" s="405"/>
      <c r="V686" s="406"/>
      <c r="W686" s="4964">
        <v>238.0</v>
      </c>
      <c r="X686" s="4949"/>
      <c r="Y686" s="4963" t="s">
        <v>198</v>
      </c>
      <c r="Z686" s="405"/>
      <c r="AA686" s="406"/>
      <c r="AB686" s="4964">
        <v>5.0</v>
      </c>
      <c r="AC686" s="2350"/>
      <c r="AD686" s="2350"/>
      <c r="AE686" s="2350"/>
      <c r="AF686" s="2350"/>
      <c r="AG686" s="2350"/>
      <c r="AH686" s="2351"/>
      <c r="AI686" s="3466"/>
    </row>
    <row r="687" ht="16.5" customHeight="1">
      <c r="A687" s="3457"/>
      <c r="B687" s="2345"/>
      <c r="C687" s="2338"/>
      <c r="D687" s="4967"/>
      <c r="E687" s="2338"/>
      <c r="F687" s="2338"/>
      <c r="G687" s="2338"/>
      <c r="H687" s="2338"/>
      <c r="I687" s="4967"/>
      <c r="J687" s="4968" t="s">
        <v>942</v>
      </c>
      <c r="K687" s="925"/>
      <c r="L687" s="926"/>
      <c r="M687" s="4969">
        <v>346.0</v>
      </c>
      <c r="N687" s="4967"/>
      <c r="O687" s="4970"/>
      <c r="P687" s="4970"/>
      <c r="Q687" s="4970"/>
      <c r="R687" s="2338"/>
      <c r="S687" s="4967"/>
      <c r="T687" s="4970"/>
      <c r="U687" s="4970"/>
      <c r="V687" s="4970"/>
      <c r="W687" s="2338"/>
      <c r="X687" s="2499"/>
      <c r="Y687" s="2350"/>
      <c r="Z687" s="2349"/>
      <c r="AA687" s="2349"/>
      <c r="AB687" s="2350"/>
      <c r="AC687" s="2350"/>
      <c r="AD687" s="2350"/>
      <c r="AE687" s="2350"/>
      <c r="AF687" s="2350"/>
      <c r="AG687" s="2350"/>
      <c r="AH687" s="2351"/>
      <c r="AI687" s="3466"/>
    </row>
    <row r="688" ht="15.0" customHeight="1">
      <c r="A688" s="3361"/>
      <c r="B688" s="2385"/>
      <c r="C688" s="2386"/>
      <c r="D688" s="4971"/>
      <c r="E688" s="4972"/>
      <c r="F688" s="4972"/>
      <c r="G688" s="4972"/>
      <c r="H688" s="4972"/>
      <c r="I688" s="4971"/>
      <c r="J688" s="4972"/>
      <c r="K688" s="4972"/>
      <c r="L688" s="4972"/>
      <c r="M688" s="4972"/>
      <c r="N688" s="4971"/>
      <c r="O688" s="4972"/>
      <c r="P688" s="4972"/>
      <c r="Q688" s="4972"/>
      <c r="R688" s="4972"/>
      <c r="S688" s="4971"/>
      <c r="T688" s="4972"/>
      <c r="U688" s="4972"/>
      <c r="V688" s="4972"/>
      <c r="W688" s="4972"/>
      <c r="X688" s="2387"/>
      <c r="Y688" s="2387"/>
      <c r="Z688" s="2387"/>
      <c r="AA688" s="2387"/>
      <c r="AB688" s="2387"/>
      <c r="AC688" s="2387"/>
      <c r="AD688" s="2387"/>
      <c r="AE688" s="2387"/>
      <c r="AF688" s="2387"/>
      <c r="AG688" s="2387"/>
      <c r="AH688" s="2389"/>
      <c r="AI688" s="3367"/>
    </row>
    <row r="689" ht="15.0" customHeight="1">
      <c r="A689" s="3361"/>
      <c r="B689" s="4925"/>
      <c r="C689" s="4926"/>
      <c r="D689" s="4926"/>
      <c r="E689" s="4926"/>
      <c r="F689" s="4926"/>
      <c r="G689" s="4926"/>
      <c r="H689" s="4926"/>
      <c r="I689" s="4926"/>
      <c r="J689" s="4926"/>
      <c r="K689" s="4926"/>
      <c r="L689" s="4926"/>
      <c r="M689" s="4926"/>
      <c r="N689" s="4926"/>
      <c r="O689" s="4926"/>
      <c r="P689" s="4926"/>
      <c r="Q689" s="4926"/>
      <c r="R689" s="4926"/>
      <c r="S689" s="4926"/>
      <c r="T689" s="4926"/>
      <c r="U689" s="4926"/>
      <c r="V689" s="4926"/>
      <c r="W689" s="4926"/>
      <c r="X689" s="4926"/>
      <c r="Y689" s="4926"/>
      <c r="Z689" s="4926"/>
      <c r="AA689" s="4926"/>
      <c r="AB689" s="4926"/>
      <c r="AC689" s="4926"/>
      <c r="AD689" s="4926"/>
      <c r="AE689" s="4926"/>
      <c r="AF689" s="4926"/>
      <c r="AG689" s="4926"/>
      <c r="AH689" s="4927"/>
      <c r="AI689" s="3367"/>
    </row>
    <row r="690">
      <c r="A690" s="3361"/>
      <c r="B690" s="2268"/>
      <c r="C690" s="4928"/>
      <c r="D690" s="2287"/>
      <c r="E690" s="4929" t="s">
        <v>1213</v>
      </c>
      <c r="F690" s="2324"/>
      <c r="G690" s="2324"/>
      <c r="H690" s="2324"/>
      <c r="I690" s="2324"/>
      <c r="J690" s="2324"/>
      <c r="K690" s="2324"/>
      <c r="L690" s="2324"/>
      <c r="M690" s="2324"/>
      <c r="N690" s="2324"/>
      <c r="O690" s="2324"/>
      <c r="P690" s="2324"/>
      <c r="Q690" s="2324"/>
      <c r="R690" s="2324"/>
      <c r="S690" s="2324"/>
      <c r="T690" s="2324"/>
      <c r="U690" s="2324"/>
      <c r="V690" s="2324"/>
      <c r="W690" s="2324"/>
      <c r="X690" s="2324"/>
      <c r="Y690" s="2324"/>
      <c r="Z690" s="2324"/>
      <c r="AA690" s="2324"/>
      <c r="AB690" s="2324"/>
      <c r="AC690" s="2324"/>
      <c r="AD690" s="2324"/>
      <c r="AE690" s="2324"/>
      <c r="AF690" s="2324"/>
      <c r="AG690" s="4930"/>
      <c r="AH690" s="4931"/>
      <c r="AI690" s="3367"/>
    </row>
    <row r="691" ht="96.75" customHeight="1">
      <c r="A691" s="3361"/>
      <c r="B691" s="2300"/>
      <c r="C691" s="4932" t="str">
        <f>IMAGE("https://i.ibb.co/qsQbp4Z/Biker.png")</f>
        <v/>
      </c>
      <c r="D691" s="2492"/>
      <c r="E691" s="4933" t="str">
        <f t="array" ref="E691">IFERROR(VLOOKUP(E692,Dex!$B$3:$G1022,3,FALSE),"")</f>
        <v/>
      </c>
      <c r="F691" s="1830"/>
      <c r="G691" s="1830"/>
      <c r="H691" s="1831"/>
      <c r="I691" s="2492"/>
      <c r="J691" s="4933" t="str">
        <f t="array" ref="J691">IFERROR(VLOOKUP(J692,Dex!$B$3:$G1022,3,FALSE),"")</f>
        <v/>
      </c>
      <c r="K691" s="1830"/>
      <c r="L691" s="1830"/>
      <c r="M691" s="1831"/>
      <c r="N691" s="2492"/>
      <c r="O691" s="4933" t="str">
        <f t="array" ref="O691">IFERROR(VLOOKUP(O692,Dex!$B$3:$G1022,3,FALSE),"")</f>
        <v/>
      </c>
      <c r="P691" s="1830"/>
      <c r="Q691" s="1830"/>
      <c r="R691" s="1831"/>
      <c r="S691" s="2492"/>
      <c r="T691" s="4933" t="str">
        <f t="array" ref="T691">IFERROR(VLOOKUP(T692,Dex!$B$3:$G1022,3,FALSE),"")</f>
        <v/>
      </c>
      <c r="U691" s="1830"/>
      <c r="V691" s="1830"/>
      <c r="W691" s="1831"/>
      <c r="X691" s="5007"/>
      <c r="Y691" s="2270"/>
      <c r="Z691" s="2273"/>
      <c r="AA691" s="2273"/>
      <c r="AB691" s="2274"/>
      <c r="AC691" s="2493"/>
      <c r="AD691" s="2270"/>
      <c r="AE691" s="2273"/>
      <c r="AF691" s="2273"/>
      <c r="AG691" s="2274"/>
      <c r="AH691" s="2276"/>
      <c r="AI691" s="3367"/>
    </row>
    <row r="692" ht="18.75" customHeight="1">
      <c r="A692" s="3621"/>
      <c r="B692" s="2358"/>
      <c r="C692" s="4934" t="s">
        <v>1214</v>
      </c>
      <c r="E692" s="2292" t="s">
        <v>663</v>
      </c>
      <c r="F692" s="2293"/>
      <c r="G692" s="2293"/>
      <c r="H692" s="2294"/>
      <c r="J692" s="2292" t="s">
        <v>1215</v>
      </c>
      <c r="K692" s="2293"/>
      <c r="L692" s="2293"/>
      <c r="M692" s="2294"/>
      <c r="O692" s="2292" t="s">
        <v>1216</v>
      </c>
      <c r="P692" s="2293"/>
      <c r="Q692" s="2293"/>
      <c r="R692" s="2294"/>
      <c r="T692" s="2292" t="s">
        <v>202</v>
      </c>
      <c r="U692" s="2293"/>
      <c r="V692" s="2293"/>
      <c r="W692" s="2294"/>
      <c r="Y692" s="2297"/>
      <c r="Z692" s="2273"/>
      <c r="AA692" s="2273"/>
      <c r="AB692" s="2274"/>
      <c r="AC692" s="2495"/>
      <c r="AD692" s="2297"/>
      <c r="AE692" s="2273"/>
      <c r="AF692" s="2273"/>
      <c r="AG692" s="2274"/>
      <c r="AH692" s="2298"/>
      <c r="AI692" s="3631"/>
    </row>
    <row r="693">
      <c r="A693" s="3632"/>
      <c r="B693" s="4935"/>
      <c r="C693" s="1481"/>
      <c r="E693" s="2496" t="s">
        <v>843</v>
      </c>
      <c r="F693" s="2303"/>
      <c r="G693" s="2303"/>
      <c r="H693" s="2304"/>
      <c r="J693" s="2496" t="s">
        <v>843</v>
      </c>
      <c r="K693" s="2303"/>
      <c r="L693" s="2303"/>
      <c r="M693" s="2304"/>
      <c r="O693" s="2496" t="s">
        <v>843</v>
      </c>
      <c r="P693" s="2303"/>
      <c r="Q693" s="2303"/>
      <c r="R693" s="2304"/>
      <c r="T693" s="2496" t="s">
        <v>843</v>
      </c>
      <c r="U693" s="2303"/>
      <c r="V693" s="2303"/>
      <c r="W693" s="2304"/>
      <c r="Y693" s="2704"/>
      <c r="Z693" s="2273"/>
      <c r="AA693" s="2273"/>
      <c r="AB693" s="2274"/>
      <c r="AC693" s="2495"/>
      <c r="AD693" s="2704"/>
      <c r="AE693" s="2273"/>
      <c r="AF693" s="2273"/>
      <c r="AG693" s="2274"/>
      <c r="AH693" s="4936"/>
      <c r="AI693" s="3640"/>
    </row>
    <row r="694" ht="25.5" customHeight="1">
      <c r="A694" s="3361"/>
      <c r="B694" s="2300"/>
      <c r="C694" s="1489"/>
      <c r="E694" s="2307"/>
      <c r="F694" s="2308" t="str">
        <f t="array" ref="F694">IFERROR(VLOOKUP(E692,Dex!$B$3:$H1022,5,FALSE),"")</f>
        <v/>
      </c>
      <c r="G694" s="2309" t="str">
        <f t="array" ref="G694">IFERROR(VLOOKUP(E692,Dex!$B$3:$H1022,7,FALSE),"")</f>
        <v/>
      </c>
      <c r="H694" s="2310"/>
      <c r="J694" s="2307"/>
      <c r="K694" s="2308" t="str">
        <f t="array" ref="K694">IFERROR(VLOOKUP(J692,Dex!$B$3:$H1022,5,FALSE),"")</f>
        <v/>
      </c>
      <c r="L694" s="2309" t="str">
        <f t="array" ref="L694">IFERROR(VLOOKUP(J692,Dex!$B$3:$H1022,7,FALSE),"")</f>
        <v/>
      </c>
      <c r="M694" s="2310"/>
      <c r="O694" s="2307"/>
      <c r="P694" s="2308" t="str">
        <f t="array" ref="P694">IFERROR(VLOOKUP(O692,Dex!$B$3:$H1022,5,FALSE),"")</f>
        <v/>
      </c>
      <c r="Q694" s="2309" t="str">
        <f t="array" ref="Q694">IFERROR(VLOOKUP(O692,Dex!$B$3:$H1022,7,FALSE),"")</f>
        <v/>
      </c>
      <c r="R694" s="2310"/>
      <c r="T694" s="2307"/>
      <c r="U694" s="2308" t="str">
        <f t="array" ref="U694">IFERROR(VLOOKUP(T692,Dex!$B$3:$H1022,5,FALSE),"")</f>
        <v/>
      </c>
      <c r="V694" s="2309" t="str">
        <f t="array" ref="V694">IFERROR(VLOOKUP(T692,Dex!$B$3:$H1022,7,FALSE),"")</f>
        <v/>
      </c>
      <c r="W694" s="2310"/>
      <c r="Y694" s="2270"/>
      <c r="Z694" s="2273"/>
      <c r="AA694" s="2273"/>
      <c r="AB694" s="2274"/>
      <c r="AC694" s="2495"/>
      <c r="AD694" s="2270"/>
      <c r="AE694" s="2273"/>
      <c r="AF694" s="2273"/>
      <c r="AG694" s="2274"/>
      <c r="AH694" s="2276"/>
      <c r="AI694" s="3367"/>
    </row>
    <row r="695" ht="2.25" customHeight="1">
      <c r="A695" s="3361"/>
      <c r="B695" s="2300"/>
      <c r="C695" s="4666"/>
      <c r="E695" s="2313"/>
      <c r="F695" s="2314"/>
      <c r="G695" s="2314"/>
      <c r="H695" s="2315"/>
      <c r="J695" s="2313"/>
      <c r="K695" s="2314"/>
      <c r="L695" s="2314"/>
      <c r="M695" s="2315"/>
      <c r="O695" s="2313"/>
      <c r="P695" s="2314"/>
      <c r="Q695" s="2314"/>
      <c r="R695" s="2315"/>
      <c r="T695" s="2313"/>
      <c r="U695" s="2314"/>
      <c r="V695" s="2314"/>
      <c r="W695" s="2315"/>
      <c r="Y695" s="2316"/>
      <c r="Z695" s="2316"/>
      <c r="AA695" s="2316"/>
      <c r="AB695" s="2316"/>
      <c r="AC695" s="2495"/>
      <c r="AD695" s="2316"/>
      <c r="AE695" s="2316"/>
      <c r="AF695" s="2316"/>
      <c r="AG695" s="2316"/>
      <c r="AH695" s="2276"/>
      <c r="AI695" s="3367"/>
    </row>
    <row r="696" ht="20.25" customHeight="1">
      <c r="A696" s="3361"/>
      <c r="B696" s="2268"/>
      <c r="C696" s="4937"/>
      <c r="E696" s="2317" t="s">
        <v>264</v>
      </c>
      <c r="F696" s="2318"/>
      <c r="G696" s="2318"/>
      <c r="H696" s="2319"/>
      <c r="J696" s="2317" t="s">
        <v>172</v>
      </c>
      <c r="K696" s="2318"/>
      <c r="L696" s="2318"/>
      <c r="M696" s="2319"/>
      <c r="O696" s="2317" t="s">
        <v>264</v>
      </c>
      <c r="P696" s="2318"/>
      <c r="Q696" s="2318"/>
      <c r="R696" s="2319"/>
      <c r="T696" s="2317" t="s">
        <v>205</v>
      </c>
      <c r="U696" s="2318"/>
      <c r="V696" s="2318"/>
      <c r="W696" s="2319"/>
      <c r="Y696" s="2270"/>
      <c r="Z696" s="2273"/>
      <c r="AA696" s="2273"/>
      <c r="AB696" s="2274"/>
      <c r="AC696" s="2495"/>
      <c r="AD696" s="2270"/>
      <c r="AE696" s="2273"/>
      <c r="AF696" s="2273"/>
      <c r="AG696" s="2274"/>
      <c r="AH696" s="2276"/>
      <c r="AI696" s="3367"/>
    </row>
    <row r="697" ht="20.25" customHeight="1">
      <c r="A697" s="3361"/>
      <c r="B697" s="2268"/>
      <c r="C697" s="2269"/>
      <c r="E697" s="2321" t="s">
        <v>173</v>
      </c>
      <c r="F697" s="2273"/>
      <c r="G697" s="2273"/>
      <c r="H697" s="2322"/>
      <c r="J697" s="2321" t="s">
        <v>1217</v>
      </c>
      <c r="K697" s="2273"/>
      <c r="L697" s="2273"/>
      <c r="M697" s="2322"/>
      <c r="O697" s="2321" t="s">
        <v>716</v>
      </c>
      <c r="P697" s="2273"/>
      <c r="Q697" s="2273"/>
      <c r="R697" s="2322"/>
      <c r="T697" s="2321" t="s">
        <v>209</v>
      </c>
      <c r="U697" s="2273"/>
      <c r="V697" s="2273"/>
      <c r="W697" s="2322"/>
      <c r="Y697" s="2270"/>
      <c r="Z697" s="2273"/>
      <c r="AA697" s="2273"/>
      <c r="AB697" s="2274"/>
      <c r="AC697" s="2495"/>
      <c r="AD697" s="2270"/>
      <c r="AE697" s="2273"/>
      <c r="AF697" s="2273"/>
      <c r="AG697" s="2274"/>
      <c r="AH697" s="2276"/>
      <c r="AI697" s="3367"/>
    </row>
    <row r="698" ht="20.25" customHeight="1">
      <c r="A698" s="3361"/>
      <c r="B698" s="2268"/>
      <c r="C698" s="2269"/>
      <c r="E698" s="2323" t="s">
        <v>176</v>
      </c>
      <c r="F698" s="2324"/>
      <c r="G698" s="4930"/>
      <c r="H698" s="4938" t="str">
        <f>IMAGE("https://raw.githubusercontent.com/msikma/pokesprite/master/items/berry/custap.png",3)</f>
        <v/>
      </c>
      <c r="J698" s="2323" t="s">
        <v>848</v>
      </c>
      <c r="K698" s="2324"/>
      <c r="L698" s="4930"/>
      <c r="M698" s="4938" t="str">
        <f>IMAGE("https://raw.githubusercontent.com/msikma/pokesprite/master/items/berry/rindo.png",3)</f>
        <v/>
      </c>
      <c r="O698" s="2323" t="s">
        <v>939</v>
      </c>
      <c r="P698" s="2324"/>
      <c r="Q698" s="4930"/>
      <c r="R698" s="4938" t="str">
        <f>IMAGE("https://raw.githubusercontent.com/msikma/pokesprite/master/items/berry/yache.png",3)</f>
        <v/>
      </c>
      <c r="T698" s="2323" t="s">
        <v>272</v>
      </c>
      <c r="U698" s="2324"/>
      <c r="V698" s="4930"/>
      <c r="W698" s="4938" t="str">
        <f>IMAGE("https://raw.githubusercontent.com/msikma/pokesprite/master/items/hold-item/life-orb.png",3)</f>
        <v/>
      </c>
      <c r="Y698" s="2270"/>
      <c r="Z698" s="2273"/>
      <c r="AA698" s="2273"/>
      <c r="AB698" s="2274"/>
      <c r="AC698" s="2495"/>
      <c r="AD698" s="2270"/>
      <c r="AE698" s="2273"/>
      <c r="AF698" s="2273"/>
      <c r="AG698" s="2274"/>
      <c r="AH698" s="2276"/>
      <c r="AI698" s="3367"/>
    </row>
    <row r="699" ht="20.25" customHeight="1">
      <c r="A699" s="3361"/>
      <c r="B699" s="2268"/>
      <c r="C699" s="2338"/>
      <c r="E699" s="2317" t="s">
        <v>539</v>
      </c>
      <c r="F699" s="2318"/>
      <c r="G699" s="2327"/>
      <c r="H699" s="4939" t="str">
        <f t="shared" ref="H699:H700" si="18">IMAGE("https://raw.githubusercontent.com/msikma/pokesprite/master/misc/types/gen8/electric.png",4,20,20)</f>
        <v/>
      </c>
      <c r="J699" s="2317" t="s">
        <v>396</v>
      </c>
      <c r="K699" s="2318"/>
      <c r="L699" s="2327"/>
      <c r="M699" s="4939" t="str">
        <f>IMAGE("https://raw.githubusercontent.com/msikma/pokesprite/master/misc/types/gen8/dragon.png",4,20,20)</f>
        <v/>
      </c>
      <c r="O699" s="2317" t="s">
        <v>461</v>
      </c>
      <c r="P699" s="2318"/>
      <c r="Q699" s="2327"/>
      <c r="R699" s="4939" t="str">
        <f>IMAGE("https://raw.githubusercontent.com/msikma/pokesprite/master/misc/types/gen8/flying.png",4,20,20)</f>
        <v/>
      </c>
      <c r="T699" s="2317" t="s">
        <v>219</v>
      </c>
      <c r="U699" s="2318"/>
      <c r="V699" s="2327"/>
      <c r="W699" s="4939" t="str">
        <f t="shared" ref="W699:W700" si="19">IMAGE("https://raw.githubusercontent.com/msikma/pokesprite/master/misc/types/gen8/water.png",4,20,20)</f>
        <v/>
      </c>
      <c r="Y699" s="2270"/>
      <c r="Z699" s="2273"/>
      <c r="AA699" s="2273"/>
      <c r="AB699" s="2274"/>
      <c r="AC699" s="2495"/>
      <c r="AD699" s="2270"/>
      <c r="AE699" s="2273"/>
      <c r="AF699" s="2273"/>
      <c r="AG699" s="2274"/>
      <c r="AH699" s="2276"/>
      <c r="AI699" s="3367"/>
    </row>
    <row r="700" ht="20.25" customHeight="1">
      <c r="A700" s="3361"/>
      <c r="B700" s="2268"/>
      <c r="C700" s="2338"/>
      <c r="E700" s="2321" t="s">
        <v>242</v>
      </c>
      <c r="F700" s="2273"/>
      <c r="G700" s="2274"/>
      <c r="H700" s="4940" t="str">
        <f t="shared" si="18"/>
        <v/>
      </c>
      <c r="J700" s="2321" t="s">
        <v>459</v>
      </c>
      <c r="K700" s="2273"/>
      <c r="L700" s="2274"/>
      <c r="M700" s="4940" t="str">
        <f>IMAGE("https://raw.githubusercontent.com/msikma/pokesprite/master/misc/types/gen8/water.png",4,20,20)</f>
        <v/>
      </c>
      <c r="O700" s="2321" t="s">
        <v>380</v>
      </c>
      <c r="P700" s="2273"/>
      <c r="Q700" s="2274"/>
      <c r="R700" s="4940" t="str">
        <f>IMAGE("https://raw.githubusercontent.com/msikma/pokesprite/master/misc/types/gen8/dragon.png",4,20,20)</f>
        <v/>
      </c>
      <c r="T700" s="2321" t="s">
        <v>338</v>
      </c>
      <c r="U700" s="2273"/>
      <c r="V700" s="2274"/>
      <c r="W700" s="4940" t="str">
        <f t="shared" si="19"/>
        <v/>
      </c>
      <c r="Y700" s="2270"/>
      <c r="Z700" s="2273"/>
      <c r="AA700" s="2273"/>
      <c r="AB700" s="2274"/>
      <c r="AC700" s="2495"/>
      <c r="AD700" s="2270"/>
      <c r="AE700" s="2273"/>
      <c r="AF700" s="2273"/>
      <c r="AG700" s="2274"/>
      <c r="AH700" s="2276"/>
      <c r="AI700" s="3367"/>
    </row>
    <row r="701" ht="20.25" customHeight="1">
      <c r="A701" s="3361"/>
      <c r="B701" s="2268"/>
      <c r="C701" s="2338"/>
      <c r="E701" s="2321" t="s">
        <v>288</v>
      </c>
      <c r="F701" s="2273"/>
      <c r="G701" s="2274"/>
      <c r="H701" s="4940" t="str">
        <f>IMAGE("https://raw.githubusercontent.com/msikma/pokesprite/master/misc/types/gen8/normal.png",4,20,20)</f>
        <v/>
      </c>
      <c r="J701" s="2321" t="s">
        <v>402</v>
      </c>
      <c r="K701" s="2273"/>
      <c r="L701" s="2274"/>
      <c r="M701" s="4940" t="str">
        <f>IMAGE("https://raw.githubusercontent.com/msikma/pokesprite/master/misc/types/gen8/ground.png",4,20,20)</f>
        <v/>
      </c>
      <c r="O701" s="2321" t="s">
        <v>338</v>
      </c>
      <c r="P701" s="2273"/>
      <c r="Q701" s="2274"/>
      <c r="R701" s="4940" t="str">
        <f>IMAGE("https://raw.githubusercontent.com/msikma/pokesprite/master/misc/types/gen8/water.png",4,20,20)</f>
        <v/>
      </c>
      <c r="T701" s="2321" t="s">
        <v>539</v>
      </c>
      <c r="U701" s="2273"/>
      <c r="V701" s="2274"/>
      <c r="W701" s="4940" t="str">
        <f>IMAGE("https://raw.githubusercontent.com/msikma/pokesprite/master/misc/types/gen8/electric.png",4,20,20)</f>
        <v/>
      </c>
      <c r="Y701" s="2270"/>
      <c r="Z701" s="2273"/>
      <c r="AA701" s="2273"/>
      <c r="AB701" s="2274"/>
      <c r="AC701" s="2495"/>
      <c r="AD701" s="2270"/>
      <c r="AE701" s="2273"/>
      <c r="AF701" s="2273"/>
      <c r="AG701" s="2274"/>
      <c r="AH701" s="2276"/>
      <c r="AI701" s="3367"/>
    </row>
    <row r="702" ht="21.0" customHeight="1">
      <c r="A702" s="3361"/>
      <c r="B702" s="2268"/>
      <c r="C702" s="2338"/>
      <c r="D702" s="2497"/>
      <c r="E702" s="2330" t="s">
        <v>463</v>
      </c>
      <c r="F702" s="2331"/>
      <c r="G702" s="2332"/>
      <c r="H702" s="4941" t="str">
        <f>IMAGE("https://raw.githubusercontent.com/msikma/pokesprite/master/misc/types/gen8/fighting.png",4,20,20)</f>
        <v/>
      </c>
      <c r="I702" s="2497"/>
      <c r="J702" s="2330" t="s">
        <v>1218</v>
      </c>
      <c r="K702" s="2331"/>
      <c r="L702" s="2332"/>
      <c r="M702" s="4941" t="str">
        <f>IMAGE("https://raw.githubusercontent.com/msikma/pokesprite/master/misc/types/gen8/flying.png",4,20,20)</f>
        <v/>
      </c>
      <c r="N702" s="2497"/>
      <c r="O702" s="2330" t="s">
        <v>402</v>
      </c>
      <c r="P702" s="2331"/>
      <c r="Q702" s="2332"/>
      <c r="R702" s="4941" t="str">
        <f>IMAGE("https://raw.githubusercontent.com/msikma/pokesprite/master/misc/types/gen8/ground.png",4,20,20)</f>
        <v/>
      </c>
      <c r="S702" s="2497"/>
      <c r="T702" s="2330" t="s">
        <v>561</v>
      </c>
      <c r="U702" s="2331"/>
      <c r="V702" s="2332"/>
      <c r="W702" s="4941" t="str">
        <f>IMAGE("https://raw.githubusercontent.com/msikma/pokesprite/master/misc/types/gen8/psychic.png",4,20,20)</f>
        <v/>
      </c>
      <c r="X702" s="2497"/>
      <c r="Y702" s="2270"/>
      <c r="Z702" s="2273"/>
      <c r="AA702" s="2273"/>
      <c r="AB702" s="2274"/>
      <c r="AC702" s="2498"/>
      <c r="AD702" s="2270"/>
      <c r="AE702" s="2273"/>
      <c r="AF702" s="2273"/>
      <c r="AG702" s="2274"/>
      <c r="AH702" s="2276"/>
      <c r="AI702" s="3367"/>
    </row>
    <row r="703" ht="3.0" customHeight="1">
      <c r="A703" s="3445"/>
      <c r="B703" s="2337"/>
      <c r="C703" s="2338"/>
      <c r="D703" s="2339"/>
      <c r="E703" s="4942"/>
      <c r="F703" s="4942"/>
      <c r="G703" s="4942"/>
      <c r="H703" s="4943"/>
      <c r="I703" s="2339"/>
      <c r="J703" s="4944"/>
      <c r="K703" s="4944"/>
      <c r="L703" s="4944"/>
      <c r="M703" s="4943"/>
      <c r="N703" s="2339"/>
      <c r="O703" s="4944"/>
      <c r="P703" s="4944"/>
      <c r="Q703" s="4944"/>
      <c r="R703" s="4945"/>
      <c r="S703" s="2339"/>
      <c r="T703" s="4944"/>
      <c r="U703" s="4944"/>
      <c r="V703" s="4944"/>
      <c r="W703" s="4945"/>
      <c r="X703" s="2339"/>
      <c r="Y703" s="2342"/>
      <c r="Z703" s="2342"/>
      <c r="AA703" s="2342"/>
      <c r="AB703" s="2342"/>
      <c r="AC703" s="2342"/>
      <c r="AD703" s="2342"/>
      <c r="AE703" s="2342"/>
      <c r="AF703" s="2342"/>
      <c r="AG703" s="2342"/>
      <c r="AH703" s="2343"/>
      <c r="AI703" s="3456"/>
    </row>
    <row r="704" ht="16.5" customHeight="1">
      <c r="A704" s="3457"/>
      <c r="B704" s="2345"/>
      <c r="C704" s="2338"/>
      <c r="D704" s="4946"/>
      <c r="E704" s="4947" t="s">
        <v>190</v>
      </c>
      <c r="F704" s="381"/>
      <c r="G704" s="382"/>
      <c r="H704" s="4948" t="s">
        <v>191</v>
      </c>
      <c r="I704" s="4946"/>
      <c r="J704" s="4947" t="s">
        <v>190</v>
      </c>
      <c r="K704" s="381"/>
      <c r="L704" s="382"/>
      <c r="M704" s="4948" t="s">
        <v>191</v>
      </c>
      <c r="N704" s="4946"/>
      <c r="O704" s="4947" t="s">
        <v>190</v>
      </c>
      <c r="P704" s="381"/>
      <c r="Q704" s="382"/>
      <c r="R704" s="4948" t="s">
        <v>191</v>
      </c>
      <c r="S704" s="4946"/>
      <c r="T704" s="4947" t="s">
        <v>190</v>
      </c>
      <c r="U704" s="381"/>
      <c r="V704" s="382"/>
      <c r="W704" s="4948" t="s">
        <v>191</v>
      </c>
      <c r="X704" s="5009"/>
      <c r="Y704" s="2350"/>
      <c r="Z704" s="2350"/>
      <c r="AA704" s="2350"/>
      <c r="AB704" s="2350"/>
      <c r="AC704" s="2350"/>
      <c r="AD704" s="2350"/>
      <c r="AE704" s="2350"/>
      <c r="AF704" s="2350"/>
      <c r="AG704" s="2350"/>
      <c r="AH704" s="2351"/>
      <c r="AI704" s="3466"/>
    </row>
    <row r="705" ht="16.5" customHeight="1">
      <c r="A705" s="3457"/>
      <c r="B705" s="2345"/>
      <c r="C705" s="2338"/>
      <c r="D705" s="4950"/>
      <c r="E705" s="4951" t="s">
        <v>192</v>
      </c>
      <c r="F705" s="4952">
        <f t="array" ref="F705">IFERROR(VLOOKUP(E692,Dex!$B$3:$N1022,8,FALSE),"")</f>
        <v>70</v>
      </c>
      <c r="G705" s="4953" t="str">
        <f t="array" ref="G705">IFERROR(VLOOKUP(F705,Dex!$P$22:$Q$276,2,FALSE),"")</f>
        <v/>
      </c>
      <c r="H705" s="4954"/>
      <c r="I705" s="4950"/>
      <c r="J705" s="4951" t="s">
        <v>192</v>
      </c>
      <c r="K705" s="4952">
        <f t="array" ref="K705">IFERROR(VLOOKUP(J692,Dex!$B$3:$N1022,8,FALSE),"")</f>
        <v>110</v>
      </c>
      <c r="L705" s="4953" t="str">
        <f t="array" ref="L705">IFERROR(VLOOKUP(K705,Dex!$P$22:$Q$276,2,FALSE),"")</f>
        <v/>
      </c>
      <c r="M705" s="4954"/>
      <c r="N705" s="4950"/>
      <c r="O705" s="4951" t="s">
        <v>192</v>
      </c>
      <c r="P705" s="4952">
        <f t="array" ref="P705">IFERROR(VLOOKUP(O692,Dex!$B$3:$N1022,8,FALSE),"")</f>
        <v>95</v>
      </c>
      <c r="Q705" s="4953" t="str">
        <f t="array" ref="Q705">IFERROR(VLOOKUP(P705,Dex!$P$22:$Q$276,2,FALSE),"")</f>
        <v/>
      </c>
      <c r="R705" s="4954"/>
      <c r="S705" s="4950"/>
      <c r="T705" s="4951" t="s">
        <v>192</v>
      </c>
      <c r="U705" s="4952">
        <f t="array" ref="U705">IFERROR(VLOOKUP(T692,Dex!$B$3:$N1022,8,FALSE),"")</f>
        <v>60</v>
      </c>
      <c r="V705" s="4953" t="str">
        <f t="array" ref="V705">IFERROR(VLOOKUP(U705,Dex!$P$22:$Q$276,2,FALSE),"")</f>
        <v/>
      </c>
      <c r="W705" s="4954"/>
      <c r="X705" s="4949"/>
      <c r="Y705" s="2350"/>
      <c r="Z705" s="2350"/>
      <c r="AA705" s="2350"/>
      <c r="AB705" s="2350"/>
      <c r="AC705" s="2350"/>
      <c r="AD705" s="2350"/>
      <c r="AE705" s="2350"/>
      <c r="AF705" s="2350"/>
      <c r="AG705" s="2350"/>
      <c r="AH705" s="2351"/>
      <c r="AI705" s="3466"/>
    </row>
    <row r="706" ht="16.5" customHeight="1">
      <c r="A706" s="3457"/>
      <c r="B706" s="2345"/>
      <c r="C706" s="2338"/>
      <c r="D706" s="4950"/>
      <c r="E706" s="4955" t="s">
        <v>193</v>
      </c>
      <c r="F706" s="4956">
        <f t="array" ref="F706">IFERROR(VLOOKUP(E692,Dex!$B$3:$N1022,9,FALSE),"")</f>
        <v>70</v>
      </c>
      <c r="G706" s="4957" t="str">
        <f t="array" ref="G706">IFERROR(VLOOKUP(F706,Dex!$P$22:$Q$276,2,FALSE),"")</f>
        <v/>
      </c>
      <c r="H706" s="4958">
        <v>4.0</v>
      </c>
      <c r="I706" s="4950"/>
      <c r="J706" s="4955" t="s">
        <v>193</v>
      </c>
      <c r="K706" s="4956">
        <f t="array" ref="K706">IFERROR(VLOOKUP(J692,Dex!$B$3:$N1022,9,FALSE),"")</f>
        <v>78</v>
      </c>
      <c r="L706" s="4957" t="str">
        <f t="array" ref="L706">IFERROR(VLOOKUP(K706,Dex!$P$22:$Q$276,2,FALSE),"")</f>
        <v/>
      </c>
      <c r="M706" s="4958">
        <v>252.0</v>
      </c>
      <c r="N706" s="4950"/>
      <c r="O706" s="4955" t="s">
        <v>193</v>
      </c>
      <c r="P706" s="4956">
        <f t="array" ref="P706">IFERROR(VLOOKUP(O692,Dex!$B$3:$N1022,9,FALSE),"")</f>
        <v>135</v>
      </c>
      <c r="Q706" s="4957" t="str">
        <f t="array" ref="Q706">IFERROR(VLOOKUP(P706,Dex!$P$22:$Q$276,2,FALSE),"")</f>
        <v/>
      </c>
      <c r="R706" s="4958">
        <v>4.0</v>
      </c>
      <c r="S706" s="4950"/>
      <c r="T706" s="4955" t="s">
        <v>193</v>
      </c>
      <c r="U706" s="4956">
        <f t="array" ref="U706">IFERROR(VLOOKUP(T692,Dex!$B$3:$N1022,9,FALSE),"")</f>
        <v>75</v>
      </c>
      <c r="V706" s="4957" t="str">
        <f t="array" ref="V706">IFERROR(VLOOKUP(U706,Dex!$P$22:$Q$276,2,FALSE),"")</f>
        <v/>
      </c>
      <c r="W706" s="4958"/>
      <c r="X706" s="4949"/>
      <c r="Y706" s="2350"/>
      <c r="Z706" s="2350"/>
      <c r="AA706" s="2350"/>
      <c r="AB706" s="2350"/>
      <c r="AC706" s="2350"/>
      <c r="AD706" s="2350"/>
      <c r="AE706" s="2350"/>
      <c r="AF706" s="2350"/>
      <c r="AG706" s="2350"/>
      <c r="AH706" s="2351"/>
      <c r="AI706" s="3466"/>
    </row>
    <row r="707" ht="16.5" customHeight="1">
      <c r="A707" s="3457"/>
      <c r="B707" s="2345"/>
      <c r="C707" s="2338"/>
      <c r="D707" s="4950"/>
      <c r="E707" s="4955" t="s">
        <v>194</v>
      </c>
      <c r="F707" s="4956">
        <f t="array" ref="F707">IFERROR(VLOOKUP(E692,Dex!$B$3:$N1022,10,FALSE),"")</f>
        <v>115</v>
      </c>
      <c r="G707" s="4957" t="str">
        <f t="array" ref="G707">IFERROR(VLOOKUP(F707,Dex!$P$22:$Q$276,2,FALSE),"")</f>
        <v/>
      </c>
      <c r="H707" s="4958"/>
      <c r="I707" s="4950"/>
      <c r="J707" s="4955" t="s">
        <v>194</v>
      </c>
      <c r="K707" s="4956">
        <f t="array" ref="K707">IFERROR(VLOOKUP(J692,Dex!$B$3:$N1022,10,FALSE),"")</f>
        <v>73</v>
      </c>
      <c r="L707" s="4957" t="str">
        <f t="array" ref="L707">IFERROR(VLOOKUP(K707,Dex!$P$22:$Q$276,2,FALSE),"")</f>
        <v/>
      </c>
      <c r="M707" s="4958">
        <v>4.0</v>
      </c>
      <c r="N707" s="4950"/>
      <c r="O707" s="4955" t="s">
        <v>194</v>
      </c>
      <c r="P707" s="4956">
        <f t="array" ref="P707">IFERROR(VLOOKUP(O692,Dex!$B$3:$N1022,10,FALSE),"")</f>
        <v>80</v>
      </c>
      <c r="Q707" s="4957" t="str">
        <f t="array" ref="Q707">IFERROR(VLOOKUP(P707,Dex!$P$22:$Q$276,2,FALSE),"")</f>
        <v/>
      </c>
      <c r="R707" s="4958"/>
      <c r="S707" s="4950"/>
      <c r="T707" s="4955" t="s">
        <v>194</v>
      </c>
      <c r="U707" s="4956">
        <f t="array" ref="U707">IFERROR(VLOOKUP(T692,Dex!$B$3:$N1022,10,FALSE),"")</f>
        <v>85</v>
      </c>
      <c r="V707" s="4957" t="str">
        <f t="array" ref="V707">IFERROR(VLOOKUP(U707,Dex!$P$22:$Q$276,2,FALSE),"")</f>
        <v/>
      </c>
      <c r="W707" s="4958">
        <v>4.0</v>
      </c>
      <c r="X707" s="4949"/>
      <c r="Y707" s="2350"/>
      <c r="Z707" s="2350"/>
      <c r="AA707" s="2350"/>
      <c r="AB707" s="2350"/>
      <c r="AC707" s="2350"/>
      <c r="AD707" s="2350"/>
      <c r="AE707" s="2350"/>
      <c r="AF707" s="2350"/>
      <c r="AG707" s="2350"/>
      <c r="AH707" s="2351"/>
      <c r="AI707" s="3466"/>
    </row>
    <row r="708" ht="16.5" customHeight="1">
      <c r="A708" s="3457"/>
      <c r="B708" s="2345"/>
      <c r="C708" s="2338"/>
      <c r="D708" s="4950"/>
      <c r="E708" s="4955" t="s">
        <v>195</v>
      </c>
      <c r="F708" s="4956">
        <f t="array" ref="F708">IFERROR(VLOOKUP(E692,Dex!$B$3:$N1022,11,FALSE),"")</f>
        <v>130</v>
      </c>
      <c r="G708" s="4957" t="str">
        <f t="array" ref="G708">IFERROR(VLOOKUP(F708,Dex!$P$22:$Q$276,2,FALSE),"")</f>
        <v/>
      </c>
      <c r="H708" s="4958">
        <v>252.0</v>
      </c>
      <c r="I708" s="4950"/>
      <c r="J708" s="4955" t="s">
        <v>195</v>
      </c>
      <c r="K708" s="4956">
        <f t="array" ref="K708">IFERROR(VLOOKUP(J692,Dex!$B$3:$N1022,11,FALSE),"")</f>
        <v>76</v>
      </c>
      <c r="L708" s="4957" t="str">
        <f t="array" ref="L708">IFERROR(VLOOKUP(K708,Dex!$P$22:$Q$276,2,FALSE),"")</f>
        <v/>
      </c>
      <c r="M708" s="4958"/>
      <c r="N708" s="4950"/>
      <c r="O708" s="4955" t="s">
        <v>195</v>
      </c>
      <c r="P708" s="4956">
        <f t="array" ref="P708">IFERROR(VLOOKUP(O692,Dex!$B$3:$N1022,11,FALSE),"")</f>
        <v>110</v>
      </c>
      <c r="Q708" s="4957" t="str">
        <f t="array" ref="Q708">IFERROR(VLOOKUP(P708,Dex!$P$22:$Q$276,2,FALSE),"")</f>
        <v/>
      </c>
      <c r="R708" s="4958">
        <v>252.0</v>
      </c>
      <c r="S708" s="4950"/>
      <c r="T708" s="4955" t="s">
        <v>195</v>
      </c>
      <c r="U708" s="4956">
        <f t="array" ref="U708">IFERROR(VLOOKUP(T692,Dex!$B$3:$N1022,11,FALSE),"")</f>
        <v>100</v>
      </c>
      <c r="V708" s="4957" t="str">
        <f t="array" ref="V708">IFERROR(VLOOKUP(U708,Dex!$P$22:$Q$276,2,FALSE),"")</f>
        <v/>
      </c>
      <c r="W708" s="4958">
        <v>252.0</v>
      </c>
      <c r="X708" s="4949"/>
      <c r="Y708" s="2350"/>
      <c r="Z708" s="2350"/>
      <c r="AA708" s="2350"/>
      <c r="AB708" s="2350"/>
      <c r="AC708" s="2350"/>
      <c r="AD708" s="2350"/>
      <c r="AE708" s="2350"/>
      <c r="AF708" s="2350"/>
      <c r="AG708" s="2350"/>
      <c r="AH708" s="2351"/>
      <c r="AI708" s="3466"/>
    </row>
    <row r="709" ht="16.5" customHeight="1">
      <c r="A709" s="3457"/>
      <c r="B709" s="2345"/>
      <c r="C709" s="2338"/>
      <c r="D709" s="4950"/>
      <c r="E709" s="4955" t="s">
        <v>196</v>
      </c>
      <c r="F709" s="4956">
        <f t="array" ref="F709">IFERROR(VLOOKUP(E692,Dex!$B$3:$N1022,12,FALSE),"")</f>
        <v>90</v>
      </c>
      <c r="G709" s="4957" t="str">
        <f t="array" ref="G709">IFERROR(VLOOKUP(F709,Dex!$P$22:$Q$276,2,FALSE),"")</f>
        <v/>
      </c>
      <c r="H709" s="4958"/>
      <c r="I709" s="4950"/>
      <c r="J709" s="4955" t="s">
        <v>196</v>
      </c>
      <c r="K709" s="4956">
        <f t="array" ref="K709">IFERROR(VLOOKUP(J692,Dex!$B$3:$N1022,12,FALSE),"")</f>
        <v>71</v>
      </c>
      <c r="L709" s="4957" t="str">
        <f t="array" ref="L709">IFERROR(VLOOKUP(K709,Dex!$P$22:$Q$276,2,FALSE),"")</f>
        <v/>
      </c>
      <c r="M709" s="4958"/>
      <c r="N709" s="4950"/>
      <c r="O709" s="4955" t="s">
        <v>196</v>
      </c>
      <c r="P709" s="4956">
        <f t="array" ref="P709">IFERROR(VLOOKUP(O692,Dex!$B$3:$N1022,12,FALSE),"")</f>
        <v>80</v>
      </c>
      <c r="Q709" s="4957" t="str">
        <f t="array" ref="Q709">IFERROR(VLOOKUP(P709,Dex!$P$22:$Q$276,2,FALSE),"")</f>
        <v/>
      </c>
      <c r="R709" s="4958"/>
      <c r="S709" s="4950"/>
      <c r="T709" s="4955" t="s">
        <v>196</v>
      </c>
      <c r="U709" s="4956">
        <f t="array" ref="U709">IFERROR(VLOOKUP(T692,Dex!$B$3:$N1022,12,FALSE),"")</f>
        <v>85</v>
      </c>
      <c r="V709" s="4957" t="str">
        <f t="array" ref="V709">IFERROR(VLOOKUP(U709,Dex!$P$22:$Q$276,2,FALSE),"")</f>
        <v/>
      </c>
      <c r="W709" s="4958"/>
      <c r="X709" s="4949"/>
      <c r="Y709" s="2350"/>
      <c r="Z709" s="2350"/>
      <c r="AA709" s="2350"/>
      <c r="AB709" s="2350"/>
      <c r="AC709" s="2350"/>
      <c r="AD709" s="2350"/>
      <c r="AE709" s="2350"/>
      <c r="AF709" s="2350"/>
      <c r="AG709" s="2350"/>
      <c r="AH709" s="2351"/>
      <c r="AI709" s="3466"/>
    </row>
    <row r="710" ht="16.5" customHeight="1">
      <c r="A710" s="3457"/>
      <c r="B710" s="2345"/>
      <c r="C710" s="1204" t="s">
        <v>436</v>
      </c>
      <c r="D710" s="4950"/>
      <c r="E710" s="4959" t="s">
        <v>197</v>
      </c>
      <c r="F710" s="4960">
        <f t="array" ref="F710">IFERROR(VLOOKUP(E692,Dex!$B$3:$N1022,13,FALSE),"")</f>
        <v>60</v>
      </c>
      <c r="G710" s="4961" t="str">
        <f t="array" ref="G710">IFERROR(VLOOKUP(F710,Dex!$P$22:$Q$276,2,FALSE),"")</f>
        <v/>
      </c>
      <c r="H710" s="4962">
        <v>252.0</v>
      </c>
      <c r="I710" s="4950"/>
      <c r="J710" s="4959" t="s">
        <v>197</v>
      </c>
      <c r="K710" s="4960">
        <f t="array" ref="K710">IFERROR(VLOOKUP(J692,Dex!$B$3:$N1022,13,FALSE),"")</f>
        <v>60</v>
      </c>
      <c r="L710" s="4961" t="str">
        <f t="array" ref="L710">IFERROR(VLOOKUP(K710,Dex!$P$22:$Q$276,2,FALSE),"")</f>
        <v/>
      </c>
      <c r="M710" s="4962">
        <v>252.0</v>
      </c>
      <c r="N710" s="4950"/>
      <c r="O710" s="4959" t="s">
        <v>197</v>
      </c>
      <c r="P710" s="4960">
        <f t="array" ref="P710">IFERROR(VLOOKUP(O692,Dex!$B$3:$N1022,13,FALSE),"")</f>
        <v>100</v>
      </c>
      <c r="Q710" s="4961" t="str">
        <f t="array" ref="Q710">IFERROR(VLOOKUP(P710,Dex!$P$22:$Q$276,2,FALSE),"")</f>
        <v/>
      </c>
      <c r="R710" s="4962">
        <v>252.0</v>
      </c>
      <c r="S710" s="4950"/>
      <c r="T710" s="4959" t="s">
        <v>197</v>
      </c>
      <c r="U710" s="4960">
        <f t="array" ref="U710">IFERROR(VLOOKUP(T692,Dex!$B$3:$N1022,13,FALSE),"")</f>
        <v>115</v>
      </c>
      <c r="V710" s="4961" t="str">
        <f t="array" ref="V710">IFERROR(VLOOKUP(U710,Dex!$P$22:$Q$276,2,FALSE),"")</f>
        <v/>
      </c>
      <c r="W710" s="4962">
        <v>252.0</v>
      </c>
      <c r="X710" s="4949"/>
      <c r="Y710" s="2350"/>
      <c r="Z710" s="2350"/>
      <c r="AA710" s="2350"/>
      <c r="AB710" s="2350"/>
      <c r="AC710" s="2350"/>
      <c r="AD710" s="2350"/>
      <c r="AE710" s="2350"/>
      <c r="AF710" s="2350"/>
      <c r="AG710" s="2350"/>
      <c r="AH710" s="2351"/>
      <c r="AI710" s="3466"/>
    </row>
    <row r="711" ht="16.5" customHeight="1">
      <c r="A711" s="3457"/>
      <c r="B711" s="2345"/>
      <c r="C711" s="1205" t="s">
        <v>437</v>
      </c>
      <c r="D711" s="4946"/>
      <c r="E711" s="4963" t="s">
        <v>198</v>
      </c>
      <c r="F711" s="405"/>
      <c r="G711" s="406"/>
      <c r="H711" s="4964">
        <v>152.0</v>
      </c>
      <c r="I711" s="4946"/>
      <c r="J711" s="4963" t="s">
        <v>198</v>
      </c>
      <c r="K711" s="405"/>
      <c r="L711" s="406"/>
      <c r="M711" s="4964">
        <v>152.0</v>
      </c>
      <c r="N711" s="4946"/>
      <c r="O711" s="4963" t="s">
        <v>198</v>
      </c>
      <c r="P711" s="405"/>
      <c r="Q711" s="406"/>
      <c r="R711" s="4964">
        <v>209.0</v>
      </c>
      <c r="S711" s="4946"/>
      <c r="T711" s="4963" t="s">
        <v>198</v>
      </c>
      <c r="U711" s="405"/>
      <c r="V711" s="406"/>
      <c r="W711" s="4964">
        <v>229.0</v>
      </c>
      <c r="X711" s="5009"/>
      <c r="Y711" s="2350"/>
      <c r="Z711" s="2350"/>
      <c r="AA711" s="2350"/>
      <c r="AB711" s="2350"/>
      <c r="AC711" s="2350"/>
      <c r="AD711" s="2350"/>
      <c r="AE711" s="2350"/>
      <c r="AF711" s="2350"/>
      <c r="AG711" s="2350"/>
      <c r="AH711" s="2351"/>
      <c r="AI711" s="3466"/>
    </row>
    <row r="712" ht="15.0" customHeight="1">
      <c r="A712" s="3361"/>
      <c r="B712" s="2385"/>
      <c r="C712" s="2386"/>
      <c r="D712" s="4971"/>
      <c r="E712" s="4972"/>
      <c r="F712" s="4972"/>
      <c r="G712" s="4972"/>
      <c r="H712" s="4972"/>
      <c r="I712" s="4971"/>
      <c r="J712" s="4972"/>
      <c r="K712" s="4972"/>
      <c r="L712" s="4972"/>
      <c r="M712" s="4972"/>
      <c r="N712" s="4971"/>
      <c r="O712" s="4972"/>
      <c r="P712" s="4972"/>
      <c r="Q712" s="4972"/>
      <c r="R712" s="4972"/>
      <c r="S712" s="4971"/>
      <c r="T712" s="4972"/>
      <c r="U712" s="4972"/>
      <c r="V712" s="4972"/>
      <c r="W712" s="4972"/>
      <c r="X712" s="2387"/>
      <c r="Y712" s="2387"/>
      <c r="Z712" s="2387"/>
      <c r="AA712" s="2387"/>
      <c r="AB712" s="2387"/>
      <c r="AC712" s="2387"/>
      <c r="AD712" s="2387"/>
      <c r="AE712" s="2387"/>
      <c r="AF712" s="2387"/>
      <c r="AG712" s="2387"/>
      <c r="AH712" s="2389"/>
      <c r="AI712" s="3367"/>
    </row>
    <row r="713" ht="15.0" customHeight="1">
      <c r="A713" s="3361"/>
      <c r="B713" s="4619"/>
      <c r="C713" s="4620"/>
      <c r="D713" s="4621"/>
      <c r="E713" s="4622"/>
      <c r="F713" s="4622"/>
      <c r="G713" s="4622"/>
      <c r="H713" s="4622"/>
      <c r="I713" s="4622"/>
      <c r="J713" s="4622"/>
      <c r="K713" s="4622"/>
      <c r="L713" s="4622"/>
      <c r="M713" s="4622"/>
      <c r="N713" s="4622"/>
      <c r="O713" s="4622"/>
      <c r="P713" s="4622"/>
      <c r="Q713" s="4622"/>
      <c r="R713" s="4622"/>
      <c r="S713" s="4622"/>
      <c r="T713" s="4622"/>
      <c r="U713" s="4622"/>
      <c r="V713" s="4622"/>
      <c r="W713" s="4622"/>
      <c r="X713" s="4622"/>
      <c r="Y713" s="4622"/>
      <c r="Z713" s="4622"/>
      <c r="AA713" s="4622"/>
      <c r="AB713" s="4622"/>
      <c r="AC713" s="4622"/>
      <c r="AD713" s="4622"/>
      <c r="AE713" s="4622"/>
      <c r="AF713" s="4622"/>
      <c r="AG713" s="4622"/>
      <c r="AH713" s="4623"/>
      <c r="AI713" s="3367"/>
    </row>
    <row r="714">
      <c r="A714" s="3361"/>
      <c r="B714" s="4624"/>
      <c r="C714" s="4625"/>
      <c r="D714" s="4626"/>
      <c r="E714" s="4627" t="s">
        <v>1219</v>
      </c>
      <c r="F714" s="4628"/>
      <c r="G714" s="4628"/>
      <c r="H714" s="4628"/>
      <c r="I714" s="4628"/>
      <c r="J714" s="4628"/>
      <c r="K714" s="4628"/>
      <c r="L714" s="4628"/>
      <c r="M714" s="4628"/>
      <c r="N714" s="4628"/>
      <c r="O714" s="4628"/>
      <c r="P714" s="4628"/>
      <c r="Q714" s="4628"/>
      <c r="R714" s="4628"/>
      <c r="S714" s="4628"/>
      <c r="T714" s="4628"/>
      <c r="U714" s="4628"/>
      <c r="V714" s="4628"/>
      <c r="W714" s="4628"/>
      <c r="X714" s="4628"/>
      <c r="Y714" s="4628"/>
      <c r="Z714" s="4628"/>
      <c r="AA714" s="4628"/>
      <c r="AB714" s="4628"/>
      <c r="AC714" s="4628"/>
      <c r="AD714" s="4628"/>
      <c r="AE714" s="4628"/>
      <c r="AF714" s="4628"/>
      <c r="AG714" s="4629"/>
      <c r="AH714" s="4630"/>
      <c r="AI714" s="3367"/>
    </row>
    <row r="715" ht="96.75" customHeight="1">
      <c r="A715" s="3361"/>
      <c r="B715" s="4631"/>
      <c r="C715" s="4632" t="str">
        <f>IMAGE("https://i.ibb.co/26GFSbd/Bird-Keeper.png")</f>
        <v/>
      </c>
      <c r="D715" s="4916"/>
      <c r="E715" s="4634" t="str">
        <f t="array" ref="E715">IFERROR(VLOOKUP(E716,Dex!$B$3:$G1022,3,FALSE),"")</f>
        <v/>
      </c>
      <c r="F715" s="381"/>
      <c r="G715" s="381"/>
      <c r="H715" s="4280"/>
      <c r="I715" s="4917"/>
      <c r="J715" s="4634" t="str">
        <f t="array" ref="J715">IFERROR(VLOOKUP(J716,Dex!$B$3:$G1022,3,FALSE),"")</f>
        <v/>
      </c>
      <c r="K715" s="381"/>
      <c r="L715" s="381"/>
      <c r="M715" s="4280"/>
      <c r="N715" s="4917"/>
      <c r="O715" s="4634" t="str">
        <f t="array" ref="O715">IFERROR(VLOOKUP(O716,Dex!$B$3:$G1022,3,FALSE),"")</f>
        <v/>
      </c>
      <c r="P715" s="381"/>
      <c r="Q715" s="381"/>
      <c r="R715" s="4280"/>
      <c r="S715" s="4917"/>
      <c r="T715" s="4634" t="str">
        <f t="array" ref="T715">IFERROR(VLOOKUP(T716,Dex!$B$3:$G1022,3,FALSE),"")</f>
        <v/>
      </c>
      <c r="U715" s="381"/>
      <c r="V715" s="381"/>
      <c r="W715" s="4280"/>
      <c r="X715" s="4637"/>
      <c r="Y715" s="4638"/>
      <c r="Z715" s="4639"/>
      <c r="AA715" s="4639"/>
      <c r="AB715" s="4640"/>
      <c r="AC715" s="4626"/>
      <c r="AD715" s="4638"/>
      <c r="AE715" s="4639"/>
      <c r="AF715" s="4639"/>
      <c r="AG715" s="4640"/>
      <c r="AH715" s="4641"/>
      <c r="AI715" s="3367"/>
    </row>
    <row r="716" ht="18.75" customHeight="1">
      <c r="A716" s="3621"/>
      <c r="B716" s="4642"/>
      <c r="C716" s="4643" t="s">
        <v>1220</v>
      </c>
      <c r="D716" s="4918"/>
      <c r="E716" s="4645" t="s">
        <v>1067</v>
      </c>
      <c r="F716" s="4646"/>
      <c r="G716" s="4646"/>
      <c r="H716" s="4647"/>
      <c r="J716" s="4645" t="s">
        <v>1221</v>
      </c>
      <c r="K716" s="4646"/>
      <c r="L716" s="4646"/>
      <c r="M716" s="4647"/>
      <c r="O716" s="4645" t="s">
        <v>1222</v>
      </c>
      <c r="P716" s="4646"/>
      <c r="Q716" s="4646"/>
      <c r="R716" s="4647"/>
      <c r="T716" s="4645" t="s">
        <v>1068</v>
      </c>
      <c r="U716" s="4646"/>
      <c r="V716" s="4646"/>
      <c r="W716" s="4647"/>
      <c r="X716" s="4650"/>
      <c r="Y716" s="4651"/>
      <c r="Z716" s="4639"/>
      <c r="AA716" s="4639"/>
      <c r="AB716" s="4640"/>
      <c r="AC716" s="4652"/>
      <c r="AD716" s="4651"/>
      <c r="AE716" s="4639"/>
      <c r="AF716" s="4639"/>
      <c r="AG716" s="4640"/>
      <c r="AH716" s="4653"/>
      <c r="AI716" s="3631"/>
    </row>
    <row r="717">
      <c r="A717" s="3632"/>
      <c r="B717" s="4654"/>
      <c r="C717" s="1481"/>
      <c r="D717" s="4919"/>
      <c r="E717" s="4656" t="s">
        <v>420</v>
      </c>
      <c r="F717" s="4657"/>
      <c r="G717" s="4657"/>
      <c r="H717" s="4658"/>
      <c r="J717" s="4656" t="s">
        <v>843</v>
      </c>
      <c r="K717" s="4657"/>
      <c r="L717" s="4657"/>
      <c r="M717" s="4658"/>
      <c r="O717" s="4656" t="s">
        <v>843</v>
      </c>
      <c r="P717" s="4657"/>
      <c r="Q717" s="4657"/>
      <c r="R717" s="4658"/>
      <c r="T717" s="4656" t="s">
        <v>843</v>
      </c>
      <c r="U717" s="4657"/>
      <c r="V717" s="4657"/>
      <c r="W717" s="4658"/>
      <c r="X717" s="4650"/>
      <c r="Y717" s="4659"/>
      <c r="Z717" s="4639"/>
      <c r="AA717" s="4639"/>
      <c r="AB717" s="4640"/>
      <c r="AC717" s="4652"/>
      <c r="AD717" s="4659"/>
      <c r="AE717" s="4639"/>
      <c r="AF717" s="4639"/>
      <c r="AG717" s="4640"/>
      <c r="AH717" s="4660"/>
      <c r="AI717" s="3640"/>
    </row>
    <row r="718" ht="25.5" customHeight="1">
      <c r="A718" s="3361"/>
      <c r="B718" s="4631"/>
      <c r="C718" s="1489"/>
      <c r="D718" s="4661"/>
      <c r="E718" s="4662"/>
      <c r="F718" s="4663" t="str">
        <f t="array" ref="F718">IFERROR(VLOOKUP(E716,Dex!$B$3:$H1022,5,FALSE),"")</f>
        <v/>
      </c>
      <c r="G718" s="4664" t="str">
        <f t="array" ref="G718">IFERROR(VLOOKUP(E716,Dex!$B$3:$H1022,7,FALSE),"")</f>
        <v/>
      </c>
      <c r="H718" s="4665"/>
      <c r="J718" s="4662"/>
      <c r="K718" s="4663" t="str">
        <f t="array" ref="K718">IFERROR(VLOOKUP(J716,Dex!$B$3:$H1022,5,FALSE),"")</f>
        <v/>
      </c>
      <c r="L718" s="4664" t="str">
        <f t="array" ref="L718">IFERROR(VLOOKUP(J716,Dex!$B$3:$H1022,7,FALSE),"")</f>
        <v/>
      </c>
      <c r="M718" s="4665"/>
      <c r="O718" s="4662"/>
      <c r="P718" s="4663" t="str">
        <f t="array" ref="P718">IFERROR(VLOOKUP(O716,Dex!$B$3:$H1022,5,FALSE),"")</f>
        <v/>
      </c>
      <c r="Q718" s="4664" t="str">
        <f t="array" ref="Q718">IFERROR(VLOOKUP(O716,Dex!$B$3:$H1022,7,FALSE),"")</f>
        <v/>
      </c>
      <c r="R718" s="4665"/>
      <c r="T718" s="4662"/>
      <c r="U718" s="4663" t="str">
        <f t="array" ref="U718">IFERROR(VLOOKUP(T716,Dex!$B$3:$H1022,5,FALSE),"")</f>
        <v/>
      </c>
      <c r="V718" s="4664" t="str">
        <f t="array" ref="V718">IFERROR(VLOOKUP(T716,Dex!$B$3:$H1022,7,FALSE),"")</f>
        <v/>
      </c>
      <c r="W718" s="4665"/>
      <c r="X718" s="4650"/>
      <c r="Y718" s="4638"/>
      <c r="Z718" s="4639"/>
      <c r="AA718" s="4639"/>
      <c r="AB718" s="4640"/>
      <c r="AC718" s="4652"/>
      <c r="AD718" s="4638"/>
      <c r="AE718" s="4639"/>
      <c r="AF718" s="4639"/>
      <c r="AG718" s="4640"/>
      <c r="AH718" s="4641"/>
      <c r="AI718" s="3367"/>
    </row>
    <row r="719" ht="2.25" customHeight="1">
      <c r="A719" s="3361"/>
      <c r="B719" s="4624"/>
      <c r="C719" s="4666"/>
      <c r="D719" s="4667"/>
      <c r="E719" s="4668"/>
      <c r="F719" s="4669"/>
      <c r="G719" s="4669"/>
      <c r="H719" s="4670"/>
      <c r="J719" s="4668"/>
      <c r="K719" s="4669"/>
      <c r="L719" s="4669"/>
      <c r="M719" s="4670"/>
      <c r="O719" s="4668"/>
      <c r="P719" s="4669"/>
      <c r="Q719" s="4669"/>
      <c r="R719" s="4670"/>
      <c r="T719" s="4668"/>
      <c r="U719" s="4669"/>
      <c r="V719" s="4669"/>
      <c r="W719" s="4670"/>
      <c r="X719" s="4650"/>
      <c r="Y719" s="4671"/>
      <c r="Z719" s="4671"/>
      <c r="AA719" s="4671"/>
      <c r="AB719" s="4671"/>
      <c r="AC719" s="4652"/>
      <c r="AD719" s="4671"/>
      <c r="AE719" s="4671"/>
      <c r="AF719" s="4671"/>
      <c r="AG719" s="4671"/>
      <c r="AH719" s="4641"/>
      <c r="AI719" s="3367"/>
    </row>
    <row r="720" ht="20.25" customHeight="1">
      <c r="A720" s="3361"/>
      <c r="B720" s="4624"/>
      <c r="C720" s="4672"/>
      <c r="D720" s="4638"/>
      <c r="E720" s="4673" t="s">
        <v>205</v>
      </c>
      <c r="F720" s="4674"/>
      <c r="G720" s="4674"/>
      <c r="H720" s="4675"/>
      <c r="J720" s="4673" t="s">
        <v>264</v>
      </c>
      <c r="K720" s="4674"/>
      <c r="L720" s="4674"/>
      <c r="M720" s="4675"/>
      <c r="O720" s="4673" t="s">
        <v>263</v>
      </c>
      <c r="P720" s="4674"/>
      <c r="Q720" s="4674"/>
      <c r="R720" s="4675"/>
      <c r="T720" s="4673" t="s">
        <v>205</v>
      </c>
      <c r="U720" s="4674"/>
      <c r="V720" s="4674"/>
      <c r="W720" s="4675"/>
      <c r="X720" s="4650"/>
      <c r="Y720" s="4638"/>
      <c r="Z720" s="4639"/>
      <c r="AA720" s="4639"/>
      <c r="AB720" s="4640"/>
      <c r="AC720" s="4652"/>
      <c r="AD720" s="4638"/>
      <c r="AE720" s="4639"/>
      <c r="AF720" s="4639"/>
      <c r="AG720" s="4640"/>
      <c r="AH720" s="4641"/>
      <c r="AI720" s="3367"/>
    </row>
    <row r="721" ht="20.25" customHeight="1">
      <c r="A721" s="3361"/>
      <c r="B721" s="4624"/>
      <c r="C721" s="4672"/>
      <c r="D721" s="4638"/>
      <c r="E721" s="4676" t="s">
        <v>1070</v>
      </c>
      <c r="F721" s="4639"/>
      <c r="G721" s="4639"/>
      <c r="H721" s="4677"/>
      <c r="J721" s="4676" t="s">
        <v>518</v>
      </c>
      <c r="K721" s="4639"/>
      <c r="L721" s="4639"/>
      <c r="M721" s="4677"/>
      <c r="O721" s="4676" t="s">
        <v>448</v>
      </c>
      <c r="P721" s="4639"/>
      <c r="Q721" s="4639"/>
      <c r="R721" s="4677"/>
      <c r="T721" s="4676" t="s">
        <v>329</v>
      </c>
      <c r="U721" s="4639"/>
      <c r="V721" s="4639"/>
      <c r="W721" s="4677"/>
      <c r="X721" s="4650"/>
      <c r="Y721" s="4638"/>
      <c r="Z721" s="4639"/>
      <c r="AA721" s="4639"/>
      <c r="AB721" s="4640"/>
      <c r="AC721" s="4652"/>
      <c r="AD721" s="4638"/>
      <c r="AE721" s="4639"/>
      <c r="AF721" s="4639"/>
      <c r="AG721" s="4640"/>
      <c r="AH721" s="4641"/>
      <c r="AI721" s="3367"/>
    </row>
    <row r="722" ht="20.25" customHeight="1">
      <c r="A722" s="3361"/>
      <c r="B722" s="4624"/>
      <c r="C722" s="4672"/>
      <c r="D722" s="4638"/>
      <c r="E722" s="4678" t="s">
        <v>240</v>
      </c>
      <c r="F722" s="4628"/>
      <c r="G722" s="4629"/>
      <c r="H722" s="4679" t="str">
        <f>IMAGE("https://raw.githubusercontent.com/msikma/pokesprite/master/items/hold-item/focus-sash.png",3)</f>
        <v/>
      </c>
      <c r="J722" s="4678" t="s">
        <v>970</v>
      </c>
      <c r="K722" s="4628"/>
      <c r="L722" s="4629"/>
      <c r="M722" s="4679" t="str">
        <f>IMAGE("https://raw.githubusercontent.com/msikma/pokesprite/master/items/hold-item/spell-tag.png",3)</f>
        <v/>
      </c>
      <c r="O722" s="4678" t="s">
        <v>747</v>
      </c>
      <c r="P722" s="4628"/>
      <c r="Q722" s="4629"/>
      <c r="R722" s="4679" t="str">
        <f>IMAGE("https://raw.githubusercontent.com/msikma/pokesprite/master/items/hold-item/sharp-beak.png",3)</f>
        <v/>
      </c>
      <c r="T722" s="4678" t="s">
        <v>272</v>
      </c>
      <c r="U722" s="4628"/>
      <c r="V722" s="4629"/>
      <c r="W722" s="4679" t="str">
        <f>IMAGE("https://raw.githubusercontent.com/msikma/pokesprite/master/items/hold-item/life-orb.png",3)</f>
        <v/>
      </c>
      <c r="X722" s="4650"/>
      <c r="Y722" s="4638"/>
      <c r="Z722" s="4639"/>
      <c r="AA722" s="4639"/>
      <c r="AB722" s="4640"/>
      <c r="AC722" s="4652"/>
      <c r="AD722" s="4638"/>
      <c r="AE722" s="4639"/>
      <c r="AF722" s="4639"/>
      <c r="AG722" s="4640"/>
      <c r="AH722" s="4641"/>
      <c r="AI722" s="3367"/>
    </row>
    <row r="723" ht="20.25" customHeight="1">
      <c r="A723" s="3361"/>
      <c r="B723" s="4624"/>
      <c r="C723" s="4680"/>
      <c r="D723" s="4638"/>
      <c r="E723" s="4673" t="s">
        <v>433</v>
      </c>
      <c r="F723" s="4674"/>
      <c r="G723" s="4681"/>
      <c r="H723" s="4682" t="str">
        <f>IMAGE("https://raw.githubusercontent.com/msikma/pokesprite/master/misc/types/gen8/water.png",4,20,20)</f>
        <v/>
      </c>
      <c r="J723" s="4673" t="s">
        <v>278</v>
      </c>
      <c r="K723" s="4674"/>
      <c r="L723" s="4681"/>
      <c r="M723" s="4682" t="str">
        <f>IMAGE("https://raw.githubusercontent.com/msikma/pokesprite/master/misc/types/gen8/bug.png",4,20,20)</f>
        <v/>
      </c>
      <c r="O723" s="4673" t="s">
        <v>338</v>
      </c>
      <c r="P723" s="4674"/>
      <c r="Q723" s="4681"/>
      <c r="R723" s="4682" t="str">
        <f>IMAGE("https://raw.githubusercontent.com/msikma/pokesprite/master/misc/types/gen8/water.png",4,20,20)</f>
        <v/>
      </c>
      <c r="T723" s="4673" t="s">
        <v>539</v>
      </c>
      <c r="U723" s="4674"/>
      <c r="V723" s="4681"/>
      <c r="W723" s="4682" t="str">
        <f>IMAGE("https://raw.githubusercontent.com/msikma/pokesprite/master/misc/types/gen8/electric.png",4,20,20)</f>
        <v/>
      </c>
      <c r="X723" s="4650"/>
      <c r="Y723" s="4638"/>
      <c r="Z723" s="4639"/>
      <c r="AA723" s="4639"/>
      <c r="AB723" s="4640"/>
      <c r="AC723" s="4652"/>
      <c r="AD723" s="4638"/>
      <c r="AE723" s="4639"/>
      <c r="AF723" s="4639"/>
      <c r="AG723" s="4640"/>
      <c r="AH723" s="4641"/>
      <c r="AI723" s="3367"/>
    </row>
    <row r="724" ht="20.25" customHeight="1">
      <c r="A724" s="3361"/>
      <c r="B724" s="4624"/>
      <c r="C724" s="4680"/>
      <c r="D724" s="4638"/>
      <c r="E724" s="4676" t="s">
        <v>461</v>
      </c>
      <c r="F724" s="4639"/>
      <c r="G724" s="4640"/>
      <c r="H724" s="4683" t="str">
        <f>IMAGE("https://raw.githubusercontent.com/msikma/pokesprite/master/misc/types/gen8/flying.png",4,20,20)</f>
        <v/>
      </c>
      <c r="J724" s="4676" t="s">
        <v>461</v>
      </c>
      <c r="K724" s="4639"/>
      <c r="L724" s="4640"/>
      <c r="M724" s="4683" t="str">
        <f>IMAGE("https://raw.githubusercontent.com/msikma/pokesprite/master/misc/types/gen8/flying.png",4,20,20)</f>
        <v/>
      </c>
      <c r="O724" s="4676" t="s">
        <v>317</v>
      </c>
      <c r="P724" s="4639"/>
      <c r="Q724" s="4640"/>
      <c r="R724" s="4683" t="str">
        <f>IMAGE("https://raw.githubusercontent.com/msikma/pokesprite/master/misc/types/gen8/ice.png",4,20,20)</f>
        <v/>
      </c>
      <c r="T724" s="4676" t="s">
        <v>286</v>
      </c>
      <c r="U724" s="4639"/>
      <c r="V724" s="4640"/>
      <c r="W724" s="4683" t="str">
        <f>IMAGE("https://raw.githubusercontent.com/msikma/pokesprite/master/misc/types/gen8/ground.png",4,20,20)</f>
        <v/>
      </c>
      <c r="X724" s="4650"/>
      <c r="Y724" s="4638"/>
      <c r="Z724" s="4639"/>
      <c r="AA724" s="4639"/>
      <c r="AB724" s="4640"/>
      <c r="AC724" s="4652"/>
      <c r="AD724" s="4638"/>
      <c r="AE724" s="4639"/>
      <c r="AF724" s="4639"/>
      <c r="AG724" s="4640"/>
      <c r="AH724" s="4641"/>
      <c r="AI724" s="3367"/>
    </row>
    <row r="725" ht="20.25" customHeight="1">
      <c r="A725" s="3361"/>
      <c r="B725" s="4624"/>
      <c r="C725" s="4680"/>
      <c r="D725" s="4638"/>
      <c r="E725" s="4676" t="s">
        <v>317</v>
      </c>
      <c r="F725" s="4639"/>
      <c r="G725" s="4640"/>
      <c r="H725" s="4683" t="str">
        <f>IMAGE("https://raw.githubusercontent.com/msikma/pokesprite/master/misc/types/gen8/ice.png",4,20,20)</f>
        <v/>
      </c>
      <c r="J725" s="4676" t="s">
        <v>972</v>
      </c>
      <c r="K725" s="4639"/>
      <c r="L725" s="4640"/>
      <c r="M725" s="4683" t="str">
        <f>IMAGE("https://raw.githubusercontent.com/msikma/pokesprite/master/misc/types/gen8/ghost.png",4,20,20)</f>
        <v/>
      </c>
      <c r="O725" s="4676" t="s">
        <v>219</v>
      </c>
      <c r="P725" s="4639"/>
      <c r="Q725" s="4640"/>
      <c r="R725" s="4683" t="str">
        <f>IMAGE("https://raw.githubusercontent.com/msikma/pokesprite/master/misc/types/gen8/water.png",4,20,20)</f>
        <v/>
      </c>
      <c r="T725" s="4676" t="s">
        <v>405</v>
      </c>
      <c r="U725" s="4639"/>
      <c r="V725" s="4640"/>
      <c r="W725" s="4683" t="str">
        <f>IMAGE("https://raw.githubusercontent.com/msikma/pokesprite/master/misc/types/gen8/poison.png",4,20,20)</f>
        <v/>
      </c>
      <c r="X725" s="4650"/>
      <c r="Y725" s="4638"/>
      <c r="Z725" s="4639"/>
      <c r="AA725" s="4639"/>
      <c r="AB725" s="4640"/>
      <c r="AC725" s="4652"/>
      <c r="AD725" s="4638"/>
      <c r="AE725" s="4639"/>
      <c r="AF725" s="4639"/>
      <c r="AG725" s="4640"/>
      <c r="AH725" s="4641"/>
      <c r="AI725" s="3367"/>
    </row>
    <row r="726" ht="21.0" customHeight="1">
      <c r="A726" s="3361"/>
      <c r="B726" s="4624"/>
      <c r="C726" s="4680"/>
      <c r="D726" s="4638"/>
      <c r="E726" s="4684" t="s">
        <v>251</v>
      </c>
      <c r="F726" s="4685"/>
      <c r="G726" s="4686"/>
      <c r="H726" s="4687" t="str">
        <f>IMAGE("https://raw.githubusercontent.com/msikma/pokesprite/master/misc/types/gen8/flying.png",4,20,20)</f>
        <v/>
      </c>
      <c r="I726" s="4922"/>
      <c r="J726" s="4684" t="s">
        <v>312</v>
      </c>
      <c r="K726" s="4685"/>
      <c r="L726" s="4686"/>
      <c r="M726" s="4687" t="str">
        <f>IMAGE("https://raw.githubusercontent.com/msikma/pokesprite/master/misc/types/gen8/grass.png",4,20,20)</f>
        <v/>
      </c>
      <c r="N726" s="4922"/>
      <c r="O726" s="4684" t="s">
        <v>461</v>
      </c>
      <c r="P726" s="4685"/>
      <c r="Q726" s="4686"/>
      <c r="R726" s="4687" t="str">
        <f>IMAGE("https://raw.githubusercontent.com/msikma/pokesprite/master/misc/types/gen8/flying.png",4,20,20)</f>
        <v/>
      </c>
      <c r="S726" s="4922"/>
      <c r="T726" s="4684" t="s">
        <v>1223</v>
      </c>
      <c r="U726" s="4685"/>
      <c r="V726" s="4686"/>
      <c r="W726" s="4687" t="str">
        <f>IMAGE("https://raw.githubusercontent.com/msikma/pokesprite/master/misc/types/gen8/water.png",4,20,20)</f>
        <v/>
      </c>
      <c r="X726" s="4690"/>
      <c r="Y726" s="4638"/>
      <c r="Z726" s="4639"/>
      <c r="AA726" s="4639"/>
      <c r="AB726" s="4640"/>
      <c r="AC726" s="4691"/>
      <c r="AD726" s="4638"/>
      <c r="AE726" s="4639"/>
      <c r="AF726" s="4639"/>
      <c r="AG726" s="4640"/>
      <c r="AH726" s="4641"/>
      <c r="AI726" s="3367"/>
    </row>
    <row r="727" ht="3.0" customHeight="1">
      <c r="A727" s="3445"/>
      <c r="B727" s="4692"/>
      <c r="C727" s="4680"/>
      <c r="D727" s="4693"/>
      <c r="E727" s="4696"/>
      <c r="F727" s="4696"/>
      <c r="G727" s="4696"/>
      <c r="H727" s="4695"/>
      <c r="I727" s="4693"/>
      <c r="J727" s="4696"/>
      <c r="K727" s="4696"/>
      <c r="L727" s="4696"/>
      <c r="M727" s="4695"/>
      <c r="N727" s="4693"/>
      <c r="O727" s="4696"/>
      <c r="P727" s="4696"/>
      <c r="Q727" s="4696"/>
      <c r="R727" s="4698"/>
      <c r="S727" s="4699"/>
      <c r="T727" s="4696"/>
      <c r="U727" s="4696"/>
      <c r="V727" s="4696"/>
      <c r="W727" s="4698"/>
      <c r="X727" s="4693"/>
      <c r="Y727" s="4693"/>
      <c r="Z727" s="4700"/>
      <c r="AA727" s="4700"/>
      <c r="AB727" s="4701"/>
      <c r="AC727" s="4701"/>
      <c r="AD727" s="4701"/>
      <c r="AE727" s="4701"/>
      <c r="AF727" s="4701"/>
      <c r="AG727" s="4701"/>
      <c r="AH727" s="4702"/>
      <c r="AI727" s="3456"/>
    </row>
    <row r="728" ht="16.5" customHeight="1">
      <c r="A728" s="3457"/>
      <c r="B728" s="4703"/>
      <c r="C728" s="4680"/>
      <c r="D728" s="4728"/>
      <c r="E728" s="4705" t="s">
        <v>190</v>
      </c>
      <c r="F728" s="381"/>
      <c r="G728" s="382"/>
      <c r="H728" s="4706" t="s">
        <v>191</v>
      </c>
      <c r="I728" s="4707"/>
      <c r="J728" s="4705" t="s">
        <v>190</v>
      </c>
      <c r="K728" s="381"/>
      <c r="L728" s="382"/>
      <c r="M728" s="4706" t="s">
        <v>191</v>
      </c>
      <c r="N728" s="4707"/>
      <c r="O728" s="4705" t="s">
        <v>190</v>
      </c>
      <c r="P728" s="381"/>
      <c r="Q728" s="382"/>
      <c r="R728" s="4706" t="s">
        <v>191</v>
      </c>
      <c r="S728" s="4923"/>
      <c r="T728" s="4705" t="s">
        <v>190</v>
      </c>
      <c r="U728" s="381"/>
      <c r="V728" s="382"/>
      <c r="W728" s="4706" t="s">
        <v>191</v>
      </c>
      <c r="X728" s="4709"/>
      <c r="Y728" s="4710"/>
      <c r="Z728" s="4711"/>
      <c r="AA728" s="4711"/>
      <c r="AB728" s="4710"/>
      <c r="AC728" s="4710"/>
      <c r="AD728" s="4710"/>
      <c r="AE728" s="4710"/>
      <c r="AF728" s="4710"/>
      <c r="AG728" s="4710"/>
      <c r="AH728" s="4712"/>
      <c r="AI728" s="3466"/>
    </row>
    <row r="729" ht="16.5" customHeight="1">
      <c r="A729" s="3457"/>
      <c r="B729" s="4703"/>
      <c r="C729" s="4680"/>
      <c r="D729" s="4704"/>
      <c r="E729" s="4713" t="s">
        <v>192</v>
      </c>
      <c r="F729" s="4714">
        <f t="array" ref="F729">IFERROR(VLOOKUP(E716,Dex!$B$3:$N1022,8,FALSE),"")</f>
        <v>85</v>
      </c>
      <c r="G729" s="4715" t="str">
        <f t="array" ref="G729">IFERROR(VLOOKUP(F729,Dex!$P$22:$Q$276,2,FALSE),"")</f>
        <v/>
      </c>
      <c r="H729" s="4716"/>
      <c r="I729" s="4717"/>
      <c r="J729" s="4713" t="s">
        <v>192</v>
      </c>
      <c r="K729" s="4714">
        <f t="array" ref="K729">IFERROR(VLOOKUP(J716,Dex!$B$3:$N1022,8,FALSE),"")</f>
        <v>78</v>
      </c>
      <c r="L729" s="4715" t="str">
        <f t="array" ref="L729">IFERROR(VLOOKUP(K729,Dex!$P$22:$Q$276,2,FALSE),"")</f>
        <v/>
      </c>
      <c r="M729" s="4716"/>
      <c r="N729" s="4718"/>
      <c r="O729" s="4713" t="s">
        <v>192</v>
      </c>
      <c r="P729" s="4714">
        <f t="array" ref="P729">IFERROR(VLOOKUP(O716,Dex!$B$3:$N1022,8,FALSE),"")</f>
        <v>85</v>
      </c>
      <c r="Q729" s="4715" t="str">
        <f t="array" ref="Q729">IFERROR(VLOOKUP(P729,Dex!$P$22:$Q$276,2,FALSE),"")</f>
        <v/>
      </c>
      <c r="R729" s="4716"/>
      <c r="S729" s="4719"/>
      <c r="T729" s="4713" t="s">
        <v>192</v>
      </c>
      <c r="U729" s="4714">
        <f t="array" ref="U729">IFERROR(VLOOKUP(T716,Dex!$B$3:$N1022,8,FALSE),"")</f>
        <v>90</v>
      </c>
      <c r="V729" s="4715" t="str">
        <f t="array" ref="V729">IFERROR(VLOOKUP(U729,Dex!$P$22:$Q$276,2,FALSE),"")</f>
        <v/>
      </c>
      <c r="W729" s="4716">
        <v>252.0</v>
      </c>
      <c r="X729" s="4709"/>
      <c r="Y729" s="4710"/>
      <c r="Z729" s="4711"/>
      <c r="AA729" s="4711"/>
      <c r="AB729" s="4710"/>
      <c r="AC729" s="4710"/>
      <c r="AD729" s="4710"/>
      <c r="AE729" s="4710"/>
      <c r="AF729" s="4710"/>
      <c r="AG729" s="4710"/>
      <c r="AH729" s="4712"/>
      <c r="AI729" s="3466"/>
    </row>
    <row r="730" ht="16.5" customHeight="1">
      <c r="A730" s="3457"/>
      <c r="B730" s="4703"/>
      <c r="C730" s="4680"/>
      <c r="D730" s="4704"/>
      <c r="E730" s="4720" t="s">
        <v>193</v>
      </c>
      <c r="F730" s="4721">
        <f t="array" ref="F730">IFERROR(VLOOKUP(E716,Dex!$B$3:$N1022,9,FALSE),"")</f>
        <v>85</v>
      </c>
      <c r="G730" s="4722" t="str">
        <f t="array" ref="G730">IFERROR(VLOOKUP(F730,Dex!$P$22:$Q$276,2,FALSE),"")</f>
        <v/>
      </c>
      <c r="H730" s="4723"/>
      <c r="I730" s="4717"/>
      <c r="J730" s="4720" t="s">
        <v>193</v>
      </c>
      <c r="K730" s="4721">
        <f t="array" ref="K730">IFERROR(VLOOKUP(J716,Dex!$B$3:$N1022,9,FALSE),"")</f>
        <v>107</v>
      </c>
      <c r="L730" s="4722" t="str">
        <f t="array" ref="L730">IFERROR(VLOOKUP(K730,Dex!$P$22:$Q$276,2,FALSE),"")</f>
        <v/>
      </c>
      <c r="M730" s="4723">
        <v>252.0</v>
      </c>
      <c r="N730" s="4718"/>
      <c r="O730" s="4720" t="s">
        <v>193</v>
      </c>
      <c r="P730" s="4721">
        <f t="array" ref="P730">IFERROR(VLOOKUP(O716,Dex!$B$3:$N1022,9,FALSE),"")</f>
        <v>40</v>
      </c>
      <c r="Q730" s="4722" t="str">
        <f t="array" ref="Q730">IFERROR(VLOOKUP(P730,Dex!$P$22:$Q$276,2,FALSE),"")</f>
        <v/>
      </c>
      <c r="R730" s="4723"/>
      <c r="S730" s="4719"/>
      <c r="T730" s="4720" t="s">
        <v>193</v>
      </c>
      <c r="U730" s="4721">
        <f t="array" ref="U730">IFERROR(VLOOKUP(T716,Dex!$B$3:$N1022,9,FALSE),"")</f>
        <v>92</v>
      </c>
      <c r="V730" s="4722" t="str">
        <f t="array" ref="V730">IFERROR(VLOOKUP(U730,Dex!$P$22:$Q$276,2,FALSE),"")</f>
        <v/>
      </c>
      <c r="W730" s="4723"/>
      <c r="X730" s="4709"/>
      <c r="Y730" s="4710"/>
      <c r="Z730" s="4711"/>
      <c r="AA730" s="4711"/>
      <c r="AB730" s="4710"/>
      <c r="AC730" s="4710"/>
      <c r="AD730" s="4710"/>
      <c r="AE730" s="4710"/>
      <c r="AF730" s="4710"/>
      <c r="AG730" s="4710"/>
      <c r="AH730" s="4712"/>
      <c r="AI730" s="3466"/>
    </row>
    <row r="731" ht="16.5" customHeight="1">
      <c r="A731" s="3457"/>
      <c r="B731" s="4703"/>
      <c r="C731" s="4680"/>
      <c r="D731" s="4704"/>
      <c r="E731" s="4720" t="s">
        <v>194</v>
      </c>
      <c r="F731" s="4721">
        <f t="array" ref="F731">IFERROR(VLOOKUP(E716,Dex!$B$3:$N1022,10,FALSE),"")</f>
        <v>65</v>
      </c>
      <c r="G731" s="4722" t="str">
        <f t="array" ref="G731">IFERROR(VLOOKUP(F731,Dex!$P$22:$Q$276,2,FALSE),"")</f>
        <v/>
      </c>
      <c r="H731" s="4723">
        <v>4.0</v>
      </c>
      <c r="I731" s="4717"/>
      <c r="J731" s="4720" t="s">
        <v>194</v>
      </c>
      <c r="K731" s="4721">
        <f t="array" ref="K731">IFERROR(VLOOKUP(J716,Dex!$B$3:$N1022,10,FALSE),"")</f>
        <v>75</v>
      </c>
      <c r="L731" s="4722" t="str">
        <f t="array" ref="L731">IFERROR(VLOOKUP(K731,Dex!$P$22:$Q$276,2,FALSE),"")</f>
        <v/>
      </c>
      <c r="M731" s="4723">
        <v>4.0</v>
      </c>
      <c r="N731" s="4718"/>
      <c r="O731" s="4720" t="s">
        <v>194</v>
      </c>
      <c r="P731" s="4721">
        <f t="array" ref="P731">IFERROR(VLOOKUP(O716,Dex!$B$3:$N1022,10,FALSE),"")</f>
        <v>70</v>
      </c>
      <c r="Q731" s="4722" t="str">
        <f t="array" ref="Q731">IFERROR(VLOOKUP(P731,Dex!$P$22:$Q$276,2,FALSE),"")</f>
        <v/>
      </c>
      <c r="R731" s="4723"/>
      <c r="S731" s="4719"/>
      <c r="T731" s="4720" t="s">
        <v>194</v>
      </c>
      <c r="U731" s="4721">
        <f t="array" ref="U731">IFERROR(VLOOKUP(T716,Dex!$B$3:$N1022,10,FALSE),"")</f>
        <v>87</v>
      </c>
      <c r="V731" s="4722" t="str">
        <f t="array" ref="V731">IFERROR(VLOOKUP(U731,Dex!$P$22:$Q$276,2,FALSE),"")</f>
        <v/>
      </c>
      <c r="W731" s="4723"/>
      <c r="X731" s="4709"/>
      <c r="Y731" s="4710"/>
      <c r="Z731" s="4711"/>
      <c r="AA731" s="4711"/>
      <c r="AB731" s="4710"/>
      <c r="AC731" s="4710"/>
      <c r="AD731" s="4710"/>
      <c r="AE731" s="4710"/>
      <c r="AF731" s="4710"/>
      <c r="AG731" s="4710"/>
      <c r="AH731" s="4712"/>
      <c r="AI731" s="3466"/>
    </row>
    <row r="732" ht="16.5" customHeight="1">
      <c r="A732" s="3457"/>
      <c r="B732" s="4703"/>
      <c r="C732" s="4680"/>
      <c r="D732" s="4704"/>
      <c r="E732" s="4720" t="s">
        <v>195</v>
      </c>
      <c r="F732" s="4721">
        <f t="array" ref="F732">IFERROR(VLOOKUP(E716,Dex!$B$3:$N1022,11,FALSE),"")</f>
        <v>100</v>
      </c>
      <c r="G732" s="4722" t="str">
        <f t="array" ref="G732">IFERROR(VLOOKUP(F732,Dex!$P$22:$Q$276,2,FALSE),"")</f>
        <v/>
      </c>
      <c r="H732" s="4723">
        <v>252.0</v>
      </c>
      <c r="I732" s="4717"/>
      <c r="J732" s="4720" t="s">
        <v>195</v>
      </c>
      <c r="K732" s="4721">
        <f t="array" ref="K732">IFERROR(VLOOKUP(J716,Dex!$B$3:$N1022,11,FALSE),"")</f>
        <v>95</v>
      </c>
      <c r="L732" s="4722" t="str">
        <f t="array" ref="L732">IFERROR(VLOOKUP(K732,Dex!$P$22:$Q$276,2,FALSE),"")</f>
        <v/>
      </c>
      <c r="M732" s="4723"/>
      <c r="N732" s="4718"/>
      <c r="O732" s="4720" t="s">
        <v>195</v>
      </c>
      <c r="P732" s="4721">
        <f t="array" ref="P732">IFERROR(VLOOKUP(O716,Dex!$B$3:$N1022,11,FALSE),"")</f>
        <v>90</v>
      </c>
      <c r="Q732" s="4722" t="str">
        <f t="array" ref="Q732">IFERROR(VLOOKUP(P732,Dex!$P$22:$Q$276,2,FALSE),"")</f>
        <v/>
      </c>
      <c r="R732" s="4723">
        <v>252.0</v>
      </c>
      <c r="S732" s="4719"/>
      <c r="T732" s="4720" t="s">
        <v>195</v>
      </c>
      <c r="U732" s="4721">
        <f t="array" ref="U732">IFERROR(VLOOKUP(T716,Dex!$B$3:$N1022,11,FALSE),"")</f>
        <v>75</v>
      </c>
      <c r="V732" s="4722" t="str">
        <f t="array" ref="V732">IFERROR(VLOOKUP(U732,Dex!$P$22:$Q$276,2,FALSE),"")</f>
        <v/>
      </c>
      <c r="W732" s="4723">
        <v>252.0</v>
      </c>
      <c r="X732" s="4709"/>
      <c r="Y732" s="4710"/>
      <c r="Z732" s="4711"/>
      <c r="AA732" s="4711"/>
      <c r="AB732" s="4710"/>
      <c r="AC732" s="4710"/>
      <c r="AD732" s="4710"/>
      <c r="AE732" s="4710"/>
      <c r="AF732" s="4710"/>
      <c r="AG732" s="4710"/>
      <c r="AH732" s="4712"/>
      <c r="AI732" s="3466"/>
    </row>
    <row r="733" ht="16.5" customHeight="1">
      <c r="A733" s="3457"/>
      <c r="B733" s="4703"/>
      <c r="C733" s="4680"/>
      <c r="D733" s="4704"/>
      <c r="E733" s="4720" t="s">
        <v>196</v>
      </c>
      <c r="F733" s="4721">
        <f t="array" ref="F733">IFERROR(VLOOKUP(E716,Dex!$B$3:$N1022,12,FALSE),"")</f>
        <v>95</v>
      </c>
      <c r="G733" s="4722" t="str">
        <f t="array" ref="G733">IFERROR(VLOOKUP(F733,Dex!$P$22:$Q$276,2,FALSE),"")</f>
        <v/>
      </c>
      <c r="H733" s="4723"/>
      <c r="I733" s="4717"/>
      <c r="J733" s="4720" t="s">
        <v>196</v>
      </c>
      <c r="K733" s="4721">
        <f t="array" ref="K733">IFERROR(VLOOKUP(J716,Dex!$B$3:$N1022,12,FALSE),"")</f>
        <v>85</v>
      </c>
      <c r="L733" s="4722" t="str">
        <f t="array" ref="L733">IFERROR(VLOOKUP(K733,Dex!$P$22:$Q$276,2,FALSE),"")</f>
        <v/>
      </c>
      <c r="M733" s="4723"/>
      <c r="N733" s="4718"/>
      <c r="O733" s="4720" t="s">
        <v>196</v>
      </c>
      <c r="P733" s="4721">
        <f t="array" ref="P733">IFERROR(VLOOKUP(O716,Dex!$B$3:$N1022,12,FALSE),"")</f>
        <v>140</v>
      </c>
      <c r="Q733" s="4722" t="str">
        <f t="array" ref="Q733">IFERROR(VLOOKUP(P733,Dex!$P$22:$Q$276,2,FALSE),"")</f>
        <v/>
      </c>
      <c r="R733" s="4723">
        <v>4.0</v>
      </c>
      <c r="S733" s="4719"/>
      <c r="T733" s="4720" t="s">
        <v>196</v>
      </c>
      <c r="U733" s="4721">
        <f t="array" ref="U733">IFERROR(VLOOKUP(T716,Dex!$B$3:$N1022,12,FALSE),"")</f>
        <v>85</v>
      </c>
      <c r="V733" s="4722" t="str">
        <f t="array" ref="V733">IFERROR(VLOOKUP(U733,Dex!$P$22:$Q$276,2,FALSE),"")</f>
        <v/>
      </c>
      <c r="W733" s="4723">
        <v>4.0</v>
      </c>
      <c r="X733" s="4709"/>
      <c r="Y733" s="4710"/>
      <c r="Z733" s="4711"/>
      <c r="AA733" s="4711"/>
      <c r="AB733" s="4710"/>
      <c r="AC733" s="4710"/>
      <c r="AD733" s="4710"/>
      <c r="AE733" s="4710"/>
      <c r="AF733" s="4710"/>
      <c r="AG733" s="4710"/>
      <c r="AH733" s="4712"/>
      <c r="AI733" s="3466"/>
    </row>
    <row r="734" ht="16.5" customHeight="1">
      <c r="A734" s="3457"/>
      <c r="B734" s="4703"/>
      <c r="C734" s="1204" t="s">
        <v>436</v>
      </c>
      <c r="D734" s="4704"/>
      <c r="E734" s="4724" t="s">
        <v>197</v>
      </c>
      <c r="F734" s="4725">
        <f t="array" ref="F734">IFERROR(VLOOKUP(E716,Dex!$B$3:$N1022,13,FALSE),"")</f>
        <v>105</v>
      </c>
      <c r="G734" s="4726" t="str">
        <f t="array" ref="G734">IFERROR(VLOOKUP(F734,Dex!$P$22:$Q$276,2,FALSE),"")</f>
        <v/>
      </c>
      <c r="H734" s="4727">
        <v>252.0</v>
      </c>
      <c r="I734" s="4717"/>
      <c r="J734" s="4724" t="s">
        <v>197</v>
      </c>
      <c r="K734" s="4725">
        <f t="array" ref="K734">IFERROR(VLOOKUP(J716,Dex!$B$3:$N1022,13,FALSE),"")</f>
        <v>100</v>
      </c>
      <c r="L734" s="4726" t="str">
        <f t="array" ref="L734">IFERROR(VLOOKUP(K734,Dex!$P$22:$Q$276,2,FALSE),"")</f>
        <v/>
      </c>
      <c r="M734" s="4727">
        <v>252.0</v>
      </c>
      <c r="N734" s="4718"/>
      <c r="O734" s="4724" t="s">
        <v>197</v>
      </c>
      <c r="P734" s="4725">
        <f t="array" ref="P734">IFERROR(VLOOKUP(O716,Dex!$B$3:$N1022,13,FALSE),"")</f>
        <v>70</v>
      </c>
      <c r="Q734" s="4726" t="str">
        <f t="array" ref="Q734">IFERROR(VLOOKUP(P734,Dex!$P$22:$Q$276,2,FALSE),"")</f>
        <v/>
      </c>
      <c r="R734" s="4727">
        <v>252.0</v>
      </c>
      <c r="S734" s="4719"/>
      <c r="T734" s="4724" t="s">
        <v>197</v>
      </c>
      <c r="U734" s="4725">
        <f t="array" ref="U734">IFERROR(VLOOKUP(T716,Dex!$B$3:$N1022,13,FALSE),"")</f>
        <v>76</v>
      </c>
      <c r="V734" s="4726" t="str">
        <f t="array" ref="V734">IFERROR(VLOOKUP(U734,Dex!$P$22:$Q$276,2,FALSE),"")</f>
        <v/>
      </c>
      <c r="W734" s="4727"/>
      <c r="X734" s="4709"/>
      <c r="Y734" s="4710"/>
      <c r="Z734" s="4711"/>
      <c r="AA734" s="4711"/>
      <c r="AB734" s="4710"/>
      <c r="AC734" s="4710"/>
      <c r="AD734" s="4710"/>
      <c r="AE734" s="4710"/>
      <c r="AF734" s="4710"/>
      <c r="AG734" s="4710"/>
      <c r="AH734" s="4712"/>
      <c r="AI734" s="3466"/>
    </row>
    <row r="735" ht="16.5" customHeight="1">
      <c r="A735" s="3457"/>
      <c r="B735" s="4703"/>
      <c r="C735" s="1205" t="s">
        <v>437</v>
      </c>
      <c r="D735" s="4728"/>
      <c r="E735" s="4729" t="s">
        <v>198</v>
      </c>
      <c r="F735" s="405"/>
      <c r="G735" s="406"/>
      <c r="H735" s="4730">
        <v>225.0</v>
      </c>
      <c r="I735" s="4707"/>
      <c r="J735" s="4729" t="s">
        <v>198</v>
      </c>
      <c r="K735" s="405"/>
      <c r="L735" s="406"/>
      <c r="M735" s="4730">
        <v>209.0</v>
      </c>
      <c r="N735" s="4707"/>
      <c r="O735" s="4731" t="s">
        <v>198</v>
      </c>
      <c r="P735" s="918"/>
      <c r="Q735" s="919"/>
      <c r="R735" s="4732">
        <v>152.0</v>
      </c>
      <c r="S735" s="4924"/>
      <c r="T735" s="4729" t="s">
        <v>198</v>
      </c>
      <c r="U735" s="405"/>
      <c r="V735" s="406"/>
      <c r="W735" s="4730">
        <v>132.0</v>
      </c>
      <c r="X735" s="4709"/>
      <c r="Y735" s="4710"/>
      <c r="Z735" s="4711"/>
      <c r="AA735" s="4711"/>
      <c r="AB735" s="4710"/>
      <c r="AC735" s="4710"/>
      <c r="AD735" s="4710"/>
      <c r="AE735" s="4710"/>
      <c r="AF735" s="4710"/>
      <c r="AG735" s="4710"/>
      <c r="AH735" s="4712"/>
      <c r="AI735" s="3466"/>
    </row>
    <row r="736" ht="16.5" customHeight="1">
      <c r="A736" s="3457"/>
      <c r="B736" s="4973"/>
      <c r="C736" s="4974"/>
      <c r="D736" s="4975"/>
      <c r="E736" s="5010"/>
      <c r="F736" s="4977"/>
      <c r="G736" s="4978"/>
      <c r="H736" s="4979"/>
      <c r="I736" s="4976"/>
      <c r="J736" s="4977"/>
      <c r="K736" s="4977"/>
      <c r="L736" s="4978"/>
      <c r="M736" s="4979"/>
      <c r="N736" s="4976"/>
      <c r="O736" s="4741" t="s">
        <v>465</v>
      </c>
      <c r="P736" s="925"/>
      <c r="Q736" s="926"/>
      <c r="R736" s="4742">
        <v>304.0</v>
      </c>
      <c r="S736" s="4980"/>
      <c r="T736" s="4977"/>
      <c r="U736" s="4977"/>
      <c r="V736" s="4978"/>
      <c r="W736" s="4979"/>
      <c r="X736" s="4979"/>
      <c r="Y736" s="4979"/>
      <c r="Z736" s="4981"/>
      <c r="AA736" s="4981"/>
      <c r="AB736" s="4979"/>
      <c r="AC736" s="4979"/>
      <c r="AD736" s="4979"/>
      <c r="AE736" s="4979"/>
      <c r="AF736" s="4979"/>
      <c r="AG736" s="4979"/>
      <c r="AH736" s="4982"/>
      <c r="AI736" s="3466"/>
    </row>
    <row r="737" ht="15.0" customHeight="1">
      <c r="A737" s="3361"/>
      <c r="B737" s="4743"/>
      <c r="C737" s="4744"/>
      <c r="D737" s="4745"/>
      <c r="E737" s="4744"/>
      <c r="F737" s="4744"/>
      <c r="G737" s="4744"/>
      <c r="H737" s="4746"/>
      <c r="I737" s="4745"/>
      <c r="J737" s="4745"/>
      <c r="K737" s="4745"/>
      <c r="L737" s="4745"/>
      <c r="M737" s="4745"/>
      <c r="N737" s="4745"/>
      <c r="O737" s="4746"/>
      <c r="P737" s="4746"/>
      <c r="Q737" s="4746"/>
      <c r="R737" s="4746"/>
      <c r="S737" s="4745"/>
      <c r="T737" s="4745"/>
      <c r="U737" s="4745"/>
      <c r="V737" s="4745"/>
      <c r="W737" s="4745"/>
      <c r="X737" s="4745"/>
      <c r="Y737" s="4745"/>
      <c r="Z737" s="4745"/>
      <c r="AA737" s="4745"/>
      <c r="AB737" s="4745"/>
      <c r="AC737" s="4745"/>
      <c r="AD737" s="4745"/>
      <c r="AE737" s="4745"/>
      <c r="AF737" s="4745"/>
      <c r="AG737" s="4745"/>
      <c r="AH737" s="4748"/>
      <c r="AI737" s="3367"/>
    </row>
    <row r="738">
      <c r="A738" s="3361"/>
      <c r="B738" s="5011"/>
      <c r="C738" s="5012"/>
      <c r="D738" s="5013"/>
      <c r="E738" s="5014"/>
      <c r="F738" s="5014"/>
      <c r="G738" s="5014"/>
      <c r="H738" s="5014"/>
      <c r="I738" s="5014"/>
      <c r="J738" s="5014"/>
      <c r="K738" s="5014"/>
      <c r="L738" s="5014"/>
      <c r="M738" s="5014"/>
      <c r="N738" s="5014"/>
      <c r="O738" s="5014"/>
      <c r="P738" s="5014"/>
      <c r="Q738" s="5014"/>
      <c r="R738" s="5014"/>
      <c r="S738" s="5014"/>
      <c r="T738" s="5014"/>
      <c r="U738" s="5014"/>
      <c r="V738" s="5014"/>
      <c r="W738" s="5014"/>
      <c r="X738" s="5014"/>
      <c r="Y738" s="5014"/>
      <c r="Z738" s="5014"/>
      <c r="AA738" s="5014"/>
      <c r="AB738" s="5014"/>
      <c r="AC738" s="5014"/>
      <c r="AD738" s="5014"/>
      <c r="AE738" s="5014"/>
      <c r="AF738" s="5014"/>
      <c r="AG738" s="5014"/>
      <c r="AH738" s="5015"/>
      <c r="AI738" s="3367"/>
    </row>
    <row r="739">
      <c r="A739" s="3361"/>
      <c r="B739" s="5016"/>
      <c r="C739" s="5017"/>
      <c r="D739" s="5018"/>
      <c r="E739" s="5019" t="s">
        <v>1224</v>
      </c>
      <c r="F739" s="5020"/>
      <c r="G739" s="5020"/>
      <c r="H739" s="5020"/>
      <c r="I739" s="5020"/>
      <c r="J739" s="5020"/>
      <c r="K739" s="5020"/>
      <c r="L739" s="5020"/>
      <c r="M739" s="5020"/>
      <c r="N739" s="5020"/>
      <c r="O739" s="5020"/>
      <c r="P739" s="5020"/>
      <c r="Q739" s="5020"/>
      <c r="R739" s="5020"/>
      <c r="S739" s="5020"/>
      <c r="T739" s="5020"/>
      <c r="U739" s="5020"/>
      <c r="V739" s="5020"/>
      <c r="W739" s="5020"/>
      <c r="X739" s="5020"/>
      <c r="Y739" s="5020"/>
      <c r="Z739" s="5020"/>
      <c r="AA739" s="5020"/>
      <c r="AB739" s="5020"/>
      <c r="AC739" s="5020"/>
      <c r="AD739" s="5020"/>
      <c r="AE739" s="5020"/>
      <c r="AF739" s="5020"/>
      <c r="AG739" s="5021"/>
      <c r="AH739" s="5022"/>
      <c r="AI739" s="3367"/>
    </row>
    <row r="740" ht="96.75" customHeight="1">
      <c r="A740" s="3361"/>
      <c r="B740" s="5023"/>
      <c r="C740" s="5024" t="str">
        <f>IMAGE("https://i.ibb.co/31XckWH/Dragon-Tamer.png")</f>
        <v/>
      </c>
      <c r="D740" s="5025"/>
      <c r="E740" s="5026" t="str">
        <f t="array" ref="E740">IFERROR(VLOOKUP(E741,Dex!$B$3:$G1022,3,FALSE),"")</f>
        <v/>
      </c>
      <c r="F740" s="1830"/>
      <c r="G740" s="1830"/>
      <c r="H740" s="1831"/>
      <c r="I740" s="5025"/>
      <c r="J740" s="5026" t="str">
        <f t="array" ref="J740">IFERROR(VLOOKUP(J741,Dex!$B$3:$G1022,3,FALSE),"")</f>
        <v/>
      </c>
      <c r="K740" s="1830"/>
      <c r="L740" s="1830"/>
      <c r="M740" s="1831"/>
      <c r="N740" s="5025"/>
      <c r="O740" s="5026" t="str">
        <f t="array" ref="O740">IFERROR(VLOOKUP(O741,Dex!$B$3:$G1022,3,FALSE),"")</f>
        <v/>
      </c>
      <c r="P740" s="1830"/>
      <c r="Q740" s="1830"/>
      <c r="R740" s="1831"/>
      <c r="S740" s="5025"/>
      <c r="T740" s="5026" t="str">
        <f t="array" ref="T740">IFERROR(VLOOKUP(T741,Dex!$B$3:$G1022,3,FALSE),"")</f>
        <v/>
      </c>
      <c r="U740" s="1830"/>
      <c r="V740" s="1830"/>
      <c r="W740" s="1831"/>
      <c r="X740" s="5027"/>
      <c r="Y740" s="5028"/>
      <c r="Z740" s="5029"/>
      <c r="AA740" s="5029"/>
      <c r="AB740" s="5030"/>
      <c r="AC740" s="5031"/>
      <c r="AD740" s="5028"/>
      <c r="AE740" s="5029"/>
      <c r="AF740" s="5029"/>
      <c r="AG740" s="5030"/>
      <c r="AH740" s="5032"/>
      <c r="AI740" s="3367"/>
    </row>
    <row r="741" ht="18.75" customHeight="1">
      <c r="A741" s="3621"/>
      <c r="B741" s="5033"/>
      <c r="C741" s="5034" t="s">
        <v>1225</v>
      </c>
      <c r="D741" s="5035"/>
      <c r="E741" s="5036" t="s">
        <v>1226</v>
      </c>
      <c r="F741" s="5037"/>
      <c r="G741" s="5037"/>
      <c r="H741" s="5038"/>
      <c r="I741" s="5035"/>
      <c r="J741" s="5036" t="s">
        <v>1227</v>
      </c>
      <c r="K741" s="5037"/>
      <c r="L741" s="5037"/>
      <c r="M741" s="5038"/>
      <c r="N741" s="5035"/>
      <c r="O741" s="5036" t="s">
        <v>1228</v>
      </c>
      <c r="P741" s="5037"/>
      <c r="Q741" s="5037"/>
      <c r="R741" s="5038"/>
      <c r="S741" s="5035"/>
      <c r="T741" s="5036" t="s">
        <v>1229</v>
      </c>
      <c r="U741" s="5037"/>
      <c r="V741" s="5037"/>
      <c r="W741" s="5038"/>
      <c r="X741" s="5039"/>
      <c r="Y741" s="5040"/>
      <c r="Z741" s="5029"/>
      <c r="AA741" s="5029"/>
      <c r="AB741" s="5030"/>
      <c r="AC741" s="5041"/>
      <c r="AD741" s="5040"/>
      <c r="AE741" s="5029"/>
      <c r="AF741" s="5029"/>
      <c r="AG741" s="5030"/>
      <c r="AH741" s="5042"/>
      <c r="AI741" s="3631"/>
    </row>
    <row r="742">
      <c r="A742" s="3632"/>
      <c r="B742" s="5043"/>
      <c r="C742" s="1481"/>
      <c r="D742" s="5044"/>
      <c r="E742" s="5045" t="s">
        <v>715</v>
      </c>
      <c r="F742" s="5046"/>
      <c r="G742" s="5046"/>
      <c r="H742" s="5047"/>
      <c r="I742" s="5044"/>
      <c r="J742" s="5045" t="s">
        <v>715</v>
      </c>
      <c r="K742" s="5046"/>
      <c r="L742" s="5046"/>
      <c r="M742" s="5047"/>
      <c r="N742" s="5044"/>
      <c r="O742" s="5045" t="s">
        <v>715</v>
      </c>
      <c r="P742" s="5046"/>
      <c r="Q742" s="5046"/>
      <c r="R742" s="5047"/>
      <c r="S742" s="5044"/>
      <c r="T742" s="5045" t="s">
        <v>715</v>
      </c>
      <c r="U742" s="5046"/>
      <c r="V742" s="5046"/>
      <c r="W742" s="5047"/>
      <c r="X742" s="5039"/>
      <c r="Y742" s="5048"/>
      <c r="Z742" s="5029"/>
      <c r="AA742" s="5029"/>
      <c r="AB742" s="5030"/>
      <c r="AC742" s="5041"/>
      <c r="AD742" s="5048"/>
      <c r="AE742" s="5029"/>
      <c r="AF742" s="5029"/>
      <c r="AG742" s="5030"/>
      <c r="AH742" s="5049"/>
      <c r="AI742" s="3640"/>
    </row>
    <row r="743" ht="25.5" customHeight="1">
      <c r="A743" s="3361"/>
      <c r="B743" s="5023"/>
      <c r="C743" s="1489"/>
      <c r="D743" s="5050"/>
      <c r="E743" s="5051"/>
      <c r="F743" s="5052" t="str">
        <f t="array" ref="F743">IFERROR(VLOOKUP(E741,Dex!$B$3:$H1022,5,FALSE),"")</f>
        <v/>
      </c>
      <c r="G743" s="5053" t="str">
        <f t="array" ref="G743">IFERROR(VLOOKUP(E741,Dex!$B$3:$H1022,7,FALSE),"")</f>
        <v/>
      </c>
      <c r="H743" s="5054"/>
      <c r="I743" s="5050"/>
      <c r="J743" s="5051"/>
      <c r="K743" s="5055" t="str">
        <f t="array" ref="K743">IFERROR(VLOOKUP(J741,Dex!$B$3:$H1022,5,FALSE),"")</f>
        <v/>
      </c>
      <c r="L743" s="5056"/>
      <c r="M743" s="5054"/>
      <c r="N743" s="5050"/>
      <c r="O743" s="5051"/>
      <c r="P743" s="5052" t="str">
        <f t="array" ref="P743">IFERROR(VLOOKUP(O741,Dex!$B$3:$H1022,5,FALSE),"")</f>
        <v/>
      </c>
      <c r="Q743" s="5053" t="str">
        <f t="array" ref="Q743">IFERROR(VLOOKUP(O741,Dex!$B$3:$H1022,7,FALSE),"")</f>
        <v/>
      </c>
      <c r="R743" s="5054"/>
      <c r="S743" s="5050"/>
      <c r="T743" s="5051"/>
      <c r="U743" s="5052" t="str">
        <f t="array" ref="U743">IFERROR(VLOOKUP(T741,Dex!$B$3:$H1022,5,FALSE),"")</f>
        <v/>
      </c>
      <c r="V743" s="5053" t="str">
        <f t="array" ref="V743">IFERROR(VLOOKUP(T741,Dex!$B$3:$H1022,7,FALSE),"")</f>
        <v/>
      </c>
      <c r="W743" s="5054"/>
      <c r="X743" s="5039"/>
      <c r="Y743" s="5028"/>
      <c r="Z743" s="5029"/>
      <c r="AA743" s="5029"/>
      <c r="AB743" s="5030"/>
      <c r="AC743" s="5041"/>
      <c r="AD743" s="5028"/>
      <c r="AE743" s="5029"/>
      <c r="AF743" s="5029"/>
      <c r="AG743" s="5030"/>
      <c r="AH743" s="5032"/>
      <c r="AI743" s="3367"/>
    </row>
    <row r="744" ht="2.25" customHeight="1">
      <c r="A744" s="3361"/>
      <c r="B744" s="5016"/>
      <c r="C744" s="5057"/>
      <c r="D744" s="5028"/>
      <c r="E744" s="5058"/>
      <c r="F744" s="5059"/>
      <c r="G744" s="5059"/>
      <c r="H744" s="5060"/>
      <c r="I744" s="5028"/>
      <c r="J744" s="5058"/>
      <c r="K744" s="5059"/>
      <c r="L744" s="5059"/>
      <c r="M744" s="5060"/>
      <c r="N744" s="5028"/>
      <c r="O744" s="5058"/>
      <c r="P744" s="5059"/>
      <c r="Q744" s="5059"/>
      <c r="R744" s="5060"/>
      <c r="S744" s="5028"/>
      <c r="T744" s="5058"/>
      <c r="U744" s="5059"/>
      <c r="V744" s="5059"/>
      <c r="W744" s="5060"/>
      <c r="X744" s="5039"/>
      <c r="Y744" s="5061"/>
      <c r="Z744" s="5061"/>
      <c r="AA744" s="5061"/>
      <c r="AB744" s="5061"/>
      <c r="AC744" s="5041"/>
      <c r="AD744" s="5061"/>
      <c r="AE744" s="5061"/>
      <c r="AF744" s="5061"/>
      <c r="AG744" s="5061"/>
      <c r="AH744" s="5032"/>
      <c r="AI744" s="3367"/>
    </row>
    <row r="745" ht="20.25" customHeight="1">
      <c r="A745" s="3361"/>
      <c r="B745" s="5016"/>
      <c r="C745" s="5062"/>
      <c r="D745" s="5028"/>
      <c r="E745" s="5063" t="s">
        <v>205</v>
      </c>
      <c r="F745" s="5064"/>
      <c r="G745" s="5064"/>
      <c r="H745" s="5065"/>
      <c r="I745" s="5028"/>
      <c r="J745" s="5063" t="s">
        <v>263</v>
      </c>
      <c r="K745" s="5064"/>
      <c r="L745" s="5064"/>
      <c r="M745" s="5065"/>
      <c r="N745" s="5028"/>
      <c r="O745" s="5063" t="s">
        <v>263</v>
      </c>
      <c r="P745" s="5064"/>
      <c r="Q745" s="5064"/>
      <c r="R745" s="5065"/>
      <c r="S745" s="5028"/>
      <c r="T745" s="5063" t="s">
        <v>263</v>
      </c>
      <c r="U745" s="5064"/>
      <c r="V745" s="5064"/>
      <c r="W745" s="5065"/>
      <c r="X745" s="5039"/>
      <c r="Y745" s="5028"/>
      <c r="Z745" s="5029"/>
      <c r="AA745" s="5029"/>
      <c r="AB745" s="5030"/>
      <c r="AC745" s="5041"/>
      <c r="AD745" s="5028"/>
      <c r="AE745" s="5029"/>
      <c r="AF745" s="5029"/>
      <c r="AG745" s="5030"/>
      <c r="AH745" s="5032"/>
      <c r="AI745" s="3367"/>
    </row>
    <row r="746">
      <c r="A746" s="3361"/>
      <c r="B746" s="5016"/>
      <c r="C746" s="5062"/>
      <c r="D746" s="5028"/>
      <c r="E746" s="5066" t="s">
        <v>780</v>
      </c>
      <c r="F746" s="5029"/>
      <c r="G746" s="5029"/>
      <c r="H746" s="5067"/>
      <c r="I746" s="5028"/>
      <c r="J746" s="5066" t="s">
        <v>914</v>
      </c>
      <c r="K746" s="5029"/>
      <c r="L746" s="5029"/>
      <c r="M746" s="5067"/>
      <c r="N746" s="5028"/>
      <c r="O746" s="5066" t="s">
        <v>1230</v>
      </c>
      <c r="P746" s="5029"/>
      <c r="Q746" s="5029"/>
      <c r="R746" s="5067"/>
      <c r="S746" s="5028"/>
      <c r="T746" s="5066" t="s">
        <v>1231</v>
      </c>
      <c r="U746" s="5029"/>
      <c r="V746" s="5029"/>
      <c r="W746" s="5067"/>
      <c r="X746" s="5039"/>
      <c r="Y746" s="5028"/>
      <c r="Z746" s="5029"/>
      <c r="AA746" s="5029"/>
      <c r="AB746" s="5030"/>
      <c r="AC746" s="5041"/>
      <c r="AD746" s="5028"/>
      <c r="AE746" s="5029"/>
      <c r="AF746" s="5029"/>
      <c r="AG746" s="5030"/>
      <c r="AH746" s="5032"/>
      <c r="AI746" s="3367"/>
    </row>
    <row r="747" ht="20.25" customHeight="1">
      <c r="A747" s="3361"/>
      <c r="B747" s="5016"/>
      <c r="C747" s="5062"/>
      <c r="D747" s="5028"/>
      <c r="E747" s="5068" t="s">
        <v>240</v>
      </c>
      <c r="F747" s="5020"/>
      <c r="G747" s="5021"/>
      <c r="H747" s="5069" t="str">
        <f>IMAGE("https://raw.githubusercontent.com/msikma/pokesprite/master/items/hold-item/focus-sash.png",3)</f>
        <v/>
      </c>
      <c r="I747" s="5028"/>
      <c r="J747" s="5068" t="s">
        <v>213</v>
      </c>
      <c r="K747" s="5020"/>
      <c r="L747" s="5021"/>
      <c r="M747" s="5069" t="str">
        <f>IMAGE("https://raw.githubusercontent.com/msikma/pokesprite/master/items/berry/sitrus.png",3)</f>
        <v/>
      </c>
      <c r="N747" s="5028"/>
      <c r="O747" s="5068" t="s">
        <v>1232</v>
      </c>
      <c r="P747" s="5020"/>
      <c r="Q747" s="5021"/>
      <c r="R747" s="5069" t="str">
        <f>IMAGE("https://raw.githubusercontent.com/msikma/pokesprite/master/items/mega-stone/swampertite.png",3)</f>
        <v/>
      </c>
      <c r="S747" s="5028"/>
      <c r="T747" s="5068" t="s">
        <v>473</v>
      </c>
      <c r="U747" s="5020"/>
      <c r="V747" s="5021"/>
      <c r="W747" s="5069" t="str">
        <f>IMAGE("https://raw.githubusercontent.com/msikma/pokesprite/master/items/hold-item/assault-vest.png",3)</f>
        <v/>
      </c>
      <c r="X747" s="5039"/>
      <c r="Y747" s="5028"/>
      <c r="Z747" s="5029"/>
      <c r="AA747" s="5029"/>
      <c r="AB747" s="5030"/>
      <c r="AC747" s="5041"/>
      <c r="AD747" s="5028"/>
      <c r="AE747" s="5029"/>
      <c r="AF747" s="5029"/>
      <c r="AG747" s="5030"/>
      <c r="AH747" s="5032"/>
      <c r="AI747" s="3367"/>
    </row>
    <row r="748" ht="20.25" customHeight="1">
      <c r="A748" s="3361"/>
      <c r="B748" s="5016"/>
      <c r="C748" s="5070"/>
      <c r="D748" s="5071" t="s">
        <v>1233</v>
      </c>
      <c r="E748" s="5063" t="s">
        <v>1233</v>
      </c>
      <c r="F748" s="5064"/>
      <c r="G748" s="5072"/>
      <c r="H748" s="5073" t="str">
        <f>IMAGE("https://raw.githubusercontent.com/msikma/pokesprite/master/misc/types/gen8/water.png",4,20,20)</f>
        <v/>
      </c>
      <c r="I748" s="5071" t="s">
        <v>1233</v>
      </c>
      <c r="J748" s="5063" t="s">
        <v>1233</v>
      </c>
      <c r="K748" s="5064"/>
      <c r="L748" s="5072"/>
      <c r="M748" s="5073" t="str">
        <f>IMAGE("https://raw.githubusercontent.com/msikma/pokesprite/master/misc/types/gen8/water.png",4,20,20)</f>
        <v/>
      </c>
      <c r="N748" s="5071" t="s">
        <v>1233</v>
      </c>
      <c r="O748" s="5063" t="s">
        <v>337</v>
      </c>
      <c r="P748" s="5064"/>
      <c r="Q748" s="5072"/>
      <c r="R748" s="5073" t="str">
        <f>IMAGE("https://raw.githubusercontent.com/msikma/pokesprite/master/misc/types/gen8/water.png",4,20,20)</f>
        <v/>
      </c>
      <c r="S748" s="5071" t="s">
        <v>1233</v>
      </c>
      <c r="T748" s="5063" t="s">
        <v>433</v>
      </c>
      <c r="U748" s="5064"/>
      <c r="V748" s="5072"/>
      <c r="W748" s="5073" t="str">
        <f>IMAGE("https://raw.githubusercontent.com/msikma/pokesprite/master/misc/types/gen8/water.png",4,20,20)</f>
        <v/>
      </c>
      <c r="X748" s="5039"/>
      <c r="Y748" s="5028"/>
      <c r="Z748" s="5029"/>
      <c r="AA748" s="5029"/>
      <c r="AB748" s="5030"/>
      <c r="AC748" s="5041"/>
      <c r="AD748" s="5028"/>
      <c r="AE748" s="5029"/>
      <c r="AF748" s="5029"/>
      <c r="AG748" s="5030"/>
      <c r="AH748" s="5032"/>
      <c r="AI748" s="3367"/>
    </row>
    <row r="749" ht="20.25" customHeight="1">
      <c r="A749" s="3361"/>
      <c r="B749" s="5016"/>
      <c r="C749" s="5070"/>
      <c r="D749" s="5071" t="s">
        <v>539</v>
      </c>
      <c r="E749" s="5066" t="s">
        <v>539</v>
      </c>
      <c r="F749" s="5029"/>
      <c r="G749" s="5030"/>
      <c r="H749" s="5074" t="str">
        <f>IMAGE("https://raw.githubusercontent.com/msikma/pokesprite/master/misc/types/gen8/electric.png",4,20,20)</f>
        <v/>
      </c>
      <c r="I749" s="5071" t="s">
        <v>539</v>
      </c>
      <c r="J749" s="5066" t="s">
        <v>317</v>
      </c>
      <c r="K749" s="5029"/>
      <c r="L749" s="5030"/>
      <c r="M749" s="5074" t="str">
        <f>IMAGE("https://raw.githubusercontent.com/msikma/pokesprite/master/misc/types/gen8/ice.png",4,20,20)</f>
        <v/>
      </c>
      <c r="N749" s="5071" t="s">
        <v>539</v>
      </c>
      <c r="O749" s="5066" t="s">
        <v>380</v>
      </c>
      <c r="P749" s="5029"/>
      <c r="Q749" s="5030"/>
      <c r="R749" s="5074" t="str">
        <f>IMAGE("https://raw.githubusercontent.com/msikma/pokesprite/master/misc/types/gen8/dragon.png",4,20,20)</f>
        <v/>
      </c>
      <c r="S749" s="5071" t="s">
        <v>539</v>
      </c>
      <c r="T749" s="5066" t="s">
        <v>380</v>
      </c>
      <c r="U749" s="5029"/>
      <c r="V749" s="5030"/>
      <c r="W749" s="5074" t="str">
        <f>IMAGE("https://raw.githubusercontent.com/msikma/pokesprite/master/misc/types/gen8/dragon.png",4,20,20)</f>
        <v/>
      </c>
      <c r="X749" s="5039"/>
      <c r="Y749" s="5028"/>
      <c r="Z749" s="5029"/>
      <c r="AA749" s="5029"/>
      <c r="AB749" s="5030"/>
      <c r="AC749" s="5041"/>
      <c r="AD749" s="5028"/>
      <c r="AE749" s="5029"/>
      <c r="AF749" s="5029"/>
      <c r="AG749" s="5030"/>
      <c r="AH749" s="5032"/>
      <c r="AI749" s="3367"/>
    </row>
    <row r="750" ht="20.25" customHeight="1">
      <c r="A750" s="3361"/>
      <c r="B750" s="5016"/>
      <c r="C750" s="5070"/>
      <c r="D750" s="5071" t="s">
        <v>476</v>
      </c>
      <c r="E750" s="5066" t="s">
        <v>476</v>
      </c>
      <c r="F750" s="5029"/>
      <c r="G750" s="5030"/>
      <c r="H750" s="5074" t="str">
        <f>IMAGE("https://raw.githubusercontent.com/msikma/pokesprite/master/misc/types/gen8/normal.png",4,20,20)</f>
        <v/>
      </c>
      <c r="I750" s="5071" t="s">
        <v>476</v>
      </c>
      <c r="J750" s="5066" t="s">
        <v>1234</v>
      </c>
      <c r="K750" s="5029"/>
      <c r="L750" s="5030"/>
      <c r="M750" s="5074" t="str">
        <f>IMAGE("https://raw.githubusercontent.com/msikma/pokesprite/master/misc/types/gen8/psychic.png",4,20,20)</f>
        <v/>
      </c>
      <c r="N750" s="5071" t="s">
        <v>476</v>
      </c>
      <c r="O750" s="5066" t="s">
        <v>539</v>
      </c>
      <c r="P750" s="5029"/>
      <c r="Q750" s="5030"/>
      <c r="R750" s="5074" t="str">
        <f>IMAGE("https://raw.githubusercontent.com/msikma/pokesprite/master/misc/types/gen8/electric.png",4,20,20)</f>
        <v/>
      </c>
      <c r="S750" s="5071" t="s">
        <v>476</v>
      </c>
      <c r="T750" s="5066" t="s">
        <v>404</v>
      </c>
      <c r="U750" s="5029"/>
      <c r="V750" s="5030"/>
      <c r="W750" s="5074" t="str">
        <f>IMAGE("https://raw.githubusercontent.com/msikma/pokesprite/master/misc/types/gen8/steel.png",4,20,20)</f>
        <v/>
      </c>
      <c r="X750" s="5039"/>
      <c r="Y750" s="5028"/>
      <c r="Z750" s="5029"/>
      <c r="AA750" s="5029"/>
      <c r="AB750" s="5030"/>
      <c r="AC750" s="5041"/>
      <c r="AD750" s="5028"/>
      <c r="AE750" s="5029"/>
      <c r="AF750" s="5029"/>
      <c r="AG750" s="5030"/>
      <c r="AH750" s="5032"/>
      <c r="AI750" s="3367"/>
    </row>
    <row r="751" ht="21.0" customHeight="1">
      <c r="A751" s="3361"/>
      <c r="B751" s="5016"/>
      <c r="C751" s="5070"/>
      <c r="D751" s="5071" t="s">
        <v>1016</v>
      </c>
      <c r="E751" s="5075" t="s">
        <v>1016</v>
      </c>
      <c r="F751" s="5076"/>
      <c r="G751" s="5077"/>
      <c r="H751" s="5078" t="str">
        <f>IMAGE("https://raw.githubusercontent.com/msikma/pokesprite/master/misc/types/gen8/electric.png",4,20,20)</f>
        <v/>
      </c>
      <c r="I751" s="5071" t="s">
        <v>1016</v>
      </c>
      <c r="J751" s="5075" t="s">
        <v>223</v>
      </c>
      <c r="K751" s="5076"/>
      <c r="L751" s="5077"/>
      <c r="M751" s="5078" t="str">
        <f>IMAGE("https://raw.githubusercontent.com/msikma/pokesprite/master/misc/types/gen8/grass.png",4,20,20)</f>
        <v/>
      </c>
      <c r="N751" s="5071" t="s">
        <v>1016</v>
      </c>
      <c r="O751" s="5075" t="s">
        <v>636</v>
      </c>
      <c r="P751" s="5076"/>
      <c r="Q751" s="5077"/>
      <c r="R751" s="5078" t="str">
        <f>IMAGE("https://raw.githubusercontent.com/msikma/pokesprite/master/misc/types/gen8/ice.png",4,20,20)</f>
        <v/>
      </c>
      <c r="S751" s="5071" t="s">
        <v>1016</v>
      </c>
      <c r="T751" s="5075" t="s">
        <v>539</v>
      </c>
      <c r="U751" s="5076"/>
      <c r="V751" s="5077"/>
      <c r="W751" s="5078" t="str">
        <f>IMAGE("https://raw.githubusercontent.com/msikma/pokesprite/master/misc/types/gen8/electric.png",4,20,20)</f>
        <v/>
      </c>
      <c r="X751" s="5079"/>
      <c r="Y751" s="5028"/>
      <c r="Z751" s="5029"/>
      <c r="AA751" s="5029"/>
      <c r="AB751" s="5030"/>
      <c r="AC751" s="5080"/>
      <c r="AD751" s="5028"/>
      <c r="AE751" s="5029"/>
      <c r="AF751" s="5029"/>
      <c r="AG751" s="5030"/>
      <c r="AH751" s="5032"/>
      <c r="AI751" s="3367"/>
    </row>
    <row r="752" ht="3.0" customHeight="1">
      <c r="A752" s="3445"/>
      <c r="B752" s="5081"/>
      <c r="C752" s="5070"/>
      <c r="D752" s="5082"/>
      <c r="E752" s="5083"/>
      <c r="F752" s="5083"/>
      <c r="G752" s="5083"/>
      <c r="H752" s="5084"/>
      <c r="I752" s="5082"/>
      <c r="J752" s="5085"/>
      <c r="K752" s="5085"/>
      <c r="L752" s="5085"/>
      <c r="M752" s="5084"/>
      <c r="N752" s="5082"/>
      <c r="O752" s="5085"/>
      <c r="P752" s="5085"/>
      <c r="Q752" s="5085"/>
      <c r="R752" s="5086"/>
      <c r="S752" s="5082"/>
      <c r="T752" s="5085"/>
      <c r="U752" s="5085"/>
      <c r="V752" s="5085"/>
      <c r="W752" s="5086"/>
      <c r="X752" s="5082"/>
      <c r="Y752" s="5082"/>
      <c r="Z752" s="5087"/>
      <c r="AA752" s="5087"/>
      <c r="AB752" s="5088"/>
      <c r="AC752" s="5088"/>
      <c r="AD752" s="5088"/>
      <c r="AE752" s="5088"/>
      <c r="AF752" s="5088"/>
      <c r="AG752" s="5088"/>
      <c r="AH752" s="5089"/>
      <c r="AI752" s="3456"/>
    </row>
    <row r="753" ht="16.5" customHeight="1">
      <c r="A753" s="3457"/>
      <c r="B753" s="5090"/>
      <c r="C753" s="5070"/>
      <c r="D753" s="5091"/>
      <c r="E753" s="5092" t="s">
        <v>190</v>
      </c>
      <c r="F753" s="381"/>
      <c r="G753" s="382"/>
      <c r="H753" s="5093" t="s">
        <v>191</v>
      </c>
      <c r="I753" s="5094"/>
      <c r="J753" s="5092" t="s">
        <v>190</v>
      </c>
      <c r="K753" s="381"/>
      <c r="L753" s="382"/>
      <c r="M753" s="5093" t="s">
        <v>191</v>
      </c>
      <c r="N753" s="5094"/>
      <c r="O753" s="5092" t="s">
        <v>190</v>
      </c>
      <c r="P753" s="381"/>
      <c r="Q753" s="382"/>
      <c r="R753" s="5093" t="s">
        <v>191</v>
      </c>
      <c r="S753" s="5094"/>
      <c r="T753" s="5092" t="s">
        <v>190</v>
      </c>
      <c r="U753" s="381"/>
      <c r="V753" s="382"/>
      <c r="W753" s="5093" t="s">
        <v>191</v>
      </c>
      <c r="X753" s="5095"/>
      <c r="Y753" s="5096"/>
      <c r="Z753" s="5097"/>
      <c r="AA753" s="5097"/>
      <c r="AB753" s="5096"/>
      <c r="AC753" s="5096"/>
      <c r="AD753" s="5096"/>
      <c r="AE753" s="5096"/>
      <c r="AF753" s="5096"/>
      <c r="AG753" s="5096"/>
      <c r="AH753" s="5098"/>
      <c r="AI753" s="3466"/>
    </row>
    <row r="754" ht="16.5" customHeight="1">
      <c r="A754" s="3457"/>
      <c r="B754" s="5090"/>
      <c r="C754" s="5070"/>
      <c r="D754" s="5091"/>
      <c r="E754" s="5099" t="s">
        <v>192</v>
      </c>
      <c r="F754" s="5100">
        <f t="array" ref="F754">IFERROR(VLOOKUP(E741,Dex!$B$3:$N1022,8,FALSE),"")</f>
        <v>35</v>
      </c>
      <c r="G754" s="5101" t="str">
        <f t="array" ref="G754">IFERROR(VLOOKUP(F754,Dex!$P$22:$Q$276,2,FALSE),"")</f>
        <v/>
      </c>
      <c r="H754" s="5102"/>
      <c r="I754" s="5091"/>
      <c r="J754" s="5099" t="s">
        <v>192</v>
      </c>
      <c r="K754" s="5100">
        <f t="array" ref="K754">IFERROR(VLOOKUP(J741,Dex!$B$3:$N1022,8,FALSE),"")</f>
        <v>95</v>
      </c>
      <c r="L754" s="5101" t="str">
        <f t="array" ref="L754">IFERROR(VLOOKUP(K754,Dex!$P$22:$Q$276,2,FALSE),"")</f>
        <v/>
      </c>
      <c r="M754" s="5102">
        <v>252.0</v>
      </c>
      <c r="N754" s="5091"/>
      <c r="O754" s="5099" t="s">
        <v>192</v>
      </c>
      <c r="P754" s="5100">
        <f t="array" ref="P754">IFERROR(VLOOKUP(O741,Dex!$B$3:$N1022,8,FALSE),"")</f>
        <v>130</v>
      </c>
      <c r="Q754" s="5101" t="str">
        <f t="array" ref="Q754">IFERROR(VLOOKUP(P754,Dex!$P$22:$Q$276,2,FALSE),"")</f>
        <v/>
      </c>
      <c r="R754" s="5102">
        <v>252.0</v>
      </c>
      <c r="S754" s="5091"/>
      <c r="T754" s="5099" t="s">
        <v>192</v>
      </c>
      <c r="U754" s="5100">
        <f t="array" ref="U754">IFERROR(VLOOKUP(T741,Dex!$B$3:$N1022,8,FALSE),"")</f>
        <v>80</v>
      </c>
      <c r="V754" s="5101" t="str">
        <f t="array" ref="V754">IFERROR(VLOOKUP(U754,Dex!$P$22:$Q$276,2,FALSE),"")</f>
        <v/>
      </c>
      <c r="W754" s="5102">
        <v>252.0</v>
      </c>
      <c r="X754" s="5095"/>
      <c r="Y754" s="5096"/>
      <c r="Z754" s="5097"/>
      <c r="AA754" s="5097"/>
      <c r="AB754" s="5096"/>
      <c r="AC754" s="5096"/>
      <c r="AD754" s="5096"/>
      <c r="AE754" s="5096"/>
      <c r="AF754" s="5096"/>
      <c r="AG754" s="5096"/>
      <c r="AH754" s="5098"/>
      <c r="AI754" s="3466"/>
    </row>
    <row r="755" ht="16.5" customHeight="1">
      <c r="A755" s="3457"/>
      <c r="B755" s="5090"/>
      <c r="C755" s="5070"/>
      <c r="D755" s="5091"/>
      <c r="E755" s="5103" t="s">
        <v>193</v>
      </c>
      <c r="F755" s="5104">
        <f t="array" ref="F755">IFERROR(VLOOKUP(E741,Dex!$B$3:$N1022,9,FALSE),"")</f>
        <v>55</v>
      </c>
      <c r="G755" s="5105" t="str">
        <f t="array" ref="G755">IFERROR(VLOOKUP(F755,Dex!$P$22:$Q$276,2,FALSE),"")</f>
        <v/>
      </c>
      <c r="H755" s="5106"/>
      <c r="I755" s="5091"/>
      <c r="J755" s="5103" t="s">
        <v>193</v>
      </c>
      <c r="K755" s="5104">
        <f t="array" ref="K755">IFERROR(VLOOKUP(J741,Dex!$B$3:$N1022,9,FALSE),"")</f>
        <v>60</v>
      </c>
      <c r="L755" s="5105" t="str">
        <f t="array" ref="L755">IFERROR(VLOOKUP(K755,Dex!$P$22:$Q$276,2,FALSE),"")</f>
        <v/>
      </c>
      <c r="M755" s="5106"/>
      <c r="N755" s="5091"/>
      <c r="O755" s="5103" t="s">
        <v>193</v>
      </c>
      <c r="P755" s="5104">
        <f t="array" ref="P755">IFERROR(VLOOKUP(O741,Dex!$B$3:$N1022,9,FALSE),"")</f>
        <v>105</v>
      </c>
      <c r="Q755" s="5105" t="str">
        <f t="array" ref="Q755">IFERROR(VLOOKUP(P755,Dex!$P$22:$Q$276,2,FALSE),"")</f>
        <v/>
      </c>
      <c r="R755" s="5106"/>
      <c r="S755" s="5091"/>
      <c r="T755" s="5103" t="s">
        <v>193</v>
      </c>
      <c r="U755" s="5104">
        <f t="array" ref="U755">IFERROR(VLOOKUP(T741,Dex!$B$3:$N1022,9,FALSE),"")</f>
        <v>100</v>
      </c>
      <c r="V755" s="5105" t="str">
        <f t="array" ref="V755">IFERROR(VLOOKUP(U755,Dex!$P$22:$Q$276,2,FALSE),"")</f>
        <v/>
      </c>
      <c r="W755" s="5106"/>
      <c r="X755" s="5095"/>
      <c r="Y755" s="5096"/>
      <c r="Z755" s="5097"/>
      <c r="AA755" s="5097"/>
      <c r="AB755" s="5096"/>
      <c r="AC755" s="5096"/>
      <c r="AD755" s="5096"/>
      <c r="AE755" s="5096"/>
      <c r="AF755" s="5096"/>
      <c r="AG755" s="5096"/>
      <c r="AH755" s="5098"/>
      <c r="AI755" s="3466"/>
    </row>
    <row r="756" ht="16.5" customHeight="1">
      <c r="A756" s="3457"/>
      <c r="B756" s="5090"/>
      <c r="C756" s="5070"/>
      <c r="D756" s="5091"/>
      <c r="E756" s="5103" t="s">
        <v>194</v>
      </c>
      <c r="F756" s="5104">
        <f t="array" ref="F756">IFERROR(VLOOKUP(E741,Dex!$B$3:$N1022,10,FALSE),"")</f>
        <v>40</v>
      </c>
      <c r="G756" s="5105" t="str">
        <f t="array" ref="G756">IFERROR(VLOOKUP(F756,Dex!$P$22:$Q$276,2,FALSE),"")</f>
        <v/>
      </c>
      <c r="H756" s="5106"/>
      <c r="I756" s="5091"/>
      <c r="J756" s="5103" t="s">
        <v>194</v>
      </c>
      <c r="K756" s="5104">
        <f t="array" ref="K756">IFERROR(VLOOKUP(J741,Dex!$B$3:$N1022,10,FALSE),"")</f>
        <v>84</v>
      </c>
      <c r="L756" s="5105" t="str">
        <f t="array" ref="L756">IFERROR(VLOOKUP(K756,Dex!$P$22:$Q$276,2,FALSE),"")</f>
        <v/>
      </c>
      <c r="M756" s="5106">
        <v>4.0</v>
      </c>
      <c r="N756" s="5091"/>
      <c r="O756" s="5103" t="s">
        <v>194</v>
      </c>
      <c r="P756" s="5104">
        <f t="array" ref="P756">IFERROR(VLOOKUP(O741,Dex!$B$3:$N1022,10,FALSE),"")</f>
        <v>90</v>
      </c>
      <c r="Q756" s="5105" t="str">
        <f t="array" ref="Q756">IFERROR(VLOOKUP(P756,Dex!$P$22:$Q$276,2,FALSE),"")</f>
        <v/>
      </c>
      <c r="R756" s="5106">
        <v>4.0</v>
      </c>
      <c r="S756" s="5091"/>
      <c r="T756" s="5103" t="s">
        <v>194</v>
      </c>
      <c r="U756" s="5104">
        <f t="array" ref="U756">IFERROR(VLOOKUP(T741,Dex!$B$3:$N1022,10,FALSE),"")</f>
        <v>100</v>
      </c>
      <c r="V756" s="5105" t="str">
        <f t="array" ref="V756">IFERROR(VLOOKUP(U756,Dex!$P$22:$Q$276,2,FALSE),"")</f>
        <v/>
      </c>
      <c r="W756" s="5106">
        <v>4.0</v>
      </c>
      <c r="X756" s="5095"/>
      <c r="Y756" s="5096"/>
      <c r="Z756" s="5097"/>
      <c r="AA756" s="5097"/>
      <c r="AB756" s="5096"/>
      <c r="AC756" s="5096"/>
      <c r="AD756" s="5096"/>
      <c r="AE756" s="5096"/>
      <c r="AF756" s="5096"/>
      <c r="AG756" s="5096"/>
      <c r="AH756" s="5098"/>
      <c r="AI756" s="3466"/>
    </row>
    <row r="757" ht="16.5" customHeight="1">
      <c r="A757" s="3457"/>
      <c r="B757" s="5090"/>
      <c r="C757" s="5070"/>
      <c r="D757" s="5091"/>
      <c r="E757" s="5103" t="s">
        <v>195</v>
      </c>
      <c r="F757" s="5104">
        <f t="array" ref="F757">IFERROR(VLOOKUP(E741,Dex!$B$3:$N1022,11,FALSE),"")</f>
        <v>50</v>
      </c>
      <c r="G757" s="5105" t="str">
        <f t="array" ref="G757">IFERROR(VLOOKUP(F757,Dex!$P$22:$Q$276,2,FALSE),"")</f>
        <v/>
      </c>
      <c r="H757" s="5106">
        <v>252.0</v>
      </c>
      <c r="I757" s="5091"/>
      <c r="J757" s="5103" t="s">
        <v>195</v>
      </c>
      <c r="K757" s="5104">
        <f t="array" ref="K757">IFERROR(VLOOKUP(J741,Dex!$B$3:$N1022,11,FALSE),"")</f>
        <v>100</v>
      </c>
      <c r="L757" s="5105" t="str">
        <f t="array" ref="L757">IFERROR(VLOOKUP(K757,Dex!$P$22:$Q$276,2,FALSE),"")</f>
        <v/>
      </c>
      <c r="M757" s="5106">
        <v>252.0</v>
      </c>
      <c r="N757" s="5091"/>
      <c r="O757" s="5103" t="s">
        <v>195</v>
      </c>
      <c r="P757" s="5104">
        <f t="array" ref="P757">IFERROR(VLOOKUP(O741,Dex!$B$3:$N1022,11,FALSE),"")</f>
        <v>115</v>
      </c>
      <c r="Q757" s="5105" t="str">
        <f t="array" ref="Q757">IFERROR(VLOOKUP(P757,Dex!$P$22:$Q$276,2,FALSE),"")</f>
        <v/>
      </c>
      <c r="R757" s="5106">
        <v>252.0</v>
      </c>
      <c r="S757" s="5091"/>
      <c r="T757" s="5103" t="s">
        <v>195</v>
      </c>
      <c r="U757" s="5104">
        <f t="array" ref="U757">IFERROR(VLOOKUP(T741,Dex!$B$3:$N1022,11,FALSE),"")</f>
        <v>110</v>
      </c>
      <c r="V757" s="5105" t="str">
        <f t="array" ref="V757">IFERROR(VLOOKUP(U757,Dex!$P$22:$Q$276,2,FALSE),"")</f>
        <v/>
      </c>
      <c r="W757" s="5106"/>
      <c r="X757" s="5095"/>
      <c r="Y757" s="5096"/>
      <c r="Z757" s="5097"/>
      <c r="AA757" s="5097"/>
      <c r="AB757" s="5096"/>
      <c r="AC757" s="5096"/>
      <c r="AD757" s="5096"/>
      <c r="AE757" s="5096"/>
      <c r="AF757" s="5096"/>
      <c r="AG757" s="5096"/>
      <c r="AH757" s="5098"/>
      <c r="AI757" s="3466"/>
    </row>
    <row r="758" ht="16.5" customHeight="1">
      <c r="A758" s="3457"/>
      <c r="B758" s="5090"/>
      <c r="C758" s="5070"/>
      <c r="D758" s="5091"/>
      <c r="E758" s="5103" t="s">
        <v>196</v>
      </c>
      <c r="F758" s="5104">
        <f t="array" ref="F758">IFERROR(VLOOKUP(E741,Dex!$B$3:$N1022,12,FALSE),"")</f>
        <v>50</v>
      </c>
      <c r="G758" s="5105" t="str">
        <f t="array" ref="G758">IFERROR(VLOOKUP(F758,Dex!$P$22:$Q$276,2,FALSE),"")</f>
        <v/>
      </c>
      <c r="H758" s="5106">
        <v>4.0</v>
      </c>
      <c r="I758" s="5091"/>
      <c r="J758" s="5103" t="s">
        <v>196</v>
      </c>
      <c r="K758" s="5104">
        <f t="array" ref="K758">IFERROR(VLOOKUP(J741,Dex!$B$3:$N1022,12,FALSE),"")</f>
        <v>125</v>
      </c>
      <c r="L758" s="5105" t="str">
        <f t="array" ref="L758">IFERROR(VLOOKUP(K758,Dex!$P$22:$Q$276,2,FALSE),"")</f>
        <v/>
      </c>
      <c r="M758" s="5106"/>
      <c r="N758" s="5091"/>
      <c r="O758" s="5103" t="s">
        <v>196</v>
      </c>
      <c r="P758" s="5104">
        <f t="array" ref="P758">IFERROR(VLOOKUP(O741,Dex!$B$3:$N1022,12,FALSE),"")</f>
        <v>105</v>
      </c>
      <c r="Q758" s="5105" t="str">
        <f t="array" ref="Q758">IFERROR(VLOOKUP(P758,Dex!$P$22:$Q$276,2,FALSE),"")</f>
        <v/>
      </c>
      <c r="R758" s="5106"/>
      <c r="S758" s="5091"/>
      <c r="T758" s="5103" t="s">
        <v>196</v>
      </c>
      <c r="U758" s="5104">
        <f t="array" ref="U758">IFERROR(VLOOKUP(T741,Dex!$B$3:$N1022,12,FALSE),"")</f>
        <v>150</v>
      </c>
      <c r="V758" s="5105" t="str">
        <f t="array" ref="V758">IFERROR(VLOOKUP(U758,Dex!$P$22:$Q$276,2,FALSE),"")</f>
        <v/>
      </c>
      <c r="W758" s="5106"/>
      <c r="X758" s="5095"/>
      <c r="Y758" s="5096"/>
      <c r="Z758" s="5097"/>
      <c r="AA758" s="5097"/>
      <c r="AB758" s="5096"/>
      <c r="AC758" s="5096"/>
      <c r="AD758" s="5096"/>
      <c r="AE758" s="5096"/>
      <c r="AF758" s="5096"/>
      <c r="AG758" s="5096"/>
      <c r="AH758" s="5098"/>
      <c r="AI758" s="3466"/>
    </row>
    <row r="759" ht="16.5" customHeight="1">
      <c r="A759" s="3457"/>
      <c r="B759" s="5090"/>
      <c r="C759" s="1204" t="s">
        <v>436</v>
      </c>
      <c r="D759" s="5091"/>
      <c r="E759" s="5107" t="s">
        <v>197</v>
      </c>
      <c r="F759" s="5108">
        <f t="array" ref="F759">IFERROR(VLOOKUP(E741,Dex!$B$3:$N1022,13,FALSE),"")</f>
        <v>90</v>
      </c>
      <c r="G759" s="5109" t="str">
        <f t="array" ref="G759">IFERROR(VLOOKUP(F759,Dex!$P$22:$Q$276,2,FALSE),"")</f>
        <v/>
      </c>
      <c r="H759" s="5110">
        <v>252.0</v>
      </c>
      <c r="I759" s="5091"/>
      <c r="J759" s="5107" t="s">
        <v>197</v>
      </c>
      <c r="K759" s="5108">
        <f t="array" ref="K759">IFERROR(VLOOKUP(J741,Dex!$B$3:$N1022,13,FALSE),"")</f>
        <v>86</v>
      </c>
      <c r="L759" s="5109" t="str">
        <f t="array" ref="L759">IFERROR(VLOOKUP(K759,Dex!$P$22:$Q$276,2,FALSE),"")</f>
        <v/>
      </c>
      <c r="M759" s="5110"/>
      <c r="N759" s="5091"/>
      <c r="O759" s="5107" t="s">
        <v>197</v>
      </c>
      <c r="P759" s="5108">
        <f t="array" ref="P759">IFERROR(VLOOKUP(O741,Dex!$B$3:$N1022,13,FALSE),"")</f>
        <v>70</v>
      </c>
      <c r="Q759" s="5109" t="str">
        <f t="array" ref="Q759">IFERROR(VLOOKUP(P759,Dex!$P$22:$Q$276,2,FALSE),"")</f>
        <v/>
      </c>
      <c r="R759" s="5110"/>
      <c r="S759" s="5091"/>
      <c r="T759" s="5107" t="s">
        <v>197</v>
      </c>
      <c r="U759" s="5108">
        <f t="array" ref="U759">IFERROR(VLOOKUP(T741,Dex!$B$3:$N1022,13,FALSE),"")</f>
        <v>60</v>
      </c>
      <c r="V759" s="5109" t="str">
        <f t="array" ref="V759">IFERROR(VLOOKUP(U759,Dex!$P$22:$Q$276,2,FALSE),"")</f>
        <v/>
      </c>
      <c r="W759" s="5110"/>
      <c r="X759" s="5095"/>
      <c r="Y759" s="5096"/>
      <c r="Z759" s="5097"/>
      <c r="AA759" s="5097"/>
      <c r="AB759" s="5096"/>
      <c r="AC759" s="5096"/>
      <c r="AD759" s="5096"/>
      <c r="AE759" s="5096"/>
      <c r="AF759" s="5096"/>
      <c r="AG759" s="5096"/>
      <c r="AH759" s="5098"/>
      <c r="AI759" s="3466"/>
    </row>
    <row r="760" ht="16.5" customHeight="1">
      <c r="A760" s="3457"/>
      <c r="B760" s="5090"/>
      <c r="C760" s="1205" t="s">
        <v>437</v>
      </c>
      <c r="D760" s="5094"/>
      <c r="E760" s="5111" t="s">
        <v>198</v>
      </c>
      <c r="F760" s="405"/>
      <c r="G760" s="406"/>
      <c r="H760" s="5112">
        <v>198.0</v>
      </c>
      <c r="I760" s="5094"/>
      <c r="J760" s="5111" t="s">
        <v>198</v>
      </c>
      <c r="K760" s="405"/>
      <c r="L760" s="406"/>
      <c r="M760" s="5112">
        <v>134.0</v>
      </c>
      <c r="N760" s="5094"/>
      <c r="O760" s="5111" t="s">
        <v>198</v>
      </c>
      <c r="P760" s="405"/>
      <c r="Q760" s="406"/>
      <c r="R760" s="5112">
        <v>114.0</v>
      </c>
      <c r="S760" s="5094"/>
      <c r="T760" s="5111" t="s">
        <v>198</v>
      </c>
      <c r="U760" s="405"/>
      <c r="V760" s="406"/>
      <c r="W760" s="5112">
        <v>100.0</v>
      </c>
      <c r="X760" s="5095"/>
      <c r="Y760" s="5096"/>
      <c r="Z760" s="5097"/>
      <c r="AA760" s="5097"/>
      <c r="AB760" s="5096"/>
      <c r="AC760" s="5096"/>
      <c r="AD760" s="5096"/>
      <c r="AE760" s="5096"/>
      <c r="AF760" s="5096"/>
      <c r="AG760" s="5096"/>
      <c r="AH760" s="5098"/>
      <c r="AI760" s="3466"/>
    </row>
    <row r="761" ht="16.5" customHeight="1">
      <c r="A761" s="3457"/>
      <c r="B761" s="5113"/>
      <c r="C761" s="5114"/>
      <c r="D761" s="5115"/>
      <c r="E761" s="5116"/>
      <c r="F761" s="5117"/>
      <c r="G761" s="5118"/>
      <c r="H761" s="5118"/>
      <c r="I761" s="5115"/>
      <c r="J761" s="5119"/>
      <c r="K761" s="5119"/>
      <c r="L761" s="5120"/>
      <c r="M761" s="5118"/>
      <c r="N761" s="5115"/>
      <c r="O761" s="5119"/>
      <c r="P761" s="5119"/>
      <c r="Q761" s="5120"/>
      <c r="R761" s="5118"/>
      <c r="S761" s="5115"/>
      <c r="T761" s="5119"/>
      <c r="U761" s="5119"/>
      <c r="V761" s="5120"/>
      <c r="W761" s="5118"/>
      <c r="X761" s="5121"/>
      <c r="Y761" s="5121"/>
      <c r="Z761" s="5115"/>
      <c r="AA761" s="5115"/>
      <c r="AB761" s="5121"/>
      <c r="AC761" s="5121"/>
      <c r="AD761" s="5121"/>
      <c r="AE761" s="5121"/>
      <c r="AF761" s="5121"/>
      <c r="AG761" s="5121"/>
      <c r="AH761" s="5122"/>
      <c r="AI761" s="3466"/>
    </row>
    <row r="762" ht="15.0" customHeight="1">
      <c r="A762" s="3361"/>
      <c r="B762" s="3491"/>
      <c r="C762" s="3492"/>
      <c r="D762" s="3493"/>
      <c r="E762" s="3493"/>
      <c r="F762" s="3493"/>
      <c r="G762" s="3493"/>
      <c r="H762" s="3493"/>
      <c r="I762" s="3493"/>
      <c r="J762" s="3493"/>
      <c r="K762" s="3493"/>
      <c r="L762" s="3493"/>
      <c r="M762" s="3493"/>
      <c r="N762" s="3493"/>
      <c r="O762" s="3493"/>
      <c r="P762" s="3493"/>
      <c r="Q762" s="3493"/>
      <c r="R762" s="3493"/>
      <c r="S762" s="3493"/>
      <c r="T762" s="3493"/>
      <c r="U762" s="3493"/>
      <c r="V762" s="3493"/>
      <c r="W762" s="3493"/>
      <c r="X762" s="3493"/>
      <c r="Y762" s="3493"/>
      <c r="Z762" s="3493"/>
      <c r="AA762" s="3493"/>
      <c r="AB762" s="3493"/>
      <c r="AC762" s="3493"/>
      <c r="AD762" s="3493"/>
      <c r="AE762" s="3493"/>
      <c r="AF762" s="3493"/>
      <c r="AG762" s="3493"/>
      <c r="AH762" s="3495"/>
      <c r="AI762" s="3367"/>
    </row>
    <row r="763">
      <c r="A763" s="3361"/>
      <c r="B763" s="5123"/>
      <c r="C763" s="5124"/>
      <c r="D763" s="3505"/>
      <c r="E763" s="5125" t="s">
        <v>1235</v>
      </c>
      <c r="F763" s="3541"/>
      <c r="G763" s="3541"/>
      <c r="H763" s="3541"/>
      <c r="I763" s="3541"/>
      <c r="J763" s="3541"/>
      <c r="K763" s="3541"/>
      <c r="L763" s="3541"/>
      <c r="M763" s="3541"/>
      <c r="N763" s="3541"/>
      <c r="O763" s="3541"/>
      <c r="P763" s="3541"/>
      <c r="Q763" s="3541"/>
      <c r="R763" s="3541"/>
      <c r="S763" s="3541"/>
      <c r="T763" s="3541"/>
      <c r="U763" s="3541"/>
      <c r="V763" s="3541"/>
      <c r="W763" s="3541"/>
      <c r="X763" s="3541"/>
      <c r="Y763" s="3541"/>
      <c r="Z763" s="3541"/>
      <c r="AA763" s="3541"/>
      <c r="AB763" s="3541"/>
      <c r="AC763" s="3541"/>
      <c r="AD763" s="3541"/>
      <c r="AE763" s="3541"/>
      <c r="AF763" s="3541"/>
      <c r="AG763" s="3542"/>
      <c r="AH763" s="5126"/>
      <c r="AI763" s="3367"/>
    </row>
    <row r="764" ht="96.75" customHeight="1">
      <c r="A764" s="3368"/>
      <c r="B764" s="3496"/>
      <c r="C764" s="3497" t="str">
        <f>IMAGE("https://i.ibb.co/TKBZjnF/Ace-Trainer-M.png")</f>
        <v/>
      </c>
      <c r="D764" s="3498"/>
      <c r="E764" s="3499" t="str">
        <f t="array" ref="E764">IFERROR(VLOOKUP(E765,Dex!$B$3:$G1022,3,FALSE),"")</f>
        <v/>
      </c>
      <c r="F764" s="381"/>
      <c r="G764" s="381"/>
      <c r="H764" s="2531"/>
      <c r="I764" s="3500"/>
      <c r="J764" s="3499" t="str">
        <f t="array" ref="J764">IFERROR(VLOOKUP(J765,Dex!$B$3:$G1022,3,FALSE),"")</f>
        <v/>
      </c>
      <c r="K764" s="381"/>
      <c r="L764" s="381"/>
      <c r="M764" s="2531"/>
      <c r="N764" s="5127"/>
      <c r="O764" s="3499" t="str">
        <f t="array" ref="O764">IFERROR(VLOOKUP(O765,Dex!$B$3:$G1022,3,FALSE),"")</f>
        <v/>
      </c>
      <c r="P764" s="381"/>
      <c r="Q764" s="381"/>
      <c r="R764" s="2531"/>
      <c r="S764" s="5128"/>
      <c r="T764" s="3499" t="str">
        <f t="array" ref="T764">IFERROR(VLOOKUP(T765,Dex!$B$3:$G1022,3,FALSE),"")</f>
        <v/>
      </c>
      <c r="U764" s="381"/>
      <c r="V764" s="381"/>
      <c r="W764" s="2531"/>
      <c r="X764" s="3501"/>
      <c r="Y764" s="3502"/>
      <c r="Z764" s="3503"/>
      <c r="AA764" s="3503"/>
      <c r="AB764" s="3504"/>
      <c r="AC764" s="3505"/>
      <c r="AD764" s="3502"/>
      <c r="AE764" s="3503"/>
      <c r="AF764" s="3503"/>
      <c r="AG764" s="3504"/>
      <c r="AH764" s="3507"/>
      <c r="AI764" s="3380"/>
    </row>
    <row r="765" ht="18.75" customHeight="1">
      <c r="A765" s="3381"/>
      <c r="B765" s="3508"/>
      <c r="C765" s="3509" t="s">
        <v>1236</v>
      </c>
      <c r="D765" s="3510"/>
      <c r="E765" s="5129" t="s">
        <v>965</v>
      </c>
      <c r="F765" s="3512"/>
      <c r="G765" s="3512"/>
      <c r="H765" s="5130"/>
      <c r="J765" s="5129" t="s">
        <v>1237</v>
      </c>
      <c r="K765" s="3512"/>
      <c r="L765" s="3512"/>
      <c r="M765" s="5130"/>
      <c r="O765" s="5129" t="s">
        <v>1238</v>
      </c>
      <c r="P765" s="3512"/>
      <c r="Q765" s="3512"/>
      <c r="R765" s="5130"/>
      <c r="T765" s="5129" t="s">
        <v>415</v>
      </c>
      <c r="U765" s="3512"/>
      <c r="V765" s="3512"/>
      <c r="W765" s="5130"/>
      <c r="X765" s="3514"/>
      <c r="Y765" s="3515"/>
      <c r="Z765" s="3503"/>
      <c r="AA765" s="3503"/>
      <c r="AB765" s="3504"/>
      <c r="AC765" s="3516"/>
      <c r="AD765" s="3515"/>
      <c r="AE765" s="3503"/>
      <c r="AF765" s="3503"/>
      <c r="AG765" s="3504"/>
      <c r="AH765" s="3517"/>
      <c r="AI765" s="3393"/>
    </row>
    <row r="766">
      <c r="A766" s="3394"/>
      <c r="B766" s="3518"/>
      <c r="C766" s="1481"/>
      <c r="D766" s="3519"/>
      <c r="E766" s="5131" t="s">
        <v>843</v>
      </c>
      <c r="F766" s="3521"/>
      <c r="G766" s="3521"/>
      <c r="H766" s="5132"/>
      <c r="J766" s="5131" t="s">
        <v>843</v>
      </c>
      <c r="K766" s="3521"/>
      <c r="L766" s="3521"/>
      <c r="M766" s="5132"/>
      <c r="O766" s="5131" t="s">
        <v>843</v>
      </c>
      <c r="P766" s="3521"/>
      <c r="Q766" s="3521"/>
      <c r="R766" s="5132"/>
      <c r="T766" s="5131" t="s">
        <v>843</v>
      </c>
      <c r="U766" s="3521"/>
      <c r="V766" s="3521"/>
      <c r="W766" s="5132"/>
      <c r="X766" s="3514"/>
      <c r="Y766" s="3523"/>
      <c r="Z766" s="3503"/>
      <c r="AA766" s="3503"/>
      <c r="AB766" s="3504"/>
      <c r="AC766" s="3516"/>
      <c r="AD766" s="3523"/>
      <c r="AE766" s="3503"/>
      <c r="AF766" s="3503"/>
      <c r="AG766" s="3504"/>
      <c r="AH766" s="3524"/>
      <c r="AI766" s="3402"/>
    </row>
    <row r="767" ht="25.5" customHeight="1">
      <c r="A767" s="3368"/>
      <c r="B767" s="3496"/>
      <c r="C767" s="1489"/>
      <c r="D767" s="3498"/>
      <c r="E767" s="5133"/>
      <c r="F767" s="5134" t="str">
        <f t="array" ref="F767">IFERROR(VLOOKUP(E765,Dex!$B$3:$H1022,5,FALSE),"")</f>
        <v/>
      </c>
      <c r="G767" s="5135" t="str">
        <f t="array" ref="G767">IFERROR(VLOOKUP(E765,Dex!$B$3:$H1022,7,FALSE),"")</f>
        <v/>
      </c>
      <c r="H767" s="5136"/>
      <c r="J767" s="5133"/>
      <c r="K767" s="5134" t="str">
        <f t="array" ref="K767">IFERROR(VLOOKUP(J765,Dex!$B$3:$H1022,5,FALSE),"")</f>
        <v/>
      </c>
      <c r="L767" s="5135" t="str">
        <f t="array" ref="L767">IFERROR(VLOOKUP(J765,Dex!$B$3:$H1022,7,FALSE),"")</f>
        <v/>
      </c>
      <c r="M767" s="5136"/>
      <c r="O767" s="5133"/>
      <c r="P767" s="5134" t="str">
        <f t="array" ref="P767">IFERROR(VLOOKUP(O765,Dex!$B$3:$H1022,5,FALSE),"")</f>
        <v/>
      </c>
      <c r="Q767" s="5135" t="str">
        <f t="array" ref="Q767">IFERROR(VLOOKUP(O765,Dex!$B$3:$H1022,7,FALSE),"")</f>
        <v/>
      </c>
      <c r="R767" s="5136"/>
      <c r="T767" s="5133"/>
      <c r="U767" s="5134" t="str">
        <f t="array" ref="U767">IFERROR(VLOOKUP(T765,Dex!$B$3:$H1022,5,FALSE),"")</f>
        <v/>
      </c>
      <c r="V767" s="5135" t="str">
        <f t="array" ref="V767">IFERROR(VLOOKUP(T765,Dex!$B$3:$H1022,7,FALSE),"")</f>
        <v/>
      </c>
      <c r="W767" s="5136"/>
      <c r="X767" s="3514"/>
      <c r="Y767" s="3502"/>
      <c r="Z767" s="3503"/>
      <c r="AA767" s="3503"/>
      <c r="AB767" s="3504"/>
      <c r="AC767" s="3516"/>
      <c r="AD767" s="3502"/>
      <c r="AE767" s="3503"/>
      <c r="AF767" s="3503"/>
      <c r="AG767" s="3504"/>
      <c r="AH767" s="3507"/>
      <c r="AI767" s="3380"/>
    </row>
    <row r="768" ht="2.25" customHeight="1">
      <c r="A768" s="3368"/>
      <c r="B768" s="3496"/>
      <c r="C768" s="3529"/>
      <c r="D768" s="3498"/>
      <c r="E768" s="5137"/>
      <c r="F768" s="5138"/>
      <c r="G768" s="5138"/>
      <c r="H768" s="5139"/>
      <c r="J768" s="5137"/>
      <c r="K768" s="5138"/>
      <c r="L768" s="5138"/>
      <c r="M768" s="5139"/>
      <c r="O768" s="5137"/>
      <c r="P768" s="5138"/>
      <c r="Q768" s="5138"/>
      <c r="R768" s="5139"/>
      <c r="T768" s="5137"/>
      <c r="U768" s="5138"/>
      <c r="V768" s="5138"/>
      <c r="W768" s="5139"/>
      <c r="X768" s="3514"/>
      <c r="Y768" s="3533"/>
      <c r="Z768" s="3533"/>
      <c r="AA768" s="3533"/>
      <c r="AB768" s="3533"/>
      <c r="AC768" s="3516"/>
      <c r="AD768" s="3533"/>
      <c r="AE768" s="3533"/>
      <c r="AF768" s="3533"/>
      <c r="AG768" s="3533"/>
      <c r="AH768" s="3507"/>
      <c r="AI768" s="3380"/>
    </row>
    <row r="769" ht="20.25" customHeight="1">
      <c r="A769" s="3368"/>
      <c r="B769" s="3496"/>
      <c r="C769" s="3529"/>
      <c r="D769" s="3498"/>
      <c r="E769" s="3534" t="s">
        <v>205</v>
      </c>
      <c r="F769" s="3535"/>
      <c r="G769" s="3535"/>
      <c r="H769" s="3536"/>
      <c r="J769" s="3534" t="s">
        <v>205</v>
      </c>
      <c r="K769" s="3535"/>
      <c r="L769" s="3535"/>
      <c r="M769" s="3536"/>
      <c r="O769" s="3534" t="s">
        <v>172</v>
      </c>
      <c r="P769" s="3535"/>
      <c r="Q769" s="3535"/>
      <c r="R769" s="3536"/>
      <c r="T769" s="3534" t="s">
        <v>263</v>
      </c>
      <c r="U769" s="3535"/>
      <c r="V769" s="3535"/>
      <c r="W769" s="3536"/>
      <c r="X769" s="3514"/>
      <c r="Y769" s="3502"/>
      <c r="Z769" s="3503"/>
      <c r="AA769" s="3503"/>
      <c r="AB769" s="3504"/>
      <c r="AC769" s="3516"/>
      <c r="AD769" s="3502"/>
      <c r="AE769" s="3503"/>
      <c r="AF769" s="3503"/>
      <c r="AG769" s="3504"/>
      <c r="AH769" s="3507"/>
      <c r="AI769" s="3380"/>
    </row>
    <row r="770">
      <c r="A770" s="3368"/>
      <c r="B770" s="3496"/>
      <c r="C770" s="3537"/>
      <c r="D770" s="3498"/>
      <c r="E770" s="3538" t="s">
        <v>651</v>
      </c>
      <c r="F770" s="3503"/>
      <c r="G770" s="3503"/>
      <c r="H770" s="3539"/>
      <c r="J770" s="3538" t="s">
        <v>502</v>
      </c>
      <c r="K770" s="3503"/>
      <c r="L770" s="3503"/>
      <c r="M770" s="3539"/>
      <c r="O770" s="3538" t="s">
        <v>1239</v>
      </c>
      <c r="P770" s="3503"/>
      <c r="Q770" s="3503"/>
      <c r="R770" s="3539"/>
      <c r="T770" s="3538" t="s">
        <v>448</v>
      </c>
      <c r="U770" s="3503"/>
      <c r="V770" s="3503"/>
      <c r="W770" s="3539"/>
      <c r="X770" s="3514"/>
      <c r="Y770" s="3502"/>
      <c r="Z770" s="3503"/>
      <c r="AA770" s="3503"/>
      <c r="AB770" s="3504"/>
      <c r="AC770" s="3516"/>
      <c r="AD770" s="3502"/>
      <c r="AE770" s="3503"/>
      <c r="AF770" s="3503"/>
      <c r="AG770" s="3504"/>
      <c r="AH770" s="3507"/>
      <c r="AI770" s="3380"/>
    </row>
    <row r="771" ht="20.25" customHeight="1">
      <c r="A771" s="3368"/>
      <c r="B771" s="3496"/>
      <c r="C771" s="3516"/>
      <c r="D771" s="3498"/>
      <c r="E771" s="3540" t="s">
        <v>240</v>
      </c>
      <c r="F771" s="3541"/>
      <c r="G771" s="3542"/>
      <c r="H771" s="3543" t="str">
        <f>IMAGE("https://raw.githubusercontent.com/msikma/pokesprite/master/items/hold-item/focus-sash.png",3)</f>
        <v/>
      </c>
      <c r="J771" s="3540" t="s">
        <v>747</v>
      </c>
      <c r="K771" s="3541"/>
      <c r="L771" s="3542"/>
      <c r="M771" s="3543" t="str">
        <f>IMAGE("https://raw.githubusercontent.com/msikma/pokesprite/master/items/hold-item/sharp-beak.png",3)</f>
        <v/>
      </c>
      <c r="O771" s="3540" t="s">
        <v>1240</v>
      </c>
      <c r="P771" s="3541"/>
      <c r="Q771" s="3542"/>
      <c r="R771" s="3543" t="str">
        <f>IMAGE("https://raw.githubusercontent.com/msikma/pokesprite/master/items/mega-stone/pinsirite.png",3)</f>
        <v/>
      </c>
      <c r="T771" s="3540" t="s">
        <v>626</v>
      </c>
      <c r="U771" s="3541"/>
      <c r="V771" s="3542"/>
      <c r="W771" s="3543" t="str">
        <f>IMAGE("https://raw.githubusercontent.com/msikma/pokesprite/master/items/hold-item/white-herb.png",3)</f>
        <v/>
      </c>
      <c r="X771" s="3514"/>
      <c r="Y771" s="3502"/>
      <c r="Z771" s="3503"/>
      <c r="AA771" s="3503"/>
      <c r="AB771" s="3504"/>
      <c r="AC771" s="3516"/>
      <c r="AD771" s="3502"/>
      <c r="AE771" s="3503"/>
      <c r="AF771" s="3503"/>
      <c r="AG771" s="3504"/>
      <c r="AH771" s="3507"/>
      <c r="AI771" s="3380"/>
    </row>
    <row r="772" ht="20.25" customHeight="1">
      <c r="A772" s="3368"/>
      <c r="B772" s="3496"/>
      <c r="C772" s="3544"/>
      <c r="D772" s="3498"/>
      <c r="E772" s="3534" t="s">
        <v>318</v>
      </c>
      <c r="F772" s="3535"/>
      <c r="G772" s="3545"/>
      <c r="H772" s="3546" t="str">
        <f>IMAGE("https://raw.githubusercontent.com/msikma/pokesprite/master/misc/types/gen8/ghost.png",4,20,20)</f>
        <v/>
      </c>
      <c r="J772" s="3534" t="s">
        <v>461</v>
      </c>
      <c r="K772" s="3535"/>
      <c r="L772" s="3545"/>
      <c r="M772" s="3546" t="str">
        <f>IMAGE("https://raw.githubusercontent.com/msikma/pokesprite/master/misc/types/gen8/flying.png",4,20,20)</f>
        <v/>
      </c>
      <c r="O772" s="3534" t="s">
        <v>538</v>
      </c>
      <c r="P772" s="3535"/>
      <c r="Q772" s="3545"/>
      <c r="R772" s="3546" t="str">
        <f>IMAGE("https://raw.githubusercontent.com/msikma/pokesprite/master/misc/types/gen8/bug.png",4,20,20)</f>
        <v/>
      </c>
      <c r="T772" s="3534" t="s">
        <v>428</v>
      </c>
      <c r="U772" s="3535"/>
      <c r="V772" s="3545"/>
      <c r="W772" s="3546" t="str">
        <f>IMAGE("https://raw.githubusercontent.com/msikma/pokesprite/master/misc/types/gen8/normal.png",4,20,20)</f>
        <v/>
      </c>
      <c r="X772" s="3514"/>
      <c r="Y772" s="3502"/>
      <c r="Z772" s="3503"/>
      <c r="AA772" s="3503"/>
      <c r="AB772" s="3504"/>
      <c r="AC772" s="3516"/>
      <c r="AD772" s="3502"/>
      <c r="AE772" s="3503"/>
      <c r="AF772" s="3503"/>
      <c r="AG772" s="3504"/>
      <c r="AH772" s="3507"/>
      <c r="AI772" s="3380"/>
    </row>
    <row r="773" ht="20.25" customHeight="1">
      <c r="A773" s="3368"/>
      <c r="B773" s="3496"/>
      <c r="C773" s="3529"/>
      <c r="D773" s="3498"/>
      <c r="E773" s="3538" t="s">
        <v>539</v>
      </c>
      <c r="F773" s="3503"/>
      <c r="G773" s="3504"/>
      <c r="H773" s="3547" t="str">
        <f>IMAGE("https://raw.githubusercontent.com/msikma/pokesprite/master/misc/types/gen8/electric.png",4,20,20)</f>
        <v/>
      </c>
      <c r="J773" s="3538" t="s">
        <v>539</v>
      </c>
      <c r="K773" s="3503"/>
      <c r="L773" s="3504"/>
      <c r="M773" s="3547" t="str">
        <f>IMAGE("https://raw.githubusercontent.com/msikma/pokesprite/master/misc/types/gen8/electric.png",4,20,20)</f>
        <v/>
      </c>
      <c r="O773" s="3538" t="s">
        <v>640</v>
      </c>
      <c r="P773" s="3503"/>
      <c r="Q773" s="3504"/>
      <c r="R773" s="3547" t="str">
        <f t="shared" ref="R773:R774" si="20">IMAGE("https://raw.githubusercontent.com/msikma/pokesprite/master/misc/types/gen8/flying.png",4,20,20)</f>
        <v/>
      </c>
      <c r="T773" s="3538" t="s">
        <v>338</v>
      </c>
      <c r="U773" s="3503"/>
      <c r="V773" s="3504"/>
      <c r="W773" s="3547" t="str">
        <f>IMAGE("https://raw.githubusercontent.com/msikma/pokesprite/master/misc/types/gen8/water.png",4,20,20)</f>
        <v/>
      </c>
      <c r="X773" s="3514"/>
      <c r="Y773" s="3502"/>
      <c r="Z773" s="3503"/>
      <c r="AA773" s="3503"/>
      <c r="AB773" s="3504"/>
      <c r="AC773" s="3516"/>
      <c r="AD773" s="3502"/>
      <c r="AE773" s="3503"/>
      <c r="AF773" s="3503"/>
      <c r="AG773" s="3504"/>
      <c r="AH773" s="3507"/>
      <c r="AI773" s="3380"/>
    </row>
    <row r="774" ht="20.25" customHeight="1">
      <c r="A774" s="3368"/>
      <c r="B774" s="3496"/>
      <c r="C774" s="3529"/>
      <c r="D774" s="3498"/>
      <c r="E774" s="3538" t="s">
        <v>410</v>
      </c>
      <c r="F774" s="3503"/>
      <c r="G774" s="3504"/>
      <c r="H774" s="3547" t="str">
        <f>IMAGE("https://raw.githubusercontent.com/msikma/pokesprite/master/misc/types/gen8/dragon.png",4,20,20)</f>
        <v/>
      </c>
      <c r="J774" s="3538" t="s">
        <v>379</v>
      </c>
      <c r="K774" s="3503"/>
      <c r="L774" s="3504"/>
      <c r="M774" s="3547" t="str">
        <f>IMAGE("https://raw.githubusercontent.com/msikma/pokesprite/master/misc/types/gen8/water.png",4,20,20)</f>
        <v/>
      </c>
      <c r="O774" s="3538" t="s">
        <v>635</v>
      </c>
      <c r="P774" s="3503"/>
      <c r="Q774" s="3504"/>
      <c r="R774" s="3547" t="str">
        <f t="shared" si="20"/>
        <v/>
      </c>
      <c r="T774" s="3538" t="s">
        <v>317</v>
      </c>
      <c r="U774" s="3503"/>
      <c r="V774" s="3504"/>
      <c r="W774" s="3547" t="str">
        <f>IMAGE("https://raw.githubusercontent.com/msikma/pokesprite/master/misc/types/gen8/ice.png",4,20,20)</f>
        <v/>
      </c>
      <c r="X774" s="3514"/>
      <c r="Y774" s="3502"/>
      <c r="Z774" s="3503"/>
      <c r="AA774" s="3503"/>
      <c r="AB774" s="3504"/>
      <c r="AC774" s="3516"/>
      <c r="AD774" s="3502"/>
      <c r="AE774" s="3503"/>
      <c r="AF774" s="3503"/>
      <c r="AG774" s="3504"/>
      <c r="AH774" s="3507"/>
      <c r="AI774" s="3380"/>
    </row>
    <row r="775" ht="21.0" customHeight="1">
      <c r="A775" s="3368"/>
      <c r="B775" s="3496"/>
      <c r="C775" s="3529"/>
      <c r="D775" s="3498"/>
      <c r="E775" s="3548" t="s">
        <v>278</v>
      </c>
      <c r="F775" s="3549"/>
      <c r="G775" s="3550"/>
      <c r="H775" s="3551" t="str">
        <f>IMAGE("https://raw.githubusercontent.com/msikma/pokesprite/master/misc/types/gen8/bug.png",4,20,20)</f>
        <v/>
      </c>
      <c r="I775" s="3552"/>
      <c r="J775" s="3548" t="s">
        <v>242</v>
      </c>
      <c r="K775" s="3549"/>
      <c r="L775" s="3550"/>
      <c r="M775" s="3551" t="str">
        <f>IMAGE("https://raw.githubusercontent.com/msikma/pokesprite/master/misc/types/gen8/electric.png",4,20,20)</f>
        <v/>
      </c>
      <c r="N775" s="3552"/>
      <c r="O775" s="3548" t="s">
        <v>316</v>
      </c>
      <c r="P775" s="3549"/>
      <c r="Q775" s="3550"/>
      <c r="R775" s="3551" t="str">
        <f>IMAGE("https://raw.githubusercontent.com/msikma/pokesprite/master/misc/types/gen8/fighting.png",4,20,20)</f>
        <v/>
      </c>
      <c r="S775" s="3552"/>
      <c r="T775" s="3548" t="s">
        <v>737</v>
      </c>
      <c r="U775" s="3549"/>
      <c r="V775" s="3550"/>
      <c r="W775" s="3551" t="str">
        <f>IMAGE("https://raw.githubusercontent.com/msikma/pokesprite/master/misc/types/gen8/rock.png",4,20,20)</f>
        <v/>
      </c>
      <c r="X775" s="3553"/>
      <c r="Y775" s="3502"/>
      <c r="Z775" s="3503"/>
      <c r="AA775" s="3503"/>
      <c r="AB775" s="3504"/>
      <c r="AC775" s="3544"/>
      <c r="AD775" s="3502"/>
      <c r="AE775" s="3503"/>
      <c r="AF775" s="3503"/>
      <c r="AG775" s="3504"/>
      <c r="AH775" s="3507"/>
      <c r="AI775" s="3380"/>
    </row>
    <row r="776" ht="3.0" customHeight="1">
      <c r="A776" s="3445"/>
      <c r="B776" s="3554"/>
      <c r="C776" s="3555"/>
      <c r="D776" s="3556"/>
      <c r="E776" s="3558"/>
      <c r="F776" s="3558"/>
      <c r="G776" s="3558"/>
      <c r="H776" s="3557"/>
      <c r="I776" s="3556"/>
      <c r="J776" s="3558"/>
      <c r="K776" s="3558"/>
      <c r="L776" s="3558"/>
      <c r="M776" s="3557"/>
      <c r="N776" s="3556"/>
      <c r="O776" s="3558"/>
      <c r="P776" s="3558"/>
      <c r="Q776" s="3558"/>
      <c r="R776" s="3557"/>
      <c r="S776" s="3559"/>
      <c r="T776" s="3557"/>
      <c r="U776" s="3557"/>
      <c r="V776" s="3557"/>
      <c r="W776" s="3557"/>
      <c r="X776" s="3556"/>
      <c r="Y776" s="3556"/>
      <c r="Z776" s="3560"/>
      <c r="AA776" s="3560"/>
      <c r="AB776" s="3561"/>
      <c r="AC776" s="3561"/>
      <c r="AD776" s="3561"/>
      <c r="AE776" s="3561"/>
      <c r="AF776" s="3561"/>
      <c r="AG776" s="3561"/>
      <c r="AH776" s="3562"/>
      <c r="AI776" s="3456"/>
    </row>
    <row r="777" ht="16.5" customHeight="1">
      <c r="A777" s="3457"/>
      <c r="B777" s="3563"/>
      <c r="C777" s="3555"/>
      <c r="D777" s="5140"/>
      <c r="E777" s="3565" t="s">
        <v>190</v>
      </c>
      <c r="F777" s="381"/>
      <c r="G777" s="382"/>
      <c r="H777" s="3566" t="s">
        <v>191</v>
      </c>
      <c r="I777" s="3567"/>
      <c r="J777" s="3565" t="s">
        <v>190</v>
      </c>
      <c r="K777" s="381"/>
      <c r="L777" s="382"/>
      <c r="M777" s="3566" t="s">
        <v>191</v>
      </c>
      <c r="N777" s="5140"/>
      <c r="O777" s="3565" t="s">
        <v>190</v>
      </c>
      <c r="P777" s="381"/>
      <c r="Q777" s="382"/>
      <c r="R777" s="3566" t="s">
        <v>191</v>
      </c>
      <c r="S777" s="3556"/>
      <c r="T777" s="3565" t="s">
        <v>190</v>
      </c>
      <c r="U777" s="381"/>
      <c r="V777" s="382"/>
      <c r="W777" s="3566" t="s">
        <v>191</v>
      </c>
      <c r="X777" s="3569"/>
      <c r="Y777" s="3569"/>
      <c r="Z777" s="3564"/>
      <c r="AA777" s="3564"/>
      <c r="AB777" s="3569"/>
      <c r="AC777" s="3569"/>
      <c r="AD777" s="3569"/>
      <c r="AE777" s="3569"/>
      <c r="AF777" s="3569"/>
      <c r="AG777" s="3569"/>
      <c r="AH777" s="3570"/>
      <c r="AI777" s="3466"/>
    </row>
    <row r="778" ht="16.5" customHeight="1">
      <c r="A778" s="3457"/>
      <c r="B778" s="3563"/>
      <c r="C778" s="3555"/>
      <c r="D778" s="3564"/>
      <c r="E778" s="3571" t="s">
        <v>192</v>
      </c>
      <c r="F778" s="3572">
        <f t="array" ref="F778">IFERROR(VLOOKUP(E765,Dex!$B$3:$N1022,8,FALSE),"")</f>
        <v>88</v>
      </c>
      <c r="G778" s="3573" t="str">
        <f t="array" ref="G778">IFERROR(VLOOKUP(F778,Dex!$P$22:$Q$276,2,FALSE),"")</f>
        <v/>
      </c>
      <c r="H778" s="3574"/>
      <c r="I778" s="3575"/>
      <c r="J778" s="3571" t="s">
        <v>192</v>
      </c>
      <c r="K778" s="3572">
        <f t="array" ref="K778">IFERROR(VLOOKUP(J765,Dex!$B$3:$N1022,8,FALSE),"")</f>
        <v>70</v>
      </c>
      <c r="L778" s="3573" t="str">
        <f t="array" ref="L778">IFERROR(VLOOKUP(K778,Dex!$P$22:$Q$276,2,FALSE),"")</f>
        <v/>
      </c>
      <c r="M778" s="3574"/>
      <c r="N778" s="3564"/>
      <c r="O778" s="3571" t="s">
        <v>192</v>
      </c>
      <c r="P778" s="3572">
        <f t="array" ref="P778">IFERROR(VLOOKUP(O765,Dex!$B$3:$N1022,8,FALSE),"")</f>
        <v>65</v>
      </c>
      <c r="Q778" s="3573" t="str">
        <f t="array" ref="Q778">IFERROR(VLOOKUP(P778,Dex!$P$22:$Q$276,2,FALSE),"")</f>
        <v/>
      </c>
      <c r="R778" s="3574"/>
      <c r="S778" s="3569"/>
      <c r="T778" s="3571" t="s">
        <v>192</v>
      </c>
      <c r="U778" s="3572">
        <f t="array" ref="U778">IFERROR(VLOOKUP(T765,Dex!$B$3:$N1022,8,FALSE),"")</f>
        <v>70</v>
      </c>
      <c r="V778" s="3573" t="str">
        <f t="array" ref="V778">IFERROR(VLOOKUP(U778,Dex!$P$22:$Q$276,2,FALSE),"")</f>
        <v/>
      </c>
      <c r="W778" s="3574"/>
      <c r="X778" s="3569"/>
      <c r="Y778" s="3569"/>
      <c r="Z778" s="3564"/>
      <c r="AA778" s="3564"/>
      <c r="AB778" s="3569"/>
      <c r="AC778" s="3569"/>
      <c r="AD778" s="3569"/>
      <c r="AE778" s="3569"/>
      <c r="AF778" s="3569"/>
      <c r="AG778" s="3569"/>
      <c r="AH778" s="3570"/>
      <c r="AI778" s="3466"/>
    </row>
    <row r="779" ht="16.5" customHeight="1">
      <c r="A779" s="3457"/>
      <c r="B779" s="3563"/>
      <c r="C779" s="3555"/>
      <c r="D779" s="3564"/>
      <c r="E779" s="3577" t="s">
        <v>193</v>
      </c>
      <c r="F779" s="3578">
        <f t="array" ref="F779">IFERROR(VLOOKUP(E765,Dex!$B$3:$N1022,9,FALSE),"")</f>
        <v>120</v>
      </c>
      <c r="G779" s="3579" t="str">
        <f t="array" ref="G779">IFERROR(VLOOKUP(F779,Dex!$P$22:$Q$276,2,FALSE),"")</f>
        <v/>
      </c>
      <c r="H779" s="3580"/>
      <c r="I779" s="3575"/>
      <c r="J779" s="3577" t="s">
        <v>193</v>
      </c>
      <c r="K779" s="3578">
        <f t="array" ref="K779">IFERROR(VLOOKUP(J765,Dex!$B$3:$N1022,9,FALSE),"")</f>
        <v>70</v>
      </c>
      <c r="L779" s="3579" t="str">
        <f t="array" ref="L779">IFERROR(VLOOKUP(K779,Dex!$P$22:$Q$276,2,FALSE),"")</f>
        <v/>
      </c>
      <c r="M779" s="3580"/>
      <c r="N779" s="3564"/>
      <c r="O779" s="3577" t="s">
        <v>193</v>
      </c>
      <c r="P779" s="3578">
        <f t="array" ref="P779">IFERROR(VLOOKUP(O765,Dex!$B$3:$N1022,9,FALSE),"")</f>
        <v>155</v>
      </c>
      <c r="Q779" s="3579" t="str">
        <f t="array" ref="Q779">IFERROR(VLOOKUP(P779,Dex!$P$22:$Q$276,2,FALSE),"")</f>
        <v/>
      </c>
      <c r="R779" s="3580">
        <v>252.0</v>
      </c>
      <c r="S779" s="3569"/>
      <c r="T779" s="3577" t="s">
        <v>193</v>
      </c>
      <c r="U779" s="3578">
        <f t="array" ref="U779">IFERROR(VLOOKUP(T765,Dex!$B$3:$N1022,9,FALSE),"")</f>
        <v>60</v>
      </c>
      <c r="V779" s="3579" t="str">
        <f t="array" ref="V779">IFERROR(VLOOKUP(U779,Dex!$P$22:$Q$276,2,FALSE),"")</f>
        <v/>
      </c>
      <c r="W779" s="3580"/>
      <c r="X779" s="3569"/>
      <c r="Y779" s="3569"/>
      <c r="Z779" s="3564"/>
      <c r="AA779" s="3564"/>
      <c r="AB779" s="3569"/>
      <c r="AC779" s="3569"/>
      <c r="AD779" s="3569"/>
      <c r="AE779" s="3569"/>
      <c r="AF779" s="3569"/>
      <c r="AG779" s="3569"/>
      <c r="AH779" s="3570"/>
      <c r="AI779" s="3466"/>
    </row>
    <row r="780" ht="16.5" customHeight="1">
      <c r="A780" s="3457"/>
      <c r="B780" s="3563"/>
      <c r="C780" s="3555"/>
      <c r="D780" s="3564"/>
      <c r="E780" s="3577" t="s">
        <v>194</v>
      </c>
      <c r="F780" s="3578">
        <f t="array" ref="F780">IFERROR(VLOOKUP(E765,Dex!$B$3:$N1022,10,FALSE),"")</f>
        <v>75</v>
      </c>
      <c r="G780" s="3579" t="str">
        <f t="array" ref="G780">IFERROR(VLOOKUP(F780,Dex!$P$22:$Q$276,2,FALSE),"")</f>
        <v/>
      </c>
      <c r="H780" s="3580"/>
      <c r="I780" s="3575"/>
      <c r="J780" s="3577" t="s">
        <v>194</v>
      </c>
      <c r="K780" s="3578">
        <f t="array" ref="K780">IFERROR(VLOOKUP(J765,Dex!$B$3:$N1022,10,FALSE),"")</f>
        <v>60</v>
      </c>
      <c r="L780" s="3579" t="str">
        <f t="array" ref="L780">IFERROR(VLOOKUP(K780,Dex!$P$22:$Q$276,2,FALSE),"")</f>
        <v/>
      </c>
      <c r="M780" s="3580">
        <v>4.0</v>
      </c>
      <c r="N780" s="3564"/>
      <c r="O780" s="3577" t="s">
        <v>194</v>
      </c>
      <c r="P780" s="3578">
        <f t="array" ref="P780">IFERROR(VLOOKUP(O765,Dex!$B$3:$N1022,10,FALSE),"")</f>
        <v>120</v>
      </c>
      <c r="Q780" s="3579" t="str">
        <f t="array" ref="Q780">IFERROR(VLOOKUP(P780,Dex!$P$22:$Q$276,2,FALSE),"")</f>
        <v/>
      </c>
      <c r="R780" s="3580">
        <v>4.0</v>
      </c>
      <c r="S780" s="3569"/>
      <c r="T780" s="3577" t="s">
        <v>194</v>
      </c>
      <c r="U780" s="3578">
        <f t="array" ref="U780">IFERROR(VLOOKUP(T765,Dex!$B$3:$N1022,10,FALSE),"")</f>
        <v>125</v>
      </c>
      <c r="V780" s="3579" t="str">
        <f t="array" ref="V780">IFERROR(VLOOKUP(U780,Dex!$P$22:$Q$276,2,FALSE),"")</f>
        <v/>
      </c>
      <c r="W780" s="3580">
        <v>4.0</v>
      </c>
      <c r="X780" s="3569"/>
      <c r="Y780" s="3569"/>
      <c r="Z780" s="3564"/>
      <c r="AA780" s="3564"/>
      <c r="AB780" s="3569"/>
      <c r="AC780" s="3569"/>
      <c r="AD780" s="3569"/>
      <c r="AE780" s="3569"/>
      <c r="AF780" s="3569"/>
      <c r="AG780" s="3569"/>
      <c r="AH780" s="3570"/>
      <c r="AI780" s="3466"/>
    </row>
    <row r="781" ht="16.5" customHeight="1">
      <c r="A781" s="3457"/>
      <c r="B781" s="3563"/>
      <c r="C781" s="3555"/>
      <c r="D781" s="3564"/>
      <c r="E781" s="3577" t="s">
        <v>195</v>
      </c>
      <c r="F781" s="3578">
        <f t="array" ref="F781">IFERROR(VLOOKUP(E765,Dex!$B$3:$N1022,11,FALSE),"")</f>
        <v>100</v>
      </c>
      <c r="G781" s="3579" t="str">
        <f t="array" ref="G781">IFERROR(VLOOKUP(F781,Dex!$P$22:$Q$276,2,FALSE),"")</f>
        <v/>
      </c>
      <c r="H781" s="3580">
        <v>252.0</v>
      </c>
      <c r="I781" s="3575"/>
      <c r="J781" s="3577" t="s">
        <v>195</v>
      </c>
      <c r="K781" s="3578">
        <f t="array" ref="K781">IFERROR(VLOOKUP(J765,Dex!$B$3:$N1022,11,FALSE),"")</f>
        <v>105</v>
      </c>
      <c r="L781" s="3579" t="str">
        <f t="array" ref="L781">IFERROR(VLOOKUP(K781,Dex!$P$22:$Q$276,2,FALSE),"")</f>
        <v/>
      </c>
      <c r="M781" s="3580">
        <v>252.0</v>
      </c>
      <c r="N781" s="3564"/>
      <c r="O781" s="3577" t="s">
        <v>195</v>
      </c>
      <c r="P781" s="3578">
        <f t="array" ref="P781">IFERROR(VLOOKUP(O765,Dex!$B$3:$N1022,11,FALSE),"")</f>
        <v>65</v>
      </c>
      <c r="Q781" s="3579" t="str">
        <f t="array" ref="Q781">IFERROR(VLOOKUP(P781,Dex!$P$22:$Q$276,2,FALSE),"")</f>
        <v/>
      </c>
      <c r="R781" s="3580"/>
      <c r="S781" s="3569"/>
      <c r="T781" s="3577" t="s">
        <v>195</v>
      </c>
      <c r="U781" s="3578">
        <f t="array" ref="U781">IFERROR(VLOOKUP(T765,Dex!$B$3:$N1022,11,FALSE),"")</f>
        <v>115</v>
      </c>
      <c r="V781" s="3579" t="str">
        <f t="array" ref="V781">IFERROR(VLOOKUP(U781,Dex!$P$22:$Q$276,2,FALSE),"")</f>
        <v/>
      </c>
      <c r="W781" s="3580">
        <v>252.0</v>
      </c>
      <c r="X781" s="3569"/>
      <c r="Y781" s="3569"/>
      <c r="Z781" s="3564"/>
      <c r="AA781" s="3564"/>
      <c r="AB781" s="3569"/>
      <c r="AC781" s="3569"/>
      <c r="AD781" s="3569"/>
      <c r="AE781" s="3569"/>
      <c r="AF781" s="3569"/>
      <c r="AG781" s="3569"/>
      <c r="AH781" s="3570"/>
      <c r="AI781" s="3466"/>
    </row>
    <row r="782" ht="16.5" customHeight="1">
      <c r="A782" s="3457"/>
      <c r="B782" s="3563"/>
      <c r="C782" s="3555"/>
      <c r="D782" s="3564"/>
      <c r="E782" s="3577" t="s">
        <v>196</v>
      </c>
      <c r="F782" s="3578">
        <f t="array" ref="F782">IFERROR(VLOOKUP(E765,Dex!$B$3:$N1022,12,FALSE),"")</f>
        <v>75</v>
      </c>
      <c r="G782" s="3579" t="str">
        <f t="array" ref="G782">IFERROR(VLOOKUP(F782,Dex!$P$22:$Q$276,2,FALSE),"")</f>
        <v/>
      </c>
      <c r="H782" s="3580">
        <v>4.0</v>
      </c>
      <c r="I782" s="3575"/>
      <c r="J782" s="3577" t="s">
        <v>196</v>
      </c>
      <c r="K782" s="3578">
        <f t="array" ref="K782">IFERROR(VLOOKUP(J765,Dex!$B$3:$N1022,12,FALSE),"")</f>
        <v>60</v>
      </c>
      <c r="L782" s="3579" t="str">
        <f t="array" ref="L782">IFERROR(VLOOKUP(K782,Dex!$P$22:$Q$276,2,FALSE),"")</f>
        <v/>
      </c>
      <c r="M782" s="3580"/>
      <c r="N782" s="3564"/>
      <c r="O782" s="3577" t="s">
        <v>196</v>
      </c>
      <c r="P782" s="3578">
        <f t="array" ref="P782">IFERROR(VLOOKUP(O765,Dex!$B$3:$N1022,12,FALSE),"")</f>
        <v>90</v>
      </c>
      <c r="Q782" s="3579" t="str">
        <f t="array" ref="Q782">IFERROR(VLOOKUP(P782,Dex!$P$22:$Q$276,2,FALSE),"")</f>
        <v/>
      </c>
      <c r="R782" s="3580"/>
      <c r="S782" s="3569"/>
      <c r="T782" s="3577" t="s">
        <v>196</v>
      </c>
      <c r="U782" s="3578">
        <f t="array" ref="U782">IFERROR(VLOOKUP(T765,Dex!$B$3:$N1022,12,FALSE),"")</f>
        <v>70</v>
      </c>
      <c r="V782" s="3579" t="str">
        <f t="array" ref="V782">IFERROR(VLOOKUP(U782,Dex!$P$22:$Q$276,2,FALSE),"")</f>
        <v/>
      </c>
      <c r="W782" s="3580"/>
      <c r="X782" s="3569"/>
      <c r="Y782" s="3569"/>
      <c r="Z782" s="3564"/>
      <c r="AA782" s="3564"/>
      <c r="AB782" s="3569"/>
      <c r="AC782" s="3569"/>
      <c r="AD782" s="3569"/>
      <c r="AE782" s="3569"/>
      <c r="AF782" s="3569"/>
      <c r="AG782" s="3569"/>
      <c r="AH782" s="3570"/>
      <c r="AI782" s="3466"/>
    </row>
    <row r="783" ht="16.5" customHeight="1">
      <c r="A783" s="3457"/>
      <c r="B783" s="3563"/>
      <c r="C783" s="1204" t="s">
        <v>436</v>
      </c>
      <c r="D783" s="3564"/>
      <c r="E783" s="3583" t="s">
        <v>197</v>
      </c>
      <c r="F783" s="3584">
        <f t="array" ref="F783">IFERROR(VLOOKUP(E765,Dex!$B$3:$N1022,13,FALSE),"")</f>
        <v>142</v>
      </c>
      <c r="G783" s="3585" t="str">
        <f t="array" ref="G783">IFERROR(VLOOKUP(F783,Dex!$P$22:$Q$276,2,FALSE),"")</f>
        <v/>
      </c>
      <c r="H783" s="3586">
        <v>252.0</v>
      </c>
      <c r="I783" s="3575"/>
      <c r="J783" s="3583" t="s">
        <v>197</v>
      </c>
      <c r="K783" s="3584">
        <f t="array" ref="K783">IFERROR(VLOOKUP(J765,Dex!$B$3:$N1022,13,FALSE),"")</f>
        <v>125</v>
      </c>
      <c r="L783" s="3585" t="str">
        <f t="array" ref="L783">IFERROR(VLOOKUP(K783,Dex!$P$22:$Q$276,2,FALSE),"")</f>
        <v/>
      </c>
      <c r="M783" s="3586">
        <v>252.0</v>
      </c>
      <c r="N783" s="3564"/>
      <c r="O783" s="3583" t="s">
        <v>197</v>
      </c>
      <c r="P783" s="3584">
        <f t="array" ref="P783">IFERROR(VLOOKUP(O765,Dex!$B$3:$N1022,13,FALSE),"")</f>
        <v>105</v>
      </c>
      <c r="Q783" s="3585" t="str">
        <f t="array" ref="Q783">IFERROR(VLOOKUP(P783,Dex!$P$22:$Q$276,2,FALSE),"")</f>
        <v/>
      </c>
      <c r="R783" s="3586">
        <v>252.0</v>
      </c>
      <c r="S783" s="3569"/>
      <c r="T783" s="3583" t="s">
        <v>197</v>
      </c>
      <c r="U783" s="3584">
        <f t="array" ref="U783">IFERROR(VLOOKUP(T765,Dex!$B$3:$N1022,13,FALSE),"")</f>
        <v>55</v>
      </c>
      <c r="V783" s="3585" t="str">
        <f t="array" ref="V783">IFERROR(VLOOKUP(U783,Dex!$P$22:$Q$276,2,FALSE),"")</f>
        <v/>
      </c>
      <c r="W783" s="3586">
        <v>252.0</v>
      </c>
      <c r="X783" s="3569"/>
      <c r="Y783" s="3569"/>
      <c r="Z783" s="3564"/>
      <c r="AA783" s="3564"/>
      <c r="AB783" s="3569"/>
      <c r="AC783" s="3569"/>
      <c r="AD783" s="3569"/>
      <c r="AE783" s="3569"/>
      <c r="AF783" s="3569"/>
      <c r="AG783" s="3569"/>
      <c r="AH783" s="3570"/>
      <c r="AI783" s="3466"/>
    </row>
    <row r="784" ht="16.5" customHeight="1">
      <c r="A784" s="3457"/>
      <c r="B784" s="3563"/>
      <c r="C784" s="1205" t="s">
        <v>437</v>
      </c>
      <c r="D784" s="5140"/>
      <c r="E784" s="3587" t="s">
        <v>198</v>
      </c>
      <c r="F784" s="405"/>
      <c r="G784" s="406"/>
      <c r="H784" s="3588">
        <v>267.0</v>
      </c>
      <c r="I784" s="3567"/>
      <c r="J784" s="3587" t="s">
        <v>198</v>
      </c>
      <c r="K784" s="405"/>
      <c r="L784" s="406"/>
      <c r="M784" s="3588">
        <v>243.0</v>
      </c>
      <c r="N784" s="5140"/>
      <c r="O784" s="3587" t="s">
        <v>198</v>
      </c>
      <c r="P784" s="405"/>
      <c r="Q784" s="406"/>
      <c r="R784" s="3588">
        <v>215.0</v>
      </c>
      <c r="S784" s="3569"/>
      <c r="T784" s="5141" t="s">
        <v>198</v>
      </c>
      <c r="U784" s="918"/>
      <c r="V784" s="919"/>
      <c r="W784" s="5142">
        <v>133.0</v>
      </c>
      <c r="X784" s="3569"/>
      <c r="Y784" s="3569"/>
      <c r="Z784" s="3564"/>
      <c r="AA784" s="3564"/>
      <c r="AB784" s="3569"/>
      <c r="AC784" s="3569"/>
      <c r="AD784" s="3569"/>
      <c r="AE784" s="3569"/>
      <c r="AF784" s="3569"/>
      <c r="AG784" s="3569"/>
      <c r="AH784" s="3570"/>
      <c r="AI784" s="3466"/>
    </row>
    <row r="785" ht="16.5" customHeight="1">
      <c r="A785" s="3457"/>
      <c r="B785" s="5143"/>
      <c r="C785" s="5144"/>
      <c r="D785" s="5145"/>
      <c r="E785" s="5146"/>
      <c r="F785" s="5146"/>
      <c r="G785" s="5146"/>
      <c r="H785" s="5144"/>
      <c r="I785" s="5147"/>
      <c r="J785" s="5146"/>
      <c r="K785" s="5146"/>
      <c r="L785" s="5146"/>
      <c r="M785" s="5144"/>
      <c r="N785" s="5145"/>
      <c r="O785" s="5146"/>
      <c r="P785" s="5146"/>
      <c r="Q785" s="5146"/>
      <c r="R785" s="5144"/>
      <c r="S785" s="5148"/>
      <c r="T785" s="5149" t="s">
        <v>465</v>
      </c>
      <c r="U785" s="925"/>
      <c r="V785" s="926"/>
      <c r="W785" s="5150">
        <v>266.0</v>
      </c>
      <c r="X785" s="5148"/>
      <c r="Y785" s="5148"/>
      <c r="Z785" s="5145"/>
      <c r="AA785" s="5145"/>
      <c r="AB785" s="5148"/>
      <c r="AC785" s="5148"/>
      <c r="AD785" s="5148"/>
      <c r="AE785" s="5148"/>
      <c r="AF785" s="5148"/>
      <c r="AG785" s="5148"/>
      <c r="AH785" s="5151"/>
      <c r="AI785" s="3466"/>
    </row>
    <row r="786" ht="15.0" customHeight="1">
      <c r="A786" s="3368"/>
      <c r="B786" s="3589"/>
      <c r="C786" s="3590"/>
      <c r="D786" s="3591"/>
      <c r="E786" s="3592"/>
      <c r="F786" s="3592"/>
      <c r="G786" s="3592"/>
      <c r="H786" s="3593"/>
      <c r="I786" s="3593"/>
      <c r="J786" s="3592"/>
      <c r="K786" s="3592"/>
      <c r="L786" s="3592"/>
      <c r="M786" s="3593"/>
      <c r="N786" s="3595"/>
      <c r="O786" s="3596"/>
      <c r="P786" s="3596"/>
      <c r="Q786" s="3597"/>
      <c r="R786" s="3597"/>
      <c r="S786" s="3597"/>
      <c r="T786" s="3597"/>
      <c r="U786" s="3596"/>
      <c r="V786" s="3598"/>
      <c r="W786" s="3598"/>
      <c r="X786" s="3595"/>
      <c r="Y786" s="3598"/>
      <c r="Z786" s="3598"/>
      <c r="AA786" s="3598"/>
      <c r="AB786" s="3598"/>
      <c r="AC786" s="3598"/>
      <c r="AD786" s="3598"/>
      <c r="AE786" s="3598"/>
      <c r="AF786" s="3598"/>
      <c r="AG786" s="3598"/>
      <c r="AH786" s="3599"/>
      <c r="AI786" s="3380"/>
    </row>
    <row r="787" ht="15.0" customHeight="1">
      <c r="A787" s="3361"/>
      <c r="B787" s="3491"/>
      <c r="C787" s="3492"/>
      <c r="D787" s="3493"/>
      <c r="E787" s="3493"/>
      <c r="F787" s="3493"/>
      <c r="G787" s="3493"/>
      <c r="H787" s="3493"/>
      <c r="I787" s="3493"/>
      <c r="J787" s="3493"/>
      <c r="K787" s="3493"/>
      <c r="L787" s="3493"/>
      <c r="M787" s="3493"/>
      <c r="N787" s="3493"/>
      <c r="O787" s="3493"/>
      <c r="P787" s="3493"/>
      <c r="Q787" s="3493"/>
      <c r="R787" s="3493"/>
      <c r="S787" s="3493"/>
      <c r="T787" s="3493"/>
      <c r="U787" s="3493"/>
      <c r="V787" s="3493"/>
      <c r="W787" s="3493"/>
      <c r="X787" s="3493"/>
      <c r="Y787" s="3493"/>
      <c r="Z787" s="3493"/>
      <c r="AA787" s="3493"/>
      <c r="AB787" s="3493"/>
      <c r="AC787" s="3493"/>
      <c r="AD787" s="3493"/>
      <c r="AE787" s="3493"/>
      <c r="AF787" s="3493"/>
      <c r="AG787" s="3493"/>
      <c r="AH787" s="3495"/>
      <c r="AI787" s="3367"/>
    </row>
    <row r="788">
      <c r="A788" s="3361"/>
      <c r="B788" s="5123"/>
      <c r="C788" s="5124"/>
      <c r="D788" s="3505"/>
      <c r="E788" s="5125" t="s">
        <v>1241</v>
      </c>
      <c r="F788" s="3541"/>
      <c r="G788" s="3541"/>
      <c r="H788" s="3541"/>
      <c r="I788" s="3541"/>
      <c r="J788" s="3541"/>
      <c r="K788" s="3541"/>
      <c r="L788" s="3541"/>
      <c r="M788" s="3541"/>
      <c r="N788" s="3541"/>
      <c r="O788" s="3541"/>
      <c r="P788" s="3541"/>
      <c r="Q788" s="3541"/>
      <c r="R788" s="3541"/>
      <c r="S788" s="3541"/>
      <c r="T788" s="3541"/>
      <c r="U788" s="3541"/>
      <c r="V788" s="3541"/>
      <c r="W788" s="3541"/>
      <c r="X788" s="3541"/>
      <c r="Y788" s="3541"/>
      <c r="Z788" s="3541"/>
      <c r="AA788" s="3541"/>
      <c r="AB788" s="3541"/>
      <c r="AC788" s="3541"/>
      <c r="AD788" s="3541"/>
      <c r="AE788" s="3541"/>
      <c r="AF788" s="3541"/>
      <c r="AG788" s="3542"/>
      <c r="AH788" s="5126"/>
      <c r="AI788" s="3367"/>
    </row>
    <row r="789" ht="96.75" customHeight="1">
      <c r="A789" s="3368"/>
      <c r="B789" s="3496"/>
      <c r="C789" s="3497" t="str">
        <f>IMAGE("https://i.ibb.co/TKBZjnF/Ace-Trainer-M.png")</f>
        <v/>
      </c>
      <c r="D789" s="3498"/>
      <c r="E789" s="3499" t="str">
        <f t="array" ref="E789">IFERROR(VLOOKUP(E790,Dex!$B$3:$G1022,3,FALSE),"")</f>
        <v/>
      </c>
      <c r="F789" s="381"/>
      <c r="G789" s="381"/>
      <c r="H789" s="2531"/>
      <c r="I789" s="3500"/>
      <c r="J789" s="3499" t="str">
        <f t="array" ref="J789">IFERROR(VLOOKUP(J790,Dex!$B$3:$G1022,3,FALSE),"")</f>
        <v/>
      </c>
      <c r="K789" s="381"/>
      <c r="L789" s="381"/>
      <c r="M789" s="2531"/>
      <c r="N789" s="5127"/>
      <c r="O789" s="3499" t="str">
        <f t="array" ref="O789">IFERROR(VLOOKUP(O790,Dex!$B$3:$G1022,3,FALSE),"")</f>
        <v/>
      </c>
      <c r="P789" s="381"/>
      <c r="Q789" s="381"/>
      <c r="R789" s="2531"/>
      <c r="S789" s="5128"/>
      <c r="T789" s="3499" t="str">
        <f t="array" ref="T789">IFERROR(VLOOKUP(T790,Dex!$B$3:$G1022,3,FALSE),"")</f>
        <v/>
      </c>
      <c r="U789" s="381"/>
      <c r="V789" s="381"/>
      <c r="W789" s="2531"/>
      <c r="X789" s="5127"/>
      <c r="Y789" s="3499" t="str">
        <f t="array" ref="Y789">IFERROR(VLOOKUP(Y790,Dex!$B$3:$G1022,3,FALSE),"")</f>
        <v/>
      </c>
      <c r="Z789" s="381"/>
      <c r="AA789" s="381"/>
      <c r="AB789" s="2531"/>
      <c r="AC789" s="5152"/>
      <c r="AD789" s="3502"/>
      <c r="AE789" s="3503"/>
      <c r="AF789" s="3503"/>
      <c r="AG789" s="3504"/>
      <c r="AH789" s="3507"/>
      <c r="AI789" s="3380"/>
    </row>
    <row r="790" ht="18.75" customHeight="1">
      <c r="A790" s="3381"/>
      <c r="B790" s="3508"/>
      <c r="C790" s="3509" t="s">
        <v>1242</v>
      </c>
      <c r="D790" s="3510"/>
      <c r="E790" s="3511" t="s">
        <v>1174</v>
      </c>
      <c r="F790" s="3512"/>
      <c r="G790" s="3512"/>
      <c r="H790" s="3513"/>
      <c r="J790" s="5129" t="s">
        <v>418</v>
      </c>
      <c r="K790" s="3512"/>
      <c r="L790" s="3512"/>
      <c r="M790" s="5130"/>
      <c r="O790" s="5129" t="s">
        <v>951</v>
      </c>
      <c r="P790" s="3512"/>
      <c r="Q790" s="3512"/>
      <c r="R790" s="5130"/>
      <c r="T790" s="5129" t="s">
        <v>1243</v>
      </c>
      <c r="U790" s="3512"/>
      <c r="V790" s="3512"/>
      <c r="W790" s="5130"/>
      <c r="Y790" s="3511" t="s">
        <v>1244</v>
      </c>
      <c r="Z790" s="3512"/>
      <c r="AA790" s="3512"/>
      <c r="AB790" s="3513"/>
      <c r="AC790" s="3514"/>
      <c r="AD790" s="3515"/>
      <c r="AE790" s="3503"/>
      <c r="AF790" s="3503"/>
      <c r="AG790" s="3504"/>
      <c r="AH790" s="3517"/>
      <c r="AI790" s="3393"/>
    </row>
    <row r="791">
      <c r="A791" s="3394"/>
      <c r="B791" s="3518"/>
      <c r="C791" s="1481"/>
      <c r="D791" s="3519"/>
      <c r="E791" s="3520" t="s">
        <v>715</v>
      </c>
      <c r="F791" s="3521"/>
      <c r="G791" s="3521"/>
      <c r="H791" s="3522"/>
      <c r="J791" s="3520" t="s">
        <v>843</v>
      </c>
      <c r="K791" s="3521"/>
      <c r="L791" s="3521"/>
      <c r="M791" s="3522"/>
      <c r="O791" s="3520" t="s">
        <v>843</v>
      </c>
      <c r="P791" s="3521"/>
      <c r="Q791" s="3521"/>
      <c r="R791" s="3522"/>
      <c r="T791" s="3520" t="s">
        <v>715</v>
      </c>
      <c r="U791" s="3521"/>
      <c r="V791" s="3521"/>
      <c r="W791" s="3522"/>
      <c r="Y791" s="3520" t="s">
        <v>715</v>
      </c>
      <c r="Z791" s="3521"/>
      <c r="AA791" s="3521"/>
      <c r="AB791" s="3522"/>
      <c r="AC791" s="3514"/>
      <c r="AD791" s="3523"/>
      <c r="AE791" s="3503"/>
      <c r="AF791" s="3503"/>
      <c r="AG791" s="3504"/>
      <c r="AH791" s="3524"/>
      <c r="AI791" s="3402"/>
    </row>
    <row r="792" ht="25.5" customHeight="1">
      <c r="A792" s="3368"/>
      <c r="B792" s="3496"/>
      <c r="C792" s="1489"/>
      <c r="D792" s="3498"/>
      <c r="E792" s="3525"/>
      <c r="F792" s="3526" t="str">
        <f t="array" ref="F792">IFERROR(VLOOKUP(E790,Dex!$B$3:$H1022,5,FALSE),"")</f>
        <v/>
      </c>
      <c r="G792" s="3527"/>
      <c r="H792" s="3528"/>
      <c r="J792" s="5133"/>
      <c r="K792" s="5134" t="str">
        <f t="array" ref="K792">IFERROR(VLOOKUP(J790,Dex!$B$3:$H1022,5,FALSE),"")</f>
        <v/>
      </c>
      <c r="L792" s="5135" t="str">
        <f t="array" ref="L792">IFERROR(VLOOKUP(J790,Dex!$B$3:$H1022,7,FALSE),"")</f>
        <v/>
      </c>
      <c r="M792" s="5136"/>
      <c r="O792" s="5133"/>
      <c r="P792" s="5134" t="str">
        <f t="array" ref="P792">IFERROR(VLOOKUP(O790,Dex!$B$3:$H1022,5,FALSE),"")</f>
        <v/>
      </c>
      <c r="Q792" s="5135" t="str">
        <f t="array" ref="Q792">IFERROR(VLOOKUP(O790,Dex!$B$3:$H1022,7,FALSE),"")</f>
        <v/>
      </c>
      <c r="R792" s="5136"/>
      <c r="T792" s="5133"/>
      <c r="U792" s="5134" t="str">
        <f t="array" ref="U792">IFERROR(VLOOKUP(T790,Dex!$B$3:$H1022,5,FALSE),"")</f>
        <v/>
      </c>
      <c r="V792" s="5135" t="str">
        <f t="array" ref="V792">IFERROR(VLOOKUP(T790,Dex!$B$3:$H1022,7,FALSE),"")</f>
        <v/>
      </c>
      <c r="W792" s="5136"/>
      <c r="Y792" s="3525"/>
      <c r="Z792" s="3526" t="str">
        <f t="array" ref="Z792">IFERROR(VLOOKUP(Y790,Dex!$B$3:$H1022,5,FALSE),"")</f>
        <v/>
      </c>
      <c r="AA792" s="3527"/>
      <c r="AB792" s="3528"/>
      <c r="AC792" s="3514"/>
      <c r="AD792" s="3502"/>
      <c r="AE792" s="3503"/>
      <c r="AF792" s="3503"/>
      <c r="AG792" s="3504"/>
      <c r="AH792" s="3507"/>
      <c r="AI792" s="3380"/>
    </row>
    <row r="793" ht="2.25" customHeight="1">
      <c r="A793" s="3368"/>
      <c r="B793" s="3496"/>
      <c r="C793" s="3529"/>
      <c r="D793" s="3498"/>
      <c r="E793" s="3530"/>
      <c r="F793" s="3531"/>
      <c r="G793" s="3531"/>
      <c r="H793" s="3532"/>
      <c r="J793" s="5137"/>
      <c r="K793" s="5138"/>
      <c r="L793" s="5138"/>
      <c r="M793" s="5139"/>
      <c r="O793" s="5137"/>
      <c r="P793" s="5138"/>
      <c r="Q793" s="5138"/>
      <c r="R793" s="5139"/>
      <c r="T793" s="5137"/>
      <c r="U793" s="5138"/>
      <c r="V793" s="5138"/>
      <c r="W793" s="5139"/>
      <c r="Y793" s="3530"/>
      <c r="Z793" s="3531"/>
      <c r="AA793" s="3531"/>
      <c r="AB793" s="3532"/>
      <c r="AC793" s="3514"/>
      <c r="AD793" s="3533"/>
      <c r="AE793" s="3533"/>
      <c r="AF793" s="3533"/>
      <c r="AG793" s="3533"/>
      <c r="AH793" s="3507"/>
      <c r="AI793" s="3380"/>
    </row>
    <row r="794" ht="20.25" customHeight="1">
      <c r="A794" s="3368"/>
      <c r="B794" s="3496"/>
      <c r="C794" s="3529"/>
      <c r="D794" s="3498"/>
      <c r="E794" s="3534" t="s">
        <v>172</v>
      </c>
      <c r="F794" s="3535"/>
      <c r="G794" s="3535"/>
      <c r="H794" s="3536"/>
      <c r="J794" s="3534" t="s">
        <v>172</v>
      </c>
      <c r="K794" s="3535"/>
      <c r="L794" s="3535"/>
      <c r="M794" s="3536"/>
      <c r="O794" s="3534" t="s">
        <v>169</v>
      </c>
      <c r="P794" s="3535"/>
      <c r="Q794" s="3535"/>
      <c r="R794" s="3536"/>
      <c r="T794" s="3534" t="s">
        <v>169</v>
      </c>
      <c r="U794" s="3535"/>
      <c r="V794" s="3535"/>
      <c r="W794" s="3536"/>
      <c r="Y794" s="3534" t="s">
        <v>205</v>
      </c>
      <c r="Z794" s="3535"/>
      <c r="AA794" s="3535"/>
      <c r="AB794" s="3536"/>
      <c r="AC794" s="3514"/>
      <c r="AD794" s="3502"/>
      <c r="AE794" s="3503"/>
      <c r="AF794" s="3503"/>
      <c r="AG794" s="3504"/>
      <c r="AH794" s="3507"/>
      <c r="AI794" s="3380"/>
    </row>
    <row r="795">
      <c r="A795" s="3368"/>
      <c r="B795" s="3496"/>
      <c r="C795" s="3537"/>
      <c r="D795" s="3498"/>
      <c r="E795" s="3538" t="s">
        <v>598</v>
      </c>
      <c r="F795" s="3503"/>
      <c r="G795" s="3503"/>
      <c r="H795" s="3539"/>
      <c r="J795" s="3538" t="s">
        <v>424</v>
      </c>
      <c r="K795" s="3503"/>
      <c r="L795" s="3503"/>
      <c r="M795" s="3539"/>
      <c r="O795" s="3538" t="s">
        <v>952</v>
      </c>
      <c r="P795" s="3503"/>
      <c r="Q795" s="3503"/>
      <c r="R795" s="3539"/>
      <c r="T795" s="3538" t="s">
        <v>1245</v>
      </c>
      <c r="U795" s="3503"/>
      <c r="V795" s="3503"/>
      <c r="W795" s="3539"/>
      <c r="Y795" s="3538" t="s">
        <v>359</v>
      </c>
      <c r="Z795" s="3503"/>
      <c r="AA795" s="3503"/>
      <c r="AB795" s="3539"/>
      <c r="AC795" s="3514"/>
      <c r="AD795" s="3502"/>
      <c r="AE795" s="3503"/>
      <c r="AF795" s="3503"/>
      <c r="AG795" s="3504"/>
      <c r="AH795" s="3507"/>
      <c r="AI795" s="3380"/>
    </row>
    <row r="796" ht="20.25" customHeight="1">
      <c r="A796" s="3368"/>
      <c r="B796" s="3496"/>
      <c r="C796" s="3516"/>
      <c r="D796" s="3498"/>
      <c r="E796" s="3540" t="s">
        <v>272</v>
      </c>
      <c r="F796" s="3541"/>
      <c r="G796" s="3542"/>
      <c r="H796" s="3543" t="str">
        <f>IMAGE("https://raw.githubusercontent.com/msikma/pokesprite/master/items/hold-item/life-orb.png",3)</f>
        <v/>
      </c>
      <c r="J796" s="3540" t="s">
        <v>1057</v>
      </c>
      <c r="K796" s="3541"/>
      <c r="L796" s="3542"/>
      <c r="M796" s="3543" t="str">
        <f>IMAGE("https://raw.githubusercontent.com/msikma/pokesprite/master/items/hold-item/charcoal.png",3)</f>
        <v/>
      </c>
      <c r="O796" s="3540" t="s">
        <v>1246</v>
      </c>
      <c r="P796" s="3541"/>
      <c r="Q796" s="3542"/>
      <c r="R796" s="3543" t="str">
        <f>IMAGE("https://raw.githubusercontent.com/msikma/pokesprite/master/items/hold-item/hard-stone.png",3)</f>
        <v/>
      </c>
      <c r="T796" s="3540" t="s">
        <v>1247</v>
      </c>
      <c r="U796" s="3541"/>
      <c r="V796" s="3542"/>
      <c r="W796" s="3543" t="str">
        <f>IMAGE("https://raw.githubusercontent.com/msikma/pokesprite/master/items/mega-stone/charizardite-y.png",3)</f>
        <v/>
      </c>
      <c r="Y796" s="3540" t="s">
        <v>240</v>
      </c>
      <c r="Z796" s="3541"/>
      <c r="AA796" s="3542"/>
      <c r="AB796" s="3543" t="str">
        <f>IMAGE("https://raw.githubusercontent.com/msikma/pokesprite/master/items/hold-item/focus-sash.png",3)</f>
        <v/>
      </c>
      <c r="AC796" s="3514"/>
      <c r="AD796" s="3502"/>
      <c r="AE796" s="3503"/>
      <c r="AF796" s="3503"/>
      <c r="AG796" s="3504"/>
      <c r="AH796" s="3507"/>
      <c r="AI796" s="3380"/>
    </row>
    <row r="797" ht="20.25" customHeight="1">
      <c r="A797" s="3368"/>
      <c r="B797" s="3496"/>
      <c r="C797" s="3544"/>
      <c r="D797" s="3498"/>
      <c r="E797" s="3534" t="s">
        <v>476</v>
      </c>
      <c r="F797" s="3535"/>
      <c r="G797" s="3545"/>
      <c r="H797" s="3546" t="str">
        <f>IMAGE("https://raw.githubusercontent.com/msikma/pokesprite/master/misc/types/gen8/normal.png",4,20,20)</f>
        <v/>
      </c>
      <c r="J797" s="3534" t="s">
        <v>431</v>
      </c>
      <c r="K797" s="3535"/>
      <c r="L797" s="3545"/>
      <c r="M797" s="3546" t="str">
        <f>IMAGE("https://raw.githubusercontent.com/msikma/pokesprite/master/misc/types/gen8/rock.png",4,20,20)</f>
        <v/>
      </c>
      <c r="O797" s="3534" t="s">
        <v>399</v>
      </c>
      <c r="P797" s="3535"/>
      <c r="Q797" s="3545"/>
      <c r="R797" s="3546" t="str">
        <f>IMAGE("https://raw.githubusercontent.com/msikma/pokesprite/master/misc/types/gen8/rock.png",4,20,20)</f>
        <v/>
      </c>
      <c r="T797" s="3534" t="s">
        <v>378</v>
      </c>
      <c r="U797" s="3535"/>
      <c r="V797" s="3545"/>
      <c r="W797" s="3546" t="str">
        <f>IMAGE("https://raw.githubusercontent.com/msikma/pokesprite/master/misc/types/gen8/fire.png",4,20,20)</f>
        <v/>
      </c>
      <c r="Y797" s="3534" t="s">
        <v>369</v>
      </c>
      <c r="Z797" s="3535"/>
      <c r="AA797" s="3545"/>
      <c r="AB797" s="3546" t="str">
        <f>IMAGE("https://raw.githubusercontent.com/msikma/pokesprite/master/misc/types/gen8/normal.png",4,20,20)</f>
        <v/>
      </c>
      <c r="AC797" s="3514"/>
      <c r="AD797" s="3502"/>
      <c r="AE797" s="3503"/>
      <c r="AF797" s="3503"/>
      <c r="AG797" s="3504"/>
      <c r="AH797" s="3507"/>
      <c r="AI797" s="3380"/>
    </row>
    <row r="798" ht="20.25" customHeight="1">
      <c r="A798" s="3368"/>
      <c r="B798" s="3496"/>
      <c r="C798" s="3529"/>
      <c r="D798" s="3498"/>
      <c r="E798" s="3538" t="s">
        <v>316</v>
      </c>
      <c r="F798" s="3503"/>
      <c r="G798" s="3504"/>
      <c r="H798" s="3547" t="str">
        <f>IMAGE("https://raw.githubusercontent.com/msikma/pokesprite/master/misc/types/gen8/fighting.png",4,20,20)</f>
        <v/>
      </c>
      <c r="J798" s="3538" t="s">
        <v>378</v>
      </c>
      <c r="K798" s="3503"/>
      <c r="L798" s="3504"/>
      <c r="M798" s="3547" t="str">
        <f>IMAGE("https://raw.githubusercontent.com/msikma/pokesprite/master/misc/types/gen8/fire.png",4,20,20)</f>
        <v/>
      </c>
      <c r="O798" s="3538" t="s">
        <v>402</v>
      </c>
      <c r="P798" s="3503"/>
      <c r="Q798" s="3504"/>
      <c r="R798" s="3547" t="str">
        <f>IMAGE("https://raw.githubusercontent.com/msikma/pokesprite/master/misc/types/gen8/ground.png",4,20,20)</f>
        <v/>
      </c>
      <c r="T798" s="3538" t="s">
        <v>523</v>
      </c>
      <c r="U798" s="3503"/>
      <c r="V798" s="3504"/>
      <c r="W798" s="3547" t="str">
        <f>IMAGE("https://raw.githubusercontent.com/msikma/pokesprite/master/misc/types/gen8/bug.png",4,20,20)</f>
        <v/>
      </c>
      <c r="Y798" s="3538" t="s">
        <v>376</v>
      </c>
      <c r="Z798" s="3503"/>
      <c r="AA798" s="3504"/>
      <c r="AB798" s="3547" t="str">
        <f>IMAGE("https://raw.githubusercontent.com/msikma/pokesprite/master/misc/types/gen8/grass.png",4,20,20)</f>
        <v/>
      </c>
      <c r="AC798" s="3514"/>
      <c r="AD798" s="3502"/>
      <c r="AE798" s="3503"/>
      <c r="AF798" s="3503"/>
      <c r="AG798" s="3504"/>
      <c r="AH798" s="3507"/>
      <c r="AI798" s="3380"/>
    </row>
    <row r="799" ht="20.25" customHeight="1">
      <c r="A799" s="3368"/>
      <c r="B799" s="3496"/>
      <c r="C799" s="3529"/>
      <c r="D799" s="3498"/>
      <c r="E799" s="3538" t="s">
        <v>278</v>
      </c>
      <c r="F799" s="3503"/>
      <c r="G799" s="3504"/>
      <c r="H799" s="3547" t="str">
        <f>IMAGE("https://raw.githubusercontent.com/msikma/pokesprite/master/misc/types/gen8/bug.png",4,20,20)</f>
        <v/>
      </c>
      <c r="J799" s="3538" t="s">
        <v>435</v>
      </c>
      <c r="K799" s="3503"/>
      <c r="L799" s="3504"/>
      <c r="M799" s="3547" t="str">
        <f>IMAGE("https://raw.githubusercontent.com/msikma/pokesprite/master/misc/types/gen8/electric.png",4,20,20)</f>
        <v/>
      </c>
      <c r="O799" s="3538" t="s">
        <v>403</v>
      </c>
      <c r="P799" s="3503"/>
      <c r="Q799" s="3504"/>
      <c r="R799" s="3547" t="str">
        <f>IMAGE("https://raw.githubusercontent.com/msikma/pokesprite/master/misc/types/gen8/fire.png",4,20,20)</f>
        <v/>
      </c>
      <c r="T799" s="3538" t="s">
        <v>462</v>
      </c>
      <c r="U799" s="3503"/>
      <c r="V799" s="3504"/>
      <c r="W799" s="3547" t="str">
        <f>IMAGE("https://raw.githubusercontent.com/msikma/pokesprite/master/misc/types/gen8/grass.png",4,20,20)</f>
        <v/>
      </c>
      <c r="Y799" s="3538" t="s">
        <v>372</v>
      </c>
      <c r="Z799" s="3503"/>
      <c r="AA799" s="3504"/>
      <c r="AB799" s="3547" t="str">
        <f>IMAGE("https://raw.githubusercontent.com/msikma/pokesprite/master/misc/types/gen8/fire.png",4,20,20)</f>
        <v/>
      </c>
      <c r="AC799" s="3514"/>
      <c r="AD799" s="3502"/>
      <c r="AE799" s="3503"/>
      <c r="AF799" s="3503"/>
      <c r="AG799" s="3504"/>
      <c r="AH799" s="3507"/>
      <c r="AI799" s="3380"/>
    </row>
    <row r="800" ht="21.0" customHeight="1">
      <c r="A800" s="3368"/>
      <c r="B800" s="3496"/>
      <c r="C800" s="3529"/>
      <c r="D800" s="3498"/>
      <c r="E800" s="3548" t="s">
        <v>279</v>
      </c>
      <c r="F800" s="3549"/>
      <c r="G800" s="3550"/>
      <c r="H800" s="3551" t="str">
        <f>IMAGE("https://raw.githubusercontent.com/msikma/pokesprite/master/misc/types/gen8/dark.png",4,20,20)</f>
        <v/>
      </c>
      <c r="I800" s="3552"/>
      <c r="J800" s="3548" t="s">
        <v>1125</v>
      </c>
      <c r="K800" s="3549"/>
      <c r="L800" s="3550"/>
      <c r="M800" s="3551" t="str">
        <f>IMAGE("https://raw.githubusercontent.com/msikma/pokesprite/master/misc/types/gen8/rock.png",4,20,20)</f>
        <v/>
      </c>
      <c r="N800" s="3552"/>
      <c r="O800" s="3548" t="s">
        <v>1248</v>
      </c>
      <c r="P800" s="3549"/>
      <c r="Q800" s="3550"/>
      <c r="R800" s="3551" t="str">
        <f>IMAGE("https://raw.githubusercontent.com/msikma/pokesprite/master/misc/types/gen8/bug.png",4,20,20)</f>
        <v/>
      </c>
      <c r="S800" s="3552"/>
      <c r="T800" s="3548" t="s">
        <v>279</v>
      </c>
      <c r="U800" s="3549"/>
      <c r="V800" s="3550"/>
      <c r="W800" s="3551" t="str">
        <f>IMAGE("https://raw.githubusercontent.com/msikma/pokesprite/master/misc/types/gen8/dark.png",4,20,20)</f>
        <v/>
      </c>
      <c r="X800" s="3552"/>
      <c r="Y800" s="3548" t="s">
        <v>1249</v>
      </c>
      <c r="Z800" s="3549"/>
      <c r="AA800" s="3550"/>
      <c r="AB800" s="3551" t="str">
        <f>IMAGE("https://raw.githubusercontent.com/msikma/pokesprite/master/misc/types/gen8/rock.png",4,20,20)</f>
        <v/>
      </c>
      <c r="AC800" s="3553"/>
      <c r="AD800" s="3502"/>
      <c r="AE800" s="3503"/>
      <c r="AF800" s="3503"/>
      <c r="AG800" s="3504"/>
      <c r="AH800" s="3507"/>
      <c r="AI800" s="3380"/>
    </row>
    <row r="801" ht="3.0" customHeight="1">
      <c r="A801" s="3445"/>
      <c r="B801" s="3554"/>
      <c r="C801" s="3555"/>
      <c r="D801" s="3556"/>
      <c r="E801" s="3558"/>
      <c r="F801" s="3558"/>
      <c r="G801" s="3558"/>
      <c r="H801" s="3557"/>
      <c r="I801" s="3556"/>
      <c r="J801" s="3558"/>
      <c r="K801" s="3558"/>
      <c r="L801" s="3558"/>
      <c r="M801" s="3557"/>
      <c r="N801" s="3556"/>
      <c r="O801" s="3558"/>
      <c r="P801" s="3558"/>
      <c r="Q801" s="3558"/>
      <c r="R801" s="3557"/>
      <c r="S801" s="3559"/>
      <c r="T801" s="3558"/>
      <c r="U801" s="3558"/>
      <c r="V801" s="3558"/>
      <c r="W801" s="3557"/>
      <c r="X801" s="3556"/>
      <c r="Y801" s="3557"/>
      <c r="Z801" s="3557"/>
      <c r="AA801" s="3557"/>
      <c r="AB801" s="3557"/>
      <c r="AC801" s="3561"/>
      <c r="AD801" s="3561"/>
      <c r="AE801" s="3561"/>
      <c r="AF801" s="3561"/>
      <c r="AG801" s="3561"/>
      <c r="AH801" s="3562"/>
      <c r="AI801" s="3456"/>
    </row>
    <row r="802" ht="16.5" customHeight="1">
      <c r="A802" s="3457"/>
      <c r="B802" s="3563"/>
      <c r="C802" s="3555"/>
      <c r="D802" s="5140"/>
      <c r="E802" s="3565" t="s">
        <v>190</v>
      </c>
      <c r="F802" s="381"/>
      <c r="G802" s="382"/>
      <c r="H802" s="3566" t="s">
        <v>191</v>
      </c>
      <c r="I802" s="3567"/>
      <c r="J802" s="3565" t="s">
        <v>190</v>
      </c>
      <c r="K802" s="381"/>
      <c r="L802" s="382"/>
      <c r="M802" s="3566" t="s">
        <v>191</v>
      </c>
      <c r="N802" s="5140"/>
      <c r="O802" s="3565" t="s">
        <v>190</v>
      </c>
      <c r="P802" s="381"/>
      <c r="Q802" s="382"/>
      <c r="R802" s="3566" t="s">
        <v>191</v>
      </c>
      <c r="S802" s="5153"/>
      <c r="T802" s="3565" t="s">
        <v>190</v>
      </c>
      <c r="U802" s="381"/>
      <c r="V802" s="382"/>
      <c r="W802" s="3566" t="s">
        <v>191</v>
      </c>
      <c r="X802" s="3569"/>
      <c r="Y802" s="3565" t="s">
        <v>190</v>
      </c>
      <c r="Z802" s="381"/>
      <c r="AA802" s="382"/>
      <c r="AB802" s="3566" t="s">
        <v>191</v>
      </c>
      <c r="AC802" s="3569"/>
      <c r="AD802" s="3569"/>
      <c r="AE802" s="3569"/>
      <c r="AF802" s="3569"/>
      <c r="AG802" s="3569"/>
      <c r="AH802" s="3570"/>
      <c r="AI802" s="3466"/>
    </row>
    <row r="803" ht="16.5" customHeight="1">
      <c r="A803" s="3457"/>
      <c r="B803" s="3563"/>
      <c r="C803" s="3555"/>
      <c r="D803" s="3564"/>
      <c r="E803" s="3571" t="s">
        <v>192</v>
      </c>
      <c r="F803" s="3572">
        <f t="array" ref="F803">IFERROR(VLOOKUP(E790,Dex!$B$3:$N1022,8,FALSE),"")</f>
        <v>65</v>
      </c>
      <c r="G803" s="3573" t="str">
        <f t="array" ref="G803">IFERROR(VLOOKUP(F803,Dex!$P$22:$Q$276,2,FALSE),"")</f>
        <v/>
      </c>
      <c r="H803" s="3574"/>
      <c r="I803" s="3575"/>
      <c r="J803" s="3571" t="s">
        <v>192</v>
      </c>
      <c r="K803" s="3572">
        <f t="array" ref="K803">IFERROR(VLOOKUP(J790,Dex!$B$3:$N1022,8,FALSE),"")</f>
        <v>95</v>
      </c>
      <c r="L803" s="3573" t="str">
        <f t="array" ref="L803">IFERROR(VLOOKUP(K803,Dex!$P$22:$Q$276,2,FALSE),"")</f>
        <v/>
      </c>
      <c r="M803" s="3574"/>
      <c r="N803" s="3564"/>
      <c r="O803" s="3571" t="s">
        <v>192</v>
      </c>
      <c r="P803" s="3572">
        <f t="array" ref="P803">IFERROR(VLOOKUP(O790,Dex!$B$3:$N1022,8,FALSE),"")</f>
        <v>115</v>
      </c>
      <c r="Q803" s="3573" t="str">
        <f t="array" ref="Q803">IFERROR(VLOOKUP(P803,Dex!$P$22:$Q$276,2,FALSE),"")</f>
        <v/>
      </c>
      <c r="R803" s="3574">
        <v>252.0</v>
      </c>
      <c r="S803" s="3569"/>
      <c r="T803" s="3571" t="s">
        <v>192</v>
      </c>
      <c r="U803" s="3572">
        <f t="array" ref="U803">IFERROR(VLOOKUP(T790,Dex!$B$3:$N1022,8,FALSE),"")</f>
        <v>100</v>
      </c>
      <c r="V803" s="3573" t="str">
        <f t="array" ref="V803">IFERROR(VLOOKUP(U803,Dex!$P$22:$Q$276,2,FALSE),"")</f>
        <v/>
      </c>
      <c r="W803" s="3574">
        <v>252.0</v>
      </c>
      <c r="X803" s="3569"/>
      <c r="Y803" s="3571" t="s">
        <v>192</v>
      </c>
      <c r="Z803" s="3572">
        <f t="array" ref="Z803">IFERROR(VLOOKUP(Y790,Dex!$B$3:$N1022,8,FALSE),"")</f>
        <v>95</v>
      </c>
      <c r="AA803" s="3573" t="str">
        <f t="array" ref="AA803">IFERROR(VLOOKUP(Z803,Dex!$P$22:$Q$276,2,FALSE),"")</f>
        <v/>
      </c>
      <c r="AB803" s="3574"/>
      <c r="AC803" s="3569"/>
      <c r="AD803" s="3569"/>
      <c r="AE803" s="3569"/>
      <c r="AF803" s="3569"/>
      <c r="AG803" s="3569"/>
      <c r="AH803" s="3570"/>
      <c r="AI803" s="3466"/>
    </row>
    <row r="804" ht="16.5" customHeight="1">
      <c r="A804" s="3457"/>
      <c r="B804" s="3563"/>
      <c r="C804" s="3555"/>
      <c r="D804" s="3564"/>
      <c r="E804" s="3577" t="s">
        <v>193</v>
      </c>
      <c r="F804" s="3578">
        <f t="array" ref="F804">IFERROR(VLOOKUP(E790,Dex!$B$3:$N1022,9,FALSE),"")</f>
        <v>125</v>
      </c>
      <c r="G804" s="3579" t="str">
        <f t="array" ref="G804">IFERROR(VLOOKUP(F804,Dex!$P$22:$Q$276,2,FALSE),"")</f>
        <v/>
      </c>
      <c r="H804" s="3580">
        <v>252.0</v>
      </c>
      <c r="I804" s="3575"/>
      <c r="J804" s="3577" t="s">
        <v>193</v>
      </c>
      <c r="K804" s="3578">
        <f t="array" ref="K804">IFERROR(VLOOKUP(J790,Dex!$B$3:$N1022,9,FALSE),"")</f>
        <v>125</v>
      </c>
      <c r="L804" s="3579" t="str">
        <f t="array" ref="L804">IFERROR(VLOOKUP(K804,Dex!$P$22:$Q$276,2,FALSE),"")</f>
        <v/>
      </c>
      <c r="M804" s="3580">
        <v>252.0</v>
      </c>
      <c r="N804" s="3564"/>
      <c r="O804" s="3577" t="s">
        <v>193</v>
      </c>
      <c r="P804" s="3578">
        <f t="array" ref="P804">IFERROR(VLOOKUP(O790,Dex!$B$3:$N1022,9,FALSE),"")</f>
        <v>140</v>
      </c>
      <c r="Q804" s="3579" t="str">
        <f t="array" ref="Q804">IFERROR(VLOOKUP(P804,Dex!$P$22:$Q$276,2,FALSE),"")</f>
        <v/>
      </c>
      <c r="R804" s="3580">
        <v>252.0</v>
      </c>
      <c r="S804" s="3569"/>
      <c r="T804" s="3577" t="s">
        <v>193</v>
      </c>
      <c r="U804" s="3578">
        <f t="array" ref="U804">IFERROR(VLOOKUP(T790,Dex!$B$3:$N1022,9,FALSE),"")</f>
        <v>150</v>
      </c>
      <c r="V804" s="3579" t="str">
        <f t="array" ref="V804">IFERROR(VLOOKUP(U804,Dex!$P$22:$Q$276,2,FALSE),"")</f>
        <v/>
      </c>
      <c r="W804" s="3580">
        <v>252.0</v>
      </c>
      <c r="X804" s="3569"/>
      <c r="Y804" s="3577" t="s">
        <v>193</v>
      </c>
      <c r="Z804" s="3578">
        <f t="array" ref="Z804">IFERROR(VLOOKUP(Y790,Dex!$B$3:$N1022,9,FALSE),"")</f>
        <v>75</v>
      </c>
      <c r="AA804" s="3579" t="str">
        <f t="array" ref="AA804">IFERROR(VLOOKUP(Z804,Dex!$P$22:$Q$276,2,FALSE),"")</f>
        <v/>
      </c>
      <c r="AB804" s="3580"/>
      <c r="AC804" s="3569"/>
      <c r="AD804" s="3569"/>
      <c r="AE804" s="3569"/>
      <c r="AF804" s="3569"/>
      <c r="AG804" s="3569"/>
      <c r="AH804" s="3570"/>
      <c r="AI804" s="3466"/>
    </row>
    <row r="805" ht="16.5" customHeight="1">
      <c r="A805" s="3457"/>
      <c r="B805" s="3563"/>
      <c r="C805" s="3555"/>
      <c r="D805" s="3564"/>
      <c r="E805" s="3577" t="s">
        <v>194</v>
      </c>
      <c r="F805" s="3578">
        <f t="array" ref="F805">IFERROR(VLOOKUP(E790,Dex!$B$3:$N1022,10,FALSE),"")</f>
        <v>60</v>
      </c>
      <c r="G805" s="3579" t="str">
        <f t="array" ref="G805">IFERROR(VLOOKUP(F805,Dex!$P$22:$Q$276,2,FALSE),"")</f>
        <v/>
      </c>
      <c r="H805" s="3580">
        <v>4.0</v>
      </c>
      <c r="I805" s="3575"/>
      <c r="J805" s="3577" t="s">
        <v>194</v>
      </c>
      <c r="K805" s="3578">
        <f t="array" ref="K805">IFERROR(VLOOKUP(J790,Dex!$B$3:$N1022,10,FALSE),"")</f>
        <v>80</v>
      </c>
      <c r="L805" s="3579" t="str">
        <f t="array" ref="L805">IFERROR(VLOOKUP(K805,Dex!$P$22:$Q$276,2,FALSE),"")</f>
        <v/>
      </c>
      <c r="M805" s="3580">
        <v>4.0</v>
      </c>
      <c r="N805" s="3564"/>
      <c r="O805" s="3577" t="s">
        <v>194</v>
      </c>
      <c r="P805" s="3578">
        <f t="array" ref="P805">IFERROR(VLOOKUP(O790,Dex!$B$3:$N1022,10,FALSE),"")</f>
        <v>130</v>
      </c>
      <c r="Q805" s="3579" t="str">
        <f t="array" ref="Q805">IFERROR(VLOOKUP(P805,Dex!$P$22:$Q$276,2,FALSE),"")</f>
        <v/>
      </c>
      <c r="R805" s="3580">
        <v>4.0</v>
      </c>
      <c r="S805" s="3569"/>
      <c r="T805" s="3577" t="s">
        <v>194</v>
      </c>
      <c r="U805" s="3578">
        <f t="array" ref="U805">IFERROR(VLOOKUP(T790,Dex!$B$3:$N1022,10,FALSE),"")</f>
        <v>80</v>
      </c>
      <c r="V805" s="3579" t="str">
        <f t="array" ref="V805">IFERROR(VLOOKUP(U805,Dex!$P$22:$Q$276,2,FALSE),"")</f>
        <v/>
      </c>
      <c r="W805" s="3580">
        <v>4.0</v>
      </c>
      <c r="X805" s="3569"/>
      <c r="Y805" s="3577" t="s">
        <v>194</v>
      </c>
      <c r="Z805" s="3578">
        <f t="array" ref="Z805">IFERROR(VLOOKUP(Y790,Dex!$B$3:$N1022,10,FALSE),"")</f>
        <v>55</v>
      </c>
      <c r="AA805" s="3579" t="str">
        <f t="array" ref="AA805">IFERROR(VLOOKUP(Z805,Dex!$P$22:$Q$276,2,FALSE),"")</f>
        <v/>
      </c>
      <c r="AB805" s="3580">
        <v>4.0</v>
      </c>
      <c r="AC805" s="3569"/>
      <c r="AD805" s="3569"/>
      <c r="AE805" s="3569"/>
      <c r="AF805" s="3569"/>
      <c r="AG805" s="3569"/>
      <c r="AH805" s="3570"/>
      <c r="AI805" s="3466"/>
    </row>
    <row r="806" ht="16.5" customHeight="1">
      <c r="A806" s="3457"/>
      <c r="B806" s="3563"/>
      <c r="C806" s="3555"/>
      <c r="D806" s="3564"/>
      <c r="E806" s="3577" t="s">
        <v>195</v>
      </c>
      <c r="F806" s="3578">
        <f t="array" ref="F806">IFERROR(VLOOKUP(E790,Dex!$B$3:$N1022,11,FALSE),"")</f>
        <v>95</v>
      </c>
      <c r="G806" s="3579" t="str">
        <f t="array" ref="G806">IFERROR(VLOOKUP(F806,Dex!$P$22:$Q$276,2,FALSE),"")</f>
        <v/>
      </c>
      <c r="H806" s="3580"/>
      <c r="I806" s="3575"/>
      <c r="J806" s="3577" t="s">
        <v>195</v>
      </c>
      <c r="K806" s="3578">
        <f t="array" ref="K806">IFERROR(VLOOKUP(J790,Dex!$B$3:$N1022,11,FALSE),"")</f>
        <v>85</v>
      </c>
      <c r="L806" s="3579" t="str">
        <f t="array" ref="L806">IFERROR(VLOOKUP(K806,Dex!$P$22:$Q$276,2,FALSE),"")</f>
        <v/>
      </c>
      <c r="M806" s="3580"/>
      <c r="N806" s="3564"/>
      <c r="O806" s="3577" t="s">
        <v>195</v>
      </c>
      <c r="P806" s="3578">
        <f t="array" ref="P806">IFERROR(VLOOKUP(O790,Dex!$B$3:$N1022,11,FALSE),"")</f>
        <v>55</v>
      </c>
      <c r="Q806" s="3579" t="str">
        <f t="array" ref="Q806">IFERROR(VLOOKUP(P806,Dex!$P$22:$Q$276,2,FALSE),"")</f>
        <v/>
      </c>
      <c r="R806" s="3580"/>
      <c r="S806" s="3569"/>
      <c r="T806" s="3577" t="s">
        <v>195</v>
      </c>
      <c r="U806" s="3578">
        <f t="array" ref="U806">IFERROR(VLOOKUP(T790,Dex!$B$3:$N1022,11,FALSE),"")</f>
        <v>90</v>
      </c>
      <c r="V806" s="3579" t="str">
        <f t="array" ref="V806">IFERROR(VLOOKUP(U806,Dex!$P$22:$Q$276,2,FALSE),"")</f>
        <v/>
      </c>
      <c r="W806" s="3580"/>
      <c r="X806" s="3569"/>
      <c r="Y806" s="3577" t="s">
        <v>195</v>
      </c>
      <c r="Z806" s="3578">
        <f t="array" ref="Z806">IFERROR(VLOOKUP(Y790,Dex!$B$3:$N1022,11,FALSE),"")</f>
        <v>135</v>
      </c>
      <c r="AA806" s="3579" t="str">
        <f t="array" ref="AA806">IFERROR(VLOOKUP(Z806,Dex!$P$22:$Q$276,2,FALSE),"")</f>
        <v/>
      </c>
      <c r="AB806" s="3580">
        <v>252.0</v>
      </c>
      <c r="AC806" s="3569"/>
      <c r="AD806" s="3569"/>
      <c r="AE806" s="3569"/>
      <c r="AF806" s="3569"/>
      <c r="AG806" s="3569"/>
      <c r="AH806" s="3570"/>
      <c r="AI806" s="3466"/>
    </row>
    <row r="807" ht="16.5" customHeight="1">
      <c r="A807" s="3457"/>
      <c r="B807" s="3563"/>
      <c r="C807" s="3555"/>
      <c r="D807" s="3564"/>
      <c r="E807" s="3577" t="s">
        <v>196</v>
      </c>
      <c r="F807" s="3578">
        <f t="array" ref="F807">IFERROR(VLOOKUP(E790,Dex!$B$3:$N1022,12,FALSE),"")</f>
        <v>60</v>
      </c>
      <c r="G807" s="3579" t="str">
        <f t="array" ref="G807">IFERROR(VLOOKUP(F807,Dex!$P$22:$Q$276,2,FALSE),"")</f>
        <v/>
      </c>
      <c r="H807" s="3580"/>
      <c r="I807" s="3575"/>
      <c r="J807" s="3577" t="s">
        <v>196</v>
      </c>
      <c r="K807" s="3578">
        <f t="array" ref="K807">IFERROR(VLOOKUP(J790,Dex!$B$3:$N1022,12,FALSE),"")</f>
        <v>80</v>
      </c>
      <c r="L807" s="3579" t="str">
        <f t="array" ref="L807">IFERROR(VLOOKUP(K807,Dex!$P$22:$Q$276,2,FALSE),"")</f>
        <v/>
      </c>
      <c r="M807" s="3580"/>
      <c r="N807" s="3564"/>
      <c r="O807" s="3577" t="s">
        <v>196</v>
      </c>
      <c r="P807" s="3578">
        <f t="array" ref="P807">IFERROR(VLOOKUP(O790,Dex!$B$3:$N1022,12,FALSE),"")</f>
        <v>55</v>
      </c>
      <c r="Q807" s="3579" t="str">
        <f t="array" ref="Q807">IFERROR(VLOOKUP(P807,Dex!$P$22:$Q$276,2,FALSE),"")</f>
        <v/>
      </c>
      <c r="R807" s="3580"/>
      <c r="S807" s="3569"/>
      <c r="T807" s="3577" t="s">
        <v>196</v>
      </c>
      <c r="U807" s="3578">
        <f t="array" ref="U807">IFERROR(VLOOKUP(T790,Dex!$B$3:$N1022,12,FALSE),"")</f>
        <v>110</v>
      </c>
      <c r="V807" s="3579" t="str">
        <f t="array" ref="V807">IFERROR(VLOOKUP(U807,Dex!$P$22:$Q$276,2,FALSE),"")</f>
        <v/>
      </c>
      <c r="W807" s="3580"/>
      <c r="X807" s="3569"/>
      <c r="Y807" s="3577" t="s">
        <v>196</v>
      </c>
      <c r="Z807" s="3578">
        <f t="array" ref="Z807">IFERROR(VLOOKUP(Y790,Dex!$B$3:$N1022,12,FALSE),"")</f>
        <v>85</v>
      </c>
      <c r="AA807" s="3579" t="str">
        <f t="array" ref="AA807">IFERROR(VLOOKUP(Z807,Dex!$P$22:$Q$276,2,FALSE),"")</f>
        <v/>
      </c>
      <c r="AB807" s="3580"/>
      <c r="AC807" s="3569"/>
      <c r="AD807" s="3569"/>
      <c r="AE807" s="3569"/>
      <c r="AF807" s="3569"/>
      <c r="AG807" s="3569"/>
      <c r="AH807" s="3570"/>
      <c r="AI807" s="3466"/>
    </row>
    <row r="808" ht="16.5" customHeight="1">
      <c r="A808" s="3457"/>
      <c r="B808" s="3563"/>
      <c r="C808" s="1204" t="s">
        <v>436</v>
      </c>
      <c r="D808" s="3564"/>
      <c r="E808" s="3583" t="s">
        <v>197</v>
      </c>
      <c r="F808" s="3584">
        <f t="array" ref="F808">IFERROR(VLOOKUP(E790,Dex!$B$3:$N1022,13,FALSE),"")</f>
        <v>105</v>
      </c>
      <c r="G808" s="3585" t="str">
        <f t="array" ref="G808">IFERROR(VLOOKUP(F808,Dex!$P$22:$Q$276,2,FALSE),"")</f>
        <v/>
      </c>
      <c r="H808" s="3586">
        <v>252.0</v>
      </c>
      <c r="I808" s="3575"/>
      <c r="J808" s="3583" t="s">
        <v>197</v>
      </c>
      <c r="K808" s="3584">
        <f t="array" ref="K808">IFERROR(VLOOKUP(J790,Dex!$B$3:$N1022,13,FALSE),"")</f>
        <v>90</v>
      </c>
      <c r="L808" s="3585" t="str">
        <f t="array" ref="L808">IFERROR(VLOOKUP(K808,Dex!$P$22:$Q$276,2,FALSE),"")</f>
        <v/>
      </c>
      <c r="M808" s="3586">
        <v>252.0</v>
      </c>
      <c r="N808" s="3564"/>
      <c r="O808" s="3583" t="s">
        <v>197</v>
      </c>
      <c r="P808" s="3584">
        <f t="array" ref="P808">IFERROR(VLOOKUP(O790,Dex!$B$3:$N1022,13,FALSE),"")</f>
        <v>40</v>
      </c>
      <c r="Q808" s="3585" t="str">
        <f t="array" ref="Q808">IFERROR(VLOOKUP(P808,Dex!$P$22:$Q$276,2,FALSE),"")</f>
        <v/>
      </c>
      <c r="R808" s="3586"/>
      <c r="S808" s="3569"/>
      <c r="T808" s="3583" t="s">
        <v>197</v>
      </c>
      <c r="U808" s="3584">
        <f t="array" ref="U808">IFERROR(VLOOKUP(T790,Dex!$B$3:$N1022,13,FALSE),"")</f>
        <v>85</v>
      </c>
      <c r="V808" s="3585" t="str">
        <f t="array" ref="V808">IFERROR(VLOOKUP(U808,Dex!$P$22:$Q$276,2,FALSE),"")</f>
        <v/>
      </c>
      <c r="W808" s="3586"/>
      <c r="X808" s="3569"/>
      <c r="Y808" s="3583" t="s">
        <v>197</v>
      </c>
      <c r="Z808" s="3584">
        <f t="array" ref="Z808">IFERROR(VLOOKUP(Y790,Dex!$B$3:$N1022,13,FALSE),"")</f>
        <v>55</v>
      </c>
      <c r="AA808" s="3585" t="str">
        <f t="array" ref="AA808">IFERROR(VLOOKUP(Z808,Dex!$P$22:$Q$276,2,FALSE),"")</f>
        <v/>
      </c>
      <c r="AB808" s="3586">
        <v>252.0</v>
      </c>
      <c r="AC808" s="3569"/>
      <c r="AD808" s="3569"/>
      <c r="AE808" s="3569"/>
      <c r="AF808" s="3569"/>
      <c r="AG808" s="3569"/>
      <c r="AH808" s="3570"/>
      <c r="AI808" s="3466"/>
    </row>
    <row r="809" ht="16.5" customHeight="1">
      <c r="A809" s="3457"/>
      <c r="B809" s="3563"/>
      <c r="C809" s="1205" t="s">
        <v>1250</v>
      </c>
      <c r="D809" s="5140"/>
      <c r="E809" s="3587" t="s">
        <v>198</v>
      </c>
      <c r="F809" s="405"/>
      <c r="G809" s="406"/>
      <c r="H809" s="3588">
        <v>245.0</v>
      </c>
      <c r="I809" s="3567"/>
      <c r="J809" s="3587" t="s">
        <v>198</v>
      </c>
      <c r="K809" s="405"/>
      <c r="L809" s="406"/>
      <c r="M809" s="3588">
        <v>218.0</v>
      </c>
      <c r="N809" s="5140"/>
      <c r="O809" s="3587" t="s">
        <v>198</v>
      </c>
      <c r="P809" s="405"/>
      <c r="Q809" s="406"/>
      <c r="R809" s="3588">
        <v>83.0</v>
      </c>
      <c r="S809" s="5154"/>
      <c r="T809" s="3587" t="s">
        <v>198</v>
      </c>
      <c r="U809" s="405"/>
      <c r="V809" s="406"/>
      <c r="W809" s="3588">
        <v>149.0</v>
      </c>
      <c r="X809" s="5154"/>
      <c r="Y809" s="5141" t="s">
        <v>198</v>
      </c>
      <c r="Z809" s="918"/>
      <c r="AA809" s="919"/>
      <c r="AB809" s="5142">
        <v>166.0</v>
      </c>
      <c r="AC809" s="3569"/>
      <c r="AD809" s="3569"/>
      <c r="AE809" s="3569"/>
      <c r="AF809" s="3569"/>
      <c r="AG809" s="3569"/>
      <c r="AH809" s="3570"/>
      <c r="AI809" s="3466"/>
    </row>
    <row r="810" ht="16.5" customHeight="1">
      <c r="A810" s="3457"/>
      <c r="B810" s="5143"/>
      <c r="C810" s="5144"/>
      <c r="D810" s="5145"/>
      <c r="E810" s="5146"/>
      <c r="F810" s="5146"/>
      <c r="G810" s="5146"/>
      <c r="H810" s="5144"/>
      <c r="I810" s="5147"/>
      <c r="J810" s="5146"/>
      <c r="K810" s="5146"/>
      <c r="L810" s="5146"/>
      <c r="M810" s="5144"/>
      <c r="N810" s="5145"/>
      <c r="O810" s="5146"/>
      <c r="P810" s="5146"/>
      <c r="Q810" s="5146"/>
      <c r="R810" s="5144"/>
      <c r="S810" s="5155"/>
      <c r="T810" s="5146"/>
      <c r="U810" s="5146"/>
      <c r="V810" s="5146"/>
      <c r="W810" s="5144"/>
      <c r="X810" s="5148"/>
      <c r="Y810" s="5149" t="s">
        <v>381</v>
      </c>
      <c r="Z810" s="925"/>
      <c r="AA810" s="926"/>
      <c r="AB810" s="5150">
        <v>332.0</v>
      </c>
      <c r="AC810" s="5148"/>
      <c r="AD810" s="5148"/>
      <c r="AE810" s="5148"/>
      <c r="AF810" s="5148"/>
      <c r="AG810" s="5148"/>
      <c r="AH810" s="5151"/>
      <c r="AI810" s="3466"/>
    </row>
    <row r="811" ht="15.0" customHeight="1">
      <c r="A811" s="3368"/>
      <c r="B811" s="3589"/>
      <c r="C811" s="3590"/>
      <c r="D811" s="3591"/>
      <c r="E811" s="3592"/>
      <c r="F811" s="3592"/>
      <c r="G811" s="3592"/>
      <c r="H811" s="3593"/>
      <c r="I811" s="3593"/>
      <c r="J811" s="3592"/>
      <c r="K811" s="3592"/>
      <c r="L811" s="3592"/>
      <c r="M811" s="3593"/>
      <c r="N811" s="3595"/>
      <c r="O811" s="3596"/>
      <c r="P811" s="3596"/>
      <c r="Q811" s="3597"/>
      <c r="R811" s="3597"/>
      <c r="S811" s="3597"/>
      <c r="T811" s="3596"/>
      <c r="U811" s="3596"/>
      <c r="V811" s="3597"/>
      <c r="W811" s="3597"/>
      <c r="X811" s="3595"/>
      <c r="Y811" s="3598"/>
      <c r="Z811" s="3598"/>
      <c r="AA811" s="3598"/>
      <c r="AB811" s="3598"/>
      <c r="AC811" s="3598"/>
      <c r="AD811" s="3598"/>
      <c r="AE811" s="3598"/>
      <c r="AF811" s="3598"/>
      <c r="AG811" s="3598"/>
      <c r="AH811" s="3599"/>
      <c r="AI811" s="3380"/>
    </row>
    <row r="812" ht="15.0" customHeight="1">
      <c r="A812" s="3361"/>
      <c r="B812" s="3491"/>
      <c r="C812" s="3492"/>
      <c r="D812" s="3493"/>
      <c r="E812" s="3493"/>
      <c r="F812" s="3493"/>
      <c r="G812" s="3493"/>
      <c r="H812" s="3493"/>
      <c r="I812" s="3493"/>
      <c r="J812" s="3493"/>
      <c r="K812" s="3493"/>
      <c r="L812" s="3493"/>
      <c r="M812" s="3493"/>
      <c r="N812" s="3493"/>
      <c r="O812" s="3493"/>
      <c r="P812" s="3493"/>
      <c r="Q812" s="3493"/>
      <c r="R812" s="3493"/>
      <c r="S812" s="3493"/>
      <c r="T812" s="3493"/>
      <c r="U812" s="3493"/>
      <c r="V812" s="3493"/>
      <c r="W812" s="3493"/>
      <c r="X812" s="3493"/>
      <c r="Y812" s="3493"/>
      <c r="Z812" s="3493"/>
      <c r="AA812" s="3493"/>
      <c r="AB812" s="3493"/>
      <c r="AC812" s="3493"/>
      <c r="AD812" s="3493"/>
      <c r="AE812" s="3493"/>
      <c r="AF812" s="3493"/>
      <c r="AG812" s="3493"/>
      <c r="AH812" s="3495"/>
      <c r="AI812" s="3367"/>
    </row>
    <row r="813">
      <c r="A813" s="3361"/>
      <c r="B813" s="5123"/>
      <c r="C813" s="5124"/>
      <c r="D813" s="3505"/>
      <c r="E813" s="5125" t="s">
        <v>1251</v>
      </c>
      <c r="F813" s="3541"/>
      <c r="G813" s="3541"/>
      <c r="H813" s="3541"/>
      <c r="I813" s="3541"/>
      <c r="J813" s="3541"/>
      <c r="K813" s="3541"/>
      <c r="L813" s="3541"/>
      <c r="M813" s="3541"/>
      <c r="N813" s="3541"/>
      <c r="O813" s="3541"/>
      <c r="P813" s="3541"/>
      <c r="Q813" s="3541"/>
      <c r="R813" s="3541"/>
      <c r="S813" s="3541"/>
      <c r="T813" s="3541"/>
      <c r="U813" s="3541"/>
      <c r="V813" s="3541"/>
      <c r="W813" s="3541"/>
      <c r="X813" s="3541"/>
      <c r="Y813" s="3541"/>
      <c r="Z813" s="3541"/>
      <c r="AA813" s="3541"/>
      <c r="AB813" s="3541"/>
      <c r="AC813" s="3541"/>
      <c r="AD813" s="3541"/>
      <c r="AE813" s="3541"/>
      <c r="AF813" s="3541"/>
      <c r="AG813" s="3542"/>
      <c r="AH813" s="5126"/>
      <c r="AI813" s="3367"/>
    </row>
    <row r="814" ht="96.75" customHeight="1">
      <c r="A814" s="3368"/>
      <c r="B814" s="3496"/>
      <c r="C814" s="3497" t="str">
        <f>IMAGE("https://i.ibb.co/26kF6WW/Ace-Trainer-F.png")</f>
        <v/>
      </c>
      <c r="D814" s="3498"/>
      <c r="E814" s="3499" t="str">
        <f t="array" ref="E814">IFERROR(VLOOKUP(E815,Dex!$B$3:$G1022,3,FALSE),"")</f>
        <v/>
      </c>
      <c r="F814" s="381"/>
      <c r="G814" s="381"/>
      <c r="H814" s="2531"/>
      <c r="I814" s="3500"/>
      <c r="J814" s="3499" t="str">
        <f t="array" ref="J814">IFERROR(VLOOKUP(J815,Dex!$B$3:$G1022,3,FALSE),"")</f>
        <v/>
      </c>
      <c r="K814" s="381"/>
      <c r="L814" s="381"/>
      <c r="M814" s="2531"/>
      <c r="N814" s="5127"/>
      <c r="O814" s="3499" t="str">
        <f t="array" ref="O814">IFERROR(VLOOKUP(O815,Dex!$B$3:$G1022,3,FALSE),"")</f>
        <v/>
      </c>
      <c r="P814" s="381"/>
      <c r="Q814" s="381"/>
      <c r="R814" s="2531"/>
      <c r="S814" s="5128"/>
      <c r="T814" s="3499" t="str">
        <f t="array" ref="T814">IFERROR(VLOOKUP(T815,Dex!$B$3:$G1022,3,FALSE),"")</f>
        <v/>
      </c>
      <c r="U814" s="381"/>
      <c r="V814" s="381"/>
      <c r="W814" s="2531"/>
      <c r="X814" s="5127"/>
      <c r="Y814" s="3499" t="str">
        <f t="array" ref="Y814">IFERROR(VLOOKUP(Y815,Dex!$B$3:$G1022,3,FALSE),"")</f>
        <v/>
      </c>
      <c r="Z814" s="381"/>
      <c r="AA814" s="381"/>
      <c r="AB814" s="2531"/>
      <c r="AC814" s="5152"/>
      <c r="AD814" s="3502"/>
      <c r="AE814" s="3503"/>
      <c r="AF814" s="3503"/>
      <c r="AG814" s="3504"/>
      <c r="AH814" s="3507"/>
      <c r="AI814" s="3380"/>
    </row>
    <row r="815" ht="18.75" customHeight="1">
      <c r="A815" s="3381"/>
      <c r="B815" s="3508"/>
      <c r="C815" s="3509" t="s">
        <v>1252</v>
      </c>
      <c r="D815" s="3510"/>
      <c r="E815" s="3511" t="s">
        <v>1253</v>
      </c>
      <c r="F815" s="3512"/>
      <c r="G815" s="3512"/>
      <c r="H815" s="3513"/>
      <c r="J815" s="5129" t="s">
        <v>1254</v>
      </c>
      <c r="K815" s="3512"/>
      <c r="L815" s="3512"/>
      <c r="M815" s="5130"/>
      <c r="O815" s="5129" t="s">
        <v>1111</v>
      </c>
      <c r="P815" s="3512"/>
      <c r="Q815" s="3512"/>
      <c r="R815" s="5130"/>
      <c r="T815" s="5129" t="s">
        <v>295</v>
      </c>
      <c r="U815" s="3512"/>
      <c r="V815" s="3512"/>
      <c r="W815" s="5130"/>
      <c r="Y815" s="5129" t="s">
        <v>1255</v>
      </c>
      <c r="Z815" s="3512"/>
      <c r="AA815" s="3512"/>
      <c r="AB815" s="5130"/>
      <c r="AC815" s="3514"/>
      <c r="AD815" s="3515"/>
      <c r="AE815" s="3503"/>
      <c r="AF815" s="3503"/>
      <c r="AG815" s="3504"/>
      <c r="AH815" s="3517"/>
      <c r="AI815" s="3393"/>
    </row>
    <row r="816">
      <c r="A816" s="3394"/>
      <c r="B816" s="3518"/>
      <c r="C816" s="1481"/>
      <c r="D816" s="3519"/>
      <c r="E816" s="3520" t="s">
        <v>843</v>
      </c>
      <c r="F816" s="3521"/>
      <c r="G816" s="3521"/>
      <c r="H816" s="3522"/>
      <c r="J816" s="3520" t="s">
        <v>843</v>
      </c>
      <c r="K816" s="3521"/>
      <c r="L816" s="3521"/>
      <c r="M816" s="3522"/>
      <c r="O816" s="3520" t="s">
        <v>843</v>
      </c>
      <c r="P816" s="3521"/>
      <c r="Q816" s="3521"/>
      <c r="R816" s="3522"/>
      <c r="T816" s="3520" t="s">
        <v>715</v>
      </c>
      <c r="U816" s="3521"/>
      <c r="V816" s="3521"/>
      <c r="W816" s="3522"/>
      <c r="Y816" s="3520" t="s">
        <v>843</v>
      </c>
      <c r="Z816" s="3521"/>
      <c r="AA816" s="3521"/>
      <c r="AB816" s="3522"/>
      <c r="AC816" s="3514"/>
      <c r="AD816" s="3523"/>
      <c r="AE816" s="3503"/>
      <c r="AF816" s="3503"/>
      <c r="AG816" s="3504"/>
      <c r="AH816" s="3524"/>
      <c r="AI816" s="3402"/>
    </row>
    <row r="817" ht="25.5" customHeight="1">
      <c r="A817" s="3368"/>
      <c r="B817" s="3496"/>
      <c r="C817" s="1489"/>
      <c r="D817" s="3498"/>
      <c r="E817" s="3525"/>
      <c r="F817" s="3526" t="str">
        <f t="array" ref="F817">IFERROR(VLOOKUP(E815,Dex!$B$3:$H1022,5,FALSE),"")</f>
        <v/>
      </c>
      <c r="G817" s="3527"/>
      <c r="H817" s="3528"/>
      <c r="J817" s="5133"/>
      <c r="K817" s="5134" t="str">
        <f t="array" ref="K817">IFERROR(VLOOKUP(J815,Dex!$B$3:$H1022,5,FALSE),"")</f>
        <v/>
      </c>
      <c r="L817" s="5135" t="str">
        <f t="array" ref="L817">IFERROR(VLOOKUP(J815,Dex!$B$3:$H1022,7,FALSE),"")</f>
        <v/>
      </c>
      <c r="M817" s="5136"/>
      <c r="O817" s="5133"/>
      <c r="P817" s="5134" t="str">
        <f t="array" ref="P817">IFERROR(VLOOKUP(O815,Dex!$B$3:$H1022,5,FALSE),"")</f>
        <v/>
      </c>
      <c r="Q817" s="5135" t="str">
        <f t="array" ref="Q817">IFERROR(VLOOKUP(O815,Dex!$B$3:$H1022,7,FALSE),"")</f>
        <v/>
      </c>
      <c r="R817" s="5136"/>
      <c r="T817" s="5133"/>
      <c r="U817" s="5134" t="str">
        <f t="array" ref="U817">IFERROR(VLOOKUP(T815,Dex!$B$3:$H1022,5,FALSE),"")</f>
        <v/>
      </c>
      <c r="V817" s="5135" t="str">
        <f t="array" ref="V817">IFERROR(VLOOKUP(T815,Dex!$B$3:$H1022,7,FALSE),"")</f>
        <v/>
      </c>
      <c r="W817" s="5136"/>
      <c r="Y817" s="5133"/>
      <c r="Z817" s="5134" t="str">
        <f t="array" ref="Z817">IFERROR(VLOOKUP(Y815,Dex!$B$3:$H1022,5,FALSE),"")</f>
        <v/>
      </c>
      <c r="AA817" s="5135" t="str">
        <f t="array" ref="AA817">IFERROR(VLOOKUP(Y815,Dex!$B$3:$H1022,7,FALSE),"")</f>
        <v/>
      </c>
      <c r="AB817" s="5136"/>
      <c r="AC817" s="3514"/>
      <c r="AD817" s="3502"/>
      <c r="AE817" s="3503"/>
      <c r="AF817" s="3503"/>
      <c r="AG817" s="3504"/>
      <c r="AH817" s="3507"/>
      <c r="AI817" s="3380"/>
    </row>
    <row r="818" ht="2.25" customHeight="1">
      <c r="A818" s="3368"/>
      <c r="B818" s="3496"/>
      <c r="C818" s="3529"/>
      <c r="D818" s="3498"/>
      <c r="E818" s="3530"/>
      <c r="F818" s="3531"/>
      <c r="G818" s="3531"/>
      <c r="H818" s="3532"/>
      <c r="J818" s="5137"/>
      <c r="K818" s="5138"/>
      <c r="L818" s="5138"/>
      <c r="M818" s="5139"/>
      <c r="O818" s="5137"/>
      <c r="P818" s="5138"/>
      <c r="Q818" s="5138"/>
      <c r="R818" s="5139"/>
      <c r="T818" s="5137"/>
      <c r="U818" s="5138"/>
      <c r="V818" s="5138"/>
      <c r="W818" s="5139"/>
      <c r="Y818" s="5137"/>
      <c r="Z818" s="5138"/>
      <c r="AA818" s="5138"/>
      <c r="AB818" s="5139"/>
      <c r="AC818" s="3514"/>
      <c r="AD818" s="3533"/>
      <c r="AE818" s="3533"/>
      <c r="AF818" s="3533"/>
      <c r="AG818" s="3533"/>
      <c r="AH818" s="3507"/>
      <c r="AI818" s="3380"/>
    </row>
    <row r="819" ht="20.25" customHeight="1">
      <c r="A819" s="3368"/>
      <c r="B819" s="3496"/>
      <c r="C819" s="3529"/>
      <c r="D819" s="3498"/>
      <c r="E819" s="3534" t="s">
        <v>172</v>
      </c>
      <c r="F819" s="3535"/>
      <c r="G819" s="3535"/>
      <c r="H819" s="3536"/>
      <c r="J819" s="3534" t="s">
        <v>172</v>
      </c>
      <c r="K819" s="3535"/>
      <c r="L819" s="3535"/>
      <c r="M819" s="3536"/>
      <c r="O819" s="3534" t="s">
        <v>172</v>
      </c>
      <c r="P819" s="3535"/>
      <c r="Q819" s="3535"/>
      <c r="R819" s="3536"/>
      <c r="T819" s="3534" t="s">
        <v>169</v>
      </c>
      <c r="U819" s="3535"/>
      <c r="V819" s="3535"/>
      <c r="W819" s="3536"/>
      <c r="Y819" s="3534" t="s">
        <v>205</v>
      </c>
      <c r="Z819" s="3535"/>
      <c r="AA819" s="3535"/>
      <c r="AB819" s="3536"/>
      <c r="AC819" s="3514"/>
      <c r="AD819" s="3502"/>
      <c r="AE819" s="3503"/>
      <c r="AF819" s="3503"/>
      <c r="AG819" s="3504"/>
      <c r="AH819" s="3507"/>
      <c r="AI819" s="3380"/>
    </row>
    <row r="820" ht="20.25" customHeight="1">
      <c r="A820" s="3368"/>
      <c r="B820" s="3496"/>
      <c r="C820" s="3537"/>
      <c r="D820" s="3498"/>
      <c r="E820" s="3538" t="s">
        <v>1256</v>
      </c>
      <c r="F820" s="3503"/>
      <c r="G820" s="3503"/>
      <c r="H820" s="3539"/>
      <c r="J820" s="3538" t="s">
        <v>1257</v>
      </c>
      <c r="K820" s="3503"/>
      <c r="L820" s="3503"/>
      <c r="M820" s="3539"/>
      <c r="O820" s="3538" t="s">
        <v>596</v>
      </c>
      <c r="P820" s="3503"/>
      <c r="Q820" s="3503"/>
      <c r="R820" s="3539"/>
      <c r="T820" s="3538" t="s">
        <v>303</v>
      </c>
      <c r="U820" s="3503"/>
      <c r="V820" s="3503"/>
      <c r="W820" s="3539"/>
      <c r="Y820" s="3538" t="s">
        <v>1258</v>
      </c>
      <c r="Z820" s="3503"/>
      <c r="AA820" s="3503"/>
      <c r="AB820" s="3539"/>
      <c r="AC820" s="3514"/>
      <c r="AD820" s="3502"/>
      <c r="AE820" s="3503"/>
      <c r="AF820" s="3503"/>
      <c r="AG820" s="3504"/>
      <c r="AH820" s="3507"/>
      <c r="AI820" s="3380"/>
    </row>
    <row r="821" ht="20.25" customHeight="1">
      <c r="A821" s="3368"/>
      <c r="B821" s="3496"/>
      <c r="C821" s="3516"/>
      <c r="D821" s="3498"/>
      <c r="E821" s="3540" t="s">
        <v>240</v>
      </c>
      <c r="F821" s="3541"/>
      <c r="G821" s="3542"/>
      <c r="H821" s="3543" t="str">
        <f>IMAGE("https://raw.githubusercontent.com/msikma/pokesprite/master/items/hold-item/focus-sash.png",3)</f>
        <v/>
      </c>
      <c r="J821" s="3540" t="s">
        <v>272</v>
      </c>
      <c r="K821" s="3541"/>
      <c r="L821" s="3542"/>
      <c r="M821" s="3543" t="str">
        <f>IMAGE("https://raw.githubusercontent.com/msikma/pokesprite/master/items/hold-item/life-orb.png",3)</f>
        <v/>
      </c>
      <c r="O821" s="3540" t="s">
        <v>600</v>
      </c>
      <c r="P821" s="3541"/>
      <c r="Q821" s="3542"/>
      <c r="R821" s="3543" t="str">
        <f>IMAGE("https://raw.githubusercontent.com/msikma/pokesprite/master/items/hold-item/toxic-orb.png",3)</f>
        <v/>
      </c>
      <c r="T821" s="3540" t="s">
        <v>307</v>
      </c>
      <c r="U821" s="3541"/>
      <c r="V821" s="3542"/>
      <c r="W821" s="3543" t="str">
        <f>IMAGE("https://raw.githubusercontent.com/msikma/pokesprite/master/items/hold-item/flame-orb.png",3)</f>
        <v/>
      </c>
      <c r="Y821" s="3540" t="s">
        <v>1259</v>
      </c>
      <c r="Z821" s="3541"/>
      <c r="AA821" s="3542"/>
      <c r="AB821" s="3543" t="str">
        <f>IMAGE("https://raw.githubusercontent.com/msikma/pokesprite/master/items/z-crystals/firium-z--held.png",3)</f>
        <v/>
      </c>
      <c r="AC821" s="3514"/>
      <c r="AD821" s="3502"/>
      <c r="AE821" s="3503"/>
      <c r="AF821" s="3503"/>
      <c r="AG821" s="3504"/>
      <c r="AH821" s="3507"/>
      <c r="AI821" s="3380"/>
    </row>
    <row r="822" ht="20.25" customHeight="1">
      <c r="A822" s="3368"/>
      <c r="B822" s="3496"/>
      <c r="C822" s="3544"/>
      <c r="D822" s="3498"/>
      <c r="E822" s="3534" t="s">
        <v>395</v>
      </c>
      <c r="F822" s="3535"/>
      <c r="G822" s="3545"/>
      <c r="H822" s="3546" t="str">
        <f>IMAGE("https://raw.githubusercontent.com/msikma/pokesprite/master/misc/types/gen8/rock.png",4,20,20)</f>
        <v/>
      </c>
      <c r="J822" s="3534" t="s">
        <v>378</v>
      </c>
      <c r="K822" s="3535"/>
      <c r="L822" s="3545"/>
      <c r="M822" s="3546" t="str">
        <f>IMAGE("https://raw.githubusercontent.com/msikma/pokesprite/master/misc/types/gen8/fire.png",4,20,20)</f>
        <v/>
      </c>
      <c r="O822" s="3534" t="s">
        <v>489</v>
      </c>
      <c r="P822" s="3535"/>
      <c r="Q822" s="3545"/>
      <c r="R822" s="3546" t="str">
        <f>IMAGE("https://raw.githubusercontent.com/msikma/pokesprite/master/misc/types/gen8/normal.png",4,20,20)</f>
        <v/>
      </c>
      <c r="T822" s="3534" t="s">
        <v>1163</v>
      </c>
      <c r="U822" s="3535"/>
      <c r="V822" s="3545"/>
      <c r="W822" s="3546" t="str">
        <f>IMAGE("https://raw.githubusercontent.com/msikma/pokesprite/master/misc/types/gen8/ground.png",4,20,20)</f>
        <v/>
      </c>
      <c r="Y822" s="3534" t="s">
        <v>785</v>
      </c>
      <c r="Z822" s="3535"/>
      <c r="AA822" s="3545"/>
      <c r="AB822" s="3546" t="str">
        <f>IMAGE("https://raw.githubusercontent.com/msikma/pokesprite/master/misc/types/gen8/fire.png",4,20,20)</f>
        <v/>
      </c>
      <c r="AC822" s="3514"/>
      <c r="AD822" s="3502"/>
      <c r="AE822" s="3503"/>
      <c r="AF822" s="3503"/>
      <c r="AG822" s="3504"/>
      <c r="AH822" s="3507"/>
      <c r="AI822" s="3380"/>
    </row>
    <row r="823" ht="20.25" customHeight="1">
      <c r="A823" s="3368"/>
      <c r="B823" s="3496"/>
      <c r="C823" s="3529"/>
      <c r="D823" s="3498"/>
      <c r="E823" s="3538" t="s">
        <v>948</v>
      </c>
      <c r="F823" s="3503"/>
      <c r="G823" s="3504"/>
      <c r="H823" s="3547" t="str">
        <f>IMAGE("https://raw.githubusercontent.com/msikma/pokesprite/master/misc/types/gen8/normal.png",4,20,20)</f>
        <v/>
      </c>
      <c r="J823" s="3538" t="s">
        <v>278</v>
      </c>
      <c r="K823" s="3503"/>
      <c r="L823" s="3504"/>
      <c r="M823" s="3547" t="str">
        <f>IMAGE("https://raw.githubusercontent.com/msikma/pokesprite/master/misc/types/gen8/bug.png",4,20,20)</f>
        <v/>
      </c>
      <c r="O823" s="3538" t="s">
        <v>402</v>
      </c>
      <c r="P823" s="3503"/>
      <c r="Q823" s="3504"/>
      <c r="R823" s="3547" t="str">
        <f>IMAGE("https://raw.githubusercontent.com/msikma/pokesprite/master/misc/types/gen8/ground.png",4,20,20)</f>
        <v/>
      </c>
      <c r="T823" s="3538" t="s">
        <v>189</v>
      </c>
      <c r="U823" s="3503"/>
      <c r="V823" s="3504"/>
      <c r="W823" s="3547" t="str">
        <f>IMAGE("https://raw.githubusercontent.com/msikma/pokesprite/master/misc/types/gen8/normal.png",4,20,20)</f>
        <v/>
      </c>
      <c r="Y823" s="3538" t="s">
        <v>376</v>
      </c>
      <c r="Z823" s="3503"/>
      <c r="AA823" s="3504"/>
      <c r="AB823" s="3547" t="str">
        <f>IMAGE("https://raw.githubusercontent.com/msikma/pokesprite/master/misc/types/gen8/grass.png",4,20,20)</f>
        <v/>
      </c>
      <c r="AC823" s="3514"/>
      <c r="AD823" s="3502"/>
      <c r="AE823" s="3503"/>
      <c r="AF823" s="3503"/>
      <c r="AG823" s="3504"/>
      <c r="AH823" s="3507"/>
      <c r="AI823" s="3380"/>
    </row>
    <row r="824" ht="20.25" customHeight="1">
      <c r="A824" s="3368"/>
      <c r="B824" s="3496"/>
      <c r="C824" s="3529"/>
      <c r="D824" s="3498"/>
      <c r="E824" s="3538" t="s">
        <v>1125</v>
      </c>
      <c r="F824" s="3503"/>
      <c r="G824" s="3504"/>
      <c r="H824" s="3547" t="str">
        <f t="shared" ref="H824:H825" si="21">IMAGE("https://raw.githubusercontent.com/msikma/pokesprite/master/misc/types/gen8/rock.png",4,20,20)</f>
        <v/>
      </c>
      <c r="J824" s="3538" t="s">
        <v>634</v>
      </c>
      <c r="K824" s="3503"/>
      <c r="L824" s="3504"/>
      <c r="M824" s="3547" t="str">
        <f>IMAGE("https://raw.githubusercontent.com/msikma/pokesprite/master/misc/types/gen8/ice.png",4,20,20)</f>
        <v/>
      </c>
      <c r="O824" s="3538" t="s">
        <v>408</v>
      </c>
      <c r="P824" s="3503"/>
      <c r="Q824" s="3504"/>
      <c r="R824" s="3547" t="str">
        <f>IMAGE("https://raw.githubusercontent.com/msikma/pokesprite/master/misc/types/gen8/flying.png",4,20,20)</f>
        <v/>
      </c>
      <c r="T824" s="3538" t="s">
        <v>316</v>
      </c>
      <c r="U824" s="3503"/>
      <c r="V824" s="3504"/>
      <c r="W824" s="3547" t="str">
        <f>IMAGE("https://raw.githubusercontent.com/msikma/pokesprite/master/misc/types/gen8/fighting.png",4,20,20)</f>
        <v/>
      </c>
      <c r="Y824" s="3538" t="s">
        <v>374</v>
      </c>
      <c r="Z824" s="3503"/>
      <c r="AA824" s="3504"/>
      <c r="AB824" s="3547" t="str">
        <f>IMAGE("https://raw.githubusercontent.com/msikma/pokesprite/master/misc/types/gen8/flying.png",4,20,20)</f>
        <v/>
      </c>
      <c r="AC824" s="3514"/>
      <c r="AD824" s="3502"/>
      <c r="AE824" s="3503"/>
      <c r="AF824" s="3503"/>
      <c r="AG824" s="3504"/>
      <c r="AH824" s="3507"/>
      <c r="AI824" s="3380"/>
    </row>
    <row r="825" ht="21.0" customHeight="1">
      <c r="A825" s="3368"/>
      <c r="B825" s="3496"/>
      <c r="C825" s="3529"/>
      <c r="D825" s="3498"/>
      <c r="E825" s="3548" t="s">
        <v>181</v>
      </c>
      <c r="F825" s="3549"/>
      <c r="G825" s="3550"/>
      <c r="H825" s="3551" t="str">
        <f t="shared" si="21"/>
        <v/>
      </c>
      <c r="I825" s="3552"/>
      <c r="J825" s="3548" t="s">
        <v>402</v>
      </c>
      <c r="K825" s="3549"/>
      <c r="L825" s="3550"/>
      <c r="M825" s="3551" t="str">
        <f>IMAGE("https://raw.githubusercontent.com/msikma/pokesprite/master/misc/types/gen8/ground.png",4,20,20)</f>
        <v/>
      </c>
      <c r="N825" s="3552"/>
      <c r="O825" s="3548" t="s">
        <v>189</v>
      </c>
      <c r="P825" s="3549"/>
      <c r="Q825" s="3550"/>
      <c r="R825" s="3551" t="str">
        <f>IMAGE("https://raw.githubusercontent.com/msikma/pokesprite/master/misc/types/gen8/normal.png",4,20,20)</f>
        <v/>
      </c>
      <c r="S825" s="3552"/>
      <c r="T825" s="3548" t="s">
        <v>279</v>
      </c>
      <c r="U825" s="3549"/>
      <c r="V825" s="3550"/>
      <c r="W825" s="3551" t="str">
        <f>IMAGE("https://raw.githubusercontent.com/msikma/pokesprite/master/misc/types/gen8/dark.png",4,20,20)</f>
        <v/>
      </c>
      <c r="X825" s="3552"/>
      <c r="Y825" s="3548" t="s">
        <v>923</v>
      </c>
      <c r="Z825" s="3549"/>
      <c r="AA825" s="3550"/>
      <c r="AB825" s="3551" t="str">
        <f>IMAGE("https://raw.githubusercontent.com/msikma/pokesprite/master/misc/types/gen8/ground.png",4,20,20)</f>
        <v/>
      </c>
      <c r="AC825" s="3553"/>
      <c r="AD825" s="3502"/>
      <c r="AE825" s="3503"/>
      <c r="AF825" s="3503"/>
      <c r="AG825" s="3504"/>
      <c r="AH825" s="3507"/>
      <c r="AI825" s="3380"/>
    </row>
    <row r="826" ht="3.0" customHeight="1">
      <c r="A826" s="3445"/>
      <c r="B826" s="3554"/>
      <c r="C826" s="3555"/>
      <c r="D826" s="3556"/>
      <c r="E826" s="3558"/>
      <c r="F826" s="3558"/>
      <c r="G826" s="3558"/>
      <c r="H826" s="3557"/>
      <c r="I826" s="3556"/>
      <c r="J826" s="3558"/>
      <c r="K826" s="3558"/>
      <c r="L826" s="3558"/>
      <c r="M826" s="3557"/>
      <c r="N826" s="3556"/>
      <c r="O826" s="3558"/>
      <c r="P826" s="3558"/>
      <c r="Q826" s="3558"/>
      <c r="R826" s="3557"/>
      <c r="S826" s="3559"/>
      <c r="T826" s="3558"/>
      <c r="U826" s="3558"/>
      <c r="V826" s="3558"/>
      <c r="W826" s="3557"/>
      <c r="X826" s="3556"/>
      <c r="Y826" s="3558"/>
      <c r="Z826" s="3558"/>
      <c r="AA826" s="3558"/>
      <c r="AB826" s="3557"/>
      <c r="AC826" s="3561"/>
      <c r="AD826" s="3561"/>
      <c r="AE826" s="3561"/>
      <c r="AF826" s="3561"/>
      <c r="AG826" s="3561"/>
      <c r="AH826" s="3562"/>
      <c r="AI826" s="3456"/>
    </row>
    <row r="827" ht="16.5" customHeight="1">
      <c r="A827" s="3457"/>
      <c r="B827" s="3563"/>
      <c r="C827" s="3555"/>
      <c r="D827" s="5140"/>
      <c r="E827" s="3565" t="s">
        <v>190</v>
      </c>
      <c r="F827" s="381"/>
      <c r="G827" s="382"/>
      <c r="H827" s="3566" t="s">
        <v>191</v>
      </c>
      <c r="I827" s="3567"/>
      <c r="J827" s="3565" t="s">
        <v>190</v>
      </c>
      <c r="K827" s="381"/>
      <c r="L827" s="382"/>
      <c r="M827" s="3566" t="s">
        <v>191</v>
      </c>
      <c r="N827" s="5140"/>
      <c r="O827" s="3565" t="s">
        <v>190</v>
      </c>
      <c r="P827" s="381"/>
      <c r="Q827" s="382"/>
      <c r="R827" s="3566" t="s">
        <v>191</v>
      </c>
      <c r="S827" s="5153"/>
      <c r="T827" s="3565" t="s">
        <v>190</v>
      </c>
      <c r="U827" s="381"/>
      <c r="V827" s="382"/>
      <c r="W827" s="3566" t="s">
        <v>191</v>
      </c>
      <c r="X827" s="5154"/>
      <c r="Y827" s="3565" t="s">
        <v>190</v>
      </c>
      <c r="Z827" s="381"/>
      <c r="AA827" s="382"/>
      <c r="AB827" s="3566" t="s">
        <v>191</v>
      </c>
      <c r="AC827" s="3569"/>
      <c r="AD827" s="3569"/>
      <c r="AE827" s="3569"/>
      <c r="AF827" s="3569"/>
      <c r="AG827" s="3569"/>
      <c r="AH827" s="3570"/>
      <c r="AI827" s="3466"/>
    </row>
    <row r="828" ht="16.5" customHeight="1">
      <c r="A828" s="3457"/>
      <c r="B828" s="3563"/>
      <c r="C828" s="3555"/>
      <c r="D828" s="3564"/>
      <c r="E828" s="3571" t="s">
        <v>192</v>
      </c>
      <c r="F828" s="3572">
        <f t="array" ref="F828">IFERROR(VLOOKUP(E815,Dex!$B$3:$N1022,8,FALSE),"")</f>
        <v>75</v>
      </c>
      <c r="G828" s="3573" t="str">
        <f t="array" ref="G828">IFERROR(VLOOKUP(F828,Dex!$P$22:$Q$276,2,FALSE),"")</f>
        <v/>
      </c>
      <c r="H828" s="3574"/>
      <c r="I828" s="3575"/>
      <c r="J828" s="3571" t="s">
        <v>192</v>
      </c>
      <c r="K828" s="3572">
        <f t="array" ref="K828">IFERROR(VLOOKUP(J815,Dex!$B$3:$N1022,8,FALSE),"")</f>
        <v>105</v>
      </c>
      <c r="L828" s="3573" t="str">
        <f t="array" ref="L828">IFERROR(VLOOKUP(K828,Dex!$P$22:$Q$276,2,FALSE),"")</f>
        <v/>
      </c>
      <c r="M828" s="3574"/>
      <c r="N828" s="3564"/>
      <c r="O828" s="3571" t="s">
        <v>192</v>
      </c>
      <c r="P828" s="3572">
        <f t="array" ref="P828">IFERROR(VLOOKUP(O815,Dex!$B$3:$N1022,8,FALSE),"")</f>
        <v>75</v>
      </c>
      <c r="Q828" s="3573" t="str">
        <f t="array" ref="Q828">IFERROR(VLOOKUP(P828,Dex!$P$22:$Q$276,2,FALSE),"")</f>
        <v/>
      </c>
      <c r="R828" s="3574"/>
      <c r="S828" s="3569"/>
      <c r="T828" s="3571" t="s">
        <v>192</v>
      </c>
      <c r="U828" s="3572">
        <f t="array" ref="U828">IFERROR(VLOOKUP(T815,Dex!$B$3:$N1022,8,FALSE),"")</f>
        <v>130</v>
      </c>
      <c r="V828" s="3573" t="str">
        <f t="array" ref="V828">IFERROR(VLOOKUP(U828,Dex!$P$22:$Q$276,2,FALSE),"")</f>
        <v/>
      </c>
      <c r="W828" s="3574"/>
      <c r="X828" s="3569"/>
      <c r="Y828" s="3571" t="s">
        <v>192</v>
      </c>
      <c r="Z828" s="3572">
        <f t="array" ref="Z828">IFERROR(VLOOKUP(Y815,Dex!$B$3:$N1022,8,FALSE),"")</f>
        <v>78</v>
      </c>
      <c r="AA828" s="3573" t="str">
        <f t="array" ref="AA828">IFERROR(VLOOKUP(Z828,Dex!$P$22:$Q$276,2,FALSE),"")</f>
        <v/>
      </c>
      <c r="AB828" s="3574"/>
      <c r="AC828" s="3569"/>
      <c r="AD828" s="3569"/>
      <c r="AE828" s="3569"/>
      <c r="AF828" s="3569"/>
      <c r="AG828" s="3569"/>
      <c r="AH828" s="3570"/>
      <c r="AI828" s="3466"/>
    </row>
    <row r="829" ht="16.5" customHeight="1">
      <c r="A829" s="3457"/>
      <c r="B829" s="3563"/>
      <c r="C829" s="3555"/>
      <c r="D829" s="3564"/>
      <c r="E829" s="3577" t="s">
        <v>193</v>
      </c>
      <c r="F829" s="3578">
        <f t="array" ref="F829">IFERROR(VLOOKUP(E815,Dex!$B$3:$N1022,9,FALSE),"")</f>
        <v>115</v>
      </c>
      <c r="G829" s="3579" t="str">
        <f t="array" ref="G829">IFERROR(VLOOKUP(F829,Dex!$P$22:$Q$276,2,FALSE),"")</f>
        <v/>
      </c>
      <c r="H829" s="3580">
        <v>252.0</v>
      </c>
      <c r="I829" s="3575"/>
      <c r="J829" s="3577" t="s">
        <v>193</v>
      </c>
      <c r="K829" s="3578">
        <f t="array" ref="K829">IFERROR(VLOOKUP(J815,Dex!$B$3:$N1022,9,FALSE),"")</f>
        <v>160</v>
      </c>
      <c r="L829" s="3579" t="str">
        <f t="array" ref="L829">IFERROR(VLOOKUP(K829,Dex!$P$22:$Q$276,2,FALSE),"")</f>
        <v/>
      </c>
      <c r="M829" s="3580">
        <v>252.0</v>
      </c>
      <c r="N829" s="3564"/>
      <c r="O829" s="3577" t="s">
        <v>193</v>
      </c>
      <c r="P829" s="3578">
        <f t="array" ref="P829">IFERROR(VLOOKUP(O815,Dex!$B$3:$N1022,9,FALSE),"")</f>
        <v>95</v>
      </c>
      <c r="Q829" s="3579" t="str">
        <f t="array" ref="Q829">IFERROR(VLOOKUP(P829,Dex!$P$22:$Q$276,2,FALSE),"")</f>
        <v/>
      </c>
      <c r="R829" s="3580">
        <v>252.0</v>
      </c>
      <c r="S829" s="3569"/>
      <c r="T829" s="3577" t="s">
        <v>193</v>
      </c>
      <c r="U829" s="3578">
        <f t="array" ref="U829">IFERROR(VLOOKUP(T815,Dex!$B$3:$N1022,9,FALSE),"")</f>
        <v>140</v>
      </c>
      <c r="V829" s="3579" t="str">
        <f t="array" ref="V829">IFERROR(VLOOKUP(U829,Dex!$P$22:$Q$276,2,FALSE),"")</f>
        <v/>
      </c>
      <c r="W829" s="3580">
        <v>252.0</v>
      </c>
      <c r="X829" s="3569"/>
      <c r="Y829" s="3577" t="s">
        <v>193</v>
      </c>
      <c r="Z829" s="3578">
        <f t="array" ref="Z829">IFERROR(VLOOKUP(Y815,Dex!$B$3:$N1022,9,FALSE),"")</f>
        <v>84</v>
      </c>
      <c r="AA829" s="3579" t="str">
        <f t="array" ref="AA829">IFERROR(VLOOKUP(Z829,Dex!$P$22:$Q$276,2,FALSE),"")</f>
        <v/>
      </c>
      <c r="AB829" s="3580"/>
      <c r="AC829" s="3569"/>
      <c r="AD829" s="3569"/>
      <c r="AE829" s="3569"/>
      <c r="AF829" s="3569"/>
      <c r="AG829" s="3569"/>
      <c r="AH829" s="3570"/>
      <c r="AI829" s="3466"/>
    </row>
    <row r="830" ht="16.5" customHeight="1">
      <c r="A830" s="3457"/>
      <c r="B830" s="3563"/>
      <c r="C830" s="3555"/>
      <c r="D830" s="3564"/>
      <c r="E830" s="3577" t="s">
        <v>194</v>
      </c>
      <c r="F830" s="3578">
        <f t="array" ref="F830">IFERROR(VLOOKUP(E815,Dex!$B$3:$N1022,10,FALSE),"")</f>
        <v>65</v>
      </c>
      <c r="G830" s="3579" t="str">
        <f t="array" ref="G830">IFERROR(VLOOKUP(F830,Dex!$P$22:$Q$276,2,FALSE),"")</f>
        <v/>
      </c>
      <c r="H830" s="3580">
        <v>4.0</v>
      </c>
      <c r="I830" s="3575"/>
      <c r="J830" s="3577" t="s">
        <v>194</v>
      </c>
      <c r="K830" s="3578">
        <f t="array" ref="K830">IFERROR(VLOOKUP(J815,Dex!$B$3:$N1022,10,FALSE),"")</f>
        <v>55</v>
      </c>
      <c r="L830" s="3579" t="str">
        <f t="array" ref="L830">IFERROR(VLOOKUP(K830,Dex!$P$22:$Q$276,2,FALSE),"")</f>
        <v/>
      </c>
      <c r="M830" s="3580">
        <v>4.0</v>
      </c>
      <c r="N830" s="3564"/>
      <c r="O830" s="3577" t="s">
        <v>194</v>
      </c>
      <c r="P830" s="3578">
        <f t="array" ref="P830">IFERROR(VLOOKUP(O815,Dex!$B$3:$N1022,10,FALSE),"")</f>
        <v>125</v>
      </c>
      <c r="Q830" s="3579" t="str">
        <f t="array" ref="Q830">IFERROR(VLOOKUP(P830,Dex!$P$22:$Q$276,2,FALSE),"")</f>
        <v/>
      </c>
      <c r="R830" s="3580"/>
      <c r="S830" s="3569"/>
      <c r="T830" s="3577" t="s">
        <v>194</v>
      </c>
      <c r="U830" s="3578">
        <f t="array" ref="U830">IFERROR(VLOOKUP(T815,Dex!$B$3:$N1022,10,FALSE),"")</f>
        <v>105</v>
      </c>
      <c r="V830" s="3579" t="str">
        <f t="array" ref="V830">IFERROR(VLOOKUP(U830,Dex!$P$22:$Q$276,2,FALSE),"")</f>
        <v/>
      </c>
      <c r="W830" s="3580">
        <v>4.0</v>
      </c>
      <c r="X830" s="3569"/>
      <c r="Y830" s="3577" t="s">
        <v>194</v>
      </c>
      <c r="Z830" s="3578">
        <f t="array" ref="Z830">IFERROR(VLOOKUP(Y815,Dex!$B$3:$N1022,10,FALSE),"")</f>
        <v>78</v>
      </c>
      <c r="AA830" s="3579" t="str">
        <f t="array" ref="AA830">IFERROR(VLOOKUP(Z830,Dex!$P$22:$Q$276,2,FALSE),"")</f>
        <v/>
      </c>
      <c r="AB830" s="3580">
        <v>4.0</v>
      </c>
      <c r="AC830" s="3569"/>
      <c r="AD830" s="3569"/>
      <c r="AE830" s="3569"/>
      <c r="AF830" s="3569"/>
      <c r="AG830" s="3569"/>
      <c r="AH830" s="3570"/>
      <c r="AI830" s="3466"/>
    </row>
    <row r="831" ht="16.5" customHeight="1">
      <c r="A831" s="3457"/>
      <c r="B831" s="3563"/>
      <c r="C831" s="3555"/>
      <c r="D831" s="3564"/>
      <c r="E831" s="3577" t="s">
        <v>195</v>
      </c>
      <c r="F831" s="3578">
        <f t="array" ref="F831">IFERROR(VLOOKUP(E815,Dex!$B$3:$N1022,11,FALSE),"")</f>
        <v>55</v>
      </c>
      <c r="G831" s="3579" t="str">
        <f t="array" ref="G831">IFERROR(VLOOKUP(F831,Dex!$P$22:$Q$276,2,FALSE),"")</f>
        <v/>
      </c>
      <c r="H831" s="3580"/>
      <c r="I831" s="3575"/>
      <c r="J831" s="3577" t="s">
        <v>195</v>
      </c>
      <c r="K831" s="3578">
        <f t="array" ref="K831">IFERROR(VLOOKUP(J815,Dex!$B$3:$N1022,11,FALSE),"")</f>
        <v>30</v>
      </c>
      <c r="L831" s="3579" t="str">
        <f t="array" ref="L831">IFERROR(VLOOKUP(K831,Dex!$P$22:$Q$276,2,FALSE),"")</f>
        <v/>
      </c>
      <c r="M831" s="3580"/>
      <c r="N831" s="3564"/>
      <c r="O831" s="3577" t="s">
        <v>195</v>
      </c>
      <c r="P831" s="3578">
        <f t="array" ref="P831">IFERROR(VLOOKUP(O815,Dex!$B$3:$N1022,11,FALSE),"")</f>
        <v>45</v>
      </c>
      <c r="Q831" s="3579" t="str">
        <f t="array" ref="Q831">IFERROR(VLOOKUP(P831,Dex!$P$22:$Q$276,2,FALSE),"")</f>
        <v/>
      </c>
      <c r="R831" s="3580"/>
      <c r="S831" s="3569"/>
      <c r="T831" s="3577" t="s">
        <v>195</v>
      </c>
      <c r="U831" s="3578">
        <f t="array" ref="U831">IFERROR(VLOOKUP(T815,Dex!$B$3:$N1022,11,FALSE),"")</f>
        <v>45</v>
      </c>
      <c r="V831" s="3579" t="str">
        <f t="array" ref="V831">IFERROR(VLOOKUP(U831,Dex!$P$22:$Q$276,2,FALSE),"")</f>
        <v/>
      </c>
      <c r="W831" s="3580"/>
      <c r="X831" s="3569"/>
      <c r="Y831" s="3577" t="s">
        <v>195</v>
      </c>
      <c r="Z831" s="3578">
        <f t="array" ref="Z831">IFERROR(VLOOKUP(Y815,Dex!$B$3:$N1022,11,FALSE),"")</f>
        <v>109</v>
      </c>
      <c r="AA831" s="3579" t="str">
        <f t="array" ref="AA831">IFERROR(VLOOKUP(Z831,Dex!$P$22:$Q$276,2,FALSE),"")</f>
        <v/>
      </c>
      <c r="AB831" s="3580">
        <v>252.0</v>
      </c>
      <c r="AC831" s="3569"/>
      <c r="AD831" s="3569"/>
      <c r="AE831" s="3569"/>
      <c r="AF831" s="3569"/>
      <c r="AG831" s="3569"/>
      <c r="AH831" s="3570"/>
      <c r="AI831" s="3466"/>
    </row>
    <row r="832" ht="16.5" customHeight="1">
      <c r="A832" s="3457"/>
      <c r="B832" s="3563"/>
      <c r="C832" s="3555"/>
      <c r="D832" s="3564"/>
      <c r="E832" s="3577" t="s">
        <v>196</v>
      </c>
      <c r="F832" s="3578">
        <f t="array" ref="F832">IFERROR(VLOOKUP(E815,Dex!$B$3:$N1022,12,FALSE),"")</f>
        <v>65</v>
      </c>
      <c r="G832" s="3579" t="str">
        <f t="array" ref="G832">IFERROR(VLOOKUP(F832,Dex!$P$22:$Q$276,2,FALSE),"")</f>
        <v/>
      </c>
      <c r="H832" s="3580"/>
      <c r="I832" s="3575"/>
      <c r="J832" s="3577" t="s">
        <v>196</v>
      </c>
      <c r="K832" s="3578">
        <f t="array" ref="K832">IFERROR(VLOOKUP(J815,Dex!$B$3:$N1022,12,FALSE),"")</f>
        <v>55</v>
      </c>
      <c r="L832" s="3579" t="str">
        <f t="array" ref="L832">IFERROR(VLOOKUP(K832,Dex!$P$22:$Q$276,2,FALSE),"")</f>
        <v/>
      </c>
      <c r="M832" s="3580"/>
      <c r="N832" s="3564"/>
      <c r="O832" s="3577" t="s">
        <v>196</v>
      </c>
      <c r="P832" s="3578">
        <f t="array" ref="P832">IFERROR(VLOOKUP(O815,Dex!$B$3:$N1022,12,FALSE),"")</f>
        <v>75</v>
      </c>
      <c r="Q832" s="3579" t="str">
        <f t="array" ref="Q832">IFERROR(VLOOKUP(P832,Dex!$P$22:$Q$276,2,FALSE),"")</f>
        <v/>
      </c>
      <c r="R832" s="3580"/>
      <c r="S832" s="3569"/>
      <c r="T832" s="3577" t="s">
        <v>196</v>
      </c>
      <c r="U832" s="3578">
        <f t="array" ref="U832">IFERROR(VLOOKUP(T815,Dex!$B$3:$N1022,12,FALSE),"")</f>
        <v>80</v>
      </c>
      <c r="V832" s="3579" t="str">
        <f t="array" ref="V832">IFERROR(VLOOKUP(U832,Dex!$P$22:$Q$276,2,FALSE),"")</f>
        <v/>
      </c>
      <c r="W832" s="3580"/>
      <c r="X832" s="3569"/>
      <c r="Y832" s="3577" t="s">
        <v>196</v>
      </c>
      <c r="Z832" s="3578">
        <f t="array" ref="Z832">IFERROR(VLOOKUP(Y815,Dex!$B$3:$N1022,12,FALSE),"")</f>
        <v>85</v>
      </c>
      <c r="AA832" s="3579" t="str">
        <f t="array" ref="AA832">IFERROR(VLOOKUP(Z832,Dex!$P$22:$Q$276,2,FALSE),"")</f>
        <v/>
      </c>
      <c r="AB832" s="3580"/>
      <c r="AC832" s="3569"/>
      <c r="AD832" s="3569"/>
      <c r="AE832" s="3569"/>
      <c r="AF832" s="3569"/>
      <c r="AG832" s="3569"/>
      <c r="AH832" s="3570"/>
      <c r="AI832" s="3466"/>
    </row>
    <row r="833" ht="16.5" customHeight="1">
      <c r="A833" s="3457"/>
      <c r="B833" s="3563"/>
      <c r="C833" s="1204" t="s">
        <v>436</v>
      </c>
      <c r="D833" s="3564"/>
      <c r="E833" s="3583" t="s">
        <v>197</v>
      </c>
      <c r="F833" s="3584">
        <f t="array" ref="F833">IFERROR(VLOOKUP(E815,Dex!$B$3:$N1022,13,FALSE),"")</f>
        <v>112</v>
      </c>
      <c r="G833" s="3585" t="str">
        <f t="array" ref="G833">IFERROR(VLOOKUP(F833,Dex!$P$22:$Q$276,2,FALSE),"")</f>
        <v/>
      </c>
      <c r="H833" s="3586">
        <v>252.0</v>
      </c>
      <c r="I833" s="3575"/>
      <c r="J833" s="3583" t="s">
        <v>197</v>
      </c>
      <c r="K833" s="3584">
        <f t="array" ref="K833">IFERROR(VLOOKUP(J815,Dex!$B$3:$N1022,13,FALSE),"")</f>
        <v>135</v>
      </c>
      <c r="L833" s="3585" t="str">
        <f t="array" ref="L833">IFERROR(VLOOKUP(K833,Dex!$P$22:$Q$276,2,FALSE),"")</f>
        <v/>
      </c>
      <c r="M833" s="3586">
        <v>252.0</v>
      </c>
      <c r="N833" s="3564"/>
      <c r="O833" s="3583" t="s">
        <v>197</v>
      </c>
      <c r="P833" s="3584">
        <f t="array" ref="P833">IFERROR(VLOOKUP(O815,Dex!$B$3:$N1022,13,FALSE),"")</f>
        <v>95</v>
      </c>
      <c r="Q833" s="3585" t="str">
        <f t="array" ref="Q833">IFERROR(VLOOKUP(P833,Dex!$P$22:$Q$276,2,FALSE),"")</f>
        <v/>
      </c>
      <c r="R833" s="3586">
        <v>252.0</v>
      </c>
      <c r="S833" s="3569"/>
      <c r="T833" s="3583" t="s">
        <v>197</v>
      </c>
      <c r="U833" s="3584">
        <f t="array" ref="U833">IFERROR(VLOOKUP(T815,Dex!$B$3:$N1022,13,FALSE),"")</f>
        <v>50</v>
      </c>
      <c r="V833" s="3585" t="str">
        <f t="array" ref="V833">IFERROR(VLOOKUP(U833,Dex!$P$22:$Q$276,2,FALSE),"")</f>
        <v/>
      </c>
      <c r="W833" s="3586">
        <v>252.0</v>
      </c>
      <c r="X833" s="3569"/>
      <c r="Y833" s="3583" t="s">
        <v>197</v>
      </c>
      <c r="Z833" s="3584">
        <f t="array" ref="Z833">IFERROR(VLOOKUP(Y815,Dex!$B$3:$N1022,13,FALSE),"")</f>
        <v>100</v>
      </c>
      <c r="AA833" s="3585" t="str">
        <f t="array" ref="AA833">IFERROR(VLOOKUP(Z833,Dex!$P$22:$Q$276,2,FALSE),"")</f>
        <v/>
      </c>
      <c r="AB833" s="3586">
        <v>252.0</v>
      </c>
      <c r="AC833" s="3569"/>
      <c r="AD833" s="3569"/>
      <c r="AE833" s="3569"/>
      <c r="AF833" s="3569"/>
      <c r="AG833" s="3569"/>
      <c r="AH833" s="3570"/>
      <c r="AI833" s="3466"/>
    </row>
    <row r="834" ht="16.5" customHeight="1">
      <c r="A834" s="3457"/>
      <c r="B834" s="3563"/>
      <c r="C834" s="1205" t="s">
        <v>1250</v>
      </c>
      <c r="D834" s="5140"/>
      <c r="E834" s="3587" t="s">
        <v>198</v>
      </c>
      <c r="F834" s="405"/>
      <c r="G834" s="406"/>
      <c r="H834" s="3588">
        <v>253.0</v>
      </c>
      <c r="I834" s="3567"/>
      <c r="J834" s="3587" t="s">
        <v>198</v>
      </c>
      <c r="K834" s="405"/>
      <c r="L834" s="406"/>
      <c r="M834" s="3588">
        <v>289.0</v>
      </c>
      <c r="N834" s="5140"/>
      <c r="O834" s="3587" t="s">
        <v>198</v>
      </c>
      <c r="P834" s="405"/>
      <c r="Q834" s="406"/>
      <c r="R834" s="3588">
        <v>226.0</v>
      </c>
      <c r="S834" s="5154"/>
      <c r="T834" s="3587" t="s">
        <v>198</v>
      </c>
      <c r="U834" s="405"/>
      <c r="V834" s="406"/>
      <c r="W834" s="3588">
        <v>144.0</v>
      </c>
      <c r="X834" s="5154"/>
      <c r="Y834" s="3587" t="s">
        <v>198</v>
      </c>
      <c r="Z834" s="405"/>
      <c r="AA834" s="406"/>
      <c r="AB834" s="3588">
        <v>234.0</v>
      </c>
      <c r="AC834" s="3569"/>
      <c r="AD834" s="3569"/>
      <c r="AE834" s="3569"/>
      <c r="AF834" s="3569"/>
      <c r="AG834" s="3569"/>
      <c r="AH834" s="3570"/>
      <c r="AI834" s="3466"/>
    </row>
    <row r="835" ht="15.0" customHeight="1">
      <c r="A835" s="3368"/>
      <c r="B835" s="3589"/>
      <c r="C835" s="3590"/>
      <c r="D835" s="3591"/>
      <c r="E835" s="3594"/>
      <c r="F835" s="3594"/>
      <c r="G835" s="3594"/>
      <c r="H835" s="3593"/>
      <c r="I835" s="3593"/>
      <c r="J835" s="3594"/>
      <c r="K835" s="3594"/>
      <c r="L835" s="3594"/>
      <c r="M835" s="3593"/>
      <c r="N835" s="3595"/>
      <c r="O835" s="5156"/>
      <c r="P835" s="5156"/>
      <c r="Q835" s="5157"/>
      <c r="R835" s="3597"/>
      <c r="S835" s="3597"/>
      <c r="T835" s="5156"/>
      <c r="U835" s="5156"/>
      <c r="V835" s="5157"/>
      <c r="W835" s="3597"/>
      <c r="X835" s="3595"/>
      <c r="Y835" s="5158"/>
      <c r="Z835" s="5158"/>
      <c r="AA835" s="5158"/>
      <c r="AB835" s="3598"/>
      <c r="AC835" s="3598"/>
      <c r="AD835" s="3598"/>
      <c r="AE835" s="3598"/>
      <c r="AF835" s="3598"/>
      <c r="AG835" s="3598"/>
      <c r="AH835" s="3599"/>
      <c r="AI835" s="3380"/>
    </row>
    <row r="836" ht="15.0" customHeight="1">
      <c r="A836" s="3361"/>
      <c r="B836" s="3491"/>
      <c r="C836" s="3492"/>
      <c r="D836" s="3493"/>
      <c r="E836" s="3493"/>
      <c r="F836" s="3493"/>
      <c r="G836" s="3493"/>
      <c r="H836" s="3493"/>
      <c r="I836" s="3493"/>
      <c r="J836" s="3493"/>
      <c r="K836" s="3493"/>
      <c r="L836" s="3493"/>
      <c r="M836" s="3493"/>
      <c r="N836" s="3493"/>
      <c r="O836" s="3493"/>
      <c r="P836" s="3493"/>
      <c r="Q836" s="3493"/>
      <c r="R836" s="3493"/>
      <c r="S836" s="3493"/>
      <c r="T836" s="3493"/>
      <c r="U836" s="3493"/>
      <c r="V836" s="3493"/>
      <c r="W836" s="3493"/>
      <c r="X836" s="3493"/>
      <c r="Y836" s="3493"/>
      <c r="Z836" s="3493"/>
      <c r="AA836" s="3493"/>
      <c r="AB836" s="3493"/>
      <c r="AC836" s="3493"/>
      <c r="AD836" s="3493"/>
      <c r="AE836" s="3493"/>
      <c r="AF836" s="3493"/>
      <c r="AG836" s="3493"/>
      <c r="AH836" s="3495"/>
      <c r="AI836" s="3367"/>
    </row>
    <row r="837">
      <c r="A837" s="3361"/>
      <c r="B837" s="5123"/>
      <c r="C837" s="5124"/>
      <c r="D837" s="3505"/>
      <c r="E837" s="5125" t="s">
        <v>1260</v>
      </c>
      <c r="F837" s="3541"/>
      <c r="G837" s="3541"/>
      <c r="H837" s="3541"/>
      <c r="I837" s="3541"/>
      <c r="J837" s="3541"/>
      <c r="K837" s="3541"/>
      <c r="L837" s="3541"/>
      <c r="M837" s="3541"/>
      <c r="N837" s="3541"/>
      <c r="O837" s="3541"/>
      <c r="P837" s="3541"/>
      <c r="Q837" s="3541"/>
      <c r="R837" s="3541"/>
      <c r="S837" s="3541"/>
      <c r="T837" s="3541"/>
      <c r="U837" s="3541"/>
      <c r="V837" s="3541"/>
      <c r="W837" s="3541"/>
      <c r="X837" s="3541"/>
      <c r="Y837" s="3541"/>
      <c r="Z837" s="3541"/>
      <c r="AA837" s="3541"/>
      <c r="AB837" s="3541"/>
      <c r="AC837" s="3541"/>
      <c r="AD837" s="3541"/>
      <c r="AE837" s="3541"/>
      <c r="AF837" s="3541"/>
      <c r="AG837" s="3542"/>
      <c r="AH837" s="5126"/>
      <c r="AI837" s="3367"/>
    </row>
    <row r="838" ht="96.75" customHeight="1">
      <c r="A838" s="3368"/>
      <c r="B838" s="3496"/>
      <c r="C838" s="3497" t="str">
        <f>IMAGE("https://i.ibb.co/TKBZjnF/Ace-Trainer-M.png")</f>
        <v/>
      </c>
      <c r="D838" s="3498"/>
      <c r="E838" s="3499" t="str">
        <f t="array" ref="E838">IFERROR(VLOOKUP(E839,Dex!$B$3:$G1022,3,FALSE),"")</f>
        <v/>
      </c>
      <c r="F838" s="381"/>
      <c r="G838" s="381"/>
      <c r="H838" s="2531"/>
      <c r="I838" s="3500"/>
      <c r="J838" s="3499" t="str">
        <f t="array" ref="J838">IFERROR(VLOOKUP(J839,Dex!$B$3:$G1022,3,FALSE),"")</f>
        <v/>
      </c>
      <c r="K838" s="381"/>
      <c r="L838" s="381"/>
      <c r="M838" s="2531"/>
      <c r="N838" s="5127"/>
      <c r="O838" s="3499" t="str">
        <f t="array" ref="O838">IFERROR(VLOOKUP(O839,Dex!$B$3:$G1022,3,FALSE),"")</f>
        <v/>
      </c>
      <c r="P838" s="381"/>
      <c r="Q838" s="381"/>
      <c r="R838" s="2531"/>
      <c r="S838" s="5128"/>
      <c r="T838" s="3499" t="str">
        <f t="array" ref="T838">IFERROR(VLOOKUP(T839,Dex!$B$3:$G1022,3,FALSE),"")</f>
        <v/>
      </c>
      <c r="U838" s="381"/>
      <c r="V838" s="381"/>
      <c r="W838" s="2531"/>
      <c r="X838" s="5127"/>
      <c r="Y838" s="3499" t="str">
        <f t="array" ref="Y838">IFERROR(VLOOKUP(Y839,Dex!$B$3:$G1022,3,FALSE),"")</f>
        <v/>
      </c>
      <c r="Z838" s="381"/>
      <c r="AA838" s="381"/>
      <c r="AB838" s="2531"/>
      <c r="AC838" s="5152"/>
      <c r="AD838" s="3502"/>
      <c r="AE838" s="3503"/>
      <c r="AF838" s="3503"/>
      <c r="AG838" s="3504"/>
      <c r="AH838" s="3507"/>
      <c r="AI838" s="3380"/>
    </row>
    <row r="839" ht="18.75" customHeight="1">
      <c r="A839" s="3381"/>
      <c r="B839" s="3508"/>
      <c r="C839" s="3509" t="s">
        <v>1261</v>
      </c>
      <c r="D839" s="3510"/>
      <c r="E839" s="5129" t="s">
        <v>888</v>
      </c>
      <c r="F839" s="3512"/>
      <c r="G839" s="3512"/>
      <c r="H839" s="5130"/>
      <c r="J839" s="5129" t="s">
        <v>1262</v>
      </c>
      <c r="K839" s="3512"/>
      <c r="L839" s="3512"/>
      <c r="M839" s="5130"/>
      <c r="O839" s="5129" t="s">
        <v>1263</v>
      </c>
      <c r="P839" s="3512"/>
      <c r="Q839" s="3512"/>
      <c r="R839" s="5130"/>
      <c r="T839" s="5129" t="s">
        <v>664</v>
      </c>
      <c r="U839" s="3512"/>
      <c r="V839" s="3512"/>
      <c r="W839" s="5130"/>
      <c r="Y839" s="5129" t="s">
        <v>1264</v>
      </c>
      <c r="Z839" s="3512"/>
      <c r="AA839" s="3512"/>
      <c r="AB839" s="5130"/>
      <c r="AC839" s="3514"/>
      <c r="AD839" s="3515"/>
      <c r="AE839" s="3503"/>
      <c r="AF839" s="3503"/>
      <c r="AG839" s="3504"/>
      <c r="AH839" s="3517"/>
      <c r="AI839" s="3393"/>
    </row>
    <row r="840">
      <c r="A840" s="3394"/>
      <c r="B840" s="3518"/>
      <c r="C840" s="1481"/>
      <c r="D840" s="3519"/>
      <c r="E840" s="3520" t="s">
        <v>715</v>
      </c>
      <c r="F840" s="3521"/>
      <c r="G840" s="3521"/>
      <c r="H840" s="3522"/>
      <c r="J840" s="3520" t="s">
        <v>843</v>
      </c>
      <c r="K840" s="3521"/>
      <c r="L840" s="3521"/>
      <c r="M840" s="3522"/>
      <c r="O840" s="3520" t="s">
        <v>715</v>
      </c>
      <c r="P840" s="3521"/>
      <c r="Q840" s="3521"/>
      <c r="R840" s="3522"/>
      <c r="T840" s="3520" t="s">
        <v>843</v>
      </c>
      <c r="U840" s="3521"/>
      <c r="V840" s="3521"/>
      <c r="W840" s="3522"/>
      <c r="Y840" s="3520" t="s">
        <v>715</v>
      </c>
      <c r="Z840" s="3521"/>
      <c r="AA840" s="3521"/>
      <c r="AB840" s="3522"/>
      <c r="AC840" s="3514"/>
      <c r="AD840" s="3523"/>
      <c r="AE840" s="3503"/>
      <c r="AF840" s="3503"/>
      <c r="AG840" s="3504"/>
      <c r="AH840" s="3524"/>
      <c r="AI840" s="3402"/>
    </row>
    <row r="841" ht="25.5" customHeight="1">
      <c r="A841" s="3368"/>
      <c r="B841" s="3496"/>
      <c r="C841" s="1489"/>
      <c r="D841" s="3498"/>
      <c r="E841" s="5133"/>
      <c r="F841" s="5134" t="str">
        <f t="array" ref="F841">IFERROR(VLOOKUP(E839,Dex!$B$3:$H1022,5,FALSE),"")</f>
        <v/>
      </c>
      <c r="G841" s="5135" t="str">
        <f t="array" ref="G841">IFERROR(VLOOKUP(E839,Dex!$B$3:$H1022,7,FALSE),"")</f>
        <v/>
      </c>
      <c r="H841" s="5136"/>
      <c r="J841" s="5133"/>
      <c r="K841" s="5134" t="str">
        <f t="array" ref="K841">IFERROR(VLOOKUP(J839,Dex!$B$3:$H1022,5,FALSE),"")</f>
        <v/>
      </c>
      <c r="L841" s="5135" t="str">
        <f t="array" ref="L841">IFERROR(VLOOKUP(J839,Dex!$B$3:$H1022,7,FALSE),"")</f>
        <v/>
      </c>
      <c r="M841" s="5136"/>
      <c r="O841" s="5133"/>
      <c r="P841" s="5134" t="str">
        <f t="array" ref="P841">IFERROR(VLOOKUP(O839,Dex!$B$3:$H1022,5,FALSE),"")</f>
        <v/>
      </c>
      <c r="Q841" s="5135" t="str">
        <f t="array" ref="Q841">IFERROR(VLOOKUP(O839,Dex!$B$3:$H1022,7,FALSE),"")</f>
        <v/>
      </c>
      <c r="R841" s="5136"/>
      <c r="T841" s="5133"/>
      <c r="U841" s="5134" t="str">
        <f t="array" ref="U841">IFERROR(VLOOKUP(T839,Dex!$B$3:$H1022,5,FALSE),"")</f>
        <v/>
      </c>
      <c r="V841" s="5135" t="str">
        <f t="array" ref="V841">IFERROR(VLOOKUP(T839,Dex!$B$3:$H1022,7,FALSE),"")</f>
        <v/>
      </c>
      <c r="W841" s="5136"/>
      <c r="Y841" s="5133"/>
      <c r="Z841" s="5134" t="str">
        <f t="array" ref="Z841">IFERROR(VLOOKUP(Y839,Dex!$B$3:$H1022,5,FALSE),"")</f>
        <v/>
      </c>
      <c r="AA841" s="5135" t="str">
        <f t="array" ref="AA841">IFERROR(VLOOKUP(Y839,Dex!$B$3:$H1022,7,FALSE),"")</f>
        <v/>
      </c>
      <c r="AB841" s="5136"/>
      <c r="AC841" s="3514"/>
      <c r="AD841" s="3502"/>
      <c r="AE841" s="3503"/>
      <c r="AF841" s="3503"/>
      <c r="AG841" s="3504"/>
      <c r="AH841" s="3507"/>
      <c r="AI841" s="3380"/>
    </row>
    <row r="842" ht="2.25" customHeight="1">
      <c r="A842" s="3368"/>
      <c r="B842" s="3496"/>
      <c r="C842" s="3529"/>
      <c r="D842" s="3498"/>
      <c r="E842" s="5137"/>
      <c r="F842" s="5138"/>
      <c r="G842" s="5138"/>
      <c r="H842" s="5139"/>
      <c r="J842" s="5137"/>
      <c r="K842" s="5138"/>
      <c r="L842" s="5138"/>
      <c r="M842" s="5139"/>
      <c r="O842" s="5137"/>
      <c r="P842" s="5138"/>
      <c r="Q842" s="5138"/>
      <c r="R842" s="5139"/>
      <c r="T842" s="5137"/>
      <c r="U842" s="5138"/>
      <c r="V842" s="5138"/>
      <c r="W842" s="5139"/>
      <c r="Y842" s="5137"/>
      <c r="Z842" s="5138"/>
      <c r="AA842" s="5138"/>
      <c r="AB842" s="5139"/>
      <c r="AC842" s="3514"/>
      <c r="AD842" s="3533"/>
      <c r="AE842" s="3533"/>
      <c r="AF842" s="3533"/>
      <c r="AG842" s="3533"/>
      <c r="AH842" s="3507"/>
      <c r="AI842" s="3380"/>
    </row>
    <row r="843" ht="20.25" customHeight="1">
      <c r="A843" s="3368"/>
      <c r="B843" s="3496"/>
      <c r="C843" s="3529"/>
      <c r="D843" s="3498"/>
      <c r="E843" s="3534" t="s">
        <v>205</v>
      </c>
      <c r="F843" s="3535"/>
      <c r="G843" s="3535"/>
      <c r="H843" s="3536"/>
      <c r="J843" s="3534" t="s">
        <v>264</v>
      </c>
      <c r="K843" s="3535"/>
      <c r="L843" s="3535"/>
      <c r="M843" s="3536"/>
      <c r="O843" s="3534" t="s">
        <v>263</v>
      </c>
      <c r="P843" s="3535"/>
      <c r="Q843" s="3535"/>
      <c r="R843" s="3536"/>
      <c r="T843" s="3534" t="s">
        <v>169</v>
      </c>
      <c r="U843" s="3535"/>
      <c r="V843" s="3535"/>
      <c r="W843" s="3536"/>
      <c r="Y843" s="3534" t="s">
        <v>205</v>
      </c>
      <c r="Z843" s="3535"/>
      <c r="AA843" s="3535"/>
      <c r="AB843" s="3536"/>
      <c r="AC843" s="3514"/>
      <c r="AD843" s="3502"/>
      <c r="AE843" s="3503"/>
      <c r="AF843" s="3503"/>
      <c r="AG843" s="3504"/>
      <c r="AH843" s="3507"/>
      <c r="AI843" s="3380"/>
    </row>
    <row r="844" ht="20.25" customHeight="1">
      <c r="A844" s="3368"/>
      <c r="B844" s="3496"/>
      <c r="C844" s="3537"/>
      <c r="D844" s="3498"/>
      <c r="E844" s="3538" t="s">
        <v>329</v>
      </c>
      <c r="F844" s="3503"/>
      <c r="G844" s="3503"/>
      <c r="H844" s="3539"/>
      <c r="J844" s="3538" t="s">
        <v>1265</v>
      </c>
      <c r="K844" s="3503"/>
      <c r="L844" s="3503"/>
      <c r="M844" s="3539"/>
      <c r="O844" s="3538" t="s">
        <v>518</v>
      </c>
      <c r="P844" s="3503"/>
      <c r="Q844" s="3503"/>
      <c r="R844" s="3539"/>
      <c r="T844" s="3538" t="s">
        <v>361</v>
      </c>
      <c r="U844" s="3503"/>
      <c r="V844" s="3503"/>
      <c r="W844" s="3539"/>
      <c r="Y844" s="3538" t="s">
        <v>990</v>
      </c>
      <c r="Z844" s="3503"/>
      <c r="AA844" s="3503"/>
      <c r="AB844" s="3539"/>
      <c r="AC844" s="3514"/>
      <c r="AD844" s="3502"/>
      <c r="AE844" s="3503"/>
      <c r="AF844" s="3503"/>
      <c r="AG844" s="3504"/>
      <c r="AH844" s="3507"/>
      <c r="AI844" s="3380"/>
    </row>
    <row r="845" ht="20.25" customHeight="1">
      <c r="A845" s="3368"/>
      <c r="B845" s="3496"/>
      <c r="C845" s="3516"/>
      <c r="D845" s="3498"/>
      <c r="E845" s="3540" t="s">
        <v>272</v>
      </c>
      <c r="F845" s="3541"/>
      <c r="G845" s="3542"/>
      <c r="H845" s="3543" t="str">
        <f>IMAGE("https://raw.githubusercontent.com/msikma/pokesprite/master/items/hold-item/life-orb.png",3)</f>
        <v/>
      </c>
      <c r="J845" s="3540" t="s">
        <v>240</v>
      </c>
      <c r="K845" s="3541"/>
      <c r="L845" s="3542"/>
      <c r="M845" s="3543" t="str">
        <f>IMAGE("https://raw.githubusercontent.com/msikma/pokesprite/master/items/hold-item/focus-sash.png",3)</f>
        <v/>
      </c>
      <c r="O845" s="3540" t="s">
        <v>272</v>
      </c>
      <c r="P845" s="3541"/>
      <c r="Q845" s="3542"/>
      <c r="R845" s="3543" t="str">
        <f>IMAGE("https://raw.githubusercontent.com/msikma/pokesprite/master/items/hold-item/life-orb.png",3)</f>
        <v/>
      </c>
      <c r="T845" s="3540" t="s">
        <v>1162</v>
      </c>
      <c r="U845" s="3541"/>
      <c r="V845" s="3542"/>
      <c r="W845" s="3543" t="str">
        <f>IMAGE("https://raw.githubusercontent.com/msikma/pokesprite/master/items/hold-item/soft-sand.png",3)</f>
        <v/>
      </c>
      <c r="Y845" s="3540" t="s">
        <v>1057</v>
      </c>
      <c r="Z845" s="3541"/>
      <c r="AA845" s="3542"/>
      <c r="AB845" s="3543" t="str">
        <f>IMAGE("https://raw.githubusercontent.com/msikma/pokesprite/master/items/hold-item/charcoal.png",3)</f>
        <v/>
      </c>
      <c r="AC845" s="3514"/>
      <c r="AD845" s="3502"/>
      <c r="AE845" s="3503"/>
      <c r="AF845" s="3503"/>
      <c r="AG845" s="3504"/>
      <c r="AH845" s="3507"/>
      <c r="AI845" s="3380"/>
    </row>
    <row r="846" ht="20.25" customHeight="1">
      <c r="A846" s="3368"/>
      <c r="B846" s="3496"/>
      <c r="C846" s="3544"/>
      <c r="D846" s="3498"/>
      <c r="E846" s="3534" t="s">
        <v>286</v>
      </c>
      <c r="F846" s="3535"/>
      <c r="G846" s="3545"/>
      <c r="H846" s="3546" t="str">
        <f>IMAGE("https://raw.githubusercontent.com/msikma/pokesprite/master/misc/types/gen8/ground.png",4,20,20)</f>
        <v/>
      </c>
      <c r="J846" s="3534" t="s">
        <v>903</v>
      </c>
      <c r="K846" s="3535"/>
      <c r="L846" s="3545"/>
      <c r="M846" s="3546" t="str">
        <f>IMAGE("https://raw.githubusercontent.com/msikma/pokesprite/master/misc/types/gen8/fire.png",4,20,20)</f>
        <v/>
      </c>
      <c r="O846" s="3534" t="s">
        <v>374</v>
      </c>
      <c r="P846" s="3535"/>
      <c r="Q846" s="3545"/>
      <c r="R846" s="3546" t="str">
        <f>IMAGE("https://raw.githubusercontent.com/msikma/pokesprite/master/misc/types/gen8/flying.png",4,20,20)</f>
        <v/>
      </c>
      <c r="T846" s="3534" t="s">
        <v>282</v>
      </c>
      <c r="U846" s="3535"/>
      <c r="V846" s="3545"/>
      <c r="W846" s="3546" t="str">
        <f>IMAGE("https://raw.githubusercontent.com/msikma/pokesprite/master/misc/types/gen8/ground.png",4,20,20)</f>
        <v/>
      </c>
      <c r="Y846" s="3534" t="s">
        <v>785</v>
      </c>
      <c r="Z846" s="3535"/>
      <c r="AA846" s="3545"/>
      <c r="AB846" s="3546" t="str">
        <f>IMAGE("https://raw.githubusercontent.com/msikma/pokesprite/master/misc/types/gen8/fire.png",4,20,20)</f>
        <v/>
      </c>
      <c r="AC846" s="3514"/>
      <c r="AD846" s="3502"/>
      <c r="AE846" s="3503"/>
      <c r="AF846" s="3503"/>
      <c r="AG846" s="3504"/>
      <c r="AH846" s="3507"/>
      <c r="AI846" s="3380"/>
    </row>
    <row r="847" ht="20.25" customHeight="1">
      <c r="A847" s="3368"/>
      <c r="B847" s="3496"/>
      <c r="C847" s="3529"/>
      <c r="D847" s="3498"/>
      <c r="E847" s="3538" t="s">
        <v>405</v>
      </c>
      <c r="F847" s="3503"/>
      <c r="G847" s="3504"/>
      <c r="H847" s="3547" t="str">
        <f>IMAGE("https://raw.githubusercontent.com/msikma/pokesprite/master/misc/types/gen8/poison.png",4,20,20)</f>
        <v/>
      </c>
      <c r="J847" s="3538" t="s">
        <v>885</v>
      </c>
      <c r="K847" s="3503"/>
      <c r="L847" s="3504"/>
      <c r="M847" s="3547" t="str">
        <f t="shared" ref="M847:M848" si="22">IMAGE("https://raw.githubusercontent.com/msikma/pokesprite/master/misc/types/gen8/flying.png",4,20,20)</f>
        <v/>
      </c>
      <c r="O847" s="3538" t="s">
        <v>903</v>
      </c>
      <c r="P847" s="3503"/>
      <c r="Q847" s="3504"/>
      <c r="R847" s="3547" t="str">
        <f>IMAGE("https://raw.githubusercontent.com/msikma/pokesprite/master/misc/types/gen8/fire.png",4,20,20)</f>
        <v/>
      </c>
      <c r="T847" s="3538" t="s">
        <v>407</v>
      </c>
      <c r="U847" s="3503"/>
      <c r="V847" s="3504"/>
      <c r="W847" s="3547" t="str">
        <f>IMAGE("https://raw.githubusercontent.com/msikma/pokesprite/master/misc/types/gen8/steel.png",4,20,20)</f>
        <v/>
      </c>
      <c r="Y847" s="3538" t="s">
        <v>247</v>
      </c>
      <c r="Z847" s="3503"/>
      <c r="AA847" s="3504"/>
      <c r="AB847" s="3547" t="str">
        <f>IMAGE("https://raw.githubusercontent.com/msikma/pokesprite/master/misc/types/gen8/bug.png",4,20,20)</f>
        <v/>
      </c>
      <c r="AC847" s="3514"/>
      <c r="AD847" s="3502"/>
      <c r="AE847" s="3503"/>
      <c r="AF847" s="3503"/>
      <c r="AG847" s="3504"/>
      <c r="AH847" s="3507"/>
      <c r="AI847" s="3380"/>
    </row>
    <row r="848" ht="20.25" customHeight="1">
      <c r="A848" s="3368"/>
      <c r="B848" s="3496"/>
      <c r="C848" s="3529"/>
      <c r="D848" s="3498"/>
      <c r="E848" s="3538" t="s">
        <v>785</v>
      </c>
      <c r="F848" s="3503"/>
      <c r="G848" s="3504"/>
      <c r="H848" s="3547" t="str">
        <f>IMAGE("https://raw.githubusercontent.com/msikma/pokesprite/master/misc/types/gen8/fire.png",4,20,20)</f>
        <v/>
      </c>
      <c r="J848" s="3538" t="s">
        <v>1266</v>
      </c>
      <c r="K848" s="3503"/>
      <c r="L848" s="3504"/>
      <c r="M848" s="3547" t="str">
        <f t="shared" si="22"/>
        <v/>
      </c>
      <c r="O848" s="3538" t="s">
        <v>318</v>
      </c>
      <c r="P848" s="3503"/>
      <c r="Q848" s="3504"/>
      <c r="R848" s="3547" t="str">
        <f>IMAGE("https://raw.githubusercontent.com/msikma/pokesprite/master/misc/types/gen8/ghost.png",4,20,20)</f>
        <v/>
      </c>
      <c r="T848" s="3538" t="s">
        <v>1071</v>
      </c>
      <c r="U848" s="3503"/>
      <c r="V848" s="3504"/>
      <c r="W848" s="3547" t="str">
        <f>IMAGE("https://raw.githubusercontent.com/msikma/pokesprite/master/misc/types/gen8/normal.png",4,20,20)</f>
        <v/>
      </c>
      <c r="Y848" s="3538" t="s">
        <v>275</v>
      </c>
      <c r="Z848" s="3503"/>
      <c r="AA848" s="3504"/>
      <c r="AB848" s="3547" t="str">
        <f>IMAGE("https://raw.githubusercontent.com/msikma/pokesprite/master/misc/types/gen8/grass.png",4,20,20)</f>
        <v/>
      </c>
      <c r="AC848" s="3514"/>
      <c r="AD848" s="3502"/>
      <c r="AE848" s="3503"/>
      <c r="AF848" s="3503"/>
      <c r="AG848" s="3504"/>
      <c r="AH848" s="3507"/>
      <c r="AI848" s="3380"/>
    </row>
    <row r="849" ht="21.0" customHeight="1">
      <c r="A849" s="3368"/>
      <c r="B849" s="3496"/>
      <c r="C849" s="3529"/>
      <c r="D849" s="3498"/>
      <c r="E849" s="3548" t="s">
        <v>317</v>
      </c>
      <c r="F849" s="3549"/>
      <c r="G849" s="3550"/>
      <c r="H849" s="3551" t="str">
        <f>IMAGE("https://raw.githubusercontent.com/msikma/pokesprite/master/misc/types/gen8/ice.png",4,20,20)</f>
        <v/>
      </c>
      <c r="I849" s="3552"/>
      <c r="J849" s="3548" t="s">
        <v>380</v>
      </c>
      <c r="K849" s="3549"/>
      <c r="L849" s="3550"/>
      <c r="M849" s="3551" t="str">
        <f>IMAGE("https://raw.githubusercontent.com/msikma/pokesprite/master/misc/types/gen8/dragon.png",4,20,20)</f>
        <v/>
      </c>
      <c r="N849" s="3552"/>
      <c r="O849" s="3548" t="s">
        <v>1267</v>
      </c>
      <c r="P849" s="3549"/>
      <c r="Q849" s="3550"/>
      <c r="R849" s="3551" t="str">
        <f>IMAGE("https://raw.githubusercontent.com/msikma/pokesprite/master/misc/types/gen8/psychic.png",4,20,20)</f>
        <v/>
      </c>
      <c r="S849" s="3552"/>
      <c r="T849" s="3548" t="s">
        <v>610</v>
      </c>
      <c r="U849" s="3549"/>
      <c r="V849" s="3550"/>
      <c r="W849" s="3551" t="str">
        <f>IMAGE("https://raw.githubusercontent.com/msikma/pokesprite/master/misc/types/gen8/rock.png",4,20,20)</f>
        <v/>
      </c>
      <c r="X849" s="3552"/>
      <c r="Y849" s="3548" t="s">
        <v>561</v>
      </c>
      <c r="Z849" s="3549"/>
      <c r="AA849" s="3550"/>
      <c r="AB849" s="3551" t="str">
        <f>IMAGE("https://raw.githubusercontent.com/msikma/pokesprite/master/misc/types/gen8/psychic.png",4,20,20)</f>
        <v/>
      </c>
      <c r="AC849" s="3553"/>
      <c r="AD849" s="3502"/>
      <c r="AE849" s="3503"/>
      <c r="AF849" s="3503"/>
      <c r="AG849" s="3504"/>
      <c r="AH849" s="3507"/>
      <c r="AI849" s="3380"/>
    </row>
    <row r="850" ht="3.0" customHeight="1">
      <c r="A850" s="3445"/>
      <c r="B850" s="3554"/>
      <c r="C850" s="3555"/>
      <c r="D850" s="3556"/>
      <c r="E850" s="3558"/>
      <c r="F850" s="3558"/>
      <c r="G850" s="3558"/>
      <c r="H850" s="3557"/>
      <c r="I850" s="3556"/>
      <c r="J850" s="3558"/>
      <c r="K850" s="3558"/>
      <c r="L850" s="3558"/>
      <c r="M850" s="3557"/>
      <c r="N850" s="3556"/>
      <c r="O850" s="3558"/>
      <c r="P850" s="3558"/>
      <c r="Q850" s="3558"/>
      <c r="R850" s="3557"/>
      <c r="S850" s="3559"/>
      <c r="T850" s="3558"/>
      <c r="U850" s="3558"/>
      <c r="V850" s="3558"/>
      <c r="W850" s="3557"/>
      <c r="X850" s="3556"/>
      <c r="Y850" s="3558"/>
      <c r="Z850" s="3558"/>
      <c r="AA850" s="3558"/>
      <c r="AB850" s="3557"/>
      <c r="AC850" s="3561"/>
      <c r="AD850" s="3561"/>
      <c r="AE850" s="3561"/>
      <c r="AF850" s="3561"/>
      <c r="AG850" s="3561"/>
      <c r="AH850" s="3562"/>
      <c r="AI850" s="3456"/>
    </row>
    <row r="851" ht="16.5" customHeight="1">
      <c r="A851" s="3457"/>
      <c r="B851" s="3563"/>
      <c r="C851" s="3555"/>
      <c r="D851" s="5140"/>
      <c r="E851" s="3565" t="s">
        <v>190</v>
      </c>
      <c r="F851" s="381"/>
      <c r="G851" s="382"/>
      <c r="H851" s="3566" t="s">
        <v>191</v>
      </c>
      <c r="I851" s="3567"/>
      <c r="J851" s="3565" t="s">
        <v>190</v>
      </c>
      <c r="K851" s="381"/>
      <c r="L851" s="382"/>
      <c r="M851" s="3566" t="s">
        <v>191</v>
      </c>
      <c r="N851" s="5140"/>
      <c r="O851" s="3565" t="s">
        <v>190</v>
      </c>
      <c r="P851" s="381"/>
      <c r="Q851" s="382"/>
      <c r="R851" s="3566" t="s">
        <v>191</v>
      </c>
      <c r="S851" s="5153"/>
      <c r="T851" s="3565" t="s">
        <v>190</v>
      </c>
      <c r="U851" s="381"/>
      <c r="V851" s="382"/>
      <c r="W851" s="3566" t="s">
        <v>191</v>
      </c>
      <c r="X851" s="5154"/>
      <c r="Y851" s="3565" t="s">
        <v>190</v>
      </c>
      <c r="Z851" s="381"/>
      <c r="AA851" s="382"/>
      <c r="AB851" s="3566" t="s">
        <v>191</v>
      </c>
      <c r="AC851" s="3569"/>
      <c r="AD851" s="3569"/>
      <c r="AE851" s="3569"/>
      <c r="AF851" s="3569"/>
      <c r="AG851" s="3569"/>
      <c r="AH851" s="3570"/>
      <c r="AI851" s="3466"/>
    </row>
    <row r="852" ht="16.5" customHeight="1">
      <c r="A852" s="3457"/>
      <c r="B852" s="3563"/>
      <c r="C852" s="3555"/>
      <c r="D852" s="3564"/>
      <c r="E852" s="3571" t="s">
        <v>192</v>
      </c>
      <c r="F852" s="3572">
        <f t="array" ref="F852">IFERROR(VLOOKUP(E839,Dex!$B$3:$N1022,8,FALSE),"")</f>
        <v>81</v>
      </c>
      <c r="G852" s="3573" t="str">
        <f t="array" ref="G852">IFERROR(VLOOKUP(F852,Dex!$P$22:$Q$276,2,FALSE),"")</f>
        <v/>
      </c>
      <c r="H852" s="3574"/>
      <c r="I852" s="3575"/>
      <c r="J852" s="3571" t="s">
        <v>192</v>
      </c>
      <c r="K852" s="3572">
        <f t="array" ref="K852">IFERROR(VLOOKUP(J839,Dex!$B$3:$N1022,8,FALSE),"")</f>
        <v>85</v>
      </c>
      <c r="L852" s="3573" t="str">
        <f t="array" ref="L852">IFERROR(VLOOKUP(K852,Dex!$P$22:$Q$276,2,FALSE),"")</f>
        <v/>
      </c>
      <c r="M852" s="3574"/>
      <c r="N852" s="3564"/>
      <c r="O852" s="3571" t="s">
        <v>192</v>
      </c>
      <c r="P852" s="3572">
        <f t="array" ref="P852">IFERROR(VLOOKUP(O839,Dex!$B$3:$N1022,8,FALSE),"")</f>
        <v>115</v>
      </c>
      <c r="Q852" s="3573" t="str">
        <f t="array" ref="Q852">IFERROR(VLOOKUP(P852,Dex!$P$22:$Q$276,2,FALSE),"")</f>
        <v/>
      </c>
      <c r="R852" s="3574"/>
      <c r="S852" s="3569"/>
      <c r="T852" s="3571" t="s">
        <v>192</v>
      </c>
      <c r="U852" s="3572">
        <f t="array" ref="U852">IFERROR(VLOOKUP(T839,Dex!$B$3:$N1022,8,FALSE),"")</f>
        <v>110</v>
      </c>
      <c r="V852" s="3573" t="str">
        <f t="array" ref="V852">IFERROR(VLOOKUP(U852,Dex!$P$22:$Q$276,2,FALSE),"")</f>
        <v/>
      </c>
      <c r="W852" s="3574"/>
      <c r="X852" s="3569"/>
      <c r="Y852" s="3571" t="s">
        <v>192</v>
      </c>
      <c r="Z852" s="3572">
        <f t="array" ref="Z852">IFERROR(VLOOKUP(Y839,Dex!$B$3:$N1022,8,FALSE),"")</f>
        <v>85</v>
      </c>
      <c r="AA852" s="3573" t="str">
        <f t="array" ref="AA852">IFERROR(VLOOKUP(Z852,Dex!$P$22:$Q$276,2,FALSE),"")</f>
        <v/>
      </c>
      <c r="AB852" s="3574"/>
      <c r="AC852" s="3569"/>
      <c r="AD852" s="3569"/>
      <c r="AE852" s="3569"/>
      <c r="AF852" s="3569"/>
      <c r="AG852" s="3569"/>
      <c r="AH852" s="3570"/>
      <c r="AI852" s="3466"/>
    </row>
    <row r="853" ht="16.5" customHeight="1">
      <c r="A853" s="3457"/>
      <c r="B853" s="3563"/>
      <c r="C853" s="3555"/>
      <c r="D853" s="3564"/>
      <c r="E853" s="3577" t="s">
        <v>193</v>
      </c>
      <c r="F853" s="3578">
        <f t="array" ref="F853">IFERROR(VLOOKUP(E839,Dex!$B$3:$N1022,9,FALSE),"")</f>
        <v>102</v>
      </c>
      <c r="G853" s="3579" t="str">
        <f t="array" ref="G853">IFERROR(VLOOKUP(F853,Dex!$P$22:$Q$276,2,FALSE),"")</f>
        <v/>
      </c>
      <c r="H853" s="3580"/>
      <c r="I853" s="3575"/>
      <c r="J853" s="3577" t="s">
        <v>193</v>
      </c>
      <c r="K853" s="3578">
        <f t="array" ref="K853">IFERROR(VLOOKUP(J839,Dex!$B$3:$N1022,9,FALSE),"")</f>
        <v>70</v>
      </c>
      <c r="L853" s="3579" t="str">
        <f t="array" ref="L853">IFERROR(VLOOKUP(K853,Dex!$P$22:$Q$276,2,FALSE),"")</f>
        <v/>
      </c>
      <c r="M853" s="3580"/>
      <c r="N853" s="3564"/>
      <c r="O853" s="3577" t="s">
        <v>193</v>
      </c>
      <c r="P853" s="3578">
        <f t="array" ref="P853">IFERROR(VLOOKUP(O839,Dex!$B$3:$N1022,9,FALSE),"")</f>
        <v>58</v>
      </c>
      <c r="Q853" s="3579" t="str">
        <f t="array" ref="Q853">IFERROR(VLOOKUP(P853,Dex!$P$22:$Q$276,2,FALSE),"")</f>
        <v/>
      </c>
      <c r="R853" s="3580"/>
      <c r="S853" s="3569"/>
      <c r="T853" s="3577" t="s">
        <v>193</v>
      </c>
      <c r="U853" s="3578">
        <f t="array" ref="U853">IFERROR(VLOOKUP(T839,Dex!$B$3:$N1022,9,FALSE),"")</f>
        <v>135</v>
      </c>
      <c r="V853" s="3579" t="str">
        <f t="array" ref="V853">IFERROR(VLOOKUP(U853,Dex!$P$22:$Q$276,2,FALSE),"")</f>
        <v/>
      </c>
      <c r="W853" s="3580">
        <v>252.0</v>
      </c>
      <c r="X853" s="3569"/>
      <c r="Y853" s="3577" t="s">
        <v>193</v>
      </c>
      <c r="Z853" s="3578">
        <f t="array" ref="Z853">IFERROR(VLOOKUP(Y839,Dex!$B$3:$N1022,9,FALSE),"")</f>
        <v>60</v>
      </c>
      <c r="AA853" s="3579" t="str">
        <f t="array" ref="AA853">IFERROR(VLOOKUP(Z853,Dex!$P$22:$Q$276,2,FALSE),"")</f>
        <v/>
      </c>
      <c r="AB853" s="3580"/>
      <c r="AC853" s="3569"/>
      <c r="AD853" s="3569"/>
      <c r="AE853" s="3569"/>
      <c r="AF853" s="3569"/>
      <c r="AG853" s="3569"/>
      <c r="AH853" s="3570"/>
      <c r="AI853" s="3466"/>
    </row>
    <row r="854" ht="16.5" customHeight="1">
      <c r="A854" s="3457"/>
      <c r="B854" s="3563"/>
      <c r="C854" s="3555"/>
      <c r="D854" s="3564"/>
      <c r="E854" s="3577" t="s">
        <v>194</v>
      </c>
      <c r="F854" s="3578">
        <f t="array" ref="F854">IFERROR(VLOOKUP(E839,Dex!$B$3:$N1022,10,FALSE),"")</f>
        <v>77</v>
      </c>
      <c r="G854" s="3579" t="str">
        <f t="array" ref="G854">IFERROR(VLOOKUP(F854,Dex!$P$22:$Q$276,2,FALSE),"")</f>
        <v/>
      </c>
      <c r="H854" s="3580">
        <v>4.0</v>
      </c>
      <c r="I854" s="3575"/>
      <c r="J854" s="3577" t="s">
        <v>194</v>
      </c>
      <c r="K854" s="3578">
        <f t="array" ref="K854">IFERROR(VLOOKUP(J839,Dex!$B$3:$N1022,10,FALSE),"")</f>
        <v>80</v>
      </c>
      <c r="L854" s="3579" t="str">
        <f t="array" ref="L854">IFERROR(VLOOKUP(K854,Dex!$P$22:$Q$276,2,FALSE),"")</f>
        <v/>
      </c>
      <c r="M854" s="3580">
        <v>4.0</v>
      </c>
      <c r="N854" s="3564"/>
      <c r="O854" s="3577" t="s">
        <v>194</v>
      </c>
      <c r="P854" s="3578">
        <f t="array" ref="P854">IFERROR(VLOOKUP(O839,Dex!$B$3:$N1022,10,FALSE),"")</f>
        <v>80</v>
      </c>
      <c r="Q854" s="3579" t="str">
        <f t="array" ref="Q854">IFERROR(VLOOKUP(P854,Dex!$P$22:$Q$276,2,FALSE),"")</f>
        <v/>
      </c>
      <c r="R854" s="3580">
        <v>4.0</v>
      </c>
      <c r="S854" s="3569"/>
      <c r="T854" s="3577" t="s">
        <v>194</v>
      </c>
      <c r="U854" s="3578">
        <f t="array" ref="U854">IFERROR(VLOOKUP(T839,Dex!$B$3:$N1022,10,FALSE),"")</f>
        <v>60</v>
      </c>
      <c r="V854" s="3579" t="str">
        <f t="array" ref="V854">IFERROR(VLOOKUP(U854,Dex!$P$22:$Q$276,2,FALSE),"")</f>
        <v/>
      </c>
      <c r="W854" s="3580">
        <v>4.0</v>
      </c>
      <c r="X854" s="3569"/>
      <c r="Y854" s="3577" t="s">
        <v>194</v>
      </c>
      <c r="Z854" s="3578">
        <f t="array" ref="Z854">IFERROR(VLOOKUP(Y839,Dex!$B$3:$N1022,10,FALSE),"")</f>
        <v>65</v>
      </c>
      <c r="AA854" s="3579" t="str">
        <f t="array" ref="AA854">IFERROR(VLOOKUP(Z854,Dex!$P$22:$Q$276,2,FALSE),"")</f>
        <v/>
      </c>
      <c r="AB854" s="3580">
        <v>4.0</v>
      </c>
      <c r="AC854" s="3569"/>
      <c r="AD854" s="3569"/>
      <c r="AE854" s="3569"/>
      <c r="AF854" s="3569"/>
      <c r="AG854" s="3569"/>
      <c r="AH854" s="3570"/>
      <c r="AI854" s="3466"/>
    </row>
    <row r="855" ht="16.5" customHeight="1">
      <c r="A855" s="3457"/>
      <c r="B855" s="3563"/>
      <c r="C855" s="3555"/>
      <c r="D855" s="3564"/>
      <c r="E855" s="3577" t="s">
        <v>195</v>
      </c>
      <c r="F855" s="3578">
        <f t="array" ref="F855">IFERROR(VLOOKUP(E839,Dex!$B$3:$N1022,11,FALSE),"")</f>
        <v>85</v>
      </c>
      <c r="G855" s="3579" t="str">
        <f t="array" ref="G855">IFERROR(VLOOKUP(F855,Dex!$P$22:$Q$276,2,FALSE),"")</f>
        <v/>
      </c>
      <c r="H855" s="3580">
        <v>252.0</v>
      </c>
      <c r="I855" s="3575"/>
      <c r="J855" s="3577" t="s">
        <v>195</v>
      </c>
      <c r="K855" s="3578">
        <f t="array" ref="K855">IFERROR(VLOOKUP(J839,Dex!$B$3:$N1022,11,FALSE),"")</f>
        <v>102</v>
      </c>
      <c r="L855" s="3579" t="str">
        <f t="array" ref="L855">IFERROR(VLOOKUP(K855,Dex!$P$22:$Q$276,2,FALSE),"")</f>
        <v/>
      </c>
      <c r="M855" s="3580">
        <v>252.0</v>
      </c>
      <c r="N855" s="3564"/>
      <c r="O855" s="3577" t="s">
        <v>195</v>
      </c>
      <c r="P855" s="3578">
        <f t="array" ref="P855">IFERROR(VLOOKUP(O839,Dex!$B$3:$N1022,11,FALSE),"")</f>
        <v>112</v>
      </c>
      <c r="Q855" s="3579" t="str">
        <f t="array" ref="Q855">IFERROR(VLOOKUP(P855,Dex!$P$22:$Q$276,2,FALSE),"")</f>
        <v/>
      </c>
      <c r="R855" s="3580">
        <v>252.0</v>
      </c>
      <c r="S855" s="3569"/>
      <c r="T855" s="3577" t="s">
        <v>195</v>
      </c>
      <c r="U855" s="3578">
        <f t="array" ref="U855">IFERROR(VLOOKUP(T839,Dex!$B$3:$N1022,11,FALSE),"")</f>
        <v>50</v>
      </c>
      <c r="V855" s="3579" t="str">
        <f t="array" ref="V855">IFERROR(VLOOKUP(U855,Dex!$P$22:$Q$276,2,FALSE),"")</f>
        <v/>
      </c>
      <c r="W855" s="3580"/>
      <c r="X855" s="3569"/>
      <c r="Y855" s="3577" t="s">
        <v>195</v>
      </c>
      <c r="Z855" s="3578">
        <f t="array" ref="Z855">IFERROR(VLOOKUP(Y839,Dex!$B$3:$N1022,11,FALSE),"")</f>
        <v>135</v>
      </c>
      <c r="AA855" s="3579" t="str">
        <f t="array" ref="AA855">IFERROR(VLOOKUP(Z855,Dex!$P$22:$Q$276,2,FALSE),"")</f>
        <v/>
      </c>
      <c r="AB855" s="3580">
        <v>252.0</v>
      </c>
      <c r="AC855" s="3569"/>
      <c r="AD855" s="3569"/>
      <c r="AE855" s="3569"/>
      <c r="AF855" s="3569"/>
      <c r="AG855" s="3569"/>
      <c r="AH855" s="3570"/>
      <c r="AI855" s="3466"/>
    </row>
    <row r="856" ht="16.5" customHeight="1">
      <c r="A856" s="3457"/>
      <c r="B856" s="3563"/>
      <c r="C856" s="3555"/>
      <c r="D856" s="3564"/>
      <c r="E856" s="3577" t="s">
        <v>196</v>
      </c>
      <c r="F856" s="3578">
        <f t="array" ref="F856">IFERROR(VLOOKUP(E839,Dex!$B$3:$N1022,12,FALSE),"")</f>
        <v>75</v>
      </c>
      <c r="G856" s="3579" t="str">
        <f t="array" ref="G856">IFERROR(VLOOKUP(F856,Dex!$P$22:$Q$276,2,FALSE),"")</f>
        <v/>
      </c>
      <c r="H856" s="3580"/>
      <c r="I856" s="3575"/>
      <c r="J856" s="3577" t="s">
        <v>196</v>
      </c>
      <c r="K856" s="3578">
        <f t="array" ref="K856">IFERROR(VLOOKUP(J839,Dex!$B$3:$N1022,12,FALSE),"")</f>
        <v>80</v>
      </c>
      <c r="L856" s="3579" t="str">
        <f t="array" ref="L856">IFERROR(VLOOKUP(K856,Dex!$P$22:$Q$276,2,FALSE),"")</f>
        <v/>
      </c>
      <c r="M856" s="3580"/>
      <c r="N856" s="3564"/>
      <c r="O856" s="3577" t="s">
        <v>196</v>
      </c>
      <c r="P856" s="3578">
        <f t="array" ref="P856">IFERROR(VLOOKUP(O839,Dex!$B$3:$N1022,12,FALSE),"")</f>
        <v>80</v>
      </c>
      <c r="Q856" s="3579" t="str">
        <f t="array" ref="Q856">IFERROR(VLOOKUP(P856,Dex!$P$22:$Q$276,2,FALSE),"")</f>
        <v/>
      </c>
      <c r="R856" s="3580"/>
      <c r="S856" s="3569"/>
      <c r="T856" s="3577" t="s">
        <v>196</v>
      </c>
      <c r="U856" s="3578">
        <f t="array" ref="U856">IFERROR(VLOOKUP(T839,Dex!$B$3:$N1022,12,FALSE),"")</f>
        <v>65</v>
      </c>
      <c r="V856" s="3579" t="str">
        <f t="array" ref="V856">IFERROR(VLOOKUP(U856,Dex!$P$22:$Q$276,2,FALSE),"")</f>
        <v/>
      </c>
      <c r="W856" s="3580"/>
      <c r="X856" s="3569"/>
      <c r="Y856" s="3577" t="s">
        <v>196</v>
      </c>
      <c r="Z856" s="3578">
        <f t="array" ref="Z856">IFERROR(VLOOKUP(Y839,Dex!$B$3:$N1022,12,FALSE),"")</f>
        <v>105</v>
      </c>
      <c r="AA856" s="3579" t="str">
        <f t="array" ref="AA856">IFERROR(VLOOKUP(Z856,Dex!$P$22:$Q$276,2,FALSE),"")</f>
        <v/>
      </c>
      <c r="AB856" s="3580"/>
      <c r="AC856" s="3569"/>
      <c r="AD856" s="3569"/>
      <c r="AE856" s="3569"/>
      <c r="AF856" s="3569"/>
      <c r="AG856" s="3569"/>
      <c r="AH856" s="3570"/>
      <c r="AI856" s="3466"/>
    </row>
    <row r="857" ht="16.5" customHeight="1">
      <c r="A857" s="3457"/>
      <c r="B857" s="3563"/>
      <c r="C857" s="1204" t="s">
        <v>436</v>
      </c>
      <c r="D857" s="3564"/>
      <c r="E857" s="3583" t="s">
        <v>197</v>
      </c>
      <c r="F857" s="3584">
        <f t="array" ref="F857">IFERROR(VLOOKUP(E839,Dex!$B$3:$N1022,13,FALSE),"")</f>
        <v>85</v>
      </c>
      <c r="G857" s="3585" t="str">
        <f t="array" ref="G857">IFERROR(VLOOKUP(F857,Dex!$P$22:$Q$276,2,FALSE),"")</f>
        <v/>
      </c>
      <c r="H857" s="3586">
        <v>252.0</v>
      </c>
      <c r="I857" s="3575"/>
      <c r="J857" s="3583" t="s">
        <v>197</v>
      </c>
      <c r="K857" s="3584">
        <f t="array" ref="K857">IFERROR(VLOOKUP(J839,Dex!$B$3:$N1022,13,FALSE),"")</f>
        <v>123</v>
      </c>
      <c r="L857" s="3585" t="str">
        <f t="array" ref="L857">IFERROR(VLOOKUP(K857,Dex!$P$22:$Q$276,2,FALSE),"")</f>
        <v/>
      </c>
      <c r="M857" s="3586">
        <v>252.0</v>
      </c>
      <c r="N857" s="3564"/>
      <c r="O857" s="3583" t="s">
        <v>197</v>
      </c>
      <c r="P857" s="3584">
        <f t="array" ref="P857">IFERROR(VLOOKUP(O839,Dex!$B$3:$N1022,13,FALSE),"")</f>
        <v>65</v>
      </c>
      <c r="Q857" s="3585" t="str">
        <f t="array" ref="Q857">IFERROR(VLOOKUP(P857,Dex!$P$22:$Q$276,2,FALSE),"")</f>
        <v/>
      </c>
      <c r="R857" s="3586">
        <v>252.0</v>
      </c>
      <c r="S857" s="3569"/>
      <c r="T857" s="3583" t="s">
        <v>197</v>
      </c>
      <c r="U857" s="3584">
        <f t="array" ref="U857">IFERROR(VLOOKUP(T839,Dex!$B$3:$N1022,13,FALSE),"")</f>
        <v>88</v>
      </c>
      <c r="V857" s="3585" t="str">
        <f t="array" ref="V857">IFERROR(VLOOKUP(U857,Dex!$P$22:$Q$276,2,FALSE),"")</f>
        <v/>
      </c>
      <c r="W857" s="3586">
        <v>252.0</v>
      </c>
      <c r="X857" s="3569"/>
      <c r="Y857" s="3583" t="s">
        <v>197</v>
      </c>
      <c r="Z857" s="3584">
        <f t="array" ref="Z857">IFERROR(VLOOKUP(Y839,Dex!$B$3:$N1022,13,FALSE),"")</f>
        <v>100</v>
      </c>
      <c r="AA857" s="3585" t="str">
        <f t="array" ref="AA857">IFERROR(VLOOKUP(Z857,Dex!$P$22:$Q$276,2,FALSE),"")</f>
        <v/>
      </c>
      <c r="AB857" s="3586">
        <v>252.0</v>
      </c>
      <c r="AC857" s="3569"/>
      <c r="AD857" s="3569"/>
      <c r="AE857" s="3569"/>
      <c r="AF857" s="3569"/>
      <c r="AG857" s="3569"/>
      <c r="AH857" s="3570"/>
      <c r="AI857" s="3466"/>
    </row>
    <row r="858" ht="16.5" customHeight="1">
      <c r="A858" s="3457"/>
      <c r="B858" s="3563"/>
      <c r="C858" s="1205" t="s">
        <v>1250</v>
      </c>
      <c r="D858" s="5140"/>
      <c r="E858" s="3587" t="s">
        <v>198</v>
      </c>
      <c r="F858" s="405"/>
      <c r="G858" s="406"/>
      <c r="H858" s="3588">
        <v>214.0</v>
      </c>
      <c r="I858" s="3567"/>
      <c r="J858" s="3587" t="s">
        <v>198</v>
      </c>
      <c r="K858" s="405"/>
      <c r="L858" s="406"/>
      <c r="M858" s="3588">
        <v>270.0</v>
      </c>
      <c r="N858" s="5140"/>
      <c r="O858" s="3587" t="s">
        <v>198</v>
      </c>
      <c r="P858" s="405"/>
      <c r="Q858" s="406"/>
      <c r="R858" s="3588">
        <v>166.0</v>
      </c>
      <c r="S858" s="5154"/>
      <c r="T858" s="3587" t="s">
        <v>198</v>
      </c>
      <c r="U858" s="405"/>
      <c r="V858" s="406"/>
      <c r="W858" s="3588">
        <v>196.0</v>
      </c>
      <c r="X858" s="5154"/>
      <c r="Y858" s="3587" t="s">
        <v>198</v>
      </c>
      <c r="Z858" s="405"/>
      <c r="AA858" s="406"/>
      <c r="AB858" s="3588">
        <v>237.0</v>
      </c>
      <c r="AC858" s="3569"/>
      <c r="AD858" s="3569"/>
      <c r="AE858" s="3569"/>
      <c r="AF858" s="3569"/>
      <c r="AG858" s="3569"/>
      <c r="AH858" s="3570"/>
      <c r="AI858" s="3466"/>
    </row>
    <row r="859" ht="15.0" customHeight="1">
      <c r="A859" s="3368"/>
      <c r="B859" s="3589"/>
      <c r="C859" s="3590"/>
      <c r="D859" s="3591"/>
      <c r="E859" s="3594"/>
      <c r="F859" s="3594"/>
      <c r="G859" s="3594"/>
      <c r="H859" s="3593"/>
      <c r="I859" s="3593"/>
      <c r="J859" s="3594"/>
      <c r="K859" s="3594"/>
      <c r="L859" s="3594"/>
      <c r="M859" s="3593"/>
      <c r="N859" s="3595"/>
      <c r="O859" s="5156"/>
      <c r="P859" s="5156"/>
      <c r="Q859" s="5157"/>
      <c r="R859" s="3597"/>
      <c r="S859" s="3597"/>
      <c r="T859" s="5156"/>
      <c r="U859" s="5156"/>
      <c r="V859" s="5157"/>
      <c r="W859" s="3597"/>
      <c r="X859" s="3595"/>
      <c r="Y859" s="5158"/>
      <c r="Z859" s="5158"/>
      <c r="AA859" s="5158"/>
      <c r="AB859" s="3598"/>
      <c r="AC859" s="3598"/>
      <c r="AD859" s="3598"/>
      <c r="AE859" s="3598"/>
      <c r="AF859" s="3598"/>
      <c r="AG859" s="3598"/>
      <c r="AH859" s="3599"/>
      <c r="AI859" s="3380"/>
    </row>
    <row r="860" ht="15.0" customHeight="1">
      <c r="A860" s="3361"/>
      <c r="B860" s="3491"/>
      <c r="C860" s="3492"/>
      <c r="D860" s="3493"/>
      <c r="E860" s="3494"/>
      <c r="F860" s="3494"/>
      <c r="G860" s="3494"/>
      <c r="H860" s="3494"/>
      <c r="I860" s="3493"/>
      <c r="J860" s="3494"/>
      <c r="K860" s="3494"/>
      <c r="L860" s="3494"/>
      <c r="M860" s="3494"/>
      <c r="N860" s="3493"/>
      <c r="O860" s="3494"/>
      <c r="P860" s="3494"/>
      <c r="Q860" s="3494"/>
      <c r="R860" s="3494"/>
      <c r="S860" s="3493"/>
      <c r="T860" s="3494"/>
      <c r="U860" s="3494"/>
      <c r="V860" s="3494"/>
      <c r="W860" s="3494"/>
      <c r="X860" s="3493"/>
      <c r="Y860" s="3494"/>
      <c r="Z860" s="3494"/>
      <c r="AA860" s="3494"/>
      <c r="AB860" s="3494"/>
      <c r="AC860" s="3493"/>
      <c r="AD860" s="3493"/>
      <c r="AE860" s="3493"/>
      <c r="AF860" s="3493"/>
      <c r="AG860" s="3493"/>
      <c r="AH860" s="3495"/>
      <c r="AI860" s="3367"/>
    </row>
    <row r="861" ht="96.75" customHeight="1">
      <c r="A861" s="3368"/>
      <c r="B861" s="3496"/>
      <c r="C861" s="3497" t="str">
        <f>IMAGE("https://i.ibb.co/26kF6WW/Ace-Trainer-F.png")</f>
        <v/>
      </c>
      <c r="D861" s="3498"/>
      <c r="E861" s="3499" t="str">
        <f t="array" ref="E861">IFERROR(VLOOKUP(E862,Dex!$B$3:$G1022,3,FALSE),"")</f>
        <v/>
      </c>
      <c r="F861" s="381"/>
      <c r="G861" s="381"/>
      <c r="H861" s="2531"/>
      <c r="I861" s="3500"/>
      <c r="J861" s="3499" t="str">
        <f t="array" ref="J861">IFERROR(VLOOKUP(J862,Dex!$B$3:$G1022,3,FALSE),"")</f>
        <v/>
      </c>
      <c r="K861" s="381"/>
      <c r="L861" s="381"/>
      <c r="M861" s="2531"/>
      <c r="N861" s="5127"/>
      <c r="O861" s="3499" t="str">
        <f t="array" ref="O861">IFERROR(VLOOKUP(O862,Dex!$B$3:$G1022,3,FALSE),"")</f>
        <v/>
      </c>
      <c r="P861" s="381"/>
      <c r="Q861" s="381"/>
      <c r="R861" s="2531"/>
      <c r="S861" s="5128"/>
      <c r="T861" s="3499" t="str">
        <f t="array" ref="T861">IFERROR(VLOOKUP(T862,Dex!$B$3:$G1022,3,FALSE),"")</f>
        <v/>
      </c>
      <c r="U861" s="381"/>
      <c r="V861" s="381"/>
      <c r="W861" s="2531"/>
      <c r="X861" s="5127"/>
      <c r="Y861" s="3499" t="str">
        <f t="array" ref="Y861">IFERROR(VLOOKUP(Y862,Dex!$B$3:$G1022,3,FALSE),"")</f>
        <v/>
      </c>
      <c r="Z861" s="381"/>
      <c r="AA861" s="381"/>
      <c r="AB861" s="2531"/>
      <c r="AC861" s="5152"/>
      <c r="AD861" s="3502"/>
      <c r="AE861" s="3503"/>
      <c r="AF861" s="3503"/>
      <c r="AG861" s="3504"/>
      <c r="AH861" s="3507"/>
      <c r="AI861" s="3380"/>
    </row>
    <row r="862" ht="18.75" customHeight="1">
      <c r="A862" s="3381"/>
      <c r="B862" s="3508"/>
      <c r="C862" s="3509" t="s">
        <v>1268</v>
      </c>
      <c r="D862" s="3510"/>
      <c r="E862" s="3511" t="s">
        <v>1269</v>
      </c>
      <c r="F862" s="3512"/>
      <c r="G862" s="3512"/>
      <c r="H862" s="3513"/>
      <c r="J862" s="5129" t="s">
        <v>893</v>
      </c>
      <c r="K862" s="3512"/>
      <c r="L862" s="3512"/>
      <c r="M862" s="5130"/>
      <c r="O862" s="5129" t="s">
        <v>1270</v>
      </c>
      <c r="P862" s="3512"/>
      <c r="Q862" s="3512"/>
      <c r="R862" s="5130"/>
      <c r="T862" s="5129" t="s">
        <v>1271</v>
      </c>
      <c r="U862" s="3512"/>
      <c r="V862" s="3512"/>
      <c r="W862" s="5130"/>
      <c r="Y862" s="5129" t="s">
        <v>1272</v>
      </c>
      <c r="Z862" s="3512"/>
      <c r="AA862" s="3512"/>
      <c r="AB862" s="5130"/>
      <c r="AC862" s="3514"/>
      <c r="AD862" s="3515"/>
      <c r="AE862" s="3503"/>
      <c r="AF862" s="3503"/>
      <c r="AG862" s="3504"/>
      <c r="AH862" s="3517"/>
      <c r="AI862" s="3393"/>
    </row>
    <row r="863">
      <c r="A863" s="3394"/>
      <c r="B863" s="3518"/>
      <c r="C863" s="1481"/>
      <c r="D863" s="3519"/>
      <c r="E863" s="3520" t="s">
        <v>715</v>
      </c>
      <c r="F863" s="3521"/>
      <c r="G863" s="3521"/>
      <c r="H863" s="3522"/>
      <c r="J863" s="3520" t="s">
        <v>715</v>
      </c>
      <c r="K863" s="3521"/>
      <c r="L863" s="3521"/>
      <c r="M863" s="3522"/>
      <c r="O863" s="3520" t="s">
        <v>715</v>
      </c>
      <c r="P863" s="3521"/>
      <c r="Q863" s="3521"/>
      <c r="R863" s="3522"/>
      <c r="T863" s="3520" t="s">
        <v>715</v>
      </c>
      <c r="U863" s="3521"/>
      <c r="V863" s="3521"/>
      <c r="W863" s="3522"/>
      <c r="Y863" s="3520" t="s">
        <v>715</v>
      </c>
      <c r="Z863" s="3521"/>
      <c r="AA863" s="3521"/>
      <c r="AB863" s="3522"/>
      <c r="AC863" s="3514"/>
      <c r="AD863" s="3523"/>
      <c r="AE863" s="3503"/>
      <c r="AF863" s="3503"/>
      <c r="AG863" s="3504"/>
      <c r="AH863" s="3524"/>
      <c r="AI863" s="3402"/>
    </row>
    <row r="864" ht="25.5" customHeight="1">
      <c r="A864" s="3368"/>
      <c r="B864" s="3496"/>
      <c r="C864" s="1489"/>
      <c r="D864" s="3498"/>
      <c r="E864" s="3525"/>
      <c r="F864" s="3526" t="str">
        <f t="array" ref="F864">IFERROR(VLOOKUP(E862,Dex!$B$3:$H1022,5,FALSE),"")</f>
        <v/>
      </c>
      <c r="G864" s="3527"/>
      <c r="H864" s="3528"/>
      <c r="J864" s="5133"/>
      <c r="K864" s="5134" t="str">
        <f t="array" ref="K864">IFERROR(VLOOKUP(J862,Dex!$B$3:$H1022,5,FALSE),"")</f>
        <v/>
      </c>
      <c r="L864" s="5135" t="str">
        <f t="array" ref="L864">IFERROR(VLOOKUP(J862,Dex!$B$3:$H1022,7,FALSE),"")</f>
        <v/>
      </c>
      <c r="M864" s="5136"/>
      <c r="O864" s="5133"/>
      <c r="P864" s="5134" t="str">
        <f t="array" ref="P864">IFERROR(VLOOKUP(O862,Dex!$B$3:$H1022,5,FALSE),"")</f>
        <v/>
      </c>
      <c r="Q864" s="5135" t="str">
        <f t="array" ref="Q864">IFERROR(VLOOKUP(O862,Dex!$B$3:$H1022,7,FALSE),"")</f>
        <v/>
      </c>
      <c r="R864" s="5136"/>
      <c r="T864" s="5133"/>
      <c r="U864" s="5134" t="str">
        <f t="array" ref="U864">IFERROR(VLOOKUP(T862,Dex!$B$3:$H1022,5,FALSE),"")</f>
        <v/>
      </c>
      <c r="V864" s="5135" t="str">
        <f t="array" ref="V864">IFERROR(VLOOKUP(T862,Dex!$B$3:$H1022,7,FALSE),"")</f>
        <v/>
      </c>
      <c r="W864" s="5136"/>
      <c r="Y864" s="5133"/>
      <c r="Z864" s="5134" t="str">
        <f t="array" ref="Z864">IFERROR(VLOOKUP(Y862,Dex!$B$3:$H1022,5,FALSE),"")</f>
        <v/>
      </c>
      <c r="AA864" s="5135" t="str">
        <f t="array" ref="AA864">IFERROR(VLOOKUP(Y862,Dex!$B$3:$H1022,7,FALSE),"")</f>
        <v/>
      </c>
      <c r="AB864" s="5136"/>
      <c r="AC864" s="3514"/>
      <c r="AD864" s="3502"/>
      <c r="AE864" s="3503"/>
      <c r="AF864" s="3503"/>
      <c r="AG864" s="3504"/>
      <c r="AH864" s="3507"/>
      <c r="AI864" s="3380"/>
    </row>
    <row r="865" ht="2.25" customHeight="1">
      <c r="A865" s="3368"/>
      <c r="B865" s="3496"/>
      <c r="C865" s="3529"/>
      <c r="D865" s="3498"/>
      <c r="E865" s="3530"/>
      <c r="F865" s="3531"/>
      <c r="G865" s="3531"/>
      <c r="H865" s="3532"/>
      <c r="J865" s="5137"/>
      <c r="K865" s="5138"/>
      <c r="L865" s="5138"/>
      <c r="M865" s="5139"/>
      <c r="O865" s="5137"/>
      <c r="P865" s="5138"/>
      <c r="Q865" s="5138"/>
      <c r="R865" s="5139"/>
      <c r="T865" s="5137"/>
      <c r="U865" s="5138"/>
      <c r="V865" s="5138"/>
      <c r="W865" s="5139"/>
      <c r="Y865" s="5137"/>
      <c r="Z865" s="5138"/>
      <c r="AA865" s="5138"/>
      <c r="AB865" s="5139"/>
      <c r="AC865" s="3514"/>
      <c r="AD865" s="3533"/>
      <c r="AE865" s="3533"/>
      <c r="AF865" s="3533"/>
      <c r="AG865" s="3533"/>
      <c r="AH865" s="3507"/>
      <c r="AI865" s="3380"/>
    </row>
    <row r="866" ht="20.25" customHeight="1">
      <c r="A866" s="3368"/>
      <c r="B866" s="3496"/>
      <c r="C866" s="3529"/>
      <c r="D866" s="3498"/>
      <c r="E866" s="3534" t="s">
        <v>172</v>
      </c>
      <c r="F866" s="3535"/>
      <c r="G866" s="3535"/>
      <c r="H866" s="3536"/>
      <c r="J866" s="3534" t="s">
        <v>172</v>
      </c>
      <c r="K866" s="3535"/>
      <c r="L866" s="3535"/>
      <c r="M866" s="3536"/>
      <c r="O866" s="3534" t="s">
        <v>169</v>
      </c>
      <c r="P866" s="3535"/>
      <c r="Q866" s="3535"/>
      <c r="R866" s="3536"/>
      <c r="T866" s="3534" t="s">
        <v>264</v>
      </c>
      <c r="U866" s="3535"/>
      <c r="V866" s="3535"/>
      <c r="W866" s="3536"/>
      <c r="Y866" s="3534" t="s">
        <v>205</v>
      </c>
      <c r="Z866" s="3535"/>
      <c r="AA866" s="3535"/>
      <c r="AB866" s="3536"/>
      <c r="AC866" s="3514"/>
      <c r="AD866" s="3502"/>
      <c r="AE866" s="3503"/>
      <c r="AF866" s="3503"/>
      <c r="AG866" s="3504"/>
      <c r="AH866" s="3507"/>
      <c r="AI866" s="3380"/>
    </row>
    <row r="867">
      <c r="A867" s="3368"/>
      <c r="B867" s="3496"/>
      <c r="C867" s="3537"/>
      <c r="D867" s="3498"/>
      <c r="E867" s="3538" t="s">
        <v>208</v>
      </c>
      <c r="F867" s="3503"/>
      <c r="G867" s="3503"/>
      <c r="H867" s="3539"/>
      <c r="J867" s="3538" t="s">
        <v>532</v>
      </c>
      <c r="K867" s="3503"/>
      <c r="L867" s="3503"/>
      <c r="M867" s="3539"/>
      <c r="O867" s="3538" t="s">
        <v>1273</v>
      </c>
      <c r="P867" s="3503"/>
      <c r="Q867" s="3503"/>
      <c r="R867" s="3539"/>
      <c r="T867" s="3538" t="s">
        <v>1274</v>
      </c>
      <c r="U867" s="3503"/>
      <c r="V867" s="3503"/>
      <c r="W867" s="3539"/>
      <c r="Y867" s="3538" t="s">
        <v>1013</v>
      </c>
      <c r="Z867" s="3503"/>
      <c r="AA867" s="3503"/>
      <c r="AB867" s="3539"/>
      <c r="AC867" s="3514"/>
      <c r="AD867" s="3502"/>
      <c r="AE867" s="3503"/>
      <c r="AF867" s="3503"/>
      <c r="AG867" s="3504"/>
      <c r="AH867" s="3507"/>
      <c r="AI867" s="3380"/>
    </row>
    <row r="868" ht="20.25" customHeight="1">
      <c r="A868" s="3368"/>
      <c r="B868" s="3496"/>
      <c r="C868" s="3516"/>
      <c r="D868" s="3498"/>
      <c r="E868" s="3540" t="s">
        <v>488</v>
      </c>
      <c r="F868" s="3541"/>
      <c r="G868" s="3542"/>
      <c r="H868" s="3543" t="str">
        <f>IMAGE("https://raw.githubusercontent.com/msikma/pokesprite/master/items/hold-item/wide-lens.png",3)</f>
        <v/>
      </c>
      <c r="J868" s="3540" t="s">
        <v>213</v>
      </c>
      <c r="K868" s="3541"/>
      <c r="L868" s="3542"/>
      <c r="M868" s="3543" t="str">
        <f>IMAGE("https://raw.githubusercontent.com/msikma/pokesprite/master/items/berry/sitrus.png",3)</f>
        <v/>
      </c>
      <c r="O868" s="3540" t="s">
        <v>240</v>
      </c>
      <c r="P868" s="3541"/>
      <c r="Q868" s="3542"/>
      <c r="R868" s="3543" t="str">
        <f>IMAGE("https://raw.githubusercontent.com/msikma/pokesprite/master/items/hold-item/focus-sash.png",3)</f>
        <v/>
      </c>
      <c r="T868" s="3540" t="s">
        <v>1275</v>
      </c>
      <c r="U868" s="3541"/>
      <c r="V868" s="3542"/>
      <c r="W868" s="3543" t="str">
        <f>IMAGE("https://raw.githubusercontent.com/msikma/pokesprite/master/items/mega-stone/absolite.png",3)</f>
        <v/>
      </c>
      <c r="Y868" s="3540" t="s">
        <v>240</v>
      </c>
      <c r="Z868" s="3541"/>
      <c r="AA868" s="3542"/>
      <c r="AB868" s="3543" t="str">
        <f>IMAGE("https://raw.githubusercontent.com/msikma/pokesprite/master/items/hold-item/focus-sash.png",3)</f>
        <v/>
      </c>
      <c r="AC868" s="3514"/>
      <c r="AD868" s="3502"/>
      <c r="AE868" s="3503"/>
      <c r="AF868" s="3503"/>
      <c r="AG868" s="3504"/>
      <c r="AH868" s="3507"/>
      <c r="AI868" s="3380"/>
    </row>
    <row r="869" ht="20.25" customHeight="1">
      <c r="A869" s="3368"/>
      <c r="B869" s="3496"/>
      <c r="C869" s="3544"/>
      <c r="D869" s="3498"/>
      <c r="E869" s="3534" t="s">
        <v>1276</v>
      </c>
      <c r="F869" s="3535"/>
      <c r="G869" s="3545"/>
      <c r="H869" s="3546" t="str">
        <f>IMAGE("https://raw.githubusercontent.com/msikma/pokesprite/master/misc/types/gen8/normal.png",4,20,20)</f>
        <v/>
      </c>
      <c r="J869" s="3534" t="s">
        <v>899</v>
      </c>
      <c r="K869" s="3535"/>
      <c r="L869" s="3545"/>
      <c r="M869" s="3546" t="str">
        <f>IMAGE("https://raw.githubusercontent.com/msikma/pokesprite/master/misc/types/gen8/normal.png",4,20,20)</f>
        <v/>
      </c>
      <c r="O869" s="3534" t="s">
        <v>492</v>
      </c>
      <c r="P869" s="3535"/>
      <c r="Q869" s="3545"/>
      <c r="R869" s="3546" t="str">
        <f>IMAGE("https://raw.githubusercontent.com/msikma/pokesprite/master/misc/types/gen8/fire.png",4,20,20)</f>
        <v/>
      </c>
      <c r="T869" s="3534" t="s">
        <v>540</v>
      </c>
      <c r="U869" s="3535"/>
      <c r="V869" s="3545"/>
      <c r="W869" s="3546" t="str">
        <f t="shared" ref="W869:W870" si="23">IMAGE("https://raw.githubusercontent.com/msikma/pokesprite/master/misc/types/gen8/dark.png",4,20,20)</f>
        <v/>
      </c>
      <c r="Y869" s="3534" t="s">
        <v>242</v>
      </c>
      <c r="Z869" s="3535"/>
      <c r="AA869" s="3545"/>
      <c r="AB869" s="3546" t="str">
        <f>IMAGE("https://raw.githubusercontent.com/msikma/pokesprite/master/misc/types/gen8/electric.png",4,20,20)</f>
        <v/>
      </c>
      <c r="AC869" s="3514"/>
      <c r="AD869" s="3502"/>
      <c r="AE869" s="3503"/>
      <c r="AF869" s="3503"/>
      <c r="AG869" s="3504"/>
      <c r="AH869" s="3507"/>
      <c r="AI869" s="3380"/>
    </row>
    <row r="870" ht="20.25" customHeight="1">
      <c r="A870" s="3368"/>
      <c r="B870" s="3496"/>
      <c r="C870" s="3529"/>
      <c r="D870" s="3498"/>
      <c r="E870" s="3538" t="s">
        <v>770</v>
      </c>
      <c r="F870" s="3503"/>
      <c r="G870" s="3504"/>
      <c r="H870" s="3547" t="str">
        <f>IMAGE("https://raw.githubusercontent.com/msikma/pokesprite/master/misc/types/gen8/grass.png",4,20,20)</f>
        <v/>
      </c>
      <c r="J870" s="3538" t="s">
        <v>901</v>
      </c>
      <c r="K870" s="3503"/>
      <c r="L870" s="3504"/>
      <c r="M870" s="3547" t="str">
        <f>IMAGE("https://raw.githubusercontent.com/msikma/pokesprite/master/misc/types/gen8/water.png",4,20,20)</f>
        <v/>
      </c>
      <c r="O870" s="3538" t="s">
        <v>1277</v>
      </c>
      <c r="P870" s="3503"/>
      <c r="Q870" s="3504"/>
      <c r="R870" s="3547" t="str">
        <f t="shared" ref="R870:R871" si="24">IMAGE("https://raw.githubusercontent.com/msikma/pokesprite/master/misc/types/gen8/ghost.png",4,20,20)</f>
        <v/>
      </c>
      <c r="T870" s="3538" t="s">
        <v>541</v>
      </c>
      <c r="U870" s="3503"/>
      <c r="V870" s="3504"/>
      <c r="W870" s="3547" t="str">
        <f t="shared" si="23"/>
        <v/>
      </c>
      <c r="Y870" s="3538" t="s">
        <v>377</v>
      </c>
      <c r="Z870" s="3503"/>
      <c r="AA870" s="3504"/>
      <c r="AB870" s="3547" t="str">
        <f>IMAGE("https://raw.githubusercontent.com/msikma/pokesprite/master/misc/types/gen8/grass.png",4,20,20)</f>
        <v/>
      </c>
      <c r="AC870" s="3514"/>
      <c r="AD870" s="3502"/>
      <c r="AE870" s="3503"/>
      <c r="AF870" s="3503"/>
      <c r="AG870" s="3504"/>
      <c r="AH870" s="3507"/>
      <c r="AI870" s="3380"/>
    </row>
    <row r="871" ht="20.25" customHeight="1">
      <c r="A871" s="3368"/>
      <c r="B871" s="3496"/>
      <c r="C871" s="3529"/>
      <c r="D871" s="3498"/>
      <c r="E871" s="3538" t="s">
        <v>278</v>
      </c>
      <c r="F871" s="3503"/>
      <c r="G871" s="3504"/>
      <c r="H871" s="3547" t="str">
        <f>IMAGE("https://raw.githubusercontent.com/msikma/pokesprite/master/misc/types/gen8/bug.png",4,20,20)</f>
        <v/>
      </c>
      <c r="J871" s="3538" t="s">
        <v>608</v>
      </c>
      <c r="K871" s="3503"/>
      <c r="L871" s="3504"/>
      <c r="M871" s="3547" t="str">
        <f>IMAGE("https://raw.githubusercontent.com/msikma/pokesprite/master/misc/types/gen8/psychic.png",4,20,20)</f>
        <v/>
      </c>
      <c r="O871" s="3538" t="s">
        <v>585</v>
      </c>
      <c r="P871" s="3503"/>
      <c r="Q871" s="3504"/>
      <c r="R871" s="3547" t="str">
        <f t="shared" si="24"/>
        <v/>
      </c>
      <c r="T871" s="3538" t="s">
        <v>556</v>
      </c>
      <c r="U871" s="3503"/>
      <c r="V871" s="3504"/>
      <c r="W871" s="3547" t="str">
        <f>IMAGE("https://raw.githubusercontent.com/msikma/pokesprite/master/misc/types/gen8/fairy.png",4,20,20)</f>
        <v/>
      </c>
      <c r="Y871" s="3538" t="s">
        <v>247</v>
      </c>
      <c r="Z871" s="3503"/>
      <c r="AA871" s="3504"/>
      <c r="AB871" s="3547" t="str">
        <f>IMAGE("https://raw.githubusercontent.com/msikma/pokesprite/master/misc/types/gen8/bug.png",4,20,20)</f>
        <v/>
      </c>
      <c r="AC871" s="3514"/>
      <c r="AD871" s="3502"/>
      <c r="AE871" s="3503"/>
      <c r="AF871" s="3503"/>
      <c r="AG871" s="3504"/>
      <c r="AH871" s="3507"/>
      <c r="AI871" s="3380"/>
    </row>
    <row r="872" ht="21.0" customHeight="1">
      <c r="A872" s="3368"/>
      <c r="B872" s="3496"/>
      <c r="C872" s="3529"/>
      <c r="D872" s="3498"/>
      <c r="E872" s="3548" t="s">
        <v>1278</v>
      </c>
      <c r="F872" s="3549"/>
      <c r="G872" s="3550"/>
      <c r="H872" s="3551" t="str">
        <f>IMAGE("https://raw.githubusercontent.com/msikma/pokesprite/master/misc/types/gen8/dark.png",4,20,20)</f>
        <v/>
      </c>
      <c r="I872" s="3552"/>
      <c r="J872" s="3548" t="s">
        <v>735</v>
      </c>
      <c r="K872" s="3549"/>
      <c r="L872" s="3550"/>
      <c r="M872" s="3551" t="str">
        <f>IMAGE("https://raw.githubusercontent.com/msikma/pokesprite/master/misc/types/gen8/water.png",4,20,20)</f>
        <v/>
      </c>
      <c r="N872" s="3552"/>
      <c r="O872" s="3548" t="s">
        <v>538</v>
      </c>
      <c r="P872" s="3549"/>
      <c r="Q872" s="3550"/>
      <c r="R872" s="3551" t="str">
        <f>IMAGE("https://raw.githubusercontent.com/msikma/pokesprite/master/misc/types/gen8/bug.png",4,20,20)</f>
        <v/>
      </c>
      <c r="S872" s="3552"/>
      <c r="T872" s="3548" t="s">
        <v>608</v>
      </c>
      <c r="U872" s="3549"/>
      <c r="V872" s="3550"/>
      <c r="W872" s="3551" t="str">
        <f>IMAGE("https://raw.githubusercontent.com/msikma/pokesprite/master/misc/types/gen8/psychic.png",4,20,20)</f>
        <v/>
      </c>
      <c r="X872" s="3552"/>
      <c r="Y872" s="3548" t="s">
        <v>539</v>
      </c>
      <c r="Z872" s="3549"/>
      <c r="AA872" s="3550"/>
      <c r="AB872" s="3551" t="str">
        <f>IMAGE("https://raw.githubusercontent.com/msikma/pokesprite/master/misc/types/gen8/electric.png",4,20,20)</f>
        <v/>
      </c>
      <c r="AC872" s="3553"/>
      <c r="AD872" s="3502"/>
      <c r="AE872" s="3503"/>
      <c r="AF872" s="3503"/>
      <c r="AG872" s="3504"/>
      <c r="AH872" s="3507"/>
      <c r="AI872" s="3380"/>
    </row>
    <row r="873" ht="3.0" customHeight="1">
      <c r="A873" s="3445"/>
      <c r="B873" s="3554"/>
      <c r="C873" s="3555"/>
      <c r="D873" s="3556"/>
      <c r="E873" s="3558"/>
      <c r="F873" s="3558"/>
      <c r="G873" s="3558"/>
      <c r="H873" s="3557"/>
      <c r="I873" s="3556"/>
      <c r="J873" s="3558"/>
      <c r="K873" s="3558"/>
      <c r="L873" s="3558"/>
      <c r="M873" s="3557"/>
      <c r="N873" s="3556"/>
      <c r="O873" s="3558"/>
      <c r="P873" s="3558"/>
      <c r="Q873" s="3558"/>
      <c r="R873" s="3557"/>
      <c r="S873" s="3559"/>
      <c r="T873" s="3558"/>
      <c r="U873" s="3558"/>
      <c r="V873" s="3558"/>
      <c r="W873" s="3557"/>
      <c r="X873" s="3556"/>
      <c r="Y873" s="3558"/>
      <c r="Z873" s="3558"/>
      <c r="AA873" s="3558"/>
      <c r="AB873" s="3557"/>
      <c r="AC873" s="3561"/>
      <c r="AD873" s="3561"/>
      <c r="AE873" s="3561"/>
      <c r="AF873" s="3561"/>
      <c r="AG873" s="3561"/>
      <c r="AH873" s="3562"/>
      <c r="AI873" s="3456"/>
    </row>
    <row r="874" ht="16.5" customHeight="1">
      <c r="A874" s="3457"/>
      <c r="B874" s="3563"/>
      <c r="C874" s="3555"/>
      <c r="D874" s="5140"/>
      <c r="E874" s="3565" t="s">
        <v>190</v>
      </c>
      <c r="F874" s="381"/>
      <c r="G874" s="382"/>
      <c r="H874" s="3566" t="s">
        <v>191</v>
      </c>
      <c r="I874" s="3567"/>
      <c r="J874" s="3565" t="s">
        <v>190</v>
      </c>
      <c r="K874" s="381"/>
      <c r="L874" s="382"/>
      <c r="M874" s="3566" t="s">
        <v>191</v>
      </c>
      <c r="N874" s="5140"/>
      <c r="O874" s="3565" t="s">
        <v>190</v>
      </c>
      <c r="P874" s="381"/>
      <c r="Q874" s="382"/>
      <c r="R874" s="3566" t="s">
        <v>191</v>
      </c>
      <c r="S874" s="5153"/>
      <c r="T874" s="3565" t="s">
        <v>190</v>
      </c>
      <c r="U874" s="381"/>
      <c r="V874" s="382"/>
      <c r="W874" s="3566" t="s">
        <v>191</v>
      </c>
      <c r="X874" s="5154"/>
      <c r="Y874" s="3565" t="s">
        <v>190</v>
      </c>
      <c r="Z874" s="381"/>
      <c r="AA874" s="382"/>
      <c r="AB874" s="3566" t="s">
        <v>191</v>
      </c>
      <c r="AC874" s="3569"/>
      <c r="AD874" s="3569"/>
      <c r="AE874" s="3569"/>
      <c r="AF874" s="3569"/>
      <c r="AG874" s="3569"/>
      <c r="AH874" s="3570"/>
      <c r="AI874" s="3466"/>
    </row>
    <row r="875" ht="16.5" customHeight="1">
      <c r="A875" s="3457"/>
      <c r="B875" s="3563"/>
      <c r="C875" s="3555"/>
      <c r="D875" s="3564"/>
      <c r="E875" s="3571" t="s">
        <v>192</v>
      </c>
      <c r="F875" s="3572">
        <f t="array" ref="F875">IFERROR(VLOOKUP(E862,Dex!$B$3:$N1022,8,FALSE),"")</f>
        <v>74</v>
      </c>
      <c r="G875" s="3573" t="str">
        <f t="array" ref="G875">IFERROR(VLOOKUP(F875,Dex!$P$22:$Q$276,2,FALSE),"")</f>
        <v/>
      </c>
      <c r="H875" s="3574"/>
      <c r="I875" s="3575"/>
      <c r="J875" s="3571" t="s">
        <v>192</v>
      </c>
      <c r="K875" s="3572">
        <f t="array" ref="K875">IFERROR(VLOOKUP(J862,Dex!$B$3:$N1022,8,FALSE),"")</f>
        <v>95</v>
      </c>
      <c r="L875" s="3573" t="str">
        <f t="array" ref="L875">IFERROR(VLOOKUP(K875,Dex!$P$22:$Q$276,2,FALSE),"")</f>
        <v/>
      </c>
      <c r="M875" s="3574"/>
      <c r="N875" s="3564"/>
      <c r="O875" s="3571" t="s">
        <v>192</v>
      </c>
      <c r="P875" s="3572">
        <f t="array" ref="P875">IFERROR(VLOOKUP(O862,Dex!$B$3:$N1022,8,FALSE),"")</f>
        <v>1</v>
      </c>
      <c r="Q875" s="3573" t="str">
        <f t="array" ref="Q875">IFERROR(VLOOKUP(P875,Dex!$P$22:$Q$276,2,FALSE),"")</f>
        <v/>
      </c>
      <c r="R875" s="3574"/>
      <c r="S875" s="3569"/>
      <c r="T875" s="3571" t="s">
        <v>192</v>
      </c>
      <c r="U875" s="3572">
        <f t="array" ref="U875">IFERROR(VLOOKUP(T862,Dex!$B$3:$N1022,8,FALSE),"")</f>
        <v>65</v>
      </c>
      <c r="V875" s="3573" t="str">
        <f t="array" ref="V875">IFERROR(VLOOKUP(U875,Dex!$P$22:$Q$276,2,FALSE),"")</f>
        <v/>
      </c>
      <c r="W875" s="3574"/>
      <c r="X875" s="3569"/>
      <c r="Y875" s="3571" t="s">
        <v>192</v>
      </c>
      <c r="Z875" s="3572">
        <f t="array" ref="Z875">IFERROR(VLOOKUP(Y862,Dex!$B$3:$N1022,8,FALSE),"")</f>
        <v>70</v>
      </c>
      <c r="AA875" s="3573" t="str">
        <f t="array" ref="AA875">IFERROR(VLOOKUP(Z875,Dex!$P$22:$Q$276,2,FALSE),"")</f>
        <v/>
      </c>
      <c r="AB875" s="3574"/>
      <c r="AC875" s="3569"/>
      <c r="AD875" s="3569"/>
      <c r="AE875" s="3569"/>
      <c r="AF875" s="3569"/>
      <c r="AG875" s="3569"/>
      <c r="AH875" s="3570"/>
      <c r="AI875" s="3466"/>
    </row>
    <row r="876" ht="16.5" customHeight="1">
      <c r="A876" s="3457"/>
      <c r="B876" s="3563"/>
      <c r="C876" s="3555"/>
      <c r="D876" s="3564"/>
      <c r="E876" s="3577" t="s">
        <v>193</v>
      </c>
      <c r="F876" s="3578">
        <f t="array" ref="F876">IFERROR(VLOOKUP(E862,Dex!$B$3:$N1022,9,FALSE),"")</f>
        <v>75</v>
      </c>
      <c r="G876" s="3579" t="str">
        <f t="array" ref="G876">IFERROR(VLOOKUP(F876,Dex!$P$22:$Q$276,2,FALSE),"")</f>
        <v/>
      </c>
      <c r="H876" s="3580">
        <v>252.0</v>
      </c>
      <c r="I876" s="3575"/>
      <c r="J876" s="3577" t="s">
        <v>193</v>
      </c>
      <c r="K876" s="3578">
        <f t="array" ref="K876">IFERROR(VLOOKUP(J862,Dex!$B$3:$N1022,9,FALSE),"")</f>
        <v>102</v>
      </c>
      <c r="L876" s="3579" t="str">
        <f t="array" ref="L876">IFERROR(VLOOKUP(K876,Dex!$P$22:$Q$276,2,FALSE),"")</f>
        <v/>
      </c>
      <c r="M876" s="3580">
        <v>252.0</v>
      </c>
      <c r="N876" s="3564"/>
      <c r="O876" s="3577" t="s">
        <v>193</v>
      </c>
      <c r="P876" s="3578">
        <f t="array" ref="P876">IFERROR(VLOOKUP(O862,Dex!$B$3:$N1022,9,FALSE),"")</f>
        <v>90</v>
      </c>
      <c r="Q876" s="3579" t="str">
        <f t="array" ref="Q876">IFERROR(VLOOKUP(P876,Dex!$P$22:$Q$276,2,FALSE),"")</f>
        <v/>
      </c>
      <c r="R876" s="3580">
        <v>252.0</v>
      </c>
      <c r="S876" s="3569"/>
      <c r="T876" s="3577" t="s">
        <v>193</v>
      </c>
      <c r="U876" s="3578">
        <f t="array" ref="U876">IFERROR(VLOOKUP(T862,Dex!$B$3:$N1022,9,FALSE),"")</f>
        <v>150</v>
      </c>
      <c r="V876" s="3579" t="str">
        <f t="array" ref="V876">IFERROR(VLOOKUP(U876,Dex!$P$22:$Q$276,2,FALSE),"")</f>
        <v/>
      </c>
      <c r="W876" s="3580">
        <v>252.0</v>
      </c>
      <c r="X876" s="3569"/>
      <c r="Y876" s="3577" t="s">
        <v>193</v>
      </c>
      <c r="Z876" s="3578">
        <f t="array" ref="Z876">IFERROR(VLOOKUP(Y862,Dex!$B$3:$N1022,9,FALSE),"")</f>
        <v>77</v>
      </c>
      <c r="AA876" s="3579" t="str">
        <f t="array" ref="AA876">IFERROR(VLOOKUP(Z876,Dex!$P$22:$Q$276,2,FALSE),"")</f>
        <v/>
      </c>
      <c r="AB876" s="3580"/>
      <c r="AC876" s="3569"/>
      <c r="AD876" s="3569"/>
      <c r="AE876" s="3569"/>
      <c r="AF876" s="3569"/>
      <c r="AG876" s="3569"/>
      <c r="AH876" s="3570"/>
      <c r="AI876" s="3466"/>
    </row>
    <row r="877" ht="16.5" customHeight="1">
      <c r="A877" s="3457"/>
      <c r="B877" s="3563"/>
      <c r="C877" s="3555"/>
      <c r="D877" s="3564"/>
      <c r="E877" s="3577" t="s">
        <v>194</v>
      </c>
      <c r="F877" s="3578">
        <f t="array" ref="F877">IFERROR(VLOOKUP(E862,Dex!$B$3:$N1022,10,FALSE),"")</f>
        <v>70</v>
      </c>
      <c r="G877" s="3579" t="str">
        <f t="array" ref="G877">IFERROR(VLOOKUP(F877,Dex!$P$22:$Q$276,2,FALSE),"")</f>
        <v/>
      </c>
      <c r="H877" s="3580">
        <v>4.0</v>
      </c>
      <c r="I877" s="3575"/>
      <c r="J877" s="3577" t="s">
        <v>194</v>
      </c>
      <c r="K877" s="3578">
        <f t="array" ref="K877">IFERROR(VLOOKUP(J862,Dex!$B$3:$N1022,10,FALSE),"")</f>
        <v>83</v>
      </c>
      <c r="L877" s="3579" t="str">
        <f t="array" ref="L877">IFERROR(VLOOKUP(K877,Dex!$P$22:$Q$276,2,FALSE),"")</f>
        <v/>
      </c>
      <c r="M877" s="3580">
        <v>4.0</v>
      </c>
      <c r="N877" s="3564"/>
      <c r="O877" s="3577" t="s">
        <v>194</v>
      </c>
      <c r="P877" s="3578">
        <f t="array" ref="P877">IFERROR(VLOOKUP(O862,Dex!$B$3:$N1022,10,FALSE),"")</f>
        <v>45</v>
      </c>
      <c r="Q877" s="3579" t="str">
        <f t="array" ref="Q877">IFERROR(VLOOKUP(P877,Dex!$P$22:$Q$276,2,FALSE),"")</f>
        <v/>
      </c>
      <c r="R877" s="3580">
        <v>4.0</v>
      </c>
      <c r="S877" s="3569"/>
      <c r="T877" s="3577" t="s">
        <v>194</v>
      </c>
      <c r="U877" s="3578">
        <f t="array" ref="U877">IFERROR(VLOOKUP(T862,Dex!$B$3:$N1022,10,FALSE),"")</f>
        <v>60</v>
      </c>
      <c r="V877" s="3579" t="str">
        <f t="array" ref="V877">IFERROR(VLOOKUP(U877,Dex!$P$22:$Q$276,2,FALSE),"")</f>
        <v/>
      </c>
      <c r="W877" s="3580">
        <v>4.0</v>
      </c>
      <c r="X877" s="3569"/>
      <c r="Y877" s="3577" t="s">
        <v>194</v>
      </c>
      <c r="Z877" s="3578">
        <f t="array" ref="Z877">IFERROR(VLOOKUP(Y862,Dex!$B$3:$N1022,10,FALSE),"")</f>
        <v>60</v>
      </c>
      <c r="AA877" s="3579" t="str">
        <f t="array" ref="AA877">IFERROR(VLOOKUP(Z877,Dex!$P$22:$Q$276,2,FALSE),"")</f>
        <v/>
      </c>
      <c r="AB877" s="3580">
        <v>4.0</v>
      </c>
      <c r="AC877" s="3569"/>
      <c r="AD877" s="3569"/>
      <c r="AE877" s="3569"/>
      <c r="AF877" s="3569"/>
      <c r="AG877" s="3569"/>
      <c r="AH877" s="3570"/>
      <c r="AI877" s="3466"/>
    </row>
    <row r="878" ht="16.5" customHeight="1">
      <c r="A878" s="3457"/>
      <c r="B878" s="3563"/>
      <c r="C878" s="3555"/>
      <c r="D878" s="3564"/>
      <c r="E878" s="3577" t="s">
        <v>195</v>
      </c>
      <c r="F878" s="3578">
        <f t="array" ref="F878">IFERROR(VLOOKUP(E862,Dex!$B$3:$N1022,11,FALSE),"")</f>
        <v>65</v>
      </c>
      <c r="G878" s="3579" t="str">
        <f t="array" ref="G878">IFERROR(VLOOKUP(F878,Dex!$P$22:$Q$276,2,FALSE),"")</f>
        <v/>
      </c>
      <c r="H878" s="3580"/>
      <c r="I878" s="3575"/>
      <c r="J878" s="3577" t="s">
        <v>195</v>
      </c>
      <c r="K878" s="3578">
        <f t="array" ref="K878">IFERROR(VLOOKUP(J862,Dex!$B$3:$N1022,11,FALSE),"")</f>
        <v>78</v>
      </c>
      <c r="L878" s="3579" t="str">
        <f t="array" ref="L878">IFERROR(VLOOKUP(K878,Dex!$P$22:$Q$276,2,FALSE),"")</f>
        <v/>
      </c>
      <c r="M878" s="3580"/>
      <c r="N878" s="3564"/>
      <c r="O878" s="3577" t="s">
        <v>195</v>
      </c>
      <c r="P878" s="3578">
        <f t="array" ref="P878">IFERROR(VLOOKUP(O862,Dex!$B$3:$N1022,11,FALSE),"")</f>
        <v>30</v>
      </c>
      <c r="Q878" s="3579" t="str">
        <f t="array" ref="Q878">IFERROR(VLOOKUP(P878,Dex!$P$22:$Q$276,2,FALSE),"")</f>
        <v/>
      </c>
      <c r="R878" s="3580"/>
      <c r="S878" s="3569"/>
      <c r="T878" s="3577" t="s">
        <v>195</v>
      </c>
      <c r="U878" s="3578">
        <f t="array" ref="U878">IFERROR(VLOOKUP(T862,Dex!$B$3:$N1022,11,FALSE),"")</f>
        <v>115</v>
      </c>
      <c r="V878" s="3579" t="str">
        <f t="array" ref="V878">IFERROR(VLOOKUP(U878,Dex!$P$22:$Q$276,2,FALSE),"")</f>
        <v/>
      </c>
      <c r="W878" s="3580"/>
      <c r="X878" s="3569"/>
      <c r="Y878" s="3577" t="s">
        <v>195</v>
      </c>
      <c r="Z878" s="3578">
        <f t="array" ref="Z878">IFERROR(VLOOKUP(Y862,Dex!$B$3:$N1022,11,FALSE),"")</f>
        <v>97</v>
      </c>
      <c r="AA878" s="3579" t="str">
        <f t="array" ref="AA878">IFERROR(VLOOKUP(Z878,Dex!$P$22:$Q$276,2,FALSE),"")</f>
        <v/>
      </c>
      <c r="AB878" s="3580">
        <v>252.0</v>
      </c>
      <c r="AC878" s="3569"/>
      <c r="AD878" s="3569"/>
      <c r="AE878" s="3569"/>
      <c r="AF878" s="3569"/>
      <c r="AG878" s="3569"/>
      <c r="AH878" s="3570"/>
      <c r="AI878" s="3466"/>
    </row>
    <row r="879" ht="16.5" customHeight="1">
      <c r="A879" s="3457"/>
      <c r="B879" s="3563"/>
      <c r="C879" s="3555"/>
      <c r="D879" s="3564"/>
      <c r="E879" s="3577" t="s">
        <v>196</v>
      </c>
      <c r="F879" s="3578">
        <f t="array" ref="F879">IFERROR(VLOOKUP(E862,Dex!$B$3:$N1022,12,FALSE),"")</f>
        <v>75</v>
      </c>
      <c r="G879" s="3579" t="str">
        <f t="array" ref="G879">IFERROR(VLOOKUP(F879,Dex!$P$22:$Q$276,2,FALSE),"")</f>
        <v/>
      </c>
      <c r="H879" s="3580"/>
      <c r="I879" s="3575"/>
      <c r="J879" s="3577" t="s">
        <v>196</v>
      </c>
      <c r="K879" s="3578">
        <f t="array" ref="K879">IFERROR(VLOOKUP(J862,Dex!$B$3:$N1022,12,FALSE),"")</f>
        <v>75</v>
      </c>
      <c r="L879" s="3579" t="str">
        <f t="array" ref="L879">IFERROR(VLOOKUP(K879,Dex!$P$22:$Q$276,2,FALSE),"")</f>
        <v/>
      </c>
      <c r="M879" s="3580"/>
      <c r="N879" s="3564"/>
      <c r="O879" s="3577" t="s">
        <v>196</v>
      </c>
      <c r="P879" s="3578">
        <f t="array" ref="P879">IFERROR(VLOOKUP(O862,Dex!$B$3:$N1022,12,FALSE),"")</f>
        <v>30</v>
      </c>
      <c r="Q879" s="3579" t="str">
        <f t="array" ref="Q879">IFERROR(VLOOKUP(P879,Dex!$P$22:$Q$276,2,FALSE),"")</f>
        <v/>
      </c>
      <c r="R879" s="3580"/>
      <c r="S879" s="3569"/>
      <c r="T879" s="3577" t="s">
        <v>196</v>
      </c>
      <c r="U879" s="3578">
        <f t="array" ref="U879">IFERROR(VLOOKUP(T862,Dex!$B$3:$N1022,12,FALSE),"")</f>
        <v>60</v>
      </c>
      <c r="V879" s="3579" t="str">
        <f t="array" ref="V879">IFERROR(VLOOKUP(U879,Dex!$P$22:$Q$276,2,FALSE),"")</f>
        <v/>
      </c>
      <c r="W879" s="3580"/>
      <c r="X879" s="3569"/>
      <c r="Y879" s="3577" t="s">
        <v>196</v>
      </c>
      <c r="Z879" s="3578">
        <f t="array" ref="Z879">IFERROR(VLOOKUP(Y862,Dex!$B$3:$N1022,12,FALSE),"")</f>
        <v>60</v>
      </c>
      <c r="AA879" s="3579" t="str">
        <f t="array" ref="AA879">IFERROR(VLOOKUP(Z879,Dex!$P$22:$Q$276,2,FALSE),"")</f>
        <v/>
      </c>
      <c r="AB879" s="3580"/>
      <c r="AC879" s="3569"/>
      <c r="AD879" s="3569"/>
      <c r="AE879" s="3569"/>
      <c r="AF879" s="3569"/>
      <c r="AG879" s="3569"/>
      <c r="AH879" s="3570"/>
      <c r="AI879" s="3466"/>
    </row>
    <row r="880" ht="16.5" customHeight="1">
      <c r="A880" s="3457"/>
      <c r="B880" s="3563"/>
      <c r="C880" s="1204" t="s">
        <v>436</v>
      </c>
      <c r="D880" s="3564"/>
      <c r="E880" s="3583" t="s">
        <v>197</v>
      </c>
      <c r="F880" s="3584">
        <f t="array" ref="F880">IFERROR(VLOOKUP(E862,Dex!$B$3:$N1022,13,FALSE),"")</f>
        <v>111</v>
      </c>
      <c r="G880" s="3585" t="str">
        <f t="array" ref="G880">IFERROR(VLOOKUP(F880,Dex!$P$22:$Q$276,2,FALSE),"")</f>
        <v/>
      </c>
      <c r="H880" s="3586">
        <v>252.0</v>
      </c>
      <c r="I880" s="3575"/>
      <c r="J880" s="3583" t="s">
        <v>197</v>
      </c>
      <c r="K880" s="3584">
        <f t="array" ref="K880">IFERROR(VLOOKUP(J862,Dex!$B$3:$N1022,13,FALSE),"")</f>
        <v>70</v>
      </c>
      <c r="L880" s="3585" t="str">
        <f t="array" ref="L880">IFERROR(VLOOKUP(K880,Dex!$P$22:$Q$276,2,FALSE),"")</f>
        <v/>
      </c>
      <c r="M880" s="3586">
        <v>252.0</v>
      </c>
      <c r="N880" s="3564"/>
      <c r="O880" s="3583" t="s">
        <v>197</v>
      </c>
      <c r="P880" s="3584">
        <f t="array" ref="P880">IFERROR(VLOOKUP(O862,Dex!$B$3:$N1022,13,FALSE),"")</f>
        <v>40</v>
      </c>
      <c r="Q880" s="3585" t="str">
        <f t="array" ref="Q880">IFERROR(VLOOKUP(P880,Dex!$P$22:$Q$276,2,FALSE),"")</f>
        <v/>
      </c>
      <c r="R880" s="3586">
        <v>252.0</v>
      </c>
      <c r="S880" s="3569"/>
      <c r="T880" s="3583" t="s">
        <v>197</v>
      </c>
      <c r="U880" s="3584">
        <f t="array" ref="U880">IFERROR(VLOOKUP(T862,Dex!$B$3:$N1022,13,FALSE),"")</f>
        <v>115</v>
      </c>
      <c r="V880" s="3585" t="str">
        <f t="array" ref="V880">IFERROR(VLOOKUP(U880,Dex!$P$22:$Q$276,2,FALSE),"")</f>
        <v/>
      </c>
      <c r="W880" s="3586">
        <v>252.0</v>
      </c>
      <c r="X880" s="3569"/>
      <c r="Y880" s="3583" t="s">
        <v>197</v>
      </c>
      <c r="Z880" s="3584">
        <f t="array" ref="Z880">IFERROR(VLOOKUP(Y862,Dex!$B$3:$N1022,13,FALSE),"")</f>
        <v>108</v>
      </c>
      <c r="AA880" s="3585" t="str">
        <f t="array" ref="AA880">IFERROR(VLOOKUP(Z880,Dex!$P$22:$Q$276,2,FALSE),"")</f>
        <v/>
      </c>
      <c r="AB880" s="3586">
        <v>252.0</v>
      </c>
      <c r="AC880" s="3569"/>
      <c r="AD880" s="3569"/>
      <c r="AE880" s="3569"/>
      <c r="AF880" s="3569"/>
      <c r="AG880" s="3569"/>
      <c r="AH880" s="3570"/>
      <c r="AI880" s="3466"/>
    </row>
    <row r="881" ht="16.5" customHeight="1">
      <c r="A881" s="3457"/>
      <c r="B881" s="3563"/>
      <c r="C881" s="1205" t="s">
        <v>1279</v>
      </c>
      <c r="D881" s="5140"/>
      <c r="E881" s="3587" t="s">
        <v>198</v>
      </c>
      <c r="F881" s="405"/>
      <c r="G881" s="406"/>
      <c r="H881" s="3588">
        <v>286.0</v>
      </c>
      <c r="I881" s="3567"/>
      <c r="J881" s="3587" t="s">
        <v>198</v>
      </c>
      <c r="K881" s="405"/>
      <c r="L881" s="406"/>
      <c r="M881" s="3588">
        <v>213.0</v>
      </c>
      <c r="N881" s="5140"/>
      <c r="O881" s="3587" t="s">
        <v>198</v>
      </c>
      <c r="P881" s="405"/>
      <c r="Q881" s="406"/>
      <c r="R881" s="3588">
        <v>145.0</v>
      </c>
      <c r="S881" s="5154"/>
      <c r="T881" s="3587" t="s">
        <v>198</v>
      </c>
      <c r="U881" s="405"/>
      <c r="V881" s="406"/>
      <c r="W881" s="3588">
        <v>293.0</v>
      </c>
      <c r="X881" s="5154"/>
      <c r="Y881" s="3587" t="s">
        <v>198</v>
      </c>
      <c r="Z881" s="405"/>
      <c r="AA881" s="406"/>
      <c r="AB881" s="3588">
        <v>281.0</v>
      </c>
      <c r="AC881" s="3569"/>
      <c r="AD881" s="3569"/>
      <c r="AE881" s="3569"/>
      <c r="AF881" s="3569"/>
      <c r="AG881" s="3569"/>
      <c r="AH881" s="3570"/>
      <c r="AI881" s="3466"/>
    </row>
    <row r="882" ht="15.0" customHeight="1">
      <c r="A882" s="3368"/>
      <c r="B882" s="3589"/>
      <c r="C882" s="3590"/>
      <c r="D882" s="3591"/>
      <c r="E882" s="3594"/>
      <c r="F882" s="3594"/>
      <c r="G882" s="3594"/>
      <c r="H882" s="3593"/>
      <c r="I882" s="3593"/>
      <c r="J882" s="3594"/>
      <c r="K882" s="3594"/>
      <c r="L882" s="3594"/>
      <c r="M882" s="3593"/>
      <c r="N882" s="3595"/>
      <c r="O882" s="5156"/>
      <c r="P882" s="5156"/>
      <c r="Q882" s="5157"/>
      <c r="R882" s="3597"/>
      <c r="S882" s="3597"/>
      <c r="T882" s="5156"/>
      <c r="U882" s="5156"/>
      <c r="V882" s="5157"/>
      <c r="W882" s="3597"/>
      <c r="X882" s="3595"/>
      <c r="Y882" s="5158"/>
      <c r="Z882" s="5158"/>
      <c r="AA882" s="5158"/>
      <c r="AB882" s="3598"/>
      <c r="AC882" s="3598"/>
      <c r="AD882" s="3598"/>
      <c r="AE882" s="3598"/>
      <c r="AF882" s="3598"/>
      <c r="AG882" s="3598"/>
      <c r="AH882" s="3599"/>
      <c r="AI882" s="3380"/>
    </row>
    <row r="883" ht="15.0" customHeight="1">
      <c r="A883" s="3361"/>
      <c r="B883" s="3491"/>
      <c r="C883" s="3492"/>
      <c r="D883" s="3493"/>
      <c r="E883" s="3494"/>
      <c r="F883" s="3494"/>
      <c r="G883" s="3494"/>
      <c r="H883" s="3494"/>
      <c r="I883" s="3493"/>
      <c r="J883" s="3494"/>
      <c r="K883" s="3494"/>
      <c r="L883" s="3494"/>
      <c r="M883" s="3494"/>
      <c r="N883" s="3493"/>
      <c r="O883" s="3494"/>
      <c r="P883" s="3494"/>
      <c r="Q883" s="3494"/>
      <c r="R883" s="3494"/>
      <c r="S883" s="3493"/>
      <c r="T883" s="3494"/>
      <c r="U883" s="3494"/>
      <c r="V883" s="3494"/>
      <c r="W883" s="3494"/>
      <c r="X883" s="3493"/>
      <c r="Y883" s="3494"/>
      <c r="Z883" s="3494"/>
      <c r="AA883" s="3494"/>
      <c r="AB883" s="3494"/>
      <c r="AC883" s="3493"/>
      <c r="AD883" s="3493"/>
      <c r="AE883" s="3493"/>
      <c r="AF883" s="3493"/>
      <c r="AG883" s="3493"/>
      <c r="AH883" s="3495"/>
      <c r="AI883" s="3367"/>
    </row>
    <row r="884" ht="96.75" customHeight="1">
      <c r="A884" s="3368"/>
      <c r="B884" s="3496"/>
      <c r="C884" s="3497" t="str">
        <f>IMAGE("https://i.ibb.co/TKBZjnF/Ace-Trainer-M.png")</f>
        <v/>
      </c>
      <c r="D884" s="3498"/>
      <c r="E884" s="3499" t="str">
        <f t="array" ref="E884">IFERROR(VLOOKUP(E885,Dex!$B$3:$G1022,3,FALSE),"")</f>
        <v/>
      </c>
      <c r="F884" s="381"/>
      <c r="G884" s="381"/>
      <c r="H884" s="2531"/>
      <c r="I884" s="3500"/>
      <c r="J884" s="3499" t="str">
        <f t="array" ref="J884">IFERROR(VLOOKUP(J885,Dex!$B$3:$G1022,3,FALSE),"")</f>
        <v/>
      </c>
      <c r="K884" s="381"/>
      <c r="L884" s="381"/>
      <c r="M884" s="2531"/>
      <c r="N884" s="5127"/>
      <c r="O884" s="3499" t="str">
        <f t="array" ref="O884">IFERROR(VLOOKUP(O885,Dex!$B$3:$G1022,3,FALSE),"")</f>
        <v/>
      </c>
      <c r="P884" s="381"/>
      <c r="Q884" s="381"/>
      <c r="R884" s="2531"/>
      <c r="S884" s="5128"/>
      <c r="T884" s="3499" t="str">
        <f t="array" ref="T884">IFERROR(VLOOKUP(T885,Dex!$B$3:$G1022,3,FALSE),"")</f>
        <v/>
      </c>
      <c r="U884" s="381"/>
      <c r="V884" s="381"/>
      <c r="W884" s="2531"/>
      <c r="X884" s="5127"/>
      <c r="Y884" s="3499" t="str">
        <f t="array" ref="Y884">IFERROR(VLOOKUP(Y885,Dex!$B$3:$G1022,3,FALSE),"")</f>
        <v/>
      </c>
      <c r="Z884" s="381"/>
      <c r="AA884" s="381"/>
      <c r="AB884" s="2531"/>
      <c r="AC884" s="5152"/>
      <c r="AD884" s="3502"/>
      <c r="AE884" s="3503"/>
      <c r="AF884" s="3503"/>
      <c r="AG884" s="3504"/>
      <c r="AH884" s="3507"/>
      <c r="AI884" s="3380"/>
    </row>
    <row r="885" ht="18.75" customHeight="1">
      <c r="A885" s="3381"/>
      <c r="B885" s="3508"/>
      <c r="C885" s="3509" t="s">
        <v>1280</v>
      </c>
      <c r="D885" s="3510"/>
      <c r="E885" s="5129" t="s">
        <v>1281</v>
      </c>
      <c r="F885" s="3512"/>
      <c r="G885" s="3512"/>
      <c r="H885" s="5130"/>
      <c r="J885" s="5129" t="s">
        <v>777</v>
      </c>
      <c r="K885" s="3512"/>
      <c r="L885" s="3512"/>
      <c r="M885" s="5130"/>
      <c r="O885" s="5129" t="s">
        <v>869</v>
      </c>
      <c r="P885" s="3512"/>
      <c r="Q885" s="3512"/>
      <c r="R885" s="5130"/>
      <c r="T885" s="5129" t="s">
        <v>1282</v>
      </c>
      <c r="U885" s="3512"/>
      <c r="V885" s="3512"/>
      <c r="W885" s="5130"/>
      <c r="Y885" s="5129" t="s">
        <v>291</v>
      </c>
      <c r="Z885" s="3512"/>
      <c r="AA885" s="3512"/>
      <c r="AB885" s="5130"/>
      <c r="AC885" s="3514"/>
      <c r="AD885" s="3515"/>
      <c r="AE885" s="3503"/>
      <c r="AF885" s="3503"/>
      <c r="AG885" s="3504"/>
      <c r="AH885" s="3517"/>
      <c r="AI885" s="3393"/>
    </row>
    <row r="886">
      <c r="A886" s="3394"/>
      <c r="B886" s="3518"/>
      <c r="C886" s="1481"/>
      <c r="D886" s="3519"/>
      <c r="E886" s="3520" t="s">
        <v>715</v>
      </c>
      <c r="F886" s="3521"/>
      <c r="G886" s="3521"/>
      <c r="H886" s="3522"/>
      <c r="J886" s="3520" t="s">
        <v>715</v>
      </c>
      <c r="K886" s="3521"/>
      <c r="L886" s="3521"/>
      <c r="M886" s="3522"/>
      <c r="O886" s="3520" t="s">
        <v>715</v>
      </c>
      <c r="P886" s="3521"/>
      <c r="Q886" s="3521"/>
      <c r="R886" s="3522"/>
      <c r="T886" s="3520" t="s">
        <v>715</v>
      </c>
      <c r="U886" s="3521"/>
      <c r="V886" s="3521"/>
      <c r="W886" s="3522"/>
      <c r="Y886" s="3520" t="s">
        <v>715</v>
      </c>
      <c r="Z886" s="3521"/>
      <c r="AA886" s="3521"/>
      <c r="AB886" s="3522"/>
      <c r="AC886" s="3514"/>
      <c r="AD886" s="3523"/>
      <c r="AE886" s="3503"/>
      <c r="AF886" s="3503"/>
      <c r="AG886" s="3504"/>
      <c r="AH886" s="3524"/>
      <c r="AI886" s="3402"/>
    </row>
    <row r="887" ht="25.5" customHeight="1">
      <c r="A887" s="3368"/>
      <c r="B887" s="3496"/>
      <c r="C887" s="1489"/>
      <c r="D887" s="3498"/>
      <c r="E887" s="5133"/>
      <c r="F887" s="5134" t="str">
        <f t="array" ref="F887">IFERROR(VLOOKUP(E885,Dex!$B$3:$H1022,5,FALSE),"")</f>
        <v/>
      </c>
      <c r="G887" s="5135" t="str">
        <f t="array" ref="G887">IFERROR(VLOOKUP(E885,Dex!$B$3:$H1022,7,FALSE),"")</f>
        <v/>
      </c>
      <c r="H887" s="5136"/>
      <c r="J887" s="5133"/>
      <c r="K887" s="5134" t="str">
        <f t="array" ref="K887">IFERROR(VLOOKUP(J885,Dex!$B$3:$H1022,5,FALSE),"")</f>
        <v/>
      </c>
      <c r="L887" s="5135" t="str">
        <f t="array" ref="L887">IFERROR(VLOOKUP(J885,Dex!$B$3:$H1022,7,FALSE),"")</f>
        <v/>
      </c>
      <c r="M887" s="5136"/>
      <c r="O887" s="5133"/>
      <c r="P887" s="5134" t="str">
        <f t="array" ref="P887">IFERROR(VLOOKUP(O885,Dex!$B$3:$H1022,5,FALSE),"")</f>
        <v/>
      </c>
      <c r="Q887" s="5135" t="str">
        <f t="array" ref="Q887">IFERROR(VLOOKUP(O885,Dex!$B$3:$H1022,7,FALSE),"")</f>
        <v/>
      </c>
      <c r="R887" s="5136"/>
      <c r="T887" s="5133"/>
      <c r="U887" s="5134" t="str">
        <f t="array" ref="U887">IFERROR(VLOOKUP(T885,Dex!$B$3:$H1022,5,FALSE),"")</f>
        <v/>
      </c>
      <c r="V887" s="5135" t="str">
        <f t="array" ref="V887">IFERROR(VLOOKUP(T885,Dex!$B$3:$H1022,7,FALSE),"")</f>
        <v/>
      </c>
      <c r="W887" s="5136"/>
      <c r="Y887" s="5133"/>
      <c r="Z887" s="5134" t="str">
        <f t="array" ref="Z887">IFERROR(VLOOKUP(Y885,Dex!$B$3:$H1022,5,FALSE),"")</f>
        <v/>
      </c>
      <c r="AA887" s="5135" t="str">
        <f t="array" ref="AA887">IFERROR(VLOOKUP(Y885,Dex!$B$3:$H1022,7,FALSE),"")</f>
        <v/>
      </c>
      <c r="AB887" s="5136"/>
      <c r="AC887" s="3514"/>
      <c r="AD887" s="3502"/>
      <c r="AE887" s="3503"/>
      <c r="AF887" s="3503"/>
      <c r="AG887" s="3504"/>
      <c r="AH887" s="3507"/>
      <c r="AI887" s="3380"/>
    </row>
    <row r="888" ht="2.25" customHeight="1">
      <c r="A888" s="3368"/>
      <c r="B888" s="3496"/>
      <c r="C888" s="3529"/>
      <c r="D888" s="3498"/>
      <c r="E888" s="5137"/>
      <c r="F888" s="5138"/>
      <c r="G888" s="5138"/>
      <c r="H888" s="5139"/>
      <c r="J888" s="5137"/>
      <c r="K888" s="5138"/>
      <c r="L888" s="5138"/>
      <c r="M888" s="5139"/>
      <c r="O888" s="5137"/>
      <c r="P888" s="5138"/>
      <c r="Q888" s="5138"/>
      <c r="R888" s="5139"/>
      <c r="T888" s="5137"/>
      <c r="U888" s="5138"/>
      <c r="V888" s="5138"/>
      <c r="W888" s="5139"/>
      <c r="Y888" s="5137"/>
      <c r="Z888" s="5138"/>
      <c r="AA888" s="5138"/>
      <c r="AB888" s="5139"/>
      <c r="AC888" s="3514"/>
      <c r="AD888" s="3533"/>
      <c r="AE888" s="3533"/>
      <c r="AF888" s="3533"/>
      <c r="AG888" s="3533"/>
      <c r="AH888" s="3507"/>
      <c r="AI888" s="3380"/>
    </row>
    <row r="889" ht="20.25" customHeight="1">
      <c r="A889" s="3368"/>
      <c r="B889" s="3496"/>
      <c r="C889" s="3529"/>
      <c r="D889" s="3498"/>
      <c r="E889" s="3534" t="s">
        <v>172</v>
      </c>
      <c r="F889" s="3535"/>
      <c r="G889" s="3535"/>
      <c r="H889" s="3536"/>
      <c r="J889" s="3534" t="s">
        <v>172</v>
      </c>
      <c r="K889" s="3535"/>
      <c r="L889" s="3535"/>
      <c r="M889" s="3536"/>
      <c r="O889" s="3534" t="s">
        <v>205</v>
      </c>
      <c r="P889" s="3535"/>
      <c r="Q889" s="3535"/>
      <c r="R889" s="3536"/>
      <c r="T889" s="3534" t="s">
        <v>172</v>
      </c>
      <c r="U889" s="3535"/>
      <c r="V889" s="3535"/>
      <c r="W889" s="3536"/>
      <c r="Y889" s="3534" t="s">
        <v>263</v>
      </c>
      <c r="Z889" s="3535"/>
      <c r="AA889" s="3535"/>
      <c r="AB889" s="3536"/>
      <c r="AC889" s="3514"/>
      <c r="AD889" s="3502"/>
      <c r="AE889" s="3503"/>
      <c r="AF889" s="3503"/>
      <c r="AG889" s="3504"/>
      <c r="AH889" s="3507"/>
      <c r="AI889" s="3380"/>
    </row>
    <row r="890">
      <c r="A890" s="3368"/>
      <c r="B890" s="3496"/>
      <c r="C890" s="3537"/>
      <c r="D890" s="3498"/>
      <c r="E890" s="3538" t="s">
        <v>980</v>
      </c>
      <c r="F890" s="3503"/>
      <c r="G890" s="3503"/>
      <c r="H890" s="3539"/>
      <c r="J890" s="3538" t="s">
        <v>233</v>
      </c>
      <c r="K890" s="3503"/>
      <c r="L890" s="3503"/>
      <c r="M890" s="3539"/>
      <c r="O890" s="3538" t="s">
        <v>331</v>
      </c>
      <c r="P890" s="3503"/>
      <c r="Q890" s="3503"/>
      <c r="R890" s="3539"/>
      <c r="T890" s="3538" t="s">
        <v>1283</v>
      </c>
      <c r="U890" s="3503"/>
      <c r="V890" s="3503"/>
      <c r="W890" s="3539"/>
      <c r="Y890" s="3538" t="s">
        <v>299</v>
      </c>
      <c r="Z890" s="3503"/>
      <c r="AA890" s="3503"/>
      <c r="AB890" s="3539"/>
      <c r="AC890" s="3514"/>
      <c r="AD890" s="3502"/>
      <c r="AE890" s="3503"/>
      <c r="AF890" s="3503"/>
      <c r="AG890" s="3504"/>
      <c r="AH890" s="3507"/>
      <c r="AI890" s="3380"/>
    </row>
    <row r="891" ht="20.25" customHeight="1">
      <c r="A891" s="3368"/>
      <c r="B891" s="3496"/>
      <c r="C891" s="3516"/>
      <c r="D891" s="3498"/>
      <c r="E891" s="3540" t="s">
        <v>213</v>
      </c>
      <c r="F891" s="3541"/>
      <c r="G891" s="3542"/>
      <c r="H891" s="3543" t="str">
        <f>IMAGE("https://raw.githubusercontent.com/msikma/pokesprite/master/items/berry/sitrus.png",3)</f>
        <v/>
      </c>
      <c r="J891" s="3540" t="s">
        <v>272</v>
      </c>
      <c r="K891" s="3541"/>
      <c r="L891" s="3542"/>
      <c r="M891" s="3543" t="str">
        <f>IMAGE("https://raw.githubusercontent.com/msikma/pokesprite/master/items/hold-item/life-orb.png",3)</f>
        <v/>
      </c>
      <c r="O891" s="3540" t="s">
        <v>213</v>
      </c>
      <c r="P891" s="3541"/>
      <c r="Q891" s="3542"/>
      <c r="R891" s="3543" t="str">
        <f>IMAGE("https://raw.githubusercontent.com/msikma/pokesprite/master/items/berry/sitrus.png",3)</f>
        <v/>
      </c>
      <c r="T891" s="3540" t="s">
        <v>1284</v>
      </c>
      <c r="U891" s="3541"/>
      <c r="V891" s="3542"/>
      <c r="W891" s="3543" t="str">
        <f>IMAGE("https://raw.githubusercontent.com/msikma/pokesprite/master/items/mega-stone/blastoisinite.png",3)</f>
        <v/>
      </c>
      <c r="Y891" s="3540" t="s">
        <v>394</v>
      </c>
      <c r="Z891" s="3541"/>
      <c r="AA891" s="3542"/>
      <c r="AB891" s="3543" t="str">
        <f>IMAGE("https://raw.githubusercontent.com/msikma/pokesprite/master/items/hold-item/leftovers.png",3)</f>
        <v/>
      </c>
      <c r="AC891" s="3514"/>
      <c r="AD891" s="3502"/>
      <c r="AE891" s="3503"/>
      <c r="AF891" s="3503"/>
      <c r="AG891" s="3504"/>
      <c r="AH891" s="3507"/>
      <c r="AI891" s="3380"/>
    </row>
    <row r="892" ht="20.25" customHeight="1">
      <c r="A892" s="3368"/>
      <c r="B892" s="3496"/>
      <c r="C892" s="3544"/>
      <c r="D892" s="3498"/>
      <c r="E892" s="3534" t="s">
        <v>898</v>
      </c>
      <c r="F892" s="3535"/>
      <c r="G892" s="3545"/>
      <c r="H892" s="3546" t="str">
        <f>IMAGE("https://raw.githubusercontent.com/msikma/pokesprite/master/misc/types/gen8/normal.png",4,20,20)</f>
        <v/>
      </c>
      <c r="J892" s="3534" t="s">
        <v>396</v>
      </c>
      <c r="K892" s="3535"/>
      <c r="L892" s="3545"/>
      <c r="M892" s="3546" t="str">
        <f>IMAGE("https://raw.githubusercontent.com/msikma/pokesprite/master/misc/types/gen8/dragon.png",4,20,20)</f>
        <v/>
      </c>
      <c r="O892" s="3534" t="s">
        <v>401</v>
      </c>
      <c r="P892" s="3535"/>
      <c r="Q892" s="3545"/>
      <c r="R892" s="3546" t="str">
        <f>IMAGE("https://raw.githubusercontent.com/msikma/pokesprite/master/misc/types/gen8/dark.png",4,20,20)</f>
        <v/>
      </c>
      <c r="T892" s="3534" t="s">
        <v>1285</v>
      </c>
      <c r="U892" s="3535"/>
      <c r="V892" s="3545"/>
      <c r="W892" s="3546" t="str">
        <f>IMAGE("https://raw.githubusercontent.com/msikma/pokesprite/master/misc/types/gen8/water.png",4,20,20)</f>
        <v/>
      </c>
      <c r="Y892" s="3534" t="s">
        <v>509</v>
      </c>
      <c r="Z892" s="3535"/>
      <c r="AA892" s="3545"/>
      <c r="AB892" s="3546" t="str">
        <f>IMAGE("https://raw.githubusercontent.com/msikma/pokesprite/master/misc/types/gen8/psychic.png",4,20,20)</f>
        <v/>
      </c>
      <c r="AC892" s="3514"/>
      <c r="AD892" s="3502"/>
      <c r="AE892" s="3503"/>
      <c r="AF892" s="3503"/>
      <c r="AG892" s="3504"/>
      <c r="AH892" s="3507"/>
      <c r="AI892" s="3380"/>
    </row>
    <row r="893" ht="20.25" customHeight="1">
      <c r="A893" s="3368"/>
      <c r="B893" s="3496"/>
      <c r="C893" s="3529"/>
      <c r="D893" s="3498"/>
      <c r="E893" s="3538" t="s">
        <v>279</v>
      </c>
      <c r="F893" s="3503"/>
      <c r="G893" s="3504"/>
      <c r="H893" s="3547" t="str">
        <f>IMAGE("https://raw.githubusercontent.com/msikma/pokesprite/master/misc/types/gen8/dark.png",4,20,20)</f>
        <v/>
      </c>
      <c r="J893" s="3538" t="s">
        <v>402</v>
      </c>
      <c r="K893" s="3503"/>
      <c r="L893" s="3504"/>
      <c r="M893" s="3547" t="str">
        <f>IMAGE("https://raw.githubusercontent.com/msikma/pokesprite/master/misc/types/gen8/ground.png",4,20,20)</f>
        <v/>
      </c>
      <c r="O893" s="3538" t="s">
        <v>461</v>
      </c>
      <c r="P893" s="3503"/>
      <c r="Q893" s="3504"/>
      <c r="R893" s="3547" t="str">
        <f>IMAGE("https://raw.githubusercontent.com/msikma/pokesprite/master/misc/types/gen8/flying.png",4,20,20)</f>
        <v/>
      </c>
      <c r="T893" s="3538" t="s">
        <v>316</v>
      </c>
      <c r="U893" s="3503"/>
      <c r="V893" s="3504"/>
      <c r="W893" s="3547" t="str">
        <f>IMAGE("https://raw.githubusercontent.com/msikma/pokesprite/master/misc/types/gen8/fighting.png",4,20,20)</f>
        <v/>
      </c>
      <c r="Y893" s="3538" t="s">
        <v>314</v>
      </c>
      <c r="Z893" s="3503"/>
      <c r="AA893" s="3504"/>
      <c r="AB893" s="3547" t="str">
        <f>IMAGE("https://raw.githubusercontent.com/msikma/pokesprite/master/misc/types/gen8/fairy.png",4,20,20)</f>
        <v/>
      </c>
      <c r="AC893" s="3514"/>
      <c r="AD893" s="3502"/>
      <c r="AE893" s="3503"/>
      <c r="AF893" s="3503"/>
      <c r="AG893" s="3504"/>
      <c r="AH893" s="3507"/>
      <c r="AI893" s="3380"/>
    </row>
    <row r="894" ht="20.25" customHeight="1">
      <c r="A894" s="3368"/>
      <c r="B894" s="3496"/>
      <c r="C894" s="3529"/>
      <c r="D894" s="3498"/>
      <c r="E894" s="3538" t="s">
        <v>557</v>
      </c>
      <c r="F894" s="3503"/>
      <c r="G894" s="3504"/>
      <c r="H894" s="3547" t="str">
        <f>IMAGE("https://raw.githubusercontent.com/msikma/pokesprite/master/misc/types/gen8/normal.png",4,20,20)</f>
        <v/>
      </c>
      <c r="J894" s="3538" t="s">
        <v>409</v>
      </c>
      <c r="K894" s="3503"/>
      <c r="L894" s="3504"/>
      <c r="M894" s="3547" t="str">
        <f>IMAGE("https://raw.githubusercontent.com/msikma/pokesprite/master/misc/types/gen8/dragon.png",4,20,20)</f>
        <v/>
      </c>
      <c r="O894" s="3538" t="s">
        <v>903</v>
      </c>
      <c r="P894" s="3503"/>
      <c r="Q894" s="3504"/>
      <c r="R894" s="3547" t="str">
        <f>IMAGE("https://raw.githubusercontent.com/msikma/pokesprite/master/misc/types/gen8/fire.png",4,20,20)</f>
        <v/>
      </c>
      <c r="T894" s="3538" t="s">
        <v>1286</v>
      </c>
      <c r="U894" s="3503"/>
      <c r="V894" s="3504"/>
      <c r="W894" s="3547" t="str">
        <f>IMAGE("https://raw.githubusercontent.com/msikma/pokesprite/master/misc/types/gen8/ice.png",4,20,20)</f>
        <v/>
      </c>
      <c r="Y894" s="3538" t="s">
        <v>217</v>
      </c>
      <c r="Z894" s="3503"/>
      <c r="AA894" s="3504"/>
      <c r="AB894" s="3547" t="str">
        <f>IMAGE("https://raw.githubusercontent.com/msikma/pokesprite/master/misc/types/gen8/psychic.png",4,20,20)</f>
        <v/>
      </c>
      <c r="AC894" s="3514"/>
      <c r="AD894" s="3502"/>
      <c r="AE894" s="3503"/>
      <c r="AF894" s="3503"/>
      <c r="AG894" s="3504"/>
      <c r="AH894" s="3507"/>
      <c r="AI894" s="3380"/>
    </row>
    <row r="895" ht="21.0" customHeight="1">
      <c r="A895" s="3368"/>
      <c r="B895" s="3496"/>
      <c r="C895" s="3529"/>
      <c r="D895" s="3498"/>
      <c r="E895" s="3548" t="s">
        <v>409</v>
      </c>
      <c r="F895" s="3549"/>
      <c r="G895" s="3550"/>
      <c r="H895" s="3551" t="str">
        <f>IMAGE("https://raw.githubusercontent.com/msikma/pokesprite/master/misc/types/gen8/dragon.png",4,20,20)</f>
        <v/>
      </c>
      <c r="I895" s="3552"/>
      <c r="J895" s="3548" t="s">
        <v>403</v>
      </c>
      <c r="K895" s="3549"/>
      <c r="L895" s="3550"/>
      <c r="M895" s="3551" t="str">
        <f>IMAGE("https://raw.githubusercontent.com/msikma/pokesprite/master/misc/types/gen8/fire.png",4,20,20)</f>
        <v/>
      </c>
      <c r="N895" s="3552"/>
      <c r="O895" s="3548" t="s">
        <v>275</v>
      </c>
      <c r="P895" s="3549"/>
      <c r="Q895" s="3550"/>
      <c r="R895" s="3551" t="str">
        <f>IMAGE("https://raw.githubusercontent.com/msikma/pokesprite/master/misc/types/gen8/grass.png",4,20,20)</f>
        <v/>
      </c>
      <c r="S895" s="3552"/>
      <c r="T895" s="3548" t="s">
        <v>489</v>
      </c>
      <c r="U895" s="3549"/>
      <c r="V895" s="3550"/>
      <c r="W895" s="3551" t="str">
        <f>IMAGE("https://raw.githubusercontent.com/msikma/pokesprite/master/misc/types/gen8/normal.png",4,20,20)</f>
        <v/>
      </c>
      <c r="X895" s="3552"/>
      <c r="Y895" s="3548" t="s">
        <v>315</v>
      </c>
      <c r="Z895" s="3549"/>
      <c r="AA895" s="3550"/>
      <c r="AB895" s="3551" t="str">
        <f>IMAGE("https://raw.githubusercontent.com/msikma/pokesprite/master/misc/types/gen8/fire.png",4,20,20)</f>
        <v/>
      </c>
      <c r="AC895" s="3553"/>
      <c r="AD895" s="3502"/>
      <c r="AE895" s="3503"/>
      <c r="AF895" s="3503"/>
      <c r="AG895" s="3504"/>
      <c r="AH895" s="3507"/>
      <c r="AI895" s="3380"/>
    </row>
    <row r="896" ht="3.0" customHeight="1">
      <c r="A896" s="3445"/>
      <c r="B896" s="3554"/>
      <c r="C896" s="3555"/>
      <c r="D896" s="3556"/>
      <c r="E896" s="3558"/>
      <c r="F896" s="3558"/>
      <c r="G896" s="3558"/>
      <c r="H896" s="3557"/>
      <c r="I896" s="3556"/>
      <c r="J896" s="3558"/>
      <c r="K896" s="3558"/>
      <c r="L896" s="3558"/>
      <c r="M896" s="3557"/>
      <c r="N896" s="3556"/>
      <c r="O896" s="3558"/>
      <c r="P896" s="3558"/>
      <c r="Q896" s="3558"/>
      <c r="R896" s="3557"/>
      <c r="S896" s="3559"/>
      <c r="T896" s="3558"/>
      <c r="U896" s="3558"/>
      <c r="V896" s="3558"/>
      <c r="W896" s="3557"/>
      <c r="X896" s="3556"/>
      <c r="Y896" s="3558"/>
      <c r="Z896" s="3558"/>
      <c r="AA896" s="3558"/>
      <c r="AB896" s="3557"/>
      <c r="AC896" s="3561"/>
      <c r="AD896" s="3561"/>
      <c r="AE896" s="3561"/>
      <c r="AF896" s="3561"/>
      <c r="AG896" s="3561"/>
      <c r="AH896" s="3562"/>
      <c r="AI896" s="3456"/>
    </row>
    <row r="897" ht="16.5" customHeight="1">
      <c r="A897" s="3457"/>
      <c r="B897" s="3563"/>
      <c r="C897" s="3555"/>
      <c r="D897" s="5140"/>
      <c r="E897" s="3565" t="s">
        <v>190</v>
      </c>
      <c r="F897" s="381"/>
      <c r="G897" s="382"/>
      <c r="H897" s="3566" t="s">
        <v>191</v>
      </c>
      <c r="I897" s="3567"/>
      <c r="J897" s="3565" t="s">
        <v>190</v>
      </c>
      <c r="K897" s="381"/>
      <c r="L897" s="382"/>
      <c r="M897" s="3566" t="s">
        <v>191</v>
      </c>
      <c r="N897" s="5140"/>
      <c r="O897" s="3565" t="s">
        <v>190</v>
      </c>
      <c r="P897" s="381"/>
      <c r="Q897" s="382"/>
      <c r="R897" s="3566" t="s">
        <v>191</v>
      </c>
      <c r="S897" s="5153"/>
      <c r="T897" s="3565" t="s">
        <v>190</v>
      </c>
      <c r="U897" s="381"/>
      <c r="V897" s="382"/>
      <c r="W897" s="3566" t="s">
        <v>191</v>
      </c>
      <c r="X897" s="5154"/>
      <c r="Y897" s="3565" t="s">
        <v>190</v>
      </c>
      <c r="Z897" s="381"/>
      <c r="AA897" s="382"/>
      <c r="AB897" s="3566" t="s">
        <v>191</v>
      </c>
      <c r="AC897" s="3569"/>
      <c r="AD897" s="3569"/>
      <c r="AE897" s="3569"/>
      <c r="AF897" s="3569"/>
      <c r="AG897" s="3569"/>
      <c r="AH897" s="3570"/>
      <c r="AI897" s="3466"/>
    </row>
    <row r="898" ht="16.5" customHeight="1">
      <c r="A898" s="3457"/>
      <c r="B898" s="3563"/>
      <c r="C898" s="3555"/>
      <c r="D898" s="3564"/>
      <c r="E898" s="3571" t="s">
        <v>192</v>
      </c>
      <c r="F898" s="3572">
        <f t="array" ref="F898">IFERROR(VLOOKUP(E885,Dex!$B$3:$N1022,8,FALSE),"")</f>
        <v>70</v>
      </c>
      <c r="G898" s="3573" t="str">
        <f t="array" ref="G898">IFERROR(VLOOKUP(F898,Dex!$P$22:$Q$276,2,FALSE),"")</f>
        <v/>
      </c>
      <c r="H898" s="3574">
        <v>252.0</v>
      </c>
      <c r="I898" s="3575"/>
      <c r="J898" s="3571" t="s">
        <v>192</v>
      </c>
      <c r="K898" s="3572">
        <f t="array" ref="K898">IFERROR(VLOOKUP(J885,Dex!$B$3:$N1022,8,FALSE),"")</f>
        <v>100</v>
      </c>
      <c r="L898" s="3573" t="str">
        <f t="array" ref="L898">IFERROR(VLOOKUP(K898,Dex!$P$22:$Q$276,2,FALSE),"")</f>
        <v/>
      </c>
      <c r="M898" s="3574"/>
      <c r="N898" s="3564"/>
      <c r="O898" s="3571" t="s">
        <v>192</v>
      </c>
      <c r="P898" s="3572">
        <f t="array" ref="P898">IFERROR(VLOOKUP(O885,Dex!$B$3:$N1022,8,FALSE),"")</f>
        <v>85</v>
      </c>
      <c r="Q898" s="3573" t="str">
        <f t="array" ref="Q898">IFERROR(VLOOKUP(P898,Dex!$P$22:$Q$276,2,FALSE),"")</f>
        <v/>
      </c>
      <c r="R898" s="3574"/>
      <c r="S898" s="3569"/>
      <c r="T898" s="3571" t="s">
        <v>192</v>
      </c>
      <c r="U898" s="3572">
        <f t="array" ref="U898">IFERROR(VLOOKUP(T885,Dex!$B$3:$N1022,8,FALSE),"")</f>
        <v>55</v>
      </c>
      <c r="V898" s="3573" t="str">
        <f t="array" ref="V898">IFERROR(VLOOKUP(U898,Dex!$P$22:$Q$276,2,FALSE),"")</f>
        <v/>
      </c>
      <c r="W898" s="3574"/>
      <c r="X898" s="3569"/>
      <c r="Y898" s="3571" t="s">
        <v>192</v>
      </c>
      <c r="Z898" s="3572">
        <f t="array" ref="Z898">IFERROR(VLOOKUP(Y885,Dex!$B$3:$N1022,8,FALSE),"")</f>
        <v>57</v>
      </c>
      <c r="AA898" s="3573" t="str">
        <f t="array" ref="AA898">IFERROR(VLOOKUP(Z898,Dex!$P$22:$Q$276,2,FALSE),"")</f>
        <v/>
      </c>
      <c r="AB898" s="3574">
        <v>252.0</v>
      </c>
      <c r="AC898" s="3569"/>
      <c r="AD898" s="3569"/>
      <c r="AE898" s="3569"/>
      <c r="AF898" s="3569"/>
      <c r="AG898" s="3569"/>
      <c r="AH898" s="3570"/>
      <c r="AI898" s="3466"/>
    </row>
    <row r="899" ht="16.5" customHeight="1">
      <c r="A899" s="3457"/>
      <c r="B899" s="3563"/>
      <c r="C899" s="3555"/>
      <c r="D899" s="3564"/>
      <c r="E899" s="3577" t="s">
        <v>193</v>
      </c>
      <c r="F899" s="3578">
        <f t="array" ref="F899">IFERROR(VLOOKUP(E885,Dex!$B$3:$N1022,9,FALSE),"")</f>
        <v>95</v>
      </c>
      <c r="G899" s="3579" t="str">
        <f t="array" ref="G899">IFERROR(VLOOKUP(F899,Dex!$P$22:$Q$276,2,FALSE),"")</f>
        <v/>
      </c>
      <c r="H899" s="3580"/>
      <c r="I899" s="3575"/>
      <c r="J899" s="3577" t="s">
        <v>193</v>
      </c>
      <c r="K899" s="3578">
        <f t="array" ref="K899">IFERROR(VLOOKUP(J885,Dex!$B$3:$N1022,9,FALSE),"")</f>
        <v>100</v>
      </c>
      <c r="L899" s="3579" t="str">
        <f t="array" ref="L899">IFERROR(VLOOKUP(K899,Dex!$P$22:$Q$276,2,FALSE),"")</f>
        <v/>
      </c>
      <c r="M899" s="3580">
        <v>252.0</v>
      </c>
      <c r="N899" s="3564"/>
      <c r="O899" s="3577" t="s">
        <v>193</v>
      </c>
      <c r="P899" s="3578">
        <f t="array" ref="P899">IFERROR(VLOOKUP(O885,Dex!$B$3:$N1022,9,FALSE),"")</f>
        <v>90</v>
      </c>
      <c r="Q899" s="3579" t="str">
        <f t="array" ref="Q899">IFERROR(VLOOKUP(P899,Dex!$P$22:$Q$276,2,FALSE),"")</f>
        <v/>
      </c>
      <c r="R899" s="3580"/>
      <c r="S899" s="3569"/>
      <c r="T899" s="3577" t="s">
        <v>193</v>
      </c>
      <c r="U899" s="3578">
        <f t="array" ref="U899">IFERROR(VLOOKUP(T885,Dex!$B$3:$N1022,9,FALSE),"")</f>
        <v>150</v>
      </c>
      <c r="V899" s="3579" t="str">
        <f t="array" ref="V899">IFERROR(VLOOKUP(U899,Dex!$P$22:$Q$276,2,FALSE),"")</f>
        <v/>
      </c>
      <c r="W899" s="3580">
        <v>252.0</v>
      </c>
      <c r="X899" s="3569"/>
      <c r="Y899" s="3577" t="s">
        <v>193</v>
      </c>
      <c r="Z899" s="3578">
        <f t="array" ref="Z899">IFERROR(VLOOKUP(Y885,Dex!$B$3:$N1022,9,FALSE),"")</f>
        <v>90</v>
      </c>
      <c r="AA899" s="3579" t="str">
        <f t="array" ref="AA899">IFERROR(VLOOKUP(Z899,Dex!$P$22:$Q$276,2,FALSE),"")</f>
        <v/>
      </c>
      <c r="AB899" s="3580"/>
      <c r="AC899" s="3569"/>
      <c r="AD899" s="3569"/>
      <c r="AE899" s="3569"/>
      <c r="AF899" s="3569"/>
      <c r="AG899" s="3569"/>
      <c r="AH899" s="3570"/>
      <c r="AI899" s="3466"/>
    </row>
    <row r="900" ht="16.5" customHeight="1">
      <c r="A900" s="3457"/>
      <c r="B900" s="3563"/>
      <c r="C900" s="3555"/>
      <c r="D900" s="3564"/>
      <c r="E900" s="3577" t="s">
        <v>194</v>
      </c>
      <c r="F900" s="3578">
        <f t="array" ref="F900">IFERROR(VLOOKUP(E885,Dex!$B$3:$N1022,10,FALSE),"")</f>
        <v>65</v>
      </c>
      <c r="G900" s="3579" t="str">
        <f t="array" ref="G900">IFERROR(VLOOKUP(F900,Dex!$P$22:$Q$276,2,FALSE),"")</f>
        <v/>
      </c>
      <c r="H900" s="3580">
        <v>4.0</v>
      </c>
      <c r="I900" s="3575"/>
      <c r="J900" s="3577" t="s">
        <v>194</v>
      </c>
      <c r="K900" s="3578">
        <f t="array" ref="K900">IFERROR(VLOOKUP(J885,Dex!$B$3:$N1022,10,FALSE),"")</f>
        <v>80</v>
      </c>
      <c r="L900" s="3579" t="str">
        <f t="array" ref="L900">IFERROR(VLOOKUP(K900,Dex!$P$22:$Q$276,2,FALSE),"")</f>
        <v/>
      </c>
      <c r="M900" s="3580">
        <v>4.0</v>
      </c>
      <c r="N900" s="3564"/>
      <c r="O900" s="3577" t="s">
        <v>194</v>
      </c>
      <c r="P900" s="3578">
        <f t="array" ref="P900">IFERROR(VLOOKUP(O885,Dex!$B$3:$N1022,10,FALSE),"")</f>
        <v>80</v>
      </c>
      <c r="Q900" s="3579" t="str">
        <f t="array" ref="Q900">IFERROR(VLOOKUP(P900,Dex!$P$22:$Q$276,2,FALSE),"")</f>
        <v/>
      </c>
      <c r="R900" s="3580">
        <v>4.0</v>
      </c>
      <c r="S900" s="3569"/>
      <c r="T900" s="3577" t="s">
        <v>194</v>
      </c>
      <c r="U900" s="3578">
        <f t="array" ref="U900">IFERROR(VLOOKUP(T885,Dex!$B$3:$N1022,10,FALSE),"")</f>
        <v>125</v>
      </c>
      <c r="V900" s="3579" t="str">
        <f t="array" ref="V900">IFERROR(VLOOKUP(U900,Dex!$P$22:$Q$276,2,FALSE),"")</f>
        <v/>
      </c>
      <c r="W900" s="3580">
        <v>4.0</v>
      </c>
      <c r="X900" s="3569"/>
      <c r="Y900" s="3577" t="s">
        <v>194</v>
      </c>
      <c r="Z900" s="3578">
        <f t="array" ref="Z900">IFERROR(VLOOKUP(Y885,Dex!$B$3:$N1022,10,FALSE),"")</f>
        <v>95</v>
      </c>
      <c r="AA900" s="3579" t="str">
        <f t="array" ref="AA900">IFERROR(VLOOKUP(Z900,Dex!$P$22:$Q$276,2,FALSE),"")</f>
        <v/>
      </c>
      <c r="AB900" s="3580">
        <v>4.0</v>
      </c>
      <c r="AC900" s="3569"/>
      <c r="AD900" s="3569"/>
      <c r="AE900" s="3569"/>
      <c r="AF900" s="3569"/>
      <c r="AG900" s="3569"/>
      <c r="AH900" s="3570"/>
      <c r="AI900" s="3466"/>
    </row>
    <row r="901" ht="16.5" customHeight="1">
      <c r="A901" s="3457"/>
      <c r="B901" s="3563"/>
      <c r="C901" s="3555"/>
      <c r="D901" s="3564"/>
      <c r="E901" s="3577" t="s">
        <v>195</v>
      </c>
      <c r="F901" s="3578">
        <f t="array" ref="F901">IFERROR(VLOOKUP(E885,Dex!$B$3:$N1022,11,FALSE),"")</f>
        <v>85</v>
      </c>
      <c r="G901" s="3579" t="str">
        <f t="array" ref="G901">IFERROR(VLOOKUP(F901,Dex!$P$22:$Q$276,2,FALSE),"")</f>
        <v/>
      </c>
      <c r="H901" s="3580"/>
      <c r="I901" s="3575"/>
      <c r="J901" s="3577" t="s">
        <v>195</v>
      </c>
      <c r="K901" s="3578">
        <f t="array" ref="K901">IFERROR(VLOOKUP(J885,Dex!$B$3:$N1022,11,FALSE),"")</f>
        <v>100</v>
      </c>
      <c r="L901" s="3579" t="str">
        <f t="array" ref="L901">IFERROR(VLOOKUP(K901,Dex!$P$22:$Q$276,2,FALSE),"")</f>
        <v/>
      </c>
      <c r="M901" s="3580"/>
      <c r="N901" s="3564"/>
      <c r="O901" s="3577" t="s">
        <v>195</v>
      </c>
      <c r="P901" s="3578">
        <f t="array" ref="P901">IFERROR(VLOOKUP(O885,Dex!$B$3:$N1022,11,FALSE),"")</f>
        <v>90</v>
      </c>
      <c r="Q901" s="3579" t="str">
        <f t="array" ref="Q901">IFERROR(VLOOKUP(P901,Dex!$P$22:$Q$276,2,FALSE),"")</f>
        <v/>
      </c>
      <c r="R901" s="3580">
        <v>252.0</v>
      </c>
      <c r="S901" s="3569"/>
      <c r="T901" s="3577" t="s">
        <v>195</v>
      </c>
      <c r="U901" s="3578">
        <f t="array" ref="U901">IFERROR(VLOOKUP(T885,Dex!$B$3:$N1022,11,FALSE),"")</f>
        <v>50</v>
      </c>
      <c r="V901" s="3579" t="str">
        <f t="array" ref="V901">IFERROR(VLOOKUP(U901,Dex!$P$22:$Q$276,2,FALSE),"")</f>
        <v/>
      </c>
      <c r="W901" s="3580"/>
      <c r="X901" s="3569"/>
      <c r="Y901" s="3577" t="s">
        <v>195</v>
      </c>
      <c r="Z901" s="3578">
        <f t="array" ref="Z901">IFERROR(VLOOKUP(Y885,Dex!$B$3:$N1022,11,FALSE),"")</f>
        <v>136</v>
      </c>
      <c r="AA901" s="3579" t="str">
        <f t="array" ref="AA901">IFERROR(VLOOKUP(Z901,Dex!$P$22:$Q$276,2,FALSE),"")</f>
        <v/>
      </c>
      <c r="AB901" s="3580"/>
      <c r="AC901" s="3569"/>
      <c r="AD901" s="3569"/>
      <c r="AE901" s="3569"/>
      <c r="AF901" s="3569"/>
      <c r="AG901" s="3569"/>
      <c r="AH901" s="3570"/>
      <c r="AI901" s="3466"/>
    </row>
    <row r="902" ht="16.5" customHeight="1">
      <c r="A902" s="3457"/>
      <c r="B902" s="3563"/>
      <c r="C902" s="3555"/>
      <c r="D902" s="3564"/>
      <c r="E902" s="3577" t="s">
        <v>196</v>
      </c>
      <c r="F902" s="3578">
        <f t="array" ref="F902">IFERROR(VLOOKUP(E885,Dex!$B$3:$N1022,12,FALSE),"")</f>
        <v>65</v>
      </c>
      <c r="G902" s="3579" t="str">
        <f t="array" ref="G902">IFERROR(VLOOKUP(F902,Dex!$P$22:$Q$276,2,FALSE),"")</f>
        <v/>
      </c>
      <c r="H902" s="3580"/>
      <c r="I902" s="3575"/>
      <c r="J902" s="3577" t="s">
        <v>196</v>
      </c>
      <c r="K902" s="3578">
        <f t="array" ref="K902">IFERROR(VLOOKUP(J885,Dex!$B$3:$N1022,12,FALSE),"")</f>
        <v>80</v>
      </c>
      <c r="L902" s="3579" t="str">
        <f t="array" ref="L902">IFERROR(VLOOKUP(K902,Dex!$P$22:$Q$276,2,FALSE),"")</f>
        <v/>
      </c>
      <c r="M902" s="3580"/>
      <c r="N902" s="3564"/>
      <c r="O902" s="3577" t="s">
        <v>196</v>
      </c>
      <c r="P902" s="3578">
        <f t="array" ref="P902">IFERROR(VLOOKUP(O885,Dex!$B$3:$N1022,12,FALSE),"")</f>
        <v>80</v>
      </c>
      <c r="Q902" s="3579" t="str">
        <f t="array" ref="Q902">IFERROR(VLOOKUP(P902,Dex!$P$22:$Q$276,2,FALSE),"")</f>
        <v/>
      </c>
      <c r="R902" s="3580"/>
      <c r="S902" s="3569"/>
      <c r="T902" s="3577" t="s">
        <v>196</v>
      </c>
      <c r="U902" s="3578">
        <f t="array" ref="U902">IFERROR(VLOOKUP(T885,Dex!$B$3:$N1022,12,FALSE),"")</f>
        <v>70</v>
      </c>
      <c r="V902" s="3579" t="str">
        <f t="array" ref="V902">IFERROR(VLOOKUP(U902,Dex!$P$22:$Q$276,2,FALSE),"")</f>
        <v/>
      </c>
      <c r="W902" s="3580"/>
      <c r="X902" s="3569"/>
      <c r="Y902" s="3577" t="s">
        <v>196</v>
      </c>
      <c r="Z902" s="3578">
        <f t="array" ref="Z902">IFERROR(VLOOKUP(Y885,Dex!$B$3:$N1022,12,FALSE),"")</f>
        <v>103</v>
      </c>
      <c r="AA902" s="3579" t="str">
        <f t="array" ref="AA902">IFERROR(VLOOKUP(Z902,Dex!$P$22:$Q$276,2,FALSE),"")</f>
        <v/>
      </c>
      <c r="AB902" s="3580"/>
      <c r="AC902" s="3569"/>
      <c r="AD902" s="3569"/>
      <c r="AE902" s="3569"/>
      <c r="AF902" s="3569"/>
      <c r="AG902" s="3569"/>
      <c r="AH902" s="3570"/>
      <c r="AI902" s="3466"/>
    </row>
    <row r="903" ht="16.5" customHeight="1">
      <c r="A903" s="3457"/>
      <c r="B903" s="3563"/>
      <c r="C903" s="1204" t="s">
        <v>436</v>
      </c>
      <c r="D903" s="3564"/>
      <c r="E903" s="3583" t="s">
        <v>197</v>
      </c>
      <c r="F903" s="3584">
        <f t="array" ref="F903">IFERROR(VLOOKUP(E885,Dex!$B$3:$N1022,13,FALSE),"")</f>
        <v>121</v>
      </c>
      <c r="G903" s="3585" t="str">
        <f t="array" ref="G903">IFERROR(VLOOKUP(F903,Dex!$P$22:$Q$276,2,FALSE),"")</f>
        <v/>
      </c>
      <c r="H903" s="3586">
        <v>252.0</v>
      </c>
      <c r="I903" s="3575"/>
      <c r="J903" s="3583" t="s">
        <v>197</v>
      </c>
      <c r="K903" s="3584">
        <f t="array" ref="K903">IFERROR(VLOOKUP(J885,Dex!$B$3:$N1022,13,FALSE),"")</f>
        <v>100</v>
      </c>
      <c r="L903" s="3585" t="str">
        <f t="array" ref="L903">IFERROR(VLOOKUP(K903,Dex!$P$22:$Q$276,2,FALSE),"")</f>
        <v/>
      </c>
      <c r="M903" s="3586">
        <v>252.0</v>
      </c>
      <c r="N903" s="3564"/>
      <c r="O903" s="3583" t="s">
        <v>197</v>
      </c>
      <c r="P903" s="3584">
        <f t="array" ref="P903">IFERROR(VLOOKUP(O885,Dex!$B$3:$N1022,13,FALSE),"")</f>
        <v>130</v>
      </c>
      <c r="Q903" s="3585" t="str">
        <f t="array" ref="Q903">IFERROR(VLOOKUP(P903,Dex!$P$22:$Q$276,2,FALSE),"")</f>
        <v/>
      </c>
      <c r="R903" s="3586">
        <v>252.0</v>
      </c>
      <c r="S903" s="3569"/>
      <c r="T903" s="3583" t="s">
        <v>197</v>
      </c>
      <c r="U903" s="3584">
        <f t="array" ref="U903">IFERROR(VLOOKUP(T885,Dex!$B$3:$N1022,13,FALSE),"")</f>
        <v>110</v>
      </c>
      <c r="V903" s="3585" t="str">
        <f t="array" ref="V903">IFERROR(VLOOKUP(U903,Dex!$P$22:$Q$276,2,FALSE),"")</f>
        <v/>
      </c>
      <c r="W903" s="3586">
        <v>252.0</v>
      </c>
      <c r="X903" s="3569"/>
      <c r="Y903" s="3583" t="s">
        <v>197</v>
      </c>
      <c r="Z903" s="3584">
        <f t="array" ref="Z903">IFERROR(VLOOKUP(Y885,Dex!$B$3:$N1022,13,FALSE),"")</f>
        <v>29</v>
      </c>
      <c r="AA903" s="3585" t="str">
        <f t="array" ref="AA903">IFERROR(VLOOKUP(Z903,Dex!$P$22:$Q$276,2,FALSE),"")</f>
        <v/>
      </c>
      <c r="AB903" s="3586">
        <v>252.0</v>
      </c>
      <c r="AC903" s="3569"/>
      <c r="AD903" s="3569"/>
      <c r="AE903" s="3569"/>
      <c r="AF903" s="3569"/>
      <c r="AG903" s="3569"/>
      <c r="AH903" s="3570"/>
      <c r="AI903" s="3466"/>
    </row>
    <row r="904" ht="16.5" customHeight="1">
      <c r="A904" s="3457"/>
      <c r="B904" s="3563"/>
      <c r="C904" s="1205" t="s">
        <v>1279</v>
      </c>
      <c r="D904" s="5140"/>
      <c r="E904" s="3587" t="s">
        <v>198</v>
      </c>
      <c r="F904" s="405"/>
      <c r="G904" s="406"/>
      <c r="H904" s="3588">
        <v>304.0</v>
      </c>
      <c r="I904" s="3567"/>
      <c r="J904" s="3587" t="s">
        <v>198</v>
      </c>
      <c r="K904" s="405"/>
      <c r="L904" s="406"/>
      <c r="M904" s="3588">
        <v>267.0</v>
      </c>
      <c r="N904" s="5140"/>
      <c r="O904" s="3587" t="s">
        <v>198</v>
      </c>
      <c r="P904" s="405"/>
      <c r="Q904" s="406"/>
      <c r="R904" s="3588">
        <v>320.0</v>
      </c>
      <c r="S904" s="5154"/>
      <c r="T904" s="3587" t="s">
        <v>198</v>
      </c>
      <c r="U904" s="405"/>
      <c r="V904" s="406"/>
      <c r="W904" s="3588">
        <v>284.0</v>
      </c>
      <c r="X904" s="5154"/>
      <c r="Y904" s="3587" t="s">
        <v>198</v>
      </c>
      <c r="Z904" s="405"/>
      <c r="AA904" s="406"/>
      <c r="AB904" s="3588">
        <v>77.0</v>
      </c>
      <c r="AC904" s="3569"/>
      <c r="AD904" s="3569"/>
      <c r="AE904" s="3569"/>
      <c r="AF904" s="3569"/>
      <c r="AG904" s="3569"/>
      <c r="AH904" s="3570"/>
      <c r="AI904" s="3466"/>
    </row>
    <row r="905" ht="15.0" customHeight="1">
      <c r="A905" s="3368"/>
      <c r="B905" s="3589"/>
      <c r="C905" s="3590"/>
      <c r="D905" s="3591"/>
      <c r="E905" s="3594"/>
      <c r="F905" s="3594"/>
      <c r="G905" s="3594"/>
      <c r="H905" s="3593"/>
      <c r="I905" s="3593"/>
      <c r="J905" s="3594"/>
      <c r="K905" s="3594"/>
      <c r="L905" s="3594"/>
      <c r="M905" s="3593"/>
      <c r="N905" s="3595"/>
      <c r="O905" s="5156"/>
      <c r="P905" s="5156"/>
      <c r="Q905" s="5157"/>
      <c r="R905" s="3597"/>
      <c r="S905" s="3597"/>
      <c r="T905" s="5156"/>
      <c r="U905" s="5156"/>
      <c r="V905" s="5157"/>
      <c r="W905" s="3597"/>
      <c r="X905" s="3595"/>
      <c r="Y905" s="5158"/>
      <c r="Z905" s="5158"/>
      <c r="AA905" s="5158"/>
      <c r="AB905" s="3598"/>
      <c r="AC905" s="3598"/>
      <c r="AD905" s="3598"/>
      <c r="AE905" s="3598"/>
      <c r="AF905" s="3598"/>
      <c r="AG905" s="3598"/>
      <c r="AH905" s="3599"/>
      <c r="AI905" s="3380"/>
    </row>
    <row r="906" ht="15.0" customHeight="1">
      <c r="A906" s="3361"/>
      <c r="B906" s="3491"/>
      <c r="C906" s="3492"/>
      <c r="D906" s="3493"/>
      <c r="E906" s="3494"/>
      <c r="F906" s="3494"/>
      <c r="G906" s="3494"/>
      <c r="H906" s="3494"/>
      <c r="I906" s="3493"/>
      <c r="J906" s="3494"/>
      <c r="K906" s="3494"/>
      <c r="L906" s="3494"/>
      <c r="M906" s="3494"/>
      <c r="N906" s="3493"/>
      <c r="O906" s="3494"/>
      <c r="P906" s="3494"/>
      <c r="Q906" s="3494"/>
      <c r="R906" s="3494"/>
      <c r="S906" s="3493"/>
      <c r="T906" s="3494"/>
      <c r="U906" s="3494"/>
      <c r="V906" s="3494"/>
      <c r="W906" s="3494"/>
      <c r="X906" s="3493"/>
      <c r="Y906" s="3494"/>
      <c r="Z906" s="3494"/>
      <c r="AA906" s="3494"/>
      <c r="AB906" s="3494"/>
      <c r="AC906" s="3493"/>
      <c r="AD906" s="3493"/>
      <c r="AE906" s="3493"/>
      <c r="AF906" s="3493"/>
      <c r="AG906" s="3493"/>
      <c r="AH906" s="3495"/>
      <c r="AI906" s="3367"/>
    </row>
    <row r="907" ht="96.75" customHeight="1">
      <c r="A907" s="3368"/>
      <c r="B907" s="3496"/>
      <c r="C907" s="3497" t="str">
        <f>IMAGE("https://i.ibb.co/TKBZjnF/Ace-Trainer-M.png")</f>
        <v/>
      </c>
      <c r="D907" s="3498"/>
      <c r="E907" s="3499" t="str">
        <f t="array" ref="E907">IFERROR(VLOOKUP(E908,Dex!$B$3:$G1022,3,FALSE),"")</f>
        <v/>
      </c>
      <c r="F907" s="381"/>
      <c r="G907" s="381"/>
      <c r="H907" s="2531"/>
      <c r="I907" s="3500"/>
      <c r="J907" s="3499" t="str">
        <f t="array" ref="J907">IFERROR(VLOOKUP(J908,Dex!$B$3:$G1022,3,FALSE),"")</f>
        <v/>
      </c>
      <c r="K907" s="381"/>
      <c r="L907" s="381"/>
      <c r="M907" s="2531"/>
      <c r="N907" s="5127"/>
      <c r="O907" s="3499" t="str">
        <f t="array" ref="O907">IFERROR(VLOOKUP(O908,Dex!$B$3:$G1022,3,FALSE),"")</f>
        <v/>
      </c>
      <c r="P907" s="381"/>
      <c r="Q907" s="381"/>
      <c r="R907" s="2531"/>
      <c r="S907" s="5128"/>
      <c r="T907" s="3499" t="str">
        <f t="array" ref="T907">IFERROR(VLOOKUP(T908,Dex!$B$3:$G1022,3,FALSE),"")</f>
        <v/>
      </c>
      <c r="U907" s="381"/>
      <c r="V907" s="381"/>
      <c r="W907" s="2531"/>
      <c r="X907" s="5127"/>
      <c r="Y907" s="3499" t="str">
        <f t="array" ref="Y907">IFERROR(VLOOKUP(Y908,Dex!$B$3:$G1022,3,FALSE),"")</f>
        <v/>
      </c>
      <c r="Z907" s="381"/>
      <c r="AA907" s="381"/>
      <c r="AB907" s="2531"/>
      <c r="AC907" s="5152"/>
      <c r="AD907" s="3502"/>
      <c r="AE907" s="3503"/>
      <c r="AF907" s="3503"/>
      <c r="AG907" s="3504"/>
      <c r="AH907" s="3507"/>
      <c r="AI907" s="3380"/>
    </row>
    <row r="908" ht="18.75" customHeight="1">
      <c r="A908" s="3381"/>
      <c r="B908" s="3508"/>
      <c r="C908" s="3509" t="s">
        <v>1287</v>
      </c>
      <c r="D908" s="3510"/>
      <c r="E908" s="5129" t="s">
        <v>1288</v>
      </c>
      <c r="F908" s="3512"/>
      <c r="G908" s="3512"/>
      <c r="H908" s="5130"/>
      <c r="J908" s="5129" t="s">
        <v>1289</v>
      </c>
      <c r="K908" s="3512"/>
      <c r="L908" s="3512"/>
      <c r="M908" s="5130"/>
      <c r="O908" s="5129" t="s">
        <v>615</v>
      </c>
      <c r="P908" s="3512"/>
      <c r="Q908" s="3512"/>
      <c r="R908" s="5130"/>
      <c r="T908" s="5129" t="s">
        <v>1174</v>
      </c>
      <c r="U908" s="3512"/>
      <c r="V908" s="3512"/>
      <c r="W908" s="5130"/>
      <c r="Y908" s="5129" t="s">
        <v>1238</v>
      </c>
      <c r="Z908" s="3512"/>
      <c r="AA908" s="3512"/>
      <c r="AB908" s="5130"/>
      <c r="AC908" s="3514"/>
      <c r="AD908" s="3515"/>
      <c r="AE908" s="3503"/>
      <c r="AF908" s="3503"/>
      <c r="AG908" s="3504"/>
      <c r="AH908" s="3517"/>
      <c r="AI908" s="3393"/>
    </row>
    <row r="909">
      <c r="A909" s="3394"/>
      <c r="B909" s="3518"/>
      <c r="C909" s="1481"/>
      <c r="D909" s="3519"/>
      <c r="E909" s="5159">
        <v>83.0</v>
      </c>
      <c r="F909" s="3521"/>
      <c r="G909" s="3521"/>
      <c r="H909" s="3522"/>
      <c r="J909" s="5159">
        <v>84.0</v>
      </c>
      <c r="K909" s="3521"/>
      <c r="L909" s="3521"/>
      <c r="M909" s="3522"/>
      <c r="O909" s="5159">
        <v>84.0</v>
      </c>
      <c r="P909" s="3521"/>
      <c r="Q909" s="3521"/>
      <c r="R909" s="3522"/>
      <c r="T909" s="5159">
        <v>84.0</v>
      </c>
      <c r="U909" s="3521"/>
      <c r="V909" s="3521"/>
      <c r="W909" s="3522"/>
      <c r="Y909" s="5159">
        <v>84.0</v>
      </c>
      <c r="Z909" s="3521"/>
      <c r="AA909" s="3521"/>
      <c r="AB909" s="3522"/>
      <c r="AC909" s="3514"/>
      <c r="AD909" s="3523"/>
      <c r="AE909" s="3503"/>
      <c r="AF909" s="3503"/>
      <c r="AG909" s="3504"/>
      <c r="AH909" s="3524"/>
      <c r="AI909" s="3402"/>
    </row>
    <row r="910" ht="25.5" customHeight="1">
      <c r="A910" s="3368"/>
      <c r="B910" s="3496"/>
      <c r="C910" s="1489"/>
      <c r="D910" s="3498"/>
      <c r="E910" s="5133"/>
      <c r="F910" s="5134" t="str">
        <f t="array" ref="F910">IFERROR(VLOOKUP(E908,Dex!$B$3:$H1022,5,FALSE),"")</f>
        <v/>
      </c>
      <c r="G910" s="5135" t="str">
        <f t="array" ref="G910">IFERROR(VLOOKUP(E908,Dex!$B$3:$H1022,7,FALSE),"")</f>
        <v/>
      </c>
      <c r="H910" s="5136"/>
      <c r="J910" s="5133"/>
      <c r="K910" s="3526" t="str">
        <f t="array" ref="K910">IFERROR(VLOOKUP(J908,Dex!$B$3:$H1022,5,FALSE),"")</f>
        <v/>
      </c>
      <c r="L910" s="3527"/>
      <c r="M910" s="5136"/>
      <c r="O910" s="5133"/>
      <c r="P910" s="5134" t="str">
        <f t="array" ref="P910">IFERROR(VLOOKUP(O908,Dex!$B$3:$H1022,5,FALSE),"")</f>
        <v/>
      </c>
      <c r="Q910" s="5135" t="str">
        <f t="array" ref="Q910">IFERROR(VLOOKUP(O908,Dex!$B$3:$H1022,7,FALSE),"")</f>
        <v/>
      </c>
      <c r="R910" s="5136"/>
      <c r="T910" s="5133"/>
      <c r="U910" s="3526" t="str">
        <f t="array" ref="U910">IFERROR(VLOOKUP(T908,Dex!$B$3:$H1022,5,FALSE),"")</f>
        <v/>
      </c>
      <c r="V910" s="3527"/>
      <c r="W910" s="5136"/>
      <c r="Y910" s="5133"/>
      <c r="Z910" s="5134" t="str">
        <f t="array" ref="Z910">IFERROR(VLOOKUP(Y908,Dex!$B$3:$H1022,5,FALSE),"")</f>
        <v/>
      </c>
      <c r="AA910" s="5135" t="str">
        <f t="array" ref="AA910">IFERROR(VLOOKUP(Y908,Dex!$B$3:$H1022,7,FALSE),"")</f>
        <v/>
      </c>
      <c r="AB910" s="5136"/>
      <c r="AC910" s="3514"/>
      <c r="AD910" s="3502"/>
      <c r="AE910" s="3503"/>
      <c r="AF910" s="3503"/>
      <c r="AG910" s="3504"/>
      <c r="AH910" s="3507"/>
      <c r="AI910" s="3380"/>
    </row>
    <row r="911" ht="2.25" customHeight="1">
      <c r="A911" s="3368"/>
      <c r="B911" s="3496"/>
      <c r="C911" s="3529"/>
      <c r="D911" s="3498"/>
      <c r="E911" s="5137"/>
      <c r="F911" s="5138"/>
      <c r="G911" s="5138"/>
      <c r="H911" s="5139"/>
      <c r="J911" s="5137"/>
      <c r="K911" s="5138"/>
      <c r="L911" s="5138"/>
      <c r="M911" s="5139"/>
      <c r="O911" s="5137"/>
      <c r="P911" s="5138"/>
      <c r="Q911" s="5138"/>
      <c r="R911" s="5139"/>
      <c r="T911" s="5137"/>
      <c r="U911" s="5138"/>
      <c r="V911" s="5138"/>
      <c r="W911" s="5139"/>
      <c r="Y911" s="5137"/>
      <c r="Z911" s="5138"/>
      <c r="AA911" s="5138"/>
      <c r="AB911" s="5139"/>
      <c r="AC911" s="3514"/>
      <c r="AD911" s="3533"/>
      <c r="AE911" s="3533"/>
      <c r="AF911" s="3533"/>
      <c r="AG911" s="3533"/>
      <c r="AH911" s="3507"/>
      <c r="AI911" s="3380"/>
    </row>
    <row r="912" ht="20.25" customHeight="1">
      <c r="A912" s="3368"/>
      <c r="B912" s="3496"/>
      <c r="C912" s="3529"/>
      <c r="D912" s="3498"/>
      <c r="E912" s="3534" t="s">
        <v>263</v>
      </c>
      <c r="F912" s="3535"/>
      <c r="G912" s="3535"/>
      <c r="H912" s="3536"/>
      <c r="J912" s="3534" t="s">
        <v>169</v>
      </c>
      <c r="K912" s="3535"/>
      <c r="L912" s="3535"/>
      <c r="M912" s="3536"/>
      <c r="O912" s="3534" t="s">
        <v>172</v>
      </c>
      <c r="P912" s="3535"/>
      <c r="Q912" s="3535"/>
      <c r="R912" s="3536"/>
      <c r="T912" s="3534" t="s">
        <v>172</v>
      </c>
      <c r="U912" s="3535"/>
      <c r="V912" s="3535"/>
      <c r="W912" s="3536"/>
      <c r="Y912" s="3534" t="s">
        <v>172</v>
      </c>
      <c r="Z912" s="3535"/>
      <c r="AA912" s="3535"/>
      <c r="AB912" s="3536"/>
      <c r="AC912" s="3514"/>
      <c r="AD912" s="3502"/>
      <c r="AE912" s="3503"/>
      <c r="AF912" s="3503"/>
      <c r="AG912" s="3504"/>
      <c r="AH912" s="3507"/>
      <c r="AI912" s="3380"/>
    </row>
    <row r="913">
      <c r="A913" s="3368"/>
      <c r="B913" s="3496"/>
      <c r="C913" s="3537"/>
      <c r="D913" s="3498"/>
      <c r="E913" s="3538" t="s">
        <v>359</v>
      </c>
      <c r="F913" s="3503"/>
      <c r="G913" s="3503"/>
      <c r="H913" s="3539"/>
      <c r="J913" s="3538" t="s">
        <v>208</v>
      </c>
      <c r="K913" s="3503"/>
      <c r="L913" s="3503"/>
      <c r="M913" s="3539"/>
      <c r="O913" s="3538" t="s">
        <v>621</v>
      </c>
      <c r="P913" s="3503"/>
      <c r="Q913" s="3503"/>
      <c r="R913" s="3539"/>
      <c r="T913" s="3538" t="s">
        <v>980</v>
      </c>
      <c r="U913" s="3503"/>
      <c r="V913" s="3503"/>
      <c r="W913" s="3539"/>
      <c r="Y913" s="3538" t="s">
        <v>1290</v>
      </c>
      <c r="Z913" s="3503"/>
      <c r="AA913" s="3503"/>
      <c r="AB913" s="3539"/>
      <c r="AC913" s="3514"/>
      <c r="AD913" s="3502"/>
      <c r="AE913" s="3503"/>
      <c r="AF913" s="3503"/>
      <c r="AG913" s="3504"/>
      <c r="AH913" s="3507"/>
      <c r="AI913" s="3380"/>
    </row>
    <row r="914" ht="20.25" customHeight="1">
      <c r="A914" s="3368"/>
      <c r="B914" s="3496"/>
      <c r="C914" s="3516"/>
      <c r="D914" s="3498"/>
      <c r="E914" s="3540" t="s">
        <v>1058</v>
      </c>
      <c r="F914" s="3541"/>
      <c r="G914" s="3542"/>
      <c r="H914" s="3543" t="str">
        <f>IMAGE("https://raw.githubusercontent.com/msikma/pokesprite/master/items/hold-item/miracle-seed.png",3)</f>
        <v/>
      </c>
      <c r="J914" s="3540" t="s">
        <v>394</v>
      </c>
      <c r="K914" s="3541"/>
      <c r="L914" s="3542"/>
      <c r="M914" s="3543" t="str">
        <f>IMAGE("https://raw.githubusercontent.com/msikma/pokesprite/master/items/hold-item/leftovers.png",3)</f>
        <v/>
      </c>
      <c r="O914" s="3540" t="s">
        <v>626</v>
      </c>
      <c r="P914" s="3541"/>
      <c r="Q914" s="3542"/>
      <c r="R914" s="3543" t="str">
        <f>IMAGE("https://raw.githubusercontent.com/msikma/pokesprite/master/items/hold-item/white-herb.png",3)</f>
        <v/>
      </c>
      <c r="T914" s="3540" t="s">
        <v>272</v>
      </c>
      <c r="U914" s="3541"/>
      <c r="V914" s="3542"/>
      <c r="W914" s="3543" t="str">
        <f>IMAGE("https://raw.githubusercontent.com/msikma/pokesprite/master/items/hold-item/life-orb.png",3)</f>
        <v/>
      </c>
      <c r="Y914" s="3540" t="s">
        <v>1240</v>
      </c>
      <c r="Z914" s="3541"/>
      <c r="AA914" s="3542"/>
      <c r="AB914" s="3543" t="str">
        <f>IMAGE("https://raw.githubusercontent.com/msikma/pokesprite/master/items/mega-stone/pinsirite.png",3)</f>
        <v/>
      </c>
      <c r="AC914" s="3514"/>
      <c r="AD914" s="3502"/>
      <c r="AE914" s="3503"/>
      <c r="AF914" s="3503"/>
      <c r="AG914" s="3504"/>
      <c r="AH914" s="3507"/>
      <c r="AI914" s="3380"/>
    </row>
    <row r="915" ht="20.25" customHeight="1">
      <c r="A915" s="3368"/>
      <c r="B915" s="3496"/>
      <c r="C915" s="3544"/>
      <c r="D915" s="3498"/>
      <c r="E915" s="3534" t="s">
        <v>283</v>
      </c>
      <c r="F915" s="3535"/>
      <c r="G915" s="3545"/>
      <c r="H915" s="3546" t="str">
        <f t="shared" ref="H915:H916" si="25">IMAGE("https://raw.githubusercontent.com/msikma/pokesprite/master/misc/types/gen8/grass.png",4,20,20)</f>
        <v/>
      </c>
      <c r="J915" s="3534" t="s">
        <v>1090</v>
      </c>
      <c r="K915" s="3535"/>
      <c r="L915" s="3545"/>
      <c r="M915" s="3546" t="str">
        <f>IMAGE("https://raw.githubusercontent.com/msikma/pokesprite/master/misc/types/gen8/ground.png",4,20,20)</f>
        <v/>
      </c>
      <c r="O915" s="3534" t="s">
        <v>638</v>
      </c>
      <c r="P915" s="3535"/>
      <c r="Q915" s="3545"/>
      <c r="R915" s="3546" t="str">
        <f>IMAGE("https://raw.githubusercontent.com/msikma/pokesprite/master/misc/types/gen8/rock.png",4,20,20)</f>
        <v/>
      </c>
      <c r="T915" s="3534" t="s">
        <v>476</v>
      </c>
      <c r="U915" s="3535"/>
      <c r="V915" s="3545"/>
      <c r="W915" s="3546" t="str">
        <f>IMAGE("https://raw.githubusercontent.com/msikma/pokesprite/master/misc/types/gen8/normal.png",4,20,20)</f>
        <v/>
      </c>
      <c r="Y915" s="3534" t="s">
        <v>635</v>
      </c>
      <c r="Z915" s="3535"/>
      <c r="AA915" s="3545"/>
      <c r="AB915" s="3546" t="str">
        <f>IMAGE("https://raw.githubusercontent.com/msikma/pokesprite/master/misc/types/gen8/flying.png",4,20,20)</f>
        <v/>
      </c>
      <c r="AC915" s="3514"/>
      <c r="AD915" s="3502"/>
      <c r="AE915" s="3503"/>
      <c r="AF915" s="3503"/>
      <c r="AG915" s="3504"/>
      <c r="AH915" s="3507"/>
      <c r="AI915" s="3380"/>
    </row>
    <row r="916" ht="20.25" customHeight="1">
      <c r="A916" s="3368"/>
      <c r="B916" s="3496"/>
      <c r="C916" s="3529"/>
      <c r="D916" s="3498"/>
      <c r="E916" s="3538" t="s">
        <v>275</v>
      </c>
      <c r="F916" s="3503"/>
      <c r="G916" s="3504"/>
      <c r="H916" s="3547" t="str">
        <f t="shared" si="25"/>
        <v/>
      </c>
      <c r="J916" s="3538" t="s">
        <v>947</v>
      </c>
      <c r="K916" s="3503"/>
      <c r="L916" s="3504"/>
      <c r="M916" s="3547" t="str">
        <f>IMAGE("https://raw.githubusercontent.com/msikma/pokesprite/master/misc/types/gen8/ice.png",4,20,20)</f>
        <v/>
      </c>
      <c r="O916" s="3538" t="s">
        <v>632</v>
      </c>
      <c r="P916" s="3503"/>
      <c r="Q916" s="3504"/>
      <c r="R916" s="3547" t="str">
        <f>IMAGE("https://raw.githubusercontent.com/msikma/pokesprite/master/misc/types/gen8/ice.png",4,20,20)</f>
        <v/>
      </c>
      <c r="T916" s="3538" t="s">
        <v>316</v>
      </c>
      <c r="U916" s="3503"/>
      <c r="V916" s="3504"/>
      <c r="W916" s="3547" t="str">
        <f>IMAGE("https://raw.githubusercontent.com/msikma/pokesprite/master/misc/types/gen8/fighting.png",4,20,20)</f>
        <v/>
      </c>
      <c r="Y916" s="3538" t="s">
        <v>538</v>
      </c>
      <c r="Z916" s="3503"/>
      <c r="AA916" s="3504"/>
      <c r="AB916" s="3547" t="str">
        <f>IMAGE("https://raw.githubusercontent.com/msikma/pokesprite/master/misc/types/gen8/bug.png",4,20,20)</f>
        <v/>
      </c>
      <c r="AC916" s="3514"/>
      <c r="AD916" s="3502"/>
      <c r="AE916" s="3503"/>
      <c r="AF916" s="3503"/>
      <c r="AG916" s="3504"/>
      <c r="AH916" s="3507"/>
      <c r="AI916" s="3380"/>
    </row>
    <row r="917" ht="20.25" customHeight="1">
      <c r="A917" s="3368"/>
      <c r="B917" s="3496"/>
      <c r="C917" s="3529"/>
      <c r="D917" s="3498"/>
      <c r="E917" s="3538" t="s">
        <v>380</v>
      </c>
      <c r="F917" s="3503"/>
      <c r="G917" s="3504"/>
      <c r="H917" s="3547" t="str">
        <f>IMAGE("https://raw.githubusercontent.com/msikma/pokesprite/master/misc/types/gen8/dragon.png",4,20,20)</f>
        <v/>
      </c>
      <c r="J917" s="3538" t="s">
        <v>638</v>
      </c>
      <c r="K917" s="3503"/>
      <c r="L917" s="3504"/>
      <c r="M917" s="3547" t="str">
        <f>IMAGE("https://raw.githubusercontent.com/msikma/pokesprite/master/misc/types/gen8/rock.png",4,20,20)</f>
        <v/>
      </c>
      <c r="O917" s="3538" t="s">
        <v>346</v>
      </c>
      <c r="P917" s="3503"/>
      <c r="Q917" s="3504"/>
      <c r="R917" s="3547" t="str">
        <f>IMAGE("https://raw.githubusercontent.com/msikma/pokesprite/master/misc/types/gen8/water.png",4,20,20)</f>
        <v/>
      </c>
      <c r="T917" s="3538" t="s">
        <v>278</v>
      </c>
      <c r="U917" s="3503"/>
      <c r="V917" s="3504"/>
      <c r="W917" s="3547" t="str">
        <f>IMAGE("https://raw.githubusercontent.com/msikma/pokesprite/master/misc/types/gen8/bug.png",4,20,20)</f>
        <v/>
      </c>
      <c r="Y917" s="3538" t="s">
        <v>640</v>
      </c>
      <c r="Z917" s="3503"/>
      <c r="AA917" s="3504"/>
      <c r="AB917" s="3547" t="str">
        <f>IMAGE("https://raw.githubusercontent.com/msikma/pokesprite/master/misc/types/gen8/flying.png",4,20,20)</f>
        <v/>
      </c>
      <c r="AC917" s="3514"/>
      <c r="AD917" s="3502"/>
      <c r="AE917" s="3503"/>
      <c r="AF917" s="3503"/>
      <c r="AG917" s="3504"/>
      <c r="AH917" s="3507"/>
      <c r="AI917" s="3380"/>
    </row>
    <row r="918" ht="21.0" customHeight="1">
      <c r="A918" s="3368"/>
      <c r="B918" s="3496"/>
      <c r="C918" s="3529"/>
      <c r="D918" s="3498"/>
      <c r="E918" s="3548" t="s">
        <v>372</v>
      </c>
      <c r="F918" s="3549"/>
      <c r="G918" s="3550"/>
      <c r="H918" s="3551" t="str">
        <f>IMAGE("https://raw.githubusercontent.com/msikma/pokesprite/master/misc/types/gen8/fire.png",4,20,20)</f>
        <v/>
      </c>
      <c r="I918" s="3552"/>
      <c r="J918" s="3548" t="s">
        <v>279</v>
      </c>
      <c r="K918" s="3549"/>
      <c r="L918" s="3550"/>
      <c r="M918" s="3551" t="str">
        <f>IMAGE("https://raw.githubusercontent.com/msikma/pokesprite/master/misc/types/gen8/dark.png",4,20,20)</f>
        <v/>
      </c>
      <c r="N918" s="3552"/>
      <c r="O918" s="3548" t="s">
        <v>428</v>
      </c>
      <c r="P918" s="3549"/>
      <c r="Q918" s="3550"/>
      <c r="R918" s="3551" t="str">
        <f>IMAGE("https://raw.githubusercontent.com/msikma/pokesprite/master/misc/types/gen8/normal.png",4,20,20)</f>
        <v/>
      </c>
      <c r="S918" s="3552"/>
      <c r="T918" s="3548" t="s">
        <v>279</v>
      </c>
      <c r="U918" s="3549"/>
      <c r="V918" s="3550"/>
      <c r="W918" s="3551" t="str">
        <f>IMAGE("https://raw.githubusercontent.com/msikma/pokesprite/master/misc/types/gen8/dark.png",4,20,20)</f>
        <v/>
      </c>
      <c r="X918" s="3552"/>
      <c r="Y918" s="3548" t="s">
        <v>316</v>
      </c>
      <c r="Z918" s="3549"/>
      <c r="AA918" s="3550"/>
      <c r="AB918" s="3551" t="str">
        <f>IMAGE("https://raw.githubusercontent.com/msikma/pokesprite/master/misc/types/gen8/fighting.png",4,20,20)</f>
        <v/>
      </c>
      <c r="AC918" s="3553"/>
      <c r="AD918" s="3502"/>
      <c r="AE918" s="3503"/>
      <c r="AF918" s="3503"/>
      <c r="AG918" s="3504"/>
      <c r="AH918" s="3507"/>
      <c r="AI918" s="3380"/>
    </row>
    <row r="919" ht="3.0" customHeight="1">
      <c r="A919" s="3445"/>
      <c r="B919" s="3554"/>
      <c r="C919" s="3555"/>
      <c r="D919" s="3556"/>
      <c r="E919" s="3558"/>
      <c r="F919" s="3558"/>
      <c r="G919" s="3558"/>
      <c r="H919" s="3557"/>
      <c r="I919" s="3556"/>
      <c r="J919" s="3558"/>
      <c r="K919" s="3558"/>
      <c r="L919" s="3558"/>
      <c r="M919" s="3557"/>
      <c r="N919" s="3556"/>
      <c r="O919" s="3558"/>
      <c r="P919" s="3558"/>
      <c r="Q919" s="3558"/>
      <c r="R919" s="3557"/>
      <c r="S919" s="3559"/>
      <c r="T919" s="3558"/>
      <c r="U919" s="3558"/>
      <c r="V919" s="3558"/>
      <c r="W919" s="3557"/>
      <c r="X919" s="3556"/>
      <c r="Y919" s="3558"/>
      <c r="Z919" s="3558"/>
      <c r="AA919" s="3558"/>
      <c r="AB919" s="3557"/>
      <c r="AC919" s="3561"/>
      <c r="AD919" s="3561"/>
      <c r="AE919" s="3561"/>
      <c r="AF919" s="3561"/>
      <c r="AG919" s="3561"/>
      <c r="AH919" s="3562"/>
      <c r="AI919" s="3456"/>
    </row>
    <row r="920" ht="16.5" customHeight="1">
      <c r="A920" s="3457"/>
      <c r="B920" s="3563"/>
      <c r="C920" s="3555"/>
      <c r="D920" s="5140"/>
      <c r="E920" s="3565" t="s">
        <v>190</v>
      </c>
      <c r="F920" s="381"/>
      <c r="G920" s="382"/>
      <c r="H920" s="3566" t="s">
        <v>191</v>
      </c>
      <c r="I920" s="3567"/>
      <c r="J920" s="3565" t="s">
        <v>190</v>
      </c>
      <c r="K920" s="381"/>
      <c r="L920" s="382"/>
      <c r="M920" s="3566" t="s">
        <v>191</v>
      </c>
      <c r="N920" s="5140"/>
      <c r="O920" s="3565" t="s">
        <v>190</v>
      </c>
      <c r="P920" s="381"/>
      <c r="Q920" s="382"/>
      <c r="R920" s="3566" t="s">
        <v>191</v>
      </c>
      <c r="S920" s="5153"/>
      <c r="T920" s="3565" t="s">
        <v>190</v>
      </c>
      <c r="U920" s="381"/>
      <c r="V920" s="382"/>
      <c r="W920" s="3566" t="s">
        <v>191</v>
      </c>
      <c r="X920" s="5154"/>
      <c r="Y920" s="3565" t="s">
        <v>190</v>
      </c>
      <c r="Z920" s="381"/>
      <c r="AA920" s="382"/>
      <c r="AB920" s="3566" t="s">
        <v>191</v>
      </c>
      <c r="AC920" s="3569"/>
      <c r="AD920" s="3569"/>
      <c r="AE920" s="3569"/>
      <c r="AF920" s="3569"/>
      <c r="AG920" s="3569"/>
      <c r="AH920" s="3570"/>
      <c r="AI920" s="3466"/>
    </row>
    <row r="921" ht="16.5" customHeight="1">
      <c r="A921" s="3457"/>
      <c r="B921" s="3563"/>
      <c r="C921" s="3555"/>
      <c r="D921" s="3564"/>
      <c r="E921" s="3571" t="s">
        <v>192</v>
      </c>
      <c r="F921" s="3572">
        <f t="array" ref="F921">IFERROR(VLOOKUP(E908,Dex!$B$3:$N1022,8,FALSE),"")</f>
        <v>95</v>
      </c>
      <c r="G921" s="3573" t="str">
        <f t="array" ref="G921">IFERROR(VLOOKUP(F921,Dex!$P$22:$Q$276,2,FALSE),"")</f>
        <v/>
      </c>
      <c r="H921" s="3574">
        <v>252.0</v>
      </c>
      <c r="I921" s="3575"/>
      <c r="J921" s="3571" t="s">
        <v>192</v>
      </c>
      <c r="K921" s="3572">
        <f t="array" ref="K921">IFERROR(VLOOKUP(J908,Dex!$B$3:$N1022,8,FALSE),"")</f>
        <v>90</v>
      </c>
      <c r="L921" s="3573" t="str">
        <f t="array" ref="L921">IFERROR(VLOOKUP(K921,Dex!$P$22:$Q$276,2,FALSE),"")</f>
        <v/>
      </c>
      <c r="M921" s="3574">
        <v>252.0</v>
      </c>
      <c r="N921" s="3564"/>
      <c r="O921" s="3571" t="s">
        <v>192</v>
      </c>
      <c r="P921" s="3572">
        <f t="array" ref="P921">IFERROR(VLOOKUP(O908,Dex!$B$3:$N1022,8,FALSE),"")</f>
        <v>50</v>
      </c>
      <c r="Q921" s="3573" t="str">
        <f t="array" ref="Q921">IFERROR(VLOOKUP(P921,Dex!$P$22:$Q$276,2,FALSE),"")</f>
        <v/>
      </c>
      <c r="R921" s="3574">
        <v>6.0</v>
      </c>
      <c r="S921" s="3569"/>
      <c r="T921" s="3571" t="s">
        <v>192</v>
      </c>
      <c r="U921" s="3572">
        <f t="array" ref="U921">IFERROR(VLOOKUP(T908,Dex!$B$3:$N1022,8,FALSE),"")</f>
        <v>65</v>
      </c>
      <c r="V921" s="3573" t="str">
        <f t="array" ref="V921">IFERROR(VLOOKUP(U921,Dex!$P$22:$Q$276,2,FALSE),"")</f>
        <v/>
      </c>
      <c r="W921" s="3574">
        <v>6.0</v>
      </c>
      <c r="X921" s="3569"/>
      <c r="Y921" s="3571" t="s">
        <v>192</v>
      </c>
      <c r="Z921" s="3572">
        <f t="array" ref="Z921">IFERROR(VLOOKUP(Y908,Dex!$B$3:$N1022,8,FALSE),"")</f>
        <v>65</v>
      </c>
      <c r="AA921" s="3573" t="str">
        <f t="array" ref="AA921">IFERROR(VLOOKUP(Z921,Dex!$P$22:$Q$276,2,FALSE),"")</f>
        <v/>
      </c>
      <c r="AB921" s="3574">
        <v>6.0</v>
      </c>
      <c r="AC921" s="3569"/>
      <c r="AD921" s="3569"/>
      <c r="AE921" s="3569"/>
      <c r="AF921" s="3569"/>
      <c r="AG921" s="3569"/>
      <c r="AH921" s="3570"/>
      <c r="AI921" s="3466"/>
    </row>
    <row r="922" ht="16.5" customHeight="1">
      <c r="A922" s="3457"/>
      <c r="B922" s="3563"/>
      <c r="C922" s="3555"/>
      <c r="D922" s="3564"/>
      <c r="E922" s="3577" t="s">
        <v>193</v>
      </c>
      <c r="F922" s="3578">
        <f t="array" ref="F922">IFERROR(VLOOKUP(E908,Dex!$B$3:$N1022,9,FALSE),"")</f>
        <v>105</v>
      </c>
      <c r="G922" s="3579" t="str">
        <f t="array" ref="G922">IFERROR(VLOOKUP(F922,Dex!$P$22:$Q$276,2,FALSE),"")</f>
        <v/>
      </c>
      <c r="H922" s="3580"/>
      <c r="I922" s="3575"/>
      <c r="J922" s="3577" t="s">
        <v>193</v>
      </c>
      <c r="K922" s="3578">
        <f t="array" ref="K922">IFERROR(VLOOKUP(J908,Dex!$B$3:$N1022,9,FALSE),"")</f>
        <v>120</v>
      </c>
      <c r="L922" s="3579" t="str">
        <f t="array" ref="L922">IFERROR(VLOOKUP(K922,Dex!$P$22:$Q$276,2,FALSE),"")</f>
        <v/>
      </c>
      <c r="M922" s="3580">
        <v>252.0</v>
      </c>
      <c r="N922" s="3564"/>
      <c r="O922" s="3577" t="s">
        <v>193</v>
      </c>
      <c r="P922" s="3578">
        <f t="array" ref="P922">IFERROR(VLOOKUP(O908,Dex!$B$3:$N1022,9,FALSE),"")</f>
        <v>95</v>
      </c>
      <c r="Q922" s="3579" t="str">
        <f t="array" ref="Q922">IFERROR(VLOOKUP(P922,Dex!$P$22:$Q$276,2,FALSE),"")</f>
        <v/>
      </c>
      <c r="R922" s="3580">
        <v>252.0</v>
      </c>
      <c r="S922" s="3569"/>
      <c r="T922" s="3577" t="s">
        <v>193</v>
      </c>
      <c r="U922" s="3578">
        <f t="array" ref="U922">IFERROR(VLOOKUP(T908,Dex!$B$3:$N1022,9,FALSE),"")</f>
        <v>125</v>
      </c>
      <c r="V922" s="3579" t="str">
        <f t="array" ref="V922">IFERROR(VLOOKUP(U922,Dex!$P$22:$Q$276,2,FALSE),"")</f>
        <v/>
      </c>
      <c r="W922" s="3580">
        <v>252.0</v>
      </c>
      <c r="X922" s="3569"/>
      <c r="Y922" s="3577" t="s">
        <v>193</v>
      </c>
      <c r="Z922" s="3578">
        <f t="array" ref="Z922">IFERROR(VLOOKUP(Y908,Dex!$B$3:$N1022,9,FALSE),"")</f>
        <v>155</v>
      </c>
      <c r="AA922" s="3579" t="str">
        <f t="array" ref="AA922">IFERROR(VLOOKUP(Z922,Dex!$P$22:$Q$276,2,FALSE),"")</f>
        <v/>
      </c>
      <c r="AB922" s="3580">
        <v>252.0</v>
      </c>
      <c r="AC922" s="3569"/>
      <c r="AD922" s="3569"/>
      <c r="AE922" s="3569"/>
      <c r="AF922" s="3569"/>
      <c r="AG922" s="3569"/>
      <c r="AH922" s="3570"/>
      <c r="AI922" s="3466"/>
    </row>
    <row r="923" ht="16.5" customHeight="1">
      <c r="A923" s="3457"/>
      <c r="B923" s="3563"/>
      <c r="C923" s="3555"/>
      <c r="D923" s="3564"/>
      <c r="E923" s="3577" t="s">
        <v>194</v>
      </c>
      <c r="F923" s="3578">
        <f t="array" ref="F923">IFERROR(VLOOKUP(E908,Dex!$B$3:$N1022,10,FALSE),"")</f>
        <v>85</v>
      </c>
      <c r="G923" s="3579" t="str">
        <f t="array" ref="G923">IFERROR(VLOOKUP(F923,Dex!$P$22:$Q$276,2,FALSE),"")</f>
        <v/>
      </c>
      <c r="H923" s="3580"/>
      <c r="I923" s="3575"/>
      <c r="J923" s="3577" t="s">
        <v>194</v>
      </c>
      <c r="K923" s="3578">
        <f t="array" ref="K923">IFERROR(VLOOKUP(J908,Dex!$B$3:$N1022,10,FALSE),"")</f>
        <v>120</v>
      </c>
      <c r="L923" s="3579" t="str">
        <f t="array" ref="L923">IFERROR(VLOOKUP(K923,Dex!$P$22:$Q$276,2,FALSE),"")</f>
        <v/>
      </c>
      <c r="M923" s="3580"/>
      <c r="N923" s="3564"/>
      <c r="O923" s="3577" t="s">
        <v>194</v>
      </c>
      <c r="P923" s="3578">
        <f t="array" ref="P923">IFERROR(VLOOKUP(O908,Dex!$B$3:$N1022,10,FALSE),"")</f>
        <v>180</v>
      </c>
      <c r="Q923" s="3579" t="str">
        <f t="array" ref="Q923">IFERROR(VLOOKUP(P923,Dex!$P$22:$Q$276,2,FALSE),"")</f>
        <v/>
      </c>
      <c r="R923" s="3580"/>
      <c r="S923" s="3569"/>
      <c r="T923" s="3577" t="s">
        <v>194</v>
      </c>
      <c r="U923" s="3578">
        <f t="array" ref="U923">IFERROR(VLOOKUP(T908,Dex!$B$3:$N1022,10,FALSE),"")</f>
        <v>60</v>
      </c>
      <c r="V923" s="3579" t="str">
        <f t="array" ref="V923">IFERROR(VLOOKUP(U923,Dex!$P$22:$Q$276,2,FALSE),"")</f>
        <v/>
      </c>
      <c r="W923" s="3580"/>
      <c r="X923" s="3569"/>
      <c r="Y923" s="3577" t="s">
        <v>194</v>
      </c>
      <c r="Z923" s="3578">
        <f t="array" ref="Z923">IFERROR(VLOOKUP(Y908,Dex!$B$3:$N1022,10,FALSE),"")</f>
        <v>120</v>
      </c>
      <c r="AA923" s="3579" t="str">
        <f t="array" ref="AA923">IFERROR(VLOOKUP(Z923,Dex!$P$22:$Q$276,2,FALSE),"")</f>
        <v/>
      </c>
      <c r="AB923" s="3580"/>
      <c r="AC923" s="3569"/>
      <c r="AD923" s="3569"/>
      <c r="AE923" s="3569"/>
      <c r="AF923" s="3569"/>
      <c r="AG923" s="3569"/>
      <c r="AH923" s="3570"/>
      <c r="AI923" s="3466"/>
    </row>
    <row r="924" ht="16.5" customHeight="1">
      <c r="A924" s="3457"/>
      <c r="B924" s="3563"/>
      <c r="C924" s="3555"/>
      <c r="D924" s="3564"/>
      <c r="E924" s="3577" t="s">
        <v>195</v>
      </c>
      <c r="F924" s="3578">
        <f t="array" ref="F924">IFERROR(VLOOKUP(E908,Dex!$B$3:$N1022,11,FALSE),"")</f>
        <v>125</v>
      </c>
      <c r="G924" s="3579" t="str">
        <f t="array" ref="G924">IFERROR(VLOOKUP(F924,Dex!$P$22:$Q$276,2,FALSE),"")</f>
        <v/>
      </c>
      <c r="H924" s="3580">
        <v>252.0</v>
      </c>
      <c r="I924" s="3575"/>
      <c r="J924" s="3577" t="s">
        <v>195</v>
      </c>
      <c r="K924" s="3578">
        <f t="array" ref="K924">IFERROR(VLOOKUP(J908,Dex!$B$3:$N1022,11,FALSE),"")</f>
        <v>60</v>
      </c>
      <c r="L924" s="3579" t="str">
        <f t="array" ref="L924">IFERROR(VLOOKUP(K924,Dex!$P$22:$Q$276,2,FALSE),"")</f>
        <v/>
      </c>
      <c r="M924" s="3580"/>
      <c r="N924" s="3564"/>
      <c r="O924" s="3577" t="s">
        <v>195</v>
      </c>
      <c r="P924" s="3578">
        <f t="array" ref="P924">IFERROR(VLOOKUP(O908,Dex!$B$3:$N1022,11,FALSE),"")</f>
        <v>85</v>
      </c>
      <c r="Q924" s="3579" t="str">
        <f t="array" ref="Q924">IFERROR(VLOOKUP(P924,Dex!$P$22:$Q$276,2,FALSE),"")</f>
        <v/>
      </c>
      <c r="R924" s="3580"/>
      <c r="S924" s="3569"/>
      <c r="T924" s="3577" t="s">
        <v>195</v>
      </c>
      <c r="U924" s="3578">
        <f t="array" ref="U924">IFERROR(VLOOKUP(T908,Dex!$B$3:$N1022,11,FALSE),"")</f>
        <v>95</v>
      </c>
      <c r="V924" s="3579" t="str">
        <f t="array" ref="V924">IFERROR(VLOOKUP(U924,Dex!$P$22:$Q$276,2,FALSE),"")</f>
        <v/>
      </c>
      <c r="W924" s="3580"/>
      <c r="X924" s="3569"/>
      <c r="Y924" s="3577" t="s">
        <v>195</v>
      </c>
      <c r="Z924" s="3578">
        <f t="array" ref="Z924">IFERROR(VLOOKUP(Y908,Dex!$B$3:$N1022,11,FALSE),"")</f>
        <v>65</v>
      </c>
      <c r="AA924" s="3579" t="str">
        <f t="array" ref="AA924">IFERROR(VLOOKUP(Z924,Dex!$P$22:$Q$276,2,FALSE),"")</f>
        <v/>
      </c>
      <c r="AB924" s="3580"/>
      <c r="AC924" s="3569"/>
      <c r="AD924" s="3569"/>
      <c r="AE924" s="3569"/>
      <c r="AF924" s="3569"/>
      <c r="AG924" s="3569"/>
      <c r="AH924" s="3570"/>
      <c r="AI924" s="3466"/>
    </row>
    <row r="925" ht="16.5" customHeight="1">
      <c r="A925" s="3457"/>
      <c r="B925" s="3563"/>
      <c r="C925" s="3555"/>
      <c r="D925" s="3564"/>
      <c r="E925" s="3577" t="s">
        <v>196</v>
      </c>
      <c r="F925" s="3578">
        <f t="array" ref="F925">IFERROR(VLOOKUP(E908,Dex!$B$3:$N1022,12,FALSE),"")</f>
        <v>75</v>
      </c>
      <c r="G925" s="3579" t="str">
        <f t="array" ref="G925">IFERROR(VLOOKUP(F925,Dex!$P$22:$Q$276,2,FALSE),"")</f>
        <v/>
      </c>
      <c r="H925" s="3580"/>
      <c r="I925" s="3575"/>
      <c r="J925" s="3577" t="s">
        <v>196</v>
      </c>
      <c r="K925" s="3578">
        <f t="array" ref="K925">IFERROR(VLOOKUP(J908,Dex!$B$3:$N1022,12,FALSE),"")</f>
        <v>60</v>
      </c>
      <c r="L925" s="3579" t="str">
        <f t="array" ref="L925">IFERROR(VLOOKUP(K925,Dex!$P$22:$Q$276,2,FALSE),"")</f>
        <v/>
      </c>
      <c r="M925" s="3580"/>
      <c r="N925" s="3564"/>
      <c r="O925" s="3577" t="s">
        <v>196</v>
      </c>
      <c r="P925" s="3578">
        <f t="array" ref="P925">IFERROR(VLOOKUP(O908,Dex!$B$3:$N1022,12,FALSE),"")</f>
        <v>45</v>
      </c>
      <c r="Q925" s="3579" t="str">
        <f t="array" ref="Q925">IFERROR(VLOOKUP(P925,Dex!$P$22:$Q$276,2,FALSE),"")</f>
        <v/>
      </c>
      <c r="R925" s="3580"/>
      <c r="S925" s="3569"/>
      <c r="T925" s="3577" t="s">
        <v>196</v>
      </c>
      <c r="U925" s="3578">
        <f t="array" ref="U925">IFERROR(VLOOKUP(T908,Dex!$B$3:$N1022,12,FALSE),"")</f>
        <v>60</v>
      </c>
      <c r="V925" s="3579" t="str">
        <f t="array" ref="V925">IFERROR(VLOOKUP(U925,Dex!$P$22:$Q$276,2,FALSE),"")</f>
        <v/>
      </c>
      <c r="W925" s="3580"/>
      <c r="X925" s="3569"/>
      <c r="Y925" s="3577" t="s">
        <v>196</v>
      </c>
      <c r="Z925" s="3578">
        <f t="array" ref="Z925">IFERROR(VLOOKUP(Y908,Dex!$B$3:$N1022,12,FALSE),"")</f>
        <v>90</v>
      </c>
      <c r="AA925" s="3579" t="str">
        <f t="array" ref="AA925">IFERROR(VLOOKUP(Z925,Dex!$P$22:$Q$276,2,FALSE),"")</f>
        <v/>
      </c>
      <c r="AB925" s="3580"/>
      <c r="AC925" s="3569"/>
      <c r="AD925" s="3569"/>
      <c r="AE925" s="3569"/>
      <c r="AF925" s="3569"/>
      <c r="AG925" s="3569"/>
      <c r="AH925" s="3570"/>
      <c r="AI925" s="3466"/>
    </row>
    <row r="926" ht="16.5" customHeight="1">
      <c r="A926" s="3457"/>
      <c r="B926" s="3563"/>
      <c r="C926" s="3555"/>
      <c r="D926" s="3564"/>
      <c r="E926" s="3583" t="s">
        <v>197</v>
      </c>
      <c r="F926" s="3584">
        <f t="array" ref="F926">IFERROR(VLOOKUP(E908,Dex!$B$3:$N1022,13,FALSE),"")</f>
        <v>45</v>
      </c>
      <c r="G926" s="3585" t="str">
        <f t="array" ref="G926">IFERROR(VLOOKUP(F926,Dex!$P$22:$Q$276,2,FALSE),"")</f>
        <v/>
      </c>
      <c r="H926" s="3586">
        <v>6.0</v>
      </c>
      <c r="I926" s="3575"/>
      <c r="J926" s="3583" t="s">
        <v>197</v>
      </c>
      <c r="K926" s="3584">
        <f t="array" ref="K926">IFERROR(VLOOKUP(J908,Dex!$B$3:$N1022,13,FALSE),"")</f>
        <v>50</v>
      </c>
      <c r="L926" s="3585" t="str">
        <f t="array" ref="L926">IFERROR(VLOOKUP(K926,Dex!$P$22:$Q$276,2,FALSE),"")</f>
        <v/>
      </c>
      <c r="M926" s="3586">
        <v>6.0</v>
      </c>
      <c r="N926" s="3564"/>
      <c r="O926" s="3583" t="s">
        <v>197</v>
      </c>
      <c r="P926" s="3584">
        <f t="array" ref="P926">IFERROR(VLOOKUP(O908,Dex!$B$3:$N1022,13,FALSE),"")</f>
        <v>70</v>
      </c>
      <c r="Q926" s="3585" t="str">
        <f t="array" ref="Q926">IFERROR(VLOOKUP(P926,Dex!$P$22:$Q$276,2,FALSE),"")</f>
        <v/>
      </c>
      <c r="R926" s="3586">
        <v>252.0</v>
      </c>
      <c r="S926" s="3569"/>
      <c r="T926" s="3583" t="s">
        <v>197</v>
      </c>
      <c r="U926" s="3584">
        <f t="array" ref="U926">IFERROR(VLOOKUP(T908,Dex!$B$3:$N1022,13,FALSE),"")</f>
        <v>105</v>
      </c>
      <c r="V926" s="3585" t="str">
        <f t="array" ref="V926">IFERROR(VLOOKUP(U926,Dex!$P$22:$Q$276,2,FALSE),"")</f>
        <v/>
      </c>
      <c r="W926" s="3586">
        <v>252.0</v>
      </c>
      <c r="X926" s="3569"/>
      <c r="Y926" s="3583" t="s">
        <v>197</v>
      </c>
      <c r="Z926" s="3584">
        <f t="array" ref="Z926">IFERROR(VLOOKUP(Y908,Dex!$B$3:$N1022,13,FALSE),"")</f>
        <v>105</v>
      </c>
      <c r="AA926" s="3585" t="str">
        <f t="array" ref="AA926">IFERROR(VLOOKUP(Z926,Dex!$P$22:$Q$276,2,FALSE),"")</f>
        <v/>
      </c>
      <c r="AB926" s="3586">
        <v>252.0</v>
      </c>
      <c r="AC926" s="3569"/>
      <c r="AD926" s="3569"/>
      <c r="AE926" s="3569"/>
      <c r="AF926" s="3569"/>
      <c r="AG926" s="3569"/>
      <c r="AH926" s="3570"/>
      <c r="AI926" s="3466"/>
    </row>
    <row r="927" ht="16.5" customHeight="1">
      <c r="A927" s="3457"/>
      <c r="B927" s="3563"/>
      <c r="C927" s="3555"/>
      <c r="D927" s="5140"/>
      <c r="E927" s="3587" t="s">
        <v>198</v>
      </c>
      <c r="F927" s="405"/>
      <c r="G927" s="406"/>
      <c r="H927" s="3588">
        <v>106.0</v>
      </c>
      <c r="I927" s="3567"/>
      <c r="J927" s="3587" t="s">
        <v>198</v>
      </c>
      <c r="K927" s="405"/>
      <c r="L927" s="406"/>
      <c r="M927" s="3588">
        <v>115.0</v>
      </c>
      <c r="N927" s="5140"/>
      <c r="O927" s="3587" t="s">
        <v>198</v>
      </c>
      <c r="P927" s="405"/>
      <c r="Q927" s="406"/>
      <c r="R927" s="3588">
        <v>221.0</v>
      </c>
      <c r="S927" s="5154"/>
      <c r="T927" s="3587" t="s">
        <v>198</v>
      </c>
      <c r="U927" s="405"/>
      <c r="V927" s="406"/>
      <c r="W927" s="3588">
        <v>286.0</v>
      </c>
      <c r="X927" s="5154"/>
      <c r="Y927" s="3587" t="s">
        <v>198</v>
      </c>
      <c r="Z927" s="405"/>
      <c r="AA927" s="406"/>
      <c r="AB927" s="3588">
        <v>286.0</v>
      </c>
      <c r="AC927" s="3569"/>
      <c r="AD927" s="3569"/>
      <c r="AE927" s="3569"/>
      <c r="AF927" s="3569"/>
      <c r="AG927" s="3569"/>
      <c r="AH927" s="3570"/>
      <c r="AI927" s="3466"/>
    </row>
    <row r="928" ht="15.0" customHeight="1">
      <c r="A928" s="3368"/>
      <c r="B928" s="3589"/>
      <c r="C928" s="3590"/>
      <c r="D928" s="3591"/>
      <c r="E928" s="3594"/>
      <c r="F928" s="3594"/>
      <c r="G928" s="3594"/>
      <c r="H928" s="3593"/>
      <c r="I928" s="3593"/>
      <c r="J928" s="3594"/>
      <c r="K928" s="3594"/>
      <c r="L928" s="3594"/>
      <c r="M928" s="3593"/>
      <c r="N928" s="3595"/>
      <c r="O928" s="5156"/>
      <c r="P928" s="5156"/>
      <c r="Q928" s="5157"/>
      <c r="R928" s="3597"/>
      <c r="S928" s="3597"/>
      <c r="T928" s="5156"/>
      <c r="U928" s="5156"/>
      <c r="V928" s="5157"/>
      <c r="W928" s="3597"/>
      <c r="X928" s="3595"/>
      <c r="Y928" s="5158"/>
      <c r="Z928" s="5158"/>
      <c r="AA928" s="5158"/>
      <c r="AB928" s="3598"/>
      <c r="AC928" s="3598"/>
      <c r="AD928" s="3598"/>
      <c r="AE928" s="3598"/>
      <c r="AF928" s="3598"/>
      <c r="AG928" s="3598"/>
      <c r="AH928" s="3599"/>
      <c r="AI928" s="3380"/>
    </row>
    <row r="929" ht="15.0" customHeight="1">
      <c r="A929" s="3361"/>
      <c r="B929" s="3491"/>
      <c r="C929" s="3492"/>
      <c r="D929" s="3493"/>
      <c r="E929" s="3494"/>
      <c r="F929" s="3494"/>
      <c r="G929" s="3494"/>
      <c r="H929" s="3494"/>
      <c r="I929" s="3493"/>
      <c r="J929" s="3494"/>
      <c r="K929" s="3494"/>
      <c r="L929" s="3494"/>
      <c r="M929" s="3494"/>
      <c r="N929" s="3493"/>
      <c r="O929" s="3494"/>
      <c r="P929" s="3494"/>
      <c r="Q929" s="3494"/>
      <c r="R929" s="3494"/>
      <c r="S929" s="3493"/>
      <c r="T929" s="3494"/>
      <c r="U929" s="3494"/>
      <c r="V929" s="3494"/>
      <c r="W929" s="3494"/>
      <c r="X929" s="3493"/>
      <c r="Y929" s="3494"/>
      <c r="Z929" s="3494"/>
      <c r="AA929" s="3494"/>
      <c r="AB929" s="3494"/>
      <c r="AC929" s="3493"/>
      <c r="AD929" s="3493"/>
      <c r="AE929" s="3493"/>
      <c r="AF929" s="3493"/>
      <c r="AG929" s="3493"/>
      <c r="AH929" s="3495"/>
      <c r="AI929" s="3367"/>
    </row>
    <row r="930" ht="96.75" customHeight="1">
      <c r="A930" s="3368"/>
      <c r="B930" s="3496"/>
      <c r="C930" s="3497" t="str">
        <f>IMAGE("https://i.ibb.co/26kF6WW/Ace-Trainer-F.png")</f>
        <v/>
      </c>
      <c r="D930" s="3498"/>
      <c r="E930" s="3499" t="str">
        <f t="array" ref="E930">IFERROR(VLOOKUP(E931,Dex!$B$3:$G1022,3,FALSE),"")</f>
        <v/>
      </c>
      <c r="F930" s="381"/>
      <c r="G930" s="381"/>
      <c r="H930" s="2531"/>
      <c r="I930" s="3500"/>
      <c r="J930" s="3499" t="str">
        <f t="array" ref="J930">IFERROR(VLOOKUP(J931,Dex!$B$3:$G1022,3,FALSE),"")</f>
        <v/>
      </c>
      <c r="K930" s="381"/>
      <c r="L930" s="381"/>
      <c r="M930" s="2531"/>
      <c r="N930" s="5127"/>
      <c r="O930" s="3499" t="str">
        <f t="array" ref="O930">IFERROR(VLOOKUP(O931,Dex!$B$3:$G1022,3,FALSE),"")</f>
        <v/>
      </c>
      <c r="P930" s="381"/>
      <c r="Q930" s="381"/>
      <c r="R930" s="2531"/>
      <c r="S930" s="5128"/>
      <c r="T930" s="3499" t="str">
        <f t="array" ref="T930">IFERROR(VLOOKUP(T931,Dex!$B$3:$G1022,3,FALSE),"")</f>
        <v/>
      </c>
      <c r="U930" s="381"/>
      <c r="V930" s="381"/>
      <c r="W930" s="2531"/>
      <c r="X930" s="5127"/>
      <c r="Y930" s="3499" t="str">
        <f t="array" ref="Y930">IFERROR(VLOOKUP(Y931,Dex!$B$3:$G1022,3,FALSE),"")</f>
        <v/>
      </c>
      <c r="Z930" s="381"/>
      <c r="AA930" s="381"/>
      <c r="AB930" s="2531"/>
      <c r="AC930" s="5152"/>
      <c r="AD930" s="3502"/>
      <c r="AE930" s="3503"/>
      <c r="AF930" s="3503"/>
      <c r="AG930" s="3504"/>
      <c r="AH930" s="3507"/>
      <c r="AI930" s="3380"/>
    </row>
    <row r="931" ht="18.75" customHeight="1">
      <c r="A931" s="3381"/>
      <c r="B931" s="3508"/>
      <c r="C931" s="3509" t="s">
        <v>1291</v>
      </c>
      <c r="D931" s="3510"/>
      <c r="E931" s="5129" t="s">
        <v>1292</v>
      </c>
      <c r="F931" s="3512"/>
      <c r="G931" s="3512"/>
      <c r="H931" s="5130"/>
      <c r="J931" s="5129" t="s">
        <v>1293</v>
      </c>
      <c r="K931" s="3512"/>
      <c r="L931" s="3512"/>
      <c r="M931" s="5130"/>
      <c r="O931" s="5129" t="s">
        <v>1294</v>
      </c>
      <c r="P931" s="3512"/>
      <c r="Q931" s="3512"/>
      <c r="R931" s="5130"/>
      <c r="T931" s="5129" t="s">
        <v>1295</v>
      </c>
      <c r="U931" s="3512"/>
      <c r="V931" s="3512"/>
      <c r="W931" s="5130"/>
      <c r="Y931" s="5129" t="s">
        <v>1296</v>
      </c>
      <c r="Z931" s="3512"/>
      <c r="AA931" s="3512"/>
      <c r="AB931" s="5130"/>
      <c r="AC931" s="3514"/>
      <c r="AD931" s="3515"/>
      <c r="AE931" s="3503"/>
      <c r="AF931" s="3503"/>
      <c r="AG931" s="3504"/>
      <c r="AH931" s="3517"/>
      <c r="AI931" s="3393"/>
    </row>
    <row r="932">
      <c r="A932" s="3394"/>
      <c r="B932" s="3518"/>
      <c r="C932" s="1481"/>
      <c r="D932" s="3519"/>
      <c r="E932" s="5159">
        <v>83.0</v>
      </c>
      <c r="F932" s="3521"/>
      <c r="G932" s="3521"/>
      <c r="H932" s="3522"/>
      <c r="J932" s="5159">
        <v>83.0</v>
      </c>
      <c r="K932" s="3521"/>
      <c r="L932" s="3521"/>
      <c r="M932" s="3522"/>
      <c r="O932" s="5159">
        <v>83.0</v>
      </c>
      <c r="P932" s="3521"/>
      <c r="Q932" s="3521"/>
      <c r="R932" s="3522"/>
      <c r="T932" s="5159">
        <v>83.0</v>
      </c>
      <c r="U932" s="3521"/>
      <c r="V932" s="3521"/>
      <c r="W932" s="3522"/>
      <c r="Y932" s="5159">
        <v>84.0</v>
      </c>
      <c r="Z932" s="3521"/>
      <c r="AA932" s="3521"/>
      <c r="AB932" s="3522"/>
      <c r="AC932" s="3514"/>
      <c r="AD932" s="3523"/>
      <c r="AE932" s="3503"/>
      <c r="AF932" s="3503"/>
      <c r="AG932" s="3504"/>
      <c r="AH932" s="3524"/>
      <c r="AI932" s="3402"/>
    </row>
    <row r="933" ht="25.5" customHeight="1">
      <c r="A933" s="3368"/>
      <c r="B933" s="3496"/>
      <c r="C933" s="1489"/>
      <c r="D933" s="3498"/>
      <c r="E933" s="5133"/>
      <c r="F933" s="5134" t="str">
        <f t="array" ref="F933">IFERROR(VLOOKUP(E931,Dex!$B$3:$H1022,5,FALSE),"")</f>
        <v/>
      </c>
      <c r="G933" s="5135" t="str">
        <f t="array" ref="G933">IFERROR(VLOOKUP(E931,Dex!$B$3:$H1022,7,FALSE),"")</f>
        <v/>
      </c>
      <c r="H933" s="5136"/>
      <c r="J933" s="5133"/>
      <c r="K933" s="5134" t="str">
        <f t="array" ref="K933">IFERROR(VLOOKUP(J931,Dex!$B$3:$H1022,5,FALSE),"")</f>
        <v/>
      </c>
      <c r="L933" s="5135" t="str">
        <f t="array" ref="L933">IFERROR(VLOOKUP(J931,Dex!$B$3:$H1022,7,FALSE),"")</f>
        <v/>
      </c>
      <c r="M933" s="5136"/>
      <c r="O933" s="5133"/>
      <c r="P933" s="5134" t="str">
        <f t="array" ref="P933">IFERROR(VLOOKUP(O931,Dex!$B$3:$H1022,5,FALSE),"")</f>
        <v/>
      </c>
      <c r="Q933" s="5135" t="str">
        <f t="array" ref="Q933">IFERROR(VLOOKUP(O931,Dex!$B$3:$H1022,7,FALSE),"")</f>
        <v/>
      </c>
      <c r="R933" s="5136"/>
      <c r="T933" s="5133"/>
      <c r="U933" s="5134" t="str">
        <f t="array" ref="U933">IFERROR(VLOOKUP(T931,Dex!$B$3:$H1022,5,FALSE),"")</f>
        <v/>
      </c>
      <c r="V933" s="5135" t="str">
        <f t="array" ref="V933">IFERROR(VLOOKUP(T931,Dex!$B$3:$H1022,7,FALSE),"")</f>
        <v/>
      </c>
      <c r="W933" s="5136"/>
      <c r="Y933" s="5133"/>
      <c r="Z933" s="5134" t="str">
        <f t="array" ref="Z933">IFERROR(VLOOKUP(Y931,Dex!$B$3:$H1022,5,FALSE),"")</f>
        <v/>
      </c>
      <c r="AA933" s="5135" t="str">
        <f t="array" ref="AA933">IFERROR(VLOOKUP(Y931,Dex!$B$3:$H1022,7,FALSE),"")</f>
        <v/>
      </c>
      <c r="AB933" s="5136"/>
      <c r="AC933" s="3514"/>
      <c r="AD933" s="3502"/>
      <c r="AE933" s="3503"/>
      <c r="AF933" s="3503"/>
      <c r="AG933" s="3504"/>
      <c r="AH933" s="3507"/>
      <c r="AI933" s="3380"/>
    </row>
    <row r="934" ht="2.25" customHeight="1">
      <c r="A934" s="3368"/>
      <c r="B934" s="3496"/>
      <c r="C934" s="3529"/>
      <c r="D934" s="3498"/>
      <c r="E934" s="5137"/>
      <c r="F934" s="5138"/>
      <c r="G934" s="5138"/>
      <c r="H934" s="5139"/>
      <c r="J934" s="5137"/>
      <c r="K934" s="5138"/>
      <c r="L934" s="5138"/>
      <c r="M934" s="5139"/>
      <c r="O934" s="5137"/>
      <c r="P934" s="5138"/>
      <c r="Q934" s="5138"/>
      <c r="R934" s="5139"/>
      <c r="T934" s="5137"/>
      <c r="U934" s="5138"/>
      <c r="V934" s="5138"/>
      <c r="W934" s="5139"/>
      <c r="Y934" s="5137"/>
      <c r="Z934" s="5138"/>
      <c r="AA934" s="5138"/>
      <c r="AB934" s="5139"/>
      <c r="AC934" s="3514"/>
      <c r="AD934" s="3533"/>
      <c r="AE934" s="3533"/>
      <c r="AF934" s="3533"/>
      <c r="AG934" s="3533"/>
      <c r="AH934" s="3507"/>
      <c r="AI934" s="3380"/>
    </row>
    <row r="935" ht="20.25" customHeight="1">
      <c r="A935" s="3368"/>
      <c r="B935" s="3496"/>
      <c r="C935" s="3529"/>
      <c r="D935" s="3498"/>
      <c r="E935" s="3534" t="s">
        <v>205</v>
      </c>
      <c r="F935" s="3535"/>
      <c r="G935" s="3535"/>
      <c r="H935" s="3536"/>
      <c r="J935" s="3534" t="s">
        <v>169</v>
      </c>
      <c r="K935" s="3535"/>
      <c r="L935" s="3535"/>
      <c r="M935" s="3536"/>
      <c r="O935" s="3534" t="s">
        <v>231</v>
      </c>
      <c r="P935" s="3535"/>
      <c r="Q935" s="3535"/>
      <c r="R935" s="3536"/>
      <c r="T935" s="3534" t="s">
        <v>531</v>
      </c>
      <c r="U935" s="3535"/>
      <c r="V935" s="3535"/>
      <c r="W935" s="3536"/>
      <c r="Y935" s="3534" t="s">
        <v>172</v>
      </c>
      <c r="Z935" s="3535"/>
      <c r="AA935" s="3535"/>
      <c r="AB935" s="3536"/>
      <c r="AC935" s="3514"/>
      <c r="AD935" s="3502"/>
      <c r="AE935" s="3503"/>
      <c r="AF935" s="3503"/>
      <c r="AG935" s="3504"/>
      <c r="AH935" s="3507"/>
      <c r="AI935" s="3380"/>
    </row>
    <row r="936">
      <c r="A936" s="3368"/>
      <c r="B936" s="3496"/>
      <c r="C936" s="3537"/>
      <c r="D936" s="3498"/>
      <c r="E936" s="3538" t="s">
        <v>359</v>
      </c>
      <c r="F936" s="3503"/>
      <c r="G936" s="3503"/>
      <c r="H936" s="3539"/>
      <c r="J936" s="3538" t="s">
        <v>620</v>
      </c>
      <c r="K936" s="3503"/>
      <c r="L936" s="3503"/>
      <c r="M936" s="3539"/>
      <c r="O936" s="3538" t="s">
        <v>359</v>
      </c>
      <c r="P936" s="3503"/>
      <c r="Q936" s="3503"/>
      <c r="R936" s="3539"/>
      <c r="T936" s="3538" t="s">
        <v>980</v>
      </c>
      <c r="U936" s="3503"/>
      <c r="V936" s="3503"/>
      <c r="W936" s="3539"/>
      <c r="Y936" s="3538" t="s">
        <v>1297</v>
      </c>
      <c r="Z936" s="3503"/>
      <c r="AA936" s="3503"/>
      <c r="AB936" s="3539"/>
      <c r="AC936" s="3514"/>
      <c r="AD936" s="3502"/>
      <c r="AE936" s="3503"/>
      <c r="AF936" s="3503"/>
      <c r="AG936" s="3504"/>
      <c r="AH936" s="3507"/>
      <c r="AI936" s="3380"/>
    </row>
    <row r="937" ht="20.25" customHeight="1">
      <c r="A937" s="3368"/>
      <c r="B937" s="3496"/>
      <c r="C937" s="3516"/>
      <c r="D937" s="3498"/>
      <c r="E937" s="3540" t="s">
        <v>394</v>
      </c>
      <c r="F937" s="3541"/>
      <c r="G937" s="3542"/>
      <c r="H937" s="3543" t="str">
        <f>IMAGE("https://raw.githubusercontent.com/msikma/pokesprite/master/items/hold-item/leftovers.png",3)</f>
        <v/>
      </c>
      <c r="J937" s="3540" t="s">
        <v>240</v>
      </c>
      <c r="K937" s="3541"/>
      <c r="L937" s="3542"/>
      <c r="M937" s="3543" t="str">
        <f>IMAGE("https://raw.githubusercontent.com/msikma/pokesprite/master/items/hold-item/focus-sash.png",3)</f>
        <v/>
      </c>
      <c r="O937" s="3540" t="s">
        <v>1048</v>
      </c>
      <c r="P937" s="3541"/>
      <c r="Q937" s="3542"/>
      <c r="R937" s="3543" t="str">
        <f>IMAGE("https://raw.githubusercontent.com/msikma/pokesprite/master/items/hold-item/black-sludge.png",3)</f>
        <v/>
      </c>
      <c r="T937" s="3540" t="s">
        <v>1048</v>
      </c>
      <c r="U937" s="3541"/>
      <c r="V937" s="3542"/>
      <c r="W937" s="3543" t="str">
        <f>IMAGE("https://raw.githubusercontent.com/msikma/pokesprite/master/items/hold-item/black-sludge.png",3)</f>
        <v/>
      </c>
      <c r="Y937" s="3540" t="s">
        <v>1298</v>
      </c>
      <c r="Z937" s="3541"/>
      <c r="AA937" s="3542"/>
      <c r="AB937" s="3543" t="str">
        <f>IMAGE("https://raw.githubusercontent.com/msikma/pokesprite/master/items/mega-stone/lopunnite.png",3)</f>
        <v/>
      </c>
      <c r="AC937" s="3514"/>
      <c r="AD937" s="3502"/>
      <c r="AE937" s="3503"/>
      <c r="AF937" s="3503"/>
      <c r="AG937" s="3504"/>
      <c r="AH937" s="3507"/>
      <c r="AI937" s="3380"/>
    </row>
    <row r="938" ht="20.25" customHeight="1">
      <c r="A938" s="3368"/>
      <c r="B938" s="3496"/>
      <c r="C938" s="3544"/>
      <c r="D938" s="3498"/>
      <c r="E938" s="3534" t="s">
        <v>283</v>
      </c>
      <c r="F938" s="3535"/>
      <c r="G938" s="3545"/>
      <c r="H938" s="3546" t="str">
        <f>IMAGE("https://raw.githubusercontent.com/msikma/pokesprite/master/misc/types/gen8/grass.png",4,20,20)</f>
        <v/>
      </c>
      <c r="J938" s="3534" t="s">
        <v>319</v>
      </c>
      <c r="K938" s="3535"/>
      <c r="L938" s="3545"/>
      <c r="M938" s="3546" t="str">
        <f t="shared" ref="M938:M939" si="26">IMAGE("https://raw.githubusercontent.com/msikma/pokesprite/master/misc/types/gen8/grass.png",4,20,20)</f>
        <v/>
      </c>
      <c r="O938" s="3534" t="s">
        <v>280</v>
      </c>
      <c r="P938" s="3535"/>
      <c r="Q938" s="3545"/>
      <c r="R938" s="3546" t="str">
        <f>IMAGE("https://raw.githubusercontent.com/msikma/pokesprite/master/misc/types/gen8/poison.png",4,20,20)</f>
        <v/>
      </c>
      <c r="T938" s="3534" t="s">
        <v>319</v>
      </c>
      <c r="U938" s="3535"/>
      <c r="V938" s="3545"/>
      <c r="W938" s="3546" t="str">
        <f>IMAGE("https://raw.githubusercontent.com/msikma/pokesprite/master/misc/types/gen8/grass.png",4,20,20)</f>
        <v/>
      </c>
      <c r="Y938" s="3534" t="s">
        <v>316</v>
      </c>
      <c r="Z938" s="3535"/>
      <c r="AA938" s="3545"/>
      <c r="AB938" s="3546" t="str">
        <f>IMAGE("https://raw.githubusercontent.com/msikma/pokesprite/master/misc/types/gen8/fighting.png",4,20,20)</f>
        <v/>
      </c>
      <c r="AC938" s="3514"/>
      <c r="AD938" s="3502"/>
      <c r="AE938" s="3503"/>
      <c r="AF938" s="3503"/>
      <c r="AG938" s="3504"/>
      <c r="AH938" s="3507"/>
      <c r="AI938" s="3380"/>
    </row>
    <row r="939" ht="20.25" customHeight="1">
      <c r="A939" s="3368"/>
      <c r="B939" s="3496"/>
      <c r="C939" s="3529"/>
      <c r="D939" s="3498"/>
      <c r="E939" s="3538" t="s">
        <v>1299</v>
      </c>
      <c r="F939" s="3503"/>
      <c r="G939" s="3504"/>
      <c r="H939" s="3547" t="str">
        <f>IMAGE("https://raw.githubusercontent.com/msikma/pokesprite/master/misc/types/gen8/bug.png",4,20,20)</f>
        <v/>
      </c>
      <c r="J939" s="3538" t="s">
        <v>312</v>
      </c>
      <c r="K939" s="3503"/>
      <c r="L939" s="3504"/>
      <c r="M939" s="3547" t="str">
        <f t="shared" si="26"/>
        <v/>
      </c>
      <c r="O939" s="3538" t="s">
        <v>275</v>
      </c>
      <c r="P939" s="3503"/>
      <c r="Q939" s="3504"/>
      <c r="R939" s="3547" t="str">
        <f t="shared" ref="R939:R941" si="27">IMAGE("https://raw.githubusercontent.com/msikma/pokesprite/master/misc/types/gen8/grass.png",4,20,20)</f>
        <v/>
      </c>
      <c r="T939" s="3538" t="s">
        <v>1005</v>
      </c>
      <c r="U939" s="3503"/>
      <c r="V939" s="3504"/>
      <c r="W939" s="3547" t="str">
        <f>IMAGE("https://raw.githubusercontent.com/msikma/pokesprite/master/misc/types/gen8/dark.png",4,20,20)</f>
        <v/>
      </c>
      <c r="Y939" s="3538" t="s">
        <v>1300</v>
      </c>
      <c r="Z939" s="3503"/>
      <c r="AA939" s="3504"/>
      <c r="AB939" s="3547" t="str">
        <f t="shared" ref="AB939:AB941" si="28">IMAGE("https://raw.githubusercontent.com/msikma/pokesprite/master/misc/types/gen8/normal.png",4,20,20)</f>
        <v/>
      </c>
      <c r="AC939" s="3514"/>
      <c r="AD939" s="3502"/>
      <c r="AE939" s="3503"/>
      <c r="AF939" s="3503"/>
      <c r="AG939" s="3504"/>
      <c r="AH939" s="3507"/>
      <c r="AI939" s="3380"/>
    </row>
    <row r="940" ht="20.25" customHeight="1">
      <c r="A940" s="3368"/>
      <c r="B940" s="3496"/>
      <c r="C940" s="3529"/>
      <c r="D940" s="3498"/>
      <c r="E940" s="3538" t="s">
        <v>490</v>
      </c>
      <c r="F940" s="3503"/>
      <c r="G940" s="3504"/>
      <c r="H940" s="3547" t="str">
        <f>IMAGE("https://raw.githubusercontent.com/msikma/pokesprite/master/misc/types/gen8/grass.png",4,20,20)</f>
        <v/>
      </c>
      <c r="J940" s="3538" t="s">
        <v>523</v>
      </c>
      <c r="K940" s="3503"/>
      <c r="L940" s="3504"/>
      <c r="M940" s="3547" t="str">
        <f>IMAGE("https://raw.githubusercontent.com/msikma/pokesprite/master/misc/types/gen8/bug.png",4,20,20)</f>
        <v/>
      </c>
      <c r="O940" s="3538" t="s">
        <v>283</v>
      </c>
      <c r="P940" s="3503"/>
      <c r="Q940" s="3504"/>
      <c r="R940" s="3547" t="str">
        <f t="shared" si="27"/>
        <v/>
      </c>
      <c r="T940" s="3538" t="s">
        <v>275</v>
      </c>
      <c r="U940" s="3503"/>
      <c r="V940" s="3504"/>
      <c r="W940" s="3547" t="str">
        <f>IMAGE("https://raw.githubusercontent.com/msikma/pokesprite/master/misc/types/gen8/grass.png",4,20,20)</f>
        <v/>
      </c>
      <c r="Y940" s="3538" t="s">
        <v>476</v>
      </c>
      <c r="Z940" s="3503"/>
      <c r="AA940" s="3504"/>
      <c r="AB940" s="3547" t="str">
        <f t="shared" si="28"/>
        <v/>
      </c>
      <c r="AC940" s="3514"/>
      <c r="AD940" s="3502"/>
      <c r="AE940" s="3503"/>
      <c r="AF940" s="3503"/>
      <c r="AG940" s="3504"/>
      <c r="AH940" s="3507"/>
      <c r="AI940" s="3380"/>
    </row>
    <row r="941" ht="21.0" customHeight="1">
      <c r="A941" s="3368"/>
      <c r="B941" s="3496"/>
      <c r="C941" s="3529"/>
      <c r="D941" s="3498"/>
      <c r="E941" s="3548" t="s">
        <v>464</v>
      </c>
      <c r="F941" s="3549"/>
      <c r="G941" s="3550"/>
      <c r="H941" s="3551" t="str">
        <f>IMAGE("https://raw.githubusercontent.com/msikma/pokesprite/master/misc/types/gen8/fairy.png",4,20,20)</f>
        <v/>
      </c>
      <c r="I941" s="3552"/>
      <c r="J941" s="3548" t="s">
        <v>1285</v>
      </c>
      <c r="K941" s="3549"/>
      <c r="L941" s="3550"/>
      <c r="M941" s="3551" t="str">
        <f>IMAGE("https://raw.githubusercontent.com/msikma/pokesprite/master/misc/types/gen8/water.png",4,20,20)</f>
        <v/>
      </c>
      <c r="N941" s="3552"/>
      <c r="O941" s="3548" t="s">
        <v>490</v>
      </c>
      <c r="P941" s="3549"/>
      <c r="Q941" s="3550"/>
      <c r="R941" s="3551" t="str">
        <f t="shared" si="27"/>
        <v/>
      </c>
      <c r="S941" s="3552"/>
      <c r="T941" s="3548" t="s">
        <v>994</v>
      </c>
      <c r="U941" s="3549"/>
      <c r="V941" s="3550"/>
      <c r="W941" s="3551" t="str">
        <f>IMAGE("https://raw.githubusercontent.com/msikma/pokesprite/master/misc/types/gen8/poison.png",4,20,20)</f>
        <v/>
      </c>
      <c r="X941" s="3552"/>
      <c r="Y941" s="3548" t="s">
        <v>635</v>
      </c>
      <c r="Z941" s="3549"/>
      <c r="AA941" s="3550"/>
      <c r="AB941" s="3551" t="str">
        <f t="shared" si="28"/>
        <v/>
      </c>
      <c r="AC941" s="3553"/>
      <c r="AD941" s="3502"/>
      <c r="AE941" s="3503"/>
      <c r="AF941" s="3503"/>
      <c r="AG941" s="3504"/>
      <c r="AH941" s="3507"/>
      <c r="AI941" s="3380"/>
    </row>
    <row r="942" ht="3.0" customHeight="1">
      <c r="A942" s="3445"/>
      <c r="B942" s="3554"/>
      <c r="C942" s="3555"/>
      <c r="D942" s="3556"/>
      <c r="E942" s="3558"/>
      <c r="F942" s="3558"/>
      <c r="G942" s="3558"/>
      <c r="H942" s="3557"/>
      <c r="I942" s="3556"/>
      <c r="J942" s="3558"/>
      <c r="K942" s="3558"/>
      <c r="L942" s="3558"/>
      <c r="M942" s="3557"/>
      <c r="N942" s="3556"/>
      <c r="O942" s="3558"/>
      <c r="P942" s="3558"/>
      <c r="Q942" s="3558"/>
      <c r="R942" s="3557"/>
      <c r="S942" s="3559"/>
      <c r="T942" s="3558"/>
      <c r="U942" s="3558"/>
      <c r="V942" s="3558"/>
      <c r="W942" s="3557"/>
      <c r="X942" s="3556"/>
      <c r="Y942" s="3558"/>
      <c r="Z942" s="3558"/>
      <c r="AA942" s="3558"/>
      <c r="AB942" s="3557"/>
      <c r="AC942" s="3561"/>
      <c r="AD942" s="3561"/>
      <c r="AE942" s="3561"/>
      <c r="AF942" s="3561"/>
      <c r="AG942" s="3561"/>
      <c r="AH942" s="3562"/>
      <c r="AI942" s="3456"/>
    </row>
    <row r="943" ht="16.5" customHeight="1">
      <c r="A943" s="3457"/>
      <c r="B943" s="3563"/>
      <c r="C943" s="3555"/>
      <c r="D943" s="5140"/>
      <c r="E943" s="3565" t="s">
        <v>190</v>
      </c>
      <c r="F943" s="381"/>
      <c r="G943" s="382"/>
      <c r="H943" s="3566" t="s">
        <v>191</v>
      </c>
      <c r="I943" s="3567"/>
      <c r="J943" s="3565" t="s">
        <v>190</v>
      </c>
      <c r="K943" s="381"/>
      <c r="L943" s="382"/>
      <c r="M943" s="3566" t="s">
        <v>191</v>
      </c>
      <c r="N943" s="5140"/>
      <c r="O943" s="3565" t="s">
        <v>190</v>
      </c>
      <c r="P943" s="381"/>
      <c r="Q943" s="382"/>
      <c r="R943" s="3566" t="s">
        <v>191</v>
      </c>
      <c r="S943" s="5153"/>
      <c r="T943" s="3565" t="s">
        <v>190</v>
      </c>
      <c r="U943" s="381"/>
      <c r="V943" s="382"/>
      <c r="W943" s="3566" t="s">
        <v>191</v>
      </c>
      <c r="X943" s="5154"/>
      <c r="Y943" s="3565" t="s">
        <v>190</v>
      </c>
      <c r="Z943" s="381"/>
      <c r="AA943" s="382"/>
      <c r="AB943" s="3566" t="s">
        <v>191</v>
      </c>
      <c r="AC943" s="3569"/>
      <c r="AD943" s="3569"/>
      <c r="AE943" s="3569"/>
      <c r="AF943" s="3569"/>
      <c r="AG943" s="3569"/>
      <c r="AH943" s="3570"/>
      <c r="AI943" s="3466"/>
    </row>
    <row r="944" ht="16.5" customHeight="1">
      <c r="A944" s="3457"/>
      <c r="B944" s="3563"/>
      <c r="C944" s="3555"/>
      <c r="D944" s="3564"/>
      <c r="E944" s="3571" t="s">
        <v>192</v>
      </c>
      <c r="F944" s="3572">
        <f t="array" ref="F944">IFERROR(VLOOKUP(E931,Dex!$B$3:$N1022,8,FALSE),"")</f>
        <v>75</v>
      </c>
      <c r="G944" s="3573" t="str">
        <f t="array" ref="G944">IFERROR(VLOOKUP(F944,Dex!$P$22:$Q$276,2,FALSE),"")</f>
        <v/>
      </c>
      <c r="H944" s="3574">
        <v>252.0</v>
      </c>
      <c r="I944" s="3575"/>
      <c r="J944" s="3571" t="s">
        <v>192</v>
      </c>
      <c r="K944" s="3572">
        <f t="array" ref="K944">IFERROR(VLOOKUP(J931,Dex!$B$3:$N1022,8,FALSE),"")</f>
        <v>80</v>
      </c>
      <c r="L944" s="3573" t="str">
        <f t="array" ref="L944">IFERROR(VLOOKUP(K944,Dex!$P$22:$Q$276,2,FALSE),"")</f>
        <v/>
      </c>
      <c r="M944" s="3574">
        <v>252.0</v>
      </c>
      <c r="N944" s="3564"/>
      <c r="O944" s="3571" t="s">
        <v>192</v>
      </c>
      <c r="P944" s="3572">
        <f t="array" ref="P944">IFERROR(VLOOKUP(O931,Dex!$B$3:$N1022,8,FALSE),"")</f>
        <v>75</v>
      </c>
      <c r="Q944" s="3573" t="str">
        <f t="array" ref="Q944">IFERROR(VLOOKUP(P944,Dex!$P$22:$Q$276,2,FALSE),"")</f>
        <v/>
      </c>
      <c r="R944" s="3574">
        <v>252.0</v>
      </c>
      <c r="S944" s="3569"/>
      <c r="T944" s="3571" t="s">
        <v>192</v>
      </c>
      <c r="U944" s="3572">
        <f t="array" ref="U944">IFERROR(VLOOKUP(T931,Dex!$B$3:$N1022,8,FALSE),"")</f>
        <v>114</v>
      </c>
      <c r="V944" s="3573" t="str">
        <f t="array" ref="V944">IFERROR(VLOOKUP(U944,Dex!$P$22:$Q$276,2,FALSE),"")</f>
        <v/>
      </c>
      <c r="W944" s="3574">
        <v>252.0</v>
      </c>
      <c r="X944" s="3569"/>
      <c r="Y944" s="3571" t="s">
        <v>192</v>
      </c>
      <c r="Z944" s="3572">
        <f t="array" ref="Z944">IFERROR(VLOOKUP(Y931,Dex!$B$3:$N1022,8,FALSE),"")</f>
        <v>65</v>
      </c>
      <c r="AA944" s="3573" t="str">
        <f t="array" ref="AA944">IFERROR(VLOOKUP(Z944,Dex!$P$22:$Q$276,2,FALSE),"")</f>
        <v/>
      </c>
      <c r="AB944" s="3574">
        <v>6.0</v>
      </c>
      <c r="AC944" s="3569"/>
      <c r="AD944" s="3569"/>
      <c r="AE944" s="3569"/>
      <c r="AF944" s="3569"/>
      <c r="AG944" s="3569"/>
      <c r="AH944" s="3570"/>
      <c r="AI944" s="3466"/>
    </row>
    <row r="945" ht="16.5" customHeight="1">
      <c r="A945" s="3457"/>
      <c r="B945" s="3563"/>
      <c r="C945" s="3555"/>
      <c r="D945" s="3564"/>
      <c r="E945" s="3577" t="s">
        <v>193</v>
      </c>
      <c r="F945" s="3578">
        <f t="array" ref="F945">IFERROR(VLOOKUP(E931,Dex!$B$3:$N1022,9,FALSE),"")</f>
        <v>80</v>
      </c>
      <c r="G945" s="3579" t="str">
        <f t="array" ref="G945">IFERROR(VLOOKUP(F945,Dex!$P$22:$Q$276,2,FALSE),"")</f>
        <v/>
      </c>
      <c r="H945" s="3580"/>
      <c r="I945" s="3575"/>
      <c r="J945" s="3577" t="s">
        <v>193</v>
      </c>
      <c r="K945" s="3578">
        <f t="array" ref="K945">IFERROR(VLOOKUP(J931,Dex!$B$3:$N1022,9,FALSE),"")</f>
        <v>110</v>
      </c>
      <c r="L945" s="3579" t="str">
        <f t="array" ref="L945">IFERROR(VLOOKUP(K945,Dex!$P$22:$Q$276,2,FALSE),"")</f>
        <v/>
      </c>
      <c r="M945" s="3580">
        <v>252.0</v>
      </c>
      <c r="N945" s="3564"/>
      <c r="O945" s="3577" t="s">
        <v>193</v>
      </c>
      <c r="P945" s="3578">
        <f t="array" ref="P945">IFERROR(VLOOKUP(O931,Dex!$B$3:$N1022,9,FALSE),"")</f>
        <v>80</v>
      </c>
      <c r="Q945" s="3579" t="str">
        <f t="array" ref="Q945">IFERROR(VLOOKUP(P945,Dex!$P$22:$Q$276,2,FALSE),"")</f>
        <v/>
      </c>
      <c r="R945" s="3580"/>
      <c r="S945" s="3569"/>
      <c r="T945" s="3577" t="s">
        <v>193</v>
      </c>
      <c r="U945" s="3578">
        <f t="array" ref="U945">IFERROR(VLOOKUP(T931,Dex!$B$3:$N1022,9,FALSE),"")</f>
        <v>85</v>
      </c>
      <c r="V945" s="3579" t="str">
        <f t="array" ref="V945">IFERROR(VLOOKUP(U945,Dex!$P$22:$Q$276,2,FALSE),"")</f>
        <v/>
      </c>
      <c r="W945" s="3580"/>
      <c r="X945" s="3569"/>
      <c r="Y945" s="3577" t="s">
        <v>193</v>
      </c>
      <c r="Z945" s="3578">
        <f t="array" ref="Z945">IFERROR(VLOOKUP(Y931,Dex!$B$3:$N1022,9,FALSE),"")</f>
        <v>136</v>
      </c>
      <c r="AA945" s="3579" t="str">
        <f t="array" ref="AA945">IFERROR(VLOOKUP(Z945,Dex!$P$22:$Q$276,2,FALSE),"")</f>
        <v/>
      </c>
      <c r="AB945" s="3580">
        <v>252.0</v>
      </c>
      <c r="AC945" s="3569"/>
      <c r="AD945" s="3569"/>
      <c r="AE945" s="3569"/>
      <c r="AF945" s="3569"/>
      <c r="AG945" s="3569"/>
      <c r="AH945" s="3570"/>
      <c r="AI945" s="3466"/>
    </row>
    <row r="946" ht="16.5" customHeight="1">
      <c r="A946" s="3457"/>
      <c r="B946" s="3563"/>
      <c r="C946" s="3555"/>
      <c r="D946" s="3564"/>
      <c r="E946" s="3577" t="s">
        <v>194</v>
      </c>
      <c r="F946" s="3578">
        <f t="array" ref="F946">IFERROR(VLOOKUP(E931,Dex!$B$3:$N1022,10,FALSE),"")</f>
        <v>95</v>
      </c>
      <c r="G946" s="3579" t="str">
        <f t="array" ref="G946">IFERROR(VLOOKUP(F946,Dex!$P$22:$Q$276,2,FALSE),"")</f>
        <v/>
      </c>
      <c r="H946" s="3580"/>
      <c r="I946" s="3575"/>
      <c r="J946" s="3577" t="s">
        <v>194</v>
      </c>
      <c r="K946" s="3578">
        <f t="array" ref="K946">IFERROR(VLOOKUP(J931,Dex!$B$3:$N1022,10,FALSE),"")</f>
        <v>100</v>
      </c>
      <c r="L946" s="3579" t="str">
        <f t="array" ref="L946">IFERROR(VLOOKUP(K946,Dex!$P$22:$Q$276,2,FALSE),"")</f>
        <v/>
      </c>
      <c r="M946" s="3580"/>
      <c r="N946" s="3564"/>
      <c r="O946" s="3577" t="s">
        <v>194</v>
      </c>
      <c r="P946" s="3578">
        <f t="array" ref="P946">IFERROR(VLOOKUP(O931,Dex!$B$3:$N1022,10,FALSE),"")</f>
        <v>85</v>
      </c>
      <c r="Q946" s="3579" t="str">
        <f t="array" ref="Q946">IFERROR(VLOOKUP(P946,Dex!$P$22:$Q$276,2,FALSE),"")</f>
        <v/>
      </c>
      <c r="R946" s="3580">
        <v>128.0</v>
      </c>
      <c r="S946" s="3569"/>
      <c r="T946" s="3577" t="s">
        <v>194</v>
      </c>
      <c r="U946" s="3578">
        <f t="array" ref="U946">IFERROR(VLOOKUP(T931,Dex!$B$3:$N1022,10,FALSE),"")</f>
        <v>70</v>
      </c>
      <c r="V946" s="3579" t="str">
        <f t="array" ref="V946">IFERROR(VLOOKUP(U946,Dex!$P$22:$Q$276,2,FALSE),"")</f>
        <v/>
      </c>
      <c r="W946" s="3580">
        <v>128.0</v>
      </c>
      <c r="X946" s="3569"/>
      <c r="Y946" s="3577" t="s">
        <v>194</v>
      </c>
      <c r="Z946" s="3578">
        <f t="array" ref="Z946">IFERROR(VLOOKUP(Y931,Dex!$B$3:$N1022,10,FALSE),"")</f>
        <v>94</v>
      </c>
      <c r="AA946" s="3579" t="str">
        <f t="array" ref="AA946">IFERROR(VLOOKUP(Z946,Dex!$P$22:$Q$276,2,FALSE),"")</f>
        <v/>
      </c>
      <c r="AB946" s="3580"/>
      <c r="AC946" s="3569"/>
      <c r="AD946" s="3569"/>
      <c r="AE946" s="3569"/>
      <c r="AF946" s="3569"/>
      <c r="AG946" s="3569"/>
      <c r="AH946" s="3570"/>
      <c r="AI946" s="3466"/>
    </row>
    <row r="947" ht="16.5" customHeight="1">
      <c r="A947" s="3457"/>
      <c r="B947" s="3563"/>
      <c r="C947" s="3555"/>
      <c r="D947" s="3564"/>
      <c r="E947" s="3577" t="s">
        <v>195</v>
      </c>
      <c r="F947" s="3578">
        <f t="array" ref="F947">IFERROR(VLOOKUP(E931,Dex!$B$3:$N1022,11,FALSE),"")</f>
        <v>90</v>
      </c>
      <c r="G947" s="3579" t="str">
        <f t="array" ref="G947">IFERROR(VLOOKUP(F947,Dex!$P$22:$Q$276,2,FALSE),"")</f>
        <v/>
      </c>
      <c r="H947" s="3580">
        <v>4.0</v>
      </c>
      <c r="I947" s="3575"/>
      <c r="J947" s="3577" t="s">
        <v>195</v>
      </c>
      <c r="K947" s="3578">
        <f t="array" ref="K947">IFERROR(VLOOKUP(J931,Dex!$B$3:$N1022,11,FALSE),"")</f>
        <v>60</v>
      </c>
      <c r="L947" s="3579" t="str">
        <f t="array" ref="L947">IFERROR(VLOOKUP(K947,Dex!$P$22:$Q$276,2,FALSE),"")</f>
        <v/>
      </c>
      <c r="M947" s="3580"/>
      <c r="N947" s="3564"/>
      <c r="O947" s="3577" t="s">
        <v>195</v>
      </c>
      <c r="P947" s="3578">
        <f t="array" ref="P947">IFERROR(VLOOKUP(O931,Dex!$B$3:$N1022,11,FALSE),"")</f>
        <v>110</v>
      </c>
      <c r="Q947" s="3579" t="str">
        <f t="array" ref="Q947">IFERROR(VLOOKUP(P947,Dex!$P$22:$Q$276,2,FALSE),"")</f>
        <v/>
      </c>
      <c r="R947" s="3580"/>
      <c r="S947" s="3569"/>
      <c r="T947" s="3577" t="s">
        <v>195</v>
      </c>
      <c r="U947" s="3578">
        <f t="array" ref="U947">IFERROR(VLOOKUP(T931,Dex!$B$3:$N1022,11,FALSE),"")</f>
        <v>85</v>
      </c>
      <c r="V947" s="3579" t="str">
        <f t="array" ref="V947">IFERROR(VLOOKUP(U947,Dex!$P$22:$Q$276,2,FALSE),"")</f>
        <v/>
      </c>
      <c r="W947" s="3580"/>
      <c r="X947" s="3569"/>
      <c r="Y947" s="3577" t="s">
        <v>195</v>
      </c>
      <c r="Z947" s="3578">
        <f t="array" ref="Z947">IFERROR(VLOOKUP(Y931,Dex!$B$3:$N1022,11,FALSE),"")</f>
        <v>54</v>
      </c>
      <c r="AA947" s="3579" t="str">
        <f t="array" ref="AA947">IFERROR(VLOOKUP(Z947,Dex!$P$22:$Q$276,2,FALSE),"")</f>
        <v/>
      </c>
      <c r="AB947" s="3580"/>
      <c r="AC947" s="3569"/>
      <c r="AD947" s="3569"/>
      <c r="AE947" s="3569"/>
      <c r="AF947" s="3569"/>
      <c r="AG947" s="3569"/>
      <c r="AH947" s="3570"/>
      <c r="AI947" s="3466"/>
    </row>
    <row r="948" ht="16.5" customHeight="1">
      <c r="A948" s="3457"/>
      <c r="B948" s="3563"/>
      <c r="C948" s="3555"/>
      <c r="D948" s="3564"/>
      <c r="E948" s="3577" t="s">
        <v>196</v>
      </c>
      <c r="F948" s="3578">
        <f t="array" ref="F948">IFERROR(VLOOKUP(E931,Dex!$B$3:$N1022,12,FALSE),"")</f>
        <v>100</v>
      </c>
      <c r="G948" s="3579" t="str">
        <f t="array" ref="G948">IFERROR(VLOOKUP(F948,Dex!$P$22:$Q$276,2,FALSE),"")</f>
        <v/>
      </c>
      <c r="H948" s="3580"/>
      <c r="I948" s="3575"/>
      <c r="J948" s="3577" t="s">
        <v>196</v>
      </c>
      <c r="K948" s="3578">
        <f t="array" ref="K948">IFERROR(VLOOKUP(J931,Dex!$B$3:$N1022,12,FALSE),"")</f>
        <v>80</v>
      </c>
      <c r="L948" s="3579" t="str">
        <f t="array" ref="L948">IFERROR(VLOOKUP(K948,Dex!$P$22:$Q$276,2,FALSE),"")</f>
        <v/>
      </c>
      <c r="M948" s="3580"/>
      <c r="N948" s="3564"/>
      <c r="O948" s="3577" t="s">
        <v>196</v>
      </c>
      <c r="P948" s="3578">
        <f t="array" ref="P948">IFERROR(VLOOKUP(O931,Dex!$B$3:$N1022,12,FALSE),"")</f>
        <v>90</v>
      </c>
      <c r="Q948" s="3579" t="str">
        <f t="array" ref="Q948">IFERROR(VLOOKUP(P948,Dex!$P$22:$Q$276,2,FALSE),"")</f>
        <v/>
      </c>
      <c r="R948" s="3580">
        <v>128.0</v>
      </c>
      <c r="S948" s="3569"/>
      <c r="T948" s="3577" t="s">
        <v>196</v>
      </c>
      <c r="U948" s="3578">
        <f t="array" ref="U948">IFERROR(VLOOKUP(T931,Dex!$B$3:$N1022,12,FALSE),"")</f>
        <v>80</v>
      </c>
      <c r="V948" s="3579" t="str">
        <f t="array" ref="V948">IFERROR(VLOOKUP(U948,Dex!$P$22:$Q$276,2,FALSE),"")</f>
        <v/>
      </c>
      <c r="W948" s="3580">
        <v>128.0</v>
      </c>
      <c r="X948" s="3569"/>
      <c r="Y948" s="3577" t="s">
        <v>196</v>
      </c>
      <c r="Z948" s="3578">
        <f t="array" ref="Z948">IFERROR(VLOOKUP(Y931,Dex!$B$3:$N1022,12,FALSE),"")</f>
        <v>96</v>
      </c>
      <c r="AA948" s="3579" t="str">
        <f t="array" ref="AA948">IFERROR(VLOOKUP(Z948,Dex!$P$22:$Q$276,2,FALSE),"")</f>
        <v/>
      </c>
      <c r="AB948" s="3580"/>
      <c r="AC948" s="3569"/>
      <c r="AD948" s="3569"/>
      <c r="AE948" s="3569"/>
      <c r="AF948" s="3569"/>
      <c r="AG948" s="3569"/>
      <c r="AH948" s="3570"/>
      <c r="AI948" s="3466"/>
    </row>
    <row r="949" ht="16.5" customHeight="1">
      <c r="A949" s="3457"/>
      <c r="B949" s="3563"/>
      <c r="C949" s="1204" t="s">
        <v>436</v>
      </c>
      <c r="D949" s="3564"/>
      <c r="E949" s="3583" t="s">
        <v>197</v>
      </c>
      <c r="F949" s="3584">
        <f t="array" ref="F949">IFERROR(VLOOKUP(E931,Dex!$B$3:$N1022,13,FALSE),"")</f>
        <v>50</v>
      </c>
      <c r="G949" s="3585" t="str">
        <f t="array" ref="G949">IFERROR(VLOOKUP(F949,Dex!$P$22:$Q$276,2,FALSE),"")</f>
        <v/>
      </c>
      <c r="H949" s="3586">
        <v>252.0</v>
      </c>
      <c r="I949" s="3575"/>
      <c r="J949" s="3583" t="s">
        <v>197</v>
      </c>
      <c r="K949" s="3584">
        <f t="array" ref="K949">IFERROR(VLOOKUP(J931,Dex!$B$3:$N1022,13,FALSE),"")</f>
        <v>30</v>
      </c>
      <c r="L949" s="3585" t="str">
        <f t="array" ref="L949">IFERROR(VLOOKUP(K949,Dex!$P$22:$Q$276,2,FALSE),"")</f>
        <v/>
      </c>
      <c r="M949" s="3586">
        <v>6.0</v>
      </c>
      <c r="N949" s="3564"/>
      <c r="O949" s="3583" t="s">
        <v>197</v>
      </c>
      <c r="P949" s="3584">
        <f t="array" ref="P949">IFERROR(VLOOKUP(O931,Dex!$B$3:$N1022,13,FALSE),"")</f>
        <v>50</v>
      </c>
      <c r="Q949" s="3585" t="str">
        <f t="array" ref="Q949">IFERROR(VLOOKUP(P949,Dex!$P$22:$Q$276,2,FALSE),"")</f>
        <v/>
      </c>
      <c r="R949" s="3586">
        <v>4.0</v>
      </c>
      <c r="S949" s="3569"/>
      <c r="T949" s="3583" t="s">
        <v>197</v>
      </c>
      <c r="U949" s="3584">
        <f t="array" ref="U949">IFERROR(VLOOKUP(T931,Dex!$B$3:$N1022,13,FALSE),"")</f>
        <v>30</v>
      </c>
      <c r="V949" s="3585" t="str">
        <f t="array" ref="V949">IFERROR(VLOOKUP(U949,Dex!$P$22:$Q$276,2,FALSE),"")</f>
        <v/>
      </c>
      <c r="W949" s="3586">
        <v>4.0</v>
      </c>
      <c r="X949" s="3569"/>
      <c r="Y949" s="3583" t="s">
        <v>197</v>
      </c>
      <c r="Z949" s="3584">
        <f t="array" ref="Z949">IFERROR(VLOOKUP(Y931,Dex!$B$3:$N1022,13,FALSE),"")</f>
        <v>135</v>
      </c>
      <c r="AA949" s="3585" t="str">
        <f t="array" ref="AA949">IFERROR(VLOOKUP(Z949,Dex!$P$22:$Q$276,2,FALSE),"")</f>
        <v/>
      </c>
      <c r="AB949" s="3586">
        <v>252.0</v>
      </c>
      <c r="AC949" s="3569"/>
      <c r="AD949" s="3569"/>
      <c r="AE949" s="3569"/>
      <c r="AF949" s="3569"/>
      <c r="AG949" s="3569"/>
      <c r="AH949" s="3570"/>
      <c r="AI949" s="3466"/>
    </row>
    <row r="950" ht="16.5" customHeight="1">
      <c r="A950" s="3457"/>
      <c r="B950" s="3563"/>
      <c r="C950" s="1205" t="s">
        <v>1279</v>
      </c>
      <c r="D950" s="5140"/>
      <c r="E950" s="3587" t="s">
        <v>198</v>
      </c>
      <c r="F950" s="405"/>
      <c r="G950" s="406"/>
      <c r="H950" s="3588">
        <v>182.0</v>
      </c>
      <c r="I950" s="3567"/>
      <c r="J950" s="3587" t="s">
        <v>198</v>
      </c>
      <c r="K950" s="405"/>
      <c r="L950" s="406"/>
      <c r="M950" s="3588">
        <v>81.0</v>
      </c>
      <c r="N950" s="5140"/>
      <c r="O950" s="3587" t="s">
        <v>198</v>
      </c>
      <c r="P950" s="405"/>
      <c r="Q950" s="406"/>
      <c r="R950" s="3588">
        <v>114.0</v>
      </c>
      <c r="S950" s="5154"/>
      <c r="T950" s="3587" t="s">
        <v>198</v>
      </c>
      <c r="U950" s="405"/>
      <c r="V950" s="406"/>
      <c r="W950" s="3588">
        <v>81.0</v>
      </c>
      <c r="X950" s="5154"/>
      <c r="Y950" s="3587" t="s">
        <v>198</v>
      </c>
      <c r="Z950" s="405"/>
      <c r="AA950" s="406"/>
      <c r="AB950" s="3588">
        <v>341.0</v>
      </c>
      <c r="AC950" s="3569"/>
      <c r="AD950" s="3569"/>
      <c r="AE950" s="3569"/>
      <c r="AF950" s="3569"/>
      <c r="AG950" s="3569"/>
      <c r="AH950" s="3570"/>
      <c r="AI950" s="3466"/>
    </row>
    <row r="951" ht="15.0" customHeight="1">
      <c r="A951" s="3368"/>
      <c r="B951" s="3589"/>
      <c r="C951" s="3590"/>
      <c r="D951" s="3591"/>
      <c r="E951" s="3594"/>
      <c r="F951" s="3594"/>
      <c r="G951" s="3594"/>
      <c r="H951" s="3593"/>
      <c r="I951" s="3593"/>
      <c r="J951" s="3594"/>
      <c r="K951" s="3594"/>
      <c r="L951" s="3594"/>
      <c r="M951" s="3593"/>
      <c r="N951" s="3595"/>
      <c r="O951" s="5156"/>
      <c r="P951" s="5156"/>
      <c r="Q951" s="5157"/>
      <c r="R951" s="3597"/>
      <c r="S951" s="3597"/>
      <c r="T951" s="5156"/>
      <c r="U951" s="5156"/>
      <c r="V951" s="5157"/>
      <c r="W951" s="3597"/>
      <c r="X951" s="3595"/>
      <c r="Y951" s="5158"/>
      <c r="Z951" s="5158"/>
      <c r="AA951" s="5158"/>
      <c r="AB951" s="3598"/>
      <c r="AC951" s="3598"/>
      <c r="AD951" s="3598"/>
      <c r="AE951" s="3598"/>
      <c r="AF951" s="3598"/>
      <c r="AG951" s="3598"/>
      <c r="AH951" s="3599"/>
      <c r="AI951" s="3380"/>
    </row>
    <row r="952" ht="15.0" customHeight="1">
      <c r="A952" s="3361"/>
      <c r="B952" s="3491"/>
      <c r="C952" s="3492"/>
      <c r="D952" s="3493"/>
      <c r="E952" s="3494"/>
      <c r="F952" s="3494"/>
      <c r="G952" s="3494"/>
      <c r="H952" s="3494"/>
      <c r="I952" s="3493"/>
      <c r="J952" s="3494"/>
      <c r="K952" s="3494"/>
      <c r="L952" s="3494"/>
      <c r="M952" s="3494"/>
      <c r="N952" s="3493"/>
      <c r="O952" s="3494"/>
      <c r="P952" s="3494"/>
      <c r="Q952" s="3494"/>
      <c r="R952" s="3494"/>
      <c r="S952" s="3493"/>
      <c r="T952" s="3494"/>
      <c r="U952" s="3494"/>
      <c r="V952" s="3494"/>
      <c r="W952" s="3494"/>
      <c r="X952" s="3493"/>
      <c r="Y952" s="3494"/>
      <c r="Z952" s="3494"/>
      <c r="AA952" s="3494"/>
      <c r="AB952" s="3494"/>
      <c r="AC952" s="3493"/>
      <c r="AD952" s="3493"/>
      <c r="AE952" s="3493"/>
      <c r="AF952" s="3493"/>
      <c r="AG952" s="3493"/>
      <c r="AH952" s="3495"/>
      <c r="AI952" s="3367"/>
    </row>
    <row r="953" ht="96.75" customHeight="1">
      <c r="A953" s="3368"/>
      <c r="B953" s="3496"/>
      <c r="C953" s="3497" t="str">
        <f>IMAGE("https://i.ibb.co/TKBZjnF/Ace-Trainer-M.png")</f>
        <v/>
      </c>
      <c r="D953" s="3498"/>
      <c r="E953" s="3499" t="str">
        <f t="array" ref="E953">IFERROR(VLOOKUP(E954,Dex!$B$3:$G1022,3,FALSE),"")</f>
        <v/>
      </c>
      <c r="F953" s="381"/>
      <c r="G953" s="381"/>
      <c r="H953" s="2531"/>
      <c r="I953" s="3500"/>
      <c r="J953" s="3499" t="str">
        <f t="array" ref="J953">IFERROR(VLOOKUP(J954,Dex!$B$3:$G1022,3,FALSE),"")</f>
        <v/>
      </c>
      <c r="K953" s="381"/>
      <c r="L953" s="381"/>
      <c r="M953" s="2531"/>
      <c r="N953" s="5127"/>
      <c r="O953" s="3499" t="str">
        <f t="array" ref="O953">IFERROR(VLOOKUP(O954,Dex!$B$3:$G1022,3,FALSE),"")</f>
        <v/>
      </c>
      <c r="P953" s="381"/>
      <c r="Q953" s="381"/>
      <c r="R953" s="2531"/>
      <c r="S953" s="5128"/>
      <c r="T953" s="3499" t="str">
        <f t="array" ref="T953">IFERROR(VLOOKUP(T954,Dex!$B$3:$G1022,3,FALSE),"")</f>
        <v/>
      </c>
      <c r="U953" s="381"/>
      <c r="V953" s="381"/>
      <c r="W953" s="2531"/>
      <c r="X953" s="5127"/>
      <c r="Y953" s="3499" t="str">
        <f t="array" ref="Y953">IFERROR(VLOOKUP(Y954,Dex!$B$3:$G1022,3,FALSE),"")</f>
        <v/>
      </c>
      <c r="Z953" s="381"/>
      <c r="AA953" s="381"/>
      <c r="AB953" s="2531"/>
      <c r="AC953" s="5152"/>
      <c r="AD953" s="3502"/>
      <c r="AE953" s="3503"/>
      <c r="AF953" s="3503"/>
      <c r="AG953" s="3504"/>
      <c r="AH953" s="3507"/>
      <c r="AI953" s="3380"/>
    </row>
    <row r="954" ht="18.75" customHeight="1">
      <c r="A954" s="3381"/>
      <c r="B954" s="3508"/>
      <c r="C954" s="3509" t="s">
        <v>1301</v>
      </c>
      <c r="D954" s="3510"/>
      <c r="E954" s="5129" t="s">
        <v>1302</v>
      </c>
      <c r="F954" s="3512"/>
      <c r="G954" s="3512"/>
      <c r="H954" s="5130"/>
      <c r="J954" s="5129" t="s">
        <v>1303</v>
      </c>
      <c r="K954" s="3512"/>
      <c r="L954" s="3512"/>
      <c r="M954" s="5130"/>
      <c r="O954" s="5129" t="s">
        <v>616</v>
      </c>
      <c r="P954" s="3512"/>
      <c r="Q954" s="3512"/>
      <c r="R954" s="5130"/>
      <c r="T954" s="5129" t="s">
        <v>1304</v>
      </c>
      <c r="U954" s="3512"/>
      <c r="V954" s="3512"/>
      <c r="W954" s="5130"/>
      <c r="Y954" s="5129" t="s">
        <v>1305</v>
      </c>
      <c r="Z954" s="3512"/>
      <c r="AA954" s="3512"/>
      <c r="AB954" s="5130"/>
      <c r="AC954" s="3514"/>
      <c r="AD954" s="3515"/>
      <c r="AE954" s="3503"/>
      <c r="AF954" s="3503"/>
      <c r="AG954" s="3504"/>
      <c r="AH954" s="3517"/>
      <c r="AI954" s="3393"/>
    </row>
    <row r="955">
      <c r="A955" s="3394"/>
      <c r="B955" s="3518"/>
      <c r="C955" s="1481"/>
      <c r="D955" s="3519"/>
      <c r="E955" s="5159">
        <v>83.0</v>
      </c>
      <c r="F955" s="3521"/>
      <c r="G955" s="3521"/>
      <c r="H955" s="3522"/>
      <c r="J955" s="5159">
        <v>83.0</v>
      </c>
      <c r="K955" s="3521"/>
      <c r="L955" s="3521"/>
      <c r="M955" s="3522"/>
      <c r="O955" s="5159">
        <v>83.0</v>
      </c>
      <c r="P955" s="3521"/>
      <c r="Q955" s="3521"/>
      <c r="R955" s="3522"/>
      <c r="T955" s="5159">
        <v>84.0</v>
      </c>
      <c r="U955" s="3521"/>
      <c r="V955" s="3521"/>
      <c r="W955" s="3522"/>
      <c r="Y955" s="5159">
        <v>84.0</v>
      </c>
      <c r="Z955" s="3521"/>
      <c r="AA955" s="3521"/>
      <c r="AB955" s="3522"/>
      <c r="AC955" s="3514"/>
      <c r="AD955" s="3523"/>
      <c r="AE955" s="3503"/>
      <c r="AF955" s="3503"/>
      <c r="AG955" s="3504"/>
      <c r="AH955" s="3524"/>
      <c r="AI955" s="3402"/>
    </row>
    <row r="956" ht="25.5" customHeight="1">
      <c r="A956" s="3368"/>
      <c r="B956" s="3496"/>
      <c r="C956" s="1489"/>
      <c r="D956" s="3498"/>
      <c r="E956" s="5133"/>
      <c r="F956" s="3526" t="str">
        <f t="array" ref="F956">IFERROR(VLOOKUP(E954,Dex!$B$3:$H1022,5,FALSE),"")</f>
        <v/>
      </c>
      <c r="G956" s="3527"/>
      <c r="H956" s="5136"/>
      <c r="J956" s="5133"/>
      <c r="K956" s="5134" t="str">
        <f t="array" ref="K956">IFERROR(VLOOKUP(J954,Dex!$B$3:$H1022,5,FALSE),"")</f>
        <v/>
      </c>
      <c r="L956" s="5135" t="str">
        <f t="array" ref="L956">IFERROR(VLOOKUP(J954,Dex!$B$3:$H1022,7,FALSE),"")</f>
        <v/>
      </c>
      <c r="M956" s="5136"/>
      <c r="O956" s="5133"/>
      <c r="P956" s="5134" t="str">
        <f t="array" ref="P956">IFERROR(VLOOKUP(O954,Dex!$B$3:$H1022,5,FALSE),"")</f>
        <v/>
      </c>
      <c r="Q956" s="5135" t="str">
        <f t="array" ref="Q956">IFERROR(VLOOKUP(O954,Dex!$B$3:$H1022,7,FALSE),"")</f>
        <v/>
      </c>
      <c r="R956" s="5136"/>
      <c r="T956" s="5133"/>
      <c r="U956" s="5134" t="str">
        <f t="array" ref="U956">IFERROR(VLOOKUP(T954,Dex!$B$3:$H1022,5,FALSE),"")</f>
        <v/>
      </c>
      <c r="V956" s="5135" t="str">
        <f t="array" ref="V956">IFERROR(VLOOKUP(T954,Dex!$B$3:$H1022,7,FALSE),"")</f>
        <v/>
      </c>
      <c r="W956" s="5136"/>
      <c r="Y956" s="5133"/>
      <c r="Z956" s="5134" t="str">
        <f t="array" ref="Z956">IFERROR(VLOOKUP(Y954,Dex!$B$3:$H1022,5,FALSE),"")</f>
        <v/>
      </c>
      <c r="AA956" s="5135" t="str">
        <f t="array" ref="AA956">IFERROR(VLOOKUP(Y954,Dex!$B$3:$H1022,7,FALSE),"")</f>
        <v/>
      </c>
      <c r="AB956" s="5136"/>
      <c r="AC956" s="3514"/>
      <c r="AD956" s="3502"/>
      <c r="AE956" s="3503"/>
      <c r="AF956" s="3503"/>
      <c r="AG956" s="3504"/>
      <c r="AH956" s="3507"/>
      <c r="AI956" s="3380"/>
    </row>
    <row r="957" ht="2.25" customHeight="1">
      <c r="A957" s="3368"/>
      <c r="B957" s="3496"/>
      <c r="C957" s="3529"/>
      <c r="D957" s="3498"/>
      <c r="E957" s="5137"/>
      <c r="F957" s="5138"/>
      <c r="G957" s="5138"/>
      <c r="H957" s="5139"/>
      <c r="J957" s="5137"/>
      <c r="K957" s="5138"/>
      <c r="L957" s="5138"/>
      <c r="M957" s="5139"/>
      <c r="O957" s="5137"/>
      <c r="P957" s="5138"/>
      <c r="Q957" s="5138"/>
      <c r="R957" s="5139"/>
      <c r="T957" s="5137"/>
      <c r="U957" s="5138"/>
      <c r="V957" s="5138"/>
      <c r="W957" s="5139"/>
      <c r="Y957" s="5137"/>
      <c r="Z957" s="5138"/>
      <c r="AA957" s="5138"/>
      <c r="AB957" s="5139"/>
      <c r="AC957" s="3514"/>
      <c r="AD957" s="3533"/>
      <c r="AE957" s="3533"/>
      <c r="AF957" s="3533"/>
      <c r="AG957" s="3533"/>
      <c r="AH957" s="3507"/>
      <c r="AI957" s="3380"/>
    </row>
    <row r="958" ht="20.25" customHeight="1">
      <c r="A958" s="3368"/>
      <c r="B958" s="3496"/>
      <c r="C958" s="3529"/>
      <c r="D958" s="3498"/>
      <c r="E958" s="3534" t="s">
        <v>172</v>
      </c>
      <c r="F958" s="3535"/>
      <c r="G958" s="3535"/>
      <c r="H958" s="3536"/>
      <c r="J958" s="3534" t="s">
        <v>205</v>
      </c>
      <c r="K958" s="3535"/>
      <c r="L958" s="3535"/>
      <c r="M958" s="3536"/>
      <c r="O958" s="3534" t="s">
        <v>231</v>
      </c>
      <c r="P958" s="3535"/>
      <c r="Q958" s="3535"/>
      <c r="R958" s="3536"/>
      <c r="T958" s="3534" t="s">
        <v>172</v>
      </c>
      <c r="U958" s="3535"/>
      <c r="V958" s="3535"/>
      <c r="W958" s="3536"/>
      <c r="Y958" s="3534" t="s">
        <v>206</v>
      </c>
      <c r="Z958" s="3535"/>
      <c r="AA958" s="3535"/>
      <c r="AB958" s="3536"/>
      <c r="AC958" s="3514"/>
      <c r="AD958" s="3502"/>
      <c r="AE958" s="3503"/>
      <c r="AF958" s="3503"/>
      <c r="AG958" s="3504"/>
      <c r="AH958" s="3507"/>
      <c r="AI958" s="3380"/>
    </row>
    <row r="959">
      <c r="A959" s="3368"/>
      <c r="B959" s="3496"/>
      <c r="C959" s="3537"/>
      <c r="D959" s="3498"/>
      <c r="E959" s="3538" t="s">
        <v>819</v>
      </c>
      <c r="F959" s="3503"/>
      <c r="G959" s="3503"/>
      <c r="H959" s="3539"/>
      <c r="J959" s="3538" t="s">
        <v>1306</v>
      </c>
      <c r="K959" s="3503"/>
      <c r="L959" s="3503"/>
      <c r="M959" s="3539"/>
      <c r="O959" s="3538" t="s">
        <v>622</v>
      </c>
      <c r="P959" s="3503"/>
      <c r="Q959" s="3503"/>
      <c r="R959" s="3539"/>
      <c r="T959" s="3538" t="s">
        <v>1307</v>
      </c>
      <c r="U959" s="3503"/>
      <c r="V959" s="3503"/>
      <c r="W959" s="3539"/>
      <c r="Y959" s="3538" t="s">
        <v>914</v>
      </c>
      <c r="Z959" s="3503"/>
      <c r="AA959" s="3503"/>
      <c r="AB959" s="3539"/>
      <c r="AC959" s="3514"/>
      <c r="AD959" s="3502"/>
      <c r="AE959" s="3503"/>
      <c r="AF959" s="3503"/>
      <c r="AG959" s="3504"/>
      <c r="AH959" s="3507"/>
      <c r="AI959" s="3380"/>
    </row>
    <row r="960" ht="20.25" customHeight="1">
      <c r="A960" s="3368"/>
      <c r="B960" s="3496"/>
      <c r="C960" s="3516"/>
      <c r="D960" s="3498"/>
      <c r="E960" s="3540" t="s">
        <v>240</v>
      </c>
      <c r="F960" s="3541"/>
      <c r="G960" s="3542"/>
      <c r="H960" s="3543" t="str">
        <f>IMAGE("https://raw.githubusercontent.com/msikma/pokesprite/master/items/hold-item/focus-sash.png",3)</f>
        <v/>
      </c>
      <c r="J960" s="3540" t="s">
        <v>272</v>
      </c>
      <c r="K960" s="3541"/>
      <c r="L960" s="3542"/>
      <c r="M960" s="3543" t="str">
        <f>IMAGE("https://raw.githubusercontent.com/msikma/pokesprite/master/items/hold-item/life-orb.png",3)</f>
        <v/>
      </c>
      <c r="O960" s="3540" t="s">
        <v>394</v>
      </c>
      <c r="P960" s="3541"/>
      <c r="Q960" s="3542"/>
      <c r="R960" s="3543" t="str">
        <f>IMAGE("https://raw.githubusercontent.com/msikma/pokesprite/master/items/hold-item/leftovers.png",3)</f>
        <v/>
      </c>
      <c r="T960" s="3540" t="s">
        <v>1308</v>
      </c>
      <c r="U960" s="3541"/>
      <c r="V960" s="3542"/>
      <c r="W960" s="3543" t="str">
        <f>IMAGE("https://raw.githubusercontent.com/msikma/pokesprite/master/items/mega-stone/sharpedonite.png",3)</f>
        <v/>
      </c>
      <c r="Y960" s="3540" t="s">
        <v>394</v>
      </c>
      <c r="Z960" s="3541"/>
      <c r="AA960" s="3542"/>
      <c r="AB960" s="3543" t="str">
        <f>IMAGE("https://raw.githubusercontent.com/msikma/pokesprite/master/items/hold-item/leftovers.png",3)</f>
        <v/>
      </c>
      <c r="AC960" s="3514"/>
      <c r="AD960" s="3502"/>
      <c r="AE960" s="3503"/>
      <c r="AF960" s="3503"/>
      <c r="AG960" s="3504"/>
      <c r="AH960" s="3507"/>
      <c r="AI960" s="3380"/>
    </row>
    <row r="961" ht="20.25" customHeight="1">
      <c r="A961" s="3368"/>
      <c r="B961" s="3496"/>
      <c r="C961" s="3544"/>
      <c r="D961" s="3498"/>
      <c r="E961" s="3534" t="s">
        <v>396</v>
      </c>
      <c r="F961" s="3535"/>
      <c r="G961" s="3545"/>
      <c r="H961" s="3546" t="str">
        <f>IMAGE("https://raw.githubusercontent.com/msikma/pokesprite/master/misc/types/gen8/dragon.png",4,20,20)</f>
        <v/>
      </c>
      <c r="J961" s="3534" t="s">
        <v>461</v>
      </c>
      <c r="K961" s="3535"/>
      <c r="L961" s="3545"/>
      <c r="M961" s="3546" t="str">
        <f>IMAGE("https://raw.githubusercontent.com/msikma/pokesprite/master/misc/types/gen8/flying.png",4,20,20)</f>
        <v/>
      </c>
      <c r="O961" s="3534" t="s">
        <v>433</v>
      </c>
      <c r="P961" s="3535"/>
      <c r="Q961" s="3545"/>
      <c r="R961" s="3546" t="str">
        <f>IMAGE("https://raw.githubusercontent.com/msikma/pokesprite/master/misc/types/gen8/water.png",4,20,20)</f>
        <v/>
      </c>
      <c r="T961" s="3534" t="s">
        <v>320</v>
      </c>
      <c r="U961" s="3535"/>
      <c r="V961" s="3545"/>
      <c r="W961" s="3546" t="str">
        <f>IMAGE("https://raw.githubusercontent.com/msikma/pokesprite/master/misc/types/gen8/dark.png",4,20,20)</f>
        <v/>
      </c>
      <c r="Y961" s="3534" t="s">
        <v>509</v>
      </c>
      <c r="Z961" s="3535"/>
      <c r="AA961" s="3545"/>
      <c r="AB961" s="3546" t="str">
        <f>IMAGE("https://raw.githubusercontent.com/msikma/pokesprite/master/misc/types/gen8/psychic.png",4,20,20)</f>
        <v/>
      </c>
      <c r="AC961" s="3514"/>
      <c r="AD961" s="3502"/>
      <c r="AE961" s="3503"/>
      <c r="AF961" s="3503"/>
      <c r="AG961" s="3504"/>
      <c r="AH961" s="3507"/>
      <c r="AI961" s="3380"/>
    </row>
    <row r="962" ht="20.25" customHeight="1">
      <c r="A962" s="3368"/>
      <c r="B962" s="3496"/>
      <c r="C962" s="3529"/>
      <c r="D962" s="3498"/>
      <c r="E962" s="3538" t="s">
        <v>1309</v>
      </c>
      <c r="F962" s="3503"/>
      <c r="G962" s="3504"/>
      <c r="H962" s="3547" t="str">
        <f>IMAGE("https://raw.githubusercontent.com/msikma/pokesprite/master/misc/types/gen8/water.png",4,20,20)</f>
        <v/>
      </c>
      <c r="J962" s="3538" t="s">
        <v>338</v>
      </c>
      <c r="K962" s="3503"/>
      <c r="L962" s="3504"/>
      <c r="M962" s="3547" t="str">
        <f>IMAGE("https://raw.githubusercontent.com/msikma/pokesprite/master/misc/types/gen8/water.png",4,20,20)</f>
        <v/>
      </c>
      <c r="O962" s="3538" t="s">
        <v>184</v>
      </c>
      <c r="P962" s="3503"/>
      <c r="Q962" s="3504"/>
      <c r="R962" s="3547" t="str">
        <f>IMAGE("https://raw.githubusercontent.com/msikma/pokesprite/master/misc/types/gen8/poison.png",4,20,20)</f>
        <v/>
      </c>
      <c r="T962" s="3538" t="s">
        <v>813</v>
      </c>
      <c r="U962" s="3503"/>
      <c r="V962" s="3504"/>
      <c r="W962" s="3547" t="str">
        <f>IMAGE("https://raw.githubusercontent.com/msikma/pokesprite/master/misc/types/gen8/ice.png",4,20,20)</f>
        <v/>
      </c>
      <c r="Y962" s="3538" t="s">
        <v>246</v>
      </c>
      <c r="Z962" s="3503"/>
      <c r="AA962" s="3504"/>
      <c r="AB962" s="3547" t="str">
        <f>IMAGE("https://raw.githubusercontent.com/msikma/pokesprite/master/misc/types/gen8/water.png",4,20,20)</f>
        <v/>
      </c>
      <c r="AC962" s="3514"/>
      <c r="AD962" s="3502"/>
      <c r="AE962" s="3503"/>
      <c r="AF962" s="3503"/>
      <c r="AG962" s="3504"/>
      <c r="AH962" s="3507"/>
      <c r="AI962" s="3380"/>
    </row>
    <row r="963" ht="20.25" customHeight="1">
      <c r="A963" s="3368"/>
      <c r="B963" s="3496"/>
      <c r="C963" s="3529"/>
      <c r="D963" s="3498"/>
      <c r="E963" s="3538" t="s">
        <v>813</v>
      </c>
      <c r="F963" s="3503"/>
      <c r="G963" s="3504"/>
      <c r="H963" s="3547" t="str">
        <f>IMAGE("https://raw.githubusercontent.com/msikma/pokesprite/master/misc/types/gen8/ice.png",4,20,20)</f>
        <v/>
      </c>
      <c r="J963" s="3538" t="s">
        <v>317</v>
      </c>
      <c r="K963" s="3503"/>
      <c r="L963" s="3504"/>
      <c r="M963" s="3547" t="str">
        <f>IMAGE("https://raw.githubusercontent.com/msikma/pokesprite/master/misc/types/gen8/ice.png",4,20,20)</f>
        <v/>
      </c>
      <c r="O963" s="3538" t="s">
        <v>187</v>
      </c>
      <c r="P963" s="3503"/>
      <c r="Q963" s="3504"/>
      <c r="R963" s="3547" t="str">
        <f>IMAGE("https://raw.githubusercontent.com/msikma/pokesprite/master/misc/types/gen8/normal.png",4,20,20)</f>
        <v/>
      </c>
      <c r="T963" s="3538" t="s">
        <v>735</v>
      </c>
      <c r="U963" s="3503"/>
      <c r="V963" s="3504"/>
      <c r="W963" s="3547" t="str">
        <f t="shared" ref="W963:W964" si="29">IMAGE("https://raw.githubusercontent.com/msikma/pokesprite/master/misc/types/gen8/water.png",4,20,20)</f>
        <v/>
      </c>
      <c r="Y963" s="3538" t="s">
        <v>633</v>
      </c>
      <c r="Z963" s="3503"/>
      <c r="AA963" s="3504"/>
      <c r="AB963" s="3547" t="str">
        <f>IMAGE("https://raw.githubusercontent.com/msikma/pokesprite/master/misc/types/gen8/psychic.png",4,20,20)</f>
        <v/>
      </c>
      <c r="AC963" s="3514"/>
      <c r="AD963" s="3502"/>
      <c r="AE963" s="3503"/>
      <c r="AF963" s="3503"/>
      <c r="AG963" s="3504"/>
      <c r="AH963" s="3507"/>
      <c r="AI963" s="3380"/>
    </row>
    <row r="964" ht="21.0" customHeight="1">
      <c r="A964" s="3368"/>
      <c r="B964" s="3496"/>
      <c r="C964" s="3529"/>
      <c r="D964" s="3498"/>
      <c r="E964" s="3548" t="s">
        <v>1310</v>
      </c>
      <c r="F964" s="3549"/>
      <c r="G964" s="3550"/>
      <c r="H964" s="3551" t="str">
        <f>IMAGE("https://raw.githubusercontent.com/msikma/pokesprite/master/misc/types/gen8/fighting.png",4,20,20)</f>
        <v/>
      </c>
      <c r="I964" s="3552"/>
      <c r="J964" s="3548" t="s">
        <v>188</v>
      </c>
      <c r="K964" s="3549"/>
      <c r="L964" s="3549"/>
      <c r="M964" s="5160"/>
      <c r="N964" s="3552"/>
      <c r="O964" s="3548" t="s">
        <v>317</v>
      </c>
      <c r="P964" s="3549"/>
      <c r="Q964" s="3550"/>
      <c r="R964" s="3551" t="str">
        <f>IMAGE("https://raw.githubusercontent.com/msikma/pokesprite/master/misc/types/gen8/ice.png",4,20,20)</f>
        <v/>
      </c>
      <c r="S964" s="3552"/>
      <c r="T964" s="3548" t="s">
        <v>1309</v>
      </c>
      <c r="U964" s="3549"/>
      <c r="V964" s="3550"/>
      <c r="W964" s="3551" t="str">
        <f t="shared" si="29"/>
        <v/>
      </c>
      <c r="X964" s="3552"/>
      <c r="Y964" s="3548" t="s">
        <v>185</v>
      </c>
      <c r="Z964" s="3549"/>
      <c r="AA964" s="3550"/>
      <c r="AB964" s="3551" t="str">
        <f>IMAGE("https://raw.githubusercontent.com/msikma/pokesprite/master/misc/types/gen8/normal.png",4,20,20)</f>
        <v/>
      </c>
      <c r="AC964" s="3553"/>
      <c r="AD964" s="3502"/>
      <c r="AE964" s="3503"/>
      <c r="AF964" s="3503"/>
      <c r="AG964" s="3504"/>
      <c r="AH964" s="3507"/>
      <c r="AI964" s="3380"/>
    </row>
    <row r="965" ht="3.0" customHeight="1">
      <c r="A965" s="3445"/>
      <c r="B965" s="3554"/>
      <c r="C965" s="3555"/>
      <c r="D965" s="3556"/>
      <c r="E965" s="3558"/>
      <c r="F965" s="3558"/>
      <c r="G965" s="3558"/>
      <c r="H965" s="3557"/>
      <c r="I965" s="3556"/>
      <c r="J965" s="3558"/>
      <c r="K965" s="3558"/>
      <c r="L965" s="3558"/>
      <c r="M965" s="3557"/>
      <c r="N965" s="3556"/>
      <c r="O965" s="3558"/>
      <c r="P965" s="3558"/>
      <c r="Q965" s="3558"/>
      <c r="R965" s="3557"/>
      <c r="S965" s="3559"/>
      <c r="T965" s="3557"/>
      <c r="U965" s="3557"/>
      <c r="V965" s="3557"/>
      <c r="W965" s="3557"/>
      <c r="X965" s="3556"/>
      <c r="Y965" s="3558"/>
      <c r="Z965" s="3558"/>
      <c r="AA965" s="3558"/>
      <c r="AB965" s="3557"/>
      <c r="AC965" s="3561"/>
      <c r="AD965" s="3561"/>
      <c r="AE965" s="3561"/>
      <c r="AF965" s="3561"/>
      <c r="AG965" s="3561"/>
      <c r="AH965" s="3562"/>
      <c r="AI965" s="3456"/>
    </row>
    <row r="966" ht="16.5" customHeight="1">
      <c r="A966" s="3457"/>
      <c r="B966" s="3563"/>
      <c r="C966" s="3555"/>
      <c r="D966" s="5140"/>
      <c r="E966" s="3565" t="s">
        <v>190</v>
      </c>
      <c r="F966" s="381"/>
      <c r="G966" s="382"/>
      <c r="H966" s="3566" t="s">
        <v>191</v>
      </c>
      <c r="I966" s="3567"/>
      <c r="J966" s="3565" t="s">
        <v>190</v>
      </c>
      <c r="K966" s="381"/>
      <c r="L966" s="382"/>
      <c r="M966" s="3566" t="s">
        <v>191</v>
      </c>
      <c r="N966" s="5140"/>
      <c r="O966" s="3565" t="s">
        <v>190</v>
      </c>
      <c r="P966" s="381"/>
      <c r="Q966" s="382"/>
      <c r="R966" s="3566" t="s">
        <v>191</v>
      </c>
      <c r="S966" s="3556"/>
      <c r="T966" s="3565" t="s">
        <v>190</v>
      </c>
      <c r="U966" s="381"/>
      <c r="V966" s="382"/>
      <c r="W966" s="3566" t="s">
        <v>191</v>
      </c>
      <c r="X966" s="5154"/>
      <c r="Y966" s="3565" t="s">
        <v>190</v>
      </c>
      <c r="Z966" s="381"/>
      <c r="AA966" s="382"/>
      <c r="AB966" s="3566" t="s">
        <v>191</v>
      </c>
      <c r="AC966" s="3569"/>
      <c r="AD966" s="3569"/>
      <c r="AE966" s="3569"/>
      <c r="AF966" s="3569"/>
      <c r="AG966" s="3569"/>
      <c r="AH966" s="3570"/>
      <c r="AI966" s="3466"/>
    </row>
    <row r="967" ht="16.5" customHeight="1">
      <c r="A967" s="3457"/>
      <c r="B967" s="3563"/>
      <c r="C967" s="3555"/>
      <c r="D967" s="3564"/>
      <c r="E967" s="3571" t="s">
        <v>192</v>
      </c>
      <c r="F967" s="3572">
        <f t="array" ref="F967">IFERROR(VLOOKUP(E954,Dex!$B$3:$N1022,8,FALSE),"")</f>
        <v>85</v>
      </c>
      <c r="G967" s="3573" t="str">
        <f t="array" ref="G967">IFERROR(VLOOKUP(F967,Dex!$P$22:$Q$276,2,FALSE),"")</f>
        <v/>
      </c>
      <c r="H967" s="3574">
        <v>6.0</v>
      </c>
      <c r="I967" s="3575"/>
      <c r="J967" s="3571" t="s">
        <v>192</v>
      </c>
      <c r="K967" s="3572">
        <f t="array" ref="K967">IFERROR(VLOOKUP(J954,Dex!$B$3:$N1022,8,FALSE),"")</f>
        <v>75</v>
      </c>
      <c r="L967" s="3573" t="str">
        <f t="array" ref="L967">IFERROR(VLOOKUP(K967,Dex!$P$22:$Q$276,2,FALSE),"")</f>
        <v/>
      </c>
      <c r="M967" s="3574">
        <v>6.0</v>
      </c>
      <c r="N967" s="3564"/>
      <c r="O967" s="3571" t="s">
        <v>192</v>
      </c>
      <c r="P967" s="3572">
        <f t="array" ref="P967">IFERROR(VLOOKUP(O954,Dex!$B$3:$N1022,8,FALSE),"")</f>
        <v>90</v>
      </c>
      <c r="Q967" s="3573" t="str">
        <f t="array" ref="Q967">IFERROR(VLOOKUP(P967,Dex!$P$22:$Q$276,2,FALSE),"")</f>
        <v/>
      </c>
      <c r="R967" s="3574">
        <v>252.0</v>
      </c>
      <c r="S967" s="3569"/>
      <c r="T967" s="3571" t="s">
        <v>192</v>
      </c>
      <c r="U967" s="3572">
        <f t="array" ref="U967">IFERROR(VLOOKUP(T954,Dex!$B$3:$N1022,8,FALSE),"")</f>
        <v>70</v>
      </c>
      <c r="V967" s="3573" t="str">
        <f t="array" ref="V967">IFERROR(VLOOKUP(U967,Dex!$P$22:$Q$276,2,FALSE),"")</f>
        <v/>
      </c>
      <c r="W967" s="3574">
        <v>6.0</v>
      </c>
      <c r="X967" s="3569"/>
      <c r="Y967" s="3571" t="s">
        <v>192</v>
      </c>
      <c r="Z967" s="3572">
        <f t="array" ref="Z967">IFERROR(VLOOKUP(Y954,Dex!$B$3:$N1022,8,FALSE),"")</f>
        <v>84</v>
      </c>
      <c r="AA967" s="3573" t="str">
        <f t="array" ref="AA967">IFERROR(VLOOKUP(Z967,Dex!$P$22:$Q$276,2,FALSE),"")</f>
        <v/>
      </c>
      <c r="AB967" s="3574">
        <v>252.0</v>
      </c>
      <c r="AC967" s="3569"/>
      <c r="AD967" s="3569"/>
      <c r="AE967" s="3569"/>
      <c r="AF967" s="3569"/>
      <c r="AG967" s="3569"/>
      <c r="AH967" s="3570"/>
      <c r="AI967" s="3466"/>
    </row>
    <row r="968" ht="16.5" customHeight="1">
      <c r="A968" s="3457"/>
      <c r="B968" s="3563"/>
      <c r="C968" s="3555"/>
      <c r="D968" s="3564"/>
      <c r="E968" s="3577" t="s">
        <v>193</v>
      </c>
      <c r="F968" s="3578">
        <f t="array" ref="F968">IFERROR(VLOOKUP(E954,Dex!$B$3:$N1022,9,FALSE),"")</f>
        <v>105</v>
      </c>
      <c r="G968" s="3579" t="str">
        <f t="array" ref="G968">IFERROR(VLOOKUP(F968,Dex!$P$22:$Q$276,2,FALSE),"")</f>
        <v/>
      </c>
      <c r="H968" s="3580">
        <v>252.0</v>
      </c>
      <c r="I968" s="3575"/>
      <c r="J968" s="3577" t="s">
        <v>193</v>
      </c>
      <c r="K968" s="3578">
        <f t="array" ref="K968">IFERROR(VLOOKUP(J954,Dex!$B$3:$N1022,9,FALSE),"")</f>
        <v>77</v>
      </c>
      <c r="L968" s="3579" t="str">
        <f t="array" ref="L968">IFERROR(VLOOKUP(K968,Dex!$P$22:$Q$276,2,FALSE),"")</f>
        <v/>
      </c>
      <c r="M968" s="3580"/>
      <c r="N968" s="3564"/>
      <c r="O968" s="3577" t="s">
        <v>193</v>
      </c>
      <c r="P968" s="3578">
        <f t="array" ref="P968">IFERROR(VLOOKUP(O954,Dex!$B$3:$N1022,9,FALSE),"")</f>
        <v>80</v>
      </c>
      <c r="Q968" s="3579" t="str">
        <f t="array" ref="Q968">IFERROR(VLOOKUP(P968,Dex!$P$22:$Q$276,2,FALSE),"")</f>
        <v/>
      </c>
      <c r="R968" s="3580"/>
      <c r="S968" s="3569"/>
      <c r="T968" s="3577" t="s">
        <v>193</v>
      </c>
      <c r="U968" s="3578">
        <f t="array" ref="U968">IFERROR(VLOOKUP(T954,Dex!$B$3:$N1022,9,FALSE),"")</f>
        <v>140</v>
      </c>
      <c r="V968" s="3579" t="str">
        <f t="array" ref="V968">IFERROR(VLOOKUP(U968,Dex!$P$22:$Q$276,2,FALSE),"")</f>
        <v/>
      </c>
      <c r="W968" s="3580">
        <v>252.0</v>
      </c>
      <c r="X968" s="3569"/>
      <c r="Y968" s="3577" t="s">
        <v>193</v>
      </c>
      <c r="Z968" s="3578">
        <f t="array" ref="Z968">IFERROR(VLOOKUP(Y954,Dex!$B$3:$N1022,9,FALSE),"")</f>
        <v>86</v>
      </c>
      <c r="AA968" s="3579" t="str">
        <f t="array" ref="AA968">IFERROR(VLOOKUP(Z968,Dex!$P$22:$Q$276,2,FALSE),"")</f>
        <v/>
      </c>
      <c r="AB968" s="3580"/>
      <c r="AC968" s="3569"/>
      <c r="AD968" s="3569"/>
      <c r="AE968" s="3569"/>
      <c r="AF968" s="3569"/>
      <c r="AG968" s="3569"/>
      <c r="AH968" s="3570"/>
      <c r="AI968" s="3466"/>
    </row>
    <row r="969" ht="16.5" customHeight="1">
      <c r="A969" s="3457"/>
      <c r="B969" s="3563"/>
      <c r="C969" s="3555"/>
      <c r="D969" s="3564"/>
      <c r="E969" s="3577" t="s">
        <v>194</v>
      </c>
      <c r="F969" s="3578">
        <f t="array" ref="F969">IFERROR(VLOOKUP(E954,Dex!$B$3:$N1022,10,FALSE),"")</f>
        <v>100</v>
      </c>
      <c r="G969" s="3579" t="str">
        <f t="array" ref="G969">IFERROR(VLOOKUP(F969,Dex!$P$22:$Q$276,2,FALSE),"")</f>
        <v/>
      </c>
      <c r="H969" s="3580"/>
      <c r="I969" s="3575"/>
      <c r="J969" s="3577" t="s">
        <v>194</v>
      </c>
      <c r="K969" s="3578">
        <f t="array" ref="K969">IFERROR(VLOOKUP(J954,Dex!$B$3:$N1022,10,FALSE),"")</f>
        <v>63</v>
      </c>
      <c r="L969" s="3579" t="str">
        <f t="array" ref="L969">IFERROR(VLOOKUP(K969,Dex!$P$22:$Q$276,2,FALSE),"")</f>
        <v/>
      </c>
      <c r="M969" s="3580"/>
      <c r="N969" s="3564"/>
      <c r="O969" s="3577" t="s">
        <v>194</v>
      </c>
      <c r="P969" s="3578">
        <f t="array" ref="P969">IFERROR(VLOOKUP(O954,Dex!$B$3:$N1022,10,FALSE),"")</f>
        <v>90</v>
      </c>
      <c r="Q969" s="3579" t="str">
        <f t="array" ref="Q969">IFERROR(VLOOKUP(P969,Dex!$P$22:$Q$276,2,FALSE),"")</f>
        <v/>
      </c>
      <c r="R969" s="3580">
        <v>128.0</v>
      </c>
      <c r="S969" s="3569"/>
      <c r="T969" s="3577" t="s">
        <v>194</v>
      </c>
      <c r="U969" s="3578">
        <f t="array" ref="U969">IFERROR(VLOOKUP(T954,Dex!$B$3:$N1022,10,FALSE),"")</f>
        <v>70</v>
      </c>
      <c r="V969" s="3579" t="str">
        <f t="array" ref="V969">IFERROR(VLOOKUP(U969,Dex!$P$22:$Q$276,2,FALSE),"")</f>
        <v/>
      </c>
      <c r="W969" s="3580"/>
      <c r="X969" s="3569"/>
      <c r="Y969" s="3577" t="s">
        <v>194</v>
      </c>
      <c r="Z969" s="3578">
        <f t="array" ref="Z969">IFERROR(VLOOKUP(Y954,Dex!$B$3:$N1022,10,FALSE),"")</f>
        <v>88</v>
      </c>
      <c r="AA969" s="3579" t="str">
        <f t="array" ref="AA969">IFERROR(VLOOKUP(Z969,Dex!$P$22:$Q$276,2,FALSE),"")</f>
        <v/>
      </c>
      <c r="AB969" s="3580">
        <v>252.0</v>
      </c>
      <c r="AC969" s="3569"/>
      <c r="AD969" s="3569"/>
      <c r="AE969" s="3569"/>
      <c r="AF969" s="3569"/>
      <c r="AG969" s="3569"/>
      <c r="AH969" s="3570"/>
      <c r="AI969" s="3466"/>
    </row>
    <row r="970" ht="16.5" customHeight="1">
      <c r="A970" s="3457"/>
      <c r="B970" s="3563"/>
      <c r="C970" s="3555"/>
      <c r="D970" s="3564"/>
      <c r="E970" s="3577" t="s">
        <v>195</v>
      </c>
      <c r="F970" s="3578">
        <f t="array" ref="F970">IFERROR(VLOOKUP(E954,Dex!$B$3:$N1022,11,FALSE),"")</f>
        <v>79</v>
      </c>
      <c r="G970" s="3579" t="str">
        <f t="array" ref="G970">IFERROR(VLOOKUP(F970,Dex!$P$22:$Q$276,2,FALSE),"")</f>
        <v/>
      </c>
      <c r="H970" s="3580"/>
      <c r="I970" s="3575"/>
      <c r="J970" s="3577" t="s">
        <v>195</v>
      </c>
      <c r="K970" s="3578">
        <f t="array" ref="K970">IFERROR(VLOOKUP(J954,Dex!$B$3:$N1022,11,FALSE),"")</f>
        <v>97</v>
      </c>
      <c r="L970" s="3579" t="str">
        <f t="array" ref="L970">IFERROR(VLOOKUP(K970,Dex!$P$22:$Q$276,2,FALSE),"")</f>
        <v/>
      </c>
      <c r="M970" s="3580">
        <v>252.0</v>
      </c>
      <c r="N970" s="3564"/>
      <c r="O970" s="3577" t="s">
        <v>195</v>
      </c>
      <c r="P970" s="3578">
        <f t="array" ref="P970">IFERROR(VLOOKUP(O954,Dex!$B$3:$N1022,11,FALSE),"")</f>
        <v>95</v>
      </c>
      <c r="Q970" s="3579" t="str">
        <f t="array" ref="Q970">IFERROR(VLOOKUP(P970,Dex!$P$22:$Q$276,2,FALSE),"")</f>
        <v/>
      </c>
      <c r="R970" s="3580"/>
      <c r="S970" s="3569"/>
      <c r="T970" s="3577" t="s">
        <v>195</v>
      </c>
      <c r="U970" s="3578">
        <f t="array" ref="U970">IFERROR(VLOOKUP(T954,Dex!$B$3:$N1022,11,FALSE),"")</f>
        <v>110</v>
      </c>
      <c r="V970" s="3579" t="str">
        <f t="array" ref="V970">IFERROR(VLOOKUP(U970,Dex!$P$22:$Q$276,2,FALSE),"")</f>
        <v/>
      </c>
      <c r="W970" s="3580"/>
      <c r="X970" s="3569"/>
      <c r="Y970" s="3577" t="s">
        <v>195</v>
      </c>
      <c r="Z970" s="3578">
        <f t="array" ref="Z970">IFERROR(VLOOKUP(Y954,Dex!$B$3:$N1022,11,FALSE),"")</f>
        <v>111</v>
      </c>
      <c r="AA970" s="3579" t="str">
        <f t="array" ref="AA970">IFERROR(VLOOKUP(Z970,Dex!$P$22:$Q$276,2,FALSE),"")</f>
        <v/>
      </c>
      <c r="AB970" s="3580"/>
      <c r="AC970" s="3569"/>
      <c r="AD970" s="3569"/>
      <c r="AE970" s="3569"/>
      <c r="AF970" s="3569"/>
      <c r="AG970" s="3569"/>
      <c r="AH970" s="3570"/>
      <c r="AI970" s="3466"/>
    </row>
    <row r="971" ht="16.5" customHeight="1">
      <c r="A971" s="3457"/>
      <c r="B971" s="3563"/>
      <c r="C971" s="3555"/>
      <c r="D971" s="3564"/>
      <c r="E971" s="3577" t="s">
        <v>196</v>
      </c>
      <c r="F971" s="3578">
        <f t="array" ref="F971">IFERROR(VLOOKUP(E954,Dex!$B$3:$N1022,12,FALSE),"")</f>
        <v>83</v>
      </c>
      <c r="G971" s="3579" t="str">
        <f t="array" ref="G971">IFERROR(VLOOKUP(F971,Dex!$P$22:$Q$276,2,FALSE),"")</f>
        <v/>
      </c>
      <c r="H971" s="3580"/>
      <c r="I971" s="3575"/>
      <c r="J971" s="3577" t="s">
        <v>196</v>
      </c>
      <c r="K971" s="3578">
        <f t="array" ref="K971">IFERROR(VLOOKUP(J954,Dex!$B$3:$N1022,12,FALSE),"")</f>
        <v>63</v>
      </c>
      <c r="L971" s="3579" t="str">
        <f t="array" ref="L971">IFERROR(VLOOKUP(K971,Dex!$P$22:$Q$276,2,FALSE),"")</f>
        <v/>
      </c>
      <c r="M971" s="3580"/>
      <c r="N971" s="3564"/>
      <c r="O971" s="3577" t="s">
        <v>196</v>
      </c>
      <c r="P971" s="3578">
        <f t="array" ref="P971">IFERROR(VLOOKUP(O954,Dex!$B$3:$N1022,12,FALSE),"")</f>
        <v>90</v>
      </c>
      <c r="Q971" s="3579" t="str">
        <f t="array" ref="Q971">IFERROR(VLOOKUP(P971,Dex!$P$22:$Q$276,2,FALSE),"")</f>
        <v/>
      </c>
      <c r="R971" s="3580">
        <v>128.0</v>
      </c>
      <c r="S971" s="3569"/>
      <c r="T971" s="3577" t="s">
        <v>196</v>
      </c>
      <c r="U971" s="3578">
        <f t="array" ref="U971">IFERROR(VLOOKUP(T954,Dex!$B$3:$N1022,12,FALSE),"")</f>
        <v>65</v>
      </c>
      <c r="V971" s="3579" t="str">
        <f t="array" ref="V971">IFERROR(VLOOKUP(U971,Dex!$P$22:$Q$276,2,FALSE),"")</f>
        <v/>
      </c>
      <c r="W971" s="3580"/>
      <c r="X971" s="3569"/>
      <c r="Y971" s="3577" t="s">
        <v>196</v>
      </c>
      <c r="Z971" s="3578">
        <f t="array" ref="Z971">IFERROR(VLOOKUP(Y954,Dex!$B$3:$N1022,12,FALSE),"")</f>
        <v>101</v>
      </c>
      <c r="AA971" s="3579" t="str">
        <f t="array" ref="AA971">IFERROR(VLOOKUP(Z971,Dex!$P$22:$Q$276,2,FALSE),"")</f>
        <v/>
      </c>
      <c r="AB971" s="3580"/>
      <c r="AC971" s="3569"/>
      <c r="AD971" s="3569"/>
      <c r="AE971" s="3569"/>
      <c r="AF971" s="3569"/>
      <c r="AG971" s="3569"/>
      <c r="AH971" s="3570"/>
      <c r="AI971" s="3466"/>
    </row>
    <row r="972" ht="16.5" customHeight="1">
      <c r="A972" s="3457"/>
      <c r="B972" s="3563"/>
      <c r="C972" s="1204" t="s">
        <v>436</v>
      </c>
      <c r="D972" s="3564"/>
      <c r="E972" s="3583" t="s">
        <v>197</v>
      </c>
      <c r="F972" s="3584">
        <f t="array" ref="F972">IFERROR(VLOOKUP(E954,Dex!$B$3:$N1022,13,FALSE),"")</f>
        <v>78</v>
      </c>
      <c r="G972" s="3585" t="str">
        <f t="array" ref="G972">IFERROR(VLOOKUP(F972,Dex!$P$22:$Q$276,2,FALSE),"")</f>
        <v/>
      </c>
      <c r="H972" s="3586">
        <v>252.0</v>
      </c>
      <c r="I972" s="3575"/>
      <c r="J972" s="3583" t="s">
        <v>197</v>
      </c>
      <c r="K972" s="3584">
        <f t="array" ref="K972">IFERROR(VLOOKUP(J954,Dex!$B$3:$N1022,13,FALSE),"")</f>
        <v>108</v>
      </c>
      <c r="L972" s="3585" t="str">
        <f t="array" ref="L972">IFERROR(VLOOKUP(K972,Dex!$P$22:$Q$276,2,FALSE),"")</f>
        <v/>
      </c>
      <c r="M972" s="3586">
        <v>252.0</v>
      </c>
      <c r="N972" s="3564"/>
      <c r="O972" s="3583" t="s">
        <v>197</v>
      </c>
      <c r="P972" s="3584">
        <f t="array" ref="P972">IFERROR(VLOOKUP(O954,Dex!$B$3:$N1022,13,FALSE),"")</f>
        <v>65</v>
      </c>
      <c r="Q972" s="3585" t="str">
        <f t="array" ref="Q972">IFERROR(VLOOKUP(P972,Dex!$P$22:$Q$276,2,FALSE),"")</f>
        <v/>
      </c>
      <c r="R972" s="3586">
        <v>4.0</v>
      </c>
      <c r="S972" s="3569"/>
      <c r="T972" s="3583" t="s">
        <v>197</v>
      </c>
      <c r="U972" s="3584">
        <f t="array" ref="U972">IFERROR(VLOOKUP(T954,Dex!$B$3:$N1022,13,FALSE),"")</f>
        <v>105</v>
      </c>
      <c r="V972" s="3585" t="str">
        <f t="array" ref="V972">IFERROR(VLOOKUP(U972,Dex!$P$22:$Q$276,2,FALSE),"")</f>
        <v/>
      </c>
      <c r="W972" s="3586">
        <v>252.0</v>
      </c>
      <c r="X972" s="3569"/>
      <c r="Y972" s="3583" t="s">
        <v>197</v>
      </c>
      <c r="Z972" s="3584">
        <f t="array" ref="Z972">IFERROR(VLOOKUP(Y954,Dex!$B$3:$N1022,13,FALSE),"")</f>
        <v>60</v>
      </c>
      <c r="AA972" s="3585" t="str">
        <f t="array" ref="AA972">IFERROR(VLOOKUP(Z972,Dex!$P$22:$Q$276,2,FALSE),"")</f>
        <v/>
      </c>
      <c r="AB972" s="3586"/>
      <c r="AC972" s="3569"/>
      <c r="AD972" s="3569"/>
      <c r="AE972" s="3569"/>
      <c r="AF972" s="3569"/>
      <c r="AG972" s="3569"/>
      <c r="AH972" s="3570"/>
      <c r="AI972" s="3466"/>
    </row>
    <row r="973" ht="16.5" customHeight="1">
      <c r="A973" s="3457"/>
      <c r="B973" s="3563"/>
      <c r="C973" s="1205" t="s">
        <v>1279</v>
      </c>
      <c r="D973" s="5140"/>
      <c r="E973" s="3587" t="s">
        <v>198</v>
      </c>
      <c r="F973" s="405"/>
      <c r="G973" s="406"/>
      <c r="H973" s="3588">
        <v>233.0</v>
      </c>
      <c r="I973" s="3567"/>
      <c r="J973" s="3587" t="s">
        <v>198</v>
      </c>
      <c r="K973" s="405"/>
      <c r="L973" s="406"/>
      <c r="M973" s="3588">
        <v>288.0</v>
      </c>
      <c r="N973" s="5140"/>
      <c r="O973" s="3587" t="s">
        <v>198</v>
      </c>
      <c r="P973" s="405"/>
      <c r="Q973" s="406"/>
      <c r="R973" s="3588">
        <v>139.0</v>
      </c>
      <c r="S973" s="5154"/>
      <c r="T973" s="5141" t="s">
        <v>198</v>
      </c>
      <c r="U973" s="918"/>
      <c r="V973" s="919"/>
      <c r="W973" s="5142">
        <v>286.0</v>
      </c>
      <c r="X973" s="5154"/>
      <c r="Y973" s="3587" t="s">
        <v>198</v>
      </c>
      <c r="Z973" s="405"/>
      <c r="AA973" s="406"/>
      <c r="AB973" s="3588">
        <v>131.0</v>
      </c>
      <c r="AC973" s="3569"/>
      <c r="AD973" s="3569"/>
      <c r="AE973" s="3569"/>
      <c r="AF973" s="3569"/>
      <c r="AG973" s="3569"/>
      <c r="AH973" s="3570"/>
      <c r="AI973" s="3466"/>
    </row>
    <row r="974" ht="16.5" customHeight="1">
      <c r="A974" s="3457"/>
      <c r="B974" s="5143"/>
      <c r="C974" s="3555"/>
      <c r="D974" s="5145"/>
      <c r="E974" s="5161"/>
      <c r="F974" s="5161"/>
      <c r="G974" s="5161"/>
      <c r="H974" s="3555"/>
      <c r="I974" s="5147"/>
      <c r="J974" s="5161"/>
      <c r="K974" s="5161"/>
      <c r="L974" s="5161"/>
      <c r="M974" s="3555"/>
      <c r="N974" s="5145"/>
      <c r="O974" s="5161"/>
      <c r="P974" s="5161"/>
      <c r="Q974" s="5161"/>
      <c r="R974" s="3555"/>
      <c r="S974" s="5155"/>
      <c r="T974" s="5149" t="s">
        <v>510</v>
      </c>
      <c r="U974" s="925"/>
      <c r="V974" s="926"/>
      <c r="W974" s="5150">
        <v>429.0</v>
      </c>
      <c r="X974" s="5155"/>
      <c r="Y974" s="5161"/>
      <c r="Z974" s="5161"/>
      <c r="AA974" s="5161"/>
      <c r="AB974" s="3555"/>
      <c r="AC974" s="3555"/>
      <c r="AD974" s="5148"/>
      <c r="AE974" s="5148"/>
      <c r="AF974" s="5148"/>
      <c r="AG974" s="5148"/>
      <c r="AH974" s="5151"/>
      <c r="AI974" s="3466"/>
    </row>
    <row r="975" ht="15.0" customHeight="1">
      <c r="A975" s="3368"/>
      <c r="B975" s="3589"/>
      <c r="C975" s="3590"/>
      <c r="D975" s="3591"/>
      <c r="E975" s="3592"/>
      <c r="F975" s="3592"/>
      <c r="G975" s="3592"/>
      <c r="H975" s="3593"/>
      <c r="I975" s="3593"/>
      <c r="J975" s="3592"/>
      <c r="K975" s="3592"/>
      <c r="L975" s="3592"/>
      <c r="M975" s="3593"/>
      <c r="N975" s="3595"/>
      <c r="O975" s="3596"/>
      <c r="P975" s="3596"/>
      <c r="Q975" s="3597"/>
      <c r="R975" s="3597"/>
      <c r="S975" s="3597"/>
      <c r="T975" s="3596"/>
      <c r="U975" s="3596"/>
      <c r="V975" s="3597"/>
      <c r="W975" s="3597"/>
      <c r="X975" s="3595"/>
      <c r="Y975" s="5158"/>
      <c r="Z975" s="5158"/>
      <c r="AA975" s="5158"/>
      <c r="AB975" s="3598"/>
      <c r="AC975" s="3598"/>
      <c r="AD975" s="3598"/>
      <c r="AE975" s="3598"/>
      <c r="AF975" s="3598"/>
      <c r="AG975" s="3598"/>
      <c r="AH975" s="3599"/>
      <c r="AI975" s="3380"/>
    </row>
    <row r="976" ht="15.0" customHeight="1">
      <c r="A976" s="3361"/>
      <c r="B976" s="3491"/>
      <c r="C976" s="3492"/>
      <c r="D976" s="3493"/>
      <c r="E976" s="3494"/>
      <c r="F976" s="3494"/>
      <c r="G976" s="3494"/>
      <c r="H976" s="3494"/>
      <c r="I976" s="3493"/>
      <c r="J976" s="3494"/>
      <c r="K976" s="3494"/>
      <c r="L976" s="3494"/>
      <c r="M976" s="3494"/>
      <c r="N976" s="3493"/>
      <c r="O976" s="3494"/>
      <c r="P976" s="3494"/>
      <c r="Q976" s="3494"/>
      <c r="R976" s="3494"/>
      <c r="S976" s="3493"/>
      <c r="T976" s="3494"/>
      <c r="U976" s="3494"/>
      <c r="V976" s="3494"/>
      <c r="W976" s="3494"/>
      <c r="X976" s="3493"/>
      <c r="Y976" s="3494"/>
      <c r="Z976" s="3494"/>
      <c r="AA976" s="3494"/>
      <c r="AB976" s="3494"/>
      <c r="AC976" s="3493"/>
      <c r="AD976" s="3493"/>
      <c r="AE976" s="3493"/>
      <c r="AF976" s="3493"/>
      <c r="AG976" s="3493"/>
      <c r="AH976" s="3495"/>
      <c r="AI976" s="3367"/>
    </row>
    <row r="977" ht="96.75" customHeight="1">
      <c r="A977" s="3368"/>
      <c r="B977" s="3496"/>
      <c r="C977" s="3497" t="str">
        <f>IMAGE("https://i.ibb.co/26kF6WW/Ace-Trainer-F.png")</f>
        <v/>
      </c>
      <c r="D977" s="3498"/>
      <c r="E977" s="3499" t="str">
        <f t="array" ref="E977">IFERROR(VLOOKUP(E978,Dex!$B$3:$G1022,3,FALSE),"")</f>
        <v/>
      </c>
      <c r="F977" s="381"/>
      <c r="G977" s="381"/>
      <c r="H977" s="2531"/>
      <c r="I977" s="3500"/>
      <c r="J977" s="3499" t="str">
        <f t="array" ref="J977">IFERROR(VLOOKUP(J978,Dex!$B$3:$G1022,3,FALSE),"")</f>
        <v/>
      </c>
      <c r="K977" s="381"/>
      <c r="L977" s="381"/>
      <c r="M977" s="2531"/>
      <c r="N977" s="5127"/>
      <c r="O977" s="3499" t="str">
        <f t="array" ref="O977">IFERROR(VLOOKUP(O978,Dex!$B$3:$G1022,3,FALSE),"")</f>
        <v/>
      </c>
      <c r="P977" s="381"/>
      <c r="Q977" s="381"/>
      <c r="R977" s="2531"/>
      <c r="S977" s="5128"/>
      <c r="T977" s="3499" t="str">
        <f t="array" ref="T977">IFERROR(VLOOKUP(T978,Dex!$B$3:$G1022,3,FALSE),"")</f>
        <v/>
      </c>
      <c r="U977" s="381"/>
      <c r="V977" s="381"/>
      <c r="W977" s="2531"/>
      <c r="X977" s="5127"/>
      <c r="Y977" s="3499" t="str">
        <f t="array" ref="Y977">IFERROR(VLOOKUP(Y978,Dex!$B$3:$G1022,3,FALSE),"")</f>
        <v/>
      </c>
      <c r="Z977" s="381"/>
      <c r="AA977" s="381"/>
      <c r="AB977" s="2531"/>
      <c r="AC977" s="5152"/>
      <c r="AD977" s="3502"/>
      <c r="AE977" s="3503"/>
      <c r="AF977" s="3503"/>
      <c r="AG977" s="3504"/>
      <c r="AH977" s="3507"/>
      <c r="AI977" s="3380"/>
    </row>
    <row r="978" ht="18.75" customHeight="1">
      <c r="A978" s="3381"/>
      <c r="B978" s="3508"/>
      <c r="C978" s="3509" t="s">
        <v>1311</v>
      </c>
      <c r="D978" s="3510"/>
      <c r="E978" s="5129" t="s">
        <v>1312</v>
      </c>
      <c r="F978" s="3512"/>
      <c r="G978" s="3512"/>
      <c r="H978" s="5130"/>
      <c r="J978" s="5129" t="s">
        <v>1056</v>
      </c>
      <c r="K978" s="3512"/>
      <c r="L978" s="3512"/>
      <c r="M978" s="5130"/>
      <c r="O978" s="5129" t="s">
        <v>1129</v>
      </c>
      <c r="P978" s="3512"/>
      <c r="Q978" s="3512"/>
      <c r="R978" s="5130"/>
      <c r="T978" s="5129" t="s">
        <v>830</v>
      </c>
      <c r="U978" s="3512"/>
      <c r="V978" s="3512"/>
      <c r="W978" s="5130"/>
      <c r="Y978" s="5129" t="s">
        <v>1313</v>
      </c>
      <c r="Z978" s="3512"/>
      <c r="AA978" s="3512"/>
      <c r="AB978" s="5130"/>
      <c r="AC978" s="3514"/>
      <c r="AD978" s="3515"/>
      <c r="AE978" s="3503"/>
      <c r="AF978" s="3503"/>
      <c r="AG978" s="3504"/>
      <c r="AH978" s="3517"/>
      <c r="AI978" s="3393"/>
    </row>
    <row r="979">
      <c r="A979" s="3394"/>
      <c r="B979" s="3518"/>
      <c r="C979" s="1481"/>
      <c r="D979" s="3519"/>
      <c r="E979" s="5159">
        <v>83.0</v>
      </c>
      <c r="F979" s="3521"/>
      <c r="G979" s="3521"/>
      <c r="H979" s="3522"/>
      <c r="J979" s="5159">
        <v>83.0</v>
      </c>
      <c r="K979" s="3521"/>
      <c r="L979" s="3521"/>
      <c r="M979" s="3522"/>
      <c r="O979" s="5159">
        <v>83.0</v>
      </c>
      <c r="P979" s="3521"/>
      <c r="Q979" s="3521"/>
      <c r="R979" s="3522"/>
      <c r="T979" s="5159">
        <v>83.0</v>
      </c>
      <c r="U979" s="3521"/>
      <c r="V979" s="3521"/>
      <c r="W979" s="3522"/>
      <c r="Y979" s="5159">
        <v>84.0</v>
      </c>
      <c r="Z979" s="3521"/>
      <c r="AA979" s="3521"/>
      <c r="AB979" s="3522"/>
      <c r="AC979" s="3514"/>
      <c r="AD979" s="3523"/>
      <c r="AE979" s="3503"/>
      <c r="AF979" s="3503"/>
      <c r="AG979" s="3504"/>
      <c r="AH979" s="3524"/>
      <c r="AI979" s="3402"/>
    </row>
    <row r="980" ht="25.5" customHeight="1">
      <c r="A980" s="3368"/>
      <c r="B980" s="3496"/>
      <c r="C980" s="1489"/>
      <c r="D980" s="3498"/>
      <c r="E980" s="5133"/>
      <c r="F980" s="3526" t="str">
        <f t="array" ref="F980">IFERROR(VLOOKUP(E978,Dex!$B$3:$H1022,5,FALSE),"")</f>
        <v/>
      </c>
      <c r="G980" s="3527"/>
      <c r="H980" s="5136"/>
      <c r="J980" s="5133"/>
      <c r="K980" s="5134" t="str">
        <f t="array" ref="K980">IFERROR(VLOOKUP(J978,Dex!$B$3:$H1022,5,FALSE),"")</f>
        <v/>
      </c>
      <c r="L980" s="5135" t="str">
        <f t="array" ref="L980">IFERROR(VLOOKUP(J978,Dex!$B$3:$H1022,7,FALSE),"")</f>
        <v/>
      </c>
      <c r="M980" s="5136"/>
      <c r="O980" s="5133"/>
      <c r="P980" s="3526" t="str">
        <f t="array" ref="P980">IFERROR(VLOOKUP(O978,Dex!$B$3:$H1022,5,FALSE),"")</f>
        <v/>
      </c>
      <c r="Q980" s="3527"/>
      <c r="R980" s="5136"/>
      <c r="T980" s="5133"/>
      <c r="U980" s="3526" t="str">
        <f t="array" ref="U980">IFERROR(VLOOKUP(T978,Dex!$B$3:$H1022,5,FALSE),"")</f>
        <v/>
      </c>
      <c r="V980" s="3527"/>
      <c r="W980" s="5136"/>
      <c r="Y980" s="5133"/>
      <c r="Z980" s="5134" t="str">
        <f t="array" ref="Z980">IFERROR(VLOOKUP(Y978,Dex!$B$3:$H1022,5,FALSE),"")</f>
        <v/>
      </c>
      <c r="AA980" s="5135" t="str">
        <f t="array" ref="AA980">IFERROR(VLOOKUP(Y978,Dex!$B$3:$H1022,7,FALSE),"")</f>
        <v/>
      </c>
      <c r="AB980" s="5136"/>
      <c r="AC980" s="3514"/>
      <c r="AD980" s="3502"/>
      <c r="AE980" s="3503"/>
      <c r="AF980" s="3503"/>
      <c r="AG980" s="3504"/>
      <c r="AH980" s="3507"/>
      <c r="AI980" s="3380"/>
    </row>
    <row r="981" ht="2.25" customHeight="1">
      <c r="A981" s="3368"/>
      <c r="B981" s="3496"/>
      <c r="C981" s="3529"/>
      <c r="D981" s="3498"/>
      <c r="E981" s="5137"/>
      <c r="F981" s="5138"/>
      <c r="G981" s="5138"/>
      <c r="H981" s="5139"/>
      <c r="J981" s="5137"/>
      <c r="K981" s="5138"/>
      <c r="L981" s="5138"/>
      <c r="M981" s="5139"/>
      <c r="O981" s="5137"/>
      <c r="P981" s="5138"/>
      <c r="Q981" s="5138"/>
      <c r="R981" s="5139"/>
      <c r="T981" s="5137"/>
      <c r="U981" s="5138"/>
      <c r="V981" s="5138"/>
      <c r="W981" s="5139"/>
      <c r="Y981" s="5137"/>
      <c r="Z981" s="5138"/>
      <c r="AA981" s="5138"/>
      <c r="AB981" s="5139"/>
      <c r="AC981" s="3514"/>
      <c r="AD981" s="3533"/>
      <c r="AE981" s="3533"/>
      <c r="AF981" s="3533"/>
      <c r="AG981" s="3533"/>
      <c r="AH981" s="3507"/>
      <c r="AI981" s="3380"/>
    </row>
    <row r="982" ht="20.25" customHeight="1">
      <c r="A982" s="3368"/>
      <c r="B982" s="3496"/>
      <c r="C982" s="3529"/>
      <c r="D982" s="3498"/>
      <c r="E982" s="3534" t="s">
        <v>263</v>
      </c>
      <c r="F982" s="3535"/>
      <c r="G982" s="3535"/>
      <c r="H982" s="3536"/>
      <c r="J982" s="3534" t="s">
        <v>171</v>
      </c>
      <c r="K982" s="3535"/>
      <c r="L982" s="3535"/>
      <c r="M982" s="3536"/>
      <c r="O982" s="3534" t="s">
        <v>206</v>
      </c>
      <c r="P982" s="3535"/>
      <c r="Q982" s="3535"/>
      <c r="R982" s="3536"/>
      <c r="T982" s="3534" t="s">
        <v>169</v>
      </c>
      <c r="U982" s="3535"/>
      <c r="V982" s="3535"/>
      <c r="W982" s="3536"/>
      <c r="Y982" s="3534" t="s">
        <v>206</v>
      </c>
      <c r="Z982" s="3535"/>
      <c r="AA982" s="3535"/>
      <c r="AB982" s="3536"/>
      <c r="AC982" s="3514"/>
      <c r="AD982" s="3502"/>
      <c r="AE982" s="3503"/>
      <c r="AF982" s="3503"/>
      <c r="AG982" s="3504"/>
      <c r="AH982" s="3507"/>
      <c r="AI982" s="3380"/>
    </row>
    <row r="983" ht="20.25" customHeight="1">
      <c r="A983" s="3368"/>
      <c r="B983" s="3496"/>
      <c r="C983" s="3537"/>
      <c r="D983" s="3498"/>
      <c r="E983" s="3538" t="s">
        <v>979</v>
      </c>
      <c r="F983" s="3503"/>
      <c r="G983" s="3503"/>
      <c r="H983" s="3539"/>
      <c r="J983" s="3538" t="s">
        <v>914</v>
      </c>
      <c r="K983" s="3503"/>
      <c r="L983" s="3503"/>
      <c r="M983" s="3539"/>
      <c r="O983" s="3538" t="s">
        <v>1132</v>
      </c>
      <c r="P983" s="3503"/>
      <c r="Q983" s="3503"/>
      <c r="R983" s="3539"/>
      <c r="T983" s="3538" t="s">
        <v>1314</v>
      </c>
      <c r="U983" s="3503"/>
      <c r="V983" s="3503"/>
      <c r="W983" s="3539"/>
      <c r="Y983" s="5162" t="s">
        <v>1315</v>
      </c>
      <c r="Z983" s="3503"/>
      <c r="AA983" s="3503"/>
      <c r="AB983" s="3539"/>
      <c r="AC983" s="3514"/>
      <c r="AD983" s="3502"/>
      <c r="AE983" s="3503"/>
      <c r="AF983" s="3503"/>
      <c r="AG983" s="3504"/>
      <c r="AH983" s="3507"/>
      <c r="AI983" s="3380"/>
    </row>
    <row r="984" ht="20.25" customHeight="1">
      <c r="A984" s="3368"/>
      <c r="B984" s="3496"/>
      <c r="C984" s="3516"/>
      <c r="D984" s="3498"/>
      <c r="E984" s="3540" t="s">
        <v>272</v>
      </c>
      <c r="F984" s="3541"/>
      <c r="G984" s="3542"/>
      <c r="H984" s="3543" t="str">
        <f>IMAGE("https://raw.githubusercontent.com/msikma/pokesprite/master/items/hold-item/life-orb.png",3)</f>
        <v/>
      </c>
      <c r="J984" s="3540" t="s">
        <v>272</v>
      </c>
      <c r="K984" s="3541"/>
      <c r="L984" s="3542"/>
      <c r="M984" s="3543" t="str">
        <f>IMAGE("https://raw.githubusercontent.com/msikma/pokesprite/master/items/hold-item/life-orb.png",3)</f>
        <v/>
      </c>
      <c r="O984" s="3540" t="s">
        <v>211</v>
      </c>
      <c r="P984" s="3541"/>
      <c r="Q984" s="3542"/>
      <c r="R984" s="3543" t="str">
        <f>IMAGE("https://raw.githubusercontent.com/msikma/pokesprite/master/items/hold-item/eviolite.png",3)</f>
        <v/>
      </c>
      <c r="T984" s="3540" t="s">
        <v>766</v>
      </c>
      <c r="U984" s="3541"/>
      <c r="V984" s="3542"/>
      <c r="W984" s="3543" t="str">
        <f>IMAGE("https://raw.githubusercontent.com/msikma/pokesprite/master/items/hold-item/choice-band.png",3)</f>
        <v/>
      </c>
      <c r="Y984" s="3540" t="s">
        <v>1316</v>
      </c>
      <c r="Z984" s="3541"/>
      <c r="AA984" s="3542"/>
      <c r="AB984" s="3543" t="str">
        <f>IMAGE("https://raw.githubusercontent.com/msikma/pokesprite/master/items/mega-stone/audinite.png",3)</f>
        <v/>
      </c>
      <c r="AC984" s="3514"/>
      <c r="AD984" s="3502"/>
      <c r="AE984" s="3503"/>
      <c r="AF984" s="3503"/>
      <c r="AG984" s="3504"/>
      <c r="AH984" s="3507"/>
      <c r="AI984" s="3380"/>
    </row>
    <row r="985" ht="20.25" customHeight="1">
      <c r="A985" s="3368"/>
      <c r="B985" s="3496"/>
      <c r="C985" s="3544"/>
      <c r="D985" s="3498"/>
      <c r="E985" s="3534" t="s">
        <v>464</v>
      </c>
      <c r="F985" s="3535"/>
      <c r="G985" s="3545"/>
      <c r="H985" s="3546" t="str">
        <f>IMAGE("https://raw.githubusercontent.com/msikma/pokesprite/master/misc/types/gen8/fairy.png",4,20,20)</f>
        <v/>
      </c>
      <c r="J985" s="3534" t="s">
        <v>464</v>
      </c>
      <c r="K985" s="3535"/>
      <c r="L985" s="3545"/>
      <c r="M985" s="3546" t="str">
        <f>IMAGE("https://raw.githubusercontent.com/msikma/pokesprite/master/misc/types/gen8/fairy.png",4,20,20)</f>
        <v/>
      </c>
      <c r="O985" s="3534" t="s">
        <v>984</v>
      </c>
      <c r="P985" s="3535"/>
      <c r="Q985" s="3545"/>
      <c r="R985" s="3546" t="str">
        <f>IMAGE("https://raw.githubusercontent.com/msikma/pokesprite/master/misc/types/gen8/normal.png",4,20,20)</f>
        <v/>
      </c>
      <c r="T985" s="3534" t="s">
        <v>1300</v>
      </c>
      <c r="U985" s="3535"/>
      <c r="V985" s="3545"/>
      <c r="W985" s="3546" t="str">
        <f>IMAGE("https://raw.githubusercontent.com/msikma/pokesprite/master/misc/types/gen8/normal.png",4,20,20)</f>
        <v/>
      </c>
      <c r="Y985" s="3534" t="s">
        <v>464</v>
      </c>
      <c r="Z985" s="3535"/>
      <c r="AA985" s="3545"/>
      <c r="AB985" s="3546" t="str">
        <f>IMAGE("https://raw.githubusercontent.com/msikma/pokesprite/master/misc/types/gen8/fairy.png",4,20,20)</f>
        <v/>
      </c>
      <c r="AC985" s="3514"/>
      <c r="AD985" s="3502"/>
      <c r="AE985" s="3503"/>
      <c r="AF985" s="3503"/>
      <c r="AG985" s="3504"/>
      <c r="AH985" s="3507"/>
      <c r="AI985" s="3380"/>
    </row>
    <row r="986" ht="20.25" customHeight="1">
      <c r="A986" s="3368"/>
      <c r="B986" s="3496"/>
      <c r="C986" s="3529"/>
      <c r="D986" s="3498"/>
      <c r="E986" s="3538" t="s">
        <v>785</v>
      </c>
      <c r="F986" s="3503"/>
      <c r="G986" s="3504"/>
      <c r="H986" s="3547" t="str">
        <f>IMAGE("https://raw.githubusercontent.com/msikma/pokesprite/master/misc/types/gen8/fire.png",4,20,20)</f>
        <v/>
      </c>
      <c r="J986" s="3538" t="s">
        <v>277</v>
      </c>
      <c r="K986" s="3503"/>
      <c r="L986" s="3504"/>
      <c r="M986" s="3547" t="str">
        <f>IMAGE("https://raw.githubusercontent.com/msikma/pokesprite/master/misc/types/gen8/electric.png",4,20,20)</f>
        <v/>
      </c>
      <c r="O986" s="3538" t="s">
        <v>184</v>
      </c>
      <c r="P986" s="3503"/>
      <c r="Q986" s="3504"/>
      <c r="R986" s="3547" t="str">
        <f>IMAGE("https://raw.githubusercontent.com/msikma/pokesprite/master/misc/types/gen8/poison.png",4,20,20)</f>
        <v/>
      </c>
      <c r="T986" s="3538" t="s">
        <v>279</v>
      </c>
      <c r="U986" s="3503"/>
      <c r="V986" s="3504"/>
      <c r="W986" s="3547" t="str">
        <f>IMAGE("https://raw.githubusercontent.com/msikma/pokesprite/master/misc/types/gen8/dark.png",4,20,20)</f>
        <v/>
      </c>
      <c r="Y986" s="3538" t="s">
        <v>984</v>
      </c>
      <c r="Z986" s="3503"/>
      <c r="AA986" s="3504"/>
      <c r="AB986" s="3547" t="str">
        <f t="shared" ref="AB986:AB987" si="30">IMAGE("https://raw.githubusercontent.com/msikma/pokesprite/master/misc/types/gen8/normal.png",4,20,20)</f>
        <v/>
      </c>
      <c r="AC986" s="3514"/>
      <c r="AD986" s="3502"/>
      <c r="AE986" s="3503"/>
      <c r="AF986" s="3503"/>
      <c r="AG986" s="3504"/>
      <c r="AH986" s="3507"/>
      <c r="AI986" s="3380"/>
    </row>
    <row r="987" ht="20.25" customHeight="1">
      <c r="A987" s="3368"/>
      <c r="B987" s="3496"/>
      <c r="C987" s="3529"/>
      <c r="D987" s="3498"/>
      <c r="E987" s="3538" t="s">
        <v>277</v>
      </c>
      <c r="F987" s="3503"/>
      <c r="G987" s="3504"/>
      <c r="H987" s="3547" t="str">
        <f>IMAGE("https://raw.githubusercontent.com/msikma/pokesprite/master/misc/types/gen8/electric.png",4,20,20)</f>
        <v/>
      </c>
      <c r="J987" s="3538" t="s">
        <v>372</v>
      </c>
      <c r="K987" s="3503"/>
      <c r="L987" s="3504"/>
      <c r="M987" s="3547" t="str">
        <f>IMAGE("https://raw.githubusercontent.com/msikma/pokesprite/master/misc/types/gen8/fire.png",4,20,20)</f>
        <v/>
      </c>
      <c r="O987" s="3538" t="s">
        <v>719</v>
      </c>
      <c r="P987" s="3503"/>
      <c r="Q987" s="3504"/>
      <c r="R987" s="3547" t="str">
        <f>IMAGE("https://raw.githubusercontent.com/msikma/pokesprite/master/misc/types/gen8/fighting.png",4,20,20)</f>
        <v/>
      </c>
      <c r="T987" s="3538" t="s">
        <v>278</v>
      </c>
      <c r="U987" s="3503"/>
      <c r="V987" s="3504"/>
      <c r="W987" s="3547" t="str">
        <f>IMAGE("https://raw.githubusercontent.com/msikma/pokesprite/master/misc/types/gen8/bug.png",4,20,20)</f>
        <v/>
      </c>
      <c r="Y987" s="3538" t="s">
        <v>187</v>
      </c>
      <c r="Z987" s="3503"/>
      <c r="AA987" s="3504"/>
      <c r="AB987" s="3547" t="str">
        <f t="shared" si="30"/>
        <v/>
      </c>
      <c r="AC987" s="3514"/>
      <c r="AD987" s="3502"/>
      <c r="AE987" s="3503"/>
      <c r="AF987" s="3503"/>
      <c r="AG987" s="3504"/>
      <c r="AH987" s="3507"/>
      <c r="AI987" s="3380"/>
    </row>
    <row r="988" ht="21.0" customHeight="1">
      <c r="A988" s="3368"/>
      <c r="B988" s="3496"/>
      <c r="C988" s="3529"/>
      <c r="D988" s="3498"/>
      <c r="E988" s="3548" t="s">
        <v>395</v>
      </c>
      <c r="F988" s="3549"/>
      <c r="G988" s="3550"/>
      <c r="H988" s="3551" t="str">
        <f>IMAGE("https://raw.githubusercontent.com/msikma/pokesprite/master/misc/types/gen8/rock.png",4,20,20)</f>
        <v/>
      </c>
      <c r="I988" s="3552"/>
      <c r="J988" s="3548" t="s">
        <v>311</v>
      </c>
      <c r="K988" s="3549"/>
      <c r="L988" s="3550"/>
      <c r="M988" s="3551" t="str">
        <f>IMAGE("https://raw.githubusercontent.com/msikma/pokesprite/master/misc/types/gen8/normal.png",4,20,20)</f>
        <v/>
      </c>
      <c r="N988" s="3552"/>
      <c r="O988" s="3548" t="s">
        <v>187</v>
      </c>
      <c r="P988" s="3549"/>
      <c r="Q988" s="3550"/>
      <c r="R988" s="3551" t="str">
        <f>IMAGE("https://raw.githubusercontent.com/msikma/pokesprite/master/misc/types/gen8/normal.png",4,20,20)</f>
        <v/>
      </c>
      <c r="S988" s="3552"/>
      <c r="T988" s="3548" t="s">
        <v>402</v>
      </c>
      <c r="U988" s="3549"/>
      <c r="V988" s="3550"/>
      <c r="W988" s="3551" t="str">
        <f>IMAGE("https://raw.githubusercontent.com/msikma/pokesprite/master/misc/types/gen8/ground.png",4,20,20)</f>
        <v/>
      </c>
      <c r="X988" s="3552"/>
      <c r="Y988" s="3548" t="s">
        <v>184</v>
      </c>
      <c r="Z988" s="3549"/>
      <c r="AA988" s="3550"/>
      <c r="AB988" s="3551" t="str">
        <f>IMAGE("https://raw.githubusercontent.com/msikma/pokesprite/master/misc/types/gen8/poison.png",4,20,20)</f>
        <v/>
      </c>
      <c r="AC988" s="3553"/>
      <c r="AD988" s="3502"/>
      <c r="AE988" s="3503"/>
      <c r="AF988" s="3503"/>
      <c r="AG988" s="3504"/>
      <c r="AH988" s="3507"/>
      <c r="AI988" s="3380"/>
    </row>
    <row r="989" ht="3.0" customHeight="1">
      <c r="A989" s="3445"/>
      <c r="B989" s="3554"/>
      <c r="C989" s="3555"/>
      <c r="D989" s="3556"/>
      <c r="E989" s="3558"/>
      <c r="F989" s="3558"/>
      <c r="G989" s="3558"/>
      <c r="H989" s="3557"/>
      <c r="I989" s="3556"/>
      <c r="J989" s="3558"/>
      <c r="K989" s="3558"/>
      <c r="L989" s="3558"/>
      <c r="M989" s="3557"/>
      <c r="N989" s="3556"/>
      <c r="O989" s="3558"/>
      <c r="P989" s="3558"/>
      <c r="Q989" s="3558"/>
      <c r="R989" s="3557"/>
      <c r="S989" s="3559"/>
      <c r="T989" s="3558"/>
      <c r="U989" s="3558"/>
      <c r="V989" s="3558"/>
      <c r="W989" s="3557"/>
      <c r="X989" s="3556"/>
      <c r="Y989" s="3558"/>
      <c r="Z989" s="3558"/>
      <c r="AA989" s="3558"/>
      <c r="AB989" s="3557"/>
      <c r="AC989" s="3561"/>
      <c r="AD989" s="3561"/>
      <c r="AE989" s="3561"/>
      <c r="AF989" s="3561"/>
      <c r="AG989" s="3561"/>
      <c r="AH989" s="3562"/>
      <c r="AI989" s="3456"/>
    </row>
    <row r="990" ht="16.5" customHeight="1">
      <c r="A990" s="3457"/>
      <c r="B990" s="3563"/>
      <c r="C990" s="3555"/>
      <c r="D990" s="5140"/>
      <c r="E990" s="3565" t="s">
        <v>190</v>
      </c>
      <c r="F990" s="381"/>
      <c r="G990" s="382"/>
      <c r="H990" s="3566" t="s">
        <v>191</v>
      </c>
      <c r="I990" s="3567"/>
      <c r="J990" s="3565" t="s">
        <v>190</v>
      </c>
      <c r="K990" s="381"/>
      <c r="L990" s="382"/>
      <c r="M990" s="3566" t="s">
        <v>191</v>
      </c>
      <c r="N990" s="5140"/>
      <c r="O990" s="3565" t="s">
        <v>190</v>
      </c>
      <c r="P990" s="381"/>
      <c r="Q990" s="382"/>
      <c r="R990" s="3566" t="s">
        <v>191</v>
      </c>
      <c r="S990" s="5153"/>
      <c r="T990" s="3565" t="s">
        <v>190</v>
      </c>
      <c r="U990" s="381"/>
      <c r="V990" s="382"/>
      <c r="W990" s="3566" t="s">
        <v>191</v>
      </c>
      <c r="X990" s="5154"/>
      <c r="Y990" s="3565" t="s">
        <v>190</v>
      </c>
      <c r="Z990" s="381"/>
      <c r="AA990" s="382"/>
      <c r="AB990" s="3566" t="s">
        <v>191</v>
      </c>
      <c r="AC990" s="3569"/>
      <c r="AD990" s="3569"/>
      <c r="AE990" s="3569"/>
      <c r="AF990" s="3569"/>
      <c r="AG990" s="3569"/>
      <c r="AH990" s="3570"/>
      <c r="AI990" s="3466"/>
    </row>
    <row r="991" ht="16.5" customHeight="1">
      <c r="A991" s="3457"/>
      <c r="B991" s="3563"/>
      <c r="C991" s="3555"/>
      <c r="D991" s="3564"/>
      <c r="E991" s="3571" t="s">
        <v>192</v>
      </c>
      <c r="F991" s="3572">
        <f t="array" ref="F991">IFERROR(VLOOKUP(E978,Dex!$B$3:$N1022,8,FALSE),"")</f>
        <v>95</v>
      </c>
      <c r="G991" s="3573" t="str">
        <f t="array" ref="G991">IFERROR(VLOOKUP(F991,Dex!$P$22:$Q$276,2,FALSE),"")</f>
        <v/>
      </c>
      <c r="H991" s="3574">
        <v>252.0</v>
      </c>
      <c r="I991" s="3575"/>
      <c r="J991" s="3571" t="s">
        <v>192</v>
      </c>
      <c r="K991" s="3572">
        <f t="array" ref="K991">IFERROR(VLOOKUP(J978,Dex!$B$3:$N1022,8,FALSE),"")</f>
        <v>140</v>
      </c>
      <c r="L991" s="3573" t="str">
        <f t="array" ref="L991">IFERROR(VLOOKUP(K991,Dex!$P$22:$Q$276,2,FALSE),"")</f>
        <v/>
      </c>
      <c r="M991" s="3574">
        <v>4.0</v>
      </c>
      <c r="N991" s="3564"/>
      <c r="O991" s="3571" t="s">
        <v>192</v>
      </c>
      <c r="P991" s="3572">
        <f t="array" ref="P991">IFERROR(VLOOKUP(O978,Dex!$B$3:$N1022,8,FALSE),"")</f>
        <v>250</v>
      </c>
      <c r="Q991" s="3573" t="str">
        <f t="array" ref="Q991">IFERROR(VLOOKUP(P991,Dex!$P$22:$Q$276,2,FALSE),"")</f>
        <v/>
      </c>
      <c r="R991" s="3574">
        <v>252.0</v>
      </c>
      <c r="S991" s="3569"/>
      <c r="T991" s="3571" t="s">
        <v>192</v>
      </c>
      <c r="U991" s="3572">
        <f t="array" ref="U991">IFERROR(VLOOKUP(T978,Dex!$B$3:$N1022,8,FALSE),"")</f>
        <v>75</v>
      </c>
      <c r="V991" s="3573" t="str">
        <f t="array" ref="V991">IFERROR(VLOOKUP(U991,Dex!$P$22:$Q$276,2,FALSE),"")</f>
        <v/>
      </c>
      <c r="W991" s="3574">
        <v>252.0</v>
      </c>
      <c r="X991" s="3569"/>
      <c r="Y991" s="3571" t="s">
        <v>192</v>
      </c>
      <c r="Z991" s="3572">
        <f t="array" ref="Z991">IFERROR(VLOOKUP(Y978,Dex!$B$3:$N1022,8,FALSE),"")</f>
        <v>103</v>
      </c>
      <c r="AA991" s="3573" t="str">
        <f t="array" ref="AA991">IFERROR(VLOOKUP(Z991,Dex!$P$22:$Q$276,2,FALSE),"")</f>
        <v/>
      </c>
      <c r="AB991" s="3574">
        <v>252.0</v>
      </c>
      <c r="AC991" s="3569"/>
      <c r="AD991" s="3569"/>
      <c r="AE991" s="3569"/>
      <c r="AF991" s="3569"/>
      <c r="AG991" s="3569"/>
      <c r="AH991" s="3570"/>
      <c r="AI991" s="3466"/>
    </row>
    <row r="992" ht="16.5" customHeight="1">
      <c r="A992" s="3457"/>
      <c r="B992" s="3563"/>
      <c r="C992" s="3555"/>
      <c r="D992" s="3564"/>
      <c r="E992" s="3577" t="s">
        <v>193</v>
      </c>
      <c r="F992" s="3578">
        <f t="array" ref="F992">IFERROR(VLOOKUP(E978,Dex!$B$3:$N1022,9,FALSE),"")</f>
        <v>70</v>
      </c>
      <c r="G992" s="3579" t="str">
        <f t="array" ref="G992">IFERROR(VLOOKUP(F992,Dex!$P$22:$Q$276,2,FALSE),"")</f>
        <v/>
      </c>
      <c r="H992" s="3580"/>
      <c r="I992" s="3575"/>
      <c r="J992" s="3577" t="s">
        <v>193</v>
      </c>
      <c r="K992" s="3578">
        <f t="array" ref="K992">IFERROR(VLOOKUP(J978,Dex!$B$3:$N1022,9,FALSE),"")</f>
        <v>70</v>
      </c>
      <c r="L992" s="3579" t="str">
        <f t="array" ref="L992">IFERROR(VLOOKUP(K992,Dex!$P$22:$Q$276,2,FALSE),"")</f>
        <v/>
      </c>
      <c r="M992" s="3580"/>
      <c r="N992" s="3564"/>
      <c r="O992" s="3577" t="s">
        <v>193</v>
      </c>
      <c r="P992" s="3578">
        <f t="array" ref="P992">IFERROR(VLOOKUP(O978,Dex!$B$3:$N1022,9,FALSE),"")</f>
        <v>5</v>
      </c>
      <c r="Q992" s="3579" t="str">
        <f t="array" ref="Q992">IFERROR(VLOOKUP(P992,Dex!$P$22:$Q$276,2,FALSE),"")</f>
        <v/>
      </c>
      <c r="R992" s="3580"/>
      <c r="S992" s="3569"/>
      <c r="T992" s="3577" t="s">
        <v>193</v>
      </c>
      <c r="U992" s="3578">
        <f t="array" ref="U992">IFERROR(VLOOKUP(T978,Dex!$B$3:$N1022,9,FALSE),"")</f>
        <v>115</v>
      </c>
      <c r="V992" s="3579" t="str">
        <f t="array" ref="V992">IFERROR(VLOOKUP(U992,Dex!$P$22:$Q$276,2,FALSE),"")</f>
        <v/>
      </c>
      <c r="W992" s="3580">
        <v>252.0</v>
      </c>
      <c r="X992" s="3569"/>
      <c r="Y992" s="3577" t="s">
        <v>193</v>
      </c>
      <c r="Z992" s="3578">
        <f t="array" ref="Z992">IFERROR(VLOOKUP(Y978,Dex!$B$3:$N1022,9,FALSE),"")</f>
        <v>60</v>
      </c>
      <c r="AA992" s="3579" t="str">
        <f t="array" ref="AA992">IFERROR(VLOOKUP(Z992,Dex!$P$22:$Q$276,2,FALSE),"")</f>
        <v/>
      </c>
      <c r="AB992" s="3580"/>
      <c r="AC992" s="3569"/>
      <c r="AD992" s="3569"/>
      <c r="AE992" s="3569"/>
      <c r="AF992" s="3569"/>
      <c r="AG992" s="3569"/>
      <c r="AH992" s="3570"/>
      <c r="AI992" s="3466"/>
    </row>
    <row r="993" ht="16.5" customHeight="1">
      <c r="A993" s="3457"/>
      <c r="B993" s="3563"/>
      <c r="C993" s="3555"/>
      <c r="D993" s="3564"/>
      <c r="E993" s="3577" t="s">
        <v>194</v>
      </c>
      <c r="F993" s="3578">
        <f t="array" ref="F993">IFERROR(VLOOKUP(E978,Dex!$B$3:$N1022,10,FALSE),"")</f>
        <v>73</v>
      </c>
      <c r="G993" s="3579" t="str">
        <f t="array" ref="G993">IFERROR(VLOOKUP(F993,Dex!$P$22:$Q$276,2,FALSE),"")</f>
        <v/>
      </c>
      <c r="H993" s="3580"/>
      <c r="I993" s="3575"/>
      <c r="J993" s="3577" t="s">
        <v>194</v>
      </c>
      <c r="K993" s="3578">
        <f t="array" ref="K993">IFERROR(VLOOKUP(J978,Dex!$B$3:$N1022,10,FALSE),"")</f>
        <v>45</v>
      </c>
      <c r="L993" s="3579" t="str">
        <f t="array" ref="L993">IFERROR(VLOOKUP(K993,Dex!$P$22:$Q$276,2,FALSE),"")</f>
        <v/>
      </c>
      <c r="M993" s="3580"/>
      <c r="N993" s="3564"/>
      <c r="O993" s="3577" t="s">
        <v>194</v>
      </c>
      <c r="P993" s="3578">
        <f t="array" ref="P993">IFERROR(VLOOKUP(O978,Dex!$B$3:$N1022,10,FALSE),"")</f>
        <v>5</v>
      </c>
      <c r="Q993" s="3579" t="str">
        <f t="array" ref="Q993">IFERROR(VLOOKUP(P993,Dex!$P$22:$Q$276,2,FALSE),"")</f>
        <v/>
      </c>
      <c r="R993" s="3580">
        <v>252.0</v>
      </c>
      <c r="S993" s="3569"/>
      <c r="T993" s="3577" t="s">
        <v>194</v>
      </c>
      <c r="U993" s="3578">
        <f t="array" ref="U993">IFERROR(VLOOKUP(T978,Dex!$B$3:$N1022,10,FALSE),"")</f>
        <v>65</v>
      </c>
      <c r="V993" s="3579" t="str">
        <f t="array" ref="V993">IFERROR(VLOOKUP(U993,Dex!$P$22:$Q$276,2,FALSE),"")</f>
        <v/>
      </c>
      <c r="W993" s="3580"/>
      <c r="X993" s="3569"/>
      <c r="Y993" s="3577" t="s">
        <v>194</v>
      </c>
      <c r="Z993" s="3578">
        <f t="array" ref="Z993">IFERROR(VLOOKUP(Y978,Dex!$B$3:$N1022,10,FALSE),"")</f>
        <v>126</v>
      </c>
      <c r="AA993" s="3579" t="str">
        <f t="array" ref="AA993">IFERROR(VLOOKUP(Z993,Dex!$P$22:$Q$276,2,FALSE),"")</f>
        <v/>
      </c>
      <c r="AB993" s="3580">
        <v>252.0</v>
      </c>
      <c r="AC993" s="3569"/>
      <c r="AD993" s="3569"/>
      <c r="AE993" s="3569"/>
      <c r="AF993" s="3569"/>
      <c r="AG993" s="3569"/>
      <c r="AH993" s="3570"/>
      <c r="AI993" s="3466"/>
    </row>
    <row r="994" ht="16.5" customHeight="1">
      <c r="A994" s="3457"/>
      <c r="B994" s="3563"/>
      <c r="C994" s="3555"/>
      <c r="D994" s="3564"/>
      <c r="E994" s="3577" t="s">
        <v>195</v>
      </c>
      <c r="F994" s="3578">
        <f t="array" ref="F994">IFERROR(VLOOKUP(E978,Dex!$B$3:$N1022,11,FALSE),"")</f>
        <v>95</v>
      </c>
      <c r="G994" s="3579" t="str">
        <f t="array" ref="G994">IFERROR(VLOOKUP(F994,Dex!$P$22:$Q$276,2,FALSE),"")</f>
        <v/>
      </c>
      <c r="H994" s="3580">
        <v>252.0</v>
      </c>
      <c r="I994" s="3575"/>
      <c r="J994" s="3577" t="s">
        <v>195</v>
      </c>
      <c r="K994" s="3578">
        <f t="array" ref="K994">IFERROR(VLOOKUP(J978,Dex!$B$3:$N1022,11,FALSE),"")</f>
        <v>85</v>
      </c>
      <c r="L994" s="3579" t="str">
        <f t="array" ref="L994">IFERROR(VLOOKUP(K994,Dex!$P$22:$Q$276,2,FALSE),"")</f>
        <v/>
      </c>
      <c r="M994" s="3580"/>
      <c r="N994" s="3564"/>
      <c r="O994" s="3577" t="s">
        <v>195</v>
      </c>
      <c r="P994" s="3578">
        <f t="array" ref="P994">IFERROR(VLOOKUP(O978,Dex!$B$3:$N1022,11,FALSE),"")</f>
        <v>35</v>
      </c>
      <c r="Q994" s="3579" t="str">
        <f t="array" ref="Q994">IFERROR(VLOOKUP(P994,Dex!$P$22:$Q$276,2,FALSE),"")</f>
        <v/>
      </c>
      <c r="R994" s="3580"/>
      <c r="S994" s="3569"/>
      <c r="T994" s="3577" t="s">
        <v>195</v>
      </c>
      <c r="U994" s="3578">
        <f t="array" ref="U994">IFERROR(VLOOKUP(T978,Dex!$B$3:$N1022,11,FALSE),"")</f>
        <v>75</v>
      </c>
      <c r="V994" s="3579" t="str">
        <f t="array" ref="V994">IFERROR(VLOOKUP(U994,Dex!$P$22:$Q$276,2,FALSE),"")</f>
        <v/>
      </c>
      <c r="W994" s="3580"/>
      <c r="X994" s="3569"/>
      <c r="Y994" s="3577" t="s">
        <v>195</v>
      </c>
      <c r="Z994" s="3578">
        <f t="array" ref="Z994">IFERROR(VLOOKUP(Y978,Dex!$B$3:$N1022,11,FALSE),"")</f>
        <v>80</v>
      </c>
      <c r="AA994" s="3579" t="str">
        <f t="array" ref="AA994">IFERROR(VLOOKUP(Z994,Dex!$P$22:$Q$276,2,FALSE),"")</f>
        <v/>
      </c>
      <c r="AB994" s="3580"/>
      <c r="AC994" s="3569"/>
      <c r="AD994" s="3569"/>
      <c r="AE994" s="3569"/>
      <c r="AF994" s="3569"/>
      <c r="AG994" s="3569"/>
      <c r="AH994" s="3570"/>
      <c r="AI994" s="3466"/>
    </row>
    <row r="995" ht="16.5" customHeight="1">
      <c r="A995" s="3457"/>
      <c r="B995" s="3563"/>
      <c r="C995" s="3555"/>
      <c r="D995" s="3564"/>
      <c r="E995" s="3577" t="s">
        <v>196</v>
      </c>
      <c r="F995" s="3578">
        <f t="array" ref="F995">IFERROR(VLOOKUP(E978,Dex!$B$3:$N1022,12,FALSE),"")</f>
        <v>90</v>
      </c>
      <c r="G995" s="3579" t="str">
        <f t="array" ref="G995">IFERROR(VLOOKUP(F995,Dex!$P$22:$Q$276,2,FALSE),"")</f>
        <v/>
      </c>
      <c r="H995" s="3580"/>
      <c r="I995" s="3575"/>
      <c r="J995" s="3577" t="s">
        <v>196</v>
      </c>
      <c r="K995" s="3578">
        <f t="array" ref="K995">IFERROR(VLOOKUP(J978,Dex!$B$3:$N1022,12,FALSE),"")</f>
        <v>50</v>
      </c>
      <c r="L995" s="3579" t="str">
        <f t="array" ref="L995">IFERROR(VLOOKUP(K995,Dex!$P$22:$Q$276,2,FALSE),"")</f>
        <v/>
      </c>
      <c r="M995" s="3580"/>
      <c r="N995" s="3564"/>
      <c r="O995" s="3577" t="s">
        <v>196</v>
      </c>
      <c r="P995" s="3578">
        <f t="array" ref="P995">IFERROR(VLOOKUP(O978,Dex!$B$3:$N1022,12,FALSE),"")</f>
        <v>105</v>
      </c>
      <c r="Q995" s="3579" t="str">
        <f t="array" ref="Q995">IFERROR(VLOOKUP(P995,Dex!$P$22:$Q$276,2,FALSE),"")</f>
        <v/>
      </c>
      <c r="R995" s="3580"/>
      <c r="S995" s="3569"/>
      <c r="T995" s="3577" t="s">
        <v>196</v>
      </c>
      <c r="U995" s="3578">
        <f t="array" ref="U995">IFERROR(VLOOKUP(T978,Dex!$B$3:$N1022,12,FALSE),"")</f>
        <v>95</v>
      </c>
      <c r="V995" s="3579" t="str">
        <f t="array" ref="V995">IFERROR(VLOOKUP(U995,Dex!$P$22:$Q$276,2,FALSE),"")</f>
        <v/>
      </c>
      <c r="W995" s="3580"/>
      <c r="X995" s="3569"/>
      <c r="Y995" s="3577" t="s">
        <v>196</v>
      </c>
      <c r="Z995" s="3578">
        <f t="array" ref="Z995">IFERROR(VLOOKUP(Y978,Dex!$B$3:$N1022,12,FALSE),"")</f>
        <v>126</v>
      </c>
      <c r="AA995" s="3579" t="str">
        <f t="array" ref="AA995">IFERROR(VLOOKUP(Z995,Dex!$P$22:$Q$276,2,FALSE),"")</f>
        <v/>
      </c>
      <c r="AB995" s="3580"/>
      <c r="AC995" s="3569"/>
      <c r="AD995" s="3569"/>
      <c r="AE995" s="3569"/>
      <c r="AF995" s="3569"/>
      <c r="AG995" s="3569"/>
      <c r="AH995" s="3570"/>
      <c r="AI995" s="3466"/>
    </row>
    <row r="996" ht="16.5" customHeight="1">
      <c r="A996" s="3457"/>
      <c r="B996" s="3563"/>
      <c r="C996" s="1204" t="s">
        <v>436</v>
      </c>
      <c r="D996" s="3564"/>
      <c r="E996" s="3583" t="s">
        <v>197</v>
      </c>
      <c r="F996" s="3584">
        <f t="array" ref="F996">IFERROR(VLOOKUP(E978,Dex!$B$3:$N1022,13,FALSE),"")</f>
        <v>60</v>
      </c>
      <c r="G996" s="3585" t="str">
        <f t="array" ref="G996">IFERROR(VLOOKUP(F996,Dex!$P$22:$Q$276,2,FALSE),"")</f>
        <v/>
      </c>
      <c r="H996" s="3586">
        <v>6.0</v>
      </c>
      <c r="I996" s="3575"/>
      <c r="J996" s="3583" t="s">
        <v>197</v>
      </c>
      <c r="K996" s="3584">
        <f t="array" ref="K996">IFERROR(VLOOKUP(J978,Dex!$B$3:$N1022,13,FALSE),"")</f>
        <v>45</v>
      </c>
      <c r="L996" s="3585" t="str">
        <f t="array" ref="L996">IFERROR(VLOOKUP(K996,Dex!$P$22:$Q$276,2,FALSE),"")</f>
        <v/>
      </c>
      <c r="M996" s="3586">
        <v>40.0</v>
      </c>
      <c r="N996" s="3564"/>
      <c r="O996" s="3583" t="s">
        <v>197</v>
      </c>
      <c r="P996" s="3584">
        <f t="array" ref="P996">IFERROR(VLOOKUP(O978,Dex!$B$3:$N1022,13,FALSE),"")</f>
        <v>50</v>
      </c>
      <c r="Q996" s="3585" t="str">
        <f t="array" ref="Q996">IFERROR(VLOOKUP(P996,Dex!$P$22:$Q$276,2,FALSE),"")</f>
        <v/>
      </c>
      <c r="R996" s="3586"/>
      <c r="S996" s="3569"/>
      <c r="T996" s="3583" t="s">
        <v>197</v>
      </c>
      <c r="U996" s="3584">
        <f t="array" ref="U996">IFERROR(VLOOKUP(T978,Dex!$B$3:$N1022,13,FALSE),"")</f>
        <v>65</v>
      </c>
      <c r="V996" s="3585" t="str">
        <f t="array" ref="V996">IFERROR(VLOOKUP(U996,Dex!$P$22:$Q$276,2,FALSE),"")</f>
        <v/>
      </c>
      <c r="W996" s="3586">
        <v>6.0</v>
      </c>
      <c r="X996" s="3569"/>
      <c r="Y996" s="3583" t="s">
        <v>197</v>
      </c>
      <c r="Z996" s="3584">
        <f t="array" ref="Z996">IFERROR(VLOOKUP(Y978,Dex!$B$3:$N1022,13,FALSE),"")</f>
        <v>50</v>
      </c>
      <c r="AA996" s="3585" t="str">
        <f t="array" ref="AA996">IFERROR(VLOOKUP(Z996,Dex!$P$22:$Q$276,2,FALSE),"")</f>
        <v/>
      </c>
      <c r="AB996" s="3586"/>
      <c r="AC996" s="3569"/>
      <c r="AD996" s="3569"/>
      <c r="AE996" s="3569"/>
      <c r="AF996" s="3569"/>
      <c r="AG996" s="3569"/>
      <c r="AH996" s="3570"/>
      <c r="AI996" s="3466"/>
    </row>
    <row r="997" ht="16.5" customHeight="1">
      <c r="A997" s="3457"/>
      <c r="B997" s="3563"/>
      <c r="C997" s="1205" t="s">
        <v>1279</v>
      </c>
      <c r="D997" s="5140"/>
      <c r="E997" s="3587" t="s">
        <v>198</v>
      </c>
      <c r="F997" s="405"/>
      <c r="G997" s="406"/>
      <c r="H997" s="3588">
        <v>131.0</v>
      </c>
      <c r="I997" s="3567"/>
      <c r="J997" s="3587" t="s">
        <v>198</v>
      </c>
      <c r="K997" s="405"/>
      <c r="L997" s="406"/>
      <c r="M997" s="3588">
        <v>113.0</v>
      </c>
      <c r="N997" s="5140"/>
      <c r="O997" s="3587" t="s">
        <v>198</v>
      </c>
      <c r="P997" s="405"/>
      <c r="Q997" s="406"/>
      <c r="R997" s="3588">
        <v>113.0</v>
      </c>
      <c r="S997" s="5154"/>
      <c r="T997" s="3587" t="s">
        <v>198</v>
      </c>
      <c r="U997" s="405"/>
      <c r="V997" s="406"/>
      <c r="W997" s="3588">
        <v>139.0</v>
      </c>
      <c r="X997" s="5154"/>
      <c r="Y997" s="3587" t="s">
        <v>198</v>
      </c>
      <c r="Z997" s="405"/>
      <c r="AA997" s="406"/>
      <c r="AB997" s="3588">
        <v>115.0</v>
      </c>
      <c r="AC997" s="3569"/>
      <c r="AD997" s="3569"/>
      <c r="AE997" s="3569"/>
      <c r="AF997" s="3569"/>
      <c r="AG997" s="3569"/>
      <c r="AH997" s="3570"/>
      <c r="AI997" s="3466"/>
    </row>
    <row r="998" ht="15.0" customHeight="1">
      <c r="A998" s="3368"/>
      <c r="B998" s="3589"/>
      <c r="C998" s="3590"/>
      <c r="D998" s="3591"/>
      <c r="E998" s="3594"/>
      <c r="F998" s="3594"/>
      <c r="G998" s="3594"/>
      <c r="H998" s="3593"/>
      <c r="I998" s="3593"/>
      <c r="J998" s="3594"/>
      <c r="K998" s="3594"/>
      <c r="L998" s="3594"/>
      <c r="M998" s="3593"/>
      <c r="N998" s="3595"/>
      <c r="O998" s="5156"/>
      <c r="P998" s="5156"/>
      <c r="Q998" s="5157"/>
      <c r="R998" s="3597"/>
      <c r="S998" s="3597"/>
      <c r="T998" s="5156"/>
      <c r="U998" s="5156"/>
      <c r="V998" s="5157"/>
      <c r="W998" s="3597"/>
      <c r="X998" s="3595"/>
      <c r="Y998" s="5158"/>
      <c r="Z998" s="5158"/>
      <c r="AA998" s="5158"/>
      <c r="AB998" s="3598"/>
      <c r="AC998" s="3598"/>
      <c r="AD998" s="3598"/>
      <c r="AE998" s="3598"/>
      <c r="AF998" s="3598"/>
      <c r="AG998" s="3598"/>
      <c r="AH998" s="3599"/>
      <c r="AI998" s="3380"/>
    </row>
    <row r="999">
      <c r="A999" s="3361"/>
      <c r="B999" s="5011"/>
      <c r="C999" s="5012"/>
      <c r="D999" s="5013"/>
      <c r="E999" s="5014"/>
      <c r="F999" s="5014"/>
      <c r="G999" s="5014"/>
      <c r="H999" s="5014"/>
      <c r="I999" s="5014"/>
      <c r="J999" s="5014"/>
      <c r="K999" s="5014"/>
      <c r="L999" s="5014"/>
      <c r="M999" s="5014"/>
      <c r="N999" s="5014"/>
      <c r="O999" s="5014"/>
      <c r="P999" s="5014"/>
      <c r="Q999" s="5014"/>
      <c r="R999" s="5014"/>
      <c r="S999" s="5014"/>
      <c r="T999" s="5014"/>
      <c r="U999" s="5014"/>
      <c r="V999" s="5014"/>
      <c r="W999" s="5014"/>
      <c r="X999" s="5014"/>
      <c r="Y999" s="5014"/>
      <c r="Z999" s="5014"/>
      <c r="AA999" s="5014"/>
      <c r="AB999" s="5014"/>
      <c r="AC999" s="5014"/>
      <c r="AD999" s="5014"/>
      <c r="AE999" s="5014"/>
      <c r="AF999" s="5014"/>
      <c r="AG999" s="5014"/>
      <c r="AH999" s="5015"/>
      <c r="AI999" s="3367"/>
    </row>
    <row r="1000" ht="96.75" customHeight="1">
      <c r="A1000" s="3361"/>
      <c r="B1000" s="5023"/>
      <c r="C1000" s="5024" t="str">
        <f>IMAGE("https://i.ibb.co/31XckWH/Dragon-Tamer.png")</f>
        <v/>
      </c>
      <c r="D1000" s="5025"/>
      <c r="E1000" s="5026" t="str">
        <f t="array" ref="E1000">IFERROR(VLOOKUP(E1001,Dex!$B$3:$G1022,3,FALSE),"")</f>
        <v/>
      </c>
      <c r="F1000" s="1830"/>
      <c r="G1000" s="1830"/>
      <c r="H1000" s="1831"/>
      <c r="I1000" s="5025"/>
      <c r="J1000" s="5026" t="str">
        <f t="array" ref="J1000">IFERROR(VLOOKUP(J1001,Dex!$B$3:$G1022,3,FALSE),"")</f>
        <v/>
      </c>
      <c r="K1000" s="1830"/>
      <c r="L1000" s="1830"/>
      <c r="M1000" s="1831"/>
      <c r="N1000" s="5025"/>
      <c r="O1000" s="5026" t="str">
        <f t="array" ref="O1000">IFERROR(VLOOKUP(O1001,Dex!$B$3:$G1022,3,FALSE),"")</f>
        <v/>
      </c>
      <c r="P1000" s="1830"/>
      <c r="Q1000" s="1830"/>
      <c r="R1000" s="1831"/>
      <c r="S1000" s="5025"/>
      <c r="T1000" s="5026" t="str">
        <f t="array" ref="T1000">IFERROR(VLOOKUP(T1001,Dex!$B$3:$G1022,3,FALSE),"")</f>
        <v/>
      </c>
      <c r="U1000" s="1830"/>
      <c r="V1000" s="1830"/>
      <c r="W1000" s="1831"/>
      <c r="X1000" s="5027"/>
      <c r="Y1000" s="5026" t="str">
        <f t="array" ref="Y1000">IFERROR(VLOOKUP(Y1001,Dex!$B$3:$G1022,3,FALSE),"")</f>
        <v/>
      </c>
      <c r="Z1000" s="1830"/>
      <c r="AA1000" s="1830"/>
      <c r="AB1000" s="1831"/>
      <c r="AC1000" s="5031"/>
      <c r="AD1000" s="5026" t="str">
        <f t="array" ref="AD1000">IFERROR(VLOOKUP(AD1001,Dex!$B$3:$G1022,3,FALSE),"")</f>
        <v/>
      </c>
      <c r="AE1000" s="1830"/>
      <c r="AF1000" s="1830"/>
      <c r="AG1000" s="1831"/>
      <c r="AH1000" s="5032"/>
      <c r="AI1000" s="3367"/>
    </row>
    <row r="1001" ht="18.75" customHeight="1">
      <c r="A1001" s="3621"/>
      <c r="B1001" s="5033"/>
      <c r="C1001" s="5034" t="s">
        <v>1317</v>
      </c>
      <c r="D1001" s="5035"/>
      <c r="E1001" s="5036" t="s">
        <v>1187</v>
      </c>
      <c r="F1001" s="5037"/>
      <c r="G1001" s="5037"/>
      <c r="H1001" s="5038"/>
      <c r="I1001" s="5035"/>
      <c r="J1001" s="5036" t="s">
        <v>1270</v>
      </c>
      <c r="K1001" s="5037"/>
      <c r="L1001" s="5037"/>
      <c r="M1001" s="5038"/>
      <c r="N1001" s="5035"/>
      <c r="O1001" s="5036" t="s">
        <v>1270</v>
      </c>
      <c r="P1001" s="5037"/>
      <c r="Q1001" s="5037"/>
      <c r="R1001" s="5038"/>
      <c r="S1001" s="5035"/>
      <c r="T1001" s="5036" t="s">
        <v>1270</v>
      </c>
      <c r="U1001" s="5037"/>
      <c r="V1001" s="5037"/>
      <c r="W1001" s="5038"/>
      <c r="X1001" s="5039"/>
      <c r="Y1001" s="5036" t="s">
        <v>1270</v>
      </c>
      <c r="Z1001" s="5037"/>
      <c r="AA1001" s="5037"/>
      <c r="AB1001" s="5038"/>
      <c r="AC1001" s="5041"/>
      <c r="AD1001" s="5036" t="s">
        <v>1270</v>
      </c>
      <c r="AE1001" s="5037"/>
      <c r="AF1001" s="5037"/>
      <c r="AG1001" s="5038"/>
      <c r="AH1001" s="5042"/>
      <c r="AI1001" s="3631"/>
    </row>
    <row r="1002">
      <c r="A1002" s="3632"/>
      <c r="B1002" s="5043"/>
      <c r="C1002" s="1481"/>
      <c r="D1002" s="5044"/>
      <c r="E1002" s="5163">
        <v>250.0</v>
      </c>
      <c r="F1002" s="5046"/>
      <c r="G1002" s="5046"/>
      <c r="H1002" s="5047"/>
      <c r="I1002" s="5044"/>
      <c r="J1002" s="5163">
        <v>250.0</v>
      </c>
      <c r="K1002" s="5046"/>
      <c r="L1002" s="5046"/>
      <c r="M1002" s="5047"/>
      <c r="N1002" s="5044"/>
      <c r="O1002" s="5163">
        <v>250.0</v>
      </c>
      <c r="P1002" s="5046"/>
      <c r="Q1002" s="5046"/>
      <c r="R1002" s="5047"/>
      <c r="S1002" s="5044"/>
      <c r="T1002" s="5163">
        <v>250.0</v>
      </c>
      <c r="U1002" s="5046"/>
      <c r="V1002" s="5046"/>
      <c r="W1002" s="5047"/>
      <c r="X1002" s="5039"/>
      <c r="Y1002" s="5163">
        <v>250.0</v>
      </c>
      <c r="Z1002" s="5046"/>
      <c r="AA1002" s="5046"/>
      <c r="AB1002" s="5047"/>
      <c r="AC1002" s="5041"/>
      <c r="AD1002" s="5163">
        <v>250.0</v>
      </c>
      <c r="AE1002" s="5046"/>
      <c r="AF1002" s="5046"/>
      <c r="AG1002" s="5047"/>
      <c r="AH1002" s="5049"/>
      <c r="AI1002" s="3640"/>
    </row>
    <row r="1003" ht="25.5" customHeight="1">
      <c r="A1003" s="3361"/>
      <c r="B1003" s="5023"/>
      <c r="C1003" s="1489"/>
      <c r="D1003" s="5050"/>
      <c r="E1003" s="5051"/>
      <c r="F1003" s="5055" t="str">
        <f t="array" ref="F1003">IFERROR(VLOOKUP(E1001,Dex!$B$3:$H1022,5,FALSE),"")</f>
        <v/>
      </c>
      <c r="G1003" s="5056"/>
      <c r="H1003" s="5054"/>
      <c r="I1003" s="5050"/>
      <c r="J1003" s="5051"/>
      <c r="K1003" s="5052" t="str">
        <f t="array" ref="K1003">IFERROR(VLOOKUP(J1001,Dex!$B$3:$H1022,5,FALSE),"")</f>
        <v/>
      </c>
      <c r="L1003" s="5053" t="str">
        <f t="array" ref="L1003">IFERROR(VLOOKUP(J1001,Dex!$B$3:$H1022,7,FALSE),"")</f>
        <v/>
      </c>
      <c r="M1003" s="5054"/>
      <c r="N1003" s="5050"/>
      <c r="O1003" s="5051"/>
      <c r="P1003" s="5052" t="str">
        <f t="array" ref="P1003">IFERROR(VLOOKUP(O1001,Dex!$B$3:$H1022,5,FALSE),"")</f>
        <v/>
      </c>
      <c r="Q1003" s="5053" t="str">
        <f t="array" ref="Q1003">IFERROR(VLOOKUP(O1001,Dex!$B$3:$H1022,7,FALSE),"")</f>
        <v/>
      </c>
      <c r="R1003" s="5054"/>
      <c r="S1003" s="5050"/>
      <c r="T1003" s="5051"/>
      <c r="U1003" s="5052" t="str">
        <f t="array" ref="U1003">IFERROR(VLOOKUP(T1001,Dex!$B$3:$H1022,5,FALSE),"")</f>
        <v/>
      </c>
      <c r="V1003" s="5053" t="str">
        <f t="array" ref="V1003">IFERROR(VLOOKUP(T1001,Dex!$B$3:$H1022,7,FALSE),"")</f>
        <v/>
      </c>
      <c r="W1003" s="5054"/>
      <c r="X1003" s="5039"/>
      <c r="Y1003" s="5051"/>
      <c r="Z1003" s="5052" t="str">
        <f t="array" ref="Z1003">IFERROR(VLOOKUP(Y1001,Dex!$B$3:$H1022,5,FALSE),"")</f>
        <v/>
      </c>
      <c r="AA1003" s="5053" t="str">
        <f t="array" ref="AA1003">IFERROR(VLOOKUP(Y1001,Dex!$B$3:$H1022,7,FALSE),"")</f>
        <v/>
      </c>
      <c r="AB1003" s="5054"/>
      <c r="AC1003" s="5041"/>
      <c r="AD1003" s="5051"/>
      <c r="AE1003" s="5052" t="str">
        <f t="array" ref="AE1003">IFERROR(VLOOKUP(AD1001,Dex!$B$3:$H1022,5,FALSE),"")</f>
        <v/>
      </c>
      <c r="AF1003" s="5053" t="str">
        <f t="array" ref="AF1003">IFERROR(VLOOKUP(AD1001,Dex!$B$3:$H1022,7,FALSE),"")</f>
        <v/>
      </c>
      <c r="AG1003" s="5054"/>
      <c r="AH1003" s="5032"/>
      <c r="AI1003" s="3367"/>
    </row>
    <row r="1004" ht="2.25" customHeight="1">
      <c r="A1004" s="3361"/>
      <c r="B1004" s="5016"/>
      <c r="C1004" s="5057"/>
      <c r="D1004" s="5028"/>
      <c r="E1004" s="5058"/>
      <c r="F1004" s="5059"/>
      <c r="G1004" s="5059"/>
      <c r="H1004" s="5060"/>
      <c r="I1004" s="5028"/>
      <c r="J1004" s="5058"/>
      <c r="K1004" s="5059"/>
      <c r="L1004" s="5059"/>
      <c r="M1004" s="5060"/>
      <c r="N1004" s="5028"/>
      <c r="O1004" s="5058"/>
      <c r="P1004" s="5059"/>
      <c r="Q1004" s="5059"/>
      <c r="R1004" s="5060"/>
      <c r="S1004" s="5028"/>
      <c r="T1004" s="5058"/>
      <c r="U1004" s="5059"/>
      <c r="V1004" s="5059"/>
      <c r="W1004" s="5060"/>
      <c r="X1004" s="5039"/>
      <c r="Y1004" s="5058"/>
      <c r="Z1004" s="5059"/>
      <c r="AA1004" s="5059"/>
      <c r="AB1004" s="5060"/>
      <c r="AC1004" s="5041"/>
      <c r="AD1004" s="5058"/>
      <c r="AE1004" s="5059"/>
      <c r="AF1004" s="5059"/>
      <c r="AG1004" s="5060"/>
      <c r="AH1004" s="5032"/>
      <c r="AI1004" s="3367"/>
    </row>
    <row r="1005" ht="20.25" customHeight="1">
      <c r="A1005" s="3361"/>
      <c r="B1005" s="5016"/>
      <c r="C1005" s="5062"/>
      <c r="D1005" s="5028"/>
      <c r="E1005" s="5063" t="s">
        <v>205</v>
      </c>
      <c r="F1005" s="5064"/>
      <c r="G1005" s="5064"/>
      <c r="H1005" s="5065"/>
      <c r="I1005" s="5028"/>
      <c r="J1005" s="5063" t="s">
        <v>263</v>
      </c>
      <c r="K1005" s="5064"/>
      <c r="L1005" s="5064"/>
      <c r="M1005" s="5065"/>
      <c r="N1005" s="5028"/>
      <c r="O1005" s="5063" t="s">
        <v>263</v>
      </c>
      <c r="P1005" s="5064"/>
      <c r="Q1005" s="5064"/>
      <c r="R1005" s="5065"/>
      <c r="S1005" s="5028"/>
      <c r="T1005" s="5063" t="s">
        <v>263</v>
      </c>
      <c r="U1005" s="5064"/>
      <c r="V1005" s="5064"/>
      <c r="W1005" s="5065"/>
      <c r="X1005" s="5039"/>
      <c r="Y1005" s="5063" t="s">
        <v>263</v>
      </c>
      <c r="Z1005" s="5064"/>
      <c r="AA1005" s="5064"/>
      <c r="AB1005" s="5065"/>
      <c r="AC1005" s="5041"/>
      <c r="AD1005" s="5063" t="s">
        <v>263</v>
      </c>
      <c r="AE1005" s="5064"/>
      <c r="AF1005" s="5064"/>
      <c r="AG1005" s="5065"/>
      <c r="AH1005" s="5032"/>
      <c r="AI1005" s="3367"/>
    </row>
    <row r="1006" ht="20.25" customHeight="1">
      <c r="A1006" s="3361"/>
      <c r="B1006" s="5016"/>
      <c r="C1006" s="5062"/>
      <c r="D1006" s="5028"/>
      <c r="E1006" s="5066" t="s">
        <v>423</v>
      </c>
      <c r="F1006" s="5029"/>
      <c r="G1006" s="5029"/>
      <c r="H1006" s="5067"/>
      <c r="I1006" s="5028"/>
      <c r="J1006" s="5066" t="s">
        <v>1273</v>
      </c>
      <c r="K1006" s="5029"/>
      <c r="L1006" s="5029"/>
      <c r="M1006" s="5067"/>
      <c r="N1006" s="5028"/>
      <c r="O1006" s="5066" t="s">
        <v>1273</v>
      </c>
      <c r="P1006" s="5029"/>
      <c r="Q1006" s="5029"/>
      <c r="R1006" s="5067"/>
      <c r="S1006" s="5028"/>
      <c r="T1006" s="5066" t="s">
        <v>1273</v>
      </c>
      <c r="U1006" s="5029"/>
      <c r="V1006" s="5029"/>
      <c r="W1006" s="5067"/>
      <c r="X1006" s="5039"/>
      <c r="Y1006" s="5066" t="s">
        <v>1273</v>
      </c>
      <c r="Z1006" s="5029"/>
      <c r="AA1006" s="5029"/>
      <c r="AB1006" s="5067"/>
      <c r="AC1006" s="5041"/>
      <c r="AD1006" s="5066" t="s">
        <v>1273</v>
      </c>
      <c r="AE1006" s="5029"/>
      <c r="AF1006" s="5029"/>
      <c r="AG1006" s="5067"/>
      <c r="AH1006" s="5032"/>
      <c r="AI1006" s="3367"/>
    </row>
    <row r="1007" ht="20.25" customHeight="1">
      <c r="A1007" s="3361"/>
      <c r="B1007" s="5016"/>
      <c r="C1007" s="5164"/>
      <c r="D1007" s="5028"/>
      <c r="E1007" s="5068" t="s">
        <v>938</v>
      </c>
      <c r="F1007" s="5020"/>
      <c r="G1007" s="5021"/>
      <c r="H1007" s="5069" t="str">
        <f>IMAGE("https://raw.githubusercontent.com/msikma/pokesprite/master/items/hold-item/smooth-rock.png",3)</f>
        <v/>
      </c>
      <c r="I1007" s="5028"/>
      <c r="J1007" s="5068" t="s">
        <v>240</v>
      </c>
      <c r="K1007" s="5020"/>
      <c r="L1007" s="5021"/>
      <c r="M1007" s="5069" t="str">
        <f>IMAGE("https://raw.githubusercontent.com/msikma/pokesprite/master/items/hold-item/focus-sash.png",3)</f>
        <v/>
      </c>
      <c r="N1007" s="5028"/>
      <c r="O1007" s="5068" t="s">
        <v>240</v>
      </c>
      <c r="P1007" s="5020"/>
      <c r="Q1007" s="5021"/>
      <c r="R1007" s="5069" t="str">
        <f>IMAGE("https://raw.githubusercontent.com/msikma/pokesprite/master/items/hold-item/focus-sash.png",3)</f>
        <v/>
      </c>
      <c r="S1007" s="5028"/>
      <c r="T1007" s="5068" t="s">
        <v>240</v>
      </c>
      <c r="U1007" s="5020"/>
      <c r="V1007" s="5021"/>
      <c r="W1007" s="5069" t="str">
        <f>IMAGE("https://raw.githubusercontent.com/msikma/pokesprite/master/items/hold-item/focus-sash.png",3)</f>
        <v/>
      </c>
      <c r="X1007" s="5039"/>
      <c r="Y1007" s="5068" t="s">
        <v>240</v>
      </c>
      <c r="Z1007" s="5020"/>
      <c r="AA1007" s="5021"/>
      <c r="AB1007" s="5069" t="str">
        <f>IMAGE("https://raw.githubusercontent.com/msikma/pokesprite/master/items/hold-item/focus-sash.png",3)</f>
        <v/>
      </c>
      <c r="AC1007" s="5041"/>
      <c r="AD1007" s="5068" t="s">
        <v>240</v>
      </c>
      <c r="AE1007" s="5020"/>
      <c r="AF1007" s="5021"/>
      <c r="AG1007" s="5069" t="str">
        <f>IMAGE("https://raw.githubusercontent.com/msikma/pokesprite/master/items/hold-item/focus-sash.png",3)</f>
        <v/>
      </c>
      <c r="AH1007" s="5032"/>
      <c r="AI1007" s="3367"/>
    </row>
    <row r="1008" ht="20.25" customHeight="1">
      <c r="A1008" s="3361"/>
      <c r="B1008" s="5016"/>
      <c r="C1008" s="5070"/>
      <c r="D1008" s="5071" t="s">
        <v>1233</v>
      </c>
      <c r="E1008" s="5063" t="s">
        <v>288</v>
      </c>
      <c r="F1008" s="5064"/>
      <c r="G1008" s="5072"/>
      <c r="H1008" s="5073" t="str">
        <f>IMAGE("https://raw.githubusercontent.com/msikma/pokesprite/master/misc/types/gen8/normal.png",4,20,20)</f>
        <v/>
      </c>
      <c r="I1008" s="5071" t="s">
        <v>1233</v>
      </c>
      <c r="J1008" s="5063" t="s">
        <v>1318</v>
      </c>
      <c r="K1008" s="5064"/>
      <c r="L1008" s="5072"/>
      <c r="M1008" s="5073" t="str">
        <f>IMAGE("https://raw.githubusercontent.com/msikma/pokesprite/master/misc/types/gen8/electric.png",4,20,20)</f>
        <v/>
      </c>
      <c r="N1008" s="5071" t="s">
        <v>1233</v>
      </c>
      <c r="O1008" s="5063" t="s">
        <v>1318</v>
      </c>
      <c r="P1008" s="5064"/>
      <c r="Q1008" s="5072"/>
      <c r="R1008" s="5073" t="str">
        <f>IMAGE("https://raw.githubusercontent.com/msikma/pokesprite/master/misc/types/gen8/electric.png",4,20,20)</f>
        <v/>
      </c>
      <c r="S1008" s="5071" t="s">
        <v>1233</v>
      </c>
      <c r="T1008" s="5063" t="s">
        <v>1318</v>
      </c>
      <c r="U1008" s="5064"/>
      <c r="V1008" s="5072"/>
      <c r="W1008" s="5073" t="str">
        <f>IMAGE("https://raw.githubusercontent.com/msikma/pokesprite/master/misc/types/gen8/electric.png",4,20,20)</f>
        <v/>
      </c>
      <c r="X1008" s="5039"/>
      <c r="Y1008" s="5063" t="s">
        <v>1318</v>
      </c>
      <c r="Z1008" s="5064"/>
      <c r="AA1008" s="5072"/>
      <c r="AB1008" s="5073" t="str">
        <f>IMAGE("https://raw.githubusercontent.com/msikma/pokesprite/master/misc/types/gen8/electric.png",4,20,20)</f>
        <v/>
      </c>
      <c r="AC1008" s="5041"/>
      <c r="AD1008" s="5063" t="s">
        <v>1318</v>
      </c>
      <c r="AE1008" s="5064"/>
      <c r="AF1008" s="5072"/>
      <c r="AG1008" s="5073" t="str">
        <f>IMAGE("https://raw.githubusercontent.com/msikma/pokesprite/master/misc/types/gen8/electric.png",4,20,20)</f>
        <v/>
      </c>
      <c r="AH1008" s="5032"/>
      <c r="AI1008" s="3367"/>
    </row>
    <row r="1009" ht="20.25" customHeight="1">
      <c r="A1009" s="3361"/>
      <c r="B1009" s="5016"/>
      <c r="C1009" s="5070"/>
      <c r="D1009" s="5071" t="s">
        <v>539</v>
      </c>
      <c r="E1009" s="5066" t="s">
        <v>188</v>
      </c>
      <c r="F1009" s="5029"/>
      <c r="G1009" s="5029"/>
      <c r="H1009" s="5067"/>
      <c r="I1009" s="5071" t="s">
        <v>539</v>
      </c>
      <c r="J1009" s="5066" t="s">
        <v>188</v>
      </c>
      <c r="K1009" s="5029"/>
      <c r="L1009" s="5029"/>
      <c r="M1009" s="5067"/>
      <c r="N1009" s="5071" t="s">
        <v>539</v>
      </c>
      <c r="O1009" s="5066" t="s">
        <v>188</v>
      </c>
      <c r="P1009" s="5029"/>
      <c r="Q1009" s="5029"/>
      <c r="R1009" s="5067"/>
      <c r="S1009" s="5071" t="s">
        <v>539</v>
      </c>
      <c r="T1009" s="5066" t="s">
        <v>188</v>
      </c>
      <c r="U1009" s="5029"/>
      <c r="V1009" s="5029"/>
      <c r="W1009" s="5067"/>
      <c r="X1009" s="5039"/>
      <c r="Y1009" s="5066" t="s">
        <v>188</v>
      </c>
      <c r="Z1009" s="5029"/>
      <c r="AA1009" s="5029"/>
      <c r="AB1009" s="5067"/>
      <c r="AC1009" s="5041"/>
      <c r="AD1009" s="5066" t="s">
        <v>188</v>
      </c>
      <c r="AE1009" s="5029"/>
      <c r="AF1009" s="5029"/>
      <c r="AG1009" s="5067"/>
      <c r="AH1009" s="5032"/>
      <c r="AI1009" s="3367"/>
    </row>
    <row r="1010" ht="20.25" customHeight="1">
      <c r="A1010" s="3361"/>
      <c r="B1010" s="5016"/>
      <c r="C1010" s="5070"/>
      <c r="D1010" s="5071" t="s">
        <v>476</v>
      </c>
      <c r="E1010" s="5066" t="s">
        <v>188</v>
      </c>
      <c r="F1010" s="5029"/>
      <c r="G1010" s="5029"/>
      <c r="H1010" s="5067"/>
      <c r="I1010" s="5071" t="s">
        <v>476</v>
      </c>
      <c r="J1010" s="5066" t="s">
        <v>188</v>
      </c>
      <c r="K1010" s="5029"/>
      <c r="L1010" s="5029"/>
      <c r="M1010" s="5067"/>
      <c r="N1010" s="5071" t="s">
        <v>476</v>
      </c>
      <c r="O1010" s="5066" t="s">
        <v>188</v>
      </c>
      <c r="P1010" s="5029"/>
      <c r="Q1010" s="5029"/>
      <c r="R1010" s="5067"/>
      <c r="S1010" s="5071" t="s">
        <v>476</v>
      </c>
      <c r="T1010" s="5066" t="s">
        <v>188</v>
      </c>
      <c r="U1010" s="5029"/>
      <c r="V1010" s="5029"/>
      <c r="W1010" s="5067"/>
      <c r="X1010" s="5039"/>
      <c r="Y1010" s="5066" t="s">
        <v>188</v>
      </c>
      <c r="Z1010" s="5029"/>
      <c r="AA1010" s="5029"/>
      <c r="AB1010" s="5067"/>
      <c r="AC1010" s="5041"/>
      <c r="AD1010" s="5066" t="s">
        <v>188</v>
      </c>
      <c r="AE1010" s="5029"/>
      <c r="AF1010" s="5029"/>
      <c r="AG1010" s="5067"/>
      <c r="AH1010" s="5032"/>
      <c r="AI1010" s="3367"/>
    </row>
    <row r="1011" ht="21.0" customHeight="1">
      <c r="A1011" s="3361"/>
      <c r="B1011" s="5016"/>
      <c r="C1011" s="5070"/>
      <c r="D1011" s="5071" t="s">
        <v>1016</v>
      </c>
      <c r="E1011" s="5075" t="s">
        <v>188</v>
      </c>
      <c r="F1011" s="5076"/>
      <c r="G1011" s="5076"/>
      <c r="H1011" s="5165"/>
      <c r="I1011" s="5071" t="s">
        <v>1016</v>
      </c>
      <c r="J1011" s="5075" t="s">
        <v>188</v>
      </c>
      <c r="K1011" s="5076"/>
      <c r="L1011" s="5076"/>
      <c r="M1011" s="5165"/>
      <c r="N1011" s="5071" t="s">
        <v>1016</v>
      </c>
      <c r="O1011" s="5075" t="s">
        <v>188</v>
      </c>
      <c r="P1011" s="5076"/>
      <c r="Q1011" s="5076"/>
      <c r="R1011" s="5165"/>
      <c r="S1011" s="5071" t="s">
        <v>1016</v>
      </c>
      <c r="T1011" s="5075" t="s">
        <v>188</v>
      </c>
      <c r="U1011" s="5076"/>
      <c r="V1011" s="5076"/>
      <c r="W1011" s="5165"/>
      <c r="X1011" s="5079"/>
      <c r="Y1011" s="5075" t="s">
        <v>188</v>
      </c>
      <c r="Z1011" s="5076"/>
      <c r="AA1011" s="5076"/>
      <c r="AB1011" s="5165"/>
      <c r="AC1011" s="5080"/>
      <c r="AD1011" s="5075" t="s">
        <v>188</v>
      </c>
      <c r="AE1011" s="5076"/>
      <c r="AF1011" s="5076"/>
      <c r="AG1011" s="5165"/>
      <c r="AH1011" s="5032"/>
      <c r="AI1011" s="3367"/>
    </row>
    <row r="1012" ht="3.0" customHeight="1">
      <c r="A1012" s="3445"/>
      <c r="B1012" s="5081"/>
      <c r="C1012" s="5070"/>
      <c r="D1012" s="5082"/>
      <c r="E1012" s="5085"/>
      <c r="F1012" s="5085"/>
      <c r="G1012" s="5085"/>
      <c r="H1012" s="5084"/>
      <c r="I1012" s="5082"/>
      <c r="J1012" s="5085"/>
      <c r="K1012" s="5085"/>
      <c r="L1012" s="5085"/>
      <c r="M1012" s="5084"/>
      <c r="N1012" s="5082"/>
      <c r="O1012" s="5085"/>
      <c r="P1012" s="5085"/>
      <c r="Q1012" s="5085"/>
      <c r="R1012" s="5086"/>
      <c r="S1012" s="5082"/>
      <c r="T1012" s="5085"/>
      <c r="U1012" s="5085"/>
      <c r="V1012" s="5085"/>
      <c r="W1012" s="5086"/>
      <c r="X1012" s="5082"/>
      <c r="Y1012" s="5085"/>
      <c r="Z1012" s="5085"/>
      <c r="AA1012" s="5085"/>
      <c r="AB1012" s="5086"/>
      <c r="AC1012" s="5088"/>
      <c r="AD1012" s="5085"/>
      <c r="AE1012" s="5085"/>
      <c r="AF1012" s="5085"/>
      <c r="AG1012" s="5086"/>
      <c r="AH1012" s="5089"/>
      <c r="AI1012" s="3456"/>
    </row>
    <row r="1013" ht="16.5" customHeight="1">
      <c r="A1013" s="3457"/>
      <c r="B1013" s="5090"/>
      <c r="C1013" s="5070"/>
      <c r="D1013" s="5094"/>
      <c r="E1013" s="5092" t="s">
        <v>190</v>
      </c>
      <c r="F1013" s="381"/>
      <c r="G1013" s="382"/>
      <c r="H1013" s="5093" t="s">
        <v>191</v>
      </c>
      <c r="I1013" s="5094"/>
      <c r="J1013" s="5092" t="s">
        <v>190</v>
      </c>
      <c r="K1013" s="381"/>
      <c r="L1013" s="382"/>
      <c r="M1013" s="5093" t="s">
        <v>191</v>
      </c>
      <c r="N1013" s="5094"/>
      <c r="O1013" s="5092" t="s">
        <v>190</v>
      </c>
      <c r="P1013" s="381"/>
      <c r="Q1013" s="382"/>
      <c r="R1013" s="5093" t="s">
        <v>191</v>
      </c>
      <c r="S1013" s="5094"/>
      <c r="T1013" s="5092" t="s">
        <v>190</v>
      </c>
      <c r="U1013" s="381"/>
      <c r="V1013" s="382"/>
      <c r="W1013" s="5093" t="s">
        <v>191</v>
      </c>
      <c r="X1013" s="5166"/>
      <c r="Y1013" s="5092" t="s">
        <v>190</v>
      </c>
      <c r="Z1013" s="381"/>
      <c r="AA1013" s="382"/>
      <c r="AB1013" s="5093" t="s">
        <v>191</v>
      </c>
      <c r="AC1013" s="5167"/>
      <c r="AD1013" s="5092" t="s">
        <v>190</v>
      </c>
      <c r="AE1013" s="381"/>
      <c r="AF1013" s="382"/>
      <c r="AG1013" s="5093" t="s">
        <v>191</v>
      </c>
      <c r="AH1013" s="5098"/>
      <c r="AI1013" s="3466"/>
    </row>
    <row r="1014" ht="16.5" customHeight="1">
      <c r="A1014" s="3457"/>
      <c r="B1014" s="5090"/>
      <c r="C1014" s="5070"/>
      <c r="D1014" s="5091"/>
      <c r="E1014" s="5099" t="s">
        <v>192</v>
      </c>
      <c r="F1014" s="5100">
        <f t="array" ref="F1014">IFERROR(VLOOKUP(E1001,Dex!$B$3:$N1022,8,FALSE),"")</f>
        <v>85</v>
      </c>
      <c r="G1014" s="5101" t="str">
        <f t="array" ref="G1014">IFERROR(VLOOKUP(F1014,Dex!$P$22:$Q$276,2,FALSE),"")</f>
        <v/>
      </c>
      <c r="H1014" s="5102">
        <v>252.0</v>
      </c>
      <c r="I1014" s="5091"/>
      <c r="J1014" s="5099" t="s">
        <v>192</v>
      </c>
      <c r="K1014" s="5100">
        <f t="array" ref="K1014">IFERROR(VLOOKUP(J1001,Dex!$B$3:$N1022,8,FALSE),"")</f>
        <v>1</v>
      </c>
      <c r="L1014" s="5101" t="str">
        <f t="array" ref="L1014">IFERROR(VLOOKUP(K1014,Dex!$P$22:$Q$276,2,FALSE),"")</f>
        <v/>
      </c>
      <c r="M1014" s="5102"/>
      <c r="N1014" s="5091"/>
      <c r="O1014" s="5099" t="s">
        <v>192</v>
      </c>
      <c r="P1014" s="5100">
        <f t="array" ref="P1014">IFERROR(VLOOKUP(O1001,Dex!$B$3:$N1022,8,FALSE),"")</f>
        <v>1</v>
      </c>
      <c r="Q1014" s="5101" t="str">
        <f t="array" ref="Q1014">IFERROR(VLOOKUP(P1014,Dex!$P$22:$Q$276,2,FALSE),"")</f>
        <v/>
      </c>
      <c r="R1014" s="5102"/>
      <c r="S1014" s="5091"/>
      <c r="T1014" s="5099" t="s">
        <v>192</v>
      </c>
      <c r="U1014" s="5100">
        <f t="array" ref="U1014">IFERROR(VLOOKUP(T1001,Dex!$B$3:$N1022,8,FALSE),"")</f>
        <v>1</v>
      </c>
      <c r="V1014" s="5101" t="str">
        <f t="array" ref="V1014">IFERROR(VLOOKUP(U1014,Dex!$P$22:$Q$276,2,FALSE),"")</f>
        <v/>
      </c>
      <c r="W1014" s="5102"/>
      <c r="X1014" s="5095"/>
      <c r="Y1014" s="5099" t="s">
        <v>192</v>
      </c>
      <c r="Z1014" s="5100">
        <f t="array" ref="Z1014">IFERROR(VLOOKUP(Y1001,Dex!$B$3:$N1022,8,FALSE),"")</f>
        <v>1</v>
      </c>
      <c r="AA1014" s="5101" t="str">
        <f t="array" ref="AA1014">IFERROR(VLOOKUP(Z1014,Dex!$P$22:$Q$276,2,FALSE),"")</f>
        <v/>
      </c>
      <c r="AB1014" s="5102"/>
      <c r="AC1014" s="5096"/>
      <c r="AD1014" s="5099" t="s">
        <v>192</v>
      </c>
      <c r="AE1014" s="5100">
        <f t="array" ref="AE1014">IFERROR(VLOOKUP(AD1001,Dex!$B$3:$N1022,8,FALSE),"")</f>
        <v>1</v>
      </c>
      <c r="AF1014" s="5101" t="str">
        <f t="array" ref="AF1014">IFERROR(VLOOKUP(AE1014,Dex!$P$22:$Q$276,2,FALSE),"")</f>
        <v/>
      </c>
      <c r="AG1014" s="5102"/>
      <c r="AH1014" s="5098"/>
      <c r="AI1014" s="3466"/>
    </row>
    <row r="1015" ht="16.5" customHeight="1">
      <c r="A1015" s="3457"/>
      <c r="B1015" s="5090"/>
      <c r="C1015" s="5070"/>
      <c r="D1015" s="5091"/>
      <c r="E1015" s="5103" t="s">
        <v>193</v>
      </c>
      <c r="F1015" s="5104">
        <f t="array" ref="F1015">IFERROR(VLOOKUP(E1001,Dex!$B$3:$N1022,9,FALSE),"")</f>
        <v>135</v>
      </c>
      <c r="G1015" s="5105" t="str">
        <f t="array" ref="G1015">IFERROR(VLOOKUP(F1015,Dex!$P$22:$Q$276,2,FALSE),"")</f>
        <v/>
      </c>
      <c r="H1015" s="5106">
        <v>252.0</v>
      </c>
      <c r="I1015" s="5091"/>
      <c r="J1015" s="5103" t="s">
        <v>193</v>
      </c>
      <c r="K1015" s="5104">
        <f t="array" ref="K1015">IFERROR(VLOOKUP(J1001,Dex!$B$3:$N1022,9,FALSE),"")</f>
        <v>90</v>
      </c>
      <c r="L1015" s="5105" t="str">
        <f t="array" ref="L1015">IFERROR(VLOOKUP(K1015,Dex!$P$22:$Q$276,2,FALSE),"")</f>
        <v/>
      </c>
      <c r="M1015" s="5106">
        <v>252.0</v>
      </c>
      <c r="N1015" s="5091"/>
      <c r="O1015" s="5103" t="s">
        <v>193</v>
      </c>
      <c r="P1015" s="5104">
        <f t="array" ref="P1015">IFERROR(VLOOKUP(O1001,Dex!$B$3:$N1022,9,FALSE),"")</f>
        <v>90</v>
      </c>
      <c r="Q1015" s="5105" t="str">
        <f t="array" ref="Q1015">IFERROR(VLOOKUP(P1015,Dex!$P$22:$Q$276,2,FALSE),"")</f>
        <v/>
      </c>
      <c r="R1015" s="5106">
        <v>252.0</v>
      </c>
      <c r="S1015" s="5091"/>
      <c r="T1015" s="5103" t="s">
        <v>193</v>
      </c>
      <c r="U1015" s="5104">
        <f t="array" ref="U1015">IFERROR(VLOOKUP(T1001,Dex!$B$3:$N1022,9,FALSE),"")</f>
        <v>90</v>
      </c>
      <c r="V1015" s="5105" t="str">
        <f t="array" ref="V1015">IFERROR(VLOOKUP(U1015,Dex!$P$22:$Q$276,2,FALSE),"")</f>
        <v/>
      </c>
      <c r="W1015" s="5106">
        <v>252.0</v>
      </c>
      <c r="X1015" s="5095"/>
      <c r="Y1015" s="5103" t="s">
        <v>193</v>
      </c>
      <c r="Z1015" s="5104">
        <f t="array" ref="Z1015">IFERROR(VLOOKUP(Y1001,Dex!$B$3:$N1022,9,FALSE),"")</f>
        <v>90</v>
      </c>
      <c r="AA1015" s="5105" t="str">
        <f t="array" ref="AA1015">IFERROR(VLOOKUP(Z1015,Dex!$P$22:$Q$276,2,FALSE),"")</f>
        <v/>
      </c>
      <c r="AB1015" s="5106">
        <v>252.0</v>
      </c>
      <c r="AC1015" s="5096"/>
      <c r="AD1015" s="5103" t="s">
        <v>193</v>
      </c>
      <c r="AE1015" s="5104">
        <f t="array" ref="AE1015">IFERROR(VLOOKUP(AD1001,Dex!$B$3:$N1022,9,FALSE),"")</f>
        <v>90</v>
      </c>
      <c r="AF1015" s="5105" t="str">
        <f t="array" ref="AF1015">IFERROR(VLOOKUP(AE1015,Dex!$P$22:$Q$276,2,FALSE),"")</f>
        <v/>
      </c>
      <c r="AG1015" s="5106">
        <v>252.0</v>
      </c>
      <c r="AH1015" s="5098"/>
      <c r="AI1015" s="3466"/>
    </row>
    <row r="1016" ht="16.5" customHeight="1">
      <c r="A1016" s="3457"/>
      <c r="B1016" s="5090"/>
      <c r="C1016" s="5070"/>
      <c r="D1016" s="5091"/>
      <c r="E1016" s="5103" t="s">
        <v>194</v>
      </c>
      <c r="F1016" s="5104">
        <f t="array" ref="F1016">IFERROR(VLOOKUP(E1001,Dex!$B$3:$N1022,10,FALSE),"")</f>
        <v>130</v>
      </c>
      <c r="G1016" s="5105" t="str">
        <f t="array" ref="G1016">IFERROR(VLOOKUP(F1016,Dex!$P$22:$Q$276,2,FALSE),"")</f>
        <v/>
      </c>
      <c r="H1016" s="5106">
        <v>4.0</v>
      </c>
      <c r="I1016" s="5091"/>
      <c r="J1016" s="5103" t="s">
        <v>194</v>
      </c>
      <c r="K1016" s="5104">
        <f t="array" ref="K1016">IFERROR(VLOOKUP(J1001,Dex!$B$3:$N1022,10,FALSE),"")</f>
        <v>45</v>
      </c>
      <c r="L1016" s="5105" t="str">
        <f t="array" ref="L1016">IFERROR(VLOOKUP(K1016,Dex!$P$22:$Q$276,2,FALSE),"")</f>
        <v/>
      </c>
      <c r="M1016" s="5106"/>
      <c r="N1016" s="5091"/>
      <c r="O1016" s="5103" t="s">
        <v>194</v>
      </c>
      <c r="P1016" s="5104">
        <f t="array" ref="P1016">IFERROR(VLOOKUP(O1001,Dex!$B$3:$N1022,10,FALSE),"")</f>
        <v>45</v>
      </c>
      <c r="Q1016" s="5105" t="str">
        <f t="array" ref="Q1016">IFERROR(VLOOKUP(P1016,Dex!$P$22:$Q$276,2,FALSE),"")</f>
        <v/>
      </c>
      <c r="R1016" s="5106"/>
      <c r="S1016" s="5091"/>
      <c r="T1016" s="5103" t="s">
        <v>194</v>
      </c>
      <c r="U1016" s="5104">
        <f t="array" ref="U1016">IFERROR(VLOOKUP(T1001,Dex!$B$3:$N1022,10,FALSE),"")</f>
        <v>45</v>
      </c>
      <c r="V1016" s="5105" t="str">
        <f t="array" ref="V1016">IFERROR(VLOOKUP(U1016,Dex!$P$22:$Q$276,2,FALSE),"")</f>
        <v/>
      </c>
      <c r="W1016" s="5106"/>
      <c r="X1016" s="5095"/>
      <c r="Y1016" s="5103" t="s">
        <v>194</v>
      </c>
      <c r="Z1016" s="5104">
        <f t="array" ref="Z1016">IFERROR(VLOOKUP(Y1001,Dex!$B$3:$N1022,10,FALSE),"")</f>
        <v>45</v>
      </c>
      <c r="AA1016" s="5105" t="str">
        <f t="array" ref="AA1016">IFERROR(VLOOKUP(Z1016,Dex!$P$22:$Q$276,2,FALSE),"")</f>
        <v/>
      </c>
      <c r="AB1016" s="5106"/>
      <c r="AC1016" s="5096"/>
      <c r="AD1016" s="5103" t="s">
        <v>194</v>
      </c>
      <c r="AE1016" s="5104">
        <f t="array" ref="AE1016">IFERROR(VLOOKUP(AD1001,Dex!$B$3:$N1022,10,FALSE),"")</f>
        <v>45</v>
      </c>
      <c r="AF1016" s="5105" t="str">
        <f t="array" ref="AF1016">IFERROR(VLOOKUP(AE1016,Dex!$P$22:$Q$276,2,FALSE),"")</f>
        <v/>
      </c>
      <c r="AG1016" s="5106"/>
      <c r="AH1016" s="5098"/>
      <c r="AI1016" s="3466"/>
    </row>
    <row r="1017" ht="16.5" customHeight="1">
      <c r="A1017" s="3457"/>
      <c r="B1017" s="5090"/>
      <c r="C1017" s="5070"/>
      <c r="D1017" s="5091"/>
      <c r="E1017" s="5103" t="s">
        <v>195</v>
      </c>
      <c r="F1017" s="5104">
        <f t="array" ref="F1017">IFERROR(VLOOKUP(E1001,Dex!$B$3:$N1022,11,FALSE),"")</f>
        <v>60</v>
      </c>
      <c r="G1017" s="5105" t="str">
        <f t="array" ref="G1017">IFERROR(VLOOKUP(F1017,Dex!$P$22:$Q$276,2,FALSE),"")</f>
        <v/>
      </c>
      <c r="H1017" s="5106"/>
      <c r="I1017" s="5091"/>
      <c r="J1017" s="5103" t="s">
        <v>195</v>
      </c>
      <c r="K1017" s="5104">
        <f t="array" ref="K1017">IFERROR(VLOOKUP(J1001,Dex!$B$3:$N1022,11,FALSE),"")</f>
        <v>30</v>
      </c>
      <c r="L1017" s="5105" t="str">
        <f t="array" ref="L1017">IFERROR(VLOOKUP(K1017,Dex!$P$22:$Q$276,2,FALSE),"")</f>
        <v/>
      </c>
      <c r="M1017" s="5106"/>
      <c r="N1017" s="5091"/>
      <c r="O1017" s="5103" t="s">
        <v>195</v>
      </c>
      <c r="P1017" s="5104">
        <f t="array" ref="P1017">IFERROR(VLOOKUP(O1001,Dex!$B$3:$N1022,11,FALSE),"")</f>
        <v>30</v>
      </c>
      <c r="Q1017" s="5105" t="str">
        <f t="array" ref="Q1017">IFERROR(VLOOKUP(P1017,Dex!$P$22:$Q$276,2,FALSE),"")</f>
        <v/>
      </c>
      <c r="R1017" s="5106"/>
      <c r="S1017" s="5091"/>
      <c r="T1017" s="5103" t="s">
        <v>195</v>
      </c>
      <c r="U1017" s="5104">
        <f t="array" ref="U1017">IFERROR(VLOOKUP(T1001,Dex!$B$3:$N1022,11,FALSE),"")</f>
        <v>30</v>
      </c>
      <c r="V1017" s="5105" t="str">
        <f t="array" ref="V1017">IFERROR(VLOOKUP(U1017,Dex!$P$22:$Q$276,2,FALSE),"")</f>
        <v/>
      </c>
      <c r="W1017" s="5106"/>
      <c r="X1017" s="5095"/>
      <c r="Y1017" s="5103" t="s">
        <v>195</v>
      </c>
      <c r="Z1017" s="5104">
        <f t="array" ref="Z1017">IFERROR(VLOOKUP(Y1001,Dex!$B$3:$N1022,11,FALSE),"")</f>
        <v>30</v>
      </c>
      <c r="AA1017" s="5105" t="str">
        <f t="array" ref="AA1017">IFERROR(VLOOKUP(Z1017,Dex!$P$22:$Q$276,2,FALSE),"")</f>
        <v/>
      </c>
      <c r="AB1017" s="5106"/>
      <c r="AC1017" s="5096"/>
      <c r="AD1017" s="5103" t="s">
        <v>195</v>
      </c>
      <c r="AE1017" s="5104">
        <f t="array" ref="AE1017">IFERROR(VLOOKUP(AD1001,Dex!$B$3:$N1022,11,FALSE),"")</f>
        <v>30</v>
      </c>
      <c r="AF1017" s="5105" t="str">
        <f t="array" ref="AF1017">IFERROR(VLOOKUP(AE1017,Dex!$P$22:$Q$276,2,FALSE),"")</f>
        <v/>
      </c>
      <c r="AG1017" s="5106"/>
      <c r="AH1017" s="5098"/>
      <c r="AI1017" s="3466"/>
    </row>
    <row r="1018" ht="16.5" customHeight="1">
      <c r="A1018" s="3457"/>
      <c r="B1018" s="5090"/>
      <c r="C1018" s="5070"/>
      <c r="D1018" s="5091"/>
      <c r="E1018" s="5103" t="s">
        <v>196</v>
      </c>
      <c r="F1018" s="5104">
        <f t="array" ref="F1018">IFERROR(VLOOKUP(E1001,Dex!$B$3:$N1022,12,FALSE),"")</f>
        <v>80</v>
      </c>
      <c r="G1018" s="5105" t="str">
        <f t="array" ref="G1018">IFERROR(VLOOKUP(F1018,Dex!$P$22:$Q$276,2,FALSE),"")</f>
        <v/>
      </c>
      <c r="H1018" s="5106"/>
      <c r="I1018" s="5091"/>
      <c r="J1018" s="5103" t="s">
        <v>196</v>
      </c>
      <c r="K1018" s="5104">
        <f t="array" ref="K1018">IFERROR(VLOOKUP(J1001,Dex!$B$3:$N1022,12,FALSE),"")</f>
        <v>30</v>
      </c>
      <c r="L1018" s="5105" t="str">
        <f t="array" ref="L1018">IFERROR(VLOOKUP(K1018,Dex!$P$22:$Q$276,2,FALSE),"")</f>
        <v/>
      </c>
      <c r="M1018" s="5106"/>
      <c r="N1018" s="5091"/>
      <c r="O1018" s="5103" t="s">
        <v>196</v>
      </c>
      <c r="P1018" s="5104">
        <f t="array" ref="P1018">IFERROR(VLOOKUP(O1001,Dex!$B$3:$N1022,12,FALSE),"")</f>
        <v>30</v>
      </c>
      <c r="Q1018" s="5105" t="str">
        <f t="array" ref="Q1018">IFERROR(VLOOKUP(P1018,Dex!$P$22:$Q$276,2,FALSE),"")</f>
        <v/>
      </c>
      <c r="R1018" s="5106"/>
      <c r="S1018" s="5091"/>
      <c r="T1018" s="5103" t="s">
        <v>196</v>
      </c>
      <c r="U1018" s="5104">
        <f t="array" ref="U1018">IFERROR(VLOOKUP(T1001,Dex!$B$3:$N1022,12,FALSE),"")</f>
        <v>30</v>
      </c>
      <c r="V1018" s="5105" t="str">
        <f t="array" ref="V1018">IFERROR(VLOOKUP(U1018,Dex!$P$22:$Q$276,2,FALSE),"")</f>
        <v/>
      </c>
      <c r="W1018" s="5106"/>
      <c r="X1018" s="5095"/>
      <c r="Y1018" s="5103" t="s">
        <v>196</v>
      </c>
      <c r="Z1018" s="5104">
        <f t="array" ref="Z1018">IFERROR(VLOOKUP(Y1001,Dex!$B$3:$N1022,12,FALSE),"")</f>
        <v>30</v>
      </c>
      <c r="AA1018" s="5105" t="str">
        <f t="array" ref="AA1018">IFERROR(VLOOKUP(Z1018,Dex!$P$22:$Q$276,2,FALSE),"")</f>
        <v/>
      </c>
      <c r="AB1018" s="5106"/>
      <c r="AC1018" s="5096"/>
      <c r="AD1018" s="5103" t="s">
        <v>196</v>
      </c>
      <c r="AE1018" s="5104">
        <f t="array" ref="AE1018">IFERROR(VLOOKUP(AD1001,Dex!$B$3:$N1022,12,FALSE),"")</f>
        <v>30</v>
      </c>
      <c r="AF1018" s="5105" t="str">
        <f t="array" ref="AF1018">IFERROR(VLOOKUP(AE1018,Dex!$P$22:$Q$276,2,FALSE),"")</f>
        <v/>
      </c>
      <c r="AG1018" s="5106"/>
      <c r="AH1018" s="5098"/>
      <c r="AI1018" s="3466"/>
    </row>
    <row r="1019" ht="16.5" customHeight="1">
      <c r="A1019" s="3457"/>
      <c r="B1019" s="5090"/>
      <c r="C1019" s="1204" t="s">
        <v>436</v>
      </c>
      <c r="D1019" s="5091"/>
      <c r="E1019" s="5107" t="s">
        <v>197</v>
      </c>
      <c r="F1019" s="5108">
        <f t="array" ref="F1019">IFERROR(VLOOKUP(E1001,Dex!$B$3:$N1022,13,FALSE),"")</f>
        <v>25</v>
      </c>
      <c r="G1019" s="5109" t="str">
        <f t="array" ref="G1019">IFERROR(VLOOKUP(F1019,Dex!$P$22:$Q$276,2,FALSE),"")</f>
        <v/>
      </c>
      <c r="H1019" s="5110"/>
      <c r="I1019" s="5091"/>
      <c r="J1019" s="5107" t="s">
        <v>197</v>
      </c>
      <c r="K1019" s="5108">
        <f t="array" ref="K1019">IFERROR(VLOOKUP(J1001,Dex!$B$3:$N1022,13,FALSE),"")</f>
        <v>40</v>
      </c>
      <c r="L1019" s="5109" t="str">
        <f t="array" ref="L1019">IFERROR(VLOOKUP(K1019,Dex!$P$22:$Q$276,2,FALSE),"")</f>
        <v/>
      </c>
      <c r="M1019" s="5110">
        <v>252.0</v>
      </c>
      <c r="N1019" s="5091"/>
      <c r="O1019" s="5107" t="s">
        <v>197</v>
      </c>
      <c r="P1019" s="5108">
        <f t="array" ref="P1019">IFERROR(VLOOKUP(O1001,Dex!$B$3:$N1022,13,FALSE),"")</f>
        <v>40</v>
      </c>
      <c r="Q1019" s="5109" t="str">
        <f t="array" ref="Q1019">IFERROR(VLOOKUP(P1019,Dex!$P$22:$Q$276,2,FALSE),"")</f>
        <v/>
      </c>
      <c r="R1019" s="5110">
        <v>252.0</v>
      </c>
      <c r="S1019" s="5091"/>
      <c r="T1019" s="5107" t="s">
        <v>197</v>
      </c>
      <c r="U1019" s="5108">
        <f t="array" ref="U1019">IFERROR(VLOOKUP(T1001,Dex!$B$3:$N1022,13,FALSE),"")</f>
        <v>40</v>
      </c>
      <c r="V1019" s="5109" t="str">
        <f t="array" ref="V1019">IFERROR(VLOOKUP(U1019,Dex!$P$22:$Q$276,2,FALSE),"")</f>
        <v/>
      </c>
      <c r="W1019" s="5110">
        <v>252.0</v>
      </c>
      <c r="X1019" s="5095"/>
      <c r="Y1019" s="5107" t="s">
        <v>197</v>
      </c>
      <c r="Z1019" s="5108">
        <f t="array" ref="Z1019">IFERROR(VLOOKUP(Y1001,Dex!$B$3:$N1022,13,FALSE),"")</f>
        <v>40</v>
      </c>
      <c r="AA1019" s="5109" t="str">
        <f t="array" ref="AA1019">IFERROR(VLOOKUP(Z1019,Dex!$P$22:$Q$276,2,FALSE),"")</f>
        <v/>
      </c>
      <c r="AB1019" s="5110">
        <v>252.0</v>
      </c>
      <c r="AC1019" s="5096"/>
      <c r="AD1019" s="5107" t="s">
        <v>197</v>
      </c>
      <c r="AE1019" s="5108">
        <f t="array" ref="AE1019">IFERROR(VLOOKUP(AD1001,Dex!$B$3:$N1022,13,FALSE),"")</f>
        <v>40</v>
      </c>
      <c r="AF1019" s="5109" t="str">
        <f t="array" ref="AF1019">IFERROR(VLOOKUP(AE1019,Dex!$P$22:$Q$276,2,FALSE),"")</f>
        <v/>
      </c>
      <c r="AG1019" s="5110">
        <v>252.0</v>
      </c>
      <c r="AH1019" s="5098"/>
      <c r="AI1019" s="3466"/>
    </row>
    <row r="1020" ht="16.5" customHeight="1">
      <c r="A1020" s="3457"/>
      <c r="B1020" s="5090"/>
      <c r="C1020" s="1205" t="s">
        <v>1279</v>
      </c>
      <c r="D1020" s="5094"/>
      <c r="E1020" s="5111" t="s">
        <v>198</v>
      </c>
      <c r="F1020" s="405"/>
      <c r="G1020" s="406"/>
      <c r="H1020" s="5112">
        <v>72.0</v>
      </c>
      <c r="I1020" s="5094"/>
      <c r="J1020" s="5111" t="s">
        <v>198</v>
      </c>
      <c r="K1020" s="405"/>
      <c r="L1020" s="406"/>
      <c r="M1020" s="5112">
        <v>163.0</v>
      </c>
      <c r="N1020" s="5094"/>
      <c r="O1020" s="5111" t="s">
        <v>198</v>
      </c>
      <c r="P1020" s="405"/>
      <c r="Q1020" s="406"/>
      <c r="R1020" s="5112">
        <v>163.0</v>
      </c>
      <c r="S1020" s="5094"/>
      <c r="T1020" s="5111" t="s">
        <v>198</v>
      </c>
      <c r="U1020" s="405"/>
      <c r="V1020" s="406"/>
      <c r="W1020" s="5112">
        <v>163.0</v>
      </c>
      <c r="X1020" s="5166"/>
      <c r="Y1020" s="5111" t="s">
        <v>198</v>
      </c>
      <c r="Z1020" s="405"/>
      <c r="AA1020" s="406"/>
      <c r="AB1020" s="5112">
        <v>163.0</v>
      </c>
      <c r="AC1020" s="5167"/>
      <c r="AD1020" s="5111" t="s">
        <v>198</v>
      </c>
      <c r="AE1020" s="405"/>
      <c r="AF1020" s="406"/>
      <c r="AG1020" s="5112">
        <v>163.0</v>
      </c>
      <c r="AH1020" s="5098"/>
      <c r="AI1020" s="3466"/>
    </row>
    <row r="1021" ht="7.5" customHeight="1">
      <c r="A1021" s="3457"/>
      <c r="B1021" s="5113"/>
      <c r="C1021" s="5114"/>
      <c r="D1021" s="5115"/>
      <c r="E1021" s="5168"/>
      <c r="F1021" s="5119"/>
      <c r="G1021" s="5120"/>
      <c r="H1021" s="5118"/>
      <c r="I1021" s="5115"/>
      <c r="J1021" s="5119"/>
      <c r="K1021" s="5119"/>
      <c r="L1021" s="5120"/>
      <c r="M1021" s="5118"/>
      <c r="N1021" s="5115"/>
      <c r="O1021" s="5119"/>
      <c r="P1021" s="5119"/>
      <c r="Q1021" s="5120"/>
      <c r="R1021" s="5118"/>
      <c r="S1021" s="5115"/>
      <c r="T1021" s="5119"/>
      <c r="U1021" s="5119"/>
      <c r="V1021" s="5120"/>
      <c r="W1021" s="5118"/>
      <c r="X1021" s="5121"/>
      <c r="Y1021" s="5120"/>
      <c r="Z1021" s="5119"/>
      <c r="AA1021" s="5119"/>
      <c r="AB1021" s="5121"/>
      <c r="AC1021" s="5121"/>
      <c r="AD1021" s="5120"/>
      <c r="AE1021" s="5120"/>
      <c r="AF1021" s="5120"/>
      <c r="AG1021" s="5121"/>
      <c r="AH1021" s="5122"/>
      <c r="AI1021" s="3466"/>
    </row>
    <row r="1022" ht="3.75" customHeight="1">
      <c r="A1022" s="3358"/>
      <c r="B1022" s="5169"/>
      <c r="C1022" s="5170"/>
      <c r="D1022" s="5169"/>
      <c r="E1022" s="5169"/>
      <c r="F1022" s="5169"/>
      <c r="G1022" s="5169"/>
      <c r="H1022" s="5169"/>
      <c r="I1022" s="5169"/>
      <c r="J1022" s="5169"/>
      <c r="K1022" s="5169"/>
      <c r="L1022" s="5169"/>
      <c r="M1022" s="5169"/>
      <c r="N1022" s="5169"/>
      <c r="O1022" s="5169"/>
      <c r="P1022" s="5169"/>
      <c r="Q1022" s="5169"/>
      <c r="R1022" s="5169"/>
      <c r="S1022" s="5169"/>
      <c r="T1022" s="5169"/>
      <c r="U1022" s="5169"/>
      <c r="V1022" s="5169"/>
      <c r="W1022" s="5169"/>
      <c r="X1022" s="5169"/>
      <c r="Y1022" s="5169"/>
      <c r="Z1022" s="5169"/>
      <c r="AA1022" s="5169"/>
      <c r="AB1022" s="5169"/>
      <c r="AC1022" s="5169"/>
      <c r="AD1022" s="5169"/>
      <c r="AE1022" s="5169"/>
      <c r="AF1022" s="5169"/>
      <c r="AG1022" s="5169"/>
      <c r="AH1022" s="5169"/>
      <c r="AI1022" s="3358"/>
    </row>
  </sheetData>
  <mergeCells count="3336">
    <mergeCell ref="I26:I37"/>
    <mergeCell ref="N26:N37"/>
    <mergeCell ref="S26:S37"/>
    <mergeCell ref="X26:X37"/>
    <mergeCell ref="AC26:AC37"/>
    <mergeCell ref="T29:W29"/>
    <mergeCell ref="T32:W32"/>
    <mergeCell ref="T50:W50"/>
    <mergeCell ref="Y50:AB50"/>
    <mergeCell ref="AD51:AG51"/>
    <mergeCell ref="AD52:AG52"/>
    <mergeCell ref="AD53:AG53"/>
    <mergeCell ref="T35:W35"/>
    <mergeCell ref="Y35:AB35"/>
    <mergeCell ref="U42:U46"/>
    <mergeCell ref="J46:L46"/>
    <mergeCell ref="E49:AG49"/>
    <mergeCell ref="J50:M50"/>
    <mergeCell ref="O50:R50"/>
    <mergeCell ref="AD50:AG50"/>
    <mergeCell ref="E23:G23"/>
    <mergeCell ref="E32:H32"/>
    <mergeCell ref="C27:C29"/>
    <mergeCell ref="F29:G29"/>
    <mergeCell ref="C32:C34"/>
    <mergeCell ref="E33:G33"/>
    <mergeCell ref="E34:G34"/>
    <mergeCell ref="E35:G35"/>
    <mergeCell ref="E36:G36"/>
    <mergeCell ref="E50:H50"/>
    <mergeCell ref="E51:H51"/>
    <mergeCell ref="J51:M51"/>
    <mergeCell ref="O51:R51"/>
    <mergeCell ref="T51:W51"/>
    <mergeCell ref="Y51:AB51"/>
    <mergeCell ref="Y53:AB53"/>
    <mergeCell ref="E52:H52"/>
    <mergeCell ref="J52:M52"/>
    <mergeCell ref="C51:C53"/>
    <mergeCell ref="F53:G53"/>
    <mergeCell ref="T3:W3"/>
    <mergeCell ref="Y3:AB3"/>
    <mergeCell ref="AD3:AG3"/>
    <mergeCell ref="E3:H3"/>
    <mergeCell ref="C4:C6"/>
    <mergeCell ref="E4:H4"/>
    <mergeCell ref="E5:H5"/>
    <mergeCell ref="O3:R3"/>
    <mergeCell ref="O4:R4"/>
    <mergeCell ref="T4:W4"/>
    <mergeCell ref="Y4:AB4"/>
    <mergeCell ref="AD4:AG4"/>
    <mergeCell ref="J5:M5"/>
    <mergeCell ref="O5:R5"/>
    <mergeCell ref="T5:W5"/>
    <mergeCell ref="Y5:AB5"/>
    <mergeCell ref="AD5:AG5"/>
    <mergeCell ref="AD6:AG6"/>
    <mergeCell ref="K6:L6"/>
    <mergeCell ref="P6:Q6"/>
    <mergeCell ref="Y12:AB12"/>
    <mergeCell ref="O13:Q13"/>
    <mergeCell ref="T13:W13"/>
    <mergeCell ref="Y13:AB13"/>
    <mergeCell ref="J14:M14"/>
    <mergeCell ref="O14:Q14"/>
    <mergeCell ref="T14:W14"/>
    <mergeCell ref="Y14:AB14"/>
    <mergeCell ref="I3:I14"/>
    <mergeCell ref="J3:M3"/>
    <mergeCell ref="N3:N14"/>
    <mergeCell ref="S3:S14"/>
    <mergeCell ref="X3:X14"/>
    <mergeCell ref="AC3:AC14"/>
    <mergeCell ref="J4:M4"/>
    <mergeCell ref="T6:W6"/>
    <mergeCell ref="Y6:AB6"/>
    <mergeCell ref="O8:R8"/>
    <mergeCell ref="T8:W8"/>
    <mergeCell ref="AD8:AG8"/>
    <mergeCell ref="Y8:AB8"/>
    <mergeCell ref="O9:R9"/>
    <mergeCell ref="T9:W9"/>
    <mergeCell ref="Y9:AB9"/>
    <mergeCell ref="AD9:AG9"/>
    <mergeCell ref="O10:Q10"/>
    <mergeCell ref="T10:W10"/>
    <mergeCell ref="AD10:AG10"/>
    <mergeCell ref="Y10:AB10"/>
    <mergeCell ref="O11:Q11"/>
    <mergeCell ref="T11:W11"/>
    <mergeCell ref="Y11:AB11"/>
    <mergeCell ref="AD11:AG11"/>
    <mergeCell ref="E12:G12"/>
    <mergeCell ref="J12:M12"/>
    <mergeCell ref="E13:G13"/>
    <mergeCell ref="J13:M13"/>
    <mergeCell ref="E14:H14"/>
    <mergeCell ref="O12:Q12"/>
    <mergeCell ref="T12:W12"/>
    <mergeCell ref="AD12:AG12"/>
    <mergeCell ref="AD13:AG13"/>
    <mergeCell ref="AD14:AG14"/>
    <mergeCell ref="E8:H8"/>
    <mergeCell ref="J8:M8"/>
    <mergeCell ref="C9:C11"/>
    <mergeCell ref="E9:H9"/>
    <mergeCell ref="J9:M9"/>
    <mergeCell ref="E10:G10"/>
    <mergeCell ref="E11:G11"/>
    <mergeCell ref="J26:M26"/>
    <mergeCell ref="O26:R26"/>
    <mergeCell ref="T26:W26"/>
    <mergeCell ref="Y26:AB26"/>
    <mergeCell ref="AD26:AG26"/>
    <mergeCell ref="J10:L10"/>
    <mergeCell ref="J11:L11"/>
    <mergeCell ref="E16:G16"/>
    <mergeCell ref="J16:L16"/>
    <mergeCell ref="O16:Q16"/>
    <mergeCell ref="J23:L23"/>
    <mergeCell ref="O23:Q23"/>
    <mergeCell ref="E26:H26"/>
    <mergeCell ref="E27:H27"/>
    <mergeCell ref="J27:M27"/>
    <mergeCell ref="O27:R27"/>
    <mergeCell ref="T27:W27"/>
    <mergeCell ref="Y27:AB27"/>
    <mergeCell ref="AD27:AG27"/>
    <mergeCell ref="AD28:AG28"/>
    <mergeCell ref="AD29:AG29"/>
    <mergeCell ref="E28:H28"/>
    <mergeCell ref="J28:M28"/>
    <mergeCell ref="J32:M32"/>
    <mergeCell ref="O32:R32"/>
    <mergeCell ref="Y31:AB31"/>
    <mergeCell ref="Y32:AB32"/>
    <mergeCell ref="J33:L33"/>
    <mergeCell ref="O33:R33"/>
    <mergeCell ref="T33:W33"/>
    <mergeCell ref="Y33:AB33"/>
    <mergeCell ref="J34:L34"/>
    <mergeCell ref="O34:R34"/>
    <mergeCell ref="T34:W34"/>
    <mergeCell ref="Y34:AB34"/>
    <mergeCell ref="J35:L35"/>
    <mergeCell ref="O35:R35"/>
    <mergeCell ref="O28:R28"/>
    <mergeCell ref="T28:W28"/>
    <mergeCell ref="K29:L29"/>
    <mergeCell ref="O29:R29"/>
    <mergeCell ref="Y28:AB28"/>
    <mergeCell ref="Y29:AB29"/>
    <mergeCell ref="E31:H31"/>
    <mergeCell ref="J31:M31"/>
    <mergeCell ref="J36:L36"/>
    <mergeCell ref="J37:L37"/>
    <mergeCell ref="O36:R36"/>
    <mergeCell ref="T36:W36"/>
    <mergeCell ref="Y36:AB36"/>
    <mergeCell ref="AD36:AG36"/>
    <mergeCell ref="O37:R37"/>
    <mergeCell ref="T37:W37"/>
    <mergeCell ref="Y37:AB37"/>
    <mergeCell ref="AD37:AG37"/>
    <mergeCell ref="O31:R31"/>
    <mergeCell ref="T31:W31"/>
    <mergeCell ref="AD31:AG31"/>
    <mergeCell ref="AD32:AG32"/>
    <mergeCell ref="AD33:AG33"/>
    <mergeCell ref="AD34:AG34"/>
    <mergeCell ref="AD35:AG35"/>
    <mergeCell ref="E37:G37"/>
    <mergeCell ref="E39:G39"/>
    <mergeCell ref="J39:L39"/>
    <mergeCell ref="O52:R52"/>
    <mergeCell ref="T52:W52"/>
    <mergeCell ref="E55:H55"/>
    <mergeCell ref="J55:M55"/>
    <mergeCell ref="E56:H56"/>
    <mergeCell ref="J56:M56"/>
    <mergeCell ref="O55:R55"/>
    <mergeCell ref="T55:W55"/>
    <mergeCell ref="AD55:AG55"/>
    <mergeCell ref="E46:G46"/>
    <mergeCell ref="C56:C58"/>
    <mergeCell ref="E57:G57"/>
    <mergeCell ref="E58:G58"/>
    <mergeCell ref="E59:G59"/>
    <mergeCell ref="E60:G60"/>
    <mergeCell ref="E61:G61"/>
    <mergeCell ref="E63:G63"/>
    <mergeCell ref="O56:R56"/>
    <mergeCell ref="T56:W56"/>
    <mergeCell ref="AD56:AG56"/>
    <mergeCell ref="Y56:AB56"/>
    <mergeCell ref="J57:L57"/>
    <mergeCell ref="O57:Q57"/>
    <mergeCell ref="T57:V57"/>
    <mergeCell ref="Y57:AB57"/>
    <mergeCell ref="AD57:AG57"/>
    <mergeCell ref="O63:Q63"/>
    <mergeCell ref="T63:V63"/>
    <mergeCell ref="J58:L58"/>
    <mergeCell ref="O58:Q58"/>
    <mergeCell ref="AD58:AG58"/>
    <mergeCell ref="AD59:AG59"/>
    <mergeCell ref="AD60:AG60"/>
    <mergeCell ref="AD61:AG61"/>
    <mergeCell ref="J63:L63"/>
    <mergeCell ref="T82:W82"/>
    <mergeCell ref="O83:Q83"/>
    <mergeCell ref="T83:W83"/>
    <mergeCell ref="Y83:AB83"/>
    <mergeCell ref="O84:Q84"/>
    <mergeCell ref="T84:W84"/>
    <mergeCell ref="Y84:AB84"/>
    <mergeCell ref="O85:Q85"/>
    <mergeCell ref="T85:W85"/>
    <mergeCell ref="O87:Q87"/>
    <mergeCell ref="Z90:Z94"/>
    <mergeCell ref="AA90:AA94"/>
    <mergeCell ref="O94:Q94"/>
    <mergeCell ref="O74:R74"/>
    <mergeCell ref="T74:W74"/>
    <mergeCell ref="X74:X85"/>
    <mergeCell ref="AC74:AC85"/>
    <mergeCell ref="T81:W81"/>
    <mergeCell ref="Y81:AB81"/>
    <mergeCell ref="Y82:AB82"/>
    <mergeCell ref="Y85:AB85"/>
    <mergeCell ref="T58:V58"/>
    <mergeCell ref="Y58:AB58"/>
    <mergeCell ref="J59:L59"/>
    <mergeCell ref="O59:Q59"/>
    <mergeCell ref="T59:V59"/>
    <mergeCell ref="Y59:AB59"/>
    <mergeCell ref="T60:V60"/>
    <mergeCell ref="Y60:AB60"/>
    <mergeCell ref="I50:I61"/>
    <mergeCell ref="N50:N61"/>
    <mergeCell ref="S50:S61"/>
    <mergeCell ref="X50:X61"/>
    <mergeCell ref="AC50:AC61"/>
    <mergeCell ref="Y52:AB52"/>
    <mergeCell ref="Y55:AB55"/>
    <mergeCell ref="O81:Q81"/>
    <mergeCell ref="O82:Q82"/>
    <mergeCell ref="J60:L60"/>
    <mergeCell ref="O60:Q60"/>
    <mergeCell ref="I74:I85"/>
    <mergeCell ref="J74:M74"/>
    <mergeCell ref="N74:N85"/>
    <mergeCell ref="S74:S85"/>
    <mergeCell ref="J82:L82"/>
    <mergeCell ref="J83:L83"/>
    <mergeCell ref="T61:V61"/>
    <mergeCell ref="Y61:AB61"/>
    <mergeCell ref="AA66:AA70"/>
    <mergeCell ref="T70:V70"/>
    <mergeCell ref="J61:L61"/>
    <mergeCell ref="O61:Q61"/>
    <mergeCell ref="E70:G70"/>
    <mergeCell ref="J70:L70"/>
    <mergeCell ref="O70:Q70"/>
    <mergeCell ref="E73:AG73"/>
    <mergeCell ref="E74:H74"/>
    <mergeCell ref="T75:W75"/>
    <mergeCell ref="T76:W76"/>
    <mergeCell ref="T79:W79"/>
    <mergeCell ref="T80:W80"/>
    <mergeCell ref="Y76:AB76"/>
    <mergeCell ref="T77:W77"/>
    <mergeCell ref="Y77:AB77"/>
    <mergeCell ref="Y79:AB79"/>
    <mergeCell ref="Y80:AB80"/>
    <mergeCell ref="Y74:AB74"/>
    <mergeCell ref="C75:C77"/>
    <mergeCell ref="E75:H75"/>
    <mergeCell ref="O75:R75"/>
    <mergeCell ref="Y75:AB75"/>
    <mergeCell ref="E76:H76"/>
    <mergeCell ref="O76:R76"/>
    <mergeCell ref="O79:R79"/>
    <mergeCell ref="O80:R80"/>
    <mergeCell ref="AD74:AG74"/>
    <mergeCell ref="AD75:AG75"/>
    <mergeCell ref="AD76:AG76"/>
    <mergeCell ref="AD77:AG77"/>
    <mergeCell ref="AD79:AG79"/>
    <mergeCell ref="AD80:AG80"/>
    <mergeCell ref="AD81:AG81"/>
    <mergeCell ref="O99:R99"/>
    <mergeCell ref="P101:Q101"/>
    <mergeCell ref="O107:Q107"/>
    <mergeCell ref="T107:W107"/>
    <mergeCell ref="Y107:AB107"/>
    <mergeCell ref="J108:L108"/>
    <mergeCell ref="O108:Q108"/>
    <mergeCell ref="T108:W108"/>
    <mergeCell ref="Y108:AB108"/>
    <mergeCell ref="J109:L109"/>
    <mergeCell ref="O109:Q109"/>
    <mergeCell ref="T109:W109"/>
    <mergeCell ref="Y109:AB109"/>
    <mergeCell ref="J98:M98"/>
    <mergeCell ref="N98:N109"/>
    <mergeCell ref="S98:S109"/>
    <mergeCell ref="X98:X109"/>
    <mergeCell ref="AC98:AC109"/>
    <mergeCell ref="J99:M99"/>
    <mergeCell ref="T101:W101"/>
    <mergeCell ref="J103:M103"/>
    <mergeCell ref="O103:R103"/>
    <mergeCell ref="T103:W103"/>
    <mergeCell ref="Y103:AB103"/>
    <mergeCell ref="AD103:AG103"/>
    <mergeCell ref="J104:M104"/>
    <mergeCell ref="O104:R104"/>
    <mergeCell ref="T104:W104"/>
    <mergeCell ref="Y104:AB104"/>
    <mergeCell ref="AD104:AG104"/>
    <mergeCell ref="J105:L105"/>
    <mergeCell ref="O105:Q105"/>
    <mergeCell ref="T105:W105"/>
    <mergeCell ref="Y105:AB105"/>
    <mergeCell ref="AD105:AG105"/>
    <mergeCell ref="AD106:AG106"/>
    <mergeCell ref="AD107:AG107"/>
    <mergeCell ref="AD108:AG108"/>
    <mergeCell ref="AD109:AG109"/>
    <mergeCell ref="J106:L106"/>
    <mergeCell ref="O106:Q106"/>
    <mergeCell ref="J100:M100"/>
    <mergeCell ref="J107:L107"/>
    <mergeCell ref="J80:M80"/>
    <mergeCell ref="J81:L81"/>
    <mergeCell ref="J84:L84"/>
    <mergeCell ref="J85:L85"/>
    <mergeCell ref="J87:L87"/>
    <mergeCell ref="J94:L94"/>
    <mergeCell ref="I98:I109"/>
    <mergeCell ref="E82:G82"/>
    <mergeCell ref="E83:G83"/>
    <mergeCell ref="E84:G84"/>
    <mergeCell ref="E85:G85"/>
    <mergeCell ref="E87:G87"/>
    <mergeCell ref="E94:G94"/>
    <mergeCell ref="C99:C101"/>
    <mergeCell ref="E99:H99"/>
    <mergeCell ref="E100:H100"/>
    <mergeCell ref="E103:H103"/>
    <mergeCell ref="E104:H104"/>
    <mergeCell ref="E107:G107"/>
    <mergeCell ref="E108:G108"/>
    <mergeCell ref="E109:G109"/>
    <mergeCell ref="T153:W153"/>
    <mergeCell ref="T154:W154"/>
    <mergeCell ref="T155:W155"/>
    <mergeCell ref="T156:W156"/>
    <mergeCell ref="T145:W145"/>
    <mergeCell ref="T146:W146"/>
    <mergeCell ref="T147:W147"/>
    <mergeCell ref="T148:W148"/>
    <mergeCell ref="T150:W150"/>
    <mergeCell ref="T151:W151"/>
    <mergeCell ref="T152:W152"/>
    <mergeCell ref="Y154:AB154"/>
    <mergeCell ref="Y155:AB155"/>
    <mergeCell ref="Y131:AB131"/>
    <mergeCell ref="Y132:AB132"/>
    <mergeCell ref="V138:V142"/>
    <mergeCell ref="X145:X156"/>
    <mergeCell ref="Y145:AB145"/>
    <mergeCell ref="AC145:AC156"/>
    <mergeCell ref="Y146:AB146"/>
    <mergeCell ref="Y156:AB156"/>
    <mergeCell ref="Y129:AB129"/>
    <mergeCell ref="Y130:AB130"/>
    <mergeCell ref="X122:X133"/>
    <mergeCell ref="AC122:AC133"/>
    <mergeCell ref="Y123:AB123"/>
    <mergeCell ref="Y124:AB124"/>
    <mergeCell ref="Y125:AB125"/>
    <mergeCell ref="Y127:AB127"/>
    <mergeCell ref="Y128:AB128"/>
    <mergeCell ref="Y133:AB133"/>
    <mergeCell ref="Y147:AB147"/>
    <mergeCell ref="Y148:AB148"/>
    <mergeCell ref="Y150:AB150"/>
    <mergeCell ref="Y151:AB151"/>
    <mergeCell ref="Y152:AB152"/>
    <mergeCell ref="Y153:AB153"/>
    <mergeCell ref="AD153:AG153"/>
    <mergeCell ref="AD154:AG154"/>
    <mergeCell ref="AD155:AG155"/>
    <mergeCell ref="AD156:AG156"/>
    <mergeCell ref="AD145:AG145"/>
    <mergeCell ref="AD146:AG146"/>
    <mergeCell ref="AD147:AG147"/>
    <mergeCell ref="AD148:AG148"/>
    <mergeCell ref="AD150:AG150"/>
    <mergeCell ref="AD151:AG151"/>
    <mergeCell ref="AD152:AG152"/>
    <mergeCell ref="E146:H146"/>
    <mergeCell ref="F148:G148"/>
    <mergeCell ref="J150:M150"/>
    <mergeCell ref="O150:R150"/>
    <mergeCell ref="C151:C153"/>
    <mergeCell ref="E151:H151"/>
    <mergeCell ref="E152:G152"/>
    <mergeCell ref="E153:G153"/>
    <mergeCell ref="J151:M151"/>
    <mergeCell ref="O151:R151"/>
    <mergeCell ref="J152:L152"/>
    <mergeCell ref="O152:Q152"/>
    <mergeCell ref="J153:L153"/>
    <mergeCell ref="O153:Q153"/>
    <mergeCell ref="E154:G154"/>
    <mergeCell ref="J154:L154"/>
    <mergeCell ref="O154:Q154"/>
    <mergeCell ref="E155:G155"/>
    <mergeCell ref="J155:L155"/>
    <mergeCell ref="O155:Q155"/>
    <mergeCell ref="E156:G156"/>
    <mergeCell ref="J156:L156"/>
    <mergeCell ref="E158:G158"/>
    <mergeCell ref="J158:L158"/>
    <mergeCell ref="O158:Q158"/>
    <mergeCell ref="O165:Q165"/>
    <mergeCell ref="O168:R168"/>
    <mergeCell ref="E142:G142"/>
    <mergeCell ref="I145:I156"/>
    <mergeCell ref="N145:N156"/>
    <mergeCell ref="S145:S156"/>
    <mergeCell ref="C146:C148"/>
    <mergeCell ref="O147:R147"/>
    <mergeCell ref="P148:Q148"/>
    <mergeCell ref="O156:Q156"/>
    <mergeCell ref="E168:H168"/>
    <mergeCell ref="E169:H169"/>
    <mergeCell ref="T168:W168"/>
    <mergeCell ref="T169:W169"/>
    <mergeCell ref="AD168:AG168"/>
    <mergeCell ref="AD169:AG169"/>
    <mergeCell ref="AD170:AG170"/>
    <mergeCell ref="O170:R170"/>
    <mergeCell ref="T170:W170"/>
    <mergeCell ref="T98:W98"/>
    <mergeCell ref="Y98:AB98"/>
    <mergeCell ref="AD99:AG99"/>
    <mergeCell ref="AD100:AG100"/>
    <mergeCell ref="AD101:AG101"/>
    <mergeCell ref="AD82:AG82"/>
    <mergeCell ref="AD83:AG83"/>
    <mergeCell ref="AD84:AG84"/>
    <mergeCell ref="AD85:AG85"/>
    <mergeCell ref="E97:AG97"/>
    <mergeCell ref="E98:H98"/>
    <mergeCell ref="O98:R98"/>
    <mergeCell ref="AD98:AG98"/>
    <mergeCell ref="E118:G118"/>
    <mergeCell ref="J118:L118"/>
    <mergeCell ref="O118:Q118"/>
    <mergeCell ref="E121:AG121"/>
    <mergeCell ref="E122:H122"/>
    <mergeCell ref="O122:R122"/>
    <mergeCell ref="T122:W122"/>
    <mergeCell ref="AD129:AG129"/>
    <mergeCell ref="AD130:AG130"/>
    <mergeCell ref="AD131:AG131"/>
    <mergeCell ref="AD132:AG132"/>
    <mergeCell ref="AD133:AG133"/>
    <mergeCell ref="Y122:AB122"/>
    <mergeCell ref="AD122:AG122"/>
    <mergeCell ref="AD123:AG123"/>
    <mergeCell ref="AD124:AG124"/>
    <mergeCell ref="AD125:AG125"/>
    <mergeCell ref="AD127:AG127"/>
    <mergeCell ref="AD128:AG128"/>
    <mergeCell ref="J75:M75"/>
    <mergeCell ref="J76:M76"/>
    <mergeCell ref="E79:H79"/>
    <mergeCell ref="J79:M79"/>
    <mergeCell ref="C80:C82"/>
    <mergeCell ref="E80:H80"/>
    <mergeCell ref="E81:G81"/>
    <mergeCell ref="T99:W99"/>
    <mergeCell ref="Y99:AB99"/>
    <mergeCell ref="O100:R100"/>
    <mergeCell ref="T100:W100"/>
    <mergeCell ref="Y100:AB100"/>
    <mergeCell ref="Y101:AB101"/>
    <mergeCell ref="C104:C106"/>
    <mergeCell ref="E105:G105"/>
    <mergeCell ref="E106:G106"/>
    <mergeCell ref="T106:W106"/>
    <mergeCell ref="Y106:AB106"/>
    <mergeCell ref="T128:W128"/>
    <mergeCell ref="T129:W129"/>
    <mergeCell ref="T130:W130"/>
    <mergeCell ref="T131:W131"/>
    <mergeCell ref="T132:W132"/>
    <mergeCell ref="T133:W133"/>
    <mergeCell ref="J122:M122"/>
    <mergeCell ref="E123:H123"/>
    <mergeCell ref="J123:M123"/>
    <mergeCell ref="T123:W123"/>
    <mergeCell ref="T124:W124"/>
    <mergeCell ref="T125:W125"/>
    <mergeCell ref="T127:W127"/>
    <mergeCell ref="C123:C125"/>
    <mergeCell ref="E124:H124"/>
    <mergeCell ref="F125:G125"/>
    <mergeCell ref="C128:C130"/>
    <mergeCell ref="E128:H128"/>
    <mergeCell ref="E129:G129"/>
    <mergeCell ref="E130:G130"/>
    <mergeCell ref="O123:R123"/>
    <mergeCell ref="O124:R124"/>
    <mergeCell ref="J127:M127"/>
    <mergeCell ref="O127:R127"/>
    <mergeCell ref="J128:M128"/>
    <mergeCell ref="O128:R128"/>
    <mergeCell ref="J129:L129"/>
    <mergeCell ref="O129:Q129"/>
    <mergeCell ref="J130:L130"/>
    <mergeCell ref="O130:Q130"/>
    <mergeCell ref="E131:G131"/>
    <mergeCell ref="J131:L131"/>
    <mergeCell ref="K125:L125"/>
    <mergeCell ref="E127:H127"/>
    <mergeCell ref="O131:Q131"/>
    <mergeCell ref="E132:G132"/>
    <mergeCell ref="J132:L132"/>
    <mergeCell ref="O132:Q132"/>
    <mergeCell ref="E111:G111"/>
    <mergeCell ref="J111:L111"/>
    <mergeCell ref="O111:Q111"/>
    <mergeCell ref="I122:I133"/>
    <mergeCell ref="N122:N133"/>
    <mergeCell ref="S122:S133"/>
    <mergeCell ref="J124:M124"/>
    <mergeCell ref="O133:Q133"/>
    <mergeCell ref="J145:M145"/>
    <mergeCell ref="O145:R145"/>
    <mergeCell ref="E133:G133"/>
    <mergeCell ref="J133:L133"/>
    <mergeCell ref="E135:G135"/>
    <mergeCell ref="J135:L135"/>
    <mergeCell ref="O135:Q135"/>
    <mergeCell ref="J142:L142"/>
    <mergeCell ref="O142:Q142"/>
    <mergeCell ref="J146:M146"/>
    <mergeCell ref="O146:R146"/>
    <mergeCell ref="E147:H147"/>
    <mergeCell ref="J147:M147"/>
    <mergeCell ref="J169:M169"/>
    <mergeCell ref="E170:H170"/>
    <mergeCell ref="J170:M170"/>
    <mergeCell ref="E179:G179"/>
    <mergeCell ref="J179:L179"/>
    <mergeCell ref="E181:G181"/>
    <mergeCell ref="J181:L181"/>
    <mergeCell ref="E145:H145"/>
    <mergeCell ref="E150:H150"/>
    <mergeCell ref="E165:G165"/>
    <mergeCell ref="J165:L165"/>
    <mergeCell ref="I168:I179"/>
    <mergeCell ref="J168:M168"/>
    <mergeCell ref="E174:H174"/>
    <mergeCell ref="F171:G171"/>
    <mergeCell ref="E173:H173"/>
    <mergeCell ref="C169:C171"/>
    <mergeCell ref="C174:C176"/>
    <mergeCell ref="J173:M173"/>
    <mergeCell ref="J174:M174"/>
    <mergeCell ref="E175:G175"/>
    <mergeCell ref="J175:L175"/>
    <mergeCell ref="E176:G176"/>
    <mergeCell ref="J176:L176"/>
    <mergeCell ref="E177:G177"/>
    <mergeCell ref="J177:L177"/>
    <mergeCell ref="E178:G178"/>
    <mergeCell ref="J178:L178"/>
    <mergeCell ref="O181:Q181"/>
    <mergeCell ref="O169:R169"/>
    <mergeCell ref="P171:Q171"/>
    <mergeCell ref="Y170:AB170"/>
    <mergeCell ref="Y171:AB171"/>
    <mergeCell ref="AD171:AG171"/>
    <mergeCell ref="O173:R173"/>
    <mergeCell ref="T173:W173"/>
    <mergeCell ref="AD173:AG173"/>
    <mergeCell ref="Y173:AB173"/>
    <mergeCell ref="O174:R174"/>
    <mergeCell ref="T174:W174"/>
    <mergeCell ref="Y174:AB174"/>
    <mergeCell ref="AD174:AG174"/>
    <mergeCell ref="O175:Q175"/>
    <mergeCell ref="T175:W175"/>
    <mergeCell ref="AD175:AG175"/>
    <mergeCell ref="Y175:AB175"/>
    <mergeCell ref="O176:Q176"/>
    <mergeCell ref="T176:W176"/>
    <mergeCell ref="Y176:AB176"/>
    <mergeCell ref="AD176:AG176"/>
    <mergeCell ref="O177:Q177"/>
    <mergeCell ref="T177:W177"/>
    <mergeCell ref="AD177:AG177"/>
    <mergeCell ref="AD178:AG178"/>
    <mergeCell ref="AD179:AG179"/>
    <mergeCell ref="Y177:AB177"/>
    <mergeCell ref="O178:Q178"/>
    <mergeCell ref="T178:W178"/>
    <mergeCell ref="Y178:AB178"/>
    <mergeCell ref="N168:N179"/>
    <mergeCell ref="S168:S179"/>
    <mergeCell ref="X168:X179"/>
    <mergeCell ref="Y168:AB168"/>
    <mergeCell ref="AC168:AC179"/>
    <mergeCell ref="Y169:AB169"/>
    <mergeCell ref="T171:W171"/>
    <mergeCell ref="Y179:AB179"/>
    <mergeCell ref="J192:M192"/>
    <mergeCell ref="O192:R192"/>
    <mergeCell ref="T192:W192"/>
    <mergeCell ref="Y192:AB192"/>
    <mergeCell ref="AD192:AG192"/>
    <mergeCell ref="O179:Q179"/>
    <mergeCell ref="T179:W179"/>
    <mergeCell ref="V184:V188"/>
    <mergeCell ref="E188:G188"/>
    <mergeCell ref="J188:L188"/>
    <mergeCell ref="O188:Q188"/>
    <mergeCell ref="E191:AG191"/>
    <mergeCell ref="E193:H193"/>
    <mergeCell ref="J193:M193"/>
    <mergeCell ref="O193:R193"/>
    <mergeCell ref="T193:W193"/>
    <mergeCell ref="AD199:AG199"/>
    <mergeCell ref="AD200:AG200"/>
    <mergeCell ref="AD201:AG201"/>
    <mergeCell ref="J194:M194"/>
    <mergeCell ref="O194:R194"/>
    <mergeCell ref="AD194:AG194"/>
    <mergeCell ref="AD195:AG195"/>
    <mergeCell ref="AD196:AG196"/>
    <mergeCell ref="AD197:AG197"/>
    <mergeCell ref="AD198:AG198"/>
    <mergeCell ref="T198:W198"/>
    <mergeCell ref="Y198:AB198"/>
    <mergeCell ref="I192:I203"/>
    <mergeCell ref="N192:N203"/>
    <mergeCell ref="S192:S203"/>
    <mergeCell ref="X192:X203"/>
    <mergeCell ref="AC192:AC203"/>
    <mergeCell ref="T194:W194"/>
    <mergeCell ref="U195:V195"/>
    <mergeCell ref="J199:L199"/>
    <mergeCell ref="O199:Q199"/>
    <mergeCell ref="T199:V199"/>
    <mergeCell ref="Y199:AA199"/>
    <mergeCell ref="J200:L200"/>
    <mergeCell ref="O200:Q200"/>
    <mergeCell ref="T200:V200"/>
    <mergeCell ref="Y200:AA200"/>
    <mergeCell ref="J201:L201"/>
    <mergeCell ref="O201:Q201"/>
    <mergeCell ref="T201:V201"/>
    <mergeCell ref="Y201:AA201"/>
    <mergeCell ref="J202:L202"/>
    <mergeCell ref="O202:Q202"/>
    <mergeCell ref="AD202:AG202"/>
    <mergeCell ref="AD203:AG203"/>
    <mergeCell ref="E192:H192"/>
    <mergeCell ref="E194:H194"/>
    <mergeCell ref="Y193:AB193"/>
    <mergeCell ref="Y194:AB194"/>
    <mergeCell ref="F195:G195"/>
    <mergeCell ref="K195:L195"/>
    <mergeCell ref="J197:M197"/>
    <mergeCell ref="O197:R197"/>
    <mergeCell ref="T197:W197"/>
    <mergeCell ref="Y197:AB197"/>
    <mergeCell ref="T202:V202"/>
    <mergeCell ref="Y202:AA202"/>
    <mergeCell ref="J198:M198"/>
    <mergeCell ref="O198:R198"/>
    <mergeCell ref="C193:C198"/>
    <mergeCell ref="E197:H197"/>
    <mergeCell ref="E198:H198"/>
    <mergeCell ref="E199:G199"/>
    <mergeCell ref="E200:G200"/>
    <mergeCell ref="E201:G201"/>
    <mergeCell ref="E202:G202"/>
    <mergeCell ref="E205:G205"/>
    <mergeCell ref="O218:R218"/>
    <mergeCell ref="T218:W218"/>
    <mergeCell ref="AD218:AG218"/>
    <mergeCell ref="Y218:AB218"/>
    <mergeCell ref="K219:L219"/>
    <mergeCell ref="AD219:AG219"/>
    <mergeCell ref="AD220:AG220"/>
    <mergeCell ref="E221:H221"/>
    <mergeCell ref="J221:M221"/>
    <mergeCell ref="O221:R221"/>
    <mergeCell ref="T221:W221"/>
    <mergeCell ref="AD221:AG221"/>
    <mergeCell ref="C217:C222"/>
    <mergeCell ref="E222:H222"/>
    <mergeCell ref="J222:M222"/>
    <mergeCell ref="O222:R222"/>
    <mergeCell ref="Y221:AB221"/>
    <mergeCell ref="Y222:AB222"/>
    <mergeCell ref="O225:Q225"/>
    <mergeCell ref="T225:V225"/>
    <mergeCell ref="N216:N227"/>
    <mergeCell ref="S216:S227"/>
    <mergeCell ref="X216:X227"/>
    <mergeCell ref="AC216:AC227"/>
    <mergeCell ref="T222:W222"/>
    <mergeCell ref="AD222:AG222"/>
    <mergeCell ref="Y224:AA224"/>
    <mergeCell ref="J417:M417"/>
    <mergeCell ref="O417:R417"/>
    <mergeCell ref="J422:L422"/>
    <mergeCell ref="O422:Q422"/>
    <mergeCell ref="J423:L423"/>
    <mergeCell ref="O423:Q423"/>
    <mergeCell ref="J424:L424"/>
    <mergeCell ref="O424:Q424"/>
    <mergeCell ref="J425:L425"/>
    <mergeCell ref="O425:Q425"/>
    <mergeCell ref="J426:L426"/>
    <mergeCell ref="O426:Q426"/>
    <mergeCell ref="J399:L399"/>
    <mergeCell ref="J400:L400"/>
    <mergeCell ref="J401:L401"/>
    <mergeCell ref="J403:L403"/>
    <mergeCell ref="O403:Q403"/>
    <mergeCell ref="O410:Q410"/>
    <mergeCell ref="S415:S426"/>
    <mergeCell ref="Y424:AB424"/>
    <mergeCell ref="Y425:AB425"/>
    <mergeCell ref="Y426:AB426"/>
    <mergeCell ref="T425:V425"/>
    <mergeCell ref="T426:V426"/>
    <mergeCell ref="T422:V422"/>
    <mergeCell ref="T423:V423"/>
    <mergeCell ref="Y423:AB423"/>
    <mergeCell ref="AD423:AG423"/>
    <mergeCell ref="T424:V424"/>
    <mergeCell ref="AD424:AG424"/>
    <mergeCell ref="AD425:AG425"/>
    <mergeCell ref="AD426:AG426"/>
    <mergeCell ref="T385:V385"/>
    <mergeCell ref="T386:V386"/>
    <mergeCell ref="E389:AG389"/>
    <mergeCell ref="E390:H390"/>
    <mergeCell ref="J390:M390"/>
    <mergeCell ref="O390:R390"/>
    <mergeCell ref="T390:W390"/>
    <mergeCell ref="Y415:AB415"/>
    <mergeCell ref="AD415:AG415"/>
    <mergeCell ref="AD416:AG416"/>
    <mergeCell ref="AD417:AG417"/>
    <mergeCell ref="AD418:AG418"/>
    <mergeCell ref="Y390:AB390"/>
    <mergeCell ref="AD390:AG390"/>
    <mergeCell ref="T403:V403"/>
    <mergeCell ref="Y403:AA403"/>
    <mergeCell ref="T410:V410"/>
    <mergeCell ref="Y410:AA410"/>
    <mergeCell ref="E414:AG414"/>
    <mergeCell ref="Y416:AB416"/>
    <mergeCell ref="Y417:AB417"/>
    <mergeCell ref="J420:M420"/>
    <mergeCell ref="O420:R420"/>
    <mergeCell ref="T420:W420"/>
    <mergeCell ref="Y420:AB420"/>
    <mergeCell ref="AD420:AG420"/>
    <mergeCell ref="J421:M421"/>
    <mergeCell ref="O421:R421"/>
    <mergeCell ref="T421:W421"/>
    <mergeCell ref="Y421:AB421"/>
    <mergeCell ref="AD421:AG421"/>
    <mergeCell ref="Y422:AB422"/>
    <mergeCell ref="AD422:AG422"/>
    <mergeCell ref="T321:W321"/>
    <mergeCell ref="Y321:AB321"/>
    <mergeCell ref="J322:L322"/>
    <mergeCell ref="O322:Q322"/>
    <mergeCell ref="T322:W322"/>
    <mergeCell ref="Y322:AB322"/>
    <mergeCell ref="J308:L308"/>
    <mergeCell ref="N312:N323"/>
    <mergeCell ref="S312:S323"/>
    <mergeCell ref="T312:W312"/>
    <mergeCell ref="X312:X323"/>
    <mergeCell ref="AC312:AC323"/>
    <mergeCell ref="Y315:AB315"/>
    <mergeCell ref="J323:L323"/>
    <mergeCell ref="O323:Q323"/>
    <mergeCell ref="J325:L325"/>
    <mergeCell ref="O325:Q325"/>
    <mergeCell ref="E332:G332"/>
    <mergeCell ref="O332:Q332"/>
    <mergeCell ref="E333:G333"/>
    <mergeCell ref="E335:R336"/>
    <mergeCell ref="O345:R345"/>
    <mergeCell ref="O346:R346"/>
    <mergeCell ref="O347:R347"/>
    <mergeCell ref="O348:R348"/>
    <mergeCell ref="O349:R349"/>
    <mergeCell ref="T349:W349"/>
    <mergeCell ref="O350:R350"/>
    <mergeCell ref="T350:W350"/>
    <mergeCell ref="AD346:AG346"/>
    <mergeCell ref="AD347:AG347"/>
    <mergeCell ref="AD348:AG348"/>
    <mergeCell ref="Y349:AB349"/>
    <mergeCell ref="AD349:AG349"/>
    <mergeCell ref="Y350:AB350"/>
    <mergeCell ref="AD350:AG350"/>
    <mergeCell ref="O341:R341"/>
    <mergeCell ref="AD341:AG341"/>
    <mergeCell ref="O342:R342"/>
    <mergeCell ref="AD342:AG342"/>
    <mergeCell ref="O344:R344"/>
    <mergeCell ref="AD344:AG344"/>
    <mergeCell ref="AD345:AG345"/>
    <mergeCell ref="Y340:AB340"/>
    <mergeCell ref="T341:W341"/>
    <mergeCell ref="Y341:AB341"/>
    <mergeCell ref="T323:W323"/>
    <mergeCell ref="Y323:AB323"/>
    <mergeCell ref="V328:V332"/>
    <mergeCell ref="S339:S350"/>
    <mergeCell ref="X339:X350"/>
    <mergeCell ref="Y339:AB339"/>
    <mergeCell ref="AC339:AC350"/>
    <mergeCell ref="E359:G359"/>
    <mergeCell ref="E365:H365"/>
    <mergeCell ref="T365:W365"/>
    <mergeCell ref="Y365:AB365"/>
    <mergeCell ref="AD365:AG365"/>
    <mergeCell ref="AD366:AG366"/>
    <mergeCell ref="AD367:AG367"/>
    <mergeCell ref="AD368:AG368"/>
    <mergeCell ref="T348:W348"/>
    <mergeCell ref="Y348:AB348"/>
    <mergeCell ref="Q355:Q359"/>
    <mergeCell ref="V355:V359"/>
    <mergeCell ref="J359:L359"/>
    <mergeCell ref="J360:L360"/>
    <mergeCell ref="E364:AG364"/>
    <mergeCell ref="T339:W339"/>
    <mergeCell ref="T340:W340"/>
    <mergeCell ref="T342:W342"/>
    <mergeCell ref="Y342:AB342"/>
    <mergeCell ref="T344:W344"/>
    <mergeCell ref="Y344:AB344"/>
    <mergeCell ref="T345:W345"/>
    <mergeCell ref="Y345:AB345"/>
    <mergeCell ref="T346:W346"/>
    <mergeCell ref="Y346:AB346"/>
    <mergeCell ref="T347:W347"/>
    <mergeCell ref="Y347:AB347"/>
    <mergeCell ref="O366:R366"/>
    <mergeCell ref="O367:R367"/>
    <mergeCell ref="O365:R365"/>
    <mergeCell ref="O370:R370"/>
    <mergeCell ref="Y375:AB375"/>
    <mergeCell ref="O376:Q376"/>
    <mergeCell ref="T376:V376"/>
    <mergeCell ref="Y376:AB376"/>
    <mergeCell ref="J365:M365"/>
    <mergeCell ref="S365:S376"/>
    <mergeCell ref="X365:X376"/>
    <mergeCell ref="AC365:AC376"/>
    <mergeCell ref="T366:W366"/>
    <mergeCell ref="T367:W367"/>
    <mergeCell ref="Y368:AB368"/>
    <mergeCell ref="J346:L346"/>
    <mergeCell ref="J347:L347"/>
    <mergeCell ref="N339:N350"/>
    <mergeCell ref="N365:N376"/>
    <mergeCell ref="N390:N401"/>
    <mergeCell ref="N415:N426"/>
    <mergeCell ref="J313:M313"/>
    <mergeCell ref="J317:M317"/>
    <mergeCell ref="J340:M340"/>
    <mergeCell ref="J341:M341"/>
    <mergeCell ref="J344:M344"/>
    <mergeCell ref="J345:M345"/>
    <mergeCell ref="J350:L350"/>
    <mergeCell ref="J348:L348"/>
    <mergeCell ref="J349:L349"/>
    <mergeCell ref="J352:L352"/>
    <mergeCell ref="J366:M366"/>
    <mergeCell ref="J367:M367"/>
    <mergeCell ref="J370:M370"/>
    <mergeCell ref="J371:M371"/>
    <mergeCell ref="J372:L372"/>
    <mergeCell ref="J373:L373"/>
    <mergeCell ref="J374:L374"/>
    <mergeCell ref="J375:L375"/>
    <mergeCell ref="J376:L376"/>
    <mergeCell ref="J378:L378"/>
    <mergeCell ref="J385:L385"/>
    <mergeCell ref="J416:M416"/>
    <mergeCell ref="O416:R416"/>
    <mergeCell ref="J410:L410"/>
    <mergeCell ref="J428:L428"/>
    <mergeCell ref="O428:Q428"/>
    <mergeCell ref="J435:L435"/>
    <mergeCell ref="O435:Q435"/>
    <mergeCell ref="O436:Q436"/>
    <mergeCell ref="J391:M391"/>
    <mergeCell ref="J392:M392"/>
    <mergeCell ref="K393:L393"/>
    <mergeCell ref="J395:M395"/>
    <mergeCell ref="J396:M396"/>
    <mergeCell ref="J397:L397"/>
    <mergeCell ref="J398:L398"/>
    <mergeCell ref="T417:W417"/>
    <mergeCell ref="Y418:AB418"/>
    <mergeCell ref="J415:M415"/>
    <mergeCell ref="O415:R415"/>
    <mergeCell ref="T415:W415"/>
    <mergeCell ref="X415:X426"/>
    <mergeCell ref="AC415:AC426"/>
    <mergeCell ref="T416:W416"/>
    <mergeCell ref="K418:L418"/>
    <mergeCell ref="Y440:AB440"/>
    <mergeCell ref="AD440:AG440"/>
    <mergeCell ref="O440:R440"/>
    <mergeCell ref="O441:R441"/>
    <mergeCell ref="T441:W441"/>
    <mergeCell ref="Y441:AB441"/>
    <mergeCell ref="J441:M441"/>
    <mergeCell ref="J442:M442"/>
    <mergeCell ref="AD441:AG441"/>
    <mergeCell ref="AD442:AG442"/>
    <mergeCell ref="O449:Q449"/>
    <mergeCell ref="T449:V449"/>
    <mergeCell ref="Y449:AA449"/>
    <mergeCell ref="AD449:AG449"/>
    <mergeCell ref="O450:Q450"/>
    <mergeCell ref="T450:V450"/>
    <mergeCell ref="Y450:AA450"/>
    <mergeCell ref="AD450:AG450"/>
    <mergeCell ref="O451:Q451"/>
    <mergeCell ref="T451:V451"/>
    <mergeCell ref="O465:R465"/>
    <mergeCell ref="T465:W465"/>
    <mergeCell ref="Y465:AB465"/>
    <mergeCell ref="AD465:AG465"/>
    <mergeCell ref="AD472:AG472"/>
    <mergeCell ref="AD473:AG473"/>
    <mergeCell ref="AD474:AG474"/>
    <mergeCell ref="AD475:AG475"/>
    <mergeCell ref="AD476:AG476"/>
    <mergeCell ref="O466:R466"/>
    <mergeCell ref="T466:W466"/>
    <mergeCell ref="AD466:AG466"/>
    <mergeCell ref="AD467:AG467"/>
    <mergeCell ref="AD468:AG468"/>
    <mergeCell ref="AD470:AG470"/>
    <mergeCell ref="AD471:AG471"/>
    <mergeCell ref="Y467:AB467"/>
    <mergeCell ref="P468:Q468"/>
    <mergeCell ref="Y468:AB468"/>
    <mergeCell ref="T476:V476"/>
    <mergeCell ref="Y476:AB476"/>
    <mergeCell ref="J461:L461"/>
    <mergeCell ref="J465:M465"/>
    <mergeCell ref="N465:N476"/>
    <mergeCell ref="S465:S476"/>
    <mergeCell ref="X465:X476"/>
    <mergeCell ref="AC465:AC476"/>
    <mergeCell ref="Y466:AB466"/>
    <mergeCell ref="J476:L476"/>
    <mergeCell ref="O476:Q476"/>
    <mergeCell ref="J478:L478"/>
    <mergeCell ref="O478:Q478"/>
    <mergeCell ref="T478:V478"/>
    <mergeCell ref="J485:L485"/>
    <mergeCell ref="O485:Q485"/>
    <mergeCell ref="O489:R489"/>
    <mergeCell ref="O490:R490"/>
    <mergeCell ref="J491:M491"/>
    <mergeCell ref="J494:M494"/>
    <mergeCell ref="O494:R494"/>
    <mergeCell ref="T485:V485"/>
    <mergeCell ref="E488:AG488"/>
    <mergeCell ref="J489:M489"/>
    <mergeCell ref="T489:W489"/>
    <mergeCell ref="Y489:AB489"/>
    <mergeCell ref="AD489:AG489"/>
    <mergeCell ref="J490:M490"/>
    <mergeCell ref="AD490:AG490"/>
    <mergeCell ref="Y490:AB490"/>
    <mergeCell ref="Y491:AB491"/>
    <mergeCell ref="AD491:AG491"/>
    <mergeCell ref="AD492:AG492"/>
    <mergeCell ref="Y494:AB494"/>
    <mergeCell ref="AD494:AG494"/>
    <mergeCell ref="O442:R442"/>
    <mergeCell ref="T442:W442"/>
    <mergeCell ref="P443:Q443"/>
    <mergeCell ref="U443:V443"/>
    <mergeCell ref="Z443:AA443"/>
    <mergeCell ref="AD443:AG443"/>
    <mergeCell ref="J445:M445"/>
    <mergeCell ref="O445:R445"/>
    <mergeCell ref="T445:W445"/>
    <mergeCell ref="Y445:AB445"/>
    <mergeCell ref="O446:R446"/>
    <mergeCell ref="T446:W446"/>
    <mergeCell ref="AD445:AG445"/>
    <mergeCell ref="AD446:AG446"/>
    <mergeCell ref="E447:G447"/>
    <mergeCell ref="J447:L447"/>
    <mergeCell ref="O447:Q447"/>
    <mergeCell ref="T447:V447"/>
    <mergeCell ref="Y447:AA447"/>
    <mergeCell ref="AD447:AG447"/>
    <mergeCell ref="E448:G448"/>
    <mergeCell ref="J448:L448"/>
    <mergeCell ref="O448:Q448"/>
    <mergeCell ref="T448:V448"/>
    <mergeCell ref="Y448:AA448"/>
    <mergeCell ref="AD448:AG448"/>
    <mergeCell ref="E449:G449"/>
    <mergeCell ref="J449:L449"/>
    <mergeCell ref="J440:M440"/>
    <mergeCell ref="J446:M446"/>
    <mergeCell ref="Y451:AA451"/>
    <mergeCell ref="AD451:AG451"/>
    <mergeCell ref="T428:V428"/>
    <mergeCell ref="T435:V435"/>
    <mergeCell ref="E439:AG439"/>
    <mergeCell ref="T440:W440"/>
    <mergeCell ref="AC440:AC451"/>
    <mergeCell ref="Y442:AB442"/>
    <mergeCell ref="Y446:AB446"/>
    <mergeCell ref="E451:G451"/>
    <mergeCell ref="J451:L451"/>
    <mergeCell ref="J453:L453"/>
    <mergeCell ref="O453:Q453"/>
    <mergeCell ref="T453:V453"/>
    <mergeCell ref="Y453:AA453"/>
    <mergeCell ref="E450:G450"/>
    <mergeCell ref="J450:L450"/>
    <mergeCell ref="J460:L460"/>
    <mergeCell ref="O460:Q460"/>
    <mergeCell ref="T460:V460"/>
    <mergeCell ref="Y460:AA460"/>
    <mergeCell ref="E464:AG464"/>
    <mergeCell ref="J466:M466"/>
    <mergeCell ref="J467:M467"/>
    <mergeCell ref="O467:R467"/>
    <mergeCell ref="T467:W467"/>
    <mergeCell ref="J470:M470"/>
    <mergeCell ref="O470:R470"/>
    <mergeCell ref="T470:W470"/>
    <mergeCell ref="Y470:AB470"/>
    <mergeCell ref="J471:M471"/>
    <mergeCell ref="O471:R471"/>
    <mergeCell ref="T471:W471"/>
    <mergeCell ref="Y471:AB471"/>
    <mergeCell ref="J472:L472"/>
    <mergeCell ref="O472:Q472"/>
    <mergeCell ref="T472:V472"/>
    <mergeCell ref="Y472:AB472"/>
    <mergeCell ref="J473:L473"/>
    <mergeCell ref="O473:Q473"/>
    <mergeCell ref="T473:V473"/>
    <mergeCell ref="Y473:AB473"/>
    <mergeCell ref="J474:L474"/>
    <mergeCell ref="O474:Q474"/>
    <mergeCell ref="T474:V474"/>
    <mergeCell ref="Y474:AB474"/>
    <mergeCell ref="J475:L475"/>
    <mergeCell ref="O475:Q475"/>
    <mergeCell ref="T475:V475"/>
    <mergeCell ref="Y475:AB475"/>
    <mergeCell ref="T491:W491"/>
    <mergeCell ref="T494:W494"/>
    <mergeCell ref="Y499:AB499"/>
    <mergeCell ref="O500:Q500"/>
    <mergeCell ref="T500:V500"/>
    <mergeCell ref="Y500:AB500"/>
    <mergeCell ref="N489:N500"/>
    <mergeCell ref="S489:S500"/>
    <mergeCell ref="X489:X500"/>
    <mergeCell ref="AC489:AC500"/>
    <mergeCell ref="T490:W490"/>
    <mergeCell ref="O491:R491"/>
    <mergeCell ref="Y492:AB492"/>
    <mergeCell ref="E516:H516"/>
    <mergeCell ref="E519:H519"/>
    <mergeCell ref="E499:G499"/>
    <mergeCell ref="E500:G500"/>
    <mergeCell ref="E502:G502"/>
    <mergeCell ref="E509:G509"/>
    <mergeCell ref="I514:I525"/>
    <mergeCell ref="C515:C517"/>
    <mergeCell ref="E515:H515"/>
    <mergeCell ref="D539:D550"/>
    <mergeCell ref="C540:C542"/>
    <mergeCell ref="E540:H540"/>
    <mergeCell ref="E541:H541"/>
    <mergeCell ref="E545:H545"/>
    <mergeCell ref="E546:G546"/>
    <mergeCell ref="E547:G547"/>
    <mergeCell ref="E548:G548"/>
    <mergeCell ref="E549:G549"/>
    <mergeCell ref="E550:G550"/>
    <mergeCell ref="F542:G542"/>
    <mergeCell ref="E544:H544"/>
    <mergeCell ref="E524:G524"/>
    <mergeCell ref="E525:G525"/>
    <mergeCell ref="E527:G527"/>
    <mergeCell ref="E534:G534"/>
    <mergeCell ref="E535:G535"/>
    <mergeCell ref="E539:H539"/>
    <mergeCell ref="I539:I550"/>
    <mergeCell ref="E567:H567"/>
    <mergeCell ref="E570:H570"/>
    <mergeCell ref="E571:H571"/>
    <mergeCell ref="E572:G572"/>
    <mergeCell ref="E573:G573"/>
    <mergeCell ref="E574:G574"/>
    <mergeCell ref="E552:G552"/>
    <mergeCell ref="E559:G559"/>
    <mergeCell ref="D565:D576"/>
    <mergeCell ref="E565:H565"/>
    <mergeCell ref="I565:I576"/>
    <mergeCell ref="C566:C568"/>
    <mergeCell ref="E566:H566"/>
    <mergeCell ref="E601:G601"/>
    <mergeCell ref="E602:G602"/>
    <mergeCell ref="D592:D603"/>
    <mergeCell ref="C593:C595"/>
    <mergeCell ref="F595:G595"/>
    <mergeCell ref="E597:H597"/>
    <mergeCell ref="E598:H598"/>
    <mergeCell ref="E599:G599"/>
    <mergeCell ref="E600:G600"/>
    <mergeCell ref="E603:G603"/>
    <mergeCell ref="E417:H417"/>
    <mergeCell ref="F418:G418"/>
    <mergeCell ref="E400:G400"/>
    <mergeCell ref="E401:G401"/>
    <mergeCell ref="E403:G403"/>
    <mergeCell ref="E410:G410"/>
    <mergeCell ref="E411:G411"/>
    <mergeCell ref="E415:H415"/>
    <mergeCell ref="E416:H416"/>
    <mergeCell ref="F443:G443"/>
    <mergeCell ref="E445:H445"/>
    <mergeCell ref="E453:G453"/>
    <mergeCell ref="E460:G460"/>
    <mergeCell ref="E461:G461"/>
    <mergeCell ref="E465:H465"/>
    <mergeCell ref="E322:G322"/>
    <mergeCell ref="E323:G323"/>
    <mergeCell ref="E421:H421"/>
    <mergeCell ref="E422:G422"/>
    <mergeCell ref="E423:G423"/>
    <mergeCell ref="E441:H441"/>
    <mergeCell ref="E442:H442"/>
    <mergeCell ref="E266:H266"/>
    <mergeCell ref="E269:H269"/>
    <mergeCell ref="E236:G236"/>
    <mergeCell ref="E244:H244"/>
    <mergeCell ref="E245:H245"/>
    <mergeCell ref="E246:G246"/>
    <mergeCell ref="E247:G247"/>
    <mergeCell ref="E248:G248"/>
    <mergeCell ref="I264:I275"/>
    <mergeCell ref="E314:H314"/>
    <mergeCell ref="F315:G315"/>
    <mergeCell ref="E318:H318"/>
    <mergeCell ref="E319:G319"/>
    <mergeCell ref="E320:G320"/>
    <mergeCell ref="E321:G321"/>
    <mergeCell ref="C421:C423"/>
    <mergeCell ref="C441:C446"/>
    <mergeCell ref="E446:H446"/>
    <mergeCell ref="E467:H467"/>
    <mergeCell ref="C313:C315"/>
    <mergeCell ref="C318:C320"/>
    <mergeCell ref="C340:C342"/>
    <mergeCell ref="C366:C368"/>
    <mergeCell ref="C391:C393"/>
    <mergeCell ref="C396:C398"/>
    <mergeCell ref="C416:C418"/>
    <mergeCell ref="C466:C468"/>
    <mergeCell ref="E440:H440"/>
    <mergeCell ref="E466:H466"/>
    <mergeCell ref="E420:H420"/>
    <mergeCell ref="E424:G424"/>
    <mergeCell ref="E425:G425"/>
    <mergeCell ref="E426:G426"/>
    <mergeCell ref="E428:G428"/>
    <mergeCell ref="E435:G435"/>
    <mergeCell ref="E436:G436"/>
    <mergeCell ref="E277:G277"/>
    <mergeCell ref="E284:G284"/>
    <mergeCell ref="E288:H288"/>
    <mergeCell ref="I288:I299"/>
    <mergeCell ref="E289:H289"/>
    <mergeCell ref="E290:H290"/>
    <mergeCell ref="E293:H293"/>
    <mergeCell ref="I312:I323"/>
    <mergeCell ref="I339:I350"/>
    <mergeCell ref="I365:I376"/>
    <mergeCell ref="I390:I401"/>
    <mergeCell ref="I415:I426"/>
    <mergeCell ref="I465:I476"/>
    <mergeCell ref="E294:H294"/>
    <mergeCell ref="E301:G301"/>
    <mergeCell ref="E308:G308"/>
    <mergeCell ref="E312:H312"/>
    <mergeCell ref="E313:H313"/>
    <mergeCell ref="E317:H317"/>
    <mergeCell ref="E325:G325"/>
    <mergeCell ref="E340:H340"/>
    <mergeCell ref="E341:H341"/>
    <mergeCell ref="E344:H344"/>
    <mergeCell ref="E345:H345"/>
    <mergeCell ref="E346:G346"/>
    <mergeCell ref="E347:G347"/>
    <mergeCell ref="E348:G348"/>
    <mergeCell ref="E349:G349"/>
    <mergeCell ref="E350:G350"/>
    <mergeCell ref="E352:G352"/>
    <mergeCell ref="E366:H366"/>
    <mergeCell ref="E367:H367"/>
    <mergeCell ref="E370:H370"/>
    <mergeCell ref="E371:H371"/>
    <mergeCell ref="E372:G372"/>
    <mergeCell ref="E373:G373"/>
    <mergeCell ref="E374:G374"/>
    <mergeCell ref="E375:G375"/>
    <mergeCell ref="E376:G376"/>
    <mergeCell ref="E378:G378"/>
    <mergeCell ref="E385:G385"/>
    <mergeCell ref="E391:H391"/>
    <mergeCell ref="E392:H392"/>
    <mergeCell ref="E395:H395"/>
    <mergeCell ref="E396:H396"/>
    <mergeCell ref="E397:G397"/>
    <mergeCell ref="E398:G398"/>
    <mergeCell ref="E399:G399"/>
    <mergeCell ref="E470:H470"/>
    <mergeCell ref="E471:H471"/>
    <mergeCell ref="E472:G472"/>
    <mergeCell ref="E473:G473"/>
    <mergeCell ref="E474:G474"/>
    <mergeCell ref="E475:G475"/>
    <mergeCell ref="E476:G476"/>
    <mergeCell ref="E491:H491"/>
    <mergeCell ref="E494:H494"/>
    <mergeCell ref="E495:H495"/>
    <mergeCell ref="E496:G496"/>
    <mergeCell ref="E497:G497"/>
    <mergeCell ref="E498:G498"/>
    <mergeCell ref="E478:G478"/>
    <mergeCell ref="E485:G485"/>
    <mergeCell ref="D489:D500"/>
    <mergeCell ref="E489:H489"/>
    <mergeCell ref="I489:I500"/>
    <mergeCell ref="C490:C492"/>
    <mergeCell ref="E490:H490"/>
    <mergeCell ref="E520:H520"/>
    <mergeCell ref="E521:G521"/>
    <mergeCell ref="E522:G522"/>
    <mergeCell ref="E523:G523"/>
    <mergeCell ref="E593:H593"/>
    <mergeCell ref="E594:H594"/>
    <mergeCell ref="E575:G575"/>
    <mergeCell ref="E576:G576"/>
    <mergeCell ref="E578:G578"/>
    <mergeCell ref="E585:G585"/>
    <mergeCell ref="E586:G586"/>
    <mergeCell ref="E592:H592"/>
    <mergeCell ref="I592:I603"/>
    <mergeCell ref="E618:H618"/>
    <mergeCell ref="F619:G619"/>
    <mergeCell ref="E621:H621"/>
    <mergeCell ref="E622:H622"/>
    <mergeCell ref="E623:G623"/>
    <mergeCell ref="E624:G624"/>
    <mergeCell ref="E641:H641"/>
    <mergeCell ref="E642:H642"/>
    <mergeCell ref="E643:H643"/>
    <mergeCell ref="E646:H646"/>
    <mergeCell ref="E932:H932"/>
    <mergeCell ref="E935:H935"/>
    <mergeCell ref="E936:H936"/>
    <mergeCell ref="E937:G937"/>
    <mergeCell ref="E938:G938"/>
    <mergeCell ref="E939:G939"/>
    <mergeCell ref="E917:G917"/>
    <mergeCell ref="E918:G918"/>
    <mergeCell ref="E920:G920"/>
    <mergeCell ref="E927:G927"/>
    <mergeCell ref="E930:H930"/>
    <mergeCell ref="I930:I941"/>
    <mergeCell ref="E931:H931"/>
    <mergeCell ref="E954:H954"/>
    <mergeCell ref="E955:H955"/>
    <mergeCell ref="F956:G956"/>
    <mergeCell ref="E958:H958"/>
    <mergeCell ref="E962:G962"/>
    <mergeCell ref="E963:G963"/>
    <mergeCell ref="E987:G987"/>
    <mergeCell ref="E988:G988"/>
    <mergeCell ref="E990:G990"/>
    <mergeCell ref="E997:G997"/>
    <mergeCell ref="E1000:H1000"/>
    <mergeCell ref="E1001:H1001"/>
    <mergeCell ref="E1002:H1002"/>
    <mergeCell ref="E1011:H1011"/>
    <mergeCell ref="E1013:G1013"/>
    <mergeCell ref="E1020:G1020"/>
    <mergeCell ref="F1003:G1003"/>
    <mergeCell ref="E1005:H1005"/>
    <mergeCell ref="E1006:H1006"/>
    <mergeCell ref="E1007:G1007"/>
    <mergeCell ref="E1008:G1008"/>
    <mergeCell ref="E1009:H1009"/>
    <mergeCell ref="E1010:H1010"/>
    <mergeCell ref="C959:C961"/>
    <mergeCell ref="E959:H959"/>
    <mergeCell ref="E960:G960"/>
    <mergeCell ref="E961:G961"/>
    <mergeCell ref="E940:G940"/>
    <mergeCell ref="E941:G941"/>
    <mergeCell ref="E943:G943"/>
    <mergeCell ref="E950:G950"/>
    <mergeCell ref="E953:H953"/>
    <mergeCell ref="I953:I964"/>
    <mergeCell ref="C954:C956"/>
    <mergeCell ref="E979:H979"/>
    <mergeCell ref="F980:G980"/>
    <mergeCell ref="C978:C980"/>
    <mergeCell ref="C983:C985"/>
    <mergeCell ref="C1001:C1003"/>
    <mergeCell ref="E983:H983"/>
    <mergeCell ref="E984:G984"/>
    <mergeCell ref="E985:G985"/>
    <mergeCell ref="E986:G986"/>
    <mergeCell ref="E964:G964"/>
    <mergeCell ref="E966:G966"/>
    <mergeCell ref="E973:G973"/>
    <mergeCell ref="E977:H977"/>
    <mergeCell ref="I977:I988"/>
    <mergeCell ref="E978:H978"/>
    <mergeCell ref="E982:H982"/>
    <mergeCell ref="E605:G605"/>
    <mergeCell ref="E612:G612"/>
    <mergeCell ref="D616:D627"/>
    <mergeCell ref="E616:H616"/>
    <mergeCell ref="I616:I627"/>
    <mergeCell ref="C617:C619"/>
    <mergeCell ref="E617:H617"/>
    <mergeCell ref="E627:G627"/>
    <mergeCell ref="E647:H647"/>
    <mergeCell ref="E648:G648"/>
    <mergeCell ref="E649:G649"/>
    <mergeCell ref="E650:G650"/>
    <mergeCell ref="E625:G625"/>
    <mergeCell ref="E626:G626"/>
    <mergeCell ref="E629:G629"/>
    <mergeCell ref="E636:G636"/>
    <mergeCell ref="D641:D652"/>
    <mergeCell ref="I641:I652"/>
    <mergeCell ref="C642:C644"/>
    <mergeCell ref="E666:H666"/>
    <mergeCell ref="E667:H667"/>
    <mergeCell ref="E672:H672"/>
    <mergeCell ref="E673:G673"/>
    <mergeCell ref="E674:G674"/>
    <mergeCell ref="E675:G675"/>
    <mergeCell ref="E668:H668"/>
    <mergeCell ref="E671:H671"/>
    <mergeCell ref="E651:G651"/>
    <mergeCell ref="E652:G652"/>
    <mergeCell ref="E654:G654"/>
    <mergeCell ref="E661:G661"/>
    <mergeCell ref="D666:D677"/>
    <mergeCell ref="I666:I677"/>
    <mergeCell ref="C667:C669"/>
    <mergeCell ref="E691:H691"/>
    <mergeCell ref="E692:H692"/>
    <mergeCell ref="E693:H693"/>
    <mergeCell ref="E696:H696"/>
    <mergeCell ref="E697:H697"/>
    <mergeCell ref="E698:G698"/>
    <mergeCell ref="E699:G699"/>
    <mergeCell ref="E700:G700"/>
    <mergeCell ref="E716:H716"/>
    <mergeCell ref="E717:H717"/>
    <mergeCell ref="E676:G676"/>
    <mergeCell ref="E677:G677"/>
    <mergeCell ref="E679:G679"/>
    <mergeCell ref="E686:G686"/>
    <mergeCell ref="D691:D702"/>
    <mergeCell ref="I691:I702"/>
    <mergeCell ref="C692:C694"/>
    <mergeCell ref="E720:H720"/>
    <mergeCell ref="E721:H721"/>
    <mergeCell ref="E722:G722"/>
    <mergeCell ref="E723:G723"/>
    <mergeCell ref="E701:G701"/>
    <mergeCell ref="E702:G702"/>
    <mergeCell ref="E704:G704"/>
    <mergeCell ref="E711:G711"/>
    <mergeCell ref="E715:H715"/>
    <mergeCell ref="I715:I726"/>
    <mergeCell ref="C716:C718"/>
    <mergeCell ref="E726:G726"/>
    <mergeCell ref="E724:G724"/>
    <mergeCell ref="E725:G725"/>
    <mergeCell ref="E728:G728"/>
    <mergeCell ref="E735:G735"/>
    <mergeCell ref="C741:C743"/>
    <mergeCell ref="E741:H741"/>
    <mergeCell ref="E742:H742"/>
    <mergeCell ref="E771:G771"/>
    <mergeCell ref="E772:G772"/>
    <mergeCell ref="E773:G773"/>
    <mergeCell ref="E774:G774"/>
    <mergeCell ref="E769:H769"/>
    <mergeCell ref="E770:H770"/>
    <mergeCell ref="E760:G760"/>
    <mergeCell ref="E764:H764"/>
    <mergeCell ref="I764:I775"/>
    <mergeCell ref="C765:C767"/>
    <mergeCell ref="E765:H765"/>
    <mergeCell ref="E766:H766"/>
    <mergeCell ref="C770:C772"/>
    <mergeCell ref="F792:G792"/>
    <mergeCell ref="E794:H794"/>
    <mergeCell ref="C795:C797"/>
    <mergeCell ref="E795:H795"/>
    <mergeCell ref="E796:G796"/>
    <mergeCell ref="E797:G797"/>
    <mergeCell ref="E775:G775"/>
    <mergeCell ref="E777:G777"/>
    <mergeCell ref="E784:G784"/>
    <mergeCell ref="I789:I800"/>
    <mergeCell ref="C790:C792"/>
    <mergeCell ref="E790:H790"/>
    <mergeCell ref="E791:H791"/>
    <mergeCell ref="E800:G800"/>
    <mergeCell ref="E816:H816"/>
    <mergeCell ref="F817:G817"/>
    <mergeCell ref="C815:C817"/>
    <mergeCell ref="C820:C822"/>
    <mergeCell ref="E820:H820"/>
    <mergeCell ref="E821:G821"/>
    <mergeCell ref="E822:G822"/>
    <mergeCell ref="E823:G823"/>
    <mergeCell ref="E839:H839"/>
    <mergeCell ref="E840:H840"/>
    <mergeCell ref="C839:C841"/>
    <mergeCell ref="C844:C846"/>
    <mergeCell ref="C862:C864"/>
    <mergeCell ref="C867:C869"/>
    <mergeCell ref="C885:C887"/>
    <mergeCell ref="C890:C892"/>
    <mergeCell ref="E844:H844"/>
    <mergeCell ref="E845:G845"/>
    <mergeCell ref="E846:G846"/>
    <mergeCell ref="E847:G847"/>
    <mergeCell ref="E848:G848"/>
    <mergeCell ref="E849:G849"/>
    <mergeCell ref="E798:G798"/>
    <mergeCell ref="E799:G799"/>
    <mergeCell ref="E802:G802"/>
    <mergeCell ref="E809:G809"/>
    <mergeCell ref="I814:I825"/>
    <mergeCell ref="E815:H815"/>
    <mergeCell ref="E819:H819"/>
    <mergeCell ref="E824:G824"/>
    <mergeCell ref="E825:G825"/>
    <mergeCell ref="E827:G827"/>
    <mergeCell ref="E834:G834"/>
    <mergeCell ref="E838:H838"/>
    <mergeCell ref="I838:I849"/>
    <mergeCell ref="E843:H843"/>
    <mergeCell ref="E866:H866"/>
    <mergeCell ref="E867:H867"/>
    <mergeCell ref="E868:G868"/>
    <mergeCell ref="E869:G869"/>
    <mergeCell ref="E851:G851"/>
    <mergeCell ref="E858:G858"/>
    <mergeCell ref="E861:H861"/>
    <mergeCell ref="I861:I872"/>
    <mergeCell ref="E862:H862"/>
    <mergeCell ref="E863:H863"/>
    <mergeCell ref="F864:G864"/>
    <mergeCell ref="E872:G872"/>
    <mergeCell ref="E890:H890"/>
    <mergeCell ref="E891:G891"/>
    <mergeCell ref="E892:G892"/>
    <mergeCell ref="E893:G893"/>
    <mergeCell ref="E886:H886"/>
    <mergeCell ref="E889:H889"/>
    <mergeCell ref="E870:G870"/>
    <mergeCell ref="E871:G871"/>
    <mergeCell ref="E874:G874"/>
    <mergeCell ref="E881:G881"/>
    <mergeCell ref="E884:H884"/>
    <mergeCell ref="I884:I895"/>
    <mergeCell ref="E885:H885"/>
    <mergeCell ref="E908:H908"/>
    <mergeCell ref="E909:H909"/>
    <mergeCell ref="C908:C910"/>
    <mergeCell ref="C913:C915"/>
    <mergeCell ref="C931:C933"/>
    <mergeCell ref="C936:C938"/>
    <mergeCell ref="E913:H913"/>
    <mergeCell ref="E914:G914"/>
    <mergeCell ref="E915:G915"/>
    <mergeCell ref="E916:G916"/>
    <mergeCell ref="E894:G894"/>
    <mergeCell ref="E895:G895"/>
    <mergeCell ref="E897:G897"/>
    <mergeCell ref="E904:G904"/>
    <mergeCell ref="E907:H907"/>
    <mergeCell ref="I907:I918"/>
    <mergeCell ref="E912:H912"/>
    <mergeCell ref="E263:AG263"/>
    <mergeCell ref="E264:H264"/>
    <mergeCell ref="T264:W264"/>
    <mergeCell ref="Y264:AB264"/>
    <mergeCell ref="Y265:AB265"/>
    <mergeCell ref="Y266:AB266"/>
    <mergeCell ref="Y267:AB267"/>
    <mergeCell ref="Y272:AB272"/>
    <mergeCell ref="Y273:AB273"/>
    <mergeCell ref="Y274:AB274"/>
    <mergeCell ref="Y275:AB275"/>
    <mergeCell ref="AD273:AG273"/>
    <mergeCell ref="AD274:AG274"/>
    <mergeCell ref="AD275:AG275"/>
    <mergeCell ref="Y269:AB269"/>
    <mergeCell ref="AD269:AG269"/>
    <mergeCell ref="Y270:AB270"/>
    <mergeCell ref="AD270:AG270"/>
    <mergeCell ref="Y271:AB271"/>
    <mergeCell ref="AD271:AG271"/>
    <mergeCell ref="AD272:AG272"/>
    <mergeCell ref="J244:M244"/>
    <mergeCell ref="O244:R244"/>
    <mergeCell ref="T244:W244"/>
    <mergeCell ref="Y244:AB244"/>
    <mergeCell ref="J245:M245"/>
    <mergeCell ref="O245:R245"/>
    <mergeCell ref="T245:W245"/>
    <mergeCell ref="Y245:AB245"/>
    <mergeCell ref="J246:L246"/>
    <mergeCell ref="O246:Q246"/>
    <mergeCell ref="T246:V246"/>
    <mergeCell ref="Y246:AB246"/>
    <mergeCell ref="E249:G249"/>
    <mergeCell ref="E250:G250"/>
    <mergeCell ref="T250:W250"/>
    <mergeCell ref="Y250:AB250"/>
    <mergeCell ref="J252:L252"/>
    <mergeCell ref="O252:Q252"/>
    <mergeCell ref="T252:V252"/>
    <mergeCell ref="J264:M264"/>
    <mergeCell ref="O264:R264"/>
    <mergeCell ref="C245:C247"/>
    <mergeCell ref="C265:C266"/>
    <mergeCell ref="C267:C269"/>
    <mergeCell ref="C270:C272"/>
    <mergeCell ref="E265:H265"/>
    <mergeCell ref="J265:M265"/>
    <mergeCell ref="O265:R265"/>
    <mergeCell ref="J266:M266"/>
    <mergeCell ref="O266:R266"/>
    <mergeCell ref="J267:M267"/>
    <mergeCell ref="O267:R267"/>
    <mergeCell ref="J269:M269"/>
    <mergeCell ref="O269:R269"/>
    <mergeCell ref="E270:H270"/>
    <mergeCell ref="J270:M270"/>
    <mergeCell ref="O274:R274"/>
    <mergeCell ref="E275:G275"/>
    <mergeCell ref="J275:M275"/>
    <mergeCell ref="O275:R275"/>
    <mergeCell ref="E252:G252"/>
    <mergeCell ref="E259:G259"/>
    <mergeCell ref="J259:L259"/>
    <mergeCell ref="O259:Q259"/>
    <mergeCell ref="T259:V259"/>
    <mergeCell ref="E260:G260"/>
    <mergeCell ref="N264:N275"/>
    <mergeCell ref="O270:R270"/>
    <mergeCell ref="E271:G271"/>
    <mergeCell ref="J271:M271"/>
    <mergeCell ref="O271:R271"/>
    <mergeCell ref="E272:G272"/>
    <mergeCell ref="J272:M272"/>
    <mergeCell ref="T271:W271"/>
    <mergeCell ref="T272:W272"/>
    <mergeCell ref="O272:R272"/>
    <mergeCell ref="E273:G273"/>
    <mergeCell ref="J273:M273"/>
    <mergeCell ref="O273:R273"/>
    <mergeCell ref="E274:G274"/>
    <mergeCell ref="J274:M274"/>
    <mergeCell ref="T273:W273"/>
    <mergeCell ref="T274:W274"/>
    <mergeCell ref="S264:S275"/>
    <mergeCell ref="X264:X275"/>
    <mergeCell ref="T265:W265"/>
    <mergeCell ref="T266:W266"/>
    <mergeCell ref="T267:W267"/>
    <mergeCell ref="T269:W269"/>
    <mergeCell ref="T270:W270"/>
    <mergeCell ref="T275:W275"/>
    <mergeCell ref="Y288:AB288"/>
    <mergeCell ref="AC288:AC299"/>
    <mergeCell ref="Y289:AB289"/>
    <mergeCell ref="Y290:AB290"/>
    <mergeCell ref="Y293:AB293"/>
    <mergeCell ref="Y299:AA299"/>
    <mergeCell ref="J288:M288"/>
    <mergeCell ref="C289:C291"/>
    <mergeCell ref="J289:M289"/>
    <mergeCell ref="J290:M290"/>
    <mergeCell ref="E299:G299"/>
    <mergeCell ref="J299:L299"/>
    <mergeCell ref="O289:R289"/>
    <mergeCell ref="T289:W289"/>
    <mergeCell ref="O288:R288"/>
    <mergeCell ref="O290:R290"/>
    <mergeCell ref="O299:Q299"/>
    <mergeCell ref="T299:V299"/>
    <mergeCell ref="AD289:AG289"/>
    <mergeCell ref="AD290:AG290"/>
    <mergeCell ref="AD298:AG298"/>
    <mergeCell ref="AD299:AG299"/>
    <mergeCell ref="O293:R293"/>
    <mergeCell ref="T293:W293"/>
    <mergeCell ref="AD293:AG293"/>
    <mergeCell ref="O294:R294"/>
    <mergeCell ref="N288:N299"/>
    <mergeCell ref="J293:M293"/>
    <mergeCell ref="J294:M294"/>
    <mergeCell ref="J295:L295"/>
    <mergeCell ref="J296:L296"/>
    <mergeCell ref="J297:L297"/>
    <mergeCell ref="J298:L298"/>
    <mergeCell ref="J250:M250"/>
    <mergeCell ref="O250:R250"/>
    <mergeCell ref="E287:AG287"/>
    <mergeCell ref="S288:S299"/>
    <mergeCell ref="AD288:AG288"/>
    <mergeCell ref="T290:W290"/>
    <mergeCell ref="AD291:AG291"/>
    <mergeCell ref="T294:W294"/>
    <mergeCell ref="Y294:AB294"/>
    <mergeCell ref="AD294:AG294"/>
    <mergeCell ref="E295:G295"/>
    <mergeCell ref="O295:Q295"/>
    <mergeCell ref="T295:V295"/>
    <mergeCell ref="Y295:AA295"/>
    <mergeCell ref="AD295:AG295"/>
    <mergeCell ref="E296:G296"/>
    <mergeCell ref="O296:Q296"/>
    <mergeCell ref="T296:V296"/>
    <mergeCell ref="Y296:AA296"/>
    <mergeCell ref="AD296:AG296"/>
    <mergeCell ref="E297:G297"/>
    <mergeCell ref="O297:Q297"/>
    <mergeCell ref="T297:V297"/>
    <mergeCell ref="Y297:AA297"/>
    <mergeCell ref="AD297:AG297"/>
    <mergeCell ref="E298:G298"/>
    <mergeCell ref="O298:Q298"/>
    <mergeCell ref="T298:V298"/>
    <mergeCell ref="Y298:AA298"/>
    <mergeCell ref="J247:L247"/>
    <mergeCell ref="O247:Q247"/>
    <mergeCell ref="T247:V247"/>
    <mergeCell ref="Y247:AB247"/>
    <mergeCell ref="J248:M248"/>
    <mergeCell ref="O248:R248"/>
    <mergeCell ref="T248:W248"/>
    <mergeCell ref="Y248:AB248"/>
    <mergeCell ref="J249:M249"/>
    <mergeCell ref="O249:R249"/>
    <mergeCell ref="T249:W249"/>
    <mergeCell ref="Y249:AB249"/>
    <mergeCell ref="AD314:AG314"/>
    <mergeCell ref="AD315:AG315"/>
    <mergeCell ref="AD317:AG317"/>
    <mergeCell ref="O308:Q308"/>
    <mergeCell ref="T308:V308"/>
    <mergeCell ref="E311:AG311"/>
    <mergeCell ref="J312:M312"/>
    <mergeCell ref="Y312:AB312"/>
    <mergeCell ref="AD312:AG312"/>
    <mergeCell ref="AD313:AG313"/>
    <mergeCell ref="T288:W288"/>
    <mergeCell ref="X288:X299"/>
    <mergeCell ref="J301:L301"/>
    <mergeCell ref="O301:Q301"/>
    <mergeCell ref="T301:V301"/>
    <mergeCell ref="Y301:AA301"/>
    <mergeCell ref="Y308:AA308"/>
    <mergeCell ref="O312:R312"/>
    <mergeCell ref="O313:R313"/>
    <mergeCell ref="T313:W313"/>
    <mergeCell ref="Y313:AB313"/>
    <mergeCell ref="J314:M314"/>
    <mergeCell ref="O314:R314"/>
    <mergeCell ref="T314:W314"/>
    <mergeCell ref="Y314:AB314"/>
    <mergeCell ref="P315:Q315"/>
    <mergeCell ref="T315:W315"/>
    <mergeCell ref="O317:R317"/>
    <mergeCell ref="T317:W317"/>
    <mergeCell ref="Y317:AB317"/>
    <mergeCell ref="E203:G203"/>
    <mergeCell ref="J203:L203"/>
    <mergeCell ref="O203:Q203"/>
    <mergeCell ref="T203:V203"/>
    <mergeCell ref="Y203:AA203"/>
    <mergeCell ref="J205:L205"/>
    <mergeCell ref="O205:Q205"/>
    <mergeCell ref="T212:V212"/>
    <mergeCell ref="Y212:AA212"/>
    <mergeCell ref="J216:M216"/>
    <mergeCell ref="O216:R216"/>
    <mergeCell ref="T216:W216"/>
    <mergeCell ref="Y216:AB216"/>
    <mergeCell ref="AD216:AG216"/>
    <mergeCell ref="E216:H216"/>
    <mergeCell ref="E217:H217"/>
    <mergeCell ref="J217:M217"/>
    <mergeCell ref="O217:R217"/>
    <mergeCell ref="T217:W217"/>
    <mergeCell ref="Y217:AB217"/>
    <mergeCell ref="E218:H218"/>
    <mergeCell ref="J218:M218"/>
    <mergeCell ref="E212:G212"/>
    <mergeCell ref="E223:G223"/>
    <mergeCell ref="E224:G224"/>
    <mergeCell ref="E225:G225"/>
    <mergeCell ref="E226:G226"/>
    <mergeCell ref="E227:G227"/>
    <mergeCell ref="E229:G229"/>
    <mergeCell ref="E239:H239"/>
    <mergeCell ref="E240:H240"/>
    <mergeCell ref="J240:M240"/>
    <mergeCell ref="O240:R240"/>
    <mergeCell ref="T240:W240"/>
    <mergeCell ref="Y240:AB240"/>
    <mergeCell ref="E241:H241"/>
    <mergeCell ref="J241:M241"/>
    <mergeCell ref="O241:R241"/>
    <mergeCell ref="T241:W241"/>
    <mergeCell ref="C240:C242"/>
    <mergeCell ref="F242:G242"/>
    <mergeCell ref="AD239:AG239"/>
    <mergeCell ref="AD240:AG240"/>
    <mergeCell ref="AD241:AG241"/>
    <mergeCell ref="AD242:AG242"/>
    <mergeCell ref="AD244:AG244"/>
    <mergeCell ref="AD245:AG245"/>
    <mergeCell ref="AD246:AG246"/>
    <mergeCell ref="AD266:AG266"/>
    <mergeCell ref="AD267:AG267"/>
    <mergeCell ref="AD247:AG247"/>
    <mergeCell ref="AD248:AG248"/>
    <mergeCell ref="AD249:AG249"/>
    <mergeCell ref="AD250:AG250"/>
    <mergeCell ref="AC264:AC275"/>
    <mergeCell ref="AD264:AG264"/>
    <mergeCell ref="AD265:AG265"/>
    <mergeCell ref="T205:V205"/>
    <mergeCell ref="Y205:AA205"/>
    <mergeCell ref="AD207:AD209"/>
    <mergeCell ref="AE207:AE210"/>
    <mergeCell ref="J212:L212"/>
    <mergeCell ref="O212:Q212"/>
    <mergeCell ref="E215:AG215"/>
    <mergeCell ref="J223:L223"/>
    <mergeCell ref="O223:Q223"/>
    <mergeCell ref="T223:V223"/>
    <mergeCell ref="Y223:AA223"/>
    <mergeCell ref="Y225:AA225"/>
    <mergeCell ref="Y226:AA226"/>
    <mergeCell ref="Y227:AA227"/>
    <mergeCell ref="Y229:AA229"/>
    <mergeCell ref="I216:I227"/>
    <mergeCell ref="J224:L224"/>
    <mergeCell ref="J225:L225"/>
    <mergeCell ref="J226:L226"/>
    <mergeCell ref="J227:L227"/>
    <mergeCell ref="J229:L229"/>
    <mergeCell ref="J236:L236"/>
    <mergeCell ref="J239:M239"/>
    <mergeCell ref="O229:Q229"/>
    <mergeCell ref="O236:Q236"/>
    <mergeCell ref="T236:V236"/>
    <mergeCell ref="Y236:AA236"/>
    <mergeCell ref="O239:R239"/>
    <mergeCell ref="T239:W239"/>
    <mergeCell ref="Y239:AB239"/>
    <mergeCell ref="O224:Q224"/>
    <mergeCell ref="T224:V224"/>
    <mergeCell ref="O226:Q226"/>
    <mergeCell ref="T226:V226"/>
    <mergeCell ref="O227:Q227"/>
    <mergeCell ref="T227:V227"/>
    <mergeCell ref="T229:V229"/>
    <mergeCell ref="AD223:AG223"/>
    <mergeCell ref="AD224:AG224"/>
    <mergeCell ref="AD225:AG225"/>
    <mergeCell ref="AD226:AG226"/>
    <mergeCell ref="AD227:AG227"/>
    <mergeCell ref="AD231:AD233"/>
    <mergeCell ref="AE231:AE234"/>
    <mergeCell ref="K242:L242"/>
    <mergeCell ref="U242:V242"/>
    <mergeCell ref="I239:I250"/>
    <mergeCell ref="N239:N250"/>
    <mergeCell ref="S239:S250"/>
    <mergeCell ref="X239:X250"/>
    <mergeCell ref="AC239:AC250"/>
    <mergeCell ref="Y241:AB241"/>
    <mergeCell ref="Y242:AB242"/>
    <mergeCell ref="J318:M318"/>
    <mergeCell ref="O318:R318"/>
    <mergeCell ref="T318:W318"/>
    <mergeCell ref="Y318:AB318"/>
    <mergeCell ref="AD318:AG318"/>
    <mergeCell ref="J319:L319"/>
    <mergeCell ref="O319:Q319"/>
    <mergeCell ref="T319:W319"/>
    <mergeCell ref="Y319:AB319"/>
    <mergeCell ref="AD319:AG319"/>
    <mergeCell ref="J320:L320"/>
    <mergeCell ref="O320:Q320"/>
    <mergeCell ref="T320:W320"/>
    <mergeCell ref="Y320:AB320"/>
    <mergeCell ref="AD320:AG320"/>
    <mergeCell ref="AD321:AG321"/>
    <mergeCell ref="AD322:AG322"/>
    <mergeCell ref="AD323:AG323"/>
    <mergeCell ref="J321:L321"/>
    <mergeCell ref="O321:Q321"/>
    <mergeCell ref="AD339:AG339"/>
    <mergeCell ref="AD340:AG340"/>
    <mergeCell ref="J332:L332"/>
    <mergeCell ref="J333:L333"/>
    <mergeCell ref="E338:AG338"/>
    <mergeCell ref="E339:H339"/>
    <mergeCell ref="J339:M339"/>
    <mergeCell ref="O339:R339"/>
    <mergeCell ref="O340:R340"/>
    <mergeCell ref="Y373:AB373"/>
    <mergeCell ref="O374:Q374"/>
    <mergeCell ref="T374:V374"/>
    <mergeCell ref="Y374:AB374"/>
    <mergeCell ref="AD374:AG374"/>
    <mergeCell ref="O375:Q375"/>
    <mergeCell ref="T375:V375"/>
    <mergeCell ref="AD375:AG375"/>
    <mergeCell ref="AD376:AG376"/>
    <mergeCell ref="O378:Q378"/>
    <mergeCell ref="T378:V378"/>
    <mergeCell ref="O385:Q385"/>
    <mergeCell ref="T392:W392"/>
    <mergeCell ref="T395:W395"/>
    <mergeCell ref="O391:R391"/>
    <mergeCell ref="AD391:AG391"/>
    <mergeCell ref="O392:R392"/>
    <mergeCell ref="AD392:AG392"/>
    <mergeCell ref="P393:Q393"/>
    <mergeCell ref="AD393:AG393"/>
    <mergeCell ref="O395:R395"/>
    <mergeCell ref="Y395:AB395"/>
    <mergeCell ref="AD395:AG395"/>
    <mergeCell ref="O396:R396"/>
    <mergeCell ref="AD396:AG396"/>
    <mergeCell ref="T396:W396"/>
    <mergeCell ref="Y396:AB396"/>
    <mergeCell ref="O397:Q397"/>
    <mergeCell ref="T397:V397"/>
    <mergeCell ref="AD397:AG397"/>
    <mergeCell ref="O398:Q398"/>
    <mergeCell ref="T398:V398"/>
    <mergeCell ref="AD398:AG398"/>
    <mergeCell ref="S390:S401"/>
    <mergeCell ref="X390:X401"/>
    <mergeCell ref="AC390:AC401"/>
    <mergeCell ref="T391:W391"/>
    <mergeCell ref="Y391:AB391"/>
    <mergeCell ref="Y392:AB392"/>
    <mergeCell ref="Z393:AA393"/>
    <mergeCell ref="Y397:AA397"/>
    <mergeCell ref="Y398:AA398"/>
    <mergeCell ref="O399:Q399"/>
    <mergeCell ref="O400:Q400"/>
    <mergeCell ref="T400:V400"/>
    <mergeCell ref="O401:Q401"/>
    <mergeCell ref="T401:V401"/>
    <mergeCell ref="Y366:AB366"/>
    <mergeCell ref="Y367:AB367"/>
    <mergeCell ref="T370:W370"/>
    <mergeCell ref="Y370:AB370"/>
    <mergeCell ref="AD370:AG370"/>
    <mergeCell ref="O371:R371"/>
    <mergeCell ref="T371:W371"/>
    <mergeCell ref="AD371:AG371"/>
    <mergeCell ref="Y371:AB371"/>
    <mergeCell ref="O372:Q372"/>
    <mergeCell ref="T372:V372"/>
    <mergeCell ref="Y372:AB372"/>
    <mergeCell ref="AD372:AG372"/>
    <mergeCell ref="O373:Q373"/>
    <mergeCell ref="T373:V373"/>
    <mergeCell ref="AD373:AG373"/>
    <mergeCell ref="T399:V399"/>
    <mergeCell ref="Y399:AA399"/>
    <mergeCell ref="AD399:AG399"/>
    <mergeCell ref="AD400:AG400"/>
    <mergeCell ref="Y400:AA400"/>
    <mergeCell ref="Y401:AA401"/>
    <mergeCell ref="AD401:AG401"/>
    <mergeCell ref="J495:M495"/>
    <mergeCell ref="O495:R495"/>
    <mergeCell ref="J496:L496"/>
    <mergeCell ref="O496:Q496"/>
    <mergeCell ref="J497:L497"/>
    <mergeCell ref="O497:Q497"/>
    <mergeCell ref="O498:Q498"/>
    <mergeCell ref="J498:L498"/>
    <mergeCell ref="J499:L499"/>
    <mergeCell ref="J500:L500"/>
    <mergeCell ref="J502:L502"/>
    <mergeCell ref="O502:Q502"/>
    <mergeCell ref="T502:V502"/>
    <mergeCell ref="J509:L509"/>
    <mergeCell ref="T495:W495"/>
    <mergeCell ref="Y495:AB495"/>
    <mergeCell ref="AD495:AG495"/>
    <mergeCell ref="T496:V496"/>
    <mergeCell ref="Y496:AB496"/>
    <mergeCell ref="AD496:AG496"/>
    <mergeCell ref="T497:V497"/>
    <mergeCell ref="Y497:AB497"/>
    <mergeCell ref="AD497:AG497"/>
    <mergeCell ref="T498:V498"/>
    <mergeCell ref="Y498:AB498"/>
    <mergeCell ref="AD498:AG498"/>
    <mergeCell ref="O499:Q499"/>
    <mergeCell ref="T499:V499"/>
    <mergeCell ref="AD499:AG499"/>
    <mergeCell ref="AD500:AG500"/>
    <mergeCell ref="O509:Q509"/>
    <mergeCell ref="T509:V509"/>
    <mergeCell ref="E513:AG513"/>
    <mergeCell ref="E514:H514"/>
    <mergeCell ref="J514:M514"/>
    <mergeCell ref="O514:R514"/>
    <mergeCell ref="T514:W514"/>
    <mergeCell ref="AD521:AG521"/>
    <mergeCell ref="AD522:AG522"/>
    <mergeCell ref="AD523:AG523"/>
    <mergeCell ref="Y514:AB514"/>
    <mergeCell ref="AD514:AG514"/>
    <mergeCell ref="AD515:AG515"/>
    <mergeCell ref="AD516:AG516"/>
    <mergeCell ref="AD517:AG517"/>
    <mergeCell ref="AD519:AG519"/>
    <mergeCell ref="AD520:AG520"/>
    <mergeCell ref="T515:W515"/>
    <mergeCell ref="Y515:AB515"/>
    <mergeCell ref="O515:R515"/>
    <mergeCell ref="O516:R516"/>
    <mergeCell ref="T516:W516"/>
    <mergeCell ref="Y516:AB516"/>
    <mergeCell ref="U517:V517"/>
    <mergeCell ref="Y517:AB517"/>
    <mergeCell ref="J519:M519"/>
    <mergeCell ref="O519:R519"/>
    <mergeCell ref="T519:W519"/>
    <mergeCell ref="Y519:AB519"/>
    <mergeCell ref="J520:M520"/>
    <mergeCell ref="O520:R520"/>
    <mergeCell ref="T520:W520"/>
    <mergeCell ref="Y520:AB520"/>
    <mergeCell ref="J521:L521"/>
    <mergeCell ref="O521:Q521"/>
    <mergeCell ref="T521:V521"/>
    <mergeCell ref="Y521:AB521"/>
    <mergeCell ref="J522:L522"/>
    <mergeCell ref="O522:Q522"/>
    <mergeCell ref="T522:V522"/>
    <mergeCell ref="Y522:AB522"/>
    <mergeCell ref="J523:L523"/>
    <mergeCell ref="O523:Q523"/>
    <mergeCell ref="J524:L524"/>
    <mergeCell ref="O524:Q524"/>
    <mergeCell ref="AD524:AG524"/>
    <mergeCell ref="AD525:AG525"/>
    <mergeCell ref="T523:V523"/>
    <mergeCell ref="Y523:AB523"/>
    <mergeCell ref="T524:V524"/>
    <mergeCell ref="Y524:AB524"/>
    <mergeCell ref="T525:V525"/>
    <mergeCell ref="Y525:AB525"/>
    <mergeCell ref="J510:L510"/>
    <mergeCell ref="N514:N525"/>
    <mergeCell ref="S514:S525"/>
    <mergeCell ref="X514:X525"/>
    <mergeCell ref="AC514:AC525"/>
    <mergeCell ref="J515:M515"/>
    <mergeCell ref="J516:M516"/>
    <mergeCell ref="J525:L525"/>
    <mergeCell ref="O525:Q525"/>
    <mergeCell ref="J527:L527"/>
    <mergeCell ref="O527:Q527"/>
    <mergeCell ref="T527:V527"/>
    <mergeCell ref="J534:L534"/>
    <mergeCell ref="T534:V534"/>
    <mergeCell ref="J539:M539"/>
    <mergeCell ref="J540:M540"/>
    <mergeCell ref="J541:M541"/>
    <mergeCell ref="AD540:AG540"/>
    <mergeCell ref="AD541:AG541"/>
    <mergeCell ref="AD542:AG542"/>
    <mergeCell ref="O534:Q534"/>
    <mergeCell ref="O535:Q535"/>
    <mergeCell ref="E538:AG538"/>
    <mergeCell ref="O539:R539"/>
    <mergeCell ref="T539:W539"/>
    <mergeCell ref="Y539:AB539"/>
    <mergeCell ref="AD539:AG539"/>
    <mergeCell ref="Y541:AB541"/>
    <mergeCell ref="T542:W542"/>
    <mergeCell ref="Y542:AB542"/>
    <mergeCell ref="T550:W550"/>
    <mergeCell ref="Y550:AB550"/>
    <mergeCell ref="N539:N550"/>
    <mergeCell ref="S539:S550"/>
    <mergeCell ref="X539:X550"/>
    <mergeCell ref="AC539:AC550"/>
    <mergeCell ref="O540:R540"/>
    <mergeCell ref="Y540:AB540"/>
    <mergeCell ref="O541:R541"/>
    <mergeCell ref="T540:W540"/>
    <mergeCell ref="T541:W541"/>
    <mergeCell ref="T544:W544"/>
    <mergeCell ref="Y544:AB544"/>
    <mergeCell ref="AD544:AG544"/>
    <mergeCell ref="T545:W545"/>
    <mergeCell ref="Y545:AB545"/>
    <mergeCell ref="AD545:AG545"/>
    <mergeCell ref="T546:W546"/>
    <mergeCell ref="Y546:AB546"/>
    <mergeCell ref="AD546:AG546"/>
    <mergeCell ref="T547:W547"/>
    <mergeCell ref="Y547:AB547"/>
    <mergeCell ref="AD547:AG547"/>
    <mergeCell ref="T548:W548"/>
    <mergeCell ref="Y548:AB548"/>
    <mergeCell ref="AD548:AG548"/>
    <mergeCell ref="T549:W549"/>
    <mergeCell ref="Y549:AB549"/>
    <mergeCell ref="AD549:AG549"/>
    <mergeCell ref="AD550:AG550"/>
    <mergeCell ref="T570:W570"/>
    <mergeCell ref="Y570:AB570"/>
    <mergeCell ref="T571:W571"/>
    <mergeCell ref="Y571:AB571"/>
    <mergeCell ref="T572:W572"/>
    <mergeCell ref="Y572:AB572"/>
    <mergeCell ref="T573:W573"/>
    <mergeCell ref="Y573:AB573"/>
    <mergeCell ref="T574:W574"/>
    <mergeCell ref="Y574:AB574"/>
    <mergeCell ref="T575:W575"/>
    <mergeCell ref="Y575:AB575"/>
    <mergeCell ref="T594:W594"/>
    <mergeCell ref="T595:W595"/>
    <mergeCell ref="Y597:AB597"/>
    <mergeCell ref="Y598:AB598"/>
    <mergeCell ref="Y599:AB599"/>
    <mergeCell ref="Y600:AB600"/>
    <mergeCell ref="Y567:AB567"/>
    <mergeCell ref="Y568:AB568"/>
    <mergeCell ref="X592:X603"/>
    <mergeCell ref="AC592:AC603"/>
    <mergeCell ref="Y593:AB593"/>
    <mergeCell ref="Y594:AB594"/>
    <mergeCell ref="Y595:AB595"/>
    <mergeCell ref="Y603:AB603"/>
    <mergeCell ref="Y621:AB621"/>
    <mergeCell ref="Y622:AB622"/>
    <mergeCell ref="Y623:AB623"/>
    <mergeCell ref="Y624:AB624"/>
    <mergeCell ref="T624:V624"/>
    <mergeCell ref="T625:V625"/>
    <mergeCell ref="T626:V626"/>
    <mergeCell ref="T627:V627"/>
    <mergeCell ref="T629:V629"/>
    <mergeCell ref="Y601:AB601"/>
    <mergeCell ref="Y602:AB602"/>
    <mergeCell ref="X616:X627"/>
    <mergeCell ref="AC616:AC627"/>
    <mergeCell ref="Y617:AB617"/>
    <mergeCell ref="Y618:AB618"/>
    <mergeCell ref="Y619:AB619"/>
    <mergeCell ref="Y627:AB627"/>
    <mergeCell ref="J764:M764"/>
    <mergeCell ref="J765:M765"/>
    <mergeCell ref="O765:R765"/>
    <mergeCell ref="T765:W765"/>
    <mergeCell ref="Y765:AB765"/>
    <mergeCell ref="AD765:AG765"/>
    <mergeCell ref="AD766:AG766"/>
    <mergeCell ref="AD767:AG767"/>
    <mergeCell ref="O760:Q760"/>
    <mergeCell ref="T760:V760"/>
    <mergeCell ref="E763:AG763"/>
    <mergeCell ref="O764:R764"/>
    <mergeCell ref="T764:W764"/>
    <mergeCell ref="Y764:AB764"/>
    <mergeCell ref="AD764:AG764"/>
    <mergeCell ref="Y746:AB746"/>
    <mergeCell ref="Y747:AB747"/>
    <mergeCell ref="Y748:AB748"/>
    <mergeCell ref="Y749:AB749"/>
    <mergeCell ref="Y750:AB750"/>
    <mergeCell ref="Y751:AB751"/>
    <mergeCell ref="K743:L743"/>
    <mergeCell ref="E745:H745"/>
    <mergeCell ref="J745:M745"/>
    <mergeCell ref="Y745:AB745"/>
    <mergeCell ref="E746:H746"/>
    <mergeCell ref="E747:G747"/>
    <mergeCell ref="O747:Q747"/>
    <mergeCell ref="E750:G750"/>
    <mergeCell ref="E751:G751"/>
    <mergeCell ref="E753:G753"/>
    <mergeCell ref="J760:L760"/>
    <mergeCell ref="J751:L751"/>
    <mergeCell ref="J753:L753"/>
    <mergeCell ref="T753:V753"/>
    <mergeCell ref="J746:M746"/>
    <mergeCell ref="J747:L747"/>
    <mergeCell ref="E748:G748"/>
    <mergeCell ref="J748:L748"/>
    <mergeCell ref="E749:G749"/>
    <mergeCell ref="J749:L749"/>
    <mergeCell ref="J750:L750"/>
    <mergeCell ref="O745:R745"/>
    <mergeCell ref="O746:R746"/>
    <mergeCell ref="O748:Q748"/>
    <mergeCell ref="O749:Q749"/>
    <mergeCell ref="O750:Q750"/>
    <mergeCell ref="O751:Q751"/>
    <mergeCell ref="O753:Q753"/>
    <mergeCell ref="Y766:AB766"/>
    <mergeCell ref="Y767:AB767"/>
    <mergeCell ref="J769:M769"/>
    <mergeCell ref="O769:R769"/>
    <mergeCell ref="T769:W769"/>
    <mergeCell ref="Y769:AB769"/>
    <mergeCell ref="AD769:AG769"/>
    <mergeCell ref="J770:M770"/>
    <mergeCell ref="O770:R770"/>
    <mergeCell ref="T770:W770"/>
    <mergeCell ref="Y770:AB770"/>
    <mergeCell ref="AD770:AG770"/>
    <mergeCell ref="J771:L771"/>
    <mergeCell ref="O771:Q771"/>
    <mergeCell ref="T771:V771"/>
    <mergeCell ref="Y771:AB771"/>
    <mergeCell ref="AD771:AG771"/>
    <mergeCell ref="AD772:AG772"/>
    <mergeCell ref="AD773:AG773"/>
    <mergeCell ref="AD774:AG774"/>
    <mergeCell ref="AD775:AG775"/>
    <mergeCell ref="J772:L772"/>
    <mergeCell ref="O772:Q772"/>
    <mergeCell ref="T794:W794"/>
    <mergeCell ref="J795:M795"/>
    <mergeCell ref="O795:R795"/>
    <mergeCell ref="T795:W795"/>
    <mergeCell ref="O800:Q800"/>
    <mergeCell ref="T800:V800"/>
    <mergeCell ref="E789:H789"/>
    <mergeCell ref="J789:M789"/>
    <mergeCell ref="N789:N800"/>
    <mergeCell ref="S789:S800"/>
    <mergeCell ref="T789:W789"/>
    <mergeCell ref="X789:X800"/>
    <mergeCell ref="O791:R791"/>
    <mergeCell ref="O789:R789"/>
    <mergeCell ref="O790:R790"/>
    <mergeCell ref="J790:M790"/>
    <mergeCell ref="J791:M791"/>
    <mergeCell ref="T790:W790"/>
    <mergeCell ref="T791:W791"/>
    <mergeCell ref="J794:M794"/>
    <mergeCell ref="O794:R794"/>
    <mergeCell ref="J796:L796"/>
    <mergeCell ref="O796:Q796"/>
    <mergeCell ref="T796:V796"/>
    <mergeCell ref="J797:L797"/>
    <mergeCell ref="O797:Q797"/>
    <mergeCell ref="T797:V797"/>
    <mergeCell ref="J798:L798"/>
    <mergeCell ref="O798:Q798"/>
    <mergeCell ref="T772:V772"/>
    <mergeCell ref="Y772:AB772"/>
    <mergeCell ref="J773:L773"/>
    <mergeCell ref="O773:Q773"/>
    <mergeCell ref="T773:V773"/>
    <mergeCell ref="Y773:AB773"/>
    <mergeCell ref="T774:V774"/>
    <mergeCell ref="Y774:AB774"/>
    <mergeCell ref="T775:V775"/>
    <mergeCell ref="Y775:AB775"/>
    <mergeCell ref="N764:N775"/>
    <mergeCell ref="S764:S775"/>
    <mergeCell ref="X764:X775"/>
    <mergeCell ref="AC764:AC775"/>
    <mergeCell ref="J766:M766"/>
    <mergeCell ref="O766:R766"/>
    <mergeCell ref="T766:W766"/>
    <mergeCell ref="Y789:AB789"/>
    <mergeCell ref="AC789:AC800"/>
    <mergeCell ref="Y790:AB790"/>
    <mergeCell ref="Y791:AB791"/>
    <mergeCell ref="Z792:AA792"/>
    <mergeCell ref="Y794:AB794"/>
    <mergeCell ref="Y795:AB795"/>
    <mergeCell ref="J815:M815"/>
    <mergeCell ref="AD815:AG815"/>
    <mergeCell ref="J816:M816"/>
    <mergeCell ref="Y816:AB816"/>
    <mergeCell ref="AD816:AG816"/>
    <mergeCell ref="AD817:AG817"/>
    <mergeCell ref="O816:R816"/>
    <mergeCell ref="T816:W816"/>
    <mergeCell ref="J819:M819"/>
    <mergeCell ref="O819:R819"/>
    <mergeCell ref="AD819:AG819"/>
    <mergeCell ref="J820:M820"/>
    <mergeCell ref="O820:R820"/>
    <mergeCell ref="J775:L775"/>
    <mergeCell ref="O775:Q775"/>
    <mergeCell ref="J777:L777"/>
    <mergeCell ref="O777:Q777"/>
    <mergeCell ref="T777:V777"/>
    <mergeCell ref="J774:L774"/>
    <mergeCell ref="O774:Q774"/>
    <mergeCell ref="J784:L784"/>
    <mergeCell ref="O784:Q784"/>
    <mergeCell ref="T784:V784"/>
    <mergeCell ref="T785:V785"/>
    <mergeCell ref="E788:AG788"/>
    <mergeCell ref="AD797:AG797"/>
    <mergeCell ref="AD798:AG798"/>
    <mergeCell ref="AD799:AG799"/>
    <mergeCell ref="AD800:AG800"/>
    <mergeCell ref="AD789:AG789"/>
    <mergeCell ref="AD790:AG790"/>
    <mergeCell ref="AD791:AG791"/>
    <mergeCell ref="AD792:AG792"/>
    <mergeCell ref="AD794:AG794"/>
    <mergeCell ref="AD795:AG795"/>
    <mergeCell ref="AD796:AG796"/>
    <mergeCell ref="T815:W815"/>
    <mergeCell ref="Y815:AB815"/>
    <mergeCell ref="O823:Q823"/>
    <mergeCell ref="T823:V823"/>
    <mergeCell ref="Y823:AA823"/>
    <mergeCell ref="O824:Q824"/>
    <mergeCell ref="T824:V824"/>
    <mergeCell ref="Y824:AA824"/>
    <mergeCell ref="O825:Q825"/>
    <mergeCell ref="T825:V825"/>
    <mergeCell ref="Y809:AA809"/>
    <mergeCell ref="Y810:AA810"/>
    <mergeCell ref="N814:N825"/>
    <mergeCell ref="S814:S825"/>
    <mergeCell ref="X814:X825"/>
    <mergeCell ref="AC814:AC825"/>
    <mergeCell ref="O815:R815"/>
    <mergeCell ref="Y825:AA825"/>
    <mergeCell ref="T819:W819"/>
    <mergeCell ref="T820:W820"/>
    <mergeCell ref="J821:L821"/>
    <mergeCell ref="O821:Q821"/>
    <mergeCell ref="T821:V821"/>
    <mergeCell ref="O822:Q822"/>
    <mergeCell ref="T822:V822"/>
    <mergeCell ref="J839:M839"/>
    <mergeCell ref="O839:R839"/>
    <mergeCell ref="J840:M840"/>
    <mergeCell ref="O840:R840"/>
    <mergeCell ref="J843:M843"/>
    <mergeCell ref="O843:R843"/>
    <mergeCell ref="T840:W840"/>
    <mergeCell ref="T843:W843"/>
    <mergeCell ref="J844:M844"/>
    <mergeCell ref="O844:R844"/>
    <mergeCell ref="T845:V845"/>
    <mergeCell ref="Y845:AA845"/>
    <mergeCell ref="AD838:AG838"/>
    <mergeCell ref="AD839:AG839"/>
    <mergeCell ref="AD840:AG840"/>
    <mergeCell ref="AD841:AG841"/>
    <mergeCell ref="AD843:AG843"/>
    <mergeCell ref="AD844:AG844"/>
    <mergeCell ref="AD845:AG845"/>
    <mergeCell ref="AD864:AG864"/>
    <mergeCell ref="AD866:AG866"/>
    <mergeCell ref="AD867:AG867"/>
    <mergeCell ref="AD868:AG868"/>
    <mergeCell ref="AD869:AG869"/>
    <mergeCell ref="AD870:AG870"/>
    <mergeCell ref="AD871:AG871"/>
    <mergeCell ref="AD872:AG872"/>
    <mergeCell ref="AD846:AG846"/>
    <mergeCell ref="AD847:AG847"/>
    <mergeCell ref="AD848:AG848"/>
    <mergeCell ref="AD849:AG849"/>
    <mergeCell ref="AD861:AG861"/>
    <mergeCell ref="AD862:AG862"/>
    <mergeCell ref="AD863:AG863"/>
    <mergeCell ref="Y796:AA796"/>
    <mergeCell ref="Y797:AA797"/>
    <mergeCell ref="T798:V798"/>
    <mergeCell ref="Y798:AA798"/>
    <mergeCell ref="O799:Q799"/>
    <mergeCell ref="T799:V799"/>
    <mergeCell ref="Y799:AA799"/>
    <mergeCell ref="Y800:AA800"/>
    <mergeCell ref="J799:L799"/>
    <mergeCell ref="J800:L800"/>
    <mergeCell ref="J802:L802"/>
    <mergeCell ref="O802:Q802"/>
    <mergeCell ref="T802:V802"/>
    <mergeCell ref="Y802:AA802"/>
    <mergeCell ref="J809:L809"/>
    <mergeCell ref="Y814:AB814"/>
    <mergeCell ref="AD814:AG814"/>
    <mergeCell ref="O809:Q809"/>
    <mergeCell ref="T809:V809"/>
    <mergeCell ref="E813:AG813"/>
    <mergeCell ref="E814:H814"/>
    <mergeCell ref="J814:M814"/>
    <mergeCell ref="O814:R814"/>
    <mergeCell ref="T814:W814"/>
    <mergeCell ref="Y819:AB819"/>
    <mergeCell ref="Y820:AB820"/>
    <mergeCell ref="AD820:AG820"/>
    <mergeCell ref="AD821:AG821"/>
    <mergeCell ref="AD822:AG822"/>
    <mergeCell ref="AD823:AG823"/>
    <mergeCell ref="AD824:AG824"/>
    <mergeCell ref="AD825:AG825"/>
    <mergeCell ref="Y821:AA821"/>
    <mergeCell ref="Y822:AA822"/>
    <mergeCell ref="Y827:AA827"/>
    <mergeCell ref="J834:L834"/>
    <mergeCell ref="O834:Q834"/>
    <mergeCell ref="T834:V834"/>
    <mergeCell ref="Y834:AA834"/>
    <mergeCell ref="E837:AG837"/>
    <mergeCell ref="J838:M838"/>
    <mergeCell ref="Y838:AB838"/>
    <mergeCell ref="O827:Q827"/>
    <mergeCell ref="O838:R838"/>
    <mergeCell ref="J845:L845"/>
    <mergeCell ref="O845:Q845"/>
    <mergeCell ref="J846:L846"/>
    <mergeCell ref="O846:Q846"/>
    <mergeCell ref="J847:L847"/>
    <mergeCell ref="O847:Q847"/>
    <mergeCell ref="J848:L848"/>
    <mergeCell ref="O848:Q848"/>
    <mergeCell ref="J822:L822"/>
    <mergeCell ref="J823:L823"/>
    <mergeCell ref="J824:L824"/>
    <mergeCell ref="J825:L825"/>
    <mergeCell ref="J827:L827"/>
    <mergeCell ref="N838:N849"/>
    <mergeCell ref="S838:S849"/>
    <mergeCell ref="J861:M861"/>
    <mergeCell ref="O861:R861"/>
    <mergeCell ref="J858:L858"/>
    <mergeCell ref="J862:M862"/>
    <mergeCell ref="J872:L872"/>
    <mergeCell ref="O872:Q872"/>
    <mergeCell ref="J874:L874"/>
    <mergeCell ref="O874:Q874"/>
    <mergeCell ref="T874:V874"/>
    <mergeCell ref="Y874:AA874"/>
    <mergeCell ref="J849:L849"/>
    <mergeCell ref="O849:Q849"/>
    <mergeCell ref="J851:L851"/>
    <mergeCell ref="O851:Q851"/>
    <mergeCell ref="O858:Q858"/>
    <mergeCell ref="N861:N872"/>
    <mergeCell ref="S861:S872"/>
    <mergeCell ref="Y935:AB935"/>
    <mergeCell ref="J936:M936"/>
    <mergeCell ref="O936:R936"/>
    <mergeCell ref="T936:W936"/>
    <mergeCell ref="Y936:AB936"/>
    <mergeCell ref="T939:V939"/>
    <mergeCell ref="Y939:AA939"/>
    <mergeCell ref="T940:V940"/>
    <mergeCell ref="Y940:AA940"/>
    <mergeCell ref="T941:V941"/>
    <mergeCell ref="Y941:AA941"/>
    <mergeCell ref="J927:L927"/>
    <mergeCell ref="N930:N941"/>
    <mergeCell ref="S930:S941"/>
    <mergeCell ref="X930:X941"/>
    <mergeCell ref="AC930:AC941"/>
    <mergeCell ref="Y931:AB931"/>
    <mergeCell ref="Y932:AB932"/>
    <mergeCell ref="J953:M953"/>
    <mergeCell ref="O953:R953"/>
    <mergeCell ref="Y953:AB953"/>
    <mergeCell ref="T950:V950"/>
    <mergeCell ref="T953:W953"/>
    <mergeCell ref="J941:L941"/>
    <mergeCell ref="O941:Q941"/>
    <mergeCell ref="J943:L943"/>
    <mergeCell ref="O943:Q943"/>
    <mergeCell ref="T943:V943"/>
    <mergeCell ref="Y943:AA943"/>
    <mergeCell ref="J963:L963"/>
    <mergeCell ref="O963:Q963"/>
    <mergeCell ref="J966:L966"/>
    <mergeCell ref="O966:Q966"/>
    <mergeCell ref="T966:V966"/>
    <mergeCell ref="Y966:AA966"/>
    <mergeCell ref="J940:L940"/>
    <mergeCell ref="O940:Q940"/>
    <mergeCell ref="O950:Q950"/>
    <mergeCell ref="Y950:AA950"/>
    <mergeCell ref="N953:N964"/>
    <mergeCell ref="S953:S964"/>
    <mergeCell ref="O955:R955"/>
    <mergeCell ref="T963:V963"/>
    <mergeCell ref="J964:M964"/>
    <mergeCell ref="O964:Q964"/>
    <mergeCell ref="T964:V964"/>
    <mergeCell ref="J973:L973"/>
    <mergeCell ref="O973:Q973"/>
    <mergeCell ref="Y973:AA973"/>
    <mergeCell ref="T977:W977"/>
    <mergeCell ref="Y977:AB977"/>
    <mergeCell ref="O978:R978"/>
    <mergeCell ref="T978:W978"/>
    <mergeCell ref="T985:V985"/>
    <mergeCell ref="Y985:AA985"/>
    <mergeCell ref="O986:Q986"/>
    <mergeCell ref="T986:V986"/>
    <mergeCell ref="Y986:AA986"/>
    <mergeCell ref="J986:L986"/>
    <mergeCell ref="J987:L987"/>
    <mergeCell ref="O987:Q987"/>
    <mergeCell ref="T987:V987"/>
    <mergeCell ref="Y987:AA987"/>
    <mergeCell ref="O988:Q988"/>
    <mergeCell ref="T988:V988"/>
    <mergeCell ref="Y988:AA988"/>
    <mergeCell ref="J930:M930"/>
    <mergeCell ref="J935:M935"/>
    <mergeCell ref="O935:R935"/>
    <mergeCell ref="T935:W935"/>
    <mergeCell ref="J937:L937"/>
    <mergeCell ref="O937:Q937"/>
    <mergeCell ref="T937:V937"/>
    <mergeCell ref="Y937:AA937"/>
    <mergeCell ref="J938:L938"/>
    <mergeCell ref="O938:Q938"/>
    <mergeCell ref="T938:V938"/>
    <mergeCell ref="Y938:AA938"/>
    <mergeCell ref="J939:L939"/>
    <mergeCell ref="O939:Q939"/>
    <mergeCell ref="J954:M954"/>
    <mergeCell ref="O954:R954"/>
    <mergeCell ref="J950:L950"/>
    <mergeCell ref="J955:M955"/>
    <mergeCell ref="T954:W954"/>
    <mergeCell ref="T955:W955"/>
    <mergeCell ref="J958:M958"/>
    <mergeCell ref="O958:R958"/>
    <mergeCell ref="Y955:AB955"/>
    <mergeCell ref="Y958:AB958"/>
    <mergeCell ref="T958:W958"/>
    <mergeCell ref="J959:M959"/>
    <mergeCell ref="AD960:AG960"/>
    <mergeCell ref="AD961:AG961"/>
    <mergeCell ref="O959:R959"/>
    <mergeCell ref="T959:W959"/>
    <mergeCell ref="J960:L960"/>
    <mergeCell ref="O960:Q960"/>
    <mergeCell ref="T960:V960"/>
    <mergeCell ref="Y960:AA960"/>
    <mergeCell ref="J961:L961"/>
    <mergeCell ref="O961:Q961"/>
    <mergeCell ref="T961:V961"/>
    <mergeCell ref="Y961:AA961"/>
    <mergeCell ref="J962:L962"/>
    <mergeCell ref="O962:Q962"/>
    <mergeCell ref="T962:V962"/>
    <mergeCell ref="Y962:AA962"/>
    <mergeCell ref="P980:Q980"/>
    <mergeCell ref="O983:R983"/>
    <mergeCell ref="O990:Q990"/>
    <mergeCell ref="T990:V990"/>
    <mergeCell ref="Y990:AA990"/>
    <mergeCell ref="T973:V973"/>
    <mergeCell ref="T974:V974"/>
    <mergeCell ref="N977:N988"/>
    <mergeCell ref="S977:S988"/>
    <mergeCell ref="X977:X988"/>
    <mergeCell ref="AC977:AC988"/>
    <mergeCell ref="Y984:AA984"/>
    <mergeCell ref="O977:R977"/>
    <mergeCell ref="O979:R979"/>
    <mergeCell ref="Y978:AB978"/>
    <mergeCell ref="Y979:AB979"/>
    <mergeCell ref="T979:W979"/>
    <mergeCell ref="U980:V980"/>
    <mergeCell ref="O982:R982"/>
    <mergeCell ref="T982:W982"/>
    <mergeCell ref="Y982:AB982"/>
    <mergeCell ref="Y983:AB983"/>
    <mergeCell ref="T983:W983"/>
    <mergeCell ref="T984:V984"/>
    <mergeCell ref="O984:Q984"/>
    <mergeCell ref="O985:Q985"/>
    <mergeCell ref="J977:M977"/>
    <mergeCell ref="J978:M978"/>
    <mergeCell ref="J979:M979"/>
    <mergeCell ref="J982:M982"/>
    <mergeCell ref="J983:M983"/>
    <mergeCell ref="J984:L984"/>
    <mergeCell ref="J985:L985"/>
    <mergeCell ref="J988:L988"/>
    <mergeCell ref="J990:L990"/>
    <mergeCell ref="J997:L997"/>
    <mergeCell ref="O997:Q997"/>
    <mergeCell ref="T997:V997"/>
    <mergeCell ref="O1000:R1000"/>
    <mergeCell ref="T1000:W1000"/>
    <mergeCell ref="J1000:M1000"/>
    <mergeCell ref="J1001:M1001"/>
    <mergeCell ref="O1001:R1001"/>
    <mergeCell ref="T1001:W1001"/>
    <mergeCell ref="J1002:M1002"/>
    <mergeCell ref="O1002:R1002"/>
    <mergeCell ref="T1002:W1002"/>
    <mergeCell ref="T1006:W1006"/>
    <mergeCell ref="T1007:V1007"/>
    <mergeCell ref="T1009:W1009"/>
    <mergeCell ref="T1010:W1010"/>
    <mergeCell ref="T1011:W1011"/>
    <mergeCell ref="T1013:V1013"/>
    <mergeCell ref="T1020:V1020"/>
    <mergeCell ref="O1007:Q1007"/>
    <mergeCell ref="O1008:Q1008"/>
    <mergeCell ref="O1009:R1009"/>
    <mergeCell ref="O1010:R1010"/>
    <mergeCell ref="O1011:R1011"/>
    <mergeCell ref="O1013:Q1013"/>
    <mergeCell ref="O1020:Q1020"/>
    <mergeCell ref="J1008:L1008"/>
    <mergeCell ref="J1009:M1009"/>
    <mergeCell ref="J1010:M1010"/>
    <mergeCell ref="J1011:M1011"/>
    <mergeCell ref="J1013:L1013"/>
    <mergeCell ref="J1020:L1020"/>
    <mergeCell ref="J1005:M1005"/>
    <mergeCell ref="O1005:R1005"/>
    <mergeCell ref="T1005:W1005"/>
    <mergeCell ref="J1006:M1006"/>
    <mergeCell ref="O1006:R1006"/>
    <mergeCell ref="J1007:L1007"/>
    <mergeCell ref="T1008:V1008"/>
    <mergeCell ref="Y1007:AA1007"/>
    <mergeCell ref="Y1008:AA1008"/>
    <mergeCell ref="AD1008:AF1008"/>
    <mergeCell ref="AD1009:AG1009"/>
    <mergeCell ref="Y1009:AB1009"/>
    <mergeCell ref="Y1010:AB1010"/>
    <mergeCell ref="Y1013:AA1013"/>
    <mergeCell ref="Y1020:AA1020"/>
    <mergeCell ref="AD983:AG983"/>
    <mergeCell ref="AD984:AG984"/>
    <mergeCell ref="AD985:AG985"/>
    <mergeCell ref="AD986:AG986"/>
    <mergeCell ref="AD987:AG987"/>
    <mergeCell ref="AD988:AG988"/>
    <mergeCell ref="X1000:X1011"/>
    <mergeCell ref="Y1011:AB1011"/>
    <mergeCell ref="AD1010:AG1010"/>
    <mergeCell ref="AD1011:AG1011"/>
    <mergeCell ref="AD1013:AF1013"/>
    <mergeCell ref="AD1020:AF1020"/>
    <mergeCell ref="AC1000:AC1011"/>
    <mergeCell ref="AD1000:AG1000"/>
    <mergeCell ref="AD1001:AG1001"/>
    <mergeCell ref="AD1002:AG1002"/>
    <mergeCell ref="AD1005:AG1005"/>
    <mergeCell ref="AD1006:AG1006"/>
    <mergeCell ref="AD1007:AF1007"/>
    <mergeCell ref="AD958:AG958"/>
    <mergeCell ref="Y959:AB959"/>
    <mergeCell ref="AD959:AG959"/>
    <mergeCell ref="AD962:AG962"/>
    <mergeCell ref="Y963:AA963"/>
    <mergeCell ref="AD963:AG963"/>
    <mergeCell ref="X953:X964"/>
    <mergeCell ref="AC953:AC964"/>
    <mergeCell ref="AD953:AG953"/>
    <mergeCell ref="Y954:AB954"/>
    <mergeCell ref="AD954:AG954"/>
    <mergeCell ref="AD955:AG955"/>
    <mergeCell ref="AD956:AG956"/>
    <mergeCell ref="Y964:AA964"/>
    <mergeCell ref="AD964:AG964"/>
    <mergeCell ref="AD977:AG977"/>
    <mergeCell ref="AD978:AG978"/>
    <mergeCell ref="AD979:AG979"/>
    <mergeCell ref="AD980:AG980"/>
    <mergeCell ref="AD982:AG982"/>
    <mergeCell ref="Y997:AA997"/>
    <mergeCell ref="Y1000:AB1000"/>
    <mergeCell ref="Y1001:AB1001"/>
    <mergeCell ref="Y1002:AB1002"/>
    <mergeCell ref="Y1005:AB1005"/>
    <mergeCell ref="Y1006:AB1006"/>
    <mergeCell ref="T668:W668"/>
    <mergeCell ref="T671:W671"/>
    <mergeCell ref="T650:V650"/>
    <mergeCell ref="T651:V651"/>
    <mergeCell ref="T654:V654"/>
    <mergeCell ref="T661:V661"/>
    <mergeCell ref="T662:V662"/>
    <mergeCell ref="X666:X677"/>
    <mergeCell ref="T667:W667"/>
    <mergeCell ref="T593:W593"/>
    <mergeCell ref="T597:W597"/>
    <mergeCell ref="T598:W598"/>
    <mergeCell ref="T599:W599"/>
    <mergeCell ref="T600:W600"/>
    <mergeCell ref="T601:W601"/>
    <mergeCell ref="T602:W602"/>
    <mergeCell ref="T603:W603"/>
    <mergeCell ref="T617:W617"/>
    <mergeCell ref="T618:W618"/>
    <mergeCell ref="U619:V619"/>
    <mergeCell ref="T621:W621"/>
    <mergeCell ref="T622:W622"/>
    <mergeCell ref="T623:V623"/>
    <mergeCell ref="T648:V648"/>
    <mergeCell ref="T649:V649"/>
    <mergeCell ref="T636:V636"/>
    <mergeCell ref="T637:V637"/>
    <mergeCell ref="X641:X652"/>
    <mergeCell ref="T642:W642"/>
    <mergeCell ref="T643:W643"/>
    <mergeCell ref="T646:W646"/>
    <mergeCell ref="T647:W647"/>
    <mergeCell ref="T652:V652"/>
    <mergeCell ref="T672:W672"/>
    <mergeCell ref="T673:V673"/>
    <mergeCell ref="T674:V674"/>
    <mergeCell ref="T675:V675"/>
    <mergeCell ref="T698:V698"/>
    <mergeCell ref="T699:V699"/>
    <mergeCell ref="T700:V700"/>
    <mergeCell ref="T701:V701"/>
    <mergeCell ref="T704:V704"/>
    <mergeCell ref="T711:V711"/>
    <mergeCell ref="X715:X726"/>
    <mergeCell ref="T716:W716"/>
    <mergeCell ref="T717:W717"/>
    <mergeCell ref="T726:V726"/>
    <mergeCell ref="T724:V724"/>
    <mergeCell ref="T725:V725"/>
    <mergeCell ref="T728:V728"/>
    <mergeCell ref="T735:V735"/>
    <mergeCell ref="X740:X751"/>
    <mergeCell ref="T741:W741"/>
    <mergeCell ref="T742:W742"/>
    <mergeCell ref="T751:V751"/>
    <mergeCell ref="T696:W696"/>
    <mergeCell ref="T697:W697"/>
    <mergeCell ref="T676:V676"/>
    <mergeCell ref="T677:V677"/>
    <mergeCell ref="T679:V679"/>
    <mergeCell ref="T686:V686"/>
    <mergeCell ref="X691:X702"/>
    <mergeCell ref="T692:W692"/>
    <mergeCell ref="T693:W693"/>
    <mergeCell ref="T702:V702"/>
    <mergeCell ref="T720:W720"/>
    <mergeCell ref="T721:W721"/>
    <mergeCell ref="T722:V722"/>
    <mergeCell ref="T723:V723"/>
    <mergeCell ref="T745:W745"/>
    <mergeCell ref="T746:W746"/>
    <mergeCell ref="T747:V747"/>
    <mergeCell ref="T748:V748"/>
    <mergeCell ref="T749:V749"/>
    <mergeCell ref="T750:V750"/>
    <mergeCell ref="O715:R715"/>
    <mergeCell ref="S715:S726"/>
    <mergeCell ref="O716:R716"/>
    <mergeCell ref="O717:R717"/>
    <mergeCell ref="O720:R720"/>
    <mergeCell ref="O721:R721"/>
    <mergeCell ref="O722:Q722"/>
    <mergeCell ref="J728:L728"/>
    <mergeCell ref="O728:Q728"/>
    <mergeCell ref="J735:L735"/>
    <mergeCell ref="O735:Q735"/>
    <mergeCell ref="O736:Q736"/>
    <mergeCell ref="J702:L702"/>
    <mergeCell ref="O702:Q702"/>
    <mergeCell ref="J704:L704"/>
    <mergeCell ref="O704:Q704"/>
    <mergeCell ref="J711:L711"/>
    <mergeCell ref="O711:Q711"/>
    <mergeCell ref="N715:N726"/>
    <mergeCell ref="J687:L687"/>
    <mergeCell ref="J692:M692"/>
    <mergeCell ref="J677:L677"/>
    <mergeCell ref="O677:Q677"/>
    <mergeCell ref="J679:L679"/>
    <mergeCell ref="O679:Q679"/>
    <mergeCell ref="J686:L686"/>
    <mergeCell ref="N691:N702"/>
    <mergeCell ref="S691:S702"/>
    <mergeCell ref="J716:M716"/>
    <mergeCell ref="J717:M717"/>
    <mergeCell ref="J720:M720"/>
    <mergeCell ref="J721:M721"/>
    <mergeCell ref="J722:L722"/>
    <mergeCell ref="J723:L723"/>
    <mergeCell ref="O723:Q723"/>
    <mergeCell ref="O724:Q724"/>
    <mergeCell ref="J724:L724"/>
    <mergeCell ref="J725:L725"/>
    <mergeCell ref="J568:M568"/>
    <mergeCell ref="J570:M570"/>
    <mergeCell ref="J573:M573"/>
    <mergeCell ref="J574:M574"/>
    <mergeCell ref="O594:R594"/>
    <mergeCell ref="O595:R595"/>
    <mergeCell ref="J547:L547"/>
    <mergeCell ref="J548:L548"/>
    <mergeCell ref="J549:L549"/>
    <mergeCell ref="J550:L550"/>
    <mergeCell ref="J552:L552"/>
    <mergeCell ref="J559:L559"/>
    <mergeCell ref="N565:N576"/>
    <mergeCell ref="O597:R597"/>
    <mergeCell ref="J598:M598"/>
    <mergeCell ref="O598:R598"/>
    <mergeCell ref="O599:R599"/>
    <mergeCell ref="O600:R600"/>
    <mergeCell ref="O601:R601"/>
    <mergeCell ref="O602:R602"/>
    <mergeCell ref="J575:M575"/>
    <mergeCell ref="J576:M576"/>
    <mergeCell ref="S592:S603"/>
    <mergeCell ref="J593:M593"/>
    <mergeCell ref="O593:R593"/>
    <mergeCell ref="J594:M594"/>
    <mergeCell ref="K595:L595"/>
    <mergeCell ref="O603:R603"/>
    <mergeCell ref="N592:N603"/>
    <mergeCell ref="J597:M597"/>
    <mergeCell ref="J599:L599"/>
    <mergeCell ref="J600:L600"/>
    <mergeCell ref="J601:L601"/>
    <mergeCell ref="J602:L602"/>
    <mergeCell ref="J603:L603"/>
    <mergeCell ref="J618:M618"/>
    <mergeCell ref="K619:L619"/>
    <mergeCell ref="J621:M621"/>
    <mergeCell ref="O621:R621"/>
    <mergeCell ref="J623:L623"/>
    <mergeCell ref="O623:Q623"/>
    <mergeCell ref="J624:L624"/>
    <mergeCell ref="O624:Q624"/>
    <mergeCell ref="O641:R641"/>
    <mergeCell ref="S641:S652"/>
    <mergeCell ref="O642:R642"/>
    <mergeCell ref="O643:R643"/>
    <mergeCell ref="O646:R646"/>
    <mergeCell ref="O647:R647"/>
    <mergeCell ref="J652:L652"/>
    <mergeCell ref="O652:Q652"/>
    <mergeCell ref="J625:L625"/>
    <mergeCell ref="O625:Q625"/>
    <mergeCell ref="J629:L629"/>
    <mergeCell ref="O629:Q629"/>
    <mergeCell ref="J636:L636"/>
    <mergeCell ref="O636:Q636"/>
    <mergeCell ref="N641:N652"/>
    <mergeCell ref="J642:M642"/>
    <mergeCell ref="J643:M643"/>
    <mergeCell ref="J646:M646"/>
    <mergeCell ref="J647:M647"/>
    <mergeCell ref="J648:L648"/>
    <mergeCell ref="O648:Q648"/>
    <mergeCell ref="J649:L649"/>
    <mergeCell ref="O649:Q649"/>
    <mergeCell ref="J650:L650"/>
    <mergeCell ref="O650:Q650"/>
    <mergeCell ref="J651:L651"/>
    <mergeCell ref="O651:Q651"/>
    <mergeCell ref="O666:R666"/>
    <mergeCell ref="O667:R667"/>
    <mergeCell ref="J672:M672"/>
    <mergeCell ref="O672:R672"/>
    <mergeCell ref="J654:L654"/>
    <mergeCell ref="O654:Q654"/>
    <mergeCell ref="J661:L661"/>
    <mergeCell ref="O661:Q661"/>
    <mergeCell ref="N666:N677"/>
    <mergeCell ref="S666:S677"/>
    <mergeCell ref="J667:M667"/>
    <mergeCell ref="J668:M668"/>
    <mergeCell ref="O668:R668"/>
    <mergeCell ref="J671:M671"/>
    <mergeCell ref="O671:R671"/>
    <mergeCell ref="J673:L673"/>
    <mergeCell ref="O673:Q673"/>
    <mergeCell ref="J674:L674"/>
    <mergeCell ref="O674:Q674"/>
    <mergeCell ref="J675:L675"/>
    <mergeCell ref="O675:Q675"/>
    <mergeCell ref="J676:L676"/>
    <mergeCell ref="O676:Q676"/>
    <mergeCell ref="O686:Q686"/>
    <mergeCell ref="O691:R691"/>
    <mergeCell ref="O692:R692"/>
    <mergeCell ref="J693:M693"/>
    <mergeCell ref="O693:R693"/>
    <mergeCell ref="J696:M696"/>
    <mergeCell ref="O696:R696"/>
    <mergeCell ref="J697:M697"/>
    <mergeCell ref="O697:R697"/>
    <mergeCell ref="J698:L698"/>
    <mergeCell ref="O698:Q698"/>
    <mergeCell ref="J699:L699"/>
    <mergeCell ref="O699:Q699"/>
    <mergeCell ref="J700:L700"/>
    <mergeCell ref="O700:Q700"/>
    <mergeCell ref="J701:L701"/>
    <mergeCell ref="O701:Q701"/>
    <mergeCell ref="AD722:AG722"/>
    <mergeCell ref="AD723:AG723"/>
    <mergeCell ref="AD724:AG724"/>
    <mergeCell ref="O725:Q725"/>
    <mergeCell ref="AD725:AG725"/>
    <mergeCell ref="J726:L726"/>
    <mergeCell ref="O726:Q726"/>
    <mergeCell ref="AD726:AG726"/>
    <mergeCell ref="E739:AG739"/>
    <mergeCell ref="E740:H740"/>
    <mergeCell ref="O740:R740"/>
    <mergeCell ref="T740:W740"/>
    <mergeCell ref="Y740:AB740"/>
    <mergeCell ref="AD740:AG740"/>
    <mergeCell ref="T666:W666"/>
    <mergeCell ref="Y666:AB666"/>
    <mergeCell ref="AD667:AG667"/>
    <mergeCell ref="AD668:AG668"/>
    <mergeCell ref="AD669:AG669"/>
    <mergeCell ref="AD671:AG671"/>
    <mergeCell ref="AD672:AG672"/>
    <mergeCell ref="AD673:AG673"/>
    <mergeCell ref="AD674:AG674"/>
    <mergeCell ref="AD675:AG675"/>
    <mergeCell ref="AD676:AG676"/>
    <mergeCell ref="AD677:AG677"/>
    <mergeCell ref="E690:AG690"/>
    <mergeCell ref="J691:M691"/>
    <mergeCell ref="AD691:AG691"/>
    <mergeCell ref="T691:W691"/>
    <mergeCell ref="Y691:AB691"/>
    <mergeCell ref="AD692:AG692"/>
    <mergeCell ref="AD693:AG693"/>
    <mergeCell ref="AD694:AG694"/>
    <mergeCell ref="AD696:AG696"/>
    <mergeCell ref="AD697:AG697"/>
    <mergeCell ref="AD698:AG698"/>
    <mergeCell ref="AD699:AG699"/>
    <mergeCell ref="AD700:AG700"/>
    <mergeCell ref="AD701:AG701"/>
    <mergeCell ref="AD702:AG702"/>
    <mergeCell ref="E714:AG714"/>
    <mergeCell ref="J715:M715"/>
    <mergeCell ref="AD715:AG715"/>
    <mergeCell ref="T715:W715"/>
    <mergeCell ref="Y715:AB715"/>
    <mergeCell ref="AD716:AG716"/>
    <mergeCell ref="AD717:AG717"/>
    <mergeCell ref="AD718:AG718"/>
    <mergeCell ref="AD720:AG720"/>
    <mergeCell ref="AD721:AG721"/>
    <mergeCell ref="Y725:AB725"/>
    <mergeCell ref="Y726:AB726"/>
    <mergeCell ref="J740:M740"/>
    <mergeCell ref="J741:M741"/>
    <mergeCell ref="O741:R741"/>
    <mergeCell ref="Y741:AB741"/>
    <mergeCell ref="AD741:AG741"/>
    <mergeCell ref="AD574:AG574"/>
    <mergeCell ref="AD575:AG575"/>
    <mergeCell ref="AD566:AG566"/>
    <mergeCell ref="AD567:AG567"/>
    <mergeCell ref="AD568:AG568"/>
    <mergeCell ref="AD570:AG570"/>
    <mergeCell ref="AD571:AG571"/>
    <mergeCell ref="AD572:AG572"/>
    <mergeCell ref="AD573:AG573"/>
    <mergeCell ref="T576:W576"/>
    <mergeCell ref="Y576:AB576"/>
    <mergeCell ref="S565:S576"/>
    <mergeCell ref="X565:X576"/>
    <mergeCell ref="AC565:AC576"/>
    <mergeCell ref="T566:W566"/>
    <mergeCell ref="Y566:AB566"/>
    <mergeCell ref="T567:W567"/>
    <mergeCell ref="T568:W568"/>
    <mergeCell ref="J544:M544"/>
    <mergeCell ref="O544:R544"/>
    <mergeCell ref="J545:M545"/>
    <mergeCell ref="O545:R545"/>
    <mergeCell ref="J546:L546"/>
    <mergeCell ref="O546:Q546"/>
    <mergeCell ref="O547:Q547"/>
    <mergeCell ref="O548:Q548"/>
    <mergeCell ref="O549:Q549"/>
    <mergeCell ref="O550:Q550"/>
    <mergeCell ref="O552:Q552"/>
    <mergeCell ref="O559:Q559"/>
    <mergeCell ref="E561:R562"/>
    <mergeCell ref="W561:Z561"/>
    <mergeCell ref="W562:Z562"/>
    <mergeCell ref="J566:M566"/>
    <mergeCell ref="J567:M567"/>
    <mergeCell ref="S561:V561"/>
    <mergeCell ref="S562:V562"/>
    <mergeCell ref="E564:AG564"/>
    <mergeCell ref="J565:M565"/>
    <mergeCell ref="T565:W565"/>
    <mergeCell ref="Y565:AB565"/>
    <mergeCell ref="AD565:AG565"/>
    <mergeCell ref="O573:R573"/>
    <mergeCell ref="O574:R574"/>
    <mergeCell ref="O575:R575"/>
    <mergeCell ref="O576:R576"/>
    <mergeCell ref="AD576:AG576"/>
    <mergeCell ref="O565:R565"/>
    <mergeCell ref="O566:R566"/>
    <mergeCell ref="O567:R567"/>
    <mergeCell ref="O568:R568"/>
    <mergeCell ref="O570:R570"/>
    <mergeCell ref="O571:R571"/>
    <mergeCell ref="O572:R572"/>
    <mergeCell ref="J571:M571"/>
    <mergeCell ref="J572:M572"/>
    <mergeCell ref="E588:R589"/>
    <mergeCell ref="S588:V588"/>
    <mergeCell ref="W588:Z588"/>
    <mergeCell ref="S589:V589"/>
    <mergeCell ref="W589:Z589"/>
    <mergeCell ref="J622:M622"/>
    <mergeCell ref="O622:R622"/>
    <mergeCell ref="J626:L626"/>
    <mergeCell ref="O626:Q626"/>
    <mergeCell ref="J627:L627"/>
    <mergeCell ref="O627:Q627"/>
    <mergeCell ref="J605:L605"/>
    <mergeCell ref="J612:L612"/>
    <mergeCell ref="N616:N627"/>
    <mergeCell ref="S616:S627"/>
    <mergeCell ref="J617:M617"/>
    <mergeCell ref="O617:R617"/>
    <mergeCell ref="O618:R618"/>
    <mergeCell ref="E591:AG591"/>
    <mergeCell ref="J592:M592"/>
    <mergeCell ref="O592:R592"/>
    <mergeCell ref="T592:W592"/>
    <mergeCell ref="Y592:AB592"/>
    <mergeCell ref="AD592:AG592"/>
    <mergeCell ref="AD593:AG593"/>
    <mergeCell ref="AD594:AG594"/>
    <mergeCell ref="AD595:AG595"/>
    <mergeCell ref="AD597:AG597"/>
    <mergeCell ref="AD598:AG598"/>
    <mergeCell ref="AD599:AG599"/>
    <mergeCell ref="AD600:AG600"/>
    <mergeCell ref="AD601:AG601"/>
    <mergeCell ref="AD602:AG602"/>
    <mergeCell ref="AD603:AG603"/>
    <mergeCell ref="E615:AG615"/>
    <mergeCell ref="J616:M616"/>
    <mergeCell ref="O616:R616"/>
    <mergeCell ref="T616:W616"/>
    <mergeCell ref="Y616:AB616"/>
    <mergeCell ref="AD616:AG616"/>
    <mergeCell ref="AD617:AG617"/>
    <mergeCell ref="AD618:AG618"/>
    <mergeCell ref="AD619:AG619"/>
    <mergeCell ref="AD621:AG621"/>
    <mergeCell ref="AD622:AG622"/>
    <mergeCell ref="AD623:AG623"/>
    <mergeCell ref="AD624:AG624"/>
    <mergeCell ref="AD625:AG625"/>
    <mergeCell ref="AD626:AG626"/>
    <mergeCell ref="AD627:AG627"/>
    <mergeCell ref="E640:AG640"/>
    <mergeCell ref="J641:M641"/>
    <mergeCell ref="T641:W641"/>
    <mergeCell ref="Y641:AB641"/>
    <mergeCell ref="AD641:AG641"/>
    <mergeCell ref="AD642:AG642"/>
    <mergeCell ref="AD643:AG643"/>
    <mergeCell ref="AD644:AG644"/>
    <mergeCell ref="AD646:AG646"/>
    <mergeCell ref="AD647:AG647"/>
    <mergeCell ref="AD648:AG648"/>
    <mergeCell ref="AD649:AG649"/>
    <mergeCell ref="AD650:AG650"/>
    <mergeCell ref="AD651:AG651"/>
    <mergeCell ref="AD652:AG652"/>
    <mergeCell ref="E665:AG665"/>
    <mergeCell ref="J666:M666"/>
    <mergeCell ref="AD666:AG666"/>
    <mergeCell ref="Y647:AB647"/>
    <mergeCell ref="Y648:AB648"/>
    <mergeCell ref="Y649:AB649"/>
    <mergeCell ref="Y650:AB650"/>
    <mergeCell ref="Y651:AB651"/>
    <mergeCell ref="Y652:AB652"/>
    <mergeCell ref="Y625:AB625"/>
    <mergeCell ref="Y626:AB626"/>
    <mergeCell ref="AC641:AC652"/>
    <mergeCell ref="Y642:AB642"/>
    <mergeCell ref="Y643:AB643"/>
    <mergeCell ref="Y644:AB644"/>
    <mergeCell ref="Y646:AB646"/>
    <mergeCell ref="Y675:AB675"/>
    <mergeCell ref="Y676:AB676"/>
    <mergeCell ref="AC666:AC677"/>
    <mergeCell ref="Y667:AB667"/>
    <mergeCell ref="Y668:AB668"/>
    <mergeCell ref="Y671:AB671"/>
    <mergeCell ref="Y672:AB672"/>
    <mergeCell ref="Y673:AA673"/>
    <mergeCell ref="Y674:AA674"/>
    <mergeCell ref="Y696:AB696"/>
    <mergeCell ref="Y697:AB697"/>
    <mergeCell ref="Y698:AB698"/>
    <mergeCell ref="Y699:AB699"/>
    <mergeCell ref="Y700:AB700"/>
    <mergeCell ref="Y701:AB701"/>
    <mergeCell ref="AC691:AC702"/>
    <mergeCell ref="AC715:AC726"/>
    <mergeCell ref="AC740:AC751"/>
    <mergeCell ref="Y677:AB677"/>
    <mergeCell ref="Y679:AA679"/>
    <mergeCell ref="Y686:AA686"/>
    <mergeCell ref="Y692:AB692"/>
    <mergeCell ref="Y693:AB693"/>
    <mergeCell ref="Y694:AB694"/>
    <mergeCell ref="Y702:AB702"/>
    <mergeCell ref="Y716:AB716"/>
    <mergeCell ref="Y717:AB717"/>
    <mergeCell ref="Y718:AB718"/>
    <mergeCell ref="Y720:AB720"/>
    <mergeCell ref="Y721:AB721"/>
    <mergeCell ref="Y722:AB722"/>
    <mergeCell ref="Y723:AB723"/>
    <mergeCell ref="Y724:AB724"/>
    <mergeCell ref="J742:M742"/>
    <mergeCell ref="O742:R742"/>
    <mergeCell ref="Y742:AB742"/>
    <mergeCell ref="AD742:AG742"/>
    <mergeCell ref="Y743:AB743"/>
    <mergeCell ref="AD743:AG743"/>
    <mergeCell ref="AD745:AG745"/>
    <mergeCell ref="AD746:AG746"/>
    <mergeCell ref="AD747:AG747"/>
    <mergeCell ref="AD748:AG748"/>
    <mergeCell ref="AD749:AG749"/>
    <mergeCell ref="AD750:AG750"/>
    <mergeCell ref="AD751:AG751"/>
    <mergeCell ref="Y843:AB843"/>
    <mergeCell ref="T844:W844"/>
    <mergeCell ref="Y844:AB844"/>
    <mergeCell ref="T846:V846"/>
    <mergeCell ref="Y846:AA846"/>
    <mergeCell ref="T847:V847"/>
    <mergeCell ref="Y847:AA847"/>
    <mergeCell ref="T848:V848"/>
    <mergeCell ref="Y848:AA848"/>
    <mergeCell ref="T827:V827"/>
    <mergeCell ref="T838:W838"/>
    <mergeCell ref="X838:X849"/>
    <mergeCell ref="AC838:AC849"/>
    <mergeCell ref="T839:W839"/>
    <mergeCell ref="Y839:AB839"/>
    <mergeCell ref="Y840:AB840"/>
    <mergeCell ref="T861:W861"/>
    <mergeCell ref="Y861:AB861"/>
    <mergeCell ref="Y862:AB862"/>
    <mergeCell ref="T863:W863"/>
    <mergeCell ref="Y863:AB863"/>
    <mergeCell ref="T866:W866"/>
    <mergeCell ref="Y866:AB866"/>
    <mergeCell ref="T849:V849"/>
    <mergeCell ref="Y849:AA849"/>
    <mergeCell ref="T851:V851"/>
    <mergeCell ref="Y851:AA851"/>
    <mergeCell ref="Y858:AA858"/>
    <mergeCell ref="X861:X872"/>
    <mergeCell ref="AC861:AC872"/>
    <mergeCell ref="T858:V858"/>
    <mergeCell ref="T862:W862"/>
    <mergeCell ref="T867:W867"/>
    <mergeCell ref="Y867:AB867"/>
    <mergeCell ref="T868:V868"/>
    <mergeCell ref="Y868:AA868"/>
    <mergeCell ref="T869:V869"/>
    <mergeCell ref="Y869:AA869"/>
    <mergeCell ref="T870:V870"/>
    <mergeCell ref="Y870:AA870"/>
    <mergeCell ref="T871:V871"/>
    <mergeCell ref="Y871:AA871"/>
    <mergeCell ref="T872:V872"/>
    <mergeCell ref="Y872:AA872"/>
    <mergeCell ref="O862:R862"/>
    <mergeCell ref="J863:M863"/>
    <mergeCell ref="O863:R863"/>
    <mergeCell ref="J866:M866"/>
    <mergeCell ref="O866:R866"/>
    <mergeCell ref="J867:M867"/>
    <mergeCell ref="O867:R867"/>
    <mergeCell ref="J868:L868"/>
    <mergeCell ref="O868:Q868"/>
    <mergeCell ref="J869:L869"/>
    <mergeCell ref="O869:Q869"/>
    <mergeCell ref="J870:L870"/>
    <mergeCell ref="O870:Q870"/>
    <mergeCell ref="J884:M884"/>
    <mergeCell ref="O884:R884"/>
    <mergeCell ref="T881:V881"/>
    <mergeCell ref="T884:W884"/>
    <mergeCell ref="Y884:AB884"/>
    <mergeCell ref="AD884:AG884"/>
    <mergeCell ref="AD885:AG885"/>
    <mergeCell ref="AD886:AG886"/>
    <mergeCell ref="AD887:AG887"/>
    <mergeCell ref="X884:X895"/>
    <mergeCell ref="AC884:AC895"/>
    <mergeCell ref="Y885:AB885"/>
    <mergeCell ref="Y886:AB886"/>
    <mergeCell ref="Y889:AB889"/>
    <mergeCell ref="Y890:AB890"/>
    <mergeCell ref="Y895:AA895"/>
    <mergeCell ref="J885:M885"/>
    <mergeCell ref="O885:R885"/>
    <mergeCell ref="T885:W885"/>
    <mergeCell ref="T886:W886"/>
    <mergeCell ref="J889:M889"/>
    <mergeCell ref="O889:R889"/>
    <mergeCell ref="AD889:AG889"/>
    <mergeCell ref="T889:W889"/>
    <mergeCell ref="J890:M890"/>
    <mergeCell ref="O890:R890"/>
    <mergeCell ref="T890:W890"/>
    <mergeCell ref="AD890:AG890"/>
    <mergeCell ref="O895:Q895"/>
    <mergeCell ref="T895:V895"/>
    <mergeCell ref="J891:L891"/>
    <mergeCell ref="O891:Q891"/>
    <mergeCell ref="AD891:AG891"/>
    <mergeCell ref="AD892:AG892"/>
    <mergeCell ref="AD893:AG893"/>
    <mergeCell ref="AD894:AG894"/>
    <mergeCell ref="J895:L895"/>
    <mergeCell ref="AD895:AG895"/>
    <mergeCell ref="T891:V891"/>
    <mergeCell ref="Y891:AA891"/>
    <mergeCell ref="J892:L892"/>
    <mergeCell ref="O892:Q892"/>
    <mergeCell ref="T892:V892"/>
    <mergeCell ref="Y892:AA892"/>
    <mergeCell ref="J893:L893"/>
    <mergeCell ref="O893:Q893"/>
    <mergeCell ref="T893:V893"/>
    <mergeCell ref="Y893:AA893"/>
    <mergeCell ref="J894:L894"/>
    <mergeCell ref="O894:Q894"/>
    <mergeCell ref="T894:V894"/>
    <mergeCell ref="Y894:AA894"/>
    <mergeCell ref="K910:L910"/>
    <mergeCell ref="U910:V910"/>
    <mergeCell ref="J912:M912"/>
    <mergeCell ref="O912:R912"/>
    <mergeCell ref="T912:W912"/>
    <mergeCell ref="J913:M913"/>
    <mergeCell ref="O913:R913"/>
    <mergeCell ref="T913:W913"/>
    <mergeCell ref="J914:L914"/>
    <mergeCell ref="O914:Q914"/>
    <mergeCell ref="T914:V914"/>
    <mergeCell ref="Y914:AA914"/>
    <mergeCell ref="J915:L915"/>
    <mergeCell ref="O915:Q915"/>
    <mergeCell ref="T915:V915"/>
    <mergeCell ref="Y915:AA915"/>
    <mergeCell ref="X907:X918"/>
    <mergeCell ref="AC907:AC918"/>
    <mergeCell ref="Y908:AB908"/>
    <mergeCell ref="Y909:AB909"/>
    <mergeCell ref="Y912:AB912"/>
    <mergeCell ref="Y913:AB913"/>
    <mergeCell ref="Y916:AA916"/>
    <mergeCell ref="AD936:AG936"/>
    <mergeCell ref="AD937:AG937"/>
    <mergeCell ref="AD938:AG938"/>
    <mergeCell ref="AD939:AG939"/>
    <mergeCell ref="AD940:AG940"/>
    <mergeCell ref="AD941:AG941"/>
    <mergeCell ref="Y917:AA917"/>
    <mergeCell ref="Y918:AA918"/>
    <mergeCell ref="AD930:AG930"/>
    <mergeCell ref="AD931:AG931"/>
    <mergeCell ref="AD932:AG932"/>
    <mergeCell ref="AD933:AG933"/>
    <mergeCell ref="AD935:AG935"/>
    <mergeCell ref="J897:L897"/>
    <mergeCell ref="O897:Q897"/>
    <mergeCell ref="T897:V897"/>
    <mergeCell ref="Y897:AA897"/>
    <mergeCell ref="J907:M907"/>
    <mergeCell ref="O907:R907"/>
    <mergeCell ref="Y907:AB907"/>
    <mergeCell ref="AD907:AG907"/>
    <mergeCell ref="T904:V904"/>
    <mergeCell ref="T907:W907"/>
    <mergeCell ref="J908:M908"/>
    <mergeCell ref="O908:R908"/>
    <mergeCell ref="AD908:AG908"/>
    <mergeCell ref="J904:L904"/>
    <mergeCell ref="J909:M909"/>
    <mergeCell ref="J916:L916"/>
    <mergeCell ref="O916:Q916"/>
    <mergeCell ref="J917:L917"/>
    <mergeCell ref="O917:Q917"/>
    <mergeCell ref="J918:L918"/>
    <mergeCell ref="O918:Q918"/>
    <mergeCell ref="AD915:AG915"/>
    <mergeCell ref="T916:V916"/>
    <mergeCell ref="AD916:AG916"/>
    <mergeCell ref="T917:V917"/>
    <mergeCell ref="AD917:AG917"/>
    <mergeCell ref="T918:V918"/>
    <mergeCell ref="AD918:AG918"/>
    <mergeCell ref="T908:W908"/>
    <mergeCell ref="T909:W909"/>
    <mergeCell ref="AD909:AG909"/>
    <mergeCell ref="AD910:AG910"/>
    <mergeCell ref="AD912:AG912"/>
    <mergeCell ref="AD913:AG913"/>
    <mergeCell ref="AD914:AG914"/>
    <mergeCell ref="J871:L871"/>
    <mergeCell ref="O871:Q871"/>
    <mergeCell ref="O881:Q881"/>
    <mergeCell ref="Y881:AA881"/>
    <mergeCell ref="N884:N895"/>
    <mergeCell ref="S884:S895"/>
    <mergeCell ref="O886:R886"/>
    <mergeCell ref="J881:L881"/>
    <mergeCell ref="J886:M886"/>
    <mergeCell ref="O904:Q904"/>
    <mergeCell ref="Y904:AA904"/>
    <mergeCell ref="N907:N918"/>
    <mergeCell ref="S907:S918"/>
    <mergeCell ref="O909:R909"/>
    <mergeCell ref="O930:R930"/>
    <mergeCell ref="T930:W930"/>
    <mergeCell ref="Y930:AB930"/>
    <mergeCell ref="J920:L920"/>
    <mergeCell ref="O920:Q920"/>
    <mergeCell ref="T920:V920"/>
    <mergeCell ref="Y920:AA920"/>
    <mergeCell ref="O927:Q927"/>
    <mergeCell ref="T927:V927"/>
    <mergeCell ref="Y927:AA927"/>
    <mergeCell ref="O931:R931"/>
    <mergeCell ref="T931:W931"/>
    <mergeCell ref="J931:M931"/>
    <mergeCell ref="J932:M932"/>
    <mergeCell ref="O932:R932"/>
    <mergeCell ref="T932:W932"/>
  </mergeCells>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0" priority="1" operator="between">
      <formula>1</formula>
      <formula>95</formula>
    </cfRule>
  </conditionalFormatting>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1" priority="2" operator="between">
      <formula>96</formula>
      <formula>195</formula>
    </cfRule>
  </conditionalFormatting>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2" priority="3" operator="between">
      <formula>196</formula>
      <formula>260</formula>
    </cfRule>
  </conditionalFormatting>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3" priority="4" operator="between">
      <formula>261</formula>
      <formula>299</formula>
    </cfRule>
  </conditionalFormatting>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4" priority="5" operator="between">
      <formula>300</formula>
      <formula>350</formula>
    </cfRule>
  </conditionalFormatting>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5" priority="6" operator="between">
      <formula>351</formula>
      <formula>450</formula>
    </cfRule>
  </conditionalFormatting>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6" priority="7" operator="between">
      <formula>451</formula>
      <formula>1000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58E5"/>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5171"/>
      <c r="B1" s="5172"/>
      <c r="C1" s="5172"/>
      <c r="D1" s="5172"/>
      <c r="E1" s="5172"/>
      <c r="F1" s="5172"/>
      <c r="G1" s="5172"/>
      <c r="H1" s="5172"/>
      <c r="I1" s="5172"/>
      <c r="J1" s="5172"/>
      <c r="K1" s="5172"/>
      <c r="L1" s="5172"/>
      <c r="M1" s="5172"/>
      <c r="N1" s="5172"/>
      <c r="O1" s="5172"/>
      <c r="P1" s="5172"/>
      <c r="Q1" s="5172"/>
      <c r="R1" s="5172"/>
      <c r="S1" s="5172"/>
      <c r="T1" s="5172"/>
      <c r="U1" s="5172"/>
      <c r="V1" s="5172"/>
      <c r="W1" s="5172"/>
      <c r="X1" s="5172"/>
      <c r="Y1" s="5172"/>
      <c r="Z1" s="5172"/>
      <c r="AA1" s="5172"/>
      <c r="AB1" s="5172"/>
      <c r="AC1" s="5172"/>
      <c r="AD1" s="5172"/>
      <c r="AE1" s="5172"/>
      <c r="AF1" s="5172"/>
      <c r="AG1" s="5172"/>
      <c r="AH1" s="5172"/>
      <c r="AI1" s="5171"/>
    </row>
    <row r="2" ht="7.5" customHeight="1">
      <c r="A2" s="3361"/>
      <c r="B2" s="5173"/>
      <c r="C2" s="5174"/>
      <c r="D2" s="5175"/>
      <c r="E2" s="5176"/>
      <c r="F2" s="5176"/>
      <c r="G2" s="5176"/>
      <c r="H2" s="5176"/>
      <c r="I2" s="5175"/>
      <c r="J2" s="5176"/>
      <c r="K2" s="5176"/>
      <c r="L2" s="5176"/>
      <c r="M2" s="5176"/>
      <c r="N2" s="5175"/>
      <c r="O2" s="5176"/>
      <c r="P2" s="5176"/>
      <c r="Q2" s="5176"/>
      <c r="R2" s="5176"/>
      <c r="S2" s="5175"/>
      <c r="T2" s="5176"/>
      <c r="U2" s="5176"/>
      <c r="V2" s="5176"/>
      <c r="W2" s="5176"/>
      <c r="X2" s="5175"/>
      <c r="Y2" s="5176"/>
      <c r="Z2" s="5176"/>
      <c r="AA2" s="5176"/>
      <c r="AB2" s="5176"/>
      <c r="AC2" s="5175"/>
      <c r="AD2" s="5176"/>
      <c r="AE2" s="5176"/>
      <c r="AF2" s="5176"/>
      <c r="AG2" s="5176"/>
      <c r="AH2" s="5177"/>
      <c r="AI2" s="3367"/>
    </row>
    <row r="3" ht="96.75" customHeight="1">
      <c r="A3" s="3368"/>
      <c r="B3" s="3496"/>
      <c r="C3" s="3497" t="str">
        <f>IMAGE("https://i.ibb.co/TKBZjnF/Ace-Trainer-M.png")</f>
        <v/>
      </c>
      <c r="D3" s="3498"/>
      <c r="E3" s="3499" t="str">
        <f t="array" ref="E3">IFERROR(VLOOKUP(E4,Dex!$B$3:$G244,3,FALSE),"")</f>
        <v/>
      </c>
      <c r="F3" s="381"/>
      <c r="G3" s="381"/>
      <c r="H3" s="2531"/>
      <c r="I3" s="5178"/>
      <c r="J3" s="3499" t="str">
        <f t="array" ref="J3">IFERROR(VLOOKUP(J4,Dex!$B$3:$G244,3,FALSE),"")</f>
        <v/>
      </c>
      <c r="K3" s="381"/>
      <c r="L3" s="381"/>
      <c r="M3" s="2531"/>
      <c r="N3" s="5179"/>
      <c r="O3" s="3499" t="str">
        <f t="array" ref="O3">IFERROR(VLOOKUP(O4,Dex!$B$3:$G244,3,FALSE),"")</f>
        <v/>
      </c>
      <c r="P3" s="381"/>
      <c r="Q3" s="381"/>
      <c r="R3" s="2531"/>
      <c r="S3" s="5180"/>
      <c r="T3" s="3499" t="str">
        <f t="array" ref="T3">IFERROR(VLOOKUP(T4,Dex!$B$3:$G244,3,FALSE),"")</f>
        <v/>
      </c>
      <c r="U3" s="381"/>
      <c r="V3" s="381"/>
      <c r="W3" s="2531"/>
      <c r="X3" s="5179"/>
      <c r="Y3" s="3499" t="str">
        <f t="array" ref="Y3">IFERROR(VLOOKUP(Y4,Dex!$B$3:$G244,3,FALSE),"")</f>
        <v/>
      </c>
      <c r="Z3" s="381"/>
      <c r="AA3" s="381"/>
      <c r="AB3" s="2531"/>
      <c r="AC3" s="5180"/>
      <c r="AD3" s="3499" t="str">
        <f t="array" ref="AD3">IFERROR(VLOOKUP(AD4,Dex!$B$3:$G244,3,FALSE),"")</f>
        <v/>
      </c>
      <c r="AE3" s="381"/>
      <c r="AF3" s="381"/>
      <c r="AG3" s="2531"/>
      <c r="AH3" s="5181"/>
      <c r="AI3" s="3380"/>
    </row>
    <row r="4" ht="18.75" customHeight="1">
      <c r="A4" s="3381"/>
      <c r="B4" s="3508"/>
      <c r="C4" s="3509" t="s">
        <v>1319</v>
      </c>
      <c r="D4" s="3510"/>
      <c r="E4" s="5129" t="s">
        <v>1096</v>
      </c>
      <c r="F4" s="3512"/>
      <c r="G4" s="3512"/>
      <c r="H4" s="5130"/>
      <c r="J4" s="5129" t="s">
        <v>1320</v>
      </c>
      <c r="K4" s="3512"/>
      <c r="L4" s="3512"/>
      <c r="M4" s="5130"/>
      <c r="O4" s="5129" t="s">
        <v>867</v>
      </c>
      <c r="P4" s="3512"/>
      <c r="Q4" s="3512"/>
      <c r="R4" s="5130"/>
      <c r="T4" s="5129" t="s">
        <v>445</v>
      </c>
      <c r="U4" s="3512"/>
      <c r="V4" s="3512"/>
      <c r="W4" s="5130"/>
      <c r="Y4" s="5129" t="s">
        <v>1321</v>
      </c>
      <c r="Z4" s="3512"/>
      <c r="AA4" s="3512"/>
      <c r="AB4" s="5130"/>
      <c r="AD4" s="5129" t="s">
        <v>1243</v>
      </c>
      <c r="AE4" s="3512"/>
      <c r="AF4" s="3512"/>
      <c r="AG4" s="5130"/>
      <c r="AH4" s="5182"/>
      <c r="AI4" s="3393"/>
    </row>
    <row r="5">
      <c r="A5" s="3394"/>
      <c r="B5" s="3518"/>
      <c r="C5" s="1481"/>
      <c r="D5" s="3519"/>
      <c r="E5" s="3520" t="s">
        <v>420</v>
      </c>
      <c r="F5" s="3521"/>
      <c r="G5" s="3521"/>
      <c r="H5" s="3522"/>
      <c r="J5" s="3520" t="s">
        <v>420</v>
      </c>
      <c r="K5" s="3521"/>
      <c r="L5" s="3521"/>
      <c r="M5" s="3522"/>
      <c r="O5" s="3520" t="s">
        <v>420</v>
      </c>
      <c r="P5" s="3521"/>
      <c r="Q5" s="3521"/>
      <c r="R5" s="3522"/>
      <c r="T5" s="3520" t="s">
        <v>420</v>
      </c>
      <c r="U5" s="3521"/>
      <c r="V5" s="3521"/>
      <c r="W5" s="3522"/>
      <c r="Y5" s="3520" t="s">
        <v>420</v>
      </c>
      <c r="Z5" s="3521"/>
      <c r="AA5" s="3521"/>
      <c r="AB5" s="3522"/>
      <c r="AD5" s="3520" t="s">
        <v>420</v>
      </c>
      <c r="AE5" s="3521"/>
      <c r="AF5" s="3521"/>
      <c r="AG5" s="3522"/>
      <c r="AH5" s="5183"/>
      <c r="AI5" s="3402"/>
    </row>
    <row r="6" ht="25.5" customHeight="1">
      <c r="A6" s="3368"/>
      <c r="B6" s="3496"/>
      <c r="C6" s="1489"/>
      <c r="D6" s="3498"/>
      <c r="E6" s="5133"/>
      <c r="F6" s="5134" t="str">
        <f t="array" ref="F6">IFERROR(VLOOKUP(E4,Dex!$B$3:$H244,5,FALSE),"")</f>
        <v/>
      </c>
      <c r="G6" s="5135" t="str">
        <f t="array" ref="G6">IFERROR(VLOOKUP(E4,Dex!$B$3:$H244,7,FALSE),"")</f>
        <v/>
      </c>
      <c r="H6" s="5136"/>
      <c r="J6" s="5133"/>
      <c r="K6" s="5134" t="str">
        <f t="array" ref="K6">IFERROR(VLOOKUP(J4,Dex!$B$3:$H244,5,FALSE),"")</f>
        <v/>
      </c>
      <c r="L6" s="5135" t="str">
        <f t="array" ref="L6">IFERROR(VLOOKUP(J4,Dex!$B$3:$H244,7,FALSE),"")</f>
        <v/>
      </c>
      <c r="M6" s="5136"/>
      <c r="O6" s="5133"/>
      <c r="P6" s="5134" t="str">
        <f t="array" ref="P6">IFERROR(VLOOKUP(O4,Dex!$B$3:$H244,5,FALSE),"")</f>
        <v/>
      </c>
      <c r="Q6" s="5135" t="str">
        <f t="array" ref="Q6">IFERROR(VLOOKUP(O4,Dex!$B$3:$H244,7,FALSE),"")</f>
        <v/>
      </c>
      <c r="R6" s="5136"/>
      <c r="T6" s="5133"/>
      <c r="U6" s="5134" t="str">
        <f t="array" ref="U6">IFERROR(VLOOKUP(T4,Dex!$B$3:$H244,5,FALSE),"")</f>
        <v/>
      </c>
      <c r="V6" s="5135" t="str">
        <f t="array" ref="V6">IFERROR(VLOOKUP(T4,Dex!$B$3:$H244,7,FALSE),"")</f>
        <v/>
      </c>
      <c r="W6" s="5136"/>
      <c r="Y6" s="5133"/>
      <c r="Z6" s="5134" t="str">
        <f t="array" ref="Z6">IFERROR(VLOOKUP(Y4,Dex!$B$3:$H244,5,FALSE),"")</f>
        <v/>
      </c>
      <c r="AA6" s="5135" t="str">
        <f t="array" ref="AA6">IFERROR(VLOOKUP(Y4,Dex!$B$3:$H244,7,FALSE),"")</f>
        <v/>
      </c>
      <c r="AB6" s="5136"/>
      <c r="AD6" s="5133"/>
      <c r="AE6" s="5134" t="str">
        <f t="array" ref="AE6">IFERROR(VLOOKUP(AD4,Dex!$B$3:$H244,5,FALSE),"")</f>
        <v/>
      </c>
      <c r="AF6" s="5135" t="str">
        <f t="array" ref="AF6">IFERROR(VLOOKUP(AD4,Dex!$B$3:$H244,7,FALSE),"")</f>
        <v/>
      </c>
      <c r="AG6" s="5136"/>
      <c r="AH6" s="3507"/>
      <c r="AI6" s="3380"/>
    </row>
    <row r="7" ht="2.25" customHeight="1">
      <c r="A7" s="3368"/>
      <c r="B7" s="3496"/>
      <c r="C7" s="3529"/>
      <c r="D7" s="3498"/>
      <c r="E7" s="5137"/>
      <c r="F7" s="5138"/>
      <c r="G7" s="5138"/>
      <c r="H7" s="5139"/>
      <c r="J7" s="5137"/>
      <c r="K7" s="5138"/>
      <c r="L7" s="5138"/>
      <c r="M7" s="5139"/>
      <c r="O7" s="5137"/>
      <c r="P7" s="5138"/>
      <c r="Q7" s="5138"/>
      <c r="R7" s="5139"/>
      <c r="T7" s="5137"/>
      <c r="U7" s="5138"/>
      <c r="V7" s="5138"/>
      <c r="W7" s="5139"/>
      <c r="Y7" s="5137"/>
      <c r="Z7" s="5138"/>
      <c r="AA7" s="5138"/>
      <c r="AB7" s="5139"/>
      <c r="AD7" s="5137"/>
      <c r="AE7" s="5138"/>
      <c r="AF7" s="5138"/>
      <c r="AG7" s="5139"/>
      <c r="AH7" s="3507"/>
      <c r="AI7" s="3380"/>
    </row>
    <row r="8" ht="20.25" customHeight="1">
      <c r="A8" s="3368"/>
      <c r="B8" s="3496"/>
      <c r="C8" s="3529"/>
      <c r="D8" s="3498"/>
      <c r="E8" s="3534" t="s">
        <v>205</v>
      </c>
      <c r="F8" s="3535"/>
      <c r="G8" s="3535"/>
      <c r="H8" s="3536"/>
      <c r="I8" s="5184"/>
      <c r="J8" s="3534" t="s">
        <v>172</v>
      </c>
      <c r="K8" s="3535"/>
      <c r="L8" s="3535"/>
      <c r="M8" s="3536"/>
      <c r="N8" s="5185"/>
      <c r="O8" s="3534" t="s">
        <v>206</v>
      </c>
      <c r="P8" s="3535"/>
      <c r="Q8" s="3535"/>
      <c r="R8" s="3536"/>
      <c r="S8" s="5186"/>
      <c r="T8" s="3534" t="s">
        <v>531</v>
      </c>
      <c r="U8" s="3535"/>
      <c r="V8" s="3535"/>
      <c r="W8" s="3536"/>
      <c r="X8" s="5185"/>
      <c r="Y8" s="3534" t="s">
        <v>231</v>
      </c>
      <c r="Z8" s="3535"/>
      <c r="AA8" s="3535"/>
      <c r="AB8" s="3536"/>
      <c r="AC8" s="5186"/>
      <c r="AD8" s="3534" t="s">
        <v>169</v>
      </c>
      <c r="AE8" s="3535"/>
      <c r="AF8" s="3535"/>
      <c r="AG8" s="3536"/>
      <c r="AH8" s="5181"/>
      <c r="AI8" s="3380"/>
    </row>
    <row r="9">
      <c r="A9" s="3368"/>
      <c r="B9" s="3496"/>
      <c r="C9" s="3537"/>
      <c r="D9" s="3498"/>
      <c r="E9" s="3538" t="s">
        <v>677</v>
      </c>
      <c r="F9" s="3503"/>
      <c r="G9" s="3503"/>
      <c r="H9" s="3539"/>
      <c r="I9" s="5184"/>
      <c r="J9" s="3538" t="s">
        <v>424</v>
      </c>
      <c r="K9" s="3503"/>
      <c r="L9" s="3503"/>
      <c r="M9" s="3539"/>
      <c r="N9" s="5185"/>
      <c r="O9" s="3538" t="s">
        <v>1322</v>
      </c>
      <c r="P9" s="3503"/>
      <c r="Q9" s="3503"/>
      <c r="R9" s="3539"/>
      <c r="S9" s="5186"/>
      <c r="T9" s="3538" t="s">
        <v>450</v>
      </c>
      <c r="U9" s="3503"/>
      <c r="V9" s="3503"/>
      <c r="W9" s="3539"/>
      <c r="X9" s="5185"/>
      <c r="Y9" s="3538" t="s">
        <v>1069</v>
      </c>
      <c r="Z9" s="3503"/>
      <c r="AA9" s="3503"/>
      <c r="AB9" s="3539"/>
      <c r="AC9" s="5186"/>
      <c r="AD9" s="3538" t="s">
        <v>1323</v>
      </c>
      <c r="AE9" s="3503"/>
      <c r="AF9" s="3503"/>
      <c r="AG9" s="3539"/>
      <c r="AH9" s="5181"/>
      <c r="AI9" s="3380"/>
    </row>
    <row r="10" ht="20.25" customHeight="1">
      <c r="A10" s="3368"/>
      <c r="B10" s="3496"/>
      <c r="C10" s="3516"/>
      <c r="D10" s="3498"/>
      <c r="E10" s="3540" t="s">
        <v>240</v>
      </c>
      <c r="F10" s="3541"/>
      <c r="G10" s="3542"/>
      <c r="H10" s="3543" t="str">
        <f>IMAGE("https://raw.githubusercontent.com/msikma/pokesprite/master/items/hold-item/focus-sash.png",3)</f>
        <v/>
      </c>
      <c r="I10" s="5184"/>
      <c r="J10" s="3540" t="s">
        <v>239</v>
      </c>
      <c r="K10" s="3541"/>
      <c r="L10" s="3542"/>
      <c r="M10" s="3543" t="str">
        <f>IMAGE("https://raw.githubusercontent.com/msikma/pokesprite/master/items/berry/shuca.png",3)</f>
        <v/>
      </c>
      <c r="N10" s="5185"/>
      <c r="O10" s="3540" t="s">
        <v>454</v>
      </c>
      <c r="P10" s="3541"/>
      <c r="Q10" s="3542"/>
      <c r="R10" s="3543" t="str">
        <f>IMAGE("https://raw.githubusercontent.com/msikma/pokesprite/master/items/hold-item/rocky-helmet.png",3)</f>
        <v/>
      </c>
      <c r="S10" s="5186"/>
      <c r="T10" s="3540" t="s">
        <v>454</v>
      </c>
      <c r="U10" s="3541"/>
      <c r="V10" s="3542"/>
      <c r="W10" s="3543" t="str">
        <f>IMAGE("https://raw.githubusercontent.com/msikma/pokesprite/master/items/hold-item/rocky-helmet.png",3)</f>
        <v/>
      </c>
      <c r="X10" s="5185"/>
      <c r="Y10" s="3540" t="s">
        <v>454</v>
      </c>
      <c r="Z10" s="3541"/>
      <c r="AA10" s="3542"/>
      <c r="AB10" s="3543" t="str">
        <f>IMAGE("https://raw.githubusercontent.com/msikma/pokesprite/master/items/hold-item/rocky-helmet.png",3)</f>
        <v/>
      </c>
      <c r="AC10" s="5186"/>
      <c r="AD10" s="3540" t="s">
        <v>1247</v>
      </c>
      <c r="AE10" s="3541"/>
      <c r="AF10" s="3542"/>
      <c r="AG10" s="3543" t="str">
        <f>IMAGE("https://raw.githubusercontent.com/msikma/pokesprite/master/items/mega-stone/charizardite-y.png",3)</f>
        <v/>
      </c>
      <c r="AH10" s="3507"/>
      <c r="AI10" s="3380"/>
    </row>
    <row r="11" ht="20.25" customHeight="1">
      <c r="A11" s="3368"/>
      <c r="B11" s="3496"/>
      <c r="C11" s="3544"/>
      <c r="D11" s="3498"/>
      <c r="E11" s="3534" t="s">
        <v>247</v>
      </c>
      <c r="F11" s="3535"/>
      <c r="G11" s="3545"/>
      <c r="H11" s="3546" t="str">
        <f>IMAGE("https://raw.githubusercontent.com/msikma/pokesprite/master/misc/types/gen8/bug.png",4,20,20)</f>
        <v/>
      </c>
      <c r="I11" s="5184"/>
      <c r="J11" s="3534" t="s">
        <v>409</v>
      </c>
      <c r="K11" s="3535"/>
      <c r="L11" s="3545"/>
      <c r="M11" s="3546" t="str">
        <f t="shared" ref="M11:M12" si="1">IMAGE("https://raw.githubusercontent.com/msikma/pokesprite/master/misc/types/gen8/dragon.png",4,20,20)</f>
        <v/>
      </c>
      <c r="N11" s="5185"/>
      <c r="O11" s="3534" t="s">
        <v>372</v>
      </c>
      <c r="P11" s="3535"/>
      <c r="Q11" s="3545"/>
      <c r="R11" s="3546" t="str">
        <f>IMAGE("https://raw.githubusercontent.com/msikma/pokesprite/master/misc/types/gen8/fire.png",4,20,20)</f>
        <v/>
      </c>
      <c r="S11" s="5186"/>
      <c r="T11" s="3534" t="s">
        <v>252</v>
      </c>
      <c r="U11" s="3535"/>
      <c r="V11" s="3545"/>
      <c r="W11" s="3546" t="str">
        <f>IMAGE("https://raw.githubusercontent.com/msikma/pokesprite/master/misc/types/gen8/electric.png",4,20,20)</f>
        <v/>
      </c>
      <c r="X11" s="5185"/>
      <c r="Y11" s="3534" t="s">
        <v>246</v>
      </c>
      <c r="Z11" s="3535"/>
      <c r="AA11" s="3545"/>
      <c r="AB11" s="3546" t="str">
        <f>IMAGE("https://raw.githubusercontent.com/msikma/pokesprite/master/misc/types/gen8/water.png",4,20,20)</f>
        <v/>
      </c>
      <c r="AC11" s="5186"/>
      <c r="AD11" s="3534" t="s">
        <v>1153</v>
      </c>
      <c r="AE11" s="3535"/>
      <c r="AF11" s="3545"/>
      <c r="AG11" s="3546" t="str">
        <f>IMAGE("https://raw.githubusercontent.com/msikma/pokesprite/master/misc/types/gen8/fire.png",4,20,20)</f>
        <v/>
      </c>
      <c r="AH11" s="3507"/>
      <c r="AI11" s="3380"/>
    </row>
    <row r="12" ht="20.25" customHeight="1">
      <c r="A12" s="3368"/>
      <c r="B12" s="3496"/>
      <c r="C12" s="3529"/>
      <c r="D12" s="3498"/>
      <c r="E12" s="3538" t="s">
        <v>374</v>
      </c>
      <c r="F12" s="3503"/>
      <c r="G12" s="3504"/>
      <c r="H12" s="3547" t="str">
        <f>IMAGE("https://raw.githubusercontent.com/msikma/pokesprite/master/misc/types/gen8/flying.png",4,20,20)</f>
        <v/>
      </c>
      <c r="I12" s="5184"/>
      <c r="J12" s="3538" t="s">
        <v>396</v>
      </c>
      <c r="K12" s="3503"/>
      <c r="L12" s="3504"/>
      <c r="M12" s="3547" t="str">
        <f t="shared" si="1"/>
        <v/>
      </c>
      <c r="N12" s="5185"/>
      <c r="O12" s="3538" t="s">
        <v>874</v>
      </c>
      <c r="P12" s="3503"/>
      <c r="Q12" s="3504"/>
      <c r="R12" s="3547" t="str">
        <f>IMAGE("https://raw.githubusercontent.com/msikma/pokesprite/master/misc/types/gen8/fairy.png",4,20,20)</f>
        <v/>
      </c>
      <c r="S12" s="5186"/>
      <c r="T12" s="3538" t="s">
        <v>180</v>
      </c>
      <c r="U12" s="3503"/>
      <c r="V12" s="3504"/>
      <c r="W12" s="3547" t="str">
        <f>IMAGE("https://raw.githubusercontent.com/msikma/pokesprite/master/misc/types/gen8/steel.png",4,20,20)</f>
        <v/>
      </c>
      <c r="X12" s="5185"/>
      <c r="Y12" s="3538" t="s">
        <v>221</v>
      </c>
      <c r="Z12" s="3503"/>
      <c r="AA12" s="3504"/>
      <c r="AB12" s="3547" t="str">
        <f>IMAGE("https://raw.githubusercontent.com/msikma/pokesprite/master/misc/types/gen8/normal.png",4,20,20)</f>
        <v/>
      </c>
      <c r="AC12" s="5186"/>
      <c r="AD12" s="3538" t="s">
        <v>523</v>
      </c>
      <c r="AE12" s="3503"/>
      <c r="AF12" s="3504"/>
      <c r="AG12" s="3547" t="str">
        <f>IMAGE("https://raw.githubusercontent.com/msikma/pokesprite/master/misc/types/gen8/bug.png",4,20,20)</f>
        <v/>
      </c>
      <c r="AH12" s="3507"/>
      <c r="AI12" s="3380"/>
    </row>
    <row r="13" ht="20.25" customHeight="1">
      <c r="A13" s="3368"/>
      <c r="B13" s="3496"/>
      <c r="C13" s="3529"/>
      <c r="D13" s="3498"/>
      <c r="E13" s="3538" t="s">
        <v>278</v>
      </c>
      <c r="F13" s="3503"/>
      <c r="G13" s="3504"/>
      <c r="H13" s="3547" t="str">
        <f>IMAGE("https://raw.githubusercontent.com/msikma/pokesprite/master/misc/types/gen8/bug.png",4,20,20)</f>
        <v/>
      </c>
      <c r="I13" s="5184"/>
      <c r="J13" s="3538" t="s">
        <v>402</v>
      </c>
      <c r="K13" s="3503"/>
      <c r="L13" s="3504"/>
      <c r="M13" s="3547" t="str">
        <f>IMAGE("https://raw.githubusercontent.com/msikma/pokesprite/master/misc/types/gen8/ground.png",4,20,20)</f>
        <v/>
      </c>
      <c r="N13" s="5185"/>
      <c r="O13" s="3538" t="s">
        <v>280</v>
      </c>
      <c r="P13" s="3503"/>
      <c r="Q13" s="3504"/>
      <c r="R13" s="3547" t="str">
        <f>IMAGE("https://raw.githubusercontent.com/msikma/pokesprite/master/misc/types/gen8/poison.png",4,20,20)</f>
        <v/>
      </c>
      <c r="S13" s="5186"/>
      <c r="T13" s="3538" t="s">
        <v>457</v>
      </c>
      <c r="U13" s="3503"/>
      <c r="V13" s="3504"/>
      <c r="W13" s="3547" t="str">
        <f t="shared" ref="W13:W14" si="2">IMAGE("https://raw.githubusercontent.com/msikma/pokesprite/master/misc/types/gen8/grass.png",4,20,20)</f>
        <v/>
      </c>
      <c r="X13" s="5185"/>
      <c r="Y13" s="3538" t="s">
        <v>286</v>
      </c>
      <c r="Z13" s="3503"/>
      <c r="AA13" s="3504"/>
      <c r="AB13" s="3547" t="str">
        <f>IMAGE("https://raw.githubusercontent.com/msikma/pokesprite/master/misc/types/gen8/ground.png",4,20,20)</f>
        <v/>
      </c>
      <c r="AC13" s="5186"/>
      <c r="AD13" s="3538" t="s">
        <v>279</v>
      </c>
      <c r="AE13" s="3503"/>
      <c r="AF13" s="3504"/>
      <c r="AG13" s="3547" t="str">
        <f>IMAGE("https://raw.githubusercontent.com/msikma/pokesprite/master/misc/types/gen8/dark.png",4,20,20)</f>
        <v/>
      </c>
      <c r="AH13" s="3507"/>
      <c r="AI13" s="3380"/>
    </row>
    <row r="14" ht="21.0" customHeight="1">
      <c r="A14" s="3368"/>
      <c r="B14" s="3496"/>
      <c r="C14" s="3529"/>
      <c r="D14" s="3498"/>
      <c r="E14" s="3548" t="s">
        <v>275</v>
      </c>
      <c r="F14" s="3549"/>
      <c r="G14" s="3550"/>
      <c r="H14" s="3551" t="str">
        <f>IMAGE("https://raw.githubusercontent.com/msikma/pokesprite/master/misc/types/gen8/grass.png",4,20,20)</f>
        <v/>
      </c>
      <c r="I14" s="5187"/>
      <c r="J14" s="3548" t="s">
        <v>431</v>
      </c>
      <c r="K14" s="3549"/>
      <c r="L14" s="3550"/>
      <c r="M14" s="3551" t="str">
        <f>IMAGE("https://raw.githubusercontent.com/msikma/pokesprite/master/misc/types/gen8/rock.png",4,20,20)</f>
        <v/>
      </c>
      <c r="N14" s="5188"/>
      <c r="O14" s="3548" t="s">
        <v>1324</v>
      </c>
      <c r="P14" s="3549"/>
      <c r="Q14" s="3550"/>
      <c r="R14" s="3551" t="str">
        <f>IMAGE("https://raw.githubusercontent.com/msikma/pokesprite/master/misc/types/gen8/ice.png",4,20,20)</f>
        <v/>
      </c>
      <c r="S14" s="5189"/>
      <c r="T14" s="3548" t="s">
        <v>462</v>
      </c>
      <c r="U14" s="3549"/>
      <c r="V14" s="3550"/>
      <c r="W14" s="3551" t="str">
        <f t="shared" si="2"/>
        <v/>
      </c>
      <c r="X14" s="5188"/>
      <c r="Y14" s="3548" t="s">
        <v>1234</v>
      </c>
      <c r="Z14" s="3549"/>
      <c r="AA14" s="3550"/>
      <c r="AB14" s="3551" t="str">
        <f>IMAGE("https://raw.githubusercontent.com/msikma/pokesprite/master/misc/types/gen8/psychic.png",4,20,20)</f>
        <v/>
      </c>
      <c r="AC14" s="5189"/>
      <c r="AD14" s="3548" t="s">
        <v>565</v>
      </c>
      <c r="AE14" s="3549"/>
      <c r="AF14" s="3550"/>
      <c r="AG14" s="3551" t="str">
        <f>IMAGE("https://raw.githubusercontent.com/msikma/pokesprite/master/misc/types/gen8/poison.png",4,20,20)</f>
        <v/>
      </c>
      <c r="AH14" s="3507"/>
      <c r="AI14" s="3380"/>
    </row>
    <row r="15" ht="3.0" customHeight="1">
      <c r="A15" s="3445"/>
      <c r="B15" s="3554"/>
      <c r="C15" s="3555"/>
      <c r="D15" s="3556"/>
      <c r="E15" s="3558"/>
      <c r="F15" s="3558"/>
      <c r="G15" s="3558"/>
      <c r="H15" s="3557"/>
      <c r="I15" s="3556"/>
      <c r="J15" s="3558"/>
      <c r="K15" s="3558"/>
      <c r="L15" s="3558"/>
      <c r="M15" s="3557"/>
      <c r="N15" s="3556"/>
      <c r="O15" s="3558"/>
      <c r="P15" s="3558"/>
      <c r="Q15" s="3558"/>
      <c r="R15" s="3557"/>
      <c r="S15" s="3559"/>
      <c r="T15" s="3558"/>
      <c r="U15" s="3558"/>
      <c r="V15" s="3558"/>
      <c r="W15" s="3557"/>
      <c r="X15" s="3556"/>
      <c r="Y15" s="3558"/>
      <c r="Z15" s="3558"/>
      <c r="AA15" s="3558"/>
      <c r="AB15" s="3557"/>
      <c r="AC15" s="3561"/>
      <c r="AD15" s="3558"/>
      <c r="AE15" s="3558"/>
      <c r="AF15" s="3558"/>
      <c r="AG15" s="3557"/>
      <c r="AH15" s="3562"/>
      <c r="AI15" s="3456"/>
    </row>
    <row r="16" ht="16.5" customHeight="1">
      <c r="A16" s="3457"/>
      <c r="B16" s="3563"/>
      <c r="C16" s="3555"/>
      <c r="D16" s="5140"/>
      <c r="E16" s="3565" t="s">
        <v>190</v>
      </c>
      <c r="F16" s="381"/>
      <c r="G16" s="382"/>
      <c r="H16" s="3566" t="s">
        <v>191</v>
      </c>
      <c r="I16" s="3567"/>
      <c r="J16" s="3565" t="s">
        <v>190</v>
      </c>
      <c r="K16" s="381"/>
      <c r="L16" s="382"/>
      <c r="M16" s="3566" t="s">
        <v>191</v>
      </c>
      <c r="N16" s="5140"/>
      <c r="O16" s="3565" t="s">
        <v>190</v>
      </c>
      <c r="P16" s="381"/>
      <c r="Q16" s="382"/>
      <c r="R16" s="3566" t="s">
        <v>191</v>
      </c>
      <c r="S16" s="5153"/>
      <c r="T16" s="3565" t="s">
        <v>190</v>
      </c>
      <c r="U16" s="381"/>
      <c r="V16" s="382"/>
      <c r="W16" s="3566" t="s">
        <v>191</v>
      </c>
      <c r="X16" s="5154"/>
      <c r="Y16" s="3565" t="s">
        <v>190</v>
      </c>
      <c r="Z16" s="381"/>
      <c r="AA16" s="382"/>
      <c r="AB16" s="3566" t="s">
        <v>191</v>
      </c>
      <c r="AC16" s="5154"/>
      <c r="AD16" s="3565" t="s">
        <v>190</v>
      </c>
      <c r="AE16" s="381"/>
      <c r="AF16" s="382"/>
      <c r="AG16" s="3566" t="s">
        <v>191</v>
      </c>
      <c r="AH16" s="3570"/>
      <c r="AI16" s="3466"/>
    </row>
    <row r="17" ht="16.5" customHeight="1">
      <c r="A17" s="3457"/>
      <c r="B17" s="3563"/>
      <c r="C17" s="3555"/>
      <c r="D17" s="3564"/>
      <c r="E17" s="3571" t="s">
        <v>192</v>
      </c>
      <c r="F17" s="3572">
        <f t="array" ref="F17">IFERROR(VLOOKUP(E4,Dex!$B$3:$N244,8,FALSE),"")</f>
        <v>86</v>
      </c>
      <c r="G17" s="3573" t="str">
        <f t="array" ref="G17">IFERROR(VLOOKUP(F17,Dex!$P$22:$Q$276,2,FALSE),"")</f>
        <v/>
      </c>
      <c r="H17" s="3574">
        <v>6.0</v>
      </c>
      <c r="I17" s="3575"/>
      <c r="J17" s="3571" t="s">
        <v>192</v>
      </c>
      <c r="K17" s="3572">
        <f t="array" ref="K17">IFERROR(VLOOKUP(J4,Dex!$B$3:$N244,8,FALSE),"")</f>
        <v>82</v>
      </c>
      <c r="L17" s="3573" t="str">
        <f t="array" ref="L17">IFERROR(VLOOKUP(K17,Dex!$P$22:$Q$276,2,FALSE),"")</f>
        <v/>
      </c>
      <c r="M17" s="3574">
        <v>6.0</v>
      </c>
      <c r="N17" s="3564"/>
      <c r="O17" s="3571" t="s">
        <v>192</v>
      </c>
      <c r="P17" s="3572">
        <f t="array" ref="P17">IFERROR(VLOOKUP(O4,Dex!$B$3:$N244,8,FALSE),"")</f>
        <v>65</v>
      </c>
      <c r="Q17" s="3573" t="str">
        <f t="array" ref="Q17">IFERROR(VLOOKUP(P17,Dex!$P$22:$Q$276,2,FALSE),"")</f>
        <v/>
      </c>
      <c r="R17" s="3574">
        <v>252.0</v>
      </c>
      <c r="S17" s="3569"/>
      <c r="T17" s="3571" t="s">
        <v>192</v>
      </c>
      <c r="U17" s="3572">
        <f t="array" ref="U17">IFERROR(VLOOKUP(T4,Dex!$B$3:$N244,8,FALSE),"")</f>
        <v>74</v>
      </c>
      <c r="V17" s="3573" t="str">
        <f t="array" ref="V17">IFERROR(VLOOKUP(U17,Dex!$P$22:$Q$276,2,FALSE),"")</f>
        <v/>
      </c>
      <c r="W17" s="3574">
        <v>252.0</v>
      </c>
      <c r="X17" s="3569"/>
      <c r="Y17" s="3571" t="s">
        <v>192</v>
      </c>
      <c r="Z17" s="3572">
        <f t="array" ref="Z17">IFERROR(VLOOKUP(Y4,Dex!$B$3:$N244,8,FALSE),"")</f>
        <v>111</v>
      </c>
      <c r="AA17" s="3573" t="str">
        <f t="array" ref="AA17">IFERROR(VLOOKUP(Z17,Dex!$P$22:$Q$276,2,FALSE),"")</f>
        <v/>
      </c>
      <c r="AB17" s="3574">
        <v>252.0</v>
      </c>
      <c r="AC17" s="3569"/>
      <c r="AD17" s="3571" t="s">
        <v>192</v>
      </c>
      <c r="AE17" s="3572">
        <f t="array" ref="AE17">IFERROR(VLOOKUP(AD4,Dex!$B$3:$N244,8,FALSE),"")</f>
        <v>100</v>
      </c>
      <c r="AF17" s="3573" t="str">
        <f t="array" ref="AF17">IFERROR(VLOOKUP(AE17,Dex!$P$22:$Q$276,2,FALSE),"")</f>
        <v/>
      </c>
      <c r="AG17" s="3574">
        <v>252.0</v>
      </c>
      <c r="AH17" s="3570"/>
      <c r="AI17" s="3466"/>
    </row>
    <row r="18" ht="16.5" customHeight="1">
      <c r="A18" s="3457"/>
      <c r="B18" s="3563"/>
      <c r="C18" s="3555"/>
      <c r="D18" s="3564"/>
      <c r="E18" s="3577" t="s">
        <v>193</v>
      </c>
      <c r="F18" s="3578">
        <f t="array" ref="F18">IFERROR(VLOOKUP(E4,Dex!$B$3:$N244,9,FALSE),"")</f>
        <v>76</v>
      </c>
      <c r="G18" s="3579" t="str">
        <f t="array" ref="G18">IFERROR(VLOOKUP(F18,Dex!$P$22:$Q$276,2,FALSE),"")</f>
        <v/>
      </c>
      <c r="H18" s="3580"/>
      <c r="I18" s="3575"/>
      <c r="J18" s="3577" t="s">
        <v>193</v>
      </c>
      <c r="K18" s="3578">
        <f t="array" ref="K18">IFERROR(VLOOKUP(J4,Dex!$B$3:$N244,9,FALSE),"")</f>
        <v>121</v>
      </c>
      <c r="L18" s="3579" t="str">
        <f t="array" ref="L18">IFERROR(VLOOKUP(K18,Dex!$P$22:$Q$276,2,FALSE),"")</f>
        <v/>
      </c>
      <c r="M18" s="3580">
        <v>252.0</v>
      </c>
      <c r="N18" s="3564"/>
      <c r="O18" s="3577" t="s">
        <v>193</v>
      </c>
      <c r="P18" s="3578">
        <f t="array" ref="P18">IFERROR(VLOOKUP(O4,Dex!$B$3:$N244,9,FALSE),"")</f>
        <v>90</v>
      </c>
      <c r="Q18" s="3579" t="str">
        <f t="array" ref="Q18">IFERROR(VLOOKUP(P18,Dex!$P$22:$Q$276,2,FALSE),"")</f>
        <v/>
      </c>
      <c r="R18" s="3580"/>
      <c r="S18" s="3569"/>
      <c r="T18" s="3577" t="s">
        <v>193</v>
      </c>
      <c r="U18" s="3578">
        <f t="array" ref="U18">IFERROR(VLOOKUP(T4,Dex!$B$3:$N244,9,FALSE),"")</f>
        <v>94</v>
      </c>
      <c r="V18" s="3579" t="str">
        <f t="array" ref="V18">IFERROR(VLOOKUP(U18,Dex!$P$22:$Q$276,2,FALSE),"")</f>
        <v/>
      </c>
      <c r="W18" s="3580"/>
      <c r="X18" s="3569"/>
      <c r="Y18" s="3577" t="s">
        <v>193</v>
      </c>
      <c r="Z18" s="3578">
        <f t="array" ref="Z18">IFERROR(VLOOKUP(Y4,Dex!$B$3:$N244,9,FALSE),"")</f>
        <v>83</v>
      </c>
      <c r="AA18" s="3579" t="str">
        <f t="array" ref="AA18">IFERROR(VLOOKUP(Z18,Dex!$P$22:$Q$276,2,FALSE),"")</f>
        <v/>
      </c>
      <c r="AB18" s="3580"/>
      <c r="AC18" s="3569"/>
      <c r="AD18" s="3577" t="s">
        <v>193</v>
      </c>
      <c r="AE18" s="3578">
        <f t="array" ref="AE18">IFERROR(VLOOKUP(AD4,Dex!$B$3:$N244,9,FALSE),"")</f>
        <v>150</v>
      </c>
      <c r="AF18" s="3579" t="str">
        <f t="array" ref="AF18">IFERROR(VLOOKUP(AE18,Dex!$P$22:$Q$276,2,FALSE),"")</f>
        <v/>
      </c>
      <c r="AG18" s="3580">
        <v>252.0</v>
      </c>
      <c r="AH18" s="3570"/>
      <c r="AI18" s="3466"/>
    </row>
    <row r="19" ht="16.5" customHeight="1">
      <c r="A19" s="3457"/>
      <c r="B19" s="3563"/>
      <c r="C19" s="3555"/>
      <c r="D19" s="3564"/>
      <c r="E19" s="3577" t="s">
        <v>194</v>
      </c>
      <c r="F19" s="3578">
        <f t="array" ref="F19">IFERROR(VLOOKUP(E4,Dex!$B$3:$N244,10,FALSE),"")</f>
        <v>86</v>
      </c>
      <c r="G19" s="3579" t="str">
        <f t="array" ref="G19">IFERROR(VLOOKUP(F19,Dex!$P$22:$Q$276,2,FALSE),"")</f>
        <v/>
      </c>
      <c r="H19" s="3580"/>
      <c r="I19" s="3575"/>
      <c r="J19" s="3577" t="s">
        <v>194</v>
      </c>
      <c r="K19" s="3578">
        <f t="array" ref="K19">IFERROR(VLOOKUP(J4,Dex!$B$3:$N244,10,FALSE),"")</f>
        <v>119</v>
      </c>
      <c r="L19" s="3579" t="str">
        <f t="array" ref="L19">IFERROR(VLOOKUP(K19,Dex!$P$22:$Q$276,2,FALSE),"")</f>
        <v/>
      </c>
      <c r="M19" s="3580"/>
      <c r="N19" s="3564"/>
      <c r="O19" s="3577" t="s">
        <v>194</v>
      </c>
      <c r="P19" s="3578">
        <f t="array" ref="P19">IFERROR(VLOOKUP(O4,Dex!$B$3:$N244,10,FALSE),"")</f>
        <v>120</v>
      </c>
      <c r="Q19" s="3579" t="str">
        <f t="array" ref="Q19">IFERROR(VLOOKUP(P19,Dex!$P$22:$Q$276,2,FALSE),"")</f>
        <v/>
      </c>
      <c r="R19" s="3580">
        <v>252.0</v>
      </c>
      <c r="S19" s="3569"/>
      <c r="T19" s="3577" t="s">
        <v>194</v>
      </c>
      <c r="U19" s="3578">
        <f t="array" ref="U19">IFERROR(VLOOKUP(T4,Dex!$B$3:$N244,10,FALSE),"")</f>
        <v>131</v>
      </c>
      <c r="V19" s="3579" t="str">
        <f t="array" ref="V19">IFERROR(VLOOKUP(U19,Dex!$P$22:$Q$276,2,FALSE),"")</f>
        <v/>
      </c>
      <c r="W19" s="3580">
        <v>128.0</v>
      </c>
      <c r="X19" s="3569"/>
      <c r="Y19" s="3577" t="s">
        <v>194</v>
      </c>
      <c r="Z19" s="3578">
        <f t="array" ref="Z19">IFERROR(VLOOKUP(Y4,Dex!$B$3:$N244,10,FALSE),"")</f>
        <v>68</v>
      </c>
      <c r="AA19" s="3579" t="str">
        <f t="array" ref="AA19">IFERROR(VLOOKUP(Z19,Dex!$P$22:$Q$276,2,FALSE),"")</f>
        <v/>
      </c>
      <c r="AB19" s="3580"/>
      <c r="AC19" s="3569"/>
      <c r="AD19" s="3577" t="s">
        <v>194</v>
      </c>
      <c r="AE19" s="3578">
        <f t="array" ref="AE19">IFERROR(VLOOKUP(AD4,Dex!$B$3:$N244,10,FALSE),"")</f>
        <v>80</v>
      </c>
      <c r="AF19" s="3579" t="str">
        <f t="array" ref="AF19">IFERROR(VLOOKUP(AE19,Dex!$P$22:$Q$276,2,FALSE),"")</f>
        <v/>
      </c>
      <c r="AG19" s="3580"/>
      <c r="AH19" s="3570"/>
      <c r="AI19" s="3466"/>
    </row>
    <row r="20" ht="16.5" customHeight="1">
      <c r="A20" s="3457"/>
      <c r="B20" s="3563"/>
      <c r="C20" s="3555"/>
      <c r="D20" s="3564"/>
      <c r="E20" s="3577" t="s">
        <v>195</v>
      </c>
      <c r="F20" s="3578">
        <f t="array" ref="F20">IFERROR(VLOOKUP(E4,Dex!$B$3:$N244,11,FALSE),"")</f>
        <v>116</v>
      </c>
      <c r="G20" s="3579" t="str">
        <f t="array" ref="G20">IFERROR(VLOOKUP(F20,Dex!$P$22:$Q$276,2,FALSE),"")</f>
        <v/>
      </c>
      <c r="H20" s="3580">
        <v>252.0</v>
      </c>
      <c r="I20" s="3575"/>
      <c r="J20" s="3577" t="s">
        <v>195</v>
      </c>
      <c r="K20" s="3578">
        <f t="array" ref="K20">IFERROR(VLOOKUP(J4,Dex!$B$3:$N244,11,FALSE),"")</f>
        <v>69</v>
      </c>
      <c r="L20" s="3579" t="str">
        <f t="array" ref="L20">IFERROR(VLOOKUP(K20,Dex!$P$22:$Q$276,2,FALSE),"")</f>
        <v/>
      </c>
      <c r="M20" s="3580"/>
      <c r="N20" s="3564"/>
      <c r="O20" s="3577" t="s">
        <v>195</v>
      </c>
      <c r="P20" s="3578">
        <f t="array" ref="P20">IFERROR(VLOOKUP(O4,Dex!$B$3:$N244,11,FALSE),"")</f>
        <v>85</v>
      </c>
      <c r="Q20" s="3579" t="str">
        <f t="array" ref="Q20">IFERROR(VLOOKUP(P20,Dex!$P$22:$Q$276,2,FALSE),"")</f>
        <v/>
      </c>
      <c r="R20" s="3580"/>
      <c r="S20" s="3569"/>
      <c r="T20" s="3577" t="s">
        <v>195</v>
      </c>
      <c r="U20" s="3578">
        <f t="array" ref="U20">IFERROR(VLOOKUP(T4,Dex!$B$3:$N244,11,FALSE),"")</f>
        <v>54</v>
      </c>
      <c r="V20" s="3579" t="str">
        <f t="array" ref="V20">IFERROR(VLOOKUP(U20,Dex!$P$22:$Q$276,2,FALSE),"")</f>
        <v/>
      </c>
      <c r="W20" s="3580"/>
      <c r="X20" s="3569"/>
      <c r="Y20" s="3577" t="s">
        <v>195</v>
      </c>
      <c r="Z20" s="3578">
        <f t="array" ref="Z20">IFERROR(VLOOKUP(Y4,Dex!$B$3:$N244,11,FALSE),"")</f>
        <v>92</v>
      </c>
      <c r="AA20" s="3579" t="str">
        <f t="array" ref="AA20">IFERROR(VLOOKUP(Z20,Dex!$P$22:$Q$276,2,FALSE),"")</f>
        <v/>
      </c>
      <c r="AB20" s="3580"/>
      <c r="AC20" s="3569"/>
      <c r="AD20" s="3577" t="s">
        <v>195</v>
      </c>
      <c r="AE20" s="3578">
        <f t="array" ref="AE20">IFERROR(VLOOKUP(AD4,Dex!$B$3:$N244,11,FALSE),"")</f>
        <v>90</v>
      </c>
      <c r="AF20" s="3579" t="str">
        <f t="array" ref="AF20">IFERROR(VLOOKUP(AE20,Dex!$P$22:$Q$276,2,FALSE),"")</f>
        <v/>
      </c>
      <c r="AG20" s="3580"/>
      <c r="AH20" s="3570"/>
      <c r="AI20" s="3466"/>
    </row>
    <row r="21" ht="16.5" customHeight="1">
      <c r="A21" s="3457"/>
      <c r="B21" s="3563"/>
      <c r="C21" s="3555"/>
      <c r="D21" s="3564"/>
      <c r="E21" s="3577" t="s">
        <v>196</v>
      </c>
      <c r="F21" s="3578">
        <f t="array" ref="F21">IFERROR(VLOOKUP(E4,Dex!$B$3:$N244,12,FALSE),"")</f>
        <v>56</v>
      </c>
      <c r="G21" s="3579" t="str">
        <f t="array" ref="G21">IFERROR(VLOOKUP(F21,Dex!$P$22:$Q$276,2,FALSE),"")</f>
        <v/>
      </c>
      <c r="H21" s="3580"/>
      <c r="I21" s="3575"/>
      <c r="J21" s="3577" t="s">
        <v>196</v>
      </c>
      <c r="K21" s="3578">
        <f t="array" ref="K21">IFERROR(VLOOKUP(J4,Dex!$B$3:$N244,12,FALSE),"")</f>
        <v>59</v>
      </c>
      <c r="L21" s="3579" t="str">
        <f t="array" ref="L21">IFERROR(VLOOKUP(K21,Dex!$P$22:$Q$276,2,FALSE),"")</f>
        <v/>
      </c>
      <c r="M21" s="3580"/>
      <c r="N21" s="3564"/>
      <c r="O21" s="3577" t="s">
        <v>196</v>
      </c>
      <c r="P21" s="3578">
        <f t="array" ref="P21">IFERROR(VLOOKUP(O4,Dex!$B$3:$N244,12,FALSE),"")</f>
        <v>70</v>
      </c>
      <c r="Q21" s="3579" t="str">
        <f t="array" ref="Q21">IFERROR(VLOOKUP(P21,Dex!$P$22:$Q$276,2,FALSE),"")</f>
        <v/>
      </c>
      <c r="R21" s="3580"/>
      <c r="S21" s="3569"/>
      <c r="T21" s="3577" t="s">
        <v>196</v>
      </c>
      <c r="U21" s="3578">
        <f t="array" ref="U21">IFERROR(VLOOKUP(T4,Dex!$B$3:$N244,12,FALSE),"")</f>
        <v>116</v>
      </c>
      <c r="V21" s="3579" t="str">
        <f t="array" ref="V21">IFERROR(VLOOKUP(U21,Dex!$P$22:$Q$276,2,FALSE),"")</f>
        <v/>
      </c>
      <c r="W21" s="3580">
        <v>128.0</v>
      </c>
      <c r="X21" s="3569"/>
      <c r="Y21" s="3577" t="s">
        <v>196</v>
      </c>
      <c r="Z21" s="3578">
        <f t="array" ref="Z21">IFERROR(VLOOKUP(Y4,Dex!$B$3:$N244,12,FALSE),"")</f>
        <v>82</v>
      </c>
      <c r="AA21" s="3579" t="str">
        <f t="array" ref="AA21">IFERROR(VLOOKUP(Z21,Dex!$P$22:$Q$276,2,FALSE),"")</f>
        <v/>
      </c>
      <c r="AB21" s="3580">
        <v>252.0</v>
      </c>
      <c r="AC21" s="3569"/>
      <c r="AD21" s="3577" t="s">
        <v>196</v>
      </c>
      <c r="AE21" s="3578">
        <f t="array" ref="AE21">IFERROR(VLOOKUP(AD4,Dex!$B$3:$N244,12,FALSE),"")</f>
        <v>110</v>
      </c>
      <c r="AF21" s="3579" t="str">
        <f t="array" ref="AF21">IFERROR(VLOOKUP(AE21,Dex!$P$22:$Q$276,2,FALSE),"")</f>
        <v/>
      </c>
      <c r="AG21" s="3580"/>
      <c r="AH21" s="3570"/>
      <c r="AI21" s="3466"/>
    </row>
    <row r="22" ht="16.5" customHeight="1">
      <c r="A22" s="3457"/>
      <c r="B22" s="3563"/>
      <c r="C22" s="1204" t="s">
        <v>436</v>
      </c>
      <c r="D22" s="3564"/>
      <c r="E22" s="3583" t="s">
        <v>197</v>
      </c>
      <c r="F22" s="3584">
        <f t="array" ref="F22">IFERROR(VLOOKUP(E4,Dex!$B$3:$N244,13,FALSE),"")</f>
        <v>95</v>
      </c>
      <c r="G22" s="3585" t="str">
        <f t="array" ref="G22">IFERROR(VLOOKUP(F22,Dex!$P$22:$Q$276,2,FALSE),"")</f>
        <v/>
      </c>
      <c r="H22" s="3586">
        <v>252.0</v>
      </c>
      <c r="I22" s="3575"/>
      <c r="J22" s="3583" t="s">
        <v>197</v>
      </c>
      <c r="K22" s="3584">
        <f t="array" ref="K22">IFERROR(VLOOKUP(J4,Dex!$B$3:$N244,13,FALSE),"")</f>
        <v>71</v>
      </c>
      <c r="L22" s="3585" t="str">
        <f t="array" ref="L22">IFERROR(VLOOKUP(K22,Dex!$P$22:$Q$276,2,FALSE),"")</f>
        <v/>
      </c>
      <c r="M22" s="3586">
        <v>252.0</v>
      </c>
      <c r="N22" s="3564"/>
      <c r="O22" s="3583" t="s">
        <v>197</v>
      </c>
      <c r="P22" s="3584">
        <f t="array" ref="P22">IFERROR(VLOOKUP(O4,Dex!$B$3:$N244,13,FALSE),"")</f>
        <v>60</v>
      </c>
      <c r="Q22" s="3585" t="str">
        <f t="array" ref="Q22">IFERROR(VLOOKUP(P22,Dex!$P$22:$Q$276,2,FALSE),"")</f>
        <v/>
      </c>
      <c r="R22" s="3586"/>
      <c r="S22" s="3569"/>
      <c r="T22" s="3583" t="s">
        <v>197</v>
      </c>
      <c r="U22" s="3584">
        <f t="array" ref="U22">IFERROR(VLOOKUP(T4,Dex!$B$3:$N244,13,FALSE),"")</f>
        <v>20</v>
      </c>
      <c r="V22" s="3585" t="str">
        <f t="array" ref="V22">IFERROR(VLOOKUP(U22,Dex!$P$22:$Q$276,2,FALSE),"")</f>
        <v/>
      </c>
      <c r="W22" s="3586">
        <v>4.0</v>
      </c>
      <c r="X22" s="3569"/>
      <c r="Y22" s="3583" t="s">
        <v>197</v>
      </c>
      <c r="Z22" s="3584">
        <f t="array" ref="Z22">IFERROR(VLOOKUP(Y4,Dex!$B$3:$N244,13,FALSE),"")</f>
        <v>39</v>
      </c>
      <c r="AA22" s="3585" t="str">
        <f t="array" ref="AA22">IFERROR(VLOOKUP(Z22,Dex!$P$22:$Q$276,2,FALSE),"")</f>
        <v/>
      </c>
      <c r="AB22" s="3586"/>
      <c r="AC22" s="3569"/>
      <c r="AD22" s="3583" t="s">
        <v>197</v>
      </c>
      <c r="AE22" s="3584">
        <f t="array" ref="AE22">IFERROR(VLOOKUP(AD4,Dex!$B$3:$N244,13,FALSE),"")</f>
        <v>85</v>
      </c>
      <c r="AF22" s="3585" t="str">
        <f t="array" ref="AF22">IFERROR(VLOOKUP(AE22,Dex!$P$22:$Q$276,2,FALSE),"")</f>
        <v/>
      </c>
      <c r="AG22" s="3586">
        <v>6.0</v>
      </c>
      <c r="AH22" s="3570"/>
      <c r="AI22" s="3466"/>
    </row>
    <row r="23" ht="16.5" customHeight="1">
      <c r="A23" s="3457"/>
      <c r="B23" s="3563"/>
      <c r="C23" s="1205" t="s">
        <v>611</v>
      </c>
      <c r="D23" s="5140"/>
      <c r="E23" s="3587" t="s">
        <v>198</v>
      </c>
      <c r="F23" s="405"/>
      <c r="G23" s="406"/>
      <c r="H23" s="3588">
        <v>182.0</v>
      </c>
      <c r="I23" s="3567"/>
      <c r="J23" s="3587" t="s">
        <v>198</v>
      </c>
      <c r="K23" s="405"/>
      <c r="L23" s="406"/>
      <c r="M23" s="3588">
        <v>152.0</v>
      </c>
      <c r="N23" s="5140"/>
      <c r="O23" s="3587" t="s">
        <v>198</v>
      </c>
      <c r="P23" s="405"/>
      <c r="Q23" s="406"/>
      <c r="R23" s="3588">
        <v>91.0</v>
      </c>
      <c r="S23" s="5154"/>
      <c r="T23" s="3587" t="s">
        <v>198</v>
      </c>
      <c r="U23" s="405"/>
      <c r="V23" s="406"/>
      <c r="W23" s="3588">
        <v>46.0</v>
      </c>
      <c r="X23" s="5154"/>
      <c r="Y23" s="3587" t="s">
        <v>198</v>
      </c>
      <c r="Z23" s="405"/>
      <c r="AA23" s="406"/>
      <c r="AB23" s="3588">
        <v>67.0</v>
      </c>
      <c r="AC23" s="5154"/>
      <c r="AD23" s="3587" t="s">
        <v>198</v>
      </c>
      <c r="AE23" s="405"/>
      <c r="AF23" s="406"/>
      <c r="AG23" s="3588">
        <v>120.0</v>
      </c>
      <c r="AH23" s="3570"/>
      <c r="AI23" s="3466"/>
    </row>
    <row r="24" ht="15.0" customHeight="1">
      <c r="A24" s="3368"/>
      <c r="B24" s="3589"/>
      <c r="C24" s="3590"/>
      <c r="D24" s="3591"/>
      <c r="E24" s="3594"/>
      <c r="F24" s="3594"/>
      <c r="G24" s="3594"/>
      <c r="H24" s="3593"/>
      <c r="I24" s="3593"/>
      <c r="J24" s="3594"/>
      <c r="K24" s="3594"/>
      <c r="L24" s="3594"/>
      <c r="M24" s="3593"/>
      <c r="N24" s="3595"/>
      <c r="O24" s="5156"/>
      <c r="P24" s="5156"/>
      <c r="Q24" s="5157"/>
      <c r="R24" s="3597"/>
      <c r="S24" s="3597"/>
      <c r="T24" s="5156"/>
      <c r="U24" s="5156"/>
      <c r="V24" s="5157"/>
      <c r="W24" s="3597"/>
      <c r="X24" s="3595"/>
      <c r="Y24" s="5158"/>
      <c r="Z24" s="5158"/>
      <c r="AA24" s="5158"/>
      <c r="AB24" s="3598"/>
      <c r="AC24" s="3598"/>
      <c r="AD24" s="5158"/>
      <c r="AE24" s="5158"/>
      <c r="AF24" s="5158"/>
      <c r="AG24" s="3598"/>
      <c r="AH24" s="3599"/>
      <c r="AI24" s="3466"/>
    </row>
    <row r="25" ht="15.0" customHeight="1">
      <c r="A25" s="3368"/>
      <c r="B25" s="5190"/>
      <c r="C25" s="5191"/>
      <c r="D25" s="5191"/>
      <c r="E25" s="5191"/>
      <c r="F25" s="5191"/>
      <c r="G25" s="5191"/>
      <c r="H25" s="5191"/>
      <c r="I25" s="5191"/>
      <c r="J25" s="5191"/>
      <c r="K25" s="5191"/>
      <c r="L25" s="5191"/>
      <c r="M25" s="5191"/>
      <c r="N25" s="5191"/>
      <c r="O25" s="5191"/>
      <c r="P25" s="5191"/>
      <c r="Q25" s="5191"/>
      <c r="R25" s="5191"/>
      <c r="S25" s="5191"/>
      <c r="T25" s="5191"/>
      <c r="U25" s="5191"/>
      <c r="V25" s="5191"/>
      <c r="W25" s="5191"/>
      <c r="X25" s="5191"/>
      <c r="Y25" s="5191"/>
      <c r="Z25" s="5191"/>
      <c r="AA25" s="5191"/>
      <c r="AB25" s="5191"/>
      <c r="AC25" s="5191"/>
      <c r="AD25" s="5191"/>
      <c r="AE25" s="5191"/>
      <c r="AF25" s="5191"/>
      <c r="AG25" s="5191"/>
      <c r="AH25" s="5192"/>
      <c r="AI25" s="3466"/>
    </row>
    <row r="26" ht="96.75" customHeight="1">
      <c r="A26" s="3368"/>
      <c r="B26" s="5193"/>
      <c r="C26" s="5194" t="str">
        <f>IMAGE("https://i.ibb.co/TTVpygz/Kid.png")</f>
        <v/>
      </c>
      <c r="D26" s="5195"/>
      <c r="E26" s="5196" t="str">
        <f t="array" ref="E26">IFERROR(VLOOKUP(E27,Dex!$B$3:$G244,3,FALSE),"")</f>
        <v/>
      </c>
      <c r="F26" s="1830"/>
      <c r="G26" s="1830"/>
      <c r="H26" s="1831"/>
      <c r="I26" s="5197"/>
      <c r="J26" s="5196" t="str">
        <f t="array" ref="J26">IFERROR(VLOOKUP(J27,Dex!$B$3:$G244,3,FALSE),"")</f>
        <v/>
      </c>
      <c r="K26" s="1830"/>
      <c r="L26" s="1830"/>
      <c r="M26" s="1831"/>
      <c r="N26" s="5197"/>
      <c r="O26" s="5196" t="str">
        <f t="array" ref="O26">IFERROR(VLOOKUP(O27,Dex!$B$3:$G244,3,FALSE),"")</f>
        <v/>
      </c>
      <c r="P26" s="1830"/>
      <c r="Q26" s="1830"/>
      <c r="R26" s="1831"/>
      <c r="S26" s="5197"/>
      <c r="T26" s="5196" t="str">
        <f t="array" ref="T26">IFERROR(VLOOKUP(T27,Dex!$B$3:$G244,3,FALSE),"")</f>
        <v/>
      </c>
      <c r="U26" s="1830"/>
      <c r="V26" s="1830"/>
      <c r="W26" s="1831"/>
      <c r="X26" s="5197"/>
      <c r="Y26" s="5196" t="str">
        <f t="array" ref="Y26">IFERROR(VLOOKUP(Y27,Dex!$B$3:$G244,3,FALSE),"")</f>
        <v/>
      </c>
      <c r="Z26" s="1830"/>
      <c r="AA26" s="1830"/>
      <c r="AB26" s="1831"/>
      <c r="AC26" s="5197"/>
      <c r="AD26" s="5196" t="str">
        <f t="array" ref="AD26">IFERROR(VLOOKUP(AD27,Dex!$B$3:$G244,3,FALSE),"")</f>
        <v/>
      </c>
      <c r="AE26" s="1830"/>
      <c r="AF26" s="1830"/>
      <c r="AG26" s="1831"/>
      <c r="AH26" s="5198"/>
      <c r="AI26" s="3466"/>
    </row>
    <row r="27" ht="18.75" customHeight="1">
      <c r="A27" s="3368"/>
      <c r="B27" s="5193"/>
      <c r="C27" s="5199" t="s">
        <v>1325</v>
      </c>
      <c r="D27" s="5200"/>
      <c r="E27" s="5201" t="s">
        <v>1193</v>
      </c>
      <c r="F27" s="5202"/>
      <c r="G27" s="5202"/>
      <c r="H27" s="5203"/>
      <c r="I27" s="5204"/>
      <c r="J27" s="5201" t="s">
        <v>1326</v>
      </c>
      <c r="K27" s="5202"/>
      <c r="L27" s="5202"/>
      <c r="M27" s="5203"/>
      <c r="N27" s="5204"/>
      <c r="O27" s="5201" t="s">
        <v>517</v>
      </c>
      <c r="P27" s="5202"/>
      <c r="Q27" s="5202"/>
      <c r="R27" s="5203"/>
      <c r="S27" s="5204"/>
      <c r="T27" s="5201" t="s">
        <v>1327</v>
      </c>
      <c r="U27" s="5202"/>
      <c r="V27" s="5202"/>
      <c r="W27" s="5203"/>
      <c r="X27" s="5204"/>
      <c r="Y27" s="5201" t="s">
        <v>1328</v>
      </c>
      <c r="Z27" s="5202"/>
      <c r="AA27" s="5202"/>
      <c r="AB27" s="5203"/>
      <c r="AC27" s="5204"/>
      <c r="AD27" s="5201" t="s">
        <v>1329</v>
      </c>
      <c r="AE27" s="5202"/>
      <c r="AF27" s="5202"/>
      <c r="AG27" s="5203"/>
      <c r="AH27" s="5198"/>
      <c r="AI27" s="3466"/>
    </row>
    <row r="28">
      <c r="A28" s="3368"/>
      <c r="B28" s="5193"/>
      <c r="C28" s="1481"/>
      <c r="D28" s="5200"/>
      <c r="E28" s="5205" t="s">
        <v>420</v>
      </c>
      <c r="F28" s="5206"/>
      <c r="G28" s="5206"/>
      <c r="H28" s="5207"/>
      <c r="I28" s="5204"/>
      <c r="J28" s="5205" t="s">
        <v>420</v>
      </c>
      <c r="K28" s="5206"/>
      <c r="L28" s="5206"/>
      <c r="M28" s="5207"/>
      <c r="N28" s="5204"/>
      <c r="O28" s="5205" t="s">
        <v>420</v>
      </c>
      <c r="P28" s="5206"/>
      <c r="Q28" s="5206"/>
      <c r="R28" s="5207"/>
      <c r="S28" s="5204"/>
      <c r="T28" s="5205" t="s">
        <v>420</v>
      </c>
      <c r="U28" s="5206"/>
      <c r="V28" s="5206"/>
      <c r="W28" s="5207"/>
      <c r="X28" s="5204"/>
      <c r="Y28" s="5205" t="s">
        <v>420</v>
      </c>
      <c r="Z28" s="5206"/>
      <c r="AA28" s="5206"/>
      <c r="AB28" s="5207"/>
      <c r="AC28" s="5204"/>
      <c r="AD28" s="5205" t="s">
        <v>420</v>
      </c>
      <c r="AE28" s="5206"/>
      <c r="AF28" s="5206"/>
      <c r="AG28" s="5207"/>
      <c r="AH28" s="5198"/>
      <c r="AI28" s="3466"/>
    </row>
    <row r="29" ht="25.5" customHeight="1">
      <c r="A29" s="3368"/>
      <c r="B29" s="5193"/>
      <c r="C29" s="1489"/>
      <c r="D29" s="5208"/>
      <c r="E29" s="5209"/>
      <c r="F29" s="5210" t="str">
        <f t="array" ref="F29">IFERROR(VLOOKUP(E27,Dex!$B$3:$H244,5,FALSE),"")</f>
        <v/>
      </c>
      <c r="G29" s="5211" t="str">
        <f t="array" ref="G29">IFERROR(VLOOKUP(E27,Dex!$B$3:$H244,7,FALSE),"")</f>
        <v/>
      </c>
      <c r="H29" s="5212"/>
      <c r="I29" s="5204"/>
      <c r="J29" s="5209"/>
      <c r="K29" s="5210" t="str">
        <f t="array" ref="K29">IFERROR(VLOOKUP(J27,Dex!$B$3:$H244,5,FALSE),"")</f>
        <v/>
      </c>
      <c r="L29" s="5211" t="str">
        <f t="array" ref="L29">IFERROR(VLOOKUP(J27,Dex!$B$3:$H244,7,FALSE),"")</f>
        <v/>
      </c>
      <c r="M29" s="5212"/>
      <c r="N29" s="5204"/>
      <c r="O29" s="5209"/>
      <c r="P29" s="5210" t="str">
        <f t="array" ref="P29">IFERROR(VLOOKUP(O27,Dex!$B$3:$H244,5,FALSE),"")</f>
        <v/>
      </c>
      <c r="Q29" s="5211" t="str">
        <f t="array" ref="Q29">IFERROR(VLOOKUP(O27,Dex!$B$3:$H244,7,FALSE),"")</f>
        <v/>
      </c>
      <c r="R29" s="5212"/>
      <c r="S29" s="5204"/>
      <c r="T29" s="5209"/>
      <c r="U29" s="5210" t="str">
        <f t="array" ref="U29">IFERROR(VLOOKUP(T27,Dex!$B$3:$H244,5,FALSE),"")</f>
        <v/>
      </c>
      <c r="V29" s="5211" t="str">
        <f t="array" ref="V29">IFERROR(VLOOKUP(T27,Dex!$B$3:$H244,7,FALSE),"")</f>
        <v/>
      </c>
      <c r="W29" s="5212"/>
      <c r="X29" s="5204"/>
      <c r="Y29" s="5209"/>
      <c r="Z29" s="5213" t="str">
        <f t="array" ref="Z29">IFERROR(VLOOKUP(Y27,Dex!$B$3:$H244,5,FALSE),"")</f>
        <v/>
      </c>
      <c r="AA29" s="5214"/>
      <c r="AB29" s="5212"/>
      <c r="AC29" s="5204"/>
      <c r="AD29" s="5209"/>
      <c r="AE29" s="5210" t="str">
        <f t="array" ref="AE29">IFERROR(VLOOKUP(AD27,Dex!$B$3:$H244,5,FALSE),"")</f>
        <v/>
      </c>
      <c r="AF29" s="5211" t="str">
        <f t="array" ref="AF29">IFERROR(VLOOKUP(AD27,Dex!$B$3:$H244,7,FALSE),"")</f>
        <v/>
      </c>
      <c r="AG29" s="5212"/>
      <c r="AH29" s="5198"/>
      <c r="AI29" s="3466"/>
    </row>
    <row r="30" ht="2.25" customHeight="1">
      <c r="A30" s="3368"/>
      <c r="B30" s="5193"/>
      <c r="C30" s="5215"/>
      <c r="D30" s="5208"/>
      <c r="E30" s="5216"/>
      <c r="F30" s="5217"/>
      <c r="G30" s="5217"/>
      <c r="H30" s="5218"/>
      <c r="I30" s="5204"/>
      <c r="J30" s="5216"/>
      <c r="K30" s="5217"/>
      <c r="L30" s="5217"/>
      <c r="M30" s="5218"/>
      <c r="N30" s="5204"/>
      <c r="O30" s="5216"/>
      <c r="P30" s="5217"/>
      <c r="Q30" s="5217"/>
      <c r="R30" s="5218"/>
      <c r="S30" s="5204"/>
      <c r="T30" s="5216"/>
      <c r="U30" s="5217"/>
      <c r="V30" s="5217"/>
      <c r="W30" s="5218"/>
      <c r="X30" s="5204"/>
      <c r="Y30" s="5216"/>
      <c r="Z30" s="5217"/>
      <c r="AA30" s="5217"/>
      <c r="AB30" s="5218"/>
      <c r="AC30" s="5204"/>
      <c r="AD30" s="5216"/>
      <c r="AE30" s="5217"/>
      <c r="AF30" s="5217"/>
      <c r="AG30" s="5218"/>
      <c r="AH30" s="5198"/>
      <c r="AI30" s="3466"/>
    </row>
    <row r="31" ht="20.25" customHeight="1">
      <c r="A31" s="3368"/>
      <c r="B31" s="5193"/>
      <c r="C31" s="5215"/>
      <c r="D31" s="5208"/>
      <c r="E31" s="5219" t="s">
        <v>169</v>
      </c>
      <c r="F31" s="5220"/>
      <c r="G31" s="5220"/>
      <c r="H31" s="5221"/>
      <c r="I31" s="5204"/>
      <c r="J31" s="5219" t="s">
        <v>263</v>
      </c>
      <c r="K31" s="5220"/>
      <c r="L31" s="5220"/>
      <c r="M31" s="5221"/>
      <c r="N31" s="5204"/>
      <c r="O31" s="5219" t="s">
        <v>169</v>
      </c>
      <c r="P31" s="5220"/>
      <c r="Q31" s="5220"/>
      <c r="R31" s="5221"/>
      <c r="S31" s="5204"/>
      <c r="T31" s="5219" t="s">
        <v>263</v>
      </c>
      <c r="U31" s="5220"/>
      <c r="V31" s="5220"/>
      <c r="W31" s="5221"/>
      <c r="X31" s="5204"/>
      <c r="Y31" s="5219" t="s">
        <v>169</v>
      </c>
      <c r="Z31" s="5220"/>
      <c r="AA31" s="5220"/>
      <c r="AB31" s="5221"/>
      <c r="AC31" s="5204"/>
      <c r="AD31" s="5219" t="s">
        <v>169</v>
      </c>
      <c r="AE31" s="5220"/>
      <c r="AF31" s="5220"/>
      <c r="AG31" s="5221"/>
      <c r="AH31" s="5198"/>
      <c r="AI31" s="3466"/>
    </row>
    <row r="32">
      <c r="A32" s="3368"/>
      <c r="B32" s="5193"/>
      <c r="C32" s="5222"/>
      <c r="D32" s="5208"/>
      <c r="E32" s="5223" t="s">
        <v>678</v>
      </c>
      <c r="F32" s="5224"/>
      <c r="G32" s="5224"/>
      <c r="H32" s="5225"/>
      <c r="I32" s="5204"/>
      <c r="J32" s="5223" t="s">
        <v>1330</v>
      </c>
      <c r="K32" s="5224"/>
      <c r="L32" s="5224"/>
      <c r="M32" s="5225"/>
      <c r="N32" s="5204"/>
      <c r="O32" s="5223" t="s">
        <v>208</v>
      </c>
      <c r="P32" s="5224"/>
      <c r="Q32" s="5224"/>
      <c r="R32" s="5225"/>
      <c r="S32" s="5204"/>
      <c r="T32" s="5223" t="s">
        <v>1331</v>
      </c>
      <c r="U32" s="5224"/>
      <c r="V32" s="5224"/>
      <c r="W32" s="5225"/>
      <c r="X32" s="5204"/>
      <c r="Y32" s="5223" t="s">
        <v>1332</v>
      </c>
      <c r="Z32" s="5224"/>
      <c r="AA32" s="5224"/>
      <c r="AB32" s="5225"/>
      <c r="AC32" s="5204"/>
      <c r="AD32" s="5223" t="s">
        <v>1333</v>
      </c>
      <c r="AE32" s="5224"/>
      <c r="AF32" s="5224"/>
      <c r="AG32" s="5225"/>
      <c r="AH32" s="5198"/>
      <c r="AI32" s="3466"/>
    </row>
    <row r="33" ht="20.25" customHeight="1">
      <c r="A33" s="3368"/>
      <c r="B33" s="5193"/>
      <c r="C33" s="5204"/>
      <c r="D33" s="5208"/>
      <c r="E33" s="5226" t="s">
        <v>848</v>
      </c>
      <c r="F33" s="5227"/>
      <c r="G33" s="5228"/>
      <c r="H33" s="5229" t="str">
        <f>IMAGE("https://raw.githubusercontent.com/msikma/pokesprite/master/items/berry/rindo.png",3)</f>
        <v/>
      </c>
      <c r="I33" s="5204"/>
      <c r="J33" s="5226" t="s">
        <v>1334</v>
      </c>
      <c r="K33" s="5227"/>
      <c r="L33" s="5228"/>
      <c r="M33" s="5229" t="str">
        <f>IMAGE("https://raw.githubusercontent.com/msikma/pokesprite/master/items/hold-item/damp-rock.png",3)</f>
        <v/>
      </c>
      <c r="N33" s="5204"/>
      <c r="O33" s="5226" t="s">
        <v>1335</v>
      </c>
      <c r="P33" s="5227"/>
      <c r="Q33" s="5228"/>
      <c r="R33" s="5229" t="str">
        <f>IMAGE("https://raw.githubusercontent.com/msikma/pokesprite/master/items/evo-item/metal-coat.png",3)</f>
        <v/>
      </c>
      <c r="S33" s="5204"/>
      <c r="T33" s="5226" t="s">
        <v>394</v>
      </c>
      <c r="U33" s="5227"/>
      <c r="V33" s="5228"/>
      <c r="W33" s="5229" t="str">
        <f>IMAGE("https://raw.githubusercontent.com/msikma/pokesprite/master/items/hold-item/leftovers.png",3)</f>
        <v/>
      </c>
      <c r="X33" s="5204"/>
      <c r="Y33" s="5226" t="s">
        <v>766</v>
      </c>
      <c r="Z33" s="5227"/>
      <c r="AA33" s="5228"/>
      <c r="AB33" s="5229" t="str">
        <f>IMAGE("https://raw.githubusercontent.com/msikma/pokesprite/master/items/hold-item/choice-band.png",3)</f>
        <v/>
      </c>
      <c r="AC33" s="5204"/>
      <c r="AD33" s="5226" t="s">
        <v>1336</v>
      </c>
      <c r="AE33" s="5227"/>
      <c r="AF33" s="5228"/>
      <c r="AG33" s="5229" t="str">
        <f>IMAGE("https://raw.githubusercontent.com/msikma/pokesprite/master/items/mega-stone/swampertite.png",3)</f>
        <v/>
      </c>
      <c r="AH33" s="5198"/>
      <c r="AI33" s="3466"/>
    </row>
    <row r="34" ht="20.25" customHeight="1">
      <c r="A34" s="3368"/>
      <c r="B34" s="5193"/>
      <c r="C34" s="5230"/>
      <c r="D34" s="5208"/>
      <c r="E34" s="5219" t="s">
        <v>395</v>
      </c>
      <c r="F34" s="5220"/>
      <c r="G34" s="5231"/>
      <c r="H34" s="5232" t="str">
        <f>IMAGE("https://raw.githubusercontent.com/msikma/pokesprite/master/misc/types/gen8/rock.png",4,20,20)</f>
        <v/>
      </c>
      <c r="I34" s="5204"/>
      <c r="J34" s="5219" t="s">
        <v>433</v>
      </c>
      <c r="K34" s="5220"/>
      <c r="L34" s="5231"/>
      <c r="M34" s="5232" t="str">
        <f>IMAGE("https://raw.githubusercontent.com/msikma/pokesprite/master/misc/types/gen8/water.png",4,20,20)</f>
        <v/>
      </c>
      <c r="N34" s="5204"/>
      <c r="O34" s="5219" t="s">
        <v>489</v>
      </c>
      <c r="P34" s="5220"/>
      <c r="Q34" s="5231"/>
      <c r="R34" s="5232" t="str">
        <f>IMAGE("https://raw.githubusercontent.com/msikma/pokesprite/master/misc/types/gen8/normal.png",4,20,20)</f>
        <v/>
      </c>
      <c r="S34" s="5204"/>
      <c r="T34" s="5219" t="s">
        <v>1299</v>
      </c>
      <c r="U34" s="5220"/>
      <c r="V34" s="5231"/>
      <c r="W34" s="5232" t="str">
        <f>IMAGE("https://raw.githubusercontent.com/msikma/pokesprite/master/misc/types/gen8/bug.png",4,20,20)</f>
        <v/>
      </c>
      <c r="X34" s="5204"/>
      <c r="Y34" s="5219" t="s">
        <v>1210</v>
      </c>
      <c r="Z34" s="5220"/>
      <c r="AA34" s="5231"/>
      <c r="AB34" s="5232" t="str">
        <f>IMAGE("https://raw.githubusercontent.com/msikma/pokesprite/master/misc/types/gen8/water.png",4,20,20)</f>
        <v/>
      </c>
      <c r="AC34" s="5204"/>
      <c r="AD34" s="5219" t="s">
        <v>346</v>
      </c>
      <c r="AE34" s="5220"/>
      <c r="AF34" s="5231"/>
      <c r="AG34" s="5232" t="str">
        <f>IMAGE("https://raw.githubusercontent.com/msikma/pokesprite/master/misc/types/gen8/water.png",4,20,20)</f>
        <v/>
      </c>
      <c r="AH34" s="5198"/>
      <c r="AI34" s="3466"/>
    </row>
    <row r="35" ht="20.25" customHeight="1">
      <c r="A35" s="3368"/>
      <c r="B35" s="5193"/>
      <c r="C35" s="5215"/>
      <c r="D35" s="5208"/>
      <c r="E35" s="5223" t="s">
        <v>219</v>
      </c>
      <c r="F35" s="5224"/>
      <c r="G35" s="5233"/>
      <c r="H35" s="5234" t="str">
        <f t="shared" ref="H35:H36" si="3">IMAGE("https://raw.githubusercontent.com/msikma/pokesprite/master/misc/types/gen8/water.png",4,20,20)</f>
        <v/>
      </c>
      <c r="I35" s="5204"/>
      <c r="J35" s="5223" t="s">
        <v>461</v>
      </c>
      <c r="K35" s="5224"/>
      <c r="L35" s="5233"/>
      <c r="M35" s="5234" t="str">
        <f>IMAGE("https://raw.githubusercontent.com/msikma/pokesprite/master/misc/types/gen8/flying.png",4,20,20)</f>
        <v/>
      </c>
      <c r="N35" s="5204"/>
      <c r="O35" s="5223" t="s">
        <v>278</v>
      </c>
      <c r="P35" s="5224"/>
      <c r="Q35" s="5233"/>
      <c r="R35" s="5234" t="str">
        <f>IMAGE("https://raw.githubusercontent.com/msikma/pokesprite/master/misc/types/gen8/bug.png",4,20,20)</f>
        <v/>
      </c>
      <c r="S35" s="5204"/>
      <c r="T35" s="5223" t="s">
        <v>317</v>
      </c>
      <c r="U35" s="5224"/>
      <c r="V35" s="5233"/>
      <c r="W35" s="5234" t="str">
        <f>IMAGE("https://raw.githubusercontent.com/msikma/pokesprite/master/misc/types/gen8/ice.png",4,20,20)</f>
        <v/>
      </c>
      <c r="X35" s="5204"/>
      <c r="Y35" s="5223" t="s">
        <v>1248</v>
      </c>
      <c r="Z35" s="5224"/>
      <c r="AA35" s="5233"/>
      <c r="AB35" s="5234" t="str">
        <f>IMAGE("https://raw.githubusercontent.com/msikma/pokesprite/master/misc/types/gen8/bug.png",4,20,20)</f>
        <v/>
      </c>
      <c r="AC35" s="5204"/>
      <c r="AD35" s="5223" t="s">
        <v>402</v>
      </c>
      <c r="AE35" s="5224"/>
      <c r="AF35" s="5233"/>
      <c r="AG35" s="5234" t="str">
        <f>IMAGE("https://raw.githubusercontent.com/msikma/pokesprite/master/misc/types/gen8/ground.png",4,20,20)</f>
        <v/>
      </c>
      <c r="AH35" s="5198"/>
      <c r="AI35" s="3466"/>
    </row>
    <row r="36" ht="20.25" customHeight="1">
      <c r="A36" s="3368"/>
      <c r="B36" s="5193"/>
      <c r="C36" s="5215"/>
      <c r="D36" s="5208"/>
      <c r="E36" s="5223" t="s">
        <v>346</v>
      </c>
      <c r="F36" s="5224"/>
      <c r="G36" s="5233"/>
      <c r="H36" s="5234" t="str">
        <f t="shared" si="3"/>
        <v/>
      </c>
      <c r="I36" s="5204"/>
      <c r="J36" s="5223" t="s">
        <v>278</v>
      </c>
      <c r="K36" s="5224"/>
      <c r="L36" s="5233"/>
      <c r="M36" s="5234" t="str">
        <f>IMAGE("https://raw.githubusercontent.com/msikma/pokesprite/master/misc/types/gen8/bug.png",4,20,20)</f>
        <v/>
      </c>
      <c r="N36" s="5204"/>
      <c r="O36" s="5223" t="s">
        <v>522</v>
      </c>
      <c r="P36" s="5224"/>
      <c r="Q36" s="5233"/>
      <c r="R36" s="5234" t="str">
        <f>IMAGE("https://raw.githubusercontent.com/msikma/pokesprite/master/misc/types/gen8/steel.png",4,20,20)</f>
        <v/>
      </c>
      <c r="S36" s="5204"/>
      <c r="T36" s="5223" t="s">
        <v>461</v>
      </c>
      <c r="U36" s="5224"/>
      <c r="V36" s="5233"/>
      <c r="W36" s="5234" t="str">
        <f>IMAGE("https://raw.githubusercontent.com/msikma/pokesprite/master/misc/types/gen8/flying.png",4,20,20)</f>
        <v/>
      </c>
      <c r="X36" s="5204"/>
      <c r="Y36" s="5223" t="s">
        <v>219</v>
      </c>
      <c r="Z36" s="5224"/>
      <c r="AA36" s="5233"/>
      <c r="AB36" s="5234" t="str">
        <f>IMAGE("https://raw.githubusercontent.com/msikma/pokesprite/master/misc/types/gen8/water.png",4,20,20)</f>
        <v/>
      </c>
      <c r="AC36" s="5204"/>
      <c r="AD36" s="5223" t="s">
        <v>215</v>
      </c>
      <c r="AE36" s="5224"/>
      <c r="AF36" s="5233"/>
      <c r="AG36" s="5234" t="str">
        <f>IMAGE("https://raw.githubusercontent.com/msikma/pokesprite/master/misc/types/gen8/ice.png",4,20,20)</f>
        <v/>
      </c>
      <c r="AH36" s="5198"/>
      <c r="AI36" s="3466"/>
    </row>
    <row r="37" ht="21.0" customHeight="1">
      <c r="A37" s="3368"/>
      <c r="B37" s="5193"/>
      <c r="C37" s="5215"/>
      <c r="D37" s="5208"/>
      <c r="E37" s="5235" t="s">
        <v>402</v>
      </c>
      <c r="F37" s="5236"/>
      <c r="G37" s="5237"/>
      <c r="H37" s="5238" t="str">
        <f>IMAGE("https://raw.githubusercontent.com/msikma/pokesprite/master/misc/types/gen8/ground.png",4,20,20)</f>
        <v/>
      </c>
      <c r="I37" s="5230"/>
      <c r="J37" s="5235" t="s">
        <v>251</v>
      </c>
      <c r="K37" s="5236"/>
      <c r="L37" s="5237"/>
      <c r="M37" s="5238" t="str">
        <f>IMAGE("https://raw.githubusercontent.com/msikma/pokesprite/master/misc/types/gen8/flying.png",4,20,20)</f>
        <v/>
      </c>
      <c r="N37" s="5230"/>
      <c r="O37" s="5235" t="s">
        <v>772</v>
      </c>
      <c r="P37" s="5236"/>
      <c r="Q37" s="5237"/>
      <c r="R37" s="5238" t="str">
        <f>IMAGE("https://raw.githubusercontent.com/msikma/pokesprite/master/misc/types/gen8/fighting.png",4,20,20)</f>
        <v/>
      </c>
      <c r="S37" s="5230"/>
      <c r="T37" s="5235" t="s">
        <v>247</v>
      </c>
      <c r="U37" s="5236"/>
      <c r="V37" s="5237"/>
      <c r="W37" s="5238" t="str">
        <f>IMAGE("https://raw.githubusercontent.com/msikma/pokesprite/master/misc/types/gen8/bug.png",4,20,20)</f>
        <v/>
      </c>
      <c r="X37" s="5230"/>
      <c r="Y37" s="5235" t="s">
        <v>188</v>
      </c>
      <c r="Z37" s="5236"/>
      <c r="AA37" s="5236"/>
      <c r="AB37" s="5239"/>
      <c r="AC37" s="5230"/>
      <c r="AD37" s="5235" t="s">
        <v>219</v>
      </c>
      <c r="AE37" s="5236"/>
      <c r="AF37" s="5237"/>
      <c r="AG37" s="5238" t="str">
        <f>IMAGE("https://raw.githubusercontent.com/msikma/pokesprite/master/misc/types/gen8/water.png",4,20,20)</f>
        <v/>
      </c>
      <c r="AH37" s="5198"/>
      <c r="AI37" s="3466"/>
    </row>
    <row r="38" ht="3.0" customHeight="1">
      <c r="A38" s="3368"/>
      <c r="B38" s="5240"/>
      <c r="C38" s="5241"/>
      <c r="D38" s="5242"/>
      <c r="E38" s="5243"/>
      <c r="F38" s="5243"/>
      <c r="G38" s="5243"/>
      <c r="H38" s="5243"/>
      <c r="I38" s="5242"/>
      <c r="J38" s="5244"/>
      <c r="K38" s="5244"/>
      <c r="L38" s="5244"/>
      <c r="M38" s="5243"/>
      <c r="N38" s="5242"/>
      <c r="O38" s="5243"/>
      <c r="P38" s="5243"/>
      <c r="Q38" s="5243"/>
      <c r="R38" s="5243"/>
      <c r="S38" s="5243"/>
      <c r="T38" s="5243"/>
      <c r="U38" s="5243"/>
      <c r="V38" s="5243"/>
      <c r="W38" s="5243"/>
      <c r="X38" s="5242"/>
      <c r="Y38" s="5243"/>
      <c r="Z38" s="5243"/>
      <c r="AA38" s="5243"/>
      <c r="AB38" s="5243"/>
      <c r="AC38" s="5245"/>
      <c r="AD38" s="5243"/>
      <c r="AE38" s="5243"/>
      <c r="AF38" s="5243"/>
      <c r="AG38" s="5243"/>
      <c r="AH38" s="5246"/>
      <c r="AI38" s="3466"/>
    </row>
    <row r="39" ht="16.5" customHeight="1">
      <c r="A39" s="3368"/>
      <c r="B39" s="5247"/>
      <c r="C39" s="5241"/>
      <c r="D39" s="5248"/>
      <c r="E39" s="5249" t="s">
        <v>190</v>
      </c>
      <c r="F39" s="381"/>
      <c r="G39" s="382"/>
      <c r="H39" s="5250" t="s">
        <v>191</v>
      </c>
      <c r="I39" s="5251"/>
      <c r="J39" s="5249" t="s">
        <v>190</v>
      </c>
      <c r="K39" s="381"/>
      <c r="L39" s="382"/>
      <c r="M39" s="5250" t="s">
        <v>191</v>
      </c>
      <c r="N39" s="5248"/>
      <c r="O39" s="5249" t="s">
        <v>190</v>
      </c>
      <c r="P39" s="381"/>
      <c r="Q39" s="382"/>
      <c r="R39" s="5250" t="s">
        <v>191</v>
      </c>
      <c r="S39" s="5242"/>
      <c r="T39" s="5249" t="s">
        <v>190</v>
      </c>
      <c r="U39" s="381"/>
      <c r="V39" s="382"/>
      <c r="W39" s="5250" t="s">
        <v>191</v>
      </c>
      <c r="X39" s="5252"/>
      <c r="Y39" s="5249" t="s">
        <v>190</v>
      </c>
      <c r="Z39" s="381"/>
      <c r="AA39" s="382"/>
      <c r="AB39" s="5250" t="s">
        <v>191</v>
      </c>
      <c r="AC39" s="5252"/>
      <c r="AD39" s="5249" t="s">
        <v>190</v>
      </c>
      <c r="AE39" s="381"/>
      <c r="AF39" s="382"/>
      <c r="AG39" s="5250" t="s">
        <v>191</v>
      </c>
      <c r="AH39" s="5253"/>
      <c r="AI39" s="3466"/>
    </row>
    <row r="40" ht="16.5" customHeight="1">
      <c r="A40" s="3368"/>
      <c r="B40" s="5247"/>
      <c r="C40" s="5241"/>
      <c r="D40" s="5248"/>
      <c r="E40" s="5254" t="s">
        <v>192</v>
      </c>
      <c r="F40" s="5255">
        <f t="array" ref="F40">IFERROR(VLOOKUP(E27,Dex!$B$3:$N244,8,FALSE),"")</f>
        <v>100</v>
      </c>
      <c r="G40" s="5256" t="str">
        <f t="array" ref="G40">IFERROR(VLOOKUP(F40,Dex!$P$22:$Q$276,2,FALSE),"")</f>
        <v/>
      </c>
      <c r="H40" s="5257">
        <v>252.0</v>
      </c>
      <c r="I40" s="5258"/>
      <c r="J40" s="5254" t="s">
        <v>192</v>
      </c>
      <c r="K40" s="5255">
        <f t="array" ref="K40">IFERROR(VLOOKUP(J27,Dex!$B$3:$N244,8,FALSE),"")</f>
        <v>60</v>
      </c>
      <c r="L40" s="5256" t="str">
        <f t="array" ref="L40">IFERROR(VLOOKUP(K40,Dex!$P$22:$Q$276,2,FALSE),"")</f>
        <v/>
      </c>
      <c r="M40" s="5257">
        <v>6.0</v>
      </c>
      <c r="N40" s="5248"/>
      <c r="O40" s="5254" t="s">
        <v>192</v>
      </c>
      <c r="P40" s="5255">
        <f t="array" ref="P40">IFERROR(VLOOKUP(O27,Dex!$B$3:$N244,8,FALSE),"")</f>
        <v>70</v>
      </c>
      <c r="Q40" s="5256" t="str">
        <f t="array" ref="Q40">IFERROR(VLOOKUP(P40,Dex!$P$22:$Q$276,2,FALSE),"")</f>
        <v/>
      </c>
      <c r="R40" s="5257">
        <v>252.0</v>
      </c>
      <c r="S40" s="5252"/>
      <c r="T40" s="5254" t="s">
        <v>192</v>
      </c>
      <c r="U40" s="5255">
        <f t="array" ref="U40">IFERROR(VLOOKUP(T27,Dex!$B$3:$N244,8,FALSE),"")</f>
        <v>70</v>
      </c>
      <c r="V40" s="5256" t="str">
        <f t="array" ref="V40">IFERROR(VLOOKUP(U40,Dex!$P$22:$Q$276,2,FALSE),"")</f>
        <v/>
      </c>
      <c r="W40" s="5257">
        <v>6.0</v>
      </c>
      <c r="X40" s="5252"/>
      <c r="Y40" s="5254" t="s">
        <v>192</v>
      </c>
      <c r="Z40" s="5255">
        <f t="array" ref="Z40">IFERROR(VLOOKUP(Y27,Dex!$B$3:$N244,8,FALSE),"")</f>
        <v>80</v>
      </c>
      <c r="AA40" s="5256" t="str">
        <f t="array" ref="AA40">IFERROR(VLOOKUP(Z40,Dex!$P$22:$Q$276,2,FALSE),"")</f>
        <v/>
      </c>
      <c r="AB40" s="5257">
        <v>6.0</v>
      </c>
      <c r="AC40" s="5252"/>
      <c r="AD40" s="5254" t="s">
        <v>192</v>
      </c>
      <c r="AE40" s="5255">
        <f t="array" ref="AE40">IFERROR(VLOOKUP(AD27,Dex!$B$3:$N244,8,FALSE),"")</f>
        <v>100</v>
      </c>
      <c r="AF40" s="5256" t="str">
        <f t="array" ref="AF40">IFERROR(VLOOKUP(AE40,Dex!$P$22:$Q$276,2,FALSE),"")</f>
        <v/>
      </c>
      <c r="AG40" s="5257">
        <v>6.0</v>
      </c>
      <c r="AH40" s="5253"/>
      <c r="AI40" s="3466"/>
    </row>
    <row r="41" ht="16.5" customHeight="1">
      <c r="A41" s="3368"/>
      <c r="B41" s="5247"/>
      <c r="C41" s="5241"/>
      <c r="D41" s="5248"/>
      <c r="E41" s="5259" t="s">
        <v>193</v>
      </c>
      <c r="F41" s="5260">
        <f t="array" ref="F41">IFERROR(VLOOKUP(E27,Dex!$B$3:$N244,9,FALSE),"")</f>
        <v>110</v>
      </c>
      <c r="G41" s="5261" t="str">
        <f t="array" ref="G41">IFERROR(VLOOKUP(F41,Dex!$P$22:$Q$276,2,FALSE),"")</f>
        <v/>
      </c>
      <c r="H41" s="5262">
        <v>252.0</v>
      </c>
      <c r="I41" s="5258"/>
      <c r="J41" s="5259" t="s">
        <v>193</v>
      </c>
      <c r="K41" s="5260">
        <f t="array" ref="K41">IFERROR(VLOOKUP(J27,Dex!$B$3:$N244,9,FALSE),"")</f>
        <v>50</v>
      </c>
      <c r="L41" s="5261" t="str">
        <f t="array" ref="L41">IFERROR(VLOOKUP(K41,Dex!$P$22:$Q$276,2,FALSE),"")</f>
        <v/>
      </c>
      <c r="M41" s="5262"/>
      <c r="N41" s="5248"/>
      <c r="O41" s="5259" t="s">
        <v>193</v>
      </c>
      <c r="P41" s="5260">
        <f t="array" ref="P41">IFERROR(VLOOKUP(O27,Dex!$B$3:$N244,9,FALSE),"")</f>
        <v>130</v>
      </c>
      <c r="Q41" s="5261" t="str">
        <f t="array" ref="Q41">IFERROR(VLOOKUP(P41,Dex!$P$22:$Q$276,2,FALSE),"")</f>
        <v/>
      </c>
      <c r="R41" s="5262">
        <v>252.0</v>
      </c>
      <c r="S41" s="5252"/>
      <c r="T41" s="5259" t="s">
        <v>193</v>
      </c>
      <c r="U41" s="5260">
        <f t="array" ref="U41">IFERROR(VLOOKUP(T27,Dex!$B$3:$N244,9,FALSE),"")</f>
        <v>65</v>
      </c>
      <c r="V41" s="5261" t="str">
        <f t="array" ref="V41">IFERROR(VLOOKUP(U41,Dex!$P$22:$Q$276,2,FALSE),"")</f>
        <v/>
      </c>
      <c r="W41" s="5262"/>
      <c r="X41" s="5252"/>
      <c r="Y41" s="5259" t="s">
        <v>193</v>
      </c>
      <c r="Z41" s="5260">
        <f t="array" ref="Z41">IFERROR(VLOOKUP(Y27,Dex!$B$3:$N244,9,FALSE),"")</f>
        <v>92</v>
      </c>
      <c r="AA41" s="5261" t="str">
        <f t="array" ref="AA41">IFERROR(VLOOKUP(Z41,Dex!$P$22:$Q$276,2,FALSE),"")</f>
        <v/>
      </c>
      <c r="AB41" s="5262">
        <v>252.0</v>
      </c>
      <c r="AC41" s="5252"/>
      <c r="AD41" s="5259" t="s">
        <v>193</v>
      </c>
      <c r="AE41" s="5260">
        <f t="array" ref="AE41">IFERROR(VLOOKUP(AD27,Dex!$B$3:$N244,9,FALSE),"")</f>
        <v>150</v>
      </c>
      <c r="AF41" s="5261" t="str">
        <f t="array" ref="AF41">IFERROR(VLOOKUP(AE41,Dex!$P$22:$Q$276,2,FALSE),"")</f>
        <v/>
      </c>
      <c r="AG41" s="5262">
        <v>252.0</v>
      </c>
      <c r="AH41" s="5253"/>
      <c r="AI41" s="3466"/>
    </row>
    <row r="42" ht="16.5" customHeight="1">
      <c r="A42" s="3368"/>
      <c r="B42" s="5247"/>
      <c r="C42" s="5241"/>
      <c r="D42" s="5248"/>
      <c r="E42" s="5259" t="s">
        <v>194</v>
      </c>
      <c r="F42" s="5260">
        <f t="array" ref="F42">IFERROR(VLOOKUP(E27,Dex!$B$3:$N244,10,FALSE),"")</f>
        <v>90</v>
      </c>
      <c r="G42" s="5261" t="str">
        <f t="array" ref="G42">IFERROR(VLOOKUP(F42,Dex!$P$22:$Q$276,2,FALSE),"")</f>
        <v/>
      </c>
      <c r="H42" s="5262"/>
      <c r="I42" s="5258"/>
      <c r="J42" s="5259" t="s">
        <v>194</v>
      </c>
      <c r="K42" s="5260">
        <f t="array" ref="K42">IFERROR(VLOOKUP(J27,Dex!$B$3:$N244,10,FALSE),"")</f>
        <v>100</v>
      </c>
      <c r="L42" s="5261" t="str">
        <f t="array" ref="L42">IFERROR(VLOOKUP(K42,Dex!$P$22:$Q$276,2,FALSE),"")</f>
        <v/>
      </c>
      <c r="M42" s="5262"/>
      <c r="N42" s="5248"/>
      <c r="O42" s="5259" t="s">
        <v>194</v>
      </c>
      <c r="P42" s="5260">
        <f t="array" ref="P42">IFERROR(VLOOKUP(O27,Dex!$B$3:$N244,10,FALSE),"")</f>
        <v>100</v>
      </c>
      <c r="Q42" s="5261" t="str">
        <f t="array" ref="Q42">IFERROR(VLOOKUP(P42,Dex!$P$22:$Q$276,2,FALSE),"")</f>
        <v/>
      </c>
      <c r="R42" s="5262"/>
      <c r="S42" s="5252"/>
      <c r="T42" s="5259" t="s">
        <v>194</v>
      </c>
      <c r="U42" s="5260">
        <f t="array" ref="U42">IFERROR(VLOOKUP(T27,Dex!$B$3:$N244,10,FALSE),"")</f>
        <v>65</v>
      </c>
      <c r="V42" s="5261" t="str">
        <f t="array" ref="V42">IFERROR(VLOOKUP(U42,Dex!$P$22:$Q$276,2,FALSE),"")</f>
        <v/>
      </c>
      <c r="W42" s="5262"/>
      <c r="X42" s="5252"/>
      <c r="Y42" s="5259" t="s">
        <v>194</v>
      </c>
      <c r="Z42" s="5260">
        <f t="array" ref="Z42">IFERROR(VLOOKUP(Y27,Dex!$B$3:$N244,10,FALSE),"")</f>
        <v>65</v>
      </c>
      <c r="AA42" s="5261" t="str">
        <f t="array" ref="AA42">IFERROR(VLOOKUP(Z42,Dex!$P$22:$Q$276,2,FALSE),"")</f>
        <v/>
      </c>
      <c r="AB42" s="5262"/>
      <c r="AC42" s="5252"/>
      <c r="AD42" s="5259" t="s">
        <v>194</v>
      </c>
      <c r="AE42" s="5260">
        <f t="array" ref="AE42">IFERROR(VLOOKUP(AD27,Dex!$B$3:$N244,10,FALSE),"")</f>
        <v>110</v>
      </c>
      <c r="AF42" s="5261" t="str">
        <f t="array" ref="AF42">IFERROR(VLOOKUP(AE42,Dex!$P$22:$Q$276,2,FALSE),"")</f>
        <v/>
      </c>
      <c r="AG42" s="5262"/>
      <c r="AH42" s="5253"/>
      <c r="AI42" s="3466"/>
    </row>
    <row r="43" ht="16.5" customHeight="1">
      <c r="A43" s="3368"/>
      <c r="B43" s="5247"/>
      <c r="C43" s="5241"/>
      <c r="D43" s="5248"/>
      <c r="E43" s="5259" t="s">
        <v>195</v>
      </c>
      <c r="F43" s="5260">
        <f t="array" ref="F43">IFERROR(VLOOKUP(E27,Dex!$B$3:$N244,11,FALSE),"")</f>
        <v>85</v>
      </c>
      <c r="G43" s="5261" t="str">
        <f t="array" ref="G43">IFERROR(VLOOKUP(F43,Dex!$P$22:$Q$276,2,FALSE),"")</f>
        <v/>
      </c>
      <c r="H43" s="5262"/>
      <c r="I43" s="5258"/>
      <c r="J43" s="5259" t="s">
        <v>195</v>
      </c>
      <c r="K43" s="5260">
        <f t="array" ref="K43">IFERROR(VLOOKUP(J27,Dex!$B$3:$N244,11,FALSE),"")</f>
        <v>95</v>
      </c>
      <c r="L43" s="5261" t="str">
        <f t="array" ref="L43">IFERROR(VLOOKUP(K43,Dex!$P$22:$Q$276,2,FALSE),"")</f>
        <v/>
      </c>
      <c r="M43" s="5262">
        <v>252.0</v>
      </c>
      <c r="N43" s="5248"/>
      <c r="O43" s="5259" t="s">
        <v>195</v>
      </c>
      <c r="P43" s="5260">
        <f t="array" ref="P43">IFERROR(VLOOKUP(O27,Dex!$B$3:$N244,11,FALSE),"")</f>
        <v>55</v>
      </c>
      <c r="Q43" s="5261" t="str">
        <f t="array" ref="Q43">IFERROR(VLOOKUP(P43,Dex!$P$22:$Q$276,2,FALSE),"")</f>
        <v/>
      </c>
      <c r="R43" s="5262"/>
      <c r="S43" s="5252"/>
      <c r="T43" s="5259" t="s">
        <v>195</v>
      </c>
      <c r="U43" s="5260">
        <f t="array" ref="U43">IFERROR(VLOOKUP(T27,Dex!$B$3:$N244,11,FALSE),"")</f>
        <v>125</v>
      </c>
      <c r="V43" s="5261" t="str">
        <f t="array" ref="V43">IFERROR(VLOOKUP(U43,Dex!$P$22:$Q$276,2,FALSE),"")</f>
        <v/>
      </c>
      <c r="W43" s="5262">
        <v>252.0</v>
      </c>
      <c r="X43" s="5252"/>
      <c r="Y43" s="5259" t="s">
        <v>195</v>
      </c>
      <c r="Z43" s="5260">
        <f t="array" ref="Z43">IFERROR(VLOOKUP(Y27,Dex!$B$3:$N244,11,FALSE),"")</f>
        <v>65</v>
      </c>
      <c r="AA43" s="5261" t="str">
        <f t="array" ref="AA43">IFERROR(VLOOKUP(Z43,Dex!$P$22:$Q$276,2,FALSE),"")</f>
        <v/>
      </c>
      <c r="AB43" s="5262"/>
      <c r="AC43" s="5252"/>
      <c r="AD43" s="5259" t="s">
        <v>195</v>
      </c>
      <c r="AE43" s="5260">
        <f t="array" ref="AE43">IFERROR(VLOOKUP(AD27,Dex!$B$3:$N244,11,FALSE),"")</f>
        <v>95</v>
      </c>
      <c r="AF43" s="5261" t="str">
        <f t="array" ref="AF43">IFERROR(VLOOKUP(AE43,Dex!$P$22:$Q$276,2,FALSE),"")</f>
        <v/>
      </c>
      <c r="AG43" s="5262"/>
      <c r="AH43" s="5253"/>
      <c r="AI43" s="3466"/>
    </row>
    <row r="44" ht="16.5" customHeight="1">
      <c r="A44" s="3368"/>
      <c r="B44" s="5247"/>
      <c r="C44" s="5241"/>
      <c r="D44" s="5248"/>
      <c r="E44" s="5259" t="s">
        <v>196</v>
      </c>
      <c r="F44" s="5260">
        <f t="array" ref="F44">IFERROR(VLOOKUP(E27,Dex!$B$3:$N244,12,FALSE),"")</f>
        <v>90</v>
      </c>
      <c r="G44" s="5261" t="str">
        <f t="array" ref="G44">IFERROR(VLOOKUP(F44,Dex!$P$22:$Q$276,2,FALSE),"")</f>
        <v/>
      </c>
      <c r="H44" s="5262"/>
      <c r="I44" s="5258"/>
      <c r="J44" s="5259" t="s">
        <v>196</v>
      </c>
      <c r="K44" s="5260">
        <f t="array" ref="K44">IFERROR(VLOOKUP(J27,Dex!$B$3:$N244,12,FALSE),"")</f>
        <v>70</v>
      </c>
      <c r="L44" s="5261" t="str">
        <f t="array" ref="L44">IFERROR(VLOOKUP(K44,Dex!$P$22:$Q$276,2,FALSE),"")</f>
        <v/>
      </c>
      <c r="M44" s="5262"/>
      <c r="N44" s="5248"/>
      <c r="O44" s="5259" t="s">
        <v>196</v>
      </c>
      <c r="P44" s="5260">
        <f t="array" ref="P44">IFERROR(VLOOKUP(O27,Dex!$B$3:$N244,12,FALSE),"")</f>
        <v>80</v>
      </c>
      <c r="Q44" s="5261" t="str">
        <f t="array" ref="Q44">IFERROR(VLOOKUP(P44,Dex!$P$22:$Q$276,2,FALSE),"")</f>
        <v/>
      </c>
      <c r="R44" s="5262"/>
      <c r="S44" s="5252"/>
      <c r="T44" s="5259" t="s">
        <v>196</v>
      </c>
      <c r="U44" s="5260">
        <f t="array" ref="U44">IFERROR(VLOOKUP(T27,Dex!$B$3:$N244,12,FALSE),"")</f>
        <v>90</v>
      </c>
      <c r="V44" s="5261" t="str">
        <f t="array" ref="V44">IFERROR(VLOOKUP(U44,Dex!$P$22:$Q$276,2,FALSE),"")</f>
        <v/>
      </c>
      <c r="W44" s="5262"/>
      <c r="X44" s="5252"/>
      <c r="Y44" s="5259" t="s">
        <v>196</v>
      </c>
      <c r="Z44" s="5260">
        <f t="array" ref="Z44">IFERROR(VLOOKUP(Y27,Dex!$B$3:$N244,12,FALSE),"")</f>
        <v>80</v>
      </c>
      <c r="AA44" s="5261" t="str">
        <f t="array" ref="AA44">IFERROR(VLOOKUP(Z44,Dex!$P$22:$Q$276,2,FALSE),"")</f>
        <v/>
      </c>
      <c r="AB44" s="5262"/>
      <c r="AC44" s="5252"/>
      <c r="AD44" s="5259" t="s">
        <v>196</v>
      </c>
      <c r="AE44" s="5260">
        <f t="array" ref="AE44">IFERROR(VLOOKUP(AD27,Dex!$B$3:$N244,12,FALSE),"")</f>
        <v>110</v>
      </c>
      <c r="AF44" s="5261" t="str">
        <f t="array" ref="AF44">IFERROR(VLOOKUP(AE44,Dex!$P$22:$Q$276,2,FALSE),"")</f>
        <v/>
      </c>
      <c r="AG44" s="5262"/>
      <c r="AH44" s="5253"/>
      <c r="AI44" s="3466"/>
    </row>
    <row r="45" ht="16.5" customHeight="1">
      <c r="A45" s="3368"/>
      <c r="B45" s="5247"/>
      <c r="C45" s="1204" t="s">
        <v>436</v>
      </c>
      <c r="D45" s="5248"/>
      <c r="E45" s="5263" t="s">
        <v>197</v>
      </c>
      <c r="F45" s="5264">
        <f t="array" ref="F45">IFERROR(VLOOKUP(E27,Dex!$B$3:$N244,13,FALSE),"")</f>
        <v>60</v>
      </c>
      <c r="G45" s="5265" t="str">
        <f t="array" ref="G45">IFERROR(VLOOKUP(F45,Dex!$P$22:$Q$276,2,FALSE),"")</f>
        <v/>
      </c>
      <c r="H45" s="5266">
        <v>6.0</v>
      </c>
      <c r="I45" s="5258"/>
      <c r="J45" s="5263" t="s">
        <v>197</v>
      </c>
      <c r="K45" s="5264">
        <f t="array" ref="K45">IFERROR(VLOOKUP(J27,Dex!$B$3:$N244,13,FALSE),"")</f>
        <v>65</v>
      </c>
      <c r="L45" s="5265" t="str">
        <f t="array" ref="L45">IFERROR(VLOOKUP(K45,Dex!$P$22:$Q$276,2,FALSE),"")</f>
        <v/>
      </c>
      <c r="M45" s="5266">
        <v>252.0</v>
      </c>
      <c r="N45" s="5248"/>
      <c r="O45" s="5263" t="s">
        <v>197</v>
      </c>
      <c r="P45" s="5264">
        <f t="array" ref="P45">IFERROR(VLOOKUP(O27,Dex!$B$3:$N244,13,FALSE),"")</f>
        <v>65</v>
      </c>
      <c r="Q45" s="5265" t="str">
        <f t="array" ref="Q45">IFERROR(VLOOKUP(P45,Dex!$P$22:$Q$276,2,FALSE),"")</f>
        <v/>
      </c>
      <c r="R45" s="5266">
        <v>6.0</v>
      </c>
      <c r="S45" s="5252"/>
      <c r="T45" s="5263" t="s">
        <v>197</v>
      </c>
      <c r="U45" s="5264">
        <f t="array" ref="U45">IFERROR(VLOOKUP(T27,Dex!$B$3:$N244,13,FALSE),"")</f>
        <v>65</v>
      </c>
      <c r="V45" s="5265" t="str">
        <f t="array" ref="V45">IFERROR(VLOOKUP(U45,Dex!$P$22:$Q$276,2,FALSE),"")</f>
        <v/>
      </c>
      <c r="W45" s="5266">
        <v>252.0</v>
      </c>
      <c r="X45" s="5252"/>
      <c r="Y45" s="5263" t="s">
        <v>197</v>
      </c>
      <c r="Z45" s="5264">
        <f t="array" ref="Z45">IFERROR(VLOOKUP(Y27,Dex!$B$3:$N244,13,FALSE),"")</f>
        <v>68</v>
      </c>
      <c r="AA45" s="5265" t="str">
        <f t="array" ref="AA45">IFERROR(VLOOKUP(Z45,Dex!$P$22:$Q$276,2,FALSE),"")</f>
        <v/>
      </c>
      <c r="AB45" s="5266">
        <v>252.0</v>
      </c>
      <c r="AC45" s="5252"/>
      <c r="AD45" s="5263" t="s">
        <v>197</v>
      </c>
      <c r="AE45" s="5264">
        <f t="array" ref="AE45">IFERROR(VLOOKUP(AD27,Dex!$B$3:$N244,13,FALSE),"")</f>
        <v>70</v>
      </c>
      <c r="AF45" s="5265" t="str">
        <f t="array" ref="AF45">IFERROR(VLOOKUP(AE45,Dex!$P$22:$Q$276,2,FALSE),"")</f>
        <v/>
      </c>
      <c r="AG45" s="5266">
        <v>252.0</v>
      </c>
      <c r="AH45" s="5253"/>
      <c r="AI45" s="3466"/>
    </row>
    <row r="46" ht="16.5" customHeight="1">
      <c r="A46" s="3368"/>
      <c r="B46" s="5247"/>
      <c r="C46" s="1205" t="s">
        <v>611</v>
      </c>
      <c r="D46" s="5248"/>
      <c r="E46" s="5267" t="s">
        <v>198</v>
      </c>
      <c r="F46" s="405"/>
      <c r="G46" s="406"/>
      <c r="H46" s="5268">
        <v>91.0</v>
      </c>
      <c r="I46" s="5251"/>
      <c r="J46" s="5267" t="s">
        <v>198</v>
      </c>
      <c r="K46" s="405"/>
      <c r="L46" s="406"/>
      <c r="M46" s="5268">
        <v>132.0</v>
      </c>
      <c r="N46" s="5248"/>
      <c r="O46" s="5267" t="s">
        <v>198</v>
      </c>
      <c r="P46" s="405"/>
      <c r="Q46" s="406"/>
      <c r="R46" s="5268">
        <v>97.0</v>
      </c>
      <c r="S46" s="5252"/>
      <c r="T46" s="5267" t="s">
        <v>198</v>
      </c>
      <c r="U46" s="405"/>
      <c r="V46" s="406"/>
      <c r="W46" s="5268">
        <v>132.0</v>
      </c>
      <c r="X46" s="5252"/>
      <c r="Y46" s="5267" t="s">
        <v>198</v>
      </c>
      <c r="Z46" s="405"/>
      <c r="AA46" s="406"/>
      <c r="AB46" s="5268">
        <v>136.0</v>
      </c>
      <c r="AC46" s="5252"/>
      <c r="AD46" s="5269" t="s">
        <v>198</v>
      </c>
      <c r="AE46" s="918"/>
      <c r="AF46" s="919"/>
      <c r="AG46" s="5270">
        <v>138.0</v>
      </c>
      <c r="AH46" s="5253"/>
      <c r="AI46" s="3466"/>
    </row>
    <row r="47" ht="16.5" customHeight="1">
      <c r="A47" s="3368"/>
      <c r="B47" s="5271"/>
      <c r="C47" s="5241"/>
      <c r="D47" s="5272"/>
      <c r="E47" s="5241"/>
      <c r="F47" s="5241"/>
      <c r="G47" s="5241"/>
      <c r="H47" s="5241"/>
      <c r="I47" s="5273"/>
      <c r="J47" s="5241"/>
      <c r="K47" s="5241"/>
      <c r="L47" s="5241"/>
      <c r="M47" s="5241"/>
      <c r="N47" s="5272"/>
      <c r="O47" s="5241"/>
      <c r="P47" s="5241"/>
      <c r="Q47" s="5241"/>
      <c r="R47" s="5241"/>
      <c r="S47" s="5274"/>
      <c r="T47" s="5241"/>
      <c r="U47" s="5241"/>
      <c r="V47" s="5241"/>
      <c r="W47" s="5241"/>
      <c r="X47" s="5274"/>
      <c r="Y47" s="5241"/>
      <c r="Z47" s="5241"/>
      <c r="AA47" s="5241"/>
      <c r="AB47" s="5241"/>
      <c r="AC47" s="5274"/>
      <c r="AD47" s="5275" t="s">
        <v>465</v>
      </c>
      <c r="AE47" s="925"/>
      <c r="AF47" s="926"/>
      <c r="AG47" s="5276">
        <v>276.0</v>
      </c>
      <c r="AH47" s="5277"/>
      <c r="AI47" s="3466"/>
    </row>
    <row r="48" ht="15.0" customHeight="1">
      <c r="A48" s="3368"/>
      <c r="B48" s="5278"/>
      <c r="C48" s="5279"/>
      <c r="D48" s="5279"/>
      <c r="E48" s="5280"/>
      <c r="F48" s="5280"/>
      <c r="G48" s="5280"/>
      <c r="H48" s="5280"/>
      <c r="I48" s="5279"/>
      <c r="J48" s="5281"/>
      <c r="K48" s="5281"/>
      <c r="L48" s="5281"/>
      <c r="M48" s="5280"/>
      <c r="N48" s="5279"/>
      <c r="O48" s="5280"/>
      <c r="P48" s="5280"/>
      <c r="Q48" s="5280"/>
      <c r="R48" s="5280"/>
      <c r="S48" s="5279"/>
      <c r="T48" s="5280"/>
      <c r="U48" s="5280"/>
      <c r="V48" s="5280"/>
      <c r="W48" s="5280"/>
      <c r="X48" s="5279"/>
      <c r="Y48" s="5280"/>
      <c r="Z48" s="5280"/>
      <c r="AA48" s="5280"/>
      <c r="AB48" s="5280"/>
      <c r="AC48" s="5279"/>
      <c r="AD48" s="5280"/>
      <c r="AE48" s="5280"/>
      <c r="AF48" s="5280"/>
      <c r="AG48" s="5280"/>
      <c r="AH48" s="5282"/>
      <c r="AI48" s="3466"/>
    </row>
    <row r="49" ht="15.0" customHeight="1">
      <c r="A49" s="3361"/>
      <c r="B49" s="4751"/>
      <c r="C49" s="4752"/>
      <c r="D49" s="4752"/>
      <c r="E49" s="5283"/>
      <c r="F49" s="5283"/>
      <c r="G49" s="5283"/>
      <c r="H49" s="5283"/>
      <c r="I49" s="4752"/>
      <c r="J49" s="5283"/>
      <c r="K49" s="5283"/>
      <c r="L49" s="5283"/>
      <c r="M49" s="5283"/>
      <c r="N49" s="4752"/>
      <c r="O49" s="5283"/>
      <c r="P49" s="5283"/>
      <c r="Q49" s="5283"/>
      <c r="R49" s="5283"/>
      <c r="S49" s="4752"/>
      <c r="T49" s="4752"/>
      <c r="U49" s="4752"/>
      <c r="V49" s="4752"/>
      <c r="W49" s="4752"/>
      <c r="X49" s="4752"/>
      <c r="Y49" s="4752"/>
      <c r="Z49" s="4752"/>
      <c r="AA49" s="4752"/>
      <c r="AB49" s="4752"/>
      <c r="AC49" s="4752"/>
      <c r="AD49" s="4752"/>
      <c r="AE49" s="4752"/>
      <c r="AF49" s="4752"/>
      <c r="AG49" s="4752"/>
      <c r="AH49" s="4753"/>
      <c r="AI49" s="3367"/>
    </row>
    <row r="50" ht="96.75" customHeight="1">
      <c r="A50" s="3361"/>
      <c r="B50" s="4761"/>
      <c r="C50" s="5284" t="str">
        <f>IMAGE("https://i.ibb.co/bN4WBzT/Beauty.png")</f>
        <v/>
      </c>
      <c r="D50" s="4763"/>
      <c r="E50" s="4764" t="str">
        <f t="array" ref="E50">IFERROR(VLOOKUP(E51,Dex!$B$3:$G244,3,FALSE),"")</f>
        <v/>
      </c>
      <c r="F50" s="1830"/>
      <c r="G50" s="1830"/>
      <c r="H50" s="1831"/>
      <c r="I50" s="4799"/>
      <c r="J50" s="4764" t="str">
        <f t="array" ref="J50">IFERROR(VLOOKUP(J51,Dex!$B$3:$G244,3,FALSE),"")</f>
        <v/>
      </c>
      <c r="K50" s="1830"/>
      <c r="L50" s="1830"/>
      <c r="M50" s="1831"/>
      <c r="N50" s="4799"/>
      <c r="O50" s="4764" t="str">
        <f t="array" ref="O50">IFERROR(VLOOKUP(O51,Dex!$B$3:$G244,3,FALSE),"")</f>
        <v/>
      </c>
      <c r="P50" s="1830"/>
      <c r="Q50" s="1830"/>
      <c r="R50" s="1831"/>
      <c r="S50" s="4799"/>
      <c r="T50" s="4767"/>
      <c r="U50" s="4768"/>
      <c r="V50" s="4768"/>
      <c r="W50" s="4769"/>
      <c r="X50" s="4799"/>
      <c r="Y50" s="4767"/>
      <c r="Z50" s="4768"/>
      <c r="AA50" s="4768"/>
      <c r="AB50" s="4769"/>
      <c r="AC50" s="4766"/>
      <c r="AD50" s="4767"/>
      <c r="AE50" s="4768"/>
      <c r="AF50" s="4768"/>
      <c r="AG50" s="4769"/>
      <c r="AH50" s="4770"/>
      <c r="AI50" s="3367"/>
    </row>
    <row r="51" ht="18.75" customHeight="1">
      <c r="A51" s="3621"/>
      <c r="B51" s="4771"/>
      <c r="C51" s="5285" t="s">
        <v>1337</v>
      </c>
      <c r="D51" s="4773"/>
      <c r="E51" s="4774" t="s">
        <v>1338</v>
      </c>
      <c r="F51" s="4775"/>
      <c r="G51" s="4775"/>
      <c r="H51" s="4776"/>
      <c r="I51" s="4763"/>
      <c r="J51" s="4774" t="s">
        <v>1339</v>
      </c>
      <c r="K51" s="4775"/>
      <c r="L51" s="4775"/>
      <c r="M51" s="4776"/>
      <c r="N51" s="4763"/>
      <c r="O51" s="4774" t="s">
        <v>1340</v>
      </c>
      <c r="P51" s="4775"/>
      <c r="Q51" s="4775"/>
      <c r="R51" s="4776"/>
      <c r="S51" s="4763"/>
      <c r="T51" s="4784"/>
      <c r="U51" s="4768"/>
      <c r="V51" s="4768"/>
      <c r="W51" s="4769"/>
      <c r="X51" s="4763"/>
      <c r="Y51" s="4784"/>
      <c r="Z51" s="4768"/>
      <c r="AA51" s="4768"/>
      <c r="AB51" s="4769"/>
      <c r="AC51" s="4783"/>
      <c r="AD51" s="4784"/>
      <c r="AE51" s="4768"/>
      <c r="AF51" s="4768"/>
      <c r="AG51" s="4769"/>
      <c r="AH51" s="4785"/>
      <c r="AI51" s="3631"/>
    </row>
    <row r="52">
      <c r="A52" s="3632"/>
      <c r="B52" s="4786"/>
      <c r="C52" s="1481"/>
      <c r="D52" s="4787"/>
      <c r="E52" s="4788" t="s">
        <v>420</v>
      </c>
      <c r="F52" s="4789"/>
      <c r="G52" s="4789"/>
      <c r="H52" s="4790"/>
      <c r="I52" s="4773"/>
      <c r="J52" s="4788" t="s">
        <v>420</v>
      </c>
      <c r="K52" s="4789"/>
      <c r="L52" s="4789"/>
      <c r="M52" s="4790"/>
      <c r="N52" s="4773"/>
      <c r="O52" s="4788" t="s">
        <v>420</v>
      </c>
      <c r="P52" s="4789"/>
      <c r="Q52" s="4789"/>
      <c r="R52" s="4790"/>
      <c r="S52" s="4773"/>
      <c r="T52" s="4797"/>
      <c r="U52" s="4768"/>
      <c r="V52" s="4768"/>
      <c r="W52" s="4769"/>
      <c r="X52" s="4773"/>
      <c r="Y52" s="4797"/>
      <c r="Z52" s="4768"/>
      <c r="AA52" s="4768"/>
      <c r="AB52" s="4769"/>
      <c r="AC52" s="4783"/>
      <c r="AD52" s="4797"/>
      <c r="AE52" s="4768"/>
      <c r="AF52" s="4768"/>
      <c r="AG52" s="4769"/>
      <c r="AH52" s="4798"/>
      <c r="AI52" s="3640"/>
    </row>
    <row r="53" ht="25.5" customHeight="1">
      <c r="A53" s="3361"/>
      <c r="B53" s="4761"/>
      <c r="C53" s="1489"/>
      <c r="D53" s="4799"/>
      <c r="E53" s="4800"/>
      <c r="F53" s="4804" t="str">
        <f t="array" ref="F53">IFERROR(VLOOKUP(E51,Dex!$B$3:$H244,5,FALSE),"")</f>
        <v/>
      </c>
      <c r="G53" s="4805" t="str">
        <f t="array" ref="G53">IFERROR(VLOOKUP(E51,Dex!$B$3:$H244,7,FALSE),"")</f>
        <v/>
      </c>
      <c r="H53" s="4803"/>
      <c r="I53" s="4787"/>
      <c r="J53" s="4800"/>
      <c r="K53" s="4804" t="str">
        <f t="array" ref="K53">IFERROR(VLOOKUP(J51,Dex!$B$3:$H244,5,FALSE),"")</f>
        <v/>
      </c>
      <c r="L53" s="4805" t="str">
        <f t="array" ref="L53">IFERROR(VLOOKUP(J51,Dex!$B$3:$H244,7,FALSE),"")</f>
        <v/>
      </c>
      <c r="M53" s="4803"/>
      <c r="N53" s="4787"/>
      <c r="O53" s="4800"/>
      <c r="P53" s="4804" t="str">
        <f t="array" ref="P53">IFERROR(VLOOKUP(O51,Dex!$B$3:$H244,5,FALSE),"")</f>
        <v/>
      </c>
      <c r="Q53" s="4805" t="str">
        <f t="array" ref="Q53">IFERROR(VLOOKUP(O51,Dex!$B$3:$H244,7,FALSE),"")</f>
        <v/>
      </c>
      <c r="R53" s="4803"/>
      <c r="S53" s="4787"/>
      <c r="T53" s="4812"/>
      <c r="U53" s="4768"/>
      <c r="V53" s="4768"/>
      <c r="W53" s="4769"/>
      <c r="X53" s="4787"/>
      <c r="Y53" s="4812"/>
      <c r="Z53" s="4768"/>
      <c r="AA53" s="4768"/>
      <c r="AB53" s="4769"/>
      <c r="AC53" s="4783"/>
      <c r="AD53" s="4812"/>
      <c r="AE53" s="4768"/>
      <c r="AF53" s="4768"/>
      <c r="AG53" s="4769"/>
      <c r="AH53" s="4770"/>
      <c r="AI53" s="3367"/>
    </row>
    <row r="54" ht="2.25" customHeight="1">
      <c r="A54" s="3361"/>
      <c r="B54" s="4761"/>
      <c r="C54" s="4835"/>
      <c r="D54" s="4799"/>
      <c r="E54" s="4813"/>
      <c r="F54" s="4814"/>
      <c r="G54" s="4814"/>
      <c r="H54" s="4815"/>
      <c r="I54" s="4799"/>
      <c r="J54" s="4813"/>
      <c r="K54" s="4814"/>
      <c r="L54" s="4814"/>
      <c r="M54" s="4815"/>
      <c r="N54" s="4799"/>
      <c r="O54" s="4813"/>
      <c r="P54" s="4814"/>
      <c r="Q54" s="4814"/>
      <c r="R54" s="4815"/>
      <c r="S54" s="4799"/>
      <c r="T54" s="4756"/>
      <c r="U54" s="4756"/>
      <c r="V54" s="4756"/>
      <c r="W54" s="4756"/>
      <c r="X54" s="4799"/>
      <c r="Y54" s="4756"/>
      <c r="Z54" s="4756"/>
      <c r="AA54" s="4756"/>
      <c r="AB54" s="4756"/>
      <c r="AC54" s="4783"/>
      <c r="AD54" s="4756"/>
      <c r="AE54" s="4756"/>
      <c r="AF54" s="4756"/>
      <c r="AG54" s="4756"/>
      <c r="AH54" s="4770"/>
      <c r="AI54" s="3367"/>
    </row>
    <row r="55" ht="20.25" customHeight="1">
      <c r="A55" s="3361"/>
      <c r="B55" s="4761"/>
      <c r="C55" s="4835"/>
      <c r="D55" s="4799"/>
      <c r="E55" s="4819" t="s">
        <v>205</v>
      </c>
      <c r="F55" s="4820"/>
      <c r="G55" s="4820"/>
      <c r="H55" s="4821"/>
      <c r="I55" s="4799"/>
      <c r="J55" s="4819" t="s">
        <v>264</v>
      </c>
      <c r="K55" s="4820"/>
      <c r="L55" s="4820"/>
      <c r="M55" s="4821"/>
      <c r="N55" s="4799"/>
      <c r="O55" s="4819" t="s">
        <v>172</v>
      </c>
      <c r="P55" s="4820"/>
      <c r="Q55" s="4820"/>
      <c r="R55" s="4821"/>
      <c r="S55" s="4799"/>
      <c r="T55" s="4767"/>
      <c r="U55" s="4768"/>
      <c r="V55" s="4768"/>
      <c r="W55" s="4769"/>
      <c r="X55" s="4799"/>
      <c r="Y55" s="4767"/>
      <c r="Z55" s="4768"/>
      <c r="AA55" s="4768"/>
      <c r="AB55" s="4769"/>
      <c r="AC55" s="4783"/>
      <c r="AD55" s="4767"/>
      <c r="AE55" s="4768"/>
      <c r="AF55" s="4768"/>
      <c r="AG55" s="4769"/>
      <c r="AH55" s="4770"/>
      <c r="AI55" s="3367"/>
    </row>
    <row r="56">
      <c r="A56" s="3361"/>
      <c r="B56" s="4761"/>
      <c r="C56" s="4835"/>
      <c r="D56" s="4799"/>
      <c r="E56" s="4825" t="s">
        <v>391</v>
      </c>
      <c r="F56" s="4768"/>
      <c r="G56" s="4768"/>
      <c r="H56" s="4826"/>
      <c r="I56" s="4799"/>
      <c r="J56" s="4825" t="s">
        <v>1341</v>
      </c>
      <c r="K56" s="4768"/>
      <c r="L56" s="4768"/>
      <c r="M56" s="4826"/>
      <c r="N56" s="4799"/>
      <c r="O56" s="4825" t="s">
        <v>532</v>
      </c>
      <c r="P56" s="4768"/>
      <c r="Q56" s="4768"/>
      <c r="R56" s="4826"/>
      <c r="S56" s="4799"/>
      <c r="T56" s="4767"/>
      <c r="U56" s="4768"/>
      <c r="V56" s="4768"/>
      <c r="W56" s="4769"/>
      <c r="X56" s="4799"/>
      <c r="Y56" s="4767"/>
      <c r="Z56" s="4768"/>
      <c r="AA56" s="4768"/>
      <c r="AB56" s="4769"/>
      <c r="AC56" s="4783"/>
      <c r="AD56" s="4767"/>
      <c r="AE56" s="4768"/>
      <c r="AF56" s="4768"/>
      <c r="AG56" s="4769"/>
      <c r="AH56" s="4770"/>
      <c r="AI56" s="3367"/>
    </row>
    <row r="57" ht="20.25" customHeight="1">
      <c r="A57" s="3361"/>
      <c r="B57" s="4754"/>
      <c r="C57" s="4835"/>
      <c r="D57" s="4767"/>
      <c r="E57" s="4829" t="s">
        <v>240</v>
      </c>
      <c r="F57" s="4758"/>
      <c r="G57" s="4759"/>
      <c r="H57" s="4830" t="str">
        <f>IMAGE("https://raw.githubusercontent.com/msikma/pokesprite/master/items/hold-item/focus-sash.png",3)</f>
        <v/>
      </c>
      <c r="I57" s="4799"/>
      <c r="J57" s="4829" t="s">
        <v>1342</v>
      </c>
      <c r="K57" s="4758"/>
      <c r="L57" s="4759"/>
      <c r="M57" s="4830" t="str">
        <f>IMAGE("https://raw.githubusercontent.com/msikma/pokesprite/master/items/mega-stone/venusaurite.png",3)</f>
        <v/>
      </c>
      <c r="N57" s="4799"/>
      <c r="O57" s="4829" t="s">
        <v>1343</v>
      </c>
      <c r="P57" s="4758"/>
      <c r="Q57" s="4759"/>
      <c r="R57" s="4830" t="str">
        <f>IMAGE("https://raw.githubusercontent.com/msikma/pokesprite/master/items/curry-ingredient/large-leek.png",3)</f>
        <v/>
      </c>
      <c r="S57" s="4799"/>
      <c r="T57" s="4767"/>
      <c r="U57" s="4768"/>
      <c r="V57" s="4768"/>
      <c r="W57" s="4769"/>
      <c r="X57" s="4799"/>
      <c r="Y57" s="4767"/>
      <c r="Z57" s="4768"/>
      <c r="AA57" s="4768"/>
      <c r="AB57" s="4769"/>
      <c r="AC57" s="4783"/>
      <c r="AD57" s="4767"/>
      <c r="AE57" s="4768"/>
      <c r="AF57" s="4768"/>
      <c r="AG57" s="4769"/>
      <c r="AH57" s="4770"/>
      <c r="AI57" s="3367"/>
    </row>
    <row r="58" ht="20.25" customHeight="1">
      <c r="A58" s="3361"/>
      <c r="B58" s="4754"/>
      <c r="C58" s="4835"/>
      <c r="D58" s="4836"/>
      <c r="E58" s="4819" t="s">
        <v>629</v>
      </c>
      <c r="F58" s="4820"/>
      <c r="G58" s="4837"/>
      <c r="H58" s="4838" t="str">
        <f>IMAGE("https://raw.githubusercontent.com/msikma/pokesprite/master/misc/types/gen8/normal.png",4,20,20)</f>
        <v/>
      </c>
      <c r="I58" s="4767"/>
      <c r="J58" s="4819" t="s">
        <v>811</v>
      </c>
      <c r="K58" s="4820"/>
      <c r="L58" s="4837"/>
      <c r="M58" s="4838" t="str">
        <f>IMAGE("https://raw.githubusercontent.com/msikma/pokesprite/master/misc/types/gen8/dragon.png",4,20,20)</f>
        <v/>
      </c>
      <c r="N58" s="4767"/>
      <c r="O58" s="4819" t="s">
        <v>749</v>
      </c>
      <c r="P58" s="4820"/>
      <c r="Q58" s="4837"/>
      <c r="R58" s="4838" t="str">
        <f>IMAGE("https://raw.githubusercontent.com/msikma/pokesprite/master/misc/types/gen8/flying.png",4,20,20)</f>
        <v/>
      </c>
      <c r="S58" s="4767"/>
      <c r="T58" s="4767"/>
      <c r="U58" s="4768"/>
      <c r="V58" s="4768"/>
      <c r="W58" s="4769"/>
      <c r="X58" s="4767"/>
      <c r="Y58" s="4767"/>
      <c r="Z58" s="4768"/>
      <c r="AA58" s="4768"/>
      <c r="AB58" s="4769"/>
      <c r="AC58" s="4783"/>
      <c r="AD58" s="4767"/>
      <c r="AE58" s="4768"/>
      <c r="AF58" s="4768"/>
      <c r="AG58" s="4769"/>
      <c r="AH58" s="4770"/>
      <c r="AI58" s="3367"/>
    </row>
    <row r="59" ht="20.25" customHeight="1">
      <c r="A59" s="3361"/>
      <c r="B59" s="4754"/>
      <c r="C59" s="4841"/>
      <c r="D59" s="4767"/>
      <c r="E59" s="4825" t="s">
        <v>284</v>
      </c>
      <c r="F59" s="4768"/>
      <c r="G59" s="4769"/>
      <c r="H59" s="4842" t="str">
        <f>IMAGE("https://raw.githubusercontent.com/msikma/pokesprite/master/misc/types/gen8/fairy.png",4,20,20)</f>
        <v/>
      </c>
      <c r="I59" s="4836"/>
      <c r="J59" s="4825" t="s">
        <v>1344</v>
      </c>
      <c r="K59" s="4768"/>
      <c r="L59" s="4769"/>
      <c r="M59" s="4842" t="str">
        <f>IMAGE("https://raw.githubusercontent.com/msikma/pokesprite/master/misc/types/gen8/grass.png",4,20,20)</f>
        <v/>
      </c>
      <c r="N59" s="4836"/>
      <c r="O59" s="4825" t="s">
        <v>606</v>
      </c>
      <c r="P59" s="4768"/>
      <c r="Q59" s="4769"/>
      <c r="R59" s="4842" t="str">
        <f>IMAGE("https://raw.githubusercontent.com/msikma/pokesprite/master/misc/types/gen8/fighting.png",4,20,20)</f>
        <v/>
      </c>
      <c r="S59" s="4836"/>
      <c r="T59" s="4767"/>
      <c r="U59" s="4768"/>
      <c r="V59" s="4768"/>
      <c r="W59" s="4769"/>
      <c r="X59" s="4836"/>
      <c r="Y59" s="4767"/>
      <c r="Z59" s="4768"/>
      <c r="AA59" s="4768"/>
      <c r="AB59" s="4769"/>
      <c r="AC59" s="4783"/>
      <c r="AD59" s="4767"/>
      <c r="AE59" s="4768"/>
      <c r="AF59" s="4768"/>
      <c r="AG59" s="4769"/>
      <c r="AH59" s="4770"/>
      <c r="AI59" s="3367"/>
    </row>
    <row r="60" ht="20.25" customHeight="1">
      <c r="A60" s="3361"/>
      <c r="B60" s="4754"/>
      <c r="C60" s="4841"/>
      <c r="D60" s="4767"/>
      <c r="E60" s="4825" t="s">
        <v>338</v>
      </c>
      <c r="F60" s="4768"/>
      <c r="G60" s="4769"/>
      <c r="H60" s="4842" t="str">
        <f>IMAGE("https://raw.githubusercontent.com/msikma/pokesprite/master/misc/types/gen8/water.png",4,20,20)</f>
        <v/>
      </c>
      <c r="I60" s="4767"/>
      <c r="J60" s="4825" t="s">
        <v>410</v>
      </c>
      <c r="K60" s="4768"/>
      <c r="L60" s="4769"/>
      <c r="M60" s="4842" t="str">
        <f>IMAGE("https://raw.githubusercontent.com/msikma/pokesprite/master/misc/types/gen8/dragon.png",4,20,20)</f>
        <v/>
      </c>
      <c r="N60" s="4767"/>
      <c r="O60" s="4825" t="s">
        <v>312</v>
      </c>
      <c r="P60" s="4768"/>
      <c r="Q60" s="4769"/>
      <c r="R60" s="4842" t="str">
        <f>IMAGE("https://raw.githubusercontent.com/msikma/pokesprite/master/misc/types/gen8/grass.png",4,20,20)</f>
        <v/>
      </c>
      <c r="S60" s="4767"/>
      <c r="T60" s="4767"/>
      <c r="U60" s="4768"/>
      <c r="V60" s="4768"/>
      <c r="W60" s="4769"/>
      <c r="X60" s="4767"/>
      <c r="Y60" s="4767"/>
      <c r="Z60" s="4768"/>
      <c r="AA60" s="4768"/>
      <c r="AB60" s="4769"/>
      <c r="AC60" s="4783"/>
      <c r="AD60" s="4767"/>
      <c r="AE60" s="4768"/>
      <c r="AF60" s="4768"/>
      <c r="AG60" s="4769"/>
      <c r="AH60" s="4770"/>
      <c r="AI60" s="3367"/>
    </row>
    <row r="61" ht="21.0" customHeight="1">
      <c r="A61" s="3361"/>
      <c r="B61" s="4754"/>
      <c r="C61" s="4841"/>
      <c r="D61" s="4767"/>
      <c r="E61" s="4845" t="s">
        <v>317</v>
      </c>
      <c r="F61" s="4846"/>
      <c r="G61" s="4847"/>
      <c r="H61" s="4848" t="str">
        <f>IMAGE("https://raw.githubusercontent.com/msikma/pokesprite/master/misc/types/gen8/ice.png",4,20,20)</f>
        <v/>
      </c>
      <c r="I61" s="4767"/>
      <c r="J61" s="4845" t="s">
        <v>541</v>
      </c>
      <c r="K61" s="4846"/>
      <c r="L61" s="4847"/>
      <c r="M61" s="4848" t="str">
        <f>IMAGE("https://raw.githubusercontent.com/msikma/pokesprite/master/misc/types/gen8/dark.png",4,20,20)</f>
        <v/>
      </c>
      <c r="N61" s="4767"/>
      <c r="O61" s="4845" t="s">
        <v>540</v>
      </c>
      <c r="P61" s="4846"/>
      <c r="Q61" s="4847"/>
      <c r="R61" s="4848" t="str">
        <f>IMAGE("https://raw.githubusercontent.com/msikma/pokesprite/master/misc/types/gen8/dark.png",4,20,20)</f>
        <v/>
      </c>
      <c r="S61" s="4767"/>
      <c r="T61" s="4767"/>
      <c r="U61" s="4768"/>
      <c r="V61" s="4768"/>
      <c r="W61" s="4769"/>
      <c r="X61" s="4767"/>
      <c r="Y61" s="4767"/>
      <c r="Z61" s="4768"/>
      <c r="AA61" s="4768"/>
      <c r="AB61" s="4769"/>
      <c r="AC61" s="4853"/>
      <c r="AD61" s="4767"/>
      <c r="AE61" s="4768"/>
      <c r="AF61" s="4768"/>
      <c r="AG61" s="4769"/>
      <c r="AH61" s="4770"/>
      <c r="AI61" s="3367"/>
    </row>
    <row r="62" ht="3.0" customHeight="1">
      <c r="A62" s="3445"/>
      <c r="B62" s="4854"/>
      <c r="C62" s="4855"/>
      <c r="D62" s="4856"/>
      <c r="E62" s="4859"/>
      <c r="F62" s="4859"/>
      <c r="G62" s="4859"/>
      <c r="H62" s="4858"/>
      <c r="I62" s="4756"/>
      <c r="J62" s="4857"/>
      <c r="K62" s="4857"/>
      <c r="L62" s="4857"/>
      <c r="M62" s="4859"/>
      <c r="N62" s="4756"/>
      <c r="O62" s="4857"/>
      <c r="P62" s="4857"/>
      <c r="Q62" s="4857"/>
      <c r="R62" s="4859"/>
      <c r="S62" s="4756"/>
      <c r="T62" s="4862"/>
      <c r="U62" s="4862"/>
      <c r="V62" s="4862"/>
      <c r="W62" s="4862"/>
      <c r="X62" s="4756"/>
      <c r="Y62" s="4862"/>
      <c r="Z62" s="4862"/>
      <c r="AA62" s="4862"/>
      <c r="AB62" s="4862"/>
      <c r="AC62" s="4862"/>
      <c r="AD62" s="4862"/>
      <c r="AE62" s="4862"/>
      <c r="AF62" s="4862"/>
      <c r="AG62" s="4862"/>
      <c r="AH62" s="4863"/>
      <c r="AI62" s="3456"/>
    </row>
    <row r="63" ht="16.5" customHeight="1">
      <c r="A63" s="3457"/>
      <c r="B63" s="4864"/>
      <c r="C63" s="4865"/>
      <c r="D63" s="4876"/>
      <c r="E63" s="4867" t="s">
        <v>190</v>
      </c>
      <c r="F63" s="381"/>
      <c r="G63" s="382"/>
      <c r="H63" s="4868" t="s">
        <v>191</v>
      </c>
      <c r="I63" s="4870"/>
      <c r="J63" s="4867" t="s">
        <v>190</v>
      </c>
      <c r="K63" s="381"/>
      <c r="L63" s="382"/>
      <c r="M63" s="4868" t="s">
        <v>191</v>
      </c>
      <c r="N63" s="4870"/>
      <c r="O63" s="4867" t="s">
        <v>190</v>
      </c>
      <c r="P63" s="381"/>
      <c r="Q63" s="382"/>
      <c r="R63" s="4868" t="s">
        <v>191</v>
      </c>
      <c r="S63" s="4870"/>
      <c r="T63" s="4874"/>
      <c r="U63" s="4874"/>
      <c r="V63" s="4874"/>
      <c r="W63" s="4874"/>
      <c r="X63" s="4870"/>
      <c r="Y63" s="4874"/>
      <c r="Z63" s="4874"/>
      <c r="AA63" s="4874"/>
      <c r="AB63" s="4767"/>
      <c r="AC63" s="4768"/>
      <c r="AD63" s="4768"/>
      <c r="AE63" s="4769"/>
      <c r="AF63" s="4874"/>
      <c r="AG63" s="4874"/>
      <c r="AH63" s="4875"/>
      <c r="AI63" s="3466"/>
    </row>
    <row r="64" ht="16.5" customHeight="1">
      <c r="A64" s="3457"/>
      <c r="B64" s="4864"/>
      <c r="C64" s="4865"/>
      <c r="D64" s="4876"/>
      <c r="E64" s="4877" t="s">
        <v>192</v>
      </c>
      <c r="F64" s="4878">
        <f t="array" ref="F64">IFERROR(VLOOKUP(E51,Dex!$B$3:$N244,8,FALSE),"")</f>
        <v>43</v>
      </c>
      <c r="G64" s="4879" t="str">
        <f t="array" ref="G64">IFERROR(VLOOKUP(F64,Dex!$P$22:$Q$276,2,FALSE),"")</f>
        <v/>
      </c>
      <c r="H64" s="4880">
        <v>6.0</v>
      </c>
      <c r="I64" s="4876"/>
      <c r="J64" s="4877" t="s">
        <v>192</v>
      </c>
      <c r="K64" s="4878">
        <f t="array" ref="K64">IFERROR(VLOOKUP(J51,Dex!$B$3:$N244,8,FALSE),"")</f>
        <v>70</v>
      </c>
      <c r="L64" s="4879" t="str">
        <f t="array" ref="L64">IFERROR(VLOOKUP(K64,Dex!$P$22:$Q$276,2,FALSE),"")</f>
        <v/>
      </c>
      <c r="M64" s="4880">
        <v>6.0</v>
      </c>
      <c r="N64" s="4876"/>
      <c r="O64" s="4877" t="s">
        <v>192</v>
      </c>
      <c r="P64" s="4878">
        <f t="array" ref="P64">IFERROR(VLOOKUP(O51,Dex!$B$3:$N244,8,FALSE),"")</f>
        <v>75</v>
      </c>
      <c r="Q64" s="4879" t="str">
        <f t="array" ref="Q64">IFERROR(VLOOKUP(P64,Dex!$P$22:$Q$276,2,FALSE),"")</f>
        <v/>
      </c>
      <c r="R64" s="4880">
        <v>6.0</v>
      </c>
      <c r="S64" s="4876"/>
      <c r="T64" s="4874"/>
      <c r="U64" s="4874"/>
      <c r="V64" s="4874"/>
      <c r="W64" s="4767"/>
      <c r="X64" s="4768"/>
      <c r="Y64" s="4768"/>
      <c r="Z64" s="4769"/>
      <c r="AA64" s="4767"/>
      <c r="AB64" s="4768"/>
      <c r="AC64" s="4768"/>
      <c r="AD64" s="4769"/>
      <c r="AE64" s="4874"/>
      <c r="AF64" s="4874"/>
      <c r="AG64" s="4874"/>
      <c r="AH64" s="4875"/>
      <c r="AI64" s="3466"/>
    </row>
    <row r="65" ht="16.5" customHeight="1">
      <c r="A65" s="3457"/>
      <c r="B65" s="4864"/>
      <c r="C65" s="4865"/>
      <c r="D65" s="4876"/>
      <c r="E65" s="4885" t="s">
        <v>193</v>
      </c>
      <c r="F65" s="4886">
        <f t="array" ref="F65">IFERROR(VLOOKUP(E51,Dex!$B$3:$N244,9,FALSE),"")</f>
        <v>30</v>
      </c>
      <c r="G65" s="4887" t="str">
        <f t="array" ref="G65">IFERROR(VLOOKUP(F65,Dex!$P$22:$Q$276,2,FALSE),"")</f>
        <v/>
      </c>
      <c r="H65" s="4888"/>
      <c r="I65" s="4876"/>
      <c r="J65" s="4885" t="s">
        <v>193</v>
      </c>
      <c r="K65" s="4886">
        <f t="array" ref="K65">IFERROR(VLOOKUP(J51,Dex!$B$3:$N244,9,FALSE),"")</f>
        <v>145</v>
      </c>
      <c r="L65" s="4887" t="str">
        <f t="array" ref="L65">IFERROR(VLOOKUP(K65,Dex!$P$22:$Q$276,2,FALSE),"")</f>
        <v/>
      </c>
      <c r="M65" s="4888">
        <v>128.0</v>
      </c>
      <c r="N65" s="4876"/>
      <c r="O65" s="4885" t="s">
        <v>193</v>
      </c>
      <c r="P65" s="4886">
        <f t="array" ref="P65">IFERROR(VLOOKUP(O51,Dex!$B$3:$N244,9,FALSE),"")</f>
        <v>90</v>
      </c>
      <c r="Q65" s="4887" t="str">
        <f t="array" ref="Q65">IFERROR(VLOOKUP(P65,Dex!$P$22:$Q$276,2,FALSE),"")</f>
        <v/>
      </c>
      <c r="R65" s="4888">
        <v>252.0</v>
      </c>
      <c r="S65" s="4876"/>
      <c r="T65" s="4874"/>
      <c r="U65" s="4874"/>
      <c r="V65" s="4874"/>
      <c r="W65" s="4767"/>
      <c r="X65" s="4768"/>
      <c r="Y65" s="4768"/>
      <c r="Z65" s="4769"/>
      <c r="AA65" s="4767"/>
      <c r="AB65" s="4768"/>
      <c r="AC65" s="4768"/>
      <c r="AD65" s="4769"/>
      <c r="AE65" s="4874"/>
      <c r="AF65" s="4874"/>
      <c r="AG65" s="4874"/>
      <c r="AH65" s="4875"/>
      <c r="AI65" s="3466"/>
    </row>
    <row r="66" ht="16.5" customHeight="1">
      <c r="A66" s="3457"/>
      <c r="B66" s="4864"/>
      <c r="C66" s="4865"/>
      <c r="D66" s="4876"/>
      <c r="E66" s="4885" t="s">
        <v>194</v>
      </c>
      <c r="F66" s="4886">
        <f t="array" ref="F66">IFERROR(VLOOKUP(E51,Dex!$B$3:$N244,10,FALSE),"")</f>
        <v>55</v>
      </c>
      <c r="G66" s="4887" t="str">
        <f t="array" ref="G66">IFERROR(VLOOKUP(F66,Dex!$P$22:$Q$276,2,FALSE),"")</f>
        <v/>
      </c>
      <c r="H66" s="4888"/>
      <c r="I66" s="4876"/>
      <c r="J66" s="4885" t="s">
        <v>194</v>
      </c>
      <c r="K66" s="4886">
        <f t="array" ref="K66">IFERROR(VLOOKUP(J51,Dex!$B$3:$N244,10,FALSE),"")</f>
        <v>90</v>
      </c>
      <c r="L66" s="4887" t="str">
        <f t="array" ref="L66">IFERROR(VLOOKUP(K66,Dex!$P$22:$Q$276,2,FALSE),"")</f>
        <v/>
      </c>
      <c r="M66" s="4888"/>
      <c r="N66" s="4876"/>
      <c r="O66" s="4885" t="s">
        <v>194</v>
      </c>
      <c r="P66" s="4886">
        <f t="array" ref="P66">IFERROR(VLOOKUP(O51,Dex!$B$3:$N244,10,FALSE),"")</f>
        <v>70</v>
      </c>
      <c r="Q66" s="4887" t="str">
        <f t="array" ref="Q66">IFERROR(VLOOKUP(P66,Dex!$P$22:$Q$276,2,FALSE),"")</f>
        <v/>
      </c>
      <c r="R66" s="4888"/>
      <c r="S66" s="4876"/>
      <c r="T66" s="4874"/>
      <c r="U66" s="4874"/>
      <c r="V66" s="4874"/>
      <c r="W66" s="4767"/>
      <c r="X66" s="4768"/>
      <c r="Y66" s="4768"/>
      <c r="Z66" s="4769"/>
      <c r="AA66" s="4874"/>
      <c r="AB66" s="4767"/>
      <c r="AC66" s="4768"/>
      <c r="AD66" s="4768"/>
      <c r="AE66" s="4769"/>
      <c r="AF66" s="4874"/>
      <c r="AG66" s="4874"/>
      <c r="AH66" s="4875"/>
      <c r="AI66" s="3466"/>
    </row>
    <row r="67" ht="16.5" customHeight="1">
      <c r="A67" s="3457"/>
      <c r="B67" s="4864"/>
      <c r="C67" s="4865"/>
      <c r="D67" s="4876"/>
      <c r="E67" s="4885" t="s">
        <v>195</v>
      </c>
      <c r="F67" s="4886">
        <f t="array" ref="F67">IFERROR(VLOOKUP(E51,Dex!$B$3:$N244,11,FALSE),"")</f>
        <v>100</v>
      </c>
      <c r="G67" s="4887" t="str">
        <f t="array" ref="G67">IFERROR(VLOOKUP(F67,Dex!$P$22:$Q$276,2,FALSE),"")</f>
        <v/>
      </c>
      <c r="H67" s="4888">
        <v>252.0</v>
      </c>
      <c r="I67" s="4876"/>
      <c r="J67" s="4885" t="s">
        <v>195</v>
      </c>
      <c r="K67" s="4886">
        <f t="array" ref="K67">IFERROR(VLOOKUP(J51,Dex!$B$3:$N244,11,FALSE),"")</f>
        <v>135</v>
      </c>
      <c r="L67" s="4887" t="str">
        <f t="array" ref="L67">IFERROR(VLOOKUP(K67,Dex!$P$22:$Q$276,2,FALSE),"")</f>
        <v/>
      </c>
      <c r="M67" s="4888">
        <v>128.0</v>
      </c>
      <c r="N67" s="4876"/>
      <c r="O67" s="4885" t="s">
        <v>195</v>
      </c>
      <c r="P67" s="4886">
        <f t="array" ref="P67">IFERROR(VLOOKUP(O51,Dex!$B$3:$N244,11,FALSE),"")</f>
        <v>58</v>
      </c>
      <c r="Q67" s="4887" t="str">
        <f t="array" ref="Q67">IFERROR(VLOOKUP(P67,Dex!$P$22:$Q$276,2,FALSE),"")</f>
        <v/>
      </c>
      <c r="R67" s="4888"/>
      <c r="S67" s="4876"/>
      <c r="T67" s="4874"/>
      <c r="U67" s="4874"/>
      <c r="V67" s="4874"/>
      <c r="W67" s="4767"/>
      <c r="X67" s="4768"/>
      <c r="Y67" s="4768"/>
      <c r="Z67" s="4769"/>
      <c r="AA67" s="4874"/>
      <c r="AB67" s="4767"/>
      <c r="AC67" s="4768"/>
      <c r="AD67" s="4768"/>
      <c r="AE67" s="4769"/>
      <c r="AF67" s="4874"/>
      <c r="AG67" s="4874"/>
      <c r="AH67" s="4875"/>
      <c r="AI67" s="3466"/>
    </row>
    <row r="68" ht="16.5" customHeight="1">
      <c r="A68" s="3457"/>
      <c r="B68" s="4864"/>
      <c r="C68" s="4865"/>
      <c r="D68" s="4876"/>
      <c r="E68" s="4885" t="s">
        <v>196</v>
      </c>
      <c r="F68" s="4886">
        <f t="array" ref="F68">IFERROR(VLOOKUP(E51,Dex!$B$3:$N244,12,FALSE),"")</f>
        <v>65</v>
      </c>
      <c r="G68" s="4887" t="str">
        <f t="array" ref="G68">IFERROR(VLOOKUP(F68,Dex!$P$22:$Q$276,2,FALSE),"")</f>
        <v/>
      </c>
      <c r="H68" s="4888"/>
      <c r="I68" s="4876"/>
      <c r="J68" s="4885" t="s">
        <v>196</v>
      </c>
      <c r="K68" s="4886">
        <f t="array" ref="K68">IFERROR(VLOOKUP(J51,Dex!$B$3:$N244,12,FALSE),"")</f>
        <v>70</v>
      </c>
      <c r="L68" s="4887" t="str">
        <f t="array" ref="L68">IFERROR(VLOOKUP(K68,Dex!$P$22:$Q$276,2,FALSE),"")</f>
        <v/>
      </c>
      <c r="M68" s="4888"/>
      <c r="N68" s="4876"/>
      <c r="O68" s="4885" t="s">
        <v>196</v>
      </c>
      <c r="P68" s="4886">
        <f t="array" ref="P68">IFERROR(VLOOKUP(O51,Dex!$B$3:$N244,12,FALSE),"")</f>
        <v>77</v>
      </c>
      <c r="Q68" s="4887" t="str">
        <f t="array" ref="Q68">IFERROR(VLOOKUP(P68,Dex!$P$22:$Q$276,2,FALSE),"")</f>
        <v/>
      </c>
      <c r="R68" s="4888"/>
      <c r="S68" s="4876"/>
      <c r="T68" s="4874"/>
      <c r="U68" s="4874"/>
      <c r="V68" s="4874"/>
      <c r="W68" s="4767"/>
      <c r="X68" s="4768"/>
      <c r="Y68" s="4768"/>
      <c r="Z68" s="4769"/>
      <c r="AA68" s="4874"/>
      <c r="AB68" s="4767"/>
      <c r="AC68" s="4768"/>
      <c r="AD68" s="4768"/>
      <c r="AE68" s="4769"/>
      <c r="AF68" s="4874"/>
      <c r="AG68" s="4874"/>
      <c r="AH68" s="4875"/>
      <c r="AI68" s="3466"/>
    </row>
    <row r="69" ht="16.5" customHeight="1">
      <c r="A69" s="3457"/>
      <c r="B69" s="4864"/>
      <c r="C69" s="1204" t="s">
        <v>436</v>
      </c>
      <c r="D69" s="4876"/>
      <c r="E69" s="4893" t="s">
        <v>197</v>
      </c>
      <c r="F69" s="4894">
        <f t="array" ref="F69">IFERROR(VLOOKUP(E51,Dex!$B$3:$N244,13,FALSE),"")</f>
        <v>97</v>
      </c>
      <c r="G69" s="4895" t="str">
        <f t="array" ref="G69">IFERROR(VLOOKUP(F69,Dex!$P$22:$Q$276,2,FALSE),"")</f>
        <v/>
      </c>
      <c r="H69" s="4896">
        <v>252.0</v>
      </c>
      <c r="I69" s="4876"/>
      <c r="J69" s="4893" t="s">
        <v>197</v>
      </c>
      <c r="K69" s="4894">
        <f t="array" ref="K69">IFERROR(VLOOKUP(J51,Dex!$B$3:$N244,13,FALSE),"")</f>
        <v>105</v>
      </c>
      <c r="L69" s="4895" t="str">
        <f t="array" ref="L69">IFERROR(VLOOKUP(K69,Dex!$P$22:$Q$276,2,FALSE),"")</f>
        <v/>
      </c>
      <c r="M69" s="4896">
        <v>252.0</v>
      </c>
      <c r="N69" s="4876"/>
      <c r="O69" s="4893" t="s">
        <v>197</v>
      </c>
      <c r="P69" s="4894">
        <f t="array" ref="P69">IFERROR(VLOOKUP(O51,Dex!$B$3:$N244,13,FALSE),"")</f>
        <v>65</v>
      </c>
      <c r="Q69" s="4895" t="str">
        <f t="array" ref="Q69">IFERROR(VLOOKUP(P69,Dex!$P$22:$Q$276,2,FALSE),"")</f>
        <v/>
      </c>
      <c r="R69" s="4896">
        <v>252.0</v>
      </c>
      <c r="S69" s="4876"/>
      <c r="T69" s="4874"/>
      <c r="U69" s="4874"/>
      <c r="V69" s="4874"/>
      <c r="W69" s="4767"/>
      <c r="X69" s="4768"/>
      <c r="Y69" s="4768"/>
      <c r="Z69" s="4769"/>
      <c r="AA69" s="4874"/>
      <c r="AB69" s="4767"/>
      <c r="AC69" s="4768"/>
      <c r="AD69" s="4768"/>
      <c r="AE69" s="4769"/>
      <c r="AF69" s="4874"/>
      <c r="AG69" s="4874"/>
      <c r="AH69" s="4875"/>
      <c r="AI69" s="3466"/>
    </row>
    <row r="70" ht="16.5" customHeight="1">
      <c r="A70" s="3457"/>
      <c r="B70" s="4864"/>
      <c r="C70" s="1205" t="s">
        <v>611</v>
      </c>
      <c r="D70" s="4866"/>
      <c r="E70" s="4901" t="s">
        <v>198</v>
      </c>
      <c r="F70" s="405"/>
      <c r="G70" s="406"/>
      <c r="H70" s="4902">
        <v>185.0</v>
      </c>
      <c r="I70" s="4866"/>
      <c r="J70" s="4901" t="s">
        <v>198</v>
      </c>
      <c r="K70" s="405"/>
      <c r="L70" s="406"/>
      <c r="M70" s="4902">
        <v>195.0</v>
      </c>
      <c r="N70" s="4866"/>
      <c r="O70" s="4901" t="s">
        <v>198</v>
      </c>
      <c r="P70" s="405"/>
      <c r="Q70" s="406"/>
      <c r="R70" s="4902">
        <v>145.0</v>
      </c>
      <c r="S70" s="4866"/>
      <c r="T70" s="4874"/>
      <c r="U70" s="4874"/>
      <c r="V70" s="4874"/>
      <c r="W70" s="4874"/>
      <c r="X70" s="4866"/>
      <c r="Y70" s="4874"/>
      <c r="Z70" s="4874"/>
      <c r="AA70" s="4874"/>
      <c r="AB70" s="4767"/>
      <c r="AC70" s="4768"/>
      <c r="AD70" s="4768"/>
      <c r="AE70" s="4769"/>
      <c r="AF70" s="4874"/>
      <c r="AG70" s="4874"/>
      <c r="AH70" s="4875"/>
      <c r="AI70" s="3466"/>
    </row>
    <row r="71" ht="11.25" customHeight="1">
      <c r="A71" s="3361"/>
      <c r="B71" s="4754"/>
      <c r="C71" s="5286"/>
      <c r="D71" s="4756"/>
      <c r="E71" s="5287"/>
      <c r="F71" s="5287"/>
      <c r="G71" s="5287"/>
      <c r="H71" s="5287"/>
      <c r="I71" s="5288"/>
      <c r="J71" s="5287"/>
      <c r="K71" s="5287"/>
      <c r="L71" s="5287"/>
      <c r="M71" s="5287"/>
      <c r="N71" s="5288"/>
      <c r="O71" s="5287"/>
      <c r="P71" s="5287"/>
      <c r="Q71" s="5287"/>
      <c r="R71" s="5287"/>
      <c r="S71" s="5288"/>
      <c r="T71" s="5287"/>
      <c r="U71" s="5287"/>
      <c r="V71" s="5287"/>
      <c r="W71" s="5287"/>
      <c r="X71" s="5288"/>
      <c r="Y71" s="5287"/>
      <c r="Z71" s="5287"/>
      <c r="AA71" s="5287"/>
      <c r="AB71" s="5287"/>
      <c r="AC71" s="4756"/>
      <c r="AD71" s="4756"/>
      <c r="AE71" s="4756"/>
      <c r="AF71" s="4756"/>
      <c r="AG71" s="4756"/>
      <c r="AH71" s="4770"/>
      <c r="AI71" s="3367"/>
    </row>
    <row r="72" ht="11.25" customHeight="1">
      <c r="A72" s="3361"/>
      <c r="B72" s="4754"/>
      <c r="C72" s="5286"/>
      <c r="D72" s="4756"/>
      <c r="E72" s="3180" t="s">
        <v>949</v>
      </c>
      <c r="F72" s="3181"/>
      <c r="G72" s="3181"/>
      <c r="H72" s="3181"/>
      <c r="I72" s="3181"/>
      <c r="J72" s="3181"/>
      <c r="K72" s="3181"/>
      <c r="L72" s="3181"/>
      <c r="M72" s="3181"/>
      <c r="N72" s="3181"/>
      <c r="O72" s="3181"/>
      <c r="P72" s="3181"/>
      <c r="Q72" s="3181"/>
      <c r="R72" s="3181"/>
      <c r="S72" s="3181"/>
      <c r="T72" s="3181"/>
      <c r="U72" s="3181"/>
      <c r="V72" s="3181"/>
      <c r="W72" s="3182"/>
      <c r="X72" s="5288"/>
      <c r="Y72" s="5289"/>
      <c r="Z72" s="5289"/>
      <c r="AA72" s="5289"/>
      <c r="AB72" s="5289"/>
      <c r="AC72" s="4756"/>
      <c r="AD72" s="4756"/>
      <c r="AE72" s="4756"/>
      <c r="AF72" s="4756"/>
      <c r="AG72" s="4756"/>
      <c r="AH72" s="4770"/>
      <c r="AI72" s="3367"/>
    </row>
    <row r="73" ht="11.25" customHeight="1">
      <c r="A73" s="3361"/>
      <c r="B73" s="4754"/>
      <c r="C73" s="5286"/>
      <c r="D73" s="4756"/>
      <c r="E73" s="114"/>
      <c r="F73" s="3185"/>
      <c r="G73" s="3185"/>
      <c r="H73" s="3185"/>
      <c r="I73" s="3185"/>
      <c r="J73" s="3185"/>
      <c r="K73" s="3185"/>
      <c r="L73" s="3185"/>
      <c r="M73" s="3185"/>
      <c r="N73" s="3185"/>
      <c r="O73" s="3185"/>
      <c r="P73" s="3185"/>
      <c r="Q73" s="3185"/>
      <c r="R73" s="3185"/>
      <c r="S73" s="3185"/>
      <c r="T73" s="3185"/>
      <c r="U73" s="3185"/>
      <c r="V73" s="3185"/>
      <c r="W73" s="3186"/>
      <c r="X73" s="5288"/>
      <c r="Y73" s="5289"/>
      <c r="Z73" s="5289"/>
      <c r="AA73" s="5289"/>
      <c r="AB73" s="5289"/>
      <c r="AC73" s="4756"/>
      <c r="AD73" s="4756"/>
      <c r="AE73" s="4756"/>
      <c r="AF73" s="4756"/>
      <c r="AG73" s="4756"/>
      <c r="AH73" s="4770"/>
      <c r="AI73" s="3367"/>
    </row>
    <row r="74" ht="3.75" customHeight="1">
      <c r="A74" s="3361"/>
      <c r="B74" s="5290"/>
      <c r="C74" s="5291"/>
      <c r="D74" s="5292"/>
      <c r="E74" s="5293"/>
      <c r="F74" s="5293"/>
      <c r="G74" s="5293"/>
      <c r="H74" s="5293"/>
      <c r="I74" s="5294"/>
      <c r="J74" s="5293"/>
      <c r="K74" s="5293"/>
      <c r="L74" s="5293"/>
      <c r="M74" s="5293"/>
      <c r="N74" s="5294"/>
      <c r="O74" s="5293"/>
      <c r="P74" s="5293"/>
      <c r="Q74" s="5293"/>
      <c r="R74" s="5293"/>
      <c r="S74" s="5294"/>
      <c r="T74" s="5293"/>
      <c r="U74" s="5293"/>
      <c r="V74" s="5293"/>
      <c r="W74" s="5293"/>
      <c r="X74" s="5294"/>
      <c r="Y74" s="5293"/>
      <c r="Z74" s="5293"/>
      <c r="AA74" s="5293"/>
      <c r="AB74" s="5293"/>
      <c r="AC74" s="5292"/>
      <c r="AD74" s="5292"/>
      <c r="AE74" s="5292"/>
      <c r="AF74" s="5292"/>
      <c r="AG74" s="5292"/>
      <c r="AH74" s="4760"/>
      <c r="AI74" s="3367"/>
    </row>
    <row r="75" ht="96.75" customHeight="1">
      <c r="A75" s="3361"/>
      <c r="B75" s="4761"/>
      <c r="C75" s="5284" t="str">
        <f>IMAGE("https://i.ibb.co/bN4WBzT/Beauty.png")</f>
        <v/>
      </c>
      <c r="D75" s="4763"/>
      <c r="E75" s="4764" t="str">
        <f t="array" ref="E75">IFERROR(VLOOKUP(E76,Dex!$B$3:$G244,3,FALSE),"")</f>
        <v/>
      </c>
      <c r="F75" s="1830"/>
      <c r="G75" s="1830"/>
      <c r="H75" s="1831"/>
      <c r="I75" s="4799"/>
      <c r="J75" s="4764" t="str">
        <f t="array" ref="J75">IFERROR(VLOOKUP(J76,Dex!$B$3:$G244,3,FALSE),"")</f>
        <v/>
      </c>
      <c r="K75" s="1830"/>
      <c r="L75" s="1830"/>
      <c r="M75" s="1831"/>
      <c r="N75" s="4799"/>
      <c r="O75" s="4764" t="str">
        <f t="array" ref="O75">IFERROR(VLOOKUP(O76,Dex!$B$3:$G244,3,FALSE),"")</f>
        <v/>
      </c>
      <c r="P75" s="1830"/>
      <c r="Q75" s="1830"/>
      <c r="R75" s="1831"/>
      <c r="S75" s="4799"/>
      <c r="T75" s="4764" t="str">
        <f t="array" ref="T75">IFERROR(VLOOKUP(T76,Dex!$B$3:$G244,3,FALSE),"")</f>
        <v/>
      </c>
      <c r="U75" s="1830"/>
      <c r="V75" s="1830"/>
      <c r="W75" s="1831"/>
      <c r="X75" s="5295"/>
      <c r="Y75" s="5296"/>
      <c r="Z75" s="4768"/>
      <c r="AA75" s="4768"/>
      <c r="AB75" s="4769"/>
      <c r="AC75" s="4766"/>
      <c r="AD75" s="4767"/>
      <c r="AE75" s="4768"/>
      <c r="AF75" s="4768"/>
      <c r="AG75" s="4769"/>
      <c r="AH75" s="4770"/>
      <c r="AI75" s="3367"/>
    </row>
    <row r="76" ht="18.75" customHeight="1">
      <c r="A76" s="3621"/>
      <c r="B76" s="4771"/>
      <c r="C76" s="5285" t="s">
        <v>1345</v>
      </c>
      <c r="D76" s="4773"/>
      <c r="E76" s="4774" t="s">
        <v>1346</v>
      </c>
      <c r="F76" s="4775"/>
      <c r="G76" s="4775"/>
      <c r="H76" s="4776"/>
      <c r="I76" s="4763"/>
      <c r="J76" s="4774" t="s">
        <v>857</v>
      </c>
      <c r="K76" s="4775"/>
      <c r="L76" s="4775"/>
      <c r="M76" s="4776"/>
      <c r="N76" s="4763"/>
      <c r="O76" s="4774" t="s">
        <v>1347</v>
      </c>
      <c r="P76" s="4775"/>
      <c r="Q76" s="4775"/>
      <c r="R76" s="4776"/>
      <c r="S76" s="4763"/>
      <c r="T76" s="4774" t="s">
        <v>1348</v>
      </c>
      <c r="U76" s="4775"/>
      <c r="V76" s="4775"/>
      <c r="W76" s="4776"/>
      <c r="X76" s="5297"/>
      <c r="Y76" s="5298"/>
      <c r="Z76" s="4768"/>
      <c r="AA76" s="4768"/>
      <c r="AB76" s="4769"/>
      <c r="AC76" s="4783"/>
      <c r="AD76" s="4784"/>
      <c r="AE76" s="4768"/>
      <c r="AF76" s="4768"/>
      <c r="AG76" s="4769"/>
      <c r="AH76" s="4785"/>
      <c r="AI76" s="3631"/>
    </row>
    <row r="77">
      <c r="A77" s="3632"/>
      <c r="B77" s="4786"/>
      <c r="C77" s="1481"/>
      <c r="D77" s="4787"/>
      <c r="E77" s="4788" t="s">
        <v>420</v>
      </c>
      <c r="F77" s="4789"/>
      <c r="G77" s="4789"/>
      <c r="H77" s="4790"/>
      <c r="I77" s="4773"/>
      <c r="J77" s="4788" t="s">
        <v>420</v>
      </c>
      <c r="K77" s="4789"/>
      <c r="L77" s="4789"/>
      <c r="M77" s="4790"/>
      <c r="N77" s="4773"/>
      <c r="O77" s="4788" t="s">
        <v>420</v>
      </c>
      <c r="P77" s="4789"/>
      <c r="Q77" s="4789"/>
      <c r="R77" s="4790"/>
      <c r="S77" s="4773"/>
      <c r="T77" s="4788" t="s">
        <v>420</v>
      </c>
      <c r="U77" s="4789"/>
      <c r="V77" s="4789"/>
      <c r="W77" s="4790"/>
      <c r="X77" s="5299"/>
      <c r="Y77" s="5300"/>
      <c r="Z77" s="4768"/>
      <c r="AA77" s="4768"/>
      <c r="AB77" s="4769"/>
      <c r="AC77" s="4783"/>
      <c r="AD77" s="4797"/>
      <c r="AE77" s="4768"/>
      <c r="AF77" s="4768"/>
      <c r="AG77" s="4769"/>
      <c r="AH77" s="4798"/>
      <c r="AI77" s="3640"/>
    </row>
    <row r="78" ht="25.5" customHeight="1">
      <c r="A78" s="3361"/>
      <c r="B78" s="4761"/>
      <c r="C78" s="1489"/>
      <c r="D78" s="4799"/>
      <c r="E78" s="4800"/>
      <c r="F78" s="4804" t="str">
        <f t="array" ref="F78">IFERROR(VLOOKUP(E76,Dex!$B$3:$H244,5,FALSE),"")</f>
        <v/>
      </c>
      <c r="G78" s="4805" t="str">
        <f t="array" ref="G78">IFERROR(VLOOKUP(E76,Dex!$B$3:$H244,7,FALSE),"")</f>
        <v/>
      </c>
      <c r="H78" s="4803"/>
      <c r="I78" s="4787"/>
      <c r="J78" s="4800"/>
      <c r="K78" s="4804" t="str">
        <f t="array" ref="K78">IFERROR(VLOOKUP(J76,Dex!$B$3:$H244,5,FALSE),"")</f>
        <v/>
      </c>
      <c r="L78" s="4805" t="str">
        <f t="array" ref="L78">IFERROR(VLOOKUP(J76,Dex!$B$3:$H244,7,FALSE),"")</f>
        <v/>
      </c>
      <c r="M78" s="4803"/>
      <c r="N78" s="4787"/>
      <c r="O78" s="4800"/>
      <c r="P78" s="4804" t="str">
        <f t="array" ref="P78">IFERROR(VLOOKUP(O76,Dex!$B$3:$H244,5,FALSE),"")</f>
        <v/>
      </c>
      <c r="Q78" s="4805" t="str">
        <f t="array" ref="Q78">IFERROR(VLOOKUP(O76,Dex!$B$3:$H244,7,FALSE),"")</f>
        <v/>
      </c>
      <c r="R78" s="4803"/>
      <c r="S78" s="4787"/>
      <c r="T78" s="4800"/>
      <c r="U78" s="4801" t="str">
        <f t="array" ref="U78">IFERROR(VLOOKUP(T76,Dex!$B$3:$H244,5,FALSE),"")</f>
        <v/>
      </c>
      <c r="V78" s="4802"/>
      <c r="W78" s="4803"/>
      <c r="X78" s="5301"/>
      <c r="Y78" s="5302"/>
      <c r="Z78" s="5303"/>
      <c r="AA78" s="4769"/>
      <c r="AB78" s="5304"/>
      <c r="AC78" s="4783"/>
      <c r="AD78" s="4812"/>
      <c r="AE78" s="4768"/>
      <c r="AF78" s="4768"/>
      <c r="AG78" s="4769"/>
      <c r="AH78" s="4770"/>
      <c r="AI78" s="3367"/>
    </row>
    <row r="79" ht="2.25" customHeight="1">
      <c r="A79" s="3361"/>
      <c r="B79" s="4761"/>
      <c r="C79" s="4835"/>
      <c r="D79" s="4799"/>
      <c r="E79" s="4813"/>
      <c r="F79" s="4814"/>
      <c r="G79" s="4814"/>
      <c r="H79" s="4815"/>
      <c r="I79" s="4799"/>
      <c r="J79" s="4813"/>
      <c r="K79" s="4814"/>
      <c r="L79" s="4814"/>
      <c r="M79" s="4815"/>
      <c r="N79" s="4799"/>
      <c r="O79" s="4813"/>
      <c r="P79" s="4814"/>
      <c r="Q79" s="4814"/>
      <c r="R79" s="4815"/>
      <c r="S79" s="4799"/>
      <c r="T79" s="4813"/>
      <c r="U79" s="4814"/>
      <c r="V79" s="4814"/>
      <c r="W79" s="4815"/>
      <c r="X79" s="4756"/>
      <c r="Y79" s="5302"/>
      <c r="Z79" s="5304"/>
      <c r="AA79" s="5304"/>
      <c r="AB79" s="5304"/>
      <c r="AC79" s="4783"/>
      <c r="AD79" s="4756"/>
      <c r="AE79" s="4756"/>
      <c r="AF79" s="4756"/>
      <c r="AG79" s="4756"/>
      <c r="AH79" s="4770"/>
      <c r="AI79" s="3367"/>
    </row>
    <row r="80" ht="20.25" customHeight="1">
      <c r="A80" s="3361"/>
      <c r="B80" s="4761"/>
      <c r="C80" s="4835"/>
      <c r="D80" s="4799"/>
      <c r="E80" s="4819" t="s">
        <v>172</v>
      </c>
      <c r="F80" s="4820"/>
      <c r="G80" s="4820"/>
      <c r="H80" s="4821"/>
      <c r="I80" s="4799"/>
      <c r="J80" s="4819" t="s">
        <v>169</v>
      </c>
      <c r="K80" s="4820"/>
      <c r="L80" s="4820"/>
      <c r="M80" s="4821"/>
      <c r="N80" s="4799"/>
      <c r="O80" s="4819" t="s">
        <v>263</v>
      </c>
      <c r="P80" s="4820"/>
      <c r="Q80" s="4820"/>
      <c r="R80" s="4821"/>
      <c r="S80" s="4799"/>
      <c r="T80" s="4819" t="s">
        <v>172</v>
      </c>
      <c r="U80" s="4820"/>
      <c r="V80" s="4820"/>
      <c r="W80" s="4821"/>
      <c r="X80" s="5295"/>
      <c r="Y80" s="5305"/>
      <c r="Z80" s="4768"/>
      <c r="AA80" s="4768"/>
      <c r="AB80" s="4769"/>
      <c r="AC80" s="4783"/>
      <c r="AD80" s="4767"/>
      <c r="AE80" s="4768"/>
      <c r="AF80" s="4768"/>
      <c r="AG80" s="4769"/>
      <c r="AH80" s="4770"/>
      <c r="AI80" s="3367"/>
    </row>
    <row r="81">
      <c r="A81" s="3361"/>
      <c r="B81" s="4761"/>
      <c r="C81" s="4835"/>
      <c r="D81" s="4799"/>
      <c r="E81" s="4825" t="s">
        <v>424</v>
      </c>
      <c r="F81" s="4768"/>
      <c r="G81" s="4768"/>
      <c r="H81" s="4826"/>
      <c r="I81" s="4799"/>
      <c r="J81" s="4825" t="s">
        <v>716</v>
      </c>
      <c r="K81" s="4768"/>
      <c r="L81" s="4768"/>
      <c r="M81" s="4826"/>
      <c r="N81" s="4799"/>
      <c r="O81" s="4825" t="s">
        <v>1349</v>
      </c>
      <c r="P81" s="4768"/>
      <c r="Q81" s="4768"/>
      <c r="R81" s="4826"/>
      <c r="S81" s="4799"/>
      <c r="T81" s="4825" t="s">
        <v>621</v>
      </c>
      <c r="U81" s="4768"/>
      <c r="V81" s="4768"/>
      <c r="W81" s="4826"/>
      <c r="X81" s="5295"/>
      <c r="Y81" s="5305"/>
      <c r="Z81" s="4768"/>
      <c r="AA81" s="4768"/>
      <c r="AB81" s="4769"/>
      <c r="AC81" s="4783"/>
      <c r="AD81" s="4767"/>
      <c r="AE81" s="4768"/>
      <c r="AF81" s="4768"/>
      <c r="AG81" s="4769"/>
      <c r="AH81" s="4770"/>
      <c r="AI81" s="3367"/>
    </row>
    <row r="82" ht="20.25" customHeight="1">
      <c r="A82" s="3361"/>
      <c r="B82" s="4754"/>
      <c r="C82" s="4835"/>
      <c r="D82" s="4767"/>
      <c r="E82" s="4829" t="s">
        <v>240</v>
      </c>
      <c r="F82" s="4758"/>
      <c r="G82" s="4759"/>
      <c r="H82" s="4830" t="str">
        <f>IMAGE("https://raw.githubusercontent.com/msikma/pokesprite/master/items/hold-item/focus-sash.png",3)</f>
        <v/>
      </c>
      <c r="I82" s="4799"/>
      <c r="J82" s="4829" t="s">
        <v>394</v>
      </c>
      <c r="K82" s="4758"/>
      <c r="L82" s="4759"/>
      <c r="M82" s="4830" t="str">
        <f>IMAGE("https://raw.githubusercontent.com/msikma/pokesprite/master/items/hold-item/leftovers.png",3)</f>
        <v/>
      </c>
      <c r="N82" s="4799"/>
      <c r="O82" s="4829" t="s">
        <v>1342</v>
      </c>
      <c r="P82" s="4758"/>
      <c r="Q82" s="4759"/>
      <c r="R82" s="4830" t="str">
        <f>IMAGE("https://raw.githubusercontent.com/msikma/pokesprite/master/items/mega-stone/venusaurite.png",3)</f>
        <v/>
      </c>
      <c r="S82" s="4799"/>
      <c r="T82" s="4829" t="s">
        <v>884</v>
      </c>
      <c r="U82" s="4758"/>
      <c r="V82" s="4759"/>
      <c r="W82" s="4830" t="str">
        <f>IMAGE("https://raw.githubusercontent.com/msikma/pokesprite/master/items/hold-item/expert-belt.png",3)</f>
        <v/>
      </c>
      <c r="X82" s="4756"/>
      <c r="Y82" s="5305"/>
      <c r="Z82" s="4768"/>
      <c r="AA82" s="4769"/>
      <c r="AB82" s="5289"/>
      <c r="AC82" s="4783"/>
      <c r="AD82" s="4767"/>
      <c r="AE82" s="4768"/>
      <c r="AF82" s="4768"/>
      <c r="AG82" s="4769"/>
      <c r="AH82" s="4770"/>
      <c r="AI82" s="3367"/>
    </row>
    <row r="83" ht="20.25" customHeight="1">
      <c r="A83" s="3361"/>
      <c r="B83" s="4754"/>
      <c r="C83" s="4835"/>
      <c r="D83" s="4836"/>
      <c r="E83" s="4819" t="s">
        <v>1212</v>
      </c>
      <c r="F83" s="4820"/>
      <c r="G83" s="4837"/>
      <c r="H83" s="4838" t="str">
        <f>IMAGE("https://raw.githubusercontent.com/msikma/pokesprite/master/misc/types/gen8/dark.png",4,20,20)</f>
        <v/>
      </c>
      <c r="I83" s="4767"/>
      <c r="J83" s="4819" t="s">
        <v>316</v>
      </c>
      <c r="K83" s="4820"/>
      <c r="L83" s="4837"/>
      <c r="M83" s="4838" t="str">
        <f>IMAGE("https://raw.githubusercontent.com/msikma/pokesprite/master/misc/types/gen8/fighting.png",4,20,20)</f>
        <v/>
      </c>
      <c r="N83" s="4767"/>
      <c r="O83" s="4819" t="s">
        <v>410</v>
      </c>
      <c r="P83" s="4820"/>
      <c r="Q83" s="4837"/>
      <c r="R83" s="4838" t="str">
        <f>IMAGE("https://raw.githubusercontent.com/msikma/pokesprite/master/misc/types/gen8/dragon.png",4,20,20)</f>
        <v/>
      </c>
      <c r="S83" s="4767"/>
      <c r="T83" s="4819" t="s">
        <v>1350</v>
      </c>
      <c r="U83" s="4820"/>
      <c r="V83" s="4837"/>
      <c r="W83" s="4838" t="str">
        <f>IMAGE("https://raw.githubusercontent.com/msikma/pokesprite/master/misc/types/gen8/normal.png",4,20,20)</f>
        <v/>
      </c>
      <c r="X83" s="4756"/>
      <c r="Y83" s="5305"/>
      <c r="Z83" s="4768"/>
      <c r="AA83" s="4769"/>
      <c r="AB83" s="5289"/>
      <c r="AC83" s="4783"/>
      <c r="AD83" s="4767"/>
      <c r="AE83" s="4768"/>
      <c r="AF83" s="4768"/>
      <c r="AG83" s="4769"/>
      <c r="AH83" s="4770"/>
      <c r="AI83" s="3367"/>
    </row>
    <row r="84" ht="20.25" customHeight="1">
      <c r="A84" s="3361"/>
      <c r="B84" s="4754"/>
      <c r="C84" s="4841"/>
      <c r="D84" s="4767"/>
      <c r="E84" s="4825" t="s">
        <v>749</v>
      </c>
      <c r="F84" s="4768"/>
      <c r="G84" s="4769"/>
      <c r="H84" s="4842" t="str">
        <f>IMAGE("https://raw.githubusercontent.com/msikma/pokesprite/master/misc/types/gen8/flying.png",4,20,20)</f>
        <v/>
      </c>
      <c r="I84" s="4836"/>
      <c r="J84" s="4825" t="s">
        <v>556</v>
      </c>
      <c r="K84" s="4768"/>
      <c r="L84" s="4769"/>
      <c r="M84" s="4842" t="str">
        <f>IMAGE("https://raw.githubusercontent.com/msikma/pokesprite/master/misc/types/gen8/fairy.png",4,20,20)</f>
        <v/>
      </c>
      <c r="N84" s="4836"/>
      <c r="O84" s="4825" t="s">
        <v>772</v>
      </c>
      <c r="P84" s="4768"/>
      <c r="Q84" s="4769"/>
      <c r="R84" s="4842" t="str">
        <f>IMAGE("https://raw.githubusercontent.com/msikma/pokesprite/master/misc/types/gen8/fighting.png",4,20,20)</f>
        <v/>
      </c>
      <c r="S84" s="4836"/>
      <c r="T84" s="4825" t="s">
        <v>285</v>
      </c>
      <c r="U84" s="4768"/>
      <c r="V84" s="4769"/>
      <c r="W84" s="4842" t="str">
        <f>IMAGE("https://raw.githubusercontent.com/msikma/pokesprite/master/misc/types/gen8/ice.png",4,20,20)</f>
        <v/>
      </c>
      <c r="X84" s="5306"/>
      <c r="Y84" s="5305"/>
      <c r="Z84" s="4768"/>
      <c r="AA84" s="4769"/>
      <c r="AB84" s="5289"/>
      <c r="AC84" s="4783"/>
      <c r="AD84" s="4767"/>
      <c r="AE84" s="4768"/>
      <c r="AF84" s="4768"/>
      <c r="AG84" s="4769"/>
      <c r="AH84" s="4770"/>
      <c r="AI84" s="3367"/>
    </row>
    <row r="85" ht="20.25" customHeight="1">
      <c r="A85" s="3361"/>
      <c r="B85" s="4754"/>
      <c r="C85" s="4841"/>
      <c r="D85" s="4767"/>
      <c r="E85" s="4825" t="s">
        <v>640</v>
      </c>
      <c r="F85" s="4768"/>
      <c r="G85" s="4769"/>
      <c r="H85" s="4842" t="str">
        <f>IMAGE("https://raw.githubusercontent.com/msikma/pokesprite/master/misc/types/gen8/normal.png",4,20,20)</f>
        <v/>
      </c>
      <c r="I85" s="4767"/>
      <c r="J85" s="4825" t="s">
        <v>252</v>
      </c>
      <c r="K85" s="4768"/>
      <c r="L85" s="4769"/>
      <c r="M85" s="4842" t="str">
        <f>IMAGE("https://raw.githubusercontent.com/msikma/pokesprite/master/misc/types/gen8/electric.png",4,20,20)</f>
        <v/>
      </c>
      <c r="N85" s="4767"/>
      <c r="O85" s="4825" t="s">
        <v>1351</v>
      </c>
      <c r="P85" s="4768"/>
      <c r="Q85" s="4769"/>
      <c r="R85" s="4842" t="str">
        <f>IMAGE("https://raw.githubusercontent.com/msikma/pokesprite/master/misc/types/gen8/grass.png",4,20,20)</f>
        <v/>
      </c>
      <c r="S85" s="4767"/>
      <c r="T85" s="4825" t="s">
        <v>638</v>
      </c>
      <c r="U85" s="4768"/>
      <c r="V85" s="4769"/>
      <c r="W85" s="4842" t="str">
        <f>IMAGE("https://raw.githubusercontent.com/msikma/pokesprite/master/misc/types/gen8/rock.png",4,20,20)</f>
        <v/>
      </c>
      <c r="X85" s="4756"/>
      <c r="Y85" s="5305"/>
      <c r="Z85" s="4768"/>
      <c r="AA85" s="4769"/>
      <c r="AB85" s="5289"/>
      <c r="AC85" s="4783"/>
      <c r="AD85" s="4767"/>
      <c r="AE85" s="4768"/>
      <c r="AF85" s="4768"/>
      <c r="AG85" s="4769"/>
      <c r="AH85" s="4770"/>
      <c r="AI85" s="3367"/>
    </row>
    <row r="86" ht="21.0" customHeight="1">
      <c r="A86" s="3361"/>
      <c r="B86" s="4754"/>
      <c r="C86" s="4841"/>
      <c r="D86" s="4767"/>
      <c r="E86" s="4845" t="s">
        <v>1154</v>
      </c>
      <c r="F86" s="4846"/>
      <c r="G86" s="4847"/>
      <c r="H86" s="4848" t="str">
        <f>IMAGE("https://raw.githubusercontent.com/msikma/pokesprite/master/misc/types/gen8/fighting.png",4,20,20)</f>
        <v/>
      </c>
      <c r="I86" s="4767"/>
      <c r="J86" s="4845" t="s">
        <v>403</v>
      </c>
      <c r="K86" s="4846"/>
      <c r="L86" s="4847"/>
      <c r="M86" s="4848" t="str">
        <f>IMAGE("https://raw.githubusercontent.com/msikma/pokesprite/master/misc/types/gen8/fire.png",4,20,20)</f>
        <v/>
      </c>
      <c r="N86" s="4767"/>
      <c r="O86" s="4845" t="s">
        <v>221</v>
      </c>
      <c r="P86" s="4846"/>
      <c r="Q86" s="4847"/>
      <c r="R86" s="4848" t="str">
        <f>IMAGE("https://raw.githubusercontent.com/msikma/pokesprite/master/misc/types/gen8/normal.png",4,20,20)</f>
        <v/>
      </c>
      <c r="S86" s="4767"/>
      <c r="T86" s="4845" t="s">
        <v>770</v>
      </c>
      <c r="U86" s="4846"/>
      <c r="V86" s="4847"/>
      <c r="W86" s="4848" t="str">
        <f>IMAGE("https://raw.githubusercontent.com/msikma/pokesprite/master/misc/types/gen8/grass.png",4,20,20)</f>
        <v/>
      </c>
      <c r="X86" s="4756"/>
      <c r="Y86" s="5305"/>
      <c r="Z86" s="4768"/>
      <c r="AA86" s="4769"/>
      <c r="AB86" s="5289"/>
      <c r="AC86" s="4853"/>
      <c r="AD86" s="4767"/>
      <c r="AE86" s="4768"/>
      <c r="AF86" s="4768"/>
      <c r="AG86" s="4769"/>
      <c r="AH86" s="4770"/>
      <c r="AI86" s="3367"/>
    </row>
    <row r="87" ht="3.0" customHeight="1">
      <c r="A87" s="3445"/>
      <c r="B87" s="4854"/>
      <c r="C87" s="4855"/>
      <c r="D87" s="4856"/>
      <c r="E87" s="4857"/>
      <c r="F87" s="4857"/>
      <c r="G87" s="4857"/>
      <c r="H87" s="4858"/>
      <c r="I87" s="4756"/>
      <c r="J87" s="4857"/>
      <c r="K87" s="4857"/>
      <c r="L87" s="4857"/>
      <c r="M87" s="4859"/>
      <c r="N87" s="4756"/>
      <c r="O87" s="4857"/>
      <c r="P87" s="4857"/>
      <c r="Q87" s="4857"/>
      <c r="R87" s="4859"/>
      <c r="S87" s="4756"/>
      <c r="T87" s="4857"/>
      <c r="U87" s="4857"/>
      <c r="V87" s="4857"/>
      <c r="W87" s="4859"/>
      <c r="X87" s="4756"/>
      <c r="Y87" s="4862"/>
      <c r="Z87" s="4862"/>
      <c r="AA87" s="4862"/>
      <c r="AB87" s="4862"/>
      <c r="AC87" s="4862"/>
      <c r="AD87" s="4862"/>
      <c r="AE87" s="4862"/>
      <c r="AF87" s="4862"/>
      <c r="AG87" s="4862"/>
      <c r="AH87" s="4863"/>
      <c r="AI87" s="3456"/>
    </row>
    <row r="88" ht="16.5" customHeight="1">
      <c r="A88" s="3457"/>
      <c r="B88" s="4864"/>
      <c r="C88" s="4865"/>
      <c r="D88" s="4866"/>
      <c r="E88" s="4867" t="s">
        <v>190</v>
      </c>
      <c r="F88" s="381"/>
      <c r="G88" s="382"/>
      <c r="H88" s="4868" t="s">
        <v>191</v>
      </c>
      <c r="I88" s="4870"/>
      <c r="J88" s="4867" t="s">
        <v>190</v>
      </c>
      <c r="K88" s="381"/>
      <c r="L88" s="382"/>
      <c r="M88" s="4868" t="s">
        <v>191</v>
      </c>
      <c r="N88" s="4870"/>
      <c r="O88" s="4867" t="s">
        <v>190</v>
      </c>
      <c r="P88" s="381"/>
      <c r="Q88" s="382"/>
      <c r="R88" s="4868" t="s">
        <v>191</v>
      </c>
      <c r="S88" s="4870"/>
      <c r="T88" s="4867" t="s">
        <v>190</v>
      </c>
      <c r="U88" s="381"/>
      <c r="V88" s="382"/>
      <c r="W88" s="4868" t="s">
        <v>191</v>
      </c>
      <c r="X88" s="4856"/>
      <c r="Y88" s="5307"/>
      <c r="Z88" s="4768"/>
      <c r="AA88" s="4769"/>
      <c r="AB88" s="5308"/>
      <c r="AC88" s="5309"/>
      <c r="AD88" s="4874"/>
      <c r="AE88" s="4874"/>
      <c r="AF88" s="4874"/>
      <c r="AG88" s="4874"/>
      <c r="AH88" s="4875"/>
      <c r="AI88" s="3466"/>
    </row>
    <row r="89" ht="16.5" customHeight="1">
      <c r="A89" s="3457"/>
      <c r="B89" s="4864"/>
      <c r="C89" s="4865"/>
      <c r="D89" s="4876"/>
      <c r="E89" s="4877" t="s">
        <v>192</v>
      </c>
      <c r="F89" s="4878">
        <f t="array" ref="F89">IFERROR(VLOOKUP(E76,Dex!$B$3:$N244,8,FALSE),"")</f>
        <v>60</v>
      </c>
      <c r="G89" s="4879" t="str">
        <f t="array" ref="G89">IFERROR(VLOOKUP(F89,Dex!$P$22:$Q$276,2,FALSE),"")</f>
        <v/>
      </c>
      <c r="H89" s="4880">
        <v>6.0</v>
      </c>
      <c r="I89" s="4876"/>
      <c r="J89" s="4877" t="s">
        <v>192</v>
      </c>
      <c r="K89" s="4878">
        <f t="array" ref="K89">IFERROR(VLOOKUP(J76,Dex!$B$3:$N244,8,FALSE),"")</f>
        <v>100</v>
      </c>
      <c r="L89" s="4879" t="str">
        <f t="array" ref="L89">IFERROR(VLOOKUP(K89,Dex!$P$22:$Q$276,2,FALSE),"")</f>
        <v/>
      </c>
      <c r="M89" s="4880">
        <v>252.0</v>
      </c>
      <c r="N89" s="4876"/>
      <c r="O89" s="4877" t="s">
        <v>192</v>
      </c>
      <c r="P89" s="4878">
        <f t="array" ref="P89">IFERROR(VLOOKUP(O76,Dex!$B$3:$N244,8,FALSE),"")</f>
        <v>110</v>
      </c>
      <c r="Q89" s="4879" t="str">
        <f t="array" ref="Q89">IFERROR(VLOOKUP(P89,Dex!$P$22:$Q$276,2,FALSE),"")</f>
        <v/>
      </c>
      <c r="R89" s="4880">
        <v>252.0</v>
      </c>
      <c r="S89" s="4866"/>
      <c r="T89" s="4877" t="s">
        <v>192</v>
      </c>
      <c r="U89" s="4878">
        <f t="array" ref="U89">IFERROR(VLOOKUP(T76,Dex!$B$3:$N244,8,FALSE),"")</f>
        <v>75</v>
      </c>
      <c r="V89" s="4879" t="str">
        <f t="array" ref="V89">IFERROR(VLOOKUP(U89,Dex!$P$22:$Q$276,2,FALSE),"")</f>
        <v/>
      </c>
      <c r="W89" s="4880">
        <v>6.0</v>
      </c>
      <c r="X89" s="5288"/>
      <c r="Y89" s="5310"/>
      <c r="Z89" s="5310"/>
      <c r="AA89" s="5311"/>
      <c r="AB89" s="5310"/>
      <c r="AC89" s="5309"/>
      <c r="AD89" s="4874"/>
      <c r="AE89" s="4874"/>
      <c r="AF89" s="4874"/>
      <c r="AG89" s="4874"/>
      <c r="AH89" s="4875"/>
      <c r="AI89" s="3466"/>
    </row>
    <row r="90" ht="16.5" customHeight="1">
      <c r="A90" s="3457"/>
      <c r="B90" s="4864"/>
      <c r="C90" s="4865"/>
      <c r="D90" s="4876"/>
      <c r="E90" s="4885" t="s">
        <v>193</v>
      </c>
      <c r="F90" s="4886">
        <f t="array" ref="F90">IFERROR(VLOOKUP(E76,Dex!$B$3:$N244,9,FALSE),"")</f>
        <v>110</v>
      </c>
      <c r="G90" s="4887" t="str">
        <f t="array" ref="G90">IFERROR(VLOOKUP(F90,Dex!$P$22:$Q$276,2,FALSE),"")</f>
        <v/>
      </c>
      <c r="H90" s="4888">
        <v>252.0</v>
      </c>
      <c r="I90" s="4876"/>
      <c r="J90" s="4885" t="s">
        <v>193</v>
      </c>
      <c r="K90" s="4886">
        <f t="array" ref="K90">IFERROR(VLOOKUP(J76,Dex!$B$3:$N244,9,FALSE),"")</f>
        <v>120</v>
      </c>
      <c r="L90" s="4887" t="str">
        <f t="array" ref="L90">IFERROR(VLOOKUP(K90,Dex!$P$22:$Q$276,2,FALSE),"")</f>
        <v/>
      </c>
      <c r="M90" s="4888">
        <v>252.0</v>
      </c>
      <c r="N90" s="4876"/>
      <c r="O90" s="4885" t="s">
        <v>193</v>
      </c>
      <c r="P90" s="4886">
        <f t="array" ref="P90">IFERROR(VLOOKUP(O76,Dex!$B$3:$N244,9,FALSE),"")</f>
        <v>105</v>
      </c>
      <c r="Q90" s="4887" t="str">
        <f t="array" ref="Q90">IFERROR(VLOOKUP(P90,Dex!$P$22:$Q$276,2,FALSE),"")</f>
        <v/>
      </c>
      <c r="R90" s="4888"/>
      <c r="S90" s="4866"/>
      <c r="T90" s="4885" t="s">
        <v>193</v>
      </c>
      <c r="U90" s="4886">
        <f t="array" ref="U90">IFERROR(VLOOKUP(T76,Dex!$B$3:$N244,9,FALSE),"")</f>
        <v>95</v>
      </c>
      <c r="V90" s="4887" t="str">
        <f t="array" ref="V90">IFERROR(VLOOKUP(U90,Dex!$P$22:$Q$276,2,FALSE),"")</f>
        <v/>
      </c>
      <c r="W90" s="4888">
        <v>252.0</v>
      </c>
      <c r="X90" s="5288"/>
      <c r="Y90" s="5310"/>
      <c r="Z90" s="5310"/>
      <c r="AA90" s="5311"/>
      <c r="AB90" s="5310"/>
      <c r="AC90" s="5309"/>
      <c r="AD90" s="4874"/>
      <c r="AE90" s="4874"/>
      <c r="AF90" s="4874"/>
      <c r="AG90" s="4874"/>
      <c r="AH90" s="4875"/>
      <c r="AI90" s="3466"/>
    </row>
    <row r="91" ht="16.5" customHeight="1">
      <c r="A91" s="3457"/>
      <c r="B91" s="4864"/>
      <c r="C91" s="4865"/>
      <c r="D91" s="4876"/>
      <c r="E91" s="4885" t="s">
        <v>194</v>
      </c>
      <c r="F91" s="4886">
        <f t="array" ref="F91">IFERROR(VLOOKUP(E76,Dex!$B$3:$N244,10,FALSE),"")</f>
        <v>70</v>
      </c>
      <c r="G91" s="4887" t="str">
        <f t="array" ref="G91">IFERROR(VLOOKUP(F91,Dex!$P$22:$Q$276,2,FALSE),"")</f>
        <v/>
      </c>
      <c r="H91" s="4888"/>
      <c r="I91" s="4876"/>
      <c r="J91" s="4885" t="s">
        <v>194</v>
      </c>
      <c r="K91" s="4886">
        <f t="array" ref="K91">IFERROR(VLOOKUP(J76,Dex!$B$3:$N244,10,FALSE),"")</f>
        <v>75</v>
      </c>
      <c r="L91" s="4887" t="str">
        <f t="array" ref="L91">IFERROR(VLOOKUP(K91,Dex!$P$22:$Q$276,2,FALSE),"")</f>
        <v/>
      </c>
      <c r="M91" s="4888"/>
      <c r="N91" s="4876"/>
      <c r="O91" s="4885" t="s">
        <v>194</v>
      </c>
      <c r="P91" s="4886">
        <f t="array" ref="P91">IFERROR(VLOOKUP(O76,Dex!$B$3:$N244,10,FALSE),"")</f>
        <v>100</v>
      </c>
      <c r="Q91" s="4887" t="str">
        <f t="array" ref="Q91">IFERROR(VLOOKUP(P91,Dex!$P$22:$Q$276,2,FALSE),"")</f>
        <v/>
      </c>
      <c r="R91" s="4888"/>
      <c r="S91" s="4866"/>
      <c r="T91" s="4885" t="s">
        <v>194</v>
      </c>
      <c r="U91" s="4886">
        <f t="array" ref="U91">IFERROR(VLOOKUP(T76,Dex!$B$3:$N244,10,FALSE),"")</f>
        <v>60</v>
      </c>
      <c r="V91" s="4887" t="str">
        <f t="array" ref="V91">IFERROR(VLOOKUP(U91,Dex!$P$22:$Q$276,2,FALSE),"")</f>
        <v/>
      </c>
      <c r="W91" s="4888"/>
      <c r="X91" s="5288"/>
      <c r="Y91" s="5310"/>
      <c r="Z91" s="5310"/>
      <c r="AA91" s="5311"/>
      <c r="AB91" s="5310"/>
      <c r="AC91" s="5309"/>
      <c r="AD91" s="4874"/>
      <c r="AE91" s="4874"/>
      <c r="AF91" s="4874"/>
      <c r="AG91" s="4874"/>
      <c r="AH91" s="4875"/>
      <c r="AI91" s="3466"/>
    </row>
    <row r="92" ht="16.5" customHeight="1">
      <c r="A92" s="3457"/>
      <c r="B92" s="4864"/>
      <c r="C92" s="4865"/>
      <c r="D92" s="4876"/>
      <c r="E92" s="4885" t="s">
        <v>195</v>
      </c>
      <c r="F92" s="4886">
        <f t="array" ref="F92">IFERROR(VLOOKUP(E76,Dex!$B$3:$N244,11,FALSE),"")</f>
        <v>60</v>
      </c>
      <c r="G92" s="4887" t="str">
        <f t="array" ref="G92">IFERROR(VLOOKUP(F92,Dex!$P$22:$Q$276,2,FALSE),"")</f>
        <v/>
      </c>
      <c r="H92" s="4888"/>
      <c r="I92" s="4876"/>
      <c r="J92" s="4885" t="s">
        <v>195</v>
      </c>
      <c r="K92" s="4886">
        <f t="array" ref="K92">IFERROR(VLOOKUP(J76,Dex!$B$3:$N244,11,FALSE),"")</f>
        <v>60</v>
      </c>
      <c r="L92" s="4887" t="str">
        <f t="array" ref="L92">IFERROR(VLOOKUP(K92,Dex!$P$22:$Q$276,2,FALSE),"")</f>
        <v/>
      </c>
      <c r="M92" s="4888"/>
      <c r="N92" s="4876"/>
      <c r="O92" s="4885" t="s">
        <v>195</v>
      </c>
      <c r="P92" s="4886">
        <f t="array" ref="P92">IFERROR(VLOOKUP(O76,Dex!$B$3:$N244,11,FALSE),"")</f>
        <v>135</v>
      </c>
      <c r="Q92" s="4887" t="str">
        <f t="array" ref="Q92">IFERROR(VLOOKUP(P92,Dex!$P$22:$Q$276,2,FALSE),"")</f>
        <v/>
      </c>
      <c r="R92" s="4888">
        <v>252.0</v>
      </c>
      <c r="S92" s="4866"/>
      <c r="T92" s="4885" t="s">
        <v>195</v>
      </c>
      <c r="U92" s="4886">
        <f t="array" ref="U92">IFERROR(VLOOKUP(T76,Dex!$B$3:$N244,11,FALSE),"")</f>
        <v>65</v>
      </c>
      <c r="V92" s="4887" t="str">
        <f t="array" ref="V92">IFERROR(VLOOKUP(U92,Dex!$P$22:$Q$276,2,FALSE),"")</f>
        <v/>
      </c>
      <c r="W92" s="4888"/>
      <c r="X92" s="5288"/>
      <c r="Y92" s="5310"/>
      <c r="Z92" s="5310"/>
      <c r="AA92" s="5311"/>
      <c r="AB92" s="5310"/>
      <c r="AC92" s="5309"/>
      <c r="AD92" s="4874"/>
      <c r="AE92" s="4874"/>
      <c r="AF92" s="4874"/>
      <c r="AG92" s="4874"/>
      <c r="AH92" s="4875"/>
      <c r="AI92" s="3466"/>
    </row>
    <row r="93" ht="16.5" customHeight="1">
      <c r="A93" s="3457"/>
      <c r="B93" s="4864"/>
      <c r="C93" s="4865"/>
      <c r="D93" s="4876"/>
      <c r="E93" s="4885" t="s">
        <v>196</v>
      </c>
      <c r="F93" s="4886">
        <f t="array" ref="F93">IFERROR(VLOOKUP(E76,Dex!$B$3:$N244,12,FALSE),"")</f>
        <v>60</v>
      </c>
      <c r="G93" s="4887" t="str">
        <f t="array" ref="G93">IFERROR(VLOOKUP(F93,Dex!$P$22:$Q$276,2,FALSE),"")</f>
        <v/>
      </c>
      <c r="H93" s="4888"/>
      <c r="I93" s="4876"/>
      <c r="J93" s="4885" t="s">
        <v>196</v>
      </c>
      <c r="K93" s="4886">
        <f t="array" ref="K93">IFERROR(VLOOKUP(J76,Dex!$B$3:$N244,12,FALSE),"")</f>
        <v>60</v>
      </c>
      <c r="L93" s="4887" t="str">
        <f t="array" ref="L93">IFERROR(VLOOKUP(K93,Dex!$P$22:$Q$276,2,FALSE),"")</f>
        <v/>
      </c>
      <c r="M93" s="4888"/>
      <c r="N93" s="4876"/>
      <c r="O93" s="4885" t="s">
        <v>196</v>
      </c>
      <c r="P93" s="4886">
        <f t="array" ref="P93">IFERROR(VLOOKUP(O76,Dex!$B$3:$N244,12,FALSE),"")</f>
        <v>100</v>
      </c>
      <c r="Q93" s="4887" t="str">
        <f t="array" ref="Q93">IFERROR(VLOOKUP(P93,Dex!$P$22:$Q$276,2,FALSE),"")</f>
        <v/>
      </c>
      <c r="R93" s="4888"/>
      <c r="S93" s="4866"/>
      <c r="T93" s="4885" t="s">
        <v>196</v>
      </c>
      <c r="U93" s="4886">
        <f t="array" ref="U93">IFERROR(VLOOKUP(T76,Dex!$B$3:$N244,12,FALSE),"")</f>
        <v>60</v>
      </c>
      <c r="V93" s="4887" t="str">
        <f t="array" ref="V93">IFERROR(VLOOKUP(U93,Dex!$P$22:$Q$276,2,FALSE),"")</f>
        <v/>
      </c>
      <c r="W93" s="4888"/>
      <c r="X93" s="5288"/>
      <c r="Y93" s="5310"/>
      <c r="Z93" s="5310"/>
      <c r="AA93" s="5311"/>
      <c r="AB93" s="5310"/>
      <c r="AC93" s="5309"/>
      <c r="AD93" s="4874"/>
      <c r="AE93" s="4874"/>
      <c r="AF93" s="4874"/>
      <c r="AG93" s="4874"/>
      <c r="AH93" s="4875"/>
      <c r="AI93" s="3466"/>
    </row>
    <row r="94" ht="16.5" customHeight="1">
      <c r="A94" s="3457"/>
      <c r="B94" s="4864"/>
      <c r="C94" s="1204" t="s">
        <v>436</v>
      </c>
      <c r="D94" s="4876"/>
      <c r="E94" s="4893" t="s">
        <v>197</v>
      </c>
      <c r="F94" s="4894">
        <f t="array" ref="F94">IFERROR(VLOOKUP(E76,Dex!$B$3:$N244,13,FALSE),"")</f>
        <v>110</v>
      </c>
      <c r="G94" s="4895" t="str">
        <f t="array" ref="G94">IFERROR(VLOOKUP(F94,Dex!$P$22:$Q$276,2,FALSE),"")</f>
        <v/>
      </c>
      <c r="H94" s="4896">
        <v>252.0</v>
      </c>
      <c r="I94" s="4876"/>
      <c r="J94" s="4893" t="s">
        <v>197</v>
      </c>
      <c r="K94" s="4894">
        <f t="array" ref="K94">IFERROR(VLOOKUP(J76,Dex!$B$3:$N244,13,FALSE),"")</f>
        <v>45</v>
      </c>
      <c r="L94" s="4895" t="str">
        <f t="array" ref="L94">IFERROR(VLOOKUP(K94,Dex!$P$22:$Q$276,2,FALSE),"")</f>
        <v/>
      </c>
      <c r="M94" s="4896">
        <v>6.0</v>
      </c>
      <c r="N94" s="4876"/>
      <c r="O94" s="4893" t="s">
        <v>197</v>
      </c>
      <c r="P94" s="4894">
        <f t="array" ref="P94">IFERROR(VLOOKUP(O76,Dex!$B$3:$N244,13,FALSE),"")</f>
        <v>40</v>
      </c>
      <c r="Q94" s="4895" t="str">
        <f t="array" ref="Q94">IFERROR(VLOOKUP(P94,Dex!$P$22:$Q$276,2,FALSE),"")</f>
        <v/>
      </c>
      <c r="R94" s="4896">
        <v>6.0</v>
      </c>
      <c r="S94" s="4866"/>
      <c r="T94" s="4893" t="s">
        <v>197</v>
      </c>
      <c r="U94" s="4894">
        <f t="array" ref="U94">IFERROR(VLOOKUP(T76,Dex!$B$3:$N244,13,FALSE),"")</f>
        <v>115</v>
      </c>
      <c r="V94" s="4895" t="str">
        <f t="array" ref="V94">IFERROR(VLOOKUP(U94,Dex!$P$22:$Q$276,2,FALSE),"")</f>
        <v/>
      </c>
      <c r="W94" s="4896">
        <v>252.0</v>
      </c>
      <c r="X94" s="5288"/>
      <c r="Y94" s="5310"/>
      <c r="Z94" s="5310"/>
      <c r="AA94" s="5311"/>
      <c r="AB94" s="5310"/>
      <c r="AC94" s="5309"/>
      <c r="AD94" s="4874"/>
      <c r="AE94" s="4874"/>
      <c r="AF94" s="4874"/>
      <c r="AG94" s="4874"/>
      <c r="AH94" s="4875"/>
      <c r="AI94" s="3466"/>
    </row>
    <row r="95" ht="16.5" customHeight="1">
      <c r="A95" s="3457"/>
      <c r="B95" s="4864"/>
      <c r="C95" s="1205" t="s">
        <v>611</v>
      </c>
      <c r="D95" s="4866"/>
      <c r="E95" s="4901" t="s">
        <v>198</v>
      </c>
      <c r="F95" s="405"/>
      <c r="G95" s="406"/>
      <c r="H95" s="4902">
        <v>201.0</v>
      </c>
      <c r="I95" s="4866"/>
      <c r="J95" s="4901" t="s">
        <v>198</v>
      </c>
      <c r="K95" s="405"/>
      <c r="L95" s="406"/>
      <c r="M95" s="4902">
        <v>74.0</v>
      </c>
      <c r="N95" s="4866"/>
      <c r="O95" s="4901" t="s">
        <v>198</v>
      </c>
      <c r="P95" s="405"/>
      <c r="Q95" s="406"/>
      <c r="R95" s="4902">
        <v>68.0</v>
      </c>
      <c r="S95" s="4866"/>
      <c r="T95" s="4901" t="s">
        <v>198</v>
      </c>
      <c r="U95" s="405"/>
      <c r="V95" s="406"/>
      <c r="W95" s="4902">
        <v>207.0</v>
      </c>
      <c r="X95" s="5288"/>
      <c r="Y95" s="5312"/>
      <c r="Z95" s="4768"/>
      <c r="AA95" s="4769"/>
      <c r="AB95" s="5310"/>
      <c r="AC95" s="5309"/>
      <c r="AD95" s="4874"/>
      <c r="AE95" s="4874"/>
      <c r="AF95" s="4874"/>
      <c r="AG95" s="4874"/>
      <c r="AH95" s="4875"/>
      <c r="AI95" s="3466"/>
    </row>
    <row r="96" ht="15.0" customHeight="1">
      <c r="A96" s="3361"/>
      <c r="B96" s="4910"/>
      <c r="C96" s="4911"/>
      <c r="D96" s="4912"/>
      <c r="E96" s="4913"/>
      <c r="F96" s="4913"/>
      <c r="G96" s="4913"/>
      <c r="H96" s="4913"/>
      <c r="I96" s="4914"/>
      <c r="J96" s="4913"/>
      <c r="K96" s="4913"/>
      <c r="L96" s="4913"/>
      <c r="M96" s="4913"/>
      <c r="N96" s="4914"/>
      <c r="O96" s="4913"/>
      <c r="P96" s="4913"/>
      <c r="Q96" s="4913"/>
      <c r="R96" s="4913"/>
      <c r="S96" s="4914"/>
      <c r="T96" s="4913"/>
      <c r="U96" s="4913"/>
      <c r="V96" s="4913"/>
      <c r="W96" s="4913"/>
      <c r="X96" s="4914"/>
      <c r="Y96" s="4913"/>
      <c r="Z96" s="4913"/>
      <c r="AA96" s="4913"/>
      <c r="AB96" s="4913"/>
      <c r="AC96" s="4912"/>
      <c r="AD96" s="4912"/>
      <c r="AE96" s="4912"/>
      <c r="AF96" s="4912"/>
      <c r="AG96" s="4912"/>
      <c r="AH96" s="4915"/>
      <c r="AI96" s="3367"/>
    </row>
    <row r="97" ht="15.0" customHeight="1">
      <c r="A97" s="3361"/>
      <c r="B97" s="3491"/>
      <c r="C97" s="3492"/>
      <c r="D97" s="3493"/>
      <c r="E97" s="3494"/>
      <c r="F97" s="3494"/>
      <c r="G97" s="3494"/>
      <c r="H97" s="3494"/>
      <c r="I97" s="3493"/>
      <c r="J97" s="3494"/>
      <c r="K97" s="3494"/>
      <c r="L97" s="3494"/>
      <c r="M97" s="3494"/>
      <c r="N97" s="3493"/>
      <c r="O97" s="3494"/>
      <c r="P97" s="3494"/>
      <c r="Q97" s="3494"/>
      <c r="R97" s="3494"/>
      <c r="S97" s="3493"/>
      <c r="T97" s="3494"/>
      <c r="U97" s="3494"/>
      <c r="V97" s="3494"/>
      <c r="W97" s="3494"/>
      <c r="X97" s="3493"/>
      <c r="Y97" s="3494"/>
      <c r="Z97" s="3494"/>
      <c r="AA97" s="3494"/>
      <c r="AB97" s="3494"/>
      <c r="AC97" s="3493"/>
      <c r="AD97" s="3494"/>
      <c r="AE97" s="3494"/>
      <c r="AF97" s="3494"/>
      <c r="AG97" s="3494"/>
      <c r="AH97" s="3495"/>
      <c r="AI97" s="3367"/>
    </row>
    <row r="98" ht="96.75" customHeight="1">
      <c r="A98" s="3368"/>
      <c r="B98" s="3496"/>
      <c r="C98" s="3497" t="str">
        <f>IMAGE("https://i.ibb.co/26kF6WW/Ace-Trainer-F.png")</f>
        <v/>
      </c>
      <c r="D98" s="3498"/>
      <c r="E98" s="3499" t="str">
        <f t="array" ref="E98">IFERROR(VLOOKUP(E99,Dex!$B$3:$G244,3,FALSE),"")</f>
        <v/>
      </c>
      <c r="F98" s="381"/>
      <c r="G98" s="381"/>
      <c r="H98" s="2531"/>
      <c r="I98" s="5178"/>
      <c r="J98" s="3499" t="str">
        <f t="array" ref="J98">IFERROR(VLOOKUP(J99,Dex!$B$3:$G244,3,FALSE),"")</f>
        <v/>
      </c>
      <c r="K98" s="381"/>
      <c r="L98" s="381"/>
      <c r="M98" s="2531"/>
      <c r="N98" s="5179"/>
      <c r="O98" s="3499" t="str">
        <f t="array" ref="O98">IFERROR(VLOOKUP(O99,Dex!$B$3:$G244,3,FALSE),"")</f>
        <v/>
      </c>
      <c r="P98" s="381"/>
      <c r="Q98" s="381"/>
      <c r="R98" s="2531"/>
      <c r="S98" s="5180"/>
      <c r="T98" s="3499" t="str">
        <f t="array" ref="T98">IFERROR(VLOOKUP(T99,Dex!$B$3:$G244,3,FALSE),"")</f>
        <v/>
      </c>
      <c r="U98" s="381"/>
      <c r="V98" s="381"/>
      <c r="W98" s="2531"/>
      <c r="X98" s="5179"/>
      <c r="Y98" s="3499" t="str">
        <f t="array" ref="Y98">IFERROR(VLOOKUP(Y99,Dex!$B$3:$G244,3,FALSE),"")</f>
        <v/>
      </c>
      <c r="Z98" s="381"/>
      <c r="AA98" s="381"/>
      <c r="AB98" s="2531"/>
      <c r="AC98" s="5180"/>
      <c r="AD98" s="3499" t="str">
        <f t="array" ref="AD98">IFERROR(VLOOKUP(AD99,Dex!$B$3:$G244,3,FALSE),"")</f>
        <v/>
      </c>
      <c r="AE98" s="381"/>
      <c r="AF98" s="381"/>
      <c r="AG98" s="2531"/>
      <c r="AH98" s="5181"/>
      <c r="AI98" s="3380"/>
    </row>
    <row r="99" ht="18.75" customHeight="1">
      <c r="A99" s="3381"/>
      <c r="B99" s="3508"/>
      <c r="C99" s="3509" t="s">
        <v>1352</v>
      </c>
      <c r="D99" s="3510"/>
      <c r="E99" s="5129" t="s">
        <v>663</v>
      </c>
      <c r="F99" s="3512"/>
      <c r="G99" s="3512"/>
      <c r="H99" s="5130"/>
      <c r="J99" s="5129" t="s">
        <v>480</v>
      </c>
      <c r="K99" s="3512"/>
      <c r="L99" s="3512"/>
      <c r="M99" s="5130"/>
      <c r="O99" s="5129" t="s">
        <v>1353</v>
      </c>
      <c r="P99" s="3512"/>
      <c r="Q99" s="3512"/>
      <c r="R99" s="5130"/>
      <c r="T99" s="5129" t="s">
        <v>1354</v>
      </c>
      <c r="U99" s="3512"/>
      <c r="V99" s="3512"/>
      <c r="W99" s="5130"/>
      <c r="Y99" s="5129" t="s">
        <v>202</v>
      </c>
      <c r="Z99" s="3512"/>
      <c r="AA99" s="3512"/>
      <c r="AB99" s="5130"/>
      <c r="AD99" s="5129" t="s">
        <v>1355</v>
      </c>
      <c r="AE99" s="3512"/>
      <c r="AF99" s="3512"/>
      <c r="AG99" s="5130"/>
      <c r="AH99" s="5182"/>
      <c r="AI99" s="3393"/>
    </row>
    <row r="100">
      <c r="A100" s="3394"/>
      <c r="B100" s="3518"/>
      <c r="C100" s="1481"/>
      <c r="D100" s="3519"/>
      <c r="E100" s="3520" t="s">
        <v>420</v>
      </c>
      <c r="F100" s="3521"/>
      <c r="G100" s="3521"/>
      <c r="H100" s="3522"/>
      <c r="J100" s="3520" t="s">
        <v>420</v>
      </c>
      <c r="K100" s="3521"/>
      <c r="L100" s="3521"/>
      <c r="M100" s="3522"/>
      <c r="O100" s="3520" t="s">
        <v>420</v>
      </c>
      <c r="P100" s="3521"/>
      <c r="Q100" s="3521"/>
      <c r="R100" s="3522"/>
      <c r="T100" s="3520" t="s">
        <v>420</v>
      </c>
      <c r="U100" s="3521"/>
      <c r="V100" s="3521"/>
      <c r="W100" s="3522"/>
      <c r="Y100" s="3520" t="s">
        <v>420</v>
      </c>
      <c r="Z100" s="3521"/>
      <c r="AA100" s="3521"/>
      <c r="AB100" s="3522"/>
      <c r="AD100" s="3520" t="s">
        <v>420</v>
      </c>
      <c r="AE100" s="3521"/>
      <c r="AF100" s="3521"/>
      <c r="AG100" s="3522"/>
      <c r="AH100" s="5183"/>
      <c r="AI100" s="3402"/>
    </row>
    <row r="101" ht="25.5" customHeight="1">
      <c r="A101" s="3368"/>
      <c r="B101" s="3496"/>
      <c r="C101" s="1489"/>
      <c r="D101" s="3498"/>
      <c r="E101" s="5133"/>
      <c r="F101" s="5134" t="str">
        <f t="array" ref="F101">IFERROR(VLOOKUP(E99,Dex!$B$3:$H244,5,FALSE),"")</f>
        <v/>
      </c>
      <c r="G101" s="5135" t="str">
        <f t="array" ref="G101">IFERROR(VLOOKUP(E99,Dex!$B$3:$H244,7,FALSE),"")</f>
        <v/>
      </c>
      <c r="H101" s="5136"/>
      <c r="J101" s="5133"/>
      <c r="K101" s="5134" t="str">
        <f t="array" ref="K101">IFERROR(VLOOKUP(J99,Dex!$B$3:$H244,5,FALSE),"")</f>
        <v/>
      </c>
      <c r="L101" s="5135" t="str">
        <f t="array" ref="L101">IFERROR(VLOOKUP(J99,Dex!$B$3:$H244,7,FALSE),"")</f>
        <v/>
      </c>
      <c r="M101" s="5136"/>
      <c r="O101" s="5133"/>
      <c r="P101" s="3526" t="str">
        <f t="array" ref="P101">IFERROR(VLOOKUP(O99,Dex!$B$3:$H244,5,FALSE),"")</f>
        <v/>
      </c>
      <c r="Q101" s="3527"/>
      <c r="R101" s="5136"/>
      <c r="T101" s="5133"/>
      <c r="U101" s="3526" t="str">
        <f t="array" ref="U101">IFERROR(VLOOKUP(T99,Dex!$B$3:$H244,5,FALSE),"")</f>
        <v/>
      </c>
      <c r="V101" s="3527"/>
      <c r="W101" s="5136"/>
      <c r="Y101" s="5133"/>
      <c r="Z101" s="5134" t="str">
        <f t="array" ref="Z101">IFERROR(VLOOKUP(Y99,Dex!$B$3:$H244,5,FALSE),"")</f>
        <v/>
      </c>
      <c r="AA101" s="5135" t="str">
        <f t="array" ref="AA101">IFERROR(VLOOKUP(Y99,Dex!$B$3:$H244,7,FALSE),"")</f>
        <v/>
      </c>
      <c r="AB101" s="5136"/>
      <c r="AD101" s="5133"/>
      <c r="AE101" s="5134" t="str">
        <f t="array" ref="AE101">IFERROR(VLOOKUP(AD99,Dex!$B$3:$H244,5,FALSE),"")</f>
        <v/>
      </c>
      <c r="AF101" s="5135" t="str">
        <f t="array" ref="AF101">IFERROR(VLOOKUP(AD99,Dex!$B$3:$H244,7,FALSE),"")</f>
        <v/>
      </c>
      <c r="AG101" s="5136"/>
      <c r="AH101" s="3507"/>
      <c r="AI101" s="3380"/>
    </row>
    <row r="102" ht="2.25" customHeight="1">
      <c r="A102" s="3368"/>
      <c r="B102" s="3496"/>
      <c r="C102" s="3529"/>
      <c r="D102" s="3498"/>
      <c r="E102" s="5137"/>
      <c r="F102" s="5138"/>
      <c r="G102" s="5138"/>
      <c r="H102" s="5139"/>
      <c r="J102" s="5137"/>
      <c r="K102" s="5138"/>
      <c r="L102" s="5138"/>
      <c r="M102" s="5139"/>
      <c r="O102" s="5137"/>
      <c r="P102" s="5138"/>
      <c r="Q102" s="5138"/>
      <c r="R102" s="5139"/>
      <c r="T102" s="5137"/>
      <c r="U102" s="5138"/>
      <c r="V102" s="5138"/>
      <c r="W102" s="5139"/>
      <c r="Y102" s="5137"/>
      <c r="Z102" s="5138"/>
      <c r="AA102" s="5138"/>
      <c r="AB102" s="5139"/>
      <c r="AD102" s="5137"/>
      <c r="AE102" s="5138"/>
      <c r="AF102" s="5138"/>
      <c r="AG102" s="5139"/>
      <c r="AH102" s="3507"/>
      <c r="AI102" s="3380"/>
    </row>
    <row r="103" ht="20.25" customHeight="1">
      <c r="A103" s="3368"/>
      <c r="B103" s="3496"/>
      <c r="C103" s="3529"/>
      <c r="D103" s="3498"/>
      <c r="E103" s="3534" t="s">
        <v>205</v>
      </c>
      <c r="F103" s="3535"/>
      <c r="G103" s="3535"/>
      <c r="H103" s="3536"/>
      <c r="I103" s="5184"/>
      <c r="J103" s="3534" t="s">
        <v>172</v>
      </c>
      <c r="K103" s="3535"/>
      <c r="L103" s="3535"/>
      <c r="M103" s="3536"/>
      <c r="N103" s="5185"/>
      <c r="O103" s="3534" t="s">
        <v>205</v>
      </c>
      <c r="P103" s="3535"/>
      <c r="Q103" s="3535"/>
      <c r="R103" s="3536"/>
      <c r="S103" s="5186"/>
      <c r="T103" s="3534" t="s">
        <v>205</v>
      </c>
      <c r="U103" s="3535"/>
      <c r="V103" s="3535"/>
      <c r="W103" s="3536"/>
      <c r="X103" s="5185"/>
      <c r="Y103" s="3534" t="s">
        <v>205</v>
      </c>
      <c r="Z103" s="3535"/>
      <c r="AA103" s="3535"/>
      <c r="AB103" s="3536"/>
      <c r="AC103" s="5186"/>
      <c r="AD103" s="3534" t="s">
        <v>471</v>
      </c>
      <c r="AE103" s="3535"/>
      <c r="AF103" s="3535"/>
      <c r="AG103" s="3536"/>
      <c r="AH103" s="5181"/>
      <c r="AI103" s="3380"/>
    </row>
    <row r="104">
      <c r="A104" s="3368"/>
      <c r="B104" s="3496"/>
      <c r="C104" s="3537"/>
      <c r="D104" s="3498"/>
      <c r="E104" s="3538" t="s">
        <v>173</v>
      </c>
      <c r="F104" s="3503"/>
      <c r="G104" s="3503"/>
      <c r="H104" s="3539"/>
      <c r="I104" s="5184"/>
      <c r="J104" s="3538" t="s">
        <v>483</v>
      </c>
      <c r="K104" s="3503"/>
      <c r="L104" s="3503"/>
      <c r="M104" s="3539"/>
      <c r="N104" s="5185"/>
      <c r="O104" s="3538" t="s">
        <v>1356</v>
      </c>
      <c r="P104" s="3503"/>
      <c r="Q104" s="3503"/>
      <c r="R104" s="3539"/>
      <c r="S104" s="5186"/>
      <c r="T104" s="3538" t="s">
        <v>483</v>
      </c>
      <c r="U104" s="3503"/>
      <c r="V104" s="3503"/>
      <c r="W104" s="3539"/>
      <c r="X104" s="5185"/>
      <c r="Y104" s="3538" t="s">
        <v>209</v>
      </c>
      <c r="Z104" s="3503"/>
      <c r="AA104" s="3503"/>
      <c r="AB104" s="3539"/>
      <c r="AC104" s="5186"/>
      <c r="AD104" s="3538" t="s">
        <v>1357</v>
      </c>
      <c r="AE104" s="3503"/>
      <c r="AF104" s="3503"/>
      <c r="AG104" s="3539"/>
      <c r="AH104" s="5181"/>
      <c r="AI104" s="3380"/>
    </row>
    <row r="105" ht="20.25" customHeight="1">
      <c r="A105" s="3368"/>
      <c r="B105" s="3496"/>
      <c r="C105" s="3516"/>
      <c r="D105" s="3498"/>
      <c r="E105" s="3540" t="s">
        <v>177</v>
      </c>
      <c r="F105" s="3541"/>
      <c r="G105" s="3542"/>
      <c r="H105" s="3543" t="str">
        <f>IMAGE("https://raw.githubusercontent.com/msikma/pokesprite/master/items/hold-item/air-balloon.png",3)</f>
        <v/>
      </c>
      <c r="I105" s="5184"/>
      <c r="J105" s="3540" t="s">
        <v>426</v>
      </c>
      <c r="K105" s="3541"/>
      <c r="L105" s="3542"/>
      <c r="M105" s="3543" t="str">
        <f>IMAGE("https://raw.githubusercontent.com/msikma/pokesprite/master/items/hold-item/power-herb.png",3)</f>
        <v/>
      </c>
      <c r="N105" s="5185"/>
      <c r="O105" s="3540" t="s">
        <v>426</v>
      </c>
      <c r="P105" s="3541"/>
      <c r="Q105" s="3542"/>
      <c r="R105" s="3543" t="str">
        <f>IMAGE("https://raw.githubusercontent.com/msikma/pokesprite/master/items/hold-item/power-herb.png",3)</f>
        <v/>
      </c>
      <c r="S105" s="5186"/>
      <c r="T105" s="3540" t="s">
        <v>426</v>
      </c>
      <c r="U105" s="3541"/>
      <c r="V105" s="3542"/>
      <c r="W105" s="3543" t="str">
        <f>IMAGE("https://raw.githubusercontent.com/msikma/pokesprite/master/items/hold-item/power-herb.png",3)</f>
        <v/>
      </c>
      <c r="X105" s="5185"/>
      <c r="Y105" s="3540" t="s">
        <v>426</v>
      </c>
      <c r="Z105" s="3541"/>
      <c r="AA105" s="3542"/>
      <c r="AB105" s="3543" t="str">
        <f>IMAGE("https://raw.githubusercontent.com/msikma/pokesprite/master/items/hold-item/power-herb.png",3)</f>
        <v/>
      </c>
      <c r="AC105" s="5186"/>
      <c r="AD105" s="3540" t="s">
        <v>1358</v>
      </c>
      <c r="AE105" s="3541"/>
      <c r="AF105" s="3542"/>
      <c r="AG105" s="3543" t="str">
        <f>IMAGE("https://raw.githubusercontent.com/msikma/pokesprite/master/items/mega-stone/lopunnite.png",3)</f>
        <v/>
      </c>
      <c r="AH105" s="3507"/>
      <c r="AI105" s="3380"/>
    </row>
    <row r="106" ht="20.25" customHeight="1">
      <c r="A106" s="3368"/>
      <c r="B106" s="3496"/>
      <c r="C106" s="3544"/>
      <c r="D106" s="3498"/>
      <c r="E106" s="3534" t="s">
        <v>242</v>
      </c>
      <c r="F106" s="3535"/>
      <c r="G106" s="3545"/>
      <c r="H106" s="3546" t="str">
        <f>IMAGE("https://raw.githubusercontent.com/msikma/pokesprite/master/misc/types/gen8/electric.png",4,20,20)</f>
        <v/>
      </c>
      <c r="I106" s="5184"/>
      <c r="J106" s="3534" t="s">
        <v>1359</v>
      </c>
      <c r="K106" s="3535"/>
      <c r="L106" s="3545"/>
      <c r="M106" s="3546" t="str">
        <f t="shared" ref="M106:M107" si="4">IMAGE("https://raw.githubusercontent.com/msikma/pokesprite/master/misc/types/gen8/flying.png",4,20,20)</f>
        <v/>
      </c>
      <c r="N106" s="5185"/>
      <c r="O106" s="3534" t="s">
        <v>429</v>
      </c>
      <c r="P106" s="3535"/>
      <c r="Q106" s="3545"/>
      <c r="R106" s="3546" t="str">
        <f>IMAGE("https://raw.githubusercontent.com/msikma/pokesprite/master/misc/types/gen8/rock.png",4,20,20)</f>
        <v/>
      </c>
      <c r="S106" s="5186"/>
      <c r="T106" s="3534" t="s">
        <v>429</v>
      </c>
      <c r="U106" s="3535"/>
      <c r="V106" s="3545"/>
      <c r="W106" s="3546" t="str">
        <f>IMAGE("https://raw.githubusercontent.com/msikma/pokesprite/master/misc/types/gen8/rock.png",4,20,20)</f>
        <v/>
      </c>
      <c r="X106" s="5185"/>
      <c r="Y106" s="3534" t="s">
        <v>429</v>
      </c>
      <c r="Z106" s="3535"/>
      <c r="AA106" s="3545"/>
      <c r="AB106" s="3546" t="str">
        <f>IMAGE("https://raw.githubusercontent.com/msikma/pokesprite/master/misc/types/gen8/rock.png",4,20,20)</f>
        <v/>
      </c>
      <c r="AC106" s="5186"/>
      <c r="AD106" s="3534" t="s">
        <v>557</v>
      </c>
      <c r="AE106" s="3535"/>
      <c r="AF106" s="3545"/>
      <c r="AG106" s="3546" t="str">
        <f>IMAGE("https://raw.githubusercontent.com/msikma/pokesprite/master/misc/types/gen8/flying.png",4,20,20)</f>
        <v/>
      </c>
      <c r="AH106" s="3507"/>
      <c r="AI106" s="3380"/>
    </row>
    <row r="107" ht="20.25" customHeight="1">
      <c r="A107" s="3368"/>
      <c r="B107" s="3496"/>
      <c r="C107" s="3529"/>
      <c r="D107" s="3498"/>
      <c r="E107" s="3538" t="s">
        <v>404</v>
      </c>
      <c r="F107" s="3503"/>
      <c r="G107" s="3504"/>
      <c r="H107" s="3547" t="str">
        <f>IMAGE("https://raw.githubusercontent.com/msikma/pokesprite/master/misc/types/gen8/steel.png",4,20,20)</f>
        <v/>
      </c>
      <c r="I107" s="5184"/>
      <c r="J107" s="3538" t="s">
        <v>493</v>
      </c>
      <c r="K107" s="3503"/>
      <c r="L107" s="3504"/>
      <c r="M107" s="3547" t="str">
        <f t="shared" si="4"/>
        <v/>
      </c>
      <c r="N107" s="5185"/>
      <c r="O107" s="3538" t="s">
        <v>372</v>
      </c>
      <c r="P107" s="3503"/>
      <c r="Q107" s="3504"/>
      <c r="R107" s="3547" t="str">
        <f>IMAGE("https://raw.githubusercontent.com/msikma/pokesprite/master/misc/types/gen8/fire.png",4,20,20)</f>
        <v/>
      </c>
      <c r="S107" s="5186"/>
      <c r="T107" s="3538" t="s">
        <v>318</v>
      </c>
      <c r="U107" s="3503"/>
      <c r="V107" s="3504"/>
      <c r="W107" s="3547" t="str">
        <f>IMAGE("https://raw.githubusercontent.com/msikma/pokesprite/master/misc/types/gen8/ghost.png",4,20,20)</f>
        <v/>
      </c>
      <c r="X107" s="5185"/>
      <c r="Y107" s="3538" t="s">
        <v>433</v>
      </c>
      <c r="Z107" s="3503"/>
      <c r="AA107" s="3504"/>
      <c r="AB107" s="3547" t="str">
        <f>IMAGE("https://raw.githubusercontent.com/msikma/pokesprite/master/misc/types/gen8/water.png",4,20,20)</f>
        <v/>
      </c>
      <c r="AC107" s="5186"/>
      <c r="AD107" s="3538" t="s">
        <v>633</v>
      </c>
      <c r="AE107" s="3503"/>
      <c r="AF107" s="3504"/>
      <c r="AG107" s="3547" t="str">
        <f>IMAGE("https://raw.githubusercontent.com/msikma/pokesprite/master/misc/types/gen8/psychic.png",4,20,20)</f>
        <v/>
      </c>
      <c r="AH107" s="3507"/>
      <c r="AI107" s="3380"/>
    </row>
    <row r="108" ht="20.25" customHeight="1">
      <c r="A108" s="3368"/>
      <c r="B108" s="3496"/>
      <c r="C108" s="3529"/>
      <c r="D108" s="3498"/>
      <c r="E108" s="3538" t="s">
        <v>1360</v>
      </c>
      <c r="F108" s="3503"/>
      <c r="G108" s="3504"/>
      <c r="H108" s="3547" t="str">
        <f>IMAGE("https://raw.githubusercontent.com/msikma/pokesprite/master/misc/types/gen8/dark.png",4,20,20)</f>
        <v/>
      </c>
      <c r="I108" s="5184"/>
      <c r="J108" s="3538" t="s">
        <v>316</v>
      </c>
      <c r="K108" s="3503"/>
      <c r="L108" s="3504"/>
      <c r="M108" s="3547" t="str">
        <f>IMAGE("https://raw.githubusercontent.com/msikma/pokesprite/master/misc/types/gen8/fighting.png",4,20,20)</f>
        <v/>
      </c>
      <c r="N108" s="5185"/>
      <c r="O108" s="3538" t="s">
        <v>1361</v>
      </c>
      <c r="P108" s="3503"/>
      <c r="Q108" s="3504"/>
      <c r="R108" s="3547" t="str">
        <f>IMAGE("https://raw.githubusercontent.com/msikma/pokesprite/master/misc/types/gen8/water.png",4,20,20)</f>
        <v/>
      </c>
      <c r="S108" s="5186"/>
      <c r="T108" s="3538" t="s">
        <v>317</v>
      </c>
      <c r="U108" s="3503"/>
      <c r="V108" s="3504"/>
      <c r="W108" s="3547" t="str">
        <f>IMAGE("https://raw.githubusercontent.com/msikma/pokesprite/master/misc/types/gen8/ice.png",4,20,20)</f>
        <v/>
      </c>
      <c r="X108" s="5185"/>
      <c r="Y108" s="3538" t="s">
        <v>317</v>
      </c>
      <c r="Z108" s="3503"/>
      <c r="AA108" s="3504"/>
      <c r="AB108" s="3547" t="str">
        <f>IMAGE("https://raw.githubusercontent.com/msikma/pokesprite/master/misc/types/gen8/ice.png",4,20,20)</f>
        <v/>
      </c>
      <c r="AC108" s="5186"/>
      <c r="AD108" s="3538" t="s">
        <v>185</v>
      </c>
      <c r="AE108" s="3503"/>
      <c r="AF108" s="3504"/>
      <c r="AG108" s="3547" t="str">
        <f>IMAGE("https://raw.githubusercontent.com/msikma/pokesprite/master/misc/types/gen8/normal.png",4,20,20)</f>
        <v/>
      </c>
      <c r="AH108" s="3507"/>
      <c r="AI108" s="3380"/>
    </row>
    <row r="109" ht="21.0" customHeight="1">
      <c r="A109" s="3368"/>
      <c r="B109" s="3496"/>
      <c r="C109" s="3529"/>
      <c r="D109" s="3498"/>
      <c r="E109" s="3548" t="s">
        <v>277</v>
      </c>
      <c r="F109" s="3549"/>
      <c r="G109" s="3550"/>
      <c r="H109" s="3551" t="str">
        <f>IMAGE("https://raw.githubusercontent.com/msikma/pokesprite/master/misc/types/gen8/electric.png",4,20,20)</f>
        <v/>
      </c>
      <c r="I109" s="5187"/>
      <c r="J109" s="3548" t="s">
        <v>489</v>
      </c>
      <c r="K109" s="3549"/>
      <c r="L109" s="3550"/>
      <c r="M109" s="3551" t="str">
        <f>IMAGE("https://raw.githubusercontent.com/msikma/pokesprite/master/misc/types/gen8/normal.png",4,20,20)</f>
        <v/>
      </c>
      <c r="N109" s="5188"/>
      <c r="O109" s="3548" t="s">
        <v>277</v>
      </c>
      <c r="P109" s="3549"/>
      <c r="Q109" s="3550"/>
      <c r="R109" s="3551" t="str">
        <f>IMAGE("https://raw.githubusercontent.com/msikma/pokesprite/master/misc/types/gen8/electric.png",4,20,20)</f>
        <v/>
      </c>
      <c r="S109" s="5189"/>
      <c r="T109" s="3548" t="s">
        <v>315</v>
      </c>
      <c r="U109" s="3549"/>
      <c r="V109" s="3550"/>
      <c r="W109" s="3551" t="str">
        <f>IMAGE("https://raw.githubusercontent.com/msikma/pokesprite/master/misc/types/gen8/fire.png",4,20,20)</f>
        <v/>
      </c>
      <c r="X109" s="5188"/>
      <c r="Y109" s="3548" t="s">
        <v>217</v>
      </c>
      <c r="Z109" s="3549"/>
      <c r="AA109" s="3550"/>
      <c r="AB109" s="3551" t="str">
        <f>IMAGE("https://raw.githubusercontent.com/msikma/pokesprite/master/misc/types/gen8/psychic.png",4,20,20)</f>
        <v/>
      </c>
      <c r="AC109" s="5189"/>
      <c r="AD109" s="3548" t="s">
        <v>565</v>
      </c>
      <c r="AE109" s="3549"/>
      <c r="AF109" s="3550"/>
      <c r="AG109" s="3551" t="str">
        <f>IMAGE("https://raw.githubusercontent.com/msikma/pokesprite/master/misc/types/gen8/poison.png",4,20,20)</f>
        <v/>
      </c>
      <c r="AH109" s="3507"/>
      <c r="AI109" s="3380"/>
    </row>
    <row r="110" ht="3.0" customHeight="1">
      <c r="A110" s="3445"/>
      <c r="B110" s="3554"/>
      <c r="C110" s="3555"/>
      <c r="D110" s="3556"/>
      <c r="E110" s="3557"/>
      <c r="F110" s="3557"/>
      <c r="G110" s="3557"/>
      <c r="H110" s="3557"/>
      <c r="I110" s="3556"/>
      <c r="J110" s="3557"/>
      <c r="K110" s="3557"/>
      <c r="L110" s="3557"/>
      <c r="M110" s="3557"/>
      <c r="N110" s="3556"/>
      <c r="O110" s="3557"/>
      <c r="P110" s="3557"/>
      <c r="Q110" s="3557"/>
      <c r="R110" s="3557"/>
      <c r="S110" s="3559"/>
      <c r="T110" s="3557"/>
      <c r="U110" s="3557"/>
      <c r="V110" s="3557"/>
      <c r="W110" s="3557"/>
      <c r="X110" s="3556"/>
      <c r="Y110" s="3557"/>
      <c r="Z110" s="3557"/>
      <c r="AA110" s="3557"/>
      <c r="AB110" s="3557"/>
      <c r="AC110" s="3561"/>
      <c r="AD110" s="3557"/>
      <c r="AE110" s="3557"/>
      <c r="AF110" s="3557"/>
      <c r="AG110" s="3557"/>
      <c r="AH110" s="3562"/>
      <c r="AI110" s="3456"/>
    </row>
    <row r="111" ht="16.5" customHeight="1">
      <c r="A111" s="3457"/>
      <c r="B111" s="3563"/>
      <c r="C111" s="3555"/>
      <c r="D111" s="3564"/>
      <c r="E111" s="5313" t="s">
        <v>190</v>
      </c>
      <c r="F111" s="381"/>
      <c r="G111" s="382"/>
      <c r="H111" s="5314" t="s">
        <v>191</v>
      </c>
      <c r="I111" s="3575"/>
      <c r="J111" s="5313" t="s">
        <v>190</v>
      </c>
      <c r="K111" s="381"/>
      <c r="L111" s="382"/>
      <c r="M111" s="5314" t="s">
        <v>191</v>
      </c>
      <c r="N111" s="3564"/>
      <c r="O111" s="5313" t="s">
        <v>190</v>
      </c>
      <c r="P111" s="381"/>
      <c r="Q111" s="382"/>
      <c r="R111" s="5314" t="s">
        <v>191</v>
      </c>
      <c r="S111" s="3556"/>
      <c r="T111" s="5313" t="s">
        <v>190</v>
      </c>
      <c r="U111" s="381"/>
      <c r="V111" s="382"/>
      <c r="W111" s="5314" t="s">
        <v>191</v>
      </c>
      <c r="X111" s="3569"/>
      <c r="Y111" s="5313" t="s">
        <v>190</v>
      </c>
      <c r="Z111" s="381"/>
      <c r="AA111" s="382"/>
      <c r="AB111" s="5314" t="s">
        <v>191</v>
      </c>
      <c r="AC111" s="3569"/>
      <c r="AD111" s="5313" t="s">
        <v>190</v>
      </c>
      <c r="AE111" s="381"/>
      <c r="AF111" s="382"/>
      <c r="AG111" s="5314" t="s">
        <v>191</v>
      </c>
      <c r="AH111" s="3570"/>
      <c r="AI111" s="3466"/>
    </row>
    <row r="112" ht="16.5" customHeight="1">
      <c r="A112" s="3457"/>
      <c r="B112" s="3563"/>
      <c r="C112" s="3555"/>
      <c r="D112" s="3564"/>
      <c r="E112" s="5315" t="s">
        <v>192</v>
      </c>
      <c r="F112" s="5316">
        <f t="array" ref="F112">IFERROR(VLOOKUP(E99,Dex!$B$3:$N244,8,FALSE),"")</f>
        <v>70</v>
      </c>
      <c r="G112" s="5317" t="str">
        <f t="array" ref="G112">IFERROR(VLOOKUP(F112,Dex!$P$22:$Q$276,2,FALSE),"")</f>
        <v/>
      </c>
      <c r="H112" s="5318">
        <v>6.0</v>
      </c>
      <c r="I112" s="3575"/>
      <c r="J112" s="5315" t="s">
        <v>192</v>
      </c>
      <c r="K112" s="5316">
        <f t="array" ref="K112">IFERROR(VLOOKUP(J99,Dex!$B$3:$N244,8,FALSE),"")</f>
        <v>78</v>
      </c>
      <c r="L112" s="5317" t="str">
        <f t="array" ref="L112">IFERROR(VLOOKUP(K112,Dex!$P$22:$Q$276,2,FALSE),"")</f>
        <v/>
      </c>
      <c r="M112" s="5318">
        <v>6.0</v>
      </c>
      <c r="N112" s="3564"/>
      <c r="O112" s="5315" t="s">
        <v>192</v>
      </c>
      <c r="P112" s="5316">
        <f t="array" ref="P112">IFERROR(VLOOKUP(O99,Dex!$B$3:$N244,8,FALSE),"")</f>
        <v>75</v>
      </c>
      <c r="Q112" s="5317" t="str">
        <f t="array" ref="Q112">IFERROR(VLOOKUP(P112,Dex!$P$22:$Q$276,2,FALSE),"")</f>
        <v/>
      </c>
      <c r="R112" s="5318">
        <v>6.0</v>
      </c>
      <c r="S112" s="3569"/>
      <c r="T112" s="5315" t="s">
        <v>192</v>
      </c>
      <c r="U112" s="5316">
        <f t="array" ref="U112">IFERROR(VLOOKUP(T99,Dex!$B$3:$N244,8,FALSE),"")</f>
        <v>80</v>
      </c>
      <c r="V112" s="5317" t="str">
        <f t="array" ref="V112">IFERROR(VLOOKUP(U112,Dex!$P$22:$Q$276,2,FALSE),"")</f>
        <v/>
      </c>
      <c r="W112" s="5318">
        <v>6.0</v>
      </c>
      <c r="X112" s="3569"/>
      <c r="Y112" s="5315" t="s">
        <v>192</v>
      </c>
      <c r="Z112" s="5316">
        <f t="array" ref="Z112">IFERROR(VLOOKUP(Y99,Dex!$B$3:$N244,8,FALSE),"")</f>
        <v>60</v>
      </c>
      <c r="AA112" s="5317" t="str">
        <f t="array" ref="AA112">IFERROR(VLOOKUP(Z112,Dex!$P$22:$Q$276,2,FALSE),"")</f>
        <v/>
      </c>
      <c r="AB112" s="5318">
        <v>6.0</v>
      </c>
      <c r="AC112" s="3569"/>
      <c r="AD112" s="5315" t="s">
        <v>192</v>
      </c>
      <c r="AE112" s="5316">
        <f t="array" ref="AE112">IFERROR(VLOOKUP(AD99,Dex!$B$3:$N244,8,FALSE),"")</f>
        <v>72</v>
      </c>
      <c r="AF112" s="5317" t="str">
        <f t="array" ref="AF112">IFERROR(VLOOKUP(AE112,Dex!$P$22:$Q$276,2,FALSE),"")</f>
        <v/>
      </c>
      <c r="AG112" s="5318">
        <v>252.0</v>
      </c>
      <c r="AH112" s="3570"/>
      <c r="AI112" s="3466"/>
    </row>
    <row r="113" ht="16.5" customHeight="1">
      <c r="A113" s="3457"/>
      <c r="B113" s="3563"/>
      <c r="C113" s="3555"/>
      <c r="D113" s="3564"/>
      <c r="E113" s="5319" t="s">
        <v>193</v>
      </c>
      <c r="F113" s="5320">
        <f t="array" ref="F113">IFERROR(VLOOKUP(E99,Dex!$B$3:$N244,9,FALSE),"")</f>
        <v>70</v>
      </c>
      <c r="G113" s="5321" t="str">
        <f t="array" ref="G113">IFERROR(VLOOKUP(F113,Dex!$P$22:$Q$276,2,FALSE),"")</f>
        <v/>
      </c>
      <c r="H113" s="5322"/>
      <c r="I113" s="3575"/>
      <c r="J113" s="5319" t="s">
        <v>193</v>
      </c>
      <c r="K113" s="5320">
        <f t="array" ref="K113">IFERROR(VLOOKUP(J99,Dex!$B$3:$N244,9,FALSE),"")</f>
        <v>92</v>
      </c>
      <c r="L113" s="5321" t="str">
        <f t="array" ref="L113">IFERROR(VLOOKUP(K113,Dex!$P$22:$Q$276,2,FALSE),"")</f>
        <v/>
      </c>
      <c r="M113" s="5322">
        <v>252.0</v>
      </c>
      <c r="N113" s="3564"/>
      <c r="O113" s="5319" t="s">
        <v>193</v>
      </c>
      <c r="P113" s="5320">
        <f t="array" ref="P113">IFERROR(VLOOKUP(O99,Dex!$B$3:$N244,9,FALSE),"")</f>
        <v>80</v>
      </c>
      <c r="Q113" s="5321" t="str">
        <f t="array" ref="Q113">IFERROR(VLOOKUP(P113,Dex!$P$22:$Q$276,2,FALSE),"")</f>
        <v/>
      </c>
      <c r="R113" s="5322"/>
      <c r="S113" s="3569"/>
      <c r="T113" s="5319" t="s">
        <v>193</v>
      </c>
      <c r="U113" s="5320">
        <f t="array" ref="U113">IFERROR(VLOOKUP(T99,Dex!$B$3:$N244,9,FALSE),"")</f>
        <v>75</v>
      </c>
      <c r="V113" s="5321" t="str">
        <f t="array" ref="V113">IFERROR(VLOOKUP(U113,Dex!$P$22:$Q$276,2,FALSE),"")</f>
        <v/>
      </c>
      <c r="W113" s="5322"/>
      <c r="X113" s="3569"/>
      <c r="Y113" s="5319" t="s">
        <v>193</v>
      </c>
      <c r="Z113" s="5320">
        <f t="array" ref="Z113">IFERROR(VLOOKUP(Y99,Dex!$B$3:$N244,9,FALSE),"")</f>
        <v>75</v>
      </c>
      <c r="AA113" s="5321" t="str">
        <f t="array" ref="AA113">IFERROR(VLOOKUP(Z113,Dex!$P$22:$Q$276,2,FALSE),"")</f>
        <v/>
      </c>
      <c r="AB113" s="5322"/>
      <c r="AC113" s="3569"/>
      <c r="AD113" s="5319" t="s">
        <v>193</v>
      </c>
      <c r="AE113" s="5320">
        <f t="array" ref="AE113">IFERROR(VLOOKUP(AD99,Dex!$B$3:$N244,9,FALSE),"")</f>
        <v>140</v>
      </c>
      <c r="AF113" s="5321" t="str">
        <f t="array" ref="AF113">IFERROR(VLOOKUP(AE113,Dex!$P$22:$Q$276,2,FALSE),"")</f>
        <v/>
      </c>
      <c r="AG113" s="5322"/>
      <c r="AH113" s="3570"/>
      <c r="AI113" s="3466"/>
    </row>
    <row r="114" ht="16.5" customHeight="1">
      <c r="A114" s="3457"/>
      <c r="B114" s="3563"/>
      <c r="C114" s="3555"/>
      <c r="D114" s="3564"/>
      <c r="E114" s="5319" t="s">
        <v>194</v>
      </c>
      <c r="F114" s="5320">
        <f t="array" ref="F114">IFERROR(VLOOKUP(E99,Dex!$B$3:$N244,10,FALSE),"")</f>
        <v>115</v>
      </c>
      <c r="G114" s="5321" t="str">
        <f t="array" ref="G114">IFERROR(VLOOKUP(F114,Dex!$P$22:$Q$276,2,FALSE),"")</f>
        <v/>
      </c>
      <c r="H114" s="5322"/>
      <c r="I114" s="3575"/>
      <c r="J114" s="5319" t="s">
        <v>194</v>
      </c>
      <c r="K114" s="5320">
        <f t="array" ref="K114">IFERROR(VLOOKUP(J99,Dex!$B$3:$N244,10,FALSE),"")</f>
        <v>75</v>
      </c>
      <c r="L114" s="5321" t="str">
        <f t="array" ref="L114">IFERROR(VLOOKUP(K114,Dex!$P$22:$Q$276,2,FALSE),"")</f>
        <v/>
      </c>
      <c r="M114" s="5322"/>
      <c r="N114" s="3564"/>
      <c r="O114" s="5319" t="s">
        <v>194</v>
      </c>
      <c r="P114" s="5320">
        <f t="array" ref="P114">IFERROR(VLOOKUP(O99,Dex!$B$3:$N244,10,FALSE),"")</f>
        <v>67</v>
      </c>
      <c r="Q114" s="5321" t="str">
        <f t="array" ref="Q114">IFERROR(VLOOKUP(P114,Dex!$P$22:$Q$276,2,FALSE),"")</f>
        <v/>
      </c>
      <c r="R114" s="5322"/>
      <c r="S114" s="3569"/>
      <c r="T114" s="5319" t="s">
        <v>194</v>
      </c>
      <c r="U114" s="5320">
        <f t="array" ref="U114">IFERROR(VLOOKUP(T99,Dex!$B$3:$N244,10,FALSE),"")</f>
        <v>50</v>
      </c>
      <c r="V114" s="5321" t="str">
        <f t="array" ref="V114">IFERROR(VLOOKUP(U114,Dex!$P$22:$Q$276,2,FALSE),"")</f>
        <v/>
      </c>
      <c r="W114" s="5322"/>
      <c r="X114" s="3569"/>
      <c r="Y114" s="5319" t="s">
        <v>194</v>
      </c>
      <c r="Z114" s="5320">
        <f t="array" ref="Z114">IFERROR(VLOOKUP(Y99,Dex!$B$3:$N244,10,FALSE),"")</f>
        <v>85</v>
      </c>
      <c r="AA114" s="5321" t="str">
        <f t="array" ref="AA114">IFERROR(VLOOKUP(Z114,Dex!$P$22:$Q$276,2,FALSE),"")</f>
        <v/>
      </c>
      <c r="AB114" s="5322"/>
      <c r="AC114" s="3569"/>
      <c r="AD114" s="5319" t="s">
        <v>194</v>
      </c>
      <c r="AE114" s="5320">
        <f t="array" ref="AE114">IFERROR(VLOOKUP(AD99,Dex!$B$3:$N244,10,FALSE),"")</f>
        <v>160</v>
      </c>
      <c r="AF114" s="5321" t="str">
        <f t="array" ref="AF114">IFERROR(VLOOKUP(AE114,Dex!$P$22:$Q$276,2,FALSE),"")</f>
        <v/>
      </c>
      <c r="AG114" s="5322"/>
      <c r="AH114" s="3570"/>
      <c r="AI114" s="3466"/>
    </row>
    <row r="115" ht="16.5" customHeight="1">
      <c r="A115" s="3457"/>
      <c r="B115" s="3563"/>
      <c r="C115" s="3555"/>
      <c r="D115" s="3564"/>
      <c r="E115" s="5319" t="s">
        <v>195</v>
      </c>
      <c r="F115" s="5320">
        <f t="array" ref="F115">IFERROR(VLOOKUP(E99,Dex!$B$3:$N244,11,FALSE),"")</f>
        <v>130</v>
      </c>
      <c r="G115" s="5321" t="str">
        <f t="array" ref="G115">IFERROR(VLOOKUP(F115,Dex!$P$22:$Q$276,2,FALSE),"")</f>
        <v/>
      </c>
      <c r="H115" s="5322">
        <v>252.0</v>
      </c>
      <c r="I115" s="3575"/>
      <c r="J115" s="5319" t="s">
        <v>195</v>
      </c>
      <c r="K115" s="5320">
        <f t="array" ref="K115">IFERROR(VLOOKUP(J99,Dex!$B$3:$N244,11,FALSE),"")</f>
        <v>74</v>
      </c>
      <c r="L115" s="5321" t="str">
        <f t="array" ref="L115">IFERROR(VLOOKUP(K115,Dex!$P$22:$Q$276,2,FALSE),"")</f>
        <v/>
      </c>
      <c r="M115" s="5322"/>
      <c r="N115" s="3564"/>
      <c r="O115" s="5319" t="s">
        <v>195</v>
      </c>
      <c r="P115" s="5320">
        <f t="array" ref="P115">IFERROR(VLOOKUP(O99,Dex!$B$3:$N244,11,FALSE),"")</f>
        <v>125</v>
      </c>
      <c r="Q115" s="5321" t="str">
        <f t="array" ref="Q115">IFERROR(VLOOKUP(P115,Dex!$P$22:$Q$276,2,FALSE),"")</f>
        <v/>
      </c>
      <c r="R115" s="5322">
        <v>252.0</v>
      </c>
      <c r="S115" s="3569"/>
      <c r="T115" s="5319" t="s">
        <v>195</v>
      </c>
      <c r="U115" s="5320">
        <f t="array" ref="U115">IFERROR(VLOOKUP(T99,Dex!$B$3:$N244,11,FALSE),"")</f>
        <v>145</v>
      </c>
      <c r="V115" s="5321" t="str">
        <f t="array" ref="V115">IFERROR(VLOOKUP(U115,Dex!$P$22:$Q$276,2,FALSE),"")</f>
        <v/>
      </c>
      <c r="W115" s="5322">
        <v>252.0</v>
      </c>
      <c r="X115" s="3569"/>
      <c r="Y115" s="5319" t="s">
        <v>195</v>
      </c>
      <c r="Z115" s="5320">
        <f t="array" ref="Z115">IFERROR(VLOOKUP(Y99,Dex!$B$3:$N244,11,FALSE),"")</f>
        <v>100</v>
      </c>
      <c r="AA115" s="5321" t="str">
        <f t="array" ref="AA115">IFERROR(VLOOKUP(Z115,Dex!$P$22:$Q$276,2,FALSE),"")</f>
        <v/>
      </c>
      <c r="AB115" s="5322">
        <v>252.0</v>
      </c>
      <c r="AC115" s="3569"/>
      <c r="AD115" s="5319" t="s">
        <v>195</v>
      </c>
      <c r="AE115" s="5320">
        <f t="array" ref="AE115">IFERROR(VLOOKUP(AD99,Dex!$B$3:$N244,11,FALSE),"")</f>
        <v>85</v>
      </c>
      <c r="AF115" s="5321" t="str">
        <f t="array" ref="AF115">IFERROR(VLOOKUP(AE115,Dex!$P$22:$Q$276,2,FALSE),"")</f>
        <v/>
      </c>
      <c r="AG115" s="5322"/>
      <c r="AH115" s="3570"/>
      <c r="AI115" s="3466"/>
    </row>
    <row r="116" ht="16.5" customHeight="1">
      <c r="A116" s="3457"/>
      <c r="B116" s="3563"/>
      <c r="C116" s="3555"/>
      <c r="D116" s="3564"/>
      <c r="E116" s="5319" t="s">
        <v>196</v>
      </c>
      <c r="F116" s="5320">
        <f t="array" ref="F116">IFERROR(VLOOKUP(E99,Dex!$B$3:$N244,12,FALSE),"")</f>
        <v>90</v>
      </c>
      <c r="G116" s="5321" t="str">
        <f t="array" ref="G116">IFERROR(VLOOKUP(F116,Dex!$P$22:$Q$276,2,FALSE),"")</f>
        <v/>
      </c>
      <c r="H116" s="5322"/>
      <c r="I116" s="3575"/>
      <c r="J116" s="5319" t="s">
        <v>196</v>
      </c>
      <c r="K116" s="5320">
        <f t="array" ref="K116">IFERROR(VLOOKUP(J99,Dex!$B$3:$N244,12,FALSE),"")</f>
        <v>63</v>
      </c>
      <c r="L116" s="5321" t="str">
        <f t="array" ref="L116">IFERROR(VLOOKUP(K116,Dex!$P$22:$Q$276,2,FALSE),"")</f>
        <v/>
      </c>
      <c r="M116" s="5322"/>
      <c r="N116" s="3564"/>
      <c r="O116" s="5319" t="s">
        <v>196</v>
      </c>
      <c r="P116" s="5320">
        <f t="array" ref="P116">IFERROR(VLOOKUP(O99,Dex!$B$3:$N244,12,FALSE),"")</f>
        <v>95</v>
      </c>
      <c r="Q116" s="5321" t="str">
        <f t="array" ref="Q116">IFERROR(VLOOKUP(P116,Dex!$P$22:$Q$276,2,FALSE),"")</f>
        <v/>
      </c>
      <c r="R116" s="5322"/>
      <c r="S116" s="3569"/>
      <c r="T116" s="5319" t="s">
        <v>196</v>
      </c>
      <c r="U116" s="5320">
        <f t="array" ref="U116">IFERROR(VLOOKUP(T99,Dex!$B$3:$N244,12,FALSE),"")</f>
        <v>130</v>
      </c>
      <c r="V116" s="5321" t="str">
        <f t="array" ref="V116">IFERROR(VLOOKUP(U116,Dex!$P$22:$Q$276,2,FALSE),"")</f>
        <v/>
      </c>
      <c r="W116" s="5322"/>
      <c r="X116" s="3569"/>
      <c r="Y116" s="5319" t="s">
        <v>196</v>
      </c>
      <c r="Z116" s="5320">
        <f t="array" ref="Z116">IFERROR(VLOOKUP(Y99,Dex!$B$3:$N244,12,FALSE),"")</f>
        <v>85</v>
      </c>
      <c r="AA116" s="5321" t="str">
        <f t="array" ref="AA116">IFERROR(VLOOKUP(Z116,Dex!$P$22:$Q$276,2,FALSE),"")</f>
        <v/>
      </c>
      <c r="AB116" s="5322"/>
      <c r="AC116" s="3569"/>
      <c r="AD116" s="5319" t="s">
        <v>196</v>
      </c>
      <c r="AE116" s="5320">
        <f t="array" ref="AE116">IFERROR(VLOOKUP(AD99,Dex!$B$3:$N244,12,FALSE),"")</f>
        <v>90</v>
      </c>
      <c r="AF116" s="5321" t="str">
        <f t="array" ref="AF116">IFERROR(VLOOKUP(AE116,Dex!$P$22:$Q$276,2,FALSE),"")</f>
        <v/>
      </c>
      <c r="AG116" s="5322">
        <v>252.0</v>
      </c>
      <c r="AH116" s="3570"/>
      <c r="AI116" s="3466"/>
    </row>
    <row r="117" ht="16.5" customHeight="1">
      <c r="A117" s="3457"/>
      <c r="B117" s="3563"/>
      <c r="C117" s="1204" t="s">
        <v>436</v>
      </c>
      <c r="D117" s="3564"/>
      <c r="E117" s="5323" t="s">
        <v>197</v>
      </c>
      <c r="F117" s="5324">
        <f t="array" ref="F117">IFERROR(VLOOKUP(E99,Dex!$B$3:$N244,13,FALSE),"")</f>
        <v>60</v>
      </c>
      <c r="G117" s="5325" t="str">
        <f t="array" ref="G117">IFERROR(VLOOKUP(F117,Dex!$P$22:$Q$276,2,FALSE),"")</f>
        <v/>
      </c>
      <c r="H117" s="5326">
        <v>252.0</v>
      </c>
      <c r="I117" s="3575"/>
      <c r="J117" s="5323" t="s">
        <v>197</v>
      </c>
      <c r="K117" s="5324">
        <f t="array" ref="K117">IFERROR(VLOOKUP(J99,Dex!$B$3:$N244,13,FALSE),"")</f>
        <v>118</v>
      </c>
      <c r="L117" s="5325" t="str">
        <f t="array" ref="L117">IFERROR(VLOOKUP(K117,Dex!$P$22:$Q$276,2,FALSE),"")</f>
        <v/>
      </c>
      <c r="M117" s="5326">
        <v>252.0</v>
      </c>
      <c r="N117" s="3564"/>
      <c r="O117" s="5323" t="s">
        <v>197</v>
      </c>
      <c r="P117" s="5324">
        <f t="array" ref="P117">IFERROR(VLOOKUP(O99,Dex!$B$3:$N244,13,FALSE),"")</f>
        <v>98</v>
      </c>
      <c r="Q117" s="5325" t="str">
        <f t="array" ref="Q117">IFERROR(VLOOKUP(P117,Dex!$P$22:$Q$276,2,FALSE),"")</f>
        <v/>
      </c>
      <c r="R117" s="5326">
        <v>252.0</v>
      </c>
      <c r="S117" s="3569"/>
      <c r="T117" s="5323" t="s">
        <v>197</v>
      </c>
      <c r="U117" s="5324">
        <f t="array" ref="U117">IFERROR(VLOOKUP(T99,Dex!$B$3:$N244,13,FALSE),"")</f>
        <v>55</v>
      </c>
      <c r="V117" s="5325" t="str">
        <f t="array" ref="V117">IFERROR(VLOOKUP(U117,Dex!$P$22:$Q$276,2,FALSE),"")</f>
        <v/>
      </c>
      <c r="W117" s="5326">
        <v>252.0</v>
      </c>
      <c r="X117" s="3569"/>
      <c r="Y117" s="5323" t="s">
        <v>197</v>
      </c>
      <c r="Z117" s="5324">
        <f t="array" ref="Z117">IFERROR(VLOOKUP(Y99,Dex!$B$3:$N244,13,FALSE),"")</f>
        <v>115</v>
      </c>
      <c r="AA117" s="5325" t="str">
        <f t="array" ref="AA117">IFERROR(VLOOKUP(Z117,Dex!$P$22:$Q$276,2,FALSE),"")</f>
        <v/>
      </c>
      <c r="AB117" s="5326">
        <v>252.0</v>
      </c>
      <c r="AC117" s="3569"/>
      <c r="AD117" s="5323" t="s">
        <v>197</v>
      </c>
      <c r="AE117" s="5324">
        <f t="array" ref="AE117">IFERROR(VLOOKUP(AD99,Dex!$B$3:$N244,13,FALSE),"")</f>
        <v>81</v>
      </c>
      <c r="AF117" s="5325" t="str">
        <f t="array" ref="AF117">IFERROR(VLOOKUP(AE117,Dex!$P$22:$Q$276,2,FALSE),"")</f>
        <v/>
      </c>
      <c r="AG117" s="5326"/>
      <c r="AH117" s="3570"/>
      <c r="AI117" s="3466"/>
    </row>
    <row r="118" ht="16.5" customHeight="1">
      <c r="A118" s="3457"/>
      <c r="B118" s="3563"/>
      <c r="C118" s="1205" t="s">
        <v>437</v>
      </c>
      <c r="D118" s="3564"/>
      <c r="E118" s="5327" t="s">
        <v>198</v>
      </c>
      <c r="F118" s="405"/>
      <c r="G118" s="406"/>
      <c r="H118" s="5328">
        <v>160.0</v>
      </c>
      <c r="I118" s="3575"/>
      <c r="J118" s="5329" t="s">
        <v>198</v>
      </c>
      <c r="K118" s="918"/>
      <c r="L118" s="919"/>
      <c r="M118" s="5330">
        <v>244.0</v>
      </c>
      <c r="N118" s="3564"/>
      <c r="O118" s="5327" t="s">
        <v>198</v>
      </c>
      <c r="P118" s="405"/>
      <c r="Q118" s="406"/>
      <c r="R118" s="5328">
        <v>215.0</v>
      </c>
      <c r="S118" s="5154"/>
      <c r="T118" s="5329" t="s">
        <v>198</v>
      </c>
      <c r="U118" s="918"/>
      <c r="V118" s="919"/>
      <c r="W118" s="5330">
        <v>152.0</v>
      </c>
      <c r="X118" s="5154"/>
      <c r="Y118" s="5327" t="s">
        <v>198</v>
      </c>
      <c r="Z118" s="405"/>
      <c r="AA118" s="406"/>
      <c r="AB118" s="5328">
        <v>239.0</v>
      </c>
      <c r="AC118" s="3569"/>
      <c r="AD118" s="5327" t="s">
        <v>198</v>
      </c>
      <c r="AE118" s="405"/>
      <c r="AF118" s="406"/>
      <c r="AG118" s="5328">
        <v>132.0</v>
      </c>
      <c r="AH118" s="3570"/>
      <c r="AI118" s="3466"/>
    </row>
    <row r="119" ht="16.5" customHeight="1">
      <c r="A119" s="3457"/>
      <c r="B119" s="5143"/>
      <c r="C119" s="3555"/>
      <c r="D119" s="5145"/>
      <c r="E119" s="3555"/>
      <c r="F119" s="3555"/>
      <c r="G119" s="3555"/>
      <c r="H119" s="3555"/>
      <c r="I119" s="5147"/>
      <c r="J119" s="5331" t="s">
        <v>497</v>
      </c>
      <c r="K119" s="925"/>
      <c r="L119" s="926"/>
      <c r="M119" s="5332">
        <v>488.0</v>
      </c>
      <c r="N119" s="5145"/>
      <c r="O119" s="3555"/>
      <c r="P119" s="3555"/>
      <c r="Q119" s="3555"/>
      <c r="R119" s="3555"/>
      <c r="S119" s="5155"/>
      <c r="T119" s="5331" t="s">
        <v>497</v>
      </c>
      <c r="U119" s="925"/>
      <c r="V119" s="926"/>
      <c r="W119" s="5332">
        <v>304.0</v>
      </c>
      <c r="X119" s="5155"/>
      <c r="Y119" s="3555"/>
      <c r="Z119" s="3555"/>
      <c r="AA119" s="3555"/>
      <c r="AB119" s="3555"/>
      <c r="AC119" s="5148"/>
      <c r="AD119" s="3555"/>
      <c r="AE119" s="3555"/>
      <c r="AF119" s="3555"/>
      <c r="AG119" s="3555"/>
      <c r="AH119" s="5151"/>
      <c r="AI119" s="3466"/>
    </row>
    <row r="120" ht="15.0" customHeight="1">
      <c r="A120" s="3368"/>
      <c r="B120" s="3589"/>
      <c r="C120" s="3590"/>
      <c r="D120" s="3591"/>
      <c r="E120" s="3592"/>
      <c r="F120" s="3592"/>
      <c r="G120" s="3592"/>
      <c r="H120" s="3593"/>
      <c r="I120" s="3593"/>
      <c r="J120" s="3592"/>
      <c r="K120" s="3592"/>
      <c r="L120" s="3592"/>
      <c r="M120" s="3593"/>
      <c r="N120" s="3595"/>
      <c r="O120" s="3596"/>
      <c r="P120" s="3596"/>
      <c r="Q120" s="3597"/>
      <c r="R120" s="3597"/>
      <c r="S120" s="3597"/>
      <c r="T120" s="3596"/>
      <c r="U120" s="3596"/>
      <c r="V120" s="3597"/>
      <c r="W120" s="3597"/>
      <c r="X120" s="3595"/>
      <c r="Y120" s="5158"/>
      <c r="Z120" s="5158"/>
      <c r="AA120" s="5158"/>
      <c r="AB120" s="3598"/>
      <c r="AC120" s="3598"/>
      <c r="AD120" s="3598"/>
      <c r="AE120" s="3598"/>
      <c r="AF120" s="3598"/>
      <c r="AG120" s="3598"/>
      <c r="AH120" s="3599"/>
      <c r="AI120" s="3466"/>
    </row>
    <row r="121" ht="15.0" customHeight="1">
      <c r="A121" s="3621"/>
      <c r="B121" s="5333"/>
      <c r="C121" s="5334"/>
      <c r="D121" s="5335"/>
      <c r="E121" s="5335"/>
      <c r="F121" s="5335"/>
      <c r="G121" s="5335"/>
      <c r="H121" s="5335"/>
      <c r="I121" s="5334"/>
      <c r="J121" s="5335"/>
      <c r="K121" s="5335"/>
      <c r="L121" s="5335"/>
      <c r="M121" s="5335"/>
      <c r="N121" s="5334"/>
      <c r="O121" s="5335"/>
      <c r="P121" s="5335"/>
      <c r="Q121" s="5335"/>
      <c r="R121" s="5335"/>
      <c r="S121" s="5334"/>
      <c r="T121" s="5335"/>
      <c r="U121" s="5335"/>
      <c r="V121" s="5335"/>
      <c r="W121" s="5335"/>
      <c r="X121" s="5334"/>
      <c r="Y121" s="5335"/>
      <c r="Z121" s="5335"/>
      <c r="AA121" s="5335"/>
      <c r="AB121" s="5335"/>
      <c r="AC121" s="5334"/>
      <c r="AD121" s="5335"/>
      <c r="AE121" s="5335"/>
      <c r="AF121" s="5335"/>
      <c r="AG121" s="5335"/>
      <c r="AH121" s="5336"/>
      <c r="AI121" s="3631"/>
    </row>
    <row r="122" ht="96.75" customHeight="1">
      <c r="A122" s="3621"/>
      <c r="B122" s="5337"/>
      <c r="C122" s="5338" t="str">
        <f>IMAGE("https://i.ibb.co/ZTK3dwM/Jojo-Fan.png")</f>
        <v/>
      </c>
      <c r="D122" s="5339"/>
      <c r="E122" s="5340" t="str">
        <f t="array" ref="E122">IFERROR(VLOOKUP(E123,Dex!$B$3:$G244,3,FALSE),"")</f>
        <v/>
      </c>
      <c r="F122" s="1830"/>
      <c r="G122" s="1830"/>
      <c r="H122" s="1831"/>
      <c r="I122" s="5341"/>
      <c r="J122" s="5340" t="str">
        <f t="array" ref="J122">IFERROR(VLOOKUP(J123,Dex!$B$3:$G244,3,FALSE),"")</f>
        <v/>
      </c>
      <c r="K122" s="1830"/>
      <c r="L122" s="1830"/>
      <c r="M122" s="1831"/>
      <c r="N122" s="5341"/>
      <c r="O122" s="5340" t="str">
        <f t="array" ref="O122">IFERROR(VLOOKUP(O123,Dex!$B$3:$G244,3,FALSE),"")</f>
        <v/>
      </c>
      <c r="P122" s="1830"/>
      <c r="Q122" s="1830"/>
      <c r="R122" s="1831"/>
      <c r="S122" s="5341"/>
      <c r="T122" s="5340" t="str">
        <f t="array" ref="T122">IFERROR(VLOOKUP(T123,Dex!$B$3:$G244,3,FALSE),"")</f>
        <v/>
      </c>
      <c r="U122" s="1830"/>
      <c r="V122" s="1830"/>
      <c r="W122" s="1831"/>
      <c r="X122" s="5341"/>
      <c r="Y122" s="5340" t="str">
        <f t="array" ref="Y122">IFERROR(VLOOKUP(Y123,Dex!$B$3:$G244,3,FALSE),"")</f>
        <v/>
      </c>
      <c r="Z122" s="1830"/>
      <c r="AA122" s="1830"/>
      <c r="AB122" s="1831"/>
      <c r="AC122" s="5341"/>
      <c r="AD122" s="5340" t="str">
        <f t="array" ref="AD122">IFERROR(VLOOKUP(AD123,Dex!$B$3:$G244,3,FALSE),"")</f>
        <v/>
      </c>
      <c r="AE122" s="1830"/>
      <c r="AF122" s="1830"/>
      <c r="AG122" s="1831"/>
      <c r="AH122" s="5342"/>
      <c r="AI122" s="3631"/>
    </row>
    <row r="123" ht="18.75" customHeight="1">
      <c r="A123" s="3621"/>
      <c r="B123" s="5337"/>
      <c r="C123" s="5343" t="s">
        <v>1362</v>
      </c>
      <c r="D123" s="5344"/>
      <c r="E123" s="5345" t="s">
        <v>1363</v>
      </c>
      <c r="F123" s="5346"/>
      <c r="G123" s="5346"/>
      <c r="H123" s="5347"/>
      <c r="I123" s="5348"/>
      <c r="J123" s="5345" t="s">
        <v>1364</v>
      </c>
      <c r="K123" s="5346"/>
      <c r="L123" s="5346"/>
      <c r="M123" s="5347"/>
      <c r="N123" s="5348"/>
      <c r="O123" s="5345" t="s">
        <v>479</v>
      </c>
      <c r="P123" s="5346"/>
      <c r="Q123" s="5346"/>
      <c r="R123" s="5347"/>
      <c r="S123" s="5348"/>
      <c r="T123" s="5345" t="s">
        <v>1053</v>
      </c>
      <c r="U123" s="5346"/>
      <c r="V123" s="5346"/>
      <c r="W123" s="5347"/>
      <c r="X123" s="5348"/>
      <c r="Y123" s="5345" t="s">
        <v>1365</v>
      </c>
      <c r="Z123" s="5346"/>
      <c r="AA123" s="5346"/>
      <c r="AB123" s="5347"/>
      <c r="AC123" s="5348"/>
      <c r="AD123" s="5345" t="s">
        <v>1366</v>
      </c>
      <c r="AE123" s="5346"/>
      <c r="AF123" s="5346"/>
      <c r="AG123" s="5347"/>
      <c r="AH123" s="5342"/>
      <c r="AI123" s="3631"/>
    </row>
    <row r="124">
      <c r="A124" s="3621"/>
      <c r="B124" s="5337"/>
      <c r="C124" s="1481"/>
      <c r="D124" s="5344"/>
      <c r="E124" s="5349" t="s">
        <v>420</v>
      </c>
      <c r="F124" s="5350"/>
      <c r="G124" s="5350"/>
      <c r="H124" s="5351"/>
      <c r="I124" s="5348"/>
      <c r="J124" s="5349" t="s">
        <v>420</v>
      </c>
      <c r="K124" s="5350"/>
      <c r="L124" s="5350"/>
      <c r="M124" s="5351"/>
      <c r="N124" s="5348"/>
      <c r="O124" s="5349" t="s">
        <v>420</v>
      </c>
      <c r="P124" s="5350"/>
      <c r="Q124" s="5350"/>
      <c r="R124" s="5351"/>
      <c r="S124" s="5348"/>
      <c r="T124" s="5349" t="s">
        <v>420</v>
      </c>
      <c r="U124" s="5350"/>
      <c r="V124" s="5350"/>
      <c r="W124" s="5351"/>
      <c r="X124" s="5348"/>
      <c r="Y124" s="5349" t="s">
        <v>420</v>
      </c>
      <c r="Z124" s="5350"/>
      <c r="AA124" s="5350"/>
      <c r="AB124" s="5351"/>
      <c r="AC124" s="5348"/>
      <c r="AD124" s="5349" t="s">
        <v>420</v>
      </c>
      <c r="AE124" s="5350"/>
      <c r="AF124" s="5350"/>
      <c r="AG124" s="5351"/>
      <c r="AH124" s="5342"/>
      <c r="AI124" s="3631"/>
    </row>
    <row r="125" ht="25.5" customHeight="1">
      <c r="A125" s="3621"/>
      <c r="B125" s="5337"/>
      <c r="C125" s="1489"/>
      <c r="D125" s="5352"/>
      <c r="E125" s="5353"/>
      <c r="F125" s="5354" t="str">
        <f t="array" ref="F125">IFERROR(VLOOKUP(E123,Dex!$B$3:$H244,5,FALSE),"")</f>
        <v/>
      </c>
      <c r="G125" s="5355" t="str">
        <f t="array" ref="G125">IFERROR(VLOOKUP(E123,Dex!$B$3:$H244,7,FALSE),"")</f>
        <v/>
      </c>
      <c r="H125" s="5356"/>
      <c r="I125" s="5348"/>
      <c r="J125" s="5353"/>
      <c r="K125" s="5354" t="str">
        <f t="array" ref="K125">IFERROR(VLOOKUP(J123,Dex!$B$3:$H244,5,FALSE),"")</f>
        <v/>
      </c>
      <c r="L125" s="5355" t="str">
        <f t="array" ref="L125">IFERROR(VLOOKUP(J123,Dex!$B$3:$H244,7,FALSE),"")</f>
        <v/>
      </c>
      <c r="M125" s="5356"/>
      <c r="N125" s="5348"/>
      <c r="O125" s="5353"/>
      <c r="P125" s="5354" t="str">
        <f t="array" ref="P125">IFERROR(VLOOKUP(O123,Dex!$B$3:$H244,5,FALSE),"")</f>
        <v/>
      </c>
      <c r="Q125" s="5355" t="str">
        <f t="array" ref="Q125">IFERROR(VLOOKUP(O123,Dex!$B$3:$H244,7,FALSE),"")</f>
        <v/>
      </c>
      <c r="R125" s="5356"/>
      <c r="S125" s="5348"/>
      <c r="T125" s="5353"/>
      <c r="U125" s="5357" t="str">
        <f t="array" ref="U125">IFERROR(VLOOKUP(T123,Dex!$B$3:$H244,5,FALSE),"")</f>
        <v/>
      </c>
      <c r="V125" s="5358"/>
      <c r="W125" s="5356"/>
      <c r="X125" s="5348"/>
      <c r="Y125" s="5353"/>
      <c r="Z125" s="5354" t="str">
        <f t="array" ref="Z125">IFERROR(VLOOKUP(Y123,Dex!$B$3:$H244,5,FALSE),"")</f>
        <v/>
      </c>
      <c r="AA125" s="5355" t="str">
        <f t="array" ref="AA125">IFERROR(VLOOKUP(Y123,Dex!$B$3:$H244,7,FALSE),"")</f>
        <v/>
      </c>
      <c r="AB125" s="5356"/>
      <c r="AC125" s="5348"/>
      <c r="AD125" s="5353"/>
      <c r="AE125" s="5354" t="str">
        <f t="array" ref="AE125">IFERROR(VLOOKUP(AD123,Dex!$B$3:$H244,5,FALSE),"")</f>
        <v/>
      </c>
      <c r="AF125" s="5355"/>
      <c r="AG125" s="5356"/>
      <c r="AH125" s="5342"/>
      <c r="AI125" s="3631"/>
    </row>
    <row r="126" ht="2.25" customHeight="1">
      <c r="A126" s="3621"/>
      <c r="B126" s="5337"/>
      <c r="C126" s="5359"/>
      <c r="D126" s="5352"/>
      <c r="E126" s="5360"/>
      <c r="F126" s="5361"/>
      <c r="G126" s="5361"/>
      <c r="H126" s="5362"/>
      <c r="I126" s="5348"/>
      <c r="J126" s="5360"/>
      <c r="K126" s="5361"/>
      <c r="L126" s="5361"/>
      <c r="M126" s="5362"/>
      <c r="N126" s="5348"/>
      <c r="O126" s="5360"/>
      <c r="P126" s="5361"/>
      <c r="Q126" s="5361"/>
      <c r="R126" s="5362"/>
      <c r="S126" s="5348"/>
      <c r="T126" s="5360"/>
      <c r="U126" s="5361"/>
      <c r="V126" s="5361"/>
      <c r="W126" s="5362"/>
      <c r="X126" s="5348"/>
      <c r="Y126" s="5360"/>
      <c r="Z126" s="5361"/>
      <c r="AA126" s="5361"/>
      <c r="AB126" s="5362"/>
      <c r="AC126" s="5348"/>
      <c r="AD126" s="5360"/>
      <c r="AE126" s="5361"/>
      <c r="AF126" s="5361"/>
      <c r="AG126" s="5362"/>
      <c r="AH126" s="5342"/>
      <c r="AI126" s="3631"/>
    </row>
    <row r="127" ht="20.25" customHeight="1">
      <c r="A127" s="3621"/>
      <c r="B127" s="5337"/>
      <c r="C127" s="5359"/>
      <c r="D127" s="5352"/>
      <c r="E127" s="5363" t="s">
        <v>172</v>
      </c>
      <c r="F127" s="5364"/>
      <c r="G127" s="5364"/>
      <c r="H127" s="5365"/>
      <c r="I127" s="5348"/>
      <c r="J127" s="5363" t="s">
        <v>297</v>
      </c>
      <c r="K127" s="5364"/>
      <c r="L127" s="5364"/>
      <c r="M127" s="5365"/>
      <c r="N127" s="5348"/>
      <c r="O127" s="5363" t="s">
        <v>172</v>
      </c>
      <c r="P127" s="5364"/>
      <c r="Q127" s="5364"/>
      <c r="R127" s="5365"/>
      <c r="S127" s="5348"/>
      <c r="T127" s="5363" t="s">
        <v>205</v>
      </c>
      <c r="U127" s="5364"/>
      <c r="V127" s="5364"/>
      <c r="W127" s="5365"/>
      <c r="X127" s="5348"/>
      <c r="Y127" s="5363" t="s">
        <v>205</v>
      </c>
      <c r="Z127" s="5364"/>
      <c r="AA127" s="5364"/>
      <c r="AB127" s="5365"/>
      <c r="AC127" s="5348"/>
      <c r="AD127" s="5363" t="s">
        <v>169</v>
      </c>
      <c r="AE127" s="5364"/>
      <c r="AF127" s="5364"/>
      <c r="AG127" s="5365"/>
      <c r="AH127" s="5342"/>
      <c r="AI127" s="3631"/>
    </row>
    <row r="128">
      <c r="A128" s="3621"/>
      <c r="B128" s="5337"/>
      <c r="C128" s="5366"/>
      <c r="D128" s="5352"/>
      <c r="E128" s="5367" t="s">
        <v>1367</v>
      </c>
      <c r="F128" s="5368"/>
      <c r="G128" s="5368"/>
      <c r="H128" s="5369"/>
      <c r="I128" s="5348"/>
      <c r="J128" s="5367" t="s">
        <v>1368</v>
      </c>
      <c r="K128" s="5368"/>
      <c r="L128" s="5368"/>
      <c r="M128" s="5369"/>
      <c r="N128" s="5348"/>
      <c r="O128" s="5367" t="s">
        <v>173</v>
      </c>
      <c r="P128" s="5368"/>
      <c r="Q128" s="5368"/>
      <c r="R128" s="5369"/>
      <c r="S128" s="5348"/>
      <c r="T128" s="5367" t="s">
        <v>1369</v>
      </c>
      <c r="U128" s="5368"/>
      <c r="V128" s="5368"/>
      <c r="W128" s="5369"/>
      <c r="X128" s="5348"/>
      <c r="Y128" s="5367" t="s">
        <v>1132</v>
      </c>
      <c r="Z128" s="5368"/>
      <c r="AA128" s="5368"/>
      <c r="AB128" s="5369"/>
      <c r="AC128" s="5348"/>
      <c r="AD128" s="5367" t="s">
        <v>1370</v>
      </c>
      <c r="AE128" s="5368"/>
      <c r="AF128" s="5368"/>
      <c r="AG128" s="5369"/>
      <c r="AH128" s="5342"/>
      <c r="AI128" s="3631"/>
    </row>
    <row r="129" ht="20.25" customHeight="1">
      <c r="A129" s="3621"/>
      <c r="B129" s="5337"/>
      <c r="C129" s="5348"/>
      <c r="D129" s="5352"/>
      <c r="E129" s="5370" t="s">
        <v>240</v>
      </c>
      <c r="F129" s="5371"/>
      <c r="G129" s="5372"/>
      <c r="H129" s="5373" t="str">
        <f>IMAGE("https://raw.githubusercontent.com/msikma/pokesprite/master/items/hold-item/focus-sash.png",3)</f>
        <v/>
      </c>
      <c r="I129" s="5348"/>
      <c r="J129" s="5370" t="s">
        <v>394</v>
      </c>
      <c r="K129" s="5371"/>
      <c r="L129" s="5372"/>
      <c r="M129" s="5373" t="str">
        <f>IMAGE("https://raw.githubusercontent.com/msikma/pokesprite/master/items/hold-item/leftovers.png",3)</f>
        <v/>
      </c>
      <c r="N129" s="5348"/>
      <c r="O129" s="5370" t="s">
        <v>487</v>
      </c>
      <c r="P129" s="5371"/>
      <c r="Q129" s="5372"/>
      <c r="R129" s="5373" t="str">
        <f>IMAGE("https://i.ibb.co/6ZBsLZp/corner.png",4,28,28)</f>
        <v/>
      </c>
      <c r="S129" s="5348"/>
      <c r="T129" s="5370" t="s">
        <v>335</v>
      </c>
      <c r="U129" s="5371"/>
      <c r="V129" s="5372"/>
      <c r="W129" s="5373" t="str">
        <f>IMAGE("https://raw.githubusercontent.com/msikma/pokesprite/master/items/hold-item/choice-scarf.png",3)</f>
        <v/>
      </c>
      <c r="X129" s="5348"/>
      <c r="Y129" s="5370" t="s">
        <v>272</v>
      </c>
      <c r="Z129" s="5371"/>
      <c r="AA129" s="5372"/>
      <c r="AB129" s="5373" t="str">
        <f>IMAGE("https://raw.githubusercontent.com/msikma/pokesprite/master/items/hold-item/life-orb.png",3)</f>
        <v/>
      </c>
      <c r="AC129" s="5348"/>
      <c r="AD129" s="5370" t="s">
        <v>1371</v>
      </c>
      <c r="AE129" s="5371"/>
      <c r="AF129" s="5372"/>
      <c r="AG129" s="5373" t="str">
        <f>IMAGE("https://raw.githubusercontent.com/msikma/pokesprite/master/items/mega-stone/aggronite.png",3)</f>
        <v/>
      </c>
      <c r="AH129" s="5342"/>
      <c r="AI129" s="3631"/>
    </row>
    <row r="130" ht="20.25" customHeight="1">
      <c r="A130" s="3621"/>
      <c r="B130" s="5337"/>
      <c r="C130" s="5374"/>
      <c r="D130" s="5352"/>
      <c r="E130" s="5375" t="s">
        <v>1372</v>
      </c>
      <c r="F130" s="5376"/>
      <c r="G130" s="5377"/>
      <c r="H130" s="5378" t="str">
        <f>IMAGE("https://raw.githubusercontent.com/msikma/pokesprite/master/misc/types/gen8/dark.png",4,20,20)</f>
        <v/>
      </c>
      <c r="I130" s="5348"/>
      <c r="J130" s="5375" t="s">
        <v>318</v>
      </c>
      <c r="K130" s="5376"/>
      <c r="L130" s="5377"/>
      <c r="M130" s="5378" t="str">
        <f>IMAGE("https://raw.githubusercontent.com/msikma/pokesprite/master/misc/types/gen8/ghost.png",4,20,20)</f>
        <v/>
      </c>
      <c r="N130" s="5348"/>
      <c r="O130" s="5375" t="s">
        <v>371</v>
      </c>
      <c r="P130" s="5376"/>
      <c r="Q130" s="5377"/>
      <c r="R130" s="5378" t="str">
        <f>IMAGE("https://raw.githubusercontent.com/msikma/pokesprite/master/misc/types/gen8/rock.png",4,20,20)</f>
        <v/>
      </c>
      <c r="S130" s="5348"/>
      <c r="T130" s="5375" t="s">
        <v>785</v>
      </c>
      <c r="U130" s="5376"/>
      <c r="V130" s="5377"/>
      <c r="W130" s="5378" t="str">
        <f>IMAGE("https://raw.githubusercontent.com/msikma/pokesprite/master/misc/types/gen8/fire.png",4,20,20)</f>
        <v/>
      </c>
      <c r="X130" s="5348"/>
      <c r="Y130" s="5375" t="s">
        <v>401</v>
      </c>
      <c r="Z130" s="5376"/>
      <c r="AA130" s="5377"/>
      <c r="AB130" s="5378" t="str">
        <f>IMAGE("https://raw.githubusercontent.com/msikma/pokesprite/master/misc/types/gen8/dark.png",4,20,20)</f>
        <v/>
      </c>
      <c r="AC130" s="5348"/>
      <c r="AD130" s="5375" t="s">
        <v>736</v>
      </c>
      <c r="AE130" s="5376"/>
      <c r="AF130" s="5377"/>
      <c r="AG130" s="5378" t="str">
        <f>IMAGE("https://raw.githubusercontent.com/msikma/pokesprite/master/misc/types/gen8/fighting.png",4,20,20)</f>
        <v/>
      </c>
      <c r="AH130" s="5342"/>
      <c r="AI130" s="3631"/>
    </row>
    <row r="131" ht="20.25" customHeight="1">
      <c r="A131" s="3621"/>
      <c r="B131" s="5337"/>
      <c r="C131" s="5359"/>
      <c r="D131" s="5352"/>
      <c r="E131" s="5367" t="s">
        <v>1200</v>
      </c>
      <c r="F131" s="5368"/>
      <c r="G131" s="5379"/>
      <c r="H131" s="5380" t="str">
        <f>IMAGE("https://raw.githubusercontent.com/msikma/pokesprite/master/misc/types/gen8/poison.png",4,20,20)</f>
        <v/>
      </c>
      <c r="I131" s="5348"/>
      <c r="J131" s="5367" t="s">
        <v>1373</v>
      </c>
      <c r="K131" s="5368"/>
      <c r="L131" s="5379"/>
      <c r="M131" s="5380" t="str">
        <f>IMAGE("https://raw.githubusercontent.com/msikma/pokesprite/master/misc/types/gen8/steel.png",4,20,20)</f>
        <v/>
      </c>
      <c r="N131" s="5348"/>
      <c r="O131" s="5367" t="s">
        <v>278</v>
      </c>
      <c r="P131" s="5368"/>
      <c r="Q131" s="5379"/>
      <c r="R131" s="5380" t="str">
        <f>IMAGE("https://raw.githubusercontent.com/msikma/pokesprite/master/misc/types/gen8/bug.png",4,20,20)</f>
        <v/>
      </c>
      <c r="S131" s="5348"/>
      <c r="T131" s="5367" t="s">
        <v>1360</v>
      </c>
      <c r="U131" s="5368"/>
      <c r="V131" s="5379"/>
      <c r="W131" s="5380" t="str">
        <f>IMAGE("https://raw.githubusercontent.com/msikma/pokesprite/master/misc/types/gen8/dark.png",4,20,20)</f>
        <v/>
      </c>
      <c r="X131" s="5348"/>
      <c r="Y131" s="5367" t="s">
        <v>275</v>
      </c>
      <c r="Z131" s="5368"/>
      <c r="AA131" s="5379"/>
      <c r="AB131" s="5380" t="str">
        <f>IMAGE("https://raw.githubusercontent.com/msikma/pokesprite/master/misc/types/gen8/grass.png",4,20,20)</f>
        <v/>
      </c>
      <c r="AC131" s="5348"/>
      <c r="AD131" s="5367" t="s">
        <v>522</v>
      </c>
      <c r="AE131" s="5368"/>
      <c r="AF131" s="5379"/>
      <c r="AG131" s="5380" t="str">
        <f>IMAGE("https://raw.githubusercontent.com/msikma/pokesprite/master/misc/types/gen8/steel.png",4,20,20)</f>
        <v/>
      </c>
      <c r="AH131" s="5342"/>
      <c r="AI131" s="3631"/>
    </row>
    <row r="132" ht="20.25" customHeight="1">
      <c r="A132" s="3621"/>
      <c r="B132" s="5337"/>
      <c r="C132" s="5359"/>
      <c r="D132" s="5352"/>
      <c r="E132" s="5367" t="s">
        <v>403</v>
      </c>
      <c r="F132" s="5368"/>
      <c r="G132" s="5379"/>
      <c r="H132" s="5381" t="str">
        <f>IMAGE("https://raw.githubusercontent.com/msikma/pokesprite/master/misc/types/gen8/fire.png",4,20,20)</f>
        <v/>
      </c>
      <c r="I132" s="5348"/>
      <c r="J132" s="5367" t="s">
        <v>585</v>
      </c>
      <c r="K132" s="5368"/>
      <c r="L132" s="5379"/>
      <c r="M132" s="5381" t="str">
        <f>IMAGE("https://raw.githubusercontent.com/msikma/pokesprite/master/misc/types/gen8/ghost.png",4,20,20)</f>
        <v/>
      </c>
      <c r="N132" s="5348"/>
      <c r="O132" s="5367" t="s">
        <v>373</v>
      </c>
      <c r="P132" s="5368"/>
      <c r="Q132" s="5379"/>
      <c r="R132" s="5381" t="str">
        <f>IMAGE("https://raw.githubusercontent.com/msikma/pokesprite/master/misc/types/gen8/grass.png",4,20,20)</f>
        <v/>
      </c>
      <c r="S132" s="5348"/>
      <c r="T132" s="5367" t="s">
        <v>344</v>
      </c>
      <c r="U132" s="5368"/>
      <c r="V132" s="5379"/>
      <c r="W132" s="5381" t="str">
        <f>IMAGE("https://raw.githubusercontent.com/msikma/pokesprite/master/misc/types/gen8/fighting.png",4,20,20)</f>
        <v/>
      </c>
      <c r="X132" s="5348"/>
      <c r="Y132" s="5367" t="s">
        <v>561</v>
      </c>
      <c r="Z132" s="5368"/>
      <c r="AA132" s="5379"/>
      <c r="AB132" s="5381" t="str">
        <f>IMAGE("https://raw.githubusercontent.com/msikma/pokesprite/master/misc/types/gen8/psychic.png",4,20,20)</f>
        <v/>
      </c>
      <c r="AC132" s="5348"/>
      <c r="AD132" s="5367" t="s">
        <v>215</v>
      </c>
      <c r="AE132" s="5368"/>
      <c r="AF132" s="5379"/>
      <c r="AG132" s="5381" t="str">
        <f>IMAGE("https://raw.githubusercontent.com/msikma/pokesprite/master/misc/types/gen8/ice.png",4,20,20)</f>
        <v/>
      </c>
      <c r="AH132" s="5342"/>
      <c r="AI132" s="3631"/>
    </row>
    <row r="133" ht="21.0" customHeight="1">
      <c r="A133" s="3621"/>
      <c r="B133" s="5337"/>
      <c r="C133" s="5359"/>
      <c r="D133" s="5352"/>
      <c r="E133" s="5382" t="s">
        <v>244</v>
      </c>
      <c r="F133" s="5383"/>
      <c r="G133" s="5384"/>
      <c r="H133" s="5385" t="str">
        <f>IMAGE("https://raw.githubusercontent.com/msikma/pokesprite/master/misc/types/gen8/fighting.png",4,20,20)</f>
        <v/>
      </c>
      <c r="I133" s="5374"/>
      <c r="J133" s="5382" t="s">
        <v>404</v>
      </c>
      <c r="K133" s="5383"/>
      <c r="L133" s="5384"/>
      <c r="M133" s="5385" t="str">
        <f>IMAGE("https://raw.githubusercontent.com/msikma/pokesprite/master/misc/types/gen8/steel.png",4,20,20)</f>
        <v/>
      </c>
      <c r="N133" s="5374"/>
      <c r="O133" s="5382" t="s">
        <v>279</v>
      </c>
      <c r="P133" s="5383"/>
      <c r="Q133" s="5384"/>
      <c r="R133" s="5385" t="str">
        <f>IMAGE("https://raw.githubusercontent.com/msikma/pokesprite/master/misc/types/gen8/dark.png",4,20,20)</f>
        <v/>
      </c>
      <c r="S133" s="5374"/>
      <c r="T133" s="5382" t="s">
        <v>923</v>
      </c>
      <c r="U133" s="5383"/>
      <c r="V133" s="5384"/>
      <c r="W133" s="5385" t="str">
        <f>IMAGE("https://raw.githubusercontent.com/msikma/pokesprite/master/misc/types/gen8/ground.png",4,20,20)</f>
        <v/>
      </c>
      <c r="X133" s="5374"/>
      <c r="Y133" s="5382" t="s">
        <v>286</v>
      </c>
      <c r="Z133" s="5383"/>
      <c r="AA133" s="5384"/>
      <c r="AB133" s="5385" t="str">
        <f>IMAGE("https://raw.githubusercontent.com/msikma/pokesprite/master/misc/types/gen8/ground.png",4,20,20)</f>
        <v/>
      </c>
      <c r="AC133" s="5374"/>
      <c r="AD133" s="5382" t="s">
        <v>244</v>
      </c>
      <c r="AE133" s="5383"/>
      <c r="AF133" s="5384"/>
      <c r="AG133" s="5385" t="str">
        <f>IMAGE("https://raw.githubusercontent.com/msikma/pokesprite/master/misc/types/gen8/fighting.png",4,20,20)</f>
        <v/>
      </c>
      <c r="AH133" s="5342"/>
      <c r="AI133" s="3631"/>
    </row>
    <row r="134" ht="3.0" customHeight="1">
      <c r="A134" s="3445"/>
      <c r="B134" s="5386"/>
      <c r="C134" s="5387"/>
      <c r="D134" s="5388"/>
      <c r="E134" s="5389"/>
      <c r="F134" s="5389"/>
      <c r="G134" s="5389"/>
      <c r="H134" s="5389"/>
      <c r="I134" s="5388"/>
      <c r="J134" s="5390"/>
      <c r="K134" s="5390"/>
      <c r="L134" s="5390"/>
      <c r="M134" s="5389"/>
      <c r="N134" s="5388"/>
      <c r="O134" s="5390"/>
      <c r="P134" s="5390"/>
      <c r="Q134" s="5390"/>
      <c r="R134" s="5389"/>
      <c r="S134" s="5389"/>
      <c r="T134" s="5390"/>
      <c r="U134" s="5390"/>
      <c r="V134" s="5390"/>
      <c r="W134" s="5389"/>
      <c r="X134" s="5388"/>
      <c r="Y134" s="5390"/>
      <c r="Z134" s="5390"/>
      <c r="AA134" s="5390"/>
      <c r="AB134" s="5389"/>
      <c r="AC134" s="5391"/>
      <c r="AD134" s="5390"/>
      <c r="AE134" s="5390"/>
      <c r="AF134" s="5390"/>
      <c r="AG134" s="5389"/>
      <c r="AH134" s="5392"/>
      <c r="AI134" s="3456"/>
    </row>
    <row r="135" ht="16.5" customHeight="1">
      <c r="A135" s="3457"/>
      <c r="B135" s="5393"/>
      <c r="C135" s="5387"/>
      <c r="D135" s="5394"/>
      <c r="E135" s="5395" t="s">
        <v>190</v>
      </c>
      <c r="F135" s="381"/>
      <c r="G135" s="382"/>
      <c r="H135" s="5396" t="s">
        <v>191</v>
      </c>
      <c r="I135" s="5397"/>
      <c r="J135" s="5395" t="s">
        <v>190</v>
      </c>
      <c r="K135" s="381"/>
      <c r="L135" s="382"/>
      <c r="M135" s="5396" t="s">
        <v>191</v>
      </c>
      <c r="N135" s="5398"/>
      <c r="O135" s="5395" t="s">
        <v>190</v>
      </c>
      <c r="P135" s="381"/>
      <c r="Q135" s="382"/>
      <c r="R135" s="5396" t="s">
        <v>191</v>
      </c>
      <c r="S135" s="5399"/>
      <c r="T135" s="5395" t="s">
        <v>190</v>
      </c>
      <c r="U135" s="381"/>
      <c r="V135" s="382"/>
      <c r="W135" s="5396" t="s">
        <v>191</v>
      </c>
      <c r="X135" s="5400"/>
      <c r="Y135" s="5395" t="s">
        <v>190</v>
      </c>
      <c r="Z135" s="381"/>
      <c r="AA135" s="382"/>
      <c r="AB135" s="5396" t="s">
        <v>191</v>
      </c>
      <c r="AC135" s="5400"/>
      <c r="AD135" s="5395" t="s">
        <v>190</v>
      </c>
      <c r="AE135" s="381"/>
      <c r="AF135" s="382"/>
      <c r="AG135" s="5396" t="s">
        <v>191</v>
      </c>
      <c r="AH135" s="5401"/>
      <c r="AI135" s="3466"/>
    </row>
    <row r="136" ht="16.5" customHeight="1">
      <c r="A136" s="3457"/>
      <c r="B136" s="5393"/>
      <c r="C136" s="5387"/>
      <c r="D136" s="5394"/>
      <c r="E136" s="5402" t="s">
        <v>192</v>
      </c>
      <c r="F136" s="5403">
        <f t="array" ref="F136">IFERROR(VLOOKUP(E123,Dex!$B$3:$N244,8,FALSE),"")</f>
        <v>80</v>
      </c>
      <c r="G136" s="5404" t="str">
        <f t="array" ref="G136">IFERROR(VLOOKUP(F136,Dex!$P$22:$Q$276,2,FALSE),"")</f>
        <v/>
      </c>
      <c r="H136" s="5405"/>
      <c r="I136" s="5406"/>
      <c r="J136" s="5402" t="s">
        <v>192</v>
      </c>
      <c r="K136" s="5403">
        <f t="array" ref="K136">IFERROR(VLOOKUP(J123,Dex!$B$3:$N244,8,FALSE),"")</f>
        <v>60</v>
      </c>
      <c r="L136" s="5404" t="str">
        <f t="array" ref="L136">IFERROR(VLOOKUP(K136,Dex!$P$22:$Q$276,2,FALSE),"")</f>
        <v/>
      </c>
      <c r="M136" s="5405">
        <v>252.0</v>
      </c>
      <c r="N136" s="5394"/>
      <c r="O136" s="5402" t="s">
        <v>192</v>
      </c>
      <c r="P136" s="5403">
        <f t="array" ref="P136">IFERROR(VLOOKUP(O123,Dex!$B$3:$N244,8,FALSE),"")</f>
        <v>80</v>
      </c>
      <c r="Q136" s="5404" t="str">
        <f t="array" ref="Q136">IFERROR(VLOOKUP(P136,Dex!$P$22:$Q$276,2,FALSE),"")</f>
        <v/>
      </c>
      <c r="R136" s="5405"/>
      <c r="S136" s="5407"/>
      <c r="T136" s="5402" t="s">
        <v>192</v>
      </c>
      <c r="U136" s="5403">
        <f t="array" ref="U136">IFERROR(VLOOKUP(T123,Dex!$B$3:$N244,8,FALSE),"")</f>
        <v>75</v>
      </c>
      <c r="V136" s="5404" t="str">
        <f t="array" ref="V136">IFERROR(VLOOKUP(U136,Dex!$P$22:$Q$276,2,FALSE),"")</f>
        <v/>
      </c>
      <c r="W136" s="5405"/>
      <c r="X136" s="5407"/>
      <c r="Y136" s="5402" t="s">
        <v>192</v>
      </c>
      <c r="Z136" s="5403">
        <f t="array" ref="Z136">IFERROR(VLOOKUP(Y123,Dex!$B$3:$N244,8,FALSE),"")</f>
        <v>100</v>
      </c>
      <c r="AA136" s="5404" t="str">
        <f t="array" ref="AA136">IFERROR(VLOOKUP(Z136,Dex!$P$22:$Q$276,2,FALSE),"")</f>
        <v/>
      </c>
      <c r="AB136" s="5405"/>
      <c r="AC136" s="5407"/>
      <c r="AD136" s="5402" t="s">
        <v>192</v>
      </c>
      <c r="AE136" s="5403">
        <f t="array" ref="AE136">IFERROR(VLOOKUP(AD123,Dex!$B$3:$N244,8,FALSE),"")</f>
        <v>90</v>
      </c>
      <c r="AF136" s="5404" t="str">
        <f t="array" ref="AF136">IFERROR(VLOOKUP(AE136,Dex!$P$22:$Q$276,2,FALSE),"")</f>
        <v/>
      </c>
      <c r="AG136" s="5405">
        <v>252.0</v>
      </c>
      <c r="AH136" s="5401"/>
      <c r="AI136" s="3466"/>
    </row>
    <row r="137" ht="16.5" customHeight="1">
      <c r="A137" s="3457"/>
      <c r="B137" s="5393"/>
      <c r="C137" s="5387"/>
      <c r="D137" s="5394"/>
      <c r="E137" s="5408" t="s">
        <v>193</v>
      </c>
      <c r="F137" s="5409">
        <f t="array" ref="F137">IFERROR(VLOOKUP(E123,Dex!$B$3:$N244,9,FALSE),"")</f>
        <v>160</v>
      </c>
      <c r="G137" s="5410" t="str">
        <f t="array" ref="G137">IFERROR(VLOOKUP(F137,Dex!$P$22:$Q$276,2,FALSE),"")</f>
        <v/>
      </c>
      <c r="H137" s="5411">
        <v>252.0</v>
      </c>
      <c r="I137" s="5406"/>
      <c r="J137" s="5408" t="s">
        <v>193</v>
      </c>
      <c r="K137" s="5409">
        <f t="array" ref="K137">IFERROR(VLOOKUP(J123,Dex!$B$3:$N244,9,FALSE),"")</f>
        <v>140</v>
      </c>
      <c r="L137" s="5410" t="str">
        <f t="array" ref="L137">IFERROR(VLOOKUP(K137,Dex!$P$22:$Q$276,2,FALSE),"")</f>
        <v/>
      </c>
      <c r="M137" s="5411">
        <v>4.0</v>
      </c>
      <c r="N137" s="5394"/>
      <c r="O137" s="5408" t="s">
        <v>193</v>
      </c>
      <c r="P137" s="5409">
        <f t="array" ref="P137">IFERROR(VLOOKUP(O123,Dex!$B$3:$N244,9,FALSE),"")</f>
        <v>120</v>
      </c>
      <c r="Q137" s="5410" t="str">
        <f t="array" ref="Q137">IFERROR(VLOOKUP(P137,Dex!$P$22:$Q$276,2,FALSE),"")</f>
        <v/>
      </c>
      <c r="R137" s="5411">
        <v>252.0</v>
      </c>
      <c r="S137" s="5407"/>
      <c r="T137" s="5408" t="s">
        <v>193</v>
      </c>
      <c r="U137" s="5409">
        <f t="array" ref="U137">IFERROR(VLOOKUP(T123,Dex!$B$3:$N244,9,FALSE),"")</f>
        <v>98</v>
      </c>
      <c r="V137" s="5410" t="str">
        <f t="array" ref="V137">IFERROR(VLOOKUP(U137,Dex!$P$22:$Q$276,2,FALSE),"")</f>
        <v/>
      </c>
      <c r="W137" s="5411"/>
      <c r="X137" s="5407"/>
      <c r="Y137" s="5408" t="s">
        <v>193</v>
      </c>
      <c r="Z137" s="5409">
        <f t="array" ref="Z137">IFERROR(VLOOKUP(Y123,Dex!$B$3:$N244,9,FALSE),"")</f>
        <v>100</v>
      </c>
      <c r="AA137" s="5410" t="str">
        <f t="array" ref="AA137">IFERROR(VLOOKUP(Z137,Dex!$P$22:$Q$276,2,FALSE),"")</f>
        <v/>
      </c>
      <c r="AB137" s="5411"/>
      <c r="AC137" s="5407"/>
      <c r="AD137" s="5408" t="s">
        <v>193</v>
      </c>
      <c r="AE137" s="5409">
        <f t="array" ref="AE137">IFERROR(VLOOKUP(AD123,Dex!$B$3:$N244,9,FALSE),"")</f>
        <v>145</v>
      </c>
      <c r="AF137" s="5410" t="str">
        <f t="array" ref="AF137">IFERROR(VLOOKUP(AE137,Dex!$P$22:$Q$276,2,FALSE),"")</f>
        <v/>
      </c>
      <c r="AG137" s="5411">
        <v>252.0</v>
      </c>
      <c r="AH137" s="5401"/>
      <c r="AI137" s="3466"/>
    </row>
    <row r="138" ht="16.5" customHeight="1">
      <c r="A138" s="3457"/>
      <c r="B138" s="5393"/>
      <c r="C138" s="5387"/>
      <c r="D138" s="5394"/>
      <c r="E138" s="5408" t="s">
        <v>194</v>
      </c>
      <c r="F138" s="5409">
        <f t="array" ref="F138">IFERROR(VLOOKUP(E123,Dex!$B$3:$N244,10,FALSE),"")</f>
        <v>60</v>
      </c>
      <c r="G138" s="5410" t="str">
        <f t="array" ref="G138">IFERROR(VLOOKUP(F138,Dex!$P$22:$Q$276,2,FALSE),"")</f>
        <v/>
      </c>
      <c r="H138" s="5411">
        <v>4.0</v>
      </c>
      <c r="I138" s="5406"/>
      <c r="J138" s="5408" t="s">
        <v>194</v>
      </c>
      <c r="K138" s="5409">
        <f t="array" ref="K138">IFERROR(VLOOKUP(J123,Dex!$B$3:$N244,10,FALSE),"")</f>
        <v>50</v>
      </c>
      <c r="L138" s="5410" t="str">
        <f t="array" ref="L138">IFERROR(VLOOKUP(K138,Dex!$P$22:$Q$276,2,FALSE),"")</f>
        <v/>
      </c>
      <c r="M138" s="5411"/>
      <c r="N138" s="5394"/>
      <c r="O138" s="5408" t="s">
        <v>194</v>
      </c>
      <c r="P138" s="5409">
        <f t="array" ref="P138">IFERROR(VLOOKUP(O123,Dex!$B$3:$N244,10,FALSE),"")</f>
        <v>84</v>
      </c>
      <c r="Q138" s="5410" t="str">
        <f t="array" ref="Q138">IFERROR(VLOOKUP(P138,Dex!$P$22:$Q$276,2,FALSE),"")</f>
        <v/>
      </c>
      <c r="R138" s="5411">
        <v>4.0</v>
      </c>
      <c r="S138" s="5407"/>
      <c r="T138" s="5408" t="s">
        <v>194</v>
      </c>
      <c r="U138" s="5409">
        <f t="array" ref="U138">IFERROR(VLOOKUP(T123,Dex!$B$3:$N244,10,FALSE),"")</f>
        <v>63</v>
      </c>
      <c r="V138" s="5410" t="str">
        <f t="array" ref="V138">IFERROR(VLOOKUP(U138,Dex!$P$22:$Q$276,2,FALSE),"")</f>
        <v/>
      </c>
      <c r="W138" s="5411">
        <v>4.0</v>
      </c>
      <c r="X138" s="5407"/>
      <c r="Y138" s="5408" t="s">
        <v>194</v>
      </c>
      <c r="Z138" s="5409">
        <f t="array" ref="Z138">IFERROR(VLOOKUP(Y123,Dex!$B$3:$N244,10,FALSE),"")</f>
        <v>100</v>
      </c>
      <c r="AA138" s="5410" t="str">
        <f t="array" ref="AA138">IFERROR(VLOOKUP(Z138,Dex!$P$22:$Q$276,2,FALSE),"")</f>
        <v/>
      </c>
      <c r="AB138" s="5411">
        <v>4.0</v>
      </c>
      <c r="AC138" s="5407"/>
      <c r="AD138" s="5408" t="s">
        <v>194</v>
      </c>
      <c r="AE138" s="5409">
        <f t="array" ref="AE138">IFERROR(VLOOKUP(AD123,Dex!$B$3:$N244,10,FALSE),"")</f>
        <v>110</v>
      </c>
      <c r="AF138" s="5410" t="str">
        <f t="array" ref="AF138">IFERROR(VLOOKUP(AE138,Dex!$P$22:$Q$276,2,FALSE),"")</f>
        <v/>
      </c>
      <c r="AG138" s="5411">
        <v>4.0</v>
      </c>
      <c r="AH138" s="5401"/>
      <c r="AI138" s="3466"/>
    </row>
    <row r="139" ht="16.5" customHeight="1">
      <c r="A139" s="3457"/>
      <c r="B139" s="5393"/>
      <c r="C139" s="5387"/>
      <c r="D139" s="5394"/>
      <c r="E139" s="5408" t="s">
        <v>195</v>
      </c>
      <c r="F139" s="5409">
        <f t="array" ref="F139">IFERROR(VLOOKUP(E123,Dex!$B$3:$N244,11,FALSE),"")</f>
        <v>170</v>
      </c>
      <c r="G139" s="5410" t="str">
        <f t="array" ref="G139">IFERROR(VLOOKUP(F139,Dex!$P$22:$Q$276,2,FALSE),"")</f>
        <v/>
      </c>
      <c r="H139" s="5411"/>
      <c r="I139" s="5406"/>
      <c r="J139" s="5408" t="s">
        <v>195</v>
      </c>
      <c r="K139" s="5409">
        <f t="array" ref="K139">IFERROR(VLOOKUP(J123,Dex!$B$3:$N244,11,FALSE),"")</f>
        <v>140</v>
      </c>
      <c r="L139" s="5410" t="str">
        <f t="array" ref="L139">IFERROR(VLOOKUP(K139,Dex!$P$22:$Q$276,2,FALSE),"")</f>
        <v/>
      </c>
      <c r="M139" s="5411">
        <v>252.0</v>
      </c>
      <c r="N139" s="5394"/>
      <c r="O139" s="5408" t="s">
        <v>195</v>
      </c>
      <c r="P139" s="5409">
        <f t="array" ref="P139">IFERROR(VLOOKUP(O123,Dex!$B$3:$N244,11,FALSE),"")</f>
        <v>60</v>
      </c>
      <c r="Q139" s="5410" t="str">
        <f t="array" ref="Q139">IFERROR(VLOOKUP(P139,Dex!$P$22:$Q$276,2,FALSE),"")</f>
        <v/>
      </c>
      <c r="R139" s="5411"/>
      <c r="S139" s="5407"/>
      <c r="T139" s="5408" t="s">
        <v>195</v>
      </c>
      <c r="U139" s="5409">
        <f t="array" ref="U139">IFERROR(VLOOKUP(T123,Dex!$B$3:$N244,11,FALSE),"")</f>
        <v>98</v>
      </c>
      <c r="V139" s="5410" t="str">
        <f t="array" ref="V139">IFERROR(VLOOKUP(U139,Dex!$P$22:$Q$276,2,FALSE),"")</f>
        <v/>
      </c>
      <c r="W139" s="5411">
        <v>252.0</v>
      </c>
      <c r="X139" s="5407"/>
      <c r="Y139" s="5408" t="s">
        <v>195</v>
      </c>
      <c r="Z139" s="5409">
        <f t="array" ref="Z139">IFERROR(VLOOKUP(Y123,Dex!$B$3:$N244,11,FALSE),"")</f>
        <v>100</v>
      </c>
      <c r="AA139" s="5410" t="str">
        <f t="array" ref="AA139">IFERROR(VLOOKUP(Z139,Dex!$P$22:$Q$276,2,FALSE),"")</f>
        <v/>
      </c>
      <c r="AB139" s="5411">
        <v>252.0</v>
      </c>
      <c r="AC139" s="5407"/>
      <c r="AD139" s="5408" t="s">
        <v>195</v>
      </c>
      <c r="AE139" s="5409">
        <f t="array" ref="AE139">IFERROR(VLOOKUP(AD123,Dex!$B$3:$N244,11,FALSE),"")</f>
        <v>65</v>
      </c>
      <c r="AF139" s="5410" t="str">
        <f t="array" ref="AF139">IFERROR(VLOOKUP(AE139,Dex!$P$22:$Q$276,2,FALSE),"")</f>
        <v/>
      </c>
      <c r="AG139" s="5411"/>
      <c r="AH139" s="5401"/>
      <c r="AI139" s="3466"/>
    </row>
    <row r="140" ht="16.5" customHeight="1">
      <c r="A140" s="3457"/>
      <c r="B140" s="5393"/>
      <c r="C140" s="5387"/>
      <c r="D140" s="5394"/>
      <c r="E140" s="5408" t="s">
        <v>196</v>
      </c>
      <c r="F140" s="5409">
        <f t="array" ref="F140">IFERROR(VLOOKUP(E123,Dex!$B$3:$N244,12,FALSE),"")</f>
        <v>130</v>
      </c>
      <c r="G140" s="5410" t="str">
        <f t="array" ref="G140">IFERROR(VLOOKUP(F140,Dex!$P$22:$Q$276,2,FALSE),"")</f>
        <v/>
      </c>
      <c r="H140" s="5411"/>
      <c r="I140" s="5406"/>
      <c r="J140" s="5408" t="s">
        <v>196</v>
      </c>
      <c r="K140" s="5409">
        <f t="array" ref="K140">IFERROR(VLOOKUP(J123,Dex!$B$3:$N244,12,FALSE),"")</f>
        <v>50</v>
      </c>
      <c r="L140" s="5410" t="str">
        <f t="array" ref="L140">IFERROR(VLOOKUP(K140,Dex!$P$22:$Q$276,2,FALSE),"")</f>
        <v/>
      </c>
      <c r="M140" s="5411"/>
      <c r="N140" s="5394"/>
      <c r="O140" s="5408" t="s">
        <v>196</v>
      </c>
      <c r="P140" s="5409">
        <f t="array" ref="P140">IFERROR(VLOOKUP(O123,Dex!$B$3:$N244,12,FALSE),"")</f>
        <v>96</v>
      </c>
      <c r="Q140" s="5410" t="str">
        <f t="array" ref="Q140">IFERROR(VLOOKUP(P140,Dex!$P$22:$Q$276,2,FALSE),"")</f>
        <v/>
      </c>
      <c r="R140" s="5411"/>
      <c r="S140" s="5407"/>
      <c r="T140" s="5408" t="s">
        <v>196</v>
      </c>
      <c r="U140" s="5409">
        <f t="array" ref="U140">IFERROR(VLOOKUP(T123,Dex!$B$3:$N244,12,FALSE),"")</f>
        <v>63</v>
      </c>
      <c r="V140" s="5410" t="str">
        <f t="array" ref="V140">IFERROR(VLOOKUP(U140,Dex!$P$22:$Q$276,2,FALSE),"")</f>
        <v/>
      </c>
      <c r="W140" s="5411"/>
      <c r="X140" s="5407"/>
      <c r="Y140" s="5408" t="s">
        <v>196</v>
      </c>
      <c r="Z140" s="5409">
        <f t="array" ref="Z140">IFERROR(VLOOKUP(Y123,Dex!$B$3:$N244,12,FALSE),"")</f>
        <v>100</v>
      </c>
      <c r="AA140" s="5410" t="str">
        <f t="array" ref="AA140">IFERROR(VLOOKUP(Z140,Dex!$P$22:$Q$276,2,FALSE),"")</f>
        <v/>
      </c>
      <c r="AB140" s="5411"/>
      <c r="AC140" s="5407"/>
      <c r="AD140" s="5408" t="s">
        <v>196</v>
      </c>
      <c r="AE140" s="5409">
        <f t="array" ref="AE140">IFERROR(VLOOKUP(AD123,Dex!$B$3:$N244,12,FALSE),"")</f>
        <v>115</v>
      </c>
      <c r="AF140" s="5410" t="str">
        <f t="array" ref="AF140">IFERROR(VLOOKUP(AE140,Dex!$P$22:$Q$276,2,FALSE),"")</f>
        <v/>
      </c>
      <c r="AG140" s="5411"/>
      <c r="AH140" s="5401"/>
      <c r="AI140" s="3466"/>
    </row>
    <row r="141" ht="16.5" customHeight="1">
      <c r="A141" s="3457"/>
      <c r="B141" s="5393"/>
      <c r="C141" s="1204" t="s">
        <v>436</v>
      </c>
      <c r="D141" s="5394"/>
      <c r="E141" s="5412" t="s">
        <v>197</v>
      </c>
      <c r="F141" s="5413">
        <f t="array" ref="F141">IFERROR(VLOOKUP(E123,Dex!$B$3:$N244,13,FALSE),"")</f>
        <v>80</v>
      </c>
      <c r="G141" s="5414" t="str">
        <f t="array" ref="G141">IFERROR(VLOOKUP(F141,Dex!$P$22:$Q$276,2,FALSE),"")</f>
        <v/>
      </c>
      <c r="H141" s="5415">
        <v>252.0</v>
      </c>
      <c r="I141" s="5406"/>
      <c r="J141" s="5412" t="s">
        <v>197</v>
      </c>
      <c r="K141" s="5413">
        <f t="array" ref="K141">IFERROR(VLOOKUP(J123,Dex!$B$3:$N244,13,FALSE),"")</f>
        <v>60</v>
      </c>
      <c r="L141" s="5414" t="str">
        <f t="array" ref="L141">IFERROR(VLOOKUP(K141,Dex!$P$22:$Q$276,2,FALSE),"")</f>
        <v/>
      </c>
      <c r="M141" s="5415"/>
      <c r="N141" s="5394"/>
      <c r="O141" s="5412" t="s">
        <v>197</v>
      </c>
      <c r="P141" s="5413">
        <f t="array" ref="P141">IFERROR(VLOOKUP(O123,Dex!$B$3:$N244,13,FALSE),"")</f>
        <v>110</v>
      </c>
      <c r="Q141" s="5414" t="str">
        <f t="array" ref="Q141">IFERROR(VLOOKUP(P141,Dex!$P$22:$Q$276,2,FALSE),"")</f>
        <v/>
      </c>
      <c r="R141" s="5415">
        <v>252.0</v>
      </c>
      <c r="S141" s="5407"/>
      <c r="T141" s="5412" t="s">
        <v>197</v>
      </c>
      <c r="U141" s="5413">
        <f t="array" ref="U141">IFERROR(VLOOKUP(T123,Dex!$B$3:$N244,13,FALSE),"")</f>
        <v>101</v>
      </c>
      <c r="V141" s="5414" t="str">
        <f t="array" ref="V141">IFERROR(VLOOKUP(U141,Dex!$P$22:$Q$276,2,FALSE),"")</f>
        <v/>
      </c>
      <c r="W141" s="5415">
        <v>252.0</v>
      </c>
      <c r="X141" s="5407"/>
      <c r="Y141" s="5412" t="s">
        <v>197</v>
      </c>
      <c r="Z141" s="5413">
        <f t="array" ref="Z141">IFERROR(VLOOKUP(Y123,Dex!$B$3:$N244,13,FALSE),"")</f>
        <v>100</v>
      </c>
      <c r="AA141" s="5414" t="str">
        <f t="array" ref="AA141">IFERROR(VLOOKUP(Z141,Dex!$P$22:$Q$276,2,FALSE),"")</f>
        <v/>
      </c>
      <c r="AB141" s="5415">
        <v>252.0</v>
      </c>
      <c r="AC141" s="5407"/>
      <c r="AD141" s="5412" t="s">
        <v>197</v>
      </c>
      <c r="AE141" s="5413">
        <f t="array" ref="AE141">IFERROR(VLOOKUP(AD123,Dex!$B$3:$N244,13,FALSE),"")</f>
        <v>75</v>
      </c>
      <c r="AF141" s="5414" t="str">
        <f t="array" ref="AF141">IFERROR(VLOOKUP(AE141,Dex!$P$22:$Q$276,2,FALSE),"")</f>
        <v/>
      </c>
      <c r="AG141" s="5415"/>
      <c r="AH141" s="5401"/>
      <c r="AI141" s="3466"/>
    </row>
    <row r="142" ht="16.5" customHeight="1">
      <c r="A142" s="3457"/>
      <c r="B142" s="5393"/>
      <c r="C142" s="1205" t="s">
        <v>641</v>
      </c>
      <c r="D142" s="5394"/>
      <c r="E142" s="5416" t="s">
        <v>198</v>
      </c>
      <c r="F142" s="405"/>
      <c r="G142" s="406"/>
      <c r="H142" s="5417">
        <v>203.0</v>
      </c>
      <c r="I142" s="5397"/>
      <c r="J142" s="5416" t="s">
        <v>198</v>
      </c>
      <c r="K142" s="405"/>
      <c r="L142" s="406"/>
      <c r="M142" s="5417">
        <v>100.0</v>
      </c>
      <c r="N142" s="5398"/>
      <c r="O142" s="5416" t="s">
        <v>198</v>
      </c>
      <c r="P142" s="405"/>
      <c r="Q142" s="406"/>
      <c r="R142" s="5417">
        <v>249.0</v>
      </c>
      <c r="S142" s="5407"/>
      <c r="T142" s="5418" t="s">
        <v>198</v>
      </c>
      <c r="U142" s="918"/>
      <c r="V142" s="919"/>
      <c r="W142" s="5419">
        <v>236.0</v>
      </c>
      <c r="X142" s="5400"/>
      <c r="Y142" s="5416" t="s">
        <v>198</v>
      </c>
      <c r="Z142" s="405"/>
      <c r="AA142" s="406"/>
      <c r="AB142" s="5417">
        <v>234.0</v>
      </c>
      <c r="AC142" s="5400"/>
      <c r="AD142" s="5416" t="s">
        <v>198</v>
      </c>
      <c r="AE142" s="405"/>
      <c r="AF142" s="406"/>
      <c r="AG142" s="5417">
        <v>133.0</v>
      </c>
      <c r="AH142" s="5401"/>
      <c r="AI142" s="3466"/>
    </row>
    <row r="143" ht="16.5" customHeight="1">
      <c r="A143" s="3457"/>
      <c r="B143" s="5420"/>
      <c r="C143" s="5387"/>
      <c r="D143" s="5421"/>
      <c r="E143" s="5387"/>
      <c r="F143" s="5387"/>
      <c r="G143" s="5387"/>
      <c r="H143" s="5387"/>
      <c r="I143" s="5422"/>
      <c r="J143" s="5423"/>
      <c r="K143" s="5423"/>
      <c r="L143" s="5423"/>
      <c r="M143" s="5387"/>
      <c r="N143" s="5421"/>
      <c r="O143" s="5423"/>
      <c r="P143" s="5423"/>
      <c r="Q143" s="5423"/>
      <c r="R143" s="5387"/>
      <c r="S143" s="5424"/>
      <c r="T143" s="5425" t="s">
        <v>348</v>
      </c>
      <c r="U143" s="925"/>
      <c r="V143" s="926"/>
      <c r="W143" s="5426">
        <v>354.0</v>
      </c>
      <c r="X143" s="5424"/>
      <c r="Y143" s="5423"/>
      <c r="Z143" s="5423"/>
      <c r="AA143" s="5423"/>
      <c r="AB143" s="5387"/>
      <c r="AC143" s="5424"/>
      <c r="AD143" s="5423"/>
      <c r="AE143" s="5423"/>
      <c r="AF143" s="5423"/>
      <c r="AG143" s="5387"/>
      <c r="AH143" s="5427"/>
      <c r="AI143" s="3466"/>
    </row>
    <row r="144" ht="15.0" customHeight="1">
      <c r="A144" s="3621"/>
      <c r="B144" s="5428"/>
      <c r="C144" s="5429"/>
      <c r="D144" s="5429"/>
      <c r="E144" s="5429"/>
      <c r="F144" s="5429"/>
      <c r="G144" s="5429"/>
      <c r="H144" s="5429"/>
      <c r="I144" s="5429"/>
      <c r="J144" s="5429"/>
      <c r="K144" s="5429"/>
      <c r="L144" s="5429"/>
      <c r="M144" s="5429"/>
      <c r="N144" s="5429"/>
      <c r="O144" s="5430"/>
      <c r="P144" s="5430"/>
      <c r="Q144" s="5430"/>
      <c r="R144" s="5429"/>
      <c r="S144" s="5429"/>
      <c r="T144" s="5431"/>
      <c r="U144" s="5431"/>
      <c r="V144" s="5431"/>
      <c r="W144" s="5429"/>
      <c r="X144" s="5429"/>
      <c r="Y144" s="5431"/>
      <c r="Z144" s="5431"/>
      <c r="AA144" s="5431"/>
      <c r="AB144" s="5429"/>
      <c r="AC144" s="5429"/>
      <c r="AD144" s="5429"/>
      <c r="AE144" s="5429"/>
      <c r="AF144" s="5429"/>
      <c r="AG144" s="5429"/>
      <c r="AH144" s="5432"/>
      <c r="AI144" s="3631"/>
    </row>
    <row r="145" ht="15.0" customHeight="1">
      <c r="A145" s="3621"/>
      <c r="B145" s="5433"/>
      <c r="C145" s="5434"/>
      <c r="D145" s="5434"/>
      <c r="E145" s="5434"/>
      <c r="F145" s="5434"/>
      <c r="G145" s="5434"/>
      <c r="H145" s="5434"/>
      <c r="I145" s="5434"/>
      <c r="J145" s="5434"/>
      <c r="K145" s="5434"/>
      <c r="L145" s="5434"/>
      <c r="M145" s="5434"/>
      <c r="N145" s="5434"/>
      <c r="O145" s="5435"/>
      <c r="P145" s="5435"/>
      <c r="Q145" s="5435"/>
      <c r="R145" s="5434"/>
      <c r="S145" s="5434"/>
      <c r="T145" s="5436"/>
      <c r="U145" s="5436"/>
      <c r="V145" s="5436"/>
      <c r="W145" s="5434"/>
      <c r="X145" s="5434"/>
      <c r="Y145" s="5436"/>
      <c r="Z145" s="5436"/>
      <c r="AA145" s="5436"/>
      <c r="AB145" s="5434"/>
      <c r="AC145" s="5434"/>
      <c r="AD145" s="5434"/>
      <c r="AE145" s="5434"/>
      <c r="AF145" s="5434"/>
      <c r="AG145" s="5434"/>
      <c r="AH145" s="5437"/>
      <c r="AI145" s="3631"/>
    </row>
    <row r="146" ht="11.25" customHeight="1">
      <c r="A146" s="3621"/>
      <c r="B146" s="5438"/>
      <c r="C146" s="5439"/>
      <c r="D146" s="5439"/>
      <c r="E146" s="3180" t="s">
        <v>1374</v>
      </c>
      <c r="F146" s="3181"/>
      <c r="G146" s="3181"/>
      <c r="H146" s="3181"/>
      <c r="I146" s="3181"/>
      <c r="J146" s="3181"/>
      <c r="K146" s="3181"/>
      <c r="L146" s="3181"/>
      <c r="M146" s="3181"/>
      <c r="N146" s="3181"/>
      <c r="O146" s="3181"/>
      <c r="P146" s="3181"/>
      <c r="Q146" s="3181"/>
      <c r="R146" s="3181"/>
      <c r="S146" s="3181"/>
      <c r="T146" s="3181"/>
      <c r="U146" s="3181"/>
      <c r="V146" s="3181"/>
      <c r="W146" s="3181"/>
      <c r="X146" s="3181"/>
      <c r="Y146" s="3181"/>
      <c r="Z146" s="3181"/>
      <c r="AA146" s="3181"/>
      <c r="AB146" s="3181"/>
      <c r="AC146" s="3181"/>
      <c r="AD146" s="3181"/>
      <c r="AE146" s="3181"/>
      <c r="AF146" s="3181"/>
      <c r="AG146" s="3182"/>
      <c r="AH146" s="5440"/>
      <c r="AI146" s="3631"/>
    </row>
    <row r="147" ht="11.25" customHeight="1">
      <c r="A147" s="3621"/>
      <c r="B147" s="5438"/>
      <c r="C147" s="5439"/>
      <c r="D147" s="5439"/>
      <c r="E147" s="114"/>
      <c r="F147" s="3185"/>
      <c r="G147" s="3185"/>
      <c r="H147" s="3185"/>
      <c r="I147" s="3185"/>
      <c r="J147" s="3185"/>
      <c r="K147" s="3185"/>
      <c r="L147" s="3185"/>
      <c r="M147" s="3185"/>
      <c r="N147" s="3185"/>
      <c r="O147" s="3185"/>
      <c r="P147" s="3185"/>
      <c r="Q147" s="3185"/>
      <c r="R147" s="3185"/>
      <c r="S147" s="3185"/>
      <c r="T147" s="3185"/>
      <c r="U147" s="3185"/>
      <c r="V147" s="3185"/>
      <c r="W147" s="3185"/>
      <c r="X147" s="3185"/>
      <c r="Y147" s="3185"/>
      <c r="Z147" s="3185"/>
      <c r="AA147" s="3185"/>
      <c r="AB147" s="3185"/>
      <c r="AC147" s="3185"/>
      <c r="AD147" s="3185"/>
      <c r="AE147" s="3185"/>
      <c r="AF147" s="3185"/>
      <c r="AG147" s="3186"/>
      <c r="AH147" s="5440"/>
      <c r="AI147" s="3631"/>
    </row>
    <row r="148" ht="3.75" customHeight="1">
      <c r="A148" s="3621"/>
      <c r="B148" s="5438"/>
      <c r="C148" s="5441"/>
      <c r="D148" s="5439"/>
      <c r="E148" s="5441"/>
      <c r="F148" s="5441"/>
      <c r="G148" s="5441"/>
      <c r="H148" s="5441"/>
      <c r="I148" s="5439"/>
      <c r="J148" s="5441"/>
      <c r="K148" s="5441"/>
      <c r="L148" s="5441"/>
      <c r="M148" s="5441"/>
      <c r="N148" s="5439"/>
      <c r="O148" s="5441"/>
      <c r="P148" s="5441"/>
      <c r="Q148" s="5441"/>
      <c r="R148" s="5441"/>
      <c r="S148" s="5439"/>
      <c r="T148" s="5441"/>
      <c r="U148" s="5441"/>
      <c r="V148" s="5441"/>
      <c r="W148" s="5441"/>
      <c r="X148" s="5439"/>
      <c r="Y148" s="5441"/>
      <c r="Z148" s="5441"/>
      <c r="AA148" s="5441"/>
      <c r="AB148" s="5441"/>
      <c r="AC148" s="5439"/>
      <c r="AD148" s="5441"/>
      <c r="AE148" s="5441"/>
      <c r="AF148" s="5441"/>
      <c r="AG148" s="5441"/>
      <c r="AH148" s="5440"/>
      <c r="AI148" s="3631"/>
    </row>
    <row r="149" ht="96.75" customHeight="1">
      <c r="A149" s="3621"/>
      <c r="B149" s="5442"/>
      <c r="C149" s="5443" t="str">
        <f>IMAGE("https://i.ibb.co/nzhVFm2/Ketchup.png")</f>
        <v/>
      </c>
      <c r="D149" s="5444"/>
      <c r="E149" s="5445" t="str">
        <f t="array" ref="E149">IFERROR(VLOOKUP(E150,Dex!$B$3:$G244,3,FALSE),"")</f>
        <v/>
      </c>
      <c r="F149" s="1830"/>
      <c r="G149" s="1830"/>
      <c r="H149" s="1831"/>
      <c r="I149" s="5446"/>
      <c r="J149" s="5445" t="str">
        <f t="array" ref="J149">IFERROR(VLOOKUP(J150,Dex!$B$3:$G244,3,FALSE),"")</f>
        <v/>
      </c>
      <c r="K149" s="1830"/>
      <c r="L149" s="1830"/>
      <c r="M149" s="1831"/>
      <c r="N149" s="5446"/>
      <c r="O149" s="5445" t="str">
        <f t="array" ref="O149">IFERROR(VLOOKUP(O150,Dex!$B$3:$G244,3,FALSE),"")</f>
        <v/>
      </c>
      <c r="P149" s="1830"/>
      <c r="Q149" s="1830"/>
      <c r="R149" s="1831"/>
      <c r="S149" s="5446"/>
      <c r="T149" s="5445" t="str">
        <f t="array" ref="T149">IFERROR(VLOOKUP(T150,Dex!$B$3:$G244,3,FALSE),"")</f>
        <v/>
      </c>
      <c r="U149" s="1830"/>
      <c r="V149" s="1830"/>
      <c r="W149" s="1831"/>
      <c r="X149" s="5446"/>
      <c r="Y149" s="5445" t="str">
        <f t="array" ref="Y149">IFERROR(VLOOKUP(Y150,Dex!$B$3:$G244,3,FALSE),"")</f>
        <v/>
      </c>
      <c r="Z149" s="1830"/>
      <c r="AA149" s="1830"/>
      <c r="AB149" s="1831"/>
      <c r="AC149" s="5446"/>
      <c r="AD149" s="5445" t="str">
        <f t="array" ref="AD149">IFERROR(VLOOKUP(AD150,Dex!$B$3:$G244,3,FALSE),"")</f>
        <v/>
      </c>
      <c r="AE149" s="1830"/>
      <c r="AF149" s="1830"/>
      <c r="AG149" s="1831"/>
      <c r="AH149" s="5447"/>
      <c r="AI149" s="3631"/>
    </row>
    <row r="150" ht="18.75" customHeight="1">
      <c r="A150" s="3621"/>
      <c r="B150" s="5442"/>
      <c r="C150" s="5448" t="s">
        <v>1375</v>
      </c>
      <c r="D150" s="5449"/>
      <c r="E150" s="5450" t="s">
        <v>752</v>
      </c>
      <c r="F150" s="5451"/>
      <c r="G150" s="5451"/>
      <c r="H150" s="5452"/>
      <c r="I150" s="5453"/>
      <c r="J150" s="5450" t="s">
        <v>1111</v>
      </c>
      <c r="K150" s="5451"/>
      <c r="L150" s="5451"/>
      <c r="M150" s="5452"/>
      <c r="N150" s="5453"/>
      <c r="O150" s="5450" t="s">
        <v>1179</v>
      </c>
      <c r="P150" s="5451"/>
      <c r="Q150" s="5451"/>
      <c r="R150" s="5452"/>
      <c r="S150" s="5453"/>
      <c r="T150" s="5450" t="s">
        <v>650</v>
      </c>
      <c r="U150" s="5451"/>
      <c r="V150" s="5451"/>
      <c r="W150" s="5452"/>
      <c r="X150" s="5453"/>
      <c r="Y150" s="5450" t="s">
        <v>1376</v>
      </c>
      <c r="Z150" s="5451"/>
      <c r="AA150" s="5451"/>
      <c r="AB150" s="5452"/>
      <c r="AC150" s="5453"/>
      <c r="AD150" s="5450" t="s">
        <v>1377</v>
      </c>
      <c r="AE150" s="5451"/>
      <c r="AF150" s="5451"/>
      <c r="AG150" s="5452"/>
      <c r="AH150" s="5447"/>
      <c r="AI150" s="3631"/>
    </row>
    <row r="151">
      <c r="A151" s="3621"/>
      <c r="B151" s="5442"/>
      <c r="C151" s="1481"/>
      <c r="D151" s="5449"/>
      <c r="E151" s="5454" t="s">
        <v>420</v>
      </c>
      <c r="F151" s="5455"/>
      <c r="G151" s="5455"/>
      <c r="H151" s="5456"/>
      <c r="I151" s="5453"/>
      <c r="J151" s="5454" t="s">
        <v>420</v>
      </c>
      <c r="K151" s="5455"/>
      <c r="L151" s="5455"/>
      <c r="M151" s="5456"/>
      <c r="N151" s="5453"/>
      <c r="O151" s="5454" t="s">
        <v>420</v>
      </c>
      <c r="P151" s="5455"/>
      <c r="Q151" s="5455"/>
      <c r="R151" s="5456"/>
      <c r="S151" s="5453"/>
      <c r="T151" s="5454" t="s">
        <v>420</v>
      </c>
      <c r="U151" s="5455"/>
      <c r="V151" s="5455"/>
      <c r="W151" s="5456"/>
      <c r="X151" s="5453"/>
      <c r="Y151" s="5454" t="s">
        <v>420</v>
      </c>
      <c r="Z151" s="5455"/>
      <c r="AA151" s="5455"/>
      <c r="AB151" s="5456"/>
      <c r="AC151" s="5453"/>
      <c r="AD151" s="5454" t="s">
        <v>420</v>
      </c>
      <c r="AE151" s="5455"/>
      <c r="AF151" s="5455"/>
      <c r="AG151" s="5456"/>
      <c r="AH151" s="5447"/>
      <c r="AI151" s="3631"/>
    </row>
    <row r="152" ht="25.5" customHeight="1">
      <c r="A152" s="3621"/>
      <c r="B152" s="5442"/>
      <c r="C152" s="1489"/>
      <c r="D152" s="5457"/>
      <c r="E152" s="5458"/>
      <c r="F152" s="5459" t="str">
        <f t="array" ref="F152">IFERROR(VLOOKUP(E150,Dex!$B$3:$H244,5,FALSE),"")</f>
        <v/>
      </c>
      <c r="G152" s="5460" t="str">
        <f t="array" ref="G152">IFERROR(VLOOKUP(E150,Dex!$B$3:$H244,7,FALSE),"")</f>
        <v/>
      </c>
      <c r="H152" s="5461"/>
      <c r="I152" s="5453"/>
      <c r="J152" s="5458"/>
      <c r="K152" s="5459" t="str">
        <f t="array" ref="K152">IFERROR(VLOOKUP(J150,Dex!$B$3:$H244,5,FALSE),"")</f>
        <v/>
      </c>
      <c r="L152" s="5460" t="str">
        <f t="array" ref="L152">IFERROR(VLOOKUP(J150,Dex!$B$3:$H244,7,FALSE),"")</f>
        <v/>
      </c>
      <c r="M152" s="5461"/>
      <c r="N152" s="5453"/>
      <c r="O152" s="5458"/>
      <c r="P152" s="5459" t="str">
        <f t="array" ref="P152">IFERROR(VLOOKUP(O150,Dex!$B$3:$H244,5,FALSE),"")</f>
        <v/>
      </c>
      <c r="Q152" s="5460" t="str">
        <f t="array" ref="Q152">IFERROR(VLOOKUP(O150,Dex!$B$3:$H244,7,FALSE),"")</f>
        <v/>
      </c>
      <c r="R152" s="5461"/>
      <c r="S152" s="5453"/>
      <c r="T152" s="5458"/>
      <c r="U152" s="5462" t="str">
        <f t="array" ref="U152">IFERROR(VLOOKUP(T150,Dex!$B$3:$H244,5,FALSE),"")</f>
        <v/>
      </c>
      <c r="V152" s="5463"/>
      <c r="W152" s="5461"/>
      <c r="X152" s="5453"/>
      <c r="Y152" s="5458"/>
      <c r="Z152" s="5459" t="str">
        <f t="array" ref="Z152">IFERROR(VLOOKUP(Y150,Dex!$B$3:$H244,5,FALSE),"")</f>
        <v/>
      </c>
      <c r="AA152" s="5460" t="str">
        <f t="array" ref="AA152">IFERROR(VLOOKUP(Y150,Dex!$B$3:$H244,7,FALSE),"")</f>
        <v/>
      </c>
      <c r="AB152" s="5461"/>
      <c r="AC152" s="5453"/>
      <c r="AD152" s="5458"/>
      <c r="AE152" s="5459" t="str">
        <f t="array" ref="AE152">IFERROR(VLOOKUP(AD150,Dex!$B$3:$H244,5,FALSE),"")</f>
        <v/>
      </c>
      <c r="AF152" s="5460" t="str">
        <f t="array" ref="AF152">IFERROR(VLOOKUP(AD150,Dex!$B$3:$H244,7,FALSE),"")</f>
        <v/>
      </c>
      <c r="AG152" s="5461"/>
      <c r="AH152" s="5464"/>
      <c r="AI152" s="3631"/>
    </row>
    <row r="153" ht="2.25" customHeight="1">
      <c r="A153" s="3621"/>
      <c r="B153" s="5438"/>
      <c r="C153" s="5465"/>
      <c r="D153" s="5466"/>
      <c r="E153" s="5467"/>
      <c r="F153" s="5468"/>
      <c r="G153" s="5468"/>
      <c r="H153" s="5469"/>
      <c r="I153" s="5453"/>
      <c r="J153" s="5467"/>
      <c r="K153" s="5468"/>
      <c r="L153" s="5468"/>
      <c r="M153" s="5469"/>
      <c r="N153" s="5453"/>
      <c r="O153" s="5467"/>
      <c r="P153" s="5468"/>
      <c r="Q153" s="5468"/>
      <c r="R153" s="5469"/>
      <c r="S153" s="5453"/>
      <c r="T153" s="5467"/>
      <c r="U153" s="5468"/>
      <c r="V153" s="5468"/>
      <c r="W153" s="5469"/>
      <c r="X153" s="5453"/>
      <c r="Y153" s="5467"/>
      <c r="Z153" s="5468"/>
      <c r="AA153" s="5468"/>
      <c r="AB153" s="5469"/>
      <c r="AC153" s="5453"/>
      <c r="AD153" s="5467"/>
      <c r="AE153" s="5468"/>
      <c r="AF153" s="5468"/>
      <c r="AG153" s="5469"/>
      <c r="AH153" s="5464"/>
      <c r="AI153" s="3631"/>
    </row>
    <row r="154" ht="20.25" customHeight="1">
      <c r="A154" s="3621"/>
      <c r="B154" s="5438"/>
      <c r="C154" s="5470"/>
      <c r="D154" s="5471"/>
      <c r="E154" s="5472" t="s">
        <v>169</v>
      </c>
      <c r="F154" s="5473"/>
      <c r="G154" s="5473"/>
      <c r="H154" s="5474"/>
      <c r="I154" s="5453"/>
      <c r="J154" s="5472" t="s">
        <v>169</v>
      </c>
      <c r="K154" s="5473"/>
      <c r="L154" s="5473"/>
      <c r="M154" s="5474"/>
      <c r="N154" s="5453"/>
      <c r="O154" s="5472" t="s">
        <v>172</v>
      </c>
      <c r="P154" s="5473"/>
      <c r="Q154" s="5473"/>
      <c r="R154" s="5474"/>
      <c r="S154" s="5453"/>
      <c r="T154" s="5472" t="s">
        <v>471</v>
      </c>
      <c r="U154" s="5473"/>
      <c r="V154" s="5473"/>
      <c r="W154" s="5474"/>
      <c r="X154" s="5453"/>
      <c r="Y154" s="5472" t="s">
        <v>172</v>
      </c>
      <c r="Z154" s="5473"/>
      <c r="AA154" s="5473"/>
      <c r="AB154" s="5474"/>
      <c r="AC154" s="5453"/>
      <c r="AD154" s="5472" t="s">
        <v>172</v>
      </c>
      <c r="AE154" s="5473"/>
      <c r="AF154" s="5473"/>
      <c r="AG154" s="5474"/>
      <c r="AH154" s="5447"/>
      <c r="AI154" s="3631"/>
    </row>
    <row r="155">
      <c r="A155" s="3621"/>
      <c r="B155" s="5438"/>
      <c r="C155" s="5475"/>
      <c r="D155" s="5471"/>
      <c r="E155" s="5476" t="s">
        <v>753</v>
      </c>
      <c r="F155" s="5477"/>
      <c r="G155" s="5477"/>
      <c r="H155" s="5478"/>
      <c r="I155" s="5453"/>
      <c r="J155" s="5476" t="s">
        <v>596</v>
      </c>
      <c r="K155" s="5477"/>
      <c r="L155" s="5477"/>
      <c r="M155" s="5478"/>
      <c r="N155" s="5453"/>
      <c r="O155" s="5476" t="s">
        <v>485</v>
      </c>
      <c r="P155" s="5477"/>
      <c r="Q155" s="5477"/>
      <c r="R155" s="5478"/>
      <c r="S155" s="5453"/>
      <c r="T155" s="5476" t="s">
        <v>1378</v>
      </c>
      <c r="U155" s="5477"/>
      <c r="V155" s="5477"/>
      <c r="W155" s="5478"/>
      <c r="X155" s="5453"/>
      <c r="Y155" s="5476" t="s">
        <v>1379</v>
      </c>
      <c r="Z155" s="5477"/>
      <c r="AA155" s="5477"/>
      <c r="AB155" s="5478"/>
      <c r="AC155" s="5453"/>
      <c r="AD155" s="5476" t="s">
        <v>1379</v>
      </c>
      <c r="AE155" s="5477"/>
      <c r="AF155" s="5477"/>
      <c r="AG155" s="5478"/>
      <c r="AH155" s="5447"/>
      <c r="AI155" s="3631"/>
    </row>
    <row r="156" ht="20.25" customHeight="1">
      <c r="A156" s="3621"/>
      <c r="B156" s="5438"/>
      <c r="C156" s="5479"/>
      <c r="D156" s="5471"/>
      <c r="E156" s="5480" t="s">
        <v>473</v>
      </c>
      <c r="F156" s="5481"/>
      <c r="G156" s="5482"/>
      <c r="H156" s="5483" t="str">
        <f>IMAGE("https://raw.githubusercontent.com/msikma/pokesprite/master/items/hold-item/assault-vest.png",3)</f>
        <v/>
      </c>
      <c r="I156" s="5453"/>
      <c r="J156" s="5480" t="s">
        <v>600</v>
      </c>
      <c r="K156" s="5481"/>
      <c r="L156" s="5482"/>
      <c r="M156" s="5483" t="str">
        <f>IMAGE("https://raw.githubusercontent.com/msikma/pokesprite/master/items/hold-item/toxic-orb.png",3)</f>
        <v/>
      </c>
      <c r="N156" s="5453"/>
      <c r="O156" s="5480" t="s">
        <v>335</v>
      </c>
      <c r="P156" s="5481"/>
      <c r="Q156" s="5482"/>
      <c r="R156" s="5483" t="str">
        <f>IMAGE("https://raw.githubusercontent.com/msikma/pokesprite/master/items/hold-item/choice-scarf.png",3)</f>
        <v/>
      </c>
      <c r="S156" s="5453"/>
      <c r="T156" s="5480" t="s">
        <v>653</v>
      </c>
      <c r="U156" s="5481"/>
      <c r="V156" s="5482"/>
      <c r="W156" s="5483" t="str">
        <f>IMAGE("https://raw.githubusercontent.com/msikma/pokesprite/master/items/mega-stone/aggronite.png",3)</f>
        <v/>
      </c>
      <c r="X156" s="5453"/>
      <c r="Y156" s="5480" t="s">
        <v>766</v>
      </c>
      <c r="Z156" s="5481"/>
      <c r="AA156" s="5482"/>
      <c r="AB156" s="5483" t="str">
        <f>IMAGE("https://raw.githubusercontent.com/msikma/pokesprite/master/items/hold-item/choice-band.png",3)</f>
        <v/>
      </c>
      <c r="AC156" s="5453"/>
      <c r="AD156" s="5480" t="s">
        <v>766</v>
      </c>
      <c r="AE156" s="5481"/>
      <c r="AF156" s="5482"/>
      <c r="AG156" s="5483" t="str">
        <f>IMAGE("https://raw.githubusercontent.com/msikma/pokesprite/master/items/hold-item/choice-band.png",3)</f>
        <v/>
      </c>
      <c r="AH156" s="5464"/>
      <c r="AI156" s="3631"/>
    </row>
    <row r="157" ht="20.25" customHeight="1">
      <c r="A157" s="3621"/>
      <c r="B157" s="5438"/>
      <c r="C157" s="5484"/>
      <c r="D157" s="5471"/>
      <c r="E157" s="5472" t="s">
        <v>346</v>
      </c>
      <c r="F157" s="5473"/>
      <c r="G157" s="5485"/>
      <c r="H157" s="5486" t="str">
        <f t="shared" ref="H157:H158" si="5">IMAGE("https://raw.githubusercontent.com/msikma/pokesprite/master/misc/types/gen8/water.png",4,20,20)</f>
        <v/>
      </c>
      <c r="I157" s="5453"/>
      <c r="J157" s="5472" t="s">
        <v>489</v>
      </c>
      <c r="K157" s="5473"/>
      <c r="L157" s="5485"/>
      <c r="M157" s="5486" t="str">
        <f>IMAGE("https://raw.githubusercontent.com/msikma/pokesprite/master/misc/types/gen8/normal.png",4,20,20)</f>
        <v/>
      </c>
      <c r="N157" s="5453"/>
      <c r="O157" s="5472" t="s">
        <v>630</v>
      </c>
      <c r="P157" s="5473"/>
      <c r="Q157" s="5485"/>
      <c r="R157" s="5486" t="str">
        <f>IMAGE("https://raw.githubusercontent.com/msikma/pokesprite/master/misc/types/gen8/electric.png",4,20,20)</f>
        <v/>
      </c>
      <c r="S157" s="5453"/>
      <c r="T157" s="5472" t="s">
        <v>1004</v>
      </c>
      <c r="U157" s="5473"/>
      <c r="V157" s="5485"/>
      <c r="W157" s="5486" t="str">
        <f>IMAGE("https://raw.githubusercontent.com/msikma/pokesprite/master/misc/types/gen8/ghost.png",4,20,20)</f>
        <v/>
      </c>
      <c r="X157" s="5453"/>
      <c r="Y157" s="5472" t="s">
        <v>339</v>
      </c>
      <c r="Z157" s="5473"/>
      <c r="AA157" s="5485"/>
      <c r="AB157" s="5486" t="str">
        <f>IMAGE("https://raw.githubusercontent.com/msikma/pokesprite/master/misc/types/gen8/dark.png",4,20,20)</f>
        <v/>
      </c>
      <c r="AC157" s="5453"/>
      <c r="AD157" s="5472" t="s">
        <v>1380</v>
      </c>
      <c r="AE157" s="5473"/>
      <c r="AF157" s="5485"/>
      <c r="AG157" s="5486" t="str">
        <f t="shared" ref="AG157:AG158" si="6">IMAGE("https://raw.githubusercontent.com/msikma/pokesprite/master/misc/types/gen8/water.png",4,20,20)</f>
        <v/>
      </c>
      <c r="AH157" s="5447"/>
      <c r="AI157" s="3631"/>
    </row>
    <row r="158" ht="20.25" customHeight="1">
      <c r="A158" s="3621"/>
      <c r="B158" s="5438"/>
      <c r="C158" s="5470"/>
      <c r="D158" s="5471"/>
      <c r="E158" s="5476" t="s">
        <v>735</v>
      </c>
      <c r="F158" s="5477"/>
      <c r="G158" s="5487"/>
      <c r="H158" s="5488" t="str">
        <f t="shared" si="5"/>
        <v/>
      </c>
      <c r="I158" s="5453"/>
      <c r="J158" s="5476" t="s">
        <v>402</v>
      </c>
      <c r="K158" s="5477"/>
      <c r="L158" s="5487"/>
      <c r="M158" s="5488" t="str">
        <f>IMAGE("https://raw.githubusercontent.com/msikma/pokesprite/master/misc/types/gen8/ground.png",4,20,20)</f>
        <v/>
      </c>
      <c r="N158" s="5453"/>
      <c r="O158" s="5476" t="s">
        <v>409</v>
      </c>
      <c r="P158" s="5477"/>
      <c r="Q158" s="5487"/>
      <c r="R158" s="5488" t="str">
        <f>IMAGE("https://raw.githubusercontent.com/msikma/pokesprite/master/misc/types/gen8/dragon.png",4,20,20)</f>
        <v/>
      </c>
      <c r="S158" s="5453"/>
      <c r="T158" s="5476" t="s">
        <v>655</v>
      </c>
      <c r="U158" s="5477"/>
      <c r="V158" s="5487"/>
      <c r="W158" s="5488" t="str">
        <f>IMAGE("https://raw.githubusercontent.com/msikma/pokesprite/master/misc/types/gen8/steel.png",4,20,20)</f>
        <v/>
      </c>
      <c r="X158" s="5453"/>
      <c r="Y158" s="5476" t="s">
        <v>316</v>
      </c>
      <c r="Z158" s="5477"/>
      <c r="AA158" s="5487"/>
      <c r="AB158" s="5488" t="str">
        <f>IMAGE("https://raw.githubusercontent.com/msikma/pokesprite/master/misc/types/gen8/fighting.png",4,20,20)</f>
        <v/>
      </c>
      <c r="AC158" s="5453"/>
      <c r="AD158" s="5476" t="s">
        <v>735</v>
      </c>
      <c r="AE158" s="5477"/>
      <c r="AF158" s="5487"/>
      <c r="AG158" s="5488" t="str">
        <f t="shared" si="6"/>
        <v/>
      </c>
      <c r="AH158" s="5447"/>
      <c r="AI158" s="3631"/>
    </row>
    <row r="159" ht="20.25" customHeight="1">
      <c r="A159" s="3621"/>
      <c r="B159" s="5438"/>
      <c r="C159" s="5470"/>
      <c r="D159" s="5471"/>
      <c r="E159" s="5476" t="s">
        <v>556</v>
      </c>
      <c r="F159" s="5477"/>
      <c r="G159" s="5487"/>
      <c r="H159" s="5488" t="str">
        <f>IMAGE("https://raw.githubusercontent.com/msikma/pokesprite/master/misc/types/gen8/fairy.png",4,20,20)</f>
        <v/>
      </c>
      <c r="I159" s="5453"/>
      <c r="J159" s="5476" t="s">
        <v>189</v>
      </c>
      <c r="K159" s="5477"/>
      <c r="L159" s="5487"/>
      <c r="M159" s="5488" t="str">
        <f>IMAGE("https://raw.githubusercontent.com/msikma/pokesprite/master/misc/types/gen8/normal.png",4,20,20)</f>
        <v/>
      </c>
      <c r="N159" s="5453"/>
      <c r="O159" s="5476" t="s">
        <v>402</v>
      </c>
      <c r="P159" s="5477"/>
      <c r="Q159" s="5487"/>
      <c r="R159" s="5488" t="str">
        <f>IMAGE("https://raw.githubusercontent.com/msikma/pokesprite/master/misc/types/gen8/ground.png",4,20,20)</f>
        <v/>
      </c>
      <c r="S159" s="5453"/>
      <c r="T159" s="5476" t="s">
        <v>633</v>
      </c>
      <c r="U159" s="5477"/>
      <c r="V159" s="5487"/>
      <c r="W159" s="5488" t="str">
        <f>IMAGE("https://raw.githubusercontent.com/msikma/pokesprite/master/misc/types/gen8/psychic.png",4,20,20)</f>
        <v/>
      </c>
      <c r="X159" s="5453"/>
      <c r="Y159" s="5476" t="s">
        <v>541</v>
      </c>
      <c r="Z159" s="5477"/>
      <c r="AA159" s="5487"/>
      <c r="AB159" s="5488" t="str">
        <f>IMAGE("https://raw.githubusercontent.com/msikma/pokesprite/master/misc/types/gen8/dark.png",4,20,20)</f>
        <v/>
      </c>
      <c r="AC159" s="5453"/>
      <c r="AD159" s="5476" t="s">
        <v>316</v>
      </c>
      <c r="AE159" s="5477"/>
      <c r="AF159" s="5487"/>
      <c r="AG159" s="5488" t="str">
        <f>IMAGE("https://raw.githubusercontent.com/msikma/pokesprite/master/misc/types/gen8/fighting.png",4,20,20)</f>
        <v/>
      </c>
      <c r="AH159" s="5447"/>
      <c r="AI159" s="3631"/>
    </row>
    <row r="160" ht="21.0" customHeight="1">
      <c r="A160" s="3621"/>
      <c r="B160" s="5438"/>
      <c r="C160" s="5470"/>
      <c r="D160" s="5471"/>
      <c r="E160" s="5489" t="s">
        <v>772</v>
      </c>
      <c r="F160" s="5490"/>
      <c r="G160" s="5491"/>
      <c r="H160" s="5492" t="str">
        <f>IMAGE("https://raw.githubusercontent.com/msikma/pokesprite/master/misc/types/gen8/fighting.png",4,20,20)</f>
        <v/>
      </c>
      <c r="I160" s="5493"/>
      <c r="J160" s="5489" t="s">
        <v>251</v>
      </c>
      <c r="K160" s="5490"/>
      <c r="L160" s="5491"/>
      <c r="M160" s="5492" t="str">
        <f>IMAGE("https://raw.githubusercontent.com/msikma/pokesprite/master/misc/types/gen8/flying.png",4,20,20)</f>
        <v/>
      </c>
      <c r="N160" s="5493"/>
      <c r="O160" s="5489" t="s">
        <v>825</v>
      </c>
      <c r="P160" s="5490"/>
      <c r="Q160" s="5491"/>
      <c r="R160" s="5492" t="str">
        <f>IMAGE("https://raw.githubusercontent.com/msikma/pokesprite/master/misc/types/gen8/fire.png",4,20,20)</f>
        <v/>
      </c>
      <c r="S160" s="5493"/>
      <c r="T160" s="5489" t="s">
        <v>185</v>
      </c>
      <c r="U160" s="5490"/>
      <c r="V160" s="5491"/>
      <c r="W160" s="5492" t="str">
        <f>IMAGE("https://raw.githubusercontent.com/msikma/pokesprite/master/misc/types/gen8/normal.png",4,20,20)</f>
        <v/>
      </c>
      <c r="X160" s="5493"/>
      <c r="Y160" s="5489" t="s">
        <v>218</v>
      </c>
      <c r="Z160" s="5490"/>
      <c r="AA160" s="5491"/>
      <c r="AB160" s="5492" t="str">
        <f>IMAGE("https://raw.githubusercontent.com/msikma/pokesprite/master/misc/types/gen8/poison.png",4,20,20)</f>
        <v/>
      </c>
      <c r="AC160" s="5493"/>
      <c r="AD160" s="5489" t="s">
        <v>278</v>
      </c>
      <c r="AE160" s="5490"/>
      <c r="AF160" s="5491"/>
      <c r="AG160" s="5492" t="str">
        <f>IMAGE("https://raw.githubusercontent.com/msikma/pokesprite/master/misc/types/gen8/bug.png",4,20,20)</f>
        <v/>
      </c>
      <c r="AH160" s="5447"/>
      <c r="AI160" s="3631"/>
    </row>
    <row r="161" ht="3.0" customHeight="1">
      <c r="A161" s="3445"/>
      <c r="B161" s="5494"/>
      <c r="C161" s="5495"/>
      <c r="D161" s="5496"/>
      <c r="E161" s="5497"/>
      <c r="F161" s="5497"/>
      <c r="G161" s="5497"/>
      <c r="H161" s="5497"/>
      <c r="I161" s="5496"/>
      <c r="J161" s="5498"/>
      <c r="K161" s="5498"/>
      <c r="L161" s="5498"/>
      <c r="M161" s="5497"/>
      <c r="N161" s="5496"/>
      <c r="O161" s="5498"/>
      <c r="P161" s="5498"/>
      <c r="Q161" s="5498"/>
      <c r="R161" s="5497"/>
      <c r="S161" s="5496"/>
      <c r="T161" s="5498"/>
      <c r="U161" s="5498"/>
      <c r="V161" s="5498"/>
      <c r="W161" s="5497"/>
      <c r="X161" s="5496"/>
      <c r="Y161" s="5498"/>
      <c r="Z161" s="5498"/>
      <c r="AA161" s="5498"/>
      <c r="AB161" s="5497"/>
      <c r="AC161" s="5496"/>
      <c r="AD161" s="5498"/>
      <c r="AE161" s="5498"/>
      <c r="AF161" s="5498"/>
      <c r="AG161" s="5497"/>
      <c r="AH161" s="5499"/>
      <c r="AI161" s="3456"/>
    </row>
    <row r="162" ht="16.5" customHeight="1">
      <c r="A162" s="3457"/>
      <c r="B162" s="5500"/>
      <c r="C162" s="5495"/>
      <c r="D162" s="5501"/>
      <c r="E162" s="5502" t="s">
        <v>190</v>
      </c>
      <c r="F162" s="381"/>
      <c r="G162" s="382"/>
      <c r="H162" s="5503" t="s">
        <v>191</v>
      </c>
      <c r="I162" s="5504"/>
      <c r="J162" s="5502" t="s">
        <v>190</v>
      </c>
      <c r="K162" s="381"/>
      <c r="L162" s="382"/>
      <c r="M162" s="5503" t="s">
        <v>191</v>
      </c>
      <c r="N162" s="5504"/>
      <c r="O162" s="5502" t="s">
        <v>190</v>
      </c>
      <c r="P162" s="381"/>
      <c r="Q162" s="382"/>
      <c r="R162" s="5503" t="s">
        <v>191</v>
      </c>
      <c r="S162" s="5504"/>
      <c r="T162" s="5502" t="s">
        <v>190</v>
      </c>
      <c r="U162" s="381"/>
      <c r="V162" s="382"/>
      <c r="W162" s="5503" t="s">
        <v>191</v>
      </c>
      <c r="X162" s="5504"/>
      <c r="Y162" s="5502" t="s">
        <v>190</v>
      </c>
      <c r="Z162" s="381"/>
      <c r="AA162" s="382"/>
      <c r="AB162" s="5503" t="s">
        <v>191</v>
      </c>
      <c r="AC162" s="5504"/>
      <c r="AD162" s="5502" t="s">
        <v>190</v>
      </c>
      <c r="AE162" s="381"/>
      <c r="AF162" s="382"/>
      <c r="AG162" s="5503" t="s">
        <v>191</v>
      </c>
      <c r="AH162" s="5505"/>
      <c r="AI162" s="3466"/>
    </row>
    <row r="163" ht="16.5" customHeight="1">
      <c r="A163" s="3457"/>
      <c r="B163" s="5500"/>
      <c r="C163" s="5495"/>
      <c r="D163" s="5501"/>
      <c r="E163" s="5506" t="s">
        <v>192</v>
      </c>
      <c r="F163" s="5507">
        <f t="array" ref="F163">IFERROR(VLOOKUP(E150,Dex!$B$3:$N244,8,FALSE),"")</f>
        <v>100</v>
      </c>
      <c r="G163" s="5508" t="str">
        <f t="array" ref="G163">IFERROR(VLOOKUP(F163,Dex!$P$22:$Q$276,2,FALSE),"")</f>
        <v/>
      </c>
      <c r="H163" s="5509">
        <v>252.0</v>
      </c>
      <c r="I163" s="5510"/>
      <c r="J163" s="5506" t="s">
        <v>192</v>
      </c>
      <c r="K163" s="5507">
        <f t="array" ref="K163">IFERROR(VLOOKUP(J150,Dex!$B$3:$N244,8,FALSE),"")</f>
        <v>75</v>
      </c>
      <c r="L163" s="5508" t="str">
        <f t="array" ref="L163">IFERROR(VLOOKUP(K163,Dex!$P$22:$Q$276,2,FALSE),"")</f>
        <v/>
      </c>
      <c r="M163" s="5509">
        <v>252.0</v>
      </c>
      <c r="N163" s="5510"/>
      <c r="O163" s="5506" t="s">
        <v>192</v>
      </c>
      <c r="P163" s="5507">
        <f t="array" ref="P163">IFERROR(VLOOKUP(O150,Dex!$B$3:$N244,8,FALSE),"")</f>
        <v>90</v>
      </c>
      <c r="Q163" s="5508" t="str">
        <f t="array" ref="Q163">IFERROR(VLOOKUP(P163,Dex!$P$22:$Q$276,2,FALSE),"")</f>
        <v/>
      </c>
      <c r="R163" s="5509">
        <v>6.0</v>
      </c>
      <c r="S163" s="5510"/>
      <c r="T163" s="5506" t="s">
        <v>192</v>
      </c>
      <c r="U163" s="5507">
        <f t="array" ref="U163">IFERROR(VLOOKUP(T150,Dex!$B$3:$N244,8,FALSE),"")</f>
        <v>70</v>
      </c>
      <c r="V163" s="5508" t="str">
        <f t="array" ref="V163">IFERROR(VLOOKUP(U163,Dex!$P$22:$Q$276,2,FALSE),"")</f>
        <v/>
      </c>
      <c r="W163" s="5509">
        <v>252.0</v>
      </c>
      <c r="X163" s="5510"/>
      <c r="Y163" s="5506" t="s">
        <v>192</v>
      </c>
      <c r="Z163" s="5507">
        <f t="array" ref="Z163">IFERROR(VLOOKUP(Y150,Dex!$B$3:$N244,8,FALSE),"")</f>
        <v>100</v>
      </c>
      <c r="AA163" s="5508" t="str">
        <f t="array" ref="AA163">IFERROR(VLOOKUP(Z163,Dex!$P$22:$Q$276,2,FALSE),"")</f>
        <v/>
      </c>
      <c r="AB163" s="5509">
        <v>6.0</v>
      </c>
      <c r="AC163" s="5510"/>
      <c r="AD163" s="5506" t="s">
        <v>192</v>
      </c>
      <c r="AE163" s="5507">
        <f t="array" ref="AE163">IFERROR(VLOOKUP(AD150,Dex!$B$3:$N244,8,FALSE),"")</f>
        <v>100</v>
      </c>
      <c r="AF163" s="5508" t="str">
        <f t="array" ref="AF163">IFERROR(VLOOKUP(AE163,Dex!$P$22:$Q$276,2,FALSE),"")</f>
        <v/>
      </c>
      <c r="AG163" s="5509">
        <v>6.0</v>
      </c>
      <c r="AH163" s="5505"/>
      <c r="AI163" s="3466"/>
    </row>
    <row r="164" ht="16.5" customHeight="1">
      <c r="A164" s="3457"/>
      <c r="B164" s="5500"/>
      <c r="C164" s="5495"/>
      <c r="D164" s="5501"/>
      <c r="E164" s="5511" t="s">
        <v>193</v>
      </c>
      <c r="F164" s="5512">
        <f t="array" ref="F164">IFERROR(VLOOKUP(E150,Dex!$B$3:$N244,9,FALSE),"")</f>
        <v>50</v>
      </c>
      <c r="G164" s="5513" t="str">
        <f t="array" ref="G164">IFERROR(VLOOKUP(F164,Dex!$P$22:$Q$276,2,FALSE),"")</f>
        <v/>
      </c>
      <c r="H164" s="5514">
        <v>252.0</v>
      </c>
      <c r="I164" s="5510"/>
      <c r="J164" s="5511" t="s">
        <v>193</v>
      </c>
      <c r="K164" s="5512">
        <f t="array" ref="K164">IFERROR(VLOOKUP(J150,Dex!$B$3:$N244,9,FALSE),"")</f>
        <v>95</v>
      </c>
      <c r="L164" s="5513" t="str">
        <f t="array" ref="L164">IFERROR(VLOOKUP(K164,Dex!$P$22:$Q$276,2,FALSE),"")</f>
        <v/>
      </c>
      <c r="M164" s="5514">
        <v>252.0</v>
      </c>
      <c r="N164" s="5510"/>
      <c r="O164" s="5511" t="s">
        <v>193</v>
      </c>
      <c r="P164" s="5512">
        <f t="array" ref="P164">IFERROR(VLOOKUP(O150,Dex!$B$3:$N244,9,FALSE),"")</f>
        <v>100</v>
      </c>
      <c r="Q164" s="5513" t="str">
        <f t="array" ref="Q164">IFERROR(VLOOKUP(P164,Dex!$P$22:$Q$276,2,FALSE),"")</f>
        <v/>
      </c>
      <c r="R164" s="5514">
        <v>252.0</v>
      </c>
      <c r="S164" s="5510"/>
      <c r="T164" s="5511" t="s">
        <v>193</v>
      </c>
      <c r="U164" s="5512">
        <f t="array" ref="U164">IFERROR(VLOOKUP(T150,Dex!$B$3:$N244,9,FALSE),"")</f>
        <v>140</v>
      </c>
      <c r="V164" s="5513" t="str">
        <f t="array" ref="V164">IFERROR(VLOOKUP(U164,Dex!$P$22:$Q$276,2,FALSE),"")</f>
        <v/>
      </c>
      <c r="W164" s="5514"/>
      <c r="X164" s="5510"/>
      <c r="Y164" s="5511" t="s">
        <v>193</v>
      </c>
      <c r="Z164" s="5512">
        <f t="array" ref="Z164">IFERROR(VLOOKUP(Y150,Dex!$B$3:$N244,9,FALSE),"")</f>
        <v>130</v>
      </c>
      <c r="AA164" s="5513" t="str">
        <f t="array" ref="AA164">IFERROR(VLOOKUP(Z164,Dex!$P$22:$Q$276,2,FALSE),"")</f>
        <v/>
      </c>
      <c r="AB164" s="5514">
        <v>252.0</v>
      </c>
      <c r="AC164" s="5510"/>
      <c r="AD164" s="5511" t="s">
        <v>193</v>
      </c>
      <c r="AE164" s="5512">
        <f t="array" ref="AE164">IFERROR(VLOOKUP(AD150,Dex!$B$3:$N244,9,FALSE),"")</f>
        <v>130</v>
      </c>
      <c r="AF164" s="5513" t="str">
        <f t="array" ref="AF164">IFERROR(VLOOKUP(AE164,Dex!$P$22:$Q$276,2,FALSE),"")</f>
        <v/>
      </c>
      <c r="AG164" s="5514">
        <v>252.0</v>
      </c>
      <c r="AH164" s="5505"/>
      <c r="AI164" s="3466"/>
    </row>
    <row r="165" ht="16.5" customHeight="1">
      <c r="A165" s="3457"/>
      <c r="B165" s="5500"/>
      <c r="C165" s="5495"/>
      <c r="D165" s="5501"/>
      <c r="E165" s="5511" t="s">
        <v>194</v>
      </c>
      <c r="F165" s="5512">
        <f t="array" ref="F165">IFERROR(VLOOKUP(E150,Dex!$B$3:$N244,10,FALSE),"")</f>
        <v>80</v>
      </c>
      <c r="G165" s="5513" t="str">
        <f t="array" ref="G165">IFERROR(VLOOKUP(F165,Dex!$P$22:$Q$276,2,FALSE),"")</f>
        <v/>
      </c>
      <c r="H165" s="5514"/>
      <c r="I165" s="5510"/>
      <c r="J165" s="5511" t="s">
        <v>194</v>
      </c>
      <c r="K165" s="5512">
        <f t="array" ref="K165">IFERROR(VLOOKUP(J150,Dex!$B$3:$N244,10,FALSE),"")</f>
        <v>125</v>
      </c>
      <c r="L165" s="5513" t="str">
        <f t="array" ref="L165">IFERROR(VLOOKUP(K165,Dex!$P$22:$Q$276,2,FALSE),"")</f>
        <v/>
      </c>
      <c r="M165" s="5514"/>
      <c r="N165" s="5510"/>
      <c r="O165" s="5511" t="s">
        <v>194</v>
      </c>
      <c r="P165" s="5512">
        <f t="array" ref="P165">IFERROR(VLOOKUP(O150,Dex!$B$3:$N244,10,FALSE),"")</f>
        <v>90</v>
      </c>
      <c r="Q165" s="5513" t="str">
        <f t="array" ref="Q165">IFERROR(VLOOKUP(P165,Dex!$P$22:$Q$276,2,FALSE),"")</f>
        <v/>
      </c>
      <c r="R165" s="5514"/>
      <c r="S165" s="5510"/>
      <c r="T165" s="5511" t="s">
        <v>194</v>
      </c>
      <c r="U165" s="5512">
        <f t="array" ref="U165">IFERROR(VLOOKUP(T150,Dex!$B$3:$N244,10,FALSE),"")</f>
        <v>230</v>
      </c>
      <c r="V165" s="5513" t="str">
        <f t="array" ref="V165">IFERROR(VLOOKUP(U165,Dex!$P$22:$Q$276,2,FALSE),"")</f>
        <v/>
      </c>
      <c r="W165" s="5514">
        <v>4.0</v>
      </c>
      <c r="X165" s="5510"/>
      <c r="Y165" s="5511" t="s">
        <v>194</v>
      </c>
      <c r="Z165" s="5512">
        <f t="array" ref="Z165">IFERROR(VLOOKUP(Y150,Dex!$B$3:$N244,10,FALSE),"")</f>
        <v>100</v>
      </c>
      <c r="AA165" s="5513" t="str">
        <f t="array" ref="AA165">IFERROR(VLOOKUP(Z165,Dex!$P$22:$Q$276,2,FALSE),"")</f>
        <v/>
      </c>
      <c r="AB165" s="5514"/>
      <c r="AC165" s="5510"/>
      <c r="AD165" s="5511" t="s">
        <v>194</v>
      </c>
      <c r="AE165" s="5512">
        <f t="array" ref="AE165">IFERROR(VLOOKUP(AD150,Dex!$B$3:$N244,10,FALSE),"")</f>
        <v>100</v>
      </c>
      <c r="AF165" s="5513" t="str">
        <f t="array" ref="AF165">IFERROR(VLOOKUP(AE165,Dex!$P$22:$Q$276,2,FALSE),"")</f>
        <v/>
      </c>
      <c r="AG165" s="5514"/>
      <c r="AH165" s="5505"/>
      <c r="AI165" s="3466"/>
    </row>
    <row r="166" ht="16.5" customHeight="1">
      <c r="A166" s="3457"/>
      <c r="B166" s="5500"/>
      <c r="C166" s="5495"/>
      <c r="D166" s="5501"/>
      <c r="E166" s="5511" t="s">
        <v>195</v>
      </c>
      <c r="F166" s="5512">
        <f t="array" ref="F166">IFERROR(VLOOKUP(E150,Dex!$B$3:$N244,11,FALSE),"")</f>
        <v>60</v>
      </c>
      <c r="G166" s="5513" t="str">
        <f t="array" ref="G166">IFERROR(VLOOKUP(F166,Dex!$P$22:$Q$276,2,FALSE),"")</f>
        <v/>
      </c>
      <c r="H166" s="5514"/>
      <c r="I166" s="5510"/>
      <c r="J166" s="5511" t="s">
        <v>195</v>
      </c>
      <c r="K166" s="5512">
        <f t="array" ref="K166">IFERROR(VLOOKUP(J150,Dex!$B$3:$N244,11,FALSE),"")</f>
        <v>45</v>
      </c>
      <c r="L166" s="5513" t="str">
        <f t="array" ref="L166">IFERROR(VLOOKUP(K166,Dex!$P$22:$Q$276,2,FALSE),"")</f>
        <v/>
      </c>
      <c r="M166" s="5514"/>
      <c r="N166" s="5510"/>
      <c r="O166" s="5511" t="s">
        <v>195</v>
      </c>
      <c r="P166" s="5512">
        <f t="array" ref="P166">IFERROR(VLOOKUP(O150,Dex!$B$3:$N244,11,FALSE),"")</f>
        <v>80</v>
      </c>
      <c r="Q166" s="5513" t="str">
        <f t="array" ref="Q166">IFERROR(VLOOKUP(P166,Dex!$P$22:$Q$276,2,FALSE),"")</f>
        <v/>
      </c>
      <c r="R166" s="5514"/>
      <c r="S166" s="5510"/>
      <c r="T166" s="5511" t="s">
        <v>195</v>
      </c>
      <c r="U166" s="5512">
        <f t="array" ref="U166">IFERROR(VLOOKUP(T150,Dex!$B$3:$N244,11,FALSE),"")</f>
        <v>60</v>
      </c>
      <c r="V166" s="5513" t="str">
        <f t="array" ref="V166">IFERROR(VLOOKUP(U166,Dex!$P$22:$Q$276,2,FALSE),"")</f>
        <v/>
      </c>
      <c r="W166" s="5514"/>
      <c r="X166" s="5510"/>
      <c r="Y166" s="5511" t="s">
        <v>195</v>
      </c>
      <c r="Z166" s="5512">
        <f t="array" ref="Z166">IFERROR(VLOOKUP(Y150,Dex!$B$3:$N244,11,FALSE),"")</f>
        <v>63</v>
      </c>
      <c r="AA166" s="5513" t="str">
        <f t="array" ref="AA166">IFERROR(VLOOKUP(Z166,Dex!$P$22:$Q$276,2,FALSE),"")</f>
        <v/>
      </c>
      <c r="AB166" s="5514"/>
      <c r="AC166" s="5510"/>
      <c r="AD166" s="5511" t="s">
        <v>195</v>
      </c>
      <c r="AE166" s="5512">
        <f t="array" ref="AE166">IFERROR(VLOOKUP(AD150,Dex!$B$3:$N244,11,FALSE),"")</f>
        <v>63</v>
      </c>
      <c r="AF166" s="5513" t="str">
        <f t="array" ref="AF166">IFERROR(VLOOKUP(AE166,Dex!$P$22:$Q$276,2,FALSE),"")</f>
        <v/>
      </c>
      <c r="AG166" s="5514"/>
      <c r="AH166" s="5505"/>
      <c r="AI166" s="3466"/>
    </row>
    <row r="167" ht="16.5" customHeight="1">
      <c r="A167" s="3457"/>
      <c r="B167" s="5500"/>
      <c r="C167" s="5515"/>
      <c r="D167" s="5501"/>
      <c r="E167" s="5511" t="s">
        <v>196</v>
      </c>
      <c r="F167" s="5512">
        <f t="array" ref="F167">IFERROR(VLOOKUP(E150,Dex!$B$3:$N244,12,FALSE),"")</f>
        <v>80</v>
      </c>
      <c r="G167" s="5513" t="str">
        <f t="array" ref="G167">IFERROR(VLOOKUP(F167,Dex!$P$22:$Q$276,2,FALSE),"")</f>
        <v/>
      </c>
      <c r="H167" s="5514"/>
      <c r="I167" s="5510"/>
      <c r="J167" s="5511" t="s">
        <v>196</v>
      </c>
      <c r="K167" s="5512">
        <f t="array" ref="K167">IFERROR(VLOOKUP(J150,Dex!$B$3:$N244,12,FALSE),"")</f>
        <v>75</v>
      </c>
      <c r="L167" s="5513" t="str">
        <f t="array" ref="L167">IFERROR(VLOOKUP(K167,Dex!$P$22:$Q$276,2,FALSE),"")</f>
        <v/>
      </c>
      <c r="M167" s="5514"/>
      <c r="N167" s="5510"/>
      <c r="O167" s="5511" t="s">
        <v>196</v>
      </c>
      <c r="P167" s="5512">
        <f t="array" ref="P167">IFERROR(VLOOKUP(O150,Dex!$B$3:$N244,12,FALSE),"")</f>
        <v>70</v>
      </c>
      <c r="Q167" s="5513" t="str">
        <f t="array" ref="Q167">IFERROR(VLOOKUP(P167,Dex!$P$22:$Q$276,2,FALSE),"")</f>
        <v/>
      </c>
      <c r="R167" s="5514"/>
      <c r="S167" s="5510"/>
      <c r="T167" s="5511" t="s">
        <v>196</v>
      </c>
      <c r="U167" s="5512">
        <f t="array" ref="U167">IFERROR(VLOOKUP(T150,Dex!$B$3:$N244,12,FALSE),"")</f>
        <v>80</v>
      </c>
      <c r="V167" s="5513" t="str">
        <f t="array" ref="V167">IFERROR(VLOOKUP(U167,Dex!$P$22:$Q$276,2,FALSE),"")</f>
        <v/>
      </c>
      <c r="W167" s="5514">
        <v>252.0</v>
      </c>
      <c r="X167" s="5510"/>
      <c r="Y167" s="5511" t="s">
        <v>196</v>
      </c>
      <c r="Z167" s="5512">
        <f t="array" ref="Z167">IFERROR(VLOOKUP(Y150,Dex!$B$3:$N244,12,FALSE),"")</f>
        <v>60</v>
      </c>
      <c r="AA167" s="5513" t="str">
        <f t="array" ref="AA167">IFERROR(VLOOKUP(Z167,Dex!$P$22:$Q$276,2,FALSE),"")</f>
        <v/>
      </c>
      <c r="AB167" s="5514"/>
      <c r="AC167" s="5510"/>
      <c r="AD167" s="5511" t="s">
        <v>196</v>
      </c>
      <c r="AE167" s="5512">
        <f t="array" ref="AE167">IFERROR(VLOOKUP(AD150,Dex!$B$3:$N244,12,FALSE),"")</f>
        <v>60</v>
      </c>
      <c r="AF167" s="5513" t="str">
        <f t="array" ref="AF167">IFERROR(VLOOKUP(AE167,Dex!$P$22:$Q$276,2,FALSE),"")</f>
        <v/>
      </c>
      <c r="AG167" s="5514"/>
      <c r="AH167" s="5505"/>
      <c r="AI167" s="3466"/>
    </row>
    <row r="168" ht="16.5" customHeight="1">
      <c r="A168" s="3457"/>
      <c r="B168" s="5500"/>
      <c r="C168" s="1204" t="s">
        <v>436</v>
      </c>
      <c r="D168" s="5516"/>
      <c r="E168" s="5517" t="s">
        <v>197</v>
      </c>
      <c r="F168" s="5518">
        <f t="array" ref="F168">IFERROR(VLOOKUP(E150,Dex!$B$3:$N244,13,FALSE),"")</f>
        <v>50</v>
      </c>
      <c r="G168" s="5519" t="str">
        <f t="array" ref="G168">IFERROR(VLOOKUP(F168,Dex!$P$22:$Q$276,2,FALSE),"")</f>
        <v/>
      </c>
      <c r="H168" s="5520">
        <v>6.0</v>
      </c>
      <c r="I168" s="5510"/>
      <c r="J168" s="5517" t="s">
        <v>197</v>
      </c>
      <c r="K168" s="5518">
        <f t="array" ref="K168">IFERROR(VLOOKUP(J150,Dex!$B$3:$N244,13,FALSE),"")</f>
        <v>95</v>
      </c>
      <c r="L168" s="5519" t="str">
        <f t="array" ref="L168">IFERROR(VLOOKUP(K168,Dex!$P$22:$Q$276,2,FALSE),"")</f>
        <v/>
      </c>
      <c r="M168" s="5520">
        <v>6.0</v>
      </c>
      <c r="N168" s="5510"/>
      <c r="O168" s="5517" t="s">
        <v>197</v>
      </c>
      <c r="P168" s="5518">
        <f t="array" ref="P168">IFERROR(VLOOKUP(O150,Dex!$B$3:$N244,13,FALSE),"")</f>
        <v>75</v>
      </c>
      <c r="Q168" s="5519" t="str">
        <f t="array" ref="Q168">IFERROR(VLOOKUP(P168,Dex!$P$22:$Q$276,2,FALSE),"")</f>
        <v/>
      </c>
      <c r="R168" s="5520">
        <v>252.0</v>
      </c>
      <c r="S168" s="5510"/>
      <c r="T168" s="5517" t="s">
        <v>197</v>
      </c>
      <c r="U168" s="5518">
        <f t="array" ref="U168">IFERROR(VLOOKUP(T150,Dex!$B$3:$N244,13,FALSE),"")</f>
        <v>50</v>
      </c>
      <c r="V168" s="5519" t="str">
        <f t="array" ref="V168">IFERROR(VLOOKUP(U168,Dex!$P$22:$Q$276,2,FALSE),"")</f>
        <v/>
      </c>
      <c r="W168" s="5520"/>
      <c r="X168" s="5510"/>
      <c r="Y168" s="5517" t="s">
        <v>197</v>
      </c>
      <c r="Z168" s="5518">
        <f t="array" ref="Z168">IFERROR(VLOOKUP(Y150,Dex!$B$3:$N244,13,FALSE),"")</f>
        <v>97</v>
      </c>
      <c r="AA168" s="5519" t="str">
        <f t="array" ref="AA168">IFERROR(VLOOKUP(Z168,Dex!$P$22:$Q$276,2,FALSE),"")</f>
        <v/>
      </c>
      <c r="AB168" s="5520">
        <v>252.0</v>
      </c>
      <c r="AC168" s="5510"/>
      <c r="AD168" s="5517" t="s">
        <v>197</v>
      </c>
      <c r="AE168" s="5518">
        <f t="array" ref="AE168">IFERROR(VLOOKUP(AD150,Dex!$B$3:$N244,13,FALSE),"")</f>
        <v>97</v>
      </c>
      <c r="AF168" s="5519" t="str">
        <f t="array" ref="AF168">IFERROR(VLOOKUP(AE168,Dex!$P$22:$Q$276,2,FALSE),"")</f>
        <v/>
      </c>
      <c r="AG168" s="5520">
        <v>252.0</v>
      </c>
      <c r="AH168" s="5505"/>
      <c r="AI168" s="3466"/>
    </row>
    <row r="169" ht="16.5" customHeight="1">
      <c r="A169" s="3457"/>
      <c r="B169" s="5500"/>
      <c r="C169" s="1205" t="s">
        <v>1381</v>
      </c>
      <c r="D169" s="5516"/>
      <c r="E169" s="5521" t="s">
        <v>198</v>
      </c>
      <c r="F169" s="405"/>
      <c r="G169" s="406"/>
      <c r="H169" s="5522">
        <v>109.0</v>
      </c>
      <c r="I169" s="5504"/>
      <c r="J169" s="5521" t="s">
        <v>198</v>
      </c>
      <c r="K169" s="405"/>
      <c r="L169" s="406"/>
      <c r="M169" s="5522">
        <v>180.0</v>
      </c>
      <c r="N169" s="5504"/>
      <c r="O169" s="5523" t="s">
        <v>198</v>
      </c>
      <c r="P169" s="918"/>
      <c r="Q169" s="919"/>
      <c r="R169" s="5524">
        <v>216.0</v>
      </c>
      <c r="S169" s="5504"/>
      <c r="T169" s="5521" t="s">
        <v>198</v>
      </c>
      <c r="U169" s="405"/>
      <c r="V169" s="406"/>
      <c r="W169" s="5522">
        <v>108.0</v>
      </c>
      <c r="X169" s="5504"/>
      <c r="Y169" s="5521" t="s">
        <v>198</v>
      </c>
      <c r="Z169" s="405"/>
      <c r="AA169" s="406"/>
      <c r="AB169" s="5522">
        <v>255.0</v>
      </c>
      <c r="AC169" s="5504"/>
      <c r="AD169" s="5521" t="s">
        <v>198</v>
      </c>
      <c r="AE169" s="405"/>
      <c r="AF169" s="406"/>
      <c r="AG169" s="5522">
        <v>255.0</v>
      </c>
      <c r="AH169" s="5505"/>
      <c r="AI169" s="3466"/>
    </row>
    <row r="170" ht="16.5" customHeight="1">
      <c r="A170" s="3621"/>
      <c r="B170" s="5500"/>
      <c r="C170" s="5495"/>
      <c r="D170" s="5495"/>
      <c r="E170" s="5495"/>
      <c r="F170" s="5495"/>
      <c r="G170" s="5495"/>
      <c r="H170" s="5495"/>
      <c r="I170" s="5495"/>
      <c r="J170" s="5525"/>
      <c r="K170" s="5525"/>
      <c r="L170" s="5525"/>
      <c r="M170" s="5495"/>
      <c r="N170" s="5495"/>
      <c r="O170" s="5526" t="s">
        <v>348</v>
      </c>
      <c r="P170" s="925"/>
      <c r="Q170" s="926"/>
      <c r="R170" s="5527">
        <v>324.0</v>
      </c>
      <c r="S170" s="5495"/>
      <c r="T170" s="5525"/>
      <c r="U170" s="5525"/>
      <c r="V170" s="5525"/>
      <c r="W170" s="5495"/>
      <c r="X170" s="5495"/>
      <c r="Y170" s="5525"/>
      <c r="Z170" s="5525"/>
      <c r="AA170" s="5525"/>
      <c r="AB170" s="5495"/>
      <c r="AC170" s="5495"/>
      <c r="AD170" s="5525"/>
      <c r="AE170" s="5525"/>
      <c r="AF170" s="5525"/>
      <c r="AG170" s="5495"/>
      <c r="AH170" s="5505"/>
      <c r="AI170" s="3631"/>
    </row>
    <row r="171" ht="11.25" customHeight="1">
      <c r="A171" s="3621"/>
      <c r="B171" s="5500"/>
      <c r="C171" s="5434"/>
      <c r="D171" s="5434"/>
      <c r="E171" s="5434"/>
      <c r="F171" s="5434"/>
      <c r="G171" s="5434"/>
      <c r="H171" s="5434"/>
      <c r="I171" s="5434"/>
      <c r="J171" s="5434"/>
      <c r="K171" s="5434"/>
      <c r="L171" s="5434"/>
      <c r="M171" s="5434"/>
      <c r="N171" s="5434"/>
      <c r="O171" s="5435"/>
      <c r="P171" s="5435"/>
      <c r="Q171" s="5435"/>
      <c r="R171" s="5434"/>
      <c r="S171" s="5434"/>
      <c r="T171" s="5436"/>
      <c r="U171" s="5436"/>
      <c r="V171" s="5436"/>
      <c r="W171" s="5434"/>
      <c r="X171" s="5434"/>
      <c r="Y171" s="5436"/>
      <c r="Z171" s="5436"/>
      <c r="AA171" s="5436"/>
      <c r="AB171" s="5434"/>
      <c r="AC171" s="5434"/>
      <c r="AD171" s="5434"/>
      <c r="AE171" s="5434"/>
      <c r="AF171" s="5434"/>
      <c r="AG171" s="5434"/>
      <c r="AH171" s="5505"/>
      <c r="AI171" s="3631"/>
    </row>
    <row r="172" ht="11.25" customHeight="1">
      <c r="A172" s="3621"/>
      <c r="B172" s="5500"/>
      <c r="C172" s="5439"/>
      <c r="D172" s="5439"/>
      <c r="E172" s="3180" t="s">
        <v>1382</v>
      </c>
      <c r="F172" s="3181"/>
      <c r="G172" s="3181"/>
      <c r="H172" s="3181"/>
      <c r="I172" s="3181"/>
      <c r="J172" s="3181"/>
      <c r="K172" s="3181"/>
      <c r="L172" s="3181"/>
      <c r="M172" s="3181"/>
      <c r="N172" s="3181"/>
      <c r="O172" s="3181"/>
      <c r="P172" s="3181"/>
      <c r="Q172" s="3181"/>
      <c r="R172" s="3181"/>
      <c r="S172" s="3181"/>
      <c r="T172" s="3181"/>
      <c r="U172" s="3181"/>
      <c r="V172" s="3181"/>
      <c r="W172" s="3181"/>
      <c r="X172" s="3181"/>
      <c r="Y172" s="3181"/>
      <c r="Z172" s="3181"/>
      <c r="AA172" s="3181"/>
      <c r="AB172" s="3181"/>
      <c r="AC172" s="3181"/>
      <c r="AD172" s="3181"/>
      <c r="AE172" s="3181"/>
      <c r="AF172" s="3181"/>
      <c r="AG172" s="3182"/>
      <c r="AH172" s="5505"/>
      <c r="AI172" s="3631"/>
    </row>
    <row r="173" ht="11.25" customHeight="1">
      <c r="A173" s="3621"/>
      <c r="B173" s="5500"/>
      <c r="C173" s="5439"/>
      <c r="D173" s="5439"/>
      <c r="E173" s="114"/>
      <c r="F173" s="3185"/>
      <c r="G173" s="3185"/>
      <c r="H173" s="3185"/>
      <c r="I173" s="3185"/>
      <c r="J173" s="3185"/>
      <c r="K173" s="3185"/>
      <c r="L173" s="3185"/>
      <c r="M173" s="3185"/>
      <c r="N173" s="3185"/>
      <c r="O173" s="3185"/>
      <c r="P173" s="3185"/>
      <c r="Q173" s="3185"/>
      <c r="R173" s="3185"/>
      <c r="S173" s="3185"/>
      <c r="T173" s="3185"/>
      <c r="U173" s="3185"/>
      <c r="V173" s="3185"/>
      <c r="W173" s="3185"/>
      <c r="X173" s="3185"/>
      <c r="Y173" s="3185"/>
      <c r="Z173" s="3185"/>
      <c r="AA173" s="3185"/>
      <c r="AB173" s="3185"/>
      <c r="AC173" s="3185"/>
      <c r="AD173" s="3185"/>
      <c r="AE173" s="3185"/>
      <c r="AF173" s="3185"/>
      <c r="AG173" s="3186"/>
      <c r="AH173" s="5505"/>
      <c r="AI173" s="3631"/>
    </row>
    <row r="174" ht="3.75" customHeight="1">
      <c r="A174" s="3621"/>
      <c r="B174" s="5438"/>
      <c r="C174" s="5441"/>
      <c r="D174" s="5439"/>
      <c r="E174" s="5528"/>
      <c r="F174" s="5528"/>
      <c r="G174" s="5528"/>
      <c r="H174" s="5528"/>
      <c r="I174" s="5439"/>
      <c r="J174" s="5528"/>
      <c r="K174" s="5528"/>
      <c r="L174" s="5528"/>
      <c r="M174" s="5528"/>
      <c r="N174" s="5439"/>
      <c r="O174" s="5528"/>
      <c r="P174" s="5528"/>
      <c r="Q174" s="5528"/>
      <c r="R174" s="5528"/>
      <c r="S174" s="5439"/>
      <c r="T174" s="5528"/>
      <c r="U174" s="5528"/>
      <c r="V174" s="5528"/>
      <c r="W174" s="5528"/>
      <c r="X174" s="5439"/>
      <c r="Y174" s="5528"/>
      <c r="Z174" s="5528"/>
      <c r="AA174" s="5528"/>
      <c r="AB174" s="5528"/>
      <c r="AC174" s="5439"/>
      <c r="AD174" s="5528"/>
      <c r="AE174" s="5528"/>
      <c r="AF174" s="5528"/>
      <c r="AG174" s="5528"/>
      <c r="AH174" s="5505"/>
      <c r="AI174" s="3631"/>
    </row>
    <row r="175" ht="96.75" customHeight="1">
      <c r="A175" s="3621"/>
      <c r="B175" s="5442"/>
      <c r="C175" s="5443" t="str">
        <f>IMAGE("https://i.ibb.co/nzhVFm2/Ketchup.png")</f>
        <v/>
      </c>
      <c r="D175" s="5529"/>
      <c r="E175" s="5445" t="str">
        <f t="array" ref="E175">IFERROR(VLOOKUP(E176,Dex!$B$2:$D244,3,FALSE),"")</f>
        <v/>
      </c>
      <c r="F175" s="1830"/>
      <c r="G175" s="1830"/>
      <c r="H175" s="1831"/>
      <c r="I175" s="5530"/>
      <c r="J175" s="5445" t="str">
        <f t="array" ref="J175">IFERROR(VLOOKUP(J176,Dex!$B$2:$D244,3,FALSE),"")</f>
        <v/>
      </c>
      <c r="K175" s="1830"/>
      <c r="L175" s="1830"/>
      <c r="M175" s="1831"/>
      <c r="N175" s="5530"/>
      <c r="O175" s="5445" t="str">
        <f t="array" ref="O175">IFERROR(VLOOKUP(O176,Dex!$B$2:$D244,3,FALSE),"")</f>
        <v/>
      </c>
      <c r="P175" s="1830"/>
      <c r="Q175" s="1830"/>
      <c r="R175" s="1831"/>
      <c r="S175" s="5530"/>
      <c r="T175" s="5445" t="str">
        <f t="array" ref="T175">IFERROR(VLOOKUP(T176,Dex!$B$2:$D244,3,FALSE),"")</f>
        <v/>
      </c>
      <c r="U175" s="1830"/>
      <c r="V175" s="1830"/>
      <c r="W175" s="1831"/>
      <c r="X175" s="5530"/>
      <c r="Y175" s="5445" t="str">
        <f t="array" ref="Y175">IFERROR(VLOOKUP(Y176,Dex!$B$2:$D244,3,FALSE),"")</f>
        <v/>
      </c>
      <c r="Z175" s="1830"/>
      <c r="AA175" s="1830"/>
      <c r="AB175" s="1831"/>
      <c r="AC175" s="5530"/>
      <c r="AD175" s="5445" t="str">
        <f t="array" ref="AD175">IFERROR(VLOOKUP(AD176,Dex!$B$2:$D244,3,FALSE),"")</f>
        <v/>
      </c>
      <c r="AE175" s="1830"/>
      <c r="AF175" s="1830"/>
      <c r="AG175" s="1831"/>
      <c r="AH175" s="5531"/>
      <c r="AI175" s="3631"/>
    </row>
    <row r="176" ht="18.75" customHeight="1">
      <c r="A176" s="3621"/>
      <c r="B176" s="5442"/>
      <c r="C176" s="5448" t="s">
        <v>1383</v>
      </c>
      <c r="D176" s="5449"/>
      <c r="E176" s="5450" t="s">
        <v>615</v>
      </c>
      <c r="F176" s="5451"/>
      <c r="G176" s="5451"/>
      <c r="H176" s="5452"/>
      <c r="J176" s="5450" t="s">
        <v>1130</v>
      </c>
      <c r="K176" s="5451"/>
      <c r="L176" s="5451"/>
      <c r="M176" s="5452"/>
      <c r="O176" s="5450" t="s">
        <v>1384</v>
      </c>
      <c r="P176" s="5451"/>
      <c r="Q176" s="5451"/>
      <c r="R176" s="5452"/>
      <c r="T176" s="5450" t="s">
        <v>1385</v>
      </c>
      <c r="U176" s="5451"/>
      <c r="V176" s="5451"/>
      <c r="W176" s="5452"/>
      <c r="Y176" s="5450" t="s">
        <v>1376</v>
      </c>
      <c r="Z176" s="5451"/>
      <c r="AA176" s="5451"/>
      <c r="AB176" s="5452"/>
      <c r="AD176" s="5450" t="s">
        <v>1377</v>
      </c>
      <c r="AE176" s="5451"/>
      <c r="AF176" s="5451"/>
      <c r="AG176" s="5452"/>
      <c r="AH176" s="5447"/>
      <c r="AI176" s="3631"/>
    </row>
    <row r="177">
      <c r="A177" s="3621"/>
      <c r="B177" s="5442"/>
      <c r="C177" s="1481"/>
      <c r="D177" s="5449"/>
      <c r="E177" s="5454" t="s">
        <v>420</v>
      </c>
      <c r="F177" s="5455"/>
      <c r="G177" s="5455"/>
      <c r="H177" s="5456"/>
      <c r="J177" s="5454" t="s">
        <v>420</v>
      </c>
      <c r="K177" s="5455"/>
      <c r="L177" s="5455"/>
      <c r="M177" s="5456"/>
      <c r="O177" s="5454" t="s">
        <v>420</v>
      </c>
      <c r="P177" s="5455"/>
      <c r="Q177" s="5455"/>
      <c r="R177" s="5456"/>
      <c r="T177" s="5454" t="s">
        <v>420</v>
      </c>
      <c r="U177" s="5455"/>
      <c r="V177" s="5455"/>
      <c r="W177" s="5456"/>
      <c r="Y177" s="5454" t="s">
        <v>420</v>
      </c>
      <c r="Z177" s="5455"/>
      <c r="AA177" s="5455"/>
      <c r="AB177" s="5456"/>
      <c r="AD177" s="5454" t="s">
        <v>420</v>
      </c>
      <c r="AE177" s="5455"/>
      <c r="AF177" s="5455"/>
      <c r="AG177" s="5456"/>
      <c r="AH177" s="5447"/>
      <c r="AI177" s="3631"/>
    </row>
    <row r="178" ht="25.5" customHeight="1">
      <c r="A178" s="3621"/>
      <c r="B178" s="5442"/>
      <c r="C178" s="1489"/>
      <c r="D178" s="5457"/>
      <c r="E178" s="5458"/>
      <c r="F178" s="5459" t="str">
        <f t="array" ref="F178">IFERROR(VLOOKUP(E176,Dex!$B$3:$H244,5,FALSE),"")</f>
        <v/>
      </c>
      <c r="G178" s="5460" t="str">
        <f t="array" ref="G178">IFERROR(VLOOKUP(E176,Dex!$B$3:$H244,7,FALSE),"")</f>
        <v/>
      </c>
      <c r="H178" s="5461"/>
      <c r="J178" s="5458"/>
      <c r="K178" s="5459" t="str">
        <f t="array" ref="K178">IFERROR(VLOOKUP(J176,Dex!$B$3:$H244,5,FALSE),"")</f>
        <v/>
      </c>
      <c r="L178" s="5460" t="str">
        <f t="array" ref="L178">IFERROR(VLOOKUP(J176,Dex!$B$3:$H244,7,FALSE),"")</f>
        <v/>
      </c>
      <c r="M178" s="5461"/>
      <c r="O178" s="5458"/>
      <c r="P178" s="5459" t="str">
        <f t="array" ref="P178">IFERROR(VLOOKUP(O176,Dex!$B$3:$H244,5,FALSE),"")</f>
        <v/>
      </c>
      <c r="Q178" s="5460" t="str">
        <f t="array" ref="Q178">IFERROR(VLOOKUP(O176,Dex!$B$3:$H244,7,FALSE),"")</f>
        <v/>
      </c>
      <c r="R178" s="5461"/>
      <c r="T178" s="5458"/>
      <c r="U178" s="5459" t="str">
        <f t="array" ref="U178">IFERROR(VLOOKUP(T176,Dex!$B$3:$H244,5,FALSE),"")</f>
        <v/>
      </c>
      <c r="V178" s="5460" t="str">
        <f t="array" ref="V178">IFERROR(VLOOKUP(T176,Dex!$B$3:$H244,7,FALSE),"")</f>
        <v/>
      </c>
      <c r="W178" s="5461"/>
      <c r="Y178" s="5458"/>
      <c r="Z178" s="5459" t="str">
        <f t="array" ref="Z178">IFERROR(VLOOKUP(Y176,Dex!$B$3:$H244,5,FALSE),"")</f>
        <v/>
      </c>
      <c r="AA178" s="5460" t="str">
        <f t="array" ref="AA178">IFERROR(VLOOKUP(Y176,Dex!$B$3:$H244,7,FALSE),"")</f>
        <v/>
      </c>
      <c r="AB178" s="5461"/>
      <c r="AD178" s="5458"/>
      <c r="AE178" s="5459" t="str">
        <f t="array" ref="AE178">IFERROR(VLOOKUP(AD176,Dex!$B$3:$H244,5,FALSE),"")</f>
        <v/>
      </c>
      <c r="AF178" s="5460" t="str">
        <f t="array" ref="AF178">IFERROR(VLOOKUP(AD176,Dex!$B$3:$H244,7,FALSE),"")</f>
        <v/>
      </c>
      <c r="AG178" s="5461"/>
      <c r="AH178" s="5464"/>
      <c r="AI178" s="3631"/>
    </row>
    <row r="179" ht="2.25" customHeight="1">
      <c r="A179" s="3621"/>
      <c r="B179" s="5438"/>
      <c r="C179" s="5465"/>
      <c r="D179" s="5466"/>
      <c r="E179" s="5467"/>
      <c r="F179" s="5468"/>
      <c r="G179" s="5468"/>
      <c r="H179" s="5469"/>
      <c r="J179" s="5467"/>
      <c r="K179" s="5468"/>
      <c r="L179" s="5468"/>
      <c r="M179" s="5469"/>
      <c r="O179" s="5467"/>
      <c r="P179" s="5468"/>
      <c r="Q179" s="5468"/>
      <c r="R179" s="5469"/>
      <c r="T179" s="5467"/>
      <c r="U179" s="5468"/>
      <c r="V179" s="5468"/>
      <c r="W179" s="5469"/>
      <c r="Y179" s="5467"/>
      <c r="Z179" s="5468"/>
      <c r="AA179" s="5468"/>
      <c r="AB179" s="5469"/>
      <c r="AD179" s="5467"/>
      <c r="AE179" s="5468"/>
      <c r="AF179" s="5468"/>
      <c r="AG179" s="5469"/>
      <c r="AH179" s="5464"/>
      <c r="AI179" s="3631"/>
    </row>
    <row r="180" ht="20.25" customHeight="1">
      <c r="A180" s="3621"/>
      <c r="B180" s="5438"/>
      <c r="C180" s="5470"/>
      <c r="D180" s="5471"/>
      <c r="E180" s="5472" t="s">
        <v>172</v>
      </c>
      <c r="F180" s="5473"/>
      <c r="G180" s="5473"/>
      <c r="H180" s="5474"/>
      <c r="J180" s="5472" t="s">
        <v>205</v>
      </c>
      <c r="K180" s="5473"/>
      <c r="L180" s="5473"/>
      <c r="M180" s="5474"/>
      <c r="O180" s="5472" t="s">
        <v>263</v>
      </c>
      <c r="P180" s="5473"/>
      <c r="Q180" s="5473"/>
      <c r="R180" s="5474"/>
      <c r="T180" s="5472" t="s">
        <v>169</v>
      </c>
      <c r="U180" s="5473"/>
      <c r="V180" s="5473"/>
      <c r="W180" s="5474"/>
      <c r="Y180" s="5472" t="s">
        <v>172</v>
      </c>
      <c r="Z180" s="5473"/>
      <c r="AA180" s="5473"/>
      <c r="AB180" s="5474"/>
      <c r="AD180" s="5472" t="s">
        <v>172</v>
      </c>
      <c r="AE180" s="5473"/>
      <c r="AF180" s="5473"/>
      <c r="AG180" s="5474"/>
      <c r="AH180" s="5447"/>
      <c r="AI180" s="3631"/>
    </row>
    <row r="181">
      <c r="A181" s="3621"/>
      <c r="B181" s="5438"/>
      <c r="C181" s="5475"/>
      <c r="D181" s="5471"/>
      <c r="E181" s="5476" t="s">
        <v>621</v>
      </c>
      <c r="F181" s="5477"/>
      <c r="G181" s="5477"/>
      <c r="H181" s="5478"/>
      <c r="J181" s="5476" t="s">
        <v>1133</v>
      </c>
      <c r="K181" s="5477"/>
      <c r="L181" s="5477"/>
      <c r="M181" s="5478"/>
      <c r="O181" s="5476" t="s">
        <v>1386</v>
      </c>
      <c r="P181" s="5477"/>
      <c r="Q181" s="5477"/>
      <c r="R181" s="5478"/>
      <c r="T181" s="5476" t="s">
        <v>265</v>
      </c>
      <c r="U181" s="5477"/>
      <c r="V181" s="5477"/>
      <c r="W181" s="5478"/>
      <c r="Y181" s="5476" t="s">
        <v>1379</v>
      </c>
      <c r="Z181" s="5477"/>
      <c r="AA181" s="5477"/>
      <c r="AB181" s="5478"/>
      <c r="AD181" s="5476" t="s">
        <v>1379</v>
      </c>
      <c r="AE181" s="5477"/>
      <c r="AF181" s="5477"/>
      <c r="AG181" s="5478"/>
      <c r="AH181" s="5447"/>
      <c r="AI181" s="3631"/>
    </row>
    <row r="182" ht="20.25" customHeight="1">
      <c r="A182" s="3621"/>
      <c r="B182" s="5438"/>
      <c r="C182" s="5479"/>
      <c r="D182" s="5471"/>
      <c r="E182" s="5480" t="s">
        <v>240</v>
      </c>
      <c r="F182" s="5481"/>
      <c r="G182" s="5482"/>
      <c r="H182" s="5483" t="str">
        <f>IMAGE("https://raw.githubusercontent.com/msikma/pokesprite/master/items/hold-item/focus-sash.png",3)</f>
        <v/>
      </c>
      <c r="J182" s="5480" t="s">
        <v>334</v>
      </c>
      <c r="K182" s="5481"/>
      <c r="L182" s="5482"/>
      <c r="M182" s="5483" t="str">
        <f>IMAGE("https://raw.githubusercontent.com/msikma/pokesprite/master/items/hold-item/choice-specs.png",3)</f>
        <v/>
      </c>
      <c r="O182" s="5480" t="s">
        <v>1387</v>
      </c>
      <c r="P182" s="5481"/>
      <c r="Q182" s="5482"/>
      <c r="R182" s="5483" t="str">
        <f>IMAGE("https://raw.githubusercontent.com/msikma/pokesprite/master/items/mega-stone/ampharosite.png",3)</f>
        <v/>
      </c>
      <c r="T182" s="5480" t="s">
        <v>473</v>
      </c>
      <c r="U182" s="5481"/>
      <c r="V182" s="5482"/>
      <c r="W182" s="5483" t="str">
        <f>IMAGE("https://raw.githubusercontent.com/msikma/pokesprite/master/items/hold-item/assault-vest.png",3)</f>
        <v/>
      </c>
      <c r="Y182" s="5480" t="s">
        <v>335</v>
      </c>
      <c r="Z182" s="5481"/>
      <c r="AA182" s="5482"/>
      <c r="AB182" s="5483" t="str">
        <f>IMAGE("https://raw.githubusercontent.com/msikma/pokesprite/master/items/hold-item/choice-scarf.png",3)</f>
        <v/>
      </c>
      <c r="AD182" s="5480" t="s">
        <v>766</v>
      </c>
      <c r="AE182" s="5481"/>
      <c r="AF182" s="5482"/>
      <c r="AG182" s="5483" t="str">
        <f>IMAGE("https://raw.githubusercontent.com/msikma/pokesprite/master/items/hold-item/choice-band.png",3)</f>
        <v/>
      </c>
      <c r="AH182" s="5464"/>
      <c r="AI182" s="3631"/>
    </row>
    <row r="183" ht="20.25" customHeight="1">
      <c r="A183" s="3621"/>
      <c r="B183" s="5438"/>
      <c r="C183" s="5484"/>
      <c r="D183" s="5471"/>
      <c r="E183" s="5472" t="s">
        <v>428</v>
      </c>
      <c r="F183" s="5473"/>
      <c r="G183" s="5485"/>
      <c r="H183" s="5486" t="str">
        <f>IMAGE("https://raw.githubusercontent.com/msikma/pokesprite/master/misc/types/gen8/normal.png",4,20,20)</f>
        <v/>
      </c>
      <c r="J183" s="5472" t="s">
        <v>372</v>
      </c>
      <c r="K183" s="5473"/>
      <c r="L183" s="5485"/>
      <c r="M183" s="5486" t="str">
        <f>IMAGE("https://raw.githubusercontent.com/msikma/pokesprite/master/misc/types/gen8/fire.png",4,20,20)</f>
        <v/>
      </c>
      <c r="O183" s="5472" t="s">
        <v>243</v>
      </c>
      <c r="P183" s="5473"/>
      <c r="Q183" s="5485"/>
      <c r="R183" s="5486" t="str">
        <f>IMAGE("https://raw.githubusercontent.com/msikma/pokesprite/master/misc/types/gen8/electric.png",4,20,20)</f>
        <v/>
      </c>
      <c r="T183" s="5472" t="s">
        <v>940</v>
      </c>
      <c r="U183" s="5473"/>
      <c r="V183" s="5485"/>
      <c r="W183" s="5486" t="str">
        <f t="shared" ref="W183:W184" si="7">IMAGE("https://raw.githubusercontent.com/msikma/pokesprite/master/misc/types/gen8/grass.png",4,20,20)</f>
        <v/>
      </c>
      <c r="Y183" s="5472" t="s">
        <v>339</v>
      </c>
      <c r="Z183" s="5473"/>
      <c r="AA183" s="5485"/>
      <c r="AB183" s="5486" t="str">
        <f>IMAGE("https://raw.githubusercontent.com/msikma/pokesprite/master/misc/types/gen8/dark.png",4,20,20)</f>
        <v/>
      </c>
      <c r="AD183" s="5472" t="s">
        <v>1380</v>
      </c>
      <c r="AE183" s="5473"/>
      <c r="AF183" s="5485"/>
      <c r="AG183" s="5486" t="str">
        <f t="shared" ref="AG183:AG184" si="8">IMAGE("https://raw.githubusercontent.com/msikma/pokesprite/master/misc/types/gen8/water.png",4,20,20)</f>
        <v/>
      </c>
      <c r="AH183" s="5447"/>
      <c r="AI183" s="3631"/>
    </row>
    <row r="184" ht="20.25" customHeight="1">
      <c r="A184" s="3621"/>
      <c r="B184" s="5438"/>
      <c r="C184" s="5470"/>
      <c r="D184" s="5471"/>
      <c r="E184" s="5476" t="s">
        <v>632</v>
      </c>
      <c r="F184" s="5477"/>
      <c r="G184" s="5487"/>
      <c r="H184" s="5488" t="str">
        <f>IMAGE("https://raw.githubusercontent.com/msikma/pokesprite/master/misc/types/gen8/ice.png",4,20,20)</f>
        <v/>
      </c>
      <c r="J184" s="5476" t="s">
        <v>318</v>
      </c>
      <c r="K184" s="5477"/>
      <c r="L184" s="5487"/>
      <c r="M184" s="5488" t="str">
        <f>IMAGE("https://raw.githubusercontent.com/msikma/pokesprite/master/misc/types/gen8/ghost.png",4,20,20)</f>
        <v/>
      </c>
      <c r="O184" s="5476" t="s">
        <v>380</v>
      </c>
      <c r="P184" s="5477"/>
      <c r="Q184" s="5487"/>
      <c r="R184" s="5488" t="str">
        <f>IMAGE("https://raw.githubusercontent.com/msikma/pokesprite/master/misc/types/gen8/dragon.png",4,20,20)</f>
        <v/>
      </c>
      <c r="T184" s="5476" t="s">
        <v>373</v>
      </c>
      <c r="U184" s="5477"/>
      <c r="V184" s="5487"/>
      <c r="W184" s="5488" t="str">
        <f t="shared" si="7"/>
        <v/>
      </c>
      <c r="Y184" s="5476" t="s">
        <v>316</v>
      </c>
      <c r="Z184" s="5477"/>
      <c r="AA184" s="5487"/>
      <c r="AB184" s="5488" t="str">
        <f>IMAGE("https://raw.githubusercontent.com/msikma/pokesprite/master/misc/types/gen8/fighting.png",4,20,20)</f>
        <v/>
      </c>
      <c r="AD184" s="5476" t="s">
        <v>735</v>
      </c>
      <c r="AE184" s="5477"/>
      <c r="AF184" s="5487"/>
      <c r="AG184" s="5488" t="str">
        <f t="shared" si="8"/>
        <v/>
      </c>
      <c r="AH184" s="5447"/>
      <c r="AI184" s="3631"/>
    </row>
    <row r="185" ht="20.25" customHeight="1">
      <c r="A185" s="3621"/>
      <c r="B185" s="5438"/>
      <c r="C185" s="5470"/>
      <c r="D185" s="5471"/>
      <c r="E185" s="5476" t="s">
        <v>346</v>
      </c>
      <c r="F185" s="5477"/>
      <c r="G185" s="5487"/>
      <c r="H185" s="5488" t="str">
        <f>IMAGE("https://raw.githubusercontent.com/msikma/pokesprite/master/misc/types/gen8/water.png",4,20,20)</f>
        <v/>
      </c>
      <c r="J185" s="5476" t="s">
        <v>377</v>
      </c>
      <c r="K185" s="5477"/>
      <c r="L185" s="5487"/>
      <c r="M185" s="5488" t="str">
        <f>IMAGE("https://raw.githubusercontent.com/msikma/pokesprite/master/misc/types/gen8/grass.png",4,20,20)</f>
        <v/>
      </c>
      <c r="O185" s="5476" t="s">
        <v>344</v>
      </c>
      <c r="P185" s="5477"/>
      <c r="Q185" s="5487"/>
      <c r="R185" s="5488" t="str">
        <f>IMAGE("https://raw.githubusercontent.com/msikma/pokesprite/master/misc/types/gen8/fighting.png",4,20,20)</f>
        <v/>
      </c>
      <c r="T185" s="5476" t="s">
        <v>316</v>
      </c>
      <c r="U185" s="5477"/>
      <c r="V185" s="5487"/>
      <c r="W185" s="5488" t="str">
        <f>IMAGE("https://raw.githubusercontent.com/msikma/pokesprite/master/misc/types/gen8/fighting.png",4,20,20)</f>
        <v/>
      </c>
      <c r="Y185" s="5476" t="s">
        <v>278</v>
      </c>
      <c r="Z185" s="5477"/>
      <c r="AA185" s="5487"/>
      <c r="AB185" s="5488" t="str">
        <f>IMAGE("https://raw.githubusercontent.com/msikma/pokesprite/master/misc/types/gen8/bug.png",4,20,20)</f>
        <v/>
      </c>
      <c r="AD185" s="5476" t="s">
        <v>316</v>
      </c>
      <c r="AE185" s="5477"/>
      <c r="AF185" s="5487"/>
      <c r="AG185" s="5488" t="str">
        <f>IMAGE("https://raw.githubusercontent.com/msikma/pokesprite/master/misc/types/gen8/fighting.png",4,20,20)</f>
        <v/>
      </c>
      <c r="AH185" s="5447"/>
      <c r="AI185" s="3631"/>
    </row>
    <row r="186" ht="21.0" customHeight="1">
      <c r="A186" s="3621"/>
      <c r="B186" s="5438"/>
      <c r="C186" s="5470"/>
      <c r="D186" s="5471"/>
      <c r="E186" s="5489" t="s">
        <v>288</v>
      </c>
      <c r="F186" s="5490"/>
      <c r="G186" s="5491"/>
      <c r="H186" s="5492" t="str">
        <f>IMAGE("https://raw.githubusercontent.com/msikma/pokesprite/master/misc/types/gen8/normal.png",4,20,20)</f>
        <v/>
      </c>
      <c r="I186" s="5532"/>
      <c r="J186" s="5489" t="s">
        <v>561</v>
      </c>
      <c r="K186" s="5490"/>
      <c r="L186" s="5491"/>
      <c r="M186" s="5492" t="str">
        <f>IMAGE("https://raw.githubusercontent.com/msikma/pokesprite/master/misc/types/gen8/psychic.png",4,20,20)</f>
        <v/>
      </c>
      <c r="N186" s="5532"/>
      <c r="O186" s="5489" t="s">
        <v>242</v>
      </c>
      <c r="P186" s="5490"/>
      <c r="Q186" s="5491"/>
      <c r="R186" s="5492" t="str">
        <f>IMAGE("https://raw.githubusercontent.com/msikma/pokesprite/master/misc/types/gen8/electric.png",4,20,20)</f>
        <v/>
      </c>
      <c r="S186" s="5532"/>
      <c r="T186" s="5489" t="s">
        <v>556</v>
      </c>
      <c r="U186" s="5490"/>
      <c r="V186" s="5491"/>
      <c r="W186" s="5492" t="str">
        <f>IMAGE("https://raw.githubusercontent.com/msikma/pokesprite/master/misc/types/gen8/fairy.png",4,20,20)</f>
        <v/>
      </c>
      <c r="X186" s="5532"/>
      <c r="Y186" s="5489" t="s">
        <v>218</v>
      </c>
      <c r="Z186" s="5490"/>
      <c r="AA186" s="5491"/>
      <c r="AB186" s="5492" t="str">
        <f>IMAGE("https://raw.githubusercontent.com/msikma/pokesprite/master/misc/types/gen8/poison.png",4,20,20)</f>
        <v/>
      </c>
      <c r="AC186" s="5532"/>
      <c r="AD186" s="5489" t="s">
        <v>249</v>
      </c>
      <c r="AE186" s="5490"/>
      <c r="AF186" s="5491"/>
      <c r="AG186" s="5492" t="str">
        <f>IMAGE("https://raw.githubusercontent.com/msikma/pokesprite/master/misc/types/gen8/electric.png",4,20,20)</f>
        <v/>
      </c>
      <c r="AH186" s="5447"/>
      <c r="AI186" s="3631"/>
    </row>
    <row r="187" ht="3.0" customHeight="1">
      <c r="A187" s="3445"/>
      <c r="B187" s="5494"/>
      <c r="C187" s="5495"/>
      <c r="D187" s="5496"/>
      <c r="E187" s="5533"/>
      <c r="F187" s="5533"/>
      <c r="G187" s="5533"/>
      <c r="H187" s="5497"/>
      <c r="I187" s="5496"/>
      <c r="J187" s="5533"/>
      <c r="K187" s="5533"/>
      <c r="L187" s="5533"/>
      <c r="M187" s="5497"/>
      <c r="N187" s="5496"/>
      <c r="O187" s="5533"/>
      <c r="P187" s="5533"/>
      <c r="Q187" s="5533"/>
      <c r="R187" s="5497"/>
      <c r="S187" s="5496"/>
      <c r="T187" s="5533"/>
      <c r="U187" s="5533"/>
      <c r="V187" s="5533"/>
      <c r="W187" s="5497"/>
      <c r="X187" s="5496"/>
      <c r="Y187" s="5533"/>
      <c r="Z187" s="5533"/>
      <c r="AA187" s="5533"/>
      <c r="AB187" s="5497"/>
      <c r="AC187" s="5496"/>
      <c r="AD187" s="5533"/>
      <c r="AE187" s="5533"/>
      <c r="AF187" s="5533"/>
      <c r="AG187" s="5497"/>
      <c r="AH187" s="5499"/>
      <c r="AI187" s="3456"/>
    </row>
    <row r="188" ht="16.5" customHeight="1">
      <c r="A188" s="3457"/>
      <c r="B188" s="5500"/>
      <c r="C188" s="5495"/>
      <c r="D188" s="5534"/>
      <c r="E188" s="5502" t="s">
        <v>190</v>
      </c>
      <c r="F188" s="381"/>
      <c r="G188" s="382"/>
      <c r="H188" s="5503" t="s">
        <v>191</v>
      </c>
      <c r="I188" s="5504"/>
      <c r="J188" s="5502" t="s">
        <v>190</v>
      </c>
      <c r="K188" s="381"/>
      <c r="L188" s="382"/>
      <c r="M188" s="5503" t="s">
        <v>191</v>
      </c>
      <c r="N188" s="5504"/>
      <c r="O188" s="5502" t="s">
        <v>190</v>
      </c>
      <c r="P188" s="381"/>
      <c r="Q188" s="382"/>
      <c r="R188" s="5503" t="s">
        <v>191</v>
      </c>
      <c r="S188" s="5504"/>
      <c r="T188" s="5502" t="s">
        <v>190</v>
      </c>
      <c r="U188" s="381"/>
      <c r="V188" s="382"/>
      <c r="W188" s="5503" t="s">
        <v>191</v>
      </c>
      <c r="X188" s="5504"/>
      <c r="Y188" s="5502" t="s">
        <v>190</v>
      </c>
      <c r="Z188" s="381"/>
      <c r="AA188" s="382"/>
      <c r="AB188" s="5503" t="s">
        <v>191</v>
      </c>
      <c r="AC188" s="5504"/>
      <c r="AD188" s="5502" t="s">
        <v>190</v>
      </c>
      <c r="AE188" s="381"/>
      <c r="AF188" s="382"/>
      <c r="AG188" s="5503" t="s">
        <v>191</v>
      </c>
      <c r="AH188" s="5505"/>
      <c r="AI188" s="3466"/>
    </row>
    <row r="189" ht="16.5" customHeight="1">
      <c r="A189" s="3457"/>
      <c r="B189" s="5500"/>
      <c r="C189" s="5495"/>
      <c r="D189" s="5501"/>
      <c r="E189" s="5506" t="s">
        <v>192</v>
      </c>
      <c r="F189" s="5507">
        <f t="array" ref="F189">IFERROR(VLOOKUP(E176,Dex!$B$3:$N244,8,FALSE),"")</f>
        <v>50</v>
      </c>
      <c r="G189" s="5508" t="str">
        <f t="array" ref="G189">IFERROR(VLOOKUP(F189,Dex!$P$22:$Q$276,2,FALSE),"")</f>
        <v/>
      </c>
      <c r="H189" s="5509">
        <v>6.0</v>
      </c>
      <c r="I189" s="5510"/>
      <c r="J189" s="5506" t="s">
        <v>192</v>
      </c>
      <c r="K189" s="5507">
        <f t="array" ref="K189">IFERROR(VLOOKUP(J176,Dex!$B$3:$N244,8,FALSE),"")</f>
        <v>60</v>
      </c>
      <c r="L189" s="5508" t="str">
        <f t="array" ref="L189">IFERROR(VLOOKUP(K189,Dex!$P$22:$Q$276,2,FALSE),"")</f>
        <v/>
      </c>
      <c r="M189" s="5509">
        <v>6.0</v>
      </c>
      <c r="N189" s="5510"/>
      <c r="O189" s="5506" t="s">
        <v>192</v>
      </c>
      <c r="P189" s="5507">
        <f t="array" ref="P189">IFERROR(VLOOKUP(O176,Dex!$B$3:$N244,8,FALSE),"")</f>
        <v>90</v>
      </c>
      <c r="Q189" s="5508" t="str">
        <f t="array" ref="Q189">IFERROR(VLOOKUP(P189,Dex!$P$22:$Q$276,2,FALSE),"")</f>
        <v/>
      </c>
      <c r="R189" s="5509">
        <v>252.0</v>
      </c>
      <c r="S189" s="5510"/>
      <c r="T189" s="5506" t="s">
        <v>192</v>
      </c>
      <c r="U189" s="5507">
        <f t="array" ref="U189">IFERROR(VLOOKUP(T176,Dex!$B$3:$N244,8,FALSE),"")</f>
        <v>70</v>
      </c>
      <c r="V189" s="5508" t="str">
        <f t="array" ref="V189">IFERROR(VLOOKUP(U189,Dex!$P$22:$Q$276,2,FALSE),"")</f>
        <v/>
      </c>
      <c r="W189" s="5509">
        <v>252.0</v>
      </c>
      <c r="X189" s="5510"/>
      <c r="Y189" s="5506" t="s">
        <v>192</v>
      </c>
      <c r="Z189" s="5507">
        <f t="array" ref="Z189">IFERROR(VLOOKUP(Y176,Dex!$B$3:$N244,8,FALSE),"")</f>
        <v>100</v>
      </c>
      <c r="AA189" s="5508" t="str">
        <f t="array" ref="AA189">IFERROR(VLOOKUP(Z189,Dex!$P$22:$Q$276,2,FALSE),"")</f>
        <v/>
      </c>
      <c r="AB189" s="5509">
        <v>6.0</v>
      </c>
      <c r="AC189" s="5510"/>
      <c r="AD189" s="5506" t="s">
        <v>192</v>
      </c>
      <c r="AE189" s="5507">
        <f t="array" ref="AE189">IFERROR(VLOOKUP(AD176,Dex!$B$3:$N244,8,FALSE),"")</f>
        <v>100</v>
      </c>
      <c r="AF189" s="5508" t="str">
        <f t="array" ref="AF189">IFERROR(VLOOKUP(AE189,Dex!$P$22:$Q$276,2,FALSE),"")</f>
        <v/>
      </c>
      <c r="AG189" s="5509">
        <v>6.0</v>
      </c>
      <c r="AH189" s="5505"/>
      <c r="AI189" s="3466"/>
    </row>
    <row r="190" ht="16.5" customHeight="1">
      <c r="A190" s="3457"/>
      <c r="B190" s="5500"/>
      <c r="C190" s="5495"/>
      <c r="D190" s="5501"/>
      <c r="E190" s="5511" t="s">
        <v>193</v>
      </c>
      <c r="F190" s="5512">
        <f t="array" ref="F190">IFERROR(VLOOKUP(E176,Dex!$B$3:$N244,9,FALSE),"")</f>
        <v>95</v>
      </c>
      <c r="G190" s="5513" t="str">
        <f t="array" ref="G190">IFERROR(VLOOKUP(F190,Dex!$P$22:$Q$276,2,FALSE),"")</f>
        <v/>
      </c>
      <c r="H190" s="5514">
        <v>252.0</v>
      </c>
      <c r="I190" s="5510"/>
      <c r="J190" s="5511" t="s">
        <v>193</v>
      </c>
      <c r="K190" s="5512">
        <f t="array" ref="K190">IFERROR(VLOOKUP(J176,Dex!$B$3:$N244,9,FALSE),"")</f>
        <v>55</v>
      </c>
      <c r="L190" s="5513" t="str">
        <f t="array" ref="L190">IFERROR(VLOOKUP(K190,Dex!$P$22:$Q$276,2,FALSE),"")</f>
        <v/>
      </c>
      <c r="M190" s="5514"/>
      <c r="N190" s="5510"/>
      <c r="O190" s="5511" t="s">
        <v>193</v>
      </c>
      <c r="P190" s="5512">
        <f t="array" ref="P190">IFERROR(VLOOKUP(O176,Dex!$B$3:$N244,9,FALSE),"")</f>
        <v>95</v>
      </c>
      <c r="Q190" s="5513" t="str">
        <f t="array" ref="Q190">IFERROR(VLOOKUP(P190,Dex!$P$22:$Q$276,2,FALSE),"")</f>
        <v/>
      </c>
      <c r="R190" s="5514"/>
      <c r="S190" s="5510"/>
      <c r="T190" s="5511" t="s">
        <v>193</v>
      </c>
      <c r="U190" s="5512">
        <f t="array" ref="U190">IFERROR(VLOOKUP(T176,Dex!$B$3:$N244,9,FALSE),"")</f>
        <v>130</v>
      </c>
      <c r="V190" s="5513" t="str">
        <f t="array" ref="V190">IFERROR(VLOOKUP(U190,Dex!$P$22:$Q$276,2,FALSE),"")</f>
        <v/>
      </c>
      <c r="W190" s="5514">
        <v>252.0</v>
      </c>
      <c r="X190" s="5510"/>
      <c r="Y190" s="5511" t="s">
        <v>193</v>
      </c>
      <c r="Z190" s="5512">
        <f t="array" ref="Z190">IFERROR(VLOOKUP(Y176,Dex!$B$3:$N244,9,FALSE),"")</f>
        <v>130</v>
      </c>
      <c r="AA190" s="5513" t="str">
        <f t="array" ref="AA190">IFERROR(VLOOKUP(Z190,Dex!$P$22:$Q$276,2,FALSE),"")</f>
        <v/>
      </c>
      <c r="AB190" s="5514">
        <v>252.0</v>
      </c>
      <c r="AC190" s="5510"/>
      <c r="AD190" s="5511" t="s">
        <v>193</v>
      </c>
      <c r="AE190" s="5512">
        <f t="array" ref="AE190">IFERROR(VLOOKUP(AD176,Dex!$B$3:$N244,9,FALSE),"")</f>
        <v>130</v>
      </c>
      <c r="AF190" s="5513" t="str">
        <f t="array" ref="AF190">IFERROR(VLOOKUP(AE190,Dex!$P$22:$Q$276,2,FALSE),"")</f>
        <v/>
      </c>
      <c r="AG190" s="5514">
        <v>252.0</v>
      </c>
      <c r="AH190" s="5505"/>
      <c r="AI190" s="3466"/>
    </row>
    <row r="191" ht="16.5" customHeight="1">
      <c r="A191" s="3457"/>
      <c r="B191" s="5500"/>
      <c r="C191" s="5495"/>
      <c r="D191" s="5501"/>
      <c r="E191" s="5511" t="s">
        <v>194</v>
      </c>
      <c r="F191" s="5512">
        <f t="array" ref="F191">IFERROR(VLOOKUP(E176,Dex!$B$3:$N244,10,FALSE),"")</f>
        <v>180</v>
      </c>
      <c r="G191" s="5513" t="str">
        <f t="array" ref="G191">IFERROR(VLOOKUP(F191,Dex!$P$22:$Q$276,2,FALSE),"")</f>
        <v/>
      </c>
      <c r="H191" s="5514"/>
      <c r="I191" s="5510"/>
      <c r="J191" s="5511" t="s">
        <v>194</v>
      </c>
      <c r="K191" s="5512">
        <f t="array" ref="K191">IFERROR(VLOOKUP(J176,Dex!$B$3:$N244,10,FALSE),"")</f>
        <v>90</v>
      </c>
      <c r="L191" s="5513" t="str">
        <f t="array" ref="L191">IFERROR(VLOOKUP(K191,Dex!$P$22:$Q$276,2,FALSE),"")</f>
        <v/>
      </c>
      <c r="M191" s="5514"/>
      <c r="N191" s="5510"/>
      <c r="O191" s="5511" t="s">
        <v>194</v>
      </c>
      <c r="P191" s="5512">
        <f t="array" ref="P191">IFERROR(VLOOKUP(O176,Dex!$B$3:$N244,10,FALSE),"")</f>
        <v>105</v>
      </c>
      <c r="Q191" s="5513" t="str">
        <f t="array" ref="Q191">IFERROR(VLOOKUP(P191,Dex!$P$22:$Q$276,2,FALSE),"")</f>
        <v/>
      </c>
      <c r="R191" s="5514"/>
      <c r="S191" s="5510"/>
      <c r="T191" s="5511" t="s">
        <v>194</v>
      </c>
      <c r="U191" s="5512">
        <f t="array" ref="U191">IFERROR(VLOOKUP(T176,Dex!$B$3:$N244,10,FALSE),"")</f>
        <v>115</v>
      </c>
      <c r="V191" s="5513" t="str">
        <f t="array" ref="V191">IFERROR(VLOOKUP(U191,Dex!$P$22:$Q$276,2,FALSE),"")</f>
        <v/>
      </c>
      <c r="W191" s="5514"/>
      <c r="X191" s="5510"/>
      <c r="Y191" s="5511" t="s">
        <v>194</v>
      </c>
      <c r="Z191" s="5512">
        <f t="array" ref="Z191">IFERROR(VLOOKUP(Y176,Dex!$B$3:$N244,10,FALSE),"")</f>
        <v>100</v>
      </c>
      <c r="AA191" s="5513" t="str">
        <f t="array" ref="AA191">IFERROR(VLOOKUP(Z191,Dex!$P$22:$Q$276,2,FALSE),"")</f>
        <v/>
      </c>
      <c r="AB191" s="5514"/>
      <c r="AC191" s="5510"/>
      <c r="AD191" s="5511" t="s">
        <v>194</v>
      </c>
      <c r="AE191" s="5512">
        <f t="array" ref="AE191">IFERROR(VLOOKUP(AD176,Dex!$B$3:$N244,10,FALSE),"")</f>
        <v>100</v>
      </c>
      <c r="AF191" s="5513" t="str">
        <f t="array" ref="AF191">IFERROR(VLOOKUP(AE191,Dex!$P$22:$Q$276,2,FALSE),"")</f>
        <v/>
      </c>
      <c r="AG191" s="5514"/>
      <c r="AH191" s="5505"/>
      <c r="AI191" s="3466"/>
    </row>
    <row r="192" ht="16.5" customHeight="1">
      <c r="A192" s="3457"/>
      <c r="B192" s="5500"/>
      <c r="C192" s="5495"/>
      <c r="D192" s="5501"/>
      <c r="E192" s="5511" t="s">
        <v>195</v>
      </c>
      <c r="F192" s="5512">
        <f t="array" ref="F192">IFERROR(VLOOKUP(E176,Dex!$B$3:$N244,11,FALSE),"")</f>
        <v>85</v>
      </c>
      <c r="G192" s="5513" t="str">
        <f t="array" ref="G192">IFERROR(VLOOKUP(F192,Dex!$P$22:$Q$276,2,FALSE),"")</f>
        <v/>
      </c>
      <c r="H192" s="5514"/>
      <c r="I192" s="5510"/>
      <c r="J192" s="5511" t="s">
        <v>195</v>
      </c>
      <c r="K192" s="5512">
        <f t="array" ref="K192">IFERROR(VLOOKUP(J176,Dex!$B$3:$N244,11,FALSE),"")</f>
        <v>145</v>
      </c>
      <c r="L192" s="5513" t="str">
        <f t="array" ref="L192">IFERROR(VLOOKUP(K192,Dex!$P$22:$Q$276,2,FALSE),"")</f>
        <v/>
      </c>
      <c r="M192" s="5514">
        <v>252.0</v>
      </c>
      <c r="N192" s="5510"/>
      <c r="O192" s="5511" t="s">
        <v>195</v>
      </c>
      <c r="P192" s="5512">
        <f t="array" ref="P192">IFERROR(VLOOKUP(O176,Dex!$B$3:$N244,11,FALSE),"")</f>
        <v>165</v>
      </c>
      <c r="Q192" s="5513" t="str">
        <f t="array" ref="Q192">IFERROR(VLOOKUP(P192,Dex!$P$22:$Q$276,2,FALSE),"")</f>
        <v/>
      </c>
      <c r="R192" s="5514">
        <v>252.0</v>
      </c>
      <c r="S192" s="5510"/>
      <c r="T192" s="5511" t="s">
        <v>195</v>
      </c>
      <c r="U192" s="5512">
        <f t="array" ref="U192">IFERROR(VLOOKUP(T176,Dex!$B$3:$N244,11,FALSE),"")</f>
        <v>85</v>
      </c>
      <c r="V192" s="5513" t="str">
        <f t="array" ref="V192">IFERROR(VLOOKUP(U192,Dex!$P$22:$Q$276,2,FALSE),"")</f>
        <v/>
      </c>
      <c r="W192" s="5514"/>
      <c r="X192" s="5510"/>
      <c r="Y192" s="5511" t="s">
        <v>195</v>
      </c>
      <c r="Z192" s="5512">
        <f t="array" ref="Z192">IFERROR(VLOOKUP(Y176,Dex!$B$3:$N244,11,FALSE),"")</f>
        <v>63</v>
      </c>
      <c r="AA192" s="5513" t="str">
        <f t="array" ref="AA192">IFERROR(VLOOKUP(Z192,Dex!$P$22:$Q$276,2,FALSE),"")</f>
        <v/>
      </c>
      <c r="AB192" s="5514"/>
      <c r="AC192" s="5510"/>
      <c r="AD192" s="5511" t="s">
        <v>195</v>
      </c>
      <c r="AE192" s="5512">
        <f t="array" ref="AE192">IFERROR(VLOOKUP(AD176,Dex!$B$3:$N244,11,FALSE),"")</f>
        <v>63</v>
      </c>
      <c r="AF192" s="5513" t="str">
        <f t="array" ref="AF192">IFERROR(VLOOKUP(AE192,Dex!$P$22:$Q$276,2,FALSE),"")</f>
        <v/>
      </c>
      <c r="AG192" s="5514"/>
      <c r="AH192" s="5505"/>
      <c r="AI192" s="3466"/>
    </row>
    <row r="193" ht="16.5" customHeight="1">
      <c r="A193" s="3457"/>
      <c r="B193" s="5500"/>
      <c r="C193" s="5515"/>
      <c r="D193" s="5501"/>
      <c r="E193" s="5511" t="s">
        <v>196</v>
      </c>
      <c r="F193" s="5512">
        <f t="array" ref="F193">IFERROR(VLOOKUP(E176,Dex!$B$3:$N244,12,FALSE),"")</f>
        <v>45</v>
      </c>
      <c r="G193" s="5513" t="str">
        <f t="array" ref="G193">IFERROR(VLOOKUP(F193,Dex!$P$22:$Q$276,2,FALSE),"")</f>
        <v/>
      </c>
      <c r="H193" s="5514"/>
      <c r="I193" s="5510"/>
      <c r="J193" s="5511" t="s">
        <v>196</v>
      </c>
      <c r="K193" s="5512">
        <f t="array" ref="K193">IFERROR(VLOOKUP(J176,Dex!$B$3:$N244,12,FALSE),"")</f>
        <v>90</v>
      </c>
      <c r="L193" s="5513" t="str">
        <f t="array" ref="L193">IFERROR(VLOOKUP(K193,Dex!$P$22:$Q$276,2,FALSE),"")</f>
        <v/>
      </c>
      <c r="M193" s="5514"/>
      <c r="N193" s="5510"/>
      <c r="O193" s="5511" t="s">
        <v>196</v>
      </c>
      <c r="P193" s="5512">
        <f t="array" ref="P193">IFERROR(VLOOKUP(O176,Dex!$B$3:$N244,12,FALSE),"")</f>
        <v>110</v>
      </c>
      <c r="Q193" s="5513" t="str">
        <f t="array" ref="Q193">IFERROR(VLOOKUP(P193,Dex!$P$22:$Q$276,2,FALSE),"")</f>
        <v/>
      </c>
      <c r="R193" s="5514"/>
      <c r="S193" s="5510"/>
      <c r="T193" s="5511" t="s">
        <v>196</v>
      </c>
      <c r="U193" s="5512">
        <f t="array" ref="U193">IFERROR(VLOOKUP(T176,Dex!$B$3:$N244,12,FALSE),"")</f>
        <v>95</v>
      </c>
      <c r="V193" s="5513" t="str">
        <f t="array" ref="V193">IFERROR(VLOOKUP(U193,Dex!$P$22:$Q$276,2,FALSE),"")</f>
        <v/>
      </c>
      <c r="W193" s="5514"/>
      <c r="X193" s="5510"/>
      <c r="Y193" s="5511" t="s">
        <v>196</v>
      </c>
      <c r="Z193" s="5512">
        <f t="array" ref="Z193">IFERROR(VLOOKUP(Y176,Dex!$B$3:$N244,12,FALSE),"")</f>
        <v>60</v>
      </c>
      <c r="AA193" s="5513" t="str">
        <f t="array" ref="AA193">IFERROR(VLOOKUP(Z193,Dex!$P$22:$Q$276,2,FALSE),"")</f>
        <v/>
      </c>
      <c r="AB193" s="5514"/>
      <c r="AC193" s="5510"/>
      <c r="AD193" s="5511" t="s">
        <v>196</v>
      </c>
      <c r="AE193" s="5512">
        <f t="array" ref="AE193">IFERROR(VLOOKUP(AD176,Dex!$B$3:$N244,12,FALSE),"")</f>
        <v>60</v>
      </c>
      <c r="AF193" s="5513" t="str">
        <f t="array" ref="AF193">IFERROR(VLOOKUP(AE193,Dex!$P$22:$Q$276,2,FALSE),"")</f>
        <v/>
      </c>
      <c r="AG193" s="5514"/>
      <c r="AH193" s="5505"/>
      <c r="AI193" s="3466"/>
    </row>
    <row r="194" ht="16.5" customHeight="1">
      <c r="A194" s="3457"/>
      <c r="B194" s="5535"/>
      <c r="C194" s="1204" t="s">
        <v>436</v>
      </c>
      <c r="D194" s="5516"/>
      <c r="E194" s="5517" t="s">
        <v>197</v>
      </c>
      <c r="F194" s="5518">
        <f t="array" ref="F194">IFERROR(VLOOKUP(E176,Dex!$B$3:$N244,13,FALSE),"")</f>
        <v>70</v>
      </c>
      <c r="G194" s="5519" t="str">
        <f t="array" ref="G194">IFERROR(VLOOKUP(F194,Dex!$P$22:$Q$276,2,FALSE),"")</f>
        <v/>
      </c>
      <c r="H194" s="5520">
        <v>252.0</v>
      </c>
      <c r="I194" s="5510"/>
      <c r="J194" s="5517" t="s">
        <v>197</v>
      </c>
      <c r="K194" s="5518">
        <f t="array" ref="K194">IFERROR(VLOOKUP(J176,Dex!$B$3:$N244,13,FALSE),"")</f>
        <v>80</v>
      </c>
      <c r="L194" s="5519" t="str">
        <f t="array" ref="L194">IFERROR(VLOOKUP(K194,Dex!$P$22:$Q$276,2,FALSE),"")</f>
        <v/>
      </c>
      <c r="M194" s="5520">
        <v>252.0</v>
      </c>
      <c r="N194" s="5510"/>
      <c r="O194" s="5517" t="s">
        <v>197</v>
      </c>
      <c r="P194" s="5518">
        <f t="array" ref="P194">IFERROR(VLOOKUP(O176,Dex!$B$3:$N244,13,FALSE),"")</f>
        <v>45</v>
      </c>
      <c r="Q194" s="5519" t="str">
        <f t="array" ref="Q194">IFERROR(VLOOKUP(P194,Dex!$P$22:$Q$276,2,FALSE),"")</f>
        <v/>
      </c>
      <c r="R194" s="5520">
        <v>6.0</v>
      </c>
      <c r="S194" s="5510"/>
      <c r="T194" s="5517" t="s">
        <v>197</v>
      </c>
      <c r="U194" s="5518">
        <f t="array" ref="U194">IFERROR(VLOOKUP(T176,Dex!$B$3:$N244,13,FALSE),"")</f>
        <v>75</v>
      </c>
      <c r="V194" s="5519" t="str">
        <f t="array" ref="V194">IFERROR(VLOOKUP(U194,Dex!$P$22:$Q$276,2,FALSE),"")</f>
        <v/>
      </c>
      <c r="W194" s="5520">
        <v>6.0</v>
      </c>
      <c r="X194" s="5510"/>
      <c r="Y194" s="5517" t="s">
        <v>197</v>
      </c>
      <c r="Z194" s="5518">
        <f t="array" ref="Z194">IFERROR(VLOOKUP(Y176,Dex!$B$3:$N244,13,FALSE),"")</f>
        <v>97</v>
      </c>
      <c r="AA194" s="5519" t="str">
        <f t="array" ref="AA194">IFERROR(VLOOKUP(Z194,Dex!$P$22:$Q$276,2,FALSE),"")</f>
        <v/>
      </c>
      <c r="AB194" s="5520">
        <v>252.0</v>
      </c>
      <c r="AC194" s="5510"/>
      <c r="AD194" s="5517" t="s">
        <v>197</v>
      </c>
      <c r="AE194" s="5518">
        <f t="array" ref="AE194">IFERROR(VLOOKUP(AD176,Dex!$B$3:$N244,13,FALSE),"")</f>
        <v>97</v>
      </c>
      <c r="AF194" s="5519" t="str">
        <f t="array" ref="AF194">IFERROR(VLOOKUP(AE194,Dex!$P$22:$Q$276,2,FALSE),"")</f>
        <v/>
      </c>
      <c r="AG194" s="5520">
        <v>252.0</v>
      </c>
      <c r="AH194" s="5505"/>
      <c r="AI194" s="3466"/>
    </row>
    <row r="195" ht="16.5" customHeight="1">
      <c r="A195" s="3457"/>
      <c r="B195" s="5535"/>
      <c r="C195" s="1205" t="s">
        <v>1381</v>
      </c>
      <c r="D195" s="5536"/>
      <c r="E195" s="5521" t="s">
        <v>198</v>
      </c>
      <c r="F195" s="405"/>
      <c r="G195" s="406"/>
      <c r="H195" s="5522">
        <v>207.0</v>
      </c>
      <c r="I195" s="5504"/>
      <c r="J195" s="5521" t="s">
        <v>198</v>
      </c>
      <c r="K195" s="405"/>
      <c r="L195" s="406"/>
      <c r="M195" s="5522">
        <v>225.0</v>
      </c>
      <c r="N195" s="5504"/>
      <c r="O195" s="5521" t="s">
        <v>198</v>
      </c>
      <c r="P195" s="405"/>
      <c r="Q195" s="406"/>
      <c r="R195" s="5522">
        <v>101.0</v>
      </c>
      <c r="S195" s="5504"/>
      <c r="T195" s="5521" t="s">
        <v>198</v>
      </c>
      <c r="U195" s="405"/>
      <c r="V195" s="406"/>
      <c r="W195" s="5522">
        <v>148.0</v>
      </c>
      <c r="X195" s="5504"/>
      <c r="Y195" s="5523" t="s">
        <v>198</v>
      </c>
      <c r="Z195" s="918"/>
      <c r="AA195" s="919"/>
      <c r="AB195" s="5524">
        <v>255.0</v>
      </c>
      <c r="AC195" s="5504"/>
      <c r="AD195" s="5521" t="s">
        <v>198</v>
      </c>
      <c r="AE195" s="405"/>
      <c r="AF195" s="406"/>
      <c r="AG195" s="5522">
        <v>255.0</v>
      </c>
      <c r="AH195" s="5505"/>
      <c r="AI195" s="3466"/>
    </row>
    <row r="196" ht="16.5" customHeight="1">
      <c r="A196" s="3621"/>
      <c r="B196" s="5537"/>
      <c r="C196" s="5495"/>
      <c r="D196" s="5495"/>
      <c r="E196" s="5525"/>
      <c r="F196" s="5525"/>
      <c r="G196" s="5525"/>
      <c r="H196" s="5495"/>
      <c r="I196" s="5495"/>
      <c r="J196" s="5525"/>
      <c r="K196" s="5525"/>
      <c r="L196" s="5525"/>
      <c r="M196" s="5495"/>
      <c r="N196" s="5538"/>
      <c r="O196" s="5525"/>
      <c r="P196" s="5525"/>
      <c r="Q196" s="5525"/>
      <c r="R196" s="5495"/>
      <c r="S196" s="5495"/>
      <c r="T196" s="5525"/>
      <c r="U196" s="5525"/>
      <c r="V196" s="5525"/>
      <c r="W196" s="5495"/>
      <c r="X196" s="5538"/>
      <c r="Y196" s="5526" t="s">
        <v>348</v>
      </c>
      <c r="Z196" s="925"/>
      <c r="AA196" s="926"/>
      <c r="AB196" s="5527">
        <v>382.0</v>
      </c>
      <c r="AC196" s="5495"/>
      <c r="AD196" s="5525"/>
      <c r="AE196" s="5525"/>
      <c r="AF196" s="5525"/>
      <c r="AG196" s="5495"/>
      <c r="AH196" s="5539"/>
      <c r="AI196" s="3631"/>
    </row>
    <row r="197" ht="15.0" customHeight="1">
      <c r="A197" s="3621"/>
      <c r="B197" s="5540"/>
      <c r="C197" s="5541"/>
      <c r="D197" s="5542"/>
      <c r="E197" s="5543"/>
      <c r="F197" s="5543"/>
      <c r="G197" s="5543"/>
      <c r="H197" s="5543"/>
      <c r="I197" s="5542"/>
      <c r="J197" s="5543"/>
      <c r="K197" s="5543"/>
      <c r="L197" s="5543"/>
      <c r="M197" s="5543"/>
      <c r="N197" s="5542"/>
      <c r="O197" s="5543"/>
      <c r="P197" s="5543"/>
      <c r="Q197" s="5543"/>
      <c r="R197" s="5543"/>
      <c r="S197" s="5542"/>
      <c r="T197" s="5543"/>
      <c r="U197" s="5543"/>
      <c r="V197" s="5543"/>
      <c r="W197" s="5543"/>
      <c r="X197" s="5542"/>
      <c r="Y197" s="5543"/>
      <c r="Z197" s="5543"/>
      <c r="AA197" s="5543"/>
      <c r="AB197" s="5543"/>
      <c r="AC197" s="5542"/>
      <c r="AD197" s="5543"/>
      <c r="AE197" s="5543"/>
      <c r="AF197" s="5543"/>
      <c r="AG197" s="5543"/>
      <c r="AH197" s="5544"/>
      <c r="AI197" s="3631"/>
    </row>
    <row r="198" ht="15.0" customHeight="1">
      <c r="A198" s="3621"/>
      <c r="B198" s="5545"/>
      <c r="C198" s="5546"/>
      <c r="D198" s="5547"/>
      <c r="E198" s="5548"/>
      <c r="F198" s="5548"/>
      <c r="G198" s="5548"/>
      <c r="H198" s="5548"/>
      <c r="I198" s="5547"/>
      <c r="J198" s="5548"/>
      <c r="K198" s="5548"/>
      <c r="L198" s="5548"/>
      <c r="M198" s="5548"/>
      <c r="N198" s="5547"/>
      <c r="O198" s="5548"/>
      <c r="P198" s="5548"/>
      <c r="Q198" s="5548"/>
      <c r="R198" s="5548"/>
      <c r="S198" s="5547"/>
      <c r="T198" s="5548"/>
      <c r="U198" s="5548"/>
      <c r="V198" s="5548"/>
      <c r="W198" s="5548"/>
      <c r="X198" s="5547"/>
      <c r="Y198" s="5548"/>
      <c r="Z198" s="5548"/>
      <c r="AA198" s="5548"/>
      <c r="AB198" s="5548"/>
      <c r="AC198" s="5549"/>
      <c r="AD198" s="5549"/>
      <c r="AE198" s="5549"/>
      <c r="AF198" s="5549"/>
      <c r="AG198" s="5549"/>
      <c r="AH198" s="5550"/>
      <c r="AI198" s="3631"/>
    </row>
    <row r="199" ht="96.75" customHeight="1">
      <c r="A199" s="3621"/>
      <c r="B199" s="5551"/>
      <c r="C199" s="5552" t="str">
        <f>IMAGE("https://i.ibb.co/r4MDjgq/Burglar.png")</f>
        <v/>
      </c>
      <c r="D199" s="5553"/>
      <c r="E199" s="5554" t="str">
        <f t="array" ref="E199">IFERROR(VLOOKUP(E200,Dex!$B$2:$D244,3,FALSE),"")</f>
        <v/>
      </c>
      <c r="F199" s="1830"/>
      <c r="G199" s="1830"/>
      <c r="H199" s="1831"/>
      <c r="I199" s="5553"/>
      <c r="J199" s="5554" t="str">
        <f t="array" ref="J199">IFERROR(VLOOKUP(J200,Dex!$B$2:$D244,3,FALSE),"")</f>
        <v/>
      </c>
      <c r="K199" s="1830"/>
      <c r="L199" s="1830"/>
      <c r="M199" s="1831"/>
      <c r="N199" s="5553"/>
      <c r="O199" s="5554" t="str">
        <f t="array" ref="O199">IFERROR(VLOOKUP(O200,Dex!$B$2:$D244,3,FALSE),"")</f>
        <v/>
      </c>
      <c r="P199" s="1830"/>
      <c r="Q199" s="1830"/>
      <c r="R199" s="1831"/>
      <c r="S199" s="5553"/>
      <c r="T199" s="5554" t="str">
        <f t="array" ref="T199">IFERROR(VLOOKUP(T200,Dex!$B$2:$D244,3,FALSE),"")</f>
        <v/>
      </c>
      <c r="U199" s="1830"/>
      <c r="V199" s="1830"/>
      <c r="W199" s="1831"/>
      <c r="X199" s="5553"/>
      <c r="Y199" s="5554" t="str">
        <f t="array" ref="Y199">IFERROR(VLOOKUP(Y200,Dex!$B$2:$D244,3,FALSE),"")</f>
        <v/>
      </c>
      <c r="Z199" s="1830"/>
      <c r="AA199" s="1830"/>
      <c r="AB199" s="1831"/>
      <c r="AC199" s="5555"/>
      <c r="AD199" s="5556"/>
      <c r="AE199" s="5557"/>
      <c r="AF199" s="5557"/>
      <c r="AG199" s="5558"/>
      <c r="AH199" s="5559"/>
      <c r="AI199" s="3631"/>
    </row>
    <row r="200" ht="18.75" customHeight="1">
      <c r="A200" s="3621"/>
      <c r="B200" s="5551"/>
      <c r="C200" s="5560" t="s">
        <v>1388</v>
      </c>
      <c r="D200" s="5561"/>
      <c r="E200" s="5562" t="s">
        <v>1389</v>
      </c>
      <c r="F200" s="5563"/>
      <c r="G200" s="5563"/>
      <c r="H200" s="5564"/>
      <c r="I200" s="5561"/>
      <c r="J200" s="5562" t="s">
        <v>1390</v>
      </c>
      <c r="K200" s="5563"/>
      <c r="L200" s="5563"/>
      <c r="M200" s="5564"/>
      <c r="N200" s="5561"/>
      <c r="O200" s="5562" t="s">
        <v>1391</v>
      </c>
      <c r="P200" s="5563"/>
      <c r="Q200" s="5563"/>
      <c r="R200" s="5564"/>
      <c r="S200" s="5561"/>
      <c r="T200" s="5562" t="s">
        <v>1392</v>
      </c>
      <c r="U200" s="5563"/>
      <c r="V200" s="5563"/>
      <c r="W200" s="5564"/>
      <c r="X200" s="5561"/>
      <c r="Y200" s="5562" t="s">
        <v>1393</v>
      </c>
      <c r="Z200" s="5563"/>
      <c r="AA200" s="5563"/>
      <c r="AB200" s="5564"/>
      <c r="AC200" s="5565"/>
      <c r="AD200" s="5566"/>
      <c r="AE200" s="5557"/>
      <c r="AF200" s="5557"/>
      <c r="AG200" s="5558"/>
      <c r="AH200" s="5559"/>
      <c r="AI200" s="3631"/>
    </row>
    <row r="201">
      <c r="A201" s="3621"/>
      <c r="B201" s="5551"/>
      <c r="C201" s="1481"/>
      <c r="D201" s="5561"/>
      <c r="E201" s="5567" t="s">
        <v>715</v>
      </c>
      <c r="F201" s="5568"/>
      <c r="G201" s="5568"/>
      <c r="H201" s="5569"/>
      <c r="I201" s="5561"/>
      <c r="J201" s="5567" t="s">
        <v>715</v>
      </c>
      <c r="K201" s="5568"/>
      <c r="L201" s="5568"/>
      <c r="M201" s="5569"/>
      <c r="N201" s="5561"/>
      <c r="O201" s="5567" t="s">
        <v>715</v>
      </c>
      <c r="P201" s="5568"/>
      <c r="Q201" s="5568"/>
      <c r="R201" s="5569"/>
      <c r="S201" s="5561"/>
      <c r="T201" s="5567" t="s">
        <v>715</v>
      </c>
      <c r="U201" s="5568"/>
      <c r="V201" s="5568"/>
      <c r="W201" s="5569"/>
      <c r="X201" s="5561"/>
      <c r="Y201" s="5567" t="s">
        <v>715</v>
      </c>
      <c r="Z201" s="5568"/>
      <c r="AA201" s="5568"/>
      <c r="AB201" s="5569"/>
      <c r="AC201" s="5565"/>
      <c r="AD201" s="5570"/>
      <c r="AE201" s="5557"/>
      <c r="AF201" s="5557"/>
      <c r="AG201" s="5558"/>
      <c r="AH201" s="5559"/>
      <c r="AI201" s="3631"/>
    </row>
    <row r="202" ht="25.5" customHeight="1">
      <c r="A202" s="3621"/>
      <c r="B202" s="5551"/>
      <c r="C202" s="1489"/>
      <c r="D202" s="5571"/>
      <c r="E202" s="5572"/>
      <c r="F202" s="5573" t="str">
        <f t="array" ref="F202">IFERROR(VLOOKUP(E200,Dex!$B$3:$H244,5,FALSE),"")</f>
        <v/>
      </c>
      <c r="G202" s="5574" t="str">
        <f t="array" ref="G202">IFERROR(VLOOKUP(E200,Dex!$B$3:$H244,7,FALSE),"")</f>
        <v/>
      </c>
      <c r="H202" s="5575"/>
      <c r="I202" s="5571"/>
      <c r="J202" s="5572"/>
      <c r="K202" s="5576" t="str">
        <f t="array" ref="K202">IFERROR(VLOOKUP(J200,Dex!$B$3:$H244,5,FALSE),"")</f>
        <v/>
      </c>
      <c r="L202" s="5577"/>
      <c r="M202" s="5575"/>
      <c r="N202" s="5571"/>
      <c r="O202" s="5572"/>
      <c r="P202" s="5573" t="str">
        <f t="array" ref="P202">IFERROR(VLOOKUP(O200,Dex!$B$3:$H244,5,FALSE),"")</f>
        <v/>
      </c>
      <c r="Q202" s="5574" t="str">
        <f t="array" ref="Q202">IFERROR(VLOOKUP(O200,Dex!$B$3:$H244,7,FALSE),"")</f>
        <v/>
      </c>
      <c r="R202" s="5575"/>
      <c r="S202" s="5571"/>
      <c r="T202" s="5572"/>
      <c r="U202" s="5573" t="str">
        <f t="array" ref="U202">IFERROR(VLOOKUP(T200,Dex!$B$3:$H244,5,FALSE),"")</f>
        <v/>
      </c>
      <c r="V202" s="5574" t="str">
        <f t="array" ref="V202">IFERROR(VLOOKUP(T200,Dex!$B$3:$H244,7,FALSE),"")</f>
        <v/>
      </c>
      <c r="W202" s="5575"/>
      <c r="X202" s="5571"/>
      <c r="Y202" s="5572"/>
      <c r="Z202" s="5573" t="str">
        <f t="array" ref="Z202">IFERROR(VLOOKUP(Y200,Dex!$B$3:$H244,5,FALSE),"")</f>
        <v/>
      </c>
      <c r="AA202" s="5574" t="str">
        <f t="array" ref="AA202">IFERROR(VLOOKUP(Y200,Dex!$B$3:$H244,7,FALSE),"")</f>
        <v/>
      </c>
      <c r="AB202" s="5575"/>
      <c r="AC202" s="5565"/>
      <c r="AD202" s="5578"/>
      <c r="AE202" s="5579"/>
      <c r="AF202" s="5579"/>
      <c r="AG202" s="5579"/>
      <c r="AH202" s="5559"/>
      <c r="AI202" s="3631"/>
    </row>
    <row r="203" ht="2.25" customHeight="1">
      <c r="A203" s="3621"/>
      <c r="B203" s="5580"/>
      <c r="C203" s="5581"/>
      <c r="D203" s="5582"/>
      <c r="E203" s="5583"/>
      <c r="F203" s="5584"/>
      <c r="G203" s="5584"/>
      <c r="H203" s="5585"/>
      <c r="I203" s="5582"/>
      <c r="J203" s="5583"/>
      <c r="K203" s="5584"/>
      <c r="L203" s="5584"/>
      <c r="M203" s="5585"/>
      <c r="N203" s="5582"/>
      <c r="O203" s="5583"/>
      <c r="P203" s="5584"/>
      <c r="Q203" s="5584"/>
      <c r="R203" s="5585"/>
      <c r="S203" s="5582"/>
      <c r="T203" s="5583"/>
      <c r="U203" s="5584"/>
      <c r="V203" s="5584"/>
      <c r="W203" s="5585"/>
      <c r="X203" s="5582"/>
      <c r="Y203" s="5583"/>
      <c r="Z203" s="5584"/>
      <c r="AA203" s="5584"/>
      <c r="AB203" s="5585"/>
      <c r="AC203" s="5565"/>
      <c r="AD203" s="5578"/>
      <c r="AE203" s="5579"/>
      <c r="AF203" s="5579"/>
      <c r="AG203" s="5579"/>
      <c r="AH203" s="5559"/>
      <c r="AI203" s="3631"/>
    </row>
    <row r="204" ht="20.25" customHeight="1">
      <c r="A204" s="3621"/>
      <c r="B204" s="5580"/>
      <c r="C204" s="5586"/>
      <c r="D204" s="5582"/>
      <c r="E204" s="5587" t="s">
        <v>172</v>
      </c>
      <c r="F204" s="5588"/>
      <c r="G204" s="5588"/>
      <c r="H204" s="5589"/>
      <c r="I204" s="5582"/>
      <c r="J204" s="5587" t="s">
        <v>172</v>
      </c>
      <c r="K204" s="5588"/>
      <c r="L204" s="5588"/>
      <c r="M204" s="5589"/>
      <c r="N204" s="5582"/>
      <c r="O204" s="5587" t="s">
        <v>205</v>
      </c>
      <c r="P204" s="5588"/>
      <c r="Q204" s="5588"/>
      <c r="R204" s="5589"/>
      <c r="S204" s="5582"/>
      <c r="T204" s="5587" t="s">
        <v>263</v>
      </c>
      <c r="U204" s="5588"/>
      <c r="V204" s="5588"/>
      <c r="W204" s="5589"/>
      <c r="X204" s="5582"/>
      <c r="Y204" s="5587" t="s">
        <v>205</v>
      </c>
      <c r="Z204" s="5588"/>
      <c r="AA204" s="5588"/>
      <c r="AB204" s="5589"/>
      <c r="AC204" s="5565"/>
      <c r="AD204" s="5590"/>
      <c r="AE204" s="5557"/>
      <c r="AF204" s="5557"/>
      <c r="AG204" s="5558"/>
      <c r="AH204" s="5559"/>
      <c r="AI204" s="3631"/>
    </row>
    <row r="205" ht="20.25" customHeight="1">
      <c r="A205" s="3621"/>
      <c r="B205" s="5580"/>
      <c r="C205" s="5591"/>
      <c r="D205" s="5582"/>
      <c r="E205" s="5592" t="s">
        <v>716</v>
      </c>
      <c r="F205" s="5557"/>
      <c r="G205" s="5557"/>
      <c r="H205" s="5593"/>
      <c r="I205" s="5582"/>
      <c r="J205" s="5592" t="s">
        <v>1184</v>
      </c>
      <c r="K205" s="5557"/>
      <c r="L205" s="5557"/>
      <c r="M205" s="5593"/>
      <c r="N205" s="5582"/>
      <c r="O205" s="5592" t="s">
        <v>1001</v>
      </c>
      <c r="P205" s="5557"/>
      <c r="Q205" s="5557"/>
      <c r="R205" s="5593"/>
      <c r="S205" s="5582"/>
      <c r="T205" s="5592" t="s">
        <v>980</v>
      </c>
      <c r="U205" s="5557"/>
      <c r="V205" s="5557"/>
      <c r="W205" s="5593"/>
      <c r="X205" s="5582"/>
      <c r="Y205" s="5592" t="s">
        <v>208</v>
      </c>
      <c r="Z205" s="5557"/>
      <c r="AA205" s="5557"/>
      <c r="AB205" s="5593"/>
      <c r="AC205" s="5565"/>
      <c r="AD205" s="5590"/>
      <c r="AE205" s="5557"/>
      <c r="AF205" s="5557"/>
      <c r="AG205" s="5558"/>
      <c r="AH205" s="5559"/>
      <c r="AI205" s="3631"/>
    </row>
    <row r="206" ht="20.25" customHeight="1">
      <c r="A206" s="3621"/>
      <c r="B206" s="5580"/>
      <c r="C206" s="5594"/>
      <c r="D206" s="5582"/>
      <c r="E206" s="5595" t="s">
        <v>211</v>
      </c>
      <c r="F206" s="5596"/>
      <c r="G206" s="5597"/>
      <c r="H206" s="5598" t="str">
        <f>IMAGE("https://raw.githubusercontent.com/msikma/pokesprite/master/items/hold-item/eviolite.png",3)</f>
        <v/>
      </c>
      <c r="I206" s="5582"/>
      <c r="J206" s="5595" t="s">
        <v>212</v>
      </c>
      <c r="K206" s="5596"/>
      <c r="L206" s="5597"/>
      <c r="M206" s="5598" t="str">
        <f>IMAGE("https://raw.githubusercontent.com/msikma/pokesprite/master/items/hold-item/mystic-water.png",3)</f>
        <v/>
      </c>
      <c r="N206" s="5582"/>
      <c r="O206" s="5595" t="s">
        <v>240</v>
      </c>
      <c r="P206" s="5596"/>
      <c r="Q206" s="5597"/>
      <c r="R206" s="5598" t="str">
        <f>IMAGE("https://raw.githubusercontent.com/msikma/pokesprite/master/items/hold-item/focus-sash.png",3)</f>
        <v/>
      </c>
      <c r="S206" s="5582"/>
      <c r="T206" s="5595" t="s">
        <v>473</v>
      </c>
      <c r="U206" s="5596"/>
      <c r="V206" s="5597"/>
      <c r="W206" s="5598" t="str">
        <f>IMAGE("https://raw.githubusercontent.com/msikma/pokesprite/master/items/hold-item/assault-vest.png",3)</f>
        <v/>
      </c>
      <c r="X206" s="5582"/>
      <c r="Y206" s="5595" t="s">
        <v>272</v>
      </c>
      <c r="Z206" s="5596"/>
      <c r="AA206" s="5597"/>
      <c r="AB206" s="5598" t="str">
        <f>IMAGE("https://raw.githubusercontent.com/msikma/pokesprite/master/items/hold-item/life-orb.png",3)</f>
        <v/>
      </c>
      <c r="AC206" s="5565"/>
      <c r="AD206" s="5590"/>
      <c r="AE206" s="5557"/>
      <c r="AF206" s="5558"/>
      <c r="AG206" s="5599"/>
      <c r="AH206" s="5559"/>
      <c r="AI206" s="3631"/>
    </row>
    <row r="207" ht="20.25" customHeight="1">
      <c r="A207" s="3621"/>
      <c r="B207" s="5580"/>
      <c r="C207" s="5600"/>
      <c r="D207" s="5582"/>
      <c r="E207" s="5587" t="s">
        <v>1394</v>
      </c>
      <c r="F207" s="5588"/>
      <c r="G207" s="5601"/>
      <c r="H207" s="5602" t="str">
        <f>IMAGE("https://raw.githubusercontent.com/msikma/pokesprite/master/misc/types/gen8/poison.png",4,20,20)</f>
        <v/>
      </c>
      <c r="I207" s="5582"/>
      <c r="J207" s="5587" t="s">
        <v>1395</v>
      </c>
      <c r="K207" s="5588"/>
      <c r="L207" s="5601"/>
      <c r="M207" s="5602" t="str">
        <f>IMAGE("https://raw.githubusercontent.com/msikma/pokesprite/master/misc/types/gen8/water.png",4,20,20)</f>
        <v/>
      </c>
      <c r="N207" s="5582"/>
      <c r="O207" s="5587" t="s">
        <v>1396</v>
      </c>
      <c r="P207" s="5588"/>
      <c r="Q207" s="5601"/>
      <c r="R207" s="5602" t="str">
        <f>IMAGE("https://raw.githubusercontent.com/msikma/pokesprite/master/misc/types/gen8/fighting.png",4,20,20)</f>
        <v/>
      </c>
      <c r="S207" s="5582"/>
      <c r="T207" s="5587" t="s">
        <v>275</v>
      </c>
      <c r="U207" s="5588"/>
      <c r="V207" s="5601"/>
      <c r="W207" s="5602" t="str">
        <f>IMAGE("https://raw.githubusercontent.com/msikma/pokesprite/master/misc/types/gen8/grass.png",4,20,20)</f>
        <v/>
      </c>
      <c r="X207" s="5582"/>
      <c r="Y207" s="5587" t="s">
        <v>1397</v>
      </c>
      <c r="Z207" s="5588"/>
      <c r="AA207" s="5601"/>
      <c r="AB207" s="5602" t="str">
        <f>IMAGE("https://raw.githubusercontent.com/msikma/pokesprite/master/misc/types/gen8/fairy.png",4,20,20)</f>
        <v/>
      </c>
      <c r="AC207" s="5565"/>
      <c r="AD207" s="5590"/>
      <c r="AE207" s="5557"/>
      <c r="AF207" s="5558"/>
      <c r="AG207" s="5599"/>
      <c r="AH207" s="5559"/>
      <c r="AI207" s="3631"/>
    </row>
    <row r="208" ht="20.25" customHeight="1">
      <c r="A208" s="3621"/>
      <c r="B208" s="5580"/>
      <c r="C208" s="5586"/>
      <c r="D208" s="5582"/>
      <c r="E208" s="5592" t="s">
        <v>1398</v>
      </c>
      <c r="F208" s="5557"/>
      <c r="G208" s="5558"/>
      <c r="H208" s="5603" t="str">
        <f>IMAGE("https://raw.githubusercontent.com/msikma/pokesprite/master/misc/types/gen8/dark.png",4,20,20)</f>
        <v/>
      </c>
      <c r="I208" s="5582"/>
      <c r="J208" s="5592" t="s">
        <v>402</v>
      </c>
      <c r="K208" s="5557"/>
      <c r="L208" s="5558"/>
      <c r="M208" s="5603" t="str">
        <f>IMAGE("https://raw.githubusercontent.com/msikma/pokesprite/master/misc/types/gen8/ground.png",4,20,20)</f>
        <v/>
      </c>
      <c r="N208" s="5582"/>
      <c r="O208" s="5592" t="s">
        <v>785</v>
      </c>
      <c r="P208" s="5557"/>
      <c r="Q208" s="5558"/>
      <c r="R208" s="5603" t="str">
        <f>IMAGE("https://raw.githubusercontent.com/msikma/pokesprite/master/misc/types/gen8/fire.png",4,20,20)</f>
        <v/>
      </c>
      <c r="S208" s="5582"/>
      <c r="T208" s="5592" t="s">
        <v>1399</v>
      </c>
      <c r="U208" s="5557"/>
      <c r="V208" s="5558"/>
      <c r="W208" s="5603" t="str">
        <f>IMAGE("https://raw.githubusercontent.com/msikma/pokesprite/master/misc/types/gen8/dragon.png",4,20,20)</f>
        <v/>
      </c>
      <c r="X208" s="5582"/>
      <c r="Y208" s="5592" t="s">
        <v>903</v>
      </c>
      <c r="Z208" s="5557"/>
      <c r="AA208" s="5558"/>
      <c r="AB208" s="5603" t="str">
        <f>IMAGE("https://raw.githubusercontent.com/msikma/pokesprite/master/misc/types/gen8/fire.png",4,20,20)</f>
        <v/>
      </c>
      <c r="AC208" s="5565"/>
      <c r="AD208" s="5590"/>
      <c r="AE208" s="5557"/>
      <c r="AF208" s="5558"/>
      <c r="AG208" s="5599"/>
      <c r="AH208" s="5559"/>
      <c r="AI208" s="3631"/>
    </row>
    <row r="209" ht="20.25" customHeight="1">
      <c r="A209" s="3621"/>
      <c r="B209" s="5580"/>
      <c r="C209" s="5586"/>
      <c r="D209" s="5582"/>
      <c r="E209" s="5592" t="s">
        <v>346</v>
      </c>
      <c r="F209" s="5557"/>
      <c r="G209" s="5558"/>
      <c r="H209" s="5603" t="str">
        <f>IMAGE("https://raw.githubusercontent.com/msikma/pokesprite/master/misc/types/gen8/water.png",4,20,20)</f>
        <v/>
      </c>
      <c r="I209" s="5582"/>
      <c r="J209" s="5592" t="s">
        <v>735</v>
      </c>
      <c r="K209" s="5557"/>
      <c r="L209" s="5558"/>
      <c r="M209" s="5603" t="str">
        <f>IMAGE("https://raw.githubusercontent.com/msikma/pokesprite/master/misc/types/gen8/water.png",4,20,20)</f>
        <v/>
      </c>
      <c r="N209" s="5582"/>
      <c r="O209" s="5592" t="s">
        <v>737</v>
      </c>
      <c r="P209" s="5557"/>
      <c r="Q209" s="5558"/>
      <c r="R209" s="5603" t="str">
        <f>IMAGE("https://raw.githubusercontent.com/msikma/pokesprite/master/misc/types/gen8/rock.png",4,20,20)</f>
        <v/>
      </c>
      <c r="S209" s="5582"/>
      <c r="T209" s="5592" t="s">
        <v>463</v>
      </c>
      <c r="U209" s="5557"/>
      <c r="V209" s="5558"/>
      <c r="W209" s="5603" t="str">
        <f>IMAGE("https://raw.githubusercontent.com/msikma/pokesprite/master/misc/types/gen8/fighting.png",4,20,20)</f>
        <v/>
      </c>
      <c r="X209" s="5582"/>
      <c r="Y209" s="5592" t="s">
        <v>280</v>
      </c>
      <c r="Z209" s="5557"/>
      <c r="AA209" s="5558"/>
      <c r="AB209" s="5603" t="str">
        <f>IMAGE("https://raw.githubusercontent.com/msikma/pokesprite/master/misc/types/gen8/poison.png",4,20,20)</f>
        <v/>
      </c>
      <c r="AC209" s="5565"/>
      <c r="AD209" s="5590"/>
      <c r="AE209" s="5557"/>
      <c r="AF209" s="5558"/>
      <c r="AG209" s="5599"/>
      <c r="AH209" s="5559"/>
      <c r="AI209" s="3631"/>
    </row>
    <row r="210" ht="21.0" customHeight="1">
      <c r="A210" s="3621"/>
      <c r="B210" s="5580"/>
      <c r="C210" s="5586"/>
      <c r="D210" s="5582"/>
      <c r="E210" s="5604" t="s">
        <v>252</v>
      </c>
      <c r="F210" s="5605"/>
      <c r="G210" s="5606"/>
      <c r="H210" s="5607" t="str">
        <f>IMAGE("https://raw.githubusercontent.com/msikma/pokesprite/master/misc/types/gen8/electric.png",4,20,20)</f>
        <v/>
      </c>
      <c r="I210" s="5582"/>
      <c r="J210" s="5604" t="s">
        <v>496</v>
      </c>
      <c r="K210" s="5605"/>
      <c r="L210" s="5606"/>
      <c r="M210" s="5607" t="str">
        <f>IMAGE("https://raw.githubusercontent.com/msikma/pokesprite/master/misc/types/gen8/ice.png",4,20,20)</f>
        <v/>
      </c>
      <c r="N210" s="5582"/>
      <c r="O210" s="5604" t="s">
        <v>286</v>
      </c>
      <c r="P210" s="5605"/>
      <c r="Q210" s="5606"/>
      <c r="R210" s="5607" t="str">
        <f>IMAGE("https://raw.githubusercontent.com/msikma/pokesprite/master/misc/types/gen8/ground.png",4,20,20)</f>
        <v/>
      </c>
      <c r="S210" s="5582"/>
      <c r="T210" s="5604" t="s">
        <v>286</v>
      </c>
      <c r="U210" s="5605"/>
      <c r="V210" s="5606"/>
      <c r="W210" s="5607" t="str">
        <f>IMAGE("https://raw.githubusercontent.com/msikma/pokesprite/master/misc/types/gen8/ground.png",4,20,20)</f>
        <v/>
      </c>
      <c r="X210" s="5582"/>
      <c r="Y210" s="5604" t="s">
        <v>278</v>
      </c>
      <c r="Z210" s="5605"/>
      <c r="AA210" s="5606"/>
      <c r="AB210" s="5607" t="str">
        <f>IMAGE("https://raw.githubusercontent.com/msikma/pokesprite/master/misc/types/gen8/bug.png",4,20,20)</f>
        <v/>
      </c>
      <c r="AC210" s="5608"/>
      <c r="AD210" s="5590"/>
      <c r="AE210" s="5557"/>
      <c r="AF210" s="5558"/>
      <c r="AG210" s="5599"/>
      <c r="AH210" s="5559"/>
      <c r="AI210" s="3631"/>
    </row>
    <row r="211" ht="3.0" customHeight="1">
      <c r="A211" s="3445"/>
      <c r="B211" s="5609"/>
      <c r="C211" s="5610"/>
      <c r="D211" s="5611"/>
      <c r="E211" s="5612"/>
      <c r="F211" s="5612"/>
      <c r="G211" s="5612"/>
      <c r="H211" s="5613"/>
      <c r="I211" s="5611"/>
      <c r="J211" s="5614"/>
      <c r="K211" s="5614"/>
      <c r="L211" s="5614"/>
      <c r="M211" s="5613"/>
      <c r="N211" s="5611"/>
      <c r="O211" s="5614"/>
      <c r="P211" s="5614"/>
      <c r="Q211" s="5614"/>
      <c r="R211" s="5613"/>
      <c r="S211" s="5611"/>
      <c r="T211" s="5614"/>
      <c r="U211" s="5614"/>
      <c r="V211" s="5614"/>
      <c r="W211" s="5613"/>
      <c r="X211" s="5611"/>
      <c r="Y211" s="5614"/>
      <c r="Z211" s="5614"/>
      <c r="AA211" s="5614"/>
      <c r="AB211" s="5613"/>
      <c r="AC211" s="5611"/>
      <c r="AD211" s="5615"/>
      <c r="AE211" s="5615"/>
      <c r="AF211" s="5615"/>
      <c r="AG211" s="5615"/>
      <c r="AH211" s="5616"/>
      <c r="AI211" s="3456"/>
    </row>
    <row r="212" ht="16.5" customHeight="1">
      <c r="A212" s="3457"/>
      <c r="B212" s="5617"/>
      <c r="C212" s="5610"/>
      <c r="D212" s="5618"/>
      <c r="E212" s="5619" t="s">
        <v>190</v>
      </c>
      <c r="F212" s="381"/>
      <c r="G212" s="382"/>
      <c r="H212" s="5620" t="s">
        <v>191</v>
      </c>
      <c r="I212" s="5618"/>
      <c r="J212" s="5619" t="s">
        <v>190</v>
      </c>
      <c r="K212" s="381"/>
      <c r="L212" s="382"/>
      <c r="M212" s="5620" t="s">
        <v>191</v>
      </c>
      <c r="N212" s="5618"/>
      <c r="O212" s="5619" t="s">
        <v>190</v>
      </c>
      <c r="P212" s="381"/>
      <c r="Q212" s="382"/>
      <c r="R212" s="5620" t="s">
        <v>191</v>
      </c>
      <c r="S212" s="5618"/>
      <c r="T212" s="5619" t="s">
        <v>190</v>
      </c>
      <c r="U212" s="381"/>
      <c r="V212" s="382"/>
      <c r="W212" s="5620" t="s">
        <v>191</v>
      </c>
      <c r="X212" s="5618"/>
      <c r="Y212" s="5619" t="s">
        <v>190</v>
      </c>
      <c r="Z212" s="381"/>
      <c r="AA212" s="382"/>
      <c r="AB212" s="5620" t="s">
        <v>191</v>
      </c>
      <c r="AC212" s="5621"/>
      <c r="AD212" s="5590"/>
      <c r="AE212" s="5557"/>
      <c r="AF212" s="5558"/>
      <c r="AG212" s="5599"/>
      <c r="AH212" s="5622"/>
      <c r="AI212" s="3466"/>
    </row>
    <row r="213" ht="16.5" customHeight="1">
      <c r="A213" s="3457"/>
      <c r="B213" s="5617"/>
      <c r="C213" s="5610"/>
      <c r="D213" s="5618"/>
      <c r="E213" s="5623" t="s">
        <v>192</v>
      </c>
      <c r="F213" s="5624">
        <f t="array" ref="F213">IFERROR(VLOOKUP(E200,Dex!$B$3:$N244,8,FALSE),"")</f>
        <v>65</v>
      </c>
      <c r="G213" s="5625" t="str">
        <f t="array" ref="G213">IFERROR(VLOOKUP(F213,Dex!$P$22:$Q$276,2,FALSE),"")</f>
        <v/>
      </c>
      <c r="H213" s="5626"/>
      <c r="I213" s="5618"/>
      <c r="J213" s="5623" t="s">
        <v>192</v>
      </c>
      <c r="K213" s="5624">
        <f t="array" ref="K213">IFERROR(VLOOKUP(J200,Dex!$B$3:$N244,8,FALSE),"")</f>
        <v>35</v>
      </c>
      <c r="L213" s="5625" t="str">
        <f t="array" ref="L213">IFERROR(VLOOKUP(K213,Dex!$P$22:$Q$276,2,FALSE),"")</f>
        <v/>
      </c>
      <c r="M213" s="5626"/>
      <c r="N213" s="5618"/>
      <c r="O213" s="5623" t="s">
        <v>192</v>
      </c>
      <c r="P213" s="5624">
        <f t="array" ref="P213">IFERROR(VLOOKUP(O200,Dex!$B$3:$N244,8,FALSE),"")</f>
        <v>60</v>
      </c>
      <c r="Q213" s="5625" t="str">
        <f t="array" ref="Q213">IFERROR(VLOOKUP(P213,Dex!$P$22:$Q$276,2,FALSE),"")</f>
        <v/>
      </c>
      <c r="R213" s="5626"/>
      <c r="S213" s="5618"/>
      <c r="T213" s="5623" t="s">
        <v>192</v>
      </c>
      <c r="U213" s="5624">
        <f t="array" ref="U213">IFERROR(VLOOKUP(T200,Dex!$B$3:$N244,8,FALSE),"")</f>
        <v>106</v>
      </c>
      <c r="V213" s="5625" t="str">
        <f t="array" ref="V213">IFERROR(VLOOKUP(U213,Dex!$P$22:$Q$276,2,FALSE),"")</f>
        <v/>
      </c>
      <c r="W213" s="5626">
        <v>252.0</v>
      </c>
      <c r="X213" s="5618"/>
      <c r="Y213" s="5623" t="s">
        <v>192</v>
      </c>
      <c r="Z213" s="5624">
        <f t="array" ref="Z213">IFERROR(VLOOKUP(Y200,Dex!$B$3:$N244,8,FALSE),"")</f>
        <v>88</v>
      </c>
      <c r="AA213" s="5625" t="str">
        <f t="array" ref="AA213">IFERROR(VLOOKUP(Z213,Dex!$P$22:$Q$276,2,FALSE),"")</f>
        <v/>
      </c>
      <c r="AB213" s="5626"/>
      <c r="AC213" s="5621"/>
      <c r="AD213" s="5590"/>
      <c r="AE213" s="5557"/>
      <c r="AF213" s="5558"/>
      <c r="AG213" s="5599"/>
      <c r="AH213" s="5622"/>
      <c r="AI213" s="3466"/>
    </row>
    <row r="214" ht="16.5" customHeight="1">
      <c r="A214" s="3457"/>
      <c r="B214" s="5617"/>
      <c r="C214" s="5610"/>
      <c r="D214" s="5618"/>
      <c r="E214" s="5627" t="s">
        <v>193</v>
      </c>
      <c r="F214" s="5628">
        <f t="array" ref="F214">IFERROR(VLOOKUP(E200,Dex!$B$3:$N244,9,FALSE),"")</f>
        <v>95</v>
      </c>
      <c r="G214" s="5629" t="str">
        <f t="array" ref="G214">IFERROR(VLOOKUP(F214,Dex!$P$22:$Q$276,2,FALSE),"")</f>
        <v/>
      </c>
      <c r="H214" s="5630">
        <v>252.0</v>
      </c>
      <c r="I214" s="5618"/>
      <c r="J214" s="5627" t="s">
        <v>193</v>
      </c>
      <c r="K214" s="5628">
        <f t="array" ref="K214">IFERROR(VLOOKUP(J200,Dex!$B$3:$N244,9,FALSE),"")</f>
        <v>115</v>
      </c>
      <c r="L214" s="5629" t="str">
        <f t="array" ref="L214">IFERROR(VLOOKUP(K214,Dex!$P$22:$Q$276,2,FALSE),"")</f>
        <v/>
      </c>
      <c r="M214" s="5630">
        <v>252.0</v>
      </c>
      <c r="N214" s="5618"/>
      <c r="O214" s="5627" t="s">
        <v>193</v>
      </c>
      <c r="P214" s="5628">
        <f t="array" ref="P214">IFERROR(VLOOKUP(O200,Dex!$B$3:$N244,9,FALSE),"")</f>
        <v>50</v>
      </c>
      <c r="Q214" s="5629" t="str">
        <f t="array" ref="Q214">IFERROR(VLOOKUP(P214,Dex!$P$22:$Q$276,2,FALSE),"")</f>
        <v/>
      </c>
      <c r="R214" s="5630"/>
      <c r="S214" s="5618"/>
      <c r="T214" s="5627" t="s">
        <v>193</v>
      </c>
      <c r="U214" s="5628">
        <f t="array" ref="U214">IFERROR(VLOOKUP(T200,Dex!$B$3:$N244,9,FALSE),"")</f>
        <v>80</v>
      </c>
      <c r="V214" s="5629" t="str">
        <f t="array" ref="V214">IFERROR(VLOOKUP(U214,Dex!$P$22:$Q$276,2,FALSE),"")</f>
        <v/>
      </c>
      <c r="W214" s="5630">
        <v>252.0</v>
      </c>
      <c r="X214" s="5618"/>
      <c r="Y214" s="5627" t="s">
        <v>193</v>
      </c>
      <c r="Z214" s="5628">
        <f t="array" ref="Z214">IFERROR(VLOOKUP(Y200,Dex!$B$3:$N244,9,FALSE),"")</f>
        <v>71</v>
      </c>
      <c r="AA214" s="5629" t="str">
        <f t="array" ref="AA214">IFERROR(VLOOKUP(Z214,Dex!$P$22:$Q$276,2,FALSE),"")</f>
        <v/>
      </c>
      <c r="AB214" s="5630"/>
      <c r="AC214" s="5621"/>
      <c r="AD214" s="5590"/>
      <c r="AE214" s="5557"/>
      <c r="AF214" s="5558"/>
      <c r="AG214" s="5599"/>
      <c r="AH214" s="5622"/>
      <c r="AI214" s="3466"/>
    </row>
    <row r="215" ht="16.5" customHeight="1">
      <c r="A215" s="3457"/>
      <c r="B215" s="5617"/>
      <c r="C215" s="5610"/>
      <c r="D215" s="5618"/>
      <c r="E215" s="5627" t="s">
        <v>194</v>
      </c>
      <c r="F215" s="5628">
        <f t="array" ref="F215">IFERROR(VLOOKUP(E200,Dex!$B$3:$N244,10,FALSE),"")</f>
        <v>85</v>
      </c>
      <c r="G215" s="5629" t="str">
        <f t="array" ref="G215">IFERROR(VLOOKUP(F215,Dex!$P$22:$Q$276,2,FALSE),"")</f>
        <v/>
      </c>
      <c r="H215" s="5630">
        <v>4.0</v>
      </c>
      <c r="I215" s="5618"/>
      <c r="J215" s="5627" t="s">
        <v>194</v>
      </c>
      <c r="K215" s="5628">
        <f t="array" ref="K215">IFERROR(VLOOKUP(J200,Dex!$B$3:$N244,10,FALSE),"")</f>
        <v>50</v>
      </c>
      <c r="L215" s="5629" t="str">
        <f t="array" ref="L215">IFERROR(VLOOKUP(K215,Dex!$P$22:$Q$276,2,FALSE),"")</f>
        <v/>
      </c>
      <c r="M215" s="5630">
        <v>4.0</v>
      </c>
      <c r="N215" s="5618"/>
      <c r="O215" s="5627" t="s">
        <v>194</v>
      </c>
      <c r="P215" s="5628">
        <f t="array" ref="P215">IFERROR(VLOOKUP(O200,Dex!$B$3:$N244,10,FALSE),"")</f>
        <v>120</v>
      </c>
      <c r="Q215" s="5629" t="str">
        <f t="array" ref="Q215">IFERROR(VLOOKUP(P215,Dex!$P$22:$Q$276,2,FALSE),"")</f>
        <v/>
      </c>
      <c r="R215" s="5630">
        <v>4.0</v>
      </c>
      <c r="S215" s="5618"/>
      <c r="T215" s="5627" t="s">
        <v>194</v>
      </c>
      <c r="U215" s="5628">
        <f t="array" ref="U215">IFERROR(VLOOKUP(T200,Dex!$B$3:$N244,10,FALSE),"")</f>
        <v>110</v>
      </c>
      <c r="V215" s="5629" t="str">
        <f t="array" ref="V215">IFERROR(VLOOKUP(U215,Dex!$P$22:$Q$276,2,FALSE),"")</f>
        <v/>
      </c>
      <c r="W215" s="5630"/>
      <c r="X215" s="5618"/>
      <c r="Y215" s="5627" t="s">
        <v>194</v>
      </c>
      <c r="Z215" s="5628">
        <f t="array" ref="Z215">IFERROR(VLOOKUP(Y200,Dex!$B$3:$N244,10,FALSE),"")</f>
        <v>82</v>
      </c>
      <c r="AA215" s="5629" t="str">
        <f t="array" ref="AA215">IFERROR(VLOOKUP(Z215,Dex!$P$22:$Q$276,2,FALSE),"")</f>
        <v/>
      </c>
      <c r="AB215" s="5630">
        <v>4.0</v>
      </c>
      <c r="AC215" s="5621"/>
      <c r="AD215" s="5590"/>
      <c r="AE215" s="5557"/>
      <c r="AF215" s="5558"/>
      <c r="AG215" s="5599"/>
      <c r="AH215" s="5622"/>
      <c r="AI215" s="3466"/>
    </row>
    <row r="216" ht="16.5" customHeight="1">
      <c r="A216" s="3457"/>
      <c r="B216" s="5617"/>
      <c r="C216" s="5610"/>
      <c r="D216" s="5618"/>
      <c r="E216" s="5627" t="s">
        <v>195</v>
      </c>
      <c r="F216" s="5628">
        <f t="array" ref="F216">IFERROR(VLOOKUP(E200,Dex!$B$3:$N244,11,FALSE),"")</f>
        <v>55</v>
      </c>
      <c r="G216" s="5629" t="str">
        <f t="array" ref="G216">IFERROR(VLOOKUP(F216,Dex!$P$22:$Q$276,2,FALSE),"")</f>
        <v/>
      </c>
      <c r="H216" s="5630"/>
      <c r="I216" s="5618"/>
      <c r="J216" s="5627" t="s">
        <v>195</v>
      </c>
      <c r="K216" s="5628">
        <f t="array" ref="K216">IFERROR(VLOOKUP(J200,Dex!$B$3:$N244,11,FALSE),"")</f>
        <v>35</v>
      </c>
      <c r="L216" s="5629" t="str">
        <f t="array" ref="L216">IFERROR(VLOOKUP(K216,Dex!$P$22:$Q$276,2,FALSE),"")</f>
        <v/>
      </c>
      <c r="M216" s="5630"/>
      <c r="N216" s="5618"/>
      <c r="O216" s="5627" t="s">
        <v>195</v>
      </c>
      <c r="P216" s="5628">
        <f t="array" ref="P216">IFERROR(VLOOKUP(O200,Dex!$B$3:$N244,11,FALSE),"")</f>
        <v>90</v>
      </c>
      <c r="Q216" s="5629" t="str">
        <f t="array" ref="Q216">IFERROR(VLOOKUP(P216,Dex!$P$22:$Q$276,2,FALSE),"")</f>
        <v/>
      </c>
      <c r="R216" s="5630">
        <v>252.0</v>
      </c>
      <c r="S216" s="5618"/>
      <c r="T216" s="5627" t="s">
        <v>195</v>
      </c>
      <c r="U216" s="5628">
        <f t="array" ref="U216">IFERROR(VLOOKUP(T200,Dex!$B$3:$N244,11,FALSE),"")</f>
        <v>120</v>
      </c>
      <c r="V216" s="5629" t="str">
        <f t="array" ref="V216">IFERROR(VLOOKUP(U216,Dex!$P$22:$Q$276,2,FALSE),"")</f>
        <v/>
      </c>
      <c r="W216" s="5630"/>
      <c r="X216" s="5618"/>
      <c r="Y216" s="5627" t="s">
        <v>195</v>
      </c>
      <c r="Z216" s="5628">
        <f t="array" ref="Z216">IFERROR(VLOOKUP(Y200,Dex!$B$3:$N244,11,FALSE),"")</f>
        <v>91</v>
      </c>
      <c r="AA216" s="5629" t="str">
        <f t="array" ref="AA216">IFERROR(VLOOKUP(Z216,Dex!$P$22:$Q$276,2,FALSE),"")</f>
        <v/>
      </c>
      <c r="AB216" s="5630">
        <v>252.0</v>
      </c>
      <c r="AC216" s="5621"/>
      <c r="AD216" s="5590"/>
      <c r="AE216" s="5557"/>
      <c r="AF216" s="5558"/>
      <c r="AG216" s="5599"/>
      <c r="AH216" s="5622"/>
      <c r="AI216" s="3466"/>
    </row>
    <row r="217" ht="16.5" customHeight="1">
      <c r="A217" s="3457"/>
      <c r="B217" s="5617"/>
      <c r="C217" s="5631"/>
      <c r="D217" s="5618"/>
      <c r="E217" s="5627" t="s">
        <v>196</v>
      </c>
      <c r="F217" s="5628">
        <f t="array" ref="F217">IFERROR(VLOOKUP(E200,Dex!$B$3:$N244,12,FALSE),"")</f>
        <v>55</v>
      </c>
      <c r="G217" s="5629" t="str">
        <f t="array" ref="G217">IFERROR(VLOOKUP(F217,Dex!$P$22:$Q$276,2,FALSE),"")</f>
        <v/>
      </c>
      <c r="H217" s="5630"/>
      <c r="I217" s="5618"/>
      <c r="J217" s="5627" t="s">
        <v>196</v>
      </c>
      <c r="K217" s="5628">
        <f t="array" ref="K217">IFERROR(VLOOKUP(J200,Dex!$B$3:$N244,12,FALSE),"")</f>
        <v>70</v>
      </c>
      <c r="L217" s="5629" t="str">
        <f t="array" ref="L217">IFERROR(VLOOKUP(K217,Dex!$P$22:$Q$276,2,FALSE),"")</f>
        <v/>
      </c>
      <c r="M217" s="5630"/>
      <c r="N217" s="5618"/>
      <c r="O217" s="5627" t="s">
        <v>196</v>
      </c>
      <c r="P217" s="5628">
        <f t="array" ref="P217">IFERROR(VLOOKUP(O200,Dex!$B$3:$N244,12,FALSE),"")</f>
        <v>80</v>
      </c>
      <c r="Q217" s="5629" t="str">
        <f t="array" ref="Q217">IFERROR(VLOOKUP(P217,Dex!$P$22:$Q$276,2,FALSE),"")</f>
        <v/>
      </c>
      <c r="R217" s="5630"/>
      <c r="S217" s="5618"/>
      <c r="T217" s="5627" t="s">
        <v>196</v>
      </c>
      <c r="U217" s="5628">
        <f t="array" ref="U217">IFERROR(VLOOKUP(T200,Dex!$B$3:$N244,12,FALSE),"")</f>
        <v>80</v>
      </c>
      <c r="V217" s="5629" t="str">
        <f t="array" ref="V217">IFERROR(VLOOKUP(U217,Dex!$P$22:$Q$276,2,FALSE),"")</f>
        <v/>
      </c>
      <c r="W217" s="5630">
        <v>4.0</v>
      </c>
      <c r="X217" s="5618"/>
      <c r="Y217" s="5627" t="s">
        <v>196</v>
      </c>
      <c r="Z217" s="5628">
        <f t="array" ref="Z217">IFERROR(VLOOKUP(Y200,Dex!$B$3:$N244,12,FALSE),"")</f>
        <v>125</v>
      </c>
      <c r="AA217" s="5629" t="str">
        <f t="array" ref="AA217">IFERROR(VLOOKUP(Z217,Dex!$P$22:$Q$276,2,FALSE),"")</f>
        <v/>
      </c>
      <c r="AB217" s="5630"/>
      <c r="AC217" s="5621"/>
      <c r="AD217" s="5590"/>
      <c r="AE217" s="5557"/>
      <c r="AF217" s="5558"/>
      <c r="AG217" s="5599"/>
      <c r="AH217" s="5622"/>
      <c r="AI217" s="3466"/>
    </row>
    <row r="218" ht="16.5" customHeight="1">
      <c r="A218" s="3457"/>
      <c r="B218" s="5632"/>
      <c r="C218" s="1204" t="s">
        <v>436</v>
      </c>
      <c r="D218" s="5633"/>
      <c r="E218" s="5634" t="s">
        <v>197</v>
      </c>
      <c r="F218" s="5635">
        <f t="array" ref="F218">IFERROR(VLOOKUP(E200,Dex!$B$3:$N244,13,FALSE),"")</f>
        <v>85</v>
      </c>
      <c r="G218" s="5636" t="str">
        <f t="array" ref="G218">IFERROR(VLOOKUP(F218,Dex!$P$22:$Q$276,2,FALSE),"")</f>
        <v/>
      </c>
      <c r="H218" s="5637">
        <v>252.0</v>
      </c>
      <c r="I218" s="5633"/>
      <c r="J218" s="5634" t="s">
        <v>197</v>
      </c>
      <c r="K218" s="5635">
        <f t="array" ref="K218">IFERROR(VLOOKUP(J200,Dex!$B$3:$N244,13,FALSE),"")</f>
        <v>120</v>
      </c>
      <c r="L218" s="5636" t="str">
        <f t="array" ref="L218">IFERROR(VLOOKUP(K218,Dex!$P$22:$Q$276,2,FALSE),"")</f>
        <v/>
      </c>
      <c r="M218" s="5637">
        <v>252.0</v>
      </c>
      <c r="N218" s="5633"/>
      <c r="O218" s="5634" t="s">
        <v>197</v>
      </c>
      <c r="P218" s="5635">
        <f t="array" ref="P218">IFERROR(VLOOKUP(O200,Dex!$B$3:$N244,13,FALSE),"")</f>
        <v>30</v>
      </c>
      <c r="Q218" s="5636" t="str">
        <f t="array" ref="Q218">IFERROR(VLOOKUP(P218,Dex!$P$22:$Q$276,2,FALSE),"")</f>
        <v/>
      </c>
      <c r="R218" s="5637">
        <v>252.0</v>
      </c>
      <c r="S218" s="5633"/>
      <c r="T218" s="5634" t="s">
        <v>197</v>
      </c>
      <c r="U218" s="5635">
        <f t="array" ref="U218">IFERROR(VLOOKUP(T200,Dex!$B$3:$N244,13,FALSE),"")</f>
        <v>44</v>
      </c>
      <c r="V218" s="5636" t="str">
        <f t="array" ref="V218">IFERROR(VLOOKUP(U218,Dex!$P$22:$Q$276,2,FALSE),"")</f>
        <v/>
      </c>
      <c r="W218" s="5637"/>
      <c r="X218" s="5633"/>
      <c r="Y218" s="5634" t="s">
        <v>197</v>
      </c>
      <c r="Z218" s="5635">
        <f t="array" ref="Z218">IFERROR(VLOOKUP(Y200,Dex!$B$3:$N244,13,FALSE),"")</f>
        <v>99</v>
      </c>
      <c r="AA218" s="5636" t="str">
        <f t="array" ref="AA218">IFERROR(VLOOKUP(Z218,Dex!$P$22:$Q$276,2,FALSE),"")</f>
        <v/>
      </c>
      <c r="AB218" s="5637">
        <v>252.0</v>
      </c>
      <c r="AC218" s="5621"/>
      <c r="AD218" s="5590"/>
      <c r="AE218" s="5557"/>
      <c r="AF218" s="5558"/>
      <c r="AG218" s="5599"/>
      <c r="AH218" s="5622"/>
      <c r="AI218" s="3466"/>
    </row>
    <row r="219" ht="16.5" customHeight="1">
      <c r="A219" s="3457"/>
      <c r="B219" s="5632"/>
      <c r="C219" s="1205" t="s">
        <v>793</v>
      </c>
      <c r="D219" s="5633"/>
      <c r="E219" s="5638" t="s">
        <v>198</v>
      </c>
      <c r="F219" s="405"/>
      <c r="G219" s="406"/>
      <c r="H219" s="5639">
        <v>231.0</v>
      </c>
      <c r="I219" s="5633"/>
      <c r="J219" s="5638" t="s">
        <v>198</v>
      </c>
      <c r="K219" s="405"/>
      <c r="L219" s="406"/>
      <c r="M219" s="5639">
        <v>291.0</v>
      </c>
      <c r="N219" s="5633"/>
      <c r="O219" s="5638" t="s">
        <v>198</v>
      </c>
      <c r="P219" s="405"/>
      <c r="Q219" s="406"/>
      <c r="R219" s="5639">
        <v>137.0</v>
      </c>
      <c r="S219" s="5633"/>
      <c r="T219" s="5638" t="s">
        <v>198</v>
      </c>
      <c r="U219" s="405"/>
      <c r="V219" s="406"/>
      <c r="W219" s="5639">
        <v>97.0</v>
      </c>
      <c r="X219" s="5633"/>
      <c r="Y219" s="5638" t="s">
        <v>198</v>
      </c>
      <c r="Z219" s="405"/>
      <c r="AA219" s="406"/>
      <c r="AB219" s="5639">
        <v>255.0</v>
      </c>
      <c r="AC219" s="5621"/>
      <c r="AD219" s="5590"/>
      <c r="AE219" s="5557"/>
      <c r="AF219" s="5558"/>
      <c r="AG219" s="5599"/>
      <c r="AH219" s="5622"/>
      <c r="AI219" s="3466"/>
    </row>
    <row r="220" ht="15.0" customHeight="1">
      <c r="A220" s="3621"/>
      <c r="B220" s="5640"/>
      <c r="C220" s="5641"/>
      <c r="D220" s="5642"/>
      <c r="E220" s="5641"/>
      <c r="F220" s="5641"/>
      <c r="G220" s="5641"/>
      <c r="H220" s="5641"/>
      <c r="I220" s="5642"/>
      <c r="J220" s="5643"/>
      <c r="K220" s="5643"/>
      <c r="L220" s="5643"/>
      <c r="M220" s="5641"/>
      <c r="N220" s="5642"/>
      <c r="O220" s="5643"/>
      <c r="P220" s="5643"/>
      <c r="Q220" s="5643"/>
      <c r="R220" s="5641"/>
      <c r="S220" s="5642"/>
      <c r="T220" s="5643"/>
      <c r="U220" s="5643"/>
      <c r="V220" s="5643"/>
      <c r="W220" s="5641"/>
      <c r="X220" s="5642"/>
      <c r="Y220" s="5643"/>
      <c r="Z220" s="5643"/>
      <c r="AA220" s="5643"/>
      <c r="AB220" s="5641"/>
      <c r="AC220" s="5642"/>
      <c r="AD220" s="5642"/>
      <c r="AE220" s="5642"/>
      <c r="AF220" s="5642"/>
      <c r="AG220" s="5642"/>
      <c r="AH220" s="5644"/>
      <c r="AI220" s="3631"/>
    </row>
    <row r="221" ht="15.0" customHeight="1">
      <c r="A221" s="3621"/>
      <c r="B221" s="5545"/>
      <c r="C221" s="5546"/>
      <c r="D221" s="5547"/>
      <c r="E221" s="5548"/>
      <c r="F221" s="5548"/>
      <c r="G221" s="5548"/>
      <c r="H221" s="5548"/>
      <c r="I221" s="5547"/>
      <c r="J221" s="5548"/>
      <c r="K221" s="5548"/>
      <c r="L221" s="5548"/>
      <c r="M221" s="5548"/>
      <c r="N221" s="5547"/>
      <c r="O221" s="5548"/>
      <c r="P221" s="5548"/>
      <c r="Q221" s="5548"/>
      <c r="R221" s="5548"/>
      <c r="S221" s="5547"/>
      <c r="T221" s="5548"/>
      <c r="U221" s="5548"/>
      <c r="V221" s="5548"/>
      <c r="W221" s="5548"/>
      <c r="X221" s="5547"/>
      <c r="Y221" s="5548"/>
      <c r="Z221" s="5548"/>
      <c r="AA221" s="5548"/>
      <c r="AB221" s="5548"/>
      <c r="AC221" s="5549"/>
      <c r="AD221" s="5549"/>
      <c r="AE221" s="5549"/>
      <c r="AF221" s="5549"/>
      <c r="AG221" s="5549"/>
      <c r="AH221" s="5550"/>
      <c r="AI221" s="3631"/>
    </row>
    <row r="222" ht="96.75" customHeight="1">
      <c r="A222" s="3621"/>
      <c r="B222" s="5551"/>
      <c r="C222" s="5552" t="str">
        <f>IMAGE("https://i.ibb.co/r4MDjgq/Burglar.png")</f>
        <v/>
      </c>
      <c r="D222" s="5553"/>
      <c r="E222" s="5554" t="str">
        <f t="array" ref="E222">IFERROR(VLOOKUP(E223,Dex!$B$2:$D244,3,FALSE),"")</f>
        <v/>
      </c>
      <c r="F222" s="1830"/>
      <c r="G222" s="1830"/>
      <c r="H222" s="1831"/>
      <c r="I222" s="5553"/>
      <c r="J222" s="5554" t="str">
        <f t="array" ref="J222">IFERROR(VLOOKUP(J223,Dex!$B$2:$D244,3,FALSE),"")</f>
        <v/>
      </c>
      <c r="K222" s="1830"/>
      <c r="L222" s="1830"/>
      <c r="M222" s="1831"/>
      <c r="N222" s="5553"/>
      <c r="O222" s="5554" t="str">
        <f t="array" ref="O222">IFERROR(VLOOKUP(O223,Dex!$B$2:$D244,3,FALSE),"")</f>
        <v/>
      </c>
      <c r="P222" s="1830"/>
      <c r="Q222" s="1830"/>
      <c r="R222" s="1831"/>
      <c r="S222" s="5553"/>
      <c r="T222" s="5554" t="str">
        <f t="array" ref="T222">IFERROR(VLOOKUP(T223,Dex!$B$2:$D244,3,FALSE),"")</f>
        <v/>
      </c>
      <c r="U222" s="1830"/>
      <c r="V222" s="1830"/>
      <c r="W222" s="1831"/>
      <c r="X222" s="5553"/>
      <c r="Y222" s="5554" t="str">
        <f t="array" ref="Y222">IFERROR(VLOOKUP(Y223,Dex!$B$2:$D244,3,FALSE),"")</f>
        <v/>
      </c>
      <c r="Z222" s="1830"/>
      <c r="AA222" s="1830"/>
      <c r="AB222" s="1831"/>
      <c r="AC222" s="5555"/>
      <c r="AD222" s="5556"/>
      <c r="AE222" s="5557"/>
      <c r="AF222" s="5557"/>
      <c r="AG222" s="5558"/>
      <c r="AH222" s="5559"/>
      <c r="AI222" s="3631"/>
    </row>
    <row r="223" ht="18.75" customHeight="1">
      <c r="A223" s="3621"/>
      <c r="B223" s="5551"/>
      <c r="C223" s="5560" t="s">
        <v>1400</v>
      </c>
      <c r="D223" s="5561"/>
      <c r="E223" s="5562" t="s">
        <v>879</v>
      </c>
      <c r="F223" s="5563"/>
      <c r="G223" s="5563"/>
      <c r="H223" s="5564"/>
      <c r="I223" s="5561"/>
      <c r="J223" s="5562" t="s">
        <v>1401</v>
      </c>
      <c r="K223" s="5563"/>
      <c r="L223" s="5563"/>
      <c r="M223" s="5564"/>
      <c r="N223" s="5561"/>
      <c r="O223" s="5562" t="s">
        <v>1402</v>
      </c>
      <c r="P223" s="5563"/>
      <c r="Q223" s="5563"/>
      <c r="R223" s="5564"/>
      <c r="S223" s="5561"/>
      <c r="T223" s="5562" t="s">
        <v>1403</v>
      </c>
      <c r="U223" s="5563"/>
      <c r="V223" s="5563"/>
      <c r="W223" s="5564"/>
      <c r="X223" s="5561"/>
      <c r="Y223" s="5562" t="s">
        <v>1404</v>
      </c>
      <c r="Z223" s="5563"/>
      <c r="AA223" s="5563"/>
      <c r="AB223" s="5564"/>
      <c r="AC223" s="5565"/>
      <c r="AD223" s="5566"/>
      <c r="AE223" s="5557"/>
      <c r="AF223" s="5557"/>
      <c r="AG223" s="5558"/>
      <c r="AH223" s="5559"/>
      <c r="AI223" s="3631"/>
    </row>
    <row r="224">
      <c r="A224" s="3621"/>
      <c r="B224" s="5551"/>
      <c r="C224" s="1481"/>
      <c r="D224" s="5561"/>
      <c r="E224" s="5567" t="s">
        <v>715</v>
      </c>
      <c r="F224" s="5568"/>
      <c r="G224" s="5568"/>
      <c r="H224" s="5569"/>
      <c r="I224" s="5561"/>
      <c r="J224" s="5567" t="s">
        <v>715</v>
      </c>
      <c r="K224" s="5568"/>
      <c r="L224" s="5568"/>
      <c r="M224" s="5569"/>
      <c r="N224" s="5561"/>
      <c r="O224" s="5567" t="s">
        <v>715</v>
      </c>
      <c r="P224" s="5568"/>
      <c r="Q224" s="5568"/>
      <c r="R224" s="5569"/>
      <c r="S224" s="5561"/>
      <c r="T224" s="5567" t="s">
        <v>715</v>
      </c>
      <c r="U224" s="5568"/>
      <c r="V224" s="5568"/>
      <c r="W224" s="5569"/>
      <c r="X224" s="5561"/>
      <c r="Y224" s="5567" t="s">
        <v>715</v>
      </c>
      <c r="Z224" s="5568"/>
      <c r="AA224" s="5568"/>
      <c r="AB224" s="5569"/>
      <c r="AC224" s="5565"/>
      <c r="AD224" s="5570"/>
      <c r="AE224" s="5557"/>
      <c r="AF224" s="5557"/>
      <c r="AG224" s="5558"/>
      <c r="AH224" s="5559"/>
      <c r="AI224" s="3631"/>
    </row>
    <row r="225" ht="25.5" customHeight="1">
      <c r="A225" s="3621"/>
      <c r="B225" s="5551"/>
      <c r="C225" s="1489"/>
      <c r="D225" s="5571"/>
      <c r="E225" s="5572"/>
      <c r="F225" s="5573" t="str">
        <f t="array" ref="F225">IFERROR(VLOOKUP(E223,Dex!$B$3:$H244,5,FALSE),"")</f>
        <v/>
      </c>
      <c r="G225" s="5574" t="str">
        <f t="array" ref="G225">IFERROR(VLOOKUP(E223,Dex!$B$3:$H244,7,FALSE),"")</f>
        <v/>
      </c>
      <c r="H225" s="5575"/>
      <c r="I225" s="5571"/>
      <c r="J225" s="5572"/>
      <c r="K225" s="5573" t="str">
        <f t="array" ref="K225">IFERROR(VLOOKUP(J223,Dex!$B$3:$H244,5,FALSE),"")</f>
        <v/>
      </c>
      <c r="L225" s="5574" t="str">
        <f t="array" ref="L225">IFERROR(VLOOKUP(J223,Dex!$B$3:$H244,7,FALSE),"")</f>
        <v/>
      </c>
      <c r="M225" s="5575"/>
      <c r="N225" s="5571"/>
      <c r="O225" s="5572"/>
      <c r="P225" s="5573" t="str">
        <f t="array" ref="P225">IFERROR(VLOOKUP(O223,Dex!$B$3:$H244,5,FALSE),"")</f>
        <v/>
      </c>
      <c r="Q225" s="5574" t="str">
        <f t="array" ref="Q225">IFERROR(VLOOKUP(O223,Dex!$B$3:$H244,7,FALSE),"")</f>
        <v/>
      </c>
      <c r="R225" s="5575"/>
      <c r="S225" s="5571"/>
      <c r="T225" s="5572"/>
      <c r="U225" s="5573" t="str">
        <f t="array" ref="U225">IFERROR(VLOOKUP(T223,Dex!$B$3:$H244,5,FALSE),"")</f>
        <v/>
      </c>
      <c r="V225" s="5574" t="str">
        <f t="array" ref="V225">IFERROR(VLOOKUP(T223,Dex!$B$3:$H244,7,FALSE),"")</f>
        <v/>
      </c>
      <c r="W225" s="5575"/>
      <c r="X225" s="5571"/>
      <c r="Y225" s="5572"/>
      <c r="Z225" s="5576" t="str">
        <f t="array" ref="Z225">IFERROR(VLOOKUP(Y223,Dex!$B$3:$H244,5,FALSE),"")</f>
        <v/>
      </c>
      <c r="AA225" s="5577"/>
      <c r="AB225" s="5575"/>
      <c r="AC225" s="5565"/>
      <c r="AD225" s="5578"/>
      <c r="AE225" s="5579"/>
      <c r="AF225" s="5579"/>
      <c r="AG225" s="5579"/>
      <c r="AH225" s="5559"/>
      <c r="AI225" s="3631"/>
    </row>
    <row r="226" ht="2.25" customHeight="1">
      <c r="A226" s="3621"/>
      <c r="B226" s="5580"/>
      <c r="C226" s="5581"/>
      <c r="D226" s="5582"/>
      <c r="E226" s="5583"/>
      <c r="F226" s="5584"/>
      <c r="G226" s="5584"/>
      <c r="H226" s="5585"/>
      <c r="I226" s="5582"/>
      <c r="J226" s="5583"/>
      <c r="K226" s="5584"/>
      <c r="L226" s="5584"/>
      <c r="M226" s="5585"/>
      <c r="N226" s="5582"/>
      <c r="O226" s="5583"/>
      <c r="P226" s="5584"/>
      <c r="Q226" s="5584"/>
      <c r="R226" s="5585"/>
      <c r="S226" s="5582"/>
      <c r="T226" s="5583"/>
      <c r="U226" s="5584"/>
      <c r="V226" s="5584"/>
      <c r="W226" s="5585"/>
      <c r="X226" s="5582"/>
      <c r="Y226" s="5583"/>
      <c r="Z226" s="5584"/>
      <c r="AA226" s="5584"/>
      <c r="AB226" s="5585"/>
      <c r="AC226" s="5565"/>
      <c r="AD226" s="5578"/>
      <c r="AE226" s="5579"/>
      <c r="AF226" s="5579"/>
      <c r="AG226" s="5579"/>
      <c r="AH226" s="5559"/>
      <c r="AI226" s="3631"/>
    </row>
    <row r="227" ht="20.25" customHeight="1">
      <c r="A227" s="3621"/>
      <c r="B227" s="5580"/>
      <c r="C227" s="5586"/>
      <c r="D227" s="5582"/>
      <c r="E227" s="5587" t="s">
        <v>172</v>
      </c>
      <c r="F227" s="5588"/>
      <c r="G227" s="5588"/>
      <c r="H227" s="5589"/>
      <c r="I227" s="5571"/>
      <c r="J227" s="5587" t="s">
        <v>172</v>
      </c>
      <c r="K227" s="5588"/>
      <c r="L227" s="5588"/>
      <c r="M227" s="5589"/>
      <c r="N227" s="5571"/>
      <c r="O227" s="5587" t="s">
        <v>205</v>
      </c>
      <c r="P227" s="5588"/>
      <c r="Q227" s="5588"/>
      <c r="R227" s="5589"/>
      <c r="S227" s="5571"/>
      <c r="T227" s="5587" t="s">
        <v>206</v>
      </c>
      <c r="U227" s="5588"/>
      <c r="V227" s="5588"/>
      <c r="W227" s="5589"/>
      <c r="X227" s="5571"/>
      <c r="Y227" s="5587" t="s">
        <v>205</v>
      </c>
      <c r="Z227" s="5588"/>
      <c r="AA227" s="5588"/>
      <c r="AB227" s="5589"/>
      <c r="AC227" s="5565"/>
      <c r="AD227" s="5590"/>
      <c r="AE227" s="5557"/>
      <c r="AF227" s="5557"/>
      <c r="AG227" s="5558"/>
      <c r="AH227" s="5559"/>
      <c r="AI227" s="3631"/>
    </row>
    <row r="228" ht="20.25" customHeight="1">
      <c r="A228" s="3621"/>
      <c r="B228" s="5580"/>
      <c r="C228" s="5591"/>
      <c r="D228" s="5582"/>
      <c r="E228" s="5592" t="s">
        <v>883</v>
      </c>
      <c r="F228" s="5557"/>
      <c r="G228" s="5557"/>
      <c r="H228" s="5593"/>
      <c r="I228" s="5571"/>
      <c r="J228" s="5592" t="s">
        <v>717</v>
      </c>
      <c r="K228" s="5557"/>
      <c r="L228" s="5557"/>
      <c r="M228" s="5593"/>
      <c r="N228" s="5571"/>
      <c r="O228" s="5592" t="s">
        <v>677</v>
      </c>
      <c r="P228" s="5557"/>
      <c r="Q228" s="5557"/>
      <c r="R228" s="5593"/>
      <c r="S228" s="5571"/>
      <c r="T228" s="5592" t="s">
        <v>301</v>
      </c>
      <c r="U228" s="5557"/>
      <c r="V228" s="5557"/>
      <c r="W228" s="5593"/>
      <c r="X228" s="5571"/>
      <c r="Y228" s="5592" t="s">
        <v>844</v>
      </c>
      <c r="Z228" s="5557"/>
      <c r="AA228" s="5557"/>
      <c r="AB228" s="5593"/>
      <c r="AC228" s="5565"/>
      <c r="AD228" s="5590"/>
      <c r="AE228" s="5557"/>
      <c r="AF228" s="5557"/>
      <c r="AG228" s="5558"/>
      <c r="AH228" s="5559"/>
      <c r="AI228" s="3631"/>
    </row>
    <row r="229" ht="20.25" customHeight="1">
      <c r="A229" s="3621"/>
      <c r="B229" s="5580"/>
      <c r="C229" s="5594"/>
      <c r="D229" s="5582"/>
      <c r="E229" s="5595" t="s">
        <v>240</v>
      </c>
      <c r="F229" s="5596"/>
      <c r="G229" s="5597"/>
      <c r="H229" s="5598" t="str">
        <f>IMAGE("https://raw.githubusercontent.com/msikma/pokesprite/master/items/hold-item/focus-sash.png",3)</f>
        <v/>
      </c>
      <c r="I229" s="5582"/>
      <c r="J229" s="5595" t="s">
        <v>363</v>
      </c>
      <c r="K229" s="5596"/>
      <c r="L229" s="5597"/>
      <c r="M229" s="5598" t="str">
        <f>IMAGE("https://raw.githubusercontent.com/msikma/pokesprite/master/items/berry/lum.png",3)</f>
        <v/>
      </c>
      <c r="N229" s="5582"/>
      <c r="O229" s="5595" t="s">
        <v>177</v>
      </c>
      <c r="P229" s="5596"/>
      <c r="Q229" s="5597"/>
      <c r="R229" s="5598" t="str">
        <f>IMAGE("https://raw.githubusercontent.com/msikma/pokesprite/master/items/hold-item/air-balloon.png",3)</f>
        <v/>
      </c>
      <c r="S229" s="5582"/>
      <c r="T229" s="5595" t="s">
        <v>394</v>
      </c>
      <c r="U229" s="5596"/>
      <c r="V229" s="5597"/>
      <c r="W229" s="5598" t="str">
        <f>IMAGE("https://raw.githubusercontent.com/msikma/pokesprite/master/items/hold-item/leftovers.png",3)</f>
        <v/>
      </c>
      <c r="X229" s="5582"/>
      <c r="Y229" s="5595" t="s">
        <v>272</v>
      </c>
      <c r="Z229" s="5596"/>
      <c r="AA229" s="5597"/>
      <c r="AB229" s="5598" t="str">
        <f>IMAGE("https://raw.githubusercontent.com/msikma/pokesprite/master/items/hold-item/life-orb.png",3)</f>
        <v/>
      </c>
      <c r="AC229" s="5565"/>
      <c r="AD229" s="5590"/>
      <c r="AE229" s="5557"/>
      <c r="AF229" s="5558"/>
      <c r="AG229" s="5599"/>
      <c r="AH229" s="5559"/>
      <c r="AI229" s="3631"/>
    </row>
    <row r="230" ht="20.25" customHeight="1">
      <c r="A230" s="3621"/>
      <c r="B230" s="5580"/>
      <c r="C230" s="5600"/>
      <c r="D230" s="5582"/>
      <c r="E230" s="5587" t="s">
        <v>885</v>
      </c>
      <c r="F230" s="5588"/>
      <c r="G230" s="5601"/>
      <c r="H230" s="5602" t="str">
        <f>IMAGE("https://raw.githubusercontent.com/msikma/pokesprite/master/misc/types/gen8/flying.png",4,20,20)</f>
        <v/>
      </c>
      <c r="I230" s="5582"/>
      <c r="J230" s="5587" t="s">
        <v>244</v>
      </c>
      <c r="K230" s="5588"/>
      <c r="L230" s="5601"/>
      <c r="M230" s="5602" t="str">
        <f>IMAGE("https://raw.githubusercontent.com/msikma/pokesprite/master/misc/types/gen8/fighting.png",4,20,20)</f>
        <v/>
      </c>
      <c r="N230" s="5582"/>
      <c r="O230" s="5587" t="s">
        <v>561</v>
      </c>
      <c r="P230" s="5588"/>
      <c r="Q230" s="5601"/>
      <c r="R230" s="5602" t="str">
        <f>IMAGE("https://raw.githubusercontent.com/msikma/pokesprite/master/misc/types/gen8/psychic.png",4,20,20)</f>
        <v/>
      </c>
      <c r="S230" s="5582"/>
      <c r="T230" s="5587" t="s">
        <v>252</v>
      </c>
      <c r="U230" s="5588"/>
      <c r="V230" s="5601"/>
      <c r="W230" s="5602" t="str">
        <f>IMAGE("https://raw.githubusercontent.com/msikma/pokesprite/master/misc/types/gen8/electric.png",4,20,20)</f>
        <v/>
      </c>
      <c r="X230" s="5582"/>
      <c r="Y230" s="5587" t="s">
        <v>311</v>
      </c>
      <c r="Z230" s="5588"/>
      <c r="AA230" s="5601"/>
      <c r="AB230" s="5602" t="str">
        <f>IMAGE("https://raw.githubusercontent.com/msikma/pokesprite/master/misc/types/gen8/normal.png",4,20,20)</f>
        <v/>
      </c>
      <c r="AC230" s="5565"/>
      <c r="AD230" s="5590"/>
      <c r="AE230" s="5557"/>
      <c r="AF230" s="5558"/>
      <c r="AG230" s="5599"/>
      <c r="AH230" s="5559"/>
      <c r="AI230" s="3631"/>
    </row>
    <row r="231" ht="20.25" customHeight="1">
      <c r="A231" s="3621"/>
      <c r="B231" s="5580"/>
      <c r="C231" s="5586"/>
      <c r="D231" s="5582"/>
      <c r="E231" s="5592" t="s">
        <v>312</v>
      </c>
      <c r="F231" s="5557"/>
      <c r="G231" s="5558"/>
      <c r="H231" s="5603" t="str">
        <f>IMAGE("https://raw.githubusercontent.com/msikma/pokesprite/master/misc/types/gen8/grass.png",4,20,20)</f>
        <v/>
      </c>
      <c r="I231" s="5582"/>
      <c r="J231" s="5592" t="s">
        <v>218</v>
      </c>
      <c r="K231" s="5557"/>
      <c r="L231" s="5558"/>
      <c r="M231" s="5603" t="str">
        <f>IMAGE("https://raw.githubusercontent.com/msikma/pokesprite/master/misc/types/gen8/poison.png",4,20,20)</f>
        <v/>
      </c>
      <c r="N231" s="5582"/>
      <c r="O231" s="5592" t="s">
        <v>280</v>
      </c>
      <c r="P231" s="5557"/>
      <c r="Q231" s="5558"/>
      <c r="R231" s="5603" t="str">
        <f>IMAGE("https://raw.githubusercontent.com/msikma/pokesprite/master/misc/types/gen8/poison.png",4,20,20)</f>
        <v/>
      </c>
      <c r="S231" s="5582"/>
      <c r="T231" s="5592" t="s">
        <v>464</v>
      </c>
      <c r="U231" s="5557"/>
      <c r="V231" s="5558"/>
      <c r="W231" s="5603" t="str">
        <f>IMAGE("https://raw.githubusercontent.com/msikma/pokesprite/master/misc/types/gen8/fairy.png",4,20,20)</f>
        <v/>
      </c>
      <c r="X231" s="5582"/>
      <c r="Y231" s="5592" t="s">
        <v>277</v>
      </c>
      <c r="Z231" s="5557"/>
      <c r="AA231" s="5558"/>
      <c r="AB231" s="5603" t="str">
        <f>IMAGE("https://raw.githubusercontent.com/msikma/pokesprite/master/misc/types/gen8/electric.png",4,20,20)</f>
        <v/>
      </c>
      <c r="AC231" s="5565"/>
      <c r="AD231" s="5590"/>
      <c r="AE231" s="5557"/>
      <c r="AF231" s="5558"/>
      <c r="AG231" s="5599"/>
      <c r="AH231" s="5559"/>
      <c r="AI231" s="3631"/>
    </row>
    <row r="232" ht="20.25" customHeight="1">
      <c r="A232" s="3621"/>
      <c r="B232" s="5580"/>
      <c r="C232" s="5586"/>
      <c r="D232" s="5582"/>
      <c r="E232" s="5592" t="s">
        <v>279</v>
      </c>
      <c r="F232" s="5557"/>
      <c r="G232" s="5558"/>
      <c r="H232" s="5603" t="str">
        <f>IMAGE("https://raw.githubusercontent.com/msikma/pokesprite/master/misc/types/gen8/dark.png",4,20,20)</f>
        <v/>
      </c>
      <c r="I232" s="5582"/>
      <c r="J232" s="5592" t="s">
        <v>863</v>
      </c>
      <c r="K232" s="5557"/>
      <c r="L232" s="5558"/>
      <c r="M232" s="5603" t="str">
        <f>IMAGE("https://raw.githubusercontent.com/msikma/pokesprite/master/misc/types/gen8/psychic.png",4,20,20)</f>
        <v/>
      </c>
      <c r="N232" s="5582"/>
      <c r="O232" s="5592" t="s">
        <v>401</v>
      </c>
      <c r="P232" s="5557"/>
      <c r="Q232" s="5558"/>
      <c r="R232" s="5603" t="str">
        <f>IMAGE("https://raw.githubusercontent.com/msikma/pokesprite/master/misc/types/gen8/dark.png",4,20,20)</f>
        <v/>
      </c>
      <c r="S232" s="5582"/>
      <c r="T232" s="5592" t="s">
        <v>313</v>
      </c>
      <c r="U232" s="5557"/>
      <c r="V232" s="5558"/>
      <c r="W232" s="5603" t="str">
        <f t="shared" ref="W232:W233" si="9">IMAGE("https://raw.githubusercontent.com/msikma/pokesprite/master/misc/types/gen8/psychic.png",4,20,20)</f>
        <v/>
      </c>
      <c r="X232" s="5582"/>
      <c r="Y232" s="5592" t="s">
        <v>318</v>
      </c>
      <c r="Z232" s="5557"/>
      <c r="AA232" s="5558"/>
      <c r="AB232" s="5603" t="str">
        <f>IMAGE("https://raw.githubusercontent.com/msikma/pokesprite/master/misc/types/gen8/ghost.png",4,20,20)</f>
        <v/>
      </c>
      <c r="AC232" s="5565"/>
      <c r="AD232" s="5590"/>
      <c r="AE232" s="5557"/>
      <c r="AF232" s="5558"/>
      <c r="AG232" s="5599"/>
      <c r="AH232" s="5559"/>
      <c r="AI232" s="3631"/>
    </row>
    <row r="233" ht="21.0" customHeight="1">
      <c r="A233" s="3621"/>
      <c r="B233" s="5580"/>
      <c r="C233" s="5586"/>
      <c r="D233" s="5582"/>
      <c r="E233" s="5604" t="s">
        <v>639</v>
      </c>
      <c r="F233" s="5605"/>
      <c r="G233" s="5606"/>
      <c r="H233" s="5607" t="str">
        <f>IMAGE("https://raw.githubusercontent.com/msikma/pokesprite/master/misc/types/gen8/fighting.png",4,20,20)</f>
        <v/>
      </c>
      <c r="I233" s="5582"/>
      <c r="J233" s="5604" t="s">
        <v>279</v>
      </c>
      <c r="K233" s="5605"/>
      <c r="L233" s="5606"/>
      <c r="M233" s="5607" t="str">
        <f>IMAGE("https://raw.githubusercontent.com/msikma/pokesprite/master/misc/types/gen8/dark.png",4,20,20)</f>
        <v/>
      </c>
      <c r="N233" s="5582"/>
      <c r="O233" s="5604" t="s">
        <v>344</v>
      </c>
      <c r="P233" s="5605"/>
      <c r="Q233" s="5606"/>
      <c r="R233" s="5607" t="str">
        <f>IMAGE("https://raw.githubusercontent.com/msikma/pokesprite/master/misc/types/gen8/fighting.png",4,20,20)</f>
        <v/>
      </c>
      <c r="S233" s="5582"/>
      <c r="T233" s="5604" t="s">
        <v>561</v>
      </c>
      <c r="U233" s="5605"/>
      <c r="V233" s="5606"/>
      <c r="W233" s="5607" t="str">
        <f t="shared" si="9"/>
        <v/>
      </c>
      <c r="X233" s="5582"/>
      <c r="Y233" s="5604" t="s">
        <v>278</v>
      </c>
      <c r="Z233" s="5605"/>
      <c r="AA233" s="5606"/>
      <c r="AB233" s="5607" t="str">
        <f>IMAGE("https://raw.githubusercontent.com/msikma/pokesprite/master/misc/types/gen8/bug.png",4,20,20)</f>
        <v/>
      </c>
      <c r="AC233" s="5608"/>
      <c r="AD233" s="5590"/>
      <c r="AE233" s="5557"/>
      <c r="AF233" s="5558"/>
      <c r="AG233" s="5599"/>
      <c r="AH233" s="5559"/>
      <c r="AI233" s="3631"/>
    </row>
    <row r="234" ht="3.0" customHeight="1">
      <c r="A234" s="3445"/>
      <c r="B234" s="5609"/>
      <c r="C234" s="5610"/>
      <c r="D234" s="5611"/>
      <c r="E234" s="5612"/>
      <c r="F234" s="5612"/>
      <c r="G234" s="5612"/>
      <c r="H234" s="5613"/>
      <c r="I234" s="5611"/>
      <c r="J234" s="5614"/>
      <c r="K234" s="5614"/>
      <c r="L234" s="5614"/>
      <c r="M234" s="5613"/>
      <c r="N234" s="5611"/>
      <c r="O234" s="5614"/>
      <c r="P234" s="5614"/>
      <c r="Q234" s="5614"/>
      <c r="R234" s="5613"/>
      <c r="S234" s="5611"/>
      <c r="T234" s="5614"/>
      <c r="U234" s="5614"/>
      <c r="V234" s="5614"/>
      <c r="W234" s="5613"/>
      <c r="X234" s="5611"/>
      <c r="Y234" s="5614"/>
      <c r="Z234" s="5614"/>
      <c r="AA234" s="5614"/>
      <c r="AB234" s="5613"/>
      <c r="AC234" s="5611"/>
      <c r="AD234" s="5615"/>
      <c r="AE234" s="5615"/>
      <c r="AF234" s="5615"/>
      <c r="AG234" s="5615"/>
      <c r="AH234" s="5616"/>
      <c r="AI234" s="3456"/>
    </row>
    <row r="235" ht="16.5" customHeight="1">
      <c r="A235" s="3457"/>
      <c r="B235" s="5617"/>
      <c r="C235" s="5610"/>
      <c r="D235" s="5618"/>
      <c r="E235" s="5619" t="s">
        <v>190</v>
      </c>
      <c r="F235" s="381"/>
      <c r="G235" s="382"/>
      <c r="H235" s="5620" t="s">
        <v>191</v>
      </c>
      <c r="I235" s="5618"/>
      <c r="J235" s="5619" t="s">
        <v>190</v>
      </c>
      <c r="K235" s="381"/>
      <c r="L235" s="382"/>
      <c r="M235" s="5620" t="s">
        <v>191</v>
      </c>
      <c r="N235" s="5618"/>
      <c r="O235" s="5619" t="s">
        <v>190</v>
      </c>
      <c r="P235" s="381"/>
      <c r="Q235" s="382"/>
      <c r="R235" s="5620" t="s">
        <v>191</v>
      </c>
      <c r="S235" s="5618"/>
      <c r="T235" s="5619" t="s">
        <v>190</v>
      </c>
      <c r="U235" s="381"/>
      <c r="V235" s="382"/>
      <c r="W235" s="5620" t="s">
        <v>191</v>
      </c>
      <c r="X235" s="5618"/>
      <c r="Y235" s="5619" t="s">
        <v>190</v>
      </c>
      <c r="Z235" s="381"/>
      <c r="AA235" s="382"/>
      <c r="AB235" s="5620" t="s">
        <v>191</v>
      </c>
      <c r="AC235" s="5621"/>
      <c r="AD235" s="5590"/>
      <c r="AE235" s="5557"/>
      <c r="AF235" s="5558"/>
      <c r="AG235" s="5599"/>
      <c r="AH235" s="5622"/>
      <c r="AI235" s="3466"/>
    </row>
    <row r="236" ht="16.5" customHeight="1">
      <c r="A236" s="3457"/>
      <c r="B236" s="5617"/>
      <c r="C236" s="5610"/>
      <c r="D236" s="5618"/>
      <c r="E236" s="5623" t="s">
        <v>192</v>
      </c>
      <c r="F236" s="5624">
        <f t="array" ref="F236">IFERROR(VLOOKUP(E223,Dex!$B$3:$N244,8,FALSE),"")</f>
        <v>90</v>
      </c>
      <c r="G236" s="5625" t="str">
        <f t="array" ref="G236">IFERROR(VLOOKUP(F236,Dex!$P$22:$Q$276,2,FALSE),"")</f>
        <v/>
      </c>
      <c r="H236" s="5626"/>
      <c r="I236" s="5618"/>
      <c r="J236" s="5623" t="s">
        <v>192</v>
      </c>
      <c r="K236" s="5624">
        <f t="array" ref="K236">IFERROR(VLOOKUP(J223,Dex!$B$3:$N244,8,FALSE),"")</f>
        <v>88</v>
      </c>
      <c r="L236" s="5625" t="str">
        <f t="array" ref="L236">IFERROR(VLOOKUP(K236,Dex!$P$22:$Q$276,2,FALSE),"")</f>
        <v/>
      </c>
      <c r="M236" s="5626"/>
      <c r="N236" s="5618"/>
      <c r="O236" s="5623" t="s">
        <v>192</v>
      </c>
      <c r="P236" s="5624">
        <f t="array" ref="P236">IFERROR(VLOOKUP(O223,Dex!$B$3:$N244,8,FALSE),"")</f>
        <v>88</v>
      </c>
      <c r="Q236" s="5625" t="str">
        <f t="array" ref="Q236">IFERROR(VLOOKUP(P236,Dex!$P$22:$Q$276,2,FALSE),"")</f>
        <v/>
      </c>
      <c r="R236" s="5626"/>
      <c r="S236" s="5618"/>
      <c r="T236" s="5623" t="s">
        <v>192</v>
      </c>
      <c r="U236" s="5624">
        <f t="array" ref="U236">IFERROR(VLOOKUP(T223,Dex!$B$3:$N244,8,FALSE),"")</f>
        <v>115</v>
      </c>
      <c r="V236" s="5625" t="str">
        <f t="array" ref="V236">IFERROR(VLOOKUP(U236,Dex!$P$22:$Q$276,2,FALSE),"")</f>
        <v/>
      </c>
      <c r="W236" s="5626">
        <v>252.0</v>
      </c>
      <c r="X236" s="5618"/>
      <c r="Y236" s="5623" t="s">
        <v>192</v>
      </c>
      <c r="Z236" s="5624">
        <f t="array" ref="Z236">IFERROR(VLOOKUP(Y223,Dex!$B$3:$N244,8,FALSE),"")</f>
        <v>65</v>
      </c>
      <c r="AA236" s="5625" t="str">
        <f t="array" ref="AA236">IFERROR(VLOOKUP(Z236,Dex!$P$22:$Q$276,2,FALSE),"")</f>
        <v/>
      </c>
      <c r="AB236" s="5626"/>
      <c r="AC236" s="5621"/>
      <c r="AD236" s="5590"/>
      <c r="AE236" s="5557"/>
      <c r="AF236" s="5558"/>
      <c r="AG236" s="5599"/>
      <c r="AH236" s="5622"/>
      <c r="AI236" s="3466"/>
    </row>
    <row r="237" ht="16.5" customHeight="1">
      <c r="A237" s="3457"/>
      <c r="B237" s="5617"/>
      <c r="C237" s="5610"/>
      <c r="D237" s="5618"/>
      <c r="E237" s="5627" t="s">
        <v>193</v>
      </c>
      <c r="F237" s="5628">
        <f t="array" ref="F237">IFERROR(VLOOKUP(E223,Dex!$B$3:$N244,9,FALSE),"")</f>
        <v>120</v>
      </c>
      <c r="G237" s="5629" t="str">
        <f t="array" ref="G237">IFERROR(VLOOKUP(F237,Dex!$P$22:$Q$276,2,FALSE),"")</f>
        <v/>
      </c>
      <c r="H237" s="5630">
        <v>252.0</v>
      </c>
      <c r="I237" s="5618"/>
      <c r="J237" s="5627" t="s">
        <v>193</v>
      </c>
      <c r="K237" s="5628">
        <f t="array" ref="K237">IFERROR(VLOOKUP(J223,Dex!$B$3:$N244,9,FALSE),"")</f>
        <v>128</v>
      </c>
      <c r="L237" s="5629" t="str">
        <f t="array" ref="L237">IFERROR(VLOOKUP(K237,Dex!$P$22:$Q$276,2,FALSE),"")</f>
        <v/>
      </c>
      <c r="M237" s="5630">
        <v>252.0</v>
      </c>
      <c r="N237" s="5618"/>
      <c r="O237" s="5627" t="s">
        <v>193</v>
      </c>
      <c r="P237" s="5628">
        <f t="array" ref="P237">IFERROR(VLOOKUP(O223,Dex!$B$3:$N244,9,FALSE),"")</f>
        <v>75</v>
      </c>
      <c r="Q237" s="5629" t="str">
        <f t="array" ref="Q237">IFERROR(VLOOKUP(P237,Dex!$P$22:$Q$276,2,FALSE),"")</f>
        <v/>
      </c>
      <c r="R237" s="5630"/>
      <c r="S237" s="5618"/>
      <c r="T237" s="5627" t="s">
        <v>193</v>
      </c>
      <c r="U237" s="5628">
        <f t="array" ref="U237">IFERROR(VLOOKUP(T223,Dex!$B$3:$N244,9,FALSE),"")</f>
        <v>65</v>
      </c>
      <c r="V237" s="5629" t="str">
        <f t="array" ref="V237">IFERROR(VLOOKUP(U237,Dex!$P$22:$Q$276,2,FALSE),"")</f>
        <v/>
      </c>
      <c r="W237" s="5630"/>
      <c r="X237" s="5618"/>
      <c r="Y237" s="5627" t="s">
        <v>193</v>
      </c>
      <c r="Z237" s="5628">
        <f t="array" ref="Z237">IFERROR(VLOOKUP(Y223,Dex!$B$3:$N244,9,FALSE),"")</f>
        <v>80</v>
      </c>
      <c r="AA237" s="5629" t="str">
        <f t="array" ref="AA237">IFERROR(VLOOKUP(Z237,Dex!$P$22:$Q$276,2,FALSE),"")</f>
        <v/>
      </c>
      <c r="AB237" s="5630"/>
      <c r="AC237" s="5621"/>
      <c r="AD237" s="5590"/>
      <c r="AE237" s="5557"/>
      <c r="AF237" s="5558"/>
      <c r="AG237" s="5599"/>
      <c r="AH237" s="5622"/>
      <c r="AI237" s="3466"/>
    </row>
    <row r="238" ht="16.5" customHeight="1">
      <c r="A238" s="3457"/>
      <c r="B238" s="5617"/>
      <c r="C238" s="5610"/>
      <c r="D238" s="5618"/>
      <c r="E238" s="5627" t="s">
        <v>194</v>
      </c>
      <c r="F238" s="5628">
        <f t="array" ref="F238">IFERROR(VLOOKUP(E223,Dex!$B$3:$N244,10,FALSE),"")</f>
        <v>60</v>
      </c>
      <c r="G238" s="5629" t="str">
        <f t="array" ref="G238">IFERROR(VLOOKUP(F238,Dex!$P$22:$Q$276,2,FALSE),"")</f>
        <v/>
      </c>
      <c r="H238" s="5630">
        <v>4.0</v>
      </c>
      <c r="I238" s="5618"/>
      <c r="J238" s="5627" t="s">
        <v>194</v>
      </c>
      <c r="K238" s="5628">
        <f t="array" ref="K238">IFERROR(VLOOKUP(J223,Dex!$B$3:$N244,10,FALSE),"")</f>
        <v>115</v>
      </c>
      <c r="L238" s="5629" t="str">
        <f t="array" ref="L238">IFERROR(VLOOKUP(K238,Dex!$P$22:$Q$276,2,FALSE),"")</f>
        <v/>
      </c>
      <c r="M238" s="5630">
        <v>4.0</v>
      </c>
      <c r="N238" s="5618"/>
      <c r="O238" s="5627" t="s">
        <v>194</v>
      </c>
      <c r="P238" s="5628">
        <f t="array" ref="P238">IFERROR(VLOOKUP(O223,Dex!$B$3:$N244,10,FALSE),"")</f>
        <v>66</v>
      </c>
      <c r="Q238" s="5629" t="str">
        <f t="array" ref="Q238">IFERROR(VLOOKUP(P238,Dex!$P$22:$Q$276,2,FALSE),"")</f>
        <v/>
      </c>
      <c r="R238" s="5630">
        <v>4.0</v>
      </c>
      <c r="S238" s="5618"/>
      <c r="T238" s="5627" t="s">
        <v>194</v>
      </c>
      <c r="U238" s="5628">
        <f t="array" ref="U238">IFERROR(VLOOKUP(T223,Dex!$B$3:$N244,10,FALSE),"")</f>
        <v>99</v>
      </c>
      <c r="V238" s="5629" t="str">
        <f t="array" ref="V238">IFERROR(VLOOKUP(U238,Dex!$P$22:$Q$276,2,FALSE),"")</f>
        <v/>
      </c>
      <c r="W238" s="5630">
        <v>252.0</v>
      </c>
      <c r="X238" s="5618"/>
      <c r="Y238" s="5627" t="s">
        <v>194</v>
      </c>
      <c r="Z238" s="5628">
        <f t="array" ref="Z238">IFERROR(VLOOKUP(Y223,Dex!$B$3:$N244,10,FALSE),"")</f>
        <v>60</v>
      </c>
      <c r="AA238" s="5629" t="str">
        <f t="array" ref="AA238">IFERROR(VLOOKUP(Z238,Dex!$P$22:$Q$276,2,FALSE),"")</f>
        <v/>
      </c>
      <c r="AB238" s="5630">
        <v>4.0</v>
      </c>
      <c r="AC238" s="5621"/>
      <c r="AD238" s="5590"/>
      <c r="AE238" s="5557"/>
      <c r="AF238" s="5558"/>
      <c r="AG238" s="5599"/>
      <c r="AH238" s="5622"/>
      <c r="AI238" s="3466"/>
    </row>
    <row r="239" ht="16.5" customHeight="1">
      <c r="A239" s="3457"/>
      <c r="B239" s="5617"/>
      <c r="C239" s="5610"/>
      <c r="D239" s="5618"/>
      <c r="E239" s="5627" t="s">
        <v>195</v>
      </c>
      <c r="F239" s="5628">
        <f t="array" ref="F239">IFERROR(VLOOKUP(E223,Dex!$B$3:$N244,11,FALSE),"")</f>
        <v>110</v>
      </c>
      <c r="G239" s="5629" t="str">
        <f t="array" ref="G239">IFERROR(VLOOKUP(F239,Dex!$P$22:$Q$276,2,FALSE),"")</f>
        <v/>
      </c>
      <c r="H239" s="5630"/>
      <c r="I239" s="5618"/>
      <c r="J239" s="5627" t="s">
        <v>195</v>
      </c>
      <c r="K239" s="5628">
        <f t="array" ref="K239">IFERROR(VLOOKUP(J223,Dex!$B$3:$N244,11,FALSE),"")</f>
        <v>58</v>
      </c>
      <c r="L239" s="5629" t="str">
        <f t="array" ref="L239">IFERROR(VLOOKUP(K239,Dex!$P$22:$Q$276,2,FALSE),"")</f>
        <v/>
      </c>
      <c r="M239" s="5630"/>
      <c r="N239" s="5618"/>
      <c r="O239" s="5627" t="s">
        <v>195</v>
      </c>
      <c r="P239" s="5628">
        <f t="array" ref="P239">IFERROR(VLOOKUP(O223,Dex!$B$3:$N244,11,FALSE),"")</f>
        <v>130</v>
      </c>
      <c r="Q239" s="5629" t="str">
        <f t="array" ref="Q239">IFERROR(VLOOKUP(P239,Dex!$P$22:$Q$276,2,FALSE),"")</f>
        <v/>
      </c>
      <c r="R239" s="5630">
        <v>252.0</v>
      </c>
      <c r="S239" s="5618"/>
      <c r="T239" s="5627" t="s">
        <v>195</v>
      </c>
      <c r="U239" s="5628">
        <f t="array" ref="U239">IFERROR(VLOOKUP(T223,Dex!$B$3:$N244,11,FALSE),"")</f>
        <v>85</v>
      </c>
      <c r="V239" s="5629" t="str">
        <f t="array" ref="V239">IFERROR(VLOOKUP(U239,Dex!$P$22:$Q$276,2,FALSE),"")</f>
        <v/>
      </c>
      <c r="W239" s="5630"/>
      <c r="X239" s="5618"/>
      <c r="Y239" s="5627" t="s">
        <v>195</v>
      </c>
      <c r="Z239" s="5628">
        <f t="array" ref="Z239">IFERROR(VLOOKUP(Y223,Dex!$B$3:$N244,11,FALSE),"")</f>
        <v>60</v>
      </c>
      <c r="AA239" s="5629" t="str">
        <f t="array" ref="AA239">IFERROR(VLOOKUP(Z239,Dex!$P$22:$Q$276,2,FALSE),"")</f>
        <v/>
      </c>
      <c r="AB239" s="5630">
        <v>252.0</v>
      </c>
      <c r="AC239" s="5621"/>
      <c r="AD239" s="5590"/>
      <c r="AE239" s="5557"/>
      <c r="AF239" s="5558"/>
      <c r="AG239" s="5599"/>
      <c r="AH239" s="5622"/>
      <c r="AI239" s="3466"/>
    </row>
    <row r="240" ht="16.5" customHeight="1">
      <c r="A240" s="3457"/>
      <c r="B240" s="5617"/>
      <c r="C240" s="5631"/>
      <c r="D240" s="5618"/>
      <c r="E240" s="5627" t="s">
        <v>196</v>
      </c>
      <c r="F240" s="5628">
        <f t="array" ref="F240">IFERROR(VLOOKUP(E223,Dex!$B$3:$N244,12,FALSE),"")</f>
        <v>60</v>
      </c>
      <c r="G240" s="5629" t="str">
        <f t="array" ref="G240">IFERROR(VLOOKUP(F240,Dex!$P$22:$Q$276,2,FALSE),"")</f>
        <v/>
      </c>
      <c r="H240" s="5630"/>
      <c r="I240" s="5618"/>
      <c r="J240" s="5627" t="s">
        <v>196</v>
      </c>
      <c r="K240" s="5628">
        <f t="array" ref="K240">IFERROR(VLOOKUP(J223,Dex!$B$3:$N244,12,FALSE),"")</f>
        <v>86</v>
      </c>
      <c r="L240" s="5629" t="str">
        <f t="array" ref="L240">IFERROR(VLOOKUP(K240,Dex!$P$22:$Q$276,2,FALSE),"")</f>
        <v/>
      </c>
      <c r="M240" s="5630"/>
      <c r="N240" s="5618"/>
      <c r="O240" s="5627" t="s">
        <v>196</v>
      </c>
      <c r="P240" s="5628">
        <f t="array" ref="P240">IFERROR(VLOOKUP(O223,Dex!$B$3:$N244,12,FALSE),"")</f>
        <v>90</v>
      </c>
      <c r="Q240" s="5629" t="str">
        <f t="array" ref="Q240">IFERROR(VLOOKUP(P240,Dex!$P$22:$Q$276,2,FALSE),"")</f>
        <v/>
      </c>
      <c r="R240" s="5630"/>
      <c r="S240" s="5618"/>
      <c r="T240" s="5627" t="s">
        <v>196</v>
      </c>
      <c r="U240" s="5628">
        <f t="array" ref="U240">IFERROR(VLOOKUP(T223,Dex!$B$3:$N244,12,FALSE),"")</f>
        <v>115</v>
      </c>
      <c r="V240" s="5629" t="str">
        <f t="array" ref="V240">IFERROR(VLOOKUP(U240,Dex!$P$22:$Q$276,2,FALSE),"")</f>
        <v/>
      </c>
      <c r="W240" s="5630"/>
      <c r="X240" s="5618"/>
      <c r="Y240" s="5627" t="s">
        <v>196</v>
      </c>
      <c r="Z240" s="5628">
        <f t="array" ref="Z240">IFERROR(VLOOKUP(Y223,Dex!$B$3:$N244,12,FALSE),"")</f>
        <v>65</v>
      </c>
      <c r="AA240" s="5629" t="str">
        <f t="array" ref="AA240">IFERROR(VLOOKUP(Z240,Dex!$P$22:$Q$276,2,FALSE),"")</f>
        <v/>
      </c>
      <c r="AB240" s="5630"/>
      <c r="AC240" s="5621"/>
      <c r="AD240" s="5590"/>
      <c r="AE240" s="5557"/>
      <c r="AF240" s="5558"/>
      <c r="AG240" s="5599"/>
      <c r="AH240" s="5622"/>
      <c r="AI240" s="3466"/>
    </row>
    <row r="241" ht="16.5" customHeight="1">
      <c r="A241" s="3457"/>
      <c r="B241" s="5632"/>
      <c r="C241" s="1204" t="s">
        <v>436</v>
      </c>
      <c r="D241" s="5633"/>
      <c r="E241" s="5634" t="s">
        <v>197</v>
      </c>
      <c r="F241" s="5635">
        <f t="array" ref="F241">IFERROR(VLOOKUP(E223,Dex!$B$3:$N244,13,FALSE),"")</f>
        <v>80</v>
      </c>
      <c r="G241" s="5636" t="str">
        <f t="array" ref="G241">IFERROR(VLOOKUP(F241,Dex!$P$22:$Q$276,2,FALSE),"")</f>
        <v/>
      </c>
      <c r="H241" s="5637">
        <v>252.0</v>
      </c>
      <c r="I241" s="5633"/>
      <c r="J241" s="5634" t="s">
        <v>197</v>
      </c>
      <c r="K241" s="5635">
        <f t="array" ref="K241">IFERROR(VLOOKUP(J223,Dex!$B$3:$N244,13,FALSE),"")</f>
        <v>80</v>
      </c>
      <c r="L241" s="5636" t="str">
        <f t="array" ref="L241">IFERROR(VLOOKUP(K241,Dex!$P$22:$Q$276,2,FALSE),"")</f>
        <v/>
      </c>
      <c r="M241" s="5637">
        <v>252.0</v>
      </c>
      <c r="N241" s="5633"/>
      <c r="O241" s="5634" t="s">
        <v>197</v>
      </c>
      <c r="P241" s="5635">
        <f t="array" ref="P241">IFERROR(VLOOKUP(O223,Dex!$B$3:$N244,13,FALSE),"")</f>
        <v>106</v>
      </c>
      <c r="Q241" s="5636" t="str">
        <f t="array" ref="Q241">IFERROR(VLOOKUP(P241,Dex!$P$22:$Q$276,2,FALSE),"")</f>
        <v/>
      </c>
      <c r="R241" s="5637">
        <v>252.0</v>
      </c>
      <c r="S241" s="5633"/>
      <c r="T241" s="5634" t="s">
        <v>197</v>
      </c>
      <c r="U241" s="5635">
        <f t="array" ref="U241">IFERROR(VLOOKUP(T223,Dex!$B$3:$N244,13,FALSE),"")</f>
        <v>111</v>
      </c>
      <c r="V241" s="5636" t="str">
        <f t="array" ref="V241">IFERROR(VLOOKUP(U241,Dex!$P$22:$Q$276,2,FALSE),"")</f>
        <v/>
      </c>
      <c r="W241" s="5637"/>
      <c r="X241" s="5633"/>
      <c r="Y241" s="5634" t="s">
        <v>197</v>
      </c>
      <c r="Z241" s="5635">
        <f t="array" ref="Z241">IFERROR(VLOOKUP(Y223,Dex!$B$3:$N244,13,FALSE),"")</f>
        <v>115</v>
      </c>
      <c r="AA241" s="5636" t="str">
        <f t="array" ref="AA241">IFERROR(VLOOKUP(Z241,Dex!$P$22:$Q$276,2,FALSE),"")</f>
        <v/>
      </c>
      <c r="AB241" s="5637">
        <v>252.0</v>
      </c>
      <c r="AC241" s="5621"/>
      <c r="AD241" s="5590"/>
      <c r="AE241" s="5557"/>
      <c r="AF241" s="5558"/>
      <c r="AG241" s="5599"/>
      <c r="AH241" s="5622"/>
      <c r="AI241" s="3466"/>
    </row>
    <row r="242" ht="16.5" customHeight="1">
      <c r="A242" s="3457"/>
      <c r="B242" s="5632"/>
      <c r="C242" s="1205" t="s">
        <v>793</v>
      </c>
      <c r="D242" s="5633"/>
      <c r="E242" s="5638" t="s">
        <v>198</v>
      </c>
      <c r="F242" s="405"/>
      <c r="G242" s="406"/>
      <c r="H242" s="5639">
        <v>223.0</v>
      </c>
      <c r="I242" s="5633"/>
      <c r="J242" s="5638" t="s">
        <v>198</v>
      </c>
      <c r="K242" s="405"/>
      <c r="L242" s="406"/>
      <c r="M242" s="5639">
        <v>223.0</v>
      </c>
      <c r="N242" s="5633"/>
      <c r="O242" s="5638" t="s">
        <v>198</v>
      </c>
      <c r="P242" s="405"/>
      <c r="Q242" s="406"/>
      <c r="R242" s="5639">
        <v>267.0</v>
      </c>
      <c r="S242" s="5633"/>
      <c r="T242" s="5638" t="s">
        <v>198</v>
      </c>
      <c r="U242" s="405"/>
      <c r="V242" s="406"/>
      <c r="W242" s="5639">
        <v>202.0</v>
      </c>
      <c r="X242" s="5633"/>
      <c r="Y242" s="5638" t="s">
        <v>198</v>
      </c>
      <c r="Z242" s="405"/>
      <c r="AA242" s="406"/>
      <c r="AB242" s="5639">
        <v>282.0</v>
      </c>
      <c r="AC242" s="5621"/>
      <c r="AD242" s="5590"/>
      <c r="AE242" s="5557"/>
      <c r="AF242" s="5558"/>
      <c r="AG242" s="5599"/>
      <c r="AH242" s="5622"/>
      <c r="AI242" s="3466"/>
    </row>
    <row r="243" ht="7.5" customHeight="1">
      <c r="A243" s="3621"/>
      <c r="B243" s="5640"/>
      <c r="C243" s="5641"/>
      <c r="D243" s="5642"/>
      <c r="E243" s="5641"/>
      <c r="F243" s="5641"/>
      <c r="G243" s="5641"/>
      <c r="H243" s="5641"/>
      <c r="I243" s="5642"/>
      <c r="J243" s="5643"/>
      <c r="K243" s="5643"/>
      <c r="L243" s="5643"/>
      <c r="M243" s="5641"/>
      <c r="N243" s="5642"/>
      <c r="O243" s="5643"/>
      <c r="P243" s="5643"/>
      <c r="Q243" s="5643"/>
      <c r="R243" s="5641"/>
      <c r="S243" s="5642"/>
      <c r="T243" s="5643"/>
      <c r="U243" s="5643"/>
      <c r="V243" s="5643"/>
      <c r="W243" s="5641"/>
      <c r="X243" s="5642"/>
      <c r="Y243" s="5643"/>
      <c r="Z243" s="5643"/>
      <c r="AA243" s="5643"/>
      <c r="AB243" s="5641"/>
      <c r="AC243" s="5642"/>
      <c r="AD243" s="5642"/>
      <c r="AE243" s="5642"/>
      <c r="AF243" s="5642"/>
      <c r="AG243" s="5642"/>
      <c r="AH243" s="5644"/>
      <c r="AI243" s="3631"/>
    </row>
    <row r="244" ht="3.75" customHeight="1">
      <c r="A244" s="5171"/>
      <c r="B244" s="5645"/>
      <c r="C244" s="5645"/>
      <c r="D244" s="5645"/>
      <c r="E244" s="5645"/>
      <c r="F244" s="5645"/>
      <c r="G244" s="5645"/>
      <c r="H244" s="5645"/>
      <c r="I244" s="5645"/>
      <c r="J244" s="5645"/>
      <c r="K244" s="5645"/>
      <c r="L244" s="5645"/>
      <c r="M244" s="5645"/>
      <c r="N244" s="5645"/>
      <c r="O244" s="5645"/>
      <c r="P244" s="5645"/>
      <c r="Q244" s="5645"/>
      <c r="R244" s="5645"/>
      <c r="S244" s="5645"/>
      <c r="T244" s="5645"/>
      <c r="U244" s="5645"/>
      <c r="V244" s="5645"/>
      <c r="W244" s="5645"/>
      <c r="X244" s="5645"/>
      <c r="Y244" s="5645"/>
      <c r="Z244" s="5645"/>
      <c r="AA244" s="5645"/>
      <c r="AB244" s="5645"/>
      <c r="AC244" s="5645"/>
      <c r="AD244" s="5645"/>
      <c r="AE244" s="5645"/>
      <c r="AF244" s="5645"/>
      <c r="AG244" s="5645"/>
      <c r="AH244" s="5645"/>
      <c r="AI244" s="5171"/>
    </row>
  </sheetData>
  <mergeCells count="802">
    <mergeCell ref="E36:G36"/>
    <mergeCell ref="J36:L36"/>
    <mergeCell ref="E55:H55"/>
    <mergeCell ref="J55:M55"/>
    <mergeCell ref="E56:H56"/>
    <mergeCell ref="J56:M56"/>
    <mergeCell ref="E37:G37"/>
    <mergeCell ref="J37:L37"/>
    <mergeCell ref="E39:G39"/>
    <mergeCell ref="J39:L39"/>
    <mergeCell ref="E46:G46"/>
    <mergeCell ref="J46:L46"/>
    <mergeCell ref="J50:M50"/>
    <mergeCell ref="J33:L33"/>
    <mergeCell ref="J34:L34"/>
    <mergeCell ref="E31:H31"/>
    <mergeCell ref="J31:M31"/>
    <mergeCell ref="C32:C34"/>
    <mergeCell ref="E32:H32"/>
    <mergeCell ref="J32:M32"/>
    <mergeCell ref="E33:G33"/>
    <mergeCell ref="E34:G34"/>
    <mergeCell ref="E35:G35"/>
    <mergeCell ref="J35:L35"/>
    <mergeCell ref="O34:Q34"/>
    <mergeCell ref="O35:Q35"/>
    <mergeCell ref="O36:Q36"/>
    <mergeCell ref="O37:Q37"/>
    <mergeCell ref="O39:Q39"/>
    <mergeCell ref="T46:V46"/>
    <mergeCell ref="Y46:AA46"/>
    <mergeCell ref="AD46:AF46"/>
    <mergeCell ref="AD47:AF47"/>
    <mergeCell ref="AD51:AG51"/>
    <mergeCell ref="AD52:AG52"/>
    <mergeCell ref="AD53:AG53"/>
    <mergeCell ref="AD55:AG55"/>
    <mergeCell ref="Y56:AB56"/>
    <mergeCell ref="AD56:AG56"/>
    <mergeCell ref="O46:Q46"/>
    <mergeCell ref="O50:R50"/>
    <mergeCell ref="T50:W50"/>
    <mergeCell ref="Y50:AB50"/>
    <mergeCell ref="AD50:AG50"/>
    <mergeCell ref="O51:R51"/>
    <mergeCell ref="O52:R52"/>
    <mergeCell ref="Y31:AB31"/>
    <mergeCell ref="T32:W32"/>
    <mergeCell ref="Y32:AB32"/>
    <mergeCell ref="T33:V33"/>
    <mergeCell ref="Y33:AA33"/>
    <mergeCell ref="AD33:AF33"/>
    <mergeCell ref="T34:V34"/>
    <mergeCell ref="Y34:AA34"/>
    <mergeCell ref="AD34:AF34"/>
    <mergeCell ref="AD35:AF35"/>
    <mergeCell ref="T36:V36"/>
    <mergeCell ref="Y36:AA36"/>
    <mergeCell ref="AD36:AF36"/>
    <mergeCell ref="T37:V37"/>
    <mergeCell ref="Y37:AB37"/>
    <mergeCell ref="T39:V39"/>
    <mergeCell ref="Y39:AA39"/>
    <mergeCell ref="AD39:AF39"/>
    <mergeCell ref="T23:V23"/>
    <mergeCell ref="Y23:AA23"/>
    <mergeCell ref="AD23:AF23"/>
    <mergeCell ref="X26:X37"/>
    <mergeCell ref="Y26:AB26"/>
    <mergeCell ref="AC26:AC37"/>
    <mergeCell ref="Z29:AA29"/>
    <mergeCell ref="AD37:AF37"/>
    <mergeCell ref="Y52:AB52"/>
    <mergeCell ref="Y53:AB53"/>
    <mergeCell ref="T55:W55"/>
    <mergeCell ref="Y55:AB55"/>
    <mergeCell ref="T57:W57"/>
    <mergeCell ref="Y57:AB57"/>
    <mergeCell ref="T58:W58"/>
    <mergeCell ref="Y58:AB58"/>
    <mergeCell ref="T59:W59"/>
    <mergeCell ref="Y59:AB59"/>
    <mergeCell ref="T60:W60"/>
    <mergeCell ref="Y60:AB60"/>
    <mergeCell ref="T35:V35"/>
    <mergeCell ref="Y35:AA35"/>
    <mergeCell ref="AC50:AC61"/>
    <mergeCell ref="T51:W51"/>
    <mergeCell ref="Y51:AB51"/>
    <mergeCell ref="T52:W52"/>
    <mergeCell ref="T53:W53"/>
    <mergeCell ref="T61:W61"/>
    <mergeCell ref="Y61:AB61"/>
    <mergeCell ref="W64:Z64"/>
    <mergeCell ref="AA64:AD64"/>
    <mergeCell ref="W65:Z65"/>
    <mergeCell ref="AA65:AD65"/>
    <mergeCell ref="AB66:AE66"/>
    <mergeCell ref="J3:M3"/>
    <mergeCell ref="J4:M4"/>
    <mergeCell ref="O5:R5"/>
    <mergeCell ref="T5:W5"/>
    <mergeCell ref="E3:H3"/>
    <mergeCell ref="O3:R3"/>
    <mergeCell ref="Y3:AB3"/>
    <mergeCell ref="C4:C6"/>
    <mergeCell ref="E4:H4"/>
    <mergeCell ref="O4:R4"/>
    <mergeCell ref="Y4:AB4"/>
    <mergeCell ref="Y5:AB5"/>
    <mergeCell ref="O8:R8"/>
    <mergeCell ref="O9:R9"/>
    <mergeCell ref="O10:Q10"/>
    <mergeCell ref="J9:M9"/>
    <mergeCell ref="J10:L10"/>
    <mergeCell ref="Y11:AA11"/>
    <mergeCell ref="Y12:AA12"/>
    <mergeCell ref="AD12:AF12"/>
    <mergeCell ref="AD13:AF13"/>
    <mergeCell ref="AD14:AF14"/>
    <mergeCell ref="AD3:AG3"/>
    <mergeCell ref="AD4:AG4"/>
    <mergeCell ref="AD5:AG5"/>
    <mergeCell ref="AD8:AG8"/>
    <mergeCell ref="AD9:AG9"/>
    <mergeCell ref="AD10:AF10"/>
    <mergeCell ref="AD11:AF11"/>
    <mergeCell ref="E11:G11"/>
    <mergeCell ref="J11:L11"/>
    <mergeCell ref="O11:Q11"/>
    <mergeCell ref="E5:H5"/>
    <mergeCell ref="J5:M5"/>
    <mergeCell ref="E8:H8"/>
    <mergeCell ref="J8:M8"/>
    <mergeCell ref="C9:C11"/>
    <mergeCell ref="E9:H9"/>
    <mergeCell ref="E10:G10"/>
    <mergeCell ref="O13:Q13"/>
    <mergeCell ref="O14:Q14"/>
    <mergeCell ref="E12:G12"/>
    <mergeCell ref="J12:L12"/>
    <mergeCell ref="O12:Q12"/>
    <mergeCell ref="E13:G13"/>
    <mergeCell ref="J13:L13"/>
    <mergeCell ref="E14:G14"/>
    <mergeCell ref="J14:L14"/>
    <mergeCell ref="E26:H26"/>
    <mergeCell ref="J26:M26"/>
    <mergeCell ref="O26:R26"/>
    <mergeCell ref="C27:C29"/>
    <mergeCell ref="E27:H27"/>
    <mergeCell ref="E28:H28"/>
    <mergeCell ref="J27:M27"/>
    <mergeCell ref="J28:M28"/>
    <mergeCell ref="T3:W3"/>
    <mergeCell ref="T4:W4"/>
    <mergeCell ref="T8:W8"/>
    <mergeCell ref="Y8:AB8"/>
    <mergeCell ref="T9:W9"/>
    <mergeCell ref="Y9:AB9"/>
    <mergeCell ref="Y10:AA10"/>
    <mergeCell ref="T16:V16"/>
    <mergeCell ref="Y16:AA16"/>
    <mergeCell ref="AD16:AF16"/>
    <mergeCell ref="T10:V10"/>
    <mergeCell ref="T11:V11"/>
    <mergeCell ref="T12:V12"/>
    <mergeCell ref="T13:V13"/>
    <mergeCell ref="Y13:AA13"/>
    <mergeCell ref="T14:V14"/>
    <mergeCell ref="Y14:AA14"/>
    <mergeCell ref="T26:W26"/>
    <mergeCell ref="T27:W27"/>
    <mergeCell ref="AD26:AG26"/>
    <mergeCell ref="AD27:AG27"/>
    <mergeCell ref="AD28:AG28"/>
    <mergeCell ref="AD31:AG31"/>
    <mergeCell ref="AD32:AG32"/>
    <mergeCell ref="Y27:AB27"/>
    <mergeCell ref="Y28:AB28"/>
    <mergeCell ref="T28:W28"/>
    <mergeCell ref="T31:W31"/>
    <mergeCell ref="E16:G16"/>
    <mergeCell ref="J16:L16"/>
    <mergeCell ref="O16:Q16"/>
    <mergeCell ref="E23:G23"/>
    <mergeCell ref="J23:L23"/>
    <mergeCell ref="O23:Q23"/>
    <mergeCell ref="I26:I37"/>
    <mergeCell ref="N26:N37"/>
    <mergeCell ref="S26:S37"/>
    <mergeCell ref="O27:R27"/>
    <mergeCell ref="O28:R28"/>
    <mergeCell ref="O31:R31"/>
    <mergeCell ref="O32:R32"/>
    <mergeCell ref="O33:Q33"/>
    <mergeCell ref="O75:R75"/>
    <mergeCell ref="T75:W75"/>
    <mergeCell ref="AD75:AG75"/>
    <mergeCell ref="E70:G70"/>
    <mergeCell ref="J70:L70"/>
    <mergeCell ref="O70:Q70"/>
    <mergeCell ref="AB70:AE70"/>
    <mergeCell ref="E72:W73"/>
    <mergeCell ref="J75:M75"/>
    <mergeCell ref="Y75:AB75"/>
    <mergeCell ref="Y77:AB77"/>
    <mergeCell ref="Z78:AA78"/>
    <mergeCell ref="Y80:AB80"/>
    <mergeCell ref="Y81:AB81"/>
    <mergeCell ref="Y82:AA82"/>
    <mergeCell ref="Y83:AA83"/>
    <mergeCell ref="T84:V84"/>
    <mergeCell ref="T85:V85"/>
    <mergeCell ref="T86:V86"/>
    <mergeCell ref="W69:Z69"/>
    <mergeCell ref="T76:W76"/>
    <mergeCell ref="U78:V78"/>
    <mergeCell ref="T80:W80"/>
    <mergeCell ref="T81:W81"/>
    <mergeCell ref="T82:V82"/>
    <mergeCell ref="T83:V83"/>
    <mergeCell ref="Y84:AA84"/>
    <mergeCell ref="Y85:AA85"/>
    <mergeCell ref="W66:Z66"/>
    <mergeCell ref="W67:Z67"/>
    <mergeCell ref="AB67:AE67"/>
    <mergeCell ref="W68:Z68"/>
    <mergeCell ref="AB68:AE68"/>
    <mergeCell ref="AB69:AE69"/>
    <mergeCell ref="AC75:AC86"/>
    <mergeCell ref="Y86:AA86"/>
    <mergeCell ref="E50:H50"/>
    <mergeCell ref="C51:C53"/>
    <mergeCell ref="E51:H51"/>
    <mergeCell ref="J51:M51"/>
    <mergeCell ref="E52:H52"/>
    <mergeCell ref="J52:M52"/>
    <mergeCell ref="O55:R55"/>
    <mergeCell ref="O57:Q57"/>
    <mergeCell ref="O58:Q58"/>
    <mergeCell ref="O59:Q59"/>
    <mergeCell ref="O60:Q60"/>
    <mergeCell ref="O61:Q61"/>
    <mergeCell ref="AD59:AG59"/>
    <mergeCell ref="AD60:AG60"/>
    <mergeCell ref="AD61:AG61"/>
    <mergeCell ref="O56:R56"/>
    <mergeCell ref="T56:W56"/>
    <mergeCell ref="E57:G57"/>
    <mergeCell ref="J57:L57"/>
    <mergeCell ref="AD57:AG57"/>
    <mergeCell ref="J58:L58"/>
    <mergeCell ref="AD58:AG58"/>
    <mergeCell ref="E63:G63"/>
    <mergeCell ref="J63:L63"/>
    <mergeCell ref="O63:Q63"/>
    <mergeCell ref="AB63:AE63"/>
    <mergeCell ref="E58:G58"/>
    <mergeCell ref="E59:G59"/>
    <mergeCell ref="J59:L59"/>
    <mergeCell ref="E60:G60"/>
    <mergeCell ref="J60:L60"/>
    <mergeCell ref="E61:G61"/>
    <mergeCell ref="J61:L61"/>
    <mergeCell ref="J76:M76"/>
    <mergeCell ref="J77:M77"/>
    <mergeCell ref="O105:Q105"/>
    <mergeCell ref="O106:Q106"/>
    <mergeCell ref="O107:Q107"/>
    <mergeCell ref="T107:V107"/>
    <mergeCell ref="O108:Q108"/>
    <mergeCell ref="T108:V108"/>
    <mergeCell ref="O109:Q109"/>
    <mergeCell ref="T109:V109"/>
    <mergeCell ref="Y105:AA105"/>
    <mergeCell ref="Y106:AA106"/>
    <mergeCell ref="Y107:AA107"/>
    <mergeCell ref="AD107:AF107"/>
    <mergeCell ref="Y108:AA108"/>
    <mergeCell ref="AD108:AF108"/>
    <mergeCell ref="Y109:AA109"/>
    <mergeCell ref="AD109:AF109"/>
    <mergeCell ref="E104:H104"/>
    <mergeCell ref="J105:L105"/>
    <mergeCell ref="T105:V105"/>
    <mergeCell ref="AD105:AF105"/>
    <mergeCell ref="J106:L106"/>
    <mergeCell ref="T106:V106"/>
    <mergeCell ref="AD106:AF106"/>
    <mergeCell ref="E111:G111"/>
    <mergeCell ref="J111:L111"/>
    <mergeCell ref="O111:Q111"/>
    <mergeCell ref="T111:V111"/>
    <mergeCell ref="Y111:AA111"/>
    <mergeCell ref="AD111:AF111"/>
    <mergeCell ref="E105:G105"/>
    <mergeCell ref="E107:G107"/>
    <mergeCell ref="J107:L107"/>
    <mergeCell ref="E108:G108"/>
    <mergeCell ref="J108:L108"/>
    <mergeCell ref="E109:G109"/>
    <mergeCell ref="J109:L109"/>
    <mergeCell ref="AD122:AG122"/>
    <mergeCell ref="AD123:AG123"/>
    <mergeCell ref="AD124:AG124"/>
    <mergeCell ref="AD127:AG127"/>
    <mergeCell ref="E124:H124"/>
    <mergeCell ref="E127:H127"/>
    <mergeCell ref="J98:M98"/>
    <mergeCell ref="J99:M99"/>
    <mergeCell ref="J82:L82"/>
    <mergeCell ref="J83:L83"/>
    <mergeCell ref="J84:L84"/>
    <mergeCell ref="J85:L85"/>
    <mergeCell ref="J86:L86"/>
    <mergeCell ref="J88:L88"/>
    <mergeCell ref="J95:L95"/>
    <mergeCell ref="O123:R123"/>
    <mergeCell ref="T123:W123"/>
    <mergeCell ref="J123:M123"/>
    <mergeCell ref="J124:M124"/>
    <mergeCell ref="O124:R124"/>
    <mergeCell ref="T124:W124"/>
    <mergeCell ref="J127:M127"/>
    <mergeCell ref="O127:R127"/>
    <mergeCell ref="T127:W127"/>
    <mergeCell ref="Y127:AB127"/>
    <mergeCell ref="O77:R77"/>
    <mergeCell ref="T77:W77"/>
    <mergeCell ref="O81:R81"/>
    <mergeCell ref="O82:Q82"/>
    <mergeCell ref="O84:Q84"/>
    <mergeCell ref="O85:Q85"/>
    <mergeCell ref="O86:Q86"/>
    <mergeCell ref="O88:Q88"/>
    <mergeCell ref="T88:V88"/>
    <mergeCell ref="T98:W98"/>
    <mergeCell ref="T99:W99"/>
    <mergeCell ref="O95:Q95"/>
    <mergeCell ref="T95:V95"/>
    <mergeCell ref="Y95:AA95"/>
    <mergeCell ref="O98:R98"/>
    <mergeCell ref="Y98:AB98"/>
    <mergeCell ref="O99:R99"/>
    <mergeCell ref="Y99:AB99"/>
    <mergeCell ref="T100:W100"/>
    <mergeCell ref="U101:V101"/>
    <mergeCell ref="E98:H98"/>
    <mergeCell ref="E99:H99"/>
    <mergeCell ref="E100:H100"/>
    <mergeCell ref="J100:M100"/>
    <mergeCell ref="O100:R100"/>
    <mergeCell ref="Y100:AB100"/>
    <mergeCell ref="P101:Q101"/>
    <mergeCell ref="Y103:AB103"/>
    <mergeCell ref="Y104:AB104"/>
    <mergeCell ref="J103:M103"/>
    <mergeCell ref="O103:R103"/>
    <mergeCell ref="T103:W103"/>
    <mergeCell ref="AD103:AG103"/>
    <mergeCell ref="J104:M104"/>
    <mergeCell ref="O104:R104"/>
    <mergeCell ref="T104:W104"/>
    <mergeCell ref="AD104:AG104"/>
    <mergeCell ref="E75:H75"/>
    <mergeCell ref="C76:C78"/>
    <mergeCell ref="E76:H76"/>
    <mergeCell ref="O76:R76"/>
    <mergeCell ref="Y76:AB76"/>
    <mergeCell ref="AD76:AG76"/>
    <mergeCell ref="E77:H77"/>
    <mergeCell ref="E80:H80"/>
    <mergeCell ref="J80:M80"/>
    <mergeCell ref="O80:R80"/>
    <mergeCell ref="E81:H81"/>
    <mergeCell ref="J81:M81"/>
    <mergeCell ref="E82:G82"/>
    <mergeCell ref="O83:Q83"/>
    <mergeCell ref="AD85:AG85"/>
    <mergeCell ref="AD86:AG86"/>
    <mergeCell ref="Y88:AA88"/>
    <mergeCell ref="AD77:AG77"/>
    <mergeCell ref="AD78:AG78"/>
    <mergeCell ref="AD80:AG80"/>
    <mergeCell ref="AD81:AG81"/>
    <mergeCell ref="AD82:AG82"/>
    <mergeCell ref="AD83:AG83"/>
    <mergeCell ref="AD84:AG84"/>
    <mergeCell ref="AD98:AG98"/>
    <mergeCell ref="AD99:AG99"/>
    <mergeCell ref="AD100:AG100"/>
    <mergeCell ref="C99:C101"/>
    <mergeCell ref="C104:C106"/>
    <mergeCell ref="E83:G83"/>
    <mergeCell ref="E84:G84"/>
    <mergeCell ref="E85:G85"/>
    <mergeCell ref="E86:G86"/>
    <mergeCell ref="E88:G88"/>
    <mergeCell ref="E95:G95"/>
    <mergeCell ref="E103:H103"/>
    <mergeCell ref="E106:G106"/>
    <mergeCell ref="J118:L118"/>
    <mergeCell ref="O118:Q118"/>
    <mergeCell ref="T118:V118"/>
    <mergeCell ref="Y118:AA118"/>
    <mergeCell ref="AD118:AF118"/>
    <mergeCell ref="J119:L119"/>
    <mergeCell ref="T119:V119"/>
    <mergeCell ref="E118:G118"/>
    <mergeCell ref="E122:H122"/>
    <mergeCell ref="O122:R122"/>
    <mergeCell ref="T122:W122"/>
    <mergeCell ref="Y122:AB122"/>
    <mergeCell ref="C123:C125"/>
    <mergeCell ref="E123:H123"/>
    <mergeCell ref="J130:L130"/>
    <mergeCell ref="O130:Q130"/>
    <mergeCell ref="C128:C130"/>
    <mergeCell ref="E128:H128"/>
    <mergeCell ref="E129:G129"/>
    <mergeCell ref="E130:G130"/>
    <mergeCell ref="E131:G131"/>
    <mergeCell ref="E132:G132"/>
    <mergeCell ref="E133:G133"/>
    <mergeCell ref="Y124:AB124"/>
    <mergeCell ref="U125:V125"/>
    <mergeCell ref="J131:L131"/>
    <mergeCell ref="O131:Q131"/>
    <mergeCell ref="T131:V131"/>
    <mergeCell ref="Y131:AA131"/>
    <mergeCell ref="J132:L132"/>
    <mergeCell ref="O132:Q132"/>
    <mergeCell ref="T132:V132"/>
    <mergeCell ref="Y132:AA132"/>
    <mergeCell ref="J133:L133"/>
    <mergeCell ref="O133:Q133"/>
    <mergeCell ref="T133:V133"/>
    <mergeCell ref="Y133:AA133"/>
    <mergeCell ref="I122:I133"/>
    <mergeCell ref="J122:M122"/>
    <mergeCell ref="N122:N133"/>
    <mergeCell ref="S122:S133"/>
    <mergeCell ref="X122:X133"/>
    <mergeCell ref="AC122:AC133"/>
    <mergeCell ref="Y123:AB123"/>
    <mergeCell ref="J149:M149"/>
    <mergeCell ref="O149:R149"/>
    <mergeCell ref="T149:W149"/>
    <mergeCell ref="Y149:AB149"/>
    <mergeCell ref="AD149:AG149"/>
    <mergeCell ref="J142:L142"/>
    <mergeCell ref="O142:Q142"/>
    <mergeCell ref="T142:V142"/>
    <mergeCell ref="Y142:AA142"/>
    <mergeCell ref="AD142:AF142"/>
    <mergeCell ref="T143:V143"/>
    <mergeCell ref="E146:AG147"/>
    <mergeCell ref="J128:M128"/>
    <mergeCell ref="O128:R128"/>
    <mergeCell ref="T128:W128"/>
    <mergeCell ref="Y128:AB128"/>
    <mergeCell ref="AD128:AG128"/>
    <mergeCell ref="J129:L129"/>
    <mergeCell ref="O129:Q129"/>
    <mergeCell ref="T129:V129"/>
    <mergeCell ref="Y129:AA129"/>
    <mergeCell ref="AD129:AF129"/>
    <mergeCell ref="T130:V130"/>
    <mergeCell ref="Y130:AA130"/>
    <mergeCell ref="AD130:AF130"/>
    <mergeCell ref="AD131:AF131"/>
    <mergeCell ref="AD132:AF132"/>
    <mergeCell ref="AD133:AF133"/>
    <mergeCell ref="E135:G135"/>
    <mergeCell ref="J135:L135"/>
    <mergeCell ref="O135:Q135"/>
    <mergeCell ref="T135:V135"/>
    <mergeCell ref="Y135:AA135"/>
    <mergeCell ref="AD135:AF135"/>
    <mergeCell ref="E149:H149"/>
    <mergeCell ref="E150:H150"/>
    <mergeCell ref="AD150:AG150"/>
    <mergeCell ref="AD151:AG151"/>
    <mergeCell ref="J150:M150"/>
    <mergeCell ref="O150:R150"/>
    <mergeCell ref="T150:W150"/>
    <mergeCell ref="Y150:AB150"/>
    <mergeCell ref="E151:H151"/>
    <mergeCell ref="J151:M151"/>
    <mergeCell ref="O151:R151"/>
    <mergeCell ref="T151:W151"/>
    <mergeCell ref="E154:H154"/>
    <mergeCell ref="J154:M154"/>
    <mergeCell ref="C150:C152"/>
    <mergeCell ref="C155:C157"/>
    <mergeCell ref="AD159:AF159"/>
    <mergeCell ref="AD160:AF160"/>
    <mergeCell ref="AD162:AF162"/>
    <mergeCell ref="O154:R154"/>
    <mergeCell ref="T154:W154"/>
    <mergeCell ref="AD154:AG154"/>
    <mergeCell ref="AD155:AG155"/>
    <mergeCell ref="AD156:AF156"/>
    <mergeCell ref="AD157:AF157"/>
    <mergeCell ref="AD158:AF158"/>
    <mergeCell ref="Y151:AB151"/>
    <mergeCell ref="U152:V152"/>
    <mergeCell ref="J158:L158"/>
    <mergeCell ref="O158:Q158"/>
    <mergeCell ref="T158:V158"/>
    <mergeCell ref="Y158:AA158"/>
    <mergeCell ref="J159:L159"/>
    <mergeCell ref="O159:Q159"/>
    <mergeCell ref="T159:V159"/>
    <mergeCell ref="Y159:AA159"/>
    <mergeCell ref="J160:L160"/>
    <mergeCell ref="O160:Q160"/>
    <mergeCell ref="T160:V160"/>
    <mergeCell ref="Y160:AA160"/>
    <mergeCell ref="I149:I160"/>
    <mergeCell ref="N149:N160"/>
    <mergeCell ref="S149:S160"/>
    <mergeCell ref="X149:X160"/>
    <mergeCell ref="AC149:AC160"/>
    <mergeCell ref="Y154:AB154"/>
    <mergeCell ref="T156:V156"/>
    <mergeCell ref="E155:H155"/>
    <mergeCell ref="J155:M155"/>
    <mergeCell ref="O155:R155"/>
    <mergeCell ref="T155:W155"/>
    <mergeCell ref="J156:L156"/>
    <mergeCell ref="O156:Q156"/>
    <mergeCell ref="Y155:AB155"/>
    <mergeCell ref="Y156:AA156"/>
    <mergeCell ref="Y162:AA162"/>
    <mergeCell ref="Y169:AA169"/>
    <mergeCell ref="AD169:AF169"/>
    <mergeCell ref="T157:V157"/>
    <mergeCell ref="Y157:AA157"/>
    <mergeCell ref="J157:L157"/>
    <mergeCell ref="O157:Q157"/>
    <mergeCell ref="J162:L162"/>
    <mergeCell ref="O162:Q162"/>
    <mergeCell ref="T162:V162"/>
    <mergeCell ref="J169:L169"/>
    <mergeCell ref="T169:V169"/>
    <mergeCell ref="AD175:AG175"/>
    <mergeCell ref="AD176:AG176"/>
    <mergeCell ref="AD177:AG177"/>
    <mergeCell ref="O169:Q169"/>
    <mergeCell ref="O170:Q170"/>
    <mergeCell ref="E172:AG173"/>
    <mergeCell ref="J175:M175"/>
    <mergeCell ref="O175:R175"/>
    <mergeCell ref="T175:W175"/>
    <mergeCell ref="Y175:AB175"/>
    <mergeCell ref="E142:G142"/>
    <mergeCell ref="E156:G156"/>
    <mergeCell ref="E157:G157"/>
    <mergeCell ref="E158:G158"/>
    <mergeCell ref="E159:G159"/>
    <mergeCell ref="E160:G160"/>
    <mergeCell ref="E162:G162"/>
    <mergeCell ref="E175:H175"/>
    <mergeCell ref="E176:H176"/>
    <mergeCell ref="J176:M176"/>
    <mergeCell ref="O176:R176"/>
    <mergeCell ref="T176:W176"/>
    <mergeCell ref="Y176:AB176"/>
    <mergeCell ref="E177:H177"/>
    <mergeCell ref="J177:M177"/>
    <mergeCell ref="O177:R177"/>
    <mergeCell ref="T177:W177"/>
    <mergeCell ref="C176:C178"/>
    <mergeCell ref="E180:H180"/>
    <mergeCell ref="J181:M181"/>
    <mergeCell ref="O181:R181"/>
    <mergeCell ref="O184:Q184"/>
    <mergeCell ref="T184:V184"/>
    <mergeCell ref="Y184:AA184"/>
    <mergeCell ref="E185:G185"/>
    <mergeCell ref="J185:L185"/>
    <mergeCell ref="O185:Q185"/>
    <mergeCell ref="T185:V185"/>
    <mergeCell ref="Y185:AA185"/>
    <mergeCell ref="O186:Q186"/>
    <mergeCell ref="T186:V186"/>
    <mergeCell ref="E169:G169"/>
    <mergeCell ref="I175:I186"/>
    <mergeCell ref="N175:N186"/>
    <mergeCell ref="S175:S186"/>
    <mergeCell ref="X175:X186"/>
    <mergeCell ref="AC175:AC186"/>
    <mergeCell ref="Y177:AB177"/>
    <mergeCell ref="Y186:AA186"/>
    <mergeCell ref="Y205:AB205"/>
    <mergeCell ref="Y206:AA206"/>
    <mergeCell ref="O212:Q212"/>
    <mergeCell ref="T212:V212"/>
    <mergeCell ref="Y212:AA212"/>
    <mergeCell ref="O204:R204"/>
    <mergeCell ref="O205:R205"/>
    <mergeCell ref="O206:Q206"/>
    <mergeCell ref="O207:Q207"/>
    <mergeCell ref="O208:Q208"/>
    <mergeCell ref="O209:Q209"/>
    <mergeCell ref="O210:Q210"/>
    <mergeCell ref="E186:G186"/>
    <mergeCell ref="J186:L186"/>
    <mergeCell ref="E188:G188"/>
    <mergeCell ref="J188:L188"/>
    <mergeCell ref="O188:Q188"/>
    <mergeCell ref="T188:V188"/>
    <mergeCell ref="Y188:AA188"/>
    <mergeCell ref="AD188:AF188"/>
    <mergeCell ref="E184:G184"/>
    <mergeCell ref="J184:L184"/>
    <mergeCell ref="E195:G195"/>
    <mergeCell ref="J195:L195"/>
    <mergeCell ref="O195:Q195"/>
    <mergeCell ref="T195:V195"/>
    <mergeCell ref="AD195:AF195"/>
    <mergeCell ref="AD199:AG199"/>
    <mergeCell ref="AD200:AG200"/>
    <mergeCell ref="AD201:AG201"/>
    <mergeCell ref="AD204:AG204"/>
    <mergeCell ref="AD205:AG205"/>
    <mergeCell ref="AD206:AF206"/>
    <mergeCell ref="AD207:AF207"/>
    <mergeCell ref="AD208:AF208"/>
    <mergeCell ref="AD209:AF209"/>
    <mergeCell ref="AD210:AF210"/>
    <mergeCell ref="AD212:AF212"/>
    <mergeCell ref="AD213:AF213"/>
    <mergeCell ref="AD214:AF214"/>
    <mergeCell ref="AD215:AF215"/>
    <mergeCell ref="AD218:AF218"/>
    <mergeCell ref="AD219:AF219"/>
    <mergeCell ref="AD224:AG224"/>
    <mergeCell ref="AD227:AG227"/>
    <mergeCell ref="AD228:AG228"/>
    <mergeCell ref="AD229:AF229"/>
    <mergeCell ref="AD230:AF230"/>
    <mergeCell ref="AD231:AF231"/>
    <mergeCell ref="AD216:AF216"/>
    <mergeCell ref="AD217:AF217"/>
    <mergeCell ref="E219:G219"/>
    <mergeCell ref="J219:L219"/>
    <mergeCell ref="O219:Q219"/>
    <mergeCell ref="T219:V219"/>
    <mergeCell ref="Y219:AA219"/>
    <mergeCell ref="O230:Q230"/>
    <mergeCell ref="O231:Q231"/>
    <mergeCell ref="T231:V231"/>
    <mergeCell ref="Y231:AA231"/>
    <mergeCell ref="J180:M180"/>
    <mergeCell ref="O180:R180"/>
    <mergeCell ref="T180:W180"/>
    <mergeCell ref="Y180:AB180"/>
    <mergeCell ref="AD180:AG180"/>
    <mergeCell ref="C181:C183"/>
    <mergeCell ref="E181:H181"/>
    <mergeCell ref="E182:G182"/>
    <mergeCell ref="E183:G183"/>
    <mergeCell ref="T181:W181"/>
    <mergeCell ref="Y181:AB181"/>
    <mergeCell ref="AD181:AG181"/>
    <mergeCell ref="J182:L182"/>
    <mergeCell ref="O182:Q182"/>
    <mergeCell ref="T182:V182"/>
    <mergeCell ref="Y182:AA182"/>
    <mergeCell ref="AD182:AF182"/>
    <mergeCell ref="AD183:AF183"/>
    <mergeCell ref="AD184:AF184"/>
    <mergeCell ref="AD185:AF185"/>
    <mergeCell ref="AD186:AF186"/>
    <mergeCell ref="J183:L183"/>
    <mergeCell ref="O183:Q183"/>
    <mergeCell ref="O199:R199"/>
    <mergeCell ref="O200:R200"/>
    <mergeCell ref="Y199:AB199"/>
    <mergeCell ref="Y200:AB200"/>
    <mergeCell ref="Y201:AB201"/>
    <mergeCell ref="J200:M200"/>
    <mergeCell ref="J201:M201"/>
    <mergeCell ref="T200:W200"/>
    <mergeCell ref="T201:W201"/>
    <mergeCell ref="Y195:AA195"/>
    <mergeCell ref="Y196:AA196"/>
    <mergeCell ref="J199:M199"/>
    <mergeCell ref="T199:W199"/>
    <mergeCell ref="C200:C202"/>
    <mergeCell ref="E201:H201"/>
    <mergeCell ref="O201:R201"/>
    <mergeCell ref="K202:L202"/>
    <mergeCell ref="J205:M205"/>
    <mergeCell ref="J206:L206"/>
    <mergeCell ref="E199:H199"/>
    <mergeCell ref="E200:H200"/>
    <mergeCell ref="E204:H204"/>
    <mergeCell ref="J204:M204"/>
    <mergeCell ref="C205:C207"/>
    <mergeCell ref="E205:H205"/>
    <mergeCell ref="E206:G206"/>
    <mergeCell ref="E207:G207"/>
    <mergeCell ref="J207:L207"/>
    <mergeCell ref="E208:G208"/>
    <mergeCell ref="J208:L208"/>
    <mergeCell ref="E209:G209"/>
    <mergeCell ref="J209:L209"/>
    <mergeCell ref="J210:L210"/>
    <mergeCell ref="E210:G210"/>
    <mergeCell ref="E212:G212"/>
    <mergeCell ref="J212:L212"/>
    <mergeCell ref="C223:C225"/>
    <mergeCell ref="E223:H223"/>
    <mergeCell ref="J223:M223"/>
    <mergeCell ref="J224:M224"/>
    <mergeCell ref="E229:G229"/>
    <mergeCell ref="E230:G230"/>
    <mergeCell ref="E231:G231"/>
    <mergeCell ref="E232:G232"/>
    <mergeCell ref="E233:G233"/>
    <mergeCell ref="E235:G235"/>
    <mergeCell ref="E242:G242"/>
    <mergeCell ref="J230:L230"/>
    <mergeCell ref="J231:L231"/>
    <mergeCell ref="J232:L232"/>
    <mergeCell ref="J233:L233"/>
    <mergeCell ref="J235:L235"/>
    <mergeCell ref="J242:L242"/>
    <mergeCell ref="E224:H224"/>
    <mergeCell ref="E227:H227"/>
    <mergeCell ref="J227:M227"/>
    <mergeCell ref="C228:C230"/>
    <mergeCell ref="E228:H228"/>
    <mergeCell ref="J228:M228"/>
    <mergeCell ref="J229:L229"/>
    <mergeCell ref="Y222:AB222"/>
    <mergeCell ref="Y223:AB223"/>
    <mergeCell ref="E222:H222"/>
    <mergeCell ref="J222:M222"/>
    <mergeCell ref="O222:R222"/>
    <mergeCell ref="T222:W222"/>
    <mergeCell ref="AD222:AG222"/>
    <mergeCell ref="T223:W223"/>
    <mergeCell ref="AD223:AG223"/>
    <mergeCell ref="T206:V206"/>
    <mergeCell ref="T224:W224"/>
    <mergeCell ref="T232:V232"/>
    <mergeCell ref="Y232:AA232"/>
    <mergeCell ref="T233:V233"/>
    <mergeCell ref="Y233:AA233"/>
    <mergeCell ref="T183:V183"/>
    <mergeCell ref="Y183:AA183"/>
    <mergeCell ref="AC199:AC210"/>
    <mergeCell ref="T204:W204"/>
    <mergeCell ref="Y204:AB204"/>
    <mergeCell ref="T205:W205"/>
    <mergeCell ref="AC222:AC233"/>
    <mergeCell ref="T207:V207"/>
    <mergeCell ref="Y207:AA207"/>
    <mergeCell ref="T208:V208"/>
    <mergeCell ref="Y208:AA208"/>
    <mergeCell ref="T209:V209"/>
    <mergeCell ref="Y209:AA209"/>
    <mergeCell ref="T210:V210"/>
    <mergeCell ref="Y210:AA210"/>
    <mergeCell ref="Y224:AB224"/>
    <mergeCell ref="Z225:AA225"/>
    <mergeCell ref="T227:W227"/>
    <mergeCell ref="Y227:AB227"/>
    <mergeCell ref="T228:W228"/>
    <mergeCell ref="Y228:AB228"/>
    <mergeCell ref="T229:V229"/>
    <mergeCell ref="T230:V230"/>
    <mergeCell ref="AD232:AF232"/>
    <mergeCell ref="AD233:AF233"/>
    <mergeCell ref="O223:R223"/>
    <mergeCell ref="O224:R224"/>
    <mergeCell ref="O227:R227"/>
    <mergeCell ref="O228:R228"/>
    <mergeCell ref="O229:Q229"/>
    <mergeCell ref="Y229:AA229"/>
    <mergeCell ref="Y230:AA230"/>
    <mergeCell ref="O232:Q232"/>
    <mergeCell ref="O233:Q233"/>
    <mergeCell ref="O235:Q235"/>
    <mergeCell ref="T235:V235"/>
    <mergeCell ref="Y235:AA235"/>
    <mergeCell ref="AD235:AF235"/>
    <mergeCell ref="AD236:AF236"/>
    <mergeCell ref="AD241:AF241"/>
    <mergeCell ref="AD242:AF242"/>
    <mergeCell ref="AD237:AF237"/>
    <mergeCell ref="AD238:AF238"/>
    <mergeCell ref="AD239:AF239"/>
    <mergeCell ref="AD240:AF240"/>
    <mergeCell ref="O242:Q242"/>
    <mergeCell ref="T242:V242"/>
    <mergeCell ref="Y242:AA242"/>
  </mergeCells>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0" priority="1" operator="between">
      <formula>1</formula>
      <formula>95</formula>
    </cfRule>
  </conditionalFormatting>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1" priority="2" operator="between">
      <formula>96</formula>
      <formula>195</formula>
    </cfRule>
  </conditionalFormatting>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2" priority="3" operator="between">
      <formula>196</formula>
      <formula>260</formula>
    </cfRule>
  </conditionalFormatting>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3" priority="4" operator="between">
      <formula>261</formula>
      <formula>299</formula>
    </cfRule>
  </conditionalFormatting>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4" priority="5" operator="between">
      <formula>300</formula>
      <formula>350</formula>
    </cfRule>
  </conditionalFormatting>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5" priority="6" operator="between">
      <formula>351</formula>
      <formula>450</formula>
    </cfRule>
  </conditionalFormatting>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6" priority="7" operator="between">
      <formula>451</formula>
      <formula>1000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26EDC"/>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5646"/>
      <c r="B1" s="5647"/>
      <c r="C1" s="5648"/>
      <c r="D1" s="5647"/>
      <c r="E1" s="5647"/>
      <c r="F1" s="5647"/>
      <c r="G1" s="5647"/>
      <c r="H1" s="5647"/>
      <c r="I1" s="5647"/>
      <c r="J1" s="5647"/>
      <c r="K1" s="5647"/>
      <c r="L1" s="5647"/>
      <c r="M1" s="5647"/>
      <c r="N1" s="5647"/>
      <c r="O1" s="5647"/>
      <c r="P1" s="5647"/>
      <c r="Q1" s="5647"/>
      <c r="R1" s="5647"/>
      <c r="S1" s="5647"/>
      <c r="T1" s="5647"/>
      <c r="U1" s="5647"/>
      <c r="V1" s="5647"/>
      <c r="W1" s="5647"/>
      <c r="X1" s="5647"/>
      <c r="Y1" s="5647"/>
      <c r="Z1" s="5647"/>
      <c r="AA1" s="5647"/>
      <c r="AB1" s="5647"/>
      <c r="AC1" s="5647"/>
      <c r="AD1" s="5647"/>
      <c r="AE1" s="5647"/>
      <c r="AF1" s="5647"/>
      <c r="AG1" s="5647"/>
      <c r="AH1" s="5647"/>
      <c r="AI1" s="5649"/>
    </row>
    <row r="2" ht="7.5" customHeight="1">
      <c r="A2" s="5650"/>
      <c r="B2" s="5651"/>
      <c r="C2" s="5652"/>
      <c r="D2" s="5653"/>
      <c r="E2" s="5653"/>
      <c r="F2" s="5653"/>
      <c r="G2" s="5653"/>
      <c r="H2" s="5653"/>
      <c r="I2" s="5653"/>
      <c r="J2" s="5653"/>
      <c r="K2" s="5653"/>
      <c r="L2" s="5653"/>
      <c r="M2" s="5653"/>
      <c r="N2" s="5653"/>
      <c r="O2" s="5653"/>
      <c r="P2" s="5653"/>
      <c r="Q2" s="5653"/>
      <c r="R2" s="5653"/>
      <c r="S2" s="5653"/>
      <c r="T2" s="5653"/>
      <c r="U2" s="5653"/>
      <c r="V2" s="5653"/>
      <c r="W2" s="5653"/>
      <c r="X2" s="5653"/>
      <c r="Y2" s="5653"/>
      <c r="Z2" s="5653"/>
      <c r="AA2" s="5653"/>
      <c r="AB2" s="5653"/>
      <c r="AC2" s="5653"/>
      <c r="AD2" s="5653"/>
      <c r="AE2" s="5653"/>
      <c r="AF2" s="5653"/>
      <c r="AG2" s="5653"/>
      <c r="AH2" s="5654"/>
      <c r="AI2" s="5655"/>
    </row>
    <row r="3" ht="11.25" customHeight="1">
      <c r="A3" s="5650"/>
      <c r="B3" s="5656"/>
      <c r="C3" s="5657"/>
      <c r="D3" s="5658"/>
      <c r="E3" s="5659" t="s">
        <v>1405</v>
      </c>
      <c r="F3" s="3181"/>
      <c r="G3" s="3181"/>
      <c r="H3" s="3181"/>
      <c r="I3" s="3181"/>
      <c r="J3" s="3181"/>
      <c r="K3" s="3181"/>
      <c r="L3" s="3181"/>
      <c r="M3" s="3181"/>
      <c r="N3" s="3181"/>
      <c r="O3" s="3181"/>
      <c r="P3" s="3181"/>
      <c r="Q3" s="3181"/>
      <c r="R3" s="3181"/>
      <c r="S3" s="3181"/>
      <c r="T3" s="3181"/>
      <c r="U3" s="3181"/>
      <c r="V3" s="3181"/>
      <c r="W3" s="3181"/>
      <c r="X3" s="3181"/>
      <c r="Y3" s="3181"/>
      <c r="Z3" s="3181"/>
      <c r="AA3" s="3181"/>
      <c r="AB3" s="3181"/>
      <c r="AC3" s="3181"/>
      <c r="AD3" s="3181"/>
      <c r="AE3" s="3181"/>
      <c r="AF3" s="3181"/>
      <c r="AG3" s="3182"/>
      <c r="AH3" s="5660"/>
      <c r="AI3" s="5655"/>
    </row>
    <row r="4" ht="11.25" customHeight="1">
      <c r="A4" s="5650"/>
      <c r="B4" s="5656"/>
      <c r="C4" s="5657"/>
      <c r="D4" s="5658"/>
      <c r="E4" s="114"/>
      <c r="F4" s="3185"/>
      <c r="G4" s="3185"/>
      <c r="H4" s="3185"/>
      <c r="I4" s="3185"/>
      <c r="J4" s="3185"/>
      <c r="K4" s="3185"/>
      <c r="L4" s="3185"/>
      <c r="M4" s="3185"/>
      <c r="N4" s="3185"/>
      <c r="O4" s="3185"/>
      <c r="P4" s="3185"/>
      <c r="Q4" s="3185"/>
      <c r="R4" s="3185"/>
      <c r="S4" s="3185"/>
      <c r="T4" s="3185"/>
      <c r="U4" s="3185"/>
      <c r="V4" s="3185"/>
      <c r="W4" s="3185"/>
      <c r="X4" s="3185"/>
      <c r="Y4" s="3185"/>
      <c r="Z4" s="3185"/>
      <c r="AA4" s="3185"/>
      <c r="AB4" s="3185"/>
      <c r="AC4" s="3185"/>
      <c r="AD4" s="3185"/>
      <c r="AE4" s="3185"/>
      <c r="AF4" s="3185"/>
      <c r="AG4" s="3186"/>
      <c r="AH4" s="5660"/>
      <c r="AI4" s="5655"/>
    </row>
    <row r="5" ht="3.75" customHeight="1">
      <c r="A5" s="5650"/>
      <c r="B5" s="5656"/>
      <c r="C5" s="5657"/>
      <c r="D5" s="5658"/>
      <c r="E5" s="5661"/>
      <c r="F5" s="5661"/>
      <c r="G5" s="5661"/>
      <c r="H5" s="5661"/>
      <c r="I5" s="5661"/>
      <c r="J5" s="5661"/>
      <c r="K5" s="5661"/>
      <c r="L5" s="5661"/>
      <c r="M5" s="5661"/>
      <c r="N5" s="5661"/>
      <c r="O5" s="5661"/>
      <c r="P5" s="5661"/>
      <c r="Q5" s="5661"/>
      <c r="R5" s="5661"/>
      <c r="S5" s="5661"/>
      <c r="T5" s="5661"/>
      <c r="U5" s="5661"/>
      <c r="V5" s="5661"/>
      <c r="W5" s="5661"/>
      <c r="X5" s="5661"/>
      <c r="Y5" s="5661"/>
      <c r="Z5" s="5661"/>
      <c r="AA5" s="5661"/>
      <c r="AB5" s="5661"/>
      <c r="AC5" s="5661"/>
      <c r="AD5" s="5661"/>
      <c r="AE5" s="5661"/>
      <c r="AF5" s="5661"/>
      <c r="AG5" s="5661"/>
      <c r="AH5" s="5660"/>
      <c r="AI5" s="5655"/>
    </row>
    <row r="6" ht="18.75" customHeight="1">
      <c r="A6" s="5650"/>
      <c r="B6" s="5656"/>
      <c r="C6" s="5657"/>
      <c r="D6" s="5658"/>
      <c r="E6" s="5662" t="s">
        <v>1406</v>
      </c>
      <c r="F6" s="5663"/>
      <c r="G6" s="5663"/>
      <c r="H6" s="5663"/>
      <c r="I6" s="5663"/>
      <c r="J6" s="5663"/>
      <c r="K6" s="5663"/>
      <c r="L6" s="5663"/>
      <c r="M6" s="5663"/>
      <c r="N6" s="5663"/>
      <c r="O6" s="5663"/>
      <c r="P6" s="5663"/>
      <c r="Q6" s="5663"/>
      <c r="R6" s="5663"/>
      <c r="S6" s="5663"/>
      <c r="T6" s="5663"/>
      <c r="U6" s="5663"/>
      <c r="V6" s="5663"/>
      <c r="W6" s="5663"/>
      <c r="X6" s="5663"/>
      <c r="Y6" s="5663"/>
      <c r="Z6" s="5663"/>
      <c r="AA6" s="5663"/>
      <c r="AB6" s="5663"/>
      <c r="AC6" s="5663"/>
      <c r="AD6" s="5663"/>
      <c r="AE6" s="5663"/>
      <c r="AF6" s="5663"/>
      <c r="AG6" s="5664"/>
      <c r="AH6" s="5660"/>
      <c r="AI6" s="5655"/>
    </row>
    <row r="7" ht="96.75" customHeight="1">
      <c r="A7" s="5650"/>
      <c r="B7" s="5656"/>
      <c r="C7" s="5665" t="str">
        <f>IMAGE("https://i.ibb.co/5BW746H/Lorelei.png")</f>
        <v/>
      </c>
      <c r="D7" s="5666"/>
      <c r="E7" s="5667" t="str">
        <f t="array" ref="E7">IFERROR(VLOOKUP(E8,Dex!$B$3:$G291,3,FALSE),"")</f>
        <v/>
      </c>
      <c r="F7" s="1830"/>
      <c r="G7" s="1830"/>
      <c r="H7" s="1831"/>
      <c r="I7" s="5668"/>
      <c r="J7" s="5667" t="str">
        <f t="array" ref="J7">IFERROR(VLOOKUP(J8,Dex!$B$3:$G291,3,FALSE),"")</f>
        <v/>
      </c>
      <c r="K7" s="1830"/>
      <c r="L7" s="1830"/>
      <c r="M7" s="1831"/>
      <c r="N7" s="5668"/>
      <c r="O7" s="5667" t="str">
        <f t="array" ref="O7">IFERROR(VLOOKUP(O8,Dex!$B$3:$G291,3,FALSE),"")</f>
        <v/>
      </c>
      <c r="P7" s="1830"/>
      <c r="Q7" s="1830"/>
      <c r="R7" s="1831"/>
      <c r="S7" s="5668"/>
      <c r="T7" s="5667" t="str">
        <f t="array" ref="T7">IFERROR(VLOOKUP(T8,Dex!$B$3:$G291,3,FALSE),"")</f>
        <v/>
      </c>
      <c r="U7" s="1830"/>
      <c r="V7" s="1830"/>
      <c r="W7" s="1831"/>
      <c r="X7" s="5668"/>
      <c r="Y7" s="5667" t="str">
        <f t="array" ref="Y7">IFERROR(VLOOKUP(Y8,Dex!$B$3:$G291,3,FALSE),"")</f>
        <v/>
      </c>
      <c r="Z7" s="1830"/>
      <c r="AA7" s="1830"/>
      <c r="AB7" s="1831"/>
      <c r="AC7" s="5668"/>
      <c r="AD7" s="5667" t="str">
        <f t="array" ref="AD7">IFERROR(VLOOKUP(AD8,Dex!$B$3:$G291,3,FALSE),"")</f>
        <v/>
      </c>
      <c r="AE7" s="1830"/>
      <c r="AF7" s="1830"/>
      <c r="AG7" s="1831"/>
      <c r="AH7" s="5660"/>
      <c r="AI7" s="5655"/>
    </row>
    <row r="8" ht="18.75" customHeight="1">
      <c r="A8" s="5669"/>
      <c r="B8" s="5670"/>
      <c r="C8" s="5671" t="s">
        <v>1407</v>
      </c>
      <c r="D8" s="5672"/>
      <c r="E8" s="5673" t="s">
        <v>1408</v>
      </c>
      <c r="F8" s="5674"/>
      <c r="G8" s="5674"/>
      <c r="H8" s="5675"/>
      <c r="I8" s="5676"/>
      <c r="J8" s="5673" t="s">
        <v>1409</v>
      </c>
      <c r="K8" s="5674"/>
      <c r="L8" s="5674"/>
      <c r="M8" s="5675"/>
      <c r="N8" s="5676"/>
      <c r="O8" s="5673" t="s">
        <v>1329</v>
      </c>
      <c r="P8" s="5674"/>
      <c r="Q8" s="5674"/>
      <c r="R8" s="5675"/>
      <c r="S8" s="5676"/>
      <c r="T8" s="5673" t="s">
        <v>1410</v>
      </c>
      <c r="U8" s="5674"/>
      <c r="V8" s="5674"/>
      <c r="W8" s="5675"/>
      <c r="X8" s="5676"/>
      <c r="Y8" s="5673" t="s">
        <v>1411</v>
      </c>
      <c r="Z8" s="5674"/>
      <c r="AA8" s="5674"/>
      <c r="AB8" s="5675"/>
      <c r="AC8" s="5676"/>
      <c r="AD8" s="5673" t="s">
        <v>800</v>
      </c>
      <c r="AE8" s="5674"/>
      <c r="AF8" s="5674"/>
      <c r="AG8" s="5675"/>
      <c r="AH8" s="5677"/>
      <c r="AI8" s="5678"/>
    </row>
    <row r="9">
      <c r="A9" s="5679"/>
      <c r="B9" s="5680"/>
      <c r="C9" s="326"/>
      <c r="D9" s="5681"/>
      <c r="E9" s="5682">
        <v>85.0</v>
      </c>
      <c r="F9" s="5683"/>
      <c r="G9" s="5683"/>
      <c r="H9" s="5684"/>
      <c r="I9" s="5676"/>
      <c r="J9" s="5682">
        <v>85.0</v>
      </c>
      <c r="K9" s="5683"/>
      <c r="L9" s="5683"/>
      <c r="M9" s="5684"/>
      <c r="N9" s="5676"/>
      <c r="O9" s="5682">
        <v>85.0</v>
      </c>
      <c r="P9" s="5683"/>
      <c r="Q9" s="5683"/>
      <c r="R9" s="5684"/>
      <c r="S9" s="5676"/>
      <c r="T9" s="5682">
        <v>85.0</v>
      </c>
      <c r="U9" s="5683"/>
      <c r="V9" s="5683"/>
      <c r="W9" s="5684"/>
      <c r="X9" s="5676"/>
      <c r="Y9" s="5682">
        <v>85.0</v>
      </c>
      <c r="Z9" s="5683"/>
      <c r="AA9" s="5683"/>
      <c r="AB9" s="5684"/>
      <c r="AC9" s="5676"/>
      <c r="AD9" s="5682">
        <v>85.0</v>
      </c>
      <c r="AE9" s="5683"/>
      <c r="AF9" s="5683"/>
      <c r="AG9" s="5684"/>
      <c r="AH9" s="5685"/>
      <c r="AI9" s="5686"/>
    </row>
    <row r="10" ht="25.5" customHeight="1">
      <c r="A10" s="5650"/>
      <c r="B10" s="5656"/>
      <c r="C10" s="5687"/>
      <c r="D10" s="5658"/>
      <c r="E10" s="5688"/>
      <c r="F10" s="5689" t="str">
        <f t="array" ref="F10">IFERROR(VLOOKUP(E8,Dex!$B$3:$H291,5,FALSE),"")</f>
        <v/>
      </c>
      <c r="G10" s="5690"/>
      <c r="H10" s="5691"/>
      <c r="I10" s="5676"/>
      <c r="J10" s="5688"/>
      <c r="K10" s="5692" t="str">
        <f t="array" ref="K10">IFERROR(VLOOKUP(J8,Dex!$B$3:$H291,5,FALSE),"")</f>
        <v/>
      </c>
      <c r="L10" s="5693" t="str">
        <f t="array" ref="L10">IFERROR(VLOOKUP(J8,Dex!$B$3:$H291,7,FALSE),"")</f>
        <v/>
      </c>
      <c r="M10" s="5691"/>
      <c r="N10" s="5676"/>
      <c r="O10" s="5688"/>
      <c r="P10" s="5692" t="str">
        <f t="array" ref="P10">IFERROR(VLOOKUP(O8,Dex!$B$3:$H291,5,FALSE),"")</f>
        <v/>
      </c>
      <c r="Q10" s="5693" t="str">
        <f t="array" ref="Q10">IFERROR(VLOOKUP(O8,Dex!$B$3:$H291,7,FALSE),"")</f>
        <v/>
      </c>
      <c r="R10" s="5691"/>
      <c r="S10" s="5676"/>
      <c r="T10" s="5688"/>
      <c r="U10" s="5692" t="str">
        <f t="array" ref="U10">IFERROR(VLOOKUP(T8,Dex!$B$3:$H291,5,FALSE),"")</f>
        <v/>
      </c>
      <c r="V10" s="5693" t="str">
        <f t="array" ref="V10">IFERROR(VLOOKUP(T8,Dex!$B$3:$H291,7,FALSE),"")</f>
        <v/>
      </c>
      <c r="W10" s="5691"/>
      <c r="X10" s="5676"/>
      <c r="Y10" s="5688"/>
      <c r="Z10" s="5689" t="str">
        <f t="array" ref="Z10">IFERROR(VLOOKUP(Y8,Dex!$B$3:$H291,5,FALSE),"")</f>
        <v/>
      </c>
      <c r="AA10" s="5690"/>
      <c r="AB10" s="5691"/>
      <c r="AC10" s="5676"/>
      <c r="AD10" s="5688"/>
      <c r="AE10" s="5692" t="str">
        <f t="array" ref="AE10">IFERROR(VLOOKUP(AD8,Dex!$B$3:$H291,5,FALSE),"")</f>
        <v/>
      </c>
      <c r="AF10" s="5693" t="str">
        <f t="array" ref="AF10">IFERROR(VLOOKUP(AD8,Dex!$B$3:$H291,7,FALSE),"")</f>
        <v/>
      </c>
      <c r="AG10" s="5691"/>
      <c r="AH10" s="5660"/>
      <c r="AI10" s="5655"/>
    </row>
    <row r="11" ht="2.25" customHeight="1">
      <c r="A11" s="5650"/>
      <c r="B11" s="5656"/>
      <c r="C11" s="5676"/>
      <c r="D11" s="5658"/>
      <c r="E11" s="5694"/>
      <c r="F11" s="5695"/>
      <c r="G11" s="5695"/>
      <c r="H11" s="5696"/>
      <c r="I11" s="5676"/>
      <c r="J11" s="5694"/>
      <c r="K11" s="5695"/>
      <c r="L11" s="5695"/>
      <c r="M11" s="5696"/>
      <c r="N11" s="5676"/>
      <c r="O11" s="5694"/>
      <c r="P11" s="5695"/>
      <c r="Q11" s="5695"/>
      <c r="R11" s="5696"/>
      <c r="S11" s="5676"/>
      <c r="T11" s="5694"/>
      <c r="U11" s="5695"/>
      <c r="V11" s="5695"/>
      <c r="W11" s="5696"/>
      <c r="X11" s="5676"/>
      <c r="Y11" s="5694"/>
      <c r="Z11" s="5695"/>
      <c r="AA11" s="5695"/>
      <c r="AB11" s="5696"/>
      <c r="AC11" s="5676"/>
      <c r="AD11" s="5694"/>
      <c r="AE11" s="5695"/>
      <c r="AF11" s="5695"/>
      <c r="AG11" s="5696"/>
      <c r="AH11" s="5660"/>
      <c r="AI11" s="5655"/>
    </row>
    <row r="12" ht="20.25" customHeight="1">
      <c r="A12" s="5650"/>
      <c r="B12" s="5656"/>
      <c r="C12" s="5697"/>
      <c r="D12" s="5658"/>
      <c r="E12" s="5698" t="s">
        <v>205</v>
      </c>
      <c r="F12" s="5699"/>
      <c r="G12" s="5699"/>
      <c r="H12" s="5700"/>
      <c r="I12" s="5676"/>
      <c r="J12" s="5698" t="s">
        <v>172</v>
      </c>
      <c r="K12" s="5699"/>
      <c r="L12" s="5699"/>
      <c r="M12" s="5700"/>
      <c r="N12" s="5676"/>
      <c r="O12" s="5698" t="s">
        <v>169</v>
      </c>
      <c r="P12" s="5699"/>
      <c r="Q12" s="5699"/>
      <c r="R12" s="5700"/>
      <c r="S12" s="5676"/>
      <c r="T12" s="5698" t="s">
        <v>205</v>
      </c>
      <c r="U12" s="5699"/>
      <c r="V12" s="5699"/>
      <c r="W12" s="5700"/>
      <c r="X12" s="5676"/>
      <c r="Y12" s="5698" t="s">
        <v>205</v>
      </c>
      <c r="Z12" s="5699"/>
      <c r="AA12" s="5699"/>
      <c r="AB12" s="5700"/>
      <c r="AC12" s="5676"/>
      <c r="AD12" s="5698" t="s">
        <v>205</v>
      </c>
      <c r="AE12" s="5699"/>
      <c r="AF12" s="5699"/>
      <c r="AG12" s="5700"/>
      <c r="AH12" s="5660"/>
      <c r="AI12" s="5655"/>
    </row>
    <row r="13">
      <c r="A13" s="5650"/>
      <c r="B13" s="5656"/>
      <c r="C13" s="5701"/>
      <c r="D13" s="5658"/>
      <c r="E13" s="5702" t="s">
        <v>1330</v>
      </c>
      <c r="F13" s="5663"/>
      <c r="G13" s="5663"/>
      <c r="H13" s="5703"/>
      <c r="I13" s="5676"/>
      <c r="J13" s="5702" t="s">
        <v>210</v>
      </c>
      <c r="K13" s="5663"/>
      <c r="L13" s="5663"/>
      <c r="M13" s="5703"/>
      <c r="N13" s="5676"/>
      <c r="O13" s="5702" t="s">
        <v>1412</v>
      </c>
      <c r="P13" s="5663"/>
      <c r="Q13" s="5663"/>
      <c r="R13" s="5703"/>
      <c r="S13" s="5676"/>
      <c r="T13" s="5702" t="s">
        <v>301</v>
      </c>
      <c r="U13" s="5663"/>
      <c r="V13" s="5663"/>
      <c r="W13" s="5703"/>
      <c r="X13" s="5676"/>
      <c r="Y13" s="5702" t="s">
        <v>1413</v>
      </c>
      <c r="Z13" s="5663"/>
      <c r="AA13" s="5663"/>
      <c r="AB13" s="5703"/>
      <c r="AC13" s="5676"/>
      <c r="AD13" s="5702" t="s">
        <v>332</v>
      </c>
      <c r="AE13" s="5663"/>
      <c r="AF13" s="5663"/>
      <c r="AG13" s="5703"/>
      <c r="AH13" s="5660"/>
      <c r="AI13" s="5655"/>
    </row>
    <row r="14" ht="20.25" customHeight="1">
      <c r="A14" s="5650"/>
      <c r="B14" s="5656"/>
      <c r="C14" s="5701"/>
      <c r="D14" s="5658"/>
      <c r="E14" s="5704" t="s">
        <v>1334</v>
      </c>
      <c r="F14" s="5705"/>
      <c r="G14" s="5706"/>
      <c r="H14" s="5707" t="str">
        <f>IMAGE("https://raw.githubusercontent.com/msikma/pokesprite/master/items/hold-item/damp-rock.png",3)</f>
        <v/>
      </c>
      <c r="I14" s="5676"/>
      <c r="J14" s="5704" t="s">
        <v>1414</v>
      </c>
      <c r="K14" s="5705"/>
      <c r="L14" s="5706"/>
      <c r="M14" s="5707" t="str">
        <f>IMAGE("https://i.ibb.co/Qb0yYP8/wellspring.png",4,28,28)</f>
        <v/>
      </c>
      <c r="N14" s="5676"/>
      <c r="O14" s="5704" t="s">
        <v>1336</v>
      </c>
      <c r="P14" s="5705"/>
      <c r="Q14" s="5706"/>
      <c r="R14" s="5707" t="str">
        <f>IMAGE("https://raw.githubusercontent.com/msikma/pokesprite/master/items/mega-stone/swampertite.png",3)</f>
        <v/>
      </c>
      <c r="S14" s="5676"/>
      <c r="T14" s="5704" t="s">
        <v>272</v>
      </c>
      <c r="U14" s="5705"/>
      <c r="V14" s="5706"/>
      <c r="W14" s="5707" t="str">
        <f>IMAGE("https://raw.githubusercontent.com/msikma/pokesprite/master/items/hold-item/life-orb.png",3)</f>
        <v/>
      </c>
      <c r="X14" s="5676"/>
      <c r="Y14" s="5704" t="s">
        <v>1415</v>
      </c>
      <c r="Z14" s="5705"/>
      <c r="AA14" s="5706"/>
      <c r="AB14" s="5707" t="str">
        <f>IMAGE("https://raw.githubusercontent.com/msikma/pokesprite/master/items/hold-item/blue-orb.png",3)</f>
        <v/>
      </c>
      <c r="AC14" s="5676"/>
      <c r="AD14" s="5704" t="s">
        <v>240</v>
      </c>
      <c r="AE14" s="5705"/>
      <c r="AF14" s="5706"/>
      <c r="AG14" s="5707" t="str">
        <f>IMAGE("https://raw.githubusercontent.com/msikma/pokesprite/master/items/hold-item/focus-sash.png",3)</f>
        <v/>
      </c>
      <c r="AH14" s="5660"/>
      <c r="AI14" s="5655"/>
    </row>
    <row r="15" ht="20.25" customHeight="1">
      <c r="A15" s="5650"/>
      <c r="B15" s="5656"/>
      <c r="C15" s="5701"/>
      <c r="D15" s="5658"/>
      <c r="E15" s="5698" t="s">
        <v>219</v>
      </c>
      <c r="F15" s="5699"/>
      <c r="G15" s="5708"/>
      <c r="H15" s="5709" t="str">
        <f t="shared" ref="H15:H16" si="1">IMAGE("https://raw.githubusercontent.com/msikma/pokesprite/master/misc/types/gen8/water.png",4,20,20)</f>
        <v/>
      </c>
      <c r="I15" s="5676"/>
      <c r="J15" s="5698" t="s">
        <v>371</v>
      </c>
      <c r="K15" s="5699"/>
      <c r="L15" s="5708"/>
      <c r="M15" s="5709" t="str">
        <f>IMAGE("https://raw.githubusercontent.com/msikma/pokesprite/master/misc/types/gen8/water.png",4,20,20)</f>
        <v/>
      </c>
      <c r="N15" s="5676"/>
      <c r="O15" s="5698" t="s">
        <v>736</v>
      </c>
      <c r="P15" s="5699"/>
      <c r="Q15" s="5708"/>
      <c r="R15" s="5709" t="str">
        <f>IMAGE("https://raw.githubusercontent.com/msikma/pokesprite/master/misc/types/gen8/fighting.png",4,20,20)</f>
        <v/>
      </c>
      <c r="S15" s="5676"/>
      <c r="T15" s="5698" t="s">
        <v>185</v>
      </c>
      <c r="U15" s="5699"/>
      <c r="V15" s="5708"/>
      <c r="W15" s="5709" t="str">
        <f>IMAGE("https://raw.githubusercontent.com/msikma/pokesprite/master/misc/types/gen8/normal.png",4,20,20)</f>
        <v/>
      </c>
      <c r="X15" s="5676"/>
      <c r="Y15" s="5698" t="s">
        <v>1416</v>
      </c>
      <c r="Z15" s="5699"/>
      <c r="AA15" s="5708"/>
      <c r="AB15" s="5709" t="str">
        <f t="shared" ref="AB15:AB16" si="2">IMAGE("https://raw.githubusercontent.com/msikma/pokesprite/master/misc/types/gen8/water.png",4,20,20)</f>
        <v/>
      </c>
      <c r="AC15" s="5676"/>
      <c r="AD15" s="5698" t="s">
        <v>338</v>
      </c>
      <c r="AE15" s="5699"/>
      <c r="AF15" s="5708"/>
      <c r="AG15" s="5709" t="str">
        <f>IMAGE("https://raw.githubusercontent.com/msikma/pokesprite/master/misc/types/gen8/water.png",4,20,20)</f>
        <v/>
      </c>
      <c r="AH15" s="5660"/>
      <c r="AI15" s="5655"/>
    </row>
    <row r="16" ht="20.25" customHeight="1">
      <c r="A16" s="5650"/>
      <c r="B16" s="5656"/>
      <c r="C16" s="5710"/>
      <c r="D16" s="5658"/>
      <c r="E16" s="5702" t="s">
        <v>246</v>
      </c>
      <c r="F16" s="5663"/>
      <c r="G16" s="5664"/>
      <c r="H16" s="5711" t="str">
        <f t="shared" si="1"/>
        <v/>
      </c>
      <c r="I16" s="5676"/>
      <c r="J16" s="5702" t="s">
        <v>373</v>
      </c>
      <c r="K16" s="5663"/>
      <c r="L16" s="5664"/>
      <c r="M16" s="5711" t="str">
        <f>IMAGE("https://raw.githubusercontent.com/msikma/pokesprite/master/misc/types/gen8/grass.png",4,20,20)</f>
        <v/>
      </c>
      <c r="N16" s="5676"/>
      <c r="O16" s="5702" t="s">
        <v>402</v>
      </c>
      <c r="P16" s="5663"/>
      <c r="Q16" s="5664"/>
      <c r="R16" s="5711" t="str">
        <f>IMAGE("https://raw.githubusercontent.com/msikma/pokesprite/master/misc/types/gen8/ground.png",4,20,20)</f>
        <v/>
      </c>
      <c r="S16" s="5676"/>
      <c r="T16" s="5702" t="s">
        <v>461</v>
      </c>
      <c r="U16" s="5663"/>
      <c r="V16" s="5664"/>
      <c r="W16" s="5711" t="str">
        <f>IMAGE("https://raw.githubusercontent.com/msikma/pokesprite/master/misc/types/gen8/flying.png",4,20,20)</f>
        <v/>
      </c>
      <c r="X16" s="5676"/>
      <c r="Y16" s="5702" t="s">
        <v>1417</v>
      </c>
      <c r="Z16" s="5663"/>
      <c r="AA16" s="5664"/>
      <c r="AB16" s="5711" t="str">
        <f t="shared" si="2"/>
        <v/>
      </c>
      <c r="AC16" s="5676"/>
      <c r="AD16" s="5702" t="s">
        <v>636</v>
      </c>
      <c r="AE16" s="5663"/>
      <c r="AF16" s="5664"/>
      <c r="AG16" s="5711" t="str">
        <f t="shared" ref="AG16:AG17" si="3">IMAGE("https://raw.githubusercontent.com/msikma/pokesprite/master/misc/types/gen8/ice.png",4,20,20)</f>
        <v/>
      </c>
      <c r="AH16" s="5660"/>
      <c r="AI16" s="5655"/>
    </row>
    <row r="17" ht="20.25" customHeight="1">
      <c r="A17" s="5650"/>
      <c r="B17" s="5656"/>
      <c r="C17" s="5657"/>
      <c r="D17" s="5658"/>
      <c r="E17" s="5702" t="s">
        <v>1324</v>
      </c>
      <c r="F17" s="5663"/>
      <c r="G17" s="5664"/>
      <c r="H17" s="5711" t="str">
        <f>IMAGE("https://raw.githubusercontent.com/msikma/pokesprite/master/misc/types/gen8/ice.png",4,20,20)</f>
        <v/>
      </c>
      <c r="I17" s="5676"/>
      <c r="J17" s="5702" t="s">
        <v>279</v>
      </c>
      <c r="K17" s="5663"/>
      <c r="L17" s="5664"/>
      <c r="M17" s="5711" t="str">
        <f>IMAGE("https://raw.githubusercontent.com/msikma/pokesprite/master/misc/types/gen8/dark.png",4,20,20)</f>
        <v/>
      </c>
      <c r="N17" s="5676"/>
      <c r="O17" s="5702" t="s">
        <v>215</v>
      </c>
      <c r="P17" s="5663"/>
      <c r="Q17" s="5664"/>
      <c r="R17" s="5711" t="str">
        <f>IMAGE("https://raw.githubusercontent.com/msikma/pokesprite/master/misc/types/gen8/ice.png",4,20,20)</f>
        <v/>
      </c>
      <c r="S17" s="5676"/>
      <c r="T17" s="5702" t="s">
        <v>338</v>
      </c>
      <c r="U17" s="5663"/>
      <c r="V17" s="5664"/>
      <c r="W17" s="5711" t="str">
        <f>IMAGE("https://raw.githubusercontent.com/msikma/pokesprite/master/misc/types/gen8/water.png",4,20,20)</f>
        <v/>
      </c>
      <c r="X17" s="5676"/>
      <c r="Y17" s="5702" t="s">
        <v>539</v>
      </c>
      <c r="Z17" s="5663"/>
      <c r="AA17" s="5664"/>
      <c r="AB17" s="5711" t="str">
        <f>IMAGE("https://raw.githubusercontent.com/msikma/pokesprite/master/misc/types/gen8/electric.png",4,20,20)</f>
        <v/>
      </c>
      <c r="AC17" s="5676"/>
      <c r="AD17" s="5702" t="s">
        <v>317</v>
      </c>
      <c r="AE17" s="5663"/>
      <c r="AF17" s="5664"/>
      <c r="AG17" s="5711" t="str">
        <f t="shared" si="3"/>
        <v/>
      </c>
      <c r="AH17" s="5660"/>
      <c r="AI17" s="5655"/>
    </row>
    <row r="18" ht="21.0" customHeight="1">
      <c r="A18" s="5650"/>
      <c r="B18" s="5656"/>
      <c r="C18" s="5657"/>
      <c r="D18" s="5658"/>
      <c r="E18" s="5712" t="s">
        <v>1418</v>
      </c>
      <c r="F18" s="5713"/>
      <c r="G18" s="5714"/>
      <c r="H18" s="5715" t="str">
        <f>IMAGE("https://raw.githubusercontent.com/msikma/pokesprite/master/misc/types/gen8/water.png",4,20,20)</f>
        <v/>
      </c>
      <c r="I18" s="5697"/>
      <c r="J18" s="5712" t="s">
        <v>556</v>
      </c>
      <c r="K18" s="5713"/>
      <c r="L18" s="5714"/>
      <c r="M18" s="5715" t="str">
        <f>IMAGE("https://raw.githubusercontent.com/msikma/pokesprite/master/misc/types/gen8/fairy.png",4,20,20)</f>
        <v/>
      </c>
      <c r="N18" s="5697"/>
      <c r="O18" s="5712" t="s">
        <v>459</v>
      </c>
      <c r="P18" s="5713"/>
      <c r="Q18" s="5714"/>
      <c r="R18" s="5715" t="str">
        <f>IMAGE("https://raw.githubusercontent.com/msikma/pokesprite/master/misc/types/gen8/water.png",4,20,20)</f>
        <v/>
      </c>
      <c r="S18" s="5697"/>
      <c r="T18" s="5712" t="s">
        <v>380</v>
      </c>
      <c r="U18" s="5713"/>
      <c r="V18" s="5714"/>
      <c r="W18" s="5715" t="str">
        <f>IMAGE("https://raw.githubusercontent.com/msikma/pokesprite/master/misc/types/gen8/dragon.png",4,20,20)</f>
        <v/>
      </c>
      <c r="X18" s="5697"/>
      <c r="Y18" s="5712" t="s">
        <v>317</v>
      </c>
      <c r="Z18" s="5713"/>
      <c r="AA18" s="5714"/>
      <c r="AB18" s="5715" t="str">
        <f>IMAGE("https://raw.githubusercontent.com/msikma/pokesprite/master/misc/types/gen8/ice.png",4,20,20)</f>
        <v/>
      </c>
      <c r="AC18" s="5697"/>
      <c r="AD18" s="5712" t="s">
        <v>219</v>
      </c>
      <c r="AE18" s="5713"/>
      <c r="AF18" s="5714"/>
      <c r="AG18" s="5715" t="str">
        <f>IMAGE("https://raw.githubusercontent.com/msikma/pokesprite/master/misc/types/gen8/water.png",4,20,20)</f>
        <v/>
      </c>
      <c r="AH18" s="5660"/>
      <c r="AI18" s="5655"/>
    </row>
    <row r="19" ht="3.0" customHeight="1">
      <c r="A19" s="5716"/>
      <c r="B19" s="5717"/>
      <c r="C19" s="5718"/>
      <c r="D19" s="5719"/>
      <c r="E19" s="5720"/>
      <c r="F19" s="5720"/>
      <c r="G19" s="5720"/>
      <c r="H19" s="5720"/>
      <c r="I19" s="5658"/>
      <c r="J19" s="5721"/>
      <c r="K19" s="5721"/>
      <c r="L19" s="5721"/>
      <c r="M19" s="5720"/>
      <c r="N19" s="5658"/>
      <c r="O19" s="5720"/>
      <c r="P19" s="5720"/>
      <c r="Q19" s="5720"/>
      <c r="R19" s="5720"/>
      <c r="S19" s="5658"/>
      <c r="T19" s="5721"/>
      <c r="U19" s="5721"/>
      <c r="V19" s="5721"/>
      <c r="W19" s="5720"/>
      <c r="X19" s="5658"/>
      <c r="Y19" s="5722"/>
      <c r="Z19" s="5722"/>
      <c r="AA19" s="5722"/>
      <c r="AB19" s="5723"/>
      <c r="AC19" s="5723"/>
      <c r="AD19" s="5722"/>
      <c r="AE19" s="5722"/>
      <c r="AF19" s="5722"/>
      <c r="AG19" s="5723"/>
      <c r="AH19" s="5724"/>
      <c r="AI19" s="5725"/>
    </row>
    <row r="20" ht="16.5" customHeight="1">
      <c r="A20" s="5726"/>
      <c r="B20" s="5727"/>
      <c r="C20" s="5728"/>
      <c r="D20" s="5729"/>
      <c r="E20" s="5730" t="s">
        <v>190</v>
      </c>
      <c r="F20" s="381"/>
      <c r="G20" s="382"/>
      <c r="H20" s="5731" t="s">
        <v>191</v>
      </c>
      <c r="I20" s="5732"/>
      <c r="J20" s="5730" t="s">
        <v>190</v>
      </c>
      <c r="K20" s="381"/>
      <c r="L20" s="382"/>
      <c r="M20" s="5731" t="s">
        <v>191</v>
      </c>
      <c r="N20" s="5719"/>
      <c r="O20" s="5730" t="s">
        <v>190</v>
      </c>
      <c r="P20" s="381"/>
      <c r="Q20" s="382"/>
      <c r="R20" s="5731" t="s">
        <v>191</v>
      </c>
      <c r="S20" s="5732"/>
      <c r="T20" s="5730" t="s">
        <v>190</v>
      </c>
      <c r="U20" s="381"/>
      <c r="V20" s="382"/>
      <c r="W20" s="5731" t="s">
        <v>191</v>
      </c>
      <c r="X20" s="5732"/>
      <c r="Y20" s="5730" t="s">
        <v>190</v>
      </c>
      <c r="Z20" s="381"/>
      <c r="AA20" s="382"/>
      <c r="AB20" s="5731" t="s">
        <v>191</v>
      </c>
      <c r="AC20" s="5733"/>
      <c r="AD20" s="5730" t="s">
        <v>190</v>
      </c>
      <c r="AE20" s="381"/>
      <c r="AF20" s="382"/>
      <c r="AG20" s="5731" t="s">
        <v>191</v>
      </c>
      <c r="AH20" s="5734"/>
      <c r="AI20" s="5735"/>
    </row>
    <row r="21" ht="16.5" customHeight="1">
      <c r="A21" s="5726"/>
      <c r="B21" s="5727"/>
      <c r="C21" s="5728"/>
      <c r="D21" s="5729"/>
      <c r="E21" s="5736" t="s">
        <v>192</v>
      </c>
      <c r="F21" s="5737">
        <f t="array" ref="F21">IFERROR(VLOOKUP(E8,Dex!$B$3:$N291,8,FALSE),"")</f>
        <v>90</v>
      </c>
      <c r="G21" s="5738" t="str">
        <f t="array" ref="G21">IFERROR(VLOOKUP(F21,Dex!$P$22:$Q$276,2,FALSE),"")</f>
        <v/>
      </c>
      <c r="H21" s="5739">
        <v>252.0</v>
      </c>
      <c r="I21" s="5729"/>
      <c r="J21" s="5736" t="s">
        <v>192</v>
      </c>
      <c r="K21" s="5737">
        <f t="array" ref="K21">IFERROR(VLOOKUP(J8,Dex!$B$3:$N291,8,FALSE),"")</f>
        <v>80</v>
      </c>
      <c r="L21" s="5738" t="str">
        <f t="array" ref="L21">IFERROR(VLOOKUP(K21,Dex!$P$22:$Q$276,2,FALSE),"")</f>
        <v/>
      </c>
      <c r="M21" s="5739"/>
      <c r="N21" s="5729"/>
      <c r="O21" s="5736" t="s">
        <v>192</v>
      </c>
      <c r="P21" s="5737">
        <f t="array" ref="P21">IFERROR(VLOOKUP(O8,Dex!$B$3:$N291,8,FALSE),"")</f>
        <v>100</v>
      </c>
      <c r="Q21" s="5738" t="str">
        <f t="array" ref="Q21">IFERROR(VLOOKUP(P21,Dex!$P$22:$Q$276,2,FALSE),"")</f>
        <v/>
      </c>
      <c r="R21" s="5739"/>
      <c r="S21" s="5729"/>
      <c r="T21" s="5736" t="s">
        <v>192</v>
      </c>
      <c r="U21" s="5737">
        <f t="array" ref="U21">IFERROR(VLOOKUP(T8,Dex!$B$3:$N291,8,FALSE),"")</f>
        <v>99</v>
      </c>
      <c r="V21" s="5738" t="str">
        <f t="array" ref="V21">IFERROR(VLOOKUP(U21,Dex!$P$22:$Q$276,2,FALSE),"")</f>
        <v/>
      </c>
      <c r="W21" s="5739"/>
      <c r="X21" s="5729"/>
      <c r="Y21" s="5736" t="s">
        <v>192</v>
      </c>
      <c r="Z21" s="5737">
        <f t="array" ref="Z21">IFERROR(VLOOKUP(Y8,Dex!$B$3:$N291,8,FALSE),"")</f>
        <v>100</v>
      </c>
      <c r="AA21" s="5738" t="str">
        <f t="array" ref="AA21">IFERROR(VLOOKUP(Z21,Dex!$P$22:$Q$276,2,FALSE),"")</f>
        <v/>
      </c>
      <c r="AB21" s="5739"/>
      <c r="AC21" s="5740"/>
      <c r="AD21" s="5736" t="s">
        <v>192</v>
      </c>
      <c r="AE21" s="5737">
        <f t="array" ref="AE21">IFERROR(VLOOKUP(AD8,Dex!$B$3:$N291,8,FALSE),"")</f>
        <v>56</v>
      </c>
      <c r="AF21" s="5738" t="str">
        <f t="array" ref="AF21">IFERROR(VLOOKUP(AE21,Dex!$P$22:$Q$276,2,FALSE),"")</f>
        <v/>
      </c>
      <c r="AG21" s="5739"/>
      <c r="AH21" s="5734"/>
      <c r="AI21" s="5735"/>
    </row>
    <row r="22" ht="16.5" customHeight="1">
      <c r="A22" s="5726"/>
      <c r="B22" s="5727"/>
      <c r="C22" s="5728"/>
      <c r="D22" s="5729"/>
      <c r="E22" s="5741" t="s">
        <v>193</v>
      </c>
      <c r="F22" s="5742">
        <f t="array" ref="F22">IFERROR(VLOOKUP(E8,Dex!$B$3:$N291,9,FALSE),"")</f>
        <v>75</v>
      </c>
      <c r="G22" s="5743" t="str">
        <f t="array" ref="G22">IFERROR(VLOOKUP(F22,Dex!$P$22:$Q$276,2,FALSE),"")</f>
        <v/>
      </c>
      <c r="H22" s="5744"/>
      <c r="I22" s="5729"/>
      <c r="J22" s="5741" t="s">
        <v>193</v>
      </c>
      <c r="K22" s="5742">
        <f t="array" ref="K22">IFERROR(VLOOKUP(J8,Dex!$B$3:$N291,9,FALSE),"")</f>
        <v>120</v>
      </c>
      <c r="L22" s="5743" t="str">
        <f t="array" ref="L22">IFERROR(VLOOKUP(K22,Dex!$P$22:$Q$276,2,FALSE),"")</f>
        <v/>
      </c>
      <c r="M22" s="5744">
        <v>252.0</v>
      </c>
      <c r="N22" s="5729"/>
      <c r="O22" s="5741" t="s">
        <v>193</v>
      </c>
      <c r="P22" s="5742">
        <f t="array" ref="P22">IFERROR(VLOOKUP(O8,Dex!$B$3:$N291,9,FALSE),"")</f>
        <v>150</v>
      </c>
      <c r="Q22" s="5743" t="str">
        <f t="array" ref="Q22">IFERROR(VLOOKUP(P22,Dex!$P$22:$Q$276,2,FALSE),"")</f>
        <v/>
      </c>
      <c r="R22" s="5744">
        <v>252.0</v>
      </c>
      <c r="S22" s="5729"/>
      <c r="T22" s="5741" t="s">
        <v>193</v>
      </c>
      <c r="U22" s="5742">
        <f t="array" ref="U22">IFERROR(VLOOKUP(T8,Dex!$B$3:$N291,9,FALSE),"")</f>
        <v>83</v>
      </c>
      <c r="V22" s="5743" t="str">
        <f t="array" ref="V22">IFERROR(VLOOKUP(U22,Dex!$P$22:$Q$276,2,FALSE),"")</f>
        <v/>
      </c>
      <c r="W22" s="5744"/>
      <c r="X22" s="5729"/>
      <c r="Y22" s="5741" t="s">
        <v>193</v>
      </c>
      <c r="Z22" s="5742">
        <f t="array" ref="Z22">IFERROR(VLOOKUP(Y8,Dex!$B$3:$N291,9,FALSE),"")</f>
        <v>150</v>
      </c>
      <c r="AA22" s="5743" t="str">
        <f t="array" ref="AA22">IFERROR(VLOOKUP(Z22,Dex!$P$22:$Q$276,2,FALSE),"")</f>
        <v/>
      </c>
      <c r="AB22" s="5744"/>
      <c r="AC22" s="5740"/>
      <c r="AD22" s="5741" t="s">
        <v>193</v>
      </c>
      <c r="AE22" s="5742">
        <f t="array" ref="AE22">IFERROR(VLOOKUP(AD8,Dex!$B$3:$N291,9,FALSE),"")</f>
        <v>80</v>
      </c>
      <c r="AF22" s="5743" t="str">
        <f t="array" ref="AF22">IFERROR(VLOOKUP(AE22,Dex!$P$22:$Q$276,2,FALSE),"")</f>
        <v/>
      </c>
      <c r="AG22" s="5744"/>
      <c r="AH22" s="5734"/>
      <c r="AI22" s="5735"/>
    </row>
    <row r="23" ht="16.5" customHeight="1">
      <c r="A23" s="5726"/>
      <c r="B23" s="5727"/>
      <c r="C23" s="5728"/>
      <c r="D23" s="5729"/>
      <c r="E23" s="5741" t="s">
        <v>194</v>
      </c>
      <c r="F23" s="5742">
        <f t="array" ref="F23">IFERROR(VLOOKUP(E8,Dex!$B$3:$N291,10,FALSE),"")</f>
        <v>75</v>
      </c>
      <c r="G23" s="5743" t="str">
        <f t="array" ref="G23">IFERROR(VLOOKUP(F23,Dex!$P$22:$Q$276,2,FALSE),"")</f>
        <v/>
      </c>
      <c r="H23" s="5744">
        <v>4.0</v>
      </c>
      <c r="I23" s="5729"/>
      <c r="J23" s="5741" t="s">
        <v>194</v>
      </c>
      <c r="K23" s="5742">
        <f t="array" ref="K23">IFERROR(VLOOKUP(J8,Dex!$B$3:$N291,10,FALSE),"")</f>
        <v>84</v>
      </c>
      <c r="L23" s="5743" t="str">
        <f t="array" ref="L23">IFERROR(VLOOKUP(K23,Dex!$P$22:$Q$276,2,FALSE),"")</f>
        <v/>
      </c>
      <c r="M23" s="5744">
        <v>4.0</v>
      </c>
      <c r="N23" s="5729"/>
      <c r="O23" s="5741" t="s">
        <v>194</v>
      </c>
      <c r="P23" s="5742">
        <f t="array" ref="P23">IFERROR(VLOOKUP(O8,Dex!$B$3:$N291,10,FALSE),"")</f>
        <v>110</v>
      </c>
      <c r="Q23" s="5743" t="str">
        <f t="array" ref="Q23">IFERROR(VLOOKUP(P23,Dex!$P$22:$Q$276,2,FALSE),"")</f>
        <v/>
      </c>
      <c r="R23" s="5744">
        <v>4.0</v>
      </c>
      <c r="S23" s="5729"/>
      <c r="T23" s="5741" t="s">
        <v>194</v>
      </c>
      <c r="U23" s="5742">
        <f t="array" ref="U23">IFERROR(VLOOKUP(T8,Dex!$B$3:$N291,10,FALSE),"")</f>
        <v>91</v>
      </c>
      <c r="V23" s="5743" t="str">
        <f t="array" ref="V23">IFERROR(VLOOKUP(U23,Dex!$P$22:$Q$276,2,FALSE),"")</f>
        <v/>
      </c>
      <c r="W23" s="5744">
        <v>4.0</v>
      </c>
      <c r="X23" s="5729"/>
      <c r="Y23" s="5741" t="s">
        <v>194</v>
      </c>
      <c r="Z23" s="5742">
        <f t="array" ref="Z23">IFERROR(VLOOKUP(Y8,Dex!$B$3:$N291,10,FALSE),"")</f>
        <v>90</v>
      </c>
      <c r="AA23" s="5743" t="str">
        <f t="array" ref="AA23">IFERROR(VLOOKUP(Z23,Dex!$P$22:$Q$276,2,FALSE),"")</f>
        <v/>
      </c>
      <c r="AB23" s="5744">
        <v>4.0</v>
      </c>
      <c r="AC23" s="5740"/>
      <c r="AD23" s="5741" t="s">
        <v>194</v>
      </c>
      <c r="AE23" s="5742">
        <f t="array" ref="AE23">IFERROR(VLOOKUP(AD8,Dex!$B$3:$N291,10,FALSE),"")</f>
        <v>114</v>
      </c>
      <c r="AF23" s="5743" t="str">
        <f t="array" ref="AF23">IFERROR(VLOOKUP(AE23,Dex!$P$22:$Q$276,2,FALSE),"")</f>
        <v/>
      </c>
      <c r="AG23" s="5744">
        <v>4.0</v>
      </c>
      <c r="AH23" s="5734"/>
      <c r="AI23" s="5735"/>
    </row>
    <row r="24" ht="16.5" customHeight="1">
      <c r="A24" s="5726"/>
      <c r="B24" s="5727"/>
      <c r="C24" s="5728"/>
      <c r="D24" s="5729"/>
      <c r="E24" s="5741" t="s">
        <v>195</v>
      </c>
      <c r="F24" s="5742">
        <f t="array" ref="F24">IFERROR(VLOOKUP(E8,Dex!$B$3:$N291,11,FALSE),"")</f>
        <v>90</v>
      </c>
      <c r="G24" s="5743" t="str">
        <f t="array" ref="G24">IFERROR(VLOOKUP(F24,Dex!$P$22:$Q$276,2,FALSE),"")</f>
        <v/>
      </c>
      <c r="H24" s="5744"/>
      <c r="I24" s="5729"/>
      <c r="J24" s="5741" t="s">
        <v>195</v>
      </c>
      <c r="K24" s="5742">
        <f t="array" ref="K24">IFERROR(VLOOKUP(J8,Dex!$B$3:$N291,11,FALSE),"")</f>
        <v>60</v>
      </c>
      <c r="L24" s="5743" t="str">
        <f t="array" ref="L24">IFERROR(VLOOKUP(K24,Dex!$P$22:$Q$276,2,FALSE),"")</f>
        <v/>
      </c>
      <c r="M24" s="5744"/>
      <c r="N24" s="5729"/>
      <c r="O24" s="5741" t="s">
        <v>195</v>
      </c>
      <c r="P24" s="5742">
        <f t="array" ref="P24">IFERROR(VLOOKUP(O8,Dex!$B$3:$N291,11,FALSE),"")</f>
        <v>95</v>
      </c>
      <c r="Q24" s="5743" t="str">
        <f t="array" ref="Q24">IFERROR(VLOOKUP(P24,Dex!$P$22:$Q$276,2,FALSE),"")</f>
        <v/>
      </c>
      <c r="R24" s="5744"/>
      <c r="S24" s="5729"/>
      <c r="T24" s="5741" t="s">
        <v>195</v>
      </c>
      <c r="U24" s="5742">
        <f t="array" ref="U24">IFERROR(VLOOKUP(T8,Dex!$B$3:$N291,11,FALSE),"")</f>
        <v>125</v>
      </c>
      <c r="V24" s="5743" t="str">
        <f t="array" ref="V24">IFERROR(VLOOKUP(U24,Dex!$P$22:$Q$276,2,FALSE),"")</f>
        <v/>
      </c>
      <c r="W24" s="5744">
        <v>252.0</v>
      </c>
      <c r="X24" s="5729"/>
      <c r="Y24" s="5741" t="s">
        <v>195</v>
      </c>
      <c r="Z24" s="5742">
        <f t="array" ref="Z24">IFERROR(VLOOKUP(Y8,Dex!$B$3:$N291,11,FALSE),"")</f>
        <v>180</v>
      </c>
      <c r="AA24" s="5743" t="str">
        <f t="array" ref="AA24">IFERROR(VLOOKUP(Z24,Dex!$P$22:$Q$276,2,FALSE),"")</f>
        <v/>
      </c>
      <c r="AB24" s="5744">
        <v>252.0</v>
      </c>
      <c r="AC24" s="5740"/>
      <c r="AD24" s="5741" t="s">
        <v>195</v>
      </c>
      <c r="AE24" s="5742">
        <f t="array" ref="AE24">IFERROR(VLOOKUP(AD8,Dex!$B$3:$N291,11,FALSE),"")</f>
        <v>124</v>
      </c>
      <c r="AF24" s="5743" t="str">
        <f t="array" ref="AF24">IFERROR(VLOOKUP(AE24,Dex!$P$22:$Q$276,2,FALSE),"")</f>
        <v/>
      </c>
      <c r="AG24" s="5744">
        <v>252.0</v>
      </c>
      <c r="AH24" s="5734"/>
      <c r="AI24" s="5735"/>
    </row>
    <row r="25" ht="16.5" customHeight="1">
      <c r="A25" s="5726"/>
      <c r="B25" s="5727"/>
      <c r="C25" s="5728"/>
      <c r="D25" s="5729"/>
      <c r="E25" s="5741" t="s">
        <v>196</v>
      </c>
      <c r="F25" s="5742">
        <f t="array" ref="F25">IFERROR(VLOOKUP(E8,Dex!$B$3:$N291,12,FALSE),"")</f>
        <v>100</v>
      </c>
      <c r="G25" s="5743" t="str">
        <f t="array" ref="G25">IFERROR(VLOOKUP(F25,Dex!$P$22:$Q$276,2,FALSE),"")</f>
        <v/>
      </c>
      <c r="H25" s="5744"/>
      <c r="I25" s="5729"/>
      <c r="J25" s="5741" t="s">
        <v>196</v>
      </c>
      <c r="K25" s="5742">
        <f t="array" ref="K25">IFERROR(VLOOKUP(J8,Dex!$B$3:$N291,12,FALSE),"")</f>
        <v>96</v>
      </c>
      <c r="L25" s="5743" t="str">
        <f t="array" ref="L25">IFERROR(VLOOKUP(K25,Dex!$P$22:$Q$276,2,FALSE),"")</f>
        <v/>
      </c>
      <c r="M25" s="5744"/>
      <c r="N25" s="5729"/>
      <c r="O25" s="5741" t="s">
        <v>196</v>
      </c>
      <c r="P25" s="5742">
        <f t="array" ref="P25">IFERROR(VLOOKUP(O8,Dex!$B$3:$N291,12,FALSE),"")</f>
        <v>110</v>
      </c>
      <c r="Q25" s="5743" t="str">
        <f t="array" ref="Q25">IFERROR(VLOOKUP(P25,Dex!$P$22:$Q$276,2,FALSE),"")</f>
        <v/>
      </c>
      <c r="R25" s="5744"/>
      <c r="S25" s="5729"/>
      <c r="T25" s="5741" t="s">
        <v>196</v>
      </c>
      <c r="U25" s="5742">
        <f t="array" ref="U25">IFERROR(VLOOKUP(T8,Dex!$B$3:$N291,12,FALSE),"")</f>
        <v>83</v>
      </c>
      <c r="V25" s="5743" t="str">
        <f t="array" ref="V25">IFERROR(VLOOKUP(U25,Dex!$P$22:$Q$276,2,FALSE),"")</f>
        <v/>
      </c>
      <c r="W25" s="5744"/>
      <c r="X25" s="5729"/>
      <c r="Y25" s="5741" t="s">
        <v>196</v>
      </c>
      <c r="Z25" s="5742">
        <f t="array" ref="Z25">IFERROR(VLOOKUP(Y8,Dex!$B$3:$N291,12,FALSE),"")</f>
        <v>160</v>
      </c>
      <c r="AA25" s="5743" t="str">
        <f t="array" ref="AA25">IFERROR(VLOOKUP(Z25,Dex!$P$22:$Q$276,2,FALSE),"")</f>
        <v/>
      </c>
      <c r="AB25" s="5744"/>
      <c r="AC25" s="5740"/>
      <c r="AD25" s="5741" t="s">
        <v>196</v>
      </c>
      <c r="AE25" s="5742">
        <f t="array" ref="AE25">IFERROR(VLOOKUP(AD8,Dex!$B$3:$N291,12,FALSE),"")</f>
        <v>60</v>
      </c>
      <c r="AF25" s="5743" t="str">
        <f t="array" ref="AF25">IFERROR(VLOOKUP(AE25,Dex!$P$22:$Q$276,2,FALSE),"")</f>
        <v/>
      </c>
      <c r="AG25" s="5744"/>
      <c r="AH25" s="5734"/>
      <c r="AI25" s="5735"/>
    </row>
    <row r="26" ht="16.5" customHeight="1">
      <c r="A26" s="5726"/>
      <c r="B26" s="5727"/>
      <c r="C26" s="5728"/>
      <c r="D26" s="5729"/>
      <c r="E26" s="5745" t="s">
        <v>197</v>
      </c>
      <c r="F26" s="5746">
        <f t="array" ref="F26">IFERROR(VLOOKUP(E8,Dex!$B$3:$N291,13,FALSE),"")</f>
        <v>70</v>
      </c>
      <c r="G26" s="5747" t="str">
        <f t="array" ref="G26">IFERROR(VLOOKUP(F26,Dex!$P$22:$Q$276,2,FALSE),"")</f>
        <v/>
      </c>
      <c r="H26" s="5748">
        <v>252.0</v>
      </c>
      <c r="I26" s="5729"/>
      <c r="J26" s="5745" t="s">
        <v>197</v>
      </c>
      <c r="K26" s="5746">
        <f t="array" ref="K26">IFERROR(VLOOKUP(J8,Dex!$B$3:$N291,13,FALSE),"")</f>
        <v>110</v>
      </c>
      <c r="L26" s="5747" t="str">
        <f t="array" ref="L26">IFERROR(VLOOKUP(K26,Dex!$P$22:$Q$276,2,FALSE),"")</f>
        <v/>
      </c>
      <c r="M26" s="5748">
        <v>252.0</v>
      </c>
      <c r="N26" s="5729"/>
      <c r="O26" s="5745" t="s">
        <v>197</v>
      </c>
      <c r="P26" s="5746">
        <f t="array" ref="P26">IFERROR(VLOOKUP(O8,Dex!$B$3:$N291,13,FALSE),"")</f>
        <v>70</v>
      </c>
      <c r="Q26" s="5747" t="str">
        <f t="array" ref="Q26">IFERROR(VLOOKUP(P26,Dex!$P$22:$Q$276,2,FALSE),"")</f>
        <v/>
      </c>
      <c r="R26" s="5748">
        <v>252.0</v>
      </c>
      <c r="S26" s="5729"/>
      <c r="T26" s="5745" t="s">
        <v>197</v>
      </c>
      <c r="U26" s="5746">
        <f t="array" ref="U26">IFERROR(VLOOKUP(T8,Dex!$B$3:$N291,13,FALSE),"")</f>
        <v>109</v>
      </c>
      <c r="V26" s="5747" t="str">
        <f t="array" ref="V26">IFERROR(VLOOKUP(U26,Dex!$P$22:$Q$276,2,FALSE),"")</f>
        <v/>
      </c>
      <c r="W26" s="5748">
        <v>252.0</v>
      </c>
      <c r="X26" s="5729"/>
      <c r="Y26" s="5745" t="s">
        <v>197</v>
      </c>
      <c r="Z26" s="5746">
        <f t="array" ref="Z26">IFERROR(VLOOKUP(Y8,Dex!$B$3:$N291,13,FALSE),"")</f>
        <v>90</v>
      </c>
      <c r="AA26" s="5747" t="str">
        <f t="array" ref="AA26">IFERROR(VLOOKUP(Z26,Dex!$P$22:$Q$276,2,FALSE),"")</f>
        <v/>
      </c>
      <c r="AB26" s="5748">
        <v>252.0</v>
      </c>
      <c r="AC26" s="5740"/>
      <c r="AD26" s="5745" t="s">
        <v>197</v>
      </c>
      <c r="AE26" s="5746">
        <f t="array" ref="AE26">IFERROR(VLOOKUP(AD8,Dex!$B$3:$N291,13,FALSE),"")</f>
        <v>136</v>
      </c>
      <c r="AF26" s="5747" t="str">
        <f t="array" ref="AF26">IFERROR(VLOOKUP(AE26,Dex!$P$22:$Q$276,2,FALSE),"")</f>
        <v/>
      </c>
      <c r="AG26" s="5748">
        <v>252.0</v>
      </c>
      <c r="AH26" s="5734"/>
      <c r="AI26" s="5735"/>
    </row>
    <row r="27" ht="16.5" customHeight="1">
      <c r="A27" s="5726"/>
      <c r="B27" s="5727"/>
      <c r="C27" s="5728"/>
      <c r="D27" s="5729"/>
      <c r="E27" s="5749" t="s">
        <v>198</v>
      </c>
      <c r="F27" s="405"/>
      <c r="G27" s="406"/>
      <c r="H27" s="5750">
        <v>223.0</v>
      </c>
      <c r="I27" s="5751"/>
      <c r="J27" s="5749" t="s">
        <v>198</v>
      </c>
      <c r="K27" s="405"/>
      <c r="L27" s="406"/>
      <c r="M27" s="5750">
        <v>298.0</v>
      </c>
      <c r="N27" s="5729"/>
      <c r="O27" s="5752" t="s">
        <v>198</v>
      </c>
      <c r="P27" s="918"/>
      <c r="Q27" s="919"/>
      <c r="R27" s="5753">
        <v>203.0</v>
      </c>
      <c r="S27" s="5751"/>
      <c r="T27" s="5749" t="s">
        <v>198</v>
      </c>
      <c r="U27" s="405"/>
      <c r="V27" s="406"/>
      <c r="W27" s="5750">
        <v>297.0</v>
      </c>
      <c r="X27" s="5751"/>
      <c r="Y27" s="5749" t="s">
        <v>198</v>
      </c>
      <c r="Z27" s="405"/>
      <c r="AA27" s="406"/>
      <c r="AB27" s="5750">
        <v>260.0</v>
      </c>
      <c r="AC27" s="5733"/>
      <c r="AD27" s="5749" t="s">
        <v>198</v>
      </c>
      <c r="AE27" s="405"/>
      <c r="AF27" s="406"/>
      <c r="AG27" s="5750">
        <v>347.0</v>
      </c>
      <c r="AH27" s="5734"/>
      <c r="AI27" s="5735"/>
    </row>
    <row r="28" ht="16.5" customHeight="1">
      <c r="A28" s="5726"/>
      <c r="B28" s="5727"/>
      <c r="C28" s="5728"/>
      <c r="D28" s="5729"/>
      <c r="E28" s="5728"/>
      <c r="F28" s="5728"/>
      <c r="G28" s="5728"/>
      <c r="H28" s="5728"/>
      <c r="I28" s="5729"/>
      <c r="J28" s="5754"/>
      <c r="K28" s="5754"/>
      <c r="L28" s="5754"/>
      <c r="M28" s="5728"/>
      <c r="N28" s="5729"/>
      <c r="O28" s="5755" t="s">
        <v>465</v>
      </c>
      <c r="P28" s="925"/>
      <c r="Q28" s="926"/>
      <c r="R28" s="5756">
        <v>406.0</v>
      </c>
      <c r="S28" s="5729"/>
      <c r="T28" s="5754"/>
      <c r="U28" s="5754"/>
      <c r="V28" s="5754"/>
      <c r="W28" s="5728"/>
      <c r="X28" s="5729"/>
      <c r="Y28" s="5754"/>
      <c r="Z28" s="5754"/>
      <c r="AA28" s="5754"/>
      <c r="AB28" s="5728"/>
      <c r="AC28" s="5740"/>
      <c r="AD28" s="5754"/>
      <c r="AE28" s="5754"/>
      <c r="AF28" s="5754"/>
      <c r="AG28" s="5728"/>
      <c r="AH28" s="5734"/>
      <c r="AI28" s="5735"/>
    </row>
    <row r="29" ht="11.25" customHeight="1">
      <c r="A29" s="5650"/>
      <c r="B29" s="5656"/>
      <c r="C29" s="5657"/>
      <c r="D29" s="5658"/>
      <c r="E29" s="5757"/>
      <c r="F29" s="5757"/>
      <c r="G29" s="5757"/>
      <c r="H29" s="5757"/>
      <c r="I29" s="5658"/>
      <c r="J29" s="5757"/>
      <c r="K29" s="5757"/>
      <c r="L29" s="5757"/>
      <c r="M29" s="5757"/>
      <c r="N29" s="5658"/>
      <c r="O29" s="5757"/>
      <c r="P29" s="5757"/>
      <c r="Q29" s="5757"/>
      <c r="R29" s="5757"/>
      <c r="S29" s="5658"/>
      <c r="T29" s="5757"/>
      <c r="U29" s="5757"/>
      <c r="V29" s="5757"/>
      <c r="W29" s="5757"/>
      <c r="X29" s="5658"/>
      <c r="Y29" s="5757"/>
      <c r="Z29" s="5757"/>
      <c r="AA29" s="5757"/>
      <c r="AB29" s="5757"/>
      <c r="AC29" s="5658"/>
      <c r="AD29" s="5757"/>
      <c r="AE29" s="5757"/>
      <c r="AF29" s="5757"/>
      <c r="AG29" s="5757"/>
      <c r="AH29" s="5660"/>
      <c r="AI29" s="5655"/>
    </row>
    <row r="30" ht="11.25" customHeight="1">
      <c r="A30" s="5650"/>
      <c r="B30" s="5758"/>
      <c r="C30" s="5759"/>
      <c r="D30" s="5668"/>
      <c r="E30" s="5760" t="s">
        <v>1419</v>
      </c>
      <c r="F30" s="3181"/>
      <c r="G30" s="3181"/>
      <c r="H30" s="3181"/>
      <c r="I30" s="3181"/>
      <c r="J30" s="3181"/>
      <c r="K30" s="3181"/>
      <c r="L30" s="3181"/>
      <c r="M30" s="3181"/>
      <c r="N30" s="3181"/>
      <c r="O30" s="3181"/>
      <c r="P30" s="3181"/>
      <c r="Q30" s="3181"/>
      <c r="R30" s="3181"/>
      <c r="S30" s="3181"/>
      <c r="T30" s="3181"/>
      <c r="U30" s="3181"/>
      <c r="V30" s="3181"/>
      <c r="W30" s="3181"/>
      <c r="X30" s="3181"/>
      <c r="Y30" s="3181"/>
      <c r="Z30" s="3181"/>
      <c r="AA30" s="3181"/>
      <c r="AB30" s="3181"/>
      <c r="AC30" s="3181"/>
      <c r="AD30" s="3181"/>
      <c r="AE30" s="3181"/>
      <c r="AF30" s="3181"/>
      <c r="AG30" s="3182"/>
      <c r="AH30" s="5761"/>
      <c r="AI30" s="5655"/>
    </row>
    <row r="31" ht="11.25" customHeight="1">
      <c r="A31" s="5650"/>
      <c r="B31" s="5762"/>
      <c r="C31" s="5763"/>
      <c r="D31" s="5764"/>
      <c r="E31" s="114"/>
      <c r="F31" s="3185"/>
      <c r="G31" s="3185"/>
      <c r="H31" s="3185"/>
      <c r="I31" s="3185"/>
      <c r="J31" s="3185"/>
      <c r="K31" s="3185"/>
      <c r="L31" s="3185"/>
      <c r="M31" s="3185"/>
      <c r="N31" s="3185"/>
      <c r="O31" s="3185"/>
      <c r="P31" s="3185"/>
      <c r="Q31" s="3185"/>
      <c r="R31" s="3185"/>
      <c r="S31" s="3185"/>
      <c r="T31" s="3185"/>
      <c r="U31" s="3185"/>
      <c r="V31" s="3185"/>
      <c r="W31" s="3185"/>
      <c r="X31" s="3185"/>
      <c r="Y31" s="3185"/>
      <c r="Z31" s="3185"/>
      <c r="AA31" s="3185"/>
      <c r="AB31" s="3185"/>
      <c r="AC31" s="3185"/>
      <c r="AD31" s="3185"/>
      <c r="AE31" s="3185"/>
      <c r="AF31" s="3185"/>
      <c r="AG31" s="3186"/>
      <c r="AH31" s="5765"/>
      <c r="AI31" s="5655"/>
    </row>
    <row r="32" ht="3.75" customHeight="1">
      <c r="A32" s="5650"/>
      <c r="B32" s="5762"/>
      <c r="C32" s="5763"/>
      <c r="D32" s="5764"/>
      <c r="E32" s="5766"/>
      <c r="F32" s="5766"/>
      <c r="G32" s="5766"/>
      <c r="H32" s="5766"/>
      <c r="I32" s="5764"/>
      <c r="J32" s="5766"/>
      <c r="K32" s="5766"/>
      <c r="L32" s="5766"/>
      <c r="M32" s="5766"/>
      <c r="N32" s="5764"/>
      <c r="O32" s="5766"/>
      <c r="P32" s="5766"/>
      <c r="Q32" s="5766"/>
      <c r="R32" s="5766"/>
      <c r="S32" s="5764"/>
      <c r="T32" s="5766"/>
      <c r="U32" s="5766"/>
      <c r="V32" s="5766"/>
      <c r="W32" s="5766"/>
      <c r="X32" s="5764"/>
      <c r="Y32" s="5766"/>
      <c r="Z32" s="5766"/>
      <c r="AA32" s="5766"/>
      <c r="AB32" s="5766"/>
      <c r="AC32" s="5764"/>
      <c r="AD32" s="5766"/>
      <c r="AE32" s="5766"/>
      <c r="AF32" s="5766"/>
      <c r="AG32" s="5766"/>
      <c r="AH32" s="5765"/>
      <c r="AI32" s="5655"/>
    </row>
    <row r="33" ht="18.75" customHeight="1">
      <c r="A33" s="5650"/>
      <c r="B33" s="5762"/>
      <c r="C33" s="5763"/>
      <c r="D33" s="5764"/>
      <c r="E33" s="5767" t="s">
        <v>1420</v>
      </c>
      <c r="F33" s="5768"/>
      <c r="G33" s="5768"/>
      <c r="H33" s="5768"/>
      <c r="I33" s="5768"/>
      <c r="J33" s="5768"/>
      <c r="K33" s="5768"/>
      <c r="L33" s="5768"/>
      <c r="M33" s="5768"/>
      <c r="N33" s="5768"/>
      <c r="O33" s="5768"/>
      <c r="P33" s="5768"/>
      <c r="Q33" s="5768"/>
      <c r="R33" s="5768"/>
      <c r="S33" s="5768"/>
      <c r="T33" s="5768"/>
      <c r="U33" s="5768"/>
      <c r="V33" s="5768"/>
      <c r="W33" s="5768"/>
      <c r="X33" s="5768"/>
      <c r="Y33" s="5768"/>
      <c r="Z33" s="5768"/>
      <c r="AA33" s="5768"/>
      <c r="AB33" s="5768"/>
      <c r="AC33" s="5768"/>
      <c r="AD33" s="5768"/>
      <c r="AE33" s="5768"/>
      <c r="AF33" s="5768"/>
      <c r="AG33" s="5769"/>
      <c r="AH33" s="5765"/>
      <c r="AI33" s="5655"/>
    </row>
    <row r="34" ht="96.75" customHeight="1">
      <c r="A34" s="5650"/>
      <c r="B34" s="5762"/>
      <c r="C34" s="5770" t="str">
        <f>IMAGE("https://i.ibb.co/5BW746H/Lorelei.png")</f>
        <v/>
      </c>
      <c r="D34" s="5771"/>
      <c r="E34" s="5772" t="str">
        <f t="array" ref="E34">IFERROR(VLOOKUP(E35,Dex!$B$3:$G291,3,FALSE),"")</f>
        <v/>
      </c>
      <c r="F34" s="1830"/>
      <c r="G34" s="1830"/>
      <c r="H34" s="1831"/>
      <c r="I34" s="5773"/>
      <c r="J34" s="5772" t="str">
        <f t="array" ref="J34">IFERROR(VLOOKUP(J35,Dex!$B$3:$G291,3,FALSE),"")</f>
        <v/>
      </c>
      <c r="K34" s="1830"/>
      <c r="L34" s="1830"/>
      <c r="M34" s="1831"/>
      <c r="N34" s="5773"/>
      <c r="O34" s="5772" t="str">
        <f t="array" ref="O34">IFERROR(VLOOKUP(O35,Dex!$B$3:$G291,3,FALSE),"")</f>
        <v/>
      </c>
      <c r="P34" s="1830"/>
      <c r="Q34" s="1830"/>
      <c r="R34" s="1831"/>
      <c r="S34" s="5773"/>
      <c r="T34" s="5772" t="str">
        <f t="array" ref="T34">IFERROR(VLOOKUP(T35,Dex!$B$3:$G291,3,FALSE),"")</f>
        <v/>
      </c>
      <c r="U34" s="1830"/>
      <c r="V34" s="1830"/>
      <c r="W34" s="1831"/>
      <c r="X34" s="5773"/>
      <c r="Y34" s="5772" t="str">
        <f t="array" ref="Y34">IFERROR(VLOOKUP(Y35,Dex!$B$3:$G291,3,FALSE),"")</f>
        <v/>
      </c>
      <c r="Z34" s="1830"/>
      <c r="AA34" s="1830"/>
      <c r="AB34" s="1831"/>
      <c r="AC34" s="5773"/>
      <c r="AD34" s="5772" t="str">
        <f t="array" ref="AD34">IFERROR(VLOOKUP(AD35,Dex!$B$3:$G291,3,FALSE),"")</f>
        <v/>
      </c>
      <c r="AE34" s="1830"/>
      <c r="AF34" s="1830"/>
      <c r="AG34" s="1831"/>
      <c r="AH34" s="5765"/>
      <c r="AI34" s="5655"/>
    </row>
    <row r="35" ht="18.75" customHeight="1">
      <c r="A35" s="5669"/>
      <c r="B35" s="5774"/>
      <c r="C35" s="5775" t="s">
        <v>1421</v>
      </c>
      <c r="D35" s="5776"/>
      <c r="E35" s="5777" t="s">
        <v>1422</v>
      </c>
      <c r="F35" s="5778"/>
      <c r="G35" s="5778"/>
      <c r="H35" s="5779"/>
      <c r="I35" s="5780"/>
      <c r="J35" s="5777" t="s">
        <v>1423</v>
      </c>
      <c r="K35" s="5778"/>
      <c r="L35" s="5778"/>
      <c r="M35" s="5779"/>
      <c r="N35" s="5780"/>
      <c r="O35" s="5777" t="s">
        <v>469</v>
      </c>
      <c r="P35" s="5778"/>
      <c r="Q35" s="5778"/>
      <c r="R35" s="5779"/>
      <c r="S35" s="5780"/>
      <c r="T35" s="5777" t="s">
        <v>1424</v>
      </c>
      <c r="U35" s="5778"/>
      <c r="V35" s="5778"/>
      <c r="W35" s="5779"/>
      <c r="X35" s="5780"/>
      <c r="Y35" s="5777" t="s">
        <v>1425</v>
      </c>
      <c r="Z35" s="5778"/>
      <c r="AA35" s="5778"/>
      <c r="AB35" s="5779"/>
      <c r="AC35" s="5780"/>
      <c r="AD35" s="5777" t="s">
        <v>617</v>
      </c>
      <c r="AE35" s="5778"/>
      <c r="AF35" s="5778"/>
      <c r="AG35" s="5779"/>
      <c r="AH35" s="5781"/>
      <c r="AI35" s="5678"/>
    </row>
    <row r="36">
      <c r="A36" s="5679"/>
      <c r="B36" s="5782"/>
      <c r="C36" s="326"/>
      <c r="D36" s="5783"/>
      <c r="E36" s="5784">
        <v>85.0</v>
      </c>
      <c r="F36" s="5785"/>
      <c r="G36" s="5785"/>
      <c r="H36" s="5786"/>
      <c r="I36" s="5780"/>
      <c r="J36" s="5784">
        <v>85.0</v>
      </c>
      <c r="K36" s="5785"/>
      <c r="L36" s="5785"/>
      <c r="M36" s="5786"/>
      <c r="N36" s="5780"/>
      <c r="O36" s="5784">
        <v>85.0</v>
      </c>
      <c r="P36" s="5785"/>
      <c r="Q36" s="5785"/>
      <c r="R36" s="5786"/>
      <c r="S36" s="5780"/>
      <c r="T36" s="5784">
        <v>85.0</v>
      </c>
      <c r="U36" s="5785"/>
      <c r="V36" s="5785"/>
      <c r="W36" s="5786"/>
      <c r="X36" s="5780"/>
      <c r="Y36" s="5784">
        <v>85.0</v>
      </c>
      <c r="Z36" s="5785"/>
      <c r="AA36" s="5785"/>
      <c r="AB36" s="5786"/>
      <c r="AC36" s="5780"/>
      <c r="AD36" s="5784">
        <v>85.0</v>
      </c>
      <c r="AE36" s="5785"/>
      <c r="AF36" s="5785"/>
      <c r="AG36" s="5786"/>
      <c r="AH36" s="5787"/>
      <c r="AI36" s="5686"/>
    </row>
    <row r="37" ht="25.5" customHeight="1">
      <c r="A37" s="5650"/>
      <c r="B37" s="5762"/>
      <c r="C37" s="5788"/>
      <c r="D37" s="5764"/>
      <c r="E37" s="5789"/>
      <c r="F37" s="5790" t="str">
        <f t="array" ref="F37">IFERROR(VLOOKUP(E35,Dex!$B$3:$H291,5,FALSE),"")</f>
        <v/>
      </c>
      <c r="G37" s="5791" t="str">
        <f t="array" ref="G37">IFERROR(VLOOKUP(E35,Dex!$B$3:$H291,7,FALSE),"")</f>
        <v/>
      </c>
      <c r="H37" s="5792"/>
      <c r="I37" s="5780"/>
      <c r="J37" s="5789"/>
      <c r="K37" s="5793" t="str">
        <f t="array" ref="K37">IFERROR(VLOOKUP(J35,Dex!$B$3:$H291,5,FALSE),"")</f>
        <v/>
      </c>
      <c r="L37" s="5794"/>
      <c r="M37" s="5792"/>
      <c r="N37" s="5780"/>
      <c r="O37" s="5789"/>
      <c r="P37" s="5790" t="str">
        <f t="array" ref="P37">IFERROR(VLOOKUP(O35,Dex!$B$3:$H291,5,FALSE),"")</f>
        <v/>
      </c>
      <c r="Q37" s="5791" t="str">
        <f t="array" ref="Q37">IFERROR(VLOOKUP(O35,Dex!$B$3:$H291,7,FALSE),"")</f>
        <v/>
      </c>
      <c r="R37" s="5792"/>
      <c r="S37" s="5780"/>
      <c r="T37" s="5789"/>
      <c r="U37" s="5790" t="str">
        <f t="array" ref="U37">IFERROR(VLOOKUP(T35,Dex!$B$3:$H291,5,FALSE),"")</f>
        <v/>
      </c>
      <c r="V37" s="5791" t="str">
        <f t="array" ref="V37">IFERROR(VLOOKUP(T35,Dex!$B$3:$H291,7,FALSE),"")</f>
        <v/>
      </c>
      <c r="W37" s="5792"/>
      <c r="X37" s="5780"/>
      <c r="Y37" s="5789"/>
      <c r="Z37" s="5790" t="str">
        <f t="array" ref="Z37">IFERROR(VLOOKUP(Y35,Dex!$B$3:$H291,5,FALSE),"")</f>
        <v/>
      </c>
      <c r="AA37" s="5791" t="str">
        <f t="array" ref="AA37">IFERROR(VLOOKUP(Y35,Dex!$B$3:$H291,7,FALSE),"")</f>
        <v/>
      </c>
      <c r="AB37" s="5792"/>
      <c r="AC37" s="5780"/>
      <c r="AD37" s="5789"/>
      <c r="AE37" s="5790" t="str">
        <f t="array" ref="AE37">IFERROR(VLOOKUP(AD35,Dex!$B$3:$H291,5,FALSE),"")</f>
        <v/>
      </c>
      <c r="AF37" s="5791" t="str">
        <f t="array" ref="AF37">IFERROR(VLOOKUP(AD35,Dex!$B$3:$H291,7,FALSE),"")</f>
        <v/>
      </c>
      <c r="AG37" s="5792"/>
      <c r="AH37" s="5765"/>
      <c r="AI37" s="5655"/>
    </row>
    <row r="38" ht="2.25" customHeight="1">
      <c r="A38" s="5650"/>
      <c r="B38" s="5762"/>
      <c r="C38" s="5780"/>
      <c r="D38" s="5764"/>
      <c r="E38" s="5795"/>
      <c r="F38" s="5796"/>
      <c r="G38" s="5796"/>
      <c r="H38" s="5797"/>
      <c r="I38" s="5780"/>
      <c r="J38" s="5795"/>
      <c r="K38" s="5796"/>
      <c r="L38" s="5796"/>
      <c r="M38" s="5797"/>
      <c r="N38" s="5780"/>
      <c r="O38" s="5795"/>
      <c r="P38" s="5796"/>
      <c r="Q38" s="5796"/>
      <c r="R38" s="5797"/>
      <c r="S38" s="5780"/>
      <c r="T38" s="5795"/>
      <c r="U38" s="5796"/>
      <c r="V38" s="5796"/>
      <c r="W38" s="5797"/>
      <c r="X38" s="5780"/>
      <c r="Y38" s="5795"/>
      <c r="Z38" s="5796"/>
      <c r="AA38" s="5796"/>
      <c r="AB38" s="5797"/>
      <c r="AC38" s="5780"/>
      <c r="AD38" s="5795"/>
      <c r="AE38" s="5796"/>
      <c r="AF38" s="5796"/>
      <c r="AG38" s="5797"/>
      <c r="AH38" s="5765"/>
      <c r="AI38" s="5655"/>
    </row>
    <row r="39" ht="20.25" customHeight="1">
      <c r="A39" s="5650"/>
      <c r="B39" s="5762"/>
      <c r="C39" s="5780"/>
      <c r="D39" s="5764"/>
      <c r="E39" s="5798" t="s">
        <v>205</v>
      </c>
      <c r="F39" s="5799"/>
      <c r="G39" s="5799"/>
      <c r="H39" s="5800"/>
      <c r="I39" s="5780"/>
      <c r="J39" s="5798" t="s">
        <v>263</v>
      </c>
      <c r="K39" s="5799"/>
      <c r="L39" s="5799"/>
      <c r="M39" s="5800"/>
      <c r="N39" s="5780"/>
      <c r="O39" s="5798" t="s">
        <v>205</v>
      </c>
      <c r="P39" s="5799"/>
      <c r="Q39" s="5799"/>
      <c r="R39" s="5800"/>
      <c r="S39" s="5780"/>
      <c r="T39" s="5798" t="s">
        <v>169</v>
      </c>
      <c r="U39" s="5799"/>
      <c r="V39" s="5799"/>
      <c r="W39" s="5800"/>
      <c r="X39" s="5780"/>
      <c r="Y39" s="5798" t="s">
        <v>205</v>
      </c>
      <c r="Z39" s="5799"/>
      <c r="AA39" s="5799"/>
      <c r="AB39" s="5800"/>
      <c r="AC39" s="5780"/>
      <c r="AD39" s="5798" t="s">
        <v>172</v>
      </c>
      <c r="AE39" s="5799"/>
      <c r="AF39" s="5799"/>
      <c r="AG39" s="5800"/>
      <c r="AH39" s="5765"/>
      <c r="AI39" s="5655"/>
    </row>
    <row r="40">
      <c r="A40" s="5650"/>
      <c r="B40" s="5762"/>
      <c r="C40" s="5780"/>
      <c r="D40" s="5764"/>
      <c r="E40" s="5801" t="s">
        <v>1426</v>
      </c>
      <c r="F40" s="5768"/>
      <c r="G40" s="5768"/>
      <c r="H40" s="5802"/>
      <c r="I40" s="5780"/>
      <c r="J40" s="5801" t="s">
        <v>624</v>
      </c>
      <c r="K40" s="5768"/>
      <c r="L40" s="5768"/>
      <c r="M40" s="5802"/>
      <c r="N40" s="5780"/>
      <c r="O40" s="5801" t="s">
        <v>233</v>
      </c>
      <c r="P40" s="5768"/>
      <c r="Q40" s="5768"/>
      <c r="R40" s="5802"/>
      <c r="S40" s="5780"/>
      <c r="T40" s="5801" t="s">
        <v>1427</v>
      </c>
      <c r="U40" s="5768"/>
      <c r="V40" s="5768"/>
      <c r="W40" s="5802"/>
      <c r="X40" s="5780"/>
      <c r="Y40" s="5801" t="s">
        <v>1428</v>
      </c>
      <c r="Z40" s="5768"/>
      <c r="AA40" s="5768"/>
      <c r="AB40" s="5802"/>
      <c r="AC40" s="5780"/>
      <c r="AD40" s="5801" t="s">
        <v>623</v>
      </c>
      <c r="AE40" s="5768"/>
      <c r="AF40" s="5768"/>
      <c r="AG40" s="5802"/>
      <c r="AH40" s="5765"/>
      <c r="AI40" s="5655"/>
    </row>
    <row r="41" ht="20.25" customHeight="1">
      <c r="A41" s="5650"/>
      <c r="B41" s="5762"/>
      <c r="C41" s="5803"/>
      <c r="D41" s="5764"/>
      <c r="E41" s="5804" t="s">
        <v>1107</v>
      </c>
      <c r="F41" s="5805"/>
      <c r="G41" s="5806"/>
      <c r="H41" s="5807" t="str">
        <f>IMAGE("https://raw.githubusercontent.com/msikma/pokesprite/master/items/hold-item/light-clay.png",3)</f>
        <v/>
      </c>
      <c r="I41" s="5780"/>
      <c r="J41" s="5804" t="s">
        <v>334</v>
      </c>
      <c r="K41" s="5805"/>
      <c r="L41" s="5806"/>
      <c r="M41" s="5807" t="str">
        <f>IMAGE("https://raw.githubusercontent.com/msikma/pokesprite/master/items/hold-item/choice-specs.png",3)</f>
        <v/>
      </c>
      <c r="N41" s="5780"/>
      <c r="O41" s="5804" t="s">
        <v>213</v>
      </c>
      <c r="P41" s="5805"/>
      <c r="Q41" s="5806"/>
      <c r="R41" s="5807" t="str">
        <f>IMAGE("https://raw.githubusercontent.com/msikma/pokesprite/master/items/berry/sitrus.png",3)</f>
        <v/>
      </c>
      <c r="S41" s="5780"/>
      <c r="T41" s="5804" t="s">
        <v>473</v>
      </c>
      <c r="U41" s="5805"/>
      <c r="V41" s="5806"/>
      <c r="W41" s="5807" t="str">
        <f>IMAGE("https://raw.githubusercontent.com/msikma/pokesprite/master/items/hold-item/assault-vest.png",3)</f>
        <v/>
      </c>
      <c r="X41" s="5780"/>
      <c r="Y41" s="5804" t="s">
        <v>1429</v>
      </c>
      <c r="Z41" s="5805"/>
      <c r="AA41" s="5806"/>
      <c r="AB41" s="5807" t="str">
        <f>IMAGE("https://raw.githubusercontent.com/msikma/pokesprite/master/items/mega-stone/abomasite.png",3)</f>
        <v/>
      </c>
      <c r="AC41" s="5780"/>
      <c r="AD41" s="5804" t="s">
        <v>627</v>
      </c>
      <c r="AE41" s="5805"/>
      <c r="AF41" s="5806"/>
      <c r="AG41" s="5807" t="str">
        <f>IMAGE("https://raw.githubusercontent.com/msikma/pokesprite/master/items/hold-item/dragon-fang.png",3)</f>
        <v/>
      </c>
      <c r="AH41" s="5765"/>
      <c r="AI41" s="5655"/>
    </row>
    <row r="42" ht="20.25" customHeight="1">
      <c r="A42" s="5650"/>
      <c r="B42" s="5762"/>
      <c r="C42" s="5763"/>
      <c r="D42" s="5764"/>
      <c r="E42" s="5798" t="s">
        <v>1097</v>
      </c>
      <c r="F42" s="5799"/>
      <c r="G42" s="5808"/>
      <c r="H42" s="5809" t="str">
        <f t="shared" ref="H42:H45" si="4">IMAGE("https://raw.githubusercontent.com/msikma/pokesprite/master/misc/types/gen8/ice.png",4,20,20)</f>
        <v/>
      </c>
      <c r="I42" s="5780"/>
      <c r="J42" s="5798" t="s">
        <v>1097</v>
      </c>
      <c r="K42" s="5799"/>
      <c r="L42" s="5808"/>
      <c r="M42" s="5809" t="str">
        <f>IMAGE("https://raw.githubusercontent.com/msikma/pokesprite/master/misc/types/gen8/ice.png",4,20,20)</f>
        <v/>
      </c>
      <c r="N42" s="5780"/>
      <c r="O42" s="5798" t="s">
        <v>242</v>
      </c>
      <c r="P42" s="5799"/>
      <c r="Q42" s="5808"/>
      <c r="R42" s="5809" t="str">
        <f>IMAGE("https://raw.githubusercontent.com/msikma/pokesprite/master/misc/types/gen8/electric.png",4,20,20)</f>
        <v/>
      </c>
      <c r="S42" s="5780"/>
      <c r="T42" s="5798" t="s">
        <v>1430</v>
      </c>
      <c r="U42" s="5799"/>
      <c r="V42" s="5808"/>
      <c r="W42" s="5809" t="str">
        <f>IMAGE("https://raw.githubusercontent.com/msikma/pokesprite/master/misc/types/gen8/ice.png",4,20,20)</f>
        <v/>
      </c>
      <c r="X42" s="5780"/>
      <c r="Y42" s="5798" t="s">
        <v>1097</v>
      </c>
      <c r="Z42" s="5799"/>
      <c r="AA42" s="5808"/>
      <c r="AB42" s="5809" t="str">
        <f>IMAGE("https://raw.githubusercontent.com/msikma/pokesprite/master/misc/types/gen8/ice.png",4,20,20)</f>
        <v/>
      </c>
      <c r="AC42" s="5780"/>
      <c r="AD42" s="5798" t="s">
        <v>637</v>
      </c>
      <c r="AE42" s="5799"/>
      <c r="AF42" s="5808"/>
      <c r="AG42" s="5809" t="str">
        <f>IMAGE("https://raw.githubusercontent.com/msikma/pokesprite/master/misc/types/gen8/dragon.png",4,20,20)</f>
        <v/>
      </c>
      <c r="AH42" s="5765"/>
      <c r="AI42" s="5655"/>
    </row>
    <row r="43" ht="20.25" customHeight="1">
      <c r="A43" s="5650"/>
      <c r="B43" s="5762"/>
      <c r="C43" s="5763"/>
      <c r="D43" s="5764"/>
      <c r="E43" s="5801" t="s">
        <v>1108</v>
      </c>
      <c r="F43" s="5768"/>
      <c r="G43" s="5769"/>
      <c r="H43" s="5810" t="str">
        <f t="shared" si="4"/>
        <v/>
      </c>
      <c r="I43" s="5780"/>
      <c r="J43" s="5801" t="s">
        <v>286</v>
      </c>
      <c r="K43" s="5768"/>
      <c r="L43" s="5769"/>
      <c r="M43" s="5810" t="str">
        <f>IMAGE("https://raw.githubusercontent.com/msikma/pokesprite/master/misc/types/gen8/ground.png",4,20,20)</f>
        <v/>
      </c>
      <c r="N43" s="5780"/>
      <c r="O43" s="5801" t="s">
        <v>246</v>
      </c>
      <c r="P43" s="5768"/>
      <c r="Q43" s="5769"/>
      <c r="R43" s="5810" t="str">
        <f>IMAGE("https://raw.githubusercontent.com/msikma/pokesprite/master/misc/types/gen8/water.png",4,20,20)</f>
        <v/>
      </c>
      <c r="S43" s="5780"/>
      <c r="T43" s="5801" t="s">
        <v>562</v>
      </c>
      <c r="U43" s="5768"/>
      <c r="V43" s="5769"/>
      <c r="W43" s="5810" t="str">
        <f>IMAGE("https://raw.githubusercontent.com/msikma/pokesprite/master/misc/types/gen8/psychic.png",4,20,20)</f>
        <v/>
      </c>
      <c r="X43" s="5780"/>
      <c r="Y43" s="5801" t="s">
        <v>344</v>
      </c>
      <c r="Z43" s="5768"/>
      <c r="AA43" s="5769"/>
      <c r="AB43" s="5810" t="str">
        <f>IMAGE("https://raw.githubusercontent.com/msikma/pokesprite/master/misc/types/gen8/fighting.png",4,20,20)</f>
        <v/>
      </c>
      <c r="AC43" s="5780"/>
      <c r="AD43" s="5801" t="s">
        <v>947</v>
      </c>
      <c r="AE43" s="5768"/>
      <c r="AF43" s="5769"/>
      <c r="AG43" s="5810" t="str">
        <f t="shared" ref="AG43:AG44" si="5">IMAGE("https://raw.githubusercontent.com/msikma/pokesprite/master/misc/types/gen8/ice.png",4,20,20)</f>
        <v/>
      </c>
      <c r="AH43" s="5765"/>
      <c r="AI43" s="5655"/>
    </row>
    <row r="44" ht="20.25" customHeight="1">
      <c r="A44" s="5650"/>
      <c r="B44" s="5762"/>
      <c r="C44" s="5763"/>
      <c r="D44" s="5764"/>
      <c r="E44" s="5801" t="s">
        <v>636</v>
      </c>
      <c r="F44" s="5768"/>
      <c r="G44" s="5769"/>
      <c r="H44" s="5810" t="str">
        <f t="shared" si="4"/>
        <v/>
      </c>
      <c r="I44" s="5780"/>
      <c r="J44" s="5801" t="s">
        <v>636</v>
      </c>
      <c r="K44" s="5768"/>
      <c r="L44" s="5769"/>
      <c r="M44" s="5810" t="str">
        <f>IMAGE("https://raw.githubusercontent.com/msikma/pokesprite/master/misc/types/gen8/ice.png",4,20,20)</f>
        <v/>
      </c>
      <c r="N44" s="5780"/>
      <c r="O44" s="5801" t="s">
        <v>277</v>
      </c>
      <c r="P44" s="5768"/>
      <c r="Q44" s="5769"/>
      <c r="R44" s="5810" t="str">
        <f t="shared" ref="R44:R45" si="6">IMAGE("https://raw.githubusercontent.com/msikma/pokesprite/master/misc/types/gen8/electric.png",4,20,20)</f>
        <v/>
      </c>
      <c r="S44" s="5780"/>
      <c r="T44" s="5801" t="s">
        <v>1042</v>
      </c>
      <c r="U44" s="5768"/>
      <c r="V44" s="5769"/>
      <c r="W44" s="5810" t="str">
        <f>IMAGE("https://raw.githubusercontent.com/msikma/pokesprite/master/misc/types/gen8/grass.png",4,20,20)</f>
        <v/>
      </c>
      <c r="X44" s="5780"/>
      <c r="Y44" s="5801" t="s">
        <v>287</v>
      </c>
      <c r="Z44" s="5768"/>
      <c r="AA44" s="5769"/>
      <c r="AB44" s="5810" t="str">
        <f>IMAGE("https://raw.githubusercontent.com/msikma/pokesprite/master/misc/types/gen8/fire.png",4,20,20)</f>
        <v/>
      </c>
      <c r="AC44" s="5780"/>
      <c r="AD44" s="5801" t="s">
        <v>634</v>
      </c>
      <c r="AE44" s="5768"/>
      <c r="AF44" s="5769"/>
      <c r="AG44" s="5810" t="str">
        <f t="shared" si="5"/>
        <v/>
      </c>
      <c r="AH44" s="5765"/>
      <c r="AI44" s="5655"/>
    </row>
    <row r="45" ht="21.0" customHeight="1">
      <c r="A45" s="5650"/>
      <c r="B45" s="5762"/>
      <c r="C45" s="5763"/>
      <c r="D45" s="5764"/>
      <c r="E45" s="5811" t="s">
        <v>1431</v>
      </c>
      <c r="F45" s="5812"/>
      <c r="G45" s="5813"/>
      <c r="H45" s="5814" t="str">
        <f t="shared" si="4"/>
        <v/>
      </c>
      <c r="I45" s="5803"/>
      <c r="J45" s="5811" t="s">
        <v>287</v>
      </c>
      <c r="K45" s="5812"/>
      <c r="L45" s="5813"/>
      <c r="M45" s="5814" t="str">
        <f>IMAGE("https://raw.githubusercontent.com/msikma/pokesprite/master/misc/types/gen8/fire.png",4,20,20)</f>
        <v/>
      </c>
      <c r="N45" s="5803"/>
      <c r="O45" s="5811" t="s">
        <v>252</v>
      </c>
      <c r="P45" s="5812"/>
      <c r="Q45" s="5813"/>
      <c r="R45" s="5814" t="str">
        <f t="shared" si="6"/>
        <v/>
      </c>
      <c r="S45" s="5803"/>
      <c r="T45" s="5811" t="s">
        <v>282</v>
      </c>
      <c r="U45" s="5812"/>
      <c r="V45" s="5813"/>
      <c r="W45" s="5814" t="str">
        <f>IMAGE("https://raw.githubusercontent.com/msikma/pokesprite/master/misc/types/gen8/ground.png",4,20,20)</f>
        <v/>
      </c>
      <c r="X45" s="5803"/>
      <c r="Y45" s="5811" t="s">
        <v>275</v>
      </c>
      <c r="Z45" s="5812"/>
      <c r="AA45" s="5813"/>
      <c r="AB45" s="5814" t="str">
        <f>IMAGE("https://raw.githubusercontent.com/msikma/pokesprite/master/misc/types/gen8/grass.png",4,20,20)</f>
        <v/>
      </c>
      <c r="AC45" s="5803"/>
      <c r="AD45" s="5811" t="s">
        <v>187</v>
      </c>
      <c r="AE45" s="5812"/>
      <c r="AF45" s="5813"/>
      <c r="AG45" s="5814" t="str">
        <f>IMAGE("https://raw.githubusercontent.com/msikma/pokesprite/master/misc/types/gen8/normal.png",4,20,20)</f>
        <v/>
      </c>
      <c r="AH45" s="5765"/>
      <c r="AI45" s="5655"/>
    </row>
    <row r="46" ht="3.0" customHeight="1">
      <c r="A46" s="5716"/>
      <c r="B46" s="5815"/>
      <c r="C46" s="5816"/>
      <c r="D46" s="5817"/>
      <c r="E46" s="5818"/>
      <c r="F46" s="5818"/>
      <c r="G46" s="5818"/>
      <c r="H46" s="5818"/>
      <c r="I46" s="5764"/>
      <c r="J46" s="5818"/>
      <c r="K46" s="5818"/>
      <c r="L46" s="5818"/>
      <c r="M46" s="5818"/>
      <c r="N46" s="5764"/>
      <c r="O46" s="5819"/>
      <c r="P46" s="5819"/>
      <c r="Q46" s="5819"/>
      <c r="R46" s="5818"/>
      <c r="S46" s="5764"/>
      <c r="T46" s="5819"/>
      <c r="U46" s="5819"/>
      <c r="V46" s="5819"/>
      <c r="W46" s="5818"/>
      <c r="X46" s="5764"/>
      <c r="Y46" s="5820"/>
      <c r="Z46" s="5820"/>
      <c r="AA46" s="5820"/>
      <c r="AB46" s="5821"/>
      <c r="AC46" s="5821"/>
      <c r="AD46" s="5820"/>
      <c r="AE46" s="5820"/>
      <c r="AF46" s="5820"/>
      <c r="AG46" s="5821"/>
      <c r="AH46" s="5822"/>
      <c r="AI46" s="5725"/>
    </row>
    <row r="47" ht="16.5" customHeight="1">
      <c r="A47" s="5726"/>
      <c r="B47" s="5823"/>
      <c r="C47" s="5824"/>
      <c r="D47" s="5825"/>
      <c r="E47" s="5826" t="s">
        <v>190</v>
      </c>
      <c r="F47" s="381"/>
      <c r="G47" s="382"/>
      <c r="H47" s="5827" t="s">
        <v>191</v>
      </c>
      <c r="I47" s="5817"/>
      <c r="J47" s="5826" t="s">
        <v>190</v>
      </c>
      <c r="K47" s="381"/>
      <c r="L47" s="382"/>
      <c r="M47" s="5827" t="s">
        <v>191</v>
      </c>
      <c r="N47" s="5828"/>
      <c r="O47" s="5826" t="s">
        <v>190</v>
      </c>
      <c r="P47" s="381"/>
      <c r="Q47" s="382"/>
      <c r="R47" s="5827" t="s">
        <v>191</v>
      </c>
      <c r="S47" s="5828"/>
      <c r="T47" s="5826" t="s">
        <v>190</v>
      </c>
      <c r="U47" s="381"/>
      <c r="V47" s="382"/>
      <c r="W47" s="5827" t="s">
        <v>191</v>
      </c>
      <c r="X47" s="5828"/>
      <c r="Y47" s="5826" t="s">
        <v>190</v>
      </c>
      <c r="Z47" s="381"/>
      <c r="AA47" s="382"/>
      <c r="AB47" s="5827" t="s">
        <v>191</v>
      </c>
      <c r="AC47" s="5829"/>
      <c r="AD47" s="5826" t="s">
        <v>190</v>
      </c>
      <c r="AE47" s="381"/>
      <c r="AF47" s="382"/>
      <c r="AG47" s="5827" t="s">
        <v>191</v>
      </c>
      <c r="AH47" s="5830"/>
      <c r="AI47" s="5735"/>
    </row>
    <row r="48" ht="16.5" customHeight="1">
      <c r="A48" s="5726"/>
      <c r="B48" s="5823"/>
      <c r="C48" s="5824"/>
      <c r="D48" s="5825"/>
      <c r="E48" s="5831" t="s">
        <v>192</v>
      </c>
      <c r="F48" s="5832">
        <f t="array" ref="F48">IFERROR(VLOOKUP(E35,Dex!$B$3:$N291,8,FALSE),"")</f>
        <v>73</v>
      </c>
      <c r="G48" s="5833" t="str">
        <f t="array" ref="G48">IFERROR(VLOOKUP(F48,Dex!$P$22:$Q$276,2,FALSE),"")</f>
        <v/>
      </c>
      <c r="H48" s="5834"/>
      <c r="I48" s="5825"/>
      <c r="J48" s="5831" t="s">
        <v>192</v>
      </c>
      <c r="K48" s="5832">
        <f t="array" ref="K48">IFERROR(VLOOKUP(J35,Dex!$B$3:$N291,8,FALSE),"")</f>
        <v>80</v>
      </c>
      <c r="L48" s="5833" t="str">
        <f t="array" ref="L48">IFERROR(VLOOKUP(K48,Dex!$P$22:$Q$276,2,FALSE),"")</f>
        <v/>
      </c>
      <c r="M48" s="5834"/>
      <c r="N48" s="5825"/>
      <c r="O48" s="5831" t="s">
        <v>192</v>
      </c>
      <c r="P48" s="5832">
        <f t="array" ref="P48">IFERROR(VLOOKUP(O35,Dex!$B$3:$N291,8,FALSE),"")</f>
        <v>50</v>
      </c>
      <c r="Q48" s="5833" t="str">
        <f t="array" ref="Q48">IFERROR(VLOOKUP(P48,Dex!$P$22:$Q$276,2,FALSE),"")</f>
        <v/>
      </c>
      <c r="R48" s="5834">
        <v>252.0</v>
      </c>
      <c r="S48" s="5825"/>
      <c r="T48" s="5831" t="s">
        <v>192</v>
      </c>
      <c r="U48" s="5832">
        <f t="array" ref="U48">IFERROR(VLOOKUP(T35,Dex!$B$3:$N291,8,FALSE),"")</f>
        <v>100</v>
      </c>
      <c r="V48" s="5833" t="str">
        <f t="array" ref="V48">IFERROR(VLOOKUP(U48,Dex!$P$22:$Q$276,2,FALSE),"")</f>
        <v/>
      </c>
      <c r="W48" s="5834">
        <v>252.0</v>
      </c>
      <c r="X48" s="5825"/>
      <c r="Y48" s="5831" t="s">
        <v>192</v>
      </c>
      <c r="Z48" s="5832">
        <f t="array" ref="Z48">IFERROR(VLOOKUP(Y35,Dex!$B$3:$N291,8,FALSE),"")</f>
        <v>90</v>
      </c>
      <c r="AA48" s="5833" t="str">
        <f t="array" ref="AA48">IFERROR(VLOOKUP(Z48,Dex!$P$22:$Q$276,2,FALSE),"")</f>
        <v/>
      </c>
      <c r="AB48" s="5834"/>
      <c r="AC48" s="5835"/>
      <c r="AD48" s="5831" t="s">
        <v>192</v>
      </c>
      <c r="AE48" s="5832">
        <f t="array" ref="AE48">IFERROR(VLOOKUP(AD35,Dex!$B$3:$N291,8,FALSE),"")</f>
        <v>115</v>
      </c>
      <c r="AF48" s="5833" t="str">
        <f t="array" ref="AF48">IFERROR(VLOOKUP(AE48,Dex!$P$22:$Q$276,2,FALSE),"")</f>
        <v/>
      </c>
      <c r="AG48" s="5834"/>
      <c r="AH48" s="5830"/>
      <c r="AI48" s="5735"/>
    </row>
    <row r="49" ht="16.5" customHeight="1">
      <c r="A49" s="5726"/>
      <c r="B49" s="5823"/>
      <c r="C49" s="5824"/>
      <c r="D49" s="5825"/>
      <c r="E49" s="5836" t="s">
        <v>193</v>
      </c>
      <c r="F49" s="5837">
        <f t="array" ref="F49">IFERROR(VLOOKUP(E35,Dex!$B$3:$N291,9,FALSE),"")</f>
        <v>67</v>
      </c>
      <c r="G49" s="5838" t="str">
        <f t="array" ref="G49">IFERROR(VLOOKUP(F49,Dex!$P$22:$Q$276,2,FALSE),"")</f>
        <v/>
      </c>
      <c r="H49" s="5839"/>
      <c r="I49" s="5825"/>
      <c r="J49" s="5836" t="s">
        <v>193</v>
      </c>
      <c r="K49" s="5837">
        <f t="array" ref="K49">IFERROR(VLOOKUP(J35,Dex!$B$3:$N291,9,FALSE),"")</f>
        <v>45</v>
      </c>
      <c r="L49" s="5838" t="str">
        <f t="array" ref="L49">IFERROR(VLOOKUP(K49,Dex!$P$22:$Q$276,2,FALSE),"")</f>
        <v/>
      </c>
      <c r="M49" s="5839"/>
      <c r="N49" s="5825"/>
      <c r="O49" s="5836" t="s">
        <v>193</v>
      </c>
      <c r="P49" s="5837">
        <f t="array" ref="P49">IFERROR(VLOOKUP(O35,Dex!$B$3:$N291,9,FALSE),"")</f>
        <v>65</v>
      </c>
      <c r="Q49" s="5838" t="str">
        <f t="array" ref="Q49">IFERROR(VLOOKUP(P49,Dex!$P$22:$Q$276,2,FALSE),"")</f>
        <v/>
      </c>
      <c r="R49" s="5839"/>
      <c r="S49" s="5825"/>
      <c r="T49" s="5836" t="s">
        <v>193</v>
      </c>
      <c r="U49" s="5837">
        <f t="array" ref="U49">IFERROR(VLOOKUP(T35,Dex!$B$3:$N291,9,FALSE),"")</f>
        <v>165</v>
      </c>
      <c r="V49" s="5838" t="str">
        <f t="array" ref="V49">IFERROR(VLOOKUP(U49,Dex!$P$22:$Q$276,2,FALSE),"")</f>
        <v/>
      </c>
      <c r="W49" s="5839">
        <v>252.0</v>
      </c>
      <c r="X49" s="5825"/>
      <c r="Y49" s="5836" t="s">
        <v>193</v>
      </c>
      <c r="Z49" s="5837">
        <f t="array" ref="Z49">IFERROR(VLOOKUP(Y35,Dex!$B$3:$N291,9,FALSE),"")</f>
        <v>132</v>
      </c>
      <c r="AA49" s="5838" t="str">
        <f t="array" ref="AA49">IFERROR(VLOOKUP(Z49,Dex!$P$22:$Q$276,2,FALSE),"")</f>
        <v/>
      </c>
      <c r="AB49" s="5839"/>
      <c r="AC49" s="5835"/>
      <c r="AD49" s="5836" t="s">
        <v>193</v>
      </c>
      <c r="AE49" s="5837">
        <f t="array" ref="AE49">IFERROR(VLOOKUP(AD35,Dex!$B$3:$N291,9,FALSE),"")</f>
        <v>145</v>
      </c>
      <c r="AF49" s="5838" t="str">
        <f t="array" ref="AF49">IFERROR(VLOOKUP(AE49,Dex!$P$22:$Q$276,2,FALSE),"")</f>
        <v/>
      </c>
      <c r="AG49" s="5839">
        <v>252.0</v>
      </c>
      <c r="AH49" s="5830"/>
      <c r="AI49" s="5735"/>
    </row>
    <row r="50" ht="16.5" customHeight="1">
      <c r="A50" s="5726"/>
      <c r="B50" s="5823"/>
      <c r="C50" s="5824"/>
      <c r="D50" s="5825"/>
      <c r="E50" s="5836" t="s">
        <v>194</v>
      </c>
      <c r="F50" s="5837">
        <f t="array" ref="F50">IFERROR(VLOOKUP(E35,Dex!$B$3:$N291,10,FALSE),"")</f>
        <v>75</v>
      </c>
      <c r="G50" s="5838" t="str">
        <f t="array" ref="G50">IFERROR(VLOOKUP(F50,Dex!$P$22:$Q$276,2,FALSE),"")</f>
        <v/>
      </c>
      <c r="H50" s="5839">
        <v>4.0</v>
      </c>
      <c r="I50" s="5825"/>
      <c r="J50" s="5836" t="s">
        <v>194</v>
      </c>
      <c r="K50" s="5837">
        <f t="array" ref="K50">IFERROR(VLOOKUP(J35,Dex!$B$3:$N291,10,FALSE),"")</f>
        <v>100</v>
      </c>
      <c r="L50" s="5838" t="str">
        <f t="array" ref="L50">IFERROR(VLOOKUP(K50,Dex!$P$22:$Q$276,2,FALSE),"")</f>
        <v/>
      </c>
      <c r="M50" s="5839">
        <v>4.0</v>
      </c>
      <c r="N50" s="5825"/>
      <c r="O50" s="5836" t="s">
        <v>194</v>
      </c>
      <c r="P50" s="5837">
        <f t="array" ref="P50">IFERROR(VLOOKUP(O35,Dex!$B$3:$N291,10,FALSE),"")</f>
        <v>107</v>
      </c>
      <c r="Q50" s="5838" t="str">
        <f t="array" ref="Q50">IFERROR(VLOOKUP(P50,Dex!$P$22:$Q$276,2,FALSE),"")</f>
        <v/>
      </c>
      <c r="R50" s="5839">
        <v>4.0</v>
      </c>
      <c r="S50" s="5825"/>
      <c r="T50" s="5836" t="s">
        <v>194</v>
      </c>
      <c r="U50" s="5837">
        <f t="array" ref="U50">IFERROR(VLOOKUP(T35,Dex!$B$3:$N291,10,FALSE),"")</f>
        <v>150</v>
      </c>
      <c r="V50" s="5838" t="str">
        <f t="array" ref="V50">IFERROR(VLOOKUP(U50,Dex!$P$22:$Q$276,2,FALSE),"")</f>
        <v/>
      </c>
      <c r="W50" s="5839">
        <v>4.0</v>
      </c>
      <c r="X50" s="5825"/>
      <c r="Y50" s="5836" t="s">
        <v>194</v>
      </c>
      <c r="Z50" s="5837">
        <f t="array" ref="Z50">IFERROR(VLOOKUP(Y35,Dex!$B$3:$N291,10,FALSE),"")</f>
        <v>105</v>
      </c>
      <c r="AA50" s="5838" t="str">
        <f t="array" ref="AA50">IFERROR(VLOOKUP(Z50,Dex!$P$22:$Q$276,2,FALSE),"")</f>
        <v/>
      </c>
      <c r="AB50" s="5839">
        <v>4.0</v>
      </c>
      <c r="AC50" s="5835"/>
      <c r="AD50" s="5836" t="s">
        <v>194</v>
      </c>
      <c r="AE50" s="5837">
        <f t="array" ref="AE50">IFERROR(VLOOKUP(AD35,Dex!$B$3:$N291,10,FALSE),"")</f>
        <v>92</v>
      </c>
      <c r="AF50" s="5838" t="str">
        <f t="array" ref="AF50">IFERROR(VLOOKUP(AE50,Dex!$P$22:$Q$276,2,FALSE),"")</f>
        <v/>
      </c>
      <c r="AG50" s="5839">
        <v>4.0</v>
      </c>
      <c r="AH50" s="5830"/>
      <c r="AI50" s="5735"/>
    </row>
    <row r="51" ht="16.5" customHeight="1">
      <c r="A51" s="5726"/>
      <c r="B51" s="5823"/>
      <c r="C51" s="5824"/>
      <c r="D51" s="5825"/>
      <c r="E51" s="5836" t="s">
        <v>195</v>
      </c>
      <c r="F51" s="5837">
        <f t="array" ref="F51">IFERROR(VLOOKUP(E35,Dex!$B$3:$N291,11,FALSE),"")</f>
        <v>81</v>
      </c>
      <c r="G51" s="5838" t="str">
        <f t="array" ref="G51">IFERROR(VLOOKUP(F51,Dex!$P$22:$Q$276,2,FALSE),"")</f>
        <v/>
      </c>
      <c r="H51" s="5839">
        <v>252.0</v>
      </c>
      <c r="I51" s="5825"/>
      <c r="J51" s="5836" t="s">
        <v>195</v>
      </c>
      <c r="K51" s="5837">
        <f t="array" ref="K51">IFERROR(VLOOKUP(J35,Dex!$B$3:$N291,11,FALSE),"")</f>
        <v>130</v>
      </c>
      <c r="L51" s="5838" t="str">
        <f t="array" ref="L51">IFERROR(VLOOKUP(K51,Dex!$P$22:$Q$276,2,FALSE),"")</f>
        <v/>
      </c>
      <c r="M51" s="5839">
        <v>252.0</v>
      </c>
      <c r="N51" s="5825"/>
      <c r="O51" s="5836" t="s">
        <v>195</v>
      </c>
      <c r="P51" s="5837">
        <f t="array" ref="P51">IFERROR(VLOOKUP(O35,Dex!$B$3:$N291,11,FALSE),"")</f>
        <v>105</v>
      </c>
      <c r="Q51" s="5838" t="str">
        <f t="array" ref="Q51">IFERROR(VLOOKUP(P51,Dex!$P$22:$Q$276,2,FALSE),"")</f>
        <v/>
      </c>
      <c r="R51" s="5839"/>
      <c r="S51" s="5825"/>
      <c r="T51" s="5836" t="s">
        <v>195</v>
      </c>
      <c r="U51" s="5837">
        <f t="array" ref="U51">IFERROR(VLOOKUP(T35,Dex!$B$3:$N291,11,FALSE),"")</f>
        <v>85</v>
      </c>
      <c r="V51" s="5838" t="str">
        <f t="array" ref="V51">IFERROR(VLOOKUP(U51,Dex!$P$22:$Q$276,2,FALSE),"")</f>
        <v/>
      </c>
      <c r="W51" s="5839"/>
      <c r="X51" s="5825"/>
      <c r="Y51" s="5836" t="s">
        <v>195</v>
      </c>
      <c r="Z51" s="5837">
        <f t="array" ref="Z51">IFERROR(VLOOKUP(Y35,Dex!$B$3:$N291,11,FALSE),"")</f>
        <v>132</v>
      </c>
      <c r="AA51" s="5838" t="str">
        <f t="array" ref="AA51">IFERROR(VLOOKUP(Z51,Dex!$P$22:$Q$276,2,FALSE),"")</f>
        <v/>
      </c>
      <c r="AB51" s="5839">
        <v>252.0</v>
      </c>
      <c r="AC51" s="5835"/>
      <c r="AD51" s="5836" t="s">
        <v>195</v>
      </c>
      <c r="AE51" s="5837">
        <f t="array" ref="AE51">IFERROR(VLOOKUP(AD35,Dex!$B$3:$N291,11,FALSE),"")</f>
        <v>75</v>
      </c>
      <c r="AF51" s="5838" t="str">
        <f t="array" ref="AF51">IFERROR(VLOOKUP(AE51,Dex!$P$22:$Q$276,2,FALSE),"")</f>
        <v/>
      </c>
      <c r="AG51" s="5839"/>
      <c r="AH51" s="5830"/>
      <c r="AI51" s="5735"/>
    </row>
    <row r="52" ht="16.5" customHeight="1">
      <c r="A52" s="5726"/>
      <c r="B52" s="5823"/>
      <c r="C52" s="5824"/>
      <c r="D52" s="5825"/>
      <c r="E52" s="5836" t="s">
        <v>196</v>
      </c>
      <c r="F52" s="5837">
        <f t="array" ref="F52">IFERROR(VLOOKUP(E35,Dex!$B$3:$N291,12,FALSE),"")</f>
        <v>100</v>
      </c>
      <c r="G52" s="5838" t="str">
        <f t="array" ref="G52">IFERROR(VLOOKUP(F52,Dex!$P$22:$Q$276,2,FALSE),"")</f>
        <v/>
      </c>
      <c r="H52" s="5839"/>
      <c r="I52" s="5825"/>
      <c r="J52" s="5836" t="s">
        <v>196</v>
      </c>
      <c r="K52" s="5837">
        <f t="array" ref="K52">IFERROR(VLOOKUP(J35,Dex!$B$3:$N291,12,FALSE),"")</f>
        <v>95</v>
      </c>
      <c r="L52" s="5838" t="str">
        <f t="array" ref="L52">IFERROR(VLOOKUP(K52,Dex!$P$22:$Q$276,2,FALSE),"")</f>
        <v/>
      </c>
      <c r="M52" s="5839"/>
      <c r="N52" s="5825"/>
      <c r="O52" s="5836" t="s">
        <v>196</v>
      </c>
      <c r="P52" s="5837">
        <f t="array" ref="P52">IFERROR(VLOOKUP(O35,Dex!$B$3:$N291,12,FALSE),"")</f>
        <v>107</v>
      </c>
      <c r="Q52" s="5838" t="str">
        <f t="array" ref="Q52">IFERROR(VLOOKUP(P52,Dex!$P$22:$Q$276,2,FALSE),"")</f>
        <v/>
      </c>
      <c r="R52" s="5839"/>
      <c r="S52" s="5825"/>
      <c r="T52" s="5836" t="s">
        <v>196</v>
      </c>
      <c r="U52" s="5837">
        <f t="array" ref="U52">IFERROR(VLOOKUP(T35,Dex!$B$3:$N291,12,FALSE),"")</f>
        <v>130</v>
      </c>
      <c r="V52" s="5838" t="str">
        <f t="array" ref="V52">IFERROR(VLOOKUP(U52,Dex!$P$22:$Q$276,2,FALSE),"")</f>
        <v/>
      </c>
      <c r="W52" s="5839"/>
      <c r="X52" s="5825"/>
      <c r="Y52" s="5836" t="s">
        <v>196</v>
      </c>
      <c r="Z52" s="5837">
        <f t="array" ref="Z52">IFERROR(VLOOKUP(Y35,Dex!$B$3:$N291,12,FALSE),"")</f>
        <v>105</v>
      </c>
      <c r="AA52" s="5838" t="str">
        <f t="array" ref="AA52">IFERROR(VLOOKUP(Z52,Dex!$P$22:$Q$276,2,FALSE),"")</f>
        <v/>
      </c>
      <c r="AB52" s="5839"/>
      <c r="AC52" s="5835"/>
      <c r="AD52" s="5836" t="s">
        <v>196</v>
      </c>
      <c r="AE52" s="5837">
        <f t="array" ref="AE52">IFERROR(VLOOKUP(AD35,Dex!$B$3:$N291,12,FALSE),"")</f>
        <v>86</v>
      </c>
      <c r="AF52" s="5838" t="str">
        <f t="array" ref="AF52">IFERROR(VLOOKUP(AE52,Dex!$P$22:$Q$276,2,FALSE),"")</f>
        <v/>
      </c>
      <c r="AG52" s="5839"/>
      <c r="AH52" s="5830"/>
      <c r="AI52" s="5735"/>
    </row>
    <row r="53" ht="16.5" customHeight="1">
      <c r="A53" s="5726"/>
      <c r="B53" s="5823"/>
      <c r="C53" s="5824"/>
      <c r="D53" s="5825"/>
      <c r="E53" s="5840" t="s">
        <v>197</v>
      </c>
      <c r="F53" s="5841">
        <f t="array" ref="F53">IFERROR(VLOOKUP(E35,Dex!$B$3:$N291,13,FALSE),"")</f>
        <v>109</v>
      </c>
      <c r="G53" s="5842" t="str">
        <f t="array" ref="G53">IFERROR(VLOOKUP(F53,Dex!$P$22:$Q$276,2,FALSE),"")</f>
        <v/>
      </c>
      <c r="H53" s="5843">
        <v>252.0</v>
      </c>
      <c r="I53" s="5825"/>
      <c r="J53" s="5840" t="s">
        <v>197</v>
      </c>
      <c r="K53" s="5841">
        <f t="array" ref="K53">IFERROR(VLOOKUP(J35,Dex!$B$3:$N291,13,FALSE),"")</f>
        <v>75</v>
      </c>
      <c r="L53" s="5842" t="str">
        <f t="array" ref="L53">IFERROR(VLOOKUP(K53,Dex!$P$22:$Q$276,2,FALSE),"")</f>
        <v/>
      </c>
      <c r="M53" s="5843">
        <v>252.0</v>
      </c>
      <c r="N53" s="5825"/>
      <c r="O53" s="5840" t="s">
        <v>197</v>
      </c>
      <c r="P53" s="5841">
        <f t="array" ref="P53">IFERROR(VLOOKUP(O35,Dex!$B$3:$N291,13,FALSE),"")</f>
        <v>86</v>
      </c>
      <c r="Q53" s="5842" t="str">
        <f t="array" ref="Q53">IFERROR(VLOOKUP(P53,Dex!$P$22:$Q$276,2,FALSE),"")</f>
        <v/>
      </c>
      <c r="R53" s="5843">
        <v>252.0</v>
      </c>
      <c r="S53" s="5825"/>
      <c r="T53" s="5840" t="s">
        <v>197</v>
      </c>
      <c r="U53" s="5841">
        <f t="array" ref="U53">IFERROR(VLOOKUP(T35,Dex!$B$3:$N291,13,FALSE),"")</f>
        <v>50</v>
      </c>
      <c r="V53" s="5842" t="str">
        <f t="array" ref="V53">IFERROR(VLOOKUP(U53,Dex!$P$22:$Q$276,2,FALSE),"")</f>
        <v/>
      </c>
      <c r="W53" s="5843"/>
      <c r="X53" s="5825"/>
      <c r="Y53" s="5840" t="s">
        <v>197</v>
      </c>
      <c r="Z53" s="5841">
        <f t="array" ref="Z53">IFERROR(VLOOKUP(Y35,Dex!$B$3:$N291,13,FALSE),"")</f>
        <v>60</v>
      </c>
      <c r="AA53" s="5842" t="str">
        <f t="array" ref="AA53">IFERROR(VLOOKUP(Z53,Dex!$P$22:$Q$276,2,FALSE),"")</f>
        <v/>
      </c>
      <c r="AB53" s="5843">
        <v>252.0</v>
      </c>
      <c r="AC53" s="5835"/>
      <c r="AD53" s="5840" t="s">
        <v>197</v>
      </c>
      <c r="AE53" s="5841">
        <f t="array" ref="AE53">IFERROR(VLOOKUP(AD35,Dex!$B$3:$N291,13,FALSE),"")</f>
        <v>87</v>
      </c>
      <c r="AF53" s="5842" t="str">
        <f t="array" ref="AF53">IFERROR(VLOOKUP(AE53,Dex!$P$22:$Q$276,2,FALSE),"")</f>
        <v/>
      </c>
      <c r="AG53" s="5843">
        <v>252.0</v>
      </c>
      <c r="AH53" s="5830"/>
      <c r="AI53" s="5735"/>
    </row>
    <row r="54" ht="16.5" customHeight="1">
      <c r="A54" s="5726"/>
      <c r="B54" s="5823"/>
      <c r="C54" s="5824"/>
      <c r="D54" s="5825"/>
      <c r="E54" s="5844" t="s">
        <v>198</v>
      </c>
      <c r="F54" s="405"/>
      <c r="G54" s="406"/>
      <c r="H54" s="5845">
        <v>297.0</v>
      </c>
      <c r="I54" s="5825"/>
      <c r="J54" s="5846" t="s">
        <v>198</v>
      </c>
      <c r="K54" s="918"/>
      <c r="L54" s="919"/>
      <c r="M54" s="5847">
        <v>211.0</v>
      </c>
      <c r="N54" s="5848"/>
      <c r="O54" s="5844" t="s">
        <v>198</v>
      </c>
      <c r="P54" s="405"/>
      <c r="Q54" s="406"/>
      <c r="R54" s="5845">
        <v>254.0</v>
      </c>
      <c r="S54" s="5848"/>
      <c r="T54" s="5844" t="s">
        <v>198</v>
      </c>
      <c r="U54" s="405"/>
      <c r="V54" s="406"/>
      <c r="W54" s="5845">
        <v>116.0</v>
      </c>
      <c r="X54" s="5848"/>
      <c r="Y54" s="5846" t="s">
        <v>198</v>
      </c>
      <c r="Z54" s="918"/>
      <c r="AA54" s="919"/>
      <c r="AB54" s="5847">
        <v>204.0</v>
      </c>
      <c r="AC54" s="5829"/>
      <c r="AD54" s="5844" t="s">
        <v>198</v>
      </c>
      <c r="AE54" s="405"/>
      <c r="AF54" s="406"/>
      <c r="AG54" s="5845">
        <v>255.0</v>
      </c>
      <c r="AH54" s="5830"/>
      <c r="AI54" s="5735"/>
    </row>
    <row r="55" ht="16.5" customHeight="1">
      <c r="A55" s="5650"/>
      <c r="B55" s="5762"/>
      <c r="C55" s="5763"/>
      <c r="D55" s="5764"/>
      <c r="E55" s="5776"/>
      <c r="F55" s="5776"/>
      <c r="G55" s="5776"/>
      <c r="H55" s="5776"/>
      <c r="I55" s="5764"/>
      <c r="J55" s="5849" t="s">
        <v>642</v>
      </c>
      <c r="K55" s="925"/>
      <c r="L55" s="926"/>
      <c r="M55" s="5850">
        <v>422.0</v>
      </c>
      <c r="N55" s="5764"/>
      <c r="O55" s="5851"/>
      <c r="P55" s="5851"/>
      <c r="Q55" s="5851"/>
      <c r="R55" s="5776"/>
      <c r="S55" s="5764"/>
      <c r="T55" s="5851"/>
      <c r="U55" s="5851"/>
      <c r="V55" s="5851"/>
      <c r="W55" s="5776"/>
      <c r="X55" s="5852"/>
      <c r="Y55" s="5849" t="s">
        <v>642</v>
      </c>
      <c r="Z55" s="925"/>
      <c r="AA55" s="926"/>
      <c r="AB55" s="5850">
        <v>408.0</v>
      </c>
      <c r="AC55" s="5764"/>
      <c r="AD55" s="5851"/>
      <c r="AE55" s="5851"/>
      <c r="AF55" s="5851"/>
      <c r="AG55" s="5776"/>
      <c r="AH55" s="5765"/>
      <c r="AI55" s="5655"/>
    </row>
    <row r="56" ht="15.0" customHeight="1">
      <c r="A56" s="5650"/>
      <c r="B56" s="5853"/>
      <c r="C56" s="5854"/>
      <c r="D56" s="5855"/>
      <c r="E56" s="5856"/>
      <c r="F56" s="5856"/>
      <c r="G56" s="5856"/>
      <c r="H56" s="5856"/>
      <c r="I56" s="5855"/>
      <c r="J56" s="5856"/>
      <c r="K56" s="5856"/>
      <c r="L56" s="5856"/>
      <c r="M56" s="5856"/>
      <c r="N56" s="5855"/>
      <c r="O56" s="5856"/>
      <c r="P56" s="5856"/>
      <c r="Q56" s="5856"/>
      <c r="R56" s="5856"/>
      <c r="S56" s="5855"/>
      <c r="T56" s="5856"/>
      <c r="U56" s="5856"/>
      <c r="V56" s="5856"/>
      <c r="W56" s="5856"/>
      <c r="X56" s="5855"/>
      <c r="Y56" s="5857"/>
      <c r="Z56" s="5857"/>
      <c r="AA56" s="5857"/>
      <c r="AB56" s="5856"/>
      <c r="AC56" s="5855"/>
      <c r="AD56" s="5856"/>
      <c r="AE56" s="5856"/>
      <c r="AF56" s="5856"/>
      <c r="AG56" s="5856"/>
      <c r="AH56" s="5858"/>
      <c r="AI56" s="5655"/>
    </row>
    <row r="57" ht="15.0" customHeight="1">
      <c r="A57" s="5650"/>
      <c r="B57" s="5859"/>
      <c r="C57" s="5860"/>
      <c r="D57" s="5861"/>
      <c r="E57" s="5862"/>
      <c r="F57" s="5862"/>
      <c r="G57" s="5862"/>
      <c r="H57" s="5862"/>
      <c r="I57" s="5861"/>
      <c r="J57" s="5862"/>
      <c r="K57" s="5862"/>
      <c r="L57" s="5862"/>
      <c r="M57" s="5862"/>
      <c r="N57" s="5861"/>
      <c r="O57" s="5862"/>
      <c r="P57" s="5862"/>
      <c r="Q57" s="5862"/>
      <c r="R57" s="5862"/>
      <c r="S57" s="5861"/>
      <c r="T57" s="5862"/>
      <c r="U57" s="5862"/>
      <c r="V57" s="5862"/>
      <c r="W57" s="5862"/>
      <c r="X57" s="5861"/>
      <c r="Y57" s="5862"/>
      <c r="Z57" s="5862"/>
      <c r="AA57" s="5862"/>
      <c r="AB57" s="5862"/>
      <c r="AC57" s="5861"/>
      <c r="AD57" s="5862"/>
      <c r="AE57" s="5862"/>
      <c r="AF57" s="5862"/>
      <c r="AG57" s="5862"/>
      <c r="AH57" s="5863"/>
      <c r="AI57" s="5655"/>
    </row>
    <row r="58" ht="11.25" customHeight="1">
      <c r="A58" s="5650"/>
      <c r="B58" s="5864"/>
      <c r="C58" s="5865"/>
      <c r="D58" s="5865"/>
      <c r="E58" s="3180" t="s">
        <v>1432</v>
      </c>
      <c r="F58" s="3181"/>
      <c r="G58" s="3181"/>
      <c r="H58" s="3181"/>
      <c r="I58" s="3181"/>
      <c r="J58" s="3181"/>
      <c r="K58" s="3181"/>
      <c r="L58" s="3181"/>
      <c r="M58" s="3181"/>
      <c r="N58" s="3181"/>
      <c r="O58" s="3181"/>
      <c r="P58" s="3181"/>
      <c r="Q58" s="3181"/>
      <c r="R58" s="3181"/>
      <c r="S58" s="3181"/>
      <c r="T58" s="3181"/>
      <c r="U58" s="3181"/>
      <c r="V58" s="3181"/>
      <c r="W58" s="3181"/>
      <c r="X58" s="3181"/>
      <c r="Y58" s="3181"/>
      <c r="Z58" s="3181"/>
      <c r="AA58" s="3181"/>
      <c r="AB58" s="3181"/>
      <c r="AC58" s="3181"/>
      <c r="AD58" s="3181"/>
      <c r="AE58" s="3181"/>
      <c r="AF58" s="3181"/>
      <c r="AG58" s="3182"/>
      <c r="AH58" s="5866"/>
      <c r="AI58" s="5655"/>
    </row>
    <row r="59" ht="11.25" customHeight="1">
      <c r="A59" s="5650"/>
      <c r="B59" s="5864"/>
      <c r="C59" s="5867"/>
      <c r="D59" s="5868"/>
      <c r="E59" s="114"/>
      <c r="F59" s="3185"/>
      <c r="G59" s="3185"/>
      <c r="H59" s="3185"/>
      <c r="I59" s="3185"/>
      <c r="J59" s="3185"/>
      <c r="K59" s="3185"/>
      <c r="L59" s="3185"/>
      <c r="M59" s="3185"/>
      <c r="N59" s="3185"/>
      <c r="O59" s="3185"/>
      <c r="P59" s="3185"/>
      <c r="Q59" s="3185"/>
      <c r="R59" s="3185"/>
      <c r="S59" s="3185"/>
      <c r="T59" s="3185"/>
      <c r="U59" s="3185"/>
      <c r="V59" s="3185"/>
      <c r="W59" s="3185"/>
      <c r="X59" s="3185"/>
      <c r="Y59" s="3185"/>
      <c r="Z59" s="3185"/>
      <c r="AA59" s="3185"/>
      <c r="AB59" s="3185"/>
      <c r="AC59" s="3185"/>
      <c r="AD59" s="3185"/>
      <c r="AE59" s="3185"/>
      <c r="AF59" s="3185"/>
      <c r="AG59" s="3186"/>
      <c r="AH59" s="5866"/>
      <c r="AI59" s="5655"/>
    </row>
    <row r="60" ht="3.75" customHeight="1">
      <c r="A60" s="5650"/>
      <c r="B60" s="5864"/>
      <c r="C60" s="5867"/>
      <c r="D60" s="5868"/>
      <c r="E60" s="5869"/>
      <c r="F60" s="5869"/>
      <c r="G60" s="5869"/>
      <c r="H60" s="5869"/>
      <c r="I60" s="5869"/>
      <c r="J60" s="5869"/>
      <c r="K60" s="5869"/>
      <c r="L60" s="5869"/>
      <c r="M60" s="5869"/>
      <c r="N60" s="5869"/>
      <c r="O60" s="5869"/>
      <c r="P60" s="5869"/>
      <c r="Q60" s="5869"/>
      <c r="R60" s="5869"/>
      <c r="S60" s="5869"/>
      <c r="T60" s="5869"/>
      <c r="U60" s="5869"/>
      <c r="V60" s="5869"/>
      <c r="W60" s="5869"/>
      <c r="X60" s="5869"/>
      <c r="Y60" s="5869"/>
      <c r="Z60" s="5869"/>
      <c r="AA60" s="5869"/>
      <c r="AB60" s="5869"/>
      <c r="AC60" s="5869"/>
      <c r="AD60" s="5869"/>
      <c r="AE60" s="5869"/>
      <c r="AF60" s="5869"/>
      <c r="AG60" s="5869"/>
      <c r="AH60" s="5866"/>
      <c r="AI60" s="5655"/>
    </row>
    <row r="61" ht="96.75" customHeight="1">
      <c r="A61" s="5650"/>
      <c r="B61" s="5864"/>
      <c r="C61" s="5870" t="str">
        <f>IMAGE("https://i.ibb.co/Q9fb5Tk/Bruno.png")</f>
        <v/>
      </c>
      <c r="D61" s="5871"/>
      <c r="E61" s="5872" t="str">
        <f t="array" ref="E61">IFERROR(VLOOKUP(E62,Dex!$B$3:$G291,3,FALSE),"")</f>
        <v/>
      </c>
      <c r="F61" s="1830"/>
      <c r="G61" s="1830"/>
      <c r="H61" s="1831"/>
      <c r="I61" s="5873"/>
      <c r="J61" s="5872" t="str">
        <f t="array" ref="J61">IFERROR(VLOOKUP(J62,Dex!$B$3:$G291,3,FALSE),"")</f>
        <v/>
      </c>
      <c r="K61" s="1830"/>
      <c r="L61" s="1830"/>
      <c r="M61" s="1831"/>
      <c r="N61" s="5873"/>
      <c r="O61" s="5872" t="str">
        <f t="array" ref="O61">IFERROR(VLOOKUP(O62,Dex!$B$3:$G291,3,FALSE),"")</f>
        <v/>
      </c>
      <c r="P61" s="1830"/>
      <c r="Q61" s="1830"/>
      <c r="R61" s="1831"/>
      <c r="S61" s="5873"/>
      <c r="T61" s="5872" t="str">
        <f t="array" ref="T61">IFERROR(VLOOKUP(T62,Dex!$B$3:$G291,3,FALSE),"")</f>
        <v/>
      </c>
      <c r="U61" s="1830"/>
      <c r="V61" s="1830"/>
      <c r="W61" s="1831"/>
      <c r="X61" s="5873"/>
      <c r="Y61" s="5872" t="str">
        <f t="array" ref="Y61">IFERROR(VLOOKUP(Y62,Dex!$B$3:$G291,3,FALSE),"")</f>
        <v/>
      </c>
      <c r="Z61" s="1830"/>
      <c r="AA61" s="1830"/>
      <c r="AB61" s="1831"/>
      <c r="AC61" s="5873"/>
      <c r="AD61" s="5872" t="str">
        <f t="array" ref="AD61">IFERROR(VLOOKUP(AD62,Dex!$B$3:$G291,3,FALSE),"")</f>
        <v/>
      </c>
      <c r="AE61" s="1830"/>
      <c r="AF61" s="1830"/>
      <c r="AG61" s="1831"/>
      <c r="AH61" s="5866"/>
      <c r="AI61" s="5655"/>
    </row>
    <row r="62" ht="18.75" customHeight="1">
      <c r="A62" s="5669"/>
      <c r="B62" s="5874"/>
      <c r="C62" s="5875" t="s">
        <v>1433</v>
      </c>
      <c r="D62" s="5876"/>
      <c r="E62" s="5877" t="s">
        <v>414</v>
      </c>
      <c r="F62" s="5878"/>
      <c r="G62" s="5878"/>
      <c r="H62" s="5879"/>
      <c r="I62" s="5880"/>
      <c r="J62" s="5877" t="s">
        <v>1377</v>
      </c>
      <c r="K62" s="5878"/>
      <c r="L62" s="5878"/>
      <c r="M62" s="5879"/>
      <c r="N62" s="5880"/>
      <c r="O62" s="5877" t="s">
        <v>326</v>
      </c>
      <c r="P62" s="5878"/>
      <c r="Q62" s="5878"/>
      <c r="R62" s="5879"/>
      <c r="S62" s="5880"/>
      <c r="T62" s="5877" t="s">
        <v>470</v>
      </c>
      <c r="U62" s="5878"/>
      <c r="V62" s="5878"/>
      <c r="W62" s="5879"/>
      <c r="X62" s="5880"/>
      <c r="Y62" s="5877" t="s">
        <v>1434</v>
      </c>
      <c r="Z62" s="5878"/>
      <c r="AA62" s="5878"/>
      <c r="AB62" s="5879"/>
      <c r="AC62" s="5880"/>
      <c r="AD62" s="5877" t="s">
        <v>1435</v>
      </c>
      <c r="AE62" s="5878"/>
      <c r="AF62" s="5878"/>
      <c r="AG62" s="5879"/>
      <c r="AH62" s="5881"/>
      <c r="AI62" s="5678"/>
    </row>
    <row r="63">
      <c r="A63" s="5679"/>
      <c r="B63" s="5882"/>
      <c r="C63" s="326"/>
      <c r="D63" s="5883"/>
      <c r="E63" s="5884">
        <v>85.0</v>
      </c>
      <c r="F63" s="5885"/>
      <c r="G63" s="5885"/>
      <c r="H63" s="5886"/>
      <c r="I63" s="5880"/>
      <c r="J63" s="5884">
        <v>85.0</v>
      </c>
      <c r="K63" s="5885"/>
      <c r="L63" s="5885"/>
      <c r="M63" s="5886"/>
      <c r="N63" s="5880"/>
      <c r="O63" s="5884">
        <v>85.0</v>
      </c>
      <c r="P63" s="5885"/>
      <c r="Q63" s="5885"/>
      <c r="R63" s="5886"/>
      <c r="S63" s="5880"/>
      <c r="T63" s="5884">
        <v>85.0</v>
      </c>
      <c r="U63" s="5885"/>
      <c r="V63" s="5885"/>
      <c r="W63" s="5886"/>
      <c r="X63" s="5880"/>
      <c r="Y63" s="5884">
        <v>85.0</v>
      </c>
      <c r="Z63" s="5885"/>
      <c r="AA63" s="5885"/>
      <c r="AB63" s="5886"/>
      <c r="AC63" s="5880"/>
      <c r="AD63" s="5884">
        <v>85.0</v>
      </c>
      <c r="AE63" s="5885"/>
      <c r="AF63" s="5885"/>
      <c r="AG63" s="5886"/>
      <c r="AH63" s="5887"/>
      <c r="AI63" s="5686"/>
    </row>
    <row r="64" ht="25.5" customHeight="1">
      <c r="A64" s="5650"/>
      <c r="B64" s="5864"/>
      <c r="C64" s="5888"/>
      <c r="D64" s="5868"/>
      <c r="E64" s="5889"/>
      <c r="F64" s="5890" t="str">
        <f t="array" ref="F64">IFERROR(VLOOKUP(E62,Dex!$B$3:$H291,5,FALSE),"")</f>
        <v/>
      </c>
      <c r="G64" s="5891" t="str">
        <f t="array" ref="G64">IFERROR(VLOOKUP(E62,Dex!$B$3:$H291,7,FALSE),"")</f>
        <v/>
      </c>
      <c r="H64" s="5892"/>
      <c r="I64" s="5880"/>
      <c r="J64" s="5889"/>
      <c r="K64" s="5890" t="str">
        <f t="array" ref="K64">IFERROR(VLOOKUP(J62,Dex!$B$3:$H291,5,FALSE),"")</f>
        <v/>
      </c>
      <c r="L64" s="5891" t="str">
        <f t="array" ref="L64">IFERROR(VLOOKUP(J62,Dex!$B$3:$H291,7,FALSE),"")</f>
        <v/>
      </c>
      <c r="M64" s="5892"/>
      <c r="N64" s="5880"/>
      <c r="O64" s="5889"/>
      <c r="P64" s="5890" t="str">
        <f t="array" ref="P64">IFERROR(VLOOKUP(O62,Dex!$B$3:$H291,5,FALSE),"")</f>
        <v/>
      </c>
      <c r="Q64" s="5891" t="str">
        <f t="array" ref="Q64">IFERROR(VLOOKUP(O62,Dex!$B$3:$H291,7,FALSE),"")</f>
        <v/>
      </c>
      <c r="R64" s="5892"/>
      <c r="S64" s="5880"/>
      <c r="T64" s="5889"/>
      <c r="U64" s="5890" t="str">
        <f t="array" ref="U64">IFERROR(VLOOKUP(T62,Dex!$B$3:$H291,5,FALSE),"")</f>
        <v/>
      </c>
      <c r="V64" s="5891" t="str">
        <f t="array" ref="V64">IFERROR(VLOOKUP(T62,Dex!$B$3:$H291,7,FALSE),"")</f>
        <v/>
      </c>
      <c r="W64" s="5892"/>
      <c r="X64" s="5880"/>
      <c r="Y64" s="5889"/>
      <c r="Z64" s="5890" t="str">
        <f t="array" ref="Z64">IFERROR(VLOOKUP(Y62,Dex!$B$3:$H291,5,FALSE),"")</f>
        <v/>
      </c>
      <c r="AA64" s="5891" t="str">
        <f t="array" ref="AA64">IFERROR(VLOOKUP(Y62,Dex!$B$3:$H291,7,FALSE),"")</f>
        <v/>
      </c>
      <c r="AB64" s="5892"/>
      <c r="AC64" s="5880"/>
      <c r="AD64" s="5889"/>
      <c r="AE64" s="5890" t="str">
        <f t="array" ref="AE64">IFERROR(VLOOKUP(AD62,Dex!$B$3:$H291,5,FALSE),"")</f>
        <v/>
      </c>
      <c r="AF64" s="5891" t="str">
        <f t="array" ref="AF64">IFERROR(VLOOKUP(AD62,Dex!$B$3:$H291,7,FALSE),"")</f>
        <v/>
      </c>
      <c r="AG64" s="5892"/>
      <c r="AH64" s="5866"/>
      <c r="AI64" s="5655"/>
    </row>
    <row r="65" ht="2.25" customHeight="1">
      <c r="A65" s="5650"/>
      <c r="B65" s="5864"/>
      <c r="C65" s="5880"/>
      <c r="D65" s="5868"/>
      <c r="E65" s="5893"/>
      <c r="F65" s="5894"/>
      <c r="G65" s="5894"/>
      <c r="H65" s="5895"/>
      <c r="I65" s="5880"/>
      <c r="J65" s="5893"/>
      <c r="K65" s="5894"/>
      <c r="L65" s="5894"/>
      <c r="M65" s="5895"/>
      <c r="N65" s="5880"/>
      <c r="O65" s="5893"/>
      <c r="P65" s="5894"/>
      <c r="Q65" s="5894"/>
      <c r="R65" s="5895"/>
      <c r="S65" s="5880"/>
      <c r="T65" s="5893"/>
      <c r="U65" s="5894"/>
      <c r="V65" s="5894"/>
      <c r="W65" s="5895"/>
      <c r="X65" s="5880"/>
      <c r="Y65" s="5893"/>
      <c r="Z65" s="5894"/>
      <c r="AA65" s="5894"/>
      <c r="AB65" s="5895"/>
      <c r="AC65" s="5880"/>
      <c r="AD65" s="5893"/>
      <c r="AE65" s="5894"/>
      <c r="AF65" s="5894"/>
      <c r="AG65" s="5895"/>
      <c r="AH65" s="5866"/>
      <c r="AI65" s="5655"/>
    </row>
    <row r="66" ht="20.25" customHeight="1">
      <c r="A66" s="5650"/>
      <c r="B66" s="5864"/>
      <c r="C66" s="5880"/>
      <c r="D66" s="5868"/>
      <c r="E66" s="5896" t="s">
        <v>172</v>
      </c>
      <c r="F66" s="5897"/>
      <c r="G66" s="5897"/>
      <c r="H66" s="5898"/>
      <c r="I66" s="5880"/>
      <c r="J66" s="5896" t="s">
        <v>172</v>
      </c>
      <c r="K66" s="5897"/>
      <c r="L66" s="5897"/>
      <c r="M66" s="5898"/>
      <c r="N66" s="5880"/>
      <c r="O66" s="5896" t="s">
        <v>205</v>
      </c>
      <c r="P66" s="5897"/>
      <c r="Q66" s="5897"/>
      <c r="R66" s="5898"/>
      <c r="S66" s="5880"/>
      <c r="T66" s="5896" t="s">
        <v>169</v>
      </c>
      <c r="U66" s="5897"/>
      <c r="V66" s="5897"/>
      <c r="W66" s="5898"/>
      <c r="X66" s="5880"/>
      <c r="Y66" s="5896" t="s">
        <v>172</v>
      </c>
      <c r="Z66" s="5897"/>
      <c r="AA66" s="5897"/>
      <c r="AB66" s="5898"/>
      <c r="AC66" s="5880"/>
      <c r="AD66" s="5896" t="s">
        <v>205</v>
      </c>
      <c r="AE66" s="5897"/>
      <c r="AF66" s="5897"/>
      <c r="AG66" s="5898"/>
      <c r="AH66" s="5866"/>
      <c r="AI66" s="5655"/>
    </row>
    <row r="67">
      <c r="A67" s="5650"/>
      <c r="B67" s="5864"/>
      <c r="C67" s="5880"/>
      <c r="D67" s="5868"/>
      <c r="E67" s="5899" t="s">
        <v>301</v>
      </c>
      <c r="F67" s="5900"/>
      <c r="G67" s="5900"/>
      <c r="H67" s="5901"/>
      <c r="I67" s="5880"/>
      <c r="J67" s="5899" t="s">
        <v>1379</v>
      </c>
      <c r="K67" s="5900"/>
      <c r="L67" s="5900"/>
      <c r="M67" s="5901"/>
      <c r="N67" s="5880"/>
      <c r="O67" s="5899" t="s">
        <v>332</v>
      </c>
      <c r="P67" s="5900"/>
      <c r="Q67" s="5900"/>
      <c r="R67" s="5901"/>
      <c r="S67" s="5880"/>
      <c r="T67" s="5899" t="s">
        <v>332</v>
      </c>
      <c r="U67" s="5900"/>
      <c r="V67" s="5900"/>
      <c r="W67" s="5901"/>
      <c r="X67" s="5880"/>
      <c r="Y67" s="5899" t="s">
        <v>1436</v>
      </c>
      <c r="Z67" s="5900"/>
      <c r="AA67" s="5900"/>
      <c r="AB67" s="5901"/>
      <c r="AC67" s="5880"/>
      <c r="AD67" s="5899" t="s">
        <v>1437</v>
      </c>
      <c r="AE67" s="5900"/>
      <c r="AF67" s="5900"/>
      <c r="AG67" s="5901"/>
      <c r="AH67" s="5866"/>
      <c r="AI67" s="5655"/>
    </row>
    <row r="68" ht="20.25" customHeight="1">
      <c r="A68" s="5650"/>
      <c r="B68" s="5864"/>
      <c r="C68" s="5902"/>
      <c r="D68" s="5868"/>
      <c r="E68" s="5903" t="s">
        <v>240</v>
      </c>
      <c r="F68" s="5904"/>
      <c r="G68" s="5905"/>
      <c r="H68" s="5906" t="str">
        <f>IMAGE("https://raw.githubusercontent.com/msikma/pokesprite/master/items/hold-item/focus-sash.png",3)</f>
        <v/>
      </c>
      <c r="I68" s="5880"/>
      <c r="J68" s="5903" t="s">
        <v>212</v>
      </c>
      <c r="K68" s="5904"/>
      <c r="L68" s="5905"/>
      <c r="M68" s="5906" t="str">
        <f>IMAGE("https://raw.githubusercontent.com/msikma/pokesprite/master/items/hold-item/mystic-water.png",3)</f>
        <v/>
      </c>
      <c r="N68" s="5880"/>
      <c r="O68" s="5903" t="s">
        <v>306</v>
      </c>
      <c r="P68" s="5904"/>
      <c r="Q68" s="5905"/>
      <c r="R68" s="5906" t="str">
        <f>IMAGE("https://i.ibb.co/SK50ng3/booster.png",4,22,22)</f>
        <v/>
      </c>
      <c r="S68" s="5880"/>
      <c r="T68" s="5903" t="s">
        <v>473</v>
      </c>
      <c r="U68" s="5904"/>
      <c r="V68" s="5905"/>
      <c r="W68" s="5906" t="str">
        <f>IMAGE("https://raw.githubusercontent.com/msikma/pokesprite/master/items/hold-item/assault-vest.png",3)</f>
        <v/>
      </c>
      <c r="X68" s="5880"/>
      <c r="Y68" s="5903" t="s">
        <v>1438</v>
      </c>
      <c r="Z68" s="5904"/>
      <c r="AA68" s="5905"/>
      <c r="AB68" s="5906" t="str">
        <f>IMAGE("https://raw.githubusercontent.com/msikma/pokesprite/master/items/hold-item/rusted-sword.png",3)</f>
        <v/>
      </c>
      <c r="AC68" s="5880"/>
      <c r="AD68" s="5903" t="s">
        <v>1439</v>
      </c>
      <c r="AE68" s="5904"/>
      <c r="AF68" s="5905"/>
      <c r="AG68" s="5906" t="str">
        <f>IMAGE("https://raw.githubusercontent.com/msikma/pokesprite/master/items/mega-stone/lucarionite.png",3)</f>
        <v/>
      </c>
      <c r="AH68" s="5866"/>
      <c r="AI68" s="5655"/>
    </row>
    <row r="69" ht="20.25" customHeight="1">
      <c r="A69" s="5650"/>
      <c r="B69" s="5864"/>
      <c r="C69" s="5867"/>
      <c r="D69" s="5868"/>
      <c r="E69" s="5896" t="s">
        <v>1163</v>
      </c>
      <c r="F69" s="5897"/>
      <c r="G69" s="5907"/>
      <c r="H69" s="5908" t="str">
        <f>IMAGE("https://raw.githubusercontent.com/msikma/pokesprite/master/misc/types/gen8/ground.png",4,20,20)</f>
        <v/>
      </c>
      <c r="I69" s="5880"/>
      <c r="J69" s="5896" t="s">
        <v>1380</v>
      </c>
      <c r="K69" s="5897"/>
      <c r="L69" s="5907"/>
      <c r="M69" s="5908" t="str">
        <f>IMAGE("https://raw.githubusercontent.com/msikma/pokesprite/master/misc/types/gen8/water.png",4,20,20)</f>
        <v/>
      </c>
      <c r="N69" s="5880"/>
      <c r="O69" s="5896" t="s">
        <v>217</v>
      </c>
      <c r="P69" s="5897"/>
      <c r="Q69" s="5907"/>
      <c r="R69" s="5908" t="str">
        <f>IMAGE("https://raw.githubusercontent.com/msikma/pokesprite/master/misc/types/gen8/psychic.png",4,20,20)</f>
        <v/>
      </c>
      <c r="S69" s="5880"/>
      <c r="T69" s="5896" t="s">
        <v>244</v>
      </c>
      <c r="U69" s="5897"/>
      <c r="V69" s="5907"/>
      <c r="W69" s="5908" t="str">
        <f>IMAGE("https://raw.githubusercontent.com/msikma/pokesprite/master/misc/types/gen8/fighting.png",4,20,20)</f>
        <v/>
      </c>
      <c r="X69" s="5880"/>
      <c r="Y69" s="5896" t="s">
        <v>489</v>
      </c>
      <c r="Z69" s="5897"/>
      <c r="AA69" s="5907"/>
      <c r="AB69" s="5908" t="str">
        <f>IMAGE("https://raw.githubusercontent.com/msikma/pokesprite/master/misc/types/gen8/normal.png",4,20,20)</f>
        <v/>
      </c>
      <c r="AC69" s="5880"/>
      <c r="AD69" s="5896" t="s">
        <v>401</v>
      </c>
      <c r="AE69" s="5897"/>
      <c r="AF69" s="5907"/>
      <c r="AG69" s="5908" t="str">
        <f>IMAGE("https://raw.githubusercontent.com/msikma/pokesprite/master/misc/types/gen8/dark.png",4,20,20)</f>
        <v/>
      </c>
      <c r="AH69" s="5866"/>
      <c r="AI69" s="5655"/>
    </row>
    <row r="70" ht="20.25" customHeight="1">
      <c r="A70" s="5650"/>
      <c r="B70" s="5864"/>
      <c r="C70" s="5867"/>
      <c r="D70" s="5868"/>
      <c r="E70" s="5899" t="s">
        <v>316</v>
      </c>
      <c r="F70" s="5900"/>
      <c r="G70" s="5909"/>
      <c r="H70" s="5910" t="str">
        <f>IMAGE("https://raw.githubusercontent.com/msikma/pokesprite/master/misc/types/gen8/fighting.png",4,20,20)</f>
        <v/>
      </c>
      <c r="I70" s="5880"/>
      <c r="J70" s="5899" t="s">
        <v>316</v>
      </c>
      <c r="K70" s="5900"/>
      <c r="L70" s="5909"/>
      <c r="M70" s="5910" t="str">
        <f>IMAGE("https://raw.githubusercontent.com/msikma/pokesprite/master/misc/types/gen8/fighting.png",4,20,20)</f>
        <v/>
      </c>
      <c r="N70" s="5880"/>
      <c r="O70" s="5899" t="s">
        <v>318</v>
      </c>
      <c r="P70" s="5900"/>
      <c r="Q70" s="5909"/>
      <c r="R70" s="5910" t="str">
        <f>IMAGE("https://raw.githubusercontent.com/msikma/pokesprite/master/misc/types/gen8/ghost.png",4,20,20)</f>
        <v/>
      </c>
      <c r="S70" s="5880"/>
      <c r="T70" s="5899" t="s">
        <v>476</v>
      </c>
      <c r="U70" s="5900"/>
      <c r="V70" s="5909"/>
      <c r="W70" s="5910" t="str">
        <f>IMAGE("https://raw.githubusercontent.com/msikma/pokesprite/master/misc/types/gen8/normal.png",4,20,20)</f>
        <v/>
      </c>
      <c r="X70" s="5880"/>
      <c r="Y70" s="5899" t="s">
        <v>1440</v>
      </c>
      <c r="Z70" s="5900"/>
      <c r="AA70" s="5909"/>
      <c r="AB70" s="5910" t="str">
        <f>IMAGE("https://raw.githubusercontent.com/msikma/pokesprite/master/misc/types/gen8/steel.png",4,20,20)</f>
        <v/>
      </c>
      <c r="AC70" s="5880"/>
      <c r="AD70" s="5899" t="s">
        <v>375</v>
      </c>
      <c r="AE70" s="5900"/>
      <c r="AF70" s="5909"/>
      <c r="AG70" s="5910" t="str">
        <f t="shared" ref="AG70:AG71" si="7">IMAGE("https://raw.githubusercontent.com/msikma/pokesprite/master/misc/types/gen8/fighting.png",4,20,20)</f>
        <v/>
      </c>
      <c r="AH70" s="5866"/>
      <c r="AI70" s="5655"/>
    </row>
    <row r="71" ht="20.25" customHeight="1">
      <c r="A71" s="5650"/>
      <c r="B71" s="5864"/>
      <c r="C71" s="5867"/>
      <c r="D71" s="5868"/>
      <c r="E71" s="5899" t="s">
        <v>395</v>
      </c>
      <c r="F71" s="5900"/>
      <c r="G71" s="5909"/>
      <c r="H71" s="5910" t="str">
        <f>IMAGE("https://raw.githubusercontent.com/msikma/pokesprite/master/misc/types/gen8/rock.png",4,20,20)</f>
        <v/>
      </c>
      <c r="I71" s="5880"/>
      <c r="J71" s="5899" t="s">
        <v>489</v>
      </c>
      <c r="K71" s="5900"/>
      <c r="L71" s="5909"/>
      <c r="M71" s="5910" t="str">
        <f>IMAGE("https://raw.githubusercontent.com/msikma/pokesprite/master/misc/types/gen8/normal.png",4,20,20)</f>
        <v/>
      </c>
      <c r="N71" s="5880"/>
      <c r="O71" s="5899" t="s">
        <v>464</v>
      </c>
      <c r="P71" s="5900"/>
      <c r="Q71" s="5909"/>
      <c r="R71" s="5910" t="str">
        <f>IMAGE("https://raw.githubusercontent.com/msikma/pokesprite/master/misc/types/gen8/fairy.png",4,20,20)</f>
        <v/>
      </c>
      <c r="S71" s="5880"/>
      <c r="T71" s="5899" t="s">
        <v>474</v>
      </c>
      <c r="U71" s="5900"/>
      <c r="V71" s="5909"/>
      <c r="W71" s="5910" t="str">
        <f>IMAGE("https://raw.githubusercontent.com/msikma/pokesprite/master/misc/types/gen8/electric.png",4,20,20)</f>
        <v/>
      </c>
      <c r="X71" s="5880"/>
      <c r="Y71" s="5899" t="s">
        <v>316</v>
      </c>
      <c r="Z71" s="5900"/>
      <c r="AA71" s="5909"/>
      <c r="AB71" s="5910" t="str">
        <f>IMAGE("https://raw.githubusercontent.com/msikma/pokesprite/master/misc/types/gen8/fighting.png",4,20,20)</f>
        <v/>
      </c>
      <c r="AC71" s="5880"/>
      <c r="AD71" s="5899" t="s">
        <v>434</v>
      </c>
      <c r="AE71" s="5900"/>
      <c r="AF71" s="5909"/>
      <c r="AG71" s="5910" t="str">
        <f t="shared" si="7"/>
        <v/>
      </c>
      <c r="AH71" s="5866"/>
      <c r="AI71" s="5655"/>
    </row>
    <row r="72" ht="21.0" customHeight="1">
      <c r="A72" s="5650"/>
      <c r="B72" s="5864"/>
      <c r="C72" s="5867"/>
      <c r="D72" s="5868"/>
      <c r="E72" s="5911" t="s">
        <v>279</v>
      </c>
      <c r="F72" s="5912"/>
      <c r="G72" s="5913"/>
      <c r="H72" s="5914" t="str">
        <f>IMAGE("https://raw.githubusercontent.com/msikma/pokesprite/master/misc/types/gen8/dark.png",4,20,20)</f>
        <v/>
      </c>
      <c r="I72" s="5902"/>
      <c r="J72" s="5911" t="s">
        <v>249</v>
      </c>
      <c r="K72" s="5912"/>
      <c r="L72" s="5913"/>
      <c r="M72" s="5914" t="str">
        <f>IMAGE("https://raw.githubusercontent.com/msikma/pokesprite/master/misc/types/gen8/electric.png",4,20,20)</f>
        <v/>
      </c>
      <c r="N72" s="5902"/>
      <c r="O72" s="5911" t="s">
        <v>509</v>
      </c>
      <c r="P72" s="5912"/>
      <c r="Q72" s="5913"/>
      <c r="R72" s="5914" t="str">
        <f>IMAGE("https://raw.githubusercontent.com/msikma/pokesprite/master/misc/types/gen8/psychic.png",4,20,20)</f>
        <v/>
      </c>
      <c r="S72" s="5902"/>
      <c r="T72" s="5911" t="s">
        <v>215</v>
      </c>
      <c r="U72" s="5912"/>
      <c r="V72" s="5913"/>
      <c r="W72" s="5914" t="str">
        <f>IMAGE("https://raw.githubusercontent.com/msikma/pokesprite/master/misc/types/gen8/ice.png",4,20,20)</f>
        <v/>
      </c>
      <c r="X72" s="5902"/>
      <c r="Y72" s="5911" t="s">
        <v>435</v>
      </c>
      <c r="Z72" s="5912"/>
      <c r="AA72" s="5913"/>
      <c r="AB72" s="5914" t="str">
        <f>IMAGE("https://raw.githubusercontent.com/msikma/pokesprite/master/misc/types/gen8/electric.png",4,20,20)</f>
        <v/>
      </c>
      <c r="AC72" s="5902"/>
      <c r="AD72" s="5911" t="s">
        <v>404</v>
      </c>
      <c r="AE72" s="5912"/>
      <c r="AF72" s="5913"/>
      <c r="AG72" s="5914" t="str">
        <f>IMAGE("https://raw.githubusercontent.com/msikma/pokesprite/master/misc/types/gen8/steel.png",4,20,20)</f>
        <v/>
      </c>
      <c r="AH72" s="5866"/>
      <c r="AI72" s="5655"/>
    </row>
    <row r="73" ht="3.0" customHeight="1">
      <c r="A73" s="5716"/>
      <c r="B73" s="5915"/>
      <c r="C73" s="5916"/>
      <c r="D73" s="5917"/>
      <c r="E73" s="5918"/>
      <c r="F73" s="5918"/>
      <c r="G73" s="5918"/>
      <c r="H73" s="5918"/>
      <c r="I73" s="5868"/>
      <c r="J73" s="5918"/>
      <c r="K73" s="5918"/>
      <c r="L73" s="5918"/>
      <c r="M73" s="5918"/>
      <c r="N73" s="5868"/>
      <c r="O73" s="5918"/>
      <c r="P73" s="5918"/>
      <c r="Q73" s="5918"/>
      <c r="R73" s="5918"/>
      <c r="S73" s="5868"/>
      <c r="T73" s="5918"/>
      <c r="U73" s="5918"/>
      <c r="V73" s="5918"/>
      <c r="W73" s="5918"/>
      <c r="X73" s="5868"/>
      <c r="Y73" s="5919"/>
      <c r="Z73" s="5919"/>
      <c r="AA73" s="5919"/>
      <c r="AB73" s="5919"/>
      <c r="AC73" s="5919"/>
      <c r="AD73" s="5919"/>
      <c r="AE73" s="5919"/>
      <c r="AF73" s="5919"/>
      <c r="AG73" s="5919"/>
      <c r="AH73" s="5920"/>
      <c r="AI73" s="5725"/>
    </row>
    <row r="74" ht="16.5" customHeight="1">
      <c r="A74" s="5726"/>
      <c r="B74" s="5921"/>
      <c r="C74" s="5922"/>
      <c r="D74" s="5923"/>
      <c r="E74" s="5924" t="s">
        <v>190</v>
      </c>
      <c r="F74" s="381"/>
      <c r="G74" s="382"/>
      <c r="H74" s="5925" t="s">
        <v>191</v>
      </c>
      <c r="I74" s="5917"/>
      <c r="J74" s="5924" t="s">
        <v>190</v>
      </c>
      <c r="K74" s="381"/>
      <c r="L74" s="382"/>
      <c r="M74" s="5925" t="s">
        <v>191</v>
      </c>
      <c r="N74" s="5917"/>
      <c r="O74" s="5924" t="s">
        <v>190</v>
      </c>
      <c r="P74" s="381"/>
      <c r="Q74" s="382"/>
      <c r="R74" s="5925" t="s">
        <v>191</v>
      </c>
      <c r="S74" s="5917"/>
      <c r="T74" s="5924" t="s">
        <v>190</v>
      </c>
      <c r="U74" s="381"/>
      <c r="V74" s="382"/>
      <c r="W74" s="5925" t="s">
        <v>191</v>
      </c>
      <c r="X74" s="5917"/>
      <c r="Y74" s="5924" t="s">
        <v>190</v>
      </c>
      <c r="Z74" s="381"/>
      <c r="AA74" s="382"/>
      <c r="AB74" s="5925" t="s">
        <v>191</v>
      </c>
      <c r="AC74" s="5926"/>
      <c r="AD74" s="5924" t="s">
        <v>190</v>
      </c>
      <c r="AE74" s="381"/>
      <c r="AF74" s="382"/>
      <c r="AG74" s="5925" t="s">
        <v>191</v>
      </c>
      <c r="AH74" s="5927"/>
      <c r="AI74" s="5735"/>
    </row>
    <row r="75" ht="16.5" customHeight="1">
      <c r="A75" s="5726"/>
      <c r="B75" s="5921"/>
      <c r="C75" s="5922"/>
      <c r="D75" s="5923"/>
      <c r="E75" s="5928" t="s">
        <v>192</v>
      </c>
      <c r="F75" s="5929">
        <f t="array" ref="F75">IFERROR(VLOOKUP(E62,Dex!$B$3:$N291,8,FALSE),"")</f>
        <v>115</v>
      </c>
      <c r="G75" s="5930" t="str">
        <f t="array" ref="G75">IFERROR(VLOOKUP(F75,Dex!$P$22:$Q$276,2,FALSE),"")</f>
        <v/>
      </c>
      <c r="H75" s="5931"/>
      <c r="I75" s="5923"/>
      <c r="J75" s="5928" t="s">
        <v>192</v>
      </c>
      <c r="K75" s="5929">
        <f t="array" ref="K75">IFERROR(VLOOKUP(J62,Dex!$B$3:$N291,8,FALSE),"")</f>
        <v>100</v>
      </c>
      <c r="L75" s="5930" t="str">
        <f t="array" ref="L75">IFERROR(VLOOKUP(K75,Dex!$P$22:$Q$276,2,FALSE),"")</f>
        <v/>
      </c>
      <c r="M75" s="5931"/>
      <c r="N75" s="5923"/>
      <c r="O75" s="5928" t="s">
        <v>192</v>
      </c>
      <c r="P75" s="5929">
        <f t="array" ref="P75">IFERROR(VLOOKUP(O62,Dex!$B$3:$N291,8,FALSE),"")</f>
        <v>74</v>
      </c>
      <c r="Q75" s="5930" t="str">
        <f t="array" ref="Q75">IFERROR(VLOOKUP(P75,Dex!$P$22:$Q$276,2,FALSE),"")</f>
        <v/>
      </c>
      <c r="R75" s="5931"/>
      <c r="S75" s="5923"/>
      <c r="T75" s="5928" t="s">
        <v>192</v>
      </c>
      <c r="U75" s="5929">
        <f t="array" ref="U75">IFERROR(VLOOKUP(T62,Dex!$B$3:$N291,8,FALSE),"")</f>
        <v>154</v>
      </c>
      <c r="V75" s="5930" t="str">
        <f t="array" ref="V75">IFERROR(VLOOKUP(U75,Dex!$P$22:$Q$276,2,FALSE),"")</f>
        <v/>
      </c>
      <c r="W75" s="5931">
        <v>252.0</v>
      </c>
      <c r="X75" s="5923"/>
      <c r="Y75" s="5928" t="s">
        <v>192</v>
      </c>
      <c r="Z75" s="5929">
        <f t="array" ref="Z75">IFERROR(VLOOKUP(Y62,Dex!$B$3:$N291,8,FALSE),"")</f>
        <v>92</v>
      </c>
      <c r="AA75" s="5930" t="str">
        <f t="array" ref="AA75">IFERROR(VLOOKUP(Z75,Dex!$P$22:$Q$276,2,FALSE),"")</f>
        <v/>
      </c>
      <c r="AB75" s="5931"/>
      <c r="AC75" s="5926"/>
      <c r="AD75" s="5928" t="s">
        <v>192</v>
      </c>
      <c r="AE75" s="5929">
        <f t="array" ref="AE75">IFERROR(VLOOKUP(AD62,Dex!$B$3:$N291,8,FALSE),"")</f>
        <v>70</v>
      </c>
      <c r="AF75" s="5930" t="str">
        <f t="array" ref="AF75">IFERROR(VLOOKUP(AE75,Dex!$P$22:$Q$276,2,FALSE),"")</f>
        <v/>
      </c>
      <c r="AG75" s="5931"/>
      <c r="AH75" s="5927"/>
      <c r="AI75" s="5735"/>
    </row>
    <row r="76" ht="16.5" customHeight="1">
      <c r="A76" s="5726"/>
      <c r="B76" s="5921"/>
      <c r="C76" s="5922"/>
      <c r="D76" s="5923"/>
      <c r="E76" s="5932" t="s">
        <v>193</v>
      </c>
      <c r="F76" s="5933">
        <f t="array" ref="F76">IFERROR(VLOOKUP(E62,Dex!$B$3:$N291,9,FALSE),"")</f>
        <v>131</v>
      </c>
      <c r="G76" s="5934" t="str">
        <f t="array" ref="G76">IFERROR(VLOOKUP(F76,Dex!$P$22:$Q$276,2,FALSE),"")</f>
        <v/>
      </c>
      <c r="H76" s="5935">
        <v>252.0</v>
      </c>
      <c r="I76" s="5923"/>
      <c r="J76" s="5932" t="s">
        <v>193</v>
      </c>
      <c r="K76" s="5933">
        <f t="array" ref="K76">IFERROR(VLOOKUP(J62,Dex!$B$3:$N291,9,FALSE),"")</f>
        <v>130</v>
      </c>
      <c r="L76" s="5934" t="str">
        <f t="array" ref="L76">IFERROR(VLOOKUP(K76,Dex!$P$22:$Q$276,2,FALSE),"")</f>
        <v/>
      </c>
      <c r="M76" s="5935">
        <v>252.0</v>
      </c>
      <c r="N76" s="5923"/>
      <c r="O76" s="5932" t="s">
        <v>193</v>
      </c>
      <c r="P76" s="5933">
        <f t="array" ref="P76">IFERROR(VLOOKUP(O62,Dex!$B$3:$N291,9,FALSE),"")</f>
        <v>130</v>
      </c>
      <c r="Q76" s="5934" t="str">
        <f t="array" ref="Q76">IFERROR(VLOOKUP(P76,Dex!$P$22:$Q$276,2,FALSE),"")</f>
        <v/>
      </c>
      <c r="R76" s="5935"/>
      <c r="S76" s="5923"/>
      <c r="T76" s="5932" t="s">
        <v>193</v>
      </c>
      <c r="U76" s="5933">
        <f t="array" ref="U76">IFERROR(VLOOKUP(T62,Dex!$B$3:$N291,9,FALSE),"")</f>
        <v>140</v>
      </c>
      <c r="V76" s="5934" t="str">
        <f t="array" ref="V76">IFERROR(VLOOKUP(U76,Dex!$P$22:$Q$276,2,FALSE),"")</f>
        <v/>
      </c>
      <c r="W76" s="5935">
        <v>252.0</v>
      </c>
      <c r="X76" s="5923"/>
      <c r="Y76" s="5932" t="s">
        <v>193</v>
      </c>
      <c r="Z76" s="5933">
        <f t="array" ref="Z76">IFERROR(VLOOKUP(Y62,Dex!$B$3:$N291,9,FALSE),"")</f>
        <v>150</v>
      </c>
      <c r="AA76" s="5934" t="str">
        <f t="array" ref="AA76">IFERROR(VLOOKUP(Z76,Dex!$P$22:$Q$276,2,FALSE),"")</f>
        <v/>
      </c>
      <c r="AB76" s="5935">
        <v>252.0</v>
      </c>
      <c r="AC76" s="5926"/>
      <c r="AD76" s="5932" t="s">
        <v>193</v>
      </c>
      <c r="AE76" s="5933">
        <f t="array" ref="AE76">IFERROR(VLOOKUP(AD62,Dex!$B$3:$N291,9,FALSE),"")</f>
        <v>145</v>
      </c>
      <c r="AF76" s="5934" t="str">
        <f t="array" ref="AF76">IFERROR(VLOOKUP(AE76,Dex!$P$22:$Q$276,2,FALSE),"")</f>
        <v/>
      </c>
      <c r="AG76" s="5935"/>
      <c r="AH76" s="5927"/>
      <c r="AI76" s="5735"/>
    </row>
    <row r="77" ht="16.5" customHeight="1">
      <c r="A77" s="5726"/>
      <c r="B77" s="5921"/>
      <c r="C77" s="5922"/>
      <c r="D77" s="5923"/>
      <c r="E77" s="5932" t="s">
        <v>194</v>
      </c>
      <c r="F77" s="5933">
        <f t="array" ref="F77">IFERROR(VLOOKUP(E62,Dex!$B$3:$N291,10,FALSE),"")</f>
        <v>131</v>
      </c>
      <c r="G77" s="5934" t="str">
        <f t="array" ref="G77">IFERROR(VLOOKUP(F77,Dex!$P$22:$Q$276,2,FALSE),"")</f>
        <v/>
      </c>
      <c r="H77" s="5931">
        <v>4.0</v>
      </c>
      <c r="I77" s="5923"/>
      <c r="J77" s="5932" t="s">
        <v>194</v>
      </c>
      <c r="K77" s="5933">
        <f t="array" ref="K77">IFERROR(VLOOKUP(J62,Dex!$B$3:$N291,10,FALSE),"")</f>
        <v>100</v>
      </c>
      <c r="L77" s="5934" t="str">
        <f t="array" ref="L77">IFERROR(VLOOKUP(K77,Dex!$P$22:$Q$276,2,FALSE),"")</f>
        <v/>
      </c>
      <c r="M77" s="5931">
        <v>4.0</v>
      </c>
      <c r="N77" s="5923"/>
      <c r="O77" s="5932" t="s">
        <v>194</v>
      </c>
      <c r="P77" s="5933">
        <f t="array" ref="P77">IFERROR(VLOOKUP(O62,Dex!$B$3:$N291,10,FALSE),"")</f>
        <v>90</v>
      </c>
      <c r="Q77" s="5934" t="str">
        <f t="array" ref="Q77">IFERROR(VLOOKUP(P77,Dex!$P$22:$Q$276,2,FALSE),"")</f>
        <v/>
      </c>
      <c r="R77" s="5931">
        <v>4.0</v>
      </c>
      <c r="S77" s="5923"/>
      <c r="T77" s="5932" t="s">
        <v>194</v>
      </c>
      <c r="U77" s="5933">
        <f t="array" ref="U77">IFERROR(VLOOKUP(T62,Dex!$B$3:$N291,10,FALSE),"")</f>
        <v>108</v>
      </c>
      <c r="V77" s="5934" t="str">
        <f t="array" ref="V77">IFERROR(VLOOKUP(U77,Dex!$P$22:$Q$276,2,FALSE),"")</f>
        <v/>
      </c>
      <c r="W77" s="5931"/>
      <c r="X77" s="5923"/>
      <c r="Y77" s="5932" t="s">
        <v>194</v>
      </c>
      <c r="Z77" s="5933">
        <f t="array" ref="Z77">IFERROR(VLOOKUP(Y62,Dex!$B$3:$N291,10,FALSE),"")</f>
        <v>115</v>
      </c>
      <c r="AA77" s="5934" t="str">
        <f t="array" ref="AA77">IFERROR(VLOOKUP(Z77,Dex!$P$22:$Q$276,2,FALSE),"")</f>
        <v/>
      </c>
      <c r="AB77" s="5931">
        <v>4.0</v>
      </c>
      <c r="AC77" s="5926"/>
      <c r="AD77" s="5932" t="s">
        <v>194</v>
      </c>
      <c r="AE77" s="5933">
        <f t="array" ref="AE77">IFERROR(VLOOKUP(AD62,Dex!$B$3:$N291,10,FALSE),"")</f>
        <v>88</v>
      </c>
      <c r="AF77" s="5934" t="str">
        <f t="array" ref="AF77">IFERROR(VLOOKUP(AE77,Dex!$P$22:$Q$276,2,FALSE),"")</f>
        <v/>
      </c>
      <c r="AG77" s="5931">
        <v>4.0</v>
      </c>
      <c r="AH77" s="5927"/>
      <c r="AI77" s="5735"/>
    </row>
    <row r="78" ht="16.5" customHeight="1">
      <c r="A78" s="5726"/>
      <c r="B78" s="5921"/>
      <c r="C78" s="5922"/>
      <c r="D78" s="5923"/>
      <c r="E78" s="5932" t="s">
        <v>195</v>
      </c>
      <c r="F78" s="5933">
        <f t="array" ref="F78">IFERROR(VLOOKUP(E62,Dex!$B$3:$N291,11,FALSE),"")</f>
        <v>53</v>
      </c>
      <c r="G78" s="5934" t="str">
        <f t="array" ref="G78">IFERROR(VLOOKUP(F78,Dex!$P$22:$Q$276,2,FALSE),"")</f>
        <v/>
      </c>
      <c r="H78" s="5935"/>
      <c r="I78" s="5923"/>
      <c r="J78" s="5932" t="s">
        <v>195</v>
      </c>
      <c r="K78" s="5933">
        <f t="array" ref="K78">IFERROR(VLOOKUP(J62,Dex!$B$3:$N291,11,FALSE),"")</f>
        <v>63</v>
      </c>
      <c r="L78" s="5934" t="str">
        <f t="array" ref="L78">IFERROR(VLOOKUP(K78,Dex!$P$22:$Q$276,2,FALSE),"")</f>
        <v/>
      </c>
      <c r="M78" s="5935"/>
      <c r="N78" s="5923"/>
      <c r="O78" s="5932" t="s">
        <v>195</v>
      </c>
      <c r="P78" s="5933">
        <f t="array" ref="P78">IFERROR(VLOOKUP(O62,Dex!$B$3:$N291,11,FALSE),"")</f>
        <v>120</v>
      </c>
      <c r="Q78" s="5934" t="str">
        <f t="array" ref="Q78">IFERROR(VLOOKUP(P78,Dex!$P$22:$Q$276,2,FALSE),"")</f>
        <v/>
      </c>
      <c r="R78" s="5935">
        <v>252.0</v>
      </c>
      <c r="S78" s="5923"/>
      <c r="T78" s="5932" t="s">
        <v>195</v>
      </c>
      <c r="U78" s="5933">
        <f t="array" ref="U78">IFERROR(VLOOKUP(T62,Dex!$B$3:$N291,11,FALSE),"")</f>
        <v>50</v>
      </c>
      <c r="V78" s="5934" t="str">
        <f t="array" ref="V78">IFERROR(VLOOKUP(U78,Dex!$P$22:$Q$276,2,FALSE),"")</f>
        <v/>
      </c>
      <c r="W78" s="5935"/>
      <c r="X78" s="5923"/>
      <c r="Y78" s="5932" t="s">
        <v>195</v>
      </c>
      <c r="Z78" s="5933">
        <f t="array" ref="Z78">IFERROR(VLOOKUP(Y62,Dex!$B$3:$N291,11,FALSE),"")</f>
        <v>80</v>
      </c>
      <c r="AA78" s="5934" t="str">
        <f t="array" ref="AA78">IFERROR(VLOOKUP(Z78,Dex!$P$22:$Q$276,2,FALSE),"")</f>
        <v/>
      </c>
      <c r="AB78" s="5935"/>
      <c r="AC78" s="5926"/>
      <c r="AD78" s="5932" t="s">
        <v>195</v>
      </c>
      <c r="AE78" s="5933">
        <f t="array" ref="AE78">IFERROR(VLOOKUP(AD62,Dex!$B$3:$N291,11,FALSE),"")</f>
        <v>140</v>
      </c>
      <c r="AF78" s="5934" t="str">
        <f t="array" ref="AF78">IFERROR(VLOOKUP(AE78,Dex!$P$22:$Q$276,2,FALSE),"")</f>
        <v/>
      </c>
      <c r="AG78" s="5935">
        <v>252.0</v>
      </c>
      <c r="AH78" s="5927"/>
      <c r="AI78" s="5735"/>
    </row>
    <row r="79" ht="16.5" customHeight="1">
      <c r="A79" s="5726"/>
      <c r="B79" s="5921"/>
      <c r="C79" s="5922"/>
      <c r="D79" s="5923"/>
      <c r="E79" s="5932" t="s">
        <v>196</v>
      </c>
      <c r="F79" s="5933">
        <f t="array" ref="F79">IFERROR(VLOOKUP(E62,Dex!$B$3:$N291,12,FALSE),"")</f>
        <v>53</v>
      </c>
      <c r="G79" s="5934" t="str">
        <f t="array" ref="G79">IFERROR(VLOOKUP(F79,Dex!$P$22:$Q$276,2,FALSE),"")</f>
        <v/>
      </c>
      <c r="H79" s="5935"/>
      <c r="I79" s="5923"/>
      <c r="J79" s="5932" t="s">
        <v>196</v>
      </c>
      <c r="K79" s="5933">
        <f t="array" ref="K79">IFERROR(VLOOKUP(J62,Dex!$B$3:$N291,12,FALSE),"")</f>
        <v>60</v>
      </c>
      <c r="L79" s="5934" t="str">
        <f t="array" ref="L79">IFERROR(VLOOKUP(K79,Dex!$P$22:$Q$276,2,FALSE),"")</f>
        <v/>
      </c>
      <c r="M79" s="5935"/>
      <c r="N79" s="5923"/>
      <c r="O79" s="5932" t="s">
        <v>196</v>
      </c>
      <c r="P79" s="5933">
        <f t="array" ref="P79">IFERROR(VLOOKUP(O62,Dex!$B$3:$N291,12,FALSE),"")</f>
        <v>60</v>
      </c>
      <c r="Q79" s="5934" t="str">
        <f t="array" ref="Q79">IFERROR(VLOOKUP(P79,Dex!$P$22:$Q$276,2,FALSE),"")</f>
        <v/>
      </c>
      <c r="R79" s="5935"/>
      <c r="S79" s="5923"/>
      <c r="T79" s="5932" t="s">
        <v>196</v>
      </c>
      <c r="U79" s="5933">
        <f t="array" ref="U79">IFERROR(VLOOKUP(T62,Dex!$B$3:$N291,12,FALSE),"")</f>
        <v>68</v>
      </c>
      <c r="V79" s="5934" t="str">
        <f t="array" ref="V79">IFERROR(VLOOKUP(U79,Dex!$P$22:$Q$276,2,FALSE),"")</f>
        <v/>
      </c>
      <c r="W79" s="5935">
        <v>4.0</v>
      </c>
      <c r="X79" s="5923"/>
      <c r="Y79" s="5932" t="s">
        <v>196</v>
      </c>
      <c r="Z79" s="5933">
        <f t="array" ref="Z79">IFERROR(VLOOKUP(Y62,Dex!$B$3:$N291,12,FALSE),"")</f>
        <v>115</v>
      </c>
      <c r="AA79" s="5934" t="str">
        <f t="array" ref="AA79">IFERROR(VLOOKUP(Z79,Dex!$P$22:$Q$276,2,FALSE),"")</f>
        <v/>
      </c>
      <c r="AB79" s="5935"/>
      <c r="AC79" s="5926"/>
      <c r="AD79" s="5932" t="s">
        <v>196</v>
      </c>
      <c r="AE79" s="5933">
        <f t="array" ref="AE79">IFERROR(VLOOKUP(AD62,Dex!$B$3:$N291,12,FALSE),"")</f>
        <v>70</v>
      </c>
      <c r="AF79" s="5934" t="str">
        <f t="array" ref="AF79">IFERROR(VLOOKUP(AE79,Dex!$P$22:$Q$276,2,FALSE),"")</f>
        <v/>
      </c>
      <c r="AG79" s="5935"/>
      <c r="AH79" s="5927"/>
      <c r="AI79" s="5735"/>
    </row>
    <row r="80" ht="16.5" customHeight="1">
      <c r="A80" s="5726"/>
      <c r="B80" s="5921"/>
      <c r="C80" s="5922"/>
      <c r="D80" s="5923"/>
      <c r="E80" s="5936" t="s">
        <v>197</v>
      </c>
      <c r="F80" s="5937">
        <f t="array" ref="F80">IFERROR(VLOOKUP(E62,Dex!$B$3:$N291,13,FALSE),"")</f>
        <v>87</v>
      </c>
      <c r="G80" s="5938" t="str">
        <f t="array" ref="G80">IFERROR(VLOOKUP(F80,Dex!$P$22:$Q$276,2,FALSE),"")</f>
        <v/>
      </c>
      <c r="H80" s="5939">
        <v>252.0</v>
      </c>
      <c r="I80" s="5923"/>
      <c r="J80" s="5936" t="s">
        <v>197</v>
      </c>
      <c r="K80" s="5937">
        <f t="array" ref="K80">IFERROR(VLOOKUP(J62,Dex!$B$3:$N291,13,FALSE),"")</f>
        <v>97</v>
      </c>
      <c r="L80" s="5938" t="str">
        <f t="array" ref="L80">IFERROR(VLOOKUP(K80,Dex!$P$22:$Q$276,2,FALSE),"")</f>
        <v/>
      </c>
      <c r="M80" s="5939">
        <v>252.0</v>
      </c>
      <c r="N80" s="5923"/>
      <c r="O80" s="5936" t="s">
        <v>197</v>
      </c>
      <c r="P80" s="5937">
        <f t="array" ref="P80">IFERROR(VLOOKUP(O62,Dex!$B$3:$N291,13,FALSE),"")</f>
        <v>116</v>
      </c>
      <c r="Q80" s="5938" t="str">
        <f t="array" ref="Q80">IFERROR(VLOOKUP(P80,Dex!$P$22:$Q$276,2,FALSE),"")</f>
        <v/>
      </c>
      <c r="R80" s="5939">
        <v>252.0</v>
      </c>
      <c r="S80" s="5923"/>
      <c r="T80" s="5936" t="s">
        <v>197</v>
      </c>
      <c r="U80" s="5937">
        <f t="array" ref="U80">IFERROR(VLOOKUP(T62,Dex!$B$3:$N291,13,FALSE),"")</f>
        <v>50</v>
      </c>
      <c r="V80" s="5938" t="str">
        <f t="array" ref="V80">IFERROR(VLOOKUP(U80,Dex!$P$22:$Q$276,2,FALSE),"")</f>
        <v/>
      </c>
      <c r="W80" s="5939"/>
      <c r="X80" s="5923"/>
      <c r="Y80" s="5936" t="s">
        <v>197</v>
      </c>
      <c r="Z80" s="5937">
        <f t="array" ref="Z80">IFERROR(VLOOKUP(Y62,Dex!$B$3:$N291,13,FALSE),"")</f>
        <v>148</v>
      </c>
      <c r="AA80" s="5938" t="str">
        <f t="array" ref="AA80">IFERROR(VLOOKUP(Z80,Dex!$P$22:$Q$276,2,FALSE),"")</f>
        <v/>
      </c>
      <c r="AB80" s="5939">
        <v>252.0</v>
      </c>
      <c r="AC80" s="5926"/>
      <c r="AD80" s="5936" t="s">
        <v>197</v>
      </c>
      <c r="AE80" s="5937">
        <f t="array" ref="AE80">IFERROR(VLOOKUP(AD62,Dex!$B$3:$N291,13,FALSE),"")</f>
        <v>112</v>
      </c>
      <c r="AF80" s="5938" t="str">
        <f t="array" ref="AF80">IFERROR(VLOOKUP(AE80,Dex!$P$22:$Q$276,2,FALSE),"")</f>
        <v/>
      </c>
      <c r="AG80" s="5939">
        <v>252.0</v>
      </c>
      <c r="AH80" s="5927"/>
      <c r="AI80" s="5735"/>
    </row>
    <row r="81" ht="16.5" customHeight="1">
      <c r="A81" s="5726"/>
      <c r="B81" s="5921"/>
      <c r="C81" s="5922"/>
      <c r="D81" s="5923"/>
      <c r="E81" s="5940" t="s">
        <v>198</v>
      </c>
      <c r="F81" s="405"/>
      <c r="G81" s="406"/>
      <c r="H81" s="5941">
        <v>255.0</v>
      </c>
      <c r="I81" s="5923"/>
      <c r="J81" s="5940" t="s">
        <v>198</v>
      </c>
      <c r="K81" s="405"/>
      <c r="L81" s="406"/>
      <c r="M81" s="5941">
        <v>273.0</v>
      </c>
      <c r="N81" s="5942"/>
      <c r="O81" s="5943" t="s">
        <v>198</v>
      </c>
      <c r="P81" s="918"/>
      <c r="Q81" s="919"/>
      <c r="R81" s="5944">
        <v>310.0</v>
      </c>
      <c r="S81" s="5923"/>
      <c r="T81" s="5940" t="s">
        <v>198</v>
      </c>
      <c r="U81" s="405"/>
      <c r="V81" s="406"/>
      <c r="W81" s="5941">
        <v>116.0</v>
      </c>
      <c r="X81" s="5923"/>
      <c r="Y81" s="5940" t="s">
        <v>198</v>
      </c>
      <c r="Z81" s="405"/>
      <c r="AA81" s="406"/>
      <c r="AB81" s="5941">
        <v>369.0</v>
      </c>
      <c r="AC81" s="5926"/>
      <c r="AD81" s="5940" t="s">
        <v>198</v>
      </c>
      <c r="AE81" s="405"/>
      <c r="AF81" s="406"/>
      <c r="AG81" s="5941">
        <v>302.0</v>
      </c>
      <c r="AH81" s="5927"/>
      <c r="AI81" s="5735"/>
    </row>
    <row r="82" ht="16.5" customHeight="1">
      <c r="A82" s="5650"/>
      <c r="B82" s="5864"/>
      <c r="C82" s="5867"/>
      <c r="D82" s="5868"/>
      <c r="E82" s="5876"/>
      <c r="F82" s="5876"/>
      <c r="G82" s="5876"/>
      <c r="H82" s="5876"/>
      <c r="I82" s="5868"/>
      <c r="J82" s="5876"/>
      <c r="K82" s="5876"/>
      <c r="L82" s="5876"/>
      <c r="M82" s="5876"/>
      <c r="N82" s="5868"/>
      <c r="O82" s="5945" t="s">
        <v>349</v>
      </c>
      <c r="P82" s="925"/>
      <c r="Q82" s="926"/>
      <c r="R82" s="5946">
        <v>465.0</v>
      </c>
      <c r="S82" s="5868"/>
      <c r="T82" s="5876"/>
      <c r="U82" s="5876"/>
      <c r="V82" s="5876"/>
      <c r="W82" s="5876"/>
      <c r="X82" s="5868"/>
      <c r="Y82" s="5876"/>
      <c r="Z82" s="5876"/>
      <c r="AA82" s="5876"/>
      <c r="AB82" s="5876"/>
      <c r="AC82" s="5868"/>
      <c r="AD82" s="5876"/>
      <c r="AE82" s="5876"/>
      <c r="AF82" s="5876"/>
      <c r="AG82" s="5876"/>
      <c r="AH82" s="5866"/>
      <c r="AI82" s="5655"/>
    </row>
    <row r="83" ht="11.25" customHeight="1">
      <c r="A83" s="5650"/>
      <c r="B83" s="5864"/>
      <c r="C83" s="5865"/>
      <c r="D83" s="5865"/>
      <c r="E83" s="5865"/>
      <c r="F83" s="5865"/>
      <c r="G83" s="5865"/>
      <c r="H83" s="5865"/>
      <c r="I83" s="5865"/>
      <c r="J83" s="5865"/>
      <c r="K83" s="5865"/>
      <c r="L83" s="5865"/>
      <c r="M83" s="5865"/>
      <c r="N83" s="5865"/>
      <c r="O83" s="5947"/>
      <c r="P83" s="5947"/>
      <c r="Q83" s="5947"/>
      <c r="R83" s="5947"/>
      <c r="S83" s="5865"/>
      <c r="T83" s="5865"/>
      <c r="U83" s="5865"/>
      <c r="V83" s="5865"/>
      <c r="W83" s="5865"/>
      <c r="X83" s="5865"/>
      <c r="Y83" s="5865"/>
      <c r="Z83" s="5865"/>
      <c r="AA83" s="5865"/>
      <c r="AB83" s="5865"/>
      <c r="AC83" s="5865"/>
      <c r="AD83" s="5865"/>
      <c r="AE83" s="5865"/>
      <c r="AF83" s="5865"/>
      <c r="AG83" s="5865"/>
      <c r="AH83" s="5866"/>
      <c r="AI83" s="5655"/>
    </row>
    <row r="84" ht="11.25" customHeight="1">
      <c r="A84" s="5650"/>
      <c r="B84" s="5864"/>
      <c r="C84" s="5865"/>
      <c r="D84" s="5865"/>
      <c r="E84" s="3180" t="s">
        <v>1441</v>
      </c>
      <c r="F84" s="3181"/>
      <c r="G84" s="3181"/>
      <c r="H84" s="3181"/>
      <c r="I84" s="3181"/>
      <c r="J84" s="3181"/>
      <c r="K84" s="3181"/>
      <c r="L84" s="3181"/>
      <c r="M84" s="3181"/>
      <c r="N84" s="3181"/>
      <c r="O84" s="3181"/>
      <c r="P84" s="3181"/>
      <c r="Q84" s="3181"/>
      <c r="R84" s="3181"/>
      <c r="S84" s="3181"/>
      <c r="T84" s="3181"/>
      <c r="U84" s="3181"/>
      <c r="V84" s="3181"/>
      <c r="W84" s="3181"/>
      <c r="X84" s="3181"/>
      <c r="Y84" s="3181"/>
      <c r="Z84" s="3181"/>
      <c r="AA84" s="3181"/>
      <c r="AB84" s="3181"/>
      <c r="AC84" s="3181"/>
      <c r="AD84" s="3181"/>
      <c r="AE84" s="3181"/>
      <c r="AF84" s="3181"/>
      <c r="AG84" s="3182"/>
      <c r="AH84" s="5866"/>
      <c r="AI84" s="5655"/>
    </row>
    <row r="85" ht="11.25" customHeight="1">
      <c r="A85" s="5650"/>
      <c r="B85" s="5864"/>
      <c r="C85" s="5867"/>
      <c r="D85" s="5868"/>
      <c r="E85" s="114"/>
      <c r="F85" s="3185"/>
      <c r="G85" s="3185"/>
      <c r="H85" s="3185"/>
      <c r="I85" s="3185"/>
      <c r="J85" s="3185"/>
      <c r="K85" s="3185"/>
      <c r="L85" s="3185"/>
      <c r="M85" s="3185"/>
      <c r="N85" s="3185"/>
      <c r="O85" s="3185"/>
      <c r="P85" s="3185"/>
      <c r="Q85" s="3185"/>
      <c r="R85" s="3185"/>
      <c r="S85" s="3185"/>
      <c r="T85" s="3185"/>
      <c r="U85" s="3185"/>
      <c r="V85" s="3185"/>
      <c r="W85" s="3185"/>
      <c r="X85" s="3185"/>
      <c r="Y85" s="3185"/>
      <c r="Z85" s="3185"/>
      <c r="AA85" s="3185"/>
      <c r="AB85" s="3185"/>
      <c r="AC85" s="3185"/>
      <c r="AD85" s="3185"/>
      <c r="AE85" s="3185"/>
      <c r="AF85" s="3185"/>
      <c r="AG85" s="3186"/>
      <c r="AH85" s="5866"/>
      <c r="AI85" s="5655"/>
    </row>
    <row r="86" ht="3.75" customHeight="1">
      <c r="A86" s="5650"/>
      <c r="B86" s="5864"/>
      <c r="C86" s="5867"/>
      <c r="D86" s="5868"/>
      <c r="E86" s="5948"/>
      <c r="F86" s="5948"/>
      <c r="G86" s="5948"/>
      <c r="H86" s="5948"/>
      <c r="I86" s="5869"/>
      <c r="J86" s="5948"/>
      <c r="K86" s="5948"/>
      <c r="L86" s="5948"/>
      <c r="M86" s="5948"/>
      <c r="N86" s="5869"/>
      <c r="O86" s="5948"/>
      <c r="P86" s="5948"/>
      <c r="Q86" s="5948"/>
      <c r="R86" s="5948"/>
      <c r="S86" s="5869"/>
      <c r="T86" s="5948"/>
      <c r="U86" s="5948"/>
      <c r="V86" s="5948"/>
      <c r="W86" s="5948"/>
      <c r="X86" s="5869"/>
      <c r="Y86" s="5948"/>
      <c r="Z86" s="5948"/>
      <c r="AA86" s="5948"/>
      <c r="AB86" s="5948"/>
      <c r="AC86" s="5869"/>
      <c r="AD86" s="5948"/>
      <c r="AE86" s="5948"/>
      <c r="AF86" s="5948"/>
      <c r="AG86" s="5948"/>
      <c r="AH86" s="5866"/>
      <c r="AI86" s="5655"/>
    </row>
    <row r="87" ht="96.75" customHeight="1">
      <c r="A87" s="5650"/>
      <c r="B87" s="5864"/>
      <c r="C87" s="5870" t="str">
        <f>IMAGE("https://i.ibb.co/Q9fb5Tk/Bruno.png")</f>
        <v/>
      </c>
      <c r="D87" s="5949"/>
      <c r="E87" s="5872" t="str">
        <f t="array" ref="E87">IFERROR(VLOOKUP(E88,Dex!$B$3:$G291,3,FALSE),"")</f>
        <v/>
      </c>
      <c r="F87" s="1830"/>
      <c r="G87" s="1830"/>
      <c r="H87" s="1831"/>
      <c r="I87" s="5950"/>
      <c r="J87" s="5872" t="str">
        <f t="array" ref="J87">IFERROR(VLOOKUP(J88,Dex!$B$3:$G291,3,FALSE),"")</f>
        <v/>
      </c>
      <c r="K87" s="1830"/>
      <c r="L87" s="1830"/>
      <c r="M87" s="1831"/>
      <c r="N87" s="5950"/>
      <c r="O87" s="5872" t="str">
        <f t="array" ref="O87">IFERROR(VLOOKUP(O88,Dex!$B$3:$G291,3,FALSE),"")</f>
        <v/>
      </c>
      <c r="P87" s="1830"/>
      <c r="Q87" s="1830"/>
      <c r="R87" s="1831"/>
      <c r="S87" s="5950"/>
      <c r="T87" s="5872" t="str">
        <f t="array" ref="T87">IFERROR(VLOOKUP(T88,Dex!$B$3:$G291,3,FALSE),"")</f>
        <v/>
      </c>
      <c r="U87" s="1830"/>
      <c r="V87" s="1830"/>
      <c r="W87" s="1831"/>
      <c r="X87" s="5950"/>
      <c r="Y87" s="5872" t="str">
        <f t="array" ref="Y87">IFERROR(VLOOKUP(Y88,Dex!$B$3:$G291,3,FALSE),"")</f>
        <v/>
      </c>
      <c r="Z87" s="1830"/>
      <c r="AA87" s="1830"/>
      <c r="AB87" s="1831"/>
      <c r="AC87" s="5950"/>
      <c r="AD87" s="5872" t="str">
        <f t="array" ref="AD87">IFERROR(VLOOKUP(AD88,Dex!$B$3:$G291,3,FALSE),"")</f>
        <v/>
      </c>
      <c r="AE87" s="1830"/>
      <c r="AF87" s="1830"/>
      <c r="AG87" s="1831"/>
      <c r="AH87" s="5951"/>
      <c r="AI87" s="5655"/>
    </row>
    <row r="88" ht="18.75" customHeight="1">
      <c r="A88" s="5669"/>
      <c r="B88" s="5874"/>
      <c r="C88" s="5875" t="s">
        <v>1442</v>
      </c>
      <c r="D88" s="5952"/>
      <c r="E88" s="5877" t="s">
        <v>890</v>
      </c>
      <c r="F88" s="5878"/>
      <c r="G88" s="5878"/>
      <c r="H88" s="5879"/>
      <c r="J88" s="5877" t="s">
        <v>1376</v>
      </c>
      <c r="K88" s="5878"/>
      <c r="L88" s="5878"/>
      <c r="M88" s="5879"/>
      <c r="O88" s="5877" t="s">
        <v>1443</v>
      </c>
      <c r="P88" s="5878"/>
      <c r="Q88" s="5878"/>
      <c r="R88" s="5879"/>
      <c r="T88" s="5877" t="s">
        <v>326</v>
      </c>
      <c r="U88" s="5878"/>
      <c r="V88" s="5878"/>
      <c r="W88" s="5879"/>
      <c r="Y88" s="5877" t="s">
        <v>1434</v>
      </c>
      <c r="Z88" s="5878"/>
      <c r="AA88" s="5878"/>
      <c r="AB88" s="5879"/>
      <c r="AD88" s="5877" t="s">
        <v>1435</v>
      </c>
      <c r="AE88" s="5878"/>
      <c r="AF88" s="5878"/>
      <c r="AG88" s="5879"/>
      <c r="AH88" s="5953"/>
      <c r="AI88" s="5678"/>
    </row>
    <row r="89">
      <c r="A89" s="5679"/>
      <c r="B89" s="5882"/>
      <c r="C89" s="326"/>
      <c r="D89" s="5954"/>
      <c r="E89" s="5884">
        <v>85.0</v>
      </c>
      <c r="F89" s="5885"/>
      <c r="G89" s="5885"/>
      <c r="H89" s="5886"/>
      <c r="J89" s="5884">
        <v>85.0</v>
      </c>
      <c r="K89" s="5885"/>
      <c r="L89" s="5885"/>
      <c r="M89" s="5886"/>
      <c r="O89" s="5884">
        <v>85.0</v>
      </c>
      <c r="P89" s="5885"/>
      <c r="Q89" s="5885"/>
      <c r="R89" s="5886"/>
      <c r="T89" s="5884">
        <v>85.0</v>
      </c>
      <c r="U89" s="5885"/>
      <c r="V89" s="5885"/>
      <c r="W89" s="5886"/>
      <c r="Y89" s="5884">
        <v>85.0</v>
      </c>
      <c r="Z89" s="5885"/>
      <c r="AA89" s="5885"/>
      <c r="AB89" s="5886"/>
      <c r="AD89" s="5884">
        <v>85.0</v>
      </c>
      <c r="AE89" s="5885"/>
      <c r="AF89" s="5885"/>
      <c r="AG89" s="5886"/>
      <c r="AH89" s="5955"/>
      <c r="AI89" s="5686"/>
    </row>
    <row r="90" ht="25.5" customHeight="1">
      <c r="A90" s="5650"/>
      <c r="B90" s="5864"/>
      <c r="C90" s="5888"/>
      <c r="D90" s="5868"/>
      <c r="E90" s="5889"/>
      <c r="F90" s="5890" t="str">
        <f t="array" ref="F90">IFERROR(VLOOKUP(E88,Dex!$B$3:$H291,5,FALSE),"")</f>
        <v/>
      </c>
      <c r="G90" s="5891" t="str">
        <f t="array" ref="G90">IFERROR(VLOOKUP(E88,Dex!$B$3:$H291,7,FALSE),"")</f>
        <v/>
      </c>
      <c r="H90" s="5892"/>
      <c r="J90" s="5889"/>
      <c r="K90" s="5890" t="str">
        <f t="array" ref="K90">IFERROR(VLOOKUP(J88,Dex!$B$3:$H291,5,FALSE),"")</f>
        <v/>
      </c>
      <c r="L90" s="5891" t="str">
        <f t="array" ref="L90">IFERROR(VLOOKUP(J88,Dex!$B$3:$H291,7,FALSE),"")</f>
        <v/>
      </c>
      <c r="M90" s="5892"/>
      <c r="O90" s="5889"/>
      <c r="P90" s="5890" t="str">
        <f t="array" ref="P90">IFERROR(VLOOKUP(O88,Dex!$B$3:$H291,5,FALSE),"")</f>
        <v/>
      </c>
      <c r="Q90" s="5891" t="str">
        <f t="array" ref="Q90">IFERROR(VLOOKUP(O88,Dex!$B$3:$H291,7,FALSE),"")</f>
        <v/>
      </c>
      <c r="R90" s="5892"/>
      <c r="T90" s="5889"/>
      <c r="U90" s="5890" t="str">
        <f t="array" ref="U90">IFERROR(VLOOKUP(T88,Dex!$B$3:$H291,5,FALSE),"")</f>
        <v/>
      </c>
      <c r="V90" s="5891" t="str">
        <f t="array" ref="V90">IFERROR(VLOOKUP(T88,Dex!$B$3:$H291,7,FALSE),"")</f>
        <v/>
      </c>
      <c r="W90" s="5892"/>
      <c r="Y90" s="5889"/>
      <c r="Z90" s="5890" t="str">
        <f t="array" ref="Z90">IFERROR(VLOOKUP(Y88,Dex!$B$3:$H291,5,FALSE),"")</f>
        <v/>
      </c>
      <c r="AA90" s="5891" t="str">
        <f t="array" ref="AA90">IFERROR(VLOOKUP(Y88,Dex!$B$3:$H291,7,FALSE),"")</f>
        <v/>
      </c>
      <c r="AB90" s="5892"/>
      <c r="AD90" s="5889"/>
      <c r="AE90" s="5890" t="str">
        <f t="array" ref="AE90">IFERROR(VLOOKUP(AD88,Dex!$B$3:$H291,5,FALSE),"")</f>
        <v/>
      </c>
      <c r="AF90" s="5891" t="str">
        <f t="array" ref="AF90">IFERROR(VLOOKUP(AD88,Dex!$B$3:$H291,7,FALSE),"")</f>
        <v/>
      </c>
      <c r="AG90" s="5892"/>
      <c r="AH90" s="5866"/>
      <c r="AI90" s="5655"/>
    </row>
    <row r="91" ht="2.25" customHeight="1">
      <c r="A91" s="5650"/>
      <c r="B91" s="5864"/>
      <c r="C91" s="5880"/>
      <c r="D91" s="5868"/>
      <c r="E91" s="5893"/>
      <c r="F91" s="5894"/>
      <c r="G91" s="5894"/>
      <c r="H91" s="5895"/>
      <c r="J91" s="5893"/>
      <c r="K91" s="5894"/>
      <c r="L91" s="5894"/>
      <c r="M91" s="5895"/>
      <c r="O91" s="5893"/>
      <c r="P91" s="5894"/>
      <c r="Q91" s="5894"/>
      <c r="R91" s="5895"/>
      <c r="T91" s="5893"/>
      <c r="U91" s="5894"/>
      <c r="V91" s="5894"/>
      <c r="W91" s="5895"/>
      <c r="Y91" s="5893"/>
      <c r="Z91" s="5894"/>
      <c r="AA91" s="5894"/>
      <c r="AB91" s="5895"/>
      <c r="AD91" s="5893"/>
      <c r="AE91" s="5894"/>
      <c r="AF91" s="5894"/>
      <c r="AG91" s="5895"/>
      <c r="AH91" s="5866"/>
      <c r="AI91" s="5655"/>
    </row>
    <row r="92" ht="20.25" customHeight="1">
      <c r="A92" s="5650"/>
      <c r="B92" s="5864"/>
      <c r="C92" s="5880"/>
      <c r="D92" s="5956"/>
      <c r="E92" s="5896" t="s">
        <v>172</v>
      </c>
      <c r="F92" s="5897"/>
      <c r="G92" s="5897"/>
      <c r="H92" s="5898"/>
      <c r="J92" s="5896" t="s">
        <v>172</v>
      </c>
      <c r="K92" s="5897"/>
      <c r="L92" s="5897"/>
      <c r="M92" s="5898"/>
      <c r="O92" s="5896" t="s">
        <v>205</v>
      </c>
      <c r="P92" s="5897"/>
      <c r="Q92" s="5897"/>
      <c r="R92" s="5898"/>
      <c r="T92" s="5896" t="s">
        <v>205</v>
      </c>
      <c r="U92" s="5897"/>
      <c r="V92" s="5897"/>
      <c r="W92" s="5898"/>
      <c r="Y92" s="5896" t="s">
        <v>172</v>
      </c>
      <c r="Z92" s="5897"/>
      <c r="AA92" s="5897"/>
      <c r="AB92" s="5898"/>
      <c r="AD92" s="5896" t="s">
        <v>172</v>
      </c>
      <c r="AE92" s="5897"/>
      <c r="AF92" s="5897"/>
      <c r="AG92" s="5898"/>
      <c r="AH92" s="5951"/>
      <c r="AI92" s="5655"/>
    </row>
    <row r="93">
      <c r="A93" s="5650"/>
      <c r="B93" s="5864"/>
      <c r="C93" s="5880"/>
      <c r="D93" s="5956"/>
      <c r="E93" s="5899" t="s">
        <v>690</v>
      </c>
      <c r="F93" s="5900"/>
      <c r="G93" s="5900"/>
      <c r="H93" s="5901"/>
      <c r="J93" s="5899" t="s">
        <v>1379</v>
      </c>
      <c r="K93" s="5900"/>
      <c r="L93" s="5900"/>
      <c r="M93" s="5901"/>
      <c r="O93" s="5899" t="s">
        <v>1014</v>
      </c>
      <c r="P93" s="5900"/>
      <c r="Q93" s="5900"/>
      <c r="R93" s="5901"/>
      <c r="T93" s="5899" t="s">
        <v>332</v>
      </c>
      <c r="U93" s="5900"/>
      <c r="V93" s="5900"/>
      <c r="W93" s="5901"/>
      <c r="Y93" s="5899" t="s">
        <v>1436</v>
      </c>
      <c r="Z93" s="5900"/>
      <c r="AA93" s="5900"/>
      <c r="AB93" s="5901"/>
      <c r="AD93" s="5899" t="s">
        <v>1444</v>
      </c>
      <c r="AE93" s="5900"/>
      <c r="AF93" s="5900"/>
      <c r="AG93" s="5901"/>
      <c r="AH93" s="5951"/>
      <c r="AI93" s="5655"/>
    </row>
    <row r="94" ht="20.25" customHeight="1">
      <c r="A94" s="5650"/>
      <c r="B94" s="5864"/>
      <c r="C94" s="5902"/>
      <c r="D94" s="5956"/>
      <c r="E94" s="5903" t="s">
        <v>240</v>
      </c>
      <c r="F94" s="5904"/>
      <c r="G94" s="5905"/>
      <c r="H94" s="5906" t="str">
        <f>IMAGE("https://raw.githubusercontent.com/msikma/pokesprite/master/items/hold-item/focus-sash.png",3)</f>
        <v/>
      </c>
      <c r="J94" s="5903" t="s">
        <v>846</v>
      </c>
      <c r="K94" s="5904"/>
      <c r="L94" s="5905"/>
      <c r="M94" s="5906" t="str">
        <f>IMAGE("https://raw.githubusercontent.com/msikma/pokesprite/master/items/hold-item/black-glasses.png",3)</f>
        <v/>
      </c>
      <c r="O94" s="5903" t="s">
        <v>917</v>
      </c>
      <c r="P94" s="5904"/>
      <c r="Q94" s="5905"/>
      <c r="R94" s="5906" t="str">
        <f>IMAGE("https://raw.githubusercontent.com/msikma/pokesprite/master/items/hold-item/throat-spray.png",3)</f>
        <v/>
      </c>
      <c r="T94" s="5903" t="s">
        <v>306</v>
      </c>
      <c r="U94" s="5904"/>
      <c r="V94" s="5905"/>
      <c r="W94" s="5906" t="str">
        <f>IMAGE("https://i.ibb.co/SK50ng3/booster.png",4,22,22)</f>
        <v/>
      </c>
      <c r="Y94" s="5903" t="s">
        <v>1438</v>
      </c>
      <c r="Z94" s="5904"/>
      <c r="AA94" s="5905"/>
      <c r="AB94" s="5906" t="str">
        <f>IMAGE("https://raw.githubusercontent.com/msikma/pokesprite/master/items/hold-item/rusted-sword.png",3)</f>
        <v/>
      </c>
      <c r="AD94" s="5903" t="s">
        <v>1439</v>
      </c>
      <c r="AE94" s="5904"/>
      <c r="AF94" s="5905"/>
      <c r="AG94" s="5906" t="str">
        <f>IMAGE("https://raw.githubusercontent.com/msikma/pokesprite/master/items/mega-stone/medichamite.png",3)</f>
        <v/>
      </c>
      <c r="AH94" s="5866"/>
      <c r="AI94" s="5655"/>
    </row>
    <row r="95" ht="20.25" customHeight="1">
      <c r="A95" s="5650"/>
      <c r="B95" s="5864"/>
      <c r="C95" s="5867"/>
      <c r="D95" s="5956"/>
      <c r="E95" s="5896" t="s">
        <v>406</v>
      </c>
      <c r="F95" s="5897"/>
      <c r="G95" s="5907"/>
      <c r="H95" s="5908" t="str">
        <f>IMAGE("https://raw.githubusercontent.com/msikma/pokesprite/master/misc/types/gen8/dark.png",4,20,20)</f>
        <v/>
      </c>
      <c r="J95" s="5896" t="s">
        <v>339</v>
      </c>
      <c r="K95" s="5897"/>
      <c r="L95" s="5907"/>
      <c r="M95" s="5908" t="str">
        <f>IMAGE("https://raw.githubusercontent.com/msikma/pokesprite/master/misc/types/gen8/dark.png",4,20,20)</f>
        <v/>
      </c>
      <c r="O95" s="5896" t="s">
        <v>1445</v>
      </c>
      <c r="P95" s="5897"/>
      <c r="Q95" s="5907"/>
      <c r="R95" s="5908" t="str">
        <f t="shared" ref="R95:R96" si="8">IMAGE("https://raw.githubusercontent.com/msikma/pokesprite/master/misc/types/gen8/dragon.png",4,20,20)</f>
        <v/>
      </c>
      <c r="T95" s="5896" t="s">
        <v>464</v>
      </c>
      <c r="U95" s="5897"/>
      <c r="V95" s="5907"/>
      <c r="W95" s="5908" t="str">
        <f>IMAGE("https://raw.githubusercontent.com/msikma/pokesprite/master/misc/types/gen8/fairy.png",4,20,20)</f>
        <v/>
      </c>
      <c r="Y95" s="5896" t="s">
        <v>489</v>
      </c>
      <c r="Z95" s="5897"/>
      <c r="AA95" s="5907"/>
      <c r="AB95" s="5908" t="str">
        <f>IMAGE("https://raw.githubusercontent.com/msikma/pokesprite/master/misc/types/gen8/normal.png",4,20,20)</f>
        <v/>
      </c>
      <c r="AD95" s="5896" t="s">
        <v>522</v>
      </c>
      <c r="AE95" s="5897"/>
      <c r="AF95" s="5907"/>
      <c r="AG95" s="5908" t="str">
        <f t="shared" ref="AG95:AG96" si="9">IMAGE("https://raw.githubusercontent.com/msikma/pokesprite/master/misc/types/gen8/steel.png",4,20,20)</f>
        <v/>
      </c>
      <c r="AH95" s="5866"/>
      <c r="AI95" s="5655"/>
    </row>
    <row r="96" ht="20.25" customHeight="1">
      <c r="A96" s="5650"/>
      <c r="B96" s="5864"/>
      <c r="C96" s="5867"/>
      <c r="D96" s="5956"/>
      <c r="E96" s="5899" t="s">
        <v>900</v>
      </c>
      <c r="F96" s="5900"/>
      <c r="G96" s="5909"/>
      <c r="H96" s="5910" t="str">
        <f>IMAGE("https://raw.githubusercontent.com/msikma/pokesprite/master/misc/types/gen8/fire.png",4,20,20)</f>
        <v/>
      </c>
      <c r="J96" s="5899" t="s">
        <v>489</v>
      </c>
      <c r="K96" s="5900"/>
      <c r="L96" s="5909"/>
      <c r="M96" s="5910" t="str">
        <f>IMAGE("https://raw.githubusercontent.com/msikma/pokesprite/master/misc/types/gen8/normal.png",4,20,20)</f>
        <v/>
      </c>
      <c r="O96" s="5899" t="s">
        <v>1446</v>
      </c>
      <c r="P96" s="5900"/>
      <c r="Q96" s="5909"/>
      <c r="R96" s="5910" t="str">
        <f t="shared" si="8"/>
        <v/>
      </c>
      <c r="T96" s="5899" t="s">
        <v>277</v>
      </c>
      <c r="U96" s="5900"/>
      <c r="V96" s="5909"/>
      <c r="W96" s="5910" t="str">
        <f>IMAGE("https://raw.githubusercontent.com/msikma/pokesprite/master/misc/types/gen8/electric.png",4,20,20)</f>
        <v/>
      </c>
      <c r="Y96" s="5899" t="s">
        <v>1440</v>
      </c>
      <c r="Z96" s="5900"/>
      <c r="AA96" s="5909"/>
      <c r="AB96" s="5910" t="str">
        <f>IMAGE("https://raw.githubusercontent.com/msikma/pokesprite/master/misc/types/gen8/steel.png",4,20,20)</f>
        <v/>
      </c>
      <c r="AD96" s="5899" t="s">
        <v>671</v>
      </c>
      <c r="AE96" s="5900"/>
      <c r="AF96" s="5909"/>
      <c r="AG96" s="5910" t="str">
        <f t="shared" si="9"/>
        <v/>
      </c>
      <c r="AH96" s="5866"/>
      <c r="AI96" s="5655"/>
    </row>
    <row r="97" ht="20.25" customHeight="1">
      <c r="A97" s="5650"/>
      <c r="B97" s="5864"/>
      <c r="C97" s="5867"/>
      <c r="D97" s="5956"/>
      <c r="E97" s="5899" t="s">
        <v>395</v>
      </c>
      <c r="F97" s="5900"/>
      <c r="G97" s="5909"/>
      <c r="H97" s="5910" t="str">
        <f>IMAGE("https://raw.githubusercontent.com/msikma/pokesprite/master/misc/types/gen8/rock.png",4,20,20)</f>
        <v/>
      </c>
      <c r="J97" s="5899" t="s">
        <v>316</v>
      </c>
      <c r="K97" s="5900"/>
      <c r="L97" s="5909"/>
      <c r="M97" s="5910" t="str">
        <f>IMAGE("https://raw.githubusercontent.com/msikma/pokesprite/master/misc/types/gen8/fighting.png",4,20,20)</f>
        <v/>
      </c>
      <c r="O97" s="5899" t="s">
        <v>375</v>
      </c>
      <c r="P97" s="5900"/>
      <c r="Q97" s="5909"/>
      <c r="R97" s="5910" t="str">
        <f>IMAGE("https://raw.githubusercontent.com/msikma/pokesprite/master/misc/types/gen8/fighting.png",4,20,20)</f>
        <v/>
      </c>
      <c r="T97" s="5899" t="s">
        <v>375</v>
      </c>
      <c r="U97" s="5900"/>
      <c r="V97" s="5909"/>
      <c r="W97" s="5910" t="str">
        <f>IMAGE("https://raw.githubusercontent.com/msikma/pokesprite/master/misc/types/gen8/fighting.png",4,20,20)</f>
        <v/>
      </c>
      <c r="Y97" s="5899" t="s">
        <v>316</v>
      </c>
      <c r="Z97" s="5900"/>
      <c r="AA97" s="5909"/>
      <c r="AB97" s="5910" t="str">
        <f>IMAGE("https://raw.githubusercontent.com/msikma/pokesprite/master/misc/types/gen8/fighting.png",4,20,20)</f>
        <v/>
      </c>
      <c r="AD97" s="5899" t="s">
        <v>316</v>
      </c>
      <c r="AE97" s="5900"/>
      <c r="AF97" s="5909"/>
      <c r="AG97" s="5910" t="str">
        <f>IMAGE("https://raw.githubusercontent.com/msikma/pokesprite/master/misc/types/gen8/fighting.png",4,20,20)</f>
        <v/>
      </c>
      <c r="AH97" s="5866"/>
      <c r="AI97" s="5655"/>
    </row>
    <row r="98" ht="21.0" customHeight="1">
      <c r="A98" s="5650"/>
      <c r="B98" s="5864"/>
      <c r="C98" s="5867"/>
      <c r="D98" s="5956"/>
      <c r="E98" s="5911" t="s">
        <v>316</v>
      </c>
      <c r="F98" s="5912"/>
      <c r="G98" s="5913"/>
      <c r="H98" s="5914" t="str">
        <f>IMAGE("https://raw.githubusercontent.com/msikma/pokesprite/master/misc/types/gen8/fighting.png",4,20,20)</f>
        <v/>
      </c>
      <c r="I98" s="5957"/>
      <c r="J98" s="5911" t="s">
        <v>541</v>
      </c>
      <c r="K98" s="5912"/>
      <c r="L98" s="5913"/>
      <c r="M98" s="5914" t="str">
        <f>IMAGE("https://raw.githubusercontent.com/msikma/pokesprite/master/misc/types/gen8/dark.png",4,20,20)</f>
        <v/>
      </c>
      <c r="N98" s="5957"/>
      <c r="O98" s="5911" t="s">
        <v>404</v>
      </c>
      <c r="P98" s="5912"/>
      <c r="Q98" s="5913"/>
      <c r="R98" s="5914" t="str">
        <f>IMAGE("https://raw.githubusercontent.com/msikma/pokesprite/master/misc/types/gen8/steel.png",4,20,20)</f>
        <v/>
      </c>
      <c r="S98" s="5957"/>
      <c r="T98" s="5911" t="s">
        <v>318</v>
      </c>
      <c r="U98" s="5912"/>
      <c r="V98" s="5913"/>
      <c r="W98" s="5914" t="str">
        <f>IMAGE("https://raw.githubusercontent.com/msikma/pokesprite/master/misc/types/gen8/ghost.png",4,20,20)</f>
        <v/>
      </c>
      <c r="X98" s="5957"/>
      <c r="Y98" s="5911" t="s">
        <v>435</v>
      </c>
      <c r="Z98" s="5912"/>
      <c r="AA98" s="5913"/>
      <c r="AB98" s="5914" t="str">
        <f>IMAGE("https://raw.githubusercontent.com/msikma/pokesprite/master/misc/types/gen8/electric.png",4,20,20)</f>
        <v/>
      </c>
      <c r="AC98" s="5957"/>
      <c r="AD98" s="5911" t="s">
        <v>489</v>
      </c>
      <c r="AE98" s="5912"/>
      <c r="AF98" s="5913"/>
      <c r="AG98" s="5914" t="str">
        <f>IMAGE("https://raw.githubusercontent.com/msikma/pokesprite/master/misc/types/gen8/normal.png",4,20,20)</f>
        <v/>
      </c>
      <c r="AH98" s="5866"/>
      <c r="AI98" s="5655"/>
    </row>
    <row r="99" ht="3.0" customHeight="1">
      <c r="A99" s="5716"/>
      <c r="B99" s="5915"/>
      <c r="C99" s="5916"/>
      <c r="D99" s="5917"/>
      <c r="E99" s="5958"/>
      <c r="F99" s="5958"/>
      <c r="G99" s="5958"/>
      <c r="H99" s="5918"/>
      <c r="I99" s="5868"/>
      <c r="J99" s="5958"/>
      <c r="K99" s="5958"/>
      <c r="L99" s="5958"/>
      <c r="M99" s="5918"/>
      <c r="N99" s="5868"/>
      <c r="O99" s="5958"/>
      <c r="P99" s="5958"/>
      <c r="Q99" s="5958"/>
      <c r="R99" s="5918"/>
      <c r="S99" s="5868"/>
      <c r="T99" s="5958"/>
      <c r="U99" s="5958"/>
      <c r="V99" s="5958"/>
      <c r="W99" s="5918"/>
      <c r="X99" s="5868"/>
      <c r="Y99" s="5959"/>
      <c r="Z99" s="5959"/>
      <c r="AA99" s="5959"/>
      <c r="AB99" s="5919"/>
      <c r="AC99" s="5919"/>
      <c r="AD99" s="5959"/>
      <c r="AE99" s="5959"/>
      <c r="AF99" s="5959"/>
      <c r="AG99" s="5919"/>
      <c r="AH99" s="5920"/>
      <c r="AI99" s="5725"/>
    </row>
    <row r="100" ht="16.5" customHeight="1">
      <c r="A100" s="5726"/>
      <c r="B100" s="5921"/>
      <c r="C100" s="5922"/>
      <c r="D100" s="5923"/>
      <c r="E100" s="5924" t="s">
        <v>190</v>
      </c>
      <c r="F100" s="381"/>
      <c r="G100" s="382"/>
      <c r="H100" s="5925" t="s">
        <v>191</v>
      </c>
      <c r="I100" s="5917"/>
      <c r="J100" s="5924" t="s">
        <v>190</v>
      </c>
      <c r="K100" s="381"/>
      <c r="L100" s="382"/>
      <c r="M100" s="5925" t="s">
        <v>191</v>
      </c>
      <c r="N100" s="5917"/>
      <c r="O100" s="5924" t="s">
        <v>190</v>
      </c>
      <c r="P100" s="381"/>
      <c r="Q100" s="382"/>
      <c r="R100" s="5925" t="s">
        <v>191</v>
      </c>
      <c r="S100" s="5917"/>
      <c r="T100" s="5924" t="s">
        <v>190</v>
      </c>
      <c r="U100" s="381"/>
      <c r="V100" s="382"/>
      <c r="W100" s="5925" t="s">
        <v>191</v>
      </c>
      <c r="X100" s="5917"/>
      <c r="Y100" s="5924" t="s">
        <v>190</v>
      </c>
      <c r="Z100" s="381"/>
      <c r="AA100" s="382"/>
      <c r="AB100" s="5925" t="s">
        <v>191</v>
      </c>
      <c r="AC100" s="5926"/>
      <c r="AD100" s="5924" t="s">
        <v>190</v>
      </c>
      <c r="AE100" s="381"/>
      <c r="AF100" s="382"/>
      <c r="AG100" s="5925" t="s">
        <v>191</v>
      </c>
      <c r="AH100" s="5927"/>
      <c r="AI100" s="5735"/>
    </row>
    <row r="101" ht="16.5" customHeight="1">
      <c r="A101" s="5726"/>
      <c r="B101" s="5921"/>
      <c r="C101" s="5922"/>
      <c r="D101" s="5923"/>
      <c r="E101" s="5928" t="s">
        <v>192</v>
      </c>
      <c r="F101" s="5929">
        <f t="array" ref="F101">IFERROR(VLOOKUP(E88,Dex!$B$3:$N291,8,FALSE),"")</f>
        <v>76</v>
      </c>
      <c r="G101" s="5930" t="str">
        <f t="array" ref="G101">IFERROR(VLOOKUP(F101,Dex!$P$22:$Q$276,2,FALSE),"")</f>
        <v/>
      </c>
      <c r="H101" s="5931"/>
      <c r="I101" s="5923"/>
      <c r="J101" s="5928" t="s">
        <v>192</v>
      </c>
      <c r="K101" s="5929">
        <f t="array" ref="K101">IFERROR(VLOOKUP(J88,Dex!$B$3:$N291,8,FALSE),"")</f>
        <v>100</v>
      </c>
      <c r="L101" s="5930" t="str">
        <f t="array" ref="L101">IFERROR(VLOOKUP(K101,Dex!$P$22:$Q$276,2,FALSE),"")</f>
        <v/>
      </c>
      <c r="M101" s="5931"/>
      <c r="N101" s="5923"/>
      <c r="O101" s="5928" t="s">
        <v>192</v>
      </c>
      <c r="P101" s="5929">
        <f t="array" ref="P101">IFERROR(VLOOKUP(O88,Dex!$B$3:$N291,8,FALSE),"")</f>
        <v>75</v>
      </c>
      <c r="Q101" s="5930" t="str">
        <f t="array" ref="Q101">IFERROR(VLOOKUP(P101,Dex!$P$22:$Q$276,2,FALSE),"")</f>
        <v/>
      </c>
      <c r="R101" s="5931"/>
      <c r="S101" s="5923"/>
      <c r="T101" s="5928" t="s">
        <v>192</v>
      </c>
      <c r="U101" s="5929">
        <f t="array" ref="U101">IFERROR(VLOOKUP(T88,Dex!$B$3:$N291,8,FALSE),"")</f>
        <v>74</v>
      </c>
      <c r="V101" s="5930" t="str">
        <f t="array" ref="V101">IFERROR(VLOOKUP(U101,Dex!$P$22:$Q$276,2,FALSE),"")</f>
        <v/>
      </c>
      <c r="W101" s="5931"/>
      <c r="X101" s="5923"/>
      <c r="Y101" s="5928" t="s">
        <v>192</v>
      </c>
      <c r="Z101" s="5929">
        <f t="array" ref="Z101">IFERROR(VLOOKUP(Y88,Dex!$B$3:$N291,8,FALSE),"")</f>
        <v>92</v>
      </c>
      <c r="AA101" s="5930" t="str">
        <f t="array" ref="AA101">IFERROR(VLOOKUP(Z101,Dex!$P$22:$Q$276,2,FALSE),"")</f>
        <v/>
      </c>
      <c r="AB101" s="5931"/>
      <c r="AC101" s="5926"/>
      <c r="AD101" s="5928" t="s">
        <v>192</v>
      </c>
      <c r="AE101" s="5929">
        <f t="array" ref="AE101">IFERROR(VLOOKUP(AD88,Dex!$B$3:$N291,8,FALSE),"")</f>
        <v>70</v>
      </c>
      <c r="AF101" s="5930" t="str">
        <f t="array" ref="AF101">IFERROR(VLOOKUP(AE101,Dex!$P$22:$Q$276,2,FALSE),"")</f>
        <v/>
      </c>
      <c r="AG101" s="5931"/>
      <c r="AH101" s="5927"/>
      <c r="AI101" s="5735"/>
    </row>
    <row r="102" ht="16.5" customHeight="1">
      <c r="A102" s="5726"/>
      <c r="B102" s="5921"/>
      <c r="C102" s="5922"/>
      <c r="D102" s="5923"/>
      <c r="E102" s="5932" t="s">
        <v>193</v>
      </c>
      <c r="F102" s="5933">
        <f t="array" ref="F102">IFERROR(VLOOKUP(E88,Dex!$B$3:$N291,9,FALSE),"")</f>
        <v>110</v>
      </c>
      <c r="G102" s="5934" t="str">
        <f t="array" ref="G102">IFERROR(VLOOKUP(F102,Dex!$P$22:$Q$276,2,FALSE),"")</f>
        <v/>
      </c>
      <c r="H102" s="5935">
        <v>252.0</v>
      </c>
      <c r="I102" s="5923"/>
      <c r="J102" s="5932" t="s">
        <v>193</v>
      </c>
      <c r="K102" s="5933">
        <f t="array" ref="K102">IFERROR(VLOOKUP(J88,Dex!$B$3:$N291,9,FALSE),"")</f>
        <v>130</v>
      </c>
      <c r="L102" s="5934" t="str">
        <f t="array" ref="L102">IFERROR(VLOOKUP(K102,Dex!$P$22:$Q$276,2,FALSE),"")</f>
        <v/>
      </c>
      <c r="M102" s="5935">
        <v>252.0</v>
      </c>
      <c r="N102" s="5923"/>
      <c r="O102" s="5932" t="s">
        <v>193</v>
      </c>
      <c r="P102" s="5933">
        <f t="array" ref="P102">IFERROR(VLOOKUP(O88,Dex!$B$3:$N291,9,FALSE),"")</f>
        <v>110</v>
      </c>
      <c r="Q102" s="5934" t="str">
        <f t="array" ref="Q102">IFERROR(VLOOKUP(P102,Dex!$P$22:$Q$276,2,FALSE),"")</f>
        <v/>
      </c>
      <c r="R102" s="5935"/>
      <c r="S102" s="5923"/>
      <c r="T102" s="5932" t="s">
        <v>193</v>
      </c>
      <c r="U102" s="5933">
        <f t="array" ref="U102">IFERROR(VLOOKUP(T88,Dex!$B$3:$N291,9,FALSE),"")</f>
        <v>130</v>
      </c>
      <c r="V102" s="5934" t="str">
        <f t="array" ref="V102">IFERROR(VLOOKUP(U102,Dex!$P$22:$Q$276,2,FALSE),"")</f>
        <v/>
      </c>
      <c r="W102" s="5935"/>
      <c r="X102" s="5923"/>
      <c r="Y102" s="5932" t="s">
        <v>193</v>
      </c>
      <c r="Z102" s="5933">
        <f t="array" ref="Z102">IFERROR(VLOOKUP(Y88,Dex!$B$3:$N291,9,FALSE),"")</f>
        <v>150</v>
      </c>
      <c r="AA102" s="5934" t="str">
        <f t="array" ref="AA102">IFERROR(VLOOKUP(Z102,Dex!$P$22:$Q$276,2,FALSE),"")</f>
        <v/>
      </c>
      <c r="AB102" s="5935">
        <v>252.0</v>
      </c>
      <c r="AC102" s="5926"/>
      <c r="AD102" s="5932" t="s">
        <v>193</v>
      </c>
      <c r="AE102" s="5933">
        <f t="array" ref="AE102">IFERROR(VLOOKUP(AD88,Dex!$B$3:$N291,9,FALSE),"")</f>
        <v>145</v>
      </c>
      <c r="AF102" s="5934" t="str">
        <f t="array" ref="AF102">IFERROR(VLOOKUP(AE102,Dex!$P$22:$Q$276,2,FALSE),"")</f>
        <v/>
      </c>
      <c r="AG102" s="5935">
        <v>252.0</v>
      </c>
      <c r="AH102" s="5927"/>
      <c r="AI102" s="5735"/>
    </row>
    <row r="103" ht="16.5" customHeight="1">
      <c r="A103" s="5726"/>
      <c r="B103" s="5921"/>
      <c r="C103" s="5922"/>
      <c r="D103" s="5923"/>
      <c r="E103" s="5932" t="s">
        <v>194</v>
      </c>
      <c r="F103" s="5933">
        <f t="array" ref="F103">IFERROR(VLOOKUP(E88,Dex!$B$3:$N291,10,FALSE),"")</f>
        <v>71</v>
      </c>
      <c r="G103" s="5934" t="str">
        <f t="array" ref="G103">IFERROR(VLOOKUP(F103,Dex!$P$22:$Q$276,2,FALSE),"")</f>
        <v/>
      </c>
      <c r="H103" s="5931">
        <v>4.0</v>
      </c>
      <c r="I103" s="5923"/>
      <c r="J103" s="5932" t="s">
        <v>194</v>
      </c>
      <c r="K103" s="5933">
        <f t="array" ref="K103">IFERROR(VLOOKUP(J88,Dex!$B$3:$N291,10,FALSE),"")</f>
        <v>100</v>
      </c>
      <c r="L103" s="5934" t="str">
        <f t="array" ref="L103">IFERROR(VLOOKUP(K103,Dex!$P$22:$Q$276,2,FALSE),"")</f>
        <v/>
      </c>
      <c r="M103" s="5931">
        <v>4.0</v>
      </c>
      <c r="N103" s="5923"/>
      <c r="O103" s="5932" t="s">
        <v>194</v>
      </c>
      <c r="P103" s="5933">
        <f t="array" ref="P103">IFERROR(VLOOKUP(O88,Dex!$B$3:$N291,10,FALSE),"")</f>
        <v>125</v>
      </c>
      <c r="Q103" s="5934" t="str">
        <f t="array" ref="Q103">IFERROR(VLOOKUP(P103,Dex!$P$22:$Q$276,2,FALSE),"")</f>
        <v/>
      </c>
      <c r="R103" s="5931">
        <v>4.0</v>
      </c>
      <c r="S103" s="5923"/>
      <c r="T103" s="5932" t="s">
        <v>194</v>
      </c>
      <c r="U103" s="5933">
        <f t="array" ref="U103">IFERROR(VLOOKUP(T88,Dex!$B$3:$N291,10,FALSE),"")</f>
        <v>90</v>
      </c>
      <c r="V103" s="5934" t="str">
        <f t="array" ref="V103">IFERROR(VLOOKUP(U103,Dex!$P$22:$Q$276,2,FALSE),"")</f>
        <v/>
      </c>
      <c r="W103" s="5931">
        <v>4.0</v>
      </c>
      <c r="X103" s="5923"/>
      <c r="Y103" s="5932" t="s">
        <v>194</v>
      </c>
      <c r="Z103" s="5933">
        <f t="array" ref="Z103">IFERROR(VLOOKUP(Y88,Dex!$B$3:$N291,10,FALSE),"")</f>
        <v>115</v>
      </c>
      <c r="AA103" s="5934" t="str">
        <f t="array" ref="AA103">IFERROR(VLOOKUP(Z103,Dex!$P$22:$Q$276,2,FALSE),"")</f>
        <v/>
      </c>
      <c r="AB103" s="5931">
        <v>4.0</v>
      </c>
      <c r="AC103" s="5926"/>
      <c r="AD103" s="5932" t="s">
        <v>194</v>
      </c>
      <c r="AE103" s="5933">
        <f t="array" ref="AE103">IFERROR(VLOOKUP(AD88,Dex!$B$3:$N291,10,FALSE),"")</f>
        <v>88</v>
      </c>
      <c r="AF103" s="5934" t="str">
        <f t="array" ref="AF103">IFERROR(VLOOKUP(AE103,Dex!$P$22:$Q$276,2,FALSE),"")</f>
        <v/>
      </c>
      <c r="AG103" s="5931">
        <v>4.0</v>
      </c>
      <c r="AH103" s="5927"/>
      <c r="AI103" s="5735"/>
    </row>
    <row r="104" ht="16.5" customHeight="1">
      <c r="A104" s="5726"/>
      <c r="B104" s="5921"/>
      <c r="C104" s="5922"/>
      <c r="D104" s="5923"/>
      <c r="E104" s="5932" t="s">
        <v>195</v>
      </c>
      <c r="F104" s="5933">
        <f t="array" ref="F104">IFERROR(VLOOKUP(E88,Dex!$B$3:$N291,11,FALSE),"")</f>
        <v>110</v>
      </c>
      <c r="G104" s="5934" t="str">
        <f t="array" ref="G104">IFERROR(VLOOKUP(F104,Dex!$P$22:$Q$276,2,FALSE),"")</f>
        <v/>
      </c>
      <c r="H104" s="5935"/>
      <c r="I104" s="5923"/>
      <c r="J104" s="5932" t="s">
        <v>195</v>
      </c>
      <c r="K104" s="5933">
        <f t="array" ref="K104">IFERROR(VLOOKUP(J88,Dex!$B$3:$N291,11,FALSE),"")</f>
        <v>63</v>
      </c>
      <c r="L104" s="5934" t="str">
        <f t="array" ref="L104">IFERROR(VLOOKUP(K104,Dex!$P$22:$Q$276,2,FALSE),"")</f>
        <v/>
      </c>
      <c r="M104" s="5935"/>
      <c r="N104" s="5923"/>
      <c r="O104" s="5932" t="s">
        <v>195</v>
      </c>
      <c r="P104" s="5933">
        <f t="array" ref="P104">IFERROR(VLOOKUP(O88,Dex!$B$3:$N291,11,FALSE),"")</f>
        <v>100</v>
      </c>
      <c r="Q104" s="5934" t="str">
        <f t="array" ref="Q104">IFERROR(VLOOKUP(P104,Dex!$P$22:$Q$276,2,FALSE),"")</f>
        <v/>
      </c>
      <c r="R104" s="5935">
        <v>252.0</v>
      </c>
      <c r="S104" s="5923"/>
      <c r="T104" s="5932" t="s">
        <v>195</v>
      </c>
      <c r="U104" s="5933">
        <f t="array" ref="U104">IFERROR(VLOOKUP(T88,Dex!$B$3:$N291,11,FALSE),"")</f>
        <v>120</v>
      </c>
      <c r="V104" s="5934" t="str">
        <f t="array" ref="V104">IFERROR(VLOOKUP(U104,Dex!$P$22:$Q$276,2,FALSE),"")</f>
        <v/>
      </c>
      <c r="W104" s="5935">
        <v>252.0</v>
      </c>
      <c r="X104" s="5923"/>
      <c r="Y104" s="5932" t="s">
        <v>195</v>
      </c>
      <c r="Z104" s="5933">
        <f t="array" ref="Z104">IFERROR(VLOOKUP(Y88,Dex!$B$3:$N291,11,FALSE),"")</f>
        <v>80</v>
      </c>
      <c r="AA104" s="5934" t="str">
        <f t="array" ref="AA104">IFERROR(VLOOKUP(Z104,Dex!$P$22:$Q$276,2,FALSE),"")</f>
        <v/>
      </c>
      <c r="AB104" s="5935"/>
      <c r="AC104" s="5926"/>
      <c r="AD104" s="5932" t="s">
        <v>195</v>
      </c>
      <c r="AE104" s="5933">
        <f t="array" ref="AE104">IFERROR(VLOOKUP(AD88,Dex!$B$3:$N291,11,FALSE),"")</f>
        <v>140</v>
      </c>
      <c r="AF104" s="5934" t="str">
        <f t="array" ref="AF104">IFERROR(VLOOKUP(AE104,Dex!$P$22:$Q$276,2,FALSE),"")</f>
        <v/>
      </c>
      <c r="AG104" s="5935"/>
      <c r="AH104" s="5927"/>
      <c r="AI104" s="5735"/>
    </row>
    <row r="105" ht="16.5" customHeight="1">
      <c r="A105" s="5726"/>
      <c r="B105" s="5921"/>
      <c r="C105" s="5922"/>
      <c r="D105" s="5923"/>
      <c r="E105" s="5932" t="s">
        <v>196</v>
      </c>
      <c r="F105" s="5933">
        <f t="array" ref="F105">IFERROR(VLOOKUP(E88,Dex!$B$3:$N291,12,FALSE),"")</f>
        <v>71</v>
      </c>
      <c r="G105" s="5934" t="str">
        <f t="array" ref="G105">IFERROR(VLOOKUP(F105,Dex!$P$22:$Q$276,2,FALSE),"")</f>
        <v/>
      </c>
      <c r="H105" s="5935"/>
      <c r="I105" s="5923"/>
      <c r="J105" s="5932" t="s">
        <v>196</v>
      </c>
      <c r="K105" s="5933">
        <f t="array" ref="K105">IFERROR(VLOOKUP(J88,Dex!$B$3:$N291,12,FALSE),"")</f>
        <v>60</v>
      </c>
      <c r="L105" s="5934" t="str">
        <f t="array" ref="L105">IFERROR(VLOOKUP(K105,Dex!$P$22:$Q$276,2,FALSE),"")</f>
        <v/>
      </c>
      <c r="M105" s="5935"/>
      <c r="N105" s="5923"/>
      <c r="O105" s="5932" t="s">
        <v>196</v>
      </c>
      <c r="P105" s="5933">
        <f t="array" ref="P105">IFERROR(VLOOKUP(O88,Dex!$B$3:$N291,12,FALSE),"")</f>
        <v>105</v>
      </c>
      <c r="Q105" s="5934" t="str">
        <f t="array" ref="Q105">IFERROR(VLOOKUP(P105,Dex!$P$22:$Q$276,2,FALSE),"")</f>
        <v/>
      </c>
      <c r="R105" s="5935"/>
      <c r="S105" s="5923"/>
      <c r="T105" s="5932" t="s">
        <v>196</v>
      </c>
      <c r="U105" s="5933">
        <f t="array" ref="U105">IFERROR(VLOOKUP(T88,Dex!$B$3:$N291,12,FALSE),"")</f>
        <v>60</v>
      </c>
      <c r="V105" s="5934" t="str">
        <f t="array" ref="V105">IFERROR(VLOOKUP(U105,Dex!$P$22:$Q$276,2,FALSE),"")</f>
        <v/>
      </c>
      <c r="W105" s="5935"/>
      <c r="X105" s="5923"/>
      <c r="Y105" s="5932" t="s">
        <v>196</v>
      </c>
      <c r="Z105" s="5933">
        <f t="array" ref="Z105">IFERROR(VLOOKUP(Y88,Dex!$B$3:$N291,12,FALSE),"")</f>
        <v>115</v>
      </c>
      <c r="AA105" s="5934" t="str">
        <f t="array" ref="AA105">IFERROR(VLOOKUP(Z105,Dex!$P$22:$Q$276,2,FALSE),"")</f>
        <v/>
      </c>
      <c r="AB105" s="5935"/>
      <c r="AC105" s="5926"/>
      <c r="AD105" s="5932" t="s">
        <v>196</v>
      </c>
      <c r="AE105" s="5933">
        <f t="array" ref="AE105">IFERROR(VLOOKUP(AD88,Dex!$B$3:$N291,12,FALSE),"")</f>
        <v>70</v>
      </c>
      <c r="AF105" s="5934" t="str">
        <f t="array" ref="AF105">IFERROR(VLOOKUP(AE105,Dex!$P$22:$Q$276,2,FALSE),"")</f>
        <v/>
      </c>
      <c r="AG105" s="5935"/>
      <c r="AH105" s="5927"/>
      <c r="AI105" s="5735"/>
    </row>
    <row r="106" ht="16.5" customHeight="1">
      <c r="A106" s="5726"/>
      <c r="B106" s="5921"/>
      <c r="C106" s="5922"/>
      <c r="D106" s="5923"/>
      <c r="E106" s="5936" t="s">
        <v>197</v>
      </c>
      <c r="F106" s="5937">
        <f t="array" ref="F106">IFERROR(VLOOKUP(E88,Dex!$B$3:$N291,13,FALSE),"")</f>
        <v>113</v>
      </c>
      <c r="G106" s="5938" t="str">
        <f t="array" ref="G106">IFERROR(VLOOKUP(F106,Dex!$P$22:$Q$276,2,FALSE),"")</f>
        <v/>
      </c>
      <c r="H106" s="5939">
        <v>252.0</v>
      </c>
      <c r="I106" s="5923"/>
      <c r="J106" s="5936" t="s">
        <v>197</v>
      </c>
      <c r="K106" s="5937">
        <f t="array" ref="K106">IFERROR(VLOOKUP(J88,Dex!$B$3:$N291,13,FALSE),"")</f>
        <v>97</v>
      </c>
      <c r="L106" s="5938" t="str">
        <f t="array" ref="L106">IFERROR(VLOOKUP(K106,Dex!$P$22:$Q$276,2,FALSE),"")</f>
        <v/>
      </c>
      <c r="M106" s="5939">
        <v>252.0</v>
      </c>
      <c r="N106" s="5923"/>
      <c r="O106" s="5936" t="s">
        <v>197</v>
      </c>
      <c r="P106" s="5937">
        <f t="array" ref="P106">IFERROR(VLOOKUP(O88,Dex!$B$3:$N291,13,FALSE),"")</f>
        <v>85</v>
      </c>
      <c r="Q106" s="5938" t="str">
        <f t="array" ref="Q106">IFERROR(VLOOKUP(P106,Dex!$P$22:$Q$276,2,FALSE),"")</f>
        <v/>
      </c>
      <c r="R106" s="5939">
        <v>252.0</v>
      </c>
      <c r="S106" s="5923"/>
      <c r="T106" s="5936" t="s">
        <v>197</v>
      </c>
      <c r="U106" s="5937">
        <f t="array" ref="U106">IFERROR(VLOOKUP(T88,Dex!$B$3:$N291,13,FALSE),"")</f>
        <v>116</v>
      </c>
      <c r="V106" s="5938" t="str">
        <f t="array" ref="V106">IFERROR(VLOOKUP(U106,Dex!$P$22:$Q$276,2,FALSE),"")</f>
        <v/>
      </c>
      <c r="W106" s="5939">
        <v>252.0</v>
      </c>
      <c r="X106" s="5923"/>
      <c r="Y106" s="5936" t="s">
        <v>197</v>
      </c>
      <c r="Z106" s="5937">
        <f t="array" ref="Z106">IFERROR(VLOOKUP(Y88,Dex!$B$3:$N291,13,FALSE),"")</f>
        <v>148</v>
      </c>
      <c r="AA106" s="5938" t="str">
        <f t="array" ref="AA106">IFERROR(VLOOKUP(Z106,Dex!$P$22:$Q$276,2,FALSE),"")</f>
        <v/>
      </c>
      <c r="AB106" s="5939">
        <v>252.0</v>
      </c>
      <c r="AC106" s="5926"/>
      <c r="AD106" s="5936" t="s">
        <v>197</v>
      </c>
      <c r="AE106" s="5937">
        <f t="array" ref="AE106">IFERROR(VLOOKUP(AD88,Dex!$B$3:$N291,13,FALSE),"")</f>
        <v>112</v>
      </c>
      <c r="AF106" s="5938" t="str">
        <f t="array" ref="AF106">IFERROR(VLOOKUP(AE106,Dex!$P$22:$Q$276,2,FALSE),"")</f>
        <v/>
      </c>
      <c r="AG106" s="5939">
        <v>252.0</v>
      </c>
      <c r="AH106" s="5927"/>
      <c r="AI106" s="5735"/>
    </row>
    <row r="107" ht="16.5" customHeight="1">
      <c r="A107" s="5726"/>
      <c r="B107" s="5921"/>
      <c r="C107" s="5922"/>
      <c r="D107" s="5923"/>
      <c r="E107" s="5940" t="s">
        <v>198</v>
      </c>
      <c r="F107" s="405"/>
      <c r="G107" s="406"/>
      <c r="H107" s="5941">
        <v>304.0</v>
      </c>
      <c r="I107" s="5923"/>
      <c r="J107" s="5940" t="s">
        <v>198</v>
      </c>
      <c r="K107" s="405"/>
      <c r="L107" s="406"/>
      <c r="M107" s="5941">
        <v>273.0</v>
      </c>
      <c r="N107" s="5942"/>
      <c r="O107" s="5940" t="s">
        <v>198</v>
      </c>
      <c r="P107" s="405"/>
      <c r="Q107" s="406"/>
      <c r="R107" s="5941">
        <v>251.0</v>
      </c>
      <c r="S107" s="5942"/>
      <c r="T107" s="5943" t="s">
        <v>198</v>
      </c>
      <c r="U107" s="918"/>
      <c r="V107" s="919"/>
      <c r="W107" s="5944">
        <v>310.0</v>
      </c>
      <c r="X107" s="5923"/>
      <c r="Y107" s="5940" t="s">
        <v>198</v>
      </c>
      <c r="Z107" s="405"/>
      <c r="AA107" s="406"/>
      <c r="AB107" s="5941">
        <v>369.0</v>
      </c>
      <c r="AC107" s="5926"/>
      <c r="AD107" s="5940" t="s">
        <v>198</v>
      </c>
      <c r="AE107" s="405"/>
      <c r="AF107" s="406"/>
      <c r="AG107" s="5941">
        <v>302.0</v>
      </c>
      <c r="AH107" s="5927"/>
      <c r="AI107" s="5735"/>
    </row>
    <row r="108" ht="16.5" customHeight="1">
      <c r="A108" s="5650"/>
      <c r="B108" s="5864"/>
      <c r="C108" s="5867"/>
      <c r="D108" s="5868"/>
      <c r="E108" s="5876"/>
      <c r="F108" s="5876"/>
      <c r="G108" s="5876"/>
      <c r="H108" s="5876"/>
      <c r="I108" s="5868"/>
      <c r="J108" s="5876"/>
      <c r="K108" s="5876"/>
      <c r="L108" s="5876"/>
      <c r="M108" s="5876"/>
      <c r="N108" s="5956"/>
      <c r="O108" s="5876"/>
      <c r="P108" s="5876"/>
      <c r="Q108" s="5876"/>
      <c r="R108" s="5876"/>
      <c r="S108" s="5868"/>
      <c r="T108" s="5945" t="s">
        <v>349</v>
      </c>
      <c r="U108" s="925"/>
      <c r="V108" s="926"/>
      <c r="W108" s="5946">
        <v>465.0</v>
      </c>
      <c r="X108" s="5868"/>
      <c r="Y108" s="5876"/>
      <c r="Z108" s="5876"/>
      <c r="AA108" s="5876"/>
      <c r="AB108" s="5876"/>
      <c r="AC108" s="5868"/>
      <c r="AD108" s="5876"/>
      <c r="AE108" s="5876"/>
      <c r="AF108" s="5876"/>
      <c r="AG108" s="5876"/>
      <c r="AH108" s="5866"/>
      <c r="AI108" s="5655"/>
    </row>
    <row r="109" ht="15.0" customHeight="1">
      <c r="A109" s="5650"/>
      <c r="B109" s="5960"/>
      <c r="C109" s="5961"/>
      <c r="D109" s="5962"/>
      <c r="E109" s="5963"/>
      <c r="F109" s="5963"/>
      <c r="G109" s="5963"/>
      <c r="H109" s="5963"/>
      <c r="I109" s="5962"/>
      <c r="J109" s="5963"/>
      <c r="K109" s="5963"/>
      <c r="L109" s="5963"/>
      <c r="M109" s="5963"/>
      <c r="N109" s="5962"/>
      <c r="O109" s="5963"/>
      <c r="P109" s="5963"/>
      <c r="Q109" s="5963"/>
      <c r="R109" s="5963"/>
      <c r="S109" s="5962"/>
      <c r="T109" s="5963"/>
      <c r="U109" s="5963"/>
      <c r="V109" s="5963"/>
      <c r="W109" s="5963"/>
      <c r="X109" s="5962"/>
      <c r="Y109" s="5963"/>
      <c r="Z109" s="5963"/>
      <c r="AA109" s="5963"/>
      <c r="AB109" s="5963"/>
      <c r="AC109" s="5962"/>
      <c r="AD109" s="5963"/>
      <c r="AE109" s="5963"/>
      <c r="AF109" s="5963"/>
      <c r="AG109" s="5963"/>
      <c r="AH109" s="5964"/>
      <c r="AI109" s="5655"/>
    </row>
    <row r="110" ht="15.0" customHeight="1">
      <c r="A110" s="5650"/>
      <c r="B110" s="5965"/>
      <c r="C110" s="5966"/>
      <c r="D110" s="5967"/>
      <c r="E110" s="5967"/>
      <c r="F110" s="5967"/>
      <c r="G110" s="5967"/>
      <c r="H110" s="5967"/>
      <c r="I110" s="5967"/>
      <c r="J110" s="5967"/>
      <c r="K110" s="5967"/>
      <c r="L110" s="5967"/>
      <c r="M110" s="5967"/>
      <c r="N110" s="5967"/>
      <c r="O110" s="5967"/>
      <c r="P110" s="5967"/>
      <c r="Q110" s="5967"/>
      <c r="R110" s="5967"/>
      <c r="S110" s="5967"/>
      <c r="T110" s="5967"/>
      <c r="U110" s="5967"/>
      <c r="V110" s="5967"/>
      <c r="W110" s="5967"/>
      <c r="X110" s="5967"/>
      <c r="Y110" s="5967"/>
      <c r="Z110" s="5967"/>
      <c r="AA110" s="5967"/>
      <c r="AB110" s="5967"/>
      <c r="AC110" s="5967"/>
      <c r="AD110" s="5967"/>
      <c r="AE110" s="5967"/>
      <c r="AF110" s="5967"/>
      <c r="AG110" s="5968"/>
      <c r="AH110" s="5969"/>
      <c r="AI110" s="5655"/>
    </row>
    <row r="111" ht="11.25" customHeight="1">
      <c r="A111" s="5650"/>
      <c r="B111" s="5970"/>
      <c r="C111" s="5971"/>
      <c r="D111" s="5972"/>
      <c r="E111" s="3180" t="s">
        <v>1432</v>
      </c>
      <c r="F111" s="3181"/>
      <c r="G111" s="3181"/>
      <c r="H111" s="3181"/>
      <c r="I111" s="3181"/>
      <c r="J111" s="3181"/>
      <c r="K111" s="3181"/>
      <c r="L111" s="3181"/>
      <c r="M111" s="3181"/>
      <c r="N111" s="3181"/>
      <c r="O111" s="3181"/>
      <c r="P111" s="3181"/>
      <c r="Q111" s="3181"/>
      <c r="R111" s="3181"/>
      <c r="S111" s="3181"/>
      <c r="T111" s="3181"/>
      <c r="U111" s="3181"/>
      <c r="V111" s="3181"/>
      <c r="W111" s="3181"/>
      <c r="X111" s="3181"/>
      <c r="Y111" s="3181"/>
      <c r="Z111" s="3181"/>
      <c r="AA111" s="3181"/>
      <c r="AB111" s="3181"/>
      <c r="AC111" s="3181"/>
      <c r="AD111" s="3181"/>
      <c r="AE111" s="3181"/>
      <c r="AF111" s="3181"/>
      <c r="AG111" s="3182"/>
      <c r="AH111" s="5973"/>
      <c r="AI111" s="5655"/>
    </row>
    <row r="112" ht="11.25" customHeight="1">
      <c r="A112" s="5650"/>
      <c r="B112" s="5970"/>
      <c r="C112" s="5971"/>
      <c r="D112" s="5972"/>
      <c r="E112" s="114"/>
      <c r="F112" s="3185"/>
      <c r="G112" s="3185"/>
      <c r="H112" s="3185"/>
      <c r="I112" s="3185"/>
      <c r="J112" s="3185"/>
      <c r="K112" s="3185"/>
      <c r="L112" s="3185"/>
      <c r="M112" s="3185"/>
      <c r="N112" s="3185"/>
      <c r="O112" s="3185"/>
      <c r="P112" s="3185"/>
      <c r="Q112" s="3185"/>
      <c r="R112" s="3185"/>
      <c r="S112" s="3185"/>
      <c r="T112" s="3185"/>
      <c r="U112" s="3185"/>
      <c r="V112" s="3185"/>
      <c r="W112" s="3185"/>
      <c r="X112" s="3185"/>
      <c r="Y112" s="3185"/>
      <c r="Z112" s="3185"/>
      <c r="AA112" s="3185"/>
      <c r="AB112" s="3185"/>
      <c r="AC112" s="3185"/>
      <c r="AD112" s="3185"/>
      <c r="AE112" s="3185"/>
      <c r="AF112" s="3185"/>
      <c r="AG112" s="3186"/>
      <c r="AH112" s="5973"/>
      <c r="AI112" s="5655"/>
    </row>
    <row r="113" ht="3.75" customHeight="1">
      <c r="A113" s="5650"/>
      <c r="B113" s="5970"/>
      <c r="C113" s="5971"/>
      <c r="D113" s="5972"/>
      <c r="E113" s="5974"/>
      <c r="F113" s="5974"/>
      <c r="G113" s="5974"/>
      <c r="H113" s="5974"/>
      <c r="I113" s="5974"/>
      <c r="J113" s="5974"/>
      <c r="K113" s="5974"/>
      <c r="L113" s="5974"/>
      <c r="M113" s="5974"/>
      <c r="N113" s="5974"/>
      <c r="O113" s="5974"/>
      <c r="P113" s="5974"/>
      <c r="Q113" s="5974"/>
      <c r="R113" s="5974"/>
      <c r="S113" s="5974"/>
      <c r="T113" s="5974"/>
      <c r="U113" s="5974"/>
      <c r="V113" s="5974"/>
      <c r="W113" s="5974"/>
      <c r="X113" s="5974"/>
      <c r="Y113" s="5974"/>
      <c r="Z113" s="5974"/>
      <c r="AA113" s="5974"/>
      <c r="AB113" s="5974"/>
      <c r="AC113" s="5974"/>
      <c r="AD113" s="5974"/>
      <c r="AE113" s="5974"/>
      <c r="AF113" s="5974"/>
      <c r="AG113" s="5974"/>
      <c r="AH113" s="5973"/>
      <c r="AI113" s="5655"/>
    </row>
    <row r="114" ht="96.75" customHeight="1">
      <c r="A114" s="5650"/>
      <c r="B114" s="5970"/>
      <c r="C114" s="5975" t="str">
        <f>IMAGE("https://i.ibb.co/rcFfMw3/Agatha.png")</f>
        <v/>
      </c>
      <c r="D114" s="5976"/>
      <c r="E114" s="5977" t="str">
        <f t="array" ref="E114">IFERROR(VLOOKUP(E115,Dex!$B$3:$G291,3,FALSE),"")</f>
        <v/>
      </c>
      <c r="F114" s="1830"/>
      <c r="G114" s="1830"/>
      <c r="H114" s="1831"/>
      <c r="I114" s="5978"/>
      <c r="J114" s="5977" t="str">
        <f t="array" ref="J114">IFERROR(VLOOKUP(J115,Dex!$B$3:$G291,3,FALSE),"")</f>
        <v/>
      </c>
      <c r="K114" s="1830"/>
      <c r="L114" s="1830"/>
      <c r="M114" s="1831"/>
      <c r="N114" s="5978"/>
      <c r="O114" s="5977" t="str">
        <f t="array" ref="O114">IFERROR(VLOOKUP(O115,Dex!$B$3:$G291,3,FALSE),"")</f>
        <v/>
      </c>
      <c r="P114" s="1830"/>
      <c r="Q114" s="1830"/>
      <c r="R114" s="1831"/>
      <c r="S114" s="5978"/>
      <c r="T114" s="5977" t="str">
        <f t="array" ref="T114">IFERROR(VLOOKUP(T115,Dex!$B$3:$G291,3,FALSE),"")</f>
        <v/>
      </c>
      <c r="U114" s="1830"/>
      <c r="V114" s="1830"/>
      <c r="W114" s="1831"/>
      <c r="X114" s="5978"/>
      <c r="Y114" s="5977" t="str">
        <f t="array" ref="Y114">IFERROR(VLOOKUP(Y115,Dex!$B$3:$G291,3,FALSE),"")</f>
        <v/>
      </c>
      <c r="Z114" s="1830"/>
      <c r="AA114" s="1830"/>
      <c r="AB114" s="1831"/>
      <c r="AC114" s="5978"/>
      <c r="AD114" s="5977" t="str">
        <f t="array" ref="AD114">IFERROR(VLOOKUP(AD115,Dex!$B$3:$G291,3,FALSE),"")</f>
        <v/>
      </c>
      <c r="AE114" s="1830"/>
      <c r="AF114" s="1830"/>
      <c r="AG114" s="1831"/>
      <c r="AH114" s="5973"/>
      <c r="AI114" s="5655"/>
    </row>
    <row r="115" ht="18.75" customHeight="1">
      <c r="A115" s="5669"/>
      <c r="B115" s="5979"/>
      <c r="C115" s="5980" t="s">
        <v>1447</v>
      </c>
      <c r="D115" s="5981"/>
      <c r="E115" s="5982" t="s">
        <v>570</v>
      </c>
      <c r="F115" s="5983"/>
      <c r="G115" s="5983"/>
      <c r="H115" s="5984"/>
      <c r="I115" s="5985"/>
      <c r="J115" s="5982" t="s">
        <v>910</v>
      </c>
      <c r="K115" s="5983"/>
      <c r="L115" s="5983"/>
      <c r="M115" s="5984"/>
      <c r="N115" s="5985"/>
      <c r="O115" s="5982" t="s">
        <v>1448</v>
      </c>
      <c r="P115" s="5983"/>
      <c r="Q115" s="5983"/>
      <c r="R115" s="5984"/>
      <c r="S115" s="5985"/>
      <c r="T115" s="5982" t="s">
        <v>384</v>
      </c>
      <c r="U115" s="5983"/>
      <c r="V115" s="5983"/>
      <c r="W115" s="5984"/>
      <c r="X115" s="5985"/>
      <c r="Y115" s="5982" t="s">
        <v>1449</v>
      </c>
      <c r="Z115" s="5983"/>
      <c r="AA115" s="5983"/>
      <c r="AB115" s="5984"/>
      <c r="AC115" s="5985"/>
      <c r="AD115" s="5982" t="s">
        <v>572</v>
      </c>
      <c r="AE115" s="5983"/>
      <c r="AF115" s="5983"/>
      <c r="AG115" s="5984"/>
      <c r="AH115" s="5986"/>
      <c r="AI115" s="5678"/>
    </row>
    <row r="116">
      <c r="A116" s="5679"/>
      <c r="B116" s="5987"/>
      <c r="C116" s="326"/>
      <c r="D116" s="5988"/>
      <c r="E116" s="5989">
        <v>85.0</v>
      </c>
      <c r="F116" s="5990"/>
      <c r="G116" s="5990"/>
      <c r="H116" s="5991"/>
      <c r="I116" s="5985"/>
      <c r="J116" s="5989">
        <v>85.0</v>
      </c>
      <c r="K116" s="5990"/>
      <c r="L116" s="5990"/>
      <c r="M116" s="5991"/>
      <c r="N116" s="5985"/>
      <c r="O116" s="5989">
        <v>85.0</v>
      </c>
      <c r="P116" s="5990"/>
      <c r="Q116" s="5990"/>
      <c r="R116" s="5991"/>
      <c r="S116" s="5985"/>
      <c r="T116" s="5989">
        <v>85.0</v>
      </c>
      <c r="U116" s="5990"/>
      <c r="V116" s="5990"/>
      <c r="W116" s="5991"/>
      <c r="X116" s="5985"/>
      <c r="Y116" s="5992" t="s">
        <v>420</v>
      </c>
      <c r="Z116" s="5990"/>
      <c r="AA116" s="5990"/>
      <c r="AB116" s="5991"/>
      <c r="AC116" s="5985"/>
      <c r="AD116" s="5992" t="s">
        <v>420</v>
      </c>
      <c r="AE116" s="5990"/>
      <c r="AF116" s="5990"/>
      <c r="AG116" s="5991"/>
      <c r="AH116" s="5993"/>
      <c r="AI116" s="5686"/>
    </row>
    <row r="117" ht="25.5" customHeight="1">
      <c r="A117" s="5650"/>
      <c r="B117" s="5970"/>
      <c r="C117" s="5994"/>
      <c r="D117" s="5972"/>
      <c r="E117" s="5995"/>
      <c r="F117" s="5996" t="str">
        <f t="array" ref="F117">IFERROR(VLOOKUP(E115,Dex!$B$3:$H291,5,FALSE),"")</f>
        <v/>
      </c>
      <c r="G117" s="5997" t="str">
        <f t="array" ref="G117">IFERROR(VLOOKUP(E115,Dex!$B$3:$H291,7,FALSE),"")</f>
        <v/>
      </c>
      <c r="H117" s="5998"/>
      <c r="I117" s="5985"/>
      <c r="J117" s="5995"/>
      <c r="K117" s="5996" t="str">
        <f t="array" ref="K117">IFERROR(VLOOKUP(J115,Dex!$B$3:$H291,5,FALSE),"")</f>
        <v/>
      </c>
      <c r="L117" s="5997" t="str">
        <f t="array" ref="L117">IFERROR(VLOOKUP(J115,Dex!$B$3:$H291,7,FALSE),"")</f>
        <v/>
      </c>
      <c r="M117" s="5998"/>
      <c r="N117" s="5985"/>
      <c r="O117" s="5995"/>
      <c r="P117" s="5996" t="str">
        <f t="array" ref="P117">IFERROR(VLOOKUP(O115,Dex!$B$3:$H291,5,FALSE),"")</f>
        <v/>
      </c>
      <c r="Q117" s="5997" t="str">
        <f t="array" ref="Q117">IFERROR(VLOOKUP(O115,Dex!$B$3:$H291,7,FALSE),"")</f>
        <v/>
      </c>
      <c r="R117" s="5998"/>
      <c r="S117" s="5985"/>
      <c r="T117" s="5995"/>
      <c r="U117" s="5996" t="str">
        <f t="array" ref="U117">IFERROR(VLOOKUP(T115,Dex!$B$3:$H291,5,FALSE),"")</f>
        <v/>
      </c>
      <c r="V117" s="5997" t="str">
        <f t="array" ref="V117">IFERROR(VLOOKUP(T115,Dex!$B$3:$H291,7,FALSE),"")</f>
        <v/>
      </c>
      <c r="W117" s="5998"/>
      <c r="X117" s="5985"/>
      <c r="Y117" s="5995"/>
      <c r="Z117" s="5996" t="str">
        <f t="array" ref="Z117">IFERROR(VLOOKUP(Y115,Dex!$B$3:$H291,5,FALSE),"")</f>
        <v/>
      </c>
      <c r="AA117" s="5997" t="str">
        <f t="array" ref="AA117">IFERROR(VLOOKUP(Y115,Dex!$B$3:$H291,7,FALSE),"")</f>
        <v/>
      </c>
      <c r="AB117" s="5998"/>
      <c r="AC117" s="5985"/>
      <c r="AD117" s="5995"/>
      <c r="AE117" s="5996" t="str">
        <f t="array" ref="AE117">IFERROR(VLOOKUP(AD115,Dex!$B$3:$H291,5,FALSE),"")</f>
        <v/>
      </c>
      <c r="AF117" s="5997" t="str">
        <f t="array" ref="AF117">IFERROR(VLOOKUP(AD115,Dex!$B$3:$H291,7,FALSE),"")</f>
        <v/>
      </c>
      <c r="AG117" s="5998"/>
      <c r="AH117" s="5973"/>
      <c r="AI117" s="5655"/>
    </row>
    <row r="118" ht="2.25" customHeight="1">
      <c r="A118" s="5650"/>
      <c r="B118" s="5970"/>
      <c r="C118" s="5985"/>
      <c r="D118" s="5972"/>
      <c r="E118" s="5999"/>
      <c r="F118" s="6000"/>
      <c r="G118" s="6000"/>
      <c r="H118" s="6001"/>
      <c r="I118" s="5985"/>
      <c r="J118" s="5999"/>
      <c r="K118" s="6000"/>
      <c r="L118" s="6000"/>
      <c r="M118" s="6001"/>
      <c r="N118" s="5985"/>
      <c r="O118" s="5999"/>
      <c r="P118" s="6000"/>
      <c r="Q118" s="6000"/>
      <c r="R118" s="6001"/>
      <c r="S118" s="5985"/>
      <c r="T118" s="5999"/>
      <c r="U118" s="6000"/>
      <c r="V118" s="6000"/>
      <c r="W118" s="6001"/>
      <c r="X118" s="5985"/>
      <c r="Y118" s="5999"/>
      <c r="Z118" s="6000"/>
      <c r="AA118" s="6000"/>
      <c r="AB118" s="6001"/>
      <c r="AC118" s="5985"/>
      <c r="AD118" s="5999"/>
      <c r="AE118" s="6000"/>
      <c r="AF118" s="6000"/>
      <c r="AG118" s="6001"/>
      <c r="AH118" s="5973"/>
      <c r="AI118" s="5655"/>
    </row>
    <row r="119" ht="20.25" customHeight="1">
      <c r="A119" s="5650"/>
      <c r="B119" s="5970"/>
      <c r="C119" s="5985"/>
      <c r="D119" s="5972"/>
      <c r="E119" s="6002" t="s">
        <v>205</v>
      </c>
      <c r="F119" s="6003"/>
      <c r="G119" s="6003"/>
      <c r="H119" s="6004"/>
      <c r="I119" s="5985"/>
      <c r="J119" s="6002" t="s">
        <v>205</v>
      </c>
      <c r="K119" s="6003"/>
      <c r="L119" s="6003"/>
      <c r="M119" s="6004"/>
      <c r="N119" s="5985"/>
      <c r="O119" s="6002" t="s">
        <v>172</v>
      </c>
      <c r="P119" s="6003"/>
      <c r="Q119" s="6003"/>
      <c r="R119" s="6004"/>
      <c r="S119" s="5985"/>
      <c r="T119" s="6002" t="s">
        <v>172</v>
      </c>
      <c r="U119" s="6003"/>
      <c r="V119" s="6003"/>
      <c r="W119" s="6004"/>
      <c r="X119" s="5985"/>
      <c r="Y119" s="6002" t="s">
        <v>205</v>
      </c>
      <c r="Z119" s="6003"/>
      <c r="AA119" s="6003"/>
      <c r="AB119" s="6004"/>
      <c r="AC119" s="5985"/>
      <c r="AD119" s="6002" t="s">
        <v>205</v>
      </c>
      <c r="AE119" s="6003"/>
      <c r="AF119" s="6003"/>
      <c r="AG119" s="6004"/>
      <c r="AH119" s="5973"/>
      <c r="AI119" s="5655"/>
    </row>
    <row r="120">
      <c r="A120" s="5650"/>
      <c r="B120" s="5970"/>
      <c r="C120" s="5985"/>
      <c r="D120" s="5972"/>
      <c r="E120" s="6005" t="s">
        <v>575</v>
      </c>
      <c r="F120" s="6006"/>
      <c r="G120" s="6006"/>
      <c r="H120" s="6007"/>
      <c r="I120" s="5985"/>
      <c r="J120" s="6005" t="s">
        <v>915</v>
      </c>
      <c r="K120" s="6006"/>
      <c r="L120" s="6006"/>
      <c r="M120" s="6007"/>
      <c r="N120" s="5985"/>
      <c r="O120" s="6005" t="s">
        <v>208</v>
      </c>
      <c r="P120" s="6006"/>
      <c r="Q120" s="6006"/>
      <c r="R120" s="6007"/>
      <c r="S120" s="5985"/>
      <c r="T120" s="6005" t="s">
        <v>301</v>
      </c>
      <c r="U120" s="6006"/>
      <c r="V120" s="6006"/>
      <c r="W120" s="6007"/>
      <c r="X120" s="5985"/>
      <c r="Y120" s="6005" t="s">
        <v>1450</v>
      </c>
      <c r="Z120" s="6006"/>
      <c r="AA120" s="6006"/>
      <c r="AB120" s="6007"/>
      <c r="AC120" s="5985"/>
      <c r="AD120" s="6005" t="s">
        <v>1451</v>
      </c>
      <c r="AE120" s="6006"/>
      <c r="AF120" s="6006"/>
      <c r="AG120" s="6007"/>
      <c r="AH120" s="5973"/>
      <c r="AI120" s="5655"/>
    </row>
    <row r="121" ht="20.25" customHeight="1">
      <c r="A121" s="5650"/>
      <c r="B121" s="5970"/>
      <c r="C121" s="6008"/>
      <c r="D121" s="5972"/>
      <c r="E121" s="6009" t="s">
        <v>240</v>
      </c>
      <c r="F121" s="6010"/>
      <c r="G121" s="6011"/>
      <c r="H121" s="6012" t="str">
        <f>IMAGE("https://raw.githubusercontent.com/msikma/pokesprite/master/items/hold-item/focus-sash.png",3)</f>
        <v/>
      </c>
      <c r="I121" s="5985"/>
      <c r="J121" s="6009" t="s">
        <v>177</v>
      </c>
      <c r="K121" s="6010"/>
      <c r="L121" s="6011"/>
      <c r="M121" s="6012" t="str">
        <f>IMAGE("https://raw.githubusercontent.com/msikma/pokesprite/master/items/hold-item/air-balloon.png",3)</f>
        <v/>
      </c>
      <c r="N121" s="5985"/>
      <c r="O121" s="6009" t="s">
        <v>240</v>
      </c>
      <c r="P121" s="6010"/>
      <c r="Q121" s="6011"/>
      <c r="R121" s="6012" t="str">
        <f>IMAGE("https://raw.githubusercontent.com/msikma/pokesprite/master/items/hold-item/focus-sash.png",3)</f>
        <v/>
      </c>
      <c r="S121" s="5985"/>
      <c r="T121" s="6009" t="s">
        <v>306</v>
      </c>
      <c r="U121" s="6010"/>
      <c r="V121" s="6011"/>
      <c r="W121" s="6012" t="str">
        <f>IMAGE("https://i.ibb.co/SK50ng3/booster.png",4,22,22)</f>
        <v/>
      </c>
      <c r="X121" s="5985"/>
      <c r="Y121" s="6009" t="s">
        <v>1057</v>
      </c>
      <c r="Z121" s="6010"/>
      <c r="AA121" s="6011"/>
      <c r="AB121" s="6012" t="str">
        <f>IMAGE("https://raw.githubusercontent.com/msikma/pokesprite/master/items/hold-item/charcoal.png",3)</f>
        <v/>
      </c>
      <c r="AC121" s="5985"/>
      <c r="AD121" s="6009" t="s">
        <v>580</v>
      </c>
      <c r="AE121" s="6010"/>
      <c r="AF121" s="6011"/>
      <c r="AG121" s="6012" t="str">
        <f>IMAGE("https://raw.githubusercontent.com/msikma/pokesprite/master/items/mega-stone/gengarite.png",3)</f>
        <v/>
      </c>
      <c r="AH121" s="5973"/>
      <c r="AI121" s="5655"/>
    </row>
    <row r="122" ht="20.25" customHeight="1">
      <c r="A122" s="5650"/>
      <c r="B122" s="5970"/>
      <c r="C122" s="5971"/>
      <c r="D122" s="5972"/>
      <c r="E122" s="6002" t="s">
        <v>406</v>
      </c>
      <c r="F122" s="6003"/>
      <c r="G122" s="6013"/>
      <c r="H122" s="6014" t="str">
        <f>IMAGE("https://raw.githubusercontent.com/msikma/pokesprite/master/misc/types/gen8/dark.png",4,20,20)</f>
        <v/>
      </c>
      <c r="I122" s="5985"/>
      <c r="J122" s="6002" t="s">
        <v>920</v>
      </c>
      <c r="K122" s="6003"/>
      <c r="L122" s="6013"/>
      <c r="M122" s="6014" t="str">
        <f>IMAGE("https://raw.githubusercontent.com/msikma/pokesprite/master/misc/types/gen8/steel.png",4,20,20)</f>
        <v/>
      </c>
      <c r="N122" s="5985"/>
      <c r="O122" s="6002" t="s">
        <v>244</v>
      </c>
      <c r="P122" s="6003"/>
      <c r="Q122" s="6013"/>
      <c r="R122" s="6014" t="str">
        <f t="shared" ref="R122:R123" si="10">IMAGE("https://raw.githubusercontent.com/msikma/pokesprite/master/misc/types/gen8/fighting.png",4,20,20)</f>
        <v/>
      </c>
      <c r="S122" s="5985"/>
      <c r="T122" s="6002" t="s">
        <v>396</v>
      </c>
      <c r="U122" s="6003"/>
      <c r="V122" s="6013"/>
      <c r="W122" s="6014" t="str">
        <f>IMAGE("https://raw.githubusercontent.com/msikma/pokesprite/master/misc/types/gen8/dragon.png",4,20,20)</f>
        <v/>
      </c>
      <c r="X122" s="5985"/>
      <c r="Y122" s="6002" t="s">
        <v>345</v>
      </c>
      <c r="Z122" s="6003"/>
      <c r="AA122" s="6013"/>
      <c r="AB122" s="6014" t="str">
        <f>IMAGE("https://raw.githubusercontent.com/msikma/pokesprite/master/misc/types/gen8/dark.png",4,20,20)</f>
        <v/>
      </c>
      <c r="AC122" s="5985"/>
      <c r="AD122" s="6002" t="s">
        <v>318</v>
      </c>
      <c r="AE122" s="6003"/>
      <c r="AF122" s="6013"/>
      <c r="AG122" s="6014" t="str">
        <f>IMAGE("https://raw.githubusercontent.com/msikma/pokesprite/master/misc/types/gen8/ghost.png",4,20,20)</f>
        <v/>
      </c>
      <c r="AH122" s="5973"/>
      <c r="AI122" s="5655"/>
    </row>
    <row r="123" ht="20.25" customHeight="1">
      <c r="A123" s="5650"/>
      <c r="B123" s="5970"/>
      <c r="C123" s="5971"/>
      <c r="D123" s="5972"/>
      <c r="E123" s="6005" t="s">
        <v>311</v>
      </c>
      <c r="F123" s="6006"/>
      <c r="G123" s="6015"/>
      <c r="H123" s="6016" t="str">
        <f>IMAGE("https://raw.githubusercontent.com/msikma/pokesprite/master/misc/types/gen8/normal.png",4,20,20)</f>
        <v/>
      </c>
      <c r="I123" s="5985"/>
      <c r="J123" s="6005" t="s">
        <v>252</v>
      </c>
      <c r="K123" s="6006"/>
      <c r="L123" s="6015"/>
      <c r="M123" s="6016" t="str">
        <f>IMAGE("https://raw.githubusercontent.com/msikma/pokesprite/master/misc/types/gen8/electric.png",4,20,20)</f>
        <v/>
      </c>
      <c r="N123" s="5985"/>
      <c r="O123" s="6005" t="s">
        <v>604</v>
      </c>
      <c r="P123" s="6006"/>
      <c r="Q123" s="6015"/>
      <c r="R123" s="6016" t="str">
        <f t="shared" si="10"/>
        <v/>
      </c>
      <c r="S123" s="5985"/>
      <c r="T123" s="6005" t="s">
        <v>279</v>
      </c>
      <c r="U123" s="6006"/>
      <c r="V123" s="6015"/>
      <c r="W123" s="6016" t="str">
        <f>IMAGE("https://raw.githubusercontent.com/msikma/pokesprite/master/misc/types/gen8/dark.png",4,20,20)</f>
        <v/>
      </c>
      <c r="X123" s="5985"/>
      <c r="Y123" s="6005" t="s">
        <v>372</v>
      </c>
      <c r="Z123" s="6006"/>
      <c r="AA123" s="6015"/>
      <c r="AB123" s="6016" t="str">
        <f>IMAGE("https://raw.githubusercontent.com/msikma/pokesprite/master/misc/types/gen8/fire.png",4,20,20)</f>
        <v/>
      </c>
      <c r="AC123" s="5985"/>
      <c r="AD123" s="6005" t="s">
        <v>405</v>
      </c>
      <c r="AE123" s="6006"/>
      <c r="AF123" s="6015"/>
      <c r="AG123" s="6016" t="str">
        <f>IMAGE("https://raw.githubusercontent.com/msikma/pokesprite/master/misc/types/gen8/poison.png",4,20,20)</f>
        <v/>
      </c>
      <c r="AH123" s="5973"/>
      <c r="AI123" s="5655"/>
    </row>
    <row r="124" ht="20.25" customHeight="1">
      <c r="A124" s="5650"/>
      <c r="B124" s="5970"/>
      <c r="C124" s="5971"/>
      <c r="D124" s="5972"/>
      <c r="E124" s="6005" t="s">
        <v>318</v>
      </c>
      <c r="F124" s="6006"/>
      <c r="G124" s="6015"/>
      <c r="H124" s="6016" t="str">
        <f>IMAGE("https://raw.githubusercontent.com/msikma/pokesprite/master/misc/types/gen8/ghost.png",4,20,20)</f>
        <v/>
      </c>
      <c r="I124" s="5985"/>
      <c r="J124" s="6005" t="s">
        <v>318</v>
      </c>
      <c r="K124" s="6006"/>
      <c r="L124" s="6015"/>
      <c r="M124" s="6016" t="str">
        <f>IMAGE("https://raw.githubusercontent.com/msikma/pokesprite/master/misc/types/gen8/ghost.png",4,20,20)</f>
        <v/>
      </c>
      <c r="N124" s="5985"/>
      <c r="O124" s="6005" t="s">
        <v>1452</v>
      </c>
      <c r="P124" s="6006"/>
      <c r="Q124" s="6015"/>
      <c r="R124" s="6016" t="str">
        <f t="shared" ref="R124:R125" si="11">IMAGE("https://raw.githubusercontent.com/msikma/pokesprite/master/misc/types/gen8/ghost.png",4,20,20)</f>
        <v/>
      </c>
      <c r="S124" s="5985"/>
      <c r="T124" s="6005" t="s">
        <v>402</v>
      </c>
      <c r="U124" s="6006"/>
      <c r="V124" s="6015"/>
      <c r="W124" s="6016" t="str">
        <f>IMAGE("https://raw.githubusercontent.com/msikma/pokesprite/master/misc/types/gen8/ground.png",4,20,20)</f>
        <v/>
      </c>
      <c r="X124" s="5985"/>
      <c r="Y124" s="6005" t="s">
        <v>561</v>
      </c>
      <c r="Z124" s="6006"/>
      <c r="AA124" s="6015"/>
      <c r="AB124" s="6016" t="str">
        <f>IMAGE("https://raw.githubusercontent.com/msikma/pokesprite/master/misc/types/gen8/psychic.png",4,20,20)</f>
        <v/>
      </c>
      <c r="AC124" s="5985"/>
      <c r="AD124" s="6005" t="s">
        <v>401</v>
      </c>
      <c r="AE124" s="6006"/>
      <c r="AF124" s="6015"/>
      <c r="AG124" s="6016" t="str">
        <f>IMAGE("https://raw.githubusercontent.com/msikma/pokesprite/master/misc/types/gen8/dark.png",4,20,20)</f>
        <v/>
      </c>
      <c r="AH124" s="5973"/>
      <c r="AI124" s="5655"/>
    </row>
    <row r="125" ht="21.0" customHeight="1">
      <c r="A125" s="5650"/>
      <c r="B125" s="5970"/>
      <c r="C125" s="5971"/>
      <c r="D125" s="5972"/>
      <c r="E125" s="6017" t="s">
        <v>372</v>
      </c>
      <c r="F125" s="6018"/>
      <c r="G125" s="6019"/>
      <c r="H125" s="6020" t="str">
        <f>IMAGE("https://raw.githubusercontent.com/msikma/pokesprite/master/misc/types/gen8/fire.png",4,20,20)</f>
        <v/>
      </c>
      <c r="I125" s="6008"/>
      <c r="J125" s="6017" t="s">
        <v>344</v>
      </c>
      <c r="K125" s="6018"/>
      <c r="L125" s="6019"/>
      <c r="M125" s="6020" t="str">
        <f>IMAGE("https://raw.githubusercontent.com/msikma/pokesprite/master/misc/types/gen8/fighting.png",4,20,20)</f>
        <v/>
      </c>
      <c r="N125" s="6008"/>
      <c r="O125" s="6017" t="s">
        <v>585</v>
      </c>
      <c r="P125" s="6018"/>
      <c r="Q125" s="6019"/>
      <c r="R125" s="6020" t="str">
        <f t="shared" si="11"/>
        <v/>
      </c>
      <c r="S125" s="6008"/>
      <c r="T125" s="6017" t="s">
        <v>407</v>
      </c>
      <c r="U125" s="6018"/>
      <c r="V125" s="6019"/>
      <c r="W125" s="6020" t="str">
        <f>IMAGE("https://raw.githubusercontent.com/msikma/pokesprite/master/misc/types/gen8/steel.png",4,20,20)</f>
        <v/>
      </c>
      <c r="X125" s="6008"/>
      <c r="Y125" s="6017" t="s">
        <v>223</v>
      </c>
      <c r="Z125" s="6018"/>
      <c r="AA125" s="6019"/>
      <c r="AB125" s="6020" t="str">
        <f>IMAGE("https://raw.githubusercontent.com/msikma/pokesprite/master/misc/types/gen8/grass.png",4,20,20)</f>
        <v/>
      </c>
      <c r="AC125" s="6008"/>
      <c r="AD125" s="6017" t="s">
        <v>344</v>
      </c>
      <c r="AE125" s="6018"/>
      <c r="AF125" s="6019"/>
      <c r="AG125" s="6020" t="str">
        <f>IMAGE("https://raw.githubusercontent.com/msikma/pokesprite/master/misc/types/gen8/fighting.png",4,20,20)</f>
        <v/>
      </c>
      <c r="AH125" s="5973"/>
      <c r="AI125" s="5655"/>
    </row>
    <row r="126" ht="3.0" customHeight="1">
      <c r="A126" s="5716"/>
      <c r="B126" s="6021"/>
      <c r="C126" s="6022"/>
      <c r="D126" s="6023"/>
      <c r="E126" s="6024"/>
      <c r="F126" s="6024"/>
      <c r="G126" s="6024"/>
      <c r="H126" s="6024"/>
      <c r="I126" s="5972"/>
      <c r="J126" s="6024"/>
      <c r="K126" s="6024"/>
      <c r="L126" s="6024"/>
      <c r="M126" s="6024"/>
      <c r="N126" s="5972"/>
      <c r="O126" s="6024"/>
      <c r="P126" s="6024"/>
      <c r="Q126" s="6024"/>
      <c r="R126" s="6024"/>
      <c r="S126" s="5972"/>
      <c r="T126" s="6024"/>
      <c r="U126" s="6024"/>
      <c r="V126" s="6024"/>
      <c r="W126" s="6024"/>
      <c r="X126" s="5972"/>
      <c r="Y126" s="6025"/>
      <c r="Z126" s="6025"/>
      <c r="AA126" s="6025"/>
      <c r="AB126" s="6025"/>
      <c r="AC126" s="6025"/>
      <c r="AD126" s="6025"/>
      <c r="AE126" s="6025"/>
      <c r="AF126" s="6025"/>
      <c r="AG126" s="6025"/>
      <c r="AH126" s="6026"/>
      <c r="AI126" s="5725"/>
    </row>
    <row r="127" ht="16.5" customHeight="1">
      <c r="A127" s="5726"/>
      <c r="B127" s="6027"/>
      <c r="C127" s="6028"/>
      <c r="D127" s="6029"/>
      <c r="E127" s="6030" t="s">
        <v>190</v>
      </c>
      <c r="F127" s="381"/>
      <c r="G127" s="382"/>
      <c r="H127" s="6031" t="s">
        <v>191</v>
      </c>
      <c r="I127" s="6023"/>
      <c r="J127" s="6030" t="s">
        <v>190</v>
      </c>
      <c r="K127" s="381"/>
      <c r="L127" s="382"/>
      <c r="M127" s="6031" t="s">
        <v>191</v>
      </c>
      <c r="N127" s="6023"/>
      <c r="O127" s="6030" t="s">
        <v>190</v>
      </c>
      <c r="P127" s="381"/>
      <c r="Q127" s="382"/>
      <c r="R127" s="6031" t="s">
        <v>191</v>
      </c>
      <c r="S127" s="6023"/>
      <c r="T127" s="6030" t="s">
        <v>190</v>
      </c>
      <c r="U127" s="381"/>
      <c r="V127" s="382"/>
      <c r="W127" s="6031" t="s">
        <v>191</v>
      </c>
      <c r="X127" s="6023"/>
      <c r="Y127" s="6030" t="s">
        <v>190</v>
      </c>
      <c r="Z127" s="381"/>
      <c r="AA127" s="382"/>
      <c r="AB127" s="6031" t="s">
        <v>191</v>
      </c>
      <c r="AC127" s="6032"/>
      <c r="AD127" s="6030" t="s">
        <v>190</v>
      </c>
      <c r="AE127" s="381"/>
      <c r="AF127" s="382"/>
      <c r="AG127" s="6031" t="s">
        <v>191</v>
      </c>
      <c r="AH127" s="6033"/>
      <c r="AI127" s="5735"/>
    </row>
    <row r="128" ht="16.5" customHeight="1">
      <c r="A128" s="5726"/>
      <c r="B128" s="6027"/>
      <c r="C128" s="6028"/>
      <c r="D128" s="6029"/>
      <c r="E128" s="6034" t="s">
        <v>192</v>
      </c>
      <c r="F128" s="6035">
        <f t="array" ref="F128">IFERROR(VLOOKUP(E115,Dex!$B$3:$N291,8,FALSE),"")</f>
        <v>55</v>
      </c>
      <c r="G128" s="6036" t="str">
        <f t="array" ref="G128">IFERROR(VLOOKUP(F128,Dex!$P$22:$Q$276,2,FALSE),"")</f>
        <v/>
      </c>
      <c r="H128" s="6037"/>
      <c r="I128" s="6029"/>
      <c r="J128" s="6034" t="s">
        <v>192</v>
      </c>
      <c r="K128" s="6035">
        <f t="array" ref="K128">IFERROR(VLOOKUP(J115,Dex!$B$3:$N291,8,FALSE),"")</f>
        <v>87</v>
      </c>
      <c r="L128" s="6036" t="str">
        <f t="array" ref="L128">IFERROR(VLOOKUP(K128,Dex!$P$22:$Q$276,2,FALSE),"")</f>
        <v/>
      </c>
      <c r="M128" s="6037"/>
      <c r="N128" s="6029"/>
      <c r="O128" s="6034" t="s">
        <v>192</v>
      </c>
      <c r="P128" s="6035">
        <f t="array" ref="P128">IFERROR(VLOOKUP(O115,Dex!$B$3:$N291,8,FALSE),"")</f>
        <v>90</v>
      </c>
      <c r="Q128" s="6036" t="str">
        <f t="array" ref="Q128">IFERROR(VLOOKUP(P128,Dex!$P$22:$Q$276,2,FALSE),"")</f>
        <v/>
      </c>
      <c r="R128" s="6037"/>
      <c r="S128" s="6029"/>
      <c r="T128" s="6034" t="s">
        <v>192</v>
      </c>
      <c r="U128" s="6035">
        <f t="array" ref="U128">IFERROR(VLOOKUP(T115,Dex!$B$3:$N291,8,FALSE),"")</f>
        <v>105</v>
      </c>
      <c r="V128" s="6036" t="str">
        <f t="array" ref="V128">IFERROR(VLOOKUP(U128,Dex!$P$22:$Q$276,2,FALSE),"")</f>
        <v/>
      </c>
      <c r="W128" s="6037"/>
      <c r="X128" s="6029"/>
      <c r="Y128" s="6034" t="s">
        <v>192</v>
      </c>
      <c r="Z128" s="6035">
        <f t="array" ref="Z128">IFERROR(VLOOKUP(Y115,Dex!$B$3:$N291,8,FALSE),"")</f>
        <v>55</v>
      </c>
      <c r="AA128" s="6036" t="str">
        <f t="array" ref="AA128">IFERROR(VLOOKUP(Z128,Dex!$P$22:$Q$276,2,FALSE),"")</f>
        <v/>
      </c>
      <c r="AB128" s="6037"/>
      <c r="AC128" s="6032"/>
      <c r="AD128" s="6034" t="s">
        <v>192</v>
      </c>
      <c r="AE128" s="6035">
        <f t="array" ref="AE128">IFERROR(VLOOKUP(AD115,Dex!$B$3:$N291,8,FALSE),"")</f>
        <v>60</v>
      </c>
      <c r="AF128" s="6036" t="str">
        <f t="array" ref="AF128">IFERROR(VLOOKUP(AE128,Dex!$P$22:$Q$276,2,FALSE),"")</f>
        <v/>
      </c>
      <c r="AG128" s="6037"/>
      <c r="AH128" s="6033"/>
      <c r="AI128" s="5735"/>
    </row>
    <row r="129" ht="16.5" customHeight="1">
      <c r="A129" s="5726"/>
      <c r="B129" s="6027"/>
      <c r="C129" s="6028"/>
      <c r="D129" s="6029"/>
      <c r="E129" s="6038" t="s">
        <v>193</v>
      </c>
      <c r="F129" s="6039">
        <f t="array" ref="F129">IFERROR(VLOOKUP(E115,Dex!$B$3:$N291,9,FALSE),"")</f>
        <v>100</v>
      </c>
      <c r="G129" s="6040" t="str">
        <f t="array" ref="G129">IFERROR(VLOOKUP(F129,Dex!$P$22:$Q$276,2,FALSE),"")</f>
        <v/>
      </c>
      <c r="H129" s="6041"/>
      <c r="I129" s="6029"/>
      <c r="J129" s="6038" t="s">
        <v>193</v>
      </c>
      <c r="K129" s="6039">
        <f t="array" ref="K129">IFERROR(VLOOKUP(J115,Dex!$B$3:$N291,9,FALSE),"")</f>
        <v>60</v>
      </c>
      <c r="L129" s="6040" t="str">
        <f t="array" ref="L129">IFERROR(VLOOKUP(K129,Dex!$P$22:$Q$276,2,FALSE),"")</f>
        <v/>
      </c>
      <c r="M129" s="6041"/>
      <c r="N129" s="6029"/>
      <c r="O129" s="6038" t="s">
        <v>193</v>
      </c>
      <c r="P129" s="6039">
        <f t="array" ref="P129">IFERROR(VLOOKUP(O115,Dex!$B$3:$N291,9,FALSE),"")</f>
        <v>125</v>
      </c>
      <c r="Q129" s="6040" t="str">
        <f t="array" ref="Q129">IFERROR(VLOOKUP(P129,Dex!$P$22:$Q$276,2,FALSE),"")</f>
        <v/>
      </c>
      <c r="R129" s="6041">
        <v>252.0</v>
      </c>
      <c r="S129" s="6029"/>
      <c r="T129" s="6038" t="s">
        <v>193</v>
      </c>
      <c r="U129" s="6039">
        <f t="array" ref="U129">IFERROR(VLOOKUP(T115,Dex!$B$3:$N291,9,FALSE),"")</f>
        <v>139</v>
      </c>
      <c r="V129" s="6040" t="str">
        <f t="array" ref="V129">IFERROR(VLOOKUP(U129,Dex!$P$22:$Q$276,2,FALSE),"")</f>
        <v/>
      </c>
      <c r="W129" s="6041">
        <v>252.0</v>
      </c>
      <c r="X129" s="6029"/>
      <c r="Y129" s="6038" t="s">
        <v>193</v>
      </c>
      <c r="Z129" s="6039">
        <f t="array" ref="Z129">IFERROR(VLOOKUP(Y115,Dex!$B$3:$N291,9,FALSE),"")</f>
        <v>80</v>
      </c>
      <c r="AA129" s="6040" t="str">
        <f t="array" ref="AA129">IFERROR(VLOOKUP(Z129,Dex!$P$22:$Q$276,2,FALSE),"")</f>
        <v/>
      </c>
      <c r="AB129" s="6041"/>
      <c r="AC129" s="6032"/>
      <c r="AD129" s="6038" t="s">
        <v>193</v>
      </c>
      <c r="AE129" s="6039">
        <f t="array" ref="AE129">IFERROR(VLOOKUP(AD115,Dex!$B$3:$N291,9,FALSE),"")</f>
        <v>65</v>
      </c>
      <c r="AF129" s="6040" t="str">
        <f t="array" ref="AF129">IFERROR(VLOOKUP(AE129,Dex!$P$22:$Q$276,2,FALSE),"")</f>
        <v/>
      </c>
      <c r="AG129" s="6041"/>
      <c r="AH129" s="6033"/>
      <c r="AI129" s="5735"/>
    </row>
    <row r="130" ht="16.5" customHeight="1">
      <c r="A130" s="5726"/>
      <c r="B130" s="6027"/>
      <c r="C130" s="6028"/>
      <c r="D130" s="6029"/>
      <c r="E130" s="6038" t="s">
        <v>194</v>
      </c>
      <c r="F130" s="6039">
        <f t="array" ref="F130">IFERROR(VLOOKUP(E115,Dex!$B$3:$N291,10,FALSE),"")</f>
        <v>60</v>
      </c>
      <c r="G130" s="6040" t="str">
        <f t="array" ref="G130">IFERROR(VLOOKUP(F130,Dex!$P$22:$Q$276,2,FALSE),"")</f>
        <v/>
      </c>
      <c r="H130" s="6041">
        <v>4.0</v>
      </c>
      <c r="I130" s="6029"/>
      <c r="J130" s="6038" t="s">
        <v>194</v>
      </c>
      <c r="K130" s="6039">
        <f t="array" ref="K130">IFERROR(VLOOKUP(J115,Dex!$B$3:$N291,10,FALSE),"")</f>
        <v>95</v>
      </c>
      <c r="L130" s="6040" t="str">
        <f t="array" ref="L130">IFERROR(VLOOKUP(K130,Dex!$P$22:$Q$276,2,FALSE),"")</f>
        <v/>
      </c>
      <c r="M130" s="6041">
        <v>4.0</v>
      </c>
      <c r="N130" s="6029"/>
      <c r="O130" s="6038" t="s">
        <v>194</v>
      </c>
      <c r="P130" s="6039">
        <f t="array" ref="P130">IFERROR(VLOOKUP(O115,Dex!$B$3:$N291,10,FALSE),"")</f>
        <v>80</v>
      </c>
      <c r="Q130" s="6040" t="str">
        <f t="array" ref="Q130">IFERROR(VLOOKUP(P130,Dex!$P$22:$Q$276,2,FALSE),"")</f>
        <v/>
      </c>
      <c r="R130" s="6041">
        <v>4.0</v>
      </c>
      <c r="S130" s="6029"/>
      <c r="T130" s="6038" t="s">
        <v>194</v>
      </c>
      <c r="U130" s="6039">
        <f t="array" ref="U130">IFERROR(VLOOKUP(T115,Dex!$B$3:$N291,10,FALSE),"")</f>
        <v>71</v>
      </c>
      <c r="V130" s="6040" t="str">
        <f t="array" ref="V130">IFERROR(VLOOKUP(U130,Dex!$P$22:$Q$276,2,FALSE),"")</f>
        <v/>
      </c>
      <c r="W130" s="6041">
        <v>4.0</v>
      </c>
      <c r="X130" s="6029"/>
      <c r="Y130" s="6038" t="s">
        <v>194</v>
      </c>
      <c r="Z130" s="6039">
        <f t="array" ref="Z130">IFERROR(VLOOKUP(Y115,Dex!$B$3:$N291,10,FALSE),"")</f>
        <v>80</v>
      </c>
      <c r="AA130" s="6040" t="str">
        <f t="array" ref="AA130">IFERROR(VLOOKUP(Z130,Dex!$P$22:$Q$276,2,FALSE),"")</f>
        <v/>
      </c>
      <c r="AB130" s="6041">
        <v>4.0</v>
      </c>
      <c r="AC130" s="6032"/>
      <c r="AD130" s="6038" t="s">
        <v>194</v>
      </c>
      <c r="AE130" s="6039">
        <f t="array" ref="AE130">IFERROR(VLOOKUP(AD115,Dex!$B$3:$N291,10,FALSE),"")</f>
        <v>80</v>
      </c>
      <c r="AF130" s="6040" t="str">
        <f t="array" ref="AF130">IFERROR(VLOOKUP(AE130,Dex!$P$22:$Q$276,2,FALSE),"")</f>
        <v/>
      </c>
      <c r="AG130" s="6041">
        <v>4.0</v>
      </c>
      <c r="AH130" s="6033"/>
      <c r="AI130" s="5735"/>
    </row>
    <row r="131" ht="16.5" customHeight="1">
      <c r="A131" s="5726"/>
      <c r="B131" s="6027"/>
      <c r="C131" s="6028"/>
      <c r="D131" s="6029"/>
      <c r="E131" s="6038" t="s">
        <v>195</v>
      </c>
      <c r="F131" s="6039">
        <f t="array" ref="F131">IFERROR(VLOOKUP(E115,Dex!$B$3:$N291,11,FALSE),"")</f>
        <v>125</v>
      </c>
      <c r="G131" s="6040" t="str">
        <f t="array" ref="G131">IFERROR(VLOOKUP(F131,Dex!$P$22:$Q$276,2,FALSE),"")</f>
        <v/>
      </c>
      <c r="H131" s="6041">
        <v>252.0</v>
      </c>
      <c r="I131" s="6029"/>
      <c r="J131" s="6038" t="s">
        <v>195</v>
      </c>
      <c r="K131" s="6039">
        <f t="array" ref="K131">IFERROR(VLOOKUP(J115,Dex!$B$3:$N291,11,FALSE),"")</f>
        <v>133</v>
      </c>
      <c r="L131" s="6040" t="str">
        <f t="array" ref="L131">IFERROR(VLOOKUP(K131,Dex!$P$22:$Q$276,2,FALSE),"")</f>
        <v/>
      </c>
      <c r="M131" s="6041">
        <v>252.0</v>
      </c>
      <c r="N131" s="6029"/>
      <c r="O131" s="6038" t="s">
        <v>195</v>
      </c>
      <c r="P131" s="6039">
        <f t="array" ref="P131">IFERROR(VLOOKUP(O115,Dex!$B$3:$N291,11,FALSE),"")</f>
        <v>90</v>
      </c>
      <c r="Q131" s="6040" t="str">
        <f t="array" ref="Q131">IFERROR(VLOOKUP(P131,Dex!$P$22:$Q$276,2,FALSE),"")</f>
        <v/>
      </c>
      <c r="R131" s="6041"/>
      <c r="S131" s="6029"/>
      <c r="T131" s="6038" t="s">
        <v>195</v>
      </c>
      <c r="U131" s="6039">
        <f t="array" ref="U131">IFERROR(VLOOKUP(T115,Dex!$B$3:$N291,11,FALSE),"")</f>
        <v>55</v>
      </c>
      <c r="V131" s="6040" t="str">
        <f t="array" ref="V131">IFERROR(VLOOKUP(U131,Dex!$P$22:$Q$276,2,FALSE),"")</f>
        <v/>
      </c>
      <c r="W131" s="6041"/>
      <c r="X131" s="6029"/>
      <c r="Y131" s="6038" t="s">
        <v>195</v>
      </c>
      <c r="Z131" s="6039">
        <f t="array" ref="Z131">IFERROR(VLOOKUP(Y115,Dex!$B$3:$N291,11,FALSE),"")</f>
        <v>135</v>
      </c>
      <c r="AA131" s="6040" t="str">
        <f t="array" ref="AA131">IFERROR(VLOOKUP(Z131,Dex!$P$22:$Q$276,2,FALSE),"")</f>
        <v/>
      </c>
      <c r="AB131" s="6041">
        <v>252.0</v>
      </c>
      <c r="AC131" s="6032"/>
      <c r="AD131" s="6038" t="s">
        <v>195</v>
      </c>
      <c r="AE131" s="6039">
        <f t="array" ref="AE131">IFERROR(VLOOKUP(AD115,Dex!$B$3:$N291,11,FALSE),"")</f>
        <v>170</v>
      </c>
      <c r="AF131" s="6040" t="str">
        <f t="array" ref="AF131">IFERROR(VLOOKUP(AE131,Dex!$P$22:$Q$276,2,FALSE),"")</f>
        <v/>
      </c>
      <c r="AG131" s="6041">
        <v>252.0</v>
      </c>
      <c r="AH131" s="6033"/>
      <c r="AI131" s="5735"/>
    </row>
    <row r="132" ht="16.5" customHeight="1">
      <c r="A132" s="5726"/>
      <c r="B132" s="6027"/>
      <c r="C132" s="6028"/>
      <c r="D132" s="6029"/>
      <c r="E132" s="6038" t="s">
        <v>196</v>
      </c>
      <c r="F132" s="6039">
        <f t="array" ref="F132">IFERROR(VLOOKUP(E115,Dex!$B$3:$N291,12,FALSE),"")</f>
        <v>60</v>
      </c>
      <c r="G132" s="6040" t="str">
        <f t="array" ref="G132">IFERROR(VLOOKUP(F132,Dex!$P$22:$Q$276,2,FALSE),"")</f>
        <v/>
      </c>
      <c r="H132" s="6041"/>
      <c r="I132" s="6029"/>
      <c r="J132" s="6038" t="s">
        <v>196</v>
      </c>
      <c r="K132" s="6039">
        <f t="array" ref="K132">IFERROR(VLOOKUP(J115,Dex!$B$3:$N291,12,FALSE),"")</f>
        <v>91</v>
      </c>
      <c r="L132" s="6040" t="str">
        <f t="array" ref="L132">IFERROR(VLOOKUP(K132,Dex!$P$22:$Q$276,2,FALSE),"")</f>
        <v/>
      </c>
      <c r="M132" s="6041"/>
      <c r="N132" s="6029"/>
      <c r="O132" s="6038" t="s">
        <v>196</v>
      </c>
      <c r="P132" s="6039">
        <f t="array" ref="P132">IFERROR(VLOOKUP(O115,Dex!$B$3:$N291,12,FALSE),"")</f>
        <v>90</v>
      </c>
      <c r="Q132" s="6040" t="str">
        <f t="array" ref="Q132">IFERROR(VLOOKUP(P132,Dex!$P$22:$Q$276,2,FALSE),"")</f>
        <v/>
      </c>
      <c r="R132" s="6041"/>
      <c r="S132" s="6029"/>
      <c r="T132" s="6038" t="s">
        <v>196</v>
      </c>
      <c r="U132" s="6039">
        <f t="array" ref="U132">IFERROR(VLOOKUP(T115,Dex!$B$3:$N291,12,FALSE),"")</f>
        <v>101</v>
      </c>
      <c r="V132" s="6040" t="str">
        <f t="array" ref="V132">IFERROR(VLOOKUP(U132,Dex!$P$22:$Q$276,2,FALSE),"")</f>
        <v/>
      </c>
      <c r="W132" s="6041"/>
      <c r="X132" s="6029"/>
      <c r="Y132" s="6038" t="s">
        <v>196</v>
      </c>
      <c r="Z132" s="6039">
        <f t="array" ref="Z132">IFERROR(VLOOKUP(Y115,Dex!$B$3:$N291,12,FALSE),"")</f>
        <v>120</v>
      </c>
      <c r="AA132" s="6040" t="str">
        <f t="array" ref="AA132">IFERROR(VLOOKUP(Z132,Dex!$P$22:$Q$276,2,FALSE),"")</f>
        <v/>
      </c>
      <c r="AB132" s="6041"/>
      <c r="AC132" s="6032"/>
      <c r="AD132" s="6038" t="s">
        <v>196</v>
      </c>
      <c r="AE132" s="6039">
        <f t="array" ref="AE132">IFERROR(VLOOKUP(AD115,Dex!$B$3:$N291,12,FALSE),"")</f>
        <v>95</v>
      </c>
      <c r="AF132" s="6040" t="str">
        <f t="array" ref="AF132">IFERROR(VLOOKUP(AE132,Dex!$P$22:$Q$276,2,FALSE),"")</f>
        <v/>
      </c>
      <c r="AG132" s="6041"/>
      <c r="AH132" s="6033"/>
      <c r="AI132" s="5735"/>
    </row>
    <row r="133" ht="16.5" customHeight="1">
      <c r="A133" s="5726"/>
      <c r="B133" s="6027"/>
      <c r="C133" s="6028"/>
      <c r="D133" s="6029"/>
      <c r="E133" s="6042" t="s">
        <v>197</v>
      </c>
      <c r="F133" s="6043">
        <f t="array" ref="F133">IFERROR(VLOOKUP(E115,Dex!$B$3:$N291,13,FALSE),"")</f>
        <v>110</v>
      </c>
      <c r="G133" s="6044" t="str">
        <f t="array" ref="G133">IFERROR(VLOOKUP(F133,Dex!$P$22:$Q$276,2,FALSE),"")</f>
        <v/>
      </c>
      <c r="H133" s="6045">
        <v>252.0</v>
      </c>
      <c r="I133" s="6029"/>
      <c r="J133" s="6042" t="s">
        <v>197</v>
      </c>
      <c r="K133" s="6043">
        <f t="array" ref="K133">IFERROR(VLOOKUP(J115,Dex!$B$3:$N291,13,FALSE),"")</f>
        <v>84</v>
      </c>
      <c r="L133" s="6044" t="str">
        <f t="array" ref="L133">IFERROR(VLOOKUP(K133,Dex!$P$22:$Q$276,2,FALSE),"")</f>
        <v/>
      </c>
      <c r="M133" s="6045">
        <v>252.0</v>
      </c>
      <c r="N133" s="6029"/>
      <c r="O133" s="6042" t="s">
        <v>197</v>
      </c>
      <c r="P133" s="6043">
        <f t="array" ref="P133">IFERROR(VLOOKUP(O115,Dex!$B$3:$N291,13,FALSE),"")</f>
        <v>125</v>
      </c>
      <c r="Q133" s="6044" t="str">
        <f t="array" ref="Q133">IFERROR(VLOOKUP(P133,Dex!$P$22:$Q$276,2,FALSE),"")</f>
        <v/>
      </c>
      <c r="R133" s="6045">
        <v>252.0</v>
      </c>
      <c r="S133" s="6029"/>
      <c r="T133" s="6042" t="s">
        <v>197</v>
      </c>
      <c r="U133" s="6043">
        <f t="array" ref="U133">IFERROR(VLOOKUP(T115,Dex!$B$3:$N291,13,FALSE),"")</f>
        <v>119</v>
      </c>
      <c r="V133" s="6044" t="str">
        <f t="array" ref="V133">IFERROR(VLOOKUP(U133,Dex!$P$22:$Q$276,2,FALSE),"")</f>
        <v/>
      </c>
      <c r="W133" s="6045">
        <v>252.0</v>
      </c>
      <c r="X133" s="6029"/>
      <c r="Y133" s="6042" t="s">
        <v>197</v>
      </c>
      <c r="Z133" s="6043">
        <f t="array" ref="Z133">IFERROR(VLOOKUP(Y115,Dex!$B$3:$N291,13,FALSE),"")</f>
        <v>100</v>
      </c>
      <c r="AA133" s="6044" t="str">
        <f t="array" ref="AA133">IFERROR(VLOOKUP(Z133,Dex!$P$22:$Q$276,2,FALSE),"")</f>
        <v/>
      </c>
      <c r="AB133" s="6045">
        <v>252.0</v>
      </c>
      <c r="AC133" s="6032"/>
      <c r="AD133" s="6042" t="s">
        <v>197</v>
      </c>
      <c r="AE133" s="6043">
        <f t="array" ref="AE133">IFERROR(VLOOKUP(AD115,Dex!$B$3:$N291,13,FALSE),"")</f>
        <v>130</v>
      </c>
      <c r="AF133" s="6044" t="str">
        <f t="array" ref="AF133">IFERROR(VLOOKUP(AE133,Dex!$P$22:$Q$276,2,FALSE),"")</f>
        <v/>
      </c>
      <c r="AG133" s="6045">
        <v>252.0</v>
      </c>
      <c r="AH133" s="6033"/>
      <c r="AI133" s="5735"/>
    </row>
    <row r="134" ht="16.5" customHeight="1">
      <c r="A134" s="5726"/>
      <c r="B134" s="6027"/>
      <c r="C134" s="6028"/>
      <c r="D134" s="6029"/>
      <c r="E134" s="6046" t="s">
        <v>198</v>
      </c>
      <c r="F134" s="405"/>
      <c r="G134" s="406"/>
      <c r="H134" s="6047">
        <v>298.0</v>
      </c>
      <c r="I134" s="6029"/>
      <c r="J134" s="6046" t="s">
        <v>198</v>
      </c>
      <c r="K134" s="405"/>
      <c r="L134" s="406"/>
      <c r="M134" s="6047">
        <v>249.0</v>
      </c>
      <c r="N134" s="6029"/>
      <c r="O134" s="6046" t="s">
        <v>198</v>
      </c>
      <c r="P134" s="405"/>
      <c r="Q134" s="406"/>
      <c r="R134" s="6047">
        <v>326.0</v>
      </c>
      <c r="S134" s="6029"/>
      <c r="T134" s="6046" t="s">
        <v>198</v>
      </c>
      <c r="U134" s="405"/>
      <c r="V134" s="406"/>
      <c r="W134" s="6047">
        <v>315.0</v>
      </c>
      <c r="X134" s="6029"/>
      <c r="Y134" s="6046" t="s">
        <v>198</v>
      </c>
      <c r="Z134" s="405"/>
      <c r="AA134" s="406"/>
      <c r="AB134" s="6047">
        <v>273.0</v>
      </c>
      <c r="AC134" s="6032"/>
      <c r="AD134" s="6046" t="s">
        <v>198</v>
      </c>
      <c r="AE134" s="405"/>
      <c r="AF134" s="406"/>
      <c r="AG134" s="6047">
        <v>327.0</v>
      </c>
      <c r="AH134" s="6033"/>
      <c r="AI134" s="5735"/>
    </row>
    <row r="135" ht="11.25" customHeight="1">
      <c r="A135" s="5650"/>
      <c r="B135" s="6048"/>
      <c r="C135" s="6049"/>
      <c r="D135" s="6050"/>
      <c r="E135" s="6051"/>
      <c r="F135" s="6051"/>
      <c r="G135" s="6051"/>
      <c r="H135" s="6051"/>
      <c r="I135" s="6050"/>
      <c r="J135" s="6051"/>
      <c r="K135" s="6051"/>
      <c r="L135" s="6051"/>
      <c r="M135" s="6051"/>
      <c r="N135" s="6050"/>
      <c r="O135" s="6051"/>
      <c r="P135" s="6051"/>
      <c r="Q135" s="6051"/>
      <c r="R135" s="6051"/>
      <c r="S135" s="6050"/>
      <c r="T135" s="6051"/>
      <c r="U135" s="6051"/>
      <c r="V135" s="6051"/>
      <c r="W135" s="6051"/>
      <c r="X135" s="6050"/>
      <c r="Y135" s="6051"/>
      <c r="Z135" s="6051"/>
      <c r="AA135" s="6051"/>
      <c r="AB135" s="6051"/>
      <c r="AC135" s="6050"/>
      <c r="AD135" s="6051"/>
      <c r="AE135" s="6051"/>
      <c r="AF135" s="6051"/>
      <c r="AG135" s="6051"/>
      <c r="AH135" s="6052"/>
      <c r="AI135" s="5655"/>
    </row>
    <row r="136" ht="11.25" customHeight="1">
      <c r="A136" s="5650"/>
      <c r="B136" s="5970"/>
      <c r="C136" s="5971"/>
      <c r="D136" s="5972"/>
      <c r="E136" s="3180" t="s">
        <v>1441</v>
      </c>
      <c r="F136" s="3181"/>
      <c r="G136" s="3181"/>
      <c r="H136" s="3181"/>
      <c r="I136" s="3181"/>
      <c r="J136" s="3181"/>
      <c r="K136" s="3181"/>
      <c r="L136" s="3181"/>
      <c r="M136" s="3181"/>
      <c r="N136" s="3181"/>
      <c r="O136" s="3181"/>
      <c r="P136" s="3181"/>
      <c r="Q136" s="3181"/>
      <c r="R136" s="3181"/>
      <c r="S136" s="3181"/>
      <c r="T136" s="3181"/>
      <c r="U136" s="3181"/>
      <c r="V136" s="3181"/>
      <c r="W136" s="3181"/>
      <c r="X136" s="3181"/>
      <c r="Y136" s="3181"/>
      <c r="Z136" s="3181"/>
      <c r="AA136" s="3181"/>
      <c r="AB136" s="3181"/>
      <c r="AC136" s="3181"/>
      <c r="AD136" s="3181"/>
      <c r="AE136" s="3181"/>
      <c r="AF136" s="3181"/>
      <c r="AG136" s="3182"/>
      <c r="AH136" s="5973"/>
      <c r="AI136" s="5655"/>
    </row>
    <row r="137" ht="11.25" customHeight="1">
      <c r="A137" s="5650"/>
      <c r="B137" s="5970"/>
      <c r="C137" s="5971"/>
      <c r="D137" s="5972"/>
      <c r="E137" s="114"/>
      <c r="F137" s="3185"/>
      <c r="G137" s="3185"/>
      <c r="H137" s="3185"/>
      <c r="I137" s="3185"/>
      <c r="J137" s="3185"/>
      <c r="K137" s="3185"/>
      <c r="L137" s="3185"/>
      <c r="M137" s="3185"/>
      <c r="N137" s="3185"/>
      <c r="O137" s="3185"/>
      <c r="P137" s="3185"/>
      <c r="Q137" s="3185"/>
      <c r="R137" s="3185"/>
      <c r="S137" s="3185"/>
      <c r="T137" s="3185"/>
      <c r="U137" s="3185"/>
      <c r="V137" s="3185"/>
      <c r="W137" s="3185"/>
      <c r="X137" s="3185"/>
      <c r="Y137" s="3185"/>
      <c r="Z137" s="3185"/>
      <c r="AA137" s="3185"/>
      <c r="AB137" s="3185"/>
      <c r="AC137" s="3185"/>
      <c r="AD137" s="3185"/>
      <c r="AE137" s="3185"/>
      <c r="AF137" s="3185"/>
      <c r="AG137" s="3186"/>
      <c r="AH137" s="5973"/>
      <c r="AI137" s="5655"/>
    </row>
    <row r="138" ht="3.75" customHeight="1">
      <c r="A138" s="5650"/>
      <c r="B138" s="5970"/>
      <c r="C138" s="5971"/>
      <c r="D138" s="5972"/>
      <c r="E138" s="6053"/>
      <c r="F138" s="6053"/>
      <c r="G138" s="6053"/>
      <c r="H138" s="6053"/>
      <c r="I138" s="5974"/>
      <c r="J138" s="6053"/>
      <c r="K138" s="6053"/>
      <c r="L138" s="6053"/>
      <c r="M138" s="6053"/>
      <c r="N138" s="5974"/>
      <c r="O138" s="6053"/>
      <c r="P138" s="6053"/>
      <c r="Q138" s="6053"/>
      <c r="R138" s="6053"/>
      <c r="S138" s="5974"/>
      <c r="T138" s="6053"/>
      <c r="U138" s="6053"/>
      <c r="V138" s="6053"/>
      <c r="W138" s="6053"/>
      <c r="X138" s="5974"/>
      <c r="Y138" s="6053"/>
      <c r="Z138" s="6053"/>
      <c r="AA138" s="6053"/>
      <c r="AB138" s="6053"/>
      <c r="AC138" s="5974"/>
      <c r="AD138" s="6053"/>
      <c r="AE138" s="6053"/>
      <c r="AF138" s="6053"/>
      <c r="AG138" s="6053"/>
      <c r="AH138" s="5973"/>
      <c r="AI138" s="5655"/>
    </row>
    <row r="139" ht="96.75" customHeight="1">
      <c r="A139" s="5650"/>
      <c r="B139" s="5970"/>
      <c r="C139" s="5975" t="str">
        <f>IMAGE("https://i.ibb.co/rcFfMw3/Agatha.png")</f>
        <v/>
      </c>
      <c r="D139" s="6054"/>
      <c r="E139" s="5977" t="str">
        <f t="array" ref="E139">IFERROR(VLOOKUP(E140,Dex!$B$3:$G291,3,FALSE),"")</f>
        <v/>
      </c>
      <c r="F139" s="1830"/>
      <c r="G139" s="1830"/>
      <c r="H139" s="1831"/>
      <c r="I139" s="6055"/>
      <c r="J139" s="5977" t="str">
        <f t="array" ref="J139">IFERROR(VLOOKUP(J140,Dex!$B$3:$G291,3,FALSE),"")</f>
        <v/>
      </c>
      <c r="K139" s="1830"/>
      <c r="L139" s="1830"/>
      <c r="M139" s="1831"/>
      <c r="N139" s="6055"/>
      <c r="O139" s="5977" t="str">
        <f t="array" ref="O139">IFERROR(VLOOKUP(O140,Dex!$B$3:$G291,3,FALSE),"")</f>
        <v/>
      </c>
      <c r="P139" s="1830"/>
      <c r="Q139" s="1830"/>
      <c r="R139" s="1831"/>
      <c r="S139" s="6055"/>
      <c r="T139" s="5977" t="str">
        <f t="array" ref="T139">IFERROR(VLOOKUP(T140,Dex!$B$3:$G291,3,FALSE),"")</f>
        <v/>
      </c>
      <c r="U139" s="1830"/>
      <c r="V139" s="1830"/>
      <c r="W139" s="1831"/>
      <c r="X139" s="6055"/>
      <c r="Y139" s="5977" t="str">
        <f t="array" ref="Y139">IFERROR(VLOOKUP(Y140,Dex!$B$3:$G291,3,FALSE),"")</f>
        <v/>
      </c>
      <c r="Z139" s="1830"/>
      <c r="AA139" s="1830"/>
      <c r="AB139" s="1831"/>
      <c r="AC139" s="6055"/>
      <c r="AD139" s="5977" t="str">
        <f t="array" ref="AD139">IFERROR(VLOOKUP(AD140,Dex!$B$3:$G291,3,FALSE),"")</f>
        <v/>
      </c>
      <c r="AE139" s="1830"/>
      <c r="AF139" s="1830"/>
      <c r="AG139" s="1831"/>
      <c r="AH139" s="6056"/>
      <c r="AI139" s="5655"/>
    </row>
    <row r="140" ht="18.75" customHeight="1">
      <c r="A140" s="5669"/>
      <c r="B140" s="5979"/>
      <c r="C140" s="5980" t="s">
        <v>1453</v>
      </c>
      <c r="D140" s="6057"/>
      <c r="E140" s="5982" t="s">
        <v>1454</v>
      </c>
      <c r="F140" s="5983"/>
      <c r="G140" s="5983"/>
      <c r="H140" s="5984"/>
      <c r="J140" s="5982" t="s">
        <v>910</v>
      </c>
      <c r="K140" s="5983"/>
      <c r="L140" s="5983"/>
      <c r="M140" s="5984"/>
      <c r="O140" s="5982" t="s">
        <v>1448</v>
      </c>
      <c r="P140" s="5983"/>
      <c r="Q140" s="5983"/>
      <c r="R140" s="5984"/>
      <c r="T140" s="5982" t="s">
        <v>1455</v>
      </c>
      <c r="U140" s="5983"/>
      <c r="V140" s="5983"/>
      <c r="W140" s="5984"/>
      <c r="Y140" s="5982" t="s">
        <v>1456</v>
      </c>
      <c r="Z140" s="5983"/>
      <c r="AA140" s="5983"/>
      <c r="AB140" s="5984"/>
      <c r="AD140" s="5982" t="s">
        <v>572</v>
      </c>
      <c r="AE140" s="5983"/>
      <c r="AF140" s="5983"/>
      <c r="AG140" s="5984"/>
      <c r="AH140" s="6058"/>
      <c r="AI140" s="5678"/>
    </row>
    <row r="141">
      <c r="A141" s="5679"/>
      <c r="B141" s="5987"/>
      <c r="C141" s="326"/>
      <c r="D141" s="6059"/>
      <c r="E141" s="5989">
        <v>85.0</v>
      </c>
      <c r="F141" s="5990"/>
      <c r="G141" s="5990"/>
      <c r="H141" s="5991"/>
      <c r="J141" s="5989">
        <v>85.0</v>
      </c>
      <c r="K141" s="5990"/>
      <c r="L141" s="5990"/>
      <c r="M141" s="5991"/>
      <c r="O141" s="5989">
        <v>85.0</v>
      </c>
      <c r="P141" s="5990"/>
      <c r="Q141" s="5990"/>
      <c r="R141" s="5991"/>
      <c r="T141" s="5989">
        <v>85.0</v>
      </c>
      <c r="U141" s="5990"/>
      <c r="V141" s="5990"/>
      <c r="W141" s="5991"/>
      <c r="Y141" s="5992" t="s">
        <v>420</v>
      </c>
      <c r="Z141" s="5990"/>
      <c r="AA141" s="5990"/>
      <c r="AB141" s="5991"/>
      <c r="AD141" s="5992" t="s">
        <v>420</v>
      </c>
      <c r="AE141" s="5990"/>
      <c r="AF141" s="5990"/>
      <c r="AG141" s="5991"/>
      <c r="AH141" s="6060"/>
      <c r="AI141" s="5686"/>
    </row>
    <row r="142" ht="25.5" customHeight="1">
      <c r="A142" s="5650"/>
      <c r="B142" s="5970"/>
      <c r="C142" s="5994"/>
      <c r="D142" s="5972"/>
      <c r="E142" s="5995"/>
      <c r="F142" s="6061" t="str">
        <f t="array" ref="F142">IFERROR(VLOOKUP(E140,Dex!$B$3:$H291,5,FALSE),"")</f>
        <v/>
      </c>
      <c r="G142" s="6062"/>
      <c r="H142" s="5998"/>
      <c r="J142" s="5995"/>
      <c r="K142" s="5996" t="str">
        <f t="array" ref="K142">IFERROR(VLOOKUP(J140,Dex!$B$3:$H291,5,FALSE),"")</f>
        <v/>
      </c>
      <c r="L142" s="5997" t="str">
        <f t="array" ref="L142">IFERROR(VLOOKUP(J140,Dex!$B$3:$H291,7,FALSE),"")</f>
        <v/>
      </c>
      <c r="M142" s="5998"/>
      <c r="O142" s="5995"/>
      <c r="P142" s="5996" t="str">
        <f t="array" ref="P142">IFERROR(VLOOKUP(O140,Dex!$B$3:$H291,5,FALSE),"")</f>
        <v/>
      </c>
      <c r="Q142" s="5997" t="str">
        <f t="array" ref="Q142">IFERROR(VLOOKUP(O140,Dex!$B$3:$H291,7,FALSE),"")</f>
        <v/>
      </c>
      <c r="R142" s="5998"/>
      <c r="T142" s="5995"/>
      <c r="U142" s="5996" t="str">
        <f t="array" ref="U142">IFERROR(VLOOKUP(T140,Dex!$B$3:$H291,5,FALSE),"")</f>
        <v/>
      </c>
      <c r="V142" s="5997" t="str">
        <f t="array" ref="V142">IFERROR(VLOOKUP(T140,Dex!$B$3:$H291,7,FALSE),"")</f>
        <v/>
      </c>
      <c r="W142" s="5998"/>
      <c r="Y142" s="5995"/>
      <c r="Z142" s="5996" t="str">
        <f t="array" ref="Z142">IFERROR(VLOOKUP(Y140,Dex!$B$3:$H291,5,FALSE),"")</f>
        <v/>
      </c>
      <c r="AA142" s="5997" t="str">
        <f t="array" ref="AA142">IFERROR(VLOOKUP(Y140,Dex!$B$3:$H291,7,FALSE),"")</f>
        <v/>
      </c>
      <c r="AB142" s="5998"/>
      <c r="AD142" s="5995"/>
      <c r="AE142" s="5996" t="str">
        <f t="array" ref="AE142">IFERROR(VLOOKUP(AD140,Dex!$B$3:$H291,5,FALSE),"")</f>
        <v/>
      </c>
      <c r="AF142" s="5997" t="str">
        <f t="array" ref="AF142">IFERROR(VLOOKUP(AD140,Dex!$B$3:$H291,7,FALSE),"")</f>
        <v/>
      </c>
      <c r="AG142" s="5998"/>
      <c r="AH142" s="5973"/>
      <c r="AI142" s="5655"/>
    </row>
    <row r="143" ht="2.25" customHeight="1">
      <c r="A143" s="5650"/>
      <c r="B143" s="5970"/>
      <c r="C143" s="5985"/>
      <c r="D143" s="5972"/>
      <c r="E143" s="5999"/>
      <c r="F143" s="6000"/>
      <c r="G143" s="6000"/>
      <c r="H143" s="6001"/>
      <c r="J143" s="5999"/>
      <c r="K143" s="6000"/>
      <c r="L143" s="6000"/>
      <c r="M143" s="6001"/>
      <c r="O143" s="5999"/>
      <c r="P143" s="6000"/>
      <c r="Q143" s="6000"/>
      <c r="R143" s="6001"/>
      <c r="T143" s="5999"/>
      <c r="U143" s="6000"/>
      <c r="V143" s="6000"/>
      <c r="W143" s="6001"/>
      <c r="Y143" s="5999"/>
      <c r="Z143" s="6000"/>
      <c r="AA143" s="6000"/>
      <c r="AB143" s="6001"/>
      <c r="AD143" s="5999"/>
      <c r="AE143" s="6000"/>
      <c r="AF143" s="6000"/>
      <c r="AG143" s="6001"/>
      <c r="AH143" s="5973"/>
      <c r="AI143" s="5655"/>
    </row>
    <row r="144" ht="20.25" customHeight="1">
      <c r="A144" s="5650"/>
      <c r="B144" s="5970"/>
      <c r="C144" s="5985"/>
      <c r="D144" s="6063"/>
      <c r="E144" s="6002" t="s">
        <v>205</v>
      </c>
      <c r="F144" s="6003"/>
      <c r="G144" s="6003"/>
      <c r="H144" s="6004"/>
      <c r="J144" s="6002" t="s">
        <v>205</v>
      </c>
      <c r="K144" s="6003"/>
      <c r="L144" s="6003"/>
      <c r="M144" s="6004"/>
      <c r="O144" s="6002" t="s">
        <v>172</v>
      </c>
      <c r="P144" s="6003"/>
      <c r="Q144" s="6003"/>
      <c r="R144" s="6004"/>
      <c r="T144" s="6002" t="s">
        <v>205</v>
      </c>
      <c r="U144" s="6003"/>
      <c r="V144" s="6003"/>
      <c r="W144" s="6004"/>
      <c r="Y144" s="6002" t="s">
        <v>172</v>
      </c>
      <c r="Z144" s="6003"/>
      <c r="AA144" s="6003"/>
      <c r="AB144" s="6004"/>
      <c r="AD144" s="6002" t="s">
        <v>205</v>
      </c>
      <c r="AE144" s="6003"/>
      <c r="AF144" s="6003"/>
      <c r="AG144" s="6004"/>
      <c r="AH144" s="6056"/>
      <c r="AI144" s="5655"/>
    </row>
    <row r="145">
      <c r="A145" s="5650"/>
      <c r="B145" s="5970"/>
      <c r="C145" s="5985"/>
      <c r="D145" s="6063"/>
      <c r="E145" s="6005" t="s">
        <v>575</v>
      </c>
      <c r="F145" s="6006"/>
      <c r="G145" s="6006"/>
      <c r="H145" s="6007"/>
      <c r="J145" s="6005" t="s">
        <v>915</v>
      </c>
      <c r="K145" s="6006"/>
      <c r="L145" s="6006"/>
      <c r="M145" s="6007"/>
      <c r="O145" s="6005" t="s">
        <v>208</v>
      </c>
      <c r="P145" s="6006"/>
      <c r="Q145" s="6006"/>
      <c r="R145" s="6007"/>
      <c r="T145" s="6005" t="s">
        <v>301</v>
      </c>
      <c r="U145" s="6006"/>
      <c r="V145" s="6006"/>
      <c r="W145" s="6007"/>
      <c r="Y145" s="6005" t="s">
        <v>1457</v>
      </c>
      <c r="Z145" s="6006"/>
      <c r="AA145" s="6006"/>
      <c r="AB145" s="6007"/>
      <c r="AD145" s="6005" t="s">
        <v>1458</v>
      </c>
      <c r="AE145" s="6006"/>
      <c r="AF145" s="6006"/>
      <c r="AG145" s="6007"/>
      <c r="AH145" s="6056"/>
      <c r="AI145" s="5655"/>
    </row>
    <row r="146" ht="20.25" customHeight="1">
      <c r="A146" s="5650"/>
      <c r="B146" s="5970"/>
      <c r="C146" s="6008"/>
      <c r="D146" s="6063"/>
      <c r="E146" s="6009" t="s">
        <v>240</v>
      </c>
      <c r="F146" s="6010"/>
      <c r="G146" s="6011"/>
      <c r="H146" s="6012" t="str">
        <f>IMAGE("https://raw.githubusercontent.com/msikma/pokesprite/master/items/hold-item/focus-sash.png",3)</f>
        <v/>
      </c>
      <c r="J146" s="6009" t="s">
        <v>177</v>
      </c>
      <c r="K146" s="6010"/>
      <c r="L146" s="6011"/>
      <c r="M146" s="6012" t="str">
        <f>IMAGE("https://raw.githubusercontent.com/msikma/pokesprite/master/items/hold-item/air-balloon.png",3)</f>
        <v/>
      </c>
      <c r="O146" s="6009" t="s">
        <v>240</v>
      </c>
      <c r="P146" s="6010"/>
      <c r="Q146" s="6011"/>
      <c r="R146" s="6012" t="str">
        <f>IMAGE("https://raw.githubusercontent.com/msikma/pokesprite/master/items/hold-item/focus-sash.png",3)</f>
        <v/>
      </c>
      <c r="T146" s="6009" t="s">
        <v>306</v>
      </c>
      <c r="U146" s="6010"/>
      <c r="V146" s="6011"/>
      <c r="W146" s="6012" t="str">
        <f>IMAGE("https://i.ibb.co/SK50ng3/booster.png",4,22,22)</f>
        <v/>
      </c>
      <c r="Y146" s="6009" t="s">
        <v>846</v>
      </c>
      <c r="Z146" s="6010"/>
      <c r="AA146" s="6011"/>
      <c r="AB146" s="6012" t="str">
        <f>IMAGE("https://raw.githubusercontent.com/msikma/pokesprite/master/items/hold-item/black-glasses.png",3)</f>
        <v/>
      </c>
      <c r="AD146" s="6009" t="s">
        <v>580</v>
      </c>
      <c r="AE146" s="6010"/>
      <c r="AF146" s="6011"/>
      <c r="AG146" s="6012" t="str">
        <f>IMAGE("https://raw.githubusercontent.com/msikma/pokesprite/master/items/mega-stone/gengarite.png",3)</f>
        <v/>
      </c>
      <c r="AH146" s="5973"/>
      <c r="AI146" s="5655"/>
    </row>
    <row r="147" ht="20.25" customHeight="1">
      <c r="A147" s="5650"/>
      <c r="B147" s="5970"/>
      <c r="C147" s="5971"/>
      <c r="D147" s="6063"/>
      <c r="E147" s="6002" t="s">
        <v>406</v>
      </c>
      <c r="F147" s="6003"/>
      <c r="G147" s="6013"/>
      <c r="H147" s="6014" t="str">
        <f t="shared" ref="H147:H148" si="12">IMAGE("https://raw.githubusercontent.com/msikma/pokesprite/master/misc/types/gen8/dark.png",4,20,20)</f>
        <v/>
      </c>
      <c r="J147" s="6002" t="s">
        <v>920</v>
      </c>
      <c r="K147" s="6003"/>
      <c r="L147" s="6013"/>
      <c r="M147" s="6014" t="str">
        <f>IMAGE("https://raw.githubusercontent.com/msikma/pokesprite/master/misc/types/gen8/steel.png",4,20,20)</f>
        <v/>
      </c>
      <c r="O147" s="6002" t="s">
        <v>1452</v>
      </c>
      <c r="P147" s="6003"/>
      <c r="Q147" s="6013"/>
      <c r="R147" s="6014" t="str">
        <f>IMAGE("https://raw.githubusercontent.com/msikma/pokesprite/master/misc/types/gen8/ghost.png",4,20,20)</f>
        <v/>
      </c>
      <c r="T147" s="6002" t="s">
        <v>318</v>
      </c>
      <c r="U147" s="6003"/>
      <c r="V147" s="6013"/>
      <c r="W147" s="6014" t="str">
        <f>IMAGE("https://raw.githubusercontent.com/msikma/pokesprite/master/misc/types/gen8/ghost.png",4,20,20)</f>
        <v/>
      </c>
      <c r="Y147" s="6002" t="s">
        <v>606</v>
      </c>
      <c r="Z147" s="6003"/>
      <c r="AA147" s="6013"/>
      <c r="AB147" s="6014" t="str">
        <f>IMAGE("https://raw.githubusercontent.com/msikma/pokesprite/master/misc/types/gen8/fighting.png",4,20,20)</f>
        <v/>
      </c>
      <c r="AD147" s="6002" t="s">
        <v>318</v>
      </c>
      <c r="AE147" s="6003"/>
      <c r="AF147" s="6013"/>
      <c r="AG147" s="6014" t="str">
        <f>IMAGE("https://raw.githubusercontent.com/msikma/pokesprite/master/misc/types/gen8/ghost.png",4,20,20)</f>
        <v/>
      </c>
      <c r="AH147" s="5973"/>
      <c r="AI147" s="5655"/>
    </row>
    <row r="148" ht="20.25" customHeight="1">
      <c r="A148" s="5650"/>
      <c r="B148" s="5970"/>
      <c r="C148" s="5971"/>
      <c r="D148" s="6063"/>
      <c r="E148" s="6005" t="s">
        <v>345</v>
      </c>
      <c r="F148" s="6006"/>
      <c r="G148" s="6015"/>
      <c r="H148" s="6016" t="str">
        <f t="shared" si="12"/>
        <v/>
      </c>
      <c r="J148" s="6005" t="s">
        <v>401</v>
      </c>
      <c r="K148" s="6006"/>
      <c r="L148" s="6015"/>
      <c r="M148" s="6016" t="str">
        <f>IMAGE("https://raw.githubusercontent.com/msikma/pokesprite/master/misc/types/gen8/dark.png",4,20,20)</f>
        <v/>
      </c>
      <c r="O148" s="6005" t="s">
        <v>316</v>
      </c>
      <c r="P148" s="6006"/>
      <c r="Q148" s="6015"/>
      <c r="R148" s="6016" t="str">
        <f>IMAGE("https://raw.githubusercontent.com/msikma/pokesprite/master/misc/types/gen8/fighting.png",4,20,20)</f>
        <v/>
      </c>
      <c r="T148" s="6005" t="s">
        <v>464</v>
      </c>
      <c r="U148" s="6006"/>
      <c r="V148" s="6015"/>
      <c r="W148" s="6016" t="str">
        <f>IMAGE("https://raw.githubusercontent.com/msikma/pokesprite/master/misc/types/gen8/fairy.png",4,20,20)</f>
        <v/>
      </c>
      <c r="Y148" s="6005" t="s">
        <v>320</v>
      </c>
      <c r="Z148" s="6006"/>
      <c r="AA148" s="6015"/>
      <c r="AB148" s="6016" t="str">
        <f>IMAGE("https://raw.githubusercontent.com/msikma/pokesprite/master/misc/types/gen8/dark.png",4,20,20)</f>
        <v/>
      </c>
      <c r="AD148" s="6005" t="s">
        <v>405</v>
      </c>
      <c r="AE148" s="6006"/>
      <c r="AF148" s="6015"/>
      <c r="AG148" s="6016" t="str">
        <f>IMAGE("https://raw.githubusercontent.com/msikma/pokesprite/master/misc/types/gen8/poison.png",4,20,20)</f>
        <v/>
      </c>
      <c r="AH148" s="5973"/>
      <c r="AI148" s="5655"/>
    </row>
    <row r="149" ht="20.25" customHeight="1">
      <c r="A149" s="5650"/>
      <c r="B149" s="5970"/>
      <c r="C149" s="5971"/>
      <c r="D149" s="6063"/>
      <c r="E149" s="6005" t="s">
        <v>372</v>
      </c>
      <c r="F149" s="6006"/>
      <c r="G149" s="6015"/>
      <c r="H149" s="6016" t="str">
        <f>IMAGE("https://raw.githubusercontent.com/msikma/pokesprite/master/misc/types/gen8/fire.png",4,20,20)</f>
        <v/>
      </c>
      <c r="J149" s="6005" t="s">
        <v>318</v>
      </c>
      <c r="K149" s="6006"/>
      <c r="L149" s="6015"/>
      <c r="M149" s="6016" t="str">
        <f>IMAGE("https://raw.githubusercontent.com/msikma/pokesprite/master/misc/types/gen8/ghost.png",4,20,20)</f>
        <v/>
      </c>
      <c r="O149" s="6005" t="s">
        <v>585</v>
      </c>
      <c r="P149" s="6006"/>
      <c r="Q149" s="6015"/>
      <c r="R149" s="6016" t="str">
        <f>IMAGE("https://raw.githubusercontent.com/msikma/pokesprite/master/misc/types/gen8/ghost.png",4,20,20)</f>
        <v/>
      </c>
      <c r="T149" s="6005" t="s">
        <v>315</v>
      </c>
      <c r="U149" s="6006"/>
      <c r="V149" s="6015"/>
      <c r="W149" s="6016" t="str">
        <f>IMAGE("https://raw.githubusercontent.com/msikma/pokesprite/master/misc/types/gen8/fire.png",4,20,20)</f>
        <v/>
      </c>
      <c r="Y149" s="6005" t="s">
        <v>634</v>
      </c>
      <c r="Z149" s="6006"/>
      <c r="AA149" s="6015"/>
      <c r="AB149" s="6016" t="str">
        <f t="shared" ref="AB149:AB150" si="13">IMAGE("https://raw.githubusercontent.com/msikma/pokesprite/master/misc/types/gen8/ice.png",4,20,20)</f>
        <v/>
      </c>
      <c r="AD149" s="6005" t="s">
        <v>401</v>
      </c>
      <c r="AE149" s="6006"/>
      <c r="AF149" s="6015"/>
      <c r="AG149" s="6016" t="str">
        <f>IMAGE("https://raw.githubusercontent.com/msikma/pokesprite/master/misc/types/gen8/dark.png",4,20,20)</f>
        <v/>
      </c>
      <c r="AH149" s="5973"/>
      <c r="AI149" s="5655"/>
    </row>
    <row r="150" ht="21.0" customHeight="1">
      <c r="A150" s="5650"/>
      <c r="B150" s="5970"/>
      <c r="C150" s="5971"/>
      <c r="D150" s="6063"/>
      <c r="E150" s="6017" t="s">
        <v>280</v>
      </c>
      <c r="F150" s="6018"/>
      <c r="G150" s="6019"/>
      <c r="H150" s="6020" t="str">
        <f>IMAGE("https://raw.githubusercontent.com/msikma/pokesprite/master/misc/types/gen8/poison.png",4,20,20)</f>
        <v/>
      </c>
      <c r="I150" s="5967"/>
      <c r="J150" s="6017" t="s">
        <v>344</v>
      </c>
      <c r="K150" s="6018"/>
      <c r="L150" s="6019"/>
      <c r="M150" s="6020" t="str">
        <f>IMAGE("https://raw.githubusercontent.com/msikma/pokesprite/master/misc/types/gen8/fighting.png",4,20,20)</f>
        <v/>
      </c>
      <c r="N150" s="5967"/>
      <c r="O150" s="6017" t="s">
        <v>604</v>
      </c>
      <c r="P150" s="6018"/>
      <c r="Q150" s="6019"/>
      <c r="R150" s="6020" t="str">
        <f>IMAGE("https://raw.githubusercontent.com/msikma/pokesprite/master/misc/types/gen8/fighting.png",4,20,20)</f>
        <v/>
      </c>
      <c r="S150" s="5967"/>
      <c r="T150" s="6017" t="s">
        <v>217</v>
      </c>
      <c r="U150" s="6018"/>
      <c r="V150" s="6019"/>
      <c r="W150" s="6020" t="str">
        <f>IMAGE("https://raw.githubusercontent.com/msikma/pokesprite/master/misc/types/gen8/psychic.png",4,20,20)</f>
        <v/>
      </c>
      <c r="X150" s="5967"/>
      <c r="Y150" s="6017" t="s">
        <v>947</v>
      </c>
      <c r="Z150" s="6018"/>
      <c r="AA150" s="6019"/>
      <c r="AB150" s="6020" t="str">
        <f t="shared" si="13"/>
        <v/>
      </c>
      <c r="AC150" s="5967"/>
      <c r="AD150" s="6017" t="s">
        <v>375</v>
      </c>
      <c r="AE150" s="6018"/>
      <c r="AF150" s="6019"/>
      <c r="AG150" s="6020" t="str">
        <f>IMAGE("https://raw.githubusercontent.com/msikma/pokesprite/master/misc/types/gen8/fighting.png",4,20,20)</f>
        <v/>
      </c>
      <c r="AH150" s="5973"/>
      <c r="AI150" s="5655"/>
    </row>
    <row r="151" ht="3.0" customHeight="1">
      <c r="A151" s="5716"/>
      <c r="B151" s="6021"/>
      <c r="C151" s="6022"/>
      <c r="D151" s="6023"/>
      <c r="E151" s="6064"/>
      <c r="F151" s="6064"/>
      <c r="G151" s="6064"/>
      <c r="H151" s="6024"/>
      <c r="I151" s="5972"/>
      <c r="J151" s="6064"/>
      <c r="K151" s="6064"/>
      <c r="L151" s="6064"/>
      <c r="M151" s="6024"/>
      <c r="N151" s="5972"/>
      <c r="O151" s="6064"/>
      <c r="P151" s="6064"/>
      <c r="Q151" s="6064"/>
      <c r="R151" s="6024"/>
      <c r="S151" s="5972"/>
      <c r="T151" s="6064"/>
      <c r="U151" s="6064"/>
      <c r="V151" s="6064"/>
      <c r="W151" s="6024"/>
      <c r="X151" s="5972"/>
      <c r="Y151" s="6065"/>
      <c r="Z151" s="6065"/>
      <c r="AA151" s="6065"/>
      <c r="AB151" s="6025"/>
      <c r="AC151" s="6025"/>
      <c r="AD151" s="6065"/>
      <c r="AE151" s="6065"/>
      <c r="AF151" s="6065"/>
      <c r="AG151" s="6025"/>
      <c r="AH151" s="6026"/>
      <c r="AI151" s="5725"/>
    </row>
    <row r="152" ht="16.5" customHeight="1">
      <c r="A152" s="5726"/>
      <c r="B152" s="6027"/>
      <c r="C152" s="6028"/>
      <c r="D152" s="6029"/>
      <c r="E152" s="6030" t="s">
        <v>190</v>
      </c>
      <c r="F152" s="381"/>
      <c r="G152" s="382"/>
      <c r="H152" s="6031" t="s">
        <v>191</v>
      </c>
      <c r="I152" s="6023"/>
      <c r="J152" s="6030" t="s">
        <v>190</v>
      </c>
      <c r="K152" s="381"/>
      <c r="L152" s="382"/>
      <c r="M152" s="6031" t="s">
        <v>191</v>
      </c>
      <c r="N152" s="6023"/>
      <c r="O152" s="6030" t="s">
        <v>190</v>
      </c>
      <c r="P152" s="381"/>
      <c r="Q152" s="382"/>
      <c r="R152" s="6031" t="s">
        <v>191</v>
      </c>
      <c r="S152" s="6023"/>
      <c r="T152" s="6030" t="s">
        <v>190</v>
      </c>
      <c r="U152" s="381"/>
      <c r="V152" s="382"/>
      <c r="W152" s="6031" t="s">
        <v>191</v>
      </c>
      <c r="X152" s="6023"/>
      <c r="Y152" s="6030" t="s">
        <v>190</v>
      </c>
      <c r="Z152" s="381"/>
      <c r="AA152" s="382"/>
      <c r="AB152" s="6031" t="s">
        <v>191</v>
      </c>
      <c r="AC152" s="6032"/>
      <c r="AD152" s="6030" t="s">
        <v>190</v>
      </c>
      <c r="AE152" s="381"/>
      <c r="AF152" s="382"/>
      <c r="AG152" s="6031" t="s">
        <v>191</v>
      </c>
      <c r="AH152" s="6033"/>
      <c r="AI152" s="5735"/>
    </row>
    <row r="153" ht="16.5" customHeight="1">
      <c r="A153" s="5726"/>
      <c r="B153" s="6027"/>
      <c r="C153" s="6028"/>
      <c r="D153" s="6029"/>
      <c r="E153" s="6034" t="s">
        <v>192</v>
      </c>
      <c r="F153" s="6035">
        <f t="array" ref="F153">IFERROR(VLOOKUP(E140,Dex!$B$3:$N291,8,FALSE),"")</f>
        <v>60</v>
      </c>
      <c r="G153" s="6036" t="str">
        <f t="array" ref="G153">IFERROR(VLOOKUP(F153,Dex!$P$22:$Q$276,2,FALSE),"")</f>
        <v/>
      </c>
      <c r="H153" s="6037"/>
      <c r="I153" s="6029"/>
      <c r="J153" s="6034" t="s">
        <v>192</v>
      </c>
      <c r="K153" s="6035">
        <f t="array" ref="K153">IFERROR(VLOOKUP(J140,Dex!$B$3:$N291,8,FALSE),"")</f>
        <v>87</v>
      </c>
      <c r="L153" s="6036" t="str">
        <f t="array" ref="L153">IFERROR(VLOOKUP(K153,Dex!$P$22:$Q$276,2,FALSE),"")</f>
        <v/>
      </c>
      <c r="M153" s="6037"/>
      <c r="N153" s="6029"/>
      <c r="O153" s="6034" t="s">
        <v>192</v>
      </c>
      <c r="P153" s="6035">
        <f t="array" ref="P153">IFERROR(VLOOKUP(O140,Dex!$B$3:$N291,8,FALSE),"")</f>
        <v>90</v>
      </c>
      <c r="Q153" s="6036" t="str">
        <f t="array" ref="Q153">IFERROR(VLOOKUP(P153,Dex!$P$22:$Q$276,2,FALSE),"")</f>
        <v/>
      </c>
      <c r="R153" s="6037"/>
      <c r="S153" s="6029"/>
      <c r="T153" s="6034" t="s">
        <v>192</v>
      </c>
      <c r="U153" s="6035">
        <f t="array" ref="U153">IFERROR(VLOOKUP(T140,Dex!$B$3:$N291,8,FALSE),"")</f>
        <v>55</v>
      </c>
      <c r="V153" s="6036" t="str">
        <f t="array" ref="V153">IFERROR(VLOOKUP(U153,Dex!$P$22:$Q$276,2,FALSE),"")</f>
        <v/>
      </c>
      <c r="W153" s="6037"/>
      <c r="X153" s="6029"/>
      <c r="Y153" s="6034" t="s">
        <v>192</v>
      </c>
      <c r="Z153" s="6035">
        <f t="array" ref="Z153">IFERROR(VLOOKUP(Y140,Dex!$B$3:$N291,8,FALSE),"")</f>
        <v>80</v>
      </c>
      <c r="AA153" s="6036" t="str">
        <f t="array" ref="AA153">IFERROR(VLOOKUP(Z153,Dex!$P$22:$Q$276,2,FALSE),"")</f>
        <v/>
      </c>
      <c r="AB153" s="6037"/>
      <c r="AC153" s="6032"/>
      <c r="AD153" s="6034" t="s">
        <v>192</v>
      </c>
      <c r="AE153" s="6035">
        <f t="array" ref="AE153">IFERROR(VLOOKUP(AD140,Dex!$B$3:$N291,8,FALSE),"")</f>
        <v>60</v>
      </c>
      <c r="AF153" s="6036" t="str">
        <f t="array" ref="AF153">IFERROR(VLOOKUP(AE153,Dex!$P$22:$Q$276,2,FALSE),"")</f>
        <v/>
      </c>
      <c r="AG153" s="6037"/>
      <c r="AH153" s="6033"/>
      <c r="AI153" s="5735"/>
    </row>
    <row r="154" ht="16.5" customHeight="1">
      <c r="A154" s="5726"/>
      <c r="B154" s="6027"/>
      <c r="C154" s="6028"/>
      <c r="D154" s="6029"/>
      <c r="E154" s="6038" t="s">
        <v>193</v>
      </c>
      <c r="F154" s="6039">
        <f t="array" ref="F154">IFERROR(VLOOKUP(E140,Dex!$B$3:$N291,9,FALSE),"")</f>
        <v>105</v>
      </c>
      <c r="G154" s="6040" t="str">
        <f t="array" ref="G154">IFERROR(VLOOKUP(F154,Dex!$P$22:$Q$276,2,FALSE),"")</f>
        <v/>
      </c>
      <c r="H154" s="6041"/>
      <c r="I154" s="6029"/>
      <c r="J154" s="6038" t="s">
        <v>193</v>
      </c>
      <c r="K154" s="6039">
        <f t="array" ref="K154">IFERROR(VLOOKUP(J140,Dex!$B$3:$N291,9,FALSE),"")</f>
        <v>60</v>
      </c>
      <c r="L154" s="6040" t="str">
        <f t="array" ref="L154">IFERROR(VLOOKUP(K154,Dex!$P$22:$Q$276,2,FALSE),"")</f>
        <v/>
      </c>
      <c r="M154" s="6041"/>
      <c r="N154" s="6029"/>
      <c r="O154" s="6038" t="s">
        <v>193</v>
      </c>
      <c r="P154" s="6039">
        <f t="array" ref="P154">IFERROR(VLOOKUP(O140,Dex!$B$3:$N291,9,FALSE),"")</f>
        <v>125</v>
      </c>
      <c r="Q154" s="6040" t="str">
        <f t="array" ref="Q154">IFERROR(VLOOKUP(P154,Dex!$P$22:$Q$276,2,FALSE),"")</f>
        <v/>
      </c>
      <c r="R154" s="6041">
        <v>252.0</v>
      </c>
      <c r="S154" s="6029"/>
      <c r="T154" s="6038" t="s">
        <v>193</v>
      </c>
      <c r="U154" s="6039">
        <f t="array" ref="U154">IFERROR(VLOOKUP(T140,Dex!$B$3:$N291,9,FALSE),"")</f>
        <v>55</v>
      </c>
      <c r="V154" s="6040" t="str">
        <f t="array" ref="V154">IFERROR(VLOOKUP(U154,Dex!$P$22:$Q$276,2,FALSE),"")</f>
        <v/>
      </c>
      <c r="W154" s="6041"/>
      <c r="X154" s="6029"/>
      <c r="Y154" s="6038" t="s">
        <v>193</v>
      </c>
      <c r="Z154" s="6039">
        <f t="array" ref="Z154">IFERROR(VLOOKUP(Y140,Dex!$B$3:$N291,9,FALSE),"")</f>
        <v>120</v>
      </c>
      <c r="AA154" s="6040" t="str">
        <f t="array" ref="AA154">IFERROR(VLOOKUP(Z154,Dex!$P$22:$Q$276,2,FALSE),"")</f>
        <v/>
      </c>
      <c r="AB154" s="6041">
        <v>252.0</v>
      </c>
      <c r="AC154" s="6032"/>
      <c r="AD154" s="6038" t="s">
        <v>193</v>
      </c>
      <c r="AE154" s="6039">
        <f t="array" ref="AE154">IFERROR(VLOOKUP(AD140,Dex!$B$3:$N291,9,FALSE),"")</f>
        <v>65</v>
      </c>
      <c r="AF154" s="6040" t="str">
        <f t="array" ref="AF154">IFERROR(VLOOKUP(AE154,Dex!$P$22:$Q$276,2,FALSE),"")</f>
        <v/>
      </c>
      <c r="AG154" s="6041"/>
      <c r="AH154" s="6033"/>
      <c r="AI154" s="5735"/>
    </row>
    <row r="155" ht="16.5" customHeight="1">
      <c r="A155" s="5726"/>
      <c r="B155" s="6027"/>
      <c r="C155" s="6028"/>
      <c r="D155" s="6029"/>
      <c r="E155" s="6038" t="s">
        <v>194</v>
      </c>
      <c r="F155" s="6039">
        <f t="array" ref="F155">IFERROR(VLOOKUP(E140,Dex!$B$3:$N291,10,FALSE),"")</f>
        <v>60</v>
      </c>
      <c r="G155" s="6040" t="str">
        <f t="array" ref="G155">IFERROR(VLOOKUP(F155,Dex!$P$22:$Q$276,2,FALSE),"")</f>
        <v/>
      </c>
      <c r="H155" s="6041">
        <v>4.0</v>
      </c>
      <c r="I155" s="6029"/>
      <c r="J155" s="6038" t="s">
        <v>194</v>
      </c>
      <c r="K155" s="6039">
        <f t="array" ref="K155">IFERROR(VLOOKUP(J140,Dex!$B$3:$N291,10,FALSE),"")</f>
        <v>95</v>
      </c>
      <c r="L155" s="6040" t="str">
        <f t="array" ref="L155">IFERROR(VLOOKUP(K155,Dex!$P$22:$Q$276,2,FALSE),"")</f>
        <v/>
      </c>
      <c r="M155" s="6041">
        <v>4.0</v>
      </c>
      <c r="N155" s="6029"/>
      <c r="O155" s="6038" t="s">
        <v>194</v>
      </c>
      <c r="P155" s="6039">
        <f t="array" ref="P155">IFERROR(VLOOKUP(O140,Dex!$B$3:$N291,10,FALSE),"")</f>
        <v>80</v>
      </c>
      <c r="Q155" s="6040" t="str">
        <f t="array" ref="Q155">IFERROR(VLOOKUP(P155,Dex!$P$22:$Q$276,2,FALSE),"")</f>
        <v/>
      </c>
      <c r="R155" s="6041">
        <v>4.0</v>
      </c>
      <c r="S155" s="6029"/>
      <c r="T155" s="6038" t="s">
        <v>194</v>
      </c>
      <c r="U155" s="6039">
        <f t="array" ref="U155">IFERROR(VLOOKUP(T140,Dex!$B$3:$N291,10,FALSE),"")</f>
        <v>55</v>
      </c>
      <c r="V155" s="6040" t="str">
        <f t="array" ref="V155">IFERROR(VLOOKUP(U155,Dex!$P$22:$Q$276,2,FALSE),"")</f>
        <v/>
      </c>
      <c r="W155" s="6041">
        <v>4.0</v>
      </c>
      <c r="X155" s="6029"/>
      <c r="Y155" s="6038" t="s">
        <v>194</v>
      </c>
      <c r="Z155" s="6039">
        <f t="array" ref="Z155">IFERROR(VLOOKUP(Y140,Dex!$B$3:$N291,10,FALSE),"")</f>
        <v>80</v>
      </c>
      <c r="AA155" s="6040" t="str">
        <f t="array" ref="AA155">IFERROR(VLOOKUP(Z155,Dex!$P$22:$Q$276,2,FALSE),"")</f>
        <v/>
      </c>
      <c r="AB155" s="6041">
        <v>4.0</v>
      </c>
      <c r="AC155" s="6032"/>
      <c r="AD155" s="6038" t="s">
        <v>194</v>
      </c>
      <c r="AE155" s="6039">
        <f t="array" ref="AE155">IFERROR(VLOOKUP(AD140,Dex!$B$3:$N291,10,FALSE),"")</f>
        <v>80</v>
      </c>
      <c r="AF155" s="6040" t="str">
        <f t="array" ref="AF155">IFERROR(VLOOKUP(AE155,Dex!$P$22:$Q$276,2,FALSE),"")</f>
        <v/>
      </c>
      <c r="AG155" s="6041">
        <v>4.0</v>
      </c>
      <c r="AH155" s="6033"/>
      <c r="AI155" s="5735"/>
    </row>
    <row r="156" ht="16.5" customHeight="1">
      <c r="A156" s="5726"/>
      <c r="B156" s="6027"/>
      <c r="C156" s="6028"/>
      <c r="D156" s="6029"/>
      <c r="E156" s="6038" t="s">
        <v>195</v>
      </c>
      <c r="F156" s="6039">
        <f t="array" ref="F156">IFERROR(VLOOKUP(E140,Dex!$B$3:$N291,11,FALSE),"")</f>
        <v>120</v>
      </c>
      <c r="G156" s="6040" t="str">
        <f t="array" ref="G156">IFERROR(VLOOKUP(F156,Dex!$P$22:$Q$276,2,FALSE),"")</f>
        <v/>
      </c>
      <c r="H156" s="6041">
        <v>252.0</v>
      </c>
      <c r="I156" s="6029"/>
      <c r="J156" s="6038" t="s">
        <v>195</v>
      </c>
      <c r="K156" s="6039">
        <f t="array" ref="K156">IFERROR(VLOOKUP(J140,Dex!$B$3:$N291,11,FALSE),"")</f>
        <v>133</v>
      </c>
      <c r="L156" s="6040" t="str">
        <f t="array" ref="L156">IFERROR(VLOOKUP(K156,Dex!$P$22:$Q$276,2,FALSE),"")</f>
        <v/>
      </c>
      <c r="M156" s="6041">
        <v>252.0</v>
      </c>
      <c r="N156" s="6029"/>
      <c r="O156" s="6038" t="s">
        <v>195</v>
      </c>
      <c r="P156" s="6039">
        <f t="array" ref="P156">IFERROR(VLOOKUP(O140,Dex!$B$3:$N291,11,FALSE),"")</f>
        <v>90</v>
      </c>
      <c r="Q156" s="6040" t="str">
        <f t="array" ref="Q156">IFERROR(VLOOKUP(P156,Dex!$P$22:$Q$276,2,FALSE),"")</f>
        <v/>
      </c>
      <c r="R156" s="6041"/>
      <c r="S156" s="6029"/>
      <c r="T156" s="6038" t="s">
        <v>195</v>
      </c>
      <c r="U156" s="6039">
        <f t="array" ref="U156">IFERROR(VLOOKUP(T140,Dex!$B$3:$N291,11,FALSE),"")</f>
        <v>135</v>
      </c>
      <c r="V156" s="6040" t="str">
        <f t="array" ref="V156">IFERROR(VLOOKUP(U156,Dex!$P$22:$Q$276,2,FALSE),"")</f>
        <v/>
      </c>
      <c r="W156" s="6041">
        <v>252.0</v>
      </c>
      <c r="X156" s="6029"/>
      <c r="Y156" s="6038" t="s">
        <v>195</v>
      </c>
      <c r="Z156" s="6039">
        <f t="array" ref="Z156">IFERROR(VLOOKUP(Y140,Dex!$B$3:$N291,11,FALSE),"")</f>
        <v>90</v>
      </c>
      <c r="AA156" s="6040" t="str">
        <f t="array" ref="AA156">IFERROR(VLOOKUP(Z156,Dex!$P$22:$Q$276,2,FALSE),"")</f>
        <v/>
      </c>
      <c r="AB156" s="6041"/>
      <c r="AC156" s="6032"/>
      <c r="AD156" s="6038" t="s">
        <v>195</v>
      </c>
      <c r="AE156" s="6039">
        <f t="array" ref="AE156">IFERROR(VLOOKUP(AD140,Dex!$B$3:$N291,11,FALSE),"")</f>
        <v>170</v>
      </c>
      <c r="AF156" s="6040" t="str">
        <f t="array" ref="AF156">IFERROR(VLOOKUP(AE156,Dex!$P$22:$Q$276,2,FALSE),"")</f>
        <v/>
      </c>
      <c r="AG156" s="6041">
        <v>252.0</v>
      </c>
      <c r="AH156" s="6033"/>
      <c r="AI156" s="5735"/>
    </row>
    <row r="157" ht="16.5" customHeight="1">
      <c r="A157" s="5726"/>
      <c r="B157" s="6027"/>
      <c r="C157" s="6028"/>
      <c r="D157" s="6029"/>
      <c r="E157" s="6038" t="s">
        <v>196</v>
      </c>
      <c r="F157" s="6039">
        <f t="array" ref="F157">IFERROR(VLOOKUP(E140,Dex!$B$3:$N291,12,FALSE),"")</f>
        <v>60</v>
      </c>
      <c r="G157" s="6040" t="str">
        <f t="array" ref="G157">IFERROR(VLOOKUP(F157,Dex!$P$22:$Q$276,2,FALSE),"")</f>
        <v/>
      </c>
      <c r="H157" s="6041"/>
      <c r="I157" s="6029"/>
      <c r="J157" s="6038" t="s">
        <v>196</v>
      </c>
      <c r="K157" s="6039">
        <f t="array" ref="K157">IFERROR(VLOOKUP(J140,Dex!$B$3:$N291,12,FALSE),"")</f>
        <v>91</v>
      </c>
      <c r="L157" s="6040" t="str">
        <f t="array" ref="L157">IFERROR(VLOOKUP(K157,Dex!$P$22:$Q$276,2,FALSE),"")</f>
        <v/>
      </c>
      <c r="M157" s="6041"/>
      <c r="N157" s="6029"/>
      <c r="O157" s="6038" t="s">
        <v>196</v>
      </c>
      <c r="P157" s="6039">
        <f t="array" ref="P157">IFERROR(VLOOKUP(O140,Dex!$B$3:$N291,12,FALSE),"")</f>
        <v>90</v>
      </c>
      <c r="Q157" s="6040" t="str">
        <f t="array" ref="Q157">IFERROR(VLOOKUP(P157,Dex!$P$22:$Q$276,2,FALSE),"")</f>
        <v/>
      </c>
      <c r="R157" s="6041"/>
      <c r="S157" s="6029"/>
      <c r="T157" s="6038" t="s">
        <v>196</v>
      </c>
      <c r="U157" s="6039">
        <f t="array" ref="U157">IFERROR(VLOOKUP(T140,Dex!$B$3:$N291,12,FALSE),"")</f>
        <v>135</v>
      </c>
      <c r="V157" s="6040" t="str">
        <f t="array" ref="V157">IFERROR(VLOOKUP(U157,Dex!$P$22:$Q$276,2,FALSE),"")</f>
        <v/>
      </c>
      <c r="W157" s="6041"/>
      <c r="X157" s="6029"/>
      <c r="Y157" s="6038" t="s">
        <v>196</v>
      </c>
      <c r="Z157" s="6039">
        <f t="array" ref="Z157">IFERROR(VLOOKUP(Y140,Dex!$B$3:$N291,12,FALSE),"")</f>
        <v>65</v>
      </c>
      <c r="AA157" s="6040" t="str">
        <f t="array" ref="AA157">IFERROR(VLOOKUP(Z157,Dex!$P$22:$Q$276,2,FALSE),"")</f>
        <v/>
      </c>
      <c r="AB157" s="6041"/>
      <c r="AC157" s="6032"/>
      <c r="AD157" s="6038" t="s">
        <v>196</v>
      </c>
      <c r="AE157" s="6039">
        <f t="array" ref="AE157">IFERROR(VLOOKUP(AD140,Dex!$B$3:$N291,12,FALSE),"")</f>
        <v>95</v>
      </c>
      <c r="AF157" s="6040" t="str">
        <f t="array" ref="AF157">IFERROR(VLOOKUP(AE157,Dex!$P$22:$Q$276,2,FALSE),"")</f>
        <v/>
      </c>
      <c r="AG157" s="6041"/>
      <c r="AH157" s="6033"/>
      <c r="AI157" s="5735"/>
    </row>
    <row r="158" ht="16.5" customHeight="1">
      <c r="A158" s="5726"/>
      <c r="B158" s="6027"/>
      <c r="C158" s="6028"/>
      <c r="D158" s="6029"/>
      <c r="E158" s="6042" t="s">
        <v>197</v>
      </c>
      <c r="F158" s="6043">
        <f t="array" ref="F158">IFERROR(VLOOKUP(E140,Dex!$B$3:$N291,13,FALSE),"")</f>
        <v>105</v>
      </c>
      <c r="G158" s="6044" t="str">
        <f t="array" ref="G158">IFERROR(VLOOKUP(F158,Dex!$P$22:$Q$276,2,FALSE),"")</f>
        <v/>
      </c>
      <c r="H158" s="6045">
        <v>252.0</v>
      </c>
      <c r="I158" s="6029"/>
      <c r="J158" s="6042" t="s">
        <v>197</v>
      </c>
      <c r="K158" s="6043">
        <f t="array" ref="K158">IFERROR(VLOOKUP(J140,Dex!$B$3:$N291,13,FALSE),"")</f>
        <v>84</v>
      </c>
      <c r="L158" s="6044" t="str">
        <f t="array" ref="L158">IFERROR(VLOOKUP(K158,Dex!$P$22:$Q$276,2,FALSE),"")</f>
        <v/>
      </c>
      <c r="M158" s="6045">
        <v>252.0</v>
      </c>
      <c r="N158" s="6029"/>
      <c r="O158" s="6042" t="s">
        <v>197</v>
      </c>
      <c r="P158" s="6043">
        <f t="array" ref="P158">IFERROR(VLOOKUP(O140,Dex!$B$3:$N291,13,FALSE),"")</f>
        <v>125</v>
      </c>
      <c r="Q158" s="6044" t="str">
        <f t="array" ref="Q158">IFERROR(VLOOKUP(P158,Dex!$P$22:$Q$276,2,FALSE),"")</f>
        <v/>
      </c>
      <c r="R158" s="6045">
        <v>252.0</v>
      </c>
      <c r="S158" s="6029"/>
      <c r="T158" s="6042" t="s">
        <v>197</v>
      </c>
      <c r="U158" s="6043">
        <f t="array" ref="U158">IFERROR(VLOOKUP(T140,Dex!$B$3:$N291,13,FALSE),"")</f>
        <v>135</v>
      </c>
      <c r="V158" s="6044" t="str">
        <f t="array" ref="V158">IFERROR(VLOOKUP(U158,Dex!$P$22:$Q$276,2,FALSE),"")</f>
        <v/>
      </c>
      <c r="W158" s="6045">
        <v>252.0</v>
      </c>
      <c r="X158" s="6029"/>
      <c r="Y158" s="6042" t="s">
        <v>197</v>
      </c>
      <c r="Z158" s="6043">
        <f t="array" ref="Z158">IFERROR(VLOOKUP(Y140,Dex!$B$3:$N291,13,FALSE),"")</f>
        <v>135</v>
      </c>
      <c r="AA158" s="6044" t="str">
        <f t="array" ref="AA158">IFERROR(VLOOKUP(Z158,Dex!$P$22:$Q$276,2,FALSE),"")</f>
        <v/>
      </c>
      <c r="AB158" s="6045">
        <v>252.0</v>
      </c>
      <c r="AC158" s="6032"/>
      <c r="AD158" s="6042" t="s">
        <v>197</v>
      </c>
      <c r="AE158" s="6043">
        <f t="array" ref="AE158">IFERROR(VLOOKUP(AD140,Dex!$B$3:$N291,13,FALSE),"")</f>
        <v>130</v>
      </c>
      <c r="AF158" s="6044" t="str">
        <f t="array" ref="AF158">IFERROR(VLOOKUP(AE158,Dex!$P$22:$Q$276,2,FALSE),"")</f>
        <v/>
      </c>
      <c r="AG158" s="6045">
        <v>252.0</v>
      </c>
      <c r="AH158" s="6033"/>
      <c r="AI158" s="5735"/>
    </row>
    <row r="159" ht="16.5" customHeight="1">
      <c r="A159" s="5726"/>
      <c r="B159" s="6027"/>
      <c r="C159" s="6028"/>
      <c r="D159" s="6029"/>
      <c r="E159" s="6046" t="s">
        <v>198</v>
      </c>
      <c r="F159" s="405"/>
      <c r="G159" s="406"/>
      <c r="H159" s="6047">
        <v>289.0</v>
      </c>
      <c r="I159" s="6029"/>
      <c r="J159" s="6046" t="s">
        <v>198</v>
      </c>
      <c r="K159" s="405"/>
      <c r="L159" s="406"/>
      <c r="M159" s="6047">
        <v>249.0</v>
      </c>
      <c r="N159" s="6029"/>
      <c r="O159" s="6046" t="s">
        <v>198</v>
      </c>
      <c r="P159" s="405"/>
      <c r="Q159" s="406"/>
      <c r="R159" s="6047">
        <v>326.0</v>
      </c>
      <c r="S159" s="6029"/>
      <c r="T159" s="6066" t="s">
        <v>198</v>
      </c>
      <c r="U159" s="918"/>
      <c r="V159" s="919"/>
      <c r="W159" s="6067">
        <v>345.0</v>
      </c>
      <c r="X159" s="6029"/>
      <c r="Y159" s="6046" t="s">
        <v>198</v>
      </c>
      <c r="Z159" s="405"/>
      <c r="AA159" s="406"/>
      <c r="AB159" s="6047">
        <v>337.0</v>
      </c>
      <c r="AC159" s="6032"/>
      <c r="AD159" s="6046" t="s">
        <v>198</v>
      </c>
      <c r="AE159" s="405"/>
      <c r="AF159" s="406"/>
      <c r="AG159" s="6047">
        <v>327.0</v>
      </c>
      <c r="AH159" s="6033"/>
      <c r="AI159" s="5735"/>
    </row>
    <row r="160" ht="16.5" customHeight="1">
      <c r="A160" s="5726"/>
      <c r="B160" s="6068"/>
      <c r="C160" s="6069"/>
      <c r="D160" s="6070"/>
      <c r="E160" s="6069"/>
      <c r="F160" s="6069"/>
      <c r="G160" s="6069"/>
      <c r="H160" s="6069"/>
      <c r="I160" s="6070"/>
      <c r="J160" s="6069"/>
      <c r="K160" s="6069"/>
      <c r="L160" s="6069"/>
      <c r="M160" s="6069"/>
      <c r="N160" s="6070"/>
      <c r="O160" s="6069"/>
      <c r="P160" s="6069"/>
      <c r="Q160" s="6069"/>
      <c r="R160" s="6069"/>
      <c r="S160" s="6070"/>
      <c r="T160" s="6071" t="s">
        <v>1459</v>
      </c>
      <c r="U160" s="925"/>
      <c r="V160" s="926"/>
      <c r="W160" s="6072">
        <v>517.0</v>
      </c>
      <c r="X160" s="6070"/>
      <c r="Y160" s="6069"/>
      <c r="Z160" s="6069"/>
      <c r="AA160" s="6069"/>
      <c r="AB160" s="6069"/>
      <c r="AC160" s="6073"/>
      <c r="AD160" s="6069"/>
      <c r="AE160" s="6069"/>
      <c r="AF160" s="6069"/>
      <c r="AG160" s="6069"/>
      <c r="AH160" s="6074"/>
      <c r="AI160" s="5735"/>
    </row>
    <row r="161" ht="15.0" customHeight="1">
      <c r="A161" s="5726"/>
      <c r="B161" s="6075"/>
      <c r="C161" s="6076"/>
      <c r="D161" s="6077"/>
      <c r="E161" s="6078"/>
      <c r="F161" s="6078"/>
      <c r="G161" s="6078"/>
      <c r="H161" s="6078"/>
      <c r="I161" s="6077"/>
      <c r="J161" s="6078"/>
      <c r="K161" s="6078"/>
      <c r="L161" s="6078"/>
      <c r="M161" s="6078"/>
      <c r="N161" s="6077"/>
      <c r="O161" s="6078"/>
      <c r="P161" s="6078"/>
      <c r="Q161" s="6078"/>
      <c r="R161" s="6078"/>
      <c r="S161" s="6077"/>
      <c r="T161" s="6078"/>
      <c r="U161" s="6078"/>
      <c r="V161" s="6078"/>
      <c r="W161" s="6078"/>
      <c r="X161" s="6077"/>
      <c r="Y161" s="6078"/>
      <c r="Z161" s="6078"/>
      <c r="AA161" s="6078"/>
      <c r="AB161" s="6078"/>
      <c r="AC161" s="6077"/>
      <c r="AD161" s="6078"/>
      <c r="AE161" s="6078"/>
      <c r="AF161" s="6078"/>
      <c r="AG161" s="6078"/>
      <c r="AH161" s="6079"/>
      <c r="AI161" s="5735"/>
    </row>
    <row r="162" ht="15.0" customHeight="1">
      <c r="A162" s="5726"/>
      <c r="B162" s="3228"/>
      <c r="C162" s="6080"/>
      <c r="D162" s="6081"/>
      <c r="E162" s="6081"/>
      <c r="F162" s="6081"/>
      <c r="G162" s="6081"/>
      <c r="H162" s="6081"/>
      <c r="I162" s="6081"/>
      <c r="J162" s="6081"/>
      <c r="K162" s="6081"/>
      <c r="L162" s="6081"/>
      <c r="M162" s="6081"/>
      <c r="N162" s="6081"/>
      <c r="O162" s="6081"/>
      <c r="P162" s="6081"/>
      <c r="Q162" s="6081"/>
      <c r="R162" s="6081"/>
      <c r="S162" s="6081"/>
      <c r="T162" s="6081"/>
      <c r="U162" s="6081"/>
      <c r="V162" s="6081"/>
      <c r="W162" s="6081"/>
      <c r="X162" s="6081"/>
      <c r="Y162" s="6081"/>
      <c r="Z162" s="6081"/>
      <c r="AA162" s="6081"/>
      <c r="AB162" s="6081"/>
      <c r="AC162" s="6081"/>
      <c r="AD162" s="6081"/>
      <c r="AE162" s="6081"/>
      <c r="AF162" s="6081"/>
      <c r="AG162" s="3326"/>
      <c r="AH162" s="3231"/>
      <c r="AI162" s="5735"/>
    </row>
    <row r="163" ht="11.25" customHeight="1">
      <c r="A163" s="5726"/>
      <c r="B163" s="3232"/>
      <c r="C163" s="6082"/>
      <c r="D163" s="3234"/>
      <c r="E163" s="3180" t="s">
        <v>1432</v>
      </c>
      <c r="F163" s="3181"/>
      <c r="G163" s="3181"/>
      <c r="H163" s="3181"/>
      <c r="I163" s="3181"/>
      <c r="J163" s="3181"/>
      <c r="K163" s="3181"/>
      <c r="L163" s="3181"/>
      <c r="M163" s="3181"/>
      <c r="N163" s="3181"/>
      <c r="O163" s="3181"/>
      <c r="P163" s="3181"/>
      <c r="Q163" s="3181"/>
      <c r="R163" s="3181"/>
      <c r="S163" s="3181"/>
      <c r="T163" s="3181"/>
      <c r="U163" s="3181"/>
      <c r="V163" s="3181"/>
      <c r="W163" s="3181"/>
      <c r="X163" s="3181"/>
      <c r="Y163" s="3181"/>
      <c r="Z163" s="3181"/>
      <c r="AA163" s="3181"/>
      <c r="AB163" s="3181"/>
      <c r="AC163" s="3181"/>
      <c r="AD163" s="3181"/>
      <c r="AE163" s="3181"/>
      <c r="AF163" s="3181"/>
      <c r="AG163" s="3182"/>
      <c r="AH163" s="3238"/>
      <c r="AI163" s="5735"/>
    </row>
    <row r="164" ht="11.25" customHeight="1">
      <c r="A164" s="5726"/>
      <c r="B164" s="3232"/>
      <c r="C164" s="6082"/>
      <c r="D164" s="3234"/>
      <c r="E164" s="114"/>
      <c r="F164" s="3185"/>
      <c r="G164" s="3185"/>
      <c r="H164" s="3185"/>
      <c r="I164" s="3185"/>
      <c r="J164" s="3185"/>
      <c r="K164" s="3185"/>
      <c r="L164" s="3185"/>
      <c r="M164" s="3185"/>
      <c r="N164" s="3185"/>
      <c r="O164" s="3185"/>
      <c r="P164" s="3185"/>
      <c r="Q164" s="3185"/>
      <c r="R164" s="3185"/>
      <c r="S164" s="3185"/>
      <c r="T164" s="3185"/>
      <c r="U164" s="3185"/>
      <c r="V164" s="3185"/>
      <c r="W164" s="3185"/>
      <c r="X164" s="3185"/>
      <c r="Y164" s="3185"/>
      <c r="Z164" s="3185"/>
      <c r="AA164" s="3185"/>
      <c r="AB164" s="3185"/>
      <c r="AC164" s="3185"/>
      <c r="AD164" s="3185"/>
      <c r="AE164" s="3185"/>
      <c r="AF164" s="3185"/>
      <c r="AG164" s="3186"/>
      <c r="AH164" s="3238"/>
      <c r="AI164" s="5735"/>
    </row>
    <row r="165" ht="3.75" customHeight="1">
      <c r="A165" s="5726"/>
      <c r="B165" s="6083"/>
      <c r="C165" s="6084"/>
      <c r="D165" s="6085"/>
      <c r="E165" s="6086"/>
      <c r="F165" s="6086"/>
      <c r="G165" s="6086"/>
      <c r="H165" s="6086"/>
      <c r="I165" s="6087"/>
      <c r="J165" s="6087"/>
      <c r="K165" s="6087"/>
      <c r="L165" s="6087"/>
      <c r="M165" s="6087"/>
      <c r="N165" s="6087"/>
      <c r="O165" s="6086"/>
      <c r="P165" s="6086"/>
      <c r="Q165" s="6086"/>
      <c r="R165" s="6086"/>
      <c r="S165" s="6087"/>
      <c r="T165" s="6086"/>
      <c r="U165" s="6086"/>
      <c r="V165" s="6086"/>
      <c r="W165" s="6086"/>
      <c r="X165" s="6087"/>
      <c r="Y165" s="6086"/>
      <c r="Z165" s="6086"/>
      <c r="AA165" s="6086"/>
      <c r="AB165" s="6086"/>
      <c r="AC165" s="6087"/>
      <c r="AD165" s="6087"/>
      <c r="AE165" s="6087"/>
      <c r="AF165" s="6087"/>
      <c r="AG165" s="6087"/>
      <c r="AH165" s="6088"/>
      <c r="AI165" s="5735"/>
    </row>
    <row r="166" ht="96.75" customHeight="1">
      <c r="A166" s="5726"/>
      <c r="B166" s="3277"/>
      <c r="C166" s="3278" t="str">
        <f>IMAGE("https://i.ibb.co/q7H43Kp/Lance.png")</f>
        <v/>
      </c>
      <c r="D166" s="3240"/>
      <c r="E166" s="3279" t="str">
        <f t="array" ref="E166">IFERROR(VLOOKUP(E167,Dex!$B$3:$G291,3,FALSE),"")</f>
        <v/>
      </c>
      <c r="F166" s="1830"/>
      <c r="G166" s="1830"/>
      <c r="H166" s="1831"/>
      <c r="I166" s="6089"/>
      <c r="J166" s="3279" t="str">
        <f t="array" ref="J166">IFERROR(VLOOKUP(J167,Dex!$B$3:$G291,3,FALSE),"")</f>
        <v/>
      </c>
      <c r="K166" s="1830"/>
      <c r="L166" s="1830"/>
      <c r="M166" s="1831"/>
      <c r="N166" s="6089"/>
      <c r="O166" s="3279" t="str">
        <f t="array" ref="O166">IFERROR(VLOOKUP(O167,Dex!$B$3:$G291,3,FALSE),"")</f>
        <v/>
      </c>
      <c r="P166" s="1830"/>
      <c r="Q166" s="1830"/>
      <c r="R166" s="1831"/>
      <c r="S166" s="6090"/>
      <c r="T166" s="3279" t="str">
        <f t="array" ref="T166">IFERROR(VLOOKUP(T167,Dex!$B$3:$G291,3,FALSE),"")</f>
        <v/>
      </c>
      <c r="U166" s="1830"/>
      <c r="V166" s="1830"/>
      <c r="W166" s="1831"/>
      <c r="X166" s="6090"/>
      <c r="Y166" s="3279" t="str">
        <f t="array" ref="Y166">IFERROR(VLOOKUP(Y167,Dex!$B$3:$G291,3,FALSE),"")</f>
        <v/>
      </c>
      <c r="Z166" s="1830"/>
      <c r="AA166" s="1830"/>
      <c r="AB166" s="1831"/>
      <c r="AC166" s="6090"/>
      <c r="AD166" s="3279" t="str">
        <f t="array" ref="AD166">IFERROR(VLOOKUP(AD167,Dex!$B$3:$G291,3,FALSE),"")</f>
        <v/>
      </c>
      <c r="AE166" s="1830"/>
      <c r="AF166" s="1830"/>
      <c r="AG166" s="1831"/>
      <c r="AH166" s="3242"/>
      <c r="AI166" s="5735"/>
    </row>
    <row r="167" ht="18.75" customHeight="1">
      <c r="A167" s="5726"/>
      <c r="B167" s="3283"/>
      <c r="C167" s="3284" t="s">
        <v>1460</v>
      </c>
      <c r="D167" s="3244"/>
      <c r="E167" s="3285" t="s">
        <v>383</v>
      </c>
      <c r="F167" s="3286"/>
      <c r="G167" s="3286"/>
      <c r="H167" s="3287"/>
      <c r="J167" s="3285" t="s">
        <v>646</v>
      </c>
      <c r="K167" s="3286"/>
      <c r="L167" s="3286"/>
      <c r="M167" s="3287"/>
      <c r="O167" s="3285" t="s">
        <v>1461</v>
      </c>
      <c r="P167" s="3286"/>
      <c r="Q167" s="3286"/>
      <c r="R167" s="3287"/>
      <c r="T167" s="3285" t="s">
        <v>385</v>
      </c>
      <c r="U167" s="3286"/>
      <c r="V167" s="3286"/>
      <c r="W167" s="3287"/>
      <c r="Y167" s="3285" t="s">
        <v>1462</v>
      </c>
      <c r="Z167" s="3286"/>
      <c r="AA167" s="3286"/>
      <c r="AB167" s="3287"/>
      <c r="AD167" s="3285" t="s">
        <v>967</v>
      </c>
      <c r="AE167" s="3286"/>
      <c r="AF167" s="3286"/>
      <c r="AG167" s="3287"/>
      <c r="AH167" s="3245"/>
      <c r="AI167" s="5735"/>
    </row>
    <row r="168">
      <c r="A168" s="5726"/>
      <c r="B168" s="3291"/>
      <c r="C168" s="326"/>
      <c r="D168" s="3247"/>
      <c r="E168" s="3292">
        <v>85.0</v>
      </c>
      <c r="F168" s="3293"/>
      <c r="G168" s="3293"/>
      <c r="H168" s="3294"/>
      <c r="J168" s="3292">
        <v>85.0</v>
      </c>
      <c r="K168" s="3293"/>
      <c r="L168" s="3293"/>
      <c r="M168" s="3294"/>
      <c r="O168" s="3292">
        <v>85.0</v>
      </c>
      <c r="P168" s="3293"/>
      <c r="Q168" s="3293"/>
      <c r="R168" s="3294"/>
      <c r="T168" s="3292">
        <v>85.0</v>
      </c>
      <c r="U168" s="3293"/>
      <c r="V168" s="3293"/>
      <c r="W168" s="3294"/>
      <c r="Y168" s="3292">
        <v>85.0</v>
      </c>
      <c r="Z168" s="3293"/>
      <c r="AA168" s="3293"/>
      <c r="AB168" s="3294"/>
      <c r="AD168" s="3292">
        <v>85.0</v>
      </c>
      <c r="AE168" s="3293"/>
      <c r="AF168" s="3293"/>
      <c r="AG168" s="3294"/>
      <c r="AH168" s="3249"/>
      <c r="AI168" s="5735"/>
    </row>
    <row r="169" ht="25.5" customHeight="1">
      <c r="A169" s="5726"/>
      <c r="B169" s="3232"/>
      <c r="C169" s="3250"/>
      <c r="D169" s="3251"/>
      <c r="E169" s="3297"/>
      <c r="F169" s="3298" t="str">
        <f t="array" ref="F169">IFERROR(VLOOKUP(E167,Dex!$B$3:$H291,5,FALSE),"")</f>
        <v/>
      </c>
      <c r="G169" s="3299" t="str">
        <f t="array" ref="G169">IFERROR(VLOOKUP(E167,Dex!$B$3:$H291,7,FALSE),"")</f>
        <v/>
      </c>
      <c r="H169" s="3300"/>
      <c r="J169" s="3297"/>
      <c r="K169" s="6091" t="str">
        <f t="array" ref="K169">IFERROR(VLOOKUP(J167,Dex!$B$3:$H291,5,FALSE),"")</f>
        <v/>
      </c>
      <c r="L169" s="6092"/>
      <c r="M169" s="3300"/>
      <c r="O169" s="3297"/>
      <c r="P169" s="3298" t="str">
        <f t="array" ref="P169">IFERROR(VLOOKUP(O167,Dex!$B$3:$H291,5,FALSE),"")</f>
        <v/>
      </c>
      <c r="Q169" s="3299" t="str">
        <f t="array" ref="Q169">IFERROR(VLOOKUP(O167,Dex!$B$3:$H291,7,FALSE),"")</f>
        <v/>
      </c>
      <c r="R169" s="3300"/>
      <c r="T169" s="3297"/>
      <c r="U169" s="3298" t="str">
        <f t="array" ref="U169">IFERROR(VLOOKUP(T167,Dex!$B$3:$H291,5,FALSE),"")</f>
        <v/>
      </c>
      <c r="V169" s="3299" t="str">
        <f t="array" ref="V169">IFERROR(VLOOKUP(T167,Dex!$B$3:$H291,7,FALSE),"")</f>
        <v/>
      </c>
      <c r="W169" s="3300"/>
      <c r="Y169" s="3297"/>
      <c r="Z169" s="3298" t="str">
        <f t="array" ref="Z169">IFERROR(VLOOKUP(Y167,Dex!$B$3:$H291,5,FALSE),"")</f>
        <v/>
      </c>
      <c r="AA169" s="3299" t="str">
        <f t="array" ref="AA169">IFERROR(VLOOKUP(Y167,Dex!$B$3:$H291,7,FALSE),"")</f>
        <v/>
      </c>
      <c r="AB169" s="3300"/>
      <c r="AD169" s="3297"/>
      <c r="AE169" s="3298" t="str">
        <f t="array" ref="AE169">IFERROR(VLOOKUP(AD167,Dex!$B$3:$H291,5,FALSE),"")</f>
        <v/>
      </c>
      <c r="AF169" s="3299" t="str">
        <f t="array" ref="AF169">IFERROR(VLOOKUP(AD167,Dex!$B$3:$H291,7,FALSE),"")</f>
        <v/>
      </c>
      <c r="AG169" s="3300"/>
      <c r="AH169" s="3238"/>
      <c r="AI169" s="5735"/>
    </row>
    <row r="170" ht="2.25" customHeight="1">
      <c r="A170" s="5726"/>
      <c r="B170" s="3232"/>
      <c r="C170" s="3253"/>
      <c r="D170" s="3251"/>
      <c r="E170" s="3301"/>
      <c r="F170" s="3302"/>
      <c r="G170" s="3302"/>
      <c r="H170" s="3303"/>
      <c r="J170" s="3301"/>
      <c r="K170" s="3302"/>
      <c r="L170" s="3302"/>
      <c r="M170" s="3303"/>
      <c r="O170" s="3301"/>
      <c r="P170" s="3302"/>
      <c r="Q170" s="3302"/>
      <c r="R170" s="3303"/>
      <c r="T170" s="3301"/>
      <c r="U170" s="3302"/>
      <c r="V170" s="3302"/>
      <c r="W170" s="3303"/>
      <c r="Y170" s="3301"/>
      <c r="Z170" s="3302"/>
      <c r="AA170" s="3302"/>
      <c r="AB170" s="3303"/>
      <c r="AD170" s="3301"/>
      <c r="AE170" s="3302"/>
      <c r="AF170" s="3302"/>
      <c r="AG170" s="3303"/>
      <c r="AH170" s="3238"/>
      <c r="AI170" s="5735"/>
    </row>
    <row r="171" ht="20.25" customHeight="1">
      <c r="A171" s="5726"/>
      <c r="B171" s="3232"/>
      <c r="C171" s="3254"/>
      <c r="D171" s="3251"/>
      <c r="E171" s="3304" t="s">
        <v>172</v>
      </c>
      <c r="F171" s="3305"/>
      <c r="G171" s="3305"/>
      <c r="H171" s="3306"/>
      <c r="J171" s="3304" t="s">
        <v>169</v>
      </c>
      <c r="K171" s="3305"/>
      <c r="L171" s="3305"/>
      <c r="M171" s="3306"/>
      <c r="O171" s="3304" t="s">
        <v>205</v>
      </c>
      <c r="P171" s="3305"/>
      <c r="Q171" s="3305"/>
      <c r="R171" s="3306"/>
      <c r="T171" s="3304" t="s">
        <v>172</v>
      </c>
      <c r="U171" s="3305"/>
      <c r="V171" s="3305"/>
      <c r="W171" s="3306"/>
      <c r="Y171" s="3304" t="s">
        <v>231</v>
      </c>
      <c r="Z171" s="3305"/>
      <c r="AA171" s="3305"/>
      <c r="AB171" s="3306"/>
      <c r="AD171" s="3304" t="s">
        <v>172</v>
      </c>
      <c r="AE171" s="3305"/>
      <c r="AF171" s="3305"/>
      <c r="AG171" s="3306"/>
      <c r="AH171" s="3242"/>
      <c r="AI171" s="5735"/>
    </row>
    <row r="172">
      <c r="A172" s="5726"/>
      <c r="B172" s="3232"/>
      <c r="C172" s="3255"/>
      <c r="D172" s="3251"/>
      <c r="E172" s="3307" t="s">
        <v>808</v>
      </c>
      <c r="F172" s="3308"/>
      <c r="G172" s="3308"/>
      <c r="H172" s="3309"/>
      <c r="J172" s="3307" t="s">
        <v>235</v>
      </c>
      <c r="K172" s="3308"/>
      <c r="L172" s="3308"/>
      <c r="M172" s="3309"/>
      <c r="O172" s="3307" t="s">
        <v>332</v>
      </c>
      <c r="P172" s="3308"/>
      <c r="Q172" s="3308"/>
      <c r="R172" s="3309"/>
      <c r="T172" s="3307" t="s">
        <v>390</v>
      </c>
      <c r="U172" s="3308"/>
      <c r="V172" s="3308"/>
      <c r="W172" s="3309"/>
      <c r="Y172" s="3307" t="s">
        <v>1463</v>
      </c>
      <c r="Z172" s="3308"/>
      <c r="AA172" s="3308"/>
      <c r="AB172" s="3309"/>
      <c r="AD172" s="3307" t="s">
        <v>1464</v>
      </c>
      <c r="AE172" s="3308"/>
      <c r="AF172" s="3308"/>
      <c r="AG172" s="3309"/>
      <c r="AH172" s="3242"/>
      <c r="AI172" s="5735"/>
    </row>
    <row r="173" ht="20.25" customHeight="1">
      <c r="A173" s="5726"/>
      <c r="B173" s="3232"/>
      <c r="C173" s="3253"/>
      <c r="D173" s="3251"/>
      <c r="E173" s="3310" t="s">
        <v>240</v>
      </c>
      <c r="F173" s="3311"/>
      <c r="G173" s="3312"/>
      <c r="H173" s="3313" t="str">
        <f>IMAGE("https://raw.githubusercontent.com/msikma/pokesprite/master/items/hold-item/focus-sash.png",3)</f>
        <v/>
      </c>
      <c r="J173" s="3310" t="s">
        <v>473</v>
      </c>
      <c r="K173" s="3311"/>
      <c r="L173" s="3312"/>
      <c r="M173" s="3313" t="str">
        <f>IMAGE("https://raw.githubusercontent.com/msikma/pokesprite/master/items/hold-item/assault-vest.png",3)</f>
        <v/>
      </c>
      <c r="O173" s="3310" t="s">
        <v>306</v>
      </c>
      <c r="P173" s="3311"/>
      <c r="Q173" s="3312"/>
      <c r="R173" s="3313" t="str">
        <f>IMAGE("https://i.ibb.co/SK50ng3/booster.png",4,22,22)</f>
        <v/>
      </c>
      <c r="T173" s="3310" t="s">
        <v>393</v>
      </c>
      <c r="U173" s="3311"/>
      <c r="V173" s="3312"/>
      <c r="W173" s="3313" t="str">
        <f>IMAGE("https://raw.githubusercontent.com/msikma/pokesprite/master/items/hold-item/weakness-policy.png",3)</f>
        <v/>
      </c>
      <c r="Y173" s="3310" t="s">
        <v>1465</v>
      </c>
      <c r="Z173" s="3311"/>
      <c r="AA173" s="3312"/>
      <c r="AB173" s="3313" t="str">
        <f>IMAGE("https://raw.githubusercontent.com/msikma/pokesprite/master/items/hold-item/adamant-orb.png",3)</f>
        <v/>
      </c>
      <c r="AD173" s="3310" t="s">
        <v>971</v>
      </c>
      <c r="AE173" s="3311"/>
      <c r="AF173" s="3312"/>
      <c r="AG173" s="3313" t="str">
        <f>IMAGE("https://raw.githubusercontent.com/msikma/pokesprite/master/items/mega-stone/salamencite.png",3)</f>
        <v/>
      </c>
      <c r="AH173" s="3238"/>
      <c r="AI173" s="5735"/>
    </row>
    <row r="174" ht="20.25" customHeight="1">
      <c r="A174" s="5726"/>
      <c r="B174" s="3232"/>
      <c r="C174" s="3254"/>
      <c r="D174" s="3251"/>
      <c r="E174" s="3304" t="s">
        <v>395</v>
      </c>
      <c r="F174" s="3305"/>
      <c r="G174" s="3314"/>
      <c r="H174" s="3315" t="str">
        <f>IMAGE("https://raw.githubusercontent.com/msikma/pokesprite/master/misc/types/gen8/rock.png",4,20,20)</f>
        <v/>
      </c>
      <c r="J174" s="3304" t="s">
        <v>654</v>
      </c>
      <c r="K174" s="3305"/>
      <c r="L174" s="3314"/>
      <c r="M174" s="3315" t="str">
        <f>IMAGE("https://raw.githubusercontent.com/msikma/pokesprite/master/misc/types/gen8/steel.png",4,20,20)</f>
        <v/>
      </c>
      <c r="O174" s="3304" t="s">
        <v>1466</v>
      </c>
      <c r="P174" s="3305"/>
      <c r="Q174" s="3314"/>
      <c r="R174" s="3315" t="str">
        <f>IMAGE("https://raw.githubusercontent.com/msikma/pokesprite/master/misc/types/gen8/dark.png",4,20,20)</f>
        <v/>
      </c>
      <c r="T174" s="3304" t="s">
        <v>397</v>
      </c>
      <c r="U174" s="3305"/>
      <c r="V174" s="3314"/>
      <c r="W174" s="3315" t="str">
        <f>IMAGE("https://raw.githubusercontent.com/msikma/pokesprite/master/misc/types/gen8/normal.png",4,20,20)</f>
        <v/>
      </c>
      <c r="Y174" s="3304" t="s">
        <v>1467</v>
      </c>
      <c r="Z174" s="3305"/>
      <c r="AA174" s="3314"/>
      <c r="AB174" s="3315" t="str">
        <f>IMAGE("https://raw.githubusercontent.com/msikma/pokesprite/master/misc/types/gen8/dragon.png",4,20,20)</f>
        <v/>
      </c>
      <c r="AD174" s="3304" t="s">
        <v>396</v>
      </c>
      <c r="AE174" s="3305"/>
      <c r="AF174" s="3314"/>
      <c r="AG174" s="3315" t="str">
        <f>IMAGE("https://raw.githubusercontent.com/msikma/pokesprite/master/misc/types/gen8/dragon.png",4,20,20)</f>
        <v/>
      </c>
      <c r="AH174" s="3238"/>
      <c r="AI174" s="5735"/>
    </row>
    <row r="175" ht="20.25" customHeight="1">
      <c r="A175" s="5726"/>
      <c r="B175" s="3232"/>
      <c r="C175" s="3257"/>
      <c r="D175" s="3251"/>
      <c r="E175" s="3307" t="s">
        <v>402</v>
      </c>
      <c r="F175" s="3308"/>
      <c r="G175" s="3317"/>
      <c r="H175" s="3318" t="str">
        <f>IMAGE("https://raw.githubusercontent.com/msikma/pokesprite/master/misc/types/gen8/ground.png",4,20,20)</f>
        <v/>
      </c>
      <c r="J175" s="3307" t="s">
        <v>402</v>
      </c>
      <c r="K175" s="3308"/>
      <c r="L175" s="3317"/>
      <c r="M175" s="3318" t="str">
        <f>IMAGE("https://raw.githubusercontent.com/msikma/pokesprite/master/misc/types/gen8/ground.png",4,20,20)</f>
        <v/>
      </c>
      <c r="O175" s="3307" t="s">
        <v>372</v>
      </c>
      <c r="P175" s="3308"/>
      <c r="Q175" s="3317"/>
      <c r="R175" s="3318" t="str">
        <f>IMAGE("https://raw.githubusercontent.com/msikma/pokesprite/master/misc/types/gen8/fire.png",4,20,20)</f>
        <v/>
      </c>
      <c r="T175" s="3307" t="s">
        <v>396</v>
      </c>
      <c r="U175" s="3308"/>
      <c r="V175" s="3317"/>
      <c r="W175" s="3318" t="str">
        <f>IMAGE("https://raw.githubusercontent.com/msikma/pokesprite/master/misc/types/gen8/dragon.png",4,20,20)</f>
        <v/>
      </c>
      <c r="Y175" s="3307" t="s">
        <v>404</v>
      </c>
      <c r="Z175" s="3308"/>
      <c r="AA175" s="3317"/>
      <c r="AB175" s="3318" t="str">
        <f>IMAGE("https://raw.githubusercontent.com/msikma/pokesprite/master/misc/types/gen8/steel.png",4,20,20)</f>
        <v/>
      </c>
      <c r="AD175" s="3307" t="s">
        <v>640</v>
      </c>
      <c r="AE175" s="3308"/>
      <c r="AF175" s="3317"/>
      <c r="AG175" s="3318" t="str">
        <f>IMAGE("https://raw.githubusercontent.com/msikma/pokesprite/master/misc/types/gen8/flying.png",4,20,20)</f>
        <v/>
      </c>
      <c r="AH175" s="3238"/>
      <c r="AI175" s="5735"/>
    </row>
    <row r="176" ht="20.25" customHeight="1">
      <c r="A176" s="5726"/>
      <c r="B176" s="3232"/>
      <c r="C176" s="3257"/>
      <c r="D176" s="3251"/>
      <c r="E176" s="3307" t="s">
        <v>406</v>
      </c>
      <c r="F176" s="3308"/>
      <c r="G176" s="3317"/>
      <c r="H176" s="3318" t="str">
        <f>IMAGE("https://raw.githubusercontent.com/msikma/pokesprite/master/misc/types/gen8/dark.png",4,20,20)</f>
        <v/>
      </c>
      <c r="J176" s="3307" t="s">
        <v>249</v>
      </c>
      <c r="K176" s="3308"/>
      <c r="L176" s="3317"/>
      <c r="M176" s="3318" t="str">
        <f>IMAGE("https://raw.githubusercontent.com/msikma/pokesprite/master/misc/types/gen8/electric.png",4,20,20)</f>
        <v/>
      </c>
      <c r="O176" s="3307" t="s">
        <v>1266</v>
      </c>
      <c r="P176" s="3308"/>
      <c r="Q176" s="3317"/>
      <c r="R176" s="3318" t="str">
        <f>IMAGE("https://raw.githubusercontent.com/msikma/pokesprite/master/misc/types/gen8/flying.png",4,20,20)</f>
        <v/>
      </c>
      <c r="T176" s="3307" t="s">
        <v>408</v>
      </c>
      <c r="U176" s="3308"/>
      <c r="V176" s="3317"/>
      <c r="W176" s="3318" t="str">
        <f>IMAGE("https://raw.githubusercontent.com/msikma/pokesprite/master/misc/types/gen8/flying.png",4,20,20)</f>
        <v/>
      </c>
      <c r="Y176" s="3307" t="s">
        <v>633</v>
      </c>
      <c r="Z176" s="3308"/>
      <c r="AA176" s="3317"/>
      <c r="AB176" s="3318" t="str">
        <f>IMAGE("https://raw.githubusercontent.com/msikma/pokesprite/master/misc/types/gen8/psychic.png",4,20,20)</f>
        <v/>
      </c>
      <c r="AD176" s="3307" t="s">
        <v>402</v>
      </c>
      <c r="AE176" s="3308"/>
      <c r="AF176" s="3317"/>
      <c r="AG176" s="3318" t="str">
        <f>IMAGE("https://raw.githubusercontent.com/msikma/pokesprite/master/misc/types/gen8/ground.png",4,20,20)</f>
        <v/>
      </c>
      <c r="AH176" s="3238"/>
      <c r="AI176" s="5735"/>
    </row>
    <row r="177" ht="21.0" customHeight="1">
      <c r="A177" s="5726"/>
      <c r="B177" s="3232"/>
      <c r="C177" s="3257"/>
      <c r="D177" s="3251"/>
      <c r="E177" s="3320" t="s">
        <v>399</v>
      </c>
      <c r="F177" s="3321"/>
      <c r="G177" s="3322"/>
      <c r="H177" s="3323" t="str">
        <f>IMAGE("https://raw.githubusercontent.com/msikma/pokesprite/master/misc/types/gen8/rock.png",4,20,20)</f>
        <v/>
      </c>
      <c r="I177" s="6081"/>
      <c r="J177" s="3320" t="s">
        <v>215</v>
      </c>
      <c r="K177" s="3321"/>
      <c r="L177" s="3322"/>
      <c r="M177" s="3323" t="str">
        <f>IMAGE("https://raw.githubusercontent.com/msikma/pokesprite/master/misc/types/gen8/ice.png",4,20,20)</f>
        <v/>
      </c>
      <c r="N177" s="6081"/>
      <c r="O177" s="3320" t="s">
        <v>286</v>
      </c>
      <c r="P177" s="3321"/>
      <c r="Q177" s="3322"/>
      <c r="R177" s="3323" t="str">
        <f>IMAGE("https://raw.githubusercontent.com/msikma/pokesprite/master/misc/types/gen8/ground.png",4,20,20)</f>
        <v/>
      </c>
      <c r="S177" s="6081"/>
      <c r="T177" s="3320" t="s">
        <v>402</v>
      </c>
      <c r="U177" s="3321"/>
      <c r="V177" s="3322"/>
      <c r="W177" s="3323" t="str">
        <f>IMAGE("https://raw.githubusercontent.com/msikma/pokesprite/master/misc/types/gen8/ground.png",4,20,20)</f>
        <v/>
      </c>
      <c r="X177" s="6081"/>
      <c r="Y177" s="3320" t="s">
        <v>185</v>
      </c>
      <c r="Z177" s="3321"/>
      <c r="AA177" s="3322"/>
      <c r="AB177" s="3323" t="str">
        <f>IMAGE("https://raw.githubusercontent.com/msikma/pokesprite/master/misc/types/gen8/normal.png",4,20,20)</f>
        <v/>
      </c>
      <c r="AC177" s="6081"/>
      <c r="AD177" s="3320" t="s">
        <v>825</v>
      </c>
      <c r="AE177" s="3321"/>
      <c r="AF177" s="3322"/>
      <c r="AG177" s="3323" t="str">
        <f>IMAGE("https://raw.githubusercontent.com/msikma/pokesprite/master/misc/types/gen8/fire.png",4,20,20)</f>
        <v/>
      </c>
      <c r="AH177" s="3238"/>
      <c r="AI177" s="5735"/>
    </row>
    <row r="178" ht="3.0" customHeight="1">
      <c r="A178" s="5726"/>
      <c r="B178" s="3258"/>
      <c r="C178" s="3259"/>
      <c r="D178" s="3260"/>
      <c r="E178" s="3261"/>
      <c r="F178" s="3261"/>
      <c r="G178" s="3261"/>
      <c r="H178" s="3261"/>
      <c r="I178" s="3260"/>
      <c r="J178" s="3261"/>
      <c r="K178" s="3261"/>
      <c r="L178" s="3261"/>
      <c r="M178" s="3261"/>
      <c r="N178" s="3260"/>
      <c r="O178" s="3261"/>
      <c r="P178" s="3261"/>
      <c r="Q178" s="3261"/>
      <c r="R178" s="3261"/>
      <c r="S178" s="3260"/>
      <c r="T178" s="3261"/>
      <c r="U178" s="3261"/>
      <c r="V178" s="3261"/>
      <c r="W178" s="3261"/>
      <c r="X178" s="3260"/>
      <c r="Y178" s="3261"/>
      <c r="Z178" s="3261"/>
      <c r="AA178" s="3261"/>
      <c r="AB178" s="3261"/>
      <c r="AC178" s="3260"/>
      <c r="AD178" s="3261"/>
      <c r="AE178" s="3261"/>
      <c r="AF178" s="3261"/>
      <c r="AG178" s="3261"/>
      <c r="AH178" s="3267"/>
      <c r="AI178" s="5735"/>
    </row>
    <row r="179" ht="16.5" customHeight="1">
      <c r="A179" s="5726"/>
      <c r="B179" s="3268"/>
      <c r="C179" s="3259"/>
      <c r="D179" s="3269"/>
      <c r="E179" s="3330" t="s">
        <v>190</v>
      </c>
      <c r="F179" s="381"/>
      <c r="G179" s="382"/>
      <c r="H179" s="3331" t="s">
        <v>191</v>
      </c>
      <c r="I179" s="3332"/>
      <c r="J179" s="3330" t="s">
        <v>190</v>
      </c>
      <c r="K179" s="381"/>
      <c r="L179" s="382"/>
      <c r="M179" s="3331" t="s">
        <v>191</v>
      </c>
      <c r="N179" s="3332"/>
      <c r="O179" s="3330" t="s">
        <v>190</v>
      </c>
      <c r="P179" s="381"/>
      <c r="Q179" s="382"/>
      <c r="R179" s="3331" t="s">
        <v>191</v>
      </c>
      <c r="S179" s="6093"/>
      <c r="T179" s="3330" t="s">
        <v>190</v>
      </c>
      <c r="U179" s="381"/>
      <c r="V179" s="382"/>
      <c r="W179" s="3331" t="s">
        <v>191</v>
      </c>
      <c r="X179" s="3269"/>
      <c r="Y179" s="3330" t="s">
        <v>190</v>
      </c>
      <c r="Z179" s="381"/>
      <c r="AA179" s="382"/>
      <c r="AB179" s="3331" t="s">
        <v>191</v>
      </c>
      <c r="AC179" s="3269"/>
      <c r="AD179" s="3330" t="s">
        <v>190</v>
      </c>
      <c r="AE179" s="381"/>
      <c r="AF179" s="382"/>
      <c r="AG179" s="3331" t="s">
        <v>191</v>
      </c>
      <c r="AH179" s="3335"/>
      <c r="AI179" s="5735"/>
    </row>
    <row r="180" ht="16.5" customHeight="1">
      <c r="A180" s="5726"/>
      <c r="B180" s="3268"/>
      <c r="C180" s="3259"/>
      <c r="D180" s="3269"/>
      <c r="E180" s="3336" t="s">
        <v>192</v>
      </c>
      <c r="F180" s="3337">
        <f t="array" ref="F180">IFERROR(VLOOKUP(E167,Dex!$B$3:$N291,8,FALSE),"")</f>
        <v>80</v>
      </c>
      <c r="G180" s="3338" t="str">
        <f t="array" ref="G180">IFERROR(VLOOKUP(F180,Dex!$P$22:$Q$276,2,FALSE),"")</f>
        <v/>
      </c>
      <c r="H180" s="3339"/>
      <c r="I180" s="3332"/>
      <c r="J180" s="3336" t="s">
        <v>192</v>
      </c>
      <c r="K180" s="3337">
        <f t="array" ref="K180">IFERROR(VLOOKUP(J167,Dex!$B$3:$N291,8,FALSE),"")</f>
        <v>135</v>
      </c>
      <c r="L180" s="3338" t="str">
        <f t="array" ref="L180">IFERROR(VLOOKUP(K180,Dex!$P$22:$Q$276,2,FALSE),"")</f>
        <v/>
      </c>
      <c r="M180" s="3339">
        <v>252.0</v>
      </c>
      <c r="N180" s="3332"/>
      <c r="O180" s="3336" t="s">
        <v>192</v>
      </c>
      <c r="P180" s="3337">
        <f t="array" ref="P180">IFERROR(VLOOKUP(O167,Dex!$B$3:$N291,8,FALSE),"")</f>
        <v>94</v>
      </c>
      <c r="Q180" s="3338" t="str">
        <f t="array" ref="Q180">IFERROR(VLOOKUP(P180,Dex!$P$22:$Q$276,2,FALSE),"")</f>
        <v/>
      </c>
      <c r="R180" s="3339"/>
      <c r="S180" s="3333"/>
      <c r="T180" s="3336" t="s">
        <v>192</v>
      </c>
      <c r="U180" s="3337">
        <f t="array" ref="U180">IFERROR(VLOOKUP(T167,Dex!$B$3:$N291,8,FALSE),"")</f>
        <v>91</v>
      </c>
      <c r="V180" s="3338" t="str">
        <f t="array" ref="V180">IFERROR(VLOOKUP(U180,Dex!$P$22:$Q$276,2,FALSE),"")</f>
        <v/>
      </c>
      <c r="W180" s="3339"/>
      <c r="X180" s="3334"/>
      <c r="Y180" s="3336" t="s">
        <v>192</v>
      </c>
      <c r="Z180" s="3337">
        <f t="array" ref="Z180">IFERROR(VLOOKUP(Y167,Dex!$B$3:$N291,8,FALSE),"")</f>
        <v>100</v>
      </c>
      <c r="AA180" s="3338" t="str">
        <f t="array" ref="AA180">IFERROR(VLOOKUP(Z180,Dex!$P$22:$Q$276,2,FALSE),"")</f>
        <v/>
      </c>
      <c r="AB180" s="3339">
        <v>252.0</v>
      </c>
      <c r="AC180" s="3334"/>
      <c r="AD180" s="3336" t="s">
        <v>192</v>
      </c>
      <c r="AE180" s="3337">
        <f t="array" ref="AE180">IFERROR(VLOOKUP(AD167,Dex!$B$3:$N291,8,FALSE),"")</f>
        <v>95</v>
      </c>
      <c r="AF180" s="3338" t="str">
        <f t="array" ref="AF180">IFERROR(VLOOKUP(AE180,Dex!$P$22:$Q$276,2,FALSE),"")</f>
        <v/>
      </c>
      <c r="AG180" s="3339"/>
      <c r="AH180" s="3335"/>
      <c r="AI180" s="5735"/>
    </row>
    <row r="181" ht="16.5" customHeight="1">
      <c r="A181" s="5726"/>
      <c r="B181" s="3268"/>
      <c r="C181" s="3259"/>
      <c r="D181" s="3269"/>
      <c r="E181" s="3340" t="s">
        <v>193</v>
      </c>
      <c r="F181" s="3341">
        <f t="array" ref="F181">IFERROR(VLOOKUP(E167,Dex!$B$3:$N291,9,FALSE),"")</f>
        <v>105</v>
      </c>
      <c r="G181" s="3342" t="str">
        <f t="array" ref="G181">IFERROR(VLOOKUP(F181,Dex!$P$22:$Q$276,2,FALSE),"")</f>
        <v/>
      </c>
      <c r="H181" s="3343">
        <v>252.0</v>
      </c>
      <c r="I181" s="3332"/>
      <c r="J181" s="3340" t="s">
        <v>193</v>
      </c>
      <c r="K181" s="3341">
        <f t="array" ref="K181">IFERROR(VLOOKUP(J167,Dex!$B$3:$N291,9,FALSE),"")</f>
        <v>143</v>
      </c>
      <c r="L181" s="3342" t="str">
        <f t="array" ref="L181">IFERROR(VLOOKUP(K181,Dex!$P$22:$Q$276,2,FALSE),"")</f>
        <v/>
      </c>
      <c r="M181" s="3343">
        <v>252.0</v>
      </c>
      <c r="N181" s="3332"/>
      <c r="O181" s="3340" t="s">
        <v>193</v>
      </c>
      <c r="P181" s="3341">
        <f t="array" ref="P181">IFERROR(VLOOKUP(O167,Dex!$B$3:$N291,9,FALSE),"")</f>
        <v>80</v>
      </c>
      <c r="Q181" s="3342" t="str">
        <f t="array" ref="Q181">IFERROR(VLOOKUP(P181,Dex!$P$22:$Q$276,2,FALSE),"")</f>
        <v/>
      </c>
      <c r="R181" s="3343"/>
      <c r="S181" s="3333"/>
      <c r="T181" s="3340" t="s">
        <v>193</v>
      </c>
      <c r="U181" s="3341">
        <f t="array" ref="U181">IFERROR(VLOOKUP(T167,Dex!$B$3:$N291,9,FALSE),"")</f>
        <v>134</v>
      </c>
      <c r="V181" s="3342" t="str">
        <f t="array" ref="V181">IFERROR(VLOOKUP(U181,Dex!$P$22:$Q$276,2,FALSE),"")</f>
        <v/>
      </c>
      <c r="W181" s="3343">
        <v>252.0</v>
      </c>
      <c r="X181" s="3334"/>
      <c r="Y181" s="3340" t="s">
        <v>193</v>
      </c>
      <c r="Z181" s="3341">
        <f t="array" ref="Z181">IFERROR(VLOOKUP(Y167,Dex!$B$3:$N291,9,FALSE),"")</f>
        <v>120</v>
      </c>
      <c r="AA181" s="3342" t="str">
        <f t="array" ref="AA181">IFERROR(VLOOKUP(Z181,Dex!$P$22:$Q$276,2,FALSE),"")</f>
        <v/>
      </c>
      <c r="AB181" s="3343"/>
      <c r="AC181" s="3334"/>
      <c r="AD181" s="3340" t="s">
        <v>193</v>
      </c>
      <c r="AE181" s="3341">
        <f t="array" ref="AE181">IFERROR(VLOOKUP(AD167,Dex!$B$3:$N291,9,FALSE),"")</f>
        <v>145</v>
      </c>
      <c r="AF181" s="3342" t="str">
        <f t="array" ref="AF181">IFERROR(VLOOKUP(AE181,Dex!$P$22:$Q$276,2,FALSE),"")</f>
        <v/>
      </c>
      <c r="AG181" s="3343">
        <v>252.0</v>
      </c>
      <c r="AH181" s="3335"/>
      <c r="AI181" s="5735"/>
    </row>
    <row r="182" ht="16.5" customHeight="1">
      <c r="A182" s="5726"/>
      <c r="B182" s="3268"/>
      <c r="C182" s="3259"/>
      <c r="D182" s="3269"/>
      <c r="E182" s="3340" t="s">
        <v>194</v>
      </c>
      <c r="F182" s="3341">
        <f t="array" ref="F182">IFERROR(VLOOKUP(E167,Dex!$B$3:$N291,10,FALSE),"")</f>
        <v>65</v>
      </c>
      <c r="G182" s="3342" t="str">
        <f t="array" ref="G182">IFERROR(VLOOKUP(F182,Dex!$P$22:$Q$276,2,FALSE),"")</f>
        <v/>
      </c>
      <c r="H182" s="3343">
        <v>4.0</v>
      </c>
      <c r="I182" s="3332"/>
      <c r="J182" s="3340" t="s">
        <v>194</v>
      </c>
      <c r="K182" s="3341">
        <f t="array" ref="K182">IFERROR(VLOOKUP(J167,Dex!$B$3:$N291,10,FALSE),"")</f>
        <v>143</v>
      </c>
      <c r="L182" s="3342" t="str">
        <f t="array" ref="L182">IFERROR(VLOOKUP(K182,Dex!$P$22:$Q$276,2,FALSE),"")</f>
        <v/>
      </c>
      <c r="M182" s="3343"/>
      <c r="N182" s="3332"/>
      <c r="O182" s="3340" t="s">
        <v>194</v>
      </c>
      <c r="P182" s="3341">
        <f t="array" ref="P182">IFERROR(VLOOKUP(O167,Dex!$B$3:$N291,10,FALSE),"")</f>
        <v>86</v>
      </c>
      <c r="Q182" s="3342" t="str">
        <f t="array" ref="Q182">IFERROR(VLOOKUP(P182,Dex!$P$22:$Q$276,2,FALSE),"")</f>
        <v/>
      </c>
      <c r="R182" s="3343">
        <v>4.0</v>
      </c>
      <c r="S182" s="3333"/>
      <c r="T182" s="3340" t="s">
        <v>194</v>
      </c>
      <c r="U182" s="3341">
        <f t="array" ref="U182">IFERROR(VLOOKUP(T167,Dex!$B$3:$N291,10,FALSE),"")</f>
        <v>95</v>
      </c>
      <c r="V182" s="3342" t="str">
        <f t="array" ref="V182">IFERROR(VLOOKUP(U182,Dex!$P$22:$Q$276,2,FALSE),"")</f>
        <v/>
      </c>
      <c r="W182" s="3343">
        <v>4.0</v>
      </c>
      <c r="X182" s="3334"/>
      <c r="Y182" s="3340" t="s">
        <v>194</v>
      </c>
      <c r="Z182" s="3341">
        <f t="array" ref="Z182">IFERROR(VLOOKUP(Y167,Dex!$B$3:$N291,10,FALSE),"")</f>
        <v>150</v>
      </c>
      <c r="AA182" s="3342" t="str">
        <f t="array" ref="AA182">IFERROR(VLOOKUP(Z182,Dex!$P$22:$Q$276,2,FALSE),"")</f>
        <v/>
      </c>
      <c r="AB182" s="3343"/>
      <c r="AC182" s="3334"/>
      <c r="AD182" s="3340" t="s">
        <v>194</v>
      </c>
      <c r="AE182" s="3341">
        <f t="array" ref="AE182">IFERROR(VLOOKUP(AD167,Dex!$B$3:$N291,10,FALSE),"")</f>
        <v>130</v>
      </c>
      <c r="AF182" s="3342" t="str">
        <f t="array" ref="AF182">IFERROR(VLOOKUP(AE182,Dex!$P$22:$Q$276,2,FALSE),"")</f>
        <v/>
      </c>
      <c r="AG182" s="3343">
        <v>4.0</v>
      </c>
      <c r="AH182" s="3335"/>
      <c r="AI182" s="5735"/>
    </row>
    <row r="183" ht="16.5" customHeight="1">
      <c r="A183" s="5726"/>
      <c r="B183" s="3268"/>
      <c r="C183" s="3259"/>
      <c r="D183" s="3269"/>
      <c r="E183" s="3340" t="s">
        <v>195</v>
      </c>
      <c r="F183" s="3341">
        <f t="array" ref="F183">IFERROR(VLOOKUP(E167,Dex!$B$3:$N291,11,FALSE),"")</f>
        <v>60</v>
      </c>
      <c r="G183" s="3342" t="str">
        <f t="array" ref="G183">IFERROR(VLOOKUP(F183,Dex!$P$22:$Q$276,2,FALSE),"")</f>
        <v/>
      </c>
      <c r="H183" s="3343"/>
      <c r="I183" s="3332"/>
      <c r="J183" s="3340" t="s">
        <v>195</v>
      </c>
      <c r="K183" s="3341">
        <f t="array" ref="K183">IFERROR(VLOOKUP(J167,Dex!$B$3:$N291,11,FALSE),"")</f>
        <v>80</v>
      </c>
      <c r="L183" s="3342" t="str">
        <f t="array" ref="L183">IFERROR(VLOOKUP(K183,Dex!$P$22:$Q$276,2,FALSE),"")</f>
        <v/>
      </c>
      <c r="M183" s="3343"/>
      <c r="N183" s="3332"/>
      <c r="O183" s="3340" t="s">
        <v>195</v>
      </c>
      <c r="P183" s="3341">
        <f t="array" ref="P183">IFERROR(VLOOKUP(O167,Dex!$B$3:$N291,11,FALSE),"")</f>
        <v>122</v>
      </c>
      <c r="Q183" s="3342" t="str">
        <f t="array" ref="Q183">IFERROR(VLOOKUP(P183,Dex!$P$22:$Q$276,2,FALSE),"")</f>
        <v/>
      </c>
      <c r="R183" s="3343">
        <v>252.0</v>
      </c>
      <c r="S183" s="3333"/>
      <c r="T183" s="3340" t="s">
        <v>195</v>
      </c>
      <c r="U183" s="3341">
        <f t="array" ref="U183">IFERROR(VLOOKUP(T167,Dex!$B$3:$N291,11,FALSE),"")</f>
        <v>100</v>
      </c>
      <c r="V183" s="3342" t="str">
        <f t="array" ref="V183">IFERROR(VLOOKUP(U183,Dex!$P$22:$Q$276,2,FALSE),"")</f>
        <v/>
      </c>
      <c r="W183" s="3343"/>
      <c r="X183" s="3334"/>
      <c r="Y183" s="3340" t="s">
        <v>195</v>
      </c>
      <c r="Z183" s="3341">
        <f t="array" ref="Z183">IFERROR(VLOOKUP(Y167,Dex!$B$3:$N291,11,FALSE),"")</f>
        <v>185</v>
      </c>
      <c r="AA183" s="3342" t="str">
        <f t="array" ref="AA183">IFERROR(VLOOKUP(Z183,Dex!$P$22:$Q$276,2,FALSE),"")</f>
        <v/>
      </c>
      <c r="AB183" s="3343">
        <v>4.0</v>
      </c>
      <c r="AC183" s="3334"/>
      <c r="AD183" s="3340" t="s">
        <v>195</v>
      </c>
      <c r="AE183" s="3341">
        <f t="array" ref="AE183">IFERROR(VLOOKUP(AD167,Dex!$B$3:$N291,11,FALSE),"")</f>
        <v>120</v>
      </c>
      <c r="AF183" s="3342" t="str">
        <f t="array" ref="AF183">IFERROR(VLOOKUP(AE183,Dex!$P$22:$Q$276,2,FALSE),"")</f>
        <v/>
      </c>
      <c r="AG183" s="3343"/>
      <c r="AH183" s="3335"/>
      <c r="AI183" s="5735"/>
    </row>
    <row r="184" ht="16.5" customHeight="1">
      <c r="A184" s="5726"/>
      <c r="B184" s="3268"/>
      <c r="C184" s="3259"/>
      <c r="D184" s="3269"/>
      <c r="E184" s="3340" t="s">
        <v>196</v>
      </c>
      <c r="F184" s="3341">
        <f t="array" ref="F184">IFERROR(VLOOKUP(E167,Dex!$B$3:$N291,12,FALSE),"")</f>
        <v>75</v>
      </c>
      <c r="G184" s="3342" t="str">
        <f t="array" ref="G184">IFERROR(VLOOKUP(F184,Dex!$P$22:$Q$276,2,FALSE),"")</f>
        <v/>
      </c>
      <c r="H184" s="3343"/>
      <c r="I184" s="3332"/>
      <c r="J184" s="3340" t="s">
        <v>196</v>
      </c>
      <c r="K184" s="3341">
        <f t="array" ref="K184">IFERROR(VLOOKUP(J167,Dex!$B$3:$N291,12,FALSE),"")</f>
        <v>65</v>
      </c>
      <c r="L184" s="3342" t="str">
        <f t="array" ref="L184">IFERROR(VLOOKUP(K184,Dex!$P$22:$Q$276,2,FALSE),"")</f>
        <v/>
      </c>
      <c r="M184" s="3343">
        <v>4.0</v>
      </c>
      <c r="N184" s="3332"/>
      <c r="O184" s="3340" t="s">
        <v>196</v>
      </c>
      <c r="P184" s="3341">
        <f t="array" ref="P184">IFERROR(VLOOKUP(O167,Dex!$B$3:$N291,12,FALSE),"")</f>
        <v>80</v>
      </c>
      <c r="Q184" s="3342" t="str">
        <f t="array" ref="Q184">IFERROR(VLOOKUP(P184,Dex!$P$22:$Q$276,2,FALSE),"")</f>
        <v/>
      </c>
      <c r="R184" s="3343"/>
      <c r="S184" s="3333"/>
      <c r="T184" s="3340" t="s">
        <v>196</v>
      </c>
      <c r="U184" s="3341">
        <f t="array" ref="U184">IFERROR(VLOOKUP(T167,Dex!$B$3:$N291,12,FALSE),"")</f>
        <v>100</v>
      </c>
      <c r="V184" s="3342" t="str">
        <f t="array" ref="V184">IFERROR(VLOOKUP(U184,Dex!$P$22:$Q$276,2,FALSE),"")</f>
        <v/>
      </c>
      <c r="W184" s="3343"/>
      <c r="X184" s="3334"/>
      <c r="Y184" s="3340" t="s">
        <v>196</v>
      </c>
      <c r="Z184" s="3341">
        <f t="array" ref="Z184">IFERROR(VLOOKUP(Y167,Dex!$B$3:$N291,12,FALSE),"")</f>
        <v>130</v>
      </c>
      <c r="AA184" s="3342" t="str">
        <f t="array" ref="AA184">IFERROR(VLOOKUP(Z184,Dex!$P$22:$Q$276,2,FALSE),"")</f>
        <v/>
      </c>
      <c r="AB184" s="3343">
        <v>252.0</v>
      </c>
      <c r="AC184" s="3334"/>
      <c r="AD184" s="3340" t="s">
        <v>196</v>
      </c>
      <c r="AE184" s="3341">
        <f t="array" ref="AE184">IFERROR(VLOOKUP(AD167,Dex!$B$3:$N291,12,FALSE),"")</f>
        <v>90</v>
      </c>
      <c r="AF184" s="3342" t="str">
        <f t="array" ref="AF184">IFERROR(VLOOKUP(AE184,Dex!$P$22:$Q$276,2,FALSE),"")</f>
        <v/>
      </c>
      <c r="AG184" s="3343"/>
      <c r="AH184" s="3335"/>
      <c r="AI184" s="5735"/>
    </row>
    <row r="185" ht="16.5" customHeight="1">
      <c r="A185" s="5726"/>
      <c r="B185" s="3268"/>
      <c r="C185" s="3259"/>
      <c r="D185" s="3269"/>
      <c r="E185" s="3344" t="s">
        <v>197</v>
      </c>
      <c r="F185" s="3345">
        <f t="array" ref="F185">IFERROR(VLOOKUP(E167,Dex!$B$3:$N291,13,FALSE),"")</f>
        <v>130</v>
      </c>
      <c r="G185" s="3346" t="str">
        <f t="array" ref="G185">IFERROR(VLOOKUP(F185,Dex!$P$22:$Q$276,2,FALSE),"")</f>
        <v/>
      </c>
      <c r="H185" s="3347">
        <v>252.0</v>
      </c>
      <c r="I185" s="3332"/>
      <c r="J185" s="3344" t="s">
        <v>197</v>
      </c>
      <c r="K185" s="3345">
        <f t="array" ref="K185">IFERROR(VLOOKUP(J167,Dex!$B$3:$N291,13,FALSE),"")</f>
        <v>34</v>
      </c>
      <c r="L185" s="3346" t="str">
        <f t="array" ref="L185">IFERROR(VLOOKUP(K185,Dex!$P$22:$Q$276,2,FALSE),"")</f>
        <v/>
      </c>
      <c r="M185" s="3347"/>
      <c r="N185" s="3332"/>
      <c r="O185" s="3344" t="s">
        <v>197</v>
      </c>
      <c r="P185" s="3345">
        <f t="array" ref="P185">IFERROR(VLOOKUP(O167,Dex!$B$3:$N291,13,FALSE),"")</f>
        <v>108</v>
      </c>
      <c r="Q185" s="3346" t="str">
        <f t="array" ref="Q185">IFERROR(VLOOKUP(P185,Dex!$P$22:$Q$276,2,FALSE),"")</f>
        <v/>
      </c>
      <c r="R185" s="3347">
        <v>252.0</v>
      </c>
      <c r="S185" s="3333"/>
      <c r="T185" s="3344" t="s">
        <v>197</v>
      </c>
      <c r="U185" s="3345">
        <f t="array" ref="U185">IFERROR(VLOOKUP(T167,Dex!$B$3:$N291,13,FALSE),"")</f>
        <v>80</v>
      </c>
      <c r="V185" s="3346" t="str">
        <f t="array" ref="V185">IFERROR(VLOOKUP(U185,Dex!$P$22:$Q$276,2,FALSE),"")</f>
        <v/>
      </c>
      <c r="W185" s="3347">
        <v>252.0</v>
      </c>
      <c r="X185" s="3334"/>
      <c r="Y185" s="3344" t="s">
        <v>197</v>
      </c>
      <c r="Z185" s="3345">
        <f t="array" ref="Z185">IFERROR(VLOOKUP(Y167,Dex!$B$3:$N291,13,FALSE),"")</f>
        <v>90</v>
      </c>
      <c r="AA185" s="3346" t="str">
        <f t="array" ref="AA185">IFERROR(VLOOKUP(Z185,Dex!$P$22:$Q$276,2,FALSE),"")</f>
        <v/>
      </c>
      <c r="AB185" s="3347"/>
      <c r="AC185" s="3334"/>
      <c r="AD185" s="3344" t="s">
        <v>197</v>
      </c>
      <c r="AE185" s="3345">
        <f t="array" ref="AE185">IFERROR(VLOOKUP(AD167,Dex!$B$3:$N291,13,FALSE),"")</f>
        <v>120</v>
      </c>
      <c r="AF185" s="3346" t="str">
        <f t="array" ref="AF185">IFERROR(VLOOKUP(AE185,Dex!$P$22:$Q$276,2,FALSE),"")</f>
        <v/>
      </c>
      <c r="AG185" s="3347">
        <v>252.0</v>
      </c>
      <c r="AH185" s="3335"/>
      <c r="AI185" s="5735"/>
    </row>
    <row r="186" ht="16.5" customHeight="1">
      <c r="A186" s="5726"/>
      <c r="B186" s="3268"/>
      <c r="C186" s="3259"/>
      <c r="D186" s="3269"/>
      <c r="E186" s="3348" t="s">
        <v>198</v>
      </c>
      <c r="F186" s="405"/>
      <c r="G186" s="406"/>
      <c r="H186" s="3349">
        <v>335.0</v>
      </c>
      <c r="I186" s="3332"/>
      <c r="J186" s="3348" t="s">
        <v>198</v>
      </c>
      <c r="K186" s="405"/>
      <c r="L186" s="406"/>
      <c r="M186" s="3349">
        <v>89.0</v>
      </c>
      <c r="N186" s="3332"/>
      <c r="O186" s="6094" t="s">
        <v>198</v>
      </c>
      <c r="P186" s="918"/>
      <c r="Q186" s="919"/>
      <c r="R186" s="6095">
        <v>294.0</v>
      </c>
      <c r="S186" s="6093"/>
      <c r="T186" s="3348" t="s">
        <v>198</v>
      </c>
      <c r="U186" s="405"/>
      <c r="V186" s="406"/>
      <c r="W186" s="3349">
        <v>242.0</v>
      </c>
      <c r="X186" s="3269"/>
      <c r="Y186" s="3348" t="s">
        <v>198</v>
      </c>
      <c r="Z186" s="405"/>
      <c r="AA186" s="406"/>
      <c r="AB186" s="3349">
        <v>184.0</v>
      </c>
      <c r="AC186" s="3269"/>
      <c r="AD186" s="3348" t="s">
        <v>198</v>
      </c>
      <c r="AE186" s="405"/>
      <c r="AF186" s="406"/>
      <c r="AG186" s="3349">
        <v>316.0</v>
      </c>
      <c r="AH186" s="3335"/>
      <c r="AI186" s="5735"/>
    </row>
    <row r="187" ht="16.5" customHeight="1">
      <c r="A187" s="5726"/>
      <c r="B187" s="6096"/>
      <c r="C187" s="3259"/>
      <c r="D187" s="3259"/>
      <c r="E187" s="6097"/>
      <c r="F187" s="6097"/>
      <c r="G187" s="6097"/>
      <c r="H187" s="3259"/>
      <c r="I187" s="6098"/>
      <c r="J187" s="6097"/>
      <c r="K187" s="6097"/>
      <c r="L187" s="6097"/>
      <c r="M187" s="3259"/>
      <c r="N187" s="6099"/>
      <c r="O187" s="6100" t="s">
        <v>349</v>
      </c>
      <c r="P187" s="925"/>
      <c r="Q187" s="926"/>
      <c r="R187" s="6101">
        <v>441.0</v>
      </c>
      <c r="S187" s="6102"/>
      <c r="T187" s="6097"/>
      <c r="U187" s="6097"/>
      <c r="V187" s="6097"/>
      <c r="W187" s="3259"/>
      <c r="X187" s="6103"/>
      <c r="Y187" s="6097"/>
      <c r="Z187" s="6097"/>
      <c r="AA187" s="6097"/>
      <c r="AB187" s="3259"/>
      <c r="AC187" s="6103"/>
      <c r="AD187" s="6097"/>
      <c r="AE187" s="6097"/>
      <c r="AF187" s="6097"/>
      <c r="AG187" s="3259"/>
      <c r="AH187" s="6104"/>
      <c r="AI187" s="5735"/>
    </row>
    <row r="188" ht="11.25" customHeight="1">
      <c r="A188" s="5726"/>
      <c r="B188" s="3228"/>
      <c r="C188" s="6080"/>
      <c r="D188" s="6081"/>
      <c r="E188" s="6081"/>
      <c r="F188" s="6081"/>
      <c r="G188" s="6081"/>
      <c r="H188" s="6081"/>
      <c r="I188" s="6081"/>
      <c r="J188" s="6081"/>
      <c r="K188" s="6081"/>
      <c r="L188" s="6081"/>
      <c r="M188" s="6081"/>
      <c r="N188" s="6081"/>
      <c r="O188" s="6081"/>
      <c r="P188" s="6081"/>
      <c r="Q188" s="6081"/>
      <c r="R188" s="6081"/>
      <c r="S188" s="6081"/>
      <c r="T188" s="6081"/>
      <c r="U188" s="6081"/>
      <c r="V188" s="6081"/>
      <c r="W188" s="6081"/>
      <c r="X188" s="6081"/>
      <c r="Y188" s="6081"/>
      <c r="Z188" s="6081"/>
      <c r="AA188" s="6081"/>
      <c r="AB188" s="6081"/>
      <c r="AC188" s="6081"/>
      <c r="AD188" s="6081"/>
      <c r="AE188" s="6081"/>
      <c r="AF188" s="6081"/>
      <c r="AG188" s="3326"/>
      <c r="AH188" s="3231"/>
      <c r="AI188" s="5735"/>
    </row>
    <row r="189" ht="11.25" customHeight="1">
      <c r="A189" s="5726"/>
      <c r="B189" s="3232"/>
      <c r="C189" s="6082"/>
      <c r="D189" s="3234"/>
      <c r="E189" s="3180" t="s">
        <v>1441</v>
      </c>
      <c r="F189" s="3181"/>
      <c r="G189" s="3181"/>
      <c r="H189" s="3181"/>
      <c r="I189" s="3181"/>
      <c r="J189" s="3181"/>
      <c r="K189" s="3181"/>
      <c r="L189" s="3181"/>
      <c r="M189" s="3181"/>
      <c r="N189" s="3181"/>
      <c r="O189" s="3181"/>
      <c r="P189" s="3181"/>
      <c r="Q189" s="3181"/>
      <c r="R189" s="3181"/>
      <c r="S189" s="3181"/>
      <c r="T189" s="3181"/>
      <c r="U189" s="3181"/>
      <c r="V189" s="3181"/>
      <c r="W189" s="3181"/>
      <c r="X189" s="3181"/>
      <c r="Y189" s="3181"/>
      <c r="Z189" s="3181"/>
      <c r="AA189" s="3181"/>
      <c r="AB189" s="3181"/>
      <c r="AC189" s="3181"/>
      <c r="AD189" s="3181"/>
      <c r="AE189" s="3181"/>
      <c r="AF189" s="3181"/>
      <c r="AG189" s="3182"/>
      <c r="AH189" s="3238"/>
      <c r="AI189" s="5735"/>
    </row>
    <row r="190" ht="11.25" customHeight="1">
      <c r="A190" s="5726"/>
      <c r="B190" s="3232"/>
      <c r="C190" s="6082"/>
      <c r="D190" s="3234"/>
      <c r="E190" s="114"/>
      <c r="F190" s="3185"/>
      <c r="G190" s="3185"/>
      <c r="H190" s="3185"/>
      <c r="I190" s="3185"/>
      <c r="J190" s="3185"/>
      <c r="K190" s="3185"/>
      <c r="L190" s="3185"/>
      <c r="M190" s="3185"/>
      <c r="N190" s="3185"/>
      <c r="O190" s="3185"/>
      <c r="P190" s="3185"/>
      <c r="Q190" s="3185"/>
      <c r="R190" s="3185"/>
      <c r="S190" s="3185"/>
      <c r="T190" s="3185"/>
      <c r="U190" s="3185"/>
      <c r="V190" s="3185"/>
      <c r="W190" s="3185"/>
      <c r="X190" s="3185"/>
      <c r="Y190" s="3185"/>
      <c r="Z190" s="3185"/>
      <c r="AA190" s="3185"/>
      <c r="AB190" s="3185"/>
      <c r="AC190" s="3185"/>
      <c r="AD190" s="3185"/>
      <c r="AE190" s="3185"/>
      <c r="AF190" s="3185"/>
      <c r="AG190" s="3186"/>
      <c r="AH190" s="3238"/>
      <c r="AI190" s="5735"/>
    </row>
    <row r="191" ht="3.75" customHeight="1">
      <c r="A191" s="5726"/>
      <c r="B191" s="6083"/>
      <c r="C191" s="6084"/>
      <c r="D191" s="6085"/>
      <c r="E191" s="6086"/>
      <c r="F191" s="6086"/>
      <c r="G191" s="6086"/>
      <c r="H191" s="6086"/>
      <c r="I191" s="6087"/>
      <c r="J191" s="6086"/>
      <c r="K191" s="6086"/>
      <c r="L191" s="6086"/>
      <c r="M191" s="6086"/>
      <c r="N191" s="6087"/>
      <c r="O191" s="6086"/>
      <c r="P191" s="6086"/>
      <c r="Q191" s="6086"/>
      <c r="R191" s="6086"/>
      <c r="S191" s="6087"/>
      <c r="T191" s="6086"/>
      <c r="U191" s="6086"/>
      <c r="V191" s="6086"/>
      <c r="W191" s="6086"/>
      <c r="X191" s="6087"/>
      <c r="Y191" s="6086"/>
      <c r="Z191" s="6086"/>
      <c r="AA191" s="6086"/>
      <c r="AB191" s="6086"/>
      <c r="AC191" s="6087"/>
      <c r="AD191" s="6086"/>
      <c r="AE191" s="6086"/>
      <c r="AF191" s="6086"/>
      <c r="AG191" s="6086"/>
      <c r="AH191" s="6088"/>
      <c r="AI191" s="5735"/>
    </row>
    <row r="192" ht="96.75" customHeight="1">
      <c r="A192" s="5726"/>
      <c r="B192" s="3277"/>
      <c r="C192" s="3278" t="str">
        <f>IMAGE("https://i.ibb.co/q7H43Kp/Lance.png")</f>
        <v/>
      </c>
      <c r="D192" s="3240"/>
      <c r="E192" s="3279" t="str">
        <f t="array" ref="E192">IFERROR(VLOOKUP(E193,Dex!$B$3:$G291,3,FALSE),"")</f>
        <v/>
      </c>
      <c r="F192" s="1830"/>
      <c r="G192" s="1830"/>
      <c r="H192" s="1831"/>
      <c r="I192" s="6089"/>
      <c r="J192" s="3279" t="str">
        <f t="array" ref="J192">IFERROR(VLOOKUP(J193,Dex!$B$3:$G291,3,FALSE),"")</f>
        <v/>
      </c>
      <c r="K192" s="1830"/>
      <c r="L192" s="1830"/>
      <c r="M192" s="1831"/>
      <c r="N192" s="6089"/>
      <c r="O192" s="3279" t="str">
        <f t="array" ref="O192">IFERROR(VLOOKUP(O193,Dex!$B$3:$G291,3,FALSE),"")</f>
        <v/>
      </c>
      <c r="P192" s="1830"/>
      <c r="Q192" s="1830"/>
      <c r="R192" s="1831"/>
      <c r="S192" s="6090"/>
      <c r="T192" s="3279" t="str">
        <f t="array" ref="T192">IFERROR(VLOOKUP(T193,Dex!$B$3:$G291,3,FALSE),"")</f>
        <v/>
      </c>
      <c r="U192" s="1830"/>
      <c r="V192" s="1830"/>
      <c r="W192" s="1831"/>
      <c r="X192" s="6090"/>
      <c r="Y192" s="3279" t="str">
        <f t="array" ref="Y192">IFERROR(VLOOKUP(Y193,Dex!$B$3:$G291,3,FALSE),"")</f>
        <v/>
      </c>
      <c r="Z192" s="1830"/>
      <c r="AA192" s="1830"/>
      <c r="AB192" s="1831"/>
      <c r="AC192" s="6090"/>
      <c r="AD192" s="3279" t="str">
        <f t="array" ref="AD192">IFERROR(VLOOKUP(AD193,Dex!$B$3:$G291,3,FALSE),"")</f>
        <v/>
      </c>
      <c r="AE192" s="1830"/>
      <c r="AF192" s="1830"/>
      <c r="AG192" s="1831"/>
      <c r="AH192" s="3242"/>
      <c r="AI192" s="5735"/>
    </row>
    <row r="193" ht="18.75" customHeight="1">
      <c r="A193" s="5726"/>
      <c r="B193" s="3283"/>
      <c r="C193" s="3284" t="s">
        <v>1468</v>
      </c>
      <c r="D193" s="3244"/>
      <c r="E193" s="3285" t="s">
        <v>932</v>
      </c>
      <c r="F193" s="3286"/>
      <c r="G193" s="3286"/>
      <c r="H193" s="3287"/>
      <c r="J193" s="3285" t="s">
        <v>646</v>
      </c>
      <c r="K193" s="3286"/>
      <c r="L193" s="3286"/>
      <c r="M193" s="3287"/>
      <c r="O193" s="3285" t="s">
        <v>1461</v>
      </c>
      <c r="P193" s="3286"/>
      <c r="Q193" s="3286"/>
      <c r="R193" s="3287"/>
      <c r="T193" s="3285" t="s">
        <v>385</v>
      </c>
      <c r="U193" s="3286"/>
      <c r="V193" s="3286"/>
      <c r="W193" s="3287"/>
      <c r="Y193" s="3285" t="s">
        <v>1462</v>
      </c>
      <c r="Z193" s="3286"/>
      <c r="AA193" s="3286"/>
      <c r="AB193" s="3287"/>
      <c r="AD193" s="3285" t="s">
        <v>967</v>
      </c>
      <c r="AE193" s="3286"/>
      <c r="AF193" s="3286"/>
      <c r="AG193" s="3287"/>
      <c r="AH193" s="3245"/>
      <c r="AI193" s="5735"/>
    </row>
    <row r="194">
      <c r="A194" s="5726"/>
      <c r="B194" s="3291"/>
      <c r="C194" s="326"/>
      <c r="D194" s="3247"/>
      <c r="E194" s="3292">
        <v>85.0</v>
      </c>
      <c r="F194" s="3293"/>
      <c r="G194" s="3293"/>
      <c r="H194" s="3294"/>
      <c r="J194" s="3292">
        <v>85.0</v>
      </c>
      <c r="K194" s="3293"/>
      <c r="L194" s="3293"/>
      <c r="M194" s="3294"/>
      <c r="O194" s="3292">
        <v>85.0</v>
      </c>
      <c r="P194" s="3293"/>
      <c r="Q194" s="3293"/>
      <c r="R194" s="3294"/>
      <c r="T194" s="3292">
        <v>85.0</v>
      </c>
      <c r="U194" s="3293"/>
      <c r="V194" s="3293"/>
      <c r="W194" s="3294"/>
      <c r="Y194" s="3292">
        <v>85.0</v>
      </c>
      <c r="Z194" s="3293"/>
      <c r="AA194" s="3293"/>
      <c r="AB194" s="3294"/>
      <c r="AD194" s="3292">
        <v>85.0</v>
      </c>
      <c r="AE194" s="3293"/>
      <c r="AF194" s="3293"/>
      <c r="AG194" s="3294"/>
      <c r="AH194" s="3249"/>
      <c r="AI194" s="5735"/>
    </row>
    <row r="195" ht="25.5" customHeight="1">
      <c r="A195" s="5726"/>
      <c r="B195" s="3232"/>
      <c r="C195" s="3250"/>
      <c r="D195" s="3251"/>
      <c r="E195" s="3297"/>
      <c r="F195" s="3298" t="str">
        <f t="array" ref="F195">IFERROR(VLOOKUP(E193,Dex!$B$3:$H291,5,FALSE),"")</f>
        <v/>
      </c>
      <c r="G195" s="3299" t="str">
        <f t="array" ref="G195">IFERROR(VLOOKUP(E193,Dex!$B$3:$H291,7,FALSE),"")</f>
        <v/>
      </c>
      <c r="H195" s="3300"/>
      <c r="J195" s="3297"/>
      <c r="K195" s="6091" t="str">
        <f t="array" ref="K195">IFERROR(VLOOKUP(J193,Dex!$B$3:$H291,5,FALSE),"")</f>
        <v/>
      </c>
      <c r="L195" s="6092"/>
      <c r="M195" s="3300"/>
      <c r="O195" s="3297"/>
      <c r="P195" s="3298" t="str">
        <f t="array" ref="P195">IFERROR(VLOOKUP(O193,Dex!$B$3:$H291,5,FALSE),"")</f>
        <v/>
      </c>
      <c r="Q195" s="3299" t="str">
        <f t="array" ref="Q195">IFERROR(VLOOKUP(O193,Dex!$B$3:$H291,7,FALSE),"")</f>
        <v/>
      </c>
      <c r="R195" s="3300"/>
      <c r="T195" s="3297"/>
      <c r="U195" s="3298" t="str">
        <f t="array" ref="U195">IFERROR(VLOOKUP(T193,Dex!$B$3:$H291,5,FALSE),"")</f>
        <v/>
      </c>
      <c r="V195" s="3299" t="str">
        <f t="array" ref="V195">IFERROR(VLOOKUP(T193,Dex!$B$3:$H291,7,FALSE),"")</f>
        <v/>
      </c>
      <c r="W195" s="3300"/>
      <c r="Y195" s="3297"/>
      <c r="Z195" s="3298" t="str">
        <f t="array" ref="Z195">IFERROR(VLOOKUP(Y193,Dex!$B$3:$H291,5,FALSE),"")</f>
        <v/>
      </c>
      <c r="AA195" s="3299" t="str">
        <f t="array" ref="AA195">IFERROR(VLOOKUP(Y193,Dex!$B$3:$H291,7,FALSE),"")</f>
        <v/>
      </c>
      <c r="AB195" s="3300"/>
      <c r="AD195" s="3297"/>
      <c r="AE195" s="3298" t="str">
        <f t="array" ref="AE195">IFERROR(VLOOKUP(AD193,Dex!$B$3:$H291,5,FALSE),"")</f>
        <v/>
      </c>
      <c r="AF195" s="3299" t="str">
        <f t="array" ref="AF195">IFERROR(VLOOKUP(AD193,Dex!$B$3:$H291,7,FALSE),"")</f>
        <v/>
      </c>
      <c r="AG195" s="3300"/>
      <c r="AH195" s="3238"/>
      <c r="AI195" s="5735"/>
    </row>
    <row r="196" ht="2.25" customHeight="1">
      <c r="A196" s="5726"/>
      <c r="B196" s="3232"/>
      <c r="C196" s="3253"/>
      <c r="D196" s="3251"/>
      <c r="E196" s="3301"/>
      <c r="F196" s="3302"/>
      <c r="G196" s="3302"/>
      <c r="H196" s="3303"/>
      <c r="J196" s="3301"/>
      <c r="K196" s="3302"/>
      <c r="L196" s="3302"/>
      <c r="M196" s="3303"/>
      <c r="O196" s="3301"/>
      <c r="P196" s="3302"/>
      <c r="Q196" s="3302"/>
      <c r="R196" s="3303"/>
      <c r="T196" s="3301"/>
      <c r="U196" s="3302"/>
      <c r="V196" s="3302"/>
      <c r="W196" s="3303"/>
      <c r="Y196" s="3301"/>
      <c r="Z196" s="3302"/>
      <c r="AA196" s="3302"/>
      <c r="AB196" s="3303"/>
      <c r="AD196" s="3301"/>
      <c r="AE196" s="3302"/>
      <c r="AF196" s="3302"/>
      <c r="AG196" s="3303"/>
      <c r="AH196" s="3238"/>
      <c r="AI196" s="5735"/>
    </row>
    <row r="197" ht="20.25" customHeight="1">
      <c r="A197" s="5726"/>
      <c r="B197" s="3232"/>
      <c r="C197" s="3254"/>
      <c r="D197" s="3251"/>
      <c r="E197" s="3304" t="s">
        <v>172</v>
      </c>
      <c r="F197" s="3305"/>
      <c r="G197" s="3305"/>
      <c r="H197" s="3306"/>
      <c r="J197" s="3304" t="s">
        <v>169</v>
      </c>
      <c r="K197" s="3305"/>
      <c r="L197" s="3305"/>
      <c r="M197" s="3306"/>
      <c r="O197" s="3304" t="s">
        <v>205</v>
      </c>
      <c r="P197" s="3305"/>
      <c r="Q197" s="3305"/>
      <c r="R197" s="3306"/>
      <c r="T197" s="3304" t="s">
        <v>172</v>
      </c>
      <c r="U197" s="3305"/>
      <c r="V197" s="3305"/>
      <c r="W197" s="3306"/>
      <c r="Y197" s="3304" t="s">
        <v>206</v>
      </c>
      <c r="Z197" s="3305"/>
      <c r="AA197" s="3305"/>
      <c r="AB197" s="3306"/>
      <c r="AD197" s="3304" t="s">
        <v>172</v>
      </c>
      <c r="AE197" s="3305"/>
      <c r="AF197" s="3305"/>
      <c r="AG197" s="3306"/>
      <c r="AH197" s="3242"/>
      <c r="AI197" s="5735"/>
    </row>
    <row r="198">
      <c r="A198" s="5726"/>
      <c r="B198" s="3232"/>
      <c r="C198" s="3255"/>
      <c r="D198" s="3251"/>
      <c r="E198" s="3307" t="s">
        <v>831</v>
      </c>
      <c r="F198" s="3308"/>
      <c r="G198" s="3308"/>
      <c r="H198" s="3309"/>
      <c r="J198" s="3307" t="s">
        <v>235</v>
      </c>
      <c r="K198" s="3308"/>
      <c r="L198" s="3308"/>
      <c r="M198" s="3309"/>
      <c r="O198" s="3307" t="s">
        <v>332</v>
      </c>
      <c r="P198" s="3308"/>
      <c r="Q198" s="3308"/>
      <c r="R198" s="3309"/>
      <c r="T198" s="3307" t="s">
        <v>390</v>
      </c>
      <c r="U198" s="3308"/>
      <c r="V198" s="3308"/>
      <c r="W198" s="3309"/>
      <c r="Y198" s="3307" t="s">
        <v>1463</v>
      </c>
      <c r="Z198" s="3308"/>
      <c r="AA198" s="3308"/>
      <c r="AB198" s="3309"/>
      <c r="AD198" s="3307" t="s">
        <v>1469</v>
      </c>
      <c r="AE198" s="3308"/>
      <c r="AF198" s="3308"/>
      <c r="AG198" s="3309"/>
      <c r="AH198" s="3242"/>
      <c r="AI198" s="5735"/>
    </row>
    <row r="199" ht="20.25" customHeight="1">
      <c r="A199" s="5726"/>
      <c r="B199" s="3232"/>
      <c r="C199" s="3253"/>
      <c r="D199" s="3251"/>
      <c r="E199" s="3310" t="s">
        <v>240</v>
      </c>
      <c r="F199" s="3311"/>
      <c r="G199" s="3312"/>
      <c r="H199" s="3313" t="str">
        <f>IMAGE("https://raw.githubusercontent.com/msikma/pokesprite/master/items/hold-item/focus-sash.png",3)</f>
        <v/>
      </c>
      <c r="J199" s="3310" t="s">
        <v>473</v>
      </c>
      <c r="K199" s="3311"/>
      <c r="L199" s="3312"/>
      <c r="M199" s="3313" t="str">
        <f>IMAGE("https://raw.githubusercontent.com/msikma/pokesprite/master/items/hold-item/assault-vest.png",3)</f>
        <v/>
      </c>
      <c r="O199" s="3310" t="s">
        <v>306</v>
      </c>
      <c r="P199" s="3311"/>
      <c r="Q199" s="3312"/>
      <c r="R199" s="3313" t="str">
        <f>IMAGE("https://i.ibb.co/SK50ng3/booster.png",4,22,22)</f>
        <v/>
      </c>
      <c r="T199" s="3310" t="s">
        <v>363</v>
      </c>
      <c r="U199" s="3311"/>
      <c r="V199" s="3312"/>
      <c r="W199" s="3313" t="str">
        <f>IMAGE("https://raw.githubusercontent.com/msikma/pokesprite/master/items/berry/lum.png",3)</f>
        <v/>
      </c>
      <c r="Y199" s="3310" t="s">
        <v>1465</v>
      </c>
      <c r="Z199" s="3311"/>
      <c r="AA199" s="3312"/>
      <c r="AB199" s="3313" t="str">
        <f>IMAGE("https://raw.githubusercontent.com/msikma/pokesprite/master/items/hold-item/adamant-orb.png",3)</f>
        <v/>
      </c>
      <c r="AD199" s="3310" t="s">
        <v>971</v>
      </c>
      <c r="AE199" s="3311"/>
      <c r="AF199" s="3312"/>
      <c r="AG199" s="3313" t="str">
        <f>IMAGE("https://raw.githubusercontent.com/msikma/pokesprite/master/items/mega-stone/salamencite.png",3)</f>
        <v/>
      </c>
      <c r="AH199" s="3238"/>
      <c r="AI199" s="5735"/>
    </row>
    <row r="200" ht="20.25" customHeight="1">
      <c r="A200" s="5726"/>
      <c r="B200" s="3232"/>
      <c r="C200" s="3254"/>
      <c r="D200" s="3251"/>
      <c r="E200" s="3304" t="s">
        <v>395</v>
      </c>
      <c r="F200" s="3305"/>
      <c r="G200" s="3314"/>
      <c r="H200" s="3315" t="str">
        <f>IMAGE("https://raw.githubusercontent.com/msikma/pokesprite/master/misc/types/gen8/rock.png",4,20,20)</f>
        <v/>
      </c>
      <c r="J200" s="3304" t="s">
        <v>654</v>
      </c>
      <c r="K200" s="3305"/>
      <c r="L200" s="3314"/>
      <c r="M200" s="3315" t="str">
        <f>IMAGE("https://raw.githubusercontent.com/msikma/pokesprite/master/misc/types/gen8/steel.png",4,20,20)</f>
        <v/>
      </c>
      <c r="O200" s="3304" t="s">
        <v>1466</v>
      </c>
      <c r="P200" s="3305"/>
      <c r="Q200" s="3314"/>
      <c r="R200" s="3315" t="str">
        <f>IMAGE("https://raw.githubusercontent.com/msikma/pokesprite/master/misc/types/gen8/dark.png",4,20,20)</f>
        <v/>
      </c>
      <c r="T200" s="3304" t="s">
        <v>396</v>
      </c>
      <c r="U200" s="3305"/>
      <c r="V200" s="3314"/>
      <c r="W200" s="3315" t="str">
        <f>IMAGE("https://raw.githubusercontent.com/msikma/pokesprite/master/misc/types/gen8/dragon.png",4,20,20)</f>
        <v/>
      </c>
      <c r="Y200" s="3304" t="s">
        <v>1467</v>
      </c>
      <c r="Z200" s="3305"/>
      <c r="AA200" s="3314"/>
      <c r="AB200" s="3315" t="str">
        <f>IMAGE("https://raw.githubusercontent.com/msikma/pokesprite/master/misc/types/gen8/dragon.png",4,20,20)</f>
        <v/>
      </c>
      <c r="AD200" s="3304" t="s">
        <v>396</v>
      </c>
      <c r="AE200" s="3305"/>
      <c r="AF200" s="3314"/>
      <c r="AG200" s="3315" t="str">
        <f>IMAGE("https://raw.githubusercontent.com/msikma/pokesprite/master/misc/types/gen8/dragon.png",4,20,20)</f>
        <v/>
      </c>
      <c r="AH200" s="3238"/>
      <c r="AI200" s="5735"/>
    </row>
    <row r="201" ht="20.25" customHeight="1">
      <c r="A201" s="5726"/>
      <c r="B201" s="3232"/>
      <c r="C201" s="3257"/>
      <c r="D201" s="3251"/>
      <c r="E201" s="3307" t="s">
        <v>402</v>
      </c>
      <c r="F201" s="3308"/>
      <c r="G201" s="3317"/>
      <c r="H201" s="3318" t="str">
        <f>IMAGE("https://raw.githubusercontent.com/msikma/pokesprite/master/misc/types/gen8/ground.png",4,20,20)</f>
        <v/>
      </c>
      <c r="J201" s="3307" t="s">
        <v>402</v>
      </c>
      <c r="K201" s="3308"/>
      <c r="L201" s="3317"/>
      <c r="M201" s="3318" t="str">
        <f>IMAGE("https://raw.githubusercontent.com/msikma/pokesprite/master/misc/types/gen8/ground.png",4,20,20)</f>
        <v/>
      </c>
      <c r="O201" s="3307" t="s">
        <v>372</v>
      </c>
      <c r="P201" s="3308"/>
      <c r="Q201" s="3317"/>
      <c r="R201" s="3318" t="str">
        <f>IMAGE("https://raw.githubusercontent.com/msikma/pokesprite/master/misc/types/gen8/fire.png",4,20,20)</f>
        <v/>
      </c>
      <c r="T201" s="3307" t="s">
        <v>397</v>
      </c>
      <c r="U201" s="3308"/>
      <c r="V201" s="3317"/>
      <c r="W201" s="3318" t="str">
        <f>IMAGE("https://raw.githubusercontent.com/msikma/pokesprite/master/misc/types/gen8/normal.png",4,20,20)</f>
        <v/>
      </c>
      <c r="Y201" s="3307" t="s">
        <v>404</v>
      </c>
      <c r="Z201" s="3308"/>
      <c r="AA201" s="3317"/>
      <c r="AB201" s="3318" t="str">
        <f>IMAGE("https://raw.githubusercontent.com/msikma/pokesprite/master/misc/types/gen8/steel.png",4,20,20)</f>
        <v/>
      </c>
      <c r="AD201" s="3307" t="s">
        <v>640</v>
      </c>
      <c r="AE201" s="3308"/>
      <c r="AF201" s="3317"/>
      <c r="AG201" s="3318" t="str">
        <f>IMAGE("https://raw.githubusercontent.com/msikma/pokesprite/master/misc/types/gen8/flying.png",4,20,20)</f>
        <v/>
      </c>
      <c r="AH201" s="3238"/>
      <c r="AI201" s="5735"/>
    </row>
    <row r="202" ht="20.25" customHeight="1">
      <c r="A202" s="5726"/>
      <c r="B202" s="3232"/>
      <c r="C202" s="3257"/>
      <c r="D202" s="3251"/>
      <c r="E202" s="3307" t="s">
        <v>399</v>
      </c>
      <c r="F202" s="3308"/>
      <c r="G202" s="3317"/>
      <c r="H202" s="3318" t="str">
        <f>IMAGE("https://raw.githubusercontent.com/msikma/pokesprite/master/misc/types/gen8/rock.png",4,20,20)</f>
        <v/>
      </c>
      <c r="J202" s="3307" t="s">
        <v>249</v>
      </c>
      <c r="K202" s="3308"/>
      <c r="L202" s="3317"/>
      <c r="M202" s="3318" t="str">
        <f>IMAGE("https://raw.githubusercontent.com/msikma/pokesprite/master/misc/types/gen8/electric.png",4,20,20)</f>
        <v/>
      </c>
      <c r="O202" s="3307" t="s">
        <v>1266</v>
      </c>
      <c r="P202" s="3308"/>
      <c r="Q202" s="3317"/>
      <c r="R202" s="3318" t="str">
        <f>IMAGE("https://raw.githubusercontent.com/msikma/pokesprite/master/misc/types/gen8/flying.png",4,20,20)</f>
        <v/>
      </c>
      <c r="T202" s="3307" t="s">
        <v>402</v>
      </c>
      <c r="U202" s="3308"/>
      <c r="V202" s="3317"/>
      <c r="W202" s="3318" t="str">
        <f>IMAGE("https://raw.githubusercontent.com/msikma/pokesprite/master/misc/types/gen8/ground.png",4,20,20)</f>
        <v/>
      </c>
      <c r="Y202" s="3307" t="s">
        <v>633</v>
      </c>
      <c r="Z202" s="3308"/>
      <c r="AA202" s="3317"/>
      <c r="AB202" s="3318" t="str">
        <f>IMAGE("https://raw.githubusercontent.com/msikma/pokesprite/master/misc/types/gen8/psychic.png",4,20,20)</f>
        <v/>
      </c>
      <c r="AD202" s="3307" t="s">
        <v>825</v>
      </c>
      <c r="AE202" s="3308"/>
      <c r="AF202" s="3317"/>
      <c r="AG202" s="3318" t="str">
        <f>IMAGE("https://raw.githubusercontent.com/msikma/pokesprite/master/misc/types/gen8/fire.png",4,20,20)</f>
        <v/>
      </c>
      <c r="AH202" s="3238"/>
      <c r="AI202" s="5735"/>
    </row>
    <row r="203" ht="21.0" customHeight="1">
      <c r="A203" s="5726"/>
      <c r="B203" s="3232"/>
      <c r="C203" s="3257"/>
      <c r="D203" s="3251"/>
      <c r="E203" s="3320" t="s">
        <v>658</v>
      </c>
      <c r="F203" s="3321"/>
      <c r="G203" s="3322"/>
      <c r="H203" s="3323" t="str">
        <f>IMAGE("https://raw.githubusercontent.com/msikma/pokesprite/master/misc/types/gen8/normal.png",4,20,20)</f>
        <v/>
      </c>
      <c r="I203" s="6081"/>
      <c r="J203" s="3320" t="s">
        <v>215</v>
      </c>
      <c r="K203" s="3321"/>
      <c r="L203" s="3322"/>
      <c r="M203" s="3323" t="str">
        <f>IMAGE("https://raw.githubusercontent.com/msikma/pokesprite/master/misc/types/gen8/ice.png",4,20,20)</f>
        <v/>
      </c>
      <c r="N203" s="6081"/>
      <c r="O203" s="3320" t="s">
        <v>286</v>
      </c>
      <c r="P203" s="3321"/>
      <c r="Q203" s="3322"/>
      <c r="R203" s="3323" t="str">
        <f>IMAGE("https://raw.githubusercontent.com/msikma/pokesprite/master/misc/types/gen8/ground.png",4,20,20)</f>
        <v/>
      </c>
      <c r="S203" s="6081"/>
      <c r="T203" s="3320" t="s">
        <v>408</v>
      </c>
      <c r="U203" s="3321"/>
      <c r="V203" s="3322"/>
      <c r="W203" s="3323" t="str">
        <f>IMAGE("https://raw.githubusercontent.com/msikma/pokesprite/master/misc/types/gen8/flying.png",4,20,20)</f>
        <v/>
      </c>
      <c r="X203" s="6081"/>
      <c r="Y203" s="3320" t="s">
        <v>185</v>
      </c>
      <c r="Z203" s="3321"/>
      <c r="AA203" s="3322"/>
      <c r="AB203" s="3323" t="str">
        <f>IMAGE("https://raw.githubusercontent.com/msikma/pokesprite/master/misc/types/gen8/normal.png",4,20,20)</f>
        <v/>
      </c>
      <c r="AC203" s="6081"/>
      <c r="AD203" s="3320" t="s">
        <v>402</v>
      </c>
      <c r="AE203" s="3321"/>
      <c r="AF203" s="3322"/>
      <c r="AG203" s="3323" t="str">
        <f>IMAGE("https://raw.githubusercontent.com/msikma/pokesprite/master/misc/types/gen8/ground.png",4,20,20)</f>
        <v/>
      </c>
      <c r="AH203" s="3238"/>
      <c r="AI203" s="5735"/>
    </row>
    <row r="204" ht="3.0" customHeight="1">
      <c r="A204" s="5726"/>
      <c r="B204" s="3258"/>
      <c r="C204" s="3259"/>
      <c r="D204" s="3260"/>
      <c r="E204" s="3261"/>
      <c r="F204" s="3261"/>
      <c r="G204" s="3261"/>
      <c r="H204" s="3261"/>
      <c r="I204" s="3260"/>
      <c r="J204" s="3261"/>
      <c r="K204" s="3261"/>
      <c r="L204" s="3261"/>
      <c r="M204" s="3261"/>
      <c r="N204" s="3260"/>
      <c r="O204" s="3261"/>
      <c r="P204" s="3261"/>
      <c r="Q204" s="3261"/>
      <c r="R204" s="3261"/>
      <c r="S204" s="3260"/>
      <c r="T204" s="3261"/>
      <c r="U204" s="3261"/>
      <c r="V204" s="3261"/>
      <c r="W204" s="3261"/>
      <c r="X204" s="3260"/>
      <c r="Y204" s="3261"/>
      <c r="Z204" s="3261"/>
      <c r="AA204" s="3261"/>
      <c r="AB204" s="3261"/>
      <c r="AC204" s="3260"/>
      <c r="AD204" s="3261"/>
      <c r="AE204" s="3261"/>
      <c r="AF204" s="3261"/>
      <c r="AG204" s="3261"/>
      <c r="AH204" s="3267"/>
      <c r="AI204" s="5735"/>
    </row>
    <row r="205" ht="16.5" customHeight="1">
      <c r="A205" s="5726"/>
      <c r="B205" s="3268"/>
      <c r="C205" s="3259"/>
      <c r="D205" s="3269"/>
      <c r="E205" s="3330" t="s">
        <v>190</v>
      </c>
      <c r="F205" s="381"/>
      <c r="G205" s="382"/>
      <c r="H205" s="3331" t="s">
        <v>191</v>
      </c>
      <c r="I205" s="3332"/>
      <c r="J205" s="3330" t="s">
        <v>190</v>
      </c>
      <c r="K205" s="381"/>
      <c r="L205" s="382"/>
      <c r="M205" s="3331" t="s">
        <v>191</v>
      </c>
      <c r="N205" s="3332"/>
      <c r="O205" s="3330" t="s">
        <v>190</v>
      </c>
      <c r="P205" s="381"/>
      <c r="Q205" s="382"/>
      <c r="R205" s="3331" t="s">
        <v>191</v>
      </c>
      <c r="S205" s="6093"/>
      <c r="T205" s="3330" t="s">
        <v>190</v>
      </c>
      <c r="U205" s="381"/>
      <c r="V205" s="382"/>
      <c r="W205" s="3331" t="s">
        <v>191</v>
      </c>
      <c r="X205" s="3269"/>
      <c r="Y205" s="3330" t="s">
        <v>190</v>
      </c>
      <c r="Z205" s="381"/>
      <c r="AA205" s="382"/>
      <c r="AB205" s="3331" t="s">
        <v>191</v>
      </c>
      <c r="AC205" s="3269"/>
      <c r="AD205" s="3330" t="s">
        <v>190</v>
      </c>
      <c r="AE205" s="381"/>
      <c r="AF205" s="382"/>
      <c r="AG205" s="3331" t="s">
        <v>191</v>
      </c>
      <c r="AH205" s="3335"/>
      <c r="AI205" s="5735"/>
    </row>
    <row r="206" ht="16.5" customHeight="1">
      <c r="A206" s="5726"/>
      <c r="B206" s="3268"/>
      <c r="C206" s="3259"/>
      <c r="D206" s="3269"/>
      <c r="E206" s="3336" t="s">
        <v>192</v>
      </c>
      <c r="F206" s="3337">
        <f t="array" ref="F206">IFERROR(VLOOKUP(E193,Dex!$B$3:$N291,8,FALSE),"")</f>
        <v>108</v>
      </c>
      <c r="G206" s="3338" t="str">
        <f t="array" ref="G206">IFERROR(VLOOKUP(F206,Dex!$P$22:$Q$276,2,FALSE),"")</f>
        <v/>
      </c>
      <c r="H206" s="3339"/>
      <c r="I206" s="3332"/>
      <c r="J206" s="3336" t="s">
        <v>192</v>
      </c>
      <c r="K206" s="3337">
        <f t="array" ref="K206">IFERROR(VLOOKUP(J193,Dex!$B$3:$N291,8,FALSE),"")</f>
        <v>135</v>
      </c>
      <c r="L206" s="3338" t="str">
        <f t="array" ref="L206">IFERROR(VLOOKUP(K206,Dex!$P$22:$Q$276,2,FALSE),"")</f>
        <v/>
      </c>
      <c r="M206" s="3339">
        <v>252.0</v>
      </c>
      <c r="N206" s="3332"/>
      <c r="O206" s="3336" t="s">
        <v>192</v>
      </c>
      <c r="P206" s="3337">
        <f t="array" ref="P206">IFERROR(VLOOKUP(O193,Dex!$B$3:$N291,8,FALSE),"")</f>
        <v>94</v>
      </c>
      <c r="Q206" s="3338" t="str">
        <f t="array" ref="Q206">IFERROR(VLOOKUP(P206,Dex!$P$22:$Q$276,2,FALSE),"")</f>
        <v/>
      </c>
      <c r="R206" s="3339"/>
      <c r="S206" s="3333"/>
      <c r="T206" s="3336" t="s">
        <v>192</v>
      </c>
      <c r="U206" s="3337">
        <f t="array" ref="U206">IFERROR(VLOOKUP(T193,Dex!$B$3:$N291,8,FALSE),"")</f>
        <v>91</v>
      </c>
      <c r="V206" s="3338" t="str">
        <f t="array" ref="V206">IFERROR(VLOOKUP(U206,Dex!$P$22:$Q$276,2,FALSE),"")</f>
        <v/>
      </c>
      <c r="W206" s="3339"/>
      <c r="X206" s="3334"/>
      <c r="Y206" s="3336" t="s">
        <v>192</v>
      </c>
      <c r="Z206" s="3337">
        <f t="array" ref="Z206">IFERROR(VLOOKUP(Y193,Dex!$B$3:$N291,8,FALSE),"")</f>
        <v>100</v>
      </c>
      <c r="AA206" s="3338" t="str">
        <f t="array" ref="AA206">IFERROR(VLOOKUP(Z206,Dex!$P$22:$Q$276,2,FALSE),"")</f>
        <v/>
      </c>
      <c r="AB206" s="3339">
        <v>252.0</v>
      </c>
      <c r="AC206" s="3334"/>
      <c r="AD206" s="3336" t="s">
        <v>192</v>
      </c>
      <c r="AE206" s="3337">
        <f t="array" ref="AE206">IFERROR(VLOOKUP(AD193,Dex!$B$3:$N291,8,FALSE),"")</f>
        <v>95</v>
      </c>
      <c r="AF206" s="3338" t="str">
        <f t="array" ref="AF206">IFERROR(VLOOKUP(AE206,Dex!$P$22:$Q$276,2,FALSE),"")</f>
        <v/>
      </c>
      <c r="AG206" s="3339"/>
      <c r="AH206" s="3335"/>
      <c r="AI206" s="5735"/>
    </row>
    <row r="207" ht="16.5" customHeight="1">
      <c r="A207" s="5726"/>
      <c r="B207" s="3268"/>
      <c r="C207" s="3259"/>
      <c r="D207" s="3269"/>
      <c r="E207" s="3340" t="s">
        <v>193</v>
      </c>
      <c r="F207" s="3341">
        <f t="array" ref="F207">IFERROR(VLOOKUP(E193,Dex!$B$3:$N291,9,FALSE),"")</f>
        <v>130</v>
      </c>
      <c r="G207" s="3342" t="str">
        <f t="array" ref="G207">IFERROR(VLOOKUP(F207,Dex!$P$22:$Q$276,2,FALSE),"")</f>
        <v/>
      </c>
      <c r="H207" s="3343">
        <v>252.0</v>
      </c>
      <c r="I207" s="3332"/>
      <c r="J207" s="3340" t="s">
        <v>193</v>
      </c>
      <c r="K207" s="3341">
        <f t="array" ref="K207">IFERROR(VLOOKUP(J193,Dex!$B$3:$N291,9,FALSE),"")</f>
        <v>143</v>
      </c>
      <c r="L207" s="3342" t="str">
        <f t="array" ref="L207">IFERROR(VLOOKUP(K207,Dex!$P$22:$Q$276,2,FALSE),"")</f>
        <v/>
      </c>
      <c r="M207" s="3343">
        <v>252.0</v>
      </c>
      <c r="N207" s="3332"/>
      <c r="O207" s="3340" t="s">
        <v>193</v>
      </c>
      <c r="P207" s="3341">
        <f t="array" ref="P207">IFERROR(VLOOKUP(O193,Dex!$B$3:$N291,9,FALSE),"")</f>
        <v>80</v>
      </c>
      <c r="Q207" s="3342" t="str">
        <f t="array" ref="Q207">IFERROR(VLOOKUP(P207,Dex!$P$22:$Q$276,2,FALSE),"")</f>
        <v/>
      </c>
      <c r="R207" s="3343"/>
      <c r="S207" s="3333"/>
      <c r="T207" s="3340" t="s">
        <v>193</v>
      </c>
      <c r="U207" s="3341">
        <f t="array" ref="U207">IFERROR(VLOOKUP(T193,Dex!$B$3:$N291,9,FALSE),"")</f>
        <v>134</v>
      </c>
      <c r="V207" s="3342" t="str">
        <f t="array" ref="V207">IFERROR(VLOOKUP(U207,Dex!$P$22:$Q$276,2,FALSE),"")</f>
        <v/>
      </c>
      <c r="W207" s="3343">
        <v>252.0</v>
      </c>
      <c r="X207" s="3334"/>
      <c r="Y207" s="3340" t="s">
        <v>193</v>
      </c>
      <c r="Z207" s="3341">
        <f t="array" ref="Z207">IFERROR(VLOOKUP(Y193,Dex!$B$3:$N291,9,FALSE),"")</f>
        <v>120</v>
      </c>
      <c r="AA207" s="3342" t="str">
        <f t="array" ref="AA207">IFERROR(VLOOKUP(Z207,Dex!$P$22:$Q$276,2,FALSE),"")</f>
        <v/>
      </c>
      <c r="AB207" s="3343"/>
      <c r="AC207" s="3334"/>
      <c r="AD207" s="3340" t="s">
        <v>193</v>
      </c>
      <c r="AE207" s="3341">
        <f t="array" ref="AE207">IFERROR(VLOOKUP(AD193,Dex!$B$3:$N291,9,FALSE),"")</f>
        <v>145</v>
      </c>
      <c r="AF207" s="3342" t="str">
        <f t="array" ref="AF207">IFERROR(VLOOKUP(AE207,Dex!$P$22:$Q$276,2,FALSE),"")</f>
        <v/>
      </c>
      <c r="AG207" s="3343">
        <v>252.0</v>
      </c>
      <c r="AH207" s="3335"/>
      <c r="AI207" s="5735"/>
    </row>
    <row r="208" ht="16.5" customHeight="1">
      <c r="A208" s="5726"/>
      <c r="B208" s="3268"/>
      <c r="C208" s="3259"/>
      <c r="D208" s="3269"/>
      <c r="E208" s="3340" t="s">
        <v>194</v>
      </c>
      <c r="F208" s="3341">
        <f t="array" ref="F208">IFERROR(VLOOKUP(E193,Dex!$B$3:$N291,10,FALSE),"")</f>
        <v>95</v>
      </c>
      <c r="G208" s="3342" t="str">
        <f t="array" ref="G208">IFERROR(VLOOKUP(F208,Dex!$P$22:$Q$276,2,FALSE),"")</f>
        <v/>
      </c>
      <c r="H208" s="3343">
        <v>4.0</v>
      </c>
      <c r="I208" s="3332"/>
      <c r="J208" s="3340" t="s">
        <v>194</v>
      </c>
      <c r="K208" s="3341">
        <f t="array" ref="K208">IFERROR(VLOOKUP(J193,Dex!$B$3:$N291,10,FALSE),"")</f>
        <v>143</v>
      </c>
      <c r="L208" s="3342" t="str">
        <f t="array" ref="L208">IFERROR(VLOOKUP(K208,Dex!$P$22:$Q$276,2,FALSE),"")</f>
        <v/>
      </c>
      <c r="M208" s="3343"/>
      <c r="N208" s="3332"/>
      <c r="O208" s="3340" t="s">
        <v>194</v>
      </c>
      <c r="P208" s="3341">
        <f t="array" ref="P208">IFERROR(VLOOKUP(O193,Dex!$B$3:$N291,10,FALSE),"")</f>
        <v>86</v>
      </c>
      <c r="Q208" s="3342" t="str">
        <f t="array" ref="Q208">IFERROR(VLOOKUP(P208,Dex!$P$22:$Q$276,2,FALSE),"")</f>
        <v/>
      </c>
      <c r="R208" s="3343">
        <v>4.0</v>
      </c>
      <c r="S208" s="3333"/>
      <c r="T208" s="3340" t="s">
        <v>194</v>
      </c>
      <c r="U208" s="3341">
        <f t="array" ref="U208">IFERROR(VLOOKUP(T193,Dex!$B$3:$N291,10,FALSE),"")</f>
        <v>95</v>
      </c>
      <c r="V208" s="3342" t="str">
        <f t="array" ref="V208">IFERROR(VLOOKUP(U208,Dex!$P$22:$Q$276,2,FALSE),"")</f>
        <v/>
      </c>
      <c r="W208" s="3343">
        <v>4.0</v>
      </c>
      <c r="X208" s="3334"/>
      <c r="Y208" s="3340" t="s">
        <v>194</v>
      </c>
      <c r="Z208" s="3341">
        <f t="array" ref="Z208">IFERROR(VLOOKUP(Y193,Dex!$B$3:$N291,10,FALSE),"")</f>
        <v>150</v>
      </c>
      <c r="AA208" s="3342" t="str">
        <f t="array" ref="AA208">IFERROR(VLOOKUP(Z208,Dex!$P$22:$Q$276,2,FALSE),"")</f>
        <v/>
      </c>
      <c r="AB208" s="3343">
        <v>252.0</v>
      </c>
      <c r="AC208" s="3334"/>
      <c r="AD208" s="3340" t="s">
        <v>194</v>
      </c>
      <c r="AE208" s="3341">
        <f t="array" ref="AE208">IFERROR(VLOOKUP(AD193,Dex!$B$3:$N291,10,FALSE),"")</f>
        <v>130</v>
      </c>
      <c r="AF208" s="3342" t="str">
        <f t="array" ref="AF208">IFERROR(VLOOKUP(AE208,Dex!$P$22:$Q$276,2,FALSE),"")</f>
        <v/>
      </c>
      <c r="AG208" s="3343">
        <v>4.0</v>
      </c>
      <c r="AH208" s="3335"/>
      <c r="AI208" s="5735"/>
    </row>
    <row r="209" ht="16.5" customHeight="1">
      <c r="A209" s="5726"/>
      <c r="B209" s="3268"/>
      <c r="C209" s="3259"/>
      <c r="D209" s="3269"/>
      <c r="E209" s="3340" t="s">
        <v>195</v>
      </c>
      <c r="F209" s="3341">
        <f t="array" ref="F209">IFERROR(VLOOKUP(E193,Dex!$B$3:$N291,11,FALSE),"")</f>
        <v>80</v>
      </c>
      <c r="G209" s="3342" t="str">
        <f t="array" ref="G209">IFERROR(VLOOKUP(F209,Dex!$P$22:$Q$276,2,FALSE),"")</f>
        <v/>
      </c>
      <c r="H209" s="3343"/>
      <c r="I209" s="3332"/>
      <c r="J209" s="3340" t="s">
        <v>195</v>
      </c>
      <c r="K209" s="3341">
        <f t="array" ref="K209">IFERROR(VLOOKUP(J193,Dex!$B$3:$N291,11,FALSE),"")</f>
        <v>80</v>
      </c>
      <c r="L209" s="3342" t="str">
        <f t="array" ref="L209">IFERROR(VLOOKUP(K209,Dex!$P$22:$Q$276,2,FALSE),"")</f>
        <v/>
      </c>
      <c r="M209" s="3343"/>
      <c r="N209" s="3332"/>
      <c r="O209" s="3340" t="s">
        <v>195</v>
      </c>
      <c r="P209" s="3341">
        <f t="array" ref="P209">IFERROR(VLOOKUP(O193,Dex!$B$3:$N291,11,FALSE),"")</f>
        <v>122</v>
      </c>
      <c r="Q209" s="3342" t="str">
        <f t="array" ref="Q209">IFERROR(VLOOKUP(P209,Dex!$P$22:$Q$276,2,FALSE),"")</f>
        <v/>
      </c>
      <c r="R209" s="3343">
        <v>252.0</v>
      </c>
      <c r="S209" s="3333"/>
      <c r="T209" s="3340" t="s">
        <v>195</v>
      </c>
      <c r="U209" s="3341">
        <f t="array" ref="U209">IFERROR(VLOOKUP(T193,Dex!$B$3:$N291,11,FALSE),"")</f>
        <v>100</v>
      </c>
      <c r="V209" s="3342" t="str">
        <f t="array" ref="V209">IFERROR(VLOOKUP(U209,Dex!$P$22:$Q$276,2,FALSE),"")</f>
        <v/>
      </c>
      <c r="W209" s="3343"/>
      <c r="X209" s="3334"/>
      <c r="Y209" s="3340" t="s">
        <v>195</v>
      </c>
      <c r="Z209" s="3341">
        <f t="array" ref="Z209">IFERROR(VLOOKUP(Y193,Dex!$B$3:$N291,11,FALSE),"")</f>
        <v>185</v>
      </c>
      <c r="AA209" s="3342" t="str">
        <f t="array" ref="AA209">IFERROR(VLOOKUP(Z209,Dex!$P$22:$Q$276,2,FALSE),"")</f>
        <v/>
      </c>
      <c r="AB209" s="3343">
        <v>4.0</v>
      </c>
      <c r="AC209" s="3334"/>
      <c r="AD209" s="3340" t="s">
        <v>195</v>
      </c>
      <c r="AE209" s="3341">
        <f t="array" ref="AE209">IFERROR(VLOOKUP(AD193,Dex!$B$3:$N291,11,FALSE),"")</f>
        <v>120</v>
      </c>
      <c r="AF209" s="3342" t="str">
        <f t="array" ref="AF209">IFERROR(VLOOKUP(AE209,Dex!$P$22:$Q$276,2,FALSE),"")</f>
        <v/>
      </c>
      <c r="AG209" s="3343"/>
      <c r="AH209" s="3335"/>
      <c r="AI209" s="5735"/>
    </row>
    <row r="210" ht="16.5" customHeight="1">
      <c r="A210" s="5726"/>
      <c r="B210" s="3268"/>
      <c r="C210" s="3259"/>
      <c r="D210" s="3269"/>
      <c r="E210" s="3340" t="s">
        <v>196</v>
      </c>
      <c r="F210" s="3341">
        <f t="array" ref="F210">IFERROR(VLOOKUP(E193,Dex!$B$3:$N291,12,FALSE),"")</f>
        <v>85</v>
      </c>
      <c r="G210" s="3342" t="str">
        <f t="array" ref="G210">IFERROR(VLOOKUP(F210,Dex!$P$22:$Q$276,2,FALSE),"")</f>
        <v/>
      </c>
      <c r="H210" s="3343"/>
      <c r="I210" s="3332"/>
      <c r="J210" s="3340" t="s">
        <v>196</v>
      </c>
      <c r="K210" s="3341">
        <f t="array" ref="K210">IFERROR(VLOOKUP(J193,Dex!$B$3:$N291,12,FALSE),"")</f>
        <v>65</v>
      </c>
      <c r="L210" s="3342" t="str">
        <f t="array" ref="L210">IFERROR(VLOOKUP(K210,Dex!$P$22:$Q$276,2,FALSE),"")</f>
        <v/>
      </c>
      <c r="M210" s="3343">
        <v>4.0</v>
      </c>
      <c r="N210" s="3332"/>
      <c r="O210" s="3340" t="s">
        <v>196</v>
      </c>
      <c r="P210" s="3341">
        <f t="array" ref="P210">IFERROR(VLOOKUP(O193,Dex!$B$3:$N291,12,FALSE),"")</f>
        <v>80</v>
      </c>
      <c r="Q210" s="3342" t="str">
        <f t="array" ref="Q210">IFERROR(VLOOKUP(P210,Dex!$P$22:$Q$276,2,FALSE),"")</f>
        <v/>
      </c>
      <c r="R210" s="3343"/>
      <c r="S210" s="3333"/>
      <c r="T210" s="3340" t="s">
        <v>196</v>
      </c>
      <c r="U210" s="3341">
        <f t="array" ref="U210">IFERROR(VLOOKUP(T193,Dex!$B$3:$N291,12,FALSE),"")</f>
        <v>100</v>
      </c>
      <c r="V210" s="3342" t="str">
        <f t="array" ref="V210">IFERROR(VLOOKUP(U210,Dex!$P$22:$Q$276,2,FALSE),"")</f>
        <v/>
      </c>
      <c r="W210" s="3343"/>
      <c r="X210" s="3334"/>
      <c r="Y210" s="3340" t="s">
        <v>196</v>
      </c>
      <c r="Z210" s="3341">
        <f t="array" ref="Z210">IFERROR(VLOOKUP(Y193,Dex!$B$3:$N291,12,FALSE),"")</f>
        <v>130</v>
      </c>
      <c r="AA210" s="3342" t="str">
        <f t="array" ref="AA210">IFERROR(VLOOKUP(Z210,Dex!$P$22:$Q$276,2,FALSE),"")</f>
        <v/>
      </c>
      <c r="AB210" s="3343"/>
      <c r="AC210" s="3334"/>
      <c r="AD210" s="3340" t="s">
        <v>196</v>
      </c>
      <c r="AE210" s="3341">
        <f t="array" ref="AE210">IFERROR(VLOOKUP(AD193,Dex!$B$3:$N291,12,FALSE),"")</f>
        <v>90</v>
      </c>
      <c r="AF210" s="3342" t="str">
        <f t="array" ref="AF210">IFERROR(VLOOKUP(AE210,Dex!$P$22:$Q$276,2,FALSE),"")</f>
        <v/>
      </c>
      <c r="AG210" s="3343"/>
      <c r="AH210" s="3335"/>
      <c r="AI210" s="5735"/>
    </row>
    <row r="211" ht="16.5" customHeight="1">
      <c r="A211" s="5726"/>
      <c r="B211" s="3268"/>
      <c r="C211" s="3259"/>
      <c r="D211" s="3269"/>
      <c r="E211" s="3344" t="s">
        <v>197</v>
      </c>
      <c r="F211" s="3345">
        <f t="array" ref="F211">IFERROR(VLOOKUP(E193,Dex!$B$3:$N291,13,FALSE),"")</f>
        <v>102</v>
      </c>
      <c r="G211" s="3346" t="str">
        <f t="array" ref="G211">IFERROR(VLOOKUP(F211,Dex!$P$22:$Q$276,2,FALSE),"")</f>
        <v/>
      </c>
      <c r="H211" s="3347">
        <v>252.0</v>
      </c>
      <c r="I211" s="3332"/>
      <c r="J211" s="3344" t="s">
        <v>197</v>
      </c>
      <c r="K211" s="3345">
        <f t="array" ref="K211">IFERROR(VLOOKUP(J193,Dex!$B$3:$N291,13,FALSE),"")</f>
        <v>34</v>
      </c>
      <c r="L211" s="3346" t="str">
        <f t="array" ref="L211">IFERROR(VLOOKUP(K211,Dex!$P$22:$Q$276,2,FALSE),"")</f>
        <v/>
      </c>
      <c r="M211" s="3347"/>
      <c r="N211" s="3332"/>
      <c r="O211" s="3344" t="s">
        <v>197</v>
      </c>
      <c r="P211" s="3345">
        <f t="array" ref="P211">IFERROR(VLOOKUP(O193,Dex!$B$3:$N291,13,FALSE),"")</f>
        <v>108</v>
      </c>
      <c r="Q211" s="3346" t="str">
        <f t="array" ref="Q211">IFERROR(VLOOKUP(P211,Dex!$P$22:$Q$276,2,FALSE),"")</f>
        <v/>
      </c>
      <c r="R211" s="3347">
        <v>252.0</v>
      </c>
      <c r="S211" s="3333"/>
      <c r="T211" s="3344" t="s">
        <v>197</v>
      </c>
      <c r="U211" s="3345">
        <f t="array" ref="U211">IFERROR(VLOOKUP(T193,Dex!$B$3:$N291,13,FALSE),"")</f>
        <v>80</v>
      </c>
      <c r="V211" s="3346" t="str">
        <f t="array" ref="V211">IFERROR(VLOOKUP(U211,Dex!$P$22:$Q$276,2,FALSE),"")</f>
        <v/>
      </c>
      <c r="W211" s="3347">
        <v>252.0</v>
      </c>
      <c r="X211" s="3334"/>
      <c r="Y211" s="3344" t="s">
        <v>197</v>
      </c>
      <c r="Z211" s="3345">
        <f t="array" ref="Z211">IFERROR(VLOOKUP(Y193,Dex!$B$3:$N291,13,FALSE),"")</f>
        <v>90</v>
      </c>
      <c r="AA211" s="3346" t="str">
        <f t="array" ref="AA211">IFERROR(VLOOKUP(Z211,Dex!$P$22:$Q$276,2,FALSE),"")</f>
        <v/>
      </c>
      <c r="AB211" s="3347"/>
      <c r="AC211" s="3334"/>
      <c r="AD211" s="3344" t="s">
        <v>197</v>
      </c>
      <c r="AE211" s="3345">
        <f t="array" ref="AE211">IFERROR(VLOOKUP(AD193,Dex!$B$3:$N291,13,FALSE),"")</f>
        <v>120</v>
      </c>
      <c r="AF211" s="3346" t="str">
        <f t="array" ref="AF211">IFERROR(VLOOKUP(AE211,Dex!$P$22:$Q$276,2,FALSE),"")</f>
        <v/>
      </c>
      <c r="AG211" s="3347">
        <v>252.0</v>
      </c>
      <c r="AH211" s="3335"/>
      <c r="AI211" s="5735"/>
    </row>
    <row r="212" ht="16.5" customHeight="1">
      <c r="A212" s="5726"/>
      <c r="B212" s="3268"/>
      <c r="C212" s="3259"/>
      <c r="D212" s="3269"/>
      <c r="E212" s="3348" t="s">
        <v>198</v>
      </c>
      <c r="F212" s="405"/>
      <c r="G212" s="406"/>
      <c r="H212" s="3349">
        <v>283.0</v>
      </c>
      <c r="I212" s="3332"/>
      <c r="J212" s="3348" t="s">
        <v>198</v>
      </c>
      <c r="K212" s="405"/>
      <c r="L212" s="406"/>
      <c r="M212" s="3349">
        <v>89.0</v>
      </c>
      <c r="N212" s="3332"/>
      <c r="O212" s="6094" t="s">
        <v>198</v>
      </c>
      <c r="P212" s="918"/>
      <c r="Q212" s="919"/>
      <c r="R212" s="6095">
        <v>294.0</v>
      </c>
      <c r="S212" s="6093"/>
      <c r="T212" s="3348" t="s">
        <v>198</v>
      </c>
      <c r="U212" s="405"/>
      <c r="V212" s="406"/>
      <c r="W212" s="3349">
        <v>242.0</v>
      </c>
      <c r="X212" s="3269"/>
      <c r="Y212" s="3348" t="s">
        <v>198</v>
      </c>
      <c r="Z212" s="405"/>
      <c r="AA212" s="406"/>
      <c r="AB212" s="3349">
        <v>184.0</v>
      </c>
      <c r="AC212" s="3269"/>
      <c r="AD212" s="3348" t="s">
        <v>198</v>
      </c>
      <c r="AE212" s="405"/>
      <c r="AF212" s="406"/>
      <c r="AG212" s="3349">
        <v>316.0</v>
      </c>
      <c r="AH212" s="3335"/>
      <c r="AI212" s="5735"/>
    </row>
    <row r="213" ht="16.5" customHeight="1">
      <c r="A213" s="5726"/>
      <c r="B213" s="6096"/>
      <c r="C213" s="3259"/>
      <c r="D213" s="3259"/>
      <c r="E213" s="6097"/>
      <c r="F213" s="6097"/>
      <c r="G213" s="6097"/>
      <c r="H213" s="3259"/>
      <c r="I213" s="6098"/>
      <c r="J213" s="6097"/>
      <c r="K213" s="6097"/>
      <c r="L213" s="6097"/>
      <c r="M213" s="3259"/>
      <c r="N213" s="6099"/>
      <c r="O213" s="6100" t="s">
        <v>349</v>
      </c>
      <c r="P213" s="925"/>
      <c r="Q213" s="926"/>
      <c r="R213" s="6101">
        <v>441.0</v>
      </c>
      <c r="S213" s="6102"/>
      <c r="T213" s="6097"/>
      <c r="U213" s="6097"/>
      <c r="V213" s="6097"/>
      <c r="W213" s="3259"/>
      <c r="X213" s="6103"/>
      <c r="Y213" s="6097"/>
      <c r="Z213" s="6097"/>
      <c r="AA213" s="6097"/>
      <c r="AB213" s="3259"/>
      <c r="AC213" s="6103"/>
      <c r="AD213" s="6097"/>
      <c r="AE213" s="6097"/>
      <c r="AF213" s="6097"/>
      <c r="AG213" s="3259"/>
      <c r="AH213" s="6104"/>
      <c r="AI213" s="5735"/>
    </row>
    <row r="214" ht="15.0" customHeight="1">
      <c r="A214" s="5726"/>
      <c r="B214" s="3350"/>
      <c r="C214" s="6105"/>
      <c r="D214" s="6106"/>
      <c r="E214" s="6106"/>
      <c r="F214" s="6106"/>
      <c r="G214" s="6106"/>
      <c r="H214" s="6106"/>
      <c r="I214" s="6107"/>
      <c r="J214" s="6106"/>
      <c r="K214" s="6106"/>
      <c r="L214" s="6106"/>
      <c r="M214" s="6106"/>
      <c r="N214" s="6106"/>
      <c r="O214" s="6106"/>
      <c r="P214" s="6106"/>
      <c r="Q214" s="6106"/>
      <c r="R214" s="6106"/>
      <c r="S214" s="6106"/>
      <c r="T214" s="6106"/>
      <c r="U214" s="6106"/>
      <c r="V214" s="6106"/>
      <c r="W214" s="6106"/>
      <c r="X214" s="6106"/>
      <c r="Y214" s="6106"/>
      <c r="Z214" s="6106"/>
      <c r="AA214" s="6106"/>
      <c r="AB214" s="6106"/>
      <c r="AC214" s="6107"/>
      <c r="AD214" s="6106"/>
      <c r="AE214" s="6106"/>
      <c r="AF214" s="6106"/>
      <c r="AG214" s="6106"/>
      <c r="AH214" s="3355"/>
      <c r="AI214" s="5735"/>
    </row>
    <row r="215" ht="15.0" customHeight="1">
      <c r="A215" s="5726"/>
      <c r="B215" s="2261"/>
      <c r="C215" s="2262"/>
      <c r="D215" s="2263"/>
      <c r="E215" s="2264"/>
      <c r="F215" s="2264"/>
      <c r="G215" s="2264"/>
      <c r="H215" s="2264"/>
      <c r="I215" s="2264"/>
      <c r="J215" s="2264"/>
      <c r="K215" s="2264"/>
      <c r="L215" s="2264"/>
      <c r="M215" s="2264"/>
      <c r="N215" s="2264"/>
      <c r="O215" s="2264"/>
      <c r="P215" s="2264"/>
      <c r="Q215" s="2264"/>
      <c r="R215" s="2264"/>
      <c r="S215" s="2264"/>
      <c r="T215" s="2264"/>
      <c r="U215" s="2264"/>
      <c r="V215" s="2264"/>
      <c r="W215" s="2264"/>
      <c r="X215" s="2264"/>
      <c r="Y215" s="2264"/>
      <c r="Z215" s="2264"/>
      <c r="AA215" s="2264"/>
      <c r="AB215" s="2264"/>
      <c r="AC215" s="2264"/>
      <c r="AD215" s="2264"/>
      <c r="AE215" s="2264"/>
      <c r="AF215" s="2264"/>
      <c r="AG215" s="2264"/>
      <c r="AH215" s="2265"/>
      <c r="AI215" s="5735"/>
    </row>
    <row r="216">
      <c r="A216" s="5726"/>
      <c r="B216" s="2268"/>
      <c r="C216" s="2269"/>
      <c r="D216" s="2270"/>
      <c r="E216" s="2271" t="s">
        <v>1470</v>
      </c>
      <c r="F216" s="1579"/>
      <c r="G216" s="1579"/>
      <c r="H216" s="1579"/>
      <c r="I216" s="1579"/>
      <c r="J216" s="1579"/>
      <c r="K216" s="1579"/>
      <c r="L216" s="1579"/>
      <c r="M216" s="1579"/>
      <c r="N216" s="1579"/>
      <c r="O216" s="1579"/>
      <c r="P216" s="1579"/>
      <c r="Q216" s="1579"/>
      <c r="R216" s="1579"/>
      <c r="S216" s="1579"/>
      <c r="T216" s="1579"/>
      <c r="U216" s="1579"/>
      <c r="V216" s="1579"/>
      <c r="W216" s="1579"/>
      <c r="X216" s="1579"/>
      <c r="Y216" s="1579"/>
      <c r="Z216" s="1579"/>
      <c r="AA216" s="1579"/>
      <c r="AB216" s="1579"/>
      <c r="AC216" s="1579"/>
      <c r="AD216" s="1579"/>
      <c r="AE216" s="1579"/>
      <c r="AF216" s="1579"/>
      <c r="AG216" s="1580"/>
      <c r="AH216" s="2654"/>
      <c r="AI216" s="5735"/>
    </row>
    <row r="217" ht="3.75" customHeight="1">
      <c r="A217" s="5726"/>
      <c r="B217" s="2268"/>
      <c r="C217" s="2277"/>
      <c r="D217" s="2278"/>
      <c r="E217" s="2490"/>
      <c r="F217" s="2490"/>
      <c r="G217" s="2490"/>
      <c r="H217" s="2490"/>
      <c r="I217" s="2280"/>
      <c r="J217" s="2490"/>
      <c r="K217" s="2490"/>
      <c r="L217" s="2490"/>
      <c r="M217" s="2490"/>
      <c r="N217" s="2280"/>
      <c r="O217" s="2490"/>
      <c r="P217" s="2490"/>
      <c r="Q217" s="2490"/>
      <c r="R217" s="2490"/>
      <c r="S217" s="2280"/>
      <c r="T217" s="2490"/>
      <c r="U217" s="2490"/>
      <c r="V217" s="2490"/>
      <c r="W217" s="2490"/>
      <c r="X217" s="2280"/>
      <c r="Y217" s="2490"/>
      <c r="Z217" s="2490"/>
      <c r="AA217" s="2490"/>
      <c r="AB217" s="2490"/>
      <c r="AC217" s="2280"/>
      <c r="AD217" s="2490"/>
      <c r="AE217" s="2490"/>
      <c r="AF217" s="2490"/>
      <c r="AG217" s="2490"/>
      <c r="AH217" s="2276"/>
      <c r="AI217" s="5735"/>
    </row>
    <row r="218" ht="96.75" customHeight="1">
      <c r="A218" s="5726"/>
      <c r="B218" s="2281"/>
      <c r="C218" s="2282" t="str">
        <f>IMAGE("https://i.ibb.co/fXwks6z/Rival.png")</f>
        <v/>
      </c>
      <c r="D218" s="2491"/>
      <c r="E218" s="2284" t="str">
        <f t="array" ref="E218">IFERROR(VLOOKUP(E219,Dex!$B$3:$G291,3,FALSE),"")</f>
        <v/>
      </c>
      <c r="F218" s="1830"/>
      <c r="G218" s="1830"/>
      <c r="H218" s="1831"/>
      <c r="I218" s="2492"/>
      <c r="J218" s="2284" t="str">
        <f t="array" ref="J218">IFERROR(VLOOKUP(J219,Dex!$B$3:$G291,3,FALSE),"")</f>
        <v/>
      </c>
      <c r="K218" s="1830"/>
      <c r="L218" s="1830"/>
      <c r="M218" s="1831"/>
      <c r="N218" s="5007"/>
      <c r="O218" s="2284" t="str">
        <f t="array" ref="O218">IFERROR(VLOOKUP(O219,Dex!$B$3:$G291,3,FALSE),"")</f>
        <v/>
      </c>
      <c r="P218" s="1830"/>
      <c r="Q218" s="1830"/>
      <c r="R218" s="1831"/>
      <c r="S218" s="5007"/>
      <c r="T218" s="2284" t="str">
        <f t="array" ref="T218">IFERROR(VLOOKUP(T219,Dex!$B$3:$G291,3,FALSE),"")</f>
        <v/>
      </c>
      <c r="U218" s="1830"/>
      <c r="V218" s="1830"/>
      <c r="W218" s="1831"/>
      <c r="X218" s="5007"/>
      <c r="Y218" s="2284" t="str">
        <f t="array" ref="Y218">IFERROR(VLOOKUP(Y219,Dex!$B$3:$G291,3,FALSE),"")</f>
        <v/>
      </c>
      <c r="Z218" s="1830"/>
      <c r="AA218" s="1830"/>
      <c r="AB218" s="1831"/>
      <c r="AC218" s="5007"/>
      <c r="AD218" s="2284" t="str">
        <f t="array" ref="AD218">IFERROR(VLOOKUP(AD219,Dex!$B$3:$G291,3,FALSE),"")</f>
        <v/>
      </c>
      <c r="AE218" s="1830"/>
      <c r="AF218" s="1830"/>
      <c r="AG218" s="1831"/>
      <c r="AH218" s="2654"/>
      <c r="AI218" s="5735"/>
    </row>
    <row r="219" ht="18.75" customHeight="1">
      <c r="A219" s="5726"/>
      <c r="B219" s="2289"/>
      <c r="C219" s="2290" t="s">
        <v>1471</v>
      </c>
      <c r="D219" s="2494"/>
      <c r="E219" s="2292" t="s">
        <v>1472</v>
      </c>
      <c r="F219" s="2293"/>
      <c r="G219" s="2293"/>
      <c r="H219" s="2294"/>
      <c r="J219" s="2292" t="s">
        <v>1473</v>
      </c>
      <c r="K219" s="2293"/>
      <c r="L219" s="2293"/>
      <c r="M219" s="2294"/>
      <c r="O219" s="2292" t="s">
        <v>1474</v>
      </c>
      <c r="P219" s="2293"/>
      <c r="Q219" s="2293"/>
      <c r="R219" s="2294"/>
      <c r="T219" s="2292" t="s">
        <v>1475</v>
      </c>
      <c r="U219" s="2293"/>
      <c r="V219" s="2293"/>
      <c r="W219" s="2294"/>
      <c r="Y219" s="2292" t="s">
        <v>1476</v>
      </c>
      <c r="Z219" s="2293"/>
      <c r="AA219" s="2293"/>
      <c r="AB219" s="2294"/>
      <c r="AD219" s="2292" t="s">
        <v>1477</v>
      </c>
      <c r="AE219" s="2293"/>
      <c r="AF219" s="2293"/>
      <c r="AG219" s="2294"/>
      <c r="AH219" s="2656"/>
      <c r="AI219" s="5735"/>
    </row>
    <row r="220">
      <c r="A220" s="5726"/>
      <c r="B220" s="2300"/>
      <c r="C220" s="326"/>
      <c r="D220" s="2360"/>
      <c r="E220" s="2302">
        <v>85.0</v>
      </c>
      <c r="F220" s="2303"/>
      <c r="G220" s="2303"/>
      <c r="H220" s="2304"/>
      <c r="J220" s="2302">
        <v>85.0</v>
      </c>
      <c r="K220" s="2303"/>
      <c r="L220" s="2303"/>
      <c r="M220" s="2304"/>
      <c r="O220" s="2302">
        <v>85.0</v>
      </c>
      <c r="P220" s="2303"/>
      <c r="Q220" s="2303"/>
      <c r="R220" s="2304"/>
      <c r="T220" s="2302">
        <v>85.0</v>
      </c>
      <c r="U220" s="2303"/>
      <c r="V220" s="2303"/>
      <c r="W220" s="2304"/>
      <c r="Y220" s="2302">
        <v>85.0</v>
      </c>
      <c r="Z220" s="2303"/>
      <c r="AA220" s="2303"/>
      <c r="AB220" s="2304"/>
      <c r="AD220" s="2302">
        <v>85.0</v>
      </c>
      <c r="AE220" s="2303"/>
      <c r="AF220" s="2303"/>
      <c r="AG220" s="2304"/>
      <c r="AH220" s="2654"/>
      <c r="AI220" s="5735"/>
    </row>
    <row r="221" ht="25.5" customHeight="1">
      <c r="A221" s="5726"/>
      <c r="B221" s="2268"/>
      <c r="C221" s="2305"/>
      <c r="D221" s="2306"/>
      <c r="E221" s="2307"/>
      <c r="F221" s="2308" t="str">
        <f t="array" ref="F221">IFERROR(VLOOKUP(E219,Dex!$B$3:$H291,5,FALSE),"")</f>
        <v/>
      </c>
      <c r="G221" s="2309" t="str">
        <f t="array" ref="G221">IFERROR(VLOOKUP(E219,Dex!$B$3:$H291,7,FALSE),"")</f>
        <v/>
      </c>
      <c r="H221" s="2310"/>
      <c r="J221" s="2307"/>
      <c r="K221" s="2308" t="str">
        <f t="array" ref="K221">IFERROR(VLOOKUP(J219,Dex!$B$3:$H291,5,FALSE),"")</f>
        <v/>
      </c>
      <c r="L221" s="2309" t="str">
        <f t="array" ref="L221">IFERROR(VLOOKUP(J219,Dex!$B$3:$H291,7,FALSE),"")</f>
        <v/>
      </c>
      <c r="M221" s="2310"/>
      <c r="O221" s="2307"/>
      <c r="P221" s="2308" t="str">
        <f t="array" ref="P221">IFERROR(VLOOKUP(O219,Dex!$B$3:$H291,5,FALSE),"")</f>
        <v/>
      </c>
      <c r="Q221" s="2309" t="str">
        <f t="array" ref="Q221">IFERROR(VLOOKUP(O219,Dex!$B$3:$H291,7,FALSE),"")</f>
        <v/>
      </c>
      <c r="R221" s="2310"/>
      <c r="T221" s="2307"/>
      <c r="U221" s="2308" t="str">
        <f t="array" ref="U221">IFERROR(VLOOKUP(T219,Dex!$B$3:$H291,5,FALSE),"")</f>
        <v/>
      </c>
      <c r="V221" s="2309" t="str">
        <f t="array" ref="V221">IFERROR(VLOOKUP(T219,Dex!$B$3:$H291,7,FALSE),"")</f>
        <v/>
      </c>
      <c r="W221" s="2310"/>
      <c r="Y221" s="2307"/>
      <c r="Z221" s="2308" t="str">
        <f t="array" ref="Z221">IFERROR(VLOOKUP(Y219,Dex!$B$3:$H291,5,FALSE),"")</f>
        <v/>
      </c>
      <c r="AA221" s="2309" t="str">
        <f t="array" ref="AA221">IFERROR(VLOOKUP(Y219,Dex!$B$3:$H291,7,FALSE),"")</f>
        <v/>
      </c>
      <c r="AB221" s="2310"/>
      <c r="AD221" s="2307"/>
      <c r="AE221" s="2311" t="str">
        <f t="array" ref="AE221">IFERROR(VLOOKUP(AD219,Dex!$B$3:$H291,5,FALSE),"")</f>
        <v/>
      </c>
      <c r="AF221" s="2312"/>
      <c r="AG221" s="2310"/>
      <c r="AH221" s="2276"/>
      <c r="AI221" s="5735"/>
    </row>
    <row r="222" ht="2.25" customHeight="1">
      <c r="A222" s="5726"/>
      <c r="B222" s="2268"/>
      <c r="C222" s="104"/>
      <c r="D222" s="2306"/>
      <c r="E222" s="2313"/>
      <c r="F222" s="2314"/>
      <c r="G222" s="2314"/>
      <c r="H222" s="2315"/>
      <c r="J222" s="2313"/>
      <c r="K222" s="2314"/>
      <c r="L222" s="2314"/>
      <c r="M222" s="2315"/>
      <c r="O222" s="2313"/>
      <c r="P222" s="2314"/>
      <c r="Q222" s="2314"/>
      <c r="R222" s="2315"/>
      <c r="T222" s="2313"/>
      <c r="U222" s="2314"/>
      <c r="V222" s="2314"/>
      <c r="W222" s="2315"/>
      <c r="Y222" s="2313"/>
      <c r="Z222" s="2314"/>
      <c r="AA222" s="2314"/>
      <c r="AB222" s="2315"/>
      <c r="AD222" s="2313"/>
      <c r="AE222" s="2314"/>
      <c r="AF222" s="2314"/>
      <c r="AG222" s="2315"/>
      <c r="AH222" s="2276"/>
      <c r="AI222" s="5735"/>
    </row>
    <row r="223" ht="20.25" customHeight="1">
      <c r="A223" s="5726"/>
      <c r="B223" s="2268"/>
      <c r="C223" s="281"/>
      <c r="D223" s="2270"/>
      <c r="E223" s="2317" t="s">
        <v>172</v>
      </c>
      <c r="F223" s="2318"/>
      <c r="G223" s="2318"/>
      <c r="H223" s="2319"/>
      <c r="J223" s="2317" t="s">
        <v>172</v>
      </c>
      <c r="K223" s="2318"/>
      <c r="L223" s="2318"/>
      <c r="M223" s="2319"/>
      <c r="O223" s="2317" t="s">
        <v>172</v>
      </c>
      <c r="P223" s="2318"/>
      <c r="Q223" s="2318"/>
      <c r="R223" s="2319"/>
      <c r="T223" s="2317" t="s">
        <v>263</v>
      </c>
      <c r="U223" s="2318"/>
      <c r="V223" s="2318"/>
      <c r="W223" s="2319"/>
      <c r="Y223" s="2317" t="s">
        <v>205</v>
      </c>
      <c r="Z223" s="2318"/>
      <c r="AA223" s="2318"/>
      <c r="AB223" s="2319"/>
      <c r="AD223" s="2317" t="s">
        <v>205</v>
      </c>
      <c r="AE223" s="2318"/>
      <c r="AF223" s="2318"/>
      <c r="AG223" s="2319"/>
      <c r="AH223" s="2654"/>
      <c r="AI223" s="5735"/>
    </row>
    <row r="224" ht="20.25" customHeight="1">
      <c r="A224" s="5726"/>
      <c r="B224" s="2268"/>
      <c r="C224" s="2320"/>
      <c r="D224" s="2270"/>
      <c r="E224" s="2321" t="s">
        <v>392</v>
      </c>
      <c r="F224" s="2273"/>
      <c r="G224" s="2273"/>
      <c r="H224" s="2322"/>
      <c r="J224" s="5006" t="s">
        <v>1478</v>
      </c>
      <c r="K224" s="2273"/>
      <c r="L224" s="2273"/>
      <c r="M224" s="2322"/>
      <c r="O224" s="2321" t="s">
        <v>1479</v>
      </c>
      <c r="P224" s="2273"/>
      <c r="Q224" s="2273"/>
      <c r="R224" s="2322"/>
      <c r="T224" s="2321" t="s">
        <v>1480</v>
      </c>
      <c r="U224" s="2273"/>
      <c r="V224" s="2273"/>
      <c r="W224" s="2322"/>
      <c r="Y224" s="2321" t="s">
        <v>808</v>
      </c>
      <c r="Z224" s="2273"/>
      <c r="AA224" s="2273"/>
      <c r="AB224" s="2322"/>
      <c r="AD224" s="2321" t="s">
        <v>1481</v>
      </c>
      <c r="AE224" s="2273"/>
      <c r="AF224" s="2273"/>
      <c r="AG224" s="2322"/>
      <c r="AH224" s="2654"/>
      <c r="AI224" s="5735"/>
    </row>
    <row r="225" ht="20.25" customHeight="1">
      <c r="A225" s="5726"/>
      <c r="B225" s="2268"/>
      <c r="C225" s="104"/>
      <c r="D225" s="2270"/>
      <c r="E225" s="2323" t="s">
        <v>240</v>
      </c>
      <c r="F225" s="2324"/>
      <c r="G225" s="2325"/>
      <c r="H225" s="2326" t="str">
        <f>IMAGE("https://raw.githubusercontent.com/msikma/pokesprite/master/items/hold-item/focus-sash.png",3)</f>
        <v/>
      </c>
      <c r="J225" s="2323" t="s">
        <v>1482</v>
      </c>
      <c r="K225" s="2324"/>
      <c r="L225" s="2325"/>
      <c r="M225" s="2326" t="str">
        <f>IMAGE("https://raw.githubusercontent.com/msikma/pokesprite/master/items/mega-stone/metagrossite.png",3)</f>
        <v/>
      </c>
      <c r="O225" s="2323" t="s">
        <v>363</v>
      </c>
      <c r="P225" s="2324"/>
      <c r="Q225" s="2325"/>
      <c r="R225" s="2326" t="str">
        <f>IMAGE("https://raw.githubusercontent.com/msikma/pokesprite/master/items/berry/lum.png",3)</f>
        <v/>
      </c>
      <c r="T225" s="2323" t="s">
        <v>473</v>
      </c>
      <c r="U225" s="2324"/>
      <c r="V225" s="2325"/>
      <c r="W225" s="2326" t="str">
        <f>IMAGE("https://raw.githubusercontent.com/msikma/pokesprite/master/items/hold-item/assault-vest.png",3)</f>
        <v/>
      </c>
      <c r="Y225" s="2323" t="s">
        <v>426</v>
      </c>
      <c r="Z225" s="2324"/>
      <c r="AA225" s="2325"/>
      <c r="AB225" s="2326" t="str">
        <f>IMAGE("https://raw.githubusercontent.com/msikma/pokesprite/master/items/hold-item/power-herb.png",3)</f>
        <v/>
      </c>
      <c r="AD225" s="2323" t="s">
        <v>335</v>
      </c>
      <c r="AE225" s="2324"/>
      <c r="AF225" s="2325"/>
      <c r="AG225" s="2326" t="str">
        <f>IMAGE("https://raw.githubusercontent.com/msikma/pokesprite/master/items/hold-item/choice-scarf.png",3)</f>
        <v/>
      </c>
      <c r="AH225" s="2276"/>
      <c r="AI225" s="5735"/>
    </row>
    <row r="226" ht="20.25" customHeight="1">
      <c r="A226" s="5726"/>
      <c r="B226" s="2268"/>
      <c r="C226" s="281"/>
      <c r="D226" s="2270"/>
      <c r="E226" s="2317" t="s">
        <v>278</v>
      </c>
      <c r="F226" s="2318"/>
      <c r="G226" s="2327"/>
      <c r="H226" s="2328" t="str">
        <f>IMAGE("https://raw.githubusercontent.com/msikma/pokesprite/master/misc/types/gen8/bug.png",4,20,20)</f>
        <v/>
      </c>
      <c r="J226" s="2317" t="s">
        <v>522</v>
      </c>
      <c r="K226" s="2318"/>
      <c r="L226" s="2327"/>
      <c r="M226" s="2328" t="str">
        <f>IMAGE("https://raw.githubusercontent.com/msikma/pokesprite/master/misc/types/gen8/steel.png",4,20,20)</f>
        <v/>
      </c>
      <c r="O226" s="2317" t="s">
        <v>489</v>
      </c>
      <c r="P226" s="2318"/>
      <c r="Q226" s="2327"/>
      <c r="R226" s="2328" t="str">
        <f>IMAGE("https://raw.githubusercontent.com/msikma/pokesprite/master/misc/types/gen8/normal.png",4,20,20)</f>
        <v/>
      </c>
      <c r="T226" s="2317" t="s">
        <v>1483</v>
      </c>
      <c r="U226" s="2318"/>
      <c r="V226" s="2327"/>
      <c r="W226" s="2328" t="str">
        <f>IMAGE("https://raw.githubusercontent.com/msikma/pokesprite/master/misc/types/gen8/flying.png",4,20,20)</f>
        <v/>
      </c>
      <c r="Y226" s="2317" t="s">
        <v>429</v>
      </c>
      <c r="Z226" s="2318"/>
      <c r="AA226" s="2327"/>
      <c r="AB226" s="2328" t="str">
        <f>IMAGE("https://raw.githubusercontent.com/msikma/pokesprite/master/misc/types/gen8/rock.png",4,20,20)</f>
        <v/>
      </c>
      <c r="AD226" s="2317" t="s">
        <v>1484</v>
      </c>
      <c r="AE226" s="2318"/>
      <c r="AF226" s="2327"/>
      <c r="AG226" s="2328" t="str">
        <f>IMAGE("https://raw.githubusercontent.com/msikma/pokesprite/master/misc/types/gen8/normal.png",4,20,20)</f>
        <v/>
      </c>
      <c r="AH226" s="2276"/>
      <c r="AI226" s="5735"/>
    </row>
    <row r="227" ht="20.25" customHeight="1">
      <c r="A227" s="5726"/>
      <c r="B227" s="2268"/>
      <c r="C227" s="2269"/>
      <c r="D227" s="2270"/>
      <c r="E227" s="2321" t="s">
        <v>316</v>
      </c>
      <c r="F227" s="2273"/>
      <c r="G227" s="2274"/>
      <c r="H227" s="2329" t="str">
        <f>IMAGE("https://raw.githubusercontent.com/msikma/pokesprite/master/misc/types/gen8/fighting.png",4,20,20)</f>
        <v/>
      </c>
      <c r="J227" s="2321" t="s">
        <v>562</v>
      </c>
      <c r="K227" s="2273"/>
      <c r="L227" s="2274"/>
      <c r="M227" s="2329" t="str">
        <f>IMAGE("https://raw.githubusercontent.com/msikma/pokesprite/master/misc/types/gen8/psychic.png",4,20,20)</f>
        <v/>
      </c>
      <c r="O227" s="2321" t="s">
        <v>1485</v>
      </c>
      <c r="P227" s="2273"/>
      <c r="Q227" s="2274"/>
      <c r="R227" s="2329" t="str">
        <f>IMAGE("https://raw.githubusercontent.com/msikma/pokesprite/master/misc/types/gen8/fighting.png",4,20,20)</f>
        <v/>
      </c>
      <c r="T227" s="2321" t="s">
        <v>1466</v>
      </c>
      <c r="U227" s="2273"/>
      <c r="V227" s="2274"/>
      <c r="W227" s="2329" t="str">
        <f>IMAGE("https://raw.githubusercontent.com/msikma/pokesprite/master/misc/types/gen8/dark.png",4,20,20)</f>
        <v/>
      </c>
      <c r="Y227" s="2321" t="s">
        <v>405</v>
      </c>
      <c r="Z227" s="2273"/>
      <c r="AA227" s="2274"/>
      <c r="AB227" s="2329" t="str">
        <f>IMAGE("https://raw.githubusercontent.com/msikma/pokesprite/master/misc/types/gen8/poison.png",4,20,20)</f>
        <v/>
      </c>
      <c r="AD227" s="2321" t="s">
        <v>188</v>
      </c>
      <c r="AE227" s="2273"/>
      <c r="AF227" s="2274"/>
      <c r="AG227" s="2329"/>
      <c r="AH227" s="2276"/>
      <c r="AI227" s="5735"/>
    </row>
    <row r="228" ht="20.25" customHeight="1">
      <c r="A228" s="5726"/>
      <c r="B228" s="2268"/>
      <c r="C228" s="2269"/>
      <c r="D228" s="2270"/>
      <c r="E228" s="2321" t="s">
        <v>285</v>
      </c>
      <c r="F228" s="2273"/>
      <c r="G228" s="2274"/>
      <c r="H228" s="2329" t="str">
        <f>IMAGE("https://raw.githubusercontent.com/msikma/pokesprite/master/misc/types/gen8/ice.png",4,20,20)</f>
        <v/>
      </c>
      <c r="J228" s="2321" t="s">
        <v>403</v>
      </c>
      <c r="K228" s="2273"/>
      <c r="L228" s="2274"/>
      <c r="M228" s="2329" t="str">
        <f>IMAGE("https://raw.githubusercontent.com/msikma/pokesprite/master/misc/types/gen8/fire.png",4,20,20)</f>
        <v/>
      </c>
      <c r="O228" s="2321" t="s">
        <v>409</v>
      </c>
      <c r="P228" s="2273"/>
      <c r="Q228" s="2274"/>
      <c r="R228" s="2329" t="str">
        <f>IMAGE("https://raw.githubusercontent.com/msikma/pokesprite/master/misc/types/gen8/dragon.png",4,20,20)</f>
        <v/>
      </c>
      <c r="T228" s="2321" t="s">
        <v>903</v>
      </c>
      <c r="U228" s="2273"/>
      <c r="V228" s="2274"/>
      <c r="W228" s="2329" t="str">
        <f>IMAGE("https://raw.githubusercontent.com/msikma/pokesprite/master/misc/types/gen8/fire.png",4,20,20)</f>
        <v/>
      </c>
      <c r="Y228" s="2321" t="s">
        <v>372</v>
      </c>
      <c r="Z228" s="2273"/>
      <c r="AA228" s="2274"/>
      <c r="AB228" s="2329" t="str">
        <f>IMAGE("https://raw.githubusercontent.com/msikma/pokesprite/master/misc/types/gen8/fire.png",4,20,20)</f>
        <v/>
      </c>
      <c r="AD228" s="2321" t="s">
        <v>188</v>
      </c>
      <c r="AE228" s="2273"/>
      <c r="AF228" s="2274"/>
      <c r="AG228" s="2329"/>
      <c r="AH228" s="2276"/>
      <c r="AI228" s="5735"/>
    </row>
    <row r="229" ht="21.0" customHeight="1">
      <c r="A229" s="5726"/>
      <c r="B229" s="2268"/>
      <c r="C229" s="2269"/>
      <c r="D229" s="2270"/>
      <c r="E229" s="2330" t="s">
        <v>218</v>
      </c>
      <c r="F229" s="2331"/>
      <c r="G229" s="2332"/>
      <c r="H229" s="2333" t="str">
        <f>IMAGE("https://raw.githubusercontent.com/msikma/pokesprite/master/misc/types/gen8/poison.png",4,20,20)</f>
        <v/>
      </c>
      <c r="I229" s="2497"/>
      <c r="J229" s="2330" t="s">
        <v>671</v>
      </c>
      <c r="K229" s="2331"/>
      <c r="L229" s="2332"/>
      <c r="M229" s="2333" t="str">
        <f>IMAGE("https://raw.githubusercontent.com/msikma/pokesprite/master/misc/types/gen8/steel.png",4,20,20)</f>
        <v/>
      </c>
      <c r="N229" s="2497"/>
      <c r="O229" s="2330" t="s">
        <v>378</v>
      </c>
      <c r="P229" s="2331"/>
      <c r="Q229" s="2332"/>
      <c r="R229" s="2333" t="str">
        <f>IMAGE("https://raw.githubusercontent.com/msikma/pokesprite/master/misc/types/gen8/fire.png",4,20,20)</f>
        <v/>
      </c>
      <c r="S229" s="2497"/>
      <c r="T229" s="2330" t="s">
        <v>541</v>
      </c>
      <c r="U229" s="2331"/>
      <c r="V229" s="2332"/>
      <c r="W229" s="2333" t="str">
        <f>IMAGE("https://raw.githubusercontent.com/msikma/pokesprite/master/misc/types/gen8/dark.png",4,20,20)</f>
        <v/>
      </c>
      <c r="X229" s="2497"/>
      <c r="Y229" s="2330" t="s">
        <v>1486</v>
      </c>
      <c r="Z229" s="2331"/>
      <c r="AA229" s="2332"/>
      <c r="AB229" s="2333" t="str">
        <f>IMAGE("https://raw.githubusercontent.com/msikma/pokesprite/master/misc/types/gen8/dragon.png",4,20,20)</f>
        <v/>
      </c>
      <c r="AC229" s="2497"/>
      <c r="AD229" s="2330" t="s">
        <v>188</v>
      </c>
      <c r="AE229" s="2331"/>
      <c r="AF229" s="2332"/>
      <c r="AG229" s="2333"/>
      <c r="AH229" s="2276"/>
      <c r="AI229" s="5735"/>
    </row>
    <row r="230" ht="3.0" customHeight="1">
      <c r="A230" s="5726"/>
      <c r="B230" s="2337"/>
      <c r="C230" s="2338"/>
      <c r="D230" s="2339"/>
      <c r="E230" s="2340"/>
      <c r="F230" s="2340"/>
      <c r="G230" s="2340"/>
      <c r="H230" s="2340"/>
      <c r="I230" s="2339"/>
      <c r="J230" s="2340"/>
      <c r="K230" s="2340"/>
      <c r="L230" s="2340"/>
      <c r="M230" s="2340"/>
      <c r="N230" s="2339"/>
      <c r="O230" s="2340"/>
      <c r="P230" s="2340"/>
      <c r="Q230" s="2340"/>
      <c r="R230" s="2340"/>
      <c r="S230" s="2339"/>
      <c r="T230" s="2340"/>
      <c r="U230" s="2340"/>
      <c r="V230" s="2340"/>
      <c r="W230" s="2340"/>
      <c r="X230" s="2339"/>
      <c r="Y230" s="2340"/>
      <c r="Z230" s="2340"/>
      <c r="AA230" s="2340"/>
      <c r="AB230" s="2340"/>
      <c r="AC230" s="2342"/>
      <c r="AD230" s="2340"/>
      <c r="AE230" s="2340"/>
      <c r="AF230" s="2340"/>
      <c r="AG230" s="2340"/>
      <c r="AH230" s="2343"/>
      <c r="AI230" s="5735"/>
    </row>
    <row r="231" ht="16.5" customHeight="1">
      <c r="A231" s="5726"/>
      <c r="B231" s="2345"/>
      <c r="C231" s="2338"/>
      <c r="D231" s="2346"/>
      <c r="E231" s="488" t="s">
        <v>190</v>
      </c>
      <c r="F231" s="381"/>
      <c r="G231" s="382"/>
      <c r="H231" s="489" t="s">
        <v>191</v>
      </c>
      <c r="I231" s="2347"/>
      <c r="J231" s="488" t="s">
        <v>190</v>
      </c>
      <c r="K231" s="381"/>
      <c r="L231" s="382"/>
      <c r="M231" s="489" t="s">
        <v>191</v>
      </c>
      <c r="N231" s="6108"/>
      <c r="O231" s="488" t="s">
        <v>190</v>
      </c>
      <c r="P231" s="381"/>
      <c r="Q231" s="382"/>
      <c r="R231" s="489" t="s">
        <v>191</v>
      </c>
      <c r="S231" s="6109"/>
      <c r="T231" s="488" t="s">
        <v>190</v>
      </c>
      <c r="U231" s="381"/>
      <c r="V231" s="382"/>
      <c r="W231" s="489" t="s">
        <v>191</v>
      </c>
      <c r="X231" s="6109"/>
      <c r="Y231" s="488" t="s">
        <v>190</v>
      </c>
      <c r="Z231" s="381"/>
      <c r="AA231" s="382"/>
      <c r="AB231" s="489" t="s">
        <v>191</v>
      </c>
      <c r="AC231" s="6109"/>
      <c r="AD231" s="488" t="s">
        <v>190</v>
      </c>
      <c r="AE231" s="381"/>
      <c r="AF231" s="382"/>
      <c r="AG231" s="489" t="s">
        <v>191</v>
      </c>
      <c r="AH231" s="2351"/>
      <c r="AI231" s="5735"/>
    </row>
    <row r="232" ht="15.75" customHeight="1">
      <c r="A232" s="5726"/>
      <c r="B232" s="2345"/>
      <c r="C232" s="2338"/>
      <c r="D232" s="2346"/>
      <c r="E232" s="495" t="s">
        <v>192</v>
      </c>
      <c r="F232" s="496">
        <f t="array" ref="F232">IFERROR(VLOOKUP(E219,Dex!$B$3:$N291,8,FALSE),"")</f>
        <v>71</v>
      </c>
      <c r="G232" s="497" t="str">
        <f t="array" ref="G232">IFERROR(VLOOKUP(F232,Dex!$P$22:$Q$276,2,FALSE),"")</f>
        <v/>
      </c>
      <c r="H232" s="498"/>
      <c r="I232" s="2347"/>
      <c r="J232" s="495" t="s">
        <v>192</v>
      </c>
      <c r="K232" s="496">
        <f t="array" ref="K232">IFERROR(VLOOKUP(J219,Dex!$B$3:$N291,8,FALSE),"")</f>
        <v>80</v>
      </c>
      <c r="L232" s="497" t="str">
        <f t="array" ref="L232">IFERROR(VLOOKUP(K232,Dex!$P$22:$Q$276,2,FALSE),"")</f>
        <v/>
      </c>
      <c r="M232" s="498"/>
      <c r="N232" s="2348"/>
      <c r="O232" s="495" t="s">
        <v>192</v>
      </c>
      <c r="P232" s="496">
        <f t="array" ref="P232">IFERROR(VLOOKUP(O219,Dex!$B$3:$N291,8,FALSE),"")</f>
        <v>100</v>
      </c>
      <c r="Q232" s="497" t="str">
        <f t="array" ref="Q232">IFERROR(VLOOKUP(P232,Dex!$P$22:$Q$276,2,FALSE),"")</f>
        <v/>
      </c>
      <c r="R232" s="498"/>
      <c r="S232" s="2350"/>
      <c r="T232" s="495" t="s">
        <v>192</v>
      </c>
      <c r="U232" s="496">
        <f t="array" ref="U232">IFERROR(VLOOKUP(T219,Dex!$B$3:$N291,8,FALSE),"")</f>
        <v>126</v>
      </c>
      <c r="V232" s="497" t="str">
        <f t="array" ref="V232">IFERROR(VLOOKUP(U232,Dex!$P$22:$Q$276,2,FALSE),"")</f>
        <v/>
      </c>
      <c r="W232" s="498">
        <v>252.0</v>
      </c>
      <c r="X232" s="2350"/>
      <c r="Y232" s="495" t="s">
        <v>192</v>
      </c>
      <c r="Z232" s="496">
        <f t="array" ref="Z232">IFERROR(VLOOKUP(Y219,Dex!$B$3:$N291,8,FALSE),"")</f>
        <v>140</v>
      </c>
      <c r="AA232" s="497" t="str">
        <f t="array" ref="AA232">IFERROR(VLOOKUP(Z232,Dex!$P$22:$Q$276,2,FALSE),"")</f>
        <v/>
      </c>
      <c r="AB232" s="498"/>
      <c r="AC232" s="2350"/>
      <c r="AD232" s="495" t="s">
        <v>192</v>
      </c>
      <c r="AE232" s="496">
        <f t="array" ref="AE232">IFERROR(VLOOKUP(AD219,Dex!$B$3:$N291,8,FALSE),"")</f>
        <v>48</v>
      </c>
      <c r="AF232" s="497" t="str">
        <f t="array" ref="AF232">IFERROR(VLOOKUP(AE232,Dex!$P$22:$Q$276,2,FALSE),"")</f>
        <v/>
      </c>
      <c r="AG232" s="498">
        <v>252.0</v>
      </c>
      <c r="AH232" s="2351"/>
      <c r="AI232" s="5735"/>
    </row>
    <row r="233" ht="15.75" customHeight="1">
      <c r="A233" s="5726"/>
      <c r="B233" s="2345"/>
      <c r="C233" s="2338"/>
      <c r="D233" s="2346"/>
      <c r="E233" s="500" t="s">
        <v>193</v>
      </c>
      <c r="F233" s="501">
        <f t="array" ref="F233">IFERROR(VLOOKUP(E219,Dex!$B$3:$N291,9,FALSE),"")</f>
        <v>137</v>
      </c>
      <c r="G233" s="502" t="str">
        <f t="array" ref="G233">IFERROR(VLOOKUP(F233,Dex!$P$22:$Q$276,2,FALSE),"")</f>
        <v/>
      </c>
      <c r="H233" s="503">
        <v>252.0</v>
      </c>
      <c r="I233" s="2347"/>
      <c r="J233" s="500" t="s">
        <v>193</v>
      </c>
      <c r="K233" s="501">
        <f t="array" ref="K233">IFERROR(VLOOKUP(J219,Dex!$B$3:$N291,9,FALSE),"")</f>
        <v>145</v>
      </c>
      <c r="L233" s="502" t="str">
        <f t="array" ref="L233">IFERROR(VLOOKUP(K233,Dex!$P$22:$Q$276,2,FALSE),"")</f>
        <v/>
      </c>
      <c r="M233" s="503">
        <v>252.0</v>
      </c>
      <c r="N233" s="2348"/>
      <c r="O233" s="500" t="s">
        <v>193</v>
      </c>
      <c r="P233" s="501">
        <f t="array" ref="P233">IFERROR(VLOOKUP(O219,Dex!$B$3:$N291,9,FALSE),"")</f>
        <v>135</v>
      </c>
      <c r="Q233" s="502" t="str">
        <f t="array" ref="Q233">IFERROR(VLOOKUP(P233,Dex!$P$22:$Q$276,2,FALSE),"")</f>
        <v/>
      </c>
      <c r="R233" s="503">
        <v>252.0</v>
      </c>
      <c r="S233" s="2350"/>
      <c r="T233" s="500" t="s">
        <v>193</v>
      </c>
      <c r="U233" s="501">
        <f t="array" ref="U233">IFERROR(VLOOKUP(T219,Dex!$B$3:$N291,9,FALSE),"")</f>
        <v>131</v>
      </c>
      <c r="V233" s="502" t="str">
        <f t="array" ref="V233">IFERROR(VLOOKUP(U233,Dex!$P$22:$Q$276,2,FALSE),"")</f>
        <v/>
      </c>
      <c r="W233" s="503"/>
      <c r="X233" s="2350"/>
      <c r="Y233" s="500" t="s">
        <v>193</v>
      </c>
      <c r="Z233" s="501">
        <f t="array" ref="Z233">IFERROR(VLOOKUP(Y219,Dex!$B$3:$N291,9,FALSE),"")</f>
        <v>85</v>
      </c>
      <c r="AA233" s="502" t="str">
        <f t="array" ref="AA233">IFERROR(VLOOKUP(Z233,Dex!$P$22:$Q$276,2,FALSE),"")</f>
        <v/>
      </c>
      <c r="AB233" s="503"/>
      <c r="AC233" s="2350"/>
      <c r="AD233" s="500" t="s">
        <v>193</v>
      </c>
      <c r="AE233" s="501">
        <f t="array" ref="AE233">IFERROR(VLOOKUP(AD219,Dex!$B$3:$N291,9,FALSE),"")</f>
        <v>48</v>
      </c>
      <c r="AF233" s="502" t="str">
        <f t="array" ref="AF233">IFERROR(VLOOKUP(AE233,Dex!$P$22:$Q$276,2,FALSE),"")</f>
        <v/>
      </c>
      <c r="AG233" s="503"/>
      <c r="AH233" s="2351"/>
      <c r="AI233" s="5735"/>
    </row>
    <row r="234" ht="15.75" customHeight="1">
      <c r="A234" s="5726"/>
      <c r="B234" s="2345"/>
      <c r="C234" s="2338"/>
      <c r="D234" s="2346"/>
      <c r="E234" s="500" t="s">
        <v>194</v>
      </c>
      <c r="F234" s="501">
        <f t="array" ref="F234">IFERROR(VLOOKUP(E219,Dex!$B$3:$N291,10,FALSE),"")</f>
        <v>37</v>
      </c>
      <c r="G234" s="502" t="str">
        <f t="array" ref="G234">IFERROR(VLOOKUP(F234,Dex!$P$22:$Q$276,2,FALSE),"")</f>
        <v/>
      </c>
      <c r="H234" s="503">
        <v>4.0</v>
      </c>
      <c r="I234" s="2347"/>
      <c r="J234" s="500" t="s">
        <v>194</v>
      </c>
      <c r="K234" s="501">
        <f t="array" ref="K234">IFERROR(VLOOKUP(J219,Dex!$B$3:$N291,10,FALSE),"")</f>
        <v>150</v>
      </c>
      <c r="L234" s="502" t="str">
        <f t="array" ref="L234">IFERROR(VLOOKUP(K234,Dex!$P$22:$Q$276,2,FALSE),"")</f>
        <v/>
      </c>
      <c r="M234" s="503">
        <v>4.0</v>
      </c>
      <c r="N234" s="2348"/>
      <c r="O234" s="500" t="s">
        <v>194</v>
      </c>
      <c r="P234" s="501">
        <f t="array" ref="P234">IFERROR(VLOOKUP(O219,Dex!$B$3:$N291,10,FALSE),"")</f>
        <v>115</v>
      </c>
      <c r="Q234" s="502" t="str">
        <f t="array" ref="Q234">IFERROR(VLOOKUP(P234,Dex!$P$22:$Q$276,2,FALSE),"")</f>
        <v/>
      </c>
      <c r="R234" s="503">
        <v>4.0</v>
      </c>
      <c r="S234" s="2350"/>
      <c r="T234" s="500" t="s">
        <v>194</v>
      </c>
      <c r="U234" s="501">
        <f t="array" ref="U234">IFERROR(VLOOKUP(T219,Dex!$B$3:$N291,10,FALSE),"")</f>
        <v>95</v>
      </c>
      <c r="V234" s="502" t="str">
        <f t="array" ref="V234">IFERROR(VLOOKUP(U234,Dex!$P$22:$Q$276,2,FALSE),"")</f>
        <v/>
      </c>
      <c r="W234" s="503">
        <v>4.0</v>
      </c>
      <c r="X234" s="2350"/>
      <c r="Y234" s="500" t="s">
        <v>194</v>
      </c>
      <c r="Z234" s="501">
        <f t="array" ref="Z234">IFERROR(VLOOKUP(Y219,Dex!$B$3:$N291,10,FALSE),"")</f>
        <v>95</v>
      </c>
      <c r="AA234" s="502" t="str">
        <f t="array" ref="AA234">IFERROR(VLOOKUP(Z234,Dex!$P$22:$Q$276,2,FALSE),"")</f>
        <v/>
      </c>
      <c r="AB234" s="503">
        <v>4.0</v>
      </c>
      <c r="AC234" s="2350"/>
      <c r="AD234" s="500" t="s">
        <v>194</v>
      </c>
      <c r="AE234" s="501">
        <f t="array" ref="AE234">IFERROR(VLOOKUP(AD219,Dex!$B$3:$N291,10,FALSE),"")</f>
        <v>48</v>
      </c>
      <c r="AF234" s="502" t="str">
        <f t="array" ref="AF234">IFERROR(VLOOKUP(AE234,Dex!$P$22:$Q$276,2,FALSE),"")</f>
        <v/>
      </c>
      <c r="AG234" s="503">
        <v>4.0</v>
      </c>
      <c r="AH234" s="2351"/>
      <c r="AI234" s="5735"/>
    </row>
    <row r="235" ht="15.75" customHeight="1">
      <c r="A235" s="5726"/>
      <c r="B235" s="2345"/>
      <c r="C235" s="2338"/>
      <c r="D235" s="2346"/>
      <c r="E235" s="500" t="s">
        <v>195</v>
      </c>
      <c r="F235" s="501">
        <f t="array" ref="F235">IFERROR(VLOOKUP(E219,Dex!$B$3:$N291,11,FALSE),"")</f>
        <v>137</v>
      </c>
      <c r="G235" s="502" t="str">
        <f t="array" ref="G235">IFERROR(VLOOKUP(F235,Dex!$P$22:$Q$276,2,FALSE),"")</f>
        <v/>
      </c>
      <c r="H235" s="503"/>
      <c r="I235" s="2347"/>
      <c r="J235" s="500" t="s">
        <v>195</v>
      </c>
      <c r="K235" s="501">
        <f t="array" ref="K235">IFERROR(VLOOKUP(J219,Dex!$B$3:$N291,11,FALSE),"")</f>
        <v>105</v>
      </c>
      <c r="L235" s="502" t="str">
        <f t="array" ref="L235">IFERROR(VLOOKUP(K235,Dex!$P$22:$Q$276,2,FALSE),"")</f>
        <v/>
      </c>
      <c r="M235" s="503"/>
      <c r="N235" s="2348"/>
      <c r="O235" s="500" t="s">
        <v>195</v>
      </c>
      <c r="P235" s="501">
        <f t="array" ref="P235">IFERROR(VLOOKUP(O219,Dex!$B$3:$N291,11,FALSE),"")</f>
        <v>85</v>
      </c>
      <c r="Q235" s="502" t="str">
        <f t="array" ref="Q235">IFERROR(VLOOKUP(P235,Dex!$P$22:$Q$276,2,FALSE),"")</f>
        <v/>
      </c>
      <c r="R235" s="503"/>
      <c r="S235" s="2350"/>
      <c r="T235" s="500" t="s">
        <v>195</v>
      </c>
      <c r="U235" s="501">
        <f t="array" ref="U235">IFERROR(VLOOKUP(T219,Dex!$B$3:$N291,11,FALSE),"")</f>
        <v>131</v>
      </c>
      <c r="V235" s="502" t="str">
        <f t="array" ref="V235">IFERROR(VLOOKUP(U235,Dex!$P$22:$Q$276,2,FALSE),"")</f>
        <v/>
      </c>
      <c r="W235" s="503">
        <v>252.0</v>
      </c>
      <c r="X235" s="2350"/>
      <c r="Y235" s="500" t="s">
        <v>195</v>
      </c>
      <c r="Z235" s="501">
        <f t="array" ref="Z235">IFERROR(VLOOKUP(Y219,Dex!$B$3:$N291,11,FALSE),"")</f>
        <v>145</v>
      </c>
      <c r="AA235" s="502" t="str">
        <f t="array" ref="AA235">IFERROR(VLOOKUP(Z235,Dex!$P$22:$Q$276,2,FALSE),"")</f>
        <v/>
      </c>
      <c r="AB235" s="503">
        <v>252.0</v>
      </c>
      <c r="AC235" s="2350"/>
      <c r="AD235" s="500" t="s">
        <v>195</v>
      </c>
      <c r="AE235" s="501">
        <f t="array" ref="AE235">IFERROR(VLOOKUP(AD219,Dex!$B$3:$N291,11,FALSE),"")</f>
        <v>48</v>
      </c>
      <c r="AF235" s="502" t="str">
        <f t="array" ref="AF235">IFERROR(VLOOKUP(AE235,Dex!$P$22:$Q$276,2,FALSE),"")</f>
        <v/>
      </c>
      <c r="AG235" s="503"/>
      <c r="AH235" s="2351"/>
      <c r="AI235" s="5735"/>
    </row>
    <row r="236" ht="15.75" customHeight="1">
      <c r="A236" s="5726"/>
      <c r="B236" s="2345"/>
      <c r="C236" s="2338"/>
      <c r="D236" s="2346"/>
      <c r="E236" s="500" t="s">
        <v>196</v>
      </c>
      <c r="F236" s="501">
        <f t="array" ref="F236">IFERROR(VLOOKUP(E219,Dex!$B$3:$N291,12,FALSE),"")</f>
        <v>37</v>
      </c>
      <c r="G236" s="502" t="str">
        <f t="array" ref="G236">IFERROR(VLOOKUP(F236,Dex!$P$22:$Q$276,2,FALSE),"")</f>
        <v/>
      </c>
      <c r="H236" s="503"/>
      <c r="I236" s="2347"/>
      <c r="J236" s="500" t="s">
        <v>196</v>
      </c>
      <c r="K236" s="501">
        <f t="array" ref="K236">IFERROR(VLOOKUP(J219,Dex!$B$3:$N291,12,FALSE),"")</f>
        <v>110</v>
      </c>
      <c r="L236" s="502" t="str">
        <f t="array" ref="L236">IFERROR(VLOOKUP(K236,Dex!$P$22:$Q$276,2,FALSE),"")</f>
        <v/>
      </c>
      <c r="M236" s="503"/>
      <c r="N236" s="2348"/>
      <c r="O236" s="500" t="s">
        <v>196</v>
      </c>
      <c r="P236" s="501">
        <f t="array" ref="P236">IFERROR(VLOOKUP(O219,Dex!$B$3:$N291,12,FALSE),"")</f>
        <v>100</v>
      </c>
      <c r="Q236" s="502" t="str">
        <f t="array" ref="Q236">IFERROR(VLOOKUP(P236,Dex!$P$22:$Q$276,2,FALSE),"")</f>
        <v/>
      </c>
      <c r="R236" s="503"/>
      <c r="S236" s="2350"/>
      <c r="T236" s="500" t="s">
        <v>196</v>
      </c>
      <c r="U236" s="501">
        <f t="array" ref="U236">IFERROR(VLOOKUP(T219,Dex!$B$3:$N291,12,FALSE),"")</f>
        <v>98</v>
      </c>
      <c r="V236" s="502" t="str">
        <f t="array" ref="V236">IFERROR(VLOOKUP(U236,Dex!$P$22:$Q$276,2,FALSE),"")</f>
        <v/>
      </c>
      <c r="W236" s="503"/>
      <c r="X236" s="2350"/>
      <c r="Y236" s="500" t="s">
        <v>196</v>
      </c>
      <c r="Z236" s="501">
        <f t="array" ref="Z236">IFERROR(VLOOKUP(Y219,Dex!$B$3:$N291,12,FALSE),"")</f>
        <v>95</v>
      </c>
      <c r="AA236" s="502" t="str">
        <f t="array" ref="AA236">IFERROR(VLOOKUP(Z236,Dex!$P$22:$Q$276,2,FALSE),"")</f>
        <v/>
      </c>
      <c r="AB236" s="503"/>
      <c r="AC236" s="2350"/>
      <c r="AD236" s="500" t="s">
        <v>196</v>
      </c>
      <c r="AE236" s="501">
        <f t="array" ref="AE236">IFERROR(VLOOKUP(AD219,Dex!$B$3:$N291,12,FALSE),"")</f>
        <v>48</v>
      </c>
      <c r="AF236" s="502" t="str">
        <f t="array" ref="AF236">IFERROR(VLOOKUP(AE236,Dex!$P$22:$Q$276,2,FALSE),"")</f>
        <v/>
      </c>
      <c r="AG236" s="503"/>
      <c r="AH236" s="2351"/>
      <c r="AI236" s="5735"/>
    </row>
    <row r="237" ht="15.75" customHeight="1">
      <c r="A237" s="5726"/>
      <c r="B237" s="2345"/>
      <c r="C237" s="2338"/>
      <c r="D237" s="2346"/>
      <c r="E237" s="504" t="s">
        <v>197</v>
      </c>
      <c r="F237" s="505">
        <f t="array" ref="F237">IFERROR(VLOOKUP(E219,Dex!$B$3:$N291,13,FALSE),"")</f>
        <v>151</v>
      </c>
      <c r="G237" s="506" t="str">
        <f t="array" ref="G237">IFERROR(VLOOKUP(F237,Dex!$P$22:$Q$276,2,FALSE),"")</f>
        <v/>
      </c>
      <c r="H237" s="507">
        <v>252.0</v>
      </c>
      <c r="I237" s="2347"/>
      <c r="J237" s="504" t="s">
        <v>197</v>
      </c>
      <c r="K237" s="505">
        <f t="array" ref="K237">IFERROR(VLOOKUP(J219,Dex!$B$3:$N291,13,FALSE),"")</f>
        <v>110</v>
      </c>
      <c r="L237" s="506" t="str">
        <f t="array" ref="L237">IFERROR(VLOOKUP(K237,Dex!$P$22:$Q$276,2,FALSE),"")</f>
        <v/>
      </c>
      <c r="M237" s="507">
        <v>252.0</v>
      </c>
      <c r="N237" s="2348"/>
      <c r="O237" s="504" t="s">
        <v>197</v>
      </c>
      <c r="P237" s="505">
        <f t="array" ref="P237">IFERROR(VLOOKUP(O219,Dex!$B$3:$N291,13,FALSE),"")</f>
        <v>135</v>
      </c>
      <c r="Q237" s="506" t="str">
        <f t="array" ref="Q237">IFERROR(VLOOKUP(P237,Dex!$P$22:$Q$276,2,FALSE),"")</f>
        <v/>
      </c>
      <c r="R237" s="507">
        <v>252.0</v>
      </c>
      <c r="S237" s="2350"/>
      <c r="T237" s="504" t="s">
        <v>197</v>
      </c>
      <c r="U237" s="505">
        <f t="array" ref="U237">IFERROR(VLOOKUP(T219,Dex!$B$3:$N291,13,FALSE),"")</f>
        <v>99</v>
      </c>
      <c r="V237" s="506" t="str">
        <f t="array" ref="V237">IFERROR(VLOOKUP(U237,Dex!$P$22:$Q$276,2,FALSE),"")</f>
        <v/>
      </c>
      <c r="W237" s="507"/>
      <c r="X237" s="2350"/>
      <c r="Y237" s="504" t="s">
        <v>197</v>
      </c>
      <c r="Z237" s="505">
        <f t="array" ref="Z237">IFERROR(VLOOKUP(Y219,Dex!$B$3:$N291,13,FALSE),"")</f>
        <v>130</v>
      </c>
      <c r="AA237" s="506" t="str">
        <f t="array" ref="AA237">IFERROR(VLOOKUP(Z237,Dex!$P$22:$Q$276,2,FALSE),"")</f>
        <v/>
      </c>
      <c r="AB237" s="507">
        <v>252.0</v>
      </c>
      <c r="AC237" s="2350"/>
      <c r="AD237" s="504" t="s">
        <v>197</v>
      </c>
      <c r="AE237" s="505">
        <f t="array" ref="AE237">IFERROR(VLOOKUP(AD219,Dex!$B$3:$N291,13,FALSE),"")</f>
        <v>48</v>
      </c>
      <c r="AF237" s="506" t="str">
        <f t="array" ref="AF237">IFERROR(VLOOKUP(AE237,Dex!$P$22:$Q$276,2,FALSE),"")</f>
        <v/>
      </c>
      <c r="AG237" s="507">
        <v>252.0</v>
      </c>
      <c r="AH237" s="2351"/>
      <c r="AI237" s="5735"/>
    </row>
    <row r="238" ht="16.5" customHeight="1">
      <c r="A238" s="5726"/>
      <c r="B238" s="2345"/>
      <c r="C238" s="2338"/>
      <c r="D238" s="2346"/>
      <c r="E238" s="1285" t="s">
        <v>198</v>
      </c>
      <c r="F238" s="918"/>
      <c r="G238" s="919"/>
      <c r="H238" s="1286">
        <v>375.0</v>
      </c>
      <c r="I238" s="2347"/>
      <c r="J238" s="508" t="s">
        <v>198</v>
      </c>
      <c r="K238" s="405"/>
      <c r="L238" s="406"/>
      <c r="M238" s="509">
        <v>298.0</v>
      </c>
      <c r="N238" s="6108"/>
      <c r="O238" s="508" t="s">
        <v>198</v>
      </c>
      <c r="P238" s="405"/>
      <c r="Q238" s="406"/>
      <c r="R238" s="509">
        <v>345.0</v>
      </c>
      <c r="S238" s="6109"/>
      <c r="T238" s="508" t="s">
        <v>198</v>
      </c>
      <c r="U238" s="405"/>
      <c r="V238" s="406"/>
      <c r="W238" s="509">
        <v>199.0</v>
      </c>
      <c r="X238" s="6109"/>
      <c r="Y238" s="508" t="s">
        <v>198</v>
      </c>
      <c r="Z238" s="405"/>
      <c r="AA238" s="406"/>
      <c r="AB238" s="509">
        <v>335.0</v>
      </c>
      <c r="AC238" s="6109"/>
      <c r="AD238" s="1285" t="s">
        <v>198</v>
      </c>
      <c r="AE238" s="918"/>
      <c r="AF238" s="919"/>
      <c r="AG238" s="1286">
        <v>273.0</v>
      </c>
      <c r="AH238" s="2351"/>
      <c r="AI238" s="5735"/>
    </row>
    <row r="239" ht="16.5" customHeight="1">
      <c r="A239" s="5726"/>
      <c r="B239" s="2345"/>
      <c r="C239" s="2338"/>
      <c r="D239" s="2346"/>
      <c r="E239" s="1289" t="s">
        <v>411</v>
      </c>
      <c r="F239" s="925"/>
      <c r="G239" s="926"/>
      <c r="H239" s="1290">
        <v>562.0</v>
      </c>
      <c r="I239" s="6110"/>
      <c r="J239" s="4970"/>
      <c r="K239" s="4970"/>
      <c r="L239" s="4970"/>
      <c r="M239" s="2338"/>
      <c r="N239" s="6111"/>
      <c r="O239" s="4970"/>
      <c r="P239" s="4970"/>
      <c r="Q239" s="4970"/>
      <c r="R239" s="2338"/>
      <c r="S239" s="6112"/>
      <c r="T239" s="4970"/>
      <c r="U239" s="4970"/>
      <c r="V239" s="4970"/>
      <c r="W239" s="2338"/>
      <c r="X239" s="6112"/>
      <c r="Y239" s="4970"/>
      <c r="Z239" s="4970"/>
      <c r="AA239" s="4970"/>
      <c r="AB239" s="2338"/>
      <c r="AC239" s="6113"/>
      <c r="AD239" s="1289" t="s">
        <v>1487</v>
      </c>
      <c r="AE239" s="925"/>
      <c r="AF239" s="926"/>
      <c r="AG239" s="1290" t="s">
        <v>1488</v>
      </c>
      <c r="AH239" s="2351"/>
      <c r="AI239" s="5735"/>
    </row>
    <row r="240" ht="11.25" customHeight="1">
      <c r="A240" s="5726"/>
      <c r="B240" s="2268"/>
      <c r="C240" s="2269"/>
      <c r="D240" s="2316"/>
      <c r="E240" s="2353"/>
      <c r="F240" s="2353"/>
      <c r="G240" s="2353"/>
      <c r="H240" s="2353"/>
      <c r="I240" s="2287"/>
      <c r="J240" s="2353"/>
      <c r="K240" s="2353"/>
      <c r="L240" s="2353"/>
      <c r="M240" s="2353"/>
      <c r="N240" s="2287"/>
      <c r="O240" s="2287"/>
      <c r="P240" s="2287"/>
      <c r="Q240" s="2287"/>
      <c r="R240" s="2287"/>
      <c r="S240" s="2287"/>
      <c r="T240" s="2287"/>
      <c r="U240" s="2287"/>
      <c r="V240" s="2287"/>
      <c r="W240" s="2287"/>
      <c r="X240" s="2287"/>
      <c r="Y240" s="2287"/>
      <c r="Z240" s="2287"/>
      <c r="AA240" s="2287"/>
      <c r="AB240" s="2287"/>
      <c r="AC240" s="2287"/>
      <c r="AD240" s="2534"/>
      <c r="AE240" s="2534"/>
      <c r="AF240" s="2534"/>
      <c r="AG240" s="2287"/>
      <c r="AH240" s="2276"/>
      <c r="AI240" s="5735"/>
    </row>
    <row r="241">
      <c r="A241" s="5726"/>
      <c r="B241" s="2268"/>
      <c r="C241" s="2269"/>
      <c r="D241" s="2270"/>
      <c r="E241" s="1578" t="s">
        <v>1489</v>
      </c>
      <c r="F241" s="1579"/>
      <c r="G241" s="1579"/>
      <c r="H241" s="1579"/>
      <c r="I241" s="1579"/>
      <c r="J241" s="1579"/>
      <c r="K241" s="1579"/>
      <c r="L241" s="1579"/>
      <c r="M241" s="1579"/>
      <c r="N241" s="1579"/>
      <c r="O241" s="1579"/>
      <c r="P241" s="1579"/>
      <c r="Q241" s="1579"/>
      <c r="R241" s="1579"/>
      <c r="S241" s="1579"/>
      <c r="T241" s="1579"/>
      <c r="U241" s="1579"/>
      <c r="V241" s="1579"/>
      <c r="W241" s="1579"/>
      <c r="X241" s="1579"/>
      <c r="Y241" s="1579"/>
      <c r="Z241" s="1579"/>
      <c r="AA241" s="1579"/>
      <c r="AB241" s="1579"/>
      <c r="AC241" s="1579"/>
      <c r="AD241" s="1579"/>
      <c r="AE241" s="1579"/>
      <c r="AF241" s="1579"/>
      <c r="AG241" s="1580"/>
      <c r="AH241" s="2654"/>
      <c r="AI241" s="5735"/>
    </row>
    <row r="242" ht="3.75" customHeight="1">
      <c r="A242" s="5726"/>
      <c r="B242" s="2268"/>
      <c r="C242" s="2277"/>
      <c r="D242" s="2278"/>
      <c r="E242" s="2490"/>
      <c r="F242" s="2490"/>
      <c r="G242" s="2490"/>
      <c r="H242" s="2490"/>
      <c r="I242" s="2354"/>
      <c r="J242" s="2490"/>
      <c r="K242" s="2490"/>
      <c r="L242" s="2490"/>
      <c r="M242" s="2490"/>
      <c r="N242" s="2280"/>
      <c r="O242" s="2490"/>
      <c r="P242" s="2490"/>
      <c r="Q242" s="2490"/>
      <c r="R242" s="2490"/>
      <c r="S242" s="2280"/>
      <c r="T242" s="2490"/>
      <c r="U242" s="2490"/>
      <c r="V242" s="2490"/>
      <c r="W242" s="2490"/>
      <c r="X242" s="2280"/>
      <c r="Y242" s="2490"/>
      <c r="Z242" s="2490"/>
      <c r="AA242" s="2490"/>
      <c r="AB242" s="2490"/>
      <c r="AC242" s="2280"/>
      <c r="AD242" s="2490"/>
      <c r="AE242" s="2490"/>
      <c r="AF242" s="2490"/>
      <c r="AG242" s="2490"/>
      <c r="AH242" s="2276"/>
      <c r="AI242" s="5735"/>
    </row>
    <row r="243" ht="96.75" customHeight="1">
      <c r="A243" s="5726"/>
      <c r="B243" s="2281"/>
      <c r="C243" s="2355" t="str">
        <f>IMAGE("https://i.ibb.co/fXwks6z/Rival.png")</f>
        <v/>
      </c>
      <c r="D243" s="2491"/>
      <c r="E243" s="2356" t="str">
        <f t="array" ref="E243">IFERROR(VLOOKUP(E244,Dex!$B$3:$G291,3,FALSE),"")</f>
        <v/>
      </c>
      <c r="F243" s="1830"/>
      <c r="G243" s="1830"/>
      <c r="H243" s="1831"/>
      <c r="I243" s="2536"/>
      <c r="J243" s="2356" t="str">
        <f t="array" ref="J243">IFERROR(VLOOKUP(J244,Dex!$B$3:$G291,3,FALSE),"")</f>
        <v/>
      </c>
      <c r="K243" s="1830"/>
      <c r="L243" s="1830"/>
      <c r="M243" s="1831"/>
      <c r="N243" s="5007"/>
      <c r="O243" s="2356" t="str">
        <f t="array" ref="O243">IFERROR(VLOOKUP(O244,Dex!$B$3:$G291,3,FALSE),"")</f>
        <v/>
      </c>
      <c r="P243" s="1830"/>
      <c r="Q243" s="1830"/>
      <c r="R243" s="1831"/>
      <c r="S243" s="5007"/>
      <c r="T243" s="2356" t="str">
        <f t="array" ref="T243">IFERROR(VLOOKUP(T244,Dex!$B$3:$G291,3,FALSE),"")</f>
        <v/>
      </c>
      <c r="U243" s="1830"/>
      <c r="V243" s="1830"/>
      <c r="W243" s="1831"/>
      <c r="X243" s="5007"/>
      <c r="Y243" s="2356" t="str">
        <f t="array" ref="Y243">IFERROR(VLOOKUP(Y244,Dex!$B$3:$G291,3,FALSE),"")</f>
        <v/>
      </c>
      <c r="Z243" s="1830"/>
      <c r="AA243" s="1830"/>
      <c r="AB243" s="1831"/>
      <c r="AC243" s="5007"/>
      <c r="AD243" s="2356" t="str">
        <f t="array" ref="AD243">IFERROR(VLOOKUP(AD244,Dex!$B$3:$G291,3,FALSE),"")</f>
        <v/>
      </c>
      <c r="AE243" s="1830"/>
      <c r="AF243" s="1830"/>
      <c r="AG243" s="1831"/>
      <c r="AH243" s="2654"/>
      <c r="AI243" s="5735"/>
    </row>
    <row r="244" ht="18.75" customHeight="1">
      <c r="A244" s="5726"/>
      <c r="B244" s="2358"/>
      <c r="C244" s="2290" t="s">
        <v>1490</v>
      </c>
      <c r="D244" s="2359"/>
      <c r="E244" s="2292" t="s">
        <v>1472</v>
      </c>
      <c r="F244" s="2293"/>
      <c r="G244" s="2293"/>
      <c r="H244" s="2294"/>
      <c r="J244" s="2292" t="s">
        <v>1473</v>
      </c>
      <c r="K244" s="2293"/>
      <c r="L244" s="2293"/>
      <c r="M244" s="2294"/>
      <c r="O244" s="2292" t="s">
        <v>1491</v>
      </c>
      <c r="P244" s="2293"/>
      <c r="Q244" s="2293"/>
      <c r="R244" s="2294"/>
      <c r="T244" s="2292" t="s">
        <v>1475</v>
      </c>
      <c r="U244" s="2293"/>
      <c r="V244" s="2293"/>
      <c r="W244" s="2294"/>
      <c r="Y244" s="2292" t="s">
        <v>1476</v>
      </c>
      <c r="Z244" s="2293"/>
      <c r="AA244" s="2293"/>
      <c r="AB244" s="2294"/>
      <c r="AD244" s="2292" t="s">
        <v>1477</v>
      </c>
      <c r="AE244" s="2293"/>
      <c r="AF244" s="2293"/>
      <c r="AG244" s="2294"/>
      <c r="AH244" s="2656"/>
      <c r="AI244" s="5735"/>
    </row>
    <row r="245">
      <c r="A245" s="5726"/>
      <c r="B245" s="2300"/>
      <c r="C245" s="326"/>
      <c r="D245" s="2360"/>
      <c r="E245" s="2302">
        <v>85.0</v>
      </c>
      <c r="F245" s="2303"/>
      <c r="G245" s="2303"/>
      <c r="H245" s="2304"/>
      <c r="J245" s="2302">
        <v>85.0</v>
      </c>
      <c r="K245" s="2303"/>
      <c r="L245" s="2303"/>
      <c r="M245" s="2304"/>
      <c r="O245" s="2302">
        <v>85.0</v>
      </c>
      <c r="P245" s="2303"/>
      <c r="Q245" s="2303"/>
      <c r="R245" s="2304"/>
      <c r="T245" s="2302">
        <v>85.0</v>
      </c>
      <c r="U245" s="2303"/>
      <c r="V245" s="2303"/>
      <c r="W245" s="2304"/>
      <c r="Y245" s="2302">
        <v>85.0</v>
      </c>
      <c r="Z245" s="2303"/>
      <c r="AA245" s="2303"/>
      <c r="AB245" s="2304"/>
      <c r="AD245" s="2302">
        <v>85.0</v>
      </c>
      <c r="AE245" s="2303"/>
      <c r="AF245" s="2303"/>
      <c r="AG245" s="2304"/>
      <c r="AH245" s="2654"/>
      <c r="AI245" s="5735"/>
    </row>
    <row r="246" ht="25.5" customHeight="1">
      <c r="A246" s="5726"/>
      <c r="B246" s="2268"/>
      <c r="C246" s="2305"/>
      <c r="D246" s="2306"/>
      <c r="E246" s="2307"/>
      <c r="F246" s="2308" t="str">
        <f t="array" ref="F246">IFERROR(VLOOKUP(E244,Dex!$B$3:$H291,5,FALSE),"")</f>
        <v/>
      </c>
      <c r="G246" s="2309" t="str">
        <f t="array" ref="G246">IFERROR(VLOOKUP(E244,Dex!$B$3:$H291,7,FALSE),"")</f>
        <v/>
      </c>
      <c r="H246" s="2310"/>
      <c r="J246" s="2307"/>
      <c r="K246" s="2308" t="str">
        <f t="array" ref="K246">IFERROR(VLOOKUP(J244,Dex!$B$3:$H291,5,FALSE),"")</f>
        <v/>
      </c>
      <c r="L246" s="2309" t="str">
        <f t="array" ref="L246">IFERROR(VLOOKUP(J244,Dex!$B$3:$H291,7,FALSE),"")</f>
        <v/>
      </c>
      <c r="M246" s="2310"/>
      <c r="O246" s="2307"/>
      <c r="P246" s="2308" t="str">
        <f t="array" ref="P246">IFERROR(VLOOKUP(O244,Dex!$B$3:$H291,5,FALSE),"")</f>
        <v/>
      </c>
      <c r="Q246" s="2309" t="str">
        <f t="array" ref="Q246">IFERROR(VLOOKUP(O244,Dex!$B$3:$H291,7,FALSE),"")</f>
        <v/>
      </c>
      <c r="R246" s="2310"/>
      <c r="T246" s="2307"/>
      <c r="U246" s="2308" t="str">
        <f t="array" ref="U246">IFERROR(VLOOKUP(T244,Dex!$B$3:$H291,5,FALSE),"")</f>
        <v/>
      </c>
      <c r="V246" s="2309" t="str">
        <f t="array" ref="V246">IFERROR(VLOOKUP(T244,Dex!$B$3:$H291,7,FALSE),"")</f>
        <v/>
      </c>
      <c r="W246" s="2310"/>
      <c r="Y246" s="2307"/>
      <c r="Z246" s="2308" t="str">
        <f t="array" ref="Z246">IFERROR(VLOOKUP(Y244,Dex!$B$3:$H291,5,FALSE),"")</f>
        <v/>
      </c>
      <c r="AA246" s="2309" t="str">
        <f t="array" ref="AA246">IFERROR(VLOOKUP(Y244,Dex!$B$3:$H291,7,FALSE),"")</f>
        <v/>
      </c>
      <c r="AB246" s="2310"/>
      <c r="AD246" s="2307"/>
      <c r="AE246" s="2311" t="str">
        <f t="array" ref="AE246">IFERROR(VLOOKUP(AD244,Dex!$B$3:$H291,5,FALSE),"")</f>
        <v/>
      </c>
      <c r="AF246" s="2312"/>
      <c r="AG246" s="2310"/>
      <c r="AH246" s="2276"/>
      <c r="AI246" s="5735"/>
    </row>
    <row r="247" ht="2.25" customHeight="1">
      <c r="A247" s="5726"/>
      <c r="B247" s="2268"/>
      <c r="C247" s="104"/>
      <c r="D247" s="2306"/>
      <c r="E247" s="2313"/>
      <c r="F247" s="2314"/>
      <c r="G247" s="2314"/>
      <c r="H247" s="2315"/>
      <c r="J247" s="2313"/>
      <c r="K247" s="2314"/>
      <c r="L247" s="2314"/>
      <c r="M247" s="2315"/>
      <c r="O247" s="2313"/>
      <c r="P247" s="2314"/>
      <c r="Q247" s="2314"/>
      <c r="R247" s="2315"/>
      <c r="T247" s="2313"/>
      <c r="U247" s="2314"/>
      <c r="V247" s="2314"/>
      <c r="W247" s="2315"/>
      <c r="Y247" s="2313"/>
      <c r="Z247" s="2314"/>
      <c r="AA247" s="2314"/>
      <c r="AB247" s="2315"/>
      <c r="AD247" s="2313"/>
      <c r="AE247" s="2314"/>
      <c r="AF247" s="2314"/>
      <c r="AG247" s="2315"/>
      <c r="AH247" s="2276"/>
      <c r="AI247" s="5735"/>
    </row>
    <row r="248" ht="20.25" customHeight="1">
      <c r="A248" s="5726"/>
      <c r="B248" s="2268"/>
      <c r="C248" s="281"/>
      <c r="D248" s="2270"/>
      <c r="E248" s="2317" t="s">
        <v>172</v>
      </c>
      <c r="F248" s="2318"/>
      <c r="G248" s="2318"/>
      <c r="H248" s="2319"/>
      <c r="J248" s="2317" t="s">
        <v>172</v>
      </c>
      <c r="K248" s="2318"/>
      <c r="L248" s="2318"/>
      <c r="M248" s="2319"/>
      <c r="O248" s="2317" t="s">
        <v>205</v>
      </c>
      <c r="P248" s="2318"/>
      <c r="Q248" s="2318"/>
      <c r="R248" s="2319"/>
      <c r="T248" s="2317" t="s">
        <v>263</v>
      </c>
      <c r="U248" s="2318"/>
      <c r="V248" s="2318"/>
      <c r="W248" s="2319"/>
      <c r="Y248" s="2317" t="s">
        <v>205</v>
      </c>
      <c r="Z248" s="2318"/>
      <c r="AA248" s="2318"/>
      <c r="AB248" s="2319"/>
      <c r="AD248" s="2317" t="s">
        <v>205</v>
      </c>
      <c r="AE248" s="2318"/>
      <c r="AF248" s="2318"/>
      <c r="AG248" s="2319"/>
      <c r="AH248" s="2654"/>
      <c r="AI248" s="5735"/>
    </row>
    <row r="249" ht="20.25" customHeight="1">
      <c r="A249" s="5726"/>
      <c r="B249" s="2268"/>
      <c r="C249" s="2320"/>
      <c r="D249" s="2270"/>
      <c r="E249" s="2321" t="s">
        <v>392</v>
      </c>
      <c r="F249" s="2273"/>
      <c r="G249" s="2273"/>
      <c r="H249" s="2322"/>
      <c r="J249" s="5006" t="s">
        <v>1478</v>
      </c>
      <c r="K249" s="2273"/>
      <c r="L249" s="2273"/>
      <c r="M249" s="2322"/>
      <c r="O249" s="2321" t="s">
        <v>1492</v>
      </c>
      <c r="P249" s="2273"/>
      <c r="Q249" s="2273"/>
      <c r="R249" s="2322"/>
      <c r="T249" s="2321" t="s">
        <v>1480</v>
      </c>
      <c r="U249" s="2273"/>
      <c r="V249" s="2273"/>
      <c r="W249" s="2322"/>
      <c r="Y249" s="2321" t="s">
        <v>808</v>
      </c>
      <c r="Z249" s="2273"/>
      <c r="AA249" s="2273"/>
      <c r="AB249" s="2322"/>
      <c r="AD249" s="2321" t="s">
        <v>1481</v>
      </c>
      <c r="AE249" s="2273"/>
      <c r="AF249" s="2273"/>
      <c r="AG249" s="2322"/>
      <c r="AH249" s="2654"/>
      <c r="AI249" s="5735"/>
    </row>
    <row r="250" ht="20.25" customHeight="1">
      <c r="A250" s="5726"/>
      <c r="B250" s="2268"/>
      <c r="C250" s="104"/>
      <c r="D250" s="2270"/>
      <c r="E250" s="2323" t="s">
        <v>240</v>
      </c>
      <c r="F250" s="2324"/>
      <c r="G250" s="2325"/>
      <c r="H250" s="2326" t="str">
        <f>IMAGE("https://raw.githubusercontent.com/msikma/pokesprite/master/items/hold-item/focus-sash.png",3)</f>
        <v/>
      </c>
      <c r="J250" s="2323" t="s">
        <v>1482</v>
      </c>
      <c r="K250" s="2324"/>
      <c r="L250" s="2325"/>
      <c r="M250" s="2326" t="str">
        <f>IMAGE("https://raw.githubusercontent.com/msikma/pokesprite/master/items/mega-stone/metagrossite.png",3)</f>
        <v/>
      </c>
      <c r="O250" s="2323" t="s">
        <v>394</v>
      </c>
      <c r="P250" s="2324"/>
      <c r="Q250" s="2325"/>
      <c r="R250" s="2326" t="str">
        <f>IMAGE("https://raw.githubusercontent.com/msikma/pokesprite/master/items/hold-item/leftovers.png",3)</f>
        <v/>
      </c>
      <c r="T250" s="2323" t="s">
        <v>473</v>
      </c>
      <c r="U250" s="2324"/>
      <c r="V250" s="2325"/>
      <c r="W250" s="2326" t="str">
        <f>IMAGE("https://raw.githubusercontent.com/msikma/pokesprite/master/items/hold-item/assault-vest.png",3)</f>
        <v/>
      </c>
      <c r="Y250" s="2323" t="s">
        <v>426</v>
      </c>
      <c r="Z250" s="2324"/>
      <c r="AA250" s="2325"/>
      <c r="AB250" s="2326" t="str">
        <f>IMAGE("https://raw.githubusercontent.com/msikma/pokesprite/master/items/hold-item/power-herb.png",3)</f>
        <v/>
      </c>
      <c r="AD250" s="2323" t="s">
        <v>335</v>
      </c>
      <c r="AE250" s="2324"/>
      <c r="AF250" s="2325"/>
      <c r="AG250" s="2326" t="str">
        <f>IMAGE("https://raw.githubusercontent.com/msikma/pokesprite/master/items/hold-item/choice-scarf.png",3)</f>
        <v/>
      </c>
      <c r="AH250" s="2276"/>
      <c r="AI250" s="5735"/>
    </row>
    <row r="251" ht="20.25" customHeight="1">
      <c r="A251" s="5726"/>
      <c r="B251" s="2268"/>
      <c r="C251" s="281"/>
      <c r="D251" s="2270"/>
      <c r="E251" s="2317" t="s">
        <v>278</v>
      </c>
      <c r="F251" s="2318"/>
      <c r="G251" s="2327"/>
      <c r="H251" s="2328" t="str">
        <f>IMAGE("https://raw.githubusercontent.com/msikma/pokesprite/master/misc/types/gen8/bug.png",4,20,20)</f>
        <v/>
      </c>
      <c r="J251" s="2317" t="s">
        <v>522</v>
      </c>
      <c r="K251" s="2318"/>
      <c r="L251" s="2327"/>
      <c r="M251" s="2328" t="str">
        <f>IMAGE("https://raw.githubusercontent.com/msikma/pokesprite/master/misc/types/gen8/steel.png",4,20,20)</f>
        <v/>
      </c>
      <c r="O251" s="2317" t="s">
        <v>509</v>
      </c>
      <c r="P251" s="2318"/>
      <c r="Q251" s="2327"/>
      <c r="R251" s="2328" t="str">
        <f>IMAGE("https://raw.githubusercontent.com/msikma/pokesprite/master/misc/types/gen8/psychic.png",4,20,20)</f>
        <v/>
      </c>
      <c r="T251" s="2317" t="s">
        <v>1483</v>
      </c>
      <c r="U251" s="2318"/>
      <c r="V251" s="2327"/>
      <c r="W251" s="2328" t="str">
        <f>IMAGE("https://raw.githubusercontent.com/msikma/pokesprite/master/misc/types/gen8/flying.png",4,20,20)</f>
        <v/>
      </c>
      <c r="Y251" s="2317" t="s">
        <v>429</v>
      </c>
      <c r="Z251" s="2318"/>
      <c r="AA251" s="2327"/>
      <c r="AB251" s="2328" t="str">
        <f>IMAGE("https://raw.githubusercontent.com/msikma/pokesprite/master/misc/types/gen8/rock.png",4,20,20)</f>
        <v/>
      </c>
      <c r="AD251" s="2317" t="s">
        <v>1484</v>
      </c>
      <c r="AE251" s="2318"/>
      <c r="AF251" s="2327"/>
      <c r="AG251" s="2328" t="str">
        <f>IMAGE("https://raw.githubusercontent.com/msikma/pokesprite/master/misc/types/gen8/normal.png",4,20,20)</f>
        <v/>
      </c>
      <c r="AH251" s="2276"/>
      <c r="AI251" s="5735"/>
    </row>
    <row r="252" ht="20.25" customHeight="1">
      <c r="A252" s="5726"/>
      <c r="B252" s="2268"/>
      <c r="C252" s="2269"/>
      <c r="D252" s="2270"/>
      <c r="E252" s="2321" t="s">
        <v>316</v>
      </c>
      <c r="F252" s="2273"/>
      <c r="G252" s="2274"/>
      <c r="H252" s="2329" t="str">
        <f>IMAGE("https://raw.githubusercontent.com/msikma/pokesprite/master/misc/types/gen8/fighting.png",4,20,20)</f>
        <v/>
      </c>
      <c r="J252" s="2321" t="s">
        <v>562</v>
      </c>
      <c r="K252" s="2273"/>
      <c r="L252" s="2274"/>
      <c r="M252" s="2329" t="str">
        <f>IMAGE("https://raw.githubusercontent.com/msikma/pokesprite/master/misc/types/gen8/psychic.png",4,20,20)</f>
        <v/>
      </c>
      <c r="O252" s="2321" t="s">
        <v>243</v>
      </c>
      <c r="P252" s="2273"/>
      <c r="Q252" s="2274"/>
      <c r="R252" s="2329" t="str">
        <f>IMAGE("https://raw.githubusercontent.com/msikma/pokesprite/master/misc/types/gen8/electric.png",4,20,20)</f>
        <v/>
      </c>
      <c r="T252" s="2321" t="s">
        <v>1466</v>
      </c>
      <c r="U252" s="2273"/>
      <c r="V252" s="2274"/>
      <c r="W252" s="2329" t="str">
        <f>IMAGE("https://raw.githubusercontent.com/msikma/pokesprite/master/misc/types/gen8/dark.png",4,20,20)</f>
        <v/>
      </c>
      <c r="Y252" s="2321" t="s">
        <v>405</v>
      </c>
      <c r="Z252" s="2273"/>
      <c r="AA252" s="2274"/>
      <c r="AB252" s="2329" t="str">
        <f>IMAGE("https://raw.githubusercontent.com/msikma/pokesprite/master/misc/types/gen8/poison.png",4,20,20)</f>
        <v/>
      </c>
      <c r="AD252" s="2321" t="s">
        <v>188</v>
      </c>
      <c r="AE252" s="2273"/>
      <c r="AF252" s="2274"/>
      <c r="AG252" s="2329"/>
      <c r="AH252" s="2276"/>
      <c r="AI252" s="5735"/>
    </row>
    <row r="253" ht="20.25" customHeight="1">
      <c r="A253" s="5726"/>
      <c r="B253" s="2268"/>
      <c r="C253" s="2269"/>
      <c r="D253" s="2270"/>
      <c r="E253" s="2321" t="s">
        <v>285</v>
      </c>
      <c r="F253" s="2273"/>
      <c r="G253" s="2274"/>
      <c r="H253" s="2329" t="str">
        <f>IMAGE("https://raw.githubusercontent.com/msikma/pokesprite/master/misc/types/gen8/ice.png",4,20,20)</f>
        <v/>
      </c>
      <c r="J253" s="2321" t="s">
        <v>403</v>
      </c>
      <c r="K253" s="2273"/>
      <c r="L253" s="2274"/>
      <c r="M253" s="2329" t="str">
        <f>IMAGE("https://raw.githubusercontent.com/msikma/pokesprite/master/misc/types/gen8/fire.png",4,20,20)</f>
        <v/>
      </c>
      <c r="O253" s="2321" t="s">
        <v>380</v>
      </c>
      <c r="P253" s="2273"/>
      <c r="Q253" s="2274"/>
      <c r="R253" s="2329" t="str">
        <f>IMAGE("https://raw.githubusercontent.com/msikma/pokesprite/master/misc/types/gen8/dragon.png",4,20,20)</f>
        <v/>
      </c>
      <c r="T253" s="2321" t="s">
        <v>903</v>
      </c>
      <c r="U253" s="2273"/>
      <c r="V253" s="2274"/>
      <c r="W253" s="2329" t="str">
        <f>IMAGE("https://raw.githubusercontent.com/msikma/pokesprite/master/misc/types/gen8/fire.png",4,20,20)</f>
        <v/>
      </c>
      <c r="Y253" s="2321" t="s">
        <v>372</v>
      </c>
      <c r="Z253" s="2273"/>
      <c r="AA253" s="2274"/>
      <c r="AB253" s="2329" t="str">
        <f>IMAGE("https://raw.githubusercontent.com/msikma/pokesprite/master/misc/types/gen8/fire.png",4,20,20)</f>
        <v/>
      </c>
      <c r="AD253" s="2321" t="s">
        <v>188</v>
      </c>
      <c r="AE253" s="2273"/>
      <c r="AF253" s="2274"/>
      <c r="AG253" s="2329"/>
      <c r="AH253" s="2276"/>
      <c r="AI253" s="5735"/>
    </row>
    <row r="254" ht="21.0" customHeight="1">
      <c r="A254" s="5726"/>
      <c r="B254" s="2268"/>
      <c r="C254" s="2269"/>
      <c r="D254" s="2270"/>
      <c r="E254" s="2330" t="s">
        <v>218</v>
      </c>
      <c r="F254" s="2331"/>
      <c r="G254" s="2332"/>
      <c r="H254" s="2333" t="str">
        <f>IMAGE("https://raw.githubusercontent.com/msikma/pokesprite/master/misc/types/gen8/poison.png",4,20,20)</f>
        <v/>
      </c>
      <c r="I254" s="2537"/>
      <c r="J254" s="2330" t="s">
        <v>671</v>
      </c>
      <c r="K254" s="2331"/>
      <c r="L254" s="2332"/>
      <c r="M254" s="2333" t="str">
        <f>IMAGE("https://raw.githubusercontent.com/msikma/pokesprite/master/misc/types/gen8/steel.png",4,20,20)</f>
        <v/>
      </c>
      <c r="N254" s="2497"/>
      <c r="O254" s="2330" t="s">
        <v>287</v>
      </c>
      <c r="P254" s="2331"/>
      <c r="Q254" s="2332"/>
      <c r="R254" s="2333" t="str">
        <f>IMAGE("https://raw.githubusercontent.com/msikma/pokesprite/master/misc/types/gen8/fire.png",4,20,20)</f>
        <v/>
      </c>
      <c r="S254" s="2497"/>
      <c r="T254" s="2330" t="s">
        <v>541</v>
      </c>
      <c r="U254" s="2331"/>
      <c r="V254" s="2332"/>
      <c r="W254" s="2333" t="str">
        <f>IMAGE("https://raw.githubusercontent.com/msikma/pokesprite/master/misc/types/gen8/dark.png",4,20,20)</f>
        <v/>
      </c>
      <c r="X254" s="2497"/>
      <c r="Y254" s="2330" t="s">
        <v>1486</v>
      </c>
      <c r="Z254" s="2331"/>
      <c r="AA254" s="2332"/>
      <c r="AB254" s="2333" t="str">
        <f>IMAGE("https://raw.githubusercontent.com/msikma/pokesprite/master/misc/types/gen8/dragon.png",4,20,20)</f>
        <v/>
      </c>
      <c r="AC254" s="2497"/>
      <c r="AD254" s="2330" t="s">
        <v>188</v>
      </c>
      <c r="AE254" s="2331"/>
      <c r="AF254" s="2332"/>
      <c r="AG254" s="2333"/>
      <c r="AH254" s="2276"/>
      <c r="AI254" s="5735"/>
    </row>
    <row r="255" ht="3.0" customHeight="1">
      <c r="A255" s="5726"/>
      <c r="B255" s="2337"/>
      <c r="C255" s="2338"/>
      <c r="D255" s="2339"/>
      <c r="E255" s="2340"/>
      <c r="F255" s="2340"/>
      <c r="G255" s="2340"/>
      <c r="H255" s="2340"/>
      <c r="I255" s="2339"/>
      <c r="J255" s="2340"/>
      <c r="K255" s="2340"/>
      <c r="L255" s="2340"/>
      <c r="M255" s="2340"/>
      <c r="N255" s="2339"/>
      <c r="O255" s="2340"/>
      <c r="P255" s="2340"/>
      <c r="Q255" s="2340"/>
      <c r="R255" s="2340"/>
      <c r="S255" s="2339"/>
      <c r="T255" s="2340"/>
      <c r="U255" s="2340"/>
      <c r="V255" s="2340"/>
      <c r="W255" s="2340"/>
      <c r="X255" s="2339"/>
      <c r="Y255" s="2340"/>
      <c r="Z255" s="2340"/>
      <c r="AA255" s="2340"/>
      <c r="AB255" s="2340"/>
      <c r="AC255" s="2342"/>
      <c r="AD255" s="2340"/>
      <c r="AE255" s="2340"/>
      <c r="AF255" s="2340"/>
      <c r="AG255" s="2340"/>
      <c r="AH255" s="2343"/>
      <c r="AI255" s="5735"/>
    </row>
    <row r="256" ht="16.5" customHeight="1">
      <c r="A256" s="5726"/>
      <c r="B256" s="2345"/>
      <c r="C256" s="2338"/>
      <c r="D256" s="2346"/>
      <c r="E256" s="2362" t="s">
        <v>190</v>
      </c>
      <c r="F256" s="381"/>
      <c r="G256" s="382"/>
      <c r="H256" s="2363" t="s">
        <v>191</v>
      </c>
      <c r="I256" s="2364"/>
      <c r="J256" s="2362" t="s">
        <v>190</v>
      </c>
      <c r="K256" s="381"/>
      <c r="L256" s="382"/>
      <c r="M256" s="2363" t="s">
        <v>191</v>
      </c>
      <c r="N256" s="6108"/>
      <c r="O256" s="2362" t="s">
        <v>190</v>
      </c>
      <c r="P256" s="381"/>
      <c r="Q256" s="382"/>
      <c r="R256" s="2363" t="s">
        <v>191</v>
      </c>
      <c r="S256" s="6109"/>
      <c r="T256" s="2362" t="s">
        <v>190</v>
      </c>
      <c r="U256" s="381"/>
      <c r="V256" s="382"/>
      <c r="W256" s="2363" t="s">
        <v>191</v>
      </c>
      <c r="X256" s="6109"/>
      <c r="Y256" s="2362" t="s">
        <v>190</v>
      </c>
      <c r="Z256" s="381"/>
      <c r="AA256" s="382"/>
      <c r="AB256" s="2363" t="s">
        <v>191</v>
      </c>
      <c r="AC256" s="2350"/>
      <c r="AD256" s="2362" t="s">
        <v>190</v>
      </c>
      <c r="AE256" s="381"/>
      <c r="AF256" s="382"/>
      <c r="AG256" s="2363" t="s">
        <v>191</v>
      </c>
      <c r="AH256" s="2351"/>
      <c r="AI256" s="5735"/>
    </row>
    <row r="257" ht="15.75" customHeight="1">
      <c r="A257" s="5726"/>
      <c r="B257" s="2345"/>
      <c r="C257" s="2338"/>
      <c r="D257" s="2346"/>
      <c r="E257" s="2365" t="s">
        <v>192</v>
      </c>
      <c r="F257" s="2366">
        <f t="array" ref="F257">IFERROR(VLOOKUP(E244,Dex!$B$3:$N291,8,FALSE),"")</f>
        <v>71</v>
      </c>
      <c r="G257" s="2367" t="str">
        <f t="array" ref="G257">IFERROR(VLOOKUP(F257,Dex!$P$22:$Q$276,2,FALSE),"")</f>
        <v/>
      </c>
      <c r="H257" s="2368"/>
      <c r="I257" s="2364"/>
      <c r="J257" s="2365" t="s">
        <v>192</v>
      </c>
      <c r="K257" s="2366">
        <f t="array" ref="K257">IFERROR(VLOOKUP(J244,Dex!$B$3:$N291,8,FALSE),"")</f>
        <v>80</v>
      </c>
      <c r="L257" s="2367" t="str">
        <f t="array" ref="L257">IFERROR(VLOOKUP(K257,Dex!$P$22:$Q$276,2,FALSE),"")</f>
        <v/>
      </c>
      <c r="M257" s="2368"/>
      <c r="N257" s="2348"/>
      <c r="O257" s="2365" t="s">
        <v>192</v>
      </c>
      <c r="P257" s="2366">
        <f t="array" ref="P257">IFERROR(VLOOKUP(O244,Dex!$B$3:$N291,8,FALSE),"")</f>
        <v>100</v>
      </c>
      <c r="Q257" s="2367" t="str">
        <f t="array" ref="Q257">IFERROR(VLOOKUP(P257,Dex!$P$22:$Q$276,2,FALSE),"")</f>
        <v/>
      </c>
      <c r="R257" s="2368"/>
      <c r="S257" s="2350"/>
      <c r="T257" s="2365" t="s">
        <v>192</v>
      </c>
      <c r="U257" s="2366">
        <f t="array" ref="U257">IFERROR(VLOOKUP(T244,Dex!$B$3:$N291,8,FALSE),"")</f>
        <v>126</v>
      </c>
      <c r="V257" s="2367" t="str">
        <f t="array" ref="V257">IFERROR(VLOOKUP(U257,Dex!$P$22:$Q$276,2,FALSE),"")</f>
        <v/>
      </c>
      <c r="W257" s="2368">
        <v>252.0</v>
      </c>
      <c r="X257" s="2350"/>
      <c r="Y257" s="2365" t="s">
        <v>192</v>
      </c>
      <c r="Z257" s="2366">
        <f t="array" ref="Z257">IFERROR(VLOOKUP(Y244,Dex!$B$3:$N291,8,FALSE),"")</f>
        <v>140</v>
      </c>
      <c r="AA257" s="2367" t="str">
        <f t="array" ref="AA257">IFERROR(VLOOKUP(Z257,Dex!$P$22:$Q$276,2,FALSE),"")</f>
        <v/>
      </c>
      <c r="AB257" s="2368"/>
      <c r="AC257" s="2350"/>
      <c r="AD257" s="2365" t="s">
        <v>192</v>
      </c>
      <c r="AE257" s="2366">
        <f t="array" ref="AE257">IFERROR(VLOOKUP(AD244,Dex!$B$3:$N291,8,FALSE),"")</f>
        <v>48</v>
      </c>
      <c r="AF257" s="2367" t="str">
        <f t="array" ref="AF257">IFERROR(VLOOKUP(AE257,Dex!$P$22:$Q$276,2,FALSE),"")</f>
        <v/>
      </c>
      <c r="AG257" s="2368">
        <v>252.0</v>
      </c>
      <c r="AH257" s="2351"/>
      <c r="AI257" s="5735"/>
    </row>
    <row r="258" ht="15.75" customHeight="1">
      <c r="A258" s="5726"/>
      <c r="B258" s="2345"/>
      <c r="C258" s="2338"/>
      <c r="D258" s="2346"/>
      <c r="E258" s="2369" t="s">
        <v>193</v>
      </c>
      <c r="F258" s="2370">
        <f t="array" ref="F258">IFERROR(VLOOKUP(E244,Dex!$B$3:$N291,9,FALSE),"")</f>
        <v>137</v>
      </c>
      <c r="G258" s="2371" t="str">
        <f t="array" ref="G258">IFERROR(VLOOKUP(F258,Dex!$P$22:$Q$276,2,FALSE),"")</f>
        <v/>
      </c>
      <c r="H258" s="2372">
        <v>252.0</v>
      </c>
      <c r="I258" s="2364"/>
      <c r="J258" s="2369" t="s">
        <v>193</v>
      </c>
      <c r="K258" s="2370">
        <f t="array" ref="K258">IFERROR(VLOOKUP(J244,Dex!$B$3:$N291,9,FALSE),"")</f>
        <v>145</v>
      </c>
      <c r="L258" s="2371" t="str">
        <f t="array" ref="L258">IFERROR(VLOOKUP(K258,Dex!$P$22:$Q$276,2,FALSE),"")</f>
        <v/>
      </c>
      <c r="M258" s="2372">
        <v>252.0</v>
      </c>
      <c r="N258" s="2348"/>
      <c r="O258" s="2369" t="s">
        <v>193</v>
      </c>
      <c r="P258" s="2370">
        <f t="array" ref="P258">IFERROR(VLOOKUP(O244,Dex!$B$3:$N291,9,FALSE),"")</f>
        <v>85</v>
      </c>
      <c r="Q258" s="2371" t="str">
        <f t="array" ref="Q258">IFERROR(VLOOKUP(P258,Dex!$P$22:$Q$276,2,FALSE),"")</f>
        <v/>
      </c>
      <c r="R258" s="2372"/>
      <c r="S258" s="2350"/>
      <c r="T258" s="2369" t="s">
        <v>193</v>
      </c>
      <c r="U258" s="2370">
        <f t="array" ref="U258">IFERROR(VLOOKUP(T244,Dex!$B$3:$N291,9,FALSE),"")</f>
        <v>131</v>
      </c>
      <c r="V258" s="2371" t="str">
        <f t="array" ref="V258">IFERROR(VLOOKUP(U258,Dex!$P$22:$Q$276,2,FALSE),"")</f>
        <v/>
      </c>
      <c r="W258" s="2372"/>
      <c r="X258" s="2350"/>
      <c r="Y258" s="2369" t="s">
        <v>193</v>
      </c>
      <c r="Z258" s="2370">
        <f t="array" ref="Z258">IFERROR(VLOOKUP(Y244,Dex!$B$3:$N291,9,FALSE),"")</f>
        <v>85</v>
      </c>
      <c r="AA258" s="2371" t="str">
        <f t="array" ref="AA258">IFERROR(VLOOKUP(Z258,Dex!$P$22:$Q$276,2,FALSE),"")</f>
        <v/>
      </c>
      <c r="AB258" s="2372"/>
      <c r="AC258" s="2350"/>
      <c r="AD258" s="2369" t="s">
        <v>193</v>
      </c>
      <c r="AE258" s="2370">
        <f t="array" ref="AE258">IFERROR(VLOOKUP(AD244,Dex!$B$3:$N291,9,FALSE),"")</f>
        <v>48</v>
      </c>
      <c r="AF258" s="2371" t="str">
        <f t="array" ref="AF258">IFERROR(VLOOKUP(AE258,Dex!$P$22:$Q$276,2,FALSE),"")</f>
        <v/>
      </c>
      <c r="AG258" s="2372"/>
      <c r="AH258" s="2351"/>
      <c r="AI258" s="5735"/>
    </row>
    <row r="259" ht="15.75" customHeight="1">
      <c r="A259" s="5726"/>
      <c r="B259" s="2345"/>
      <c r="C259" s="2338"/>
      <c r="D259" s="2346"/>
      <c r="E259" s="2369" t="s">
        <v>194</v>
      </c>
      <c r="F259" s="2370">
        <f t="array" ref="F259">IFERROR(VLOOKUP(E244,Dex!$B$3:$N291,10,FALSE),"")</f>
        <v>37</v>
      </c>
      <c r="G259" s="2371" t="str">
        <f t="array" ref="G259">IFERROR(VLOOKUP(F259,Dex!$P$22:$Q$276,2,FALSE),"")</f>
        <v/>
      </c>
      <c r="H259" s="2372">
        <v>4.0</v>
      </c>
      <c r="I259" s="2364"/>
      <c r="J259" s="2369" t="s">
        <v>194</v>
      </c>
      <c r="K259" s="2370">
        <f t="array" ref="K259">IFERROR(VLOOKUP(J244,Dex!$B$3:$N291,10,FALSE),"")</f>
        <v>150</v>
      </c>
      <c r="L259" s="2371" t="str">
        <f t="array" ref="L259">IFERROR(VLOOKUP(K259,Dex!$P$22:$Q$276,2,FALSE),"")</f>
        <v/>
      </c>
      <c r="M259" s="2372">
        <v>4.0</v>
      </c>
      <c r="N259" s="2348"/>
      <c r="O259" s="2369" t="s">
        <v>194</v>
      </c>
      <c r="P259" s="2370">
        <f t="array" ref="P259">IFERROR(VLOOKUP(O244,Dex!$B$3:$N291,10,FALSE),"")</f>
        <v>100</v>
      </c>
      <c r="Q259" s="2371" t="str">
        <f t="array" ref="Q259">IFERROR(VLOOKUP(P259,Dex!$P$22:$Q$276,2,FALSE),"")</f>
        <v/>
      </c>
      <c r="R259" s="2372">
        <v>4.0</v>
      </c>
      <c r="S259" s="2350"/>
      <c r="T259" s="2369" t="s">
        <v>194</v>
      </c>
      <c r="U259" s="2370">
        <f t="array" ref="U259">IFERROR(VLOOKUP(T244,Dex!$B$3:$N291,10,FALSE),"")</f>
        <v>95</v>
      </c>
      <c r="V259" s="2371" t="str">
        <f t="array" ref="V259">IFERROR(VLOOKUP(U259,Dex!$P$22:$Q$276,2,FALSE),"")</f>
        <v/>
      </c>
      <c r="W259" s="2372"/>
      <c r="X259" s="2350"/>
      <c r="Y259" s="2369" t="s">
        <v>194</v>
      </c>
      <c r="Z259" s="2370">
        <f t="array" ref="Z259">IFERROR(VLOOKUP(Y244,Dex!$B$3:$N291,10,FALSE),"")</f>
        <v>95</v>
      </c>
      <c r="AA259" s="2371" t="str">
        <f t="array" ref="AA259">IFERROR(VLOOKUP(Z259,Dex!$P$22:$Q$276,2,FALSE),"")</f>
        <v/>
      </c>
      <c r="AB259" s="2372">
        <v>4.0</v>
      </c>
      <c r="AC259" s="2350"/>
      <c r="AD259" s="2369" t="s">
        <v>194</v>
      </c>
      <c r="AE259" s="2370">
        <f t="array" ref="AE259">IFERROR(VLOOKUP(AD244,Dex!$B$3:$N291,10,FALSE),"")</f>
        <v>48</v>
      </c>
      <c r="AF259" s="2371" t="str">
        <f t="array" ref="AF259">IFERROR(VLOOKUP(AE259,Dex!$P$22:$Q$276,2,FALSE),"")</f>
        <v/>
      </c>
      <c r="AG259" s="2372">
        <v>4.0</v>
      </c>
      <c r="AH259" s="2351"/>
      <c r="AI259" s="5735"/>
    </row>
    <row r="260" ht="15.75" customHeight="1">
      <c r="A260" s="5726"/>
      <c r="B260" s="2345"/>
      <c r="C260" s="2338"/>
      <c r="D260" s="2346"/>
      <c r="E260" s="2369" t="s">
        <v>195</v>
      </c>
      <c r="F260" s="2370">
        <f t="array" ref="F260">IFERROR(VLOOKUP(E244,Dex!$B$3:$N291,11,FALSE),"")</f>
        <v>137</v>
      </c>
      <c r="G260" s="2371" t="str">
        <f t="array" ref="G260">IFERROR(VLOOKUP(F260,Dex!$P$22:$Q$276,2,FALSE),"")</f>
        <v/>
      </c>
      <c r="H260" s="2372"/>
      <c r="I260" s="2364"/>
      <c r="J260" s="2369" t="s">
        <v>195</v>
      </c>
      <c r="K260" s="2370">
        <f t="array" ref="K260">IFERROR(VLOOKUP(J244,Dex!$B$3:$N291,11,FALSE),"")</f>
        <v>105</v>
      </c>
      <c r="L260" s="2371" t="str">
        <f t="array" ref="L260">IFERROR(VLOOKUP(K260,Dex!$P$22:$Q$276,2,FALSE),"")</f>
        <v/>
      </c>
      <c r="M260" s="2372"/>
      <c r="N260" s="2348"/>
      <c r="O260" s="2369" t="s">
        <v>195</v>
      </c>
      <c r="P260" s="2370">
        <f t="array" ref="P260">IFERROR(VLOOKUP(O244,Dex!$B$3:$N291,11,FALSE),"")</f>
        <v>135</v>
      </c>
      <c r="Q260" s="2371" t="str">
        <f t="array" ref="Q260">IFERROR(VLOOKUP(P260,Dex!$P$22:$Q$276,2,FALSE),"")</f>
        <v/>
      </c>
      <c r="R260" s="2372">
        <v>252.0</v>
      </c>
      <c r="S260" s="2350"/>
      <c r="T260" s="2369" t="s">
        <v>195</v>
      </c>
      <c r="U260" s="2370">
        <f t="array" ref="U260">IFERROR(VLOOKUP(T244,Dex!$B$3:$N291,11,FALSE),"")</f>
        <v>131</v>
      </c>
      <c r="V260" s="2371" t="str">
        <f t="array" ref="V260">IFERROR(VLOOKUP(U260,Dex!$P$22:$Q$276,2,FALSE),"")</f>
        <v/>
      </c>
      <c r="W260" s="2372">
        <v>252.0</v>
      </c>
      <c r="X260" s="2350"/>
      <c r="Y260" s="2369" t="s">
        <v>195</v>
      </c>
      <c r="Z260" s="2370">
        <f t="array" ref="Z260">IFERROR(VLOOKUP(Y244,Dex!$B$3:$N291,11,FALSE),"")</f>
        <v>145</v>
      </c>
      <c r="AA260" s="2371" t="str">
        <f t="array" ref="AA260">IFERROR(VLOOKUP(Z260,Dex!$P$22:$Q$276,2,FALSE),"")</f>
        <v/>
      </c>
      <c r="AB260" s="2372">
        <v>252.0</v>
      </c>
      <c r="AC260" s="2350"/>
      <c r="AD260" s="2369" t="s">
        <v>195</v>
      </c>
      <c r="AE260" s="2370">
        <f t="array" ref="AE260">IFERROR(VLOOKUP(AD244,Dex!$B$3:$N291,11,FALSE),"")</f>
        <v>48</v>
      </c>
      <c r="AF260" s="2371" t="str">
        <f t="array" ref="AF260">IFERROR(VLOOKUP(AE260,Dex!$P$22:$Q$276,2,FALSE),"")</f>
        <v/>
      </c>
      <c r="AG260" s="2372"/>
      <c r="AH260" s="2351"/>
      <c r="AI260" s="5735"/>
    </row>
    <row r="261" ht="15.75" customHeight="1">
      <c r="A261" s="5726"/>
      <c r="B261" s="2345"/>
      <c r="C261" s="2338"/>
      <c r="D261" s="2346"/>
      <c r="E261" s="2369" t="s">
        <v>196</v>
      </c>
      <c r="F261" s="2370">
        <f t="array" ref="F261">IFERROR(VLOOKUP(E244,Dex!$B$3:$N291,12,FALSE),"")</f>
        <v>37</v>
      </c>
      <c r="G261" s="2371" t="str">
        <f t="array" ref="G261">IFERROR(VLOOKUP(F261,Dex!$P$22:$Q$276,2,FALSE),"")</f>
        <v/>
      </c>
      <c r="H261" s="2372"/>
      <c r="I261" s="2364"/>
      <c r="J261" s="2369" t="s">
        <v>196</v>
      </c>
      <c r="K261" s="2370">
        <f t="array" ref="K261">IFERROR(VLOOKUP(J244,Dex!$B$3:$N291,12,FALSE),"")</f>
        <v>110</v>
      </c>
      <c r="L261" s="2371" t="str">
        <f t="array" ref="L261">IFERROR(VLOOKUP(K261,Dex!$P$22:$Q$276,2,FALSE),"")</f>
        <v/>
      </c>
      <c r="M261" s="2372"/>
      <c r="N261" s="2348"/>
      <c r="O261" s="2369" t="s">
        <v>196</v>
      </c>
      <c r="P261" s="2370">
        <f t="array" ref="P261">IFERROR(VLOOKUP(O244,Dex!$B$3:$N291,12,FALSE),"")</f>
        <v>115</v>
      </c>
      <c r="Q261" s="2371" t="str">
        <f t="array" ref="Q261">IFERROR(VLOOKUP(P261,Dex!$P$22:$Q$276,2,FALSE),"")</f>
        <v/>
      </c>
      <c r="R261" s="2372"/>
      <c r="S261" s="2350"/>
      <c r="T261" s="2369" t="s">
        <v>196</v>
      </c>
      <c r="U261" s="2370">
        <f t="array" ref="U261">IFERROR(VLOOKUP(T244,Dex!$B$3:$N291,12,FALSE),"")</f>
        <v>98</v>
      </c>
      <c r="V261" s="2371" t="str">
        <f t="array" ref="V261">IFERROR(VLOOKUP(U261,Dex!$P$22:$Q$276,2,FALSE),"")</f>
        <v/>
      </c>
      <c r="W261" s="2372">
        <v>4.0</v>
      </c>
      <c r="X261" s="2350"/>
      <c r="Y261" s="2369" t="s">
        <v>196</v>
      </c>
      <c r="Z261" s="2370">
        <f t="array" ref="Z261">IFERROR(VLOOKUP(Y244,Dex!$B$3:$N291,12,FALSE),"")</f>
        <v>95</v>
      </c>
      <c r="AA261" s="2371" t="str">
        <f t="array" ref="AA261">IFERROR(VLOOKUP(Z261,Dex!$P$22:$Q$276,2,FALSE),"")</f>
        <v/>
      </c>
      <c r="AB261" s="2372"/>
      <c r="AC261" s="2350"/>
      <c r="AD261" s="2369" t="s">
        <v>196</v>
      </c>
      <c r="AE261" s="2370">
        <f t="array" ref="AE261">IFERROR(VLOOKUP(AD244,Dex!$B$3:$N291,12,FALSE),"")</f>
        <v>48</v>
      </c>
      <c r="AF261" s="2371" t="str">
        <f t="array" ref="AF261">IFERROR(VLOOKUP(AE261,Dex!$P$22:$Q$276,2,FALSE),"")</f>
        <v/>
      </c>
      <c r="AG261" s="2372"/>
      <c r="AH261" s="2351"/>
      <c r="AI261" s="5735"/>
    </row>
    <row r="262" ht="15.75" customHeight="1">
      <c r="A262" s="5726"/>
      <c r="B262" s="2345"/>
      <c r="C262" s="2338"/>
      <c r="D262" s="2346"/>
      <c r="E262" s="2373" t="s">
        <v>197</v>
      </c>
      <c r="F262" s="2374">
        <f t="array" ref="F262">IFERROR(VLOOKUP(E244,Dex!$B$3:$N291,13,FALSE),"")</f>
        <v>151</v>
      </c>
      <c r="G262" s="2375" t="str">
        <f t="array" ref="G262">IFERROR(VLOOKUP(F262,Dex!$P$22:$Q$276,2,FALSE),"")</f>
        <v/>
      </c>
      <c r="H262" s="2376">
        <v>252.0</v>
      </c>
      <c r="I262" s="2364"/>
      <c r="J262" s="2373" t="s">
        <v>197</v>
      </c>
      <c r="K262" s="2374">
        <f t="array" ref="K262">IFERROR(VLOOKUP(J244,Dex!$B$3:$N291,13,FALSE),"")</f>
        <v>110</v>
      </c>
      <c r="L262" s="2375" t="str">
        <f t="array" ref="L262">IFERROR(VLOOKUP(K262,Dex!$P$22:$Q$276,2,FALSE),"")</f>
        <v/>
      </c>
      <c r="M262" s="2376">
        <v>252.0</v>
      </c>
      <c r="N262" s="2348"/>
      <c r="O262" s="2373" t="s">
        <v>197</v>
      </c>
      <c r="P262" s="2374">
        <f t="array" ref="P262">IFERROR(VLOOKUP(O244,Dex!$B$3:$N291,13,FALSE),"")</f>
        <v>135</v>
      </c>
      <c r="Q262" s="2375" t="str">
        <f t="array" ref="Q262">IFERROR(VLOOKUP(P262,Dex!$P$22:$Q$276,2,FALSE),"")</f>
        <v/>
      </c>
      <c r="R262" s="2376">
        <v>252.0</v>
      </c>
      <c r="S262" s="2350"/>
      <c r="T262" s="2373" t="s">
        <v>197</v>
      </c>
      <c r="U262" s="2374">
        <f t="array" ref="U262">IFERROR(VLOOKUP(T244,Dex!$B$3:$N291,13,FALSE),"")</f>
        <v>99</v>
      </c>
      <c r="V262" s="2375" t="str">
        <f t="array" ref="V262">IFERROR(VLOOKUP(U262,Dex!$P$22:$Q$276,2,FALSE),"")</f>
        <v/>
      </c>
      <c r="W262" s="2376"/>
      <c r="X262" s="2350"/>
      <c r="Y262" s="2373" t="s">
        <v>197</v>
      </c>
      <c r="Z262" s="2374">
        <f t="array" ref="Z262">IFERROR(VLOOKUP(Y244,Dex!$B$3:$N291,13,FALSE),"")</f>
        <v>130</v>
      </c>
      <c r="AA262" s="2375" t="str">
        <f t="array" ref="AA262">IFERROR(VLOOKUP(Z262,Dex!$P$22:$Q$276,2,FALSE),"")</f>
        <v/>
      </c>
      <c r="AB262" s="2376">
        <v>252.0</v>
      </c>
      <c r="AC262" s="2350"/>
      <c r="AD262" s="2373" t="s">
        <v>197</v>
      </c>
      <c r="AE262" s="2374">
        <f t="array" ref="AE262">IFERROR(VLOOKUP(AD244,Dex!$B$3:$N291,13,FALSE),"")</f>
        <v>48</v>
      </c>
      <c r="AF262" s="2375" t="str">
        <f t="array" ref="AF262">IFERROR(VLOOKUP(AE262,Dex!$P$22:$Q$276,2,FALSE),"")</f>
        <v/>
      </c>
      <c r="AG262" s="2376">
        <v>252.0</v>
      </c>
      <c r="AH262" s="2351"/>
      <c r="AI262" s="5735"/>
    </row>
    <row r="263" ht="16.5" customHeight="1">
      <c r="A263" s="5726"/>
      <c r="B263" s="2345"/>
      <c r="C263" s="2338"/>
      <c r="D263" s="2346"/>
      <c r="E263" s="2669" t="s">
        <v>198</v>
      </c>
      <c r="F263" s="918"/>
      <c r="G263" s="919"/>
      <c r="H263" s="2670">
        <v>375.0</v>
      </c>
      <c r="I263" s="2364"/>
      <c r="J263" s="2377" t="s">
        <v>198</v>
      </c>
      <c r="K263" s="405"/>
      <c r="L263" s="406"/>
      <c r="M263" s="2378">
        <v>298.0</v>
      </c>
      <c r="N263" s="6108"/>
      <c r="O263" s="2377" t="s">
        <v>198</v>
      </c>
      <c r="P263" s="405"/>
      <c r="Q263" s="406"/>
      <c r="R263" s="2378">
        <v>344.0</v>
      </c>
      <c r="S263" s="6109"/>
      <c r="T263" s="2377" t="s">
        <v>198</v>
      </c>
      <c r="U263" s="405"/>
      <c r="V263" s="406"/>
      <c r="W263" s="2378">
        <v>199.0</v>
      </c>
      <c r="X263" s="6109"/>
      <c r="Y263" s="2377" t="s">
        <v>198</v>
      </c>
      <c r="Z263" s="405"/>
      <c r="AA263" s="406"/>
      <c r="AB263" s="2378">
        <v>335.0</v>
      </c>
      <c r="AC263" s="6109"/>
      <c r="AD263" s="2669" t="s">
        <v>198</v>
      </c>
      <c r="AE263" s="918"/>
      <c r="AF263" s="919"/>
      <c r="AG263" s="2670">
        <v>273.0</v>
      </c>
      <c r="AH263" s="2351"/>
      <c r="AI263" s="5735"/>
    </row>
    <row r="264" ht="16.5" customHeight="1">
      <c r="A264" s="5726"/>
      <c r="B264" s="2345"/>
      <c r="C264" s="2338"/>
      <c r="D264" s="2346"/>
      <c r="E264" s="2671" t="s">
        <v>411</v>
      </c>
      <c r="F264" s="925"/>
      <c r="G264" s="926"/>
      <c r="H264" s="2672">
        <v>562.0</v>
      </c>
      <c r="I264" s="6110"/>
      <c r="J264" s="4970"/>
      <c r="K264" s="4970"/>
      <c r="L264" s="4970"/>
      <c r="M264" s="2338"/>
      <c r="N264" s="6111"/>
      <c r="O264" s="4970"/>
      <c r="P264" s="4970"/>
      <c r="Q264" s="4970"/>
      <c r="R264" s="2338"/>
      <c r="S264" s="6112"/>
      <c r="T264" s="4970"/>
      <c r="U264" s="4970"/>
      <c r="V264" s="4970"/>
      <c r="W264" s="2338"/>
      <c r="X264" s="6112"/>
      <c r="Y264" s="4970"/>
      <c r="Z264" s="4970"/>
      <c r="AA264" s="4970"/>
      <c r="AB264" s="2338"/>
      <c r="AC264" s="6113"/>
      <c r="AD264" s="2671" t="s">
        <v>1487</v>
      </c>
      <c r="AE264" s="925"/>
      <c r="AF264" s="926"/>
      <c r="AG264" s="2672" t="s">
        <v>1488</v>
      </c>
      <c r="AH264" s="2351"/>
      <c r="AI264" s="5735"/>
    </row>
    <row r="265" ht="11.25" customHeight="1">
      <c r="A265" s="5726"/>
      <c r="B265" s="2268"/>
      <c r="C265" s="2269"/>
      <c r="D265" s="2316"/>
      <c r="E265" s="2353"/>
      <c r="F265" s="2353"/>
      <c r="G265" s="2353"/>
      <c r="H265" s="2353"/>
      <c r="I265" s="2379"/>
      <c r="J265" s="2353"/>
      <c r="K265" s="2353"/>
      <c r="L265" s="2353"/>
      <c r="M265" s="2353"/>
      <c r="N265" s="2287"/>
      <c r="O265" s="2287"/>
      <c r="P265" s="2287"/>
      <c r="Q265" s="2287"/>
      <c r="R265" s="2287"/>
      <c r="S265" s="2287"/>
      <c r="T265" s="2287"/>
      <c r="U265" s="2287"/>
      <c r="V265" s="2287"/>
      <c r="W265" s="2287"/>
      <c r="X265" s="2287"/>
      <c r="Y265" s="2287"/>
      <c r="Z265" s="2287"/>
      <c r="AA265" s="2287"/>
      <c r="AB265" s="2287"/>
      <c r="AC265" s="2287"/>
      <c r="AD265" s="2534"/>
      <c r="AE265" s="2534"/>
      <c r="AF265" s="2534"/>
      <c r="AG265" s="2287"/>
      <c r="AH265" s="2276"/>
      <c r="AI265" s="5735"/>
    </row>
    <row r="266">
      <c r="A266" s="5726"/>
      <c r="B266" s="2268"/>
      <c r="C266" s="2269"/>
      <c r="D266" s="2270"/>
      <c r="E266" s="2380" t="s">
        <v>1493</v>
      </c>
      <c r="F266" s="1579"/>
      <c r="G266" s="1579"/>
      <c r="H266" s="1579"/>
      <c r="I266" s="1579"/>
      <c r="J266" s="1579"/>
      <c r="K266" s="1579"/>
      <c r="L266" s="1579"/>
      <c r="M266" s="1579"/>
      <c r="N266" s="1579"/>
      <c r="O266" s="1579"/>
      <c r="P266" s="1579"/>
      <c r="Q266" s="1579"/>
      <c r="R266" s="1579"/>
      <c r="S266" s="1579"/>
      <c r="T266" s="1579"/>
      <c r="U266" s="1579"/>
      <c r="V266" s="1579"/>
      <c r="W266" s="1579"/>
      <c r="X266" s="1579"/>
      <c r="Y266" s="1579"/>
      <c r="Z266" s="1579"/>
      <c r="AA266" s="1579"/>
      <c r="AB266" s="1579"/>
      <c r="AC266" s="1579"/>
      <c r="AD266" s="1579"/>
      <c r="AE266" s="1579"/>
      <c r="AF266" s="1579"/>
      <c r="AG266" s="1580"/>
      <c r="AH266" s="2654"/>
      <c r="AI266" s="5735"/>
    </row>
    <row r="267" ht="3.75" customHeight="1">
      <c r="A267" s="5726"/>
      <c r="B267" s="2268"/>
      <c r="C267" s="2277"/>
      <c r="D267" s="2278"/>
      <c r="E267" s="2490"/>
      <c r="F267" s="2490"/>
      <c r="G267" s="2490"/>
      <c r="H267" s="2490"/>
      <c r="I267" s="2280"/>
      <c r="J267" s="2490"/>
      <c r="K267" s="2490"/>
      <c r="L267" s="2490"/>
      <c r="M267" s="2490"/>
      <c r="N267" s="2280"/>
      <c r="O267" s="2490"/>
      <c r="P267" s="2490"/>
      <c r="Q267" s="2490"/>
      <c r="R267" s="2490"/>
      <c r="S267" s="2280"/>
      <c r="T267" s="2490"/>
      <c r="U267" s="2490"/>
      <c r="V267" s="2490"/>
      <c r="W267" s="2490"/>
      <c r="X267" s="2280"/>
      <c r="Y267" s="2490"/>
      <c r="Z267" s="2490"/>
      <c r="AA267" s="2490"/>
      <c r="AB267" s="2490"/>
      <c r="AC267" s="2280"/>
      <c r="AD267" s="2490"/>
      <c r="AE267" s="2490"/>
      <c r="AF267" s="2490"/>
      <c r="AG267" s="2490"/>
      <c r="AH267" s="2276"/>
      <c r="AI267" s="5735"/>
    </row>
    <row r="268" ht="96.75" customHeight="1">
      <c r="A268" s="5726"/>
      <c r="B268" s="2281"/>
      <c r="C268" s="2381" t="str">
        <f>IMAGE("https://i.ibb.co/fXwks6z/Rival.png")</f>
        <v/>
      </c>
      <c r="D268" s="2491"/>
      <c r="E268" s="2382" t="str">
        <f t="array" ref="E268">IFERROR(VLOOKUP(E269,Dex!$B$3:$G291,3,FALSE),"")</f>
        <v/>
      </c>
      <c r="F268" s="1830"/>
      <c r="G268" s="1830"/>
      <c r="H268" s="1831"/>
      <c r="I268" s="2492"/>
      <c r="J268" s="2382" t="str">
        <f t="array" ref="J268">IFERROR(VLOOKUP(J269,Dex!$B$3:$G291,3,FALSE),"")</f>
        <v/>
      </c>
      <c r="K268" s="1830"/>
      <c r="L268" s="1830"/>
      <c r="M268" s="1831"/>
      <c r="N268" s="5007"/>
      <c r="O268" s="2382" t="str">
        <f t="array" ref="O268">IFERROR(VLOOKUP(O269,Dex!$B$3:$G291,3,FALSE),"")</f>
        <v/>
      </c>
      <c r="P268" s="1830"/>
      <c r="Q268" s="1830"/>
      <c r="R268" s="1831"/>
      <c r="S268" s="5007"/>
      <c r="T268" s="2382" t="str">
        <f t="array" ref="T268">IFERROR(VLOOKUP(T269,Dex!$B$3:$G291,3,FALSE),"")</f>
        <v/>
      </c>
      <c r="U268" s="1830"/>
      <c r="V268" s="1830"/>
      <c r="W268" s="1831"/>
      <c r="X268" s="5007"/>
      <c r="Y268" s="2382" t="str">
        <f t="array" ref="Y268">IFERROR(VLOOKUP(Y269,Dex!$B$3:$G291,3,FALSE),"")</f>
        <v/>
      </c>
      <c r="Z268" s="1830"/>
      <c r="AA268" s="1830"/>
      <c r="AB268" s="1831"/>
      <c r="AC268" s="5007"/>
      <c r="AD268" s="2382" t="str">
        <f t="array" ref="AD268">IFERROR(VLOOKUP(AD269,Dex!$B$3:$G291,3,FALSE),"")</f>
        <v/>
      </c>
      <c r="AE268" s="1830"/>
      <c r="AF268" s="1830"/>
      <c r="AG268" s="1831"/>
      <c r="AH268" s="2654"/>
      <c r="AI268" s="5735"/>
    </row>
    <row r="269" ht="18.75" customHeight="1">
      <c r="A269" s="5726"/>
      <c r="B269" s="2358"/>
      <c r="C269" s="2290" t="s">
        <v>1494</v>
      </c>
      <c r="D269" s="2359"/>
      <c r="E269" s="2292" t="s">
        <v>1472</v>
      </c>
      <c r="F269" s="2293"/>
      <c r="G269" s="2293"/>
      <c r="H269" s="2294"/>
      <c r="J269" s="2292" t="s">
        <v>1473</v>
      </c>
      <c r="K269" s="2293"/>
      <c r="L269" s="2293"/>
      <c r="M269" s="2294"/>
      <c r="O269" s="2292" t="s">
        <v>1491</v>
      </c>
      <c r="P269" s="2293"/>
      <c r="Q269" s="2293"/>
      <c r="R269" s="2294"/>
      <c r="T269" s="2292" t="s">
        <v>1475</v>
      </c>
      <c r="U269" s="2293"/>
      <c r="V269" s="2293"/>
      <c r="W269" s="2294"/>
      <c r="Y269" s="2292" t="s">
        <v>1476</v>
      </c>
      <c r="Z269" s="2293"/>
      <c r="AA269" s="2293"/>
      <c r="AB269" s="2294"/>
      <c r="AD269" s="2292" t="s">
        <v>1477</v>
      </c>
      <c r="AE269" s="2293"/>
      <c r="AF269" s="2293"/>
      <c r="AG269" s="2294"/>
      <c r="AH269" s="2656"/>
      <c r="AI269" s="5735"/>
    </row>
    <row r="270">
      <c r="A270" s="5726"/>
      <c r="B270" s="2300"/>
      <c r="C270" s="326"/>
      <c r="D270" s="2360"/>
      <c r="E270" s="2302">
        <v>85.0</v>
      </c>
      <c r="F270" s="2303"/>
      <c r="G270" s="2303"/>
      <c r="H270" s="2304"/>
      <c r="J270" s="2302">
        <v>85.0</v>
      </c>
      <c r="K270" s="2303"/>
      <c r="L270" s="2303"/>
      <c r="M270" s="2304"/>
      <c r="O270" s="2302">
        <v>85.0</v>
      </c>
      <c r="P270" s="2303"/>
      <c r="Q270" s="2303"/>
      <c r="R270" s="2304"/>
      <c r="T270" s="2302">
        <v>85.0</v>
      </c>
      <c r="U270" s="2303"/>
      <c r="V270" s="2303"/>
      <c r="W270" s="2304"/>
      <c r="Y270" s="2302">
        <v>85.0</v>
      </c>
      <c r="Z270" s="2303"/>
      <c r="AA270" s="2303"/>
      <c r="AB270" s="2304"/>
      <c r="AD270" s="2302">
        <v>85.0</v>
      </c>
      <c r="AE270" s="2303"/>
      <c r="AF270" s="2303"/>
      <c r="AG270" s="2304"/>
      <c r="AH270" s="2654"/>
      <c r="AI270" s="5735"/>
    </row>
    <row r="271" ht="25.5" customHeight="1">
      <c r="A271" s="5726"/>
      <c r="B271" s="2268"/>
      <c r="C271" s="2305"/>
      <c r="D271" s="2306"/>
      <c r="E271" s="2307"/>
      <c r="F271" s="2308" t="str">
        <f t="array" ref="F271">IFERROR(VLOOKUP(E269,Dex!$B$3:$H291,5,FALSE),"")</f>
        <v/>
      </c>
      <c r="G271" s="2309" t="str">
        <f t="array" ref="G271">IFERROR(VLOOKUP(E269,Dex!$B$3:$H291,7,FALSE),"")</f>
        <v/>
      </c>
      <c r="H271" s="2310"/>
      <c r="J271" s="2307"/>
      <c r="K271" s="2308" t="str">
        <f t="array" ref="K271">IFERROR(VLOOKUP(J269,Dex!$B$3:$H291,5,FALSE),"")</f>
        <v/>
      </c>
      <c r="L271" s="2309" t="str">
        <f t="array" ref="L271">IFERROR(VLOOKUP(J269,Dex!$B$3:$H291,7,FALSE),"")</f>
        <v/>
      </c>
      <c r="M271" s="2310"/>
      <c r="O271" s="2307"/>
      <c r="P271" s="2308" t="str">
        <f t="array" ref="P271">IFERROR(VLOOKUP(O269,Dex!$B$3:$H291,5,FALSE),"")</f>
        <v/>
      </c>
      <c r="Q271" s="2309" t="str">
        <f t="array" ref="Q271">IFERROR(VLOOKUP(O269,Dex!$B$3:$H291,7,FALSE),"")</f>
        <v/>
      </c>
      <c r="R271" s="2310"/>
      <c r="T271" s="2307"/>
      <c r="U271" s="2308" t="str">
        <f t="array" ref="U271">IFERROR(VLOOKUP(T269,Dex!$B$3:$H291,5,FALSE),"")</f>
        <v/>
      </c>
      <c r="V271" s="2309" t="str">
        <f t="array" ref="V271">IFERROR(VLOOKUP(T269,Dex!$B$3:$H291,7,FALSE),"")</f>
        <v/>
      </c>
      <c r="W271" s="2310"/>
      <c r="Y271" s="2307"/>
      <c r="Z271" s="2308" t="str">
        <f t="array" ref="Z271">IFERROR(VLOOKUP(Y269,Dex!$B$3:$H291,5,FALSE),"")</f>
        <v/>
      </c>
      <c r="AA271" s="2309" t="str">
        <f t="array" ref="AA271">IFERROR(VLOOKUP(Y269,Dex!$B$3:$H291,7,FALSE),"")</f>
        <v/>
      </c>
      <c r="AB271" s="2310"/>
      <c r="AD271" s="2307"/>
      <c r="AE271" s="2311" t="str">
        <f t="array" ref="AE271">IFERROR(VLOOKUP(AD269,Dex!$B$3:$H291,5,FALSE),"")</f>
        <v/>
      </c>
      <c r="AF271" s="2312"/>
      <c r="AG271" s="2310"/>
      <c r="AH271" s="2276"/>
      <c r="AI271" s="5735"/>
    </row>
    <row r="272" ht="2.25" customHeight="1">
      <c r="A272" s="5726"/>
      <c r="B272" s="2268"/>
      <c r="C272" s="104"/>
      <c r="D272" s="2306"/>
      <c r="E272" s="2313"/>
      <c r="F272" s="2314"/>
      <c r="G272" s="2314"/>
      <c r="H272" s="2315"/>
      <c r="J272" s="2313"/>
      <c r="K272" s="2314"/>
      <c r="L272" s="2314"/>
      <c r="M272" s="2315"/>
      <c r="O272" s="2313"/>
      <c r="P272" s="2314"/>
      <c r="Q272" s="2314"/>
      <c r="R272" s="2315"/>
      <c r="T272" s="2313"/>
      <c r="U272" s="2314"/>
      <c r="V272" s="2314"/>
      <c r="W272" s="2315"/>
      <c r="Y272" s="2313"/>
      <c r="Z272" s="2314"/>
      <c r="AA272" s="2314"/>
      <c r="AB272" s="2315"/>
      <c r="AD272" s="2313"/>
      <c r="AE272" s="2314"/>
      <c r="AF272" s="2314"/>
      <c r="AG272" s="2315"/>
      <c r="AH272" s="2276"/>
      <c r="AI272" s="5735"/>
    </row>
    <row r="273" ht="20.25" customHeight="1">
      <c r="A273" s="5726"/>
      <c r="B273" s="2268"/>
      <c r="C273" s="281"/>
      <c r="D273" s="2270"/>
      <c r="E273" s="2317" t="s">
        <v>172</v>
      </c>
      <c r="F273" s="2318"/>
      <c r="G273" s="2318"/>
      <c r="H273" s="2319"/>
      <c r="J273" s="2317" t="s">
        <v>172</v>
      </c>
      <c r="K273" s="2318"/>
      <c r="L273" s="2318"/>
      <c r="M273" s="2319"/>
      <c r="O273" s="2317" t="s">
        <v>205</v>
      </c>
      <c r="P273" s="2318"/>
      <c r="Q273" s="2318"/>
      <c r="R273" s="2319"/>
      <c r="T273" s="2317" t="s">
        <v>263</v>
      </c>
      <c r="U273" s="2318"/>
      <c r="V273" s="2318"/>
      <c r="W273" s="2319"/>
      <c r="Y273" s="2317" t="s">
        <v>205</v>
      </c>
      <c r="Z273" s="2318"/>
      <c r="AA273" s="2318"/>
      <c r="AB273" s="2319"/>
      <c r="AD273" s="2317" t="s">
        <v>205</v>
      </c>
      <c r="AE273" s="2318"/>
      <c r="AF273" s="2318"/>
      <c r="AG273" s="2319"/>
      <c r="AH273" s="2654"/>
      <c r="AI273" s="5735"/>
    </row>
    <row r="274" ht="20.25" customHeight="1">
      <c r="A274" s="5726"/>
      <c r="B274" s="2268"/>
      <c r="C274" s="2320"/>
      <c r="D274" s="2270"/>
      <c r="E274" s="2321" t="s">
        <v>392</v>
      </c>
      <c r="F274" s="2273"/>
      <c r="G274" s="2273"/>
      <c r="H274" s="2322"/>
      <c r="J274" s="5006" t="s">
        <v>1478</v>
      </c>
      <c r="K274" s="2273"/>
      <c r="L274" s="2273"/>
      <c r="M274" s="2322"/>
      <c r="O274" s="2321" t="s">
        <v>1492</v>
      </c>
      <c r="P274" s="2273"/>
      <c r="Q274" s="2273"/>
      <c r="R274" s="2322"/>
      <c r="T274" s="2321" t="s">
        <v>1480</v>
      </c>
      <c r="U274" s="2273"/>
      <c r="V274" s="2273"/>
      <c r="W274" s="2322"/>
      <c r="Y274" s="2321" t="s">
        <v>808</v>
      </c>
      <c r="Z274" s="2273"/>
      <c r="AA274" s="2273"/>
      <c r="AB274" s="2322"/>
      <c r="AD274" s="2321" t="s">
        <v>1481</v>
      </c>
      <c r="AE274" s="2273"/>
      <c r="AF274" s="2273"/>
      <c r="AG274" s="2322"/>
      <c r="AH274" s="2654"/>
      <c r="AI274" s="5735"/>
    </row>
    <row r="275" ht="20.25" customHeight="1">
      <c r="A275" s="5726"/>
      <c r="B275" s="2268"/>
      <c r="C275" s="104"/>
      <c r="D275" s="2270"/>
      <c r="E275" s="2323" t="s">
        <v>240</v>
      </c>
      <c r="F275" s="2324"/>
      <c r="G275" s="2325"/>
      <c r="H275" s="2326" t="str">
        <f>IMAGE("https://raw.githubusercontent.com/msikma/pokesprite/master/items/hold-item/focus-sash.png",3)</f>
        <v/>
      </c>
      <c r="J275" s="2323" t="s">
        <v>1482</v>
      </c>
      <c r="K275" s="2324"/>
      <c r="L275" s="2325"/>
      <c r="M275" s="2326" t="str">
        <f>IMAGE("https://raw.githubusercontent.com/msikma/pokesprite/master/items/mega-stone/metagrossite.png",3)</f>
        <v/>
      </c>
      <c r="O275" s="2323" t="s">
        <v>394</v>
      </c>
      <c r="P275" s="2324"/>
      <c r="Q275" s="2325"/>
      <c r="R275" s="2326" t="str">
        <f>IMAGE("https://raw.githubusercontent.com/msikma/pokesprite/master/items/hold-item/leftovers.png",3)</f>
        <v/>
      </c>
      <c r="T275" s="2323" t="s">
        <v>473</v>
      </c>
      <c r="U275" s="2324"/>
      <c r="V275" s="2325"/>
      <c r="W275" s="2326" t="str">
        <f>IMAGE("https://raw.githubusercontent.com/msikma/pokesprite/master/items/hold-item/assault-vest.png",3)</f>
        <v/>
      </c>
      <c r="Y275" s="2323" t="s">
        <v>426</v>
      </c>
      <c r="Z275" s="2324"/>
      <c r="AA275" s="2325"/>
      <c r="AB275" s="2326" t="str">
        <f>IMAGE("https://raw.githubusercontent.com/msikma/pokesprite/master/items/hold-item/power-herb.png",3)</f>
        <v/>
      </c>
      <c r="AD275" s="2323" t="s">
        <v>335</v>
      </c>
      <c r="AE275" s="2324"/>
      <c r="AF275" s="2325"/>
      <c r="AG275" s="2326" t="str">
        <f>IMAGE("https://raw.githubusercontent.com/msikma/pokesprite/master/items/hold-item/choice-scarf.png",3)</f>
        <v/>
      </c>
      <c r="AH275" s="2276"/>
      <c r="AI275" s="5735"/>
    </row>
    <row r="276" ht="20.25" customHeight="1">
      <c r="A276" s="5726"/>
      <c r="B276" s="2268"/>
      <c r="C276" s="281"/>
      <c r="D276" s="2270"/>
      <c r="E276" s="2317" t="s">
        <v>278</v>
      </c>
      <c r="F276" s="2318"/>
      <c r="G276" s="2327"/>
      <c r="H276" s="2328" t="str">
        <f>IMAGE("https://raw.githubusercontent.com/msikma/pokesprite/master/misc/types/gen8/bug.png",4,20,20)</f>
        <v/>
      </c>
      <c r="J276" s="2317" t="s">
        <v>522</v>
      </c>
      <c r="K276" s="2318"/>
      <c r="L276" s="2327"/>
      <c r="M276" s="2328" t="str">
        <f>IMAGE("https://raw.githubusercontent.com/msikma/pokesprite/master/misc/types/gen8/steel.png",4,20,20)</f>
        <v/>
      </c>
      <c r="O276" s="2317" t="s">
        <v>509</v>
      </c>
      <c r="P276" s="2318"/>
      <c r="Q276" s="2327"/>
      <c r="R276" s="2328" t="str">
        <f>IMAGE("https://raw.githubusercontent.com/msikma/pokesprite/master/misc/types/gen8/psychic.png",4,20,20)</f>
        <v/>
      </c>
      <c r="T276" s="2317" t="s">
        <v>1483</v>
      </c>
      <c r="U276" s="2318"/>
      <c r="V276" s="2327"/>
      <c r="W276" s="2328" t="str">
        <f>IMAGE("https://raw.githubusercontent.com/msikma/pokesprite/master/misc/types/gen8/flying.png",4,20,20)</f>
        <v/>
      </c>
      <c r="Y276" s="2317" t="s">
        <v>429</v>
      </c>
      <c r="Z276" s="2318"/>
      <c r="AA276" s="2327"/>
      <c r="AB276" s="2328" t="str">
        <f>IMAGE("https://raw.githubusercontent.com/msikma/pokesprite/master/misc/types/gen8/rock.png",4,20,20)</f>
        <v/>
      </c>
      <c r="AD276" s="2317" t="s">
        <v>1484</v>
      </c>
      <c r="AE276" s="2318"/>
      <c r="AF276" s="2327"/>
      <c r="AG276" s="2328" t="str">
        <f>IMAGE("https://raw.githubusercontent.com/msikma/pokesprite/master/misc/types/gen8/normal.png",4,20,20)</f>
        <v/>
      </c>
      <c r="AH276" s="2276"/>
      <c r="AI276" s="5735"/>
    </row>
    <row r="277" ht="20.25" customHeight="1">
      <c r="A277" s="5726"/>
      <c r="B277" s="2268"/>
      <c r="C277" s="2269"/>
      <c r="D277" s="2270"/>
      <c r="E277" s="2321" t="s">
        <v>316</v>
      </c>
      <c r="F277" s="2273"/>
      <c r="G277" s="2274"/>
      <c r="H277" s="2329" t="str">
        <f>IMAGE("https://raw.githubusercontent.com/msikma/pokesprite/master/misc/types/gen8/fighting.png",4,20,20)</f>
        <v/>
      </c>
      <c r="J277" s="2321" t="s">
        <v>562</v>
      </c>
      <c r="K277" s="2273"/>
      <c r="L277" s="2274"/>
      <c r="M277" s="2329" t="str">
        <f>IMAGE("https://raw.githubusercontent.com/msikma/pokesprite/master/misc/types/gen8/psychic.png",4,20,20)</f>
        <v/>
      </c>
      <c r="O277" s="2321" t="s">
        <v>1495</v>
      </c>
      <c r="P277" s="2273"/>
      <c r="Q277" s="2274"/>
      <c r="R277" s="2329" t="str">
        <f>IMAGE("https://raw.githubusercontent.com/msikma/pokesprite/master/misc/types/gen8/electric.png",4,20,20)</f>
        <v/>
      </c>
      <c r="T277" s="2321" t="s">
        <v>1466</v>
      </c>
      <c r="U277" s="2273"/>
      <c r="V277" s="2274"/>
      <c r="W277" s="2329" t="str">
        <f>IMAGE("https://raw.githubusercontent.com/msikma/pokesprite/master/misc/types/gen8/dark.png",4,20,20)</f>
        <v/>
      </c>
      <c r="Y277" s="2321" t="s">
        <v>405</v>
      </c>
      <c r="Z277" s="2273"/>
      <c r="AA277" s="2274"/>
      <c r="AB277" s="2329" t="str">
        <f>IMAGE("https://raw.githubusercontent.com/msikma/pokesprite/master/misc/types/gen8/poison.png",4,20,20)</f>
        <v/>
      </c>
      <c r="AD277" s="2321" t="s">
        <v>188</v>
      </c>
      <c r="AE277" s="2273"/>
      <c r="AF277" s="2273"/>
      <c r="AG277" s="2322"/>
      <c r="AH277" s="2276"/>
      <c r="AI277" s="5735"/>
    </row>
    <row r="278" ht="20.25" customHeight="1">
      <c r="A278" s="5726"/>
      <c r="B278" s="2268"/>
      <c r="C278" s="2269"/>
      <c r="D278" s="2270"/>
      <c r="E278" s="2321" t="s">
        <v>285</v>
      </c>
      <c r="F278" s="2273"/>
      <c r="G278" s="2274"/>
      <c r="H278" s="2329" t="str">
        <f>IMAGE("https://raw.githubusercontent.com/msikma/pokesprite/master/misc/types/gen8/ice.png",4,20,20)</f>
        <v/>
      </c>
      <c r="J278" s="2321" t="s">
        <v>403</v>
      </c>
      <c r="K278" s="2273"/>
      <c r="L278" s="2274"/>
      <c r="M278" s="2329" t="str">
        <f>IMAGE("https://raw.githubusercontent.com/msikma/pokesprite/master/misc/types/gen8/fire.png",4,20,20)</f>
        <v/>
      </c>
      <c r="O278" s="2321" t="s">
        <v>380</v>
      </c>
      <c r="P278" s="2273"/>
      <c r="Q278" s="2274"/>
      <c r="R278" s="2329" t="str">
        <f>IMAGE("https://raw.githubusercontent.com/msikma/pokesprite/master/misc/types/gen8/dragon.png",4,20,20)</f>
        <v/>
      </c>
      <c r="T278" s="2321" t="s">
        <v>903</v>
      </c>
      <c r="U278" s="2273"/>
      <c r="V278" s="2274"/>
      <c r="W278" s="2329" t="str">
        <f>IMAGE("https://raw.githubusercontent.com/msikma/pokesprite/master/misc/types/gen8/fire.png",4,20,20)</f>
        <v/>
      </c>
      <c r="Y278" s="2321" t="s">
        <v>372</v>
      </c>
      <c r="Z278" s="2273"/>
      <c r="AA278" s="2274"/>
      <c r="AB278" s="2329" t="str">
        <f>IMAGE("https://raw.githubusercontent.com/msikma/pokesprite/master/misc/types/gen8/fire.png",4,20,20)</f>
        <v/>
      </c>
      <c r="AD278" s="2321" t="s">
        <v>188</v>
      </c>
      <c r="AE278" s="2273"/>
      <c r="AF278" s="2273"/>
      <c r="AG278" s="2322"/>
      <c r="AH278" s="2276"/>
      <c r="AI278" s="5735"/>
    </row>
    <row r="279" ht="21.0" customHeight="1">
      <c r="A279" s="5726"/>
      <c r="B279" s="2268"/>
      <c r="C279" s="2269"/>
      <c r="D279" s="2270"/>
      <c r="E279" s="2330" t="s">
        <v>218</v>
      </c>
      <c r="F279" s="2331"/>
      <c r="G279" s="2332"/>
      <c r="H279" s="2333" t="str">
        <f>IMAGE("https://raw.githubusercontent.com/msikma/pokesprite/master/misc/types/gen8/poison.png",4,20,20)</f>
        <v/>
      </c>
      <c r="I279" s="2497"/>
      <c r="J279" s="2330" t="s">
        <v>671</v>
      </c>
      <c r="K279" s="2331"/>
      <c r="L279" s="2332"/>
      <c r="M279" s="2333" t="str">
        <f>IMAGE("https://raw.githubusercontent.com/msikma/pokesprite/master/misc/types/gen8/steel.png",4,20,20)</f>
        <v/>
      </c>
      <c r="N279" s="2497"/>
      <c r="O279" s="2330" t="s">
        <v>287</v>
      </c>
      <c r="P279" s="2331"/>
      <c r="Q279" s="2332"/>
      <c r="R279" s="2333" t="str">
        <f>IMAGE("https://raw.githubusercontent.com/msikma/pokesprite/master/misc/types/gen8/fire.png",4,20,20)</f>
        <v/>
      </c>
      <c r="S279" s="2497"/>
      <c r="T279" s="2330" t="s">
        <v>541</v>
      </c>
      <c r="U279" s="2331"/>
      <c r="V279" s="2332"/>
      <c r="W279" s="2333" t="str">
        <f>IMAGE("https://raw.githubusercontent.com/msikma/pokesprite/master/misc/types/gen8/dark.png",4,20,20)</f>
        <v/>
      </c>
      <c r="X279" s="2497"/>
      <c r="Y279" s="2330" t="s">
        <v>1486</v>
      </c>
      <c r="Z279" s="2331"/>
      <c r="AA279" s="2332"/>
      <c r="AB279" s="2333" t="str">
        <f>IMAGE("https://raw.githubusercontent.com/msikma/pokesprite/master/misc/types/gen8/dragon.png",4,20,20)</f>
        <v/>
      </c>
      <c r="AC279" s="2497"/>
      <c r="AD279" s="2330" t="s">
        <v>188</v>
      </c>
      <c r="AE279" s="2331"/>
      <c r="AF279" s="2331"/>
      <c r="AG279" s="5008"/>
      <c r="AH279" s="2276"/>
      <c r="AI279" s="5735"/>
    </row>
    <row r="280" ht="3.0" customHeight="1">
      <c r="A280" s="5726"/>
      <c r="B280" s="2337"/>
      <c r="C280" s="2338"/>
      <c r="D280" s="2339"/>
      <c r="E280" s="2340"/>
      <c r="F280" s="2340"/>
      <c r="G280" s="2340"/>
      <c r="H280" s="2340"/>
      <c r="I280" s="2339"/>
      <c r="J280" s="2340"/>
      <c r="K280" s="2340"/>
      <c r="L280" s="2340"/>
      <c r="M280" s="2340"/>
      <c r="N280" s="2339"/>
      <c r="O280" s="2340"/>
      <c r="P280" s="2340"/>
      <c r="Q280" s="2340"/>
      <c r="R280" s="2340"/>
      <c r="S280" s="2339"/>
      <c r="T280" s="2340"/>
      <c r="U280" s="2340"/>
      <c r="V280" s="2340"/>
      <c r="W280" s="2340"/>
      <c r="X280" s="2339"/>
      <c r="Y280" s="2340"/>
      <c r="Z280" s="2340"/>
      <c r="AA280" s="2340"/>
      <c r="AB280" s="2340"/>
      <c r="AC280" s="2342"/>
      <c r="AD280" s="2340"/>
      <c r="AE280" s="2340"/>
      <c r="AF280" s="2340"/>
      <c r="AG280" s="2340"/>
      <c r="AH280" s="2343"/>
      <c r="AI280" s="5735"/>
    </row>
    <row r="281" ht="16.5" customHeight="1">
      <c r="A281" s="5726"/>
      <c r="B281" s="2345"/>
      <c r="C281" s="2338"/>
      <c r="D281" s="2346"/>
      <c r="E281" s="703" t="s">
        <v>190</v>
      </c>
      <c r="F281" s="381"/>
      <c r="G281" s="382"/>
      <c r="H281" s="704" t="s">
        <v>191</v>
      </c>
      <c r="I281" s="2347"/>
      <c r="J281" s="703" t="s">
        <v>190</v>
      </c>
      <c r="K281" s="381"/>
      <c r="L281" s="382"/>
      <c r="M281" s="704" t="s">
        <v>191</v>
      </c>
      <c r="N281" s="6108"/>
      <c r="O281" s="703" t="s">
        <v>190</v>
      </c>
      <c r="P281" s="381"/>
      <c r="Q281" s="382"/>
      <c r="R281" s="704" t="s">
        <v>191</v>
      </c>
      <c r="S281" s="6109"/>
      <c r="T281" s="703" t="s">
        <v>190</v>
      </c>
      <c r="U281" s="381"/>
      <c r="V281" s="382"/>
      <c r="W281" s="704" t="s">
        <v>191</v>
      </c>
      <c r="X281" s="6109"/>
      <c r="Y281" s="703" t="s">
        <v>190</v>
      </c>
      <c r="Z281" s="381"/>
      <c r="AA281" s="382"/>
      <c r="AB281" s="704" t="s">
        <v>191</v>
      </c>
      <c r="AC281" s="2350"/>
      <c r="AD281" s="703" t="s">
        <v>190</v>
      </c>
      <c r="AE281" s="381"/>
      <c r="AF281" s="382"/>
      <c r="AG281" s="704" t="s">
        <v>191</v>
      </c>
      <c r="AH281" s="2351"/>
      <c r="AI281" s="5735"/>
    </row>
    <row r="282" ht="15.75" customHeight="1">
      <c r="A282" s="5726"/>
      <c r="B282" s="2345"/>
      <c r="C282" s="2338"/>
      <c r="D282" s="2346"/>
      <c r="E282" s="709" t="s">
        <v>192</v>
      </c>
      <c r="F282" s="710">
        <f t="array" ref="F282">IFERROR(VLOOKUP(E269,Dex!$B$3:$N291,8,FALSE),"")</f>
        <v>71</v>
      </c>
      <c r="G282" s="711" t="str">
        <f t="array" ref="G282">IFERROR(VLOOKUP(F282,Dex!$P$22:$Q$276,2,FALSE),"")</f>
        <v/>
      </c>
      <c r="H282" s="712"/>
      <c r="I282" s="2347"/>
      <c r="J282" s="709" t="s">
        <v>192</v>
      </c>
      <c r="K282" s="710">
        <f t="array" ref="K282">IFERROR(VLOOKUP(J269,Dex!$B$3:$N291,8,FALSE),"")</f>
        <v>80</v>
      </c>
      <c r="L282" s="711" t="str">
        <f t="array" ref="L282">IFERROR(VLOOKUP(K282,Dex!$P$22:$Q$276,2,FALSE),"")</f>
        <v/>
      </c>
      <c r="M282" s="712"/>
      <c r="N282" s="2348"/>
      <c r="O282" s="709" t="s">
        <v>192</v>
      </c>
      <c r="P282" s="710">
        <f t="array" ref="P282">IFERROR(VLOOKUP(O269,Dex!$B$3:$N291,8,FALSE),"")</f>
        <v>100</v>
      </c>
      <c r="Q282" s="711" t="str">
        <f t="array" ref="Q282">IFERROR(VLOOKUP(P282,Dex!$P$22:$Q$276,2,FALSE),"")</f>
        <v/>
      </c>
      <c r="R282" s="712"/>
      <c r="S282" s="2350"/>
      <c r="T282" s="709" t="s">
        <v>192</v>
      </c>
      <c r="U282" s="710">
        <f t="array" ref="U282">IFERROR(VLOOKUP(T269,Dex!$B$3:$N291,8,FALSE),"")</f>
        <v>126</v>
      </c>
      <c r="V282" s="711" t="str">
        <f t="array" ref="V282">IFERROR(VLOOKUP(U282,Dex!$P$22:$Q$276,2,FALSE),"")</f>
        <v/>
      </c>
      <c r="W282" s="712">
        <v>252.0</v>
      </c>
      <c r="X282" s="2350"/>
      <c r="Y282" s="709" t="s">
        <v>192</v>
      </c>
      <c r="Z282" s="710">
        <f t="array" ref="Z282">IFERROR(VLOOKUP(Y269,Dex!$B$3:$N291,8,FALSE),"")</f>
        <v>140</v>
      </c>
      <c r="AA282" s="711" t="str">
        <f t="array" ref="AA282">IFERROR(VLOOKUP(Z282,Dex!$P$22:$Q$276,2,FALSE),"")</f>
        <v/>
      </c>
      <c r="AB282" s="712"/>
      <c r="AC282" s="2350"/>
      <c r="AD282" s="709" t="s">
        <v>192</v>
      </c>
      <c r="AE282" s="710">
        <f t="array" ref="AE282">IFERROR(VLOOKUP(AD269,Dex!$B$3:$N291,8,FALSE),"")</f>
        <v>48</v>
      </c>
      <c r="AF282" s="711" t="str">
        <f t="array" ref="AF282">IFERROR(VLOOKUP(AE282,Dex!$P$22:$Q$276,2,FALSE),"")</f>
        <v/>
      </c>
      <c r="AG282" s="712">
        <v>252.0</v>
      </c>
      <c r="AH282" s="2351"/>
      <c r="AI282" s="5735"/>
    </row>
    <row r="283" ht="15.75" customHeight="1">
      <c r="A283" s="5726"/>
      <c r="B283" s="2345"/>
      <c r="C283" s="2338"/>
      <c r="D283" s="2346"/>
      <c r="E283" s="714" t="s">
        <v>193</v>
      </c>
      <c r="F283" s="715">
        <f t="array" ref="F283">IFERROR(VLOOKUP(E269,Dex!$B$3:$N291,9,FALSE),"")</f>
        <v>137</v>
      </c>
      <c r="G283" s="716" t="str">
        <f t="array" ref="G283">IFERROR(VLOOKUP(F283,Dex!$P$22:$Q$276,2,FALSE),"")</f>
        <v/>
      </c>
      <c r="H283" s="717">
        <v>252.0</v>
      </c>
      <c r="I283" s="2347"/>
      <c r="J283" s="714" t="s">
        <v>193</v>
      </c>
      <c r="K283" s="715">
        <f t="array" ref="K283">IFERROR(VLOOKUP(J269,Dex!$B$3:$N291,9,FALSE),"")</f>
        <v>145</v>
      </c>
      <c r="L283" s="716" t="str">
        <f t="array" ref="L283">IFERROR(VLOOKUP(K283,Dex!$P$22:$Q$276,2,FALSE),"")</f>
        <v/>
      </c>
      <c r="M283" s="717">
        <v>252.0</v>
      </c>
      <c r="N283" s="2348"/>
      <c r="O283" s="714" t="s">
        <v>193</v>
      </c>
      <c r="P283" s="715">
        <f t="array" ref="P283">IFERROR(VLOOKUP(O269,Dex!$B$3:$N291,9,FALSE),"")</f>
        <v>85</v>
      </c>
      <c r="Q283" s="716" t="str">
        <f t="array" ref="Q283">IFERROR(VLOOKUP(P283,Dex!$P$22:$Q$276,2,FALSE),"")</f>
        <v/>
      </c>
      <c r="R283" s="717"/>
      <c r="S283" s="2350"/>
      <c r="T283" s="714" t="s">
        <v>193</v>
      </c>
      <c r="U283" s="715">
        <f t="array" ref="U283">IFERROR(VLOOKUP(T269,Dex!$B$3:$N291,9,FALSE),"")</f>
        <v>131</v>
      </c>
      <c r="V283" s="716" t="str">
        <f t="array" ref="V283">IFERROR(VLOOKUP(U283,Dex!$P$22:$Q$276,2,FALSE),"")</f>
        <v/>
      </c>
      <c r="W283" s="717"/>
      <c r="X283" s="2350"/>
      <c r="Y283" s="714" t="s">
        <v>193</v>
      </c>
      <c r="Z283" s="715">
        <f t="array" ref="Z283">IFERROR(VLOOKUP(Y269,Dex!$B$3:$N291,9,FALSE),"")</f>
        <v>85</v>
      </c>
      <c r="AA283" s="716" t="str">
        <f t="array" ref="AA283">IFERROR(VLOOKUP(Z283,Dex!$P$22:$Q$276,2,FALSE),"")</f>
        <v/>
      </c>
      <c r="AB283" s="717"/>
      <c r="AC283" s="2350"/>
      <c r="AD283" s="714" t="s">
        <v>193</v>
      </c>
      <c r="AE283" s="715">
        <f t="array" ref="AE283">IFERROR(VLOOKUP(AD269,Dex!$B$3:$N291,9,FALSE),"")</f>
        <v>48</v>
      </c>
      <c r="AF283" s="716" t="str">
        <f t="array" ref="AF283">IFERROR(VLOOKUP(AE283,Dex!$P$22:$Q$276,2,FALSE),"")</f>
        <v/>
      </c>
      <c r="AG283" s="717"/>
      <c r="AH283" s="2351"/>
      <c r="AI283" s="5735"/>
    </row>
    <row r="284" ht="15.75" customHeight="1">
      <c r="A284" s="5726"/>
      <c r="B284" s="2345"/>
      <c r="C284" s="2338"/>
      <c r="D284" s="2346"/>
      <c r="E284" s="714" t="s">
        <v>194</v>
      </c>
      <c r="F284" s="715">
        <f t="array" ref="F284">IFERROR(VLOOKUP(E269,Dex!$B$3:$N291,10,FALSE),"")</f>
        <v>37</v>
      </c>
      <c r="G284" s="716" t="str">
        <f t="array" ref="G284">IFERROR(VLOOKUP(F284,Dex!$P$22:$Q$276,2,FALSE),"")</f>
        <v/>
      </c>
      <c r="H284" s="717">
        <v>4.0</v>
      </c>
      <c r="I284" s="2347"/>
      <c r="J284" s="714" t="s">
        <v>194</v>
      </c>
      <c r="K284" s="715">
        <f t="array" ref="K284">IFERROR(VLOOKUP(J269,Dex!$B$3:$N291,10,FALSE),"")</f>
        <v>150</v>
      </c>
      <c r="L284" s="716" t="str">
        <f t="array" ref="L284">IFERROR(VLOOKUP(K284,Dex!$P$22:$Q$276,2,FALSE),"")</f>
        <v/>
      </c>
      <c r="M284" s="717">
        <v>4.0</v>
      </c>
      <c r="N284" s="2348"/>
      <c r="O284" s="714" t="s">
        <v>194</v>
      </c>
      <c r="P284" s="715">
        <f t="array" ref="P284">IFERROR(VLOOKUP(O269,Dex!$B$3:$N291,10,FALSE),"")</f>
        <v>100</v>
      </c>
      <c r="Q284" s="716" t="str">
        <f t="array" ref="Q284">IFERROR(VLOOKUP(P284,Dex!$P$22:$Q$276,2,FALSE),"")</f>
        <v/>
      </c>
      <c r="R284" s="717">
        <v>4.0</v>
      </c>
      <c r="S284" s="2350"/>
      <c r="T284" s="714" t="s">
        <v>194</v>
      </c>
      <c r="U284" s="715">
        <f t="array" ref="U284">IFERROR(VLOOKUP(T269,Dex!$B$3:$N291,10,FALSE),"")</f>
        <v>95</v>
      </c>
      <c r="V284" s="716" t="str">
        <f t="array" ref="V284">IFERROR(VLOOKUP(U284,Dex!$P$22:$Q$276,2,FALSE),"")</f>
        <v/>
      </c>
      <c r="W284" s="717">
        <v>4.0</v>
      </c>
      <c r="X284" s="2350"/>
      <c r="Y284" s="714" t="s">
        <v>194</v>
      </c>
      <c r="Z284" s="715">
        <f t="array" ref="Z284">IFERROR(VLOOKUP(Y269,Dex!$B$3:$N291,10,FALSE),"")</f>
        <v>95</v>
      </c>
      <c r="AA284" s="716" t="str">
        <f t="array" ref="AA284">IFERROR(VLOOKUP(Z284,Dex!$P$22:$Q$276,2,FALSE),"")</f>
        <v/>
      </c>
      <c r="AB284" s="717">
        <v>4.0</v>
      </c>
      <c r="AC284" s="2350"/>
      <c r="AD284" s="714" t="s">
        <v>194</v>
      </c>
      <c r="AE284" s="715">
        <f t="array" ref="AE284">IFERROR(VLOOKUP(AD269,Dex!$B$3:$N291,10,FALSE),"")</f>
        <v>48</v>
      </c>
      <c r="AF284" s="716" t="str">
        <f t="array" ref="AF284">IFERROR(VLOOKUP(AE284,Dex!$P$22:$Q$276,2,FALSE),"")</f>
        <v/>
      </c>
      <c r="AG284" s="717">
        <v>4.0</v>
      </c>
      <c r="AH284" s="2351"/>
      <c r="AI284" s="5735"/>
    </row>
    <row r="285" ht="15.75" customHeight="1">
      <c r="A285" s="5726"/>
      <c r="B285" s="2345"/>
      <c r="C285" s="2338"/>
      <c r="D285" s="2346"/>
      <c r="E285" s="714" t="s">
        <v>195</v>
      </c>
      <c r="F285" s="715">
        <f t="array" ref="F285">IFERROR(VLOOKUP(E269,Dex!$B$3:$N291,11,FALSE),"")</f>
        <v>137</v>
      </c>
      <c r="G285" s="716" t="str">
        <f t="array" ref="G285">IFERROR(VLOOKUP(F285,Dex!$P$22:$Q$276,2,FALSE),"")</f>
        <v/>
      </c>
      <c r="H285" s="717"/>
      <c r="I285" s="2347"/>
      <c r="J285" s="714" t="s">
        <v>195</v>
      </c>
      <c r="K285" s="715">
        <f t="array" ref="K285">IFERROR(VLOOKUP(J269,Dex!$B$3:$N291,11,FALSE),"")</f>
        <v>105</v>
      </c>
      <c r="L285" s="716" t="str">
        <f t="array" ref="L285">IFERROR(VLOOKUP(K285,Dex!$P$22:$Q$276,2,FALSE),"")</f>
        <v/>
      </c>
      <c r="M285" s="717"/>
      <c r="N285" s="2348"/>
      <c r="O285" s="714" t="s">
        <v>195</v>
      </c>
      <c r="P285" s="715">
        <f t="array" ref="P285">IFERROR(VLOOKUP(O269,Dex!$B$3:$N291,11,FALSE),"")</f>
        <v>135</v>
      </c>
      <c r="Q285" s="716" t="str">
        <f t="array" ref="Q285">IFERROR(VLOOKUP(P285,Dex!$P$22:$Q$276,2,FALSE),"")</f>
        <v/>
      </c>
      <c r="R285" s="717">
        <v>252.0</v>
      </c>
      <c r="S285" s="2350"/>
      <c r="T285" s="714" t="s">
        <v>195</v>
      </c>
      <c r="U285" s="715">
        <f t="array" ref="U285">IFERROR(VLOOKUP(T269,Dex!$B$3:$N291,11,FALSE),"")</f>
        <v>131</v>
      </c>
      <c r="V285" s="716" t="str">
        <f t="array" ref="V285">IFERROR(VLOOKUP(U285,Dex!$P$22:$Q$276,2,FALSE),"")</f>
        <v/>
      </c>
      <c r="W285" s="717">
        <v>252.0</v>
      </c>
      <c r="X285" s="2350"/>
      <c r="Y285" s="714" t="s">
        <v>195</v>
      </c>
      <c r="Z285" s="715">
        <f t="array" ref="Z285">IFERROR(VLOOKUP(Y269,Dex!$B$3:$N291,11,FALSE),"")</f>
        <v>145</v>
      </c>
      <c r="AA285" s="716" t="str">
        <f t="array" ref="AA285">IFERROR(VLOOKUP(Z285,Dex!$P$22:$Q$276,2,FALSE),"")</f>
        <v/>
      </c>
      <c r="AB285" s="717">
        <v>252.0</v>
      </c>
      <c r="AC285" s="2350"/>
      <c r="AD285" s="714" t="s">
        <v>195</v>
      </c>
      <c r="AE285" s="715">
        <f t="array" ref="AE285">IFERROR(VLOOKUP(AD269,Dex!$B$3:$N291,11,FALSE),"")</f>
        <v>48</v>
      </c>
      <c r="AF285" s="716" t="str">
        <f t="array" ref="AF285">IFERROR(VLOOKUP(AE285,Dex!$P$22:$Q$276,2,FALSE),"")</f>
        <v/>
      </c>
      <c r="AG285" s="717"/>
      <c r="AH285" s="2351"/>
      <c r="AI285" s="5735"/>
    </row>
    <row r="286" ht="15.75" customHeight="1">
      <c r="A286" s="5726"/>
      <c r="B286" s="2345"/>
      <c r="C286" s="2338"/>
      <c r="D286" s="2346"/>
      <c r="E286" s="714" t="s">
        <v>196</v>
      </c>
      <c r="F286" s="715">
        <f t="array" ref="F286">IFERROR(VLOOKUP(E269,Dex!$B$3:$N291,12,FALSE),"")</f>
        <v>37</v>
      </c>
      <c r="G286" s="716" t="str">
        <f t="array" ref="G286">IFERROR(VLOOKUP(F286,Dex!$P$22:$Q$276,2,FALSE),"")</f>
        <v/>
      </c>
      <c r="H286" s="717"/>
      <c r="I286" s="2347"/>
      <c r="J286" s="714" t="s">
        <v>196</v>
      </c>
      <c r="K286" s="715">
        <f t="array" ref="K286">IFERROR(VLOOKUP(J269,Dex!$B$3:$N291,12,FALSE),"")</f>
        <v>110</v>
      </c>
      <c r="L286" s="716" t="str">
        <f t="array" ref="L286">IFERROR(VLOOKUP(K286,Dex!$P$22:$Q$276,2,FALSE),"")</f>
        <v/>
      </c>
      <c r="M286" s="717"/>
      <c r="N286" s="2348"/>
      <c r="O286" s="714" t="s">
        <v>196</v>
      </c>
      <c r="P286" s="715">
        <f t="array" ref="P286">IFERROR(VLOOKUP(O269,Dex!$B$3:$N291,12,FALSE),"")</f>
        <v>115</v>
      </c>
      <c r="Q286" s="716" t="str">
        <f t="array" ref="Q286">IFERROR(VLOOKUP(P286,Dex!$P$22:$Q$276,2,FALSE),"")</f>
        <v/>
      </c>
      <c r="R286" s="717"/>
      <c r="S286" s="2350"/>
      <c r="T286" s="714" t="s">
        <v>196</v>
      </c>
      <c r="U286" s="715">
        <f t="array" ref="U286">IFERROR(VLOOKUP(T269,Dex!$B$3:$N291,12,FALSE),"")</f>
        <v>98</v>
      </c>
      <c r="V286" s="716" t="str">
        <f t="array" ref="V286">IFERROR(VLOOKUP(U286,Dex!$P$22:$Q$276,2,FALSE),"")</f>
        <v/>
      </c>
      <c r="W286" s="717"/>
      <c r="X286" s="2350"/>
      <c r="Y286" s="714" t="s">
        <v>196</v>
      </c>
      <c r="Z286" s="715">
        <f t="array" ref="Z286">IFERROR(VLOOKUP(Y269,Dex!$B$3:$N291,12,FALSE),"")</f>
        <v>95</v>
      </c>
      <c r="AA286" s="716" t="str">
        <f t="array" ref="AA286">IFERROR(VLOOKUP(Z286,Dex!$P$22:$Q$276,2,FALSE),"")</f>
        <v/>
      </c>
      <c r="AB286" s="717"/>
      <c r="AC286" s="2350"/>
      <c r="AD286" s="714" t="s">
        <v>196</v>
      </c>
      <c r="AE286" s="715">
        <f t="array" ref="AE286">IFERROR(VLOOKUP(AD269,Dex!$B$3:$N291,12,FALSE),"")</f>
        <v>48</v>
      </c>
      <c r="AF286" s="716" t="str">
        <f t="array" ref="AF286">IFERROR(VLOOKUP(AE286,Dex!$P$22:$Q$276,2,FALSE),"")</f>
        <v/>
      </c>
      <c r="AG286" s="717"/>
      <c r="AH286" s="2351"/>
      <c r="AI286" s="5735"/>
    </row>
    <row r="287" ht="15.75" customHeight="1">
      <c r="A287" s="5726"/>
      <c r="B287" s="2345"/>
      <c r="C287" s="2338"/>
      <c r="D287" s="2346"/>
      <c r="E287" s="718" t="s">
        <v>197</v>
      </c>
      <c r="F287" s="719">
        <f t="array" ref="F287">IFERROR(VLOOKUP(E269,Dex!$B$3:$N291,13,FALSE),"")</f>
        <v>151</v>
      </c>
      <c r="G287" s="720" t="str">
        <f t="array" ref="G287">IFERROR(VLOOKUP(F287,Dex!$P$22:$Q$276,2,FALSE),"")</f>
        <v/>
      </c>
      <c r="H287" s="721">
        <v>252.0</v>
      </c>
      <c r="I287" s="2347"/>
      <c r="J287" s="718" t="s">
        <v>197</v>
      </c>
      <c r="K287" s="719">
        <f t="array" ref="K287">IFERROR(VLOOKUP(J269,Dex!$B$3:$N291,13,FALSE),"")</f>
        <v>110</v>
      </c>
      <c r="L287" s="720" t="str">
        <f t="array" ref="L287">IFERROR(VLOOKUP(K287,Dex!$P$22:$Q$276,2,FALSE),"")</f>
        <v/>
      </c>
      <c r="M287" s="721">
        <v>252.0</v>
      </c>
      <c r="N287" s="2348"/>
      <c r="O287" s="718" t="s">
        <v>197</v>
      </c>
      <c r="P287" s="719">
        <f t="array" ref="P287">IFERROR(VLOOKUP(O269,Dex!$B$3:$N291,13,FALSE),"")</f>
        <v>135</v>
      </c>
      <c r="Q287" s="720" t="str">
        <f t="array" ref="Q287">IFERROR(VLOOKUP(P287,Dex!$P$22:$Q$276,2,FALSE),"")</f>
        <v/>
      </c>
      <c r="R287" s="721">
        <v>252.0</v>
      </c>
      <c r="S287" s="2350"/>
      <c r="T287" s="718" t="s">
        <v>197</v>
      </c>
      <c r="U287" s="719">
        <f t="array" ref="U287">IFERROR(VLOOKUP(T269,Dex!$B$3:$N291,13,FALSE),"")</f>
        <v>99</v>
      </c>
      <c r="V287" s="720" t="str">
        <f t="array" ref="V287">IFERROR(VLOOKUP(U287,Dex!$P$22:$Q$276,2,FALSE),"")</f>
        <v/>
      </c>
      <c r="W287" s="721"/>
      <c r="X287" s="2350"/>
      <c r="Y287" s="718" t="s">
        <v>197</v>
      </c>
      <c r="Z287" s="719">
        <f t="array" ref="Z287">IFERROR(VLOOKUP(Y269,Dex!$B$3:$N291,13,FALSE),"")</f>
        <v>130</v>
      </c>
      <c r="AA287" s="720" t="str">
        <f t="array" ref="AA287">IFERROR(VLOOKUP(Z287,Dex!$P$22:$Q$276,2,FALSE),"")</f>
        <v/>
      </c>
      <c r="AB287" s="721">
        <v>252.0</v>
      </c>
      <c r="AC287" s="2350"/>
      <c r="AD287" s="718" t="s">
        <v>197</v>
      </c>
      <c r="AE287" s="719">
        <f t="array" ref="AE287">IFERROR(VLOOKUP(AD269,Dex!$B$3:$N291,13,FALSE),"")</f>
        <v>48</v>
      </c>
      <c r="AF287" s="720" t="str">
        <f t="array" ref="AF287">IFERROR(VLOOKUP(AE287,Dex!$P$22:$Q$276,2,FALSE),"")</f>
        <v/>
      </c>
      <c r="AG287" s="721">
        <v>252.0</v>
      </c>
      <c r="AH287" s="2351"/>
      <c r="AI287" s="5735"/>
    </row>
    <row r="288" ht="16.5" customHeight="1">
      <c r="A288" s="5726"/>
      <c r="B288" s="2345"/>
      <c r="C288" s="2338"/>
      <c r="D288" s="2346"/>
      <c r="E288" s="1431" t="s">
        <v>198</v>
      </c>
      <c r="F288" s="918"/>
      <c r="G288" s="919"/>
      <c r="H288" s="1432">
        <v>375.0</v>
      </c>
      <c r="I288" s="2383"/>
      <c r="J288" s="722" t="s">
        <v>198</v>
      </c>
      <c r="K288" s="405"/>
      <c r="L288" s="406"/>
      <c r="M288" s="723">
        <v>298.0</v>
      </c>
      <c r="N288" s="6114"/>
      <c r="O288" s="722" t="s">
        <v>198</v>
      </c>
      <c r="P288" s="405"/>
      <c r="Q288" s="406"/>
      <c r="R288" s="723">
        <v>344.0</v>
      </c>
      <c r="S288" s="6109"/>
      <c r="T288" s="722" t="s">
        <v>198</v>
      </c>
      <c r="U288" s="405"/>
      <c r="V288" s="406"/>
      <c r="W288" s="723">
        <v>199.0</v>
      </c>
      <c r="X288" s="6109"/>
      <c r="Y288" s="722" t="s">
        <v>198</v>
      </c>
      <c r="Z288" s="405"/>
      <c r="AA288" s="406"/>
      <c r="AB288" s="723">
        <v>335.0</v>
      </c>
      <c r="AC288" s="6109"/>
      <c r="AD288" s="1431" t="s">
        <v>198</v>
      </c>
      <c r="AE288" s="918"/>
      <c r="AF288" s="919"/>
      <c r="AG288" s="1432">
        <v>273.0</v>
      </c>
      <c r="AH288" s="2351"/>
      <c r="AI288" s="5735"/>
    </row>
    <row r="289" ht="16.5" customHeight="1">
      <c r="A289" s="5726"/>
      <c r="B289" s="6115"/>
      <c r="C289" s="6116"/>
      <c r="D289" s="6117"/>
      <c r="E289" s="1435" t="s">
        <v>411</v>
      </c>
      <c r="F289" s="925"/>
      <c r="G289" s="926"/>
      <c r="H289" s="1436">
        <v>562.0</v>
      </c>
      <c r="I289" s="6110"/>
      <c r="J289" s="4970"/>
      <c r="K289" s="4970"/>
      <c r="L289" s="4970"/>
      <c r="M289" s="2338"/>
      <c r="N289" s="6111"/>
      <c r="O289" s="4970"/>
      <c r="P289" s="4970"/>
      <c r="Q289" s="4970"/>
      <c r="R289" s="2338"/>
      <c r="S289" s="6112"/>
      <c r="T289" s="4970"/>
      <c r="U289" s="4970"/>
      <c r="V289" s="4970"/>
      <c r="W289" s="2338"/>
      <c r="X289" s="6112"/>
      <c r="Y289" s="4970"/>
      <c r="Z289" s="4970"/>
      <c r="AA289" s="4970"/>
      <c r="AB289" s="2338"/>
      <c r="AC289" s="6113"/>
      <c r="AD289" s="1435" t="s">
        <v>1487</v>
      </c>
      <c r="AE289" s="925"/>
      <c r="AF289" s="926"/>
      <c r="AG289" s="1436" t="s">
        <v>1488</v>
      </c>
      <c r="AH289" s="6118"/>
      <c r="AI289" s="5735"/>
    </row>
    <row r="290" ht="7.5" customHeight="1">
      <c r="A290" s="5726"/>
      <c r="B290" s="2385"/>
      <c r="C290" s="2386"/>
      <c r="D290" s="2387"/>
      <c r="E290" s="2388"/>
      <c r="F290" s="2388"/>
      <c r="G290" s="2388"/>
      <c r="H290" s="2388"/>
      <c r="I290" s="2387"/>
      <c r="J290" s="2388"/>
      <c r="K290" s="2388"/>
      <c r="L290" s="2388"/>
      <c r="M290" s="2388"/>
      <c r="N290" s="2387"/>
      <c r="O290" s="2387"/>
      <c r="P290" s="2387"/>
      <c r="Q290" s="2387"/>
      <c r="R290" s="2387"/>
      <c r="S290" s="2387"/>
      <c r="T290" s="2387"/>
      <c r="U290" s="2387"/>
      <c r="V290" s="2387"/>
      <c r="W290" s="2387"/>
      <c r="X290" s="2387"/>
      <c r="Y290" s="2387"/>
      <c r="Z290" s="2387"/>
      <c r="AA290" s="2387"/>
      <c r="AB290" s="2387"/>
      <c r="AC290" s="2387"/>
      <c r="AD290" s="2515"/>
      <c r="AE290" s="2515"/>
      <c r="AF290" s="2515"/>
      <c r="AG290" s="2387"/>
      <c r="AH290" s="2389"/>
      <c r="AI290" s="5735"/>
    </row>
    <row r="291" ht="3.75" customHeight="1">
      <c r="A291" s="5649"/>
      <c r="B291" s="6119"/>
      <c r="C291" s="6120"/>
      <c r="D291" s="6119"/>
      <c r="E291" s="6119"/>
      <c r="F291" s="6119"/>
      <c r="G291" s="6119"/>
      <c r="H291" s="6119"/>
      <c r="I291" s="6119"/>
      <c r="J291" s="6119"/>
      <c r="K291" s="6119"/>
      <c r="L291" s="6119"/>
      <c r="M291" s="6119"/>
      <c r="N291" s="6119"/>
      <c r="O291" s="6119"/>
      <c r="P291" s="6119"/>
      <c r="Q291" s="6119"/>
      <c r="R291" s="6119"/>
      <c r="S291" s="6119"/>
      <c r="T291" s="6119"/>
      <c r="U291" s="6119"/>
      <c r="V291" s="6119"/>
      <c r="W291" s="6119"/>
      <c r="X291" s="6119"/>
      <c r="Y291" s="6119"/>
      <c r="Z291" s="6119"/>
      <c r="AA291" s="6119"/>
      <c r="AB291" s="6119"/>
      <c r="AC291" s="6119"/>
      <c r="AD291" s="6119"/>
      <c r="AE291" s="6119"/>
      <c r="AF291" s="6119"/>
      <c r="AG291" s="6119"/>
      <c r="AH291" s="6119"/>
      <c r="AI291" s="5649"/>
    </row>
  </sheetData>
  <mergeCells count="913">
    <mergeCell ref="O150:Q150"/>
    <mergeCell ref="T150:V150"/>
    <mergeCell ref="I139:I150"/>
    <mergeCell ref="J139:M139"/>
    <mergeCell ref="N139:N150"/>
    <mergeCell ref="S139:S150"/>
    <mergeCell ref="T139:W139"/>
    <mergeCell ref="X139:X150"/>
    <mergeCell ref="J140:M140"/>
    <mergeCell ref="O149:Q149"/>
    <mergeCell ref="T149:V149"/>
    <mergeCell ref="E147:G147"/>
    <mergeCell ref="J147:L147"/>
    <mergeCell ref="E148:G148"/>
    <mergeCell ref="J148:L148"/>
    <mergeCell ref="E149:G149"/>
    <mergeCell ref="J149:L149"/>
    <mergeCell ref="J150:L150"/>
    <mergeCell ref="O139:R139"/>
    <mergeCell ref="O140:R140"/>
    <mergeCell ref="T140:W140"/>
    <mergeCell ref="T141:W141"/>
    <mergeCell ref="T144:W144"/>
    <mergeCell ref="T145:W145"/>
    <mergeCell ref="O147:Q147"/>
    <mergeCell ref="T147:V147"/>
    <mergeCell ref="O148:Q148"/>
    <mergeCell ref="T148:V148"/>
    <mergeCell ref="E150:G150"/>
    <mergeCell ref="E152:G152"/>
    <mergeCell ref="J152:L152"/>
    <mergeCell ref="O152:Q152"/>
    <mergeCell ref="T152:V152"/>
    <mergeCell ref="Y152:AA152"/>
    <mergeCell ref="E159:G159"/>
    <mergeCell ref="J159:L159"/>
    <mergeCell ref="O159:Q159"/>
    <mergeCell ref="T159:V159"/>
    <mergeCell ref="Y159:AA159"/>
    <mergeCell ref="AD159:AF159"/>
    <mergeCell ref="T160:V160"/>
    <mergeCell ref="O166:R166"/>
    <mergeCell ref="T166:W166"/>
    <mergeCell ref="J166:M166"/>
    <mergeCell ref="Y166:AB166"/>
    <mergeCell ref="E166:H166"/>
    <mergeCell ref="AD166:AG166"/>
    <mergeCell ref="C167:C168"/>
    <mergeCell ref="E167:H167"/>
    <mergeCell ref="E168:H168"/>
    <mergeCell ref="J167:M167"/>
    <mergeCell ref="O167:R167"/>
    <mergeCell ref="T167:W167"/>
    <mergeCell ref="Y167:AB167"/>
    <mergeCell ref="C169:C171"/>
    <mergeCell ref="K169:L169"/>
    <mergeCell ref="AD167:AG167"/>
    <mergeCell ref="J168:M168"/>
    <mergeCell ref="O168:R168"/>
    <mergeCell ref="T168:W168"/>
    <mergeCell ref="Y168:AB168"/>
    <mergeCell ref="AD168:AG168"/>
    <mergeCell ref="E171:H171"/>
    <mergeCell ref="J171:M171"/>
    <mergeCell ref="O171:R171"/>
    <mergeCell ref="T171:W171"/>
    <mergeCell ref="Y171:AB171"/>
    <mergeCell ref="AD171:AG171"/>
    <mergeCell ref="C172:C174"/>
    <mergeCell ref="E172:H172"/>
    <mergeCell ref="E173:G173"/>
    <mergeCell ref="J172:M172"/>
    <mergeCell ref="O172:R172"/>
    <mergeCell ref="T172:W172"/>
    <mergeCell ref="Y172:AB172"/>
    <mergeCell ref="O173:Q173"/>
    <mergeCell ref="T173:V173"/>
    <mergeCell ref="AD172:AG172"/>
    <mergeCell ref="AD173:AF173"/>
    <mergeCell ref="E174:G174"/>
    <mergeCell ref="O174:Q174"/>
    <mergeCell ref="Y173:AA173"/>
    <mergeCell ref="Y174:AA174"/>
    <mergeCell ref="T174:V174"/>
    <mergeCell ref="E175:G175"/>
    <mergeCell ref="O175:Q175"/>
    <mergeCell ref="T175:V175"/>
    <mergeCell ref="AD174:AF174"/>
    <mergeCell ref="AD175:AF175"/>
    <mergeCell ref="E176:G176"/>
    <mergeCell ref="O176:Q176"/>
    <mergeCell ref="T218:W218"/>
    <mergeCell ref="Y218:AB218"/>
    <mergeCell ref="C219:C220"/>
    <mergeCell ref="E219:H219"/>
    <mergeCell ref="Y219:AB219"/>
    <mergeCell ref="J220:M220"/>
    <mergeCell ref="C221:C223"/>
    <mergeCell ref="J219:M219"/>
    <mergeCell ref="J223:M223"/>
    <mergeCell ref="C224:C226"/>
    <mergeCell ref="E224:H224"/>
    <mergeCell ref="J224:M224"/>
    <mergeCell ref="E225:G225"/>
    <mergeCell ref="E226:G226"/>
    <mergeCell ref="O205:Q205"/>
    <mergeCell ref="T205:V205"/>
    <mergeCell ref="Y205:AA205"/>
    <mergeCell ref="AD205:AF205"/>
    <mergeCell ref="J192:M192"/>
    <mergeCell ref="N192:N203"/>
    <mergeCell ref="S192:S203"/>
    <mergeCell ref="T192:W192"/>
    <mergeCell ref="X192:X203"/>
    <mergeCell ref="AC192:AC203"/>
    <mergeCell ref="Y197:AB197"/>
    <mergeCell ref="J193:M193"/>
    <mergeCell ref="J198:M198"/>
    <mergeCell ref="E205:G205"/>
    <mergeCell ref="J205:L205"/>
    <mergeCell ref="E212:G212"/>
    <mergeCell ref="O212:Q212"/>
    <mergeCell ref="O213:Q213"/>
    <mergeCell ref="T212:V212"/>
    <mergeCell ref="Y212:AA212"/>
    <mergeCell ref="AD212:AF212"/>
    <mergeCell ref="E216:AG216"/>
    <mergeCell ref="E218:H218"/>
    <mergeCell ref="J218:M218"/>
    <mergeCell ref="O218:R218"/>
    <mergeCell ref="AD218:AG218"/>
    <mergeCell ref="O219:R219"/>
    <mergeCell ref="T219:W219"/>
    <mergeCell ref="AD219:AG219"/>
    <mergeCell ref="E220:H220"/>
    <mergeCell ref="E223:H223"/>
    <mergeCell ref="AD226:AF226"/>
    <mergeCell ref="AD227:AF227"/>
    <mergeCell ref="AD228:AF228"/>
    <mergeCell ref="AD229:AF229"/>
    <mergeCell ref="O220:R220"/>
    <mergeCell ref="T220:W220"/>
    <mergeCell ref="AD220:AG220"/>
    <mergeCell ref="AE221:AF221"/>
    <mergeCell ref="AD223:AG223"/>
    <mergeCell ref="AD224:AG224"/>
    <mergeCell ref="AD225:AF225"/>
    <mergeCell ref="Y223:AB223"/>
    <mergeCell ref="O224:R224"/>
    <mergeCell ref="T224:W224"/>
    <mergeCell ref="Y224:AB224"/>
    <mergeCell ref="T228:V228"/>
    <mergeCell ref="Y228:AA228"/>
    <mergeCell ref="J229:L229"/>
    <mergeCell ref="O229:Q229"/>
    <mergeCell ref="T229:V229"/>
    <mergeCell ref="Y229:AA229"/>
    <mergeCell ref="J212:L212"/>
    <mergeCell ref="I218:I229"/>
    <mergeCell ref="N218:N229"/>
    <mergeCell ref="S218:S229"/>
    <mergeCell ref="X218:X229"/>
    <mergeCell ref="AC218:AC229"/>
    <mergeCell ref="Y220:AB220"/>
    <mergeCell ref="E238:G238"/>
    <mergeCell ref="J238:L238"/>
    <mergeCell ref="O238:Q238"/>
    <mergeCell ref="T238:V238"/>
    <mergeCell ref="Y238:AA238"/>
    <mergeCell ref="AD238:AF238"/>
    <mergeCell ref="E239:G239"/>
    <mergeCell ref="AD239:AF239"/>
    <mergeCell ref="E241:AG241"/>
    <mergeCell ref="E243:H243"/>
    <mergeCell ref="J243:M243"/>
    <mergeCell ref="O243:R243"/>
    <mergeCell ref="T243:W243"/>
    <mergeCell ref="Y243:AB243"/>
    <mergeCell ref="O223:R223"/>
    <mergeCell ref="T223:W223"/>
    <mergeCell ref="O225:Q225"/>
    <mergeCell ref="T225:V225"/>
    <mergeCell ref="Y225:AA225"/>
    <mergeCell ref="O226:Q226"/>
    <mergeCell ref="T226:V226"/>
    <mergeCell ref="Y226:AA226"/>
    <mergeCell ref="O227:Q227"/>
    <mergeCell ref="T227:V227"/>
    <mergeCell ref="Y227:AA227"/>
    <mergeCell ref="O228:Q228"/>
    <mergeCell ref="O231:Q231"/>
    <mergeCell ref="T231:V231"/>
    <mergeCell ref="Y231:AA231"/>
    <mergeCell ref="AD231:AF231"/>
    <mergeCell ref="AD251:AF251"/>
    <mergeCell ref="AD252:AF252"/>
    <mergeCell ref="AD253:AF253"/>
    <mergeCell ref="AD254:AF254"/>
    <mergeCell ref="AD243:AG243"/>
    <mergeCell ref="AD244:AG244"/>
    <mergeCell ref="AD245:AG245"/>
    <mergeCell ref="AE246:AF246"/>
    <mergeCell ref="AD248:AG248"/>
    <mergeCell ref="AD249:AG249"/>
    <mergeCell ref="AD250:AF250"/>
    <mergeCell ref="T249:W249"/>
    <mergeCell ref="Y249:AB249"/>
    <mergeCell ref="J254:L254"/>
    <mergeCell ref="O254:Q254"/>
    <mergeCell ref="T254:V254"/>
    <mergeCell ref="Y254:AA254"/>
    <mergeCell ref="J225:L225"/>
    <mergeCell ref="J226:L226"/>
    <mergeCell ref="I243:I254"/>
    <mergeCell ref="N243:N254"/>
    <mergeCell ref="S243:S254"/>
    <mergeCell ref="X243:X254"/>
    <mergeCell ref="AC243:AC254"/>
    <mergeCell ref="T248:W248"/>
    <mergeCell ref="Y248:AB248"/>
    <mergeCell ref="J249:M249"/>
    <mergeCell ref="O249:R249"/>
    <mergeCell ref="J250:L250"/>
    <mergeCell ref="O250:Q250"/>
    <mergeCell ref="T250:V250"/>
    <mergeCell ref="Y250:AA250"/>
    <mergeCell ref="J251:L251"/>
    <mergeCell ref="O251:Q251"/>
    <mergeCell ref="T251:V251"/>
    <mergeCell ref="Y251:AA251"/>
    <mergeCell ref="J252:L252"/>
    <mergeCell ref="O252:Q252"/>
    <mergeCell ref="E227:G227"/>
    <mergeCell ref="J227:L227"/>
    <mergeCell ref="E228:G228"/>
    <mergeCell ref="J228:L228"/>
    <mergeCell ref="E229:G229"/>
    <mergeCell ref="E231:G231"/>
    <mergeCell ref="J231:L231"/>
    <mergeCell ref="J244:M244"/>
    <mergeCell ref="O244:R244"/>
    <mergeCell ref="T244:W244"/>
    <mergeCell ref="Y244:AB244"/>
    <mergeCell ref="J245:M245"/>
    <mergeCell ref="O245:R245"/>
    <mergeCell ref="T245:W245"/>
    <mergeCell ref="Y245:AB245"/>
    <mergeCell ref="J248:M248"/>
    <mergeCell ref="O248:R248"/>
    <mergeCell ref="C244:C245"/>
    <mergeCell ref="E244:H244"/>
    <mergeCell ref="E245:H245"/>
    <mergeCell ref="C246:C248"/>
    <mergeCell ref="E248:H248"/>
    <mergeCell ref="C249:C251"/>
    <mergeCell ref="E249:H249"/>
    <mergeCell ref="E253:G253"/>
    <mergeCell ref="T35:W35"/>
    <mergeCell ref="Y35:AB35"/>
    <mergeCell ref="O36:R36"/>
    <mergeCell ref="T36:W36"/>
    <mergeCell ref="C35:C36"/>
    <mergeCell ref="C37:C41"/>
    <mergeCell ref="J39:M39"/>
    <mergeCell ref="O39:R39"/>
    <mergeCell ref="O44:Q44"/>
    <mergeCell ref="T44:V44"/>
    <mergeCell ref="Y44:AA44"/>
    <mergeCell ref="AD44:AF44"/>
    <mergeCell ref="AD45:AF45"/>
    <mergeCell ref="T39:W39"/>
    <mergeCell ref="Y39:AB39"/>
    <mergeCell ref="AD39:AG39"/>
    <mergeCell ref="AD40:AG40"/>
    <mergeCell ref="AD41:AF41"/>
    <mergeCell ref="AD42:AF42"/>
    <mergeCell ref="AD43:AF43"/>
    <mergeCell ref="E44:G44"/>
    <mergeCell ref="E45:G45"/>
    <mergeCell ref="E36:H36"/>
    <mergeCell ref="J36:M36"/>
    <mergeCell ref="E35:H35"/>
    <mergeCell ref="E39:H39"/>
    <mergeCell ref="E40:H40"/>
    <mergeCell ref="E41:G41"/>
    <mergeCell ref="E42:G42"/>
    <mergeCell ref="E43:G43"/>
    <mergeCell ref="J44:L44"/>
    <mergeCell ref="E47:G47"/>
    <mergeCell ref="J47:L47"/>
    <mergeCell ref="E54:G54"/>
    <mergeCell ref="O54:Q54"/>
    <mergeCell ref="T54:V54"/>
    <mergeCell ref="Y54:AA54"/>
    <mergeCell ref="AD54:AF54"/>
    <mergeCell ref="E61:H61"/>
    <mergeCell ref="C62:C63"/>
    <mergeCell ref="E62:H62"/>
    <mergeCell ref="E63:H63"/>
    <mergeCell ref="J62:M62"/>
    <mergeCell ref="O62:R62"/>
    <mergeCell ref="T62:W62"/>
    <mergeCell ref="Y62:AB62"/>
    <mergeCell ref="AD62:AG62"/>
    <mergeCell ref="J63:M63"/>
    <mergeCell ref="O63:R63"/>
    <mergeCell ref="T63:W63"/>
    <mergeCell ref="Y63:AB63"/>
    <mergeCell ref="AD63:AG63"/>
    <mergeCell ref="O7:R7"/>
    <mergeCell ref="T7:W7"/>
    <mergeCell ref="J7:M7"/>
    <mergeCell ref="Y7:AB7"/>
    <mergeCell ref="E7:H7"/>
    <mergeCell ref="AD7:AG7"/>
    <mergeCell ref="C8:C9"/>
    <mergeCell ref="E8:H8"/>
    <mergeCell ref="E9:H9"/>
    <mergeCell ref="C10:C12"/>
    <mergeCell ref="F10:G10"/>
    <mergeCell ref="E12:H12"/>
    <mergeCell ref="J8:M8"/>
    <mergeCell ref="O8:R8"/>
    <mergeCell ref="T8:W8"/>
    <mergeCell ref="Y8:AB8"/>
    <mergeCell ref="AD8:AG8"/>
    <mergeCell ref="J9:M9"/>
    <mergeCell ref="O9:R9"/>
    <mergeCell ref="T9:W9"/>
    <mergeCell ref="Y9:AB9"/>
    <mergeCell ref="AD9:AG9"/>
    <mergeCell ref="N7:N18"/>
    <mergeCell ref="J12:M12"/>
    <mergeCell ref="J13:M13"/>
    <mergeCell ref="J14:L14"/>
    <mergeCell ref="O12:R12"/>
    <mergeCell ref="T12:W12"/>
    <mergeCell ref="Y12:AB12"/>
    <mergeCell ref="AD12:AG12"/>
    <mergeCell ref="E13:H13"/>
    <mergeCell ref="O13:R13"/>
    <mergeCell ref="T13:W13"/>
    <mergeCell ref="Y13:AB13"/>
    <mergeCell ref="O14:Q14"/>
    <mergeCell ref="T14:V14"/>
    <mergeCell ref="O18:Q18"/>
    <mergeCell ref="T18:V18"/>
    <mergeCell ref="Y18:AA18"/>
    <mergeCell ref="AD13:AG13"/>
    <mergeCell ref="AD14:AF14"/>
    <mergeCell ref="AD18:AF18"/>
    <mergeCell ref="J15:L15"/>
    <mergeCell ref="O15:Q15"/>
    <mergeCell ref="Y14:AA14"/>
    <mergeCell ref="Y15:AA15"/>
    <mergeCell ref="T15:V15"/>
    <mergeCell ref="J16:L16"/>
    <mergeCell ref="O16:Q16"/>
    <mergeCell ref="T16:V16"/>
    <mergeCell ref="AD15:AF15"/>
    <mergeCell ref="AD16:AF16"/>
    <mergeCell ref="J17:L17"/>
    <mergeCell ref="O17:Q17"/>
    <mergeCell ref="Y16:AA16"/>
    <mergeCell ref="Y17:AA17"/>
    <mergeCell ref="T17:V17"/>
    <mergeCell ref="J18:L18"/>
    <mergeCell ref="O20:Q20"/>
    <mergeCell ref="T20:V20"/>
    <mergeCell ref="Y20:AA20"/>
    <mergeCell ref="AD20:AF20"/>
    <mergeCell ref="E3:AG4"/>
    <mergeCell ref="E6:AG6"/>
    <mergeCell ref="S7:S18"/>
    <mergeCell ref="X7:X18"/>
    <mergeCell ref="AC7:AC18"/>
    <mergeCell ref="Z10:AA10"/>
    <mergeCell ref="AD17:AF17"/>
    <mergeCell ref="E20:G20"/>
    <mergeCell ref="E27:G27"/>
    <mergeCell ref="J27:L27"/>
    <mergeCell ref="O27:Q27"/>
    <mergeCell ref="T27:V27"/>
    <mergeCell ref="Y27:AA27"/>
    <mergeCell ref="AD27:AF27"/>
    <mergeCell ref="I7:I18"/>
    <mergeCell ref="E14:G14"/>
    <mergeCell ref="E15:G15"/>
    <mergeCell ref="E16:G16"/>
    <mergeCell ref="E17:G17"/>
    <mergeCell ref="E18:G18"/>
    <mergeCell ref="J20:L20"/>
    <mergeCell ref="Y34:AB34"/>
    <mergeCell ref="AD34:AG34"/>
    <mergeCell ref="AD35:AG35"/>
    <mergeCell ref="AD36:AG36"/>
    <mergeCell ref="O28:Q28"/>
    <mergeCell ref="E30:AG31"/>
    <mergeCell ref="E33:AG33"/>
    <mergeCell ref="E34:H34"/>
    <mergeCell ref="J34:M34"/>
    <mergeCell ref="O34:R34"/>
    <mergeCell ref="T34:W34"/>
    <mergeCell ref="J35:M35"/>
    <mergeCell ref="O35:R35"/>
    <mergeCell ref="T40:W40"/>
    <mergeCell ref="Y40:AB40"/>
    <mergeCell ref="J45:L45"/>
    <mergeCell ref="O45:Q45"/>
    <mergeCell ref="O47:Q47"/>
    <mergeCell ref="T47:V47"/>
    <mergeCell ref="Y47:AA47"/>
    <mergeCell ref="AD47:AF47"/>
    <mergeCell ref="T45:V45"/>
    <mergeCell ref="Y45:AA45"/>
    <mergeCell ref="I34:I45"/>
    <mergeCell ref="N34:N45"/>
    <mergeCell ref="S34:S45"/>
    <mergeCell ref="X34:X45"/>
    <mergeCell ref="AC34:AC45"/>
    <mergeCell ref="Y36:AB36"/>
    <mergeCell ref="K37:L37"/>
    <mergeCell ref="J40:M40"/>
    <mergeCell ref="O40:R40"/>
    <mergeCell ref="J41:L41"/>
    <mergeCell ref="O41:Q41"/>
    <mergeCell ref="T41:V41"/>
    <mergeCell ref="Y41:AA41"/>
    <mergeCell ref="J42:L42"/>
    <mergeCell ref="O42:Q42"/>
    <mergeCell ref="T42:V42"/>
    <mergeCell ref="Y42:AA42"/>
    <mergeCell ref="J43:L43"/>
    <mergeCell ref="O43:Q43"/>
    <mergeCell ref="T43:V43"/>
    <mergeCell ref="Y43:AA43"/>
    <mergeCell ref="C64:C68"/>
    <mergeCell ref="E66:H66"/>
    <mergeCell ref="E67:H67"/>
    <mergeCell ref="E68:G68"/>
    <mergeCell ref="J66:M66"/>
    <mergeCell ref="O66:R66"/>
    <mergeCell ref="T66:W66"/>
    <mergeCell ref="Y66:AB66"/>
    <mergeCell ref="AD66:AG66"/>
    <mergeCell ref="J67:M67"/>
    <mergeCell ref="O67:R67"/>
    <mergeCell ref="T67:W67"/>
    <mergeCell ref="Y67:AB67"/>
    <mergeCell ref="AD67:AG67"/>
    <mergeCell ref="J68:L68"/>
    <mergeCell ref="O68:Q68"/>
    <mergeCell ref="T68:V68"/>
    <mergeCell ref="Y68:AA68"/>
    <mergeCell ref="T92:W92"/>
    <mergeCell ref="J93:M93"/>
    <mergeCell ref="O93:R93"/>
    <mergeCell ref="T93:W93"/>
    <mergeCell ref="T96:V96"/>
    <mergeCell ref="J97:L97"/>
    <mergeCell ref="O97:Q97"/>
    <mergeCell ref="T97:V97"/>
    <mergeCell ref="O82:Q82"/>
    <mergeCell ref="J87:M87"/>
    <mergeCell ref="N87:N98"/>
    <mergeCell ref="S87:S98"/>
    <mergeCell ref="T87:W87"/>
    <mergeCell ref="X87:X98"/>
    <mergeCell ref="O89:R89"/>
    <mergeCell ref="T98:V98"/>
    <mergeCell ref="J98:L98"/>
    <mergeCell ref="O98:Q98"/>
    <mergeCell ref="J100:L100"/>
    <mergeCell ref="O100:Q100"/>
    <mergeCell ref="T100:V100"/>
    <mergeCell ref="O107:Q107"/>
    <mergeCell ref="T107:V107"/>
    <mergeCell ref="T115:W115"/>
    <mergeCell ref="T116:W116"/>
    <mergeCell ref="T119:W119"/>
    <mergeCell ref="T120:W120"/>
    <mergeCell ref="T121:V121"/>
    <mergeCell ref="T122:V122"/>
    <mergeCell ref="T108:V108"/>
    <mergeCell ref="C110:AG110"/>
    <mergeCell ref="E111:AG112"/>
    <mergeCell ref="E114:H114"/>
    <mergeCell ref="J114:M114"/>
    <mergeCell ref="O114:R114"/>
    <mergeCell ref="T114:W114"/>
    <mergeCell ref="Y93:AB93"/>
    <mergeCell ref="AD93:AG93"/>
    <mergeCell ref="Y95:AA95"/>
    <mergeCell ref="AD95:AF95"/>
    <mergeCell ref="Y96:AA96"/>
    <mergeCell ref="AD96:AF96"/>
    <mergeCell ref="Y97:AA97"/>
    <mergeCell ref="AD97:AF97"/>
    <mergeCell ref="Y87:AB87"/>
    <mergeCell ref="AC87:AC98"/>
    <mergeCell ref="AD87:AG87"/>
    <mergeCell ref="Y88:AB88"/>
    <mergeCell ref="AD88:AG88"/>
    <mergeCell ref="Y89:AB89"/>
    <mergeCell ref="AD89:AG89"/>
    <mergeCell ref="AD114:AG114"/>
    <mergeCell ref="AD115:AG115"/>
    <mergeCell ref="AD116:AG116"/>
    <mergeCell ref="AD119:AG119"/>
    <mergeCell ref="AD120:AG120"/>
    <mergeCell ref="AD121:AF121"/>
    <mergeCell ref="AD122:AF122"/>
    <mergeCell ref="E92:H92"/>
    <mergeCell ref="E93:H93"/>
    <mergeCell ref="E94:G94"/>
    <mergeCell ref="E95:G95"/>
    <mergeCell ref="E81:G81"/>
    <mergeCell ref="E87:H87"/>
    <mergeCell ref="I87:I98"/>
    <mergeCell ref="C88:C89"/>
    <mergeCell ref="E88:H88"/>
    <mergeCell ref="E89:H89"/>
    <mergeCell ref="C90:C94"/>
    <mergeCell ref="E98:G98"/>
    <mergeCell ref="E107:G107"/>
    <mergeCell ref="C115:C116"/>
    <mergeCell ref="C117:C121"/>
    <mergeCell ref="E115:H115"/>
    <mergeCell ref="J115:M115"/>
    <mergeCell ref="O115:R115"/>
    <mergeCell ref="E116:H116"/>
    <mergeCell ref="J116:M116"/>
    <mergeCell ref="O116:R116"/>
    <mergeCell ref="E119:H119"/>
    <mergeCell ref="J119:M119"/>
    <mergeCell ref="F142:G142"/>
    <mergeCell ref="E144:H144"/>
    <mergeCell ref="E145:H145"/>
    <mergeCell ref="J145:M145"/>
    <mergeCell ref="J146:L146"/>
    <mergeCell ref="O146:Q146"/>
    <mergeCell ref="T146:V146"/>
    <mergeCell ref="C142:C146"/>
    <mergeCell ref="E146:G146"/>
    <mergeCell ref="E139:H139"/>
    <mergeCell ref="C140:C141"/>
    <mergeCell ref="E140:H140"/>
    <mergeCell ref="E141:H141"/>
    <mergeCell ref="J141:M141"/>
    <mergeCell ref="O141:R141"/>
    <mergeCell ref="O145:R145"/>
    <mergeCell ref="O119:R119"/>
    <mergeCell ref="E120:H120"/>
    <mergeCell ref="J120:M120"/>
    <mergeCell ref="O120:R120"/>
    <mergeCell ref="O121:Q121"/>
    <mergeCell ref="E122:G122"/>
    <mergeCell ref="J122:L122"/>
    <mergeCell ref="O122:Q122"/>
    <mergeCell ref="E123:G123"/>
    <mergeCell ref="J123:L123"/>
    <mergeCell ref="T123:V123"/>
    <mergeCell ref="O123:Q123"/>
    <mergeCell ref="E124:G124"/>
    <mergeCell ref="J124:L124"/>
    <mergeCell ref="O124:Q124"/>
    <mergeCell ref="T124:V124"/>
    <mergeCell ref="E125:G125"/>
    <mergeCell ref="J125:L125"/>
    <mergeCell ref="T125:V125"/>
    <mergeCell ref="E96:G96"/>
    <mergeCell ref="E97:G97"/>
    <mergeCell ref="E100:G100"/>
    <mergeCell ref="J107:L107"/>
    <mergeCell ref="I114:I125"/>
    <mergeCell ref="N114:N125"/>
    <mergeCell ref="S114:S125"/>
    <mergeCell ref="J144:M144"/>
    <mergeCell ref="O144:R144"/>
    <mergeCell ref="Y55:AA55"/>
    <mergeCell ref="E58:AG59"/>
    <mergeCell ref="J61:M61"/>
    <mergeCell ref="O61:R61"/>
    <mergeCell ref="T61:W61"/>
    <mergeCell ref="Y61:AB61"/>
    <mergeCell ref="AD61:AG61"/>
    <mergeCell ref="O72:Q72"/>
    <mergeCell ref="T72:V72"/>
    <mergeCell ref="Y72:AA72"/>
    <mergeCell ref="AD72:AF72"/>
    <mergeCell ref="J54:L54"/>
    <mergeCell ref="J55:L55"/>
    <mergeCell ref="N61:N72"/>
    <mergeCell ref="S61:S72"/>
    <mergeCell ref="X61:X72"/>
    <mergeCell ref="AC61:AC72"/>
    <mergeCell ref="AD68:AF68"/>
    <mergeCell ref="J71:L71"/>
    <mergeCell ref="O71:Q71"/>
    <mergeCell ref="J74:L74"/>
    <mergeCell ref="O74:Q74"/>
    <mergeCell ref="T74:V74"/>
    <mergeCell ref="Y74:AA74"/>
    <mergeCell ref="AD74:AF74"/>
    <mergeCell ref="J69:L69"/>
    <mergeCell ref="O69:Q69"/>
    <mergeCell ref="O81:Q81"/>
    <mergeCell ref="T81:V81"/>
    <mergeCell ref="Y81:AA81"/>
    <mergeCell ref="AD81:AF81"/>
    <mergeCell ref="E84:AG85"/>
    <mergeCell ref="T69:V69"/>
    <mergeCell ref="Y69:AA69"/>
    <mergeCell ref="AD69:AF69"/>
    <mergeCell ref="J70:L70"/>
    <mergeCell ref="O70:Q70"/>
    <mergeCell ref="T70:V70"/>
    <mergeCell ref="Y70:AA70"/>
    <mergeCell ref="AD70:AF70"/>
    <mergeCell ref="T71:V71"/>
    <mergeCell ref="Y71:AA71"/>
    <mergeCell ref="AD71:AF71"/>
    <mergeCell ref="J72:L72"/>
    <mergeCell ref="I61:I72"/>
    <mergeCell ref="E69:G69"/>
    <mergeCell ref="E70:G70"/>
    <mergeCell ref="E71:G71"/>
    <mergeCell ref="E72:G72"/>
    <mergeCell ref="E74:G74"/>
    <mergeCell ref="J81:L81"/>
    <mergeCell ref="Y92:AB92"/>
    <mergeCell ref="AD92:AG92"/>
    <mergeCell ref="Y94:AA94"/>
    <mergeCell ref="AD94:AF94"/>
    <mergeCell ref="O87:R87"/>
    <mergeCell ref="O88:R88"/>
    <mergeCell ref="J88:M88"/>
    <mergeCell ref="J89:M89"/>
    <mergeCell ref="T88:W88"/>
    <mergeCell ref="T89:W89"/>
    <mergeCell ref="J92:M92"/>
    <mergeCell ref="O92:R92"/>
    <mergeCell ref="J94:L94"/>
    <mergeCell ref="O94:Q94"/>
    <mergeCell ref="T94:V94"/>
    <mergeCell ref="J95:L95"/>
    <mergeCell ref="O95:Q95"/>
    <mergeCell ref="T95:V95"/>
    <mergeCell ref="J96:L96"/>
    <mergeCell ref="O96:Q96"/>
    <mergeCell ref="O125:Q125"/>
    <mergeCell ref="E127:G127"/>
    <mergeCell ref="J127:L127"/>
    <mergeCell ref="O127:Q127"/>
    <mergeCell ref="T127:V127"/>
    <mergeCell ref="E121:G121"/>
    <mergeCell ref="J121:L121"/>
    <mergeCell ref="E134:G134"/>
    <mergeCell ref="J134:L134"/>
    <mergeCell ref="O134:Q134"/>
    <mergeCell ref="T134:V134"/>
    <mergeCell ref="E136:AG137"/>
    <mergeCell ref="Y122:AA122"/>
    <mergeCell ref="Y123:AA123"/>
    <mergeCell ref="Y134:AA134"/>
    <mergeCell ref="Y139:AB139"/>
    <mergeCell ref="AC139:AC150"/>
    <mergeCell ref="Y140:AB140"/>
    <mergeCell ref="Y141:AB141"/>
    <mergeCell ref="Y150:AA150"/>
    <mergeCell ref="AD149:AF149"/>
    <mergeCell ref="AD150:AF150"/>
    <mergeCell ref="AD152:AF152"/>
    <mergeCell ref="Y125:AA125"/>
    <mergeCell ref="Y127:AA127"/>
    <mergeCell ref="AD127:AF127"/>
    <mergeCell ref="AD134:AF134"/>
    <mergeCell ref="AD139:AG139"/>
    <mergeCell ref="AD140:AG140"/>
    <mergeCell ref="AD141:AG141"/>
    <mergeCell ref="AD123:AF123"/>
    <mergeCell ref="Y124:AA124"/>
    <mergeCell ref="AD124:AF124"/>
    <mergeCell ref="Y98:AA98"/>
    <mergeCell ref="AD98:AF98"/>
    <mergeCell ref="Y100:AA100"/>
    <mergeCell ref="AD100:AF100"/>
    <mergeCell ref="Y107:AA107"/>
    <mergeCell ref="AD107:AF107"/>
    <mergeCell ref="X114:X125"/>
    <mergeCell ref="AD125:AF125"/>
    <mergeCell ref="Y114:AB114"/>
    <mergeCell ref="AC114:AC125"/>
    <mergeCell ref="Y115:AB115"/>
    <mergeCell ref="Y116:AB116"/>
    <mergeCell ref="Y119:AB119"/>
    <mergeCell ref="Y120:AB120"/>
    <mergeCell ref="Y121:AA121"/>
    <mergeCell ref="Y144:AB144"/>
    <mergeCell ref="Y145:AB145"/>
    <mergeCell ref="AD144:AG144"/>
    <mergeCell ref="AD145:AG145"/>
    <mergeCell ref="AD146:AF146"/>
    <mergeCell ref="AD147:AF147"/>
    <mergeCell ref="AD148:AF148"/>
    <mergeCell ref="Y146:AA146"/>
    <mergeCell ref="Y147:AA147"/>
    <mergeCell ref="Y148:AA148"/>
    <mergeCell ref="Y149:AA149"/>
    <mergeCell ref="Y192:AB192"/>
    <mergeCell ref="AD192:AG192"/>
    <mergeCell ref="O192:R192"/>
    <mergeCell ref="O193:R193"/>
    <mergeCell ref="T193:W193"/>
    <mergeCell ref="Y193:AB193"/>
    <mergeCell ref="AD193:AG193"/>
    <mergeCell ref="J194:M194"/>
    <mergeCell ref="O194:R194"/>
    <mergeCell ref="T194:W194"/>
    <mergeCell ref="Y194:AB194"/>
    <mergeCell ref="AD194:AG194"/>
    <mergeCell ref="K195:L195"/>
    <mergeCell ref="J197:M197"/>
    <mergeCell ref="O197:R197"/>
    <mergeCell ref="T197:W197"/>
    <mergeCell ref="AD197:AG197"/>
    <mergeCell ref="T198:W198"/>
    <mergeCell ref="Y198:AB198"/>
    <mergeCell ref="T199:V199"/>
    <mergeCell ref="Y199:AA199"/>
    <mergeCell ref="T200:V200"/>
    <mergeCell ref="Y200:AA200"/>
    <mergeCell ref="E199:G199"/>
    <mergeCell ref="J199:L199"/>
    <mergeCell ref="E198:H198"/>
    <mergeCell ref="E200:G200"/>
    <mergeCell ref="O199:Q199"/>
    <mergeCell ref="O200:Q200"/>
    <mergeCell ref="E192:H192"/>
    <mergeCell ref="E193:H193"/>
    <mergeCell ref="C195:C197"/>
    <mergeCell ref="E197:H197"/>
    <mergeCell ref="C198:C200"/>
    <mergeCell ref="O198:R198"/>
    <mergeCell ref="J200:L200"/>
    <mergeCell ref="O201:Q201"/>
    <mergeCell ref="O202:Q202"/>
    <mergeCell ref="Y201:AA201"/>
    <mergeCell ref="Y202:AA202"/>
    <mergeCell ref="E194:H194"/>
    <mergeCell ref="E201:G201"/>
    <mergeCell ref="J201:L201"/>
    <mergeCell ref="T201:V201"/>
    <mergeCell ref="E202:G202"/>
    <mergeCell ref="J202:L202"/>
    <mergeCell ref="T202:V202"/>
    <mergeCell ref="AD202:AF202"/>
    <mergeCell ref="AD203:AF203"/>
    <mergeCell ref="AD176:AF176"/>
    <mergeCell ref="AD177:AF177"/>
    <mergeCell ref="AD179:AF179"/>
    <mergeCell ref="AD198:AG198"/>
    <mergeCell ref="AD199:AF199"/>
    <mergeCell ref="AD200:AF200"/>
    <mergeCell ref="AD201:AF201"/>
    <mergeCell ref="Y175:AA175"/>
    <mergeCell ref="Y176:AA176"/>
    <mergeCell ref="Y179:AA179"/>
    <mergeCell ref="T176:V176"/>
    <mergeCell ref="E177:G177"/>
    <mergeCell ref="O177:Q177"/>
    <mergeCell ref="T177:V177"/>
    <mergeCell ref="E179:G179"/>
    <mergeCell ref="J179:L179"/>
    <mergeCell ref="O179:Q179"/>
    <mergeCell ref="T179:V179"/>
    <mergeCell ref="C162:AG162"/>
    <mergeCell ref="E163:AG164"/>
    <mergeCell ref="N166:N177"/>
    <mergeCell ref="S166:S177"/>
    <mergeCell ref="X166:X177"/>
    <mergeCell ref="AC166:AC177"/>
    <mergeCell ref="Y177:AA177"/>
    <mergeCell ref="J186:L186"/>
    <mergeCell ref="O186:Q186"/>
    <mergeCell ref="T186:V186"/>
    <mergeCell ref="Y186:AA186"/>
    <mergeCell ref="AD186:AF186"/>
    <mergeCell ref="O187:Q187"/>
    <mergeCell ref="C188:AG188"/>
    <mergeCell ref="E189:AG190"/>
    <mergeCell ref="I166:I177"/>
    <mergeCell ref="I192:I203"/>
    <mergeCell ref="E203:G203"/>
    <mergeCell ref="J203:L203"/>
    <mergeCell ref="O203:Q203"/>
    <mergeCell ref="T203:V203"/>
    <mergeCell ref="Y203:AA203"/>
    <mergeCell ref="J173:L173"/>
    <mergeCell ref="J174:L174"/>
    <mergeCell ref="J175:L175"/>
    <mergeCell ref="J176:L176"/>
    <mergeCell ref="J177:L177"/>
    <mergeCell ref="E186:G186"/>
    <mergeCell ref="C193:C194"/>
    <mergeCell ref="Y252:AA252"/>
    <mergeCell ref="Y253:AA253"/>
    <mergeCell ref="Y256:AA256"/>
    <mergeCell ref="AD256:AF256"/>
    <mergeCell ref="E250:G250"/>
    <mergeCell ref="E251:G251"/>
    <mergeCell ref="E252:G252"/>
    <mergeCell ref="T252:V252"/>
    <mergeCell ref="J253:L253"/>
    <mergeCell ref="O253:Q253"/>
    <mergeCell ref="T253:V253"/>
    <mergeCell ref="E254:G254"/>
    <mergeCell ref="E256:G256"/>
    <mergeCell ref="J256:L256"/>
    <mergeCell ref="O256:Q256"/>
    <mergeCell ref="T256:V256"/>
    <mergeCell ref="E263:G263"/>
    <mergeCell ref="E264:G264"/>
    <mergeCell ref="J268:M268"/>
    <mergeCell ref="O268:R268"/>
    <mergeCell ref="C269:C270"/>
    <mergeCell ref="E269:H269"/>
    <mergeCell ref="E270:H270"/>
    <mergeCell ref="J270:M270"/>
    <mergeCell ref="O270:R270"/>
    <mergeCell ref="T268:W268"/>
    <mergeCell ref="Y268:AB268"/>
    <mergeCell ref="O269:R269"/>
    <mergeCell ref="T269:W269"/>
    <mergeCell ref="AD269:AG269"/>
    <mergeCell ref="Y269:AB269"/>
    <mergeCell ref="T270:W270"/>
    <mergeCell ref="J269:M269"/>
    <mergeCell ref="C271:C273"/>
    <mergeCell ref="E273:H273"/>
    <mergeCell ref="J273:M273"/>
    <mergeCell ref="C274:C276"/>
    <mergeCell ref="E274:H274"/>
    <mergeCell ref="E275:G275"/>
    <mergeCell ref="O288:Q288"/>
    <mergeCell ref="T288:V288"/>
    <mergeCell ref="Y288:AA288"/>
    <mergeCell ref="AD288:AF288"/>
    <mergeCell ref="AD289:AF289"/>
    <mergeCell ref="E276:G276"/>
    <mergeCell ref="J276:L276"/>
    <mergeCell ref="E281:G281"/>
    <mergeCell ref="J281:L281"/>
    <mergeCell ref="O281:Q281"/>
    <mergeCell ref="E288:G288"/>
    <mergeCell ref="J288:L288"/>
    <mergeCell ref="E289:G289"/>
    <mergeCell ref="O263:Q263"/>
    <mergeCell ref="T263:V263"/>
    <mergeCell ref="Y263:AA263"/>
    <mergeCell ref="AD263:AF263"/>
    <mergeCell ref="AD264:AF264"/>
    <mergeCell ref="E266:AG266"/>
    <mergeCell ref="E268:H268"/>
    <mergeCell ref="E278:G278"/>
    <mergeCell ref="E279:G279"/>
    <mergeCell ref="Y277:AA277"/>
    <mergeCell ref="AD277:AG277"/>
    <mergeCell ref="J278:L278"/>
    <mergeCell ref="O278:Q278"/>
    <mergeCell ref="T278:V278"/>
    <mergeCell ref="Y278:AA278"/>
    <mergeCell ref="AD278:AG278"/>
    <mergeCell ref="J279:L279"/>
    <mergeCell ref="O279:Q279"/>
    <mergeCell ref="T279:V279"/>
    <mergeCell ref="Y279:AA279"/>
    <mergeCell ref="AD279:AG279"/>
    <mergeCell ref="T281:V281"/>
    <mergeCell ref="Y281:AA281"/>
    <mergeCell ref="AD281:AF281"/>
    <mergeCell ref="J263:L263"/>
    <mergeCell ref="I268:I279"/>
    <mergeCell ref="N268:N279"/>
    <mergeCell ref="S268:S279"/>
    <mergeCell ref="X268:X279"/>
    <mergeCell ref="AC268:AC279"/>
    <mergeCell ref="Y270:AB270"/>
    <mergeCell ref="AD268:AG268"/>
    <mergeCell ref="AD270:AG270"/>
    <mergeCell ref="AE271:AF271"/>
    <mergeCell ref="AD273:AG273"/>
    <mergeCell ref="AD274:AG274"/>
    <mergeCell ref="AD275:AF275"/>
    <mergeCell ref="AD276:AF276"/>
    <mergeCell ref="O273:R273"/>
    <mergeCell ref="T273:W273"/>
    <mergeCell ref="Y273:AB273"/>
    <mergeCell ref="O274:R274"/>
    <mergeCell ref="T274:W274"/>
    <mergeCell ref="Y274:AB274"/>
    <mergeCell ref="J274:M274"/>
    <mergeCell ref="J275:L275"/>
    <mergeCell ref="E277:G277"/>
    <mergeCell ref="J277:L277"/>
    <mergeCell ref="O275:Q275"/>
    <mergeCell ref="T275:V275"/>
    <mergeCell ref="Y275:AA275"/>
    <mergeCell ref="O276:Q276"/>
    <mergeCell ref="T276:V276"/>
    <mergeCell ref="Y276:AA276"/>
    <mergeCell ref="O277:Q277"/>
    <mergeCell ref="T277:V277"/>
  </mergeCells>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0" priority="1" operator="between">
      <formula>1</formula>
      <formula>95</formula>
    </cfRule>
  </conditionalFormatting>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1" priority="2" operator="between">
      <formula>96</formula>
      <formula>195</formula>
    </cfRule>
  </conditionalFormatting>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2" priority="3" operator="between">
      <formula>196</formula>
      <formula>260</formula>
    </cfRule>
  </conditionalFormatting>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3" priority="4" operator="between">
      <formula>261</formula>
      <formula>299</formula>
    </cfRule>
  </conditionalFormatting>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4" priority="5" operator="between">
      <formula>300</formula>
      <formula>350</formula>
    </cfRule>
  </conditionalFormatting>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5" priority="6" operator="between">
      <formula>351</formula>
      <formula>450</formula>
    </cfRule>
  </conditionalFormatting>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6" priority="7" operator="between">
      <formula>451</formula>
      <formula>1000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6121" t="s">
        <v>1496</v>
      </c>
      <c r="B1" s="6122"/>
      <c r="C1" s="6123"/>
      <c r="D1" s="6122"/>
      <c r="E1" s="6122"/>
      <c r="F1" s="6122"/>
      <c r="G1" s="6122"/>
      <c r="H1" s="6122"/>
      <c r="I1" s="6122"/>
      <c r="J1" s="6122"/>
      <c r="K1" s="6122"/>
      <c r="L1" s="6122"/>
      <c r="M1" s="6122"/>
      <c r="N1" s="6122"/>
      <c r="O1" s="6122"/>
      <c r="P1" s="6122"/>
      <c r="Q1" s="6122"/>
      <c r="R1" s="6122"/>
      <c r="S1" s="6122"/>
      <c r="T1" s="6122"/>
      <c r="U1" s="6122"/>
      <c r="V1" s="6122"/>
      <c r="W1" s="6122"/>
      <c r="X1" s="6122"/>
      <c r="Y1" s="6122"/>
      <c r="Z1" s="6122"/>
      <c r="AA1" s="6122"/>
      <c r="AB1" s="6122"/>
      <c r="AC1" s="6122"/>
      <c r="AD1" s="6122"/>
      <c r="AE1" s="6122"/>
      <c r="AF1" s="6122"/>
      <c r="AG1" s="6122"/>
      <c r="AH1" s="6122"/>
      <c r="AI1" s="6124"/>
    </row>
    <row r="2" ht="7.5" customHeight="1">
      <c r="A2" s="6125"/>
      <c r="B2" s="6126"/>
      <c r="C2" s="6127"/>
      <c r="D2" s="6127"/>
      <c r="E2" s="6127"/>
      <c r="F2" s="6127"/>
      <c r="G2" s="6127"/>
      <c r="H2" s="6127"/>
      <c r="I2" s="6127"/>
      <c r="J2" s="6127"/>
      <c r="K2" s="6127"/>
      <c r="L2" s="6127"/>
      <c r="M2" s="6127"/>
      <c r="N2" s="6127"/>
      <c r="O2" s="6127"/>
      <c r="P2" s="6127"/>
      <c r="Q2" s="6127"/>
      <c r="R2" s="6127"/>
      <c r="S2" s="6127"/>
      <c r="T2" s="6127"/>
      <c r="U2" s="6127"/>
      <c r="V2" s="6127"/>
      <c r="W2" s="6127"/>
      <c r="X2" s="6127"/>
      <c r="Y2" s="6127"/>
      <c r="Z2" s="6127"/>
      <c r="AA2" s="6127"/>
      <c r="AB2" s="6127"/>
      <c r="AC2" s="6127"/>
      <c r="AD2" s="6127"/>
      <c r="AE2" s="6127"/>
      <c r="AF2" s="6127"/>
      <c r="AG2" s="6127"/>
      <c r="AH2" s="6128"/>
      <c r="AI2" s="6129"/>
    </row>
    <row r="3">
      <c r="A3" s="6125"/>
      <c r="B3" s="6130"/>
      <c r="C3" s="6131" t="s">
        <v>1497</v>
      </c>
      <c r="D3" s="1579"/>
      <c r="E3" s="1579"/>
      <c r="F3" s="1579"/>
      <c r="G3" s="1579"/>
      <c r="H3" s="1579"/>
      <c r="I3" s="1579"/>
      <c r="J3" s="1579"/>
      <c r="K3" s="1579"/>
      <c r="L3" s="1579"/>
      <c r="M3" s="1579"/>
      <c r="N3" s="1579"/>
      <c r="O3" s="1579"/>
      <c r="P3" s="1579"/>
      <c r="Q3" s="1579"/>
      <c r="R3" s="1579"/>
      <c r="S3" s="1579"/>
      <c r="T3" s="1579"/>
      <c r="U3" s="1579"/>
      <c r="V3" s="1579"/>
      <c r="W3" s="1579"/>
      <c r="X3" s="1579"/>
      <c r="Y3" s="1579"/>
      <c r="Z3" s="1579"/>
      <c r="AA3" s="1579"/>
      <c r="AB3" s="1579"/>
      <c r="AC3" s="1579"/>
      <c r="AD3" s="1579"/>
      <c r="AE3" s="1579"/>
      <c r="AF3" s="1579"/>
      <c r="AG3" s="1580"/>
      <c r="AH3" s="6132"/>
      <c r="AI3" s="6129"/>
    </row>
    <row r="4" ht="7.5" customHeight="1">
      <c r="A4" s="6125"/>
      <c r="B4" s="6133"/>
      <c r="C4" s="6134"/>
      <c r="D4" s="6134"/>
      <c r="E4" s="6134"/>
      <c r="F4" s="6134"/>
      <c r="G4" s="6134"/>
      <c r="H4" s="6134"/>
      <c r="I4" s="6134"/>
      <c r="J4" s="6134"/>
      <c r="K4" s="6134"/>
      <c r="L4" s="6134"/>
      <c r="M4" s="6134"/>
      <c r="N4" s="6134"/>
      <c r="O4" s="6134"/>
      <c r="P4" s="6134"/>
      <c r="Q4" s="6134"/>
      <c r="R4" s="6134"/>
      <c r="S4" s="6134"/>
      <c r="T4" s="6134"/>
      <c r="U4" s="6134"/>
      <c r="V4" s="6134"/>
      <c r="W4" s="6134"/>
      <c r="X4" s="6134"/>
      <c r="Y4" s="6134"/>
      <c r="Z4" s="6134"/>
      <c r="AA4" s="6134"/>
      <c r="AB4" s="6134"/>
      <c r="AC4" s="6134"/>
      <c r="AD4" s="6134"/>
      <c r="AE4" s="6134"/>
      <c r="AF4" s="6134"/>
      <c r="AG4" s="6134"/>
      <c r="AH4" s="6135"/>
      <c r="AI4" s="6129"/>
    </row>
    <row r="5" ht="96.75" customHeight="1">
      <c r="A5" s="6125"/>
      <c r="B5" s="6133"/>
      <c r="C5" s="6136" t="str">
        <f>IMAGE("https://i.ibb.co/88pHxt3/Oak.png")</f>
        <v/>
      </c>
      <c r="D5" s="6137"/>
      <c r="E5" s="6138" t="str">
        <f t="array" ref="E5">IFERROR(VLOOKUP(E6,Dex!$B$3:$G1218,3,FALSE),"")</f>
        <v/>
      </c>
      <c r="F5" s="1830"/>
      <c r="G5" s="1830"/>
      <c r="H5" s="1831"/>
      <c r="I5" s="6139"/>
      <c r="J5" s="6138" t="str">
        <f t="array" ref="J5">IFERROR(VLOOKUP(J6,Dex!$B$3:$G1218,3,FALSE),"")</f>
        <v/>
      </c>
      <c r="K5" s="1830"/>
      <c r="L5" s="1830"/>
      <c r="M5" s="1831"/>
      <c r="N5" s="6139"/>
      <c r="O5" s="6138" t="str">
        <f t="array" ref="O5">IFERROR(VLOOKUP(O6,Dex!$B$3:$G1218,3,FALSE),"")</f>
        <v/>
      </c>
      <c r="P5" s="1830"/>
      <c r="Q5" s="1830"/>
      <c r="R5" s="1831"/>
      <c r="S5" s="6139"/>
      <c r="T5" s="6138" t="str">
        <f t="array" ref="T5">IFERROR(VLOOKUP(T6,Dex!$B$3:$G1218,3,FALSE),"")</f>
        <v/>
      </c>
      <c r="U5" s="1830"/>
      <c r="V5" s="1830"/>
      <c r="W5" s="1831"/>
      <c r="X5" s="6139"/>
      <c r="Y5" s="6138" t="str">
        <f t="array" ref="Y5">IFERROR(VLOOKUP(Y6,Dex!$B$3:$G1218,3,FALSE),"")</f>
        <v/>
      </c>
      <c r="Z5" s="1830"/>
      <c r="AA5" s="1830"/>
      <c r="AB5" s="1831"/>
      <c r="AC5" s="6139"/>
      <c r="AD5" s="6138" t="str">
        <f t="array" ref="AD5">IFERROR(VLOOKUP(AD6,Dex!$B$3:$G1218,3,FALSE),"")</f>
        <v/>
      </c>
      <c r="AE5" s="1830"/>
      <c r="AF5" s="1830"/>
      <c r="AG5" s="1831"/>
      <c r="AH5" s="6135"/>
      <c r="AI5" s="6129"/>
    </row>
    <row r="6" ht="18.75" customHeight="1">
      <c r="A6" s="6140"/>
      <c r="B6" s="6141"/>
      <c r="C6" s="6142" t="s">
        <v>1498</v>
      </c>
      <c r="D6" s="6143"/>
      <c r="E6" s="6144" t="s">
        <v>1499</v>
      </c>
      <c r="F6" s="6145"/>
      <c r="G6" s="6145"/>
      <c r="H6" s="6146"/>
      <c r="I6" s="6147"/>
      <c r="J6" s="6144" t="s">
        <v>354</v>
      </c>
      <c r="K6" s="6145"/>
      <c r="L6" s="6145"/>
      <c r="M6" s="6146"/>
      <c r="N6" s="6147"/>
      <c r="O6" s="6144" t="s">
        <v>796</v>
      </c>
      <c r="P6" s="6145"/>
      <c r="Q6" s="6145"/>
      <c r="R6" s="6146"/>
      <c r="S6" s="6147"/>
      <c r="T6" s="6144" t="s">
        <v>1500</v>
      </c>
      <c r="U6" s="6145"/>
      <c r="V6" s="6145"/>
      <c r="W6" s="6146"/>
      <c r="X6" s="6147"/>
      <c r="Y6" s="6144" t="s">
        <v>1501</v>
      </c>
      <c r="Z6" s="6145"/>
      <c r="AA6" s="6145"/>
      <c r="AB6" s="6146"/>
      <c r="AC6" s="6147"/>
      <c r="AD6" s="6144" t="s">
        <v>1169</v>
      </c>
      <c r="AE6" s="6145"/>
      <c r="AF6" s="6145"/>
      <c r="AG6" s="6146"/>
      <c r="AH6" s="6148"/>
      <c r="AI6" s="6149"/>
    </row>
    <row r="7">
      <c r="A7" s="6125"/>
      <c r="B7" s="6133"/>
      <c r="C7" s="1481"/>
      <c r="D7" s="6150"/>
      <c r="E7" s="6151" t="s">
        <v>1502</v>
      </c>
      <c r="F7" s="6152"/>
      <c r="G7" s="6152"/>
      <c r="H7" s="6153"/>
      <c r="I7" s="6147"/>
      <c r="J7" s="6151" t="s">
        <v>1502</v>
      </c>
      <c r="K7" s="6152"/>
      <c r="L7" s="6152"/>
      <c r="M7" s="6153"/>
      <c r="N7" s="6147"/>
      <c r="O7" s="6151" t="s">
        <v>1502</v>
      </c>
      <c r="P7" s="6152"/>
      <c r="Q7" s="6152"/>
      <c r="R7" s="6153"/>
      <c r="S7" s="6147"/>
      <c r="T7" s="6151" t="s">
        <v>1502</v>
      </c>
      <c r="U7" s="6152"/>
      <c r="V7" s="6152"/>
      <c r="W7" s="6153"/>
      <c r="X7" s="6147"/>
      <c r="Y7" s="6151" t="s">
        <v>1502</v>
      </c>
      <c r="Z7" s="6152"/>
      <c r="AA7" s="6152"/>
      <c r="AB7" s="6153"/>
      <c r="AC7" s="6147"/>
      <c r="AD7" s="6151" t="s">
        <v>1502</v>
      </c>
      <c r="AE7" s="6152"/>
      <c r="AF7" s="6152"/>
      <c r="AG7" s="6153"/>
      <c r="AH7" s="6135"/>
      <c r="AI7" s="6129"/>
    </row>
    <row r="8" ht="25.5" customHeight="1">
      <c r="A8" s="6125"/>
      <c r="B8" s="6133"/>
      <c r="C8" s="1489"/>
      <c r="D8" s="6154"/>
      <c r="E8" s="6155"/>
      <c r="F8" s="6156" t="str">
        <f t="array" ref="F8">IFERROR(VLOOKUP(E6,Dex!$B$3:$H1218,5,FALSE),"")</f>
        <v/>
      </c>
      <c r="G8" s="6157"/>
      <c r="H8" s="6158"/>
      <c r="I8" s="6147"/>
      <c r="J8" s="6155"/>
      <c r="K8" s="6159" t="str">
        <f t="array" ref="K8">IFERROR(VLOOKUP(J6,Dex!$B$3:$H1218,5,FALSE),"")</f>
        <v/>
      </c>
      <c r="L8" s="6160" t="str">
        <f t="array" ref="L8">IFERROR(VLOOKUP(J6,Dex!$B$3:$H1218,7,FALSE),"")</f>
        <v/>
      </c>
      <c r="M8" s="6158"/>
      <c r="N8" s="6147"/>
      <c r="O8" s="6155"/>
      <c r="P8" s="6159" t="str">
        <f t="array" ref="P8">IFERROR(VLOOKUP(O6,Dex!$B$3:$H1218,5,FALSE),"")</f>
        <v/>
      </c>
      <c r="Q8" s="6160" t="str">
        <f t="array" ref="Q8">IFERROR(VLOOKUP(O6,Dex!$B$3:$H1218,7,FALSE),"")</f>
        <v/>
      </c>
      <c r="R8" s="6158"/>
      <c r="S8" s="6147"/>
      <c r="T8" s="6155"/>
      <c r="U8" s="6159" t="str">
        <f t="array" ref="U8">IFERROR(VLOOKUP(T6,Dex!$B$3:$H1218,5,FALSE),"")</f>
        <v/>
      </c>
      <c r="V8" s="6160" t="str">
        <f t="array" ref="V8">IFERROR(VLOOKUP(T6,Dex!$B$3:$H1218,7,FALSE),"")</f>
        <v/>
      </c>
      <c r="W8" s="6158"/>
      <c r="X8" s="6147"/>
      <c r="Y8" s="6155"/>
      <c r="Z8" s="6156" t="str">
        <f t="array" ref="Z8">IFERROR(VLOOKUP(Y6,Dex!$B$3:$H1218,5,FALSE),"")</f>
        <v/>
      </c>
      <c r="AA8" s="6157"/>
      <c r="AB8" s="6158"/>
      <c r="AC8" s="6147"/>
      <c r="AD8" s="6155"/>
      <c r="AE8" s="6156" t="str">
        <f t="array" ref="AE8">IFERROR(VLOOKUP(AD6,Dex!$B$3:$H1218,5,FALSE),"")</f>
        <v/>
      </c>
      <c r="AF8" s="6157"/>
      <c r="AG8" s="6158"/>
      <c r="AH8" s="6135"/>
      <c r="AI8" s="6129"/>
    </row>
    <row r="9" ht="2.25" customHeight="1">
      <c r="A9" s="6125"/>
      <c r="B9" s="6133"/>
      <c r="C9" s="6161"/>
      <c r="D9" s="6154"/>
      <c r="E9" s="6162"/>
      <c r="F9" s="6163"/>
      <c r="G9" s="6163"/>
      <c r="H9" s="6164"/>
      <c r="I9" s="6147"/>
      <c r="J9" s="6162"/>
      <c r="K9" s="6163"/>
      <c r="L9" s="6163"/>
      <c r="M9" s="6164"/>
      <c r="N9" s="6147"/>
      <c r="O9" s="6162"/>
      <c r="P9" s="6163"/>
      <c r="Q9" s="6163"/>
      <c r="R9" s="6164"/>
      <c r="S9" s="6147"/>
      <c r="T9" s="6162"/>
      <c r="U9" s="6163"/>
      <c r="V9" s="6163"/>
      <c r="W9" s="6164"/>
      <c r="X9" s="6147"/>
      <c r="Y9" s="6162"/>
      <c r="Z9" s="6163"/>
      <c r="AA9" s="6163"/>
      <c r="AB9" s="6164"/>
      <c r="AC9" s="6147"/>
      <c r="AD9" s="6162"/>
      <c r="AE9" s="6163"/>
      <c r="AF9" s="6163"/>
      <c r="AG9" s="6164"/>
      <c r="AH9" s="6135"/>
      <c r="AI9" s="6129"/>
    </row>
    <row r="10" ht="20.25" customHeight="1">
      <c r="A10" s="6125"/>
      <c r="B10" s="6133"/>
      <c r="C10" s="6147"/>
      <c r="D10" s="6154"/>
      <c r="E10" s="6165" t="s">
        <v>172</v>
      </c>
      <c r="F10" s="6166"/>
      <c r="G10" s="6166"/>
      <c r="H10" s="6167"/>
      <c r="I10" s="6147"/>
      <c r="J10" s="6165" t="s">
        <v>263</v>
      </c>
      <c r="K10" s="6166"/>
      <c r="L10" s="6166"/>
      <c r="M10" s="6167"/>
      <c r="N10" s="6147"/>
      <c r="O10" s="6165" t="s">
        <v>172</v>
      </c>
      <c r="P10" s="6166"/>
      <c r="Q10" s="6166"/>
      <c r="R10" s="6167"/>
      <c r="S10" s="6147"/>
      <c r="T10" s="6165" t="s">
        <v>172</v>
      </c>
      <c r="U10" s="6166"/>
      <c r="V10" s="6166"/>
      <c r="W10" s="6167"/>
      <c r="X10" s="6147"/>
      <c r="Y10" s="6165" t="s">
        <v>205</v>
      </c>
      <c r="Z10" s="6166"/>
      <c r="AA10" s="6166"/>
      <c r="AB10" s="6167"/>
      <c r="AC10" s="6147"/>
      <c r="AD10" s="6165" t="s">
        <v>205</v>
      </c>
      <c r="AE10" s="6166"/>
      <c r="AF10" s="6166"/>
      <c r="AG10" s="6167"/>
      <c r="AH10" s="6135"/>
      <c r="AI10" s="6129"/>
    </row>
    <row r="11">
      <c r="A11" s="6125"/>
      <c r="B11" s="6133"/>
      <c r="C11" s="6147"/>
      <c r="D11" s="6154"/>
      <c r="E11" s="6168" t="s">
        <v>329</v>
      </c>
      <c r="F11" s="6169"/>
      <c r="G11" s="6169"/>
      <c r="H11" s="6170"/>
      <c r="I11" s="6147"/>
      <c r="J11" s="6168" t="s">
        <v>1503</v>
      </c>
      <c r="K11" s="6169"/>
      <c r="L11" s="6169"/>
      <c r="M11" s="6170"/>
      <c r="N11" s="6147"/>
      <c r="O11" s="6168" t="s">
        <v>1504</v>
      </c>
      <c r="P11" s="6169"/>
      <c r="Q11" s="6169"/>
      <c r="R11" s="6170"/>
      <c r="S11" s="6147"/>
      <c r="T11" s="6168" t="s">
        <v>597</v>
      </c>
      <c r="U11" s="6169"/>
      <c r="V11" s="6169"/>
      <c r="W11" s="6170"/>
      <c r="X11" s="6147"/>
      <c r="Y11" s="6168" t="s">
        <v>1505</v>
      </c>
      <c r="Z11" s="6169"/>
      <c r="AA11" s="6169"/>
      <c r="AB11" s="6170"/>
      <c r="AC11" s="6147"/>
      <c r="AD11" s="6168" t="s">
        <v>502</v>
      </c>
      <c r="AE11" s="6169"/>
      <c r="AF11" s="6169"/>
      <c r="AG11" s="6170"/>
      <c r="AH11" s="6135"/>
      <c r="AI11" s="6129"/>
    </row>
    <row r="12" ht="20.25" customHeight="1">
      <c r="A12" s="6125"/>
      <c r="B12" s="6133"/>
      <c r="C12" s="6147"/>
      <c r="D12" s="6154"/>
      <c r="E12" s="6171" t="s">
        <v>272</v>
      </c>
      <c r="F12" s="6172"/>
      <c r="G12" s="6173"/>
      <c r="H12" s="6174" t="str">
        <f>IMAGE("https://raw.githubusercontent.com/msikma/pokesprite/master/items/hold-item/life-orb.png",3)</f>
        <v/>
      </c>
      <c r="I12" s="6147"/>
      <c r="J12" s="6171" t="s">
        <v>213</v>
      </c>
      <c r="K12" s="6172"/>
      <c r="L12" s="6173"/>
      <c r="M12" s="6174" t="str">
        <f>IMAGE("https://raw.githubusercontent.com/msikma/pokesprite/master/items/berry/sitrus.png",3)</f>
        <v/>
      </c>
      <c r="N12" s="6147"/>
      <c r="O12" s="6171" t="s">
        <v>798</v>
      </c>
      <c r="P12" s="6172"/>
      <c r="Q12" s="6173"/>
      <c r="R12" s="6174" t="str">
        <f>IMAGE("https://raw.githubusercontent.com/msikma/pokesprite/master/items/mega-stone/charizardite-x.png",3)</f>
        <v/>
      </c>
      <c r="S12" s="6147"/>
      <c r="T12" s="6171" t="s">
        <v>1506</v>
      </c>
      <c r="U12" s="6172"/>
      <c r="V12" s="6173"/>
      <c r="W12" s="6174" t="str">
        <f>IMAGE("https://raw.githubusercontent.com/msikma/pokesprite/master/items/gem/water.png",3)</f>
        <v/>
      </c>
      <c r="X12" s="6147"/>
      <c r="Y12" s="6171" t="s">
        <v>1507</v>
      </c>
      <c r="Z12" s="6172"/>
      <c r="AA12" s="6173"/>
      <c r="AB12" s="6174" t="str">
        <f>IMAGE("https://raw.githubusercontent.com/msikma/pokesprite/master/items/gem/fighting.png",3)</f>
        <v/>
      </c>
      <c r="AC12" s="6147"/>
      <c r="AD12" s="6171" t="s">
        <v>1508</v>
      </c>
      <c r="AE12" s="6172"/>
      <c r="AF12" s="6173"/>
      <c r="AG12" s="6174" t="str">
        <f>IMAGE("https://raw.githubusercontent.com/msikma/pokesprite/master/items/z-crystals/eevium-z--held.png",3)</f>
        <v/>
      </c>
      <c r="AH12" s="6135"/>
      <c r="AI12" s="6129"/>
    </row>
    <row r="13" ht="20.25" customHeight="1">
      <c r="A13" s="6125"/>
      <c r="B13" s="6133"/>
      <c r="C13" s="6175"/>
      <c r="D13" s="6154"/>
      <c r="E13" s="6165" t="s">
        <v>1146</v>
      </c>
      <c r="F13" s="6166"/>
      <c r="G13" s="6176"/>
      <c r="H13" s="6177" t="str">
        <f>IMAGE("https://raw.githubusercontent.com/msikma/pokesprite/master/misc/types/gen8/normal.png",4,20,20)</f>
        <v/>
      </c>
      <c r="I13" s="6147"/>
      <c r="J13" s="6165" t="s">
        <v>281</v>
      </c>
      <c r="K13" s="6166"/>
      <c r="L13" s="6176"/>
      <c r="M13" s="6177" t="str">
        <f t="shared" ref="M13:M14" si="1">IMAGE("https://raw.githubusercontent.com/msikma/pokesprite/master/misc/types/gen8/grass.png",4,20,20)</f>
        <v/>
      </c>
      <c r="N13" s="6147"/>
      <c r="O13" s="6165" t="s">
        <v>396</v>
      </c>
      <c r="P13" s="6166"/>
      <c r="Q13" s="6176"/>
      <c r="R13" s="6177" t="str">
        <f>IMAGE("https://raw.githubusercontent.com/msikma/pokesprite/master/misc/types/gen8/dragon.png",4,20,20)</f>
        <v/>
      </c>
      <c r="S13" s="6147"/>
      <c r="T13" s="6165" t="s">
        <v>396</v>
      </c>
      <c r="U13" s="6166"/>
      <c r="V13" s="6176"/>
      <c r="W13" s="6177" t="str">
        <f>IMAGE("https://raw.githubusercontent.com/msikma/pokesprite/master/misc/types/gen8/dragon.png",4,20,20)</f>
        <v/>
      </c>
      <c r="X13" s="6147"/>
      <c r="Y13" s="6165" t="s">
        <v>401</v>
      </c>
      <c r="Z13" s="6166"/>
      <c r="AA13" s="6176"/>
      <c r="AB13" s="6177" t="str">
        <f>IMAGE("https://raw.githubusercontent.com/msikma/pokesprite/master/misc/types/gen8/dark.png",4,20,20)</f>
        <v/>
      </c>
      <c r="AC13" s="6147"/>
      <c r="AD13" s="6165" t="s">
        <v>835</v>
      </c>
      <c r="AE13" s="6166"/>
      <c r="AF13" s="6176"/>
      <c r="AG13" s="6177" t="str">
        <f>IMAGE("https://raw.githubusercontent.com/msikma/pokesprite/master/misc/types/gen8/normal.png",4,20,20)</f>
        <v/>
      </c>
      <c r="AH13" s="6135"/>
      <c r="AI13" s="6129"/>
    </row>
    <row r="14" ht="20.25" customHeight="1">
      <c r="A14" s="6125"/>
      <c r="B14" s="6133"/>
      <c r="C14" s="6178"/>
      <c r="D14" s="6154"/>
      <c r="E14" s="6168" t="s">
        <v>316</v>
      </c>
      <c r="F14" s="6169"/>
      <c r="G14" s="6179"/>
      <c r="H14" s="6180" t="str">
        <f>IMAGE("https://raw.githubusercontent.com/msikma/pokesprite/master/misc/types/gen8/fighting.png",4,20,20)</f>
        <v/>
      </c>
      <c r="I14" s="6147"/>
      <c r="J14" s="6168" t="s">
        <v>283</v>
      </c>
      <c r="K14" s="6169"/>
      <c r="L14" s="6179"/>
      <c r="M14" s="6180" t="str">
        <f t="shared" si="1"/>
        <v/>
      </c>
      <c r="N14" s="6147"/>
      <c r="O14" s="6168" t="s">
        <v>378</v>
      </c>
      <c r="P14" s="6169"/>
      <c r="Q14" s="6179"/>
      <c r="R14" s="6180" t="str">
        <f>IMAGE("https://raw.githubusercontent.com/msikma/pokesprite/master/misc/types/gen8/fire.png",4,20,20)</f>
        <v/>
      </c>
      <c r="S14" s="6147"/>
      <c r="T14" s="6168" t="s">
        <v>459</v>
      </c>
      <c r="U14" s="6169"/>
      <c r="V14" s="6179"/>
      <c r="W14" s="6180" t="str">
        <f>IMAGE("https://raw.githubusercontent.com/msikma/pokesprite/master/misc/types/gen8/water.png",4,20,20)</f>
        <v/>
      </c>
      <c r="X14" s="6147"/>
      <c r="Y14" s="6168" t="s">
        <v>217</v>
      </c>
      <c r="Z14" s="6169"/>
      <c r="AA14" s="6179"/>
      <c r="AB14" s="6180" t="str">
        <f>IMAGE("https://raw.githubusercontent.com/msikma/pokesprite/master/misc/types/gen8/psychic.png",4,20,20)</f>
        <v/>
      </c>
      <c r="AC14" s="6147"/>
      <c r="AD14" s="6168" t="s">
        <v>277</v>
      </c>
      <c r="AE14" s="6169"/>
      <c r="AF14" s="6179"/>
      <c r="AG14" s="6180" t="str">
        <f>IMAGE("https://raw.githubusercontent.com/msikma/pokesprite/master/misc/types/gen8/electric.png",4,20,20)</f>
        <v/>
      </c>
      <c r="AH14" s="6135"/>
      <c r="AI14" s="6129"/>
    </row>
    <row r="15" ht="20.25" customHeight="1">
      <c r="A15" s="6125"/>
      <c r="B15" s="6133"/>
      <c r="C15" s="6178"/>
      <c r="D15" s="6154"/>
      <c r="E15" s="6168" t="s">
        <v>1398</v>
      </c>
      <c r="F15" s="6169"/>
      <c r="G15" s="6179"/>
      <c r="H15" s="6180" t="str">
        <f>IMAGE("https://raw.githubusercontent.com/msikma/pokesprite/master/misc/types/gen8/dark.png",4,20,20)</f>
        <v/>
      </c>
      <c r="I15" s="6147"/>
      <c r="J15" s="6168" t="s">
        <v>217</v>
      </c>
      <c r="K15" s="6169"/>
      <c r="L15" s="6179"/>
      <c r="M15" s="6180" t="str">
        <f>IMAGE("https://raw.githubusercontent.com/msikma/pokesprite/master/misc/types/gen8/psychic.png",4,20,20)</f>
        <v/>
      </c>
      <c r="N15" s="6147"/>
      <c r="O15" s="6168" t="s">
        <v>409</v>
      </c>
      <c r="P15" s="6169"/>
      <c r="Q15" s="6179"/>
      <c r="R15" s="6180" t="str">
        <f>IMAGE("https://raw.githubusercontent.com/msikma/pokesprite/master/misc/types/gen8/dragon.png",4,20,20)</f>
        <v/>
      </c>
      <c r="S15" s="6147"/>
      <c r="T15" s="6168" t="s">
        <v>402</v>
      </c>
      <c r="U15" s="6169"/>
      <c r="V15" s="6179"/>
      <c r="W15" s="6180" t="str">
        <f>IMAGE("https://raw.githubusercontent.com/msikma/pokesprite/master/misc/types/gen8/ground.png",4,20,20)</f>
        <v/>
      </c>
      <c r="X15" s="6147"/>
      <c r="Y15" s="6168" t="s">
        <v>375</v>
      </c>
      <c r="Z15" s="6169"/>
      <c r="AA15" s="6179"/>
      <c r="AB15" s="6180" t="str">
        <f>IMAGE("https://raw.githubusercontent.com/msikma/pokesprite/master/misc/types/gen8/fighting.png",4,20,20)</f>
        <v/>
      </c>
      <c r="AC15" s="6147"/>
      <c r="AD15" s="6168" t="s">
        <v>318</v>
      </c>
      <c r="AE15" s="6169"/>
      <c r="AF15" s="6179"/>
      <c r="AG15" s="6180" t="str">
        <f>IMAGE("https://raw.githubusercontent.com/msikma/pokesprite/master/misc/types/gen8/ghost.png",4,20,20)</f>
        <v/>
      </c>
      <c r="AH15" s="6135"/>
      <c r="AI15" s="6129"/>
    </row>
    <row r="16" ht="21.0" customHeight="1">
      <c r="A16" s="6125"/>
      <c r="B16" s="6133"/>
      <c r="C16" s="6178"/>
      <c r="D16" s="6154"/>
      <c r="E16" s="6181" t="s">
        <v>407</v>
      </c>
      <c r="F16" s="6182"/>
      <c r="G16" s="6183"/>
      <c r="H16" s="6184" t="str">
        <f>IMAGE("https://raw.githubusercontent.com/msikma/pokesprite/master/misc/types/gen8/steel.png",4,20,20)</f>
        <v/>
      </c>
      <c r="I16" s="6175"/>
      <c r="J16" s="6181" t="s">
        <v>286</v>
      </c>
      <c r="K16" s="6182"/>
      <c r="L16" s="6183"/>
      <c r="M16" s="6184" t="str">
        <f>IMAGE("https://raw.githubusercontent.com/msikma/pokesprite/master/misc/types/gen8/ground.png",4,20,20)</f>
        <v/>
      </c>
      <c r="N16" s="6175"/>
      <c r="O16" s="6181" t="s">
        <v>402</v>
      </c>
      <c r="P16" s="6182"/>
      <c r="Q16" s="6183"/>
      <c r="R16" s="6184" t="str">
        <f>IMAGE("https://raw.githubusercontent.com/msikma/pokesprite/master/misc/types/gen8/ground.png",4,20,20)</f>
        <v/>
      </c>
      <c r="S16" s="6175"/>
      <c r="T16" s="6181" t="s">
        <v>462</v>
      </c>
      <c r="U16" s="6182"/>
      <c r="V16" s="6183"/>
      <c r="W16" s="6184" t="str">
        <f>IMAGE("https://raw.githubusercontent.com/msikma/pokesprite/master/misc/types/gen8/grass.png",4,20,20)</f>
        <v/>
      </c>
      <c r="X16" s="6175"/>
      <c r="Y16" s="6181" t="s">
        <v>1466</v>
      </c>
      <c r="Z16" s="6182"/>
      <c r="AA16" s="6183"/>
      <c r="AB16" s="6184" t="str">
        <f>IMAGE("https://raw.githubusercontent.com/msikma/pokesprite/master/misc/types/gen8/dark.png",4,20,20)</f>
        <v/>
      </c>
      <c r="AC16" s="6175"/>
      <c r="AD16" s="6181" t="s">
        <v>254</v>
      </c>
      <c r="AE16" s="6182"/>
      <c r="AF16" s="6183"/>
      <c r="AG16" s="6184" t="str">
        <f>IMAGE("https://raw.githubusercontent.com/msikma/pokesprite/master/misc/types/gen8/ice.png",4,20,20)</f>
        <v/>
      </c>
      <c r="AH16" s="6135"/>
      <c r="AI16" s="6129"/>
    </row>
    <row r="17" ht="3.0" customHeight="1">
      <c r="A17" s="6185"/>
      <c r="B17" s="6186"/>
      <c r="C17" s="6187"/>
      <c r="D17" s="6188"/>
      <c r="E17" s="6188"/>
      <c r="F17" s="6188"/>
      <c r="G17" s="6188"/>
      <c r="H17" s="6188"/>
      <c r="I17" s="6188"/>
      <c r="J17" s="6189"/>
      <c r="K17" s="6189"/>
      <c r="L17" s="6189"/>
      <c r="M17" s="6188"/>
      <c r="N17" s="6188"/>
      <c r="O17" s="6189"/>
      <c r="P17" s="6189"/>
      <c r="Q17" s="6189"/>
      <c r="R17" s="6188"/>
      <c r="S17" s="6188"/>
      <c r="T17" s="6189"/>
      <c r="U17" s="6189"/>
      <c r="V17" s="6189"/>
      <c r="W17" s="6188"/>
      <c r="X17" s="6188"/>
      <c r="Y17" s="6189"/>
      <c r="Z17" s="6189"/>
      <c r="AA17" s="6189"/>
      <c r="AB17" s="6188"/>
      <c r="AC17" s="6190"/>
      <c r="AD17" s="6189"/>
      <c r="AE17" s="6189"/>
      <c r="AF17" s="6189"/>
      <c r="AG17" s="6188"/>
      <c r="AH17" s="6191"/>
      <c r="AI17" s="6192"/>
    </row>
    <row r="18" ht="16.5" customHeight="1">
      <c r="A18" s="6185"/>
      <c r="B18" s="6193"/>
      <c r="C18" s="6194"/>
      <c r="D18" s="6195"/>
      <c r="E18" s="6196" t="s">
        <v>190</v>
      </c>
      <c r="F18" s="381"/>
      <c r="G18" s="382"/>
      <c r="H18" s="6197" t="s">
        <v>191</v>
      </c>
      <c r="I18" s="6198"/>
      <c r="J18" s="6196" t="s">
        <v>190</v>
      </c>
      <c r="K18" s="381"/>
      <c r="L18" s="382"/>
      <c r="M18" s="6197" t="s">
        <v>191</v>
      </c>
      <c r="N18" s="6199"/>
      <c r="O18" s="6196" t="s">
        <v>190</v>
      </c>
      <c r="P18" s="381"/>
      <c r="Q18" s="382"/>
      <c r="R18" s="6197" t="s">
        <v>191</v>
      </c>
      <c r="S18" s="6200"/>
      <c r="T18" s="6196" t="s">
        <v>190</v>
      </c>
      <c r="U18" s="381"/>
      <c r="V18" s="382"/>
      <c r="W18" s="6197" t="s">
        <v>191</v>
      </c>
      <c r="X18" s="6200"/>
      <c r="Y18" s="6196" t="s">
        <v>190</v>
      </c>
      <c r="Z18" s="381"/>
      <c r="AA18" s="382"/>
      <c r="AB18" s="6197" t="s">
        <v>191</v>
      </c>
      <c r="AC18" s="6200"/>
      <c r="AD18" s="6196" t="s">
        <v>190</v>
      </c>
      <c r="AE18" s="381"/>
      <c r="AF18" s="382"/>
      <c r="AG18" s="6197" t="s">
        <v>191</v>
      </c>
      <c r="AH18" s="6201"/>
      <c r="AI18" s="6192"/>
    </row>
    <row r="19" ht="15.75" customHeight="1">
      <c r="A19" s="6185"/>
      <c r="B19" s="6193"/>
      <c r="C19" s="6202"/>
      <c r="D19" s="6195"/>
      <c r="E19" s="6203" t="s">
        <v>192</v>
      </c>
      <c r="F19" s="6204">
        <f t="array" ref="F19">IFERROR(VLOOKUP(E6,Dex!$B$3:$N1218,8,FALSE),"")</f>
        <v>75</v>
      </c>
      <c r="G19" s="6205" t="str">
        <f t="array" ref="G19">IFERROR(VLOOKUP(F19,Dex!$P$22:$Q$276,2,FALSE),"")</f>
        <v/>
      </c>
      <c r="H19" s="6206"/>
      <c r="I19" s="6207"/>
      <c r="J19" s="6203" t="s">
        <v>192</v>
      </c>
      <c r="K19" s="6204">
        <f t="array" ref="K19">IFERROR(VLOOKUP(J6,Dex!$B$3:$N1218,8,FALSE),"")</f>
        <v>95</v>
      </c>
      <c r="L19" s="6205" t="str">
        <f t="array" ref="L19">IFERROR(VLOOKUP(K19,Dex!$P$22:$Q$276,2,FALSE),"")</f>
        <v/>
      </c>
      <c r="M19" s="6206">
        <v>252.0</v>
      </c>
      <c r="N19" s="6208"/>
      <c r="O19" s="6203" t="s">
        <v>192</v>
      </c>
      <c r="P19" s="6204">
        <f t="array" ref="P19">IFERROR(VLOOKUP(O6,Dex!$B$3:$N1218,8,FALSE),"")</f>
        <v>78</v>
      </c>
      <c r="Q19" s="6205" t="str">
        <f t="array" ref="Q19">IFERROR(VLOOKUP(P19,Dex!$P$22:$Q$276,2,FALSE),"")</f>
        <v/>
      </c>
      <c r="R19" s="6206"/>
      <c r="S19" s="6209"/>
      <c r="T19" s="6203" t="s">
        <v>192</v>
      </c>
      <c r="U19" s="6204">
        <f t="array" ref="U19">IFERROR(VLOOKUP(T6,Dex!$B$3:$N1218,8,FALSE),"")</f>
        <v>95</v>
      </c>
      <c r="V19" s="6205" t="str">
        <f t="array" ref="V19">IFERROR(VLOOKUP(U19,Dex!$P$22:$Q$276,2,FALSE),"")</f>
        <v/>
      </c>
      <c r="W19" s="6206"/>
      <c r="X19" s="6209"/>
      <c r="Y19" s="6203" t="s">
        <v>192</v>
      </c>
      <c r="Z19" s="6204">
        <f t="array" ref="Z19">IFERROR(VLOOKUP(Y6,Dex!$B$3:$N1218,8,FALSE),"")</f>
        <v>100</v>
      </c>
      <c r="AA19" s="6205" t="str">
        <f t="array" ref="AA19">IFERROR(VLOOKUP(Z19,Dex!$P$22:$Q$276,2,FALSE),"")</f>
        <v/>
      </c>
      <c r="AB19" s="6206"/>
      <c r="AC19" s="6209"/>
      <c r="AD19" s="6203" t="s">
        <v>192</v>
      </c>
      <c r="AE19" s="6204">
        <f t="array" ref="AE19">IFERROR(VLOOKUP(AD6,Dex!$B$3:$N1218,8,FALSE),"")</f>
        <v>65</v>
      </c>
      <c r="AF19" s="6205" t="str">
        <f t="array" ref="AF19">IFERROR(VLOOKUP(AE19,Dex!$P$22:$Q$276,2,FALSE),"")</f>
        <v/>
      </c>
      <c r="AG19" s="6206"/>
      <c r="AH19" s="6201"/>
      <c r="AI19" s="6192"/>
    </row>
    <row r="20" ht="15.75" customHeight="1">
      <c r="A20" s="6185"/>
      <c r="B20" s="6193"/>
      <c r="C20" s="6210"/>
      <c r="D20" s="6195"/>
      <c r="E20" s="6211" t="s">
        <v>193</v>
      </c>
      <c r="F20" s="6212">
        <f t="array" ref="F20">IFERROR(VLOOKUP(E6,Dex!$B$3:$N1218,9,FALSE),"")</f>
        <v>100</v>
      </c>
      <c r="G20" s="6213" t="str">
        <f t="array" ref="G20">IFERROR(VLOOKUP(F20,Dex!$P$22:$Q$276,2,FALSE),"")</f>
        <v/>
      </c>
      <c r="H20" s="6214">
        <v>252.0</v>
      </c>
      <c r="I20" s="6207"/>
      <c r="J20" s="6211" t="s">
        <v>193</v>
      </c>
      <c r="K20" s="6212">
        <f t="array" ref="K20">IFERROR(VLOOKUP(J6,Dex!$B$3:$N1218,9,FALSE),"")</f>
        <v>95</v>
      </c>
      <c r="L20" s="6213" t="str">
        <f t="array" ref="L20">IFERROR(VLOOKUP(K20,Dex!$P$22:$Q$276,2,FALSE),"")</f>
        <v/>
      </c>
      <c r="M20" s="6214"/>
      <c r="N20" s="6208"/>
      <c r="O20" s="6211" t="s">
        <v>193</v>
      </c>
      <c r="P20" s="6212">
        <f t="array" ref="P20">IFERROR(VLOOKUP(O6,Dex!$B$3:$N1218,9,FALSE),"")</f>
        <v>130</v>
      </c>
      <c r="Q20" s="6213" t="str">
        <f t="array" ref="Q20">IFERROR(VLOOKUP(P20,Dex!$P$22:$Q$276,2,FALSE),"")</f>
        <v/>
      </c>
      <c r="R20" s="6214">
        <v>252.0</v>
      </c>
      <c r="S20" s="6209"/>
      <c r="T20" s="6211" t="s">
        <v>193</v>
      </c>
      <c r="U20" s="6212">
        <f t="array" ref="U20">IFERROR(VLOOKUP(T6,Dex!$B$3:$N1218,9,FALSE),"")</f>
        <v>125</v>
      </c>
      <c r="V20" s="6213" t="str">
        <f t="array" ref="V20">IFERROR(VLOOKUP(U20,Dex!$P$22:$Q$276,2,FALSE),"")</f>
        <v/>
      </c>
      <c r="W20" s="6214">
        <v>252.0</v>
      </c>
      <c r="X20" s="6209"/>
      <c r="Y20" s="6211" t="s">
        <v>193</v>
      </c>
      <c r="Z20" s="6212">
        <f t="array" ref="Z20">IFERROR(VLOOKUP(Y6,Dex!$B$3:$N1218,9,FALSE),"")</f>
        <v>100</v>
      </c>
      <c r="AA20" s="6213" t="str">
        <f t="array" ref="AA20">IFERROR(VLOOKUP(Z20,Dex!$P$22:$Q$276,2,FALSE),"")</f>
        <v/>
      </c>
      <c r="AB20" s="6214"/>
      <c r="AC20" s="6209"/>
      <c r="AD20" s="6211" t="s">
        <v>193</v>
      </c>
      <c r="AE20" s="6212">
        <f t="array" ref="AE20">IFERROR(VLOOKUP(AD6,Dex!$B$3:$N1218,9,FALSE),"")</f>
        <v>65</v>
      </c>
      <c r="AF20" s="6213" t="str">
        <f t="array" ref="AF20">IFERROR(VLOOKUP(AE20,Dex!$P$22:$Q$276,2,FALSE),"")</f>
        <v/>
      </c>
      <c r="AG20" s="6214"/>
      <c r="AH20" s="6201"/>
      <c r="AI20" s="6192"/>
    </row>
    <row r="21" ht="15.75" customHeight="1">
      <c r="A21" s="6185"/>
      <c r="B21" s="6193"/>
      <c r="C21" s="6187"/>
      <c r="D21" s="6195"/>
      <c r="E21" s="6211" t="s">
        <v>194</v>
      </c>
      <c r="F21" s="6212">
        <f t="array" ref="F21">IFERROR(VLOOKUP(E6,Dex!$B$3:$N1218,10,FALSE),"")</f>
        <v>95</v>
      </c>
      <c r="G21" s="6213" t="str">
        <f t="array" ref="G21">IFERROR(VLOOKUP(F21,Dex!$P$22:$Q$276,2,FALSE),"")</f>
        <v/>
      </c>
      <c r="H21" s="6214">
        <v>4.0</v>
      </c>
      <c r="I21" s="6207"/>
      <c r="J21" s="6211" t="s">
        <v>194</v>
      </c>
      <c r="K21" s="6212">
        <f t="array" ref="K21">IFERROR(VLOOKUP(J6,Dex!$B$3:$N1218,10,FALSE),"")</f>
        <v>85</v>
      </c>
      <c r="L21" s="6213" t="str">
        <f t="array" ref="L21">IFERROR(VLOOKUP(K21,Dex!$P$22:$Q$276,2,FALSE),"")</f>
        <v/>
      </c>
      <c r="M21" s="6214">
        <v>4.0</v>
      </c>
      <c r="N21" s="6208"/>
      <c r="O21" s="6211" t="s">
        <v>194</v>
      </c>
      <c r="P21" s="6212">
        <f t="array" ref="P21">IFERROR(VLOOKUP(O6,Dex!$B$3:$N1218,10,FALSE),"")</f>
        <v>111</v>
      </c>
      <c r="Q21" s="6213" t="str">
        <f t="array" ref="Q21">IFERROR(VLOOKUP(P21,Dex!$P$22:$Q$276,2,FALSE),"")</f>
        <v/>
      </c>
      <c r="R21" s="6214"/>
      <c r="S21" s="6209"/>
      <c r="T21" s="6211" t="s">
        <v>194</v>
      </c>
      <c r="U21" s="6212">
        <f t="array" ref="U21">IFERROR(VLOOKUP(T6,Dex!$B$3:$N1218,10,FALSE),"")</f>
        <v>79</v>
      </c>
      <c r="V21" s="6213" t="str">
        <f t="array" ref="V21">IFERROR(VLOOKUP(U21,Dex!$P$22:$Q$276,2,FALSE),"")</f>
        <v/>
      </c>
      <c r="W21" s="6214"/>
      <c r="X21" s="6209"/>
      <c r="Y21" s="6211" t="s">
        <v>194</v>
      </c>
      <c r="Z21" s="6212">
        <f t="array" ref="Z21">IFERROR(VLOOKUP(Y6,Dex!$B$3:$N1218,10,FALSE),"")</f>
        <v>100</v>
      </c>
      <c r="AA21" s="6213" t="str">
        <f t="array" ref="AA21">IFERROR(VLOOKUP(Z21,Dex!$P$22:$Q$276,2,FALSE),"")</f>
        <v/>
      </c>
      <c r="AB21" s="6214"/>
      <c r="AC21" s="6209"/>
      <c r="AD21" s="6211" t="s">
        <v>194</v>
      </c>
      <c r="AE21" s="6212">
        <f t="array" ref="AE21">IFERROR(VLOOKUP(AD6,Dex!$B$3:$N1218,10,FALSE),"")</f>
        <v>60</v>
      </c>
      <c r="AF21" s="6213" t="str">
        <f t="array" ref="AF21">IFERROR(VLOOKUP(AE21,Dex!$P$22:$Q$276,2,FALSE),"")</f>
        <v/>
      </c>
      <c r="AG21" s="6214"/>
      <c r="AH21" s="6201"/>
      <c r="AI21" s="6192"/>
    </row>
    <row r="22" ht="15.75" customHeight="1">
      <c r="A22" s="6185"/>
      <c r="B22" s="6193"/>
      <c r="C22" s="6187"/>
      <c r="D22" s="6195"/>
      <c r="E22" s="6211" t="s">
        <v>195</v>
      </c>
      <c r="F22" s="6212">
        <f t="array" ref="F22">IFERROR(VLOOKUP(E6,Dex!$B$3:$N1218,11,FALSE),"")</f>
        <v>70</v>
      </c>
      <c r="G22" s="6213" t="str">
        <f t="array" ref="G22">IFERROR(VLOOKUP(F22,Dex!$P$22:$Q$276,2,FALSE),"")</f>
        <v/>
      </c>
      <c r="H22" s="6214"/>
      <c r="I22" s="6207"/>
      <c r="J22" s="6211" t="s">
        <v>195</v>
      </c>
      <c r="K22" s="6212">
        <f t="array" ref="K22">IFERROR(VLOOKUP(J6,Dex!$B$3:$N1218,11,FALSE),"")</f>
        <v>125</v>
      </c>
      <c r="L22" s="6213" t="str">
        <f t="array" ref="L22">IFERROR(VLOOKUP(K22,Dex!$P$22:$Q$276,2,FALSE),"")</f>
        <v/>
      </c>
      <c r="M22" s="6214">
        <v>252.0</v>
      </c>
      <c r="N22" s="6208"/>
      <c r="O22" s="6211" t="s">
        <v>195</v>
      </c>
      <c r="P22" s="6212">
        <f t="array" ref="P22">IFERROR(VLOOKUP(O6,Dex!$B$3:$N1218,11,FALSE),"")</f>
        <v>130</v>
      </c>
      <c r="Q22" s="6213" t="str">
        <f t="array" ref="Q22">IFERROR(VLOOKUP(P22,Dex!$P$22:$Q$276,2,FALSE),"")</f>
        <v/>
      </c>
      <c r="R22" s="6214"/>
      <c r="S22" s="6209"/>
      <c r="T22" s="6211" t="s">
        <v>195</v>
      </c>
      <c r="U22" s="6212">
        <f t="array" ref="U22">IFERROR(VLOOKUP(T6,Dex!$B$3:$N1218,11,FALSE),"")</f>
        <v>60</v>
      </c>
      <c r="V22" s="6213" t="str">
        <f t="array" ref="V22">IFERROR(VLOOKUP(U22,Dex!$P$22:$Q$276,2,FALSE),"")</f>
        <v/>
      </c>
      <c r="W22" s="6214"/>
      <c r="X22" s="6209"/>
      <c r="Y22" s="6211" t="s">
        <v>195</v>
      </c>
      <c r="Z22" s="6212">
        <f t="array" ref="Z22">IFERROR(VLOOKUP(Y6,Dex!$B$3:$N1218,11,FALSE),"")</f>
        <v>100</v>
      </c>
      <c r="AA22" s="6213" t="str">
        <f t="array" ref="AA22">IFERROR(VLOOKUP(Z22,Dex!$P$22:$Q$276,2,FALSE),"")</f>
        <v/>
      </c>
      <c r="AB22" s="6214">
        <v>252.0</v>
      </c>
      <c r="AC22" s="6209"/>
      <c r="AD22" s="6211" t="s">
        <v>195</v>
      </c>
      <c r="AE22" s="6212">
        <f t="array" ref="AE22">IFERROR(VLOOKUP(AD6,Dex!$B$3:$N1218,11,FALSE),"")</f>
        <v>110</v>
      </c>
      <c r="AF22" s="6213" t="str">
        <f t="array" ref="AF22">IFERROR(VLOOKUP(AE22,Dex!$P$22:$Q$276,2,FALSE),"")</f>
        <v/>
      </c>
      <c r="AG22" s="6214">
        <v>252.0</v>
      </c>
      <c r="AH22" s="6201"/>
      <c r="AI22" s="6192"/>
    </row>
    <row r="23" ht="15.75" customHeight="1">
      <c r="A23" s="6185"/>
      <c r="B23" s="6193"/>
      <c r="C23" s="6187"/>
      <c r="D23" s="6195"/>
      <c r="E23" s="6211" t="s">
        <v>196</v>
      </c>
      <c r="F23" s="6212">
        <f t="array" ref="F23">IFERROR(VLOOKUP(E6,Dex!$B$3:$N1218,12,FALSE),"")</f>
        <v>70</v>
      </c>
      <c r="G23" s="6213" t="str">
        <f t="array" ref="G23">IFERROR(VLOOKUP(F23,Dex!$P$22:$Q$276,2,FALSE),"")</f>
        <v/>
      </c>
      <c r="H23" s="6214"/>
      <c r="I23" s="6207"/>
      <c r="J23" s="6211" t="s">
        <v>196</v>
      </c>
      <c r="K23" s="6212">
        <f t="array" ref="K23">IFERROR(VLOOKUP(J6,Dex!$B$3:$N1218,12,FALSE),"")</f>
        <v>75</v>
      </c>
      <c r="L23" s="6213" t="str">
        <f t="array" ref="L23">IFERROR(VLOOKUP(K23,Dex!$P$22:$Q$276,2,FALSE),"")</f>
        <v/>
      </c>
      <c r="M23" s="6214"/>
      <c r="N23" s="6208"/>
      <c r="O23" s="6211" t="s">
        <v>196</v>
      </c>
      <c r="P23" s="6212">
        <f t="array" ref="P23">IFERROR(VLOOKUP(O6,Dex!$B$3:$N1218,12,FALSE),"")</f>
        <v>85</v>
      </c>
      <c r="Q23" s="6213" t="str">
        <f t="array" ref="Q23">IFERROR(VLOOKUP(P23,Dex!$P$22:$Q$276,2,FALSE),"")</f>
        <v/>
      </c>
      <c r="R23" s="6214"/>
      <c r="S23" s="6209"/>
      <c r="T23" s="6211" t="s">
        <v>196</v>
      </c>
      <c r="U23" s="6212">
        <f t="array" ref="U23">IFERROR(VLOOKUP(T6,Dex!$B$3:$N1218,12,FALSE),"")</f>
        <v>100</v>
      </c>
      <c r="V23" s="6213" t="str">
        <f t="array" ref="V23">IFERROR(VLOOKUP(U23,Dex!$P$22:$Q$276,2,FALSE),"")</f>
        <v/>
      </c>
      <c r="W23" s="6214"/>
      <c r="X23" s="6209"/>
      <c r="Y23" s="6211" t="s">
        <v>196</v>
      </c>
      <c r="Z23" s="6212">
        <f t="array" ref="Z23">IFERROR(VLOOKUP(Y6,Dex!$B$3:$N1218,12,FALSE),"")</f>
        <v>100</v>
      </c>
      <c r="AA23" s="6213" t="str">
        <f t="array" ref="AA23">IFERROR(VLOOKUP(Z23,Dex!$P$22:$Q$276,2,FALSE),"")</f>
        <v/>
      </c>
      <c r="AB23" s="6214">
        <v>4.0</v>
      </c>
      <c r="AC23" s="6209"/>
      <c r="AD23" s="6211" t="s">
        <v>196</v>
      </c>
      <c r="AE23" s="6212">
        <f t="array" ref="AE23">IFERROR(VLOOKUP(AD6,Dex!$B$3:$N1218,12,FALSE),"")</f>
        <v>95</v>
      </c>
      <c r="AF23" s="6213" t="str">
        <f t="array" ref="AF23">IFERROR(VLOOKUP(AE23,Dex!$P$22:$Q$276,2,FALSE),"")</f>
        <v/>
      </c>
      <c r="AG23" s="6214">
        <v>4.0</v>
      </c>
      <c r="AH23" s="6201"/>
      <c r="AI23" s="6192"/>
    </row>
    <row r="24" ht="15.75" customHeight="1">
      <c r="A24" s="6185"/>
      <c r="B24" s="6193"/>
      <c r="C24" s="6187"/>
      <c r="D24" s="6195"/>
      <c r="E24" s="6215" t="s">
        <v>197</v>
      </c>
      <c r="F24" s="6216">
        <f t="array" ref="F24">IFERROR(VLOOKUP(E6,Dex!$B$3:$N1218,13,FALSE),"")</f>
        <v>110</v>
      </c>
      <c r="G24" s="6217" t="str">
        <f t="array" ref="G24">IFERROR(VLOOKUP(F24,Dex!$P$22:$Q$276,2,FALSE),"")</f>
        <v/>
      </c>
      <c r="H24" s="6218">
        <v>252.0</v>
      </c>
      <c r="I24" s="6207"/>
      <c r="J24" s="6215" t="s">
        <v>197</v>
      </c>
      <c r="K24" s="6216">
        <f t="array" ref="K24">IFERROR(VLOOKUP(J6,Dex!$B$3:$N1218,13,FALSE),"")</f>
        <v>55</v>
      </c>
      <c r="L24" s="6217" t="str">
        <f t="array" ref="L24">IFERROR(VLOOKUP(K24,Dex!$P$22:$Q$276,2,FALSE),"")</f>
        <v/>
      </c>
      <c r="M24" s="6218"/>
      <c r="N24" s="6208"/>
      <c r="O24" s="6215" t="s">
        <v>197</v>
      </c>
      <c r="P24" s="6216">
        <f t="array" ref="P24">IFERROR(VLOOKUP(O6,Dex!$B$3:$N1218,13,FALSE),"")</f>
        <v>100</v>
      </c>
      <c r="Q24" s="6217" t="str">
        <f t="array" ref="Q24">IFERROR(VLOOKUP(P24,Dex!$P$22:$Q$276,2,FALSE),"")</f>
        <v/>
      </c>
      <c r="R24" s="6218">
        <v>252.0</v>
      </c>
      <c r="S24" s="6209"/>
      <c r="T24" s="6215" t="s">
        <v>197</v>
      </c>
      <c r="U24" s="6216">
        <f t="array" ref="U24">IFERROR(VLOOKUP(T6,Dex!$B$3:$N1218,13,FALSE),"")</f>
        <v>81</v>
      </c>
      <c r="V24" s="6217" t="str">
        <f t="array" ref="V24">IFERROR(VLOOKUP(U24,Dex!$P$22:$Q$276,2,FALSE),"")</f>
        <v/>
      </c>
      <c r="W24" s="6218">
        <v>252.0</v>
      </c>
      <c r="X24" s="6209"/>
      <c r="Y24" s="6215" t="s">
        <v>197</v>
      </c>
      <c r="Z24" s="6216">
        <f t="array" ref="Z24">IFERROR(VLOOKUP(Y6,Dex!$B$3:$N1218,13,FALSE),"")</f>
        <v>100</v>
      </c>
      <c r="AA24" s="6217" t="str">
        <f t="array" ref="AA24">IFERROR(VLOOKUP(Z24,Dex!$P$22:$Q$276,2,FALSE),"")</f>
        <v/>
      </c>
      <c r="AB24" s="6218">
        <v>252.0</v>
      </c>
      <c r="AC24" s="6209"/>
      <c r="AD24" s="6215" t="s">
        <v>197</v>
      </c>
      <c r="AE24" s="6216">
        <f t="array" ref="AE24">IFERROR(VLOOKUP(AD6,Dex!$B$3:$N1218,13,FALSE),"")</f>
        <v>130</v>
      </c>
      <c r="AF24" s="6217" t="str">
        <f t="array" ref="AF24">IFERROR(VLOOKUP(AE24,Dex!$P$22:$Q$276,2,FALSE),"")</f>
        <v/>
      </c>
      <c r="AG24" s="6218">
        <v>252.0</v>
      </c>
      <c r="AH24" s="6201"/>
      <c r="AI24" s="6192"/>
    </row>
    <row r="25" ht="16.5" customHeight="1">
      <c r="A25" s="6185"/>
      <c r="B25" s="6193"/>
      <c r="C25" s="6187"/>
      <c r="D25" s="6195"/>
      <c r="E25" s="6219" t="s">
        <v>198</v>
      </c>
      <c r="F25" s="405"/>
      <c r="G25" s="406"/>
      <c r="H25" s="6220">
        <v>350.0</v>
      </c>
      <c r="I25" s="6198"/>
      <c r="J25" s="6219" t="s">
        <v>198</v>
      </c>
      <c r="K25" s="405"/>
      <c r="L25" s="406"/>
      <c r="M25" s="6220">
        <v>146.0</v>
      </c>
      <c r="N25" s="6199"/>
      <c r="O25" s="6219" t="s">
        <v>198</v>
      </c>
      <c r="P25" s="405"/>
      <c r="Q25" s="406"/>
      <c r="R25" s="6220">
        <v>328.0</v>
      </c>
      <c r="S25" s="6200"/>
      <c r="T25" s="6219" t="s">
        <v>198</v>
      </c>
      <c r="U25" s="405"/>
      <c r="V25" s="406"/>
      <c r="W25" s="6220">
        <v>287.0</v>
      </c>
      <c r="X25" s="6200"/>
      <c r="Y25" s="6219" t="s">
        <v>198</v>
      </c>
      <c r="Z25" s="405"/>
      <c r="AA25" s="406"/>
      <c r="AB25" s="6220">
        <v>328.0</v>
      </c>
      <c r="AC25" s="6209"/>
      <c r="AD25" s="6221" t="s">
        <v>198</v>
      </c>
      <c r="AE25" s="918"/>
      <c r="AF25" s="919"/>
      <c r="AG25" s="6222">
        <v>394.0</v>
      </c>
      <c r="AH25" s="6201"/>
      <c r="AI25" s="6192"/>
    </row>
    <row r="26" ht="16.5" customHeight="1">
      <c r="A26" s="6185"/>
      <c r="B26" s="6223"/>
      <c r="C26" s="6224"/>
      <c r="D26" s="6225"/>
      <c r="E26" s="6187"/>
      <c r="F26" s="6187"/>
      <c r="G26" s="6187"/>
      <c r="H26" s="6187"/>
      <c r="I26" s="6226"/>
      <c r="J26" s="6227"/>
      <c r="K26" s="6227"/>
      <c r="L26" s="6227"/>
      <c r="M26" s="6187"/>
      <c r="N26" s="6228"/>
      <c r="O26" s="6227"/>
      <c r="P26" s="6227"/>
      <c r="Q26" s="6227"/>
      <c r="R26" s="6187"/>
      <c r="S26" s="6229"/>
      <c r="T26" s="6227"/>
      <c r="U26" s="6227"/>
      <c r="V26" s="6227"/>
      <c r="W26" s="6187"/>
      <c r="X26" s="6229"/>
      <c r="Y26" s="6227"/>
      <c r="Z26" s="6227"/>
      <c r="AA26" s="6227"/>
      <c r="AB26" s="6187"/>
      <c r="AC26" s="6229"/>
      <c r="AD26" s="6230" t="s">
        <v>1509</v>
      </c>
      <c r="AE26" s="925"/>
      <c r="AF26" s="926"/>
      <c r="AG26" s="6231">
        <v>788.0</v>
      </c>
      <c r="AH26" s="6232"/>
      <c r="AI26" s="6192"/>
    </row>
    <row r="27" ht="11.25" customHeight="1">
      <c r="A27" s="6185"/>
      <c r="B27" s="6223"/>
      <c r="C27" s="6224"/>
      <c r="D27" s="6225"/>
      <c r="E27" s="6224"/>
      <c r="F27" s="6224"/>
      <c r="G27" s="6224"/>
      <c r="H27" s="6224"/>
      <c r="I27" s="6226"/>
      <c r="J27" s="6224"/>
      <c r="K27" s="6224"/>
      <c r="L27" s="6224"/>
      <c r="M27" s="6224"/>
      <c r="N27" s="6228"/>
      <c r="O27" s="6224"/>
      <c r="P27" s="6224"/>
      <c r="Q27" s="6224"/>
      <c r="R27" s="6224"/>
      <c r="S27" s="6229"/>
      <c r="T27" s="6224"/>
      <c r="U27" s="6224"/>
      <c r="V27" s="6224"/>
      <c r="W27" s="6224"/>
      <c r="X27" s="6229"/>
      <c r="Y27" s="6224"/>
      <c r="Z27" s="6224"/>
      <c r="AA27" s="6224"/>
      <c r="AB27" s="6224"/>
      <c r="AC27" s="6229"/>
      <c r="AD27" s="6224"/>
      <c r="AE27" s="6224"/>
      <c r="AF27" s="6224"/>
      <c r="AG27" s="6224"/>
      <c r="AH27" s="6232"/>
      <c r="AI27" s="6192"/>
    </row>
    <row r="28" ht="11.25" customHeight="1">
      <c r="A28" s="6185"/>
      <c r="B28" s="6223"/>
      <c r="C28" s="6224"/>
      <c r="D28" s="6225"/>
      <c r="E28" s="3180" t="s">
        <v>949</v>
      </c>
      <c r="F28" s="3181"/>
      <c r="G28" s="3181"/>
      <c r="H28" s="3181"/>
      <c r="I28" s="3181"/>
      <c r="J28" s="3181"/>
      <c r="K28" s="3181"/>
      <c r="L28" s="3181"/>
      <c r="M28" s="3181"/>
      <c r="N28" s="3181"/>
      <c r="O28" s="3181"/>
      <c r="P28" s="3181"/>
      <c r="Q28" s="3181"/>
      <c r="R28" s="3181"/>
      <c r="S28" s="3181"/>
      <c r="T28" s="3181"/>
      <c r="U28" s="3181"/>
      <c r="V28" s="3181"/>
      <c r="W28" s="3181"/>
      <c r="X28" s="3181"/>
      <c r="Y28" s="3181"/>
      <c r="Z28" s="3181"/>
      <c r="AA28" s="3181"/>
      <c r="AB28" s="3181"/>
      <c r="AC28" s="3181"/>
      <c r="AD28" s="3181"/>
      <c r="AE28" s="3181"/>
      <c r="AF28" s="3181"/>
      <c r="AG28" s="3182"/>
      <c r="AH28" s="6232"/>
      <c r="AI28" s="6192"/>
    </row>
    <row r="29" ht="11.25" customHeight="1">
      <c r="A29" s="6185"/>
      <c r="B29" s="6223"/>
      <c r="C29" s="6224"/>
      <c r="D29" s="6225"/>
      <c r="E29" s="114"/>
      <c r="F29" s="3185"/>
      <c r="G29" s="3185"/>
      <c r="H29" s="3185"/>
      <c r="I29" s="3185"/>
      <c r="J29" s="3185"/>
      <c r="K29" s="3185"/>
      <c r="L29" s="3185"/>
      <c r="M29" s="3185"/>
      <c r="N29" s="3185"/>
      <c r="O29" s="3185"/>
      <c r="P29" s="3185"/>
      <c r="Q29" s="3185"/>
      <c r="R29" s="3185"/>
      <c r="S29" s="3185"/>
      <c r="T29" s="3185"/>
      <c r="U29" s="3185"/>
      <c r="V29" s="3185"/>
      <c r="W29" s="3185"/>
      <c r="X29" s="3185"/>
      <c r="Y29" s="3185"/>
      <c r="Z29" s="3185"/>
      <c r="AA29" s="3185"/>
      <c r="AB29" s="3185"/>
      <c r="AC29" s="3185"/>
      <c r="AD29" s="3185"/>
      <c r="AE29" s="3185"/>
      <c r="AF29" s="3185"/>
      <c r="AG29" s="3186"/>
      <c r="AH29" s="6232"/>
      <c r="AI29" s="6192"/>
    </row>
    <row r="30" ht="3.75" customHeight="1">
      <c r="A30" s="6185"/>
      <c r="B30" s="6223"/>
      <c r="C30" s="6224"/>
      <c r="D30" s="6225"/>
      <c r="E30" s="6233"/>
      <c r="F30" s="6233"/>
      <c r="G30" s="6233"/>
      <c r="H30" s="6233"/>
      <c r="I30" s="6234"/>
      <c r="J30" s="6233"/>
      <c r="K30" s="6233"/>
      <c r="L30" s="6233"/>
      <c r="M30" s="6233"/>
      <c r="N30" s="6235"/>
      <c r="O30" s="6233"/>
      <c r="P30" s="6233"/>
      <c r="Q30" s="6233"/>
      <c r="R30" s="6233"/>
      <c r="S30" s="6236"/>
      <c r="T30" s="6233"/>
      <c r="U30" s="6233"/>
      <c r="V30" s="6233"/>
      <c r="W30" s="6233"/>
      <c r="X30" s="6236"/>
      <c r="Y30" s="6233"/>
      <c r="Z30" s="6233"/>
      <c r="AA30" s="6233"/>
      <c r="AB30" s="6233"/>
      <c r="AC30" s="6236"/>
      <c r="AD30" s="6233"/>
      <c r="AE30" s="6233"/>
      <c r="AF30" s="6233"/>
      <c r="AG30" s="6233"/>
      <c r="AH30" s="6232"/>
      <c r="AI30" s="6192"/>
    </row>
    <row r="31" ht="96.75" customHeight="1">
      <c r="A31" s="6125"/>
      <c r="B31" s="6133"/>
      <c r="C31" s="6136" t="str">
        <f>IMAGE("https://i.ibb.co/88pHxt3/Oak.png")</f>
        <v/>
      </c>
      <c r="D31" s="6237"/>
      <c r="E31" s="6138" t="str">
        <f t="array" ref="E31">IFERROR(VLOOKUP(E32,Dex!$B$3:$G1218,3,FALSE),"")</f>
        <v/>
      </c>
      <c r="F31" s="1830"/>
      <c r="G31" s="1830"/>
      <c r="H31" s="1831"/>
      <c r="I31" s="6238"/>
      <c r="J31" s="6138" t="str">
        <f t="array" ref="J31">IFERROR(VLOOKUP(J32,Dex!$B$3:$G1218,3,FALSE),"")</f>
        <v/>
      </c>
      <c r="K31" s="1830"/>
      <c r="L31" s="1830"/>
      <c r="M31" s="1831"/>
      <c r="N31" s="6238"/>
      <c r="O31" s="6138" t="str">
        <f t="array" ref="O31">IFERROR(VLOOKUP(O32,Dex!$B$3:$G1218,3,FALSE),"")</f>
        <v/>
      </c>
      <c r="P31" s="1830"/>
      <c r="Q31" s="1830"/>
      <c r="R31" s="1831"/>
      <c r="S31" s="6238"/>
      <c r="T31" s="6138" t="str">
        <f t="array" ref="T31">IFERROR(VLOOKUP(T32,Dex!$B$3:$G1218,3,FALSE),"")</f>
        <v/>
      </c>
      <c r="U31" s="1830"/>
      <c r="V31" s="1830"/>
      <c r="W31" s="1831"/>
      <c r="X31" s="6238"/>
      <c r="Y31" s="6138" t="str">
        <f t="array" ref="Y31">IFERROR(VLOOKUP(Y32,Dex!$B$3:$G1218,3,FALSE),"")</f>
        <v/>
      </c>
      <c r="Z31" s="1830"/>
      <c r="AA31" s="1830"/>
      <c r="AB31" s="1831"/>
      <c r="AC31" s="6238"/>
      <c r="AD31" s="6138" t="str">
        <f t="array" ref="AD31">IFERROR(VLOOKUP(AD32,Dex!$B$3:$G1218,3,FALSE),"")</f>
        <v/>
      </c>
      <c r="AE31" s="1830"/>
      <c r="AF31" s="1830"/>
      <c r="AG31" s="1831"/>
      <c r="AH31" s="6132"/>
      <c r="AI31" s="6129"/>
    </row>
    <row r="32" ht="18.75" customHeight="1">
      <c r="A32" s="6140"/>
      <c r="B32" s="6141"/>
      <c r="C32" s="6142" t="s">
        <v>1510</v>
      </c>
      <c r="D32" s="6239"/>
      <c r="E32" s="6144" t="s">
        <v>1511</v>
      </c>
      <c r="F32" s="6145"/>
      <c r="G32" s="6145"/>
      <c r="H32" s="6146"/>
      <c r="J32" s="6144" t="s">
        <v>744</v>
      </c>
      <c r="K32" s="6145"/>
      <c r="L32" s="6145"/>
      <c r="M32" s="6146"/>
      <c r="O32" s="6144" t="s">
        <v>1512</v>
      </c>
      <c r="P32" s="6145"/>
      <c r="Q32" s="6145"/>
      <c r="R32" s="6146"/>
      <c r="T32" s="6144" t="s">
        <v>1513</v>
      </c>
      <c r="U32" s="6145"/>
      <c r="V32" s="6145"/>
      <c r="W32" s="6146"/>
      <c r="Y32" s="6144" t="s">
        <v>1514</v>
      </c>
      <c r="Z32" s="6145"/>
      <c r="AA32" s="6145"/>
      <c r="AB32" s="6146"/>
      <c r="AD32" s="6144" t="s">
        <v>888</v>
      </c>
      <c r="AE32" s="6145"/>
      <c r="AF32" s="6145"/>
      <c r="AG32" s="6146"/>
      <c r="AH32" s="6240"/>
      <c r="AI32" s="6149"/>
    </row>
    <row r="33">
      <c r="A33" s="6125"/>
      <c r="B33" s="6133"/>
      <c r="C33" s="1481"/>
      <c r="D33" s="6241"/>
      <c r="E33" s="6151" t="s">
        <v>1502</v>
      </c>
      <c r="F33" s="6152"/>
      <c r="G33" s="6152"/>
      <c r="H33" s="6153"/>
      <c r="J33" s="6151" t="s">
        <v>1502</v>
      </c>
      <c r="K33" s="6152"/>
      <c r="L33" s="6152"/>
      <c r="M33" s="6153"/>
      <c r="O33" s="6151" t="s">
        <v>1502</v>
      </c>
      <c r="P33" s="6152"/>
      <c r="Q33" s="6152"/>
      <c r="R33" s="6153"/>
      <c r="T33" s="6151" t="s">
        <v>1502</v>
      </c>
      <c r="U33" s="6152"/>
      <c r="V33" s="6152"/>
      <c r="W33" s="6153"/>
      <c r="Y33" s="6151" t="s">
        <v>1502</v>
      </c>
      <c r="Z33" s="6152"/>
      <c r="AA33" s="6152"/>
      <c r="AB33" s="6153"/>
      <c r="AD33" s="6151" t="s">
        <v>1502</v>
      </c>
      <c r="AE33" s="6152"/>
      <c r="AF33" s="6152"/>
      <c r="AG33" s="6153"/>
      <c r="AH33" s="6132"/>
      <c r="AI33" s="6129"/>
    </row>
    <row r="34" ht="25.5" customHeight="1">
      <c r="A34" s="6125"/>
      <c r="B34" s="6133"/>
      <c r="C34" s="1489"/>
      <c r="D34" s="6154"/>
      <c r="E34" s="6155"/>
      <c r="F34" s="6159" t="str">
        <f t="array" ref="F34">IFERROR(VLOOKUP(E32,Dex!$B$3:$H1218,5,FALSE),"")</f>
        <v/>
      </c>
      <c r="G34" s="6160" t="str">
        <f t="array" ref="G34">IFERROR(VLOOKUP(E32,Dex!$B$3:$H1218,7,FALSE),"")</f>
        <v/>
      </c>
      <c r="H34" s="6158"/>
      <c r="J34" s="6155"/>
      <c r="K34" s="6156" t="str">
        <f t="array" ref="K34">IFERROR(VLOOKUP(J32,Dex!$B$3:$H1218,5,FALSE),"")</f>
        <v/>
      </c>
      <c r="L34" s="6157"/>
      <c r="M34" s="6158"/>
      <c r="O34" s="6155"/>
      <c r="P34" s="6156" t="str">
        <f t="array" ref="P34">IFERROR(VLOOKUP(O32,Dex!$B$3:$H1218,5,FALSE),"")</f>
        <v/>
      </c>
      <c r="Q34" s="6157"/>
      <c r="R34" s="6158"/>
      <c r="T34" s="6155"/>
      <c r="U34" s="6159" t="str">
        <f t="array" ref="U34">IFERROR(VLOOKUP(T32,Dex!$B$3:$H1218,5,FALSE),"")</f>
        <v/>
      </c>
      <c r="V34" s="6160" t="str">
        <f t="array" ref="V34">IFERROR(VLOOKUP(T32,Dex!$B$3:$H1218,7,FALSE),"")</f>
        <v/>
      </c>
      <c r="W34" s="6158"/>
      <c r="Y34" s="6155"/>
      <c r="Z34" s="6156" t="str">
        <f t="array" ref="Z34">IFERROR(VLOOKUP(Y32,Dex!$B$3:$H1218,5,FALSE),"")</f>
        <v/>
      </c>
      <c r="AA34" s="6157"/>
      <c r="AB34" s="6158"/>
      <c r="AD34" s="6155"/>
      <c r="AE34" s="6159" t="str">
        <f t="array" ref="AE34">IFERROR(VLOOKUP(AD32,Dex!$B$3:$H1218,5,FALSE),"")</f>
        <v/>
      </c>
      <c r="AF34" s="6160" t="str">
        <f t="array" ref="AF34">IFERROR(VLOOKUP(AD32,Dex!$B$3:$H1218,7,FALSE),"")</f>
        <v/>
      </c>
      <c r="AG34" s="6158"/>
      <c r="AH34" s="6135"/>
      <c r="AI34" s="6129"/>
    </row>
    <row r="35" ht="2.25" customHeight="1">
      <c r="A35" s="6125"/>
      <c r="B35" s="6133"/>
      <c r="C35" s="6161"/>
      <c r="D35" s="6154"/>
      <c r="E35" s="6162"/>
      <c r="F35" s="6163"/>
      <c r="G35" s="6163"/>
      <c r="H35" s="6164"/>
      <c r="J35" s="6162"/>
      <c r="K35" s="6163"/>
      <c r="L35" s="6163"/>
      <c r="M35" s="6164"/>
      <c r="O35" s="6162"/>
      <c r="P35" s="6163"/>
      <c r="Q35" s="6163"/>
      <c r="R35" s="6164"/>
      <c r="T35" s="6162"/>
      <c r="U35" s="6163"/>
      <c r="V35" s="6163"/>
      <c r="W35" s="6164"/>
      <c r="Y35" s="6162"/>
      <c r="Z35" s="6163"/>
      <c r="AA35" s="6163"/>
      <c r="AB35" s="6164"/>
      <c r="AD35" s="6162"/>
      <c r="AE35" s="6163"/>
      <c r="AF35" s="6163"/>
      <c r="AG35" s="6164"/>
      <c r="AH35" s="6135"/>
      <c r="AI35" s="6129"/>
    </row>
    <row r="36" ht="20.25" customHeight="1">
      <c r="A36" s="6125"/>
      <c r="B36" s="6133"/>
      <c r="C36" s="6147"/>
      <c r="D36" s="6242"/>
      <c r="E36" s="6165" t="s">
        <v>205</v>
      </c>
      <c r="F36" s="6166"/>
      <c r="G36" s="6166"/>
      <c r="H36" s="6167"/>
      <c r="J36" s="6165" t="s">
        <v>205</v>
      </c>
      <c r="K36" s="6166"/>
      <c r="L36" s="6166"/>
      <c r="M36" s="6167"/>
      <c r="O36" s="6165" t="s">
        <v>172</v>
      </c>
      <c r="P36" s="6166"/>
      <c r="Q36" s="6166"/>
      <c r="R36" s="6167"/>
      <c r="T36" s="6165" t="s">
        <v>779</v>
      </c>
      <c r="U36" s="6166"/>
      <c r="V36" s="6166"/>
      <c r="W36" s="6167"/>
      <c r="Y36" s="6165" t="s">
        <v>169</v>
      </c>
      <c r="Z36" s="6166"/>
      <c r="AA36" s="6166"/>
      <c r="AB36" s="6167"/>
      <c r="AD36" s="6165" t="s">
        <v>205</v>
      </c>
      <c r="AE36" s="6166"/>
      <c r="AF36" s="6166"/>
      <c r="AG36" s="6167"/>
      <c r="AH36" s="6132"/>
      <c r="AI36" s="6129"/>
    </row>
    <row r="37">
      <c r="A37" s="6125"/>
      <c r="B37" s="6133"/>
      <c r="C37" s="6147"/>
      <c r="D37" s="6242"/>
      <c r="E37" s="6168" t="s">
        <v>1515</v>
      </c>
      <c r="F37" s="6169"/>
      <c r="G37" s="6169"/>
      <c r="H37" s="6170"/>
      <c r="J37" s="6168" t="s">
        <v>1516</v>
      </c>
      <c r="K37" s="6169"/>
      <c r="L37" s="6169"/>
      <c r="M37" s="6170"/>
      <c r="O37" s="6168" t="s">
        <v>1517</v>
      </c>
      <c r="P37" s="6169"/>
      <c r="Q37" s="6169"/>
      <c r="R37" s="6170"/>
      <c r="T37" s="6168" t="s">
        <v>808</v>
      </c>
      <c r="U37" s="6169"/>
      <c r="V37" s="6169"/>
      <c r="W37" s="6170"/>
      <c r="Y37" s="6168" t="s">
        <v>1306</v>
      </c>
      <c r="Z37" s="6169"/>
      <c r="AA37" s="6169"/>
      <c r="AB37" s="6170"/>
      <c r="AD37" s="6168" t="s">
        <v>329</v>
      </c>
      <c r="AE37" s="6169"/>
      <c r="AF37" s="6169"/>
      <c r="AG37" s="6170"/>
      <c r="AH37" s="6132"/>
      <c r="AI37" s="6129"/>
    </row>
    <row r="38" ht="20.25" customHeight="1">
      <c r="A38" s="6125"/>
      <c r="B38" s="6133"/>
      <c r="C38" s="6147"/>
      <c r="D38" s="6242"/>
      <c r="E38" s="6171" t="s">
        <v>1518</v>
      </c>
      <c r="F38" s="6172"/>
      <c r="G38" s="6173"/>
      <c r="H38" s="6174" t="str">
        <f>IMAGE("https://raw.githubusercontent.com/msikma/pokesprite/master/items/mega-stone/pidgeotite.png",3)</f>
        <v/>
      </c>
      <c r="J38" s="6171" t="s">
        <v>748</v>
      </c>
      <c r="K38" s="6172"/>
      <c r="L38" s="6173"/>
      <c r="M38" s="6174" t="str">
        <f>IMAGE("https://raw.githubusercontent.com/msikma/pokesprite/master/items/mega-stone/blastoisinite.png",3)</f>
        <v/>
      </c>
      <c r="O38" s="6171" t="s">
        <v>1508</v>
      </c>
      <c r="P38" s="6172"/>
      <c r="Q38" s="6173"/>
      <c r="R38" s="6174" t="str">
        <f>IMAGE("https://raw.githubusercontent.com/msikma/pokesprite/master/items/z-crystals/eevium-z--held.png",3)</f>
        <v/>
      </c>
      <c r="T38" s="6171" t="s">
        <v>1519</v>
      </c>
      <c r="U38" s="6172"/>
      <c r="V38" s="6173"/>
      <c r="W38" s="6174" t="str">
        <f>IMAGE("https://raw.githubusercontent.com/msikma/pokesprite/master/items/gem/flying.png",3)</f>
        <v/>
      </c>
      <c r="Y38" s="6171" t="s">
        <v>473</v>
      </c>
      <c r="Z38" s="6172"/>
      <c r="AA38" s="6173"/>
      <c r="AB38" s="6174" t="str">
        <f>IMAGE("https://raw.githubusercontent.com/msikma/pokesprite/master/items/hold-item/assault-vest.png",3)</f>
        <v/>
      </c>
      <c r="AD38" s="6171" t="s">
        <v>272</v>
      </c>
      <c r="AE38" s="6172"/>
      <c r="AF38" s="6173"/>
      <c r="AG38" s="6174" t="str">
        <f>IMAGE("https://raw.githubusercontent.com/msikma/pokesprite/master/items/hold-item/life-orb.png",3)</f>
        <v/>
      </c>
      <c r="AH38" s="6135"/>
      <c r="AI38" s="6129"/>
    </row>
    <row r="39" ht="20.25" customHeight="1">
      <c r="A39" s="6125"/>
      <c r="B39" s="6133"/>
      <c r="C39" s="6175"/>
      <c r="D39" s="6242"/>
      <c r="E39" s="6165" t="s">
        <v>461</v>
      </c>
      <c r="F39" s="6166"/>
      <c r="G39" s="6176"/>
      <c r="H39" s="6177" t="str">
        <f>IMAGE("https://raw.githubusercontent.com/msikma/pokesprite/master/misc/types/gen8/flying.png",4,20,20)</f>
        <v/>
      </c>
      <c r="J39" s="6165" t="s">
        <v>428</v>
      </c>
      <c r="K39" s="6166"/>
      <c r="L39" s="6176"/>
      <c r="M39" s="6177"/>
      <c r="O39" s="6165" t="s">
        <v>1520</v>
      </c>
      <c r="P39" s="6166"/>
      <c r="Q39" s="6176"/>
      <c r="R39" s="6177" t="str">
        <f>IMAGE("https://raw.githubusercontent.com/msikma/pokesprite/master/misc/types/gen8/fire.png",4,20,20)</f>
        <v/>
      </c>
      <c r="T39" s="6165" t="s">
        <v>630</v>
      </c>
      <c r="U39" s="6166"/>
      <c r="V39" s="6176"/>
      <c r="W39" s="6177" t="str">
        <f>IMAGE("https://raw.githubusercontent.com/msikma/pokesprite/master/misc/types/gen8/electric.png",4,20,20)</f>
        <v/>
      </c>
      <c r="Y39" s="6165" t="s">
        <v>1521</v>
      </c>
      <c r="Z39" s="6166"/>
      <c r="AA39" s="6176"/>
      <c r="AB39" s="6177" t="str">
        <f t="shared" ref="AB39:AB40" si="2">IMAGE("https://raw.githubusercontent.com/msikma/pokesprite/master/misc/types/gen8/fighting.png",4,20,20)</f>
        <v/>
      </c>
      <c r="AD39" s="6165" t="s">
        <v>405</v>
      </c>
      <c r="AE39" s="6166"/>
      <c r="AF39" s="6176"/>
      <c r="AG39" s="6177" t="str">
        <f>IMAGE("https://raw.githubusercontent.com/msikma/pokesprite/master/misc/types/gen8/poison.png",4,20,20)</f>
        <v/>
      </c>
      <c r="AH39" s="6135"/>
      <c r="AI39" s="6129"/>
    </row>
    <row r="40" ht="20.25" customHeight="1">
      <c r="A40" s="6125"/>
      <c r="B40" s="6133"/>
      <c r="C40" s="6178"/>
      <c r="D40" s="6242"/>
      <c r="E40" s="6168" t="s">
        <v>903</v>
      </c>
      <c r="F40" s="6169"/>
      <c r="G40" s="6179"/>
      <c r="H40" s="6180" t="str">
        <f>IMAGE("https://raw.githubusercontent.com/msikma/pokesprite/master/misc/types/gen8/fire.png",4,20,20)</f>
        <v/>
      </c>
      <c r="J40" s="6168" t="s">
        <v>216</v>
      </c>
      <c r="K40" s="6169"/>
      <c r="L40" s="6179"/>
      <c r="M40" s="6180" t="str">
        <f>IMAGE("https://raw.githubusercontent.com/msikma/pokesprite/master/misc/types/gen8/water.png",4,20,20)</f>
        <v/>
      </c>
      <c r="O40" s="6168" t="s">
        <v>835</v>
      </c>
      <c r="P40" s="6169"/>
      <c r="Q40" s="6179"/>
      <c r="R40" s="6180" t="str">
        <f>IMAGE("https://raw.githubusercontent.com/msikma/pokesprite/master/misc/types/gen8/normal.png",4,20,20)</f>
        <v/>
      </c>
      <c r="T40" s="6168" t="s">
        <v>749</v>
      </c>
      <c r="U40" s="6169"/>
      <c r="V40" s="6179"/>
      <c r="W40" s="6180" t="str">
        <f>IMAGE("https://raw.githubusercontent.com/msikma/pokesprite/master/misc/types/gen8/flying.png",4,20,20)</f>
        <v/>
      </c>
      <c r="Y40" s="6168" t="s">
        <v>256</v>
      </c>
      <c r="Z40" s="6169"/>
      <c r="AA40" s="6179"/>
      <c r="AB40" s="6180" t="str">
        <f t="shared" si="2"/>
        <v/>
      </c>
      <c r="AD40" s="6168" t="s">
        <v>286</v>
      </c>
      <c r="AE40" s="6169"/>
      <c r="AF40" s="6179"/>
      <c r="AG40" s="6180" t="str">
        <f>IMAGE("https://raw.githubusercontent.com/msikma/pokesprite/master/misc/types/gen8/ground.png",4,20,20)</f>
        <v/>
      </c>
      <c r="AH40" s="6135"/>
      <c r="AI40" s="6129"/>
    </row>
    <row r="41" ht="20.25" customHeight="1">
      <c r="A41" s="6125"/>
      <c r="B41" s="6133"/>
      <c r="C41" s="6178"/>
      <c r="D41" s="6242"/>
      <c r="E41" s="6168" t="s">
        <v>344</v>
      </c>
      <c r="F41" s="6169"/>
      <c r="G41" s="6179"/>
      <c r="H41" s="6180" t="str">
        <f>IMAGE("https://raw.githubusercontent.com/msikma/pokesprite/master/misc/types/gen8/fighting.png",4,20,20)</f>
        <v/>
      </c>
      <c r="J41" s="6168" t="s">
        <v>345</v>
      </c>
      <c r="K41" s="6169"/>
      <c r="L41" s="6179"/>
      <c r="M41" s="6180" t="str">
        <f>IMAGE("https://raw.githubusercontent.com/msikma/pokesprite/master/misc/types/gen8/dark.png",4,20,20)</f>
        <v/>
      </c>
      <c r="O41" s="6168" t="s">
        <v>435</v>
      </c>
      <c r="P41" s="6169"/>
      <c r="Q41" s="6179"/>
      <c r="R41" s="6180" t="str">
        <f>IMAGE("https://raw.githubusercontent.com/msikma/pokesprite/master/misc/types/gen8/electric.png",4,20,20)</f>
        <v/>
      </c>
      <c r="T41" s="6168" t="s">
        <v>278</v>
      </c>
      <c r="U41" s="6169"/>
      <c r="V41" s="6179"/>
      <c r="W41" s="6180" t="str">
        <f>IMAGE("https://raw.githubusercontent.com/msikma/pokesprite/master/misc/types/gen8/bug.png",4,20,20)</f>
        <v/>
      </c>
      <c r="Y41" s="6168" t="s">
        <v>399</v>
      </c>
      <c r="Z41" s="6169"/>
      <c r="AA41" s="6179"/>
      <c r="AB41" s="6180" t="str">
        <f>IMAGE("https://raw.githubusercontent.com/msikma/pokesprite/master/misc/types/gen8/rock.png",4,20,20)</f>
        <v/>
      </c>
      <c r="AD41" s="6168" t="s">
        <v>372</v>
      </c>
      <c r="AE41" s="6169"/>
      <c r="AF41" s="6179"/>
      <c r="AG41" s="6180" t="str">
        <f>IMAGE("https://raw.githubusercontent.com/msikma/pokesprite/master/misc/types/gen8/fire.png",4,20,20)</f>
        <v/>
      </c>
      <c r="AH41" s="6135"/>
      <c r="AI41" s="6129"/>
    </row>
    <row r="42" ht="21.0" customHeight="1">
      <c r="A42" s="6125"/>
      <c r="B42" s="6133"/>
      <c r="C42" s="6178"/>
      <c r="D42" s="6242"/>
      <c r="E42" s="6181" t="s">
        <v>278</v>
      </c>
      <c r="F42" s="6182"/>
      <c r="G42" s="6183"/>
      <c r="H42" s="6184" t="str">
        <f>IMAGE("https://raw.githubusercontent.com/msikma/pokesprite/master/misc/types/gen8/bug.png",4,20,20)</f>
        <v/>
      </c>
      <c r="I42" s="6243"/>
      <c r="J42" s="6181" t="s">
        <v>375</v>
      </c>
      <c r="K42" s="6182"/>
      <c r="L42" s="6183"/>
      <c r="M42" s="6184" t="str">
        <f>IMAGE("https://raw.githubusercontent.com/msikma/pokesprite/master/misc/types/gen8/fighting.png",4,20,20)</f>
        <v/>
      </c>
      <c r="N42" s="6243"/>
      <c r="O42" s="6181" t="s">
        <v>772</v>
      </c>
      <c r="P42" s="6182"/>
      <c r="Q42" s="6183"/>
      <c r="R42" s="6184" t="str">
        <f>IMAGE("https://raw.githubusercontent.com/msikma/pokesprite/master/misc/types/gen8/fighting.png",4,20,20)</f>
        <v/>
      </c>
      <c r="S42" s="6243"/>
      <c r="T42" s="6181" t="s">
        <v>223</v>
      </c>
      <c r="U42" s="6182"/>
      <c r="V42" s="6183"/>
      <c r="W42" s="6184" t="str">
        <f>IMAGE("https://raw.githubusercontent.com/msikma/pokesprite/master/misc/types/gen8/grass.png",4,20,20)</f>
        <v/>
      </c>
      <c r="X42" s="6243"/>
      <c r="Y42" s="6181" t="s">
        <v>279</v>
      </c>
      <c r="Z42" s="6182"/>
      <c r="AA42" s="6183"/>
      <c r="AB42" s="6184" t="str">
        <f>IMAGE("https://raw.githubusercontent.com/msikma/pokesprite/master/misc/types/gen8/dark.png",4,20,20)</f>
        <v/>
      </c>
      <c r="AC42" s="6243"/>
      <c r="AD42" s="6181" t="s">
        <v>317</v>
      </c>
      <c r="AE42" s="6182"/>
      <c r="AF42" s="6183"/>
      <c r="AG42" s="6184" t="str">
        <f>IMAGE("https://raw.githubusercontent.com/msikma/pokesprite/master/misc/types/gen8/ice.png",4,20,20)</f>
        <v/>
      </c>
      <c r="AH42" s="6135"/>
      <c r="AI42" s="6129"/>
    </row>
    <row r="43" ht="3.0" customHeight="1">
      <c r="A43" s="6185"/>
      <c r="B43" s="6186"/>
      <c r="C43" s="6187"/>
      <c r="D43" s="6188"/>
      <c r="E43" s="6244"/>
      <c r="F43" s="6244"/>
      <c r="G43" s="6244"/>
      <c r="H43" s="6188"/>
      <c r="I43" s="6188"/>
      <c r="J43" s="6244"/>
      <c r="K43" s="6244"/>
      <c r="L43" s="6244"/>
      <c r="M43" s="6188"/>
      <c r="N43" s="6188"/>
      <c r="O43" s="6244"/>
      <c r="P43" s="6244"/>
      <c r="Q43" s="6244"/>
      <c r="R43" s="6188"/>
      <c r="S43" s="6188"/>
      <c r="T43" s="6244"/>
      <c r="U43" s="6244"/>
      <c r="V43" s="6244"/>
      <c r="W43" s="6188"/>
      <c r="X43" s="6188"/>
      <c r="Y43" s="6244"/>
      <c r="Z43" s="6244"/>
      <c r="AA43" s="6244"/>
      <c r="AB43" s="6188"/>
      <c r="AC43" s="6190"/>
      <c r="AD43" s="6244"/>
      <c r="AE43" s="6244"/>
      <c r="AF43" s="6244"/>
      <c r="AG43" s="6188"/>
      <c r="AH43" s="6191"/>
      <c r="AI43" s="6192"/>
    </row>
    <row r="44" ht="16.5" customHeight="1">
      <c r="A44" s="6185"/>
      <c r="B44" s="6193"/>
      <c r="C44" s="6194"/>
      <c r="D44" s="6245"/>
      <c r="E44" s="6196" t="s">
        <v>190</v>
      </c>
      <c r="F44" s="381"/>
      <c r="G44" s="382"/>
      <c r="H44" s="6197" t="s">
        <v>191</v>
      </c>
      <c r="I44" s="6198"/>
      <c r="J44" s="6196" t="s">
        <v>190</v>
      </c>
      <c r="K44" s="381"/>
      <c r="L44" s="382"/>
      <c r="M44" s="6197" t="s">
        <v>191</v>
      </c>
      <c r="N44" s="6199"/>
      <c r="O44" s="6196" t="s">
        <v>190</v>
      </c>
      <c r="P44" s="381"/>
      <c r="Q44" s="382"/>
      <c r="R44" s="6197" t="s">
        <v>191</v>
      </c>
      <c r="S44" s="6200"/>
      <c r="T44" s="6196" t="s">
        <v>190</v>
      </c>
      <c r="U44" s="381"/>
      <c r="V44" s="382"/>
      <c r="W44" s="6197" t="s">
        <v>191</v>
      </c>
      <c r="X44" s="6200"/>
      <c r="Y44" s="6196" t="s">
        <v>190</v>
      </c>
      <c r="Z44" s="381"/>
      <c r="AA44" s="382"/>
      <c r="AB44" s="6197" t="s">
        <v>191</v>
      </c>
      <c r="AC44" s="6200"/>
      <c r="AD44" s="6196" t="s">
        <v>190</v>
      </c>
      <c r="AE44" s="381"/>
      <c r="AF44" s="382"/>
      <c r="AG44" s="6197" t="s">
        <v>191</v>
      </c>
      <c r="AH44" s="6201"/>
      <c r="AI44" s="6192"/>
    </row>
    <row r="45" ht="15.75" customHeight="1">
      <c r="A45" s="6185"/>
      <c r="B45" s="6193"/>
      <c r="C45" s="6202"/>
      <c r="D45" s="6195"/>
      <c r="E45" s="6203" t="s">
        <v>192</v>
      </c>
      <c r="F45" s="6204">
        <f t="array" ref="F45">IFERROR(VLOOKUP(E32,Dex!$B$3:$N1218,8,FALSE),"")</f>
        <v>83</v>
      </c>
      <c r="G45" s="6205" t="str">
        <f t="array" ref="G45">IFERROR(VLOOKUP(F45,Dex!$P$22:$Q$276,2,FALSE),"")</f>
        <v/>
      </c>
      <c r="H45" s="6206"/>
      <c r="I45" s="6207"/>
      <c r="J45" s="6203" t="s">
        <v>192</v>
      </c>
      <c r="K45" s="6204">
        <f t="array" ref="K45">IFERROR(VLOOKUP(J32,Dex!$B$3:$N1218,8,FALSE),"")</f>
        <v>79</v>
      </c>
      <c r="L45" s="6205" t="str">
        <f t="array" ref="L45">IFERROR(VLOOKUP(K45,Dex!$P$22:$Q$276,2,FALSE),"")</f>
        <v/>
      </c>
      <c r="M45" s="6206"/>
      <c r="N45" s="6208"/>
      <c r="O45" s="6203" t="s">
        <v>192</v>
      </c>
      <c r="P45" s="6204">
        <f t="array" ref="P45">IFERROR(VLOOKUP(O32,Dex!$B$3:$N1218,8,FALSE),"")</f>
        <v>65</v>
      </c>
      <c r="Q45" s="6205" t="str">
        <f t="array" ref="Q45">IFERROR(VLOOKUP(P45,Dex!$P$22:$Q$276,2,FALSE),"")</f>
        <v/>
      </c>
      <c r="R45" s="6206"/>
      <c r="S45" s="6209"/>
      <c r="T45" s="6203" t="s">
        <v>192</v>
      </c>
      <c r="U45" s="6204">
        <f t="array" ref="U45">IFERROR(VLOOKUP(T32,Dex!$B$3:$N1218,8,FALSE),"")</f>
        <v>90</v>
      </c>
      <c r="V45" s="6205" t="str">
        <f t="array" ref="V45">IFERROR(VLOOKUP(U45,Dex!$P$22:$Q$276,2,FALSE),"")</f>
        <v/>
      </c>
      <c r="W45" s="6206"/>
      <c r="X45" s="6209"/>
      <c r="Y45" s="6203" t="s">
        <v>192</v>
      </c>
      <c r="Z45" s="6204">
        <f t="array" ref="Z45">IFERROR(VLOOKUP(Y32,Dex!$B$3:$N1218,8,FALSE),"")</f>
        <v>90</v>
      </c>
      <c r="AA45" s="6205" t="str">
        <f t="array" ref="AA45">IFERROR(VLOOKUP(Z45,Dex!$P$22:$Q$276,2,FALSE),"")</f>
        <v/>
      </c>
      <c r="AB45" s="6206">
        <v>252.0</v>
      </c>
      <c r="AC45" s="6209"/>
      <c r="AD45" s="6203" t="s">
        <v>192</v>
      </c>
      <c r="AE45" s="6204">
        <f t="array" ref="AE45">IFERROR(VLOOKUP(AD32,Dex!$B$3:$N1218,8,FALSE),"")</f>
        <v>81</v>
      </c>
      <c r="AF45" s="6205" t="str">
        <f t="array" ref="AF45">IFERROR(VLOOKUP(AE45,Dex!$P$22:$Q$276,2,FALSE),"")</f>
        <v/>
      </c>
      <c r="AG45" s="6206"/>
      <c r="AH45" s="6201"/>
      <c r="AI45" s="6192"/>
    </row>
    <row r="46" ht="15.75" customHeight="1">
      <c r="A46" s="6185"/>
      <c r="B46" s="6193"/>
      <c r="C46" s="6210"/>
      <c r="D46" s="6195"/>
      <c r="E46" s="6211" t="s">
        <v>193</v>
      </c>
      <c r="F46" s="6212">
        <f t="array" ref="F46">IFERROR(VLOOKUP(E32,Dex!$B$3:$N1218,9,FALSE),"")</f>
        <v>80</v>
      </c>
      <c r="G46" s="6213" t="str">
        <f t="array" ref="G46">IFERROR(VLOOKUP(F46,Dex!$P$22:$Q$276,2,FALSE),"")</f>
        <v/>
      </c>
      <c r="H46" s="6214"/>
      <c r="I46" s="6207"/>
      <c r="J46" s="6211" t="s">
        <v>193</v>
      </c>
      <c r="K46" s="6212">
        <f t="array" ref="K46">IFERROR(VLOOKUP(J32,Dex!$B$3:$N1218,9,FALSE),"")</f>
        <v>103</v>
      </c>
      <c r="L46" s="6213" t="str">
        <f t="array" ref="L46">IFERROR(VLOOKUP(K46,Dex!$P$22:$Q$276,2,FALSE),"")</f>
        <v/>
      </c>
      <c r="M46" s="6214"/>
      <c r="N46" s="6208"/>
      <c r="O46" s="6211" t="s">
        <v>193</v>
      </c>
      <c r="P46" s="6212">
        <f t="array" ref="P46">IFERROR(VLOOKUP(O32,Dex!$B$3:$N1218,9,FALSE),"")</f>
        <v>130</v>
      </c>
      <c r="Q46" s="6213" t="str">
        <f t="array" ref="Q46">IFERROR(VLOOKUP(P46,Dex!$P$22:$Q$276,2,FALSE),"")</f>
        <v/>
      </c>
      <c r="R46" s="6214">
        <v>252.0</v>
      </c>
      <c r="S46" s="6209"/>
      <c r="T46" s="6211" t="s">
        <v>193</v>
      </c>
      <c r="U46" s="6212">
        <f t="array" ref="U46">IFERROR(VLOOKUP(T32,Dex!$B$3:$N1218,9,FALSE),"")</f>
        <v>90</v>
      </c>
      <c r="V46" s="6213" t="str">
        <f t="array" ref="V46">IFERROR(VLOOKUP(U46,Dex!$P$22:$Q$276,2,FALSE),"")</f>
        <v/>
      </c>
      <c r="W46" s="6214">
        <v>252.0</v>
      </c>
      <c r="X46" s="6209"/>
      <c r="Y46" s="6211" t="s">
        <v>193</v>
      </c>
      <c r="Z46" s="6212">
        <f t="array" ref="Z46">IFERROR(VLOOKUP(Y32,Dex!$B$3:$N1218,9,FALSE),"")</f>
        <v>130</v>
      </c>
      <c r="AA46" s="6213" t="str">
        <f t="array" ref="AA46">IFERROR(VLOOKUP(Z46,Dex!$P$22:$Q$276,2,FALSE),"")</f>
        <v/>
      </c>
      <c r="AB46" s="6214">
        <v>252.0</v>
      </c>
      <c r="AC46" s="6209"/>
      <c r="AD46" s="6211" t="s">
        <v>193</v>
      </c>
      <c r="AE46" s="6212">
        <f t="array" ref="AE46">IFERROR(VLOOKUP(AD32,Dex!$B$3:$N1218,9,FALSE),"")</f>
        <v>102</v>
      </c>
      <c r="AF46" s="6213" t="str">
        <f t="array" ref="AF46">IFERROR(VLOOKUP(AE46,Dex!$P$22:$Q$276,2,FALSE),"")</f>
        <v/>
      </c>
      <c r="AG46" s="6214"/>
      <c r="AH46" s="6201"/>
      <c r="AI46" s="6192"/>
    </row>
    <row r="47" ht="15.75" customHeight="1">
      <c r="A47" s="6185"/>
      <c r="B47" s="6193"/>
      <c r="C47" s="6187"/>
      <c r="D47" s="6195"/>
      <c r="E47" s="6211" t="s">
        <v>194</v>
      </c>
      <c r="F47" s="6212">
        <f t="array" ref="F47">IFERROR(VLOOKUP(E32,Dex!$B$3:$N1218,10,FALSE),"")</f>
        <v>80</v>
      </c>
      <c r="G47" s="6213" t="str">
        <f t="array" ref="G47">IFERROR(VLOOKUP(F47,Dex!$P$22:$Q$276,2,FALSE),"")</f>
        <v/>
      </c>
      <c r="H47" s="6214">
        <v>4.0</v>
      </c>
      <c r="I47" s="6207"/>
      <c r="J47" s="6211" t="s">
        <v>194</v>
      </c>
      <c r="K47" s="6212">
        <f t="array" ref="K47">IFERROR(VLOOKUP(J32,Dex!$B$3:$N1218,10,FALSE),"")</f>
        <v>120</v>
      </c>
      <c r="L47" s="6213" t="str">
        <f t="array" ref="L47">IFERROR(VLOOKUP(K47,Dex!$P$22:$Q$276,2,FALSE),"")</f>
        <v/>
      </c>
      <c r="M47" s="6214">
        <v>4.0</v>
      </c>
      <c r="N47" s="6208"/>
      <c r="O47" s="6211" t="s">
        <v>194</v>
      </c>
      <c r="P47" s="6212">
        <f t="array" ref="P47">IFERROR(VLOOKUP(O32,Dex!$B$3:$N1218,10,FALSE),"")</f>
        <v>70</v>
      </c>
      <c r="Q47" s="6213" t="str">
        <f t="array" ref="Q47">IFERROR(VLOOKUP(P47,Dex!$P$22:$Q$276,2,FALSE),"")</f>
        <v/>
      </c>
      <c r="R47" s="6214"/>
      <c r="S47" s="6209"/>
      <c r="T47" s="6211" t="s">
        <v>194</v>
      </c>
      <c r="U47" s="6212">
        <f t="array" ref="U47">IFERROR(VLOOKUP(T32,Dex!$B$3:$N1218,10,FALSE),"")</f>
        <v>85</v>
      </c>
      <c r="V47" s="6213" t="str">
        <f t="array" ref="V47">IFERROR(VLOOKUP(U47,Dex!$P$22:$Q$276,2,FALSE),"")</f>
        <v/>
      </c>
      <c r="W47" s="6214"/>
      <c r="X47" s="6209"/>
      <c r="Y47" s="6211" t="s">
        <v>194</v>
      </c>
      <c r="Z47" s="6212">
        <f t="array" ref="Z47">IFERROR(VLOOKUP(Y32,Dex!$B$3:$N1218,10,FALSE),"")</f>
        <v>80</v>
      </c>
      <c r="AA47" s="6213" t="str">
        <f t="array" ref="AA47">IFERROR(VLOOKUP(Z47,Dex!$P$22:$Q$276,2,FALSE),"")</f>
        <v/>
      </c>
      <c r="AB47" s="6214"/>
      <c r="AC47" s="6209"/>
      <c r="AD47" s="6211" t="s">
        <v>194</v>
      </c>
      <c r="AE47" s="6212">
        <f t="array" ref="AE47">IFERROR(VLOOKUP(AD32,Dex!$B$3:$N1218,10,FALSE),"")</f>
        <v>77</v>
      </c>
      <c r="AF47" s="6213" t="str">
        <f t="array" ref="AF47">IFERROR(VLOOKUP(AE47,Dex!$P$22:$Q$276,2,FALSE),"")</f>
        <v/>
      </c>
      <c r="AG47" s="6214"/>
      <c r="AH47" s="6201"/>
      <c r="AI47" s="6192"/>
    </row>
    <row r="48" ht="15.75" customHeight="1">
      <c r="A48" s="6185"/>
      <c r="B48" s="6193"/>
      <c r="C48" s="6187"/>
      <c r="D48" s="6195"/>
      <c r="E48" s="6211" t="s">
        <v>195</v>
      </c>
      <c r="F48" s="6212">
        <f t="array" ref="F48">IFERROR(VLOOKUP(E32,Dex!$B$3:$N1218,11,FALSE),"")</f>
        <v>135</v>
      </c>
      <c r="G48" s="6213" t="str">
        <f t="array" ref="G48">IFERROR(VLOOKUP(F48,Dex!$P$22:$Q$276,2,FALSE),"")</f>
        <v/>
      </c>
      <c r="H48" s="6214">
        <v>252.0</v>
      </c>
      <c r="I48" s="6207"/>
      <c r="J48" s="6211" t="s">
        <v>195</v>
      </c>
      <c r="K48" s="6212">
        <f t="array" ref="K48">IFERROR(VLOOKUP(J32,Dex!$B$3:$N1218,11,FALSE),"")</f>
        <v>135</v>
      </c>
      <c r="L48" s="6213" t="str">
        <f t="array" ref="L48">IFERROR(VLOOKUP(K48,Dex!$P$22:$Q$276,2,FALSE),"")</f>
        <v/>
      </c>
      <c r="M48" s="6214">
        <v>252.0</v>
      </c>
      <c r="N48" s="6208"/>
      <c r="O48" s="6211" t="s">
        <v>195</v>
      </c>
      <c r="P48" s="6212">
        <f t="array" ref="P48">IFERROR(VLOOKUP(O32,Dex!$B$3:$N1218,11,FALSE),"")</f>
        <v>65</v>
      </c>
      <c r="Q48" s="6213" t="str">
        <f t="array" ref="Q48">IFERROR(VLOOKUP(P48,Dex!$P$22:$Q$276,2,FALSE),"")</f>
        <v/>
      </c>
      <c r="R48" s="6214"/>
      <c r="S48" s="6209"/>
      <c r="T48" s="6211" t="s">
        <v>195</v>
      </c>
      <c r="U48" s="6212">
        <f t="array" ref="U48">IFERROR(VLOOKUP(T32,Dex!$B$3:$N1218,11,FALSE),"")</f>
        <v>125</v>
      </c>
      <c r="V48" s="6213" t="str">
        <f t="array" ref="V48">IFERROR(VLOOKUP(U48,Dex!$P$22:$Q$276,2,FALSE),"")</f>
        <v/>
      </c>
      <c r="W48" s="6214">
        <v>4.0</v>
      </c>
      <c r="X48" s="6209"/>
      <c r="Y48" s="6211" t="s">
        <v>195</v>
      </c>
      <c r="Z48" s="6212">
        <f t="array" ref="Z48">IFERROR(VLOOKUP(Y32,Dex!$B$3:$N1218,11,FALSE),"")</f>
        <v>65</v>
      </c>
      <c r="AA48" s="6213" t="str">
        <f t="array" ref="AA48">IFERROR(VLOOKUP(Z48,Dex!$P$22:$Q$276,2,FALSE),"")</f>
        <v/>
      </c>
      <c r="AB48" s="6214"/>
      <c r="AC48" s="6209"/>
      <c r="AD48" s="6211" t="s">
        <v>195</v>
      </c>
      <c r="AE48" s="6212">
        <f t="array" ref="AE48">IFERROR(VLOOKUP(AD32,Dex!$B$3:$N1218,11,FALSE),"")</f>
        <v>85</v>
      </c>
      <c r="AF48" s="6213" t="str">
        <f t="array" ref="AF48">IFERROR(VLOOKUP(AE48,Dex!$P$22:$Q$276,2,FALSE),"")</f>
        <v/>
      </c>
      <c r="AG48" s="6214">
        <v>252.0</v>
      </c>
      <c r="AH48" s="6201"/>
      <c r="AI48" s="6192"/>
    </row>
    <row r="49" ht="15.75" customHeight="1">
      <c r="A49" s="6185"/>
      <c r="B49" s="6193"/>
      <c r="C49" s="6187"/>
      <c r="D49" s="6195"/>
      <c r="E49" s="6211" t="s">
        <v>196</v>
      </c>
      <c r="F49" s="6212">
        <f t="array" ref="F49">IFERROR(VLOOKUP(E32,Dex!$B$3:$N1218,12,FALSE),"")</f>
        <v>80</v>
      </c>
      <c r="G49" s="6213" t="str">
        <f t="array" ref="G49">IFERROR(VLOOKUP(F49,Dex!$P$22:$Q$276,2,FALSE),"")</f>
        <v/>
      </c>
      <c r="H49" s="6214"/>
      <c r="I49" s="6207"/>
      <c r="J49" s="6211" t="s">
        <v>196</v>
      </c>
      <c r="K49" s="6212">
        <f t="array" ref="K49">IFERROR(VLOOKUP(J32,Dex!$B$3:$N1218,12,FALSE),"")</f>
        <v>115</v>
      </c>
      <c r="L49" s="6213" t="str">
        <f t="array" ref="L49">IFERROR(VLOOKUP(K49,Dex!$P$22:$Q$276,2,FALSE),"")</f>
        <v/>
      </c>
      <c r="M49" s="6214"/>
      <c r="N49" s="6208"/>
      <c r="O49" s="6211" t="s">
        <v>196</v>
      </c>
      <c r="P49" s="6212">
        <f t="array" ref="P49">IFERROR(VLOOKUP(O32,Dex!$B$3:$N1218,12,FALSE),"")</f>
        <v>100</v>
      </c>
      <c r="Q49" s="6213" t="str">
        <f t="array" ref="Q49">IFERROR(VLOOKUP(P49,Dex!$P$22:$Q$276,2,FALSE),"")</f>
        <v/>
      </c>
      <c r="R49" s="6214"/>
      <c r="S49" s="6209"/>
      <c r="T49" s="6211" t="s">
        <v>196</v>
      </c>
      <c r="U49" s="6212">
        <f t="array" ref="U49">IFERROR(VLOOKUP(T32,Dex!$B$3:$N1218,12,FALSE),"")</f>
        <v>90</v>
      </c>
      <c r="V49" s="6213" t="str">
        <f t="array" ref="V49">IFERROR(VLOOKUP(U49,Dex!$P$22:$Q$276,2,FALSE),"")</f>
        <v/>
      </c>
      <c r="W49" s="6214"/>
      <c r="X49" s="6209"/>
      <c r="Y49" s="6211" t="s">
        <v>196</v>
      </c>
      <c r="Z49" s="6212">
        <f t="array" ref="Z49">IFERROR(VLOOKUP(Y32,Dex!$B$3:$N1218,12,FALSE),"")</f>
        <v>85</v>
      </c>
      <c r="AA49" s="6213" t="str">
        <f t="array" ref="AA49">IFERROR(VLOOKUP(Z49,Dex!$P$22:$Q$276,2,FALSE),"")</f>
        <v/>
      </c>
      <c r="AB49" s="6214">
        <v>4.0</v>
      </c>
      <c r="AC49" s="6209"/>
      <c r="AD49" s="6211" t="s">
        <v>196</v>
      </c>
      <c r="AE49" s="6212">
        <f t="array" ref="AE49">IFERROR(VLOOKUP(AD32,Dex!$B$3:$N1218,12,FALSE),"")</f>
        <v>75</v>
      </c>
      <c r="AF49" s="6213" t="str">
        <f t="array" ref="AF49">IFERROR(VLOOKUP(AE49,Dex!$P$22:$Q$276,2,FALSE),"")</f>
        <v/>
      </c>
      <c r="AG49" s="6214">
        <v>4.0</v>
      </c>
      <c r="AH49" s="6201"/>
      <c r="AI49" s="6192"/>
    </row>
    <row r="50" ht="15.75" customHeight="1">
      <c r="A50" s="6185"/>
      <c r="B50" s="6193"/>
      <c r="C50" s="6187"/>
      <c r="D50" s="6195"/>
      <c r="E50" s="6215" t="s">
        <v>197</v>
      </c>
      <c r="F50" s="6216">
        <f t="array" ref="F50">IFERROR(VLOOKUP(E32,Dex!$B$3:$N1218,13,FALSE),"")</f>
        <v>121</v>
      </c>
      <c r="G50" s="6217" t="str">
        <f t="array" ref="G50">IFERROR(VLOOKUP(F50,Dex!$P$22:$Q$276,2,FALSE),"")</f>
        <v/>
      </c>
      <c r="H50" s="6218">
        <v>252.0</v>
      </c>
      <c r="I50" s="6207"/>
      <c r="J50" s="6215" t="s">
        <v>197</v>
      </c>
      <c r="K50" s="6216">
        <f t="array" ref="K50">IFERROR(VLOOKUP(J32,Dex!$B$3:$N1218,13,FALSE),"")</f>
        <v>78</v>
      </c>
      <c r="L50" s="6217" t="str">
        <f t="array" ref="L50">IFERROR(VLOOKUP(K50,Dex!$P$22:$Q$276,2,FALSE),"")</f>
        <v/>
      </c>
      <c r="M50" s="6218">
        <v>252.0</v>
      </c>
      <c r="N50" s="6208"/>
      <c r="O50" s="6215" t="s">
        <v>197</v>
      </c>
      <c r="P50" s="6216">
        <f t="array" ref="P50">IFERROR(VLOOKUP(O32,Dex!$B$3:$N1218,13,FALSE),"")</f>
        <v>95</v>
      </c>
      <c r="Q50" s="6217" t="str">
        <f t="array" ref="Q50">IFERROR(VLOOKUP(P50,Dex!$P$22:$Q$276,2,FALSE),"")</f>
        <v/>
      </c>
      <c r="R50" s="6218">
        <v>252.0</v>
      </c>
      <c r="S50" s="6209"/>
      <c r="T50" s="6215" t="s">
        <v>197</v>
      </c>
      <c r="U50" s="6216">
        <f t="array" ref="U50">IFERROR(VLOOKUP(T32,Dex!$B$3:$N1218,13,FALSE),"")</f>
        <v>100</v>
      </c>
      <c r="V50" s="6217" t="str">
        <f t="array" ref="V50">IFERROR(VLOOKUP(U50,Dex!$P$22:$Q$276,2,FALSE),"")</f>
        <v/>
      </c>
      <c r="W50" s="6218">
        <v>252.0</v>
      </c>
      <c r="X50" s="6209"/>
      <c r="Y50" s="6215" t="s">
        <v>197</v>
      </c>
      <c r="Z50" s="6216">
        <f t="array" ref="Z50">IFERROR(VLOOKUP(Y32,Dex!$B$3:$N1218,13,FALSE),"")</f>
        <v>55</v>
      </c>
      <c r="AA50" s="6217" t="str">
        <f t="array" ref="AA50">IFERROR(VLOOKUP(Z50,Dex!$P$22:$Q$276,2,FALSE),"")</f>
        <v/>
      </c>
      <c r="AB50" s="6218"/>
      <c r="AC50" s="6209"/>
      <c r="AD50" s="6215" t="s">
        <v>197</v>
      </c>
      <c r="AE50" s="6216">
        <f t="array" ref="AE50">IFERROR(VLOOKUP(AD32,Dex!$B$3:$N1218,13,FALSE),"")</f>
        <v>85</v>
      </c>
      <c r="AF50" s="6217" t="str">
        <f t="array" ref="AF50">IFERROR(VLOOKUP(AE50,Dex!$P$22:$Q$276,2,FALSE),"")</f>
        <v/>
      </c>
      <c r="AG50" s="6218">
        <v>252.0</v>
      </c>
      <c r="AH50" s="6201"/>
      <c r="AI50" s="6192"/>
    </row>
    <row r="51" ht="16.5" customHeight="1">
      <c r="A51" s="6185"/>
      <c r="B51" s="6193"/>
      <c r="C51" s="6187"/>
      <c r="D51" s="6245"/>
      <c r="E51" s="6219" t="s">
        <v>198</v>
      </c>
      <c r="F51" s="405"/>
      <c r="G51" s="406"/>
      <c r="H51" s="6220">
        <v>375.0</v>
      </c>
      <c r="I51" s="6198"/>
      <c r="J51" s="6219" t="s">
        <v>198</v>
      </c>
      <c r="K51" s="405"/>
      <c r="L51" s="406"/>
      <c r="M51" s="6220">
        <v>280.0</v>
      </c>
      <c r="N51" s="6199"/>
      <c r="O51" s="6221" t="s">
        <v>198</v>
      </c>
      <c r="P51" s="918"/>
      <c r="Q51" s="919"/>
      <c r="R51" s="6222">
        <v>317.0</v>
      </c>
      <c r="S51" s="6200"/>
      <c r="T51" s="6219" t="s">
        <v>198</v>
      </c>
      <c r="U51" s="405"/>
      <c r="V51" s="406"/>
      <c r="W51" s="6220">
        <v>328.0</v>
      </c>
      <c r="X51" s="6200"/>
      <c r="Y51" s="6219" t="s">
        <v>198</v>
      </c>
      <c r="Z51" s="405"/>
      <c r="AA51" s="406"/>
      <c r="AB51" s="6220">
        <v>146.0</v>
      </c>
      <c r="AC51" s="6200"/>
      <c r="AD51" s="6219" t="s">
        <v>198</v>
      </c>
      <c r="AE51" s="405"/>
      <c r="AF51" s="406"/>
      <c r="AG51" s="6220">
        <v>295.0</v>
      </c>
      <c r="AH51" s="6201"/>
      <c r="AI51" s="6192"/>
    </row>
    <row r="52" ht="16.5" customHeight="1">
      <c r="A52" s="6185"/>
      <c r="B52" s="6193"/>
      <c r="C52" s="6187"/>
      <c r="D52" s="6187"/>
      <c r="E52" s="6227"/>
      <c r="F52" s="6227"/>
      <c r="G52" s="6227"/>
      <c r="H52" s="6187"/>
      <c r="I52" s="6187"/>
      <c r="J52" s="6227"/>
      <c r="K52" s="6227"/>
      <c r="L52" s="6227"/>
      <c r="M52" s="6187"/>
      <c r="N52" s="6246"/>
      <c r="O52" s="6230" t="s">
        <v>1509</v>
      </c>
      <c r="P52" s="925"/>
      <c r="Q52" s="926"/>
      <c r="R52" s="6231">
        <v>634.0</v>
      </c>
      <c r="S52" s="6229"/>
      <c r="T52" s="6227"/>
      <c r="U52" s="6227"/>
      <c r="V52" s="6227"/>
      <c r="W52" s="6187"/>
      <c r="X52" s="6187"/>
      <c r="Y52" s="6227"/>
      <c r="Z52" s="6227"/>
      <c r="AA52" s="6227"/>
      <c r="AB52" s="6187"/>
      <c r="AC52" s="6187"/>
      <c r="AD52" s="6227"/>
      <c r="AE52" s="6227"/>
      <c r="AF52" s="6227"/>
      <c r="AG52" s="6187"/>
      <c r="AH52" s="6201"/>
      <c r="AI52" s="6192"/>
    </row>
    <row r="53" ht="15.0" customHeight="1">
      <c r="A53" s="6185"/>
      <c r="B53" s="6247"/>
      <c r="C53" s="6248"/>
      <c r="D53" s="6249"/>
      <c r="E53" s="6249"/>
      <c r="F53" s="6249"/>
      <c r="G53" s="6249"/>
      <c r="H53" s="6249"/>
      <c r="I53" s="6249"/>
      <c r="J53" s="6249"/>
      <c r="K53" s="6249"/>
      <c r="L53" s="6249"/>
      <c r="M53" s="6249"/>
      <c r="N53" s="6249"/>
      <c r="O53" s="6250"/>
      <c r="P53" s="6250"/>
      <c r="Q53" s="6250"/>
      <c r="R53" s="6249"/>
      <c r="S53" s="6249"/>
      <c r="T53" s="6249"/>
      <c r="U53" s="6249"/>
      <c r="V53" s="6249"/>
      <c r="W53" s="6249"/>
      <c r="X53" s="6249"/>
      <c r="Y53" s="6249"/>
      <c r="Z53" s="6249"/>
      <c r="AA53" s="6249"/>
      <c r="AB53" s="6249"/>
      <c r="AC53" s="6249"/>
      <c r="AD53" s="6250"/>
      <c r="AE53" s="6250"/>
      <c r="AF53" s="6250"/>
      <c r="AG53" s="6249"/>
      <c r="AH53" s="6251"/>
      <c r="AI53" s="6192"/>
    </row>
    <row r="54" ht="15.0" customHeight="1">
      <c r="A54" s="6185"/>
      <c r="B54" s="1039"/>
      <c r="C54" s="1040"/>
      <c r="D54" s="1041"/>
      <c r="E54" s="1042"/>
      <c r="F54" s="1042"/>
      <c r="G54" s="1042"/>
      <c r="H54" s="1042"/>
      <c r="I54" s="1041"/>
      <c r="J54" s="1042"/>
      <c r="K54" s="1042"/>
      <c r="L54" s="1042"/>
      <c r="M54" s="1042"/>
      <c r="N54" s="1041"/>
      <c r="O54" s="1042"/>
      <c r="P54" s="1042"/>
      <c r="Q54" s="1042"/>
      <c r="R54" s="1042"/>
      <c r="S54" s="1041"/>
      <c r="T54" s="1042"/>
      <c r="U54" s="1042"/>
      <c r="V54" s="1042"/>
      <c r="W54" s="1042"/>
      <c r="X54" s="1041"/>
      <c r="Y54" s="1042"/>
      <c r="Z54" s="1042"/>
      <c r="AA54" s="1042"/>
      <c r="AB54" s="1042"/>
      <c r="AC54" s="1041"/>
      <c r="AD54" s="1042"/>
      <c r="AE54" s="1042"/>
      <c r="AF54" s="1042"/>
      <c r="AG54" s="1042"/>
      <c r="AH54" s="1043"/>
      <c r="AI54" s="6192"/>
    </row>
    <row r="55" ht="18.75" customHeight="1">
      <c r="A55" s="6185"/>
      <c r="B55" s="1101"/>
      <c r="C55" s="1094"/>
      <c r="D55" s="1102"/>
      <c r="E55" s="6252" t="s">
        <v>1522</v>
      </c>
      <c r="F55" s="1085"/>
      <c r="G55" s="1085"/>
      <c r="H55" s="1085"/>
      <c r="I55" s="1085"/>
      <c r="J55" s="1085"/>
      <c r="K55" s="1085"/>
      <c r="L55" s="1085"/>
      <c r="M55" s="1085"/>
      <c r="N55" s="1085"/>
      <c r="O55" s="1085"/>
      <c r="P55" s="1085"/>
      <c r="Q55" s="1085"/>
      <c r="R55" s="1085"/>
      <c r="S55" s="1085"/>
      <c r="T55" s="1085"/>
      <c r="U55" s="1085"/>
      <c r="V55" s="1085"/>
      <c r="W55" s="1085"/>
      <c r="X55" s="1085"/>
      <c r="Y55" s="1085"/>
      <c r="Z55" s="1085"/>
      <c r="AA55" s="1085"/>
      <c r="AB55" s="1085"/>
      <c r="AC55" s="1085"/>
      <c r="AD55" s="1085"/>
      <c r="AE55" s="1085"/>
      <c r="AF55" s="1085"/>
      <c r="AG55" s="1086"/>
      <c r="AH55" s="1106"/>
      <c r="AI55" s="6192"/>
    </row>
    <row r="56" ht="96.75" customHeight="1">
      <c r="A56" s="6185"/>
      <c r="B56" s="1044"/>
      <c r="C56" s="1045" t="str">
        <f>IMAGE("https://i.ibb.co/yFkD5QH/Clair.png")</f>
        <v/>
      </c>
      <c r="D56" s="1046"/>
      <c r="E56" s="1047" t="str">
        <f t="array" ref="E56">IFERROR(VLOOKUP(E57,Dex!$B$3:$G1218,3,FALSE),"")</f>
        <v/>
      </c>
      <c r="F56" s="302"/>
      <c r="G56" s="302"/>
      <c r="H56" s="303"/>
      <c r="I56" s="1048"/>
      <c r="J56" s="1047" t="str">
        <f t="array" ref="J56">IFERROR(VLOOKUP(J57,Dex!$B$3:$G1218,3,FALSE),"")</f>
        <v/>
      </c>
      <c r="K56" s="302"/>
      <c r="L56" s="302"/>
      <c r="M56" s="303"/>
      <c r="N56" s="1048"/>
      <c r="O56" s="1047" t="str">
        <f t="array" ref="O56">IFERROR(VLOOKUP(O57,Dex!$B$3:$G1218,3,FALSE),"")</f>
        <v/>
      </c>
      <c r="P56" s="302"/>
      <c r="Q56" s="302"/>
      <c r="R56" s="303"/>
      <c r="S56" s="1048"/>
      <c r="T56" s="1047" t="str">
        <f t="array" ref="T56">IFERROR(VLOOKUP(T57,Dex!$B$3:$G1218,3,FALSE),"")</f>
        <v/>
      </c>
      <c r="U56" s="302"/>
      <c r="V56" s="302"/>
      <c r="W56" s="303"/>
      <c r="X56" s="1048"/>
      <c r="Y56" s="1047" t="str">
        <f t="array" ref="Y56">IFERROR(VLOOKUP(Y57,Dex!$B$3:$G1218,3,FALSE),"")</f>
        <v/>
      </c>
      <c r="Z56" s="302"/>
      <c r="AA56" s="302"/>
      <c r="AB56" s="303"/>
      <c r="AC56" s="1048"/>
      <c r="AD56" s="1047" t="str">
        <f t="array" ref="AD56">IFERROR(VLOOKUP(AD57,Dex!$B$3:$G1218,3,FALSE),"")</f>
        <v/>
      </c>
      <c r="AE56" s="302"/>
      <c r="AF56" s="302"/>
      <c r="AG56" s="303"/>
      <c r="AH56" s="1049"/>
      <c r="AI56" s="6192"/>
    </row>
    <row r="57" ht="18.75" customHeight="1">
      <c r="A57" s="6185"/>
      <c r="B57" s="1050"/>
      <c r="C57" s="1051" t="s">
        <v>1523</v>
      </c>
      <c r="D57" s="1052"/>
      <c r="E57" s="1053" t="s">
        <v>965</v>
      </c>
      <c r="F57" s="1054"/>
      <c r="G57" s="1054"/>
      <c r="H57" s="1055"/>
      <c r="J57" s="1053" t="s">
        <v>1462</v>
      </c>
      <c r="K57" s="1054"/>
      <c r="L57" s="1054"/>
      <c r="M57" s="1055"/>
      <c r="O57" s="1053" t="s">
        <v>385</v>
      </c>
      <c r="P57" s="1054"/>
      <c r="Q57" s="1054"/>
      <c r="R57" s="1055"/>
      <c r="T57" s="1053" t="s">
        <v>1339</v>
      </c>
      <c r="U57" s="1054"/>
      <c r="V57" s="1054"/>
      <c r="W57" s="1055"/>
      <c r="Y57" s="1053" t="s">
        <v>1524</v>
      </c>
      <c r="Z57" s="1054"/>
      <c r="AA57" s="1054"/>
      <c r="AB57" s="1055"/>
      <c r="AD57" s="1053" t="s">
        <v>1525</v>
      </c>
      <c r="AE57" s="1054"/>
      <c r="AF57" s="1054"/>
      <c r="AG57" s="1055"/>
      <c r="AH57" s="1056"/>
      <c r="AI57" s="6192"/>
    </row>
    <row r="58">
      <c r="A58" s="6185"/>
      <c r="B58" s="1057"/>
      <c r="C58" s="326"/>
      <c r="D58" s="1058"/>
      <c r="E58" s="6253" t="s">
        <v>1502</v>
      </c>
      <c r="F58" s="1060"/>
      <c r="G58" s="1060"/>
      <c r="H58" s="1061"/>
      <c r="J58" s="6253" t="s">
        <v>1502</v>
      </c>
      <c r="K58" s="1060"/>
      <c r="L58" s="1060"/>
      <c r="M58" s="1061"/>
      <c r="O58" s="6253" t="s">
        <v>1502</v>
      </c>
      <c r="P58" s="1060"/>
      <c r="Q58" s="1060"/>
      <c r="R58" s="1061"/>
      <c r="T58" s="6253" t="s">
        <v>1502</v>
      </c>
      <c r="U58" s="1060"/>
      <c r="V58" s="1060"/>
      <c r="W58" s="1061"/>
      <c r="Y58" s="6253" t="s">
        <v>1502</v>
      </c>
      <c r="Z58" s="1060"/>
      <c r="AA58" s="1060"/>
      <c r="AB58" s="1061"/>
      <c r="AD58" s="6253" t="s">
        <v>1502</v>
      </c>
      <c r="AE58" s="1060"/>
      <c r="AF58" s="1060"/>
      <c r="AG58" s="1061"/>
      <c r="AH58" s="1062"/>
      <c r="AI58" s="6192"/>
    </row>
    <row r="59" ht="25.5" customHeight="1">
      <c r="A59" s="6185"/>
      <c r="B59" s="1064"/>
      <c r="C59" s="1065"/>
      <c r="D59" s="1066"/>
      <c r="E59" s="1067"/>
      <c r="F59" s="1068" t="str">
        <f t="array" ref="F59">IFERROR(VLOOKUP(E57,Dex!$B$3:$H1218,5,FALSE),"")</f>
        <v/>
      </c>
      <c r="G59" s="1069" t="str">
        <f t="array" ref="G59">IFERROR(VLOOKUP(E57,Dex!$B$3:$H1218,7,FALSE),"")</f>
        <v/>
      </c>
      <c r="H59" s="1070"/>
      <c r="J59" s="1067"/>
      <c r="K59" s="1068" t="str">
        <f t="array" ref="K59">IFERROR(VLOOKUP(J57,Dex!$B$3:$H1218,5,FALSE),"")</f>
        <v/>
      </c>
      <c r="L59" s="1069" t="str">
        <f t="array" ref="L59">IFERROR(VLOOKUP(J57,Dex!$B$3:$H1218,7,FALSE),"")</f>
        <v/>
      </c>
      <c r="M59" s="1070"/>
      <c r="O59" s="1067"/>
      <c r="P59" s="1068" t="str">
        <f t="array" ref="P59">IFERROR(VLOOKUP(O57,Dex!$B$3:$H1218,5,FALSE),"")</f>
        <v/>
      </c>
      <c r="Q59" s="1069" t="str">
        <f t="array" ref="Q59">IFERROR(VLOOKUP(O57,Dex!$B$3:$H1218,7,FALSE),"")</f>
        <v/>
      </c>
      <c r="R59" s="1070"/>
      <c r="T59" s="1067"/>
      <c r="U59" s="1068" t="str">
        <f t="array" ref="U59">IFERROR(VLOOKUP(T57,Dex!$B$3:$H1218,5,FALSE),"")</f>
        <v/>
      </c>
      <c r="V59" s="1069" t="str">
        <f t="array" ref="V59">IFERROR(VLOOKUP(T57,Dex!$B$3:$H1218,7,FALSE),"")</f>
        <v/>
      </c>
      <c r="W59" s="1070"/>
      <c r="Y59" s="1067"/>
      <c r="Z59" s="1068" t="str">
        <f t="array" ref="Z59">IFERROR(VLOOKUP(Y57,Dex!$B$3:$H1218,5,FALSE),"")</f>
        <v/>
      </c>
      <c r="AA59" s="1069" t="str">
        <f t="array" ref="AA59">IFERROR(VLOOKUP(Y57,Dex!$B$3:$H1218,7,FALSE),"")</f>
        <v/>
      </c>
      <c r="AB59" s="1070"/>
      <c r="AD59" s="1067"/>
      <c r="AE59" s="1068" t="str">
        <f t="array" ref="AE59">IFERROR(VLOOKUP(AD57,Dex!$B$3:$H1218,5,FALSE),"")</f>
        <v/>
      </c>
      <c r="AF59" s="1069" t="str">
        <f t="array" ref="AF59">IFERROR(VLOOKUP(AD57,Dex!$B$3:$H1218,7,FALSE),"")</f>
        <v/>
      </c>
      <c r="AG59" s="1070"/>
      <c r="AH59" s="1049"/>
      <c r="AI59" s="6192"/>
    </row>
    <row r="60" ht="2.25" customHeight="1">
      <c r="A60" s="6185"/>
      <c r="B60" s="1064"/>
      <c r="C60" s="1073"/>
      <c r="D60" s="1066"/>
      <c r="E60" s="1074"/>
      <c r="F60" s="1075"/>
      <c r="G60" s="1075"/>
      <c r="H60" s="1076"/>
      <c r="J60" s="1074"/>
      <c r="K60" s="1075"/>
      <c r="L60" s="1075"/>
      <c r="M60" s="1076"/>
      <c r="O60" s="1074"/>
      <c r="P60" s="1075"/>
      <c r="Q60" s="1075"/>
      <c r="R60" s="1076"/>
      <c r="T60" s="1074"/>
      <c r="U60" s="1075"/>
      <c r="V60" s="1075"/>
      <c r="W60" s="1076"/>
      <c r="Y60" s="1074"/>
      <c r="Z60" s="1075"/>
      <c r="AA60" s="1075"/>
      <c r="AB60" s="1076"/>
      <c r="AD60" s="1074"/>
      <c r="AE60" s="1075"/>
      <c r="AF60" s="1075"/>
      <c r="AG60" s="1076"/>
      <c r="AH60" s="1049"/>
      <c r="AI60" s="6192"/>
    </row>
    <row r="61" ht="20.25" customHeight="1">
      <c r="A61" s="6185"/>
      <c r="B61" s="1064"/>
      <c r="C61" s="1078"/>
      <c r="D61" s="1066"/>
      <c r="E61" s="1079" t="s">
        <v>779</v>
      </c>
      <c r="F61" s="1080"/>
      <c r="G61" s="1080"/>
      <c r="H61" s="1081"/>
      <c r="J61" s="1079" t="s">
        <v>263</v>
      </c>
      <c r="K61" s="1080"/>
      <c r="L61" s="1080"/>
      <c r="M61" s="1081"/>
      <c r="O61" s="1079" t="s">
        <v>204</v>
      </c>
      <c r="P61" s="1080"/>
      <c r="Q61" s="1080"/>
      <c r="R61" s="1081"/>
      <c r="T61" s="1079" t="s">
        <v>264</v>
      </c>
      <c r="U61" s="1080"/>
      <c r="V61" s="1080"/>
      <c r="W61" s="1081"/>
      <c r="Y61" s="1079" t="s">
        <v>172</v>
      </c>
      <c r="Z61" s="1080"/>
      <c r="AA61" s="1080"/>
      <c r="AB61" s="1081"/>
      <c r="AD61" s="1079" t="s">
        <v>779</v>
      </c>
      <c r="AE61" s="1080"/>
      <c r="AF61" s="1080"/>
      <c r="AG61" s="1081"/>
      <c r="AH61" s="1049"/>
      <c r="AI61" s="6192"/>
    </row>
    <row r="62">
      <c r="A62" s="6185"/>
      <c r="B62" s="1064"/>
      <c r="C62" s="1082"/>
      <c r="D62" s="1066"/>
      <c r="E62" s="1083" t="s">
        <v>763</v>
      </c>
      <c r="F62" s="1060"/>
      <c r="G62" s="1060"/>
      <c r="H62" s="1061"/>
      <c r="J62" s="1083" t="s">
        <v>1463</v>
      </c>
      <c r="K62" s="1060"/>
      <c r="L62" s="1060"/>
      <c r="M62" s="1061"/>
      <c r="O62" s="1083" t="s">
        <v>390</v>
      </c>
      <c r="P62" s="1060"/>
      <c r="Q62" s="1060"/>
      <c r="R62" s="1061"/>
      <c r="T62" s="1083" t="s">
        <v>1526</v>
      </c>
      <c r="U62" s="1060"/>
      <c r="V62" s="1060"/>
      <c r="W62" s="1061"/>
      <c r="Y62" s="1083" t="s">
        <v>1527</v>
      </c>
      <c r="Z62" s="1060"/>
      <c r="AA62" s="1060"/>
      <c r="AB62" s="1061"/>
      <c r="AD62" s="1083" t="s">
        <v>1528</v>
      </c>
      <c r="AE62" s="1060"/>
      <c r="AF62" s="1060"/>
      <c r="AG62" s="1061"/>
      <c r="AH62" s="1049"/>
      <c r="AI62" s="6192"/>
    </row>
    <row r="63" ht="20.25" customHeight="1">
      <c r="A63" s="6185"/>
      <c r="B63" s="1064"/>
      <c r="C63" s="1073"/>
      <c r="D63" s="1066"/>
      <c r="E63" s="1084" t="s">
        <v>240</v>
      </c>
      <c r="F63" s="1085"/>
      <c r="G63" s="1086"/>
      <c r="H63" s="1087" t="str">
        <f>IMAGE("https://raw.githubusercontent.com/msikma/pokesprite/master/items/hold-item/focus-sash.png",3)</f>
        <v/>
      </c>
      <c r="J63" s="1084" t="s">
        <v>1465</v>
      </c>
      <c r="K63" s="1085"/>
      <c r="L63" s="1086"/>
      <c r="M63" s="1087" t="str">
        <f>IMAGE("https://raw.githubusercontent.com/msikma/pokesprite/master/items/hold-item/adamant-orb.png",3)</f>
        <v/>
      </c>
      <c r="O63" s="1084" t="s">
        <v>393</v>
      </c>
      <c r="P63" s="1085"/>
      <c r="Q63" s="1086"/>
      <c r="R63" s="1087" t="str">
        <f>IMAGE("https://raw.githubusercontent.com/msikma/pokesprite/master/items/hold-item/weakness-policy.png",3)</f>
        <v/>
      </c>
      <c r="T63" s="1084" t="s">
        <v>1342</v>
      </c>
      <c r="U63" s="1085"/>
      <c r="V63" s="1086"/>
      <c r="W63" s="1087" t="str">
        <f>IMAGE("https://raw.githubusercontent.com/msikma/pokesprite/master/items/mega-stone/venusaurite.png",3)</f>
        <v/>
      </c>
      <c r="Y63" s="1084" t="s">
        <v>363</v>
      </c>
      <c r="Z63" s="1085"/>
      <c r="AA63" s="1086"/>
      <c r="AB63" s="1087" t="str">
        <f>IMAGE("https://raw.githubusercontent.com/msikma/pokesprite/master/items/berry/lum.png",3)</f>
        <v/>
      </c>
      <c r="AD63" s="1084" t="s">
        <v>272</v>
      </c>
      <c r="AE63" s="1085"/>
      <c r="AF63" s="1086"/>
      <c r="AG63" s="1087" t="str">
        <f>IMAGE("https://raw.githubusercontent.com/msikma/pokesprite/master/items/hold-item/life-orb.png",3)</f>
        <v/>
      </c>
      <c r="AH63" s="1049"/>
      <c r="AI63" s="6192"/>
    </row>
    <row r="64" ht="20.25" customHeight="1">
      <c r="A64" s="6185"/>
      <c r="B64" s="1064"/>
      <c r="C64" s="1078"/>
      <c r="D64" s="1066"/>
      <c r="E64" s="1079" t="s">
        <v>973</v>
      </c>
      <c r="F64" s="1080"/>
      <c r="G64" s="1080"/>
      <c r="H64" s="1088" t="str">
        <f>IMAGE("https://raw.githubusercontent.com/msikma/pokesprite/master/misc/types/gen8/dragon.png",4,20,20)</f>
        <v/>
      </c>
      <c r="J64" s="1079" t="s">
        <v>1529</v>
      </c>
      <c r="K64" s="1080"/>
      <c r="L64" s="1080"/>
      <c r="M64" s="1088" t="str">
        <f>IMAGE("https://raw.githubusercontent.com/msikma/pokesprite/master/misc/types/gen8/dragon.png",4,20,20)</f>
        <v/>
      </c>
      <c r="O64" s="1079" t="s">
        <v>408</v>
      </c>
      <c r="P64" s="1080"/>
      <c r="Q64" s="1080"/>
      <c r="R64" s="1088" t="str">
        <f>IMAGE("https://raw.githubusercontent.com/msikma/pokesprite/master/misc/types/gen8/flying.png",4,20,20)</f>
        <v/>
      </c>
      <c r="T64" s="1079" t="s">
        <v>1530</v>
      </c>
      <c r="U64" s="1080"/>
      <c r="V64" s="1080"/>
      <c r="W64" s="1088" t="str">
        <f>IMAGE("https://raw.githubusercontent.com/msikma/pokesprite/master/misc/types/gen8/dragon.png",4,20,20)</f>
        <v/>
      </c>
      <c r="Y64" s="1079" t="s">
        <v>396</v>
      </c>
      <c r="Z64" s="1080"/>
      <c r="AA64" s="1080"/>
      <c r="AB64" s="1088" t="str">
        <f t="shared" ref="AB64:AB65" si="3">IMAGE("https://raw.githubusercontent.com/msikma/pokesprite/master/misc/types/gen8/dragon.png",4,20,20)</f>
        <v/>
      </c>
      <c r="AD64" s="1079" t="s">
        <v>278</v>
      </c>
      <c r="AE64" s="1080"/>
      <c r="AF64" s="1080"/>
      <c r="AG64" s="1088" t="str">
        <f>IMAGE("https://raw.githubusercontent.com/msikma/pokesprite/master/misc/types/gen8/bug.png",4,20,20)</f>
        <v/>
      </c>
      <c r="AH64" s="1049"/>
      <c r="AI64" s="6192"/>
    </row>
    <row r="65" ht="20.25" customHeight="1">
      <c r="A65" s="6185"/>
      <c r="B65" s="1064"/>
      <c r="C65" s="1089"/>
      <c r="D65" s="1066"/>
      <c r="E65" s="1083" t="s">
        <v>972</v>
      </c>
      <c r="F65" s="1060"/>
      <c r="G65" s="1060"/>
      <c r="H65" s="1090" t="str">
        <f>IMAGE("https://raw.githubusercontent.com/msikma/pokesprite/master/misc/types/gen8/ghost.png",4,20,20)</f>
        <v/>
      </c>
      <c r="J65" s="1083" t="s">
        <v>372</v>
      </c>
      <c r="K65" s="1060"/>
      <c r="L65" s="1060"/>
      <c r="M65" s="1090" t="str">
        <f>IMAGE("https://raw.githubusercontent.com/msikma/pokesprite/master/misc/types/gen8/fire.png",4,20,20)</f>
        <v/>
      </c>
      <c r="O65" s="1083" t="s">
        <v>785</v>
      </c>
      <c r="P65" s="1060"/>
      <c r="Q65" s="1060"/>
      <c r="R65" s="1090" t="str">
        <f>IMAGE("https://raw.githubusercontent.com/msikma/pokesprite/master/misc/types/gen8/fire.png",4,20,20)</f>
        <v/>
      </c>
      <c r="T65" s="1083" t="s">
        <v>377</v>
      </c>
      <c r="U65" s="1060"/>
      <c r="V65" s="1060"/>
      <c r="W65" s="1090" t="str">
        <f>IMAGE("https://raw.githubusercontent.com/msikma/pokesprite/master/misc/types/gen8/grass.png",4,20,20)</f>
        <v/>
      </c>
      <c r="Y65" s="1083" t="s">
        <v>1531</v>
      </c>
      <c r="Z65" s="1060"/>
      <c r="AA65" s="1060"/>
      <c r="AB65" s="1090" t="str">
        <f t="shared" si="3"/>
        <v/>
      </c>
      <c r="AD65" s="1083" t="s">
        <v>397</v>
      </c>
      <c r="AE65" s="1060"/>
      <c r="AF65" s="1060"/>
      <c r="AG65" s="1090" t="str">
        <f>IMAGE("https://raw.githubusercontent.com/msikma/pokesprite/master/misc/types/gen8/normal.png",4,20,20)</f>
        <v/>
      </c>
      <c r="AH65" s="1049"/>
      <c r="AI65" s="6192"/>
    </row>
    <row r="66" ht="20.25" customHeight="1">
      <c r="A66" s="6185"/>
      <c r="B66" s="1064"/>
      <c r="C66" s="1089"/>
      <c r="D66" s="1066"/>
      <c r="E66" s="1083" t="s">
        <v>278</v>
      </c>
      <c r="F66" s="1060"/>
      <c r="G66" s="1060"/>
      <c r="H66" s="1090" t="str">
        <f>IMAGE("https://raw.githubusercontent.com/msikma/pokesprite/master/misc/types/gen8/bug.png",4,20,20)</f>
        <v/>
      </c>
      <c r="J66" s="1083" t="s">
        <v>404</v>
      </c>
      <c r="K66" s="1060"/>
      <c r="L66" s="1060"/>
      <c r="M66" s="1090" t="str">
        <f>IMAGE("https://raw.githubusercontent.com/msikma/pokesprite/master/misc/types/gen8/steel.png",4,20,20)</f>
        <v/>
      </c>
      <c r="O66" s="1083" t="s">
        <v>1531</v>
      </c>
      <c r="P66" s="1060"/>
      <c r="Q66" s="1060"/>
      <c r="R66" s="1090" t="str">
        <f t="shared" ref="R66:R67" si="4">IMAGE("https://raw.githubusercontent.com/msikma/pokesprite/master/misc/types/gen8/dragon.png",4,20,20)</f>
        <v/>
      </c>
      <c r="T66" s="1083" t="s">
        <v>541</v>
      </c>
      <c r="U66" s="1060"/>
      <c r="V66" s="1060"/>
      <c r="W66" s="1090" t="str">
        <f>IMAGE("https://raw.githubusercontent.com/msikma/pokesprite/master/misc/types/gen8/dark.png",4,20,20)</f>
        <v/>
      </c>
      <c r="Y66" s="1083" t="s">
        <v>1532</v>
      </c>
      <c r="Z66" s="1060"/>
      <c r="AA66" s="1060"/>
      <c r="AB66" s="1090" t="str">
        <f>IMAGE("https://raw.githubusercontent.com/msikma/pokesprite/master/misc/types/gen8/electric.png",4,20,20)</f>
        <v/>
      </c>
      <c r="AD66" s="1083" t="s">
        <v>317</v>
      </c>
      <c r="AE66" s="1060"/>
      <c r="AF66" s="1060"/>
      <c r="AG66" s="1090" t="str">
        <f>IMAGE("https://raw.githubusercontent.com/msikma/pokesprite/master/misc/types/gen8/ice.png",4,20,20)</f>
        <v/>
      </c>
      <c r="AH66" s="1049"/>
      <c r="AI66" s="6192"/>
    </row>
    <row r="67" ht="21.0" customHeight="1">
      <c r="A67" s="6185"/>
      <c r="B67" s="1064"/>
      <c r="C67" s="1089"/>
      <c r="D67" s="1066"/>
      <c r="E67" s="1091" t="s">
        <v>410</v>
      </c>
      <c r="F67" s="1092"/>
      <c r="G67" s="1092"/>
      <c r="H67" s="1093" t="str">
        <f>IMAGE("https://raw.githubusercontent.com/msikma/pokesprite/master/misc/types/gen8/dragon.png",4,20,20)</f>
        <v/>
      </c>
      <c r="I67" s="1054"/>
      <c r="J67" s="1091" t="s">
        <v>277</v>
      </c>
      <c r="K67" s="1092"/>
      <c r="L67" s="1092"/>
      <c r="M67" s="1093" t="str">
        <f>IMAGE("https://raw.githubusercontent.com/msikma/pokesprite/master/misc/types/gen8/electric.png",4,20,20)</f>
        <v/>
      </c>
      <c r="N67" s="1054"/>
      <c r="O67" s="1091" t="s">
        <v>396</v>
      </c>
      <c r="P67" s="1092"/>
      <c r="Q67" s="1092"/>
      <c r="R67" s="1093" t="str">
        <f t="shared" si="4"/>
        <v/>
      </c>
      <c r="S67" s="1054"/>
      <c r="T67" s="1091" t="s">
        <v>278</v>
      </c>
      <c r="U67" s="1092"/>
      <c r="V67" s="1092"/>
      <c r="W67" s="1093" t="str">
        <f>IMAGE("https://raw.githubusercontent.com/msikma/pokesprite/master/misc/types/gen8/bug.png",4,20,20)</f>
        <v/>
      </c>
      <c r="X67" s="1054"/>
      <c r="Y67" s="1091" t="s">
        <v>1286</v>
      </c>
      <c r="Z67" s="1092"/>
      <c r="AA67" s="1092"/>
      <c r="AB67" s="1093" t="str">
        <f>IMAGE("https://raw.githubusercontent.com/msikma/pokesprite/master/misc/types/gen8/ice.png",4,20,20)</f>
        <v/>
      </c>
      <c r="AC67" s="1054"/>
      <c r="AD67" s="1091" t="s">
        <v>372</v>
      </c>
      <c r="AE67" s="1092"/>
      <c r="AF67" s="1092"/>
      <c r="AG67" s="1093" t="str">
        <f>IMAGE("https://raw.githubusercontent.com/msikma/pokesprite/master/misc/types/gen8/fire.png",4,20,20)</f>
        <v/>
      </c>
      <c r="AH67" s="1049"/>
      <c r="AI67" s="6192"/>
    </row>
    <row r="68" ht="3.0" customHeight="1">
      <c r="A68" s="6185"/>
      <c r="B68" s="1064"/>
      <c r="C68" s="1094"/>
      <c r="D68" s="1095"/>
      <c r="E68" s="1096"/>
      <c r="F68" s="1096"/>
      <c r="G68" s="1096"/>
      <c r="H68" s="1096"/>
      <c r="I68" s="1095"/>
      <c r="J68" s="1096"/>
      <c r="K68" s="1096"/>
      <c r="L68" s="1096"/>
      <c r="M68" s="1096"/>
      <c r="N68" s="1095"/>
      <c r="O68" s="1096"/>
      <c r="P68" s="1096"/>
      <c r="Q68" s="1096"/>
      <c r="R68" s="1096"/>
      <c r="S68" s="1095"/>
      <c r="T68" s="1096"/>
      <c r="U68" s="1096"/>
      <c r="V68" s="1096"/>
      <c r="W68" s="1096"/>
      <c r="X68" s="1095"/>
      <c r="Y68" s="1096"/>
      <c r="Z68" s="6254"/>
      <c r="AA68" s="6254"/>
      <c r="AB68" s="1099"/>
      <c r="AC68" s="1095"/>
      <c r="AD68" s="6255"/>
      <c r="AE68" s="6255"/>
      <c r="AF68" s="6255"/>
      <c r="AG68" s="1099"/>
      <c r="AH68" s="1100"/>
      <c r="AI68" s="6192"/>
    </row>
    <row r="69" ht="16.5" customHeight="1">
      <c r="A69" s="6185"/>
      <c r="B69" s="1101"/>
      <c r="C69" s="1094"/>
      <c r="D69" s="1102"/>
      <c r="E69" s="1103" t="s">
        <v>190</v>
      </c>
      <c r="F69" s="381"/>
      <c r="G69" s="382"/>
      <c r="H69" s="1104" t="s">
        <v>191</v>
      </c>
      <c r="I69" s="1105"/>
      <c r="J69" s="1103" t="s">
        <v>190</v>
      </c>
      <c r="K69" s="381"/>
      <c r="L69" s="382"/>
      <c r="M69" s="1104" t="s">
        <v>191</v>
      </c>
      <c r="N69" s="1105"/>
      <c r="O69" s="1103" t="s">
        <v>190</v>
      </c>
      <c r="P69" s="381"/>
      <c r="Q69" s="382"/>
      <c r="R69" s="1104" t="s">
        <v>191</v>
      </c>
      <c r="S69" s="1105"/>
      <c r="T69" s="1103" t="s">
        <v>190</v>
      </c>
      <c r="U69" s="381"/>
      <c r="V69" s="382"/>
      <c r="W69" s="1104" t="s">
        <v>191</v>
      </c>
      <c r="X69" s="1105"/>
      <c r="Y69" s="1103" t="s">
        <v>190</v>
      </c>
      <c r="Z69" s="381"/>
      <c r="AA69" s="382"/>
      <c r="AB69" s="1104" t="s">
        <v>191</v>
      </c>
      <c r="AC69" s="1105"/>
      <c r="AD69" s="1103" t="s">
        <v>190</v>
      </c>
      <c r="AE69" s="381"/>
      <c r="AF69" s="382"/>
      <c r="AG69" s="1104" t="s">
        <v>191</v>
      </c>
      <c r="AH69" s="1106"/>
      <c r="AI69" s="6192"/>
    </row>
    <row r="70" ht="15.75" customHeight="1">
      <c r="A70" s="6185"/>
      <c r="B70" s="1101"/>
      <c r="C70" s="1094"/>
      <c r="D70" s="1102"/>
      <c r="E70" s="1107" t="s">
        <v>192</v>
      </c>
      <c r="F70" s="1108">
        <f t="array" ref="F70">IFERROR(VLOOKUP(E57,Dex!$B$3:$N1218,8,FALSE),"")</f>
        <v>88</v>
      </c>
      <c r="G70" s="1109" t="str">
        <f t="array" ref="G70">IFERROR(VLOOKUP(F70,Dex!$P$22:$Q$276,2,FALSE),"")</f>
        <v/>
      </c>
      <c r="H70" s="1110"/>
      <c r="I70" s="1111"/>
      <c r="J70" s="1107" t="s">
        <v>192</v>
      </c>
      <c r="K70" s="1108">
        <f t="array" ref="K70">IFERROR(VLOOKUP(J57,Dex!$B$3:$N1218,8,FALSE),"")</f>
        <v>100</v>
      </c>
      <c r="L70" s="1109" t="str">
        <f t="array" ref="L70">IFERROR(VLOOKUP(K70,Dex!$P$22:$Q$276,2,FALSE),"")</f>
        <v/>
      </c>
      <c r="M70" s="1110">
        <v>252.0</v>
      </c>
      <c r="N70" s="1111"/>
      <c r="O70" s="1107" t="s">
        <v>192</v>
      </c>
      <c r="P70" s="1108">
        <f t="array" ref="P70">IFERROR(VLOOKUP(O57,Dex!$B$3:$N1218,8,FALSE),"")</f>
        <v>91</v>
      </c>
      <c r="Q70" s="1109" t="str">
        <f t="array" ref="Q70">IFERROR(VLOOKUP(P70,Dex!$P$22:$Q$276,2,FALSE),"")</f>
        <v/>
      </c>
      <c r="R70" s="1110"/>
      <c r="S70" s="1111"/>
      <c r="T70" s="1107" t="s">
        <v>192</v>
      </c>
      <c r="U70" s="1108">
        <f t="array" ref="U70">IFERROR(VLOOKUP(T57,Dex!$B$3:$N1218,8,FALSE),"")</f>
        <v>70</v>
      </c>
      <c r="V70" s="1109" t="str">
        <f t="array" ref="V70">IFERROR(VLOOKUP(U70,Dex!$P$22:$Q$276,2,FALSE),"")</f>
        <v/>
      </c>
      <c r="W70" s="1110"/>
      <c r="X70" s="1111"/>
      <c r="Y70" s="1107" t="s">
        <v>192</v>
      </c>
      <c r="Z70" s="1108">
        <f t="array" ref="Z70">IFERROR(VLOOKUP(Y57,Dex!$B$3:$N1218,8,FALSE),"")</f>
        <v>125</v>
      </c>
      <c r="AA70" s="1109" t="str">
        <f t="array" ref="AA70">IFERROR(VLOOKUP(Z70,Dex!$P$22:$Q$276,2,FALSE),"")</f>
        <v/>
      </c>
      <c r="AB70" s="1110"/>
      <c r="AC70" s="1111"/>
      <c r="AD70" s="1107" t="s">
        <v>192</v>
      </c>
      <c r="AE70" s="1108">
        <f t="array" ref="AE70">IFERROR(VLOOKUP(AD57,Dex!$B$3:$N1218,8,FALSE),"")</f>
        <v>71</v>
      </c>
      <c r="AF70" s="1109" t="str">
        <f t="array" ref="AF70">IFERROR(VLOOKUP(AE70,Dex!$P$22:$Q$276,2,FALSE),"")</f>
        <v/>
      </c>
      <c r="AG70" s="1110"/>
      <c r="AH70" s="1112"/>
      <c r="AI70" s="6192"/>
    </row>
    <row r="71" ht="15.75" customHeight="1">
      <c r="A71" s="6185"/>
      <c r="B71" s="1101"/>
      <c r="C71" s="1094"/>
      <c r="D71" s="1102"/>
      <c r="E71" s="1113" t="s">
        <v>193</v>
      </c>
      <c r="F71" s="1114">
        <f t="array" ref="F71">IFERROR(VLOOKUP(E57,Dex!$B$3:$N1218,9,FALSE),"")</f>
        <v>120</v>
      </c>
      <c r="G71" s="1115" t="str">
        <f t="array" ref="G71">IFERROR(VLOOKUP(F71,Dex!$P$22:$Q$276,2,FALSE),"")</f>
        <v/>
      </c>
      <c r="H71" s="1116">
        <v>252.0</v>
      </c>
      <c r="I71" s="1111"/>
      <c r="J71" s="1113" t="s">
        <v>193</v>
      </c>
      <c r="K71" s="1114">
        <f t="array" ref="K71">IFERROR(VLOOKUP(J57,Dex!$B$3:$N1218,9,FALSE),"")</f>
        <v>120</v>
      </c>
      <c r="L71" s="1115" t="str">
        <f t="array" ref="L71">IFERROR(VLOOKUP(K71,Dex!$P$22:$Q$276,2,FALSE),"")</f>
        <v/>
      </c>
      <c r="M71" s="1116"/>
      <c r="N71" s="1111"/>
      <c r="O71" s="1113" t="s">
        <v>193</v>
      </c>
      <c r="P71" s="1114">
        <f t="array" ref="P71">IFERROR(VLOOKUP(O57,Dex!$B$3:$N1218,9,FALSE),"")</f>
        <v>134</v>
      </c>
      <c r="Q71" s="1115" t="str">
        <f t="array" ref="Q71">IFERROR(VLOOKUP(P71,Dex!$P$22:$Q$276,2,FALSE),"")</f>
        <v/>
      </c>
      <c r="R71" s="1116">
        <v>252.0</v>
      </c>
      <c r="S71" s="1111"/>
      <c r="T71" s="1113" t="s">
        <v>193</v>
      </c>
      <c r="U71" s="1114">
        <f t="array" ref="U71">IFERROR(VLOOKUP(T57,Dex!$B$3:$N1218,9,FALSE),"")</f>
        <v>145</v>
      </c>
      <c r="V71" s="1115" t="str">
        <f t="array" ref="V71">IFERROR(VLOOKUP(U71,Dex!$P$22:$Q$276,2,FALSE),"")</f>
        <v/>
      </c>
      <c r="W71" s="1116">
        <v>4.0</v>
      </c>
      <c r="X71" s="1111"/>
      <c r="Y71" s="1113" t="s">
        <v>193</v>
      </c>
      <c r="Z71" s="1114">
        <f t="array" ref="Z71">IFERROR(VLOOKUP(Y57,Dex!$B$3:$N1218,9,FALSE),"")</f>
        <v>170</v>
      </c>
      <c r="AA71" s="1115" t="str">
        <f t="array" ref="AA71">IFERROR(VLOOKUP(Z71,Dex!$P$22:$Q$276,2,FALSE),"")</f>
        <v/>
      </c>
      <c r="AB71" s="1116">
        <v>252.0</v>
      </c>
      <c r="AC71" s="1111"/>
      <c r="AD71" s="1113" t="s">
        <v>193</v>
      </c>
      <c r="AE71" s="1114">
        <f t="array" ref="AE71">IFERROR(VLOOKUP(AD57,Dex!$B$3:$N1218,9,FALSE),"")</f>
        <v>120</v>
      </c>
      <c r="AF71" s="1115" t="str">
        <f t="array" ref="AF71">IFERROR(VLOOKUP(AE71,Dex!$P$22:$Q$276,2,FALSE),"")</f>
        <v/>
      </c>
      <c r="AG71" s="1116">
        <v>128.0</v>
      </c>
      <c r="AH71" s="1112"/>
      <c r="AI71" s="6192"/>
    </row>
    <row r="72" ht="15.75" customHeight="1">
      <c r="A72" s="6185"/>
      <c r="B72" s="1101"/>
      <c r="C72" s="1094"/>
      <c r="D72" s="1102"/>
      <c r="E72" s="1113" t="s">
        <v>194</v>
      </c>
      <c r="F72" s="1114">
        <f t="array" ref="F72">IFERROR(VLOOKUP(E57,Dex!$B$3:$N1218,10,FALSE),"")</f>
        <v>75</v>
      </c>
      <c r="G72" s="1115" t="str">
        <f t="array" ref="G72">IFERROR(VLOOKUP(F72,Dex!$P$22:$Q$276,2,FALSE),"")</f>
        <v/>
      </c>
      <c r="H72" s="1116"/>
      <c r="I72" s="1111"/>
      <c r="J72" s="1113" t="s">
        <v>194</v>
      </c>
      <c r="K72" s="1114">
        <f t="array" ref="K72">IFERROR(VLOOKUP(J57,Dex!$B$3:$N1218,10,FALSE),"")</f>
        <v>150</v>
      </c>
      <c r="L72" s="1115" t="str">
        <f t="array" ref="L72">IFERROR(VLOOKUP(K72,Dex!$P$22:$Q$276,2,FALSE),"")</f>
        <v/>
      </c>
      <c r="M72" s="1116"/>
      <c r="N72" s="1111"/>
      <c r="O72" s="1113" t="s">
        <v>194</v>
      </c>
      <c r="P72" s="1114">
        <f t="array" ref="P72">IFERROR(VLOOKUP(O57,Dex!$B$3:$N1218,10,FALSE),"")</f>
        <v>95</v>
      </c>
      <c r="Q72" s="1115" t="str">
        <f t="array" ref="Q72">IFERROR(VLOOKUP(P72,Dex!$P$22:$Q$276,2,FALSE),"")</f>
        <v/>
      </c>
      <c r="R72" s="1116"/>
      <c r="S72" s="1111"/>
      <c r="T72" s="1113" t="s">
        <v>194</v>
      </c>
      <c r="U72" s="1114">
        <f t="array" ref="U72">IFERROR(VLOOKUP(T57,Dex!$B$3:$N1218,10,FALSE),"")</f>
        <v>90</v>
      </c>
      <c r="V72" s="1115" t="str">
        <f t="array" ref="V72">IFERROR(VLOOKUP(U72,Dex!$P$22:$Q$276,2,FALSE),"")</f>
        <v/>
      </c>
      <c r="W72" s="1116"/>
      <c r="X72" s="1111"/>
      <c r="Y72" s="1113" t="s">
        <v>194</v>
      </c>
      <c r="Z72" s="1114">
        <f t="array" ref="Z72">IFERROR(VLOOKUP(Y57,Dex!$B$3:$N1218,10,FALSE),"")</f>
        <v>100</v>
      </c>
      <c r="AA72" s="1115" t="str">
        <f t="array" ref="AA72">IFERROR(VLOOKUP(Z72,Dex!$P$22:$Q$276,2,FALSE),"")</f>
        <v/>
      </c>
      <c r="AB72" s="1116"/>
      <c r="AC72" s="1111"/>
      <c r="AD72" s="1113" t="s">
        <v>194</v>
      </c>
      <c r="AE72" s="1114">
        <f t="array" ref="AE72">IFERROR(VLOOKUP(AD57,Dex!$B$3:$N1218,10,FALSE),"")</f>
        <v>95</v>
      </c>
      <c r="AF72" s="1115" t="str">
        <f t="array" ref="AF72">IFERROR(VLOOKUP(AE72,Dex!$P$22:$Q$276,2,FALSE),"")</f>
        <v/>
      </c>
      <c r="AG72" s="1116"/>
      <c r="AH72" s="1112"/>
      <c r="AI72" s="6192"/>
    </row>
    <row r="73" ht="15.75" customHeight="1">
      <c r="A73" s="6185"/>
      <c r="B73" s="1101"/>
      <c r="C73" s="1094"/>
      <c r="D73" s="1102"/>
      <c r="E73" s="1113" t="s">
        <v>195</v>
      </c>
      <c r="F73" s="1114">
        <f t="array" ref="F73">IFERROR(VLOOKUP(E57,Dex!$B$3:$N1218,11,FALSE),"")</f>
        <v>100</v>
      </c>
      <c r="G73" s="1115" t="str">
        <f t="array" ref="G73">IFERROR(VLOOKUP(F73,Dex!$P$22:$Q$276,2,FALSE),"")</f>
        <v/>
      </c>
      <c r="H73" s="1116">
        <v>4.0</v>
      </c>
      <c r="I73" s="1111"/>
      <c r="J73" s="1113" t="s">
        <v>195</v>
      </c>
      <c r="K73" s="1114">
        <f t="array" ref="K73">IFERROR(VLOOKUP(J57,Dex!$B$3:$N1218,11,FALSE),"")</f>
        <v>185</v>
      </c>
      <c r="L73" s="1115" t="str">
        <f t="array" ref="L73">IFERROR(VLOOKUP(K73,Dex!$P$22:$Q$276,2,FALSE),"")</f>
        <v/>
      </c>
      <c r="M73" s="1116">
        <v>252.0</v>
      </c>
      <c r="N73" s="1111"/>
      <c r="O73" s="1113" t="s">
        <v>195</v>
      </c>
      <c r="P73" s="1114">
        <f t="array" ref="P73">IFERROR(VLOOKUP(O57,Dex!$B$3:$N1218,11,FALSE),"")</f>
        <v>100</v>
      </c>
      <c r="Q73" s="1115" t="str">
        <f t="array" ref="Q73">IFERROR(VLOOKUP(P73,Dex!$P$22:$Q$276,2,FALSE),"")</f>
        <v/>
      </c>
      <c r="R73" s="1116"/>
      <c r="S73" s="1111"/>
      <c r="T73" s="1113" t="s">
        <v>195</v>
      </c>
      <c r="U73" s="1114">
        <f t="array" ref="U73">IFERROR(VLOOKUP(T57,Dex!$B$3:$N1218,11,FALSE),"")</f>
        <v>135</v>
      </c>
      <c r="V73" s="1115" t="str">
        <f t="array" ref="V73">IFERROR(VLOOKUP(U73,Dex!$P$22:$Q$276,2,FALSE),"")</f>
        <v/>
      </c>
      <c r="W73" s="1116">
        <v>252.0</v>
      </c>
      <c r="X73" s="1111"/>
      <c r="Y73" s="1113" t="s">
        <v>195</v>
      </c>
      <c r="Z73" s="1114">
        <f t="array" ref="Z73">IFERROR(VLOOKUP(Y57,Dex!$B$3:$N1218,11,FALSE),"")</f>
        <v>120</v>
      </c>
      <c r="AA73" s="1115" t="str">
        <f t="array" ref="AA73">IFERROR(VLOOKUP(Z73,Dex!$P$22:$Q$276,2,FALSE),"")</f>
        <v/>
      </c>
      <c r="AB73" s="1116"/>
      <c r="AC73" s="1111"/>
      <c r="AD73" s="1113" t="s">
        <v>195</v>
      </c>
      <c r="AE73" s="1114">
        <f t="array" ref="AE73">IFERROR(VLOOKUP(AD57,Dex!$B$3:$N1218,11,FALSE),"")</f>
        <v>120</v>
      </c>
      <c r="AF73" s="1115" t="str">
        <f t="array" ref="AF73">IFERROR(VLOOKUP(AE73,Dex!$P$22:$Q$276,2,FALSE),"")</f>
        <v/>
      </c>
      <c r="AG73" s="1116">
        <v>128.0</v>
      </c>
      <c r="AH73" s="1112"/>
      <c r="AI73" s="6192"/>
    </row>
    <row r="74" ht="15.75" customHeight="1">
      <c r="A74" s="6185"/>
      <c r="B74" s="1101"/>
      <c r="C74" s="1094"/>
      <c r="D74" s="1102"/>
      <c r="E74" s="1113" t="s">
        <v>196</v>
      </c>
      <c r="F74" s="1114">
        <f t="array" ref="F74">IFERROR(VLOOKUP(E57,Dex!$B$3:$N1218,12,FALSE),"")</f>
        <v>75</v>
      </c>
      <c r="G74" s="1115" t="str">
        <f t="array" ref="G74">IFERROR(VLOOKUP(F74,Dex!$P$22:$Q$276,2,FALSE),"")</f>
        <v/>
      </c>
      <c r="H74" s="1116"/>
      <c r="I74" s="1111"/>
      <c r="J74" s="1113" t="s">
        <v>196</v>
      </c>
      <c r="K74" s="1114">
        <f t="array" ref="K74">IFERROR(VLOOKUP(J57,Dex!$B$3:$N1218,12,FALSE),"")</f>
        <v>130</v>
      </c>
      <c r="L74" s="1115" t="str">
        <f t="array" ref="L74">IFERROR(VLOOKUP(K74,Dex!$P$22:$Q$276,2,FALSE),"")</f>
        <v/>
      </c>
      <c r="M74" s="1116">
        <v>4.0</v>
      </c>
      <c r="N74" s="1111"/>
      <c r="O74" s="1113" t="s">
        <v>196</v>
      </c>
      <c r="P74" s="1114">
        <f t="array" ref="P74">IFERROR(VLOOKUP(O57,Dex!$B$3:$N1218,12,FALSE),"")</f>
        <v>100</v>
      </c>
      <c r="Q74" s="1115" t="str">
        <f t="array" ref="Q74">IFERROR(VLOOKUP(P74,Dex!$P$22:$Q$276,2,FALSE),"")</f>
        <v/>
      </c>
      <c r="R74" s="1116">
        <v>4.0</v>
      </c>
      <c r="S74" s="1111"/>
      <c r="T74" s="1113" t="s">
        <v>196</v>
      </c>
      <c r="U74" s="1114">
        <f t="array" ref="U74">IFERROR(VLOOKUP(T57,Dex!$B$3:$N1218,12,FALSE),"")</f>
        <v>70</v>
      </c>
      <c r="V74" s="1115" t="str">
        <f t="array" ref="V74">IFERROR(VLOOKUP(U74,Dex!$P$22:$Q$276,2,FALSE),"")</f>
        <v/>
      </c>
      <c r="W74" s="1116"/>
      <c r="X74" s="1111"/>
      <c r="Y74" s="1113" t="s">
        <v>196</v>
      </c>
      <c r="Z74" s="1114">
        <f t="array" ref="Z74">IFERROR(VLOOKUP(Y57,Dex!$B$3:$N1218,12,FALSE),"")</f>
        <v>90</v>
      </c>
      <c r="AA74" s="1115" t="str">
        <f t="array" ref="AA74">IFERROR(VLOOKUP(Z74,Dex!$P$22:$Q$276,2,FALSE),"")</f>
        <v/>
      </c>
      <c r="AB74" s="1116">
        <v>4.0</v>
      </c>
      <c r="AC74" s="1111"/>
      <c r="AD74" s="1113" t="s">
        <v>196</v>
      </c>
      <c r="AE74" s="1114">
        <f t="array" ref="AE74">IFERROR(VLOOKUP(AD57,Dex!$B$3:$N1218,12,FALSE),"")</f>
        <v>95</v>
      </c>
      <c r="AF74" s="1115" t="str">
        <f t="array" ref="AF74">IFERROR(VLOOKUP(AE74,Dex!$P$22:$Q$276,2,FALSE),"")</f>
        <v/>
      </c>
      <c r="AG74" s="1116">
        <v>4.0</v>
      </c>
      <c r="AH74" s="1112"/>
      <c r="AI74" s="6192"/>
    </row>
    <row r="75" ht="15.75" customHeight="1">
      <c r="A75" s="6185"/>
      <c r="B75" s="1101"/>
      <c r="C75" s="1094"/>
      <c r="D75" s="1102"/>
      <c r="E75" s="1117" t="s">
        <v>197</v>
      </c>
      <c r="F75" s="1118">
        <f t="array" ref="F75">IFERROR(VLOOKUP(E57,Dex!$B$3:$N1218,13,FALSE),"")</f>
        <v>142</v>
      </c>
      <c r="G75" s="1119" t="str">
        <f t="array" ref="G75">IFERROR(VLOOKUP(F75,Dex!$P$22:$Q$276,2,FALSE),"")</f>
        <v/>
      </c>
      <c r="H75" s="1120">
        <v>252.0</v>
      </c>
      <c r="I75" s="1111"/>
      <c r="J75" s="1117" t="s">
        <v>197</v>
      </c>
      <c r="K75" s="1118">
        <f t="array" ref="K75">IFERROR(VLOOKUP(J57,Dex!$B$3:$N1218,13,FALSE),"")</f>
        <v>90</v>
      </c>
      <c r="L75" s="1119" t="str">
        <f t="array" ref="L75">IFERROR(VLOOKUP(K75,Dex!$P$22:$Q$276,2,FALSE),"")</f>
        <v/>
      </c>
      <c r="M75" s="1120"/>
      <c r="N75" s="1111"/>
      <c r="O75" s="1117" t="s">
        <v>197</v>
      </c>
      <c r="P75" s="1118">
        <f t="array" ref="P75">IFERROR(VLOOKUP(O57,Dex!$B$3:$N1218,13,FALSE),"")</f>
        <v>80</v>
      </c>
      <c r="Q75" s="1119" t="str">
        <f t="array" ref="Q75">IFERROR(VLOOKUP(P75,Dex!$P$22:$Q$276,2,FALSE),"")</f>
        <v/>
      </c>
      <c r="R75" s="1120">
        <v>252.0</v>
      </c>
      <c r="S75" s="1111"/>
      <c r="T75" s="1117" t="s">
        <v>197</v>
      </c>
      <c r="U75" s="1118">
        <f t="array" ref="U75">IFERROR(VLOOKUP(T57,Dex!$B$3:$N1218,13,FALSE),"")</f>
        <v>105</v>
      </c>
      <c r="V75" s="1119" t="str">
        <f t="array" ref="V75">IFERROR(VLOOKUP(U75,Dex!$P$22:$Q$276,2,FALSE),"")</f>
        <v/>
      </c>
      <c r="W75" s="1120">
        <v>252.0</v>
      </c>
      <c r="X75" s="1111"/>
      <c r="Y75" s="1117" t="s">
        <v>197</v>
      </c>
      <c r="Z75" s="1118">
        <f t="array" ref="Z75">IFERROR(VLOOKUP(Y57,Dex!$B$3:$N1218,13,FALSE),"")</f>
        <v>95</v>
      </c>
      <c r="AA75" s="1119" t="str">
        <f t="array" ref="AA75">IFERROR(VLOOKUP(Z75,Dex!$P$22:$Q$276,2,FALSE),"")</f>
        <v/>
      </c>
      <c r="AB75" s="1120">
        <v>252.0</v>
      </c>
      <c r="AC75" s="1111"/>
      <c r="AD75" s="1117" t="s">
        <v>197</v>
      </c>
      <c r="AE75" s="1118">
        <f t="array" ref="AE75">IFERROR(VLOOKUP(AD57,Dex!$B$3:$N1218,13,FALSE),"")</f>
        <v>99</v>
      </c>
      <c r="AF75" s="1119" t="str">
        <f t="array" ref="AF75">IFERROR(VLOOKUP(AE75,Dex!$P$22:$Q$276,2,FALSE),"")</f>
        <v/>
      </c>
      <c r="AG75" s="1120">
        <v>252.0</v>
      </c>
      <c r="AH75" s="1112"/>
      <c r="AI75" s="6192"/>
    </row>
    <row r="76" ht="16.5" customHeight="1">
      <c r="A76" s="6185"/>
      <c r="B76" s="1101"/>
      <c r="C76" s="1094"/>
      <c r="D76" s="1102"/>
      <c r="E76" s="1121" t="s">
        <v>198</v>
      </c>
      <c r="F76" s="405"/>
      <c r="G76" s="406"/>
      <c r="H76" s="1122">
        <v>421.0</v>
      </c>
      <c r="I76" s="1105"/>
      <c r="J76" s="1121" t="s">
        <v>198</v>
      </c>
      <c r="K76" s="405"/>
      <c r="L76" s="406"/>
      <c r="M76" s="1122">
        <v>216.0</v>
      </c>
      <c r="N76" s="1105"/>
      <c r="O76" s="1121" t="s">
        <v>198</v>
      </c>
      <c r="P76" s="405"/>
      <c r="Q76" s="406"/>
      <c r="R76" s="1122">
        <v>259.0</v>
      </c>
      <c r="S76" s="1105"/>
      <c r="T76" s="1121" t="s">
        <v>198</v>
      </c>
      <c r="U76" s="405"/>
      <c r="V76" s="406"/>
      <c r="W76" s="1122">
        <v>339.0</v>
      </c>
      <c r="X76" s="1105"/>
      <c r="Y76" s="1121" t="s">
        <v>198</v>
      </c>
      <c r="Z76" s="405"/>
      <c r="AA76" s="406"/>
      <c r="AB76" s="1122">
        <v>317.0</v>
      </c>
      <c r="AC76" s="1105"/>
      <c r="AD76" s="1121" t="s">
        <v>198</v>
      </c>
      <c r="AE76" s="405"/>
      <c r="AF76" s="406"/>
      <c r="AG76" s="1122">
        <v>326.0</v>
      </c>
      <c r="AH76" s="1106"/>
      <c r="AI76" s="6192"/>
    </row>
    <row r="77" ht="15.0" customHeight="1">
      <c r="A77" s="6185"/>
      <c r="B77" s="1129"/>
      <c r="C77" s="1130"/>
      <c r="D77" s="1131"/>
      <c r="E77" s="1132"/>
      <c r="F77" s="1132"/>
      <c r="G77" s="1132"/>
      <c r="H77" s="1132"/>
      <c r="I77" s="1132"/>
      <c r="J77" s="1132"/>
      <c r="K77" s="1132"/>
      <c r="L77" s="1132"/>
      <c r="M77" s="1132"/>
      <c r="N77" s="1132"/>
      <c r="O77" s="1132"/>
      <c r="P77" s="1132"/>
      <c r="Q77" s="1132"/>
      <c r="R77" s="1132"/>
      <c r="S77" s="1132"/>
      <c r="T77" s="1132"/>
      <c r="U77" s="1132"/>
      <c r="V77" s="1132"/>
      <c r="W77" s="1132"/>
      <c r="X77" s="1132"/>
      <c r="Y77" s="1132"/>
      <c r="Z77" s="1132"/>
      <c r="AA77" s="1132"/>
      <c r="AB77" s="1132"/>
      <c r="AC77" s="1132"/>
      <c r="AD77" s="1132"/>
      <c r="AE77" s="1132"/>
      <c r="AF77" s="1132"/>
      <c r="AG77" s="1132"/>
      <c r="AH77" s="1133"/>
      <c r="AI77" s="6192"/>
    </row>
    <row r="78" ht="15.0" customHeight="1">
      <c r="A78" s="6185"/>
      <c r="B78" s="414"/>
      <c r="C78" s="415"/>
      <c r="D78" s="416"/>
      <c r="E78" s="417"/>
      <c r="F78" s="417"/>
      <c r="G78" s="417"/>
      <c r="H78" s="417"/>
      <c r="I78" s="416"/>
      <c r="J78" s="417"/>
      <c r="K78" s="417"/>
      <c r="L78" s="417"/>
      <c r="M78" s="417"/>
      <c r="N78" s="416"/>
      <c r="O78" s="417"/>
      <c r="P78" s="417"/>
      <c r="Q78" s="417"/>
      <c r="R78" s="417"/>
      <c r="S78" s="416"/>
      <c r="T78" s="417"/>
      <c r="U78" s="417"/>
      <c r="V78" s="417"/>
      <c r="W78" s="417"/>
      <c r="X78" s="416"/>
      <c r="Y78" s="417"/>
      <c r="Z78" s="417"/>
      <c r="AA78" s="417"/>
      <c r="AB78" s="417"/>
      <c r="AC78" s="416"/>
      <c r="AD78" s="417"/>
      <c r="AE78" s="417"/>
      <c r="AF78" s="417"/>
      <c r="AG78" s="417"/>
      <c r="AH78" s="418"/>
      <c r="AI78" s="6192"/>
    </row>
    <row r="79" ht="18.75" customHeight="1">
      <c r="A79" s="6256"/>
      <c r="B79" s="6257"/>
      <c r="C79" s="6258"/>
      <c r="D79" s="6257"/>
      <c r="E79" s="6259" t="s">
        <v>1533</v>
      </c>
      <c r="F79" s="478"/>
      <c r="G79" s="478"/>
      <c r="H79" s="478"/>
      <c r="I79" s="478"/>
      <c r="J79" s="478"/>
      <c r="K79" s="478"/>
      <c r="L79" s="478"/>
      <c r="M79" s="478"/>
      <c r="N79" s="478"/>
      <c r="O79" s="478"/>
      <c r="P79" s="478"/>
      <c r="Q79" s="478"/>
      <c r="R79" s="478"/>
      <c r="S79" s="478"/>
      <c r="T79" s="478"/>
      <c r="U79" s="478"/>
      <c r="V79" s="478"/>
      <c r="W79" s="478"/>
      <c r="X79" s="478"/>
      <c r="Y79" s="478"/>
      <c r="Z79" s="478"/>
      <c r="AA79" s="478"/>
      <c r="AB79" s="478"/>
      <c r="AC79" s="478"/>
      <c r="AD79" s="478"/>
      <c r="AE79" s="478"/>
      <c r="AF79" s="478"/>
      <c r="AG79" s="1272"/>
      <c r="AH79" s="6260"/>
      <c r="AI79" s="6192"/>
    </row>
    <row r="80" ht="96.75" customHeight="1">
      <c r="A80" s="6185"/>
      <c r="B80" s="419"/>
      <c r="C80" s="420" t="str">
        <f>IMAGE("https://i.ibb.co/mh2zYn4/Misty.png")</f>
        <v/>
      </c>
      <c r="D80" s="421"/>
      <c r="E80" s="422" t="str">
        <f t="array" ref="E80">IFERROR(VLOOKUP(E81,Dex!$B$3:$G1218,3,FALSE),"")</f>
        <v/>
      </c>
      <c r="F80" s="302"/>
      <c r="G80" s="302"/>
      <c r="H80" s="303"/>
      <c r="I80" s="423"/>
      <c r="J80" s="422" t="str">
        <f t="array" ref="J80">IFERROR(VLOOKUP(J81,Dex!$B$3:$G1218,3,FALSE),"")</f>
        <v/>
      </c>
      <c r="K80" s="302"/>
      <c r="L80" s="302"/>
      <c r="M80" s="303"/>
      <c r="N80" s="423"/>
      <c r="O80" s="422" t="str">
        <f t="array" ref="O80">IFERROR(VLOOKUP(O81,Dex!$B$3:$G1218,3,FALSE),"")</f>
        <v/>
      </c>
      <c r="P80" s="302"/>
      <c r="Q80" s="302"/>
      <c r="R80" s="303"/>
      <c r="S80" s="423"/>
      <c r="T80" s="422" t="str">
        <f t="array" ref="T80">IFERROR(VLOOKUP(T81,Dex!$B$3:$G1218,3,FALSE),"")</f>
        <v/>
      </c>
      <c r="U80" s="302"/>
      <c r="V80" s="302"/>
      <c r="W80" s="303"/>
      <c r="X80" s="6261"/>
      <c r="Y80" s="422" t="str">
        <f t="array" ref="Y80">IFERROR(VLOOKUP(Y81,Dex!$B$3:$G1218,3,FALSE),"")</f>
        <v/>
      </c>
      <c r="Z80" s="302"/>
      <c r="AA80" s="302"/>
      <c r="AB80" s="303"/>
      <c r="AC80" s="6261"/>
      <c r="AD80" s="422" t="str">
        <f t="array" ref="AD80">IFERROR(VLOOKUP(AD81,Dex!$B$3:$G1218,3,FALSE),"")</f>
        <v/>
      </c>
      <c r="AE80" s="302"/>
      <c r="AF80" s="302"/>
      <c r="AG80" s="303"/>
      <c r="AH80" s="6262"/>
      <c r="AI80" s="6192"/>
    </row>
    <row r="81" ht="18.75" customHeight="1">
      <c r="A81" s="6185"/>
      <c r="B81" s="430"/>
      <c r="C81" s="431" t="s">
        <v>1534</v>
      </c>
      <c r="D81" s="432"/>
      <c r="E81" s="433" t="s">
        <v>1535</v>
      </c>
      <c r="F81" s="434"/>
      <c r="G81" s="434"/>
      <c r="H81" s="435"/>
      <c r="I81" s="436"/>
      <c r="J81" s="433" t="s">
        <v>1536</v>
      </c>
      <c r="K81" s="434"/>
      <c r="L81" s="434"/>
      <c r="M81" s="435"/>
      <c r="N81" s="436"/>
      <c r="O81" s="433" t="s">
        <v>1229</v>
      </c>
      <c r="P81" s="434"/>
      <c r="Q81" s="434"/>
      <c r="R81" s="435"/>
      <c r="S81" s="436"/>
      <c r="T81" s="433" t="s">
        <v>442</v>
      </c>
      <c r="U81" s="434"/>
      <c r="V81" s="434"/>
      <c r="W81" s="435"/>
      <c r="Y81" s="433" t="s">
        <v>1537</v>
      </c>
      <c r="Z81" s="434"/>
      <c r="AA81" s="434"/>
      <c r="AB81" s="435"/>
      <c r="AD81" s="433" t="s">
        <v>201</v>
      </c>
      <c r="AE81" s="434"/>
      <c r="AF81" s="434"/>
      <c r="AG81" s="435"/>
      <c r="AH81" s="6263"/>
      <c r="AI81" s="6192"/>
    </row>
    <row r="82">
      <c r="A82" s="6185"/>
      <c r="B82" s="441"/>
      <c r="C82" s="326"/>
      <c r="D82" s="442"/>
      <c r="E82" s="6264" t="s">
        <v>1502</v>
      </c>
      <c r="F82" s="426"/>
      <c r="G82" s="426"/>
      <c r="H82" s="444"/>
      <c r="I82" s="436"/>
      <c r="J82" s="6264" t="s">
        <v>1502</v>
      </c>
      <c r="K82" s="426"/>
      <c r="L82" s="426"/>
      <c r="M82" s="444"/>
      <c r="N82" s="436"/>
      <c r="O82" s="6264" t="s">
        <v>1502</v>
      </c>
      <c r="P82" s="426"/>
      <c r="Q82" s="426"/>
      <c r="R82" s="444"/>
      <c r="S82" s="436"/>
      <c r="T82" s="6264" t="s">
        <v>1502</v>
      </c>
      <c r="U82" s="426"/>
      <c r="V82" s="426"/>
      <c r="W82" s="444"/>
      <c r="Y82" s="6264" t="s">
        <v>1502</v>
      </c>
      <c r="Z82" s="426"/>
      <c r="AA82" s="426"/>
      <c r="AB82" s="444"/>
      <c r="AD82" s="6264" t="s">
        <v>1502</v>
      </c>
      <c r="AE82" s="426"/>
      <c r="AF82" s="426"/>
      <c r="AG82" s="444"/>
      <c r="AH82" s="6265"/>
      <c r="AI82" s="6192"/>
    </row>
    <row r="83" ht="25.5" customHeight="1">
      <c r="A83" s="6185"/>
      <c r="B83" s="419"/>
      <c r="C83" s="447"/>
      <c r="D83" s="425"/>
      <c r="E83" s="452"/>
      <c r="F83" s="454" t="str">
        <f t="array" ref="F83">IFERROR(VLOOKUP(E81,Dex!$B$3:$H1218,5,FALSE),"")</f>
        <v/>
      </c>
      <c r="G83" s="455" t="str">
        <f t="array" ref="G83">IFERROR(VLOOKUP(E81,Dex!$B$3:$H1218,7,FALSE),"")</f>
        <v/>
      </c>
      <c r="H83" s="453"/>
      <c r="I83" s="451"/>
      <c r="J83" s="452"/>
      <c r="K83" s="449" t="str">
        <f t="array" ref="K83">IFERROR(VLOOKUP(J81,Dex!$B$3:$H1218,5,FALSE),"")</f>
        <v/>
      </c>
      <c r="L83" s="427"/>
      <c r="M83" s="453"/>
      <c r="N83" s="451"/>
      <c r="O83" s="452"/>
      <c r="P83" s="454" t="str">
        <f t="array" ref="P83">IFERROR(VLOOKUP(O81,Dex!$B$3:$H1218,5,FALSE),"")</f>
        <v/>
      </c>
      <c r="Q83" s="455" t="str">
        <f t="array" ref="Q83">IFERROR(VLOOKUP(O81,Dex!$B$3:$H1218,7,FALSE),"")</f>
        <v/>
      </c>
      <c r="R83" s="453"/>
      <c r="S83" s="451"/>
      <c r="T83" s="452"/>
      <c r="U83" s="454" t="str">
        <f t="array" ref="U83">IFERROR(VLOOKUP(T81,Dex!$B$3:$H1218,5,FALSE),"")</f>
        <v/>
      </c>
      <c r="V83" s="455" t="str">
        <f t="array" ref="V83">IFERROR(VLOOKUP(T81,Dex!$B$3:$H1218,7,FALSE),"")</f>
        <v/>
      </c>
      <c r="W83" s="453"/>
      <c r="Y83" s="452"/>
      <c r="Z83" s="454" t="str">
        <f t="array" ref="Z83">IFERROR(VLOOKUP(Y81,Dex!$B$3:$H1218,5,FALSE),"")</f>
        <v/>
      </c>
      <c r="AA83" s="455" t="str">
        <f t="array" ref="AA83">IFERROR(VLOOKUP(Y81,Dex!$B$3:$H1218,7,FALSE),"")</f>
        <v/>
      </c>
      <c r="AB83" s="453"/>
      <c r="AD83" s="452"/>
      <c r="AE83" s="449" t="str">
        <f t="array" ref="AE83">IFERROR(VLOOKUP(AD81,Dex!$B$3:$H1218,5,FALSE),"")</f>
        <v/>
      </c>
      <c r="AF83" s="427"/>
      <c r="AG83" s="453"/>
      <c r="AH83" s="429"/>
      <c r="AI83" s="6192"/>
    </row>
    <row r="84" ht="2.25" customHeight="1">
      <c r="A84" s="6185"/>
      <c r="B84" s="419"/>
      <c r="C84" s="439"/>
      <c r="D84" s="425"/>
      <c r="E84" s="459"/>
      <c r="F84" s="461"/>
      <c r="G84" s="461"/>
      <c r="H84" s="460"/>
      <c r="I84" s="451"/>
      <c r="J84" s="459"/>
      <c r="K84" s="461"/>
      <c r="L84" s="461"/>
      <c r="M84" s="460"/>
      <c r="N84" s="451"/>
      <c r="O84" s="459"/>
      <c r="P84" s="461"/>
      <c r="Q84" s="461"/>
      <c r="R84" s="460"/>
      <c r="S84" s="451"/>
      <c r="T84" s="459"/>
      <c r="U84" s="461"/>
      <c r="V84" s="461"/>
      <c r="W84" s="460"/>
      <c r="Y84" s="459"/>
      <c r="Z84" s="461"/>
      <c r="AA84" s="461"/>
      <c r="AB84" s="460"/>
      <c r="AD84" s="459"/>
      <c r="AE84" s="461"/>
      <c r="AF84" s="461"/>
      <c r="AG84" s="460"/>
      <c r="AH84" s="429"/>
      <c r="AI84" s="6192"/>
    </row>
    <row r="85" ht="20.25" customHeight="1">
      <c r="A85" s="6185"/>
      <c r="B85" s="419"/>
      <c r="C85" s="463"/>
      <c r="D85" s="425"/>
      <c r="E85" s="464" t="s">
        <v>205</v>
      </c>
      <c r="F85" s="465"/>
      <c r="G85" s="465"/>
      <c r="H85" s="466"/>
      <c r="I85" s="6266"/>
      <c r="J85" s="464" t="s">
        <v>205</v>
      </c>
      <c r="K85" s="465"/>
      <c r="L85" s="465"/>
      <c r="M85" s="466"/>
      <c r="N85" s="6266"/>
      <c r="O85" s="464" t="s">
        <v>206</v>
      </c>
      <c r="P85" s="465"/>
      <c r="Q85" s="465"/>
      <c r="R85" s="466"/>
      <c r="S85" s="6266"/>
      <c r="T85" s="464" t="s">
        <v>205</v>
      </c>
      <c r="U85" s="465"/>
      <c r="V85" s="465"/>
      <c r="W85" s="466"/>
      <c r="Y85" s="464" t="s">
        <v>172</v>
      </c>
      <c r="Z85" s="465"/>
      <c r="AA85" s="465"/>
      <c r="AB85" s="466"/>
      <c r="AD85" s="464" t="s">
        <v>172</v>
      </c>
      <c r="AE85" s="465"/>
      <c r="AF85" s="465"/>
      <c r="AG85" s="466"/>
      <c r="AH85" s="6262"/>
      <c r="AI85" s="6192"/>
    </row>
    <row r="86">
      <c r="A86" s="6185"/>
      <c r="B86" s="419"/>
      <c r="C86" s="468"/>
      <c r="D86" s="425"/>
      <c r="E86" s="469" t="s">
        <v>780</v>
      </c>
      <c r="F86" s="426"/>
      <c r="G86" s="426"/>
      <c r="H86" s="444"/>
      <c r="I86" s="6266"/>
      <c r="J86" s="469" t="s">
        <v>1330</v>
      </c>
      <c r="K86" s="426"/>
      <c r="L86" s="426"/>
      <c r="M86" s="444"/>
      <c r="N86" s="6266"/>
      <c r="O86" s="469" t="s">
        <v>1231</v>
      </c>
      <c r="P86" s="426"/>
      <c r="Q86" s="426"/>
      <c r="R86" s="444"/>
      <c r="S86" s="6266"/>
      <c r="T86" s="469" t="s">
        <v>448</v>
      </c>
      <c r="U86" s="426"/>
      <c r="V86" s="426"/>
      <c r="W86" s="444"/>
      <c r="Y86" s="469" t="s">
        <v>1538</v>
      </c>
      <c r="Z86" s="426"/>
      <c r="AA86" s="426"/>
      <c r="AB86" s="444"/>
      <c r="AD86" s="469" t="s">
        <v>208</v>
      </c>
      <c r="AE86" s="426"/>
      <c r="AF86" s="426"/>
      <c r="AG86" s="444"/>
      <c r="AH86" s="6262"/>
      <c r="AI86" s="6192"/>
    </row>
    <row r="87" ht="20.25" customHeight="1">
      <c r="A87" s="6185"/>
      <c r="B87" s="419"/>
      <c r="C87" s="439"/>
      <c r="D87" s="425"/>
      <c r="E87" s="470" t="s">
        <v>1539</v>
      </c>
      <c r="F87" s="471"/>
      <c r="G87" s="472"/>
      <c r="H87" s="473" t="str">
        <f>IMAGE("https://raw.githubusercontent.com/msikma/pokesprite/master/items/hold-item/light-ball.png",3)</f>
        <v/>
      </c>
      <c r="I87" s="467"/>
      <c r="J87" s="470" t="s">
        <v>1334</v>
      </c>
      <c r="K87" s="471"/>
      <c r="L87" s="472"/>
      <c r="M87" s="473" t="str">
        <f>IMAGE("https://raw.githubusercontent.com/msikma/pokesprite/master/items/hold-item/damp-rock.png",3)</f>
        <v/>
      </c>
      <c r="N87" s="467"/>
      <c r="O87" s="470" t="s">
        <v>473</v>
      </c>
      <c r="P87" s="471"/>
      <c r="Q87" s="472"/>
      <c r="R87" s="473" t="str">
        <f>IMAGE("https://raw.githubusercontent.com/msikma/pokesprite/master/items/hold-item/assault-vest.png",3)</f>
        <v/>
      </c>
      <c r="S87" s="467"/>
      <c r="T87" s="470" t="s">
        <v>1540</v>
      </c>
      <c r="U87" s="471"/>
      <c r="V87" s="472"/>
      <c r="W87" s="473" t="str">
        <f>IMAGE("https://raw.githubusercontent.com/msikma/pokesprite/master/items/z-crystals/waterium-z--held.png",3)</f>
        <v/>
      </c>
      <c r="Y87" s="470" t="s">
        <v>1541</v>
      </c>
      <c r="Z87" s="471"/>
      <c r="AA87" s="472"/>
      <c r="AB87" s="473" t="str">
        <f>IMAGE("https://raw.githubusercontent.com/msikma/pokesprite/master/items/mega-stone/abomasite.png",3)</f>
        <v/>
      </c>
      <c r="AD87" s="470" t="s">
        <v>240</v>
      </c>
      <c r="AE87" s="471"/>
      <c r="AF87" s="472"/>
      <c r="AG87" s="473" t="str">
        <f>IMAGE("https://raw.githubusercontent.com/msikma/pokesprite/master/items/hold-item/focus-sash.png",3)</f>
        <v/>
      </c>
      <c r="AH87" s="429"/>
      <c r="AI87" s="6192"/>
    </row>
    <row r="88" ht="20.25" customHeight="1">
      <c r="A88" s="6185"/>
      <c r="B88" s="419"/>
      <c r="C88" s="463"/>
      <c r="D88" s="425"/>
      <c r="E88" s="464" t="s">
        <v>539</v>
      </c>
      <c r="F88" s="465"/>
      <c r="G88" s="465"/>
      <c r="H88" s="474" t="str">
        <f>IMAGE("https://raw.githubusercontent.com/msikma/pokesprite/master/misc/types/gen8/electric.png",4,20,20)</f>
        <v/>
      </c>
      <c r="I88" s="467"/>
      <c r="J88" s="464" t="s">
        <v>317</v>
      </c>
      <c r="K88" s="465"/>
      <c r="L88" s="465"/>
      <c r="M88" s="474" t="str">
        <f>IMAGE("https://raw.githubusercontent.com/msikma/pokesprite/master/misc/types/gen8/ice.png",4,20,20)</f>
        <v/>
      </c>
      <c r="N88" s="467"/>
      <c r="O88" s="464" t="s">
        <v>1123</v>
      </c>
      <c r="P88" s="465"/>
      <c r="Q88" s="465"/>
      <c r="R88" s="474" t="str">
        <f>IMAGE("https://raw.githubusercontent.com/msikma/pokesprite/master/misc/types/gen8/dragon.png",4,20,20)</f>
        <v/>
      </c>
      <c r="S88" s="467"/>
      <c r="T88" s="464" t="s">
        <v>1123</v>
      </c>
      <c r="U88" s="465"/>
      <c r="V88" s="465"/>
      <c r="W88" s="474" t="str">
        <f>IMAGE("https://raw.githubusercontent.com/msikma/pokesprite/master/misc/types/gen8/dragon.png",4,20,20)</f>
        <v/>
      </c>
      <c r="Y88" s="464" t="s">
        <v>1310</v>
      </c>
      <c r="Z88" s="465"/>
      <c r="AA88" s="465"/>
      <c r="AB88" s="474" t="str">
        <f>IMAGE("https://raw.githubusercontent.com/msikma/pokesprite/master/misc/types/gen8/fighting.png",4,20,20)</f>
        <v/>
      </c>
      <c r="AD88" s="464" t="s">
        <v>1380</v>
      </c>
      <c r="AE88" s="465"/>
      <c r="AF88" s="465"/>
      <c r="AG88" s="474" t="str">
        <f>IMAGE("https://raw.githubusercontent.com/msikma/pokesprite/master/misc/types/gen8/water.png",4,20,20)</f>
        <v/>
      </c>
      <c r="AH88" s="429"/>
      <c r="AI88" s="6192"/>
    </row>
    <row r="89" ht="20.25" customHeight="1">
      <c r="A89" s="6185"/>
      <c r="B89" s="419"/>
      <c r="C89" s="475"/>
      <c r="D89" s="425"/>
      <c r="E89" s="469" t="s">
        <v>461</v>
      </c>
      <c r="F89" s="426"/>
      <c r="G89" s="426"/>
      <c r="H89" s="476" t="str">
        <f>IMAGE("https://raw.githubusercontent.com/msikma/pokesprite/master/misc/types/gen8/flying.png",4,20,20)</f>
        <v/>
      </c>
      <c r="I89" s="467"/>
      <c r="J89" s="469" t="s">
        <v>1416</v>
      </c>
      <c r="K89" s="426"/>
      <c r="L89" s="426"/>
      <c r="M89" s="476" t="str">
        <f t="shared" ref="M89:M90" si="5">IMAGE("https://raw.githubusercontent.com/msikma/pokesprite/master/misc/types/gen8/water.png",4,20,20)</f>
        <v/>
      </c>
      <c r="N89" s="467"/>
      <c r="O89" s="469" t="s">
        <v>404</v>
      </c>
      <c r="P89" s="426"/>
      <c r="Q89" s="426"/>
      <c r="R89" s="476" t="str">
        <f>IMAGE("https://raw.githubusercontent.com/msikma/pokesprite/master/misc/types/gen8/steel.png",4,20,20)</f>
        <v/>
      </c>
      <c r="S89" s="467"/>
      <c r="T89" s="469" t="s">
        <v>338</v>
      </c>
      <c r="U89" s="426"/>
      <c r="V89" s="426"/>
      <c r="W89" s="476" t="str">
        <f t="shared" ref="W89:W90" si="6">IMAGE("https://raw.githubusercontent.com/msikma/pokesprite/master/misc/types/gen8/water.png",4,20,20)</f>
        <v/>
      </c>
      <c r="Y89" s="469" t="s">
        <v>1309</v>
      </c>
      <c r="Z89" s="426"/>
      <c r="AA89" s="426"/>
      <c r="AB89" s="476" t="str">
        <f>IMAGE("https://raw.githubusercontent.com/msikma/pokesprite/master/misc/types/gen8/water.png",4,20,20)</f>
        <v/>
      </c>
      <c r="AD89" s="469" t="s">
        <v>476</v>
      </c>
      <c r="AE89" s="426"/>
      <c r="AF89" s="426"/>
      <c r="AG89" s="476" t="str">
        <f>IMAGE("https://raw.githubusercontent.com/msikma/pokesprite/master/misc/types/gen8/normal.png",4,20,20)</f>
        <v/>
      </c>
      <c r="AH89" s="429"/>
      <c r="AI89" s="6192"/>
    </row>
    <row r="90" ht="20.25" customHeight="1">
      <c r="A90" s="6185"/>
      <c r="B90" s="419"/>
      <c r="C90" s="475"/>
      <c r="D90" s="425"/>
      <c r="E90" s="469" t="s">
        <v>1016</v>
      </c>
      <c r="F90" s="426"/>
      <c r="G90" s="426"/>
      <c r="H90" s="476" t="str">
        <f>IMAGE("https://raw.githubusercontent.com/msikma/pokesprite/master/misc/types/gen8/electric.png",4,20,20)</f>
        <v/>
      </c>
      <c r="I90" s="467"/>
      <c r="J90" s="469" t="s">
        <v>1417</v>
      </c>
      <c r="K90" s="426"/>
      <c r="L90" s="426"/>
      <c r="M90" s="476" t="str">
        <f t="shared" si="5"/>
        <v/>
      </c>
      <c r="N90" s="467"/>
      <c r="O90" s="469" t="s">
        <v>539</v>
      </c>
      <c r="P90" s="426"/>
      <c r="Q90" s="426"/>
      <c r="R90" s="476" t="str">
        <f>IMAGE("https://raw.githubusercontent.com/msikma/pokesprite/master/misc/types/gen8/electric.png",4,20,20)</f>
        <v/>
      </c>
      <c r="S90" s="467"/>
      <c r="T90" s="469" t="s">
        <v>248</v>
      </c>
      <c r="U90" s="426"/>
      <c r="V90" s="426"/>
      <c r="W90" s="476" t="str">
        <f t="shared" si="6"/>
        <v/>
      </c>
      <c r="Y90" s="469" t="s">
        <v>320</v>
      </c>
      <c r="Z90" s="426"/>
      <c r="AA90" s="426"/>
      <c r="AB90" s="476" t="str">
        <f>IMAGE("https://raw.githubusercontent.com/msikma/pokesprite/master/misc/types/gen8/dark.png",4,20,20)</f>
        <v/>
      </c>
      <c r="AD90" s="469" t="s">
        <v>219</v>
      </c>
      <c r="AE90" s="426"/>
      <c r="AF90" s="426"/>
      <c r="AG90" s="476" t="str">
        <f>IMAGE("https://raw.githubusercontent.com/msikma/pokesprite/master/misc/types/gen8/water.png",4,20,20)</f>
        <v/>
      </c>
      <c r="AH90" s="429"/>
      <c r="AI90" s="6192"/>
    </row>
    <row r="91" ht="21.0" customHeight="1">
      <c r="A91" s="6185"/>
      <c r="B91" s="419"/>
      <c r="C91" s="475"/>
      <c r="D91" s="425"/>
      <c r="E91" s="477" t="s">
        <v>476</v>
      </c>
      <c r="F91" s="478"/>
      <c r="G91" s="478"/>
      <c r="H91" s="479" t="str">
        <f>IMAGE("https://raw.githubusercontent.com/msikma/pokesprite/master/misc/types/gen8/normal.png",4,20,20)</f>
        <v/>
      </c>
      <c r="I91" s="467"/>
      <c r="J91" s="477" t="s">
        <v>539</v>
      </c>
      <c r="K91" s="478"/>
      <c r="L91" s="478"/>
      <c r="M91" s="479" t="str">
        <f>IMAGE("https://raw.githubusercontent.com/msikma/pokesprite/master/misc/types/gen8/electric.png",4,20,20)</f>
        <v/>
      </c>
      <c r="N91" s="467"/>
      <c r="O91" s="477" t="s">
        <v>248</v>
      </c>
      <c r="P91" s="478"/>
      <c r="Q91" s="478"/>
      <c r="R91" s="479" t="str">
        <f>IMAGE("https://raw.githubusercontent.com/msikma/pokesprite/master/misc/types/gen8/water.png",4,20,20)</f>
        <v/>
      </c>
      <c r="S91" s="467"/>
      <c r="T91" s="477" t="s">
        <v>461</v>
      </c>
      <c r="U91" s="478"/>
      <c r="V91" s="478"/>
      <c r="W91" s="479" t="str">
        <f>IMAGE("https://raw.githubusercontent.com/msikma/pokesprite/master/misc/types/gen8/flying.png",4,20,20)</f>
        <v/>
      </c>
      <c r="X91" s="434"/>
      <c r="Y91" s="477" t="s">
        <v>428</v>
      </c>
      <c r="Z91" s="478"/>
      <c r="AA91" s="478"/>
      <c r="AB91" s="479" t="str">
        <f>IMAGE("https://raw.githubusercontent.com/msikma/pokesprite/master/misc/types/gen8/normal.png",4,20,20)</f>
        <v/>
      </c>
      <c r="AC91" s="434"/>
      <c r="AD91" s="477" t="s">
        <v>1212</v>
      </c>
      <c r="AE91" s="478"/>
      <c r="AF91" s="478"/>
      <c r="AG91" s="479" t="str">
        <f>IMAGE("https://raw.githubusercontent.com/msikma/pokesprite/master/misc/types/gen8/dark.png",4,20,20)</f>
        <v/>
      </c>
      <c r="AH91" s="429"/>
      <c r="AI91" s="6192"/>
    </row>
    <row r="92" ht="3.0" customHeight="1">
      <c r="A92" s="6185"/>
      <c r="B92" s="419"/>
      <c r="C92" s="481"/>
      <c r="D92" s="482"/>
      <c r="E92" s="483"/>
      <c r="F92" s="483"/>
      <c r="G92" s="483"/>
      <c r="H92" s="483"/>
      <c r="I92" s="482"/>
      <c r="J92" s="483"/>
      <c r="K92" s="483"/>
      <c r="L92" s="483"/>
      <c r="M92" s="483"/>
      <c r="N92" s="482"/>
      <c r="O92" s="483"/>
      <c r="P92" s="483"/>
      <c r="Q92" s="483"/>
      <c r="R92" s="483"/>
      <c r="S92" s="482"/>
      <c r="T92" s="483"/>
      <c r="U92" s="483"/>
      <c r="V92" s="483"/>
      <c r="W92" s="483"/>
      <c r="X92" s="482"/>
      <c r="Y92" s="483"/>
      <c r="Z92" s="483"/>
      <c r="AA92" s="483"/>
      <c r="AB92" s="483"/>
      <c r="AC92" s="485"/>
      <c r="AD92" s="483"/>
      <c r="AE92" s="483"/>
      <c r="AF92" s="483"/>
      <c r="AG92" s="483"/>
      <c r="AH92" s="429"/>
      <c r="AI92" s="6192"/>
    </row>
    <row r="93" ht="16.5" customHeight="1">
      <c r="A93" s="6185"/>
      <c r="B93" s="486"/>
      <c r="C93" s="481"/>
      <c r="D93" s="487"/>
      <c r="E93" s="488" t="s">
        <v>190</v>
      </c>
      <c r="F93" s="381"/>
      <c r="G93" s="382"/>
      <c r="H93" s="489" t="s">
        <v>191</v>
      </c>
      <c r="I93" s="490"/>
      <c r="J93" s="488" t="s">
        <v>190</v>
      </c>
      <c r="K93" s="381"/>
      <c r="L93" s="382"/>
      <c r="M93" s="489" t="s">
        <v>191</v>
      </c>
      <c r="N93" s="490"/>
      <c r="O93" s="488" t="s">
        <v>190</v>
      </c>
      <c r="P93" s="381"/>
      <c r="Q93" s="382"/>
      <c r="R93" s="489" t="s">
        <v>191</v>
      </c>
      <c r="S93" s="490"/>
      <c r="T93" s="488" t="s">
        <v>190</v>
      </c>
      <c r="U93" s="381"/>
      <c r="V93" s="382"/>
      <c r="W93" s="489" t="s">
        <v>191</v>
      </c>
      <c r="X93" s="6267"/>
      <c r="Y93" s="488" t="s">
        <v>190</v>
      </c>
      <c r="Z93" s="381"/>
      <c r="AA93" s="382"/>
      <c r="AB93" s="489" t="s">
        <v>191</v>
      </c>
      <c r="AC93" s="6268"/>
      <c r="AD93" s="488" t="s">
        <v>190</v>
      </c>
      <c r="AE93" s="381"/>
      <c r="AF93" s="382"/>
      <c r="AG93" s="489" t="s">
        <v>191</v>
      </c>
      <c r="AH93" s="494"/>
      <c r="AI93" s="6192"/>
    </row>
    <row r="94" ht="15.75" customHeight="1">
      <c r="A94" s="6185"/>
      <c r="B94" s="486"/>
      <c r="C94" s="481"/>
      <c r="D94" s="487"/>
      <c r="E94" s="495" t="s">
        <v>192</v>
      </c>
      <c r="F94" s="496">
        <f t="array" ref="F94">IFERROR(VLOOKUP(E81,Dex!$B$3:$N1218,8,FALSE),"")</f>
        <v>35</v>
      </c>
      <c r="G94" s="497" t="str">
        <f t="array" ref="G94">IFERROR(VLOOKUP(F94,Dex!$P$22:$Q$276,2,FALSE),"")</f>
        <v/>
      </c>
      <c r="H94" s="498"/>
      <c r="I94" s="499"/>
      <c r="J94" s="495" t="s">
        <v>192</v>
      </c>
      <c r="K94" s="496">
        <f t="array" ref="K94">IFERROR(VLOOKUP(J81,Dex!$B$3:$N1218,8,FALSE),"")</f>
        <v>100</v>
      </c>
      <c r="L94" s="497" t="str">
        <f t="array" ref="L94">IFERROR(VLOOKUP(K94,Dex!$P$22:$Q$276,2,FALSE),"")</f>
        <v/>
      </c>
      <c r="M94" s="498"/>
      <c r="N94" s="499"/>
      <c r="O94" s="495" t="s">
        <v>192</v>
      </c>
      <c r="P94" s="496">
        <f t="array" ref="P94">IFERROR(VLOOKUP(O81,Dex!$B$3:$N1218,8,FALSE),"")</f>
        <v>80</v>
      </c>
      <c r="Q94" s="497" t="str">
        <f t="array" ref="Q94">IFERROR(VLOOKUP(P94,Dex!$P$22:$Q$276,2,FALSE),"")</f>
        <v/>
      </c>
      <c r="R94" s="498">
        <v>252.0</v>
      </c>
      <c r="S94" s="499"/>
      <c r="T94" s="495" t="s">
        <v>192</v>
      </c>
      <c r="U94" s="496">
        <f t="array" ref="U94">IFERROR(VLOOKUP(T81,Dex!$B$3:$N1218,8,FALSE),"")</f>
        <v>75</v>
      </c>
      <c r="V94" s="497" t="str">
        <f t="array" ref="V94">IFERROR(VLOOKUP(U94,Dex!$P$22:$Q$276,2,FALSE),"")</f>
        <v/>
      </c>
      <c r="W94" s="498"/>
      <c r="X94" s="491"/>
      <c r="Y94" s="495" t="s">
        <v>192</v>
      </c>
      <c r="Z94" s="496">
        <f t="array" ref="Z94">IFERROR(VLOOKUP(Y81,Dex!$B$3:$N1218,8,FALSE),"")</f>
        <v>90</v>
      </c>
      <c r="AA94" s="497" t="str">
        <f t="array" ref="AA94">IFERROR(VLOOKUP(Z94,Dex!$P$22:$Q$276,2,FALSE),"")</f>
        <v/>
      </c>
      <c r="AB94" s="498"/>
      <c r="AC94" s="493"/>
      <c r="AD94" s="495" t="s">
        <v>192</v>
      </c>
      <c r="AE94" s="496">
        <f t="array" ref="AE94">IFERROR(VLOOKUP(AD81,Dex!$B$3:$N1218,8,FALSE),"")</f>
        <v>85</v>
      </c>
      <c r="AF94" s="497" t="str">
        <f t="array" ref="AF94">IFERROR(VLOOKUP(AE94,Dex!$P$22:$Q$276,2,FALSE),"")</f>
        <v/>
      </c>
      <c r="AG94" s="498"/>
      <c r="AH94" s="494"/>
      <c r="AI94" s="6192"/>
    </row>
    <row r="95" ht="15.75" customHeight="1">
      <c r="A95" s="6185"/>
      <c r="B95" s="486"/>
      <c r="C95" s="481"/>
      <c r="D95" s="487"/>
      <c r="E95" s="500" t="s">
        <v>193</v>
      </c>
      <c r="F95" s="501">
        <f t="array" ref="F95">IFERROR(VLOOKUP(E81,Dex!$B$3:$N1218,9,FALSE),"")</f>
        <v>55</v>
      </c>
      <c r="G95" s="502" t="str">
        <f t="array" ref="G95">IFERROR(VLOOKUP(F95,Dex!$P$22:$Q$276,2,FALSE),"")</f>
        <v/>
      </c>
      <c r="H95" s="503"/>
      <c r="I95" s="499"/>
      <c r="J95" s="500" t="s">
        <v>193</v>
      </c>
      <c r="K95" s="501">
        <f t="array" ref="K95">IFERROR(VLOOKUP(J81,Dex!$B$3:$N1218,9,FALSE),"")</f>
        <v>100</v>
      </c>
      <c r="L95" s="502" t="str">
        <f t="array" ref="L95">IFERROR(VLOOKUP(K95,Dex!$P$22:$Q$276,2,FALSE),"")</f>
        <v/>
      </c>
      <c r="M95" s="503"/>
      <c r="N95" s="499"/>
      <c r="O95" s="500" t="s">
        <v>193</v>
      </c>
      <c r="P95" s="501">
        <f t="array" ref="P95">IFERROR(VLOOKUP(O81,Dex!$B$3:$N1218,9,FALSE),"")</f>
        <v>100</v>
      </c>
      <c r="Q95" s="502" t="str">
        <f t="array" ref="Q95">IFERROR(VLOOKUP(P95,Dex!$P$22:$Q$276,2,FALSE),"")</f>
        <v/>
      </c>
      <c r="R95" s="503"/>
      <c r="S95" s="499"/>
      <c r="T95" s="500" t="s">
        <v>193</v>
      </c>
      <c r="U95" s="501">
        <f t="array" ref="U95">IFERROR(VLOOKUP(T81,Dex!$B$3:$N1218,9,FALSE),"")</f>
        <v>95</v>
      </c>
      <c r="V95" s="502" t="str">
        <f t="array" ref="V95">IFERROR(VLOOKUP(U95,Dex!$P$22:$Q$276,2,FALSE),"")</f>
        <v/>
      </c>
      <c r="W95" s="503"/>
      <c r="X95" s="491"/>
      <c r="Y95" s="500" t="s">
        <v>193</v>
      </c>
      <c r="Z95" s="501">
        <f t="array" ref="Z95">IFERROR(VLOOKUP(Y81,Dex!$B$3:$N1218,9,FALSE),"")</f>
        <v>155</v>
      </c>
      <c r="AA95" s="502" t="str">
        <f t="array" ref="AA95">IFERROR(VLOOKUP(Z95,Dex!$P$22:$Q$276,2,FALSE),"")</f>
        <v/>
      </c>
      <c r="AB95" s="503">
        <v>252.0</v>
      </c>
      <c r="AC95" s="493"/>
      <c r="AD95" s="500" t="s">
        <v>193</v>
      </c>
      <c r="AE95" s="501">
        <f t="array" ref="AE95">IFERROR(VLOOKUP(AD81,Dex!$B$3:$N1218,9,FALSE),"")</f>
        <v>90</v>
      </c>
      <c r="AF95" s="502" t="str">
        <f t="array" ref="AF95">IFERROR(VLOOKUP(AE95,Dex!$P$22:$Q$276,2,FALSE),"")</f>
        <v/>
      </c>
      <c r="AG95" s="503">
        <v>252.0</v>
      </c>
      <c r="AH95" s="494"/>
      <c r="AI95" s="6192"/>
    </row>
    <row r="96" ht="15.75" customHeight="1">
      <c r="A96" s="6185"/>
      <c r="B96" s="486"/>
      <c r="C96" s="481"/>
      <c r="D96" s="487"/>
      <c r="E96" s="500" t="s">
        <v>194</v>
      </c>
      <c r="F96" s="501">
        <f t="array" ref="F96">IFERROR(VLOOKUP(E81,Dex!$B$3:$N1218,10,FALSE),"")</f>
        <v>40</v>
      </c>
      <c r="G96" s="502" t="str">
        <f t="array" ref="G96">IFERROR(VLOOKUP(F96,Dex!$P$22:$Q$276,2,FALSE),"")</f>
        <v/>
      </c>
      <c r="H96" s="503">
        <v>4.0</v>
      </c>
      <c r="I96" s="499"/>
      <c r="J96" s="500" t="s">
        <v>194</v>
      </c>
      <c r="K96" s="501">
        <f t="array" ref="K96">IFERROR(VLOOKUP(J81,Dex!$B$3:$N1218,10,FALSE),"")</f>
        <v>90</v>
      </c>
      <c r="L96" s="502" t="str">
        <f t="array" ref="L96">IFERROR(VLOOKUP(K96,Dex!$P$22:$Q$276,2,FALSE),"")</f>
        <v/>
      </c>
      <c r="M96" s="503">
        <v>4.0</v>
      </c>
      <c r="N96" s="499"/>
      <c r="O96" s="500" t="s">
        <v>194</v>
      </c>
      <c r="P96" s="501">
        <f t="array" ref="P96">IFERROR(VLOOKUP(O81,Dex!$B$3:$N1218,10,FALSE),"")</f>
        <v>100</v>
      </c>
      <c r="Q96" s="502" t="str">
        <f t="array" ref="Q96">IFERROR(VLOOKUP(P96,Dex!$P$22:$Q$276,2,FALSE),"")</f>
        <v/>
      </c>
      <c r="R96" s="503">
        <v>252.0</v>
      </c>
      <c r="S96" s="499"/>
      <c r="T96" s="500" t="s">
        <v>194</v>
      </c>
      <c r="U96" s="501">
        <f t="array" ref="U96">IFERROR(VLOOKUP(T81,Dex!$B$3:$N1218,10,FALSE),"")</f>
        <v>95</v>
      </c>
      <c r="V96" s="502" t="str">
        <f t="array" ref="V96">IFERROR(VLOOKUP(U96,Dex!$P$22:$Q$276,2,FALSE),"")</f>
        <v/>
      </c>
      <c r="W96" s="503">
        <v>4.0</v>
      </c>
      <c r="X96" s="491"/>
      <c r="Y96" s="500" t="s">
        <v>194</v>
      </c>
      <c r="Z96" s="501">
        <f t="array" ref="Z96">IFERROR(VLOOKUP(Y81,Dex!$B$3:$N1218,10,FALSE),"")</f>
        <v>125</v>
      </c>
      <c r="AA96" s="502" t="str">
        <f t="array" ref="AA96">IFERROR(VLOOKUP(Z96,Dex!$P$22:$Q$276,2,FALSE),"")</f>
        <v/>
      </c>
      <c r="AB96" s="503">
        <v>4.0</v>
      </c>
      <c r="AC96" s="493"/>
      <c r="AD96" s="500" t="s">
        <v>194</v>
      </c>
      <c r="AE96" s="501">
        <f t="array" ref="AE96">IFERROR(VLOOKUP(AD81,Dex!$B$3:$N1218,10,FALSE),"")</f>
        <v>55</v>
      </c>
      <c r="AF96" s="502" t="str">
        <f t="array" ref="AF96">IFERROR(VLOOKUP(AE96,Dex!$P$22:$Q$276,2,FALSE),"")</f>
        <v/>
      </c>
      <c r="AG96" s="503">
        <v>4.0</v>
      </c>
      <c r="AH96" s="494"/>
      <c r="AI96" s="6192"/>
    </row>
    <row r="97" ht="15.75" customHeight="1">
      <c r="A97" s="6185"/>
      <c r="B97" s="486"/>
      <c r="C97" s="481"/>
      <c r="D97" s="487"/>
      <c r="E97" s="500" t="s">
        <v>195</v>
      </c>
      <c r="F97" s="501">
        <f t="array" ref="F97">IFERROR(VLOOKUP(E81,Dex!$B$3:$N1218,11,FALSE),"")</f>
        <v>50</v>
      </c>
      <c r="G97" s="502" t="str">
        <f t="array" ref="G97">IFERROR(VLOOKUP(F97,Dex!$P$22:$Q$276,2,FALSE),"")</f>
        <v/>
      </c>
      <c r="H97" s="503">
        <v>252.0</v>
      </c>
      <c r="I97" s="499"/>
      <c r="J97" s="500" t="s">
        <v>195</v>
      </c>
      <c r="K97" s="501">
        <f t="array" ref="K97">IFERROR(VLOOKUP(J81,Dex!$B$3:$N1218,11,FALSE),"")</f>
        <v>150</v>
      </c>
      <c r="L97" s="502" t="str">
        <f t="array" ref="L97">IFERROR(VLOOKUP(K97,Dex!$P$22:$Q$276,2,FALSE),"")</f>
        <v/>
      </c>
      <c r="M97" s="503">
        <v>252.0</v>
      </c>
      <c r="N97" s="499"/>
      <c r="O97" s="500" t="s">
        <v>195</v>
      </c>
      <c r="P97" s="501">
        <f t="array" ref="P97">IFERROR(VLOOKUP(O81,Dex!$B$3:$N1218,11,FALSE),"")</f>
        <v>110</v>
      </c>
      <c r="Q97" s="502" t="str">
        <f t="array" ref="Q97">IFERROR(VLOOKUP(P97,Dex!$P$22:$Q$276,2,FALSE),"")</f>
        <v/>
      </c>
      <c r="R97" s="503">
        <v>4.0</v>
      </c>
      <c r="S97" s="499"/>
      <c r="T97" s="500" t="s">
        <v>195</v>
      </c>
      <c r="U97" s="501">
        <f t="array" ref="U97">IFERROR(VLOOKUP(T81,Dex!$B$3:$N1218,11,FALSE),"")</f>
        <v>95</v>
      </c>
      <c r="V97" s="502" t="str">
        <f t="array" ref="V97">IFERROR(VLOOKUP(U97,Dex!$P$22:$Q$276,2,FALSE),"")</f>
        <v/>
      </c>
      <c r="W97" s="503">
        <v>252.0</v>
      </c>
      <c r="X97" s="491"/>
      <c r="Y97" s="500" t="s">
        <v>195</v>
      </c>
      <c r="Z97" s="501">
        <f t="array" ref="Z97">IFERROR(VLOOKUP(Y81,Dex!$B$3:$N1218,11,FALSE),"")</f>
        <v>48</v>
      </c>
      <c r="AA97" s="502" t="str">
        <f t="array" ref="AA97">IFERROR(VLOOKUP(Z97,Dex!$P$22:$Q$276,2,FALSE),"")</f>
        <v/>
      </c>
      <c r="AB97" s="503"/>
      <c r="AC97" s="493"/>
      <c r="AD97" s="500" t="s">
        <v>195</v>
      </c>
      <c r="AE97" s="501">
        <f t="array" ref="AE97">IFERROR(VLOOKUP(AD81,Dex!$B$3:$N1218,11,FALSE),"")</f>
        <v>95</v>
      </c>
      <c r="AF97" s="502" t="str">
        <f t="array" ref="AF97">IFERROR(VLOOKUP(AE97,Dex!$P$22:$Q$276,2,FALSE),"")</f>
        <v/>
      </c>
      <c r="AG97" s="503"/>
      <c r="AH97" s="494"/>
      <c r="AI97" s="6192"/>
    </row>
    <row r="98" ht="15.75" customHeight="1">
      <c r="A98" s="6185"/>
      <c r="B98" s="486"/>
      <c r="C98" s="481"/>
      <c r="D98" s="487"/>
      <c r="E98" s="500" t="s">
        <v>196</v>
      </c>
      <c r="F98" s="501">
        <f t="array" ref="F98">IFERROR(VLOOKUP(E81,Dex!$B$3:$N1218,12,FALSE),"")</f>
        <v>50</v>
      </c>
      <c r="G98" s="502" t="str">
        <f t="array" ref="G98">IFERROR(VLOOKUP(F98,Dex!$P$22:$Q$276,2,FALSE),"")</f>
        <v/>
      </c>
      <c r="H98" s="503"/>
      <c r="I98" s="499"/>
      <c r="J98" s="500" t="s">
        <v>196</v>
      </c>
      <c r="K98" s="501">
        <f t="array" ref="K98">IFERROR(VLOOKUP(J81,Dex!$B$3:$N1218,12,FALSE),"")</f>
        <v>140</v>
      </c>
      <c r="L98" s="502" t="str">
        <f t="array" ref="L98">IFERROR(VLOOKUP(K98,Dex!$P$22:$Q$276,2,FALSE),"")</f>
        <v/>
      </c>
      <c r="M98" s="503"/>
      <c r="N98" s="499"/>
      <c r="O98" s="500" t="s">
        <v>196</v>
      </c>
      <c r="P98" s="501">
        <f t="array" ref="P98">IFERROR(VLOOKUP(O81,Dex!$B$3:$N1218,12,FALSE),"")</f>
        <v>150</v>
      </c>
      <c r="Q98" s="502" t="str">
        <f t="array" ref="Q98">IFERROR(VLOOKUP(P98,Dex!$P$22:$Q$276,2,FALSE),"")</f>
        <v/>
      </c>
      <c r="R98" s="503"/>
      <c r="S98" s="499"/>
      <c r="T98" s="500" t="s">
        <v>196</v>
      </c>
      <c r="U98" s="501">
        <f t="array" ref="U98">IFERROR(VLOOKUP(T81,Dex!$B$3:$N1218,12,FALSE),"")</f>
        <v>95</v>
      </c>
      <c r="V98" s="502" t="str">
        <f t="array" ref="V98">IFERROR(VLOOKUP(U98,Dex!$P$22:$Q$276,2,FALSE),"")</f>
        <v/>
      </c>
      <c r="W98" s="503"/>
      <c r="X98" s="491"/>
      <c r="Y98" s="500" t="s">
        <v>196</v>
      </c>
      <c r="Z98" s="501">
        <f t="array" ref="Z98">IFERROR(VLOOKUP(Y81,Dex!$B$3:$N1218,12,FALSE),"")</f>
        <v>98</v>
      </c>
      <c r="AA98" s="502" t="str">
        <f t="array" ref="AA98">IFERROR(VLOOKUP(Z98,Dex!$P$22:$Q$276,2,FALSE),"")</f>
        <v/>
      </c>
      <c r="AB98" s="503"/>
      <c r="AC98" s="493"/>
      <c r="AD98" s="500" t="s">
        <v>196</v>
      </c>
      <c r="AE98" s="501">
        <f t="array" ref="AE98">IFERROR(VLOOKUP(AD81,Dex!$B$3:$N1218,12,FALSE),"")</f>
        <v>50</v>
      </c>
      <c r="AF98" s="502" t="str">
        <f t="array" ref="AF98">IFERROR(VLOOKUP(AE98,Dex!$P$22:$Q$276,2,FALSE),"")</f>
        <v/>
      </c>
      <c r="AG98" s="503"/>
      <c r="AH98" s="494"/>
      <c r="AI98" s="6192"/>
    </row>
    <row r="99" ht="15.75" customHeight="1">
      <c r="A99" s="6185"/>
      <c r="B99" s="486"/>
      <c r="C99" s="481"/>
      <c r="D99" s="487"/>
      <c r="E99" s="504" t="s">
        <v>197</v>
      </c>
      <c r="F99" s="505">
        <f t="array" ref="F99">IFERROR(VLOOKUP(E81,Dex!$B$3:$N1218,13,FALSE),"")</f>
        <v>90</v>
      </c>
      <c r="G99" s="506" t="str">
        <f t="array" ref="G99">IFERROR(VLOOKUP(F99,Dex!$P$22:$Q$276,2,FALSE),"")</f>
        <v/>
      </c>
      <c r="H99" s="507">
        <v>252.0</v>
      </c>
      <c r="I99" s="499"/>
      <c r="J99" s="504" t="s">
        <v>197</v>
      </c>
      <c r="K99" s="505">
        <f t="array" ref="K99">IFERROR(VLOOKUP(J81,Dex!$B$3:$N1218,13,FALSE),"")</f>
        <v>90</v>
      </c>
      <c r="L99" s="506" t="str">
        <f t="array" ref="L99">IFERROR(VLOOKUP(K99,Dex!$P$22:$Q$276,2,FALSE),"")</f>
        <v/>
      </c>
      <c r="M99" s="507">
        <v>252.0</v>
      </c>
      <c r="N99" s="499"/>
      <c r="O99" s="504" t="s">
        <v>197</v>
      </c>
      <c r="P99" s="505">
        <f t="array" ref="P99">IFERROR(VLOOKUP(O81,Dex!$B$3:$N1218,13,FALSE),"")</f>
        <v>60</v>
      </c>
      <c r="Q99" s="506" t="str">
        <f t="array" ref="Q99">IFERROR(VLOOKUP(P99,Dex!$P$22:$Q$276,2,FALSE),"")</f>
        <v/>
      </c>
      <c r="R99" s="507"/>
      <c r="S99" s="499"/>
      <c r="T99" s="504" t="s">
        <v>197</v>
      </c>
      <c r="U99" s="505">
        <f t="array" ref="U99">IFERROR(VLOOKUP(T81,Dex!$B$3:$N1218,13,FALSE),"")</f>
        <v>85</v>
      </c>
      <c r="V99" s="506" t="str">
        <f t="array" ref="V99">IFERROR(VLOOKUP(U99,Dex!$P$22:$Q$276,2,FALSE),"")</f>
        <v/>
      </c>
      <c r="W99" s="507">
        <v>252.0</v>
      </c>
      <c r="X99" s="491"/>
      <c r="Y99" s="504" t="s">
        <v>197</v>
      </c>
      <c r="Z99" s="505">
        <f t="array" ref="Z99">IFERROR(VLOOKUP(Y81,Dex!$B$3:$N1218,13,FALSE),"")</f>
        <v>85</v>
      </c>
      <c r="AA99" s="506" t="str">
        <f t="array" ref="AA99">IFERROR(VLOOKUP(Z99,Dex!$P$22:$Q$276,2,FALSE),"")</f>
        <v/>
      </c>
      <c r="AB99" s="507">
        <v>252.0</v>
      </c>
      <c r="AC99" s="493"/>
      <c r="AD99" s="504" t="s">
        <v>197</v>
      </c>
      <c r="AE99" s="505">
        <f t="array" ref="AE99">IFERROR(VLOOKUP(AD81,Dex!$B$3:$N1218,13,FALSE),"")</f>
        <v>115</v>
      </c>
      <c r="AF99" s="506" t="str">
        <f t="array" ref="AF99">IFERROR(VLOOKUP(AE99,Dex!$P$22:$Q$276,2,FALSE),"")</f>
        <v/>
      </c>
      <c r="AG99" s="507">
        <v>252.0</v>
      </c>
      <c r="AH99" s="494"/>
      <c r="AI99" s="6192"/>
    </row>
    <row r="100" ht="16.5" customHeight="1">
      <c r="A100" s="6185"/>
      <c r="B100" s="486"/>
      <c r="C100" s="481"/>
      <c r="D100" s="487"/>
      <c r="E100" s="508" t="s">
        <v>198</v>
      </c>
      <c r="F100" s="405"/>
      <c r="G100" s="406"/>
      <c r="H100" s="509">
        <v>306.0</v>
      </c>
      <c r="I100" s="510"/>
      <c r="J100" s="508" t="s">
        <v>198</v>
      </c>
      <c r="K100" s="405"/>
      <c r="L100" s="406"/>
      <c r="M100" s="509">
        <v>306.0</v>
      </c>
      <c r="N100" s="510"/>
      <c r="O100" s="508" t="s">
        <v>198</v>
      </c>
      <c r="P100" s="405"/>
      <c r="Q100" s="406"/>
      <c r="R100" s="509">
        <v>156.0</v>
      </c>
      <c r="S100" s="510"/>
      <c r="T100" s="1285" t="s">
        <v>198</v>
      </c>
      <c r="U100" s="918"/>
      <c r="V100" s="919"/>
      <c r="W100" s="1286">
        <v>295.0</v>
      </c>
      <c r="X100" s="6267"/>
      <c r="Y100" s="508" t="s">
        <v>198</v>
      </c>
      <c r="Z100" s="405"/>
      <c r="AA100" s="406"/>
      <c r="AB100" s="509">
        <v>295.0</v>
      </c>
      <c r="AC100" s="6268"/>
      <c r="AD100" s="508" t="s">
        <v>198</v>
      </c>
      <c r="AE100" s="405"/>
      <c r="AF100" s="406"/>
      <c r="AG100" s="509">
        <v>361.0</v>
      </c>
      <c r="AH100" s="494"/>
      <c r="AI100" s="6192"/>
    </row>
    <row r="101" ht="16.5" customHeight="1">
      <c r="A101" s="6185"/>
      <c r="B101" s="1280"/>
      <c r="C101" s="1276"/>
      <c r="D101" s="1281"/>
      <c r="E101" s="1287"/>
      <c r="F101" s="1287"/>
      <c r="G101" s="1287"/>
      <c r="H101" s="1288"/>
      <c r="I101" s="499"/>
      <c r="J101" s="1287"/>
      <c r="K101" s="1287"/>
      <c r="L101" s="1287"/>
      <c r="M101" s="1288"/>
      <c r="N101" s="499"/>
      <c r="O101" s="1287"/>
      <c r="P101" s="1287"/>
      <c r="Q101" s="1287"/>
      <c r="R101" s="1288"/>
      <c r="S101" s="499"/>
      <c r="T101" s="1289" t="s">
        <v>465</v>
      </c>
      <c r="U101" s="925"/>
      <c r="V101" s="926"/>
      <c r="W101" s="1290">
        <v>590.0</v>
      </c>
      <c r="X101" s="499"/>
      <c r="Y101" s="1287"/>
      <c r="Z101" s="1287"/>
      <c r="AA101" s="1287"/>
      <c r="AB101" s="1288"/>
      <c r="AC101" s="499"/>
      <c r="AD101" s="1287"/>
      <c r="AE101" s="1287"/>
      <c r="AF101" s="1287"/>
      <c r="AG101" s="1288"/>
      <c r="AH101" s="1282"/>
      <c r="AI101" s="6192"/>
    </row>
    <row r="102" ht="15.0" customHeight="1">
      <c r="A102" s="6185"/>
      <c r="B102" s="511"/>
      <c r="C102" s="512"/>
      <c r="D102" s="513"/>
      <c r="E102" s="514"/>
      <c r="F102" s="514"/>
      <c r="G102" s="514"/>
      <c r="H102" s="514"/>
      <c r="I102" s="513"/>
      <c r="J102" s="514"/>
      <c r="K102" s="514"/>
      <c r="L102" s="514"/>
      <c r="M102" s="514"/>
      <c r="N102" s="513"/>
      <c r="O102" s="514"/>
      <c r="P102" s="514"/>
      <c r="Q102" s="514"/>
      <c r="R102" s="514"/>
      <c r="S102" s="513"/>
      <c r="T102" s="514"/>
      <c r="U102" s="514"/>
      <c r="V102" s="514"/>
      <c r="W102" s="514"/>
      <c r="X102" s="514"/>
      <c r="Y102" s="514"/>
      <c r="Z102" s="514"/>
      <c r="AA102" s="514"/>
      <c r="AB102" s="514"/>
      <c r="AC102" s="514"/>
      <c r="AD102" s="514"/>
      <c r="AE102" s="514"/>
      <c r="AF102" s="514"/>
      <c r="AG102" s="514"/>
      <c r="AH102" s="515"/>
      <c r="AI102" s="6192"/>
    </row>
    <row r="103" ht="15.0" customHeight="1">
      <c r="A103" s="6185"/>
      <c r="B103" s="1451"/>
      <c r="C103" s="1452"/>
      <c r="D103" s="1453"/>
      <c r="E103" s="6269"/>
      <c r="F103" s="6269"/>
      <c r="G103" s="6269"/>
      <c r="H103" s="6269"/>
      <c r="I103" s="1453"/>
      <c r="J103" s="6269"/>
      <c r="K103" s="6269"/>
      <c r="L103" s="6269"/>
      <c r="M103" s="6269"/>
      <c r="N103" s="1453"/>
      <c r="O103" s="6269"/>
      <c r="P103" s="6269"/>
      <c r="Q103" s="6269"/>
      <c r="R103" s="6269"/>
      <c r="S103" s="1453"/>
      <c r="T103" s="6269"/>
      <c r="U103" s="6269"/>
      <c r="V103" s="6269"/>
      <c r="W103" s="6269"/>
      <c r="X103" s="1453"/>
      <c r="Y103" s="6269"/>
      <c r="Z103" s="6269"/>
      <c r="AA103" s="6269"/>
      <c r="AB103" s="6269"/>
      <c r="AC103" s="1453"/>
      <c r="AD103" s="6269"/>
      <c r="AE103" s="6269"/>
      <c r="AF103" s="6269"/>
      <c r="AG103" s="6269"/>
      <c r="AH103" s="1455"/>
      <c r="AI103" s="6192"/>
    </row>
    <row r="104" ht="96.75" customHeight="1">
      <c r="A104" s="6185"/>
      <c r="B104" s="1458"/>
      <c r="C104" s="1459" t="str">
        <f>IMAGE("https://i.ibb.co/gMdPsRL/Falkner.png")</f>
        <v/>
      </c>
      <c r="D104" s="1460"/>
      <c r="E104" s="1461" t="str">
        <f t="array" ref="E104">IFERROR(VLOOKUP(E105,Dex!$B$3:$G1218,3,FALSE),"")</f>
        <v/>
      </c>
      <c r="F104" s="302"/>
      <c r="G104" s="302"/>
      <c r="H104" s="303"/>
      <c r="I104" s="1460"/>
      <c r="J104" s="1461" t="str">
        <f t="array" ref="J104">IFERROR(VLOOKUP(J105,Dex!$B$3:$G1218,3,FALSE),"")</f>
        <v/>
      </c>
      <c r="K104" s="302"/>
      <c r="L104" s="302"/>
      <c r="M104" s="303"/>
      <c r="N104" s="1460"/>
      <c r="O104" s="1461" t="str">
        <f t="array" ref="O104">IFERROR(VLOOKUP(O105,Dex!$B$3:$G1218,3,FALSE),"")</f>
        <v/>
      </c>
      <c r="P104" s="302"/>
      <c r="Q104" s="302"/>
      <c r="R104" s="303"/>
      <c r="S104" s="6270"/>
      <c r="T104" s="1461" t="str">
        <f t="array" ref="T104">IFERROR(VLOOKUP(T105,Dex!$B$3:$G1218,3,FALSE),"")</f>
        <v/>
      </c>
      <c r="U104" s="302"/>
      <c r="V104" s="302"/>
      <c r="W104" s="303"/>
      <c r="X104" s="6270"/>
      <c r="Y104" s="1461" t="str">
        <f t="array" ref="Y104">IFERROR(VLOOKUP(Y105,Dex!$B$3:$G1218,3,FALSE),"")</f>
        <v/>
      </c>
      <c r="Z104" s="302"/>
      <c r="AA104" s="302"/>
      <c r="AB104" s="303"/>
      <c r="AC104" s="6270"/>
      <c r="AD104" s="1461" t="str">
        <f t="array" ref="AD104">IFERROR(VLOOKUP(AD105,Dex!$B$3:$G1218,3,FALSE),"")</f>
        <v/>
      </c>
      <c r="AE104" s="302"/>
      <c r="AF104" s="302"/>
      <c r="AG104" s="303"/>
      <c r="AH104" s="6271"/>
      <c r="AI104" s="6192"/>
    </row>
    <row r="105" ht="18.75" customHeight="1">
      <c r="A105" s="6185"/>
      <c r="B105" s="1469"/>
      <c r="C105" s="6272" t="s">
        <v>1542</v>
      </c>
      <c r="D105" s="1471"/>
      <c r="E105" s="1472" t="s">
        <v>1511</v>
      </c>
      <c r="F105" s="1473"/>
      <c r="G105" s="1473"/>
      <c r="H105" s="1474"/>
      <c r="I105" s="1471"/>
      <c r="J105" s="1472" t="s">
        <v>1096</v>
      </c>
      <c r="K105" s="1473"/>
      <c r="L105" s="1473"/>
      <c r="M105" s="1474"/>
      <c r="N105" s="1471"/>
      <c r="O105" s="1472" t="s">
        <v>1543</v>
      </c>
      <c r="P105" s="1473"/>
      <c r="Q105" s="1473"/>
      <c r="R105" s="1474"/>
      <c r="T105" s="1472" t="s">
        <v>1544</v>
      </c>
      <c r="U105" s="1473"/>
      <c r="V105" s="1473"/>
      <c r="W105" s="1474"/>
      <c r="Y105" s="1472" t="s">
        <v>1545</v>
      </c>
      <c r="Z105" s="1473"/>
      <c r="AA105" s="1473"/>
      <c r="AB105" s="1474"/>
      <c r="AD105" s="1472" t="s">
        <v>1500</v>
      </c>
      <c r="AE105" s="1473"/>
      <c r="AF105" s="1473"/>
      <c r="AG105" s="1474"/>
      <c r="AH105" s="6273"/>
      <c r="AI105" s="6192"/>
    </row>
    <row r="106">
      <c r="A106" s="6185"/>
      <c r="B106" s="1480"/>
      <c r="C106" s="3030"/>
      <c r="D106" s="1482"/>
      <c r="E106" s="6274" t="s">
        <v>1502</v>
      </c>
      <c r="F106" s="1464"/>
      <c r="G106" s="1464"/>
      <c r="H106" s="1484"/>
      <c r="I106" s="1471"/>
      <c r="J106" s="6274" t="s">
        <v>1502</v>
      </c>
      <c r="K106" s="1464"/>
      <c r="L106" s="1464"/>
      <c r="M106" s="1484"/>
      <c r="N106" s="1471"/>
      <c r="O106" s="6274" t="s">
        <v>1502</v>
      </c>
      <c r="P106" s="1464"/>
      <c r="Q106" s="1464"/>
      <c r="R106" s="1484"/>
      <c r="T106" s="6274" t="s">
        <v>1502</v>
      </c>
      <c r="U106" s="1464"/>
      <c r="V106" s="1464"/>
      <c r="W106" s="1484"/>
      <c r="Y106" s="6274" t="s">
        <v>1502</v>
      </c>
      <c r="Z106" s="1464"/>
      <c r="AA106" s="1464"/>
      <c r="AB106" s="1484"/>
      <c r="AD106" s="6274" t="s">
        <v>1502</v>
      </c>
      <c r="AE106" s="1464"/>
      <c r="AF106" s="1464"/>
      <c r="AG106" s="1484"/>
      <c r="AH106" s="6275"/>
      <c r="AI106" s="6192"/>
    </row>
    <row r="107" ht="25.5" customHeight="1">
      <c r="A107" s="6185"/>
      <c r="B107" s="1458"/>
      <c r="C107" s="3045"/>
      <c r="D107" s="6276"/>
      <c r="E107" s="1491"/>
      <c r="F107" s="1492" t="str">
        <f t="array" ref="F107">IFERROR(VLOOKUP(E105,Dex!$B$3:$H1218,5,FALSE),"")</f>
        <v/>
      </c>
      <c r="G107" s="1493" t="str">
        <f t="array" ref="G107">IFERROR(VLOOKUP(E105,Dex!$B$3:$H1218,7,FALSE),"")</f>
        <v/>
      </c>
      <c r="H107" s="1494"/>
      <c r="I107" s="1476"/>
      <c r="J107" s="1491"/>
      <c r="K107" s="1492" t="str">
        <f t="array" ref="K107">IFERROR(VLOOKUP(J105,Dex!$B$3:$H1218,5,FALSE),"")</f>
        <v/>
      </c>
      <c r="L107" s="1493" t="str">
        <f t="array" ref="L107">IFERROR(VLOOKUP(J105,Dex!$B$3:$H1218,7,FALSE),"")</f>
        <v/>
      </c>
      <c r="M107" s="1494"/>
      <c r="N107" s="1476"/>
      <c r="O107" s="1491"/>
      <c r="P107" s="1492" t="str">
        <f t="array" ref="P107">IFERROR(VLOOKUP(O105,Dex!$B$3:$H1218,5,FALSE),"")</f>
        <v/>
      </c>
      <c r="Q107" s="1493" t="str">
        <f t="array" ref="Q107">IFERROR(VLOOKUP(O105,Dex!$B$3:$H1218,7,FALSE),"")</f>
        <v/>
      </c>
      <c r="R107" s="1494"/>
      <c r="T107" s="1491"/>
      <c r="U107" s="1492" t="str">
        <f t="array" ref="U107">IFERROR(VLOOKUP(T105,Dex!$B$3:$H1218,5,FALSE),"")</f>
        <v/>
      </c>
      <c r="V107" s="1493" t="str">
        <f t="array" ref="V107">IFERROR(VLOOKUP(T105,Dex!$B$3:$H1218,7,FALSE),"")</f>
        <v/>
      </c>
      <c r="W107" s="1494"/>
      <c r="Y107" s="1491"/>
      <c r="Z107" s="1492" t="str">
        <f t="array" ref="Z107">IFERROR(VLOOKUP(Y105,Dex!$B$3:$H1218,5,FALSE),"")</f>
        <v/>
      </c>
      <c r="AA107" s="1493" t="str">
        <f t="array" ref="AA107">IFERROR(VLOOKUP(Y105,Dex!$B$3:$H1218,7,FALSE),"")</f>
        <v/>
      </c>
      <c r="AB107" s="1494"/>
      <c r="AD107" s="1491"/>
      <c r="AE107" s="1492" t="str">
        <f t="array" ref="AE107">IFERROR(VLOOKUP(AD105,Dex!$B$3:$H1218,5,FALSE),"")</f>
        <v/>
      </c>
      <c r="AF107" s="1493" t="str">
        <f t="array" ref="AF107">IFERROR(VLOOKUP(AD105,Dex!$B$3:$H1218,7,FALSE),"")</f>
        <v/>
      </c>
      <c r="AG107" s="1494"/>
      <c r="AH107" s="1467"/>
      <c r="AI107" s="6192"/>
    </row>
    <row r="108" ht="2.25" customHeight="1">
      <c r="A108" s="6185"/>
      <c r="B108" s="1488"/>
      <c r="C108" s="6277"/>
      <c r="D108" s="6278"/>
      <c r="E108" s="1502"/>
      <c r="F108" s="1503"/>
      <c r="G108" s="1503"/>
      <c r="H108" s="1504"/>
      <c r="I108" s="1476"/>
      <c r="J108" s="1502"/>
      <c r="K108" s="1503"/>
      <c r="L108" s="1503"/>
      <c r="M108" s="1504"/>
      <c r="N108" s="1476"/>
      <c r="O108" s="1502"/>
      <c r="P108" s="1503"/>
      <c r="Q108" s="1503"/>
      <c r="R108" s="1504"/>
      <c r="T108" s="1502"/>
      <c r="U108" s="1503"/>
      <c r="V108" s="1503"/>
      <c r="W108" s="1504"/>
      <c r="Y108" s="1502"/>
      <c r="Z108" s="1503"/>
      <c r="AA108" s="1503"/>
      <c r="AB108" s="1504"/>
      <c r="AD108" s="1502"/>
      <c r="AE108" s="1503"/>
      <c r="AF108" s="1503"/>
      <c r="AG108" s="1504"/>
      <c r="AH108" s="1467"/>
      <c r="AI108" s="6192"/>
    </row>
    <row r="109" ht="20.25" customHeight="1">
      <c r="A109" s="6185"/>
      <c r="B109" s="1488"/>
      <c r="C109" s="6279"/>
      <c r="D109" s="6278"/>
      <c r="E109" s="1510" t="s">
        <v>205</v>
      </c>
      <c r="F109" s="1511"/>
      <c r="G109" s="1511"/>
      <c r="H109" s="1512"/>
      <c r="I109" s="6280"/>
      <c r="J109" s="1510" t="s">
        <v>205</v>
      </c>
      <c r="K109" s="1511"/>
      <c r="L109" s="1511"/>
      <c r="M109" s="1512"/>
      <c r="N109" s="6280"/>
      <c r="O109" s="1510" t="s">
        <v>205</v>
      </c>
      <c r="P109" s="1511"/>
      <c r="Q109" s="1511"/>
      <c r="R109" s="1512"/>
      <c r="T109" s="1510" t="s">
        <v>172</v>
      </c>
      <c r="U109" s="1511"/>
      <c r="V109" s="1511"/>
      <c r="W109" s="1512"/>
      <c r="Y109" s="1510" t="s">
        <v>172</v>
      </c>
      <c r="Z109" s="1511"/>
      <c r="AA109" s="1511"/>
      <c r="AB109" s="1512"/>
      <c r="AD109" s="1510" t="s">
        <v>172</v>
      </c>
      <c r="AE109" s="1511"/>
      <c r="AF109" s="1511"/>
      <c r="AG109" s="1512"/>
      <c r="AH109" s="6271"/>
      <c r="AI109" s="6192"/>
    </row>
    <row r="110">
      <c r="A110" s="6185"/>
      <c r="B110" s="1488"/>
      <c r="C110" s="6281"/>
      <c r="D110" s="6278"/>
      <c r="E110" s="1514" t="s">
        <v>1546</v>
      </c>
      <c r="F110" s="1464"/>
      <c r="G110" s="1464"/>
      <c r="H110" s="1484"/>
      <c r="I110" s="6280"/>
      <c r="J110" s="1514" t="s">
        <v>518</v>
      </c>
      <c r="K110" s="1464"/>
      <c r="L110" s="1464"/>
      <c r="M110" s="1484"/>
      <c r="N110" s="6280"/>
      <c r="O110" s="1514" t="s">
        <v>552</v>
      </c>
      <c r="P110" s="1464"/>
      <c r="Q110" s="1464"/>
      <c r="R110" s="1484"/>
      <c r="T110" s="1514" t="s">
        <v>1080</v>
      </c>
      <c r="U110" s="1464"/>
      <c r="V110" s="1464"/>
      <c r="W110" s="1484"/>
      <c r="Y110" s="1514" t="s">
        <v>1547</v>
      </c>
      <c r="Z110" s="1464"/>
      <c r="AA110" s="1464"/>
      <c r="AB110" s="1484"/>
      <c r="AD110" s="1514" t="s">
        <v>597</v>
      </c>
      <c r="AE110" s="1464"/>
      <c r="AF110" s="1464"/>
      <c r="AG110" s="1484"/>
      <c r="AH110" s="6271"/>
      <c r="AI110" s="6192"/>
    </row>
    <row r="111" ht="20.25" customHeight="1">
      <c r="A111" s="6185"/>
      <c r="B111" s="1488"/>
      <c r="C111" s="6282"/>
      <c r="D111" s="6278"/>
      <c r="E111" s="1515" t="s">
        <v>1518</v>
      </c>
      <c r="F111" s="1516"/>
      <c r="G111" s="1517"/>
      <c r="H111" s="1518" t="str">
        <f>IMAGE("https://raw.githubusercontent.com/msikma/pokesprite/master/items/mega-stone/pidgeotite.png",3)</f>
        <v/>
      </c>
      <c r="I111" s="1476"/>
      <c r="J111" s="1515" t="s">
        <v>334</v>
      </c>
      <c r="K111" s="1516"/>
      <c r="L111" s="1517"/>
      <c r="M111" s="1518" t="str">
        <f>IMAGE("https://raw.githubusercontent.com/msikma/pokesprite/master/items/hold-item/choice-specs.png",3)</f>
        <v/>
      </c>
      <c r="N111" s="1476"/>
      <c r="O111" s="1515" t="s">
        <v>240</v>
      </c>
      <c r="P111" s="1516"/>
      <c r="Q111" s="1517"/>
      <c r="R111" s="1518" t="str">
        <f>IMAGE("https://raw.githubusercontent.com/msikma/pokesprite/master/items/hold-item/focus-sash.png",3)</f>
        <v/>
      </c>
      <c r="T111" s="1515" t="s">
        <v>1519</v>
      </c>
      <c r="U111" s="1516"/>
      <c r="V111" s="1517"/>
      <c r="W111" s="1518" t="str">
        <f>IMAGE("https://raw.githubusercontent.com/msikma/pokesprite/master/items/gem/flying.png",3)</f>
        <v/>
      </c>
      <c r="Y111" s="1515" t="s">
        <v>363</v>
      </c>
      <c r="Z111" s="1516"/>
      <c r="AA111" s="1517"/>
      <c r="AB111" s="1518" t="str">
        <f>IMAGE("https://raw.githubusercontent.com/msikma/pokesprite/master/items/berry/lum.png",3)</f>
        <v/>
      </c>
      <c r="AD111" s="1515" t="s">
        <v>1548</v>
      </c>
      <c r="AE111" s="1516"/>
      <c r="AF111" s="1517"/>
      <c r="AG111" s="1518" t="str">
        <f>IMAGE("https://raw.githubusercontent.com/msikma/pokesprite/master/items/z-crystals/flyinium-z--held.png",3)</f>
        <v/>
      </c>
      <c r="AH111" s="1467"/>
      <c r="AI111" s="6192"/>
    </row>
    <row r="112" ht="20.25" customHeight="1">
      <c r="A112" s="6185"/>
      <c r="B112" s="1488"/>
      <c r="C112" s="6283"/>
      <c r="D112" s="6284"/>
      <c r="E112" s="1510" t="s">
        <v>461</v>
      </c>
      <c r="F112" s="1511"/>
      <c r="G112" s="1511"/>
      <c r="H112" s="1520" t="str">
        <f>IMAGE("https://raw.githubusercontent.com/msikma/pokesprite/master/misc/types/gen8/flying.png",4,20,20)</f>
        <v/>
      </c>
      <c r="I112" s="1476"/>
      <c r="J112" s="1510" t="s">
        <v>247</v>
      </c>
      <c r="K112" s="1511"/>
      <c r="L112" s="1511"/>
      <c r="M112" s="1520" t="str">
        <f>IMAGE("https://raw.githubusercontent.com/msikma/pokesprite/master/misc/types/gen8/bug.png",4,20,20)</f>
        <v/>
      </c>
      <c r="N112" s="1476"/>
      <c r="O112" s="1510" t="s">
        <v>1549</v>
      </c>
      <c r="P112" s="1511"/>
      <c r="Q112" s="1511"/>
      <c r="R112" s="1520" t="str">
        <f>IMAGE("https://raw.githubusercontent.com/msikma/pokesprite/master/misc/types/gen8/grass.png",4,20,20)</f>
        <v/>
      </c>
      <c r="T112" s="1510" t="s">
        <v>772</v>
      </c>
      <c r="U112" s="1511"/>
      <c r="V112" s="1511"/>
      <c r="W112" s="1520" t="str">
        <f>IMAGE("https://raw.githubusercontent.com/msikma/pokesprite/master/misc/types/gen8/fighting.png",4,20,20)</f>
        <v/>
      </c>
      <c r="Y112" s="1510" t="s">
        <v>749</v>
      </c>
      <c r="Z112" s="1511"/>
      <c r="AA112" s="1511"/>
      <c r="AB112" s="1520" t="str">
        <f>IMAGE("https://raw.githubusercontent.com/msikma/pokesprite/master/misc/types/gen8/flying.png",4,20,20)</f>
        <v/>
      </c>
      <c r="AD112" s="1510" t="s">
        <v>396</v>
      </c>
      <c r="AE112" s="1511"/>
      <c r="AF112" s="1511"/>
      <c r="AG112" s="1520" t="str">
        <f>IMAGE("https://raw.githubusercontent.com/msikma/pokesprite/master/misc/types/gen8/dragon.png",4,20,20)</f>
        <v/>
      </c>
      <c r="AH112" s="1467"/>
      <c r="AI112" s="6192"/>
    </row>
    <row r="113" ht="20.25" customHeight="1">
      <c r="A113" s="6185"/>
      <c r="B113" s="1488"/>
      <c r="C113" s="1509"/>
      <c r="D113" s="1463"/>
      <c r="E113" s="1514" t="s">
        <v>903</v>
      </c>
      <c r="F113" s="1464"/>
      <c r="G113" s="1464"/>
      <c r="H113" s="1521" t="str">
        <f>IMAGE("https://raw.githubusercontent.com/msikma/pokesprite/master/misc/types/gen8/fire.png",4,20,20)</f>
        <v/>
      </c>
      <c r="I113" s="1476"/>
      <c r="J113" s="1514" t="s">
        <v>374</v>
      </c>
      <c r="K113" s="1464"/>
      <c r="L113" s="1464"/>
      <c r="M113" s="1521" t="str">
        <f>IMAGE("https://raw.githubusercontent.com/msikma/pokesprite/master/misc/types/gen8/flying.png",4,20,20)</f>
        <v/>
      </c>
      <c r="N113" s="1476"/>
      <c r="O113" s="1514" t="s">
        <v>374</v>
      </c>
      <c r="P113" s="1464"/>
      <c r="Q113" s="1464"/>
      <c r="R113" s="1521" t="str">
        <f>IMAGE("https://raw.githubusercontent.com/msikma/pokesprite/master/misc/types/gen8/flying.png",4,20,20)</f>
        <v/>
      </c>
      <c r="T113" s="1514" t="s">
        <v>493</v>
      </c>
      <c r="U113" s="1464"/>
      <c r="V113" s="1464"/>
      <c r="W113" s="1521" t="str">
        <f>IMAGE("https://raw.githubusercontent.com/msikma/pokesprite/master/misc/types/gen8/flying.png",4,20,20)</f>
        <v/>
      </c>
      <c r="Y113" s="1514" t="s">
        <v>1520</v>
      </c>
      <c r="Z113" s="1464"/>
      <c r="AA113" s="1464"/>
      <c r="AB113" s="1521" t="str">
        <f>IMAGE("https://raw.githubusercontent.com/msikma/pokesprite/master/misc/types/gen8/fire.png",4,20,20)</f>
        <v/>
      </c>
      <c r="AD113" s="1514" t="s">
        <v>459</v>
      </c>
      <c r="AE113" s="1464"/>
      <c r="AF113" s="1464"/>
      <c r="AG113" s="1521" t="str">
        <f>IMAGE("https://raw.githubusercontent.com/msikma/pokesprite/master/misc/types/gen8/water.png",4,20,20)</f>
        <v/>
      </c>
      <c r="AH113" s="1467"/>
      <c r="AI113" s="6192"/>
    </row>
    <row r="114" ht="20.25" customHeight="1">
      <c r="A114" s="6185"/>
      <c r="B114" s="1488"/>
      <c r="C114" s="1509"/>
      <c r="D114" s="1463"/>
      <c r="E114" s="1514" t="s">
        <v>344</v>
      </c>
      <c r="F114" s="1464"/>
      <c r="G114" s="1464"/>
      <c r="H114" s="1521" t="str">
        <f>IMAGE("https://raw.githubusercontent.com/msikma/pokesprite/master/misc/types/gen8/fighting.png",4,20,20)</f>
        <v/>
      </c>
      <c r="I114" s="1476"/>
      <c r="J114" s="1514" t="s">
        <v>275</v>
      </c>
      <c r="K114" s="1464"/>
      <c r="L114" s="1464"/>
      <c r="M114" s="1521" t="str">
        <f>IMAGE("https://raw.githubusercontent.com/msikma/pokesprite/master/misc/types/gen8/grass.png",4,20,20)</f>
        <v/>
      </c>
      <c r="N114" s="1476"/>
      <c r="O114" s="1514" t="s">
        <v>286</v>
      </c>
      <c r="P114" s="1464"/>
      <c r="Q114" s="1464"/>
      <c r="R114" s="1521" t="str">
        <f>IMAGE("https://raw.githubusercontent.com/msikma/pokesprite/master/misc/types/gen8/ground.png",4,20,20)</f>
        <v/>
      </c>
      <c r="T114" s="1514" t="s">
        <v>556</v>
      </c>
      <c r="U114" s="1464"/>
      <c r="V114" s="1464"/>
      <c r="W114" s="1521" t="str">
        <f>IMAGE("https://raw.githubusercontent.com/msikma/pokesprite/master/misc/types/gen8/fairy.png",4,20,20)</f>
        <v/>
      </c>
      <c r="Y114" s="1514" t="s">
        <v>402</v>
      </c>
      <c r="Z114" s="1464"/>
      <c r="AA114" s="1464"/>
      <c r="AB114" s="1521" t="str">
        <f>IMAGE("https://raw.githubusercontent.com/msikma/pokesprite/master/misc/types/gen8/ground.png",4,20,20)</f>
        <v/>
      </c>
      <c r="AD114" s="1514" t="s">
        <v>402</v>
      </c>
      <c r="AE114" s="1464"/>
      <c r="AF114" s="1464"/>
      <c r="AG114" s="1521" t="str">
        <f>IMAGE("https://raw.githubusercontent.com/msikma/pokesprite/master/misc/types/gen8/ground.png",4,20,20)</f>
        <v/>
      </c>
      <c r="AH114" s="1467"/>
      <c r="AI114" s="6192"/>
    </row>
    <row r="115" ht="21.0" customHeight="1">
      <c r="A115" s="6185"/>
      <c r="B115" s="1488"/>
      <c r="C115" s="1509"/>
      <c r="D115" s="1463"/>
      <c r="E115" s="1522" t="s">
        <v>278</v>
      </c>
      <c r="F115" s="1523"/>
      <c r="G115" s="1523"/>
      <c r="H115" s="1524" t="str">
        <f>IMAGE("https://raw.githubusercontent.com/msikma/pokesprite/master/misc/types/gen8/bug.png",4,20,20)</f>
        <v/>
      </c>
      <c r="I115" s="1476"/>
      <c r="J115" s="1522" t="s">
        <v>278</v>
      </c>
      <c r="K115" s="1523"/>
      <c r="L115" s="1523"/>
      <c r="M115" s="1524" t="str">
        <f>IMAGE("https://raw.githubusercontent.com/msikma/pokesprite/master/misc/types/gen8/bug.png",4,20,20)</f>
        <v/>
      </c>
      <c r="N115" s="1476"/>
      <c r="O115" s="1522" t="s">
        <v>254</v>
      </c>
      <c r="P115" s="1523"/>
      <c r="Q115" s="1523"/>
      <c r="R115" s="1524" t="str">
        <f>IMAGE("https://raw.githubusercontent.com/msikma/pokesprite/master/misc/types/gen8/ice.png",4,20,20)</f>
        <v/>
      </c>
      <c r="S115" s="1473"/>
      <c r="T115" s="1522" t="s">
        <v>279</v>
      </c>
      <c r="U115" s="1523"/>
      <c r="V115" s="1523"/>
      <c r="W115" s="1524" t="str">
        <f>IMAGE("https://raw.githubusercontent.com/msikma/pokesprite/master/misc/types/gen8/dark.png",4,20,20)</f>
        <v/>
      </c>
      <c r="X115" s="1473"/>
      <c r="Y115" s="1522" t="s">
        <v>251</v>
      </c>
      <c r="Z115" s="1523"/>
      <c r="AA115" s="1523"/>
      <c r="AB115" s="1524" t="str">
        <f>IMAGE("https://raw.githubusercontent.com/msikma/pokesprite/master/misc/types/gen8/flying.png",4,20,20)</f>
        <v/>
      </c>
      <c r="AC115" s="1473"/>
      <c r="AD115" s="1522" t="s">
        <v>1218</v>
      </c>
      <c r="AE115" s="1523"/>
      <c r="AF115" s="1523"/>
      <c r="AG115" s="1524" t="str">
        <f>IMAGE("https://raw.githubusercontent.com/msikma/pokesprite/master/misc/types/gen8/flying.png",4,20,20)</f>
        <v/>
      </c>
      <c r="AH115" s="1467"/>
      <c r="AI115" s="6192"/>
    </row>
    <row r="116" ht="3.0" customHeight="1">
      <c r="A116" s="6185"/>
      <c r="B116" s="1526"/>
      <c r="C116" s="1527"/>
      <c r="D116" s="1528"/>
      <c r="E116" s="1529"/>
      <c r="F116" s="1529"/>
      <c r="G116" s="1529"/>
      <c r="H116" s="1529"/>
      <c r="I116" s="1528"/>
      <c r="J116" s="1529"/>
      <c r="K116" s="1529"/>
      <c r="L116" s="1529"/>
      <c r="M116" s="1529"/>
      <c r="N116" s="1528"/>
      <c r="O116" s="1529"/>
      <c r="P116" s="1529"/>
      <c r="Q116" s="1529"/>
      <c r="R116" s="1529"/>
      <c r="S116" s="1528"/>
      <c r="T116" s="1529"/>
      <c r="U116" s="1529"/>
      <c r="V116" s="1529"/>
      <c r="W116" s="1529"/>
      <c r="X116" s="1528"/>
      <c r="Y116" s="1529"/>
      <c r="Z116" s="1529"/>
      <c r="AA116" s="1529"/>
      <c r="AB116" s="1529"/>
      <c r="AC116" s="1531"/>
      <c r="AD116" s="1529"/>
      <c r="AE116" s="1529"/>
      <c r="AF116" s="1529"/>
      <c r="AG116" s="1529"/>
      <c r="AH116" s="1532"/>
      <c r="AI116" s="6192"/>
    </row>
    <row r="117" ht="16.5" customHeight="1">
      <c r="A117" s="6185"/>
      <c r="B117" s="1534"/>
      <c r="C117" s="1527"/>
      <c r="D117" s="1535"/>
      <c r="E117" s="1536" t="s">
        <v>190</v>
      </c>
      <c r="F117" s="381"/>
      <c r="G117" s="382"/>
      <c r="H117" s="1537" t="s">
        <v>191</v>
      </c>
      <c r="I117" s="1535"/>
      <c r="J117" s="1536" t="s">
        <v>190</v>
      </c>
      <c r="K117" s="381"/>
      <c r="L117" s="382"/>
      <c r="M117" s="1537" t="s">
        <v>191</v>
      </c>
      <c r="N117" s="1535"/>
      <c r="O117" s="1536" t="s">
        <v>190</v>
      </c>
      <c r="P117" s="381"/>
      <c r="Q117" s="382"/>
      <c r="R117" s="1537" t="s">
        <v>191</v>
      </c>
      <c r="S117" s="1538"/>
      <c r="T117" s="1536" t="s">
        <v>190</v>
      </c>
      <c r="U117" s="381"/>
      <c r="V117" s="382"/>
      <c r="W117" s="1537" t="s">
        <v>191</v>
      </c>
      <c r="X117" s="1540"/>
      <c r="Y117" s="1536" t="s">
        <v>190</v>
      </c>
      <c r="Z117" s="381"/>
      <c r="AA117" s="382"/>
      <c r="AB117" s="1537" t="s">
        <v>191</v>
      </c>
      <c r="AC117" s="1540"/>
      <c r="AD117" s="1536" t="s">
        <v>190</v>
      </c>
      <c r="AE117" s="381"/>
      <c r="AF117" s="382"/>
      <c r="AG117" s="1537" t="s">
        <v>191</v>
      </c>
      <c r="AH117" s="1541"/>
      <c r="AI117" s="6192"/>
    </row>
    <row r="118" ht="15.75" customHeight="1">
      <c r="A118" s="6185"/>
      <c r="B118" s="1534"/>
      <c r="C118" s="1527"/>
      <c r="D118" s="1535"/>
      <c r="E118" s="1543" t="s">
        <v>192</v>
      </c>
      <c r="F118" s="1544">
        <f t="array" ref="F118">IFERROR(VLOOKUP(E105,Dex!$B$3:$N1218,8,FALSE),"")</f>
        <v>83</v>
      </c>
      <c r="G118" s="1545" t="str">
        <f t="array" ref="G118">IFERROR(VLOOKUP(F118,Dex!$P$22:$Q$276,2,FALSE),"")</f>
        <v/>
      </c>
      <c r="H118" s="1546"/>
      <c r="I118" s="1535"/>
      <c r="J118" s="1543" t="s">
        <v>192</v>
      </c>
      <c r="K118" s="1544">
        <f t="array" ref="K118">IFERROR(VLOOKUP(J105,Dex!$B$3:$N1218,8,FALSE),"")</f>
        <v>86</v>
      </c>
      <c r="L118" s="1545" t="str">
        <f t="array" ref="L118">IFERROR(VLOOKUP(K118,Dex!$P$22:$Q$276,2,FALSE),"")</f>
        <v/>
      </c>
      <c r="M118" s="1546"/>
      <c r="N118" s="1535"/>
      <c r="O118" s="1543" t="s">
        <v>192</v>
      </c>
      <c r="P118" s="1544">
        <f t="array" ref="P118">IFERROR(VLOOKUP(O105,Dex!$B$3:$N1218,8,FALSE),"")</f>
        <v>100</v>
      </c>
      <c r="Q118" s="1545" t="str">
        <f t="array" ref="Q118">IFERROR(VLOOKUP(P118,Dex!$P$22:$Q$276,2,FALSE),"")</f>
        <v/>
      </c>
      <c r="R118" s="1546"/>
      <c r="S118" s="1538"/>
      <c r="T118" s="1543" t="s">
        <v>192</v>
      </c>
      <c r="U118" s="1544">
        <f t="array" ref="U118">IFERROR(VLOOKUP(T105,Dex!$B$3:$N1218,8,FALSE),"")</f>
        <v>74</v>
      </c>
      <c r="V118" s="1545" t="str">
        <f t="array" ref="V118">IFERROR(VLOOKUP(U118,Dex!$P$22:$Q$276,2,FALSE),"")</f>
        <v/>
      </c>
      <c r="W118" s="1546"/>
      <c r="X118" s="1540"/>
      <c r="Y118" s="1543" t="s">
        <v>192</v>
      </c>
      <c r="Z118" s="1544">
        <f t="array" ref="Z118">IFERROR(VLOOKUP(Y105,Dex!$B$3:$N1218,8,FALSE),"")</f>
        <v>106</v>
      </c>
      <c r="AA118" s="1545" t="str">
        <f t="array" ref="AA118">IFERROR(VLOOKUP(Z118,Dex!$P$22:$Q$276,2,FALSE),"")</f>
        <v/>
      </c>
      <c r="AB118" s="1546"/>
      <c r="AC118" s="1540"/>
      <c r="AD118" s="1543" t="s">
        <v>192</v>
      </c>
      <c r="AE118" s="1544">
        <f t="array" ref="AE118">IFERROR(VLOOKUP(AD105,Dex!$B$3:$N1218,8,FALSE),"")</f>
        <v>95</v>
      </c>
      <c r="AF118" s="1545" t="str">
        <f t="array" ref="AF118">IFERROR(VLOOKUP(AE118,Dex!$P$22:$Q$276,2,FALSE),"")</f>
        <v/>
      </c>
      <c r="AG118" s="1546"/>
      <c r="AH118" s="1541"/>
      <c r="AI118" s="6192"/>
    </row>
    <row r="119" ht="15.75" customHeight="1">
      <c r="A119" s="6185"/>
      <c r="B119" s="1534"/>
      <c r="C119" s="1527"/>
      <c r="D119" s="1535"/>
      <c r="E119" s="1547" t="s">
        <v>193</v>
      </c>
      <c r="F119" s="1548">
        <f t="array" ref="F119">IFERROR(VLOOKUP(E105,Dex!$B$3:$N1218,9,FALSE),"")</f>
        <v>80</v>
      </c>
      <c r="G119" s="1549" t="str">
        <f t="array" ref="G119">IFERROR(VLOOKUP(F119,Dex!$P$22:$Q$276,2,FALSE),"")</f>
        <v/>
      </c>
      <c r="H119" s="1550"/>
      <c r="I119" s="1535"/>
      <c r="J119" s="1547" t="s">
        <v>193</v>
      </c>
      <c r="K119" s="1548">
        <f t="array" ref="K119">IFERROR(VLOOKUP(J105,Dex!$B$3:$N1218,9,FALSE),"")</f>
        <v>76</v>
      </c>
      <c r="L119" s="1549" t="str">
        <f t="array" ref="L119">IFERROR(VLOOKUP(K119,Dex!$P$22:$Q$276,2,FALSE),"")</f>
        <v/>
      </c>
      <c r="M119" s="1550"/>
      <c r="N119" s="1535"/>
      <c r="O119" s="1547" t="s">
        <v>193</v>
      </c>
      <c r="P119" s="1548">
        <f t="array" ref="P119">IFERROR(VLOOKUP(O105,Dex!$B$3:$N1218,9,FALSE),"")</f>
        <v>103</v>
      </c>
      <c r="Q119" s="1549" t="str">
        <f t="array" ref="Q119">IFERROR(VLOOKUP(P119,Dex!$P$22:$Q$276,2,FALSE),"")</f>
        <v/>
      </c>
      <c r="R119" s="1550"/>
      <c r="S119" s="1538"/>
      <c r="T119" s="1547" t="s">
        <v>193</v>
      </c>
      <c r="U119" s="1548">
        <f t="array" ref="U119">IFERROR(VLOOKUP(T105,Dex!$B$3:$N1218,9,FALSE),"")</f>
        <v>115</v>
      </c>
      <c r="V119" s="1549" t="str">
        <f t="array" ref="V119">IFERROR(VLOOKUP(U119,Dex!$P$22:$Q$276,2,FALSE),"")</f>
        <v/>
      </c>
      <c r="W119" s="1550"/>
      <c r="X119" s="1540"/>
      <c r="Y119" s="1547" t="s">
        <v>193</v>
      </c>
      <c r="Z119" s="1548">
        <f t="array" ref="Z119">IFERROR(VLOOKUP(Y105,Dex!$B$3:$N1218,9,FALSE),"")</f>
        <v>130</v>
      </c>
      <c r="AA119" s="1549" t="str">
        <f t="array" ref="AA119">IFERROR(VLOOKUP(Z119,Dex!$P$22:$Q$276,2,FALSE),"")</f>
        <v/>
      </c>
      <c r="AB119" s="1550"/>
      <c r="AC119" s="1540"/>
      <c r="AD119" s="1547" t="s">
        <v>193</v>
      </c>
      <c r="AE119" s="1548">
        <f t="array" ref="AE119">IFERROR(VLOOKUP(AD105,Dex!$B$3:$N1218,9,FALSE),"")</f>
        <v>125</v>
      </c>
      <c r="AF119" s="1549" t="str">
        <f t="array" ref="AF119">IFERROR(VLOOKUP(AE119,Dex!$P$22:$Q$276,2,FALSE),"")</f>
        <v/>
      </c>
      <c r="AG119" s="1550"/>
      <c r="AH119" s="1541"/>
      <c r="AI119" s="6192"/>
    </row>
    <row r="120" ht="15.75" customHeight="1">
      <c r="A120" s="6185"/>
      <c r="B120" s="1534"/>
      <c r="C120" s="1527"/>
      <c r="D120" s="1535"/>
      <c r="E120" s="1547" t="s">
        <v>194</v>
      </c>
      <c r="F120" s="1548">
        <f t="array" ref="F120">IFERROR(VLOOKUP(E105,Dex!$B$3:$N1218,10,FALSE),"")</f>
        <v>80</v>
      </c>
      <c r="G120" s="1549" t="str">
        <f t="array" ref="G120">IFERROR(VLOOKUP(F120,Dex!$P$22:$Q$276,2,FALSE),"")</f>
        <v/>
      </c>
      <c r="H120" s="1550"/>
      <c r="I120" s="1535"/>
      <c r="J120" s="1547" t="s">
        <v>194</v>
      </c>
      <c r="K120" s="1548">
        <f t="array" ref="K120">IFERROR(VLOOKUP(J105,Dex!$B$3:$N1218,10,FALSE),"")</f>
        <v>86</v>
      </c>
      <c r="L120" s="1549" t="str">
        <f t="array" ref="L120">IFERROR(VLOOKUP(K120,Dex!$P$22:$Q$276,2,FALSE),"")</f>
        <v/>
      </c>
      <c r="M120" s="1550"/>
      <c r="N120" s="1535"/>
      <c r="O120" s="1547" t="s">
        <v>194</v>
      </c>
      <c r="P120" s="1548">
        <f t="array" ref="P120">IFERROR(VLOOKUP(O105,Dex!$B$3:$N1218,10,FALSE),"")</f>
        <v>75</v>
      </c>
      <c r="Q120" s="1549" t="str">
        <f t="array" ref="Q120">IFERROR(VLOOKUP(P120,Dex!$P$22:$Q$276,2,FALSE),"")</f>
        <v/>
      </c>
      <c r="R120" s="1550"/>
      <c r="S120" s="1538"/>
      <c r="T120" s="1547" t="s">
        <v>194</v>
      </c>
      <c r="U120" s="1548">
        <f t="array" ref="U120">IFERROR(VLOOKUP(T105,Dex!$B$3:$N1218,10,FALSE),"")</f>
        <v>70</v>
      </c>
      <c r="V120" s="1549" t="str">
        <f t="array" ref="V120">IFERROR(VLOOKUP(U120,Dex!$P$22:$Q$276,2,FALSE),"")</f>
        <v/>
      </c>
      <c r="W120" s="1550"/>
      <c r="X120" s="1540"/>
      <c r="Y120" s="1547" t="s">
        <v>194</v>
      </c>
      <c r="Z120" s="1548">
        <f t="array" ref="Z120">IFERROR(VLOOKUP(Y105,Dex!$B$3:$N1218,10,FALSE),"")</f>
        <v>90</v>
      </c>
      <c r="AA120" s="1549" t="str">
        <f t="array" ref="AA120">IFERROR(VLOOKUP(Z120,Dex!$P$22:$Q$276,2,FALSE),"")</f>
        <v/>
      </c>
      <c r="AB120" s="1550"/>
      <c r="AC120" s="1540"/>
      <c r="AD120" s="1547" t="s">
        <v>194</v>
      </c>
      <c r="AE120" s="1548">
        <f t="array" ref="AE120">IFERROR(VLOOKUP(AD105,Dex!$B$3:$N1218,10,FALSE),"")</f>
        <v>79</v>
      </c>
      <c r="AF120" s="1549" t="str">
        <f t="array" ref="AF120">IFERROR(VLOOKUP(AE120,Dex!$P$22:$Q$276,2,FALSE),"")</f>
        <v/>
      </c>
      <c r="AG120" s="1550"/>
      <c r="AH120" s="1541"/>
      <c r="AI120" s="6192"/>
    </row>
    <row r="121" ht="15.75" customHeight="1">
      <c r="A121" s="6185"/>
      <c r="B121" s="1534"/>
      <c r="C121" s="1527"/>
      <c r="D121" s="1535"/>
      <c r="E121" s="1547" t="s">
        <v>195</v>
      </c>
      <c r="F121" s="1548">
        <f t="array" ref="F121">IFERROR(VLOOKUP(E105,Dex!$B$3:$N1218,11,FALSE),"")</f>
        <v>135</v>
      </c>
      <c r="G121" s="1549" t="str">
        <f t="array" ref="G121">IFERROR(VLOOKUP(F121,Dex!$P$22:$Q$276,2,FALSE),"")</f>
        <v/>
      </c>
      <c r="H121" s="1550"/>
      <c r="I121" s="1535"/>
      <c r="J121" s="1547" t="s">
        <v>195</v>
      </c>
      <c r="K121" s="1548">
        <f t="array" ref="K121">IFERROR(VLOOKUP(J105,Dex!$B$3:$N1218,11,FALSE),"")</f>
        <v>116</v>
      </c>
      <c r="L121" s="1549" t="str">
        <f t="array" ref="L121">IFERROR(VLOOKUP(K121,Dex!$P$22:$Q$276,2,FALSE),"")</f>
        <v/>
      </c>
      <c r="M121" s="1550"/>
      <c r="N121" s="1535"/>
      <c r="O121" s="1547" t="s">
        <v>195</v>
      </c>
      <c r="P121" s="1548">
        <f t="array" ref="P121">IFERROR(VLOOKUP(O105,Dex!$B$3:$N1218,11,FALSE),"")</f>
        <v>120</v>
      </c>
      <c r="Q121" s="1549" t="str">
        <f t="array" ref="Q121">IFERROR(VLOOKUP(P121,Dex!$P$22:$Q$276,2,FALSE),"")</f>
        <v/>
      </c>
      <c r="R121" s="1550"/>
      <c r="S121" s="1538"/>
      <c r="T121" s="1547" t="s">
        <v>195</v>
      </c>
      <c r="U121" s="1548">
        <f t="array" ref="U121">IFERROR(VLOOKUP(T105,Dex!$B$3:$N1218,11,FALSE),"")</f>
        <v>135</v>
      </c>
      <c r="V121" s="1549" t="str">
        <f t="array" ref="V121">IFERROR(VLOOKUP(U121,Dex!$P$22:$Q$276,2,FALSE),"")</f>
        <v/>
      </c>
      <c r="W121" s="1550"/>
      <c r="X121" s="1540"/>
      <c r="Y121" s="1547" t="s">
        <v>195</v>
      </c>
      <c r="Z121" s="1548">
        <f t="array" ref="Z121">IFERROR(VLOOKUP(Y105,Dex!$B$3:$N1218,11,FALSE),"")</f>
        <v>110</v>
      </c>
      <c r="AA121" s="1549" t="str">
        <f t="array" ref="AA121">IFERROR(VLOOKUP(Z121,Dex!$P$22:$Q$276,2,FALSE),"")</f>
        <v/>
      </c>
      <c r="AB121" s="1550"/>
      <c r="AC121" s="1540"/>
      <c r="AD121" s="1547" t="s">
        <v>195</v>
      </c>
      <c r="AE121" s="1548">
        <f t="array" ref="AE121">IFERROR(VLOOKUP(AD105,Dex!$B$3:$N1218,11,FALSE),"")</f>
        <v>60</v>
      </c>
      <c r="AF121" s="1549" t="str">
        <f t="array" ref="AF121">IFERROR(VLOOKUP(AE121,Dex!$P$22:$Q$276,2,FALSE),"")</f>
        <v/>
      </c>
      <c r="AG121" s="1550"/>
      <c r="AH121" s="1541"/>
      <c r="AI121" s="6192"/>
    </row>
    <row r="122" ht="15.75" customHeight="1">
      <c r="A122" s="6185"/>
      <c r="B122" s="1534"/>
      <c r="C122" s="1527"/>
      <c r="D122" s="1535"/>
      <c r="E122" s="1547" t="s">
        <v>196</v>
      </c>
      <c r="F122" s="1548">
        <f t="array" ref="F122">IFERROR(VLOOKUP(E105,Dex!$B$3:$N1218,12,FALSE),"")</f>
        <v>80</v>
      </c>
      <c r="G122" s="1549" t="str">
        <f t="array" ref="G122">IFERROR(VLOOKUP(F122,Dex!$P$22:$Q$276,2,FALSE),"")</f>
        <v/>
      </c>
      <c r="H122" s="1550"/>
      <c r="I122" s="1535"/>
      <c r="J122" s="1547" t="s">
        <v>196</v>
      </c>
      <c r="K122" s="1548">
        <f t="array" ref="K122">IFERROR(VLOOKUP(J105,Dex!$B$3:$N1218,12,FALSE),"")</f>
        <v>56</v>
      </c>
      <c r="L122" s="1549" t="str">
        <f t="array" ref="L122">IFERROR(VLOOKUP(K122,Dex!$P$22:$Q$276,2,FALSE),"")</f>
        <v/>
      </c>
      <c r="M122" s="1550"/>
      <c r="N122" s="1535"/>
      <c r="O122" s="1547" t="s">
        <v>196</v>
      </c>
      <c r="P122" s="1548">
        <f t="array" ref="P122">IFERROR(VLOOKUP(O105,Dex!$B$3:$N1218,12,FALSE),"")</f>
        <v>75</v>
      </c>
      <c r="Q122" s="1549" t="str">
        <f t="array" ref="Q122">IFERROR(VLOOKUP(P122,Dex!$P$22:$Q$276,2,FALSE),"")</f>
        <v/>
      </c>
      <c r="R122" s="1550"/>
      <c r="S122" s="1538"/>
      <c r="T122" s="1547" t="s">
        <v>196</v>
      </c>
      <c r="U122" s="1548">
        <f t="array" ref="U122">IFERROR(VLOOKUP(T105,Dex!$B$3:$N1218,12,FALSE),"")</f>
        <v>80</v>
      </c>
      <c r="V122" s="1549" t="str">
        <f t="array" ref="V122">IFERROR(VLOOKUP(U122,Dex!$P$22:$Q$276,2,FALSE),"")</f>
        <v/>
      </c>
      <c r="W122" s="1550"/>
      <c r="X122" s="1540"/>
      <c r="Y122" s="1547" t="s">
        <v>196</v>
      </c>
      <c r="Z122" s="1548">
        <f t="array" ref="Z122">IFERROR(VLOOKUP(Y105,Dex!$B$3:$N1218,12,FALSE),"")</f>
        <v>154</v>
      </c>
      <c r="AA122" s="1549" t="str">
        <f t="array" ref="AA122">IFERROR(VLOOKUP(Z122,Dex!$P$22:$Q$276,2,FALSE),"")</f>
        <v/>
      </c>
      <c r="AB122" s="1550"/>
      <c r="AC122" s="1540"/>
      <c r="AD122" s="1547" t="s">
        <v>196</v>
      </c>
      <c r="AE122" s="1548">
        <f t="array" ref="AE122">IFERROR(VLOOKUP(AD105,Dex!$B$3:$N1218,12,FALSE),"")</f>
        <v>100</v>
      </c>
      <c r="AF122" s="1549" t="str">
        <f t="array" ref="AF122">IFERROR(VLOOKUP(AE122,Dex!$P$22:$Q$276,2,FALSE),"")</f>
        <v/>
      </c>
      <c r="AG122" s="1550"/>
      <c r="AH122" s="1541"/>
      <c r="AI122" s="6192"/>
    </row>
    <row r="123" ht="15.75" customHeight="1">
      <c r="A123" s="6185"/>
      <c r="B123" s="1534"/>
      <c r="C123" s="1527"/>
      <c r="D123" s="1535"/>
      <c r="E123" s="1551" t="s">
        <v>197</v>
      </c>
      <c r="F123" s="1552">
        <f t="array" ref="F123">IFERROR(VLOOKUP(E105,Dex!$B$3:$N1218,13,FALSE),"")</f>
        <v>121</v>
      </c>
      <c r="G123" s="1553" t="str">
        <f t="array" ref="G123">IFERROR(VLOOKUP(F123,Dex!$P$22:$Q$276,2,FALSE),"")</f>
        <v/>
      </c>
      <c r="H123" s="1554"/>
      <c r="I123" s="1535"/>
      <c r="J123" s="1551" t="s">
        <v>197</v>
      </c>
      <c r="K123" s="1552">
        <f t="array" ref="K123">IFERROR(VLOOKUP(J105,Dex!$B$3:$N1218,13,FALSE),"")</f>
        <v>95</v>
      </c>
      <c r="L123" s="1553" t="str">
        <f t="array" ref="L123">IFERROR(VLOOKUP(K123,Dex!$P$22:$Q$276,2,FALSE),"")</f>
        <v/>
      </c>
      <c r="M123" s="1554"/>
      <c r="N123" s="1535"/>
      <c r="O123" s="1551" t="s">
        <v>197</v>
      </c>
      <c r="P123" s="1552">
        <f t="array" ref="P123">IFERROR(VLOOKUP(O105,Dex!$B$3:$N1218,13,FALSE),"")</f>
        <v>127</v>
      </c>
      <c r="Q123" s="1553" t="str">
        <f t="array" ref="Q123">IFERROR(VLOOKUP(P123,Dex!$P$22:$Q$276,2,FALSE),"")</f>
        <v/>
      </c>
      <c r="R123" s="1554"/>
      <c r="S123" s="1538"/>
      <c r="T123" s="1551" t="s">
        <v>197</v>
      </c>
      <c r="U123" s="1552">
        <f t="array" ref="U123">IFERROR(VLOOKUP(T105,Dex!$B$3:$N1218,13,FALSE),"")</f>
        <v>106</v>
      </c>
      <c r="V123" s="1553" t="str">
        <f t="array" ref="V123">IFERROR(VLOOKUP(U123,Dex!$P$22:$Q$276,2,FALSE),"")</f>
        <v/>
      </c>
      <c r="W123" s="1554"/>
      <c r="X123" s="1540"/>
      <c r="Y123" s="1551" t="s">
        <v>197</v>
      </c>
      <c r="Z123" s="1552">
        <f t="array" ref="Z123">IFERROR(VLOOKUP(Y105,Dex!$B$3:$N1218,13,FALSE),"")</f>
        <v>90</v>
      </c>
      <c r="AA123" s="1553" t="str">
        <f t="array" ref="AA123">IFERROR(VLOOKUP(Z123,Dex!$P$22:$Q$276,2,FALSE),"")</f>
        <v/>
      </c>
      <c r="AB123" s="1554"/>
      <c r="AC123" s="1540"/>
      <c r="AD123" s="1551" t="s">
        <v>197</v>
      </c>
      <c r="AE123" s="1552">
        <f t="array" ref="AE123">IFERROR(VLOOKUP(AD105,Dex!$B$3:$N1218,13,FALSE),"")</f>
        <v>81</v>
      </c>
      <c r="AF123" s="1553" t="str">
        <f t="array" ref="AF123">IFERROR(VLOOKUP(AE123,Dex!$P$22:$Q$276,2,FALSE),"")</f>
        <v/>
      </c>
      <c r="AG123" s="1554"/>
      <c r="AH123" s="1541"/>
      <c r="AI123" s="6192"/>
    </row>
    <row r="124" ht="16.5" customHeight="1">
      <c r="A124" s="6185"/>
      <c r="B124" s="1534"/>
      <c r="C124" s="1527"/>
      <c r="D124" s="1535"/>
      <c r="E124" s="1555" t="s">
        <v>198</v>
      </c>
      <c r="F124" s="405"/>
      <c r="G124" s="406"/>
      <c r="H124" s="1556">
        <v>305.0</v>
      </c>
      <c r="I124" s="1535"/>
      <c r="J124" s="1555" t="s">
        <v>198</v>
      </c>
      <c r="K124" s="405"/>
      <c r="L124" s="406"/>
      <c r="M124" s="1556">
        <v>248.0</v>
      </c>
      <c r="N124" s="1535"/>
      <c r="O124" s="1555" t="s">
        <v>198</v>
      </c>
      <c r="P124" s="405"/>
      <c r="Q124" s="406"/>
      <c r="R124" s="1556">
        <v>319.0</v>
      </c>
      <c r="S124" s="1538"/>
      <c r="T124" s="1555" t="s">
        <v>198</v>
      </c>
      <c r="U124" s="405"/>
      <c r="V124" s="406"/>
      <c r="W124" s="1556">
        <v>272.0</v>
      </c>
      <c r="X124" s="1540"/>
      <c r="Y124" s="1555" t="s">
        <v>198</v>
      </c>
      <c r="Z124" s="405"/>
      <c r="AA124" s="406"/>
      <c r="AB124" s="1556">
        <v>237.0</v>
      </c>
      <c r="AC124" s="1540"/>
      <c r="AD124" s="1555" t="s">
        <v>198</v>
      </c>
      <c r="AE124" s="405"/>
      <c r="AF124" s="406"/>
      <c r="AG124" s="1556">
        <v>217.0</v>
      </c>
      <c r="AH124" s="1541"/>
      <c r="AI124" s="6192"/>
    </row>
    <row r="125" ht="15.0" customHeight="1">
      <c r="A125" s="6185"/>
      <c r="B125" s="1565"/>
      <c r="C125" s="1566"/>
      <c r="D125" s="1567"/>
      <c r="E125" s="1568"/>
      <c r="F125" s="1568"/>
      <c r="G125" s="1568"/>
      <c r="H125" s="1568"/>
      <c r="I125" s="1567"/>
      <c r="J125" s="1568"/>
      <c r="K125" s="1568"/>
      <c r="L125" s="1568"/>
      <c r="M125" s="1568"/>
      <c r="N125" s="1567"/>
      <c r="O125" s="1568"/>
      <c r="P125" s="1568"/>
      <c r="Q125" s="1568"/>
      <c r="R125" s="1568"/>
      <c r="S125" s="1568"/>
      <c r="T125" s="1568"/>
      <c r="U125" s="1568"/>
      <c r="V125" s="1568"/>
      <c r="W125" s="1568"/>
      <c r="X125" s="1568"/>
      <c r="Y125" s="1568"/>
      <c r="Z125" s="1568"/>
      <c r="AA125" s="1568"/>
      <c r="AB125" s="1568"/>
      <c r="AC125" s="1568"/>
      <c r="AD125" s="1568"/>
      <c r="AE125" s="1568"/>
      <c r="AF125" s="1568"/>
      <c r="AG125" s="1568"/>
      <c r="AH125" s="1569"/>
      <c r="AI125" s="6192"/>
    </row>
    <row r="126" ht="15.0" customHeight="1">
      <c r="A126" s="6185"/>
      <c r="B126" s="5190"/>
      <c r="C126" s="5191"/>
      <c r="D126" s="5191"/>
      <c r="E126" s="5191"/>
      <c r="F126" s="5191"/>
      <c r="G126" s="5191"/>
      <c r="H126" s="5191"/>
      <c r="I126" s="5191"/>
      <c r="J126" s="5191"/>
      <c r="K126" s="5191"/>
      <c r="L126" s="5191"/>
      <c r="M126" s="5191"/>
      <c r="N126" s="5191"/>
      <c r="O126" s="5191"/>
      <c r="P126" s="5191"/>
      <c r="Q126" s="5191"/>
      <c r="R126" s="5191"/>
      <c r="S126" s="5191"/>
      <c r="T126" s="5191"/>
      <c r="U126" s="5191"/>
      <c r="V126" s="5191"/>
      <c r="W126" s="5191"/>
      <c r="X126" s="5191"/>
      <c r="Y126" s="5191"/>
      <c r="Z126" s="5191"/>
      <c r="AA126" s="5191"/>
      <c r="AB126" s="5191"/>
      <c r="AC126" s="5191"/>
      <c r="AD126" s="5191"/>
      <c r="AE126" s="5191"/>
      <c r="AF126" s="5191"/>
      <c r="AG126" s="5191"/>
      <c r="AH126" s="5192"/>
      <c r="AI126" s="6192"/>
    </row>
    <row r="127" ht="18.75" customHeight="1">
      <c r="A127" s="6185"/>
      <c r="B127" s="5190"/>
      <c r="C127" s="5191"/>
      <c r="D127" s="5191"/>
      <c r="E127" s="6285" t="s">
        <v>1550</v>
      </c>
      <c r="AG127" s="6286"/>
      <c r="AH127" s="5192"/>
      <c r="AI127" s="6192"/>
    </row>
    <row r="128" ht="96.75" customHeight="1">
      <c r="A128" s="6185"/>
      <c r="B128" s="5193"/>
      <c r="C128" s="5194" t="str">
        <f>IMAGE("https://i.ibb.co/TTVpygz/Kid.png")</f>
        <v/>
      </c>
      <c r="D128" s="6287"/>
      <c r="E128" s="5196" t="str">
        <f t="array" ref="E128">IFERROR(VLOOKUP(E129,Dex!$B$3:$G1218,3,FALSE),"")</f>
        <v/>
      </c>
      <c r="F128" s="1830"/>
      <c r="G128" s="1830"/>
      <c r="H128" s="1831"/>
      <c r="I128" s="6288"/>
      <c r="J128" s="5196" t="str">
        <f t="array" ref="J128">IFERROR(VLOOKUP(J129,Dex!$B$3:$G1218,3,FALSE),"")</f>
        <v/>
      </c>
      <c r="K128" s="1830"/>
      <c r="L128" s="1830"/>
      <c r="M128" s="1831"/>
      <c r="N128" s="6288"/>
      <c r="O128" s="5196" t="str">
        <f t="array" ref="O128">IFERROR(VLOOKUP(O129,Dex!$B$3:$G1218,3,FALSE),"")</f>
        <v/>
      </c>
      <c r="P128" s="1830"/>
      <c r="Q128" s="1830"/>
      <c r="R128" s="1831"/>
      <c r="S128" s="6288"/>
      <c r="T128" s="5196" t="str">
        <f t="array" ref="T128">IFERROR(VLOOKUP(T129,Dex!$B$3:$G1218,3,FALSE),"")</f>
        <v/>
      </c>
      <c r="U128" s="1830"/>
      <c r="V128" s="1830"/>
      <c r="W128" s="1831"/>
      <c r="X128" s="6288"/>
      <c r="Y128" s="5196" t="str">
        <f t="array" ref="Y128">IFERROR(VLOOKUP(Y129,Dex!$B$3:$G1218,3,FALSE),"")</f>
        <v/>
      </c>
      <c r="Z128" s="1830"/>
      <c r="AA128" s="1830"/>
      <c r="AB128" s="1831"/>
      <c r="AC128" s="6288"/>
      <c r="AD128" s="5196" t="str">
        <f t="array" ref="AD128">IFERROR(VLOOKUP(AD129,Dex!$B$3:$G1218,3,FALSE),"")</f>
        <v/>
      </c>
      <c r="AE128" s="1830"/>
      <c r="AF128" s="1830"/>
      <c r="AG128" s="1831"/>
      <c r="AH128" s="6289"/>
      <c r="AI128" s="6192"/>
    </row>
    <row r="129" ht="18.75" customHeight="1">
      <c r="A129" s="6185"/>
      <c r="B129" s="5193"/>
      <c r="C129" s="5199" t="s">
        <v>1551</v>
      </c>
      <c r="D129" s="6290"/>
      <c r="E129" s="5201" t="s">
        <v>1552</v>
      </c>
      <c r="F129" s="5202"/>
      <c r="G129" s="5202"/>
      <c r="H129" s="5203"/>
      <c r="J129" s="5201" t="s">
        <v>1329</v>
      </c>
      <c r="K129" s="5202"/>
      <c r="L129" s="5202"/>
      <c r="M129" s="5203"/>
      <c r="O129" s="5201" t="s">
        <v>1553</v>
      </c>
      <c r="P129" s="5202"/>
      <c r="Q129" s="5202"/>
      <c r="R129" s="5203"/>
      <c r="T129" s="5201" t="s">
        <v>1554</v>
      </c>
      <c r="U129" s="5202"/>
      <c r="V129" s="5202"/>
      <c r="W129" s="5203"/>
      <c r="Y129" s="5201" t="s">
        <v>1555</v>
      </c>
      <c r="Z129" s="5202"/>
      <c r="AA129" s="5202"/>
      <c r="AB129" s="5203"/>
      <c r="AD129" s="5201" t="s">
        <v>1543</v>
      </c>
      <c r="AE129" s="5202"/>
      <c r="AF129" s="5202"/>
      <c r="AG129" s="5203"/>
      <c r="AH129" s="6289"/>
      <c r="AI129" s="6192"/>
    </row>
    <row r="130">
      <c r="A130" s="6185"/>
      <c r="B130" s="5193"/>
      <c r="C130" s="1481"/>
      <c r="D130" s="6290"/>
      <c r="E130" s="5205" t="s">
        <v>1502</v>
      </c>
      <c r="F130" s="5206"/>
      <c r="G130" s="5206"/>
      <c r="H130" s="5207"/>
      <c r="J130" s="5205" t="s">
        <v>1502</v>
      </c>
      <c r="K130" s="5206"/>
      <c r="L130" s="5206"/>
      <c r="M130" s="5207"/>
      <c r="O130" s="5205" t="s">
        <v>1502</v>
      </c>
      <c r="P130" s="5206"/>
      <c r="Q130" s="5206"/>
      <c r="R130" s="5207"/>
      <c r="T130" s="5205" t="s">
        <v>1502</v>
      </c>
      <c r="U130" s="5206"/>
      <c r="V130" s="5206"/>
      <c r="W130" s="5207"/>
      <c r="Y130" s="5205" t="s">
        <v>1502</v>
      </c>
      <c r="Z130" s="5206"/>
      <c r="AA130" s="5206"/>
      <c r="AB130" s="5207"/>
      <c r="AD130" s="5205" t="s">
        <v>1502</v>
      </c>
      <c r="AE130" s="5206"/>
      <c r="AF130" s="5206"/>
      <c r="AG130" s="5207"/>
      <c r="AH130" s="6289"/>
      <c r="AI130" s="6192"/>
    </row>
    <row r="131" ht="25.5" customHeight="1">
      <c r="A131" s="6185"/>
      <c r="B131" s="5193"/>
      <c r="C131" s="1489"/>
      <c r="D131" s="5208"/>
      <c r="E131" s="5209"/>
      <c r="F131" s="5210" t="str">
        <f t="array" ref="F131">IFERROR(VLOOKUP(E129,Dex!$B$3:$H1218,5,FALSE),"")</f>
        <v/>
      </c>
      <c r="G131" s="5211" t="str">
        <f t="array" ref="G131">IFERROR(VLOOKUP(E129,Dex!$B$3:$H1218,7,FALSE),"")</f>
        <v/>
      </c>
      <c r="H131" s="5212"/>
      <c r="J131" s="5209"/>
      <c r="K131" s="5210" t="str">
        <f t="array" ref="K131">IFERROR(VLOOKUP(J129,Dex!$B$3:$H1218,5,FALSE),"")</f>
        <v/>
      </c>
      <c r="L131" s="5211" t="str">
        <f t="array" ref="L131">IFERROR(VLOOKUP(J129,Dex!$B$3:$H1218,7,FALSE),"")</f>
        <v/>
      </c>
      <c r="M131" s="5212"/>
      <c r="O131" s="5209"/>
      <c r="P131" s="5210" t="str">
        <f t="array" ref="P131">IFERROR(VLOOKUP(O129,Dex!$B$3:$H1218,5,FALSE),"")</f>
        <v/>
      </c>
      <c r="Q131" s="5211" t="str">
        <f t="array" ref="Q131">IFERROR(VLOOKUP(O129,Dex!$B$3:$H1218,7,FALSE),"")</f>
        <v/>
      </c>
      <c r="R131" s="5212"/>
      <c r="T131" s="5209"/>
      <c r="U131" s="5210" t="str">
        <f t="array" ref="U131">IFERROR(VLOOKUP(T129,Dex!$B$3:$H1218,5,FALSE),"")</f>
        <v/>
      </c>
      <c r="V131" s="5211" t="str">
        <f t="array" ref="V131">IFERROR(VLOOKUP(T129,Dex!$B$3:$H1218,7,FALSE),"")</f>
        <v/>
      </c>
      <c r="W131" s="5212"/>
      <c r="Y131" s="5209"/>
      <c r="Z131" s="5210" t="str">
        <f t="array" ref="Z131">IFERROR(VLOOKUP(Y129,Dex!$B$3:$H1218,5,FALSE),"")</f>
        <v/>
      </c>
      <c r="AA131" s="5211" t="str">
        <f t="array" ref="AA131">IFERROR(VLOOKUP(Y129,Dex!$B$3:$H1218,7,FALSE),"")</f>
        <v/>
      </c>
      <c r="AB131" s="5212"/>
      <c r="AD131" s="5209"/>
      <c r="AE131" s="5210" t="str">
        <f t="array" ref="AE131">IFERROR(VLOOKUP(AD129,Dex!$B$3:$H1218,5,FALSE),"")</f>
        <v/>
      </c>
      <c r="AF131" s="5211" t="str">
        <f t="array" ref="AF131">IFERROR(VLOOKUP(AD129,Dex!$B$3:$H1218,7,FALSE),"")</f>
        <v/>
      </c>
      <c r="AG131" s="5212"/>
      <c r="AH131" s="5198"/>
      <c r="AI131" s="6192"/>
    </row>
    <row r="132" ht="2.25" customHeight="1">
      <c r="A132" s="6185"/>
      <c r="B132" s="5193"/>
      <c r="C132" s="5215"/>
      <c r="D132" s="5208"/>
      <c r="E132" s="5216"/>
      <c r="F132" s="5217"/>
      <c r="G132" s="5217"/>
      <c r="H132" s="5218"/>
      <c r="J132" s="5216"/>
      <c r="K132" s="5217"/>
      <c r="L132" s="5217"/>
      <c r="M132" s="5218"/>
      <c r="O132" s="5216"/>
      <c r="P132" s="5217"/>
      <c r="Q132" s="5217"/>
      <c r="R132" s="5218"/>
      <c r="T132" s="5216"/>
      <c r="U132" s="5217"/>
      <c r="V132" s="5217"/>
      <c r="W132" s="5218"/>
      <c r="Y132" s="5216"/>
      <c r="Z132" s="5217"/>
      <c r="AA132" s="5217"/>
      <c r="AB132" s="5218"/>
      <c r="AD132" s="5216"/>
      <c r="AE132" s="5217"/>
      <c r="AF132" s="5217"/>
      <c r="AG132" s="5218"/>
      <c r="AH132" s="5198"/>
      <c r="AI132" s="6192"/>
    </row>
    <row r="133" ht="20.25" customHeight="1">
      <c r="A133" s="6185"/>
      <c r="B133" s="5193"/>
      <c r="C133" s="5215"/>
      <c r="D133" s="6291"/>
      <c r="E133" s="5219" t="s">
        <v>231</v>
      </c>
      <c r="F133" s="5220"/>
      <c r="G133" s="5220"/>
      <c r="H133" s="5221"/>
      <c r="J133" s="5219" t="s">
        <v>172</v>
      </c>
      <c r="K133" s="5220"/>
      <c r="L133" s="5220"/>
      <c r="M133" s="5221"/>
      <c r="O133" s="5219" t="s">
        <v>169</v>
      </c>
      <c r="P133" s="5220"/>
      <c r="Q133" s="5220"/>
      <c r="R133" s="5221"/>
      <c r="T133" s="5219" t="s">
        <v>205</v>
      </c>
      <c r="U133" s="5220"/>
      <c r="V133" s="5220"/>
      <c r="W133" s="5221"/>
      <c r="Y133" s="5219" t="s">
        <v>205</v>
      </c>
      <c r="Z133" s="5220"/>
      <c r="AA133" s="5220"/>
      <c r="AB133" s="5221"/>
      <c r="AD133" s="5219" t="s">
        <v>205</v>
      </c>
      <c r="AE133" s="5220"/>
      <c r="AF133" s="5220"/>
      <c r="AG133" s="5221"/>
      <c r="AH133" s="6289"/>
      <c r="AI133" s="6192"/>
    </row>
    <row r="134">
      <c r="A134" s="6185"/>
      <c r="B134" s="5193"/>
      <c r="C134" s="5222"/>
      <c r="D134" s="6291"/>
      <c r="E134" s="5223" t="s">
        <v>391</v>
      </c>
      <c r="F134" s="5224"/>
      <c r="G134" s="5224"/>
      <c r="H134" s="5225"/>
      <c r="J134" s="5223" t="s">
        <v>1556</v>
      </c>
      <c r="K134" s="5224"/>
      <c r="L134" s="5224"/>
      <c r="M134" s="5225"/>
      <c r="O134" s="5223" t="s">
        <v>1557</v>
      </c>
      <c r="P134" s="5224"/>
      <c r="Q134" s="5224"/>
      <c r="R134" s="5225"/>
      <c r="T134" s="5223" t="s">
        <v>330</v>
      </c>
      <c r="U134" s="5224"/>
      <c r="V134" s="5224"/>
      <c r="W134" s="5225"/>
      <c r="Y134" s="5223" t="s">
        <v>808</v>
      </c>
      <c r="Z134" s="5224"/>
      <c r="AA134" s="5224"/>
      <c r="AB134" s="5225"/>
      <c r="AD134" s="5223" t="s">
        <v>552</v>
      </c>
      <c r="AE134" s="5224"/>
      <c r="AF134" s="5224"/>
      <c r="AG134" s="5225"/>
      <c r="AH134" s="6289"/>
      <c r="AI134" s="6192"/>
    </row>
    <row r="135" ht="20.25" customHeight="1">
      <c r="A135" s="6185"/>
      <c r="B135" s="5193"/>
      <c r="C135" s="5204"/>
      <c r="D135" s="6291"/>
      <c r="E135" s="5226" t="s">
        <v>213</v>
      </c>
      <c r="F135" s="5227"/>
      <c r="G135" s="5228"/>
      <c r="H135" s="5229" t="str">
        <f>IMAGE("https://raw.githubusercontent.com/msikma/pokesprite/master/items/berry/sitrus.png",3)</f>
        <v/>
      </c>
      <c r="J135" s="5226" t="s">
        <v>1336</v>
      </c>
      <c r="K135" s="5227"/>
      <c r="L135" s="5228"/>
      <c r="M135" s="5229" t="str">
        <f>IMAGE("https://raw.githubusercontent.com/msikma/pokesprite/master/items/mega-stone/swampertite.png",3)</f>
        <v/>
      </c>
      <c r="O135" s="5226" t="s">
        <v>1558</v>
      </c>
      <c r="P135" s="5227"/>
      <c r="Q135" s="5228"/>
      <c r="R135" s="5229" t="str">
        <f>IMAGE("https://raw.githubusercontent.com/msikma/pokesprite/master/items/z-crystals/solganium-z--held.png",3)</f>
        <v/>
      </c>
      <c r="T135" s="5226" t="s">
        <v>272</v>
      </c>
      <c r="U135" s="5227"/>
      <c r="V135" s="5228"/>
      <c r="W135" s="5229" t="str">
        <f>IMAGE("https://raw.githubusercontent.com/msikma/pokesprite/master/items/hold-item/life-orb.png",3)</f>
        <v/>
      </c>
      <c r="Y135" s="5226" t="s">
        <v>1559</v>
      </c>
      <c r="Z135" s="5227"/>
      <c r="AA135" s="5228"/>
      <c r="AB135" s="5229" t="str">
        <f>IMAGE("https://raw.githubusercontent.com/msikma/pokesprite/master/items/hold-item/lustrous-orb.png",3)</f>
        <v/>
      </c>
      <c r="AD135" s="5226" t="s">
        <v>334</v>
      </c>
      <c r="AE135" s="5227"/>
      <c r="AF135" s="5228"/>
      <c r="AG135" s="5229" t="str">
        <f>IMAGE("https://raw.githubusercontent.com/msikma/pokesprite/master/items/hold-item/choice-specs.png",3)</f>
        <v/>
      </c>
      <c r="AH135" s="5198"/>
      <c r="AI135" s="6192"/>
    </row>
    <row r="136" ht="20.25" customHeight="1">
      <c r="A136" s="6185"/>
      <c r="B136" s="5193"/>
      <c r="C136" s="5230"/>
      <c r="D136" s="6291"/>
      <c r="E136" s="5219" t="s">
        <v>1560</v>
      </c>
      <c r="F136" s="5220"/>
      <c r="G136" s="5231"/>
      <c r="H136" s="5232" t="str">
        <f>IMAGE("https://raw.githubusercontent.com/msikma/pokesprite/master/misc/types/gen8/normal.png",4,20,20)</f>
        <v/>
      </c>
      <c r="J136" s="5219" t="s">
        <v>282</v>
      </c>
      <c r="K136" s="5220"/>
      <c r="L136" s="5231"/>
      <c r="M136" s="5232" t="str">
        <f>IMAGE("https://raw.githubusercontent.com/msikma/pokesprite/master/misc/types/gen8/ground.png",4,20,20)</f>
        <v/>
      </c>
      <c r="O136" s="5219" t="s">
        <v>1561</v>
      </c>
      <c r="P136" s="5220"/>
      <c r="Q136" s="5231"/>
      <c r="R136" s="5232" t="str">
        <f>IMAGE("https://raw.githubusercontent.com/msikma/pokesprite/master/misc/types/gen8/steel.png",4,20,20)</f>
        <v/>
      </c>
      <c r="T136" s="5219" t="s">
        <v>340</v>
      </c>
      <c r="U136" s="5220"/>
      <c r="V136" s="5231"/>
      <c r="W136" s="5232" t="str">
        <f>IMAGE("https://raw.githubusercontent.com/msikma/pokesprite/master/misc/types/gen8/water.png",4,20,20)</f>
        <v/>
      </c>
      <c r="Y136" s="5219" t="s">
        <v>338</v>
      </c>
      <c r="Z136" s="5220"/>
      <c r="AA136" s="5231"/>
      <c r="AB136" s="5232" t="str">
        <f>IMAGE("https://raw.githubusercontent.com/msikma/pokesprite/master/misc/types/gen8/water.png",4,20,20)</f>
        <v/>
      </c>
      <c r="AD136" s="5219" t="s">
        <v>1549</v>
      </c>
      <c r="AE136" s="5220"/>
      <c r="AF136" s="5231"/>
      <c r="AG136" s="5232" t="str">
        <f>IMAGE("https://raw.githubusercontent.com/msikma/pokesprite/master/misc/types/gen8/grass.png",4,20,20)</f>
        <v/>
      </c>
      <c r="AH136" s="5198"/>
      <c r="AI136" s="6192"/>
    </row>
    <row r="137" ht="20.25" customHeight="1">
      <c r="A137" s="6185"/>
      <c r="B137" s="5193"/>
      <c r="C137" s="5215"/>
      <c r="D137" s="6291"/>
      <c r="E137" s="5223" t="s">
        <v>464</v>
      </c>
      <c r="F137" s="5224"/>
      <c r="G137" s="5233"/>
      <c r="H137" s="5234" t="str">
        <f>IMAGE("https://raw.githubusercontent.com/msikma/pokesprite/master/misc/types/gen8/fairy.png",4,20,20)</f>
        <v/>
      </c>
      <c r="J137" s="5223" t="s">
        <v>215</v>
      </c>
      <c r="K137" s="5224"/>
      <c r="L137" s="5233"/>
      <c r="M137" s="5234" t="str">
        <f>IMAGE("https://raw.githubusercontent.com/msikma/pokesprite/master/misc/types/gen8/ice.png",4,20,20)</f>
        <v/>
      </c>
      <c r="O137" s="5223" t="s">
        <v>396</v>
      </c>
      <c r="P137" s="5224"/>
      <c r="Q137" s="5233"/>
      <c r="R137" s="5234" t="str">
        <f>IMAGE("https://raw.githubusercontent.com/msikma/pokesprite/master/misc/types/gen8/dragon.png",4,20,20)</f>
        <v/>
      </c>
      <c r="T137" s="5223" t="s">
        <v>345</v>
      </c>
      <c r="U137" s="5224"/>
      <c r="V137" s="5233"/>
      <c r="W137" s="5234" t="str">
        <f>IMAGE("https://raw.githubusercontent.com/msikma/pokesprite/master/misc/types/gen8/dark.png",4,20,20)</f>
        <v/>
      </c>
      <c r="Y137" s="5223" t="s">
        <v>1562</v>
      </c>
      <c r="Z137" s="5224"/>
      <c r="AA137" s="5233"/>
      <c r="AB137" s="5234" t="str">
        <f>IMAGE("https://raw.githubusercontent.com/msikma/pokesprite/master/misc/types/gen8/dragon.png",4,20,20)</f>
        <v/>
      </c>
      <c r="AD137" s="5223" t="s">
        <v>461</v>
      </c>
      <c r="AE137" s="5224"/>
      <c r="AF137" s="5233"/>
      <c r="AG137" s="5234" t="str">
        <f>IMAGE("https://raw.githubusercontent.com/msikma/pokesprite/master/misc/types/gen8/flying.png",4,20,20)</f>
        <v/>
      </c>
      <c r="AH137" s="5198"/>
      <c r="AI137" s="6192"/>
    </row>
    <row r="138" ht="20.25" customHeight="1">
      <c r="A138" s="6185"/>
      <c r="B138" s="5193"/>
      <c r="C138" s="5215"/>
      <c r="D138" s="6291"/>
      <c r="E138" s="5223" t="s">
        <v>404</v>
      </c>
      <c r="F138" s="5224"/>
      <c r="G138" s="5233"/>
      <c r="H138" s="5234" t="str">
        <f>IMAGE("https://raw.githubusercontent.com/msikma/pokesprite/master/misc/types/gen8/steel.png",4,20,20)</f>
        <v/>
      </c>
      <c r="J138" s="5223" t="s">
        <v>459</v>
      </c>
      <c r="K138" s="5224"/>
      <c r="L138" s="5233"/>
      <c r="M138" s="5234" t="str">
        <f t="shared" ref="M138:M139" si="7">IMAGE("https://raw.githubusercontent.com/msikma/pokesprite/master/misc/types/gen8/water.png",4,20,20)</f>
        <v/>
      </c>
      <c r="O138" s="5223" t="s">
        <v>399</v>
      </c>
      <c r="P138" s="5224"/>
      <c r="Q138" s="5233"/>
      <c r="R138" s="5234" t="str">
        <f>IMAGE("https://raw.githubusercontent.com/msikma/pokesprite/master/misc/types/gen8/rock.png",4,20,20)</f>
        <v/>
      </c>
      <c r="T138" s="5223" t="s">
        <v>317</v>
      </c>
      <c r="U138" s="5224"/>
      <c r="V138" s="5233"/>
      <c r="W138" s="5234" t="str">
        <f>IMAGE("https://raw.githubusercontent.com/msikma/pokesprite/master/misc/types/gen8/ice.png",4,20,20)</f>
        <v/>
      </c>
      <c r="Y138" s="5223" t="s">
        <v>539</v>
      </c>
      <c r="Z138" s="5224"/>
      <c r="AA138" s="5233"/>
      <c r="AB138" s="5234" t="str">
        <f>IMAGE("https://raw.githubusercontent.com/msikma/pokesprite/master/misc/types/gen8/electric.png",4,20,20)</f>
        <v/>
      </c>
      <c r="AD138" s="5223" t="s">
        <v>286</v>
      </c>
      <c r="AE138" s="5224"/>
      <c r="AF138" s="5233"/>
      <c r="AG138" s="5234" t="str">
        <f>IMAGE("https://raw.githubusercontent.com/msikma/pokesprite/master/misc/types/gen8/ground.png",4,20,20)</f>
        <v/>
      </c>
      <c r="AH138" s="5198"/>
      <c r="AI138" s="6192"/>
    </row>
    <row r="139" ht="21.0" customHeight="1">
      <c r="A139" s="6185"/>
      <c r="B139" s="5193"/>
      <c r="C139" s="5215"/>
      <c r="D139" s="6291"/>
      <c r="E139" s="5235" t="s">
        <v>187</v>
      </c>
      <c r="F139" s="5236"/>
      <c r="G139" s="5237"/>
      <c r="H139" s="5238" t="str">
        <f>IMAGE("https://raw.githubusercontent.com/msikma/pokesprite/master/misc/types/gen8/normal.png",4,20,20)</f>
        <v/>
      </c>
      <c r="I139" s="6292"/>
      <c r="J139" s="5235" t="s">
        <v>219</v>
      </c>
      <c r="K139" s="5236"/>
      <c r="L139" s="5237"/>
      <c r="M139" s="5238" t="str">
        <f t="shared" si="7"/>
        <v/>
      </c>
      <c r="N139" s="6292"/>
      <c r="O139" s="5235" t="s">
        <v>863</v>
      </c>
      <c r="P139" s="5236"/>
      <c r="Q139" s="5237"/>
      <c r="R139" s="5238" t="str">
        <f>IMAGE("https://raw.githubusercontent.com/msikma/pokesprite/master/misc/types/gen8/psychic.png",4,20,20)</f>
        <v/>
      </c>
      <c r="S139" s="6292"/>
      <c r="T139" s="5235" t="s">
        <v>338</v>
      </c>
      <c r="U139" s="5236"/>
      <c r="V139" s="5237"/>
      <c r="W139" s="5238" t="str">
        <f>IMAGE("https://raw.githubusercontent.com/msikma/pokesprite/master/misc/types/gen8/water.png",4,20,20)</f>
        <v/>
      </c>
      <c r="X139" s="6292"/>
      <c r="Y139" s="5235" t="s">
        <v>375</v>
      </c>
      <c r="Z139" s="5236"/>
      <c r="AA139" s="5237"/>
      <c r="AB139" s="5238" t="str">
        <f>IMAGE("https://raw.githubusercontent.com/msikma/pokesprite/master/misc/types/gen8/fighting.png",4,20,20)</f>
        <v/>
      </c>
      <c r="AC139" s="6292"/>
      <c r="AD139" s="5235" t="s">
        <v>1563</v>
      </c>
      <c r="AE139" s="5236"/>
      <c r="AF139" s="5237"/>
      <c r="AG139" s="5238" t="str">
        <f>IMAGE("https://raw.githubusercontent.com/msikma/pokesprite/master/misc/types/gen8/dragon.png",4,20,20)</f>
        <v/>
      </c>
      <c r="AH139" s="5198"/>
      <c r="AI139" s="6192"/>
    </row>
    <row r="140" ht="3.0" customHeight="1">
      <c r="A140" s="6185"/>
      <c r="B140" s="5240"/>
      <c r="C140" s="5241"/>
      <c r="D140" s="5242"/>
      <c r="E140" s="6293"/>
      <c r="F140" s="6293"/>
      <c r="G140" s="6293"/>
      <c r="H140" s="5243"/>
      <c r="I140" s="5242"/>
      <c r="J140" s="6294"/>
      <c r="K140" s="6294"/>
      <c r="L140" s="6294"/>
      <c r="M140" s="5243"/>
      <c r="N140" s="5242"/>
      <c r="O140" s="6293"/>
      <c r="P140" s="6293"/>
      <c r="Q140" s="6293"/>
      <c r="R140" s="5243"/>
      <c r="S140" s="5243"/>
      <c r="T140" s="6293"/>
      <c r="U140" s="6293"/>
      <c r="V140" s="6293"/>
      <c r="W140" s="5243"/>
      <c r="X140" s="5242"/>
      <c r="Y140" s="6293"/>
      <c r="Z140" s="6293"/>
      <c r="AA140" s="6293"/>
      <c r="AB140" s="6293"/>
      <c r="AC140" s="5245"/>
      <c r="AD140" s="6293"/>
      <c r="AE140" s="6293"/>
      <c r="AF140" s="6293"/>
      <c r="AG140" s="5243"/>
      <c r="AH140" s="5246"/>
      <c r="AI140" s="6192"/>
    </row>
    <row r="141" ht="16.5" customHeight="1">
      <c r="A141" s="6185"/>
      <c r="B141" s="5247"/>
      <c r="C141" s="5241"/>
      <c r="D141" s="5248"/>
      <c r="E141" s="5249" t="s">
        <v>190</v>
      </c>
      <c r="F141" s="381"/>
      <c r="G141" s="382"/>
      <c r="H141" s="5250" t="s">
        <v>191</v>
      </c>
      <c r="I141" s="5251"/>
      <c r="J141" s="5249" t="s">
        <v>190</v>
      </c>
      <c r="K141" s="381"/>
      <c r="L141" s="382"/>
      <c r="M141" s="5250" t="s">
        <v>191</v>
      </c>
      <c r="N141" s="5248"/>
      <c r="O141" s="5249" t="s">
        <v>190</v>
      </c>
      <c r="P141" s="381"/>
      <c r="Q141" s="382"/>
      <c r="R141" s="5250" t="s">
        <v>191</v>
      </c>
      <c r="S141" s="5242"/>
      <c r="T141" s="5249" t="s">
        <v>190</v>
      </c>
      <c r="U141" s="381"/>
      <c r="V141" s="382"/>
      <c r="W141" s="5250" t="s">
        <v>191</v>
      </c>
      <c r="X141" s="5252"/>
      <c r="Y141" s="5249" t="s">
        <v>190</v>
      </c>
      <c r="Z141" s="381"/>
      <c r="AA141" s="382"/>
      <c r="AB141" s="5250" t="s">
        <v>191</v>
      </c>
      <c r="AC141" s="5252"/>
      <c r="AD141" s="5249" t="s">
        <v>190</v>
      </c>
      <c r="AE141" s="381"/>
      <c r="AF141" s="382"/>
      <c r="AG141" s="5250" t="s">
        <v>191</v>
      </c>
      <c r="AH141" s="5253"/>
      <c r="AI141" s="6192"/>
    </row>
    <row r="142" ht="16.5" customHeight="1">
      <c r="A142" s="6185"/>
      <c r="B142" s="5247"/>
      <c r="C142" s="5241"/>
      <c r="D142" s="5248"/>
      <c r="E142" s="5254" t="s">
        <v>192</v>
      </c>
      <c r="F142" s="5255">
        <f t="array" ref="F142">IFERROR(VLOOKUP(E129,Dex!$B$3:$N1218,8,FALSE),"")</f>
        <v>80</v>
      </c>
      <c r="G142" s="5256" t="str">
        <f t="array" ref="G142">IFERROR(VLOOKUP(F142,Dex!$P$22:$Q$276,2,FALSE),"")</f>
        <v/>
      </c>
      <c r="H142" s="5257">
        <v>252.0</v>
      </c>
      <c r="I142" s="5258"/>
      <c r="J142" s="5254" t="s">
        <v>192</v>
      </c>
      <c r="K142" s="5255">
        <f t="array" ref="K142">IFERROR(VLOOKUP(J129,Dex!$B$3:$N1218,8,FALSE),"")</f>
        <v>100</v>
      </c>
      <c r="L142" s="5256" t="str">
        <f t="array" ref="L142">IFERROR(VLOOKUP(K142,Dex!$P$22:$Q$276,2,FALSE),"")</f>
        <v/>
      </c>
      <c r="M142" s="5257"/>
      <c r="N142" s="5248"/>
      <c r="O142" s="5254" t="s">
        <v>192</v>
      </c>
      <c r="P142" s="5255">
        <f t="array" ref="P142">IFERROR(VLOOKUP(O129,Dex!$B$3:$N1218,8,FALSE),"")</f>
        <v>97</v>
      </c>
      <c r="Q142" s="5256" t="str">
        <f t="array" ref="Q142">IFERROR(VLOOKUP(P142,Dex!$P$22:$Q$276,2,FALSE),"")</f>
        <v/>
      </c>
      <c r="R142" s="5257"/>
      <c r="S142" s="5252"/>
      <c r="T142" s="5254" t="s">
        <v>192</v>
      </c>
      <c r="U142" s="5255">
        <f t="array" ref="U142">IFERROR(VLOOKUP(T129,Dex!$B$3:$N1218,8,FALSE),"")</f>
        <v>72</v>
      </c>
      <c r="V142" s="5256" t="str">
        <f t="array" ref="V142">IFERROR(VLOOKUP(U142,Dex!$P$22:$Q$276,2,FALSE),"")</f>
        <v/>
      </c>
      <c r="W142" s="5257"/>
      <c r="X142" s="5252"/>
      <c r="Y142" s="5254" t="s">
        <v>192</v>
      </c>
      <c r="Z142" s="5255">
        <f t="array" ref="Z142">IFERROR(VLOOKUP(Y129,Dex!$B$3:$N1218,8,FALSE),"")</f>
        <v>90</v>
      </c>
      <c r="AA142" s="5256" t="str">
        <f t="array" ref="AA142">IFERROR(VLOOKUP(Z142,Dex!$P$22:$Q$276,2,FALSE),"")</f>
        <v/>
      </c>
      <c r="AB142" s="5257"/>
      <c r="AC142" s="5252"/>
      <c r="AD142" s="5254" t="s">
        <v>192</v>
      </c>
      <c r="AE142" s="5255">
        <f t="array" ref="AE142">IFERROR(VLOOKUP(AD129,Dex!$B$3:$N1218,8,FALSE),"")</f>
        <v>100</v>
      </c>
      <c r="AF142" s="5256" t="str">
        <f t="array" ref="AF142">IFERROR(VLOOKUP(AE142,Dex!$P$22:$Q$276,2,FALSE),"")</f>
        <v/>
      </c>
      <c r="AG142" s="5257"/>
      <c r="AH142" s="5253"/>
      <c r="AI142" s="6192"/>
    </row>
    <row r="143" ht="16.5" customHeight="1">
      <c r="A143" s="6185"/>
      <c r="B143" s="5247"/>
      <c r="C143" s="5241"/>
      <c r="D143" s="5248"/>
      <c r="E143" s="5259" t="s">
        <v>193</v>
      </c>
      <c r="F143" s="5260">
        <f t="array" ref="F143">IFERROR(VLOOKUP(E129,Dex!$B$3:$N1218,9,FALSE),"")</f>
        <v>95</v>
      </c>
      <c r="G143" s="5261" t="str">
        <f t="array" ref="G143">IFERROR(VLOOKUP(F143,Dex!$P$22:$Q$276,2,FALSE),"")</f>
        <v/>
      </c>
      <c r="H143" s="5262"/>
      <c r="I143" s="5258"/>
      <c r="J143" s="5259" t="s">
        <v>193</v>
      </c>
      <c r="K143" s="5260">
        <f t="array" ref="K143">IFERROR(VLOOKUP(J129,Dex!$B$3:$N1218,9,FALSE),"")</f>
        <v>150</v>
      </c>
      <c r="L143" s="5261" t="str">
        <f t="array" ref="L143">IFERROR(VLOOKUP(K143,Dex!$P$22:$Q$276,2,FALSE),"")</f>
        <v/>
      </c>
      <c r="M143" s="5262">
        <v>252.0</v>
      </c>
      <c r="N143" s="5248"/>
      <c r="O143" s="5259" t="s">
        <v>193</v>
      </c>
      <c r="P143" s="5260">
        <f t="array" ref="P143">IFERROR(VLOOKUP(O129,Dex!$B$3:$N1218,9,FALSE),"")</f>
        <v>157</v>
      </c>
      <c r="Q143" s="5261" t="str">
        <f t="array" ref="Q143">IFERROR(VLOOKUP(P143,Dex!$P$22:$Q$276,2,FALSE),"")</f>
        <v/>
      </c>
      <c r="R143" s="5262">
        <v>252.0</v>
      </c>
      <c r="S143" s="5252"/>
      <c r="T143" s="5259" t="s">
        <v>193</v>
      </c>
      <c r="U143" s="5260">
        <f t="array" ref="U143">IFERROR(VLOOKUP(T129,Dex!$B$3:$N1218,9,FALSE),"")</f>
        <v>145</v>
      </c>
      <c r="V143" s="5261" t="str">
        <f t="array" ref="V143">IFERROR(VLOOKUP(U143,Dex!$P$22:$Q$276,2,FALSE),"")</f>
        <v/>
      </c>
      <c r="W143" s="5262"/>
      <c r="X143" s="5252"/>
      <c r="Y143" s="5259" t="s">
        <v>193</v>
      </c>
      <c r="Z143" s="5260">
        <f t="array" ref="Z143">IFERROR(VLOOKUP(Y129,Dex!$B$3:$N1218,9,FALSE),"")</f>
        <v>100</v>
      </c>
      <c r="AA143" s="5261" t="str">
        <f t="array" ref="AA143">IFERROR(VLOOKUP(Z143,Dex!$P$22:$Q$276,2,FALSE),"")</f>
        <v/>
      </c>
      <c r="AB143" s="5262"/>
      <c r="AC143" s="5252"/>
      <c r="AD143" s="5259" t="s">
        <v>193</v>
      </c>
      <c r="AE143" s="5260">
        <f t="array" ref="AE143">IFERROR(VLOOKUP(AD129,Dex!$B$3:$N1218,9,FALSE),"")</f>
        <v>103</v>
      </c>
      <c r="AF143" s="5261" t="str">
        <f t="array" ref="AF143">IFERROR(VLOOKUP(AE143,Dex!$P$22:$Q$276,2,FALSE),"")</f>
        <v/>
      </c>
      <c r="AG143" s="5262"/>
      <c r="AH143" s="5253"/>
      <c r="AI143" s="6192"/>
    </row>
    <row r="144" ht="16.5" customHeight="1">
      <c r="A144" s="6185"/>
      <c r="B144" s="5247"/>
      <c r="C144" s="5241"/>
      <c r="D144" s="5248"/>
      <c r="E144" s="5259" t="s">
        <v>194</v>
      </c>
      <c r="F144" s="5260">
        <f t="array" ref="F144">IFERROR(VLOOKUP(E129,Dex!$B$3:$N1218,10,FALSE),"")</f>
        <v>115</v>
      </c>
      <c r="G144" s="5261" t="str">
        <f t="array" ref="G144">IFERROR(VLOOKUP(F144,Dex!$P$22:$Q$276,2,FALSE),"")</f>
        <v/>
      </c>
      <c r="H144" s="5262"/>
      <c r="I144" s="5258"/>
      <c r="J144" s="5259" t="s">
        <v>194</v>
      </c>
      <c r="K144" s="5260">
        <f t="array" ref="K144">IFERROR(VLOOKUP(J129,Dex!$B$3:$N1218,10,FALSE),"")</f>
        <v>110</v>
      </c>
      <c r="L144" s="5261" t="str">
        <f t="array" ref="L144">IFERROR(VLOOKUP(K144,Dex!$P$22:$Q$276,2,FALSE),"")</f>
        <v/>
      </c>
      <c r="M144" s="5262">
        <v>4.0</v>
      </c>
      <c r="N144" s="5248"/>
      <c r="O144" s="5259" t="s">
        <v>194</v>
      </c>
      <c r="P144" s="5260">
        <f t="array" ref="P144">IFERROR(VLOOKUP(O129,Dex!$B$3:$N1218,10,FALSE),"")</f>
        <v>127</v>
      </c>
      <c r="Q144" s="5261" t="str">
        <f t="array" ref="Q144">IFERROR(VLOOKUP(P144,Dex!$P$22:$Q$276,2,FALSE),"")</f>
        <v/>
      </c>
      <c r="R144" s="5262">
        <v>4.0</v>
      </c>
      <c r="S144" s="5252"/>
      <c r="T144" s="5259" t="s">
        <v>194</v>
      </c>
      <c r="U144" s="5260">
        <f t="array" ref="U144">IFERROR(VLOOKUP(T129,Dex!$B$3:$N1218,10,FALSE),"")</f>
        <v>67</v>
      </c>
      <c r="V144" s="5261" t="str">
        <f t="array" ref="V144">IFERROR(VLOOKUP(U144,Dex!$P$22:$Q$276,2,FALSE),"")</f>
        <v/>
      </c>
      <c r="W144" s="5262">
        <v>4.0</v>
      </c>
      <c r="X144" s="5252"/>
      <c r="Y144" s="5259" t="s">
        <v>194</v>
      </c>
      <c r="Z144" s="5260">
        <f t="array" ref="Z144">IFERROR(VLOOKUP(Y129,Dex!$B$3:$N1218,10,FALSE),"")</f>
        <v>100</v>
      </c>
      <c r="AA144" s="5261" t="str">
        <f t="array" ref="AA144">IFERROR(VLOOKUP(Z144,Dex!$P$22:$Q$276,2,FALSE),"")</f>
        <v/>
      </c>
      <c r="AB144" s="5262">
        <v>4.0</v>
      </c>
      <c r="AC144" s="5252"/>
      <c r="AD144" s="5259" t="s">
        <v>194</v>
      </c>
      <c r="AE144" s="5260">
        <f t="array" ref="AE144">IFERROR(VLOOKUP(AD129,Dex!$B$3:$N1218,10,FALSE),"")</f>
        <v>75</v>
      </c>
      <c r="AF144" s="5261" t="str">
        <f t="array" ref="AF144">IFERROR(VLOOKUP(AE144,Dex!$P$22:$Q$276,2,FALSE),"")</f>
        <v/>
      </c>
      <c r="AG144" s="5262">
        <v>4.0</v>
      </c>
      <c r="AH144" s="5253"/>
      <c r="AI144" s="6192"/>
    </row>
    <row r="145" ht="16.5" customHeight="1">
      <c r="A145" s="6185"/>
      <c r="B145" s="5247"/>
      <c r="C145" s="5241"/>
      <c r="D145" s="5248"/>
      <c r="E145" s="5259" t="s">
        <v>195</v>
      </c>
      <c r="F145" s="5260">
        <f t="array" ref="F145">IFERROR(VLOOKUP(E129,Dex!$B$3:$N1218,11,FALSE),"")</f>
        <v>130</v>
      </c>
      <c r="G145" s="5261" t="str">
        <f t="array" ref="G145">IFERROR(VLOOKUP(F145,Dex!$P$22:$Q$276,2,FALSE),"")</f>
        <v/>
      </c>
      <c r="H145" s="5262">
        <v>252.0</v>
      </c>
      <c r="I145" s="5258"/>
      <c r="J145" s="5259" t="s">
        <v>195</v>
      </c>
      <c r="K145" s="5260">
        <f t="array" ref="K145">IFERROR(VLOOKUP(J129,Dex!$B$3:$N1218,11,FALSE),"")</f>
        <v>95</v>
      </c>
      <c r="L145" s="5261" t="str">
        <f t="array" ref="L145">IFERROR(VLOOKUP(K145,Dex!$P$22:$Q$276,2,FALSE),"")</f>
        <v/>
      </c>
      <c r="M145" s="5262"/>
      <c r="N145" s="5248"/>
      <c r="O145" s="5259" t="s">
        <v>195</v>
      </c>
      <c r="P145" s="5260">
        <f t="array" ref="P145">IFERROR(VLOOKUP(O129,Dex!$B$3:$N1218,11,FALSE),"")</f>
        <v>113</v>
      </c>
      <c r="Q145" s="5261" t="str">
        <f t="array" ref="Q145">IFERROR(VLOOKUP(P145,Dex!$P$22:$Q$276,2,FALSE),"")</f>
        <v/>
      </c>
      <c r="R145" s="5262"/>
      <c r="S145" s="5252"/>
      <c r="T145" s="5259" t="s">
        <v>195</v>
      </c>
      <c r="U145" s="5260">
        <f t="array" ref="U145">IFERROR(VLOOKUP(T129,Dex!$B$3:$N1218,11,FALSE),"")</f>
        <v>153</v>
      </c>
      <c r="V145" s="5261" t="str">
        <f t="array" ref="V145">IFERROR(VLOOKUP(U145,Dex!$P$22:$Q$276,2,FALSE),"")</f>
        <v/>
      </c>
      <c r="W145" s="5262">
        <v>252.0</v>
      </c>
      <c r="X145" s="5252"/>
      <c r="Y145" s="5259" t="s">
        <v>195</v>
      </c>
      <c r="Z145" s="5260">
        <f t="array" ref="Z145">IFERROR(VLOOKUP(Y129,Dex!$B$3:$N1218,11,FALSE),"")</f>
        <v>150</v>
      </c>
      <c r="AA145" s="5261" t="str">
        <f t="array" ref="AA145">IFERROR(VLOOKUP(Z145,Dex!$P$22:$Q$276,2,FALSE),"")</f>
        <v/>
      </c>
      <c r="AB145" s="5262">
        <v>252.0</v>
      </c>
      <c r="AC145" s="5252"/>
      <c r="AD145" s="5259" t="s">
        <v>195</v>
      </c>
      <c r="AE145" s="5260">
        <f t="array" ref="AE145">IFERROR(VLOOKUP(AD129,Dex!$B$3:$N1218,11,FALSE),"")</f>
        <v>120</v>
      </c>
      <c r="AF145" s="5261" t="str">
        <f t="array" ref="AF145">IFERROR(VLOOKUP(AE145,Dex!$P$22:$Q$276,2,FALSE),"")</f>
        <v/>
      </c>
      <c r="AG145" s="5262">
        <v>252.0</v>
      </c>
      <c r="AH145" s="5253"/>
      <c r="AI145" s="6192"/>
    </row>
    <row r="146" ht="16.5" customHeight="1">
      <c r="A146" s="6185"/>
      <c r="B146" s="5247"/>
      <c r="C146" s="5241"/>
      <c r="D146" s="5248"/>
      <c r="E146" s="5259" t="s">
        <v>196</v>
      </c>
      <c r="F146" s="5260">
        <f t="array" ref="F146">IFERROR(VLOOKUP(E129,Dex!$B$3:$N1218,12,FALSE),"")</f>
        <v>115</v>
      </c>
      <c r="G146" s="5261" t="str">
        <f t="array" ref="G146">IFERROR(VLOOKUP(F146,Dex!$P$22:$Q$276,2,FALSE),"")</f>
        <v/>
      </c>
      <c r="H146" s="5262"/>
      <c r="I146" s="5258"/>
      <c r="J146" s="5259" t="s">
        <v>196</v>
      </c>
      <c r="K146" s="5260">
        <f t="array" ref="K146">IFERROR(VLOOKUP(J129,Dex!$B$3:$N1218,12,FALSE),"")</f>
        <v>110</v>
      </c>
      <c r="L146" s="5261" t="str">
        <f t="array" ref="L146">IFERROR(VLOOKUP(K146,Dex!$P$22:$Q$276,2,FALSE),"")</f>
        <v/>
      </c>
      <c r="M146" s="5262"/>
      <c r="N146" s="5248"/>
      <c r="O146" s="5259" t="s">
        <v>196</v>
      </c>
      <c r="P146" s="5260">
        <f t="array" ref="P146">IFERROR(VLOOKUP(O129,Dex!$B$3:$N1218,12,FALSE),"")</f>
        <v>109</v>
      </c>
      <c r="Q146" s="5261" t="str">
        <f t="array" ref="Q146">IFERROR(VLOOKUP(P146,Dex!$P$22:$Q$276,2,FALSE),"")</f>
        <v/>
      </c>
      <c r="R146" s="5262"/>
      <c r="S146" s="5252"/>
      <c r="T146" s="5259" t="s">
        <v>196</v>
      </c>
      <c r="U146" s="5260">
        <f t="array" ref="U146">IFERROR(VLOOKUP(T129,Dex!$B$3:$N1218,12,FALSE),"")</f>
        <v>71</v>
      </c>
      <c r="V146" s="5261" t="str">
        <f t="array" ref="V146">IFERROR(VLOOKUP(U146,Dex!$P$22:$Q$276,2,FALSE),"")</f>
        <v/>
      </c>
      <c r="W146" s="5262"/>
      <c r="X146" s="5252"/>
      <c r="Y146" s="5259" t="s">
        <v>196</v>
      </c>
      <c r="Z146" s="5260">
        <f t="array" ref="Z146">IFERROR(VLOOKUP(Y129,Dex!$B$3:$N1218,12,FALSE),"")</f>
        <v>120</v>
      </c>
      <c r="AA146" s="5261" t="str">
        <f t="array" ref="AA146">IFERROR(VLOOKUP(Z146,Dex!$P$22:$Q$276,2,FALSE),"")</f>
        <v/>
      </c>
      <c r="AB146" s="5262"/>
      <c r="AC146" s="5252"/>
      <c r="AD146" s="5259" t="s">
        <v>196</v>
      </c>
      <c r="AE146" s="5260">
        <f t="array" ref="AE146">IFERROR(VLOOKUP(AD129,Dex!$B$3:$N1218,12,FALSE),"")</f>
        <v>75</v>
      </c>
      <c r="AF146" s="5261" t="str">
        <f t="array" ref="AF146">IFERROR(VLOOKUP(AE146,Dex!$P$22:$Q$276,2,FALSE),"")</f>
        <v/>
      </c>
      <c r="AG146" s="5262"/>
      <c r="AH146" s="5253"/>
      <c r="AI146" s="6192"/>
    </row>
    <row r="147" ht="16.5" customHeight="1">
      <c r="A147" s="6185"/>
      <c r="B147" s="5247"/>
      <c r="C147" s="5241"/>
      <c r="D147" s="5248"/>
      <c r="E147" s="5263" t="s">
        <v>197</v>
      </c>
      <c r="F147" s="5264">
        <f t="array" ref="F147">IFERROR(VLOOKUP(E129,Dex!$B$3:$N1218,13,FALSE),"")</f>
        <v>65</v>
      </c>
      <c r="G147" s="5265" t="str">
        <f t="array" ref="G147">IFERROR(VLOOKUP(F147,Dex!$P$22:$Q$276,2,FALSE),"")</f>
        <v/>
      </c>
      <c r="H147" s="5266">
        <v>4.0</v>
      </c>
      <c r="I147" s="5258"/>
      <c r="J147" s="5263" t="s">
        <v>197</v>
      </c>
      <c r="K147" s="5264">
        <f t="array" ref="K147">IFERROR(VLOOKUP(J129,Dex!$B$3:$N1218,13,FALSE),"")</f>
        <v>70</v>
      </c>
      <c r="L147" s="5265" t="str">
        <f t="array" ref="L147">IFERROR(VLOOKUP(K147,Dex!$P$22:$Q$276,2,FALSE),"")</f>
        <v/>
      </c>
      <c r="M147" s="5266">
        <v>252.0</v>
      </c>
      <c r="N147" s="5248"/>
      <c r="O147" s="5263" t="s">
        <v>197</v>
      </c>
      <c r="P147" s="5264">
        <f t="array" ref="P147">IFERROR(VLOOKUP(O129,Dex!$B$3:$N1218,13,FALSE),"")</f>
        <v>77</v>
      </c>
      <c r="Q147" s="5265" t="str">
        <f t="array" ref="Q147">IFERROR(VLOOKUP(P147,Dex!$P$22:$Q$276,2,FALSE),"")</f>
        <v/>
      </c>
      <c r="R147" s="5266">
        <v>252.0</v>
      </c>
      <c r="S147" s="5252"/>
      <c r="T147" s="5263" t="s">
        <v>197</v>
      </c>
      <c r="U147" s="5264">
        <f t="array" ref="U147">IFERROR(VLOOKUP(T129,Dex!$B$3:$N1218,13,FALSE),"")</f>
        <v>132</v>
      </c>
      <c r="V147" s="5265" t="str">
        <f t="array" ref="V147">IFERROR(VLOOKUP(U147,Dex!$P$22:$Q$276,2,FALSE),"")</f>
        <v/>
      </c>
      <c r="W147" s="5266">
        <v>252.0</v>
      </c>
      <c r="X147" s="5252"/>
      <c r="Y147" s="5263" t="s">
        <v>197</v>
      </c>
      <c r="Z147" s="5264">
        <f t="array" ref="Z147">IFERROR(VLOOKUP(Y129,Dex!$B$3:$N1218,13,FALSE),"")</f>
        <v>120</v>
      </c>
      <c r="AA147" s="5265" t="str">
        <f t="array" ref="AA147">IFERROR(VLOOKUP(Z147,Dex!$P$22:$Q$276,2,FALSE),"")</f>
        <v/>
      </c>
      <c r="AB147" s="5266">
        <v>252.0</v>
      </c>
      <c r="AC147" s="5252"/>
      <c r="AD147" s="5263" t="s">
        <v>197</v>
      </c>
      <c r="AE147" s="5264">
        <f t="array" ref="AE147">IFERROR(VLOOKUP(AD129,Dex!$B$3:$N1218,13,FALSE),"")</f>
        <v>127</v>
      </c>
      <c r="AF147" s="5265" t="str">
        <f t="array" ref="AF147">IFERROR(VLOOKUP(AE147,Dex!$P$22:$Q$276,2,FALSE),"")</f>
        <v/>
      </c>
      <c r="AG147" s="5266">
        <v>252.0</v>
      </c>
      <c r="AH147" s="5253"/>
      <c r="AI147" s="6192"/>
    </row>
    <row r="148" ht="16.5" customHeight="1">
      <c r="A148" s="6185"/>
      <c r="B148" s="5247"/>
      <c r="C148" s="5241"/>
      <c r="D148" s="5248"/>
      <c r="E148" s="5267" t="s">
        <v>198</v>
      </c>
      <c r="F148" s="405"/>
      <c r="G148" s="406"/>
      <c r="H148" s="5268">
        <v>167.0</v>
      </c>
      <c r="I148" s="5251"/>
      <c r="J148" s="5269" t="s">
        <v>198</v>
      </c>
      <c r="K148" s="918"/>
      <c r="L148" s="919"/>
      <c r="M148" s="5270">
        <v>262.0</v>
      </c>
      <c r="N148" s="5248"/>
      <c r="O148" s="5267" t="s">
        <v>198</v>
      </c>
      <c r="P148" s="405"/>
      <c r="Q148" s="406"/>
      <c r="R148" s="5268">
        <v>253.0</v>
      </c>
      <c r="S148" s="5252"/>
      <c r="T148" s="5267" t="s">
        <v>198</v>
      </c>
      <c r="U148" s="405"/>
      <c r="V148" s="406"/>
      <c r="W148" s="5268">
        <v>399.0</v>
      </c>
      <c r="X148" s="5252"/>
      <c r="Y148" s="5267" t="s">
        <v>198</v>
      </c>
      <c r="Z148" s="405"/>
      <c r="AA148" s="406"/>
      <c r="AB148" s="5268">
        <v>372.0</v>
      </c>
      <c r="AC148" s="6295"/>
      <c r="AD148" s="5267" t="s">
        <v>198</v>
      </c>
      <c r="AE148" s="405"/>
      <c r="AF148" s="406"/>
      <c r="AG148" s="5268">
        <v>388.0</v>
      </c>
      <c r="AH148" s="5253"/>
      <c r="AI148" s="6192"/>
    </row>
    <row r="149" ht="16.5" customHeight="1">
      <c r="A149" s="6185"/>
      <c r="B149" s="5271"/>
      <c r="C149" s="5241"/>
      <c r="D149" s="5272"/>
      <c r="E149" s="5241"/>
      <c r="F149" s="5241"/>
      <c r="G149" s="5241"/>
      <c r="H149" s="5241"/>
      <c r="I149" s="5273"/>
      <c r="J149" s="5275" t="s">
        <v>465</v>
      </c>
      <c r="K149" s="925"/>
      <c r="L149" s="926"/>
      <c r="M149" s="5276">
        <v>524.0</v>
      </c>
      <c r="N149" s="5272"/>
      <c r="O149" s="5241"/>
      <c r="P149" s="5241"/>
      <c r="Q149" s="5241"/>
      <c r="R149" s="5241"/>
      <c r="S149" s="5274"/>
      <c r="T149" s="5241"/>
      <c r="U149" s="5241"/>
      <c r="V149" s="5241"/>
      <c r="W149" s="5241"/>
      <c r="X149" s="5274"/>
      <c r="Y149" s="5241"/>
      <c r="Z149" s="5241"/>
      <c r="AA149" s="5241"/>
      <c r="AB149" s="5241"/>
      <c r="AC149" s="6296"/>
      <c r="AD149" s="5241"/>
      <c r="AE149" s="5241"/>
      <c r="AF149" s="5241"/>
      <c r="AG149" s="5241"/>
      <c r="AH149" s="5277"/>
      <c r="AI149" s="6192"/>
    </row>
    <row r="150" ht="15.0" customHeight="1">
      <c r="A150" s="6185"/>
      <c r="B150" s="5278"/>
      <c r="C150" s="5279"/>
      <c r="D150" s="5279"/>
      <c r="E150" s="5280"/>
      <c r="F150" s="5280"/>
      <c r="G150" s="5280"/>
      <c r="H150" s="5280"/>
      <c r="I150" s="5279"/>
      <c r="J150" s="5281"/>
      <c r="K150" s="5281"/>
      <c r="L150" s="5281"/>
      <c r="M150" s="5280"/>
      <c r="N150" s="5279"/>
      <c r="O150" s="5280"/>
      <c r="P150" s="5280"/>
      <c r="Q150" s="5280"/>
      <c r="R150" s="5280"/>
      <c r="S150" s="5279"/>
      <c r="T150" s="5280"/>
      <c r="U150" s="5280"/>
      <c r="V150" s="5280"/>
      <c r="W150" s="5280"/>
      <c r="X150" s="5279"/>
      <c r="Y150" s="5280"/>
      <c r="Z150" s="5280"/>
      <c r="AA150" s="5280"/>
      <c r="AB150" s="5280"/>
      <c r="AC150" s="5279"/>
      <c r="AD150" s="5281"/>
      <c r="AE150" s="5281"/>
      <c r="AF150" s="5281"/>
      <c r="AG150" s="5280"/>
      <c r="AH150" s="5282"/>
      <c r="AI150" s="6192"/>
    </row>
    <row r="151" ht="7.5" customHeight="1">
      <c r="A151" s="6185"/>
      <c r="B151" s="2021"/>
      <c r="C151" s="2022"/>
      <c r="D151" s="2023"/>
      <c r="E151" s="2023"/>
      <c r="F151" s="2023"/>
      <c r="G151" s="2023"/>
      <c r="H151" s="2023"/>
      <c r="I151" s="2023"/>
      <c r="J151" s="2023"/>
      <c r="K151" s="2023"/>
      <c r="L151" s="2023"/>
      <c r="M151" s="2023"/>
      <c r="N151" s="2023"/>
      <c r="O151" s="2023"/>
      <c r="P151" s="2023"/>
      <c r="Q151" s="2023"/>
      <c r="R151" s="2023"/>
      <c r="S151" s="2023"/>
      <c r="T151" s="2023"/>
      <c r="U151" s="2023"/>
      <c r="V151" s="2023"/>
      <c r="W151" s="2023"/>
      <c r="X151" s="2023"/>
      <c r="Y151" s="2023"/>
      <c r="Z151" s="2023"/>
      <c r="AA151" s="2023"/>
      <c r="AB151" s="2023"/>
      <c r="AC151" s="2023"/>
      <c r="AD151" s="2023"/>
      <c r="AE151" s="2023"/>
      <c r="AF151" s="2023"/>
      <c r="AG151" s="2023"/>
      <c r="AH151" s="2024"/>
      <c r="AI151" s="6192"/>
    </row>
    <row r="152">
      <c r="A152" s="6185"/>
      <c r="B152" s="2025"/>
      <c r="C152" s="2026"/>
      <c r="D152" s="2027"/>
      <c r="E152" s="2028" t="s">
        <v>1564</v>
      </c>
      <c r="F152" s="2029"/>
      <c r="G152" s="2029"/>
      <c r="H152" s="2029"/>
      <c r="I152" s="2029"/>
      <c r="J152" s="2029"/>
      <c r="K152" s="2029"/>
      <c r="L152" s="2029"/>
      <c r="M152" s="2029"/>
      <c r="N152" s="2029"/>
      <c r="O152" s="2029"/>
      <c r="P152" s="2029"/>
      <c r="Q152" s="2029"/>
      <c r="R152" s="2029"/>
      <c r="S152" s="2029"/>
      <c r="T152" s="2029"/>
      <c r="U152" s="2029"/>
      <c r="V152" s="2029"/>
      <c r="W152" s="2029"/>
      <c r="X152" s="2029"/>
      <c r="Y152" s="2029"/>
      <c r="Z152" s="2029"/>
      <c r="AA152" s="2029"/>
      <c r="AB152" s="2029"/>
      <c r="AC152" s="2029"/>
      <c r="AD152" s="2029"/>
      <c r="AE152" s="2029"/>
      <c r="AF152" s="2029"/>
      <c r="AG152" s="2030"/>
      <c r="AH152" s="2031"/>
      <c r="AI152" s="6192"/>
    </row>
    <row r="153" ht="96.75" customHeight="1">
      <c r="A153" s="6185"/>
      <c r="B153" s="2032"/>
      <c r="C153" s="2033" t="str">
        <f>IMAGE("https://i.ibb.co/rkZGjMV/Pryce.png")</f>
        <v/>
      </c>
      <c r="D153" s="2034"/>
      <c r="E153" s="2035" t="str">
        <f t="array" ref="E153">IFERROR(VLOOKUP(E154,Dex!$B$3:$G1218,3,FALSE),"")</f>
        <v/>
      </c>
      <c r="F153" s="302"/>
      <c r="G153" s="302"/>
      <c r="H153" s="303"/>
      <c r="I153" s="2034"/>
      <c r="J153" s="2035" t="str">
        <f t="array" ref="J153">IFERROR(VLOOKUP(J154,Dex!$B$3:$G1218,3,FALSE),"")</f>
        <v/>
      </c>
      <c r="K153" s="302"/>
      <c r="L153" s="302"/>
      <c r="M153" s="303"/>
      <c r="N153" s="2034"/>
      <c r="O153" s="2035" t="str">
        <f t="array" ref="O153">IFERROR(VLOOKUP(O154,Dex!$B$3:$G1218,3,FALSE),"")</f>
        <v/>
      </c>
      <c r="P153" s="302"/>
      <c r="Q153" s="302"/>
      <c r="R153" s="303"/>
      <c r="S153" s="2034"/>
      <c r="T153" s="2035" t="str">
        <f t="array" ref="T153">IFERROR(VLOOKUP(T154,Dex!$B$3:$G1218,3,FALSE),"")</f>
        <v/>
      </c>
      <c r="U153" s="302"/>
      <c r="V153" s="302"/>
      <c r="W153" s="303"/>
      <c r="X153" s="2034"/>
      <c r="Y153" s="2035" t="str">
        <f t="array" ref="Y153">IFERROR(VLOOKUP(Y154,Dex!$B$3:$G1218,3,FALSE),"")</f>
        <v/>
      </c>
      <c r="Z153" s="302"/>
      <c r="AA153" s="302"/>
      <c r="AB153" s="303"/>
      <c r="AC153" s="2034"/>
      <c r="AD153" s="2035" t="str">
        <f t="array" ref="AD153">IFERROR(VLOOKUP(AD154,Dex!$B$3:$G1218,3,FALSE),"")</f>
        <v/>
      </c>
      <c r="AE153" s="302"/>
      <c r="AF153" s="302"/>
      <c r="AG153" s="303"/>
      <c r="AH153" s="2036"/>
      <c r="AI153" s="6192"/>
    </row>
    <row r="154" ht="18.75" customHeight="1">
      <c r="A154" s="6185"/>
      <c r="B154" s="2037"/>
      <c r="C154" s="6297" t="s">
        <v>1565</v>
      </c>
      <c r="D154" s="2039"/>
      <c r="E154" s="2040" t="s">
        <v>1425</v>
      </c>
      <c r="F154" s="2041"/>
      <c r="G154" s="2041"/>
      <c r="H154" s="2042"/>
      <c r="I154" s="2043"/>
      <c r="J154" s="2040" t="s">
        <v>1424</v>
      </c>
      <c r="K154" s="2041"/>
      <c r="L154" s="2041"/>
      <c r="M154" s="2042"/>
      <c r="N154" s="2043"/>
      <c r="O154" s="2040" t="s">
        <v>1566</v>
      </c>
      <c r="P154" s="2041"/>
      <c r="Q154" s="2041"/>
      <c r="R154" s="2042"/>
      <c r="S154" s="2043"/>
      <c r="T154" s="2040" t="s">
        <v>1567</v>
      </c>
      <c r="U154" s="2041"/>
      <c r="V154" s="2041"/>
      <c r="W154" s="2042"/>
      <c r="X154" s="2043"/>
      <c r="Y154" s="2040" t="s">
        <v>1289</v>
      </c>
      <c r="Z154" s="2041"/>
      <c r="AA154" s="2041"/>
      <c r="AB154" s="2042"/>
      <c r="AC154" s="2043"/>
      <c r="AD154" s="2040" t="s">
        <v>1568</v>
      </c>
      <c r="AE154" s="2041"/>
      <c r="AF154" s="2041"/>
      <c r="AG154" s="2042"/>
      <c r="AH154" s="2044"/>
      <c r="AI154" s="6192"/>
    </row>
    <row r="155">
      <c r="A155" s="6185"/>
      <c r="B155" s="2045"/>
      <c r="C155" s="6298"/>
      <c r="D155" s="2046"/>
      <c r="E155" s="2047" t="s">
        <v>1502</v>
      </c>
      <c r="F155" s="2048"/>
      <c r="G155" s="2048"/>
      <c r="H155" s="2049"/>
      <c r="I155" s="2050"/>
      <c r="J155" s="2047" t="s">
        <v>1502</v>
      </c>
      <c r="K155" s="2048"/>
      <c r="L155" s="2048"/>
      <c r="M155" s="2049"/>
      <c r="N155" s="2050"/>
      <c r="O155" s="2047" t="s">
        <v>1502</v>
      </c>
      <c r="P155" s="2048"/>
      <c r="Q155" s="2048"/>
      <c r="R155" s="2049"/>
      <c r="S155" s="2050"/>
      <c r="T155" s="2047" t="s">
        <v>1502</v>
      </c>
      <c r="U155" s="2048"/>
      <c r="V155" s="2048"/>
      <c r="W155" s="2049"/>
      <c r="X155" s="2050"/>
      <c r="Y155" s="2047" t="s">
        <v>1502</v>
      </c>
      <c r="Z155" s="2048"/>
      <c r="AA155" s="2048"/>
      <c r="AB155" s="2049"/>
      <c r="AC155" s="2050"/>
      <c r="AD155" s="2047" t="s">
        <v>1502</v>
      </c>
      <c r="AE155" s="2048"/>
      <c r="AF155" s="2048"/>
      <c r="AG155" s="2049"/>
      <c r="AH155" s="2051"/>
      <c r="AI155" s="6192"/>
    </row>
    <row r="156" ht="25.5" customHeight="1">
      <c r="A156" s="6185"/>
      <c r="B156" s="2025"/>
      <c r="C156" s="6298"/>
      <c r="D156" s="2065"/>
      <c r="E156" s="2053"/>
      <c r="F156" s="2054" t="str">
        <f t="array" ref="F156">IFERROR(VLOOKUP(E154,Dex!$B$3:$H1218,5,FALSE),"")</f>
        <v/>
      </c>
      <c r="G156" s="2055" t="str">
        <f t="array" ref="G156">IFERROR(VLOOKUP(E154,Dex!$B$3:$H1218,7,FALSE),"")</f>
        <v/>
      </c>
      <c r="H156" s="2056"/>
      <c r="I156" s="2057"/>
      <c r="J156" s="2053"/>
      <c r="K156" s="2054" t="str">
        <f t="array" ref="K156">IFERROR(VLOOKUP(J154,Dex!$B$3:$H1218,5,FALSE),"")</f>
        <v/>
      </c>
      <c r="L156" s="2055" t="str">
        <f t="array" ref="L156">IFERROR(VLOOKUP(J154,Dex!$B$3:$H1218,7,FALSE),"")</f>
        <v/>
      </c>
      <c r="M156" s="2056"/>
      <c r="N156" s="2057"/>
      <c r="O156" s="2053"/>
      <c r="P156" s="2054" t="str">
        <f t="array" ref="P156">IFERROR(VLOOKUP(O154,Dex!$B$3:$H1218,5,FALSE),"")</f>
        <v/>
      </c>
      <c r="Q156" s="2055" t="str">
        <f t="array" ref="Q156">IFERROR(VLOOKUP(O154,Dex!$B$3:$H1218,7,FALSE),"")</f>
        <v/>
      </c>
      <c r="R156" s="2056"/>
      <c r="S156" s="2057"/>
      <c r="T156" s="2053"/>
      <c r="U156" s="2054" t="str">
        <f t="array" ref="U156">IFERROR(VLOOKUP(T154,Dex!$B$3:$H1218,5,FALSE),"")</f>
        <v/>
      </c>
      <c r="V156" s="2055" t="str">
        <f t="array" ref="V156">IFERROR(VLOOKUP(T154,Dex!$B$3:$H1218,7,FALSE),"")</f>
        <v/>
      </c>
      <c r="W156" s="2056"/>
      <c r="X156" s="2057"/>
      <c r="Y156" s="2053"/>
      <c r="Z156" s="2061" t="str">
        <f t="array" ref="Z156">IFERROR(VLOOKUP(Y154,Dex!$B$3:$H1218,5,FALSE),"")</f>
        <v/>
      </c>
      <c r="AA156" s="2062"/>
      <c r="AB156" s="2056"/>
      <c r="AC156" s="2057"/>
      <c r="AD156" s="2053"/>
      <c r="AE156" s="2054" t="str">
        <f t="array" ref="AE156">IFERROR(VLOOKUP(AD154,Dex!$B$3:$H1218,5,FALSE),"")</f>
        <v/>
      </c>
      <c r="AF156" s="2055" t="str">
        <f t="array" ref="AF156">IFERROR(VLOOKUP(AD154,Dex!$B$3:$H1218,7,FALSE),"")</f>
        <v/>
      </c>
      <c r="AG156" s="2056"/>
      <c r="AH156" s="2036"/>
      <c r="AI156" s="6192"/>
    </row>
    <row r="157" ht="2.25" customHeight="1">
      <c r="A157" s="6185"/>
      <c r="B157" s="2025"/>
      <c r="C157" s="6298"/>
      <c r="D157" s="2065"/>
      <c r="E157" s="2066"/>
      <c r="F157" s="2067"/>
      <c r="G157" s="2067"/>
      <c r="H157" s="2068"/>
      <c r="I157" s="2057"/>
      <c r="J157" s="2066"/>
      <c r="K157" s="2067"/>
      <c r="L157" s="2067"/>
      <c r="M157" s="2068"/>
      <c r="N157" s="2057"/>
      <c r="O157" s="2066"/>
      <c r="P157" s="2067"/>
      <c r="Q157" s="2067"/>
      <c r="R157" s="2068"/>
      <c r="S157" s="2057"/>
      <c r="T157" s="2066"/>
      <c r="U157" s="2067"/>
      <c r="V157" s="2067"/>
      <c r="W157" s="2068"/>
      <c r="X157" s="2057"/>
      <c r="Y157" s="2066"/>
      <c r="Z157" s="2067"/>
      <c r="AA157" s="2067"/>
      <c r="AB157" s="2068"/>
      <c r="AC157" s="2057"/>
      <c r="AD157" s="2066"/>
      <c r="AE157" s="2067"/>
      <c r="AF157" s="2067"/>
      <c r="AG157" s="2068"/>
      <c r="AH157" s="2036"/>
      <c r="AI157" s="6192"/>
    </row>
    <row r="158" ht="20.25" customHeight="1">
      <c r="A158" s="6185"/>
      <c r="B158" s="2025"/>
      <c r="C158" s="326"/>
      <c r="D158" s="2065"/>
      <c r="E158" s="2073" t="s">
        <v>297</v>
      </c>
      <c r="F158" s="2074"/>
      <c r="G158" s="2074"/>
      <c r="H158" s="2075"/>
      <c r="I158" s="6299"/>
      <c r="J158" s="2073" t="s">
        <v>170</v>
      </c>
      <c r="K158" s="2074"/>
      <c r="L158" s="2074"/>
      <c r="M158" s="2075"/>
      <c r="N158" s="6299"/>
      <c r="O158" s="2073" t="s">
        <v>297</v>
      </c>
      <c r="P158" s="2074"/>
      <c r="Q158" s="2074"/>
      <c r="R158" s="2075"/>
      <c r="S158" s="6299"/>
      <c r="T158" s="2073" t="s">
        <v>297</v>
      </c>
      <c r="U158" s="2074"/>
      <c r="V158" s="2074"/>
      <c r="W158" s="2075"/>
      <c r="X158" s="6299"/>
      <c r="Y158" s="2073" t="s">
        <v>170</v>
      </c>
      <c r="Z158" s="2074"/>
      <c r="AA158" s="2074"/>
      <c r="AB158" s="2075"/>
      <c r="AC158" s="6299"/>
      <c r="AD158" s="2073" t="s">
        <v>170</v>
      </c>
      <c r="AE158" s="2074"/>
      <c r="AF158" s="2074"/>
      <c r="AG158" s="2075"/>
      <c r="AH158" s="2036"/>
      <c r="AI158" s="6192"/>
    </row>
    <row r="159">
      <c r="A159" s="6185"/>
      <c r="B159" s="2025"/>
      <c r="C159" s="2076"/>
      <c r="D159" s="2065"/>
      <c r="E159" s="2077" t="s">
        <v>1569</v>
      </c>
      <c r="F159" s="2048"/>
      <c r="G159" s="2048"/>
      <c r="H159" s="2049"/>
      <c r="I159" s="6299"/>
      <c r="J159" s="2077" t="s">
        <v>1427</v>
      </c>
      <c r="K159" s="2048"/>
      <c r="L159" s="2048"/>
      <c r="M159" s="2049"/>
      <c r="N159" s="6299"/>
      <c r="O159" s="2077" t="s">
        <v>1570</v>
      </c>
      <c r="P159" s="2048"/>
      <c r="Q159" s="2048"/>
      <c r="R159" s="2049"/>
      <c r="S159" s="6299"/>
      <c r="T159" s="2077" t="s">
        <v>1571</v>
      </c>
      <c r="U159" s="2048"/>
      <c r="V159" s="2048"/>
      <c r="W159" s="2049"/>
      <c r="X159" s="6299"/>
      <c r="Y159" s="2077" t="s">
        <v>208</v>
      </c>
      <c r="Z159" s="2048"/>
      <c r="AA159" s="2048"/>
      <c r="AB159" s="2049"/>
      <c r="AC159" s="6299"/>
      <c r="AD159" s="2077" t="s">
        <v>1572</v>
      </c>
      <c r="AE159" s="2048"/>
      <c r="AF159" s="2048"/>
      <c r="AG159" s="2049"/>
      <c r="AH159" s="2036"/>
      <c r="AI159" s="6192"/>
    </row>
    <row r="160" ht="20.25" customHeight="1">
      <c r="A160" s="6185"/>
      <c r="B160" s="2025"/>
      <c r="C160" s="2078"/>
      <c r="D160" s="2065"/>
      <c r="E160" s="2079" t="s">
        <v>1573</v>
      </c>
      <c r="F160" s="2029"/>
      <c r="G160" s="2030"/>
      <c r="H160" s="2080" t="str">
        <f>IMAGE("https://raw.githubusercontent.com/msikma/pokesprite/master/items/mega-stone/abomasite.png",3)</f>
        <v/>
      </c>
      <c r="I160" s="2057"/>
      <c r="J160" s="2079" t="s">
        <v>1574</v>
      </c>
      <c r="K160" s="2029"/>
      <c r="L160" s="2030"/>
      <c r="M160" s="2080" t="str">
        <f>IMAGE("https://raw.githubusercontent.com/msikma/pokesprite/master/items/hold-item/mental-herb.png",3)</f>
        <v/>
      </c>
      <c r="N160" s="2057"/>
      <c r="O160" s="2079" t="s">
        <v>1575</v>
      </c>
      <c r="P160" s="2029"/>
      <c r="Q160" s="2030"/>
      <c r="R160" s="2080" t="str">
        <f>IMAGE("https://raw.githubusercontent.com/msikma/pokesprite/master/items/z-crystals/icium-z--held.png",3)</f>
        <v/>
      </c>
      <c r="S160" s="2057"/>
      <c r="T160" s="2079" t="s">
        <v>213</v>
      </c>
      <c r="U160" s="2029"/>
      <c r="V160" s="2030"/>
      <c r="W160" s="2080" t="str">
        <f>IMAGE("https://raw.githubusercontent.com/msikma/pokesprite/master/items/berry/sitrus.png",3)</f>
        <v/>
      </c>
      <c r="X160" s="2057"/>
      <c r="Y160" s="2079" t="s">
        <v>363</v>
      </c>
      <c r="Z160" s="2029"/>
      <c r="AA160" s="2030"/>
      <c r="AB160" s="2080" t="str">
        <f>IMAGE("https://raw.githubusercontent.com/msikma/pokesprite/master/items/berry/lum.png",3)</f>
        <v/>
      </c>
      <c r="AC160" s="2057"/>
      <c r="AD160" s="2079" t="s">
        <v>1576</v>
      </c>
      <c r="AE160" s="2029"/>
      <c r="AF160" s="2030"/>
      <c r="AG160" s="2080" t="str">
        <f>IMAGE("https://raw.githubusercontent.com/msikma/pokesprite/master/items/mega-stone/heracronite.png",3)</f>
        <v/>
      </c>
      <c r="AH160" s="2036"/>
      <c r="AI160" s="6192"/>
    </row>
    <row r="161" ht="20.25" customHeight="1">
      <c r="A161" s="6185"/>
      <c r="B161" s="2025"/>
      <c r="C161" s="2081"/>
      <c r="D161" s="2065"/>
      <c r="E161" s="2073" t="s">
        <v>286</v>
      </c>
      <c r="F161" s="2074"/>
      <c r="G161" s="2074"/>
      <c r="H161" s="2082" t="str">
        <f>IMAGE("https://raw.githubusercontent.com/msikma/pokesprite/master/misc/types/gen8/ground.png",4,20,20)</f>
        <v/>
      </c>
      <c r="I161" s="2057"/>
      <c r="J161" s="2073" t="s">
        <v>309</v>
      </c>
      <c r="K161" s="2074"/>
      <c r="L161" s="2074"/>
      <c r="M161" s="2082" t="str">
        <f>IMAGE("https://raw.githubusercontent.com/msikma/pokesprite/master/misc/types/gen8/psychic.png",4,20,20)</f>
        <v/>
      </c>
      <c r="N161" s="2057"/>
      <c r="O161" s="2073" t="s">
        <v>1097</v>
      </c>
      <c r="P161" s="2074"/>
      <c r="Q161" s="2074"/>
      <c r="R161" s="2082" t="str">
        <f>IMAGE("https://raw.githubusercontent.com/msikma/pokesprite/master/misc/types/gen8/ice.png",4,20,20)</f>
        <v/>
      </c>
      <c r="S161" s="2057"/>
      <c r="T161" s="2073" t="s">
        <v>1123</v>
      </c>
      <c r="U161" s="2074"/>
      <c r="V161" s="2074"/>
      <c r="W161" s="2082" t="str">
        <f>IMAGE("https://raw.githubusercontent.com/msikma/pokesprite/master/misc/types/gen8/dragon.png",4,20,20)</f>
        <v/>
      </c>
      <c r="X161" s="2057"/>
      <c r="Y161" s="2073" t="s">
        <v>947</v>
      </c>
      <c r="Z161" s="2074"/>
      <c r="AA161" s="2074"/>
      <c r="AB161" s="2082" t="str">
        <f>IMAGE("https://raw.githubusercontent.com/msikma/pokesprite/master/misc/types/gen8/ice.png",4,20,20)</f>
        <v/>
      </c>
      <c r="AC161" s="2057"/>
      <c r="AD161" s="2073" t="s">
        <v>1577</v>
      </c>
      <c r="AE161" s="2074"/>
      <c r="AF161" s="2074"/>
      <c r="AG161" s="2082" t="str">
        <f>IMAGE("https://raw.githubusercontent.com/msikma/pokesprite/master/misc/types/gen8/fighting.png",4,20,20)</f>
        <v/>
      </c>
      <c r="AH161" s="2036"/>
      <c r="AI161" s="6192"/>
    </row>
    <row r="162" ht="20.25" customHeight="1">
      <c r="A162" s="6185"/>
      <c r="B162" s="2025"/>
      <c r="C162" s="2072"/>
      <c r="D162" s="2065"/>
      <c r="E162" s="2077" t="s">
        <v>1097</v>
      </c>
      <c r="F162" s="2048"/>
      <c r="G162" s="2048"/>
      <c r="H162" s="2083" t="str">
        <f>IMAGE("https://raw.githubusercontent.com/msikma/pokesprite/master/misc/types/gen8/ice.png",4,20,20)</f>
        <v/>
      </c>
      <c r="I162" s="2057"/>
      <c r="J162" s="2077" t="s">
        <v>1430</v>
      </c>
      <c r="K162" s="2048"/>
      <c r="L162" s="2048"/>
      <c r="M162" s="2083" t="str">
        <f>IMAGE("https://raw.githubusercontent.com/msikma/pokesprite/master/misc/types/gen8/ice.png",4,20,20)</f>
        <v/>
      </c>
      <c r="N162" s="2057"/>
      <c r="O162" s="2077" t="s">
        <v>1123</v>
      </c>
      <c r="P162" s="2048"/>
      <c r="Q162" s="2048"/>
      <c r="R162" s="2083" t="str">
        <f>IMAGE("https://raw.githubusercontent.com/msikma/pokesprite/master/misc/types/gen8/dragon.png",4,20,20)</f>
        <v/>
      </c>
      <c r="S162" s="2057"/>
      <c r="T162" s="2077" t="s">
        <v>318</v>
      </c>
      <c r="U162" s="2048"/>
      <c r="V162" s="2048"/>
      <c r="W162" s="2083" t="str">
        <f>IMAGE("https://raw.githubusercontent.com/msikma/pokesprite/master/misc/types/gen8/ghost.png",4,20,20)</f>
        <v/>
      </c>
      <c r="X162" s="2057"/>
      <c r="Y162" s="2077" t="s">
        <v>181</v>
      </c>
      <c r="Z162" s="2048"/>
      <c r="AA162" s="2048"/>
      <c r="AB162" s="2083" t="str">
        <f>IMAGE("https://raw.githubusercontent.com/msikma/pokesprite/master/misc/types/gen8/rock.png",4,20,20)</f>
        <v/>
      </c>
      <c r="AC162" s="2057"/>
      <c r="AD162" s="2077" t="s">
        <v>770</v>
      </c>
      <c r="AE162" s="2048"/>
      <c r="AF162" s="2048"/>
      <c r="AG162" s="2083" t="str">
        <f>IMAGE("https://raw.githubusercontent.com/msikma/pokesprite/master/misc/types/gen8/grass.png",4,20,20)</f>
        <v/>
      </c>
      <c r="AH162" s="2036"/>
      <c r="AI162" s="6192"/>
    </row>
    <row r="163" ht="20.25" customHeight="1">
      <c r="A163" s="6185"/>
      <c r="B163" s="2025"/>
      <c r="C163" s="2072"/>
      <c r="D163" s="2065"/>
      <c r="E163" s="2077" t="s">
        <v>940</v>
      </c>
      <c r="F163" s="2048"/>
      <c r="G163" s="2048"/>
      <c r="H163" s="2083" t="str">
        <f>IMAGE("https://raw.githubusercontent.com/msikma/pokesprite/master/misc/types/gen8/grass.png",4,20,20)</f>
        <v/>
      </c>
      <c r="I163" s="2057"/>
      <c r="J163" s="2077" t="s">
        <v>562</v>
      </c>
      <c r="K163" s="2048"/>
      <c r="L163" s="2048"/>
      <c r="M163" s="2083" t="str">
        <f>IMAGE("https://raw.githubusercontent.com/msikma/pokesprite/master/misc/types/gen8/psychic.png",4,20,20)</f>
        <v/>
      </c>
      <c r="N163" s="2057"/>
      <c r="O163" s="2077" t="s">
        <v>286</v>
      </c>
      <c r="P163" s="2048"/>
      <c r="Q163" s="2048"/>
      <c r="R163" s="2083" t="str">
        <f>IMAGE("https://raw.githubusercontent.com/msikma/pokesprite/master/misc/types/gen8/ground.png",4,20,20)</f>
        <v/>
      </c>
      <c r="S163" s="2057"/>
      <c r="T163" s="2077" t="s">
        <v>277</v>
      </c>
      <c r="U163" s="2048"/>
      <c r="V163" s="2048"/>
      <c r="W163" s="2083" t="str">
        <f>IMAGE("https://raw.githubusercontent.com/msikma/pokesprite/master/misc/types/gen8/electric.png",4,20,20)</f>
        <v/>
      </c>
      <c r="X163" s="2057"/>
      <c r="Y163" s="2077" t="s">
        <v>1090</v>
      </c>
      <c r="Z163" s="2048"/>
      <c r="AA163" s="2048"/>
      <c r="AB163" s="2083" t="str">
        <f>IMAGE("https://raw.githubusercontent.com/msikma/pokesprite/master/misc/types/gen8/ground.png",4,20,20)</f>
        <v/>
      </c>
      <c r="AC163" s="2057"/>
      <c r="AD163" s="2077" t="s">
        <v>1578</v>
      </c>
      <c r="AE163" s="2048"/>
      <c r="AF163" s="2048"/>
      <c r="AG163" s="2083" t="str">
        <f>IMAGE("https://raw.githubusercontent.com/msikma/pokesprite/master/misc/types/gen8/bug.png",4,20,20)</f>
        <v/>
      </c>
      <c r="AH163" s="2036"/>
      <c r="AI163" s="6192"/>
    </row>
    <row r="164" ht="21.0" customHeight="1">
      <c r="A164" s="6185"/>
      <c r="B164" s="2025"/>
      <c r="C164" s="2072"/>
      <c r="D164" s="2065"/>
      <c r="E164" s="2084" t="s">
        <v>254</v>
      </c>
      <c r="F164" s="2085"/>
      <c r="G164" s="2085"/>
      <c r="H164" s="2086" t="str">
        <f>IMAGE("https://raw.githubusercontent.com/msikma/pokesprite/master/misc/types/gen8/ice.png",4,20,20)</f>
        <v/>
      </c>
      <c r="I164" s="2057"/>
      <c r="J164" s="2084" t="s">
        <v>282</v>
      </c>
      <c r="K164" s="2085"/>
      <c r="L164" s="2085"/>
      <c r="M164" s="2086" t="str">
        <f>IMAGE("https://raw.githubusercontent.com/msikma/pokesprite/master/misc/types/gen8/ground.png",4,20,20)</f>
        <v/>
      </c>
      <c r="N164" s="2057"/>
      <c r="O164" s="2084" t="s">
        <v>636</v>
      </c>
      <c r="P164" s="2085"/>
      <c r="Q164" s="2085"/>
      <c r="R164" s="2086" t="str">
        <f>IMAGE("https://raw.githubusercontent.com/msikma/pokesprite/master/misc/types/gen8/ice.png",4,20,20)</f>
        <v/>
      </c>
      <c r="S164" s="2057"/>
      <c r="T164" s="2084" t="s">
        <v>309</v>
      </c>
      <c r="U164" s="2085"/>
      <c r="V164" s="2085"/>
      <c r="W164" s="2086" t="str">
        <f>IMAGE("https://raw.githubusercontent.com/msikma/pokesprite/master/misc/types/gen8/psychic.png",4,20,20)</f>
        <v/>
      </c>
      <c r="X164" s="2057"/>
      <c r="Y164" s="2084" t="s">
        <v>279</v>
      </c>
      <c r="Z164" s="2085"/>
      <c r="AA164" s="2085"/>
      <c r="AB164" s="2086" t="str">
        <f>IMAGE("https://raw.githubusercontent.com/msikma/pokesprite/master/misc/types/gen8/dark.png",4,20,20)</f>
        <v/>
      </c>
      <c r="AC164" s="2057"/>
      <c r="AD164" s="2084" t="s">
        <v>638</v>
      </c>
      <c r="AE164" s="2085"/>
      <c r="AF164" s="2085"/>
      <c r="AG164" s="2086" t="str">
        <f>IMAGE("https://raw.githubusercontent.com/msikma/pokesprite/master/misc/types/gen8/rock.png",4,20,20)</f>
        <v/>
      </c>
      <c r="AH164" s="2036"/>
      <c r="AI164" s="6192"/>
    </row>
    <row r="165" ht="3.0" customHeight="1">
      <c r="A165" s="6185"/>
      <c r="B165" s="2087"/>
      <c r="C165" s="2088"/>
      <c r="D165" s="2089"/>
      <c r="E165" s="2090"/>
      <c r="F165" s="2090"/>
      <c r="G165" s="2090"/>
      <c r="H165" s="2090"/>
      <c r="I165" s="2089"/>
      <c r="J165" s="2090"/>
      <c r="K165" s="2090"/>
      <c r="L165" s="2090"/>
      <c r="M165" s="2090"/>
      <c r="N165" s="2089"/>
      <c r="O165" s="2090"/>
      <c r="P165" s="2090"/>
      <c r="Q165" s="2090"/>
      <c r="R165" s="2090"/>
      <c r="S165" s="2089"/>
      <c r="T165" s="2090"/>
      <c r="U165" s="2090"/>
      <c r="V165" s="2090"/>
      <c r="W165" s="2090"/>
      <c r="X165" s="2089"/>
      <c r="Y165" s="2090"/>
      <c r="Z165" s="6300"/>
      <c r="AA165" s="6300"/>
      <c r="AB165" s="2093"/>
      <c r="AC165" s="2089"/>
      <c r="AD165" s="6301"/>
      <c r="AE165" s="6301"/>
      <c r="AF165" s="6301"/>
      <c r="AG165" s="2094"/>
      <c r="AH165" s="2095"/>
      <c r="AI165" s="6192"/>
    </row>
    <row r="166" ht="16.5" customHeight="1">
      <c r="A166" s="6185"/>
      <c r="B166" s="2096"/>
      <c r="C166" s="2088"/>
      <c r="D166" s="2097"/>
      <c r="E166" s="2098" t="s">
        <v>190</v>
      </c>
      <c r="F166" s="381"/>
      <c r="G166" s="382"/>
      <c r="H166" s="2099" t="s">
        <v>191</v>
      </c>
      <c r="I166" s="2097"/>
      <c r="J166" s="2098" t="s">
        <v>190</v>
      </c>
      <c r="K166" s="381"/>
      <c r="L166" s="382"/>
      <c r="M166" s="2099" t="s">
        <v>191</v>
      </c>
      <c r="N166" s="2097"/>
      <c r="O166" s="2098" t="s">
        <v>190</v>
      </c>
      <c r="P166" s="381"/>
      <c r="Q166" s="382"/>
      <c r="R166" s="2099" t="s">
        <v>191</v>
      </c>
      <c r="S166" s="2097"/>
      <c r="T166" s="2098" t="s">
        <v>190</v>
      </c>
      <c r="U166" s="381"/>
      <c r="V166" s="382"/>
      <c r="W166" s="2099" t="s">
        <v>191</v>
      </c>
      <c r="X166" s="2097"/>
      <c r="Y166" s="2098" t="s">
        <v>190</v>
      </c>
      <c r="Z166" s="381"/>
      <c r="AA166" s="382"/>
      <c r="AB166" s="2099" t="s">
        <v>191</v>
      </c>
      <c r="AC166" s="2097"/>
      <c r="AD166" s="2098" t="s">
        <v>190</v>
      </c>
      <c r="AE166" s="381"/>
      <c r="AF166" s="382"/>
      <c r="AG166" s="2099" t="s">
        <v>191</v>
      </c>
      <c r="AH166" s="2100"/>
      <c r="AI166" s="6192"/>
    </row>
    <row r="167" ht="15.75" customHeight="1">
      <c r="A167" s="6185"/>
      <c r="B167" s="2096"/>
      <c r="C167" s="2088"/>
      <c r="D167" s="2097"/>
      <c r="E167" s="2101" t="s">
        <v>192</v>
      </c>
      <c r="F167" s="2102">
        <f t="array" ref="F167">IFERROR(VLOOKUP(E154,Dex!$B$3:$N1218,8,FALSE),"")</f>
        <v>90</v>
      </c>
      <c r="G167" s="2103" t="str">
        <f t="array" ref="G167">IFERROR(VLOOKUP(F167,Dex!$P$22:$Q$276,2,FALSE),"")</f>
        <v/>
      </c>
      <c r="H167" s="2104">
        <v>248.0</v>
      </c>
      <c r="I167" s="2105"/>
      <c r="J167" s="2101" t="s">
        <v>192</v>
      </c>
      <c r="K167" s="2102">
        <f t="array" ref="K167">IFERROR(VLOOKUP(J154,Dex!$B$3:$N1218,8,FALSE),"")</f>
        <v>100</v>
      </c>
      <c r="L167" s="2103" t="str">
        <f t="array" ref="L167">IFERROR(VLOOKUP(K167,Dex!$P$22:$Q$276,2,FALSE),"")</f>
        <v/>
      </c>
      <c r="M167" s="2104">
        <v>248.0</v>
      </c>
      <c r="N167" s="2105"/>
      <c r="O167" s="2101" t="s">
        <v>192</v>
      </c>
      <c r="P167" s="2102">
        <f t="array" ref="P167">IFERROR(VLOOKUP(O154,Dex!$B$3:$N1218,8,FALSE),"")</f>
        <v>125</v>
      </c>
      <c r="Q167" s="2103" t="str">
        <f t="array" ref="Q167">IFERROR(VLOOKUP(P167,Dex!$P$22:$Q$276,2,FALSE),"")</f>
        <v/>
      </c>
      <c r="R167" s="2104">
        <v>248.0</v>
      </c>
      <c r="S167" s="2105"/>
      <c r="T167" s="2101" t="s">
        <v>192</v>
      </c>
      <c r="U167" s="2102">
        <f t="array" ref="U167">IFERROR(VLOOKUP(T154,Dex!$B$3:$N1218,8,FALSE),"")</f>
        <v>55</v>
      </c>
      <c r="V167" s="2103" t="str">
        <f t="array" ref="V167">IFERROR(VLOOKUP(U167,Dex!$P$22:$Q$276,2,FALSE),"")</f>
        <v/>
      </c>
      <c r="W167" s="2104">
        <v>252.0</v>
      </c>
      <c r="X167" s="2105"/>
      <c r="Y167" s="2101" t="s">
        <v>192</v>
      </c>
      <c r="Z167" s="2102">
        <f t="array" ref="Z167">IFERROR(VLOOKUP(Y154,Dex!$B$3:$N1218,8,FALSE),"")</f>
        <v>90</v>
      </c>
      <c r="AA167" s="2103" t="str">
        <f t="array" ref="AA167">IFERROR(VLOOKUP(Z167,Dex!$P$22:$Q$276,2,FALSE),"")</f>
        <v/>
      </c>
      <c r="AB167" s="2104">
        <v>252.0</v>
      </c>
      <c r="AC167" s="2105"/>
      <c r="AD167" s="2101" t="s">
        <v>192</v>
      </c>
      <c r="AE167" s="2102">
        <f t="array" ref="AE167">IFERROR(VLOOKUP(AD154,Dex!$B$3:$N1218,8,FALSE),"")</f>
        <v>80</v>
      </c>
      <c r="AF167" s="2103" t="str">
        <f t="array" ref="AF167">IFERROR(VLOOKUP(AE167,Dex!$P$22:$Q$276,2,FALSE),"")</f>
        <v/>
      </c>
      <c r="AG167" s="2104">
        <v>252.0</v>
      </c>
      <c r="AH167" s="2106"/>
      <c r="AI167" s="6192"/>
    </row>
    <row r="168" ht="15.75" customHeight="1">
      <c r="A168" s="6185"/>
      <c r="B168" s="2096"/>
      <c r="C168" s="2088"/>
      <c r="D168" s="2097"/>
      <c r="E168" s="2107" t="s">
        <v>193</v>
      </c>
      <c r="F168" s="2108">
        <f t="array" ref="F168">IFERROR(VLOOKUP(E154,Dex!$B$3:$N1218,9,FALSE),"")</f>
        <v>132</v>
      </c>
      <c r="G168" s="2109" t="str">
        <f t="array" ref="G168">IFERROR(VLOOKUP(F168,Dex!$P$22:$Q$276,2,FALSE),"")</f>
        <v/>
      </c>
      <c r="H168" s="2110">
        <v>8.0</v>
      </c>
      <c r="I168" s="2105"/>
      <c r="J168" s="2107" t="s">
        <v>193</v>
      </c>
      <c r="K168" s="2108">
        <f t="array" ref="K168">IFERROR(VLOOKUP(J154,Dex!$B$3:$N1218,9,FALSE),"")</f>
        <v>165</v>
      </c>
      <c r="L168" s="2109" t="str">
        <f t="array" ref="L168">IFERROR(VLOOKUP(K168,Dex!$P$22:$Q$276,2,FALSE),"")</f>
        <v/>
      </c>
      <c r="M168" s="2110">
        <v>252.0</v>
      </c>
      <c r="N168" s="2105"/>
      <c r="O168" s="2107" t="s">
        <v>193</v>
      </c>
      <c r="P168" s="2108">
        <f t="array" ref="P168">IFERROR(VLOOKUP(O154,Dex!$B$3:$N1218,9,FALSE),"")</f>
        <v>120</v>
      </c>
      <c r="Q168" s="2109" t="str">
        <f t="array" ref="Q168">IFERROR(VLOOKUP(P168,Dex!$P$22:$Q$276,2,FALSE),"")</f>
        <v/>
      </c>
      <c r="R168" s="2110"/>
      <c r="S168" s="2105"/>
      <c r="T168" s="2107" t="s">
        <v>193</v>
      </c>
      <c r="U168" s="2108">
        <f t="array" ref="U168">IFERROR(VLOOKUP(T154,Dex!$B$3:$N1218,9,FALSE),"")</f>
        <v>140</v>
      </c>
      <c r="V168" s="2109" t="str">
        <f t="array" ref="V168">IFERROR(VLOOKUP(U168,Dex!$P$22:$Q$276,2,FALSE),"")</f>
        <v/>
      </c>
      <c r="W168" s="2110"/>
      <c r="X168" s="2105"/>
      <c r="Y168" s="2107" t="s">
        <v>193</v>
      </c>
      <c r="Z168" s="2108">
        <f t="array" ref="Z168">IFERROR(VLOOKUP(Y154,Dex!$B$3:$N1218,9,FALSE),"")</f>
        <v>120</v>
      </c>
      <c r="AA168" s="2109" t="str">
        <f t="array" ref="AA168">IFERROR(VLOOKUP(Z168,Dex!$P$22:$Q$276,2,FALSE),"")</f>
        <v/>
      </c>
      <c r="AB168" s="2110">
        <v>252.0</v>
      </c>
      <c r="AC168" s="2105"/>
      <c r="AD168" s="2107" t="s">
        <v>193</v>
      </c>
      <c r="AE168" s="2108">
        <f t="array" ref="AE168">IFERROR(VLOOKUP(AD154,Dex!$B$3:$N1218,9,FALSE),"")</f>
        <v>185</v>
      </c>
      <c r="AF168" s="2109" t="str">
        <f t="array" ref="AF168">IFERROR(VLOOKUP(AE168,Dex!$P$22:$Q$276,2,FALSE),"")</f>
        <v/>
      </c>
      <c r="AG168" s="2110">
        <v>252.0</v>
      </c>
      <c r="AH168" s="2106"/>
      <c r="AI168" s="6192"/>
    </row>
    <row r="169" ht="15.75" customHeight="1">
      <c r="A169" s="6185"/>
      <c r="B169" s="2096"/>
      <c r="C169" s="2088"/>
      <c r="D169" s="2097"/>
      <c r="E169" s="2107" t="s">
        <v>194</v>
      </c>
      <c r="F169" s="2108">
        <f t="array" ref="F169">IFERROR(VLOOKUP(E154,Dex!$B$3:$N1218,10,FALSE),"")</f>
        <v>105</v>
      </c>
      <c r="G169" s="2109" t="str">
        <f t="array" ref="G169">IFERROR(VLOOKUP(F169,Dex!$P$22:$Q$276,2,FALSE),"")</f>
        <v/>
      </c>
      <c r="H169" s="2110"/>
      <c r="I169" s="2105"/>
      <c r="J169" s="2107" t="s">
        <v>194</v>
      </c>
      <c r="K169" s="2108">
        <f t="array" ref="K169">IFERROR(VLOOKUP(J154,Dex!$B$3:$N1218,10,FALSE),"")</f>
        <v>150</v>
      </c>
      <c r="L169" s="2109" t="str">
        <f t="array" ref="L169">IFERROR(VLOOKUP(K169,Dex!$P$22:$Q$276,2,FALSE),"")</f>
        <v/>
      </c>
      <c r="M169" s="2110">
        <v>8.0</v>
      </c>
      <c r="N169" s="2105"/>
      <c r="O169" s="2107" t="s">
        <v>194</v>
      </c>
      <c r="P169" s="2108">
        <f t="array" ref="P169">IFERROR(VLOOKUP(O154,Dex!$B$3:$N1218,10,FALSE),"")</f>
        <v>90</v>
      </c>
      <c r="Q169" s="2109" t="str">
        <f t="array" ref="Q169">IFERROR(VLOOKUP(P169,Dex!$P$22:$Q$276,2,FALSE),"")</f>
        <v/>
      </c>
      <c r="R169" s="2110">
        <v>8.0</v>
      </c>
      <c r="S169" s="2105"/>
      <c r="T169" s="2107" t="s">
        <v>194</v>
      </c>
      <c r="U169" s="2108">
        <f t="array" ref="U169">IFERROR(VLOOKUP(T154,Dex!$B$3:$N1218,10,FALSE),"")</f>
        <v>130</v>
      </c>
      <c r="V169" s="2109" t="str">
        <f t="array" ref="V169">IFERROR(VLOOKUP(U169,Dex!$P$22:$Q$276,2,FALSE),"")</f>
        <v/>
      </c>
      <c r="W169" s="2110"/>
      <c r="X169" s="2105"/>
      <c r="Y169" s="2107" t="s">
        <v>194</v>
      </c>
      <c r="Z169" s="2108">
        <f t="array" ref="Z169">IFERROR(VLOOKUP(Y154,Dex!$B$3:$N1218,10,FALSE),"")</f>
        <v>120</v>
      </c>
      <c r="AA169" s="2109" t="str">
        <f t="array" ref="AA169">IFERROR(VLOOKUP(Z169,Dex!$P$22:$Q$276,2,FALSE),"")</f>
        <v/>
      </c>
      <c r="AB169" s="2110">
        <v>4.0</v>
      </c>
      <c r="AC169" s="2105"/>
      <c r="AD169" s="2107" t="s">
        <v>194</v>
      </c>
      <c r="AE169" s="2108">
        <f t="array" ref="AE169">IFERROR(VLOOKUP(AD154,Dex!$B$3:$N1218,10,FALSE),"")</f>
        <v>115</v>
      </c>
      <c r="AF169" s="2109" t="str">
        <f t="array" ref="AF169">IFERROR(VLOOKUP(AE169,Dex!$P$22:$Q$276,2,FALSE),"")</f>
        <v/>
      </c>
      <c r="AG169" s="2110">
        <v>4.0</v>
      </c>
      <c r="AH169" s="2106"/>
      <c r="AI169" s="6192"/>
    </row>
    <row r="170" ht="15.75" customHeight="1">
      <c r="A170" s="6185"/>
      <c r="B170" s="2096"/>
      <c r="C170" s="2088"/>
      <c r="D170" s="2097"/>
      <c r="E170" s="2107" t="s">
        <v>195</v>
      </c>
      <c r="F170" s="2108">
        <f t="array" ref="F170">IFERROR(VLOOKUP(E154,Dex!$B$3:$N1218,11,FALSE),"")</f>
        <v>132</v>
      </c>
      <c r="G170" s="2109" t="str">
        <f t="array" ref="G170">IFERROR(VLOOKUP(F170,Dex!$P$22:$Q$276,2,FALSE),"")</f>
        <v/>
      </c>
      <c r="H170" s="2110">
        <v>252.0</v>
      </c>
      <c r="I170" s="2105"/>
      <c r="J170" s="2107" t="s">
        <v>195</v>
      </c>
      <c r="K170" s="2108">
        <f t="array" ref="K170">IFERROR(VLOOKUP(J154,Dex!$B$3:$N1218,11,FALSE),"")</f>
        <v>85</v>
      </c>
      <c r="L170" s="2109" t="str">
        <f t="array" ref="L170">IFERROR(VLOOKUP(K170,Dex!$P$22:$Q$276,2,FALSE),"")</f>
        <v/>
      </c>
      <c r="M170" s="2110"/>
      <c r="N170" s="2105"/>
      <c r="O170" s="2107" t="s">
        <v>195</v>
      </c>
      <c r="P170" s="2108">
        <f t="array" ref="P170">IFERROR(VLOOKUP(O154,Dex!$B$3:$N1218,11,FALSE),"")</f>
        <v>170</v>
      </c>
      <c r="Q170" s="2109" t="str">
        <f t="array" ref="Q170">IFERROR(VLOOKUP(P170,Dex!$P$22:$Q$276,2,FALSE),"")</f>
        <v/>
      </c>
      <c r="R170" s="2110">
        <v>252.0</v>
      </c>
      <c r="S170" s="2105"/>
      <c r="T170" s="2107" t="s">
        <v>195</v>
      </c>
      <c r="U170" s="2108">
        <f t="array" ref="U170">IFERROR(VLOOKUP(T154,Dex!$B$3:$N1218,11,FALSE),"")</f>
        <v>140</v>
      </c>
      <c r="V170" s="2109" t="str">
        <f t="array" ref="V170">IFERROR(VLOOKUP(U170,Dex!$P$22:$Q$276,2,FALSE),"")</f>
        <v/>
      </c>
      <c r="W170" s="2110">
        <v>252.0</v>
      </c>
      <c r="X170" s="2105"/>
      <c r="Y170" s="2107" t="s">
        <v>195</v>
      </c>
      <c r="Z170" s="2108">
        <f t="array" ref="Z170">IFERROR(VLOOKUP(Y154,Dex!$B$3:$N1218,11,FALSE),"")</f>
        <v>60</v>
      </c>
      <c r="AA170" s="2109" t="str">
        <f t="array" ref="AA170">IFERROR(VLOOKUP(Z170,Dex!$P$22:$Q$276,2,FALSE),"")</f>
        <v/>
      </c>
      <c r="AB170" s="2110"/>
      <c r="AC170" s="2105"/>
      <c r="AD170" s="2107" t="s">
        <v>195</v>
      </c>
      <c r="AE170" s="2108">
        <f t="array" ref="AE170">IFERROR(VLOOKUP(AD154,Dex!$B$3:$N1218,11,FALSE),"")</f>
        <v>40</v>
      </c>
      <c r="AF170" s="2109" t="str">
        <f t="array" ref="AF170">IFERROR(VLOOKUP(AE170,Dex!$P$22:$Q$276,2,FALSE),"")</f>
        <v/>
      </c>
      <c r="AG170" s="2110"/>
      <c r="AH170" s="2106"/>
      <c r="AI170" s="6192"/>
    </row>
    <row r="171" ht="15.75" customHeight="1">
      <c r="A171" s="6185"/>
      <c r="B171" s="2096"/>
      <c r="C171" s="2088"/>
      <c r="D171" s="2097"/>
      <c r="E171" s="2107" t="s">
        <v>196</v>
      </c>
      <c r="F171" s="2108">
        <f t="array" ref="F171">IFERROR(VLOOKUP(E154,Dex!$B$3:$N1218,12,FALSE),"")</f>
        <v>105</v>
      </c>
      <c r="G171" s="2109" t="str">
        <f t="array" ref="G171">IFERROR(VLOOKUP(F171,Dex!$P$22:$Q$276,2,FALSE),"")</f>
        <v/>
      </c>
      <c r="H171" s="2110"/>
      <c r="I171" s="2105"/>
      <c r="J171" s="2107" t="s">
        <v>196</v>
      </c>
      <c r="K171" s="2108">
        <f t="array" ref="K171">IFERROR(VLOOKUP(J154,Dex!$B$3:$N1218,12,FALSE),"")</f>
        <v>130</v>
      </c>
      <c r="L171" s="2109" t="str">
        <f t="array" ref="L171">IFERROR(VLOOKUP(K171,Dex!$P$22:$Q$276,2,FALSE),"")</f>
        <v/>
      </c>
      <c r="M171" s="2110"/>
      <c r="N171" s="2105"/>
      <c r="O171" s="2107" t="s">
        <v>196</v>
      </c>
      <c r="P171" s="2108">
        <f t="array" ref="P171">IFERROR(VLOOKUP(O154,Dex!$B$3:$N1218,12,FALSE),"")</f>
        <v>100</v>
      </c>
      <c r="Q171" s="2109" t="str">
        <f t="array" ref="Q171">IFERROR(VLOOKUP(P171,Dex!$P$22:$Q$276,2,FALSE),"")</f>
        <v/>
      </c>
      <c r="R171" s="2110"/>
      <c r="S171" s="2105"/>
      <c r="T171" s="2107" t="s">
        <v>196</v>
      </c>
      <c r="U171" s="2108">
        <f t="array" ref="U171">IFERROR(VLOOKUP(T154,Dex!$B$3:$N1218,12,FALSE),"")</f>
        <v>135</v>
      </c>
      <c r="V171" s="2109" t="str">
        <f t="array" ref="V171">IFERROR(VLOOKUP(U171,Dex!$P$22:$Q$276,2,FALSE),"")</f>
        <v/>
      </c>
      <c r="W171" s="2110"/>
      <c r="X171" s="2105"/>
      <c r="Y171" s="2107" t="s">
        <v>196</v>
      </c>
      <c r="Z171" s="2108">
        <f t="array" ref="Z171">IFERROR(VLOOKUP(Y154,Dex!$B$3:$N1218,12,FALSE),"")</f>
        <v>60</v>
      </c>
      <c r="AA171" s="2109" t="str">
        <f t="array" ref="AA171">IFERROR(VLOOKUP(Z171,Dex!$P$22:$Q$276,2,FALSE),"")</f>
        <v/>
      </c>
      <c r="AB171" s="2110"/>
      <c r="AC171" s="2105"/>
      <c r="AD171" s="2107" t="s">
        <v>196</v>
      </c>
      <c r="AE171" s="2108">
        <f t="array" ref="AE171">IFERROR(VLOOKUP(AD154,Dex!$B$3:$N1218,12,FALSE),"")</f>
        <v>105</v>
      </c>
      <c r="AF171" s="2109" t="str">
        <f t="array" ref="AF171">IFERROR(VLOOKUP(AE171,Dex!$P$22:$Q$276,2,FALSE),"")</f>
        <v/>
      </c>
      <c r="AG171" s="2110"/>
      <c r="AH171" s="2106"/>
      <c r="AI171" s="6192"/>
    </row>
    <row r="172" ht="15.75" customHeight="1">
      <c r="A172" s="6185"/>
      <c r="B172" s="2096"/>
      <c r="C172" s="2088"/>
      <c r="D172" s="2097"/>
      <c r="E172" s="2111" t="s">
        <v>197</v>
      </c>
      <c r="F172" s="2112">
        <f t="array" ref="F172">IFERROR(VLOOKUP(E154,Dex!$B$3:$N1218,13,FALSE),"")</f>
        <v>60</v>
      </c>
      <c r="G172" s="2113" t="str">
        <f t="array" ref="G172">IFERROR(VLOOKUP(F172,Dex!$P$22:$Q$276,2,FALSE),"")</f>
        <v/>
      </c>
      <c r="H172" s="2114"/>
      <c r="I172" s="2105"/>
      <c r="J172" s="2111" t="s">
        <v>197</v>
      </c>
      <c r="K172" s="2112">
        <f t="array" ref="K172">IFERROR(VLOOKUP(J154,Dex!$B$3:$N1218,13,FALSE),"")</f>
        <v>50</v>
      </c>
      <c r="L172" s="2113" t="str">
        <f t="array" ref="L172">IFERROR(VLOOKUP(K172,Dex!$P$22:$Q$276,2,FALSE),"")</f>
        <v/>
      </c>
      <c r="M172" s="2114"/>
      <c r="N172" s="2105"/>
      <c r="O172" s="2111" t="s">
        <v>197</v>
      </c>
      <c r="P172" s="2112">
        <f t="array" ref="P172">IFERROR(VLOOKUP(O154,Dex!$B$3:$N1218,13,FALSE),"")</f>
        <v>95</v>
      </c>
      <c r="Q172" s="2113" t="str">
        <f t="array" ref="Q172">IFERROR(VLOOKUP(P172,Dex!$P$22:$Q$276,2,FALSE),"")</f>
        <v/>
      </c>
      <c r="R172" s="2114"/>
      <c r="S172" s="2105"/>
      <c r="T172" s="2111" t="s">
        <v>197</v>
      </c>
      <c r="U172" s="2112">
        <f t="array" ref="U172">IFERROR(VLOOKUP(T154,Dex!$B$3:$N1218,13,FALSE),"")</f>
        <v>25</v>
      </c>
      <c r="V172" s="2113" t="str">
        <f t="array" ref="V172">IFERROR(VLOOKUP(U172,Dex!$P$22:$Q$276,2,FALSE),"")</f>
        <v/>
      </c>
      <c r="W172" s="2114"/>
      <c r="X172" s="2105"/>
      <c r="Y172" s="2111" t="s">
        <v>197</v>
      </c>
      <c r="Z172" s="2112">
        <f t="array" ref="Z172">IFERROR(VLOOKUP(Y154,Dex!$B$3:$N1218,13,FALSE),"")</f>
        <v>50</v>
      </c>
      <c r="AA172" s="2113" t="str">
        <f t="array" ref="AA172">IFERROR(VLOOKUP(Z172,Dex!$P$22:$Q$276,2,FALSE),"")</f>
        <v/>
      </c>
      <c r="AB172" s="2114"/>
      <c r="AC172" s="2105"/>
      <c r="AD172" s="2111" t="s">
        <v>197</v>
      </c>
      <c r="AE172" s="2112">
        <f t="array" ref="AE172">IFERROR(VLOOKUP(AD154,Dex!$B$3:$N1218,13,FALSE),"")</f>
        <v>75</v>
      </c>
      <c r="AF172" s="2113" t="str">
        <f t="array" ref="AF172">IFERROR(VLOOKUP(AE172,Dex!$P$22:$Q$276,2,FALSE),"")</f>
        <v/>
      </c>
      <c r="AG172" s="2114"/>
      <c r="AH172" s="2106"/>
      <c r="AI172" s="6192"/>
    </row>
    <row r="173" ht="16.5" customHeight="1">
      <c r="A173" s="6185"/>
      <c r="B173" s="2096"/>
      <c r="C173" s="2088"/>
      <c r="D173" s="2097"/>
      <c r="E173" s="2115" t="s">
        <v>198</v>
      </c>
      <c r="F173" s="405"/>
      <c r="G173" s="406"/>
      <c r="H173" s="2116">
        <v>112.0</v>
      </c>
      <c r="I173" s="2097"/>
      <c r="J173" s="2115" t="s">
        <v>198</v>
      </c>
      <c r="K173" s="405"/>
      <c r="L173" s="406"/>
      <c r="M173" s="2116">
        <v>94.0</v>
      </c>
      <c r="N173" s="2097"/>
      <c r="O173" s="2115" t="s">
        <v>198</v>
      </c>
      <c r="P173" s="405"/>
      <c r="Q173" s="406"/>
      <c r="R173" s="2116">
        <v>175.0</v>
      </c>
      <c r="S173" s="2097"/>
      <c r="T173" s="2117" t="s">
        <v>198</v>
      </c>
      <c r="U173" s="918"/>
      <c r="V173" s="919"/>
      <c r="W173" s="2118">
        <v>67.0</v>
      </c>
      <c r="X173" s="2097"/>
      <c r="Y173" s="2115" t="s">
        <v>198</v>
      </c>
      <c r="Z173" s="405"/>
      <c r="AA173" s="406"/>
      <c r="AB173" s="2116">
        <v>94.0</v>
      </c>
      <c r="AC173" s="2097"/>
      <c r="AD173" s="2115" t="s">
        <v>198</v>
      </c>
      <c r="AE173" s="405"/>
      <c r="AF173" s="406"/>
      <c r="AG173" s="2116">
        <v>139.0</v>
      </c>
      <c r="AH173" s="2100"/>
      <c r="AI173" s="6192"/>
    </row>
    <row r="174" ht="15.75" customHeight="1">
      <c r="A174" s="6185"/>
      <c r="B174" s="2096"/>
      <c r="C174" s="2088"/>
      <c r="D174" s="2097"/>
      <c r="E174" s="2120"/>
      <c r="F174" s="2120"/>
      <c r="G174" s="2120"/>
      <c r="H174" s="2119"/>
      <c r="I174" s="2097"/>
      <c r="J174" s="2120"/>
      <c r="K174" s="2120"/>
      <c r="L174" s="2120"/>
      <c r="M174" s="2119"/>
      <c r="N174" s="2097"/>
      <c r="O174" s="2120"/>
      <c r="P174" s="2120"/>
      <c r="Q174" s="2120"/>
      <c r="R174" s="2119"/>
      <c r="S174" s="2097"/>
      <c r="T174" s="2121" t="s">
        <v>1579</v>
      </c>
      <c r="U174" s="925"/>
      <c r="V174" s="926"/>
      <c r="W174" s="2122">
        <v>49.0</v>
      </c>
      <c r="X174" s="2097"/>
      <c r="Y174" s="2120"/>
      <c r="Z174" s="2120"/>
      <c r="AA174" s="2120"/>
      <c r="AB174" s="2119"/>
      <c r="AC174" s="2097"/>
      <c r="AD174" s="2120"/>
      <c r="AE174" s="2120"/>
      <c r="AF174" s="2120"/>
      <c r="AG174" s="2119"/>
      <c r="AH174" s="2100"/>
      <c r="AI174" s="6192"/>
    </row>
    <row r="175" ht="15.0" customHeight="1">
      <c r="A175" s="6185"/>
      <c r="B175" s="2123"/>
      <c r="C175" s="2124"/>
      <c r="D175" s="2125"/>
      <c r="E175" s="2127"/>
      <c r="F175" s="2127"/>
      <c r="G175" s="2127"/>
      <c r="H175" s="2126"/>
      <c r="I175" s="2125"/>
      <c r="J175" s="2126"/>
      <c r="K175" s="2126"/>
      <c r="L175" s="2126"/>
      <c r="M175" s="2126"/>
      <c r="N175" s="2125"/>
      <c r="O175" s="2126"/>
      <c r="P175" s="2126"/>
      <c r="Q175" s="2126"/>
      <c r="R175" s="2126"/>
      <c r="S175" s="2125"/>
      <c r="T175" s="2126"/>
      <c r="U175" s="2126"/>
      <c r="V175" s="2126"/>
      <c r="W175" s="2126"/>
      <c r="X175" s="2125"/>
      <c r="Y175" s="2127"/>
      <c r="Z175" s="2127"/>
      <c r="AA175" s="2127"/>
      <c r="AB175" s="2127"/>
      <c r="AC175" s="2125"/>
      <c r="AD175" s="2126"/>
      <c r="AE175" s="2126"/>
      <c r="AF175" s="2126"/>
      <c r="AG175" s="2126"/>
      <c r="AH175" s="2128"/>
      <c r="AI175" s="6192"/>
    </row>
    <row r="176" ht="15.0" customHeight="1">
      <c r="A176" s="6185"/>
      <c r="B176" s="3491"/>
      <c r="C176" s="3492"/>
      <c r="D176" s="3493"/>
      <c r="E176" s="3493"/>
      <c r="F176" s="3493"/>
      <c r="G176" s="3493"/>
      <c r="H176" s="3493"/>
      <c r="I176" s="3493"/>
      <c r="J176" s="3493"/>
      <c r="K176" s="3493"/>
      <c r="L176" s="3493"/>
      <c r="M176" s="3493"/>
      <c r="N176" s="3493"/>
      <c r="O176" s="3493"/>
      <c r="P176" s="3493"/>
      <c r="Q176" s="3493"/>
      <c r="R176" s="3493"/>
      <c r="S176" s="3493"/>
      <c r="T176" s="3493"/>
      <c r="U176" s="3493"/>
      <c r="V176" s="3493"/>
      <c r="W176" s="3493"/>
      <c r="X176" s="3493"/>
      <c r="Y176" s="3493"/>
      <c r="Z176" s="3493"/>
      <c r="AA176" s="3493"/>
      <c r="AB176" s="3493"/>
      <c r="AC176" s="3493"/>
      <c r="AD176" s="3493"/>
      <c r="AE176" s="3493"/>
      <c r="AF176" s="3493"/>
      <c r="AG176" s="3493"/>
      <c r="AH176" s="3495"/>
      <c r="AI176" s="6192"/>
    </row>
    <row r="177">
      <c r="A177" s="6185"/>
      <c r="B177" s="5123"/>
      <c r="C177" s="5124"/>
      <c r="D177" s="3505"/>
      <c r="E177" s="5125" t="s">
        <v>1580</v>
      </c>
      <c r="F177" s="3541"/>
      <c r="G177" s="3541"/>
      <c r="H177" s="3541"/>
      <c r="I177" s="3541"/>
      <c r="J177" s="3541"/>
      <c r="K177" s="3541"/>
      <c r="L177" s="3541"/>
      <c r="M177" s="3541"/>
      <c r="N177" s="3541"/>
      <c r="O177" s="3541"/>
      <c r="P177" s="3541"/>
      <c r="Q177" s="3541"/>
      <c r="R177" s="3541"/>
      <c r="S177" s="3541"/>
      <c r="T177" s="3541"/>
      <c r="U177" s="3541"/>
      <c r="V177" s="3541"/>
      <c r="W177" s="3541"/>
      <c r="X177" s="3541"/>
      <c r="Y177" s="3541"/>
      <c r="Z177" s="3541"/>
      <c r="AA177" s="3541"/>
      <c r="AB177" s="3541"/>
      <c r="AC177" s="3541"/>
      <c r="AD177" s="3541"/>
      <c r="AE177" s="3541"/>
      <c r="AF177" s="3541"/>
      <c r="AG177" s="3542"/>
      <c r="AH177" s="5126"/>
      <c r="AI177" s="6192"/>
    </row>
    <row r="178" ht="96.75" customHeight="1">
      <c r="A178" s="6185"/>
      <c r="B178" s="3496"/>
      <c r="C178" s="3497" t="str">
        <f>IMAGE("https://i.ibb.co/TKBZjnF/Ace-Trainer-M.png")</f>
        <v/>
      </c>
      <c r="D178" s="3498"/>
      <c r="E178" s="3499" t="str">
        <f t="array" ref="E178">IFERROR(VLOOKUP(E179,Dex!$B$3:$G1218,3,FALSE),"")</f>
        <v/>
      </c>
      <c r="F178" s="381"/>
      <c r="G178" s="381"/>
      <c r="H178" s="2531"/>
      <c r="I178" s="3500"/>
      <c r="J178" s="3499" t="str">
        <f t="array" ref="J178">IFERROR(VLOOKUP(J179,Dex!$B$3:$G1218,3,FALSE),"")</f>
        <v/>
      </c>
      <c r="K178" s="381"/>
      <c r="L178" s="381"/>
      <c r="M178" s="2531"/>
      <c r="N178" s="5127"/>
      <c r="O178" s="3499" t="str">
        <f t="array" ref="O178">IFERROR(VLOOKUP(O179,Dex!$B$3:$G1218,3,FALSE),"")</f>
        <v/>
      </c>
      <c r="P178" s="381"/>
      <c r="Q178" s="381"/>
      <c r="R178" s="2531"/>
      <c r="S178" s="5128"/>
      <c r="T178" s="3499" t="str">
        <f t="array" ref="T178">IFERROR(VLOOKUP(T179,Dex!$B$3:$G1218,3,FALSE),"")</f>
        <v/>
      </c>
      <c r="U178" s="381"/>
      <c r="V178" s="381"/>
      <c r="W178" s="2531"/>
      <c r="X178" s="5127"/>
      <c r="Y178" s="3499" t="str">
        <f t="array" ref="Y178">IFERROR(VLOOKUP(Y179,Dex!$B$3:$G1218,3,FALSE),"")</f>
        <v/>
      </c>
      <c r="Z178" s="381"/>
      <c r="AA178" s="381"/>
      <c r="AB178" s="2531"/>
      <c r="AC178" s="5128"/>
      <c r="AD178" s="3499" t="str">
        <f t="array" ref="AD178">IFERROR(VLOOKUP(AD179,Dex!$B$3:$G1218,3,FALSE),"")</f>
        <v/>
      </c>
      <c r="AE178" s="381"/>
      <c r="AF178" s="381"/>
      <c r="AG178" s="2531"/>
      <c r="AH178" s="5181"/>
      <c r="AI178" s="6192"/>
    </row>
    <row r="179" ht="18.75" customHeight="1">
      <c r="A179" s="6185"/>
      <c r="B179" s="6302"/>
      <c r="C179" s="6303" t="s">
        <v>1581</v>
      </c>
      <c r="D179" s="6304"/>
      <c r="E179" s="5129" t="s">
        <v>1582</v>
      </c>
      <c r="F179" s="3512"/>
      <c r="G179" s="3512"/>
      <c r="H179" s="5130"/>
      <c r="J179" s="5129" t="s">
        <v>1544</v>
      </c>
      <c r="K179" s="3512"/>
      <c r="L179" s="3512"/>
      <c r="M179" s="5130"/>
      <c r="O179" s="5129" t="s">
        <v>967</v>
      </c>
      <c r="P179" s="3512"/>
      <c r="Q179" s="3512"/>
      <c r="R179" s="5130"/>
      <c r="T179" s="5129" t="s">
        <v>1364</v>
      </c>
      <c r="U179" s="3512"/>
      <c r="V179" s="3512"/>
      <c r="W179" s="5130"/>
      <c r="Y179" s="5129" t="s">
        <v>1583</v>
      </c>
      <c r="Z179" s="3512"/>
      <c r="AA179" s="3512"/>
      <c r="AB179" s="5130"/>
      <c r="AD179" s="5129" t="s">
        <v>1584</v>
      </c>
      <c r="AE179" s="3512"/>
      <c r="AF179" s="3512"/>
      <c r="AG179" s="5130"/>
      <c r="AH179" s="5182"/>
      <c r="AI179" s="6192"/>
    </row>
    <row r="180">
      <c r="A180" s="6185"/>
      <c r="B180" s="6305"/>
      <c r="C180" s="3030"/>
      <c r="D180" s="6306"/>
      <c r="E180" s="5131" t="s">
        <v>1502</v>
      </c>
      <c r="F180" s="3521"/>
      <c r="G180" s="3521"/>
      <c r="H180" s="5132"/>
      <c r="J180" s="5131" t="s">
        <v>1502</v>
      </c>
      <c r="K180" s="3521"/>
      <c r="L180" s="3521"/>
      <c r="M180" s="5132"/>
      <c r="O180" s="5131" t="s">
        <v>1502</v>
      </c>
      <c r="P180" s="3521"/>
      <c r="Q180" s="3521"/>
      <c r="R180" s="5132"/>
      <c r="T180" s="5131" t="s">
        <v>1502</v>
      </c>
      <c r="U180" s="3521"/>
      <c r="V180" s="3521"/>
      <c r="W180" s="5132"/>
      <c r="Y180" s="5131" t="s">
        <v>1502</v>
      </c>
      <c r="Z180" s="3521"/>
      <c r="AA180" s="3521"/>
      <c r="AB180" s="5132"/>
      <c r="AD180" s="5131" t="s">
        <v>1502</v>
      </c>
      <c r="AE180" s="3521"/>
      <c r="AF180" s="3521"/>
      <c r="AG180" s="5132"/>
      <c r="AH180" s="5183"/>
      <c r="AI180" s="6192"/>
    </row>
    <row r="181" ht="25.5" customHeight="1">
      <c r="A181" s="6185"/>
      <c r="B181" s="6307"/>
      <c r="C181" s="3030"/>
      <c r="D181" s="6308"/>
      <c r="E181" s="5133"/>
      <c r="F181" s="5134" t="str">
        <f t="array" ref="F181">IFERROR(VLOOKUP(E179,Dex!$B$3:$H1218,5,FALSE),"")</f>
        <v/>
      </c>
      <c r="G181" s="5135" t="str">
        <f t="array" ref="G181">IFERROR(VLOOKUP(E179,Dex!$B$3:$H1218,7,FALSE),"")</f>
        <v/>
      </c>
      <c r="H181" s="5136"/>
      <c r="J181" s="5133"/>
      <c r="K181" s="5134" t="str">
        <f t="array" ref="K181">IFERROR(VLOOKUP(J179,Dex!$B$3:$H1218,5,FALSE),"")</f>
        <v/>
      </c>
      <c r="L181" s="5135" t="str">
        <f t="array" ref="L181">IFERROR(VLOOKUP(J179,Dex!$B$3:$H1218,7,FALSE),"")</f>
        <v/>
      </c>
      <c r="M181" s="5136"/>
      <c r="O181" s="5133"/>
      <c r="P181" s="5134" t="str">
        <f t="array" ref="P181">IFERROR(VLOOKUP(O179,Dex!$B$3:$H1218,5,FALSE),"")</f>
        <v/>
      </c>
      <c r="Q181" s="5135" t="str">
        <f t="array" ref="Q181">IFERROR(VLOOKUP(O179,Dex!$B$3:$H1218,7,FALSE),"")</f>
        <v/>
      </c>
      <c r="R181" s="5136"/>
      <c r="T181" s="5133"/>
      <c r="U181" s="5134" t="str">
        <f t="array" ref="U181">IFERROR(VLOOKUP(T179,Dex!$B$3:$H1218,5,FALSE),"")</f>
        <v/>
      </c>
      <c r="V181" s="5135" t="str">
        <f t="array" ref="V181">IFERROR(VLOOKUP(T179,Dex!$B$3:$H1218,7,FALSE),"")</f>
        <v/>
      </c>
      <c r="W181" s="5136"/>
      <c r="Y181" s="5133"/>
      <c r="Z181" s="5134" t="str">
        <f t="array" ref="Z181">IFERROR(VLOOKUP(Y179,Dex!$B$3:$H1218,5,FALSE),"")</f>
        <v/>
      </c>
      <c r="AA181" s="5135" t="str">
        <f t="array" ref="AA181">IFERROR(VLOOKUP(Y179,Dex!$B$3:$H1218,7,FALSE),"")</f>
        <v/>
      </c>
      <c r="AB181" s="5136"/>
      <c r="AD181" s="5133"/>
      <c r="AE181" s="5134" t="str">
        <f t="array" ref="AE181">IFERROR(VLOOKUP(AD179,Dex!$B$3:$H1218,5,FALSE),"")</f>
        <v/>
      </c>
      <c r="AF181" s="5135" t="str">
        <f t="array" ref="AF181">IFERROR(VLOOKUP(AD179,Dex!$B$3:$H1218,7,FALSE),"")</f>
        <v/>
      </c>
      <c r="AG181" s="5136"/>
      <c r="AH181" s="3507"/>
      <c r="AI181" s="6192"/>
    </row>
    <row r="182" ht="2.25" customHeight="1">
      <c r="A182" s="6185"/>
      <c r="B182" s="6307"/>
      <c r="C182" s="3030"/>
      <c r="D182" s="6308"/>
      <c r="E182" s="5137"/>
      <c r="F182" s="5138"/>
      <c r="G182" s="5138"/>
      <c r="H182" s="5139"/>
      <c r="J182" s="5137"/>
      <c r="K182" s="5138"/>
      <c r="L182" s="5138"/>
      <c r="M182" s="5139"/>
      <c r="O182" s="5137"/>
      <c r="P182" s="5138"/>
      <c r="Q182" s="5138"/>
      <c r="R182" s="5139"/>
      <c r="T182" s="5137"/>
      <c r="U182" s="5138"/>
      <c r="V182" s="5138"/>
      <c r="W182" s="5139"/>
      <c r="Y182" s="5137"/>
      <c r="Z182" s="5138"/>
      <c r="AA182" s="5138"/>
      <c r="AB182" s="5139"/>
      <c r="AD182" s="5137"/>
      <c r="AE182" s="5138"/>
      <c r="AF182" s="5138"/>
      <c r="AG182" s="5139"/>
      <c r="AH182" s="3507"/>
      <c r="AI182" s="6192"/>
    </row>
    <row r="183" ht="20.25" customHeight="1">
      <c r="A183" s="6185"/>
      <c r="B183" s="6307"/>
      <c r="C183" s="3045"/>
      <c r="D183" s="6308"/>
      <c r="E183" s="3534" t="s">
        <v>172</v>
      </c>
      <c r="F183" s="3535"/>
      <c r="G183" s="3535"/>
      <c r="H183" s="3536"/>
      <c r="J183" s="3534" t="s">
        <v>779</v>
      </c>
      <c r="K183" s="3535"/>
      <c r="L183" s="3535"/>
      <c r="M183" s="3536"/>
      <c r="O183" s="3534" t="s">
        <v>264</v>
      </c>
      <c r="P183" s="3535"/>
      <c r="Q183" s="3535"/>
      <c r="R183" s="3536"/>
      <c r="T183" s="3534" t="s">
        <v>297</v>
      </c>
      <c r="U183" s="3535"/>
      <c r="V183" s="3535"/>
      <c r="W183" s="3536"/>
      <c r="Y183" s="3534" t="s">
        <v>779</v>
      </c>
      <c r="Z183" s="3535"/>
      <c r="AA183" s="3535"/>
      <c r="AB183" s="3536"/>
      <c r="AD183" s="3534" t="s">
        <v>205</v>
      </c>
      <c r="AE183" s="3535"/>
      <c r="AF183" s="3535"/>
      <c r="AG183" s="3536"/>
      <c r="AH183" s="5181"/>
      <c r="AI183" s="6192"/>
    </row>
    <row r="184">
      <c r="A184" s="6185"/>
      <c r="B184" s="3496"/>
      <c r="C184" s="6309"/>
      <c r="D184" s="3498"/>
      <c r="E184" s="3538" t="s">
        <v>716</v>
      </c>
      <c r="F184" s="3503"/>
      <c r="G184" s="3503"/>
      <c r="H184" s="3539"/>
      <c r="J184" s="3538" t="s">
        <v>1080</v>
      </c>
      <c r="K184" s="3503"/>
      <c r="L184" s="3503"/>
      <c r="M184" s="3539"/>
      <c r="O184" s="3538" t="s">
        <v>1585</v>
      </c>
      <c r="P184" s="3503"/>
      <c r="Q184" s="3503"/>
      <c r="R184" s="3539"/>
      <c r="T184" s="3538" t="s">
        <v>1368</v>
      </c>
      <c r="U184" s="3503"/>
      <c r="V184" s="3503"/>
      <c r="W184" s="3539"/>
      <c r="Y184" s="3538" t="s">
        <v>1586</v>
      </c>
      <c r="Z184" s="3503"/>
      <c r="AA184" s="3503"/>
      <c r="AB184" s="3539"/>
      <c r="AD184" s="3538" t="s">
        <v>532</v>
      </c>
      <c r="AE184" s="3503"/>
      <c r="AF184" s="3503"/>
      <c r="AG184" s="3539"/>
      <c r="AH184" s="5181"/>
      <c r="AI184" s="6192"/>
    </row>
    <row r="185" ht="20.25" customHeight="1">
      <c r="A185" s="6185"/>
      <c r="B185" s="3496"/>
      <c r="C185" s="3516"/>
      <c r="D185" s="3498"/>
      <c r="E185" s="3540" t="s">
        <v>473</v>
      </c>
      <c r="F185" s="3541"/>
      <c r="G185" s="3542"/>
      <c r="H185" s="3543" t="str">
        <f>IMAGE("https://raw.githubusercontent.com/msikma/pokesprite/master/items/hold-item/assault-vest.png",3)</f>
        <v/>
      </c>
      <c r="J185" s="3540" t="s">
        <v>240</v>
      </c>
      <c r="K185" s="3541"/>
      <c r="L185" s="3542"/>
      <c r="M185" s="3543" t="str">
        <f>IMAGE("https://raw.githubusercontent.com/msikma/pokesprite/master/items/hold-item/focus-sash.png",3)</f>
        <v/>
      </c>
      <c r="O185" s="3540" t="s">
        <v>971</v>
      </c>
      <c r="P185" s="3541"/>
      <c r="Q185" s="3542"/>
      <c r="R185" s="3543" t="str">
        <f>IMAGE("https://raw.githubusercontent.com/msikma/pokesprite/master/items/mega-stone/salamencite.png",3)</f>
        <v/>
      </c>
      <c r="T185" s="3540" t="s">
        <v>1587</v>
      </c>
      <c r="U185" s="3541"/>
      <c r="V185" s="3542"/>
      <c r="W185" s="3543" t="str">
        <f>IMAGE("https://raw.githubusercontent.com/msikma/pokesprite/master/items/z-crystals/ghostium-z--held.png",3)</f>
        <v/>
      </c>
      <c r="Y185" s="3540" t="s">
        <v>626</v>
      </c>
      <c r="Z185" s="3541"/>
      <c r="AA185" s="3542"/>
      <c r="AB185" s="3543" t="str">
        <f>IMAGE("https://raw.githubusercontent.com/msikma/pokesprite/master/items/hold-item/white-herb.png",3)</f>
        <v/>
      </c>
      <c r="AD185" s="3540" t="s">
        <v>1506</v>
      </c>
      <c r="AE185" s="3541"/>
      <c r="AF185" s="3542"/>
      <c r="AG185" s="3543" t="str">
        <f>IMAGE("https://raw.githubusercontent.com/msikma/pokesprite/master/items/gem/water.png",3)</f>
        <v/>
      </c>
      <c r="AH185" s="3507"/>
      <c r="AI185" s="6192"/>
    </row>
    <row r="186" ht="20.25" customHeight="1">
      <c r="A186" s="6185"/>
      <c r="B186" s="3496"/>
      <c r="C186" s="3544"/>
      <c r="D186" s="3498"/>
      <c r="E186" s="3534" t="s">
        <v>282</v>
      </c>
      <c r="F186" s="3535"/>
      <c r="G186" s="3545"/>
      <c r="H186" s="3546" t="str">
        <f>IMAGE("https://raw.githubusercontent.com/msikma/pokesprite/master/misc/types/gen8/ground.png",4,20,20)</f>
        <v/>
      </c>
      <c r="J186" s="3534" t="s">
        <v>400</v>
      </c>
      <c r="K186" s="3535"/>
      <c r="L186" s="3545"/>
      <c r="M186" s="3546" t="str">
        <f>IMAGE("https://raw.githubusercontent.com/msikma/pokesprite/master/misc/types/gen8/fairy.png",4,20,20)</f>
        <v/>
      </c>
      <c r="O186" s="3534" t="s">
        <v>640</v>
      </c>
      <c r="P186" s="3535"/>
      <c r="Q186" s="3545"/>
      <c r="R186" s="3546" t="str">
        <f>IMAGE("https://raw.githubusercontent.com/msikma/pokesprite/master/misc/types/gen8/flying.png",4,20,20)</f>
        <v/>
      </c>
      <c r="T186" s="3534" t="s">
        <v>1373</v>
      </c>
      <c r="U186" s="3535"/>
      <c r="V186" s="3545"/>
      <c r="W186" s="3546" t="str">
        <f>IMAGE("https://raw.githubusercontent.com/msikma/pokesprite/master/misc/types/gen8/steel.png",4,20,20)</f>
        <v/>
      </c>
      <c r="Y186" s="3534" t="s">
        <v>1081</v>
      </c>
      <c r="Z186" s="3535"/>
      <c r="AA186" s="3545"/>
      <c r="AB186" s="3546" t="str">
        <f>IMAGE("https://raw.githubusercontent.com/msikma/pokesprite/master/misc/types/gen8/fire.png",4,20,20)</f>
        <v/>
      </c>
      <c r="AD186" s="3534" t="s">
        <v>338</v>
      </c>
      <c r="AE186" s="3535"/>
      <c r="AF186" s="3545"/>
      <c r="AG186" s="3546" t="str">
        <f>IMAGE("https://raw.githubusercontent.com/msikma/pokesprite/master/misc/types/gen8/water.png",4,20,20)</f>
        <v/>
      </c>
      <c r="AH186" s="3507"/>
      <c r="AI186" s="6192"/>
    </row>
    <row r="187" ht="20.25" customHeight="1">
      <c r="A187" s="6185"/>
      <c r="B187" s="3496"/>
      <c r="C187" s="3529"/>
      <c r="D187" s="3498"/>
      <c r="E187" s="3538" t="s">
        <v>399</v>
      </c>
      <c r="F187" s="3503"/>
      <c r="G187" s="3504"/>
      <c r="H187" s="3547" t="str">
        <f>IMAGE("https://raw.githubusercontent.com/msikma/pokesprite/master/misc/types/gen8/rock.png",4,20,20)</f>
        <v/>
      </c>
      <c r="J187" s="3538" t="s">
        <v>561</v>
      </c>
      <c r="K187" s="3503"/>
      <c r="L187" s="3504"/>
      <c r="M187" s="3547" t="str">
        <f>IMAGE("https://raw.githubusercontent.com/msikma/pokesprite/master/misc/types/gen8/psychic.png",4,20,20)</f>
        <v/>
      </c>
      <c r="O187" s="3538" t="s">
        <v>1588</v>
      </c>
      <c r="P187" s="3503"/>
      <c r="Q187" s="3504"/>
      <c r="R187" s="3547" t="str">
        <f>IMAGE("https://raw.githubusercontent.com/msikma/pokesprite/master/misc/types/gen8/dragon.png",4,20,20)</f>
        <v/>
      </c>
      <c r="T187" s="3538" t="s">
        <v>318</v>
      </c>
      <c r="U187" s="3503"/>
      <c r="V187" s="3504"/>
      <c r="W187" s="3547" t="str">
        <f>IMAGE("https://raw.githubusercontent.com/msikma/pokesprite/master/misc/types/gen8/ghost.png",4,20,20)</f>
        <v/>
      </c>
      <c r="Y187" s="3538" t="s">
        <v>1147</v>
      </c>
      <c r="Z187" s="3503"/>
      <c r="AA187" s="3504"/>
      <c r="AB187" s="3547" t="str">
        <f>IMAGE("https://raw.githubusercontent.com/msikma/pokesprite/master/misc/types/gen8/electric.png",4,20,20)</f>
        <v/>
      </c>
      <c r="AD187" s="3538" t="s">
        <v>606</v>
      </c>
      <c r="AE187" s="3503"/>
      <c r="AF187" s="3504"/>
      <c r="AG187" s="3547" t="str">
        <f>IMAGE("https://raw.githubusercontent.com/msikma/pokesprite/master/misc/types/gen8/fighting.png",4,20,20)</f>
        <v/>
      </c>
      <c r="AH187" s="3507"/>
      <c r="AI187" s="6192"/>
    </row>
    <row r="188" ht="20.25" customHeight="1">
      <c r="A188" s="6185"/>
      <c r="B188" s="3496"/>
      <c r="C188" s="3529"/>
      <c r="D188" s="3498"/>
      <c r="E188" s="3538" t="s">
        <v>316</v>
      </c>
      <c r="F188" s="3503"/>
      <c r="G188" s="3504"/>
      <c r="H188" s="3547" t="str">
        <f>IMAGE("https://raw.githubusercontent.com/msikma/pokesprite/master/misc/types/gen8/fighting.png",4,20,20)</f>
        <v/>
      </c>
      <c r="J188" s="3538" t="s">
        <v>772</v>
      </c>
      <c r="K188" s="3503"/>
      <c r="L188" s="3504"/>
      <c r="M188" s="3547" t="str">
        <f>IMAGE("https://raw.githubusercontent.com/msikma/pokesprite/master/misc/types/gen8/fighting.png",4,20,20)</f>
        <v/>
      </c>
      <c r="O188" s="3538" t="s">
        <v>311</v>
      </c>
      <c r="P188" s="3503"/>
      <c r="Q188" s="3504"/>
      <c r="R188" s="3547" t="str">
        <f>IMAGE("https://raw.githubusercontent.com/msikma/pokesprite/master/misc/types/gen8/flying.png",4,20,20)</f>
        <v/>
      </c>
      <c r="T188" s="3538" t="s">
        <v>404</v>
      </c>
      <c r="U188" s="3503"/>
      <c r="V188" s="3504"/>
      <c r="W188" s="3547" t="str">
        <f>IMAGE("https://raw.githubusercontent.com/msikma/pokesprite/master/misc/types/gen8/steel.png",4,20,20)</f>
        <v/>
      </c>
      <c r="Y188" s="3538" t="s">
        <v>1589</v>
      </c>
      <c r="Z188" s="3503"/>
      <c r="AA188" s="3504"/>
      <c r="AB188" s="3547" t="str">
        <f>IMAGE("https://raw.githubusercontent.com/msikma/pokesprite/master/misc/types/gen8/ice.png",4,20,20)</f>
        <v/>
      </c>
      <c r="AD188" s="3538" t="s">
        <v>220</v>
      </c>
      <c r="AE188" s="3503"/>
      <c r="AF188" s="3504"/>
      <c r="AG188" s="3547" t="str">
        <f>IMAGE("https://raw.githubusercontent.com/msikma/pokesprite/master/misc/types/gen8/ice.png",4,20,20)</f>
        <v/>
      </c>
      <c r="AH188" s="3507"/>
      <c r="AI188" s="6192"/>
    </row>
    <row r="189" ht="21.0" customHeight="1">
      <c r="A189" s="6185"/>
      <c r="B189" s="3496"/>
      <c r="C189" s="3529"/>
      <c r="D189" s="3498"/>
      <c r="E189" s="3548" t="s">
        <v>339</v>
      </c>
      <c r="F189" s="3549"/>
      <c r="G189" s="3550"/>
      <c r="H189" s="3551" t="str">
        <f>IMAGE("https://raw.githubusercontent.com/msikma/pokesprite/master/misc/types/gen8/dark.png",4,20,20)</f>
        <v/>
      </c>
      <c r="I189" s="3552"/>
      <c r="J189" s="3548" t="s">
        <v>315</v>
      </c>
      <c r="K189" s="3549"/>
      <c r="L189" s="3550"/>
      <c r="M189" s="3551" t="str">
        <f>IMAGE("https://raw.githubusercontent.com/msikma/pokesprite/master/misc/types/gen8/fire.png",4,20,20)</f>
        <v/>
      </c>
      <c r="N189" s="3552"/>
      <c r="O189" s="3548" t="s">
        <v>785</v>
      </c>
      <c r="P189" s="3549"/>
      <c r="Q189" s="3550"/>
      <c r="R189" s="3551" t="str">
        <f>IMAGE("https://raw.githubusercontent.com/msikma/pokesprite/master/misc/types/gen8/fire.png",4,20,20)</f>
        <v/>
      </c>
      <c r="S189" s="3552"/>
      <c r="T189" s="3548" t="s">
        <v>606</v>
      </c>
      <c r="U189" s="3549"/>
      <c r="V189" s="3550"/>
      <c r="W189" s="3551" t="str">
        <f>IMAGE("https://raw.githubusercontent.com/msikma/pokesprite/master/misc/types/gen8/fighting.png",4,20,20)</f>
        <v/>
      </c>
      <c r="X189" s="3552"/>
      <c r="Y189" s="3548" t="s">
        <v>562</v>
      </c>
      <c r="Z189" s="3549"/>
      <c r="AA189" s="3550"/>
      <c r="AB189" s="3551" t="str">
        <f>IMAGE("https://raw.githubusercontent.com/msikma/pokesprite/master/misc/types/gen8/psychic.png",4,20,20)</f>
        <v/>
      </c>
      <c r="AC189" s="3552"/>
      <c r="AD189" s="3548" t="s">
        <v>187</v>
      </c>
      <c r="AE189" s="3549"/>
      <c r="AF189" s="3550"/>
      <c r="AG189" s="3551" t="str">
        <f>IMAGE("https://raw.githubusercontent.com/msikma/pokesprite/master/misc/types/gen8/normal.png",4,20,20)</f>
        <v/>
      </c>
      <c r="AH189" s="3507"/>
      <c r="AI189" s="6192"/>
    </row>
    <row r="190" ht="3.0" customHeight="1">
      <c r="A190" s="6185"/>
      <c r="B190" s="3554"/>
      <c r="C190" s="3555"/>
      <c r="D190" s="3556"/>
      <c r="E190" s="3557"/>
      <c r="F190" s="3557"/>
      <c r="G190" s="3557"/>
      <c r="H190" s="3557"/>
      <c r="I190" s="3556"/>
      <c r="J190" s="3557"/>
      <c r="K190" s="3557"/>
      <c r="L190" s="3557"/>
      <c r="M190" s="3557"/>
      <c r="N190" s="3556"/>
      <c r="O190" s="3557"/>
      <c r="P190" s="3557"/>
      <c r="Q190" s="3557"/>
      <c r="R190" s="3557"/>
      <c r="S190" s="3559"/>
      <c r="T190" s="3557"/>
      <c r="U190" s="3557"/>
      <c r="V190" s="3557"/>
      <c r="W190" s="3557"/>
      <c r="X190" s="3556"/>
      <c r="Y190" s="3557"/>
      <c r="Z190" s="3557"/>
      <c r="AA190" s="3557"/>
      <c r="AB190" s="3557"/>
      <c r="AC190" s="3561"/>
      <c r="AD190" s="3557"/>
      <c r="AE190" s="3557"/>
      <c r="AF190" s="3557"/>
      <c r="AG190" s="3557"/>
      <c r="AH190" s="3562"/>
      <c r="AI190" s="6192"/>
    </row>
    <row r="191" ht="16.5" customHeight="1">
      <c r="A191" s="6185"/>
      <c r="B191" s="3563"/>
      <c r="C191" s="3555"/>
      <c r="D191" s="3564"/>
      <c r="E191" s="5313" t="s">
        <v>190</v>
      </c>
      <c r="F191" s="381"/>
      <c r="G191" s="382"/>
      <c r="H191" s="5314" t="s">
        <v>191</v>
      </c>
      <c r="I191" s="3575"/>
      <c r="J191" s="5313" t="s">
        <v>190</v>
      </c>
      <c r="K191" s="381"/>
      <c r="L191" s="382"/>
      <c r="M191" s="5314" t="s">
        <v>191</v>
      </c>
      <c r="N191" s="3564"/>
      <c r="O191" s="5313" t="s">
        <v>190</v>
      </c>
      <c r="P191" s="381"/>
      <c r="Q191" s="382"/>
      <c r="R191" s="5314" t="s">
        <v>191</v>
      </c>
      <c r="S191" s="3556"/>
      <c r="T191" s="5313" t="s">
        <v>190</v>
      </c>
      <c r="U191" s="381"/>
      <c r="V191" s="382"/>
      <c r="W191" s="5314" t="s">
        <v>191</v>
      </c>
      <c r="X191" s="3569"/>
      <c r="Y191" s="5313" t="s">
        <v>190</v>
      </c>
      <c r="Z191" s="381"/>
      <c r="AA191" s="382"/>
      <c r="AB191" s="5314" t="s">
        <v>191</v>
      </c>
      <c r="AC191" s="3569"/>
      <c r="AD191" s="5313" t="s">
        <v>190</v>
      </c>
      <c r="AE191" s="381"/>
      <c r="AF191" s="382"/>
      <c r="AG191" s="5314" t="s">
        <v>191</v>
      </c>
      <c r="AH191" s="3570"/>
      <c r="AI191" s="6192"/>
    </row>
    <row r="192" ht="16.5" customHeight="1">
      <c r="A192" s="6185"/>
      <c r="B192" s="3563"/>
      <c r="C192" s="3555"/>
      <c r="D192" s="3564"/>
      <c r="E192" s="5315" t="s">
        <v>192</v>
      </c>
      <c r="F192" s="5316">
        <f t="array" ref="F192">IFERROR(VLOOKUP(E179,Dex!$B$3:$N1218,8,FALSE),"")</f>
        <v>95</v>
      </c>
      <c r="G192" s="5317" t="str">
        <f t="array" ref="G192">IFERROR(VLOOKUP(F192,Dex!$P$22:$Q$276,2,FALSE),"")</f>
        <v/>
      </c>
      <c r="H192" s="5318"/>
      <c r="I192" s="3575"/>
      <c r="J192" s="5315" t="s">
        <v>192</v>
      </c>
      <c r="K192" s="5316">
        <f t="array" ref="K192">IFERROR(VLOOKUP(J179,Dex!$B$3:$N1218,8,FALSE),"")</f>
        <v>74</v>
      </c>
      <c r="L192" s="5317" t="str">
        <f t="array" ref="L192">IFERROR(VLOOKUP(K192,Dex!$P$22:$Q$276,2,FALSE),"")</f>
        <v/>
      </c>
      <c r="M192" s="5318"/>
      <c r="N192" s="3564"/>
      <c r="O192" s="5315" t="s">
        <v>192</v>
      </c>
      <c r="P192" s="5316">
        <f t="array" ref="P192">IFERROR(VLOOKUP(O179,Dex!$B$3:$N1218,8,FALSE),"")</f>
        <v>95</v>
      </c>
      <c r="Q192" s="5317" t="str">
        <f t="array" ref="Q192">IFERROR(VLOOKUP(P192,Dex!$P$22:$Q$276,2,FALSE),"")</f>
        <v/>
      </c>
      <c r="R192" s="5318"/>
      <c r="S192" s="3569"/>
      <c r="T192" s="5315" t="s">
        <v>192</v>
      </c>
      <c r="U192" s="5316">
        <f t="array" ref="U192">IFERROR(VLOOKUP(T179,Dex!$B$3:$N1218,8,FALSE),"")</f>
        <v>60</v>
      </c>
      <c r="V192" s="5317" t="str">
        <f t="array" ref="V192">IFERROR(VLOOKUP(U192,Dex!$P$22:$Q$276,2,FALSE),"")</f>
        <v/>
      </c>
      <c r="W192" s="5318">
        <v>252.0</v>
      </c>
      <c r="X192" s="3569"/>
      <c r="Y192" s="5315" t="s">
        <v>192</v>
      </c>
      <c r="Z192" s="5316">
        <f t="array" ref="Z192">IFERROR(VLOOKUP(Y179,Dex!$B$3:$N1218,8,FALSE),"")</f>
        <v>100</v>
      </c>
      <c r="AA192" s="5317" t="str">
        <f t="array" ref="AA192">IFERROR(VLOOKUP(Z192,Dex!$P$22:$Q$276,2,FALSE),"")</f>
        <v/>
      </c>
      <c r="AB192" s="5318"/>
      <c r="AC192" s="3569"/>
      <c r="AD192" s="5315" t="s">
        <v>192</v>
      </c>
      <c r="AE192" s="5316">
        <f t="array" ref="AE192">IFERROR(VLOOKUP(AD179,Dex!$B$3:$N1218,8,FALSE),"")</f>
        <v>91</v>
      </c>
      <c r="AF192" s="5317" t="str">
        <f t="array" ref="AF192">IFERROR(VLOOKUP(AE192,Dex!$P$22:$Q$276,2,FALSE),"")</f>
        <v/>
      </c>
      <c r="AG192" s="5318"/>
      <c r="AH192" s="3570"/>
      <c r="AI192" s="6192"/>
    </row>
    <row r="193" ht="16.5" customHeight="1">
      <c r="A193" s="6185"/>
      <c r="B193" s="3563"/>
      <c r="C193" s="3555"/>
      <c r="D193" s="3564"/>
      <c r="E193" s="5319" t="s">
        <v>193</v>
      </c>
      <c r="F193" s="5320">
        <f t="array" ref="F193">IFERROR(VLOOKUP(E179,Dex!$B$3:$N1218,9,FALSE),"")</f>
        <v>117</v>
      </c>
      <c r="G193" s="5321" t="str">
        <f t="array" ref="G193">IFERROR(VLOOKUP(F193,Dex!$P$22:$Q$276,2,FALSE),"")</f>
        <v/>
      </c>
      <c r="H193" s="5322">
        <v>252.0</v>
      </c>
      <c r="I193" s="3575"/>
      <c r="J193" s="5319" t="s">
        <v>193</v>
      </c>
      <c r="K193" s="5320">
        <f t="array" ref="K193">IFERROR(VLOOKUP(J179,Dex!$B$3:$N1218,9,FALSE),"")</f>
        <v>115</v>
      </c>
      <c r="L193" s="5321" t="str">
        <f t="array" ref="L193">IFERROR(VLOOKUP(K193,Dex!$P$22:$Q$276,2,FALSE),"")</f>
        <v/>
      </c>
      <c r="M193" s="5322">
        <v>4.0</v>
      </c>
      <c r="N193" s="3564"/>
      <c r="O193" s="5319" t="s">
        <v>193</v>
      </c>
      <c r="P193" s="5320">
        <f t="array" ref="P193">IFERROR(VLOOKUP(O179,Dex!$B$3:$N1218,9,FALSE),"")</f>
        <v>145</v>
      </c>
      <c r="Q193" s="5321" t="str">
        <f t="array" ref="Q193">IFERROR(VLOOKUP(P193,Dex!$P$22:$Q$276,2,FALSE),"")</f>
        <v/>
      </c>
      <c r="R193" s="5322">
        <v>252.0</v>
      </c>
      <c r="S193" s="3569"/>
      <c r="T193" s="5319" t="s">
        <v>193</v>
      </c>
      <c r="U193" s="5320">
        <f t="array" ref="U193">IFERROR(VLOOKUP(T179,Dex!$B$3:$N1218,9,FALSE),"")</f>
        <v>140</v>
      </c>
      <c r="V193" s="5321" t="str">
        <f t="array" ref="V193">IFERROR(VLOOKUP(U193,Dex!$P$22:$Q$276,2,FALSE),"")</f>
        <v/>
      </c>
      <c r="W193" s="5322">
        <v>4.0</v>
      </c>
      <c r="X193" s="3569"/>
      <c r="Y193" s="5319" t="s">
        <v>193</v>
      </c>
      <c r="Z193" s="5320">
        <f t="array" ref="Z193">IFERROR(VLOOKUP(Y179,Dex!$B$3:$N1218,9,FALSE),"")</f>
        <v>100</v>
      </c>
      <c r="AA193" s="5321" t="str">
        <f t="array" ref="AA193">IFERROR(VLOOKUP(Z193,Dex!$P$22:$Q$276,2,FALSE),"")</f>
        <v/>
      </c>
      <c r="AB193" s="5322">
        <v>252.0</v>
      </c>
      <c r="AC193" s="3569"/>
      <c r="AD193" s="5319" t="s">
        <v>193</v>
      </c>
      <c r="AE193" s="5320">
        <f t="array" ref="AE193">IFERROR(VLOOKUP(AD179,Dex!$B$3:$N1218,9,FALSE),"")</f>
        <v>72</v>
      </c>
      <c r="AF193" s="5321" t="str">
        <f t="array" ref="AF193">IFERROR(VLOOKUP(AE193,Dex!$P$22:$Q$276,2,FALSE),"")</f>
        <v/>
      </c>
      <c r="AG193" s="5322"/>
      <c r="AH193" s="3570"/>
      <c r="AI193" s="6192"/>
    </row>
    <row r="194" ht="16.5" customHeight="1">
      <c r="A194" s="6185"/>
      <c r="B194" s="3563"/>
      <c r="C194" s="3555"/>
      <c r="D194" s="3564"/>
      <c r="E194" s="5319" t="s">
        <v>194</v>
      </c>
      <c r="F194" s="5320">
        <f t="array" ref="F194">IFERROR(VLOOKUP(E179,Dex!$B$3:$N1218,10,FALSE),"")</f>
        <v>80</v>
      </c>
      <c r="G194" s="5321" t="str">
        <f t="array" ref="G194">IFERROR(VLOOKUP(F194,Dex!$P$22:$Q$276,2,FALSE),"")</f>
        <v/>
      </c>
      <c r="H194" s="5322">
        <v>4.0</v>
      </c>
      <c r="I194" s="3575"/>
      <c r="J194" s="5319" t="s">
        <v>194</v>
      </c>
      <c r="K194" s="5320">
        <f t="array" ref="K194">IFERROR(VLOOKUP(J179,Dex!$B$3:$N1218,10,FALSE),"")</f>
        <v>70</v>
      </c>
      <c r="L194" s="5321" t="str">
        <f t="array" ref="L194">IFERROR(VLOOKUP(K194,Dex!$P$22:$Q$276,2,FALSE),"")</f>
        <v/>
      </c>
      <c r="M194" s="5322"/>
      <c r="N194" s="3564"/>
      <c r="O194" s="5319" t="s">
        <v>194</v>
      </c>
      <c r="P194" s="5320">
        <f t="array" ref="P194">IFERROR(VLOOKUP(O179,Dex!$B$3:$N1218,10,FALSE),"")</f>
        <v>130</v>
      </c>
      <c r="Q194" s="5321" t="str">
        <f t="array" ref="Q194">IFERROR(VLOOKUP(P194,Dex!$P$22:$Q$276,2,FALSE),"")</f>
        <v/>
      </c>
      <c r="R194" s="5322"/>
      <c r="S194" s="3569"/>
      <c r="T194" s="5319" t="s">
        <v>194</v>
      </c>
      <c r="U194" s="5320">
        <f t="array" ref="U194">IFERROR(VLOOKUP(T179,Dex!$B$3:$N1218,10,FALSE),"")</f>
        <v>50</v>
      </c>
      <c r="V194" s="5321" t="str">
        <f t="array" ref="V194">IFERROR(VLOOKUP(U194,Dex!$P$22:$Q$276,2,FALSE),"")</f>
        <v/>
      </c>
      <c r="W194" s="5322"/>
      <c r="X194" s="3569"/>
      <c r="Y194" s="5319" t="s">
        <v>194</v>
      </c>
      <c r="Z194" s="5320">
        <f t="array" ref="Z194">IFERROR(VLOOKUP(Y179,Dex!$B$3:$N1218,10,FALSE),"")</f>
        <v>100</v>
      </c>
      <c r="AA194" s="5321" t="str">
        <f t="array" ref="AA194">IFERROR(VLOOKUP(Z194,Dex!$P$22:$Q$276,2,FALSE),"")</f>
        <v/>
      </c>
      <c r="AB194" s="5322"/>
      <c r="AC194" s="3569"/>
      <c r="AD194" s="5319" t="s">
        <v>194</v>
      </c>
      <c r="AE194" s="5320">
        <f t="array" ref="AE194">IFERROR(VLOOKUP(AD179,Dex!$B$3:$N1218,10,FALSE),"")</f>
        <v>90</v>
      </c>
      <c r="AF194" s="5321" t="str">
        <f t="array" ref="AF194">IFERROR(VLOOKUP(AE194,Dex!$P$22:$Q$276,2,FALSE),"")</f>
        <v/>
      </c>
      <c r="AG194" s="5322">
        <v>4.0</v>
      </c>
      <c r="AH194" s="3570"/>
      <c r="AI194" s="6192"/>
    </row>
    <row r="195" ht="16.5" customHeight="1">
      <c r="A195" s="6185"/>
      <c r="B195" s="3563"/>
      <c r="C195" s="3555"/>
      <c r="D195" s="3564"/>
      <c r="E195" s="5319" t="s">
        <v>195</v>
      </c>
      <c r="F195" s="5320">
        <f t="array" ref="F195">IFERROR(VLOOKUP(E179,Dex!$B$3:$N1218,11,FALSE),"")</f>
        <v>65</v>
      </c>
      <c r="G195" s="5321" t="str">
        <f t="array" ref="G195">IFERROR(VLOOKUP(F195,Dex!$P$22:$Q$276,2,FALSE),"")</f>
        <v/>
      </c>
      <c r="H195" s="5322"/>
      <c r="I195" s="3575"/>
      <c r="J195" s="5319" t="s">
        <v>195</v>
      </c>
      <c r="K195" s="5320">
        <f t="array" ref="K195">IFERROR(VLOOKUP(J179,Dex!$B$3:$N1218,11,FALSE),"")</f>
        <v>135</v>
      </c>
      <c r="L195" s="5321" t="str">
        <f t="array" ref="L195">IFERROR(VLOOKUP(K195,Dex!$P$22:$Q$276,2,FALSE),"")</f>
        <v/>
      </c>
      <c r="M195" s="5322">
        <v>252.0</v>
      </c>
      <c r="N195" s="3564"/>
      <c r="O195" s="5319" t="s">
        <v>195</v>
      </c>
      <c r="P195" s="5320">
        <f t="array" ref="P195">IFERROR(VLOOKUP(O179,Dex!$B$3:$N1218,11,FALSE),"")</f>
        <v>120</v>
      </c>
      <c r="Q195" s="5321" t="str">
        <f t="array" ref="Q195">IFERROR(VLOOKUP(P195,Dex!$P$22:$Q$276,2,FALSE),"")</f>
        <v/>
      </c>
      <c r="R195" s="5322">
        <v>4.0</v>
      </c>
      <c r="S195" s="3569"/>
      <c r="T195" s="5319" t="s">
        <v>195</v>
      </c>
      <c r="U195" s="5320">
        <f t="array" ref="U195">IFERROR(VLOOKUP(T179,Dex!$B$3:$N1218,11,FALSE),"")</f>
        <v>140</v>
      </c>
      <c r="V195" s="5321" t="str">
        <f t="array" ref="V195">IFERROR(VLOOKUP(U195,Dex!$P$22:$Q$276,2,FALSE),"")</f>
        <v/>
      </c>
      <c r="W195" s="5322">
        <v>252.0</v>
      </c>
      <c r="X195" s="3569"/>
      <c r="Y195" s="5319" t="s">
        <v>195</v>
      </c>
      <c r="Z195" s="5320">
        <f t="array" ref="Z195">IFERROR(VLOOKUP(Y179,Dex!$B$3:$N1218,11,FALSE),"")</f>
        <v>100</v>
      </c>
      <c r="AA195" s="5321" t="str">
        <f t="array" ref="AA195">IFERROR(VLOOKUP(Z195,Dex!$P$22:$Q$276,2,FALSE),"")</f>
        <v/>
      </c>
      <c r="AB195" s="5322">
        <v>4.0</v>
      </c>
      <c r="AC195" s="3569"/>
      <c r="AD195" s="5319" t="s">
        <v>195</v>
      </c>
      <c r="AE195" s="5320">
        <f t="array" ref="AE195">IFERROR(VLOOKUP(AD179,Dex!$B$3:$N1218,11,FALSE),"")</f>
        <v>129</v>
      </c>
      <c r="AF195" s="5321" t="str">
        <f t="array" ref="AF195">IFERROR(VLOOKUP(AE195,Dex!$P$22:$Q$276,2,FALSE),"")</f>
        <v/>
      </c>
      <c r="AG195" s="5322">
        <v>252.0</v>
      </c>
      <c r="AH195" s="3570"/>
      <c r="AI195" s="6192"/>
    </row>
    <row r="196" ht="16.5" customHeight="1">
      <c r="A196" s="6185"/>
      <c r="B196" s="3563"/>
      <c r="C196" s="3555"/>
      <c r="D196" s="3564"/>
      <c r="E196" s="5319" t="s">
        <v>196</v>
      </c>
      <c r="F196" s="5320">
        <f t="array" ref="F196">IFERROR(VLOOKUP(E179,Dex!$B$3:$N1218,12,FALSE),"")</f>
        <v>70</v>
      </c>
      <c r="G196" s="5321" t="str">
        <f t="array" ref="G196">IFERROR(VLOOKUP(F196,Dex!$P$22:$Q$276,2,FALSE),"")</f>
        <v/>
      </c>
      <c r="H196" s="5322"/>
      <c r="I196" s="3575"/>
      <c r="J196" s="5319" t="s">
        <v>196</v>
      </c>
      <c r="K196" s="5320">
        <f t="array" ref="K196">IFERROR(VLOOKUP(J179,Dex!$B$3:$N1218,12,FALSE),"")</f>
        <v>80</v>
      </c>
      <c r="L196" s="5321" t="str">
        <f t="array" ref="L196">IFERROR(VLOOKUP(K196,Dex!$P$22:$Q$276,2,FALSE),"")</f>
        <v/>
      </c>
      <c r="M196" s="5322"/>
      <c r="N196" s="3564"/>
      <c r="O196" s="5319" t="s">
        <v>196</v>
      </c>
      <c r="P196" s="5320">
        <f t="array" ref="P196">IFERROR(VLOOKUP(O179,Dex!$B$3:$N1218,12,FALSE),"")</f>
        <v>90</v>
      </c>
      <c r="Q196" s="5321" t="str">
        <f t="array" ref="Q196">IFERROR(VLOOKUP(P196,Dex!$P$22:$Q$276,2,FALSE),"")</f>
        <v/>
      </c>
      <c r="R196" s="5322"/>
      <c r="S196" s="3569"/>
      <c r="T196" s="5319" t="s">
        <v>196</v>
      </c>
      <c r="U196" s="5320">
        <f t="array" ref="U196">IFERROR(VLOOKUP(T179,Dex!$B$3:$N1218,12,FALSE),"")</f>
        <v>50</v>
      </c>
      <c r="V196" s="5321" t="str">
        <f t="array" ref="V196">IFERROR(VLOOKUP(U196,Dex!$P$22:$Q$276,2,FALSE),"")</f>
        <v/>
      </c>
      <c r="W196" s="5322"/>
      <c r="X196" s="3569"/>
      <c r="Y196" s="5319" t="s">
        <v>196</v>
      </c>
      <c r="Z196" s="5320">
        <f t="array" ref="Z196">IFERROR(VLOOKUP(Y179,Dex!$B$3:$N1218,12,FALSE),"")</f>
        <v>100</v>
      </c>
      <c r="AA196" s="5321" t="str">
        <f t="array" ref="AA196">IFERROR(VLOOKUP(Z196,Dex!$P$22:$Q$276,2,FALSE),"")</f>
        <v/>
      </c>
      <c r="AB196" s="5322"/>
      <c r="AC196" s="3569"/>
      <c r="AD196" s="5319" t="s">
        <v>196</v>
      </c>
      <c r="AE196" s="5320">
        <f t="array" ref="AE196">IFERROR(VLOOKUP(AD179,Dex!$B$3:$N1218,12,FALSE),"")</f>
        <v>90</v>
      </c>
      <c r="AF196" s="5321" t="str">
        <f t="array" ref="AF196">IFERROR(VLOOKUP(AE196,Dex!$P$22:$Q$276,2,FALSE),"")</f>
        <v/>
      </c>
      <c r="AG196" s="5322"/>
      <c r="AH196" s="3570"/>
      <c r="AI196" s="6192"/>
    </row>
    <row r="197" ht="16.5" customHeight="1">
      <c r="A197" s="6185"/>
      <c r="B197" s="3563"/>
      <c r="C197" s="3555"/>
      <c r="D197" s="3564"/>
      <c r="E197" s="5323" t="s">
        <v>197</v>
      </c>
      <c r="F197" s="5324">
        <f t="array" ref="F197">IFERROR(VLOOKUP(E179,Dex!$B$3:$N1218,13,FALSE),"")</f>
        <v>92</v>
      </c>
      <c r="G197" s="5325" t="str">
        <f t="array" ref="G197">IFERROR(VLOOKUP(F197,Dex!$P$22:$Q$276,2,FALSE),"")</f>
        <v/>
      </c>
      <c r="H197" s="5326">
        <v>252.0</v>
      </c>
      <c r="I197" s="3575"/>
      <c r="J197" s="5323" t="s">
        <v>197</v>
      </c>
      <c r="K197" s="5324">
        <f t="array" ref="K197">IFERROR(VLOOKUP(J179,Dex!$B$3:$N1218,13,FALSE),"")</f>
        <v>106</v>
      </c>
      <c r="L197" s="5325" t="str">
        <f t="array" ref="L197">IFERROR(VLOOKUP(K197,Dex!$P$22:$Q$276,2,FALSE),"")</f>
        <v/>
      </c>
      <c r="M197" s="5326">
        <v>252.0</v>
      </c>
      <c r="N197" s="3564"/>
      <c r="O197" s="5323" t="s">
        <v>197</v>
      </c>
      <c r="P197" s="5324">
        <f t="array" ref="P197">IFERROR(VLOOKUP(O179,Dex!$B$3:$N1218,13,FALSE),"")</f>
        <v>120</v>
      </c>
      <c r="Q197" s="5325" t="str">
        <f t="array" ref="Q197">IFERROR(VLOOKUP(P197,Dex!$P$22:$Q$276,2,FALSE),"")</f>
        <v/>
      </c>
      <c r="R197" s="5326">
        <v>252.0</v>
      </c>
      <c r="S197" s="3569"/>
      <c r="T197" s="5323" t="s">
        <v>197</v>
      </c>
      <c r="U197" s="5324">
        <f t="array" ref="U197">IFERROR(VLOOKUP(T179,Dex!$B$3:$N1218,13,FALSE),"")</f>
        <v>60</v>
      </c>
      <c r="V197" s="5325" t="str">
        <f t="array" ref="V197">IFERROR(VLOOKUP(U197,Dex!$P$22:$Q$276,2,FALSE),"")</f>
        <v/>
      </c>
      <c r="W197" s="5326"/>
      <c r="X197" s="3569"/>
      <c r="Y197" s="5323" t="s">
        <v>197</v>
      </c>
      <c r="Z197" s="5324">
        <f t="array" ref="Z197">IFERROR(VLOOKUP(Y179,Dex!$B$3:$N1218,13,FALSE),"")</f>
        <v>100</v>
      </c>
      <c r="AA197" s="5325" t="str">
        <f t="array" ref="AA197">IFERROR(VLOOKUP(Z197,Dex!$P$22:$Q$276,2,FALSE),"")</f>
        <v/>
      </c>
      <c r="AB197" s="5326">
        <v>252.0</v>
      </c>
      <c r="AC197" s="3569"/>
      <c r="AD197" s="5323" t="s">
        <v>197</v>
      </c>
      <c r="AE197" s="5324">
        <f t="array" ref="AE197">IFERROR(VLOOKUP(AD179,Dex!$B$3:$N1218,13,FALSE),"")</f>
        <v>108</v>
      </c>
      <c r="AF197" s="5325" t="str">
        <f t="array" ref="AF197">IFERROR(VLOOKUP(AE197,Dex!$P$22:$Q$276,2,FALSE),"")</f>
        <v/>
      </c>
      <c r="AG197" s="5326">
        <v>252.0</v>
      </c>
      <c r="AH197" s="3570"/>
      <c r="AI197" s="6192"/>
    </row>
    <row r="198" ht="16.5" customHeight="1">
      <c r="A198" s="6185"/>
      <c r="B198" s="3563"/>
      <c r="C198" s="3555"/>
      <c r="D198" s="3564"/>
      <c r="E198" s="5327" t="s">
        <v>198</v>
      </c>
      <c r="F198" s="405"/>
      <c r="G198" s="406"/>
      <c r="H198" s="5328">
        <v>311.0</v>
      </c>
      <c r="I198" s="3575"/>
      <c r="J198" s="5327" t="s">
        <v>198</v>
      </c>
      <c r="K198" s="405"/>
      <c r="L198" s="406"/>
      <c r="M198" s="5328">
        <v>342.0</v>
      </c>
      <c r="N198" s="3564"/>
      <c r="O198" s="5327" t="s">
        <v>198</v>
      </c>
      <c r="P198" s="405"/>
      <c r="Q198" s="406"/>
      <c r="R198" s="5328">
        <v>372.0</v>
      </c>
      <c r="S198" s="5154"/>
      <c r="T198" s="5327" t="s">
        <v>198</v>
      </c>
      <c r="U198" s="405"/>
      <c r="V198" s="406"/>
      <c r="W198" s="5328">
        <v>140.0</v>
      </c>
      <c r="X198" s="3569"/>
      <c r="Y198" s="5327" t="s">
        <v>198</v>
      </c>
      <c r="Z198" s="405"/>
      <c r="AA198" s="406"/>
      <c r="AB198" s="5328">
        <v>328.0</v>
      </c>
      <c r="AC198" s="3569"/>
      <c r="AD198" s="5327" t="s">
        <v>198</v>
      </c>
      <c r="AE198" s="405"/>
      <c r="AF198" s="406"/>
      <c r="AG198" s="5328">
        <v>346.0</v>
      </c>
      <c r="AH198" s="3570"/>
      <c r="AI198" s="6192"/>
    </row>
    <row r="199" ht="15.0" customHeight="1">
      <c r="A199" s="6185"/>
      <c r="B199" s="3589"/>
      <c r="C199" s="3590"/>
      <c r="D199" s="3591"/>
      <c r="E199" s="3592"/>
      <c r="F199" s="3592"/>
      <c r="G199" s="3592"/>
      <c r="H199" s="3593"/>
      <c r="I199" s="3593"/>
      <c r="J199" s="3592"/>
      <c r="K199" s="3592"/>
      <c r="L199" s="3592"/>
      <c r="M199" s="3593"/>
      <c r="N199" s="3595"/>
      <c r="O199" s="3596"/>
      <c r="P199" s="3596"/>
      <c r="Q199" s="3597"/>
      <c r="R199" s="3597"/>
      <c r="S199" s="3597"/>
      <c r="T199" s="5157"/>
      <c r="U199" s="5156"/>
      <c r="V199" s="5158"/>
      <c r="W199" s="3598"/>
      <c r="X199" s="3595"/>
      <c r="Y199" s="3598"/>
      <c r="Z199" s="3598"/>
      <c r="AA199" s="3598"/>
      <c r="AB199" s="3598"/>
      <c r="AC199" s="3598"/>
      <c r="AD199" s="3598"/>
      <c r="AE199" s="3598"/>
      <c r="AF199" s="3598"/>
      <c r="AG199" s="3598"/>
      <c r="AH199" s="3599"/>
      <c r="AI199" s="6192"/>
    </row>
    <row r="200" ht="15.0" customHeight="1">
      <c r="A200" s="6185"/>
      <c r="B200" s="3491"/>
      <c r="C200" s="3492"/>
      <c r="D200" s="3493"/>
      <c r="E200" s="3493"/>
      <c r="F200" s="3493"/>
      <c r="G200" s="3493"/>
      <c r="H200" s="3493"/>
      <c r="I200" s="3493"/>
      <c r="J200" s="3493"/>
      <c r="K200" s="3493"/>
      <c r="L200" s="3493"/>
      <c r="M200" s="3493"/>
      <c r="N200" s="3493"/>
      <c r="O200" s="3493"/>
      <c r="P200" s="3493"/>
      <c r="Q200" s="3493"/>
      <c r="R200" s="3493"/>
      <c r="S200" s="3493"/>
      <c r="T200" s="3493"/>
      <c r="U200" s="3493"/>
      <c r="V200" s="3493"/>
      <c r="W200" s="3493"/>
      <c r="X200" s="3493"/>
      <c r="Y200" s="3493"/>
      <c r="Z200" s="3493"/>
      <c r="AA200" s="3493"/>
      <c r="AB200" s="3493"/>
      <c r="AC200" s="3493"/>
      <c r="AD200" s="3493"/>
      <c r="AE200" s="3493"/>
      <c r="AF200" s="3493"/>
      <c r="AG200" s="3493"/>
      <c r="AH200" s="3495"/>
      <c r="AI200" s="6192"/>
    </row>
    <row r="201" ht="96.75" customHeight="1">
      <c r="A201" s="6185"/>
      <c r="B201" s="3496"/>
      <c r="C201" s="3497" t="str">
        <f>IMAGE("https://i.ibb.co/26kF6WW/Ace-Trainer-F.png")</f>
        <v/>
      </c>
      <c r="D201" s="3498"/>
      <c r="E201" s="3499" t="str">
        <f t="array" ref="E201">IFERROR(VLOOKUP(E202,Dex!$B$3:$G1218,3,FALSE),"")</f>
        <v/>
      </c>
      <c r="F201" s="381"/>
      <c r="G201" s="381"/>
      <c r="H201" s="2531"/>
      <c r="I201" s="3500"/>
      <c r="J201" s="3499" t="str">
        <f t="array" ref="J201">IFERROR(VLOOKUP(J202,Dex!$B$3:$G1218,3,FALSE),"")</f>
        <v/>
      </c>
      <c r="K201" s="381"/>
      <c r="L201" s="381"/>
      <c r="M201" s="2531"/>
      <c r="N201" s="5127"/>
      <c r="O201" s="3499" t="str">
        <f t="array" ref="O201">IFERROR(VLOOKUP(O202,Dex!$B$3:$G1218,3,FALSE),"")</f>
        <v/>
      </c>
      <c r="P201" s="381"/>
      <c r="Q201" s="381"/>
      <c r="R201" s="2531"/>
      <c r="S201" s="5128"/>
      <c r="T201" s="3499" t="str">
        <f t="array" ref="T201">IFERROR(VLOOKUP(T202,Dex!$B$3:$G1218,3,FALSE),"")</f>
        <v/>
      </c>
      <c r="U201" s="381"/>
      <c r="V201" s="381"/>
      <c r="W201" s="2531"/>
      <c r="X201" s="5127"/>
      <c r="Y201" s="3499" t="str">
        <f t="array" ref="Y201">IFERROR(VLOOKUP(Y202,Dex!$B$3:$G1218,3,FALSE),"")</f>
        <v/>
      </c>
      <c r="Z201" s="381"/>
      <c r="AA201" s="381"/>
      <c r="AB201" s="2531"/>
      <c r="AC201" s="5128"/>
      <c r="AD201" s="3499" t="str">
        <f t="array" ref="AD201">IFERROR(VLOOKUP(AD202,Dex!$B$3:$G1218,3,FALSE),"")</f>
        <v/>
      </c>
      <c r="AE201" s="381"/>
      <c r="AF201" s="381"/>
      <c r="AG201" s="2531"/>
      <c r="AH201" s="5181"/>
      <c r="AI201" s="6192"/>
    </row>
    <row r="202" ht="18.75" customHeight="1">
      <c r="A202" s="6185"/>
      <c r="B202" s="6302"/>
      <c r="C202" s="6303" t="s">
        <v>1590</v>
      </c>
      <c r="D202" s="6304"/>
      <c r="E202" s="5129" t="s">
        <v>1591</v>
      </c>
      <c r="F202" s="3512"/>
      <c r="G202" s="3512"/>
      <c r="H202" s="5130"/>
      <c r="J202" s="5129" t="s">
        <v>1255</v>
      </c>
      <c r="K202" s="3512"/>
      <c r="L202" s="3512"/>
      <c r="M202" s="5130"/>
      <c r="O202" s="5129" t="s">
        <v>1227</v>
      </c>
      <c r="P202" s="3512"/>
      <c r="Q202" s="3512"/>
      <c r="R202" s="5130"/>
      <c r="T202" s="5129" t="s">
        <v>1592</v>
      </c>
      <c r="U202" s="3512"/>
      <c r="V202" s="3512"/>
      <c r="W202" s="5130"/>
      <c r="Y202" s="5129" t="s">
        <v>417</v>
      </c>
      <c r="Z202" s="3512"/>
      <c r="AA202" s="3512"/>
      <c r="AB202" s="5130"/>
      <c r="AD202" s="5129" t="s">
        <v>1593</v>
      </c>
      <c r="AE202" s="3512"/>
      <c r="AF202" s="3512"/>
      <c r="AG202" s="5130"/>
      <c r="AH202" s="5182"/>
      <c r="AI202" s="6192"/>
    </row>
    <row r="203">
      <c r="A203" s="6185"/>
      <c r="B203" s="6305"/>
      <c r="C203" s="3030"/>
      <c r="D203" s="6306"/>
      <c r="E203" s="5131" t="s">
        <v>1502</v>
      </c>
      <c r="F203" s="3521"/>
      <c r="G203" s="3521"/>
      <c r="H203" s="5132"/>
      <c r="J203" s="5131" t="s">
        <v>1502</v>
      </c>
      <c r="K203" s="3521"/>
      <c r="L203" s="3521"/>
      <c r="M203" s="5132"/>
      <c r="O203" s="5131" t="s">
        <v>1502</v>
      </c>
      <c r="P203" s="3521"/>
      <c r="Q203" s="3521"/>
      <c r="R203" s="5132"/>
      <c r="T203" s="5131" t="s">
        <v>1502</v>
      </c>
      <c r="U203" s="3521"/>
      <c r="V203" s="3521"/>
      <c r="W203" s="5132"/>
      <c r="Y203" s="5131" t="s">
        <v>1502</v>
      </c>
      <c r="Z203" s="3521"/>
      <c r="AA203" s="3521"/>
      <c r="AB203" s="5132"/>
      <c r="AD203" s="5131" t="s">
        <v>1502</v>
      </c>
      <c r="AE203" s="3521"/>
      <c r="AF203" s="3521"/>
      <c r="AG203" s="5132"/>
      <c r="AH203" s="5183"/>
      <c r="AI203" s="6192"/>
    </row>
    <row r="204" ht="25.5" customHeight="1">
      <c r="A204" s="6185"/>
      <c r="B204" s="6307"/>
      <c r="C204" s="3030"/>
      <c r="D204" s="6308"/>
      <c r="E204" s="5133"/>
      <c r="F204" s="3526" t="str">
        <f t="array" ref="F204">IFERROR(VLOOKUP(E202,Dex!$B$3:$H1218,5,FALSE),"")</f>
        <v/>
      </c>
      <c r="G204" s="3527"/>
      <c r="H204" s="5136"/>
      <c r="J204" s="5133"/>
      <c r="K204" s="5134" t="str">
        <f t="array" ref="K204">IFERROR(VLOOKUP(J202,Dex!$B$3:$H1218,5,FALSE),"")</f>
        <v/>
      </c>
      <c r="L204" s="5135" t="str">
        <f t="array" ref="L204">IFERROR(VLOOKUP(J202,Dex!$B$3:$H1218,7,FALSE),"")</f>
        <v/>
      </c>
      <c r="M204" s="5136"/>
      <c r="O204" s="5133"/>
      <c r="P204" s="3526" t="str">
        <f t="array" ref="P204">IFERROR(VLOOKUP(O202,Dex!$B$3:$H1218,5,FALSE),"")</f>
        <v/>
      </c>
      <c r="Q204" s="3527"/>
      <c r="R204" s="5136"/>
      <c r="T204" s="5133"/>
      <c r="U204" s="5134" t="str">
        <f t="array" ref="U204">IFERROR(VLOOKUP(T202,Dex!$B$3:$H1218,5,FALSE),"")</f>
        <v/>
      </c>
      <c r="V204" s="5135" t="str">
        <f t="array" ref="V204">IFERROR(VLOOKUP(T202,Dex!$B$3:$H1218,7,FALSE),"")</f>
        <v/>
      </c>
      <c r="W204" s="5136"/>
      <c r="Y204" s="5133"/>
      <c r="Z204" s="5134" t="str">
        <f t="array" ref="Z204">IFERROR(VLOOKUP(Y202,Dex!$B$3:$H1218,5,FALSE),"")</f>
        <v/>
      </c>
      <c r="AA204" s="5135" t="str">
        <f t="array" ref="AA204">IFERROR(VLOOKUP(Y202,Dex!$B$3:$H1218,7,FALSE),"")</f>
        <v/>
      </c>
      <c r="AB204" s="5136"/>
      <c r="AD204" s="5133"/>
      <c r="AE204" s="5134" t="str">
        <f t="array" ref="AE204">IFERROR(VLOOKUP(AD202,Dex!$B$3:$H1218,5,FALSE),"")</f>
        <v/>
      </c>
      <c r="AF204" s="5135" t="str">
        <f t="array" ref="AF204">IFERROR(VLOOKUP(AD202,Dex!$B$3:$H1218,7,FALSE),"")</f>
        <v/>
      </c>
      <c r="AG204" s="5136"/>
      <c r="AH204" s="3507"/>
      <c r="AI204" s="6192"/>
    </row>
    <row r="205" ht="2.25" customHeight="1">
      <c r="A205" s="6185"/>
      <c r="B205" s="6307"/>
      <c r="C205" s="3030"/>
      <c r="D205" s="6308"/>
      <c r="E205" s="5137"/>
      <c r="F205" s="5138"/>
      <c r="G205" s="5138"/>
      <c r="H205" s="5139"/>
      <c r="J205" s="5137"/>
      <c r="K205" s="5138"/>
      <c r="L205" s="5138"/>
      <c r="M205" s="5139"/>
      <c r="O205" s="5137"/>
      <c r="P205" s="5138"/>
      <c r="Q205" s="5138"/>
      <c r="R205" s="5139"/>
      <c r="T205" s="5137"/>
      <c r="U205" s="5138"/>
      <c r="V205" s="5138"/>
      <c r="W205" s="5139"/>
      <c r="Y205" s="5137"/>
      <c r="Z205" s="5138"/>
      <c r="AA205" s="5138"/>
      <c r="AB205" s="5139"/>
      <c r="AD205" s="5137"/>
      <c r="AE205" s="5138"/>
      <c r="AF205" s="5138"/>
      <c r="AG205" s="5139"/>
      <c r="AH205" s="3507"/>
      <c r="AI205" s="6192"/>
    </row>
    <row r="206" ht="20.25" customHeight="1">
      <c r="A206" s="6185"/>
      <c r="B206" s="6307"/>
      <c r="C206" s="3045"/>
      <c r="D206" s="6308"/>
      <c r="E206" s="3534" t="s">
        <v>298</v>
      </c>
      <c r="F206" s="3535"/>
      <c r="G206" s="3535"/>
      <c r="H206" s="3536"/>
      <c r="J206" s="3534" t="s">
        <v>205</v>
      </c>
      <c r="K206" s="3535"/>
      <c r="L206" s="3535"/>
      <c r="M206" s="3536"/>
      <c r="O206" s="3534" t="s">
        <v>263</v>
      </c>
      <c r="P206" s="3535"/>
      <c r="Q206" s="3535"/>
      <c r="R206" s="3536"/>
      <c r="T206" s="3534" t="s">
        <v>172</v>
      </c>
      <c r="U206" s="3535"/>
      <c r="V206" s="3535"/>
      <c r="W206" s="3536"/>
      <c r="Y206" s="3534" t="s">
        <v>170</v>
      </c>
      <c r="Z206" s="3535"/>
      <c r="AA206" s="3535"/>
      <c r="AB206" s="3536"/>
      <c r="AD206" s="3534" t="s">
        <v>172</v>
      </c>
      <c r="AE206" s="3535"/>
      <c r="AF206" s="3535"/>
      <c r="AG206" s="3536"/>
      <c r="AH206" s="5181"/>
      <c r="AI206" s="6192"/>
    </row>
    <row r="207">
      <c r="A207" s="6185"/>
      <c r="B207" s="3496"/>
      <c r="C207" s="6309"/>
      <c r="D207" s="3498"/>
      <c r="E207" s="3538" t="s">
        <v>1594</v>
      </c>
      <c r="F207" s="3503"/>
      <c r="G207" s="3503"/>
      <c r="H207" s="3539"/>
      <c r="J207" s="3538" t="s">
        <v>1258</v>
      </c>
      <c r="K207" s="3503"/>
      <c r="L207" s="3503"/>
      <c r="M207" s="3539"/>
      <c r="O207" s="3538" t="s">
        <v>914</v>
      </c>
      <c r="P207" s="3503"/>
      <c r="Q207" s="3503"/>
      <c r="R207" s="3539"/>
      <c r="T207" s="3538" t="s">
        <v>424</v>
      </c>
      <c r="U207" s="3503"/>
      <c r="V207" s="3503"/>
      <c r="W207" s="3539"/>
      <c r="Y207" s="3538" t="s">
        <v>389</v>
      </c>
      <c r="Z207" s="3503"/>
      <c r="AA207" s="3503"/>
      <c r="AB207" s="3539"/>
      <c r="AD207" s="3538" t="s">
        <v>1595</v>
      </c>
      <c r="AE207" s="3503"/>
      <c r="AF207" s="3503"/>
      <c r="AG207" s="3539"/>
      <c r="AH207" s="5181"/>
      <c r="AI207" s="6192"/>
    </row>
    <row r="208" ht="20.25" customHeight="1">
      <c r="A208" s="6185"/>
      <c r="B208" s="3496"/>
      <c r="C208" s="3516"/>
      <c r="D208" s="3498"/>
      <c r="E208" s="3540" t="s">
        <v>1596</v>
      </c>
      <c r="F208" s="3541"/>
      <c r="G208" s="3542"/>
      <c r="H208" s="3543" t="str">
        <f>IMAGE("https://raw.githubusercontent.com/msikma/pokesprite/master/items/hold-item/heat-rock.png",3)</f>
        <v/>
      </c>
      <c r="J208" s="3540" t="s">
        <v>334</v>
      </c>
      <c r="K208" s="3541"/>
      <c r="L208" s="3542"/>
      <c r="M208" s="3543" t="str">
        <f>IMAGE("https://raw.githubusercontent.com/msikma/pokesprite/master/items/hold-item/choice-specs.png",3)</f>
        <v/>
      </c>
      <c r="O208" s="3540" t="s">
        <v>473</v>
      </c>
      <c r="P208" s="3541"/>
      <c r="Q208" s="3542"/>
      <c r="R208" s="3543" t="str">
        <f>IMAGE("https://raw.githubusercontent.com/msikma/pokesprite/master/items/hold-item/assault-vest.png",3)</f>
        <v/>
      </c>
      <c r="T208" s="3540" t="s">
        <v>240</v>
      </c>
      <c r="U208" s="3541"/>
      <c r="V208" s="3542"/>
      <c r="W208" s="3543" t="str">
        <f>IMAGE("https://raw.githubusercontent.com/msikma/pokesprite/master/items/hold-item/focus-sash.png",3)</f>
        <v/>
      </c>
      <c r="Y208" s="3540" t="s">
        <v>473</v>
      </c>
      <c r="Z208" s="3541"/>
      <c r="AA208" s="3542"/>
      <c r="AB208" s="3543" t="str">
        <f>IMAGE("https://raw.githubusercontent.com/msikma/pokesprite/master/items/hold-item/assault-vest.png",3)</f>
        <v/>
      </c>
      <c r="AD208" s="3540" t="s">
        <v>1597</v>
      </c>
      <c r="AE208" s="3541"/>
      <c r="AF208" s="3542"/>
      <c r="AG208" s="3543" t="str">
        <f>IMAGE("https://raw.githubusercontent.com/msikma/pokesprite/master/items/mega-stone/garchompite.png",3)</f>
        <v/>
      </c>
      <c r="AH208" s="3507"/>
      <c r="AI208" s="6192"/>
    </row>
    <row r="209" ht="20.25" customHeight="1">
      <c r="A209" s="6185"/>
      <c r="B209" s="3496"/>
      <c r="C209" s="3544"/>
      <c r="D209" s="3498"/>
      <c r="E209" s="3534" t="s">
        <v>395</v>
      </c>
      <c r="F209" s="3535"/>
      <c r="G209" s="3545"/>
      <c r="H209" s="3546" t="str">
        <f>IMAGE("https://raw.githubusercontent.com/msikma/pokesprite/master/misc/types/gen8/rock.png",4,20,20)</f>
        <v/>
      </c>
      <c r="J209" s="3534" t="s">
        <v>376</v>
      </c>
      <c r="K209" s="3535"/>
      <c r="L209" s="3545"/>
      <c r="M209" s="3546" t="str">
        <f>IMAGE("https://raw.githubusercontent.com/msikma/pokesprite/master/misc/types/gen8/grass.png",4,20,20)</f>
        <v/>
      </c>
      <c r="O209" s="3534" t="s">
        <v>379</v>
      </c>
      <c r="P209" s="3535"/>
      <c r="Q209" s="3545"/>
      <c r="R209" s="3546" t="str">
        <f>IMAGE("https://raw.githubusercontent.com/msikma/pokesprite/master/misc/types/gen8/fire.png",4,20,20)</f>
        <v/>
      </c>
      <c r="T209" s="3534" t="s">
        <v>1163</v>
      </c>
      <c r="U209" s="3535"/>
      <c r="V209" s="3545"/>
      <c r="W209" s="3546" t="str">
        <f>IMAGE("https://raw.githubusercontent.com/msikma/pokesprite/master/misc/types/gen8/ground.png",4,20,20)</f>
        <v/>
      </c>
      <c r="Y209" s="3534" t="s">
        <v>785</v>
      </c>
      <c r="Z209" s="3535"/>
      <c r="AA209" s="3545"/>
      <c r="AB209" s="3546" t="str">
        <f>IMAGE("https://raw.githubusercontent.com/msikma/pokesprite/master/misc/types/gen8/fire.png",4,20,20)</f>
        <v/>
      </c>
      <c r="AD209" s="3534" t="s">
        <v>489</v>
      </c>
      <c r="AE209" s="3535"/>
      <c r="AF209" s="3545"/>
      <c r="AG209" s="3546" t="str">
        <f>IMAGE("https://raw.githubusercontent.com/msikma/pokesprite/master/misc/types/gen8/normal.png",4,20,20)</f>
        <v/>
      </c>
      <c r="AH209" s="3507"/>
      <c r="AI209" s="6192"/>
    </row>
    <row r="210" ht="20.25" customHeight="1">
      <c r="A210" s="6185"/>
      <c r="B210" s="3496"/>
      <c r="C210" s="3529"/>
      <c r="D210" s="3498"/>
      <c r="E210" s="3538" t="s">
        <v>1598</v>
      </c>
      <c r="F210" s="3503"/>
      <c r="G210" s="3504"/>
      <c r="H210" s="3547" t="str">
        <f>IMAGE("https://raw.githubusercontent.com/msikma/pokesprite/master/misc/types/gen8/fire.png",4,20,20)</f>
        <v/>
      </c>
      <c r="J210" s="3538" t="s">
        <v>379</v>
      </c>
      <c r="K210" s="3503"/>
      <c r="L210" s="3504"/>
      <c r="M210" s="3547" t="str">
        <f>IMAGE("https://raw.githubusercontent.com/msikma/pokesprite/master/misc/types/gen8/fire.png",4,20,20)</f>
        <v/>
      </c>
      <c r="O210" s="3538" t="s">
        <v>317</v>
      </c>
      <c r="P210" s="3503"/>
      <c r="Q210" s="3504"/>
      <c r="R210" s="3547" t="str">
        <f>IMAGE("https://raw.githubusercontent.com/msikma/pokesprite/master/misc/types/gen8/ice.png",4,20,20)</f>
        <v/>
      </c>
      <c r="T210" s="3538" t="s">
        <v>378</v>
      </c>
      <c r="U210" s="3503"/>
      <c r="V210" s="3504"/>
      <c r="W210" s="3547" t="str">
        <f>IMAGE("https://raw.githubusercontent.com/msikma/pokesprite/master/misc/types/gen8/fire.png",4,20,20)</f>
        <v/>
      </c>
      <c r="Y210" s="3538" t="s">
        <v>376</v>
      </c>
      <c r="Z210" s="3503"/>
      <c r="AA210" s="3504"/>
      <c r="AB210" s="3547" t="str">
        <f>IMAGE("https://raw.githubusercontent.com/msikma/pokesprite/master/misc/types/gen8/grass.png",4,20,20)</f>
        <v/>
      </c>
      <c r="AD210" s="3538" t="s">
        <v>811</v>
      </c>
      <c r="AE210" s="3503"/>
      <c r="AF210" s="3504"/>
      <c r="AG210" s="3547" t="str">
        <f>IMAGE("https://raw.githubusercontent.com/msikma/pokesprite/master/misc/types/gen8/dragon.png",4,20,20)</f>
        <v/>
      </c>
      <c r="AH210" s="3507"/>
      <c r="AI210" s="6192"/>
    </row>
    <row r="211" ht="20.25" customHeight="1">
      <c r="A211" s="6185"/>
      <c r="B211" s="3496"/>
      <c r="C211" s="3529"/>
      <c r="D211" s="3498"/>
      <c r="E211" s="3538" t="s">
        <v>463</v>
      </c>
      <c r="F211" s="3503"/>
      <c r="G211" s="3504"/>
      <c r="H211" s="3547" t="str">
        <f>IMAGE("https://raw.githubusercontent.com/msikma/pokesprite/master/misc/types/gen8/fighting.png",4,20,20)</f>
        <v/>
      </c>
      <c r="J211" s="3538" t="s">
        <v>374</v>
      </c>
      <c r="K211" s="3503"/>
      <c r="L211" s="3504"/>
      <c r="M211" s="3547" t="str">
        <f>IMAGE("https://raw.githubusercontent.com/msikma/pokesprite/master/misc/types/gen8/flying.png",4,20,20)</f>
        <v/>
      </c>
      <c r="O211" s="3538" t="s">
        <v>1233</v>
      </c>
      <c r="P211" s="3503"/>
      <c r="Q211" s="3504"/>
      <c r="R211" s="3547" t="str">
        <f t="shared" ref="R211:R212" si="8">IMAGE("https://raw.githubusercontent.com/msikma/pokesprite/master/misc/types/gen8/water.png",4,20,20)</f>
        <v/>
      </c>
      <c r="T211" s="3538" t="s">
        <v>431</v>
      </c>
      <c r="U211" s="3503"/>
      <c r="V211" s="3504"/>
      <c r="W211" s="3547" t="str">
        <f>IMAGE("https://raw.githubusercontent.com/msikma/pokesprite/master/misc/types/gen8/rock.png",4,20,20)</f>
        <v/>
      </c>
      <c r="Y211" s="3538" t="s">
        <v>399</v>
      </c>
      <c r="Z211" s="3503"/>
      <c r="AA211" s="3504"/>
      <c r="AB211" s="3547" t="str">
        <f>IMAGE("https://raw.githubusercontent.com/msikma/pokesprite/master/misc/types/gen8/rock.png",4,20,20)</f>
        <v/>
      </c>
      <c r="AD211" s="3538" t="s">
        <v>402</v>
      </c>
      <c r="AE211" s="3503"/>
      <c r="AF211" s="3504"/>
      <c r="AG211" s="3547" t="str">
        <f>IMAGE("https://raw.githubusercontent.com/msikma/pokesprite/master/misc/types/gen8/ground.png",4,20,20)</f>
        <v/>
      </c>
      <c r="AH211" s="3507"/>
      <c r="AI211" s="6192"/>
    </row>
    <row r="212" ht="21.0" customHeight="1">
      <c r="A212" s="6185"/>
      <c r="B212" s="3496"/>
      <c r="C212" s="3529"/>
      <c r="D212" s="3498"/>
      <c r="E212" s="3548" t="s">
        <v>286</v>
      </c>
      <c r="F212" s="3549"/>
      <c r="G212" s="3550"/>
      <c r="H212" s="3551" t="str">
        <f>IMAGE("https://raw.githubusercontent.com/msikma/pokesprite/master/misc/types/gen8/ground.png",4,20,20)</f>
        <v/>
      </c>
      <c r="I212" s="3552"/>
      <c r="J212" s="3548" t="s">
        <v>372</v>
      </c>
      <c r="K212" s="3549"/>
      <c r="L212" s="3550"/>
      <c r="M212" s="3551" t="str">
        <f>IMAGE("https://raw.githubusercontent.com/msikma/pokesprite/master/misc/types/gen8/fire.png",4,20,20)</f>
        <v/>
      </c>
      <c r="N212" s="3552"/>
      <c r="O212" s="3548" t="s">
        <v>219</v>
      </c>
      <c r="P212" s="3549"/>
      <c r="Q212" s="3550"/>
      <c r="R212" s="3551" t="str">
        <f t="shared" si="8"/>
        <v/>
      </c>
      <c r="S212" s="3552"/>
      <c r="T212" s="3548" t="s">
        <v>640</v>
      </c>
      <c r="U212" s="3549"/>
      <c r="V212" s="3550"/>
      <c r="W212" s="3551" t="str">
        <f>IMAGE("https://raw.githubusercontent.com/msikma/pokesprite/master/misc/types/gen8/normal.png",4,20,20)</f>
        <v/>
      </c>
      <c r="X212" s="3552"/>
      <c r="Y212" s="3548" t="s">
        <v>402</v>
      </c>
      <c r="Z212" s="3549"/>
      <c r="AA212" s="3550"/>
      <c r="AB212" s="3551" t="str">
        <f>IMAGE("https://raw.githubusercontent.com/msikma/pokesprite/master/misc/types/gen8/ground.png",4,20,20)</f>
        <v/>
      </c>
      <c r="AC212" s="3552"/>
      <c r="AD212" s="3548" t="s">
        <v>825</v>
      </c>
      <c r="AE212" s="3549"/>
      <c r="AF212" s="3550"/>
      <c r="AG212" s="3551" t="str">
        <f>IMAGE("https://raw.githubusercontent.com/msikma/pokesprite/master/misc/types/gen8/fire.png",4,20,20)</f>
        <v/>
      </c>
      <c r="AH212" s="3507"/>
      <c r="AI212" s="6192"/>
    </row>
    <row r="213" ht="3.0" customHeight="1">
      <c r="A213" s="6185"/>
      <c r="B213" s="3554"/>
      <c r="C213" s="3555"/>
      <c r="D213" s="3556"/>
      <c r="E213" s="3558"/>
      <c r="F213" s="3558"/>
      <c r="G213" s="3558"/>
      <c r="H213" s="3557"/>
      <c r="I213" s="3556"/>
      <c r="J213" s="3558"/>
      <c r="K213" s="3558"/>
      <c r="L213" s="3558"/>
      <c r="M213" s="3557"/>
      <c r="N213" s="3556"/>
      <c r="O213" s="3558"/>
      <c r="P213" s="3558"/>
      <c r="Q213" s="3558"/>
      <c r="R213" s="3557"/>
      <c r="S213" s="3559"/>
      <c r="T213" s="3558"/>
      <c r="U213" s="3558"/>
      <c r="V213" s="3558"/>
      <c r="W213" s="3557"/>
      <c r="X213" s="3556"/>
      <c r="Y213" s="3558"/>
      <c r="Z213" s="3558"/>
      <c r="AA213" s="3558"/>
      <c r="AB213" s="3557"/>
      <c r="AC213" s="3561"/>
      <c r="AD213" s="3558"/>
      <c r="AE213" s="3558"/>
      <c r="AF213" s="3558"/>
      <c r="AG213" s="3557"/>
      <c r="AH213" s="3562"/>
      <c r="AI213" s="6192"/>
    </row>
    <row r="214" ht="16.5" customHeight="1">
      <c r="A214" s="6185"/>
      <c r="B214" s="3563"/>
      <c r="C214" s="3555"/>
      <c r="D214" s="5140"/>
      <c r="E214" s="3565" t="s">
        <v>190</v>
      </c>
      <c r="F214" s="381"/>
      <c r="G214" s="382"/>
      <c r="H214" s="3566" t="s">
        <v>191</v>
      </c>
      <c r="I214" s="3567"/>
      <c r="J214" s="3565" t="s">
        <v>190</v>
      </c>
      <c r="K214" s="381"/>
      <c r="L214" s="382"/>
      <c r="M214" s="3566" t="s">
        <v>191</v>
      </c>
      <c r="N214" s="5140"/>
      <c r="O214" s="3565" t="s">
        <v>190</v>
      </c>
      <c r="P214" s="381"/>
      <c r="Q214" s="382"/>
      <c r="R214" s="3566" t="s">
        <v>191</v>
      </c>
      <c r="S214" s="5153"/>
      <c r="T214" s="3565" t="s">
        <v>190</v>
      </c>
      <c r="U214" s="381"/>
      <c r="V214" s="382"/>
      <c r="W214" s="3566" t="s">
        <v>191</v>
      </c>
      <c r="X214" s="5154"/>
      <c r="Y214" s="3565" t="s">
        <v>190</v>
      </c>
      <c r="Z214" s="381"/>
      <c r="AA214" s="382"/>
      <c r="AB214" s="3566" t="s">
        <v>191</v>
      </c>
      <c r="AC214" s="5154"/>
      <c r="AD214" s="3565" t="s">
        <v>190</v>
      </c>
      <c r="AE214" s="381"/>
      <c r="AF214" s="382"/>
      <c r="AG214" s="3566" t="s">
        <v>191</v>
      </c>
      <c r="AH214" s="3570"/>
      <c r="AI214" s="6192"/>
    </row>
    <row r="215" ht="16.5" customHeight="1">
      <c r="A215" s="6185"/>
      <c r="B215" s="3563"/>
      <c r="C215" s="3555"/>
      <c r="D215" s="3564"/>
      <c r="E215" s="3571" t="s">
        <v>192</v>
      </c>
      <c r="F215" s="3572">
        <f t="array" ref="F215">IFERROR(VLOOKUP(E202,Dex!$B$3:$N1218,8,FALSE),"")</f>
        <v>70</v>
      </c>
      <c r="G215" s="3573" t="str">
        <f t="array" ref="G215">IFERROR(VLOOKUP(F215,Dex!$P$22:$Q$276,2,FALSE),"")</f>
        <v/>
      </c>
      <c r="H215" s="3574">
        <v>252.0</v>
      </c>
      <c r="I215" s="3575"/>
      <c r="J215" s="3571" t="s">
        <v>192</v>
      </c>
      <c r="K215" s="3572">
        <f t="array" ref="K215">IFERROR(VLOOKUP(J202,Dex!$B$3:$N1218,8,FALSE),"")</f>
        <v>78</v>
      </c>
      <c r="L215" s="3573" t="str">
        <f t="array" ref="L215">IFERROR(VLOOKUP(K215,Dex!$P$22:$Q$276,2,FALSE),"")</f>
        <v/>
      </c>
      <c r="M215" s="3574"/>
      <c r="N215" s="3564"/>
      <c r="O215" s="3571" t="s">
        <v>192</v>
      </c>
      <c r="P215" s="3572">
        <f t="array" ref="P215">IFERROR(VLOOKUP(O202,Dex!$B$3:$N1218,8,FALSE),"")</f>
        <v>95</v>
      </c>
      <c r="Q215" s="3573" t="str">
        <f t="array" ref="Q215">IFERROR(VLOOKUP(P215,Dex!$P$22:$Q$276,2,FALSE),"")</f>
        <v/>
      </c>
      <c r="R215" s="3574">
        <v>252.0</v>
      </c>
      <c r="S215" s="3569"/>
      <c r="T215" s="3571" t="s">
        <v>192</v>
      </c>
      <c r="U215" s="3572">
        <f t="array" ref="U215">IFERROR(VLOOKUP(T202,Dex!$B$3:$N1218,8,FALSE),"")</f>
        <v>70</v>
      </c>
      <c r="V215" s="3573" t="str">
        <f t="array" ref="V215">IFERROR(VLOOKUP(U215,Dex!$P$22:$Q$276,2,FALSE),"")</f>
        <v/>
      </c>
      <c r="W215" s="3574"/>
      <c r="X215" s="3569"/>
      <c r="Y215" s="3571" t="s">
        <v>192</v>
      </c>
      <c r="Z215" s="3572">
        <f t="array" ref="Z215">IFERROR(VLOOKUP(Y202,Dex!$B$3:$N1218,8,FALSE),"")</f>
        <v>100</v>
      </c>
      <c r="AA215" s="3573" t="str">
        <f t="array" ref="AA215">IFERROR(VLOOKUP(Z215,Dex!$P$22:$Q$276,2,FALSE),"")</f>
        <v/>
      </c>
      <c r="AB215" s="3574">
        <v>252.0</v>
      </c>
      <c r="AC215" s="3569"/>
      <c r="AD215" s="3571" t="s">
        <v>192</v>
      </c>
      <c r="AE215" s="3572">
        <f t="array" ref="AE215">IFERROR(VLOOKUP(AD202,Dex!$B$3:$N1218,8,FALSE),"")</f>
        <v>108</v>
      </c>
      <c r="AF215" s="3573" t="str">
        <f t="array" ref="AF215">IFERROR(VLOOKUP(AE215,Dex!$P$22:$Q$276,2,FALSE),"")</f>
        <v/>
      </c>
      <c r="AG215" s="3574"/>
      <c r="AH215" s="3570"/>
      <c r="AI215" s="6192"/>
    </row>
    <row r="216" ht="16.5" customHeight="1">
      <c r="A216" s="6185"/>
      <c r="B216" s="3563"/>
      <c r="C216" s="3555"/>
      <c r="D216" s="3564"/>
      <c r="E216" s="3577" t="s">
        <v>193</v>
      </c>
      <c r="F216" s="3578">
        <f t="array" ref="F216">IFERROR(VLOOKUP(E202,Dex!$B$3:$N1218,9,FALSE),"")</f>
        <v>75</v>
      </c>
      <c r="G216" s="3579" t="str">
        <f t="array" ref="G216">IFERROR(VLOOKUP(F216,Dex!$P$22:$Q$276,2,FALSE),"")</f>
        <v/>
      </c>
      <c r="H216" s="3580"/>
      <c r="I216" s="3575"/>
      <c r="J216" s="3577" t="s">
        <v>193</v>
      </c>
      <c r="K216" s="3578">
        <f t="array" ref="K216">IFERROR(VLOOKUP(J202,Dex!$B$3:$N1218,9,FALSE),"")</f>
        <v>84</v>
      </c>
      <c r="L216" s="3579" t="str">
        <f t="array" ref="L216">IFERROR(VLOOKUP(K216,Dex!$P$22:$Q$276,2,FALSE),"")</f>
        <v/>
      </c>
      <c r="M216" s="3580"/>
      <c r="N216" s="3564"/>
      <c r="O216" s="3577" t="s">
        <v>193</v>
      </c>
      <c r="P216" s="3578">
        <f t="array" ref="P216">IFERROR(VLOOKUP(O202,Dex!$B$3:$N1218,9,FALSE),"")</f>
        <v>60</v>
      </c>
      <c r="Q216" s="3579" t="str">
        <f t="array" ref="Q216">IFERROR(VLOOKUP(P216,Dex!$P$22:$Q$276,2,FALSE),"")</f>
        <v/>
      </c>
      <c r="R216" s="3580"/>
      <c r="S216" s="3569"/>
      <c r="T216" s="3577" t="s">
        <v>193</v>
      </c>
      <c r="U216" s="3578">
        <f t="array" ref="U216">IFERROR(VLOOKUP(T202,Dex!$B$3:$N1218,9,FALSE),"")</f>
        <v>125</v>
      </c>
      <c r="V216" s="3579" t="str">
        <f t="array" ref="V216">IFERROR(VLOOKUP(U216,Dex!$P$22:$Q$276,2,FALSE),"")</f>
        <v/>
      </c>
      <c r="W216" s="3580">
        <v>252.0</v>
      </c>
      <c r="X216" s="3569"/>
      <c r="Y216" s="3577" t="s">
        <v>193</v>
      </c>
      <c r="Z216" s="3578">
        <f t="array" ref="Z216">IFERROR(VLOOKUP(Y202,Dex!$B$3:$N1218,9,FALSE),"")</f>
        <v>134</v>
      </c>
      <c r="AA216" s="3579" t="str">
        <f t="array" ref="AA216">IFERROR(VLOOKUP(Z216,Dex!$P$22:$Q$276,2,FALSE),"")</f>
        <v/>
      </c>
      <c r="AB216" s="3580">
        <v>252.0</v>
      </c>
      <c r="AC216" s="3569"/>
      <c r="AD216" s="3577" t="s">
        <v>193</v>
      </c>
      <c r="AE216" s="3578">
        <f t="array" ref="AE216">IFERROR(VLOOKUP(AD202,Dex!$B$3:$N1218,9,FALSE),"")</f>
        <v>170</v>
      </c>
      <c r="AF216" s="3579" t="str">
        <f t="array" ref="AF216">IFERROR(VLOOKUP(AE216,Dex!$P$22:$Q$276,2,FALSE),"")</f>
        <v/>
      </c>
      <c r="AG216" s="3580">
        <v>252.0</v>
      </c>
      <c r="AH216" s="3570"/>
      <c r="AI216" s="6192"/>
    </row>
    <row r="217" ht="16.5" customHeight="1">
      <c r="A217" s="6185"/>
      <c r="B217" s="3563"/>
      <c r="C217" s="3555"/>
      <c r="D217" s="3564"/>
      <c r="E217" s="3577" t="s">
        <v>194</v>
      </c>
      <c r="F217" s="3578">
        <f t="array" ref="F217">IFERROR(VLOOKUP(E202,Dex!$B$3:$N1218,10,FALSE),"")</f>
        <v>140</v>
      </c>
      <c r="G217" s="3579" t="str">
        <f t="array" ref="G217">IFERROR(VLOOKUP(F217,Dex!$P$22:$Q$276,2,FALSE),"")</f>
        <v/>
      </c>
      <c r="H217" s="3580">
        <v>252.0</v>
      </c>
      <c r="I217" s="3575"/>
      <c r="J217" s="3577" t="s">
        <v>194</v>
      </c>
      <c r="K217" s="3578">
        <f t="array" ref="K217">IFERROR(VLOOKUP(J202,Dex!$B$3:$N1218,10,FALSE),"")</f>
        <v>78</v>
      </c>
      <c r="L217" s="3579" t="str">
        <f t="array" ref="L217">IFERROR(VLOOKUP(K217,Dex!$P$22:$Q$276,2,FALSE),"")</f>
        <v/>
      </c>
      <c r="M217" s="3580">
        <v>4.0</v>
      </c>
      <c r="N217" s="3564"/>
      <c r="O217" s="3577" t="s">
        <v>194</v>
      </c>
      <c r="P217" s="3578">
        <f t="array" ref="P217">IFERROR(VLOOKUP(O202,Dex!$B$3:$N1218,10,FALSE),"")</f>
        <v>84</v>
      </c>
      <c r="Q217" s="3579" t="str">
        <f t="array" ref="Q217">IFERROR(VLOOKUP(P217,Dex!$P$22:$Q$276,2,FALSE),"")</f>
        <v/>
      </c>
      <c r="R217" s="3580">
        <v>4.0</v>
      </c>
      <c r="S217" s="3569"/>
      <c r="T217" s="3577" t="s">
        <v>194</v>
      </c>
      <c r="U217" s="3578">
        <f t="array" ref="U217">IFERROR(VLOOKUP(T202,Dex!$B$3:$N1218,10,FALSE),"")</f>
        <v>65</v>
      </c>
      <c r="V217" s="3579" t="str">
        <f t="array" ref="V217">IFERROR(VLOOKUP(U217,Dex!$P$22:$Q$276,2,FALSE),"")</f>
        <v/>
      </c>
      <c r="W217" s="3580">
        <v>4.0</v>
      </c>
      <c r="X217" s="3569"/>
      <c r="Y217" s="3577" t="s">
        <v>194</v>
      </c>
      <c r="Z217" s="3578">
        <f t="array" ref="Z217">IFERROR(VLOOKUP(Y202,Dex!$B$3:$N1218,10,FALSE),"")</f>
        <v>110</v>
      </c>
      <c r="AA217" s="3579" t="str">
        <f t="array" ref="AA217">IFERROR(VLOOKUP(Z217,Dex!$P$22:$Q$276,2,FALSE),"")</f>
        <v/>
      </c>
      <c r="AB217" s="3580"/>
      <c r="AC217" s="3569"/>
      <c r="AD217" s="3577" t="s">
        <v>194</v>
      </c>
      <c r="AE217" s="3578">
        <f t="array" ref="AE217">IFERROR(VLOOKUP(AD202,Dex!$B$3:$N1218,10,FALSE),"")</f>
        <v>105</v>
      </c>
      <c r="AF217" s="3579" t="str">
        <f t="array" ref="AF217">IFERROR(VLOOKUP(AE217,Dex!$P$22:$Q$276,2,FALSE),"")</f>
        <v/>
      </c>
      <c r="AG217" s="3580">
        <v>4.0</v>
      </c>
      <c r="AH217" s="3570"/>
      <c r="AI217" s="6192"/>
    </row>
    <row r="218" ht="16.5" customHeight="1">
      <c r="A218" s="6185"/>
      <c r="B218" s="3563"/>
      <c r="C218" s="3555"/>
      <c r="D218" s="3564"/>
      <c r="E218" s="3577" t="s">
        <v>195</v>
      </c>
      <c r="F218" s="3578">
        <f t="array" ref="F218">IFERROR(VLOOKUP(E202,Dex!$B$3:$N1218,11,FALSE),"")</f>
        <v>95</v>
      </c>
      <c r="G218" s="3579" t="str">
        <f t="array" ref="G218">IFERROR(VLOOKUP(F218,Dex!$P$22:$Q$276,2,FALSE),"")</f>
        <v/>
      </c>
      <c r="H218" s="3580">
        <v>4.0</v>
      </c>
      <c r="I218" s="3575"/>
      <c r="J218" s="3577" t="s">
        <v>195</v>
      </c>
      <c r="K218" s="3578">
        <f t="array" ref="K218">IFERROR(VLOOKUP(J202,Dex!$B$3:$N1218,11,FALSE),"")</f>
        <v>109</v>
      </c>
      <c r="L218" s="3579" t="str">
        <f t="array" ref="L218">IFERROR(VLOOKUP(K218,Dex!$P$22:$Q$276,2,FALSE),"")</f>
        <v/>
      </c>
      <c r="M218" s="3580">
        <v>252.0</v>
      </c>
      <c r="N218" s="3564"/>
      <c r="O218" s="3577" t="s">
        <v>195</v>
      </c>
      <c r="P218" s="3578">
        <f t="array" ref="P218">IFERROR(VLOOKUP(O202,Dex!$B$3:$N1218,11,FALSE),"")</f>
        <v>100</v>
      </c>
      <c r="Q218" s="3579" t="str">
        <f t="array" ref="Q218">IFERROR(VLOOKUP(P218,Dex!$P$22:$Q$276,2,FALSE),"")</f>
        <v/>
      </c>
      <c r="R218" s="3580">
        <v>252.0</v>
      </c>
      <c r="S218" s="3569"/>
      <c r="T218" s="3577" t="s">
        <v>195</v>
      </c>
      <c r="U218" s="3578">
        <f t="array" ref="U218">IFERROR(VLOOKUP(T202,Dex!$B$3:$N1218,11,FALSE),"")</f>
        <v>50</v>
      </c>
      <c r="V218" s="3579" t="str">
        <f t="array" ref="V218">IFERROR(VLOOKUP(U218,Dex!$P$22:$Q$276,2,FALSE),"")</f>
        <v/>
      </c>
      <c r="W218" s="3580"/>
      <c r="X218" s="3569"/>
      <c r="Y218" s="3577" t="s">
        <v>195</v>
      </c>
      <c r="Z218" s="3578">
        <f t="array" ref="Z218">IFERROR(VLOOKUP(Y202,Dex!$B$3:$N1218,11,FALSE),"")</f>
        <v>95</v>
      </c>
      <c r="AA218" s="3579" t="str">
        <f t="array" ref="AA218">IFERROR(VLOOKUP(Z218,Dex!$P$22:$Q$276,2,FALSE),"")</f>
        <v/>
      </c>
      <c r="AB218" s="3580">
        <v>4.0</v>
      </c>
      <c r="AC218" s="3569"/>
      <c r="AD218" s="3577" t="s">
        <v>195</v>
      </c>
      <c r="AE218" s="3578">
        <f t="array" ref="AE218">IFERROR(VLOOKUP(AD202,Dex!$B$3:$N1218,11,FALSE),"")</f>
        <v>120</v>
      </c>
      <c r="AF218" s="3579" t="str">
        <f t="array" ref="AF218">IFERROR(VLOOKUP(AE218,Dex!$P$22:$Q$276,2,FALSE),"")</f>
        <v/>
      </c>
      <c r="AG218" s="3580"/>
      <c r="AH218" s="3570"/>
      <c r="AI218" s="6192"/>
    </row>
    <row r="219" ht="16.5" customHeight="1">
      <c r="A219" s="6185"/>
      <c r="B219" s="3563"/>
      <c r="C219" s="3555"/>
      <c r="D219" s="3564"/>
      <c r="E219" s="3577" t="s">
        <v>196</v>
      </c>
      <c r="F219" s="3578">
        <f t="array" ref="F219">IFERROR(VLOOKUP(E202,Dex!$B$3:$N1218,12,FALSE),"")</f>
        <v>70</v>
      </c>
      <c r="G219" s="3579" t="str">
        <f t="array" ref="G219">IFERROR(VLOOKUP(F219,Dex!$P$22:$Q$276,2,FALSE),"")</f>
        <v/>
      </c>
      <c r="H219" s="3580"/>
      <c r="I219" s="3575"/>
      <c r="J219" s="3577" t="s">
        <v>196</v>
      </c>
      <c r="K219" s="3578">
        <f t="array" ref="K219">IFERROR(VLOOKUP(J202,Dex!$B$3:$N1218,12,FALSE),"")</f>
        <v>85</v>
      </c>
      <c r="L219" s="3579" t="str">
        <f t="array" ref="L219">IFERROR(VLOOKUP(K219,Dex!$P$22:$Q$276,2,FALSE),"")</f>
        <v/>
      </c>
      <c r="M219" s="3580"/>
      <c r="N219" s="3564"/>
      <c r="O219" s="3577" t="s">
        <v>196</v>
      </c>
      <c r="P219" s="3578">
        <f t="array" ref="P219">IFERROR(VLOOKUP(O202,Dex!$B$3:$N1218,12,FALSE),"")</f>
        <v>125</v>
      </c>
      <c r="Q219" s="3579" t="str">
        <f t="array" ref="Q219">IFERROR(VLOOKUP(P219,Dex!$P$22:$Q$276,2,FALSE),"")</f>
        <v/>
      </c>
      <c r="R219" s="3580"/>
      <c r="S219" s="3569"/>
      <c r="T219" s="3577" t="s">
        <v>196</v>
      </c>
      <c r="U219" s="3578">
        <f t="array" ref="U219">IFERROR(VLOOKUP(T202,Dex!$B$3:$N1218,12,FALSE),"")</f>
        <v>60</v>
      </c>
      <c r="V219" s="3579" t="str">
        <f t="array" ref="V219">IFERROR(VLOOKUP(U219,Dex!$P$22:$Q$276,2,FALSE),"")</f>
        <v/>
      </c>
      <c r="W219" s="3580"/>
      <c r="X219" s="3569"/>
      <c r="Y219" s="3577" t="s">
        <v>196</v>
      </c>
      <c r="Z219" s="3578">
        <f t="array" ref="Z219">IFERROR(VLOOKUP(Y202,Dex!$B$3:$N1218,12,FALSE),"")</f>
        <v>100</v>
      </c>
      <c r="AA219" s="3579" t="str">
        <f t="array" ref="AA219">IFERROR(VLOOKUP(Z219,Dex!$P$22:$Q$276,2,FALSE),"")</f>
        <v/>
      </c>
      <c r="AB219" s="3580"/>
      <c r="AC219" s="3569"/>
      <c r="AD219" s="3577" t="s">
        <v>196</v>
      </c>
      <c r="AE219" s="3578">
        <f t="array" ref="AE219">IFERROR(VLOOKUP(AD202,Dex!$B$3:$N1218,12,FALSE),"")</f>
        <v>95</v>
      </c>
      <c r="AF219" s="3579" t="str">
        <f t="array" ref="AF219">IFERROR(VLOOKUP(AE219,Dex!$P$22:$Q$276,2,FALSE),"")</f>
        <v/>
      </c>
      <c r="AG219" s="3580"/>
      <c r="AH219" s="3570"/>
      <c r="AI219" s="6192"/>
    </row>
    <row r="220" ht="16.5" customHeight="1">
      <c r="A220" s="6185"/>
      <c r="B220" s="3563"/>
      <c r="C220" s="3555"/>
      <c r="D220" s="3564"/>
      <c r="E220" s="3583" t="s">
        <v>197</v>
      </c>
      <c r="F220" s="3584">
        <f t="array" ref="F220">IFERROR(VLOOKUP(E202,Dex!$B$3:$N1218,13,FALSE),"")</f>
        <v>20</v>
      </c>
      <c r="G220" s="3585" t="str">
        <f t="array" ref="G220">IFERROR(VLOOKUP(F220,Dex!$P$22:$Q$276,2,FALSE),"")</f>
        <v/>
      </c>
      <c r="H220" s="3586"/>
      <c r="I220" s="3575"/>
      <c r="J220" s="3583" t="s">
        <v>197</v>
      </c>
      <c r="K220" s="3584">
        <f t="array" ref="K220">IFERROR(VLOOKUP(J202,Dex!$B$3:$N1218,13,FALSE),"")</f>
        <v>100</v>
      </c>
      <c r="L220" s="3585" t="str">
        <f t="array" ref="L220">IFERROR(VLOOKUP(K220,Dex!$P$22:$Q$276,2,FALSE),"")</f>
        <v/>
      </c>
      <c r="M220" s="3586">
        <v>252.0</v>
      </c>
      <c r="N220" s="3564"/>
      <c r="O220" s="3583" t="s">
        <v>197</v>
      </c>
      <c r="P220" s="3584">
        <f t="array" ref="P220">IFERROR(VLOOKUP(O202,Dex!$B$3:$N1218,13,FALSE),"")</f>
        <v>86</v>
      </c>
      <c r="Q220" s="3585" t="str">
        <f t="array" ref="Q220">IFERROR(VLOOKUP(P220,Dex!$P$22:$Q$276,2,FALSE),"")</f>
        <v/>
      </c>
      <c r="R220" s="3586"/>
      <c r="S220" s="3569"/>
      <c r="T220" s="3583" t="s">
        <v>197</v>
      </c>
      <c r="U220" s="3584">
        <f t="array" ref="U220">IFERROR(VLOOKUP(T202,Dex!$B$3:$N1218,13,FALSE),"")</f>
        <v>110</v>
      </c>
      <c r="V220" s="3585" t="str">
        <f t="array" ref="V220">IFERROR(VLOOKUP(U220,Dex!$P$22:$Q$276,2,FALSE),"")</f>
        <v/>
      </c>
      <c r="W220" s="3586">
        <v>252.0</v>
      </c>
      <c r="X220" s="3569"/>
      <c r="Y220" s="3583" t="s">
        <v>197</v>
      </c>
      <c r="Z220" s="3584">
        <f t="array" ref="Z220">IFERROR(VLOOKUP(Y202,Dex!$B$3:$N1218,13,FALSE),"")</f>
        <v>61</v>
      </c>
      <c r="AA220" s="3585" t="str">
        <f t="array" ref="AA220">IFERROR(VLOOKUP(Z220,Dex!$P$22:$Q$276,2,FALSE),"")</f>
        <v/>
      </c>
      <c r="AB220" s="3586"/>
      <c r="AC220" s="3569"/>
      <c r="AD220" s="3583" t="s">
        <v>197</v>
      </c>
      <c r="AE220" s="3584">
        <f t="array" ref="AE220">IFERROR(VLOOKUP(AD202,Dex!$B$3:$N1218,13,FALSE),"")</f>
        <v>102</v>
      </c>
      <c r="AF220" s="3585" t="str">
        <f t="array" ref="AF220">IFERROR(VLOOKUP(AE220,Dex!$P$22:$Q$276,2,FALSE),"")</f>
        <v/>
      </c>
      <c r="AG220" s="3586">
        <v>252.0</v>
      </c>
      <c r="AH220" s="3570"/>
      <c r="AI220" s="6192"/>
    </row>
    <row r="221" ht="16.5" customHeight="1">
      <c r="A221" s="6185"/>
      <c r="B221" s="3563"/>
      <c r="C221" s="3555"/>
      <c r="D221" s="5140"/>
      <c r="E221" s="3587" t="s">
        <v>198</v>
      </c>
      <c r="F221" s="405"/>
      <c r="G221" s="406"/>
      <c r="H221" s="3588">
        <v>68.0</v>
      </c>
      <c r="I221" s="3567"/>
      <c r="J221" s="3587" t="s">
        <v>198</v>
      </c>
      <c r="K221" s="405"/>
      <c r="L221" s="406"/>
      <c r="M221" s="3588">
        <v>328.0</v>
      </c>
      <c r="N221" s="5140"/>
      <c r="O221" s="3587" t="s">
        <v>198</v>
      </c>
      <c r="P221" s="405"/>
      <c r="Q221" s="406"/>
      <c r="R221" s="3588">
        <v>208.0</v>
      </c>
      <c r="S221" s="5154"/>
      <c r="T221" s="3587" t="s">
        <v>198</v>
      </c>
      <c r="U221" s="405"/>
      <c r="V221" s="406"/>
      <c r="W221" s="3588">
        <v>350.0</v>
      </c>
      <c r="X221" s="5154"/>
      <c r="Y221" s="3587" t="s">
        <v>198</v>
      </c>
      <c r="Z221" s="405"/>
      <c r="AA221" s="406"/>
      <c r="AB221" s="3588">
        <v>142.0</v>
      </c>
      <c r="AC221" s="5154"/>
      <c r="AD221" s="3587" t="s">
        <v>198</v>
      </c>
      <c r="AE221" s="405"/>
      <c r="AF221" s="406"/>
      <c r="AG221" s="3588">
        <v>333.0</v>
      </c>
      <c r="AH221" s="3570"/>
      <c r="AI221" s="6192"/>
    </row>
    <row r="222" ht="15.0" customHeight="1">
      <c r="A222" s="6185"/>
      <c r="B222" s="3589"/>
      <c r="C222" s="3590"/>
      <c r="D222" s="3591"/>
      <c r="E222" s="3594"/>
      <c r="F222" s="3594"/>
      <c r="G222" s="3594"/>
      <c r="H222" s="3593"/>
      <c r="I222" s="3593"/>
      <c r="J222" s="3594"/>
      <c r="K222" s="3594"/>
      <c r="L222" s="3594"/>
      <c r="M222" s="3593"/>
      <c r="N222" s="3595"/>
      <c r="O222" s="5156"/>
      <c r="P222" s="5156"/>
      <c r="Q222" s="5157"/>
      <c r="R222" s="3597"/>
      <c r="S222" s="3597"/>
      <c r="T222" s="5156"/>
      <c r="U222" s="5156"/>
      <c r="V222" s="5157"/>
      <c r="W222" s="3597"/>
      <c r="X222" s="3595"/>
      <c r="Y222" s="5158"/>
      <c r="Z222" s="5158"/>
      <c r="AA222" s="5158"/>
      <c r="AB222" s="3598"/>
      <c r="AC222" s="3598"/>
      <c r="AD222" s="5158"/>
      <c r="AE222" s="5158"/>
      <c r="AF222" s="5158"/>
      <c r="AG222" s="3598"/>
      <c r="AH222" s="3599"/>
      <c r="AI222" s="6192"/>
    </row>
    <row r="223" ht="15.0" customHeight="1">
      <c r="A223" s="6185"/>
      <c r="B223" s="3491"/>
      <c r="C223" s="3492"/>
      <c r="D223" s="3493"/>
      <c r="E223" s="3494"/>
      <c r="F223" s="3494"/>
      <c r="G223" s="3494"/>
      <c r="H223" s="3494"/>
      <c r="I223" s="3493"/>
      <c r="J223" s="3494"/>
      <c r="K223" s="3494"/>
      <c r="L223" s="3494"/>
      <c r="M223" s="3494"/>
      <c r="N223" s="3493"/>
      <c r="O223" s="3494"/>
      <c r="P223" s="3494"/>
      <c r="Q223" s="3494"/>
      <c r="R223" s="3494"/>
      <c r="S223" s="3493"/>
      <c r="T223" s="3494"/>
      <c r="U223" s="3494"/>
      <c r="V223" s="3494"/>
      <c r="W223" s="3494"/>
      <c r="X223" s="3493"/>
      <c r="Y223" s="3494"/>
      <c r="Z223" s="3494"/>
      <c r="AA223" s="3494"/>
      <c r="AB223" s="3494"/>
      <c r="AC223" s="3493"/>
      <c r="AD223" s="3494"/>
      <c r="AE223" s="3494"/>
      <c r="AF223" s="3494"/>
      <c r="AG223" s="3494"/>
      <c r="AH223" s="3495"/>
      <c r="AI223" s="6192"/>
    </row>
    <row r="224" ht="96.75" customHeight="1">
      <c r="A224" s="6185"/>
      <c r="B224" s="3496"/>
      <c r="C224" s="3497" t="str">
        <f>IMAGE("https://i.ibb.co/TKBZjnF/Ace-Trainer-M.png")</f>
        <v/>
      </c>
      <c r="D224" s="3498"/>
      <c r="E224" s="3499" t="str">
        <f t="array" ref="E224">IFERROR(VLOOKUP(E225,Dex!$B$3:$G1218,3,FALSE),"")</f>
        <v/>
      </c>
      <c r="F224" s="381"/>
      <c r="G224" s="381"/>
      <c r="H224" s="2531"/>
      <c r="I224" s="3500"/>
      <c r="J224" s="3499" t="str">
        <f t="array" ref="J224">IFERROR(VLOOKUP(J225,Dex!$B$3:$G1218,3,FALSE),"")</f>
        <v/>
      </c>
      <c r="K224" s="381"/>
      <c r="L224" s="381"/>
      <c r="M224" s="2531"/>
      <c r="N224" s="5127"/>
      <c r="O224" s="3499" t="str">
        <f t="array" ref="O224">IFERROR(VLOOKUP(O225,Dex!$B$3:$G1218,3,FALSE),"")</f>
        <v/>
      </c>
      <c r="P224" s="381"/>
      <c r="Q224" s="381"/>
      <c r="R224" s="2531"/>
      <c r="S224" s="5128"/>
      <c r="T224" s="3499" t="str">
        <f t="array" ref="T224">IFERROR(VLOOKUP(T225,Dex!$B$3:$G1218,3,FALSE),"")</f>
        <v/>
      </c>
      <c r="U224" s="381"/>
      <c r="V224" s="381"/>
      <c r="W224" s="2531"/>
      <c r="X224" s="5127"/>
      <c r="Y224" s="3499" t="str">
        <f t="array" ref="Y224">IFERROR(VLOOKUP(Y225,Dex!$B$3:$G1218,3,FALSE),"")</f>
        <v/>
      </c>
      <c r="Z224" s="381"/>
      <c r="AA224" s="381"/>
      <c r="AB224" s="2531"/>
      <c r="AC224" s="5128"/>
      <c r="AD224" s="3499" t="str">
        <f t="array" ref="AD224">IFERROR(VLOOKUP(AD225,Dex!$B$3:$G1218,3,FALSE),"")</f>
        <v/>
      </c>
      <c r="AE224" s="381"/>
      <c r="AF224" s="381"/>
      <c r="AG224" s="2531"/>
      <c r="AH224" s="5181"/>
      <c r="AI224" s="6192"/>
    </row>
    <row r="225" ht="18.75" customHeight="1">
      <c r="A225" s="6185"/>
      <c r="B225" s="6302"/>
      <c r="C225" s="6303" t="s">
        <v>1599</v>
      </c>
      <c r="D225" s="6304"/>
      <c r="E225" s="5129" t="s">
        <v>258</v>
      </c>
      <c r="F225" s="3512"/>
      <c r="G225" s="3512"/>
      <c r="H225" s="5130"/>
      <c r="J225" s="5129" t="s">
        <v>385</v>
      </c>
      <c r="K225" s="3512"/>
      <c r="L225" s="3512"/>
      <c r="M225" s="5130"/>
      <c r="O225" s="5129" t="s">
        <v>1600</v>
      </c>
      <c r="P225" s="3512"/>
      <c r="Q225" s="3512"/>
      <c r="R225" s="5130"/>
      <c r="T225" s="5129" t="s">
        <v>1119</v>
      </c>
      <c r="U225" s="3512"/>
      <c r="V225" s="3512"/>
      <c r="W225" s="5130"/>
      <c r="Y225" s="5129" t="s">
        <v>1601</v>
      </c>
      <c r="Z225" s="3512"/>
      <c r="AA225" s="3512"/>
      <c r="AB225" s="5130"/>
      <c r="AD225" s="5129" t="s">
        <v>1602</v>
      </c>
      <c r="AE225" s="3512"/>
      <c r="AF225" s="3512"/>
      <c r="AG225" s="5130"/>
      <c r="AH225" s="5182"/>
      <c r="AI225" s="6192"/>
    </row>
    <row r="226">
      <c r="A226" s="6185"/>
      <c r="B226" s="6305"/>
      <c r="C226" s="3030"/>
      <c r="D226" s="6306"/>
      <c r="E226" s="5131" t="s">
        <v>1502</v>
      </c>
      <c r="F226" s="3521"/>
      <c r="G226" s="3521"/>
      <c r="H226" s="5132"/>
      <c r="J226" s="5131" t="s">
        <v>1502</v>
      </c>
      <c r="K226" s="3521"/>
      <c r="L226" s="3521"/>
      <c r="M226" s="5132"/>
      <c r="O226" s="5131" t="s">
        <v>1502</v>
      </c>
      <c r="P226" s="3521"/>
      <c r="Q226" s="3521"/>
      <c r="R226" s="5132"/>
      <c r="T226" s="5131" t="s">
        <v>1502</v>
      </c>
      <c r="U226" s="3521"/>
      <c r="V226" s="3521"/>
      <c r="W226" s="5132"/>
      <c r="Y226" s="5131" t="s">
        <v>1502</v>
      </c>
      <c r="Z226" s="3521"/>
      <c r="AA226" s="3521"/>
      <c r="AB226" s="5132"/>
      <c r="AD226" s="5131" t="s">
        <v>1502</v>
      </c>
      <c r="AE226" s="3521"/>
      <c r="AF226" s="3521"/>
      <c r="AG226" s="5132"/>
      <c r="AH226" s="5183"/>
      <c r="AI226" s="6192"/>
    </row>
    <row r="227" ht="25.5" customHeight="1">
      <c r="A227" s="6185"/>
      <c r="B227" s="6307"/>
      <c r="C227" s="3030"/>
      <c r="D227" s="6308"/>
      <c r="E227" s="5133"/>
      <c r="F227" s="3526" t="str">
        <f t="array" ref="F227">IFERROR(VLOOKUP(E225,Dex!$B$3:$H1218,5,FALSE),"")</f>
        <v/>
      </c>
      <c r="G227" s="3527"/>
      <c r="H227" s="5136"/>
      <c r="J227" s="5133"/>
      <c r="K227" s="5134" t="str">
        <f t="array" ref="K227">IFERROR(VLOOKUP(J225,Dex!$B$3:$H1218,5,FALSE),"")</f>
        <v/>
      </c>
      <c r="L227" s="5135" t="str">
        <f t="array" ref="L227">IFERROR(VLOOKUP(J225,Dex!$B$3:$H1218,7,FALSE),"")</f>
        <v/>
      </c>
      <c r="M227" s="5136"/>
      <c r="O227" s="5133"/>
      <c r="P227" s="5134" t="str">
        <f t="array" ref="P227">IFERROR(VLOOKUP(O225,Dex!$B$3:$H1218,5,FALSE),"")</f>
        <v/>
      </c>
      <c r="Q227" s="5135" t="str">
        <f t="array" ref="Q227">IFERROR(VLOOKUP(O225,Dex!$B$3:$H1218,7,FALSE),"")</f>
        <v/>
      </c>
      <c r="R227" s="5136"/>
      <c r="T227" s="5133"/>
      <c r="U227" s="3526" t="str">
        <f t="array" ref="U227">IFERROR(VLOOKUP(T225,Dex!$B$3:$H1218,5,FALSE),"")</f>
        <v/>
      </c>
      <c r="V227" s="3527"/>
      <c r="W227" s="5136"/>
      <c r="Y227" s="5133"/>
      <c r="Z227" s="5134" t="str">
        <f t="array" ref="Z227">IFERROR(VLOOKUP(Y225,Dex!$B$3:$H1218,5,FALSE),"")</f>
        <v/>
      </c>
      <c r="AA227" s="5135" t="str">
        <f t="array" ref="AA227">IFERROR(VLOOKUP(Y225,Dex!$B$3:$H1218,7,FALSE),"")</f>
        <v/>
      </c>
      <c r="AB227" s="5136"/>
      <c r="AD227" s="5133"/>
      <c r="AE227" s="5134" t="str">
        <f t="array" ref="AE227">IFERROR(VLOOKUP(AD225,Dex!$B$3:$H1218,5,FALSE),"")</f>
        <v/>
      </c>
      <c r="AF227" s="5135" t="str">
        <f t="array" ref="AF227">IFERROR(VLOOKUP(AD225,Dex!$B$3:$H1218,7,FALSE),"")</f>
        <v/>
      </c>
      <c r="AG227" s="5136"/>
      <c r="AH227" s="3507"/>
      <c r="AI227" s="6192"/>
    </row>
    <row r="228" ht="2.25" customHeight="1">
      <c r="A228" s="6185"/>
      <c r="B228" s="6307"/>
      <c r="C228" s="3030"/>
      <c r="D228" s="6308"/>
      <c r="E228" s="5137"/>
      <c r="F228" s="5138"/>
      <c r="G228" s="5138"/>
      <c r="H228" s="5139"/>
      <c r="J228" s="5137"/>
      <c r="K228" s="5138"/>
      <c r="L228" s="5138"/>
      <c r="M228" s="5139"/>
      <c r="O228" s="5137"/>
      <c r="P228" s="5138"/>
      <c r="Q228" s="5138"/>
      <c r="R228" s="5139"/>
      <c r="T228" s="5137"/>
      <c r="U228" s="5138"/>
      <c r="V228" s="5138"/>
      <c r="W228" s="5139"/>
      <c r="Y228" s="5137"/>
      <c r="Z228" s="5138"/>
      <c r="AA228" s="5138"/>
      <c r="AB228" s="5139"/>
      <c r="AD228" s="5137"/>
      <c r="AE228" s="5138"/>
      <c r="AF228" s="5138"/>
      <c r="AG228" s="5139"/>
      <c r="AH228" s="3507"/>
      <c r="AI228" s="6192"/>
    </row>
    <row r="229" ht="20.25" customHeight="1">
      <c r="A229" s="6185"/>
      <c r="B229" s="6307"/>
      <c r="C229" s="3045"/>
      <c r="D229" s="6308"/>
      <c r="E229" s="3534" t="s">
        <v>172</v>
      </c>
      <c r="F229" s="3535"/>
      <c r="G229" s="3535"/>
      <c r="H229" s="3536"/>
      <c r="J229" s="3534" t="s">
        <v>172</v>
      </c>
      <c r="K229" s="3535"/>
      <c r="L229" s="3535"/>
      <c r="M229" s="3536"/>
      <c r="O229" s="3534" t="s">
        <v>205</v>
      </c>
      <c r="P229" s="3535"/>
      <c r="Q229" s="3535"/>
      <c r="R229" s="3536"/>
      <c r="T229" s="3534" t="s">
        <v>206</v>
      </c>
      <c r="U229" s="3535"/>
      <c r="V229" s="3535"/>
      <c r="W229" s="3536"/>
      <c r="Y229" s="3534" t="s">
        <v>172</v>
      </c>
      <c r="Z229" s="3535"/>
      <c r="AA229" s="3535"/>
      <c r="AB229" s="3536"/>
      <c r="AD229" s="3534" t="s">
        <v>169</v>
      </c>
      <c r="AE229" s="3535"/>
      <c r="AF229" s="3535"/>
      <c r="AG229" s="3536"/>
      <c r="AH229" s="5181"/>
      <c r="AI229" s="6192"/>
    </row>
    <row r="230">
      <c r="A230" s="6185"/>
      <c r="B230" s="3496"/>
      <c r="C230" s="6309"/>
      <c r="D230" s="3498"/>
      <c r="E230" s="3538" t="s">
        <v>265</v>
      </c>
      <c r="F230" s="3503"/>
      <c r="G230" s="3503"/>
      <c r="H230" s="3539"/>
      <c r="J230" s="3538" t="s">
        <v>390</v>
      </c>
      <c r="K230" s="3503"/>
      <c r="L230" s="3503"/>
      <c r="M230" s="3539"/>
      <c r="O230" s="3538" t="s">
        <v>1603</v>
      </c>
      <c r="P230" s="3503"/>
      <c r="Q230" s="3503"/>
      <c r="R230" s="3539"/>
      <c r="T230" s="3538" t="s">
        <v>1604</v>
      </c>
      <c r="U230" s="3503"/>
      <c r="V230" s="3503"/>
      <c r="W230" s="3539"/>
      <c r="Y230" s="3538" t="s">
        <v>532</v>
      </c>
      <c r="Z230" s="3503"/>
      <c r="AA230" s="3503"/>
      <c r="AB230" s="3539"/>
      <c r="AD230" s="3538" t="s">
        <v>1605</v>
      </c>
      <c r="AE230" s="3503"/>
      <c r="AF230" s="3503"/>
      <c r="AG230" s="3539"/>
      <c r="AH230" s="5181"/>
      <c r="AI230" s="6192"/>
    </row>
    <row r="231" ht="20.25" customHeight="1">
      <c r="A231" s="6185"/>
      <c r="B231" s="3496"/>
      <c r="C231" s="3516"/>
      <c r="D231" s="3498"/>
      <c r="E231" s="3540" t="s">
        <v>237</v>
      </c>
      <c r="F231" s="3541"/>
      <c r="G231" s="3542"/>
      <c r="H231" s="3543" t="str">
        <f>IMAGE("https://raw.githubusercontent.com/msikma/pokesprite/master/items/hold-item/terrain-extender.png",3)</f>
        <v/>
      </c>
      <c r="J231" s="3540" t="s">
        <v>363</v>
      </c>
      <c r="K231" s="3541"/>
      <c r="L231" s="3542"/>
      <c r="M231" s="3543" t="str">
        <f>IMAGE("https://raw.githubusercontent.com/msikma/pokesprite/master/items/berry/lum.png",3)</f>
        <v/>
      </c>
      <c r="O231" s="3540" t="s">
        <v>272</v>
      </c>
      <c r="P231" s="3541"/>
      <c r="Q231" s="3542"/>
      <c r="R231" s="3543" t="str">
        <f>IMAGE("https://raw.githubusercontent.com/msikma/pokesprite/master/items/hold-item/life-orb.png",3)</f>
        <v/>
      </c>
      <c r="T231" s="3540" t="s">
        <v>1121</v>
      </c>
      <c r="U231" s="3541"/>
      <c r="V231" s="3542"/>
      <c r="W231" s="3543" t="str">
        <f>IMAGE("https://raw.githubusercontent.com/msikma/pokesprite/master/items/mega-stone/slowbronite.png",3)</f>
        <v/>
      </c>
      <c r="Y231" s="3540" t="s">
        <v>626</v>
      </c>
      <c r="Z231" s="3541"/>
      <c r="AA231" s="3542"/>
      <c r="AB231" s="3543" t="str">
        <f>IMAGE("https://raw.githubusercontent.com/msikma/pokesprite/master/items/hold-item/white-herb.png",3)</f>
        <v/>
      </c>
      <c r="AD231" s="3540" t="s">
        <v>240</v>
      </c>
      <c r="AE231" s="3541"/>
      <c r="AF231" s="3542"/>
      <c r="AG231" s="3543" t="str">
        <f>IMAGE("https://raw.githubusercontent.com/msikma/pokesprite/master/items/hold-item/focus-sash.png",3)</f>
        <v/>
      </c>
      <c r="AH231" s="3507"/>
      <c r="AI231" s="6192"/>
    </row>
    <row r="232" ht="20.25" customHeight="1">
      <c r="A232" s="6185"/>
      <c r="B232" s="3496"/>
      <c r="C232" s="3544"/>
      <c r="D232" s="3498"/>
      <c r="E232" s="3534" t="s">
        <v>273</v>
      </c>
      <c r="F232" s="3535"/>
      <c r="G232" s="3545"/>
      <c r="H232" s="3546" t="str">
        <f>IMAGE("https://raw.githubusercontent.com/msikma/pokesprite/master/misc/types/gen8/grass.png",4,20,20)</f>
        <v/>
      </c>
      <c r="J232" s="3534" t="s">
        <v>408</v>
      </c>
      <c r="K232" s="3535"/>
      <c r="L232" s="3545"/>
      <c r="M232" s="3546" t="str">
        <f>IMAGE("https://raw.githubusercontent.com/msikma/pokesprite/master/misc/types/gen8/flying.png",4,20,20)</f>
        <v/>
      </c>
      <c r="O232" s="3534" t="s">
        <v>1097</v>
      </c>
      <c r="P232" s="3535"/>
      <c r="Q232" s="3545"/>
      <c r="R232" s="3546" t="str">
        <f>IMAGE("https://raw.githubusercontent.com/msikma/pokesprite/master/misc/types/gen8/ice.png",4,20,20)</f>
        <v/>
      </c>
      <c r="T232" s="3534" t="s">
        <v>509</v>
      </c>
      <c r="U232" s="3535"/>
      <c r="V232" s="3545"/>
      <c r="W232" s="3546" t="str">
        <f>IMAGE("https://raw.githubusercontent.com/msikma/pokesprite/master/misc/types/gen8/psychic.png",4,20,20)</f>
        <v/>
      </c>
      <c r="Y232" s="3534" t="s">
        <v>428</v>
      </c>
      <c r="Z232" s="3535"/>
      <c r="AA232" s="3545"/>
      <c r="AB232" s="3546" t="str">
        <f>IMAGE("https://raw.githubusercontent.com/msikma/pokesprite/master/misc/types/gen8/normal.png",4,20,20)</f>
        <v/>
      </c>
      <c r="AD232" s="3534" t="s">
        <v>1606</v>
      </c>
      <c r="AE232" s="3535"/>
      <c r="AF232" s="3545"/>
      <c r="AG232" s="3546" t="str">
        <f>IMAGE("https://raw.githubusercontent.com/msikma/pokesprite/master/misc/types/gen8/fighting.png",4,20,20)</f>
        <v/>
      </c>
      <c r="AH232" s="3507"/>
      <c r="AI232" s="6192"/>
    </row>
    <row r="233" ht="20.25" customHeight="1">
      <c r="A233" s="6185"/>
      <c r="B233" s="3496"/>
      <c r="C233" s="3529"/>
      <c r="D233" s="3498"/>
      <c r="E233" s="3538" t="s">
        <v>278</v>
      </c>
      <c r="F233" s="3503"/>
      <c r="G233" s="3504"/>
      <c r="H233" s="3547" t="str">
        <f>IMAGE("https://raw.githubusercontent.com/msikma/pokesprite/master/misc/types/gen8/bug.png",4,20,20)</f>
        <v/>
      </c>
      <c r="J233" s="3538" t="s">
        <v>396</v>
      </c>
      <c r="K233" s="3503"/>
      <c r="L233" s="3504"/>
      <c r="M233" s="3547" t="str">
        <f>IMAGE("https://raw.githubusercontent.com/msikma/pokesprite/master/misc/types/gen8/dragon.png",4,20,20)</f>
        <v/>
      </c>
      <c r="O233" s="3538" t="s">
        <v>539</v>
      </c>
      <c r="P233" s="3503"/>
      <c r="Q233" s="3504"/>
      <c r="R233" s="3547" t="str">
        <f>IMAGE("https://raw.githubusercontent.com/msikma/pokesprite/master/misc/types/gen8/electric.png",4,20,20)</f>
        <v/>
      </c>
      <c r="T233" s="3538" t="s">
        <v>464</v>
      </c>
      <c r="U233" s="3503"/>
      <c r="V233" s="3504"/>
      <c r="W233" s="3547" t="str">
        <f>IMAGE("https://raw.githubusercontent.com/msikma/pokesprite/master/misc/types/gen8/fairy.png",4,20,20)</f>
        <v/>
      </c>
      <c r="Y233" s="3538" t="s">
        <v>1607</v>
      </c>
      <c r="Z233" s="3503"/>
      <c r="AA233" s="3504"/>
      <c r="AB233" s="3547" t="str">
        <f>IMAGE("https://raw.githubusercontent.com/msikma/pokesprite/master/misc/types/gen8/dark.png",4,20,20)</f>
        <v/>
      </c>
      <c r="AD233" s="3538" t="s">
        <v>273</v>
      </c>
      <c r="AE233" s="3503"/>
      <c r="AF233" s="3504"/>
      <c r="AG233" s="3547" t="str">
        <f>IMAGE("https://raw.githubusercontent.com/msikma/pokesprite/master/misc/types/gen8/grass.png",4,20,20)</f>
        <v/>
      </c>
      <c r="AH233" s="3507"/>
      <c r="AI233" s="6192"/>
    </row>
    <row r="234" ht="20.25" customHeight="1">
      <c r="A234" s="6185"/>
      <c r="B234" s="3496"/>
      <c r="C234" s="3529"/>
      <c r="D234" s="3498"/>
      <c r="E234" s="3538" t="s">
        <v>279</v>
      </c>
      <c r="F234" s="3503"/>
      <c r="G234" s="3504"/>
      <c r="H234" s="3547" t="str">
        <f>IMAGE("https://raw.githubusercontent.com/msikma/pokesprite/master/misc/types/gen8/dark.png",4,20,20)</f>
        <v/>
      </c>
      <c r="J234" s="3538" t="s">
        <v>403</v>
      </c>
      <c r="K234" s="3503"/>
      <c r="L234" s="3504"/>
      <c r="M234" s="3547" t="str">
        <f>IMAGE("https://raw.githubusercontent.com/msikma/pokesprite/master/misc/types/gen8/fire.png",4,20,20)</f>
        <v/>
      </c>
      <c r="O234" s="3538" t="s">
        <v>636</v>
      </c>
      <c r="P234" s="3503"/>
      <c r="Q234" s="3504"/>
      <c r="R234" s="3547" t="str">
        <f>IMAGE("https://raw.githubusercontent.com/msikma/pokesprite/master/misc/types/gen8/ice.png",4,20,20)</f>
        <v/>
      </c>
      <c r="T234" s="3538" t="s">
        <v>315</v>
      </c>
      <c r="U234" s="3503"/>
      <c r="V234" s="3504"/>
      <c r="W234" s="3547" t="str">
        <f>IMAGE("https://raw.githubusercontent.com/msikma/pokesprite/master/misc/types/gen8/fire.png",4,20,20)</f>
        <v/>
      </c>
      <c r="Y234" s="3538" t="s">
        <v>657</v>
      </c>
      <c r="Z234" s="3503"/>
      <c r="AA234" s="3504"/>
      <c r="AB234" s="3547" t="str">
        <f>IMAGE("https://raw.githubusercontent.com/msikma/pokesprite/master/misc/types/gen8/water.png",4,20,20)</f>
        <v/>
      </c>
      <c r="AD234" s="3538" t="s">
        <v>489</v>
      </c>
      <c r="AE234" s="3503"/>
      <c r="AF234" s="3504"/>
      <c r="AG234" s="3547" t="str">
        <f>IMAGE("https://raw.githubusercontent.com/msikma/pokesprite/master/misc/types/gen8/normal.png",4,20,20)</f>
        <v/>
      </c>
      <c r="AH234" s="3507"/>
      <c r="AI234" s="6192"/>
    </row>
    <row r="235" ht="21.0" customHeight="1">
      <c r="A235" s="6185"/>
      <c r="B235" s="3496"/>
      <c r="C235" s="3529"/>
      <c r="D235" s="3498"/>
      <c r="E235" s="3548" t="s">
        <v>940</v>
      </c>
      <c r="F235" s="3549"/>
      <c r="G235" s="3550"/>
      <c r="H235" s="3551" t="str">
        <f>IMAGE("https://raw.githubusercontent.com/msikma/pokesprite/master/misc/types/gen8/grass.png",4,20,20)</f>
        <v/>
      </c>
      <c r="I235" s="3552"/>
      <c r="J235" s="3548" t="s">
        <v>215</v>
      </c>
      <c r="K235" s="3549"/>
      <c r="L235" s="3550"/>
      <c r="M235" s="3551" t="str">
        <f>IMAGE("https://raw.githubusercontent.com/msikma/pokesprite/master/misc/types/gen8/ice.png",4,20,20)</f>
        <v/>
      </c>
      <c r="N235" s="3552"/>
      <c r="O235" s="3548" t="s">
        <v>242</v>
      </c>
      <c r="P235" s="3549"/>
      <c r="Q235" s="3550"/>
      <c r="R235" s="3551" t="str">
        <f>IMAGE("https://raw.githubusercontent.com/msikma/pokesprite/master/misc/types/gen8/electric.png",4,20,20)</f>
        <v/>
      </c>
      <c r="S235" s="3552"/>
      <c r="T235" s="3548" t="s">
        <v>1608</v>
      </c>
      <c r="U235" s="3549"/>
      <c r="V235" s="3550"/>
      <c r="W235" s="3551" t="str">
        <f>IMAGE("https://raw.githubusercontent.com/msikma/pokesprite/master/misc/types/gen8/poison.png",4,20,20)</f>
        <v/>
      </c>
      <c r="X235" s="3552"/>
      <c r="Y235" s="3548" t="s">
        <v>1248</v>
      </c>
      <c r="Z235" s="3549"/>
      <c r="AA235" s="3550"/>
      <c r="AB235" s="3551" t="str">
        <f>IMAGE("https://raw.githubusercontent.com/msikma/pokesprite/master/misc/types/gen8/bug.png",4,20,20)</f>
        <v/>
      </c>
      <c r="AC235" s="3552"/>
      <c r="AD235" s="3548" t="s">
        <v>279</v>
      </c>
      <c r="AE235" s="3549"/>
      <c r="AF235" s="3550"/>
      <c r="AG235" s="3551" t="str">
        <f>IMAGE("https://raw.githubusercontent.com/msikma/pokesprite/master/misc/types/gen8/dark.png",4,20,20)</f>
        <v/>
      </c>
      <c r="AH235" s="3507"/>
      <c r="AI235" s="6192"/>
    </row>
    <row r="236" ht="3.0" customHeight="1">
      <c r="A236" s="6185"/>
      <c r="B236" s="3554"/>
      <c r="C236" s="3555"/>
      <c r="D236" s="3556"/>
      <c r="E236" s="3557"/>
      <c r="F236" s="3557"/>
      <c r="G236" s="3557"/>
      <c r="H236" s="3557"/>
      <c r="I236" s="3556"/>
      <c r="J236" s="3557"/>
      <c r="K236" s="3557"/>
      <c r="L236" s="3557"/>
      <c r="M236" s="3557"/>
      <c r="N236" s="3556"/>
      <c r="O236" s="3557"/>
      <c r="P236" s="3557"/>
      <c r="Q236" s="3557"/>
      <c r="R236" s="3557"/>
      <c r="S236" s="3559"/>
      <c r="T236" s="3557"/>
      <c r="U236" s="3557"/>
      <c r="V236" s="3557"/>
      <c r="W236" s="3557"/>
      <c r="X236" s="3556"/>
      <c r="Y236" s="3557"/>
      <c r="Z236" s="3557"/>
      <c r="AA236" s="3557"/>
      <c r="AB236" s="3557"/>
      <c r="AC236" s="3561"/>
      <c r="AD236" s="3557"/>
      <c r="AE236" s="3557"/>
      <c r="AF236" s="3557"/>
      <c r="AG236" s="3557"/>
      <c r="AH236" s="3562"/>
      <c r="AI236" s="6192"/>
    </row>
    <row r="237" ht="16.5" customHeight="1">
      <c r="A237" s="6185"/>
      <c r="B237" s="3563"/>
      <c r="C237" s="3555"/>
      <c r="D237" s="3564"/>
      <c r="E237" s="5313" t="s">
        <v>190</v>
      </c>
      <c r="F237" s="381"/>
      <c r="G237" s="382"/>
      <c r="H237" s="5314" t="s">
        <v>191</v>
      </c>
      <c r="I237" s="3575"/>
      <c r="J237" s="5313" t="s">
        <v>190</v>
      </c>
      <c r="K237" s="381"/>
      <c r="L237" s="382"/>
      <c r="M237" s="5314" t="s">
        <v>191</v>
      </c>
      <c r="N237" s="3564"/>
      <c r="O237" s="5313" t="s">
        <v>190</v>
      </c>
      <c r="P237" s="381"/>
      <c r="Q237" s="382"/>
      <c r="R237" s="5314" t="s">
        <v>191</v>
      </c>
      <c r="S237" s="3556"/>
      <c r="T237" s="5313" t="s">
        <v>190</v>
      </c>
      <c r="U237" s="381"/>
      <c r="V237" s="382"/>
      <c r="W237" s="5314" t="s">
        <v>191</v>
      </c>
      <c r="X237" s="3569"/>
      <c r="Y237" s="5313" t="s">
        <v>190</v>
      </c>
      <c r="Z237" s="381"/>
      <c r="AA237" s="382"/>
      <c r="AB237" s="5314" t="s">
        <v>191</v>
      </c>
      <c r="AC237" s="3569"/>
      <c r="AD237" s="5313" t="s">
        <v>190</v>
      </c>
      <c r="AE237" s="381"/>
      <c r="AF237" s="382"/>
      <c r="AG237" s="5314" t="s">
        <v>191</v>
      </c>
      <c r="AH237" s="3570"/>
      <c r="AI237" s="6192"/>
    </row>
    <row r="238" ht="16.5" customHeight="1">
      <c r="A238" s="6185"/>
      <c r="B238" s="3563"/>
      <c r="C238" s="3555"/>
      <c r="D238" s="3564"/>
      <c r="E238" s="5315" t="s">
        <v>192</v>
      </c>
      <c r="F238" s="5316">
        <f t="array" ref="F238">IFERROR(VLOOKUP(E225,Dex!$B$3:$N1218,8,FALSE),"")</f>
        <v>100</v>
      </c>
      <c r="G238" s="5317" t="str">
        <f t="array" ref="G238">IFERROR(VLOOKUP(F238,Dex!$P$22:$Q$276,2,FALSE),"")</f>
        <v/>
      </c>
      <c r="H238" s="5318"/>
      <c r="I238" s="3575"/>
      <c r="J238" s="5315" t="s">
        <v>192</v>
      </c>
      <c r="K238" s="5316">
        <f t="array" ref="K238">IFERROR(VLOOKUP(J225,Dex!$B$3:$N1218,8,FALSE),"")</f>
        <v>91</v>
      </c>
      <c r="L238" s="5317" t="str">
        <f t="array" ref="L238">IFERROR(VLOOKUP(K238,Dex!$P$22:$Q$276,2,FALSE),"")</f>
        <v/>
      </c>
      <c r="M238" s="5318"/>
      <c r="N238" s="3564"/>
      <c r="O238" s="5315" t="s">
        <v>192</v>
      </c>
      <c r="P238" s="5316">
        <f t="array" ref="P238">IFERROR(VLOOKUP(O225,Dex!$B$3:$N1218,8,FALSE),"")</f>
        <v>75</v>
      </c>
      <c r="Q238" s="5317" t="str">
        <f t="array" ref="Q238">IFERROR(VLOOKUP(P238,Dex!$P$22:$Q$276,2,FALSE),"")</f>
        <v/>
      </c>
      <c r="R238" s="5318"/>
      <c r="S238" s="3569"/>
      <c r="T238" s="5315" t="s">
        <v>192</v>
      </c>
      <c r="U238" s="5316">
        <f t="array" ref="U238">IFERROR(VLOOKUP(T225,Dex!$B$3:$N1218,8,FALSE),"")</f>
        <v>65</v>
      </c>
      <c r="V238" s="5317" t="str">
        <f t="array" ref="V238">IFERROR(VLOOKUP(U238,Dex!$P$22:$Q$276,2,FALSE),"")</f>
        <v/>
      </c>
      <c r="W238" s="5318">
        <v>252.0</v>
      </c>
      <c r="X238" s="3569"/>
      <c r="Y238" s="5315" t="s">
        <v>192</v>
      </c>
      <c r="Z238" s="5316">
        <f t="array" ref="Z238">IFERROR(VLOOKUP(Y225,Dex!$B$3:$N1218,8,FALSE),"")</f>
        <v>95</v>
      </c>
      <c r="AA238" s="5317" t="str">
        <f t="array" ref="AA238">IFERROR(VLOOKUP(Z238,Dex!$P$22:$Q$276,2,FALSE),"")</f>
        <v/>
      </c>
      <c r="AB238" s="5318"/>
      <c r="AC238" s="3569"/>
      <c r="AD238" s="5315" t="s">
        <v>192</v>
      </c>
      <c r="AE238" s="5316">
        <f t="array" ref="AE238">IFERROR(VLOOKUP(AD225,Dex!$B$3:$N1218,8,FALSE),"")</f>
        <v>98</v>
      </c>
      <c r="AF238" s="5317" t="str">
        <f t="array" ref="AF238">IFERROR(VLOOKUP(AE238,Dex!$P$22:$Q$276,2,FALSE),"")</f>
        <v/>
      </c>
      <c r="AG238" s="5318"/>
      <c r="AH238" s="3570"/>
      <c r="AI238" s="6192"/>
    </row>
    <row r="239" ht="16.5" customHeight="1">
      <c r="A239" s="6185"/>
      <c r="B239" s="3563"/>
      <c r="C239" s="3555"/>
      <c r="D239" s="3564"/>
      <c r="E239" s="5319" t="s">
        <v>193</v>
      </c>
      <c r="F239" s="5320">
        <f t="array" ref="F239">IFERROR(VLOOKUP(E225,Dex!$B$3:$N1218,9,FALSE),"")</f>
        <v>125</v>
      </c>
      <c r="G239" s="5321" t="str">
        <f t="array" ref="G239">IFERROR(VLOOKUP(F239,Dex!$P$22:$Q$276,2,FALSE),"")</f>
        <v/>
      </c>
      <c r="H239" s="5322">
        <v>252.0</v>
      </c>
      <c r="I239" s="3575"/>
      <c r="J239" s="5319" t="s">
        <v>193</v>
      </c>
      <c r="K239" s="5320">
        <f t="array" ref="K239">IFERROR(VLOOKUP(J225,Dex!$B$3:$N1218,9,FALSE),"")</f>
        <v>134</v>
      </c>
      <c r="L239" s="5321" t="str">
        <f t="array" ref="L239">IFERROR(VLOOKUP(K239,Dex!$P$22:$Q$276,2,FALSE),"")</f>
        <v/>
      </c>
      <c r="M239" s="5322">
        <v>252.0</v>
      </c>
      <c r="N239" s="3564"/>
      <c r="O239" s="5319" t="s">
        <v>193</v>
      </c>
      <c r="P239" s="5320">
        <f t="array" ref="P239">IFERROR(VLOOKUP(O225,Dex!$B$3:$N1218,9,FALSE),"")</f>
        <v>70</v>
      </c>
      <c r="Q239" s="5321" t="str">
        <f t="array" ref="Q239">IFERROR(VLOOKUP(P239,Dex!$P$22:$Q$276,2,FALSE),"")</f>
        <v/>
      </c>
      <c r="R239" s="5322"/>
      <c r="S239" s="3569"/>
      <c r="T239" s="5319" t="s">
        <v>193</v>
      </c>
      <c r="U239" s="5320">
        <f t="array" ref="U239">IFERROR(VLOOKUP(T225,Dex!$B$3:$N1218,9,FALSE),"")</f>
        <v>70</v>
      </c>
      <c r="V239" s="5321" t="str">
        <f t="array" ref="V239">IFERROR(VLOOKUP(U239,Dex!$P$22:$Q$276,2,FALSE),"")</f>
        <v/>
      </c>
      <c r="W239" s="5322"/>
      <c r="X239" s="3569"/>
      <c r="Y239" s="5319" t="s">
        <v>193</v>
      </c>
      <c r="Z239" s="5320">
        <f t="array" ref="Z239">IFERROR(VLOOKUP(Y225,Dex!$B$3:$N1218,9,FALSE),"")</f>
        <v>108</v>
      </c>
      <c r="AA239" s="5321" t="str">
        <f t="array" ref="AA239">IFERROR(VLOOKUP(Z239,Dex!$P$22:$Q$276,2,FALSE),"")</f>
        <v/>
      </c>
      <c r="AB239" s="5322">
        <v>252.0</v>
      </c>
      <c r="AC239" s="3569"/>
      <c r="AD239" s="5319" t="s">
        <v>193</v>
      </c>
      <c r="AE239" s="5320">
        <f t="array" ref="AE239">IFERROR(VLOOKUP(AD225,Dex!$B$3:$N1218,9,FALSE),"")</f>
        <v>112</v>
      </c>
      <c r="AF239" s="5321" t="str">
        <f t="array" ref="AF239">IFERROR(VLOOKUP(AE239,Dex!$P$22:$Q$276,2,FALSE),"")</f>
        <v/>
      </c>
      <c r="AG239" s="5322">
        <v>252.0</v>
      </c>
      <c r="AH239" s="3570"/>
      <c r="AI239" s="6192"/>
    </row>
    <row r="240" ht="16.5" customHeight="1">
      <c r="A240" s="6185"/>
      <c r="B240" s="3563"/>
      <c r="C240" s="3555"/>
      <c r="D240" s="3564"/>
      <c r="E240" s="5319" t="s">
        <v>194</v>
      </c>
      <c r="F240" s="5320">
        <f t="array" ref="F240">IFERROR(VLOOKUP(E225,Dex!$B$3:$N1218,10,FALSE),"")</f>
        <v>90</v>
      </c>
      <c r="G240" s="5321" t="str">
        <f t="array" ref="G240">IFERROR(VLOOKUP(F240,Dex!$P$22:$Q$276,2,FALSE),"")</f>
        <v/>
      </c>
      <c r="H240" s="5322"/>
      <c r="I240" s="3575"/>
      <c r="J240" s="5319" t="s">
        <v>194</v>
      </c>
      <c r="K240" s="5320">
        <f t="array" ref="K240">IFERROR(VLOOKUP(J225,Dex!$B$3:$N1218,10,FALSE),"")</f>
        <v>95</v>
      </c>
      <c r="L240" s="5321" t="str">
        <f t="array" ref="L240">IFERROR(VLOOKUP(K240,Dex!$P$22:$Q$276,2,FALSE),"")</f>
        <v/>
      </c>
      <c r="M240" s="5322">
        <v>4.0</v>
      </c>
      <c r="N240" s="3564"/>
      <c r="O240" s="5319" t="s">
        <v>194</v>
      </c>
      <c r="P240" s="5320">
        <f t="array" ref="P240">IFERROR(VLOOKUP(O225,Dex!$B$3:$N1218,10,FALSE),"")</f>
        <v>63</v>
      </c>
      <c r="Q240" s="5321" t="str">
        <f t="array" ref="Q240">IFERROR(VLOOKUP(P240,Dex!$P$22:$Q$276,2,FALSE),"")</f>
        <v/>
      </c>
      <c r="R240" s="5322">
        <v>4.0</v>
      </c>
      <c r="S240" s="3569"/>
      <c r="T240" s="5319" t="s">
        <v>194</v>
      </c>
      <c r="U240" s="5320">
        <f t="array" ref="U240">IFERROR(VLOOKUP(T225,Dex!$B$3:$N1218,10,FALSE),"")</f>
        <v>90</v>
      </c>
      <c r="V240" s="5321" t="str">
        <f t="array" ref="V240">IFERROR(VLOOKUP(U240,Dex!$P$22:$Q$276,2,FALSE),"")</f>
        <v/>
      </c>
      <c r="W240" s="5322">
        <v>252.0</v>
      </c>
      <c r="X240" s="3569"/>
      <c r="Y240" s="5319" t="s">
        <v>194</v>
      </c>
      <c r="Z240" s="5320">
        <f t="array" ref="Z240">IFERROR(VLOOKUP(Y225,Dex!$B$3:$N1218,10,FALSE),"")</f>
        <v>85</v>
      </c>
      <c r="AA240" s="5321" t="str">
        <f t="array" ref="AA240">IFERROR(VLOOKUP(Z240,Dex!$P$22:$Q$276,2,FALSE),"")</f>
        <v/>
      </c>
      <c r="AB240" s="5322">
        <v>4.0</v>
      </c>
      <c r="AC240" s="3569"/>
      <c r="AD240" s="5319" t="s">
        <v>194</v>
      </c>
      <c r="AE240" s="5320">
        <f t="array" ref="AE240">IFERROR(VLOOKUP(AD225,Dex!$B$3:$N1218,10,FALSE),"")</f>
        <v>85</v>
      </c>
      <c r="AF240" s="5321" t="str">
        <f t="array" ref="AF240">IFERROR(VLOOKUP(AE240,Dex!$P$22:$Q$276,2,FALSE),"")</f>
        <v/>
      </c>
      <c r="AG240" s="5322">
        <v>4.0</v>
      </c>
      <c r="AH240" s="3570"/>
      <c r="AI240" s="6192"/>
    </row>
    <row r="241" ht="16.5" customHeight="1">
      <c r="A241" s="6185"/>
      <c r="B241" s="3563"/>
      <c r="C241" s="3555"/>
      <c r="D241" s="3564"/>
      <c r="E241" s="5319" t="s">
        <v>195</v>
      </c>
      <c r="F241" s="5320">
        <f t="array" ref="F241">IFERROR(VLOOKUP(E225,Dex!$B$3:$N1218,11,FALSE),"")</f>
        <v>60</v>
      </c>
      <c r="G241" s="5321" t="str">
        <f t="array" ref="G241">IFERROR(VLOOKUP(F241,Dex!$P$22:$Q$276,2,FALSE),"")</f>
        <v/>
      </c>
      <c r="H241" s="5322"/>
      <c r="I241" s="3575"/>
      <c r="J241" s="5319" t="s">
        <v>195</v>
      </c>
      <c r="K241" s="5320">
        <f t="array" ref="K241">IFERROR(VLOOKUP(J225,Dex!$B$3:$N1218,11,FALSE),"")</f>
        <v>100</v>
      </c>
      <c r="L241" s="5321" t="str">
        <f t="array" ref="L241">IFERROR(VLOOKUP(K241,Dex!$P$22:$Q$276,2,FALSE),"")</f>
        <v/>
      </c>
      <c r="M241" s="5322"/>
      <c r="N241" s="3564"/>
      <c r="O241" s="5319" t="s">
        <v>195</v>
      </c>
      <c r="P241" s="5320">
        <f t="array" ref="P241">IFERROR(VLOOKUP(O225,Dex!$B$3:$N1218,11,FALSE),"")</f>
        <v>110</v>
      </c>
      <c r="Q241" s="5321" t="str">
        <f t="array" ref="Q241">IFERROR(VLOOKUP(P241,Dex!$P$22:$Q$276,2,FALSE),"")</f>
        <v/>
      </c>
      <c r="R241" s="5322">
        <v>252.0</v>
      </c>
      <c r="S241" s="3569"/>
      <c r="T241" s="5319" t="s">
        <v>195</v>
      </c>
      <c r="U241" s="5320">
        <f t="array" ref="U241">IFERROR(VLOOKUP(T225,Dex!$B$3:$N1218,11,FALSE),"")</f>
        <v>140</v>
      </c>
      <c r="V241" s="5321" t="str">
        <f t="array" ref="V241">IFERROR(VLOOKUP(U241,Dex!$P$22:$Q$276,2,FALSE),"")</f>
        <v/>
      </c>
      <c r="W241" s="5322">
        <v>4.0</v>
      </c>
      <c r="X241" s="3569"/>
      <c r="Y241" s="5319" t="s">
        <v>195</v>
      </c>
      <c r="Z241" s="5320">
        <f t="array" ref="Z241">IFERROR(VLOOKUP(Y225,Dex!$B$3:$N1218,11,FALSE),"")</f>
        <v>95</v>
      </c>
      <c r="AA241" s="5321" t="str">
        <f t="array" ref="AA241">IFERROR(VLOOKUP(Z241,Dex!$P$22:$Q$276,2,FALSE),"")</f>
        <v/>
      </c>
      <c r="AB241" s="5322"/>
      <c r="AC241" s="3569"/>
      <c r="AD241" s="5319" t="s">
        <v>195</v>
      </c>
      <c r="AE241" s="5320">
        <f t="array" ref="AE241">IFERROR(VLOOKUP(AD225,Dex!$B$3:$N1218,11,FALSE),"")</f>
        <v>75</v>
      </c>
      <c r="AF241" s="5321" t="str">
        <f t="array" ref="AF241">IFERROR(VLOOKUP(AE241,Dex!$P$22:$Q$276,2,FALSE),"")</f>
        <v/>
      </c>
      <c r="AG241" s="5322"/>
      <c r="AH241" s="3570"/>
      <c r="AI241" s="6192"/>
    </row>
    <row r="242" ht="16.5" customHeight="1">
      <c r="A242" s="6185"/>
      <c r="B242" s="3563"/>
      <c r="C242" s="3555"/>
      <c r="D242" s="3564"/>
      <c r="E242" s="5319" t="s">
        <v>196</v>
      </c>
      <c r="F242" s="5320">
        <f t="array" ref="F242">IFERROR(VLOOKUP(E225,Dex!$B$3:$N1218,12,FALSE),"")</f>
        <v>70</v>
      </c>
      <c r="G242" s="5321" t="str">
        <f t="array" ref="G242">IFERROR(VLOOKUP(F242,Dex!$P$22:$Q$276,2,FALSE),"")</f>
        <v/>
      </c>
      <c r="H242" s="5322">
        <v>4.0</v>
      </c>
      <c r="I242" s="3575"/>
      <c r="J242" s="5319" t="s">
        <v>196</v>
      </c>
      <c r="K242" s="5320">
        <f t="array" ref="K242">IFERROR(VLOOKUP(J225,Dex!$B$3:$N1218,12,FALSE),"")</f>
        <v>100</v>
      </c>
      <c r="L242" s="5321" t="str">
        <f t="array" ref="L242">IFERROR(VLOOKUP(K242,Dex!$P$22:$Q$276,2,FALSE),"")</f>
        <v/>
      </c>
      <c r="M242" s="5322"/>
      <c r="N242" s="3564"/>
      <c r="O242" s="5319" t="s">
        <v>196</v>
      </c>
      <c r="P242" s="5320">
        <f t="array" ref="P242">IFERROR(VLOOKUP(O225,Dex!$B$3:$N1218,12,FALSE),"")</f>
        <v>63</v>
      </c>
      <c r="Q242" s="5321" t="str">
        <f t="array" ref="Q242">IFERROR(VLOOKUP(P242,Dex!$P$22:$Q$276,2,FALSE),"")</f>
        <v/>
      </c>
      <c r="R242" s="5322"/>
      <c r="S242" s="3569"/>
      <c r="T242" s="5319" t="s">
        <v>196</v>
      </c>
      <c r="U242" s="5320">
        <f t="array" ref="U242">IFERROR(VLOOKUP(T225,Dex!$B$3:$N1218,12,FALSE),"")</f>
        <v>131</v>
      </c>
      <c r="V242" s="5321" t="str">
        <f t="array" ref="V242">IFERROR(VLOOKUP(U242,Dex!$P$22:$Q$276,2,FALSE),"")</f>
        <v/>
      </c>
      <c r="W242" s="5322"/>
      <c r="X242" s="3569"/>
      <c r="Y242" s="5319" t="s">
        <v>196</v>
      </c>
      <c r="Z242" s="5320">
        <f t="array" ref="Z242">IFERROR(VLOOKUP(Y225,Dex!$B$3:$N1218,12,FALSE),"")</f>
        <v>70</v>
      </c>
      <c r="AA242" s="5321" t="str">
        <f t="array" ref="AA242">IFERROR(VLOOKUP(Z242,Dex!$P$22:$Q$276,2,FALSE),"")</f>
        <v/>
      </c>
      <c r="AB242" s="5322"/>
      <c r="AC242" s="3569"/>
      <c r="AD242" s="5319" t="s">
        <v>196</v>
      </c>
      <c r="AE242" s="5320">
        <f t="array" ref="AE242">IFERROR(VLOOKUP(AD225,Dex!$B$3:$N1218,12,FALSE),"")</f>
        <v>100</v>
      </c>
      <c r="AF242" s="5321" t="str">
        <f t="array" ref="AF242">IFERROR(VLOOKUP(AE242,Dex!$P$22:$Q$276,2,FALSE),"")</f>
        <v/>
      </c>
      <c r="AG242" s="5322"/>
      <c r="AH242" s="3570"/>
      <c r="AI242" s="6192"/>
    </row>
    <row r="243" ht="16.5" customHeight="1">
      <c r="A243" s="6185"/>
      <c r="B243" s="3563"/>
      <c r="C243" s="3555"/>
      <c r="D243" s="3564"/>
      <c r="E243" s="5323" t="s">
        <v>197</v>
      </c>
      <c r="F243" s="5324">
        <f t="array" ref="F243">IFERROR(VLOOKUP(E225,Dex!$B$3:$N1218,13,FALSE),"")</f>
        <v>85</v>
      </c>
      <c r="G243" s="5325" t="str">
        <f t="array" ref="G243">IFERROR(VLOOKUP(F243,Dex!$P$22:$Q$276,2,FALSE),"")</f>
        <v/>
      </c>
      <c r="H243" s="5326">
        <v>252.0</v>
      </c>
      <c r="I243" s="3575"/>
      <c r="J243" s="5323" t="s">
        <v>197</v>
      </c>
      <c r="K243" s="5324">
        <f t="array" ref="K243">IFERROR(VLOOKUP(J225,Dex!$B$3:$N1218,13,FALSE),"")</f>
        <v>80</v>
      </c>
      <c r="L243" s="5325" t="str">
        <f t="array" ref="L243">IFERROR(VLOOKUP(K243,Dex!$P$22:$Q$276,2,FALSE),"")</f>
        <v/>
      </c>
      <c r="M243" s="5326">
        <v>252.0</v>
      </c>
      <c r="N243" s="3564"/>
      <c r="O243" s="5323" t="s">
        <v>197</v>
      </c>
      <c r="P243" s="5324">
        <f t="array" ref="P243">IFERROR(VLOOKUP(O225,Dex!$B$3:$N1218,13,FALSE),"")</f>
        <v>116</v>
      </c>
      <c r="Q243" s="5325" t="str">
        <f t="array" ref="Q243">IFERROR(VLOOKUP(P243,Dex!$P$22:$Q$276,2,FALSE),"")</f>
        <v/>
      </c>
      <c r="R243" s="5326">
        <v>252.0</v>
      </c>
      <c r="S243" s="3569"/>
      <c r="T243" s="5323" t="s">
        <v>197</v>
      </c>
      <c r="U243" s="5324">
        <f t="array" ref="U243">IFERROR(VLOOKUP(T225,Dex!$B$3:$N1218,13,FALSE),"")</f>
        <v>84</v>
      </c>
      <c r="V243" s="5325" t="str">
        <f t="array" ref="V243">IFERROR(VLOOKUP(U243,Dex!$P$22:$Q$276,2,FALSE),"")</f>
        <v/>
      </c>
      <c r="W243" s="5326"/>
      <c r="X243" s="3569"/>
      <c r="Y243" s="5323" t="s">
        <v>197</v>
      </c>
      <c r="Z243" s="5324">
        <f t="array" ref="Z243">IFERROR(VLOOKUP(Y225,Dex!$B$3:$N1218,13,FALSE),"")</f>
        <v>90</v>
      </c>
      <c r="AA243" s="5325" t="str">
        <f t="array" ref="AA243">IFERROR(VLOOKUP(Z243,Dex!$P$22:$Q$276,2,FALSE),"")</f>
        <v/>
      </c>
      <c r="AB243" s="5326">
        <v>252.0</v>
      </c>
      <c r="AC243" s="3569"/>
      <c r="AD243" s="5323" t="s">
        <v>197</v>
      </c>
      <c r="AE243" s="5324">
        <f t="array" ref="AE243">IFERROR(VLOOKUP(AD225,Dex!$B$3:$N1218,13,FALSE),"")</f>
        <v>70</v>
      </c>
      <c r="AF243" s="5325" t="str">
        <f t="array" ref="AF243">IFERROR(VLOOKUP(AE243,Dex!$P$22:$Q$276,2,FALSE),"")</f>
        <v/>
      </c>
      <c r="AG243" s="5326">
        <v>252.0</v>
      </c>
      <c r="AH243" s="3570"/>
      <c r="AI243" s="6192"/>
    </row>
    <row r="244" ht="16.5" customHeight="1">
      <c r="A244" s="6185"/>
      <c r="B244" s="3563"/>
      <c r="C244" s="3555"/>
      <c r="D244" s="3564"/>
      <c r="E244" s="5327" t="s">
        <v>198</v>
      </c>
      <c r="F244" s="405"/>
      <c r="G244" s="406"/>
      <c r="H244" s="5328">
        <v>295.0</v>
      </c>
      <c r="I244" s="3575"/>
      <c r="J244" s="5327" t="s">
        <v>198</v>
      </c>
      <c r="K244" s="405"/>
      <c r="L244" s="406"/>
      <c r="M244" s="5328">
        <v>284.0</v>
      </c>
      <c r="N244" s="3564"/>
      <c r="O244" s="5327" t="s">
        <v>198</v>
      </c>
      <c r="P244" s="405"/>
      <c r="Q244" s="406"/>
      <c r="R244" s="5328">
        <v>364.0</v>
      </c>
      <c r="S244" s="5154"/>
      <c r="T244" s="5327" t="s">
        <v>198</v>
      </c>
      <c r="U244" s="405"/>
      <c r="V244" s="406"/>
      <c r="W244" s="5328">
        <v>204.0</v>
      </c>
      <c r="X244" s="3569"/>
      <c r="Y244" s="5327" t="s">
        <v>198</v>
      </c>
      <c r="Z244" s="405"/>
      <c r="AA244" s="406"/>
      <c r="AB244" s="5328">
        <v>306.0</v>
      </c>
      <c r="AC244" s="5154"/>
      <c r="AD244" s="5329" t="s">
        <v>198</v>
      </c>
      <c r="AE244" s="918"/>
      <c r="AF244" s="919"/>
      <c r="AG244" s="5330">
        <v>239.0</v>
      </c>
      <c r="AH244" s="3570"/>
      <c r="AI244" s="6192"/>
    </row>
    <row r="245" ht="16.5" customHeight="1">
      <c r="A245" s="6185"/>
      <c r="B245" s="5143"/>
      <c r="C245" s="5144"/>
      <c r="D245" s="5145"/>
      <c r="E245" s="5144"/>
      <c r="F245" s="5144"/>
      <c r="G245" s="5144"/>
      <c r="H245" s="5144"/>
      <c r="I245" s="5147"/>
      <c r="J245" s="5144"/>
      <c r="K245" s="5144"/>
      <c r="L245" s="5144"/>
      <c r="M245" s="5144"/>
      <c r="N245" s="5145"/>
      <c r="O245" s="5144"/>
      <c r="P245" s="5144"/>
      <c r="Q245" s="5144"/>
      <c r="R245" s="5144"/>
      <c r="S245" s="5155"/>
      <c r="T245" s="5144"/>
      <c r="U245" s="5144"/>
      <c r="V245" s="5144"/>
      <c r="W245" s="5144"/>
      <c r="X245" s="5148"/>
      <c r="Y245" s="5144"/>
      <c r="Z245" s="5144"/>
      <c r="AA245" s="5144"/>
      <c r="AB245" s="5144"/>
      <c r="AC245" s="5148"/>
      <c r="AD245" s="5331" t="s">
        <v>1609</v>
      </c>
      <c r="AE245" s="925"/>
      <c r="AF245" s="926"/>
      <c r="AG245" s="5332">
        <v>358.0</v>
      </c>
      <c r="AH245" s="5151"/>
      <c r="AI245" s="6192"/>
    </row>
    <row r="246" ht="15.0" customHeight="1">
      <c r="A246" s="6185"/>
      <c r="B246" s="3589"/>
      <c r="C246" s="3590"/>
      <c r="D246" s="3591"/>
      <c r="E246" s="3592"/>
      <c r="F246" s="3592"/>
      <c r="G246" s="3592"/>
      <c r="H246" s="3593"/>
      <c r="I246" s="3593"/>
      <c r="J246" s="3592"/>
      <c r="K246" s="3592"/>
      <c r="L246" s="3592"/>
      <c r="M246" s="3593"/>
      <c r="N246" s="3595"/>
      <c r="O246" s="3596"/>
      <c r="P246" s="3596"/>
      <c r="Q246" s="3597"/>
      <c r="R246" s="3597"/>
      <c r="S246" s="3597"/>
      <c r="T246" s="3596"/>
      <c r="U246" s="3596"/>
      <c r="V246" s="3597"/>
      <c r="W246" s="3597"/>
      <c r="X246" s="3595"/>
      <c r="Y246" s="3598"/>
      <c r="Z246" s="3598"/>
      <c r="AA246" s="3598"/>
      <c r="AB246" s="3598"/>
      <c r="AC246" s="3598"/>
      <c r="AD246" s="3598"/>
      <c r="AE246" s="3598"/>
      <c r="AF246" s="3598"/>
      <c r="AG246" s="3598"/>
      <c r="AH246" s="3599"/>
      <c r="AI246" s="6192"/>
    </row>
    <row r="247" ht="15.0" customHeight="1">
      <c r="A247" s="6185"/>
      <c r="B247" s="1821"/>
      <c r="C247" s="1822"/>
      <c r="D247" s="1823"/>
      <c r="E247" s="1824"/>
      <c r="F247" s="1824"/>
      <c r="G247" s="1824"/>
      <c r="H247" s="1824"/>
      <c r="I247" s="1823"/>
      <c r="J247" s="1824"/>
      <c r="K247" s="1824"/>
      <c r="L247" s="1824"/>
      <c r="M247" s="1824"/>
      <c r="N247" s="1823"/>
      <c r="O247" s="1824"/>
      <c r="P247" s="1824"/>
      <c r="Q247" s="1824"/>
      <c r="R247" s="1824"/>
      <c r="S247" s="1823"/>
      <c r="T247" s="1824"/>
      <c r="U247" s="1824"/>
      <c r="V247" s="1824"/>
      <c r="W247" s="1824"/>
      <c r="X247" s="1823"/>
      <c r="Y247" s="1824"/>
      <c r="Z247" s="1824"/>
      <c r="AA247" s="1824"/>
      <c r="AB247" s="1824"/>
      <c r="AC247" s="1823"/>
      <c r="AD247" s="1824"/>
      <c r="AE247" s="1824"/>
      <c r="AF247" s="1824"/>
      <c r="AG247" s="1824"/>
      <c r="AH247" s="1825"/>
      <c r="AI247" s="6192"/>
    </row>
    <row r="248" ht="96.75" customHeight="1">
      <c r="A248" s="6185"/>
      <c r="B248" s="1826"/>
      <c r="C248" s="1827" t="str">
        <f>IMAGE("https://i.ibb.co/h9K4sWf/Morty.png")</f>
        <v/>
      </c>
      <c r="D248" s="1828"/>
      <c r="E248" s="1829" t="str">
        <f t="array" ref="E248">IFERROR(VLOOKUP(E249,Dex!$B$3:$G1218,3,FALSE),"")</f>
        <v/>
      </c>
      <c r="F248" s="1830"/>
      <c r="G248" s="1830"/>
      <c r="H248" s="1831"/>
      <c r="I248" s="1832"/>
      <c r="J248" s="1829" t="str">
        <f t="array" ref="J248">IFERROR(VLOOKUP(J249,Dex!$B$3:$G1218,3,FALSE),"")</f>
        <v/>
      </c>
      <c r="K248" s="1830"/>
      <c r="L248" s="1830"/>
      <c r="M248" s="1831"/>
      <c r="N248" s="1832"/>
      <c r="O248" s="1829" t="str">
        <f t="array" ref="O248">IFERROR(VLOOKUP(O249,Dex!$B$3:$G1218,3,FALSE),"")</f>
        <v/>
      </c>
      <c r="P248" s="1830"/>
      <c r="Q248" s="1830"/>
      <c r="R248" s="1831"/>
      <c r="S248" s="1832"/>
      <c r="T248" s="1829" t="str">
        <f t="array" ref="T248">IFERROR(VLOOKUP(T249,Dex!$B$3:$G1218,3,FALSE),"")</f>
        <v/>
      </c>
      <c r="U248" s="1830"/>
      <c r="V248" s="1830"/>
      <c r="W248" s="1831"/>
      <c r="X248" s="1832"/>
      <c r="Y248" s="1829" t="str">
        <f t="array" ref="Y248">IFERROR(VLOOKUP(Y249,Dex!$B$3:$G1218,3,FALSE),"")</f>
        <v/>
      </c>
      <c r="Z248" s="1830"/>
      <c r="AA248" s="1830"/>
      <c r="AB248" s="1831"/>
      <c r="AC248" s="1832"/>
      <c r="AD248" s="1829" t="str">
        <f t="array" ref="AD248">IFERROR(VLOOKUP(AD249,Dex!$B$3:$G1218,3,FALSE),"")</f>
        <v/>
      </c>
      <c r="AE248" s="1830"/>
      <c r="AF248" s="1830"/>
      <c r="AG248" s="1831"/>
      <c r="AH248" s="1833"/>
      <c r="AI248" s="6192"/>
    </row>
    <row r="249" ht="18.75" customHeight="1">
      <c r="A249" s="6185"/>
      <c r="B249" s="1834"/>
      <c r="C249" s="6310" t="s">
        <v>1610</v>
      </c>
      <c r="D249" s="1836"/>
      <c r="E249" s="1837" t="s">
        <v>568</v>
      </c>
      <c r="F249" s="1838"/>
      <c r="G249" s="1838"/>
      <c r="H249" s="1839"/>
      <c r="J249" s="1837" t="s">
        <v>1448</v>
      </c>
      <c r="K249" s="1838"/>
      <c r="L249" s="1838"/>
      <c r="M249" s="1839"/>
      <c r="O249" s="1837" t="s">
        <v>1611</v>
      </c>
      <c r="P249" s="1838"/>
      <c r="Q249" s="1838"/>
      <c r="R249" s="1839"/>
      <c r="T249" s="1837" t="s">
        <v>1376</v>
      </c>
      <c r="U249" s="1838"/>
      <c r="V249" s="1838"/>
      <c r="W249" s="1839"/>
      <c r="Y249" s="1837" t="s">
        <v>572</v>
      </c>
      <c r="Z249" s="1838"/>
      <c r="AA249" s="1838"/>
      <c r="AB249" s="1839"/>
      <c r="AD249" s="1837" t="s">
        <v>1612</v>
      </c>
      <c r="AE249" s="1838"/>
      <c r="AF249" s="1838"/>
      <c r="AG249" s="1839"/>
      <c r="AH249" s="1840"/>
      <c r="AI249" s="6192"/>
    </row>
    <row r="250">
      <c r="A250" s="6185"/>
      <c r="B250" s="1841"/>
      <c r="C250" s="6298"/>
      <c r="D250" s="1842"/>
      <c r="E250" s="1843" t="s">
        <v>1502</v>
      </c>
      <c r="F250" s="1844"/>
      <c r="G250" s="1844"/>
      <c r="H250" s="1845"/>
      <c r="J250" s="1843" t="s">
        <v>1502</v>
      </c>
      <c r="K250" s="1844"/>
      <c r="L250" s="1844"/>
      <c r="M250" s="1845"/>
      <c r="O250" s="1843" t="s">
        <v>1502</v>
      </c>
      <c r="P250" s="1844"/>
      <c r="Q250" s="1844"/>
      <c r="R250" s="1845"/>
      <c r="T250" s="1843" t="s">
        <v>1502</v>
      </c>
      <c r="U250" s="1844"/>
      <c r="V250" s="1844"/>
      <c r="W250" s="1845"/>
      <c r="Y250" s="1843" t="s">
        <v>1502</v>
      </c>
      <c r="Z250" s="1844"/>
      <c r="AA250" s="1844"/>
      <c r="AB250" s="1845"/>
      <c r="AD250" s="1843" t="s">
        <v>1502</v>
      </c>
      <c r="AE250" s="1844"/>
      <c r="AF250" s="1844"/>
      <c r="AG250" s="1845"/>
      <c r="AH250" s="1846"/>
      <c r="AI250" s="6192"/>
    </row>
    <row r="251" ht="25.5" customHeight="1">
      <c r="A251" s="6185"/>
      <c r="B251" s="1847"/>
      <c r="C251" s="6298"/>
      <c r="D251" s="1861"/>
      <c r="E251" s="1849"/>
      <c r="F251" s="1850" t="str">
        <f t="array" ref="F251">IFERROR(VLOOKUP(E249,Dex!$B$3:$H1218,5,FALSE),"")</f>
        <v/>
      </c>
      <c r="G251" s="1851" t="str">
        <f t="array" ref="G251">IFERROR(VLOOKUP(E249,Dex!$B$3:$H1218,7,FALSE),"")</f>
        <v/>
      </c>
      <c r="H251" s="1852"/>
      <c r="J251" s="1849"/>
      <c r="K251" s="1850" t="str">
        <f t="array" ref="K251">IFERROR(VLOOKUP(J249,Dex!$B$3:$H1218,5,FALSE),"")</f>
        <v/>
      </c>
      <c r="L251" s="1851" t="str">
        <f t="array" ref="L251">IFERROR(VLOOKUP(J249,Dex!$B$3:$H1218,7,FALSE),"")</f>
        <v/>
      </c>
      <c r="M251" s="1852"/>
      <c r="O251" s="1849"/>
      <c r="P251" s="1854" t="str">
        <f t="array" ref="P251">IFERROR(VLOOKUP(O249,Dex!$B$3:$H1218,5,FALSE),"")</f>
        <v/>
      </c>
      <c r="Q251" s="1855"/>
      <c r="R251" s="1852"/>
      <c r="T251" s="1849"/>
      <c r="U251" s="1850" t="str">
        <f t="array" ref="U251">IFERROR(VLOOKUP(T249,Dex!$B$3:$H1218,5,FALSE),"")</f>
        <v/>
      </c>
      <c r="V251" s="1851" t="str">
        <f t="array" ref="V251">IFERROR(VLOOKUP(T249,Dex!$B$3:$H1218,7,FALSE),"")</f>
        <v/>
      </c>
      <c r="W251" s="1852"/>
      <c r="Y251" s="1849"/>
      <c r="Z251" s="1850" t="str">
        <f t="array" ref="Z251">IFERROR(VLOOKUP(Y249,Dex!$B$3:$H1218,5,FALSE),"")</f>
        <v/>
      </c>
      <c r="AA251" s="1851" t="str">
        <f t="array" ref="AA251">IFERROR(VLOOKUP(Y249,Dex!$B$3:$H1218,7,FALSE),"")</f>
        <v/>
      </c>
      <c r="AB251" s="1852"/>
      <c r="AD251" s="1849"/>
      <c r="AE251" s="1850" t="str">
        <f t="array" ref="AE251">IFERROR(VLOOKUP(AD249,Dex!$B$3:$H1218,5,FALSE),"")</f>
        <v/>
      </c>
      <c r="AF251" s="1851" t="str">
        <f t="array" ref="AF251">IFERROR(VLOOKUP(AD249,Dex!$B$3:$H1218,7,FALSE),"")</f>
        <v/>
      </c>
      <c r="AG251" s="1852"/>
      <c r="AH251" s="1833"/>
      <c r="AI251" s="6192"/>
    </row>
    <row r="252" ht="2.25" customHeight="1">
      <c r="A252" s="6185"/>
      <c r="B252" s="1847"/>
      <c r="C252" s="6298"/>
      <c r="D252" s="1861"/>
      <c r="E252" s="1862"/>
      <c r="F252" s="1863"/>
      <c r="G252" s="1863"/>
      <c r="H252" s="1864"/>
      <c r="J252" s="1862"/>
      <c r="K252" s="1863"/>
      <c r="L252" s="1863"/>
      <c r="M252" s="1864"/>
      <c r="O252" s="1862"/>
      <c r="P252" s="1863"/>
      <c r="Q252" s="1863"/>
      <c r="R252" s="1864"/>
      <c r="T252" s="1862"/>
      <c r="U252" s="1863"/>
      <c r="V252" s="1863"/>
      <c r="W252" s="1864"/>
      <c r="Y252" s="1862"/>
      <c r="Z252" s="1863"/>
      <c r="AA252" s="1863"/>
      <c r="AB252" s="1864"/>
      <c r="AD252" s="1862"/>
      <c r="AE252" s="1863"/>
      <c r="AF252" s="1863"/>
      <c r="AG252" s="1864"/>
      <c r="AH252" s="1833"/>
      <c r="AI252" s="6192"/>
    </row>
    <row r="253" ht="20.25" customHeight="1">
      <c r="A253" s="6185"/>
      <c r="B253" s="1847"/>
      <c r="C253" s="326"/>
      <c r="D253" s="1861"/>
      <c r="E253" s="1870" t="s">
        <v>172</v>
      </c>
      <c r="F253" s="1871"/>
      <c r="G253" s="1871"/>
      <c r="H253" s="1872"/>
      <c r="J253" s="1870" t="s">
        <v>172</v>
      </c>
      <c r="K253" s="1871"/>
      <c r="L253" s="1871"/>
      <c r="M253" s="1872"/>
      <c r="O253" s="1870" t="s">
        <v>205</v>
      </c>
      <c r="P253" s="1871"/>
      <c r="Q253" s="1871"/>
      <c r="R253" s="1872"/>
      <c r="T253" s="1870" t="s">
        <v>172</v>
      </c>
      <c r="U253" s="1871"/>
      <c r="V253" s="1871"/>
      <c r="W253" s="1872"/>
      <c r="Y253" s="1870" t="s">
        <v>205</v>
      </c>
      <c r="Z253" s="1871"/>
      <c r="AA253" s="1871"/>
      <c r="AB253" s="1872"/>
      <c r="AD253" s="1870" t="s">
        <v>172</v>
      </c>
      <c r="AE253" s="1871"/>
      <c r="AF253" s="1871"/>
      <c r="AG253" s="1872"/>
      <c r="AH253" s="1833"/>
      <c r="AI253" s="6192"/>
    </row>
    <row r="254">
      <c r="A254" s="6185"/>
      <c r="B254" s="1847"/>
      <c r="C254" s="1873"/>
      <c r="D254" s="1861"/>
      <c r="E254" s="1874" t="s">
        <v>574</v>
      </c>
      <c r="F254" s="1844"/>
      <c r="G254" s="1844"/>
      <c r="H254" s="1845"/>
      <c r="J254" s="1874" t="s">
        <v>208</v>
      </c>
      <c r="K254" s="1844"/>
      <c r="L254" s="1844"/>
      <c r="M254" s="1845"/>
      <c r="O254" s="1874" t="s">
        <v>703</v>
      </c>
      <c r="P254" s="1844"/>
      <c r="Q254" s="1844"/>
      <c r="R254" s="1845"/>
      <c r="T254" s="1874" t="s">
        <v>1379</v>
      </c>
      <c r="U254" s="1844"/>
      <c r="V254" s="1844"/>
      <c r="W254" s="1845"/>
      <c r="Y254" s="1874" t="s">
        <v>1613</v>
      </c>
      <c r="Z254" s="1844"/>
      <c r="AA254" s="1844"/>
      <c r="AB254" s="1845"/>
      <c r="AD254" s="1874" t="s">
        <v>717</v>
      </c>
      <c r="AE254" s="1844"/>
      <c r="AF254" s="1844"/>
      <c r="AG254" s="1845"/>
      <c r="AH254" s="1833"/>
      <c r="AI254" s="6192"/>
    </row>
    <row r="255" ht="20.25" customHeight="1">
      <c r="A255" s="6185"/>
      <c r="B255" s="1847"/>
      <c r="C255" s="1875"/>
      <c r="D255" s="1861"/>
      <c r="E255" s="1876" t="s">
        <v>1587</v>
      </c>
      <c r="F255" s="1877"/>
      <c r="G255" s="1878"/>
      <c r="H255" s="1879" t="str">
        <f>IMAGE("https://raw.githubusercontent.com/msikma/pokesprite/master/items/z-crystals/ghostium-z--held.png",3)</f>
        <v/>
      </c>
      <c r="J255" s="1876" t="s">
        <v>240</v>
      </c>
      <c r="K255" s="1877"/>
      <c r="L255" s="1878"/>
      <c r="M255" s="1879" t="str">
        <f>IMAGE("https://raw.githubusercontent.com/msikma/pokesprite/master/items/hold-item/focus-sash.png",3)</f>
        <v/>
      </c>
      <c r="O255" s="1876" t="s">
        <v>394</v>
      </c>
      <c r="P255" s="1877"/>
      <c r="Q255" s="1878"/>
      <c r="R255" s="1879" t="str">
        <f>IMAGE("https://raw.githubusercontent.com/msikma/pokesprite/master/items/hold-item/leftovers.png",3)</f>
        <v/>
      </c>
      <c r="T255" s="1876" t="s">
        <v>846</v>
      </c>
      <c r="U255" s="1877"/>
      <c r="V255" s="1878"/>
      <c r="W255" s="1879" t="str">
        <f>IMAGE("https://raw.githubusercontent.com/msikma/pokesprite/master/items/hold-item/black-glasses.png",3)</f>
        <v/>
      </c>
      <c r="Y255" s="1876" t="s">
        <v>580</v>
      </c>
      <c r="Z255" s="1877"/>
      <c r="AA255" s="1878"/>
      <c r="AB255" s="1879" t="str">
        <f>IMAGE("https://raw.githubusercontent.com/msikma/pokesprite/master/items/mega-stone/gengarite.png",3)</f>
        <v/>
      </c>
      <c r="AD255" s="1876" t="s">
        <v>394</v>
      </c>
      <c r="AE255" s="1877"/>
      <c r="AF255" s="1878"/>
      <c r="AG255" s="1879" t="str">
        <f>IMAGE("https://raw.githubusercontent.com/msikma/pokesprite/master/items/hold-item/leftovers.png",3)</f>
        <v/>
      </c>
      <c r="AH255" s="1833"/>
      <c r="AI255" s="6192"/>
    </row>
    <row r="256" ht="20.25" customHeight="1">
      <c r="A256" s="6185"/>
      <c r="B256" s="1847"/>
      <c r="C256" s="1880"/>
      <c r="D256" s="1861"/>
      <c r="E256" s="1870" t="s">
        <v>584</v>
      </c>
      <c r="F256" s="1871"/>
      <c r="G256" s="1871"/>
      <c r="H256" s="1881" t="str">
        <f>IMAGE("https://raw.githubusercontent.com/msikma/pokesprite/master/misc/types/gen8/ghost.png",4,20,20)</f>
        <v/>
      </c>
      <c r="J256" s="1870" t="s">
        <v>604</v>
      </c>
      <c r="K256" s="1871"/>
      <c r="L256" s="1871"/>
      <c r="M256" s="1881" t="str">
        <f t="shared" ref="M256:M257" si="9">IMAGE("https://raw.githubusercontent.com/msikma/pokesprite/master/misc/types/gen8/fighting.png",4,20,20)</f>
        <v/>
      </c>
      <c r="O256" s="1870" t="s">
        <v>252</v>
      </c>
      <c r="P256" s="1871"/>
      <c r="Q256" s="1871"/>
      <c r="R256" s="1881" t="str">
        <f>IMAGE("https://raw.githubusercontent.com/msikma/pokesprite/master/misc/types/gen8/electric.png",4,20,20)</f>
        <v/>
      </c>
      <c r="T256" s="1870" t="s">
        <v>278</v>
      </c>
      <c r="U256" s="1871"/>
      <c r="V256" s="1871"/>
      <c r="W256" s="1881" t="str">
        <f>IMAGE("https://raw.githubusercontent.com/msikma/pokesprite/master/misc/types/gen8/bug.png",4,20,20)</f>
        <v/>
      </c>
      <c r="Y256" s="1870" t="s">
        <v>318</v>
      </c>
      <c r="Z256" s="1871"/>
      <c r="AA256" s="1871"/>
      <c r="AB256" s="1881" t="str">
        <f>IMAGE("https://raw.githubusercontent.com/msikma/pokesprite/master/misc/types/gen8/ghost.png",4,20,20)</f>
        <v/>
      </c>
      <c r="AD256" s="1870" t="s">
        <v>278</v>
      </c>
      <c r="AE256" s="1871"/>
      <c r="AF256" s="1871"/>
      <c r="AG256" s="1881" t="str">
        <f>IMAGE("https://raw.githubusercontent.com/msikma/pokesprite/master/misc/types/gen8/bug.png",4,20,20)</f>
        <v/>
      </c>
      <c r="AH256" s="1833"/>
      <c r="AI256" s="6192"/>
    </row>
    <row r="257" ht="20.25" customHeight="1">
      <c r="A257" s="6185"/>
      <c r="B257" s="1847"/>
      <c r="C257" s="1869"/>
      <c r="D257" s="1861"/>
      <c r="E257" s="1874" t="s">
        <v>556</v>
      </c>
      <c r="F257" s="1844"/>
      <c r="G257" s="1844"/>
      <c r="H257" s="1882" t="str">
        <f>IMAGE("https://raw.githubusercontent.com/msikma/pokesprite/master/misc/types/gen8/fairy.png",4,20,20)</f>
        <v/>
      </c>
      <c r="J257" s="1874" t="s">
        <v>244</v>
      </c>
      <c r="K257" s="1844"/>
      <c r="L257" s="1844"/>
      <c r="M257" s="1882" t="str">
        <f t="shared" si="9"/>
        <v/>
      </c>
      <c r="O257" s="1874" t="s">
        <v>1614</v>
      </c>
      <c r="P257" s="1844"/>
      <c r="Q257" s="1844"/>
      <c r="R257" s="1882" t="str">
        <f>IMAGE("https://raw.githubusercontent.com/msikma/pokesprite/master/misc/types/gen8/fairy.png",4,20,20)</f>
        <v/>
      </c>
      <c r="T257" s="1874" t="s">
        <v>316</v>
      </c>
      <c r="U257" s="1844"/>
      <c r="V257" s="1844"/>
      <c r="W257" s="1882" t="str">
        <f>IMAGE("https://raw.githubusercontent.com/msikma/pokesprite/master/misc/types/gen8/fighting.png",4,20,20)</f>
        <v/>
      </c>
      <c r="Y257" s="1874" t="s">
        <v>405</v>
      </c>
      <c r="Z257" s="1844"/>
      <c r="AA257" s="1844"/>
      <c r="AB257" s="1882" t="str">
        <f>IMAGE("https://raw.githubusercontent.com/msikma/pokesprite/master/misc/types/gen8/poison.png",4,20,20)</f>
        <v/>
      </c>
      <c r="AD257" s="1874" t="s">
        <v>462</v>
      </c>
      <c r="AE257" s="1844"/>
      <c r="AF257" s="1844"/>
      <c r="AG257" s="1882" t="str">
        <f>IMAGE("https://raw.githubusercontent.com/msikma/pokesprite/master/misc/types/gen8/grass.png",4,20,20)</f>
        <v/>
      </c>
      <c r="AH257" s="1833"/>
      <c r="AI257" s="6192"/>
    </row>
    <row r="258" ht="20.25" customHeight="1">
      <c r="A258" s="6185"/>
      <c r="B258" s="1847"/>
      <c r="C258" s="1869"/>
      <c r="D258" s="1861"/>
      <c r="E258" s="1874" t="s">
        <v>585</v>
      </c>
      <c r="F258" s="1844"/>
      <c r="G258" s="1844"/>
      <c r="H258" s="1882" t="str">
        <f>IMAGE("https://raw.githubusercontent.com/msikma/pokesprite/master/misc/types/gen8/ghost.png",4,20,20)</f>
        <v/>
      </c>
      <c r="J258" s="1874" t="s">
        <v>1452</v>
      </c>
      <c r="K258" s="1844"/>
      <c r="L258" s="1844"/>
      <c r="M258" s="1882" t="str">
        <f t="shared" ref="M258:M259" si="10">IMAGE("https://raw.githubusercontent.com/msikma/pokesprite/master/misc/types/gen8/ghost.png",4,20,20)</f>
        <v/>
      </c>
      <c r="O258" s="1874" t="s">
        <v>372</v>
      </c>
      <c r="P258" s="1844"/>
      <c r="Q258" s="1844"/>
      <c r="R258" s="1882" t="str">
        <f>IMAGE("https://raw.githubusercontent.com/msikma/pokesprite/master/misc/types/gen8/fire.png",4,20,20)</f>
        <v/>
      </c>
      <c r="T258" s="1874" t="s">
        <v>339</v>
      </c>
      <c r="U258" s="1844"/>
      <c r="V258" s="1844"/>
      <c r="W258" s="1882" t="str">
        <f t="shared" ref="W258:W259" si="11">IMAGE("https://raw.githubusercontent.com/msikma/pokesprite/master/misc/types/gen8/dark.png",4,20,20)</f>
        <v/>
      </c>
      <c r="Y258" s="1874" t="s">
        <v>344</v>
      </c>
      <c r="Z258" s="1844"/>
      <c r="AA258" s="1844"/>
      <c r="AB258" s="1882" t="str">
        <f>IMAGE("https://raw.githubusercontent.com/msikma/pokesprite/master/misc/types/gen8/fighting.png",4,20,20)</f>
        <v/>
      </c>
      <c r="AD258" s="1874" t="s">
        <v>279</v>
      </c>
      <c r="AE258" s="1844"/>
      <c r="AF258" s="1844"/>
      <c r="AG258" s="1882" t="str">
        <f>IMAGE("https://raw.githubusercontent.com/msikma/pokesprite/master/misc/types/gen8/dark.png",4,20,20)</f>
        <v/>
      </c>
      <c r="AH258" s="1833"/>
      <c r="AI258" s="6192"/>
    </row>
    <row r="259" ht="21.0" customHeight="1">
      <c r="A259" s="6185"/>
      <c r="B259" s="1847"/>
      <c r="C259" s="1869"/>
      <c r="D259" s="1861"/>
      <c r="E259" s="1883" t="s">
        <v>489</v>
      </c>
      <c r="F259" s="1884"/>
      <c r="G259" s="1884"/>
      <c r="H259" s="1885" t="str">
        <f>IMAGE("https://raw.githubusercontent.com/msikma/pokesprite/master/misc/types/gen8/normal.png",4,20,20)</f>
        <v/>
      </c>
      <c r="I259" s="1838"/>
      <c r="J259" s="1883" t="s">
        <v>585</v>
      </c>
      <c r="K259" s="1884"/>
      <c r="L259" s="1884"/>
      <c r="M259" s="1885" t="str">
        <f t="shared" si="10"/>
        <v/>
      </c>
      <c r="N259" s="1838"/>
      <c r="O259" s="1883" t="s">
        <v>850</v>
      </c>
      <c r="P259" s="1884"/>
      <c r="Q259" s="1884"/>
      <c r="R259" s="1885" t="str">
        <f>IMAGE("https://raw.githubusercontent.com/msikma/pokesprite/master/misc/types/gen8/dark.png",4,20,20)</f>
        <v/>
      </c>
      <c r="S259" s="1838"/>
      <c r="T259" s="1883" t="s">
        <v>541</v>
      </c>
      <c r="U259" s="1884"/>
      <c r="V259" s="1884"/>
      <c r="W259" s="1885" t="str">
        <f t="shared" si="11"/>
        <v/>
      </c>
      <c r="X259" s="1838"/>
      <c r="Y259" s="1883" t="s">
        <v>277</v>
      </c>
      <c r="Z259" s="1884"/>
      <c r="AA259" s="1884"/>
      <c r="AB259" s="1885" t="str">
        <f>IMAGE("https://raw.githubusercontent.com/msikma/pokesprite/master/misc/types/gen8/electric.png",4,20,20)</f>
        <v/>
      </c>
      <c r="AC259" s="1838"/>
      <c r="AD259" s="1883" t="s">
        <v>316</v>
      </c>
      <c r="AE259" s="1884"/>
      <c r="AF259" s="1884"/>
      <c r="AG259" s="1885" t="str">
        <f>IMAGE("https://raw.githubusercontent.com/msikma/pokesprite/master/misc/types/gen8/fighting.png",4,20,20)</f>
        <v/>
      </c>
      <c r="AH259" s="1833"/>
      <c r="AI259" s="6192"/>
    </row>
    <row r="260" ht="3.0" customHeight="1">
      <c r="A260" s="6185"/>
      <c r="B260" s="1886"/>
      <c r="C260" s="1887"/>
      <c r="D260" s="1888"/>
      <c r="E260" s="1889"/>
      <c r="F260" s="1889"/>
      <c r="G260" s="1889"/>
      <c r="H260" s="1889"/>
      <c r="I260" s="1888"/>
      <c r="J260" s="1889"/>
      <c r="K260" s="1889"/>
      <c r="L260" s="1889"/>
      <c r="M260" s="1889"/>
      <c r="N260" s="1888"/>
      <c r="O260" s="1889"/>
      <c r="P260" s="1889"/>
      <c r="Q260" s="1889"/>
      <c r="R260" s="1889"/>
      <c r="S260" s="1888"/>
      <c r="T260" s="1889"/>
      <c r="U260" s="1889"/>
      <c r="V260" s="1889"/>
      <c r="W260" s="1889"/>
      <c r="X260" s="1888"/>
      <c r="Y260" s="1889"/>
      <c r="Z260" s="6311"/>
      <c r="AA260" s="6311"/>
      <c r="AB260" s="1892"/>
      <c r="AC260" s="1888"/>
      <c r="AD260" s="6312"/>
      <c r="AE260" s="6312"/>
      <c r="AF260" s="6312"/>
      <c r="AG260" s="1893"/>
      <c r="AH260" s="1894"/>
      <c r="AI260" s="6192"/>
    </row>
    <row r="261" ht="16.5" customHeight="1">
      <c r="A261" s="6185"/>
      <c r="B261" s="1895"/>
      <c r="C261" s="1887"/>
      <c r="D261" s="1896"/>
      <c r="E261" s="1897" t="s">
        <v>190</v>
      </c>
      <c r="F261" s="381"/>
      <c r="G261" s="382"/>
      <c r="H261" s="1898" t="s">
        <v>191</v>
      </c>
      <c r="I261" s="1899"/>
      <c r="J261" s="1897" t="s">
        <v>190</v>
      </c>
      <c r="K261" s="381"/>
      <c r="L261" s="382"/>
      <c r="M261" s="1898" t="s">
        <v>191</v>
      </c>
      <c r="N261" s="1899"/>
      <c r="O261" s="1897" t="s">
        <v>190</v>
      </c>
      <c r="P261" s="381"/>
      <c r="Q261" s="382"/>
      <c r="R261" s="1898" t="s">
        <v>191</v>
      </c>
      <c r="S261" s="1899"/>
      <c r="T261" s="1897" t="s">
        <v>190</v>
      </c>
      <c r="U261" s="381"/>
      <c r="V261" s="382"/>
      <c r="W261" s="1898" t="s">
        <v>191</v>
      </c>
      <c r="X261" s="1899"/>
      <c r="Y261" s="1897" t="s">
        <v>190</v>
      </c>
      <c r="Z261" s="381"/>
      <c r="AA261" s="382"/>
      <c r="AB261" s="1898" t="s">
        <v>191</v>
      </c>
      <c r="AC261" s="1899"/>
      <c r="AD261" s="1897" t="s">
        <v>190</v>
      </c>
      <c r="AE261" s="381"/>
      <c r="AF261" s="382"/>
      <c r="AG261" s="1898" t="s">
        <v>191</v>
      </c>
      <c r="AH261" s="1900"/>
      <c r="AI261" s="6192"/>
    </row>
    <row r="262" ht="15.75" customHeight="1">
      <c r="A262" s="6185"/>
      <c r="B262" s="1895"/>
      <c r="C262" s="1887"/>
      <c r="D262" s="1896"/>
      <c r="E262" s="1901" t="s">
        <v>192</v>
      </c>
      <c r="F262" s="1902">
        <f t="array" ref="F262">IFERROR(VLOOKUP(E249,Dex!$B$3:$N1218,8,FALSE),"")</f>
        <v>55</v>
      </c>
      <c r="G262" s="1903" t="str">
        <f t="array" ref="G262">IFERROR(VLOOKUP(F262,Dex!$P$22:$Q$276,2,FALSE),"")</f>
        <v/>
      </c>
      <c r="H262" s="1904"/>
      <c r="I262" s="1905"/>
      <c r="J262" s="1901" t="s">
        <v>192</v>
      </c>
      <c r="K262" s="1902">
        <f t="array" ref="K262">IFERROR(VLOOKUP(J249,Dex!$B$3:$N1218,8,FALSE),"")</f>
        <v>90</v>
      </c>
      <c r="L262" s="1903" t="str">
        <f t="array" ref="L262">IFERROR(VLOOKUP(K262,Dex!$P$22:$Q$276,2,FALSE),"")</f>
        <v/>
      </c>
      <c r="M262" s="1904"/>
      <c r="N262" s="1905"/>
      <c r="O262" s="1901" t="s">
        <v>192</v>
      </c>
      <c r="P262" s="1902">
        <f t="array" ref="P262">IFERROR(VLOOKUP(O249,Dex!$B$3:$N1218,8,FALSE),"")</f>
        <v>100</v>
      </c>
      <c r="Q262" s="1903" t="str">
        <f t="array" ref="Q262">IFERROR(VLOOKUP(P262,Dex!$P$22:$Q$276,2,FALSE),"")</f>
        <v/>
      </c>
      <c r="R262" s="1904">
        <v>252.0</v>
      </c>
      <c r="S262" s="1905"/>
      <c r="T262" s="1901" t="s">
        <v>192</v>
      </c>
      <c r="U262" s="1902">
        <f t="array" ref="U262">IFERROR(VLOOKUP(T249,Dex!$B$3:$N1218,8,FALSE),"")</f>
        <v>100</v>
      </c>
      <c r="V262" s="1903" t="str">
        <f t="array" ref="V262">IFERROR(VLOOKUP(U262,Dex!$P$22:$Q$276,2,FALSE),"")</f>
        <v/>
      </c>
      <c r="W262" s="1904"/>
      <c r="X262" s="1905"/>
      <c r="Y262" s="1901" t="s">
        <v>192</v>
      </c>
      <c r="Z262" s="1902">
        <f t="array" ref="Z262">IFERROR(VLOOKUP(Y249,Dex!$B$3:$N1218,8,FALSE),"")</f>
        <v>60</v>
      </c>
      <c r="AA262" s="1903" t="str">
        <f t="array" ref="AA262">IFERROR(VLOOKUP(Z262,Dex!$P$22:$Q$276,2,FALSE),"")</f>
        <v/>
      </c>
      <c r="AB262" s="1904"/>
      <c r="AC262" s="1905"/>
      <c r="AD262" s="1901" t="s">
        <v>192</v>
      </c>
      <c r="AE262" s="1902">
        <f t="array" ref="AE262">IFERROR(VLOOKUP(AD249,Dex!$B$3:$N1218,8,FALSE),"")</f>
        <v>105</v>
      </c>
      <c r="AF262" s="1903" t="str">
        <f t="array" ref="AF262">IFERROR(VLOOKUP(AE262,Dex!$P$22:$Q$276,2,FALSE),"")</f>
        <v/>
      </c>
      <c r="AG262" s="1904"/>
      <c r="AH262" s="1906"/>
      <c r="AI262" s="6192"/>
    </row>
    <row r="263" ht="15.75" customHeight="1">
      <c r="A263" s="6185"/>
      <c r="B263" s="1895"/>
      <c r="C263" s="1887"/>
      <c r="D263" s="1896"/>
      <c r="E263" s="1907" t="s">
        <v>193</v>
      </c>
      <c r="F263" s="1908">
        <f t="array" ref="F263">IFERROR(VLOOKUP(E249,Dex!$B$3:$N1218,9,FALSE),"")</f>
        <v>90</v>
      </c>
      <c r="G263" s="1909" t="str">
        <f t="array" ref="G263">IFERROR(VLOOKUP(F263,Dex!$P$22:$Q$276,2,FALSE),"")</f>
        <v/>
      </c>
      <c r="H263" s="1910">
        <v>252.0</v>
      </c>
      <c r="I263" s="1905"/>
      <c r="J263" s="1907" t="s">
        <v>193</v>
      </c>
      <c r="K263" s="1908">
        <f t="array" ref="K263">IFERROR(VLOOKUP(J249,Dex!$B$3:$N1218,9,FALSE),"")</f>
        <v>125</v>
      </c>
      <c r="L263" s="1909" t="str">
        <f t="array" ref="L263">IFERROR(VLOOKUP(K263,Dex!$P$22:$Q$276,2,FALSE),"")</f>
        <v/>
      </c>
      <c r="M263" s="1910">
        <v>252.0</v>
      </c>
      <c r="N263" s="1905"/>
      <c r="O263" s="1907" t="s">
        <v>193</v>
      </c>
      <c r="P263" s="1908">
        <f t="array" ref="P263">IFERROR(VLOOKUP(O249,Dex!$B$3:$N1218,9,FALSE),"")</f>
        <v>100</v>
      </c>
      <c r="Q263" s="1909" t="str">
        <f t="array" ref="Q263">IFERROR(VLOOKUP(P263,Dex!$P$22:$Q$276,2,FALSE),"")</f>
        <v/>
      </c>
      <c r="R263" s="1910"/>
      <c r="S263" s="1905"/>
      <c r="T263" s="1907" t="s">
        <v>193</v>
      </c>
      <c r="U263" s="1908">
        <f t="array" ref="U263">IFERROR(VLOOKUP(T249,Dex!$B$3:$N1218,9,FALSE),"")</f>
        <v>130</v>
      </c>
      <c r="V263" s="1909" t="str">
        <f t="array" ref="V263">IFERROR(VLOOKUP(U263,Dex!$P$22:$Q$276,2,FALSE),"")</f>
        <v/>
      </c>
      <c r="W263" s="1910">
        <v>252.0</v>
      </c>
      <c r="X263" s="1905"/>
      <c r="Y263" s="1907" t="s">
        <v>193</v>
      </c>
      <c r="Z263" s="1908">
        <f t="array" ref="Z263">IFERROR(VLOOKUP(Y249,Dex!$B$3:$N1218,9,FALSE),"")</f>
        <v>65</v>
      </c>
      <c r="AA263" s="1909" t="str">
        <f t="array" ref="AA263">IFERROR(VLOOKUP(Z263,Dex!$P$22:$Q$276,2,FALSE),"")</f>
        <v/>
      </c>
      <c r="AB263" s="1910"/>
      <c r="AC263" s="1905"/>
      <c r="AD263" s="1907" t="s">
        <v>193</v>
      </c>
      <c r="AE263" s="1908">
        <f t="array" ref="AE263">IFERROR(VLOOKUP(AD249,Dex!$B$3:$N1218,9,FALSE),"")</f>
        <v>120</v>
      </c>
      <c r="AF263" s="1909" t="str">
        <f t="array" ref="AF263">IFERROR(VLOOKUP(AE263,Dex!$P$22:$Q$276,2,FALSE),"")</f>
        <v/>
      </c>
      <c r="AG263" s="1910">
        <v>252.0</v>
      </c>
      <c r="AH263" s="1906"/>
      <c r="AI263" s="6192"/>
    </row>
    <row r="264" ht="15.75" customHeight="1">
      <c r="A264" s="6185"/>
      <c r="B264" s="1895"/>
      <c r="C264" s="1887"/>
      <c r="D264" s="1896"/>
      <c r="E264" s="1907" t="s">
        <v>194</v>
      </c>
      <c r="F264" s="1908">
        <f t="array" ref="F264">IFERROR(VLOOKUP(E249,Dex!$B$3:$N1218,10,FALSE),"")</f>
        <v>80</v>
      </c>
      <c r="G264" s="1909" t="str">
        <f t="array" ref="G264">IFERROR(VLOOKUP(F264,Dex!$P$22:$Q$276,2,FALSE),"")</f>
        <v/>
      </c>
      <c r="H264" s="1910">
        <v>4.0</v>
      </c>
      <c r="I264" s="1905"/>
      <c r="J264" s="1907" t="s">
        <v>194</v>
      </c>
      <c r="K264" s="1908">
        <f t="array" ref="K264">IFERROR(VLOOKUP(J249,Dex!$B$3:$N1218,10,FALSE),"")</f>
        <v>80</v>
      </c>
      <c r="L264" s="1909" t="str">
        <f t="array" ref="L264">IFERROR(VLOOKUP(K264,Dex!$P$22:$Q$276,2,FALSE),"")</f>
        <v/>
      </c>
      <c r="M264" s="1910">
        <v>4.0</v>
      </c>
      <c r="N264" s="1905"/>
      <c r="O264" s="1907" t="s">
        <v>194</v>
      </c>
      <c r="P264" s="1908">
        <f t="array" ref="P264">IFERROR(VLOOKUP(O249,Dex!$B$3:$N1218,10,FALSE),"")</f>
        <v>100</v>
      </c>
      <c r="Q264" s="1909" t="str">
        <f t="array" ref="Q264">IFERROR(VLOOKUP(P264,Dex!$P$22:$Q$276,2,FALSE),"")</f>
        <v/>
      </c>
      <c r="R264" s="1910">
        <v>4.0</v>
      </c>
      <c r="S264" s="1905"/>
      <c r="T264" s="1907" t="s">
        <v>194</v>
      </c>
      <c r="U264" s="1908">
        <f t="array" ref="U264">IFERROR(VLOOKUP(T249,Dex!$B$3:$N1218,10,FALSE),"")</f>
        <v>100</v>
      </c>
      <c r="V264" s="1909" t="str">
        <f t="array" ref="V264">IFERROR(VLOOKUP(U264,Dex!$P$22:$Q$276,2,FALSE),"")</f>
        <v/>
      </c>
      <c r="W264" s="1910">
        <v>4.0</v>
      </c>
      <c r="X264" s="1905"/>
      <c r="Y264" s="1907" t="s">
        <v>194</v>
      </c>
      <c r="Z264" s="1908">
        <f t="array" ref="Z264">IFERROR(VLOOKUP(Y249,Dex!$B$3:$N1218,10,FALSE),"")</f>
        <v>80</v>
      </c>
      <c r="AA264" s="1909" t="str">
        <f t="array" ref="AA264">IFERROR(VLOOKUP(Z264,Dex!$P$22:$Q$276,2,FALSE),"")</f>
        <v/>
      </c>
      <c r="AB264" s="1910">
        <v>4.0</v>
      </c>
      <c r="AC264" s="1905"/>
      <c r="AD264" s="1907" t="s">
        <v>194</v>
      </c>
      <c r="AE264" s="1908">
        <f t="array" ref="AE264">IFERROR(VLOOKUP(AD249,Dex!$B$3:$N1218,10,FALSE),"")</f>
        <v>105</v>
      </c>
      <c r="AF264" s="1909" t="str">
        <f t="array" ref="AF264">IFERROR(VLOOKUP(AE264,Dex!$P$22:$Q$276,2,FALSE),"")</f>
        <v/>
      </c>
      <c r="AG264" s="1910">
        <v>4.0</v>
      </c>
      <c r="AH264" s="1906"/>
      <c r="AI264" s="6192"/>
    </row>
    <row r="265" ht="15.75" customHeight="1">
      <c r="A265" s="6185"/>
      <c r="B265" s="1895"/>
      <c r="C265" s="1887"/>
      <c r="D265" s="1896"/>
      <c r="E265" s="1907" t="s">
        <v>195</v>
      </c>
      <c r="F265" s="1908">
        <f t="array" ref="F265">IFERROR(VLOOKUP(E249,Dex!$B$3:$N1218,11,FALSE),"")</f>
        <v>50</v>
      </c>
      <c r="G265" s="1909" t="str">
        <f t="array" ref="G265">IFERROR(VLOOKUP(F265,Dex!$P$22:$Q$276,2,FALSE),"")</f>
        <v/>
      </c>
      <c r="H265" s="1910"/>
      <c r="I265" s="1905"/>
      <c r="J265" s="1907" t="s">
        <v>195</v>
      </c>
      <c r="K265" s="1908">
        <f t="array" ref="K265">IFERROR(VLOOKUP(J249,Dex!$B$3:$N1218,11,FALSE),"")</f>
        <v>90</v>
      </c>
      <c r="L265" s="1909" t="str">
        <f t="array" ref="L265">IFERROR(VLOOKUP(K265,Dex!$P$22:$Q$276,2,FALSE),"")</f>
        <v/>
      </c>
      <c r="M265" s="1910"/>
      <c r="N265" s="1905"/>
      <c r="O265" s="1907" t="s">
        <v>195</v>
      </c>
      <c r="P265" s="1908">
        <f t="array" ref="P265">IFERROR(VLOOKUP(O249,Dex!$B$3:$N1218,11,FALSE),"")</f>
        <v>100</v>
      </c>
      <c r="Q265" s="1909" t="str">
        <f t="array" ref="Q265">IFERROR(VLOOKUP(P265,Dex!$P$22:$Q$276,2,FALSE),"")</f>
        <v/>
      </c>
      <c r="R265" s="1910"/>
      <c r="S265" s="1905"/>
      <c r="T265" s="1907" t="s">
        <v>195</v>
      </c>
      <c r="U265" s="1908">
        <f t="array" ref="U265">IFERROR(VLOOKUP(T249,Dex!$B$3:$N1218,11,FALSE),"")</f>
        <v>63</v>
      </c>
      <c r="V265" s="1909" t="str">
        <f t="array" ref="V265">IFERROR(VLOOKUP(U265,Dex!$P$22:$Q$276,2,FALSE),"")</f>
        <v/>
      </c>
      <c r="W265" s="1910"/>
      <c r="X265" s="1905"/>
      <c r="Y265" s="1907" t="s">
        <v>195</v>
      </c>
      <c r="Z265" s="1908">
        <f t="array" ref="Z265">IFERROR(VLOOKUP(Y249,Dex!$B$3:$N1218,11,FALSE),"")</f>
        <v>170</v>
      </c>
      <c r="AA265" s="1909" t="str">
        <f t="array" ref="AA265">IFERROR(VLOOKUP(Z265,Dex!$P$22:$Q$276,2,FALSE),"")</f>
        <v/>
      </c>
      <c r="AB265" s="1910">
        <v>252.0</v>
      </c>
      <c r="AC265" s="1905"/>
      <c r="AD265" s="1907" t="s">
        <v>195</v>
      </c>
      <c r="AE265" s="1908">
        <f t="array" ref="AE265">IFERROR(VLOOKUP(AD249,Dex!$B$3:$N1218,11,FALSE),"")</f>
        <v>70</v>
      </c>
      <c r="AF265" s="1909" t="str">
        <f t="array" ref="AF265">IFERROR(VLOOKUP(AE265,Dex!$P$22:$Q$276,2,FALSE),"")</f>
        <v/>
      </c>
      <c r="AG265" s="1910"/>
      <c r="AH265" s="1906"/>
      <c r="AI265" s="6192"/>
    </row>
    <row r="266" ht="15.75" customHeight="1">
      <c r="A266" s="6185"/>
      <c r="B266" s="1895"/>
      <c r="C266" s="1887"/>
      <c r="D266" s="1896"/>
      <c r="E266" s="1907" t="s">
        <v>196</v>
      </c>
      <c r="F266" s="1908">
        <f t="array" ref="F266">IFERROR(VLOOKUP(E249,Dex!$B$3:$N1218,12,FALSE),"")</f>
        <v>105</v>
      </c>
      <c r="G266" s="1909" t="str">
        <f t="array" ref="G266">IFERROR(VLOOKUP(F266,Dex!$P$22:$Q$276,2,FALSE),"")</f>
        <v/>
      </c>
      <c r="H266" s="1910"/>
      <c r="I266" s="1905"/>
      <c r="J266" s="1907" t="s">
        <v>196</v>
      </c>
      <c r="K266" s="1908">
        <f t="array" ref="K266">IFERROR(VLOOKUP(J249,Dex!$B$3:$N1218,12,FALSE),"")</f>
        <v>90</v>
      </c>
      <c r="L266" s="1909" t="str">
        <f t="array" ref="L266">IFERROR(VLOOKUP(K266,Dex!$P$22:$Q$276,2,FALSE),"")</f>
        <v/>
      </c>
      <c r="M266" s="1910"/>
      <c r="N266" s="1905"/>
      <c r="O266" s="1907" t="s">
        <v>196</v>
      </c>
      <c r="P266" s="1908">
        <f t="array" ref="P266">IFERROR(VLOOKUP(O249,Dex!$B$3:$N1218,12,FALSE),"")</f>
        <v>100</v>
      </c>
      <c r="Q266" s="1909" t="str">
        <f t="array" ref="Q266">IFERROR(VLOOKUP(P266,Dex!$P$22:$Q$276,2,FALSE),"")</f>
        <v/>
      </c>
      <c r="R266" s="1910"/>
      <c r="S266" s="1905"/>
      <c r="T266" s="1907" t="s">
        <v>196</v>
      </c>
      <c r="U266" s="1908">
        <f t="array" ref="U266">IFERROR(VLOOKUP(T249,Dex!$B$3:$N1218,12,FALSE),"")</f>
        <v>60</v>
      </c>
      <c r="V266" s="1909" t="str">
        <f t="array" ref="V266">IFERROR(VLOOKUP(U266,Dex!$P$22:$Q$276,2,FALSE),"")</f>
        <v/>
      </c>
      <c r="W266" s="1910"/>
      <c r="X266" s="1905"/>
      <c r="Y266" s="1907" t="s">
        <v>196</v>
      </c>
      <c r="Z266" s="1908">
        <f t="array" ref="Z266">IFERROR(VLOOKUP(Y249,Dex!$B$3:$N1218,12,FALSE),"")</f>
        <v>95</v>
      </c>
      <c r="AA266" s="1909" t="str">
        <f t="array" ref="AA266">IFERROR(VLOOKUP(Z266,Dex!$P$22:$Q$276,2,FALSE),"")</f>
        <v/>
      </c>
      <c r="AB266" s="1910"/>
      <c r="AC266" s="1905"/>
      <c r="AD266" s="1907" t="s">
        <v>196</v>
      </c>
      <c r="AE266" s="1908">
        <f t="array" ref="AE266">IFERROR(VLOOKUP(AD249,Dex!$B$3:$N1218,12,FALSE),"")</f>
        <v>95</v>
      </c>
      <c r="AF266" s="1909" t="str">
        <f t="array" ref="AF266">IFERROR(VLOOKUP(AE266,Dex!$P$22:$Q$276,2,FALSE),"")</f>
        <v/>
      </c>
      <c r="AG266" s="1910"/>
      <c r="AH266" s="1906"/>
      <c r="AI266" s="6192"/>
    </row>
    <row r="267" ht="15.75" customHeight="1">
      <c r="A267" s="6185"/>
      <c r="B267" s="1895"/>
      <c r="C267" s="1887"/>
      <c r="D267" s="1896"/>
      <c r="E267" s="1911" t="s">
        <v>197</v>
      </c>
      <c r="F267" s="1912">
        <f t="array" ref="F267">IFERROR(VLOOKUP(E249,Dex!$B$3:$N1218,13,FALSE),"")</f>
        <v>96</v>
      </c>
      <c r="G267" s="1913" t="str">
        <f t="array" ref="G267">IFERROR(VLOOKUP(F267,Dex!$P$22:$Q$276,2,FALSE),"")</f>
        <v/>
      </c>
      <c r="H267" s="1914">
        <v>252.0</v>
      </c>
      <c r="I267" s="1905"/>
      <c r="J267" s="1911" t="s">
        <v>197</v>
      </c>
      <c r="K267" s="1912">
        <f t="array" ref="K267">IFERROR(VLOOKUP(J249,Dex!$B$3:$N1218,13,FALSE),"")</f>
        <v>125</v>
      </c>
      <c r="L267" s="1913" t="str">
        <f t="array" ref="L267">IFERROR(VLOOKUP(K267,Dex!$P$22:$Q$276,2,FALSE),"")</f>
        <v/>
      </c>
      <c r="M267" s="1914">
        <v>252.0</v>
      </c>
      <c r="N267" s="1905"/>
      <c r="O267" s="1911" t="s">
        <v>197</v>
      </c>
      <c r="P267" s="1912">
        <f t="array" ref="P267">IFERROR(VLOOKUP(O249,Dex!$B$3:$N1218,13,FALSE),"")</f>
        <v>100</v>
      </c>
      <c r="Q267" s="1913" t="str">
        <f t="array" ref="Q267">IFERROR(VLOOKUP(P267,Dex!$P$22:$Q$276,2,FALSE),"")</f>
        <v/>
      </c>
      <c r="R267" s="1914">
        <v>252.0</v>
      </c>
      <c r="S267" s="1905"/>
      <c r="T267" s="1911" t="s">
        <v>197</v>
      </c>
      <c r="U267" s="1912">
        <f t="array" ref="U267">IFERROR(VLOOKUP(T249,Dex!$B$3:$N1218,13,FALSE),"")</f>
        <v>97</v>
      </c>
      <c r="V267" s="1913" t="str">
        <f t="array" ref="V267">IFERROR(VLOOKUP(U267,Dex!$P$22:$Q$276,2,FALSE),"")</f>
        <v/>
      </c>
      <c r="W267" s="1914">
        <v>252.0</v>
      </c>
      <c r="X267" s="1905"/>
      <c r="Y267" s="1911" t="s">
        <v>197</v>
      </c>
      <c r="Z267" s="1912">
        <f t="array" ref="Z267">IFERROR(VLOOKUP(Y249,Dex!$B$3:$N1218,13,FALSE),"")</f>
        <v>130</v>
      </c>
      <c r="AA267" s="1913" t="str">
        <f t="array" ref="AA267">IFERROR(VLOOKUP(Z267,Dex!$P$22:$Q$276,2,FALSE),"")</f>
        <v/>
      </c>
      <c r="AB267" s="1914">
        <v>252.0</v>
      </c>
      <c r="AC267" s="1905"/>
      <c r="AD267" s="1911" t="s">
        <v>197</v>
      </c>
      <c r="AE267" s="1912">
        <f t="array" ref="AE267">IFERROR(VLOOKUP(AD249,Dex!$B$3:$N1218,13,FALSE),"")</f>
        <v>105</v>
      </c>
      <c r="AF267" s="1913" t="str">
        <f t="array" ref="AF267">IFERROR(VLOOKUP(AE267,Dex!$P$22:$Q$276,2,FALSE),"")</f>
        <v/>
      </c>
      <c r="AG267" s="1914">
        <v>252.0</v>
      </c>
      <c r="AH267" s="1906"/>
      <c r="AI267" s="6192"/>
    </row>
    <row r="268" ht="16.5" customHeight="1">
      <c r="A268" s="6185"/>
      <c r="B268" s="1895"/>
      <c r="C268" s="1887"/>
      <c r="D268" s="1896"/>
      <c r="E268" s="1915" t="s">
        <v>198</v>
      </c>
      <c r="F268" s="405"/>
      <c r="G268" s="406"/>
      <c r="H268" s="1916">
        <v>320.0</v>
      </c>
      <c r="I268" s="1899"/>
      <c r="J268" s="1915" t="s">
        <v>198</v>
      </c>
      <c r="K268" s="405"/>
      <c r="L268" s="406"/>
      <c r="M268" s="1916">
        <v>383.0</v>
      </c>
      <c r="N268" s="1899"/>
      <c r="O268" s="1915" t="s">
        <v>198</v>
      </c>
      <c r="P268" s="405"/>
      <c r="Q268" s="406"/>
      <c r="R268" s="1916">
        <v>328.0</v>
      </c>
      <c r="S268" s="1899"/>
      <c r="T268" s="1915" t="s">
        <v>198</v>
      </c>
      <c r="U268" s="405"/>
      <c r="V268" s="406"/>
      <c r="W268" s="1916">
        <v>322.0</v>
      </c>
      <c r="X268" s="1899"/>
      <c r="Y268" s="1915" t="s">
        <v>198</v>
      </c>
      <c r="Z268" s="405"/>
      <c r="AA268" s="406"/>
      <c r="AB268" s="1916">
        <v>394.0</v>
      </c>
      <c r="AC268" s="1899"/>
      <c r="AD268" s="1915" t="s">
        <v>198</v>
      </c>
      <c r="AE268" s="405"/>
      <c r="AF268" s="406"/>
      <c r="AG268" s="1916">
        <v>339.0</v>
      </c>
      <c r="AH268" s="1900"/>
      <c r="AI268" s="6192"/>
    </row>
    <row r="269" ht="15.0" customHeight="1">
      <c r="A269" s="6185"/>
      <c r="B269" s="1917"/>
      <c r="C269" s="1918"/>
      <c r="D269" s="1919"/>
      <c r="E269" s="1920"/>
      <c r="F269" s="1920"/>
      <c r="G269" s="1920"/>
      <c r="H269" s="1919"/>
      <c r="I269" s="1919"/>
      <c r="J269" s="1920"/>
      <c r="K269" s="1920"/>
      <c r="L269" s="1920"/>
      <c r="M269" s="1919"/>
      <c r="N269" s="1919"/>
      <c r="O269" s="1920"/>
      <c r="P269" s="1920"/>
      <c r="Q269" s="1920"/>
      <c r="R269" s="1920"/>
      <c r="S269" s="1919"/>
      <c r="T269" s="1920"/>
      <c r="U269" s="1920"/>
      <c r="V269" s="1920"/>
      <c r="W269" s="1919"/>
      <c r="X269" s="1919"/>
      <c r="Y269" s="1920"/>
      <c r="Z269" s="1920"/>
      <c r="AA269" s="1920"/>
      <c r="AB269" s="1919"/>
      <c r="AC269" s="1919"/>
      <c r="AD269" s="1920"/>
      <c r="AE269" s="1920"/>
      <c r="AF269" s="1920"/>
      <c r="AG269" s="1919"/>
      <c r="AH269" s="1921"/>
      <c r="AI269" s="6192"/>
    </row>
    <row r="270" ht="15.0" customHeight="1">
      <c r="A270" s="6185"/>
      <c r="B270" s="5333"/>
      <c r="C270" s="5334"/>
      <c r="D270" s="5335"/>
      <c r="E270" s="6313"/>
      <c r="F270" s="6313"/>
      <c r="G270" s="6313"/>
      <c r="H270" s="6313"/>
      <c r="I270" s="5334"/>
      <c r="J270" s="6313"/>
      <c r="K270" s="6313"/>
      <c r="L270" s="6313"/>
      <c r="M270" s="6313"/>
      <c r="N270" s="5334"/>
      <c r="O270" s="6313"/>
      <c r="P270" s="6313"/>
      <c r="Q270" s="6313"/>
      <c r="R270" s="6313"/>
      <c r="S270" s="5334"/>
      <c r="T270" s="6313"/>
      <c r="U270" s="6313"/>
      <c r="V270" s="6313"/>
      <c r="W270" s="6313"/>
      <c r="X270" s="5334"/>
      <c r="Y270" s="6313"/>
      <c r="Z270" s="6313"/>
      <c r="AA270" s="6313"/>
      <c r="AB270" s="6313"/>
      <c r="AC270" s="5334"/>
      <c r="AD270" s="6313"/>
      <c r="AE270" s="6313"/>
      <c r="AF270" s="6313"/>
      <c r="AG270" s="6313"/>
      <c r="AH270" s="5336"/>
      <c r="AI270" s="6192"/>
    </row>
    <row r="271" ht="96.75" customHeight="1">
      <c r="A271" s="6185"/>
      <c r="B271" s="5337"/>
      <c r="C271" s="5338" t="str">
        <f>IMAGE("https://i.ibb.co/ZTK3dwM/Jojo-Fan.png")</f>
        <v/>
      </c>
      <c r="D271" s="6314"/>
      <c r="E271" s="5340" t="str">
        <f t="array" ref="E271">IFERROR(VLOOKUP(E272,Dex!$B$3:$G1218,3,FALSE),"")</f>
        <v/>
      </c>
      <c r="F271" s="1830"/>
      <c r="G271" s="1830"/>
      <c r="H271" s="1831"/>
      <c r="I271" s="6315"/>
      <c r="J271" s="5340" t="str">
        <f t="array" ref="J271">IFERROR(VLOOKUP(J272,Dex!$B$3:$G1218,3,FALSE),"")</f>
        <v/>
      </c>
      <c r="K271" s="1830"/>
      <c r="L271" s="1830"/>
      <c r="M271" s="1831"/>
      <c r="N271" s="6315"/>
      <c r="O271" s="5340" t="str">
        <f t="array" ref="O271">IFERROR(VLOOKUP(O272,Dex!$B$3:$G1218,3,FALSE),"")</f>
        <v/>
      </c>
      <c r="P271" s="1830"/>
      <c r="Q271" s="1830"/>
      <c r="R271" s="1831"/>
      <c r="S271" s="6315"/>
      <c r="T271" s="5340" t="str">
        <f t="array" ref="T271">IFERROR(VLOOKUP(T272,Dex!$B$3:$G1218,3,FALSE),"")</f>
        <v/>
      </c>
      <c r="U271" s="1830"/>
      <c r="V271" s="1830"/>
      <c r="W271" s="1831"/>
      <c r="X271" s="6315"/>
      <c r="Y271" s="5340" t="str">
        <f t="array" ref="Y271">IFERROR(VLOOKUP(Y272,Dex!$B$3:$G1218,3,FALSE),"")</f>
        <v/>
      </c>
      <c r="Z271" s="1830"/>
      <c r="AA271" s="1830"/>
      <c r="AB271" s="1831"/>
      <c r="AC271" s="6315"/>
      <c r="AD271" s="5340" t="str">
        <f t="array" ref="AD271">IFERROR(VLOOKUP(AD272,Dex!$B$3:$G1218,3,FALSE),"")</f>
        <v/>
      </c>
      <c r="AE271" s="1830"/>
      <c r="AF271" s="1830"/>
      <c r="AG271" s="1831"/>
      <c r="AH271" s="6316"/>
      <c r="AI271" s="6192"/>
    </row>
    <row r="272" ht="18.75" customHeight="1">
      <c r="A272" s="6185"/>
      <c r="B272" s="5337"/>
      <c r="C272" s="5343" t="s">
        <v>1615</v>
      </c>
      <c r="D272" s="6317"/>
      <c r="E272" s="5345" t="s">
        <v>1272</v>
      </c>
      <c r="F272" s="5346"/>
      <c r="G272" s="5346"/>
      <c r="H272" s="5347"/>
      <c r="J272" s="5345" t="s">
        <v>1593</v>
      </c>
      <c r="K272" s="5346"/>
      <c r="L272" s="5346"/>
      <c r="M272" s="5347"/>
      <c r="O272" s="5345" t="s">
        <v>807</v>
      </c>
      <c r="P272" s="5346"/>
      <c r="Q272" s="5346"/>
      <c r="R272" s="5347"/>
      <c r="T272" s="5345" t="s">
        <v>1553</v>
      </c>
      <c r="U272" s="5346"/>
      <c r="V272" s="5346"/>
      <c r="W272" s="5347"/>
      <c r="Y272" s="5345" t="s">
        <v>1366</v>
      </c>
      <c r="Z272" s="5346"/>
      <c r="AA272" s="5346"/>
      <c r="AB272" s="5347"/>
      <c r="AD272" s="5345" t="s">
        <v>1363</v>
      </c>
      <c r="AE272" s="5346"/>
      <c r="AF272" s="5346"/>
      <c r="AG272" s="5347"/>
      <c r="AH272" s="6316"/>
      <c r="AI272" s="6192"/>
    </row>
    <row r="273">
      <c r="A273" s="6185"/>
      <c r="B273" s="5337"/>
      <c r="C273" s="1481"/>
      <c r="D273" s="6317"/>
      <c r="E273" s="5349" t="s">
        <v>1502</v>
      </c>
      <c r="F273" s="5350"/>
      <c r="G273" s="5350"/>
      <c r="H273" s="5351"/>
      <c r="J273" s="5349" t="s">
        <v>1502</v>
      </c>
      <c r="K273" s="5350"/>
      <c r="L273" s="5350"/>
      <c r="M273" s="5351"/>
      <c r="O273" s="5349" t="s">
        <v>1502</v>
      </c>
      <c r="P273" s="5350"/>
      <c r="Q273" s="5350"/>
      <c r="R273" s="5351"/>
      <c r="T273" s="5349" t="s">
        <v>1502</v>
      </c>
      <c r="U273" s="5350"/>
      <c r="V273" s="5350"/>
      <c r="W273" s="5351"/>
      <c r="Y273" s="5349" t="s">
        <v>1502</v>
      </c>
      <c r="Z273" s="5350"/>
      <c r="AA273" s="5350"/>
      <c r="AB273" s="5351"/>
      <c r="AD273" s="5349" t="s">
        <v>1502</v>
      </c>
      <c r="AE273" s="5350"/>
      <c r="AF273" s="5350"/>
      <c r="AG273" s="5351"/>
      <c r="AH273" s="6316"/>
      <c r="AI273" s="6192"/>
    </row>
    <row r="274" ht="25.5" customHeight="1">
      <c r="A274" s="6185"/>
      <c r="B274" s="5337"/>
      <c r="C274" s="1489"/>
      <c r="D274" s="5352"/>
      <c r="E274" s="5353"/>
      <c r="F274" s="5354" t="str">
        <f t="array" ref="F274">IFERROR(VLOOKUP(E272,Dex!$B$3:$H1218,5,FALSE),"")</f>
        <v/>
      </c>
      <c r="G274" s="5355" t="str">
        <f t="array" ref="G274">IFERROR(VLOOKUP(E272,Dex!$B$3:$H1218,7,FALSE),"")</f>
        <v/>
      </c>
      <c r="H274" s="5356"/>
      <c r="J274" s="5353"/>
      <c r="K274" s="5354" t="str">
        <f t="array" ref="K274">IFERROR(VLOOKUP(J272,Dex!$B$3:$H1218,5,FALSE),"")</f>
        <v/>
      </c>
      <c r="L274" s="5355" t="str">
        <f t="array" ref="L274">IFERROR(VLOOKUP(J272,Dex!$B$3:$H1218,7,FALSE),"")</f>
        <v/>
      </c>
      <c r="M274" s="5356"/>
      <c r="O274" s="5353"/>
      <c r="P274" s="5354" t="str">
        <f t="array" ref="P274">IFERROR(VLOOKUP(O272,Dex!$B$3:$H1218,5,FALSE),"")</f>
        <v/>
      </c>
      <c r="Q274" s="5355" t="str">
        <f t="array" ref="Q274">IFERROR(VLOOKUP(O272,Dex!$B$3:$H1218,7,FALSE),"")</f>
        <v/>
      </c>
      <c r="R274" s="5356"/>
      <c r="T274" s="5353"/>
      <c r="U274" s="5354" t="str">
        <f t="array" ref="U274">IFERROR(VLOOKUP(T272,Dex!$B$3:$H1218,5,FALSE),"")</f>
        <v/>
      </c>
      <c r="V274" s="5355" t="str">
        <f t="array" ref="V274">IFERROR(VLOOKUP(T272,Dex!$B$3:$H1218,7,FALSE),"")</f>
        <v/>
      </c>
      <c r="W274" s="5356"/>
      <c r="Y274" s="5353"/>
      <c r="Z274" s="5357" t="str">
        <f t="array" ref="Z274">IFERROR(VLOOKUP(Y272,Dex!$B$3:$H1218,5,FALSE),"")</f>
        <v/>
      </c>
      <c r="AA274" s="5358"/>
      <c r="AB274" s="5356"/>
      <c r="AD274" s="5353"/>
      <c r="AE274" s="5354" t="str">
        <f t="array" ref="AE274">IFERROR(VLOOKUP(AD272,Dex!$B$3:$H1218,5,FALSE),"")</f>
        <v/>
      </c>
      <c r="AF274" s="5355" t="str">
        <f t="array" ref="AF274">IFERROR(VLOOKUP(AD272,Dex!$B$3:$H1218,7,FALSE),"")</f>
        <v/>
      </c>
      <c r="AG274" s="5356"/>
      <c r="AH274" s="5342"/>
      <c r="AI274" s="6192"/>
    </row>
    <row r="275" ht="2.25" customHeight="1">
      <c r="A275" s="6185"/>
      <c r="B275" s="5337"/>
      <c r="C275" s="5359"/>
      <c r="D275" s="5352"/>
      <c r="E275" s="5360"/>
      <c r="F275" s="5361"/>
      <c r="G275" s="5361"/>
      <c r="H275" s="5362"/>
      <c r="J275" s="5360"/>
      <c r="K275" s="5361"/>
      <c r="L275" s="5361"/>
      <c r="M275" s="5362"/>
      <c r="O275" s="5360"/>
      <c r="P275" s="5361"/>
      <c r="Q275" s="5361"/>
      <c r="R275" s="5362"/>
      <c r="T275" s="5360"/>
      <c r="U275" s="5361"/>
      <c r="V275" s="5361"/>
      <c r="W275" s="5362"/>
      <c r="Y275" s="5360"/>
      <c r="Z275" s="5361"/>
      <c r="AA275" s="5361"/>
      <c r="AB275" s="5362"/>
      <c r="AD275" s="5360"/>
      <c r="AE275" s="5361"/>
      <c r="AF275" s="5361"/>
      <c r="AG275" s="5362"/>
      <c r="AH275" s="5342"/>
      <c r="AI275" s="6192"/>
    </row>
    <row r="276" ht="20.25" customHeight="1">
      <c r="A276" s="6185"/>
      <c r="B276" s="5337"/>
      <c r="C276" s="5359"/>
      <c r="D276" s="6318"/>
      <c r="E276" s="5363" t="s">
        <v>205</v>
      </c>
      <c r="F276" s="5364"/>
      <c r="G276" s="5364"/>
      <c r="H276" s="5365"/>
      <c r="J276" s="5363" t="s">
        <v>172</v>
      </c>
      <c r="K276" s="5364"/>
      <c r="L276" s="5364"/>
      <c r="M276" s="5365"/>
      <c r="O276" s="5363" t="s">
        <v>169</v>
      </c>
      <c r="P276" s="5364"/>
      <c r="Q276" s="5364"/>
      <c r="R276" s="5365"/>
      <c r="T276" s="5363" t="s">
        <v>169</v>
      </c>
      <c r="U276" s="5364"/>
      <c r="V276" s="5364"/>
      <c r="W276" s="5365"/>
      <c r="Y276" s="5363" t="s">
        <v>169</v>
      </c>
      <c r="Z276" s="5364"/>
      <c r="AA276" s="5364"/>
      <c r="AB276" s="5365"/>
      <c r="AD276" s="5363" t="s">
        <v>205</v>
      </c>
      <c r="AE276" s="5364"/>
      <c r="AF276" s="5364"/>
      <c r="AG276" s="5365"/>
      <c r="AH276" s="6316"/>
      <c r="AI276" s="6192"/>
    </row>
    <row r="277">
      <c r="A277" s="6185"/>
      <c r="B277" s="5337"/>
      <c r="C277" s="5366"/>
      <c r="D277" s="6318"/>
      <c r="E277" s="5367" t="s">
        <v>1013</v>
      </c>
      <c r="F277" s="5368"/>
      <c r="G277" s="5368"/>
      <c r="H277" s="5369"/>
      <c r="J277" s="5367" t="s">
        <v>1616</v>
      </c>
      <c r="K277" s="5368"/>
      <c r="L277" s="5368"/>
      <c r="M277" s="5369"/>
      <c r="O277" s="5367" t="s">
        <v>716</v>
      </c>
      <c r="P277" s="5368"/>
      <c r="Q277" s="5368"/>
      <c r="R277" s="5369"/>
      <c r="T277" s="5367" t="s">
        <v>1557</v>
      </c>
      <c r="U277" s="5368"/>
      <c r="V277" s="5368"/>
      <c r="W277" s="5369"/>
      <c r="Y277" s="5367" t="s">
        <v>1617</v>
      </c>
      <c r="Z277" s="5368"/>
      <c r="AA277" s="5368"/>
      <c r="AB277" s="5369"/>
      <c r="AD277" s="5367" t="s">
        <v>1367</v>
      </c>
      <c r="AE277" s="5368"/>
      <c r="AF277" s="5368"/>
      <c r="AG277" s="5369"/>
      <c r="AH277" s="6316"/>
      <c r="AI277" s="6192"/>
    </row>
    <row r="278" ht="20.25" customHeight="1">
      <c r="A278" s="6185"/>
      <c r="B278" s="5337"/>
      <c r="C278" s="5348"/>
      <c r="D278" s="6318"/>
      <c r="E278" s="5370" t="s">
        <v>240</v>
      </c>
      <c r="F278" s="5371"/>
      <c r="G278" s="5372"/>
      <c r="H278" s="5373" t="str">
        <f>IMAGE("https://raw.githubusercontent.com/msikma/pokesprite/master/items/hold-item/focus-sash.png",3)</f>
        <v/>
      </c>
      <c r="J278" s="5370" t="s">
        <v>1597</v>
      </c>
      <c r="K278" s="5371"/>
      <c r="L278" s="5372"/>
      <c r="M278" s="5373" t="str">
        <f>IMAGE("https://raw.githubusercontent.com/msikma/pokesprite/master/items/mega-stone/garchompite.png",3)</f>
        <v/>
      </c>
      <c r="O278" s="5370" t="s">
        <v>626</v>
      </c>
      <c r="P278" s="5371"/>
      <c r="Q278" s="5372"/>
      <c r="R278" s="5373" t="str">
        <f>IMAGE("https://raw.githubusercontent.com/msikma/pokesprite/master/items/hold-item/white-herb.png",3)</f>
        <v/>
      </c>
      <c r="T278" s="5370" t="s">
        <v>393</v>
      </c>
      <c r="U278" s="5371"/>
      <c r="V278" s="5372"/>
      <c r="W278" s="5373" t="str">
        <f>IMAGE("https://raw.githubusercontent.com/msikma/pokesprite/master/items/hold-item/weakness-policy.png",3)</f>
        <v/>
      </c>
      <c r="Y278" s="5370" t="s">
        <v>1371</v>
      </c>
      <c r="Z278" s="5371"/>
      <c r="AA278" s="5372"/>
      <c r="AB278" s="5373" t="str">
        <f>IMAGE("https://raw.githubusercontent.com/msikma/pokesprite/master/items/mega-stone/aggronite.png",3)</f>
        <v/>
      </c>
      <c r="AD278" s="5370" t="s">
        <v>1618</v>
      </c>
      <c r="AE278" s="5371"/>
      <c r="AF278" s="5372"/>
      <c r="AG278" s="5373" t="str">
        <f>IMAGE("https://raw.githubusercontent.com/msikma/pokesprite/master/items/z-crystals/fightinium-z--held.png",3)</f>
        <v/>
      </c>
      <c r="AH278" s="5342"/>
      <c r="AI278" s="6192"/>
    </row>
    <row r="279" ht="20.25" customHeight="1">
      <c r="A279" s="6185"/>
      <c r="B279" s="5337"/>
      <c r="C279" s="5374"/>
      <c r="D279" s="6318"/>
      <c r="E279" s="5375" t="s">
        <v>1619</v>
      </c>
      <c r="F279" s="5376"/>
      <c r="G279" s="5377"/>
      <c r="H279" s="5378" t="str">
        <f>IMAGE("https://raw.githubusercontent.com/msikma/pokesprite/master/misc/types/gen8/bug.png",4,20,20)</f>
        <v/>
      </c>
      <c r="J279" s="5375" t="s">
        <v>489</v>
      </c>
      <c r="K279" s="5376"/>
      <c r="L279" s="5377"/>
      <c r="M279" s="5378" t="str">
        <f>IMAGE("https://raw.githubusercontent.com/msikma/pokesprite/master/misc/types/gen8/normal.png",4,20,20)</f>
        <v/>
      </c>
      <c r="O279" s="5375" t="s">
        <v>428</v>
      </c>
      <c r="P279" s="5376"/>
      <c r="Q279" s="5377"/>
      <c r="R279" s="5378" t="str">
        <f>IMAGE("https://raw.githubusercontent.com/msikma/pokesprite/master/misc/types/gen8/normal.png",4,20,20)</f>
        <v/>
      </c>
      <c r="T279" s="5375" t="s">
        <v>396</v>
      </c>
      <c r="U279" s="5376"/>
      <c r="V279" s="5377"/>
      <c r="W279" s="5378" t="str">
        <f>IMAGE("https://raw.githubusercontent.com/msikma/pokesprite/master/misc/types/gen8/dragon.png",4,20,20)</f>
        <v/>
      </c>
      <c r="Y279" s="5375" t="s">
        <v>736</v>
      </c>
      <c r="Z279" s="5376"/>
      <c r="AA279" s="5377"/>
      <c r="AB279" s="5378" t="str">
        <f t="shared" ref="AB279:AB280" si="12">IMAGE("https://raw.githubusercontent.com/msikma/pokesprite/master/misc/types/gen8/fighting.png",4,20,20)</f>
        <v/>
      </c>
      <c r="AD279" s="5375" t="s">
        <v>401</v>
      </c>
      <c r="AE279" s="5376"/>
      <c r="AF279" s="5377"/>
      <c r="AG279" s="5378" t="str">
        <f t="shared" ref="AG279:AG280" si="13">IMAGE("https://raw.githubusercontent.com/msikma/pokesprite/master/misc/types/gen8/dark.png",4,20,20)</f>
        <v/>
      </c>
      <c r="AH279" s="5342"/>
      <c r="AI279" s="6192"/>
    </row>
    <row r="280" ht="20.25" customHeight="1">
      <c r="A280" s="6185"/>
      <c r="B280" s="5337"/>
      <c r="C280" s="5359"/>
      <c r="D280" s="6318"/>
      <c r="E280" s="5367" t="s">
        <v>242</v>
      </c>
      <c r="F280" s="5368"/>
      <c r="G280" s="5379"/>
      <c r="H280" s="5380" t="str">
        <f t="shared" ref="H280:H281" si="14">IMAGE("https://raw.githubusercontent.com/msikma/pokesprite/master/misc/types/gen8/electric.png",4,20,20)</f>
        <v/>
      </c>
      <c r="J280" s="5367" t="s">
        <v>402</v>
      </c>
      <c r="K280" s="5368"/>
      <c r="L280" s="5379"/>
      <c r="M280" s="5380" t="str">
        <f>IMAGE("https://raw.githubusercontent.com/msikma/pokesprite/master/misc/types/gen8/ground.png",4,20,20)</f>
        <v/>
      </c>
      <c r="O280" s="5367" t="s">
        <v>346</v>
      </c>
      <c r="P280" s="5368"/>
      <c r="Q280" s="5379"/>
      <c r="R280" s="5380" t="str">
        <f>IMAGE("https://raw.githubusercontent.com/msikma/pokesprite/master/misc/types/gen8/water.png",4,20,20)</f>
        <v/>
      </c>
      <c r="T280" s="5367" t="s">
        <v>783</v>
      </c>
      <c r="U280" s="5368"/>
      <c r="V280" s="5379"/>
      <c r="W280" s="5380" t="str">
        <f>IMAGE("https://raw.githubusercontent.com/msikma/pokesprite/master/misc/types/gen8/psychic.png",4,20,20)</f>
        <v/>
      </c>
      <c r="Y280" s="5367" t="s">
        <v>244</v>
      </c>
      <c r="Z280" s="5368"/>
      <c r="AA280" s="5379"/>
      <c r="AB280" s="5380" t="str">
        <f t="shared" si="12"/>
        <v/>
      </c>
      <c r="AD280" s="5367" t="s">
        <v>345</v>
      </c>
      <c r="AE280" s="5368"/>
      <c r="AF280" s="5379"/>
      <c r="AG280" s="5380" t="str">
        <f t="shared" si="13"/>
        <v/>
      </c>
      <c r="AH280" s="5342"/>
      <c r="AI280" s="6192"/>
    </row>
    <row r="281" ht="20.25" customHeight="1">
      <c r="A281" s="6185"/>
      <c r="B281" s="5337"/>
      <c r="C281" s="5359"/>
      <c r="D281" s="6318"/>
      <c r="E281" s="5367" t="s">
        <v>539</v>
      </c>
      <c r="F281" s="5368"/>
      <c r="G281" s="5379"/>
      <c r="H281" s="5381" t="str">
        <f t="shared" si="14"/>
        <v/>
      </c>
      <c r="J281" s="5367" t="s">
        <v>610</v>
      </c>
      <c r="K281" s="5368"/>
      <c r="L281" s="5379"/>
      <c r="M281" s="5381" t="str">
        <f>IMAGE("https://raw.githubusercontent.com/msikma/pokesprite/master/misc/types/gen8/rock.png",4,20,20)</f>
        <v/>
      </c>
      <c r="O281" s="5367" t="s">
        <v>320</v>
      </c>
      <c r="P281" s="5368"/>
      <c r="Q281" s="5379"/>
      <c r="R281" s="5381" t="str">
        <f t="shared" ref="R281:R282" si="15">IMAGE("https://raw.githubusercontent.com/msikma/pokesprite/master/misc/types/gen8/dark.png",4,20,20)</f>
        <v/>
      </c>
      <c r="T281" s="5367" t="s">
        <v>402</v>
      </c>
      <c r="U281" s="5368"/>
      <c r="V281" s="5379"/>
      <c r="W281" s="5381" t="str">
        <f>IMAGE("https://raw.githubusercontent.com/msikma/pokesprite/master/misc/types/gen8/ground.png",4,20,20)</f>
        <v/>
      </c>
      <c r="Y281" s="5367" t="s">
        <v>215</v>
      </c>
      <c r="Z281" s="5368"/>
      <c r="AA281" s="5379"/>
      <c r="AB281" s="5381" t="str">
        <f>IMAGE("https://raw.githubusercontent.com/msikma/pokesprite/master/misc/types/gen8/ice.png",4,20,20)</f>
        <v/>
      </c>
      <c r="AD281" s="5367" t="s">
        <v>561</v>
      </c>
      <c r="AE281" s="5368"/>
      <c r="AF281" s="5379"/>
      <c r="AG281" s="5381" t="str">
        <f>IMAGE("https://raw.githubusercontent.com/msikma/pokesprite/master/misc/types/gen8/psychic.png",4,20,20)</f>
        <v/>
      </c>
      <c r="AH281" s="5342"/>
      <c r="AI281" s="6192"/>
    </row>
    <row r="282" ht="21.0" customHeight="1">
      <c r="A282" s="6185"/>
      <c r="B282" s="5337"/>
      <c r="C282" s="5359"/>
      <c r="D282" s="6318"/>
      <c r="E282" s="5382" t="s">
        <v>247</v>
      </c>
      <c r="F282" s="5383"/>
      <c r="G282" s="5384"/>
      <c r="H282" s="5385" t="str">
        <f>IMAGE("https://raw.githubusercontent.com/msikma/pokesprite/master/misc/types/gen8/bug.png",4,20,20)</f>
        <v/>
      </c>
      <c r="I282" s="6319"/>
      <c r="J282" s="5382" t="s">
        <v>825</v>
      </c>
      <c r="K282" s="5383"/>
      <c r="L282" s="5384"/>
      <c r="M282" s="5385" t="str">
        <f>IMAGE("https://raw.githubusercontent.com/msikma/pokesprite/master/misc/types/gen8/fire.png",4,20,20)</f>
        <v/>
      </c>
      <c r="N282" s="6319"/>
      <c r="O282" s="5382" t="s">
        <v>541</v>
      </c>
      <c r="P282" s="5383"/>
      <c r="Q282" s="5384"/>
      <c r="R282" s="5385" t="str">
        <f t="shared" si="15"/>
        <v/>
      </c>
      <c r="S282" s="6319"/>
      <c r="T282" s="5382" t="s">
        <v>903</v>
      </c>
      <c r="U282" s="5383"/>
      <c r="V282" s="5384"/>
      <c r="W282" s="5385" t="str">
        <f>IMAGE("https://raw.githubusercontent.com/msikma/pokesprite/master/misc/types/gen8/fire.png",4,20,20)</f>
        <v/>
      </c>
      <c r="X282" s="6319"/>
      <c r="Y282" s="5382" t="s">
        <v>522</v>
      </c>
      <c r="Z282" s="5383"/>
      <c r="AA282" s="5384"/>
      <c r="AB282" s="5385" t="str">
        <f>IMAGE("https://raw.githubusercontent.com/msikma/pokesprite/master/misc/types/gen8/steel.png",4,20,20)</f>
        <v/>
      </c>
      <c r="AC282" s="6319"/>
      <c r="AD282" s="5382" t="s">
        <v>344</v>
      </c>
      <c r="AE282" s="5383"/>
      <c r="AF282" s="5384"/>
      <c r="AG282" s="5385" t="str">
        <f>IMAGE("https://raw.githubusercontent.com/msikma/pokesprite/master/misc/types/gen8/fighting.png",4,20,20)</f>
        <v/>
      </c>
      <c r="AH282" s="5342"/>
      <c r="AI282" s="6192"/>
    </row>
    <row r="283" ht="3.0" customHeight="1">
      <c r="A283" s="6185"/>
      <c r="B283" s="5386"/>
      <c r="C283" s="5387"/>
      <c r="D283" s="5388"/>
      <c r="E283" s="6320"/>
      <c r="F283" s="6320"/>
      <c r="G283" s="6320"/>
      <c r="H283" s="5389"/>
      <c r="I283" s="5388"/>
      <c r="J283" s="6320"/>
      <c r="K283" s="6320"/>
      <c r="L283" s="6320"/>
      <c r="M283" s="5389"/>
      <c r="N283" s="5388"/>
      <c r="O283" s="6320"/>
      <c r="P283" s="6320"/>
      <c r="Q283" s="6320"/>
      <c r="R283" s="5389"/>
      <c r="S283" s="5389"/>
      <c r="T283" s="6320"/>
      <c r="U283" s="6320"/>
      <c r="V283" s="6320"/>
      <c r="W283" s="5389"/>
      <c r="X283" s="5388"/>
      <c r="Y283" s="6320"/>
      <c r="Z283" s="6320"/>
      <c r="AA283" s="6320"/>
      <c r="AB283" s="5389"/>
      <c r="AC283" s="5391"/>
      <c r="AD283" s="6320"/>
      <c r="AE283" s="6320"/>
      <c r="AF283" s="6320"/>
      <c r="AG283" s="5389"/>
      <c r="AH283" s="5392"/>
      <c r="AI283" s="6192"/>
    </row>
    <row r="284" ht="16.5" customHeight="1">
      <c r="A284" s="6185"/>
      <c r="B284" s="5393"/>
      <c r="C284" s="5387"/>
      <c r="D284" s="5398"/>
      <c r="E284" s="5395" t="s">
        <v>190</v>
      </c>
      <c r="F284" s="381"/>
      <c r="G284" s="382"/>
      <c r="H284" s="5396" t="s">
        <v>191</v>
      </c>
      <c r="I284" s="5397"/>
      <c r="J284" s="5395" t="s">
        <v>190</v>
      </c>
      <c r="K284" s="381"/>
      <c r="L284" s="382"/>
      <c r="M284" s="5396" t="s">
        <v>191</v>
      </c>
      <c r="N284" s="5398"/>
      <c r="O284" s="5395" t="s">
        <v>190</v>
      </c>
      <c r="P284" s="381"/>
      <c r="Q284" s="382"/>
      <c r="R284" s="5396" t="s">
        <v>191</v>
      </c>
      <c r="S284" s="5399"/>
      <c r="T284" s="5395" t="s">
        <v>190</v>
      </c>
      <c r="U284" s="381"/>
      <c r="V284" s="382"/>
      <c r="W284" s="5396" t="s">
        <v>191</v>
      </c>
      <c r="X284" s="5400"/>
      <c r="Y284" s="5395" t="s">
        <v>190</v>
      </c>
      <c r="Z284" s="381"/>
      <c r="AA284" s="382"/>
      <c r="AB284" s="5396" t="s">
        <v>191</v>
      </c>
      <c r="AC284" s="5400"/>
      <c r="AD284" s="5395" t="s">
        <v>190</v>
      </c>
      <c r="AE284" s="381"/>
      <c r="AF284" s="382"/>
      <c r="AG284" s="5396" t="s">
        <v>191</v>
      </c>
      <c r="AH284" s="5401"/>
      <c r="AI284" s="6192"/>
    </row>
    <row r="285" ht="16.5" customHeight="1">
      <c r="A285" s="6185"/>
      <c r="B285" s="5393"/>
      <c r="C285" s="5387"/>
      <c r="D285" s="5394"/>
      <c r="E285" s="5402" t="s">
        <v>192</v>
      </c>
      <c r="F285" s="5403">
        <f t="array" ref="F285">IFERROR(VLOOKUP(E272,Dex!$B$3:$N1218,8,FALSE),"")</f>
        <v>70</v>
      </c>
      <c r="G285" s="5404" t="str">
        <f t="array" ref="G285">IFERROR(VLOOKUP(F285,Dex!$P$22:$Q$276,2,FALSE),"")</f>
        <v/>
      </c>
      <c r="H285" s="5405">
        <v>6.0</v>
      </c>
      <c r="I285" s="5406"/>
      <c r="J285" s="5402" t="s">
        <v>192</v>
      </c>
      <c r="K285" s="5403">
        <f t="array" ref="K285">IFERROR(VLOOKUP(J272,Dex!$B$3:$N1218,8,FALSE),"")</f>
        <v>108</v>
      </c>
      <c r="L285" s="5404" t="str">
        <f t="array" ref="L285">IFERROR(VLOOKUP(K285,Dex!$P$22:$Q$276,2,FALSE),"")</f>
        <v/>
      </c>
      <c r="M285" s="5405">
        <v>6.0</v>
      </c>
      <c r="N285" s="5394"/>
      <c r="O285" s="5402" t="s">
        <v>192</v>
      </c>
      <c r="P285" s="5403">
        <f t="array" ref="P285">IFERROR(VLOOKUP(O272,Dex!$B$3:$N1218,8,FALSE),"")</f>
        <v>55</v>
      </c>
      <c r="Q285" s="5404" t="str">
        <f t="array" ref="Q285">IFERROR(VLOOKUP(P285,Dex!$P$22:$Q$276,2,FALSE),"")</f>
        <v/>
      </c>
      <c r="R285" s="5405">
        <v>6.0</v>
      </c>
      <c r="S285" s="5407"/>
      <c r="T285" s="5402" t="s">
        <v>192</v>
      </c>
      <c r="U285" s="5403">
        <f t="array" ref="U285">IFERROR(VLOOKUP(T272,Dex!$B$3:$N1218,8,FALSE),"")</f>
        <v>97</v>
      </c>
      <c r="V285" s="5404" t="str">
        <f t="array" ref="V285">IFERROR(VLOOKUP(U285,Dex!$P$22:$Q$276,2,FALSE),"")</f>
        <v/>
      </c>
      <c r="W285" s="5405">
        <v>252.0</v>
      </c>
      <c r="X285" s="5407"/>
      <c r="Y285" s="5402" t="s">
        <v>192</v>
      </c>
      <c r="Z285" s="5403">
        <f t="array" ref="Z285">IFERROR(VLOOKUP(Y272,Dex!$B$3:$N1218,8,FALSE),"")</f>
        <v>90</v>
      </c>
      <c r="AA285" s="5404" t="str">
        <f t="array" ref="AA285">IFERROR(VLOOKUP(Z285,Dex!$P$22:$Q$276,2,FALSE),"")</f>
        <v/>
      </c>
      <c r="AB285" s="5405">
        <v>252.0</v>
      </c>
      <c r="AC285" s="5407"/>
      <c r="AD285" s="5402" t="s">
        <v>192</v>
      </c>
      <c r="AE285" s="5403">
        <f t="array" ref="AE285">IFERROR(VLOOKUP(AD272,Dex!$B$3:$N1218,8,FALSE),"")</f>
        <v>80</v>
      </c>
      <c r="AF285" s="5404" t="str">
        <f t="array" ref="AF285">IFERROR(VLOOKUP(AE285,Dex!$P$22:$Q$276,2,FALSE),"")</f>
        <v/>
      </c>
      <c r="AG285" s="5405">
        <v>6.0</v>
      </c>
      <c r="AH285" s="5401"/>
      <c r="AI285" s="6192"/>
    </row>
    <row r="286" ht="16.5" customHeight="1">
      <c r="A286" s="6185"/>
      <c r="B286" s="5393"/>
      <c r="C286" s="5387"/>
      <c r="D286" s="5394"/>
      <c r="E286" s="5408" t="s">
        <v>193</v>
      </c>
      <c r="F286" s="5409">
        <f t="array" ref="F286">IFERROR(VLOOKUP(E272,Dex!$B$3:$N1218,9,FALSE),"")</f>
        <v>77</v>
      </c>
      <c r="G286" s="5410" t="str">
        <f t="array" ref="G286">IFERROR(VLOOKUP(F286,Dex!$P$22:$Q$276,2,FALSE),"")</f>
        <v/>
      </c>
      <c r="H286" s="5411"/>
      <c r="I286" s="5406"/>
      <c r="J286" s="5408" t="s">
        <v>193</v>
      </c>
      <c r="K286" s="5409">
        <f t="array" ref="K286">IFERROR(VLOOKUP(J272,Dex!$B$3:$N1218,9,FALSE),"")</f>
        <v>170</v>
      </c>
      <c r="L286" s="5410" t="str">
        <f t="array" ref="L286">IFERROR(VLOOKUP(K286,Dex!$P$22:$Q$276,2,FALSE),"")</f>
        <v/>
      </c>
      <c r="M286" s="5411">
        <v>252.0</v>
      </c>
      <c r="N286" s="5394"/>
      <c r="O286" s="5408" t="s">
        <v>193</v>
      </c>
      <c r="P286" s="5409">
        <f t="array" ref="P286">IFERROR(VLOOKUP(O272,Dex!$B$3:$N1218,9,FALSE),"")</f>
        <v>104</v>
      </c>
      <c r="Q286" s="5410" t="str">
        <f t="array" ref="Q286">IFERROR(VLOOKUP(P286,Dex!$P$22:$Q$276,2,FALSE),"")</f>
        <v/>
      </c>
      <c r="R286" s="5411">
        <v>252.0</v>
      </c>
      <c r="S286" s="5407"/>
      <c r="T286" s="5408" t="s">
        <v>193</v>
      </c>
      <c r="U286" s="5409">
        <f t="array" ref="U286">IFERROR(VLOOKUP(T272,Dex!$B$3:$N1218,9,FALSE),"")</f>
        <v>157</v>
      </c>
      <c r="V286" s="5410" t="str">
        <f t="array" ref="V286">IFERROR(VLOOKUP(U286,Dex!$P$22:$Q$276,2,FALSE),"")</f>
        <v/>
      </c>
      <c r="W286" s="5411">
        <v>252.0</v>
      </c>
      <c r="X286" s="5407"/>
      <c r="Y286" s="5408" t="s">
        <v>193</v>
      </c>
      <c r="Z286" s="5409">
        <f t="array" ref="Z286">IFERROR(VLOOKUP(Y272,Dex!$B$3:$N1218,9,FALSE),"")</f>
        <v>145</v>
      </c>
      <c r="AA286" s="5410" t="str">
        <f t="array" ref="AA286">IFERROR(VLOOKUP(Z286,Dex!$P$22:$Q$276,2,FALSE),"")</f>
        <v/>
      </c>
      <c r="AB286" s="5411">
        <v>252.0</v>
      </c>
      <c r="AC286" s="5407"/>
      <c r="AD286" s="5408" t="s">
        <v>193</v>
      </c>
      <c r="AE286" s="5409">
        <f t="array" ref="AE286">IFERROR(VLOOKUP(AD272,Dex!$B$3:$N1218,9,FALSE),"")</f>
        <v>160</v>
      </c>
      <c r="AF286" s="5410" t="str">
        <f t="array" ref="AF286">IFERROR(VLOOKUP(AE286,Dex!$P$22:$Q$276,2,FALSE),"")</f>
        <v/>
      </c>
      <c r="AG286" s="5411"/>
      <c r="AH286" s="5401"/>
      <c r="AI286" s="6192"/>
    </row>
    <row r="287" ht="16.5" customHeight="1">
      <c r="A287" s="6185"/>
      <c r="B287" s="5393"/>
      <c r="C287" s="5387"/>
      <c r="D287" s="5394"/>
      <c r="E287" s="5408" t="s">
        <v>194</v>
      </c>
      <c r="F287" s="5409">
        <f t="array" ref="F287">IFERROR(VLOOKUP(E272,Dex!$B$3:$N1218,10,FALSE),"")</f>
        <v>60</v>
      </c>
      <c r="G287" s="5410" t="str">
        <f t="array" ref="G287">IFERROR(VLOOKUP(F287,Dex!$P$22:$Q$276,2,FALSE),"")</f>
        <v/>
      </c>
      <c r="H287" s="5411"/>
      <c r="I287" s="5406"/>
      <c r="J287" s="5408" t="s">
        <v>194</v>
      </c>
      <c r="K287" s="5409">
        <f t="array" ref="K287">IFERROR(VLOOKUP(J272,Dex!$B$3:$N1218,10,FALSE),"")</f>
        <v>105</v>
      </c>
      <c r="L287" s="5410" t="str">
        <f t="array" ref="L287">IFERROR(VLOOKUP(K287,Dex!$P$22:$Q$276,2,FALSE),"")</f>
        <v/>
      </c>
      <c r="M287" s="5411"/>
      <c r="N287" s="5394"/>
      <c r="O287" s="5408" t="s">
        <v>194</v>
      </c>
      <c r="P287" s="5409">
        <f t="array" ref="P287">IFERROR(VLOOKUP(O272,Dex!$B$3:$N1218,10,FALSE),"")</f>
        <v>105</v>
      </c>
      <c r="Q287" s="5410" t="str">
        <f t="array" ref="Q287">IFERROR(VLOOKUP(P287,Dex!$P$22:$Q$276,2,FALSE),"")</f>
        <v/>
      </c>
      <c r="R287" s="5411"/>
      <c r="S287" s="5407"/>
      <c r="T287" s="5408" t="s">
        <v>194</v>
      </c>
      <c r="U287" s="5409">
        <f t="array" ref="U287">IFERROR(VLOOKUP(T272,Dex!$B$3:$N1218,10,FALSE),"")</f>
        <v>127</v>
      </c>
      <c r="V287" s="5410" t="str">
        <f t="array" ref="V287">IFERROR(VLOOKUP(U287,Dex!$P$22:$Q$276,2,FALSE),"")</f>
        <v/>
      </c>
      <c r="W287" s="5411"/>
      <c r="X287" s="5407"/>
      <c r="Y287" s="5408" t="s">
        <v>194</v>
      </c>
      <c r="Z287" s="5409">
        <f t="array" ref="Z287">IFERROR(VLOOKUP(Y272,Dex!$B$3:$N1218,10,FALSE),"")</f>
        <v>110</v>
      </c>
      <c r="AA287" s="5410" t="str">
        <f t="array" ref="AA287">IFERROR(VLOOKUP(Z287,Dex!$P$22:$Q$276,2,FALSE),"")</f>
        <v/>
      </c>
      <c r="AB287" s="5411"/>
      <c r="AC287" s="5407"/>
      <c r="AD287" s="5408" t="s">
        <v>194</v>
      </c>
      <c r="AE287" s="5409">
        <f t="array" ref="AE287">IFERROR(VLOOKUP(AD272,Dex!$B$3:$N1218,10,FALSE),"")</f>
        <v>60</v>
      </c>
      <c r="AF287" s="5410" t="str">
        <f t="array" ref="AF287">IFERROR(VLOOKUP(AE287,Dex!$P$22:$Q$276,2,FALSE),"")</f>
        <v/>
      </c>
      <c r="AG287" s="5411"/>
      <c r="AH287" s="5401"/>
      <c r="AI287" s="6192"/>
    </row>
    <row r="288" ht="16.5" customHeight="1">
      <c r="A288" s="6185"/>
      <c r="B288" s="5393"/>
      <c r="C288" s="5387"/>
      <c r="D288" s="5394"/>
      <c r="E288" s="5408" t="s">
        <v>195</v>
      </c>
      <c r="F288" s="5409">
        <f t="array" ref="F288">IFERROR(VLOOKUP(E272,Dex!$B$3:$N1218,11,FALSE),"")</f>
        <v>97</v>
      </c>
      <c r="G288" s="5410" t="str">
        <f t="array" ref="G288">IFERROR(VLOOKUP(F288,Dex!$P$22:$Q$276,2,FALSE),"")</f>
        <v/>
      </c>
      <c r="H288" s="5411">
        <v>252.0</v>
      </c>
      <c r="I288" s="5406"/>
      <c r="J288" s="5408" t="s">
        <v>195</v>
      </c>
      <c r="K288" s="5409">
        <f t="array" ref="K288">IFERROR(VLOOKUP(J272,Dex!$B$3:$N1218,11,FALSE),"")</f>
        <v>120</v>
      </c>
      <c r="L288" s="5410" t="str">
        <f t="array" ref="L288">IFERROR(VLOOKUP(K288,Dex!$P$22:$Q$276,2,FALSE),"")</f>
        <v/>
      </c>
      <c r="M288" s="5411"/>
      <c r="N288" s="5394"/>
      <c r="O288" s="5408" t="s">
        <v>195</v>
      </c>
      <c r="P288" s="5409">
        <f t="array" ref="P288">IFERROR(VLOOKUP(O272,Dex!$B$3:$N1218,11,FALSE),"")</f>
        <v>94</v>
      </c>
      <c r="Q288" s="5410" t="str">
        <f t="array" ref="Q288">IFERROR(VLOOKUP(P288,Dex!$P$22:$Q$276,2,FALSE),"")</f>
        <v/>
      </c>
      <c r="R288" s="5411"/>
      <c r="S288" s="5407"/>
      <c r="T288" s="5408" t="s">
        <v>195</v>
      </c>
      <c r="U288" s="5409">
        <f t="array" ref="U288">IFERROR(VLOOKUP(T272,Dex!$B$3:$N1218,11,FALSE),"")</f>
        <v>113</v>
      </c>
      <c r="V288" s="5410" t="str">
        <f t="array" ref="V288">IFERROR(VLOOKUP(U288,Dex!$P$22:$Q$276,2,FALSE),"")</f>
        <v/>
      </c>
      <c r="W288" s="5411"/>
      <c r="X288" s="5407"/>
      <c r="Y288" s="5408" t="s">
        <v>195</v>
      </c>
      <c r="Z288" s="5409">
        <f t="array" ref="Z288">IFERROR(VLOOKUP(Y272,Dex!$B$3:$N1218,11,FALSE),"")</f>
        <v>65</v>
      </c>
      <c r="AA288" s="5410" t="str">
        <f t="array" ref="AA288">IFERROR(VLOOKUP(Z288,Dex!$P$22:$Q$276,2,FALSE),"")</f>
        <v/>
      </c>
      <c r="AB288" s="5411"/>
      <c r="AC288" s="5407"/>
      <c r="AD288" s="5408" t="s">
        <v>195</v>
      </c>
      <c r="AE288" s="5409">
        <f t="array" ref="AE288">IFERROR(VLOOKUP(AD272,Dex!$B$3:$N1218,11,FALSE),"")</f>
        <v>170</v>
      </c>
      <c r="AF288" s="5410" t="str">
        <f t="array" ref="AF288">IFERROR(VLOOKUP(AE288,Dex!$P$22:$Q$276,2,FALSE),"")</f>
        <v/>
      </c>
      <c r="AG288" s="5411">
        <v>252.0</v>
      </c>
      <c r="AH288" s="5401"/>
      <c r="AI288" s="6192"/>
    </row>
    <row r="289" ht="16.5" customHeight="1">
      <c r="A289" s="6185"/>
      <c r="B289" s="5393"/>
      <c r="C289" s="5387"/>
      <c r="D289" s="5394"/>
      <c r="E289" s="5408" t="s">
        <v>196</v>
      </c>
      <c r="F289" s="5409">
        <f t="array" ref="F289">IFERROR(VLOOKUP(E272,Dex!$B$3:$N1218,12,FALSE),"")</f>
        <v>60</v>
      </c>
      <c r="G289" s="5410" t="str">
        <f t="array" ref="G289">IFERROR(VLOOKUP(F289,Dex!$P$22:$Q$276,2,FALSE),"")</f>
        <v/>
      </c>
      <c r="H289" s="5411"/>
      <c r="I289" s="5406"/>
      <c r="J289" s="5408" t="s">
        <v>196</v>
      </c>
      <c r="K289" s="5409">
        <f t="array" ref="K289">IFERROR(VLOOKUP(J272,Dex!$B$3:$N1218,12,FALSE),"")</f>
        <v>95</v>
      </c>
      <c r="L289" s="5410" t="str">
        <f t="array" ref="L289">IFERROR(VLOOKUP(K289,Dex!$P$22:$Q$276,2,FALSE),"")</f>
        <v/>
      </c>
      <c r="M289" s="5411"/>
      <c r="N289" s="5394"/>
      <c r="O289" s="5408" t="s">
        <v>196</v>
      </c>
      <c r="P289" s="5409">
        <f t="array" ref="P289">IFERROR(VLOOKUP(O272,Dex!$B$3:$N1218,12,FALSE),"")</f>
        <v>75</v>
      </c>
      <c r="Q289" s="5410" t="str">
        <f t="array" ref="Q289">IFERROR(VLOOKUP(P289,Dex!$P$22:$Q$276,2,FALSE),"")</f>
        <v/>
      </c>
      <c r="R289" s="5411"/>
      <c r="S289" s="5407"/>
      <c r="T289" s="5408" t="s">
        <v>196</v>
      </c>
      <c r="U289" s="5409">
        <f t="array" ref="U289">IFERROR(VLOOKUP(T272,Dex!$B$3:$N1218,12,FALSE),"")</f>
        <v>109</v>
      </c>
      <c r="V289" s="5410" t="str">
        <f t="array" ref="V289">IFERROR(VLOOKUP(U289,Dex!$P$22:$Q$276,2,FALSE),"")</f>
        <v/>
      </c>
      <c r="W289" s="5411"/>
      <c r="X289" s="5407"/>
      <c r="Y289" s="5408" t="s">
        <v>196</v>
      </c>
      <c r="Z289" s="5409">
        <f t="array" ref="Z289">IFERROR(VLOOKUP(Y272,Dex!$B$3:$N1218,12,FALSE),"")</f>
        <v>115</v>
      </c>
      <c r="AA289" s="5410" t="str">
        <f t="array" ref="AA289">IFERROR(VLOOKUP(Z289,Dex!$P$22:$Q$276,2,FALSE),"")</f>
        <v/>
      </c>
      <c r="AB289" s="5411"/>
      <c r="AC289" s="5407"/>
      <c r="AD289" s="5408" t="s">
        <v>196</v>
      </c>
      <c r="AE289" s="5409">
        <f t="array" ref="AE289">IFERROR(VLOOKUP(AD272,Dex!$B$3:$N1218,12,FALSE),"")</f>
        <v>130</v>
      </c>
      <c r="AF289" s="5410" t="str">
        <f t="array" ref="AF289">IFERROR(VLOOKUP(AE289,Dex!$P$22:$Q$276,2,FALSE),"")</f>
        <v/>
      </c>
      <c r="AG289" s="5411"/>
      <c r="AH289" s="5401"/>
      <c r="AI289" s="6192"/>
    </row>
    <row r="290" ht="16.5" customHeight="1">
      <c r="A290" s="6185"/>
      <c r="B290" s="5393"/>
      <c r="C290" s="5387"/>
      <c r="D290" s="5394"/>
      <c r="E290" s="5412" t="s">
        <v>197</v>
      </c>
      <c r="F290" s="5413">
        <f t="array" ref="F290">IFERROR(VLOOKUP(E272,Dex!$B$3:$N1218,13,FALSE),"")</f>
        <v>108</v>
      </c>
      <c r="G290" s="5414" t="str">
        <f t="array" ref="G290">IFERROR(VLOOKUP(F290,Dex!$P$22:$Q$276,2,FALSE),"")</f>
        <v/>
      </c>
      <c r="H290" s="5415">
        <v>252.0</v>
      </c>
      <c r="I290" s="5406"/>
      <c r="J290" s="5412" t="s">
        <v>197</v>
      </c>
      <c r="K290" s="5413">
        <f t="array" ref="K290">IFERROR(VLOOKUP(J272,Dex!$B$3:$N1218,13,FALSE),"")</f>
        <v>102</v>
      </c>
      <c r="L290" s="5414" t="str">
        <f t="array" ref="L290">IFERROR(VLOOKUP(K290,Dex!$P$22:$Q$276,2,FALSE),"")</f>
        <v/>
      </c>
      <c r="M290" s="5415">
        <v>252.0</v>
      </c>
      <c r="N290" s="5394"/>
      <c r="O290" s="5412" t="s">
        <v>197</v>
      </c>
      <c r="P290" s="5413">
        <f t="array" ref="P290">IFERROR(VLOOKUP(O272,Dex!$B$3:$N1218,13,FALSE),"")</f>
        <v>52</v>
      </c>
      <c r="Q290" s="5414" t="str">
        <f t="array" ref="Q290">IFERROR(VLOOKUP(P290,Dex!$P$22:$Q$276,2,FALSE),"")</f>
        <v/>
      </c>
      <c r="R290" s="5415">
        <v>252.0</v>
      </c>
      <c r="S290" s="5407"/>
      <c r="T290" s="5412" t="s">
        <v>197</v>
      </c>
      <c r="U290" s="5413">
        <f t="array" ref="U290">IFERROR(VLOOKUP(T272,Dex!$B$3:$N1218,13,FALSE),"")</f>
        <v>77</v>
      </c>
      <c r="V290" s="5414" t="str">
        <f t="array" ref="V290">IFERROR(VLOOKUP(U290,Dex!$P$22:$Q$276,2,FALSE),"")</f>
        <v/>
      </c>
      <c r="W290" s="5415">
        <v>6.0</v>
      </c>
      <c r="X290" s="5407"/>
      <c r="Y290" s="5412" t="s">
        <v>197</v>
      </c>
      <c r="Z290" s="5413">
        <f t="array" ref="Z290">IFERROR(VLOOKUP(Y272,Dex!$B$3:$N1218,13,FALSE),"")</f>
        <v>75</v>
      </c>
      <c r="AA290" s="5414" t="str">
        <f t="array" ref="AA290">IFERROR(VLOOKUP(Z290,Dex!$P$22:$Q$276,2,FALSE),"")</f>
        <v/>
      </c>
      <c r="AB290" s="5415">
        <v>6.0</v>
      </c>
      <c r="AC290" s="5407"/>
      <c r="AD290" s="5412" t="s">
        <v>197</v>
      </c>
      <c r="AE290" s="5413">
        <f t="array" ref="AE290">IFERROR(VLOOKUP(AD272,Dex!$B$3:$N1218,13,FALSE),"")</f>
        <v>80</v>
      </c>
      <c r="AF290" s="5414" t="str">
        <f t="array" ref="AF290">IFERROR(VLOOKUP(AE290,Dex!$P$22:$Q$276,2,FALSE),"")</f>
        <v/>
      </c>
      <c r="AG290" s="5415">
        <v>252.0</v>
      </c>
      <c r="AH290" s="5401"/>
      <c r="AI290" s="6192"/>
    </row>
    <row r="291" ht="16.5" customHeight="1">
      <c r="A291" s="6185"/>
      <c r="B291" s="5393"/>
      <c r="C291" s="5387"/>
      <c r="D291" s="5398"/>
      <c r="E291" s="5416" t="s">
        <v>198</v>
      </c>
      <c r="F291" s="405"/>
      <c r="G291" s="406"/>
      <c r="H291" s="5417">
        <v>346.0</v>
      </c>
      <c r="I291" s="5397"/>
      <c r="J291" s="5416" t="s">
        <v>198</v>
      </c>
      <c r="K291" s="405"/>
      <c r="L291" s="406"/>
      <c r="M291" s="5417">
        <v>333.0</v>
      </c>
      <c r="N291" s="5398"/>
      <c r="O291" s="5416" t="s">
        <v>198</v>
      </c>
      <c r="P291" s="405"/>
      <c r="Q291" s="406"/>
      <c r="R291" s="5417">
        <v>203.0</v>
      </c>
      <c r="S291" s="5400"/>
      <c r="T291" s="5416" t="s">
        <v>198</v>
      </c>
      <c r="U291" s="405"/>
      <c r="V291" s="406"/>
      <c r="W291" s="5417">
        <v>191.0</v>
      </c>
      <c r="X291" s="5400"/>
      <c r="Y291" s="5416" t="s">
        <v>198</v>
      </c>
      <c r="Z291" s="405"/>
      <c r="AA291" s="406"/>
      <c r="AB291" s="5417">
        <v>187.0</v>
      </c>
      <c r="AC291" s="5400"/>
      <c r="AD291" s="5416" t="s">
        <v>198</v>
      </c>
      <c r="AE291" s="405"/>
      <c r="AF291" s="406"/>
      <c r="AG291" s="5417">
        <v>284.0</v>
      </c>
      <c r="AH291" s="5401"/>
      <c r="AI291" s="6192"/>
    </row>
    <row r="292" ht="15.0" customHeight="1">
      <c r="A292" s="6185"/>
      <c r="B292" s="5428"/>
      <c r="C292" s="5429"/>
      <c r="D292" s="5429"/>
      <c r="E292" s="6321"/>
      <c r="F292" s="6321"/>
      <c r="G292" s="6321"/>
      <c r="H292" s="5429"/>
      <c r="I292" s="5429"/>
      <c r="J292" s="6321"/>
      <c r="K292" s="6321"/>
      <c r="L292" s="6321"/>
      <c r="M292" s="5429"/>
      <c r="N292" s="5429"/>
      <c r="O292" s="6322"/>
      <c r="P292" s="6322"/>
      <c r="Q292" s="6322"/>
      <c r="R292" s="5429"/>
      <c r="S292" s="5429"/>
      <c r="T292" s="6323"/>
      <c r="U292" s="6323"/>
      <c r="V292" s="6323"/>
      <c r="W292" s="5429"/>
      <c r="X292" s="5429"/>
      <c r="Y292" s="6323"/>
      <c r="Z292" s="6323"/>
      <c r="AA292" s="6323"/>
      <c r="AB292" s="5429"/>
      <c r="AC292" s="5429"/>
      <c r="AD292" s="6321"/>
      <c r="AE292" s="6321"/>
      <c r="AF292" s="6321"/>
      <c r="AG292" s="5429"/>
      <c r="AH292" s="5432"/>
      <c r="AI292" s="6192"/>
    </row>
    <row r="293" ht="15.0" customHeight="1">
      <c r="A293" s="6185"/>
      <c r="B293" s="6324"/>
      <c r="C293" s="6325"/>
      <c r="D293" s="6326"/>
      <c r="E293" s="6326"/>
      <c r="F293" s="6326"/>
      <c r="G293" s="6326"/>
      <c r="H293" s="6326"/>
      <c r="I293" s="6327"/>
      <c r="J293" s="6326"/>
      <c r="K293" s="6326"/>
      <c r="L293" s="6326"/>
      <c r="M293" s="6326"/>
      <c r="N293" s="6327"/>
      <c r="O293" s="6326"/>
      <c r="P293" s="6326"/>
      <c r="Q293" s="6326"/>
      <c r="R293" s="6326"/>
      <c r="S293" s="6327"/>
      <c r="T293" s="6326"/>
      <c r="U293" s="6326"/>
      <c r="V293" s="6326"/>
      <c r="W293" s="6326"/>
      <c r="X293" s="6327"/>
      <c r="Y293" s="6326"/>
      <c r="Z293" s="6326"/>
      <c r="AA293" s="6326"/>
      <c r="AB293" s="6326"/>
      <c r="AC293" s="6327"/>
      <c r="AD293" s="6326"/>
      <c r="AE293" s="6326"/>
      <c r="AF293" s="6326"/>
      <c r="AG293" s="6326"/>
      <c r="AH293" s="6328"/>
      <c r="AI293" s="6192"/>
    </row>
    <row r="294" ht="96.75" customHeight="1">
      <c r="A294" s="6185"/>
      <c r="B294" s="6329"/>
      <c r="C294" s="6330" t="str">
        <f>IMAGE("https://i.ibb.co/qNMR4cv/SwimmerF.png")</f>
        <v/>
      </c>
      <c r="D294" s="6331"/>
      <c r="E294" s="6332" t="str">
        <f t="array" ref="E294">IFERROR(VLOOKUP(E295,Dex!$B$3:$G1218,3,FALSE),"")</f>
        <v/>
      </c>
      <c r="F294" s="1830"/>
      <c r="G294" s="1830"/>
      <c r="H294" s="1831"/>
      <c r="I294" s="6333"/>
      <c r="J294" s="6332" t="str">
        <f t="array" ref="J294">IFERROR(VLOOKUP(J295,Dex!$B$3:$G1218,3,FALSE),"")</f>
        <v/>
      </c>
      <c r="K294" s="1830"/>
      <c r="L294" s="1830"/>
      <c r="M294" s="1831"/>
      <c r="N294" s="6333"/>
      <c r="O294" s="6332" t="str">
        <f t="array" ref="O294">IFERROR(VLOOKUP(O295,Dex!$B$3:$G1218,3,FALSE),"")</f>
        <v/>
      </c>
      <c r="P294" s="1830"/>
      <c r="Q294" s="1830"/>
      <c r="R294" s="1831"/>
      <c r="S294" s="6334"/>
      <c r="T294" s="6335"/>
      <c r="U294" s="6336"/>
      <c r="V294" s="6336"/>
      <c r="W294" s="6337"/>
      <c r="X294" s="6334"/>
      <c r="Y294" s="6335"/>
      <c r="Z294" s="6336"/>
      <c r="AA294" s="6336"/>
      <c r="AB294" s="6337"/>
      <c r="AC294" s="6334"/>
      <c r="AD294" s="6335"/>
      <c r="AE294" s="6336"/>
      <c r="AF294" s="6336"/>
      <c r="AG294" s="6337"/>
      <c r="AH294" s="6338"/>
      <c r="AI294" s="6192"/>
    </row>
    <row r="295" ht="18.75" customHeight="1">
      <c r="A295" s="6140"/>
      <c r="B295" s="6339"/>
      <c r="C295" s="6340" t="s">
        <v>1620</v>
      </c>
      <c r="D295" s="6341"/>
      <c r="E295" s="6342" t="s">
        <v>1227</v>
      </c>
      <c r="F295" s="6343"/>
      <c r="G295" s="6343"/>
      <c r="H295" s="6344"/>
      <c r="I295" s="6333"/>
      <c r="J295" s="6342" t="s">
        <v>1621</v>
      </c>
      <c r="K295" s="6343"/>
      <c r="L295" s="6343"/>
      <c r="M295" s="6344"/>
      <c r="N295" s="6333"/>
      <c r="O295" s="6342" t="s">
        <v>1622</v>
      </c>
      <c r="P295" s="6343"/>
      <c r="Q295" s="6343"/>
      <c r="R295" s="6344"/>
      <c r="S295" s="6333"/>
      <c r="T295" s="6345"/>
      <c r="U295" s="6336"/>
      <c r="V295" s="6336"/>
      <c r="W295" s="6337"/>
      <c r="X295" s="6333"/>
      <c r="Y295" s="6345"/>
      <c r="Z295" s="6336"/>
      <c r="AA295" s="6336"/>
      <c r="AB295" s="6337"/>
      <c r="AC295" s="6333"/>
      <c r="AD295" s="6345"/>
      <c r="AE295" s="6336"/>
      <c r="AF295" s="6336"/>
      <c r="AG295" s="6337"/>
      <c r="AH295" s="6346"/>
      <c r="AI295" s="6149"/>
    </row>
    <row r="296">
      <c r="A296" s="6125"/>
      <c r="B296" s="6329"/>
      <c r="C296" s="1481"/>
      <c r="D296" s="6347"/>
      <c r="E296" s="6348" t="s">
        <v>1502</v>
      </c>
      <c r="F296" s="6349"/>
      <c r="G296" s="6349"/>
      <c r="H296" s="6350"/>
      <c r="I296" s="6333"/>
      <c r="J296" s="6348" t="s">
        <v>1623</v>
      </c>
      <c r="K296" s="6349"/>
      <c r="L296" s="6349"/>
      <c r="M296" s="6350"/>
      <c r="N296" s="6333"/>
      <c r="O296" s="6348" t="s">
        <v>1502</v>
      </c>
      <c r="P296" s="6349"/>
      <c r="Q296" s="6349"/>
      <c r="R296" s="6350"/>
      <c r="S296" s="6334"/>
      <c r="T296" s="6335"/>
      <c r="U296" s="6336"/>
      <c r="V296" s="6336"/>
      <c r="W296" s="6337"/>
      <c r="X296" s="6334"/>
      <c r="Y296" s="6335"/>
      <c r="Z296" s="6336"/>
      <c r="AA296" s="6336"/>
      <c r="AB296" s="6337"/>
      <c r="AC296" s="6334"/>
      <c r="AD296" s="6335"/>
      <c r="AE296" s="6336"/>
      <c r="AF296" s="6336"/>
      <c r="AG296" s="6337"/>
      <c r="AH296" s="6338"/>
      <c r="AI296" s="6129"/>
    </row>
    <row r="297" ht="25.5" customHeight="1">
      <c r="A297" s="6125"/>
      <c r="B297" s="6329"/>
      <c r="C297" s="1489"/>
      <c r="D297" s="6334"/>
      <c r="E297" s="6351"/>
      <c r="F297" s="6352" t="str">
        <f t="array" ref="F297">IFERROR(VLOOKUP(E295,Dex!$B$3:$H1218,5,FALSE),"")</f>
        <v/>
      </c>
      <c r="G297" s="6353"/>
      <c r="H297" s="6354"/>
      <c r="I297" s="6333"/>
      <c r="J297" s="6351"/>
      <c r="K297" s="6355" t="str">
        <f t="array" ref="K297">IFERROR(VLOOKUP(J295,Dex!$B$3:$H1218,5,FALSE),"")</f>
        <v/>
      </c>
      <c r="L297" s="6356" t="str">
        <f t="array" ref="L297">IFERROR(VLOOKUP(J295,Dex!$B$3:$H1218,7,FALSE),"")</f>
        <v/>
      </c>
      <c r="M297" s="6354"/>
      <c r="N297" s="6333"/>
      <c r="O297" s="6351"/>
      <c r="P297" s="6355" t="str">
        <f t="array" ref="P297">IFERROR(VLOOKUP(O295,Dex!$B$3:$H1218,5,FALSE),"")</f>
        <v/>
      </c>
      <c r="Q297" s="6356" t="str">
        <f t="array" ref="Q297">IFERROR(VLOOKUP(O295,Dex!$B$3:$H1218,7,FALSE),"")</f>
        <v/>
      </c>
      <c r="R297" s="6354"/>
      <c r="S297" s="6334"/>
      <c r="T297" s="6335"/>
      <c r="U297" s="6336"/>
      <c r="V297" s="6336"/>
      <c r="W297" s="6337"/>
      <c r="X297" s="6334"/>
      <c r="Y297" s="6335"/>
      <c r="Z297" s="6336"/>
      <c r="AA297" s="6336"/>
      <c r="AB297" s="6337"/>
      <c r="AC297" s="6334"/>
      <c r="AD297" s="6335"/>
      <c r="AE297" s="6336"/>
      <c r="AF297" s="6336"/>
      <c r="AG297" s="6337"/>
      <c r="AH297" s="6338"/>
      <c r="AI297" s="6129"/>
    </row>
    <row r="298" ht="2.25" customHeight="1">
      <c r="A298" s="6125"/>
      <c r="B298" s="6329"/>
      <c r="C298" s="6357"/>
      <c r="D298" s="6334"/>
      <c r="E298" s="6358"/>
      <c r="F298" s="6359"/>
      <c r="G298" s="6359"/>
      <c r="H298" s="6360"/>
      <c r="I298" s="6333"/>
      <c r="J298" s="6358"/>
      <c r="K298" s="6359"/>
      <c r="L298" s="6359"/>
      <c r="M298" s="6360"/>
      <c r="N298" s="6333"/>
      <c r="O298" s="6358"/>
      <c r="P298" s="6359"/>
      <c r="Q298" s="6359"/>
      <c r="R298" s="6360"/>
      <c r="S298" s="6334"/>
      <c r="T298" s="6334"/>
      <c r="U298" s="6334"/>
      <c r="V298" s="6334"/>
      <c r="W298" s="6334"/>
      <c r="X298" s="6334"/>
      <c r="Y298" s="6334"/>
      <c r="Z298" s="6334"/>
      <c r="AA298" s="6334"/>
      <c r="AB298" s="6334"/>
      <c r="AC298" s="6334"/>
      <c r="AD298" s="6334"/>
      <c r="AE298" s="6334"/>
      <c r="AF298" s="6334"/>
      <c r="AG298" s="6334"/>
      <c r="AH298" s="6338"/>
      <c r="AI298" s="6129"/>
    </row>
    <row r="299" ht="20.25" customHeight="1">
      <c r="A299" s="6125"/>
      <c r="B299" s="6329"/>
      <c r="C299" s="6361"/>
      <c r="D299" s="6334"/>
      <c r="E299" s="6362" t="s">
        <v>263</v>
      </c>
      <c r="F299" s="6363"/>
      <c r="G299" s="6363"/>
      <c r="H299" s="6364"/>
      <c r="I299" s="6333"/>
      <c r="J299" s="6362" t="s">
        <v>263</v>
      </c>
      <c r="K299" s="6363"/>
      <c r="L299" s="6363"/>
      <c r="M299" s="6364"/>
      <c r="N299" s="6333"/>
      <c r="O299" s="6362" t="s">
        <v>231</v>
      </c>
      <c r="P299" s="6363"/>
      <c r="Q299" s="6363"/>
      <c r="R299" s="6364"/>
      <c r="S299" s="6334"/>
      <c r="T299" s="6335"/>
      <c r="U299" s="6336"/>
      <c r="V299" s="6336"/>
      <c r="W299" s="6337"/>
      <c r="X299" s="6334"/>
      <c r="Y299" s="6335"/>
      <c r="Z299" s="6336"/>
      <c r="AA299" s="6336"/>
      <c r="AB299" s="6337"/>
      <c r="AC299" s="6334"/>
      <c r="AD299" s="6335"/>
      <c r="AE299" s="6336"/>
      <c r="AF299" s="6336"/>
      <c r="AG299" s="6337"/>
      <c r="AH299" s="6338"/>
      <c r="AI299" s="6129"/>
    </row>
    <row r="300" ht="20.25" customHeight="1">
      <c r="A300" s="6125"/>
      <c r="B300" s="6329"/>
      <c r="C300" s="6361"/>
      <c r="D300" s="6334"/>
      <c r="E300" s="6365" t="s">
        <v>914</v>
      </c>
      <c r="F300" s="6336"/>
      <c r="G300" s="6336"/>
      <c r="H300" s="6366"/>
      <c r="I300" s="6333"/>
      <c r="J300" s="6365" t="s">
        <v>552</v>
      </c>
      <c r="K300" s="6336"/>
      <c r="L300" s="6336"/>
      <c r="M300" s="6366"/>
      <c r="N300" s="6333"/>
      <c r="O300" s="6365" t="s">
        <v>1331</v>
      </c>
      <c r="P300" s="6336"/>
      <c r="Q300" s="6336"/>
      <c r="R300" s="6366"/>
      <c r="S300" s="6334"/>
      <c r="T300" s="6335"/>
      <c r="U300" s="6336"/>
      <c r="V300" s="6336"/>
      <c r="W300" s="6337"/>
      <c r="X300" s="6334"/>
      <c r="Y300" s="6335"/>
      <c r="Z300" s="6336"/>
      <c r="AA300" s="6336"/>
      <c r="AB300" s="6337"/>
      <c r="AC300" s="6334"/>
      <c r="AD300" s="6335"/>
      <c r="AE300" s="6336"/>
      <c r="AF300" s="6336"/>
      <c r="AG300" s="6337"/>
      <c r="AH300" s="6338"/>
      <c r="AI300" s="6129"/>
    </row>
    <row r="301" ht="20.25" customHeight="1">
      <c r="A301" s="6125"/>
      <c r="B301" s="6329"/>
      <c r="C301" s="6361"/>
      <c r="D301" s="6334"/>
      <c r="E301" s="6367" t="s">
        <v>213</v>
      </c>
      <c r="F301" s="6368"/>
      <c r="G301" s="6369"/>
      <c r="H301" s="6370" t="str">
        <f>IMAGE("https://raw.githubusercontent.com/msikma/pokesprite/master/items/berry/sitrus.png",3)</f>
        <v/>
      </c>
      <c r="I301" s="6333"/>
      <c r="J301" s="6367" t="s">
        <v>394</v>
      </c>
      <c r="K301" s="6368"/>
      <c r="L301" s="6369"/>
      <c r="M301" s="6370" t="str">
        <f>IMAGE("https://raw.githubusercontent.com/msikma/pokesprite/master/items/hold-item/leftovers.png",3)</f>
        <v/>
      </c>
      <c r="N301" s="6333"/>
      <c r="O301" s="6367" t="s">
        <v>213</v>
      </c>
      <c r="P301" s="6368"/>
      <c r="Q301" s="6369"/>
      <c r="R301" s="6370" t="str">
        <f>IMAGE("https://raw.githubusercontent.com/msikma/pokesprite/master/items/berry/sitrus.png",3)</f>
        <v/>
      </c>
      <c r="S301" s="6334"/>
      <c r="T301" s="6335"/>
      <c r="U301" s="6336"/>
      <c r="V301" s="6336"/>
      <c r="W301" s="6337"/>
      <c r="X301" s="6334"/>
      <c r="Y301" s="6335"/>
      <c r="Z301" s="6336"/>
      <c r="AA301" s="6336"/>
      <c r="AB301" s="6337"/>
      <c r="AC301" s="6334"/>
      <c r="AD301" s="6335"/>
      <c r="AE301" s="6336"/>
      <c r="AF301" s="6336"/>
      <c r="AG301" s="6337"/>
      <c r="AH301" s="6338"/>
      <c r="AI301" s="6129"/>
    </row>
    <row r="302" ht="20.25" customHeight="1">
      <c r="A302" s="6125"/>
      <c r="B302" s="6329"/>
      <c r="C302" s="6371"/>
      <c r="D302" s="6334"/>
      <c r="E302" s="6362" t="s">
        <v>338</v>
      </c>
      <c r="F302" s="6363"/>
      <c r="G302" s="6372"/>
      <c r="H302" s="6373" t="str">
        <f>IMAGE("https://raw.githubusercontent.com/msikma/pokesprite/master/misc/types/gen8/water.png",4,20,20)</f>
        <v/>
      </c>
      <c r="I302" s="6333"/>
      <c r="J302" s="6362" t="s">
        <v>923</v>
      </c>
      <c r="K302" s="6363"/>
      <c r="L302" s="6372"/>
      <c r="M302" s="6373" t="str">
        <f>IMAGE("https://raw.githubusercontent.com/msikma/pokesprite/master/misc/types/gen8/ground.png",4,20,20)</f>
        <v/>
      </c>
      <c r="N302" s="6333"/>
      <c r="O302" s="6362" t="s">
        <v>246</v>
      </c>
      <c r="P302" s="6363"/>
      <c r="Q302" s="6372"/>
      <c r="R302" s="6373" t="str">
        <f>IMAGE("https://raw.githubusercontent.com/msikma/pokesprite/master/misc/types/gen8/water.png",4,20,20)</f>
        <v/>
      </c>
      <c r="S302" s="6334"/>
      <c r="T302" s="6335"/>
      <c r="U302" s="6336"/>
      <c r="V302" s="6336"/>
      <c r="W302" s="6337"/>
      <c r="X302" s="6334"/>
      <c r="Y302" s="6335"/>
      <c r="Z302" s="6336"/>
      <c r="AA302" s="6336"/>
      <c r="AB302" s="6337"/>
      <c r="AC302" s="6334"/>
      <c r="AD302" s="6335"/>
      <c r="AE302" s="6336"/>
      <c r="AF302" s="6336"/>
      <c r="AG302" s="6337"/>
      <c r="AH302" s="6338"/>
      <c r="AI302" s="6129"/>
    </row>
    <row r="303" ht="20.25" customHeight="1">
      <c r="A303" s="6125"/>
      <c r="B303" s="6329"/>
      <c r="C303" s="6374"/>
      <c r="D303" s="6334"/>
      <c r="E303" s="6365" t="s">
        <v>317</v>
      </c>
      <c r="F303" s="6336"/>
      <c r="G303" s="6337"/>
      <c r="H303" s="6375" t="str">
        <f>IMAGE("https://raw.githubusercontent.com/msikma/pokesprite/master/misc/types/gen8/ice.png",4,20,20)</f>
        <v/>
      </c>
      <c r="I303" s="6333"/>
      <c r="J303" s="6365" t="s">
        <v>464</v>
      </c>
      <c r="K303" s="6336"/>
      <c r="L303" s="6337"/>
      <c r="M303" s="6375" t="str">
        <f>IMAGE("https://raw.githubusercontent.com/msikma/pokesprite/master/misc/types/gen8/fairy.png",4,20,20)</f>
        <v/>
      </c>
      <c r="N303" s="6333"/>
      <c r="O303" s="6365" t="s">
        <v>317</v>
      </c>
      <c r="P303" s="6336"/>
      <c r="Q303" s="6337"/>
      <c r="R303" s="6375" t="str">
        <f>IMAGE("https://raw.githubusercontent.com/msikma/pokesprite/master/misc/types/gen8/ice.png",4,20,20)</f>
        <v/>
      </c>
      <c r="S303" s="6334"/>
      <c r="T303" s="6335"/>
      <c r="U303" s="6336"/>
      <c r="V303" s="6336"/>
      <c r="W303" s="6337"/>
      <c r="X303" s="6334"/>
      <c r="Y303" s="6335"/>
      <c r="Z303" s="6336"/>
      <c r="AA303" s="6336"/>
      <c r="AB303" s="6337"/>
      <c r="AC303" s="6334"/>
      <c r="AD303" s="6335"/>
      <c r="AE303" s="6336"/>
      <c r="AF303" s="6336"/>
      <c r="AG303" s="6337"/>
      <c r="AH303" s="6338"/>
      <c r="AI303" s="6129"/>
    </row>
    <row r="304" ht="20.25" customHeight="1">
      <c r="A304" s="6125"/>
      <c r="B304" s="6329"/>
      <c r="C304" s="6374"/>
      <c r="D304" s="6334"/>
      <c r="E304" s="6365" t="s">
        <v>223</v>
      </c>
      <c r="F304" s="6336"/>
      <c r="G304" s="6337"/>
      <c r="H304" s="6375" t="str">
        <f>IMAGE("https://raw.githubusercontent.com/msikma/pokesprite/master/misc/types/gen8/grass.png",4,20,20)</f>
        <v/>
      </c>
      <c r="I304" s="6333"/>
      <c r="J304" s="6365" t="s">
        <v>246</v>
      </c>
      <c r="K304" s="6336"/>
      <c r="L304" s="6337"/>
      <c r="M304" s="6375" t="str">
        <f>IMAGE("https://raw.githubusercontent.com/msikma/pokesprite/master/misc/types/gen8/water.png",4,20,20)</f>
        <v/>
      </c>
      <c r="N304" s="6333"/>
      <c r="O304" s="6365" t="s">
        <v>633</v>
      </c>
      <c r="P304" s="6336"/>
      <c r="Q304" s="6337"/>
      <c r="R304" s="6375" t="str">
        <f>IMAGE("https://raw.githubusercontent.com/msikma/pokesprite/master/misc/types/gen8/psychic.png",4,20,20)</f>
        <v/>
      </c>
      <c r="S304" s="6334"/>
      <c r="T304" s="6335"/>
      <c r="U304" s="6336"/>
      <c r="V304" s="6336"/>
      <c r="W304" s="6337"/>
      <c r="X304" s="6334"/>
      <c r="Y304" s="6335"/>
      <c r="Z304" s="6336"/>
      <c r="AA304" s="6336"/>
      <c r="AB304" s="6337"/>
      <c r="AC304" s="6334"/>
      <c r="AD304" s="6335"/>
      <c r="AE304" s="6336"/>
      <c r="AF304" s="6336"/>
      <c r="AG304" s="6337"/>
      <c r="AH304" s="6338"/>
      <c r="AI304" s="6129"/>
    </row>
    <row r="305" ht="21.0" customHeight="1">
      <c r="A305" s="6125"/>
      <c r="B305" s="6329"/>
      <c r="C305" s="6374"/>
      <c r="D305" s="6334"/>
      <c r="E305" s="6376" t="s">
        <v>1324</v>
      </c>
      <c r="F305" s="6377"/>
      <c r="G305" s="6378"/>
      <c r="H305" s="6379" t="str">
        <f>IMAGE("https://raw.githubusercontent.com/msikma/pokesprite/master/misc/types/gen8/ice.png",4,20,20)</f>
        <v/>
      </c>
      <c r="I305" s="6333"/>
      <c r="J305" s="6376" t="s">
        <v>221</v>
      </c>
      <c r="K305" s="6377"/>
      <c r="L305" s="6378"/>
      <c r="M305" s="6379" t="str">
        <f>IMAGE("https://raw.githubusercontent.com/msikma/pokesprite/master/misc/types/gen8/normal.png",4,20,20)</f>
        <v/>
      </c>
      <c r="N305" s="6333"/>
      <c r="O305" s="6376" t="s">
        <v>185</v>
      </c>
      <c r="P305" s="6377"/>
      <c r="Q305" s="6378"/>
      <c r="R305" s="6379" t="str">
        <f>IMAGE("https://raw.githubusercontent.com/msikma/pokesprite/master/misc/types/gen8/normal.png",4,20,20)</f>
        <v/>
      </c>
      <c r="S305" s="6334"/>
      <c r="T305" s="6335"/>
      <c r="U305" s="6336"/>
      <c r="V305" s="6336"/>
      <c r="W305" s="6337"/>
      <c r="X305" s="6334"/>
      <c r="Y305" s="6335"/>
      <c r="Z305" s="6336"/>
      <c r="AA305" s="6336"/>
      <c r="AB305" s="6337"/>
      <c r="AC305" s="6334"/>
      <c r="AD305" s="6335"/>
      <c r="AE305" s="6336"/>
      <c r="AF305" s="6336"/>
      <c r="AG305" s="6337"/>
      <c r="AH305" s="6338"/>
      <c r="AI305" s="6129"/>
    </row>
    <row r="306" ht="3.0" customHeight="1">
      <c r="A306" s="6185"/>
      <c r="B306" s="6380"/>
      <c r="C306" s="6381"/>
      <c r="D306" s="6382"/>
      <c r="E306" s="6383"/>
      <c r="F306" s="6383"/>
      <c r="G306" s="6383"/>
      <c r="H306" s="6383"/>
      <c r="I306" s="6382"/>
      <c r="J306" s="6384"/>
      <c r="K306" s="6384"/>
      <c r="L306" s="6384"/>
      <c r="M306" s="6383"/>
      <c r="N306" s="6382"/>
      <c r="O306" s="6384"/>
      <c r="P306" s="6384"/>
      <c r="Q306" s="6384"/>
      <c r="R306" s="6383"/>
      <c r="S306" s="6383"/>
      <c r="T306" s="6383"/>
      <c r="U306" s="6383"/>
      <c r="V306" s="6383"/>
      <c r="W306" s="6383"/>
      <c r="X306" s="6382"/>
      <c r="Y306" s="6383"/>
      <c r="Z306" s="6383"/>
      <c r="AA306" s="6383"/>
      <c r="AB306" s="6383"/>
      <c r="AC306" s="6385"/>
      <c r="AD306" s="6383"/>
      <c r="AE306" s="6383"/>
      <c r="AF306" s="6383"/>
      <c r="AG306" s="6383"/>
      <c r="AH306" s="6386"/>
      <c r="AI306" s="6192"/>
    </row>
    <row r="307" ht="16.5" customHeight="1">
      <c r="A307" s="6185"/>
      <c r="B307" s="6387"/>
      <c r="C307" s="6381"/>
      <c r="D307" s="6388"/>
      <c r="E307" s="6389" t="s">
        <v>190</v>
      </c>
      <c r="F307" s="381"/>
      <c r="G307" s="382"/>
      <c r="H307" s="6390" t="s">
        <v>191</v>
      </c>
      <c r="I307" s="6391"/>
      <c r="J307" s="6389" t="s">
        <v>190</v>
      </c>
      <c r="K307" s="381"/>
      <c r="L307" s="382"/>
      <c r="M307" s="6390" t="s">
        <v>191</v>
      </c>
      <c r="N307" s="6392"/>
      <c r="O307" s="6389" t="s">
        <v>190</v>
      </c>
      <c r="P307" s="381"/>
      <c r="Q307" s="382"/>
      <c r="R307" s="6390" t="s">
        <v>191</v>
      </c>
      <c r="S307" s="6382"/>
      <c r="T307" s="6334"/>
      <c r="U307" s="6334"/>
      <c r="V307" s="6334"/>
      <c r="W307" s="6334"/>
      <c r="X307" s="6334"/>
      <c r="Y307" s="6334"/>
      <c r="Z307" s="6334"/>
      <c r="AA307" s="6334"/>
      <c r="AB307" s="6334"/>
      <c r="AC307" s="6334"/>
      <c r="AD307" s="6334"/>
      <c r="AE307" s="6334"/>
      <c r="AF307" s="6334"/>
      <c r="AG307" s="6393"/>
      <c r="AH307" s="6394"/>
      <c r="AI307" s="6192"/>
    </row>
    <row r="308" ht="16.5" customHeight="1">
      <c r="A308" s="6185"/>
      <c r="B308" s="6387"/>
      <c r="C308" s="6381"/>
      <c r="D308" s="6388"/>
      <c r="E308" s="6395" t="s">
        <v>192</v>
      </c>
      <c r="F308" s="6396">
        <f t="array" ref="F308">IFERROR(VLOOKUP(E295,Dex!$B$3:$N1218,8,FALSE),"")</f>
        <v>95</v>
      </c>
      <c r="G308" s="6397" t="str">
        <f t="array" ref="G308">IFERROR(VLOOKUP(F308,Dex!$P$22:$Q$276,2,FALSE),"")</f>
        <v/>
      </c>
      <c r="H308" s="6398">
        <v>252.0</v>
      </c>
      <c r="I308" s="6399"/>
      <c r="J308" s="6395" t="s">
        <v>192</v>
      </c>
      <c r="K308" s="6396">
        <f t="array" ref="K308">IFERROR(VLOOKUP(J295,Dex!$B$3:$N1218,8,FALSE),"")</f>
        <v>95</v>
      </c>
      <c r="L308" s="6397" t="str">
        <f t="array" ref="L308">IFERROR(VLOOKUP(K308,Dex!$P$22:$Q$276,2,FALSE),"")</f>
        <v/>
      </c>
      <c r="M308" s="6398">
        <v>252.0</v>
      </c>
      <c r="N308" s="6388"/>
      <c r="O308" s="6395" t="s">
        <v>192</v>
      </c>
      <c r="P308" s="6396">
        <f t="array" ref="P308">IFERROR(VLOOKUP(O295,Dex!$B$3:$N1218,8,FALSE),"")</f>
        <v>95</v>
      </c>
      <c r="Q308" s="6397" t="str">
        <f t="array" ref="Q308">IFERROR(VLOOKUP(P308,Dex!$P$22:$Q$276,2,FALSE),"")</f>
        <v/>
      </c>
      <c r="R308" s="6398">
        <v>252.0</v>
      </c>
      <c r="S308" s="6400"/>
      <c r="T308" s="6334"/>
      <c r="U308" s="6334"/>
      <c r="V308" s="6334"/>
      <c r="W308" s="6334"/>
      <c r="X308" s="6334"/>
      <c r="Y308" s="6334"/>
      <c r="Z308" s="6334"/>
      <c r="AA308" s="6334"/>
      <c r="AB308" s="6334"/>
      <c r="AC308" s="6334"/>
      <c r="AD308" s="6334"/>
      <c r="AE308" s="6334"/>
      <c r="AF308" s="6334"/>
      <c r="AG308" s="6393"/>
      <c r="AH308" s="6394"/>
      <c r="AI308" s="6192"/>
    </row>
    <row r="309" ht="16.5" customHeight="1">
      <c r="A309" s="6185"/>
      <c r="B309" s="6387"/>
      <c r="C309" s="6381"/>
      <c r="D309" s="6388"/>
      <c r="E309" s="6401" t="s">
        <v>193</v>
      </c>
      <c r="F309" s="6402">
        <f t="array" ref="F309">IFERROR(VLOOKUP(E295,Dex!$B$3:$N1218,9,FALSE),"")</f>
        <v>60</v>
      </c>
      <c r="G309" s="6403" t="str">
        <f t="array" ref="G309">IFERROR(VLOOKUP(F309,Dex!$P$22:$Q$276,2,FALSE),"")</f>
        <v/>
      </c>
      <c r="H309" s="6404"/>
      <c r="I309" s="6399"/>
      <c r="J309" s="6401" t="s">
        <v>193</v>
      </c>
      <c r="K309" s="6402">
        <f t="array" ref="K309">IFERROR(VLOOKUP(J295,Dex!$B$3:$N1218,9,FALSE),"")</f>
        <v>60</v>
      </c>
      <c r="L309" s="6403" t="str">
        <f t="array" ref="L309">IFERROR(VLOOKUP(K309,Dex!$P$22:$Q$276,2,FALSE),"")</f>
        <v/>
      </c>
      <c r="M309" s="6404"/>
      <c r="N309" s="6388"/>
      <c r="O309" s="6401" t="s">
        <v>193</v>
      </c>
      <c r="P309" s="6402">
        <f t="array" ref="P309">IFERROR(VLOOKUP(O295,Dex!$B$3:$N1218,9,FALSE),"")</f>
        <v>50</v>
      </c>
      <c r="Q309" s="6403" t="str">
        <f t="array" ref="Q309">IFERROR(VLOOKUP(P309,Dex!$P$22:$Q$276,2,FALSE),"")</f>
        <v/>
      </c>
      <c r="R309" s="6404"/>
      <c r="S309" s="6400"/>
      <c r="T309" s="6335"/>
      <c r="U309" s="6336"/>
      <c r="V309" s="6336"/>
      <c r="W309" s="6337"/>
      <c r="X309" s="6335"/>
      <c r="Y309" s="6336"/>
      <c r="Z309" s="6336"/>
      <c r="AA309" s="6337"/>
      <c r="AB309" s="6334"/>
      <c r="AC309" s="6335"/>
      <c r="AD309" s="6336"/>
      <c r="AE309" s="6336"/>
      <c r="AF309" s="6337"/>
      <c r="AG309" s="6393"/>
      <c r="AH309" s="6394"/>
      <c r="AI309" s="6192"/>
    </row>
    <row r="310" ht="16.5" customHeight="1">
      <c r="A310" s="6185"/>
      <c r="B310" s="6387"/>
      <c r="C310" s="6381"/>
      <c r="D310" s="6388"/>
      <c r="E310" s="6401" t="s">
        <v>194</v>
      </c>
      <c r="F310" s="6402">
        <f t="array" ref="F310">IFERROR(VLOOKUP(E295,Dex!$B$3:$N1218,10,FALSE),"")</f>
        <v>84</v>
      </c>
      <c r="G310" s="6403" t="str">
        <f t="array" ref="G310">IFERROR(VLOOKUP(F310,Dex!$P$22:$Q$276,2,FALSE),"")</f>
        <v/>
      </c>
      <c r="H310" s="6404">
        <v>4.0</v>
      </c>
      <c r="I310" s="6399"/>
      <c r="J310" s="6401" t="s">
        <v>194</v>
      </c>
      <c r="K310" s="6402">
        <f t="array" ref="K310">IFERROR(VLOOKUP(J295,Dex!$B$3:$N1218,10,FALSE),"")</f>
        <v>84</v>
      </c>
      <c r="L310" s="6403" t="str">
        <f t="array" ref="L310">IFERROR(VLOOKUP(K310,Dex!$P$22:$Q$276,2,FALSE),"")</f>
        <v/>
      </c>
      <c r="M310" s="6404">
        <v>4.0</v>
      </c>
      <c r="N310" s="6388"/>
      <c r="O310" s="6401" t="s">
        <v>194</v>
      </c>
      <c r="P310" s="6402">
        <f t="array" ref="P310">IFERROR(VLOOKUP(O295,Dex!$B$3:$N1218,10,FALSE),"")</f>
        <v>80</v>
      </c>
      <c r="Q310" s="6403" t="str">
        <f t="array" ref="Q310">IFERROR(VLOOKUP(P310,Dex!$P$22:$Q$276,2,FALSE),"")</f>
        <v/>
      </c>
      <c r="R310" s="6404">
        <v>4.0</v>
      </c>
      <c r="S310" s="6400"/>
      <c r="T310" s="6335"/>
      <c r="U310" s="6336"/>
      <c r="V310" s="6336"/>
      <c r="W310" s="6337"/>
      <c r="X310" s="6335"/>
      <c r="Y310" s="6336"/>
      <c r="Z310" s="6336"/>
      <c r="AA310" s="6337"/>
      <c r="AB310" s="6334"/>
      <c r="AC310" s="6335"/>
      <c r="AD310" s="6336"/>
      <c r="AE310" s="6336"/>
      <c r="AF310" s="6337"/>
      <c r="AG310" s="6393"/>
      <c r="AH310" s="6394"/>
      <c r="AI310" s="6192"/>
    </row>
    <row r="311" ht="16.5" customHeight="1">
      <c r="A311" s="6185"/>
      <c r="B311" s="6387"/>
      <c r="C311" s="6381"/>
      <c r="D311" s="6388"/>
      <c r="E311" s="6401" t="s">
        <v>195</v>
      </c>
      <c r="F311" s="6402">
        <f t="array" ref="F311">IFERROR(VLOOKUP(E295,Dex!$B$3:$N1218,11,FALSE),"")</f>
        <v>100</v>
      </c>
      <c r="G311" s="6403" t="str">
        <f t="array" ref="G311">IFERROR(VLOOKUP(F311,Dex!$P$22:$Q$276,2,FALSE),"")</f>
        <v/>
      </c>
      <c r="H311" s="6404">
        <v>252.0</v>
      </c>
      <c r="I311" s="6399"/>
      <c r="J311" s="6401" t="s">
        <v>195</v>
      </c>
      <c r="K311" s="6402">
        <f t="array" ref="K311">IFERROR(VLOOKUP(J295,Dex!$B$3:$N1218,11,FALSE),"")</f>
        <v>105</v>
      </c>
      <c r="L311" s="6403" t="str">
        <f t="array" ref="L311">IFERROR(VLOOKUP(K311,Dex!$P$22:$Q$276,2,FALSE),"")</f>
        <v/>
      </c>
      <c r="M311" s="6404">
        <v>252.0</v>
      </c>
      <c r="N311" s="6388"/>
      <c r="O311" s="6401" t="s">
        <v>195</v>
      </c>
      <c r="P311" s="6402">
        <f t="array" ref="P311">IFERROR(VLOOKUP(O295,Dex!$B$3:$N1218,11,FALSE),"")</f>
        <v>90</v>
      </c>
      <c r="Q311" s="6403" t="str">
        <f t="array" ref="Q311">IFERROR(VLOOKUP(P311,Dex!$P$22:$Q$276,2,FALSE),"")</f>
        <v/>
      </c>
      <c r="R311" s="6404"/>
      <c r="S311" s="6400"/>
      <c r="T311" s="6334"/>
      <c r="U311" s="6334"/>
      <c r="V311" s="6334"/>
      <c r="W311" s="6334"/>
      <c r="X311" s="6334"/>
      <c r="Y311" s="6334"/>
      <c r="Z311" s="6334"/>
      <c r="AA311" s="6334"/>
      <c r="AB311" s="6334"/>
      <c r="AC311" s="6335"/>
      <c r="AD311" s="6336"/>
      <c r="AE311" s="6336"/>
      <c r="AF311" s="6337"/>
      <c r="AG311" s="6393"/>
      <c r="AH311" s="6394"/>
      <c r="AI311" s="6192"/>
    </row>
    <row r="312" ht="16.5" customHeight="1">
      <c r="A312" s="6185"/>
      <c r="B312" s="6387"/>
      <c r="C312" s="6381"/>
      <c r="D312" s="6388"/>
      <c r="E312" s="6401" t="s">
        <v>196</v>
      </c>
      <c r="F312" s="6402">
        <f t="array" ref="F312">IFERROR(VLOOKUP(E295,Dex!$B$3:$N1218,12,FALSE),"")</f>
        <v>125</v>
      </c>
      <c r="G312" s="6403" t="str">
        <f t="array" ref="G312">IFERROR(VLOOKUP(F312,Dex!$P$22:$Q$276,2,FALSE),"")</f>
        <v/>
      </c>
      <c r="H312" s="6404"/>
      <c r="I312" s="6399"/>
      <c r="J312" s="6401" t="s">
        <v>196</v>
      </c>
      <c r="K312" s="6402">
        <f t="array" ref="K312">IFERROR(VLOOKUP(J295,Dex!$B$3:$N1218,12,FALSE),"")</f>
        <v>125</v>
      </c>
      <c r="L312" s="6403" t="str">
        <f t="array" ref="L312">IFERROR(VLOOKUP(K312,Dex!$P$22:$Q$276,2,FALSE),"")</f>
        <v/>
      </c>
      <c r="M312" s="6404"/>
      <c r="N312" s="6388"/>
      <c r="O312" s="6401" t="s">
        <v>196</v>
      </c>
      <c r="P312" s="6402">
        <f t="array" ref="P312">IFERROR(VLOOKUP(O295,Dex!$B$3:$N1218,12,FALSE),"")</f>
        <v>95</v>
      </c>
      <c r="Q312" s="6403" t="str">
        <f t="array" ref="Q312">IFERROR(VLOOKUP(P312,Dex!$P$22:$Q$276,2,FALSE),"")</f>
        <v/>
      </c>
      <c r="R312" s="6404"/>
      <c r="S312" s="6400"/>
      <c r="T312" s="6334"/>
      <c r="U312" s="6334"/>
      <c r="V312" s="6334"/>
      <c r="W312" s="6334"/>
      <c r="X312" s="6334"/>
      <c r="Y312" s="6334"/>
      <c r="Z312" s="6334"/>
      <c r="AA312" s="6334"/>
      <c r="AB312" s="6334"/>
      <c r="AC312" s="6335"/>
      <c r="AD312" s="6336"/>
      <c r="AE312" s="6336"/>
      <c r="AF312" s="6337"/>
      <c r="AG312" s="6393"/>
      <c r="AH312" s="6394"/>
      <c r="AI312" s="6192"/>
    </row>
    <row r="313" ht="16.5" customHeight="1">
      <c r="A313" s="6185"/>
      <c r="B313" s="6387"/>
      <c r="C313" s="6381"/>
      <c r="D313" s="6388"/>
      <c r="E313" s="6405" t="s">
        <v>197</v>
      </c>
      <c r="F313" s="6406">
        <f t="array" ref="F313">IFERROR(VLOOKUP(E295,Dex!$B$3:$N1218,13,FALSE),"")</f>
        <v>86</v>
      </c>
      <c r="G313" s="6407" t="str">
        <f t="array" ref="G313">IFERROR(VLOOKUP(F313,Dex!$P$22:$Q$276,2,FALSE),"")</f>
        <v/>
      </c>
      <c r="H313" s="6408"/>
      <c r="I313" s="6399"/>
      <c r="J313" s="6405" t="s">
        <v>197</v>
      </c>
      <c r="K313" s="6406">
        <f t="array" ref="K313">IFERROR(VLOOKUP(J295,Dex!$B$3:$N1218,13,FALSE),"")</f>
        <v>81</v>
      </c>
      <c r="L313" s="6407" t="str">
        <f t="array" ref="L313">IFERROR(VLOOKUP(K313,Dex!$P$22:$Q$276,2,FALSE),"")</f>
        <v/>
      </c>
      <c r="M313" s="6408"/>
      <c r="N313" s="6388"/>
      <c r="O313" s="6405" t="s">
        <v>197</v>
      </c>
      <c r="P313" s="6406">
        <f t="array" ref="P313">IFERROR(VLOOKUP(O295,Dex!$B$3:$N1218,13,FALSE),"")</f>
        <v>70</v>
      </c>
      <c r="Q313" s="6407" t="str">
        <f t="array" ref="Q313">IFERROR(VLOOKUP(P313,Dex!$P$22:$Q$276,2,FALSE),"")</f>
        <v/>
      </c>
      <c r="R313" s="6408">
        <v>252.0</v>
      </c>
      <c r="S313" s="6400"/>
      <c r="T313" s="6335"/>
      <c r="U313" s="6336"/>
      <c r="V313" s="6336"/>
      <c r="W313" s="6337"/>
      <c r="X313" s="6334"/>
      <c r="Y313" s="6335"/>
      <c r="Z313" s="6336"/>
      <c r="AA313" s="6336"/>
      <c r="AB313" s="6337"/>
      <c r="AC313" s="6335"/>
      <c r="AD313" s="6336"/>
      <c r="AE313" s="6336"/>
      <c r="AF313" s="6337"/>
      <c r="AG313" s="6334"/>
      <c r="AH313" s="6394"/>
      <c r="AI313" s="6192"/>
    </row>
    <row r="314" ht="16.5" customHeight="1">
      <c r="A314" s="6185"/>
      <c r="B314" s="6387"/>
      <c r="C314" s="6381"/>
      <c r="D314" s="6388"/>
      <c r="E314" s="6409" t="s">
        <v>198</v>
      </c>
      <c r="F314" s="405"/>
      <c r="G314" s="406"/>
      <c r="H314" s="6410">
        <v>208.0</v>
      </c>
      <c r="I314" s="6391"/>
      <c r="J314" s="6409" t="s">
        <v>198</v>
      </c>
      <c r="K314" s="405"/>
      <c r="L314" s="406"/>
      <c r="M314" s="6410">
        <v>196.0</v>
      </c>
      <c r="N314" s="6392"/>
      <c r="O314" s="6409" t="s">
        <v>198</v>
      </c>
      <c r="P314" s="405"/>
      <c r="Q314" s="406"/>
      <c r="R314" s="6410">
        <v>239.0</v>
      </c>
      <c r="S314" s="6400"/>
      <c r="T314" s="6335"/>
      <c r="U314" s="6336"/>
      <c r="V314" s="6336"/>
      <c r="W314" s="6337"/>
      <c r="X314" s="6334"/>
      <c r="Y314" s="6335"/>
      <c r="Z314" s="6336"/>
      <c r="AA314" s="6336"/>
      <c r="AB314" s="6337"/>
      <c r="AC314" s="6335"/>
      <c r="AD314" s="6336"/>
      <c r="AE314" s="6336"/>
      <c r="AF314" s="6337"/>
      <c r="AG314" s="6334"/>
      <c r="AH314" s="6394"/>
      <c r="AI314" s="6192"/>
    </row>
    <row r="315" ht="15.0" customHeight="1">
      <c r="A315" s="6125"/>
      <c r="B315" s="6411"/>
      <c r="C315" s="6412"/>
      <c r="D315" s="6413"/>
      <c r="E315" s="6414"/>
      <c r="F315" s="6414"/>
      <c r="G315" s="6414"/>
      <c r="H315" s="6414"/>
      <c r="I315" s="6415"/>
      <c r="J315" s="6416"/>
      <c r="K315" s="6416"/>
      <c r="L315" s="6416"/>
      <c r="M315" s="6414"/>
      <c r="N315" s="6415"/>
      <c r="O315" s="6416"/>
      <c r="P315" s="6416"/>
      <c r="Q315" s="6416"/>
      <c r="R315" s="6414"/>
      <c r="S315" s="6413"/>
      <c r="T315" s="6417"/>
      <c r="U315" s="6418"/>
      <c r="V315" s="6418"/>
      <c r="W315" s="6419"/>
      <c r="X315" s="6413"/>
      <c r="Y315" s="6417"/>
      <c r="Z315" s="6418"/>
      <c r="AA315" s="6418"/>
      <c r="AB315" s="6419"/>
      <c r="AC315" s="6413"/>
      <c r="AD315" s="6413"/>
      <c r="AE315" s="6413"/>
      <c r="AF315" s="6413"/>
      <c r="AG315" s="6413"/>
      <c r="AH315" s="6420"/>
      <c r="AI315" s="6129"/>
    </row>
    <row r="316" ht="15.0" customHeight="1">
      <c r="A316" s="6185"/>
      <c r="B316" s="6324"/>
      <c r="C316" s="6325"/>
      <c r="D316" s="6326"/>
      <c r="E316" s="6421"/>
      <c r="F316" s="6421"/>
      <c r="G316" s="6421"/>
      <c r="H316" s="6421"/>
      <c r="I316" s="6327"/>
      <c r="J316" s="6421"/>
      <c r="K316" s="6421"/>
      <c r="L316" s="6421"/>
      <c r="M316" s="6421"/>
      <c r="N316" s="6327"/>
      <c r="O316" s="6421"/>
      <c r="P316" s="6421"/>
      <c r="Q316" s="6421"/>
      <c r="R316" s="6421"/>
      <c r="S316" s="6327"/>
      <c r="T316" s="6421"/>
      <c r="U316" s="6421"/>
      <c r="V316" s="6421"/>
      <c r="W316" s="6421"/>
      <c r="X316" s="6327"/>
      <c r="Y316" s="6326"/>
      <c r="Z316" s="6326"/>
      <c r="AA316" s="6326"/>
      <c r="AB316" s="6326"/>
      <c r="AC316" s="6327"/>
      <c r="AD316" s="6326"/>
      <c r="AE316" s="6326"/>
      <c r="AF316" s="6326"/>
      <c r="AG316" s="6326"/>
      <c r="AH316" s="6328"/>
      <c r="AI316" s="6192"/>
    </row>
    <row r="317" ht="96.75" customHeight="1">
      <c r="A317" s="6185"/>
      <c r="B317" s="6329"/>
      <c r="C317" s="6330" t="str">
        <f>IMAGE("https://i.ibb.co/qNMR4cv/SwimmerF.png")</f>
        <v/>
      </c>
      <c r="D317" s="6422"/>
      <c r="E317" s="6332" t="str">
        <f t="array" ref="E317">IFERROR(VLOOKUP(E318,Dex!$B$3:$G1218,3,FALSE),"")</f>
        <v/>
      </c>
      <c r="F317" s="1830"/>
      <c r="G317" s="1830"/>
      <c r="H317" s="1831"/>
      <c r="I317" s="6423"/>
      <c r="J317" s="6332" t="str">
        <f t="array" ref="J317">IFERROR(VLOOKUP(J318,Dex!$B$3:$G1218,3,FALSE),"")</f>
        <v/>
      </c>
      <c r="K317" s="1830"/>
      <c r="L317" s="1830"/>
      <c r="M317" s="1831"/>
      <c r="N317" s="6423"/>
      <c r="O317" s="6332" t="str">
        <f t="array" ref="O317">IFERROR(VLOOKUP(O318,Dex!$B$3:$G1218,3,FALSE),"")</f>
        <v/>
      </c>
      <c r="P317" s="1830"/>
      <c r="Q317" s="1830"/>
      <c r="R317" s="1831"/>
      <c r="S317" s="6424"/>
      <c r="T317" s="6332" t="str">
        <f t="array" ref="T317">IFERROR(VLOOKUP(T318,Dex!$B$3:$G1218,3,FALSE),"")</f>
        <v/>
      </c>
      <c r="U317" s="1830"/>
      <c r="V317" s="1830"/>
      <c r="W317" s="1831"/>
      <c r="X317" s="6425"/>
      <c r="Y317" s="6335"/>
      <c r="Z317" s="6336"/>
      <c r="AA317" s="6336"/>
      <c r="AB317" s="6337"/>
      <c r="AC317" s="6334"/>
      <c r="AD317" s="6335"/>
      <c r="AE317" s="6336"/>
      <c r="AF317" s="6336"/>
      <c r="AG317" s="6337"/>
      <c r="AH317" s="6338"/>
      <c r="AI317" s="6192"/>
    </row>
    <row r="318" ht="18.75" customHeight="1">
      <c r="A318" s="6140"/>
      <c r="B318" s="6339"/>
      <c r="C318" s="6340" t="s">
        <v>1624</v>
      </c>
      <c r="D318" s="6426"/>
      <c r="E318" s="6342" t="s">
        <v>752</v>
      </c>
      <c r="F318" s="6343"/>
      <c r="G318" s="6343"/>
      <c r="H318" s="6344"/>
      <c r="I318" s="6423"/>
      <c r="J318" s="6342" t="s">
        <v>842</v>
      </c>
      <c r="K318" s="6343"/>
      <c r="L318" s="6343"/>
      <c r="M318" s="6344"/>
      <c r="N318" s="6423"/>
      <c r="O318" s="6342" t="s">
        <v>1625</v>
      </c>
      <c r="P318" s="6343"/>
      <c r="Q318" s="6343"/>
      <c r="R318" s="6344"/>
      <c r="S318" s="6423"/>
      <c r="T318" s="6342" t="s">
        <v>1626</v>
      </c>
      <c r="U318" s="6343"/>
      <c r="V318" s="6343"/>
      <c r="W318" s="6344"/>
      <c r="X318" s="6427"/>
      <c r="Y318" s="6345"/>
      <c r="Z318" s="6336"/>
      <c r="AA318" s="6336"/>
      <c r="AB318" s="6337"/>
      <c r="AC318" s="6333"/>
      <c r="AD318" s="6345"/>
      <c r="AE318" s="6336"/>
      <c r="AF318" s="6336"/>
      <c r="AG318" s="6337"/>
      <c r="AH318" s="6346"/>
      <c r="AI318" s="6149"/>
    </row>
    <row r="319">
      <c r="A319" s="6125"/>
      <c r="B319" s="6329"/>
      <c r="C319" s="1481"/>
      <c r="D319" s="6428"/>
      <c r="E319" s="6348" t="s">
        <v>1502</v>
      </c>
      <c r="F319" s="6349"/>
      <c r="G319" s="6349"/>
      <c r="H319" s="6350"/>
      <c r="I319" s="6423"/>
      <c r="J319" s="6348" t="s">
        <v>1623</v>
      </c>
      <c r="K319" s="6349"/>
      <c r="L319" s="6349"/>
      <c r="M319" s="6350"/>
      <c r="N319" s="6423"/>
      <c r="O319" s="6348" t="s">
        <v>1502</v>
      </c>
      <c r="P319" s="6349"/>
      <c r="Q319" s="6349"/>
      <c r="R319" s="6350"/>
      <c r="S319" s="6424"/>
      <c r="T319" s="6348" t="s">
        <v>1502</v>
      </c>
      <c r="U319" s="6349"/>
      <c r="V319" s="6349"/>
      <c r="W319" s="6350"/>
      <c r="X319" s="6425"/>
      <c r="Y319" s="6335"/>
      <c r="Z319" s="6336"/>
      <c r="AA319" s="6336"/>
      <c r="AB319" s="6337"/>
      <c r="AC319" s="6334"/>
      <c r="AD319" s="6335"/>
      <c r="AE319" s="6336"/>
      <c r="AF319" s="6336"/>
      <c r="AG319" s="6337"/>
      <c r="AH319" s="6338"/>
      <c r="AI319" s="6129"/>
    </row>
    <row r="320" ht="25.5" customHeight="1">
      <c r="A320" s="6125"/>
      <c r="B320" s="6329"/>
      <c r="C320" s="1489"/>
      <c r="D320" s="6334"/>
      <c r="E320" s="6351"/>
      <c r="F320" s="6355" t="str">
        <f t="array" ref="F320">IFERROR(VLOOKUP(E318,Dex!$B$3:$H1218,5,FALSE),"")</f>
        <v/>
      </c>
      <c r="G320" s="6356" t="str">
        <f t="array" ref="G320">IFERROR(VLOOKUP(E318,Dex!$B$3:$H1218,7,FALSE),"")</f>
        <v/>
      </c>
      <c r="H320" s="6354"/>
      <c r="I320" s="6333"/>
      <c r="J320" s="6351"/>
      <c r="K320" s="6352" t="str">
        <f t="array" ref="K320">IFERROR(VLOOKUP(J318,Dex!$B$3:$H1218,5,FALSE),"")</f>
        <v/>
      </c>
      <c r="L320" s="6353"/>
      <c r="M320" s="6354"/>
      <c r="N320" s="6333"/>
      <c r="O320" s="6351"/>
      <c r="P320" s="6355" t="str">
        <f t="array" ref="P320">IFERROR(VLOOKUP(O318,Dex!$B$3:$H1218,5,FALSE),"")</f>
        <v/>
      </c>
      <c r="Q320" s="6356" t="str">
        <f t="array" ref="Q320">IFERROR(VLOOKUP(O318,Dex!$B$3:$H1218,7,FALSE),"")</f>
        <v/>
      </c>
      <c r="R320" s="6354"/>
      <c r="S320" s="6334"/>
      <c r="T320" s="6351"/>
      <c r="U320" s="6352" t="str">
        <f t="array" ref="U320">IFERROR(VLOOKUP(T318,Dex!$B$3:$H1218,5,FALSE),"")</f>
        <v/>
      </c>
      <c r="V320" s="6353"/>
      <c r="W320" s="6354"/>
      <c r="X320" s="6334"/>
      <c r="Y320" s="6335"/>
      <c r="Z320" s="6336"/>
      <c r="AA320" s="6336"/>
      <c r="AB320" s="6337"/>
      <c r="AC320" s="6334"/>
      <c r="AD320" s="6335"/>
      <c r="AE320" s="6336"/>
      <c r="AF320" s="6336"/>
      <c r="AG320" s="6337"/>
      <c r="AH320" s="6338"/>
      <c r="AI320" s="6129"/>
    </row>
    <row r="321" ht="2.25" customHeight="1">
      <c r="A321" s="6125"/>
      <c r="B321" s="6329"/>
      <c r="C321" s="6357"/>
      <c r="D321" s="6334"/>
      <c r="E321" s="6358"/>
      <c r="F321" s="6359"/>
      <c r="G321" s="6359"/>
      <c r="H321" s="6360"/>
      <c r="I321" s="6333"/>
      <c r="J321" s="6358"/>
      <c r="K321" s="6359"/>
      <c r="L321" s="6359"/>
      <c r="M321" s="6360"/>
      <c r="N321" s="6333"/>
      <c r="O321" s="6358"/>
      <c r="P321" s="6359"/>
      <c r="Q321" s="6359"/>
      <c r="R321" s="6360"/>
      <c r="S321" s="6334"/>
      <c r="T321" s="6358"/>
      <c r="U321" s="6359"/>
      <c r="V321" s="6359"/>
      <c r="W321" s="6360"/>
      <c r="X321" s="6334"/>
      <c r="Y321" s="6334"/>
      <c r="Z321" s="6334"/>
      <c r="AA321" s="6334"/>
      <c r="AB321" s="6334"/>
      <c r="AC321" s="6334"/>
      <c r="AD321" s="6334"/>
      <c r="AE321" s="6334"/>
      <c r="AF321" s="6334"/>
      <c r="AG321" s="6334"/>
      <c r="AH321" s="6338"/>
      <c r="AI321" s="6129"/>
    </row>
    <row r="322" ht="20.25" customHeight="1">
      <c r="A322" s="6125"/>
      <c r="B322" s="6329"/>
      <c r="C322" s="6361"/>
      <c r="D322" s="6335"/>
      <c r="E322" s="6362" t="s">
        <v>169</v>
      </c>
      <c r="F322" s="6363"/>
      <c r="G322" s="6363"/>
      <c r="H322" s="6364"/>
      <c r="I322" s="6423"/>
      <c r="J322" s="6362" t="s">
        <v>263</v>
      </c>
      <c r="K322" s="6363"/>
      <c r="L322" s="6363"/>
      <c r="M322" s="6364"/>
      <c r="N322" s="6423"/>
      <c r="O322" s="6362" t="s">
        <v>169</v>
      </c>
      <c r="P322" s="6363"/>
      <c r="Q322" s="6363"/>
      <c r="R322" s="6364"/>
      <c r="S322" s="6424"/>
      <c r="T322" s="6362" t="s">
        <v>263</v>
      </c>
      <c r="U322" s="6363"/>
      <c r="V322" s="6363"/>
      <c r="W322" s="6364"/>
      <c r="X322" s="6425"/>
      <c r="Y322" s="6335"/>
      <c r="Z322" s="6336"/>
      <c r="AA322" s="6336"/>
      <c r="AB322" s="6337"/>
      <c r="AC322" s="6334"/>
      <c r="AD322" s="6335"/>
      <c r="AE322" s="6336"/>
      <c r="AF322" s="6336"/>
      <c r="AG322" s="6337"/>
      <c r="AH322" s="6338"/>
      <c r="AI322" s="6129"/>
    </row>
    <row r="323" ht="20.25" customHeight="1">
      <c r="A323" s="6125"/>
      <c r="B323" s="6329"/>
      <c r="C323" s="6361"/>
      <c r="D323" s="6335"/>
      <c r="E323" s="6365" t="s">
        <v>753</v>
      </c>
      <c r="F323" s="6336"/>
      <c r="G323" s="6336"/>
      <c r="H323" s="6366"/>
      <c r="I323" s="6423"/>
      <c r="J323" s="6365" t="s">
        <v>358</v>
      </c>
      <c r="K323" s="6336"/>
      <c r="L323" s="6336"/>
      <c r="M323" s="6366"/>
      <c r="N323" s="6423"/>
      <c r="O323" s="6365" t="s">
        <v>1627</v>
      </c>
      <c r="P323" s="6336"/>
      <c r="Q323" s="6336"/>
      <c r="R323" s="6366"/>
      <c r="S323" s="6424"/>
      <c r="T323" s="6365" t="s">
        <v>1571</v>
      </c>
      <c r="U323" s="6336"/>
      <c r="V323" s="6336"/>
      <c r="W323" s="6366"/>
      <c r="X323" s="6425"/>
      <c r="Y323" s="6335"/>
      <c r="Z323" s="6336"/>
      <c r="AA323" s="6336"/>
      <c r="AB323" s="6337"/>
      <c r="AC323" s="6334"/>
      <c r="AD323" s="6335"/>
      <c r="AE323" s="6336"/>
      <c r="AF323" s="6336"/>
      <c r="AG323" s="6337"/>
      <c r="AH323" s="6338"/>
      <c r="AI323" s="6129"/>
    </row>
    <row r="324" ht="20.25" customHeight="1">
      <c r="A324" s="6125"/>
      <c r="B324" s="6329"/>
      <c r="C324" s="6361"/>
      <c r="D324" s="6335"/>
      <c r="E324" s="6367" t="s">
        <v>213</v>
      </c>
      <c r="F324" s="6368"/>
      <c r="G324" s="6369"/>
      <c r="H324" s="6370" t="str">
        <f>IMAGE("https://raw.githubusercontent.com/msikma/pokesprite/master/items/berry/sitrus.png",3)</f>
        <v/>
      </c>
      <c r="I324" s="6345"/>
      <c r="J324" s="6367" t="s">
        <v>213</v>
      </c>
      <c r="K324" s="6368"/>
      <c r="L324" s="6369"/>
      <c r="M324" s="6370" t="str">
        <f>IMAGE("https://raw.githubusercontent.com/msikma/pokesprite/master/items/berry/sitrus.png",3)</f>
        <v/>
      </c>
      <c r="N324" s="6345"/>
      <c r="O324" s="6367" t="s">
        <v>213</v>
      </c>
      <c r="P324" s="6368"/>
      <c r="Q324" s="6369"/>
      <c r="R324" s="6370" t="str">
        <f>IMAGE("https://raw.githubusercontent.com/msikma/pokesprite/master/items/berry/sitrus.png",3)</f>
        <v/>
      </c>
      <c r="S324" s="6335"/>
      <c r="T324" s="6367" t="s">
        <v>213</v>
      </c>
      <c r="U324" s="6368"/>
      <c r="V324" s="6369"/>
      <c r="W324" s="6370" t="str">
        <f>IMAGE("https://raw.githubusercontent.com/msikma/pokesprite/master/items/berry/sitrus.png",3)</f>
        <v/>
      </c>
      <c r="X324" s="6334"/>
      <c r="Y324" s="6335"/>
      <c r="Z324" s="6336"/>
      <c r="AA324" s="6336"/>
      <c r="AB324" s="6337"/>
      <c r="AC324" s="6334"/>
      <c r="AD324" s="6335"/>
      <c r="AE324" s="6336"/>
      <c r="AF324" s="6336"/>
      <c r="AG324" s="6337"/>
      <c r="AH324" s="6338"/>
      <c r="AI324" s="6129"/>
    </row>
    <row r="325" ht="20.25" customHeight="1">
      <c r="A325" s="6125"/>
      <c r="B325" s="6329"/>
      <c r="C325" s="6371"/>
      <c r="D325" s="6335"/>
      <c r="E325" s="6362" t="s">
        <v>459</v>
      </c>
      <c r="F325" s="6363"/>
      <c r="G325" s="6372"/>
      <c r="H325" s="6373" t="str">
        <f>IMAGE("https://raw.githubusercontent.com/msikma/pokesprite/master/misc/types/gen8/water.png",4,20,20)</f>
        <v/>
      </c>
      <c r="I325" s="6345"/>
      <c r="J325" s="6362" t="s">
        <v>455</v>
      </c>
      <c r="K325" s="6363"/>
      <c r="L325" s="6372"/>
      <c r="M325" s="6373" t="str">
        <f>IMAGE("https://raw.githubusercontent.com/msikma/pokesprite/master/misc/types/gen8/water.png",4,20,20)</f>
        <v/>
      </c>
      <c r="N325" s="6345"/>
      <c r="O325" s="6362" t="s">
        <v>368</v>
      </c>
      <c r="P325" s="6363"/>
      <c r="Q325" s="6372"/>
      <c r="R325" s="6373" t="str">
        <f>IMAGE("https://raw.githubusercontent.com/msikma/pokesprite/master/misc/types/gen8/bug.png",4,20,20)</f>
        <v/>
      </c>
      <c r="S325" s="6335"/>
      <c r="T325" s="6362" t="s">
        <v>338</v>
      </c>
      <c r="U325" s="6363"/>
      <c r="V325" s="6372"/>
      <c r="W325" s="6373" t="str">
        <f>IMAGE("https://raw.githubusercontent.com/msikma/pokesprite/master/misc/types/gen8/water.png",4,20,20)</f>
        <v/>
      </c>
      <c r="X325" s="6334"/>
      <c r="Y325" s="6335"/>
      <c r="Z325" s="6336"/>
      <c r="AA325" s="6336"/>
      <c r="AB325" s="6337"/>
      <c r="AC325" s="6334"/>
      <c r="AD325" s="6335"/>
      <c r="AE325" s="6336"/>
      <c r="AF325" s="6336"/>
      <c r="AG325" s="6337"/>
      <c r="AH325" s="6338"/>
      <c r="AI325" s="6129"/>
    </row>
    <row r="326" ht="20.25" customHeight="1">
      <c r="A326" s="6125"/>
      <c r="B326" s="6329"/>
      <c r="C326" s="6374"/>
      <c r="D326" s="6335"/>
      <c r="E326" s="6365" t="s">
        <v>556</v>
      </c>
      <c r="F326" s="6336"/>
      <c r="G326" s="6337"/>
      <c r="H326" s="6375" t="str">
        <f>IMAGE("https://raw.githubusercontent.com/msikma/pokesprite/master/misc/types/gen8/fairy.png",4,20,20)</f>
        <v/>
      </c>
      <c r="I326" s="6345"/>
      <c r="J326" s="6365" t="s">
        <v>375</v>
      </c>
      <c r="K326" s="6336"/>
      <c r="L326" s="6337"/>
      <c r="M326" s="6375" t="str">
        <f>IMAGE("https://raw.githubusercontent.com/msikma/pokesprite/master/misc/types/gen8/fighting.png",4,20,20)</f>
        <v/>
      </c>
      <c r="N326" s="6345"/>
      <c r="O326" s="6365" t="s">
        <v>346</v>
      </c>
      <c r="P326" s="6336"/>
      <c r="Q326" s="6337"/>
      <c r="R326" s="6375" t="str">
        <f>IMAGE("https://raw.githubusercontent.com/msikma/pokesprite/master/misc/types/gen8/water.png",4,20,20)</f>
        <v/>
      </c>
      <c r="S326" s="6335"/>
      <c r="T326" s="6365" t="s">
        <v>317</v>
      </c>
      <c r="U326" s="6336"/>
      <c r="V326" s="6337"/>
      <c r="W326" s="6375" t="str">
        <f>IMAGE("https://raw.githubusercontent.com/msikma/pokesprite/master/misc/types/gen8/ice.png",4,20,20)</f>
        <v/>
      </c>
      <c r="X326" s="6334"/>
      <c r="Y326" s="6335"/>
      <c r="Z326" s="6336"/>
      <c r="AA326" s="6336"/>
      <c r="AB326" s="6337"/>
      <c r="AC326" s="6334"/>
      <c r="AD326" s="6335"/>
      <c r="AE326" s="6336"/>
      <c r="AF326" s="6336"/>
      <c r="AG326" s="6337"/>
      <c r="AH326" s="6338"/>
      <c r="AI326" s="6129"/>
    </row>
    <row r="327" ht="20.25" customHeight="1">
      <c r="A327" s="6125"/>
      <c r="B327" s="6329"/>
      <c r="C327" s="6374"/>
      <c r="D327" s="6335"/>
      <c r="E327" s="6365" t="s">
        <v>772</v>
      </c>
      <c r="F327" s="6336"/>
      <c r="G327" s="6337"/>
      <c r="H327" s="6375" t="str">
        <f>IMAGE("https://raw.githubusercontent.com/msikma/pokesprite/master/misc/types/gen8/fighting.png",4,20,20)</f>
        <v/>
      </c>
      <c r="I327" s="6345"/>
      <c r="J327" s="6365" t="s">
        <v>317</v>
      </c>
      <c r="K327" s="6336"/>
      <c r="L327" s="6337"/>
      <c r="M327" s="6375" t="str">
        <f>IMAGE("https://raw.githubusercontent.com/msikma/pokesprite/master/misc/types/gen8/ice.png",4,20,20)</f>
        <v/>
      </c>
      <c r="N327" s="6345"/>
      <c r="O327" s="6365" t="s">
        <v>279</v>
      </c>
      <c r="P327" s="6336"/>
      <c r="Q327" s="6337"/>
      <c r="R327" s="6375" t="str">
        <f>IMAGE("https://raw.githubusercontent.com/msikma/pokesprite/master/misc/types/gen8/dark.png",4,20,20)</f>
        <v/>
      </c>
      <c r="S327" s="6335"/>
      <c r="T327" s="6365" t="s">
        <v>278</v>
      </c>
      <c r="U327" s="6336"/>
      <c r="V327" s="6337"/>
      <c r="W327" s="6375" t="str">
        <f>IMAGE("https://raw.githubusercontent.com/msikma/pokesprite/master/misc/types/gen8/bug.png",4,20,20)</f>
        <v/>
      </c>
      <c r="X327" s="6334"/>
      <c r="Y327" s="6335"/>
      <c r="Z327" s="6336"/>
      <c r="AA327" s="6336"/>
      <c r="AB327" s="6337"/>
      <c r="AC327" s="6334"/>
      <c r="AD327" s="6335"/>
      <c r="AE327" s="6336"/>
      <c r="AF327" s="6336"/>
      <c r="AG327" s="6337"/>
      <c r="AH327" s="6338"/>
      <c r="AI327" s="6129"/>
    </row>
    <row r="328" ht="21.0" customHeight="1">
      <c r="A328" s="6125"/>
      <c r="B328" s="6329"/>
      <c r="C328" s="6374"/>
      <c r="D328" s="6335"/>
      <c r="E328" s="6376" t="s">
        <v>735</v>
      </c>
      <c r="F328" s="6377"/>
      <c r="G328" s="6378"/>
      <c r="H328" s="6379" t="str">
        <f>IMAGE("https://raw.githubusercontent.com/msikma/pokesprite/master/misc/types/gen8/water.png",4,20,20)</f>
        <v/>
      </c>
      <c r="I328" s="6345"/>
      <c r="J328" s="6376" t="s">
        <v>372</v>
      </c>
      <c r="K328" s="6377"/>
      <c r="L328" s="6378"/>
      <c r="M328" s="6379" t="str">
        <f>IMAGE("https://raw.githubusercontent.com/msikma/pokesprite/master/misc/types/gen8/fire.png",4,20,20)</f>
        <v/>
      </c>
      <c r="N328" s="6345"/>
      <c r="O328" s="6376" t="s">
        <v>316</v>
      </c>
      <c r="P328" s="6377"/>
      <c r="Q328" s="6378"/>
      <c r="R328" s="6379" t="str">
        <f>IMAGE("https://raw.githubusercontent.com/msikma/pokesprite/master/misc/types/gen8/fighting.png",4,20,20)</f>
        <v/>
      </c>
      <c r="S328" s="6335"/>
      <c r="T328" s="6376" t="s">
        <v>402</v>
      </c>
      <c r="U328" s="6377"/>
      <c r="V328" s="6378"/>
      <c r="W328" s="6379" t="str">
        <f>IMAGE("https://raw.githubusercontent.com/msikma/pokesprite/master/misc/types/gen8/ground.png",4,20,20)</f>
        <v/>
      </c>
      <c r="X328" s="6334"/>
      <c r="Y328" s="6335"/>
      <c r="Z328" s="6336"/>
      <c r="AA328" s="6336"/>
      <c r="AB328" s="6337"/>
      <c r="AC328" s="6334"/>
      <c r="AD328" s="6335"/>
      <c r="AE328" s="6336"/>
      <c r="AF328" s="6336"/>
      <c r="AG328" s="6337"/>
      <c r="AH328" s="6338"/>
      <c r="AI328" s="6129"/>
    </row>
    <row r="329" ht="3.0" customHeight="1">
      <c r="A329" s="6185"/>
      <c r="B329" s="6380"/>
      <c r="C329" s="6381"/>
      <c r="D329" s="6382"/>
      <c r="E329" s="6429"/>
      <c r="F329" s="6429"/>
      <c r="G329" s="6429"/>
      <c r="H329" s="6383"/>
      <c r="I329" s="6382"/>
      <c r="J329" s="6429"/>
      <c r="K329" s="6429"/>
      <c r="L329" s="6429"/>
      <c r="M329" s="6383"/>
      <c r="N329" s="6382"/>
      <c r="O329" s="6429"/>
      <c r="P329" s="6429"/>
      <c r="Q329" s="6429"/>
      <c r="R329" s="6383"/>
      <c r="S329" s="6383"/>
      <c r="T329" s="6429"/>
      <c r="U329" s="6429"/>
      <c r="V329" s="6429"/>
      <c r="W329" s="6383"/>
      <c r="X329" s="6382"/>
      <c r="Y329" s="6383"/>
      <c r="Z329" s="6383"/>
      <c r="AA329" s="6383"/>
      <c r="AB329" s="6383"/>
      <c r="AC329" s="6385"/>
      <c r="AD329" s="6383"/>
      <c r="AE329" s="6383"/>
      <c r="AF329" s="6383"/>
      <c r="AG329" s="6383"/>
      <c r="AH329" s="6386"/>
      <c r="AI329" s="6192"/>
    </row>
    <row r="330" ht="16.5" customHeight="1">
      <c r="A330" s="6185"/>
      <c r="B330" s="6387"/>
      <c r="C330" s="6381"/>
      <c r="D330" s="6392"/>
      <c r="E330" s="6389" t="s">
        <v>190</v>
      </c>
      <c r="F330" s="381"/>
      <c r="G330" s="382"/>
      <c r="H330" s="6390" t="s">
        <v>191</v>
      </c>
      <c r="I330" s="6391"/>
      <c r="J330" s="6389" t="s">
        <v>190</v>
      </c>
      <c r="K330" s="381"/>
      <c r="L330" s="382"/>
      <c r="M330" s="6390" t="s">
        <v>191</v>
      </c>
      <c r="N330" s="6392"/>
      <c r="O330" s="6389" t="s">
        <v>190</v>
      </c>
      <c r="P330" s="381"/>
      <c r="Q330" s="382"/>
      <c r="R330" s="6390" t="s">
        <v>191</v>
      </c>
      <c r="S330" s="6430"/>
      <c r="T330" s="6389" t="s">
        <v>190</v>
      </c>
      <c r="U330" s="381"/>
      <c r="V330" s="382"/>
      <c r="W330" s="6390" t="s">
        <v>191</v>
      </c>
      <c r="X330" s="6334"/>
      <c r="Y330" s="6334"/>
      <c r="Z330" s="6334"/>
      <c r="AA330" s="6334"/>
      <c r="AB330" s="6334"/>
      <c r="AC330" s="6334"/>
      <c r="AD330" s="6334"/>
      <c r="AE330" s="6334"/>
      <c r="AF330" s="6334"/>
      <c r="AG330" s="6393"/>
      <c r="AH330" s="6394"/>
      <c r="AI330" s="6192"/>
    </row>
    <row r="331" ht="16.5" customHeight="1">
      <c r="A331" s="6185"/>
      <c r="B331" s="6387"/>
      <c r="C331" s="6381"/>
      <c r="D331" s="6388"/>
      <c r="E331" s="6395" t="s">
        <v>192</v>
      </c>
      <c r="F331" s="6396">
        <f t="array" ref="F331">IFERROR(VLOOKUP(E318,Dex!$B$3:$N1218,8,FALSE),"")</f>
        <v>100</v>
      </c>
      <c r="G331" s="6397" t="str">
        <f t="array" ref="G331">IFERROR(VLOOKUP(F331,Dex!$P$22:$Q$276,2,FALSE),"")</f>
        <v/>
      </c>
      <c r="H331" s="6398">
        <v>252.0</v>
      </c>
      <c r="I331" s="6399"/>
      <c r="J331" s="6395" t="s">
        <v>192</v>
      </c>
      <c r="K331" s="6396">
        <f t="array" ref="K331">IFERROR(VLOOKUP(J318,Dex!$B$3:$N1218,8,FALSE),"")</f>
        <v>75</v>
      </c>
      <c r="L331" s="6397" t="str">
        <f t="array" ref="L331">IFERROR(VLOOKUP(K331,Dex!$P$22:$Q$276,2,FALSE),"")</f>
        <v/>
      </c>
      <c r="M331" s="6398"/>
      <c r="N331" s="6388"/>
      <c r="O331" s="6395" t="s">
        <v>192</v>
      </c>
      <c r="P331" s="6396">
        <f t="array" ref="P331">IFERROR(VLOOKUP(O318,Dex!$B$3:$N1218,8,FALSE),"")</f>
        <v>75</v>
      </c>
      <c r="Q331" s="6397" t="str">
        <f t="array" ref="Q331">IFERROR(VLOOKUP(P331,Dex!$P$22:$Q$276,2,FALSE),"")</f>
        <v/>
      </c>
      <c r="R331" s="6398">
        <v>252.0</v>
      </c>
      <c r="S331" s="6400"/>
      <c r="T331" s="6395" t="s">
        <v>192</v>
      </c>
      <c r="U331" s="6396">
        <f t="array" ref="U331">IFERROR(VLOOKUP(T318,Dex!$B$3:$N1218,8,FALSE),"")</f>
        <v>55</v>
      </c>
      <c r="V331" s="6397" t="str">
        <f t="array" ref="V331">IFERROR(VLOOKUP(U331,Dex!$P$22:$Q$276,2,FALSE),"")</f>
        <v/>
      </c>
      <c r="W331" s="6398">
        <v>252.0</v>
      </c>
      <c r="X331" s="6334"/>
      <c r="Y331" s="6334"/>
      <c r="Z331" s="6334"/>
      <c r="AA331" s="6334"/>
      <c r="AB331" s="6334"/>
      <c r="AC331" s="6334"/>
      <c r="AD331" s="6334"/>
      <c r="AE331" s="6334"/>
      <c r="AF331" s="6334"/>
      <c r="AG331" s="6393"/>
      <c r="AH331" s="6394"/>
      <c r="AI331" s="6192"/>
    </row>
    <row r="332" ht="16.5" customHeight="1">
      <c r="A332" s="6185"/>
      <c r="B332" s="6387"/>
      <c r="C332" s="6381"/>
      <c r="D332" s="6388"/>
      <c r="E332" s="6401" t="s">
        <v>193</v>
      </c>
      <c r="F332" s="6402">
        <f t="array" ref="F332">IFERROR(VLOOKUP(E318,Dex!$B$3:$N1218,9,FALSE),"")</f>
        <v>50</v>
      </c>
      <c r="G332" s="6403" t="str">
        <f t="array" ref="G332">IFERROR(VLOOKUP(F332,Dex!$P$22:$Q$276,2,FALSE),"")</f>
        <v/>
      </c>
      <c r="H332" s="6404">
        <v>252.0</v>
      </c>
      <c r="I332" s="6399"/>
      <c r="J332" s="6401" t="s">
        <v>193</v>
      </c>
      <c r="K332" s="6402">
        <f t="array" ref="K332">IFERROR(VLOOKUP(J318,Dex!$B$3:$N1218,9,FALSE),"")</f>
        <v>105</v>
      </c>
      <c r="L332" s="6403" t="str">
        <f t="array" ref="L332">IFERROR(VLOOKUP(K332,Dex!$P$22:$Q$276,2,FALSE),"")</f>
        <v/>
      </c>
      <c r="M332" s="6404"/>
      <c r="N332" s="6388"/>
      <c r="O332" s="6401" t="s">
        <v>193</v>
      </c>
      <c r="P332" s="6402">
        <f t="array" ref="P332">IFERROR(VLOOKUP(O318,Dex!$B$3:$N1218,9,FALSE),"")</f>
        <v>125</v>
      </c>
      <c r="Q332" s="6403" t="str">
        <f t="array" ref="Q332">IFERROR(VLOOKUP(P332,Dex!$P$22:$Q$276,2,FALSE),"")</f>
        <v/>
      </c>
      <c r="R332" s="6404">
        <v>252.0</v>
      </c>
      <c r="S332" s="6400"/>
      <c r="T332" s="6401" t="s">
        <v>193</v>
      </c>
      <c r="U332" s="6402">
        <f t="array" ref="U332">IFERROR(VLOOKUP(T318,Dex!$B$3:$N1218,9,FALSE),"")</f>
        <v>140</v>
      </c>
      <c r="V332" s="6403" t="str">
        <f t="array" ref="V332">IFERROR(VLOOKUP(U332,Dex!$P$22:$Q$276,2,FALSE),"")</f>
        <v/>
      </c>
      <c r="W332" s="6404"/>
      <c r="X332" s="6335"/>
      <c r="Y332" s="6336"/>
      <c r="Z332" s="6336"/>
      <c r="AA332" s="6337"/>
      <c r="AB332" s="6334"/>
      <c r="AC332" s="6335"/>
      <c r="AD332" s="6336"/>
      <c r="AE332" s="6336"/>
      <c r="AF332" s="6337"/>
      <c r="AG332" s="6393"/>
      <c r="AH332" s="6394"/>
      <c r="AI332" s="6192"/>
    </row>
    <row r="333" ht="16.5" customHeight="1">
      <c r="A333" s="6185"/>
      <c r="B333" s="6387"/>
      <c r="C333" s="6381"/>
      <c r="D333" s="6388"/>
      <c r="E333" s="6401" t="s">
        <v>194</v>
      </c>
      <c r="F333" s="6402">
        <f t="array" ref="F333">IFERROR(VLOOKUP(E318,Dex!$B$3:$N1218,10,FALSE),"")</f>
        <v>80</v>
      </c>
      <c r="G333" s="6403" t="str">
        <f t="array" ref="G333">IFERROR(VLOOKUP(F333,Dex!$P$22:$Q$276,2,FALSE),"")</f>
        <v/>
      </c>
      <c r="H333" s="6404">
        <v>4.0</v>
      </c>
      <c r="I333" s="6399"/>
      <c r="J333" s="6401" t="s">
        <v>194</v>
      </c>
      <c r="K333" s="6402">
        <f t="array" ref="K333">IFERROR(VLOOKUP(J318,Dex!$B$3:$N1218,10,FALSE),"")</f>
        <v>75</v>
      </c>
      <c r="L333" s="6403" t="str">
        <f t="array" ref="L333">IFERROR(VLOOKUP(K333,Dex!$P$22:$Q$276,2,FALSE),"")</f>
        <v/>
      </c>
      <c r="M333" s="6404">
        <v>4.0</v>
      </c>
      <c r="N333" s="6388"/>
      <c r="O333" s="6401" t="s">
        <v>194</v>
      </c>
      <c r="P333" s="6402">
        <f t="array" ref="P333">IFERROR(VLOOKUP(O318,Dex!$B$3:$N1218,10,FALSE),"")</f>
        <v>140</v>
      </c>
      <c r="Q333" s="6403" t="str">
        <f t="array" ref="Q333">IFERROR(VLOOKUP(P333,Dex!$P$22:$Q$276,2,FALSE),"")</f>
        <v/>
      </c>
      <c r="R333" s="6404">
        <v>4.0</v>
      </c>
      <c r="S333" s="6400"/>
      <c r="T333" s="6401" t="s">
        <v>194</v>
      </c>
      <c r="U333" s="6402">
        <f t="array" ref="U333">IFERROR(VLOOKUP(T318,Dex!$B$3:$N1218,10,FALSE),"")</f>
        <v>130</v>
      </c>
      <c r="V333" s="6403" t="str">
        <f t="array" ref="V333">IFERROR(VLOOKUP(U333,Dex!$P$22:$Q$276,2,FALSE),"")</f>
        <v/>
      </c>
      <c r="W333" s="6404"/>
      <c r="X333" s="6335"/>
      <c r="Y333" s="6336"/>
      <c r="Z333" s="6336"/>
      <c r="AA333" s="6337"/>
      <c r="AB333" s="6334"/>
      <c r="AC333" s="6335"/>
      <c r="AD333" s="6336"/>
      <c r="AE333" s="6336"/>
      <c r="AF333" s="6337"/>
      <c r="AG333" s="6393"/>
      <c r="AH333" s="6394"/>
      <c r="AI333" s="6192"/>
    </row>
    <row r="334" ht="16.5" customHeight="1">
      <c r="A334" s="6185"/>
      <c r="B334" s="6387"/>
      <c r="C334" s="6381"/>
      <c r="D334" s="6388"/>
      <c r="E334" s="6401" t="s">
        <v>195</v>
      </c>
      <c r="F334" s="6402">
        <f t="array" ref="F334">IFERROR(VLOOKUP(E318,Dex!$B$3:$N1218,11,FALSE),"")</f>
        <v>60</v>
      </c>
      <c r="G334" s="6403" t="str">
        <f t="array" ref="G334">IFERROR(VLOOKUP(F334,Dex!$P$22:$Q$276,2,FALSE),"")</f>
        <v/>
      </c>
      <c r="H334" s="6404"/>
      <c r="I334" s="6399"/>
      <c r="J334" s="6401" t="s">
        <v>195</v>
      </c>
      <c r="K334" s="6402">
        <f t="array" ref="K334">IFERROR(VLOOKUP(J318,Dex!$B$3:$N1218,11,FALSE),"")</f>
        <v>105</v>
      </c>
      <c r="L334" s="6403" t="str">
        <f t="array" ref="L334">IFERROR(VLOOKUP(K334,Dex!$P$22:$Q$276,2,FALSE),"")</f>
        <v/>
      </c>
      <c r="M334" s="6404">
        <v>252.0</v>
      </c>
      <c r="N334" s="6388"/>
      <c r="O334" s="6401" t="s">
        <v>195</v>
      </c>
      <c r="P334" s="6402">
        <f t="array" ref="P334">IFERROR(VLOOKUP(O318,Dex!$B$3:$N1218,11,FALSE),"")</f>
        <v>60</v>
      </c>
      <c r="Q334" s="6403" t="str">
        <f t="array" ref="Q334">IFERROR(VLOOKUP(P334,Dex!$P$22:$Q$276,2,FALSE),"")</f>
        <v/>
      </c>
      <c r="R334" s="6404"/>
      <c r="S334" s="6400"/>
      <c r="T334" s="6401" t="s">
        <v>195</v>
      </c>
      <c r="U334" s="6402">
        <f t="array" ref="U334">IFERROR(VLOOKUP(T318,Dex!$B$3:$N1218,11,FALSE),"")</f>
        <v>140</v>
      </c>
      <c r="V334" s="6403" t="str">
        <f t="array" ref="V334">IFERROR(VLOOKUP(U334,Dex!$P$22:$Q$276,2,FALSE),"")</f>
        <v/>
      </c>
      <c r="W334" s="6404">
        <v>252.0</v>
      </c>
      <c r="X334" s="6334"/>
      <c r="Y334" s="6334"/>
      <c r="Z334" s="6334"/>
      <c r="AA334" s="6334"/>
      <c r="AB334" s="6334"/>
      <c r="AC334" s="6335"/>
      <c r="AD334" s="6336"/>
      <c r="AE334" s="6336"/>
      <c r="AF334" s="6337"/>
      <c r="AG334" s="6393"/>
      <c r="AH334" s="6394"/>
      <c r="AI334" s="6192"/>
    </row>
    <row r="335" ht="16.5" customHeight="1">
      <c r="A335" s="6185"/>
      <c r="B335" s="6387"/>
      <c r="C335" s="6381"/>
      <c r="D335" s="6388"/>
      <c r="E335" s="6401" t="s">
        <v>196</v>
      </c>
      <c r="F335" s="6402">
        <f t="array" ref="F335">IFERROR(VLOOKUP(E318,Dex!$B$3:$N1218,12,FALSE),"")</f>
        <v>80</v>
      </c>
      <c r="G335" s="6403" t="str">
        <f t="array" ref="G335">IFERROR(VLOOKUP(F335,Dex!$P$22:$Q$276,2,FALSE),"")</f>
        <v/>
      </c>
      <c r="H335" s="6404"/>
      <c r="I335" s="6399"/>
      <c r="J335" s="6401" t="s">
        <v>196</v>
      </c>
      <c r="K335" s="6402">
        <f t="array" ref="K335">IFERROR(VLOOKUP(J318,Dex!$B$3:$N1218,12,FALSE),"")</f>
        <v>75</v>
      </c>
      <c r="L335" s="6403" t="str">
        <f t="array" ref="L335">IFERROR(VLOOKUP(K335,Dex!$P$22:$Q$276,2,FALSE),"")</f>
        <v/>
      </c>
      <c r="M335" s="6404"/>
      <c r="N335" s="6388"/>
      <c r="O335" s="6401" t="s">
        <v>196</v>
      </c>
      <c r="P335" s="6402">
        <f t="array" ref="P335">IFERROR(VLOOKUP(O318,Dex!$B$3:$N1218,12,FALSE),"")</f>
        <v>90</v>
      </c>
      <c r="Q335" s="6403" t="str">
        <f t="array" ref="Q335">IFERROR(VLOOKUP(P335,Dex!$P$22:$Q$276,2,FALSE),"")</f>
        <v/>
      </c>
      <c r="R335" s="6404"/>
      <c r="S335" s="6400"/>
      <c r="T335" s="6401" t="s">
        <v>196</v>
      </c>
      <c r="U335" s="6402">
        <f t="array" ref="U335">IFERROR(VLOOKUP(T318,Dex!$B$3:$N1218,12,FALSE),"")</f>
        <v>135</v>
      </c>
      <c r="V335" s="6403" t="str">
        <f t="array" ref="V335">IFERROR(VLOOKUP(U335,Dex!$P$22:$Q$276,2,FALSE),"")</f>
        <v/>
      </c>
      <c r="W335" s="6404"/>
      <c r="X335" s="6334"/>
      <c r="Y335" s="6334"/>
      <c r="Z335" s="6334"/>
      <c r="AA335" s="6334"/>
      <c r="AB335" s="6334"/>
      <c r="AC335" s="6335"/>
      <c r="AD335" s="6336"/>
      <c r="AE335" s="6336"/>
      <c r="AF335" s="6337"/>
      <c r="AG335" s="6393"/>
      <c r="AH335" s="6394"/>
      <c r="AI335" s="6192"/>
    </row>
    <row r="336" ht="16.5" customHeight="1">
      <c r="A336" s="6185"/>
      <c r="B336" s="6387"/>
      <c r="C336" s="6381"/>
      <c r="D336" s="6388"/>
      <c r="E336" s="6405" t="s">
        <v>197</v>
      </c>
      <c r="F336" s="6406">
        <f t="array" ref="F336">IFERROR(VLOOKUP(E318,Dex!$B$3:$N1218,13,FALSE),"")</f>
        <v>50</v>
      </c>
      <c r="G336" s="6407" t="str">
        <f t="array" ref="G336">IFERROR(VLOOKUP(F336,Dex!$P$22:$Q$276,2,FALSE),"")</f>
        <v/>
      </c>
      <c r="H336" s="6408"/>
      <c r="I336" s="6399"/>
      <c r="J336" s="6405" t="s">
        <v>197</v>
      </c>
      <c r="K336" s="6406">
        <f t="array" ref="K336">IFERROR(VLOOKUP(J318,Dex!$B$3:$N1218,13,FALSE),"")</f>
        <v>75</v>
      </c>
      <c r="L336" s="6407" t="str">
        <f t="array" ref="L336">IFERROR(VLOOKUP(K336,Dex!$P$22:$Q$276,2,FALSE),"")</f>
        <v/>
      </c>
      <c r="M336" s="6408">
        <v>252.0</v>
      </c>
      <c r="N336" s="6388"/>
      <c r="O336" s="6405" t="s">
        <v>197</v>
      </c>
      <c r="P336" s="6406">
        <f t="array" ref="P336">IFERROR(VLOOKUP(O318,Dex!$B$3:$N1218,13,FALSE),"")</f>
        <v>40</v>
      </c>
      <c r="Q336" s="6407" t="str">
        <f t="array" ref="Q336">IFERROR(VLOOKUP(P336,Dex!$P$22:$Q$276,2,FALSE),"")</f>
        <v/>
      </c>
      <c r="R336" s="6408"/>
      <c r="S336" s="6400"/>
      <c r="T336" s="6405" t="s">
        <v>197</v>
      </c>
      <c r="U336" s="6406">
        <f t="array" ref="U336">IFERROR(VLOOKUP(T318,Dex!$B$3:$N1218,13,FALSE),"")</f>
        <v>30</v>
      </c>
      <c r="V336" s="6407" t="str">
        <f t="array" ref="V336">IFERROR(VLOOKUP(U336,Dex!$P$22:$Q$276,2,FALSE),"")</f>
        <v/>
      </c>
      <c r="W336" s="6408">
        <v>4.0</v>
      </c>
      <c r="X336" s="6334"/>
      <c r="Y336" s="6335"/>
      <c r="Z336" s="6336"/>
      <c r="AA336" s="6336"/>
      <c r="AB336" s="6337"/>
      <c r="AC336" s="6335"/>
      <c r="AD336" s="6336"/>
      <c r="AE336" s="6336"/>
      <c r="AF336" s="6337"/>
      <c r="AG336" s="6334"/>
      <c r="AH336" s="6394"/>
      <c r="AI336" s="6192"/>
    </row>
    <row r="337" ht="16.5" customHeight="1">
      <c r="A337" s="6185"/>
      <c r="B337" s="6387"/>
      <c r="C337" s="6381"/>
      <c r="D337" s="6392"/>
      <c r="E337" s="6409" t="s">
        <v>198</v>
      </c>
      <c r="F337" s="405"/>
      <c r="G337" s="406"/>
      <c r="H337" s="6410">
        <v>136.0</v>
      </c>
      <c r="I337" s="6391"/>
      <c r="J337" s="6409" t="s">
        <v>198</v>
      </c>
      <c r="K337" s="405"/>
      <c r="L337" s="406"/>
      <c r="M337" s="6410">
        <v>246.0</v>
      </c>
      <c r="N337" s="6392"/>
      <c r="O337" s="6409" t="s">
        <v>198</v>
      </c>
      <c r="P337" s="405"/>
      <c r="Q337" s="406"/>
      <c r="R337" s="6410">
        <v>116.0</v>
      </c>
      <c r="S337" s="6400"/>
      <c r="T337" s="6431" t="s">
        <v>198</v>
      </c>
      <c r="U337" s="918"/>
      <c r="V337" s="919"/>
      <c r="W337" s="6432">
        <v>96.0</v>
      </c>
      <c r="X337" s="6334"/>
      <c r="Y337" s="6335"/>
      <c r="Z337" s="6336"/>
      <c r="AA337" s="6336"/>
      <c r="AB337" s="6337"/>
      <c r="AC337" s="6335"/>
      <c r="AD337" s="6336"/>
      <c r="AE337" s="6336"/>
      <c r="AF337" s="6337"/>
      <c r="AG337" s="6334"/>
      <c r="AH337" s="6394"/>
      <c r="AI337" s="6192"/>
    </row>
    <row r="338" ht="16.5" customHeight="1">
      <c r="A338" s="6185"/>
      <c r="B338" s="6433"/>
      <c r="C338" s="6434"/>
      <c r="D338" s="6435"/>
      <c r="E338" s="6436"/>
      <c r="F338" s="6436"/>
      <c r="G338" s="6436"/>
      <c r="H338" s="6381"/>
      <c r="I338" s="6437"/>
      <c r="J338" s="6436"/>
      <c r="K338" s="6436"/>
      <c r="L338" s="6436"/>
      <c r="M338" s="6381"/>
      <c r="N338" s="6435"/>
      <c r="O338" s="6436"/>
      <c r="P338" s="6436"/>
      <c r="Q338" s="6436"/>
      <c r="R338" s="6381"/>
      <c r="S338" s="6438"/>
      <c r="T338" s="6439" t="s">
        <v>1579</v>
      </c>
      <c r="U338" s="925"/>
      <c r="V338" s="926"/>
      <c r="W338" s="6440">
        <v>116.0</v>
      </c>
      <c r="X338" s="6441"/>
      <c r="Y338" s="6441"/>
      <c r="Z338" s="6441"/>
      <c r="AA338" s="6441"/>
      <c r="AB338" s="6441"/>
      <c r="AC338" s="6441"/>
      <c r="AD338" s="6441"/>
      <c r="AE338" s="6441"/>
      <c r="AF338" s="6441"/>
      <c r="AG338" s="6441"/>
      <c r="AH338" s="6442"/>
      <c r="AI338" s="6192"/>
    </row>
    <row r="339" ht="15.0" customHeight="1">
      <c r="A339" s="6125"/>
      <c r="B339" s="6411"/>
      <c r="C339" s="6412"/>
      <c r="D339" s="6413"/>
      <c r="E339" s="6414"/>
      <c r="F339" s="6414"/>
      <c r="G339" s="6414"/>
      <c r="H339" s="6414"/>
      <c r="I339" s="6415"/>
      <c r="J339" s="6414"/>
      <c r="K339" s="6414"/>
      <c r="L339" s="6414"/>
      <c r="M339" s="6414"/>
      <c r="N339" s="6415"/>
      <c r="O339" s="6414"/>
      <c r="P339" s="6414"/>
      <c r="Q339" s="6414"/>
      <c r="R339" s="6414"/>
      <c r="S339" s="6413"/>
      <c r="T339" s="6417"/>
      <c r="U339" s="6418"/>
      <c r="V339" s="6418"/>
      <c r="W339" s="6419"/>
      <c r="X339" s="6413"/>
      <c r="Y339" s="6417"/>
      <c r="Z339" s="6418"/>
      <c r="AA339" s="6418"/>
      <c r="AB339" s="6419"/>
      <c r="AC339" s="6413"/>
      <c r="AD339" s="6413"/>
      <c r="AE339" s="6413"/>
      <c r="AF339" s="6413"/>
      <c r="AG339" s="6413"/>
      <c r="AH339" s="6420"/>
      <c r="AI339" s="6129"/>
    </row>
    <row r="340" ht="15.0" customHeight="1">
      <c r="A340" s="6125"/>
      <c r="B340" s="6443"/>
      <c r="C340" s="6444"/>
      <c r="D340" s="6445"/>
      <c r="E340" s="6445"/>
      <c r="F340" s="6445"/>
      <c r="G340" s="6445"/>
      <c r="H340" s="6445"/>
      <c r="I340" s="6446"/>
      <c r="J340" s="6445"/>
      <c r="K340" s="6445"/>
      <c r="L340" s="6445"/>
      <c r="M340" s="6445"/>
      <c r="N340" s="6446"/>
      <c r="O340" s="6445"/>
      <c r="P340" s="6445"/>
      <c r="Q340" s="6445"/>
      <c r="R340" s="6445"/>
      <c r="S340" s="6446"/>
      <c r="T340" s="6445"/>
      <c r="U340" s="6445"/>
      <c r="V340" s="6445"/>
      <c r="W340" s="6445"/>
      <c r="X340" s="6446"/>
      <c r="Y340" s="6446"/>
      <c r="Z340" s="6446"/>
      <c r="AA340" s="6446"/>
      <c r="AB340" s="6446"/>
      <c r="AC340" s="6446"/>
      <c r="AD340" s="6446"/>
      <c r="AE340" s="6446"/>
      <c r="AF340" s="6446"/>
      <c r="AG340" s="6446"/>
      <c r="AH340" s="6447"/>
      <c r="AI340" s="6129"/>
    </row>
    <row r="341" ht="96.75" customHeight="1">
      <c r="A341" s="6125"/>
      <c r="B341" s="6448"/>
      <c r="C341" s="6449" t="str">
        <f>IMAGE("https://i.ibb.co/sHT2hBk/Red.png")</f>
        <v/>
      </c>
      <c r="D341" s="6450"/>
      <c r="E341" s="6451" t="str">
        <f t="array" ref="E341">IFERROR(VLOOKUP(E342,Dex!$B$3:$G1218,3,FALSE),"")</f>
        <v/>
      </c>
      <c r="F341" s="1830"/>
      <c r="G341" s="1830"/>
      <c r="H341" s="1831"/>
      <c r="I341" s="6452"/>
      <c r="J341" s="6451" t="str">
        <f t="array" ref="J341">IFERROR(VLOOKUP(J342,Dex!$B$3:$G1218,3,FALSE),"")</f>
        <v/>
      </c>
      <c r="K341" s="1830"/>
      <c r="L341" s="1830"/>
      <c r="M341" s="1831"/>
      <c r="N341" s="6452"/>
      <c r="O341" s="6451" t="str">
        <f t="array" ref="O341">IFERROR(VLOOKUP(O342,Dex!$B$3:$G1218,3,FALSE),"")</f>
        <v/>
      </c>
      <c r="P341" s="1830"/>
      <c r="Q341" s="1830"/>
      <c r="R341" s="1831"/>
      <c r="S341" s="6452"/>
      <c r="T341" s="6451" t="str">
        <f t="array" ref="T341">IFERROR(VLOOKUP(T342,Dex!$B$3:$G1218,3,FALSE),"")</f>
        <v/>
      </c>
      <c r="U341" s="1830"/>
      <c r="V341" s="1830"/>
      <c r="W341" s="1831"/>
      <c r="X341" s="6452"/>
      <c r="Y341" s="6451" t="str">
        <f t="array" ref="Y341">IFERROR(VLOOKUP(Y342,Dex!$B$3:$G1218,3,FALSE),"")</f>
        <v/>
      </c>
      <c r="Z341" s="1830"/>
      <c r="AA341" s="1830"/>
      <c r="AB341" s="1831"/>
      <c r="AC341" s="6452"/>
      <c r="AD341" s="6451" t="str">
        <f t="array" ref="AD341">IFERROR(VLOOKUP(AD342,Dex!$B$3:$G1218,3,FALSE),"")</f>
        <v/>
      </c>
      <c r="AE341" s="1830"/>
      <c r="AF341" s="1830"/>
      <c r="AG341" s="1831"/>
      <c r="AH341" s="6453"/>
      <c r="AI341" s="6129"/>
    </row>
    <row r="342" ht="18.75" customHeight="1">
      <c r="A342" s="6140"/>
      <c r="B342" s="6454"/>
      <c r="C342" s="6455" t="s">
        <v>1628</v>
      </c>
      <c r="D342" s="6456"/>
      <c r="E342" s="6457" t="s">
        <v>1629</v>
      </c>
      <c r="F342" s="6458"/>
      <c r="G342" s="6458"/>
      <c r="H342" s="6459"/>
      <c r="I342" s="6452"/>
      <c r="J342" s="6457" t="s">
        <v>260</v>
      </c>
      <c r="K342" s="6458"/>
      <c r="L342" s="6458"/>
      <c r="M342" s="6459"/>
      <c r="N342" s="6452"/>
      <c r="O342" s="6457" t="s">
        <v>744</v>
      </c>
      <c r="P342" s="6458"/>
      <c r="Q342" s="6458"/>
      <c r="R342" s="6459"/>
      <c r="S342" s="6452"/>
      <c r="T342" s="6457" t="s">
        <v>796</v>
      </c>
      <c r="U342" s="6458"/>
      <c r="V342" s="6458"/>
      <c r="W342" s="6459"/>
      <c r="X342" s="6452"/>
      <c r="Y342" s="6457" t="s">
        <v>1630</v>
      </c>
      <c r="Z342" s="6458"/>
      <c r="AA342" s="6458"/>
      <c r="AB342" s="6459"/>
      <c r="AC342" s="6452"/>
      <c r="AD342" s="6457" t="s">
        <v>1631</v>
      </c>
      <c r="AE342" s="6458"/>
      <c r="AF342" s="6458"/>
      <c r="AG342" s="6459"/>
      <c r="AH342" s="6460"/>
      <c r="AI342" s="6149"/>
    </row>
    <row r="343">
      <c r="A343" s="6125"/>
      <c r="B343" s="6448"/>
      <c r="C343" s="326"/>
      <c r="D343" s="6461"/>
      <c r="E343" s="6462" t="s">
        <v>1502</v>
      </c>
      <c r="F343" s="6463"/>
      <c r="G343" s="6463"/>
      <c r="H343" s="6464"/>
      <c r="I343" s="6452"/>
      <c r="J343" s="6462" t="s">
        <v>1502</v>
      </c>
      <c r="K343" s="6463"/>
      <c r="L343" s="6463"/>
      <c r="M343" s="6464"/>
      <c r="N343" s="6452"/>
      <c r="O343" s="6462" t="s">
        <v>1502</v>
      </c>
      <c r="P343" s="6463"/>
      <c r="Q343" s="6463"/>
      <c r="R343" s="6464"/>
      <c r="S343" s="6452"/>
      <c r="T343" s="6462" t="s">
        <v>1502</v>
      </c>
      <c r="U343" s="6463"/>
      <c r="V343" s="6463"/>
      <c r="W343" s="6464"/>
      <c r="X343" s="6452"/>
      <c r="Y343" s="6462" t="s">
        <v>1502</v>
      </c>
      <c r="Z343" s="6463"/>
      <c r="AA343" s="6463"/>
      <c r="AB343" s="6464"/>
      <c r="AC343" s="6452"/>
      <c r="AD343" s="6462" t="s">
        <v>1502</v>
      </c>
      <c r="AE343" s="6463"/>
      <c r="AF343" s="6463"/>
      <c r="AG343" s="6464"/>
      <c r="AH343" s="6453"/>
      <c r="AI343" s="6129"/>
    </row>
    <row r="344" ht="25.5" customHeight="1">
      <c r="A344" s="6125"/>
      <c r="B344" s="6448"/>
      <c r="C344" s="6465"/>
      <c r="D344" s="6466"/>
      <c r="E344" s="6467"/>
      <c r="F344" s="6468" t="str">
        <f t="array" ref="F344">IFERROR(VLOOKUP(E342,Dex!$B$3:$H1218,5,FALSE),"")</f>
        <v/>
      </c>
      <c r="G344" s="6469" t="str">
        <f t="array" ref="G344">IFERROR(VLOOKUP(E342,Dex!$B$3:$H1218,7,FALSE),"")</f>
        <v/>
      </c>
      <c r="H344" s="6470"/>
      <c r="I344" s="6452"/>
      <c r="J344" s="6467"/>
      <c r="K344" s="6468" t="str">
        <f t="array" ref="K344">IFERROR(VLOOKUP(J342,Dex!$B$3:$H1218,5,FALSE),"")</f>
        <v/>
      </c>
      <c r="L344" s="6469" t="str">
        <f t="array" ref="L344">IFERROR(VLOOKUP(J342,Dex!$B$3:$H1218,7,FALSE),"")</f>
        <v/>
      </c>
      <c r="M344" s="6470"/>
      <c r="N344" s="6452"/>
      <c r="O344" s="6467"/>
      <c r="P344" s="6471" t="str">
        <f t="array" ref="P344">IFERROR(VLOOKUP(O342,Dex!$B$3:$H1218,5,FALSE),"")</f>
        <v/>
      </c>
      <c r="Q344" s="6472"/>
      <c r="R344" s="6470"/>
      <c r="S344" s="6452"/>
      <c r="T344" s="6467"/>
      <c r="U344" s="6468" t="str">
        <f t="array" ref="U344">IFERROR(VLOOKUP(T342,Dex!$B$3:$H1218,5,FALSE),"")</f>
        <v/>
      </c>
      <c r="V344" s="6469" t="str">
        <f t="array" ref="V344">IFERROR(VLOOKUP(T342,Dex!$B$3:$H1218,7,FALSE),"")</f>
        <v/>
      </c>
      <c r="W344" s="6470"/>
      <c r="X344" s="6452"/>
      <c r="Y344" s="6467"/>
      <c r="Z344" s="6471" t="str">
        <f t="array" ref="Z344">IFERROR(VLOOKUP(Y342,Dex!$B$3:$H1218,5,FALSE),"")</f>
        <v/>
      </c>
      <c r="AA344" s="6472"/>
      <c r="AB344" s="6470"/>
      <c r="AC344" s="6452"/>
      <c r="AD344" s="6467"/>
      <c r="AE344" s="6468" t="str">
        <f t="array" ref="AE344">IFERROR(VLOOKUP(AD342,Dex!$B$3:$H1218,5,FALSE),"")</f>
        <v/>
      </c>
      <c r="AF344" s="6469" t="str">
        <f t="array" ref="AF344">IFERROR(VLOOKUP(AD342,Dex!$B$3:$H1218,7,FALSE),"")</f>
        <v/>
      </c>
      <c r="AG344" s="6470"/>
      <c r="AH344" s="6453"/>
      <c r="AI344" s="6129"/>
    </row>
    <row r="345" ht="2.25" customHeight="1">
      <c r="A345" s="6125"/>
      <c r="B345" s="6448"/>
      <c r="C345" s="6473"/>
      <c r="D345" s="6466"/>
      <c r="E345" s="6474"/>
      <c r="F345" s="6475"/>
      <c r="G345" s="6475"/>
      <c r="H345" s="6476"/>
      <c r="I345" s="6452"/>
      <c r="J345" s="6474"/>
      <c r="K345" s="6475"/>
      <c r="L345" s="6475"/>
      <c r="M345" s="6476"/>
      <c r="N345" s="6452"/>
      <c r="O345" s="6474"/>
      <c r="P345" s="6475"/>
      <c r="Q345" s="6475"/>
      <c r="R345" s="6476"/>
      <c r="S345" s="6452"/>
      <c r="T345" s="6474"/>
      <c r="U345" s="6475"/>
      <c r="V345" s="6475"/>
      <c r="W345" s="6476"/>
      <c r="X345" s="6452"/>
      <c r="Y345" s="6474"/>
      <c r="Z345" s="6475"/>
      <c r="AA345" s="6475"/>
      <c r="AB345" s="6476"/>
      <c r="AC345" s="6452"/>
      <c r="AD345" s="6474"/>
      <c r="AE345" s="6475"/>
      <c r="AF345" s="6475"/>
      <c r="AG345" s="6476"/>
      <c r="AH345" s="6453"/>
      <c r="AI345" s="6129"/>
    </row>
    <row r="346" ht="20.25" customHeight="1">
      <c r="A346" s="6125"/>
      <c r="B346" s="6448"/>
      <c r="C346" s="6473"/>
      <c r="D346" s="6466"/>
      <c r="E346" s="6477" t="s">
        <v>172</v>
      </c>
      <c r="F346" s="6478"/>
      <c r="G346" s="6478"/>
      <c r="H346" s="6479"/>
      <c r="I346" s="6452"/>
      <c r="J346" s="6477" t="s">
        <v>263</v>
      </c>
      <c r="K346" s="6478"/>
      <c r="L346" s="6478"/>
      <c r="M346" s="6479"/>
      <c r="N346" s="6452"/>
      <c r="O346" s="6477" t="s">
        <v>263</v>
      </c>
      <c r="P346" s="6478"/>
      <c r="Q346" s="6478"/>
      <c r="R346" s="6479"/>
      <c r="S346" s="6452"/>
      <c r="T346" s="6477" t="s">
        <v>172</v>
      </c>
      <c r="U346" s="6478"/>
      <c r="V346" s="6478"/>
      <c r="W346" s="6479"/>
      <c r="X346" s="6452"/>
      <c r="Y346" s="6477" t="s">
        <v>169</v>
      </c>
      <c r="Z346" s="6478"/>
      <c r="AA346" s="6478"/>
      <c r="AB346" s="6479"/>
      <c r="AC346" s="6452"/>
      <c r="AD346" s="6477" t="s">
        <v>172</v>
      </c>
      <c r="AE346" s="6478"/>
      <c r="AF346" s="6478"/>
      <c r="AG346" s="6479"/>
      <c r="AH346" s="6453"/>
      <c r="AI346" s="6129"/>
    </row>
    <row r="347">
      <c r="A347" s="6125"/>
      <c r="B347" s="6448"/>
      <c r="C347" s="6473"/>
      <c r="D347" s="6466"/>
      <c r="E347" s="6480" t="s">
        <v>780</v>
      </c>
      <c r="F347" s="6481"/>
      <c r="G347" s="6481"/>
      <c r="H347" s="6482"/>
      <c r="I347" s="6452"/>
      <c r="J347" s="6480" t="s">
        <v>1632</v>
      </c>
      <c r="K347" s="6481"/>
      <c r="L347" s="6481"/>
      <c r="M347" s="6482"/>
      <c r="N347" s="6452"/>
      <c r="O347" s="6480" t="s">
        <v>1633</v>
      </c>
      <c r="P347" s="6481"/>
      <c r="Q347" s="6481"/>
      <c r="R347" s="6482"/>
      <c r="S347" s="6452"/>
      <c r="T347" s="6480" t="s">
        <v>1634</v>
      </c>
      <c r="U347" s="6481"/>
      <c r="V347" s="6481"/>
      <c r="W347" s="6482"/>
      <c r="X347" s="6452"/>
      <c r="Y347" s="6480" t="s">
        <v>550</v>
      </c>
      <c r="Z347" s="6481"/>
      <c r="AA347" s="6481"/>
      <c r="AB347" s="6482"/>
      <c r="AC347" s="6452"/>
      <c r="AD347" s="6480" t="s">
        <v>1635</v>
      </c>
      <c r="AE347" s="6481"/>
      <c r="AF347" s="6481"/>
      <c r="AG347" s="6482"/>
      <c r="AH347" s="6453"/>
      <c r="AI347" s="6129"/>
    </row>
    <row r="348" ht="20.25" customHeight="1">
      <c r="A348" s="6125"/>
      <c r="B348" s="6448"/>
      <c r="C348" s="6473"/>
      <c r="D348" s="6466"/>
      <c r="E348" s="6483" t="s">
        <v>1539</v>
      </c>
      <c r="F348" s="6484"/>
      <c r="G348" s="6485"/>
      <c r="H348" s="6486" t="str">
        <f>IMAGE("https://raw.githubusercontent.com/msikma/pokesprite/master/items/hold-item/light-ball.png",3)</f>
        <v/>
      </c>
      <c r="I348" s="6452"/>
      <c r="J348" s="6483" t="s">
        <v>270</v>
      </c>
      <c r="K348" s="6484"/>
      <c r="L348" s="6485"/>
      <c r="M348" s="6486" t="str">
        <f>IMAGE("https://raw.githubusercontent.com/msikma/pokesprite/master/items/mega-stone/venusaurite.png",3)</f>
        <v/>
      </c>
      <c r="N348" s="6452"/>
      <c r="O348" s="6483" t="s">
        <v>748</v>
      </c>
      <c r="P348" s="6484"/>
      <c r="Q348" s="6485"/>
      <c r="R348" s="6486" t="str">
        <f>IMAGE("https://raw.githubusercontent.com/msikma/pokesprite/master/items/mega-stone/blastoisinite.png",3)</f>
        <v/>
      </c>
      <c r="S348" s="6452"/>
      <c r="T348" s="6483" t="s">
        <v>798</v>
      </c>
      <c r="U348" s="6484"/>
      <c r="V348" s="6485"/>
      <c r="W348" s="6486" t="str">
        <f>IMAGE("https://raw.githubusercontent.com/msikma/pokesprite/master/items/mega-stone/charizardite-x.png",3)</f>
        <v/>
      </c>
      <c r="X348" s="6452"/>
      <c r="Y348" s="6483" t="s">
        <v>394</v>
      </c>
      <c r="Z348" s="6484"/>
      <c r="AA348" s="6485"/>
      <c r="AB348" s="6486" t="str">
        <f>IMAGE("https://raw.githubusercontent.com/msikma/pokesprite/master/items/hold-item/leftovers.png",3)</f>
        <v/>
      </c>
      <c r="AC348" s="6452"/>
      <c r="AD348" s="6483" t="s">
        <v>1636</v>
      </c>
      <c r="AE348" s="6484"/>
      <c r="AF348" s="6485"/>
      <c r="AG348" s="6486" t="str">
        <f>IMAGE("https://raw.githubusercontent.com/msikma/pokesprite/master/items/mega-stone/mewtwonite-x.png",3)</f>
        <v/>
      </c>
      <c r="AH348" s="6453"/>
      <c r="AI348" s="6129"/>
    </row>
    <row r="349" ht="20.25" customHeight="1">
      <c r="A349" s="6125"/>
      <c r="B349" s="6448"/>
      <c r="C349" s="6487"/>
      <c r="D349" s="6466"/>
      <c r="E349" s="6477" t="s">
        <v>476</v>
      </c>
      <c r="F349" s="6478"/>
      <c r="G349" s="6488"/>
      <c r="H349" s="6489" t="str">
        <f>IMAGE("https://raw.githubusercontent.com/msikma/pokesprite/master/misc/types/gen8/normal.png",4,20,20)</f>
        <v/>
      </c>
      <c r="I349" s="6452"/>
      <c r="J349" s="6477" t="s">
        <v>275</v>
      </c>
      <c r="K349" s="6478"/>
      <c r="L349" s="6488"/>
      <c r="M349" s="6489" t="str">
        <f>IMAGE("https://raw.githubusercontent.com/msikma/pokesprite/master/misc/types/gen8/grass.png",4,20,20)</f>
        <v/>
      </c>
      <c r="N349" s="6452"/>
      <c r="O349" s="6477" t="s">
        <v>428</v>
      </c>
      <c r="P349" s="6478"/>
      <c r="Q349" s="6488"/>
      <c r="R349" s="6489" t="str">
        <f>IMAGE("https://raw.githubusercontent.com/msikma/pokesprite/master/misc/types/gen8/normal.png",4,20,20)</f>
        <v/>
      </c>
      <c r="S349" s="6452"/>
      <c r="T349" s="6477" t="s">
        <v>396</v>
      </c>
      <c r="U349" s="6478"/>
      <c r="V349" s="6488"/>
      <c r="W349" s="6489" t="str">
        <f>IMAGE("https://raw.githubusercontent.com/msikma/pokesprite/master/misc/types/gen8/dragon.png",4,20,20)</f>
        <v/>
      </c>
      <c r="X349" s="6452"/>
      <c r="Y349" s="6477" t="s">
        <v>557</v>
      </c>
      <c r="Z349" s="6478"/>
      <c r="AA349" s="6488"/>
      <c r="AB349" s="6489" t="str">
        <f>IMAGE("https://raw.githubusercontent.com/msikma/pokesprite/master/misc/types/gen8/normal.png",4,20,20)</f>
        <v/>
      </c>
      <c r="AC349" s="6452"/>
      <c r="AD349" s="6477" t="s">
        <v>604</v>
      </c>
      <c r="AE349" s="6478"/>
      <c r="AF349" s="6488"/>
      <c r="AG349" s="6489" t="str">
        <f>IMAGE("https://raw.githubusercontent.com/msikma/pokesprite/master/misc/types/gen8/fighting.png",4,20,20)</f>
        <v/>
      </c>
      <c r="AH349" s="6453"/>
      <c r="AI349" s="6129"/>
    </row>
    <row r="350" ht="20.25" customHeight="1">
      <c r="A350" s="6125"/>
      <c r="B350" s="6448"/>
      <c r="C350" s="6490"/>
      <c r="D350" s="6466"/>
      <c r="E350" s="6480" t="s">
        <v>1637</v>
      </c>
      <c r="F350" s="6481"/>
      <c r="G350" s="6491"/>
      <c r="H350" s="6492" t="str">
        <f>IMAGE("https://raw.githubusercontent.com/msikma/pokesprite/master/misc/types/gen8/electric.png",4,20,20)</f>
        <v/>
      </c>
      <c r="I350" s="6452"/>
      <c r="J350" s="6480" t="s">
        <v>280</v>
      </c>
      <c r="K350" s="6481"/>
      <c r="L350" s="6491"/>
      <c r="M350" s="6492" t="str">
        <f>IMAGE("https://raw.githubusercontent.com/msikma/pokesprite/master/misc/types/gen8/poison.png",4,20,20)</f>
        <v/>
      </c>
      <c r="N350" s="6452"/>
      <c r="O350" s="6480" t="s">
        <v>317</v>
      </c>
      <c r="P350" s="6481"/>
      <c r="Q350" s="6491"/>
      <c r="R350" s="6492" t="str">
        <f>IMAGE("https://raw.githubusercontent.com/msikma/pokesprite/master/misc/types/gen8/ice.png",4,20,20)</f>
        <v/>
      </c>
      <c r="S350" s="6452"/>
      <c r="T350" s="6480" t="s">
        <v>378</v>
      </c>
      <c r="U350" s="6481"/>
      <c r="V350" s="6491"/>
      <c r="W350" s="6492" t="str">
        <f>IMAGE("https://raw.githubusercontent.com/msikma/pokesprite/master/misc/types/gen8/fire.png",4,20,20)</f>
        <v/>
      </c>
      <c r="X350" s="6452"/>
      <c r="Y350" s="6480" t="s">
        <v>402</v>
      </c>
      <c r="Z350" s="6481"/>
      <c r="AA350" s="6491"/>
      <c r="AB350" s="6492" t="str">
        <f>IMAGE("https://raw.githubusercontent.com/msikma/pokesprite/master/misc/types/gen8/ground.png",4,20,20)</f>
        <v/>
      </c>
      <c r="AC350" s="6452"/>
      <c r="AD350" s="6480" t="s">
        <v>562</v>
      </c>
      <c r="AE350" s="6481"/>
      <c r="AF350" s="6491"/>
      <c r="AG350" s="6492" t="str">
        <f>IMAGE("https://raw.githubusercontent.com/msikma/pokesprite/master/misc/types/gen8/psychic.png",4,20,20)</f>
        <v/>
      </c>
      <c r="AH350" s="6453"/>
      <c r="AI350" s="6129"/>
    </row>
    <row r="351" ht="20.25" customHeight="1">
      <c r="A351" s="6125"/>
      <c r="B351" s="6448"/>
      <c r="C351" s="6490"/>
      <c r="D351" s="6466"/>
      <c r="E351" s="6480" t="s">
        <v>316</v>
      </c>
      <c r="F351" s="6481"/>
      <c r="G351" s="6491"/>
      <c r="H351" s="6492" t="str">
        <f>IMAGE("https://raw.githubusercontent.com/msikma/pokesprite/master/misc/types/gen8/fighting.png",4,20,20)</f>
        <v/>
      </c>
      <c r="I351" s="6452"/>
      <c r="J351" s="6480" t="s">
        <v>286</v>
      </c>
      <c r="K351" s="6481"/>
      <c r="L351" s="6491"/>
      <c r="M351" s="6492" t="str">
        <f>IMAGE("https://raw.githubusercontent.com/msikma/pokesprite/master/misc/types/gen8/ground.png",4,20,20)</f>
        <v/>
      </c>
      <c r="N351" s="6452"/>
      <c r="O351" s="6480" t="s">
        <v>345</v>
      </c>
      <c r="P351" s="6481"/>
      <c r="Q351" s="6491"/>
      <c r="R351" s="6492" t="str">
        <f>IMAGE("https://raw.githubusercontent.com/msikma/pokesprite/master/misc/types/gen8/dark.png",4,20,20)</f>
        <v/>
      </c>
      <c r="S351" s="6452"/>
      <c r="T351" s="6480" t="s">
        <v>402</v>
      </c>
      <c r="U351" s="6481"/>
      <c r="V351" s="6491"/>
      <c r="W351" s="6492" t="str">
        <f>IMAGE("https://raw.githubusercontent.com/msikma/pokesprite/master/misc/types/gen8/ground.png",4,20,20)</f>
        <v/>
      </c>
      <c r="X351" s="6452"/>
      <c r="Y351" s="6480" t="s">
        <v>921</v>
      </c>
      <c r="Z351" s="6481"/>
      <c r="AA351" s="6491"/>
      <c r="AB351" s="6492" t="str">
        <f>IMAGE("https://raw.githubusercontent.com/msikma/pokesprite/master/misc/types/gen8/dark.png",4,20,20)</f>
        <v/>
      </c>
      <c r="AC351" s="6452"/>
      <c r="AD351" s="6480" t="s">
        <v>316</v>
      </c>
      <c r="AE351" s="6481"/>
      <c r="AF351" s="6491"/>
      <c r="AG351" s="6492" t="str">
        <f>IMAGE("https://raw.githubusercontent.com/msikma/pokesprite/master/misc/types/gen8/fighting.png",4,20,20)</f>
        <v/>
      </c>
      <c r="AH351" s="6453"/>
      <c r="AI351" s="6129"/>
    </row>
    <row r="352" ht="21.0" customHeight="1">
      <c r="A352" s="6125"/>
      <c r="B352" s="6448"/>
      <c r="C352" s="6490"/>
      <c r="D352" s="6466"/>
      <c r="E352" s="6493" t="s">
        <v>279</v>
      </c>
      <c r="F352" s="6494"/>
      <c r="G352" s="6495"/>
      <c r="H352" s="6496" t="str">
        <f>IMAGE("https://raw.githubusercontent.com/msikma/pokesprite/master/misc/types/gen8/dark.png",4,20,20)</f>
        <v/>
      </c>
      <c r="I352" s="6452"/>
      <c r="J352" s="6493" t="s">
        <v>283</v>
      </c>
      <c r="K352" s="6494"/>
      <c r="L352" s="6495"/>
      <c r="M352" s="6496" t="str">
        <f>IMAGE("https://raw.githubusercontent.com/msikma/pokesprite/master/misc/types/gen8/grass.png",4,20,20)</f>
        <v/>
      </c>
      <c r="N352" s="6452"/>
      <c r="O352" s="6493" t="s">
        <v>375</v>
      </c>
      <c r="P352" s="6494"/>
      <c r="Q352" s="6495"/>
      <c r="R352" s="6496" t="str">
        <f>IMAGE("https://raw.githubusercontent.com/msikma/pokesprite/master/misc/types/gen8/fighting.png",4,20,20)</f>
        <v/>
      </c>
      <c r="S352" s="6452"/>
      <c r="T352" s="6493" t="s">
        <v>409</v>
      </c>
      <c r="U352" s="6494"/>
      <c r="V352" s="6495"/>
      <c r="W352" s="6496" t="str">
        <f>IMAGE("https://raw.githubusercontent.com/msikma/pokesprite/master/misc/types/gen8/dragon.png",4,20,20)</f>
        <v/>
      </c>
      <c r="X352" s="6452"/>
      <c r="Y352" s="6493" t="s">
        <v>403</v>
      </c>
      <c r="Z352" s="6494"/>
      <c r="AA352" s="6495"/>
      <c r="AB352" s="6496" t="str">
        <f>IMAGE("https://raw.githubusercontent.com/msikma/pokesprite/master/misc/types/gen8/fire.png",4,20,20)</f>
        <v/>
      </c>
      <c r="AC352" s="6452"/>
      <c r="AD352" s="6493" t="s">
        <v>399</v>
      </c>
      <c r="AE352" s="6494"/>
      <c r="AF352" s="6495"/>
      <c r="AG352" s="6496" t="str">
        <f>IMAGE("https://raw.githubusercontent.com/msikma/pokesprite/master/misc/types/gen8/rock.png",4,20,20)</f>
        <v/>
      </c>
      <c r="AH352" s="6453"/>
      <c r="AI352" s="6129"/>
    </row>
    <row r="353" ht="3.0" customHeight="1">
      <c r="A353" s="6185"/>
      <c r="B353" s="6497"/>
      <c r="C353" s="6498"/>
      <c r="D353" s="6499"/>
      <c r="E353" s="6500"/>
      <c r="F353" s="6500"/>
      <c r="G353" s="6500"/>
      <c r="H353" s="6500"/>
      <c r="I353" s="6499"/>
      <c r="J353" s="6501"/>
      <c r="K353" s="6501"/>
      <c r="L353" s="6501"/>
      <c r="M353" s="6500"/>
      <c r="N353" s="6499"/>
      <c r="O353" s="6501"/>
      <c r="P353" s="6501"/>
      <c r="Q353" s="6501"/>
      <c r="R353" s="6500"/>
      <c r="S353" s="6500"/>
      <c r="T353" s="6501"/>
      <c r="U353" s="6501"/>
      <c r="V353" s="6501"/>
      <c r="W353" s="6500"/>
      <c r="X353" s="6499"/>
      <c r="Y353" s="6501"/>
      <c r="Z353" s="6501"/>
      <c r="AA353" s="6501"/>
      <c r="AB353" s="6500"/>
      <c r="AC353" s="6499"/>
      <c r="AD353" s="6501"/>
      <c r="AE353" s="6501"/>
      <c r="AF353" s="6501"/>
      <c r="AG353" s="6500"/>
      <c r="AH353" s="6502"/>
      <c r="AI353" s="6192"/>
    </row>
    <row r="354" ht="16.5" customHeight="1">
      <c r="A354" s="6185"/>
      <c r="B354" s="6503"/>
      <c r="C354" s="6498"/>
      <c r="D354" s="6504"/>
      <c r="E354" s="6505" t="s">
        <v>190</v>
      </c>
      <c r="F354" s="381"/>
      <c r="G354" s="382"/>
      <c r="H354" s="6506" t="s">
        <v>191</v>
      </c>
      <c r="I354" s="6507"/>
      <c r="J354" s="6505" t="s">
        <v>190</v>
      </c>
      <c r="K354" s="381"/>
      <c r="L354" s="382"/>
      <c r="M354" s="6506" t="s">
        <v>191</v>
      </c>
      <c r="N354" s="6508"/>
      <c r="O354" s="6505" t="s">
        <v>190</v>
      </c>
      <c r="P354" s="381"/>
      <c r="Q354" s="382"/>
      <c r="R354" s="6506" t="s">
        <v>191</v>
      </c>
      <c r="S354" s="6509"/>
      <c r="T354" s="6505" t="s">
        <v>190</v>
      </c>
      <c r="U354" s="381"/>
      <c r="V354" s="382"/>
      <c r="W354" s="6506" t="s">
        <v>191</v>
      </c>
      <c r="X354" s="6508"/>
      <c r="Y354" s="6505" t="s">
        <v>190</v>
      </c>
      <c r="Z354" s="381"/>
      <c r="AA354" s="382"/>
      <c r="AB354" s="6506" t="s">
        <v>191</v>
      </c>
      <c r="AC354" s="6508"/>
      <c r="AD354" s="6505" t="s">
        <v>190</v>
      </c>
      <c r="AE354" s="381"/>
      <c r="AF354" s="382"/>
      <c r="AG354" s="6506" t="s">
        <v>191</v>
      </c>
      <c r="AH354" s="6510"/>
      <c r="AI354" s="6192"/>
    </row>
    <row r="355" ht="16.5" customHeight="1">
      <c r="A355" s="6185"/>
      <c r="B355" s="6503"/>
      <c r="C355" s="6498"/>
      <c r="D355" s="6504"/>
      <c r="E355" s="6511" t="s">
        <v>192</v>
      </c>
      <c r="F355" s="6512">
        <f t="array" ref="F355">IFERROR(VLOOKUP(E342,Dex!$B$3:$N1218,8,FALSE),"")</f>
        <v>35</v>
      </c>
      <c r="G355" s="6513" t="str">
        <f t="array" ref="G355">IFERROR(VLOOKUP(F355,Dex!$P$22:$Q$276,2,FALSE),"")</f>
        <v/>
      </c>
      <c r="H355" s="6514">
        <v>252.0</v>
      </c>
      <c r="I355" s="6515"/>
      <c r="J355" s="6511" t="s">
        <v>192</v>
      </c>
      <c r="K355" s="6512">
        <f t="array" ref="K355">IFERROR(VLOOKUP(J342,Dex!$B$3:$N1218,8,FALSE),"")</f>
        <v>80</v>
      </c>
      <c r="L355" s="6513" t="str">
        <f t="array" ref="L355">IFERROR(VLOOKUP(K355,Dex!$P$22:$Q$276,2,FALSE),"")</f>
        <v/>
      </c>
      <c r="M355" s="6514">
        <v>252.0</v>
      </c>
      <c r="N355" s="6504"/>
      <c r="O355" s="6511" t="s">
        <v>192</v>
      </c>
      <c r="P355" s="6512">
        <f t="array" ref="P355">IFERROR(VLOOKUP(O342,Dex!$B$3:$N1218,8,FALSE),"")</f>
        <v>79</v>
      </c>
      <c r="Q355" s="6513" t="str">
        <f t="array" ref="Q355">IFERROR(VLOOKUP(P355,Dex!$P$22:$Q$276,2,FALSE),"")</f>
        <v/>
      </c>
      <c r="R355" s="6514">
        <v>4.0</v>
      </c>
      <c r="S355" s="6516"/>
      <c r="T355" s="6511" t="s">
        <v>192</v>
      </c>
      <c r="U355" s="6512">
        <f t="array" ref="U355">IFERROR(VLOOKUP(T342,Dex!$B$3:$N1218,8,FALSE),"")</f>
        <v>78</v>
      </c>
      <c r="V355" s="6513" t="str">
        <f t="array" ref="V355">IFERROR(VLOOKUP(U355,Dex!$P$22:$Q$276,2,FALSE),"")</f>
        <v/>
      </c>
      <c r="W355" s="6514"/>
      <c r="X355" s="6504"/>
      <c r="Y355" s="6511" t="s">
        <v>192</v>
      </c>
      <c r="Z355" s="6512">
        <f t="array" ref="Z355">IFERROR(VLOOKUP(Y342,Dex!$B$3:$N1218,8,FALSE),"")</f>
        <v>160</v>
      </c>
      <c r="AA355" s="6513" t="str">
        <f t="array" ref="AA355">IFERROR(VLOOKUP(Z355,Dex!$P$22:$Q$276,2,FALSE),"")</f>
        <v/>
      </c>
      <c r="AB355" s="6514">
        <v>252.0</v>
      </c>
      <c r="AC355" s="6504"/>
      <c r="AD355" s="6511" t="s">
        <v>192</v>
      </c>
      <c r="AE355" s="6512">
        <f t="array" ref="AE355">IFERROR(VLOOKUP(AD342,Dex!$B$3:$N1218,8,FALSE),"")</f>
        <v>106</v>
      </c>
      <c r="AF355" s="6513" t="str">
        <f t="array" ref="AF355">IFERROR(VLOOKUP(AE355,Dex!$P$22:$Q$276,2,FALSE),"")</f>
        <v/>
      </c>
      <c r="AG355" s="6514">
        <v>4.0</v>
      </c>
      <c r="AH355" s="6510"/>
      <c r="AI355" s="6192"/>
    </row>
    <row r="356" ht="16.5" customHeight="1">
      <c r="A356" s="6185"/>
      <c r="B356" s="6503"/>
      <c r="C356" s="6498"/>
      <c r="D356" s="6504"/>
      <c r="E356" s="6517" t="s">
        <v>193</v>
      </c>
      <c r="F356" s="6518">
        <f t="array" ref="F356">IFERROR(VLOOKUP(E342,Dex!$B$3:$N1218,9,FALSE),"")</f>
        <v>55</v>
      </c>
      <c r="G356" s="6519" t="str">
        <f t="array" ref="G356">IFERROR(VLOOKUP(F356,Dex!$P$22:$Q$276,2,FALSE),"")</f>
        <v/>
      </c>
      <c r="H356" s="6520">
        <v>252.0</v>
      </c>
      <c r="I356" s="6515"/>
      <c r="J356" s="6517" t="s">
        <v>193</v>
      </c>
      <c r="K356" s="6518">
        <f t="array" ref="K356">IFERROR(VLOOKUP(J342,Dex!$B$3:$N1218,9,FALSE),"")</f>
        <v>100</v>
      </c>
      <c r="L356" s="6519" t="str">
        <f t="array" ref="L356">IFERROR(VLOOKUP(K356,Dex!$P$22:$Q$276,2,FALSE),"")</f>
        <v/>
      </c>
      <c r="M356" s="6520"/>
      <c r="N356" s="6504"/>
      <c r="O356" s="6517" t="s">
        <v>193</v>
      </c>
      <c r="P356" s="6518">
        <f t="array" ref="P356">IFERROR(VLOOKUP(O342,Dex!$B$3:$N1218,9,FALSE),"")</f>
        <v>103</v>
      </c>
      <c r="Q356" s="6519" t="str">
        <f t="array" ref="Q356">IFERROR(VLOOKUP(P356,Dex!$P$22:$Q$276,2,FALSE),"")</f>
        <v/>
      </c>
      <c r="R356" s="6520"/>
      <c r="S356" s="6516"/>
      <c r="T356" s="6517" t="s">
        <v>193</v>
      </c>
      <c r="U356" s="6518">
        <f t="array" ref="U356">IFERROR(VLOOKUP(T342,Dex!$B$3:$N1218,9,FALSE),"")</f>
        <v>130</v>
      </c>
      <c r="V356" s="6519" t="str">
        <f t="array" ref="V356">IFERROR(VLOOKUP(U356,Dex!$P$22:$Q$276,2,FALSE),"")</f>
        <v/>
      </c>
      <c r="W356" s="6520">
        <v>252.0</v>
      </c>
      <c r="X356" s="6504"/>
      <c r="Y356" s="6517" t="s">
        <v>193</v>
      </c>
      <c r="Z356" s="6518">
        <f t="array" ref="Z356">IFERROR(VLOOKUP(Y342,Dex!$B$3:$N1218,9,FALSE),"")</f>
        <v>110</v>
      </c>
      <c r="AA356" s="6519" t="str">
        <f t="array" ref="AA356">IFERROR(VLOOKUP(Z356,Dex!$P$22:$Q$276,2,FALSE),"")</f>
        <v/>
      </c>
      <c r="AB356" s="6520">
        <v>252.0</v>
      </c>
      <c r="AC356" s="6504"/>
      <c r="AD356" s="6517" t="s">
        <v>193</v>
      </c>
      <c r="AE356" s="6518">
        <f t="array" ref="AE356">IFERROR(VLOOKUP(AD342,Dex!$B$3:$N1218,9,FALSE),"")</f>
        <v>190</v>
      </c>
      <c r="AF356" s="6519" t="str">
        <f t="array" ref="AF356">IFERROR(VLOOKUP(AE356,Dex!$P$22:$Q$276,2,FALSE),"")</f>
        <v/>
      </c>
      <c r="AG356" s="6520">
        <v>252.0</v>
      </c>
      <c r="AH356" s="6510"/>
      <c r="AI356" s="6192"/>
    </row>
    <row r="357" ht="16.5" customHeight="1">
      <c r="A357" s="6185"/>
      <c r="B357" s="6503"/>
      <c r="C357" s="6498"/>
      <c r="D357" s="6504"/>
      <c r="E357" s="6517" t="s">
        <v>194</v>
      </c>
      <c r="F357" s="6518">
        <f t="array" ref="F357">IFERROR(VLOOKUP(E342,Dex!$B$3:$N1218,10,FALSE),"")</f>
        <v>40</v>
      </c>
      <c r="G357" s="6519" t="str">
        <f t="array" ref="G357">IFERROR(VLOOKUP(F357,Dex!$P$22:$Q$276,2,FALSE),"")</f>
        <v/>
      </c>
      <c r="H357" s="6520">
        <v>252.0</v>
      </c>
      <c r="I357" s="6515"/>
      <c r="J357" s="6517" t="s">
        <v>194</v>
      </c>
      <c r="K357" s="6518">
        <f t="array" ref="K357">IFERROR(VLOOKUP(J342,Dex!$B$3:$N1218,10,FALSE),"")</f>
        <v>123</v>
      </c>
      <c r="L357" s="6519" t="str">
        <f t="array" ref="L357">IFERROR(VLOOKUP(K357,Dex!$P$22:$Q$276,2,FALSE),"")</f>
        <v/>
      </c>
      <c r="M357" s="6520"/>
      <c r="N357" s="6504"/>
      <c r="O357" s="6517" t="s">
        <v>194</v>
      </c>
      <c r="P357" s="6518">
        <f t="array" ref="P357">IFERROR(VLOOKUP(O342,Dex!$B$3:$N1218,10,FALSE),"")</f>
        <v>120</v>
      </c>
      <c r="Q357" s="6519" t="str">
        <f t="array" ref="Q357">IFERROR(VLOOKUP(P357,Dex!$P$22:$Q$276,2,FALSE),"")</f>
        <v/>
      </c>
      <c r="R357" s="6520"/>
      <c r="S357" s="6516"/>
      <c r="T357" s="6517" t="s">
        <v>194</v>
      </c>
      <c r="U357" s="6518">
        <f t="array" ref="U357">IFERROR(VLOOKUP(T342,Dex!$B$3:$N1218,10,FALSE),"")</f>
        <v>111</v>
      </c>
      <c r="V357" s="6519" t="str">
        <f t="array" ref="V357">IFERROR(VLOOKUP(U357,Dex!$P$22:$Q$276,2,FALSE),"")</f>
        <v/>
      </c>
      <c r="W357" s="6520">
        <v>4.0</v>
      </c>
      <c r="X357" s="6504"/>
      <c r="Y357" s="6517" t="s">
        <v>194</v>
      </c>
      <c r="Z357" s="6518">
        <f t="array" ref="Z357">IFERROR(VLOOKUP(Y342,Dex!$B$3:$N1218,10,FALSE),"")</f>
        <v>65</v>
      </c>
      <c r="AA357" s="6519" t="str">
        <f t="array" ref="AA357">IFERROR(VLOOKUP(Z357,Dex!$P$22:$Q$276,2,FALSE),"")</f>
        <v/>
      </c>
      <c r="AB357" s="6520">
        <v>4.0</v>
      </c>
      <c r="AC357" s="6504"/>
      <c r="AD357" s="6517" t="s">
        <v>194</v>
      </c>
      <c r="AE357" s="6518">
        <f t="array" ref="AE357">IFERROR(VLOOKUP(AD342,Dex!$B$3:$N1218,10,FALSE),"")</f>
        <v>100</v>
      </c>
      <c r="AF357" s="6519" t="str">
        <f t="array" ref="AF357">IFERROR(VLOOKUP(AE357,Dex!$P$22:$Q$276,2,FALSE),"")</f>
        <v/>
      </c>
      <c r="AG357" s="6520"/>
      <c r="AH357" s="6510"/>
      <c r="AI357" s="6192"/>
    </row>
    <row r="358" ht="16.5" customHeight="1">
      <c r="A358" s="6185"/>
      <c r="B358" s="6503"/>
      <c r="C358" s="6498"/>
      <c r="D358" s="6504"/>
      <c r="E358" s="6517" t="s">
        <v>195</v>
      </c>
      <c r="F358" s="6518">
        <f t="array" ref="F358">IFERROR(VLOOKUP(E342,Dex!$B$3:$N1218,11,FALSE),"")</f>
        <v>50</v>
      </c>
      <c r="G358" s="6519" t="str">
        <f t="array" ref="G358">IFERROR(VLOOKUP(F358,Dex!$P$22:$Q$276,2,FALSE),"")</f>
        <v/>
      </c>
      <c r="H358" s="6520">
        <v>252.0</v>
      </c>
      <c r="I358" s="6515"/>
      <c r="J358" s="6517" t="s">
        <v>195</v>
      </c>
      <c r="K358" s="6518">
        <f t="array" ref="K358">IFERROR(VLOOKUP(J342,Dex!$B$3:$N1218,11,FALSE),"")</f>
        <v>122</v>
      </c>
      <c r="L358" s="6519" t="str">
        <f t="array" ref="L358">IFERROR(VLOOKUP(K358,Dex!$P$22:$Q$276,2,FALSE),"")</f>
        <v/>
      </c>
      <c r="M358" s="6520">
        <v>252.0</v>
      </c>
      <c r="N358" s="6504"/>
      <c r="O358" s="6517" t="s">
        <v>195</v>
      </c>
      <c r="P358" s="6518">
        <f t="array" ref="P358">IFERROR(VLOOKUP(O342,Dex!$B$3:$N1218,11,FALSE),"")</f>
        <v>135</v>
      </c>
      <c r="Q358" s="6519" t="str">
        <f t="array" ref="Q358">IFERROR(VLOOKUP(P358,Dex!$P$22:$Q$276,2,FALSE),"")</f>
        <v/>
      </c>
      <c r="R358" s="6520">
        <v>252.0</v>
      </c>
      <c r="S358" s="6516"/>
      <c r="T358" s="6517" t="s">
        <v>195</v>
      </c>
      <c r="U358" s="6518">
        <f t="array" ref="U358">IFERROR(VLOOKUP(T342,Dex!$B$3:$N1218,11,FALSE),"")</f>
        <v>130</v>
      </c>
      <c r="V358" s="6519" t="str">
        <f t="array" ref="V358">IFERROR(VLOOKUP(U358,Dex!$P$22:$Q$276,2,FALSE),"")</f>
        <v/>
      </c>
      <c r="W358" s="6520"/>
      <c r="X358" s="6504"/>
      <c r="Y358" s="6517" t="s">
        <v>195</v>
      </c>
      <c r="Z358" s="6518">
        <f t="array" ref="Z358">IFERROR(VLOOKUP(Y342,Dex!$B$3:$N1218,11,FALSE),"")</f>
        <v>65</v>
      </c>
      <c r="AA358" s="6519" t="str">
        <f t="array" ref="AA358">IFERROR(VLOOKUP(Z358,Dex!$P$22:$Q$276,2,FALSE),"")</f>
        <v/>
      </c>
      <c r="AB358" s="6520"/>
      <c r="AC358" s="6504"/>
      <c r="AD358" s="6517" t="s">
        <v>195</v>
      </c>
      <c r="AE358" s="6518">
        <f t="array" ref="AE358">IFERROR(VLOOKUP(AD342,Dex!$B$3:$N1218,11,FALSE),"")</f>
        <v>154</v>
      </c>
      <c r="AF358" s="6519" t="str">
        <f t="array" ref="AF358">IFERROR(VLOOKUP(AE358,Dex!$P$22:$Q$276,2,FALSE),"")</f>
        <v/>
      </c>
      <c r="AG358" s="6520"/>
      <c r="AH358" s="6510"/>
      <c r="AI358" s="6192"/>
    </row>
    <row r="359" ht="16.5" customHeight="1">
      <c r="A359" s="6185"/>
      <c r="B359" s="6503"/>
      <c r="C359" s="6498"/>
      <c r="D359" s="6504"/>
      <c r="E359" s="6517" t="s">
        <v>196</v>
      </c>
      <c r="F359" s="6518">
        <f t="array" ref="F359">IFERROR(VLOOKUP(E342,Dex!$B$3:$N1218,12,FALSE),"")</f>
        <v>50</v>
      </c>
      <c r="G359" s="6519" t="str">
        <f t="array" ref="G359">IFERROR(VLOOKUP(F359,Dex!$P$22:$Q$276,2,FALSE),"")</f>
        <v/>
      </c>
      <c r="H359" s="6520">
        <v>252.0</v>
      </c>
      <c r="I359" s="6515"/>
      <c r="J359" s="6517" t="s">
        <v>196</v>
      </c>
      <c r="K359" s="6518">
        <f t="array" ref="K359">IFERROR(VLOOKUP(J342,Dex!$B$3:$N1218,12,FALSE),"")</f>
        <v>120</v>
      </c>
      <c r="L359" s="6519" t="str">
        <f t="array" ref="L359">IFERROR(VLOOKUP(K359,Dex!$P$22:$Q$276,2,FALSE),"")</f>
        <v/>
      </c>
      <c r="M359" s="6520">
        <v>4.0</v>
      </c>
      <c r="N359" s="6504"/>
      <c r="O359" s="6517" t="s">
        <v>196</v>
      </c>
      <c r="P359" s="6518">
        <f t="array" ref="P359">IFERROR(VLOOKUP(O342,Dex!$B$3:$N1218,12,FALSE),"")</f>
        <v>115</v>
      </c>
      <c r="Q359" s="6519" t="str">
        <f t="array" ref="Q359">IFERROR(VLOOKUP(P359,Dex!$P$22:$Q$276,2,FALSE),"")</f>
        <v/>
      </c>
      <c r="R359" s="6520"/>
      <c r="S359" s="6516"/>
      <c r="T359" s="6517" t="s">
        <v>196</v>
      </c>
      <c r="U359" s="6518">
        <f t="array" ref="U359">IFERROR(VLOOKUP(T342,Dex!$B$3:$N1218,12,FALSE),"")</f>
        <v>85</v>
      </c>
      <c r="V359" s="6519" t="str">
        <f t="array" ref="V359">IFERROR(VLOOKUP(U359,Dex!$P$22:$Q$276,2,FALSE),"")</f>
        <v/>
      </c>
      <c r="W359" s="6520"/>
      <c r="X359" s="6504"/>
      <c r="Y359" s="6517" t="s">
        <v>196</v>
      </c>
      <c r="Z359" s="6518">
        <f t="array" ref="Z359">IFERROR(VLOOKUP(Y342,Dex!$B$3:$N1218,12,FALSE),"")</f>
        <v>110</v>
      </c>
      <c r="AA359" s="6519" t="str">
        <f t="array" ref="AA359">IFERROR(VLOOKUP(Z359,Dex!$P$22:$Q$276,2,FALSE),"")</f>
        <v/>
      </c>
      <c r="AB359" s="6520"/>
      <c r="AC359" s="6504"/>
      <c r="AD359" s="6517" t="s">
        <v>196</v>
      </c>
      <c r="AE359" s="6518">
        <f t="array" ref="AE359">IFERROR(VLOOKUP(AD342,Dex!$B$3:$N1218,12,FALSE),"")</f>
        <v>100</v>
      </c>
      <c r="AF359" s="6519" t="str">
        <f t="array" ref="AF359">IFERROR(VLOOKUP(AE359,Dex!$P$22:$Q$276,2,FALSE),"")</f>
        <v/>
      </c>
      <c r="AG359" s="6520"/>
      <c r="AH359" s="6510"/>
      <c r="AI359" s="6192"/>
    </row>
    <row r="360" ht="16.5" customHeight="1">
      <c r="A360" s="6185"/>
      <c r="B360" s="6503"/>
      <c r="C360" s="6498"/>
      <c r="D360" s="6504"/>
      <c r="E360" s="6521" t="s">
        <v>197</v>
      </c>
      <c r="F360" s="6522">
        <f t="array" ref="F360">IFERROR(VLOOKUP(E342,Dex!$B$3:$N1218,13,FALSE),"")</f>
        <v>90</v>
      </c>
      <c r="G360" s="6523" t="str">
        <f t="array" ref="G360">IFERROR(VLOOKUP(F360,Dex!$P$22:$Q$276,2,FALSE),"")</f>
        <v/>
      </c>
      <c r="H360" s="6524">
        <v>252.0</v>
      </c>
      <c r="I360" s="6515"/>
      <c r="J360" s="6521" t="s">
        <v>197</v>
      </c>
      <c r="K360" s="6522">
        <f t="array" ref="K360">IFERROR(VLOOKUP(J342,Dex!$B$3:$N1218,13,FALSE),"")</f>
        <v>80</v>
      </c>
      <c r="L360" s="6523" t="str">
        <f t="array" ref="L360">IFERROR(VLOOKUP(K360,Dex!$P$22:$Q$276,2,FALSE),"")</f>
        <v/>
      </c>
      <c r="M360" s="6524"/>
      <c r="N360" s="6504"/>
      <c r="O360" s="6521" t="s">
        <v>197</v>
      </c>
      <c r="P360" s="6522">
        <f t="array" ref="P360">IFERROR(VLOOKUP(O342,Dex!$B$3:$N1218,13,FALSE),"")</f>
        <v>78</v>
      </c>
      <c r="Q360" s="6523" t="str">
        <f t="array" ref="Q360">IFERROR(VLOOKUP(P360,Dex!$P$22:$Q$276,2,FALSE),"")</f>
        <v/>
      </c>
      <c r="R360" s="6524">
        <v>252.0</v>
      </c>
      <c r="S360" s="6516"/>
      <c r="T360" s="6521" t="s">
        <v>197</v>
      </c>
      <c r="U360" s="6522">
        <f t="array" ref="U360">IFERROR(VLOOKUP(T342,Dex!$B$3:$N1218,13,FALSE),"")</f>
        <v>100</v>
      </c>
      <c r="V360" s="6523" t="str">
        <f t="array" ref="V360">IFERROR(VLOOKUP(U360,Dex!$P$22:$Q$276,2,FALSE),"")</f>
        <v/>
      </c>
      <c r="W360" s="6524">
        <v>252.0</v>
      </c>
      <c r="X360" s="6504"/>
      <c r="Y360" s="6521" t="s">
        <v>197</v>
      </c>
      <c r="Z360" s="6522">
        <f t="array" ref="Z360">IFERROR(VLOOKUP(Y342,Dex!$B$3:$N1218,13,FALSE),"")</f>
        <v>30</v>
      </c>
      <c r="AA360" s="6523" t="str">
        <f t="array" ref="AA360">IFERROR(VLOOKUP(Z360,Dex!$P$22:$Q$276,2,FALSE),"")</f>
        <v/>
      </c>
      <c r="AB360" s="6524"/>
      <c r="AC360" s="6504"/>
      <c r="AD360" s="6521" t="s">
        <v>197</v>
      </c>
      <c r="AE360" s="6522">
        <f t="array" ref="AE360">IFERROR(VLOOKUP(AD342,Dex!$B$3:$N1218,13,FALSE),"")</f>
        <v>130</v>
      </c>
      <c r="AF360" s="6523" t="str">
        <f t="array" ref="AF360">IFERROR(VLOOKUP(AE360,Dex!$P$22:$Q$276,2,FALSE),"")</f>
        <v/>
      </c>
      <c r="AG360" s="6524">
        <v>252.0</v>
      </c>
      <c r="AH360" s="6510"/>
      <c r="AI360" s="6192"/>
    </row>
    <row r="361" ht="16.5" customHeight="1">
      <c r="A361" s="6185"/>
      <c r="B361" s="6503"/>
      <c r="C361" s="6498"/>
      <c r="D361" s="6504"/>
      <c r="E361" s="6525" t="s">
        <v>198</v>
      </c>
      <c r="F361" s="405"/>
      <c r="G361" s="406"/>
      <c r="H361" s="6526">
        <v>306.0</v>
      </c>
      <c r="I361" s="6507"/>
      <c r="J361" s="6525" t="s">
        <v>198</v>
      </c>
      <c r="K361" s="405"/>
      <c r="L361" s="406"/>
      <c r="M361" s="6526">
        <v>196.0</v>
      </c>
      <c r="N361" s="6508"/>
      <c r="O361" s="6525" t="s">
        <v>198</v>
      </c>
      <c r="P361" s="405"/>
      <c r="Q361" s="406"/>
      <c r="R361" s="6526">
        <v>255.0</v>
      </c>
      <c r="S361" s="6527"/>
      <c r="T361" s="6525" t="s">
        <v>198</v>
      </c>
      <c r="U361" s="405"/>
      <c r="V361" s="406"/>
      <c r="W361" s="6526">
        <v>328.0</v>
      </c>
      <c r="X361" s="6508"/>
      <c r="Y361" s="6525" t="s">
        <v>198</v>
      </c>
      <c r="Z361" s="405"/>
      <c r="AA361" s="406"/>
      <c r="AB361" s="6526">
        <v>96.0</v>
      </c>
      <c r="AC361" s="6508"/>
      <c r="AD361" s="6525" t="s">
        <v>198</v>
      </c>
      <c r="AE361" s="405"/>
      <c r="AF361" s="406"/>
      <c r="AG361" s="6526">
        <v>394.0</v>
      </c>
      <c r="AH361" s="6510"/>
      <c r="AI361" s="6192"/>
    </row>
    <row r="362" ht="15.0" customHeight="1">
      <c r="A362" s="6185"/>
      <c r="B362" s="6528"/>
      <c r="C362" s="6529"/>
      <c r="D362" s="6530"/>
      <c r="E362" s="6529"/>
      <c r="F362" s="6529"/>
      <c r="G362" s="6529"/>
      <c r="H362" s="6529"/>
      <c r="I362" s="6531"/>
      <c r="J362" s="6532"/>
      <c r="K362" s="6532"/>
      <c r="L362" s="6532"/>
      <c r="M362" s="6529"/>
      <c r="N362" s="6530"/>
      <c r="O362" s="6532"/>
      <c r="P362" s="6532"/>
      <c r="Q362" s="6532"/>
      <c r="R362" s="6529"/>
      <c r="S362" s="6533"/>
      <c r="T362" s="6532"/>
      <c r="U362" s="6532"/>
      <c r="V362" s="6532"/>
      <c r="W362" s="6529"/>
      <c r="X362" s="6534"/>
      <c r="Y362" s="6535"/>
      <c r="Z362" s="6535"/>
      <c r="AA362" s="6535"/>
      <c r="AB362" s="6534"/>
      <c r="AC362" s="6534"/>
      <c r="AD362" s="6535"/>
      <c r="AE362" s="6535"/>
      <c r="AF362" s="6535"/>
      <c r="AG362" s="6534"/>
      <c r="AH362" s="6536"/>
      <c r="AI362" s="6192"/>
    </row>
    <row r="363" ht="15.0" customHeight="1">
      <c r="A363" s="6185"/>
      <c r="B363" s="3908"/>
      <c r="C363" s="3909"/>
      <c r="D363" s="3909"/>
      <c r="E363" s="4277"/>
      <c r="F363" s="4277"/>
      <c r="G363" s="4277"/>
      <c r="H363" s="4277"/>
      <c r="I363" s="3909"/>
      <c r="J363" s="4277"/>
      <c r="K363" s="4277"/>
      <c r="L363" s="4277"/>
      <c r="M363" s="4277"/>
      <c r="N363" s="3909"/>
      <c r="O363" s="4277"/>
      <c r="P363" s="4277"/>
      <c r="Q363" s="4277"/>
      <c r="R363" s="4277"/>
      <c r="S363" s="3909"/>
      <c r="T363" s="4277"/>
      <c r="U363" s="4277"/>
      <c r="V363" s="4277"/>
      <c r="W363" s="4277"/>
      <c r="X363" s="3909"/>
      <c r="Y363" s="3909"/>
      <c r="Z363" s="3909"/>
      <c r="AA363" s="3909"/>
      <c r="AB363" s="3909"/>
      <c r="AC363" s="3909"/>
      <c r="AD363" s="3909"/>
      <c r="AE363" s="3909"/>
      <c r="AF363" s="3909"/>
      <c r="AG363" s="3909"/>
      <c r="AH363" s="3910"/>
      <c r="AI363" s="6192"/>
    </row>
    <row r="364">
      <c r="A364" s="6185"/>
      <c r="B364" s="3911"/>
      <c r="C364" s="3944"/>
      <c r="D364" s="3937"/>
      <c r="E364" s="4480" t="s">
        <v>1638</v>
      </c>
      <c r="F364" s="3955"/>
      <c r="G364" s="3955"/>
      <c r="H364" s="3955"/>
      <c r="I364" s="3955"/>
      <c r="J364" s="3955"/>
      <c r="K364" s="3955"/>
      <c r="L364" s="3955"/>
      <c r="M364" s="3955"/>
      <c r="N364" s="3955"/>
      <c r="O364" s="3955"/>
      <c r="P364" s="3955"/>
      <c r="Q364" s="3955"/>
      <c r="R364" s="3955"/>
      <c r="S364" s="3955"/>
      <c r="T364" s="3955"/>
      <c r="U364" s="3955"/>
      <c r="V364" s="3955"/>
      <c r="W364" s="3955"/>
      <c r="X364" s="3955"/>
      <c r="Y364" s="3955"/>
      <c r="Z364" s="3955"/>
      <c r="AA364" s="3955"/>
      <c r="AB364" s="3955"/>
      <c r="AC364" s="3955"/>
      <c r="AD364" s="3955"/>
      <c r="AE364" s="3955"/>
      <c r="AF364" s="3955"/>
      <c r="AG364" s="3956"/>
      <c r="AH364" s="3920"/>
      <c r="AI364" s="6192"/>
    </row>
    <row r="365" ht="96.75" customHeight="1">
      <c r="A365" s="6185"/>
      <c r="B365" s="3911"/>
      <c r="C365" s="3912" t="str">
        <f>IMAGE("https://i.ibb.co/LSRVQF1/Picnicker.png")</f>
        <v/>
      </c>
      <c r="D365" s="4278"/>
      <c r="E365" s="3914" t="str">
        <f t="array" ref="E365">IFERROR(VLOOKUP(E366,Dex!$B$3:$G1218,3,FALSE),"")</f>
        <v/>
      </c>
      <c r="F365" s="1830"/>
      <c r="G365" s="1830"/>
      <c r="H365" s="1831"/>
      <c r="I365" s="4281"/>
      <c r="J365" s="3914" t="str">
        <f t="array" ref="J365">IFERROR(VLOOKUP(J366,Dex!$B$3:$G1218,3,FALSE),"")</f>
        <v/>
      </c>
      <c r="K365" s="1830"/>
      <c r="L365" s="1830"/>
      <c r="M365" s="1831"/>
      <c r="N365" s="4281"/>
      <c r="O365" s="3914" t="str">
        <f t="array" ref="O365">IFERROR(VLOOKUP(O366,Dex!$B$3:$G1218,3,FALSE),"")</f>
        <v/>
      </c>
      <c r="P365" s="1830"/>
      <c r="Q365" s="1830"/>
      <c r="R365" s="1831"/>
      <c r="S365" s="4282"/>
      <c r="T365" s="3914" t="str">
        <f t="array" ref="T365">IFERROR(VLOOKUP(T366,Dex!$B$3:$G1218,3,FALSE),"")</f>
        <v/>
      </c>
      <c r="U365" s="1830"/>
      <c r="V365" s="1830"/>
      <c r="W365" s="1831"/>
      <c r="X365" s="4282"/>
      <c r="Y365" s="3917"/>
      <c r="Z365" s="3918"/>
      <c r="AA365" s="3918"/>
      <c r="AB365" s="3919"/>
      <c r="AC365" s="4283"/>
      <c r="AD365" s="3917"/>
      <c r="AE365" s="3918"/>
      <c r="AF365" s="3918"/>
      <c r="AG365" s="3919"/>
      <c r="AH365" s="3920"/>
      <c r="AI365" s="6192"/>
    </row>
    <row r="366" ht="18.75" customHeight="1">
      <c r="A366" s="6185"/>
      <c r="B366" s="3921"/>
      <c r="C366" s="3922" t="s">
        <v>1639</v>
      </c>
      <c r="D366" s="4284"/>
      <c r="E366" s="3924" t="s">
        <v>1640</v>
      </c>
      <c r="F366" s="3925"/>
      <c r="G366" s="3925"/>
      <c r="H366" s="3926"/>
      <c r="J366" s="3924" t="s">
        <v>1641</v>
      </c>
      <c r="K366" s="3925"/>
      <c r="L366" s="3925"/>
      <c r="M366" s="3926"/>
      <c r="O366" s="3924" t="s">
        <v>1182</v>
      </c>
      <c r="P366" s="3925"/>
      <c r="Q366" s="3925"/>
      <c r="R366" s="3926"/>
      <c r="T366" s="3924" t="s">
        <v>593</v>
      </c>
      <c r="U366" s="3925"/>
      <c r="V366" s="3925"/>
      <c r="W366" s="3926"/>
      <c r="Y366" s="3928"/>
      <c r="Z366" s="3918"/>
      <c r="AA366" s="3918"/>
      <c r="AB366" s="3919"/>
      <c r="AC366" s="4285"/>
      <c r="AD366" s="3928"/>
      <c r="AE366" s="3918"/>
      <c r="AF366" s="3918"/>
      <c r="AG366" s="3919"/>
      <c r="AH366" s="3929"/>
      <c r="AI366" s="6192"/>
    </row>
    <row r="367">
      <c r="A367" s="6185"/>
      <c r="B367" s="3930"/>
      <c r="C367" s="1481"/>
      <c r="D367" s="4286"/>
      <c r="E367" s="3932" t="s">
        <v>1623</v>
      </c>
      <c r="F367" s="3933"/>
      <c r="G367" s="3933"/>
      <c r="H367" s="3934"/>
      <c r="J367" s="3932" t="s">
        <v>420</v>
      </c>
      <c r="K367" s="3933"/>
      <c r="L367" s="3933"/>
      <c r="M367" s="3934"/>
      <c r="O367" s="3932" t="s">
        <v>1502</v>
      </c>
      <c r="P367" s="3933"/>
      <c r="Q367" s="3933"/>
      <c r="R367" s="3934"/>
      <c r="T367" s="3932" t="s">
        <v>1502</v>
      </c>
      <c r="U367" s="3933"/>
      <c r="V367" s="3933"/>
      <c r="W367" s="3934"/>
      <c r="Y367" s="3935"/>
      <c r="Z367" s="3918"/>
      <c r="AA367" s="3918"/>
      <c r="AB367" s="3919"/>
      <c r="AC367" s="4285"/>
      <c r="AD367" s="3935"/>
      <c r="AE367" s="3918"/>
      <c r="AF367" s="3918"/>
      <c r="AG367" s="3919"/>
      <c r="AH367" s="3936"/>
      <c r="AI367" s="6192"/>
    </row>
    <row r="368" ht="25.5" customHeight="1">
      <c r="A368" s="6185"/>
      <c r="B368" s="3911"/>
      <c r="C368" s="1489"/>
      <c r="D368" s="3937"/>
      <c r="E368" s="3938"/>
      <c r="F368" s="3939" t="str">
        <f t="array" ref="F368">IFERROR(VLOOKUP(E366,Dex!$B$3:$H1218,5,FALSE),"")</f>
        <v/>
      </c>
      <c r="G368" s="3940"/>
      <c r="H368" s="3941"/>
      <c r="J368" s="3938"/>
      <c r="K368" s="3942" t="str">
        <f t="array" ref="K368">IFERROR(VLOOKUP(J366,Dex!$B$3:$H1218,5,FALSE),"")</f>
        <v/>
      </c>
      <c r="L368" s="3943" t="str">
        <f t="array" ref="L368">IFERROR(VLOOKUP(J366,Dex!$B$3:$H1218,7,FALSE),"")</f>
        <v/>
      </c>
      <c r="M368" s="3941"/>
      <c r="O368" s="3938"/>
      <c r="P368" s="3939" t="str">
        <f t="array" ref="P368">IFERROR(VLOOKUP(O366,Dex!$B$3:$H1218,5,FALSE),"")</f>
        <v/>
      </c>
      <c r="Q368" s="3940"/>
      <c r="R368" s="3941"/>
      <c r="T368" s="3938"/>
      <c r="U368" s="3942" t="str">
        <f t="array" ref="U368">IFERROR(VLOOKUP(T366,Dex!$B$3:$H1218,5,FALSE),"")</f>
        <v/>
      </c>
      <c r="V368" s="3943" t="str">
        <f t="array" ref="V368">IFERROR(VLOOKUP(T366,Dex!$B$3:$H1218,7,FALSE),"")</f>
        <v/>
      </c>
      <c r="W368" s="3941"/>
      <c r="Y368" s="3917"/>
      <c r="Z368" s="3918"/>
      <c r="AA368" s="3918"/>
      <c r="AB368" s="3919"/>
      <c r="AC368" s="4285"/>
      <c r="AD368" s="3917"/>
      <c r="AE368" s="3918"/>
      <c r="AF368" s="3918"/>
      <c r="AG368" s="3919"/>
      <c r="AH368" s="3920"/>
      <c r="AI368" s="6192"/>
    </row>
    <row r="369" ht="2.25" customHeight="1">
      <c r="A369" s="6185"/>
      <c r="B369" s="3911"/>
      <c r="C369" s="3944"/>
      <c r="D369" s="3937"/>
      <c r="E369" s="3945"/>
      <c r="F369" s="3946"/>
      <c r="G369" s="3946"/>
      <c r="H369" s="3947"/>
      <c r="J369" s="3945"/>
      <c r="K369" s="3946"/>
      <c r="L369" s="3946"/>
      <c r="M369" s="3947"/>
      <c r="O369" s="3945"/>
      <c r="P369" s="3946"/>
      <c r="Q369" s="3946"/>
      <c r="R369" s="3947"/>
      <c r="T369" s="3945"/>
      <c r="U369" s="3946"/>
      <c r="V369" s="3946"/>
      <c r="W369" s="3947"/>
      <c r="Y369" s="3937"/>
      <c r="Z369" s="3937"/>
      <c r="AA369" s="3937"/>
      <c r="AB369" s="3937"/>
      <c r="AC369" s="4285"/>
      <c r="AD369" s="3937"/>
      <c r="AE369" s="3937"/>
      <c r="AF369" s="3937"/>
      <c r="AG369" s="3937"/>
      <c r="AH369" s="3920"/>
      <c r="AI369" s="6192"/>
    </row>
    <row r="370" ht="20.25" customHeight="1">
      <c r="A370" s="6185"/>
      <c r="B370" s="3911"/>
      <c r="C370" s="3944"/>
      <c r="D370" s="3917"/>
      <c r="E370" s="3948" t="s">
        <v>205</v>
      </c>
      <c r="F370" s="3949"/>
      <c r="G370" s="3949"/>
      <c r="H370" s="3950"/>
      <c r="J370" s="3948" t="s">
        <v>205</v>
      </c>
      <c r="K370" s="3949"/>
      <c r="L370" s="3949"/>
      <c r="M370" s="3950"/>
      <c r="O370" s="3948" t="s">
        <v>172</v>
      </c>
      <c r="P370" s="3949"/>
      <c r="Q370" s="3949"/>
      <c r="R370" s="3950"/>
      <c r="T370" s="3948" t="s">
        <v>172</v>
      </c>
      <c r="U370" s="3949"/>
      <c r="V370" s="3949"/>
      <c r="W370" s="3950"/>
      <c r="Y370" s="3917"/>
      <c r="Z370" s="3918"/>
      <c r="AA370" s="3918"/>
      <c r="AB370" s="3919"/>
      <c r="AC370" s="4285"/>
      <c r="AD370" s="3917"/>
      <c r="AE370" s="3918"/>
      <c r="AF370" s="3918"/>
      <c r="AG370" s="3919"/>
      <c r="AH370" s="3920"/>
      <c r="AI370" s="6192"/>
    </row>
    <row r="371">
      <c r="A371" s="6185"/>
      <c r="B371" s="3911"/>
      <c r="C371" s="3951"/>
      <c r="D371" s="3917"/>
      <c r="E371" s="3952" t="s">
        <v>1642</v>
      </c>
      <c r="F371" s="3918"/>
      <c r="G371" s="3918"/>
      <c r="H371" s="3953"/>
      <c r="J371" s="3952" t="s">
        <v>300</v>
      </c>
      <c r="K371" s="3918"/>
      <c r="L371" s="3918"/>
      <c r="M371" s="3953"/>
      <c r="O371" s="3952" t="s">
        <v>1184</v>
      </c>
      <c r="P371" s="3918"/>
      <c r="Q371" s="3918"/>
      <c r="R371" s="3953"/>
      <c r="T371" s="3952" t="s">
        <v>1643</v>
      </c>
      <c r="U371" s="3918"/>
      <c r="V371" s="3918"/>
      <c r="W371" s="3953"/>
      <c r="Y371" s="3917"/>
      <c r="Z371" s="3918"/>
      <c r="AA371" s="3918"/>
      <c r="AB371" s="3919"/>
      <c r="AC371" s="4285"/>
      <c r="AD371" s="3917"/>
      <c r="AE371" s="3918"/>
      <c r="AF371" s="3918"/>
      <c r="AG371" s="3919"/>
      <c r="AH371" s="3920"/>
      <c r="AI371" s="6192"/>
    </row>
    <row r="372" ht="20.25" customHeight="1">
      <c r="A372" s="6185"/>
      <c r="B372" s="3911"/>
      <c r="C372" s="3927"/>
      <c r="D372" s="3917"/>
      <c r="E372" s="3954" t="s">
        <v>1644</v>
      </c>
      <c r="F372" s="3955"/>
      <c r="G372" s="3956"/>
      <c r="H372" s="3957" t="str">
        <f>IMAGE("https://raw.githubusercontent.com/msikma/pokesprite/master/items/mega-stone/alakazite.png",3)</f>
        <v/>
      </c>
      <c r="J372" s="3954" t="s">
        <v>1645</v>
      </c>
      <c r="K372" s="3955"/>
      <c r="L372" s="3956"/>
      <c r="M372" s="3957" t="str">
        <f>IMAGE("https://raw.githubusercontent.com/msikma/pokesprite/master/items/berry/tanga.png",3)</f>
        <v/>
      </c>
      <c r="O372" s="3954" t="s">
        <v>240</v>
      </c>
      <c r="P372" s="3955"/>
      <c r="Q372" s="3956"/>
      <c r="R372" s="3957" t="str">
        <f>IMAGE("https://raw.githubusercontent.com/msikma/pokesprite/master/items/hold-item/focus-sash.png",3)</f>
        <v/>
      </c>
      <c r="T372" s="3954" t="s">
        <v>272</v>
      </c>
      <c r="U372" s="3955"/>
      <c r="V372" s="3956"/>
      <c r="W372" s="3957" t="str">
        <f>IMAGE("https://raw.githubusercontent.com/msikma/pokesprite/master/items/hold-item/life-orb.png",3)</f>
        <v/>
      </c>
      <c r="Y372" s="3917"/>
      <c r="Z372" s="3918"/>
      <c r="AA372" s="3918"/>
      <c r="AB372" s="3919"/>
      <c r="AC372" s="4285"/>
      <c r="AD372" s="3917"/>
      <c r="AE372" s="3918"/>
      <c r="AF372" s="3918"/>
      <c r="AG372" s="3919"/>
      <c r="AH372" s="3920"/>
      <c r="AI372" s="6192"/>
    </row>
    <row r="373" ht="20.25" customHeight="1">
      <c r="A373" s="6185"/>
      <c r="B373" s="3911"/>
      <c r="C373" s="3958"/>
      <c r="D373" s="3917"/>
      <c r="E373" s="3948" t="s">
        <v>310</v>
      </c>
      <c r="F373" s="3949"/>
      <c r="G373" s="3959"/>
      <c r="H373" s="3960" t="str">
        <f>IMAGE("https://raw.githubusercontent.com/msikma/pokesprite/master/misc/types/gen8/psychic.png",4,20,20)</f>
        <v/>
      </c>
      <c r="J373" s="3948" t="s">
        <v>310</v>
      </c>
      <c r="K373" s="3949"/>
      <c r="L373" s="3959"/>
      <c r="M373" s="3960" t="str">
        <f>IMAGE("https://raw.githubusercontent.com/msikma/pokesprite/master/misc/types/gen8/psychic.png",4,20,20)</f>
        <v/>
      </c>
      <c r="O373" s="3948" t="s">
        <v>402</v>
      </c>
      <c r="P373" s="3949"/>
      <c r="Q373" s="3959"/>
      <c r="R373" s="3960" t="str">
        <f t="shared" ref="R373:R374" si="16">IMAGE("https://raw.githubusercontent.com/msikma/pokesprite/master/misc/types/gen8/ground.png",4,20,20)</f>
        <v/>
      </c>
      <c r="T373" s="3948" t="s">
        <v>320</v>
      </c>
      <c r="U373" s="3949"/>
      <c r="V373" s="3959"/>
      <c r="W373" s="3960" t="str">
        <f>IMAGE("https://raw.githubusercontent.com/msikma/pokesprite/master/misc/types/gen8/dark.png",4,20,20)</f>
        <v/>
      </c>
      <c r="Y373" s="3917"/>
      <c r="Z373" s="3918"/>
      <c r="AA373" s="3918"/>
      <c r="AB373" s="3919"/>
      <c r="AC373" s="4285"/>
      <c r="AD373" s="3917"/>
      <c r="AE373" s="3918"/>
      <c r="AF373" s="3918"/>
      <c r="AG373" s="3919"/>
      <c r="AH373" s="3920"/>
      <c r="AI373" s="6192"/>
    </row>
    <row r="374" ht="20.25" customHeight="1">
      <c r="A374" s="6185"/>
      <c r="B374" s="3911"/>
      <c r="C374" s="3944"/>
      <c r="D374" s="3917"/>
      <c r="E374" s="3952" t="s">
        <v>318</v>
      </c>
      <c r="F374" s="3918"/>
      <c r="G374" s="3919"/>
      <c r="H374" s="3961" t="str">
        <f>IMAGE("https://raw.githubusercontent.com/msikma/pokesprite/master/misc/types/gen8/ghost.png",4,20,20)</f>
        <v/>
      </c>
      <c r="J374" s="3952" t="s">
        <v>1646</v>
      </c>
      <c r="K374" s="3918"/>
      <c r="L374" s="3919"/>
      <c r="M374" s="3961" t="str">
        <f t="shared" ref="M374:M376" si="17">IMAGE("https://raw.githubusercontent.com/msikma/pokesprite/master/misc/types/gen8/normal.png",4,20,20)</f>
        <v/>
      </c>
      <c r="O374" s="3952" t="s">
        <v>1041</v>
      </c>
      <c r="P374" s="3918"/>
      <c r="Q374" s="3919"/>
      <c r="R374" s="3961" t="str">
        <f t="shared" si="16"/>
        <v/>
      </c>
      <c r="T374" s="3952" t="s">
        <v>316</v>
      </c>
      <c r="U374" s="3918"/>
      <c r="V374" s="3919"/>
      <c r="W374" s="3961" t="str">
        <f>IMAGE("https://raw.githubusercontent.com/msikma/pokesprite/master/misc/types/gen8/fighting.png",4,20,20)</f>
        <v/>
      </c>
      <c r="Y374" s="3917"/>
      <c r="Z374" s="3918"/>
      <c r="AA374" s="3918"/>
      <c r="AB374" s="3919"/>
      <c r="AC374" s="4285"/>
      <c r="AD374" s="3917"/>
      <c r="AE374" s="3918"/>
      <c r="AF374" s="3918"/>
      <c r="AG374" s="3919"/>
      <c r="AH374" s="3920"/>
      <c r="AI374" s="6192"/>
    </row>
    <row r="375" ht="20.25" customHeight="1">
      <c r="A375" s="6185"/>
      <c r="B375" s="3911"/>
      <c r="C375" s="3944"/>
      <c r="D375" s="3917"/>
      <c r="E375" s="3952" t="s">
        <v>401</v>
      </c>
      <c r="F375" s="3918"/>
      <c r="G375" s="3919"/>
      <c r="H375" s="3961" t="str">
        <f>IMAGE("https://raw.githubusercontent.com/msikma/pokesprite/master/misc/types/gen8/dark.png",4,20,20)</f>
        <v/>
      </c>
      <c r="J375" s="3952" t="s">
        <v>476</v>
      </c>
      <c r="K375" s="3918"/>
      <c r="L375" s="3919"/>
      <c r="M375" s="3961" t="str">
        <f t="shared" si="17"/>
        <v/>
      </c>
      <c r="O375" s="3952" t="s">
        <v>1647</v>
      </c>
      <c r="P375" s="3918"/>
      <c r="Q375" s="3919"/>
      <c r="R375" s="3961" t="str">
        <f>IMAGE("https://raw.githubusercontent.com/msikma/pokesprite/master/misc/types/gen8/fighting.png",4,20,20)</f>
        <v/>
      </c>
      <c r="T375" s="3952" t="s">
        <v>671</v>
      </c>
      <c r="U375" s="3918"/>
      <c r="V375" s="3919"/>
      <c r="W375" s="3961" t="str">
        <f>IMAGE("https://raw.githubusercontent.com/msikma/pokesprite/master/misc/types/gen8/steel.png",4,20,20)</f>
        <v/>
      </c>
      <c r="Y375" s="3917"/>
      <c r="Z375" s="3918"/>
      <c r="AA375" s="3918"/>
      <c r="AB375" s="3919"/>
      <c r="AC375" s="4285"/>
      <c r="AD375" s="3917"/>
      <c r="AE375" s="3918"/>
      <c r="AF375" s="3918"/>
      <c r="AG375" s="3919"/>
      <c r="AH375" s="3920"/>
      <c r="AI375" s="6192"/>
    </row>
    <row r="376" ht="21.0" customHeight="1">
      <c r="A376" s="6185"/>
      <c r="B376" s="3911"/>
      <c r="C376" s="3944"/>
      <c r="D376" s="3917"/>
      <c r="E376" s="3962" t="s">
        <v>344</v>
      </c>
      <c r="F376" s="3963"/>
      <c r="G376" s="3964"/>
      <c r="H376" s="3965" t="str">
        <f>IMAGE("https://raw.githubusercontent.com/msikma/pokesprite/master/misc/types/gen8/fighting.png",4,20,20)</f>
        <v/>
      </c>
      <c r="I376" s="4288"/>
      <c r="J376" s="3962" t="s">
        <v>311</v>
      </c>
      <c r="K376" s="3963"/>
      <c r="L376" s="3964"/>
      <c r="M376" s="3965" t="str">
        <f t="shared" si="17"/>
        <v/>
      </c>
      <c r="N376" s="4288"/>
      <c r="O376" s="3962" t="s">
        <v>399</v>
      </c>
      <c r="P376" s="3963"/>
      <c r="Q376" s="3964"/>
      <c r="R376" s="3965" t="str">
        <f>IMAGE("https://raw.githubusercontent.com/msikma/pokesprite/master/misc/types/gen8/rock.png",4,20,20)</f>
        <v/>
      </c>
      <c r="S376" s="4288"/>
      <c r="T376" s="3962" t="s">
        <v>215</v>
      </c>
      <c r="U376" s="3963"/>
      <c r="V376" s="3964"/>
      <c r="W376" s="3965" t="str">
        <f>IMAGE("https://raw.githubusercontent.com/msikma/pokesprite/master/misc/types/gen8/ice.png",4,20,20)</f>
        <v/>
      </c>
      <c r="X376" s="4288"/>
      <c r="Y376" s="3917"/>
      <c r="Z376" s="3918"/>
      <c r="AA376" s="3918"/>
      <c r="AB376" s="3919"/>
      <c r="AC376" s="4290"/>
      <c r="AD376" s="3917"/>
      <c r="AE376" s="3918"/>
      <c r="AF376" s="3918"/>
      <c r="AG376" s="3919"/>
      <c r="AH376" s="3920"/>
      <c r="AI376" s="6192"/>
    </row>
    <row r="377" ht="3.0" customHeight="1">
      <c r="A377" s="6185"/>
      <c r="B377" s="3966"/>
      <c r="C377" s="3967"/>
      <c r="D377" s="3968"/>
      <c r="E377" s="4292"/>
      <c r="F377" s="4292"/>
      <c r="G377" s="4292"/>
      <c r="H377" s="3969"/>
      <c r="I377" s="3968"/>
      <c r="J377" s="4292"/>
      <c r="K377" s="4292"/>
      <c r="L377" s="4292"/>
      <c r="M377" s="4291"/>
      <c r="N377" s="3968"/>
      <c r="O377" s="4292"/>
      <c r="P377" s="4292"/>
      <c r="Q377" s="4292"/>
      <c r="R377" s="4291"/>
      <c r="S377" s="3969"/>
      <c r="T377" s="4292"/>
      <c r="U377" s="4292"/>
      <c r="V377" s="4292"/>
      <c r="W377" s="4291"/>
      <c r="X377" s="3968"/>
      <c r="Y377" s="3972"/>
      <c r="Z377" s="3972"/>
      <c r="AA377" s="3972"/>
      <c r="AB377" s="3972"/>
      <c r="AC377" s="3972"/>
      <c r="AD377" s="3972"/>
      <c r="AE377" s="3972"/>
      <c r="AF377" s="3972"/>
      <c r="AG377" s="3972"/>
      <c r="AH377" s="3973"/>
      <c r="AI377" s="6192"/>
    </row>
    <row r="378" ht="16.5" customHeight="1">
      <c r="A378" s="6185"/>
      <c r="B378" s="3974"/>
      <c r="C378" s="3967"/>
      <c r="D378" s="3978"/>
      <c r="E378" s="3976" t="s">
        <v>190</v>
      </c>
      <c r="F378" s="381"/>
      <c r="G378" s="382"/>
      <c r="H378" s="3977" t="s">
        <v>191</v>
      </c>
      <c r="I378" s="3978"/>
      <c r="J378" s="3976" t="s">
        <v>190</v>
      </c>
      <c r="K378" s="381"/>
      <c r="L378" s="382"/>
      <c r="M378" s="3977" t="s">
        <v>191</v>
      </c>
      <c r="N378" s="3978"/>
      <c r="O378" s="3976" t="s">
        <v>190</v>
      </c>
      <c r="P378" s="381"/>
      <c r="Q378" s="382"/>
      <c r="R378" s="3977" t="s">
        <v>191</v>
      </c>
      <c r="S378" s="4293"/>
      <c r="T378" s="3976" t="s">
        <v>190</v>
      </c>
      <c r="U378" s="381"/>
      <c r="V378" s="382"/>
      <c r="W378" s="3977" t="s">
        <v>191</v>
      </c>
      <c r="X378" s="4749"/>
      <c r="Y378" s="3981"/>
      <c r="Z378" s="3981"/>
      <c r="AA378" s="3981"/>
      <c r="AB378" s="3981"/>
      <c r="AC378" s="3981"/>
      <c r="AD378" s="3981"/>
      <c r="AE378" s="3981"/>
      <c r="AF378" s="3981"/>
      <c r="AG378" s="3981"/>
      <c r="AH378" s="3982"/>
      <c r="AI378" s="6192"/>
    </row>
    <row r="379" ht="16.5" customHeight="1">
      <c r="A379" s="6185"/>
      <c r="B379" s="3974"/>
      <c r="C379" s="3967"/>
      <c r="D379" s="3975"/>
      <c r="E379" s="3983" t="s">
        <v>192</v>
      </c>
      <c r="F379" s="3984">
        <f t="array" ref="F379">IFERROR(VLOOKUP(E366,Dex!$B$3:$N1218,8,FALSE),"")</f>
        <v>55</v>
      </c>
      <c r="G379" s="3985" t="str">
        <f t="array" ref="G379">IFERROR(VLOOKUP(F379,Dex!$P$22:$Q$276,2,FALSE),"")</f>
        <v/>
      </c>
      <c r="H379" s="3986"/>
      <c r="I379" s="3975"/>
      <c r="J379" s="3983" t="s">
        <v>192</v>
      </c>
      <c r="K379" s="3984">
        <f t="array" ref="K379">IFERROR(VLOOKUP(J366,Dex!$B$3:$N1218,8,FALSE),"")</f>
        <v>60</v>
      </c>
      <c r="L379" s="3985" t="str">
        <f t="array" ref="L379">IFERROR(VLOOKUP(K379,Dex!$P$22:$Q$276,2,FALSE),"")</f>
        <v/>
      </c>
      <c r="M379" s="3986"/>
      <c r="N379" s="3975"/>
      <c r="O379" s="3983" t="s">
        <v>192</v>
      </c>
      <c r="P379" s="3984">
        <f t="array" ref="P379">IFERROR(VLOOKUP(O366,Dex!$B$3:$N1218,8,FALSE),"")</f>
        <v>35</v>
      </c>
      <c r="Q379" s="3985" t="str">
        <f t="array" ref="Q379">IFERROR(VLOOKUP(P379,Dex!$P$22:$Q$276,2,FALSE),"")</f>
        <v/>
      </c>
      <c r="R379" s="3986"/>
      <c r="S379" s="3987"/>
      <c r="T379" s="3983" t="s">
        <v>192</v>
      </c>
      <c r="U379" s="3984">
        <f t="array" ref="U379">IFERROR(VLOOKUP(T366,Dex!$B$3:$N1218,8,FALSE),"")</f>
        <v>70</v>
      </c>
      <c r="V379" s="3985" t="str">
        <f t="array" ref="V379">IFERROR(VLOOKUP(U379,Dex!$P$22:$Q$276,2,FALSE),"")</f>
        <v/>
      </c>
      <c r="W379" s="3986"/>
      <c r="X379" s="3981"/>
      <c r="Y379" s="3981"/>
      <c r="Z379" s="3981"/>
      <c r="AA379" s="3981"/>
      <c r="AB379" s="3981"/>
      <c r="AC379" s="3981"/>
      <c r="AD379" s="3981"/>
      <c r="AE379" s="3981"/>
      <c r="AF379" s="3981"/>
      <c r="AG379" s="3981"/>
      <c r="AH379" s="3982"/>
      <c r="AI379" s="6192"/>
    </row>
    <row r="380" ht="16.5" customHeight="1">
      <c r="A380" s="6185"/>
      <c r="B380" s="3974"/>
      <c r="C380" s="3967"/>
      <c r="D380" s="3975"/>
      <c r="E380" s="3989" t="s">
        <v>193</v>
      </c>
      <c r="F380" s="3990">
        <f t="array" ref="F380">IFERROR(VLOOKUP(E366,Dex!$B$3:$N1218,9,FALSE),"")</f>
        <v>50</v>
      </c>
      <c r="G380" s="3991" t="str">
        <f t="array" ref="G380">IFERROR(VLOOKUP(F380,Dex!$P$22:$Q$276,2,FALSE),"")</f>
        <v/>
      </c>
      <c r="H380" s="3992"/>
      <c r="I380" s="3975"/>
      <c r="J380" s="3989" t="s">
        <v>193</v>
      </c>
      <c r="K380" s="3990">
        <f t="array" ref="K380">IFERROR(VLOOKUP(J366,Dex!$B$3:$N1218,9,FALSE),"")</f>
        <v>65</v>
      </c>
      <c r="L380" s="3991" t="str">
        <f t="array" ref="L380">IFERROR(VLOOKUP(K380,Dex!$P$22:$Q$276,2,FALSE),"")</f>
        <v/>
      </c>
      <c r="M380" s="3992"/>
      <c r="N380" s="3975"/>
      <c r="O380" s="3989" t="s">
        <v>193</v>
      </c>
      <c r="P380" s="3990">
        <f t="array" ref="P380">IFERROR(VLOOKUP(O366,Dex!$B$3:$N1218,9,FALSE),"")</f>
        <v>100</v>
      </c>
      <c r="Q380" s="3991" t="str">
        <f t="array" ref="Q380">IFERROR(VLOOKUP(P380,Dex!$P$22:$Q$276,2,FALSE),"")</f>
        <v/>
      </c>
      <c r="R380" s="3992">
        <v>252.0</v>
      </c>
      <c r="S380" s="3987"/>
      <c r="T380" s="3989" t="s">
        <v>193</v>
      </c>
      <c r="U380" s="3990">
        <f t="array" ref="U380">IFERROR(VLOOKUP(T366,Dex!$B$3:$N1218,9,FALSE),"")</f>
        <v>110</v>
      </c>
      <c r="V380" s="3991" t="str">
        <f t="array" ref="V380">IFERROR(VLOOKUP(U380,Dex!$P$22:$Q$276,2,FALSE),"")</f>
        <v/>
      </c>
      <c r="W380" s="3992">
        <v>252.0</v>
      </c>
      <c r="X380" s="3981"/>
      <c r="Y380" s="3981"/>
      <c r="Z380" s="3981"/>
      <c r="AA380" s="3981"/>
      <c r="AB380" s="3981"/>
      <c r="AC380" s="3981"/>
      <c r="AD380" s="3981"/>
      <c r="AE380" s="3981"/>
      <c r="AF380" s="3981"/>
      <c r="AG380" s="3981"/>
      <c r="AH380" s="3982"/>
      <c r="AI380" s="6192"/>
    </row>
    <row r="381" ht="16.5" customHeight="1">
      <c r="A381" s="6185"/>
      <c r="B381" s="3974"/>
      <c r="C381" s="3967"/>
      <c r="D381" s="3975"/>
      <c r="E381" s="3989" t="s">
        <v>194</v>
      </c>
      <c r="F381" s="3990">
        <f t="array" ref="F381">IFERROR(VLOOKUP(E366,Dex!$B$3:$N1218,10,FALSE),"")</f>
        <v>65</v>
      </c>
      <c r="G381" s="3991" t="str">
        <f t="array" ref="G381">IFERROR(VLOOKUP(F381,Dex!$P$22:$Q$276,2,FALSE),"")</f>
        <v/>
      </c>
      <c r="H381" s="3992">
        <v>4.0</v>
      </c>
      <c r="I381" s="3975"/>
      <c r="J381" s="3989" t="s">
        <v>194</v>
      </c>
      <c r="K381" s="3990">
        <f t="array" ref="K381">IFERROR(VLOOKUP(J366,Dex!$B$3:$N1218,10,FALSE),"")</f>
        <v>55</v>
      </c>
      <c r="L381" s="3991" t="str">
        <f t="array" ref="L381">IFERROR(VLOOKUP(K381,Dex!$P$22:$Q$276,2,FALSE),"")</f>
        <v/>
      </c>
      <c r="M381" s="3992">
        <v>4.0</v>
      </c>
      <c r="N381" s="3975"/>
      <c r="O381" s="3989" t="s">
        <v>194</v>
      </c>
      <c r="P381" s="3990">
        <f t="array" ref="P381">IFERROR(VLOOKUP(O366,Dex!$B$3:$N1218,10,FALSE),"")</f>
        <v>50</v>
      </c>
      <c r="Q381" s="3991" t="str">
        <f t="array" ref="Q381">IFERROR(VLOOKUP(P381,Dex!$P$22:$Q$276,2,FALSE),"")</f>
        <v/>
      </c>
      <c r="R381" s="3992">
        <v>4.0</v>
      </c>
      <c r="S381" s="3987"/>
      <c r="T381" s="3989" t="s">
        <v>194</v>
      </c>
      <c r="U381" s="3990">
        <f t="array" ref="U381">IFERROR(VLOOKUP(T366,Dex!$B$3:$N1218,10,FALSE),"")</f>
        <v>70</v>
      </c>
      <c r="V381" s="3991" t="str">
        <f t="array" ref="V381">IFERROR(VLOOKUP(U381,Dex!$P$22:$Q$276,2,FALSE),"")</f>
        <v/>
      </c>
      <c r="W381" s="3992">
        <v>4.0</v>
      </c>
      <c r="X381" s="3981"/>
      <c r="Y381" s="3981"/>
      <c r="Z381" s="3981"/>
      <c r="AA381" s="3981"/>
      <c r="AB381" s="3981"/>
      <c r="AC381" s="3981"/>
      <c r="AD381" s="3981"/>
      <c r="AE381" s="3981"/>
      <c r="AF381" s="3981"/>
      <c r="AG381" s="3981"/>
      <c r="AH381" s="3982"/>
      <c r="AI381" s="6192"/>
    </row>
    <row r="382" ht="16.5" customHeight="1">
      <c r="A382" s="6185"/>
      <c r="B382" s="3974"/>
      <c r="C382" s="3967"/>
      <c r="D382" s="3975"/>
      <c r="E382" s="3989" t="s">
        <v>195</v>
      </c>
      <c r="F382" s="3990">
        <f t="array" ref="F382">IFERROR(VLOOKUP(E366,Dex!$B$3:$N1218,11,FALSE),"")</f>
        <v>175</v>
      </c>
      <c r="G382" s="3991" t="str">
        <f t="array" ref="G382">IFERROR(VLOOKUP(F382,Dex!$P$22:$Q$276,2,FALSE),"")</f>
        <v/>
      </c>
      <c r="H382" s="3992">
        <v>252.0</v>
      </c>
      <c r="I382" s="3975"/>
      <c r="J382" s="3989" t="s">
        <v>195</v>
      </c>
      <c r="K382" s="3990">
        <f t="array" ref="K382">IFERROR(VLOOKUP(J366,Dex!$B$3:$N1218,11,FALSE),"")</f>
        <v>105</v>
      </c>
      <c r="L382" s="3991" t="str">
        <f t="array" ref="L382">IFERROR(VLOOKUP(K382,Dex!$P$22:$Q$276,2,FALSE),"")</f>
        <v/>
      </c>
      <c r="M382" s="3992">
        <v>252.0</v>
      </c>
      <c r="N382" s="3975"/>
      <c r="O382" s="3989" t="s">
        <v>195</v>
      </c>
      <c r="P382" s="3990">
        <f t="array" ref="P382">IFERROR(VLOOKUP(O366,Dex!$B$3:$N1218,11,FALSE),"")</f>
        <v>50</v>
      </c>
      <c r="Q382" s="3991" t="str">
        <f t="array" ref="Q382">IFERROR(VLOOKUP(P382,Dex!$P$22:$Q$276,2,FALSE),"")</f>
        <v/>
      </c>
      <c r="R382" s="3992"/>
      <c r="S382" s="3987"/>
      <c r="T382" s="3989" t="s">
        <v>195</v>
      </c>
      <c r="U382" s="3990">
        <f t="array" ref="U382">IFERROR(VLOOKUP(T366,Dex!$B$3:$N1218,11,FALSE),"")</f>
        <v>115</v>
      </c>
      <c r="V382" s="3991" t="str">
        <f t="array" ref="V382">IFERROR(VLOOKUP(U382,Dex!$P$22:$Q$276,2,FALSE),"")</f>
        <v/>
      </c>
      <c r="W382" s="3992"/>
      <c r="X382" s="3981"/>
      <c r="Y382" s="3981"/>
      <c r="Z382" s="3981"/>
      <c r="AA382" s="3981"/>
      <c r="AB382" s="3981"/>
      <c r="AC382" s="3981"/>
      <c r="AD382" s="3981"/>
      <c r="AE382" s="3981"/>
      <c r="AF382" s="3981"/>
      <c r="AG382" s="3981"/>
      <c r="AH382" s="3982"/>
      <c r="AI382" s="6192"/>
    </row>
    <row r="383" ht="16.5" customHeight="1">
      <c r="A383" s="6185"/>
      <c r="B383" s="3974"/>
      <c r="C383" s="3967"/>
      <c r="D383" s="3975"/>
      <c r="E383" s="3989" t="s">
        <v>196</v>
      </c>
      <c r="F383" s="3990">
        <f t="array" ref="F383">IFERROR(VLOOKUP(E366,Dex!$B$3:$N1218,12,FALSE),"")</f>
        <v>105</v>
      </c>
      <c r="G383" s="3991" t="str">
        <f t="array" ref="G383">IFERROR(VLOOKUP(F383,Dex!$P$22:$Q$276,2,FALSE),"")</f>
        <v/>
      </c>
      <c r="H383" s="3992"/>
      <c r="I383" s="3975"/>
      <c r="J383" s="3989" t="s">
        <v>196</v>
      </c>
      <c r="K383" s="3990">
        <f t="array" ref="K383">IFERROR(VLOOKUP(J366,Dex!$B$3:$N1218,12,FALSE),"")</f>
        <v>95</v>
      </c>
      <c r="L383" s="3991" t="str">
        <f t="array" ref="L383">IFERROR(VLOOKUP(K383,Dex!$P$22:$Q$276,2,FALSE),"")</f>
        <v/>
      </c>
      <c r="M383" s="3992"/>
      <c r="N383" s="3975"/>
      <c r="O383" s="3989" t="s">
        <v>196</v>
      </c>
      <c r="P383" s="3990">
        <f t="array" ref="P383">IFERROR(VLOOKUP(O366,Dex!$B$3:$N1218,12,FALSE),"")</f>
        <v>70</v>
      </c>
      <c r="Q383" s="3991" t="str">
        <f t="array" ref="Q383">IFERROR(VLOOKUP(P383,Dex!$P$22:$Q$276,2,FALSE),"")</f>
        <v/>
      </c>
      <c r="R383" s="3992"/>
      <c r="S383" s="3987"/>
      <c r="T383" s="3989" t="s">
        <v>196</v>
      </c>
      <c r="U383" s="3990">
        <f t="array" ref="U383">IFERROR(VLOOKUP(T366,Dex!$B$3:$N1218,12,FALSE),"")</f>
        <v>70</v>
      </c>
      <c r="V383" s="3991" t="str">
        <f t="array" ref="V383">IFERROR(VLOOKUP(U383,Dex!$P$22:$Q$276,2,FALSE),"")</f>
        <v/>
      </c>
      <c r="W383" s="3992"/>
      <c r="X383" s="3981"/>
      <c r="Y383" s="3981"/>
      <c r="Z383" s="3981"/>
      <c r="AA383" s="3981"/>
      <c r="AB383" s="3981"/>
      <c r="AC383" s="3981"/>
      <c r="AD383" s="3981"/>
      <c r="AE383" s="3981"/>
      <c r="AF383" s="3981"/>
      <c r="AG383" s="3981"/>
      <c r="AH383" s="3982"/>
      <c r="AI383" s="6192"/>
    </row>
    <row r="384" ht="16.5" customHeight="1">
      <c r="A384" s="6185"/>
      <c r="B384" s="3974"/>
      <c r="C384" s="3967"/>
      <c r="D384" s="3975"/>
      <c r="E384" s="3995" t="s">
        <v>197</v>
      </c>
      <c r="F384" s="3996">
        <f t="array" ref="F384">IFERROR(VLOOKUP(E366,Dex!$B$3:$N1218,13,FALSE),"")</f>
        <v>150</v>
      </c>
      <c r="G384" s="3997" t="str">
        <f t="array" ref="G384">IFERROR(VLOOKUP(F384,Dex!$P$22:$Q$276,2,FALSE),"")</f>
        <v/>
      </c>
      <c r="H384" s="3998">
        <v>252.0</v>
      </c>
      <c r="I384" s="3975"/>
      <c r="J384" s="3995" t="s">
        <v>197</v>
      </c>
      <c r="K384" s="3996">
        <f t="array" ref="K384">IFERROR(VLOOKUP(J366,Dex!$B$3:$N1218,13,FALSE),"")</f>
        <v>95</v>
      </c>
      <c r="L384" s="3997" t="str">
        <f t="array" ref="L384">IFERROR(VLOOKUP(K384,Dex!$P$22:$Q$276,2,FALSE),"")</f>
        <v/>
      </c>
      <c r="M384" s="3998">
        <v>252.0</v>
      </c>
      <c r="N384" s="3975"/>
      <c r="O384" s="3995" t="s">
        <v>197</v>
      </c>
      <c r="P384" s="3996">
        <f t="array" ref="P384">IFERROR(VLOOKUP(O366,Dex!$B$3:$N1218,13,FALSE),"")</f>
        <v>120</v>
      </c>
      <c r="Q384" s="3997" t="str">
        <f t="array" ref="Q384">IFERROR(VLOOKUP(P384,Dex!$P$22:$Q$276,2,FALSE),"")</f>
        <v/>
      </c>
      <c r="R384" s="3998">
        <v>252.0</v>
      </c>
      <c r="S384" s="3987"/>
      <c r="T384" s="3995" t="s">
        <v>197</v>
      </c>
      <c r="U384" s="3996">
        <f t="array" ref="U384">IFERROR(VLOOKUP(T366,Dex!$B$3:$N1218,13,FALSE),"")</f>
        <v>90</v>
      </c>
      <c r="V384" s="3997" t="str">
        <f t="array" ref="V384">IFERROR(VLOOKUP(U384,Dex!$P$22:$Q$276,2,FALSE),"")</f>
        <v/>
      </c>
      <c r="W384" s="3998">
        <v>252.0</v>
      </c>
      <c r="X384" s="3981"/>
      <c r="Y384" s="3981"/>
      <c r="Z384" s="3981"/>
      <c r="AA384" s="3981"/>
      <c r="AB384" s="3981"/>
      <c r="AC384" s="3981"/>
      <c r="AD384" s="3981"/>
      <c r="AE384" s="3981"/>
      <c r="AF384" s="3981"/>
      <c r="AG384" s="3981"/>
      <c r="AH384" s="3982"/>
      <c r="AI384" s="6192"/>
    </row>
    <row r="385" ht="16.5" customHeight="1">
      <c r="A385" s="6185"/>
      <c r="B385" s="3974"/>
      <c r="C385" s="3967"/>
      <c r="D385" s="3978"/>
      <c r="E385" s="3999" t="s">
        <v>198</v>
      </c>
      <c r="F385" s="405"/>
      <c r="G385" s="406"/>
      <c r="H385" s="4000">
        <v>434.0</v>
      </c>
      <c r="I385" s="3978"/>
      <c r="J385" s="3999" t="s">
        <v>198</v>
      </c>
      <c r="K385" s="405"/>
      <c r="L385" s="406"/>
      <c r="M385" s="4000">
        <v>311.0</v>
      </c>
      <c r="N385" s="3978"/>
      <c r="O385" s="3999" t="s">
        <v>198</v>
      </c>
      <c r="P385" s="405"/>
      <c r="Q385" s="406"/>
      <c r="R385" s="4000">
        <v>372.0</v>
      </c>
      <c r="S385" s="4296"/>
      <c r="T385" s="3999" t="s">
        <v>198</v>
      </c>
      <c r="U385" s="405"/>
      <c r="V385" s="406"/>
      <c r="W385" s="4000">
        <v>306.0</v>
      </c>
      <c r="X385" s="4749"/>
      <c r="Y385" s="3981"/>
      <c r="Z385" s="3981"/>
      <c r="AA385" s="3981"/>
      <c r="AB385" s="3981"/>
      <c r="AC385" s="3981"/>
      <c r="AD385" s="3981"/>
      <c r="AE385" s="3981"/>
      <c r="AF385" s="3981"/>
      <c r="AG385" s="3981"/>
      <c r="AH385" s="3982"/>
      <c r="AI385" s="6192"/>
    </row>
    <row r="386" ht="15.0" customHeight="1">
      <c r="A386" s="6185"/>
      <c r="B386" s="4001"/>
      <c r="C386" s="4002"/>
      <c r="D386" s="4003"/>
      <c r="E386" s="4006"/>
      <c r="F386" s="4006"/>
      <c r="G386" s="4006"/>
      <c r="H386" s="4004"/>
      <c r="I386" s="4005"/>
      <c r="J386" s="4006"/>
      <c r="K386" s="4006"/>
      <c r="L386" s="4006"/>
      <c r="M386" s="4004"/>
      <c r="N386" s="4005"/>
      <c r="O386" s="4006"/>
      <c r="P386" s="4006"/>
      <c r="Q386" s="4006"/>
      <c r="R386" s="4004"/>
      <c r="S386" s="4003"/>
      <c r="T386" s="6537"/>
      <c r="U386" s="6537"/>
      <c r="V386" s="6537"/>
      <c r="W386" s="4003"/>
      <c r="X386" s="4003"/>
      <c r="Y386" s="4003"/>
      <c r="Z386" s="4003"/>
      <c r="AA386" s="4003"/>
      <c r="AB386" s="4003"/>
      <c r="AC386" s="4003"/>
      <c r="AD386" s="4003"/>
      <c r="AE386" s="4003"/>
      <c r="AF386" s="4003"/>
      <c r="AG386" s="4003"/>
      <c r="AH386" s="4007"/>
      <c r="AI386" s="6192"/>
    </row>
    <row r="387" ht="15.0" customHeight="1">
      <c r="A387" s="6185"/>
      <c r="B387" s="5433"/>
      <c r="C387" s="5434"/>
      <c r="D387" s="5434"/>
      <c r="E387" s="6538"/>
      <c r="F387" s="6538"/>
      <c r="G387" s="6538"/>
      <c r="H387" s="6538"/>
      <c r="I387" s="5434"/>
      <c r="J387" s="6538"/>
      <c r="K387" s="6538"/>
      <c r="L387" s="6538"/>
      <c r="M387" s="6538"/>
      <c r="N387" s="5434"/>
      <c r="O387" s="6539"/>
      <c r="P387" s="6539"/>
      <c r="Q387" s="6539"/>
      <c r="R387" s="6538"/>
      <c r="S387" s="5434"/>
      <c r="T387" s="6540"/>
      <c r="U387" s="6540"/>
      <c r="V387" s="6540"/>
      <c r="W387" s="6538"/>
      <c r="X387" s="5434"/>
      <c r="Y387" s="5436"/>
      <c r="Z387" s="5436"/>
      <c r="AA387" s="5436"/>
      <c r="AB387" s="5434"/>
      <c r="AC387" s="5434"/>
      <c r="AD387" s="6538"/>
      <c r="AE387" s="6538"/>
      <c r="AF387" s="6538"/>
      <c r="AG387" s="6538"/>
      <c r="AH387" s="5437"/>
      <c r="AI387" s="6192"/>
    </row>
    <row r="388" ht="96.75" customHeight="1">
      <c r="A388" s="6185"/>
      <c r="B388" s="5442"/>
      <c r="C388" s="6541" t="str">
        <f>IMAGE("https://i.ibb.co/3N39wW0/Crush-Girl.png")</f>
        <v/>
      </c>
      <c r="D388" s="5529"/>
      <c r="E388" s="6542" t="str">
        <f t="array" ref="E388">IFERROR(VLOOKUP(E389,Dex!$B$3:$G1218,3,FALSE),"")</f>
        <v/>
      </c>
      <c r="F388" s="1830"/>
      <c r="G388" s="1830"/>
      <c r="H388" s="1831"/>
      <c r="I388" s="5530"/>
      <c r="J388" s="6542" t="str">
        <f t="array" ref="J388">IFERROR(VLOOKUP(J389,Dex!$B$3:$G1218,3,FALSE),"")</f>
        <v/>
      </c>
      <c r="K388" s="1830"/>
      <c r="L388" s="1830"/>
      <c r="M388" s="1831"/>
      <c r="N388" s="5530"/>
      <c r="O388" s="6542" t="str">
        <f t="array" ref="O388">IFERROR(VLOOKUP(O389,Dex!$B$3:$G1218,3,FALSE),"")</f>
        <v/>
      </c>
      <c r="P388" s="1830"/>
      <c r="Q388" s="1830"/>
      <c r="R388" s="1831"/>
      <c r="S388" s="5530"/>
      <c r="T388" s="6542" t="str">
        <f t="array" ref="T388">IFERROR(VLOOKUP(T389,Dex!$B$3:$G1218,3,FALSE),"")</f>
        <v/>
      </c>
      <c r="U388" s="1830"/>
      <c r="V388" s="1830"/>
      <c r="W388" s="1831"/>
      <c r="X388" s="5530"/>
      <c r="Y388" s="6543"/>
      <c r="Z388" s="5477"/>
      <c r="AA388" s="5477"/>
      <c r="AB388" s="5487"/>
      <c r="AC388" s="5446"/>
      <c r="AD388" s="6543"/>
      <c r="AE388" s="5477"/>
      <c r="AF388" s="5477"/>
      <c r="AG388" s="5487"/>
      <c r="AH388" s="5447"/>
      <c r="AI388" s="6192"/>
    </row>
    <row r="389" ht="18.75" customHeight="1">
      <c r="A389" s="6185"/>
      <c r="B389" s="5442"/>
      <c r="C389" s="5448" t="s">
        <v>1648</v>
      </c>
      <c r="D389" s="5449"/>
      <c r="E389" s="5450" t="s">
        <v>1649</v>
      </c>
      <c r="F389" s="5451"/>
      <c r="G389" s="5451"/>
      <c r="H389" s="5452"/>
      <c r="J389" s="5450" t="s">
        <v>1650</v>
      </c>
      <c r="K389" s="5451"/>
      <c r="L389" s="5451"/>
      <c r="M389" s="5452"/>
      <c r="O389" s="5450" t="s">
        <v>1651</v>
      </c>
      <c r="P389" s="5451"/>
      <c r="Q389" s="5451"/>
      <c r="R389" s="5452"/>
      <c r="T389" s="5450" t="s">
        <v>1499</v>
      </c>
      <c r="U389" s="5451"/>
      <c r="V389" s="5451"/>
      <c r="W389" s="5452"/>
      <c r="Y389" s="6543"/>
      <c r="Z389" s="5477"/>
      <c r="AA389" s="5477"/>
      <c r="AB389" s="5487"/>
      <c r="AC389" s="5453"/>
      <c r="AD389" s="6543"/>
      <c r="AE389" s="5477"/>
      <c r="AF389" s="5477"/>
      <c r="AG389" s="5487"/>
      <c r="AH389" s="5447"/>
      <c r="AI389" s="6192"/>
    </row>
    <row r="390">
      <c r="A390" s="6185"/>
      <c r="B390" s="5442"/>
      <c r="C390" s="1481"/>
      <c r="D390" s="5449"/>
      <c r="E390" s="5454" t="s">
        <v>1502</v>
      </c>
      <c r="F390" s="5455"/>
      <c r="G390" s="5455"/>
      <c r="H390" s="5456"/>
      <c r="J390" s="5454" t="s">
        <v>1502</v>
      </c>
      <c r="K390" s="5455"/>
      <c r="L390" s="5455"/>
      <c r="M390" s="5456"/>
      <c r="O390" s="5454" t="s">
        <v>1502</v>
      </c>
      <c r="P390" s="5455"/>
      <c r="Q390" s="5455"/>
      <c r="R390" s="5456"/>
      <c r="T390" s="5454" t="s">
        <v>1502</v>
      </c>
      <c r="U390" s="5455"/>
      <c r="V390" s="5455"/>
      <c r="W390" s="5456"/>
      <c r="Y390" s="6543"/>
      <c r="Z390" s="5477"/>
      <c r="AA390" s="5477"/>
      <c r="AB390" s="5487"/>
      <c r="AC390" s="5453"/>
      <c r="AD390" s="6543"/>
      <c r="AE390" s="5477"/>
      <c r="AF390" s="5477"/>
      <c r="AG390" s="5487"/>
      <c r="AH390" s="5447"/>
      <c r="AI390" s="6192"/>
    </row>
    <row r="391" ht="25.5" customHeight="1">
      <c r="A391" s="6185"/>
      <c r="B391" s="5442"/>
      <c r="C391" s="1489"/>
      <c r="D391" s="5457"/>
      <c r="E391" s="5458"/>
      <c r="F391" s="5459" t="str">
        <f t="array" ref="F391">IFERROR(VLOOKUP(E389,Dex!$B$3:$H1218,5,FALSE),"")</f>
        <v/>
      </c>
      <c r="G391" s="5460" t="str">
        <f t="array" ref="G391">IFERROR(VLOOKUP(E389,Dex!$B$3:$H1218,7,FALSE),"")</f>
        <v/>
      </c>
      <c r="H391" s="5461"/>
      <c r="J391" s="5458"/>
      <c r="K391" s="5459" t="str">
        <f t="array" ref="K391">IFERROR(VLOOKUP(J389,Dex!$B$3:$H1218,5,FALSE),"")</f>
        <v/>
      </c>
      <c r="L391" s="5460" t="str">
        <f t="array" ref="L391">IFERROR(VLOOKUP(J389,Dex!$B$3:$H1218,7,FALSE),"")</f>
        <v/>
      </c>
      <c r="M391" s="5461"/>
      <c r="O391" s="5458"/>
      <c r="P391" s="5459" t="str">
        <f t="array" ref="P391">IFERROR(VLOOKUP(O389,Dex!$B$3:$H1218,5,FALSE),"")</f>
        <v/>
      </c>
      <c r="Q391" s="5460" t="str">
        <f t="array" ref="Q391">IFERROR(VLOOKUP(O389,Dex!$B$3:$H1218,7,FALSE),"")</f>
        <v/>
      </c>
      <c r="R391" s="5461"/>
      <c r="T391" s="5458"/>
      <c r="U391" s="5462" t="str">
        <f t="array" ref="U391">IFERROR(VLOOKUP(T389,Dex!$B$3:$H1218,5,FALSE),"")</f>
        <v/>
      </c>
      <c r="V391" s="5463"/>
      <c r="W391" s="5461"/>
      <c r="Y391" s="6543"/>
      <c r="Z391" s="5477"/>
      <c r="AA391" s="5477"/>
      <c r="AB391" s="5487"/>
      <c r="AC391" s="5453"/>
      <c r="AD391" s="6543"/>
      <c r="AE391" s="5477"/>
      <c r="AF391" s="5477"/>
      <c r="AG391" s="5487"/>
      <c r="AH391" s="5464"/>
      <c r="AI391" s="6192"/>
    </row>
    <row r="392" ht="2.25" customHeight="1">
      <c r="A392" s="6185"/>
      <c r="B392" s="5438"/>
      <c r="C392" s="5465"/>
      <c r="D392" s="5466"/>
      <c r="E392" s="5467"/>
      <c r="F392" s="5468"/>
      <c r="G392" s="5468"/>
      <c r="H392" s="5469"/>
      <c r="J392" s="5467"/>
      <c r="K392" s="5468"/>
      <c r="L392" s="5468"/>
      <c r="M392" s="5469"/>
      <c r="O392" s="5467"/>
      <c r="P392" s="5468"/>
      <c r="Q392" s="5468"/>
      <c r="R392" s="5469"/>
      <c r="T392" s="5467"/>
      <c r="U392" s="5468"/>
      <c r="V392" s="5468"/>
      <c r="W392" s="5469"/>
      <c r="Y392" s="6543"/>
      <c r="Z392" s="5477"/>
      <c r="AA392" s="5477"/>
      <c r="AB392" s="5487"/>
      <c r="AC392" s="5453"/>
      <c r="AD392" s="6543"/>
      <c r="AE392" s="5477"/>
      <c r="AF392" s="5477"/>
      <c r="AG392" s="5487"/>
      <c r="AH392" s="5464"/>
      <c r="AI392" s="6192"/>
    </row>
    <row r="393" ht="20.25" customHeight="1">
      <c r="A393" s="6185"/>
      <c r="B393" s="5438"/>
      <c r="C393" s="5470"/>
      <c r="D393" s="5471"/>
      <c r="E393" s="5472" t="s">
        <v>169</v>
      </c>
      <c r="F393" s="5473"/>
      <c r="G393" s="5473"/>
      <c r="H393" s="5474"/>
      <c r="J393" s="5472" t="s">
        <v>169</v>
      </c>
      <c r="K393" s="5473"/>
      <c r="L393" s="5473"/>
      <c r="M393" s="5474"/>
      <c r="O393" s="5472" t="s">
        <v>169</v>
      </c>
      <c r="P393" s="5473"/>
      <c r="Q393" s="5473"/>
      <c r="R393" s="5474"/>
      <c r="T393" s="5472" t="s">
        <v>172</v>
      </c>
      <c r="U393" s="5473"/>
      <c r="V393" s="5473"/>
      <c r="W393" s="5474"/>
      <c r="Y393" s="6543"/>
      <c r="Z393" s="5477"/>
      <c r="AA393" s="5477"/>
      <c r="AB393" s="5487"/>
      <c r="AC393" s="5453"/>
      <c r="AD393" s="6543"/>
      <c r="AE393" s="5477"/>
      <c r="AF393" s="5477"/>
      <c r="AG393" s="5487"/>
      <c r="AH393" s="5447"/>
      <c r="AI393" s="6192"/>
    </row>
    <row r="394" ht="20.25" customHeight="1">
      <c r="A394" s="6185"/>
      <c r="B394" s="5438"/>
      <c r="C394" s="5475"/>
      <c r="D394" s="5471"/>
      <c r="E394" s="5476" t="s">
        <v>422</v>
      </c>
      <c r="F394" s="5477"/>
      <c r="G394" s="5477"/>
      <c r="H394" s="5478"/>
      <c r="J394" s="5476" t="s">
        <v>978</v>
      </c>
      <c r="K394" s="5477"/>
      <c r="L394" s="5477"/>
      <c r="M394" s="5478"/>
      <c r="O394" s="5476" t="s">
        <v>303</v>
      </c>
      <c r="P394" s="5477"/>
      <c r="Q394" s="5477"/>
      <c r="R394" s="5478"/>
      <c r="T394" s="5476" t="s">
        <v>329</v>
      </c>
      <c r="U394" s="5477"/>
      <c r="V394" s="5477"/>
      <c r="W394" s="5478"/>
      <c r="Y394" s="6543"/>
      <c r="Z394" s="5477"/>
      <c r="AA394" s="5477"/>
      <c r="AB394" s="5487"/>
      <c r="AC394" s="5453"/>
      <c r="AD394" s="6543"/>
      <c r="AE394" s="5477"/>
      <c r="AF394" s="5477"/>
      <c r="AG394" s="5487"/>
      <c r="AH394" s="5447"/>
      <c r="AI394" s="6192"/>
    </row>
    <row r="395" ht="20.25" customHeight="1">
      <c r="A395" s="6185"/>
      <c r="B395" s="5438"/>
      <c r="C395" s="5479"/>
      <c r="D395" s="5471"/>
      <c r="E395" s="5480" t="s">
        <v>240</v>
      </c>
      <c r="F395" s="5481"/>
      <c r="G395" s="5482"/>
      <c r="H395" s="5483" t="str">
        <f>IMAGE("https://raw.githubusercontent.com/msikma/pokesprite/master/items/hold-item/focus-sash.png",3)</f>
        <v/>
      </c>
      <c r="J395" s="5480" t="s">
        <v>213</v>
      </c>
      <c r="K395" s="5481"/>
      <c r="L395" s="5482"/>
      <c r="M395" s="5483" t="str">
        <f>IMAGE("https://raw.githubusercontent.com/msikma/pokesprite/master/items/berry/sitrus.png",3)</f>
        <v/>
      </c>
      <c r="O395" s="5480" t="s">
        <v>307</v>
      </c>
      <c r="P395" s="5481"/>
      <c r="Q395" s="5482"/>
      <c r="R395" s="5483" t="str">
        <f>IMAGE("https://raw.githubusercontent.com/msikma/pokesprite/master/items/hold-item/flame-orb.png",3)</f>
        <v/>
      </c>
      <c r="T395" s="5480" t="s">
        <v>272</v>
      </c>
      <c r="U395" s="5481"/>
      <c r="V395" s="5482"/>
      <c r="W395" s="5483" t="str">
        <f>IMAGE("https://raw.githubusercontent.com/msikma/pokesprite/master/items/hold-item/life-orb.png",3)</f>
        <v/>
      </c>
      <c r="Y395" s="6543"/>
      <c r="Z395" s="5477"/>
      <c r="AA395" s="5477"/>
      <c r="AB395" s="5487"/>
      <c r="AC395" s="5453"/>
      <c r="AD395" s="6543"/>
      <c r="AE395" s="5477"/>
      <c r="AF395" s="5477"/>
      <c r="AG395" s="5487"/>
      <c r="AH395" s="5464"/>
      <c r="AI395" s="6192"/>
    </row>
    <row r="396" ht="20.25" customHeight="1">
      <c r="A396" s="6185"/>
      <c r="B396" s="5438"/>
      <c r="C396" s="5484"/>
      <c r="D396" s="5471"/>
      <c r="E396" s="5472" t="s">
        <v>339</v>
      </c>
      <c r="F396" s="5473"/>
      <c r="G396" s="5485"/>
      <c r="H396" s="5486" t="str">
        <f>IMAGE("https://raw.githubusercontent.com/msikma/pokesprite/master/misc/types/gen8/dark.png",4,20,20)</f>
        <v/>
      </c>
      <c r="J396" s="5472" t="s">
        <v>316</v>
      </c>
      <c r="K396" s="5473"/>
      <c r="L396" s="5485"/>
      <c r="M396" s="5486" t="str">
        <f>IMAGE("https://raw.githubusercontent.com/msikma/pokesprite/master/misc/types/gen8/fighting.png",4,20,20)</f>
        <v/>
      </c>
      <c r="O396" s="5472" t="s">
        <v>244</v>
      </c>
      <c r="P396" s="5473"/>
      <c r="Q396" s="5485"/>
      <c r="R396" s="5486" t="str">
        <f>IMAGE("https://raw.githubusercontent.com/msikma/pokesprite/master/misc/types/gen8/fighting.png",4,20,20)</f>
        <v/>
      </c>
      <c r="T396" s="5472" t="s">
        <v>1146</v>
      </c>
      <c r="U396" s="5473"/>
      <c r="V396" s="5485"/>
      <c r="W396" s="5486" t="str">
        <f>IMAGE("https://raw.githubusercontent.com/msikma/pokesprite/master/misc/types/gen8/normal.png",4,20,20)</f>
        <v/>
      </c>
      <c r="Y396" s="6543"/>
      <c r="Z396" s="5477"/>
      <c r="AA396" s="5477"/>
      <c r="AB396" s="5487"/>
      <c r="AC396" s="5453"/>
      <c r="AD396" s="6543"/>
      <c r="AE396" s="5477"/>
      <c r="AF396" s="5477"/>
      <c r="AG396" s="5487"/>
      <c r="AH396" s="5447"/>
      <c r="AI396" s="6192"/>
    </row>
    <row r="397" ht="20.25" customHeight="1">
      <c r="A397" s="6185"/>
      <c r="B397" s="5438"/>
      <c r="C397" s="5470"/>
      <c r="D397" s="5471"/>
      <c r="E397" s="5476" t="s">
        <v>316</v>
      </c>
      <c r="F397" s="5477"/>
      <c r="G397" s="5487"/>
      <c r="H397" s="5488" t="str">
        <f>IMAGE("https://raw.githubusercontent.com/msikma/pokesprite/master/misc/types/gen8/fighting.png",4,20,20)</f>
        <v/>
      </c>
      <c r="J397" s="5476" t="s">
        <v>640</v>
      </c>
      <c r="K397" s="5477"/>
      <c r="L397" s="5487"/>
      <c r="M397" s="5488" t="str">
        <f>IMAGE("https://raw.githubusercontent.com/msikma/pokesprite/master/misc/types/gen8/normal.png",4,20,20)</f>
        <v/>
      </c>
      <c r="O397" s="5476" t="s">
        <v>581</v>
      </c>
      <c r="P397" s="5477"/>
      <c r="Q397" s="5487"/>
      <c r="R397" s="5488" t="str">
        <f t="shared" ref="R397:R398" si="18">IMAGE("https://raw.githubusercontent.com/msikma/pokesprite/master/misc/types/gen8/ghost.png",4,20,20)</f>
        <v/>
      </c>
      <c r="T397" s="5476" t="s">
        <v>407</v>
      </c>
      <c r="U397" s="5477"/>
      <c r="V397" s="5487"/>
      <c r="W397" s="5488" t="str">
        <f>IMAGE("https://raw.githubusercontent.com/msikma/pokesprite/master/misc/types/gen8/steel.png",4,20,20)</f>
        <v/>
      </c>
      <c r="Y397" s="6543"/>
      <c r="Z397" s="5477"/>
      <c r="AA397" s="5477"/>
      <c r="AB397" s="5487"/>
      <c r="AC397" s="5453"/>
      <c r="AD397" s="6543"/>
      <c r="AE397" s="5477"/>
      <c r="AF397" s="5477"/>
      <c r="AG397" s="5487"/>
      <c r="AH397" s="5447"/>
      <c r="AI397" s="6192"/>
    </row>
    <row r="398" ht="20.25" customHeight="1">
      <c r="A398" s="6185"/>
      <c r="B398" s="5438"/>
      <c r="C398" s="5470"/>
      <c r="D398" s="5471"/>
      <c r="E398" s="5476" t="s">
        <v>850</v>
      </c>
      <c r="F398" s="5477"/>
      <c r="G398" s="5487"/>
      <c r="H398" s="5488" t="str">
        <f t="shared" ref="H398:H399" si="19">IMAGE("https://raw.githubusercontent.com/msikma/pokesprite/master/misc/types/gen8/dark.png",4,20,20)</f>
        <v/>
      </c>
      <c r="J398" s="5476" t="s">
        <v>921</v>
      </c>
      <c r="K398" s="5477"/>
      <c r="L398" s="5487"/>
      <c r="M398" s="5488" t="str">
        <f>IMAGE("https://raw.githubusercontent.com/msikma/pokesprite/master/misc/types/gen8/dark.png",4,20,20)</f>
        <v/>
      </c>
      <c r="O398" s="5476" t="s">
        <v>585</v>
      </c>
      <c r="P398" s="5477"/>
      <c r="Q398" s="5487"/>
      <c r="R398" s="5488" t="str">
        <f t="shared" si="18"/>
        <v/>
      </c>
      <c r="T398" s="5476" t="s">
        <v>316</v>
      </c>
      <c r="U398" s="5477"/>
      <c r="V398" s="5487"/>
      <c r="W398" s="5488" t="str">
        <f>IMAGE("https://raw.githubusercontent.com/msikma/pokesprite/master/misc/types/gen8/fighting.png",4,20,20)</f>
        <v/>
      </c>
      <c r="Y398" s="6543"/>
      <c r="Z398" s="5477"/>
      <c r="AA398" s="5477"/>
      <c r="AB398" s="5487"/>
      <c r="AC398" s="5453"/>
      <c r="AD398" s="6543"/>
      <c r="AE398" s="5477"/>
      <c r="AF398" s="5477"/>
      <c r="AG398" s="5487"/>
      <c r="AH398" s="5447"/>
      <c r="AI398" s="6192"/>
    </row>
    <row r="399" ht="21.0" customHeight="1">
      <c r="A399" s="6185"/>
      <c r="B399" s="5438"/>
      <c r="C399" s="5470"/>
      <c r="D399" s="5471"/>
      <c r="E399" s="5489" t="s">
        <v>541</v>
      </c>
      <c r="F399" s="5490"/>
      <c r="G399" s="5491"/>
      <c r="H399" s="5492" t="str">
        <f t="shared" si="19"/>
        <v/>
      </c>
      <c r="I399" s="5532"/>
      <c r="J399" s="5489" t="s">
        <v>244</v>
      </c>
      <c r="K399" s="5490"/>
      <c r="L399" s="5491"/>
      <c r="M399" s="5492" t="str">
        <f>IMAGE("https://raw.githubusercontent.com/msikma/pokesprite/master/misc/types/gen8/fighting.png",4,20,20)</f>
        <v/>
      </c>
      <c r="N399" s="5532"/>
      <c r="O399" s="5489" t="s">
        <v>556</v>
      </c>
      <c r="P399" s="5490"/>
      <c r="Q399" s="5491"/>
      <c r="R399" s="5492" t="str">
        <f>IMAGE("https://raw.githubusercontent.com/msikma/pokesprite/master/misc/types/gen8/fairy.png",4,20,20)</f>
        <v/>
      </c>
      <c r="S399" s="5532"/>
      <c r="T399" s="5489" t="s">
        <v>1398</v>
      </c>
      <c r="U399" s="5490"/>
      <c r="V399" s="5491"/>
      <c r="W399" s="5492" t="str">
        <f>IMAGE("https://raw.githubusercontent.com/msikma/pokesprite/master/misc/types/gen8/dark.png",4,20,20)</f>
        <v/>
      </c>
      <c r="X399" s="5532"/>
      <c r="Y399" s="6543"/>
      <c r="Z399" s="5477"/>
      <c r="AA399" s="5477"/>
      <c r="AB399" s="5487"/>
      <c r="AC399" s="5493"/>
      <c r="AD399" s="6543"/>
      <c r="AE399" s="5477"/>
      <c r="AF399" s="5477"/>
      <c r="AG399" s="5487"/>
      <c r="AH399" s="5447"/>
      <c r="AI399" s="6192"/>
    </row>
    <row r="400" ht="3.0" customHeight="1">
      <c r="A400" s="6185"/>
      <c r="B400" s="5494"/>
      <c r="C400" s="5495"/>
      <c r="D400" s="5496"/>
      <c r="E400" s="6544"/>
      <c r="F400" s="6544"/>
      <c r="G400" s="6544"/>
      <c r="H400" s="5497"/>
      <c r="I400" s="5496"/>
      <c r="J400" s="5533"/>
      <c r="K400" s="5533"/>
      <c r="L400" s="5533"/>
      <c r="M400" s="5497"/>
      <c r="N400" s="5496"/>
      <c r="O400" s="5533"/>
      <c r="P400" s="5533"/>
      <c r="Q400" s="5533"/>
      <c r="R400" s="5497"/>
      <c r="S400" s="5496"/>
      <c r="T400" s="5533"/>
      <c r="U400" s="5533"/>
      <c r="V400" s="5533"/>
      <c r="W400" s="5497"/>
      <c r="X400" s="5496"/>
      <c r="Y400" s="6543"/>
      <c r="Z400" s="5477"/>
      <c r="AA400" s="5477"/>
      <c r="AB400" s="5487"/>
      <c r="AC400" s="5496"/>
      <c r="AD400" s="6543"/>
      <c r="AE400" s="5477"/>
      <c r="AF400" s="5477"/>
      <c r="AG400" s="5487"/>
      <c r="AH400" s="5499"/>
      <c r="AI400" s="6192"/>
    </row>
    <row r="401" ht="16.5" customHeight="1">
      <c r="A401" s="6185"/>
      <c r="B401" s="5500"/>
      <c r="C401" s="5495"/>
      <c r="D401" s="5501"/>
      <c r="E401" s="6545" t="s">
        <v>190</v>
      </c>
      <c r="F401" s="381"/>
      <c r="G401" s="382"/>
      <c r="H401" s="6546" t="s">
        <v>191</v>
      </c>
      <c r="I401" s="5504"/>
      <c r="J401" s="6545" t="s">
        <v>190</v>
      </c>
      <c r="K401" s="381"/>
      <c r="L401" s="382"/>
      <c r="M401" s="6546" t="s">
        <v>191</v>
      </c>
      <c r="N401" s="5504"/>
      <c r="O401" s="6545" t="s">
        <v>190</v>
      </c>
      <c r="P401" s="381"/>
      <c r="Q401" s="382"/>
      <c r="R401" s="6546" t="s">
        <v>191</v>
      </c>
      <c r="S401" s="5504"/>
      <c r="T401" s="6545" t="s">
        <v>190</v>
      </c>
      <c r="U401" s="381"/>
      <c r="V401" s="382"/>
      <c r="W401" s="6546" t="s">
        <v>191</v>
      </c>
      <c r="X401" s="5504"/>
      <c r="Y401" s="6543"/>
      <c r="Z401" s="5477"/>
      <c r="AA401" s="5477"/>
      <c r="AB401" s="5487"/>
      <c r="AC401" s="5504"/>
      <c r="AD401" s="6543"/>
      <c r="AE401" s="5477"/>
      <c r="AF401" s="5477"/>
      <c r="AG401" s="5487"/>
      <c r="AH401" s="5505"/>
      <c r="AI401" s="6192"/>
    </row>
    <row r="402" ht="16.5" customHeight="1">
      <c r="A402" s="6185"/>
      <c r="B402" s="5500"/>
      <c r="C402" s="5495"/>
      <c r="D402" s="5501"/>
      <c r="E402" s="6547" t="s">
        <v>192</v>
      </c>
      <c r="F402" s="6548">
        <f t="array" ref="F402">IFERROR(VLOOKUP(E389,Dex!$B$3:$N1218,8,FALSE),"")</f>
        <v>95</v>
      </c>
      <c r="G402" s="6549" t="str">
        <f t="array" ref="G402">IFERROR(VLOOKUP(F402,Dex!$P$22:$Q$276,2,FALSE),"")</f>
        <v/>
      </c>
      <c r="H402" s="6550"/>
      <c r="I402" s="5510"/>
      <c r="J402" s="6547" t="s">
        <v>192</v>
      </c>
      <c r="K402" s="6548">
        <f t="array" ref="K402">IFERROR(VLOOKUP(J389,Dex!$B$3:$N1218,8,FALSE),"")</f>
        <v>120</v>
      </c>
      <c r="L402" s="6549" t="str">
        <f t="array" ref="L402">IFERROR(VLOOKUP(K402,Dex!$P$22:$Q$276,2,FALSE),"")</f>
        <v/>
      </c>
      <c r="M402" s="6550">
        <v>252.0</v>
      </c>
      <c r="N402" s="5510"/>
      <c r="O402" s="6547" t="s">
        <v>192</v>
      </c>
      <c r="P402" s="6548">
        <f t="array" ref="P402">IFERROR(VLOOKUP(O389,Dex!$B$3:$N1218,8,FALSE),"")</f>
        <v>100</v>
      </c>
      <c r="Q402" s="6549" t="str">
        <f t="array" ref="Q402">IFERROR(VLOOKUP(P402,Dex!$P$22:$Q$276,2,FALSE),"")</f>
        <v/>
      </c>
      <c r="R402" s="6550">
        <v>252.0</v>
      </c>
      <c r="S402" s="5510"/>
      <c r="T402" s="6547" t="s">
        <v>192</v>
      </c>
      <c r="U402" s="6548">
        <f t="array" ref="U402">IFERROR(VLOOKUP(T389,Dex!$B$3:$N1218,8,FALSE),"")</f>
        <v>75</v>
      </c>
      <c r="V402" s="6549" t="str">
        <f t="array" ref="V402">IFERROR(VLOOKUP(U402,Dex!$P$22:$Q$276,2,FALSE),"")</f>
        <v/>
      </c>
      <c r="W402" s="6550"/>
      <c r="X402" s="5510"/>
      <c r="Y402" s="6543"/>
      <c r="Z402" s="5477"/>
      <c r="AA402" s="5477"/>
      <c r="AB402" s="5487"/>
      <c r="AC402" s="5510"/>
      <c r="AD402" s="6543"/>
      <c r="AE402" s="5477"/>
      <c r="AF402" s="5477"/>
      <c r="AG402" s="5487"/>
      <c r="AH402" s="5505"/>
      <c r="AI402" s="6192"/>
    </row>
    <row r="403" ht="16.5" customHeight="1">
      <c r="A403" s="6185"/>
      <c r="B403" s="5500"/>
      <c r="C403" s="5495"/>
      <c r="D403" s="5501"/>
      <c r="E403" s="6551" t="s">
        <v>193</v>
      </c>
      <c r="F403" s="6552">
        <f t="array" ref="F403">IFERROR(VLOOKUP(E389,Dex!$B$3:$N1218,9,FALSE),"")</f>
        <v>124</v>
      </c>
      <c r="G403" s="6553" t="str">
        <f t="array" ref="G403">IFERROR(VLOOKUP(F403,Dex!$P$22:$Q$276,2,FALSE),"")</f>
        <v/>
      </c>
      <c r="H403" s="6554">
        <v>252.0</v>
      </c>
      <c r="I403" s="5510"/>
      <c r="J403" s="6551" t="s">
        <v>193</v>
      </c>
      <c r="K403" s="6552">
        <f t="array" ref="K403">IFERROR(VLOOKUP(J389,Dex!$B$3:$N1218,9,FALSE),"")</f>
        <v>125</v>
      </c>
      <c r="L403" s="6553" t="str">
        <f t="array" ref="L403">IFERROR(VLOOKUP(K403,Dex!$P$22:$Q$276,2,FALSE),"")</f>
        <v/>
      </c>
      <c r="M403" s="6554">
        <v>252.0</v>
      </c>
      <c r="N403" s="5510"/>
      <c r="O403" s="6551" t="s">
        <v>193</v>
      </c>
      <c r="P403" s="6552">
        <f t="array" ref="P403">IFERROR(VLOOKUP(O389,Dex!$B$3:$N1218,9,FALSE),"")</f>
        <v>110</v>
      </c>
      <c r="Q403" s="6553" t="str">
        <f t="array" ref="Q403">IFERROR(VLOOKUP(P403,Dex!$P$22:$Q$276,2,FALSE),"")</f>
        <v/>
      </c>
      <c r="R403" s="6554">
        <v>252.0</v>
      </c>
      <c r="S403" s="5510"/>
      <c r="T403" s="6551" t="s">
        <v>193</v>
      </c>
      <c r="U403" s="6552">
        <f t="array" ref="U403">IFERROR(VLOOKUP(T389,Dex!$B$3:$N1218,9,FALSE),"")</f>
        <v>100</v>
      </c>
      <c r="V403" s="6553" t="str">
        <f t="array" ref="V403">IFERROR(VLOOKUP(U403,Dex!$P$22:$Q$276,2,FALSE),"")</f>
        <v/>
      </c>
      <c r="W403" s="6554">
        <v>252.0</v>
      </c>
      <c r="X403" s="5510"/>
      <c r="Y403" s="6543"/>
      <c r="Z403" s="5477"/>
      <c r="AA403" s="5477"/>
      <c r="AB403" s="5487"/>
      <c r="AC403" s="5510"/>
      <c r="AD403" s="6543"/>
      <c r="AE403" s="5477"/>
      <c r="AF403" s="5477"/>
      <c r="AG403" s="5487"/>
      <c r="AH403" s="5505"/>
      <c r="AI403" s="6192"/>
    </row>
    <row r="404" ht="16.5" customHeight="1">
      <c r="A404" s="6185"/>
      <c r="B404" s="5500"/>
      <c r="C404" s="5495"/>
      <c r="D404" s="5501"/>
      <c r="E404" s="6551" t="s">
        <v>194</v>
      </c>
      <c r="F404" s="6552">
        <f t="array" ref="F404">IFERROR(VLOOKUP(E389,Dex!$B$3:$N1218,10,FALSE),"")</f>
        <v>78</v>
      </c>
      <c r="G404" s="6553" t="str">
        <f t="array" ref="G404">IFERROR(VLOOKUP(F404,Dex!$P$22:$Q$276,2,FALSE),"")</f>
        <v/>
      </c>
      <c r="H404" s="6554">
        <v>4.0</v>
      </c>
      <c r="I404" s="5510"/>
      <c r="J404" s="6551" t="s">
        <v>194</v>
      </c>
      <c r="K404" s="6552">
        <f t="array" ref="K404">IFERROR(VLOOKUP(J389,Dex!$B$3:$N1218,10,FALSE),"")</f>
        <v>80</v>
      </c>
      <c r="L404" s="6553" t="str">
        <f t="array" ref="L404">IFERROR(VLOOKUP(K404,Dex!$P$22:$Q$276,2,FALSE),"")</f>
        <v/>
      </c>
      <c r="M404" s="6554"/>
      <c r="N404" s="5510"/>
      <c r="O404" s="6551" t="s">
        <v>194</v>
      </c>
      <c r="P404" s="6552">
        <f t="array" ref="P404">IFERROR(VLOOKUP(O389,Dex!$B$3:$N1218,10,FALSE),"")</f>
        <v>90</v>
      </c>
      <c r="Q404" s="6553" t="str">
        <f t="array" ref="Q404">IFERROR(VLOOKUP(P404,Dex!$P$22:$Q$276,2,FALSE),"")</f>
        <v/>
      </c>
      <c r="R404" s="6554"/>
      <c r="S404" s="5510"/>
      <c r="T404" s="6551" t="s">
        <v>194</v>
      </c>
      <c r="U404" s="6552">
        <f t="array" ref="U404">IFERROR(VLOOKUP(T389,Dex!$B$3:$N1218,10,FALSE),"")</f>
        <v>95</v>
      </c>
      <c r="V404" s="6553" t="str">
        <f t="array" ref="V404">IFERROR(VLOOKUP(U404,Dex!$P$22:$Q$276,2,FALSE),"")</f>
        <v/>
      </c>
      <c r="W404" s="6554"/>
      <c r="X404" s="5510"/>
      <c r="Y404" s="6543"/>
      <c r="Z404" s="5477"/>
      <c r="AA404" s="5477"/>
      <c r="AB404" s="5487"/>
      <c r="AC404" s="5510"/>
      <c r="AD404" s="6543"/>
      <c r="AE404" s="5477"/>
      <c r="AF404" s="5477"/>
      <c r="AG404" s="5487"/>
      <c r="AH404" s="5505"/>
      <c r="AI404" s="6192"/>
    </row>
    <row r="405" ht="16.5" customHeight="1">
      <c r="A405" s="6185"/>
      <c r="B405" s="5500"/>
      <c r="C405" s="5495"/>
      <c r="D405" s="5501"/>
      <c r="E405" s="6551" t="s">
        <v>195</v>
      </c>
      <c r="F405" s="6552">
        <f t="array" ref="F405">IFERROR(VLOOKUP(E389,Dex!$B$3:$N1218,11,FALSE),"")</f>
        <v>69</v>
      </c>
      <c r="G405" s="6553" t="str">
        <f t="array" ref="G405">IFERROR(VLOOKUP(F405,Dex!$P$22:$Q$276,2,FALSE),"")</f>
        <v/>
      </c>
      <c r="H405" s="6554"/>
      <c r="I405" s="5510"/>
      <c r="J405" s="6551" t="s">
        <v>195</v>
      </c>
      <c r="K405" s="6552">
        <f t="array" ref="K405">IFERROR(VLOOKUP(J389,Dex!$B$3:$N1218,11,FALSE),"")</f>
        <v>55</v>
      </c>
      <c r="L405" s="6553" t="str">
        <f t="array" ref="L405">IFERROR(VLOOKUP(K405,Dex!$P$22:$Q$276,2,FALSE),"")</f>
        <v/>
      </c>
      <c r="M405" s="6554"/>
      <c r="N405" s="5510"/>
      <c r="O405" s="6551" t="s">
        <v>195</v>
      </c>
      <c r="P405" s="6552">
        <f t="array" ref="P405">IFERROR(VLOOKUP(O389,Dex!$B$3:$N1218,11,FALSE),"")</f>
        <v>55</v>
      </c>
      <c r="Q405" s="6553" t="str">
        <f t="array" ref="Q405">IFERROR(VLOOKUP(P405,Dex!$P$22:$Q$276,2,FALSE),"")</f>
        <v/>
      </c>
      <c r="R405" s="6554"/>
      <c r="S405" s="5510"/>
      <c r="T405" s="6551" t="s">
        <v>195</v>
      </c>
      <c r="U405" s="6552">
        <f t="array" ref="U405">IFERROR(VLOOKUP(T389,Dex!$B$3:$N1218,11,FALSE),"")</f>
        <v>70</v>
      </c>
      <c r="V405" s="6553" t="str">
        <f t="array" ref="V405">IFERROR(VLOOKUP(U405,Dex!$P$22:$Q$276,2,FALSE),"")</f>
        <v/>
      </c>
      <c r="W405" s="6554"/>
      <c r="X405" s="5510"/>
      <c r="Y405" s="6543"/>
      <c r="Z405" s="5477"/>
      <c r="AA405" s="5477"/>
      <c r="AB405" s="5487"/>
      <c r="AC405" s="5510"/>
      <c r="AD405" s="6543"/>
      <c r="AE405" s="5477"/>
      <c r="AF405" s="5477"/>
      <c r="AG405" s="5487"/>
      <c r="AH405" s="5505"/>
      <c r="AI405" s="6192"/>
    </row>
    <row r="406" ht="16.5" customHeight="1">
      <c r="A406" s="6185"/>
      <c r="B406" s="5500"/>
      <c r="C406" s="5515"/>
      <c r="D406" s="5501"/>
      <c r="E406" s="6551" t="s">
        <v>196</v>
      </c>
      <c r="F406" s="6552">
        <f t="array" ref="F406">IFERROR(VLOOKUP(E389,Dex!$B$3:$N1218,12,FALSE),"")</f>
        <v>71</v>
      </c>
      <c r="G406" s="6553" t="str">
        <f t="array" ref="G406">IFERROR(VLOOKUP(F406,Dex!$P$22:$Q$276,2,FALSE),"")</f>
        <v/>
      </c>
      <c r="H406" s="6554"/>
      <c r="I406" s="5510"/>
      <c r="J406" s="6551" t="s">
        <v>196</v>
      </c>
      <c r="K406" s="6552">
        <f t="array" ref="K406">IFERROR(VLOOKUP(J389,Dex!$B$3:$N1218,12,FALSE),"")</f>
        <v>60</v>
      </c>
      <c r="L406" s="6553" t="str">
        <f t="array" ref="L406">IFERROR(VLOOKUP(K406,Dex!$P$22:$Q$276,2,FALSE),"")</f>
        <v/>
      </c>
      <c r="M406" s="6554"/>
      <c r="N406" s="5510"/>
      <c r="O406" s="6551" t="s">
        <v>196</v>
      </c>
      <c r="P406" s="6552">
        <f t="array" ref="P406">IFERROR(VLOOKUP(O389,Dex!$B$3:$N1218,12,FALSE),"")</f>
        <v>90</v>
      </c>
      <c r="Q406" s="6553" t="str">
        <f t="array" ref="Q406">IFERROR(VLOOKUP(P406,Dex!$P$22:$Q$276,2,FALSE),"")</f>
        <v/>
      </c>
      <c r="R406" s="6554"/>
      <c r="S406" s="5510"/>
      <c r="T406" s="6551" t="s">
        <v>196</v>
      </c>
      <c r="U406" s="6552">
        <f t="array" ref="U406">IFERROR(VLOOKUP(T389,Dex!$B$3:$N1218,12,FALSE),"")</f>
        <v>70</v>
      </c>
      <c r="V406" s="6553" t="str">
        <f t="array" ref="V406">IFERROR(VLOOKUP(U406,Dex!$P$22:$Q$276,2,FALSE),"")</f>
        <v/>
      </c>
      <c r="W406" s="6554"/>
      <c r="X406" s="5510"/>
      <c r="Y406" s="6543"/>
      <c r="Z406" s="5477"/>
      <c r="AA406" s="5477"/>
      <c r="AB406" s="5487"/>
      <c r="AC406" s="5510"/>
      <c r="AD406" s="6543"/>
      <c r="AE406" s="5477"/>
      <c r="AF406" s="5477"/>
      <c r="AG406" s="5487"/>
      <c r="AH406" s="5505"/>
      <c r="AI406" s="6192"/>
    </row>
    <row r="407" ht="16.5" customHeight="1">
      <c r="A407" s="6185"/>
      <c r="B407" s="5500"/>
      <c r="C407" s="5495"/>
      <c r="D407" s="5516"/>
      <c r="E407" s="6555" t="s">
        <v>197</v>
      </c>
      <c r="F407" s="6556">
        <f t="array" ref="F407">IFERROR(VLOOKUP(E389,Dex!$B$3:$N1218,13,FALSE),"")</f>
        <v>58</v>
      </c>
      <c r="G407" s="6557" t="str">
        <f t="array" ref="G407">IFERROR(VLOOKUP(F407,Dex!$P$22:$Q$276,2,FALSE),"")</f>
        <v/>
      </c>
      <c r="H407" s="6558">
        <v>252.0</v>
      </c>
      <c r="I407" s="5510"/>
      <c r="J407" s="6555" t="s">
        <v>197</v>
      </c>
      <c r="K407" s="6556">
        <f t="array" ref="K407">IFERROR(VLOOKUP(J389,Dex!$B$3:$N1218,13,FALSE),"")</f>
        <v>60</v>
      </c>
      <c r="L407" s="6557" t="str">
        <f t="array" ref="L407">IFERROR(VLOOKUP(K407,Dex!$P$22:$Q$276,2,FALSE),"")</f>
        <v/>
      </c>
      <c r="M407" s="6558">
        <v>4.0</v>
      </c>
      <c r="N407" s="5510"/>
      <c r="O407" s="6555" t="s">
        <v>197</v>
      </c>
      <c r="P407" s="6556">
        <f t="array" ref="P407">IFERROR(VLOOKUP(O389,Dex!$B$3:$N1218,13,FALSE),"")</f>
        <v>55</v>
      </c>
      <c r="Q407" s="6557" t="str">
        <f t="array" ref="Q407">IFERROR(VLOOKUP(P407,Dex!$P$22:$Q$276,2,FALSE),"")</f>
        <v/>
      </c>
      <c r="R407" s="6558">
        <v>4.0</v>
      </c>
      <c r="S407" s="5510"/>
      <c r="T407" s="6555" t="s">
        <v>197</v>
      </c>
      <c r="U407" s="6556">
        <f t="array" ref="U407">IFERROR(VLOOKUP(T389,Dex!$B$3:$N1218,13,FALSE),"")</f>
        <v>110</v>
      </c>
      <c r="V407" s="6557" t="str">
        <f t="array" ref="V407">IFERROR(VLOOKUP(U407,Dex!$P$22:$Q$276,2,FALSE),"")</f>
        <v/>
      </c>
      <c r="W407" s="6558">
        <v>252.0</v>
      </c>
      <c r="X407" s="5510"/>
      <c r="Y407" s="6543"/>
      <c r="Z407" s="5477"/>
      <c r="AA407" s="5477"/>
      <c r="AB407" s="5487"/>
      <c r="AC407" s="5510"/>
      <c r="AD407" s="6543"/>
      <c r="AE407" s="5477"/>
      <c r="AF407" s="5477"/>
      <c r="AG407" s="5487"/>
      <c r="AH407" s="5505"/>
      <c r="AI407" s="6192"/>
    </row>
    <row r="408" ht="16.5" customHeight="1">
      <c r="A408" s="6185"/>
      <c r="B408" s="5500"/>
      <c r="C408" s="5495"/>
      <c r="D408" s="5516"/>
      <c r="E408" s="6559" t="s">
        <v>198</v>
      </c>
      <c r="F408" s="405"/>
      <c r="G408" s="406"/>
      <c r="H408" s="6560">
        <v>215.0</v>
      </c>
      <c r="I408" s="5504"/>
      <c r="J408" s="6559" t="s">
        <v>198</v>
      </c>
      <c r="K408" s="405"/>
      <c r="L408" s="406"/>
      <c r="M408" s="6560">
        <v>157.0</v>
      </c>
      <c r="N408" s="5504"/>
      <c r="O408" s="6559" t="s">
        <v>198</v>
      </c>
      <c r="P408" s="405"/>
      <c r="Q408" s="406"/>
      <c r="R408" s="6560">
        <v>147.0</v>
      </c>
      <c r="S408" s="5504"/>
      <c r="T408" s="6559" t="s">
        <v>198</v>
      </c>
      <c r="U408" s="405"/>
      <c r="V408" s="406"/>
      <c r="W408" s="6560">
        <v>350.0</v>
      </c>
      <c r="X408" s="5504"/>
      <c r="Y408" s="6543"/>
      <c r="Z408" s="5477"/>
      <c r="AA408" s="5477"/>
      <c r="AB408" s="5487"/>
      <c r="AC408" s="5504"/>
      <c r="AD408" s="6543"/>
      <c r="AE408" s="5477"/>
      <c r="AF408" s="5477"/>
      <c r="AG408" s="5487"/>
      <c r="AH408" s="5505"/>
      <c r="AI408" s="6192"/>
    </row>
    <row r="409" ht="15.0" customHeight="1">
      <c r="A409" s="6185"/>
      <c r="B409" s="6561"/>
      <c r="C409" s="5541"/>
      <c r="D409" s="5541"/>
      <c r="E409" s="5541"/>
      <c r="F409" s="5541"/>
      <c r="G409" s="5541"/>
      <c r="H409" s="5541"/>
      <c r="I409" s="5541"/>
      <c r="J409" s="5541"/>
      <c r="K409" s="5541"/>
      <c r="L409" s="5541"/>
      <c r="M409" s="5541"/>
      <c r="N409" s="5541"/>
      <c r="O409" s="6562"/>
      <c r="P409" s="6562"/>
      <c r="Q409" s="6562"/>
      <c r="R409" s="5541"/>
      <c r="S409" s="5541"/>
      <c r="T409" s="5543"/>
      <c r="U409" s="5543"/>
      <c r="V409" s="5543"/>
      <c r="W409" s="5541"/>
      <c r="X409" s="5541"/>
      <c r="Y409" s="5543"/>
      <c r="Z409" s="5543"/>
      <c r="AA409" s="5543"/>
      <c r="AB409" s="5541"/>
      <c r="AC409" s="5541"/>
      <c r="AD409" s="5541"/>
      <c r="AE409" s="5541"/>
      <c r="AF409" s="5541"/>
      <c r="AG409" s="5541"/>
      <c r="AH409" s="6563"/>
      <c r="AI409" s="6192"/>
    </row>
    <row r="410" ht="15.0" customHeight="1">
      <c r="A410" s="6185"/>
      <c r="B410" s="3908"/>
      <c r="C410" s="3909"/>
      <c r="D410" s="3909"/>
      <c r="E410" s="4277"/>
      <c r="F410" s="4277"/>
      <c r="G410" s="4277"/>
      <c r="H410" s="4277"/>
      <c r="I410" s="3909"/>
      <c r="J410" s="4277"/>
      <c r="K410" s="4277"/>
      <c r="L410" s="4277"/>
      <c r="M410" s="4277"/>
      <c r="N410" s="3909"/>
      <c r="O410" s="4277"/>
      <c r="P410" s="4277"/>
      <c r="Q410" s="4277"/>
      <c r="R410" s="4277"/>
      <c r="S410" s="3909"/>
      <c r="T410" s="4277"/>
      <c r="U410" s="4277"/>
      <c r="V410" s="4277"/>
      <c r="W410" s="4277"/>
      <c r="X410" s="3909"/>
      <c r="Y410" s="4277"/>
      <c r="Z410" s="4277"/>
      <c r="AA410" s="4277"/>
      <c r="AB410" s="4277"/>
      <c r="AC410" s="3909"/>
      <c r="AD410" s="3909"/>
      <c r="AE410" s="3909"/>
      <c r="AF410" s="3909"/>
      <c r="AG410" s="3909"/>
      <c r="AH410" s="3910"/>
      <c r="AI410" s="6192"/>
    </row>
    <row r="411" ht="96.75" customHeight="1">
      <c r="A411" s="6185"/>
      <c r="B411" s="3911"/>
      <c r="C411" s="3912" t="str">
        <f>IMAGE("https://i.ibb.co/n7Pn1gb/Camper.png")</f>
        <v/>
      </c>
      <c r="D411" s="4278"/>
      <c r="E411" s="3914" t="str">
        <f t="array" ref="E411">IFERROR(VLOOKUP(E412,Dex!$B$3:$G1218,3,FALSE),"")</f>
        <v/>
      </c>
      <c r="F411" s="1830"/>
      <c r="G411" s="1830"/>
      <c r="H411" s="1831"/>
      <c r="I411" s="4281"/>
      <c r="J411" s="3914" t="str">
        <f t="array" ref="J411">IFERROR(VLOOKUP(J412,Dex!$B$3:$G1218,3,FALSE),"")</f>
        <v/>
      </c>
      <c r="K411" s="1830"/>
      <c r="L411" s="1830"/>
      <c r="M411" s="1831"/>
      <c r="N411" s="4281"/>
      <c r="O411" s="3914" t="str">
        <f t="array" ref="O411">IFERROR(VLOOKUP(O412,Dex!$B$3:$G1218,3,FALSE),"")</f>
        <v/>
      </c>
      <c r="P411" s="1830"/>
      <c r="Q411" s="1830"/>
      <c r="R411" s="1831"/>
      <c r="S411" s="4282"/>
      <c r="T411" s="3914" t="str">
        <f t="array" ref="T411">IFERROR(VLOOKUP(T412,Dex!$B$3:$G1218,3,FALSE),"")</f>
        <v/>
      </c>
      <c r="U411" s="1830"/>
      <c r="V411" s="1830"/>
      <c r="W411" s="1831"/>
      <c r="X411" s="4282"/>
      <c r="Y411" s="3914" t="str">
        <f t="array" ref="Y411">IFERROR(VLOOKUP(Y412,Dex!$B$3:$G1218,3,FALSE),"")</f>
        <v/>
      </c>
      <c r="Z411" s="1830"/>
      <c r="AA411" s="1830"/>
      <c r="AB411" s="1831"/>
      <c r="AC411" s="4283"/>
      <c r="AD411" s="3917"/>
      <c r="AE411" s="3918"/>
      <c r="AF411" s="3918"/>
      <c r="AG411" s="3919"/>
      <c r="AH411" s="3920"/>
      <c r="AI411" s="6192"/>
    </row>
    <row r="412" ht="18.75" customHeight="1">
      <c r="A412" s="6185"/>
      <c r="B412" s="3921"/>
      <c r="C412" s="3922" t="s">
        <v>1652</v>
      </c>
      <c r="D412" s="4284"/>
      <c r="E412" s="3924" t="s">
        <v>1653</v>
      </c>
      <c r="F412" s="3925"/>
      <c r="G412" s="3925"/>
      <c r="H412" s="3926"/>
      <c r="J412" s="3924" t="s">
        <v>201</v>
      </c>
      <c r="K412" s="3925"/>
      <c r="L412" s="3925"/>
      <c r="M412" s="3926"/>
      <c r="O412" s="3924" t="s">
        <v>1654</v>
      </c>
      <c r="P412" s="3925"/>
      <c r="Q412" s="3925"/>
      <c r="R412" s="3926"/>
      <c r="T412" s="3924" t="s">
        <v>663</v>
      </c>
      <c r="U412" s="3925"/>
      <c r="V412" s="3925"/>
      <c r="W412" s="3926"/>
      <c r="Y412" s="3924" t="s">
        <v>1655</v>
      </c>
      <c r="Z412" s="3925"/>
      <c r="AA412" s="3925"/>
      <c r="AB412" s="3926"/>
      <c r="AC412" s="4285"/>
      <c r="AD412" s="3928"/>
      <c r="AE412" s="3918"/>
      <c r="AF412" s="3918"/>
      <c r="AG412" s="3919"/>
      <c r="AH412" s="3929"/>
      <c r="AI412" s="6192"/>
    </row>
    <row r="413">
      <c r="A413" s="6185"/>
      <c r="B413" s="3930"/>
      <c r="C413" s="1481"/>
      <c r="D413" s="4286"/>
      <c r="E413" s="3932" t="s">
        <v>1623</v>
      </c>
      <c r="F413" s="3933"/>
      <c r="G413" s="3933"/>
      <c r="H413" s="3934"/>
      <c r="J413" s="3932" t="s">
        <v>420</v>
      </c>
      <c r="K413" s="3933"/>
      <c r="L413" s="3933"/>
      <c r="M413" s="3934"/>
      <c r="O413" s="3932" t="s">
        <v>1502</v>
      </c>
      <c r="P413" s="3933"/>
      <c r="Q413" s="3933"/>
      <c r="R413" s="3934"/>
      <c r="T413" s="3932" t="s">
        <v>1502</v>
      </c>
      <c r="U413" s="3933"/>
      <c r="V413" s="3933"/>
      <c r="W413" s="3934"/>
      <c r="Y413" s="3932" t="s">
        <v>1623</v>
      </c>
      <c r="Z413" s="3933"/>
      <c r="AA413" s="3933"/>
      <c r="AB413" s="3934"/>
      <c r="AC413" s="4285"/>
      <c r="AD413" s="3935"/>
      <c r="AE413" s="3918"/>
      <c r="AF413" s="3918"/>
      <c r="AG413" s="3919"/>
      <c r="AH413" s="3936"/>
      <c r="AI413" s="6192"/>
    </row>
    <row r="414" ht="25.5" customHeight="1">
      <c r="A414" s="6185"/>
      <c r="B414" s="3911"/>
      <c r="C414" s="1489"/>
      <c r="D414" s="3937"/>
      <c r="E414" s="3938"/>
      <c r="F414" s="3942" t="str">
        <f t="array" ref="F414">IFERROR(VLOOKUP(E412,Dex!$B$3:$H1218,5,FALSE),"")</f>
        <v/>
      </c>
      <c r="G414" s="3943" t="str">
        <f t="array" ref="G414">IFERROR(VLOOKUP(E412,Dex!$B$3:$H1218,7,FALSE),"")</f>
        <v/>
      </c>
      <c r="H414" s="3941"/>
      <c r="J414" s="3938"/>
      <c r="K414" s="3939" t="str">
        <f t="array" ref="K414">IFERROR(VLOOKUP(J412,Dex!$B$3:$H1218,5,FALSE),"")</f>
        <v/>
      </c>
      <c r="L414" s="3940"/>
      <c r="M414" s="3941"/>
      <c r="O414" s="3938"/>
      <c r="P414" s="3942" t="str">
        <f t="array" ref="P414">IFERROR(VLOOKUP(O412,Dex!$B$3:$H1218,5,FALSE),"")</f>
        <v/>
      </c>
      <c r="Q414" s="3943" t="str">
        <f t="array" ref="Q414">IFERROR(VLOOKUP(O412,Dex!$B$3:$H1218,7,FALSE),"")</f>
        <v/>
      </c>
      <c r="R414" s="3941"/>
      <c r="T414" s="3938"/>
      <c r="U414" s="3942" t="str">
        <f t="array" ref="U414">IFERROR(VLOOKUP(T412,Dex!$B$3:$H1218,5,FALSE),"")</f>
        <v/>
      </c>
      <c r="V414" s="3943" t="str">
        <f t="array" ref="V414">IFERROR(VLOOKUP(T412,Dex!$B$3:$H1218,7,FALSE),"")</f>
        <v/>
      </c>
      <c r="W414" s="3941"/>
      <c r="Y414" s="3938"/>
      <c r="Z414" s="3942" t="str">
        <f t="array" ref="Z414">IFERROR(VLOOKUP(Y412,Dex!$B$3:$H1218,5,FALSE),"")</f>
        <v/>
      </c>
      <c r="AA414" s="3943" t="str">
        <f t="array" ref="AA414">IFERROR(VLOOKUP(Y412,Dex!$B$3:$H1218,7,FALSE),"")</f>
        <v/>
      </c>
      <c r="AB414" s="3941"/>
      <c r="AC414" s="4285"/>
      <c r="AD414" s="3917"/>
      <c r="AE414" s="3918"/>
      <c r="AF414" s="3918"/>
      <c r="AG414" s="3919"/>
      <c r="AH414" s="3920"/>
      <c r="AI414" s="6192"/>
    </row>
    <row r="415" ht="2.25" customHeight="1">
      <c r="A415" s="6185"/>
      <c r="B415" s="3911"/>
      <c r="C415" s="3944"/>
      <c r="D415" s="3937"/>
      <c r="E415" s="3945"/>
      <c r="F415" s="3946"/>
      <c r="G415" s="3946"/>
      <c r="H415" s="3947"/>
      <c r="J415" s="3945"/>
      <c r="K415" s="3946"/>
      <c r="L415" s="3946"/>
      <c r="M415" s="3947"/>
      <c r="O415" s="3945"/>
      <c r="P415" s="3946"/>
      <c r="Q415" s="3946"/>
      <c r="R415" s="3947"/>
      <c r="T415" s="3945"/>
      <c r="U415" s="3946"/>
      <c r="V415" s="3946"/>
      <c r="W415" s="3947"/>
      <c r="Y415" s="3945"/>
      <c r="Z415" s="3946"/>
      <c r="AA415" s="3946"/>
      <c r="AB415" s="3947"/>
      <c r="AC415" s="4285"/>
      <c r="AD415" s="3937"/>
      <c r="AE415" s="3937"/>
      <c r="AF415" s="3937"/>
      <c r="AG415" s="3937"/>
      <c r="AH415" s="3920"/>
      <c r="AI415" s="6192"/>
    </row>
    <row r="416" ht="20.25" customHeight="1">
      <c r="A416" s="6185"/>
      <c r="B416" s="3911"/>
      <c r="C416" s="3944"/>
      <c r="D416" s="3917"/>
      <c r="E416" s="3948" t="s">
        <v>172</v>
      </c>
      <c r="F416" s="3949"/>
      <c r="G416" s="3949"/>
      <c r="H416" s="3950"/>
      <c r="J416" s="3948" t="s">
        <v>264</v>
      </c>
      <c r="K416" s="3949"/>
      <c r="L416" s="3949"/>
      <c r="M416" s="3950"/>
      <c r="O416" s="3948" t="s">
        <v>205</v>
      </c>
      <c r="P416" s="3949"/>
      <c r="Q416" s="3949"/>
      <c r="R416" s="3950"/>
      <c r="T416" s="3948" t="s">
        <v>172</v>
      </c>
      <c r="U416" s="3949"/>
      <c r="V416" s="3949"/>
      <c r="W416" s="3950"/>
      <c r="Y416" s="3948" t="s">
        <v>205</v>
      </c>
      <c r="Z416" s="3949"/>
      <c r="AA416" s="3949"/>
      <c r="AB416" s="3950"/>
      <c r="AC416" s="4285"/>
      <c r="AD416" s="3917"/>
      <c r="AE416" s="3918"/>
      <c r="AF416" s="3918"/>
      <c r="AG416" s="3919"/>
      <c r="AH416" s="3920"/>
      <c r="AI416" s="6192"/>
    </row>
    <row r="417" ht="20.25" customHeight="1">
      <c r="A417" s="6185"/>
      <c r="B417" s="3911"/>
      <c r="C417" s="3951"/>
      <c r="D417" s="3917"/>
      <c r="E417" s="3952" t="s">
        <v>717</v>
      </c>
      <c r="F417" s="3918"/>
      <c r="G417" s="3918"/>
      <c r="H417" s="3953"/>
      <c r="J417" s="3952" t="s">
        <v>208</v>
      </c>
      <c r="K417" s="3918"/>
      <c r="L417" s="3918"/>
      <c r="M417" s="3953"/>
      <c r="O417" s="6564" t="s">
        <v>1656</v>
      </c>
      <c r="P417" s="3918"/>
      <c r="Q417" s="3918"/>
      <c r="R417" s="3953"/>
      <c r="T417" s="3952" t="s">
        <v>665</v>
      </c>
      <c r="U417" s="3918"/>
      <c r="V417" s="3918"/>
      <c r="W417" s="3953"/>
      <c r="Y417" s="3952" t="s">
        <v>979</v>
      </c>
      <c r="Z417" s="3918"/>
      <c r="AA417" s="3918"/>
      <c r="AB417" s="3953"/>
      <c r="AC417" s="4285"/>
      <c r="AD417" s="3917"/>
      <c r="AE417" s="3918"/>
      <c r="AF417" s="3918"/>
      <c r="AG417" s="3919"/>
      <c r="AH417" s="3920"/>
      <c r="AI417" s="6192"/>
    </row>
    <row r="418" ht="20.25" customHeight="1">
      <c r="A418" s="6185"/>
      <c r="B418" s="3911"/>
      <c r="C418" s="3927"/>
      <c r="D418" s="3917"/>
      <c r="E418" s="3954" t="s">
        <v>240</v>
      </c>
      <c r="F418" s="3955"/>
      <c r="G418" s="3956"/>
      <c r="H418" s="3957" t="str">
        <f>IMAGE("https://raw.githubusercontent.com/msikma/pokesprite/master/items/hold-item/focus-sash.png",3)</f>
        <v/>
      </c>
      <c r="J418" s="3954" t="s">
        <v>212</v>
      </c>
      <c r="K418" s="3955"/>
      <c r="L418" s="3956"/>
      <c r="M418" s="3957" t="str">
        <f>IMAGE("https://raw.githubusercontent.com/msikma/pokesprite/master/items/hold-item/mystic-water.png",3)</f>
        <v/>
      </c>
      <c r="O418" s="3954" t="s">
        <v>1657</v>
      </c>
      <c r="P418" s="3955"/>
      <c r="Q418" s="3956"/>
      <c r="R418" s="3957" t="str">
        <f>IMAGE("https://raw.githubusercontent.com/msikma/pokesprite/master/items/mega-stone/kangaskhanite.png",3)</f>
        <v/>
      </c>
      <c r="T418" s="3954" t="s">
        <v>536</v>
      </c>
      <c r="U418" s="3955"/>
      <c r="V418" s="3956"/>
      <c r="W418" s="3957" t="str">
        <f>IMAGE("https://raw.githubusercontent.com/msikma/pokesprite/master/items/hold-item/magnet.png",3)</f>
        <v/>
      </c>
      <c r="Y418" s="3954" t="s">
        <v>272</v>
      </c>
      <c r="Z418" s="3955"/>
      <c r="AA418" s="3956"/>
      <c r="AB418" s="3957" t="str">
        <f>IMAGE("https://raw.githubusercontent.com/msikma/pokesprite/master/items/hold-item/life-orb.png",3)</f>
        <v/>
      </c>
      <c r="AC418" s="4285"/>
      <c r="AD418" s="3917"/>
      <c r="AE418" s="3918"/>
      <c r="AF418" s="3918"/>
      <c r="AG418" s="3919"/>
      <c r="AH418" s="3920"/>
      <c r="AI418" s="6192"/>
    </row>
    <row r="419" ht="20.25" customHeight="1">
      <c r="A419" s="6185"/>
      <c r="B419" s="3911"/>
      <c r="C419" s="3958"/>
      <c r="D419" s="3917"/>
      <c r="E419" s="3948" t="s">
        <v>541</v>
      </c>
      <c r="F419" s="3949"/>
      <c r="G419" s="3959"/>
      <c r="H419" s="3960" t="str">
        <f>IMAGE("https://raw.githubusercontent.com/msikma/pokesprite/master/misc/types/gen8/dark.png",4,20,20)</f>
        <v/>
      </c>
      <c r="J419" s="3948" t="s">
        <v>476</v>
      </c>
      <c r="K419" s="3949"/>
      <c r="L419" s="3959"/>
      <c r="M419" s="3960" t="str">
        <f>IMAGE("https://raw.githubusercontent.com/msikma/pokesprite/master/misc/types/gen8/normal.png",4,20,20)</f>
        <v/>
      </c>
      <c r="O419" s="3948" t="s">
        <v>247</v>
      </c>
      <c r="P419" s="3949"/>
      <c r="Q419" s="3959"/>
      <c r="R419" s="3960" t="str">
        <f>IMAGE("https://raw.githubusercontent.com/msikma/pokesprite/master/misc/types/gen8/bug.png",4,20,20)</f>
        <v/>
      </c>
      <c r="T419" s="3948" t="s">
        <v>277</v>
      </c>
      <c r="U419" s="3949"/>
      <c r="V419" s="3959"/>
      <c r="W419" s="3960" t="str">
        <f>IMAGE("https://raw.githubusercontent.com/msikma/pokesprite/master/misc/types/gen8/electric.png",4,20,20)</f>
        <v/>
      </c>
      <c r="Y419" s="3948" t="s">
        <v>1658</v>
      </c>
      <c r="Z419" s="3949"/>
      <c r="AA419" s="3959"/>
      <c r="AB419" s="3960" t="str">
        <f>IMAGE("https://raw.githubusercontent.com/msikma/pokesprite/master/misc/types/gen8/fire.png",4,20,20)</f>
        <v/>
      </c>
      <c r="AC419" s="4285"/>
      <c r="AD419" s="3917"/>
      <c r="AE419" s="3918"/>
      <c r="AF419" s="3918"/>
      <c r="AG419" s="3919"/>
      <c r="AH419" s="3920"/>
      <c r="AI419" s="6192"/>
    </row>
    <row r="420" ht="20.25" customHeight="1">
      <c r="A420" s="6185"/>
      <c r="B420" s="3911"/>
      <c r="C420" s="3944"/>
      <c r="D420" s="3917"/>
      <c r="E420" s="3952" t="s">
        <v>608</v>
      </c>
      <c r="F420" s="3918"/>
      <c r="G420" s="3919"/>
      <c r="H420" s="3961" t="str">
        <f>IMAGE("https://raw.githubusercontent.com/msikma/pokesprite/master/misc/types/gen8/psychic.png",4,20,20)</f>
        <v/>
      </c>
      <c r="J420" s="3952" t="s">
        <v>1380</v>
      </c>
      <c r="K420" s="3918"/>
      <c r="L420" s="3919"/>
      <c r="M420" s="3961" t="str">
        <f>IMAGE("https://raw.githubusercontent.com/msikma/pokesprite/master/misc/types/gen8/water.png",4,20,20)</f>
        <v/>
      </c>
      <c r="O420" s="3952" t="s">
        <v>283</v>
      </c>
      <c r="P420" s="3918"/>
      <c r="Q420" s="3919"/>
      <c r="R420" s="3961" t="str">
        <f>IMAGE("https://raw.githubusercontent.com/msikma/pokesprite/master/misc/types/gen8/grass.png",4,20,20)</f>
        <v/>
      </c>
      <c r="T420" s="3952" t="s">
        <v>1659</v>
      </c>
      <c r="U420" s="3918"/>
      <c r="V420" s="3919"/>
      <c r="W420" s="3961" t="str">
        <f>IMAGE("https://raw.githubusercontent.com/msikma/pokesprite/master/misc/types/gen8/steel.png",4,20,20)</f>
        <v/>
      </c>
      <c r="Y420" s="3952" t="s">
        <v>561</v>
      </c>
      <c r="Z420" s="3918"/>
      <c r="AA420" s="3919"/>
      <c r="AB420" s="3961" t="str">
        <f>IMAGE("https://raw.githubusercontent.com/msikma/pokesprite/master/misc/types/gen8/psychic.png",4,20,20)</f>
        <v/>
      </c>
      <c r="AC420" s="4285"/>
      <c r="AD420" s="3917"/>
      <c r="AE420" s="3918"/>
      <c r="AF420" s="3918"/>
      <c r="AG420" s="3919"/>
      <c r="AH420" s="3920"/>
      <c r="AI420" s="6192"/>
    </row>
    <row r="421" ht="20.25" customHeight="1">
      <c r="A421" s="6185"/>
      <c r="B421" s="3911"/>
      <c r="C421" s="3944"/>
      <c r="D421" s="3917"/>
      <c r="E421" s="3952" t="s">
        <v>407</v>
      </c>
      <c r="F421" s="3918"/>
      <c r="G421" s="3919"/>
      <c r="H421" s="3961" t="str">
        <f>IMAGE("https://raw.githubusercontent.com/msikma/pokesprite/master/misc/types/gen8/steel.png",4,20,20)</f>
        <v/>
      </c>
      <c r="J421" s="3952" t="s">
        <v>220</v>
      </c>
      <c r="K421" s="3918"/>
      <c r="L421" s="3919"/>
      <c r="M421" s="3961" t="str">
        <f>IMAGE("https://raw.githubusercontent.com/msikma/pokesprite/master/misc/types/gen8/ice.png",4,20,20)</f>
        <v/>
      </c>
      <c r="O421" s="3952" t="s">
        <v>461</v>
      </c>
      <c r="P421" s="3918"/>
      <c r="Q421" s="3919"/>
      <c r="R421" s="3961" t="str">
        <f>IMAGE("https://raw.githubusercontent.com/msikma/pokesprite/master/misc/types/gen8/flying.png",4,20,20)</f>
        <v/>
      </c>
      <c r="T421" s="3952" t="s">
        <v>242</v>
      </c>
      <c r="U421" s="3918"/>
      <c r="V421" s="3919"/>
      <c r="W421" s="3961" t="str">
        <f>IMAGE("https://raw.githubusercontent.com/msikma/pokesprite/master/misc/types/gen8/electric.png",4,20,20)</f>
        <v/>
      </c>
      <c r="Y421" s="3952" t="s">
        <v>903</v>
      </c>
      <c r="Z421" s="3918"/>
      <c r="AA421" s="3919"/>
      <c r="AB421" s="3961" t="str">
        <f>IMAGE("https://raw.githubusercontent.com/msikma/pokesprite/master/misc/types/gen8/fire.png",4,20,20)</f>
        <v/>
      </c>
      <c r="AC421" s="4285"/>
      <c r="AD421" s="3917"/>
      <c r="AE421" s="3918"/>
      <c r="AF421" s="3918"/>
      <c r="AG421" s="3919"/>
      <c r="AH421" s="3920"/>
      <c r="AI421" s="6192"/>
    </row>
    <row r="422" ht="21.0" customHeight="1">
      <c r="A422" s="6185"/>
      <c r="B422" s="3911"/>
      <c r="C422" s="3944"/>
      <c r="D422" s="3917"/>
      <c r="E422" s="3962" t="s">
        <v>489</v>
      </c>
      <c r="F422" s="3963"/>
      <c r="G422" s="3964"/>
      <c r="H422" s="3965" t="str">
        <f>IMAGE("https://raw.githubusercontent.com/msikma/pokesprite/master/misc/types/gen8/normal.png",4,20,20)</f>
        <v/>
      </c>
      <c r="I422" s="4288"/>
      <c r="J422" s="3962" t="s">
        <v>507</v>
      </c>
      <c r="K422" s="3963"/>
      <c r="L422" s="3964"/>
      <c r="M422" s="3965" t="str">
        <f>IMAGE("https://raw.githubusercontent.com/msikma/pokesprite/master/misc/types/gen8/fighting.png",4,20,20)</f>
        <v/>
      </c>
      <c r="N422" s="4288"/>
      <c r="O422" s="3962" t="s">
        <v>278</v>
      </c>
      <c r="P422" s="3963"/>
      <c r="Q422" s="3964"/>
      <c r="R422" s="3965" t="str">
        <f>IMAGE("https://raw.githubusercontent.com/msikma/pokesprite/master/misc/types/gen8/bug.png",4,20,20)</f>
        <v/>
      </c>
      <c r="S422" s="4288"/>
      <c r="T422" s="3962" t="s">
        <v>463</v>
      </c>
      <c r="U422" s="3963"/>
      <c r="V422" s="3964"/>
      <c r="W422" s="3965" t="str">
        <f>IMAGE("https://raw.githubusercontent.com/msikma/pokesprite/master/misc/types/gen8/fighting.png",4,20,20)</f>
        <v/>
      </c>
      <c r="X422" s="4288"/>
      <c r="Y422" s="3962" t="s">
        <v>1005</v>
      </c>
      <c r="Z422" s="3963"/>
      <c r="AA422" s="3964"/>
      <c r="AB422" s="3965" t="str">
        <f>IMAGE("https://raw.githubusercontent.com/msikma/pokesprite/master/misc/types/gen8/dark.png",4,20,20)</f>
        <v/>
      </c>
      <c r="AC422" s="4290"/>
      <c r="AD422" s="3917"/>
      <c r="AE422" s="3918"/>
      <c r="AF422" s="3918"/>
      <c r="AG422" s="3919"/>
      <c r="AH422" s="3920"/>
      <c r="AI422" s="6192"/>
    </row>
    <row r="423" ht="3.0" customHeight="1">
      <c r="A423" s="6185"/>
      <c r="B423" s="3966"/>
      <c r="C423" s="3967"/>
      <c r="D423" s="3968"/>
      <c r="E423" s="4292"/>
      <c r="F423" s="4292"/>
      <c r="G423" s="4292"/>
      <c r="H423" s="3969"/>
      <c r="I423" s="3968"/>
      <c r="J423" s="4292"/>
      <c r="K423" s="4292"/>
      <c r="L423" s="4292"/>
      <c r="M423" s="4291"/>
      <c r="N423" s="3968"/>
      <c r="O423" s="4292"/>
      <c r="P423" s="4292"/>
      <c r="Q423" s="4292"/>
      <c r="R423" s="4291"/>
      <c r="S423" s="3969"/>
      <c r="T423" s="4292"/>
      <c r="U423" s="4292"/>
      <c r="V423" s="4292"/>
      <c r="W423" s="4291"/>
      <c r="X423" s="3968"/>
      <c r="Y423" s="4292"/>
      <c r="Z423" s="4292"/>
      <c r="AA423" s="4292"/>
      <c r="AB423" s="4291"/>
      <c r="AC423" s="3972"/>
      <c r="AD423" s="3972"/>
      <c r="AE423" s="3972"/>
      <c r="AF423" s="3972"/>
      <c r="AG423" s="3972"/>
      <c r="AH423" s="3973"/>
      <c r="AI423" s="6192"/>
    </row>
    <row r="424" ht="16.5" customHeight="1">
      <c r="A424" s="6185"/>
      <c r="B424" s="3974"/>
      <c r="C424" s="3967"/>
      <c r="D424" s="3978"/>
      <c r="E424" s="3976" t="s">
        <v>190</v>
      </c>
      <c r="F424" s="381"/>
      <c r="G424" s="382"/>
      <c r="H424" s="3977" t="s">
        <v>191</v>
      </c>
      <c r="I424" s="3978"/>
      <c r="J424" s="3976" t="s">
        <v>190</v>
      </c>
      <c r="K424" s="381"/>
      <c r="L424" s="382"/>
      <c r="M424" s="3977" t="s">
        <v>191</v>
      </c>
      <c r="N424" s="3978"/>
      <c r="O424" s="3976" t="s">
        <v>190</v>
      </c>
      <c r="P424" s="381"/>
      <c r="Q424" s="382"/>
      <c r="R424" s="3977" t="s">
        <v>191</v>
      </c>
      <c r="S424" s="4293"/>
      <c r="T424" s="3976" t="s">
        <v>190</v>
      </c>
      <c r="U424" s="381"/>
      <c r="V424" s="382"/>
      <c r="W424" s="3977" t="s">
        <v>191</v>
      </c>
      <c r="X424" s="4749"/>
      <c r="Y424" s="3976" t="s">
        <v>190</v>
      </c>
      <c r="Z424" s="381"/>
      <c r="AA424" s="382"/>
      <c r="AB424" s="3977" t="s">
        <v>191</v>
      </c>
      <c r="AC424" s="3981"/>
      <c r="AD424" s="3981"/>
      <c r="AE424" s="3981"/>
      <c r="AF424" s="3981"/>
      <c r="AG424" s="3981"/>
      <c r="AH424" s="3982"/>
      <c r="AI424" s="6192"/>
    </row>
    <row r="425" ht="16.5" customHeight="1">
      <c r="A425" s="6185"/>
      <c r="B425" s="3974"/>
      <c r="C425" s="3967"/>
      <c r="D425" s="3975"/>
      <c r="E425" s="3983" t="s">
        <v>192</v>
      </c>
      <c r="F425" s="3984">
        <f t="array" ref="F425">IFERROR(VLOOKUP(E412,Dex!$B$3:$N1218,8,FALSE),"")</f>
        <v>65</v>
      </c>
      <c r="G425" s="3985" t="str">
        <f t="array" ref="G425">IFERROR(VLOOKUP(F425,Dex!$P$22:$Q$276,2,FALSE),"")</f>
        <v/>
      </c>
      <c r="H425" s="3986"/>
      <c r="I425" s="3975"/>
      <c r="J425" s="3983" t="s">
        <v>192</v>
      </c>
      <c r="K425" s="3984">
        <f t="array" ref="K425">IFERROR(VLOOKUP(J412,Dex!$B$3:$N1218,8,FALSE),"")</f>
        <v>85</v>
      </c>
      <c r="L425" s="3985" t="str">
        <f t="array" ref="L425">IFERROR(VLOOKUP(K425,Dex!$P$22:$Q$276,2,FALSE),"")</f>
        <v/>
      </c>
      <c r="M425" s="3986"/>
      <c r="N425" s="3975"/>
      <c r="O425" s="3983" t="s">
        <v>192</v>
      </c>
      <c r="P425" s="3984">
        <f t="array" ref="P425">IFERROR(VLOOKUP(O412,Dex!$B$3:$N1218,8,FALSE),"")</f>
        <v>60</v>
      </c>
      <c r="Q425" s="3985" t="str">
        <f t="array" ref="Q425">IFERROR(VLOOKUP(P425,Dex!$P$22:$Q$276,2,FALSE),"")</f>
        <v/>
      </c>
      <c r="R425" s="3986">
        <v>36.0</v>
      </c>
      <c r="S425" s="3987"/>
      <c r="T425" s="3983" t="s">
        <v>192</v>
      </c>
      <c r="U425" s="3984">
        <f t="array" ref="U425">IFERROR(VLOOKUP(T412,Dex!$B$3:$N1218,8,FALSE),"")</f>
        <v>70</v>
      </c>
      <c r="V425" s="3985" t="str">
        <f t="array" ref="V425">IFERROR(VLOOKUP(U425,Dex!$P$22:$Q$276,2,FALSE),"")</f>
        <v/>
      </c>
      <c r="W425" s="3986">
        <v>48.0</v>
      </c>
      <c r="X425" s="3981"/>
      <c r="Y425" s="3983" t="s">
        <v>192</v>
      </c>
      <c r="Z425" s="3984">
        <f t="array" ref="Z425">IFERROR(VLOOKUP(Y412,Dex!$B$3:$N1218,8,FALSE),"")</f>
        <v>75</v>
      </c>
      <c r="AA425" s="3985" t="str">
        <f t="array" ref="AA425">IFERROR(VLOOKUP(Z425,Dex!$P$22:$Q$276,2,FALSE),"")</f>
        <v/>
      </c>
      <c r="AB425" s="3986"/>
      <c r="AC425" s="3981"/>
      <c r="AD425" s="3981"/>
      <c r="AE425" s="3981"/>
      <c r="AF425" s="3981"/>
      <c r="AG425" s="3981"/>
      <c r="AH425" s="3982"/>
      <c r="AI425" s="6192"/>
    </row>
    <row r="426" ht="16.5" customHeight="1">
      <c r="A426" s="6185"/>
      <c r="B426" s="3974"/>
      <c r="C426" s="3967"/>
      <c r="D426" s="3975"/>
      <c r="E426" s="3989" t="s">
        <v>193</v>
      </c>
      <c r="F426" s="3990">
        <f t="array" ref="F426">IFERROR(VLOOKUP(E412,Dex!$B$3:$N1218,9,FALSE),"")</f>
        <v>125</v>
      </c>
      <c r="G426" s="3991" t="str">
        <f t="array" ref="G426">IFERROR(VLOOKUP(F426,Dex!$P$22:$Q$276,2,FALSE),"")</f>
        <v/>
      </c>
      <c r="H426" s="3992">
        <v>252.0</v>
      </c>
      <c r="I426" s="3975"/>
      <c r="J426" s="3989" t="s">
        <v>193</v>
      </c>
      <c r="K426" s="3990">
        <f t="array" ref="K426">IFERROR(VLOOKUP(J412,Dex!$B$3:$N1218,9,FALSE),"")</f>
        <v>90</v>
      </c>
      <c r="L426" s="3991" t="str">
        <f t="array" ref="L426">IFERROR(VLOOKUP(K426,Dex!$P$22:$Q$276,2,FALSE),"")</f>
        <v/>
      </c>
      <c r="M426" s="3992">
        <v>252.0</v>
      </c>
      <c r="N426" s="3975"/>
      <c r="O426" s="3989" t="s">
        <v>193</v>
      </c>
      <c r="P426" s="3990">
        <f t="array" ref="P426">IFERROR(VLOOKUP(O412,Dex!$B$3:$N1218,9,FALSE),"")</f>
        <v>45</v>
      </c>
      <c r="Q426" s="3991" t="str">
        <f t="array" ref="Q426">IFERROR(VLOOKUP(P426,Dex!$P$22:$Q$276,2,FALSE),"")</f>
        <v/>
      </c>
      <c r="R426" s="3992"/>
      <c r="S426" s="3987"/>
      <c r="T426" s="3989" t="s">
        <v>193</v>
      </c>
      <c r="U426" s="3990">
        <f t="array" ref="U426">IFERROR(VLOOKUP(T412,Dex!$B$3:$N1218,9,FALSE),"")</f>
        <v>70</v>
      </c>
      <c r="V426" s="3991" t="str">
        <f t="array" ref="V426">IFERROR(VLOOKUP(U426,Dex!$P$22:$Q$276,2,FALSE),"")</f>
        <v/>
      </c>
      <c r="W426" s="3992"/>
      <c r="X426" s="3981"/>
      <c r="Y426" s="3989" t="s">
        <v>193</v>
      </c>
      <c r="Z426" s="3990">
        <f t="array" ref="Z426">IFERROR(VLOOKUP(Y412,Dex!$B$3:$N1218,9,FALSE),"")</f>
        <v>69</v>
      </c>
      <c r="AA426" s="3991" t="str">
        <f t="array" ref="AA426">IFERROR(VLOOKUP(Z426,Dex!$P$22:$Q$276,2,FALSE),"")</f>
        <v/>
      </c>
      <c r="AB426" s="3992"/>
      <c r="AC426" s="3981"/>
      <c r="AD426" s="3981"/>
      <c r="AE426" s="3981"/>
      <c r="AF426" s="3981"/>
      <c r="AG426" s="3981"/>
      <c r="AH426" s="3982"/>
      <c r="AI426" s="6192"/>
    </row>
    <row r="427" ht="16.5" customHeight="1">
      <c r="A427" s="6185"/>
      <c r="B427" s="3974"/>
      <c r="C427" s="3967"/>
      <c r="D427" s="3975"/>
      <c r="E427" s="3989" t="s">
        <v>194</v>
      </c>
      <c r="F427" s="3990">
        <f t="array" ref="F427">IFERROR(VLOOKUP(E412,Dex!$B$3:$N1218,10,FALSE),"")</f>
        <v>100</v>
      </c>
      <c r="G427" s="3991" t="str">
        <f t="array" ref="G427">IFERROR(VLOOKUP(F427,Dex!$P$22:$Q$276,2,FALSE),"")</f>
        <v/>
      </c>
      <c r="H427" s="3992">
        <v>4.0</v>
      </c>
      <c r="I427" s="3975"/>
      <c r="J427" s="3989" t="s">
        <v>194</v>
      </c>
      <c r="K427" s="3990">
        <f t="array" ref="K427">IFERROR(VLOOKUP(J412,Dex!$B$3:$N1218,10,FALSE),"")</f>
        <v>55</v>
      </c>
      <c r="L427" s="3991" t="str">
        <f t="array" ref="L427">IFERROR(VLOOKUP(K427,Dex!$P$22:$Q$276,2,FALSE),"")</f>
        <v/>
      </c>
      <c r="M427" s="3992">
        <v>4.0</v>
      </c>
      <c r="N427" s="3975"/>
      <c r="O427" s="3989" t="s">
        <v>194</v>
      </c>
      <c r="P427" s="3990">
        <f t="array" ref="P427">IFERROR(VLOOKUP(O412,Dex!$B$3:$N1218,10,FALSE),"")</f>
        <v>100</v>
      </c>
      <c r="Q427" s="3991" t="str">
        <f t="array" ref="Q427">IFERROR(VLOOKUP(P427,Dex!$P$22:$Q$276,2,FALSE),"")</f>
        <v/>
      </c>
      <c r="R427" s="3992">
        <v>56.0</v>
      </c>
      <c r="S427" s="3987"/>
      <c r="T427" s="3989" t="s">
        <v>194</v>
      </c>
      <c r="U427" s="3990">
        <f t="array" ref="U427">IFERROR(VLOOKUP(T412,Dex!$B$3:$N1218,10,FALSE),"")</f>
        <v>115</v>
      </c>
      <c r="V427" s="3991" t="str">
        <f t="array" ref="V427">IFERROR(VLOOKUP(U427,Dex!$P$22:$Q$276,2,FALSE),"")</f>
        <v/>
      </c>
      <c r="W427" s="3992"/>
      <c r="X427" s="3981"/>
      <c r="Y427" s="3989" t="s">
        <v>194</v>
      </c>
      <c r="Z427" s="3990">
        <f t="array" ref="Z427">IFERROR(VLOOKUP(Y412,Dex!$B$3:$N1218,10,FALSE),"")</f>
        <v>72</v>
      </c>
      <c r="AA427" s="3991" t="str">
        <f t="array" ref="AA427">IFERROR(VLOOKUP(Z427,Dex!$P$22:$Q$276,2,FALSE),"")</f>
        <v/>
      </c>
      <c r="AB427" s="3992">
        <v>4.0</v>
      </c>
      <c r="AC427" s="3981"/>
      <c r="AD427" s="3981"/>
      <c r="AE427" s="3981"/>
      <c r="AF427" s="3981"/>
      <c r="AG427" s="3981"/>
      <c r="AH427" s="3982"/>
      <c r="AI427" s="6192"/>
    </row>
    <row r="428" ht="16.5" customHeight="1">
      <c r="A428" s="6185"/>
      <c r="B428" s="3974"/>
      <c r="C428" s="3967"/>
      <c r="D428" s="3975"/>
      <c r="E428" s="3989" t="s">
        <v>195</v>
      </c>
      <c r="F428" s="3990">
        <f t="array" ref="F428">IFERROR(VLOOKUP(E412,Dex!$B$3:$N1218,11,FALSE),"")</f>
        <v>60</v>
      </c>
      <c r="G428" s="3991" t="str">
        <f t="array" ref="G428">IFERROR(VLOOKUP(F428,Dex!$P$22:$Q$276,2,FALSE),"")</f>
        <v/>
      </c>
      <c r="H428" s="3992"/>
      <c r="I428" s="3975"/>
      <c r="J428" s="3989" t="s">
        <v>195</v>
      </c>
      <c r="K428" s="3990">
        <f t="array" ref="K428">IFERROR(VLOOKUP(J412,Dex!$B$3:$N1218,11,FALSE),"")</f>
        <v>95</v>
      </c>
      <c r="L428" s="3991" t="str">
        <f t="array" ref="L428">IFERROR(VLOOKUP(K428,Dex!$P$22:$Q$276,2,FALSE),"")</f>
        <v/>
      </c>
      <c r="M428" s="3992"/>
      <c r="N428" s="3975"/>
      <c r="O428" s="3989" t="s">
        <v>195</v>
      </c>
      <c r="P428" s="3990">
        <f t="array" ref="P428">IFERROR(VLOOKUP(O412,Dex!$B$3:$N1218,11,FALSE),"")</f>
        <v>140</v>
      </c>
      <c r="Q428" s="3991" t="str">
        <f t="array" ref="Q428">IFERROR(VLOOKUP(P428,Dex!$P$22:$Q$276,2,FALSE),"")</f>
        <v/>
      </c>
      <c r="R428" s="3992">
        <v>252.0</v>
      </c>
      <c r="S428" s="3987"/>
      <c r="T428" s="3989" t="s">
        <v>195</v>
      </c>
      <c r="U428" s="3990">
        <f t="array" ref="U428">IFERROR(VLOOKUP(T412,Dex!$B$3:$N1218,11,FALSE),"")</f>
        <v>130</v>
      </c>
      <c r="V428" s="3991" t="str">
        <f t="array" ref="V428">IFERROR(VLOOKUP(U428,Dex!$P$22:$Q$276,2,FALSE),"")</f>
        <v/>
      </c>
      <c r="W428" s="3992">
        <v>252.0</v>
      </c>
      <c r="X428" s="3981"/>
      <c r="Y428" s="3989" t="s">
        <v>195</v>
      </c>
      <c r="Z428" s="3990">
        <f t="array" ref="Z428">IFERROR(VLOOKUP(Y412,Dex!$B$3:$N1218,11,FALSE),"")</f>
        <v>114</v>
      </c>
      <c r="AA428" s="3991" t="str">
        <f t="array" ref="AA428">IFERROR(VLOOKUP(Z428,Dex!$P$22:$Q$276,2,FALSE),"")</f>
        <v/>
      </c>
      <c r="AB428" s="3992">
        <v>252.0</v>
      </c>
      <c r="AC428" s="3981"/>
      <c r="AD428" s="3981"/>
      <c r="AE428" s="3981"/>
      <c r="AF428" s="3981"/>
      <c r="AG428" s="3981"/>
      <c r="AH428" s="3982"/>
      <c r="AI428" s="6192"/>
    </row>
    <row r="429" ht="16.5" customHeight="1">
      <c r="A429" s="6185"/>
      <c r="B429" s="3974"/>
      <c r="C429" s="3967"/>
      <c r="D429" s="3975"/>
      <c r="E429" s="3989" t="s">
        <v>196</v>
      </c>
      <c r="F429" s="3990">
        <f t="array" ref="F429">IFERROR(VLOOKUP(E412,Dex!$B$3:$N1218,12,FALSE),"")</f>
        <v>70</v>
      </c>
      <c r="G429" s="3991" t="str">
        <f t="array" ref="G429">IFERROR(VLOOKUP(F429,Dex!$P$22:$Q$276,2,FALSE),"")</f>
        <v/>
      </c>
      <c r="H429" s="3992"/>
      <c r="I429" s="3975"/>
      <c r="J429" s="3989" t="s">
        <v>196</v>
      </c>
      <c r="K429" s="3990">
        <f t="array" ref="K429">IFERROR(VLOOKUP(J412,Dex!$B$3:$N1218,12,FALSE),"")</f>
        <v>50</v>
      </c>
      <c r="L429" s="3991" t="str">
        <f t="array" ref="L429">IFERROR(VLOOKUP(K429,Dex!$P$22:$Q$276,2,FALSE),"")</f>
        <v/>
      </c>
      <c r="M429" s="3992"/>
      <c r="N429" s="3975"/>
      <c r="O429" s="3989" t="s">
        <v>196</v>
      </c>
      <c r="P429" s="3990">
        <f t="array" ref="P429">IFERROR(VLOOKUP(O412,Dex!$B$3:$N1218,12,FALSE),"")</f>
        <v>100</v>
      </c>
      <c r="Q429" s="3991" t="str">
        <f t="array" ref="Q429">IFERROR(VLOOKUP(P429,Dex!$P$22:$Q$276,2,FALSE),"")</f>
        <v/>
      </c>
      <c r="R429" s="3992"/>
      <c r="S429" s="3987"/>
      <c r="T429" s="3989" t="s">
        <v>196</v>
      </c>
      <c r="U429" s="3990">
        <f t="array" ref="U429">IFERROR(VLOOKUP(T412,Dex!$B$3:$N1218,12,FALSE),"")</f>
        <v>90</v>
      </c>
      <c r="V429" s="3991" t="str">
        <f t="array" ref="V429">IFERROR(VLOOKUP(U429,Dex!$P$22:$Q$276,2,FALSE),"")</f>
        <v/>
      </c>
      <c r="W429" s="3992"/>
      <c r="X429" s="3981"/>
      <c r="Y429" s="3989" t="s">
        <v>196</v>
      </c>
      <c r="Z429" s="3990">
        <f t="array" ref="Z429">IFERROR(VLOOKUP(Y412,Dex!$B$3:$N1218,12,FALSE),"")</f>
        <v>100</v>
      </c>
      <c r="AA429" s="3991" t="str">
        <f t="array" ref="AA429">IFERROR(VLOOKUP(Z429,Dex!$P$22:$Q$276,2,FALSE),"")</f>
        <v/>
      </c>
      <c r="AB429" s="3992"/>
      <c r="AC429" s="3981"/>
      <c r="AD429" s="3981"/>
      <c r="AE429" s="3981"/>
      <c r="AF429" s="3981"/>
      <c r="AG429" s="3981"/>
      <c r="AH429" s="3982"/>
      <c r="AI429" s="6192"/>
    </row>
    <row r="430" ht="16.5" customHeight="1">
      <c r="A430" s="6185"/>
      <c r="B430" s="3974"/>
      <c r="C430" s="3967"/>
      <c r="D430" s="3975"/>
      <c r="E430" s="3995" t="s">
        <v>197</v>
      </c>
      <c r="F430" s="3996">
        <f t="array" ref="F430">IFERROR(VLOOKUP(E412,Dex!$B$3:$N1218,13,FALSE),"")</f>
        <v>70</v>
      </c>
      <c r="G430" s="3997" t="str">
        <f t="array" ref="G430">IFERROR(VLOOKUP(F430,Dex!$P$22:$Q$276,2,FALSE),"")</f>
        <v/>
      </c>
      <c r="H430" s="3998">
        <v>252.0</v>
      </c>
      <c r="I430" s="3975"/>
      <c r="J430" s="3995" t="s">
        <v>197</v>
      </c>
      <c r="K430" s="3996">
        <f t="array" ref="K430">IFERROR(VLOOKUP(J412,Dex!$B$3:$N1218,13,FALSE),"")</f>
        <v>115</v>
      </c>
      <c r="L430" s="3997" t="str">
        <f t="array" ref="L430">IFERROR(VLOOKUP(K430,Dex!$P$22:$Q$276,2,FALSE),"")</f>
        <v/>
      </c>
      <c r="M430" s="3998">
        <v>252.0</v>
      </c>
      <c r="N430" s="3975"/>
      <c r="O430" s="3995" t="s">
        <v>197</v>
      </c>
      <c r="P430" s="3996">
        <f t="array" ref="P430">IFERROR(VLOOKUP(O412,Dex!$B$3:$N1218,13,FALSE),"")</f>
        <v>80</v>
      </c>
      <c r="Q430" s="3997" t="str">
        <f t="array" ref="Q430">IFERROR(VLOOKUP(P430,Dex!$P$22:$Q$276,2,FALSE),"")</f>
        <v/>
      </c>
      <c r="R430" s="3998">
        <v>164.0</v>
      </c>
      <c r="S430" s="3987"/>
      <c r="T430" s="3995" t="s">
        <v>197</v>
      </c>
      <c r="U430" s="3996">
        <f t="array" ref="U430">IFERROR(VLOOKUP(T412,Dex!$B$3:$N1218,13,FALSE),"")</f>
        <v>60</v>
      </c>
      <c r="V430" s="3997" t="str">
        <f t="array" ref="V430">IFERROR(VLOOKUP(U430,Dex!$P$22:$Q$276,2,FALSE),"")</f>
        <v/>
      </c>
      <c r="W430" s="3998">
        <v>208.0</v>
      </c>
      <c r="X430" s="3981"/>
      <c r="Y430" s="3995" t="s">
        <v>197</v>
      </c>
      <c r="Z430" s="3996">
        <f t="array" ref="Z430">IFERROR(VLOOKUP(Y412,Dex!$B$3:$N1218,13,FALSE),"")</f>
        <v>104</v>
      </c>
      <c r="AA430" s="3997" t="str">
        <f t="array" ref="AA430">IFERROR(VLOOKUP(Z430,Dex!$P$22:$Q$276,2,FALSE),"")</f>
        <v/>
      </c>
      <c r="AB430" s="3998">
        <v>252.0</v>
      </c>
      <c r="AC430" s="3981"/>
      <c r="AD430" s="3981"/>
      <c r="AE430" s="3981"/>
      <c r="AF430" s="3981"/>
      <c r="AG430" s="3981"/>
      <c r="AH430" s="3982"/>
      <c r="AI430" s="6192"/>
    </row>
    <row r="431" ht="16.5" customHeight="1">
      <c r="A431" s="6185"/>
      <c r="B431" s="3974"/>
      <c r="C431" s="3967"/>
      <c r="D431" s="3978"/>
      <c r="E431" s="3999" t="s">
        <v>198</v>
      </c>
      <c r="F431" s="405"/>
      <c r="G431" s="406"/>
      <c r="H431" s="4000">
        <v>259.0</v>
      </c>
      <c r="I431" s="3978"/>
      <c r="J431" s="3999" t="s">
        <v>198</v>
      </c>
      <c r="K431" s="405"/>
      <c r="L431" s="406"/>
      <c r="M431" s="4000">
        <v>354.0</v>
      </c>
      <c r="N431" s="3978"/>
      <c r="O431" s="3999" t="s">
        <v>198</v>
      </c>
      <c r="P431" s="405"/>
      <c r="Q431" s="406"/>
      <c r="R431" s="4000">
        <v>260.0</v>
      </c>
      <c r="S431" s="4296"/>
      <c r="T431" s="3999" t="s">
        <v>198</v>
      </c>
      <c r="U431" s="405"/>
      <c r="V431" s="406"/>
      <c r="W431" s="4000">
        <v>227.0</v>
      </c>
      <c r="X431" s="4749"/>
      <c r="Y431" s="3999" t="s">
        <v>198</v>
      </c>
      <c r="Z431" s="405"/>
      <c r="AA431" s="406"/>
      <c r="AB431" s="4000">
        <v>333.0</v>
      </c>
      <c r="AC431" s="3981"/>
      <c r="AD431" s="3981"/>
      <c r="AE431" s="3981"/>
      <c r="AF431" s="3981"/>
      <c r="AG431" s="3981"/>
      <c r="AH431" s="3982"/>
      <c r="AI431" s="6192"/>
    </row>
    <row r="432" ht="15.0" customHeight="1">
      <c r="A432" s="6185"/>
      <c r="B432" s="4001"/>
      <c r="C432" s="4002"/>
      <c r="D432" s="4003"/>
      <c r="E432" s="4006"/>
      <c r="F432" s="4006"/>
      <c r="G432" s="4006"/>
      <c r="H432" s="4004"/>
      <c r="I432" s="4005"/>
      <c r="J432" s="4006"/>
      <c r="K432" s="4006"/>
      <c r="L432" s="4006"/>
      <c r="M432" s="4004"/>
      <c r="N432" s="4005"/>
      <c r="O432" s="4006"/>
      <c r="P432" s="4006"/>
      <c r="Q432" s="4006"/>
      <c r="R432" s="4004"/>
      <c r="S432" s="4003"/>
      <c r="T432" s="6537"/>
      <c r="U432" s="6537"/>
      <c r="V432" s="6537"/>
      <c r="W432" s="4003"/>
      <c r="X432" s="4003"/>
      <c r="Y432" s="6537"/>
      <c r="Z432" s="6537"/>
      <c r="AA432" s="6537"/>
      <c r="AB432" s="4003"/>
      <c r="AC432" s="4003"/>
      <c r="AD432" s="4003"/>
      <c r="AE432" s="4003"/>
      <c r="AF432" s="4003"/>
      <c r="AG432" s="4003"/>
      <c r="AH432" s="4007"/>
      <c r="AI432" s="6192"/>
    </row>
    <row r="433" ht="15.0" customHeight="1">
      <c r="A433" s="6185"/>
      <c r="B433" s="6324"/>
      <c r="C433" s="6325"/>
      <c r="D433" s="6326"/>
      <c r="E433" s="6326"/>
      <c r="F433" s="6326"/>
      <c r="G433" s="6326"/>
      <c r="H433" s="6326"/>
      <c r="I433" s="6327"/>
      <c r="J433" s="6326"/>
      <c r="K433" s="6326"/>
      <c r="L433" s="6326"/>
      <c r="M433" s="6326"/>
      <c r="N433" s="6327"/>
      <c r="O433" s="6326"/>
      <c r="P433" s="6326"/>
      <c r="Q433" s="6326"/>
      <c r="R433" s="6326"/>
      <c r="S433" s="6327"/>
      <c r="T433" s="6326"/>
      <c r="U433" s="6326"/>
      <c r="V433" s="6326"/>
      <c r="W433" s="6326"/>
      <c r="X433" s="6327"/>
      <c r="Y433" s="6326"/>
      <c r="Z433" s="6326"/>
      <c r="AA433" s="6326"/>
      <c r="AB433" s="6326"/>
      <c r="AC433" s="6327"/>
      <c r="AD433" s="6326"/>
      <c r="AE433" s="6326"/>
      <c r="AF433" s="6326"/>
      <c r="AG433" s="6326"/>
      <c r="AH433" s="6328"/>
      <c r="AI433" s="6192"/>
    </row>
    <row r="434">
      <c r="A434" s="6185"/>
      <c r="B434" s="6329"/>
      <c r="C434" s="6374"/>
      <c r="D434" s="6331"/>
      <c r="E434" s="6565" t="s">
        <v>1660</v>
      </c>
      <c r="F434" s="6368"/>
      <c r="G434" s="6368"/>
      <c r="H434" s="6368"/>
      <c r="I434" s="6368"/>
      <c r="J434" s="6368"/>
      <c r="K434" s="6368"/>
      <c r="L434" s="6368"/>
      <c r="M434" s="6368"/>
      <c r="N434" s="6368"/>
      <c r="O434" s="6368"/>
      <c r="P434" s="6368"/>
      <c r="Q434" s="6368"/>
      <c r="R434" s="6368"/>
      <c r="S434" s="6368"/>
      <c r="T434" s="6368"/>
      <c r="U434" s="6368"/>
      <c r="V434" s="6368"/>
      <c r="W434" s="6368"/>
      <c r="X434" s="6368"/>
      <c r="Y434" s="6368"/>
      <c r="Z434" s="6368"/>
      <c r="AA434" s="6368"/>
      <c r="AB434" s="6368"/>
      <c r="AC434" s="6368"/>
      <c r="AD434" s="6368"/>
      <c r="AE434" s="6368"/>
      <c r="AF434" s="6368"/>
      <c r="AG434" s="6369"/>
      <c r="AH434" s="6338"/>
      <c r="AI434" s="6192"/>
    </row>
    <row r="435" ht="96.75" customHeight="1">
      <c r="A435" s="6185"/>
      <c r="B435" s="6329"/>
      <c r="C435" s="6330" t="str">
        <f>IMAGE("https://i.ibb.co/1Qbjwx2/SwimmerM.png")</f>
        <v/>
      </c>
      <c r="D435" s="6422"/>
      <c r="E435" s="6332" t="str">
        <f t="array" ref="E435">IFERROR(VLOOKUP(E436,Dex!$B$3:$G1218,3,FALSE),"")</f>
        <v/>
      </c>
      <c r="F435" s="1830"/>
      <c r="G435" s="1830"/>
      <c r="H435" s="1831"/>
      <c r="I435" s="6423"/>
      <c r="J435" s="6332" t="str">
        <f t="array" ref="J435">IFERROR(VLOOKUP(J436,Dex!$B$3:$G1218,3,FALSE),"")</f>
        <v/>
      </c>
      <c r="K435" s="1830"/>
      <c r="L435" s="1830"/>
      <c r="M435" s="1831"/>
      <c r="N435" s="6423"/>
      <c r="O435" s="6332" t="str">
        <f t="array" ref="O435">IFERROR(VLOOKUP(O436,Dex!$B$3:$G1218,3,FALSE),"")</f>
        <v/>
      </c>
      <c r="P435" s="1830"/>
      <c r="Q435" s="1830"/>
      <c r="R435" s="1831"/>
      <c r="S435" s="6424"/>
      <c r="T435" s="6332" t="str">
        <f t="array" ref="T435">IFERROR(VLOOKUP(T436,Dex!$B$3:$G1218,3,FALSE),"")</f>
        <v/>
      </c>
      <c r="U435" s="1830"/>
      <c r="V435" s="1830"/>
      <c r="W435" s="1831"/>
      <c r="X435" s="6425"/>
      <c r="Y435" s="6335"/>
      <c r="Z435" s="6336"/>
      <c r="AA435" s="6336"/>
      <c r="AB435" s="6337"/>
      <c r="AC435" s="6334"/>
      <c r="AD435" s="6335"/>
      <c r="AE435" s="6336"/>
      <c r="AF435" s="6336"/>
      <c r="AG435" s="6337"/>
      <c r="AH435" s="6338"/>
      <c r="AI435" s="6192"/>
    </row>
    <row r="436" ht="18.75" customHeight="1">
      <c r="A436" s="6140"/>
      <c r="B436" s="6339"/>
      <c r="C436" s="6340" t="s">
        <v>1661</v>
      </c>
      <c r="D436" s="6426"/>
      <c r="E436" s="6342" t="s">
        <v>1662</v>
      </c>
      <c r="F436" s="6343"/>
      <c r="G436" s="6343"/>
      <c r="H436" s="6344"/>
      <c r="I436" s="6423"/>
      <c r="J436" s="6342" t="s">
        <v>1227</v>
      </c>
      <c r="K436" s="6343"/>
      <c r="L436" s="6343"/>
      <c r="M436" s="6344"/>
      <c r="N436" s="6423"/>
      <c r="O436" s="6342" t="s">
        <v>324</v>
      </c>
      <c r="P436" s="6343"/>
      <c r="Q436" s="6343"/>
      <c r="R436" s="6344"/>
      <c r="S436" s="6423"/>
      <c r="T436" s="6342" t="s">
        <v>1228</v>
      </c>
      <c r="U436" s="6343"/>
      <c r="V436" s="6343"/>
      <c r="W436" s="6344"/>
      <c r="X436" s="6427"/>
      <c r="Y436" s="6345"/>
      <c r="Z436" s="6336"/>
      <c r="AA436" s="6336"/>
      <c r="AB436" s="6337"/>
      <c r="AC436" s="6333"/>
      <c r="AD436" s="6345"/>
      <c r="AE436" s="6336"/>
      <c r="AF436" s="6336"/>
      <c r="AG436" s="6337"/>
      <c r="AH436" s="6346"/>
      <c r="AI436" s="6149"/>
    </row>
    <row r="437">
      <c r="A437" s="6125"/>
      <c r="B437" s="6329"/>
      <c r="C437" s="1481"/>
      <c r="D437" s="6428"/>
      <c r="E437" s="6348" t="s">
        <v>1502</v>
      </c>
      <c r="F437" s="6349"/>
      <c r="G437" s="6349"/>
      <c r="H437" s="6350"/>
      <c r="I437" s="6423"/>
      <c r="J437" s="6348" t="s">
        <v>420</v>
      </c>
      <c r="K437" s="6349"/>
      <c r="L437" s="6349"/>
      <c r="M437" s="6350"/>
      <c r="N437" s="6423"/>
      <c r="O437" s="6348" t="s">
        <v>420</v>
      </c>
      <c r="P437" s="6349"/>
      <c r="Q437" s="6349"/>
      <c r="R437" s="6350"/>
      <c r="S437" s="6424"/>
      <c r="T437" s="6348" t="s">
        <v>1502</v>
      </c>
      <c r="U437" s="6349"/>
      <c r="V437" s="6349"/>
      <c r="W437" s="6350"/>
      <c r="X437" s="6425"/>
      <c r="Y437" s="6335"/>
      <c r="Z437" s="6336"/>
      <c r="AA437" s="6336"/>
      <c r="AB437" s="6337"/>
      <c r="AC437" s="6334"/>
      <c r="AD437" s="6335"/>
      <c r="AE437" s="6336"/>
      <c r="AF437" s="6336"/>
      <c r="AG437" s="6337"/>
      <c r="AH437" s="6338"/>
      <c r="AI437" s="6129"/>
    </row>
    <row r="438" ht="25.5" customHeight="1">
      <c r="A438" s="6125"/>
      <c r="B438" s="6329"/>
      <c r="C438" s="1489"/>
      <c r="D438" s="6334"/>
      <c r="E438" s="6351"/>
      <c r="F438" s="6355" t="str">
        <f t="array" ref="F438">IFERROR(VLOOKUP(E436,Dex!$B$3:$H1218,5,FALSE),"")</f>
        <v/>
      </c>
      <c r="G438" s="6356" t="str">
        <f t="array" ref="G438">IFERROR(VLOOKUP(E436,Dex!$B$3:$H1218,7,FALSE),"")</f>
        <v/>
      </c>
      <c r="H438" s="6354"/>
      <c r="I438" s="6333"/>
      <c r="J438" s="6351"/>
      <c r="K438" s="6352" t="str">
        <f t="array" ref="K438">IFERROR(VLOOKUP(J436,Dex!$B$3:$H1218,5,FALSE),"")</f>
        <v/>
      </c>
      <c r="L438" s="6353"/>
      <c r="M438" s="6354"/>
      <c r="N438" s="6333"/>
      <c r="O438" s="6351"/>
      <c r="P438" s="6355" t="str">
        <f t="array" ref="P438">IFERROR(VLOOKUP(O436,Dex!$B$3:$H1218,5,FALSE),"")</f>
        <v/>
      </c>
      <c r="Q438" s="6356" t="str">
        <f t="array" ref="Q438">IFERROR(VLOOKUP(O436,Dex!$B$3:$H1218,7,FALSE),"")</f>
        <v/>
      </c>
      <c r="R438" s="6354"/>
      <c r="S438" s="6334"/>
      <c r="T438" s="6351"/>
      <c r="U438" s="6355" t="str">
        <f t="array" ref="U438">IFERROR(VLOOKUP(T436,Dex!$B$3:$H1218,5,FALSE),"")</f>
        <v/>
      </c>
      <c r="V438" s="6356" t="str">
        <f t="array" ref="V438">IFERROR(VLOOKUP(T436,Dex!$B$3:$H1218,7,FALSE),"")</f>
        <v/>
      </c>
      <c r="W438" s="6354"/>
      <c r="X438" s="6334"/>
      <c r="Y438" s="6335"/>
      <c r="Z438" s="6336"/>
      <c r="AA438" s="6336"/>
      <c r="AB438" s="6337"/>
      <c r="AC438" s="6334"/>
      <c r="AD438" s="6335"/>
      <c r="AE438" s="6336"/>
      <c r="AF438" s="6336"/>
      <c r="AG438" s="6337"/>
      <c r="AH438" s="6338"/>
      <c r="AI438" s="6129"/>
    </row>
    <row r="439" ht="2.25" customHeight="1">
      <c r="A439" s="6125"/>
      <c r="B439" s="6329"/>
      <c r="C439" s="6357"/>
      <c r="D439" s="6334"/>
      <c r="E439" s="6358"/>
      <c r="F439" s="6359"/>
      <c r="G439" s="6359"/>
      <c r="H439" s="6360"/>
      <c r="I439" s="6333"/>
      <c r="J439" s="6358"/>
      <c r="K439" s="6359"/>
      <c r="L439" s="6359"/>
      <c r="M439" s="6360"/>
      <c r="N439" s="6333"/>
      <c r="O439" s="6358"/>
      <c r="P439" s="6359"/>
      <c r="Q439" s="6359"/>
      <c r="R439" s="6360"/>
      <c r="S439" s="6334"/>
      <c r="T439" s="6358"/>
      <c r="U439" s="6359"/>
      <c r="V439" s="6359"/>
      <c r="W439" s="6360"/>
      <c r="X439" s="6334"/>
      <c r="Y439" s="6334"/>
      <c r="Z439" s="6334"/>
      <c r="AA439" s="6334"/>
      <c r="AB439" s="6334"/>
      <c r="AC439" s="6334"/>
      <c r="AD439" s="6334"/>
      <c r="AE439" s="6334"/>
      <c r="AF439" s="6334"/>
      <c r="AG439" s="6334"/>
      <c r="AH439" s="6338"/>
      <c r="AI439" s="6129"/>
    </row>
    <row r="440" ht="20.25" customHeight="1">
      <c r="A440" s="6125"/>
      <c r="B440" s="6329"/>
      <c r="C440" s="6361"/>
      <c r="D440" s="6335"/>
      <c r="E440" s="6362" t="s">
        <v>205</v>
      </c>
      <c r="F440" s="6363"/>
      <c r="G440" s="6363"/>
      <c r="H440" s="6364"/>
      <c r="I440" s="6423"/>
      <c r="J440" s="6362" t="s">
        <v>205</v>
      </c>
      <c r="K440" s="6363"/>
      <c r="L440" s="6363"/>
      <c r="M440" s="6364"/>
      <c r="N440" s="6423"/>
      <c r="O440" s="6362" t="s">
        <v>205</v>
      </c>
      <c r="P440" s="6363"/>
      <c r="Q440" s="6363"/>
      <c r="R440" s="6364"/>
      <c r="S440" s="6424"/>
      <c r="T440" s="6362" t="s">
        <v>263</v>
      </c>
      <c r="U440" s="6363"/>
      <c r="V440" s="6363"/>
      <c r="W440" s="6364"/>
      <c r="X440" s="6425"/>
      <c r="Y440" s="6335"/>
      <c r="Z440" s="6336"/>
      <c r="AA440" s="6336"/>
      <c r="AB440" s="6337"/>
      <c r="AC440" s="6334"/>
      <c r="AD440" s="6335"/>
      <c r="AE440" s="6336"/>
      <c r="AF440" s="6336"/>
      <c r="AG440" s="6337"/>
      <c r="AH440" s="6338"/>
      <c r="AI440" s="6129"/>
    </row>
    <row r="441">
      <c r="A441" s="6125"/>
      <c r="B441" s="6329"/>
      <c r="C441" s="6361"/>
      <c r="D441" s="6335"/>
      <c r="E441" s="6365" t="s">
        <v>1069</v>
      </c>
      <c r="F441" s="6336"/>
      <c r="G441" s="6336"/>
      <c r="H441" s="6366"/>
      <c r="I441" s="6423"/>
      <c r="J441" s="6365" t="s">
        <v>914</v>
      </c>
      <c r="K441" s="6336"/>
      <c r="L441" s="6336"/>
      <c r="M441" s="6366"/>
      <c r="N441" s="6423"/>
      <c r="O441" s="6365" t="s">
        <v>207</v>
      </c>
      <c r="P441" s="6336"/>
      <c r="Q441" s="6336"/>
      <c r="R441" s="6366"/>
      <c r="S441" s="6424"/>
      <c r="T441" s="6365" t="s">
        <v>1663</v>
      </c>
      <c r="U441" s="6336"/>
      <c r="V441" s="6336"/>
      <c r="W441" s="6366"/>
      <c r="X441" s="6425"/>
      <c r="Y441" s="6335"/>
      <c r="Z441" s="6336"/>
      <c r="AA441" s="6336"/>
      <c r="AB441" s="6337"/>
      <c r="AC441" s="6334"/>
      <c r="AD441" s="6335"/>
      <c r="AE441" s="6336"/>
      <c r="AF441" s="6336"/>
      <c r="AG441" s="6337"/>
      <c r="AH441" s="6338"/>
      <c r="AI441" s="6129"/>
    </row>
    <row r="442" ht="20.25" customHeight="1">
      <c r="A442" s="6125"/>
      <c r="B442" s="6329"/>
      <c r="C442" s="6361"/>
      <c r="D442" s="6335"/>
      <c r="E442" s="6367" t="s">
        <v>177</v>
      </c>
      <c r="F442" s="6368"/>
      <c r="G442" s="6369"/>
      <c r="H442" s="6370" t="str">
        <f>IMAGE("https://raw.githubusercontent.com/msikma/pokesprite/master/items/hold-item/air-balloon.png",3)</f>
        <v/>
      </c>
      <c r="I442" s="6345"/>
      <c r="J442" s="6367" t="s">
        <v>335</v>
      </c>
      <c r="K442" s="6368"/>
      <c r="L442" s="6369"/>
      <c r="M442" s="6370" t="str">
        <f>IMAGE("https://raw.githubusercontent.com/msikma/pokesprite/master/items/hold-item/choice-scarf.png",3)</f>
        <v/>
      </c>
      <c r="N442" s="6345"/>
      <c r="O442" s="6367" t="s">
        <v>334</v>
      </c>
      <c r="P442" s="6368"/>
      <c r="Q442" s="6369"/>
      <c r="R442" s="6370" t="str">
        <f>IMAGE("https://raw.githubusercontent.com/msikma/pokesprite/master/items/hold-item/choice-specs.png",3)</f>
        <v/>
      </c>
      <c r="S442" s="6335"/>
      <c r="T442" s="6367" t="s">
        <v>1232</v>
      </c>
      <c r="U442" s="6368"/>
      <c r="V442" s="6369"/>
      <c r="W442" s="6370" t="str">
        <f>IMAGE("https://raw.githubusercontent.com/msikma/pokesprite/master/items/mega-stone/swampertite.png",3)</f>
        <v/>
      </c>
      <c r="X442" s="6334"/>
      <c r="Y442" s="6335"/>
      <c r="Z442" s="6336"/>
      <c r="AA442" s="6336"/>
      <c r="AB442" s="6337"/>
      <c r="AC442" s="6334"/>
      <c r="AD442" s="6335"/>
      <c r="AE442" s="6336"/>
      <c r="AF442" s="6336"/>
      <c r="AG442" s="6337"/>
      <c r="AH442" s="6338"/>
      <c r="AI442" s="6129"/>
    </row>
    <row r="443" ht="20.25" customHeight="1">
      <c r="A443" s="6125"/>
      <c r="B443" s="6329"/>
      <c r="C443" s="6371"/>
      <c r="D443" s="6335"/>
      <c r="E443" s="6362" t="s">
        <v>539</v>
      </c>
      <c r="F443" s="6363"/>
      <c r="G443" s="6372"/>
      <c r="H443" s="6373" t="str">
        <f>IMAGE("https://raw.githubusercontent.com/msikma/pokesprite/master/misc/types/gen8/electric.png",4,20,20)</f>
        <v/>
      </c>
      <c r="I443" s="6345"/>
      <c r="J443" s="6362" t="s">
        <v>433</v>
      </c>
      <c r="K443" s="6363"/>
      <c r="L443" s="6372"/>
      <c r="M443" s="6373" t="str">
        <f>IMAGE("https://raw.githubusercontent.com/msikma/pokesprite/master/misc/types/gen8/water.png",4,20,20)</f>
        <v/>
      </c>
      <c r="N443" s="6345"/>
      <c r="O443" s="6362" t="s">
        <v>433</v>
      </c>
      <c r="P443" s="6363"/>
      <c r="Q443" s="6372"/>
      <c r="R443" s="6373" t="str">
        <f>IMAGE("https://raw.githubusercontent.com/msikma/pokesprite/master/misc/types/gen8/water.png",4,20,20)</f>
        <v/>
      </c>
      <c r="S443" s="6335"/>
      <c r="T443" s="6362" t="s">
        <v>337</v>
      </c>
      <c r="U443" s="6363"/>
      <c r="V443" s="6372"/>
      <c r="W443" s="6373" t="str">
        <f>IMAGE("https://raw.githubusercontent.com/msikma/pokesprite/master/misc/types/gen8/water.png",4,20,20)</f>
        <v/>
      </c>
      <c r="X443" s="6334"/>
      <c r="Y443" s="6335"/>
      <c r="Z443" s="6336"/>
      <c r="AA443" s="6336"/>
      <c r="AB443" s="6337"/>
      <c r="AC443" s="6334"/>
      <c r="AD443" s="6335"/>
      <c r="AE443" s="6336"/>
      <c r="AF443" s="6336"/>
      <c r="AG443" s="6337"/>
      <c r="AH443" s="6338"/>
      <c r="AI443" s="6129"/>
    </row>
    <row r="444" ht="20.25" customHeight="1">
      <c r="A444" s="6125"/>
      <c r="B444" s="6329"/>
      <c r="C444" s="6374"/>
      <c r="D444" s="6335"/>
      <c r="E444" s="6365" t="s">
        <v>405</v>
      </c>
      <c r="F444" s="6336"/>
      <c r="G444" s="6337"/>
      <c r="H444" s="6375" t="str">
        <f>IMAGE("https://raw.githubusercontent.com/msikma/pokesprite/master/misc/types/gen8/poison.png",4,20,20)</f>
        <v/>
      </c>
      <c r="I444" s="6345"/>
      <c r="J444" s="6365" t="s">
        <v>188</v>
      </c>
      <c r="K444" s="6336"/>
      <c r="L444" s="6336"/>
      <c r="M444" s="6366"/>
      <c r="N444" s="6345"/>
      <c r="O444" s="6365" t="s">
        <v>317</v>
      </c>
      <c r="P444" s="6336"/>
      <c r="Q444" s="6337"/>
      <c r="R444" s="6375" t="str">
        <f>IMAGE("https://raw.githubusercontent.com/msikma/pokesprite/master/misc/types/gen8/ice.png",4,20,20)</f>
        <v/>
      </c>
      <c r="S444" s="6335"/>
      <c r="T444" s="6365" t="s">
        <v>1097</v>
      </c>
      <c r="U444" s="6336"/>
      <c r="V444" s="6337"/>
      <c r="W444" s="6375" t="str">
        <f>IMAGE("https://raw.githubusercontent.com/msikma/pokesprite/master/misc/types/gen8/ice.png",4,20,20)</f>
        <v/>
      </c>
      <c r="X444" s="6334"/>
      <c r="Y444" s="6335"/>
      <c r="Z444" s="6336"/>
      <c r="AA444" s="6336"/>
      <c r="AB444" s="6337"/>
      <c r="AC444" s="6334"/>
      <c r="AD444" s="6335"/>
      <c r="AE444" s="6336"/>
      <c r="AF444" s="6336"/>
      <c r="AG444" s="6337"/>
      <c r="AH444" s="6338"/>
      <c r="AI444" s="6129"/>
    </row>
    <row r="445" ht="20.25" customHeight="1">
      <c r="A445" s="6125"/>
      <c r="B445" s="6329"/>
      <c r="C445" s="6374"/>
      <c r="D445" s="6335"/>
      <c r="E445" s="6365" t="s">
        <v>216</v>
      </c>
      <c r="F445" s="6336"/>
      <c r="G445" s="6337"/>
      <c r="H445" s="6375" t="str">
        <f>IMAGE("https://raw.githubusercontent.com/msikma/pokesprite/master/misc/types/gen8/water.png",4,20,20)</f>
        <v/>
      </c>
      <c r="I445" s="6345"/>
      <c r="J445" s="6365" t="s">
        <v>188</v>
      </c>
      <c r="K445" s="6336"/>
      <c r="L445" s="6336"/>
      <c r="M445" s="6366"/>
      <c r="N445" s="6345"/>
      <c r="O445" s="6365" t="s">
        <v>345</v>
      </c>
      <c r="P445" s="6336"/>
      <c r="Q445" s="6337"/>
      <c r="R445" s="6375" t="str">
        <f>IMAGE("https://raw.githubusercontent.com/msikma/pokesprite/master/misc/types/gen8/dark.png",4,20,20)</f>
        <v/>
      </c>
      <c r="S445" s="6335"/>
      <c r="T445" s="6365" t="s">
        <v>410</v>
      </c>
      <c r="U445" s="6336"/>
      <c r="V445" s="6337"/>
      <c r="W445" s="6375" t="str">
        <f>IMAGE("https://raw.githubusercontent.com/msikma/pokesprite/master/misc/types/gen8/dragon.png",4,20,20)</f>
        <v/>
      </c>
      <c r="X445" s="6334"/>
      <c r="Y445" s="6335"/>
      <c r="Z445" s="6336"/>
      <c r="AA445" s="6336"/>
      <c r="AB445" s="6337"/>
      <c r="AC445" s="6334"/>
      <c r="AD445" s="6335"/>
      <c r="AE445" s="6336"/>
      <c r="AF445" s="6336"/>
      <c r="AG445" s="6337"/>
      <c r="AH445" s="6338"/>
      <c r="AI445" s="6129"/>
    </row>
    <row r="446" ht="21.0" customHeight="1">
      <c r="A446" s="6125"/>
      <c r="B446" s="6329"/>
      <c r="C446" s="6374"/>
      <c r="D446" s="6335"/>
      <c r="E446" s="6376" t="s">
        <v>223</v>
      </c>
      <c r="F446" s="6377"/>
      <c r="G446" s="6378"/>
      <c r="H446" s="6379" t="str">
        <f>IMAGE("https://raw.githubusercontent.com/msikma/pokesprite/master/misc/types/gen8/grass.png",4,20,20)</f>
        <v/>
      </c>
      <c r="I446" s="6345"/>
      <c r="J446" s="6376" t="s">
        <v>188</v>
      </c>
      <c r="K446" s="6377"/>
      <c r="L446" s="6377"/>
      <c r="M446" s="6566"/>
      <c r="N446" s="6345"/>
      <c r="O446" s="6376" t="s">
        <v>1664</v>
      </c>
      <c r="P446" s="6377"/>
      <c r="Q446" s="6378"/>
      <c r="R446" s="6379" t="str">
        <f>IMAGE("https://raw.githubusercontent.com/msikma/pokesprite/master/misc/types/gen8/psychic.png",4,20,20)</f>
        <v/>
      </c>
      <c r="S446" s="6335"/>
      <c r="T446" s="6376" t="s">
        <v>277</v>
      </c>
      <c r="U446" s="6377"/>
      <c r="V446" s="6378"/>
      <c r="W446" s="6379" t="str">
        <f>IMAGE("https://raw.githubusercontent.com/msikma/pokesprite/master/misc/types/gen8/electric.png",4,20,20)</f>
        <v/>
      </c>
      <c r="X446" s="6334"/>
      <c r="Y446" s="6335"/>
      <c r="Z446" s="6336"/>
      <c r="AA446" s="6336"/>
      <c r="AB446" s="6337"/>
      <c r="AC446" s="6334"/>
      <c r="AD446" s="6335"/>
      <c r="AE446" s="6336"/>
      <c r="AF446" s="6336"/>
      <c r="AG446" s="6337"/>
      <c r="AH446" s="6338"/>
      <c r="AI446" s="6129"/>
    </row>
    <row r="447" ht="3.0" customHeight="1">
      <c r="A447" s="6185"/>
      <c r="B447" s="6380"/>
      <c r="C447" s="6381"/>
      <c r="D447" s="6382"/>
      <c r="E447" s="6429"/>
      <c r="F447" s="6429"/>
      <c r="G447" s="6429"/>
      <c r="H447" s="6383"/>
      <c r="I447" s="6382"/>
      <c r="J447" s="6567"/>
      <c r="K447" s="6567"/>
      <c r="L447" s="6567"/>
      <c r="M447" s="6383"/>
      <c r="N447" s="6382"/>
      <c r="O447" s="6429"/>
      <c r="P447" s="6429"/>
      <c r="Q447" s="6429"/>
      <c r="R447" s="6383"/>
      <c r="S447" s="6383"/>
      <c r="T447" s="6429"/>
      <c r="U447" s="6429"/>
      <c r="V447" s="6429"/>
      <c r="W447" s="6383"/>
      <c r="X447" s="6382"/>
      <c r="Y447" s="6383"/>
      <c r="Z447" s="6383"/>
      <c r="AA447" s="6383"/>
      <c r="AB447" s="6383"/>
      <c r="AC447" s="6385"/>
      <c r="AD447" s="6383"/>
      <c r="AE447" s="6383"/>
      <c r="AF447" s="6383"/>
      <c r="AG447" s="6383"/>
      <c r="AH447" s="6386"/>
      <c r="AI447" s="6192"/>
    </row>
    <row r="448" ht="16.5" customHeight="1">
      <c r="A448" s="6185"/>
      <c r="B448" s="6387"/>
      <c r="C448" s="6381"/>
      <c r="D448" s="6392"/>
      <c r="E448" s="6389" t="s">
        <v>190</v>
      </c>
      <c r="F448" s="381"/>
      <c r="G448" s="382"/>
      <c r="H448" s="6390" t="s">
        <v>191</v>
      </c>
      <c r="I448" s="6399"/>
      <c r="J448" s="6389" t="s">
        <v>190</v>
      </c>
      <c r="K448" s="381"/>
      <c r="L448" s="382"/>
      <c r="M448" s="6390" t="s">
        <v>191</v>
      </c>
      <c r="N448" s="6392"/>
      <c r="O448" s="6389" t="s">
        <v>190</v>
      </c>
      <c r="P448" s="381"/>
      <c r="Q448" s="382"/>
      <c r="R448" s="6390" t="s">
        <v>191</v>
      </c>
      <c r="S448" s="6430"/>
      <c r="T448" s="6389" t="s">
        <v>190</v>
      </c>
      <c r="U448" s="381"/>
      <c r="V448" s="382"/>
      <c r="W448" s="6390" t="s">
        <v>191</v>
      </c>
      <c r="X448" s="6334"/>
      <c r="Y448" s="6334"/>
      <c r="Z448" s="6334"/>
      <c r="AA448" s="6334"/>
      <c r="AB448" s="6334"/>
      <c r="AC448" s="6334"/>
      <c r="AD448" s="6334"/>
      <c r="AE448" s="6334"/>
      <c r="AF448" s="6334"/>
      <c r="AG448" s="6393"/>
      <c r="AH448" s="6394"/>
      <c r="AI448" s="6192"/>
    </row>
    <row r="449" ht="16.5" customHeight="1">
      <c r="A449" s="6185"/>
      <c r="B449" s="6387"/>
      <c r="C449" s="6381"/>
      <c r="D449" s="6388"/>
      <c r="E449" s="6395" t="s">
        <v>192</v>
      </c>
      <c r="F449" s="6396">
        <f t="array" ref="F449">IFERROR(VLOOKUP(E436,Dex!$B$3:$N1218,8,FALSE),"")</f>
        <v>80</v>
      </c>
      <c r="G449" s="6397" t="str">
        <f t="array" ref="G449">IFERROR(VLOOKUP(F449,Dex!$P$22:$Q$276,2,FALSE),"")</f>
        <v/>
      </c>
      <c r="H449" s="6398"/>
      <c r="I449" s="6399"/>
      <c r="J449" s="6395" t="s">
        <v>192</v>
      </c>
      <c r="K449" s="6396">
        <f t="array" ref="K449">IFERROR(VLOOKUP(J436,Dex!$B$3:$N1218,8,FALSE),"")</f>
        <v>95</v>
      </c>
      <c r="L449" s="6397" t="str">
        <f t="array" ref="L449">IFERROR(VLOOKUP(K449,Dex!$P$22:$Q$276,2,FALSE),"")</f>
        <v/>
      </c>
      <c r="M449" s="6398"/>
      <c r="N449" s="6388"/>
      <c r="O449" s="6395" t="s">
        <v>192</v>
      </c>
      <c r="P449" s="6396">
        <f t="array" ref="P449">IFERROR(VLOOKUP(O436,Dex!$B$3:$N1218,8,FALSE),"")</f>
        <v>72</v>
      </c>
      <c r="Q449" s="6397" t="str">
        <f t="array" ref="Q449">IFERROR(VLOOKUP(P449,Dex!$P$22:$Q$276,2,FALSE),"")</f>
        <v/>
      </c>
      <c r="R449" s="6398"/>
      <c r="S449" s="6400"/>
      <c r="T449" s="6395" t="s">
        <v>192</v>
      </c>
      <c r="U449" s="6396">
        <f t="array" ref="U449">IFERROR(VLOOKUP(T436,Dex!$B$3:$N1218,8,FALSE),"")</f>
        <v>130</v>
      </c>
      <c r="V449" s="6397" t="str">
        <f t="array" ref="V449">IFERROR(VLOOKUP(U449,Dex!$P$22:$Q$276,2,FALSE),"")</f>
        <v/>
      </c>
      <c r="W449" s="6398"/>
      <c r="X449" s="6334"/>
      <c r="Y449" s="6334"/>
      <c r="Z449" s="6334"/>
      <c r="AA449" s="6334"/>
      <c r="AB449" s="6334"/>
      <c r="AC449" s="6334"/>
      <c r="AD449" s="6334"/>
      <c r="AE449" s="6334"/>
      <c r="AF449" s="6334"/>
      <c r="AG449" s="6393"/>
      <c r="AH449" s="6394"/>
      <c r="AI449" s="6192"/>
    </row>
    <row r="450" ht="16.5" customHeight="1">
      <c r="A450" s="6185"/>
      <c r="B450" s="6387"/>
      <c r="C450" s="6381"/>
      <c r="D450" s="6388"/>
      <c r="E450" s="6401" t="s">
        <v>193</v>
      </c>
      <c r="F450" s="6402">
        <f t="array" ref="F450">IFERROR(VLOOKUP(E436,Dex!$B$3:$N1218,9,FALSE),"")</f>
        <v>30</v>
      </c>
      <c r="G450" s="6403" t="str">
        <f t="array" ref="G450">IFERROR(VLOOKUP(F450,Dex!$P$22:$Q$276,2,FALSE),"")</f>
        <v/>
      </c>
      <c r="H450" s="6404"/>
      <c r="I450" s="6399"/>
      <c r="J450" s="6401" t="s">
        <v>193</v>
      </c>
      <c r="K450" s="6402">
        <f t="array" ref="K450">IFERROR(VLOOKUP(J436,Dex!$B$3:$N1218,9,FALSE),"")</f>
        <v>60</v>
      </c>
      <c r="L450" s="6403" t="str">
        <f t="array" ref="L450">IFERROR(VLOOKUP(K450,Dex!$P$22:$Q$276,2,FALSE),"")</f>
        <v/>
      </c>
      <c r="M450" s="6404"/>
      <c r="N450" s="6388"/>
      <c r="O450" s="6401" t="s">
        <v>193</v>
      </c>
      <c r="P450" s="6402">
        <f t="array" ref="P450">IFERROR(VLOOKUP(O436,Dex!$B$3:$N1218,9,FALSE),"")</f>
        <v>95</v>
      </c>
      <c r="Q450" s="6403" t="str">
        <f t="array" ref="Q450">IFERROR(VLOOKUP(P450,Dex!$P$22:$Q$276,2,FALSE),"")</f>
        <v/>
      </c>
      <c r="R450" s="6404"/>
      <c r="S450" s="6400"/>
      <c r="T450" s="6401" t="s">
        <v>193</v>
      </c>
      <c r="U450" s="6402">
        <f t="array" ref="U450">IFERROR(VLOOKUP(T436,Dex!$B$3:$N1218,9,FALSE),"")</f>
        <v>105</v>
      </c>
      <c r="V450" s="6403" t="str">
        <f t="array" ref="V450">IFERROR(VLOOKUP(U450,Dex!$P$22:$Q$276,2,FALSE),"")</f>
        <v/>
      </c>
      <c r="W450" s="6404"/>
      <c r="X450" s="6335"/>
      <c r="Y450" s="6336"/>
      <c r="Z450" s="6336"/>
      <c r="AA450" s="6337"/>
      <c r="AB450" s="6334"/>
      <c r="AC450" s="6335"/>
      <c r="AD450" s="6336"/>
      <c r="AE450" s="6336"/>
      <c r="AF450" s="6337"/>
      <c r="AG450" s="6393"/>
      <c r="AH450" s="6394"/>
      <c r="AI450" s="6192"/>
    </row>
    <row r="451" ht="16.5" customHeight="1">
      <c r="A451" s="6185"/>
      <c r="B451" s="6387"/>
      <c r="C451" s="6381"/>
      <c r="D451" s="6388"/>
      <c r="E451" s="6401" t="s">
        <v>194</v>
      </c>
      <c r="F451" s="6402">
        <f t="array" ref="F451">IFERROR(VLOOKUP(E436,Dex!$B$3:$N1218,10,FALSE),"")</f>
        <v>70</v>
      </c>
      <c r="G451" s="6403" t="str">
        <f t="array" ref="G451">IFERROR(VLOOKUP(F451,Dex!$P$22:$Q$276,2,FALSE),"")</f>
        <v/>
      </c>
      <c r="H451" s="6404">
        <v>4.0</v>
      </c>
      <c r="I451" s="6399"/>
      <c r="J451" s="6401" t="s">
        <v>194</v>
      </c>
      <c r="K451" s="6402">
        <f t="array" ref="K451">IFERROR(VLOOKUP(J436,Dex!$B$3:$N1218,10,FALSE),"")</f>
        <v>84</v>
      </c>
      <c r="L451" s="6403" t="str">
        <f t="array" ref="L451">IFERROR(VLOOKUP(K451,Dex!$P$22:$Q$276,2,FALSE),"")</f>
        <v/>
      </c>
      <c r="M451" s="6404">
        <v>4.0</v>
      </c>
      <c r="N451" s="6388"/>
      <c r="O451" s="6401" t="s">
        <v>194</v>
      </c>
      <c r="P451" s="6402">
        <f t="array" ref="P451">IFERROR(VLOOKUP(O436,Dex!$B$3:$N1218,10,FALSE),"")</f>
        <v>67</v>
      </c>
      <c r="Q451" s="6403" t="str">
        <f t="array" ref="Q451">IFERROR(VLOOKUP(P451,Dex!$P$22:$Q$276,2,FALSE),"")</f>
        <v/>
      </c>
      <c r="R451" s="6404">
        <v>4.0</v>
      </c>
      <c r="S451" s="6400"/>
      <c r="T451" s="6401" t="s">
        <v>194</v>
      </c>
      <c r="U451" s="6402">
        <f t="array" ref="U451">IFERROR(VLOOKUP(T436,Dex!$B$3:$N1218,10,FALSE),"")</f>
        <v>90</v>
      </c>
      <c r="V451" s="6403" t="str">
        <f t="array" ref="V451">IFERROR(VLOOKUP(U451,Dex!$P$22:$Q$276,2,FALSE),"")</f>
        <v/>
      </c>
      <c r="W451" s="6404">
        <v>4.0</v>
      </c>
      <c r="X451" s="6335"/>
      <c r="Y451" s="6336"/>
      <c r="Z451" s="6336"/>
      <c r="AA451" s="6337"/>
      <c r="AB451" s="6334"/>
      <c r="AC451" s="6335"/>
      <c r="AD451" s="6336"/>
      <c r="AE451" s="6336"/>
      <c r="AF451" s="6337"/>
      <c r="AG451" s="6393"/>
      <c r="AH451" s="6394"/>
      <c r="AI451" s="6192"/>
    </row>
    <row r="452" ht="16.5" customHeight="1">
      <c r="A452" s="6185"/>
      <c r="B452" s="6387"/>
      <c r="C452" s="6381"/>
      <c r="D452" s="6388"/>
      <c r="E452" s="6401" t="s">
        <v>195</v>
      </c>
      <c r="F452" s="6402">
        <f t="array" ref="F452">IFERROR(VLOOKUP(E436,Dex!$B$3:$N1218,11,FALSE),"")</f>
        <v>100</v>
      </c>
      <c r="G452" s="6403" t="str">
        <f t="array" ref="G452">IFERROR(VLOOKUP(F452,Dex!$P$22:$Q$276,2,FALSE),"")</f>
        <v/>
      </c>
      <c r="H452" s="6404">
        <v>252.0</v>
      </c>
      <c r="I452" s="6399"/>
      <c r="J452" s="6401" t="s">
        <v>195</v>
      </c>
      <c r="K452" s="6402">
        <f t="array" ref="K452">IFERROR(VLOOKUP(J436,Dex!$B$3:$N1218,11,FALSE),"")</f>
        <v>100</v>
      </c>
      <c r="L452" s="6403" t="str">
        <f t="array" ref="L452">IFERROR(VLOOKUP(K452,Dex!$P$22:$Q$276,2,FALSE),"")</f>
        <v/>
      </c>
      <c r="M452" s="6404">
        <v>252.0</v>
      </c>
      <c r="N452" s="6388"/>
      <c r="O452" s="6401" t="s">
        <v>195</v>
      </c>
      <c r="P452" s="6402">
        <f t="array" ref="P452">IFERROR(VLOOKUP(O436,Dex!$B$3:$N1218,11,FALSE),"")</f>
        <v>103</v>
      </c>
      <c r="Q452" s="6403" t="str">
        <f t="array" ref="Q452">IFERROR(VLOOKUP(P452,Dex!$P$22:$Q$276,2,FALSE),"")</f>
        <v/>
      </c>
      <c r="R452" s="6404">
        <v>252.0</v>
      </c>
      <c r="S452" s="6400"/>
      <c r="T452" s="6401" t="s">
        <v>195</v>
      </c>
      <c r="U452" s="6402">
        <f t="array" ref="U452">IFERROR(VLOOKUP(T436,Dex!$B$3:$N1218,11,FALSE),"")</f>
        <v>115</v>
      </c>
      <c r="V452" s="6403" t="str">
        <f t="array" ref="V452">IFERROR(VLOOKUP(U452,Dex!$P$22:$Q$276,2,FALSE),"")</f>
        <v/>
      </c>
      <c r="W452" s="6404">
        <v>252.0</v>
      </c>
      <c r="X452" s="6334"/>
      <c r="Y452" s="6334"/>
      <c r="Z452" s="6334"/>
      <c r="AA452" s="6334"/>
      <c r="AB452" s="6334"/>
      <c r="AC452" s="6335"/>
      <c r="AD452" s="6336"/>
      <c r="AE452" s="6336"/>
      <c r="AF452" s="6337"/>
      <c r="AG452" s="6393"/>
      <c r="AH452" s="6394"/>
      <c r="AI452" s="6192"/>
    </row>
    <row r="453" ht="16.5" customHeight="1">
      <c r="A453" s="6185"/>
      <c r="B453" s="6387"/>
      <c r="C453" s="6381"/>
      <c r="D453" s="6388"/>
      <c r="E453" s="6401" t="s">
        <v>196</v>
      </c>
      <c r="F453" s="6402">
        <f t="array" ref="F453">IFERROR(VLOOKUP(E436,Dex!$B$3:$N1218,12,FALSE),"")</f>
        <v>120</v>
      </c>
      <c r="G453" s="6403" t="str">
        <f t="array" ref="G453">IFERROR(VLOOKUP(F453,Dex!$P$22:$Q$276,2,FALSE),"")</f>
        <v/>
      </c>
      <c r="H453" s="6404"/>
      <c r="I453" s="6399"/>
      <c r="J453" s="6401" t="s">
        <v>196</v>
      </c>
      <c r="K453" s="6402">
        <f t="array" ref="K453">IFERROR(VLOOKUP(J436,Dex!$B$3:$N1218,12,FALSE),"")</f>
        <v>125</v>
      </c>
      <c r="L453" s="6403" t="str">
        <f t="array" ref="L453">IFERROR(VLOOKUP(K453,Dex!$P$22:$Q$276,2,FALSE),"")</f>
        <v/>
      </c>
      <c r="M453" s="6404"/>
      <c r="N453" s="6388"/>
      <c r="O453" s="6401" t="s">
        <v>196</v>
      </c>
      <c r="P453" s="6402">
        <f t="array" ref="P453">IFERROR(VLOOKUP(O436,Dex!$B$3:$N1218,12,FALSE),"")</f>
        <v>71</v>
      </c>
      <c r="Q453" s="6403" t="str">
        <f t="array" ref="Q453">IFERROR(VLOOKUP(P453,Dex!$P$22:$Q$276,2,FALSE),"")</f>
        <v/>
      </c>
      <c r="R453" s="6404"/>
      <c r="S453" s="6400"/>
      <c r="T453" s="6401" t="s">
        <v>196</v>
      </c>
      <c r="U453" s="6402">
        <f t="array" ref="U453">IFERROR(VLOOKUP(T436,Dex!$B$3:$N1218,12,FALSE),"")</f>
        <v>105</v>
      </c>
      <c r="V453" s="6403" t="str">
        <f t="array" ref="V453">IFERROR(VLOOKUP(U453,Dex!$P$22:$Q$276,2,FALSE),"")</f>
        <v/>
      </c>
      <c r="W453" s="6404"/>
      <c r="X453" s="6334"/>
      <c r="Y453" s="6334"/>
      <c r="Z453" s="6334"/>
      <c r="AA453" s="6334"/>
      <c r="AB453" s="6334"/>
      <c r="AC453" s="6335"/>
      <c r="AD453" s="6336"/>
      <c r="AE453" s="6336"/>
      <c r="AF453" s="6337"/>
      <c r="AG453" s="6393"/>
      <c r="AH453" s="6394"/>
      <c r="AI453" s="6192"/>
    </row>
    <row r="454" ht="16.5" customHeight="1">
      <c r="A454" s="6185"/>
      <c r="B454" s="6387"/>
      <c r="C454" s="6381"/>
      <c r="D454" s="6388"/>
      <c r="E454" s="6405" t="s">
        <v>197</v>
      </c>
      <c r="F454" s="6406">
        <f t="array" ref="F454">IFERROR(VLOOKUP(E436,Dex!$B$3:$N1218,13,FALSE),"")</f>
        <v>95</v>
      </c>
      <c r="G454" s="6407" t="str">
        <f t="array" ref="G454">IFERROR(VLOOKUP(F454,Dex!$P$22:$Q$276,2,FALSE),"")</f>
        <v/>
      </c>
      <c r="H454" s="6408">
        <v>252.0</v>
      </c>
      <c r="I454" s="6399"/>
      <c r="J454" s="6405" t="s">
        <v>197</v>
      </c>
      <c r="K454" s="6406">
        <f t="array" ref="K454">IFERROR(VLOOKUP(J436,Dex!$B$3:$N1218,13,FALSE),"")</f>
        <v>86</v>
      </c>
      <c r="L454" s="6407" t="str">
        <f t="array" ref="L454">IFERROR(VLOOKUP(K454,Dex!$P$22:$Q$276,2,FALSE),"")</f>
        <v/>
      </c>
      <c r="M454" s="6408">
        <v>252.0</v>
      </c>
      <c r="N454" s="6388"/>
      <c r="O454" s="6405" t="s">
        <v>197</v>
      </c>
      <c r="P454" s="6406">
        <f t="array" ref="P454">IFERROR(VLOOKUP(O436,Dex!$B$3:$N1218,13,FALSE),"")</f>
        <v>122</v>
      </c>
      <c r="Q454" s="6407" t="str">
        <f t="array" ref="Q454">IFERROR(VLOOKUP(P454,Dex!$P$22:$Q$276,2,FALSE),"")</f>
        <v/>
      </c>
      <c r="R454" s="6408">
        <v>252.0</v>
      </c>
      <c r="S454" s="6400"/>
      <c r="T454" s="6405" t="s">
        <v>197</v>
      </c>
      <c r="U454" s="6406">
        <f t="array" ref="U454">IFERROR(VLOOKUP(T436,Dex!$B$3:$N1218,13,FALSE),"")</f>
        <v>70</v>
      </c>
      <c r="V454" s="6407" t="str">
        <f t="array" ref="V454">IFERROR(VLOOKUP(U454,Dex!$P$22:$Q$276,2,FALSE),"")</f>
        <v/>
      </c>
      <c r="W454" s="6408">
        <v>252.0</v>
      </c>
      <c r="X454" s="6334"/>
      <c r="Y454" s="6335"/>
      <c r="Z454" s="6336"/>
      <c r="AA454" s="6336"/>
      <c r="AB454" s="6337"/>
      <c r="AC454" s="6335"/>
      <c r="AD454" s="6336"/>
      <c r="AE454" s="6336"/>
      <c r="AF454" s="6337"/>
      <c r="AG454" s="6334"/>
      <c r="AH454" s="6394"/>
      <c r="AI454" s="6192"/>
    </row>
    <row r="455" ht="16.5" customHeight="1">
      <c r="A455" s="6185"/>
      <c r="B455" s="6387"/>
      <c r="C455" s="6381"/>
      <c r="D455" s="6392"/>
      <c r="E455" s="6409" t="s">
        <v>198</v>
      </c>
      <c r="F455" s="405"/>
      <c r="G455" s="406"/>
      <c r="H455" s="6410">
        <v>317.0</v>
      </c>
      <c r="I455" s="6391"/>
      <c r="J455" s="6431" t="s">
        <v>198</v>
      </c>
      <c r="K455" s="918"/>
      <c r="L455" s="919"/>
      <c r="M455" s="6432">
        <v>291.0</v>
      </c>
      <c r="N455" s="6392"/>
      <c r="O455" s="6409" t="s">
        <v>198</v>
      </c>
      <c r="P455" s="405"/>
      <c r="Q455" s="406"/>
      <c r="R455" s="6410">
        <v>369.0</v>
      </c>
      <c r="S455" s="6568"/>
      <c r="T455" s="6409" t="s">
        <v>198</v>
      </c>
      <c r="U455" s="405"/>
      <c r="V455" s="406"/>
      <c r="W455" s="6410">
        <v>239.0</v>
      </c>
      <c r="X455" s="6334"/>
      <c r="Y455" s="6335"/>
      <c r="Z455" s="6336"/>
      <c r="AA455" s="6336"/>
      <c r="AB455" s="6337"/>
      <c r="AC455" s="6335"/>
      <c r="AD455" s="6336"/>
      <c r="AE455" s="6336"/>
      <c r="AF455" s="6337"/>
      <c r="AG455" s="6334"/>
      <c r="AH455" s="6394"/>
      <c r="AI455" s="6192"/>
    </row>
    <row r="456" ht="16.5" customHeight="1">
      <c r="A456" s="6185"/>
      <c r="B456" s="6433"/>
      <c r="C456" s="6434"/>
      <c r="D456" s="6435"/>
      <c r="E456" s="6436"/>
      <c r="F456" s="6436"/>
      <c r="G456" s="6436"/>
      <c r="H456" s="6381"/>
      <c r="I456" s="6437"/>
      <c r="J456" s="6439" t="s">
        <v>348</v>
      </c>
      <c r="K456" s="925"/>
      <c r="L456" s="926"/>
      <c r="M456" s="6440">
        <v>436.0</v>
      </c>
      <c r="N456" s="6435"/>
      <c r="O456" s="6436"/>
      <c r="P456" s="6436"/>
      <c r="Q456" s="6436"/>
      <c r="R456" s="6381"/>
      <c r="S456" s="6569"/>
      <c r="T456" s="6436"/>
      <c r="U456" s="6436"/>
      <c r="V456" s="6436"/>
      <c r="W456" s="6381"/>
      <c r="X456" s="6441"/>
      <c r="Y456" s="6441"/>
      <c r="Z456" s="6441"/>
      <c r="AA456" s="6441"/>
      <c r="AB456" s="6441"/>
      <c r="AC456" s="6441"/>
      <c r="AD456" s="6441"/>
      <c r="AE456" s="6441"/>
      <c r="AF456" s="6441"/>
      <c r="AG456" s="6441"/>
      <c r="AH456" s="6442"/>
      <c r="AI456" s="6192"/>
    </row>
    <row r="457" ht="15.0" customHeight="1">
      <c r="A457" s="6125"/>
      <c r="B457" s="6411"/>
      <c r="C457" s="6412"/>
      <c r="D457" s="6413"/>
      <c r="E457" s="6414"/>
      <c r="F457" s="6414"/>
      <c r="G457" s="6414"/>
      <c r="H457" s="6414"/>
      <c r="I457" s="6415"/>
      <c r="J457" s="6414"/>
      <c r="K457" s="6414"/>
      <c r="L457" s="6414"/>
      <c r="M457" s="6414"/>
      <c r="N457" s="6415"/>
      <c r="O457" s="6414"/>
      <c r="P457" s="6414"/>
      <c r="Q457" s="6414"/>
      <c r="R457" s="6414"/>
      <c r="S457" s="6413"/>
      <c r="T457" s="6570"/>
      <c r="U457" s="3185"/>
      <c r="V457" s="3185"/>
      <c r="W457" s="6571"/>
      <c r="X457" s="6413"/>
      <c r="Y457" s="6417"/>
      <c r="Z457" s="6418"/>
      <c r="AA457" s="6418"/>
      <c r="AB457" s="6419"/>
      <c r="AC457" s="6413"/>
      <c r="AD457" s="6413"/>
      <c r="AE457" s="6413"/>
      <c r="AF457" s="6413"/>
      <c r="AG457" s="6413"/>
      <c r="AH457" s="6420"/>
      <c r="AI457" s="6129"/>
    </row>
    <row r="458" ht="15.0" customHeight="1">
      <c r="A458" s="6185"/>
      <c r="B458" s="5433"/>
      <c r="C458" s="5434"/>
      <c r="D458" s="5434"/>
      <c r="E458" s="6538"/>
      <c r="F458" s="6538"/>
      <c r="G458" s="6538"/>
      <c r="H458" s="6538"/>
      <c r="I458" s="5434"/>
      <c r="J458" s="6538"/>
      <c r="K458" s="6538"/>
      <c r="L458" s="6538"/>
      <c r="M458" s="6538"/>
      <c r="N458" s="5434"/>
      <c r="O458" s="6539"/>
      <c r="P458" s="6539"/>
      <c r="Q458" s="6539"/>
      <c r="R458" s="6538"/>
      <c r="S458" s="5434"/>
      <c r="T458" s="6540"/>
      <c r="U458" s="6540"/>
      <c r="V458" s="6540"/>
      <c r="W458" s="6538"/>
      <c r="X458" s="5434"/>
      <c r="Y458" s="5436"/>
      <c r="Z458" s="5436"/>
      <c r="AA458" s="5436"/>
      <c r="AB458" s="5434"/>
      <c r="AC458" s="5434"/>
      <c r="AD458" s="6538"/>
      <c r="AE458" s="6538"/>
      <c r="AF458" s="6538"/>
      <c r="AG458" s="6538"/>
      <c r="AH458" s="5437"/>
      <c r="AI458" s="6192"/>
    </row>
    <row r="459" ht="96.75" customHeight="1">
      <c r="A459" s="6185"/>
      <c r="B459" s="5442"/>
      <c r="C459" s="6572" t="str">
        <f>IMAGE("https://i.ibb.co/tCvX9Dw/Crush-Kin.png")</f>
        <v/>
      </c>
      <c r="D459" s="5529"/>
      <c r="E459" s="6573" t="str">
        <f t="array" ref="E459">IFERROR(VLOOKUP(E460,Dex!$B$3:$G1218,3,FALSE),"")</f>
        <v/>
      </c>
      <c r="F459" s="1830"/>
      <c r="G459" s="1830"/>
      <c r="H459" s="1831"/>
      <c r="I459" s="5530"/>
      <c r="J459" s="6573" t="str">
        <f t="array" ref="J459">IFERROR(VLOOKUP(J460,Dex!$B$3:$G1218,3,FALSE),"")</f>
        <v/>
      </c>
      <c r="K459" s="1830"/>
      <c r="L459" s="1830"/>
      <c r="M459" s="1831"/>
      <c r="N459" s="5530"/>
      <c r="O459" s="6573" t="str">
        <f t="array" ref="O459">IFERROR(VLOOKUP(O460,Dex!$B$3:$G1218,3,FALSE),"")</f>
        <v/>
      </c>
      <c r="P459" s="1830"/>
      <c r="Q459" s="1830"/>
      <c r="R459" s="1831"/>
      <c r="S459" s="5530"/>
      <c r="T459" s="6573" t="str">
        <f t="array" ref="T459">IFERROR(VLOOKUP(T460,Dex!$B$3:$G1218,3,FALSE),"")</f>
        <v/>
      </c>
      <c r="U459" s="1830"/>
      <c r="V459" s="1830"/>
      <c r="W459" s="1831"/>
      <c r="X459" s="5530"/>
      <c r="Y459" s="6543"/>
      <c r="Z459" s="5477"/>
      <c r="AA459" s="5477"/>
      <c r="AB459" s="5487"/>
      <c r="AC459" s="5446"/>
      <c r="AD459" s="6543"/>
      <c r="AE459" s="5477"/>
      <c r="AF459" s="5477"/>
      <c r="AG459" s="5487"/>
      <c r="AH459" s="5447"/>
      <c r="AI459" s="6192"/>
    </row>
    <row r="460" ht="18.75" customHeight="1">
      <c r="A460" s="6185"/>
      <c r="B460" s="5442"/>
      <c r="C460" s="5448" t="s">
        <v>1665</v>
      </c>
      <c r="D460" s="5449"/>
      <c r="E460" s="5450" t="s">
        <v>890</v>
      </c>
      <c r="F460" s="5451"/>
      <c r="G460" s="5451"/>
      <c r="H460" s="5452"/>
      <c r="J460" s="5450" t="s">
        <v>1666</v>
      </c>
      <c r="K460" s="5451"/>
      <c r="L460" s="5451"/>
      <c r="M460" s="5452"/>
      <c r="O460" s="5450" t="s">
        <v>1473</v>
      </c>
      <c r="P460" s="5451"/>
      <c r="Q460" s="5451"/>
      <c r="R460" s="5452"/>
      <c r="T460" s="5450" t="s">
        <v>1667</v>
      </c>
      <c r="U460" s="5451"/>
      <c r="V460" s="5451"/>
      <c r="W460" s="5452"/>
      <c r="Y460" s="6543"/>
      <c r="Z460" s="5477"/>
      <c r="AA460" s="5477"/>
      <c r="AB460" s="5487"/>
      <c r="AC460" s="5453"/>
      <c r="AD460" s="6543"/>
      <c r="AE460" s="5477"/>
      <c r="AF460" s="5477"/>
      <c r="AG460" s="5487"/>
      <c r="AH460" s="5447"/>
      <c r="AI460" s="6192"/>
    </row>
    <row r="461">
      <c r="A461" s="6185"/>
      <c r="B461" s="5442"/>
      <c r="C461" s="1481"/>
      <c r="D461" s="5449"/>
      <c r="E461" s="5454" t="s">
        <v>1502</v>
      </c>
      <c r="F461" s="5455"/>
      <c r="G461" s="5455"/>
      <c r="H461" s="5456"/>
      <c r="J461" s="5454" t="s">
        <v>420</v>
      </c>
      <c r="K461" s="5455"/>
      <c r="L461" s="5455"/>
      <c r="M461" s="5456"/>
      <c r="O461" s="5454" t="s">
        <v>1623</v>
      </c>
      <c r="P461" s="5455"/>
      <c r="Q461" s="5455"/>
      <c r="R461" s="5456"/>
      <c r="T461" s="5454" t="s">
        <v>1502</v>
      </c>
      <c r="U461" s="5455"/>
      <c r="V461" s="5455"/>
      <c r="W461" s="5456"/>
      <c r="Y461" s="6543"/>
      <c r="Z461" s="5477"/>
      <c r="AA461" s="5477"/>
      <c r="AB461" s="5487"/>
      <c r="AC461" s="5453"/>
      <c r="AD461" s="6543"/>
      <c r="AE461" s="5477"/>
      <c r="AF461" s="5477"/>
      <c r="AG461" s="5487"/>
      <c r="AH461" s="5447"/>
      <c r="AI461" s="6192"/>
    </row>
    <row r="462" ht="25.5" customHeight="1">
      <c r="A462" s="6185"/>
      <c r="B462" s="5442"/>
      <c r="C462" s="1489"/>
      <c r="D462" s="5457"/>
      <c r="E462" s="5458"/>
      <c r="F462" s="5459" t="str">
        <f t="array" ref="F462">IFERROR(VLOOKUP(E460,Dex!$B$3:$H1218,5,FALSE),"")</f>
        <v/>
      </c>
      <c r="G462" s="5460" t="str">
        <f t="array" ref="G462">IFERROR(VLOOKUP(E460,Dex!$B$3:$H1218,7,FALSE),"")</f>
        <v/>
      </c>
      <c r="H462" s="5461"/>
      <c r="J462" s="5458"/>
      <c r="K462" s="5459" t="str">
        <f t="array" ref="K462">IFERROR(VLOOKUP(J460,Dex!$B$3:$H1218,5,FALSE),"")</f>
        <v/>
      </c>
      <c r="L462" s="5460" t="str">
        <f t="array" ref="L462">IFERROR(VLOOKUP(J460,Dex!$B$3:$H1218,7,FALSE),"")</f>
        <v/>
      </c>
      <c r="M462" s="5461"/>
      <c r="O462" s="5458"/>
      <c r="P462" s="5459" t="str">
        <f t="array" ref="P462">IFERROR(VLOOKUP(O460,Dex!$B$3:$H1218,5,FALSE),"")</f>
        <v/>
      </c>
      <c r="Q462" s="5460" t="str">
        <f t="array" ref="Q462">IFERROR(VLOOKUP(O460,Dex!$B$3:$H1218,7,FALSE),"")</f>
        <v/>
      </c>
      <c r="R462" s="5461"/>
      <c r="T462" s="5458"/>
      <c r="U462" s="5462" t="str">
        <f t="array" ref="U462">IFERROR(VLOOKUP(T460,Dex!$B$3:$H1218,5,FALSE),"")</f>
        <v/>
      </c>
      <c r="V462" s="5463"/>
      <c r="W462" s="5461"/>
      <c r="Y462" s="6543"/>
      <c r="Z462" s="5477"/>
      <c r="AA462" s="5477"/>
      <c r="AB462" s="5487"/>
      <c r="AC462" s="5453"/>
      <c r="AD462" s="6543"/>
      <c r="AE462" s="5477"/>
      <c r="AF462" s="5477"/>
      <c r="AG462" s="5487"/>
      <c r="AH462" s="5464"/>
      <c r="AI462" s="6192"/>
    </row>
    <row r="463" ht="2.25" customHeight="1">
      <c r="A463" s="6185"/>
      <c r="B463" s="5438"/>
      <c r="C463" s="5465"/>
      <c r="D463" s="5466"/>
      <c r="E463" s="5467"/>
      <c r="F463" s="5468"/>
      <c r="G463" s="5468"/>
      <c r="H463" s="5469"/>
      <c r="J463" s="5467"/>
      <c r="K463" s="5468"/>
      <c r="L463" s="5468"/>
      <c r="M463" s="5469"/>
      <c r="O463" s="5467"/>
      <c r="P463" s="5468"/>
      <c r="Q463" s="5468"/>
      <c r="R463" s="5469"/>
      <c r="T463" s="5467"/>
      <c r="U463" s="5468"/>
      <c r="V463" s="5468"/>
      <c r="W463" s="5469"/>
      <c r="Y463" s="6543"/>
      <c r="Z463" s="5477"/>
      <c r="AA463" s="5477"/>
      <c r="AB463" s="5487"/>
      <c r="AC463" s="5453"/>
      <c r="AD463" s="6543"/>
      <c r="AE463" s="5477"/>
      <c r="AF463" s="5477"/>
      <c r="AG463" s="5487"/>
      <c r="AH463" s="5464"/>
      <c r="AI463" s="6192"/>
    </row>
    <row r="464" ht="20.25" customHeight="1">
      <c r="A464" s="6185"/>
      <c r="B464" s="5438"/>
      <c r="C464" s="5470"/>
      <c r="D464" s="5471"/>
      <c r="E464" s="5472" t="s">
        <v>172</v>
      </c>
      <c r="F464" s="5473"/>
      <c r="G464" s="5473"/>
      <c r="H464" s="5474"/>
      <c r="J464" s="5472" t="s">
        <v>169</v>
      </c>
      <c r="K464" s="5473"/>
      <c r="L464" s="5473"/>
      <c r="M464" s="5474"/>
      <c r="O464" s="5472" t="s">
        <v>172</v>
      </c>
      <c r="P464" s="5473"/>
      <c r="Q464" s="5473"/>
      <c r="R464" s="5474"/>
      <c r="T464" s="5472" t="s">
        <v>172</v>
      </c>
      <c r="U464" s="5473"/>
      <c r="V464" s="5473"/>
      <c r="W464" s="5474"/>
      <c r="Y464" s="6543"/>
      <c r="Z464" s="5477"/>
      <c r="AA464" s="5477"/>
      <c r="AB464" s="5487"/>
      <c r="AC464" s="5453"/>
      <c r="AD464" s="6543"/>
      <c r="AE464" s="5477"/>
      <c r="AF464" s="5477"/>
      <c r="AG464" s="5487"/>
      <c r="AH464" s="5447"/>
      <c r="AI464" s="6192"/>
    </row>
    <row r="465">
      <c r="A465" s="6185"/>
      <c r="B465" s="5438"/>
      <c r="C465" s="5475"/>
      <c r="D465" s="5471"/>
      <c r="E465" s="5476" t="s">
        <v>690</v>
      </c>
      <c r="F465" s="5477"/>
      <c r="G465" s="5477"/>
      <c r="H465" s="5478"/>
      <c r="J465" s="5476" t="s">
        <v>208</v>
      </c>
      <c r="K465" s="5477"/>
      <c r="L465" s="5477"/>
      <c r="M465" s="5478"/>
      <c r="O465" s="5476" t="s">
        <v>1668</v>
      </c>
      <c r="P465" s="5477"/>
      <c r="Q465" s="5477"/>
      <c r="R465" s="5478"/>
      <c r="T465" s="5476" t="s">
        <v>1669</v>
      </c>
      <c r="U465" s="5477"/>
      <c r="V465" s="5477"/>
      <c r="W465" s="5478"/>
      <c r="Y465" s="6543"/>
      <c r="Z465" s="5477"/>
      <c r="AA465" s="5477"/>
      <c r="AB465" s="5487"/>
      <c r="AC465" s="5453"/>
      <c r="AD465" s="6543"/>
      <c r="AE465" s="5477"/>
      <c r="AF465" s="5477"/>
      <c r="AG465" s="5487"/>
      <c r="AH465" s="5447"/>
      <c r="AI465" s="6192"/>
    </row>
    <row r="466" ht="20.25" customHeight="1">
      <c r="A466" s="6185"/>
      <c r="B466" s="5438"/>
      <c r="C466" s="5479"/>
      <c r="D466" s="5471"/>
      <c r="E466" s="5480" t="s">
        <v>240</v>
      </c>
      <c r="F466" s="5481"/>
      <c r="G466" s="5482"/>
      <c r="H466" s="5483" t="str">
        <f>IMAGE("https://raw.githubusercontent.com/msikma/pokesprite/master/items/hold-item/focus-sash.png",3)</f>
        <v/>
      </c>
      <c r="J466" s="5480" t="s">
        <v>473</v>
      </c>
      <c r="K466" s="5481"/>
      <c r="L466" s="5482"/>
      <c r="M466" s="5483" t="str">
        <f>IMAGE("https://raw.githubusercontent.com/msikma/pokesprite/master/items/hold-item/assault-vest.png",3)</f>
        <v/>
      </c>
      <c r="O466" s="5480" t="s">
        <v>1482</v>
      </c>
      <c r="P466" s="5481"/>
      <c r="Q466" s="5482"/>
      <c r="R466" s="5483" t="str">
        <f>IMAGE("https://raw.githubusercontent.com/msikma/pokesprite/master/items/mega-stone/metagrossite.png",3)</f>
        <v/>
      </c>
      <c r="T466" s="5480" t="s">
        <v>272</v>
      </c>
      <c r="U466" s="5481"/>
      <c r="V466" s="5482"/>
      <c r="W466" s="5483" t="str">
        <f>IMAGE("https://raw.githubusercontent.com/msikma/pokesprite/master/items/hold-item/life-orb.png",3)</f>
        <v/>
      </c>
      <c r="Y466" s="6543"/>
      <c r="Z466" s="5477"/>
      <c r="AA466" s="5477"/>
      <c r="AB466" s="5487"/>
      <c r="AC466" s="5453"/>
      <c r="AD466" s="6543"/>
      <c r="AE466" s="5477"/>
      <c r="AF466" s="5477"/>
      <c r="AG466" s="5487"/>
      <c r="AH466" s="5464"/>
      <c r="AI466" s="6192"/>
    </row>
    <row r="467" ht="20.25" customHeight="1">
      <c r="A467" s="6185"/>
      <c r="B467" s="5438"/>
      <c r="C467" s="5484"/>
      <c r="D467" s="5471"/>
      <c r="E467" s="5472" t="s">
        <v>476</v>
      </c>
      <c r="F467" s="5473"/>
      <c r="G467" s="5485"/>
      <c r="H467" s="5486" t="str">
        <f>IMAGE("https://raw.githubusercontent.com/msikma/pokesprite/master/misc/types/gen8/normal.png",4,20,20)</f>
        <v/>
      </c>
      <c r="J467" s="5472" t="s">
        <v>1577</v>
      </c>
      <c r="K467" s="5473"/>
      <c r="L467" s="5485"/>
      <c r="M467" s="5486" t="str">
        <f>IMAGE("https://raw.githubusercontent.com/msikma/pokesprite/master/misc/types/gen8/fighting.png",4,20,20)</f>
        <v/>
      </c>
      <c r="O467" s="5472" t="s">
        <v>671</v>
      </c>
      <c r="P467" s="5473"/>
      <c r="Q467" s="5485"/>
      <c r="R467" s="5486" t="str">
        <f>IMAGE("https://raw.githubusercontent.com/msikma/pokesprite/master/misc/types/gen8/steel.png",4,20,20)</f>
        <v/>
      </c>
      <c r="T467" s="5472" t="s">
        <v>399</v>
      </c>
      <c r="U467" s="5473"/>
      <c r="V467" s="5485"/>
      <c r="W467" s="5486" t="str">
        <f>IMAGE("https://raw.githubusercontent.com/msikma/pokesprite/master/misc/types/gen8/rock.png",4,20,20)</f>
        <v/>
      </c>
      <c r="Y467" s="6543"/>
      <c r="Z467" s="5477"/>
      <c r="AA467" s="5477"/>
      <c r="AB467" s="5487"/>
      <c r="AC467" s="5453"/>
      <c r="AD467" s="6543"/>
      <c r="AE467" s="5477"/>
      <c r="AF467" s="5477"/>
      <c r="AG467" s="5487"/>
      <c r="AH467" s="5447"/>
      <c r="AI467" s="6192"/>
    </row>
    <row r="468" ht="20.25" customHeight="1">
      <c r="A468" s="6185"/>
      <c r="B468" s="5438"/>
      <c r="C468" s="5470"/>
      <c r="D468" s="5471"/>
      <c r="E468" s="5476" t="s">
        <v>900</v>
      </c>
      <c r="F468" s="5477"/>
      <c r="G468" s="5487"/>
      <c r="H468" s="5488" t="str">
        <f>IMAGE("https://raw.githubusercontent.com/msikma/pokesprite/master/misc/types/gen8/fire.png",4,20,20)</f>
        <v/>
      </c>
      <c r="J468" s="5476" t="s">
        <v>346</v>
      </c>
      <c r="K468" s="5477"/>
      <c r="L468" s="5487"/>
      <c r="M468" s="5488" t="str">
        <f>IMAGE("https://raw.githubusercontent.com/msikma/pokesprite/master/misc/types/gen8/water.png",4,20,20)</f>
        <v/>
      </c>
      <c r="O468" s="5476" t="s">
        <v>562</v>
      </c>
      <c r="P468" s="5477"/>
      <c r="Q468" s="5487"/>
      <c r="R468" s="5488" t="str">
        <f>IMAGE("https://raw.githubusercontent.com/msikma/pokesprite/master/misc/types/gen8/psychic.png",4,20,20)</f>
        <v/>
      </c>
      <c r="T468" s="5476" t="s">
        <v>316</v>
      </c>
      <c r="U468" s="5477"/>
      <c r="V468" s="5487"/>
      <c r="W468" s="5488" t="str">
        <f>IMAGE("https://raw.githubusercontent.com/msikma/pokesprite/master/misc/types/gen8/fighting.png",4,20,20)</f>
        <v/>
      </c>
      <c r="Y468" s="6543"/>
      <c r="Z468" s="5477"/>
      <c r="AA468" s="5477"/>
      <c r="AB468" s="5487"/>
      <c r="AC468" s="5453"/>
      <c r="AD468" s="6543"/>
      <c r="AE468" s="5477"/>
      <c r="AF468" s="5477"/>
      <c r="AG468" s="5487"/>
      <c r="AH468" s="5447"/>
      <c r="AI468" s="6192"/>
    </row>
    <row r="469" ht="20.25" customHeight="1">
      <c r="A469" s="6185"/>
      <c r="B469" s="5438"/>
      <c r="C469" s="5470"/>
      <c r="D469" s="5471"/>
      <c r="E469" s="5476" t="s">
        <v>316</v>
      </c>
      <c r="F469" s="5477"/>
      <c r="G469" s="5487"/>
      <c r="H469" s="5488" t="str">
        <f>IMAGE("https://raw.githubusercontent.com/msikma/pokesprite/master/misc/types/gen8/fighting.png",4,20,20)</f>
        <v/>
      </c>
      <c r="J469" s="5476" t="s">
        <v>256</v>
      </c>
      <c r="K469" s="5477"/>
      <c r="L469" s="5487"/>
      <c r="M469" s="5488" t="str">
        <f>IMAGE("https://raw.githubusercontent.com/msikma/pokesprite/master/misc/types/gen8/fighting.png",4,20,20)</f>
        <v/>
      </c>
      <c r="O469" s="5476" t="s">
        <v>215</v>
      </c>
      <c r="P469" s="5477"/>
      <c r="Q469" s="5487"/>
      <c r="R469" s="5488" t="str">
        <f>IMAGE("https://raw.githubusercontent.com/msikma/pokesprite/master/misc/types/gen8/ice.png",4,20,20)</f>
        <v/>
      </c>
      <c r="T469" s="5476" t="s">
        <v>1125</v>
      </c>
      <c r="U469" s="5477"/>
      <c r="V469" s="5487"/>
      <c r="W469" s="5488" t="str">
        <f>IMAGE("https://raw.githubusercontent.com/msikma/pokesprite/master/misc/types/gen8/rock.png",4,20,20)</f>
        <v/>
      </c>
      <c r="Y469" s="6543"/>
      <c r="Z469" s="5477"/>
      <c r="AA469" s="5477"/>
      <c r="AB469" s="5487"/>
      <c r="AC469" s="5453"/>
      <c r="AD469" s="6543"/>
      <c r="AE469" s="5477"/>
      <c r="AF469" s="5477"/>
      <c r="AG469" s="5487"/>
      <c r="AH469" s="5447"/>
      <c r="AI469" s="6192"/>
    </row>
    <row r="470" ht="21.0" customHeight="1">
      <c r="A470" s="6185"/>
      <c r="B470" s="5438"/>
      <c r="C470" s="5470"/>
      <c r="D470" s="5471"/>
      <c r="E470" s="5489" t="s">
        <v>249</v>
      </c>
      <c r="F470" s="5490"/>
      <c r="G470" s="5491"/>
      <c r="H470" s="5492" t="str">
        <f>IMAGE("https://raw.githubusercontent.com/msikma/pokesprite/master/misc/types/gen8/electric.png",4,20,20)</f>
        <v/>
      </c>
      <c r="I470" s="5532"/>
      <c r="J470" s="5489" t="s">
        <v>735</v>
      </c>
      <c r="K470" s="5490"/>
      <c r="L470" s="5491"/>
      <c r="M470" s="5492" t="str">
        <f>IMAGE("https://raw.githubusercontent.com/msikma/pokesprite/master/misc/types/gen8/water.png",4,20,20)</f>
        <v/>
      </c>
      <c r="N470" s="5532"/>
      <c r="O470" s="5489" t="s">
        <v>402</v>
      </c>
      <c r="P470" s="5490"/>
      <c r="Q470" s="5491"/>
      <c r="R470" s="5492" t="str">
        <f>IMAGE("https://raw.githubusercontent.com/msikma/pokesprite/master/misc/types/gen8/ground.png",4,20,20)</f>
        <v/>
      </c>
      <c r="S470" s="5532"/>
      <c r="T470" s="5489" t="s">
        <v>863</v>
      </c>
      <c r="U470" s="5490"/>
      <c r="V470" s="5491"/>
      <c r="W470" s="5492" t="str">
        <f>IMAGE("https://raw.githubusercontent.com/msikma/pokesprite/master/misc/types/gen8/psychic.png",4,20,20)</f>
        <v/>
      </c>
      <c r="X470" s="5532"/>
      <c r="Y470" s="6543"/>
      <c r="Z470" s="5477"/>
      <c r="AA470" s="5477"/>
      <c r="AB470" s="5487"/>
      <c r="AC470" s="5493"/>
      <c r="AD470" s="6543"/>
      <c r="AE470" s="5477"/>
      <c r="AF470" s="5477"/>
      <c r="AG470" s="5487"/>
      <c r="AH470" s="5447"/>
      <c r="AI470" s="6192"/>
    </row>
    <row r="471" ht="3.0" customHeight="1">
      <c r="A471" s="6185"/>
      <c r="B471" s="5494"/>
      <c r="C471" s="5495"/>
      <c r="D471" s="5496"/>
      <c r="E471" s="6544"/>
      <c r="F471" s="6544"/>
      <c r="G471" s="6544"/>
      <c r="H471" s="5497"/>
      <c r="I471" s="5496"/>
      <c r="J471" s="5533"/>
      <c r="K471" s="5533"/>
      <c r="L471" s="5533"/>
      <c r="M471" s="5497"/>
      <c r="N471" s="5496"/>
      <c r="O471" s="5533"/>
      <c r="P471" s="5533"/>
      <c r="Q471" s="5533"/>
      <c r="R471" s="5497"/>
      <c r="S471" s="5496"/>
      <c r="T471" s="5533"/>
      <c r="U471" s="5533"/>
      <c r="V471" s="5533"/>
      <c r="W471" s="5497"/>
      <c r="X471" s="5496"/>
      <c r="Y471" s="6543"/>
      <c r="Z471" s="5477"/>
      <c r="AA471" s="5477"/>
      <c r="AB471" s="5487"/>
      <c r="AC471" s="5496"/>
      <c r="AD471" s="6543"/>
      <c r="AE471" s="5477"/>
      <c r="AF471" s="5477"/>
      <c r="AG471" s="5487"/>
      <c r="AH471" s="5499"/>
      <c r="AI471" s="6192"/>
    </row>
    <row r="472" ht="16.5" customHeight="1">
      <c r="A472" s="6185"/>
      <c r="B472" s="5500"/>
      <c r="C472" s="5495"/>
      <c r="D472" s="5501"/>
      <c r="E472" s="6574" t="s">
        <v>190</v>
      </c>
      <c r="F472" s="381"/>
      <c r="G472" s="382"/>
      <c r="H472" s="6575" t="s">
        <v>191</v>
      </c>
      <c r="I472" s="5504"/>
      <c r="J472" s="6574" t="s">
        <v>190</v>
      </c>
      <c r="K472" s="381"/>
      <c r="L472" s="382"/>
      <c r="M472" s="6575" t="s">
        <v>191</v>
      </c>
      <c r="N472" s="5504"/>
      <c r="O472" s="6574" t="s">
        <v>190</v>
      </c>
      <c r="P472" s="381"/>
      <c r="Q472" s="382"/>
      <c r="R472" s="6575" t="s">
        <v>191</v>
      </c>
      <c r="S472" s="5504"/>
      <c r="T472" s="6574" t="s">
        <v>190</v>
      </c>
      <c r="U472" s="381"/>
      <c r="V472" s="382"/>
      <c r="W472" s="6575" t="s">
        <v>191</v>
      </c>
      <c r="X472" s="5504"/>
      <c r="Y472" s="6543"/>
      <c r="Z472" s="5477"/>
      <c r="AA472" s="5477"/>
      <c r="AB472" s="5487"/>
      <c r="AC472" s="5504"/>
      <c r="AD472" s="6543"/>
      <c r="AE472" s="5477"/>
      <c r="AF472" s="5477"/>
      <c r="AG472" s="5487"/>
      <c r="AH472" s="5505"/>
      <c r="AI472" s="6192"/>
    </row>
    <row r="473" ht="16.5" customHeight="1">
      <c r="A473" s="6185"/>
      <c r="B473" s="5500"/>
      <c r="C473" s="5495"/>
      <c r="D473" s="5501"/>
      <c r="E473" s="6576" t="s">
        <v>192</v>
      </c>
      <c r="F473" s="6577">
        <f t="array" ref="F473">IFERROR(VLOOKUP(E460,Dex!$B$3:$N1218,8,FALSE),"")</f>
        <v>76</v>
      </c>
      <c r="G473" s="6578" t="str">
        <f t="array" ref="G473">IFERROR(VLOOKUP(F473,Dex!$P$22:$Q$276,2,FALSE),"")</f>
        <v/>
      </c>
      <c r="H473" s="6579"/>
      <c r="I473" s="5510"/>
      <c r="J473" s="6576" t="s">
        <v>192</v>
      </c>
      <c r="K473" s="6577">
        <f t="array" ref="K473">IFERROR(VLOOKUP(J460,Dex!$B$3:$N1218,8,FALSE),"")</f>
        <v>80</v>
      </c>
      <c r="L473" s="6578" t="str">
        <f t="array" ref="L473">IFERROR(VLOOKUP(K473,Dex!$P$22:$Q$276,2,FALSE),"")</f>
        <v/>
      </c>
      <c r="M473" s="6579">
        <v>252.0</v>
      </c>
      <c r="N473" s="5510"/>
      <c r="O473" s="6576" t="s">
        <v>192</v>
      </c>
      <c r="P473" s="6577">
        <f t="array" ref="P473">IFERROR(VLOOKUP(O460,Dex!$B$3:$N1218,8,FALSE),"")</f>
        <v>80</v>
      </c>
      <c r="Q473" s="6578" t="str">
        <f t="array" ref="Q473">IFERROR(VLOOKUP(P473,Dex!$P$22:$Q$276,2,FALSE),"")</f>
        <v/>
      </c>
      <c r="R473" s="6579"/>
      <c r="S473" s="5510"/>
      <c r="T473" s="6576" t="s">
        <v>192</v>
      </c>
      <c r="U473" s="6577">
        <f t="array" ref="U473">IFERROR(VLOOKUP(T460,Dex!$B$3:$N1218,8,FALSE),"")</f>
        <v>75</v>
      </c>
      <c r="V473" s="6578" t="str">
        <f t="array" ref="V473">IFERROR(VLOOKUP(U473,Dex!$P$22:$Q$276,2,FALSE),"")</f>
        <v/>
      </c>
      <c r="W473" s="6579"/>
      <c r="X473" s="5510"/>
      <c r="Y473" s="6543"/>
      <c r="Z473" s="5477"/>
      <c r="AA473" s="5477"/>
      <c r="AB473" s="5487"/>
      <c r="AC473" s="5510"/>
      <c r="AD473" s="6543"/>
      <c r="AE473" s="5477"/>
      <c r="AF473" s="5477"/>
      <c r="AG473" s="5487"/>
      <c r="AH473" s="5505"/>
      <c r="AI473" s="6192"/>
    </row>
    <row r="474" ht="16.5" customHeight="1">
      <c r="A474" s="6185"/>
      <c r="B474" s="5500"/>
      <c r="C474" s="5495"/>
      <c r="D474" s="5501"/>
      <c r="E474" s="6580" t="s">
        <v>193</v>
      </c>
      <c r="F474" s="6581">
        <f t="array" ref="F474">IFERROR(VLOOKUP(E460,Dex!$B$3:$N1218,9,FALSE),"")</f>
        <v>110</v>
      </c>
      <c r="G474" s="6582" t="str">
        <f t="array" ref="G474">IFERROR(VLOOKUP(F474,Dex!$P$22:$Q$276,2,FALSE),"")</f>
        <v/>
      </c>
      <c r="H474" s="6583">
        <v>252.0</v>
      </c>
      <c r="I474" s="5510"/>
      <c r="J474" s="6580" t="s">
        <v>193</v>
      </c>
      <c r="K474" s="6581">
        <f t="array" ref="K474">IFERROR(VLOOKUP(J460,Dex!$B$3:$N1218,9,FALSE),"")</f>
        <v>118</v>
      </c>
      <c r="L474" s="6582" t="str">
        <f t="array" ref="L474">IFERROR(VLOOKUP(K474,Dex!$P$22:$Q$276,2,FALSE),"")</f>
        <v/>
      </c>
      <c r="M474" s="6583">
        <v>252.0</v>
      </c>
      <c r="N474" s="5510"/>
      <c r="O474" s="6580" t="s">
        <v>193</v>
      </c>
      <c r="P474" s="6581">
        <f t="array" ref="P474">IFERROR(VLOOKUP(O460,Dex!$B$3:$N1218,9,FALSE),"")</f>
        <v>145</v>
      </c>
      <c r="Q474" s="6582" t="str">
        <f t="array" ref="Q474">IFERROR(VLOOKUP(P474,Dex!$P$22:$Q$276,2,FALSE),"")</f>
        <v/>
      </c>
      <c r="R474" s="6583">
        <v>252.0</v>
      </c>
      <c r="S474" s="5510"/>
      <c r="T474" s="6580" t="s">
        <v>193</v>
      </c>
      <c r="U474" s="6581">
        <f t="array" ref="U474">IFERROR(VLOOKUP(T460,Dex!$B$3:$N1218,9,FALSE),"")</f>
        <v>117</v>
      </c>
      <c r="V474" s="6582" t="str">
        <f t="array" ref="V474">IFERROR(VLOOKUP(U474,Dex!$P$22:$Q$276,2,FALSE),"")</f>
        <v/>
      </c>
      <c r="W474" s="6583">
        <v>252.0</v>
      </c>
      <c r="X474" s="5510"/>
      <c r="Y474" s="6543"/>
      <c r="Z474" s="5477"/>
      <c r="AA474" s="5477"/>
      <c r="AB474" s="5487"/>
      <c r="AC474" s="5510"/>
      <c r="AD474" s="6543"/>
      <c r="AE474" s="5477"/>
      <c r="AF474" s="5477"/>
      <c r="AG474" s="5487"/>
      <c r="AH474" s="5505"/>
      <c r="AI474" s="6192"/>
    </row>
    <row r="475" ht="16.5" customHeight="1">
      <c r="A475" s="6185"/>
      <c r="B475" s="5500"/>
      <c r="C475" s="5495"/>
      <c r="D475" s="5501"/>
      <c r="E475" s="6580" t="s">
        <v>194</v>
      </c>
      <c r="F475" s="6581">
        <f t="array" ref="F475">IFERROR(VLOOKUP(E460,Dex!$B$3:$N1218,10,FALSE),"")</f>
        <v>71</v>
      </c>
      <c r="G475" s="6582" t="str">
        <f t="array" ref="G475">IFERROR(VLOOKUP(F475,Dex!$P$22:$Q$276,2,FALSE),"")</f>
        <v/>
      </c>
      <c r="H475" s="6583">
        <v>4.0</v>
      </c>
      <c r="I475" s="5510"/>
      <c r="J475" s="6580" t="s">
        <v>194</v>
      </c>
      <c r="K475" s="6581">
        <f t="array" ref="K475">IFERROR(VLOOKUP(J460,Dex!$B$3:$N1218,10,FALSE),"")</f>
        <v>90</v>
      </c>
      <c r="L475" s="6582" t="str">
        <f t="array" ref="L475">IFERROR(VLOOKUP(K475,Dex!$P$22:$Q$276,2,FALSE),"")</f>
        <v/>
      </c>
      <c r="M475" s="6583"/>
      <c r="N475" s="5510"/>
      <c r="O475" s="6580" t="s">
        <v>194</v>
      </c>
      <c r="P475" s="6581">
        <f t="array" ref="P475">IFERROR(VLOOKUP(O460,Dex!$B$3:$N1218,10,FALSE),"")</f>
        <v>150</v>
      </c>
      <c r="Q475" s="6582" t="str">
        <f t="array" ref="Q475">IFERROR(VLOOKUP(P475,Dex!$P$22:$Q$276,2,FALSE),"")</f>
        <v/>
      </c>
      <c r="R475" s="6583">
        <v>4.0</v>
      </c>
      <c r="S475" s="5510"/>
      <c r="T475" s="6580" t="s">
        <v>194</v>
      </c>
      <c r="U475" s="6581">
        <f t="array" ref="U475">IFERROR(VLOOKUP(T460,Dex!$B$3:$N1218,10,FALSE),"")</f>
        <v>65</v>
      </c>
      <c r="V475" s="6582" t="str">
        <f t="array" ref="V475">IFERROR(VLOOKUP(U475,Dex!$P$22:$Q$276,2,FALSE),"")</f>
        <v/>
      </c>
      <c r="W475" s="6583">
        <v>4.0</v>
      </c>
      <c r="X475" s="5510"/>
      <c r="Y475" s="6543"/>
      <c r="Z475" s="5477"/>
      <c r="AA475" s="5477"/>
      <c r="AB475" s="5487"/>
      <c r="AC475" s="5510"/>
      <c r="AD475" s="6543"/>
      <c r="AE475" s="5477"/>
      <c r="AF475" s="5477"/>
      <c r="AG475" s="5487"/>
      <c r="AH475" s="5505"/>
      <c r="AI475" s="6192"/>
    </row>
    <row r="476" ht="16.5" customHeight="1">
      <c r="A476" s="6185"/>
      <c r="B476" s="5500"/>
      <c r="C476" s="5495"/>
      <c r="D476" s="5501"/>
      <c r="E476" s="6580" t="s">
        <v>195</v>
      </c>
      <c r="F476" s="6581">
        <f t="array" ref="F476">IFERROR(VLOOKUP(E460,Dex!$B$3:$N1218,11,FALSE),"")</f>
        <v>110</v>
      </c>
      <c r="G476" s="6582" t="str">
        <f t="array" ref="G476">IFERROR(VLOOKUP(F476,Dex!$P$22:$Q$276,2,FALSE),"")</f>
        <v/>
      </c>
      <c r="H476" s="6583"/>
      <c r="I476" s="5510"/>
      <c r="J476" s="6580" t="s">
        <v>195</v>
      </c>
      <c r="K476" s="6581">
        <f t="array" ref="K476">IFERROR(VLOOKUP(J460,Dex!$B$3:$N1218,11,FALSE),"")</f>
        <v>70</v>
      </c>
      <c r="L476" s="6582" t="str">
        <f t="array" ref="L476">IFERROR(VLOOKUP(K476,Dex!$P$22:$Q$276,2,FALSE),"")</f>
        <v/>
      </c>
      <c r="M476" s="6583"/>
      <c r="N476" s="5510"/>
      <c r="O476" s="6580" t="s">
        <v>195</v>
      </c>
      <c r="P476" s="6581">
        <f t="array" ref="P476">IFERROR(VLOOKUP(O460,Dex!$B$3:$N1218,11,FALSE),"")</f>
        <v>105</v>
      </c>
      <c r="Q476" s="6582" t="str">
        <f t="array" ref="Q476">IFERROR(VLOOKUP(P476,Dex!$P$22:$Q$276,2,FALSE),"")</f>
        <v/>
      </c>
      <c r="R476" s="6583"/>
      <c r="S476" s="5510"/>
      <c r="T476" s="6580" t="s">
        <v>195</v>
      </c>
      <c r="U476" s="6581">
        <f t="array" ref="U476">IFERROR(VLOOKUP(T460,Dex!$B$3:$N1218,11,FALSE),"")</f>
        <v>55</v>
      </c>
      <c r="V476" s="6582" t="str">
        <f t="array" ref="V476">IFERROR(VLOOKUP(U476,Dex!$P$22:$Q$276,2,FALSE),"")</f>
        <v/>
      </c>
      <c r="W476" s="6583"/>
      <c r="X476" s="5510"/>
      <c r="Y476" s="6543"/>
      <c r="Z476" s="5477"/>
      <c r="AA476" s="5477"/>
      <c r="AB476" s="5487"/>
      <c r="AC476" s="5510"/>
      <c r="AD476" s="6543"/>
      <c r="AE476" s="5477"/>
      <c r="AF476" s="5477"/>
      <c r="AG476" s="5487"/>
      <c r="AH476" s="5505"/>
      <c r="AI476" s="6192"/>
    </row>
    <row r="477" ht="16.5" customHeight="1">
      <c r="A477" s="6185"/>
      <c r="B477" s="5500"/>
      <c r="C477" s="5515"/>
      <c r="D477" s="5501"/>
      <c r="E477" s="6580" t="s">
        <v>196</v>
      </c>
      <c r="F477" s="6581">
        <f t="array" ref="F477">IFERROR(VLOOKUP(E460,Dex!$B$3:$N1218,12,FALSE),"")</f>
        <v>71</v>
      </c>
      <c r="G477" s="6582" t="str">
        <f t="array" ref="G477">IFERROR(VLOOKUP(F477,Dex!$P$22:$Q$276,2,FALSE),"")</f>
        <v/>
      </c>
      <c r="H477" s="6583"/>
      <c r="I477" s="5510"/>
      <c r="J477" s="6580" t="s">
        <v>196</v>
      </c>
      <c r="K477" s="6581">
        <f t="array" ref="K477">IFERROR(VLOOKUP(J460,Dex!$B$3:$N1218,12,FALSE),"")</f>
        <v>80</v>
      </c>
      <c r="L477" s="6582" t="str">
        <f t="array" ref="L477">IFERROR(VLOOKUP(K477,Dex!$P$22:$Q$276,2,FALSE),"")</f>
        <v/>
      </c>
      <c r="M477" s="6583">
        <v>4.0</v>
      </c>
      <c r="N477" s="5510"/>
      <c r="O477" s="6580" t="s">
        <v>196</v>
      </c>
      <c r="P477" s="6581">
        <f t="array" ref="P477">IFERROR(VLOOKUP(O460,Dex!$B$3:$N1218,12,FALSE),"")</f>
        <v>110</v>
      </c>
      <c r="Q477" s="6582" t="str">
        <f t="array" ref="Q477">IFERROR(VLOOKUP(P477,Dex!$P$22:$Q$276,2,FALSE),"")</f>
        <v/>
      </c>
      <c r="R477" s="6583"/>
      <c r="S477" s="5510"/>
      <c r="T477" s="6580" t="s">
        <v>196</v>
      </c>
      <c r="U477" s="6581">
        <f t="array" ref="U477">IFERROR(VLOOKUP(T460,Dex!$B$3:$N1218,12,FALSE),"")</f>
        <v>65</v>
      </c>
      <c r="V477" s="6582" t="str">
        <f t="array" ref="V477">IFERROR(VLOOKUP(U477,Dex!$P$22:$Q$276,2,FALSE),"")</f>
        <v/>
      </c>
      <c r="W477" s="6583"/>
      <c r="X477" s="5510"/>
      <c r="Y477" s="6543"/>
      <c r="Z477" s="5477"/>
      <c r="AA477" s="5477"/>
      <c r="AB477" s="5487"/>
      <c r="AC477" s="5510"/>
      <c r="AD477" s="6543"/>
      <c r="AE477" s="5477"/>
      <c r="AF477" s="5477"/>
      <c r="AG477" s="5487"/>
      <c r="AH477" s="5505"/>
      <c r="AI477" s="6192"/>
    </row>
    <row r="478" ht="16.5" customHeight="1">
      <c r="A478" s="6185"/>
      <c r="B478" s="5500"/>
      <c r="C478" s="5495"/>
      <c r="D478" s="5516"/>
      <c r="E478" s="6584" t="s">
        <v>197</v>
      </c>
      <c r="F478" s="6585">
        <f t="array" ref="F478">IFERROR(VLOOKUP(E460,Dex!$B$3:$N1218,13,FALSE),"")</f>
        <v>113</v>
      </c>
      <c r="G478" s="6586" t="str">
        <f t="array" ref="G478">IFERROR(VLOOKUP(F478,Dex!$P$22:$Q$276,2,FALSE),"")</f>
        <v/>
      </c>
      <c r="H478" s="6587">
        <v>252.0</v>
      </c>
      <c r="I478" s="5510"/>
      <c r="J478" s="6584" t="s">
        <v>197</v>
      </c>
      <c r="K478" s="6585">
        <f t="array" ref="K478">IFERROR(VLOOKUP(J460,Dex!$B$3:$N1218,13,FALSE),"")</f>
        <v>42</v>
      </c>
      <c r="L478" s="6586" t="str">
        <f t="array" ref="L478">IFERROR(VLOOKUP(K478,Dex!$P$22:$Q$276,2,FALSE),"")</f>
        <v/>
      </c>
      <c r="M478" s="6587"/>
      <c r="N478" s="5510"/>
      <c r="O478" s="6584" t="s">
        <v>197</v>
      </c>
      <c r="P478" s="6585">
        <f t="array" ref="P478">IFERROR(VLOOKUP(O460,Dex!$B$3:$N1218,13,FALSE),"")</f>
        <v>110</v>
      </c>
      <c r="Q478" s="6586" t="str">
        <f t="array" ref="Q478">IFERROR(VLOOKUP(P478,Dex!$P$22:$Q$276,2,FALSE),"")</f>
        <v/>
      </c>
      <c r="R478" s="6587">
        <v>252.0</v>
      </c>
      <c r="S478" s="5510"/>
      <c r="T478" s="6584" t="s">
        <v>197</v>
      </c>
      <c r="U478" s="6585">
        <f t="array" ref="U478">IFERROR(VLOOKUP(T460,Dex!$B$3:$N1218,13,FALSE),"")</f>
        <v>110</v>
      </c>
      <c r="V478" s="6586" t="str">
        <f t="array" ref="V478">IFERROR(VLOOKUP(U478,Dex!$P$22:$Q$276,2,FALSE),"")</f>
        <v/>
      </c>
      <c r="W478" s="6587">
        <v>252.0</v>
      </c>
      <c r="X478" s="5510"/>
      <c r="Y478" s="6543"/>
      <c r="Z478" s="5477"/>
      <c r="AA478" s="5477"/>
      <c r="AB478" s="5487"/>
      <c r="AC478" s="5510"/>
      <c r="AD478" s="6543"/>
      <c r="AE478" s="5477"/>
      <c r="AF478" s="5477"/>
      <c r="AG478" s="5487"/>
      <c r="AH478" s="5505"/>
      <c r="AI478" s="6192"/>
    </row>
    <row r="479" ht="16.5" customHeight="1">
      <c r="A479" s="6185"/>
      <c r="B479" s="5500"/>
      <c r="C479" s="5495"/>
      <c r="D479" s="5516"/>
      <c r="E479" s="6588" t="s">
        <v>198</v>
      </c>
      <c r="F479" s="405"/>
      <c r="G479" s="406"/>
      <c r="H479" s="6589">
        <v>357.0</v>
      </c>
      <c r="I479" s="5504"/>
      <c r="J479" s="6588" t="s">
        <v>198</v>
      </c>
      <c r="K479" s="405"/>
      <c r="L479" s="406"/>
      <c r="M479" s="6589">
        <v>117.0</v>
      </c>
      <c r="N479" s="5504"/>
      <c r="O479" s="6588" t="s">
        <v>198</v>
      </c>
      <c r="P479" s="405"/>
      <c r="Q479" s="406"/>
      <c r="R479" s="6589">
        <v>346.0</v>
      </c>
      <c r="S479" s="5504"/>
      <c r="T479" s="6588" t="s">
        <v>198</v>
      </c>
      <c r="U479" s="405"/>
      <c r="V479" s="406"/>
      <c r="W479" s="6589">
        <v>350.0</v>
      </c>
      <c r="X479" s="5504"/>
      <c r="Y479" s="6543"/>
      <c r="Z479" s="5477"/>
      <c r="AA479" s="5477"/>
      <c r="AB479" s="5487"/>
      <c r="AC479" s="5504"/>
      <c r="AD479" s="6543"/>
      <c r="AE479" s="5477"/>
      <c r="AF479" s="5477"/>
      <c r="AG479" s="5487"/>
      <c r="AH479" s="5505"/>
      <c r="AI479" s="6192"/>
    </row>
    <row r="480" ht="15.0" customHeight="1">
      <c r="A480" s="6185"/>
      <c r="B480" s="6561"/>
      <c r="C480" s="5541"/>
      <c r="D480" s="5541"/>
      <c r="E480" s="5541"/>
      <c r="F480" s="5541"/>
      <c r="G480" s="5541"/>
      <c r="H480" s="5541"/>
      <c r="I480" s="5541"/>
      <c r="J480" s="5541"/>
      <c r="K480" s="5541"/>
      <c r="L480" s="5541"/>
      <c r="M480" s="5541"/>
      <c r="N480" s="5541"/>
      <c r="O480" s="6562"/>
      <c r="P480" s="6562"/>
      <c r="Q480" s="6562"/>
      <c r="R480" s="5541"/>
      <c r="S480" s="5541"/>
      <c r="T480" s="5543"/>
      <c r="U480" s="5543"/>
      <c r="V480" s="5543"/>
      <c r="W480" s="5541"/>
      <c r="X480" s="5541"/>
      <c r="Y480" s="5543"/>
      <c r="Z480" s="5543"/>
      <c r="AA480" s="5543"/>
      <c r="AB480" s="5541"/>
      <c r="AC480" s="5541"/>
      <c r="AD480" s="5541"/>
      <c r="AE480" s="5541"/>
      <c r="AF480" s="5541"/>
      <c r="AG480" s="5541"/>
      <c r="AH480" s="6563"/>
      <c r="AI480" s="6192"/>
    </row>
    <row r="481" ht="15.0" customHeight="1">
      <c r="A481" s="6185"/>
      <c r="B481" s="5433"/>
      <c r="C481" s="5434"/>
      <c r="D481" s="5434"/>
      <c r="E481" s="6538"/>
      <c r="F481" s="6538"/>
      <c r="G481" s="6538"/>
      <c r="H481" s="6538"/>
      <c r="I481" s="5434"/>
      <c r="J481" s="6538"/>
      <c r="K481" s="6538"/>
      <c r="L481" s="6538"/>
      <c r="M481" s="6538"/>
      <c r="N481" s="5434"/>
      <c r="O481" s="6539"/>
      <c r="P481" s="6539"/>
      <c r="Q481" s="6539"/>
      <c r="R481" s="6538"/>
      <c r="S481" s="5434"/>
      <c r="T481" s="6540"/>
      <c r="U481" s="6540"/>
      <c r="V481" s="6540"/>
      <c r="W481" s="6538"/>
      <c r="X481" s="5434"/>
      <c r="Y481" s="6540"/>
      <c r="Z481" s="6540"/>
      <c r="AA481" s="6540"/>
      <c r="AB481" s="6538"/>
      <c r="AC481" s="5434"/>
      <c r="AD481" s="6538"/>
      <c r="AE481" s="6538"/>
      <c r="AF481" s="6538"/>
      <c r="AG481" s="6538"/>
      <c r="AH481" s="5437"/>
      <c r="AI481" s="6192"/>
    </row>
    <row r="482" ht="96.75" customHeight="1">
      <c r="A482" s="6185"/>
      <c r="B482" s="5442"/>
      <c r="C482" s="5443" t="str">
        <f>IMAGE("https://i.ibb.co/nzhVFm2/Ketchup.png")</f>
        <v/>
      </c>
      <c r="D482" s="5529"/>
      <c r="E482" s="5445" t="str">
        <f t="array" ref="E482">IFERROR(VLOOKUP(E483,Dex!$B$3:$G1218,3,FALSE),"")</f>
        <v/>
      </c>
      <c r="F482" s="1830"/>
      <c r="G482" s="1830"/>
      <c r="H482" s="1831"/>
      <c r="I482" s="5530"/>
      <c r="J482" s="5445" t="str">
        <f t="array" ref="J482">IFERROR(VLOOKUP(J483,Dex!$B$3:$G1218,3,FALSE),"")</f>
        <v/>
      </c>
      <c r="K482" s="1830"/>
      <c r="L482" s="1830"/>
      <c r="M482" s="1831"/>
      <c r="N482" s="5530"/>
      <c r="O482" s="5445" t="str">
        <f t="array" ref="O482">IFERROR(VLOOKUP(O483,Dex!$B$3:$G1218,3,FALSE),"")</f>
        <v/>
      </c>
      <c r="P482" s="1830"/>
      <c r="Q482" s="1830"/>
      <c r="R482" s="1831"/>
      <c r="S482" s="5530"/>
      <c r="T482" s="5445" t="str">
        <f t="array" ref="T482">IFERROR(VLOOKUP(T483,Dex!$B$3:$G1218,3,FALSE),"")</f>
        <v/>
      </c>
      <c r="U482" s="1830"/>
      <c r="V482" s="1830"/>
      <c r="W482" s="1831"/>
      <c r="X482" s="5530"/>
      <c r="Y482" s="6543"/>
      <c r="Z482" s="5477"/>
      <c r="AA482" s="5477"/>
      <c r="AB482" s="5487"/>
      <c r="AC482" s="5530"/>
      <c r="AD482" s="6543"/>
      <c r="AE482" s="5477"/>
      <c r="AF482" s="5477"/>
      <c r="AG482" s="5487"/>
      <c r="AH482" s="5447"/>
      <c r="AI482" s="6192"/>
    </row>
    <row r="483" ht="18.75" customHeight="1">
      <c r="A483" s="6185"/>
      <c r="B483" s="5442"/>
      <c r="C483" s="5448" t="s">
        <v>1670</v>
      </c>
      <c r="D483" s="5449"/>
      <c r="E483" s="5450" t="s">
        <v>1602</v>
      </c>
      <c r="F483" s="5451"/>
      <c r="G483" s="5451"/>
      <c r="H483" s="5452"/>
      <c r="J483" s="5450" t="s">
        <v>1671</v>
      </c>
      <c r="K483" s="5451"/>
      <c r="L483" s="5451"/>
      <c r="M483" s="5452"/>
      <c r="O483" s="5450" t="s">
        <v>1102</v>
      </c>
      <c r="P483" s="5451"/>
      <c r="Q483" s="5451"/>
      <c r="R483" s="5452"/>
      <c r="T483" s="5450" t="s">
        <v>1592</v>
      </c>
      <c r="U483" s="5451"/>
      <c r="V483" s="5451"/>
      <c r="W483" s="5452"/>
      <c r="Y483" s="6543"/>
      <c r="Z483" s="5477"/>
      <c r="AA483" s="5477"/>
      <c r="AB483" s="5487"/>
      <c r="AD483" s="6543"/>
      <c r="AE483" s="5477"/>
      <c r="AF483" s="5477"/>
      <c r="AG483" s="5487"/>
      <c r="AH483" s="5447"/>
      <c r="AI483" s="6192"/>
    </row>
    <row r="484">
      <c r="A484" s="6185"/>
      <c r="B484" s="5442"/>
      <c r="C484" s="1481"/>
      <c r="D484" s="5449"/>
      <c r="E484" s="5454" t="s">
        <v>1502</v>
      </c>
      <c r="F484" s="5455"/>
      <c r="G484" s="5455"/>
      <c r="H484" s="5456"/>
      <c r="J484" s="5454" t="s">
        <v>1502</v>
      </c>
      <c r="K484" s="5455"/>
      <c r="L484" s="5455"/>
      <c r="M484" s="5456"/>
      <c r="O484" s="5454" t="s">
        <v>1502</v>
      </c>
      <c r="P484" s="5455"/>
      <c r="Q484" s="5455"/>
      <c r="R484" s="5456"/>
      <c r="T484" s="5454" t="s">
        <v>1502</v>
      </c>
      <c r="U484" s="5455"/>
      <c r="V484" s="5455"/>
      <c r="W484" s="5456"/>
      <c r="Y484" s="6543"/>
      <c r="Z484" s="5477"/>
      <c r="AA484" s="5477"/>
      <c r="AB484" s="5487"/>
      <c r="AD484" s="6543"/>
      <c r="AE484" s="5477"/>
      <c r="AF484" s="5477"/>
      <c r="AG484" s="5487"/>
      <c r="AH484" s="5447"/>
      <c r="AI484" s="6192"/>
    </row>
    <row r="485" ht="25.5" customHeight="1">
      <c r="A485" s="6185"/>
      <c r="B485" s="5442"/>
      <c r="C485" s="1489"/>
      <c r="D485" s="5457"/>
      <c r="E485" s="5458"/>
      <c r="F485" s="5459" t="str">
        <f t="array" ref="F485">IFERROR(VLOOKUP(E483,Dex!$B$3:$H1218,5,FALSE),"")</f>
        <v/>
      </c>
      <c r="G485" s="5460" t="str">
        <f t="array" ref="G485">IFERROR(VLOOKUP(E483,Dex!$B$3:$H1218,7,FALSE),"")</f>
        <v/>
      </c>
      <c r="H485" s="5461"/>
      <c r="J485" s="5458"/>
      <c r="K485" s="5459" t="str">
        <f t="array" ref="K485">IFERROR(VLOOKUP(J483,Dex!$B$3:$H1218,5,FALSE),"")</f>
        <v/>
      </c>
      <c r="L485" s="5460" t="str">
        <f t="array" ref="L485">IFERROR(VLOOKUP(J483,Dex!$B$3:$H1218,7,FALSE),"")</f>
        <v/>
      </c>
      <c r="M485" s="5461"/>
      <c r="O485" s="5458"/>
      <c r="P485" s="5462" t="str">
        <f t="array" ref="P485">IFERROR(VLOOKUP(O483,Dex!$B$3:$H1218,5,FALSE),"")</f>
        <v/>
      </c>
      <c r="Q485" s="5463"/>
      <c r="R485" s="5461"/>
      <c r="T485" s="5458"/>
      <c r="U485" s="5459" t="str">
        <f t="array" ref="U485">IFERROR(VLOOKUP(T483,Dex!$B$3:$H1218,5,FALSE),"")</f>
        <v/>
      </c>
      <c r="V485" s="5460" t="str">
        <f t="array" ref="V485">IFERROR(VLOOKUP(T483,Dex!$B$3:$H1218,7,FALSE),"")</f>
        <v/>
      </c>
      <c r="W485" s="5461"/>
      <c r="Y485" s="6543"/>
      <c r="Z485" s="5477"/>
      <c r="AA485" s="5477"/>
      <c r="AB485" s="5487"/>
      <c r="AD485" s="6543"/>
      <c r="AE485" s="5477"/>
      <c r="AF485" s="5477"/>
      <c r="AG485" s="5487"/>
      <c r="AH485" s="5464"/>
      <c r="AI485" s="6192"/>
    </row>
    <row r="486" ht="2.25" customHeight="1">
      <c r="A486" s="6185"/>
      <c r="B486" s="5438"/>
      <c r="C486" s="5465"/>
      <c r="D486" s="5466"/>
      <c r="E486" s="5467"/>
      <c r="F486" s="5468"/>
      <c r="G486" s="5468"/>
      <c r="H486" s="5469"/>
      <c r="J486" s="5467"/>
      <c r="K486" s="5468"/>
      <c r="L486" s="5468"/>
      <c r="M486" s="5469"/>
      <c r="O486" s="5467"/>
      <c r="P486" s="5468"/>
      <c r="Q486" s="5468"/>
      <c r="R486" s="5469"/>
      <c r="T486" s="5467"/>
      <c r="U486" s="5468"/>
      <c r="V486" s="5468"/>
      <c r="W486" s="5469"/>
      <c r="Y486" s="6543"/>
      <c r="Z486" s="5477"/>
      <c r="AA486" s="5477"/>
      <c r="AB486" s="5487"/>
      <c r="AD486" s="6543"/>
      <c r="AE486" s="5477"/>
      <c r="AF486" s="5477"/>
      <c r="AG486" s="5487"/>
      <c r="AH486" s="5464"/>
      <c r="AI486" s="6192"/>
    </row>
    <row r="487" ht="20.25" customHeight="1">
      <c r="A487" s="6185"/>
      <c r="B487" s="5438"/>
      <c r="C487" s="5470"/>
      <c r="D487" s="5471"/>
      <c r="E487" s="5472" t="s">
        <v>172</v>
      </c>
      <c r="F487" s="5473"/>
      <c r="G487" s="5473"/>
      <c r="H487" s="5474"/>
      <c r="J487" s="5472" t="s">
        <v>206</v>
      </c>
      <c r="K487" s="5473"/>
      <c r="L487" s="5473"/>
      <c r="M487" s="5474"/>
      <c r="O487" s="5472" t="s">
        <v>169</v>
      </c>
      <c r="P487" s="5473"/>
      <c r="Q487" s="5473"/>
      <c r="R487" s="5474"/>
      <c r="T487" s="5472" t="s">
        <v>172</v>
      </c>
      <c r="U487" s="5473"/>
      <c r="V487" s="5473"/>
      <c r="W487" s="5474"/>
      <c r="Y487" s="6543"/>
      <c r="Z487" s="5477"/>
      <c r="AA487" s="5477"/>
      <c r="AB487" s="5487"/>
      <c r="AD487" s="6543"/>
      <c r="AE487" s="5477"/>
      <c r="AF487" s="5477"/>
      <c r="AG487" s="5487"/>
      <c r="AH487" s="5447"/>
      <c r="AI487" s="6192"/>
    </row>
    <row r="488" ht="20.25" customHeight="1">
      <c r="A488" s="6185"/>
      <c r="B488" s="5438"/>
      <c r="C488" s="5475"/>
      <c r="D488" s="5471"/>
      <c r="E488" s="5476" t="s">
        <v>1605</v>
      </c>
      <c r="F488" s="5477"/>
      <c r="G488" s="5477"/>
      <c r="H488" s="5478"/>
      <c r="J488" s="5476" t="s">
        <v>233</v>
      </c>
      <c r="K488" s="5477"/>
      <c r="L488" s="5477"/>
      <c r="M488" s="5478"/>
      <c r="O488" s="5476" t="s">
        <v>303</v>
      </c>
      <c r="P488" s="5477"/>
      <c r="Q488" s="5477"/>
      <c r="R488" s="5478"/>
      <c r="T488" s="5476" t="s">
        <v>424</v>
      </c>
      <c r="U488" s="5477"/>
      <c r="V488" s="5477"/>
      <c r="W488" s="5478"/>
      <c r="Y488" s="6543"/>
      <c r="Z488" s="5477"/>
      <c r="AA488" s="5477"/>
      <c r="AB488" s="5487"/>
      <c r="AD488" s="6543"/>
      <c r="AE488" s="5477"/>
      <c r="AF488" s="5477"/>
      <c r="AG488" s="5487"/>
      <c r="AH488" s="5447"/>
      <c r="AI488" s="6192"/>
    </row>
    <row r="489" ht="20.25" customHeight="1">
      <c r="A489" s="6185"/>
      <c r="B489" s="5438"/>
      <c r="C489" s="5479"/>
      <c r="D489" s="5471"/>
      <c r="E489" s="5480" t="s">
        <v>335</v>
      </c>
      <c r="F489" s="5481"/>
      <c r="G489" s="5482"/>
      <c r="H489" s="5483" t="str">
        <f>IMAGE("https://raw.githubusercontent.com/msikma/pokesprite/master/items/hold-item/choice-scarf.png",3)</f>
        <v/>
      </c>
      <c r="J489" s="5480" t="s">
        <v>394</v>
      </c>
      <c r="K489" s="5481"/>
      <c r="L489" s="5482"/>
      <c r="M489" s="5483" t="str">
        <f>IMAGE("https://raw.githubusercontent.com/msikma/pokesprite/master/items/hold-item/leftovers.png",3)</f>
        <v/>
      </c>
      <c r="O489" s="5480" t="s">
        <v>307</v>
      </c>
      <c r="P489" s="5481"/>
      <c r="Q489" s="5482"/>
      <c r="R489" s="5483" t="str">
        <f>IMAGE("https://raw.githubusercontent.com/msikma/pokesprite/master/items/hold-item/flame-orb.png",3)</f>
        <v/>
      </c>
      <c r="T489" s="5480" t="s">
        <v>766</v>
      </c>
      <c r="U489" s="5481"/>
      <c r="V489" s="5482"/>
      <c r="W489" s="5483" t="str">
        <f>IMAGE("https://raw.githubusercontent.com/msikma/pokesprite/master/items/hold-item/choice-band.png",3)</f>
        <v/>
      </c>
      <c r="Y489" s="6543"/>
      <c r="Z489" s="5477"/>
      <c r="AA489" s="5477"/>
      <c r="AB489" s="5487"/>
      <c r="AD489" s="6543"/>
      <c r="AE489" s="5477"/>
      <c r="AF489" s="5477"/>
      <c r="AG489" s="5487"/>
      <c r="AH489" s="5464"/>
      <c r="AI489" s="6192"/>
    </row>
    <row r="490" ht="20.25" customHeight="1">
      <c r="A490" s="6185"/>
      <c r="B490" s="5438"/>
      <c r="C490" s="5484"/>
      <c r="D490" s="5471"/>
      <c r="E490" s="5472" t="s">
        <v>940</v>
      </c>
      <c r="F490" s="5473"/>
      <c r="G490" s="5485"/>
      <c r="H490" s="5486" t="str">
        <f>IMAGE("https://raw.githubusercontent.com/msikma/pokesprite/master/misc/types/gen8/grass.png",4,20,20)</f>
        <v/>
      </c>
      <c r="J490" s="5472" t="s">
        <v>252</v>
      </c>
      <c r="K490" s="5473"/>
      <c r="L490" s="5485"/>
      <c r="M490" s="5486" t="str">
        <f t="shared" ref="M490:M491" si="20">IMAGE("https://raw.githubusercontent.com/msikma/pokesprite/master/misc/types/gen8/electric.png",4,20,20)</f>
        <v/>
      </c>
      <c r="O490" s="5472" t="s">
        <v>189</v>
      </c>
      <c r="P490" s="5473"/>
      <c r="Q490" s="5485"/>
      <c r="R490" s="5486" t="str">
        <f>IMAGE("https://raw.githubusercontent.com/msikma/pokesprite/master/misc/types/gen8/normal.png",4,20,20)</f>
        <v/>
      </c>
      <c r="T490" s="5472" t="s">
        <v>378</v>
      </c>
      <c r="U490" s="5473"/>
      <c r="V490" s="5485"/>
      <c r="W490" s="5486" t="str">
        <f>IMAGE("https://raw.githubusercontent.com/msikma/pokesprite/master/misc/types/gen8/fire.png",4,20,20)</f>
        <v/>
      </c>
      <c r="Y490" s="6543"/>
      <c r="Z490" s="5477"/>
      <c r="AA490" s="5477"/>
      <c r="AB490" s="5487"/>
      <c r="AD490" s="6543"/>
      <c r="AE490" s="5477"/>
      <c r="AF490" s="5477"/>
      <c r="AG490" s="5487"/>
      <c r="AH490" s="5447"/>
      <c r="AI490" s="6192"/>
    </row>
    <row r="491" ht="20.25" customHeight="1">
      <c r="A491" s="6185"/>
      <c r="B491" s="5438"/>
      <c r="C491" s="5470"/>
      <c r="D491" s="5471"/>
      <c r="E491" s="5476" t="s">
        <v>316</v>
      </c>
      <c r="F491" s="5477"/>
      <c r="G491" s="5487"/>
      <c r="H491" s="5488" t="str">
        <f>IMAGE("https://raw.githubusercontent.com/msikma/pokesprite/master/misc/types/gen8/fighting.png",4,20,20)</f>
        <v/>
      </c>
      <c r="J491" s="5476" t="s">
        <v>242</v>
      </c>
      <c r="K491" s="5477"/>
      <c r="L491" s="5487"/>
      <c r="M491" s="5488" t="str">
        <f t="shared" si="20"/>
        <v/>
      </c>
      <c r="O491" s="5476" t="s">
        <v>244</v>
      </c>
      <c r="P491" s="5477"/>
      <c r="Q491" s="5487"/>
      <c r="R491" s="5488" t="str">
        <f>IMAGE("https://raw.githubusercontent.com/msikma/pokesprite/master/misc/types/gen8/fighting.png",4,20,20)</f>
        <v/>
      </c>
      <c r="T491" s="5476" t="s">
        <v>402</v>
      </c>
      <c r="U491" s="5477"/>
      <c r="V491" s="5487"/>
      <c r="W491" s="5488" t="str">
        <f>IMAGE("https://raw.githubusercontent.com/msikma/pokesprite/master/misc/types/gen8/ground.png",4,20,20)</f>
        <v/>
      </c>
      <c r="Y491" s="6543"/>
      <c r="Z491" s="5477"/>
      <c r="AA491" s="5477"/>
      <c r="AB491" s="5487"/>
      <c r="AD491" s="6543"/>
      <c r="AE491" s="5477"/>
      <c r="AF491" s="5477"/>
      <c r="AG491" s="5487"/>
      <c r="AH491" s="5447"/>
      <c r="AI491" s="6192"/>
    </row>
    <row r="492" ht="20.25" customHeight="1">
      <c r="A492" s="6185"/>
      <c r="B492" s="5438"/>
      <c r="C492" s="5470"/>
      <c r="D492" s="5471"/>
      <c r="E492" s="5476" t="s">
        <v>749</v>
      </c>
      <c r="F492" s="5477"/>
      <c r="G492" s="5487"/>
      <c r="H492" s="5488" t="str">
        <f>IMAGE("https://raw.githubusercontent.com/msikma/pokesprite/master/misc/types/gen8/flying.png",4,20,20)</f>
        <v/>
      </c>
      <c r="J492" s="5476" t="s">
        <v>404</v>
      </c>
      <c r="K492" s="5477"/>
      <c r="L492" s="5487"/>
      <c r="M492" s="5488" t="str">
        <f>IMAGE("https://raw.githubusercontent.com/msikma/pokesprite/master/misc/types/gen8/steel.png",4,20,20)</f>
        <v/>
      </c>
      <c r="O492" s="5476" t="s">
        <v>279</v>
      </c>
      <c r="P492" s="5477"/>
      <c r="Q492" s="5487"/>
      <c r="R492" s="5488" t="str">
        <f>IMAGE("https://raw.githubusercontent.com/msikma/pokesprite/master/misc/types/gen8/dark.png",4,20,20)</f>
        <v/>
      </c>
      <c r="T492" s="5476" t="s">
        <v>278</v>
      </c>
      <c r="U492" s="5477"/>
      <c r="V492" s="5487"/>
      <c r="W492" s="5488" t="str">
        <f>IMAGE("https://raw.githubusercontent.com/msikma/pokesprite/master/misc/types/gen8/bug.png",4,20,20)</f>
        <v/>
      </c>
      <c r="Y492" s="6543"/>
      <c r="Z492" s="5477"/>
      <c r="AA492" s="5477"/>
      <c r="AB492" s="5487"/>
      <c r="AD492" s="6543"/>
      <c r="AE492" s="5477"/>
      <c r="AF492" s="5477"/>
      <c r="AG492" s="5487"/>
      <c r="AH492" s="5447"/>
      <c r="AI492" s="6192"/>
    </row>
    <row r="493" ht="21.0" customHeight="1">
      <c r="A493" s="6185"/>
      <c r="B493" s="5438"/>
      <c r="C493" s="5470"/>
      <c r="D493" s="5471"/>
      <c r="E493" s="5489" t="s">
        <v>399</v>
      </c>
      <c r="F493" s="5490"/>
      <c r="G493" s="5491"/>
      <c r="H493" s="5492" t="str">
        <f>IMAGE("https://raw.githubusercontent.com/msikma/pokesprite/master/misc/types/gen8/rock.png",4,20,20)</f>
        <v/>
      </c>
      <c r="I493" s="5532"/>
      <c r="J493" s="5489" t="s">
        <v>737</v>
      </c>
      <c r="K493" s="5490"/>
      <c r="L493" s="5491"/>
      <c r="M493" s="5492" t="str">
        <f>IMAGE("https://raw.githubusercontent.com/msikma/pokesprite/master/misc/types/gen8/rock.png",4,20,20)</f>
        <v/>
      </c>
      <c r="N493" s="5532"/>
      <c r="O493" s="5489" t="s">
        <v>256</v>
      </c>
      <c r="P493" s="5490"/>
      <c r="Q493" s="5491"/>
      <c r="R493" s="5492" t="str">
        <f>IMAGE("https://raw.githubusercontent.com/msikma/pokesprite/master/misc/types/gen8/fighting.png",4,20,20)</f>
        <v/>
      </c>
      <c r="S493" s="5532"/>
      <c r="T493" s="5489" t="s">
        <v>749</v>
      </c>
      <c r="U493" s="5490"/>
      <c r="V493" s="5491"/>
      <c r="W493" s="5492" t="str">
        <f>IMAGE("https://raw.githubusercontent.com/msikma/pokesprite/master/misc/types/gen8/flying.png",4,20,20)</f>
        <v/>
      </c>
      <c r="X493" s="5532"/>
      <c r="Y493" s="6543"/>
      <c r="Z493" s="5477"/>
      <c r="AA493" s="5477"/>
      <c r="AB493" s="5487"/>
      <c r="AC493" s="5532"/>
      <c r="AD493" s="6543"/>
      <c r="AE493" s="5477"/>
      <c r="AF493" s="5477"/>
      <c r="AG493" s="5487"/>
      <c r="AH493" s="5447"/>
      <c r="AI493" s="6192"/>
    </row>
    <row r="494" ht="3.0" customHeight="1">
      <c r="A494" s="6185"/>
      <c r="B494" s="5494"/>
      <c r="C494" s="5495"/>
      <c r="D494" s="5496"/>
      <c r="E494" s="6544"/>
      <c r="F494" s="6544"/>
      <c r="G494" s="6544"/>
      <c r="H494" s="5497"/>
      <c r="I494" s="5496"/>
      <c r="J494" s="5533"/>
      <c r="K494" s="5533"/>
      <c r="L494" s="5533"/>
      <c r="M494" s="5497"/>
      <c r="N494" s="5496"/>
      <c r="O494" s="5533"/>
      <c r="P494" s="5533"/>
      <c r="Q494" s="5533"/>
      <c r="R494" s="5497"/>
      <c r="S494" s="5496"/>
      <c r="T494" s="5533"/>
      <c r="U494" s="5533"/>
      <c r="V494" s="5533"/>
      <c r="W494" s="5497"/>
      <c r="X494" s="5496"/>
      <c r="Y494" s="6543"/>
      <c r="Z494" s="5477"/>
      <c r="AA494" s="5477"/>
      <c r="AB494" s="5487"/>
      <c r="AC494" s="5496"/>
      <c r="AD494" s="6543"/>
      <c r="AE494" s="5477"/>
      <c r="AF494" s="5477"/>
      <c r="AG494" s="5487"/>
      <c r="AH494" s="5499"/>
      <c r="AI494" s="6192"/>
    </row>
    <row r="495" ht="16.5" customHeight="1">
      <c r="A495" s="6185"/>
      <c r="B495" s="5500"/>
      <c r="C495" s="5495"/>
      <c r="D495" s="5501"/>
      <c r="E495" s="5502" t="s">
        <v>190</v>
      </c>
      <c r="F495" s="381"/>
      <c r="G495" s="382"/>
      <c r="H495" s="5503" t="s">
        <v>191</v>
      </c>
      <c r="I495" s="5504"/>
      <c r="J495" s="5502" t="s">
        <v>190</v>
      </c>
      <c r="K495" s="381"/>
      <c r="L495" s="382"/>
      <c r="M495" s="5503" t="s">
        <v>191</v>
      </c>
      <c r="N495" s="5504"/>
      <c r="O495" s="5502" t="s">
        <v>190</v>
      </c>
      <c r="P495" s="381"/>
      <c r="Q495" s="382"/>
      <c r="R495" s="5503" t="s">
        <v>191</v>
      </c>
      <c r="S495" s="5504"/>
      <c r="T495" s="5502" t="s">
        <v>190</v>
      </c>
      <c r="U495" s="381"/>
      <c r="V495" s="382"/>
      <c r="W495" s="5503" t="s">
        <v>191</v>
      </c>
      <c r="X495" s="5504"/>
      <c r="Y495" s="6543"/>
      <c r="Z495" s="5477"/>
      <c r="AA495" s="5477"/>
      <c r="AB495" s="5487"/>
      <c r="AC495" s="5504"/>
      <c r="AD495" s="6543"/>
      <c r="AE495" s="5477"/>
      <c r="AF495" s="5477"/>
      <c r="AG495" s="5487"/>
      <c r="AH495" s="5505"/>
      <c r="AI495" s="6192"/>
    </row>
    <row r="496" ht="16.5" customHeight="1">
      <c r="A496" s="6185"/>
      <c r="B496" s="5500"/>
      <c r="C496" s="5495"/>
      <c r="D496" s="5501"/>
      <c r="E496" s="5506" t="s">
        <v>192</v>
      </c>
      <c r="F496" s="5507">
        <f t="array" ref="F496">IFERROR(VLOOKUP(E483,Dex!$B$3:$N1218,8,FALSE),"")</f>
        <v>98</v>
      </c>
      <c r="G496" s="5508" t="str">
        <f t="array" ref="G496">IFERROR(VLOOKUP(F496,Dex!$P$22:$Q$276,2,FALSE),"")</f>
        <v/>
      </c>
      <c r="H496" s="5509"/>
      <c r="I496" s="5510"/>
      <c r="J496" s="5506" t="s">
        <v>192</v>
      </c>
      <c r="K496" s="5507">
        <f t="array" ref="K496">IFERROR(VLOOKUP(J483,Dex!$B$3:$N1218,8,FALSE),"")</f>
        <v>65</v>
      </c>
      <c r="L496" s="5508" t="str">
        <f t="array" ref="L496">IFERROR(VLOOKUP(K496,Dex!$P$22:$Q$276,2,FALSE),"")</f>
        <v/>
      </c>
      <c r="M496" s="5509">
        <v>252.0</v>
      </c>
      <c r="N496" s="5510"/>
      <c r="O496" s="5506" t="s">
        <v>192</v>
      </c>
      <c r="P496" s="5507">
        <f t="array" ref="P496">IFERROR(VLOOKUP(O483,Dex!$B$3:$N1218,8,FALSE),"")</f>
        <v>105</v>
      </c>
      <c r="Q496" s="5508" t="str">
        <f t="array" ref="Q496">IFERROR(VLOOKUP(P496,Dex!$P$22:$Q$276,2,FALSE),"")</f>
        <v/>
      </c>
      <c r="R496" s="5509">
        <v>252.0</v>
      </c>
      <c r="S496" s="5510"/>
      <c r="T496" s="5506" t="s">
        <v>192</v>
      </c>
      <c r="U496" s="5507">
        <f t="array" ref="U496">IFERROR(VLOOKUP(T483,Dex!$B$3:$N1218,8,FALSE),"")</f>
        <v>70</v>
      </c>
      <c r="V496" s="5508" t="str">
        <f t="array" ref="V496">IFERROR(VLOOKUP(U496,Dex!$P$22:$Q$276,2,FALSE),"")</f>
        <v/>
      </c>
      <c r="W496" s="5509"/>
      <c r="X496" s="5510"/>
      <c r="Y496" s="6543"/>
      <c r="Z496" s="5477"/>
      <c r="AA496" s="5477"/>
      <c r="AB496" s="5487"/>
      <c r="AC496" s="5510"/>
      <c r="AD496" s="6543"/>
      <c r="AE496" s="5477"/>
      <c r="AF496" s="5477"/>
      <c r="AG496" s="5487"/>
      <c r="AH496" s="5505"/>
      <c r="AI496" s="6192"/>
    </row>
    <row r="497" ht="16.5" customHeight="1">
      <c r="A497" s="6185"/>
      <c r="B497" s="5500"/>
      <c r="C497" s="5495"/>
      <c r="D497" s="5501"/>
      <c r="E497" s="5511" t="s">
        <v>193</v>
      </c>
      <c r="F497" s="5512">
        <f t="array" ref="F497">IFERROR(VLOOKUP(E483,Dex!$B$3:$N1218,9,FALSE),"")</f>
        <v>112</v>
      </c>
      <c r="G497" s="5513" t="str">
        <f t="array" ref="G497">IFERROR(VLOOKUP(F497,Dex!$P$22:$Q$276,2,FALSE),"")</f>
        <v/>
      </c>
      <c r="H497" s="5514">
        <v>252.0</v>
      </c>
      <c r="I497" s="5510"/>
      <c r="J497" s="5511" t="s">
        <v>193</v>
      </c>
      <c r="K497" s="5512">
        <f t="array" ref="K497">IFERROR(VLOOKUP(J483,Dex!$B$3:$N1218,9,FALSE),"")</f>
        <v>45</v>
      </c>
      <c r="L497" s="5513" t="str">
        <f t="array" ref="L497">IFERROR(VLOOKUP(K497,Dex!$P$22:$Q$276,2,FALSE),"")</f>
        <v/>
      </c>
      <c r="M497" s="5514"/>
      <c r="N497" s="5510"/>
      <c r="O497" s="5511" t="s">
        <v>193</v>
      </c>
      <c r="P497" s="5512">
        <f t="array" ref="P497">IFERROR(VLOOKUP(O483,Dex!$B$3:$N1218,9,FALSE),"")</f>
        <v>140</v>
      </c>
      <c r="Q497" s="5513" t="str">
        <f t="array" ref="Q497">IFERROR(VLOOKUP(P497,Dex!$P$22:$Q$276,2,FALSE),"")</f>
        <v/>
      </c>
      <c r="R497" s="5514">
        <v>252.0</v>
      </c>
      <c r="S497" s="5510"/>
      <c r="T497" s="5511" t="s">
        <v>193</v>
      </c>
      <c r="U497" s="5512">
        <f t="array" ref="U497">IFERROR(VLOOKUP(T483,Dex!$B$3:$N1218,9,FALSE),"")</f>
        <v>125</v>
      </c>
      <c r="V497" s="5513" t="str">
        <f t="array" ref="V497">IFERROR(VLOOKUP(U497,Dex!$P$22:$Q$276,2,FALSE),"")</f>
        <v/>
      </c>
      <c r="W497" s="5514">
        <v>252.0</v>
      </c>
      <c r="X497" s="5510"/>
      <c r="Y497" s="6543"/>
      <c r="Z497" s="5477"/>
      <c r="AA497" s="5477"/>
      <c r="AB497" s="5487"/>
      <c r="AC497" s="5510"/>
      <c r="AD497" s="6543"/>
      <c r="AE497" s="5477"/>
      <c r="AF497" s="5477"/>
      <c r="AG497" s="5487"/>
      <c r="AH497" s="5505"/>
      <c r="AI497" s="6192"/>
    </row>
    <row r="498" ht="16.5" customHeight="1">
      <c r="A498" s="6185"/>
      <c r="B498" s="5500"/>
      <c r="C498" s="5495"/>
      <c r="D498" s="5501"/>
      <c r="E498" s="5511" t="s">
        <v>194</v>
      </c>
      <c r="F498" s="5512">
        <f t="array" ref="F498">IFERROR(VLOOKUP(E483,Dex!$B$3:$N1218,10,FALSE),"")</f>
        <v>85</v>
      </c>
      <c r="G498" s="5513" t="str">
        <f t="array" ref="G498">IFERROR(VLOOKUP(F498,Dex!$P$22:$Q$276,2,FALSE),"")</f>
        <v/>
      </c>
      <c r="H498" s="5514">
        <v>4.0</v>
      </c>
      <c r="I498" s="5510"/>
      <c r="J498" s="5511" t="s">
        <v>194</v>
      </c>
      <c r="K498" s="5512">
        <f t="array" ref="K498">IFERROR(VLOOKUP(J483,Dex!$B$3:$N1218,10,FALSE),"")</f>
        <v>145</v>
      </c>
      <c r="L498" s="5513" t="str">
        <f t="array" ref="L498">IFERROR(VLOOKUP(K498,Dex!$P$22:$Q$276,2,FALSE),"")</f>
        <v/>
      </c>
      <c r="M498" s="5514">
        <v>252.0</v>
      </c>
      <c r="N498" s="5510"/>
      <c r="O498" s="5511" t="s">
        <v>194</v>
      </c>
      <c r="P498" s="5512">
        <f t="array" ref="P498">IFERROR(VLOOKUP(O483,Dex!$B$3:$N1218,10,FALSE),"")</f>
        <v>95</v>
      </c>
      <c r="Q498" s="5513" t="str">
        <f t="array" ref="Q498">IFERROR(VLOOKUP(P498,Dex!$P$22:$Q$276,2,FALSE),"")</f>
        <v/>
      </c>
      <c r="R498" s="5514"/>
      <c r="S498" s="5510"/>
      <c r="T498" s="5511" t="s">
        <v>194</v>
      </c>
      <c r="U498" s="5512">
        <f t="array" ref="U498">IFERROR(VLOOKUP(T483,Dex!$B$3:$N1218,10,FALSE),"")</f>
        <v>65</v>
      </c>
      <c r="V498" s="5513" t="str">
        <f t="array" ref="V498">IFERROR(VLOOKUP(U498,Dex!$P$22:$Q$276,2,FALSE),"")</f>
        <v/>
      </c>
      <c r="W498" s="5514">
        <v>4.0</v>
      </c>
      <c r="X498" s="5510"/>
      <c r="Y498" s="6543"/>
      <c r="Z498" s="5477"/>
      <c r="AA498" s="5477"/>
      <c r="AB498" s="5487"/>
      <c r="AC498" s="5510"/>
      <c r="AD498" s="6543"/>
      <c r="AE498" s="5477"/>
      <c r="AF498" s="5477"/>
      <c r="AG498" s="5487"/>
      <c r="AH498" s="5505"/>
      <c r="AI498" s="6192"/>
    </row>
    <row r="499" ht="16.5" customHeight="1">
      <c r="A499" s="6185"/>
      <c r="B499" s="5500"/>
      <c r="C499" s="5495"/>
      <c r="D499" s="5501"/>
      <c r="E499" s="5511" t="s">
        <v>195</v>
      </c>
      <c r="F499" s="5512">
        <f t="array" ref="F499">IFERROR(VLOOKUP(E483,Dex!$B$3:$N1218,11,FALSE),"")</f>
        <v>75</v>
      </c>
      <c r="G499" s="5513" t="str">
        <f t="array" ref="G499">IFERROR(VLOOKUP(F499,Dex!$P$22:$Q$276,2,FALSE),"")</f>
        <v/>
      </c>
      <c r="H499" s="5514"/>
      <c r="I499" s="5510"/>
      <c r="J499" s="5511" t="s">
        <v>195</v>
      </c>
      <c r="K499" s="5512">
        <f t="array" ref="K499">IFERROR(VLOOKUP(J483,Dex!$B$3:$N1218,11,FALSE),"")</f>
        <v>80</v>
      </c>
      <c r="L499" s="5513" t="str">
        <f t="array" ref="L499">IFERROR(VLOOKUP(K499,Dex!$P$22:$Q$276,2,FALSE),"")</f>
        <v/>
      </c>
      <c r="M499" s="5514">
        <v>4.0</v>
      </c>
      <c r="N499" s="5510"/>
      <c r="O499" s="5511" t="s">
        <v>195</v>
      </c>
      <c r="P499" s="5512">
        <f t="array" ref="P499">IFERROR(VLOOKUP(O483,Dex!$B$3:$N1218,11,FALSE),"")</f>
        <v>55</v>
      </c>
      <c r="Q499" s="5513" t="str">
        <f t="array" ref="Q499">IFERROR(VLOOKUP(P499,Dex!$P$22:$Q$276,2,FALSE),"")</f>
        <v/>
      </c>
      <c r="R499" s="5514"/>
      <c r="S499" s="5510"/>
      <c r="T499" s="5511" t="s">
        <v>195</v>
      </c>
      <c r="U499" s="5512">
        <f t="array" ref="U499">IFERROR(VLOOKUP(T483,Dex!$B$3:$N1218,11,FALSE),"")</f>
        <v>50</v>
      </c>
      <c r="V499" s="5513" t="str">
        <f t="array" ref="V499">IFERROR(VLOOKUP(U499,Dex!$P$22:$Q$276,2,FALSE),"")</f>
        <v/>
      </c>
      <c r="W499" s="5514"/>
      <c r="X499" s="5510"/>
      <c r="Y499" s="6543"/>
      <c r="Z499" s="5477"/>
      <c r="AA499" s="5477"/>
      <c r="AB499" s="5487"/>
      <c r="AC499" s="5510"/>
      <c r="AD499" s="6543"/>
      <c r="AE499" s="5477"/>
      <c r="AF499" s="5477"/>
      <c r="AG499" s="5487"/>
      <c r="AH499" s="5505"/>
      <c r="AI499" s="6192"/>
    </row>
    <row r="500" ht="16.5" customHeight="1">
      <c r="A500" s="6185"/>
      <c r="B500" s="5500"/>
      <c r="C500" s="5515"/>
      <c r="D500" s="5501"/>
      <c r="E500" s="5511" t="s">
        <v>196</v>
      </c>
      <c r="F500" s="5512">
        <f t="array" ref="F500">IFERROR(VLOOKUP(E483,Dex!$B$3:$N1218,12,FALSE),"")</f>
        <v>100</v>
      </c>
      <c r="G500" s="5513" t="str">
        <f t="array" ref="G500">IFERROR(VLOOKUP(F500,Dex!$P$22:$Q$276,2,FALSE),"")</f>
        <v/>
      </c>
      <c r="H500" s="5514"/>
      <c r="I500" s="5510"/>
      <c r="J500" s="5511" t="s">
        <v>196</v>
      </c>
      <c r="K500" s="5512">
        <f t="array" ref="K500">IFERROR(VLOOKUP(J483,Dex!$B$3:$N1218,12,FALSE),"")</f>
        <v>150</v>
      </c>
      <c r="L500" s="5513" t="str">
        <f t="array" ref="L500">IFERROR(VLOOKUP(K500,Dex!$P$22:$Q$276,2,FALSE),"")</f>
        <v/>
      </c>
      <c r="M500" s="5514"/>
      <c r="N500" s="5510"/>
      <c r="O500" s="5511" t="s">
        <v>196</v>
      </c>
      <c r="P500" s="5512">
        <f t="array" ref="P500">IFERROR(VLOOKUP(O483,Dex!$B$3:$N1218,12,FALSE),"")</f>
        <v>65</v>
      </c>
      <c r="Q500" s="5513" t="str">
        <f t="array" ref="Q500">IFERROR(VLOOKUP(P500,Dex!$P$22:$Q$276,2,FALSE),"")</f>
        <v/>
      </c>
      <c r="R500" s="5514"/>
      <c r="S500" s="5510"/>
      <c r="T500" s="5511" t="s">
        <v>196</v>
      </c>
      <c r="U500" s="5512">
        <f t="array" ref="U500">IFERROR(VLOOKUP(T483,Dex!$B$3:$N1218,12,FALSE),"")</f>
        <v>60</v>
      </c>
      <c r="V500" s="5513" t="str">
        <f t="array" ref="V500">IFERROR(VLOOKUP(U500,Dex!$P$22:$Q$276,2,FALSE),"")</f>
        <v/>
      </c>
      <c r="W500" s="5514"/>
      <c r="X500" s="5510"/>
      <c r="Y500" s="6543"/>
      <c r="Z500" s="5477"/>
      <c r="AA500" s="5477"/>
      <c r="AB500" s="5487"/>
      <c r="AC500" s="5510"/>
      <c r="AD500" s="6543"/>
      <c r="AE500" s="5477"/>
      <c r="AF500" s="5477"/>
      <c r="AG500" s="5487"/>
      <c r="AH500" s="5505"/>
      <c r="AI500" s="6192"/>
    </row>
    <row r="501" ht="16.5" customHeight="1">
      <c r="A501" s="6185"/>
      <c r="B501" s="5500"/>
      <c r="C501" s="5495"/>
      <c r="D501" s="5516"/>
      <c r="E501" s="5517" t="s">
        <v>197</v>
      </c>
      <c r="F501" s="5518">
        <f t="array" ref="F501">IFERROR(VLOOKUP(E483,Dex!$B$3:$N1218,13,FALSE),"")</f>
        <v>70</v>
      </c>
      <c r="G501" s="5519" t="str">
        <f t="array" ref="G501">IFERROR(VLOOKUP(F501,Dex!$P$22:$Q$276,2,FALSE),"")</f>
        <v/>
      </c>
      <c r="H501" s="5520">
        <v>252.0</v>
      </c>
      <c r="I501" s="5510"/>
      <c r="J501" s="5517" t="s">
        <v>197</v>
      </c>
      <c r="K501" s="5518">
        <f t="array" ref="K501">IFERROR(VLOOKUP(J483,Dex!$B$3:$N1218,13,FALSE),"")</f>
        <v>40</v>
      </c>
      <c r="L501" s="5519" t="str">
        <f t="array" ref="L501">IFERROR(VLOOKUP(K501,Dex!$P$22:$Q$276,2,FALSE),"")</f>
        <v/>
      </c>
      <c r="M501" s="5520"/>
      <c r="N501" s="5510"/>
      <c r="O501" s="5517" t="s">
        <v>197</v>
      </c>
      <c r="P501" s="5518">
        <f t="array" ref="P501">IFERROR(VLOOKUP(O483,Dex!$B$3:$N1218,13,FALSE),"")</f>
        <v>45</v>
      </c>
      <c r="Q501" s="5519" t="str">
        <f t="array" ref="Q501">IFERROR(VLOOKUP(P501,Dex!$P$22:$Q$276,2,FALSE),"")</f>
        <v/>
      </c>
      <c r="R501" s="5520">
        <v>4.0</v>
      </c>
      <c r="S501" s="5510"/>
      <c r="T501" s="5517" t="s">
        <v>197</v>
      </c>
      <c r="U501" s="5518">
        <f t="array" ref="U501">IFERROR(VLOOKUP(T483,Dex!$B$3:$N1218,13,FALSE),"")</f>
        <v>110</v>
      </c>
      <c r="V501" s="5519" t="str">
        <f t="array" ref="V501">IFERROR(VLOOKUP(U501,Dex!$P$22:$Q$276,2,FALSE),"")</f>
        <v/>
      </c>
      <c r="W501" s="5520">
        <v>252.0</v>
      </c>
      <c r="X501" s="5510"/>
      <c r="Y501" s="6543"/>
      <c r="Z501" s="5477"/>
      <c r="AA501" s="5477"/>
      <c r="AB501" s="5487"/>
      <c r="AC501" s="5510"/>
      <c r="AD501" s="6543"/>
      <c r="AE501" s="5477"/>
      <c r="AF501" s="5477"/>
      <c r="AG501" s="5487"/>
      <c r="AH501" s="5505"/>
      <c r="AI501" s="6192"/>
    </row>
    <row r="502" ht="16.5" customHeight="1">
      <c r="A502" s="6185"/>
      <c r="B502" s="5500"/>
      <c r="C502" s="5495"/>
      <c r="D502" s="5536"/>
      <c r="E502" s="5523" t="s">
        <v>198</v>
      </c>
      <c r="F502" s="918"/>
      <c r="G502" s="919"/>
      <c r="H502" s="5524">
        <v>262.0</v>
      </c>
      <c r="I502" s="5504"/>
      <c r="J502" s="5521" t="s">
        <v>198</v>
      </c>
      <c r="K502" s="405"/>
      <c r="L502" s="406"/>
      <c r="M502" s="5522">
        <v>116.0</v>
      </c>
      <c r="N502" s="5504"/>
      <c r="O502" s="5521" t="s">
        <v>198</v>
      </c>
      <c r="P502" s="405"/>
      <c r="Q502" s="406"/>
      <c r="R502" s="5522">
        <v>127.0</v>
      </c>
      <c r="S502" s="5504"/>
      <c r="T502" s="5521" t="s">
        <v>198</v>
      </c>
      <c r="U502" s="405"/>
      <c r="V502" s="406"/>
      <c r="W502" s="5522">
        <v>350.0</v>
      </c>
      <c r="X502" s="5504"/>
      <c r="Y502" s="6543"/>
      <c r="Z502" s="5477"/>
      <c r="AA502" s="5477"/>
      <c r="AB502" s="5487"/>
      <c r="AC502" s="5504"/>
      <c r="AD502" s="6543"/>
      <c r="AE502" s="5477"/>
      <c r="AF502" s="5477"/>
      <c r="AG502" s="5487"/>
      <c r="AH502" s="5505"/>
      <c r="AI502" s="6192"/>
    </row>
    <row r="503" ht="16.5" customHeight="1">
      <c r="A503" s="6185"/>
      <c r="B503" s="5500"/>
      <c r="C503" s="5495"/>
      <c r="D503" s="6590"/>
      <c r="E503" s="6591" t="s">
        <v>1609</v>
      </c>
      <c r="F503" s="6592"/>
      <c r="G503" s="6593"/>
      <c r="H503" s="6594">
        <v>393.0</v>
      </c>
      <c r="I503" s="6590"/>
      <c r="J503" s="5525"/>
      <c r="K503" s="5525"/>
      <c r="L503" s="5525"/>
      <c r="M503" s="5495"/>
      <c r="N503" s="5495"/>
      <c r="O503" s="5525"/>
      <c r="P503" s="5525"/>
      <c r="Q503" s="5525"/>
      <c r="R503" s="5495"/>
      <c r="S503" s="5495"/>
      <c r="T503" s="5525"/>
      <c r="U503" s="5525"/>
      <c r="V503" s="5525"/>
      <c r="W503" s="5495"/>
      <c r="X503" s="5495"/>
      <c r="Y503" s="5495"/>
      <c r="Z503" s="5495"/>
      <c r="AA503" s="5495"/>
      <c r="AB503" s="5495"/>
      <c r="AC503" s="6590"/>
      <c r="AD503" s="5525"/>
      <c r="AE503" s="5525"/>
      <c r="AF503" s="5525"/>
      <c r="AG503" s="5495"/>
      <c r="AH503" s="5505"/>
      <c r="AI503" s="6192"/>
    </row>
    <row r="504" ht="16.5" customHeight="1">
      <c r="A504" s="6185"/>
      <c r="B504" s="5500"/>
      <c r="C504" s="5495"/>
      <c r="D504" s="6590"/>
      <c r="E504" s="6591" t="s">
        <v>348</v>
      </c>
      <c r="F504" s="6592"/>
      <c r="G504" s="6593"/>
      <c r="H504" s="6594">
        <v>393.0</v>
      </c>
      <c r="I504" s="6590"/>
      <c r="J504" s="5495"/>
      <c r="K504" s="5495"/>
      <c r="L504" s="5495"/>
      <c r="M504" s="5495"/>
      <c r="N504" s="5495"/>
      <c r="O504" s="5495"/>
      <c r="P504" s="5495"/>
      <c r="Q504" s="5495"/>
      <c r="R504" s="5495"/>
      <c r="S504" s="5495"/>
      <c r="T504" s="5495"/>
      <c r="U504" s="5495"/>
      <c r="V504" s="5495"/>
      <c r="W504" s="5495"/>
      <c r="X504" s="5495"/>
      <c r="Y504" s="5495"/>
      <c r="Z504" s="5495"/>
      <c r="AA504" s="5495"/>
      <c r="AB504" s="5495"/>
      <c r="AC504" s="6590"/>
      <c r="AD504" s="5525"/>
      <c r="AE504" s="5525"/>
      <c r="AF504" s="5525"/>
      <c r="AG504" s="5495"/>
      <c r="AH504" s="5505"/>
      <c r="AI504" s="6192"/>
    </row>
    <row r="505" ht="16.5" customHeight="1">
      <c r="A505" s="6185"/>
      <c r="B505" s="5500"/>
      <c r="C505" s="5495"/>
      <c r="D505" s="5495"/>
      <c r="E505" s="5526" t="s">
        <v>1672</v>
      </c>
      <c r="F505" s="925"/>
      <c r="G505" s="926"/>
      <c r="H505" s="5527">
        <v>589.0</v>
      </c>
      <c r="I505" s="5495"/>
      <c r="J505" s="5495"/>
      <c r="K505" s="5495"/>
      <c r="L505" s="5495"/>
      <c r="M505" s="5495"/>
      <c r="N505" s="5538"/>
      <c r="O505" s="5495"/>
      <c r="P505" s="5495"/>
      <c r="Q505" s="5495"/>
      <c r="R505" s="5495"/>
      <c r="S505" s="5495"/>
      <c r="T505" s="5495"/>
      <c r="U505" s="5495"/>
      <c r="V505" s="5495"/>
      <c r="W505" s="5495"/>
      <c r="X505" s="5495"/>
      <c r="Y505" s="5525"/>
      <c r="Z505" s="5525"/>
      <c r="AA505" s="5525"/>
      <c r="AB505" s="5495"/>
      <c r="AC505" s="5495"/>
      <c r="AD505" s="5525"/>
      <c r="AE505" s="5525"/>
      <c r="AF505" s="5525"/>
      <c r="AG505" s="5495"/>
      <c r="AH505" s="5505"/>
      <c r="AI505" s="6192"/>
    </row>
    <row r="506" ht="11.25" customHeight="1">
      <c r="A506" s="6185"/>
      <c r="B506" s="6561"/>
      <c r="C506" s="5541"/>
      <c r="D506" s="5541"/>
      <c r="E506" s="5541"/>
      <c r="F506" s="5541"/>
      <c r="G506" s="5541"/>
      <c r="H506" s="5541"/>
      <c r="I506" s="5541"/>
      <c r="J506" s="5541"/>
      <c r="K506" s="5541"/>
      <c r="L506" s="5541"/>
      <c r="M506" s="5541"/>
      <c r="N506" s="5541"/>
      <c r="O506" s="6562"/>
      <c r="P506" s="6562"/>
      <c r="Q506" s="6562"/>
      <c r="R506" s="5541"/>
      <c r="S506" s="5541"/>
      <c r="T506" s="5543"/>
      <c r="U506" s="5543"/>
      <c r="V506" s="5543"/>
      <c r="W506" s="5541"/>
      <c r="X506" s="5541"/>
      <c r="Y506" s="5543"/>
      <c r="Z506" s="5543"/>
      <c r="AA506" s="5543"/>
      <c r="AB506" s="5541"/>
      <c r="AC506" s="5541"/>
      <c r="AD506" s="5541"/>
      <c r="AE506" s="5541"/>
      <c r="AF506" s="5541"/>
      <c r="AG506" s="5541"/>
      <c r="AH506" s="6563"/>
      <c r="AI506" s="6192"/>
    </row>
    <row r="507" ht="15.0" customHeight="1">
      <c r="A507" s="6185"/>
      <c r="B507" s="5433"/>
      <c r="C507" s="5434"/>
      <c r="D507" s="5434"/>
      <c r="E507" s="6538"/>
      <c r="F507" s="6538"/>
      <c r="G507" s="6538"/>
      <c r="H507" s="6538"/>
      <c r="I507" s="5434"/>
      <c r="J507" s="6538"/>
      <c r="K507" s="6538"/>
      <c r="L507" s="6538"/>
      <c r="M507" s="6538"/>
      <c r="N507" s="5434"/>
      <c r="O507" s="6539"/>
      <c r="P507" s="6539"/>
      <c r="Q507" s="6539"/>
      <c r="R507" s="6538"/>
      <c r="S507" s="5434"/>
      <c r="T507" s="6540"/>
      <c r="U507" s="6540"/>
      <c r="V507" s="6540"/>
      <c r="W507" s="6538"/>
      <c r="X507" s="5434"/>
      <c r="Y507" s="6540"/>
      <c r="Z507" s="6540"/>
      <c r="AA507" s="6540"/>
      <c r="AB507" s="6538"/>
      <c r="AC507" s="5434"/>
      <c r="AD507" s="6538"/>
      <c r="AE507" s="6538"/>
      <c r="AF507" s="6538"/>
      <c r="AG507" s="6538"/>
      <c r="AH507" s="5437"/>
      <c r="AI507" s="6192"/>
    </row>
    <row r="508" ht="96.75" customHeight="1">
      <c r="A508" s="6185"/>
      <c r="B508" s="5442"/>
      <c r="C508" s="5443" t="str">
        <f>IMAGE("https://i.ibb.co/nzhVFm2/Ketchup.png")</f>
        <v/>
      </c>
      <c r="D508" s="5529"/>
      <c r="E508" s="5445" t="str">
        <f t="array" ref="E508">IFERROR(VLOOKUP(E509,Dex!$B$3:$G1218,3,FALSE),"")</f>
        <v/>
      </c>
      <c r="F508" s="1830"/>
      <c r="G508" s="1830"/>
      <c r="H508" s="1831"/>
      <c r="I508" s="5530"/>
      <c r="J508" s="5445" t="str">
        <f t="array" ref="J508">IFERROR(VLOOKUP(J509,Dex!$B$3:$G1218,3,FALSE),"")</f>
        <v/>
      </c>
      <c r="K508" s="1830"/>
      <c r="L508" s="1830"/>
      <c r="M508" s="1831"/>
      <c r="N508" s="5530"/>
      <c r="O508" s="5445" t="str">
        <f t="array" ref="O508">IFERROR(VLOOKUP(O509,Dex!$B$3:$G1218,3,FALSE),"")</f>
        <v/>
      </c>
      <c r="P508" s="1830"/>
      <c r="Q508" s="1830"/>
      <c r="R508" s="1831"/>
      <c r="S508" s="5530"/>
      <c r="T508" s="6543"/>
      <c r="U508" s="5477"/>
      <c r="V508" s="5477"/>
      <c r="W508" s="5487"/>
      <c r="X508" s="5530"/>
      <c r="Y508" s="6543"/>
      <c r="Z508" s="5477"/>
      <c r="AA508" s="5477"/>
      <c r="AB508" s="5487"/>
      <c r="AC508" s="5530"/>
      <c r="AD508" s="6543"/>
      <c r="AE508" s="5477"/>
      <c r="AF508" s="5477"/>
      <c r="AG508" s="5487"/>
      <c r="AH508" s="5447"/>
      <c r="AI508" s="6192"/>
    </row>
    <row r="509" ht="18.75" customHeight="1">
      <c r="A509" s="6185"/>
      <c r="B509" s="5442"/>
      <c r="C509" s="5448" t="s">
        <v>1673</v>
      </c>
      <c r="D509" s="5449"/>
      <c r="E509" s="5450" t="s">
        <v>1674</v>
      </c>
      <c r="F509" s="5451"/>
      <c r="G509" s="5451"/>
      <c r="H509" s="5452"/>
      <c r="J509" s="5450" t="s">
        <v>1675</v>
      </c>
      <c r="K509" s="5451"/>
      <c r="L509" s="5451"/>
      <c r="M509" s="5452"/>
      <c r="O509" s="5450" t="s">
        <v>1320</v>
      </c>
      <c r="P509" s="5451"/>
      <c r="Q509" s="5451"/>
      <c r="R509" s="5452"/>
      <c r="T509" s="6543"/>
      <c r="U509" s="5477"/>
      <c r="V509" s="5477"/>
      <c r="W509" s="5487"/>
      <c r="Y509" s="6543"/>
      <c r="Z509" s="5477"/>
      <c r="AA509" s="5477"/>
      <c r="AB509" s="5487"/>
      <c r="AD509" s="6543"/>
      <c r="AE509" s="5477"/>
      <c r="AF509" s="5477"/>
      <c r="AG509" s="5487"/>
      <c r="AH509" s="5447"/>
      <c r="AI509" s="6192"/>
    </row>
    <row r="510">
      <c r="A510" s="6185"/>
      <c r="B510" s="5442"/>
      <c r="C510" s="1481"/>
      <c r="D510" s="5449"/>
      <c r="E510" s="5454" t="s">
        <v>1502</v>
      </c>
      <c r="F510" s="5455"/>
      <c r="G510" s="5455"/>
      <c r="H510" s="5456"/>
      <c r="J510" s="5454" t="s">
        <v>1502</v>
      </c>
      <c r="K510" s="5455"/>
      <c r="L510" s="5455"/>
      <c r="M510" s="5456"/>
      <c r="O510" s="5454" t="s">
        <v>1502</v>
      </c>
      <c r="P510" s="5455"/>
      <c r="Q510" s="5455"/>
      <c r="R510" s="5456"/>
      <c r="T510" s="6543"/>
      <c r="U510" s="5477"/>
      <c r="V510" s="5477"/>
      <c r="W510" s="5487"/>
      <c r="Y510" s="6543"/>
      <c r="Z510" s="5477"/>
      <c r="AA510" s="5477"/>
      <c r="AB510" s="5487"/>
      <c r="AD510" s="6543"/>
      <c r="AE510" s="5477"/>
      <c r="AF510" s="5477"/>
      <c r="AG510" s="5487"/>
      <c r="AH510" s="5447"/>
      <c r="AI510" s="6192"/>
    </row>
    <row r="511" ht="25.5" customHeight="1">
      <c r="A511" s="6185"/>
      <c r="B511" s="5442"/>
      <c r="C511" s="1489"/>
      <c r="D511" s="5457"/>
      <c r="E511" s="5458"/>
      <c r="F511" s="5459" t="str">
        <f t="array" ref="F511">IFERROR(VLOOKUP(E509,Dex!$B$3:$H1218,5,FALSE),"")</f>
        <v/>
      </c>
      <c r="G511" s="5460" t="str">
        <f t="array" ref="G511">IFERROR(VLOOKUP(E509,Dex!$B$3:$H1218,7,FALSE),"")</f>
        <v/>
      </c>
      <c r="H511" s="5461"/>
      <c r="J511" s="5458"/>
      <c r="K511" s="5459" t="str">
        <f t="array" ref="K511">IFERROR(VLOOKUP(J509,Dex!$B$3:$H1218,5,FALSE),"")</f>
        <v/>
      </c>
      <c r="L511" s="5460" t="str">
        <f t="array" ref="L511">IFERROR(VLOOKUP(J509,Dex!$B$3:$H1218,7,FALSE),"")</f>
        <v/>
      </c>
      <c r="M511" s="5461"/>
      <c r="O511" s="5458"/>
      <c r="P511" s="5459" t="str">
        <f t="array" ref="P511">IFERROR(VLOOKUP(O509,Dex!$B$3:$H1218,5,FALSE),"")</f>
        <v/>
      </c>
      <c r="Q511" s="5460" t="str">
        <f t="array" ref="Q511">IFERROR(VLOOKUP(O509,Dex!$B$3:$H1218,7,FALSE),"")</f>
        <v/>
      </c>
      <c r="R511" s="5461"/>
      <c r="T511" s="6543"/>
      <c r="U511" s="5477"/>
      <c r="V511" s="5477"/>
      <c r="W511" s="5487"/>
      <c r="Y511" s="6543"/>
      <c r="Z511" s="5477"/>
      <c r="AA511" s="5477"/>
      <c r="AB511" s="5487"/>
      <c r="AD511" s="6543"/>
      <c r="AE511" s="5477"/>
      <c r="AF511" s="5477"/>
      <c r="AG511" s="5487"/>
      <c r="AH511" s="5464"/>
      <c r="AI511" s="6192"/>
    </row>
    <row r="512" ht="2.25" customHeight="1">
      <c r="A512" s="6185"/>
      <c r="B512" s="5438"/>
      <c r="C512" s="5465"/>
      <c r="D512" s="5466"/>
      <c r="E512" s="5467"/>
      <c r="F512" s="5468"/>
      <c r="G512" s="5468"/>
      <c r="H512" s="5469"/>
      <c r="J512" s="5467"/>
      <c r="K512" s="5468"/>
      <c r="L512" s="5468"/>
      <c r="M512" s="5469"/>
      <c r="O512" s="5467"/>
      <c r="P512" s="5468"/>
      <c r="Q512" s="5468"/>
      <c r="R512" s="5469"/>
      <c r="T512" s="6543"/>
      <c r="U512" s="5477"/>
      <c r="V512" s="5477"/>
      <c r="W512" s="5487"/>
      <c r="Y512" s="6543"/>
      <c r="Z512" s="5477"/>
      <c r="AA512" s="5477"/>
      <c r="AB512" s="5487"/>
      <c r="AD512" s="6543"/>
      <c r="AE512" s="5477"/>
      <c r="AF512" s="5477"/>
      <c r="AG512" s="5487"/>
      <c r="AH512" s="5464"/>
      <c r="AI512" s="6192"/>
    </row>
    <row r="513" ht="20.25" customHeight="1">
      <c r="A513" s="6185"/>
      <c r="B513" s="5438"/>
      <c r="C513" s="5470"/>
      <c r="D513" s="5471"/>
      <c r="E513" s="5472" t="s">
        <v>172</v>
      </c>
      <c r="F513" s="5473"/>
      <c r="G513" s="5473"/>
      <c r="H513" s="5474"/>
      <c r="J513" s="5472" t="s">
        <v>172</v>
      </c>
      <c r="K513" s="5473"/>
      <c r="L513" s="5473"/>
      <c r="M513" s="5474"/>
      <c r="O513" s="5472" t="s">
        <v>172</v>
      </c>
      <c r="P513" s="5473"/>
      <c r="Q513" s="5473"/>
      <c r="R513" s="5474"/>
      <c r="T513" s="6543"/>
      <c r="U513" s="5477"/>
      <c r="V513" s="5477"/>
      <c r="W513" s="5487"/>
      <c r="Y513" s="6543"/>
      <c r="Z513" s="5477"/>
      <c r="AA513" s="5477"/>
      <c r="AB513" s="5487"/>
      <c r="AD513" s="6543"/>
      <c r="AE513" s="5477"/>
      <c r="AF513" s="5477"/>
      <c r="AG513" s="5487"/>
      <c r="AH513" s="5447"/>
      <c r="AI513" s="6192"/>
    </row>
    <row r="514" ht="20.25" customHeight="1">
      <c r="A514" s="6185"/>
      <c r="B514" s="5438"/>
      <c r="C514" s="5475"/>
      <c r="D514" s="5471"/>
      <c r="E514" s="5476" t="s">
        <v>597</v>
      </c>
      <c r="F514" s="5477"/>
      <c r="G514" s="5477"/>
      <c r="H514" s="5478"/>
      <c r="J514" s="6595" t="s">
        <v>1676</v>
      </c>
      <c r="K514" s="5477"/>
      <c r="L514" s="5477"/>
      <c r="M514" s="5478"/>
      <c r="O514" s="5476" t="s">
        <v>424</v>
      </c>
      <c r="P514" s="5477"/>
      <c r="Q514" s="5477"/>
      <c r="R514" s="5478"/>
      <c r="T514" s="6543"/>
      <c r="U514" s="5477"/>
      <c r="V514" s="5477"/>
      <c r="W514" s="5487"/>
      <c r="Y514" s="6543"/>
      <c r="Z514" s="5477"/>
      <c r="AA514" s="5477"/>
      <c r="AB514" s="5487"/>
      <c r="AD514" s="6543"/>
      <c r="AE514" s="5477"/>
      <c r="AF514" s="5477"/>
      <c r="AG514" s="5487"/>
      <c r="AH514" s="5447"/>
      <c r="AI514" s="6192"/>
    </row>
    <row r="515" ht="20.25" customHeight="1">
      <c r="A515" s="6185"/>
      <c r="B515" s="5438"/>
      <c r="C515" s="5479"/>
      <c r="D515" s="5471"/>
      <c r="E515" s="5480" t="s">
        <v>335</v>
      </c>
      <c r="F515" s="5481"/>
      <c r="G515" s="5482"/>
      <c r="H515" s="5483" t="str">
        <f>IMAGE("https://raw.githubusercontent.com/msikma/pokesprite/master/items/hold-item/choice-scarf.png",3)</f>
        <v/>
      </c>
      <c r="J515" s="5480" t="s">
        <v>1677</v>
      </c>
      <c r="K515" s="5481"/>
      <c r="L515" s="5482"/>
      <c r="M515" s="5483" t="str">
        <f>IMAGE("https://raw.githubusercontent.com/msikma/pokesprite/master/items/mega-stone/medichamite.png",3)</f>
        <v/>
      </c>
      <c r="O515" s="5480" t="s">
        <v>240</v>
      </c>
      <c r="P515" s="5481"/>
      <c r="Q515" s="5482"/>
      <c r="R515" s="5483" t="str">
        <f>IMAGE("https://raw.githubusercontent.com/msikma/pokesprite/master/items/hold-item/focus-sash.png",3)</f>
        <v/>
      </c>
      <c r="T515" s="6543"/>
      <c r="U515" s="5477"/>
      <c r="V515" s="5477"/>
      <c r="W515" s="5487"/>
      <c r="Y515" s="6543"/>
      <c r="Z515" s="5477"/>
      <c r="AA515" s="5477"/>
      <c r="AB515" s="5487"/>
      <c r="AD515" s="6543"/>
      <c r="AE515" s="5477"/>
      <c r="AF515" s="5477"/>
      <c r="AG515" s="5487"/>
      <c r="AH515" s="5464"/>
      <c r="AI515" s="6192"/>
    </row>
    <row r="516" ht="20.25" customHeight="1">
      <c r="A516" s="6185"/>
      <c r="B516" s="5438"/>
      <c r="C516" s="5484"/>
      <c r="D516" s="5471"/>
      <c r="E516" s="5472" t="s">
        <v>1248</v>
      </c>
      <c r="F516" s="5473"/>
      <c r="G516" s="5485"/>
      <c r="H516" s="5486" t="str">
        <f>IMAGE("https://raw.githubusercontent.com/msikma/pokesprite/master/misc/types/gen8/bug.png",4,20,20)</f>
        <v/>
      </c>
      <c r="J516" s="5472" t="s">
        <v>316</v>
      </c>
      <c r="K516" s="5473"/>
      <c r="L516" s="5485"/>
      <c r="M516" s="5486" t="str">
        <f>IMAGE("https://raw.githubusercontent.com/msikma/pokesprite/master/misc/types/gen8/fighting.png",4,20,20)</f>
        <v/>
      </c>
      <c r="O516" s="5472" t="s">
        <v>396</v>
      </c>
      <c r="P516" s="5473"/>
      <c r="Q516" s="5485"/>
      <c r="R516" s="5486" t="str">
        <f>IMAGE("https://raw.githubusercontent.com/msikma/pokesprite/master/misc/types/gen8/dragon.png",4,20,20)</f>
        <v/>
      </c>
      <c r="T516" s="6543"/>
      <c r="U516" s="5477"/>
      <c r="V516" s="5477"/>
      <c r="W516" s="5487"/>
      <c r="Y516" s="6543"/>
      <c r="Z516" s="5477"/>
      <c r="AA516" s="5477"/>
      <c r="AB516" s="5487"/>
      <c r="AD516" s="6543"/>
      <c r="AE516" s="5477"/>
      <c r="AF516" s="5477"/>
      <c r="AG516" s="5487"/>
      <c r="AH516" s="5447"/>
      <c r="AI516" s="6192"/>
    </row>
    <row r="517" ht="20.25" customHeight="1">
      <c r="A517" s="6185"/>
      <c r="B517" s="5438"/>
      <c r="C517" s="5470"/>
      <c r="D517" s="5471"/>
      <c r="E517" s="5476" t="s">
        <v>316</v>
      </c>
      <c r="F517" s="5477"/>
      <c r="G517" s="5487"/>
      <c r="H517" s="5488" t="str">
        <f>IMAGE("https://raw.githubusercontent.com/msikma/pokesprite/master/misc/types/gen8/fighting.png",4,20,20)</f>
        <v/>
      </c>
      <c r="J517" s="5476" t="s">
        <v>562</v>
      </c>
      <c r="K517" s="5477"/>
      <c r="L517" s="5487"/>
      <c r="M517" s="5488" t="str">
        <f>IMAGE("https://raw.githubusercontent.com/msikma/pokesprite/master/misc/types/gen8/psychic.png",4,20,20)</f>
        <v/>
      </c>
      <c r="O517" s="5476" t="s">
        <v>431</v>
      </c>
      <c r="P517" s="5477"/>
      <c r="Q517" s="5487"/>
      <c r="R517" s="5488" t="str">
        <f>IMAGE("https://raw.githubusercontent.com/msikma/pokesprite/master/misc/types/gen8/rock.png",4,20,20)</f>
        <v/>
      </c>
      <c r="T517" s="6543"/>
      <c r="U517" s="5477"/>
      <c r="V517" s="5477"/>
      <c r="W517" s="5487"/>
      <c r="Y517" s="6543"/>
      <c r="Z517" s="5477"/>
      <c r="AA517" s="5477"/>
      <c r="AB517" s="5487"/>
      <c r="AD517" s="6543"/>
      <c r="AE517" s="5477"/>
      <c r="AF517" s="5477"/>
      <c r="AG517" s="5487"/>
      <c r="AH517" s="5447"/>
      <c r="AI517" s="6192"/>
    </row>
    <row r="518" ht="20.25" customHeight="1">
      <c r="A518" s="6185"/>
      <c r="B518" s="5438"/>
      <c r="C518" s="5470"/>
      <c r="D518" s="5471"/>
      <c r="E518" s="5476" t="s">
        <v>402</v>
      </c>
      <c r="F518" s="5477"/>
      <c r="G518" s="5487"/>
      <c r="H518" s="5488" t="str">
        <f>IMAGE("https://raw.githubusercontent.com/msikma/pokesprite/master/misc/types/gen8/ground.png",4,20,20)</f>
        <v/>
      </c>
      <c r="J518" s="5476" t="s">
        <v>476</v>
      </c>
      <c r="K518" s="5477"/>
      <c r="L518" s="5487"/>
      <c r="M518" s="5488" t="str">
        <f>IMAGE("https://raw.githubusercontent.com/msikma/pokesprite/master/misc/types/gen8/normal.png",4,20,20)</f>
        <v/>
      </c>
      <c r="O518" s="5476" t="s">
        <v>409</v>
      </c>
      <c r="P518" s="5477"/>
      <c r="Q518" s="5487"/>
      <c r="R518" s="5488" t="str">
        <f>IMAGE("https://raw.githubusercontent.com/msikma/pokesprite/master/misc/types/gen8/dragon.png",4,20,20)</f>
        <v/>
      </c>
      <c r="T518" s="6543"/>
      <c r="U518" s="5477"/>
      <c r="V518" s="5477"/>
      <c r="W518" s="5487"/>
      <c r="Y518" s="6543"/>
      <c r="Z518" s="5477"/>
      <c r="AA518" s="5477"/>
      <c r="AB518" s="5487"/>
      <c r="AD518" s="6543"/>
      <c r="AE518" s="5477"/>
      <c r="AF518" s="5477"/>
      <c r="AG518" s="5487"/>
      <c r="AH518" s="5447"/>
      <c r="AI518" s="6192"/>
    </row>
    <row r="519" ht="21.0" customHeight="1">
      <c r="A519" s="6185"/>
      <c r="B519" s="5438"/>
      <c r="C519" s="5470"/>
      <c r="D519" s="5471"/>
      <c r="E519" s="5489" t="s">
        <v>399</v>
      </c>
      <c r="F519" s="5490"/>
      <c r="G519" s="5491"/>
      <c r="H519" s="5492" t="str">
        <f>IMAGE("https://raw.githubusercontent.com/msikma/pokesprite/master/misc/types/gen8/rock.png",4,20,20)</f>
        <v/>
      </c>
      <c r="I519" s="5532"/>
      <c r="J519" s="5489" t="s">
        <v>215</v>
      </c>
      <c r="K519" s="5490"/>
      <c r="L519" s="5491"/>
      <c r="M519" s="5492" t="str">
        <f>IMAGE("https://raw.githubusercontent.com/msikma/pokesprite/master/misc/types/gen8/ice.png",4,20,20)</f>
        <v/>
      </c>
      <c r="N519" s="5532"/>
      <c r="O519" s="5489" t="s">
        <v>316</v>
      </c>
      <c r="P519" s="5490"/>
      <c r="Q519" s="5491"/>
      <c r="R519" s="5492" t="str">
        <f>IMAGE("https://raw.githubusercontent.com/msikma/pokesprite/master/misc/types/gen8/fighting.png",4,20,20)</f>
        <v/>
      </c>
      <c r="S519" s="5532"/>
      <c r="T519" s="6543"/>
      <c r="U519" s="5477"/>
      <c r="V519" s="5477"/>
      <c r="W519" s="5487"/>
      <c r="X519" s="5532"/>
      <c r="Y519" s="6543"/>
      <c r="Z519" s="5477"/>
      <c r="AA519" s="5477"/>
      <c r="AB519" s="5487"/>
      <c r="AC519" s="5532"/>
      <c r="AD519" s="6543"/>
      <c r="AE519" s="5477"/>
      <c r="AF519" s="5477"/>
      <c r="AG519" s="5487"/>
      <c r="AH519" s="5447"/>
      <c r="AI519" s="6192"/>
    </row>
    <row r="520" ht="3.0" customHeight="1">
      <c r="A520" s="6185"/>
      <c r="B520" s="5494"/>
      <c r="C520" s="5495"/>
      <c r="D520" s="5496"/>
      <c r="E520" s="5533"/>
      <c r="F520" s="5533"/>
      <c r="G520" s="5533"/>
      <c r="H520" s="5497"/>
      <c r="I520" s="5496"/>
      <c r="J520" s="5533"/>
      <c r="K520" s="5533"/>
      <c r="L520" s="5533"/>
      <c r="M520" s="5497"/>
      <c r="N520" s="5496"/>
      <c r="O520" s="5533"/>
      <c r="P520" s="5533"/>
      <c r="Q520" s="5533"/>
      <c r="R520" s="5497"/>
      <c r="S520" s="5496"/>
      <c r="T520" s="6543"/>
      <c r="U520" s="5477"/>
      <c r="V520" s="5477"/>
      <c r="W520" s="5487"/>
      <c r="X520" s="5496"/>
      <c r="Y520" s="6543"/>
      <c r="Z520" s="5477"/>
      <c r="AA520" s="5477"/>
      <c r="AB520" s="5487"/>
      <c r="AC520" s="5496"/>
      <c r="AD520" s="6543"/>
      <c r="AE520" s="5477"/>
      <c r="AF520" s="5477"/>
      <c r="AG520" s="5487"/>
      <c r="AH520" s="5499"/>
      <c r="AI520" s="6192"/>
    </row>
    <row r="521" ht="16.5" customHeight="1">
      <c r="A521" s="6185"/>
      <c r="B521" s="5500"/>
      <c r="C521" s="5495"/>
      <c r="D521" s="5534"/>
      <c r="E521" s="5502" t="s">
        <v>190</v>
      </c>
      <c r="F521" s="381"/>
      <c r="G521" s="382"/>
      <c r="H521" s="5503" t="s">
        <v>191</v>
      </c>
      <c r="I521" s="5504"/>
      <c r="J521" s="5502" t="s">
        <v>190</v>
      </c>
      <c r="K521" s="381"/>
      <c r="L521" s="382"/>
      <c r="M521" s="5503" t="s">
        <v>191</v>
      </c>
      <c r="N521" s="5504"/>
      <c r="O521" s="5502" t="s">
        <v>190</v>
      </c>
      <c r="P521" s="381"/>
      <c r="Q521" s="382"/>
      <c r="R521" s="5503" t="s">
        <v>191</v>
      </c>
      <c r="S521" s="5504"/>
      <c r="T521" s="6543"/>
      <c r="U521" s="5477"/>
      <c r="V521" s="5477"/>
      <c r="W521" s="5487"/>
      <c r="X521" s="5504"/>
      <c r="Y521" s="6543"/>
      <c r="Z521" s="5477"/>
      <c r="AA521" s="5477"/>
      <c r="AB521" s="5487"/>
      <c r="AC521" s="5504"/>
      <c r="AD521" s="6543"/>
      <c r="AE521" s="5477"/>
      <c r="AF521" s="5477"/>
      <c r="AG521" s="5487"/>
      <c r="AH521" s="5505"/>
      <c r="AI521" s="6192"/>
    </row>
    <row r="522" ht="16.5" customHeight="1">
      <c r="A522" s="6185"/>
      <c r="B522" s="5500"/>
      <c r="C522" s="5495"/>
      <c r="D522" s="5501"/>
      <c r="E522" s="5506" t="s">
        <v>192</v>
      </c>
      <c r="F522" s="5507">
        <f t="array" ref="F522">IFERROR(VLOOKUP(E509,Dex!$B$3:$N1218,8,FALSE),"")</f>
        <v>80</v>
      </c>
      <c r="G522" s="5508" t="str">
        <f t="array" ref="G522">IFERROR(VLOOKUP(F522,Dex!$P$22:$Q$276,2,FALSE),"")</f>
        <v/>
      </c>
      <c r="H522" s="5509"/>
      <c r="I522" s="5510"/>
      <c r="J522" s="5506" t="s">
        <v>192</v>
      </c>
      <c r="K522" s="5507">
        <f t="array" ref="K522">IFERROR(VLOOKUP(J509,Dex!$B$3:$N1218,8,FALSE),"")</f>
        <v>60</v>
      </c>
      <c r="L522" s="5508" t="str">
        <f t="array" ref="L522">IFERROR(VLOOKUP(K522,Dex!$P$22:$Q$276,2,FALSE),"")</f>
        <v/>
      </c>
      <c r="M522" s="5509"/>
      <c r="N522" s="5510"/>
      <c r="O522" s="5506" t="s">
        <v>192</v>
      </c>
      <c r="P522" s="5507">
        <f t="array" ref="P522">IFERROR(VLOOKUP(O509,Dex!$B$3:$N1218,8,FALSE),"")</f>
        <v>82</v>
      </c>
      <c r="Q522" s="5508" t="str">
        <f t="array" ref="Q522">IFERROR(VLOOKUP(P522,Dex!$P$22:$Q$276,2,FALSE),"")</f>
        <v/>
      </c>
      <c r="R522" s="5509"/>
      <c r="S522" s="5510"/>
      <c r="T522" s="6543"/>
      <c r="U522" s="5477"/>
      <c r="V522" s="5477"/>
      <c r="W522" s="5487"/>
      <c r="X522" s="5510"/>
      <c r="Y522" s="6543"/>
      <c r="Z522" s="5477"/>
      <c r="AA522" s="5477"/>
      <c r="AB522" s="5487"/>
      <c r="AC522" s="5510"/>
      <c r="AD522" s="6543"/>
      <c r="AE522" s="5477"/>
      <c r="AF522" s="5477"/>
      <c r="AG522" s="5487"/>
      <c r="AH522" s="5505"/>
      <c r="AI522" s="6192"/>
    </row>
    <row r="523" ht="16.5" customHeight="1">
      <c r="A523" s="6185"/>
      <c r="B523" s="5500"/>
      <c r="C523" s="5495"/>
      <c r="D523" s="5501"/>
      <c r="E523" s="5511" t="s">
        <v>193</v>
      </c>
      <c r="F523" s="5512">
        <f t="array" ref="F523">IFERROR(VLOOKUP(E509,Dex!$B$3:$N1218,9,FALSE),"")</f>
        <v>125</v>
      </c>
      <c r="G523" s="5513" t="str">
        <f t="array" ref="G523">IFERROR(VLOOKUP(F523,Dex!$P$22:$Q$276,2,FALSE),"")</f>
        <v/>
      </c>
      <c r="H523" s="5514">
        <v>252.0</v>
      </c>
      <c r="I523" s="5510"/>
      <c r="J523" s="5511" t="s">
        <v>193</v>
      </c>
      <c r="K523" s="5512">
        <f t="array" ref="K523">IFERROR(VLOOKUP(J509,Dex!$B$3:$N1218,9,FALSE),"")</f>
        <v>100</v>
      </c>
      <c r="L523" s="5513" t="str">
        <f t="array" ref="L523">IFERROR(VLOOKUP(K523,Dex!$P$22:$Q$276,2,FALSE),"")</f>
        <v/>
      </c>
      <c r="M523" s="5514">
        <v>252.0</v>
      </c>
      <c r="N523" s="5510"/>
      <c r="O523" s="5511" t="s">
        <v>193</v>
      </c>
      <c r="P523" s="5512">
        <f t="array" ref="P523">IFERROR(VLOOKUP(O509,Dex!$B$3:$N1218,9,FALSE),"")</f>
        <v>121</v>
      </c>
      <c r="Q523" s="5513" t="str">
        <f t="array" ref="Q523">IFERROR(VLOOKUP(P523,Dex!$P$22:$Q$276,2,FALSE),"")</f>
        <v/>
      </c>
      <c r="R523" s="5514">
        <v>252.0</v>
      </c>
      <c r="S523" s="5510"/>
      <c r="T523" s="6543"/>
      <c r="U523" s="5477"/>
      <c r="V523" s="5477"/>
      <c r="W523" s="5487"/>
      <c r="X523" s="5510"/>
      <c r="Y523" s="6543"/>
      <c r="Z523" s="5477"/>
      <c r="AA523" s="5477"/>
      <c r="AB523" s="5487"/>
      <c r="AC523" s="5510"/>
      <c r="AD523" s="6543"/>
      <c r="AE523" s="5477"/>
      <c r="AF523" s="5477"/>
      <c r="AG523" s="5487"/>
      <c r="AH523" s="5505"/>
      <c r="AI523" s="6192"/>
    </row>
    <row r="524" ht="16.5" customHeight="1">
      <c r="A524" s="6185"/>
      <c r="B524" s="5500"/>
      <c r="C524" s="5495"/>
      <c r="D524" s="5501"/>
      <c r="E524" s="5511" t="s">
        <v>194</v>
      </c>
      <c r="F524" s="5512">
        <f t="array" ref="F524">IFERROR(VLOOKUP(E509,Dex!$B$3:$N1218,10,FALSE),"")</f>
        <v>75</v>
      </c>
      <c r="G524" s="5513" t="str">
        <f t="array" ref="G524">IFERROR(VLOOKUP(F524,Dex!$P$22:$Q$276,2,FALSE),"")</f>
        <v/>
      </c>
      <c r="H524" s="5514">
        <v>4.0</v>
      </c>
      <c r="I524" s="5510"/>
      <c r="J524" s="5511" t="s">
        <v>194</v>
      </c>
      <c r="K524" s="5512">
        <f t="array" ref="K524">IFERROR(VLOOKUP(J509,Dex!$B$3:$N1218,10,FALSE),"")</f>
        <v>85</v>
      </c>
      <c r="L524" s="5513" t="str">
        <f t="array" ref="L524">IFERROR(VLOOKUP(K524,Dex!$P$22:$Q$276,2,FALSE),"")</f>
        <v/>
      </c>
      <c r="M524" s="5514"/>
      <c r="N524" s="5510"/>
      <c r="O524" s="5511" t="s">
        <v>194</v>
      </c>
      <c r="P524" s="5512">
        <f t="array" ref="P524">IFERROR(VLOOKUP(O509,Dex!$B$3:$N1218,10,FALSE),"")</f>
        <v>119</v>
      </c>
      <c r="Q524" s="5513" t="str">
        <f t="array" ref="Q524">IFERROR(VLOOKUP(P524,Dex!$P$22:$Q$276,2,FALSE),"")</f>
        <v/>
      </c>
      <c r="R524" s="5514"/>
      <c r="S524" s="5510"/>
      <c r="T524" s="6543"/>
      <c r="U524" s="5477"/>
      <c r="V524" s="5477"/>
      <c r="W524" s="5487"/>
      <c r="X524" s="5510"/>
      <c r="Y524" s="6543"/>
      <c r="Z524" s="5477"/>
      <c r="AA524" s="5477"/>
      <c r="AB524" s="5487"/>
      <c r="AC524" s="5510"/>
      <c r="AD524" s="6543"/>
      <c r="AE524" s="5477"/>
      <c r="AF524" s="5477"/>
      <c r="AG524" s="5487"/>
      <c r="AH524" s="5505"/>
      <c r="AI524" s="6192"/>
    </row>
    <row r="525" ht="16.5" customHeight="1">
      <c r="A525" s="6185"/>
      <c r="B525" s="5500"/>
      <c r="C525" s="5495"/>
      <c r="D525" s="5501"/>
      <c r="E525" s="5511" t="s">
        <v>195</v>
      </c>
      <c r="F525" s="5512">
        <f t="array" ref="F525">IFERROR(VLOOKUP(E509,Dex!$B$3:$N1218,11,FALSE),"")</f>
        <v>40</v>
      </c>
      <c r="G525" s="5513" t="str">
        <f t="array" ref="G525">IFERROR(VLOOKUP(F525,Dex!$P$22:$Q$276,2,FALSE),"")</f>
        <v/>
      </c>
      <c r="H525" s="5514"/>
      <c r="I525" s="5510"/>
      <c r="J525" s="5511" t="s">
        <v>195</v>
      </c>
      <c r="K525" s="5512">
        <f t="array" ref="K525">IFERROR(VLOOKUP(J509,Dex!$B$3:$N1218,11,FALSE),"")</f>
        <v>80</v>
      </c>
      <c r="L525" s="5513" t="str">
        <f t="array" ref="L525">IFERROR(VLOOKUP(K525,Dex!$P$22:$Q$276,2,FALSE),"")</f>
        <v/>
      </c>
      <c r="M525" s="5514"/>
      <c r="N525" s="5510"/>
      <c r="O525" s="5511" t="s">
        <v>195</v>
      </c>
      <c r="P525" s="5512">
        <f t="array" ref="P525">IFERROR(VLOOKUP(O509,Dex!$B$3:$N1218,11,FALSE),"")</f>
        <v>69</v>
      </c>
      <c r="Q525" s="5513" t="str">
        <f t="array" ref="Q525">IFERROR(VLOOKUP(P525,Dex!$P$22:$Q$276,2,FALSE),"")</f>
        <v/>
      </c>
      <c r="R525" s="5514"/>
      <c r="S525" s="5510"/>
      <c r="T525" s="6543"/>
      <c r="U525" s="5477"/>
      <c r="V525" s="5477"/>
      <c r="W525" s="5487"/>
      <c r="X525" s="5510"/>
      <c r="Y525" s="6543"/>
      <c r="Z525" s="5477"/>
      <c r="AA525" s="5477"/>
      <c r="AB525" s="5487"/>
      <c r="AC525" s="5510"/>
      <c r="AD525" s="6543"/>
      <c r="AE525" s="5477"/>
      <c r="AF525" s="5477"/>
      <c r="AG525" s="5487"/>
      <c r="AH525" s="5505"/>
      <c r="AI525" s="6192"/>
    </row>
    <row r="526" ht="16.5" customHeight="1">
      <c r="A526" s="6185"/>
      <c r="B526" s="5500"/>
      <c r="C526" s="5515"/>
      <c r="D526" s="5501"/>
      <c r="E526" s="5511" t="s">
        <v>196</v>
      </c>
      <c r="F526" s="5512">
        <f t="array" ref="F526">IFERROR(VLOOKUP(E509,Dex!$B$3:$N1218,12,FALSE),"")</f>
        <v>95</v>
      </c>
      <c r="G526" s="5513" t="str">
        <f t="array" ref="G526">IFERROR(VLOOKUP(F526,Dex!$P$22:$Q$276,2,FALSE),"")</f>
        <v/>
      </c>
      <c r="H526" s="5514"/>
      <c r="I526" s="5510"/>
      <c r="J526" s="5511" t="s">
        <v>196</v>
      </c>
      <c r="K526" s="5512">
        <f t="array" ref="K526">IFERROR(VLOOKUP(J509,Dex!$B$3:$N1218,12,FALSE),"")</f>
        <v>85</v>
      </c>
      <c r="L526" s="5513" t="str">
        <f t="array" ref="L526">IFERROR(VLOOKUP(K526,Dex!$P$22:$Q$276,2,FALSE),"")</f>
        <v/>
      </c>
      <c r="M526" s="5514"/>
      <c r="N526" s="5510"/>
      <c r="O526" s="5511" t="s">
        <v>196</v>
      </c>
      <c r="P526" s="5512">
        <f t="array" ref="P526">IFERROR(VLOOKUP(O509,Dex!$B$3:$N1218,12,FALSE),"")</f>
        <v>59</v>
      </c>
      <c r="Q526" s="5513" t="str">
        <f t="array" ref="Q526">IFERROR(VLOOKUP(P526,Dex!$P$22:$Q$276,2,FALSE),"")</f>
        <v/>
      </c>
      <c r="R526" s="5514"/>
      <c r="S526" s="5510"/>
      <c r="T526" s="6543"/>
      <c r="U526" s="5477"/>
      <c r="V526" s="5477"/>
      <c r="W526" s="5487"/>
      <c r="X526" s="5510"/>
      <c r="Y526" s="6543"/>
      <c r="Z526" s="5477"/>
      <c r="AA526" s="5477"/>
      <c r="AB526" s="5487"/>
      <c r="AC526" s="5510"/>
      <c r="AD526" s="6543"/>
      <c r="AE526" s="5477"/>
      <c r="AF526" s="5477"/>
      <c r="AG526" s="5487"/>
      <c r="AH526" s="5505"/>
      <c r="AI526" s="6192"/>
    </row>
    <row r="527" ht="16.5" customHeight="1">
      <c r="A527" s="6185"/>
      <c r="B527" s="5500"/>
      <c r="C527" s="5495"/>
      <c r="D527" s="5516"/>
      <c r="E527" s="5517" t="s">
        <v>197</v>
      </c>
      <c r="F527" s="5518">
        <f t="array" ref="F527">IFERROR(VLOOKUP(E509,Dex!$B$3:$N1218,13,FALSE),"")</f>
        <v>85</v>
      </c>
      <c r="G527" s="5519" t="str">
        <f t="array" ref="G527">IFERROR(VLOOKUP(F527,Dex!$P$22:$Q$276,2,FALSE),"")</f>
        <v/>
      </c>
      <c r="H527" s="5520">
        <v>252.0</v>
      </c>
      <c r="I527" s="5510"/>
      <c r="J527" s="5517" t="s">
        <v>197</v>
      </c>
      <c r="K527" s="5518">
        <f t="array" ref="K527">IFERROR(VLOOKUP(J509,Dex!$B$3:$N1218,13,FALSE),"")</f>
        <v>100</v>
      </c>
      <c r="L527" s="5519" t="str">
        <f t="array" ref="L527">IFERROR(VLOOKUP(K527,Dex!$P$22:$Q$276,2,FALSE),"")</f>
        <v/>
      </c>
      <c r="M527" s="5520">
        <v>252.0</v>
      </c>
      <c r="N527" s="5510"/>
      <c r="O527" s="5517" t="s">
        <v>197</v>
      </c>
      <c r="P527" s="5518">
        <f t="array" ref="P527">IFERROR(VLOOKUP(O509,Dex!$B$3:$N1218,13,FALSE),"")</f>
        <v>71</v>
      </c>
      <c r="Q527" s="5519" t="str">
        <f t="array" ref="Q527">IFERROR(VLOOKUP(P527,Dex!$P$22:$Q$276,2,FALSE),"")</f>
        <v/>
      </c>
      <c r="R527" s="5520">
        <v>252.0</v>
      </c>
      <c r="S527" s="5510"/>
      <c r="T527" s="6543"/>
      <c r="U527" s="5477"/>
      <c r="V527" s="5477"/>
      <c r="W527" s="5487"/>
      <c r="X527" s="5510"/>
      <c r="Y527" s="6543"/>
      <c r="Z527" s="5477"/>
      <c r="AA527" s="5477"/>
      <c r="AB527" s="5487"/>
      <c r="AC527" s="5510"/>
      <c r="AD527" s="6543"/>
      <c r="AE527" s="5477"/>
      <c r="AF527" s="5477"/>
      <c r="AG527" s="5487"/>
      <c r="AH527" s="5505"/>
      <c r="AI527" s="6192"/>
    </row>
    <row r="528" ht="16.5" customHeight="1">
      <c r="A528" s="6185"/>
      <c r="B528" s="5500"/>
      <c r="C528" s="5495"/>
      <c r="D528" s="5536"/>
      <c r="E528" s="5523" t="s">
        <v>198</v>
      </c>
      <c r="F528" s="918"/>
      <c r="G528" s="919"/>
      <c r="H528" s="5524">
        <v>295.0</v>
      </c>
      <c r="I528" s="5504"/>
      <c r="J528" s="5521" t="s">
        <v>198</v>
      </c>
      <c r="K528" s="405"/>
      <c r="L528" s="406"/>
      <c r="M528" s="5522">
        <v>328.0</v>
      </c>
      <c r="N528" s="5504"/>
      <c r="O528" s="5521" t="s">
        <v>198</v>
      </c>
      <c r="P528" s="405"/>
      <c r="Q528" s="406"/>
      <c r="R528" s="5522">
        <v>265.0</v>
      </c>
      <c r="S528" s="5504"/>
      <c r="T528" s="6543"/>
      <c r="U528" s="5477"/>
      <c r="V528" s="5477"/>
      <c r="W528" s="5487"/>
      <c r="X528" s="5504"/>
      <c r="Y528" s="6543"/>
      <c r="Z528" s="5477"/>
      <c r="AA528" s="5477"/>
      <c r="AB528" s="5487"/>
      <c r="AC528" s="5504"/>
      <c r="AD528" s="6543"/>
      <c r="AE528" s="5477"/>
      <c r="AF528" s="5477"/>
      <c r="AG528" s="5487"/>
      <c r="AH528" s="5505"/>
      <c r="AI528" s="6192"/>
    </row>
    <row r="529" ht="16.5" customHeight="1">
      <c r="A529" s="6185"/>
      <c r="B529" s="5500"/>
      <c r="C529" s="5495"/>
      <c r="D529" s="5538"/>
      <c r="E529" s="5526" t="s">
        <v>348</v>
      </c>
      <c r="F529" s="925"/>
      <c r="G529" s="926"/>
      <c r="H529" s="5527">
        <v>442.0</v>
      </c>
      <c r="I529" s="5495"/>
      <c r="J529" s="5525"/>
      <c r="K529" s="5525"/>
      <c r="L529" s="5525"/>
      <c r="M529" s="5495"/>
      <c r="N529" s="5538"/>
      <c r="O529" s="5525"/>
      <c r="P529" s="5525"/>
      <c r="Q529" s="5525"/>
      <c r="R529" s="5495"/>
      <c r="S529" s="5495"/>
      <c r="T529" s="5525"/>
      <c r="U529" s="5525"/>
      <c r="V529" s="5525"/>
      <c r="W529" s="5495"/>
      <c r="X529" s="5495"/>
      <c r="Y529" s="5525"/>
      <c r="Z529" s="5525"/>
      <c r="AA529" s="5525"/>
      <c r="AB529" s="5495"/>
      <c r="AC529" s="5495"/>
      <c r="AD529" s="5525"/>
      <c r="AE529" s="5525"/>
      <c r="AF529" s="5525"/>
      <c r="AG529" s="5495"/>
      <c r="AH529" s="5505"/>
      <c r="AI529" s="6192"/>
    </row>
    <row r="530" ht="11.25" customHeight="1">
      <c r="A530" s="6185"/>
      <c r="B530" s="6561"/>
      <c r="C530" s="5541"/>
      <c r="D530" s="5541"/>
      <c r="E530" s="5541"/>
      <c r="F530" s="5541"/>
      <c r="G530" s="5541"/>
      <c r="H530" s="5541"/>
      <c r="I530" s="5541"/>
      <c r="J530" s="5541"/>
      <c r="K530" s="5541"/>
      <c r="L530" s="5541"/>
      <c r="M530" s="5541"/>
      <c r="N530" s="5541"/>
      <c r="O530" s="6562"/>
      <c r="P530" s="6562"/>
      <c r="Q530" s="6562"/>
      <c r="R530" s="5541"/>
      <c r="S530" s="5541"/>
      <c r="T530" s="5543"/>
      <c r="U530" s="5543"/>
      <c r="V530" s="5543"/>
      <c r="W530" s="5541"/>
      <c r="X530" s="5541"/>
      <c r="Y530" s="5543"/>
      <c r="Z530" s="5543"/>
      <c r="AA530" s="5543"/>
      <c r="AB530" s="5541"/>
      <c r="AC530" s="5541"/>
      <c r="AD530" s="5541"/>
      <c r="AE530" s="5541"/>
      <c r="AF530" s="5541"/>
      <c r="AG530" s="5541"/>
      <c r="AH530" s="6563"/>
      <c r="AI530" s="6192"/>
    </row>
    <row r="531" ht="15.0" customHeight="1">
      <c r="A531" s="6185"/>
      <c r="B531" s="5433"/>
      <c r="C531" s="5434"/>
      <c r="D531" s="5434"/>
      <c r="E531" s="6538"/>
      <c r="F531" s="6538"/>
      <c r="G531" s="6538"/>
      <c r="H531" s="6538"/>
      <c r="I531" s="5434"/>
      <c r="J531" s="6538"/>
      <c r="K531" s="6538"/>
      <c r="L531" s="6538"/>
      <c r="M531" s="6538"/>
      <c r="N531" s="5434"/>
      <c r="O531" s="6539"/>
      <c r="P531" s="6539"/>
      <c r="Q531" s="6539"/>
      <c r="R531" s="6538"/>
      <c r="S531" s="5434"/>
      <c r="T531" s="6540"/>
      <c r="U531" s="6540"/>
      <c r="V531" s="6540"/>
      <c r="W531" s="6538"/>
      <c r="X531" s="5434"/>
      <c r="Y531" s="5436"/>
      <c r="Z531" s="5436"/>
      <c r="AA531" s="5436"/>
      <c r="AB531" s="5434"/>
      <c r="AC531" s="5434"/>
      <c r="AD531" s="6538"/>
      <c r="AE531" s="6538"/>
      <c r="AF531" s="6538"/>
      <c r="AG531" s="6538"/>
      <c r="AH531" s="5437"/>
      <c r="AI531" s="6192"/>
    </row>
    <row r="532" ht="96.75" customHeight="1">
      <c r="A532" s="6185"/>
      <c r="B532" s="5442"/>
      <c r="C532" s="6541" t="str">
        <f>IMAGE("https://i.ibb.co/3N39wW0/Crush-Girl.png")</f>
        <v/>
      </c>
      <c r="D532" s="5529"/>
      <c r="E532" s="6542" t="str">
        <f t="array" ref="E532">IFERROR(VLOOKUP(E533,Dex!$B$3:$G1218,3,FALSE),"")</f>
        <v/>
      </c>
      <c r="F532" s="1830"/>
      <c r="G532" s="1830"/>
      <c r="H532" s="1831"/>
      <c r="I532" s="5530"/>
      <c r="J532" s="6542" t="str">
        <f t="array" ref="J532">IFERROR(VLOOKUP(J533,Dex!$B$3:$G1218,3,FALSE),"")</f>
        <v/>
      </c>
      <c r="K532" s="1830"/>
      <c r="L532" s="1830"/>
      <c r="M532" s="1831"/>
      <c r="N532" s="5530"/>
      <c r="O532" s="6542" t="str">
        <f t="array" ref="O532">IFERROR(VLOOKUP(O533,Dex!$B$3:$G1218,3,FALSE),"")</f>
        <v/>
      </c>
      <c r="P532" s="1830"/>
      <c r="Q532" s="1830"/>
      <c r="R532" s="1831"/>
      <c r="S532" s="5530"/>
      <c r="T532" s="6542" t="str">
        <f t="array" ref="T532">IFERROR(VLOOKUP(T533,Dex!$B$3:$G1218,3,FALSE),"")</f>
        <v/>
      </c>
      <c r="U532" s="1830"/>
      <c r="V532" s="1830"/>
      <c r="W532" s="1831"/>
      <c r="X532" s="5530"/>
      <c r="Y532" s="6543"/>
      <c r="Z532" s="5477"/>
      <c r="AA532" s="5477"/>
      <c r="AB532" s="5487"/>
      <c r="AC532" s="5446"/>
      <c r="AD532" s="6543"/>
      <c r="AE532" s="5477"/>
      <c r="AF532" s="5477"/>
      <c r="AG532" s="5487"/>
      <c r="AH532" s="5447"/>
      <c r="AI532" s="6192"/>
    </row>
    <row r="533" ht="18.75" customHeight="1">
      <c r="A533" s="6185"/>
      <c r="B533" s="5442"/>
      <c r="C533" s="5448" t="s">
        <v>1678</v>
      </c>
      <c r="D533" s="5449"/>
      <c r="E533" s="5450" t="s">
        <v>1666</v>
      </c>
      <c r="F533" s="5451"/>
      <c r="G533" s="5451"/>
      <c r="H533" s="5452"/>
      <c r="J533" s="5450" t="s">
        <v>594</v>
      </c>
      <c r="K533" s="5451"/>
      <c r="L533" s="5451"/>
      <c r="M533" s="5452"/>
      <c r="O533" s="5450" t="s">
        <v>1254</v>
      </c>
      <c r="P533" s="5451"/>
      <c r="Q533" s="5451"/>
      <c r="R533" s="5452"/>
      <c r="T533" s="5450" t="s">
        <v>888</v>
      </c>
      <c r="U533" s="5451"/>
      <c r="V533" s="5451"/>
      <c r="W533" s="5452"/>
      <c r="Y533" s="6543"/>
      <c r="Z533" s="5477"/>
      <c r="AA533" s="5477"/>
      <c r="AB533" s="5487"/>
      <c r="AC533" s="5453"/>
      <c r="AD533" s="6543"/>
      <c r="AE533" s="5477"/>
      <c r="AF533" s="5477"/>
      <c r="AG533" s="5487"/>
      <c r="AH533" s="5447"/>
      <c r="AI533" s="6192"/>
    </row>
    <row r="534">
      <c r="A534" s="6185"/>
      <c r="B534" s="5442"/>
      <c r="C534" s="1481"/>
      <c r="D534" s="5449"/>
      <c r="E534" s="5454" t="s">
        <v>1502</v>
      </c>
      <c r="F534" s="5455"/>
      <c r="G534" s="5455"/>
      <c r="H534" s="5456"/>
      <c r="J534" s="5454" t="s">
        <v>1502</v>
      </c>
      <c r="K534" s="5455"/>
      <c r="L534" s="5455"/>
      <c r="M534" s="5456"/>
      <c r="O534" s="5454" t="s">
        <v>1502</v>
      </c>
      <c r="P534" s="5455"/>
      <c r="Q534" s="5455"/>
      <c r="R534" s="5456"/>
      <c r="T534" s="5454" t="s">
        <v>1502</v>
      </c>
      <c r="U534" s="5455"/>
      <c r="V534" s="5455"/>
      <c r="W534" s="5456"/>
      <c r="Y534" s="6543"/>
      <c r="Z534" s="5477"/>
      <c r="AA534" s="5477"/>
      <c r="AB534" s="5487"/>
      <c r="AC534" s="5453"/>
      <c r="AD534" s="6543"/>
      <c r="AE534" s="5477"/>
      <c r="AF534" s="5477"/>
      <c r="AG534" s="5487"/>
      <c r="AH534" s="5447"/>
      <c r="AI534" s="6192"/>
    </row>
    <row r="535" ht="25.5" customHeight="1">
      <c r="A535" s="6185"/>
      <c r="B535" s="5442"/>
      <c r="C535" s="1489"/>
      <c r="D535" s="5457"/>
      <c r="E535" s="5458"/>
      <c r="F535" s="5459" t="str">
        <f t="array" ref="F535">IFERROR(VLOOKUP(E533,Dex!$B$3:$H1218,5,FALSE),"")</f>
        <v/>
      </c>
      <c r="G535" s="5460" t="str">
        <f t="array" ref="G535">IFERROR(VLOOKUP(E533,Dex!$B$3:$H1218,7,FALSE),"")</f>
        <v/>
      </c>
      <c r="H535" s="5461"/>
      <c r="J535" s="5458"/>
      <c r="K535" s="5459" t="str">
        <f t="array" ref="K535">IFERROR(VLOOKUP(J533,Dex!$B$3:$H1218,5,FALSE),"")</f>
        <v/>
      </c>
      <c r="L535" s="5460" t="str">
        <f t="array" ref="L535">IFERROR(VLOOKUP(J533,Dex!$B$3:$H1218,7,FALSE),"")</f>
        <v/>
      </c>
      <c r="M535" s="5461"/>
      <c r="O535" s="5458"/>
      <c r="P535" s="5459" t="str">
        <f t="array" ref="P535">IFERROR(VLOOKUP(O533,Dex!$B$3:$H1218,5,FALSE),"")</f>
        <v/>
      </c>
      <c r="Q535" s="5460" t="str">
        <f t="array" ref="Q535">IFERROR(VLOOKUP(O533,Dex!$B$3:$H1218,7,FALSE),"")</f>
        <v/>
      </c>
      <c r="R535" s="5461"/>
      <c r="T535" s="5458"/>
      <c r="U535" s="5459" t="str">
        <f t="array" ref="U535">IFERROR(VLOOKUP(T533,Dex!$B$3:$H1218,5,FALSE),"")</f>
        <v/>
      </c>
      <c r="V535" s="5460" t="str">
        <f t="array" ref="V535">IFERROR(VLOOKUP(T533,Dex!$B$3:$H1218,7,FALSE),"")</f>
        <v/>
      </c>
      <c r="W535" s="5461"/>
      <c r="Y535" s="6543"/>
      <c r="Z535" s="5477"/>
      <c r="AA535" s="5477"/>
      <c r="AB535" s="5487"/>
      <c r="AC535" s="5453"/>
      <c r="AD535" s="6543"/>
      <c r="AE535" s="5477"/>
      <c r="AF535" s="5477"/>
      <c r="AG535" s="5487"/>
      <c r="AH535" s="5464"/>
      <c r="AI535" s="6192"/>
    </row>
    <row r="536" ht="2.25" customHeight="1">
      <c r="A536" s="6185"/>
      <c r="B536" s="5438"/>
      <c r="C536" s="5465"/>
      <c r="D536" s="5466"/>
      <c r="E536" s="5467"/>
      <c r="F536" s="5468"/>
      <c r="G536" s="5468"/>
      <c r="H536" s="5469"/>
      <c r="J536" s="5467"/>
      <c r="K536" s="5468"/>
      <c r="L536" s="5468"/>
      <c r="M536" s="5469"/>
      <c r="O536" s="5467"/>
      <c r="P536" s="5468"/>
      <c r="Q536" s="5468"/>
      <c r="R536" s="5469"/>
      <c r="T536" s="5467"/>
      <c r="U536" s="5468"/>
      <c r="V536" s="5468"/>
      <c r="W536" s="5469"/>
      <c r="Y536" s="6543"/>
      <c r="Z536" s="5477"/>
      <c r="AA536" s="5477"/>
      <c r="AB536" s="5487"/>
      <c r="AC536" s="5453"/>
      <c r="AD536" s="6543"/>
      <c r="AE536" s="5477"/>
      <c r="AF536" s="5477"/>
      <c r="AG536" s="5487"/>
      <c r="AH536" s="5464"/>
      <c r="AI536" s="6192"/>
    </row>
    <row r="537" ht="20.25" customHeight="1">
      <c r="A537" s="6185"/>
      <c r="B537" s="5438"/>
      <c r="C537" s="5470"/>
      <c r="D537" s="5471"/>
      <c r="E537" s="5472" t="s">
        <v>169</v>
      </c>
      <c r="F537" s="5473"/>
      <c r="G537" s="5473"/>
      <c r="H537" s="5474"/>
      <c r="J537" s="5472" t="s">
        <v>172</v>
      </c>
      <c r="K537" s="5473"/>
      <c r="L537" s="5473"/>
      <c r="M537" s="5474"/>
      <c r="O537" s="5472" t="s">
        <v>172</v>
      </c>
      <c r="P537" s="5473"/>
      <c r="Q537" s="5473"/>
      <c r="R537" s="5474"/>
      <c r="T537" s="5472" t="s">
        <v>205</v>
      </c>
      <c r="U537" s="5473"/>
      <c r="V537" s="5473"/>
      <c r="W537" s="5474"/>
      <c r="Y537" s="6543"/>
      <c r="Z537" s="5477"/>
      <c r="AA537" s="5477"/>
      <c r="AB537" s="5487"/>
      <c r="AC537" s="5453"/>
      <c r="AD537" s="6543"/>
      <c r="AE537" s="5477"/>
      <c r="AF537" s="5477"/>
      <c r="AG537" s="5487"/>
      <c r="AH537" s="5447"/>
      <c r="AI537" s="6192"/>
    </row>
    <row r="538">
      <c r="A538" s="6185"/>
      <c r="B538" s="5438"/>
      <c r="C538" s="5475"/>
      <c r="D538" s="5471"/>
      <c r="E538" s="5476" t="s">
        <v>208</v>
      </c>
      <c r="F538" s="5477"/>
      <c r="G538" s="5477"/>
      <c r="H538" s="5478"/>
      <c r="J538" s="5476" t="s">
        <v>1679</v>
      </c>
      <c r="K538" s="5477"/>
      <c r="L538" s="5477"/>
      <c r="M538" s="5478"/>
      <c r="O538" s="5476" t="s">
        <v>1257</v>
      </c>
      <c r="P538" s="5477"/>
      <c r="Q538" s="5477"/>
      <c r="R538" s="5478"/>
      <c r="T538" s="5476" t="s">
        <v>329</v>
      </c>
      <c r="U538" s="5477"/>
      <c r="V538" s="5477"/>
      <c r="W538" s="5478"/>
      <c r="Y538" s="6543"/>
      <c r="Z538" s="5477"/>
      <c r="AA538" s="5477"/>
      <c r="AB538" s="5487"/>
      <c r="AC538" s="5453"/>
      <c r="AD538" s="6543"/>
      <c r="AE538" s="5477"/>
      <c r="AF538" s="5477"/>
      <c r="AG538" s="5487"/>
      <c r="AH538" s="5447"/>
      <c r="AI538" s="6192"/>
    </row>
    <row r="539" ht="20.25" customHeight="1">
      <c r="A539" s="6185"/>
      <c r="B539" s="5438"/>
      <c r="C539" s="5479"/>
      <c r="D539" s="5471"/>
      <c r="E539" s="5480" t="s">
        <v>473</v>
      </c>
      <c r="F539" s="5481"/>
      <c r="G539" s="5482"/>
      <c r="H539" s="5483" t="str">
        <f>IMAGE("https://raw.githubusercontent.com/msikma/pokesprite/master/items/hold-item/assault-vest.png",3)</f>
        <v/>
      </c>
      <c r="J539" s="5480" t="s">
        <v>601</v>
      </c>
      <c r="K539" s="5481"/>
      <c r="L539" s="5482"/>
      <c r="M539" s="5483" t="str">
        <f>IMAGE("https://raw.githubusercontent.com/msikma/pokesprite/master/items/mega-stone/galladite.png",3)</f>
        <v/>
      </c>
      <c r="O539" s="5480" t="s">
        <v>1057</v>
      </c>
      <c r="P539" s="5481"/>
      <c r="Q539" s="5482"/>
      <c r="R539" s="5483" t="str">
        <f>IMAGE("https://raw.githubusercontent.com/msikma/pokesprite/master/items/hold-item/charcoal.png",3)</f>
        <v/>
      </c>
      <c r="T539" s="5480" t="s">
        <v>272</v>
      </c>
      <c r="U539" s="5481"/>
      <c r="V539" s="5482"/>
      <c r="W539" s="5483" t="str">
        <f>IMAGE("https://raw.githubusercontent.com/msikma/pokesprite/master/items/hold-item/life-orb.png",3)</f>
        <v/>
      </c>
      <c r="Y539" s="6543"/>
      <c r="Z539" s="5477"/>
      <c r="AA539" s="5477"/>
      <c r="AB539" s="5487"/>
      <c r="AC539" s="5453"/>
      <c r="AD539" s="6543"/>
      <c r="AE539" s="5477"/>
      <c r="AF539" s="5477"/>
      <c r="AG539" s="5487"/>
      <c r="AH539" s="5464"/>
      <c r="AI539" s="6192"/>
    </row>
    <row r="540" ht="20.25" customHeight="1">
      <c r="A540" s="6185"/>
      <c r="B540" s="5438"/>
      <c r="C540" s="5484"/>
      <c r="D540" s="5471"/>
      <c r="E540" s="5472" t="s">
        <v>609</v>
      </c>
      <c r="F540" s="5473"/>
      <c r="G540" s="5485"/>
      <c r="H540" s="5486" t="str">
        <f>IMAGE("https://raw.githubusercontent.com/msikma/pokesprite/master/misc/types/gen8/dark.png",4,20,20)</f>
        <v/>
      </c>
      <c r="J540" s="5472" t="s">
        <v>608</v>
      </c>
      <c r="K540" s="5473"/>
      <c r="L540" s="5485"/>
      <c r="M540" s="5486" t="str">
        <f>IMAGE("https://raw.githubusercontent.com/msikma/pokesprite/master/misc/types/gen8/psychic.png",4,20,20)</f>
        <v/>
      </c>
      <c r="O540" s="5472" t="s">
        <v>378</v>
      </c>
      <c r="P540" s="5473"/>
      <c r="Q540" s="5485"/>
      <c r="R540" s="5486" t="str">
        <f>IMAGE("https://raw.githubusercontent.com/msikma/pokesprite/master/misc/types/gen8/fire.png",4,20,20)</f>
        <v/>
      </c>
      <c r="T540" s="5472" t="s">
        <v>286</v>
      </c>
      <c r="U540" s="5473"/>
      <c r="V540" s="5485"/>
      <c r="W540" s="5486" t="str">
        <f>IMAGE("https://raw.githubusercontent.com/msikma/pokesprite/master/misc/types/gen8/ground.png",4,20,20)</f>
        <v/>
      </c>
      <c r="Y540" s="6543"/>
      <c r="Z540" s="5477"/>
      <c r="AA540" s="5477"/>
      <c r="AB540" s="5487"/>
      <c r="AC540" s="5453"/>
      <c r="AD540" s="6543"/>
      <c r="AE540" s="5477"/>
      <c r="AF540" s="5477"/>
      <c r="AG540" s="5487"/>
      <c r="AH540" s="5447"/>
      <c r="AI540" s="6192"/>
    </row>
    <row r="541" ht="20.25" customHeight="1">
      <c r="A541" s="6185"/>
      <c r="B541" s="5438"/>
      <c r="C541" s="5470"/>
      <c r="D541" s="5471"/>
      <c r="E541" s="5476" t="s">
        <v>735</v>
      </c>
      <c r="F541" s="5477"/>
      <c r="G541" s="5487"/>
      <c r="H541" s="5488" t="str">
        <f>IMAGE("https://raw.githubusercontent.com/msikma/pokesprite/master/misc/types/gen8/water.png",4,20,20)</f>
        <v/>
      </c>
      <c r="J541" s="5476" t="s">
        <v>606</v>
      </c>
      <c r="K541" s="5477"/>
      <c r="L541" s="5487"/>
      <c r="M541" s="5488" t="str">
        <f>IMAGE("https://raw.githubusercontent.com/msikma/pokesprite/master/misc/types/gen8/fighting.png",4,20,20)</f>
        <v/>
      </c>
      <c r="O541" s="5476" t="s">
        <v>634</v>
      </c>
      <c r="P541" s="5477"/>
      <c r="Q541" s="5487"/>
      <c r="R541" s="5488" t="str">
        <f>IMAGE("https://raw.githubusercontent.com/msikma/pokesprite/master/misc/types/gen8/ice.png",4,20,20)</f>
        <v/>
      </c>
      <c r="T541" s="5476" t="s">
        <v>405</v>
      </c>
      <c r="U541" s="5477"/>
      <c r="V541" s="5487"/>
      <c r="W541" s="5488" t="str">
        <f>IMAGE("https://raw.githubusercontent.com/msikma/pokesprite/master/misc/types/gen8/poison.png",4,20,20)</f>
        <v/>
      </c>
      <c r="Y541" s="6543"/>
      <c r="Z541" s="5477"/>
      <c r="AA541" s="5477"/>
      <c r="AB541" s="5487"/>
      <c r="AC541" s="5453"/>
      <c r="AD541" s="6543"/>
      <c r="AE541" s="5477"/>
      <c r="AF541" s="5477"/>
      <c r="AG541" s="5487"/>
      <c r="AH541" s="5447"/>
      <c r="AI541" s="6192"/>
    </row>
    <row r="542" ht="20.25" customHeight="1">
      <c r="A542" s="6185"/>
      <c r="B542" s="5438"/>
      <c r="C542" s="5470"/>
      <c r="D542" s="5471"/>
      <c r="E542" s="5476" t="s">
        <v>256</v>
      </c>
      <c r="F542" s="5477"/>
      <c r="G542" s="5487"/>
      <c r="H542" s="5488" t="str">
        <f t="shared" ref="H542:H543" si="21">IMAGE("https://raw.githubusercontent.com/msikma/pokesprite/master/misc/types/gen8/fighting.png",4,20,20)</f>
        <v/>
      </c>
      <c r="J542" s="5476" t="s">
        <v>489</v>
      </c>
      <c r="K542" s="5477"/>
      <c r="L542" s="5487"/>
      <c r="M542" s="5488" t="str">
        <f>IMAGE("https://raw.githubusercontent.com/msikma/pokesprite/master/misc/types/gen8/normal.png",4,20,20)</f>
        <v/>
      </c>
      <c r="O542" s="5476" t="s">
        <v>278</v>
      </c>
      <c r="P542" s="5477"/>
      <c r="Q542" s="5487"/>
      <c r="R542" s="5488" t="str">
        <f>IMAGE("https://raw.githubusercontent.com/msikma/pokesprite/master/misc/types/gen8/bug.png",4,20,20)</f>
        <v/>
      </c>
      <c r="T542" s="5476" t="s">
        <v>317</v>
      </c>
      <c r="U542" s="5477"/>
      <c r="V542" s="5487"/>
      <c r="W542" s="5488" t="str">
        <f>IMAGE("https://raw.githubusercontent.com/msikma/pokesprite/master/misc/types/gen8/ice.png",4,20,20)</f>
        <v/>
      </c>
      <c r="Y542" s="6543"/>
      <c r="Z542" s="5477"/>
      <c r="AA542" s="5477"/>
      <c r="AB542" s="5487"/>
      <c r="AC542" s="5453"/>
      <c r="AD542" s="6543"/>
      <c r="AE542" s="5477"/>
      <c r="AF542" s="5477"/>
      <c r="AG542" s="5487"/>
      <c r="AH542" s="5447"/>
      <c r="AI542" s="6192"/>
    </row>
    <row r="543" ht="21.0" customHeight="1">
      <c r="A543" s="6185"/>
      <c r="B543" s="5438"/>
      <c r="C543" s="5470"/>
      <c r="D543" s="5471"/>
      <c r="E543" s="5489" t="s">
        <v>244</v>
      </c>
      <c r="F543" s="5490"/>
      <c r="G543" s="5491"/>
      <c r="H543" s="5492" t="str">
        <f t="shared" si="21"/>
        <v/>
      </c>
      <c r="I543" s="5532"/>
      <c r="J543" s="5489" t="s">
        <v>540</v>
      </c>
      <c r="K543" s="5490"/>
      <c r="L543" s="5491"/>
      <c r="M543" s="5492" t="str">
        <f>IMAGE("https://raw.githubusercontent.com/msikma/pokesprite/master/misc/types/gen8/dark.png",4,20,20)</f>
        <v/>
      </c>
      <c r="N543" s="5532"/>
      <c r="O543" s="5489" t="s">
        <v>402</v>
      </c>
      <c r="P543" s="5490"/>
      <c r="Q543" s="5491"/>
      <c r="R543" s="5492" t="str">
        <f>IMAGE("https://raw.githubusercontent.com/msikma/pokesprite/master/misc/types/gen8/ground.png",4,20,20)</f>
        <v/>
      </c>
      <c r="S543" s="5532"/>
      <c r="T543" s="5489" t="s">
        <v>372</v>
      </c>
      <c r="U543" s="5490"/>
      <c r="V543" s="5491"/>
      <c r="W543" s="5492" t="str">
        <f>IMAGE("https://raw.githubusercontent.com/msikma/pokesprite/master/misc/types/gen8/fire.png",4,20,20)</f>
        <v/>
      </c>
      <c r="X543" s="5532"/>
      <c r="Y543" s="6543"/>
      <c r="Z543" s="5477"/>
      <c r="AA543" s="5477"/>
      <c r="AB543" s="5487"/>
      <c r="AC543" s="5493"/>
      <c r="AD543" s="6543"/>
      <c r="AE543" s="5477"/>
      <c r="AF543" s="5477"/>
      <c r="AG543" s="5487"/>
      <c r="AH543" s="5447"/>
      <c r="AI543" s="6192"/>
    </row>
    <row r="544" ht="3.0" customHeight="1">
      <c r="A544" s="6185"/>
      <c r="B544" s="5494"/>
      <c r="C544" s="5495"/>
      <c r="D544" s="5496"/>
      <c r="E544" s="5533"/>
      <c r="F544" s="5533"/>
      <c r="G544" s="5533"/>
      <c r="H544" s="5497"/>
      <c r="I544" s="5496"/>
      <c r="J544" s="5533"/>
      <c r="K544" s="5533"/>
      <c r="L544" s="5533"/>
      <c r="M544" s="5497"/>
      <c r="N544" s="5496"/>
      <c r="O544" s="5533"/>
      <c r="P544" s="5533"/>
      <c r="Q544" s="5533"/>
      <c r="R544" s="5497"/>
      <c r="S544" s="5496"/>
      <c r="T544" s="5533"/>
      <c r="U544" s="5533"/>
      <c r="V544" s="5533"/>
      <c r="W544" s="5497"/>
      <c r="X544" s="5496"/>
      <c r="Y544" s="6543"/>
      <c r="Z544" s="5477"/>
      <c r="AA544" s="5477"/>
      <c r="AB544" s="5487"/>
      <c r="AC544" s="5496"/>
      <c r="AD544" s="6543"/>
      <c r="AE544" s="5477"/>
      <c r="AF544" s="5477"/>
      <c r="AG544" s="5487"/>
      <c r="AH544" s="5499"/>
      <c r="AI544" s="6192"/>
    </row>
    <row r="545" ht="16.5" customHeight="1">
      <c r="A545" s="6185"/>
      <c r="B545" s="5500"/>
      <c r="C545" s="5495"/>
      <c r="D545" s="5534"/>
      <c r="E545" s="6545" t="s">
        <v>190</v>
      </c>
      <c r="F545" s="381"/>
      <c r="G545" s="382"/>
      <c r="H545" s="6546" t="s">
        <v>191</v>
      </c>
      <c r="I545" s="5504"/>
      <c r="J545" s="6545" t="s">
        <v>190</v>
      </c>
      <c r="K545" s="381"/>
      <c r="L545" s="382"/>
      <c r="M545" s="6546" t="s">
        <v>191</v>
      </c>
      <c r="N545" s="5504"/>
      <c r="O545" s="6545" t="s">
        <v>190</v>
      </c>
      <c r="P545" s="381"/>
      <c r="Q545" s="382"/>
      <c r="R545" s="6546" t="s">
        <v>191</v>
      </c>
      <c r="S545" s="5504"/>
      <c r="T545" s="6545" t="s">
        <v>190</v>
      </c>
      <c r="U545" s="381"/>
      <c r="V545" s="382"/>
      <c r="W545" s="6546" t="s">
        <v>191</v>
      </c>
      <c r="X545" s="5504"/>
      <c r="Y545" s="6543"/>
      <c r="Z545" s="5477"/>
      <c r="AA545" s="5477"/>
      <c r="AB545" s="5487"/>
      <c r="AC545" s="5504"/>
      <c r="AD545" s="6543"/>
      <c r="AE545" s="5477"/>
      <c r="AF545" s="5477"/>
      <c r="AG545" s="5487"/>
      <c r="AH545" s="5505"/>
      <c r="AI545" s="6192"/>
    </row>
    <row r="546" ht="16.5" customHeight="1">
      <c r="A546" s="6185"/>
      <c r="B546" s="5500"/>
      <c r="C546" s="5495"/>
      <c r="D546" s="5501"/>
      <c r="E546" s="6547" t="s">
        <v>192</v>
      </c>
      <c r="F546" s="6548">
        <f t="array" ref="F546">IFERROR(VLOOKUP(E533,Dex!$B$3:$N1218,8,FALSE),"")</f>
        <v>80</v>
      </c>
      <c r="G546" s="6549" t="str">
        <f t="array" ref="G546">IFERROR(VLOOKUP(F546,Dex!$P$22:$Q$276,2,FALSE),"")</f>
        <v/>
      </c>
      <c r="H546" s="6550">
        <v>252.0</v>
      </c>
      <c r="I546" s="5510"/>
      <c r="J546" s="6547" t="s">
        <v>192</v>
      </c>
      <c r="K546" s="6548">
        <f t="array" ref="K546">IFERROR(VLOOKUP(J533,Dex!$B$3:$N1218,8,FALSE),"")</f>
        <v>68</v>
      </c>
      <c r="L546" s="6549" t="str">
        <f t="array" ref="L546">IFERROR(VLOOKUP(K546,Dex!$P$22:$Q$276,2,FALSE),"")</f>
        <v/>
      </c>
      <c r="M546" s="6550">
        <v>4.0</v>
      </c>
      <c r="N546" s="5510"/>
      <c r="O546" s="6547" t="s">
        <v>192</v>
      </c>
      <c r="P546" s="6548">
        <f t="array" ref="P546">IFERROR(VLOOKUP(O533,Dex!$B$3:$N1218,8,FALSE),"")</f>
        <v>105</v>
      </c>
      <c r="Q546" s="6549" t="str">
        <f t="array" ref="Q546">IFERROR(VLOOKUP(P546,Dex!$P$22:$Q$276,2,FALSE),"")</f>
        <v/>
      </c>
      <c r="R546" s="6550"/>
      <c r="S546" s="5510"/>
      <c r="T546" s="6547" t="s">
        <v>192</v>
      </c>
      <c r="U546" s="6548">
        <f t="array" ref="U546">IFERROR(VLOOKUP(T533,Dex!$B$3:$N1218,8,FALSE),"")</f>
        <v>81</v>
      </c>
      <c r="V546" s="6549" t="str">
        <f t="array" ref="V546">IFERROR(VLOOKUP(U546,Dex!$P$22:$Q$276,2,FALSE),"")</f>
        <v/>
      </c>
      <c r="W546" s="6550"/>
      <c r="X546" s="5510"/>
      <c r="Y546" s="6543"/>
      <c r="Z546" s="5477"/>
      <c r="AA546" s="5477"/>
      <c r="AB546" s="5487"/>
      <c r="AC546" s="5510"/>
      <c r="AD546" s="6543"/>
      <c r="AE546" s="5477"/>
      <c r="AF546" s="5477"/>
      <c r="AG546" s="5487"/>
      <c r="AH546" s="5505"/>
      <c r="AI546" s="6192"/>
    </row>
    <row r="547" ht="16.5" customHeight="1">
      <c r="A547" s="6185"/>
      <c r="B547" s="5500"/>
      <c r="C547" s="5495"/>
      <c r="D547" s="5501"/>
      <c r="E547" s="6551" t="s">
        <v>193</v>
      </c>
      <c r="F547" s="6552">
        <f t="array" ref="F547">IFERROR(VLOOKUP(E533,Dex!$B$3:$N1218,9,FALSE),"")</f>
        <v>118</v>
      </c>
      <c r="G547" s="6553" t="str">
        <f t="array" ref="G547">IFERROR(VLOOKUP(F547,Dex!$P$22:$Q$276,2,FALSE),"")</f>
        <v/>
      </c>
      <c r="H547" s="6554">
        <v>252.0</v>
      </c>
      <c r="I547" s="5510"/>
      <c r="J547" s="6551" t="s">
        <v>193</v>
      </c>
      <c r="K547" s="6552">
        <f t="array" ref="K547">IFERROR(VLOOKUP(J533,Dex!$B$3:$N1218,9,FALSE),"")</f>
        <v>165</v>
      </c>
      <c r="L547" s="6553" t="str">
        <f t="array" ref="L547">IFERROR(VLOOKUP(K547,Dex!$P$22:$Q$276,2,FALSE),"")</f>
        <v/>
      </c>
      <c r="M547" s="6554">
        <v>252.0</v>
      </c>
      <c r="N547" s="5510"/>
      <c r="O547" s="6551" t="s">
        <v>193</v>
      </c>
      <c r="P547" s="6552">
        <f t="array" ref="P547">IFERROR(VLOOKUP(O533,Dex!$B$3:$N1218,9,FALSE),"")</f>
        <v>160</v>
      </c>
      <c r="Q547" s="6553" t="str">
        <f t="array" ref="Q547">IFERROR(VLOOKUP(P547,Dex!$P$22:$Q$276,2,FALSE),"")</f>
        <v/>
      </c>
      <c r="R547" s="6554">
        <v>252.0</v>
      </c>
      <c r="S547" s="5510"/>
      <c r="T547" s="6551" t="s">
        <v>193</v>
      </c>
      <c r="U547" s="6552">
        <f t="array" ref="U547">IFERROR(VLOOKUP(T533,Dex!$B$3:$N1218,9,FALSE),"")</f>
        <v>102</v>
      </c>
      <c r="V547" s="6553" t="str">
        <f t="array" ref="V547">IFERROR(VLOOKUP(U547,Dex!$P$22:$Q$276,2,FALSE),"")</f>
        <v/>
      </c>
      <c r="W547" s="6554"/>
      <c r="X547" s="5510"/>
      <c r="Y547" s="6543"/>
      <c r="Z547" s="5477"/>
      <c r="AA547" s="5477"/>
      <c r="AB547" s="5487"/>
      <c r="AC547" s="5510"/>
      <c r="AD547" s="6543"/>
      <c r="AE547" s="5477"/>
      <c r="AF547" s="5477"/>
      <c r="AG547" s="5487"/>
      <c r="AH547" s="5505"/>
      <c r="AI547" s="6192"/>
    </row>
    <row r="548" ht="16.5" customHeight="1">
      <c r="A548" s="6185"/>
      <c r="B548" s="5500"/>
      <c r="C548" s="5495"/>
      <c r="D548" s="5501"/>
      <c r="E548" s="6551" t="s">
        <v>194</v>
      </c>
      <c r="F548" s="6552">
        <f t="array" ref="F548">IFERROR(VLOOKUP(E533,Dex!$B$3:$N1218,10,FALSE),"")</f>
        <v>90</v>
      </c>
      <c r="G548" s="6553" t="str">
        <f t="array" ref="G548">IFERROR(VLOOKUP(F548,Dex!$P$22:$Q$276,2,FALSE),"")</f>
        <v/>
      </c>
      <c r="H548" s="6554"/>
      <c r="I548" s="5510"/>
      <c r="J548" s="6551" t="s">
        <v>194</v>
      </c>
      <c r="K548" s="6552">
        <f t="array" ref="K548">IFERROR(VLOOKUP(J533,Dex!$B$3:$N1218,10,FALSE),"")</f>
        <v>95</v>
      </c>
      <c r="L548" s="6553" t="str">
        <f t="array" ref="L548">IFERROR(VLOOKUP(K548,Dex!$P$22:$Q$276,2,FALSE),"")</f>
        <v/>
      </c>
      <c r="M548" s="6554"/>
      <c r="N548" s="5510"/>
      <c r="O548" s="6551" t="s">
        <v>194</v>
      </c>
      <c r="P548" s="6552">
        <f t="array" ref="P548">IFERROR(VLOOKUP(O533,Dex!$B$3:$N1218,10,FALSE),"")</f>
        <v>55</v>
      </c>
      <c r="Q548" s="6553" t="str">
        <f t="array" ref="Q548">IFERROR(VLOOKUP(P548,Dex!$P$22:$Q$276,2,FALSE),"")</f>
        <v/>
      </c>
      <c r="R548" s="6554">
        <v>4.0</v>
      </c>
      <c r="S548" s="5510"/>
      <c r="T548" s="6551" t="s">
        <v>194</v>
      </c>
      <c r="U548" s="6552">
        <f t="array" ref="U548">IFERROR(VLOOKUP(T533,Dex!$B$3:$N1218,10,FALSE),"")</f>
        <v>77</v>
      </c>
      <c r="V548" s="6553" t="str">
        <f t="array" ref="V548">IFERROR(VLOOKUP(U548,Dex!$P$22:$Q$276,2,FALSE),"")</f>
        <v/>
      </c>
      <c r="W548" s="6554">
        <v>4.0</v>
      </c>
      <c r="X548" s="5510"/>
      <c r="Y548" s="6543"/>
      <c r="Z548" s="5477"/>
      <c r="AA548" s="5477"/>
      <c r="AB548" s="5487"/>
      <c r="AC548" s="5510"/>
      <c r="AD548" s="6543"/>
      <c r="AE548" s="5477"/>
      <c r="AF548" s="5477"/>
      <c r="AG548" s="5487"/>
      <c r="AH548" s="5505"/>
      <c r="AI548" s="6192"/>
    </row>
    <row r="549" ht="16.5" customHeight="1">
      <c r="A549" s="6185"/>
      <c r="B549" s="5500"/>
      <c r="C549" s="5495"/>
      <c r="D549" s="5501"/>
      <c r="E549" s="6551" t="s">
        <v>195</v>
      </c>
      <c r="F549" s="6552">
        <f t="array" ref="F549">IFERROR(VLOOKUP(E533,Dex!$B$3:$N1218,11,FALSE),"")</f>
        <v>70</v>
      </c>
      <c r="G549" s="6553" t="str">
        <f t="array" ref="G549">IFERROR(VLOOKUP(F549,Dex!$P$22:$Q$276,2,FALSE),"")</f>
        <v/>
      </c>
      <c r="H549" s="6554"/>
      <c r="I549" s="5510"/>
      <c r="J549" s="6551" t="s">
        <v>195</v>
      </c>
      <c r="K549" s="6552">
        <f t="array" ref="K549">IFERROR(VLOOKUP(J533,Dex!$B$3:$N1218,11,FALSE),"")</f>
        <v>65</v>
      </c>
      <c r="L549" s="6553" t="str">
        <f t="array" ref="L549">IFERROR(VLOOKUP(K549,Dex!$P$22:$Q$276,2,FALSE),"")</f>
        <v/>
      </c>
      <c r="M549" s="6554"/>
      <c r="N549" s="5510"/>
      <c r="O549" s="6551" t="s">
        <v>195</v>
      </c>
      <c r="P549" s="6552">
        <f t="array" ref="P549">IFERROR(VLOOKUP(O533,Dex!$B$3:$N1218,11,FALSE),"")</f>
        <v>30</v>
      </c>
      <c r="Q549" s="6553" t="str">
        <f t="array" ref="Q549">IFERROR(VLOOKUP(P549,Dex!$P$22:$Q$276,2,FALSE),"")</f>
        <v/>
      </c>
      <c r="R549" s="6554"/>
      <c r="S549" s="5510"/>
      <c r="T549" s="6551" t="s">
        <v>195</v>
      </c>
      <c r="U549" s="6552">
        <f t="array" ref="U549">IFERROR(VLOOKUP(T533,Dex!$B$3:$N1218,11,FALSE),"")</f>
        <v>85</v>
      </c>
      <c r="V549" s="6553" t="str">
        <f t="array" ref="V549">IFERROR(VLOOKUP(U549,Dex!$P$22:$Q$276,2,FALSE),"")</f>
        <v/>
      </c>
      <c r="W549" s="6554">
        <v>252.0</v>
      </c>
      <c r="X549" s="5510"/>
      <c r="Y549" s="6543"/>
      <c r="Z549" s="5477"/>
      <c r="AA549" s="5477"/>
      <c r="AB549" s="5487"/>
      <c r="AC549" s="5510"/>
      <c r="AD549" s="6543"/>
      <c r="AE549" s="5477"/>
      <c r="AF549" s="5477"/>
      <c r="AG549" s="5487"/>
      <c r="AH549" s="5505"/>
      <c r="AI549" s="6192"/>
    </row>
    <row r="550" ht="16.5" customHeight="1">
      <c r="A550" s="6185"/>
      <c r="B550" s="5500"/>
      <c r="C550" s="5515"/>
      <c r="D550" s="5501"/>
      <c r="E550" s="6551" t="s">
        <v>196</v>
      </c>
      <c r="F550" s="6552">
        <f t="array" ref="F550">IFERROR(VLOOKUP(E533,Dex!$B$3:$N1218,12,FALSE),"")</f>
        <v>80</v>
      </c>
      <c r="G550" s="6553" t="str">
        <f t="array" ref="G550">IFERROR(VLOOKUP(F550,Dex!$P$22:$Q$276,2,FALSE),"")</f>
        <v/>
      </c>
      <c r="H550" s="6554">
        <v>4.0</v>
      </c>
      <c r="I550" s="5510"/>
      <c r="J550" s="6551" t="s">
        <v>196</v>
      </c>
      <c r="K550" s="6552">
        <f t="array" ref="K550">IFERROR(VLOOKUP(J533,Dex!$B$3:$N1218,12,FALSE),"")</f>
        <v>115</v>
      </c>
      <c r="L550" s="6553" t="str">
        <f t="array" ref="L550">IFERROR(VLOOKUP(K550,Dex!$P$22:$Q$276,2,FALSE),"")</f>
        <v/>
      </c>
      <c r="M550" s="6554"/>
      <c r="N550" s="5510"/>
      <c r="O550" s="6551" t="s">
        <v>196</v>
      </c>
      <c r="P550" s="6552">
        <f t="array" ref="P550">IFERROR(VLOOKUP(O533,Dex!$B$3:$N1218,12,FALSE),"")</f>
        <v>55</v>
      </c>
      <c r="Q550" s="6553" t="str">
        <f t="array" ref="Q550">IFERROR(VLOOKUP(P550,Dex!$P$22:$Q$276,2,FALSE),"")</f>
        <v/>
      </c>
      <c r="R550" s="6554"/>
      <c r="S550" s="5510"/>
      <c r="T550" s="6551" t="s">
        <v>196</v>
      </c>
      <c r="U550" s="6552">
        <f t="array" ref="U550">IFERROR(VLOOKUP(T533,Dex!$B$3:$N1218,12,FALSE),"")</f>
        <v>75</v>
      </c>
      <c r="V550" s="6553" t="str">
        <f t="array" ref="V550">IFERROR(VLOOKUP(U550,Dex!$P$22:$Q$276,2,FALSE),"")</f>
        <v/>
      </c>
      <c r="W550" s="6554"/>
      <c r="X550" s="5510"/>
      <c r="Y550" s="6543"/>
      <c r="Z550" s="5477"/>
      <c r="AA550" s="5477"/>
      <c r="AB550" s="5487"/>
      <c r="AC550" s="5510"/>
      <c r="AD550" s="6543"/>
      <c r="AE550" s="5477"/>
      <c r="AF550" s="5477"/>
      <c r="AG550" s="5487"/>
      <c r="AH550" s="5505"/>
      <c r="AI550" s="6192"/>
    </row>
    <row r="551" ht="16.5" customHeight="1">
      <c r="A551" s="6185"/>
      <c r="B551" s="5500"/>
      <c r="C551" s="5495"/>
      <c r="D551" s="5516"/>
      <c r="E551" s="6555" t="s">
        <v>197</v>
      </c>
      <c r="F551" s="6556">
        <f t="array" ref="F551">IFERROR(VLOOKUP(E533,Dex!$B$3:$N1218,13,FALSE),"")</f>
        <v>42</v>
      </c>
      <c r="G551" s="6557" t="str">
        <f t="array" ref="G551">IFERROR(VLOOKUP(F551,Dex!$P$22:$Q$276,2,FALSE),"")</f>
        <v/>
      </c>
      <c r="H551" s="6558"/>
      <c r="I551" s="5510"/>
      <c r="J551" s="6555" t="s">
        <v>197</v>
      </c>
      <c r="K551" s="6556">
        <f t="array" ref="K551">IFERROR(VLOOKUP(J533,Dex!$B$3:$N1218,13,FALSE),"")</f>
        <v>110</v>
      </c>
      <c r="L551" s="6557" t="str">
        <f t="array" ref="L551">IFERROR(VLOOKUP(K551,Dex!$P$22:$Q$276,2,FALSE),"")</f>
        <v/>
      </c>
      <c r="M551" s="6558">
        <v>252.0</v>
      </c>
      <c r="N551" s="5510"/>
      <c r="O551" s="6555" t="s">
        <v>197</v>
      </c>
      <c r="P551" s="6556">
        <f t="array" ref="P551">IFERROR(VLOOKUP(O533,Dex!$B$3:$N1218,13,FALSE),"")</f>
        <v>135</v>
      </c>
      <c r="Q551" s="6557" t="str">
        <f t="array" ref="Q551">IFERROR(VLOOKUP(P551,Dex!$P$22:$Q$276,2,FALSE),"")</f>
        <v/>
      </c>
      <c r="R551" s="6558">
        <v>252.0</v>
      </c>
      <c r="S551" s="5510"/>
      <c r="T551" s="6555" t="s">
        <v>197</v>
      </c>
      <c r="U551" s="6556">
        <f t="array" ref="U551">IFERROR(VLOOKUP(T533,Dex!$B$3:$N1218,13,FALSE),"")</f>
        <v>85</v>
      </c>
      <c r="V551" s="6557" t="str">
        <f t="array" ref="V551">IFERROR(VLOOKUP(U551,Dex!$P$22:$Q$276,2,FALSE),"")</f>
        <v/>
      </c>
      <c r="W551" s="6558">
        <v>252.0</v>
      </c>
      <c r="X551" s="5510"/>
      <c r="Y551" s="6543"/>
      <c r="Z551" s="5477"/>
      <c r="AA551" s="5477"/>
      <c r="AB551" s="5487"/>
      <c r="AC551" s="5510"/>
      <c r="AD551" s="6543"/>
      <c r="AE551" s="5477"/>
      <c r="AF551" s="5477"/>
      <c r="AG551" s="5487"/>
      <c r="AH551" s="5505"/>
      <c r="AI551" s="6192"/>
    </row>
    <row r="552" ht="16.5" customHeight="1">
      <c r="A552" s="6185"/>
      <c r="B552" s="5500"/>
      <c r="C552" s="5495"/>
      <c r="D552" s="5536"/>
      <c r="E552" s="6559" t="s">
        <v>198</v>
      </c>
      <c r="F552" s="405"/>
      <c r="G552" s="406"/>
      <c r="H552" s="6560">
        <v>120.0</v>
      </c>
      <c r="I552" s="5504"/>
      <c r="J552" s="6559" t="s">
        <v>198</v>
      </c>
      <c r="K552" s="405"/>
      <c r="L552" s="406"/>
      <c r="M552" s="6560">
        <v>350.0</v>
      </c>
      <c r="N552" s="5504"/>
      <c r="O552" s="6559" t="s">
        <v>198</v>
      </c>
      <c r="P552" s="405"/>
      <c r="Q552" s="406"/>
      <c r="R552" s="6560">
        <v>405.0</v>
      </c>
      <c r="S552" s="5504"/>
      <c r="T552" s="6559" t="s">
        <v>198</v>
      </c>
      <c r="U552" s="405"/>
      <c r="V552" s="406"/>
      <c r="W552" s="6560">
        <v>295.0</v>
      </c>
      <c r="X552" s="5504"/>
      <c r="Y552" s="6543"/>
      <c r="Z552" s="5477"/>
      <c r="AA552" s="5477"/>
      <c r="AB552" s="5487"/>
      <c r="AC552" s="5504"/>
      <c r="AD552" s="6543"/>
      <c r="AE552" s="5477"/>
      <c r="AF552" s="5477"/>
      <c r="AG552" s="5487"/>
      <c r="AH552" s="5505"/>
      <c r="AI552" s="6192"/>
    </row>
    <row r="553" ht="15.0" customHeight="1">
      <c r="A553" s="6185"/>
      <c r="B553" s="6561"/>
      <c r="C553" s="5541"/>
      <c r="D553" s="5541"/>
      <c r="E553" s="5541"/>
      <c r="F553" s="5541"/>
      <c r="G553" s="5541"/>
      <c r="H553" s="5541"/>
      <c r="I553" s="5541"/>
      <c r="J553" s="5541"/>
      <c r="K553" s="5541"/>
      <c r="L553" s="5541"/>
      <c r="M553" s="5541"/>
      <c r="N553" s="5541"/>
      <c r="O553" s="6562"/>
      <c r="P553" s="6562"/>
      <c r="Q553" s="6562"/>
      <c r="R553" s="5541"/>
      <c r="S553" s="5541"/>
      <c r="T553" s="5543"/>
      <c r="U553" s="5543"/>
      <c r="V553" s="5543"/>
      <c r="W553" s="5541"/>
      <c r="X553" s="5541"/>
      <c r="Y553" s="5543"/>
      <c r="Z553" s="5543"/>
      <c r="AA553" s="5543"/>
      <c r="AB553" s="5541"/>
      <c r="AC553" s="5541"/>
      <c r="AD553" s="5541"/>
      <c r="AE553" s="5541"/>
      <c r="AF553" s="5541"/>
      <c r="AG553" s="5541"/>
      <c r="AH553" s="6563"/>
      <c r="AI553" s="6192"/>
    </row>
    <row r="554" ht="15.0" customHeight="1">
      <c r="A554" s="6185"/>
      <c r="B554" s="6324"/>
      <c r="C554" s="6325"/>
      <c r="D554" s="6326"/>
      <c r="E554" s="6421"/>
      <c r="F554" s="6421"/>
      <c r="G554" s="6421"/>
      <c r="H554" s="6421"/>
      <c r="I554" s="6327"/>
      <c r="J554" s="6421"/>
      <c r="K554" s="6421"/>
      <c r="L554" s="6421"/>
      <c r="M554" s="6421"/>
      <c r="N554" s="6327"/>
      <c r="O554" s="6421"/>
      <c r="P554" s="6421"/>
      <c r="Q554" s="6421"/>
      <c r="R554" s="6421"/>
      <c r="S554" s="6327"/>
      <c r="T554" s="6421"/>
      <c r="U554" s="6421"/>
      <c r="V554" s="6421"/>
      <c r="W554" s="6421"/>
      <c r="X554" s="6327"/>
      <c r="Y554" s="6326"/>
      <c r="Z554" s="6326"/>
      <c r="AA554" s="6326"/>
      <c r="AB554" s="6326"/>
      <c r="AC554" s="6327"/>
      <c r="AD554" s="6326"/>
      <c r="AE554" s="6326"/>
      <c r="AF554" s="6326"/>
      <c r="AG554" s="6326"/>
      <c r="AH554" s="6328"/>
      <c r="AI554" s="6192"/>
    </row>
    <row r="555" ht="96.75" customHeight="1">
      <c r="A555" s="6185"/>
      <c r="B555" s="6329"/>
      <c r="C555" s="6330" t="str">
        <f>IMAGE("https://i.ibb.co/1Qbjwx2/SwimmerM.png")</f>
        <v/>
      </c>
      <c r="D555" s="6422"/>
      <c r="E555" s="6332" t="str">
        <f t="array" ref="E555">IFERROR(VLOOKUP(E556,Dex!$B$3:$G1218,3,FALSE),"")</f>
        <v/>
      </c>
      <c r="F555" s="1830"/>
      <c r="G555" s="1830"/>
      <c r="H555" s="1831"/>
      <c r="I555" s="6423"/>
      <c r="J555" s="6332" t="str">
        <f t="array" ref="J555">IFERROR(VLOOKUP(J556,Dex!$B$3:$G1218,3,FALSE),"")</f>
        <v/>
      </c>
      <c r="K555" s="1830"/>
      <c r="L555" s="1830"/>
      <c r="M555" s="1831"/>
      <c r="N555" s="6423"/>
      <c r="O555" s="6332" t="str">
        <f t="array" ref="O555">IFERROR(VLOOKUP(O556,Dex!$B$3:$G1218,3,FALSE),"")</f>
        <v/>
      </c>
      <c r="P555" s="1830"/>
      <c r="Q555" s="1830"/>
      <c r="R555" s="1831"/>
      <c r="S555" s="6424"/>
      <c r="T555" s="6332" t="str">
        <f t="array" ref="T555">IFERROR(VLOOKUP(T556,Dex!$B$3:$G1218,3,FALSE),"")</f>
        <v/>
      </c>
      <c r="U555" s="1830"/>
      <c r="V555" s="1830"/>
      <c r="W555" s="1831"/>
      <c r="X555" s="6425"/>
      <c r="Y555" s="6335"/>
      <c r="Z555" s="6336"/>
      <c r="AA555" s="6336"/>
      <c r="AB555" s="6337"/>
      <c r="AC555" s="6334"/>
      <c r="AD555" s="6335"/>
      <c r="AE555" s="6336"/>
      <c r="AF555" s="6336"/>
      <c r="AG555" s="6337"/>
      <c r="AH555" s="6338"/>
      <c r="AI555" s="6192"/>
    </row>
    <row r="556" ht="18.75" customHeight="1">
      <c r="A556" s="6140"/>
      <c r="B556" s="6339"/>
      <c r="C556" s="6340" t="s">
        <v>1680</v>
      </c>
      <c r="D556" s="6426"/>
      <c r="E556" s="6342" t="s">
        <v>1681</v>
      </c>
      <c r="F556" s="6343"/>
      <c r="G556" s="6343"/>
      <c r="H556" s="6344"/>
      <c r="I556" s="6423"/>
      <c r="J556" s="6342" t="s">
        <v>1682</v>
      </c>
      <c r="K556" s="6343"/>
      <c r="L556" s="6343"/>
      <c r="M556" s="6344"/>
      <c r="N556" s="6423"/>
      <c r="O556" s="6342" t="s">
        <v>615</v>
      </c>
      <c r="P556" s="6343"/>
      <c r="Q556" s="6343"/>
      <c r="R556" s="6344"/>
      <c r="S556" s="6423"/>
      <c r="T556" s="6342" t="s">
        <v>1537</v>
      </c>
      <c r="U556" s="6343"/>
      <c r="V556" s="6343"/>
      <c r="W556" s="6344"/>
      <c r="X556" s="6427"/>
      <c r="Y556" s="6345"/>
      <c r="Z556" s="6336"/>
      <c r="AA556" s="6336"/>
      <c r="AB556" s="6337"/>
      <c r="AC556" s="6333"/>
      <c r="AD556" s="6345"/>
      <c r="AE556" s="6336"/>
      <c r="AF556" s="6336"/>
      <c r="AG556" s="6337"/>
      <c r="AH556" s="6346"/>
      <c r="AI556" s="6149"/>
    </row>
    <row r="557">
      <c r="A557" s="6125"/>
      <c r="B557" s="6329"/>
      <c r="C557" s="1481"/>
      <c r="D557" s="6428"/>
      <c r="E557" s="6348" t="s">
        <v>1502</v>
      </c>
      <c r="F557" s="6349"/>
      <c r="G557" s="6349"/>
      <c r="H557" s="6350"/>
      <c r="I557" s="6423"/>
      <c r="J557" s="6348" t="s">
        <v>420</v>
      </c>
      <c r="K557" s="6349"/>
      <c r="L557" s="6349"/>
      <c r="M557" s="6350"/>
      <c r="N557" s="6423"/>
      <c r="O557" s="6348" t="s">
        <v>1623</v>
      </c>
      <c r="P557" s="6349"/>
      <c r="Q557" s="6349"/>
      <c r="R557" s="6350"/>
      <c r="S557" s="6424"/>
      <c r="T557" s="6348" t="s">
        <v>1502</v>
      </c>
      <c r="U557" s="6349"/>
      <c r="V557" s="6349"/>
      <c r="W557" s="6350"/>
      <c r="X557" s="6425"/>
      <c r="Y557" s="6335"/>
      <c r="Z557" s="6336"/>
      <c r="AA557" s="6336"/>
      <c r="AB557" s="6337"/>
      <c r="AC557" s="6334"/>
      <c r="AD557" s="6335"/>
      <c r="AE557" s="6336"/>
      <c r="AF557" s="6336"/>
      <c r="AG557" s="6337"/>
      <c r="AH557" s="6338"/>
      <c r="AI557" s="6129"/>
    </row>
    <row r="558" ht="25.5" customHeight="1">
      <c r="A558" s="6125"/>
      <c r="B558" s="6329"/>
      <c r="C558" s="1489"/>
      <c r="D558" s="6334"/>
      <c r="E558" s="6351"/>
      <c r="F558" s="6355" t="str">
        <f t="array" ref="F558">IFERROR(VLOOKUP(E556,Dex!$B$3:$H1218,5,FALSE),"")</f>
        <v/>
      </c>
      <c r="G558" s="6356" t="str">
        <f t="array" ref="G558">IFERROR(VLOOKUP(E556,Dex!$B$3:$H1218,7,FALSE),"")</f>
        <v/>
      </c>
      <c r="H558" s="6354"/>
      <c r="I558" s="6333"/>
      <c r="J558" s="6351"/>
      <c r="K558" s="6352" t="str">
        <f t="array" ref="K558">IFERROR(VLOOKUP(J556,Dex!$B$3:$H1218,5,FALSE),"")</f>
        <v/>
      </c>
      <c r="L558" s="6353"/>
      <c r="M558" s="6354"/>
      <c r="N558" s="6333"/>
      <c r="O558" s="6351"/>
      <c r="P558" s="6355" t="str">
        <f t="array" ref="P558">IFERROR(VLOOKUP(O556,Dex!$B$3:$H1218,5,FALSE),"")</f>
        <v/>
      </c>
      <c r="Q558" s="6356" t="str">
        <f t="array" ref="Q558">IFERROR(VLOOKUP(O556,Dex!$B$3:$H1218,7,FALSE),"")</f>
        <v/>
      </c>
      <c r="R558" s="6354"/>
      <c r="S558" s="6334"/>
      <c r="T558" s="6351"/>
      <c r="U558" s="6355" t="str">
        <f t="array" ref="U558">IFERROR(VLOOKUP(T556,Dex!$B$3:$H1218,5,FALSE),"")</f>
        <v/>
      </c>
      <c r="V558" s="6356" t="str">
        <f t="array" ref="V558">IFERROR(VLOOKUP(T556,Dex!$B$3:$H1218,7,FALSE),"")</f>
        <v/>
      </c>
      <c r="W558" s="6354"/>
      <c r="X558" s="6334"/>
      <c r="Y558" s="6335"/>
      <c r="Z558" s="6336"/>
      <c r="AA558" s="6336"/>
      <c r="AB558" s="6337"/>
      <c r="AC558" s="6334"/>
      <c r="AD558" s="6335"/>
      <c r="AE558" s="6336"/>
      <c r="AF558" s="6336"/>
      <c r="AG558" s="6337"/>
      <c r="AH558" s="6338"/>
      <c r="AI558" s="6129"/>
    </row>
    <row r="559" ht="2.25" customHeight="1">
      <c r="A559" s="6125"/>
      <c r="B559" s="6329"/>
      <c r="C559" s="6357"/>
      <c r="D559" s="6334"/>
      <c r="E559" s="6358"/>
      <c r="F559" s="6359"/>
      <c r="G559" s="6359"/>
      <c r="H559" s="6360"/>
      <c r="I559" s="6333"/>
      <c r="J559" s="6358"/>
      <c r="K559" s="6359"/>
      <c r="L559" s="6359"/>
      <c r="M559" s="6360"/>
      <c r="N559" s="6333"/>
      <c r="O559" s="6358"/>
      <c r="P559" s="6359"/>
      <c r="Q559" s="6359"/>
      <c r="R559" s="6360"/>
      <c r="S559" s="6334"/>
      <c r="T559" s="6358"/>
      <c r="U559" s="6359"/>
      <c r="V559" s="6359"/>
      <c r="W559" s="6360"/>
      <c r="X559" s="6334"/>
      <c r="Y559" s="6334"/>
      <c r="Z559" s="6334"/>
      <c r="AA559" s="6334"/>
      <c r="AB559" s="6334"/>
      <c r="AC559" s="6334"/>
      <c r="AD559" s="6334"/>
      <c r="AE559" s="6334"/>
      <c r="AF559" s="6334"/>
      <c r="AG559" s="6334"/>
      <c r="AH559" s="6338"/>
      <c r="AI559" s="6129"/>
    </row>
    <row r="560" ht="20.25" customHeight="1">
      <c r="A560" s="6125"/>
      <c r="B560" s="6329"/>
      <c r="C560" s="6361"/>
      <c r="D560" s="6335"/>
      <c r="E560" s="6362" t="s">
        <v>172</v>
      </c>
      <c r="F560" s="6363"/>
      <c r="G560" s="6363"/>
      <c r="H560" s="6364"/>
      <c r="I560" s="6423"/>
      <c r="J560" s="6362" t="s">
        <v>172</v>
      </c>
      <c r="K560" s="6363"/>
      <c r="L560" s="6363"/>
      <c r="M560" s="6364"/>
      <c r="N560" s="6423"/>
      <c r="O560" s="6362" t="s">
        <v>172</v>
      </c>
      <c r="P560" s="6363"/>
      <c r="Q560" s="6363"/>
      <c r="R560" s="6364"/>
      <c r="S560" s="6424"/>
      <c r="T560" s="6362" t="s">
        <v>169</v>
      </c>
      <c r="U560" s="6363"/>
      <c r="V560" s="6363"/>
      <c r="W560" s="6364"/>
      <c r="X560" s="6425"/>
      <c r="Y560" s="6335"/>
      <c r="Z560" s="6336"/>
      <c r="AA560" s="6336"/>
      <c r="AB560" s="6337"/>
      <c r="AC560" s="6334"/>
      <c r="AD560" s="6335"/>
      <c r="AE560" s="6336"/>
      <c r="AF560" s="6336"/>
      <c r="AG560" s="6337"/>
      <c r="AH560" s="6338"/>
      <c r="AI560" s="6129"/>
    </row>
    <row r="561" ht="20.25" customHeight="1">
      <c r="A561" s="6125"/>
      <c r="B561" s="6329"/>
      <c r="C561" s="6361"/>
      <c r="D561" s="6335"/>
      <c r="E561" s="6365" t="s">
        <v>716</v>
      </c>
      <c r="F561" s="6336"/>
      <c r="G561" s="6336"/>
      <c r="H561" s="6366"/>
      <c r="I561" s="6423"/>
      <c r="J561" s="6365" t="s">
        <v>448</v>
      </c>
      <c r="K561" s="6336"/>
      <c r="L561" s="6336"/>
      <c r="M561" s="6366"/>
      <c r="N561" s="6423"/>
      <c r="O561" s="6365" t="s">
        <v>621</v>
      </c>
      <c r="P561" s="6336"/>
      <c r="Q561" s="6336"/>
      <c r="R561" s="6366"/>
      <c r="S561" s="6424"/>
      <c r="T561" s="6596" t="s">
        <v>1683</v>
      </c>
      <c r="U561" s="6336"/>
      <c r="V561" s="6336"/>
      <c r="W561" s="6366"/>
      <c r="X561" s="6425"/>
      <c r="Y561" s="6335"/>
      <c r="Z561" s="6336"/>
      <c r="AA561" s="6336"/>
      <c r="AB561" s="6337"/>
      <c r="AC561" s="6334"/>
      <c r="AD561" s="6335"/>
      <c r="AE561" s="6336"/>
      <c r="AF561" s="6336"/>
      <c r="AG561" s="6337"/>
      <c r="AH561" s="6338"/>
      <c r="AI561" s="6129"/>
    </row>
    <row r="562" ht="20.25" customHeight="1">
      <c r="A562" s="6125"/>
      <c r="B562" s="6329"/>
      <c r="C562" s="6361"/>
      <c r="D562" s="6335"/>
      <c r="E562" s="6367" t="s">
        <v>176</v>
      </c>
      <c r="F562" s="6368"/>
      <c r="G562" s="6369"/>
      <c r="H562" s="6370" t="str">
        <f>IMAGE("https://raw.githubusercontent.com/msikma/pokesprite/master/items/berry/custap.png",3)</f>
        <v/>
      </c>
      <c r="I562" s="6345"/>
      <c r="J562" s="6367" t="s">
        <v>212</v>
      </c>
      <c r="K562" s="6368"/>
      <c r="L562" s="6369"/>
      <c r="M562" s="6370" t="str">
        <f>IMAGE("https://raw.githubusercontent.com/msikma/pokesprite/master/items/hold-item/mystic-water.png",3)</f>
        <v/>
      </c>
      <c r="N562" s="6345"/>
      <c r="O562" s="6367" t="s">
        <v>240</v>
      </c>
      <c r="P562" s="6368"/>
      <c r="Q562" s="6369"/>
      <c r="R562" s="6370" t="str">
        <f>IMAGE("https://raw.githubusercontent.com/msikma/pokesprite/master/items/hold-item/focus-sash.png",3)</f>
        <v/>
      </c>
      <c r="S562" s="6335"/>
      <c r="T562" s="6367" t="s">
        <v>1541</v>
      </c>
      <c r="U562" s="6368"/>
      <c r="V562" s="6369"/>
      <c r="W562" s="6370" t="str">
        <f>IMAGE("https://raw.githubusercontent.com/msikma/pokesprite/master/items/mega-stone/abomasite.png",3)</f>
        <v/>
      </c>
      <c r="X562" s="6334"/>
      <c r="Y562" s="6335"/>
      <c r="Z562" s="6336"/>
      <c r="AA562" s="6336"/>
      <c r="AB562" s="6337"/>
      <c r="AC562" s="6334"/>
      <c r="AD562" s="6335"/>
      <c r="AE562" s="6336"/>
      <c r="AF562" s="6336"/>
      <c r="AG562" s="6337"/>
      <c r="AH562" s="6338"/>
      <c r="AI562" s="6129"/>
    </row>
    <row r="563" ht="20.25" customHeight="1">
      <c r="A563" s="6125"/>
      <c r="B563" s="6329"/>
      <c r="C563" s="6371"/>
      <c r="D563" s="6335"/>
      <c r="E563" s="6362" t="s">
        <v>218</v>
      </c>
      <c r="F563" s="6363"/>
      <c r="G563" s="6372"/>
      <c r="H563" s="6373" t="str">
        <f>IMAGE("https://raw.githubusercontent.com/msikma/pokesprite/master/misc/types/gen8/poison.png",4,20,20)</f>
        <v/>
      </c>
      <c r="I563" s="6345"/>
      <c r="J563" s="6362" t="s">
        <v>459</v>
      </c>
      <c r="K563" s="6363"/>
      <c r="L563" s="6372"/>
      <c r="M563" s="6373" t="str">
        <f t="shared" ref="M563:M564" si="22">IMAGE("https://raw.githubusercontent.com/msikma/pokesprite/master/misc/types/gen8/water.png",4,20,20)</f>
        <v/>
      </c>
      <c r="N563" s="6345"/>
      <c r="O563" s="6362" t="s">
        <v>428</v>
      </c>
      <c r="P563" s="6363"/>
      <c r="Q563" s="6372"/>
      <c r="R563" s="6373" t="str">
        <f>IMAGE("https://raw.githubusercontent.com/msikma/pokesprite/master/misc/types/gen8/normal.png",4,20,20)</f>
        <v/>
      </c>
      <c r="S563" s="6335"/>
      <c r="T563" s="6362" t="s">
        <v>1309</v>
      </c>
      <c r="U563" s="6363"/>
      <c r="V563" s="6372"/>
      <c r="W563" s="6373" t="str">
        <f>IMAGE("https://raw.githubusercontent.com/msikma/pokesprite/master/misc/types/gen8/water.png",4,20,20)</f>
        <v/>
      </c>
      <c r="X563" s="6334"/>
      <c r="Y563" s="6335"/>
      <c r="Z563" s="6336"/>
      <c r="AA563" s="6336"/>
      <c r="AB563" s="6337"/>
      <c r="AC563" s="6334"/>
      <c r="AD563" s="6335"/>
      <c r="AE563" s="6336"/>
      <c r="AF563" s="6336"/>
      <c r="AG563" s="6337"/>
      <c r="AH563" s="6338"/>
      <c r="AI563" s="6129"/>
    </row>
    <row r="564" ht="20.25" customHeight="1">
      <c r="A564" s="6125"/>
      <c r="B564" s="6329"/>
      <c r="C564" s="6374"/>
      <c r="D564" s="6335"/>
      <c r="E564" s="6365" t="s">
        <v>1398</v>
      </c>
      <c r="F564" s="6336"/>
      <c r="G564" s="6337"/>
      <c r="H564" s="6375" t="str">
        <f>IMAGE("https://raw.githubusercontent.com/msikma/pokesprite/master/misc/types/gen8/dark.png",4,20,20)</f>
        <v/>
      </c>
      <c r="I564" s="6345"/>
      <c r="J564" s="6365" t="s">
        <v>219</v>
      </c>
      <c r="K564" s="6336"/>
      <c r="L564" s="6337"/>
      <c r="M564" s="6375" t="str">
        <f t="shared" si="22"/>
        <v/>
      </c>
      <c r="N564" s="6423"/>
      <c r="O564" s="6365" t="s">
        <v>459</v>
      </c>
      <c r="P564" s="6336"/>
      <c r="Q564" s="6337"/>
      <c r="R564" s="6375" t="str">
        <f>IMAGE("https://raw.githubusercontent.com/msikma/pokesprite/master/misc/types/gen8/water.png",4,20,20)</f>
        <v/>
      </c>
      <c r="S564" s="6335"/>
      <c r="T564" s="6365" t="s">
        <v>1310</v>
      </c>
      <c r="U564" s="6336"/>
      <c r="V564" s="6337"/>
      <c r="W564" s="6375" t="str">
        <f>IMAGE("https://raw.githubusercontent.com/msikma/pokesprite/master/misc/types/gen8/fighting.png",4,20,20)</f>
        <v/>
      </c>
      <c r="X564" s="6334"/>
      <c r="Y564" s="6335"/>
      <c r="Z564" s="6336"/>
      <c r="AA564" s="6336"/>
      <c r="AB564" s="6337"/>
      <c r="AC564" s="6334"/>
      <c r="AD564" s="6335"/>
      <c r="AE564" s="6336"/>
      <c r="AF564" s="6336"/>
      <c r="AG564" s="6337"/>
      <c r="AH564" s="6338"/>
      <c r="AI564" s="6129"/>
    </row>
    <row r="565" ht="20.25" customHeight="1">
      <c r="A565" s="6125"/>
      <c r="B565" s="6329"/>
      <c r="C565" s="6374"/>
      <c r="D565" s="6335"/>
      <c r="E565" s="6365" t="s">
        <v>1394</v>
      </c>
      <c r="F565" s="6336"/>
      <c r="G565" s="6337"/>
      <c r="H565" s="6375" t="str">
        <f>IMAGE("https://raw.githubusercontent.com/msikma/pokesprite/master/misc/types/gen8/poison.png",4,20,20)</f>
        <v/>
      </c>
      <c r="I565" s="6345"/>
      <c r="J565" s="6365" t="s">
        <v>316</v>
      </c>
      <c r="K565" s="6336"/>
      <c r="L565" s="6337"/>
      <c r="M565" s="6375" t="str">
        <f>IMAGE("https://raw.githubusercontent.com/msikma/pokesprite/master/misc/types/gen8/fighting.png",4,20,20)</f>
        <v/>
      </c>
      <c r="N565" s="6423"/>
      <c r="O565" s="6365" t="s">
        <v>632</v>
      </c>
      <c r="P565" s="6336"/>
      <c r="Q565" s="6337"/>
      <c r="R565" s="6375" t="str">
        <f>IMAGE("https://raw.githubusercontent.com/msikma/pokesprite/master/misc/types/gen8/ice.png",4,20,20)</f>
        <v/>
      </c>
      <c r="S565" s="6335"/>
      <c r="T565" s="6365" t="s">
        <v>813</v>
      </c>
      <c r="U565" s="6336"/>
      <c r="V565" s="6337"/>
      <c r="W565" s="6375" t="str">
        <f>IMAGE("https://raw.githubusercontent.com/msikma/pokesprite/master/misc/types/gen8/ice.png",4,20,20)</f>
        <v/>
      </c>
      <c r="X565" s="6334"/>
      <c r="Y565" s="6335"/>
      <c r="Z565" s="6336"/>
      <c r="AA565" s="6336"/>
      <c r="AB565" s="6337"/>
      <c r="AC565" s="6334"/>
      <c r="AD565" s="6335"/>
      <c r="AE565" s="6336"/>
      <c r="AF565" s="6336"/>
      <c r="AG565" s="6337"/>
      <c r="AH565" s="6338"/>
      <c r="AI565" s="6129"/>
    </row>
    <row r="566" ht="21.0" customHeight="1">
      <c r="A566" s="6125"/>
      <c r="B566" s="6329"/>
      <c r="C566" s="6374"/>
      <c r="D566" s="6335"/>
      <c r="E566" s="6376" t="s">
        <v>1684</v>
      </c>
      <c r="F566" s="6377"/>
      <c r="G566" s="6378"/>
      <c r="H566" s="6379" t="str">
        <f>IMAGE("https://raw.githubusercontent.com/msikma/pokesprite/master/misc/types/gen8/ghost.png",4,20,20)</f>
        <v/>
      </c>
      <c r="I566" s="6345"/>
      <c r="J566" s="6376" t="s">
        <v>863</v>
      </c>
      <c r="K566" s="6377"/>
      <c r="L566" s="6378"/>
      <c r="M566" s="6379" t="str">
        <f>IMAGE("https://raw.githubusercontent.com/msikma/pokesprite/master/misc/types/gen8/psychic.png",4,20,20)</f>
        <v/>
      </c>
      <c r="N566" s="6423"/>
      <c r="O566" s="6376" t="s">
        <v>638</v>
      </c>
      <c r="P566" s="6377"/>
      <c r="Q566" s="6378"/>
      <c r="R566" s="6379" t="str">
        <f>IMAGE("https://raw.githubusercontent.com/msikma/pokesprite/master/misc/types/gen8/rock.png",4,20,20)</f>
        <v/>
      </c>
      <c r="S566" s="6335"/>
      <c r="T566" s="6376" t="s">
        <v>1685</v>
      </c>
      <c r="U566" s="6377"/>
      <c r="V566" s="6378"/>
      <c r="W566" s="6379" t="str">
        <f>IMAGE("https://raw.githubusercontent.com/msikma/pokesprite/master/misc/types/gen8/rock.png",4,20,20)</f>
        <v/>
      </c>
      <c r="X566" s="6334"/>
      <c r="Y566" s="6335"/>
      <c r="Z566" s="6336"/>
      <c r="AA566" s="6336"/>
      <c r="AB566" s="6337"/>
      <c r="AC566" s="6334"/>
      <c r="AD566" s="6335"/>
      <c r="AE566" s="6336"/>
      <c r="AF566" s="6336"/>
      <c r="AG566" s="6337"/>
      <c r="AH566" s="6338"/>
      <c r="AI566" s="6129"/>
    </row>
    <row r="567" ht="3.0" customHeight="1">
      <c r="A567" s="6185"/>
      <c r="B567" s="6380"/>
      <c r="C567" s="6381"/>
      <c r="D567" s="6382"/>
      <c r="E567" s="6429"/>
      <c r="F567" s="6429"/>
      <c r="G567" s="6429"/>
      <c r="H567" s="6383"/>
      <c r="I567" s="6382"/>
      <c r="J567" s="6567"/>
      <c r="K567" s="6567"/>
      <c r="L567" s="6567"/>
      <c r="M567" s="6567"/>
      <c r="N567" s="6382"/>
      <c r="O567" s="6429"/>
      <c r="P567" s="6429"/>
      <c r="Q567" s="6429"/>
      <c r="R567" s="6383"/>
      <c r="S567" s="6383"/>
      <c r="T567" s="6429"/>
      <c r="U567" s="6429"/>
      <c r="V567" s="6429"/>
      <c r="W567" s="6383"/>
      <c r="X567" s="6382"/>
      <c r="Y567" s="6383"/>
      <c r="Z567" s="6383"/>
      <c r="AA567" s="6383"/>
      <c r="AB567" s="6383"/>
      <c r="AC567" s="6385"/>
      <c r="AD567" s="6383"/>
      <c r="AE567" s="6383"/>
      <c r="AF567" s="6383"/>
      <c r="AG567" s="6383"/>
      <c r="AH567" s="6386"/>
      <c r="AI567" s="6192"/>
    </row>
    <row r="568" ht="16.5" customHeight="1">
      <c r="A568" s="6185"/>
      <c r="B568" s="6387"/>
      <c r="C568" s="6381"/>
      <c r="D568" s="6392"/>
      <c r="E568" s="6389" t="s">
        <v>190</v>
      </c>
      <c r="F568" s="381"/>
      <c r="G568" s="382"/>
      <c r="H568" s="6390" t="s">
        <v>191</v>
      </c>
      <c r="I568" s="6399"/>
      <c r="J568" s="6389" t="s">
        <v>190</v>
      </c>
      <c r="K568" s="381"/>
      <c r="L568" s="382"/>
      <c r="M568" s="6390" t="s">
        <v>191</v>
      </c>
      <c r="N568" s="6392"/>
      <c r="O568" s="6389" t="s">
        <v>190</v>
      </c>
      <c r="P568" s="381"/>
      <c r="Q568" s="382"/>
      <c r="R568" s="6390" t="s">
        <v>191</v>
      </c>
      <c r="S568" s="6430"/>
      <c r="T568" s="6389" t="s">
        <v>190</v>
      </c>
      <c r="U568" s="381"/>
      <c r="V568" s="382"/>
      <c r="W568" s="6390" t="s">
        <v>191</v>
      </c>
      <c r="X568" s="6334"/>
      <c r="Y568" s="6334"/>
      <c r="Z568" s="6334"/>
      <c r="AA568" s="6334"/>
      <c r="AB568" s="6334"/>
      <c r="AC568" s="6334"/>
      <c r="AD568" s="6334"/>
      <c r="AE568" s="6334"/>
      <c r="AF568" s="6334"/>
      <c r="AG568" s="6393"/>
      <c r="AH568" s="6394"/>
      <c r="AI568" s="6192"/>
    </row>
    <row r="569" ht="16.5" customHeight="1">
      <c r="A569" s="6185"/>
      <c r="B569" s="6387"/>
      <c r="C569" s="6381"/>
      <c r="D569" s="6388"/>
      <c r="E569" s="6395" t="s">
        <v>192</v>
      </c>
      <c r="F569" s="6396">
        <f t="array" ref="F569">IFERROR(VLOOKUP(E556,Dex!$B$3:$N1218,8,FALSE),"")</f>
        <v>95</v>
      </c>
      <c r="G569" s="6397" t="str">
        <f t="array" ref="G569">IFERROR(VLOOKUP(F569,Dex!$P$22:$Q$276,2,FALSE),"")</f>
        <v/>
      </c>
      <c r="H569" s="6398"/>
      <c r="I569" s="6399"/>
      <c r="J569" s="6395" t="s">
        <v>192</v>
      </c>
      <c r="K569" s="6396">
        <f t="array" ref="K569">IFERROR(VLOOKUP(J556,Dex!$B$3:$N1218,8,FALSE),"")</f>
        <v>61</v>
      </c>
      <c r="L569" s="6397" t="str">
        <f t="array" ref="L569">IFERROR(VLOOKUP(K569,Dex!$P$22:$Q$276,2,FALSE),"")</f>
        <v/>
      </c>
      <c r="M569" s="6398"/>
      <c r="N569" s="6388"/>
      <c r="O569" s="6395" t="s">
        <v>192</v>
      </c>
      <c r="P569" s="6396">
        <f t="array" ref="P569">IFERROR(VLOOKUP(O556,Dex!$B$3:$N1218,8,FALSE),"")</f>
        <v>50</v>
      </c>
      <c r="Q569" s="6397" t="str">
        <f t="array" ref="Q569">IFERROR(VLOOKUP(P569,Dex!$P$22:$Q$276,2,FALSE),"")</f>
        <v/>
      </c>
      <c r="R569" s="6398"/>
      <c r="S569" s="6400"/>
      <c r="T569" s="6395" t="s">
        <v>192</v>
      </c>
      <c r="U569" s="6396">
        <f t="array" ref="U569">IFERROR(VLOOKUP(T556,Dex!$B$3:$N1218,8,FALSE),"")</f>
        <v>90</v>
      </c>
      <c r="V569" s="6397" t="str">
        <f t="array" ref="V569">IFERROR(VLOOKUP(U569,Dex!$P$22:$Q$276,2,FALSE),"")</f>
        <v/>
      </c>
      <c r="W569" s="6398">
        <v>252.0</v>
      </c>
      <c r="X569" s="6334"/>
      <c r="Y569" s="6334"/>
      <c r="Z569" s="6334"/>
      <c r="AA569" s="6334"/>
      <c r="AB569" s="6334"/>
      <c r="AC569" s="6334"/>
      <c r="AD569" s="6334"/>
      <c r="AE569" s="6334"/>
      <c r="AF569" s="6334"/>
      <c r="AG569" s="6393"/>
      <c r="AH569" s="6394"/>
      <c r="AI569" s="6192"/>
    </row>
    <row r="570" ht="16.5" customHeight="1">
      <c r="A570" s="6185"/>
      <c r="B570" s="6387"/>
      <c r="C570" s="6381"/>
      <c r="D570" s="6388"/>
      <c r="E570" s="6401" t="s">
        <v>193</v>
      </c>
      <c r="F570" s="6402">
        <f t="array" ref="F570">IFERROR(VLOOKUP(E556,Dex!$B$3:$N1218,9,FALSE),"")</f>
        <v>115</v>
      </c>
      <c r="G570" s="6403" t="str">
        <f t="array" ref="G570">IFERROR(VLOOKUP(F570,Dex!$P$22:$Q$276,2,FALSE),"")</f>
        <v/>
      </c>
      <c r="H570" s="6404">
        <v>252.0</v>
      </c>
      <c r="I570" s="6399"/>
      <c r="J570" s="6401" t="s">
        <v>193</v>
      </c>
      <c r="K570" s="6402">
        <f t="array" ref="K570">IFERROR(VLOOKUP(J556,Dex!$B$3:$N1218,9,FALSE),"")</f>
        <v>123</v>
      </c>
      <c r="L570" s="6403" t="str">
        <f t="array" ref="L570">IFERROR(VLOOKUP(K570,Dex!$P$22:$Q$276,2,FALSE),"")</f>
        <v/>
      </c>
      <c r="M570" s="6404">
        <v>252.0</v>
      </c>
      <c r="N570" s="6388"/>
      <c r="O570" s="6401" t="s">
        <v>193</v>
      </c>
      <c r="P570" s="6402">
        <f t="array" ref="P570">IFERROR(VLOOKUP(O556,Dex!$B$3:$N1218,9,FALSE),"")</f>
        <v>95</v>
      </c>
      <c r="Q570" s="6403" t="str">
        <f t="array" ref="Q570">IFERROR(VLOOKUP(P570,Dex!$P$22:$Q$276,2,FALSE),"")</f>
        <v/>
      </c>
      <c r="R570" s="6404"/>
      <c r="S570" s="6400"/>
      <c r="T570" s="6401" t="s">
        <v>193</v>
      </c>
      <c r="U570" s="6402">
        <f t="array" ref="U570">IFERROR(VLOOKUP(T556,Dex!$B$3:$N1218,9,FALSE),"")</f>
        <v>155</v>
      </c>
      <c r="V570" s="6403" t="str">
        <f t="array" ref="V570">IFERROR(VLOOKUP(U570,Dex!$P$22:$Q$276,2,FALSE),"")</f>
        <v/>
      </c>
      <c r="W570" s="6404">
        <v>252.0</v>
      </c>
      <c r="X570" s="6335"/>
      <c r="Y570" s="6336"/>
      <c r="Z570" s="6336"/>
      <c r="AA570" s="6337"/>
      <c r="AB570" s="6334"/>
      <c r="AC570" s="6335"/>
      <c r="AD570" s="6336"/>
      <c r="AE570" s="6336"/>
      <c r="AF570" s="6337"/>
      <c r="AG570" s="6393"/>
      <c r="AH570" s="6394"/>
      <c r="AI570" s="6192"/>
    </row>
    <row r="571" ht="16.5" customHeight="1">
      <c r="A571" s="6185"/>
      <c r="B571" s="6387"/>
      <c r="C571" s="6381"/>
      <c r="D571" s="6388"/>
      <c r="E571" s="6401" t="s">
        <v>194</v>
      </c>
      <c r="F571" s="6402">
        <f t="array" ref="F571">IFERROR(VLOOKUP(E556,Dex!$B$3:$N1218,10,FALSE),"")</f>
        <v>100</v>
      </c>
      <c r="G571" s="6403" t="str">
        <f t="array" ref="G571">IFERROR(VLOOKUP(F571,Dex!$P$22:$Q$276,2,FALSE),"")</f>
        <v/>
      </c>
      <c r="H571" s="6404">
        <v>4.0</v>
      </c>
      <c r="I571" s="6399"/>
      <c r="J571" s="6401" t="s">
        <v>194</v>
      </c>
      <c r="K571" s="6402">
        <f t="array" ref="K571">IFERROR(VLOOKUP(J556,Dex!$B$3:$N1218,10,FALSE),"")</f>
        <v>60</v>
      </c>
      <c r="L571" s="6403" t="str">
        <f t="array" ref="L571">IFERROR(VLOOKUP(K571,Dex!$P$22:$Q$276,2,FALSE),"")</f>
        <v/>
      </c>
      <c r="M571" s="6404">
        <v>4.0</v>
      </c>
      <c r="N571" s="6388"/>
      <c r="O571" s="6401" t="s">
        <v>194</v>
      </c>
      <c r="P571" s="6402">
        <f t="array" ref="P571">IFERROR(VLOOKUP(O556,Dex!$B$3:$N1218,10,FALSE),"")</f>
        <v>180</v>
      </c>
      <c r="Q571" s="6403" t="str">
        <f t="array" ref="Q571">IFERROR(VLOOKUP(P571,Dex!$P$22:$Q$276,2,FALSE),"")</f>
        <v/>
      </c>
      <c r="R571" s="6404">
        <v>4.0</v>
      </c>
      <c r="S571" s="6400"/>
      <c r="T571" s="6401" t="s">
        <v>194</v>
      </c>
      <c r="U571" s="6402">
        <f t="array" ref="U571">IFERROR(VLOOKUP(T556,Dex!$B$3:$N1218,10,FALSE),"")</f>
        <v>125</v>
      </c>
      <c r="V571" s="6403" t="str">
        <f t="array" ref="V571">IFERROR(VLOOKUP(U571,Dex!$P$22:$Q$276,2,FALSE),"")</f>
        <v/>
      </c>
      <c r="W571" s="6404">
        <v>4.0</v>
      </c>
      <c r="X571" s="6335"/>
      <c r="Y571" s="6336"/>
      <c r="Z571" s="6336"/>
      <c r="AA571" s="6337"/>
      <c r="AB571" s="6334"/>
      <c r="AC571" s="6335"/>
      <c r="AD571" s="6336"/>
      <c r="AE571" s="6336"/>
      <c r="AF571" s="6337"/>
      <c r="AG571" s="6393"/>
      <c r="AH571" s="6394"/>
      <c r="AI571" s="6192"/>
    </row>
    <row r="572" ht="16.5" customHeight="1">
      <c r="A572" s="6185"/>
      <c r="B572" s="6387"/>
      <c r="C572" s="6381"/>
      <c r="D572" s="6388"/>
      <c r="E572" s="6401" t="s">
        <v>195</v>
      </c>
      <c r="F572" s="6402">
        <f t="array" ref="F572">IFERROR(VLOOKUP(E556,Dex!$B$3:$N1218,11,FALSE),"")</f>
        <v>55</v>
      </c>
      <c r="G572" s="6403" t="str">
        <f t="array" ref="G572">IFERROR(VLOOKUP(F572,Dex!$P$22:$Q$276,2,FALSE),"")</f>
        <v/>
      </c>
      <c r="H572" s="6404"/>
      <c r="I572" s="6399"/>
      <c r="J572" s="6401" t="s">
        <v>195</v>
      </c>
      <c r="K572" s="6402">
        <f t="array" ref="K572">IFERROR(VLOOKUP(J556,Dex!$B$3:$N1218,11,FALSE),"")</f>
        <v>60</v>
      </c>
      <c r="L572" s="6403" t="str">
        <f t="array" ref="L572">IFERROR(VLOOKUP(K572,Dex!$P$22:$Q$276,2,FALSE),"")</f>
        <v/>
      </c>
      <c r="M572" s="6404"/>
      <c r="N572" s="6388"/>
      <c r="O572" s="6401" t="s">
        <v>195</v>
      </c>
      <c r="P572" s="6402">
        <f t="array" ref="P572">IFERROR(VLOOKUP(O556,Dex!$B$3:$N1218,11,FALSE),"")</f>
        <v>85</v>
      </c>
      <c r="Q572" s="6403" t="str">
        <f t="array" ref="Q572">IFERROR(VLOOKUP(P572,Dex!$P$22:$Q$276,2,FALSE),"")</f>
        <v/>
      </c>
      <c r="R572" s="6404">
        <v>252.0</v>
      </c>
      <c r="S572" s="6400"/>
      <c r="T572" s="6401" t="s">
        <v>195</v>
      </c>
      <c r="U572" s="6402">
        <f t="array" ref="U572">IFERROR(VLOOKUP(T556,Dex!$B$3:$N1218,11,FALSE),"")</f>
        <v>48</v>
      </c>
      <c r="V572" s="6403" t="str">
        <f t="array" ref="V572">IFERROR(VLOOKUP(U572,Dex!$P$22:$Q$276,2,FALSE),"")</f>
        <v/>
      </c>
      <c r="W572" s="6404"/>
      <c r="X572" s="6334"/>
      <c r="Y572" s="6334"/>
      <c r="Z572" s="6334"/>
      <c r="AA572" s="6334"/>
      <c r="AB572" s="6334"/>
      <c r="AC572" s="6335"/>
      <c r="AD572" s="6336"/>
      <c r="AE572" s="6336"/>
      <c r="AF572" s="6337"/>
      <c r="AG572" s="6393"/>
      <c r="AH572" s="6394"/>
      <c r="AI572" s="6192"/>
    </row>
    <row r="573" ht="16.5" customHeight="1">
      <c r="A573" s="6185"/>
      <c r="B573" s="6387"/>
      <c r="C573" s="6381"/>
      <c r="D573" s="6388"/>
      <c r="E573" s="6401" t="s">
        <v>196</v>
      </c>
      <c r="F573" s="6402">
        <f t="array" ref="F573">IFERROR(VLOOKUP(E556,Dex!$B$3:$N1218,12,FALSE),"")</f>
        <v>80</v>
      </c>
      <c r="G573" s="6403" t="str">
        <f t="array" ref="G573">IFERROR(VLOOKUP(F573,Dex!$P$22:$Q$276,2,FALSE),"")</f>
        <v/>
      </c>
      <c r="H573" s="6404"/>
      <c r="I573" s="6399"/>
      <c r="J573" s="6401" t="s">
        <v>196</v>
      </c>
      <c r="K573" s="6402">
        <f t="array" ref="K573">IFERROR(VLOOKUP(J556,Dex!$B$3:$N1218,12,FALSE),"")</f>
        <v>50</v>
      </c>
      <c r="L573" s="6403" t="str">
        <f t="array" ref="L573">IFERROR(VLOOKUP(K573,Dex!$P$22:$Q$276,2,FALSE),"")</f>
        <v/>
      </c>
      <c r="M573" s="6404"/>
      <c r="N573" s="6388"/>
      <c r="O573" s="6401" t="s">
        <v>196</v>
      </c>
      <c r="P573" s="6402">
        <f t="array" ref="P573">IFERROR(VLOOKUP(O556,Dex!$B$3:$N1218,12,FALSE),"")</f>
        <v>45</v>
      </c>
      <c r="Q573" s="6403" t="str">
        <f t="array" ref="Q573">IFERROR(VLOOKUP(P573,Dex!$P$22:$Q$276,2,FALSE),"")</f>
        <v/>
      </c>
      <c r="R573" s="6404"/>
      <c r="S573" s="6400"/>
      <c r="T573" s="6401" t="s">
        <v>196</v>
      </c>
      <c r="U573" s="6402">
        <f t="array" ref="U573">IFERROR(VLOOKUP(T556,Dex!$B$3:$N1218,12,FALSE),"")</f>
        <v>98</v>
      </c>
      <c r="V573" s="6403" t="str">
        <f t="array" ref="V573">IFERROR(VLOOKUP(U573,Dex!$P$22:$Q$276,2,FALSE),"")</f>
        <v/>
      </c>
      <c r="W573" s="6404"/>
      <c r="X573" s="6334"/>
      <c r="Y573" s="6334"/>
      <c r="Z573" s="6334"/>
      <c r="AA573" s="6334"/>
      <c r="AB573" s="6334"/>
      <c r="AC573" s="6335"/>
      <c r="AD573" s="6336"/>
      <c r="AE573" s="6336"/>
      <c r="AF573" s="6337"/>
      <c r="AG573" s="6393"/>
      <c r="AH573" s="6394"/>
      <c r="AI573" s="6192"/>
    </row>
    <row r="574" ht="16.5" customHeight="1">
      <c r="A574" s="6185"/>
      <c r="B574" s="6387"/>
      <c r="C574" s="6381"/>
      <c r="D574" s="6388"/>
      <c r="E574" s="6405" t="s">
        <v>197</v>
      </c>
      <c r="F574" s="6406">
        <f t="array" ref="F574">IFERROR(VLOOKUP(E556,Dex!$B$3:$N1218,13,FALSE),"")</f>
        <v>85</v>
      </c>
      <c r="G574" s="6407" t="str">
        <f t="array" ref="G574">IFERROR(VLOOKUP(F574,Dex!$P$22:$Q$276,2,FALSE),"")</f>
        <v/>
      </c>
      <c r="H574" s="6408">
        <v>252.0</v>
      </c>
      <c r="I574" s="6399"/>
      <c r="J574" s="6405" t="s">
        <v>197</v>
      </c>
      <c r="K574" s="6406">
        <f t="array" ref="K574">IFERROR(VLOOKUP(J556,Dex!$B$3:$N1218,13,FALSE),"")</f>
        <v>136</v>
      </c>
      <c r="L574" s="6407" t="str">
        <f t="array" ref="L574">IFERROR(VLOOKUP(K574,Dex!$P$22:$Q$276,2,FALSE),"")</f>
        <v/>
      </c>
      <c r="M574" s="6408">
        <v>252.0</v>
      </c>
      <c r="N574" s="6388"/>
      <c r="O574" s="6405" t="s">
        <v>197</v>
      </c>
      <c r="P574" s="6406">
        <f t="array" ref="P574">IFERROR(VLOOKUP(O556,Dex!$B$3:$N1218,13,FALSE),"")</f>
        <v>70</v>
      </c>
      <c r="Q574" s="6407" t="str">
        <f t="array" ref="Q574">IFERROR(VLOOKUP(P574,Dex!$P$22:$Q$276,2,FALSE),"")</f>
        <v/>
      </c>
      <c r="R574" s="6408">
        <v>252.0</v>
      </c>
      <c r="S574" s="6400"/>
      <c r="T574" s="6405" t="s">
        <v>197</v>
      </c>
      <c r="U574" s="6406">
        <f t="array" ref="U574">IFERROR(VLOOKUP(T556,Dex!$B$3:$N1218,13,FALSE),"")</f>
        <v>85</v>
      </c>
      <c r="V574" s="6407" t="str">
        <f t="array" ref="V574">IFERROR(VLOOKUP(U574,Dex!$P$22:$Q$276,2,FALSE),"")</f>
        <v/>
      </c>
      <c r="W574" s="6408"/>
      <c r="X574" s="6334"/>
      <c r="Y574" s="6335"/>
      <c r="Z574" s="6336"/>
      <c r="AA574" s="6336"/>
      <c r="AB574" s="6337"/>
      <c r="AC574" s="6335"/>
      <c r="AD574" s="6336"/>
      <c r="AE574" s="6336"/>
      <c r="AF574" s="6337"/>
      <c r="AG574" s="6334"/>
      <c r="AH574" s="6394"/>
      <c r="AI574" s="6192"/>
    </row>
    <row r="575" ht="16.5" customHeight="1">
      <c r="A575" s="6185"/>
      <c r="B575" s="6387"/>
      <c r="C575" s="6381"/>
      <c r="D575" s="6392"/>
      <c r="E575" s="6409" t="s">
        <v>198</v>
      </c>
      <c r="F575" s="405"/>
      <c r="G575" s="406"/>
      <c r="H575" s="6410">
        <v>295.0</v>
      </c>
      <c r="I575" s="6391"/>
      <c r="J575" s="6431" t="s">
        <v>198</v>
      </c>
      <c r="K575" s="918"/>
      <c r="L575" s="919"/>
      <c r="M575" s="6432">
        <v>399.0</v>
      </c>
      <c r="N575" s="6392"/>
      <c r="O575" s="6409" t="s">
        <v>198</v>
      </c>
      <c r="P575" s="405"/>
      <c r="Q575" s="406"/>
      <c r="R575" s="6410">
        <v>259.0</v>
      </c>
      <c r="S575" s="6568"/>
      <c r="T575" s="6409" t="s">
        <v>198</v>
      </c>
      <c r="U575" s="405"/>
      <c r="V575" s="406"/>
      <c r="W575" s="6410">
        <v>206.0</v>
      </c>
      <c r="X575" s="6334"/>
      <c r="Y575" s="6335"/>
      <c r="Z575" s="6336"/>
      <c r="AA575" s="6336"/>
      <c r="AB575" s="6337"/>
      <c r="AC575" s="6335"/>
      <c r="AD575" s="6336"/>
      <c r="AE575" s="6336"/>
      <c r="AF575" s="6337"/>
      <c r="AG575" s="6334"/>
      <c r="AH575" s="6394"/>
      <c r="AI575" s="6192"/>
    </row>
    <row r="576" ht="16.5" customHeight="1">
      <c r="A576" s="6185"/>
      <c r="B576" s="6433"/>
      <c r="C576" s="6434"/>
      <c r="D576" s="6435"/>
      <c r="E576" s="6436"/>
      <c r="F576" s="6436"/>
      <c r="G576" s="6436"/>
      <c r="H576" s="6381"/>
      <c r="I576" s="6437"/>
      <c r="J576" s="6439" t="s">
        <v>465</v>
      </c>
      <c r="K576" s="925"/>
      <c r="L576" s="926"/>
      <c r="M576" s="6440">
        <v>798.0</v>
      </c>
      <c r="N576" s="6435"/>
      <c r="O576" s="6436"/>
      <c r="P576" s="6436"/>
      <c r="Q576" s="6436"/>
      <c r="R576" s="6381"/>
      <c r="S576" s="6569"/>
      <c r="T576" s="6436"/>
      <c r="U576" s="6436"/>
      <c r="V576" s="6436"/>
      <c r="W576" s="6381"/>
      <c r="X576" s="6441"/>
      <c r="Y576" s="6441"/>
      <c r="Z576" s="6441"/>
      <c r="AA576" s="6441"/>
      <c r="AB576" s="6441"/>
      <c r="AC576" s="6441"/>
      <c r="AD576" s="6441"/>
      <c r="AE576" s="6441"/>
      <c r="AF576" s="6441"/>
      <c r="AG576" s="6441"/>
      <c r="AH576" s="6442"/>
      <c r="AI576" s="6192"/>
    </row>
    <row r="577" ht="15.0" customHeight="1">
      <c r="A577" s="6125"/>
      <c r="B577" s="6411"/>
      <c r="C577" s="6412"/>
      <c r="D577" s="6413"/>
      <c r="E577" s="6414"/>
      <c r="F577" s="6414"/>
      <c r="G577" s="6414"/>
      <c r="H577" s="6414"/>
      <c r="I577" s="6415"/>
      <c r="J577" s="6414"/>
      <c r="K577" s="6414"/>
      <c r="L577" s="6414"/>
      <c r="M577" s="6414"/>
      <c r="N577" s="6415"/>
      <c r="O577" s="6414"/>
      <c r="P577" s="6414"/>
      <c r="Q577" s="6414"/>
      <c r="R577" s="6414"/>
      <c r="S577" s="6413"/>
      <c r="T577" s="6570"/>
      <c r="U577" s="3185"/>
      <c r="V577" s="3185"/>
      <c r="W577" s="6571"/>
      <c r="X577" s="6413"/>
      <c r="Y577" s="6417"/>
      <c r="Z577" s="6418"/>
      <c r="AA577" s="6418"/>
      <c r="AB577" s="6419"/>
      <c r="AC577" s="6413"/>
      <c r="AD577" s="6413"/>
      <c r="AE577" s="6413"/>
      <c r="AF577" s="6413"/>
      <c r="AG577" s="6413"/>
      <c r="AH577" s="6420"/>
      <c r="AI577" s="6129"/>
    </row>
    <row r="578" ht="15.0" customHeight="1">
      <c r="A578" s="6185"/>
      <c r="B578" s="6324"/>
      <c r="C578" s="6325"/>
      <c r="D578" s="6326"/>
      <c r="E578" s="6421"/>
      <c r="F578" s="6421"/>
      <c r="G578" s="6421"/>
      <c r="H578" s="6421"/>
      <c r="I578" s="6327"/>
      <c r="J578" s="6421"/>
      <c r="K578" s="6421"/>
      <c r="L578" s="6421"/>
      <c r="M578" s="6421"/>
      <c r="N578" s="6327"/>
      <c r="O578" s="6421"/>
      <c r="P578" s="6421"/>
      <c r="Q578" s="6421"/>
      <c r="R578" s="6421"/>
      <c r="S578" s="6327"/>
      <c r="T578" s="6421"/>
      <c r="U578" s="6421"/>
      <c r="V578" s="6421"/>
      <c r="W578" s="6421"/>
      <c r="X578" s="6327"/>
      <c r="Y578" s="6326"/>
      <c r="Z578" s="6326"/>
      <c r="AA578" s="6326"/>
      <c r="AB578" s="6326"/>
      <c r="AC578" s="6327"/>
      <c r="AD578" s="6326"/>
      <c r="AE578" s="6326"/>
      <c r="AF578" s="6326"/>
      <c r="AG578" s="6326"/>
      <c r="AH578" s="6328"/>
      <c r="AI578" s="6192"/>
    </row>
    <row r="579" ht="96.75" customHeight="1">
      <c r="A579" s="6185"/>
      <c r="B579" s="6329"/>
      <c r="C579" s="6330" t="str">
        <f>IMAGE("https://i.ibb.co/qNMR4cv/SwimmerF.png")</f>
        <v/>
      </c>
      <c r="D579" s="6422"/>
      <c r="E579" s="6332" t="str">
        <f t="array" ref="E579">IFERROR(VLOOKUP(E580,Dex!$B$3:$G1218,3,FALSE),"")</f>
        <v/>
      </c>
      <c r="F579" s="1830"/>
      <c r="G579" s="1830"/>
      <c r="H579" s="1831"/>
      <c r="I579" s="6423"/>
      <c r="J579" s="6332" t="str">
        <f t="array" ref="J579">IFERROR(VLOOKUP(J580,Dex!$B$3:$G1218,3,FALSE),"")</f>
        <v/>
      </c>
      <c r="K579" s="1830"/>
      <c r="L579" s="1830"/>
      <c r="M579" s="1831"/>
      <c r="N579" s="6423"/>
      <c r="O579" s="6332" t="str">
        <f t="array" ref="O579">IFERROR(VLOOKUP(O580,Dex!$B$3:$G1218,3,FALSE),"")</f>
        <v/>
      </c>
      <c r="P579" s="1830"/>
      <c r="Q579" s="1830"/>
      <c r="R579" s="1831"/>
      <c r="S579" s="6424"/>
      <c r="T579" s="6332" t="str">
        <f t="array" ref="T579">IFERROR(VLOOKUP(T580,Dex!$B$3:$G1218,3,FALSE),"")</f>
        <v/>
      </c>
      <c r="U579" s="1830"/>
      <c r="V579" s="1830"/>
      <c r="W579" s="1831"/>
      <c r="X579" s="6425"/>
      <c r="Y579" s="6335"/>
      <c r="Z579" s="6336"/>
      <c r="AA579" s="6336"/>
      <c r="AB579" s="6337"/>
      <c r="AC579" s="6334"/>
      <c r="AD579" s="6335"/>
      <c r="AE579" s="6336"/>
      <c r="AF579" s="6336"/>
      <c r="AG579" s="6337"/>
      <c r="AH579" s="6338"/>
      <c r="AI579" s="6192"/>
    </row>
    <row r="580" ht="18.75" customHeight="1">
      <c r="A580" s="6140"/>
      <c r="B580" s="6339"/>
      <c r="C580" s="6340" t="s">
        <v>1686</v>
      </c>
      <c r="D580" s="6426"/>
      <c r="E580" s="6342" t="s">
        <v>1687</v>
      </c>
      <c r="F580" s="6343"/>
      <c r="G580" s="6343"/>
      <c r="H580" s="6344"/>
      <c r="I580" s="6423"/>
      <c r="J580" s="6342" t="s">
        <v>1688</v>
      </c>
      <c r="K580" s="6343"/>
      <c r="L580" s="6343"/>
      <c r="M580" s="6344"/>
      <c r="N580" s="6423"/>
      <c r="O580" s="6342" t="s">
        <v>202</v>
      </c>
      <c r="P580" s="6343"/>
      <c r="Q580" s="6343"/>
      <c r="R580" s="6344"/>
      <c r="S580" s="6423"/>
      <c r="T580" s="6342" t="s">
        <v>1689</v>
      </c>
      <c r="U580" s="6343"/>
      <c r="V580" s="6343"/>
      <c r="W580" s="6344"/>
      <c r="X580" s="6427"/>
      <c r="Y580" s="6345"/>
      <c r="Z580" s="6336"/>
      <c r="AA580" s="6336"/>
      <c r="AB580" s="6337"/>
      <c r="AC580" s="6333"/>
      <c r="AD580" s="6345"/>
      <c r="AE580" s="6336"/>
      <c r="AF580" s="6336"/>
      <c r="AG580" s="6337"/>
      <c r="AH580" s="6346"/>
      <c r="AI580" s="6149"/>
    </row>
    <row r="581">
      <c r="A581" s="6125"/>
      <c r="B581" s="6329"/>
      <c r="C581" s="1481"/>
      <c r="D581" s="6428"/>
      <c r="E581" s="6348" t="s">
        <v>1502</v>
      </c>
      <c r="F581" s="6349"/>
      <c r="G581" s="6349"/>
      <c r="H581" s="6350"/>
      <c r="I581" s="6423"/>
      <c r="J581" s="6348" t="s">
        <v>1623</v>
      </c>
      <c r="K581" s="6349"/>
      <c r="L581" s="6349"/>
      <c r="M581" s="6350"/>
      <c r="N581" s="6423"/>
      <c r="O581" s="6348" t="s">
        <v>1623</v>
      </c>
      <c r="P581" s="6349"/>
      <c r="Q581" s="6349"/>
      <c r="R581" s="6350"/>
      <c r="S581" s="6424"/>
      <c r="T581" s="6348" t="s">
        <v>1502</v>
      </c>
      <c r="U581" s="6349"/>
      <c r="V581" s="6349"/>
      <c r="W581" s="6350"/>
      <c r="X581" s="6425"/>
      <c r="Y581" s="6335"/>
      <c r="Z581" s="6336"/>
      <c r="AA581" s="6336"/>
      <c r="AB581" s="6337"/>
      <c r="AC581" s="6334"/>
      <c r="AD581" s="6335"/>
      <c r="AE581" s="6336"/>
      <c r="AF581" s="6336"/>
      <c r="AG581" s="6337"/>
      <c r="AH581" s="6338"/>
      <c r="AI581" s="6129"/>
    </row>
    <row r="582" ht="25.5" customHeight="1">
      <c r="A582" s="6125"/>
      <c r="B582" s="6329"/>
      <c r="C582" s="1489"/>
      <c r="D582" s="6334"/>
      <c r="E582" s="6351"/>
      <c r="F582" s="6352" t="str">
        <f t="array" ref="F582">IFERROR(VLOOKUP(E580,Dex!$B$3:$H1218,5,FALSE),"")</f>
        <v/>
      </c>
      <c r="G582" s="6353"/>
      <c r="H582" s="6354"/>
      <c r="I582" s="6333"/>
      <c r="J582" s="6351"/>
      <c r="K582" s="6355" t="str">
        <f t="array" ref="K582">IFERROR(VLOOKUP(J580,Dex!$B$3:$H1218,5,FALSE),"")</f>
        <v/>
      </c>
      <c r="L582" s="6356" t="str">
        <f t="array" ref="L582">IFERROR(VLOOKUP(J580,Dex!$B$3:$H1218,7,FALSE),"")</f>
        <v/>
      </c>
      <c r="M582" s="6354"/>
      <c r="N582" s="6333"/>
      <c r="O582" s="6351"/>
      <c r="P582" s="6355" t="str">
        <f t="array" ref="P582">IFERROR(VLOOKUP(O580,Dex!$B$3:$H1218,5,FALSE),"")</f>
        <v/>
      </c>
      <c r="Q582" s="6356" t="str">
        <f t="array" ref="Q582">IFERROR(VLOOKUP(O580,Dex!$B$3:$H1218,7,FALSE),"")</f>
        <v/>
      </c>
      <c r="R582" s="6354"/>
      <c r="S582" s="6334"/>
      <c r="T582" s="6351"/>
      <c r="U582" s="6355" t="str">
        <f t="array" ref="U582">IFERROR(VLOOKUP(T580,Dex!$B$3:$H1218,5,FALSE),"")</f>
        <v/>
      </c>
      <c r="V582" s="6356" t="str">
        <f t="array" ref="V582">IFERROR(VLOOKUP(T580,Dex!$B$3:$H1218,7,FALSE),"")</f>
        <v/>
      </c>
      <c r="W582" s="6354"/>
      <c r="X582" s="6334"/>
      <c r="Y582" s="6335"/>
      <c r="Z582" s="6336"/>
      <c r="AA582" s="6336"/>
      <c r="AB582" s="6337"/>
      <c r="AC582" s="6334"/>
      <c r="AD582" s="6335"/>
      <c r="AE582" s="6336"/>
      <c r="AF582" s="6336"/>
      <c r="AG582" s="6337"/>
      <c r="AH582" s="6338"/>
      <c r="AI582" s="6129"/>
    </row>
    <row r="583" ht="2.25" customHeight="1">
      <c r="A583" s="6125"/>
      <c r="B583" s="6329"/>
      <c r="C583" s="6357"/>
      <c r="D583" s="6334"/>
      <c r="E583" s="6358"/>
      <c r="F583" s="6359"/>
      <c r="G583" s="6359"/>
      <c r="H583" s="6360"/>
      <c r="I583" s="6333"/>
      <c r="J583" s="6358"/>
      <c r="K583" s="6359"/>
      <c r="L583" s="6359"/>
      <c r="M583" s="6360"/>
      <c r="N583" s="6333"/>
      <c r="O583" s="6358"/>
      <c r="P583" s="6359"/>
      <c r="Q583" s="6359"/>
      <c r="R583" s="6360"/>
      <c r="S583" s="6334"/>
      <c r="T583" s="6358"/>
      <c r="U583" s="6359"/>
      <c r="V583" s="6359"/>
      <c r="W583" s="6360"/>
      <c r="X583" s="6334"/>
      <c r="Y583" s="6334"/>
      <c r="Z583" s="6334"/>
      <c r="AA583" s="6334"/>
      <c r="AB583" s="6334"/>
      <c r="AC583" s="6334"/>
      <c r="AD583" s="6334"/>
      <c r="AE583" s="6334"/>
      <c r="AF583" s="6334"/>
      <c r="AG583" s="6334"/>
      <c r="AH583" s="6338"/>
      <c r="AI583" s="6129"/>
    </row>
    <row r="584" ht="20.25" customHeight="1">
      <c r="A584" s="6125"/>
      <c r="B584" s="6329"/>
      <c r="C584" s="6361"/>
      <c r="D584" s="6335"/>
      <c r="E584" s="6362" t="s">
        <v>205</v>
      </c>
      <c r="F584" s="6363"/>
      <c r="G584" s="6363"/>
      <c r="H584" s="6364"/>
      <c r="I584" s="6423"/>
      <c r="J584" s="6362" t="s">
        <v>263</v>
      </c>
      <c r="K584" s="6363"/>
      <c r="L584" s="6363"/>
      <c r="M584" s="6364"/>
      <c r="N584" s="6423"/>
      <c r="O584" s="6362" t="s">
        <v>205</v>
      </c>
      <c r="P584" s="6363"/>
      <c r="Q584" s="6363"/>
      <c r="R584" s="6364"/>
      <c r="S584" s="6424"/>
      <c r="T584" s="6362" t="s">
        <v>205</v>
      </c>
      <c r="U584" s="6363"/>
      <c r="V584" s="6363"/>
      <c r="W584" s="6364"/>
      <c r="X584" s="6425"/>
      <c r="Y584" s="6335"/>
      <c r="Z584" s="6336"/>
      <c r="AA584" s="6336"/>
      <c r="AB584" s="6337"/>
      <c r="AC584" s="6334"/>
      <c r="AD584" s="6335"/>
      <c r="AE584" s="6336"/>
      <c r="AF584" s="6336"/>
      <c r="AG584" s="6337"/>
      <c r="AH584" s="6338"/>
      <c r="AI584" s="6129"/>
    </row>
    <row r="585" ht="20.25" customHeight="1">
      <c r="A585" s="6125"/>
      <c r="B585" s="6329"/>
      <c r="C585" s="6361"/>
      <c r="D585" s="6335"/>
      <c r="E585" s="6365" t="s">
        <v>331</v>
      </c>
      <c r="F585" s="6336"/>
      <c r="G585" s="6336"/>
      <c r="H585" s="6366"/>
      <c r="I585" s="6423"/>
      <c r="J585" s="6365" t="s">
        <v>734</v>
      </c>
      <c r="K585" s="6336"/>
      <c r="L585" s="6336"/>
      <c r="M585" s="6366"/>
      <c r="N585" s="6423"/>
      <c r="O585" s="6365" t="s">
        <v>1603</v>
      </c>
      <c r="P585" s="6336"/>
      <c r="Q585" s="6336"/>
      <c r="R585" s="6366"/>
      <c r="S585" s="6424"/>
      <c r="T585" s="6365" t="s">
        <v>734</v>
      </c>
      <c r="U585" s="6336"/>
      <c r="V585" s="6336"/>
      <c r="W585" s="6366"/>
      <c r="X585" s="6425"/>
      <c r="Y585" s="6335"/>
      <c r="Z585" s="6336"/>
      <c r="AA585" s="6336"/>
      <c r="AB585" s="6337"/>
      <c r="AC585" s="6334"/>
      <c r="AD585" s="6335"/>
      <c r="AE585" s="6336"/>
      <c r="AF585" s="6336"/>
      <c r="AG585" s="6337"/>
      <c r="AH585" s="6338"/>
      <c r="AI585" s="6129"/>
    </row>
    <row r="586" ht="20.25" customHeight="1">
      <c r="A586" s="6125"/>
      <c r="B586" s="6329"/>
      <c r="C586" s="6361"/>
      <c r="D586" s="6335"/>
      <c r="E586" s="6367" t="s">
        <v>452</v>
      </c>
      <c r="F586" s="6368"/>
      <c r="G586" s="6369"/>
      <c r="H586" s="6370" t="str">
        <f>IMAGE("https://raw.githubusercontent.com/msikma/pokesprite/master/items/hold-item/scope-lens.png",3)</f>
        <v/>
      </c>
      <c r="I586" s="6345"/>
      <c r="J586" s="6367" t="s">
        <v>334</v>
      </c>
      <c r="K586" s="6368"/>
      <c r="L586" s="6369"/>
      <c r="M586" s="6370" t="str">
        <f>IMAGE("https://raw.githubusercontent.com/msikma/pokesprite/master/items/hold-item/choice-specs.png",3)</f>
        <v/>
      </c>
      <c r="N586" s="6345"/>
      <c r="O586" s="6367" t="s">
        <v>272</v>
      </c>
      <c r="P586" s="6368"/>
      <c r="Q586" s="6369"/>
      <c r="R586" s="6370" t="str">
        <f>IMAGE("https://raw.githubusercontent.com/msikma/pokesprite/master/items/hold-item/life-orb.png",3)</f>
        <v/>
      </c>
      <c r="S586" s="6335"/>
      <c r="T586" s="6367" t="s">
        <v>272</v>
      </c>
      <c r="U586" s="6368"/>
      <c r="V586" s="6369"/>
      <c r="W586" s="6370" t="str">
        <f>IMAGE("https://raw.githubusercontent.com/msikma/pokesprite/master/items/hold-item/life-orb.png",3)</f>
        <v/>
      </c>
      <c r="X586" s="6334"/>
      <c r="Y586" s="6335"/>
      <c r="Z586" s="6336"/>
      <c r="AA586" s="6336"/>
      <c r="AB586" s="6337"/>
      <c r="AC586" s="6334"/>
      <c r="AD586" s="6335"/>
      <c r="AE586" s="6336"/>
      <c r="AF586" s="6336"/>
      <c r="AG586" s="6337"/>
      <c r="AH586" s="6338"/>
      <c r="AI586" s="6129"/>
    </row>
    <row r="587" ht="20.25" customHeight="1">
      <c r="A587" s="6125"/>
      <c r="B587" s="6329"/>
      <c r="C587" s="6371"/>
      <c r="D587" s="6335"/>
      <c r="E587" s="6362" t="s">
        <v>455</v>
      </c>
      <c r="F587" s="6363"/>
      <c r="G587" s="6372"/>
      <c r="H587" s="6373" t="str">
        <f>IMAGE("https://raw.githubusercontent.com/msikma/pokesprite/master/misc/types/gen8/water.png",4,20,20)</f>
        <v/>
      </c>
      <c r="I587" s="6345"/>
      <c r="J587" s="6362" t="s">
        <v>1123</v>
      </c>
      <c r="K587" s="6363"/>
      <c r="L587" s="6372"/>
      <c r="M587" s="6373" t="str">
        <f>IMAGE("https://raw.githubusercontent.com/msikma/pokesprite/master/misc/types/gen8/dragon.png",4,20,20)</f>
        <v/>
      </c>
      <c r="N587" s="6345"/>
      <c r="O587" s="6362" t="s">
        <v>338</v>
      </c>
      <c r="P587" s="6363"/>
      <c r="Q587" s="6372"/>
      <c r="R587" s="6373" t="str">
        <f>IMAGE("https://raw.githubusercontent.com/msikma/pokesprite/master/misc/types/gen8/water.png",4,20,20)</f>
        <v/>
      </c>
      <c r="S587" s="6335"/>
      <c r="T587" s="6362" t="s">
        <v>338</v>
      </c>
      <c r="U587" s="6363"/>
      <c r="V587" s="6372"/>
      <c r="W587" s="6373" t="str">
        <f>IMAGE("https://raw.githubusercontent.com/msikma/pokesprite/master/misc/types/gen8/water.png",4,20,20)</f>
        <v/>
      </c>
      <c r="X587" s="6334"/>
      <c r="Y587" s="6335"/>
      <c r="Z587" s="6336"/>
      <c r="AA587" s="6336"/>
      <c r="AB587" s="6337"/>
      <c r="AC587" s="6334"/>
      <c r="AD587" s="6335"/>
      <c r="AE587" s="6336"/>
      <c r="AF587" s="6336"/>
      <c r="AG587" s="6337"/>
      <c r="AH587" s="6338"/>
      <c r="AI587" s="6129"/>
    </row>
    <row r="588" ht="20.25" customHeight="1">
      <c r="A588" s="6125"/>
      <c r="B588" s="6329"/>
      <c r="C588" s="6374"/>
      <c r="D588" s="6335"/>
      <c r="E588" s="6365" t="s">
        <v>317</v>
      </c>
      <c r="F588" s="6336"/>
      <c r="G588" s="6337"/>
      <c r="H588" s="6375" t="str">
        <f>IMAGE("https://raw.githubusercontent.com/msikma/pokesprite/master/misc/types/gen8/ice.png",4,20,20)</f>
        <v/>
      </c>
      <c r="I588" s="6345"/>
      <c r="J588" s="6365" t="s">
        <v>405</v>
      </c>
      <c r="K588" s="6336"/>
      <c r="L588" s="6337"/>
      <c r="M588" s="6375" t="str">
        <f>IMAGE("https://raw.githubusercontent.com/msikma/pokesprite/master/misc/types/gen8/poison.png",4,20,20)</f>
        <v/>
      </c>
      <c r="N588" s="6423"/>
      <c r="O588" s="6365" t="s">
        <v>539</v>
      </c>
      <c r="P588" s="6336"/>
      <c r="Q588" s="6337"/>
      <c r="R588" s="6375" t="str">
        <f>IMAGE("https://raw.githubusercontent.com/msikma/pokesprite/master/misc/types/gen8/electric.png",4,20,20)</f>
        <v/>
      </c>
      <c r="S588" s="6335"/>
      <c r="T588" s="6365" t="s">
        <v>318</v>
      </c>
      <c r="U588" s="6336"/>
      <c r="V588" s="6337"/>
      <c r="W588" s="6375" t="str">
        <f>IMAGE("https://raw.githubusercontent.com/msikma/pokesprite/master/misc/types/gen8/ghost.png",4,20,20)</f>
        <v/>
      </c>
      <c r="X588" s="6334"/>
      <c r="Y588" s="6335"/>
      <c r="Z588" s="6336"/>
      <c r="AA588" s="6336"/>
      <c r="AB588" s="6337"/>
      <c r="AC588" s="6334"/>
      <c r="AD588" s="6335"/>
      <c r="AE588" s="6336"/>
      <c r="AF588" s="6336"/>
      <c r="AG588" s="6337"/>
      <c r="AH588" s="6338"/>
      <c r="AI588" s="6129"/>
    </row>
    <row r="589" ht="20.25" customHeight="1">
      <c r="A589" s="6125"/>
      <c r="B589" s="6329"/>
      <c r="C589" s="6374"/>
      <c r="D589" s="6335"/>
      <c r="E589" s="6365" t="s">
        <v>278</v>
      </c>
      <c r="F589" s="6336"/>
      <c r="G589" s="6337"/>
      <c r="H589" s="6375" t="str">
        <f>IMAGE("https://raw.githubusercontent.com/msikma/pokesprite/master/misc/types/gen8/bug.png",4,20,20)</f>
        <v/>
      </c>
      <c r="I589" s="6345"/>
      <c r="J589" s="6365" t="s">
        <v>219</v>
      </c>
      <c r="K589" s="6336"/>
      <c r="L589" s="6337"/>
      <c r="M589" s="6375" t="str">
        <f t="shared" ref="M589:M590" si="23">IMAGE("https://raw.githubusercontent.com/msikma/pokesprite/master/misc/types/gen8/water.png",4,20,20)</f>
        <v/>
      </c>
      <c r="N589" s="6423"/>
      <c r="O589" s="6365" t="s">
        <v>1097</v>
      </c>
      <c r="P589" s="6336"/>
      <c r="Q589" s="6337"/>
      <c r="R589" s="6375" t="str">
        <f>IMAGE("https://raw.githubusercontent.com/msikma/pokesprite/master/misc/types/gen8/ice.png",4,20,20)</f>
        <v/>
      </c>
      <c r="S589" s="6335"/>
      <c r="T589" s="6365" t="s">
        <v>317</v>
      </c>
      <c r="U589" s="6336"/>
      <c r="V589" s="6337"/>
      <c r="W589" s="6375" t="str">
        <f>IMAGE("https://raw.githubusercontent.com/msikma/pokesprite/master/misc/types/gen8/ice.png",4,20,20)</f>
        <v/>
      </c>
      <c r="X589" s="6334"/>
      <c r="Y589" s="6335"/>
      <c r="Z589" s="6336"/>
      <c r="AA589" s="6336"/>
      <c r="AB589" s="6337"/>
      <c r="AC589" s="6334"/>
      <c r="AD589" s="6335"/>
      <c r="AE589" s="6336"/>
      <c r="AF589" s="6336"/>
      <c r="AG589" s="6337"/>
      <c r="AH589" s="6338"/>
      <c r="AI589" s="6129"/>
    </row>
    <row r="590" ht="21.0" customHeight="1">
      <c r="A590" s="6125"/>
      <c r="B590" s="6329"/>
      <c r="C590" s="6374"/>
      <c r="D590" s="6335"/>
      <c r="E590" s="6376" t="s">
        <v>223</v>
      </c>
      <c r="F590" s="6377"/>
      <c r="G590" s="6378"/>
      <c r="H590" s="6379" t="str">
        <f>IMAGE("https://raw.githubusercontent.com/msikma/pokesprite/master/misc/types/gen8/grass.png",4,20,20)</f>
        <v/>
      </c>
      <c r="I590" s="6345"/>
      <c r="J590" s="6376" t="s">
        <v>246</v>
      </c>
      <c r="K590" s="6377"/>
      <c r="L590" s="6378"/>
      <c r="M590" s="6379" t="str">
        <f t="shared" si="23"/>
        <v/>
      </c>
      <c r="N590" s="6423"/>
      <c r="O590" s="6376" t="s">
        <v>217</v>
      </c>
      <c r="P590" s="6377"/>
      <c r="Q590" s="6378"/>
      <c r="R590" s="6379" t="str">
        <f>IMAGE("https://raw.githubusercontent.com/msikma/pokesprite/master/misc/types/gen8/psychic.png",4,20,20)</f>
        <v/>
      </c>
      <c r="S590" s="6335"/>
      <c r="T590" s="6376" t="s">
        <v>219</v>
      </c>
      <c r="U590" s="6377"/>
      <c r="V590" s="6378"/>
      <c r="W590" s="6379" t="str">
        <f>IMAGE("https://raw.githubusercontent.com/msikma/pokesprite/master/misc/types/gen8/water.png",4,20,20)</f>
        <v/>
      </c>
      <c r="X590" s="6334"/>
      <c r="Y590" s="6335"/>
      <c r="Z590" s="6336"/>
      <c r="AA590" s="6336"/>
      <c r="AB590" s="6337"/>
      <c r="AC590" s="6334"/>
      <c r="AD590" s="6335"/>
      <c r="AE590" s="6336"/>
      <c r="AF590" s="6336"/>
      <c r="AG590" s="6337"/>
      <c r="AH590" s="6338"/>
      <c r="AI590" s="6129"/>
    </row>
    <row r="591" ht="3.0" customHeight="1">
      <c r="A591" s="6185"/>
      <c r="B591" s="6380"/>
      <c r="C591" s="6381"/>
      <c r="D591" s="6382"/>
      <c r="E591" s="6429"/>
      <c r="F591" s="6429"/>
      <c r="G591" s="6429"/>
      <c r="H591" s="6383"/>
      <c r="I591" s="6382"/>
      <c r="J591" s="6429"/>
      <c r="K591" s="6429"/>
      <c r="L591" s="6429"/>
      <c r="M591" s="6567"/>
      <c r="N591" s="6382"/>
      <c r="O591" s="6429"/>
      <c r="P591" s="6429"/>
      <c r="Q591" s="6429"/>
      <c r="R591" s="6383"/>
      <c r="S591" s="6383"/>
      <c r="T591" s="6429"/>
      <c r="U591" s="6429"/>
      <c r="V591" s="6429"/>
      <c r="W591" s="6383"/>
      <c r="X591" s="6382"/>
      <c r="Y591" s="6383"/>
      <c r="Z591" s="6383"/>
      <c r="AA591" s="6383"/>
      <c r="AB591" s="6383"/>
      <c r="AC591" s="6385"/>
      <c r="AD591" s="6383"/>
      <c r="AE591" s="6383"/>
      <c r="AF591" s="6383"/>
      <c r="AG591" s="6383"/>
      <c r="AH591" s="6386"/>
      <c r="AI591" s="6192"/>
    </row>
    <row r="592" ht="16.5" customHeight="1">
      <c r="A592" s="6185"/>
      <c r="B592" s="6387"/>
      <c r="C592" s="6381"/>
      <c r="D592" s="6392"/>
      <c r="E592" s="6389" t="s">
        <v>190</v>
      </c>
      <c r="F592" s="381"/>
      <c r="G592" s="382"/>
      <c r="H592" s="6390" t="s">
        <v>191</v>
      </c>
      <c r="I592" s="6391"/>
      <c r="J592" s="6389" t="s">
        <v>190</v>
      </c>
      <c r="K592" s="381"/>
      <c r="L592" s="382"/>
      <c r="M592" s="6390" t="s">
        <v>191</v>
      </c>
      <c r="N592" s="6392"/>
      <c r="O592" s="6389" t="s">
        <v>190</v>
      </c>
      <c r="P592" s="381"/>
      <c r="Q592" s="382"/>
      <c r="R592" s="6390" t="s">
        <v>191</v>
      </c>
      <c r="S592" s="6430"/>
      <c r="T592" s="6389" t="s">
        <v>190</v>
      </c>
      <c r="U592" s="381"/>
      <c r="V592" s="382"/>
      <c r="W592" s="6390" t="s">
        <v>191</v>
      </c>
      <c r="X592" s="6334"/>
      <c r="Y592" s="6334"/>
      <c r="Z592" s="6334"/>
      <c r="AA592" s="6334"/>
      <c r="AB592" s="6334"/>
      <c r="AC592" s="6334"/>
      <c r="AD592" s="6334"/>
      <c r="AE592" s="6334"/>
      <c r="AF592" s="6334"/>
      <c r="AG592" s="6393"/>
      <c r="AH592" s="6394"/>
      <c r="AI592" s="6192"/>
    </row>
    <row r="593" ht="16.5" customHeight="1">
      <c r="A593" s="6185"/>
      <c r="B593" s="6387"/>
      <c r="C593" s="6381"/>
      <c r="D593" s="6388"/>
      <c r="E593" s="6395" t="s">
        <v>192</v>
      </c>
      <c r="F593" s="6396">
        <f t="array" ref="F593">IFERROR(VLOOKUP(E580,Dex!$B$3:$N1218,8,FALSE),"")</f>
        <v>70</v>
      </c>
      <c r="G593" s="6397" t="str">
        <f t="array" ref="G593">IFERROR(VLOOKUP(F593,Dex!$P$22:$Q$276,2,FALSE),"")</f>
        <v/>
      </c>
      <c r="H593" s="6398"/>
      <c r="I593" s="6399"/>
      <c r="J593" s="6395" t="s">
        <v>192</v>
      </c>
      <c r="K593" s="6396">
        <f t="array" ref="K593">IFERROR(VLOOKUP(J580,Dex!$B$3:$N1218,8,FALSE),"")</f>
        <v>65</v>
      </c>
      <c r="L593" s="6397" t="str">
        <f t="array" ref="L593">IFERROR(VLOOKUP(K593,Dex!$P$22:$Q$276,2,FALSE),"")</f>
        <v/>
      </c>
      <c r="M593" s="6398">
        <v>252.0</v>
      </c>
      <c r="N593" s="6388"/>
      <c r="O593" s="6395" t="s">
        <v>192</v>
      </c>
      <c r="P593" s="6396">
        <f t="array" ref="P593">IFERROR(VLOOKUP(O580,Dex!$B$3:$N1218,8,FALSE),"")</f>
        <v>60</v>
      </c>
      <c r="Q593" s="6397" t="str">
        <f t="array" ref="Q593">IFERROR(VLOOKUP(P593,Dex!$P$22:$Q$276,2,FALSE),"")</f>
        <v/>
      </c>
      <c r="R593" s="6398"/>
      <c r="S593" s="6400"/>
      <c r="T593" s="6395" t="s">
        <v>192</v>
      </c>
      <c r="U593" s="6396">
        <f t="array" ref="U593">IFERROR(VLOOKUP(T580,Dex!$B$3:$N1218,8,FALSE),"")</f>
        <v>120</v>
      </c>
      <c r="V593" s="6397" t="str">
        <f t="array" ref="V593">IFERROR(VLOOKUP(U593,Dex!$P$22:$Q$276,2,FALSE),"")</f>
        <v/>
      </c>
      <c r="W593" s="6398"/>
      <c r="X593" s="6334"/>
      <c r="Y593" s="6334"/>
      <c r="Z593" s="6334"/>
      <c r="AA593" s="6334"/>
      <c r="AB593" s="6334"/>
      <c r="AC593" s="6334"/>
      <c r="AD593" s="6334"/>
      <c r="AE593" s="6334"/>
      <c r="AF593" s="6334"/>
      <c r="AG593" s="6393"/>
      <c r="AH593" s="6394"/>
      <c r="AI593" s="6192"/>
    </row>
    <row r="594" ht="16.5" customHeight="1">
      <c r="A594" s="6185"/>
      <c r="B594" s="6387"/>
      <c r="C594" s="6381"/>
      <c r="D594" s="6388"/>
      <c r="E594" s="6401" t="s">
        <v>193</v>
      </c>
      <c r="F594" s="6402">
        <f t="array" ref="F594">IFERROR(VLOOKUP(E580,Dex!$B$3:$N1218,9,FALSE),"")</f>
        <v>85</v>
      </c>
      <c r="G594" s="6403" t="str">
        <f t="array" ref="G594">IFERROR(VLOOKUP(F594,Dex!$P$22:$Q$276,2,FALSE),"")</f>
        <v/>
      </c>
      <c r="H594" s="6404"/>
      <c r="I594" s="6399"/>
      <c r="J594" s="6401" t="s">
        <v>193</v>
      </c>
      <c r="K594" s="6402">
        <f t="array" ref="K594">IFERROR(VLOOKUP(J580,Dex!$B$3:$N1218,9,FALSE),"")</f>
        <v>75</v>
      </c>
      <c r="L594" s="6403" t="str">
        <f t="array" ref="L594">IFERROR(VLOOKUP(K594,Dex!$P$22:$Q$276,2,FALSE),"")</f>
        <v/>
      </c>
      <c r="M594" s="6404"/>
      <c r="N594" s="6388"/>
      <c r="O594" s="6401" t="s">
        <v>193</v>
      </c>
      <c r="P594" s="6402">
        <f t="array" ref="P594">IFERROR(VLOOKUP(O580,Dex!$B$3:$N1218,9,FALSE),"")</f>
        <v>75</v>
      </c>
      <c r="Q594" s="6403" t="str">
        <f t="array" ref="Q594">IFERROR(VLOOKUP(P594,Dex!$P$22:$Q$276,2,FALSE),"")</f>
        <v/>
      </c>
      <c r="R594" s="6404"/>
      <c r="S594" s="6400"/>
      <c r="T594" s="6401" t="s">
        <v>193</v>
      </c>
      <c r="U594" s="6402">
        <f t="array" ref="U594">IFERROR(VLOOKUP(T580,Dex!$B$3:$N1218,9,FALSE),"")</f>
        <v>92</v>
      </c>
      <c r="V594" s="6403" t="str">
        <f t="array" ref="V594">IFERROR(VLOOKUP(U594,Dex!$P$22:$Q$276,2,FALSE),"")</f>
        <v/>
      </c>
      <c r="W594" s="6404"/>
      <c r="X594" s="6335"/>
      <c r="Y594" s="6336"/>
      <c r="Z594" s="6336"/>
      <c r="AA594" s="6337"/>
      <c r="AB594" s="6334"/>
      <c r="AC594" s="6335"/>
      <c r="AD594" s="6336"/>
      <c r="AE594" s="6336"/>
      <c r="AF594" s="6337"/>
      <c r="AG594" s="6393"/>
      <c r="AH594" s="6394"/>
      <c r="AI594" s="6192"/>
    </row>
    <row r="595" ht="16.5" customHeight="1">
      <c r="A595" s="6185"/>
      <c r="B595" s="6387"/>
      <c r="C595" s="6381"/>
      <c r="D595" s="6388"/>
      <c r="E595" s="6401" t="s">
        <v>194</v>
      </c>
      <c r="F595" s="6402">
        <f t="array" ref="F595">IFERROR(VLOOKUP(E580,Dex!$B$3:$N1218,10,FALSE),"")</f>
        <v>65</v>
      </c>
      <c r="G595" s="6403" t="str">
        <f t="array" ref="G595">IFERROR(VLOOKUP(F595,Dex!$P$22:$Q$276,2,FALSE),"")</f>
        <v/>
      </c>
      <c r="H595" s="6404">
        <v>4.0</v>
      </c>
      <c r="I595" s="6399"/>
      <c r="J595" s="6401" t="s">
        <v>194</v>
      </c>
      <c r="K595" s="6402">
        <f t="array" ref="K595">IFERROR(VLOOKUP(J580,Dex!$B$3:$N1218,10,FALSE),"")</f>
        <v>90</v>
      </c>
      <c r="L595" s="6403" t="str">
        <f t="array" ref="L595">IFERROR(VLOOKUP(K595,Dex!$P$22:$Q$276,2,FALSE),"")</f>
        <v/>
      </c>
      <c r="M595" s="6404">
        <v>4.0</v>
      </c>
      <c r="N595" s="6388"/>
      <c r="O595" s="6401" t="s">
        <v>194</v>
      </c>
      <c r="P595" s="6402">
        <f t="array" ref="P595">IFERROR(VLOOKUP(O580,Dex!$B$3:$N1218,10,FALSE),"")</f>
        <v>85</v>
      </c>
      <c r="Q595" s="6403" t="str">
        <f t="array" ref="Q595">IFERROR(VLOOKUP(P595,Dex!$P$22:$Q$276,2,FALSE),"")</f>
        <v/>
      </c>
      <c r="R595" s="6404">
        <v>4.0</v>
      </c>
      <c r="S595" s="6400"/>
      <c r="T595" s="6401" t="s">
        <v>194</v>
      </c>
      <c r="U595" s="6402">
        <f t="array" ref="U595">IFERROR(VLOOKUP(T580,Dex!$B$3:$N1218,10,FALSE),"")</f>
        <v>65</v>
      </c>
      <c r="V595" s="6403" t="str">
        <f t="array" ref="V595">IFERROR(VLOOKUP(U595,Dex!$P$22:$Q$276,2,FALSE),"")</f>
        <v/>
      </c>
      <c r="W595" s="6404">
        <v>4.0</v>
      </c>
      <c r="X595" s="6335"/>
      <c r="Y595" s="6336"/>
      <c r="Z595" s="6336"/>
      <c r="AA595" s="6337"/>
      <c r="AB595" s="6334"/>
      <c r="AC595" s="6335"/>
      <c r="AD595" s="6336"/>
      <c r="AE595" s="6336"/>
      <c r="AF595" s="6337"/>
      <c r="AG595" s="6393"/>
      <c r="AH595" s="6394"/>
      <c r="AI595" s="6192"/>
    </row>
    <row r="596" ht="16.5" customHeight="1">
      <c r="A596" s="6185"/>
      <c r="B596" s="6387"/>
      <c r="C596" s="6381"/>
      <c r="D596" s="6388"/>
      <c r="E596" s="6401" t="s">
        <v>195</v>
      </c>
      <c r="F596" s="6402">
        <f t="array" ref="F596">IFERROR(VLOOKUP(E580,Dex!$B$3:$N1218,11,FALSE),"")</f>
        <v>125</v>
      </c>
      <c r="G596" s="6403" t="str">
        <f t="array" ref="G596">IFERROR(VLOOKUP(F596,Dex!$P$22:$Q$276,2,FALSE),"")</f>
        <v/>
      </c>
      <c r="H596" s="6404">
        <v>252.0</v>
      </c>
      <c r="I596" s="6399"/>
      <c r="J596" s="6401" t="s">
        <v>195</v>
      </c>
      <c r="K596" s="6402">
        <f t="array" ref="K596">IFERROR(VLOOKUP(J580,Dex!$B$3:$N1218,11,FALSE),"")</f>
        <v>97</v>
      </c>
      <c r="L596" s="6403" t="str">
        <f t="array" ref="L596">IFERROR(VLOOKUP(K596,Dex!$P$22:$Q$276,2,FALSE),"")</f>
        <v/>
      </c>
      <c r="M596" s="6404">
        <v>252.0</v>
      </c>
      <c r="N596" s="6388"/>
      <c r="O596" s="6401" t="s">
        <v>195</v>
      </c>
      <c r="P596" s="6402">
        <f t="array" ref="P596">IFERROR(VLOOKUP(O580,Dex!$B$3:$N1218,11,FALSE),"")</f>
        <v>100</v>
      </c>
      <c r="Q596" s="6403" t="str">
        <f t="array" ref="Q596">IFERROR(VLOOKUP(P596,Dex!$P$22:$Q$276,2,FALSE),"")</f>
        <v/>
      </c>
      <c r="R596" s="6404">
        <v>252.0</v>
      </c>
      <c r="S596" s="6400"/>
      <c r="T596" s="6401" t="s">
        <v>195</v>
      </c>
      <c r="U596" s="6402">
        <f t="array" ref="U596">IFERROR(VLOOKUP(T580,Dex!$B$3:$N1218,11,FALSE),"")</f>
        <v>100</v>
      </c>
      <c r="V596" s="6403" t="str">
        <f t="array" ref="V596">IFERROR(VLOOKUP(U596,Dex!$P$22:$Q$276,2,FALSE),"")</f>
        <v/>
      </c>
      <c r="W596" s="6404">
        <v>252.0</v>
      </c>
      <c r="X596" s="6334"/>
      <c r="Y596" s="6334"/>
      <c r="Z596" s="6334"/>
      <c r="AA596" s="6334"/>
      <c r="AB596" s="6334"/>
      <c r="AC596" s="6335"/>
      <c r="AD596" s="6336"/>
      <c r="AE596" s="6336"/>
      <c r="AF596" s="6337"/>
      <c r="AG596" s="6393"/>
      <c r="AH596" s="6394"/>
      <c r="AI596" s="6192"/>
    </row>
    <row r="597" ht="16.5" customHeight="1">
      <c r="A597" s="6185"/>
      <c r="B597" s="6387"/>
      <c r="C597" s="6381"/>
      <c r="D597" s="6388"/>
      <c r="E597" s="6401" t="s">
        <v>196</v>
      </c>
      <c r="F597" s="6402">
        <f t="array" ref="F597">IFERROR(VLOOKUP(E580,Dex!$B$3:$N1218,12,FALSE),"")</f>
        <v>65</v>
      </c>
      <c r="G597" s="6403" t="str">
        <f t="array" ref="G597">IFERROR(VLOOKUP(F597,Dex!$P$22:$Q$276,2,FALSE),"")</f>
        <v/>
      </c>
      <c r="H597" s="6404"/>
      <c r="I597" s="6399"/>
      <c r="J597" s="6401" t="s">
        <v>196</v>
      </c>
      <c r="K597" s="6402">
        <f t="array" ref="K597">IFERROR(VLOOKUP(J580,Dex!$B$3:$N1218,12,FALSE),"")</f>
        <v>123</v>
      </c>
      <c r="L597" s="6403" t="str">
        <f t="array" ref="L597">IFERROR(VLOOKUP(K597,Dex!$P$22:$Q$276,2,FALSE),"")</f>
        <v/>
      </c>
      <c r="M597" s="6404"/>
      <c r="N597" s="6388"/>
      <c r="O597" s="6401" t="s">
        <v>196</v>
      </c>
      <c r="P597" s="6402">
        <f t="array" ref="P597">IFERROR(VLOOKUP(O580,Dex!$B$3:$N1218,12,FALSE),"")</f>
        <v>85</v>
      </c>
      <c r="Q597" s="6403" t="str">
        <f t="array" ref="Q597">IFERROR(VLOOKUP(P597,Dex!$P$22:$Q$276,2,FALSE),"")</f>
        <v/>
      </c>
      <c r="R597" s="6404"/>
      <c r="S597" s="6400"/>
      <c r="T597" s="6401" t="s">
        <v>196</v>
      </c>
      <c r="U597" s="6402">
        <f t="array" ref="U597">IFERROR(VLOOKUP(T580,Dex!$B$3:$N1218,12,FALSE),"")</f>
        <v>75</v>
      </c>
      <c r="V597" s="6403" t="str">
        <f t="array" ref="V597">IFERROR(VLOOKUP(U597,Dex!$P$22:$Q$276,2,FALSE),"")</f>
        <v/>
      </c>
      <c r="W597" s="6404"/>
      <c r="X597" s="6334"/>
      <c r="Y597" s="6334"/>
      <c r="Z597" s="6334"/>
      <c r="AA597" s="6334"/>
      <c r="AB597" s="6334"/>
      <c r="AC597" s="6335"/>
      <c r="AD597" s="6336"/>
      <c r="AE597" s="6336"/>
      <c r="AF597" s="6337"/>
      <c r="AG597" s="6393"/>
      <c r="AH597" s="6394"/>
      <c r="AI597" s="6192"/>
    </row>
    <row r="598" ht="16.5" customHeight="1">
      <c r="A598" s="6185"/>
      <c r="B598" s="6387"/>
      <c r="C598" s="6381"/>
      <c r="D598" s="6388"/>
      <c r="E598" s="6405" t="s">
        <v>197</v>
      </c>
      <c r="F598" s="6406">
        <f t="array" ref="F598">IFERROR(VLOOKUP(E580,Dex!$B$3:$N1218,13,FALSE),"")</f>
        <v>120</v>
      </c>
      <c r="G598" s="6407" t="str">
        <f t="array" ref="G598">IFERROR(VLOOKUP(F598,Dex!$P$22:$Q$276,2,FALSE),"")</f>
        <v/>
      </c>
      <c r="H598" s="6408">
        <v>252.0</v>
      </c>
      <c r="I598" s="6399"/>
      <c r="J598" s="6405" t="s">
        <v>197</v>
      </c>
      <c r="K598" s="6406">
        <f t="array" ref="K598">IFERROR(VLOOKUP(J580,Dex!$B$3:$N1218,13,FALSE),"")</f>
        <v>44</v>
      </c>
      <c r="L598" s="6407" t="str">
        <f t="array" ref="L598">IFERROR(VLOOKUP(K598,Dex!$P$22:$Q$276,2,FALSE),"")</f>
        <v/>
      </c>
      <c r="M598" s="6408"/>
      <c r="N598" s="6388"/>
      <c r="O598" s="6405" t="s">
        <v>197</v>
      </c>
      <c r="P598" s="6406">
        <f t="array" ref="P598">IFERROR(VLOOKUP(O580,Dex!$B$3:$N1218,13,FALSE),"")</f>
        <v>115</v>
      </c>
      <c r="Q598" s="6407" t="str">
        <f t="array" ref="Q598">IFERROR(VLOOKUP(P598,Dex!$P$22:$Q$276,2,FALSE),"")</f>
        <v/>
      </c>
      <c r="R598" s="6408">
        <v>252.0</v>
      </c>
      <c r="S598" s="6400"/>
      <c r="T598" s="6405" t="s">
        <v>197</v>
      </c>
      <c r="U598" s="6406">
        <f t="array" ref="U598">IFERROR(VLOOKUP(T580,Dex!$B$3:$N1218,13,FALSE),"")</f>
        <v>78</v>
      </c>
      <c r="V598" s="6407" t="str">
        <f t="array" ref="V598">IFERROR(VLOOKUP(U598,Dex!$P$22:$Q$276,2,FALSE),"")</f>
        <v/>
      </c>
      <c r="W598" s="6408">
        <v>252.0</v>
      </c>
      <c r="X598" s="6334"/>
      <c r="Y598" s="6335"/>
      <c r="Z598" s="6336"/>
      <c r="AA598" s="6336"/>
      <c r="AB598" s="6337"/>
      <c r="AC598" s="6335"/>
      <c r="AD598" s="6336"/>
      <c r="AE598" s="6336"/>
      <c r="AF598" s="6337"/>
      <c r="AG598" s="6334"/>
      <c r="AH598" s="6394"/>
      <c r="AI598" s="6192"/>
    </row>
    <row r="599" ht="16.5" customHeight="1">
      <c r="A599" s="6185"/>
      <c r="B599" s="6387"/>
      <c r="C599" s="6381"/>
      <c r="D599" s="6392"/>
      <c r="E599" s="6409" t="s">
        <v>198</v>
      </c>
      <c r="F599" s="405"/>
      <c r="G599" s="406"/>
      <c r="H599" s="6410">
        <v>372.0</v>
      </c>
      <c r="I599" s="6391"/>
      <c r="J599" s="6409" t="s">
        <v>198</v>
      </c>
      <c r="K599" s="405"/>
      <c r="L599" s="406"/>
      <c r="M599" s="6410">
        <v>122.0</v>
      </c>
      <c r="N599" s="6392"/>
      <c r="O599" s="6409" t="s">
        <v>198</v>
      </c>
      <c r="P599" s="405"/>
      <c r="Q599" s="406"/>
      <c r="R599" s="6410">
        <v>357.0</v>
      </c>
      <c r="S599" s="6568"/>
      <c r="T599" s="6409" t="s">
        <v>198</v>
      </c>
      <c r="U599" s="405"/>
      <c r="V599" s="406"/>
      <c r="W599" s="6410">
        <v>280.0</v>
      </c>
      <c r="X599" s="6334"/>
      <c r="Y599" s="6335"/>
      <c r="Z599" s="6336"/>
      <c r="AA599" s="6336"/>
      <c r="AB599" s="6337"/>
      <c r="AC599" s="6335"/>
      <c r="AD599" s="6336"/>
      <c r="AE599" s="6336"/>
      <c r="AF599" s="6337"/>
      <c r="AG599" s="6334"/>
      <c r="AH599" s="6394"/>
      <c r="AI599" s="6192"/>
    </row>
    <row r="600" ht="15.0" customHeight="1">
      <c r="A600" s="6185"/>
      <c r="B600" s="6411"/>
      <c r="C600" s="6412"/>
      <c r="D600" s="6413"/>
      <c r="E600" s="6416"/>
      <c r="F600" s="6416"/>
      <c r="G600" s="6416"/>
      <c r="H600" s="6414"/>
      <c r="I600" s="6415"/>
      <c r="J600" s="6416"/>
      <c r="K600" s="6416"/>
      <c r="L600" s="6416"/>
      <c r="M600" s="6414"/>
      <c r="N600" s="6415"/>
      <c r="O600" s="6416"/>
      <c r="P600" s="6416"/>
      <c r="Q600" s="6416"/>
      <c r="R600" s="6414"/>
      <c r="S600" s="6413"/>
      <c r="T600" s="6570"/>
      <c r="U600" s="3185"/>
      <c r="V600" s="3185"/>
      <c r="W600" s="6571"/>
      <c r="X600" s="6413"/>
      <c r="Y600" s="6417"/>
      <c r="Z600" s="6418"/>
      <c r="AA600" s="6418"/>
      <c r="AB600" s="6419"/>
      <c r="AC600" s="6413"/>
      <c r="AD600" s="6413"/>
      <c r="AE600" s="6413"/>
      <c r="AF600" s="6413"/>
      <c r="AG600" s="6413"/>
      <c r="AH600" s="6420"/>
      <c r="AI600" s="6192"/>
    </row>
    <row r="601" ht="15.0" customHeight="1">
      <c r="A601" s="6185"/>
      <c r="B601" s="4491"/>
      <c r="C601" s="4492"/>
      <c r="D601" s="4496"/>
      <c r="E601" s="4497"/>
      <c r="F601" s="4497"/>
      <c r="G601" s="4497"/>
      <c r="H601" s="4497"/>
      <c r="I601" s="4497"/>
      <c r="J601" s="4497"/>
      <c r="K601" s="4497"/>
      <c r="L601" s="4497"/>
      <c r="M601" s="4497"/>
      <c r="N601" s="4497"/>
      <c r="O601" s="4497"/>
      <c r="P601" s="4497"/>
      <c r="Q601" s="4497"/>
      <c r="R601" s="4497"/>
      <c r="S601" s="4496"/>
      <c r="T601" s="4496"/>
      <c r="U601" s="4496"/>
      <c r="V601" s="4496"/>
      <c r="W601" s="4496"/>
      <c r="X601" s="4496"/>
      <c r="Y601" s="4496"/>
      <c r="Z601" s="4496"/>
      <c r="AA601" s="4496"/>
      <c r="AB601" s="4496"/>
      <c r="AC601" s="4496"/>
      <c r="AD601" s="4496"/>
      <c r="AE601" s="4496"/>
      <c r="AF601" s="4496"/>
      <c r="AG601" s="4496"/>
      <c r="AH601" s="4495"/>
      <c r="AI601" s="6192"/>
    </row>
    <row r="602">
      <c r="A602" s="6185"/>
      <c r="B602" s="4498"/>
      <c r="C602" s="4499"/>
      <c r="D602" s="4500"/>
      <c r="E602" s="4501" t="s">
        <v>1690</v>
      </c>
      <c r="F602" s="4502"/>
      <c r="G602" s="4502"/>
      <c r="H602" s="4502"/>
      <c r="I602" s="4502"/>
      <c r="J602" s="4502"/>
      <c r="K602" s="4502"/>
      <c r="L602" s="4502"/>
      <c r="M602" s="4502"/>
      <c r="N602" s="4502"/>
      <c r="O602" s="4502"/>
      <c r="P602" s="4502"/>
      <c r="Q602" s="4502"/>
      <c r="R602" s="4502"/>
      <c r="S602" s="4502"/>
      <c r="T602" s="4502"/>
      <c r="U602" s="4502"/>
      <c r="V602" s="4502"/>
      <c r="W602" s="4502"/>
      <c r="X602" s="4502"/>
      <c r="Y602" s="4502"/>
      <c r="Z602" s="4502"/>
      <c r="AA602" s="4502"/>
      <c r="AB602" s="4502"/>
      <c r="AC602" s="4502"/>
      <c r="AD602" s="4502"/>
      <c r="AE602" s="4502"/>
      <c r="AF602" s="4502"/>
      <c r="AG602" s="4503"/>
      <c r="AH602" s="4504"/>
      <c r="AI602" s="6192"/>
    </row>
    <row r="603" ht="96.75" customHeight="1">
      <c r="A603" s="6185"/>
      <c r="B603" s="4505"/>
      <c r="C603" s="4506" t="str">
        <f>IMAGE("https://i.ibb.co/QpKd0mc/Fisherman.png")</f>
        <v/>
      </c>
      <c r="D603" s="4507"/>
      <c r="E603" s="4508" t="str">
        <f t="array" ref="E603">IFERROR(VLOOKUP(E604,Dex!$B$3:$G1218,3,FALSE),"")</f>
        <v/>
      </c>
      <c r="F603" s="1830"/>
      <c r="G603" s="1830"/>
      <c r="H603" s="1831"/>
      <c r="I603" s="6597"/>
      <c r="J603" s="4508" t="str">
        <f t="array" ref="J603">IFERROR(VLOOKUP(J604,Dex!$B$3:$G1218,3,FALSE),"")</f>
        <v/>
      </c>
      <c r="K603" s="1830"/>
      <c r="L603" s="1830"/>
      <c r="M603" s="1831"/>
      <c r="N603" s="6597"/>
      <c r="O603" s="4508" t="str">
        <f t="array" ref="O603">IFERROR(VLOOKUP(O604,Dex!$B$3:$G1218,3,FALSE),"")</f>
        <v/>
      </c>
      <c r="P603" s="1830"/>
      <c r="Q603" s="1830"/>
      <c r="R603" s="1831"/>
      <c r="S603" s="6597"/>
      <c r="T603" s="4508" t="str">
        <f t="array" ref="T603">IFERROR(VLOOKUP(T604,Dex!$B$3:$G1218,3,FALSE),"")</f>
        <v/>
      </c>
      <c r="U603" s="1830"/>
      <c r="V603" s="1830"/>
      <c r="W603" s="1831"/>
      <c r="X603" s="6598"/>
      <c r="Y603" s="4511"/>
      <c r="Z603" s="4512"/>
      <c r="AA603" s="4512"/>
      <c r="AB603" s="4513"/>
      <c r="AC603" s="4514"/>
      <c r="AD603" s="4511"/>
      <c r="AE603" s="4512"/>
      <c r="AF603" s="4512"/>
      <c r="AG603" s="4513"/>
      <c r="AH603" s="4495"/>
      <c r="AI603" s="6192"/>
    </row>
    <row r="604" ht="18.75" customHeight="1">
      <c r="A604" s="6185"/>
      <c r="B604" s="4515"/>
      <c r="C604" s="4516" t="s">
        <v>1691</v>
      </c>
      <c r="D604" s="6599"/>
      <c r="E604" s="4518" t="s">
        <v>1692</v>
      </c>
      <c r="F604" s="4519"/>
      <c r="G604" s="4519"/>
      <c r="H604" s="4520"/>
      <c r="J604" s="4518" t="s">
        <v>1500</v>
      </c>
      <c r="K604" s="4519"/>
      <c r="L604" s="4519"/>
      <c r="M604" s="4520"/>
      <c r="O604" s="4518" t="s">
        <v>1693</v>
      </c>
      <c r="P604" s="4519"/>
      <c r="Q604" s="4519"/>
      <c r="R604" s="4520"/>
      <c r="T604" s="4518" t="s">
        <v>1694</v>
      </c>
      <c r="U604" s="4519"/>
      <c r="V604" s="4519"/>
      <c r="W604" s="4520"/>
      <c r="X604" s="6600"/>
      <c r="Y604" s="4523"/>
      <c r="Z604" s="4512"/>
      <c r="AA604" s="4512"/>
      <c r="AB604" s="4513"/>
      <c r="AC604" s="4524"/>
      <c r="AD604" s="4523"/>
      <c r="AE604" s="4512"/>
      <c r="AF604" s="4512"/>
      <c r="AG604" s="4513"/>
      <c r="AH604" s="4525"/>
      <c r="AI604" s="6192"/>
    </row>
    <row r="605">
      <c r="A605" s="6185"/>
      <c r="B605" s="4526"/>
      <c r="C605" s="1481"/>
      <c r="D605" s="6601"/>
      <c r="E605" s="4528" t="s">
        <v>1502</v>
      </c>
      <c r="F605" s="4529"/>
      <c r="G605" s="4529"/>
      <c r="H605" s="4530"/>
      <c r="J605" s="4528" t="s">
        <v>420</v>
      </c>
      <c r="K605" s="4529"/>
      <c r="L605" s="4529"/>
      <c r="M605" s="4530"/>
      <c r="O605" s="4528" t="s">
        <v>1502</v>
      </c>
      <c r="P605" s="4529"/>
      <c r="Q605" s="4529"/>
      <c r="R605" s="4530"/>
      <c r="T605" s="4528" t="s">
        <v>1502</v>
      </c>
      <c r="U605" s="4529"/>
      <c r="V605" s="4529"/>
      <c r="W605" s="4530"/>
      <c r="X605" s="6600"/>
      <c r="Y605" s="4531"/>
      <c r="Z605" s="4512"/>
      <c r="AA605" s="4512"/>
      <c r="AB605" s="4513"/>
      <c r="AC605" s="4524"/>
      <c r="AD605" s="4531"/>
      <c r="AE605" s="4512"/>
      <c r="AF605" s="4512"/>
      <c r="AG605" s="4513"/>
      <c r="AH605" s="4532"/>
      <c r="AI605" s="6192"/>
    </row>
    <row r="606" ht="25.5" customHeight="1">
      <c r="A606" s="6185"/>
      <c r="B606" s="4505"/>
      <c r="C606" s="1489"/>
      <c r="D606" s="4533"/>
      <c r="E606" s="4534"/>
      <c r="F606" s="4535" t="str">
        <f t="array" ref="F606">IFERROR(VLOOKUP(E604,Dex!$B$3:$H1218,5,FALSE),"")</f>
        <v/>
      </c>
      <c r="G606" s="4536" t="str">
        <f t="array" ref="G606">IFERROR(VLOOKUP(E604,Dex!$B$3:$H1218,7,FALSE),"")</f>
        <v/>
      </c>
      <c r="H606" s="4537"/>
      <c r="J606" s="4534"/>
      <c r="K606" s="4535" t="str">
        <f t="array" ref="K606">IFERROR(VLOOKUP(J604,Dex!$B$3:$H1218,5,FALSE),"")</f>
        <v/>
      </c>
      <c r="L606" s="4536" t="str">
        <f t="array" ref="L606">IFERROR(VLOOKUP(J604,Dex!$B$3:$H1218,7,FALSE),"")</f>
        <v/>
      </c>
      <c r="M606" s="4537"/>
      <c r="O606" s="4534"/>
      <c r="P606" s="4535" t="str">
        <f t="array" ref="P606">IFERROR(VLOOKUP(O604,Dex!$B$3:$H1218,5,FALSE),"")</f>
        <v/>
      </c>
      <c r="Q606" s="4536" t="str">
        <f t="array" ref="Q606">IFERROR(VLOOKUP(O604,Dex!$B$3:$H1218,7,FALSE),"")</f>
        <v/>
      </c>
      <c r="R606" s="4537"/>
      <c r="T606" s="4534"/>
      <c r="U606" s="4535" t="str">
        <f t="array" ref="U606">IFERROR(VLOOKUP(T604,Dex!$B$3:$H1218,5,FALSE),"")</f>
        <v/>
      </c>
      <c r="V606" s="4536" t="str">
        <f t="array" ref="V606">IFERROR(VLOOKUP(T604,Dex!$B$3:$H1218,7,FALSE),"")</f>
        <v/>
      </c>
      <c r="W606" s="4537"/>
      <c r="X606" s="6600"/>
      <c r="Y606" s="4511"/>
      <c r="Z606" s="4512"/>
      <c r="AA606" s="4512"/>
      <c r="AB606" s="4513"/>
      <c r="AC606" s="4524"/>
      <c r="AD606" s="4511"/>
      <c r="AE606" s="4512"/>
      <c r="AF606" s="4512"/>
      <c r="AG606" s="4513"/>
      <c r="AH606" s="4495"/>
      <c r="AI606" s="6192"/>
    </row>
    <row r="607" ht="2.25" customHeight="1">
      <c r="A607" s="6185"/>
      <c r="B607" s="4538"/>
      <c r="C607" s="4539"/>
      <c r="D607" s="4540"/>
      <c r="E607" s="4541"/>
      <c r="F607" s="4542"/>
      <c r="G607" s="4542"/>
      <c r="H607" s="4543"/>
      <c r="J607" s="4541"/>
      <c r="K607" s="4542"/>
      <c r="L607" s="4542"/>
      <c r="M607" s="4543"/>
      <c r="O607" s="4541"/>
      <c r="P607" s="4542"/>
      <c r="Q607" s="4542"/>
      <c r="R607" s="4543"/>
      <c r="T607" s="4541"/>
      <c r="U607" s="4542"/>
      <c r="V607" s="4542"/>
      <c r="W607" s="4543"/>
      <c r="X607" s="6600"/>
      <c r="Y607" s="4544"/>
      <c r="Z607" s="4544"/>
      <c r="AA607" s="4544"/>
      <c r="AB607" s="4544"/>
      <c r="AC607" s="4524"/>
      <c r="AD607" s="4544"/>
      <c r="AE607" s="4544"/>
      <c r="AF607" s="4544"/>
      <c r="AG607" s="4544"/>
      <c r="AH607" s="4495"/>
      <c r="AI607" s="6192"/>
    </row>
    <row r="608" ht="20.25" customHeight="1">
      <c r="A608" s="6185"/>
      <c r="B608" s="4491"/>
      <c r="C608" s="4545"/>
      <c r="D608" s="4511"/>
      <c r="E608" s="4546" t="s">
        <v>172</v>
      </c>
      <c r="F608" s="4547"/>
      <c r="G608" s="4547"/>
      <c r="H608" s="4548"/>
      <c r="J608" s="4546" t="s">
        <v>172</v>
      </c>
      <c r="K608" s="4547"/>
      <c r="L608" s="4547"/>
      <c r="M608" s="4548"/>
      <c r="O608" s="4546" t="s">
        <v>206</v>
      </c>
      <c r="P608" s="4547"/>
      <c r="Q608" s="4547"/>
      <c r="R608" s="4548"/>
      <c r="T608" s="4546" t="s">
        <v>263</v>
      </c>
      <c r="U608" s="4547"/>
      <c r="V608" s="4547"/>
      <c r="W608" s="4548"/>
      <c r="X608" s="6600"/>
      <c r="Y608" s="4511"/>
      <c r="Z608" s="4512"/>
      <c r="AA608" s="4512"/>
      <c r="AB608" s="4513"/>
      <c r="AC608" s="4524"/>
      <c r="AD608" s="4511"/>
      <c r="AE608" s="4512"/>
      <c r="AF608" s="4512"/>
      <c r="AG608" s="4513"/>
      <c r="AH608" s="4495"/>
      <c r="AI608" s="6192"/>
    </row>
    <row r="609">
      <c r="A609" s="6185"/>
      <c r="B609" s="4491"/>
      <c r="C609" s="4545"/>
      <c r="D609" s="4511"/>
      <c r="E609" s="4549" t="s">
        <v>734</v>
      </c>
      <c r="F609" s="4512"/>
      <c r="G609" s="4512"/>
      <c r="H609" s="4550"/>
      <c r="J609" s="4549" t="s">
        <v>597</v>
      </c>
      <c r="K609" s="4512"/>
      <c r="L609" s="4512"/>
      <c r="M609" s="4550"/>
      <c r="O609" s="4549" t="s">
        <v>1695</v>
      </c>
      <c r="P609" s="4512"/>
      <c r="Q609" s="4512"/>
      <c r="R609" s="4550"/>
      <c r="T609" s="4549" t="s">
        <v>980</v>
      </c>
      <c r="U609" s="4512"/>
      <c r="V609" s="4512"/>
      <c r="W609" s="4550"/>
      <c r="X609" s="6600"/>
      <c r="Y609" s="4511"/>
      <c r="Z609" s="4512"/>
      <c r="AA609" s="4512"/>
      <c r="AB609" s="4513"/>
      <c r="AC609" s="4524"/>
      <c r="AD609" s="4511"/>
      <c r="AE609" s="4512"/>
      <c r="AF609" s="4512"/>
      <c r="AG609" s="4513"/>
      <c r="AH609" s="4495"/>
      <c r="AI609" s="6192"/>
    </row>
    <row r="610" ht="20.25" customHeight="1">
      <c r="A610" s="6185"/>
      <c r="B610" s="4491"/>
      <c r="C610" s="4545"/>
      <c r="D610" s="4511"/>
      <c r="E610" s="4551" t="s">
        <v>240</v>
      </c>
      <c r="F610" s="4502"/>
      <c r="G610" s="4503"/>
      <c r="H610" s="4552" t="str">
        <f>IMAGE("https://raw.githubusercontent.com/msikma/pokesprite/master/items/hold-item/focus-sash.png",3)</f>
        <v/>
      </c>
      <c r="J610" s="4551" t="s">
        <v>1696</v>
      </c>
      <c r="K610" s="4502"/>
      <c r="L610" s="4503"/>
      <c r="M610" s="4552" t="str">
        <f>IMAGE("https://raw.githubusercontent.com/msikma/pokesprite/master/items/berry/wacan.png",3)</f>
        <v/>
      </c>
      <c r="O610" s="4551" t="s">
        <v>1697</v>
      </c>
      <c r="P610" s="4502"/>
      <c r="Q610" s="4503"/>
      <c r="R610" s="4552" t="str">
        <f>IMAGE("https://raw.githubusercontent.com/msikma/pokesprite/master/items/mega-stone/slowbronite.png",3)</f>
        <v/>
      </c>
      <c r="T610" s="4551" t="s">
        <v>334</v>
      </c>
      <c r="U610" s="4502"/>
      <c r="V610" s="4503"/>
      <c r="W610" s="4552" t="str">
        <f>IMAGE("https://raw.githubusercontent.com/msikma/pokesprite/master/items/hold-item/choice-specs.png",3)</f>
        <v/>
      </c>
      <c r="X610" s="6600"/>
      <c r="Y610" s="4511"/>
      <c r="Z610" s="4512"/>
      <c r="AA610" s="4512"/>
      <c r="AB610" s="4513"/>
      <c r="AC610" s="4524"/>
      <c r="AD610" s="4511"/>
      <c r="AE610" s="4512"/>
      <c r="AF610" s="4512"/>
      <c r="AG610" s="4513"/>
      <c r="AH610" s="4495"/>
      <c r="AI610" s="6192"/>
    </row>
    <row r="611" ht="20.25" customHeight="1">
      <c r="A611" s="6185"/>
      <c r="B611" s="4491"/>
      <c r="C611" s="4553"/>
      <c r="D611" s="4511"/>
      <c r="E611" s="4546" t="s">
        <v>458</v>
      </c>
      <c r="F611" s="4547"/>
      <c r="G611" s="4554"/>
      <c r="H611" s="4555" t="str">
        <f>IMAGE("https://raw.githubusercontent.com/msikma/pokesprite/master/misc/types/gen8/water.png",4,20,20)</f>
        <v/>
      </c>
      <c r="J611" s="4546" t="s">
        <v>396</v>
      </c>
      <c r="K611" s="4547"/>
      <c r="L611" s="4554"/>
      <c r="M611" s="4555" t="str">
        <f>IMAGE("https://raw.githubusercontent.com/msikma/pokesprite/master/misc/types/gen8/dragon.png",4,20,20)</f>
        <v/>
      </c>
      <c r="O611" s="4546" t="s">
        <v>246</v>
      </c>
      <c r="P611" s="4547"/>
      <c r="Q611" s="4554"/>
      <c r="R611" s="4555" t="str">
        <f>IMAGE("https://raw.githubusercontent.com/msikma/pokesprite/master/misc/types/gen8/water.png",4,20,20)</f>
        <v/>
      </c>
      <c r="T611" s="4546" t="s">
        <v>280</v>
      </c>
      <c r="U611" s="4547"/>
      <c r="V611" s="4554"/>
      <c r="W611" s="4555" t="str">
        <f>IMAGE("https://raw.githubusercontent.com/msikma/pokesprite/master/misc/types/gen8/poison.png",4,20,20)</f>
        <v/>
      </c>
      <c r="X611" s="6600"/>
      <c r="Y611" s="4511"/>
      <c r="Z611" s="4512"/>
      <c r="AA611" s="4512"/>
      <c r="AB611" s="4513"/>
      <c r="AC611" s="4524"/>
      <c r="AD611" s="4511"/>
      <c r="AE611" s="4512"/>
      <c r="AF611" s="4512"/>
      <c r="AG611" s="4513"/>
      <c r="AH611" s="4495"/>
      <c r="AI611" s="6192"/>
    </row>
    <row r="612" ht="20.25" customHeight="1">
      <c r="A612" s="6185"/>
      <c r="B612" s="4491"/>
      <c r="C612" s="4553"/>
      <c r="D612" s="4511"/>
      <c r="E612" s="4549" t="s">
        <v>1698</v>
      </c>
      <c r="F612" s="4512"/>
      <c r="G612" s="4513"/>
      <c r="H612" s="4556" t="str">
        <f>IMAGE("https://raw.githubusercontent.com/msikma/pokesprite/master/misc/types/gen8/ghost.png",4,20,20)</f>
        <v/>
      </c>
      <c r="J612" s="4549" t="s">
        <v>459</v>
      </c>
      <c r="K612" s="4512"/>
      <c r="L612" s="4513"/>
      <c r="M612" s="4556" t="str">
        <f>IMAGE("https://raw.githubusercontent.com/msikma/pokesprite/master/misc/types/gen8/water.png",4,20,20)</f>
        <v/>
      </c>
      <c r="O612" s="4549" t="s">
        <v>561</v>
      </c>
      <c r="P612" s="4512"/>
      <c r="Q612" s="4513"/>
      <c r="R612" s="4556" t="str">
        <f t="shared" ref="R612:R613" si="24">IMAGE("https://raw.githubusercontent.com/msikma/pokesprite/master/misc/types/gen8/psychic.png",4,20,20)</f>
        <v/>
      </c>
      <c r="T612" s="4549" t="s">
        <v>217</v>
      </c>
      <c r="U612" s="4512"/>
      <c r="V612" s="4513"/>
      <c r="W612" s="4556" t="str">
        <f>IMAGE("https://raw.githubusercontent.com/msikma/pokesprite/master/misc/types/gen8/psychic.png",4,20,20)</f>
        <v/>
      </c>
      <c r="X612" s="6600"/>
      <c r="Y612" s="4511"/>
      <c r="Z612" s="4512"/>
      <c r="AA612" s="4512"/>
      <c r="AB612" s="4513"/>
      <c r="AC612" s="4524"/>
      <c r="AD612" s="4511"/>
      <c r="AE612" s="4512"/>
      <c r="AF612" s="4512"/>
      <c r="AG612" s="4513"/>
      <c r="AH612" s="4495"/>
      <c r="AI612" s="6192"/>
    </row>
    <row r="613" ht="20.25" customHeight="1">
      <c r="A613" s="6185"/>
      <c r="B613" s="4491"/>
      <c r="C613" s="4553"/>
      <c r="D613" s="4511"/>
      <c r="E613" s="4549" t="s">
        <v>735</v>
      </c>
      <c r="F613" s="4512"/>
      <c r="G613" s="4513"/>
      <c r="H613" s="4556" t="str">
        <f>IMAGE("https://raw.githubusercontent.com/msikma/pokesprite/master/misc/types/gen8/water.png",4,20,20)</f>
        <v/>
      </c>
      <c r="J613" s="4549" t="s">
        <v>402</v>
      </c>
      <c r="K613" s="4512"/>
      <c r="L613" s="4513"/>
      <c r="M613" s="4556" t="str">
        <f>IMAGE("https://raw.githubusercontent.com/msikma/pokesprite/master/misc/types/gen8/ground.png",4,20,20)</f>
        <v/>
      </c>
      <c r="O613" s="4549" t="s">
        <v>509</v>
      </c>
      <c r="P613" s="4512"/>
      <c r="Q613" s="4513"/>
      <c r="R613" s="4556" t="str">
        <f t="shared" si="24"/>
        <v/>
      </c>
      <c r="T613" s="4549" t="s">
        <v>317</v>
      </c>
      <c r="U613" s="4512"/>
      <c r="V613" s="4513"/>
      <c r="W613" s="4556" t="str">
        <f>IMAGE("https://raw.githubusercontent.com/msikma/pokesprite/master/misc/types/gen8/ice.png",4,20,20)</f>
        <v/>
      </c>
      <c r="X613" s="6600"/>
      <c r="Y613" s="4511"/>
      <c r="Z613" s="4512"/>
      <c r="AA613" s="4512"/>
      <c r="AB613" s="4513"/>
      <c r="AC613" s="4524"/>
      <c r="AD613" s="4511"/>
      <c r="AE613" s="4512"/>
      <c r="AF613" s="4512"/>
      <c r="AG613" s="4513"/>
      <c r="AH613" s="4495"/>
      <c r="AI613" s="6192"/>
    </row>
    <row r="614" ht="21.0" customHeight="1">
      <c r="A614" s="6185"/>
      <c r="B614" s="4491"/>
      <c r="C614" s="4553"/>
      <c r="D614" s="4511"/>
      <c r="E614" s="4557" t="s">
        <v>813</v>
      </c>
      <c r="F614" s="4558"/>
      <c r="G614" s="4559"/>
      <c r="H614" s="4560" t="str">
        <f>IMAGE("https://raw.githubusercontent.com/msikma/pokesprite/master/misc/types/gen8/ice.png",4,20,20)</f>
        <v/>
      </c>
      <c r="I614" s="6602"/>
      <c r="J614" s="4557" t="s">
        <v>813</v>
      </c>
      <c r="K614" s="4558"/>
      <c r="L614" s="4559"/>
      <c r="M614" s="4560" t="str">
        <f>IMAGE("https://raw.githubusercontent.com/msikma/pokesprite/master/misc/types/gen8/ice.png",4,20,20)</f>
        <v/>
      </c>
      <c r="N614" s="6602"/>
      <c r="O614" s="4557" t="s">
        <v>560</v>
      </c>
      <c r="P614" s="4558"/>
      <c r="Q614" s="4559"/>
      <c r="R614" s="4560" t="str">
        <f>IMAGE("https://raw.githubusercontent.com/msikma/pokesprite/master/misc/types/gen8/normal.png",4,20,20)</f>
        <v/>
      </c>
      <c r="S614" s="6602"/>
      <c r="T614" s="4557" t="s">
        <v>372</v>
      </c>
      <c r="U614" s="4558"/>
      <c r="V614" s="4559"/>
      <c r="W614" s="4560" t="str">
        <f>IMAGE("https://raw.githubusercontent.com/msikma/pokesprite/master/misc/types/gen8/fire.png",4,20,20)</f>
        <v/>
      </c>
      <c r="X614" s="6603"/>
      <c r="Y614" s="4511"/>
      <c r="Z614" s="4512"/>
      <c r="AA614" s="4512"/>
      <c r="AB614" s="4513"/>
      <c r="AC614" s="4563"/>
      <c r="AD614" s="4511"/>
      <c r="AE614" s="4512"/>
      <c r="AF614" s="4512"/>
      <c r="AG614" s="4513"/>
      <c r="AH614" s="4495"/>
      <c r="AI614" s="6192"/>
    </row>
    <row r="615" ht="3.0" customHeight="1">
      <c r="A615" s="6185"/>
      <c r="B615" s="4564"/>
      <c r="C615" s="4553"/>
      <c r="D615" s="4565"/>
      <c r="E615" s="4566"/>
      <c r="F615" s="4566"/>
      <c r="G615" s="4566"/>
      <c r="H615" s="4567"/>
      <c r="I615" s="4565"/>
      <c r="J615" s="4566"/>
      <c r="K615" s="4566"/>
      <c r="L615" s="4566"/>
      <c r="M615" s="4567"/>
      <c r="N615" s="4565"/>
      <c r="O615" s="4566"/>
      <c r="P615" s="4566"/>
      <c r="Q615" s="4566"/>
      <c r="R615" s="4567"/>
      <c r="S615" s="4568"/>
      <c r="T615" s="4566"/>
      <c r="U615" s="4566"/>
      <c r="V615" s="4566"/>
      <c r="W615" s="4567"/>
      <c r="X615" s="4565"/>
      <c r="Y615" s="4565"/>
      <c r="Z615" s="4569"/>
      <c r="AA615" s="4569"/>
      <c r="AB615" s="4570"/>
      <c r="AC615" s="4570"/>
      <c r="AD615" s="4570"/>
      <c r="AE615" s="4570"/>
      <c r="AF615" s="4570"/>
      <c r="AG615" s="4570"/>
      <c r="AH615" s="4571"/>
      <c r="AI615" s="6192"/>
    </row>
    <row r="616" ht="16.5" customHeight="1">
      <c r="A616" s="6185"/>
      <c r="B616" s="4572"/>
      <c r="C616" s="4553"/>
      <c r="D616" s="4573"/>
      <c r="E616" s="4574" t="s">
        <v>190</v>
      </c>
      <c r="F616" s="381"/>
      <c r="G616" s="382"/>
      <c r="H616" s="4575" t="s">
        <v>191</v>
      </c>
      <c r="I616" s="4576"/>
      <c r="J616" s="4574" t="s">
        <v>190</v>
      </c>
      <c r="K616" s="381"/>
      <c r="L616" s="382"/>
      <c r="M616" s="4575" t="s">
        <v>191</v>
      </c>
      <c r="N616" s="4577"/>
      <c r="O616" s="4574" t="s">
        <v>190</v>
      </c>
      <c r="P616" s="381"/>
      <c r="Q616" s="382"/>
      <c r="R616" s="4575" t="s">
        <v>191</v>
      </c>
      <c r="S616" s="4581"/>
      <c r="T616" s="4574" t="s">
        <v>190</v>
      </c>
      <c r="U616" s="381"/>
      <c r="V616" s="382"/>
      <c r="W616" s="4575" t="s">
        <v>191</v>
      </c>
      <c r="X616" s="4580"/>
      <c r="Y616" s="4580"/>
      <c r="Z616" s="4578"/>
      <c r="AA616" s="4578"/>
      <c r="AB616" s="4580"/>
      <c r="AC616" s="4580"/>
      <c r="AD616" s="4580"/>
      <c r="AE616" s="4580"/>
      <c r="AF616" s="4580"/>
      <c r="AG616" s="4580"/>
      <c r="AH616" s="4582"/>
      <c r="AI616" s="6192"/>
    </row>
    <row r="617" ht="16.5" customHeight="1">
      <c r="A617" s="6185"/>
      <c r="B617" s="4572"/>
      <c r="C617" s="4553"/>
      <c r="D617" s="4573"/>
      <c r="E617" s="4583" t="s">
        <v>192</v>
      </c>
      <c r="F617" s="4584">
        <f t="array" ref="F617">IFERROR(VLOOKUP(E604,Dex!$B$3:$N1218,8,FALSE),"")</f>
        <v>120</v>
      </c>
      <c r="G617" s="4585" t="str">
        <f t="array" ref="G617">IFERROR(VLOOKUP(F617,Dex!$P$22:$Q$276,2,FALSE),"")</f>
        <v/>
      </c>
      <c r="H617" s="4586"/>
      <c r="I617" s="4576"/>
      <c r="J617" s="4583" t="s">
        <v>192</v>
      </c>
      <c r="K617" s="4584">
        <f t="array" ref="K617">IFERROR(VLOOKUP(J604,Dex!$B$3:$N1218,8,FALSE),"")</f>
        <v>95</v>
      </c>
      <c r="L617" s="4585" t="str">
        <f t="array" ref="L617">IFERROR(VLOOKUP(K617,Dex!$P$22:$Q$276,2,FALSE),"")</f>
        <v/>
      </c>
      <c r="M617" s="4586"/>
      <c r="N617" s="4577"/>
      <c r="O617" s="4583" t="s">
        <v>192</v>
      </c>
      <c r="P617" s="4584">
        <f t="array" ref="P617">IFERROR(VLOOKUP(O604,Dex!$B$3:$N1218,8,FALSE),"")</f>
        <v>95</v>
      </c>
      <c r="Q617" s="4585" t="str">
        <f t="array" ref="Q617">IFERROR(VLOOKUP(P617,Dex!$P$22:$Q$276,2,FALSE),"")</f>
        <v/>
      </c>
      <c r="R617" s="4586">
        <v>252.0</v>
      </c>
      <c r="S617" s="4588"/>
      <c r="T617" s="4583" t="s">
        <v>192</v>
      </c>
      <c r="U617" s="4584">
        <f t="array" ref="U617">IFERROR(VLOOKUP(T604,Dex!$B$3:$N1218,8,FALSE),"")</f>
        <v>95</v>
      </c>
      <c r="V617" s="4585" t="str">
        <f t="array" ref="V617">IFERROR(VLOOKUP(U617,Dex!$P$22:$Q$276,2,FALSE),"")</f>
        <v/>
      </c>
      <c r="W617" s="4586">
        <v>252.0</v>
      </c>
      <c r="X617" s="4580"/>
      <c r="Y617" s="4580"/>
      <c r="Z617" s="4578"/>
      <c r="AA617" s="4578"/>
      <c r="AB617" s="4580"/>
      <c r="AC617" s="4580"/>
      <c r="AD617" s="4580"/>
      <c r="AE617" s="4580"/>
      <c r="AF617" s="4580"/>
      <c r="AG617" s="4580"/>
      <c r="AH617" s="4582"/>
      <c r="AI617" s="6192"/>
    </row>
    <row r="618" ht="16.5" customHeight="1">
      <c r="A618" s="6185"/>
      <c r="B618" s="4572"/>
      <c r="C618" s="4553"/>
      <c r="D618" s="4573"/>
      <c r="E618" s="4589" t="s">
        <v>193</v>
      </c>
      <c r="F618" s="4590">
        <f t="array" ref="F618">IFERROR(VLOOKUP(E604,Dex!$B$3:$N1218,9,FALSE),"")</f>
        <v>112</v>
      </c>
      <c r="G618" s="4591" t="str">
        <f t="array" ref="G618">IFERROR(VLOOKUP(F618,Dex!$P$22:$Q$276,2,FALSE),"")</f>
        <v/>
      </c>
      <c r="H618" s="4592">
        <v>252.0</v>
      </c>
      <c r="I618" s="4576"/>
      <c r="J618" s="4589" t="s">
        <v>193</v>
      </c>
      <c r="K618" s="4590">
        <f t="array" ref="K618">IFERROR(VLOOKUP(J604,Dex!$B$3:$N1218,9,FALSE),"")</f>
        <v>125</v>
      </c>
      <c r="L618" s="4591" t="str">
        <f t="array" ref="L618">IFERROR(VLOOKUP(K618,Dex!$P$22:$Q$276,2,FALSE),"")</f>
        <v/>
      </c>
      <c r="M618" s="4592">
        <v>252.0</v>
      </c>
      <c r="N618" s="4577"/>
      <c r="O618" s="4589" t="s">
        <v>193</v>
      </c>
      <c r="P618" s="4590">
        <f t="array" ref="P618">IFERROR(VLOOKUP(O604,Dex!$B$3:$N1218,9,FALSE),"")</f>
        <v>75</v>
      </c>
      <c r="Q618" s="4591" t="str">
        <f t="array" ref="Q618">IFERROR(VLOOKUP(P618,Dex!$P$22:$Q$276,2,FALSE),"")</f>
        <v/>
      </c>
      <c r="R618" s="4592"/>
      <c r="S618" s="4588"/>
      <c r="T618" s="4589" t="s">
        <v>193</v>
      </c>
      <c r="U618" s="4590">
        <f t="array" ref="U618">IFERROR(VLOOKUP(T604,Dex!$B$3:$N1218,9,FALSE),"")</f>
        <v>75</v>
      </c>
      <c r="V618" s="4591" t="str">
        <f t="array" ref="V618">IFERROR(VLOOKUP(U618,Dex!$P$22:$Q$276,2,FALSE),"")</f>
        <v/>
      </c>
      <c r="W618" s="4592"/>
      <c r="X618" s="4580"/>
      <c r="Y618" s="4580"/>
      <c r="Z618" s="4578"/>
      <c r="AA618" s="4578"/>
      <c r="AB618" s="4580"/>
      <c r="AC618" s="4580"/>
      <c r="AD618" s="4580"/>
      <c r="AE618" s="4580"/>
      <c r="AF618" s="4580"/>
      <c r="AG618" s="4580"/>
      <c r="AH618" s="4582"/>
      <c r="AI618" s="6192"/>
    </row>
    <row r="619" ht="16.5" customHeight="1">
      <c r="A619" s="6185"/>
      <c r="B619" s="4572"/>
      <c r="C619" s="4553"/>
      <c r="D619" s="4573"/>
      <c r="E619" s="4589" t="s">
        <v>194</v>
      </c>
      <c r="F619" s="4590">
        <f t="array" ref="F619">IFERROR(VLOOKUP(E604,Dex!$B$3:$N1218,10,FALSE),"")</f>
        <v>65</v>
      </c>
      <c r="G619" s="4591" t="str">
        <f t="array" ref="G619">IFERROR(VLOOKUP(F619,Dex!$P$22:$Q$276,2,FALSE),"")</f>
        <v/>
      </c>
      <c r="H619" s="4592">
        <v>4.0</v>
      </c>
      <c r="I619" s="4576"/>
      <c r="J619" s="4589" t="s">
        <v>194</v>
      </c>
      <c r="K619" s="4590">
        <f t="array" ref="K619">IFERROR(VLOOKUP(J604,Dex!$B$3:$N1218,10,FALSE),"")</f>
        <v>79</v>
      </c>
      <c r="L619" s="4591" t="str">
        <f t="array" ref="L619">IFERROR(VLOOKUP(K619,Dex!$P$22:$Q$276,2,FALSE),"")</f>
        <v/>
      </c>
      <c r="M619" s="4592">
        <v>4.0</v>
      </c>
      <c r="N619" s="4577"/>
      <c r="O619" s="4589" t="s">
        <v>194</v>
      </c>
      <c r="P619" s="4590">
        <f t="array" ref="P619">IFERROR(VLOOKUP(O604,Dex!$B$3:$N1218,10,FALSE),"")</f>
        <v>180</v>
      </c>
      <c r="Q619" s="4591" t="str">
        <f t="array" ref="Q619">IFERROR(VLOOKUP(P619,Dex!$P$22:$Q$276,2,FALSE),"")</f>
        <v/>
      </c>
      <c r="R619" s="4592">
        <v>252.0</v>
      </c>
      <c r="S619" s="4588"/>
      <c r="T619" s="4589" t="s">
        <v>194</v>
      </c>
      <c r="U619" s="4590">
        <f t="array" ref="U619">IFERROR(VLOOKUP(T604,Dex!$B$3:$N1218,10,FALSE),"")</f>
        <v>105</v>
      </c>
      <c r="V619" s="4591" t="str">
        <f t="array" ref="V619">IFERROR(VLOOKUP(U619,Dex!$P$22:$Q$276,2,FALSE),"")</f>
        <v/>
      </c>
      <c r="W619" s="4592">
        <v>4.0</v>
      </c>
      <c r="X619" s="4580"/>
      <c r="Y619" s="4580"/>
      <c r="Z619" s="4578"/>
      <c r="AA619" s="4578"/>
      <c r="AB619" s="4580"/>
      <c r="AC619" s="4580"/>
      <c r="AD619" s="4580"/>
      <c r="AE619" s="4580"/>
      <c r="AF619" s="4580"/>
      <c r="AG619" s="4580"/>
      <c r="AH619" s="4582"/>
      <c r="AI619" s="6192"/>
    </row>
    <row r="620" ht="16.5" customHeight="1">
      <c r="A620" s="6185"/>
      <c r="B620" s="4572"/>
      <c r="C620" s="4553"/>
      <c r="D620" s="4573"/>
      <c r="E620" s="4589" t="s">
        <v>195</v>
      </c>
      <c r="F620" s="4590">
        <f t="array" ref="F620">IFERROR(VLOOKUP(E604,Dex!$B$3:$N1218,11,FALSE),"")</f>
        <v>80</v>
      </c>
      <c r="G620" s="4591" t="str">
        <f t="array" ref="G620">IFERROR(VLOOKUP(F620,Dex!$P$22:$Q$276,2,FALSE),"")</f>
        <v/>
      </c>
      <c r="H620" s="4592"/>
      <c r="I620" s="4576"/>
      <c r="J620" s="4589" t="s">
        <v>195</v>
      </c>
      <c r="K620" s="4590">
        <f t="array" ref="K620">IFERROR(VLOOKUP(J604,Dex!$B$3:$N1218,11,FALSE),"")</f>
        <v>60</v>
      </c>
      <c r="L620" s="4591" t="str">
        <f t="array" ref="L620">IFERROR(VLOOKUP(K620,Dex!$P$22:$Q$276,2,FALSE),"")</f>
        <v/>
      </c>
      <c r="M620" s="4592"/>
      <c r="N620" s="4577"/>
      <c r="O620" s="4589" t="s">
        <v>195</v>
      </c>
      <c r="P620" s="4590">
        <f t="array" ref="P620">IFERROR(VLOOKUP(O604,Dex!$B$3:$N1218,11,FALSE),"")</f>
        <v>130</v>
      </c>
      <c r="Q620" s="4591" t="str">
        <f t="array" ref="Q620">IFERROR(VLOOKUP(P620,Dex!$P$22:$Q$276,2,FALSE),"")</f>
        <v/>
      </c>
      <c r="R620" s="4592"/>
      <c r="S620" s="4588"/>
      <c r="T620" s="4589" t="s">
        <v>195</v>
      </c>
      <c r="U620" s="4590">
        <f t="array" ref="U620">IFERROR(VLOOKUP(T604,Dex!$B$3:$N1218,11,FALSE),"")</f>
        <v>115</v>
      </c>
      <c r="V620" s="4591" t="str">
        <f t="array" ref="V620">IFERROR(VLOOKUP(U620,Dex!$P$22:$Q$276,2,FALSE),"")</f>
        <v/>
      </c>
      <c r="W620" s="4592">
        <v>252.0</v>
      </c>
      <c r="X620" s="4580"/>
      <c r="Y620" s="4580"/>
      <c r="Z620" s="4578"/>
      <c r="AA620" s="4578"/>
      <c r="AB620" s="4580"/>
      <c r="AC620" s="4580"/>
      <c r="AD620" s="4580"/>
      <c r="AE620" s="4580"/>
      <c r="AF620" s="4580"/>
      <c r="AG620" s="4580"/>
      <c r="AH620" s="4582"/>
      <c r="AI620" s="6192"/>
    </row>
    <row r="621" ht="16.5" customHeight="1">
      <c r="A621" s="6185"/>
      <c r="B621" s="4572"/>
      <c r="C621" s="4553"/>
      <c r="D621" s="4573"/>
      <c r="E621" s="4589" t="s">
        <v>196</v>
      </c>
      <c r="F621" s="4590">
        <f t="array" ref="F621">IFERROR(VLOOKUP(E604,Dex!$B$3:$N1218,12,FALSE),"")</f>
        <v>75</v>
      </c>
      <c r="G621" s="4591" t="str">
        <f t="array" ref="G621">IFERROR(VLOOKUP(F621,Dex!$P$22:$Q$276,2,FALSE),"")</f>
        <v/>
      </c>
      <c r="H621" s="4592"/>
      <c r="I621" s="4576"/>
      <c r="J621" s="4589" t="s">
        <v>196</v>
      </c>
      <c r="K621" s="4590">
        <f t="array" ref="K621">IFERROR(VLOOKUP(J604,Dex!$B$3:$N1218,12,FALSE),"")</f>
        <v>100</v>
      </c>
      <c r="L621" s="4591" t="str">
        <f t="array" ref="L621">IFERROR(VLOOKUP(K621,Dex!$P$22:$Q$276,2,FALSE),"")</f>
        <v/>
      </c>
      <c r="M621" s="4592"/>
      <c r="N621" s="4577"/>
      <c r="O621" s="4589" t="s">
        <v>196</v>
      </c>
      <c r="P621" s="4590">
        <f t="array" ref="P621">IFERROR(VLOOKUP(O604,Dex!$B$3:$N1218,12,FALSE),"")</f>
        <v>80</v>
      </c>
      <c r="Q621" s="4591" t="str">
        <f t="array" ref="Q621">IFERROR(VLOOKUP(P621,Dex!$P$22:$Q$276,2,FALSE),"")</f>
        <v/>
      </c>
      <c r="R621" s="4592">
        <v>4.0</v>
      </c>
      <c r="S621" s="4588"/>
      <c r="T621" s="4589" t="s">
        <v>196</v>
      </c>
      <c r="U621" s="4590">
        <f t="array" ref="U621">IFERROR(VLOOKUP(T604,Dex!$B$3:$N1218,12,FALSE),"")</f>
        <v>70</v>
      </c>
      <c r="V621" s="4591" t="str">
        <f t="array" ref="V621">IFERROR(VLOOKUP(U621,Dex!$P$22:$Q$276,2,FALSE),"")</f>
        <v/>
      </c>
      <c r="W621" s="4592"/>
      <c r="X621" s="4580"/>
      <c r="Y621" s="4580"/>
      <c r="Z621" s="4578"/>
      <c r="AA621" s="4578"/>
      <c r="AB621" s="4580"/>
      <c r="AC621" s="4580"/>
      <c r="AD621" s="4580"/>
      <c r="AE621" s="4580"/>
      <c r="AF621" s="4580"/>
      <c r="AG621" s="4580"/>
      <c r="AH621" s="4582"/>
      <c r="AI621" s="6192"/>
    </row>
    <row r="622" ht="16.5" customHeight="1">
      <c r="A622" s="6185"/>
      <c r="B622" s="4572"/>
      <c r="C622" s="4553"/>
      <c r="D622" s="4573"/>
      <c r="E622" s="4595" t="s">
        <v>197</v>
      </c>
      <c r="F622" s="4596">
        <f t="array" ref="F622">IFERROR(VLOOKUP(E604,Dex!$B$3:$N1218,13,FALSE),"")</f>
        <v>78</v>
      </c>
      <c r="G622" s="4597" t="str">
        <f t="array" ref="G622">IFERROR(VLOOKUP(F622,Dex!$P$22:$Q$276,2,FALSE),"")</f>
        <v/>
      </c>
      <c r="H622" s="4598">
        <v>252.0</v>
      </c>
      <c r="I622" s="4576"/>
      <c r="J622" s="4595" t="s">
        <v>197</v>
      </c>
      <c r="K622" s="4596">
        <f t="array" ref="K622">IFERROR(VLOOKUP(J604,Dex!$B$3:$N1218,13,FALSE),"")</f>
        <v>81</v>
      </c>
      <c r="L622" s="4597" t="str">
        <f t="array" ref="L622">IFERROR(VLOOKUP(K622,Dex!$P$22:$Q$276,2,FALSE),"")</f>
        <v/>
      </c>
      <c r="M622" s="4598">
        <v>252.0</v>
      </c>
      <c r="N622" s="4577"/>
      <c r="O622" s="4595" t="s">
        <v>197</v>
      </c>
      <c r="P622" s="4596">
        <f t="array" ref="P622">IFERROR(VLOOKUP(O604,Dex!$B$3:$N1218,13,FALSE),"")</f>
        <v>30</v>
      </c>
      <c r="Q622" s="4597" t="str">
        <f t="array" ref="Q622">IFERROR(VLOOKUP(P622,Dex!$P$22:$Q$276,2,FALSE),"")</f>
        <v/>
      </c>
      <c r="R622" s="4598"/>
      <c r="S622" s="4588"/>
      <c r="T622" s="4595" t="s">
        <v>197</v>
      </c>
      <c r="U622" s="4596">
        <f t="array" ref="U622">IFERROR(VLOOKUP(T604,Dex!$B$3:$N1218,13,FALSE),"")</f>
        <v>30</v>
      </c>
      <c r="V622" s="4597" t="str">
        <f t="array" ref="V622">IFERROR(VLOOKUP(U622,Dex!$P$22:$Q$276,2,FALSE),"")</f>
        <v/>
      </c>
      <c r="W622" s="4598"/>
      <c r="X622" s="4580"/>
      <c r="Y622" s="4580"/>
      <c r="Z622" s="4578"/>
      <c r="AA622" s="4578"/>
      <c r="AB622" s="4580"/>
      <c r="AC622" s="4580"/>
      <c r="AD622" s="4580"/>
      <c r="AE622" s="4580"/>
      <c r="AF622" s="4580"/>
      <c r="AG622" s="4580"/>
      <c r="AH622" s="4582"/>
      <c r="AI622" s="6192"/>
    </row>
    <row r="623" ht="16.5" customHeight="1">
      <c r="A623" s="6185"/>
      <c r="B623" s="4572"/>
      <c r="C623" s="4553"/>
      <c r="D623" s="4599"/>
      <c r="E623" s="4600" t="s">
        <v>198</v>
      </c>
      <c r="F623" s="405"/>
      <c r="G623" s="406"/>
      <c r="H623" s="4601">
        <v>280.0</v>
      </c>
      <c r="I623" s="4602"/>
      <c r="J623" s="4600" t="s">
        <v>198</v>
      </c>
      <c r="K623" s="405"/>
      <c r="L623" s="406"/>
      <c r="M623" s="4601">
        <v>280.0</v>
      </c>
      <c r="N623" s="4577"/>
      <c r="O623" s="4600" t="s">
        <v>198</v>
      </c>
      <c r="P623" s="405"/>
      <c r="Q623" s="406"/>
      <c r="R623" s="4601">
        <v>96.0</v>
      </c>
      <c r="S623" s="4588"/>
      <c r="T623" s="4600" t="s">
        <v>198</v>
      </c>
      <c r="U623" s="405"/>
      <c r="V623" s="406"/>
      <c r="W623" s="4601">
        <v>96.0</v>
      </c>
      <c r="X623" s="4580"/>
      <c r="Y623" s="4580"/>
      <c r="Z623" s="4578"/>
      <c r="AA623" s="4578"/>
      <c r="AB623" s="4580"/>
      <c r="AC623" s="4580"/>
      <c r="AD623" s="4580"/>
      <c r="AE623" s="4580"/>
      <c r="AF623" s="4580"/>
      <c r="AG623" s="4580"/>
      <c r="AH623" s="4582"/>
      <c r="AI623" s="6192"/>
    </row>
    <row r="624" ht="15.0" customHeight="1">
      <c r="A624" s="6185"/>
      <c r="B624" s="4614"/>
      <c r="C624" s="4615"/>
      <c r="D624" s="4616"/>
      <c r="E624" s="4617"/>
      <c r="F624" s="4617"/>
      <c r="G624" s="4617"/>
      <c r="H624" s="4617"/>
      <c r="I624" s="4616"/>
      <c r="J624" s="4617"/>
      <c r="K624" s="4617"/>
      <c r="L624" s="4617"/>
      <c r="M624" s="4617"/>
      <c r="N624" s="4616"/>
      <c r="O624" s="4616"/>
      <c r="P624" s="4616"/>
      <c r="Q624" s="4616"/>
      <c r="R624" s="4616"/>
      <c r="S624" s="4616"/>
      <c r="T624" s="4616"/>
      <c r="U624" s="4616"/>
      <c r="V624" s="4616"/>
      <c r="W624" s="4616"/>
      <c r="X624" s="4616"/>
      <c r="Y624" s="4616"/>
      <c r="Z624" s="4616"/>
      <c r="AA624" s="4616"/>
      <c r="AB624" s="4616"/>
      <c r="AC624" s="4616"/>
      <c r="AD624" s="4616"/>
      <c r="AE624" s="4616"/>
      <c r="AF624" s="4616"/>
      <c r="AG624" s="4616"/>
      <c r="AH624" s="4618"/>
      <c r="AI624" s="6192"/>
    </row>
    <row r="625" ht="15.0" customHeight="1">
      <c r="A625" s="6185"/>
      <c r="B625" s="1575"/>
      <c r="C625" s="1586"/>
      <c r="D625" s="1587"/>
      <c r="E625" s="1683"/>
      <c r="F625" s="1683"/>
      <c r="G625" s="1683"/>
      <c r="H625" s="1683"/>
      <c r="I625" s="1588"/>
      <c r="J625" s="1683"/>
      <c r="K625" s="1683"/>
      <c r="L625" s="1683"/>
      <c r="M625" s="1683"/>
      <c r="N625" s="1588"/>
      <c r="O625" s="1683"/>
      <c r="P625" s="1683"/>
      <c r="Q625" s="1683"/>
      <c r="R625" s="1683"/>
      <c r="S625" s="1588"/>
      <c r="T625" s="1683"/>
      <c r="U625" s="1683"/>
      <c r="V625" s="1683"/>
      <c r="W625" s="1683"/>
      <c r="X625" s="1588"/>
      <c r="Y625" s="1683"/>
      <c r="Z625" s="1683"/>
      <c r="AA625" s="1683"/>
      <c r="AB625" s="1683"/>
      <c r="AC625" s="1588"/>
      <c r="AD625" s="1683"/>
      <c r="AE625" s="1683"/>
      <c r="AF625" s="1683"/>
      <c r="AG625" s="1683"/>
      <c r="AH625" s="1585"/>
      <c r="AI625" s="6192"/>
    </row>
    <row r="626" ht="96.75" customHeight="1">
      <c r="A626" s="6185"/>
      <c r="B626" s="1593"/>
      <c r="C626" s="1594" t="str">
        <f>IMAGE("https://i.ibb.co/Lrh0bjy/Bugsy.png")</f>
        <v/>
      </c>
      <c r="D626" s="1595"/>
      <c r="E626" s="1596" t="str">
        <f t="array" ref="E626">IFERROR(VLOOKUP(E627,Dex!$B$3:$G1218,3,FALSE),"")</f>
        <v/>
      </c>
      <c r="F626" s="302"/>
      <c r="G626" s="302"/>
      <c r="H626" s="303"/>
      <c r="I626" s="6604"/>
      <c r="J626" s="1596" t="str">
        <f t="array" ref="J626">IFERROR(VLOOKUP(J627,Dex!$B$3:$G1218,3,FALSE),"")</f>
        <v/>
      </c>
      <c r="K626" s="302"/>
      <c r="L626" s="302"/>
      <c r="M626" s="303"/>
      <c r="N626" s="6605"/>
      <c r="O626" s="1596" t="str">
        <f t="array" ref="O626">IFERROR(VLOOKUP(O627,Dex!$B$3:$G1218,3,FALSE),"")</f>
        <v/>
      </c>
      <c r="P626" s="302"/>
      <c r="Q626" s="302"/>
      <c r="R626" s="303"/>
      <c r="S626" s="6605"/>
      <c r="T626" s="1596" t="str">
        <f t="array" ref="T626">IFERROR(VLOOKUP(T627,Dex!$B$3:$G1218,3,FALSE),"")</f>
        <v/>
      </c>
      <c r="U626" s="302"/>
      <c r="V626" s="302"/>
      <c r="W626" s="303"/>
      <c r="X626" s="6605"/>
      <c r="Y626" s="1596" t="str">
        <f t="array" ref="Y626">IFERROR(VLOOKUP(Y627,Dex!$B$3:$G1218,3,FALSE),"")</f>
        <v/>
      </c>
      <c r="Z626" s="302"/>
      <c r="AA626" s="302"/>
      <c r="AB626" s="303"/>
      <c r="AC626" s="6604"/>
      <c r="AD626" s="1596" t="str">
        <f t="array" ref="AD626">IFERROR(VLOOKUP(AD627,Dex!$B$3:$G1218,3,FALSE),"")</f>
        <v/>
      </c>
      <c r="AE626" s="302"/>
      <c r="AF626" s="302"/>
      <c r="AG626" s="303"/>
      <c r="AH626" s="1684"/>
      <c r="AI626" s="6192"/>
    </row>
    <row r="627" ht="18.75" customHeight="1">
      <c r="A627" s="6185"/>
      <c r="B627" s="1601"/>
      <c r="C627" s="1602" t="s">
        <v>1699</v>
      </c>
      <c r="D627" s="1603"/>
      <c r="E627" s="1604" t="s">
        <v>1472</v>
      </c>
      <c r="F627" s="1572"/>
      <c r="G627" s="1572"/>
      <c r="H627" s="1605"/>
      <c r="J627" s="1604" t="s">
        <v>1700</v>
      </c>
      <c r="K627" s="1572"/>
      <c r="L627" s="1572"/>
      <c r="M627" s="1605"/>
      <c r="O627" s="1604" t="s">
        <v>1701</v>
      </c>
      <c r="P627" s="1572"/>
      <c r="Q627" s="1572"/>
      <c r="R627" s="1605"/>
      <c r="T627" s="1604" t="s">
        <v>663</v>
      </c>
      <c r="U627" s="1572"/>
      <c r="V627" s="1572"/>
      <c r="W627" s="1605"/>
      <c r="Y627" s="1604" t="s">
        <v>1702</v>
      </c>
      <c r="Z627" s="1572"/>
      <c r="AA627" s="1572"/>
      <c r="AB627" s="1605"/>
      <c r="AD627" s="1604" t="s">
        <v>1238</v>
      </c>
      <c r="AE627" s="1572"/>
      <c r="AF627" s="1572"/>
      <c r="AG627" s="1605"/>
      <c r="AH627" s="6606"/>
      <c r="AI627" s="6192"/>
    </row>
    <row r="628">
      <c r="A628" s="6185"/>
      <c r="B628" s="6607"/>
      <c r="C628" s="1481"/>
      <c r="D628" s="6608"/>
      <c r="E628" s="1613" t="s">
        <v>1502</v>
      </c>
      <c r="F628" s="1582"/>
      <c r="G628" s="1582"/>
      <c r="H628" s="1614"/>
      <c r="J628" s="1613" t="s">
        <v>1502</v>
      </c>
      <c r="K628" s="1582"/>
      <c r="L628" s="1582"/>
      <c r="M628" s="1614"/>
      <c r="O628" s="1613" t="s">
        <v>1502</v>
      </c>
      <c r="P628" s="1582"/>
      <c r="Q628" s="1582"/>
      <c r="R628" s="1614"/>
      <c r="T628" s="1613" t="s">
        <v>1502</v>
      </c>
      <c r="U628" s="1582"/>
      <c r="V628" s="1582"/>
      <c r="W628" s="1614"/>
      <c r="Y628" s="1613" t="s">
        <v>1502</v>
      </c>
      <c r="Z628" s="1582"/>
      <c r="AA628" s="1582"/>
      <c r="AB628" s="1614"/>
      <c r="AD628" s="1613" t="s">
        <v>1502</v>
      </c>
      <c r="AE628" s="1582"/>
      <c r="AF628" s="1582"/>
      <c r="AG628" s="1614"/>
      <c r="AH628" s="6609"/>
      <c r="AI628" s="6192"/>
    </row>
    <row r="629" ht="25.5" customHeight="1">
      <c r="A629" s="6185"/>
      <c r="B629" s="1575"/>
      <c r="C629" s="1489"/>
      <c r="D629" s="1615"/>
      <c r="E629" s="1620"/>
      <c r="F629" s="1617" t="str">
        <f t="array" ref="F629">IFERROR(VLOOKUP(E627,Dex!$B$3:$H1218,5,FALSE),"")</f>
        <v/>
      </c>
      <c r="G629" s="1618" t="str">
        <f t="array" ref="G629">IFERROR(VLOOKUP(E627,Dex!$B$3:$H1218,7,FALSE),"")</f>
        <v/>
      </c>
      <c r="H629" s="1621"/>
      <c r="J629" s="1620"/>
      <c r="K629" s="1617" t="str">
        <f t="array" ref="K629">IFERROR(VLOOKUP(J627,Dex!$B$3:$H1218,5,FALSE),"")</f>
        <v/>
      </c>
      <c r="L629" s="1618" t="str">
        <f t="array" ref="L629">IFERROR(VLOOKUP(J627,Dex!$B$3:$H1218,7,FALSE),"")</f>
        <v/>
      </c>
      <c r="M629" s="1621"/>
      <c r="O629" s="1620"/>
      <c r="P629" s="1617" t="str">
        <f t="array" ref="P629">IFERROR(VLOOKUP(O627,Dex!$B$3:$H1218,5,FALSE),"")</f>
        <v/>
      </c>
      <c r="Q629" s="1618" t="str">
        <f t="array" ref="Q629">IFERROR(VLOOKUP(O627,Dex!$B$3:$H1218,7,FALSE),"")</f>
        <v/>
      </c>
      <c r="R629" s="1621"/>
      <c r="T629" s="1620"/>
      <c r="U629" s="1617" t="str">
        <f t="array" ref="U629">IFERROR(VLOOKUP(T627,Dex!$B$3:$H1218,5,FALSE),"")</f>
        <v/>
      </c>
      <c r="V629" s="1618" t="str">
        <f t="array" ref="V629">IFERROR(VLOOKUP(T627,Dex!$B$3:$H1218,7,FALSE),"")</f>
        <v/>
      </c>
      <c r="W629" s="1621"/>
      <c r="Y629" s="1620"/>
      <c r="Z629" s="6610" t="str">
        <f t="array" ref="Z629">IFERROR(VLOOKUP(Y627,Dex!$B$3:$H1218,5,FALSE),"")</f>
        <v/>
      </c>
      <c r="AA629" s="1583"/>
      <c r="AB629" s="1621"/>
      <c r="AD629" s="1620"/>
      <c r="AE629" s="1617" t="str">
        <f t="array" ref="AE629">IFERROR(VLOOKUP(AD627,Dex!$B$3:$H1218,5,FALSE),"")</f>
        <v/>
      </c>
      <c r="AF629" s="1618" t="str">
        <f t="array" ref="AF629">IFERROR(VLOOKUP(AD627,Dex!$B$3:$H1218,7,FALSE),"")</f>
        <v/>
      </c>
      <c r="AG629" s="1621"/>
      <c r="AH629" s="1689"/>
      <c r="AI629" s="6192"/>
    </row>
    <row r="630" ht="2.25" customHeight="1">
      <c r="A630" s="6185"/>
      <c r="B630" s="1575"/>
      <c r="C630" s="1622"/>
      <c r="D630" s="1623"/>
      <c r="E630" s="1627"/>
      <c r="F630" s="1628"/>
      <c r="G630" s="1628"/>
      <c r="H630" s="1629"/>
      <c r="J630" s="1627"/>
      <c r="K630" s="1628"/>
      <c r="L630" s="1628"/>
      <c r="M630" s="1629"/>
      <c r="O630" s="1627"/>
      <c r="P630" s="1628"/>
      <c r="Q630" s="1628"/>
      <c r="R630" s="1629"/>
      <c r="T630" s="1627"/>
      <c r="U630" s="1628"/>
      <c r="V630" s="1628"/>
      <c r="W630" s="1629"/>
      <c r="Y630" s="1627"/>
      <c r="Z630" s="1628"/>
      <c r="AA630" s="1628"/>
      <c r="AB630" s="1629"/>
      <c r="AD630" s="1627"/>
      <c r="AE630" s="1628"/>
      <c r="AF630" s="1628"/>
      <c r="AG630" s="1629"/>
      <c r="AH630" s="1689"/>
      <c r="AI630" s="6192"/>
    </row>
    <row r="631" ht="20.25" customHeight="1">
      <c r="A631" s="6185"/>
      <c r="B631" s="1575"/>
      <c r="C631" s="1576"/>
      <c r="D631" s="1577"/>
      <c r="E631" s="1630" t="s">
        <v>779</v>
      </c>
      <c r="F631" s="1631"/>
      <c r="G631" s="1631"/>
      <c r="H631" s="1632"/>
      <c r="J631" s="1630" t="s">
        <v>263</v>
      </c>
      <c r="K631" s="1631"/>
      <c r="L631" s="1631"/>
      <c r="M631" s="1632"/>
      <c r="O631" s="1630" t="s">
        <v>264</v>
      </c>
      <c r="P631" s="1631"/>
      <c r="Q631" s="1631"/>
      <c r="R631" s="1632"/>
      <c r="T631" s="1630" t="s">
        <v>205</v>
      </c>
      <c r="U631" s="1631"/>
      <c r="V631" s="1631"/>
      <c r="W631" s="1632"/>
      <c r="Y631" s="1630" t="s">
        <v>172</v>
      </c>
      <c r="Z631" s="1631"/>
      <c r="AA631" s="1631"/>
      <c r="AB631" s="1632"/>
      <c r="AD631" s="1630" t="s">
        <v>172</v>
      </c>
      <c r="AE631" s="1631"/>
      <c r="AF631" s="1631"/>
      <c r="AG631" s="1632"/>
      <c r="AH631" s="1684"/>
      <c r="AI631" s="6192"/>
    </row>
    <row r="632">
      <c r="A632" s="6185"/>
      <c r="B632" s="1575"/>
      <c r="C632" s="1576"/>
      <c r="D632" s="1577"/>
      <c r="E632" s="1633" t="s">
        <v>392</v>
      </c>
      <c r="F632" s="1582"/>
      <c r="G632" s="1582"/>
      <c r="H632" s="1614"/>
      <c r="J632" s="1633" t="s">
        <v>358</v>
      </c>
      <c r="K632" s="1582"/>
      <c r="L632" s="1582"/>
      <c r="M632" s="1614"/>
      <c r="O632" s="1633" t="s">
        <v>1528</v>
      </c>
      <c r="P632" s="1582"/>
      <c r="Q632" s="1582"/>
      <c r="R632" s="1614"/>
      <c r="T632" s="1633" t="s">
        <v>665</v>
      </c>
      <c r="U632" s="1582"/>
      <c r="V632" s="1582"/>
      <c r="W632" s="1614"/>
      <c r="Y632" s="1633" t="s">
        <v>1703</v>
      </c>
      <c r="Z632" s="1582"/>
      <c r="AA632" s="1582"/>
      <c r="AB632" s="1614"/>
      <c r="AD632" s="1633" t="s">
        <v>1704</v>
      </c>
      <c r="AE632" s="1582"/>
      <c r="AF632" s="1582"/>
      <c r="AG632" s="1614"/>
      <c r="AH632" s="1684"/>
      <c r="AI632" s="6192"/>
    </row>
    <row r="633" ht="20.25" customHeight="1">
      <c r="A633" s="6185"/>
      <c r="B633" s="1575"/>
      <c r="C633" s="6611"/>
      <c r="D633" s="1577"/>
      <c r="E633" s="1634" t="s">
        <v>240</v>
      </c>
      <c r="F633" s="1635"/>
      <c r="G633" s="1636"/>
      <c r="H633" s="1637" t="str">
        <f>IMAGE("https://raw.githubusercontent.com/msikma/pokesprite/master/items/hold-item/focus-sash.png",3)</f>
        <v/>
      </c>
      <c r="J633" s="1634" t="s">
        <v>240</v>
      </c>
      <c r="K633" s="1635"/>
      <c r="L633" s="1636"/>
      <c r="M633" s="1637" t="str">
        <f>IMAGE("https://raw.githubusercontent.com/msikma/pokesprite/master/items/hold-item/focus-sash.png",3)</f>
        <v/>
      </c>
      <c r="O633" s="1634" t="s">
        <v>1705</v>
      </c>
      <c r="P633" s="1635"/>
      <c r="Q633" s="1636"/>
      <c r="R633" s="1637" t="str">
        <f>IMAGE("https://raw.githubusercontent.com/msikma/pokesprite/master/items/hold-item/douse-drive.png",3)</f>
        <v/>
      </c>
      <c r="T633" s="1634" t="s">
        <v>272</v>
      </c>
      <c r="U633" s="1635"/>
      <c r="V633" s="1636"/>
      <c r="W633" s="1637" t="str">
        <f>IMAGE("https://raw.githubusercontent.com/msikma/pokesprite/master/items/hold-item/life-orb.png",3)</f>
        <v/>
      </c>
      <c r="Y633" s="1634" t="s">
        <v>1706</v>
      </c>
      <c r="Z633" s="1635"/>
      <c r="AA633" s="1636"/>
      <c r="AB633" s="1637" t="str">
        <f>IMAGE("https://raw.githubusercontent.com/msikma/pokesprite/master/items/z-crystals/buginium-z--held.png",3)</f>
        <v/>
      </c>
      <c r="AD633" s="1634" t="s">
        <v>1240</v>
      </c>
      <c r="AE633" s="1635"/>
      <c r="AF633" s="1636"/>
      <c r="AG633" s="1637" t="str">
        <f>IMAGE("https://raw.githubusercontent.com/msikma/pokesprite/master/items/mega-stone/pinsirite.png",3)</f>
        <v/>
      </c>
      <c r="AH633" s="1689"/>
      <c r="AI633" s="6192"/>
    </row>
    <row r="634" ht="20.25" customHeight="1">
      <c r="A634" s="6185"/>
      <c r="B634" s="1575"/>
      <c r="C634" s="1576"/>
      <c r="D634" s="1577"/>
      <c r="E634" s="1630" t="s">
        <v>316</v>
      </c>
      <c r="F634" s="1631"/>
      <c r="G634" s="1631"/>
      <c r="H634" s="1638" t="str">
        <f>IMAGE("https://raw.githubusercontent.com/msikma/pokesprite/master/misc/types/gen8/fighting.png",4,20,20)</f>
        <v/>
      </c>
      <c r="J634" s="1630" t="s">
        <v>216</v>
      </c>
      <c r="K634" s="1631"/>
      <c r="L634" s="1631"/>
      <c r="M634" s="1638" t="str">
        <f>IMAGE("https://raw.githubusercontent.com/msikma/pokesprite/master/misc/types/gen8/water.png",4,20,20)</f>
        <v/>
      </c>
      <c r="O634" s="1630" t="s">
        <v>278</v>
      </c>
      <c r="P634" s="1631"/>
      <c r="Q634" s="1631"/>
      <c r="R634" s="1638" t="str">
        <f>IMAGE("https://raw.githubusercontent.com/msikma/pokesprite/master/misc/types/gen8/bug.png",4,20,20)</f>
        <v/>
      </c>
      <c r="T634" s="1630" t="s">
        <v>277</v>
      </c>
      <c r="U634" s="1631"/>
      <c r="V634" s="1631"/>
      <c r="W634" s="1638" t="str">
        <f>IMAGE("https://raw.githubusercontent.com/msikma/pokesprite/master/misc/types/gen8/electric.png",4,20,20)</f>
        <v/>
      </c>
      <c r="Y634" s="1630" t="s">
        <v>538</v>
      </c>
      <c r="Z634" s="1631"/>
      <c r="AA634" s="1631"/>
      <c r="AB634" s="1638" t="str">
        <f>IMAGE("https://raw.githubusercontent.com/msikma/pokesprite/master/misc/types/gen8/bug.png",4,20,20)</f>
        <v/>
      </c>
      <c r="AD634" s="1630" t="s">
        <v>1248</v>
      </c>
      <c r="AE634" s="1631"/>
      <c r="AF634" s="1631"/>
      <c r="AG634" s="1638" t="str">
        <f>IMAGE("https://raw.githubusercontent.com/msikma/pokesprite/master/misc/types/gen8/bug.png",4,20,20)</f>
        <v/>
      </c>
      <c r="AH634" s="1684"/>
      <c r="AI634" s="6192"/>
    </row>
    <row r="635" ht="20.25" customHeight="1">
      <c r="A635" s="6185"/>
      <c r="B635" s="1575"/>
      <c r="C635" s="1576"/>
      <c r="D635" s="1577"/>
      <c r="E635" s="1633" t="s">
        <v>317</v>
      </c>
      <c r="F635" s="1582"/>
      <c r="G635" s="1582"/>
      <c r="H635" s="1639" t="str">
        <f>IMAGE("https://raw.githubusercontent.com/msikma/pokesprite/master/misc/types/gen8/ice.png",4,20,20)</f>
        <v/>
      </c>
      <c r="J635" s="1633" t="s">
        <v>345</v>
      </c>
      <c r="K635" s="1582"/>
      <c r="L635" s="1582"/>
      <c r="M635" s="1639" t="str">
        <f>IMAGE("https://raw.githubusercontent.com/msikma/pokesprite/master/misc/types/gen8/dark.png",4,20,20)</f>
        <v/>
      </c>
      <c r="O635" s="1633" t="s">
        <v>1707</v>
      </c>
      <c r="P635" s="1582"/>
      <c r="Q635" s="1582"/>
      <c r="R635" s="1639" t="str">
        <f>IMAGE("https://raw.githubusercontent.com/msikma/pokesprite/master/misc/types/gen8/water.png",4,20,20)</f>
        <v/>
      </c>
      <c r="T635" s="1633" t="s">
        <v>404</v>
      </c>
      <c r="U635" s="1582"/>
      <c r="V635" s="1582"/>
      <c r="W635" s="1639" t="str">
        <f>IMAGE("https://raw.githubusercontent.com/msikma/pokesprite/master/misc/types/gen8/steel.png",4,20,20)</f>
        <v/>
      </c>
      <c r="Y635" s="1633" t="s">
        <v>402</v>
      </c>
      <c r="Z635" s="1582"/>
      <c r="AA635" s="1582"/>
      <c r="AB635" s="1639" t="str">
        <f>IMAGE("https://raw.githubusercontent.com/msikma/pokesprite/master/misc/types/gen8/ground.png",4,20,20)</f>
        <v/>
      </c>
      <c r="AD635" s="1633" t="s">
        <v>397</v>
      </c>
      <c r="AE635" s="1582"/>
      <c r="AF635" s="1582"/>
      <c r="AG635" s="1639" t="str">
        <f>IMAGE("https://raw.githubusercontent.com/msikma/pokesprite/master/misc/types/gen8/flying.png",4,20,20)</f>
        <v/>
      </c>
      <c r="AH635" s="1684"/>
      <c r="AI635" s="6192"/>
    </row>
    <row r="636" ht="20.25" customHeight="1">
      <c r="A636" s="6185"/>
      <c r="B636" s="1575"/>
      <c r="C636" s="1576"/>
      <c r="D636" s="1577"/>
      <c r="E636" s="1633" t="s">
        <v>278</v>
      </c>
      <c r="F636" s="1582"/>
      <c r="G636" s="1582"/>
      <c r="H636" s="1639" t="str">
        <f>IMAGE("https://raw.githubusercontent.com/msikma/pokesprite/master/misc/types/gen8/bug.png",4,20,20)</f>
        <v/>
      </c>
      <c r="J636" s="1633" t="s">
        <v>375</v>
      </c>
      <c r="K636" s="1582"/>
      <c r="L636" s="1582"/>
      <c r="M636" s="1639" t="str">
        <f>IMAGE("https://raw.githubusercontent.com/msikma/pokesprite/master/misc/types/gen8/fighting.png",4,20,20)</f>
        <v/>
      </c>
      <c r="O636" s="1633" t="s">
        <v>277</v>
      </c>
      <c r="P636" s="1582"/>
      <c r="Q636" s="1582"/>
      <c r="R636" s="1639" t="str">
        <f>IMAGE("https://raw.githubusercontent.com/msikma/pokesprite/master/misc/types/gen8/electric.png",4,20,20)</f>
        <v/>
      </c>
      <c r="T636" s="1633" t="s">
        <v>242</v>
      </c>
      <c r="U636" s="1582"/>
      <c r="V636" s="1582"/>
      <c r="W636" s="1639" t="str">
        <f>IMAGE("https://raw.githubusercontent.com/msikma/pokesprite/master/misc/types/gen8/electric.png",4,20,20)</f>
        <v/>
      </c>
      <c r="Y636" s="1633" t="s">
        <v>407</v>
      </c>
      <c r="Z636" s="1582"/>
      <c r="AA636" s="1582"/>
      <c r="AB636" s="1639" t="str">
        <f>IMAGE("https://raw.githubusercontent.com/msikma/pokesprite/master/misc/types/gen8/steel.png",4,20,20)</f>
        <v/>
      </c>
      <c r="AD636" s="1633" t="s">
        <v>316</v>
      </c>
      <c r="AE636" s="1582"/>
      <c r="AF636" s="1582"/>
      <c r="AG636" s="1639" t="str">
        <f>IMAGE("https://raw.githubusercontent.com/msikma/pokesprite/master/misc/types/gen8/fighting.png",4,20,20)</f>
        <v/>
      </c>
      <c r="AH636" s="1684"/>
      <c r="AI636" s="6192"/>
    </row>
    <row r="637" ht="21.0" customHeight="1">
      <c r="A637" s="6185"/>
      <c r="B637" s="1575"/>
      <c r="C637" s="1576"/>
      <c r="D637" s="1577"/>
      <c r="E637" s="1640" t="s">
        <v>1211</v>
      </c>
      <c r="F637" s="1641"/>
      <c r="G637" s="1641"/>
      <c r="H637" s="1642" t="str">
        <f>IMAGE("https://raw.githubusercontent.com/msikma/pokesprite/master/misc/types/gen8/ground.png",4,20,20)</f>
        <v/>
      </c>
      <c r="I637" s="1572"/>
      <c r="J637" s="1640" t="s">
        <v>247</v>
      </c>
      <c r="K637" s="1641"/>
      <c r="L637" s="1641"/>
      <c r="M637" s="1642" t="str">
        <f>IMAGE("https://raw.githubusercontent.com/msikma/pokesprite/master/misc/types/gen8/bug.png",4,20,20)</f>
        <v/>
      </c>
      <c r="N637" s="1572"/>
      <c r="O637" s="1640" t="s">
        <v>317</v>
      </c>
      <c r="P637" s="1641"/>
      <c r="Q637" s="1641"/>
      <c r="R637" s="1642" t="str">
        <f>IMAGE("https://raw.githubusercontent.com/msikma/pokesprite/master/misc/types/gen8/ice.png",4,20,20)</f>
        <v/>
      </c>
      <c r="S637" s="1572"/>
      <c r="T637" s="1640" t="s">
        <v>223</v>
      </c>
      <c r="U637" s="1641"/>
      <c r="V637" s="1641"/>
      <c r="W637" s="1642" t="str">
        <f>IMAGE("https://raw.githubusercontent.com/msikma/pokesprite/master/misc/types/gen8/grass.png",4,20,20)</f>
        <v/>
      </c>
      <c r="X637" s="1572"/>
      <c r="Y637" s="1640" t="s">
        <v>489</v>
      </c>
      <c r="Z637" s="1641"/>
      <c r="AA637" s="1641"/>
      <c r="AB637" s="1642" t="str">
        <f>IMAGE("https://raw.githubusercontent.com/msikma/pokesprite/master/misc/types/gen8/normal.png",4,20,20)</f>
        <v/>
      </c>
      <c r="AC637" s="1572"/>
      <c r="AD637" s="1640" t="s">
        <v>489</v>
      </c>
      <c r="AE637" s="1641"/>
      <c r="AF637" s="1641"/>
      <c r="AG637" s="1642" t="str">
        <f>IMAGE("https://raw.githubusercontent.com/msikma/pokesprite/master/misc/types/gen8/flying.png",4,20,20)</f>
        <v/>
      </c>
      <c r="AH637" s="1684"/>
      <c r="AI637" s="6192"/>
    </row>
    <row r="638" ht="3.0" customHeight="1">
      <c r="A638" s="6185"/>
      <c r="B638" s="1648"/>
      <c r="C638" s="1649"/>
      <c r="D638" s="1698"/>
      <c r="E638" s="1699"/>
      <c r="F638" s="1699"/>
      <c r="G638" s="1699"/>
      <c r="H638" s="1699"/>
      <c r="I638" s="1700"/>
      <c r="J638" s="1699"/>
      <c r="K638" s="1699"/>
      <c r="L638" s="1699"/>
      <c r="M638" s="1699"/>
      <c r="N638" s="1700"/>
      <c r="O638" s="1699"/>
      <c r="P638" s="1699"/>
      <c r="Q638" s="1699"/>
      <c r="R638" s="1699"/>
      <c r="S638" s="1700"/>
      <c r="T638" s="1699"/>
      <c r="U638" s="1699"/>
      <c r="V638" s="1699"/>
      <c r="W638" s="1699"/>
      <c r="X638" s="1700"/>
      <c r="Y638" s="1699"/>
      <c r="Z638" s="6612"/>
      <c r="AA638" s="6612"/>
      <c r="AB638" s="1703"/>
      <c r="AC638" s="1704"/>
      <c r="AD638" s="6613"/>
      <c r="AE638" s="6613"/>
      <c r="AF638" s="6613"/>
      <c r="AG638" s="1703"/>
      <c r="AH638" s="1705"/>
      <c r="AI638" s="6192"/>
    </row>
    <row r="639" ht="16.5" customHeight="1">
      <c r="A639" s="6185"/>
      <c r="B639" s="1656"/>
      <c r="C639" s="1649"/>
      <c r="D639" s="1657"/>
      <c r="E639" s="1658" t="s">
        <v>190</v>
      </c>
      <c r="F639" s="381"/>
      <c r="G639" s="382"/>
      <c r="H639" s="1659" t="s">
        <v>191</v>
      </c>
      <c r="I639" s="1660"/>
      <c r="J639" s="1658" t="s">
        <v>190</v>
      </c>
      <c r="K639" s="381"/>
      <c r="L639" s="382"/>
      <c r="M639" s="1659" t="s">
        <v>191</v>
      </c>
      <c r="N639" s="1660"/>
      <c r="O639" s="1658" t="s">
        <v>190</v>
      </c>
      <c r="P639" s="381"/>
      <c r="Q639" s="382"/>
      <c r="R639" s="1659" t="s">
        <v>191</v>
      </c>
      <c r="S639" s="1662"/>
      <c r="T639" s="1658" t="s">
        <v>190</v>
      </c>
      <c r="U639" s="381"/>
      <c r="V639" s="382"/>
      <c r="W639" s="1659" t="s">
        <v>191</v>
      </c>
      <c r="X639" s="1706"/>
      <c r="Y639" s="1658" t="s">
        <v>190</v>
      </c>
      <c r="Z639" s="381"/>
      <c r="AA639" s="382"/>
      <c r="AB639" s="1659" t="s">
        <v>191</v>
      </c>
      <c r="AC639" s="1706"/>
      <c r="AD639" s="1658" t="s">
        <v>190</v>
      </c>
      <c r="AE639" s="381"/>
      <c r="AF639" s="382"/>
      <c r="AG639" s="1659" t="s">
        <v>191</v>
      </c>
      <c r="AH639" s="1707"/>
      <c r="AI639" s="6192"/>
    </row>
    <row r="640" ht="15.75" customHeight="1">
      <c r="A640" s="6185"/>
      <c r="B640" s="1656"/>
      <c r="C640" s="1649"/>
      <c r="D640" s="1657"/>
      <c r="E640" s="1667" t="s">
        <v>192</v>
      </c>
      <c r="F640" s="1668">
        <f t="array" ref="F640">IFERROR(VLOOKUP(E627,Dex!$B$3:$N1218,8,FALSE),"")</f>
        <v>71</v>
      </c>
      <c r="G640" s="1669" t="str">
        <f t="array" ref="G640">IFERROR(VLOOKUP(F640,Dex!$P$22:$Q$276,2,FALSE),"")</f>
        <v/>
      </c>
      <c r="H640" s="1670"/>
      <c r="I640" s="1708"/>
      <c r="J640" s="1667" t="s">
        <v>192</v>
      </c>
      <c r="K640" s="1668">
        <f t="array" ref="K640">IFERROR(VLOOKUP(J627,Dex!$B$3:$N1218,8,FALSE),"")</f>
        <v>81</v>
      </c>
      <c r="L640" s="1669" t="str">
        <f t="array" ref="L640">IFERROR(VLOOKUP(K640,Dex!$P$22:$Q$276,2,FALSE),"")</f>
        <v/>
      </c>
      <c r="M640" s="1670"/>
      <c r="N640" s="1708"/>
      <c r="O640" s="1667" t="s">
        <v>192</v>
      </c>
      <c r="P640" s="1668">
        <f t="array" ref="P640">IFERROR(VLOOKUP(O627,Dex!$B$3:$N1218,8,FALSE),"")</f>
        <v>71</v>
      </c>
      <c r="Q640" s="1669" t="str">
        <f t="array" ref="Q640">IFERROR(VLOOKUP(P640,Dex!$P$22:$Q$276,2,FALSE),"")</f>
        <v/>
      </c>
      <c r="R640" s="1670"/>
      <c r="S640" s="1709"/>
      <c r="T640" s="1667" t="s">
        <v>192</v>
      </c>
      <c r="U640" s="1668">
        <f t="array" ref="U640">IFERROR(VLOOKUP(T627,Dex!$B$3:$N1218,8,FALSE),"")</f>
        <v>70</v>
      </c>
      <c r="V640" s="1669" t="str">
        <f t="array" ref="V640">IFERROR(VLOOKUP(U640,Dex!$P$22:$Q$276,2,FALSE),"")</f>
        <v/>
      </c>
      <c r="W640" s="1670"/>
      <c r="X640" s="1710"/>
      <c r="Y640" s="1667" t="s">
        <v>192</v>
      </c>
      <c r="Z640" s="1668">
        <f t="array" ref="Z640">IFERROR(VLOOKUP(Y627,Dex!$B$3:$N1218,8,FALSE),"")</f>
        <v>120</v>
      </c>
      <c r="AA640" s="1669" t="str">
        <f t="array" ref="AA640">IFERROR(VLOOKUP(Z640,Dex!$P$22:$Q$276,2,FALSE),"")</f>
        <v/>
      </c>
      <c r="AB640" s="1670"/>
      <c r="AC640" s="1710"/>
      <c r="AD640" s="1667" t="s">
        <v>192</v>
      </c>
      <c r="AE640" s="1668">
        <f t="array" ref="AE640">IFERROR(VLOOKUP(AD627,Dex!$B$3:$N1218,8,FALSE),"")</f>
        <v>65</v>
      </c>
      <c r="AF640" s="1669" t="str">
        <f t="array" ref="AF640">IFERROR(VLOOKUP(AE640,Dex!$P$22:$Q$276,2,FALSE),"")</f>
        <v/>
      </c>
      <c r="AG640" s="1670"/>
      <c r="AH640" s="1711"/>
      <c r="AI640" s="6192"/>
    </row>
    <row r="641" ht="15.75" customHeight="1">
      <c r="A641" s="6185"/>
      <c r="B641" s="1656"/>
      <c r="C641" s="1649"/>
      <c r="D641" s="1657"/>
      <c r="E641" s="1671" t="s">
        <v>193</v>
      </c>
      <c r="F641" s="1672">
        <f t="array" ref="F641">IFERROR(VLOOKUP(E627,Dex!$B$3:$N1218,9,FALSE),"")</f>
        <v>137</v>
      </c>
      <c r="G641" s="1673" t="str">
        <f t="array" ref="G641">IFERROR(VLOOKUP(F641,Dex!$P$22:$Q$276,2,FALSE),"")</f>
        <v/>
      </c>
      <c r="H641" s="1674">
        <v>252.0</v>
      </c>
      <c r="I641" s="1708"/>
      <c r="J641" s="1671" t="s">
        <v>193</v>
      </c>
      <c r="K641" s="1672">
        <f t="array" ref="K641">IFERROR(VLOOKUP(J627,Dex!$B$3:$N1218,9,FALSE),"")</f>
        <v>63</v>
      </c>
      <c r="L641" s="1673" t="str">
        <f t="array" ref="L641">IFERROR(VLOOKUP(K641,Dex!$P$22:$Q$276,2,FALSE),"")</f>
        <v/>
      </c>
      <c r="M641" s="1674"/>
      <c r="N641" s="1708"/>
      <c r="O641" s="1671" t="s">
        <v>193</v>
      </c>
      <c r="P641" s="1672">
        <f t="array" ref="P641">IFERROR(VLOOKUP(O627,Dex!$B$3:$N1218,9,FALSE),"")</f>
        <v>120</v>
      </c>
      <c r="Q641" s="1673" t="str">
        <f t="array" ref="Q641">IFERROR(VLOOKUP(P641,Dex!$P$22:$Q$276,2,FALSE),"")</f>
        <v/>
      </c>
      <c r="R641" s="1674"/>
      <c r="S641" s="1709"/>
      <c r="T641" s="1671" t="s">
        <v>193</v>
      </c>
      <c r="U641" s="1672">
        <f t="array" ref="U641">IFERROR(VLOOKUP(T627,Dex!$B$3:$N1218,9,FALSE),"")</f>
        <v>70</v>
      </c>
      <c r="V641" s="1673" t="str">
        <f t="array" ref="V641">IFERROR(VLOOKUP(U641,Dex!$P$22:$Q$276,2,FALSE),"")</f>
        <v/>
      </c>
      <c r="W641" s="1674"/>
      <c r="X641" s="1710"/>
      <c r="Y641" s="1671" t="s">
        <v>193</v>
      </c>
      <c r="Z641" s="1672">
        <f t="array" ref="Z641">IFERROR(VLOOKUP(Y627,Dex!$B$3:$N1218,9,FALSE),"")</f>
        <v>120</v>
      </c>
      <c r="AA641" s="1673" t="str">
        <f t="array" ref="AA641">IFERROR(VLOOKUP(Z641,Dex!$P$22:$Q$276,2,FALSE),"")</f>
        <v/>
      </c>
      <c r="AB641" s="1674">
        <v>252.0</v>
      </c>
      <c r="AC641" s="1710"/>
      <c r="AD641" s="1671" t="s">
        <v>193</v>
      </c>
      <c r="AE641" s="1672">
        <f t="array" ref="AE641">IFERROR(VLOOKUP(AD627,Dex!$B$3:$N1218,9,FALSE),"")</f>
        <v>155</v>
      </c>
      <c r="AF641" s="1673" t="str">
        <f t="array" ref="AF641">IFERROR(VLOOKUP(AE641,Dex!$P$22:$Q$276,2,FALSE),"")</f>
        <v/>
      </c>
      <c r="AG641" s="1674">
        <v>252.0</v>
      </c>
      <c r="AH641" s="1711"/>
      <c r="AI641" s="6192"/>
    </row>
    <row r="642" ht="15.75" customHeight="1">
      <c r="A642" s="6185"/>
      <c r="B642" s="1656"/>
      <c r="C642" s="1649"/>
      <c r="D642" s="1657"/>
      <c r="E642" s="1671" t="s">
        <v>194</v>
      </c>
      <c r="F642" s="1672">
        <f t="array" ref="F642">IFERROR(VLOOKUP(E627,Dex!$B$3:$N1218,10,FALSE),"")</f>
        <v>37</v>
      </c>
      <c r="G642" s="1673" t="str">
        <f t="array" ref="G642">IFERROR(VLOOKUP(F642,Dex!$P$22:$Q$276,2,FALSE),"")</f>
        <v/>
      </c>
      <c r="H642" s="1674"/>
      <c r="I642" s="1708"/>
      <c r="J642" s="1671" t="s">
        <v>194</v>
      </c>
      <c r="K642" s="1672">
        <f t="array" ref="K642">IFERROR(VLOOKUP(J627,Dex!$B$3:$N1218,10,FALSE),"")</f>
        <v>83</v>
      </c>
      <c r="L642" s="1673" t="str">
        <f t="array" ref="L642">IFERROR(VLOOKUP(K642,Dex!$P$22:$Q$276,2,FALSE),"")</f>
        <v/>
      </c>
      <c r="M642" s="1674">
        <v>4.0</v>
      </c>
      <c r="N642" s="1708"/>
      <c r="O642" s="1671" t="s">
        <v>194</v>
      </c>
      <c r="P642" s="1672">
        <f t="array" ref="P642">IFERROR(VLOOKUP(O627,Dex!$B$3:$N1218,10,FALSE),"")</f>
        <v>95</v>
      </c>
      <c r="Q642" s="1673" t="str">
        <f t="array" ref="Q642">IFERROR(VLOOKUP(P642,Dex!$P$22:$Q$276,2,FALSE),"")</f>
        <v/>
      </c>
      <c r="R642" s="1674">
        <v>4.0</v>
      </c>
      <c r="S642" s="1709"/>
      <c r="T642" s="1671" t="s">
        <v>194</v>
      </c>
      <c r="U642" s="1672">
        <f t="array" ref="U642">IFERROR(VLOOKUP(T627,Dex!$B$3:$N1218,10,FALSE),"")</f>
        <v>115</v>
      </c>
      <c r="V642" s="1673" t="str">
        <f t="array" ref="V642">IFERROR(VLOOKUP(U642,Dex!$P$22:$Q$276,2,FALSE),"")</f>
        <v/>
      </c>
      <c r="W642" s="1674">
        <v>4.0</v>
      </c>
      <c r="X642" s="1710"/>
      <c r="Y642" s="1671" t="s">
        <v>194</v>
      </c>
      <c r="Z642" s="1672">
        <f t="array" ref="Z642">IFERROR(VLOOKUP(Y627,Dex!$B$3:$N1218,10,FALSE),"")</f>
        <v>120</v>
      </c>
      <c r="AA642" s="1673" t="str">
        <f t="array" ref="AA642">IFERROR(VLOOKUP(Z642,Dex!$P$22:$Q$276,2,FALSE),"")</f>
        <v/>
      </c>
      <c r="AB642" s="1674">
        <v>4.0</v>
      </c>
      <c r="AC642" s="1710"/>
      <c r="AD642" s="1671" t="s">
        <v>194</v>
      </c>
      <c r="AE642" s="1672">
        <f t="array" ref="AE642">IFERROR(VLOOKUP(AD627,Dex!$B$3:$N1218,10,FALSE),"")</f>
        <v>120</v>
      </c>
      <c r="AF642" s="1673" t="str">
        <f t="array" ref="AF642">IFERROR(VLOOKUP(AE642,Dex!$P$22:$Q$276,2,FALSE),"")</f>
        <v/>
      </c>
      <c r="AG642" s="1674">
        <v>4.0</v>
      </c>
      <c r="AH642" s="1711"/>
      <c r="AI642" s="6192"/>
    </row>
    <row r="643" ht="15.75" customHeight="1">
      <c r="A643" s="6185"/>
      <c r="B643" s="1656"/>
      <c r="C643" s="1649"/>
      <c r="D643" s="1657"/>
      <c r="E643" s="1671" t="s">
        <v>195</v>
      </c>
      <c r="F643" s="1672">
        <f t="array" ref="F643">IFERROR(VLOOKUP(E627,Dex!$B$3:$N1218,11,FALSE),"")</f>
        <v>137</v>
      </c>
      <c r="G643" s="1673" t="str">
        <f t="array" ref="G643">IFERROR(VLOOKUP(F643,Dex!$P$22:$Q$276,2,FALSE),"")</f>
        <v/>
      </c>
      <c r="H643" s="1674"/>
      <c r="I643" s="1708"/>
      <c r="J643" s="1671" t="s">
        <v>195</v>
      </c>
      <c r="K643" s="1672">
        <f t="array" ref="K643">IFERROR(VLOOKUP(J627,Dex!$B$3:$N1218,11,FALSE),"")</f>
        <v>110</v>
      </c>
      <c r="L643" s="1673" t="str">
        <f t="array" ref="L643">IFERROR(VLOOKUP(K643,Dex!$P$22:$Q$276,2,FALSE),"")</f>
        <v/>
      </c>
      <c r="M643" s="1674">
        <v>252.0</v>
      </c>
      <c r="N643" s="1708"/>
      <c r="O643" s="1671" t="s">
        <v>195</v>
      </c>
      <c r="P643" s="1672">
        <f t="array" ref="P643">IFERROR(VLOOKUP(O627,Dex!$B$3:$N1218,11,FALSE),"")</f>
        <v>120</v>
      </c>
      <c r="Q643" s="1673" t="str">
        <f t="array" ref="Q643">IFERROR(VLOOKUP(P643,Dex!$P$22:$Q$276,2,FALSE),"")</f>
        <v/>
      </c>
      <c r="R643" s="1674">
        <v>252.0</v>
      </c>
      <c r="S643" s="1709"/>
      <c r="T643" s="1671" t="s">
        <v>195</v>
      </c>
      <c r="U643" s="1672">
        <f t="array" ref="U643">IFERROR(VLOOKUP(T627,Dex!$B$3:$N1218,11,FALSE),"")</f>
        <v>130</v>
      </c>
      <c r="V643" s="1673" t="str">
        <f t="array" ref="V643">IFERROR(VLOOKUP(U643,Dex!$P$22:$Q$276,2,FALSE),"")</f>
        <v/>
      </c>
      <c r="W643" s="1674">
        <v>252.0</v>
      </c>
      <c r="X643" s="1710"/>
      <c r="Y643" s="1671" t="s">
        <v>195</v>
      </c>
      <c r="Z643" s="1672">
        <f t="array" ref="Z643">IFERROR(VLOOKUP(Y627,Dex!$B$3:$N1218,11,FALSE),"")</f>
        <v>120</v>
      </c>
      <c r="AA643" s="1673" t="str">
        <f t="array" ref="AA643">IFERROR(VLOOKUP(Z643,Dex!$P$22:$Q$276,2,FALSE),"")</f>
        <v/>
      </c>
      <c r="AB643" s="1674"/>
      <c r="AC643" s="1710"/>
      <c r="AD643" s="1671" t="s">
        <v>195</v>
      </c>
      <c r="AE643" s="1672">
        <f t="array" ref="AE643">IFERROR(VLOOKUP(AD627,Dex!$B$3:$N1218,11,FALSE),"")</f>
        <v>65</v>
      </c>
      <c r="AF643" s="1673" t="str">
        <f t="array" ref="AF643">IFERROR(VLOOKUP(AE643,Dex!$P$22:$Q$276,2,FALSE),"")</f>
        <v/>
      </c>
      <c r="AG643" s="1674"/>
      <c r="AH643" s="1711"/>
      <c r="AI643" s="6192"/>
    </row>
    <row r="644" ht="15.75" customHeight="1">
      <c r="A644" s="6185"/>
      <c r="B644" s="1656"/>
      <c r="C644" s="1649"/>
      <c r="D644" s="1657"/>
      <c r="E644" s="1671" t="s">
        <v>196</v>
      </c>
      <c r="F644" s="1672">
        <f t="array" ref="F644">IFERROR(VLOOKUP(E627,Dex!$B$3:$N1218,12,FALSE),"")</f>
        <v>37</v>
      </c>
      <c r="G644" s="1673" t="str">
        <f t="array" ref="G644">IFERROR(VLOOKUP(F644,Dex!$P$22:$Q$276,2,FALSE),"")</f>
        <v/>
      </c>
      <c r="H644" s="1674"/>
      <c r="I644" s="1708"/>
      <c r="J644" s="1671" t="s">
        <v>196</v>
      </c>
      <c r="K644" s="1672">
        <f t="array" ref="K644">IFERROR(VLOOKUP(J627,Dex!$B$3:$N1218,12,FALSE),"")</f>
        <v>79</v>
      </c>
      <c r="L644" s="1673" t="str">
        <f t="array" ref="L644">IFERROR(VLOOKUP(K644,Dex!$P$22:$Q$276,2,FALSE),"")</f>
        <v/>
      </c>
      <c r="M644" s="1674"/>
      <c r="N644" s="1708"/>
      <c r="O644" s="1671" t="s">
        <v>196</v>
      </c>
      <c r="P644" s="1672">
        <f t="array" ref="P644">IFERROR(VLOOKUP(O627,Dex!$B$3:$N1218,12,FALSE),"")</f>
        <v>95</v>
      </c>
      <c r="Q644" s="1673" t="str">
        <f t="array" ref="Q644">IFERROR(VLOOKUP(P644,Dex!$P$22:$Q$276,2,FALSE),"")</f>
        <v/>
      </c>
      <c r="R644" s="1674"/>
      <c r="S644" s="1709"/>
      <c r="T644" s="1671" t="s">
        <v>196</v>
      </c>
      <c r="U644" s="1672">
        <f t="array" ref="U644">IFERROR(VLOOKUP(T627,Dex!$B$3:$N1218,12,FALSE),"")</f>
        <v>90</v>
      </c>
      <c r="V644" s="1673" t="str">
        <f t="array" ref="V644">IFERROR(VLOOKUP(U644,Dex!$P$22:$Q$276,2,FALSE),"")</f>
        <v/>
      </c>
      <c r="W644" s="1674"/>
      <c r="X644" s="1710"/>
      <c r="Y644" s="1671" t="s">
        <v>196</v>
      </c>
      <c r="Z644" s="1672">
        <f t="array" ref="Z644">IFERROR(VLOOKUP(Y627,Dex!$B$3:$N1218,12,FALSE),"")</f>
        <v>120</v>
      </c>
      <c r="AA644" s="1673" t="str">
        <f t="array" ref="AA644">IFERROR(VLOOKUP(Z644,Dex!$P$22:$Q$276,2,FALSE),"")</f>
        <v/>
      </c>
      <c r="AB644" s="1674"/>
      <c r="AC644" s="1710"/>
      <c r="AD644" s="1671" t="s">
        <v>196</v>
      </c>
      <c r="AE644" s="1672">
        <f t="array" ref="AE644">IFERROR(VLOOKUP(AD627,Dex!$B$3:$N1218,12,FALSE),"")</f>
        <v>90</v>
      </c>
      <c r="AF644" s="1673" t="str">
        <f t="array" ref="AF644">IFERROR(VLOOKUP(AE644,Dex!$P$22:$Q$276,2,FALSE),"")</f>
        <v/>
      </c>
      <c r="AG644" s="1674"/>
      <c r="AH644" s="1711"/>
      <c r="AI644" s="6192"/>
    </row>
    <row r="645" ht="15.75" customHeight="1">
      <c r="A645" s="6185"/>
      <c r="B645" s="1656"/>
      <c r="C645" s="1649"/>
      <c r="D645" s="1657"/>
      <c r="E645" s="1675" t="s">
        <v>197</v>
      </c>
      <c r="F645" s="1676">
        <f t="array" ref="F645">IFERROR(VLOOKUP(E627,Dex!$B$3:$N1218,13,FALSE),"")</f>
        <v>151</v>
      </c>
      <c r="G645" s="1677" t="str">
        <f t="array" ref="G645">IFERROR(VLOOKUP(F645,Dex!$P$22:$Q$276,2,FALSE),"")</f>
        <v/>
      </c>
      <c r="H645" s="1678">
        <v>252.0</v>
      </c>
      <c r="I645" s="1708"/>
      <c r="J645" s="1675" t="s">
        <v>197</v>
      </c>
      <c r="K645" s="1676">
        <f t="array" ref="K645">IFERROR(VLOOKUP(J627,Dex!$B$3:$N1218,13,FALSE),"")</f>
        <v>97</v>
      </c>
      <c r="L645" s="1677" t="str">
        <f t="array" ref="L645">IFERROR(VLOOKUP(K645,Dex!$P$22:$Q$276,2,FALSE),"")</f>
        <v/>
      </c>
      <c r="M645" s="1678">
        <v>252.0</v>
      </c>
      <c r="N645" s="1708"/>
      <c r="O645" s="1675" t="s">
        <v>197</v>
      </c>
      <c r="P645" s="1676">
        <f t="array" ref="P645">IFERROR(VLOOKUP(O627,Dex!$B$3:$N1218,13,FALSE),"")</f>
        <v>99</v>
      </c>
      <c r="Q645" s="1677" t="str">
        <f t="array" ref="Q645">IFERROR(VLOOKUP(P645,Dex!$P$22:$Q$276,2,FALSE),"")</f>
        <v/>
      </c>
      <c r="R645" s="1678">
        <v>252.0</v>
      </c>
      <c r="S645" s="1709"/>
      <c r="T645" s="1675" t="s">
        <v>197</v>
      </c>
      <c r="U645" s="1676">
        <f t="array" ref="U645">IFERROR(VLOOKUP(T627,Dex!$B$3:$N1218,13,FALSE),"")</f>
        <v>60</v>
      </c>
      <c r="V645" s="1677" t="str">
        <f t="array" ref="V645">IFERROR(VLOOKUP(U645,Dex!$P$22:$Q$276,2,FALSE),"")</f>
        <v/>
      </c>
      <c r="W645" s="1678">
        <v>252.0</v>
      </c>
      <c r="X645" s="1710"/>
      <c r="Y645" s="1675" t="s">
        <v>197</v>
      </c>
      <c r="Z645" s="1676">
        <f t="array" ref="Z645">IFERROR(VLOOKUP(Y627,Dex!$B$3:$N1218,13,FALSE),"")</f>
        <v>120</v>
      </c>
      <c r="AA645" s="1677" t="str">
        <f t="array" ref="AA645">IFERROR(VLOOKUP(Z645,Dex!$P$22:$Q$276,2,FALSE),"")</f>
        <v/>
      </c>
      <c r="AB645" s="1678">
        <v>252.0</v>
      </c>
      <c r="AC645" s="1710"/>
      <c r="AD645" s="1675" t="s">
        <v>197</v>
      </c>
      <c r="AE645" s="1676">
        <f t="array" ref="AE645">IFERROR(VLOOKUP(AD627,Dex!$B$3:$N1218,13,FALSE),"")</f>
        <v>105</v>
      </c>
      <c r="AF645" s="1677" t="str">
        <f t="array" ref="AF645">IFERROR(VLOOKUP(AE645,Dex!$P$22:$Q$276,2,FALSE),"")</f>
        <v/>
      </c>
      <c r="AG645" s="1678">
        <v>252.0</v>
      </c>
      <c r="AH645" s="1711"/>
      <c r="AI645" s="6192"/>
    </row>
    <row r="646" ht="16.5" customHeight="1">
      <c r="A646" s="6185"/>
      <c r="B646" s="1656"/>
      <c r="C646" s="1649"/>
      <c r="D646" s="1657"/>
      <c r="E646" s="6614" t="s">
        <v>198</v>
      </c>
      <c r="F646" s="918"/>
      <c r="G646" s="919"/>
      <c r="H646" s="6615">
        <v>441.0</v>
      </c>
      <c r="I646" s="1660"/>
      <c r="J646" s="1679" t="s">
        <v>198</v>
      </c>
      <c r="K646" s="405"/>
      <c r="L646" s="406"/>
      <c r="M646" s="1680">
        <v>293.0</v>
      </c>
      <c r="N646" s="1660"/>
      <c r="O646" s="1679" t="s">
        <v>198</v>
      </c>
      <c r="P646" s="405"/>
      <c r="Q646" s="406"/>
      <c r="R646" s="1680">
        <v>326.0</v>
      </c>
      <c r="S646" s="1662"/>
      <c r="T646" s="1679" t="s">
        <v>198</v>
      </c>
      <c r="U646" s="405"/>
      <c r="V646" s="406"/>
      <c r="W646" s="1680">
        <v>240.0</v>
      </c>
      <c r="X646" s="1706"/>
      <c r="Y646" s="1679" t="s">
        <v>198</v>
      </c>
      <c r="Z646" s="405"/>
      <c r="AA646" s="406"/>
      <c r="AB646" s="1680">
        <v>372.0</v>
      </c>
      <c r="AC646" s="1706"/>
      <c r="AD646" s="1679" t="s">
        <v>198</v>
      </c>
      <c r="AE646" s="405"/>
      <c r="AF646" s="406"/>
      <c r="AG646" s="1680">
        <v>305.0</v>
      </c>
      <c r="AH646" s="1707"/>
      <c r="AI646" s="6192"/>
    </row>
    <row r="647" ht="16.5" customHeight="1">
      <c r="A647" s="6185"/>
      <c r="B647" s="6616"/>
      <c r="C647" s="6617"/>
      <c r="D647" s="6618"/>
      <c r="E647" s="6619" t="s">
        <v>411</v>
      </c>
      <c r="F647" s="925"/>
      <c r="G647" s="926"/>
      <c r="H647" s="6620">
        <v>661.0</v>
      </c>
      <c r="I647" s="6621"/>
      <c r="J647" s="6622"/>
      <c r="K647" s="6622"/>
      <c r="L647" s="6622"/>
      <c r="M647" s="6617"/>
      <c r="N647" s="6621"/>
      <c r="O647" s="6622"/>
      <c r="P647" s="6622"/>
      <c r="Q647" s="6622"/>
      <c r="R647" s="6617"/>
      <c r="S647" s="6623"/>
      <c r="T647" s="6622"/>
      <c r="U647" s="6622"/>
      <c r="V647" s="6622"/>
      <c r="W647" s="6617"/>
      <c r="X647" s="6624"/>
      <c r="Y647" s="6622"/>
      <c r="Z647" s="6622"/>
      <c r="AA647" s="6622"/>
      <c r="AB647" s="6617"/>
      <c r="AC647" s="6624"/>
      <c r="AD647" s="6622"/>
      <c r="AE647" s="6622"/>
      <c r="AF647" s="6622"/>
      <c r="AG647" s="6617"/>
      <c r="AH647" s="1707"/>
      <c r="AI647" s="6192"/>
    </row>
    <row r="648" ht="15.0" customHeight="1">
      <c r="A648" s="6185"/>
      <c r="B648" s="1712"/>
      <c r="C648" s="1713"/>
      <c r="D648" s="1714"/>
      <c r="E648" s="1713"/>
      <c r="F648" s="1713"/>
      <c r="G648" s="1713"/>
      <c r="H648" s="1713"/>
      <c r="I648" s="1714"/>
      <c r="J648" s="1713"/>
      <c r="K648" s="1713"/>
      <c r="L648" s="1713"/>
      <c r="M648" s="1713"/>
      <c r="N648" s="1714"/>
      <c r="O648" s="1713"/>
      <c r="P648" s="1713"/>
      <c r="Q648" s="1713"/>
      <c r="R648" s="1713"/>
      <c r="S648" s="1714"/>
      <c r="T648" s="1713"/>
      <c r="U648" s="1713"/>
      <c r="V648" s="1713"/>
      <c r="W648" s="1713"/>
      <c r="X648" s="1714"/>
      <c r="Y648" s="1713"/>
      <c r="Z648" s="1713"/>
      <c r="AA648" s="1713"/>
      <c r="AB648" s="1713"/>
      <c r="AC648" s="1714"/>
      <c r="AD648" s="1713"/>
      <c r="AE648" s="1713"/>
      <c r="AF648" s="1713"/>
      <c r="AG648" s="1713"/>
      <c r="AH648" s="1717"/>
      <c r="AI648" s="6192"/>
    </row>
    <row r="649" ht="15.0" customHeight="1">
      <c r="A649" s="6185"/>
      <c r="B649" s="6625"/>
      <c r="C649" s="6626"/>
      <c r="D649" s="6627"/>
      <c r="E649" s="6627"/>
      <c r="F649" s="6627"/>
      <c r="G649" s="6627"/>
      <c r="H649" s="6627"/>
      <c r="I649" s="6628"/>
      <c r="J649" s="6627"/>
      <c r="K649" s="6627"/>
      <c r="L649" s="6627"/>
      <c r="M649" s="6627"/>
      <c r="N649" s="6628"/>
      <c r="O649" s="6627"/>
      <c r="P649" s="6627"/>
      <c r="Q649" s="6627"/>
      <c r="R649" s="6627"/>
      <c r="S649" s="6628"/>
      <c r="T649" s="6627"/>
      <c r="U649" s="6627"/>
      <c r="V649" s="6627"/>
      <c r="W649" s="6627"/>
      <c r="X649" s="6628"/>
      <c r="Y649" s="6628"/>
      <c r="Z649" s="6628"/>
      <c r="AA649" s="6628"/>
      <c r="AB649" s="6628"/>
      <c r="AC649" s="6628"/>
      <c r="AD649" s="6628"/>
      <c r="AE649" s="6628"/>
      <c r="AF649" s="6628"/>
      <c r="AG649" s="6628"/>
      <c r="AH649" s="6629"/>
      <c r="AI649" s="6192"/>
    </row>
    <row r="650" ht="96.75" customHeight="1">
      <c r="A650" s="6125"/>
      <c r="B650" s="6630"/>
      <c r="C650" s="6631" t="str">
        <f>IMAGE("https://i.ibb.co/3vV7Cw8/Ranger.png")</f>
        <v/>
      </c>
      <c r="D650" s="6632"/>
      <c r="E650" s="6633" t="str">
        <f t="array" ref="E650">IFERROR(VLOOKUP(E651,Dex!$B$3:$G1218,3,FALSE),"")</f>
        <v/>
      </c>
      <c r="F650" s="1830"/>
      <c r="G650" s="1830"/>
      <c r="H650" s="1831"/>
      <c r="I650" s="6634"/>
      <c r="J650" s="6633" t="str">
        <f t="array" ref="J650">IFERROR(VLOOKUP(J651,Dex!$B$3:$G1218,3,FALSE),"")</f>
        <v/>
      </c>
      <c r="K650" s="1830"/>
      <c r="L650" s="1830"/>
      <c r="M650" s="1831"/>
      <c r="N650" s="6634"/>
      <c r="O650" s="6633" t="str">
        <f t="array" ref="O650">IFERROR(VLOOKUP(O651,Dex!$B$3:$G1218,3,FALSE),"")</f>
        <v/>
      </c>
      <c r="P650" s="1830"/>
      <c r="Q650" s="1830"/>
      <c r="R650" s="1831"/>
      <c r="S650" s="6634"/>
      <c r="T650" s="6633" t="str">
        <f t="array" ref="T650">IFERROR(VLOOKUP(T651,Dex!$B$3:$G1218,3,FALSE),"")</f>
        <v/>
      </c>
      <c r="U650" s="1830"/>
      <c r="V650" s="1830"/>
      <c r="W650" s="1831"/>
      <c r="X650" s="6635"/>
      <c r="Y650" s="6636"/>
      <c r="Z650" s="6637"/>
      <c r="AA650" s="6637"/>
      <c r="AB650" s="6638"/>
      <c r="AC650" s="6635"/>
      <c r="AD650" s="6636"/>
      <c r="AE650" s="6637"/>
      <c r="AF650" s="6637"/>
      <c r="AG650" s="6638"/>
      <c r="AH650" s="6639"/>
      <c r="AI650" s="6129"/>
    </row>
    <row r="651" ht="18.75" customHeight="1">
      <c r="A651" s="6140"/>
      <c r="B651" s="6640"/>
      <c r="C651" s="6641" t="s">
        <v>1708</v>
      </c>
      <c r="D651" s="6642"/>
      <c r="E651" s="6643" t="s">
        <v>517</v>
      </c>
      <c r="F651" s="6644"/>
      <c r="G651" s="6644"/>
      <c r="H651" s="6645"/>
      <c r="I651" s="6634"/>
      <c r="J651" s="6643" t="s">
        <v>1709</v>
      </c>
      <c r="K651" s="6644"/>
      <c r="L651" s="6644"/>
      <c r="M651" s="6645"/>
      <c r="N651" s="6634"/>
      <c r="O651" s="6643" t="s">
        <v>1710</v>
      </c>
      <c r="P651" s="6644"/>
      <c r="Q651" s="6644"/>
      <c r="R651" s="6645"/>
      <c r="S651" s="6634"/>
      <c r="T651" s="6643" t="s">
        <v>230</v>
      </c>
      <c r="U651" s="6644"/>
      <c r="V651" s="6644"/>
      <c r="W651" s="6645"/>
      <c r="X651" s="6634"/>
      <c r="Y651" s="6646"/>
      <c r="Z651" s="6637"/>
      <c r="AA651" s="6637"/>
      <c r="AB651" s="6638"/>
      <c r="AC651" s="6634"/>
      <c r="AD651" s="6646"/>
      <c r="AE651" s="6637"/>
      <c r="AF651" s="6637"/>
      <c r="AG651" s="6638"/>
      <c r="AH651" s="6647"/>
      <c r="AI651" s="6149"/>
    </row>
    <row r="652">
      <c r="A652" s="6125"/>
      <c r="B652" s="6630"/>
      <c r="C652" s="1481"/>
      <c r="D652" s="6648"/>
      <c r="E652" s="6649" t="s">
        <v>1502</v>
      </c>
      <c r="F652" s="6650"/>
      <c r="G652" s="6650"/>
      <c r="H652" s="6651"/>
      <c r="I652" s="6634"/>
      <c r="J652" s="6649" t="s">
        <v>1623</v>
      </c>
      <c r="K652" s="6650"/>
      <c r="L652" s="6650"/>
      <c r="M652" s="6651"/>
      <c r="N652" s="6634"/>
      <c r="O652" s="6649" t="s">
        <v>1623</v>
      </c>
      <c r="P652" s="6650"/>
      <c r="Q652" s="6650"/>
      <c r="R652" s="6651"/>
      <c r="S652" s="6634"/>
      <c r="T652" s="6649" t="s">
        <v>1502</v>
      </c>
      <c r="U652" s="6650"/>
      <c r="V652" s="6650"/>
      <c r="W652" s="6651"/>
      <c r="X652" s="6635"/>
      <c r="Y652" s="6636"/>
      <c r="Z652" s="6637"/>
      <c r="AA652" s="6637"/>
      <c r="AB652" s="6638"/>
      <c r="AC652" s="6635"/>
      <c r="AD652" s="6636"/>
      <c r="AE652" s="6637"/>
      <c r="AF652" s="6637"/>
      <c r="AG652" s="6638"/>
      <c r="AH652" s="6639"/>
      <c r="AI652" s="6129"/>
    </row>
    <row r="653" ht="25.5" customHeight="1">
      <c r="A653" s="6125"/>
      <c r="B653" s="6630"/>
      <c r="C653" s="1489"/>
      <c r="D653" s="6635"/>
      <c r="E653" s="6652"/>
      <c r="F653" s="6653" t="str">
        <f t="array" ref="F653">IFERROR(VLOOKUP(E651,Dex!$B$3:$H1218,5,FALSE),"")</f>
        <v/>
      </c>
      <c r="G653" s="6654" t="str">
        <f t="array" ref="G653">IFERROR(VLOOKUP(E651,Dex!$B$3:$H1218,7,FALSE),"")</f>
        <v/>
      </c>
      <c r="H653" s="6655"/>
      <c r="I653" s="6634"/>
      <c r="J653" s="6652"/>
      <c r="K653" s="6656" t="str">
        <f t="array" ref="K653">IFERROR(VLOOKUP(J651,Dex!$B$3:$H1218,5,FALSE),"")</f>
        <v/>
      </c>
      <c r="L653" s="6657"/>
      <c r="M653" s="6655"/>
      <c r="N653" s="6634"/>
      <c r="O653" s="6652"/>
      <c r="P653" s="6653" t="str">
        <f t="array" ref="P653">IFERROR(VLOOKUP(O651,Dex!$B$3:$H1218,5,FALSE),"")</f>
        <v/>
      </c>
      <c r="Q653" s="6654" t="str">
        <f t="array" ref="Q653">IFERROR(VLOOKUP(O651,Dex!$B$3:$H1218,7,FALSE),"")</f>
        <v/>
      </c>
      <c r="R653" s="6655"/>
      <c r="S653" s="6634"/>
      <c r="T653" s="6652"/>
      <c r="U653" s="6653" t="str">
        <f t="array" ref="U653">IFERROR(VLOOKUP(T651,Dex!$B$3:$H1218,5,FALSE),"")</f>
        <v/>
      </c>
      <c r="V653" s="6654"/>
      <c r="W653" s="6655"/>
      <c r="X653" s="6635"/>
      <c r="Y653" s="6636"/>
      <c r="Z653" s="6637"/>
      <c r="AA653" s="6637"/>
      <c r="AB653" s="6638"/>
      <c r="AC653" s="6635"/>
      <c r="AD653" s="6636"/>
      <c r="AE653" s="6637"/>
      <c r="AF653" s="6637"/>
      <c r="AG653" s="6638"/>
      <c r="AH653" s="6639"/>
      <c r="AI653" s="6129"/>
    </row>
    <row r="654" ht="2.25" customHeight="1">
      <c r="A654" s="6125"/>
      <c r="B654" s="6630"/>
      <c r="C654" s="6658"/>
      <c r="D654" s="6635"/>
      <c r="E654" s="6659"/>
      <c r="F654" s="6660"/>
      <c r="G654" s="6660"/>
      <c r="H654" s="6661"/>
      <c r="I654" s="6634"/>
      <c r="J654" s="6659"/>
      <c r="K654" s="6660"/>
      <c r="L654" s="6660"/>
      <c r="M654" s="6661"/>
      <c r="N654" s="6634"/>
      <c r="O654" s="6659"/>
      <c r="P654" s="6660"/>
      <c r="Q654" s="6660"/>
      <c r="R654" s="6661"/>
      <c r="S654" s="6634"/>
      <c r="T654" s="6659"/>
      <c r="U654" s="6660"/>
      <c r="V654" s="6660"/>
      <c r="W654" s="6661"/>
      <c r="X654" s="6635"/>
      <c r="Y654" s="6635"/>
      <c r="Z654" s="6635"/>
      <c r="AA654" s="6635"/>
      <c r="AB654" s="6635"/>
      <c r="AC654" s="6635"/>
      <c r="AD654" s="6635"/>
      <c r="AE654" s="6635"/>
      <c r="AF654" s="6635"/>
      <c r="AG654" s="6635"/>
      <c r="AH654" s="6639"/>
      <c r="AI654" s="6129"/>
    </row>
    <row r="655" ht="20.25" customHeight="1">
      <c r="A655" s="6125"/>
      <c r="B655" s="6630"/>
      <c r="C655" s="6658"/>
      <c r="D655" s="6635"/>
      <c r="E655" s="6662" t="s">
        <v>169</v>
      </c>
      <c r="F655" s="6663"/>
      <c r="G655" s="6663"/>
      <c r="H655" s="6664"/>
      <c r="I655" s="6634"/>
      <c r="J655" s="6662" t="s">
        <v>172</v>
      </c>
      <c r="K655" s="6663"/>
      <c r="L655" s="6663"/>
      <c r="M655" s="6664"/>
      <c r="N655" s="6634"/>
      <c r="O655" s="6662" t="s">
        <v>169</v>
      </c>
      <c r="P655" s="6663"/>
      <c r="Q655" s="6663"/>
      <c r="R655" s="6664"/>
      <c r="S655" s="6634"/>
      <c r="T655" s="6662" t="s">
        <v>205</v>
      </c>
      <c r="U655" s="6663"/>
      <c r="V655" s="6663"/>
      <c r="W655" s="6664"/>
      <c r="X655" s="6635"/>
      <c r="Y655" s="6636"/>
      <c r="Z655" s="6637"/>
      <c r="AA655" s="6637"/>
      <c r="AB655" s="6638"/>
      <c r="AC655" s="6635"/>
      <c r="AD655" s="6636"/>
      <c r="AE655" s="6637"/>
      <c r="AF655" s="6637"/>
      <c r="AG655" s="6638"/>
      <c r="AH655" s="6639"/>
      <c r="AI655" s="6129"/>
    </row>
    <row r="656" ht="20.25" customHeight="1">
      <c r="A656" s="6125"/>
      <c r="B656" s="6630"/>
      <c r="C656" s="6658"/>
      <c r="D656" s="6635"/>
      <c r="E656" s="6665" t="s">
        <v>208</v>
      </c>
      <c r="F656" s="6637"/>
      <c r="G656" s="6637"/>
      <c r="H656" s="6666"/>
      <c r="I656" s="6634"/>
      <c r="J656" s="6665" t="s">
        <v>361</v>
      </c>
      <c r="K656" s="6637"/>
      <c r="L656" s="6637"/>
      <c r="M656" s="6666"/>
      <c r="N656" s="6634"/>
      <c r="O656" s="6665" t="s">
        <v>173</v>
      </c>
      <c r="P656" s="6637"/>
      <c r="Q656" s="6637"/>
      <c r="R656" s="6666"/>
      <c r="S656" s="6634"/>
      <c r="T656" s="6667" t="s">
        <v>236</v>
      </c>
      <c r="U656" s="6637"/>
      <c r="V656" s="6637"/>
      <c r="W656" s="6666"/>
      <c r="X656" s="6635"/>
      <c r="Y656" s="6636"/>
      <c r="Z656" s="6637"/>
      <c r="AA656" s="6637"/>
      <c r="AB656" s="6638"/>
      <c r="AC656" s="6635"/>
      <c r="AD656" s="6636"/>
      <c r="AE656" s="6637"/>
      <c r="AF656" s="6637"/>
      <c r="AG656" s="6638"/>
      <c r="AH656" s="6639"/>
      <c r="AI656" s="6129"/>
    </row>
    <row r="657" ht="20.25" customHeight="1">
      <c r="A657" s="6125"/>
      <c r="B657" s="6630"/>
      <c r="C657" s="6658"/>
      <c r="D657" s="6635"/>
      <c r="E657" s="6668" t="s">
        <v>473</v>
      </c>
      <c r="F657" s="6669"/>
      <c r="G657" s="6670"/>
      <c r="H657" s="6671" t="str">
        <f>IMAGE("https://raw.githubusercontent.com/msikma/pokesprite/master/items/hold-item/assault-vest.png",3)</f>
        <v/>
      </c>
      <c r="I657" s="6634"/>
      <c r="J657" s="6668" t="s">
        <v>363</v>
      </c>
      <c r="K657" s="6669"/>
      <c r="L657" s="6670"/>
      <c r="M657" s="6671" t="str">
        <f>IMAGE("https://raw.githubusercontent.com/msikma/pokesprite/master/items/berry/lum.png",3)</f>
        <v/>
      </c>
      <c r="N657" s="6634"/>
      <c r="O657" s="6668" t="s">
        <v>176</v>
      </c>
      <c r="P657" s="6669"/>
      <c r="Q657" s="6670"/>
      <c r="R657" s="6671" t="str">
        <f>IMAGE("https://raw.githubusercontent.com/msikma/pokesprite/master/items/berry/custap.png",3)</f>
        <v/>
      </c>
      <c r="S657" s="6634"/>
      <c r="T657" s="6668" t="s">
        <v>241</v>
      </c>
      <c r="U657" s="6669"/>
      <c r="V657" s="6670"/>
      <c r="W657" s="6671" t="str">
        <f>IMAGE("https://raw.githubusercontent.com/msikma/pokesprite/master/items/mega-stone/manectite.png",3)</f>
        <v/>
      </c>
      <c r="X657" s="6635"/>
      <c r="Y657" s="6636"/>
      <c r="Z657" s="6637"/>
      <c r="AA657" s="6637"/>
      <c r="AB657" s="6638"/>
      <c r="AC657" s="6635"/>
      <c r="AD657" s="6636"/>
      <c r="AE657" s="6637"/>
      <c r="AF657" s="6637"/>
      <c r="AG657" s="6638"/>
      <c r="AH657" s="6639"/>
      <c r="AI657" s="6129"/>
    </row>
    <row r="658" ht="20.25" customHeight="1">
      <c r="A658" s="6125"/>
      <c r="B658" s="6630"/>
      <c r="C658" s="6658"/>
      <c r="D658" s="6635"/>
      <c r="E658" s="6662" t="s">
        <v>522</v>
      </c>
      <c r="F658" s="6663"/>
      <c r="G658" s="6672"/>
      <c r="H658" s="6673" t="str">
        <f>IMAGE("https://raw.githubusercontent.com/msikma/pokesprite/master/misc/types/gen8/steel.png",4,20,20)</f>
        <v/>
      </c>
      <c r="I658" s="6634"/>
      <c r="J658" s="6662" t="s">
        <v>489</v>
      </c>
      <c r="K658" s="6663"/>
      <c r="L658" s="6672"/>
      <c r="M658" s="6673" t="str">
        <f>IMAGE("https://raw.githubusercontent.com/msikma/pokesprite/master/misc/types/gen8/normal.png",4,20,20)</f>
        <v/>
      </c>
      <c r="N658" s="6634"/>
      <c r="O658" s="6662" t="s">
        <v>1163</v>
      </c>
      <c r="P658" s="6663"/>
      <c r="Q658" s="6672"/>
      <c r="R658" s="6673" t="str">
        <f>IMAGE("https://raw.githubusercontent.com/msikma/pokesprite/master/misc/types/gen8/ground.png",4,20,20)</f>
        <v/>
      </c>
      <c r="S658" s="6634"/>
      <c r="T658" s="6662" t="s">
        <v>242</v>
      </c>
      <c r="U658" s="6663"/>
      <c r="V658" s="6672"/>
      <c r="W658" s="6673" t="str">
        <f>IMAGE("https://raw.githubusercontent.com/msikma/pokesprite/master/misc/types/gen8/electric.png",4,20,20)</f>
        <v/>
      </c>
      <c r="X658" s="6635"/>
      <c r="Y658" s="6636"/>
      <c r="Z658" s="6637"/>
      <c r="AA658" s="6637"/>
      <c r="AB658" s="6638"/>
      <c r="AC658" s="6635"/>
      <c r="AD658" s="6636"/>
      <c r="AE658" s="6637"/>
      <c r="AF658" s="6637"/>
      <c r="AG658" s="6638"/>
      <c r="AH658" s="6639"/>
      <c r="AI658" s="6129"/>
    </row>
    <row r="659" ht="20.25" customHeight="1">
      <c r="A659" s="6125"/>
      <c r="B659" s="6630"/>
      <c r="C659" s="6674"/>
      <c r="D659" s="6635"/>
      <c r="E659" s="6675" t="s">
        <v>278</v>
      </c>
      <c r="F659" s="6637"/>
      <c r="G659" s="6638"/>
      <c r="H659" s="6676" t="str">
        <f>IMAGE("https://raw.githubusercontent.com/msikma/pokesprite/master/misc/types/gen8/bug.png",4,20,20)</f>
        <v/>
      </c>
      <c r="I659" s="6634"/>
      <c r="J659" s="6675" t="s">
        <v>811</v>
      </c>
      <c r="K659" s="6637"/>
      <c r="L659" s="6638"/>
      <c r="M659" s="6676" t="str">
        <f>IMAGE("https://raw.githubusercontent.com/msikma/pokesprite/master/misc/types/gen8/dragon.png",4,20,20)</f>
        <v/>
      </c>
      <c r="N659" s="6634"/>
      <c r="O659" s="6675" t="s">
        <v>399</v>
      </c>
      <c r="P659" s="6637"/>
      <c r="Q659" s="6638"/>
      <c r="R659" s="6676" t="str">
        <f>IMAGE("https://raw.githubusercontent.com/msikma/pokesprite/master/misc/types/gen8/rock.png",4,20,20)</f>
        <v/>
      </c>
      <c r="S659" s="6634"/>
      <c r="T659" s="6675" t="s">
        <v>223</v>
      </c>
      <c r="U659" s="6637"/>
      <c r="V659" s="6638"/>
      <c r="W659" s="6676" t="str">
        <f>IMAGE("https://raw.githubusercontent.com/msikma/pokesprite/master/misc/types/gen8/grass.png",4,20,20)</f>
        <v/>
      </c>
      <c r="X659" s="6635"/>
      <c r="Y659" s="6636"/>
      <c r="Z659" s="6637"/>
      <c r="AA659" s="6637"/>
      <c r="AB659" s="6638"/>
      <c r="AC659" s="6635"/>
      <c r="AD659" s="6636"/>
      <c r="AE659" s="6637"/>
      <c r="AF659" s="6637"/>
      <c r="AG659" s="6638"/>
      <c r="AH659" s="6639"/>
      <c r="AI659" s="6129"/>
    </row>
    <row r="660" ht="20.25" customHeight="1">
      <c r="A660" s="6125"/>
      <c r="B660" s="6630"/>
      <c r="C660" s="6674"/>
      <c r="D660" s="6635"/>
      <c r="E660" s="6665" t="s">
        <v>507</v>
      </c>
      <c r="F660" s="6637"/>
      <c r="G660" s="6638"/>
      <c r="H660" s="6676" t="str">
        <f>IMAGE("https://raw.githubusercontent.com/msikma/pokesprite/master/misc/types/gen8/fighting.png",4,20,20)</f>
        <v/>
      </c>
      <c r="I660" s="6634"/>
      <c r="J660" s="6665" t="s">
        <v>218</v>
      </c>
      <c r="K660" s="6637"/>
      <c r="L660" s="6638"/>
      <c r="M660" s="6676" t="str">
        <f>IMAGE("https://raw.githubusercontent.com/msikma/pokesprite/master/misc/types/gen8/poison.png",4,20,20)</f>
        <v/>
      </c>
      <c r="N660" s="6634"/>
      <c r="O660" s="6665" t="s">
        <v>541</v>
      </c>
      <c r="P660" s="6637"/>
      <c r="Q660" s="6638"/>
      <c r="R660" s="6676" t="str">
        <f>IMAGE("https://raw.githubusercontent.com/msikma/pokesprite/master/misc/types/gen8/dark.png",4,20,20)</f>
        <v/>
      </c>
      <c r="S660" s="6634"/>
      <c r="T660" s="6665" t="s">
        <v>372</v>
      </c>
      <c r="U660" s="6637"/>
      <c r="V660" s="6638"/>
      <c r="W660" s="6676" t="str">
        <f>IMAGE("https://raw.githubusercontent.com/msikma/pokesprite/master/misc/types/gen8/fire.png",4,20,20)</f>
        <v/>
      </c>
      <c r="X660" s="6635"/>
      <c r="Y660" s="6636"/>
      <c r="Z660" s="6637"/>
      <c r="AA660" s="6637"/>
      <c r="AB660" s="6638"/>
      <c r="AC660" s="6635"/>
      <c r="AD660" s="6636"/>
      <c r="AE660" s="6637"/>
      <c r="AF660" s="6637"/>
      <c r="AG660" s="6638"/>
      <c r="AH660" s="6639"/>
      <c r="AI660" s="6129"/>
    </row>
    <row r="661" ht="21.0" customHeight="1">
      <c r="A661" s="6125"/>
      <c r="B661" s="6630"/>
      <c r="C661" s="6674"/>
      <c r="D661" s="6635"/>
      <c r="E661" s="6677" t="s">
        <v>408</v>
      </c>
      <c r="F661" s="6678"/>
      <c r="G661" s="6679"/>
      <c r="H661" s="6680" t="str">
        <f>IMAGE("https://raw.githubusercontent.com/msikma/pokesprite/master/misc/types/gen8/flying.png",4,20,20)</f>
        <v/>
      </c>
      <c r="I661" s="6634"/>
      <c r="J661" s="6677" t="s">
        <v>316</v>
      </c>
      <c r="K661" s="6678"/>
      <c r="L661" s="6679"/>
      <c r="M661" s="6680" t="str">
        <f>IMAGE("https://raw.githubusercontent.com/msikma/pokesprite/master/misc/types/gen8/fighting.png",4,20,20)</f>
        <v/>
      </c>
      <c r="N661" s="6634"/>
      <c r="O661" s="6677" t="s">
        <v>288</v>
      </c>
      <c r="P661" s="6678"/>
      <c r="Q661" s="6679"/>
      <c r="R661" s="6680" t="str">
        <f>IMAGE("https://raw.githubusercontent.com/msikma/pokesprite/master/misc/types/gen8/normal.png",4,20,20)</f>
        <v/>
      </c>
      <c r="S661" s="6634"/>
      <c r="T661" s="6677" t="s">
        <v>277</v>
      </c>
      <c r="U661" s="6678"/>
      <c r="V661" s="6679"/>
      <c r="W661" s="6680" t="str">
        <f>IMAGE("https://raw.githubusercontent.com/msikma/pokesprite/master/misc/types/gen8/electric.png",4,20,20)</f>
        <v/>
      </c>
      <c r="X661" s="6635"/>
      <c r="Y661" s="6636"/>
      <c r="Z661" s="6637"/>
      <c r="AA661" s="6637"/>
      <c r="AB661" s="6638"/>
      <c r="AC661" s="6635"/>
      <c r="AD661" s="6636"/>
      <c r="AE661" s="6637"/>
      <c r="AF661" s="6637"/>
      <c r="AG661" s="6638"/>
      <c r="AH661" s="6639"/>
      <c r="AI661" s="6129"/>
    </row>
    <row r="662" ht="3.0" customHeight="1">
      <c r="A662" s="6185"/>
      <c r="B662" s="6681"/>
      <c r="C662" s="6682"/>
      <c r="D662" s="6683"/>
      <c r="E662" s="6684"/>
      <c r="F662" s="6684"/>
      <c r="G662" s="6684"/>
      <c r="H662" s="6683"/>
      <c r="I662" s="6683"/>
      <c r="J662" s="6684"/>
      <c r="K662" s="6684"/>
      <c r="L662" s="6684"/>
      <c r="M662" s="6683"/>
      <c r="N662" s="6683"/>
      <c r="O662" s="6684"/>
      <c r="P662" s="6684"/>
      <c r="Q662" s="6684"/>
      <c r="R662" s="6683"/>
      <c r="S662" s="6683"/>
      <c r="T662" s="6684"/>
      <c r="U662" s="6684"/>
      <c r="V662" s="6684"/>
      <c r="W662" s="6683"/>
      <c r="X662" s="6683"/>
      <c r="Y662" s="6683"/>
      <c r="Z662" s="6685"/>
      <c r="AA662" s="6685"/>
      <c r="AB662" s="6686"/>
      <c r="AC662" s="6686"/>
      <c r="AD662" s="6686"/>
      <c r="AE662" s="6686"/>
      <c r="AF662" s="6686"/>
      <c r="AG662" s="6686"/>
      <c r="AH662" s="6687"/>
      <c r="AI662" s="6192"/>
    </row>
    <row r="663" ht="16.5" customHeight="1">
      <c r="A663" s="6185"/>
      <c r="B663" s="6688"/>
      <c r="C663" s="6682"/>
      <c r="D663" s="6689"/>
      <c r="E663" s="6690" t="s">
        <v>190</v>
      </c>
      <c r="F663" s="381"/>
      <c r="G663" s="382"/>
      <c r="H663" s="6691" t="s">
        <v>191</v>
      </c>
      <c r="I663" s="6689"/>
      <c r="J663" s="6690" t="s">
        <v>190</v>
      </c>
      <c r="K663" s="381"/>
      <c r="L663" s="382"/>
      <c r="M663" s="6691" t="s">
        <v>191</v>
      </c>
      <c r="N663" s="6689"/>
      <c r="O663" s="6690" t="s">
        <v>190</v>
      </c>
      <c r="P663" s="381"/>
      <c r="Q663" s="382"/>
      <c r="R663" s="6691" t="s">
        <v>191</v>
      </c>
      <c r="S663" s="6692"/>
      <c r="T663" s="6690" t="s">
        <v>190</v>
      </c>
      <c r="U663" s="381"/>
      <c r="V663" s="382"/>
      <c r="W663" s="6691" t="s">
        <v>191</v>
      </c>
      <c r="X663" s="6693"/>
      <c r="Y663" s="6636"/>
      <c r="Z663" s="6637"/>
      <c r="AA663" s="6637"/>
      <c r="AB663" s="6638"/>
      <c r="AC663" s="6693"/>
      <c r="AD663" s="6636"/>
      <c r="AE663" s="6637"/>
      <c r="AF663" s="6637"/>
      <c r="AG663" s="6638"/>
      <c r="AH663" s="6694"/>
      <c r="AI663" s="6192"/>
    </row>
    <row r="664" ht="15.75" customHeight="1">
      <c r="A664" s="6185"/>
      <c r="B664" s="6688"/>
      <c r="C664" s="6682"/>
      <c r="D664" s="6695"/>
      <c r="E664" s="6696" t="s">
        <v>192</v>
      </c>
      <c r="F664" s="6697">
        <f t="array" ref="F664">IFERROR(VLOOKUP(E651,Dex!$B$3:$N1218,8,FALSE),"")</f>
        <v>70</v>
      </c>
      <c r="G664" s="6698" t="str">
        <f t="array" ref="G664">IFERROR(VLOOKUP(F664,Dex!$P$22:$Q$276,2,FALSE),"")</f>
        <v/>
      </c>
      <c r="H664" s="6699">
        <v>252.0</v>
      </c>
      <c r="I664" s="6700"/>
      <c r="J664" s="6696" t="s">
        <v>192</v>
      </c>
      <c r="K664" s="6697">
        <f t="array" ref="K664">IFERROR(VLOOKUP(J651,Dex!$B$3:$N1218,8,FALSE),"")</f>
        <v>76</v>
      </c>
      <c r="L664" s="6698" t="str">
        <f t="array" ref="L664">IFERROR(VLOOKUP(K664,Dex!$P$22:$Q$276,2,FALSE),"")</f>
        <v/>
      </c>
      <c r="M664" s="6699"/>
      <c r="N664" s="6700"/>
      <c r="O664" s="6696" t="s">
        <v>192</v>
      </c>
      <c r="P664" s="6697">
        <f t="array" ref="P664">IFERROR(VLOOKUP(O651,Dex!$B$3:$N1218,8,FALSE),"")</f>
        <v>80</v>
      </c>
      <c r="Q664" s="6698" t="str">
        <f t="array" ref="Q664">IFERROR(VLOOKUP(P664,Dex!$P$22:$Q$276,2,FALSE),"")</f>
        <v/>
      </c>
      <c r="R664" s="6699">
        <v>252.0</v>
      </c>
      <c r="S664" s="6701"/>
      <c r="T664" s="6696" t="s">
        <v>192</v>
      </c>
      <c r="U664" s="6697">
        <f t="array" ref="U664">IFERROR(VLOOKUP(T651,Dex!$B$3:$N1218,8,FALSE),"")</f>
        <v>70</v>
      </c>
      <c r="V664" s="6698" t="str">
        <f t="array" ref="V664">IFERROR(VLOOKUP(U664,Dex!$P$22:$Q$276,2,FALSE),"")</f>
        <v/>
      </c>
      <c r="W664" s="6699"/>
      <c r="X664" s="6702"/>
      <c r="Y664" s="6636"/>
      <c r="Z664" s="6637"/>
      <c r="AA664" s="6637"/>
      <c r="AB664" s="6638"/>
      <c r="AC664" s="6702"/>
      <c r="AD664" s="6636"/>
      <c r="AE664" s="6637"/>
      <c r="AF664" s="6637"/>
      <c r="AG664" s="6638"/>
      <c r="AH664" s="6703"/>
      <c r="AI664" s="6192"/>
    </row>
    <row r="665" ht="15.75" customHeight="1">
      <c r="A665" s="6185"/>
      <c r="B665" s="6688"/>
      <c r="C665" s="6682"/>
      <c r="D665" s="6695"/>
      <c r="E665" s="6704" t="s">
        <v>193</v>
      </c>
      <c r="F665" s="6705">
        <f t="array" ref="F665">IFERROR(VLOOKUP(E651,Dex!$B$3:$N1218,9,FALSE),"")</f>
        <v>130</v>
      </c>
      <c r="G665" s="6706" t="str">
        <f t="array" ref="G665">IFERROR(VLOOKUP(F665,Dex!$P$22:$Q$276,2,FALSE),"")</f>
        <v/>
      </c>
      <c r="H665" s="6707">
        <v>252.0</v>
      </c>
      <c r="I665" s="6700"/>
      <c r="J665" s="6704" t="s">
        <v>193</v>
      </c>
      <c r="K665" s="6705">
        <f t="array" ref="K665">IFERROR(VLOOKUP(J651,Dex!$B$3:$N1218,9,FALSE),"")</f>
        <v>147</v>
      </c>
      <c r="L665" s="6706" t="str">
        <f t="array" ref="L665">IFERROR(VLOOKUP(K665,Dex!$P$22:$Q$276,2,FALSE),"")</f>
        <v/>
      </c>
      <c r="M665" s="6707">
        <v>252.0</v>
      </c>
      <c r="N665" s="6700"/>
      <c r="O665" s="6704" t="s">
        <v>193</v>
      </c>
      <c r="P665" s="6705">
        <f t="array" ref="P665">IFERROR(VLOOKUP(O651,Dex!$B$3:$N1218,9,FALSE),"")</f>
        <v>120</v>
      </c>
      <c r="Q665" s="6706" t="str">
        <f t="array" ref="Q665">IFERROR(VLOOKUP(P665,Dex!$P$22:$Q$276,2,FALSE),"")</f>
        <v/>
      </c>
      <c r="R665" s="6707">
        <v>252.0</v>
      </c>
      <c r="S665" s="6701"/>
      <c r="T665" s="6704" t="s">
        <v>193</v>
      </c>
      <c r="U665" s="6705">
        <f t="array" ref="U665">IFERROR(VLOOKUP(T651,Dex!$B$3:$N1218,9,FALSE),"")</f>
        <v>75</v>
      </c>
      <c r="V665" s="6706" t="str">
        <f t="array" ref="V665">IFERROR(VLOOKUP(U665,Dex!$P$22:$Q$276,2,FALSE),"")</f>
        <v/>
      </c>
      <c r="W665" s="6707"/>
      <c r="X665" s="6702"/>
      <c r="Y665" s="6636"/>
      <c r="Z665" s="6637"/>
      <c r="AA665" s="6637"/>
      <c r="AB665" s="6638"/>
      <c r="AC665" s="6702"/>
      <c r="AD665" s="6636"/>
      <c r="AE665" s="6637"/>
      <c r="AF665" s="6637"/>
      <c r="AG665" s="6638"/>
      <c r="AH665" s="6703"/>
      <c r="AI665" s="6192"/>
    </row>
    <row r="666" ht="15.75" customHeight="1">
      <c r="A666" s="6185"/>
      <c r="B666" s="6688"/>
      <c r="C666" s="6682"/>
      <c r="D666" s="6695"/>
      <c r="E666" s="6704" t="s">
        <v>194</v>
      </c>
      <c r="F666" s="6705">
        <f t="array" ref="F666">IFERROR(VLOOKUP(E651,Dex!$B$3:$N1218,10,FALSE),"")</f>
        <v>100</v>
      </c>
      <c r="G666" s="6706" t="str">
        <f t="array" ref="G666">IFERROR(VLOOKUP(F666,Dex!$P$22:$Q$276,2,FALSE),"")</f>
        <v/>
      </c>
      <c r="H666" s="6707">
        <v>4.0</v>
      </c>
      <c r="I666" s="6700"/>
      <c r="J666" s="6704" t="s">
        <v>194</v>
      </c>
      <c r="K666" s="6705">
        <f t="array" ref="K666">IFERROR(VLOOKUP(J651,Dex!$B$3:$N1218,10,FALSE),"")</f>
        <v>90</v>
      </c>
      <c r="L666" s="6706" t="str">
        <f t="array" ref="L666">IFERROR(VLOOKUP(K666,Dex!$P$22:$Q$276,2,FALSE),"")</f>
        <v/>
      </c>
      <c r="M666" s="6707">
        <v>4.0</v>
      </c>
      <c r="N666" s="6700"/>
      <c r="O666" s="6704" t="s">
        <v>194</v>
      </c>
      <c r="P666" s="6705">
        <f t="array" ref="P666">IFERROR(VLOOKUP(O651,Dex!$B$3:$N1218,10,FALSE),"")</f>
        <v>130</v>
      </c>
      <c r="Q666" s="6706" t="str">
        <f t="array" ref="Q666">IFERROR(VLOOKUP(P666,Dex!$P$22:$Q$276,2,FALSE),"")</f>
        <v/>
      </c>
      <c r="R666" s="6707">
        <v>4.0</v>
      </c>
      <c r="S666" s="6701"/>
      <c r="T666" s="6704" t="s">
        <v>194</v>
      </c>
      <c r="U666" s="6705">
        <f t="array" ref="U666">IFERROR(VLOOKUP(T651,Dex!$B$3:$N1218,10,FALSE),"")</f>
        <v>80</v>
      </c>
      <c r="V666" s="6706" t="str">
        <f t="array" ref="V666">IFERROR(VLOOKUP(U666,Dex!$P$22:$Q$276,2,FALSE),"")</f>
        <v/>
      </c>
      <c r="W666" s="6707">
        <v>4.0</v>
      </c>
      <c r="X666" s="6702"/>
      <c r="Y666" s="6636"/>
      <c r="Z666" s="6637"/>
      <c r="AA666" s="6637"/>
      <c r="AB666" s="6638"/>
      <c r="AC666" s="6702"/>
      <c r="AD666" s="6636"/>
      <c r="AE666" s="6637"/>
      <c r="AF666" s="6637"/>
      <c r="AG666" s="6638"/>
      <c r="AH666" s="6703"/>
      <c r="AI666" s="6192"/>
    </row>
    <row r="667" ht="15.75" customHeight="1">
      <c r="A667" s="6185"/>
      <c r="B667" s="6688"/>
      <c r="C667" s="6682"/>
      <c r="D667" s="6695"/>
      <c r="E667" s="6704" t="s">
        <v>195</v>
      </c>
      <c r="F667" s="6705">
        <f t="array" ref="F667">IFERROR(VLOOKUP(E651,Dex!$B$3:$N1218,11,FALSE),"")</f>
        <v>55</v>
      </c>
      <c r="G667" s="6706" t="str">
        <f t="array" ref="G667">IFERROR(VLOOKUP(F667,Dex!$P$22:$Q$276,2,FALSE),"")</f>
        <v/>
      </c>
      <c r="H667" s="6707"/>
      <c r="I667" s="6700"/>
      <c r="J667" s="6704" t="s">
        <v>195</v>
      </c>
      <c r="K667" s="6705">
        <f t="array" ref="K667">IFERROR(VLOOKUP(J651,Dex!$B$3:$N1218,11,FALSE),"")</f>
        <v>60</v>
      </c>
      <c r="L667" s="6706" t="str">
        <f t="array" ref="L667">IFERROR(VLOOKUP(K667,Dex!$P$22:$Q$276,2,FALSE),"")</f>
        <v/>
      </c>
      <c r="M667" s="6707"/>
      <c r="N667" s="6700"/>
      <c r="O667" s="6704" t="s">
        <v>195</v>
      </c>
      <c r="P667" s="6705">
        <f t="array" ref="P667">IFERROR(VLOOKUP(O651,Dex!$B$3:$N1218,11,FALSE),"")</f>
        <v>55</v>
      </c>
      <c r="Q667" s="6706" t="str">
        <f t="array" ref="Q667">IFERROR(VLOOKUP(P667,Dex!$P$22:$Q$276,2,FALSE),"")</f>
        <v/>
      </c>
      <c r="R667" s="6707"/>
      <c r="S667" s="6701"/>
      <c r="T667" s="6704" t="s">
        <v>195</v>
      </c>
      <c r="U667" s="6705">
        <f t="array" ref="U667">IFERROR(VLOOKUP(T651,Dex!$B$3:$N1218,11,FALSE),"")</f>
        <v>135</v>
      </c>
      <c r="V667" s="6706" t="str">
        <f t="array" ref="V667">IFERROR(VLOOKUP(U667,Dex!$P$22:$Q$276,2,FALSE),"")</f>
        <v/>
      </c>
      <c r="W667" s="6707">
        <v>252.0</v>
      </c>
      <c r="X667" s="6702"/>
      <c r="Y667" s="6636"/>
      <c r="Z667" s="6637"/>
      <c r="AA667" s="6637"/>
      <c r="AB667" s="6638"/>
      <c r="AC667" s="6702"/>
      <c r="AD667" s="6636"/>
      <c r="AE667" s="6637"/>
      <c r="AF667" s="6637"/>
      <c r="AG667" s="6638"/>
      <c r="AH667" s="6703"/>
      <c r="AI667" s="6192"/>
    </row>
    <row r="668" ht="15.75" customHeight="1">
      <c r="A668" s="6185"/>
      <c r="B668" s="6688"/>
      <c r="C668" s="6682"/>
      <c r="D668" s="6695"/>
      <c r="E668" s="6704" t="s">
        <v>196</v>
      </c>
      <c r="F668" s="6705">
        <f t="array" ref="F668">IFERROR(VLOOKUP(E651,Dex!$B$3:$N1218,12,FALSE),"")</f>
        <v>80</v>
      </c>
      <c r="G668" s="6706" t="str">
        <f t="array" ref="G668">IFERROR(VLOOKUP(F668,Dex!$P$22:$Q$276,2,FALSE),"")</f>
        <v/>
      </c>
      <c r="H668" s="6707"/>
      <c r="I668" s="6700"/>
      <c r="J668" s="6704" t="s">
        <v>196</v>
      </c>
      <c r="K668" s="6705">
        <f t="array" ref="K668">IFERROR(VLOOKUP(J651,Dex!$B$3:$N1218,12,FALSE),"")</f>
        <v>70</v>
      </c>
      <c r="L668" s="6706" t="str">
        <f t="array" ref="L668">IFERROR(VLOOKUP(K668,Dex!$P$22:$Q$276,2,FALSE),"")</f>
        <v/>
      </c>
      <c r="M668" s="6707"/>
      <c r="N668" s="6700"/>
      <c r="O668" s="6704" t="s">
        <v>196</v>
      </c>
      <c r="P668" s="6705">
        <f t="array" ref="P668">IFERROR(VLOOKUP(O651,Dex!$B$3:$N1218,12,FALSE),"")</f>
        <v>65</v>
      </c>
      <c r="Q668" s="6706" t="str">
        <f t="array" ref="Q668">IFERROR(VLOOKUP(P668,Dex!$P$22:$Q$276,2,FALSE),"")</f>
        <v/>
      </c>
      <c r="R668" s="6707"/>
      <c r="S668" s="6701"/>
      <c r="T668" s="6704" t="s">
        <v>196</v>
      </c>
      <c r="U668" s="6705">
        <f t="array" ref="U668">IFERROR(VLOOKUP(T651,Dex!$B$3:$N1218,12,FALSE),"")</f>
        <v>80</v>
      </c>
      <c r="V668" s="6706" t="str">
        <f t="array" ref="V668">IFERROR(VLOOKUP(U668,Dex!$P$22:$Q$276,2,FALSE),"")</f>
        <v/>
      </c>
      <c r="W668" s="6707"/>
      <c r="X668" s="6702"/>
      <c r="Y668" s="6636"/>
      <c r="Z668" s="6637"/>
      <c r="AA668" s="6637"/>
      <c r="AB668" s="6638"/>
      <c r="AC668" s="6702"/>
      <c r="AD668" s="6636"/>
      <c r="AE668" s="6637"/>
      <c r="AF668" s="6637"/>
      <c r="AG668" s="6638"/>
      <c r="AH668" s="6703"/>
      <c r="AI668" s="6192"/>
    </row>
    <row r="669" ht="15.75" customHeight="1">
      <c r="A669" s="6185"/>
      <c r="B669" s="6688"/>
      <c r="C669" s="6682"/>
      <c r="D669" s="6695"/>
      <c r="E669" s="6708" t="s">
        <v>197</v>
      </c>
      <c r="F669" s="6709">
        <f t="array" ref="F669">IFERROR(VLOOKUP(E651,Dex!$B$3:$N1218,13,FALSE),"")</f>
        <v>65</v>
      </c>
      <c r="G669" s="6710" t="str">
        <f t="array" ref="G669">IFERROR(VLOOKUP(F669,Dex!$P$22:$Q$276,2,FALSE),"")</f>
        <v/>
      </c>
      <c r="H669" s="6711"/>
      <c r="I669" s="6700"/>
      <c r="J669" s="6708" t="s">
        <v>197</v>
      </c>
      <c r="K669" s="6709">
        <f t="array" ref="K669">IFERROR(VLOOKUP(J651,Dex!$B$3:$N1218,13,FALSE),"")</f>
        <v>97</v>
      </c>
      <c r="L669" s="6710" t="str">
        <f t="array" ref="L669">IFERROR(VLOOKUP(K669,Dex!$P$22:$Q$276,2,FALSE),"")</f>
        <v/>
      </c>
      <c r="M669" s="6711">
        <v>252.0</v>
      </c>
      <c r="N669" s="6700"/>
      <c r="O669" s="6708" t="s">
        <v>197</v>
      </c>
      <c r="P669" s="6709">
        <f t="array" ref="P669">IFERROR(VLOOKUP(O651,Dex!$B$3:$N1218,13,FALSE),"")</f>
        <v>45</v>
      </c>
      <c r="Q669" s="6710" t="str">
        <f t="array" ref="Q669">IFERROR(VLOOKUP(P669,Dex!$P$22:$Q$276,2,FALSE),"")</f>
        <v/>
      </c>
      <c r="R669" s="6711"/>
      <c r="S669" s="6701"/>
      <c r="T669" s="6708" t="s">
        <v>197</v>
      </c>
      <c r="U669" s="6709">
        <f t="array" ref="U669">IFERROR(VLOOKUP(T651,Dex!$B$3:$N1218,13,FALSE),"")</f>
        <v>135</v>
      </c>
      <c r="V669" s="6710" t="str">
        <f t="array" ref="V669">IFERROR(VLOOKUP(U669,Dex!$P$22:$Q$276,2,FALSE),"")</f>
        <v/>
      </c>
      <c r="W669" s="6711">
        <v>252.0</v>
      </c>
      <c r="X669" s="6702"/>
      <c r="Y669" s="6636"/>
      <c r="Z669" s="6637"/>
      <c r="AA669" s="6637"/>
      <c r="AB669" s="6638"/>
      <c r="AC669" s="6702"/>
      <c r="AD669" s="6636"/>
      <c r="AE669" s="6637"/>
      <c r="AF669" s="6637"/>
      <c r="AG669" s="6638"/>
      <c r="AH669" s="6703"/>
      <c r="AI669" s="6192"/>
    </row>
    <row r="670" ht="16.5" customHeight="1">
      <c r="A670" s="6185"/>
      <c r="B670" s="6688"/>
      <c r="C670" s="6682"/>
      <c r="D670" s="6689"/>
      <c r="E670" s="6712" t="s">
        <v>198</v>
      </c>
      <c r="F670" s="405"/>
      <c r="G670" s="406"/>
      <c r="H670" s="6713">
        <v>166.0</v>
      </c>
      <c r="I670" s="6689"/>
      <c r="J670" s="6712" t="s">
        <v>198</v>
      </c>
      <c r="K670" s="405"/>
      <c r="L670" s="406"/>
      <c r="M670" s="6713">
        <v>319.0</v>
      </c>
      <c r="N670" s="6689"/>
      <c r="O670" s="6712" t="s">
        <v>198</v>
      </c>
      <c r="P670" s="405"/>
      <c r="Q670" s="406"/>
      <c r="R670" s="6713">
        <v>124.0</v>
      </c>
      <c r="S670" s="6692"/>
      <c r="T670" s="6712" t="s">
        <v>198</v>
      </c>
      <c r="U670" s="405"/>
      <c r="V670" s="406"/>
      <c r="W670" s="6713">
        <v>405.0</v>
      </c>
      <c r="X670" s="6693"/>
      <c r="Y670" s="6636"/>
      <c r="Z670" s="6637"/>
      <c r="AA670" s="6637"/>
      <c r="AB670" s="6638"/>
      <c r="AC670" s="6693"/>
      <c r="AD670" s="6636"/>
      <c r="AE670" s="6637"/>
      <c r="AF670" s="6637"/>
      <c r="AG670" s="6638"/>
      <c r="AH670" s="6694"/>
      <c r="AI670" s="6192"/>
    </row>
    <row r="671" ht="15.0" customHeight="1">
      <c r="A671" s="6185"/>
      <c r="B671" s="6714"/>
      <c r="C671" s="6715"/>
      <c r="D671" s="6716"/>
      <c r="E671" s="6717"/>
      <c r="F671" s="6717"/>
      <c r="G671" s="6717"/>
      <c r="H671" s="6715"/>
      <c r="I671" s="6716"/>
      <c r="J671" s="6717"/>
      <c r="K671" s="6717"/>
      <c r="L671" s="6717"/>
      <c r="M671" s="6715"/>
      <c r="N671" s="6716"/>
      <c r="O671" s="6717"/>
      <c r="P671" s="6717"/>
      <c r="Q671" s="6717"/>
      <c r="R671" s="6715"/>
      <c r="S671" s="6718"/>
      <c r="T671" s="6717"/>
      <c r="U671" s="6717"/>
      <c r="V671" s="6717"/>
      <c r="W671" s="6715"/>
      <c r="X671" s="6719"/>
      <c r="Y671" s="6715"/>
      <c r="Z671" s="6715"/>
      <c r="AA671" s="6715"/>
      <c r="AB671" s="6715"/>
      <c r="AC671" s="6719"/>
      <c r="AD671" s="6715"/>
      <c r="AE671" s="6715"/>
      <c r="AF671" s="6715"/>
      <c r="AG671" s="6715"/>
      <c r="AH671" s="6720"/>
      <c r="AI671" s="6192"/>
    </row>
    <row r="672" ht="15.0" customHeight="1">
      <c r="A672" s="6185"/>
      <c r="B672" s="6625"/>
      <c r="C672" s="6626"/>
      <c r="D672" s="6627"/>
      <c r="E672" s="6721"/>
      <c r="F672" s="6721"/>
      <c r="G672" s="6721"/>
      <c r="H672" s="6721"/>
      <c r="I672" s="6628"/>
      <c r="J672" s="6721"/>
      <c r="K672" s="6721"/>
      <c r="L672" s="6721"/>
      <c r="M672" s="6721"/>
      <c r="N672" s="6628"/>
      <c r="O672" s="6721"/>
      <c r="P672" s="6721"/>
      <c r="Q672" s="6721"/>
      <c r="R672" s="6721"/>
      <c r="S672" s="6628"/>
      <c r="T672" s="6721"/>
      <c r="U672" s="6721"/>
      <c r="V672" s="6721"/>
      <c r="W672" s="6721"/>
      <c r="X672" s="6628"/>
      <c r="Y672" s="6628"/>
      <c r="Z672" s="6628"/>
      <c r="AA672" s="6628"/>
      <c r="AB672" s="6628"/>
      <c r="AC672" s="6628"/>
      <c r="AD672" s="6628"/>
      <c r="AE672" s="6628"/>
      <c r="AF672" s="6628"/>
      <c r="AG672" s="6628"/>
      <c r="AH672" s="6629"/>
      <c r="AI672" s="6192"/>
    </row>
    <row r="673" ht="96.75" customHeight="1">
      <c r="A673" s="6125"/>
      <c r="B673" s="6630"/>
      <c r="C673" s="6631" t="str">
        <f>IMAGE("https://i.ibb.co/3vV7Cw8/Ranger.png")</f>
        <v/>
      </c>
      <c r="D673" s="6722"/>
      <c r="E673" s="6633" t="str">
        <f t="array" ref="E673">IFERROR(VLOOKUP(E674,Dex!$B$3:$G1218,3,FALSE),"")</f>
        <v/>
      </c>
      <c r="F673" s="1830"/>
      <c r="G673" s="1830"/>
      <c r="H673" s="1831"/>
      <c r="I673" s="6723"/>
      <c r="J673" s="6633" t="str">
        <f t="array" ref="J673">IFERROR(VLOOKUP(J674,Dex!$B$3:$G1218,3,FALSE),"")</f>
        <v/>
      </c>
      <c r="K673" s="1830"/>
      <c r="L673" s="1830"/>
      <c r="M673" s="1831"/>
      <c r="N673" s="6723"/>
      <c r="O673" s="6633" t="str">
        <f t="array" ref="O673">IFERROR(VLOOKUP(O674,Dex!$B$3:$G1218,3,FALSE),"")</f>
        <v/>
      </c>
      <c r="P673" s="1830"/>
      <c r="Q673" s="1830"/>
      <c r="R673" s="1831"/>
      <c r="S673" s="6723"/>
      <c r="T673" s="6633" t="str">
        <f t="array" ref="T673">IFERROR(VLOOKUP(T674,Dex!$B$3:$G1218,3,FALSE),"")</f>
        <v/>
      </c>
      <c r="U673" s="1830"/>
      <c r="V673" s="1830"/>
      <c r="W673" s="1831"/>
      <c r="X673" s="6724"/>
      <c r="Y673" s="6636"/>
      <c r="Z673" s="6637"/>
      <c r="AA673" s="6637"/>
      <c r="AB673" s="6638"/>
      <c r="AC673" s="6635"/>
      <c r="AD673" s="6636"/>
      <c r="AE673" s="6637"/>
      <c r="AF673" s="6637"/>
      <c r="AG673" s="6638"/>
      <c r="AH673" s="6639"/>
      <c r="AI673" s="6129"/>
    </row>
    <row r="674" ht="18.75" customHeight="1">
      <c r="A674" s="6140"/>
      <c r="B674" s="6640"/>
      <c r="C674" s="6641" t="s">
        <v>1711</v>
      </c>
      <c r="D674" s="6725"/>
      <c r="E674" s="6643" t="s">
        <v>1096</v>
      </c>
      <c r="F674" s="6644"/>
      <c r="G674" s="6644"/>
      <c r="H674" s="6645"/>
      <c r="I674" s="6723"/>
      <c r="J674" s="6643" t="s">
        <v>418</v>
      </c>
      <c r="K674" s="6644"/>
      <c r="L674" s="6644"/>
      <c r="M674" s="6645"/>
      <c r="N674" s="6723"/>
      <c r="O674" s="6643" t="s">
        <v>1131</v>
      </c>
      <c r="P674" s="6644"/>
      <c r="Q674" s="6644"/>
      <c r="R674" s="6645"/>
      <c r="S674" s="6723"/>
      <c r="T674" s="6643" t="s">
        <v>1302</v>
      </c>
      <c r="U674" s="6644"/>
      <c r="V674" s="6644"/>
      <c r="W674" s="6645"/>
      <c r="X674" s="6726"/>
      <c r="Y674" s="6646"/>
      <c r="Z674" s="6637"/>
      <c r="AA674" s="6637"/>
      <c r="AB674" s="6638"/>
      <c r="AC674" s="6634"/>
      <c r="AD674" s="6646"/>
      <c r="AE674" s="6637"/>
      <c r="AF674" s="6637"/>
      <c r="AG674" s="6638"/>
      <c r="AH674" s="6647"/>
      <c r="AI674" s="6149"/>
    </row>
    <row r="675">
      <c r="A675" s="6125"/>
      <c r="B675" s="6630"/>
      <c r="C675" s="1481"/>
      <c r="D675" s="6727"/>
      <c r="E675" s="6649" t="s">
        <v>1502</v>
      </c>
      <c r="F675" s="6650"/>
      <c r="G675" s="6650"/>
      <c r="H675" s="6651"/>
      <c r="I675" s="6723"/>
      <c r="J675" s="6649" t="s">
        <v>1623</v>
      </c>
      <c r="K675" s="6650"/>
      <c r="L675" s="6650"/>
      <c r="M675" s="6651"/>
      <c r="N675" s="6723"/>
      <c r="O675" s="6649" t="s">
        <v>1502</v>
      </c>
      <c r="P675" s="6650"/>
      <c r="Q675" s="6650"/>
      <c r="R675" s="6651"/>
      <c r="S675" s="6723"/>
      <c r="T675" s="6649" t="s">
        <v>1502</v>
      </c>
      <c r="U675" s="6650"/>
      <c r="V675" s="6650"/>
      <c r="W675" s="6651"/>
      <c r="X675" s="6724"/>
      <c r="Y675" s="6636"/>
      <c r="Z675" s="6637"/>
      <c r="AA675" s="6637"/>
      <c r="AB675" s="6638"/>
      <c r="AC675" s="6635"/>
      <c r="AD675" s="6636"/>
      <c r="AE675" s="6637"/>
      <c r="AF675" s="6637"/>
      <c r="AG675" s="6638"/>
      <c r="AH675" s="6639"/>
      <c r="AI675" s="6129"/>
    </row>
    <row r="676" ht="25.5" customHeight="1">
      <c r="A676" s="6125"/>
      <c r="B676" s="6630"/>
      <c r="C676" s="1489"/>
      <c r="D676" s="6635"/>
      <c r="E676" s="6652"/>
      <c r="F676" s="6653" t="str">
        <f t="array" ref="F676">IFERROR(VLOOKUP(E674,Dex!$B$3:$H1218,5,FALSE),"")</f>
        <v/>
      </c>
      <c r="G676" s="6654" t="str">
        <f t="array" ref="G676">IFERROR(VLOOKUP(E674,Dex!$B$3:$H1218,7,FALSE),"")</f>
        <v/>
      </c>
      <c r="H676" s="6655"/>
      <c r="I676" s="6634"/>
      <c r="J676" s="6652"/>
      <c r="K676" s="6653" t="str">
        <f t="array" ref="K676">IFERROR(VLOOKUP(J674,Dex!$B$3:$H1218,5,FALSE),"")</f>
        <v/>
      </c>
      <c r="L676" s="6654" t="str">
        <f t="array" ref="L676">IFERROR(VLOOKUP(J674,Dex!$B$3:$H1218,7,FALSE),"")</f>
        <v/>
      </c>
      <c r="M676" s="6655"/>
      <c r="N676" s="6634"/>
      <c r="O676" s="6652"/>
      <c r="P676" s="6653" t="str">
        <f t="array" ref="P676">IFERROR(VLOOKUP(O674,Dex!$B$3:$H1218,5,FALSE),"")</f>
        <v/>
      </c>
      <c r="Q676" s="6654" t="str">
        <f t="array" ref="Q676">IFERROR(VLOOKUP(O674,Dex!$B$3:$H1218,7,FALSE),"")</f>
        <v/>
      </c>
      <c r="R676" s="6655"/>
      <c r="S676" s="6634"/>
      <c r="T676" s="6652"/>
      <c r="U676" s="6656" t="str">
        <f t="array" ref="U676">IFERROR(VLOOKUP(T674,Dex!$B$3:$H1218,5,FALSE),"")</f>
        <v/>
      </c>
      <c r="V676" s="6657"/>
      <c r="W676" s="6655"/>
      <c r="X676" s="6635"/>
      <c r="Y676" s="6636"/>
      <c r="Z676" s="6637"/>
      <c r="AA676" s="6637"/>
      <c r="AB676" s="6638"/>
      <c r="AC676" s="6635"/>
      <c r="AD676" s="6636"/>
      <c r="AE676" s="6637"/>
      <c r="AF676" s="6637"/>
      <c r="AG676" s="6638"/>
      <c r="AH676" s="6639"/>
      <c r="AI676" s="6129"/>
    </row>
    <row r="677" ht="2.25" customHeight="1">
      <c r="A677" s="6125"/>
      <c r="B677" s="6630"/>
      <c r="C677" s="6658"/>
      <c r="D677" s="6635"/>
      <c r="E677" s="6659"/>
      <c r="F677" s="6660"/>
      <c r="G677" s="6660"/>
      <c r="H677" s="6661"/>
      <c r="I677" s="6634"/>
      <c r="J677" s="6659"/>
      <c r="K677" s="6660"/>
      <c r="L677" s="6660"/>
      <c r="M677" s="6661"/>
      <c r="N677" s="6634"/>
      <c r="O677" s="6659"/>
      <c r="P677" s="6660"/>
      <c r="Q677" s="6660"/>
      <c r="R677" s="6661"/>
      <c r="S677" s="6634"/>
      <c r="T677" s="6659"/>
      <c r="U677" s="6660"/>
      <c r="V677" s="6660"/>
      <c r="W677" s="6661"/>
      <c r="X677" s="6635"/>
      <c r="Y677" s="6635"/>
      <c r="Z677" s="6635"/>
      <c r="AA677" s="6635"/>
      <c r="AB677" s="6635"/>
      <c r="AC677" s="6635"/>
      <c r="AD677" s="6635"/>
      <c r="AE677" s="6635"/>
      <c r="AF677" s="6635"/>
      <c r="AG677" s="6635"/>
      <c r="AH677" s="6639"/>
      <c r="AI677" s="6129"/>
    </row>
    <row r="678" ht="20.25" customHeight="1">
      <c r="A678" s="6125"/>
      <c r="B678" s="6630"/>
      <c r="C678" s="6658"/>
      <c r="D678" s="6636"/>
      <c r="E678" s="6662" t="s">
        <v>205</v>
      </c>
      <c r="F678" s="6663"/>
      <c r="G678" s="6663"/>
      <c r="H678" s="6664"/>
      <c r="I678" s="6723"/>
      <c r="J678" s="6662" t="s">
        <v>172</v>
      </c>
      <c r="K678" s="6663"/>
      <c r="L678" s="6663"/>
      <c r="M678" s="6664"/>
      <c r="N678" s="6723"/>
      <c r="O678" s="6662" t="s">
        <v>172</v>
      </c>
      <c r="P678" s="6663"/>
      <c r="Q678" s="6663"/>
      <c r="R678" s="6664"/>
      <c r="S678" s="6723"/>
      <c r="T678" s="6662" t="s">
        <v>172</v>
      </c>
      <c r="U678" s="6663"/>
      <c r="V678" s="6663"/>
      <c r="W678" s="6664"/>
      <c r="X678" s="6724"/>
      <c r="Y678" s="6636"/>
      <c r="Z678" s="6637"/>
      <c r="AA678" s="6637"/>
      <c r="AB678" s="6638"/>
      <c r="AC678" s="6635"/>
      <c r="AD678" s="6636"/>
      <c r="AE678" s="6637"/>
      <c r="AF678" s="6637"/>
      <c r="AG678" s="6638"/>
      <c r="AH678" s="6639"/>
      <c r="AI678" s="6129"/>
    </row>
    <row r="679">
      <c r="A679" s="6125"/>
      <c r="B679" s="6630"/>
      <c r="C679" s="6658"/>
      <c r="D679" s="6636"/>
      <c r="E679" s="6665" t="s">
        <v>518</v>
      </c>
      <c r="F679" s="6637"/>
      <c r="G679" s="6637"/>
      <c r="H679" s="6666"/>
      <c r="I679" s="6723"/>
      <c r="J679" s="6665" t="s">
        <v>424</v>
      </c>
      <c r="K679" s="6637"/>
      <c r="L679" s="6637"/>
      <c r="M679" s="6666"/>
      <c r="N679" s="6723"/>
      <c r="O679" s="6675" t="s">
        <v>1712</v>
      </c>
      <c r="P679" s="6637"/>
      <c r="Q679" s="6637"/>
      <c r="R679" s="6666"/>
      <c r="S679" s="6723"/>
      <c r="T679" s="6665" t="s">
        <v>329</v>
      </c>
      <c r="U679" s="6637"/>
      <c r="V679" s="6637"/>
      <c r="W679" s="6666"/>
      <c r="X679" s="6724"/>
      <c r="Y679" s="6636"/>
      <c r="Z679" s="6637"/>
      <c r="AA679" s="6637"/>
      <c r="AB679" s="6638"/>
      <c r="AC679" s="6635"/>
      <c r="AD679" s="6636"/>
      <c r="AE679" s="6637"/>
      <c r="AF679" s="6637"/>
      <c r="AG679" s="6638"/>
      <c r="AH679" s="6639"/>
      <c r="AI679" s="6129"/>
    </row>
    <row r="680" ht="20.25" customHeight="1">
      <c r="A680" s="6125"/>
      <c r="B680" s="6630"/>
      <c r="C680" s="6658"/>
      <c r="D680" s="6636"/>
      <c r="E680" s="6668" t="s">
        <v>334</v>
      </c>
      <c r="F680" s="6669"/>
      <c r="G680" s="6670"/>
      <c r="H680" s="6671" t="str">
        <f>IMAGE("https://raw.githubusercontent.com/msikma/pokesprite/master/items/hold-item/choice-specs.png",3)</f>
        <v/>
      </c>
      <c r="I680" s="6646"/>
      <c r="J680" s="6668" t="s">
        <v>1246</v>
      </c>
      <c r="K680" s="6669"/>
      <c r="L680" s="6670"/>
      <c r="M680" s="6671" t="str">
        <f>IMAGE("https://raw.githubusercontent.com/msikma/pokesprite/master/items/hold-item/hard-stone.png",3)</f>
        <v/>
      </c>
      <c r="N680" s="6646"/>
      <c r="O680" s="6668" t="s">
        <v>1135</v>
      </c>
      <c r="P680" s="6669"/>
      <c r="Q680" s="6670"/>
      <c r="R680" s="6671" t="str">
        <f>IMAGE("https://raw.githubusercontent.com/msikma/pokesprite/master/items/mega-stone/altarianite.png",3)</f>
        <v/>
      </c>
      <c r="S680" s="6646"/>
      <c r="T680" s="6668" t="s">
        <v>272</v>
      </c>
      <c r="U680" s="6669"/>
      <c r="V680" s="6670"/>
      <c r="W680" s="6671" t="str">
        <f>IMAGE("https://raw.githubusercontent.com/msikma/pokesprite/master/items/hold-item/life-orb.png",3)</f>
        <v/>
      </c>
      <c r="X680" s="6635"/>
      <c r="Y680" s="6636"/>
      <c r="Z680" s="6637"/>
      <c r="AA680" s="6637"/>
      <c r="AB680" s="6638"/>
      <c r="AC680" s="6635"/>
      <c r="AD680" s="6636"/>
      <c r="AE680" s="6637"/>
      <c r="AF680" s="6637"/>
      <c r="AG680" s="6638"/>
      <c r="AH680" s="6639"/>
      <c r="AI680" s="6129"/>
    </row>
    <row r="681" ht="20.25" customHeight="1">
      <c r="A681" s="6125"/>
      <c r="B681" s="6630"/>
      <c r="C681" s="6658"/>
      <c r="D681" s="6636"/>
      <c r="E681" s="6662" t="s">
        <v>247</v>
      </c>
      <c r="F681" s="6663"/>
      <c r="G681" s="6672"/>
      <c r="H681" s="6673" t="str">
        <f>IMAGE("https://raw.githubusercontent.com/msikma/pokesprite/master/misc/types/gen8/bug.png",4,20,20)</f>
        <v/>
      </c>
      <c r="I681" s="6646"/>
      <c r="J681" s="6662" t="s">
        <v>431</v>
      </c>
      <c r="K681" s="6663"/>
      <c r="L681" s="6672"/>
      <c r="M681" s="6673" t="str">
        <f>IMAGE("https://raw.githubusercontent.com/msikma/pokesprite/master/misc/types/gen8/rock.png",4,20,20)</f>
        <v/>
      </c>
      <c r="N681" s="6646"/>
      <c r="O681" s="6662" t="s">
        <v>396</v>
      </c>
      <c r="P681" s="6663"/>
      <c r="Q681" s="6672"/>
      <c r="R681" s="6673" t="str">
        <f>IMAGE("https://raw.githubusercontent.com/msikma/pokesprite/master/misc/types/gen8/dragon.png",4,20,20)</f>
        <v/>
      </c>
      <c r="S681" s="6646"/>
      <c r="T681" s="6662" t="s">
        <v>346</v>
      </c>
      <c r="U681" s="6663"/>
      <c r="V681" s="6672"/>
      <c r="W681" s="6673" t="str">
        <f t="shared" ref="W681:W682" si="25">IMAGE("https://raw.githubusercontent.com/msikma/pokesprite/master/misc/types/gen8/water.png",4,20,20)</f>
        <v/>
      </c>
      <c r="X681" s="6635"/>
      <c r="Y681" s="6636"/>
      <c r="Z681" s="6637"/>
      <c r="AA681" s="6637"/>
      <c r="AB681" s="6638"/>
      <c r="AC681" s="6635"/>
      <c r="AD681" s="6636"/>
      <c r="AE681" s="6637"/>
      <c r="AF681" s="6637"/>
      <c r="AG681" s="6638"/>
      <c r="AH681" s="6639"/>
      <c r="AI681" s="6129"/>
    </row>
    <row r="682" ht="20.25" customHeight="1">
      <c r="A682" s="6125"/>
      <c r="B682" s="6630"/>
      <c r="C682" s="6674"/>
      <c r="D682" s="6636"/>
      <c r="E682" s="6675" t="s">
        <v>374</v>
      </c>
      <c r="F682" s="6637"/>
      <c r="G682" s="6638"/>
      <c r="H682" s="6676" t="str">
        <f>IMAGE("https://raw.githubusercontent.com/msikma/pokesprite/master/misc/types/gen8/flying.png",4,20,20)</f>
        <v/>
      </c>
      <c r="I682" s="6646"/>
      <c r="J682" s="6675" t="s">
        <v>378</v>
      </c>
      <c r="K682" s="6637"/>
      <c r="L682" s="6638"/>
      <c r="M682" s="6676" t="str">
        <f>IMAGE("https://raw.githubusercontent.com/msikma/pokesprite/master/misc/types/gen8/fire.png",4,20,20)</f>
        <v/>
      </c>
      <c r="N682" s="6646"/>
      <c r="O682" s="6675" t="s">
        <v>1148</v>
      </c>
      <c r="P682" s="6637"/>
      <c r="Q682" s="6638"/>
      <c r="R682" s="6676" t="str">
        <f>IMAGE("https://raw.githubusercontent.com/msikma/pokesprite/master/misc/types/gen8/fairy.png",4,20,20)</f>
        <v/>
      </c>
      <c r="S682" s="6646"/>
      <c r="T682" s="6675" t="s">
        <v>735</v>
      </c>
      <c r="U682" s="6637"/>
      <c r="V682" s="6638"/>
      <c r="W682" s="6676" t="str">
        <f t="shared" si="25"/>
        <v/>
      </c>
      <c r="X682" s="6635"/>
      <c r="Y682" s="6636"/>
      <c r="Z682" s="6637"/>
      <c r="AA682" s="6637"/>
      <c r="AB682" s="6638"/>
      <c r="AC682" s="6635"/>
      <c r="AD682" s="6636"/>
      <c r="AE682" s="6637"/>
      <c r="AF682" s="6637"/>
      <c r="AG682" s="6638"/>
      <c r="AH682" s="6639"/>
      <c r="AI682" s="6129"/>
    </row>
    <row r="683" ht="20.25" customHeight="1">
      <c r="A683" s="6125"/>
      <c r="B683" s="6630"/>
      <c r="C683" s="6674"/>
      <c r="D683" s="6636"/>
      <c r="E683" s="6665" t="s">
        <v>278</v>
      </c>
      <c r="F683" s="6637"/>
      <c r="G683" s="6638"/>
      <c r="H683" s="6676" t="str">
        <f>IMAGE("https://raw.githubusercontent.com/msikma/pokesprite/master/misc/types/gen8/bug.png",4,20,20)</f>
        <v/>
      </c>
      <c r="I683" s="6646"/>
      <c r="J683" s="6665" t="s">
        <v>1125</v>
      </c>
      <c r="K683" s="6637"/>
      <c r="L683" s="6638"/>
      <c r="M683" s="6676" t="str">
        <f>IMAGE("https://raw.githubusercontent.com/msikma/pokesprite/master/misc/types/gen8/rock.png",4,20,20)</f>
        <v/>
      </c>
      <c r="N683" s="6646"/>
      <c r="O683" s="6665" t="s">
        <v>402</v>
      </c>
      <c r="P683" s="6637"/>
      <c r="Q683" s="6638"/>
      <c r="R683" s="6676" t="str">
        <f>IMAGE("https://raw.githubusercontent.com/msikma/pokesprite/master/misc/types/gen8/ground.png",4,20,20)</f>
        <v/>
      </c>
      <c r="S683" s="6646"/>
      <c r="T683" s="6665" t="s">
        <v>320</v>
      </c>
      <c r="U683" s="6637"/>
      <c r="V683" s="6638"/>
      <c r="W683" s="6676" t="str">
        <f>IMAGE("https://raw.githubusercontent.com/msikma/pokesprite/master/misc/types/gen8/dark.png",4,20,20)</f>
        <v/>
      </c>
      <c r="X683" s="6635"/>
      <c r="Y683" s="6636"/>
      <c r="Z683" s="6637"/>
      <c r="AA683" s="6637"/>
      <c r="AB683" s="6638"/>
      <c r="AC683" s="6635"/>
      <c r="AD683" s="6636"/>
      <c r="AE683" s="6637"/>
      <c r="AF683" s="6637"/>
      <c r="AG683" s="6638"/>
      <c r="AH683" s="6639"/>
      <c r="AI683" s="6129"/>
    </row>
    <row r="684" ht="21.0" customHeight="1">
      <c r="A684" s="6125"/>
      <c r="B684" s="6630"/>
      <c r="C684" s="6674"/>
      <c r="D684" s="6636"/>
      <c r="E684" s="6677" t="s">
        <v>275</v>
      </c>
      <c r="F684" s="6678"/>
      <c r="G684" s="6679"/>
      <c r="H684" s="6680" t="str">
        <f>IMAGE("https://raw.githubusercontent.com/msikma/pokesprite/master/misc/types/gen8/grass.png",4,20,20)</f>
        <v/>
      </c>
      <c r="I684" s="6646"/>
      <c r="J684" s="6677" t="s">
        <v>316</v>
      </c>
      <c r="K684" s="6678"/>
      <c r="L684" s="6679"/>
      <c r="M684" s="6680" t="str">
        <f>IMAGE("https://raw.githubusercontent.com/msikma/pokesprite/master/misc/types/gen8/fighting.png",4,20,20)</f>
        <v/>
      </c>
      <c r="N684" s="6646"/>
      <c r="O684" s="6677" t="s">
        <v>251</v>
      </c>
      <c r="P684" s="6678"/>
      <c r="Q684" s="6679"/>
      <c r="R684" s="6680" t="str">
        <f>IMAGE("https://raw.githubusercontent.com/msikma/pokesprite/master/misc/types/gen8/flying.png",4,20,20)</f>
        <v/>
      </c>
      <c r="S684" s="6646"/>
      <c r="T684" s="6677" t="s">
        <v>215</v>
      </c>
      <c r="U684" s="6678"/>
      <c r="V684" s="6679"/>
      <c r="W684" s="6680" t="str">
        <f>IMAGE("https://raw.githubusercontent.com/msikma/pokesprite/master/misc/types/gen8/ice.png",4,20,20)</f>
        <v/>
      </c>
      <c r="X684" s="6635"/>
      <c r="Y684" s="6636"/>
      <c r="Z684" s="6637"/>
      <c r="AA684" s="6637"/>
      <c r="AB684" s="6638"/>
      <c r="AC684" s="6635"/>
      <c r="AD684" s="6636"/>
      <c r="AE684" s="6637"/>
      <c r="AF684" s="6637"/>
      <c r="AG684" s="6638"/>
      <c r="AH684" s="6639"/>
      <c r="AI684" s="6129"/>
    </row>
    <row r="685" ht="3.0" customHeight="1">
      <c r="A685" s="6185"/>
      <c r="B685" s="6681"/>
      <c r="C685" s="6682"/>
      <c r="D685" s="6683"/>
      <c r="E685" s="6728"/>
      <c r="F685" s="6728"/>
      <c r="G685" s="6728"/>
      <c r="H685" s="6683"/>
      <c r="I685" s="6683"/>
      <c r="J685" s="6729"/>
      <c r="K685" s="6729"/>
      <c r="L685" s="6729"/>
      <c r="M685" s="6683"/>
      <c r="N685" s="6683"/>
      <c r="O685" s="6729"/>
      <c r="P685" s="6729"/>
      <c r="Q685" s="6729"/>
      <c r="R685" s="6683"/>
      <c r="S685" s="6683"/>
      <c r="T685" s="6729"/>
      <c r="U685" s="6729"/>
      <c r="V685" s="6729"/>
      <c r="W685" s="6683"/>
      <c r="X685" s="6683"/>
      <c r="Y685" s="6683"/>
      <c r="Z685" s="6685"/>
      <c r="AA685" s="6685"/>
      <c r="AB685" s="6686"/>
      <c r="AC685" s="6686"/>
      <c r="AD685" s="6686"/>
      <c r="AE685" s="6686"/>
      <c r="AF685" s="6686"/>
      <c r="AG685" s="6686"/>
      <c r="AH685" s="6687"/>
      <c r="AI685" s="6192"/>
    </row>
    <row r="686" ht="16.5" customHeight="1">
      <c r="A686" s="6185"/>
      <c r="B686" s="6688"/>
      <c r="C686" s="6682"/>
      <c r="D686" s="6695"/>
      <c r="E686" s="6690" t="s">
        <v>190</v>
      </c>
      <c r="F686" s="381"/>
      <c r="G686" s="382"/>
      <c r="H686" s="6691" t="s">
        <v>191</v>
      </c>
      <c r="I686" s="6689"/>
      <c r="J686" s="6690" t="s">
        <v>190</v>
      </c>
      <c r="K686" s="381"/>
      <c r="L686" s="382"/>
      <c r="M686" s="6691" t="s">
        <v>191</v>
      </c>
      <c r="N686" s="6689"/>
      <c r="O686" s="6690" t="s">
        <v>190</v>
      </c>
      <c r="P686" s="381"/>
      <c r="Q686" s="382"/>
      <c r="R686" s="6691" t="s">
        <v>191</v>
      </c>
      <c r="S686" s="6692"/>
      <c r="T686" s="6690" t="s">
        <v>190</v>
      </c>
      <c r="U686" s="381"/>
      <c r="V686" s="382"/>
      <c r="W686" s="6691" t="s">
        <v>191</v>
      </c>
      <c r="X686" s="6693"/>
      <c r="Y686" s="6636"/>
      <c r="Z686" s="6637"/>
      <c r="AA686" s="6637"/>
      <c r="AB686" s="6638"/>
      <c r="AC686" s="6693"/>
      <c r="AD686" s="6636"/>
      <c r="AE686" s="6637"/>
      <c r="AF686" s="6637"/>
      <c r="AG686" s="6638"/>
      <c r="AH686" s="6694"/>
      <c r="AI686" s="6192"/>
    </row>
    <row r="687" ht="15.75" customHeight="1">
      <c r="A687" s="6185"/>
      <c r="B687" s="6688"/>
      <c r="C687" s="6682"/>
      <c r="D687" s="6695"/>
      <c r="E687" s="6696" t="s">
        <v>192</v>
      </c>
      <c r="F687" s="6697">
        <f t="array" ref="F687">IFERROR(VLOOKUP(E674,Dex!$B$3:$N1218,8,FALSE),"")</f>
        <v>86</v>
      </c>
      <c r="G687" s="6698" t="str">
        <f t="array" ref="G687">IFERROR(VLOOKUP(F687,Dex!$P$22:$Q$276,2,FALSE),"")</f>
        <v/>
      </c>
      <c r="H687" s="6699"/>
      <c r="I687" s="6700"/>
      <c r="J687" s="6696" t="s">
        <v>192</v>
      </c>
      <c r="K687" s="6697">
        <f t="array" ref="K687">IFERROR(VLOOKUP(J674,Dex!$B$3:$N1218,8,FALSE),"")</f>
        <v>95</v>
      </c>
      <c r="L687" s="6698" t="str">
        <f t="array" ref="L687">IFERROR(VLOOKUP(K687,Dex!$P$22:$Q$276,2,FALSE),"")</f>
        <v/>
      </c>
      <c r="M687" s="6699"/>
      <c r="N687" s="6700"/>
      <c r="O687" s="6696" t="s">
        <v>192</v>
      </c>
      <c r="P687" s="6697">
        <f t="array" ref="P687">IFERROR(VLOOKUP(O674,Dex!$B$3:$N1218,8,FALSE),"")</f>
        <v>85</v>
      </c>
      <c r="Q687" s="6698" t="str">
        <f t="array" ref="Q687">IFERROR(VLOOKUP(P687,Dex!$P$22:$Q$276,2,FALSE),"")</f>
        <v/>
      </c>
      <c r="R687" s="6699"/>
      <c r="S687" s="6701"/>
      <c r="T687" s="6696" t="s">
        <v>192</v>
      </c>
      <c r="U687" s="6697">
        <f t="array" ref="U687">IFERROR(VLOOKUP(T674,Dex!$B$3:$N1218,8,FALSE),"")</f>
        <v>85</v>
      </c>
      <c r="V687" s="6698" t="str">
        <f t="array" ref="V687">IFERROR(VLOOKUP(U687,Dex!$P$22:$Q$276,2,FALSE),"")</f>
        <v/>
      </c>
      <c r="W687" s="6699"/>
      <c r="X687" s="6702"/>
      <c r="Y687" s="6636"/>
      <c r="Z687" s="6637"/>
      <c r="AA687" s="6637"/>
      <c r="AB687" s="6638"/>
      <c r="AC687" s="6702"/>
      <c r="AD687" s="6636"/>
      <c r="AE687" s="6637"/>
      <c r="AF687" s="6637"/>
      <c r="AG687" s="6638"/>
      <c r="AH687" s="6703"/>
      <c r="AI687" s="6192"/>
    </row>
    <row r="688" ht="15.75" customHeight="1">
      <c r="A688" s="6185"/>
      <c r="B688" s="6688"/>
      <c r="C688" s="6682"/>
      <c r="D688" s="6695"/>
      <c r="E688" s="6704" t="s">
        <v>193</v>
      </c>
      <c r="F688" s="6705">
        <f t="array" ref="F688">IFERROR(VLOOKUP(E674,Dex!$B$3:$N1218,9,FALSE),"")</f>
        <v>76</v>
      </c>
      <c r="G688" s="6706" t="str">
        <f t="array" ref="G688">IFERROR(VLOOKUP(F688,Dex!$P$22:$Q$276,2,FALSE),"")</f>
        <v/>
      </c>
      <c r="H688" s="6707"/>
      <c r="I688" s="6700"/>
      <c r="J688" s="6704" t="s">
        <v>193</v>
      </c>
      <c r="K688" s="6705">
        <f t="array" ref="K688">IFERROR(VLOOKUP(J674,Dex!$B$3:$N1218,9,FALSE),"")</f>
        <v>125</v>
      </c>
      <c r="L688" s="6706" t="str">
        <f t="array" ref="L688">IFERROR(VLOOKUP(K688,Dex!$P$22:$Q$276,2,FALSE),"")</f>
        <v/>
      </c>
      <c r="M688" s="6707">
        <v>252.0</v>
      </c>
      <c r="N688" s="6700"/>
      <c r="O688" s="6704" t="s">
        <v>193</v>
      </c>
      <c r="P688" s="6705">
        <f t="array" ref="P688">IFERROR(VLOOKUP(O674,Dex!$B$3:$N1218,9,FALSE),"")</f>
        <v>110</v>
      </c>
      <c r="Q688" s="6706" t="str">
        <f t="array" ref="Q688">IFERROR(VLOOKUP(P688,Dex!$P$22:$Q$276,2,FALSE),"")</f>
        <v/>
      </c>
      <c r="R688" s="6707">
        <v>252.0</v>
      </c>
      <c r="S688" s="6701"/>
      <c r="T688" s="6704" t="s">
        <v>193</v>
      </c>
      <c r="U688" s="6705">
        <f t="array" ref="U688">IFERROR(VLOOKUP(T674,Dex!$B$3:$N1218,9,FALSE),"")</f>
        <v>105</v>
      </c>
      <c r="V688" s="6706" t="str">
        <f t="array" ref="V688">IFERROR(VLOOKUP(U688,Dex!$P$22:$Q$276,2,FALSE),"")</f>
        <v/>
      </c>
      <c r="W688" s="6707">
        <v>252.0</v>
      </c>
      <c r="X688" s="6702"/>
      <c r="Y688" s="6636"/>
      <c r="Z688" s="6637"/>
      <c r="AA688" s="6637"/>
      <c r="AB688" s="6638"/>
      <c r="AC688" s="6702"/>
      <c r="AD688" s="6636"/>
      <c r="AE688" s="6637"/>
      <c r="AF688" s="6637"/>
      <c r="AG688" s="6638"/>
      <c r="AH688" s="6703"/>
      <c r="AI688" s="6192"/>
    </row>
    <row r="689" ht="15.75" customHeight="1">
      <c r="A689" s="6185"/>
      <c r="B689" s="6688"/>
      <c r="C689" s="6682"/>
      <c r="D689" s="6695"/>
      <c r="E689" s="6704" t="s">
        <v>194</v>
      </c>
      <c r="F689" s="6705">
        <f t="array" ref="F689">IFERROR(VLOOKUP(E674,Dex!$B$3:$N1218,10,FALSE),"")</f>
        <v>86</v>
      </c>
      <c r="G689" s="6706" t="str">
        <f t="array" ref="G689">IFERROR(VLOOKUP(F689,Dex!$P$22:$Q$276,2,FALSE),"")</f>
        <v/>
      </c>
      <c r="H689" s="6707">
        <v>4.0</v>
      </c>
      <c r="I689" s="6700"/>
      <c r="J689" s="6704" t="s">
        <v>194</v>
      </c>
      <c r="K689" s="6705">
        <f t="array" ref="K689">IFERROR(VLOOKUP(J674,Dex!$B$3:$N1218,10,FALSE),"")</f>
        <v>80</v>
      </c>
      <c r="L689" s="6706" t="str">
        <f t="array" ref="L689">IFERROR(VLOOKUP(K689,Dex!$P$22:$Q$276,2,FALSE),"")</f>
        <v/>
      </c>
      <c r="M689" s="6707">
        <v>4.0</v>
      </c>
      <c r="N689" s="6700"/>
      <c r="O689" s="6704" t="s">
        <v>194</v>
      </c>
      <c r="P689" s="6705">
        <f t="array" ref="P689">IFERROR(VLOOKUP(O674,Dex!$B$3:$N1218,10,FALSE),"")</f>
        <v>110</v>
      </c>
      <c r="Q689" s="6706" t="str">
        <f t="array" ref="Q689">IFERROR(VLOOKUP(P689,Dex!$P$22:$Q$276,2,FALSE),"")</f>
        <v/>
      </c>
      <c r="R689" s="6707">
        <v>4.0</v>
      </c>
      <c r="S689" s="6701"/>
      <c r="T689" s="6704" t="s">
        <v>194</v>
      </c>
      <c r="U689" s="6705">
        <f t="array" ref="U689">IFERROR(VLOOKUP(T674,Dex!$B$3:$N1218,10,FALSE),"")</f>
        <v>100</v>
      </c>
      <c r="V689" s="6706" t="str">
        <f t="array" ref="V689">IFERROR(VLOOKUP(U689,Dex!$P$22:$Q$276,2,FALSE),"")</f>
        <v/>
      </c>
      <c r="W689" s="6707">
        <v>4.0</v>
      </c>
      <c r="X689" s="6702"/>
      <c r="Y689" s="6636"/>
      <c r="Z689" s="6637"/>
      <c r="AA689" s="6637"/>
      <c r="AB689" s="6638"/>
      <c r="AC689" s="6702"/>
      <c r="AD689" s="6636"/>
      <c r="AE689" s="6637"/>
      <c r="AF689" s="6637"/>
      <c r="AG689" s="6638"/>
      <c r="AH689" s="6703"/>
      <c r="AI689" s="6192"/>
    </row>
    <row r="690" ht="15.75" customHeight="1">
      <c r="A690" s="6185"/>
      <c r="B690" s="6688"/>
      <c r="C690" s="6682"/>
      <c r="D690" s="6695"/>
      <c r="E690" s="6704" t="s">
        <v>195</v>
      </c>
      <c r="F690" s="6705">
        <f t="array" ref="F690">IFERROR(VLOOKUP(E674,Dex!$B$3:$N1218,11,FALSE),"")</f>
        <v>116</v>
      </c>
      <c r="G690" s="6706" t="str">
        <f t="array" ref="G690">IFERROR(VLOOKUP(F690,Dex!$P$22:$Q$276,2,FALSE),"")</f>
        <v/>
      </c>
      <c r="H690" s="6707">
        <v>252.0</v>
      </c>
      <c r="I690" s="6700"/>
      <c r="J690" s="6704" t="s">
        <v>195</v>
      </c>
      <c r="K690" s="6705">
        <f t="array" ref="K690">IFERROR(VLOOKUP(J674,Dex!$B$3:$N1218,11,FALSE),"")</f>
        <v>85</v>
      </c>
      <c r="L690" s="6706" t="str">
        <f t="array" ref="L690">IFERROR(VLOOKUP(K690,Dex!$P$22:$Q$276,2,FALSE),"")</f>
        <v/>
      </c>
      <c r="M690" s="6707"/>
      <c r="N690" s="6700"/>
      <c r="O690" s="6704" t="s">
        <v>195</v>
      </c>
      <c r="P690" s="6705">
        <f t="array" ref="P690">IFERROR(VLOOKUP(O674,Dex!$B$3:$N1218,11,FALSE),"")</f>
        <v>110</v>
      </c>
      <c r="Q690" s="6706" t="str">
        <f t="array" ref="Q690">IFERROR(VLOOKUP(P690,Dex!$P$22:$Q$276,2,FALSE),"")</f>
        <v/>
      </c>
      <c r="R690" s="6707"/>
      <c r="S690" s="6701"/>
      <c r="T690" s="6704" t="s">
        <v>195</v>
      </c>
      <c r="U690" s="6705">
        <f t="array" ref="U690">IFERROR(VLOOKUP(T674,Dex!$B$3:$N1218,11,FALSE),"")</f>
        <v>79</v>
      </c>
      <c r="V690" s="6706" t="str">
        <f t="array" ref="V690">IFERROR(VLOOKUP(U690,Dex!$P$22:$Q$276,2,FALSE),"")</f>
        <v/>
      </c>
      <c r="W690" s="6707"/>
      <c r="X690" s="6702"/>
      <c r="Y690" s="6636"/>
      <c r="Z690" s="6637"/>
      <c r="AA690" s="6637"/>
      <c r="AB690" s="6638"/>
      <c r="AC690" s="6702"/>
      <c r="AD690" s="6636"/>
      <c r="AE690" s="6637"/>
      <c r="AF690" s="6637"/>
      <c r="AG690" s="6638"/>
      <c r="AH690" s="6703"/>
      <c r="AI690" s="6192"/>
    </row>
    <row r="691" ht="15.75" customHeight="1">
      <c r="A691" s="6185"/>
      <c r="B691" s="6688"/>
      <c r="C691" s="6682"/>
      <c r="D691" s="6695"/>
      <c r="E691" s="6704" t="s">
        <v>196</v>
      </c>
      <c r="F691" s="6705">
        <f t="array" ref="F691">IFERROR(VLOOKUP(E674,Dex!$B$3:$N1218,12,FALSE),"")</f>
        <v>56</v>
      </c>
      <c r="G691" s="6706" t="str">
        <f t="array" ref="G691">IFERROR(VLOOKUP(F691,Dex!$P$22:$Q$276,2,FALSE),"")</f>
        <v/>
      </c>
      <c r="H691" s="6707"/>
      <c r="I691" s="6700"/>
      <c r="J691" s="6704" t="s">
        <v>196</v>
      </c>
      <c r="K691" s="6705">
        <f t="array" ref="K691">IFERROR(VLOOKUP(J674,Dex!$B$3:$N1218,12,FALSE),"")</f>
        <v>80</v>
      </c>
      <c r="L691" s="6706" t="str">
        <f t="array" ref="L691">IFERROR(VLOOKUP(K691,Dex!$P$22:$Q$276,2,FALSE),"")</f>
        <v/>
      </c>
      <c r="M691" s="6707"/>
      <c r="N691" s="6700"/>
      <c r="O691" s="6704" t="s">
        <v>196</v>
      </c>
      <c r="P691" s="6705">
        <f t="array" ref="P691">IFERROR(VLOOKUP(O674,Dex!$B$3:$N1218,12,FALSE),"")</f>
        <v>105</v>
      </c>
      <c r="Q691" s="6706" t="str">
        <f t="array" ref="Q691">IFERROR(VLOOKUP(P691,Dex!$P$22:$Q$276,2,FALSE),"")</f>
        <v/>
      </c>
      <c r="R691" s="6707"/>
      <c r="S691" s="6701"/>
      <c r="T691" s="6704" t="s">
        <v>196</v>
      </c>
      <c r="U691" s="6705">
        <f t="array" ref="U691">IFERROR(VLOOKUP(T674,Dex!$B$3:$N1218,12,FALSE),"")</f>
        <v>83</v>
      </c>
      <c r="V691" s="6706" t="str">
        <f t="array" ref="V691">IFERROR(VLOOKUP(U691,Dex!$P$22:$Q$276,2,FALSE),"")</f>
        <v/>
      </c>
      <c r="W691" s="6707"/>
      <c r="X691" s="6702"/>
      <c r="Y691" s="6636"/>
      <c r="Z691" s="6637"/>
      <c r="AA691" s="6637"/>
      <c r="AB691" s="6638"/>
      <c r="AC691" s="6702"/>
      <c r="AD691" s="6636"/>
      <c r="AE691" s="6637"/>
      <c r="AF691" s="6637"/>
      <c r="AG691" s="6638"/>
      <c r="AH691" s="6703"/>
      <c r="AI691" s="6192"/>
    </row>
    <row r="692" ht="15.75" customHeight="1">
      <c r="A692" s="6185"/>
      <c r="B692" s="6688"/>
      <c r="C692" s="6682"/>
      <c r="D692" s="6695"/>
      <c r="E692" s="6708" t="s">
        <v>197</v>
      </c>
      <c r="F692" s="6709">
        <f t="array" ref="F692">IFERROR(VLOOKUP(E674,Dex!$B$3:$N1218,13,FALSE),"")</f>
        <v>95</v>
      </c>
      <c r="G692" s="6710" t="str">
        <f t="array" ref="G692">IFERROR(VLOOKUP(F692,Dex!$P$22:$Q$276,2,FALSE),"")</f>
        <v/>
      </c>
      <c r="H692" s="6711">
        <v>252.0</v>
      </c>
      <c r="I692" s="6700"/>
      <c r="J692" s="6708" t="s">
        <v>197</v>
      </c>
      <c r="K692" s="6709">
        <f t="array" ref="K692">IFERROR(VLOOKUP(J674,Dex!$B$3:$N1218,13,FALSE),"")</f>
        <v>90</v>
      </c>
      <c r="L692" s="6710" t="str">
        <f t="array" ref="L692">IFERROR(VLOOKUP(K692,Dex!$P$22:$Q$276,2,FALSE),"")</f>
        <v/>
      </c>
      <c r="M692" s="6711">
        <v>252.0</v>
      </c>
      <c r="N692" s="6700"/>
      <c r="O692" s="6708" t="s">
        <v>197</v>
      </c>
      <c r="P692" s="6709">
        <f t="array" ref="P692">IFERROR(VLOOKUP(O674,Dex!$B$3:$N1218,13,FALSE),"")</f>
        <v>80</v>
      </c>
      <c r="Q692" s="6710" t="str">
        <f t="array" ref="Q692">IFERROR(VLOOKUP(P692,Dex!$P$22:$Q$276,2,FALSE),"")</f>
        <v/>
      </c>
      <c r="R692" s="6711">
        <v>252.0</v>
      </c>
      <c r="S692" s="6701"/>
      <c r="T692" s="6708" t="s">
        <v>197</v>
      </c>
      <c r="U692" s="6709">
        <f t="array" ref="U692">IFERROR(VLOOKUP(T674,Dex!$B$3:$N1218,13,FALSE),"")</f>
        <v>78</v>
      </c>
      <c r="V692" s="6710" t="str">
        <f t="array" ref="V692">IFERROR(VLOOKUP(U692,Dex!$P$22:$Q$276,2,FALSE),"")</f>
        <v/>
      </c>
      <c r="W692" s="6711">
        <v>252.0</v>
      </c>
      <c r="X692" s="6702"/>
      <c r="Y692" s="6636"/>
      <c r="Z692" s="6637"/>
      <c r="AA692" s="6637"/>
      <c r="AB692" s="6638"/>
      <c r="AC692" s="6702"/>
      <c r="AD692" s="6636"/>
      <c r="AE692" s="6637"/>
      <c r="AF692" s="6637"/>
      <c r="AG692" s="6638"/>
      <c r="AH692" s="6703"/>
      <c r="AI692" s="6192"/>
    </row>
    <row r="693" ht="16.5" customHeight="1">
      <c r="A693" s="6185"/>
      <c r="B693" s="6688"/>
      <c r="C693" s="6682"/>
      <c r="D693" s="6695"/>
      <c r="E693" s="6712" t="s">
        <v>198</v>
      </c>
      <c r="F693" s="405"/>
      <c r="G693" s="406"/>
      <c r="H693" s="6713">
        <v>317.0</v>
      </c>
      <c r="I693" s="6689"/>
      <c r="J693" s="6712" t="s">
        <v>198</v>
      </c>
      <c r="K693" s="405"/>
      <c r="L693" s="406"/>
      <c r="M693" s="6713">
        <v>303.0</v>
      </c>
      <c r="N693" s="6689"/>
      <c r="O693" s="6712" t="s">
        <v>198</v>
      </c>
      <c r="P693" s="405"/>
      <c r="Q693" s="406"/>
      <c r="R693" s="6713">
        <v>284.0</v>
      </c>
      <c r="S693" s="6692"/>
      <c r="T693" s="6712" t="s">
        <v>198</v>
      </c>
      <c r="U693" s="405"/>
      <c r="V693" s="406"/>
      <c r="W693" s="6713">
        <v>280.0</v>
      </c>
      <c r="X693" s="6693"/>
      <c r="Y693" s="6636"/>
      <c r="Z693" s="6637"/>
      <c r="AA693" s="6637"/>
      <c r="AB693" s="6638"/>
      <c r="AC693" s="6693"/>
      <c r="AD693" s="6636"/>
      <c r="AE693" s="6637"/>
      <c r="AF693" s="6637"/>
      <c r="AG693" s="6638"/>
      <c r="AH693" s="6694"/>
      <c r="AI693" s="6192"/>
    </row>
    <row r="694" ht="15.0" customHeight="1">
      <c r="A694" s="6185"/>
      <c r="B694" s="6714"/>
      <c r="C694" s="6715"/>
      <c r="D694" s="6716"/>
      <c r="E694" s="6715"/>
      <c r="F694" s="6715"/>
      <c r="G694" s="6715"/>
      <c r="H694" s="6715"/>
      <c r="I694" s="6716"/>
      <c r="J694" s="6717"/>
      <c r="K694" s="6717"/>
      <c r="L694" s="6717"/>
      <c r="M694" s="6715"/>
      <c r="N694" s="6716"/>
      <c r="O694" s="6717"/>
      <c r="P694" s="6717"/>
      <c r="Q694" s="6717"/>
      <c r="R694" s="6715"/>
      <c r="S694" s="6718"/>
      <c r="T694" s="6717"/>
      <c r="U694" s="6717"/>
      <c r="V694" s="6717"/>
      <c r="W694" s="6715"/>
      <c r="X694" s="6719"/>
      <c r="Y694" s="6715"/>
      <c r="Z694" s="6715"/>
      <c r="AA694" s="6715"/>
      <c r="AB694" s="6715"/>
      <c r="AC694" s="6719"/>
      <c r="AD694" s="6715"/>
      <c r="AE694" s="6715"/>
      <c r="AF694" s="6715"/>
      <c r="AG694" s="6715"/>
      <c r="AH694" s="6720"/>
      <c r="AI694" s="6192"/>
    </row>
    <row r="695" ht="15.0" customHeight="1">
      <c r="A695" s="6185"/>
      <c r="B695" s="5433"/>
      <c r="C695" s="5434"/>
      <c r="D695" s="5434"/>
      <c r="E695" s="6538"/>
      <c r="F695" s="6538"/>
      <c r="G695" s="6538"/>
      <c r="H695" s="6538"/>
      <c r="I695" s="5434"/>
      <c r="J695" s="6538"/>
      <c r="K695" s="6538"/>
      <c r="L695" s="6538"/>
      <c r="M695" s="6538"/>
      <c r="N695" s="5434"/>
      <c r="O695" s="6539"/>
      <c r="P695" s="6539"/>
      <c r="Q695" s="6539"/>
      <c r="R695" s="6538"/>
      <c r="S695" s="5434"/>
      <c r="T695" s="6540"/>
      <c r="U695" s="6540"/>
      <c r="V695" s="6540"/>
      <c r="W695" s="6538"/>
      <c r="X695" s="5434"/>
      <c r="Y695" s="5436"/>
      <c r="Z695" s="5436"/>
      <c r="AA695" s="5436"/>
      <c r="AB695" s="5434"/>
      <c r="AC695" s="5434"/>
      <c r="AD695" s="6538"/>
      <c r="AE695" s="6538"/>
      <c r="AF695" s="6538"/>
      <c r="AG695" s="6538"/>
      <c r="AH695" s="5437"/>
      <c r="AI695" s="6192"/>
    </row>
    <row r="696" ht="96.75" customHeight="1">
      <c r="A696" s="6185"/>
      <c r="B696" s="5442"/>
      <c r="C696" s="6541" t="str">
        <f>IMAGE("https://i.ibb.co/3N39wW0/Crush-Girl.png")</f>
        <v/>
      </c>
      <c r="D696" s="5529"/>
      <c r="E696" s="6542" t="str">
        <f t="array" ref="E696">IFERROR(VLOOKUP(E697,Dex!$B$3:$G1218,3,FALSE),"")</f>
        <v/>
      </c>
      <c r="F696" s="1830"/>
      <c r="G696" s="1830"/>
      <c r="H696" s="1831"/>
      <c r="I696" s="5530"/>
      <c r="J696" s="6542" t="str">
        <f t="array" ref="J696">IFERROR(VLOOKUP(J697,Dex!$B$3:$G1218,3,FALSE),"")</f>
        <v/>
      </c>
      <c r="K696" s="1830"/>
      <c r="L696" s="1830"/>
      <c r="M696" s="1831"/>
      <c r="N696" s="5530"/>
      <c r="O696" s="6542" t="str">
        <f t="array" ref="O696">IFERROR(VLOOKUP(O697,Dex!$B$3:$G1218,3,FALSE),"")</f>
        <v/>
      </c>
      <c r="P696" s="1830"/>
      <c r="Q696" s="1830"/>
      <c r="R696" s="1831"/>
      <c r="S696" s="5530"/>
      <c r="T696" s="6542" t="str">
        <f t="array" ref="T696">IFERROR(VLOOKUP(T697,Dex!$B$3:$G1218,3,FALSE),"")</f>
        <v/>
      </c>
      <c r="U696" s="1830"/>
      <c r="V696" s="1830"/>
      <c r="W696" s="1831"/>
      <c r="X696" s="5530"/>
      <c r="Y696" s="6543"/>
      <c r="Z696" s="5477"/>
      <c r="AA696" s="5477"/>
      <c r="AB696" s="5487"/>
      <c r="AC696" s="5446"/>
      <c r="AD696" s="6543"/>
      <c r="AE696" s="5477"/>
      <c r="AF696" s="5477"/>
      <c r="AG696" s="5487"/>
      <c r="AH696" s="5447"/>
      <c r="AI696" s="6192"/>
    </row>
    <row r="697" ht="18.75" customHeight="1">
      <c r="A697" s="6185"/>
      <c r="B697" s="5442"/>
      <c r="C697" s="5448" t="s">
        <v>1713</v>
      </c>
      <c r="D697" s="5449"/>
      <c r="E697" s="5450" t="s">
        <v>548</v>
      </c>
      <c r="F697" s="5451"/>
      <c r="G697" s="5451"/>
      <c r="H697" s="5452"/>
      <c r="J697" s="5450" t="s">
        <v>1167</v>
      </c>
      <c r="K697" s="5451"/>
      <c r="L697" s="5451"/>
      <c r="M697" s="5452"/>
      <c r="O697" s="5450" t="s">
        <v>1112</v>
      </c>
      <c r="P697" s="5451"/>
      <c r="Q697" s="5451"/>
      <c r="R697" s="5452"/>
      <c r="T697" s="5450" t="s">
        <v>807</v>
      </c>
      <c r="U697" s="5451"/>
      <c r="V697" s="5451"/>
      <c r="W697" s="5452"/>
      <c r="Y697" s="6543"/>
      <c r="Z697" s="5477"/>
      <c r="AA697" s="5477"/>
      <c r="AB697" s="5487"/>
      <c r="AC697" s="5453"/>
      <c r="AD697" s="6543"/>
      <c r="AE697" s="5477"/>
      <c r="AF697" s="5477"/>
      <c r="AG697" s="5487"/>
      <c r="AH697" s="5447"/>
      <c r="AI697" s="6192"/>
    </row>
    <row r="698">
      <c r="A698" s="6185"/>
      <c r="B698" s="5442"/>
      <c r="C698" s="1481"/>
      <c r="D698" s="5449"/>
      <c r="E698" s="5454" t="s">
        <v>1502</v>
      </c>
      <c r="F698" s="5455"/>
      <c r="G698" s="5455"/>
      <c r="H698" s="5456"/>
      <c r="J698" s="5454" t="s">
        <v>1502</v>
      </c>
      <c r="K698" s="5455"/>
      <c r="L698" s="5455"/>
      <c r="M698" s="5456"/>
      <c r="O698" s="5454" t="s">
        <v>1502</v>
      </c>
      <c r="P698" s="5455"/>
      <c r="Q698" s="5455"/>
      <c r="R698" s="5456"/>
      <c r="T698" s="5454" t="s">
        <v>1502</v>
      </c>
      <c r="U698" s="5455"/>
      <c r="V698" s="5455"/>
      <c r="W698" s="5456"/>
      <c r="Y698" s="6543"/>
      <c r="Z698" s="5477"/>
      <c r="AA698" s="5477"/>
      <c r="AB698" s="5487"/>
      <c r="AC698" s="5453"/>
      <c r="AD698" s="6543"/>
      <c r="AE698" s="5477"/>
      <c r="AF698" s="5477"/>
      <c r="AG698" s="5487"/>
      <c r="AH698" s="5447"/>
      <c r="AI698" s="6192"/>
    </row>
    <row r="699" ht="25.5" customHeight="1">
      <c r="A699" s="6185"/>
      <c r="B699" s="5442"/>
      <c r="C699" s="1489"/>
      <c r="D699" s="5457"/>
      <c r="E699" s="5458"/>
      <c r="F699" s="5462" t="str">
        <f t="array" ref="F699">IFERROR(VLOOKUP(E697,Dex!$B$3:$H1218,5,FALSE),"")</f>
        <v/>
      </c>
      <c r="G699" s="5463"/>
      <c r="H699" s="5461"/>
      <c r="J699" s="5458"/>
      <c r="K699" s="5459" t="str">
        <f t="array" ref="K699">IFERROR(VLOOKUP(J697,Dex!$B$3:$H1218,5,FALSE),"")</f>
        <v/>
      </c>
      <c r="L699" s="5460" t="str">
        <f t="array" ref="L699">IFERROR(VLOOKUP(J697,Dex!$B$3:$H1218,7,FALSE),"")</f>
        <v/>
      </c>
      <c r="M699" s="5461"/>
      <c r="O699" s="5458"/>
      <c r="P699" s="5459" t="str">
        <f t="array" ref="P699">IFERROR(VLOOKUP(O697,Dex!$B$3:$H1218,5,FALSE),"")</f>
        <v/>
      </c>
      <c r="Q699" s="5460" t="str">
        <f t="array" ref="Q699">IFERROR(VLOOKUP(O697,Dex!$B$3:$H1218,7,FALSE),"")</f>
        <v/>
      </c>
      <c r="R699" s="5461"/>
      <c r="T699" s="5458"/>
      <c r="U699" s="5459" t="str">
        <f t="array" ref="U699">IFERROR(VLOOKUP(T697,Dex!$B$3:$H1218,5,FALSE),"")</f>
        <v/>
      </c>
      <c r="V699" s="5460" t="str">
        <f t="array" ref="V699">IFERROR(VLOOKUP(T697,Dex!$B$3:$H1218,7,FALSE),"")</f>
        <v/>
      </c>
      <c r="W699" s="5461"/>
      <c r="Y699" s="6543"/>
      <c r="Z699" s="5477"/>
      <c r="AA699" s="5477"/>
      <c r="AB699" s="5487"/>
      <c r="AC699" s="5453"/>
      <c r="AD699" s="6543"/>
      <c r="AE699" s="5477"/>
      <c r="AF699" s="5477"/>
      <c r="AG699" s="5487"/>
      <c r="AH699" s="5464"/>
      <c r="AI699" s="6192"/>
    </row>
    <row r="700" ht="2.25" customHeight="1">
      <c r="A700" s="6185"/>
      <c r="B700" s="5438"/>
      <c r="C700" s="5465"/>
      <c r="D700" s="5466"/>
      <c r="E700" s="5467"/>
      <c r="F700" s="5468"/>
      <c r="G700" s="5468"/>
      <c r="H700" s="5469"/>
      <c r="J700" s="5467"/>
      <c r="K700" s="5468"/>
      <c r="L700" s="5468"/>
      <c r="M700" s="5469"/>
      <c r="O700" s="5467"/>
      <c r="P700" s="5468"/>
      <c r="Q700" s="5468"/>
      <c r="R700" s="5469"/>
      <c r="T700" s="5467"/>
      <c r="U700" s="5468"/>
      <c r="V700" s="5468"/>
      <c r="W700" s="5469"/>
      <c r="Y700" s="6543"/>
      <c r="Z700" s="5477"/>
      <c r="AA700" s="5477"/>
      <c r="AB700" s="5487"/>
      <c r="AC700" s="5453"/>
      <c r="AD700" s="6543"/>
      <c r="AE700" s="5477"/>
      <c r="AF700" s="5477"/>
      <c r="AG700" s="5487"/>
      <c r="AH700" s="5464"/>
      <c r="AI700" s="6192"/>
    </row>
    <row r="701" ht="20.25" customHeight="1">
      <c r="A701" s="6185"/>
      <c r="B701" s="5438"/>
      <c r="C701" s="5470"/>
      <c r="D701" s="5471"/>
      <c r="E701" s="5472" t="s">
        <v>169</v>
      </c>
      <c r="F701" s="5473"/>
      <c r="G701" s="5473"/>
      <c r="H701" s="5474"/>
      <c r="J701" s="5472" t="s">
        <v>172</v>
      </c>
      <c r="K701" s="5473"/>
      <c r="L701" s="5473"/>
      <c r="M701" s="5474"/>
      <c r="O701" s="5472" t="s">
        <v>172</v>
      </c>
      <c r="P701" s="5473"/>
      <c r="Q701" s="5473"/>
      <c r="R701" s="5474"/>
      <c r="T701" s="5472" t="s">
        <v>1714</v>
      </c>
      <c r="U701" s="5473"/>
      <c r="V701" s="5473"/>
      <c r="W701" s="5474"/>
      <c r="Y701" s="6543"/>
      <c r="Z701" s="5477"/>
      <c r="AA701" s="5477"/>
      <c r="AB701" s="5487"/>
      <c r="AC701" s="5453"/>
      <c r="AD701" s="6543"/>
      <c r="AE701" s="5477"/>
      <c r="AF701" s="5477"/>
      <c r="AG701" s="5487"/>
      <c r="AH701" s="5447"/>
      <c r="AI701" s="6192"/>
    </row>
    <row r="702" ht="20.25" customHeight="1">
      <c r="A702" s="6185"/>
      <c r="B702" s="5438"/>
      <c r="C702" s="5475"/>
      <c r="D702" s="5471"/>
      <c r="E702" s="5476" t="s">
        <v>552</v>
      </c>
      <c r="F702" s="5477"/>
      <c r="G702" s="5477"/>
      <c r="H702" s="5478"/>
      <c r="J702" s="5476" t="s">
        <v>175</v>
      </c>
      <c r="K702" s="5477"/>
      <c r="L702" s="5477"/>
      <c r="M702" s="5478"/>
      <c r="O702" s="5476" t="s">
        <v>552</v>
      </c>
      <c r="P702" s="5477"/>
      <c r="Q702" s="5477"/>
      <c r="R702" s="5478"/>
      <c r="T702" s="5476" t="s">
        <v>716</v>
      </c>
      <c r="U702" s="5477"/>
      <c r="V702" s="5477"/>
      <c r="W702" s="5478"/>
      <c r="Y702" s="6543"/>
      <c r="Z702" s="5477"/>
      <c r="AA702" s="5477"/>
      <c r="AB702" s="5487"/>
      <c r="AC702" s="5453"/>
      <c r="AD702" s="6543"/>
      <c r="AE702" s="5477"/>
      <c r="AF702" s="5477"/>
      <c r="AG702" s="5487"/>
      <c r="AH702" s="5447"/>
      <c r="AI702" s="6192"/>
    </row>
    <row r="703" ht="20.25" customHeight="1">
      <c r="A703" s="6185"/>
      <c r="B703" s="5438"/>
      <c r="C703" s="5479"/>
      <c r="D703" s="5471"/>
      <c r="E703" s="5480" t="s">
        <v>394</v>
      </c>
      <c r="F703" s="5481"/>
      <c r="G703" s="5482"/>
      <c r="H703" s="5483" t="str">
        <f>IMAGE("https://raw.githubusercontent.com/msikma/pokesprite/master/items/hold-item/leftovers.png",3)</f>
        <v/>
      </c>
      <c r="J703" s="5480" t="s">
        <v>212</v>
      </c>
      <c r="K703" s="5481"/>
      <c r="L703" s="5482"/>
      <c r="M703" s="5483" t="str">
        <f>IMAGE("https://raw.githubusercontent.com/msikma/pokesprite/master/items/hold-item/mystic-water.png",3)</f>
        <v/>
      </c>
      <c r="O703" s="5480" t="s">
        <v>394</v>
      </c>
      <c r="P703" s="5481"/>
      <c r="Q703" s="5482"/>
      <c r="R703" s="5483" t="str">
        <f>IMAGE("https://raw.githubusercontent.com/msikma/pokesprite/master/items/hold-item/leftovers.png",3)</f>
        <v/>
      </c>
      <c r="T703" s="5480" t="s">
        <v>626</v>
      </c>
      <c r="U703" s="5481"/>
      <c r="V703" s="5482"/>
      <c r="W703" s="5483" t="str">
        <f>IMAGE("https://raw.githubusercontent.com/msikma/pokesprite/master/items/hold-item/white-herb.png",3)</f>
        <v/>
      </c>
      <c r="Y703" s="6543"/>
      <c r="Z703" s="5477"/>
      <c r="AA703" s="5477"/>
      <c r="AB703" s="5487"/>
      <c r="AC703" s="5453"/>
      <c r="AD703" s="6543"/>
      <c r="AE703" s="5477"/>
      <c r="AF703" s="5477"/>
      <c r="AG703" s="5487"/>
      <c r="AH703" s="5464"/>
      <c r="AI703" s="6192"/>
    </row>
    <row r="704" ht="20.25" customHeight="1">
      <c r="A704" s="6185"/>
      <c r="B704" s="5438"/>
      <c r="C704" s="5484"/>
      <c r="D704" s="5471"/>
      <c r="E704" s="5472" t="s">
        <v>557</v>
      </c>
      <c r="F704" s="5473"/>
      <c r="G704" s="5485"/>
      <c r="H704" s="5486" t="str">
        <f t="shared" ref="H704:H706" si="26">IMAGE("https://raw.githubusercontent.com/msikma/pokesprite/master/misc/types/gen8/normal.png",4,20,20)</f>
        <v/>
      </c>
      <c r="J704" s="5472" t="s">
        <v>610</v>
      </c>
      <c r="K704" s="5473"/>
      <c r="L704" s="5485"/>
      <c r="M704" s="5486" t="str">
        <f>IMAGE("https://raw.githubusercontent.com/msikma/pokesprite/master/misc/types/gen8/rock.png",4,20,20)</f>
        <v/>
      </c>
      <c r="O704" s="5472" t="s">
        <v>252</v>
      </c>
      <c r="P704" s="5473"/>
      <c r="Q704" s="5485"/>
      <c r="R704" s="5486" t="str">
        <f>IMAGE("https://raw.githubusercontent.com/msikma/pokesprite/master/misc/types/gen8/electric.png",4,20,20)</f>
        <v/>
      </c>
      <c r="T704" s="5472" t="s">
        <v>428</v>
      </c>
      <c r="U704" s="5473"/>
      <c r="V704" s="5485"/>
      <c r="W704" s="5486" t="str">
        <f>IMAGE("https://raw.githubusercontent.com/msikma/pokesprite/master/misc/types/gen8/normal.png",4,20,20)</f>
        <v/>
      </c>
      <c r="Y704" s="6543"/>
      <c r="Z704" s="5477"/>
      <c r="AA704" s="5477"/>
      <c r="AB704" s="5487"/>
      <c r="AC704" s="5453"/>
      <c r="AD704" s="6543"/>
      <c r="AE704" s="5477"/>
      <c r="AF704" s="5477"/>
      <c r="AG704" s="5487"/>
      <c r="AH704" s="5447"/>
      <c r="AI704" s="6192"/>
    </row>
    <row r="705" ht="20.25" customHeight="1">
      <c r="A705" s="6185"/>
      <c r="B705" s="5438"/>
      <c r="C705" s="5470"/>
      <c r="D705" s="5471"/>
      <c r="E705" s="5476" t="s">
        <v>1715</v>
      </c>
      <c r="F705" s="5477"/>
      <c r="G705" s="5487"/>
      <c r="H705" s="5488" t="str">
        <f t="shared" si="26"/>
        <v/>
      </c>
      <c r="J705" s="5476" t="s">
        <v>749</v>
      </c>
      <c r="K705" s="5477"/>
      <c r="L705" s="5487"/>
      <c r="M705" s="5488" t="str">
        <f>IMAGE("https://raw.githubusercontent.com/msikma/pokesprite/master/misc/types/gen8/flying.png",4,20,20)</f>
        <v/>
      </c>
      <c r="O705" s="5476" t="s">
        <v>374</v>
      </c>
      <c r="P705" s="5477"/>
      <c r="Q705" s="5487"/>
      <c r="R705" s="5488" t="str">
        <f>IMAGE("https://raw.githubusercontent.com/msikma/pokesprite/master/misc/types/gen8/flying.png",4,20,20)</f>
        <v/>
      </c>
      <c r="T705" s="5476" t="s">
        <v>459</v>
      </c>
      <c r="U705" s="5477"/>
      <c r="V705" s="5487"/>
      <c r="W705" s="5488" t="str">
        <f>IMAGE("https://raw.githubusercontent.com/msikma/pokesprite/master/misc/types/gen8/water.png",4,20,20)</f>
        <v/>
      </c>
      <c r="Y705" s="6543"/>
      <c r="Z705" s="5477"/>
      <c r="AA705" s="5477"/>
      <c r="AB705" s="5487"/>
      <c r="AC705" s="5453"/>
      <c r="AD705" s="6543"/>
      <c r="AE705" s="5477"/>
      <c r="AF705" s="5477"/>
      <c r="AG705" s="5487"/>
      <c r="AH705" s="5447"/>
      <c r="AI705" s="6192"/>
    </row>
    <row r="706" ht="20.25" customHeight="1">
      <c r="A706" s="6185"/>
      <c r="B706" s="5438"/>
      <c r="C706" s="5470"/>
      <c r="D706" s="5471"/>
      <c r="E706" s="5476" t="s">
        <v>853</v>
      </c>
      <c r="F706" s="5477"/>
      <c r="G706" s="5487"/>
      <c r="H706" s="5488" t="str">
        <f t="shared" si="26"/>
        <v/>
      </c>
      <c r="J706" s="5476" t="s">
        <v>278</v>
      </c>
      <c r="K706" s="5477"/>
      <c r="L706" s="5487"/>
      <c r="M706" s="5488" t="str">
        <f>IMAGE("https://raw.githubusercontent.com/msikma/pokesprite/master/misc/types/gen8/bug.png",4,20,20)</f>
        <v/>
      </c>
      <c r="O706" s="5476" t="s">
        <v>1664</v>
      </c>
      <c r="P706" s="5477"/>
      <c r="Q706" s="5487"/>
      <c r="R706" s="5488" t="str">
        <f>IMAGE("https://raw.githubusercontent.com/msikma/pokesprite/master/misc/types/gen8/psychic.png",4,20,20)</f>
        <v/>
      </c>
      <c r="T706" s="5476" t="s">
        <v>863</v>
      </c>
      <c r="U706" s="5477"/>
      <c r="V706" s="5487"/>
      <c r="W706" s="5488" t="str">
        <f>IMAGE("https://raw.githubusercontent.com/msikma/pokesprite/master/misc/types/gen8/psychic.png",4,20,20)</f>
        <v/>
      </c>
      <c r="Y706" s="6543"/>
      <c r="Z706" s="5477"/>
      <c r="AA706" s="5477"/>
      <c r="AB706" s="5487"/>
      <c r="AC706" s="5453"/>
      <c r="AD706" s="6543"/>
      <c r="AE706" s="5477"/>
      <c r="AF706" s="5477"/>
      <c r="AG706" s="5487"/>
      <c r="AH706" s="5447"/>
      <c r="AI706" s="6192"/>
    </row>
    <row r="707" ht="21.0" customHeight="1">
      <c r="A707" s="6185"/>
      <c r="B707" s="5438"/>
      <c r="C707" s="5470"/>
      <c r="D707" s="5471"/>
      <c r="E707" s="5489" t="s">
        <v>562</v>
      </c>
      <c r="F707" s="5490"/>
      <c r="G707" s="5491"/>
      <c r="H707" s="5492" t="str">
        <f>IMAGE("https://raw.githubusercontent.com/msikma/pokesprite/master/misc/types/gen8/psychic.png",4,20,20)</f>
        <v/>
      </c>
      <c r="I707" s="5532"/>
      <c r="J707" s="5489" t="s">
        <v>251</v>
      </c>
      <c r="K707" s="5490"/>
      <c r="L707" s="5491"/>
      <c r="M707" s="5492" t="str">
        <f>IMAGE("https://raw.githubusercontent.com/msikma/pokesprite/master/misc/types/gen8/flying.png",4,20,20)</f>
        <v/>
      </c>
      <c r="N707" s="5532"/>
      <c r="O707" s="5489" t="s">
        <v>372</v>
      </c>
      <c r="P707" s="5490"/>
      <c r="Q707" s="5491"/>
      <c r="R707" s="5492" t="str">
        <f>IMAGE("https://raw.githubusercontent.com/msikma/pokesprite/master/misc/types/gen8/fire.png",4,20,20)</f>
        <v/>
      </c>
      <c r="S707" s="5532"/>
      <c r="T707" s="5489" t="s">
        <v>317</v>
      </c>
      <c r="U707" s="5490"/>
      <c r="V707" s="5491"/>
      <c r="W707" s="5492" t="str">
        <f>IMAGE("https://raw.githubusercontent.com/msikma/pokesprite/master/misc/types/gen8/ice.png",4,20,20)</f>
        <v/>
      </c>
      <c r="X707" s="5532"/>
      <c r="Y707" s="6543"/>
      <c r="Z707" s="5477"/>
      <c r="AA707" s="5477"/>
      <c r="AB707" s="5487"/>
      <c r="AC707" s="5493"/>
      <c r="AD707" s="6543"/>
      <c r="AE707" s="5477"/>
      <c r="AF707" s="5477"/>
      <c r="AG707" s="5487"/>
      <c r="AH707" s="5447"/>
      <c r="AI707" s="6192"/>
    </row>
    <row r="708" ht="3.0" customHeight="1">
      <c r="A708" s="6185"/>
      <c r="B708" s="5494"/>
      <c r="C708" s="5495"/>
      <c r="D708" s="5496"/>
      <c r="E708" s="5533"/>
      <c r="F708" s="5533"/>
      <c r="G708" s="5533"/>
      <c r="H708" s="5497"/>
      <c r="I708" s="5496"/>
      <c r="J708" s="5533"/>
      <c r="K708" s="5533"/>
      <c r="L708" s="5533"/>
      <c r="M708" s="5497"/>
      <c r="N708" s="5496"/>
      <c r="O708" s="5533"/>
      <c r="P708" s="5533"/>
      <c r="Q708" s="5533"/>
      <c r="R708" s="5497"/>
      <c r="S708" s="5496"/>
      <c r="T708" s="5533"/>
      <c r="U708" s="5533"/>
      <c r="V708" s="5533"/>
      <c r="W708" s="5497"/>
      <c r="X708" s="5496"/>
      <c r="Y708" s="6543"/>
      <c r="Z708" s="5477"/>
      <c r="AA708" s="5477"/>
      <c r="AB708" s="5487"/>
      <c r="AC708" s="5496"/>
      <c r="AD708" s="6543"/>
      <c r="AE708" s="5477"/>
      <c r="AF708" s="5477"/>
      <c r="AG708" s="5487"/>
      <c r="AH708" s="5499"/>
      <c r="AI708" s="6192"/>
    </row>
    <row r="709" ht="16.5" customHeight="1">
      <c r="A709" s="6185"/>
      <c r="B709" s="5500"/>
      <c r="C709" s="5495"/>
      <c r="D709" s="5534"/>
      <c r="E709" s="6545" t="s">
        <v>190</v>
      </c>
      <c r="F709" s="381"/>
      <c r="G709" s="382"/>
      <c r="H709" s="6546" t="s">
        <v>191</v>
      </c>
      <c r="I709" s="5504"/>
      <c r="J709" s="6545" t="s">
        <v>190</v>
      </c>
      <c r="K709" s="381"/>
      <c r="L709" s="382"/>
      <c r="M709" s="6546" t="s">
        <v>191</v>
      </c>
      <c r="N709" s="5504"/>
      <c r="O709" s="6545" t="s">
        <v>190</v>
      </c>
      <c r="P709" s="381"/>
      <c r="Q709" s="382"/>
      <c r="R709" s="6546" t="s">
        <v>191</v>
      </c>
      <c r="S709" s="5504"/>
      <c r="T709" s="6545" t="s">
        <v>190</v>
      </c>
      <c r="U709" s="381"/>
      <c r="V709" s="382"/>
      <c r="W709" s="6546" t="s">
        <v>191</v>
      </c>
      <c r="X709" s="5504"/>
      <c r="Y709" s="6543"/>
      <c r="Z709" s="5477"/>
      <c r="AA709" s="5477"/>
      <c r="AB709" s="5487"/>
      <c r="AC709" s="5504"/>
      <c r="AD709" s="6543"/>
      <c r="AE709" s="5477"/>
      <c r="AF709" s="5477"/>
      <c r="AG709" s="5487"/>
      <c r="AH709" s="5505"/>
      <c r="AI709" s="6192"/>
    </row>
    <row r="710" ht="16.5" customHeight="1">
      <c r="A710" s="6185"/>
      <c r="B710" s="5500"/>
      <c r="C710" s="5495"/>
      <c r="D710" s="5501"/>
      <c r="E710" s="6547" t="s">
        <v>192</v>
      </c>
      <c r="F710" s="6548">
        <f t="array" ref="F710">IFERROR(VLOOKUP(E697,Dex!$B$3:$N1218,8,FALSE),"")</f>
        <v>125</v>
      </c>
      <c r="G710" s="6549" t="str">
        <f t="array" ref="G710">IFERROR(VLOOKUP(F710,Dex!$P$22:$Q$276,2,FALSE),"")</f>
        <v/>
      </c>
      <c r="H710" s="6550">
        <v>252.0</v>
      </c>
      <c r="I710" s="5510"/>
      <c r="J710" s="6547" t="s">
        <v>192</v>
      </c>
      <c r="K710" s="6548">
        <f t="array" ref="K710">IFERROR(VLOOKUP(J697,Dex!$B$3:$N1218,8,FALSE),"")</f>
        <v>75</v>
      </c>
      <c r="L710" s="6549" t="str">
        <f t="array" ref="L710">IFERROR(VLOOKUP(K710,Dex!$P$22:$Q$276,2,FALSE),"")</f>
        <v/>
      </c>
      <c r="M710" s="6550"/>
      <c r="N710" s="5510"/>
      <c r="O710" s="6547" t="s">
        <v>192</v>
      </c>
      <c r="P710" s="6548">
        <f t="array" ref="P710">IFERROR(VLOOKUP(O697,Dex!$B$3:$N1218,8,FALSE),"")</f>
        <v>85</v>
      </c>
      <c r="Q710" s="6549" t="str">
        <f t="array" ref="Q710">IFERROR(VLOOKUP(P710,Dex!$P$22:$Q$276,2,FALSE),"")</f>
        <v/>
      </c>
      <c r="R710" s="6550"/>
      <c r="S710" s="5510"/>
      <c r="T710" s="6547" t="s">
        <v>192</v>
      </c>
      <c r="U710" s="6548">
        <f t="array" ref="U710">IFERROR(VLOOKUP(T697,Dex!$B$3:$N1218,8,FALSE),"")</f>
        <v>55</v>
      </c>
      <c r="V710" s="6549" t="str">
        <f t="array" ref="V710">IFERROR(VLOOKUP(U710,Dex!$P$22:$Q$276,2,FALSE),"")</f>
        <v/>
      </c>
      <c r="W710" s="6550"/>
      <c r="X710" s="5510"/>
      <c r="Y710" s="6543"/>
      <c r="Z710" s="5477"/>
      <c r="AA710" s="5477"/>
      <c r="AB710" s="5487"/>
      <c r="AC710" s="5510"/>
      <c r="AD710" s="6543"/>
      <c r="AE710" s="5477"/>
      <c r="AF710" s="5477"/>
      <c r="AG710" s="5487"/>
      <c r="AH710" s="5505"/>
      <c r="AI710" s="6192"/>
    </row>
    <row r="711" ht="16.5" customHeight="1">
      <c r="A711" s="6185"/>
      <c r="B711" s="5500"/>
      <c r="C711" s="5495"/>
      <c r="D711" s="5501"/>
      <c r="E711" s="6551" t="s">
        <v>193</v>
      </c>
      <c r="F711" s="6552">
        <f t="array" ref="F711">IFERROR(VLOOKUP(E697,Dex!$B$3:$N1218,9,FALSE),"")</f>
        <v>100</v>
      </c>
      <c r="G711" s="6553" t="str">
        <f t="array" ref="G711">IFERROR(VLOOKUP(F711,Dex!$P$22:$Q$276,2,FALSE),"")</f>
        <v/>
      </c>
      <c r="H711" s="6554">
        <v>252.0</v>
      </c>
      <c r="I711" s="5510"/>
      <c r="J711" s="6551" t="s">
        <v>193</v>
      </c>
      <c r="K711" s="6552">
        <f t="array" ref="K711">IFERROR(VLOOKUP(J697,Dex!$B$3:$N1218,9,FALSE),"")</f>
        <v>140</v>
      </c>
      <c r="L711" s="6553" t="str">
        <f t="array" ref="L711">IFERROR(VLOOKUP(K711,Dex!$P$22:$Q$276,2,FALSE),"")</f>
        <v/>
      </c>
      <c r="M711" s="6554">
        <v>252.0</v>
      </c>
      <c r="N711" s="5510"/>
      <c r="O711" s="6551" t="s">
        <v>193</v>
      </c>
      <c r="P711" s="6552">
        <f t="array" ref="P711">IFERROR(VLOOKUP(O697,Dex!$B$3:$N1218,9,FALSE),"")</f>
        <v>50</v>
      </c>
      <c r="Q711" s="6553" t="str">
        <f t="array" ref="Q711">IFERROR(VLOOKUP(P711,Dex!$P$22:$Q$276,2,FALSE),"")</f>
        <v/>
      </c>
      <c r="R711" s="6554"/>
      <c r="S711" s="5510"/>
      <c r="T711" s="6551" t="s">
        <v>193</v>
      </c>
      <c r="U711" s="6552">
        <f t="array" ref="U711">IFERROR(VLOOKUP(T697,Dex!$B$3:$N1218,9,FALSE),"")</f>
        <v>104</v>
      </c>
      <c r="V711" s="6553" t="str">
        <f t="array" ref="V711">IFERROR(VLOOKUP(U711,Dex!$P$22:$Q$276,2,FALSE),"")</f>
        <v/>
      </c>
      <c r="W711" s="6554">
        <v>252.0</v>
      </c>
      <c r="X711" s="5510"/>
      <c r="Y711" s="6543"/>
      <c r="Z711" s="5477"/>
      <c r="AA711" s="5477"/>
      <c r="AB711" s="5487"/>
      <c r="AC711" s="5510"/>
      <c r="AD711" s="6543"/>
      <c r="AE711" s="5477"/>
      <c r="AF711" s="5477"/>
      <c r="AG711" s="5487"/>
      <c r="AH711" s="5505"/>
      <c r="AI711" s="6192"/>
    </row>
    <row r="712" ht="16.5" customHeight="1">
      <c r="A712" s="6185"/>
      <c r="B712" s="5500"/>
      <c r="C712" s="5495"/>
      <c r="D712" s="5501"/>
      <c r="E712" s="6551" t="s">
        <v>194</v>
      </c>
      <c r="F712" s="6552">
        <f t="array" ref="F712">IFERROR(VLOOKUP(E697,Dex!$B$3:$N1218,10,FALSE),"")</f>
        <v>80</v>
      </c>
      <c r="G712" s="6553" t="str">
        <f t="array" ref="G712">IFERROR(VLOOKUP(F712,Dex!$P$22:$Q$276,2,FALSE),"")</f>
        <v/>
      </c>
      <c r="H712" s="6554"/>
      <c r="I712" s="5510"/>
      <c r="J712" s="6551" t="s">
        <v>194</v>
      </c>
      <c r="K712" s="6552">
        <f t="array" ref="K712">IFERROR(VLOOKUP(J697,Dex!$B$3:$N1218,10,FALSE),"")</f>
        <v>65</v>
      </c>
      <c r="L712" s="6553" t="str">
        <f t="array" ref="L712">IFERROR(VLOOKUP(K712,Dex!$P$22:$Q$276,2,FALSE),"")</f>
        <v/>
      </c>
      <c r="M712" s="6554">
        <v>4.0</v>
      </c>
      <c r="N712" s="5510"/>
      <c r="O712" s="6551" t="s">
        <v>194</v>
      </c>
      <c r="P712" s="6552">
        <f t="array" ref="P712">IFERROR(VLOOKUP(O697,Dex!$B$3:$N1218,10,FALSE),"")</f>
        <v>95</v>
      </c>
      <c r="Q712" s="6553" t="str">
        <f t="array" ref="Q712">IFERROR(VLOOKUP(P712,Dex!$P$22:$Q$276,2,FALSE),"")</f>
        <v/>
      </c>
      <c r="R712" s="6554"/>
      <c r="S712" s="5510"/>
      <c r="T712" s="6551" t="s">
        <v>194</v>
      </c>
      <c r="U712" s="6552">
        <f t="array" ref="U712">IFERROR(VLOOKUP(T697,Dex!$B$3:$N1218,10,FALSE),"")</f>
        <v>105</v>
      </c>
      <c r="V712" s="6553" t="str">
        <f t="array" ref="V712">IFERROR(VLOOKUP(U712,Dex!$P$22:$Q$276,2,FALSE),"")</f>
        <v/>
      </c>
      <c r="W712" s="6554"/>
      <c r="X712" s="5510"/>
      <c r="Y712" s="6543"/>
      <c r="Z712" s="5477"/>
      <c r="AA712" s="5477"/>
      <c r="AB712" s="5487"/>
      <c r="AC712" s="5510"/>
      <c r="AD712" s="6543"/>
      <c r="AE712" s="5477"/>
      <c r="AF712" s="5477"/>
      <c r="AG712" s="5487"/>
      <c r="AH712" s="5505"/>
      <c r="AI712" s="6192"/>
    </row>
    <row r="713" ht="16.5" customHeight="1">
      <c r="A713" s="6185"/>
      <c r="B713" s="5500"/>
      <c r="C713" s="5495"/>
      <c r="D713" s="5501"/>
      <c r="E713" s="6551" t="s">
        <v>195</v>
      </c>
      <c r="F713" s="6552">
        <f t="array" ref="F713">IFERROR(VLOOKUP(E697,Dex!$B$3:$N1218,11,FALSE),"")</f>
        <v>85</v>
      </c>
      <c r="G713" s="6553" t="str">
        <f t="array" ref="G713">IFERROR(VLOOKUP(F713,Dex!$P$22:$Q$276,2,FALSE),"")</f>
        <v/>
      </c>
      <c r="H713" s="6554"/>
      <c r="I713" s="5510"/>
      <c r="J713" s="6551" t="s">
        <v>195</v>
      </c>
      <c r="K713" s="6552">
        <f t="array" ref="K713">IFERROR(VLOOKUP(J697,Dex!$B$3:$N1218,11,FALSE),"")</f>
        <v>112</v>
      </c>
      <c r="L713" s="6553" t="str">
        <f t="array" ref="L713">IFERROR(VLOOKUP(K713,Dex!$P$22:$Q$276,2,FALSE),"")</f>
        <v/>
      </c>
      <c r="M713" s="6554"/>
      <c r="N713" s="5510"/>
      <c r="O713" s="6551" t="s">
        <v>195</v>
      </c>
      <c r="P713" s="6552">
        <f t="array" ref="P713">IFERROR(VLOOKUP(O697,Dex!$B$3:$N1218,11,FALSE),"")</f>
        <v>120</v>
      </c>
      <c r="Q713" s="6553" t="str">
        <f t="array" ref="Q713">IFERROR(VLOOKUP(P713,Dex!$P$22:$Q$276,2,FALSE),"")</f>
        <v/>
      </c>
      <c r="R713" s="6554">
        <v>252.0</v>
      </c>
      <c r="S713" s="5510"/>
      <c r="T713" s="6551" t="s">
        <v>195</v>
      </c>
      <c r="U713" s="6552">
        <f t="array" ref="U713">IFERROR(VLOOKUP(T697,Dex!$B$3:$N1218,11,FALSE),"")</f>
        <v>94</v>
      </c>
      <c r="V713" s="6553" t="str">
        <f t="array" ref="V713">IFERROR(VLOOKUP(U713,Dex!$P$22:$Q$276,2,FALSE),"")</f>
        <v/>
      </c>
      <c r="W713" s="6554">
        <v>4.0</v>
      </c>
      <c r="X713" s="5510"/>
      <c r="Y713" s="6543"/>
      <c r="Z713" s="5477"/>
      <c r="AA713" s="5477"/>
      <c r="AB713" s="5487"/>
      <c r="AC713" s="5510"/>
      <c r="AD713" s="6543"/>
      <c r="AE713" s="5477"/>
      <c r="AF713" s="5477"/>
      <c r="AG713" s="5487"/>
      <c r="AH713" s="5505"/>
      <c r="AI713" s="6192"/>
    </row>
    <row r="714" ht="16.5" customHeight="1">
      <c r="A714" s="6185"/>
      <c r="B714" s="5500"/>
      <c r="C714" s="5515"/>
      <c r="D714" s="5501"/>
      <c r="E714" s="6551" t="s">
        <v>196</v>
      </c>
      <c r="F714" s="6552">
        <f t="array" ref="F714">IFERROR(VLOOKUP(E697,Dex!$B$3:$N1218,12,FALSE),"")</f>
        <v>75</v>
      </c>
      <c r="G714" s="6553" t="str">
        <f t="array" ref="G714">IFERROR(VLOOKUP(F714,Dex!$P$22:$Q$276,2,FALSE),"")</f>
        <v/>
      </c>
      <c r="H714" s="6554"/>
      <c r="I714" s="5510"/>
      <c r="J714" s="6551" t="s">
        <v>196</v>
      </c>
      <c r="K714" s="6552">
        <f t="array" ref="K714">IFERROR(VLOOKUP(J697,Dex!$B$3:$N1218,12,FALSE),"")</f>
        <v>65</v>
      </c>
      <c r="L714" s="6553" t="str">
        <f t="array" ref="L714">IFERROR(VLOOKUP(K714,Dex!$P$22:$Q$276,2,FALSE),"")</f>
        <v/>
      </c>
      <c r="M714" s="6554"/>
      <c r="N714" s="5510"/>
      <c r="O714" s="6551" t="s">
        <v>196</v>
      </c>
      <c r="P714" s="6552">
        <f t="array" ref="P714">IFERROR(VLOOKUP(O697,Dex!$B$3:$N1218,12,FALSE),"")</f>
        <v>115</v>
      </c>
      <c r="Q714" s="6553" t="str">
        <f t="array" ref="Q714">IFERROR(VLOOKUP(P714,Dex!$P$22:$Q$276,2,FALSE),"")</f>
        <v/>
      </c>
      <c r="R714" s="6554"/>
      <c r="S714" s="5510"/>
      <c r="T714" s="6551" t="s">
        <v>196</v>
      </c>
      <c r="U714" s="6552">
        <f t="array" ref="U714">IFERROR(VLOOKUP(T697,Dex!$B$3:$N1218,12,FALSE),"")</f>
        <v>75</v>
      </c>
      <c r="V714" s="6553" t="str">
        <f t="array" ref="V714">IFERROR(VLOOKUP(U714,Dex!$P$22:$Q$276,2,FALSE),"")</f>
        <v/>
      </c>
      <c r="W714" s="6554"/>
      <c r="X714" s="5510"/>
      <c r="Y714" s="6543"/>
      <c r="Z714" s="5477"/>
      <c r="AA714" s="5477"/>
      <c r="AB714" s="5487"/>
      <c r="AC714" s="5510"/>
      <c r="AD714" s="6543"/>
      <c r="AE714" s="5477"/>
      <c r="AF714" s="5477"/>
      <c r="AG714" s="5487"/>
      <c r="AH714" s="5505"/>
      <c r="AI714" s="6192"/>
    </row>
    <row r="715" ht="16.5" customHeight="1">
      <c r="A715" s="6185"/>
      <c r="B715" s="5500"/>
      <c r="C715" s="5495"/>
      <c r="D715" s="5516"/>
      <c r="E715" s="6555" t="s">
        <v>197</v>
      </c>
      <c r="F715" s="6556">
        <f t="array" ref="F715">IFERROR(VLOOKUP(E697,Dex!$B$3:$N1218,13,FALSE),"")</f>
        <v>55</v>
      </c>
      <c r="G715" s="6557" t="str">
        <f t="array" ref="G715">IFERROR(VLOOKUP(F715,Dex!$P$22:$Q$276,2,FALSE),"")</f>
        <v/>
      </c>
      <c r="H715" s="6558">
        <v>4.0</v>
      </c>
      <c r="I715" s="5510"/>
      <c r="J715" s="6555" t="s">
        <v>197</v>
      </c>
      <c r="K715" s="6556">
        <f t="array" ref="K715">IFERROR(VLOOKUP(J697,Dex!$B$3:$N1218,13,FALSE),"")</f>
        <v>110</v>
      </c>
      <c r="L715" s="6557" t="str">
        <f t="array" ref="L715">IFERROR(VLOOKUP(K715,Dex!$P$22:$Q$276,2,FALSE),"")</f>
        <v/>
      </c>
      <c r="M715" s="6558">
        <v>252.0</v>
      </c>
      <c r="N715" s="5510"/>
      <c r="O715" s="6555" t="s">
        <v>197</v>
      </c>
      <c r="P715" s="6556">
        <f t="array" ref="P715">IFERROR(VLOOKUP(O697,Dex!$B$3:$N1218,13,FALSE),"")</f>
        <v>80</v>
      </c>
      <c r="Q715" s="6557" t="str">
        <f t="array" ref="Q715">IFERROR(VLOOKUP(P715,Dex!$P$22:$Q$276,2,FALSE),"")</f>
        <v/>
      </c>
      <c r="R715" s="6558">
        <v>252.0</v>
      </c>
      <c r="S715" s="5510"/>
      <c r="T715" s="6555" t="s">
        <v>197</v>
      </c>
      <c r="U715" s="6556">
        <f t="array" ref="U715">IFERROR(VLOOKUP(T697,Dex!$B$3:$N1218,13,FALSE),"")</f>
        <v>52</v>
      </c>
      <c r="V715" s="6557" t="str">
        <f t="array" ref="V715">IFERROR(VLOOKUP(U715,Dex!$P$22:$Q$276,2,FALSE),"")</f>
        <v/>
      </c>
      <c r="W715" s="6558">
        <v>252.0</v>
      </c>
      <c r="X715" s="5510"/>
      <c r="Y715" s="6543"/>
      <c r="Z715" s="5477"/>
      <c r="AA715" s="5477"/>
      <c r="AB715" s="5487"/>
      <c r="AC715" s="5510"/>
      <c r="AD715" s="6543"/>
      <c r="AE715" s="5477"/>
      <c r="AF715" s="5477"/>
      <c r="AG715" s="5487"/>
      <c r="AH715" s="5505"/>
      <c r="AI715" s="6192"/>
    </row>
    <row r="716" ht="16.5" customHeight="1">
      <c r="A716" s="6185"/>
      <c r="B716" s="5500"/>
      <c r="C716" s="5495"/>
      <c r="D716" s="5536"/>
      <c r="E716" s="6559" t="s">
        <v>198</v>
      </c>
      <c r="F716" s="405"/>
      <c r="G716" s="406"/>
      <c r="H716" s="6560">
        <v>147.0</v>
      </c>
      <c r="I716" s="5504"/>
      <c r="J716" s="6559" t="s">
        <v>198</v>
      </c>
      <c r="K716" s="405"/>
      <c r="L716" s="406"/>
      <c r="M716" s="6560">
        <v>350.0</v>
      </c>
      <c r="N716" s="5504"/>
      <c r="O716" s="6559" t="s">
        <v>198</v>
      </c>
      <c r="P716" s="405"/>
      <c r="Q716" s="406"/>
      <c r="R716" s="6560">
        <v>284.0</v>
      </c>
      <c r="S716" s="5504"/>
      <c r="T716" s="6559" t="s">
        <v>198</v>
      </c>
      <c r="U716" s="405"/>
      <c r="V716" s="406"/>
      <c r="W716" s="6560">
        <v>203.0</v>
      </c>
      <c r="X716" s="5504"/>
      <c r="Y716" s="6543"/>
      <c r="Z716" s="5477"/>
      <c r="AA716" s="5477"/>
      <c r="AB716" s="5487"/>
      <c r="AC716" s="5504"/>
      <c r="AD716" s="6543"/>
      <c r="AE716" s="5477"/>
      <c r="AF716" s="5477"/>
      <c r="AG716" s="5487"/>
      <c r="AH716" s="5505"/>
      <c r="AI716" s="6192"/>
    </row>
    <row r="717" ht="15.0" customHeight="1">
      <c r="A717" s="6185"/>
      <c r="B717" s="6561"/>
      <c r="C717" s="5541"/>
      <c r="D717" s="5541"/>
      <c r="E717" s="5541"/>
      <c r="F717" s="5541"/>
      <c r="G717" s="5541"/>
      <c r="H717" s="5541"/>
      <c r="I717" s="5541"/>
      <c r="J717" s="5541"/>
      <c r="K717" s="5541"/>
      <c r="L717" s="5541"/>
      <c r="M717" s="5541"/>
      <c r="N717" s="5541"/>
      <c r="O717" s="6562"/>
      <c r="P717" s="6562"/>
      <c r="Q717" s="6562"/>
      <c r="R717" s="5541"/>
      <c r="S717" s="5541"/>
      <c r="T717" s="5543"/>
      <c r="U717" s="5543"/>
      <c r="V717" s="5543"/>
      <c r="W717" s="5541"/>
      <c r="X717" s="5541"/>
      <c r="Y717" s="5543"/>
      <c r="Z717" s="5543"/>
      <c r="AA717" s="5543"/>
      <c r="AB717" s="5541"/>
      <c r="AC717" s="5541"/>
      <c r="AD717" s="5541"/>
      <c r="AE717" s="5541"/>
      <c r="AF717" s="5541"/>
      <c r="AG717" s="5541"/>
      <c r="AH717" s="6563"/>
      <c r="AI717" s="6192"/>
    </row>
    <row r="718" ht="15.0" customHeight="1">
      <c r="A718" s="6185"/>
      <c r="B718" s="3183"/>
      <c r="C718" s="3184"/>
      <c r="D718" s="3184"/>
      <c r="E718" s="3188"/>
      <c r="F718" s="3188"/>
      <c r="G718" s="3188"/>
      <c r="H718" s="3188"/>
      <c r="I718" s="3189"/>
      <c r="J718" s="3188"/>
      <c r="K718" s="3188"/>
      <c r="L718" s="3188"/>
      <c r="M718" s="3188"/>
      <c r="N718" s="3189"/>
      <c r="O718" s="3188"/>
      <c r="P718" s="3188"/>
      <c r="Q718" s="3188"/>
      <c r="R718" s="3188"/>
      <c r="S718" s="3189"/>
      <c r="T718" s="3188"/>
      <c r="U718" s="3188"/>
      <c r="V718" s="3188"/>
      <c r="W718" s="3188"/>
      <c r="X718" s="3184"/>
      <c r="Y718" s="6730"/>
      <c r="Z718" s="6730"/>
      <c r="AA718" s="6730"/>
      <c r="AB718" s="6730"/>
      <c r="AC718" s="3184"/>
      <c r="AD718" s="6730"/>
      <c r="AE718" s="6730"/>
      <c r="AF718" s="6730"/>
      <c r="AG718" s="6730"/>
      <c r="AH718" s="3187"/>
      <c r="AI718" s="6192"/>
    </row>
    <row r="719" ht="96.75" customHeight="1">
      <c r="A719" s="6185"/>
      <c r="B719" s="3183"/>
      <c r="C719" s="3016" t="str">
        <f>IMAGE("https://i.ibb.co/qgT6ZFT/Ariana.png")</f>
        <v/>
      </c>
      <c r="D719" s="3190"/>
      <c r="E719" s="3018" t="str">
        <f t="array" ref="E719">IFERROR(VLOOKUP(E720,Dex!$B$3:$G1218,3,FALSE),"")</f>
        <v/>
      </c>
      <c r="F719" s="1830"/>
      <c r="G719" s="1830"/>
      <c r="H719" s="1831"/>
      <c r="I719" s="3191"/>
      <c r="J719" s="3018" t="str">
        <f t="array" ref="J719">IFERROR(VLOOKUP(J720,Dex!$B$3:$G1218,3,FALSE),"")</f>
        <v/>
      </c>
      <c r="K719" s="1830"/>
      <c r="L719" s="1830"/>
      <c r="M719" s="1831"/>
      <c r="N719" s="3191"/>
      <c r="O719" s="3018" t="str">
        <f t="array" ref="O719">IFERROR(VLOOKUP(O720,Dex!$B$3:$G1218,3,FALSE),"")</f>
        <v/>
      </c>
      <c r="P719" s="1830"/>
      <c r="Q719" s="1830"/>
      <c r="R719" s="1831"/>
      <c r="S719" s="3191"/>
      <c r="T719" s="3018" t="str">
        <f t="array" ref="T719">IFERROR(VLOOKUP(T720,Dex!$B$3:$G1218,3,FALSE),"")</f>
        <v/>
      </c>
      <c r="U719" s="1830"/>
      <c r="V719" s="1830"/>
      <c r="W719" s="1831"/>
      <c r="X719" s="6731"/>
      <c r="Y719" s="3018" t="str">
        <f t="array" ref="Y719">IFERROR(VLOOKUP(Y720,Dex!$B$3:$G1218,3,FALSE),"")</f>
        <v/>
      </c>
      <c r="Z719" s="1830"/>
      <c r="AA719" s="1830"/>
      <c r="AB719" s="1831"/>
      <c r="AC719" s="6731"/>
      <c r="AD719" s="3018" t="str">
        <f t="array" ref="AD719">IFERROR(VLOOKUP(AD720,Dex!$B$3:$G1218,3,FALSE),"")</f>
        <v/>
      </c>
      <c r="AE719" s="1830"/>
      <c r="AF719" s="1830"/>
      <c r="AG719" s="1831"/>
      <c r="AH719" s="6732"/>
      <c r="AI719" s="6192"/>
    </row>
    <row r="720" ht="18.75" customHeight="1">
      <c r="A720" s="6185"/>
      <c r="B720" s="3183"/>
      <c r="C720" s="3195" t="s">
        <v>1716</v>
      </c>
      <c r="D720" s="3196"/>
      <c r="E720" s="3025" t="s">
        <v>1717</v>
      </c>
      <c r="F720" s="3026"/>
      <c r="G720" s="3026"/>
      <c r="H720" s="3027"/>
      <c r="I720" s="3196"/>
      <c r="J720" s="3025" t="s">
        <v>1718</v>
      </c>
      <c r="K720" s="3026"/>
      <c r="L720" s="3026"/>
      <c r="M720" s="3027"/>
      <c r="N720" s="3196"/>
      <c r="O720" s="3025" t="s">
        <v>1583</v>
      </c>
      <c r="P720" s="3026"/>
      <c r="Q720" s="3026"/>
      <c r="R720" s="3027"/>
      <c r="S720" s="3196"/>
      <c r="T720" s="3025" t="s">
        <v>1719</v>
      </c>
      <c r="U720" s="3026"/>
      <c r="V720" s="3026"/>
      <c r="W720" s="3027"/>
      <c r="Y720" s="3025" t="s">
        <v>908</v>
      </c>
      <c r="Z720" s="3026"/>
      <c r="AA720" s="3026"/>
      <c r="AB720" s="3027"/>
      <c r="AD720" s="3025" t="s">
        <v>1720</v>
      </c>
      <c r="AE720" s="3026"/>
      <c r="AF720" s="3026"/>
      <c r="AG720" s="3027"/>
      <c r="AH720" s="6732"/>
      <c r="AI720" s="6192"/>
    </row>
    <row r="721">
      <c r="A721" s="6185"/>
      <c r="B721" s="3183"/>
      <c r="C721" s="326"/>
      <c r="D721" s="3200"/>
      <c r="E721" s="6733" t="s">
        <v>1502</v>
      </c>
      <c r="F721" s="3033"/>
      <c r="G721" s="3033"/>
      <c r="H721" s="3034"/>
      <c r="I721" s="3196"/>
      <c r="J721" s="6733" t="s">
        <v>1502</v>
      </c>
      <c r="K721" s="3033"/>
      <c r="L721" s="3033"/>
      <c r="M721" s="3034"/>
      <c r="N721" s="3196"/>
      <c r="O721" s="6733" t="s">
        <v>1502</v>
      </c>
      <c r="P721" s="3033"/>
      <c r="Q721" s="3033"/>
      <c r="R721" s="3034"/>
      <c r="S721" s="3196"/>
      <c r="T721" s="6733" t="s">
        <v>1502</v>
      </c>
      <c r="U721" s="3033"/>
      <c r="V721" s="3033"/>
      <c r="W721" s="3034"/>
      <c r="Y721" s="6733" t="s">
        <v>1502</v>
      </c>
      <c r="Z721" s="3033"/>
      <c r="AA721" s="3033"/>
      <c r="AB721" s="3034"/>
      <c r="AD721" s="6733" t="s">
        <v>1502</v>
      </c>
      <c r="AE721" s="3033"/>
      <c r="AF721" s="3033"/>
      <c r="AG721" s="3034"/>
      <c r="AH721" s="6732"/>
      <c r="AI721" s="6192"/>
    </row>
    <row r="722" ht="25.5" customHeight="1">
      <c r="A722" s="6185"/>
      <c r="B722" s="3183"/>
      <c r="C722" s="3206"/>
      <c r="D722" s="3193"/>
      <c r="E722" s="3038"/>
      <c r="F722" s="6734" t="str">
        <f t="array" ref="F722">IFERROR(VLOOKUP(E720,Dex!$B$3:$H1218,5,FALSE),"")</f>
        <v/>
      </c>
      <c r="G722" s="6735"/>
      <c r="H722" s="3041"/>
      <c r="I722" s="3198"/>
      <c r="J722" s="3038"/>
      <c r="K722" s="3039" t="str">
        <f t="array" ref="K722">IFERROR(VLOOKUP(J720,Dex!$B$3:$H1218,5,FALSE),"")</f>
        <v/>
      </c>
      <c r="L722" s="3040" t="str">
        <f t="array" ref="L722">IFERROR(VLOOKUP(J720,Dex!$B$3:$H1218,7,FALSE),"")</f>
        <v/>
      </c>
      <c r="M722" s="3041"/>
      <c r="N722" s="3198"/>
      <c r="O722" s="3038"/>
      <c r="P722" s="3039" t="str">
        <f t="array" ref="P722">IFERROR(VLOOKUP(O720,Dex!$B$3:$H1218,5,FALSE),"")</f>
        <v/>
      </c>
      <c r="Q722" s="3040" t="str">
        <f t="array" ref="Q722">IFERROR(VLOOKUP(O720,Dex!$B$3:$H1218,7,FALSE),"")</f>
        <v/>
      </c>
      <c r="R722" s="3041"/>
      <c r="S722" s="3198"/>
      <c r="T722" s="3038"/>
      <c r="U722" s="3039" t="str">
        <f t="array" ref="U722">IFERROR(VLOOKUP(T720,Dex!$B$3:$H1218,5,FALSE),"")</f>
        <v/>
      </c>
      <c r="V722" s="3040" t="str">
        <f t="array" ref="V722">IFERROR(VLOOKUP(T720,Dex!$B$3:$H1218,7,FALSE),"")</f>
        <v/>
      </c>
      <c r="W722" s="3041"/>
      <c r="Y722" s="3038"/>
      <c r="Z722" s="3039" t="str">
        <f t="array" ref="Z722">IFERROR(VLOOKUP(Y720,Dex!$B$3:$H1218,5,FALSE),"")</f>
        <v/>
      </c>
      <c r="AA722" s="3040" t="str">
        <f t="array" ref="AA722">IFERROR(VLOOKUP(Y720,Dex!$B$3:$H1218,7,FALSE),"")</f>
        <v/>
      </c>
      <c r="AB722" s="3041"/>
      <c r="AD722" s="3038"/>
      <c r="AE722" s="6734" t="str">
        <f t="array" ref="AE722">IFERROR(VLOOKUP(AD720,Dex!$B$3:$H1218,5,FALSE),"")</f>
        <v/>
      </c>
      <c r="AF722" s="6735"/>
      <c r="AG722" s="3041"/>
      <c r="AH722" s="3187"/>
      <c r="AI722" s="6192"/>
    </row>
    <row r="723" ht="2.25" customHeight="1">
      <c r="A723" s="6185"/>
      <c r="B723" s="3183"/>
      <c r="C723" s="3206"/>
      <c r="D723" s="3193"/>
      <c r="E723" s="3042"/>
      <c r="F723" s="3043"/>
      <c r="G723" s="3043"/>
      <c r="H723" s="3044"/>
      <c r="I723" s="3198"/>
      <c r="J723" s="3042"/>
      <c r="K723" s="3043"/>
      <c r="L723" s="3043"/>
      <c r="M723" s="3044"/>
      <c r="N723" s="3198"/>
      <c r="O723" s="3042"/>
      <c r="P723" s="3043"/>
      <c r="Q723" s="3043"/>
      <c r="R723" s="3044"/>
      <c r="S723" s="3198"/>
      <c r="T723" s="3042"/>
      <c r="U723" s="3043"/>
      <c r="V723" s="3043"/>
      <c r="W723" s="3044"/>
      <c r="Y723" s="3042"/>
      <c r="Z723" s="3043"/>
      <c r="AA723" s="3043"/>
      <c r="AB723" s="3044"/>
      <c r="AD723" s="3042"/>
      <c r="AE723" s="3043"/>
      <c r="AF723" s="3043"/>
      <c r="AG723" s="3044"/>
      <c r="AH723" s="3187"/>
      <c r="AI723" s="6192"/>
    </row>
    <row r="724" ht="20.25" customHeight="1">
      <c r="A724" s="6185"/>
      <c r="B724" s="3183"/>
      <c r="C724" s="3206"/>
      <c r="D724" s="3193"/>
      <c r="E724" s="3046" t="s">
        <v>172</v>
      </c>
      <c r="F724" s="3047"/>
      <c r="G724" s="3047"/>
      <c r="H724" s="3048"/>
      <c r="I724" s="6736"/>
      <c r="J724" s="3046" t="s">
        <v>172</v>
      </c>
      <c r="K724" s="3047"/>
      <c r="L724" s="3047"/>
      <c r="M724" s="3048"/>
      <c r="N724" s="6736"/>
      <c r="O724" s="3046" t="s">
        <v>205</v>
      </c>
      <c r="P724" s="3047"/>
      <c r="Q724" s="3047"/>
      <c r="R724" s="3048"/>
      <c r="S724" s="6736"/>
      <c r="T724" s="3046" t="s">
        <v>206</v>
      </c>
      <c r="U724" s="3047"/>
      <c r="V724" s="3047"/>
      <c r="W724" s="3048"/>
      <c r="Y724" s="3046" t="s">
        <v>169</v>
      </c>
      <c r="Z724" s="3047"/>
      <c r="AA724" s="3047"/>
      <c r="AB724" s="3048"/>
      <c r="AD724" s="3046" t="s">
        <v>263</v>
      </c>
      <c r="AE724" s="3047"/>
      <c r="AF724" s="3047"/>
      <c r="AG724" s="3048"/>
      <c r="AH724" s="6732"/>
      <c r="AI724" s="6192"/>
    </row>
    <row r="725">
      <c r="A725" s="6185"/>
      <c r="B725" s="3183"/>
      <c r="C725" s="3205"/>
      <c r="D725" s="3193"/>
      <c r="E725" s="3050" t="s">
        <v>208</v>
      </c>
      <c r="F725" s="3051"/>
      <c r="G725" s="3051"/>
      <c r="H725" s="3052"/>
      <c r="I725" s="6736"/>
      <c r="J725" s="3050" t="s">
        <v>808</v>
      </c>
      <c r="K725" s="3051"/>
      <c r="L725" s="3051"/>
      <c r="M725" s="3052"/>
      <c r="N725" s="6736"/>
      <c r="O725" s="3050" t="s">
        <v>1586</v>
      </c>
      <c r="P725" s="3051"/>
      <c r="Q725" s="3051"/>
      <c r="R725" s="3052"/>
      <c r="S725" s="6736"/>
      <c r="T725" s="3050" t="s">
        <v>980</v>
      </c>
      <c r="U725" s="3051"/>
      <c r="V725" s="3051"/>
      <c r="W725" s="3052"/>
      <c r="Y725" s="3050" t="s">
        <v>1721</v>
      </c>
      <c r="Z725" s="3051"/>
      <c r="AA725" s="3051"/>
      <c r="AB725" s="3052"/>
      <c r="AD725" s="3050" t="s">
        <v>1722</v>
      </c>
      <c r="AE725" s="3051"/>
      <c r="AF725" s="3051"/>
      <c r="AG725" s="3052"/>
      <c r="AH725" s="6732"/>
      <c r="AI725" s="6192"/>
    </row>
    <row r="726" ht="20.25" customHeight="1">
      <c r="A726" s="6185"/>
      <c r="B726" s="3183"/>
      <c r="C726" s="3199"/>
      <c r="D726" s="3193"/>
      <c r="E726" s="3053" t="s">
        <v>272</v>
      </c>
      <c r="F726" s="3054"/>
      <c r="G726" s="3055"/>
      <c r="H726" s="3056" t="str">
        <f>IMAGE("https://raw.githubusercontent.com/msikma/pokesprite/master/items/hold-item/life-orb.png",3)</f>
        <v/>
      </c>
      <c r="I726" s="3198"/>
      <c r="J726" s="3053" t="s">
        <v>240</v>
      </c>
      <c r="K726" s="3054"/>
      <c r="L726" s="3055"/>
      <c r="M726" s="3056" t="str">
        <f>IMAGE("https://raw.githubusercontent.com/msikma/pokesprite/master/items/hold-item/focus-sash.png",3)</f>
        <v/>
      </c>
      <c r="N726" s="3198"/>
      <c r="O726" s="3053" t="s">
        <v>1723</v>
      </c>
      <c r="P726" s="3054"/>
      <c r="Q726" s="3055"/>
      <c r="R726" s="3056" t="str">
        <f>IMAGE("https://raw.githubusercontent.com/msikma/pokesprite/master/items/z-crystals/normalium-z--held.png",3)</f>
        <v/>
      </c>
      <c r="S726" s="3198"/>
      <c r="T726" s="3053" t="s">
        <v>1048</v>
      </c>
      <c r="U726" s="3054"/>
      <c r="V726" s="3055"/>
      <c r="W726" s="3056" t="str">
        <f>IMAGE("https://raw.githubusercontent.com/msikma/pokesprite/master/items/hold-item/black-sludge.png",3)</f>
        <v/>
      </c>
      <c r="Y726" s="3053" t="s">
        <v>918</v>
      </c>
      <c r="Z726" s="3054"/>
      <c r="AA726" s="3055"/>
      <c r="AB726" s="3056" t="str">
        <f>IMAGE("https://raw.githubusercontent.com/msikma/pokesprite/master/items/mega-stone/mawilite.png",3)</f>
        <v/>
      </c>
      <c r="AD726" s="3053" t="s">
        <v>426</v>
      </c>
      <c r="AE726" s="3054"/>
      <c r="AF726" s="3055"/>
      <c r="AG726" s="3056" t="str">
        <f>IMAGE("https://raw.githubusercontent.com/msikma/pokesprite/master/items/hold-item/power-herb.png",3)</f>
        <v/>
      </c>
      <c r="AH726" s="3187"/>
      <c r="AI726" s="6192"/>
    </row>
    <row r="727" ht="20.25" customHeight="1">
      <c r="A727" s="6185"/>
      <c r="B727" s="3183"/>
      <c r="C727" s="3204"/>
      <c r="D727" s="3193"/>
      <c r="E727" s="3046" t="s">
        <v>476</v>
      </c>
      <c r="F727" s="3047"/>
      <c r="G727" s="3059"/>
      <c r="H727" s="3060" t="str">
        <f>IMAGE("https://raw.githubusercontent.com/msikma/pokesprite/master/misc/types/gen8/normal.png",4,20,20)</f>
        <v/>
      </c>
      <c r="I727" s="3198"/>
      <c r="J727" s="3046" t="s">
        <v>285</v>
      </c>
      <c r="K727" s="3047"/>
      <c r="L727" s="3059"/>
      <c r="M727" s="3060" t="str">
        <f t="shared" ref="M727:M728" si="27">IMAGE("https://raw.githubusercontent.com/msikma/pokesprite/master/misc/types/gen8/ice.png",4,20,20)</f>
        <v/>
      </c>
      <c r="N727" s="3198"/>
      <c r="O727" s="3046" t="s">
        <v>1724</v>
      </c>
      <c r="P727" s="3047"/>
      <c r="Q727" s="3059"/>
      <c r="R727" s="3060" t="str">
        <f>IMAGE("https://raw.githubusercontent.com/msikma/pokesprite/master/misc/types/gen8/normal.png",4,20,20)</f>
        <v/>
      </c>
      <c r="S727" s="3198"/>
      <c r="T727" s="3046" t="s">
        <v>1324</v>
      </c>
      <c r="U727" s="3047"/>
      <c r="V727" s="3059"/>
      <c r="W727" s="3060" t="str">
        <f>IMAGE("https://raw.githubusercontent.com/msikma/pokesprite/master/misc/types/gen8/ice.png",4,20,20)</f>
        <v/>
      </c>
      <c r="Y727" s="3046" t="s">
        <v>407</v>
      </c>
      <c r="Z727" s="3047"/>
      <c r="AA727" s="3059"/>
      <c r="AB727" s="3060" t="str">
        <f>IMAGE("https://raw.githubusercontent.com/msikma/pokesprite/master/misc/types/gen8/steel.png",4,20,20)</f>
        <v/>
      </c>
      <c r="AD727" s="3046" t="s">
        <v>1725</v>
      </c>
      <c r="AE727" s="3047"/>
      <c r="AF727" s="3059"/>
      <c r="AG727" s="3060" t="str">
        <f t="shared" ref="AG727:AG728" si="28">IMAGE("https://raw.githubusercontent.com/msikma/pokesprite/master/misc/types/gen8/fairy.png",4,20,20)</f>
        <v/>
      </c>
      <c r="AH727" s="3187"/>
      <c r="AI727" s="6192"/>
    </row>
    <row r="728" ht="20.25" customHeight="1">
      <c r="A728" s="6185"/>
      <c r="B728" s="3183"/>
      <c r="C728" s="3206"/>
      <c r="D728" s="3193"/>
      <c r="E728" s="3050" t="s">
        <v>1577</v>
      </c>
      <c r="F728" s="3051"/>
      <c r="G728" s="3063"/>
      <c r="H728" s="3064" t="str">
        <f>IMAGE("https://raw.githubusercontent.com/msikma/pokesprite/master/misc/types/gen8/fighting.png",4,20,20)</f>
        <v/>
      </c>
      <c r="I728" s="3198"/>
      <c r="J728" s="3050" t="s">
        <v>947</v>
      </c>
      <c r="K728" s="3051"/>
      <c r="L728" s="3063"/>
      <c r="M728" s="3064" t="str">
        <f t="shared" si="27"/>
        <v/>
      </c>
      <c r="N728" s="3198"/>
      <c r="O728" s="3050" t="s">
        <v>1726</v>
      </c>
      <c r="P728" s="3051"/>
      <c r="Q728" s="3063"/>
      <c r="R728" s="3064" t="str">
        <f>IMAGE("https://raw.githubusercontent.com/msikma/pokesprite/master/misc/types/gen8/fire.png",4,20,20)</f>
        <v/>
      </c>
      <c r="S728" s="3198"/>
      <c r="T728" s="3050" t="s">
        <v>246</v>
      </c>
      <c r="U728" s="3051"/>
      <c r="V728" s="3063"/>
      <c r="W728" s="3064" t="str">
        <f>IMAGE("https://raw.githubusercontent.com/msikma/pokesprite/master/misc/types/gen8/water.png",4,20,20)</f>
        <v/>
      </c>
      <c r="Y728" s="3050" t="s">
        <v>556</v>
      </c>
      <c r="Z728" s="3051"/>
      <c r="AA728" s="3063"/>
      <c r="AB728" s="3064" t="str">
        <f>IMAGE("https://raw.githubusercontent.com/msikma/pokesprite/master/misc/types/gen8/fairy.png",4,20,20)</f>
        <v/>
      </c>
      <c r="AD728" s="3050" t="s">
        <v>1397</v>
      </c>
      <c r="AE728" s="3051"/>
      <c r="AF728" s="3063"/>
      <c r="AG728" s="3064" t="str">
        <f t="shared" si="28"/>
        <v/>
      </c>
      <c r="AH728" s="3187"/>
      <c r="AI728" s="6192"/>
    </row>
    <row r="729" ht="20.25" customHeight="1">
      <c r="A729" s="6185"/>
      <c r="B729" s="3183"/>
      <c r="C729" s="3206"/>
      <c r="D729" s="3193"/>
      <c r="E729" s="3050" t="s">
        <v>1278</v>
      </c>
      <c r="F729" s="3051"/>
      <c r="G729" s="3063"/>
      <c r="H729" s="3064" t="str">
        <f>IMAGE("https://raw.githubusercontent.com/msikma/pokesprite/master/misc/types/gen8/dark.png",4,20,20)</f>
        <v/>
      </c>
      <c r="I729" s="3198"/>
      <c r="J729" s="3050" t="s">
        <v>639</v>
      </c>
      <c r="K729" s="3051"/>
      <c r="L729" s="3063"/>
      <c r="M729" s="3064" t="str">
        <f>IMAGE("https://raw.githubusercontent.com/msikma/pokesprite/master/misc/types/gen8/fighting.png",4,20,20)</f>
        <v/>
      </c>
      <c r="N729" s="3198"/>
      <c r="O729" s="3050" t="s">
        <v>1727</v>
      </c>
      <c r="P729" s="3051"/>
      <c r="Q729" s="3063"/>
      <c r="R729" s="3064" t="str">
        <f>IMAGE("https://raw.githubusercontent.com/msikma/pokesprite/master/misc/types/gen8/psychic.png",4,20,20)</f>
        <v/>
      </c>
      <c r="S729" s="3198"/>
      <c r="T729" s="3050" t="s">
        <v>184</v>
      </c>
      <c r="U729" s="3051"/>
      <c r="V729" s="3063"/>
      <c r="W729" s="3064" t="str">
        <f>IMAGE("https://raw.githubusercontent.com/msikma/pokesprite/master/misc/types/gen8/poison.png",4,20,20)</f>
        <v/>
      </c>
      <c r="Y729" s="3050" t="s">
        <v>541</v>
      </c>
      <c r="Z729" s="3051"/>
      <c r="AA729" s="3063"/>
      <c r="AB729" s="3064" t="str">
        <f>IMAGE("https://raw.githubusercontent.com/msikma/pokesprite/master/misc/types/gen8/dark.png",4,20,20)</f>
        <v/>
      </c>
      <c r="AD729" s="3050" t="s">
        <v>277</v>
      </c>
      <c r="AE729" s="3051"/>
      <c r="AF729" s="3063"/>
      <c r="AG729" s="3064" t="str">
        <f>IMAGE("https://raw.githubusercontent.com/msikma/pokesprite/master/misc/types/gen8/electric.png",4,20,20)</f>
        <v/>
      </c>
      <c r="AH729" s="3187"/>
      <c r="AI729" s="6192"/>
    </row>
    <row r="730" ht="21.0" customHeight="1">
      <c r="A730" s="6185"/>
      <c r="B730" s="3183"/>
      <c r="C730" s="3206"/>
      <c r="D730" s="3193"/>
      <c r="E730" s="3067" t="s">
        <v>278</v>
      </c>
      <c r="F730" s="3068"/>
      <c r="G730" s="3069"/>
      <c r="H730" s="3070" t="str">
        <f>IMAGE("https://raw.githubusercontent.com/msikma/pokesprite/master/misc/types/gen8/bug.png",4,20,20)</f>
        <v/>
      </c>
      <c r="I730" s="3198"/>
      <c r="J730" s="3067" t="s">
        <v>540</v>
      </c>
      <c r="K730" s="3068"/>
      <c r="L730" s="3069"/>
      <c r="M730" s="3070" t="str">
        <f>IMAGE("https://raw.githubusercontent.com/msikma/pokesprite/master/misc/types/gen8/dark.png",4,20,20)</f>
        <v/>
      </c>
      <c r="N730" s="3198"/>
      <c r="O730" s="3067" t="s">
        <v>377</v>
      </c>
      <c r="P730" s="3068"/>
      <c r="Q730" s="3069"/>
      <c r="R730" s="3070" t="str">
        <f>IMAGE("https://raw.githubusercontent.com/msikma/pokesprite/master/misc/types/gen8/grass.png",4,20,20)</f>
        <v/>
      </c>
      <c r="S730" s="3198"/>
      <c r="T730" s="3067" t="s">
        <v>279</v>
      </c>
      <c r="U730" s="3068"/>
      <c r="V730" s="3069"/>
      <c r="W730" s="3070" t="str">
        <f>IMAGE("https://raw.githubusercontent.com/msikma/pokesprite/master/misc/types/gen8/dark.png",4,20,20)</f>
        <v/>
      </c>
      <c r="X730" s="6737"/>
      <c r="Y730" s="3067" t="s">
        <v>249</v>
      </c>
      <c r="Z730" s="3068"/>
      <c r="AA730" s="3069"/>
      <c r="AB730" s="3070" t="str">
        <f>IMAGE("https://raw.githubusercontent.com/msikma/pokesprite/master/misc/types/gen8/electric.png",4,20,20)</f>
        <v/>
      </c>
      <c r="AC730" s="6737"/>
      <c r="AD730" s="3067" t="s">
        <v>464</v>
      </c>
      <c r="AE730" s="3068"/>
      <c r="AF730" s="3069"/>
      <c r="AG730" s="3070" t="str">
        <f>IMAGE("https://raw.githubusercontent.com/msikma/pokesprite/master/misc/types/gen8/fairy.png",4,20,20)</f>
        <v/>
      </c>
      <c r="AH730" s="3187"/>
      <c r="AI730" s="6192"/>
    </row>
    <row r="731" ht="3.0" customHeight="1">
      <c r="A731" s="6185"/>
      <c r="B731" s="3208"/>
      <c r="C731" s="3209"/>
      <c r="D731" s="3210"/>
      <c r="E731" s="3211"/>
      <c r="F731" s="3211"/>
      <c r="G731" s="3211"/>
      <c r="H731" s="3211"/>
      <c r="I731" s="3210"/>
      <c r="J731" s="3211"/>
      <c r="K731" s="3211"/>
      <c r="L731" s="3211"/>
      <c r="M731" s="3211"/>
      <c r="N731" s="3210"/>
      <c r="O731" s="3211"/>
      <c r="P731" s="3211"/>
      <c r="Q731" s="3211"/>
      <c r="R731" s="3211"/>
      <c r="S731" s="3210"/>
      <c r="T731" s="3211"/>
      <c r="U731" s="3211"/>
      <c r="V731" s="3211"/>
      <c r="W731" s="3211"/>
      <c r="X731" s="3210"/>
      <c r="Y731" s="3211"/>
      <c r="Z731" s="3211"/>
      <c r="AA731" s="3211"/>
      <c r="AB731" s="3211"/>
      <c r="AC731" s="3213"/>
      <c r="AD731" s="3211"/>
      <c r="AE731" s="3211"/>
      <c r="AF731" s="3211"/>
      <c r="AG731" s="3211"/>
      <c r="AH731" s="3214"/>
      <c r="AI731" s="6192"/>
    </row>
    <row r="732" ht="16.5" customHeight="1">
      <c r="A732" s="6185"/>
      <c r="B732" s="3215"/>
      <c r="C732" s="3209"/>
      <c r="D732" s="3216"/>
      <c r="E732" s="3084" t="s">
        <v>190</v>
      </c>
      <c r="F732" s="381"/>
      <c r="G732" s="382"/>
      <c r="H732" s="3085" t="s">
        <v>191</v>
      </c>
      <c r="I732" s="3217"/>
      <c r="J732" s="3084" t="s">
        <v>190</v>
      </c>
      <c r="K732" s="381"/>
      <c r="L732" s="382"/>
      <c r="M732" s="3085" t="s">
        <v>191</v>
      </c>
      <c r="N732" s="3217"/>
      <c r="O732" s="3084" t="s">
        <v>190</v>
      </c>
      <c r="P732" s="381"/>
      <c r="Q732" s="382"/>
      <c r="R732" s="3085" t="s">
        <v>191</v>
      </c>
      <c r="S732" s="3217"/>
      <c r="T732" s="3084" t="s">
        <v>190</v>
      </c>
      <c r="U732" s="381"/>
      <c r="V732" s="382"/>
      <c r="W732" s="3085" t="s">
        <v>191</v>
      </c>
      <c r="X732" s="6738"/>
      <c r="Y732" s="3084" t="s">
        <v>190</v>
      </c>
      <c r="Z732" s="381"/>
      <c r="AA732" s="382"/>
      <c r="AB732" s="3085" t="s">
        <v>191</v>
      </c>
      <c r="AC732" s="6739"/>
      <c r="AD732" s="3084" t="s">
        <v>190</v>
      </c>
      <c r="AE732" s="381"/>
      <c r="AF732" s="382"/>
      <c r="AG732" s="3085" t="s">
        <v>191</v>
      </c>
      <c r="AH732" s="3220"/>
      <c r="AI732" s="6192"/>
    </row>
    <row r="733" ht="16.5" customHeight="1">
      <c r="A733" s="6185"/>
      <c r="B733" s="3215"/>
      <c r="C733" s="3209"/>
      <c r="D733" s="3216"/>
      <c r="E733" s="3090" t="s">
        <v>192</v>
      </c>
      <c r="F733" s="3091">
        <f t="array" ref="F733">IFERROR(VLOOKUP(E720,Dex!$B$3:$N1218,8,FALSE),"")</f>
        <v>75</v>
      </c>
      <c r="G733" s="3092" t="str">
        <f t="array" ref="G733">IFERROR(VLOOKUP(F733,Dex!$P$22:$Q$276,2,FALSE),"")</f>
        <v/>
      </c>
      <c r="H733" s="3093">
        <v>6.0</v>
      </c>
      <c r="I733" s="3217"/>
      <c r="J733" s="3090" t="s">
        <v>192</v>
      </c>
      <c r="K733" s="3091">
        <f t="array" ref="K733">IFERROR(VLOOKUP(J720,Dex!$B$3:$N1218,8,FALSE),"")</f>
        <v>70</v>
      </c>
      <c r="L733" s="3092" t="str">
        <f t="array" ref="L733">IFERROR(VLOOKUP(K733,Dex!$P$22:$Q$276,2,FALSE),"")</f>
        <v/>
      </c>
      <c r="M733" s="3093">
        <v>6.0</v>
      </c>
      <c r="N733" s="3217"/>
      <c r="O733" s="3090" t="s">
        <v>192</v>
      </c>
      <c r="P733" s="3091">
        <f t="array" ref="P733">IFERROR(VLOOKUP(O720,Dex!$B$3:$N1218,8,FALSE),"")</f>
        <v>100</v>
      </c>
      <c r="Q733" s="3092" t="str">
        <f t="array" ref="Q733">IFERROR(VLOOKUP(P733,Dex!$P$22:$Q$276,2,FALSE),"")</f>
        <v/>
      </c>
      <c r="R733" s="3093">
        <v>6.0</v>
      </c>
      <c r="S733" s="3217"/>
      <c r="T733" s="3090" t="s">
        <v>192</v>
      </c>
      <c r="U733" s="3091">
        <f t="array" ref="U733">IFERROR(VLOOKUP(T720,Dex!$B$3:$N1218,8,FALSE),"")</f>
        <v>50</v>
      </c>
      <c r="V733" s="3092" t="str">
        <f t="array" ref="V733">IFERROR(VLOOKUP(U733,Dex!$P$22:$Q$276,2,FALSE),"")</f>
        <v/>
      </c>
      <c r="W733" s="3093">
        <v>252.0</v>
      </c>
      <c r="X733" s="3218"/>
      <c r="Y733" s="3090" t="s">
        <v>192</v>
      </c>
      <c r="Z733" s="3091">
        <f t="array" ref="Z733">IFERROR(VLOOKUP(Y720,Dex!$B$3:$N1218,8,FALSE),"")</f>
        <v>50</v>
      </c>
      <c r="AA733" s="3092" t="str">
        <f t="array" ref="AA733">IFERROR(VLOOKUP(Z733,Dex!$P$22:$Q$276,2,FALSE),"")</f>
        <v/>
      </c>
      <c r="AB733" s="3093">
        <v>252.0</v>
      </c>
      <c r="AC733" s="3219"/>
      <c r="AD733" s="3090" t="s">
        <v>192</v>
      </c>
      <c r="AE733" s="3091">
        <f t="array" ref="AE733">IFERROR(VLOOKUP(AD720,Dex!$B$3:$N1218,8,FALSE),"")</f>
        <v>126</v>
      </c>
      <c r="AF733" s="3092" t="str">
        <f t="array" ref="AF733">IFERROR(VLOOKUP(AE733,Dex!$P$22:$Q$276,2,FALSE),"")</f>
        <v/>
      </c>
      <c r="AG733" s="3093">
        <v>252.0</v>
      </c>
      <c r="AH733" s="3220"/>
      <c r="AI733" s="6192"/>
    </row>
    <row r="734" ht="16.5" customHeight="1">
      <c r="A734" s="6185"/>
      <c r="B734" s="3215"/>
      <c r="C734" s="3209"/>
      <c r="D734" s="3216"/>
      <c r="E734" s="3096" t="s">
        <v>193</v>
      </c>
      <c r="F734" s="3097">
        <f t="array" ref="F734">IFERROR(VLOOKUP(E720,Dex!$B$3:$N1218,9,FALSE),"")</f>
        <v>100</v>
      </c>
      <c r="G734" s="3098" t="str">
        <f t="array" ref="G734">IFERROR(VLOOKUP(F734,Dex!$P$22:$Q$276,2,FALSE),"")</f>
        <v/>
      </c>
      <c r="H734" s="3099">
        <v>252.0</v>
      </c>
      <c r="I734" s="3217"/>
      <c r="J734" s="3096" t="s">
        <v>193</v>
      </c>
      <c r="K734" s="3097">
        <f t="array" ref="K734">IFERROR(VLOOKUP(J720,Dex!$B$3:$N1218,9,FALSE),"")</f>
        <v>120</v>
      </c>
      <c r="L734" s="3098" t="str">
        <f t="array" ref="L734">IFERROR(VLOOKUP(K734,Dex!$P$22:$Q$276,2,FALSE),"")</f>
        <v/>
      </c>
      <c r="M734" s="3099">
        <v>252.0</v>
      </c>
      <c r="N734" s="3217"/>
      <c r="O734" s="3096" t="s">
        <v>193</v>
      </c>
      <c r="P734" s="3097">
        <f t="array" ref="P734">IFERROR(VLOOKUP(O720,Dex!$B$3:$N1218,9,FALSE),"")</f>
        <v>100</v>
      </c>
      <c r="Q734" s="3098" t="str">
        <f t="array" ref="Q734">IFERROR(VLOOKUP(P734,Dex!$P$22:$Q$276,2,FALSE),"")</f>
        <v/>
      </c>
      <c r="R734" s="3099"/>
      <c r="S734" s="3217"/>
      <c r="T734" s="3096" t="s">
        <v>193</v>
      </c>
      <c r="U734" s="3097">
        <f t="array" ref="U734">IFERROR(VLOOKUP(T720,Dex!$B$3:$N1218,9,FALSE),"")</f>
        <v>63</v>
      </c>
      <c r="V734" s="3098" t="str">
        <f t="array" ref="V734">IFERROR(VLOOKUP(U734,Dex!$P$22:$Q$276,2,FALSE),"")</f>
        <v/>
      </c>
      <c r="W734" s="3099"/>
      <c r="X734" s="3218"/>
      <c r="Y734" s="3096" t="s">
        <v>193</v>
      </c>
      <c r="Z734" s="3097">
        <f t="array" ref="Z734">IFERROR(VLOOKUP(Y720,Dex!$B$3:$N1218,9,FALSE),"")</f>
        <v>105</v>
      </c>
      <c r="AA734" s="3098" t="str">
        <f t="array" ref="AA734">IFERROR(VLOOKUP(Z734,Dex!$P$22:$Q$276,2,FALSE),"")</f>
        <v/>
      </c>
      <c r="AB734" s="3099">
        <v>252.0</v>
      </c>
      <c r="AC734" s="3219"/>
      <c r="AD734" s="3096" t="s">
        <v>193</v>
      </c>
      <c r="AE734" s="3097">
        <f t="array" ref="AE734">IFERROR(VLOOKUP(AD720,Dex!$B$3:$N1218,9,FALSE),"")</f>
        <v>131</v>
      </c>
      <c r="AF734" s="3098" t="str">
        <f t="array" ref="AF734">IFERROR(VLOOKUP(AE734,Dex!$P$22:$Q$276,2,FALSE),"")</f>
        <v/>
      </c>
      <c r="AG734" s="3099"/>
      <c r="AH734" s="3220"/>
      <c r="AI734" s="6192"/>
    </row>
    <row r="735" ht="16.5" customHeight="1">
      <c r="A735" s="6185"/>
      <c r="B735" s="3215"/>
      <c r="C735" s="3209"/>
      <c r="D735" s="3216"/>
      <c r="E735" s="3096" t="s">
        <v>194</v>
      </c>
      <c r="F735" s="3097">
        <f t="array" ref="F735">IFERROR(VLOOKUP(E720,Dex!$B$3:$N1218,10,FALSE),"")</f>
        <v>66</v>
      </c>
      <c r="G735" s="3098" t="str">
        <f t="array" ref="G735">IFERROR(VLOOKUP(F735,Dex!$P$22:$Q$276,2,FALSE),"")</f>
        <v/>
      </c>
      <c r="H735" s="3099"/>
      <c r="I735" s="3217"/>
      <c r="J735" s="3096" t="s">
        <v>194</v>
      </c>
      <c r="K735" s="3097">
        <f t="array" ref="K735">IFERROR(VLOOKUP(J720,Dex!$B$3:$N1218,10,FALSE),"")</f>
        <v>65</v>
      </c>
      <c r="L735" s="3098" t="str">
        <f t="array" ref="L735">IFERROR(VLOOKUP(K735,Dex!$P$22:$Q$276,2,FALSE),"")</f>
        <v/>
      </c>
      <c r="M735" s="3099"/>
      <c r="N735" s="3217"/>
      <c r="O735" s="3096" t="s">
        <v>194</v>
      </c>
      <c r="P735" s="3097">
        <f t="array" ref="P735">IFERROR(VLOOKUP(O720,Dex!$B$3:$N1218,10,FALSE),"")</f>
        <v>100</v>
      </c>
      <c r="Q735" s="3098" t="str">
        <f t="array" ref="Q735">IFERROR(VLOOKUP(P735,Dex!$P$22:$Q$276,2,FALSE),"")</f>
        <v/>
      </c>
      <c r="R735" s="3099"/>
      <c r="S735" s="3217"/>
      <c r="T735" s="3096" t="s">
        <v>194</v>
      </c>
      <c r="U735" s="3097">
        <f t="array" ref="U735">IFERROR(VLOOKUP(T720,Dex!$B$3:$N1218,10,FALSE),"")</f>
        <v>152</v>
      </c>
      <c r="V735" s="3098" t="str">
        <f t="array" ref="V735">IFERROR(VLOOKUP(U735,Dex!$P$22:$Q$276,2,FALSE),"")</f>
        <v/>
      </c>
      <c r="W735" s="3099">
        <v>252.0</v>
      </c>
      <c r="X735" s="3218"/>
      <c r="Y735" s="3096" t="s">
        <v>194</v>
      </c>
      <c r="Z735" s="3097">
        <f t="array" ref="Z735">IFERROR(VLOOKUP(Y720,Dex!$B$3:$N1218,10,FALSE),"")</f>
        <v>125</v>
      </c>
      <c r="AA735" s="3098" t="str">
        <f t="array" ref="AA735">IFERROR(VLOOKUP(Z735,Dex!$P$22:$Q$276,2,FALSE),"")</f>
        <v/>
      </c>
      <c r="AB735" s="3099"/>
      <c r="AC735" s="3219"/>
      <c r="AD735" s="3096" t="s">
        <v>194</v>
      </c>
      <c r="AE735" s="3097">
        <f t="array" ref="AE735">IFERROR(VLOOKUP(AD720,Dex!$B$3:$N1218,10,FALSE),"")</f>
        <v>95</v>
      </c>
      <c r="AF735" s="3098" t="str">
        <f t="array" ref="AF735">IFERROR(VLOOKUP(AE735,Dex!$P$22:$Q$276,2,FALSE),"")</f>
        <v/>
      </c>
      <c r="AG735" s="3099"/>
      <c r="AH735" s="3220"/>
      <c r="AI735" s="6192"/>
    </row>
    <row r="736" ht="16.5" customHeight="1">
      <c r="A736" s="6185"/>
      <c r="B736" s="3215"/>
      <c r="C736" s="3209"/>
      <c r="D736" s="3216"/>
      <c r="E736" s="3096" t="s">
        <v>195</v>
      </c>
      <c r="F736" s="3097">
        <f t="array" ref="F736">IFERROR(VLOOKUP(E720,Dex!$B$3:$N1218,11,FALSE),"")</f>
        <v>60</v>
      </c>
      <c r="G736" s="3098" t="str">
        <f t="array" ref="G736">IFERROR(VLOOKUP(F736,Dex!$P$22:$Q$276,2,FALSE),"")</f>
        <v/>
      </c>
      <c r="H736" s="3099"/>
      <c r="I736" s="3217"/>
      <c r="J736" s="3096" t="s">
        <v>195</v>
      </c>
      <c r="K736" s="3097">
        <f t="array" ref="K736">IFERROR(VLOOKUP(J720,Dex!$B$3:$N1218,11,FALSE),"")</f>
        <v>45</v>
      </c>
      <c r="L736" s="3098" t="str">
        <f t="array" ref="L736">IFERROR(VLOOKUP(K736,Dex!$P$22:$Q$276,2,FALSE),"")</f>
        <v/>
      </c>
      <c r="M736" s="3099"/>
      <c r="N736" s="3217"/>
      <c r="O736" s="3096" t="s">
        <v>195</v>
      </c>
      <c r="P736" s="3097">
        <f t="array" ref="P736">IFERROR(VLOOKUP(O720,Dex!$B$3:$N1218,11,FALSE),"")</f>
        <v>100</v>
      </c>
      <c r="Q736" s="3098" t="str">
        <f t="array" ref="Q736">IFERROR(VLOOKUP(P736,Dex!$P$22:$Q$276,2,FALSE),"")</f>
        <v/>
      </c>
      <c r="R736" s="3099">
        <v>252.0</v>
      </c>
      <c r="S736" s="3217"/>
      <c r="T736" s="3096" t="s">
        <v>195</v>
      </c>
      <c r="U736" s="3097">
        <f t="array" ref="U736">IFERROR(VLOOKUP(T720,Dex!$B$3:$N1218,11,FALSE),"")</f>
        <v>53</v>
      </c>
      <c r="V736" s="3098" t="str">
        <f t="array" ref="V736">IFERROR(VLOOKUP(U736,Dex!$P$22:$Q$276,2,FALSE),"")</f>
        <v/>
      </c>
      <c r="W736" s="3099"/>
      <c r="X736" s="3218"/>
      <c r="Y736" s="3096" t="s">
        <v>195</v>
      </c>
      <c r="Z736" s="3097">
        <f t="array" ref="Z736">IFERROR(VLOOKUP(Y720,Dex!$B$3:$N1218,11,FALSE),"")</f>
        <v>55</v>
      </c>
      <c r="AA736" s="3098" t="str">
        <f t="array" ref="AA736">IFERROR(VLOOKUP(Z736,Dex!$P$22:$Q$276,2,FALSE),"")</f>
        <v/>
      </c>
      <c r="AB736" s="3099"/>
      <c r="AC736" s="3219"/>
      <c r="AD736" s="3096" t="s">
        <v>195</v>
      </c>
      <c r="AE736" s="3097">
        <f t="array" ref="AE736">IFERROR(VLOOKUP(AD720,Dex!$B$3:$N1218,11,FALSE),"")</f>
        <v>131</v>
      </c>
      <c r="AF736" s="3098" t="str">
        <f t="array" ref="AF736">IFERROR(VLOOKUP(AE736,Dex!$P$22:$Q$276,2,FALSE),"")</f>
        <v/>
      </c>
      <c r="AG736" s="3099">
        <v>252.0</v>
      </c>
      <c r="AH736" s="3220"/>
      <c r="AI736" s="6192"/>
    </row>
    <row r="737" ht="16.5" customHeight="1">
      <c r="A737" s="6185"/>
      <c r="B737" s="3215"/>
      <c r="C737" s="3209"/>
      <c r="D737" s="3216"/>
      <c r="E737" s="3096" t="s">
        <v>196</v>
      </c>
      <c r="F737" s="3097">
        <f t="array" ref="F737">IFERROR(VLOOKUP(E720,Dex!$B$3:$N1218,12,FALSE),"")</f>
        <v>66</v>
      </c>
      <c r="G737" s="3098" t="str">
        <f t="array" ref="G737">IFERROR(VLOOKUP(F737,Dex!$P$22:$Q$276,2,FALSE),"")</f>
        <v/>
      </c>
      <c r="H737" s="3099"/>
      <c r="I737" s="3217"/>
      <c r="J737" s="3096" t="s">
        <v>196</v>
      </c>
      <c r="K737" s="3097">
        <f t="array" ref="K737">IFERROR(VLOOKUP(J720,Dex!$B$3:$N1218,12,FALSE),"")</f>
        <v>85</v>
      </c>
      <c r="L737" s="3098" t="str">
        <f t="array" ref="L737">IFERROR(VLOOKUP(K737,Dex!$P$22:$Q$276,2,FALSE),"")</f>
        <v/>
      </c>
      <c r="M737" s="3099"/>
      <c r="N737" s="3217"/>
      <c r="O737" s="3096" t="s">
        <v>196</v>
      </c>
      <c r="P737" s="3097">
        <f t="array" ref="P737">IFERROR(VLOOKUP(O720,Dex!$B$3:$N1218,12,FALSE),"")</f>
        <v>100</v>
      </c>
      <c r="Q737" s="3098" t="str">
        <f t="array" ref="Q737">IFERROR(VLOOKUP(P737,Dex!$P$22:$Q$276,2,FALSE),"")</f>
        <v/>
      </c>
      <c r="R737" s="3099"/>
      <c r="S737" s="3217"/>
      <c r="T737" s="3096" t="s">
        <v>196</v>
      </c>
      <c r="U737" s="3097">
        <f t="array" ref="U737">IFERROR(VLOOKUP(T720,Dex!$B$3:$N1218,12,FALSE),"")</f>
        <v>142</v>
      </c>
      <c r="V737" s="3098" t="str">
        <f t="array" ref="V737">IFERROR(VLOOKUP(U737,Dex!$P$22:$Q$276,2,FALSE),"")</f>
        <v/>
      </c>
      <c r="W737" s="3099"/>
      <c r="X737" s="3218"/>
      <c r="Y737" s="3096" t="s">
        <v>196</v>
      </c>
      <c r="Z737" s="3097">
        <f t="array" ref="Z737">IFERROR(VLOOKUP(Y720,Dex!$B$3:$N1218,12,FALSE),"")</f>
        <v>95</v>
      </c>
      <c r="AA737" s="3098" t="str">
        <f t="array" ref="AA737">IFERROR(VLOOKUP(Z737,Dex!$P$22:$Q$276,2,FALSE),"")</f>
        <v/>
      </c>
      <c r="AB737" s="3099"/>
      <c r="AC737" s="3219"/>
      <c r="AD737" s="3096" t="s">
        <v>196</v>
      </c>
      <c r="AE737" s="3097">
        <f t="array" ref="AE737">IFERROR(VLOOKUP(AD720,Dex!$B$3:$N1218,12,FALSE),"")</f>
        <v>98</v>
      </c>
      <c r="AF737" s="3098" t="str">
        <f t="array" ref="AF737">IFERROR(VLOOKUP(AE737,Dex!$P$22:$Q$276,2,FALSE),"")</f>
        <v/>
      </c>
      <c r="AG737" s="3099"/>
      <c r="AH737" s="3220"/>
      <c r="AI737" s="6192"/>
    </row>
    <row r="738" ht="16.5" customHeight="1">
      <c r="A738" s="6185"/>
      <c r="B738" s="3215"/>
      <c r="C738" s="3209"/>
      <c r="D738" s="3216"/>
      <c r="E738" s="3100" t="s">
        <v>197</v>
      </c>
      <c r="F738" s="3101">
        <f t="array" ref="F738">IFERROR(VLOOKUP(E720,Dex!$B$3:$N1218,13,FALSE),"")</f>
        <v>115</v>
      </c>
      <c r="G738" s="3102" t="str">
        <f t="array" ref="G738">IFERROR(VLOOKUP(F738,Dex!$P$22:$Q$276,2,FALSE),"")</f>
        <v/>
      </c>
      <c r="H738" s="3103">
        <v>252.0</v>
      </c>
      <c r="I738" s="3217"/>
      <c r="J738" s="3100" t="s">
        <v>197</v>
      </c>
      <c r="K738" s="3101">
        <f t="array" ref="K738">IFERROR(VLOOKUP(J720,Dex!$B$3:$N1218,13,FALSE),"")</f>
        <v>125</v>
      </c>
      <c r="L738" s="3102" t="str">
        <f t="array" ref="L738">IFERROR(VLOOKUP(K738,Dex!$P$22:$Q$276,2,FALSE),"")</f>
        <v/>
      </c>
      <c r="M738" s="3103">
        <v>252.0</v>
      </c>
      <c r="N738" s="3217"/>
      <c r="O738" s="3100" t="s">
        <v>197</v>
      </c>
      <c r="P738" s="3101">
        <f t="array" ref="P738">IFERROR(VLOOKUP(O720,Dex!$B$3:$N1218,13,FALSE),"")</f>
        <v>100</v>
      </c>
      <c r="Q738" s="3102" t="str">
        <f t="array" ref="Q738">IFERROR(VLOOKUP(P738,Dex!$P$22:$Q$276,2,FALSE),"")</f>
        <v/>
      </c>
      <c r="R738" s="3103">
        <v>252.0</v>
      </c>
      <c r="S738" s="3217"/>
      <c r="T738" s="3100" t="s">
        <v>197</v>
      </c>
      <c r="U738" s="3101">
        <f t="array" ref="U738">IFERROR(VLOOKUP(T720,Dex!$B$3:$N1218,13,FALSE),"")</f>
        <v>35</v>
      </c>
      <c r="V738" s="3102" t="str">
        <f t="array" ref="V738">IFERROR(VLOOKUP(U738,Dex!$P$22:$Q$276,2,FALSE),"")</f>
        <v/>
      </c>
      <c r="W738" s="3103"/>
      <c r="X738" s="3218"/>
      <c r="Y738" s="3100" t="s">
        <v>197</v>
      </c>
      <c r="Z738" s="3101">
        <f t="array" ref="Z738">IFERROR(VLOOKUP(Y720,Dex!$B$3:$N1218,13,FALSE),"")</f>
        <v>50</v>
      </c>
      <c r="AA738" s="3102" t="str">
        <f t="array" ref="AA738">IFERROR(VLOOKUP(Z738,Dex!$P$22:$Q$276,2,FALSE),"")</f>
        <v/>
      </c>
      <c r="AB738" s="3103">
        <v>6.0</v>
      </c>
      <c r="AC738" s="3219"/>
      <c r="AD738" s="3100" t="s">
        <v>197</v>
      </c>
      <c r="AE738" s="3101">
        <f t="array" ref="AE738">IFERROR(VLOOKUP(AD720,Dex!$B$3:$N1218,13,FALSE),"")</f>
        <v>99</v>
      </c>
      <c r="AF738" s="3102" t="str">
        <f t="array" ref="AF738">IFERROR(VLOOKUP(AE738,Dex!$P$22:$Q$276,2,FALSE),"")</f>
        <v/>
      </c>
      <c r="AG738" s="3103">
        <v>6.0</v>
      </c>
      <c r="AH738" s="3220"/>
      <c r="AI738" s="6192"/>
    </row>
    <row r="739" ht="16.5" customHeight="1">
      <c r="A739" s="6185"/>
      <c r="B739" s="3215"/>
      <c r="C739" s="3209"/>
      <c r="D739" s="3216"/>
      <c r="E739" s="3104" t="s">
        <v>198</v>
      </c>
      <c r="F739" s="405"/>
      <c r="G739" s="406"/>
      <c r="H739" s="3105">
        <v>361.0</v>
      </c>
      <c r="I739" s="3217"/>
      <c r="J739" s="3104" t="s">
        <v>198</v>
      </c>
      <c r="K739" s="405"/>
      <c r="L739" s="406"/>
      <c r="M739" s="3105">
        <v>383.0</v>
      </c>
      <c r="N739" s="3217"/>
      <c r="O739" s="6740" t="s">
        <v>198</v>
      </c>
      <c r="P739" s="918"/>
      <c r="Q739" s="919"/>
      <c r="R739" s="6741">
        <v>328.0</v>
      </c>
      <c r="S739" s="3217"/>
      <c r="T739" s="3104" t="s">
        <v>198</v>
      </c>
      <c r="U739" s="405"/>
      <c r="V739" s="406"/>
      <c r="W739" s="3105">
        <v>106.0</v>
      </c>
      <c r="X739" s="6738"/>
      <c r="Y739" s="3104" t="s">
        <v>198</v>
      </c>
      <c r="Z739" s="405"/>
      <c r="AA739" s="406"/>
      <c r="AB739" s="3105">
        <v>137.0</v>
      </c>
      <c r="AC739" s="6739"/>
      <c r="AD739" s="6742" t="s">
        <v>198</v>
      </c>
      <c r="AE739" s="6743"/>
      <c r="AF739" s="6744"/>
      <c r="AG739" s="3105">
        <v>235.0</v>
      </c>
      <c r="AH739" s="3220"/>
      <c r="AI739" s="6192"/>
    </row>
    <row r="740" ht="16.5" customHeight="1">
      <c r="A740" s="6185"/>
      <c r="B740" s="6745"/>
      <c r="C740" s="6746"/>
      <c r="D740" s="6747"/>
      <c r="E740" s="6748"/>
      <c r="F740" s="6748"/>
      <c r="G740" s="6748"/>
      <c r="H740" s="6746"/>
      <c r="I740" s="6749"/>
      <c r="J740" s="6748"/>
      <c r="K740" s="6748"/>
      <c r="L740" s="6748"/>
      <c r="M740" s="6746"/>
      <c r="N740" s="6749"/>
      <c r="O740" s="6750" t="s">
        <v>1728</v>
      </c>
      <c r="P740" s="925"/>
      <c r="Q740" s="926"/>
      <c r="R740" s="6751">
        <v>492.0</v>
      </c>
      <c r="S740" s="6749"/>
      <c r="T740" s="6748"/>
      <c r="U740" s="6748"/>
      <c r="V740" s="6748"/>
      <c r="W740" s="6746"/>
      <c r="X740" s="6752"/>
      <c r="Y740" s="6748"/>
      <c r="Z740" s="6748"/>
      <c r="AA740" s="6748"/>
      <c r="AB740" s="6746"/>
      <c r="AC740" s="6753"/>
      <c r="AD740" s="6754" t="s">
        <v>1729</v>
      </c>
      <c r="AE740" s="3185"/>
      <c r="AF740" s="6755"/>
      <c r="AG740" s="6751">
        <f>AG739*2</f>
        <v>470</v>
      </c>
      <c r="AH740" s="6756"/>
      <c r="AI740" s="6192"/>
    </row>
    <row r="741" ht="15.0" customHeight="1">
      <c r="A741" s="6185"/>
      <c r="B741" s="3221"/>
      <c r="C741" s="3222"/>
      <c r="D741" s="3223"/>
      <c r="E741" s="3222"/>
      <c r="F741" s="3222"/>
      <c r="G741" s="3222"/>
      <c r="H741" s="3222"/>
      <c r="I741" s="3223"/>
      <c r="J741" s="3222"/>
      <c r="K741" s="3222"/>
      <c r="L741" s="3222"/>
      <c r="M741" s="3222"/>
      <c r="N741" s="3223"/>
      <c r="O741" s="3224"/>
      <c r="P741" s="3224"/>
      <c r="Q741" s="3224"/>
      <c r="R741" s="3224"/>
      <c r="S741" s="3223"/>
      <c r="T741" s="3222"/>
      <c r="U741" s="3222"/>
      <c r="V741" s="3222"/>
      <c r="W741" s="3222"/>
      <c r="X741" s="3223"/>
      <c r="Y741" s="3222"/>
      <c r="Z741" s="3222"/>
      <c r="AA741" s="3222"/>
      <c r="AB741" s="3222"/>
      <c r="AC741" s="3223"/>
      <c r="AD741" s="3222"/>
      <c r="AE741" s="3222"/>
      <c r="AF741" s="3222"/>
      <c r="AG741" s="3222"/>
      <c r="AH741" s="3227"/>
      <c r="AI741" s="6192"/>
    </row>
    <row r="742" ht="15.0" customHeight="1">
      <c r="A742" s="6185"/>
      <c r="B742" s="2677"/>
      <c r="C742" s="6757"/>
      <c r="D742" s="2679"/>
      <c r="E742" s="3171"/>
      <c r="F742" s="3171"/>
      <c r="G742" s="3171"/>
      <c r="H742" s="3171"/>
      <c r="I742" s="2679"/>
      <c r="J742" s="3171"/>
      <c r="K742" s="3171"/>
      <c r="L742" s="3171"/>
      <c r="M742" s="3171"/>
      <c r="N742" s="2679"/>
      <c r="O742" s="3171"/>
      <c r="P742" s="3171"/>
      <c r="Q742" s="3171"/>
      <c r="R742" s="3171"/>
      <c r="S742" s="2679"/>
      <c r="T742" s="2679"/>
      <c r="U742" s="2679"/>
      <c r="V742" s="2679"/>
      <c r="W742" s="2679"/>
      <c r="X742" s="2679"/>
      <c r="Y742" s="2679"/>
      <c r="Z742" s="2679"/>
      <c r="AA742" s="2679"/>
      <c r="AB742" s="2679"/>
      <c r="AC742" s="2679"/>
      <c r="AD742" s="2679"/>
      <c r="AE742" s="2679"/>
      <c r="AF742" s="2679"/>
      <c r="AG742" s="2679"/>
      <c r="AH742" s="2681"/>
      <c r="AI742" s="6192"/>
    </row>
    <row r="743">
      <c r="A743" s="6185"/>
      <c r="B743" s="6758"/>
      <c r="C743" s="6759"/>
      <c r="D743" s="6760"/>
      <c r="E743" s="6761" t="s">
        <v>1730</v>
      </c>
      <c r="F743" s="2733"/>
      <c r="G743" s="2733"/>
      <c r="H743" s="2733"/>
      <c r="I743" s="2733"/>
      <c r="J743" s="2733"/>
      <c r="K743" s="2733"/>
      <c r="L743" s="2733"/>
      <c r="M743" s="2733"/>
      <c r="N743" s="2733"/>
      <c r="O743" s="2733"/>
      <c r="P743" s="2733"/>
      <c r="Q743" s="2733"/>
      <c r="R743" s="2733"/>
      <c r="S743" s="2733"/>
      <c r="T743" s="2733"/>
      <c r="U743" s="2733"/>
      <c r="V743" s="2733"/>
      <c r="W743" s="2733"/>
      <c r="X743" s="2733"/>
      <c r="Y743" s="2733"/>
      <c r="Z743" s="2733"/>
      <c r="AA743" s="2733"/>
      <c r="AB743" s="2733"/>
      <c r="AC743" s="2733"/>
      <c r="AD743" s="2733"/>
      <c r="AE743" s="2733"/>
      <c r="AF743" s="2733"/>
      <c r="AG743" s="2733"/>
      <c r="AH743" s="6762"/>
      <c r="AI743" s="6192"/>
    </row>
    <row r="744" ht="96.75" customHeight="1">
      <c r="A744" s="6185"/>
      <c r="B744" s="2683"/>
      <c r="C744" s="6763" t="str">
        <f>IMAGE("https://i.ibb.co/xhnkr2Z/Archer.png")</f>
        <v/>
      </c>
      <c r="D744" s="2685"/>
      <c r="E744" s="6764" t="str">
        <f t="array" ref="E744">IFERROR(VLOOKUP(E745,Dex!$B$3:$G1218,3,FALSE),"")</f>
        <v/>
      </c>
      <c r="F744" s="381"/>
      <c r="G744" s="381"/>
      <c r="H744" s="4280"/>
      <c r="I744" s="2685"/>
      <c r="J744" s="6764" t="str">
        <f t="array" ref="J744">IFERROR(VLOOKUP(J745,Dex!$B$3:$G1218,3,FALSE),"")</f>
        <v/>
      </c>
      <c r="K744" s="381"/>
      <c r="L744" s="381"/>
      <c r="M744" s="4280"/>
      <c r="N744" s="2685"/>
      <c r="O744" s="6764" t="str">
        <f t="array" ref="O744">IFERROR(VLOOKUP(O745,Dex!$B$3:$G1218,3,FALSE),"")</f>
        <v/>
      </c>
      <c r="P744" s="381"/>
      <c r="Q744" s="381"/>
      <c r="R744" s="4280"/>
      <c r="S744" s="6765"/>
      <c r="T744" s="6764" t="str">
        <f t="array" ref="T744">IFERROR(VLOOKUP(T745,Dex!$B$3:$G1218,3,FALSE),"")</f>
        <v/>
      </c>
      <c r="U744" s="381"/>
      <c r="V744" s="381"/>
      <c r="W744" s="4280"/>
      <c r="X744" s="6765"/>
      <c r="Y744" s="6764" t="str">
        <f t="array" ref="Y744">IFERROR(VLOOKUP(Y745,Dex!$B$3:$G1218,3,FALSE),"")</f>
        <v/>
      </c>
      <c r="Z744" s="381"/>
      <c r="AA744" s="381"/>
      <c r="AB744" s="4280"/>
      <c r="AC744" s="6765"/>
      <c r="AD744" s="6764" t="str">
        <f t="array" ref="AD744">IFERROR(VLOOKUP(AD745,Dex!$B$3:$G1218,3,FALSE),"")</f>
        <v/>
      </c>
      <c r="AE744" s="381"/>
      <c r="AF744" s="381"/>
      <c r="AG744" s="4280"/>
      <c r="AH744" s="6766"/>
      <c r="AI744" s="6192"/>
    </row>
    <row r="745" ht="18.75" customHeight="1">
      <c r="A745" s="6185"/>
      <c r="B745" s="2693"/>
      <c r="C745" s="2694" t="s">
        <v>1731</v>
      </c>
      <c r="D745" s="2695"/>
      <c r="E745" s="2696" t="s">
        <v>383</v>
      </c>
      <c r="F745" s="2697"/>
      <c r="G745" s="2697"/>
      <c r="H745" s="2698"/>
      <c r="I745" s="2695"/>
      <c r="J745" s="2696" t="s">
        <v>1095</v>
      </c>
      <c r="K745" s="2697"/>
      <c r="L745" s="2697"/>
      <c r="M745" s="2698"/>
      <c r="N745" s="2695"/>
      <c r="O745" s="2696" t="s">
        <v>1732</v>
      </c>
      <c r="P745" s="2697"/>
      <c r="Q745" s="2697"/>
      <c r="R745" s="2698"/>
      <c r="T745" s="2696" t="s">
        <v>911</v>
      </c>
      <c r="U745" s="2697"/>
      <c r="V745" s="2697"/>
      <c r="W745" s="2698"/>
      <c r="Y745" s="2696" t="s">
        <v>1733</v>
      </c>
      <c r="Z745" s="2697"/>
      <c r="AA745" s="2697"/>
      <c r="AB745" s="2698"/>
      <c r="AD745" s="2696" t="s">
        <v>1734</v>
      </c>
      <c r="AE745" s="2697"/>
      <c r="AF745" s="2697"/>
      <c r="AG745" s="2698"/>
      <c r="AH745" s="6767"/>
      <c r="AI745" s="6192"/>
    </row>
    <row r="746">
      <c r="A746" s="6185"/>
      <c r="B746" s="2705"/>
      <c r="C746" s="326"/>
      <c r="D746" s="2706"/>
      <c r="E746" s="6768" t="s">
        <v>1502</v>
      </c>
      <c r="F746" s="2708"/>
      <c r="G746" s="2708"/>
      <c r="H746" s="2709"/>
      <c r="I746" s="2695"/>
      <c r="J746" s="6768" t="s">
        <v>1502</v>
      </c>
      <c r="K746" s="2708"/>
      <c r="L746" s="2708"/>
      <c r="M746" s="2709"/>
      <c r="N746" s="2695"/>
      <c r="O746" s="6768" t="s">
        <v>1502</v>
      </c>
      <c r="P746" s="2708"/>
      <c r="Q746" s="2708"/>
      <c r="R746" s="2709"/>
      <c r="T746" s="6768" t="s">
        <v>1502</v>
      </c>
      <c r="U746" s="2708"/>
      <c r="V746" s="2708"/>
      <c r="W746" s="2709"/>
      <c r="Y746" s="6768" t="s">
        <v>1502</v>
      </c>
      <c r="Z746" s="2708"/>
      <c r="AA746" s="2708"/>
      <c r="AB746" s="2709"/>
      <c r="AD746" s="6768" t="s">
        <v>1502</v>
      </c>
      <c r="AE746" s="2708"/>
      <c r="AF746" s="2708"/>
      <c r="AG746" s="2709"/>
      <c r="AH746" s="6769"/>
      <c r="AI746" s="6192"/>
    </row>
    <row r="747" ht="25.5" customHeight="1">
      <c r="A747" s="6185"/>
      <c r="B747" s="2713"/>
      <c r="C747" s="2714"/>
      <c r="D747" s="2688"/>
      <c r="E747" s="2715"/>
      <c r="F747" s="2716" t="str">
        <f t="array" ref="F747">IFERROR(VLOOKUP(E745,Dex!$B$3:$H1218,5,FALSE),"")</f>
        <v/>
      </c>
      <c r="G747" s="2717" t="str">
        <f t="array" ref="G747">IFERROR(VLOOKUP(E745,Dex!$B$3:$H1218,7,FALSE),"")</f>
        <v/>
      </c>
      <c r="H747" s="2718"/>
      <c r="I747" s="2700"/>
      <c r="J747" s="2715"/>
      <c r="K747" s="2716" t="str">
        <f t="array" ref="K747">IFERROR(VLOOKUP(J745,Dex!$B$3:$H1218,5,FALSE),"")</f>
        <v/>
      </c>
      <c r="L747" s="2717" t="str">
        <f t="array" ref="L747">IFERROR(VLOOKUP(J745,Dex!$B$3:$H1218,7,FALSE),"")</f>
        <v/>
      </c>
      <c r="M747" s="2718"/>
      <c r="N747" s="2700"/>
      <c r="O747" s="2715"/>
      <c r="P747" s="2716" t="str">
        <f t="array" ref="P747">IFERROR(VLOOKUP(O745,Dex!$B$3:$H1218,5,FALSE),"")</f>
        <v/>
      </c>
      <c r="Q747" s="2717" t="str">
        <f t="array" ref="Q747">IFERROR(VLOOKUP(O745,Dex!$B$3:$H1218,7,FALSE),"")</f>
        <v/>
      </c>
      <c r="R747" s="2718"/>
      <c r="T747" s="2715"/>
      <c r="U747" s="2716" t="str">
        <f t="array" ref="U747">IFERROR(VLOOKUP(T745,Dex!$B$3:$H1218,5,FALSE),"")</f>
        <v/>
      </c>
      <c r="V747" s="2717" t="str">
        <f t="array" ref="V747">IFERROR(VLOOKUP(T745,Dex!$B$3:$H1218,7,FALSE),"")</f>
        <v/>
      </c>
      <c r="W747" s="2718"/>
      <c r="Y747" s="2715"/>
      <c r="Z747" s="2716" t="str">
        <f t="array" ref="Z747">IFERROR(VLOOKUP(Y745,Dex!$B$3:$H1218,5,FALSE),"")</f>
        <v/>
      </c>
      <c r="AA747" s="2717" t="str">
        <f t="array" ref="AA747">IFERROR(VLOOKUP(Y745,Dex!$B$3:$H1218,7,FALSE),"")</f>
        <v/>
      </c>
      <c r="AB747" s="2718"/>
      <c r="AD747" s="2715"/>
      <c r="AE747" s="2716" t="str">
        <f t="array" ref="AE747">IFERROR(VLOOKUP(AD745,Dex!$B$3:$H1218,5,FALSE),"")</f>
        <v/>
      </c>
      <c r="AF747" s="2717" t="str">
        <f t="array" ref="AF747">IFERROR(VLOOKUP(AD745,Dex!$B$3:$H1218,7,FALSE),"")</f>
        <v/>
      </c>
      <c r="AG747" s="2718"/>
      <c r="AH747" s="2692"/>
      <c r="AI747" s="6192"/>
    </row>
    <row r="748" ht="2.25" customHeight="1">
      <c r="A748" s="6185"/>
      <c r="B748" s="2713"/>
      <c r="C748" s="2701"/>
      <c r="D748" s="2688"/>
      <c r="E748" s="2721"/>
      <c r="F748" s="2722"/>
      <c r="G748" s="2722"/>
      <c r="H748" s="2723"/>
      <c r="I748" s="2700"/>
      <c r="J748" s="2721"/>
      <c r="K748" s="2722"/>
      <c r="L748" s="2722"/>
      <c r="M748" s="2723"/>
      <c r="N748" s="2700"/>
      <c r="O748" s="2721"/>
      <c r="P748" s="2722"/>
      <c r="Q748" s="2722"/>
      <c r="R748" s="2723"/>
      <c r="T748" s="2721"/>
      <c r="U748" s="2722"/>
      <c r="V748" s="2722"/>
      <c r="W748" s="2723"/>
      <c r="Y748" s="2721"/>
      <c r="Z748" s="2722"/>
      <c r="AA748" s="2722"/>
      <c r="AB748" s="2723"/>
      <c r="AD748" s="2721"/>
      <c r="AE748" s="2722"/>
      <c r="AF748" s="2722"/>
      <c r="AG748" s="2723"/>
      <c r="AH748" s="2692"/>
      <c r="AI748" s="6192"/>
    </row>
    <row r="749" ht="20.25" customHeight="1">
      <c r="A749" s="6185"/>
      <c r="B749" s="2713"/>
      <c r="C749" s="2725"/>
      <c r="D749" s="2688"/>
      <c r="E749" s="2726" t="s">
        <v>172</v>
      </c>
      <c r="F749" s="2727"/>
      <c r="G749" s="2727"/>
      <c r="H749" s="2728"/>
      <c r="I749" s="3174"/>
      <c r="J749" s="2726" t="s">
        <v>205</v>
      </c>
      <c r="K749" s="2727"/>
      <c r="L749" s="2727"/>
      <c r="M749" s="2728"/>
      <c r="N749" s="3174"/>
      <c r="O749" s="2726" t="s">
        <v>205</v>
      </c>
      <c r="P749" s="2727"/>
      <c r="Q749" s="2727"/>
      <c r="R749" s="2728"/>
      <c r="T749" s="2726" t="s">
        <v>205</v>
      </c>
      <c r="U749" s="2727"/>
      <c r="V749" s="2727"/>
      <c r="W749" s="2728"/>
      <c r="Y749" s="2726" t="s">
        <v>205</v>
      </c>
      <c r="Z749" s="2727"/>
      <c r="AA749" s="2727"/>
      <c r="AB749" s="2728"/>
      <c r="AD749" s="2726" t="s">
        <v>205</v>
      </c>
      <c r="AE749" s="2727"/>
      <c r="AF749" s="2727"/>
      <c r="AG749" s="2728"/>
      <c r="AH749" s="6766"/>
      <c r="AI749" s="6192"/>
    </row>
    <row r="750">
      <c r="A750" s="6185"/>
      <c r="B750" s="2713"/>
      <c r="C750" s="2729"/>
      <c r="D750" s="2688"/>
      <c r="E750" s="2730" t="s">
        <v>1735</v>
      </c>
      <c r="F750" s="2689"/>
      <c r="G750" s="2689"/>
      <c r="H750" s="2731"/>
      <c r="I750" s="3174"/>
      <c r="J750" s="2730" t="s">
        <v>1258</v>
      </c>
      <c r="K750" s="2689"/>
      <c r="L750" s="2689"/>
      <c r="M750" s="2731"/>
      <c r="N750" s="3174"/>
      <c r="O750" s="6770" t="s">
        <v>1736</v>
      </c>
      <c r="P750" s="2689"/>
      <c r="Q750" s="2689"/>
      <c r="R750" s="2731"/>
      <c r="T750" s="2730" t="s">
        <v>1737</v>
      </c>
      <c r="U750" s="2689"/>
      <c r="V750" s="2689"/>
      <c r="W750" s="2731"/>
      <c r="Y750" s="2730" t="s">
        <v>233</v>
      </c>
      <c r="Z750" s="2689"/>
      <c r="AA750" s="2689"/>
      <c r="AB750" s="2731"/>
      <c r="AD750" s="2730" t="s">
        <v>1738</v>
      </c>
      <c r="AE750" s="2689"/>
      <c r="AF750" s="2689"/>
      <c r="AG750" s="2731"/>
      <c r="AH750" s="6766"/>
      <c r="AI750" s="6192"/>
    </row>
    <row r="751" ht="20.25" customHeight="1">
      <c r="A751" s="6185"/>
      <c r="B751" s="2713"/>
      <c r="C751" s="2701"/>
      <c r="D751" s="2688"/>
      <c r="E751" s="2732" t="s">
        <v>747</v>
      </c>
      <c r="F751" s="2733"/>
      <c r="G751" s="2734"/>
      <c r="H751" s="2735" t="str">
        <f>IMAGE("https://raw.githubusercontent.com/msikma/pokesprite/master/items/hold-item/sharp-beak.png",3)</f>
        <v/>
      </c>
      <c r="I751" s="2700"/>
      <c r="J751" s="2732" t="s">
        <v>240</v>
      </c>
      <c r="K751" s="2733"/>
      <c r="L751" s="2734"/>
      <c r="M751" s="2735" t="str">
        <f>IMAGE("https://raw.githubusercontent.com/msikma/pokesprite/master/items/hold-item/focus-sash.png",3)</f>
        <v/>
      </c>
      <c r="N751" s="2700"/>
      <c r="O751" s="2732" t="s">
        <v>1739</v>
      </c>
      <c r="P751" s="2733"/>
      <c r="Q751" s="2734"/>
      <c r="R751" s="2735" t="str">
        <f>IMAGE("https://raw.githubusercontent.com/msikma/pokesprite/master/items/mega-stone/latiasite.png",3)</f>
        <v/>
      </c>
      <c r="T751" s="2732" t="s">
        <v>919</v>
      </c>
      <c r="U751" s="2733"/>
      <c r="V751" s="2734"/>
      <c r="W751" s="2735" t="str">
        <f>IMAGE("https://raw.githubusercontent.com/msikma/pokesprite/master/items/mega-stone/houndoominite.png",3)</f>
        <v/>
      </c>
      <c r="Y751" s="2732" t="s">
        <v>1587</v>
      </c>
      <c r="Z751" s="2733"/>
      <c r="AA751" s="2734"/>
      <c r="AB751" s="2735" t="str">
        <f>IMAGE("https://raw.githubusercontent.com/msikma/pokesprite/master/items/z-crystals/ghostium-z--held.png",3)</f>
        <v/>
      </c>
      <c r="AD751" s="2732" t="s">
        <v>177</v>
      </c>
      <c r="AE751" s="2733"/>
      <c r="AF751" s="2734"/>
      <c r="AG751" s="2735" t="str">
        <f>IMAGE("https://raw.githubusercontent.com/msikma/pokesprite/master/items/hold-item/air-balloon.png",3)</f>
        <v/>
      </c>
      <c r="AH751" s="2692"/>
      <c r="AI751" s="6192"/>
    </row>
    <row r="752" ht="20.25" customHeight="1">
      <c r="A752" s="6185"/>
      <c r="B752" s="2713"/>
      <c r="C752" s="2725"/>
      <c r="D752" s="2688"/>
      <c r="E752" s="2726" t="s">
        <v>749</v>
      </c>
      <c r="F752" s="2727"/>
      <c r="G752" s="2736"/>
      <c r="H752" s="2737" t="str">
        <f>IMAGE("https://raw.githubusercontent.com/msikma/pokesprite/master/misc/types/gen8/flying.png",4,20,20)</f>
        <v/>
      </c>
      <c r="I752" s="2700"/>
      <c r="J752" s="2726" t="s">
        <v>311</v>
      </c>
      <c r="K752" s="2727"/>
      <c r="L752" s="2736"/>
      <c r="M752" s="2737" t="str">
        <f>IMAGE("https://raw.githubusercontent.com/msikma/pokesprite/master/misc/types/gen8/normal.png",4,20,20)</f>
        <v/>
      </c>
      <c r="N752" s="2700"/>
      <c r="O752" s="2726" t="s">
        <v>277</v>
      </c>
      <c r="P752" s="2727"/>
      <c r="Q752" s="2736"/>
      <c r="R752" s="2737" t="str">
        <f>IMAGE("https://raw.githubusercontent.com/msikma/pokesprite/master/misc/types/gen8/electric.png",4,20,20)</f>
        <v/>
      </c>
      <c r="T752" s="2726" t="s">
        <v>946</v>
      </c>
      <c r="U752" s="2727"/>
      <c r="V752" s="2736"/>
      <c r="W752" s="2737" t="str">
        <f>IMAGE("https://raw.githubusercontent.com/msikma/pokesprite/master/misc/types/gen8/dark.png",4,20,20)</f>
        <v/>
      </c>
      <c r="Y752" s="2726" t="s">
        <v>318</v>
      </c>
      <c r="Z752" s="2727"/>
      <c r="AA752" s="2736"/>
      <c r="AB752" s="2737" t="str">
        <f>IMAGE("https://raw.githubusercontent.com/msikma/pokesprite/master/misc/types/gen8/ghost.png",4,20,20)</f>
        <v/>
      </c>
      <c r="AD752" s="2726" t="s">
        <v>187</v>
      </c>
      <c r="AE752" s="2727"/>
      <c r="AF752" s="2736"/>
      <c r="AG752" s="2737" t="str">
        <f>IMAGE("https://raw.githubusercontent.com/msikma/pokesprite/master/misc/types/gen8/normal.png",4,20,20)</f>
        <v/>
      </c>
      <c r="AH752" s="2692"/>
      <c r="AI752" s="6192"/>
    </row>
    <row r="753" ht="20.25" customHeight="1">
      <c r="A753" s="6185"/>
      <c r="B753" s="2713"/>
      <c r="C753" s="2738"/>
      <c r="D753" s="2688"/>
      <c r="E753" s="2730" t="s">
        <v>399</v>
      </c>
      <c r="F753" s="2689"/>
      <c r="G753" s="2690"/>
      <c r="H753" s="2739" t="str">
        <f>IMAGE("https://raw.githubusercontent.com/msikma/pokesprite/master/misc/types/gen8/rock.png",4,20,20)</f>
        <v/>
      </c>
      <c r="I753" s="2700"/>
      <c r="J753" s="2730" t="s">
        <v>277</v>
      </c>
      <c r="K753" s="2689"/>
      <c r="L753" s="2690"/>
      <c r="M753" s="2739" t="str">
        <f>IMAGE("https://raw.githubusercontent.com/msikma/pokesprite/master/misc/types/gen8/electric.png",4,20,20)</f>
        <v/>
      </c>
      <c r="N753" s="2700"/>
      <c r="O753" s="2730" t="s">
        <v>317</v>
      </c>
      <c r="P753" s="2689"/>
      <c r="Q753" s="2690"/>
      <c r="R753" s="2739" t="str">
        <f>IMAGE("https://raw.githubusercontent.com/msikma/pokesprite/master/misc/types/gen8/ice.png",4,20,20)</f>
        <v/>
      </c>
      <c r="T753" s="2730" t="s">
        <v>372</v>
      </c>
      <c r="U753" s="2689"/>
      <c r="V753" s="2690"/>
      <c r="W753" s="2739" t="str">
        <f>IMAGE("https://raw.githubusercontent.com/msikma/pokesprite/master/misc/types/gen8/fire.png",4,20,20)</f>
        <v/>
      </c>
      <c r="Y753" s="2730" t="s">
        <v>464</v>
      </c>
      <c r="Z753" s="2689"/>
      <c r="AA753" s="2690"/>
      <c r="AB753" s="2739" t="str">
        <f>IMAGE("https://raw.githubusercontent.com/msikma/pokesprite/master/misc/types/gen8/fairy.png",4,20,20)</f>
        <v/>
      </c>
      <c r="AD753" s="2730" t="s">
        <v>372</v>
      </c>
      <c r="AE753" s="2689"/>
      <c r="AF753" s="2690"/>
      <c r="AG753" s="2739" t="str">
        <f>IMAGE("https://raw.githubusercontent.com/msikma/pokesprite/master/misc/types/gen8/fire.png",4,20,20)</f>
        <v/>
      </c>
      <c r="AH753" s="2692"/>
      <c r="AI753" s="6192"/>
    </row>
    <row r="754" ht="20.25" customHeight="1">
      <c r="A754" s="6185"/>
      <c r="B754" s="2713"/>
      <c r="C754" s="2738"/>
      <c r="D754" s="2688"/>
      <c r="E754" s="2730" t="s">
        <v>402</v>
      </c>
      <c r="F754" s="2689"/>
      <c r="G754" s="2690"/>
      <c r="H754" s="2739" t="str">
        <f>IMAGE("https://raw.githubusercontent.com/msikma/pokesprite/master/misc/types/gen8/ground.png",4,20,20)</f>
        <v/>
      </c>
      <c r="I754" s="2700"/>
      <c r="J754" s="2730" t="s">
        <v>222</v>
      </c>
      <c r="K754" s="2689"/>
      <c r="L754" s="2690"/>
      <c r="M754" s="2739" t="str">
        <f>IMAGE("https://raw.githubusercontent.com/msikma/pokesprite/master/misc/types/gen8/grass.png",4,20,20)</f>
        <v/>
      </c>
      <c r="N754" s="2700"/>
      <c r="O754" s="2730" t="s">
        <v>509</v>
      </c>
      <c r="P754" s="2689"/>
      <c r="Q754" s="2690"/>
      <c r="R754" s="2739" t="str">
        <f t="shared" ref="R754:R755" si="29">IMAGE("https://raw.githubusercontent.com/msikma/pokesprite/master/misc/types/gen8/psychic.png",4,20,20)</f>
        <v/>
      </c>
      <c r="T754" s="2730" t="s">
        <v>280</v>
      </c>
      <c r="U754" s="2689"/>
      <c r="V754" s="2690"/>
      <c r="W754" s="2739" t="str">
        <f>IMAGE("https://raw.githubusercontent.com/msikma/pokesprite/master/misc/types/gen8/poison.png",4,20,20)</f>
        <v/>
      </c>
      <c r="Y754" s="2730" t="s">
        <v>315</v>
      </c>
      <c r="Z754" s="2689"/>
      <c r="AA754" s="2690"/>
      <c r="AB754" s="2739" t="str">
        <f>IMAGE("https://raw.githubusercontent.com/msikma/pokesprite/master/misc/types/gen8/fire.png",4,20,20)</f>
        <v/>
      </c>
      <c r="AD754" s="2730" t="s">
        <v>404</v>
      </c>
      <c r="AE754" s="2689"/>
      <c r="AF754" s="2690"/>
      <c r="AG754" s="2739" t="str">
        <f>IMAGE("https://raw.githubusercontent.com/msikma/pokesprite/master/misc/types/gen8/steel.png",4,20,20)</f>
        <v/>
      </c>
      <c r="AH754" s="2692"/>
      <c r="AI754" s="6192"/>
    </row>
    <row r="755" ht="21.0" customHeight="1">
      <c r="A755" s="6185"/>
      <c r="B755" s="2713"/>
      <c r="C755" s="2738"/>
      <c r="D755" s="2688"/>
      <c r="E755" s="2740" t="s">
        <v>825</v>
      </c>
      <c r="F755" s="2741"/>
      <c r="G755" s="2742"/>
      <c r="H755" s="2743" t="str">
        <f>IMAGE("https://raw.githubusercontent.com/msikma/pokesprite/master/misc/types/gen8/fire.png",4,20,20)</f>
        <v/>
      </c>
      <c r="I755" s="2700"/>
      <c r="J755" s="2740" t="s">
        <v>242</v>
      </c>
      <c r="K755" s="2741"/>
      <c r="L755" s="2742"/>
      <c r="M755" s="2743" t="str">
        <f>IMAGE("https://raw.githubusercontent.com/msikma/pokesprite/master/misc/types/gen8/electric.png",4,20,20)</f>
        <v/>
      </c>
      <c r="N755" s="2700"/>
      <c r="O755" s="2740" t="s">
        <v>217</v>
      </c>
      <c r="P755" s="2741"/>
      <c r="Q755" s="2742"/>
      <c r="R755" s="2743" t="str">
        <f t="shared" si="29"/>
        <v/>
      </c>
      <c r="S755" s="3175"/>
      <c r="T755" s="2740" t="s">
        <v>376</v>
      </c>
      <c r="U755" s="2741"/>
      <c r="V755" s="2742"/>
      <c r="W755" s="2743" t="str">
        <f>IMAGE("https://raw.githubusercontent.com/msikma/pokesprite/master/misc/types/gen8/grass.png",4,20,20)</f>
        <v/>
      </c>
      <c r="X755" s="3175"/>
      <c r="Y755" s="2740" t="s">
        <v>277</v>
      </c>
      <c r="Z755" s="2741"/>
      <c r="AA755" s="2742"/>
      <c r="AB755" s="2743" t="str">
        <f>IMAGE("https://raw.githubusercontent.com/msikma/pokesprite/master/misc/types/gen8/electric.png",4,20,20)</f>
        <v/>
      </c>
      <c r="AC755" s="3175"/>
      <c r="AD755" s="2740" t="s">
        <v>402</v>
      </c>
      <c r="AE755" s="2741"/>
      <c r="AF755" s="2742"/>
      <c r="AG755" s="2743" t="str">
        <f>IMAGE("https://raw.githubusercontent.com/msikma/pokesprite/master/misc/types/gen8/ground.png",4,20,20)</f>
        <v/>
      </c>
      <c r="AH755" s="2692"/>
      <c r="AI755" s="6192"/>
    </row>
    <row r="756" ht="3.0" customHeight="1">
      <c r="A756" s="6185"/>
      <c r="B756" s="2746"/>
      <c r="C756" s="2747"/>
      <c r="D756" s="2748"/>
      <c r="E756" s="2749"/>
      <c r="F756" s="2749"/>
      <c r="G756" s="2749"/>
      <c r="H756" s="2749"/>
      <c r="I756" s="2748"/>
      <c r="J756" s="2749"/>
      <c r="K756" s="2749"/>
      <c r="L756" s="2749"/>
      <c r="M756" s="2749"/>
      <c r="N756" s="2748"/>
      <c r="O756" s="2749"/>
      <c r="P756" s="2749"/>
      <c r="Q756" s="2749"/>
      <c r="R756" s="2749"/>
      <c r="S756" s="2750"/>
      <c r="T756" s="2749"/>
      <c r="U756" s="2749"/>
      <c r="V756" s="2749"/>
      <c r="W756" s="2749"/>
      <c r="X756" s="2748"/>
      <c r="Y756" s="2749"/>
      <c r="Z756" s="2749"/>
      <c r="AA756" s="2749"/>
      <c r="AB756" s="2749"/>
      <c r="AC756" s="2752"/>
      <c r="AD756" s="2749"/>
      <c r="AE756" s="2749"/>
      <c r="AF756" s="2749"/>
      <c r="AG756" s="2749"/>
      <c r="AH756" s="2753"/>
      <c r="AI756" s="6192"/>
    </row>
    <row r="757" ht="16.5" customHeight="1">
      <c r="A757" s="6185"/>
      <c r="B757" s="2756"/>
      <c r="C757" s="2747"/>
      <c r="D757" s="2757"/>
      <c r="E757" s="2758" t="s">
        <v>190</v>
      </c>
      <c r="F757" s="381"/>
      <c r="G757" s="382"/>
      <c r="H757" s="2759" t="s">
        <v>191</v>
      </c>
      <c r="I757" s="2760"/>
      <c r="J757" s="2758" t="s">
        <v>190</v>
      </c>
      <c r="K757" s="381"/>
      <c r="L757" s="382"/>
      <c r="M757" s="2759" t="s">
        <v>191</v>
      </c>
      <c r="N757" s="2760"/>
      <c r="O757" s="2758" t="s">
        <v>190</v>
      </c>
      <c r="P757" s="381"/>
      <c r="Q757" s="382"/>
      <c r="R757" s="2759" t="s">
        <v>191</v>
      </c>
      <c r="S757" s="6771"/>
      <c r="T757" s="2758" t="s">
        <v>190</v>
      </c>
      <c r="U757" s="381"/>
      <c r="V757" s="382"/>
      <c r="W757" s="2759" t="s">
        <v>191</v>
      </c>
      <c r="X757" s="6772"/>
      <c r="Y757" s="2758" t="s">
        <v>190</v>
      </c>
      <c r="Z757" s="381"/>
      <c r="AA757" s="382"/>
      <c r="AB757" s="2759" t="s">
        <v>191</v>
      </c>
      <c r="AC757" s="6772"/>
      <c r="AD757" s="2758" t="s">
        <v>190</v>
      </c>
      <c r="AE757" s="381"/>
      <c r="AF757" s="382"/>
      <c r="AG757" s="2759" t="s">
        <v>191</v>
      </c>
      <c r="AH757" s="2764"/>
      <c r="AI757" s="6192"/>
    </row>
    <row r="758" ht="16.5" customHeight="1">
      <c r="A758" s="6185"/>
      <c r="B758" s="2756"/>
      <c r="C758" s="2747"/>
      <c r="D758" s="2757"/>
      <c r="E758" s="2765" t="s">
        <v>192</v>
      </c>
      <c r="F758" s="2766">
        <f t="array" ref="F758">IFERROR(VLOOKUP(E745,Dex!$B$3:$N1218,8,FALSE),"")</f>
        <v>80</v>
      </c>
      <c r="G758" s="2767" t="str">
        <f t="array" ref="G758">IFERROR(VLOOKUP(F758,Dex!$P$22:$Q$276,2,FALSE),"")</f>
        <v/>
      </c>
      <c r="H758" s="2768">
        <v>6.0</v>
      </c>
      <c r="I758" s="2760"/>
      <c r="J758" s="2765" t="s">
        <v>192</v>
      </c>
      <c r="K758" s="2766">
        <f t="array" ref="K758">IFERROR(VLOOKUP(J745,Dex!$B$3:$N1218,8,FALSE),"")</f>
        <v>62</v>
      </c>
      <c r="L758" s="2767" t="str">
        <f t="array" ref="L758">IFERROR(VLOOKUP(K758,Dex!$P$22:$Q$276,2,FALSE),"")</f>
        <v/>
      </c>
      <c r="M758" s="2768">
        <v>6.0</v>
      </c>
      <c r="N758" s="2760"/>
      <c r="O758" s="2765" t="s">
        <v>192</v>
      </c>
      <c r="P758" s="2766">
        <f t="array" ref="P758">IFERROR(VLOOKUP(O745,Dex!$B$3:$N1218,8,FALSE),"")</f>
        <v>80</v>
      </c>
      <c r="Q758" s="2767" t="str">
        <f t="array" ref="Q758">IFERROR(VLOOKUP(P758,Dex!$P$22:$Q$276,2,FALSE),"")</f>
        <v/>
      </c>
      <c r="R758" s="2768">
        <v>252.0</v>
      </c>
      <c r="S758" s="2769"/>
      <c r="T758" s="2765" t="s">
        <v>192</v>
      </c>
      <c r="U758" s="2766">
        <f t="array" ref="U758">IFERROR(VLOOKUP(T745,Dex!$B$3:$N1218,8,FALSE),"")</f>
        <v>75</v>
      </c>
      <c r="V758" s="2767" t="str">
        <f t="array" ref="V758">IFERROR(VLOOKUP(U758,Dex!$P$22:$Q$276,2,FALSE),"")</f>
        <v/>
      </c>
      <c r="W758" s="2768">
        <v>6.0</v>
      </c>
      <c r="X758" s="2763"/>
      <c r="Y758" s="2765" t="s">
        <v>192</v>
      </c>
      <c r="Z758" s="2766">
        <f t="array" ref="Z758">IFERROR(VLOOKUP(Y745,Dex!$B$3:$N1218,8,FALSE),"")</f>
        <v>70</v>
      </c>
      <c r="AA758" s="2767" t="str">
        <f t="array" ref="AA758">IFERROR(VLOOKUP(Z758,Dex!$P$22:$Q$276,2,FALSE),"")</f>
        <v/>
      </c>
      <c r="AB758" s="2768">
        <v>6.0</v>
      </c>
      <c r="AC758" s="2763"/>
      <c r="AD758" s="2765" t="s">
        <v>192</v>
      </c>
      <c r="AE758" s="2766">
        <f t="array" ref="AE758">IFERROR(VLOOKUP(AD745,Dex!$B$3:$N1218,8,FALSE),"")</f>
        <v>91</v>
      </c>
      <c r="AF758" s="2767" t="str">
        <f t="array" ref="AF758">IFERROR(VLOOKUP(AE758,Dex!$P$22:$Q$276,2,FALSE),"")</f>
        <v/>
      </c>
      <c r="AG758" s="2768">
        <v>6.0</v>
      </c>
      <c r="AH758" s="2764"/>
      <c r="AI758" s="6192"/>
    </row>
    <row r="759" ht="16.5" customHeight="1">
      <c r="A759" s="6185"/>
      <c r="B759" s="2756"/>
      <c r="C759" s="2747"/>
      <c r="D759" s="2757"/>
      <c r="E759" s="2770" t="s">
        <v>193</v>
      </c>
      <c r="F759" s="2771">
        <f t="array" ref="F759">IFERROR(VLOOKUP(E745,Dex!$B$3:$N1218,9,FALSE),"")</f>
        <v>105</v>
      </c>
      <c r="G759" s="2772" t="str">
        <f t="array" ref="G759">IFERROR(VLOOKUP(F759,Dex!$P$22:$Q$276,2,FALSE),"")</f>
        <v/>
      </c>
      <c r="H759" s="2773">
        <v>252.0</v>
      </c>
      <c r="I759" s="2760"/>
      <c r="J759" s="2770" t="s">
        <v>193</v>
      </c>
      <c r="K759" s="2771">
        <f t="array" ref="K759">IFERROR(VLOOKUP(J745,Dex!$B$3:$N1218,9,FALSE),"")</f>
        <v>55</v>
      </c>
      <c r="L759" s="2772" t="str">
        <f t="array" ref="L759">IFERROR(VLOOKUP(K759,Dex!$P$22:$Q$276,2,FALSE),"")</f>
        <v/>
      </c>
      <c r="M759" s="2773"/>
      <c r="N759" s="2760"/>
      <c r="O759" s="2770" t="s">
        <v>193</v>
      </c>
      <c r="P759" s="2771">
        <f t="array" ref="P759">IFERROR(VLOOKUP(O745,Dex!$B$3:$N1218,9,FALSE),"")</f>
        <v>100</v>
      </c>
      <c r="Q759" s="2772" t="str">
        <f t="array" ref="Q759">IFERROR(VLOOKUP(P759,Dex!$P$22:$Q$276,2,FALSE),"")</f>
        <v/>
      </c>
      <c r="R759" s="2773"/>
      <c r="S759" s="2769"/>
      <c r="T759" s="2770" t="s">
        <v>193</v>
      </c>
      <c r="U759" s="2771">
        <f t="array" ref="U759">IFERROR(VLOOKUP(T745,Dex!$B$3:$N1218,9,FALSE),"")</f>
        <v>110</v>
      </c>
      <c r="V759" s="2772" t="str">
        <f t="array" ref="V759">IFERROR(VLOOKUP(U759,Dex!$P$22:$Q$276,2,FALSE),"")</f>
        <v/>
      </c>
      <c r="W759" s="2773"/>
      <c r="X759" s="2763"/>
      <c r="Y759" s="2770" t="s">
        <v>193</v>
      </c>
      <c r="Z759" s="2771">
        <f t="array" ref="Z759">IFERROR(VLOOKUP(Y745,Dex!$B$3:$N1218,9,FALSE),"")</f>
        <v>60</v>
      </c>
      <c r="AA759" s="2772" t="str">
        <f t="array" ref="AA759">IFERROR(VLOOKUP(Z759,Dex!$P$22:$Q$276,2,FALSE),"")</f>
        <v/>
      </c>
      <c r="AB759" s="2773"/>
      <c r="AC759" s="2763"/>
      <c r="AD759" s="2770" t="s">
        <v>193</v>
      </c>
      <c r="AE759" s="2771">
        <f t="array" ref="AE759">IFERROR(VLOOKUP(AD745,Dex!$B$3:$N1218,9,FALSE),"")</f>
        <v>90</v>
      </c>
      <c r="AF759" s="2772" t="str">
        <f t="array" ref="AF759">IFERROR(VLOOKUP(AE759,Dex!$P$22:$Q$276,2,FALSE),"")</f>
        <v/>
      </c>
      <c r="AG759" s="2773"/>
      <c r="AH759" s="2764"/>
      <c r="AI759" s="6192"/>
    </row>
    <row r="760" ht="16.5" customHeight="1">
      <c r="A760" s="6185"/>
      <c r="B760" s="2756"/>
      <c r="C760" s="2747"/>
      <c r="D760" s="2757"/>
      <c r="E760" s="2770" t="s">
        <v>194</v>
      </c>
      <c r="F760" s="2771">
        <f t="array" ref="F760">IFERROR(VLOOKUP(E745,Dex!$B$3:$N1218,10,FALSE),"")</f>
        <v>65</v>
      </c>
      <c r="G760" s="2772" t="str">
        <f t="array" ref="G760">IFERROR(VLOOKUP(F760,Dex!$P$22:$Q$276,2,FALSE),"")</f>
        <v/>
      </c>
      <c r="H760" s="2773"/>
      <c r="I760" s="2760"/>
      <c r="J760" s="2770" t="s">
        <v>194</v>
      </c>
      <c r="K760" s="2771">
        <f t="array" ref="K760">IFERROR(VLOOKUP(J745,Dex!$B$3:$N1218,10,FALSE),"")</f>
        <v>52</v>
      </c>
      <c r="L760" s="2772" t="str">
        <f t="array" ref="L760">IFERROR(VLOOKUP(K760,Dex!$P$22:$Q$276,2,FALSE),"")</f>
        <v/>
      </c>
      <c r="M760" s="2773"/>
      <c r="N760" s="2760"/>
      <c r="O760" s="2770" t="s">
        <v>194</v>
      </c>
      <c r="P760" s="2771">
        <f t="array" ref="P760">IFERROR(VLOOKUP(O745,Dex!$B$3:$N1218,10,FALSE),"")</f>
        <v>120</v>
      </c>
      <c r="Q760" s="2772" t="str">
        <f t="array" ref="Q760">IFERROR(VLOOKUP(P760,Dex!$P$22:$Q$276,2,FALSE),"")</f>
        <v/>
      </c>
      <c r="R760" s="2773"/>
      <c r="S760" s="2769"/>
      <c r="T760" s="2770" t="s">
        <v>194</v>
      </c>
      <c r="U760" s="2771">
        <f t="array" ref="U760">IFERROR(VLOOKUP(T745,Dex!$B$3:$N1218,10,FALSE),"")</f>
        <v>90</v>
      </c>
      <c r="V760" s="2772" t="str">
        <f t="array" ref="V760">IFERROR(VLOOKUP(U760,Dex!$P$22:$Q$276,2,FALSE),"")</f>
        <v/>
      </c>
      <c r="W760" s="2773"/>
      <c r="X760" s="2763"/>
      <c r="Y760" s="2770" t="s">
        <v>194</v>
      </c>
      <c r="Z760" s="2771">
        <f t="array" ref="Z760">IFERROR(VLOOKUP(Y745,Dex!$B$3:$N1218,10,FALSE),"")</f>
        <v>70</v>
      </c>
      <c r="AA760" s="2772" t="str">
        <f t="array" ref="AA760">IFERROR(VLOOKUP(Z760,Dex!$P$22:$Q$276,2,FALSE),"")</f>
        <v/>
      </c>
      <c r="AB760" s="2773"/>
      <c r="AC760" s="2763"/>
      <c r="AD760" s="2770" t="s">
        <v>194</v>
      </c>
      <c r="AE760" s="2771">
        <f t="array" ref="AE760">IFERROR(VLOOKUP(AD745,Dex!$B$3:$N1218,10,FALSE),"")</f>
        <v>106</v>
      </c>
      <c r="AF760" s="2772" t="str">
        <f t="array" ref="AF760">IFERROR(VLOOKUP(AE760,Dex!$P$22:$Q$276,2,FALSE),"")</f>
        <v/>
      </c>
      <c r="AG760" s="2773"/>
      <c r="AH760" s="2764"/>
      <c r="AI760" s="6192"/>
    </row>
    <row r="761" ht="16.5" customHeight="1">
      <c r="A761" s="6185"/>
      <c r="B761" s="2756"/>
      <c r="C761" s="2747"/>
      <c r="D761" s="2757"/>
      <c r="E761" s="2770" t="s">
        <v>195</v>
      </c>
      <c r="F761" s="2771">
        <f t="array" ref="F761">IFERROR(VLOOKUP(E745,Dex!$B$3:$N1218,11,FALSE),"")</f>
        <v>60</v>
      </c>
      <c r="G761" s="2772" t="str">
        <f t="array" ref="G761">IFERROR(VLOOKUP(F761,Dex!$P$22:$Q$276,2,FALSE),"")</f>
        <v/>
      </c>
      <c r="H761" s="2773"/>
      <c r="I761" s="2760"/>
      <c r="J761" s="2770" t="s">
        <v>195</v>
      </c>
      <c r="K761" s="2771">
        <f t="array" ref="K761">IFERROR(VLOOKUP(J745,Dex!$B$3:$N1218,11,FALSE),"")</f>
        <v>109</v>
      </c>
      <c r="L761" s="2772" t="str">
        <f t="array" ref="L761">IFERROR(VLOOKUP(K761,Dex!$P$22:$Q$276,2,FALSE),"")</f>
        <v/>
      </c>
      <c r="M761" s="2773">
        <v>252.0</v>
      </c>
      <c r="N761" s="2760"/>
      <c r="O761" s="2770" t="s">
        <v>195</v>
      </c>
      <c r="P761" s="2771">
        <f t="array" ref="P761">IFERROR(VLOOKUP(O745,Dex!$B$3:$N1218,11,FALSE),"")</f>
        <v>140</v>
      </c>
      <c r="Q761" s="2772" t="str">
        <f t="array" ref="Q761">IFERROR(VLOOKUP(P761,Dex!$P$22:$Q$276,2,FALSE),"")</f>
        <v/>
      </c>
      <c r="R761" s="2773">
        <v>4.0</v>
      </c>
      <c r="S761" s="2769"/>
      <c r="T761" s="2770" t="s">
        <v>195</v>
      </c>
      <c r="U761" s="2771">
        <f t="array" ref="U761">IFERROR(VLOOKUP(T745,Dex!$B$3:$N1218,11,FALSE),"")</f>
        <v>140</v>
      </c>
      <c r="V761" s="2772" t="str">
        <f t="array" ref="V761">IFERROR(VLOOKUP(U761,Dex!$P$22:$Q$276,2,FALSE),"")</f>
        <v/>
      </c>
      <c r="W761" s="2773">
        <v>252.0</v>
      </c>
      <c r="X761" s="2763"/>
      <c r="Y761" s="2770" t="s">
        <v>195</v>
      </c>
      <c r="Z761" s="2771">
        <f t="array" ref="Z761">IFERROR(VLOOKUP(Y745,Dex!$B$3:$N1218,11,FALSE),"")</f>
        <v>105</v>
      </c>
      <c r="AA761" s="2772" t="str">
        <f t="array" ref="AA761">IFERROR(VLOOKUP(Z761,Dex!$P$22:$Q$276,2,FALSE),"")</f>
        <v/>
      </c>
      <c r="AB761" s="2773">
        <v>252.0</v>
      </c>
      <c r="AC761" s="2763"/>
      <c r="AD761" s="2770" t="s">
        <v>195</v>
      </c>
      <c r="AE761" s="2771">
        <f t="array" ref="AE761">IFERROR(VLOOKUP(AD745,Dex!$B$3:$N1218,11,FALSE),"")</f>
        <v>130</v>
      </c>
      <c r="AF761" s="2772" t="str">
        <f t="array" ref="AF761">IFERROR(VLOOKUP(AE761,Dex!$P$22:$Q$276,2,FALSE),"")</f>
        <v/>
      </c>
      <c r="AG761" s="2773">
        <v>252.0</v>
      </c>
      <c r="AH761" s="2764"/>
      <c r="AI761" s="6192"/>
    </row>
    <row r="762" ht="16.5" customHeight="1">
      <c r="A762" s="6185"/>
      <c r="B762" s="2756"/>
      <c r="C762" s="2747"/>
      <c r="D762" s="2757"/>
      <c r="E762" s="2770" t="s">
        <v>196</v>
      </c>
      <c r="F762" s="2771">
        <f t="array" ref="F762">IFERROR(VLOOKUP(E745,Dex!$B$3:$N1218,12,FALSE),"")</f>
        <v>75</v>
      </c>
      <c r="G762" s="2772" t="str">
        <f t="array" ref="G762">IFERROR(VLOOKUP(F762,Dex!$P$22:$Q$276,2,FALSE),"")</f>
        <v/>
      </c>
      <c r="H762" s="2773"/>
      <c r="I762" s="2760"/>
      <c r="J762" s="2770" t="s">
        <v>196</v>
      </c>
      <c r="K762" s="2771">
        <f t="array" ref="K762">IFERROR(VLOOKUP(J745,Dex!$B$3:$N1218,12,FALSE),"")</f>
        <v>94</v>
      </c>
      <c r="L762" s="2772" t="str">
        <f t="array" ref="L762">IFERROR(VLOOKUP(K762,Dex!$P$22:$Q$276,2,FALSE),"")</f>
        <v/>
      </c>
      <c r="M762" s="2773"/>
      <c r="N762" s="2760"/>
      <c r="O762" s="2770" t="s">
        <v>196</v>
      </c>
      <c r="P762" s="2771">
        <f t="array" ref="P762">IFERROR(VLOOKUP(O745,Dex!$B$3:$N1218,12,FALSE),"")</f>
        <v>150</v>
      </c>
      <c r="Q762" s="2772" t="str">
        <f t="array" ref="Q762">IFERROR(VLOOKUP(P762,Dex!$P$22:$Q$276,2,FALSE),"")</f>
        <v/>
      </c>
      <c r="R762" s="2773"/>
      <c r="S762" s="2769"/>
      <c r="T762" s="2770" t="s">
        <v>196</v>
      </c>
      <c r="U762" s="2771">
        <f t="array" ref="U762">IFERROR(VLOOKUP(T745,Dex!$B$3:$N1218,12,FALSE),"")</f>
        <v>90</v>
      </c>
      <c r="V762" s="2772" t="str">
        <f t="array" ref="V762">IFERROR(VLOOKUP(U762,Dex!$P$22:$Q$276,2,FALSE),"")</f>
        <v/>
      </c>
      <c r="W762" s="2773"/>
      <c r="X762" s="2763"/>
      <c r="Y762" s="2770" t="s">
        <v>196</v>
      </c>
      <c r="Z762" s="2771">
        <f t="array" ref="Z762">IFERROR(VLOOKUP(Y745,Dex!$B$3:$N1218,12,FALSE),"")</f>
        <v>105</v>
      </c>
      <c r="AA762" s="2772" t="str">
        <f t="array" ref="AA762">IFERROR(VLOOKUP(Z762,Dex!$P$22:$Q$276,2,FALSE),"")</f>
        <v/>
      </c>
      <c r="AB762" s="2773"/>
      <c r="AC762" s="2763"/>
      <c r="AD762" s="2770" t="s">
        <v>196</v>
      </c>
      <c r="AE762" s="2771">
        <f t="array" ref="AE762">IFERROR(VLOOKUP(AD745,Dex!$B$3:$N1218,12,FALSE),"")</f>
        <v>106</v>
      </c>
      <c r="AF762" s="2772" t="str">
        <f t="array" ref="AF762">IFERROR(VLOOKUP(AE762,Dex!$P$22:$Q$276,2,FALSE),"")</f>
        <v/>
      </c>
      <c r="AG762" s="2773"/>
      <c r="AH762" s="2764"/>
      <c r="AI762" s="6192"/>
    </row>
    <row r="763" ht="16.5" customHeight="1">
      <c r="A763" s="6185"/>
      <c r="B763" s="2756"/>
      <c r="C763" s="2747"/>
      <c r="D763" s="2757"/>
      <c r="E763" s="2774" t="s">
        <v>197</v>
      </c>
      <c r="F763" s="2775">
        <f t="array" ref="F763">IFERROR(VLOOKUP(E745,Dex!$B$3:$N1218,13,FALSE),"")</f>
        <v>130</v>
      </c>
      <c r="G763" s="2776" t="str">
        <f t="array" ref="G763">IFERROR(VLOOKUP(F763,Dex!$P$22:$Q$276,2,FALSE),"")</f>
        <v/>
      </c>
      <c r="H763" s="2777">
        <v>252.0</v>
      </c>
      <c r="I763" s="2760"/>
      <c r="J763" s="2774" t="s">
        <v>197</v>
      </c>
      <c r="K763" s="2775">
        <f t="array" ref="K763">IFERROR(VLOOKUP(J745,Dex!$B$3:$N1218,13,FALSE),"")</f>
        <v>109</v>
      </c>
      <c r="L763" s="2776" t="str">
        <f t="array" ref="L763">IFERROR(VLOOKUP(K763,Dex!$P$22:$Q$276,2,FALSE),"")</f>
        <v/>
      </c>
      <c r="M763" s="2777">
        <v>252.0</v>
      </c>
      <c r="N763" s="2760"/>
      <c r="O763" s="2774" t="s">
        <v>197</v>
      </c>
      <c r="P763" s="2775">
        <f t="array" ref="P763">IFERROR(VLOOKUP(O745,Dex!$B$3:$N1218,13,FALSE),"")</f>
        <v>110</v>
      </c>
      <c r="Q763" s="2776" t="str">
        <f t="array" ref="Q763">IFERROR(VLOOKUP(P763,Dex!$P$22:$Q$276,2,FALSE),"")</f>
        <v/>
      </c>
      <c r="R763" s="2777">
        <v>252.0</v>
      </c>
      <c r="S763" s="2769"/>
      <c r="T763" s="2774" t="s">
        <v>197</v>
      </c>
      <c r="U763" s="2775">
        <f t="array" ref="U763">IFERROR(VLOOKUP(T745,Dex!$B$3:$N1218,13,FALSE),"")</f>
        <v>115</v>
      </c>
      <c r="V763" s="2776" t="str">
        <f t="array" ref="V763">IFERROR(VLOOKUP(U763,Dex!$P$22:$Q$276,2,FALSE),"")</f>
        <v/>
      </c>
      <c r="W763" s="2777">
        <v>252.0</v>
      </c>
      <c r="X763" s="2763"/>
      <c r="Y763" s="2774" t="s">
        <v>197</v>
      </c>
      <c r="Z763" s="2775">
        <f t="array" ref="Z763">IFERROR(VLOOKUP(Y745,Dex!$B$3:$N1218,13,FALSE),"")</f>
        <v>105</v>
      </c>
      <c r="AA763" s="2776" t="str">
        <f t="array" ref="AA763">IFERROR(VLOOKUP(Z763,Dex!$P$22:$Q$276,2,FALSE),"")</f>
        <v/>
      </c>
      <c r="AB763" s="2777">
        <v>252.0</v>
      </c>
      <c r="AC763" s="2763"/>
      <c r="AD763" s="2774" t="s">
        <v>197</v>
      </c>
      <c r="AE763" s="2775">
        <f t="array" ref="AE763">IFERROR(VLOOKUP(AD745,Dex!$B$3:$N1218,13,FALSE),"")</f>
        <v>77</v>
      </c>
      <c r="AF763" s="2776" t="str">
        <f t="array" ref="AF763">IFERROR(VLOOKUP(AE763,Dex!$P$22:$Q$276,2,FALSE),"")</f>
        <v/>
      </c>
      <c r="AG763" s="2777">
        <v>252.0</v>
      </c>
      <c r="AH763" s="2764"/>
      <c r="AI763" s="6192"/>
    </row>
    <row r="764" ht="16.5" customHeight="1">
      <c r="A764" s="6185"/>
      <c r="B764" s="2756"/>
      <c r="C764" s="2747"/>
      <c r="D764" s="2757"/>
      <c r="E764" s="2778" t="s">
        <v>198</v>
      </c>
      <c r="F764" s="405"/>
      <c r="G764" s="406"/>
      <c r="H764" s="2779">
        <v>394.0</v>
      </c>
      <c r="I764" s="2760"/>
      <c r="J764" s="2778" t="s">
        <v>198</v>
      </c>
      <c r="K764" s="405"/>
      <c r="L764" s="406"/>
      <c r="M764" s="2779">
        <v>348.0</v>
      </c>
      <c r="N764" s="2760"/>
      <c r="O764" s="2778" t="s">
        <v>198</v>
      </c>
      <c r="P764" s="405"/>
      <c r="Q764" s="406"/>
      <c r="R764" s="2779">
        <v>350.0</v>
      </c>
      <c r="S764" s="6773"/>
      <c r="T764" s="2778" t="s">
        <v>198</v>
      </c>
      <c r="U764" s="405"/>
      <c r="V764" s="406"/>
      <c r="W764" s="2779">
        <v>361.0</v>
      </c>
      <c r="X764" s="6772"/>
      <c r="Y764" s="2778" t="s">
        <v>198</v>
      </c>
      <c r="Z764" s="405"/>
      <c r="AA764" s="406"/>
      <c r="AB764" s="2779">
        <v>339.0</v>
      </c>
      <c r="AC764" s="6772"/>
      <c r="AD764" s="2778" t="s">
        <v>198</v>
      </c>
      <c r="AE764" s="405"/>
      <c r="AF764" s="406"/>
      <c r="AG764" s="2779">
        <v>278.0</v>
      </c>
      <c r="AH764" s="2764"/>
      <c r="AI764" s="6192"/>
    </row>
    <row r="765" ht="15.0" customHeight="1">
      <c r="A765" s="6185"/>
      <c r="B765" s="2781"/>
      <c r="C765" s="2782"/>
      <c r="D765" s="2783"/>
      <c r="E765" s="2784"/>
      <c r="F765" s="2784"/>
      <c r="G765" s="2784"/>
      <c r="H765" s="2784"/>
      <c r="I765" s="2783"/>
      <c r="J765" s="2784"/>
      <c r="K765" s="2784"/>
      <c r="L765" s="2784"/>
      <c r="M765" s="2784"/>
      <c r="N765" s="2783"/>
      <c r="O765" s="2784"/>
      <c r="P765" s="2784"/>
      <c r="Q765" s="2784"/>
      <c r="R765" s="2784"/>
      <c r="S765" s="2783"/>
      <c r="T765" s="3179"/>
      <c r="U765" s="3179"/>
      <c r="V765" s="3179"/>
      <c r="W765" s="2783"/>
      <c r="X765" s="2783"/>
      <c r="Y765" s="3179"/>
      <c r="Z765" s="3179"/>
      <c r="AA765" s="3179"/>
      <c r="AB765" s="2783"/>
      <c r="AC765" s="2783"/>
      <c r="AD765" s="3179"/>
      <c r="AE765" s="3179"/>
      <c r="AF765" s="3179"/>
      <c r="AG765" s="2783"/>
      <c r="AH765" s="2785"/>
      <c r="AI765" s="6192"/>
    </row>
    <row r="766" ht="15.0" customHeight="1">
      <c r="A766" s="6185"/>
      <c r="B766" s="1718"/>
      <c r="C766" s="1719"/>
      <c r="D766" s="1720"/>
      <c r="E766" s="1721"/>
      <c r="F766" s="1721"/>
      <c r="G766" s="1721"/>
      <c r="H766" s="1721"/>
      <c r="I766" s="1720"/>
      <c r="J766" s="1721"/>
      <c r="K766" s="1721"/>
      <c r="L766" s="1721"/>
      <c r="M766" s="1721"/>
      <c r="N766" s="1720"/>
      <c r="O766" s="1721"/>
      <c r="P766" s="1721"/>
      <c r="Q766" s="1721"/>
      <c r="R766" s="1721"/>
      <c r="S766" s="1720"/>
      <c r="T766" s="1721"/>
      <c r="U766" s="1721"/>
      <c r="V766" s="1721"/>
      <c r="W766" s="1721"/>
      <c r="X766" s="1720"/>
      <c r="Y766" s="1721"/>
      <c r="Z766" s="1721"/>
      <c r="AA766" s="1721"/>
      <c r="AB766" s="1721"/>
      <c r="AC766" s="1720"/>
      <c r="AD766" s="1720"/>
      <c r="AE766" s="1720"/>
      <c r="AF766" s="1720"/>
      <c r="AG766" s="1720"/>
      <c r="AH766" s="1722"/>
      <c r="AI766" s="6192"/>
    </row>
    <row r="767">
      <c r="A767" s="6185"/>
      <c r="B767" s="6774"/>
      <c r="C767" s="1767"/>
      <c r="D767" s="6775"/>
      <c r="E767" s="6776" t="s">
        <v>1740</v>
      </c>
      <c r="F767" s="1776"/>
      <c r="G767" s="1776"/>
      <c r="H767" s="1776"/>
      <c r="I767" s="1776"/>
      <c r="J767" s="1776"/>
      <c r="K767" s="1776"/>
      <c r="L767" s="1776"/>
      <c r="M767" s="1776"/>
      <c r="N767" s="6777" t="s">
        <v>1741</v>
      </c>
      <c r="O767" s="1731"/>
      <c r="P767" s="1731"/>
      <c r="Q767" s="1731"/>
      <c r="R767" s="1731"/>
      <c r="S767" s="1731"/>
      <c r="T767" s="1731"/>
      <c r="U767" s="1731"/>
      <c r="V767" s="1731"/>
      <c r="W767" s="1731"/>
      <c r="X767" s="1731"/>
      <c r="Y767" s="1731"/>
      <c r="Z767" s="1731"/>
      <c r="AA767" s="1731"/>
      <c r="AB767" s="1731"/>
      <c r="AC767" s="1731"/>
      <c r="AD767" s="1731"/>
      <c r="AE767" s="1731"/>
      <c r="AF767" s="1731"/>
      <c r="AG767" s="1732"/>
      <c r="AH767" s="1722"/>
      <c r="AI767" s="6192"/>
    </row>
    <row r="768" ht="96.75" customHeight="1">
      <c r="A768" s="6185"/>
      <c r="B768" s="1723"/>
      <c r="C768" s="1724" t="str">
        <f>IMAGE("https://i.ibb.co/JtgmCkX/Whitney.png")</f>
        <v/>
      </c>
      <c r="D768" s="1725"/>
      <c r="E768" s="1726" t="str">
        <f t="array" ref="E768">IFERROR(VLOOKUP(E769,Dex!$B$3:$G1218,3,FALSE),"")</f>
        <v/>
      </c>
      <c r="F768" s="1727"/>
      <c r="G768" s="1727"/>
      <c r="H768" s="1728"/>
      <c r="I768" s="1725"/>
      <c r="J768" s="1726" t="str">
        <f t="array" ref="J768">IFERROR(VLOOKUP(J769,Dex!$B$3:$G1218,3,FALSE),"")</f>
        <v/>
      </c>
      <c r="K768" s="1727"/>
      <c r="L768" s="1727"/>
      <c r="M768" s="1728"/>
      <c r="N768" s="1725"/>
      <c r="O768" s="1726" t="str">
        <f t="array" ref="O768">IFERROR(VLOOKUP(O769,Dex!$B$3:$G1218,3,FALSE),"")</f>
        <v/>
      </c>
      <c r="P768" s="1727"/>
      <c r="Q768" s="1727"/>
      <c r="R768" s="1728"/>
      <c r="S768" s="1725"/>
      <c r="T768" s="1726" t="str">
        <f t="array" ref="T768">IFERROR(VLOOKUP(T769,Dex!$B$3:$G1218,3,FALSE),"")</f>
        <v/>
      </c>
      <c r="U768" s="1727"/>
      <c r="V768" s="1727"/>
      <c r="W768" s="1728"/>
      <c r="X768" s="1725"/>
      <c r="Y768" s="1726" t="str">
        <f t="array" ref="Y768">IFERROR(VLOOKUP(Y769,Dex!$B$3:$G1218,3,FALSE),"")</f>
        <v/>
      </c>
      <c r="Z768" s="1727"/>
      <c r="AA768" s="1727"/>
      <c r="AB768" s="1728"/>
      <c r="AC768" s="6778"/>
      <c r="AD768" s="1726" t="str">
        <f t="array" ref="AD768">IFERROR(VLOOKUP(AD769,Dex!$B$3:$G1218,3,FALSE),"")</f>
        <v/>
      </c>
      <c r="AE768" s="1727"/>
      <c r="AF768" s="1727"/>
      <c r="AG768" s="1728"/>
      <c r="AH768" s="6779"/>
      <c r="AI768" s="6192"/>
    </row>
    <row r="769" ht="18.75" customHeight="1">
      <c r="A769" s="6185"/>
      <c r="B769" s="1734"/>
      <c r="C769" s="6780" t="s">
        <v>1742</v>
      </c>
      <c r="D769" s="1736"/>
      <c r="E769" s="1737" t="s">
        <v>1743</v>
      </c>
      <c r="F769" s="1738"/>
      <c r="G769" s="1738"/>
      <c r="H769" s="1739"/>
      <c r="I769" s="1736"/>
      <c r="J769" s="1737" t="s">
        <v>546</v>
      </c>
      <c r="K769" s="1738"/>
      <c r="L769" s="1738"/>
      <c r="M769" s="1739"/>
      <c r="N769" s="1736"/>
      <c r="O769" s="1737" t="s">
        <v>760</v>
      </c>
      <c r="P769" s="1738"/>
      <c r="Q769" s="1738"/>
      <c r="R769" s="1739"/>
      <c r="S769" s="1736"/>
      <c r="T769" s="1737" t="s">
        <v>570</v>
      </c>
      <c r="U769" s="1738"/>
      <c r="V769" s="1738"/>
      <c r="W769" s="1739"/>
      <c r="X769" s="1736"/>
      <c r="Y769" s="1737" t="s">
        <v>295</v>
      </c>
      <c r="Z769" s="1738"/>
      <c r="AA769" s="1738"/>
      <c r="AB769" s="1739"/>
      <c r="AD769" s="1737" t="s">
        <v>1630</v>
      </c>
      <c r="AE769" s="1738"/>
      <c r="AF769" s="1738"/>
      <c r="AG769" s="1739"/>
      <c r="AH769" s="6781"/>
      <c r="AI769" s="6192"/>
    </row>
    <row r="770">
      <c r="A770" s="6185"/>
      <c r="B770" s="1743"/>
      <c r="C770" s="326"/>
      <c r="D770" s="1744"/>
      <c r="E770" s="1745" t="s">
        <v>1502</v>
      </c>
      <c r="F770" s="1731"/>
      <c r="G770" s="1731"/>
      <c r="H770" s="1746"/>
      <c r="I770" s="1747"/>
      <c r="J770" s="1745" t="s">
        <v>1502</v>
      </c>
      <c r="K770" s="1731"/>
      <c r="L770" s="1731"/>
      <c r="M770" s="1746"/>
      <c r="N770" s="1747"/>
      <c r="O770" s="1745" t="s">
        <v>1502</v>
      </c>
      <c r="P770" s="1731"/>
      <c r="Q770" s="1731"/>
      <c r="R770" s="1746"/>
      <c r="S770" s="1747"/>
      <c r="T770" s="1745" t="s">
        <v>1502</v>
      </c>
      <c r="U770" s="1731"/>
      <c r="V770" s="1731"/>
      <c r="W770" s="1746"/>
      <c r="X770" s="1747"/>
      <c r="Y770" s="1745" t="s">
        <v>1502</v>
      </c>
      <c r="Z770" s="1731"/>
      <c r="AA770" s="1731"/>
      <c r="AB770" s="1746"/>
      <c r="AD770" s="1745" t="s">
        <v>1502</v>
      </c>
      <c r="AE770" s="1731"/>
      <c r="AF770" s="1731"/>
      <c r="AG770" s="1746"/>
      <c r="AH770" s="6782"/>
      <c r="AI770" s="6192"/>
    </row>
    <row r="771" ht="25.5" customHeight="1">
      <c r="A771" s="6185"/>
      <c r="B771" s="1749"/>
      <c r="C771" s="6783"/>
      <c r="D771" s="1730"/>
      <c r="E771" s="1751"/>
      <c r="F771" s="1758" t="str">
        <f t="array" ref="F771">IFERROR(VLOOKUP(E769,Dex!$B$3:$H1218,5,FALSE),"")</f>
        <v/>
      </c>
      <c r="G771" s="1732"/>
      <c r="H771" s="1754"/>
      <c r="I771" s="1741"/>
      <c r="J771" s="1751"/>
      <c r="K771" s="1758" t="str">
        <f t="array" ref="K771">IFERROR(VLOOKUP(J769,Dex!$B$3:$H1218,5,FALSE),"")</f>
        <v/>
      </c>
      <c r="L771" s="1732"/>
      <c r="M771" s="1754"/>
      <c r="N771" s="1741"/>
      <c r="O771" s="1751"/>
      <c r="P771" s="1758" t="str">
        <f t="array" ref="P771">IFERROR(VLOOKUP(O769,Dex!$B$3:$H1218,5,FALSE),"")</f>
        <v/>
      </c>
      <c r="Q771" s="1732"/>
      <c r="R771" s="1754"/>
      <c r="S771" s="1741"/>
      <c r="T771" s="1751"/>
      <c r="U771" s="1752" t="str">
        <f t="array" ref="U771">IFERROR(VLOOKUP(T769,Dex!$B$3:$H1218,5,FALSE),"")</f>
        <v/>
      </c>
      <c r="V771" s="1753" t="str">
        <f t="array" ref="V771">IFERROR(VLOOKUP(T769,Dex!$B$3:$H1218,7,FALSE),"")</f>
        <v/>
      </c>
      <c r="W771" s="1754"/>
      <c r="X771" s="1741"/>
      <c r="Y771" s="1751"/>
      <c r="Z771" s="1752" t="str">
        <f t="array" ref="Z771">IFERROR(VLOOKUP(Y769,Dex!$B$3:$H1218,5,FALSE),"")</f>
        <v/>
      </c>
      <c r="AA771" s="1753" t="str">
        <f t="array" ref="AA771">IFERROR(VLOOKUP(Y769,Dex!$B$3:$H1218,7,FALSE),"")</f>
        <v/>
      </c>
      <c r="AB771" s="1754"/>
      <c r="AD771" s="1751"/>
      <c r="AE771" s="1758" t="str">
        <f t="array" ref="AE771">IFERROR(VLOOKUP(AD769,Dex!$B$3:$H1218,5,FALSE),"")</f>
        <v/>
      </c>
      <c r="AF771" s="1732"/>
      <c r="AG771" s="1754"/>
      <c r="AH771" s="1733"/>
      <c r="AI771" s="6192"/>
    </row>
    <row r="772" ht="2.25" customHeight="1">
      <c r="A772" s="6185"/>
      <c r="B772" s="1749"/>
      <c r="C772" s="1774"/>
      <c r="D772" s="1730"/>
      <c r="E772" s="1761"/>
      <c r="F772" s="1762"/>
      <c r="G772" s="1762"/>
      <c r="H772" s="1763"/>
      <c r="I772" s="1741"/>
      <c r="J772" s="1761"/>
      <c r="K772" s="1762"/>
      <c r="L772" s="1762"/>
      <c r="M772" s="1763"/>
      <c r="N772" s="1741"/>
      <c r="O772" s="1761"/>
      <c r="P772" s="1762"/>
      <c r="Q772" s="1762"/>
      <c r="R772" s="1763"/>
      <c r="S772" s="1741"/>
      <c r="T772" s="1761"/>
      <c r="U772" s="1762"/>
      <c r="V772" s="1762"/>
      <c r="W772" s="1763"/>
      <c r="X772" s="1741"/>
      <c r="Y772" s="1761"/>
      <c r="Z772" s="1762"/>
      <c r="AA772" s="1762"/>
      <c r="AB772" s="1763"/>
      <c r="AD772" s="1761"/>
      <c r="AE772" s="1762"/>
      <c r="AF772" s="1762"/>
      <c r="AG772" s="1763"/>
      <c r="AH772" s="1733"/>
      <c r="AI772" s="6192"/>
    </row>
    <row r="773" ht="20.25" customHeight="1">
      <c r="A773" s="6185"/>
      <c r="B773" s="1749"/>
      <c r="C773" s="1780"/>
      <c r="D773" s="1730"/>
      <c r="E773" s="1769" t="s">
        <v>172</v>
      </c>
      <c r="F773" s="1770"/>
      <c r="G773" s="1770"/>
      <c r="H773" s="1771"/>
      <c r="I773" s="6784"/>
      <c r="J773" s="1769" t="s">
        <v>172</v>
      </c>
      <c r="K773" s="1770"/>
      <c r="L773" s="1770"/>
      <c r="M773" s="1771"/>
      <c r="N773" s="6784"/>
      <c r="O773" s="1769" t="s">
        <v>205</v>
      </c>
      <c r="P773" s="1770"/>
      <c r="Q773" s="1770"/>
      <c r="R773" s="1771"/>
      <c r="S773" s="6784"/>
      <c r="T773" s="1769" t="s">
        <v>205</v>
      </c>
      <c r="U773" s="1770"/>
      <c r="V773" s="1770"/>
      <c r="W773" s="1771"/>
      <c r="X773" s="6784"/>
      <c r="Y773" s="1769" t="s">
        <v>169</v>
      </c>
      <c r="Z773" s="1770"/>
      <c r="AA773" s="1770"/>
      <c r="AB773" s="1771"/>
      <c r="AD773" s="1769" t="s">
        <v>531</v>
      </c>
      <c r="AE773" s="1770"/>
      <c r="AF773" s="1770"/>
      <c r="AG773" s="1771"/>
      <c r="AH773" s="6779"/>
      <c r="AI773" s="6192"/>
    </row>
    <row r="774" ht="20.25" customHeight="1">
      <c r="A774" s="6185"/>
      <c r="B774" s="1749"/>
      <c r="C774" s="1772"/>
      <c r="D774" s="1730"/>
      <c r="E774" s="1773" t="s">
        <v>1517</v>
      </c>
      <c r="F774" s="1731"/>
      <c r="G774" s="1731"/>
      <c r="H774" s="1746"/>
      <c r="I774" s="6784"/>
      <c r="J774" s="1773" t="s">
        <v>550</v>
      </c>
      <c r="K774" s="1731"/>
      <c r="L774" s="1731"/>
      <c r="M774" s="1746"/>
      <c r="N774" s="6784"/>
      <c r="O774" s="1773" t="s">
        <v>733</v>
      </c>
      <c r="P774" s="1731"/>
      <c r="Q774" s="1731"/>
      <c r="R774" s="1746"/>
      <c r="S774" s="6784"/>
      <c r="T774" s="1773" t="s">
        <v>575</v>
      </c>
      <c r="U774" s="1731"/>
      <c r="V774" s="1731"/>
      <c r="W774" s="1746"/>
      <c r="X774" s="6784"/>
      <c r="Y774" s="1773" t="s">
        <v>303</v>
      </c>
      <c r="Z774" s="1731"/>
      <c r="AA774" s="1731"/>
      <c r="AB774" s="1746"/>
      <c r="AD774" s="1773" t="s">
        <v>550</v>
      </c>
      <c r="AE774" s="1731"/>
      <c r="AF774" s="1731"/>
      <c r="AG774" s="1746"/>
      <c r="AH774" s="6779"/>
      <c r="AI774" s="6192"/>
    </row>
    <row r="775" ht="20.25" customHeight="1">
      <c r="A775" s="6185"/>
      <c r="B775" s="1749"/>
      <c r="C775" s="1774"/>
      <c r="D775" s="1730"/>
      <c r="E775" s="1775" t="s">
        <v>600</v>
      </c>
      <c r="F775" s="1776"/>
      <c r="G775" s="1777"/>
      <c r="H775" s="1778" t="str">
        <f>IMAGE("https://raw.githubusercontent.com/msikma/pokesprite/master/items/hold-item/toxic-orb.png",3)</f>
        <v/>
      </c>
      <c r="I775" s="1741"/>
      <c r="J775" s="1775" t="s">
        <v>1744</v>
      </c>
      <c r="K775" s="1776"/>
      <c r="L775" s="1777"/>
      <c r="M775" s="1778" t="str">
        <f>IMAGE("https://raw.githubusercontent.com/msikma/pokesprite/master/items/berry/kasib.png",3)</f>
        <v/>
      </c>
      <c r="N775" s="1741"/>
      <c r="O775" s="1775" t="s">
        <v>335</v>
      </c>
      <c r="P775" s="1776"/>
      <c r="Q775" s="1777"/>
      <c r="R775" s="1778" t="str">
        <f>IMAGE("https://raw.githubusercontent.com/msikma/pokesprite/master/items/hold-item/choice-scarf.png",3)</f>
        <v/>
      </c>
      <c r="S775" s="1741"/>
      <c r="T775" s="1775" t="s">
        <v>240</v>
      </c>
      <c r="U775" s="1776"/>
      <c r="V775" s="1777"/>
      <c r="W775" s="1778" t="str">
        <f>IMAGE("https://raw.githubusercontent.com/msikma/pokesprite/master/items/hold-item/focus-sash.png",3)</f>
        <v/>
      </c>
      <c r="X775" s="1741"/>
      <c r="Y775" s="1775" t="s">
        <v>307</v>
      </c>
      <c r="Z775" s="1776"/>
      <c r="AA775" s="1777"/>
      <c r="AB775" s="1778" t="str">
        <f>IMAGE("https://raw.githubusercontent.com/msikma/pokesprite/master/items/hold-item/flame-orb.png",3)</f>
        <v/>
      </c>
      <c r="AD775" s="1775" t="s">
        <v>394</v>
      </c>
      <c r="AE775" s="1776"/>
      <c r="AF775" s="1777"/>
      <c r="AG775" s="1778" t="str">
        <f>IMAGE("https://raw.githubusercontent.com/msikma/pokesprite/master/items/hold-item/leftovers.png",3)</f>
        <v/>
      </c>
      <c r="AH775" s="1733"/>
      <c r="AI775" s="6192"/>
    </row>
    <row r="776" ht="20.25" customHeight="1">
      <c r="A776" s="6185"/>
      <c r="B776" s="1749"/>
      <c r="C776" s="1780"/>
      <c r="D776" s="1730"/>
      <c r="E776" s="1769" t="s">
        <v>189</v>
      </c>
      <c r="F776" s="1770"/>
      <c r="G776" s="1770"/>
      <c r="H776" s="1781" t="str">
        <f>IMAGE("https://raw.githubusercontent.com/msikma/pokesprite/master/misc/types/gen8/normal.png",4,20,20)</f>
        <v/>
      </c>
      <c r="I776" s="1741"/>
      <c r="J776" s="1769" t="s">
        <v>557</v>
      </c>
      <c r="K776" s="1770"/>
      <c r="L776" s="1770"/>
      <c r="M776" s="1781" t="str">
        <f>IMAGE("https://raw.githubusercontent.com/msikma/pokesprite/master/misc/types/gen8/normal.png",4,20,20)</f>
        <v/>
      </c>
      <c r="N776" s="1741"/>
      <c r="O776" s="1769" t="s">
        <v>337</v>
      </c>
      <c r="P776" s="1770"/>
      <c r="Q776" s="1770"/>
      <c r="R776" s="1781" t="str">
        <f>IMAGE("https://raw.githubusercontent.com/msikma/pokesprite/master/misc/types/gen8/normal.png",4,20,20)</f>
        <v/>
      </c>
      <c r="S776" s="1741"/>
      <c r="T776" s="1769" t="s">
        <v>318</v>
      </c>
      <c r="U776" s="1770"/>
      <c r="V776" s="1770"/>
      <c r="W776" s="1781" t="str">
        <f>IMAGE("https://raw.githubusercontent.com/msikma/pokesprite/master/misc/types/gen8/ghost.png",4,20,20)</f>
        <v/>
      </c>
      <c r="X776" s="1741"/>
      <c r="Y776" s="1769" t="s">
        <v>189</v>
      </c>
      <c r="Z776" s="1770"/>
      <c r="AA776" s="1770"/>
      <c r="AB776" s="1781" t="str">
        <f>IMAGE("https://raw.githubusercontent.com/msikma/pokesprite/master/misc/types/gen8/normal.png",4,20,20)</f>
        <v/>
      </c>
      <c r="AD776" s="1769" t="s">
        <v>1004</v>
      </c>
      <c r="AE776" s="1770"/>
      <c r="AF776" s="1770"/>
      <c r="AG776" s="1781" t="str">
        <f>IMAGE("https://raw.githubusercontent.com/msikma/pokesprite/master/misc/types/gen8/ghost.png",4,20,20)</f>
        <v/>
      </c>
      <c r="AH776" s="1733"/>
      <c r="AI776" s="6192"/>
    </row>
    <row r="777" ht="20.25" customHeight="1">
      <c r="A777" s="6185"/>
      <c r="B777" s="1749"/>
      <c r="C777" s="1768"/>
      <c r="D777" s="1730"/>
      <c r="E777" s="1773" t="s">
        <v>316</v>
      </c>
      <c r="F777" s="1731"/>
      <c r="G777" s="1731"/>
      <c r="H777" s="1782" t="str">
        <f>IMAGE("https://raw.githubusercontent.com/msikma/pokesprite/master/misc/types/gen8/fighting.png",4,20,20)</f>
        <v/>
      </c>
      <c r="I777" s="1741"/>
      <c r="J777" s="1773" t="s">
        <v>252</v>
      </c>
      <c r="K777" s="1731"/>
      <c r="L777" s="1731"/>
      <c r="M777" s="1782" t="str">
        <f>IMAGE("https://raw.githubusercontent.com/msikma/pokesprite/master/misc/types/gen8/electric.png",4,20,20)</f>
        <v/>
      </c>
      <c r="N777" s="1741"/>
      <c r="O777" s="1773" t="s">
        <v>188</v>
      </c>
      <c r="P777" s="1731"/>
      <c r="Q777" s="1731"/>
      <c r="R777" s="1746"/>
      <c r="S777" s="1741"/>
      <c r="T777" s="1773" t="s">
        <v>311</v>
      </c>
      <c r="U777" s="1731"/>
      <c r="V777" s="1731"/>
      <c r="W777" s="1782" t="str">
        <f>IMAGE("https://raw.githubusercontent.com/msikma/pokesprite/master/misc/types/gen8/normal.png",4,20,20)</f>
        <v/>
      </c>
      <c r="X777" s="1741"/>
      <c r="Y777" s="1773" t="s">
        <v>402</v>
      </c>
      <c r="Z777" s="1731"/>
      <c r="AA777" s="1731"/>
      <c r="AB777" s="1782" t="str">
        <f>IMAGE("https://raw.githubusercontent.com/msikma/pokesprite/master/misc/types/gen8/ground.png",4,20,20)</f>
        <v/>
      </c>
      <c r="AD777" s="1773" t="s">
        <v>633</v>
      </c>
      <c r="AE777" s="1731"/>
      <c r="AF777" s="1731"/>
      <c r="AG777" s="1782" t="str">
        <f>IMAGE("https://raw.githubusercontent.com/msikma/pokesprite/master/misc/types/gen8/psychic.png",4,20,20)</f>
        <v/>
      </c>
      <c r="AH777" s="1733"/>
      <c r="AI777" s="6192"/>
    </row>
    <row r="778" ht="20.25" customHeight="1">
      <c r="A778" s="6185"/>
      <c r="B778" s="1749"/>
      <c r="C778" s="1768"/>
      <c r="D778" s="1730"/>
      <c r="E778" s="1773" t="s">
        <v>635</v>
      </c>
      <c r="F778" s="1731"/>
      <c r="G778" s="1731"/>
      <c r="H778" s="1782" t="str">
        <f t="shared" ref="H778:H779" si="30">IMAGE("https://raw.githubusercontent.com/msikma/pokesprite/master/misc/types/gen8/normal.png",4,20,20)</f>
        <v/>
      </c>
      <c r="I778" s="1741"/>
      <c r="J778" s="1773" t="s">
        <v>395</v>
      </c>
      <c r="K778" s="1731"/>
      <c r="L778" s="1731"/>
      <c r="M778" s="1782" t="str">
        <f>IMAGE("https://raw.githubusercontent.com/msikma/pokesprite/master/misc/types/gen8/rock.png",4,20,20)</f>
        <v/>
      </c>
      <c r="N778" s="1741"/>
      <c r="O778" s="1773" t="s">
        <v>188</v>
      </c>
      <c r="P778" s="1731"/>
      <c r="Q778" s="1731"/>
      <c r="R778" s="1746"/>
      <c r="S778" s="1741"/>
      <c r="T778" s="1773" t="s">
        <v>372</v>
      </c>
      <c r="U778" s="1731"/>
      <c r="V778" s="1731"/>
      <c r="W778" s="1782" t="str">
        <f>IMAGE("https://raw.githubusercontent.com/msikma/pokesprite/master/misc/types/gen8/fire.png",4,20,20)</f>
        <v/>
      </c>
      <c r="X778" s="1741"/>
      <c r="Y778" s="1773" t="s">
        <v>541</v>
      </c>
      <c r="Z778" s="1731"/>
      <c r="AA778" s="1731"/>
      <c r="AB778" s="1782" t="str">
        <f>IMAGE("https://raw.githubusercontent.com/msikma/pokesprite/master/misc/types/gen8/dark.png",4,20,20)</f>
        <v/>
      </c>
      <c r="AD778" s="1773" t="s">
        <v>185</v>
      </c>
      <c r="AE778" s="1731"/>
      <c r="AF778" s="1731"/>
      <c r="AG778" s="1782" t="str">
        <f t="shared" ref="AG778:AG779" si="31">IMAGE("https://raw.githubusercontent.com/msikma/pokesprite/master/misc/types/gen8/normal.png",4,20,20)</f>
        <v/>
      </c>
      <c r="AH778" s="1733"/>
      <c r="AI778" s="6192"/>
    </row>
    <row r="779" ht="21.0" customHeight="1">
      <c r="A779" s="6185"/>
      <c r="B779" s="1749"/>
      <c r="C779" s="1768"/>
      <c r="D779" s="1730"/>
      <c r="E779" s="1783" t="s">
        <v>476</v>
      </c>
      <c r="F779" s="1784"/>
      <c r="G779" s="1784"/>
      <c r="H779" s="1785" t="str">
        <f t="shared" si="30"/>
        <v/>
      </c>
      <c r="I779" s="1741"/>
      <c r="J779" s="1783" t="s">
        <v>1745</v>
      </c>
      <c r="K779" s="1784"/>
      <c r="L779" s="1784"/>
      <c r="M779" s="1785" t="str">
        <f>IMAGE("https://raw.githubusercontent.com/msikma/pokesprite/master/misc/types/gen8/normal.png",4,20,20)</f>
        <v/>
      </c>
      <c r="N779" s="1741"/>
      <c r="O779" s="1783" t="s">
        <v>188</v>
      </c>
      <c r="P779" s="1784"/>
      <c r="Q779" s="1784"/>
      <c r="R779" s="6785"/>
      <c r="S779" s="1741"/>
      <c r="T779" s="1783" t="s">
        <v>278</v>
      </c>
      <c r="U779" s="1784"/>
      <c r="V779" s="1784"/>
      <c r="W779" s="1785" t="str">
        <f>IMAGE("https://raw.githubusercontent.com/msikma/pokesprite/master/misc/types/gen8/bug.png",4,20,20)</f>
        <v/>
      </c>
      <c r="X779" s="1741"/>
      <c r="Y779" s="1783" t="s">
        <v>584</v>
      </c>
      <c r="Z779" s="1784"/>
      <c r="AA779" s="1784"/>
      <c r="AB779" s="1785" t="str">
        <f>IMAGE("https://raw.githubusercontent.com/msikma/pokesprite/master/misc/types/gen8/ghost.png",4,20,20)</f>
        <v/>
      </c>
      <c r="AC779" s="1738"/>
      <c r="AD779" s="1783" t="s">
        <v>557</v>
      </c>
      <c r="AE779" s="1784"/>
      <c r="AF779" s="1784"/>
      <c r="AG779" s="1785" t="str">
        <f t="shared" si="31"/>
        <v/>
      </c>
      <c r="AH779" s="1733"/>
      <c r="AI779" s="6192"/>
    </row>
    <row r="780" ht="3.0" customHeight="1">
      <c r="A780" s="6185"/>
      <c r="B780" s="1787"/>
      <c r="C780" s="1788"/>
      <c r="D780" s="1789"/>
      <c r="E780" s="1790"/>
      <c r="F780" s="1790"/>
      <c r="G780" s="1790"/>
      <c r="H780" s="1790"/>
      <c r="I780" s="1789"/>
      <c r="J780" s="1790"/>
      <c r="K780" s="1790"/>
      <c r="L780" s="1790"/>
      <c r="M780" s="1790"/>
      <c r="N780" s="1789"/>
      <c r="O780" s="1790"/>
      <c r="P780" s="1790"/>
      <c r="Q780" s="1790"/>
      <c r="R780" s="1790"/>
      <c r="S780" s="1789"/>
      <c r="T780" s="1790"/>
      <c r="U780" s="1790"/>
      <c r="V780" s="1790"/>
      <c r="W780" s="1790"/>
      <c r="X780" s="1789"/>
      <c r="Y780" s="1790"/>
      <c r="Z780" s="6786"/>
      <c r="AA780" s="6786"/>
      <c r="AB780" s="1793"/>
      <c r="AC780" s="1794"/>
      <c r="AD780" s="1790"/>
      <c r="AE780" s="6786"/>
      <c r="AF780" s="6786"/>
      <c r="AG780" s="1793"/>
      <c r="AH780" s="1795"/>
      <c r="AI780" s="6192"/>
    </row>
    <row r="781" ht="16.5" customHeight="1">
      <c r="A781" s="6185"/>
      <c r="B781" s="1796"/>
      <c r="C781" s="1788"/>
      <c r="D781" s="1797"/>
      <c r="E781" s="1798" t="s">
        <v>190</v>
      </c>
      <c r="F781" s="381"/>
      <c r="G781" s="382"/>
      <c r="H781" s="1799" t="s">
        <v>191</v>
      </c>
      <c r="I781" s="1797"/>
      <c r="J781" s="1798" t="s">
        <v>190</v>
      </c>
      <c r="K781" s="381"/>
      <c r="L781" s="382"/>
      <c r="M781" s="1799" t="s">
        <v>191</v>
      </c>
      <c r="N781" s="1797"/>
      <c r="O781" s="1798" t="s">
        <v>190</v>
      </c>
      <c r="P781" s="381"/>
      <c r="Q781" s="382"/>
      <c r="R781" s="1799" t="s">
        <v>191</v>
      </c>
      <c r="S781" s="1797"/>
      <c r="T781" s="1798" t="s">
        <v>190</v>
      </c>
      <c r="U781" s="381"/>
      <c r="V781" s="382"/>
      <c r="W781" s="1799" t="s">
        <v>191</v>
      </c>
      <c r="X781" s="1797"/>
      <c r="Y781" s="1798" t="s">
        <v>190</v>
      </c>
      <c r="Z781" s="381"/>
      <c r="AA781" s="382"/>
      <c r="AB781" s="1799" t="s">
        <v>191</v>
      </c>
      <c r="AC781" s="1800"/>
      <c r="AD781" s="1798" t="s">
        <v>190</v>
      </c>
      <c r="AE781" s="381"/>
      <c r="AF781" s="382"/>
      <c r="AG781" s="1799" t="s">
        <v>191</v>
      </c>
      <c r="AH781" s="1801"/>
      <c r="AI781" s="6192"/>
    </row>
    <row r="782" ht="15.75" customHeight="1">
      <c r="A782" s="6185"/>
      <c r="B782" s="1796"/>
      <c r="C782" s="1788"/>
      <c r="D782" s="1797"/>
      <c r="E782" s="1802" t="s">
        <v>192</v>
      </c>
      <c r="F782" s="1803">
        <f t="array" ref="F782">IFERROR(VLOOKUP(E769,Dex!$B$3:$N1218,8,FALSE),"")</f>
        <v>73</v>
      </c>
      <c r="G782" s="1804" t="str">
        <f t="array" ref="G782">IFERROR(VLOOKUP(F782,Dex!$P$22:$Q$276,2,FALSE),"")</f>
        <v/>
      </c>
      <c r="H782" s="1805"/>
      <c r="I782" s="1797"/>
      <c r="J782" s="1802" t="s">
        <v>192</v>
      </c>
      <c r="K782" s="1803">
        <f t="array" ref="K782">IFERROR(VLOOKUP(J769,Dex!$B$3:$N1218,8,FALSE),"")</f>
        <v>95</v>
      </c>
      <c r="L782" s="1804" t="str">
        <f t="array" ref="L782">IFERROR(VLOOKUP(K782,Dex!$P$22:$Q$276,2,FALSE),"")</f>
        <v/>
      </c>
      <c r="M782" s="1805"/>
      <c r="N782" s="1797"/>
      <c r="O782" s="1802" t="s">
        <v>192</v>
      </c>
      <c r="P782" s="1803">
        <f t="array" ref="P782">IFERROR(VLOOKUP(O769,Dex!$B$3:$N1218,8,FALSE),"")</f>
        <v>104</v>
      </c>
      <c r="Q782" s="1804" t="str">
        <f t="array" ref="Q782">IFERROR(VLOOKUP(P782,Dex!$P$22:$Q$276,2,FALSE),"")</f>
        <v/>
      </c>
      <c r="R782" s="1805"/>
      <c r="S782" s="1797"/>
      <c r="T782" s="1802" t="s">
        <v>192</v>
      </c>
      <c r="U782" s="1803">
        <f t="array" ref="U782">IFERROR(VLOOKUP(T769,Dex!$B$3:$N1218,8,FALSE),"")</f>
        <v>55</v>
      </c>
      <c r="V782" s="1804" t="str">
        <f t="array" ref="V782">IFERROR(VLOOKUP(U782,Dex!$P$22:$Q$276,2,FALSE),"")</f>
        <v/>
      </c>
      <c r="W782" s="1805"/>
      <c r="X782" s="1797"/>
      <c r="Y782" s="1802" t="s">
        <v>192</v>
      </c>
      <c r="Z782" s="1803">
        <f t="array" ref="Z782">IFERROR(VLOOKUP(Y769,Dex!$B$3:$N1218,8,FALSE),"")</f>
        <v>130</v>
      </c>
      <c r="AA782" s="1804" t="str">
        <f t="array" ref="AA782">IFERROR(VLOOKUP(Z782,Dex!$P$22:$Q$276,2,FALSE),"")</f>
        <v/>
      </c>
      <c r="AB782" s="1805">
        <v>252.0</v>
      </c>
      <c r="AC782" s="1800"/>
      <c r="AD782" s="1802" t="s">
        <v>192</v>
      </c>
      <c r="AE782" s="1803">
        <f t="array" ref="AE782">IFERROR(VLOOKUP(AD769,Dex!$B$3:$N1218,8,FALSE),"")</f>
        <v>160</v>
      </c>
      <c r="AF782" s="1804" t="str">
        <f t="array" ref="AF782">IFERROR(VLOOKUP(AE782,Dex!$P$22:$Q$276,2,FALSE),"")</f>
        <v/>
      </c>
      <c r="AG782" s="1805">
        <v>252.0</v>
      </c>
      <c r="AH782" s="1801"/>
      <c r="AI782" s="6192"/>
    </row>
    <row r="783" ht="15.75" customHeight="1">
      <c r="A783" s="6185"/>
      <c r="B783" s="1796"/>
      <c r="C783" s="1788"/>
      <c r="D783" s="1797"/>
      <c r="E783" s="1806" t="s">
        <v>193</v>
      </c>
      <c r="F783" s="1807">
        <f t="array" ref="F783">IFERROR(VLOOKUP(E769,Dex!$B$3:$N1218,9,FALSE),"")</f>
        <v>115</v>
      </c>
      <c r="G783" s="1808" t="str">
        <f t="array" ref="G783">IFERROR(VLOOKUP(F783,Dex!$P$22:$Q$276,2,FALSE),"")</f>
        <v/>
      </c>
      <c r="H783" s="1809">
        <v>252.0</v>
      </c>
      <c r="I783" s="1797"/>
      <c r="J783" s="1806" t="s">
        <v>193</v>
      </c>
      <c r="K783" s="1807">
        <f t="array" ref="K783">IFERROR(VLOOKUP(J769,Dex!$B$3:$N1218,9,FALSE),"")</f>
        <v>85</v>
      </c>
      <c r="L783" s="1808" t="str">
        <f t="array" ref="L783">IFERROR(VLOOKUP(K783,Dex!$P$22:$Q$276,2,FALSE),"")</f>
        <v/>
      </c>
      <c r="M783" s="1809">
        <v>252.0</v>
      </c>
      <c r="N783" s="1797"/>
      <c r="O783" s="1806" t="s">
        <v>193</v>
      </c>
      <c r="P783" s="1807">
        <f t="array" ref="P783">IFERROR(VLOOKUP(O769,Dex!$B$3:$N1218,9,FALSE),"")</f>
        <v>81</v>
      </c>
      <c r="Q783" s="1808" t="str">
        <f t="array" ref="Q783">IFERROR(VLOOKUP(P783,Dex!$P$22:$Q$276,2,FALSE),"")</f>
        <v/>
      </c>
      <c r="R783" s="1809"/>
      <c r="S783" s="1797"/>
      <c r="T783" s="1806" t="s">
        <v>193</v>
      </c>
      <c r="U783" s="1807">
        <f t="array" ref="U783">IFERROR(VLOOKUP(T769,Dex!$B$3:$N1218,9,FALSE),"")</f>
        <v>100</v>
      </c>
      <c r="V783" s="1808" t="str">
        <f t="array" ref="V783">IFERROR(VLOOKUP(U783,Dex!$P$22:$Q$276,2,FALSE),"")</f>
        <v/>
      </c>
      <c r="W783" s="1809"/>
      <c r="X783" s="1797"/>
      <c r="Y783" s="1806" t="s">
        <v>193</v>
      </c>
      <c r="Z783" s="1807">
        <f t="array" ref="Z783">IFERROR(VLOOKUP(Y769,Dex!$B$3:$N1218,9,FALSE),"")</f>
        <v>140</v>
      </c>
      <c r="AA783" s="1808" t="str">
        <f t="array" ref="AA783">IFERROR(VLOOKUP(Z783,Dex!$P$22:$Q$276,2,FALSE),"")</f>
        <v/>
      </c>
      <c r="AB783" s="1809">
        <v>252.0</v>
      </c>
      <c r="AC783" s="1800"/>
      <c r="AD783" s="1806" t="s">
        <v>193</v>
      </c>
      <c r="AE783" s="1807">
        <f t="array" ref="AE783">IFERROR(VLOOKUP(AD769,Dex!$B$3:$N1218,9,FALSE),"")</f>
        <v>110</v>
      </c>
      <c r="AF783" s="1808" t="str">
        <f t="array" ref="AF783">IFERROR(VLOOKUP(AE783,Dex!$P$22:$Q$276,2,FALSE),"")</f>
        <v/>
      </c>
      <c r="AG783" s="1809">
        <v>252.0</v>
      </c>
      <c r="AH783" s="1801"/>
      <c r="AI783" s="6192"/>
    </row>
    <row r="784" ht="15.75" customHeight="1">
      <c r="A784" s="6185"/>
      <c r="B784" s="1796"/>
      <c r="C784" s="1788"/>
      <c r="D784" s="1797"/>
      <c r="E784" s="1806" t="s">
        <v>194</v>
      </c>
      <c r="F784" s="1807">
        <f t="array" ref="F784">IFERROR(VLOOKUP(E769,Dex!$B$3:$N1218,10,FALSE),"")</f>
        <v>70</v>
      </c>
      <c r="G784" s="1808" t="str">
        <f t="array" ref="G784">IFERROR(VLOOKUP(F784,Dex!$P$22:$Q$276,2,FALSE),"")</f>
        <v/>
      </c>
      <c r="H784" s="1809">
        <v>4.0</v>
      </c>
      <c r="I784" s="1797"/>
      <c r="J784" s="1806" t="s">
        <v>194</v>
      </c>
      <c r="K784" s="1807">
        <f t="array" ref="K784">IFERROR(VLOOKUP(J769,Dex!$B$3:$N1218,10,FALSE),"")</f>
        <v>105</v>
      </c>
      <c r="L784" s="1808" t="str">
        <f t="array" ref="L784">IFERROR(VLOOKUP(K784,Dex!$P$22:$Q$276,2,FALSE),"")</f>
        <v/>
      </c>
      <c r="M784" s="1809">
        <v>4.0</v>
      </c>
      <c r="N784" s="1797"/>
      <c r="O784" s="1806" t="s">
        <v>194</v>
      </c>
      <c r="P784" s="1807">
        <f t="array" ref="P784">IFERROR(VLOOKUP(O769,Dex!$B$3:$N1218,10,FALSE),"")</f>
        <v>63</v>
      </c>
      <c r="Q784" s="1808" t="str">
        <f t="array" ref="Q784">IFERROR(VLOOKUP(P784,Dex!$P$22:$Q$276,2,FALSE),"")</f>
        <v/>
      </c>
      <c r="R784" s="1809">
        <v>4.0</v>
      </c>
      <c r="S784" s="1797"/>
      <c r="T784" s="1806" t="s">
        <v>194</v>
      </c>
      <c r="U784" s="1807">
        <f t="array" ref="U784">IFERROR(VLOOKUP(T769,Dex!$B$3:$N1218,10,FALSE),"")</f>
        <v>60</v>
      </c>
      <c r="V784" s="1808" t="str">
        <f t="array" ref="V784">IFERROR(VLOOKUP(U784,Dex!$P$22:$Q$276,2,FALSE),"")</f>
        <v/>
      </c>
      <c r="W784" s="1809">
        <v>4.0</v>
      </c>
      <c r="X784" s="1797"/>
      <c r="Y784" s="1806" t="s">
        <v>194</v>
      </c>
      <c r="Z784" s="1807">
        <f t="array" ref="Z784">IFERROR(VLOOKUP(Y769,Dex!$B$3:$N1218,10,FALSE),"")</f>
        <v>105</v>
      </c>
      <c r="AA784" s="1808" t="str">
        <f t="array" ref="AA784">IFERROR(VLOOKUP(Z784,Dex!$P$22:$Q$276,2,FALSE),"")</f>
        <v/>
      </c>
      <c r="AB784" s="1809">
        <v>4.0</v>
      </c>
      <c r="AC784" s="1800"/>
      <c r="AD784" s="1806" t="s">
        <v>194</v>
      </c>
      <c r="AE784" s="1807">
        <f t="array" ref="AE784">IFERROR(VLOOKUP(AD769,Dex!$B$3:$N1218,10,FALSE),"")</f>
        <v>65</v>
      </c>
      <c r="AF784" s="1808" t="str">
        <f t="array" ref="AF784">IFERROR(VLOOKUP(AE784,Dex!$P$22:$Q$276,2,FALSE),"")</f>
        <v/>
      </c>
      <c r="AG784" s="1809">
        <v>4.0</v>
      </c>
      <c r="AH784" s="1801"/>
      <c r="AI784" s="6192"/>
    </row>
    <row r="785" ht="15.75" customHeight="1">
      <c r="A785" s="6185"/>
      <c r="B785" s="1796"/>
      <c r="C785" s="1788"/>
      <c r="D785" s="1797"/>
      <c r="E785" s="1806" t="s">
        <v>195</v>
      </c>
      <c r="F785" s="1807">
        <f t="array" ref="F785">IFERROR(VLOOKUP(E769,Dex!$B$3:$N1218,11,FALSE),"")</f>
        <v>60</v>
      </c>
      <c r="G785" s="1808" t="str">
        <f t="array" ref="G785">IFERROR(VLOOKUP(F785,Dex!$P$22:$Q$276,2,FALSE),"")</f>
        <v/>
      </c>
      <c r="H785" s="1809"/>
      <c r="I785" s="1797"/>
      <c r="J785" s="1806" t="s">
        <v>195</v>
      </c>
      <c r="K785" s="1807">
        <f t="array" ref="K785">IFERROR(VLOOKUP(J769,Dex!$B$3:$N1218,11,FALSE),"")</f>
        <v>40</v>
      </c>
      <c r="L785" s="1808" t="str">
        <f t="array" ref="L785">IFERROR(VLOOKUP(K785,Dex!$P$22:$Q$276,2,FALSE),"")</f>
        <v/>
      </c>
      <c r="M785" s="1809"/>
      <c r="N785" s="1797"/>
      <c r="O785" s="1806" t="s">
        <v>195</v>
      </c>
      <c r="P785" s="1807">
        <f t="array" ref="P785">IFERROR(VLOOKUP(O769,Dex!$B$3:$N1218,11,FALSE),"")</f>
        <v>91</v>
      </c>
      <c r="Q785" s="1808" t="str">
        <f t="array" ref="Q785">IFERROR(VLOOKUP(P785,Dex!$P$22:$Q$276,2,FALSE),"")</f>
        <v/>
      </c>
      <c r="R785" s="1809">
        <v>252.0</v>
      </c>
      <c r="S785" s="1797"/>
      <c r="T785" s="1806" t="s">
        <v>195</v>
      </c>
      <c r="U785" s="1807">
        <f t="array" ref="U785">IFERROR(VLOOKUP(T769,Dex!$B$3:$N1218,11,FALSE),"")</f>
        <v>125</v>
      </c>
      <c r="V785" s="1808" t="str">
        <f t="array" ref="V785">IFERROR(VLOOKUP(U785,Dex!$P$22:$Q$276,2,FALSE),"")</f>
        <v/>
      </c>
      <c r="W785" s="1809">
        <v>252.0</v>
      </c>
      <c r="X785" s="1797"/>
      <c r="Y785" s="1806" t="s">
        <v>195</v>
      </c>
      <c r="Z785" s="1807">
        <f t="array" ref="Z785">IFERROR(VLOOKUP(Y769,Dex!$B$3:$N1218,11,FALSE),"")</f>
        <v>45</v>
      </c>
      <c r="AA785" s="1808" t="str">
        <f t="array" ref="AA785">IFERROR(VLOOKUP(Z785,Dex!$P$22:$Q$276,2,FALSE),"")</f>
        <v/>
      </c>
      <c r="AB785" s="1809"/>
      <c r="AC785" s="1800"/>
      <c r="AD785" s="1806" t="s">
        <v>195</v>
      </c>
      <c r="AE785" s="1807">
        <f t="array" ref="AE785">IFERROR(VLOOKUP(AD769,Dex!$B$3:$N1218,11,FALSE),"")</f>
        <v>65</v>
      </c>
      <c r="AF785" s="1808" t="str">
        <f t="array" ref="AF785">IFERROR(VLOOKUP(AE785,Dex!$P$22:$Q$276,2,FALSE),"")</f>
        <v/>
      </c>
      <c r="AG785" s="1809"/>
      <c r="AH785" s="1801"/>
      <c r="AI785" s="6192"/>
    </row>
    <row r="786" ht="15.75" customHeight="1">
      <c r="A786" s="6185"/>
      <c r="B786" s="1796"/>
      <c r="C786" s="1788"/>
      <c r="D786" s="1797"/>
      <c r="E786" s="1806" t="s">
        <v>196</v>
      </c>
      <c r="F786" s="1807">
        <f t="array" ref="F786">IFERROR(VLOOKUP(E769,Dex!$B$3:$N1218,12,FALSE),"")</f>
        <v>70</v>
      </c>
      <c r="G786" s="1808" t="str">
        <f t="array" ref="G786">IFERROR(VLOOKUP(F786,Dex!$P$22:$Q$276,2,FALSE),"")</f>
        <v/>
      </c>
      <c r="H786" s="1809"/>
      <c r="I786" s="1797"/>
      <c r="J786" s="1806" t="s">
        <v>196</v>
      </c>
      <c r="K786" s="1807">
        <f t="array" ref="K786">IFERROR(VLOOKUP(J769,Dex!$B$3:$N1218,12,FALSE),"")</f>
        <v>70</v>
      </c>
      <c r="L786" s="1808" t="str">
        <f t="array" ref="L786">IFERROR(VLOOKUP(K786,Dex!$P$22:$Q$276,2,FALSE),"")</f>
        <v/>
      </c>
      <c r="M786" s="1809"/>
      <c r="N786" s="1797"/>
      <c r="O786" s="1806" t="s">
        <v>196</v>
      </c>
      <c r="P786" s="1807">
        <f t="array" ref="P786">IFERROR(VLOOKUP(O769,Dex!$B$3:$N1218,12,FALSE),"")</f>
        <v>73</v>
      </c>
      <c r="Q786" s="1808" t="str">
        <f t="array" ref="Q786">IFERROR(VLOOKUP(P786,Dex!$P$22:$Q$276,2,FALSE),"")</f>
        <v/>
      </c>
      <c r="R786" s="1809"/>
      <c r="S786" s="1797"/>
      <c r="T786" s="1806" t="s">
        <v>196</v>
      </c>
      <c r="U786" s="1807">
        <f t="array" ref="U786">IFERROR(VLOOKUP(T769,Dex!$B$3:$N1218,12,FALSE),"")</f>
        <v>60</v>
      </c>
      <c r="V786" s="1808" t="str">
        <f t="array" ref="V786">IFERROR(VLOOKUP(U786,Dex!$P$22:$Q$276,2,FALSE),"")</f>
        <v/>
      </c>
      <c r="W786" s="1809"/>
      <c r="X786" s="1797"/>
      <c r="Y786" s="1806" t="s">
        <v>196</v>
      </c>
      <c r="Z786" s="1807">
        <f t="array" ref="Z786">IFERROR(VLOOKUP(Y769,Dex!$B$3:$N1218,12,FALSE),"")</f>
        <v>80</v>
      </c>
      <c r="AA786" s="1808" t="str">
        <f t="array" ref="AA786">IFERROR(VLOOKUP(Z786,Dex!$P$22:$Q$276,2,FALSE),"")</f>
        <v/>
      </c>
      <c r="AB786" s="1809"/>
      <c r="AC786" s="1800"/>
      <c r="AD786" s="1806" t="s">
        <v>196</v>
      </c>
      <c r="AE786" s="1807">
        <f t="array" ref="AE786">IFERROR(VLOOKUP(AD769,Dex!$B$3:$N1218,12,FALSE),"")</f>
        <v>110</v>
      </c>
      <c r="AF786" s="1808" t="str">
        <f t="array" ref="AF786">IFERROR(VLOOKUP(AE786,Dex!$P$22:$Q$276,2,FALSE),"")</f>
        <v/>
      </c>
      <c r="AG786" s="1809"/>
      <c r="AH786" s="1801"/>
      <c r="AI786" s="6192"/>
    </row>
    <row r="787" ht="15.75" customHeight="1">
      <c r="A787" s="6185"/>
      <c r="B787" s="1796"/>
      <c r="C787" s="1788"/>
      <c r="D787" s="1797"/>
      <c r="E787" s="1810" t="s">
        <v>197</v>
      </c>
      <c r="F787" s="1811">
        <f t="array" ref="F787">IFERROR(VLOOKUP(E769,Dex!$B$3:$N1218,13,FALSE),"")</f>
        <v>100</v>
      </c>
      <c r="G787" s="1812" t="str">
        <f t="array" ref="G787">IFERROR(VLOOKUP(F787,Dex!$P$22:$Q$276,2,FALSE),"")</f>
        <v/>
      </c>
      <c r="H787" s="1813">
        <v>252.0</v>
      </c>
      <c r="I787" s="1797"/>
      <c r="J787" s="1810" t="s">
        <v>197</v>
      </c>
      <c r="K787" s="1811">
        <f t="array" ref="K787">IFERROR(VLOOKUP(J769,Dex!$B$3:$N1218,13,FALSE),"")</f>
        <v>100</v>
      </c>
      <c r="L787" s="1812" t="str">
        <f t="array" ref="L787">IFERROR(VLOOKUP(K787,Dex!$P$22:$Q$276,2,FALSE),"")</f>
        <v/>
      </c>
      <c r="M787" s="1813">
        <v>252.0</v>
      </c>
      <c r="N787" s="1797"/>
      <c r="O787" s="1810" t="s">
        <v>197</v>
      </c>
      <c r="P787" s="1811">
        <f t="array" ref="P787">IFERROR(VLOOKUP(O769,Dex!$B$3:$N1218,13,FALSE),"")</f>
        <v>73</v>
      </c>
      <c r="Q787" s="1812" t="str">
        <f t="array" ref="Q787">IFERROR(VLOOKUP(P787,Dex!$P$22:$Q$276,2,FALSE),"")</f>
        <v/>
      </c>
      <c r="R787" s="1813">
        <v>252.0</v>
      </c>
      <c r="S787" s="1797"/>
      <c r="T787" s="1810" t="s">
        <v>197</v>
      </c>
      <c r="U787" s="1811">
        <f t="array" ref="U787">IFERROR(VLOOKUP(T769,Dex!$B$3:$N1218,13,FALSE),"")</f>
        <v>110</v>
      </c>
      <c r="V787" s="1812" t="str">
        <f t="array" ref="V787">IFERROR(VLOOKUP(U787,Dex!$P$22:$Q$276,2,FALSE),"")</f>
        <v/>
      </c>
      <c r="W787" s="1813">
        <v>252.0</v>
      </c>
      <c r="X787" s="1797"/>
      <c r="Y787" s="1810" t="s">
        <v>197</v>
      </c>
      <c r="Z787" s="1811">
        <f t="array" ref="Z787">IFERROR(VLOOKUP(Y769,Dex!$B$3:$N1218,13,FALSE),"")</f>
        <v>50</v>
      </c>
      <c r="AA787" s="1812" t="str">
        <f t="array" ref="AA787">IFERROR(VLOOKUP(Z787,Dex!$P$22:$Q$276,2,FALSE),"")</f>
        <v/>
      </c>
      <c r="AB787" s="1813"/>
      <c r="AC787" s="1800"/>
      <c r="AD787" s="1810" t="s">
        <v>197</v>
      </c>
      <c r="AE787" s="1811">
        <f t="array" ref="AE787">IFERROR(VLOOKUP(AD769,Dex!$B$3:$N1218,13,FALSE),"")</f>
        <v>30</v>
      </c>
      <c r="AF787" s="1812" t="str">
        <f t="array" ref="AF787">IFERROR(VLOOKUP(AE787,Dex!$P$22:$Q$276,2,FALSE),"")</f>
        <v/>
      </c>
      <c r="AG787" s="1813"/>
      <c r="AH787" s="1801"/>
      <c r="AI787" s="6192"/>
    </row>
    <row r="788" ht="16.5" customHeight="1">
      <c r="A788" s="6185"/>
      <c r="B788" s="1796"/>
      <c r="C788" s="1788"/>
      <c r="D788" s="1797"/>
      <c r="E788" s="1814" t="s">
        <v>198</v>
      </c>
      <c r="F788" s="405"/>
      <c r="G788" s="406"/>
      <c r="H788" s="1815">
        <v>328.0</v>
      </c>
      <c r="I788" s="1797"/>
      <c r="J788" s="1814" t="s">
        <v>198</v>
      </c>
      <c r="K788" s="405"/>
      <c r="L788" s="406"/>
      <c r="M788" s="1815">
        <v>328.0</v>
      </c>
      <c r="N788" s="1797"/>
      <c r="O788" s="6787" t="s">
        <v>198</v>
      </c>
      <c r="P788" s="918"/>
      <c r="Q788" s="919"/>
      <c r="R788" s="6788">
        <v>269.0</v>
      </c>
      <c r="S788" s="1797"/>
      <c r="T788" s="1814" t="s">
        <v>198</v>
      </c>
      <c r="U788" s="405"/>
      <c r="V788" s="406"/>
      <c r="W788" s="1815">
        <v>350.0</v>
      </c>
      <c r="X788" s="1797"/>
      <c r="Y788" s="1814" t="s">
        <v>198</v>
      </c>
      <c r="Z788" s="405"/>
      <c r="AA788" s="406"/>
      <c r="AB788" s="1815">
        <v>136.0</v>
      </c>
      <c r="AC788" s="1800"/>
      <c r="AD788" s="1814" t="s">
        <v>198</v>
      </c>
      <c r="AE788" s="405"/>
      <c r="AF788" s="406"/>
      <c r="AG788" s="1815">
        <v>96.0</v>
      </c>
      <c r="AH788" s="1801"/>
      <c r="AI788" s="6192"/>
    </row>
    <row r="789" ht="16.5" customHeight="1">
      <c r="A789" s="6185"/>
      <c r="B789" s="6789"/>
      <c r="C789" s="6790"/>
      <c r="D789" s="6791"/>
      <c r="E789" s="6790"/>
      <c r="F789" s="6790"/>
      <c r="G789" s="6790"/>
      <c r="H789" s="6790"/>
      <c r="I789" s="6791"/>
      <c r="J789" s="6790"/>
      <c r="K789" s="6790"/>
      <c r="L789" s="6790"/>
      <c r="M789" s="6790"/>
      <c r="N789" s="6791"/>
      <c r="O789" s="6792" t="s">
        <v>348</v>
      </c>
      <c r="P789" s="925"/>
      <c r="Q789" s="926"/>
      <c r="R789" s="6793">
        <v>403.0</v>
      </c>
      <c r="S789" s="6791"/>
      <c r="T789" s="6790"/>
      <c r="U789" s="6790"/>
      <c r="V789" s="6790"/>
      <c r="W789" s="6790"/>
      <c r="X789" s="6791"/>
      <c r="Y789" s="6790"/>
      <c r="Z789" s="6790"/>
      <c r="AA789" s="6790"/>
      <c r="AB789" s="6790"/>
      <c r="AC789" s="6794"/>
      <c r="AD789" s="6790"/>
      <c r="AE789" s="6790"/>
      <c r="AF789" s="6790"/>
      <c r="AG789" s="6790"/>
      <c r="AH789" s="6795"/>
      <c r="AI789" s="6192"/>
    </row>
    <row r="790" ht="15.0" customHeight="1">
      <c r="A790" s="6185"/>
      <c r="B790" s="1816"/>
      <c r="C790" s="1817"/>
      <c r="D790" s="1818"/>
      <c r="E790" s="1817"/>
      <c r="F790" s="1817"/>
      <c r="G790" s="1817"/>
      <c r="H790" s="1817"/>
      <c r="I790" s="1818"/>
      <c r="J790" s="1817"/>
      <c r="K790" s="1817"/>
      <c r="L790" s="1817"/>
      <c r="M790" s="1817"/>
      <c r="N790" s="1818"/>
      <c r="O790" s="1819"/>
      <c r="P790" s="1819"/>
      <c r="Q790" s="1819"/>
      <c r="R790" s="1819"/>
      <c r="S790" s="1818"/>
      <c r="T790" s="1817"/>
      <c r="U790" s="1817"/>
      <c r="V790" s="1817"/>
      <c r="W790" s="1817"/>
      <c r="X790" s="1818"/>
      <c r="Y790" s="1817"/>
      <c r="Z790" s="1817"/>
      <c r="AA790" s="1817"/>
      <c r="AB790" s="1817"/>
      <c r="AC790" s="1818"/>
      <c r="AD790" s="1817"/>
      <c r="AE790" s="1817"/>
      <c r="AF790" s="1817"/>
      <c r="AG790" s="1817"/>
      <c r="AH790" s="1820"/>
      <c r="AI790" s="6192"/>
    </row>
    <row r="791" ht="15.0" customHeight="1">
      <c r="A791" s="6185"/>
      <c r="B791" s="3491"/>
      <c r="C791" s="3492"/>
      <c r="D791" s="3493"/>
      <c r="E791" s="3494"/>
      <c r="F791" s="3494"/>
      <c r="G791" s="3494"/>
      <c r="H791" s="3494"/>
      <c r="I791" s="3493"/>
      <c r="J791" s="3494"/>
      <c r="K791" s="3494"/>
      <c r="L791" s="3494"/>
      <c r="M791" s="3494"/>
      <c r="N791" s="3493"/>
      <c r="O791" s="3494"/>
      <c r="P791" s="3494"/>
      <c r="Q791" s="3494"/>
      <c r="R791" s="3494"/>
      <c r="S791" s="3493"/>
      <c r="T791" s="3494"/>
      <c r="U791" s="3494"/>
      <c r="V791" s="3494"/>
      <c r="W791" s="3494"/>
      <c r="X791" s="3493"/>
      <c r="Y791" s="3494"/>
      <c r="Z791" s="3494"/>
      <c r="AA791" s="3494"/>
      <c r="AB791" s="3494"/>
      <c r="AC791" s="3493"/>
      <c r="AD791" s="3494"/>
      <c r="AE791" s="3494"/>
      <c r="AF791" s="3494"/>
      <c r="AG791" s="3494"/>
      <c r="AH791" s="3495"/>
      <c r="AI791" s="6192"/>
    </row>
    <row r="792" ht="96.75" customHeight="1">
      <c r="A792" s="6185"/>
      <c r="B792" s="3496"/>
      <c r="C792" s="3497" t="str">
        <f>IMAGE("https://i.ibb.co/TKBZjnF/Ace-Trainer-M.png")</f>
        <v/>
      </c>
      <c r="D792" s="3498"/>
      <c r="E792" s="3499" t="str">
        <f t="array" ref="E792">IFERROR(VLOOKUP(E793,Dex!$B$3:$G1218,3,FALSE),"")</f>
        <v/>
      </c>
      <c r="F792" s="381"/>
      <c r="G792" s="381"/>
      <c r="H792" s="2531"/>
      <c r="I792" s="3500"/>
      <c r="J792" s="3499" t="str">
        <f t="array" ref="J792">IFERROR(VLOOKUP(J793,Dex!$B$3:$G1218,3,FALSE),"")</f>
        <v/>
      </c>
      <c r="K792" s="381"/>
      <c r="L792" s="381"/>
      <c r="M792" s="2531"/>
      <c r="N792" s="5127"/>
      <c r="O792" s="3499" t="str">
        <f t="array" ref="O792">IFERROR(VLOOKUP(O793,Dex!$B$3:$G1218,3,FALSE),"")</f>
        <v/>
      </c>
      <c r="P792" s="381"/>
      <c r="Q792" s="381"/>
      <c r="R792" s="2531"/>
      <c r="S792" s="5128"/>
      <c r="T792" s="3499" t="str">
        <f t="array" ref="T792">IFERROR(VLOOKUP(T793,Dex!$B$3:$G1218,3,FALSE),"")</f>
        <v/>
      </c>
      <c r="U792" s="381"/>
      <c r="V792" s="381"/>
      <c r="W792" s="2531"/>
      <c r="X792" s="5127"/>
      <c r="Y792" s="3499" t="str">
        <f t="array" ref="Y792">IFERROR(VLOOKUP(Y793,Dex!$B$3:$G1218,3,FALSE),"")</f>
        <v/>
      </c>
      <c r="Z792" s="381"/>
      <c r="AA792" s="381"/>
      <c r="AB792" s="2531"/>
      <c r="AC792" s="5128"/>
      <c r="AD792" s="3499" t="str">
        <f t="array" ref="AD792">IFERROR(VLOOKUP(AD793,Dex!$B$3:$G1218,3,FALSE),"")</f>
        <v/>
      </c>
      <c r="AE792" s="381"/>
      <c r="AF792" s="381"/>
      <c r="AG792" s="2531"/>
      <c r="AH792" s="5181"/>
      <c r="AI792" s="6192"/>
    </row>
    <row r="793" ht="18.75" customHeight="1">
      <c r="A793" s="6185"/>
      <c r="B793" s="6302"/>
      <c r="C793" s="6303" t="s">
        <v>1746</v>
      </c>
      <c r="D793" s="6304"/>
      <c r="E793" s="5129" t="s">
        <v>890</v>
      </c>
      <c r="F793" s="3512"/>
      <c r="G793" s="3512"/>
      <c r="H793" s="5130"/>
      <c r="J793" s="5129" t="s">
        <v>762</v>
      </c>
      <c r="K793" s="3512"/>
      <c r="L793" s="3512"/>
      <c r="M793" s="5130"/>
      <c r="O793" s="5129" t="s">
        <v>933</v>
      </c>
      <c r="P793" s="3512"/>
      <c r="Q793" s="3512"/>
      <c r="R793" s="5130"/>
      <c r="T793" s="5129" t="s">
        <v>778</v>
      </c>
      <c r="U793" s="3512"/>
      <c r="V793" s="3512"/>
      <c r="W793" s="5130"/>
      <c r="Y793" s="5129" t="s">
        <v>324</v>
      </c>
      <c r="Z793" s="3512"/>
      <c r="AA793" s="3512"/>
      <c r="AB793" s="5130"/>
      <c r="AD793" s="5129" t="s">
        <v>1687</v>
      </c>
      <c r="AE793" s="3512"/>
      <c r="AF793" s="3512"/>
      <c r="AG793" s="5130"/>
      <c r="AH793" s="5182"/>
      <c r="AI793" s="6192"/>
    </row>
    <row r="794">
      <c r="A794" s="6185"/>
      <c r="B794" s="6305"/>
      <c r="C794" s="3030"/>
      <c r="D794" s="6306"/>
      <c r="E794" s="5131" t="s">
        <v>1502</v>
      </c>
      <c r="F794" s="3521"/>
      <c r="G794" s="3521"/>
      <c r="H794" s="5132"/>
      <c r="J794" s="5131" t="s">
        <v>1502</v>
      </c>
      <c r="K794" s="3521"/>
      <c r="L794" s="3521"/>
      <c r="M794" s="5132"/>
      <c r="O794" s="5131" t="s">
        <v>1502</v>
      </c>
      <c r="P794" s="3521"/>
      <c r="Q794" s="3521"/>
      <c r="R794" s="5132"/>
      <c r="T794" s="5131" t="s">
        <v>1502</v>
      </c>
      <c r="U794" s="3521"/>
      <c r="V794" s="3521"/>
      <c r="W794" s="5132"/>
      <c r="Y794" s="5131" t="s">
        <v>1502</v>
      </c>
      <c r="Z794" s="3521"/>
      <c r="AA794" s="3521"/>
      <c r="AB794" s="5132"/>
      <c r="AD794" s="5131" t="s">
        <v>1502</v>
      </c>
      <c r="AE794" s="3521"/>
      <c r="AF794" s="3521"/>
      <c r="AG794" s="5132"/>
      <c r="AH794" s="5183"/>
      <c r="AI794" s="6192"/>
    </row>
    <row r="795" ht="25.5" customHeight="1">
      <c r="A795" s="6185"/>
      <c r="B795" s="6307"/>
      <c r="C795" s="3030"/>
      <c r="D795" s="6308"/>
      <c r="E795" s="5133"/>
      <c r="F795" s="5134" t="str">
        <f t="array" ref="F795">IFERROR(VLOOKUP(E793,Dex!$B$3:$H1218,5,FALSE),"")</f>
        <v/>
      </c>
      <c r="G795" s="5135" t="str">
        <f t="array" ref="G795">IFERROR(VLOOKUP(E793,Dex!$B$3:$H1218,7,FALSE),"")</f>
        <v/>
      </c>
      <c r="H795" s="5136"/>
      <c r="J795" s="5133"/>
      <c r="K795" s="5134" t="str">
        <f t="array" ref="K795">IFERROR(VLOOKUP(J793,Dex!$B$3:$H1218,5,FALSE),"")</f>
        <v/>
      </c>
      <c r="L795" s="5135" t="str">
        <f t="array" ref="L795">IFERROR(VLOOKUP(J793,Dex!$B$3:$H1218,7,FALSE),"")</f>
        <v/>
      </c>
      <c r="M795" s="5136"/>
      <c r="O795" s="5133"/>
      <c r="P795" s="5134" t="str">
        <f t="array" ref="P795">IFERROR(VLOOKUP(O793,Dex!$B$3:$H1218,5,FALSE),"")</f>
        <v/>
      </c>
      <c r="Q795" s="5135" t="str">
        <f t="array" ref="Q795">IFERROR(VLOOKUP(O793,Dex!$B$3:$H1218,7,FALSE),"")</f>
        <v/>
      </c>
      <c r="R795" s="5136"/>
      <c r="T795" s="5133"/>
      <c r="U795" s="5134" t="str">
        <f t="array" ref="U795">IFERROR(VLOOKUP(T793,Dex!$B$3:$H1218,5,FALSE),"")</f>
        <v/>
      </c>
      <c r="V795" s="5135" t="str">
        <f t="array" ref="V795">IFERROR(VLOOKUP(T793,Dex!$B$3:$H1218,7,FALSE),"")</f>
        <v/>
      </c>
      <c r="W795" s="5136"/>
      <c r="Y795" s="5133"/>
      <c r="Z795" s="5134" t="str">
        <f t="array" ref="Z795">IFERROR(VLOOKUP(Y793,Dex!$B$3:$H1218,5,FALSE),"")</f>
        <v/>
      </c>
      <c r="AA795" s="5135" t="str">
        <f t="array" ref="AA795">IFERROR(VLOOKUP(Y793,Dex!$B$3:$H1218,7,FALSE),"")</f>
        <v/>
      </c>
      <c r="AB795" s="5136"/>
      <c r="AD795" s="5133"/>
      <c r="AE795" s="3526" t="str">
        <f t="array" ref="AE795">IFERROR(VLOOKUP(AD793,Dex!$B$3:$H1218,5,FALSE),"")</f>
        <v/>
      </c>
      <c r="AF795" s="3527"/>
      <c r="AG795" s="5136"/>
      <c r="AH795" s="3507"/>
      <c r="AI795" s="6192"/>
    </row>
    <row r="796" ht="2.25" customHeight="1">
      <c r="A796" s="6185"/>
      <c r="B796" s="6307"/>
      <c r="C796" s="3030"/>
      <c r="D796" s="6308"/>
      <c r="E796" s="5137"/>
      <c r="F796" s="5138"/>
      <c r="G796" s="5138"/>
      <c r="H796" s="5139"/>
      <c r="J796" s="5137"/>
      <c r="K796" s="5138"/>
      <c r="L796" s="5138"/>
      <c r="M796" s="5139"/>
      <c r="O796" s="5137"/>
      <c r="P796" s="5138"/>
      <c r="Q796" s="5138"/>
      <c r="R796" s="5139"/>
      <c r="T796" s="5137"/>
      <c r="U796" s="5138"/>
      <c r="V796" s="5138"/>
      <c r="W796" s="5139"/>
      <c r="Y796" s="5137"/>
      <c r="Z796" s="5138"/>
      <c r="AA796" s="5138"/>
      <c r="AB796" s="5139"/>
      <c r="AD796" s="5137"/>
      <c r="AE796" s="5138"/>
      <c r="AF796" s="5138"/>
      <c r="AG796" s="5139"/>
      <c r="AH796" s="3507"/>
      <c r="AI796" s="6192"/>
    </row>
    <row r="797" ht="20.25" customHeight="1">
      <c r="A797" s="6185"/>
      <c r="B797" s="6307"/>
      <c r="C797" s="3045"/>
      <c r="D797" s="6308"/>
      <c r="E797" s="3534" t="s">
        <v>172</v>
      </c>
      <c r="F797" s="3535"/>
      <c r="G797" s="3535"/>
      <c r="H797" s="3536"/>
      <c r="J797" s="3534" t="s">
        <v>172</v>
      </c>
      <c r="K797" s="3535"/>
      <c r="L797" s="3535"/>
      <c r="M797" s="3536"/>
      <c r="O797" s="3534" t="s">
        <v>172</v>
      </c>
      <c r="P797" s="3535"/>
      <c r="Q797" s="3535"/>
      <c r="R797" s="3536"/>
      <c r="T797" s="3534" t="s">
        <v>172</v>
      </c>
      <c r="U797" s="3535"/>
      <c r="V797" s="3535"/>
      <c r="W797" s="3536"/>
      <c r="Y797" s="3534" t="s">
        <v>205</v>
      </c>
      <c r="Z797" s="3535"/>
      <c r="AA797" s="3535"/>
      <c r="AB797" s="3536"/>
      <c r="AD797" s="3534" t="s">
        <v>205</v>
      </c>
      <c r="AE797" s="3535"/>
      <c r="AF797" s="3535"/>
      <c r="AG797" s="3536"/>
      <c r="AH797" s="5181"/>
      <c r="AI797" s="6192"/>
    </row>
    <row r="798">
      <c r="A798" s="6185"/>
      <c r="B798" s="3496"/>
      <c r="C798" s="6309"/>
      <c r="D798" s="3498"/>
      <c r="E798" s="3538" t="s">
        <v>690</v>
      </c>
      <c r="F798" s="3503"/>
      <c r="G798" s="3503"/>
      <c r="H798" s="3539"/>
      <c r="J798" s="3538" t="s">
        <v>1747</v>
      </c>
      <c r="K798" s="3503"/>
      <c r="L798" s="3503"/>
      <c r="M798" s="3539"/>
      <c r="O798" s="3538" t="s">
        <v>424</v>
      </c>
      <c r="P798" s="3503"/>
      <c r="Q798" s="3503"/>
      <c r="R798" s="3539"/>
      <c r="T798" s="3538" t="s">
        <v>1748</v>
      </c>
      <c r="U798" s="3503"/>
      <c r="V798" s="3503"/>
      <c r="W798" s="3539"/>
      <c r="Y798" s="3538" t="s">
        <v>330</v>
      </c>
      <c r="Z798" s="3503"/>
      <c r="AA798" s="3503"/>
      <c r="AB798" s="3539"/>
      <c r="AD798" s="3538" t="s">
        <v>331</v>
      </c>
      <c r="AE798" s="3503"/>
      <c r="AF798" s="3503"/>
      <c r="AG798" s="3539"/>
      <c r="AH798" s="5181"/>
      <c r="AI798" s="6192"/>
    </row>
    <row r="799" ht="20.25" customHeight="1">
      <c r="A799" s="6185"/>
      <c r="B799" s="3496"/>
      <c r="C799" s="3516"/>
      <c r="D799" s="3498"/>
      <c r="E799" s="3540" t="s">
        <v>240</v>
      </c>
      <c r="F799" s="3541"/>
      <c r="G799" s="3542"/>
      <c r="H799" s="3543" t="str">
        <f>IMAGE("https://raw.githubusercontent.com/msikma/pokesprite/master/items/hold-item/focus-sash.png",3)</f>
        <v/>
      </c>
      <c r="J799" s="3540" t="s">
        <v>769</v>
      </c>
      <c r="K799" s="3541"/>
      <c r="L799" s="3542"/>
      <c r="M799" s="3543" t="str">
        <f>IMAGE("https://raw.githubusercontent.com/msikma/pokesprite/master/items/mega-stone/sceptilite.png",3)</f>
        <v/>
      </c>
      <c r="O799" s="3540" t="s">
        <v>939</v>
      </c>
      <c r="P799" s="3541"/>
      <c r="Q799" s="3542"/>
      <c r="R799" s="3543" t="str">
        <f>IMAGE("https://raw.githubusercontent.com/msikma/pokesprite/master/items/berry/yache.png",3)</f>
        <v/>
      </c>
      <c r="T799" s="3540" t="s">
        <v>782</v>
      </c>
      <c r="U799" s="3541"/>
      <c r="V799" s="3542"/>
      <c r="W799" s="3543" t="str">
        <f>IMAGE("https://raw.githubusercontent.com/msikma/pokesprite/master/items/mega-stone/blazikenite.png",3)</f>
        <v/>
      </c>
      <c r="Y799" s="3540" t="s">
        <v>272</v>
      </c>
      <c r="Z799" s="3541"/>
      <c r="AA799" s="3542"/>
      <c r="AB799" s="3543" t="str">
        <f>IMAGE("https://raw.githubusercontent.com/msikma/pokesprite/master/items/hold-item/life-orb.png",3)</f>
        <v/>
      </c>
      <c r="AD799" s="3540" t="s">
        <v>452</v>
      </c>
      <c r="AE799" s="3541"/>
      <c r="AF799" s="3542"/>
      <c r="AG799" s="3543" t="str">
        <f>IMAGE("https://raw.githubusercontent.com/msikma/pokesprite/master/items/hold-item/scope-lens.png",3)</f>
        <v/>
      </c>
      <c r="AH799" s="3507"/>
      <c r="AI799" s="6192"/>
    </row>
    <row r="800" ht="20.25" customHeight="1">
      <c r="A800" s="6185"/>
      <c r="B800" s="3496"/>
      <c r="C800" s="3544"/>
      <c r="D800" s="3498"/>
      <c r="E800" s="3534" t="s">
        <v>900</v>
      </c>
      <c r="F800" s="3535"/>
      <c r="G800" s="3545"/>
      <c r="H800" s="3546" t="str">
        <f>IMAGE("https://raw.githubusercontent.com/msikma/pokesprite/master/misc/types/gen8/fire.png",4,20,20)</f>
        <v/>
      </c>
      <c r="J800" s="3534" t="s">
        <v>489</v>
      </c>
      <c r="K800" s="3535"/>
      <c r="L800" s="3545"/>
      <c r="M800" s="3546" t="str">
        <f>IMAGE("https://raw.githubusercontent.com/msikma/pokesprite/master/misc/types/gen8/normal.png",4,20,20)</f>
        <v/>
      </c>
      <c r="O800" s="3534" t="s">
        <v>428</v>
      </c>
      <c r="P800" s="3535"/>
      <c r="Q800" s="3545"/>
      <c r="R800" s="3546" t="str">
        <f>IMAGE("https://raw.githubusercontent.com/msikma/pokesprite/master/misc/types/gen8/normal.png",4,20,20)</f>
        <v/>
      </c>
      <c r="T800" s="3534" t="s">
        <v>316</v>
      </c>
      <c r="U800" s="3535"/>
      <c r="V800" s="3545"/>
      <c r="W800" s="3546" t="str">
        <f>IMAGE("https://raw.githubusercontent.com/msikma/pokesprite/master/misc/types/gen8/fighting.png",4,20,20)</f>
        <v/>
      </c>
      <c r="Y800" s="3534" t="s">
        <v>1749</v>
      </c>
      <c r="Z800" s="3535"/>
      <c r="AA800" s="3545"/>
      <c r="AB800" s="3546" t="str">
        <f>IMAGE("https://raw.githubusercontent.com/msikma/pokesprite/master/misc/types/gen8/water.png",4,20,20)</f>
        <v/>
      </c>
      <c r="AD800" s="3534" t="s">
        <v>455</v>
      </c>
      <c r="AE800" s="3535"/>
      <c r="AF800" s="3545"/>
      <c r="AG800" s="3546" t="str">
        <f>IMAGE("https://raw.githubusercontent.com/msikma/pokesprite/master/misc/types/gen8/water.png",4,20,20)</f>
        <v/>
      </c>
      <c r="AH800" s="3507"/>
      <c r="AI800" s="6192"/>
    </row>
    <row r="801" ht="20.25" customHeight="1">
      <c r="A801" s="6185"/>
      <c r="B801" s="3496"/>
      <c r="C801" s="3529"/>
      <c r="D801" s="3498"/>
      <c r="E801" s="3538" t="s">
        <v>316</v>
      </c>
      <c r="F801" s="3503"/>
      <c r="G801" s="3504"/>
      <c r="H801" s="3547" t="str">
        <f>IMAGE("https://raw.githubusercontent.com/msikma/pokesprite/master/misc/types/gen8/fighting.png",4,20,20)</f>
        <v/>
      </c>
      <c r="J801" s="3538" t="s">
        <v>770</v>
      </c>
      <c r="K801" s="3503"/>
      <c r="L801" s="3504"/>
      <c r="M801" s="3547" t="str">
        <f>IMAGE("https://raw.githubusercontent.com/msikma/pokesprite/master/misc/types/gen8/grass.png",4,20,20)</f>
        <v/>
      </c>
      <c r="O801" s="3538" t="s">
        <v>940</v>
      </c>
      <c r="P801" s="3503"/>
      <c r="Q801" s="3504"/>
      <c r="R801" s="3547" t="str">
        <f>IMAGE("https://raw.githubusercontent.com/msikma/pokesprite/master/misc/types/gen8/grass.png",4,20,20)</f>
        <v/>
      </c>
      <c r="T801" s="3538" t="s">
        <v>378</v>
      </c>
      <c r="U801" s="3503"/>
      <c r="V801" s="3504"/>
      <c r="W801" s="3547" t="str">
        <f>IMAGE("https://raw.githubusercontent.com/msikma/pokesprite/master/misc/types/gen8/fire.png",4,20,20)</f>
        <v/>
      </c>
      <c r="Y801" s="3538" t="s">
        <v>1466</v>
      </c>
      <c r="Z801" s="3503"/>
      <c r="AA801" s="3504"/>
      <c r="AB801" s="3547" t="str">
        <f>IMAGE("https://raw.githubusercontent.com/msikma/pokesprite/master/misc/types/gen8/dark.png",4,20,20)</f>
        <v/>
      </c>
      <c r="AD801" s="3538" t="s">
        <v>317</v>
      </c>
      <c r="AE801" s="3503"/>
      <c r="AF801" s="3504"/>
      <c r="AG801" s="3547" t="str">
        <f>IMAGE("https://raw.githubusercontent.com/msikma/pokesprite/master/misc/types/gen8/ice.png",4,20,20)</f>
        <v/>
      </c>
      <c r="AH801" s="3507"/>
      <c r="AI801" s="6192"/>
    </row>
    <row r="802" ht="20.25" customHeight="1">
      <c r="A802" s="6185"/>
      <c r="B802" s="3496"/>
      <c r="C802" s="3529"/>
      <c r="D802" s="3498"/>
      <c r="E802" s="3538" t="s">
        <v>249</v>
      </c>
      <c r="F802" s="3503"/>
      <c r="G802" s="3504"/>
      <c r="H802" s="3547" t="str">
        <f>IMAGE("https://raw.githubusercontent.com/msikma/pokesprite/master/misc/types/gen8/electric.png",4,20,20)</f>
        <v/>
      </c>
      <c r="J802" s="3538" t="s">
        <v>811</v>
      </c>
      <c r="K802" s="3503"/>
      <c r="L802" s="3504"/>
      <c r="M802" s="3547" t="str">
        <f>IMAGE("https://raw.githubusercontent.com/msikma/pokesprite/master/misc/types/gen8/dragon.png",4,20,20)</f>
        <v/>
      </c>
      <c r="O802" s="3538" t="s">
        <v>1163</v>
      </c>
      <c r="P802" s="3503"/>
      <c r="Q802" s="3504"/>
      <c r="R802" s="3547" t="str">
        <f>IMAGE("https://raw.githubusercontent.com/msikma/pokesprite/master/misc/types/gen8/ground.png",4,20,20)</f>
        <v/>
      </c>
      <c r="T802" s="3538" t="s">
        <v>279</v>
      </c>
      <c r="U802" s="3503"/>
      <c r="V802" s="3504"/>
      <c r="W802" s="3547" t="str">
        <f>IMAGE("https://raw.githubusercontent.com/msikma/pokesprite/master/misc/types/gen8/dark.png",4,20,20)</f>
        <v/>
      </c>
      <c r="Y802" s="3538" t="s">
        <v>317</v>
      </c>
      <c r="Z802" s="3503"/>
      <c r="AA802" s="3504"/>
      <c r="AB802" s="3547" t="str">
        <f>IMAGE("https://raw.githubusercontent.com/msikma/pokesprite/master/misc/types/gen8/ice.png",4,20,20)</f>
        <v/>
      </c>
      <c r="AD802" s="3538" t="s">
        <v>223</v>
      </c>
      <c r="AE802" s="3503"/>
      <c r="AF802" s="3504"/>
      <c r="AG802" s="3547" t="str">
        <f>IMAGE("https://raw.githubusercontent.com/msikma/pokesprite/master/misc/types/gen8/grass.png",4,20,20)</f>
        <v/>
      </c>
      <c r="AH802" s="3507"/>
      <c r="AI802" s="6192"/>
    </row>
    <row r="803" ht="21.0" customHeight="1">
      <c r="A803" s="6185"/>
      <c r="B803" s="3496"/>
      <c r="C803" s="3529"/>
      <c r="D803" s="3498"/>
      <c r="E803" s="3548" t="s">
        <v>395</v>
      </c>
      <c r="F803" s="3549"/>
      <c r="G803" s="3550"/>
      <c r="H803" s="3551" t="str">
        <f>IMAGE("https://raw.githubusercontent.com/msikma/pokesprite/master/misc/types/gen8/rock.png",4,20,20)</f>
        <v/>
      </c>
      <c r="I803" s="3552"/>
      <c r="J803" s="3548" t="s">
        <v>181</v>
      </c>
      <c r="K803" s="3549"/>
      <c r="L803" s="3550"/>
      <c r="M803" s="3551" t="str">
        <f>IMAGE("https://raw.githubusercontent.com/msikma/pokesprite/master/misc/types/gen8/rock.png",4,20,20)</f>
        <v/>
      </c>
      <c r="N803" s="3552"/>
      <c r="O803" s="3548" t="s">
        <v>431</v>
      </c>
      <c r="P803" s="3549"/>
      <c r="Q803" s="3550"/>
      <c r="R803" s="3551" t="str">
        <f>IMAGE("https://raw.githubusercontent.com/msikma/pokesprite/master/misc/types/gen8/rock.png",4,20,20)</f>
        <v/>
      </c>
      <c r="S803" s="3552"/>
      <c r="T803" s="3548" t="s">
        <v>278</v>
      </c>
      <c r="U803" s="3549"/>
      <c r="V803" s="3550"/>
      <c r="W803" s="3551" t="str">
        <f>IMAGE("https://raw.githubusercontent.com/msikma/pokesprite/master/misc/types/gen8/bug.png",4,20,20)</f>
        <v/>
      </c>
      <c r="X803" s="3552"/>
      <c r="Y803" s="3548" t="s">
        <v>278</v>
      </c>
      <c r="Z803" s="3549"/>
      <c r="AA803" s="3550"/>
      <c r="AB803" s="3551" t="str">
        <f>IMAGE("https://raw.githubusercontent.com/msikma/pokesprite/master/misc/types/gen8/bug.png",4,20,20)</f>
        <v/>
      </c>
      <c r="AC803" s="3552"/>
      <c r="AD803" s="3548" t="s">
        <v>278</v>
      </c>
      <c r="AE803" s="3549"/>
      <c r="AF803" s="3550"/>
      <c r="AG803" s="3551" t="str">
        <f>IMAGE("https://raw.githubusercontent.com/msikma/pokesprite/master/misc/types/gen8/bug.png",4,20,20)</f>
        <v/>
      </c>
      <c r="AH803" s="3507"/>
      <c r="AI803" s="6192"/>
    </row>
    <row r="804" ht="3.0" customHeight="1">
      <c r="A804" s="6185"/>
      <c r="B804" s="3554"/>
      <c r="C804" s="3555"/>
      <c r="D804" s="3556"/>
      <c r="E804" s="3558"/>
      <c r="F804" s="3558"/>
      <c r="G804" s="3558"/>
      <c r="H804" s="3557"/>
      <c r="I804" s="3556"/>
      <c r="J804" s="3558"/>
      <c r="K804" s="3558"/>
      <c r="L804" s="3558"/>
      <c r="M804" s="3557"/>
      <c r="N804" s="3556"/>
      <c r="O804" s="3558"/>
      <c r="P804" s="3558"/>
      <c r="Q804" s="3558"/>
      <c r="R804" s="3557"/>
      <c r="S804" s="3559"/>
      <c r="T804" s="3557"/>
      <c r="U804" s="3557"/>
      <c r="V804" s="3557"/>
      <c r="W804" s="3557"/>
      <c r="X804" s="3556"/>
      <c r="Y804" s="3558"/>
      <c r="Z804" s="3558"/>
      <c r="AA804" s="3558"/>
      <c r="AB804" s="3557"/>
      <c r="AC804" s="3561"/>
      <c r="AD804" s="3558"/>
      <c r="AE804" s="3558"/>
      <c r="AF804" s="3558"/>
      <c r="AG804" s="3557"/>
      <c r="AH804" s="3562"/>
      <c r="AI804" s="6192"/>
    </row>
    <row r="805" ht="16.5" customHeight="1">
      <c r="A805" s="6185"/>
      <c r="B805" s="3563"/>
      <c r="C805" s="3555"/>
      <c r="D805" s="5140"/>
      <c r="E805" s="3565" t="s">
        <v>190</v>
      </c>
      <c r="F805" s="381"/>
      <c r="G805" s="382"/>
      <c r="H805" s="3566" t="s">
        <v>191</v>
      </c>
      <c r="I805" s="3567"/>
      <c r="J805" s="3565" t="s">
        <v>190</v>
      </c>
      <c r="K805" s="381"/>
      <c r="L805" s="382"/>
      <c r="M805" s="3566" t="s">
        <v>191</v>
      </c>
      <c r="N805" s="5140"/>
      <c r="O805" s="3565" t="s">
        <v>190</v>
      </c>
      <c r="P805" s="381"/>
      <c r="Q805" s="382"/>
      <c r="R805" s="3566" t="s">
        <v>191</v>
      </c>
      <c r="S805" s="3556"/>
      <c r="T805" s="3565" t="s">
        <v>190</v>
      </c>
      <c r="U805" s="381"/>
      <c r="V805" s="382"/>
      <c r="W805" s="3566" t="s">
        <v>191</v>
      </c>
      <c r="X805" s="5154"/>
      <c r="Y805" s="3565" t="s">
        <v>190</v>
      </c>
      <c r="Z805" s="381"/>
      <c r="AA805" s="382"/>
      <c r="AB805" s="3566" t="s">
        <v>191</v>
      </c>
      <c r="AC805" s="5154"/>
      <c r="AD805" s="3565" t="s">
        <v>190</v>
      </c>
      <c r="AE805" s="381"/>
      <c r="AF805" s="382"/>
      <c r="AG805" s="3566" t="s">
        <v>191</v>
      </c>
      <c r="AH805" s="3570"/>
      <c r="AI805" s="6192"/>
    </row>
    <row r="806" ht="16.5" customHeight="1">
      <c r="A806" s="6185"/>
      <c r="B806" s="3563"/>
      <c r="C806" s="3555"/>
      <c r="D806" s="3564"/>
      <c r="E806" s="3571" t="s">
        <v>192</v>
      </c>
      <c r="F806" s="3572">
        <f t="array" ref="F806">IFERROR(VLOOKUP(E793,Dex!$B$3:$N1218,8,FALSE),"")</f>
        <v>76</v>
      </c>
      <c r="G806" s="3573" t="str">
        <f t="array" ref="G806">IFERROR(VLOOKUP(F806,Dex!$P$22:$Q$276,2,FALSE),"")</f>
        <v/>
      </c>
      <c r="H806" s="3574"/>
      <c r="I806" s="3575"/>
      <c r="J806" s="3571" t="s">
        <v>192</v>
      </c>
      <c r="K806" s="3572">
        <f t="array" ref="K806">IFERROR(VLOOKUP(J793,Dex!$B$3:$N1218,8,FALSE),"")</f>
        <v>70</v>
      </c>
      <c r="L806" s="3573" t="str">
        <f t="array" ref="L806">IFERROR(VLOOKUP(K806,Dex!$P$22:$Q$276,2,FALSE),"")</f>
        <v/>
      </c>
      <c r="M806" s="3574"/>
      <c r="N806" s="3564"/>
      <c r="O806" s="3571" t="s">
        <v>192</v>
      </c>
      <c r="P806" s="3572">
        <f t="array" ref="P806">IFERROR(VLOOKUP(O793,Dex!$B$3:$N1218,8,FALSE),"")</f>
        <v>95</v>
      </c>
      <c r="Q806" s="3573" t="str">
        <f t="array" ref="Q806">IFERROR(VLOOKUP(P806,Dex!$P$22:$Q$276,2,FALSE),"")</f>
        <v/>
      </c>
      <c r="R806" s="3574"/>
      <c r="S806" s="3569"/>
      <c r="T806" s="3571" t="s">
        <v>192</v>
      </c>
      <c r="U806" s="3572">
        <f t="array" ref="U806">IFERROR(VLOOKUP(T793,Dex!$B$3:$N1218,8,FALSE),"")</f>
        <v>80</v>
      </c>
      <c r="V806" s="3573" t="str">
        <f t="array" ref="V806">IFERROR(VLOOKUP(U806,Dex!$P$22:$Q$276,2,FALSE),"")</f>
        <v/>
      </c>
      <c r="W806" s="3574"/>
      <c r="X806" s="3569"/>
      <c r="Y806" s="3571" t="s">
        <v>192</v>
      </c>
      <c r="Z806" s="3572">
        <f t="array" ref="Z806">IFERROR(VLOOKUP(Y793,Dex!$B$3:$N1218,8,FALSE),"")</f>
        <v>72</v>
      </c>
      <c r="AA806" s="3573" t="str">
        <f t="array" ref="AA806">IFERROR(VLOOKUP(Z806,Dex!$P$22:$Q$276,2,FALSE),"")</f>
        <v/>
      </c>
      <c r="AB806" s="3574"/>
      <c r="AC806" s="3569"/>
      <c r="AD806" s="3571" t="s">
        <v>192</v>
      </c>
      <c r="AE806" s="3572">
        <f t="array" ref="AE806">IFERROR(VLOOKUP(AD793,Dex!$B$3:$N1218,8,FALSE),"")</f>
        <v>70</v>
      </c>
      <c r="AF806" s="3573" t="str">
        <f t="array" ref="AF806">IFERROR(VLOOKUP(AE806,Dex!$P$22:$Q$276,2,FALSE),"")</f>
        <v/>
      </c>
      <c r="AG806" s="3574"/>
      <c r="AH806" s="3570"/>
      <c r="AI806" s="6192"/>
    </row>
    <row r="807" ht="16.5" customHeight="1">
      <c r="A807" s="6185"/>
      <c r="B807" s="3563"/>
      <c r="C807" s="3555"/>
      <c r="D807" s="3564"/>
      <c r="E807" s="3577" t="s">
        <v>193</v>
      </c>
      <c r="F807" s="3578">
        <f t="array" ref="F807">IFERROR(VLOOKUP(E793,Dex!$B$3:$N1218,9,FALSE),"")</f>
        <v>110</v>
      </c>
      <c r="G807" s="3579" t="str">
        <f t="array" ref="G807">IFERROR(VLOOKUP(F807,Dex!$P$22:$Q$276,2,FALSE),"")</f>
        <v/>
      </c>
      <c r="H807" s="3580">
        <v>252.0</v>
      </c>
      <c r="I807" s="3575"/>
      <c r="J807" s="3577" t="s">
        <v>193</v>
      </c>
      <c r="K807" s="3578">
        <f t="array" ref="K807">IFERROR(VLOOKUP(J793,Dex!$B$3:$N1218,9,FALSE),"")</f>
        <v>135</v>
      </c>
      <c r="L807" s="3579" t="str">
        <f t="array" ref="L807">IFERROR(VLOOKUP(K807,Dex!$P$22:$Q$276,2,FALSE),"")</f>
        <v/>
      </c>
      <c r="M807" s="3580">
        <v>252.0</v>
      </c>
      <c r="N807" s="3564"/>
      <c r="O807" s="3577" t="s">
        <v>193</v>
      </c>
      <c r="P807" s="3578">
        <f t="array" ref="P807">IFERROR(VLOOKUP(O793,Dex!$B$3:$N1218,9,FALSE),"")</f>
        <v>109</v>
      </c>
      <c r="Q807" s="3579" t="str">
        <f t="array" ref="Q807">IFERROR(VLOOKUP(P807,Dex!$P$22:$Q$276,2,FALSE),"")</f>
        <v/>
      </c>
      <c r="R807" s="3580">
        <v>252.0</v>
      </c>
      <c r="S807" s="3569"/>
      <c r="T807" s="3577" t="s">
        <v>193</v>
      </c>
      <c r="U807" s="3578">
        <f t="array" ref="U807">IFERROR(VLOOKUP(T793,Dex!$B$3:$N1218,9,FALSE),"")</f>
        <v>160</v>
      </c>
      <c r="V807" s="3579" t="str">
        <f t="array" ref="V807">IFERROR(VLOOKUP(U807,Dex!$P$22:$Q$276,2,FALSE),"")</f>
        <v/>
      </c>
      <c r="W807" s="3580">
        <v>252.0</v>
      </c>
      <c r="X807" s="3569"/>
      <c r="Y807" s="3577" t="s">
        <v>193</v>
      </c>
      <c r="Z807" s="3578">
        <f t="array" ref="Z807">IFERROR(VLOOKUP(Y793,Dex!$B$3:$N1218,9,FALSE),"")</f>
        <v>95</v>
      </c>
      <c r="AA807" s="3579" t="str">
        <f t="array" ref="AA807">IFERROR(VLOOKUP(Z807,Dex!$P$22:$Q$276,2,FALSE),"")</f>
        <v/>
      </c>
      <c r="AB807" s="3580"/>
      <c r="AC807" s="3569"/>
      <c r="AD807" s="3577" t="s">
        <v>193</v>
      </c>
      <c r="AE807" s="3578">
        <f t="array" ref="AE807">IFERROR(VLOOKUP(AD793,Dex!$B$3:$N1218,9,FALSE),"")</f>
        <v>85</v>
      </c>
      <c r="AF807" s="3579" t="str">
        <f t="array" ref="AF807">IFERROR(VLOOKUP(AE807,Dex!$P$22:$Q$276,2,FALSE),"")</f>
        <v/>
      </c>
      <c r="AG807" s="3580"/>
      <c r="AH807" s="3570"/>
      <c r="AI807" s="6192"/>
    </row>
    <row r="808" ht="16.5" customHeight="1">
      <c r="A808" s="6185"/>
      <c r="B808" s="3563"/>
      <c r="C808" s="3555"/>
      <c r="D808" s="3564"/>
      <c r="E808" s="3577" t="s">
        <v>194</v>
      </c>
      <c r="F808" s="3578">
        <f t="array" ref="F808">IFERROR(VLOOKUP(E793,Dex!$B$3:$N1218,10,FALSE),"")</f>
        <v>71</v>
      </c>
      <c r="G808" s="3579" t="str">
        <f t="array" ref="G808">IFERROR(VLOOKUP(F808,Dex!$P$22:$Q$276,2,FALSE),"")</f>
        <v/>
      </c>
      <c r="H808" s="3580">
        <v>4.0</v>
      </c>
      <c r="I808" s="3575"/>
      <c r="J808" s="3577" t="s">
        <v>194</v>
      </c>
      <c r="K808" s="3578">
        <f t="array" ref="K808">IFERROR(VLOOKUP(J793,Dex!$B$3:$N1218,10,FALSE),"")</f>
        <v>75</v>
      </c>
      <c r="L808" s="3579" t="str">
        <f t="array" ref="L808">IFERROR(VLOOKUP(K808,Dex!$P$22:$Q$276,2,FALSE),"")</f>
        <v/>
      </c>
      <c r="M808" s="3580">
        <v>4.0</v>
      </c>
      <c r="N808" s="3564"/>
      <c r="O808" s="3577" t="s">
        <v>194</v>
      </c>
      <c r="P808" s="3578">
        <f t="array" ref="P808">IFERROR(VLOOKUP(O793,Dex!$B$3:$N1218,10,FALSE),"")</f>
        <v>105</v>
      </c>
      <c r="Q808" s="3579" t="str">
        <f t="array" ref="Q808">IFERROR(VLOOKUP(P808,Dex!$P$22:$Q$276,2,FALSE),"")</f>
        <v/>
      </c>
      <c r="R808" s="3580">
        <v>4.0</v>
      </c>
      <c r="S808" s="3569"/>
      <c r="T808" s="3577" t="s">
        <v>194</v>
      </c>
      <c r="U808" s="3578">
        <f t="array" ref="U808">IFERROR(VLOOKUP(T793,Dex!$B$3:$N1218,10,FALSE),"")</f>
        <v>80</v>
      </c>
      <c r="V808" s="3579" t="str">
        <f t="array" ref="V808">IFERROR(VLOOKUP(U808,Dex!$P$22:$Q$276,2,FALSE),"")</f>
        <v/>
      </c>
      <c r="W808" s="3580">
        <v>4.0</v>
      </c>
      <c r="X808" s="3569"/>
      <c r="Y808" s="3577" t="s">
        <v>194</v>
      </c>
      <c r="Z808" s="3578">
        <f t="array" ref="Z808">IFERROR(VLOOKUP(Y793,Dex!$B$3:$N1218,10,FALSE),"")</f>
        <v>67</v>
      </c>
      <c r="AA808" s="3579" t="str">
        <f t="array" ref="AA808">IFERROR(VLOOKUP(Z808,Dex!$P$22:$Q$276,2,FALSE),"")</f>
        <v/>
      </c>
      <c r="AB808" s="3580">
        <v>4.0</v>
      </c>
      <c r="AC808" s="3569"/>
      <c r="AD808" s="3577" t="s">
        <v>194</v>
      </c>
      <c r="AE808" s="3578">
        <f t="array" ref="AE808">IFERROR(VLOOKUP(AD793,Dex!$B$3:$N1218,10,FALSE),"")</f>
        <v>65</v>
      </c>
      <c r="AF808" s="3579" t="str">
        <f t="array" ref="AF808">IFERROR(VLOOKUP(AE808,Dex!$P$22:$Q$276,2,FALSE),"")</f>
        <v/>
      </c>
      <c r="AG808" s="3580">
        <v>4.0</v>
      </c>
      <c r="AH808" s="3570"/>
      <c r="AI808" s="6192"/>
    </row>
    <row r="809" ht="16.5" customHeight="1">
      <c r="A809" s="6185"/>
      <c r="B809" s="3563"/>
      <c r="C809" s="3555"/>
      <c r="D809" s="3564"/>
      <c r="E809" s="3577" t="s">
        <v>195</v>
      </c>
      <c r="F809" s="3578">
        <f t="array" ref="F809">IFERROR(VLOOKUP(E793,Dex!$B$3:$N1218,11,FALSE),"")</f>
        <v>110</v>
      </c>
      <c r="G809" s="3579" t="str">
        <f t="array" ref="G809">IFERROR(VLOOKUP(F809,Dex!$P$22:$Q$276,2,FALSE),"")</f>
        <v/>
      </c>
      <c r="H809" s="3580"/>
      <c r="I809" s="3575"/>
      <c r="J809" s="3577" t="s">
        <v>195</v>
      </c>
      <c r="K809" s="3578">
        <f t="array" ref="K809">IFERROR(VLOOKUP(J793,Dex!$B$3:$N1218,11,FALSE),"")</f>
        <v>110</v>
      </c>
      <c r="L809" s="3579" t="str">
        <f t="array" ref="L809">IFERROR(VLOOKUP(K809,Dex!$P$22:$Q$276,2,FALSE),"")</f>
        <v/>
      </c>
      <c r="M809" s="3580"/>
      <c r="N809" s="3564"/>
      <c r="O809" s="3577" t="s">
        <v>195</v>
      </c>
      <c r="P809" s="3578">
        <f t="array" ref="P809">IFERROR(VLOOKUP(O793,Dex!$B$3:$N1218,11,FALSE),"")</f>
        <v>75</v>
      </c>
      <c r="Q809" s="3579" t="str">
        <f t="array" ref="Q809">IFERROR(VLOOKUP(P809,Dex!$P$22:$Q$276,2,FALSE),"")</f>
        <v/>
      </c>
      <c r="R809" s="3580"/>
      <c r="S809" s="3569"/>
      <c r="T809" s="3577" t="s">
        <v>195</v>
      </c>
      <c r="U809" s="3578">
        <f t="array" ref="U809">IFERROR(VLOOKUP(T793,Dex!$B$3:$N1218,11,FALSE),"")</f>
        <v>130</v>
      </c>
      <c r="V809" s="3579" t="str">
        <f t="array" ref="V809">IFERROR(VLOOKUP(U809,Dex!$P$22:$Q$276,2,FALSE),"")</f>
        <v/>
      </c>
      <c r="W809" s="3580"/>
      <c r="X809" s="3569"/>
      <c r="Y809" s="3577" t="s">
        <v>195</v>
      </c>
      <c r="Z809" s="3578">
        <f t="array" ref="Z809">IFERROR(VLOOKUP(Y793,Dex!$B$3:$N1218,11,FALSE),"")</f>
        <v>103</v>
      </c>
      <c r="AA809" s="3579" t="str">
        <f t="array" ref="AA809">IFERROR(VLOOKUP(Z809,Dex!$P$22:$Q$276,2,FALSE),"")</f>
        <v/>
      </c>
      <c r="AB809" s="3580">
        <v>252.0</v>
      </c>
      <c r="AC809" s="3569"/>
      <c r="AD809" s="3577" t="s">
        <v>195</v>
      </c>
      <c r="AE809" s="3578">
        <f t="array" ref="AE809">IFERROR(VLOOKUP(AD793,Dex!$B$3:$N1218,11,FALSE),"")</f>
        <v>125</v>
      </c>
      <c r="AF809" s="3579" t="str">
        <f t="array" ref="AF809">IFERROR(VLOOKUP(AE809,Dex!$P$22:$Q$276,2,FALSE),"")</f>
        <v/>
      </c>
      <c r="AG809" s="3580">
        <v>252.0</v>
      </c>
      <c r="AH809" s="3570"/>
      <c r="AI809" s="6192"/>
    </row>
    <row r="810" ht="16.5" customHeight="1">
      <c r="A810" s="6185"/>
      <c r="B810" s="3563"/>
      <c r="C810" s="3555"/>
      <c r="D810" s="3564"/>
      <c r="E810" s="3577" t="s">
        <v>196</v>
      </c>
      <c r="F810" s="3578">
        <f t="array" ref="F810">IFERROR(VLOOKUP(E793,Dex!$B$3:$N1218,12,FALSE),"")</f>
        <v>71</v>
      </c>
      <c r="G810" s="3579" t="str">
        <f t="array" ref="G810">IFERROR(VLOOKUP(F810,Dex!$P$22:$Q$276,2,FALSE),"")</f>
        <v/>
      </c>
      <c r="H810" s="3580"/>
      <c r="I810" s="3575"/>
      <c r="J810" s="3577" t="s">
        <v>196</v>
      </c>
      <c r="K810" s="3578">
        <f t="array" ref="K810">IFERROR(VLOOKUP(J793,Dex!$B$3:$N1218,12,FALSE),"")</f>
        <v>85</v>
      </c>
      <c r="L810" s="3579" t="str">
        <f t="array" ref="L810">IFERROR(VLOOKUP(K810,Dex!$P$22:$Q$276,2,FALSE),"")</f>
        <v/>
      </c>
      <c r="M810" s="3580"/>
      <c r="N810" s="3564"/>
      <c r="O810" s="3577" t="s">
        <v>196</v>
      </c>
      <c r="P810" s="3578">
        <f t="array" ref="P810">IFERROR(VLOOKUP(O793,Dex!$B$3:$N1218,12,FALSE),"")</f>
        <v>85</v>
      </c>
      <c r="Q810" s="3579" t="str">
        <f t="array" ref="Q810">IFERROR(VLOOKUP(P810,Dex!$P$22:$Q$276,2,FALSE),"")</f>
        <v/>
      </c>
      <c r="R810" s="3580"/>
      <c r="S810" s="3569"/>
      <c r="T810" s="3577" t="s">
        <v>196</v>
      </c>
      <c r="U810" s="3578">
        <f t="array" ref="U810">IFERROR(VLOOKUP(T793,Dex!$B$3:$N1218,12,FALSE),"")</f>
        <v>80</v>
      </c>
      <c r="V810" s="3579" t="str">
        <f t="array" ref="V810">IFERROR(VLOOKUP(U810,Dex!$P$22:$Q$276,2,FALSE),"")</f>
        <v/>
      </c>
      <c r="W810" s="3580"/>
      <c r="X810" s="3569"/>
      <c r="Y810" s="3577" t="s">
        <v>196</v>
      </c>
      <c r="Z810" s="3578">
        <f t="array" ref="Z810">IFERROR(VLOOKUP(Y793,Dex!$B$3:$N1218,12,FALSE),"")</f>
        <v>71</v>
      </c>
      <c r="AA810" s="3579" t="str">
        <f t="array" ref="AA810">IFERROR(VLOOKUP(Z810,Dex!$P$22:$Q$276,2,FALSE),"")</f>
        <v/>
      </c>
      <c r="AB810" s="3580"/>
      <c r="AC810" s="3569"/>
      <c r="AD810" s="3577" t="s">
        <v>196</v>
      </c>
      <c r="AE810" s="3578">
        <f t="array" ref="AE810">IFERROR(VLOOKUP(AD793,Dex!$B$3:$N1218,12,FALSE),"")</f>
        <v>65</v>
      </c>
      <c r="AF810" s="3579" t="str">
        <f t="array" ref="AF810">IFERROR(VLOOKUP(AE810,Dex!$P$22:$Q$276,2,FALSE),"")</f>
        <v/>
      </c>
      <c r="AG810" s="3580"/>
      <c r="AH810" s="3570"/>
      <c r="AI810" s="6192"/>
    </row>
    <row r="811" ht="16.5" customHeight="1">
      <c r="A811" s="6185"/>
      <c r="B811" s="3563"/>
      <c r="C811" s="3555"/>
      <c r="D811" s="3564"/>
      <c r="E811" s="3583" t="s">
        <v>197</v>
      </c>
      <c r="F811" s="3584">
        <f t="array" ref="F811">IFERROR(VLOOKUP(E793,Dex!$B$3:$N1218,13,FALSE),"")</f>
        <v>113</v>
      </c>
      <c r="G811" s="3585" t="str">
        <f t="array" ref="G811">IFERROR(VLOOKUP(F811,Dex!$P$22:$Q$276,2,FALSE),"")</f>
        <v/>
      </c>
      <c r="H811" s="3586">
        <v>252.0</v>
      </c>
      <c r="I811" s="3575"/>
      <c r="J811" s="3583" t="s">
        <v>197</v>
      </c>
      <c r="K811" s="3584">
        <f t="array" ref="K811">IFERROR(VLOOKUP(J793,Dex!$B$3:$N1218,13,FALSE),"")</f>
        <v>145</v>
      </c>
      <c r="L811" s="3585" t="str">
        <f t="array" ref="L811">IFERROR(VLOOKUP(K811,Dex!$P$22:$Q$276,2,FALSE),"")</f>
        <v/>
      </c>
      <c r="M811" s="3586">
        <v>252.0</v>
      </c>
      <c r="N811" s="3564"/>
      <c r="O811" s="3583" t="s">
        <v>197</v>
      </c>
      <c r="P811" s="3584">
        <f t="array" ref="P811">IFERROR(VLOOKUP(O793,Dex!$B$3:$N1218,13,FALSE),"")</f>
        <v>56</v>
      </c>
      <c r="Q811" s="3585" t="str">
        <f t="array" ref="Q811">IFERROR(VLOOKUP(P811,Dex!$P$22:$Q$276,2,FALSE),"")</f>
        <v/>
      </c>
      <c r="R811" s="3586">
        <v>252.0</v>
      </c>
      <c r="S811" s="3569"/>
      <c r="T811" s="3583" t="s">
        <v>197</v>
      </c>
      <c r="U811" s="3584">
        <f t="array" ref="U811">IFERROR(VLOOKUP(T793,Dex!$B$3:$N1218,13,FALSE),"")</f>
        <v>100</v>
      </c>
      <c r="V811" s="3585" t="str">
        <f t="array" ref="V811">IFERROR(VLOOKUP(U811,Dex!$P$22:$Q$276,2,FALSE),"")</f>
        <v/>
      </c>
      <c r="W811" s="3586">
        <v>252.0</v>
      </c>
      <c r="X811" s="3569"/>
      <c r="Y811" s="3583" t="s">
        <v>197</v>
      </c>
      <c r="Z811" s="3584">
        <f t="array" ref="Z811">IFERROR(VLOOKUP(Y793,Dex!$B$3:$N1218,13,FALSE),"")</f>
        <v>122</v>
      </c>
      <c r="AA811" s="3585" t="str">
        <f t="array" ref="AA811">IFERROR(VLOOKUP(Z811,Dex!$P$22:$Q$276,2,FALSE),"")</f>
        <v/>
      </c>
      <c r="AB811" s="3586">
        <v>252.0</v>
      </c>
      <c r="AC811" s="3569"/>
      <c r="AD811" s="3583" t="s">
        <v>197</v>
      </c>
      <c r="AE811" s="3584">
        <f t="array" ref="AE811">IFERROR(VLOOKUP(AD793,Dex!$B$3:$N1218,13,FALSE),"")</f>
        <v>120</v>
      </c>
      <c r="AF811" s="3585" t="str">
        <f t="array" ref="AF811">IFERROR(VLOOKUP(AE811,Dex!$P$22:$Q$276,2,FALSE),"")</f>
        <v/>
      </c>
      <c r="AG811" s="3586">
        <v>252.0</v>
      </c>
      <c r="AH811" s="3570"/>
      <c r="AI811" s="6192"/>
    </row>
    <row r="812" ht="16.5" customHeight="1">
      <c r="A812" s="6185"/>
      <c r="B812" s="3563"/>
      <c r="C812" s="3555"/>
      <c r="D812" s="5140"/>
      <c r="E812" s="3587" t="s">
        <v>198</v>
      </c>
      <c r="F812" s="405"/>
      <c r="G812" s="406"/>
      <c r="H812" s="3588">
        <v>357.0</v>
      </c>
      <c r="I812" s="3567"/>
      <c r="J812" s="3587" t="s">
        <v>198</v>
      </c>
      <c r="K812" s="405"/>
      <c r="L812" s="406"/>
      <c r="M812" s="3588">
        <v>427.0</v>
      </c>
      <c r="N812" s="5140"/>
      <c r="O812" s="3587" t="s">
        <v>198</v>
      </c>
      <c r="P812" s="405"/>
      <c r="Q812" s="406"/>
      <c r="R812" s="3588">
        <v>232.0</v>
      </c>
      <c r="S812" s="5154"/>
      <c r="T812" s="5141" t="s">
        <v>198</v>
      </c>
      <c r="U812" s="918"/>
      <c r="V812" s="919"/>
      <c r="W812" s="5142">
        <v>328.0</v>
      </c>
      <c r="X812" s="5154"/>
      <c r="Y812" s="5141" t="s">
        <v>198</v>
      </c>
      <c r="Z812" s="918"/>
      <c r="AA812" s="919"/>
      <c r="AB812" s="5142">
        <v>377.0</v>
      </c>
      <c r="AC812" s="5154"/>
      <c r="AD812" s="3587" t="s">
        <v>198</v>
      </c>
      <c r="AE812" s="405"/>
      <c r="AF812" s="406"/>
      <c r="AG812" s="3588">
        <v>372.0</v>
      </c>
      <c r="AH812" s="3570"/>
      <c r="AI812" s="6192"/>
    </row>
    <row r="813" ht="16.5" customHeight="1">
      <c r="A813" s="6185"/>
      <c r="B813" s="5143"/>
      <c r="C813" s="5144"/>
      <c r="D813" s="5145"/>
      <c r="E813" s="5146"/>
      <c r="F813" s="5146"/>
      <c r="G813" s="5146"/>
      <c r="H813" s="5144"/>
      <c r="I813" s="5147"/>
      <c r="J813" s="5146"/>
      <c r="K813" s="5146"/>
      <c r="L813" s="5146"/>
      <c r="M813" s="5144"/>
      <c r="N813" s="5145"/>
      <c r="O813" s="5146"/>
      <c r="P813" s="5146"/>
      <c r="Q813" s="5146"/>
      <c r="R813" s="5144"/>
      <c r="S813" s="5155"/>
      <c r="T813" s="5149" t="s">
        <v>510</v>
      </c>
      <c r="U813" s="925"/>
      <c r="V813" s="926"/>
      <c r="W813" s="5150">
        <v>492.0</v>
      </c>
      <c r="X813" s="5155"/>
      <c r="Y813" s="5149" t="s">
        <v>347</v>
      </c>
      <c r="Z813" s="925"/>
      <c r="AA813" s="926"/>
      <c r="AB813" s="5150">
        <v>565.0</v>
      </c>
      <c r="AC813" s="5155"/>
      <c r="AD813" s="5146"/>
      <c r="AE813" s="5146"/>
      <c r="AF813" s="5146"/>
      <c r="AG813" s="5144"/>
      <c r="AH813" s="5151"/>
      <c r="AI813" s="6192"/>
    </row>
    <row r="814" ht="15.0" customHeight="1">
      <c r="A814" s="6185"/>
      <c r="B814" s="3589"/>
      <c r="C814" s="3590"/>
      <c r="D814" s="3591"/>
      <c r="E814" s="3592"/>
      <c r="F814" s="3592"/>
      <c r="G814" s="3592"/>
      <c r="H814" s="3593"/>
      <c r="I814" s="3593"/>
      <c r="J814" s="3592"/>
      <c r="K814" s="3592"/>
      <c r="L814" s="3592"/>
      <c r="M814" s="3593"/>
      <c r="N814" s="3595"/>
      <c r="O814" s="3596"/>
      <c r="P814" s="3596"/>
      <c r="Q814" s="3597"/>
      <c r="R814" s="3597"/>
      <c r="S814" s="3597"/>
      <c r="T814" s="3596"/>
      <c r="U814" s="3596"/>
      <c r="V814" s="3597"/>
      <c r="W814" s="3597"/>
      <c r="X814" s="3595"/>
      <c r="Y814" s="5158"/>
      <c r="Z814" s="5158"/>
      <c r="AA814" s="5158"/>
      <c r="AB814" s="3598"/>
      <c r="AC814" s="3598"/>
      <c r="AD814" s="3596"/>
      <c r="AE814" s="3596"/>
      <c r="AF814" s="3597"/>
      <c r="AG814" s="3597"/>
      <c r="AH814" s="3599"/>
      <c r="AI814" s="6192"/>
    </row>
    <row r="815" ht="18.75" customHeight="1">
      <c r="A815" s="6185"/>
      <c r="B815" s="6796"/>
      <c r="C815" s="6797"/>
      <c r="D815" s="6797"/>
      <c r="E815" s="6797"/>
      <c r="F815" s="6797"/>
      <c r="G815" s="6797"/>
      <c r="H815" s="6797"/>
      <c r="I815" s="6797"/>
      <c r="J815" s="6797"/>
      <c r="K815" s="6797"/>
      <c r="L815" s="6797"/>
      <c r="M815" s="6797"/>
      <c r="N815" s="6797"/>
      <c r="O815" s="6797"/>
      <c r="P815" s="6797"/>
      <c r="Q815" s="6797"/>
      <c r="R815" s="6797"/>
      <c r="S815" s="6797"/>
      <c r="T815" s="6797"/>
      <c r="U815" s="6797"/>
      <c r="V815" s="6797"/>
      <c r="W815" s="6797"/>
      <c r="X815" s="6797"/>
      <c r="Y815" s="6797"/>
      <c r="Z815" s="6797"/>
      <c r="AA815" s="6797"/>
      <c r="AB815" s="6797"/>
      <c r="AC815" s="6797"/>
      <c r="AD815" s="6797"/>
      <c r="AE815" s="6797"/>
      <c r="AF815" s="6797"/>
      <c r="AG815" s="6797"/>
      <c r="AH815" s="6798"/>
      <c r="AI815" s="6192"/>
    </row>
    <row r="816" ht="96.75" customHeight="1">
      <c r="A816" s="6125"/>
      <c r="B816" s="6799"/>
      <c r="C816" s="6800" t="str">
        <f>IMAGE("https://i.ibb.co/DDVMpxR/Channeler.png")</f>
        <v/>
      </c>
      <c r="D816" s="6801"/>
      <c r="E816" s="6802" t="str">
        <f t="array" ref="E816">IFERROR(VLOOKUP(E817,Dex!$B$3:$G1218,3,FALSE),"")</f>
        <v/>
      </c>
      <c r="F816" s="1830"/>
      <c r="G816" s="1830"/>
      <c r="H816" s="1831"/>
      <c r="I816" s="6803"/>
      <c r="J816" s="6802" t="str">
        <f t="array" ref="J816">IFERROR(VLOOKUP(J817,Dex!$B$3:$G1218,3,FALSE),"")</f>
        <v/>
      </c>
      <c r="K816" s="1830"/>
      <c r="L816" s="1830"/>
      <c r="M816" s="1831"/>
      <c r="N816" s="6803"/>
      <c r="O816" s="6802" t="str">
        <f t="array" ref="O816">IFERROR(VLOOKUP(O817,Dex!$B$3:$G1218,3,FALSE),"")</f>
        <v/>
      </c>
      <c r="P816" s="1830"/>
      <c r="Q816" s="1830"/>
      <c r="R816" s="1831"/>
      <c r="S816" s="6803"/>
      <c r="T816" s="6802" t="str">
        <f t="array" ref="T816">IFERROR(VLOOKUP(T817,Dex!$B$3:$G1218,3,FALSE),"")</f>
        <v/>
      </c>
      <c r="U816" s="1830"/>
      <c r="V816" s="1830"/>
      <c r="W816" s="1831"/>
      <c r="X816" s="6803"/>
      <c r="Y816" s="6802" t="str">
        <f t="array" ref="Y816">IFERROR(VLOOKUP(Y817,Dex!$B$3:$G1218,3,FALSE),"")</f>
        <v/>
      </c>
      <c r="Z816" s="1830"/>
      <c r="AA816" s="1830"/>
      <c r="AB816" s="1831"/>
      <c r="AC816" s="6803"/>
      <c r="AD816" s="6802" t="str">
        <f t="array" ref="AD816">IFERROR(VLOOKUP(AD817,Dex!$B$3:$G1218,3,FALSE),"")</f>
        <v/>
      </c>
      <c r="AE816" s="1830"/>
      <c r="AF816" s="1830"/>
      <c r="AG816" s="1831"/>
      <c r="AH816" s="6804"/>
      <c r="AI816" s="6129"/>
    </row>
    <row r="817" ht="18.75" customHeight="1">
      <c r="A817" s="6140"/>
      <c r="B817" s="6805"/>
      <c r="C817" s="6806" t="s">
        <v>1750</v>
      </c>
      <c r="D817" s="6807"/>
      <c r="E817" s="6808" t="s">
        <v>1751</v>
      </c>
      <c r="F817" s="6809"/>
      <c r="G817" s="6809"/>
      <c r="H817" s="6810"/>
      <c r="I817" s="6803"/>
      <c r="J817" s="6808" t="s">
        <v>1752</v>
      </c>
      <c r="K817" s="6809"/>
      <c r="L817" s="6809"/>
      <c r="M817" s="6810"/>
      <c r="N817" s="6803"/>
      <c r="O817" s="6808" t="s">
        <v>1454</v>
      </c>
      <c r="P817" s="6809"/>
      <c r="Q817" s="6809"/>
      <c r="R817" s="6810"/>
      <c r="S817" s="6803"/>
      <c r="T817" s="6808" t="s">
        <v>590</v>
      </c>
      <c r="U817" s="6809"/>
      <c r="V817" s="6809"/>
      <c r="W817" s="6810"/>
      <c r="X817" s="6803"/>
      <c r="Y817" s="6808" t="s">
        <v>1271</v>
      </c>
      <c r="Z817" s="6809"/>
      <c r="AA817" s="6809"/>
      <c r="AB817" s="6810"/>
      <c r="AC817" s="6803"/>
      <c r="AD817" s="6808" t="s">
        <v>1653</v>
      </c>
      <c r="AE817" s="6809"/>
      <c r="AF817" s="6809"/>
      <c r="AG817" s="6810"/>
      <c r="AH817" s="6811"/>
      <c r="AI817" s="6149"/>
    </row>
    <row r="818">
      <c r="A818" s="6125"/>
      <c r="B818" s="6799"/>
      <c r="C818" s="1481"/>
      <c r="D818" s="6812"/>
      <c r="E818" s="6813" t="s">
        <v>1502</v>
      </c>
      <c r="F818" s="6814"/>
      <c r="G818" s="6814"/>
      <c r="H818" s="6815"/>
      <c r="I818" s="6803"/>
      <c r="J818" s="6813" t="s">
        <v>1502</v>
      </c>
      <c r="K818" s="6814"/>
      <c r="L818" s="6814"/>
      <c r="M818" s="6815"/>
      <c r="N818" s="6803"/>
      <c r="O818" s="6813" t="s">
        <v>1502</v>
      </c>
      <c r="P818" s="6814"/>
      <c r="Q818" s="6814"/>
      <c r="R818" s="6815"/>
      <c r="S818" s="6803"/>
      <c r="T818" s="6813" t="s">
        <v>1502</v>
      </c>
      <c r="U818" s="6814"/>
      <c r="V818" s="6814"/>
      <c r="W818" s="6815"/>
      <c r="X818" s="6803"/>
      <c r="Y818" s="6813" t="s">
        <v>1502</v>
      </c>
      <c r="Z818" s="6814"/>
      <c r="AA818" s="6814"/>
      <c r="AB818" s="6815"/>
      <c r="AC818" s="6803"/>
      <c r="AD818" s="6813" t="s">
        <v>1502</v>
      </c>
      <c r="AE818" s="6814"/>
      <c r="AF818" s="6814"/>
      <c r="AG818" s="6815"/>
      <c r="AH818" s="6804"/>
      <c r="AI818" s="6129"/>
    </row>
    <row r="819" ht="25.5" customHeight="1">
      <c r="A819" s="6125"/>
      <c r="B819" s="6799"/>
      <c r="C819" s="1489"/>
      <c r="D819" s="6816"/>
      <c r="E819" s="6817"/>
      <c r="F819" s="6818" t="str">
        <f t="array" ref="F819">IFERROR(VLOOKUP(E817,Dex!$B$3:$H1218,5,FALSE),"")</f>
        <v/>
      </c>
      <c r="G819" s="6819" t="str">
        <f t="array" ref="G819">IFERROR(VLOOKUP(E817,Dex!$B$3:$H1218,7,FALSE),"")</f>
        <v/>
      </c>
      <c r="H819" s="6820"/>
      <c r="I819" s="6803"/>
      <c r="J819" s="6817"/>
      <c r="K819" s="6818" t="str">
        <f t="array" ref="K819">IFERROR(VLOOKUP(J817,Dex!$B$3:$H1218,5,FALSE),"")</f>
        <v/>
      </c>
      <c r="L819" s="6819" t="str">
        <f t="array" ref="L819">IFERROR(VLOOKUP(J817,Dex!$B$3:$H1218,7,FALSE),"")</f>
        <v/>
      </c>
      <c r="M819" s="6820"/>
      <c r="N819" s="6803"/>
      <c r="O819" s="6817"/>
      <c r="P819" s="6821" t="str">
        <f t="array" ref="P819">IFERROR(VLOOKUP(O817,Dex!$B$3:$H1218,5,FALSE),"")</f>
        <v/>
      </c>
      <c r="Q819" s="6822"/>
      <c r="R819" s="6820"/>
      <c r="S819" s="6803"/>
      <c r="T819" s="6817"/>
      <c r="U819" s="6818" t="str">
        <f t="array" ref="U819">IFERROR(VLOOKUP(T817,Dex!$B$3:$H1218,5,FALSE),"")</f>
        <v/>
      </c>
      <c r="V819" s="6819" t="str">
        <f t="array" ref="V819">IFERROR(VLOOKUP(T817,Dex!$B$3:$H1218,7,FALSE),"")</f>
        <v/>
      </c>
      <c r="W819" s="6820"/>
      <c r="X819" s="6803"/>
      <c r="Y819" s="6817"/>
      <c r="Z819" s="6818" t="str">
        <f t="array" ref="Z819">IFERROR(VLOOKUP(Y817,Dex!$B$3:$H1218,5,FALSE),"")</f>
        <v/>
      </c>
      <c r="AA819" s="6819" t="str">
        <f t="array" ref="AA819">IFERROR(VLOOKUP(Y817,Dex!$B$3:$H1218,7,FALSE),"")</f>
        <v/>
      </c>
      <c r="AB819" s="6820"/>
      <c r="AC819" s="6803"/>
      <c r="AD819" s="6817"/>
      <c r="AE819" s="6818" t="str">
        <f t="array" ref="AE819">IFERROR(VLOOKUP(AD817,Dex!$B$3:$H1218,5,FALSE),"")</f>
        <v/>
      </c>
      <c r="AF819" s="6819" t="str">
        <f t="array" ref="AF819">IFERROR(VLOOKUP(AD817,Dex!$B$3:$H1218,7,FALSE),"")</f>
        <v/>
      </c>
      <c r="AG819" s="6820"/>
      <c r="AH819" s="6804"/>
      <c r="AI819" s="6129"/>
    </row>
    <row r="820" ht="2.25" customHeight="1">
      <c r="A820" s="6125"/>
      <c r="B820" s="6799"/>
      <c r="C820" s="6823"/>
      <c r="D820" s="6816"/>
      <c r="E820" s="6824"/>
      <c r="F820" s="6825"/>
      <c r="G820" s="6825"/>
      <c r="H820" s="6826"/>
      <c r="I820" s="6803"/>
      <c r="J820" s="6824"/>
      <c r="K820" s="6825"/>
      <c r="L820" s="6825"/>
      <c r="M820" s="6826"/>
      <c r="N820" s="6803"/>
      <c r="O820" s="6824"/>
      <c r="P820" s="6825"/>
      <c r="Q820" s="6825"/>
      <c r="R820" s="6826"/>
      <c r="S820" s="6803"/>
      <c r="T820" s="6824"/>
      <c r="U820" s="6825"/>
      <c r="V820" s="6825"/>
      <c r="W820" s="6826"/>
      <c r="X820" s="6803"/>
      <c r="Y820" s="6824"/>
      <c r="Z820" s="6825"/>
      <c r="AA820" s="6825"/>
      <c r="AB820" s="6826"/>
      <c r="AC820" s="6803"/>
      <c r="AD820" s="6824"/>
      <c r="AE820" s="6825"/>
      <c r="AF820" s="6825"/>
      <c r="AG820" s="6826"/>
      <c r="AH820" s="6804"/>
      <c r="AI820" s="6129"/>
    </row>
    <row r="821" ht="20.25" customHeight="1">
      <c r="A821" s="6125"/>
      <c r="B821" s="6799"/>
      <c r="C821" s="6827"/>
      <c r="D821" s="6816"/>
      <c r="E821" s="6828" t="s">
        <v>298</v>
      </c>
      <c r="F821" s="6829"/>
      <c r="G821" s="6829"/>
      <c r="H821" s="6830"/>
      <c r="I821" s="6803"/>
      <c r="J821" s="6828" t="s">
        <v>205</v>
      </c>
      <c r="K821" s="6829"/>
      <c r="L821" s="6829"/>
      <c r="M821" s="6830"/>
      <c r="N821" s="6803"/>
      <c r="O821" s="6828" t="s">
        <v>779</v>
      </c>
      <c r="P821" s="6829"/>
      <c r="Q821" s="6829"/>
      <c r="R821" s="6830"/>
      <c r="S821" s="6803"/>
      <c r="T821" s="6828" t="s">
        <v>172</v>
      </c>
      <c r="U821" s="6829"/>
      <c r="V821" s="6829"/>
      <c r="W821" s="6830"/>
      <c r="X821" s="6803"/>
      <c r="Y821" s="6828" t="s">
        <v>172</v>
      </c>
      <c r="Z821" s="6829"/>
      <c r="AA821" s="6829"/>
      <c r="AB821" s="6830"/>
      <c r="AC821" s="6803"/>
      <c r="AD821" s="6828" t="s">
        <v>172</v>
      </c>
      <c r="AE821" s="6829"/>
      <c r="AF821" s="6829"/>
      <c r="AG821" s="6830"/>
      <c r="AH821" s="6804"/>
      <c r="AI821" s="6129"/>
    </row>
    <row r="822">
      <c r="A822" s="6125"/>
      <c r="B822" s="6799"/>
      <c r="C822" s="6827"/>
      <c r="D822" s="6816"/>
      <c r="E822" s="6831" t="s">
        <v>1002</v>
      </c>
      <c r="F822" s="6832"/>
      <c r="G822" s="6832"/>
      <c r="H822" s="6833"/>
      <c r="I822" s="6803"/>
      <c r="J822" s="6831" t="s">
        <v>1753</v>
      </c>
      <c r="K822" s="6832"/>
      <c r="L822" s="6832"/>
      <c r="M822" s="6833"/>
      <c r="N822" s="6803"/>
      <c r="O822" s="6831" t="s">
        <v>575</v>
      </c>
      <c r="P822" s="6832"/>
      <c r="Q822" s="6832"/>
      <c r="R822" s="6833"/>
      <c r="S822" s="6803"/>
      <c r="T822" s="6831" t="s">
        <v>595</v>
      </c>
      <c r="U822" s="6832"/>
      <c r="V822" s="6832"/>
      <c r="W822" s="6833"/>
      <c r="X822" s="6803"/>
      <c r="Y822" s="6831" t="s">
        <v>1754</v>
      </c>
      <c r="Z822" s="6832"/>
      <c r="AA822" s="6832"/>
      <c r="AB822" s="6833"/>
      <c r="AC822" s="6803"/>
      <c r="AD822" s="6831" t="s">
        <v>717</v>
      </c>
      <c r="AE822" s="6832"/>
      <c r="AF822" s="6832"/>
      <c r="AG822" s="6833"/>
      <c r="AH822" s="6804"/>
      <c r="AI822" s="6129"/>
    </row>
    <row r="823" ht="20.25" customHeight="1">
      <c r="A823" s="6125"/>
      <c r="B823" s="6799"/>
      <c r="C823" s="6827"/>
      <c r="D823" s="6816"/>
      <c r="E823" s="6834" t="s">
        <v>1107</v>
      </c>
      <c r="F823" s="6835"/>
      <c r="G823" s="6836"/>
      <c r="H823" s="6837" t="str">
        <f>IMAGE("https://raw.githubusercontent.com/msikma/pokesprite/master/items/hold-item/light-clay.png",3)</f>
        <v/>
      </c>
      <c r="I823" s="6803"/>
      <c r="J823" s="6834" t="s">
        <v>213</v>
      </c>
      <c r="K823" s="6835"/>
      <c r="L823" s="6836"/>
      <c r="M823" s="6837" t="str">
        <f>IMAGE("https://raw.githubusercontent.com/msikma/pokesprite/master/items/berry/sitrus.png",3)</f>
        <v/>
      </c>
      <c r="N823" s="6803"/>
      <c r="O823" s="6834" t="s">
        <v>335</v>
      </c>
      <c r="P823" s="6835"/>
      <c r="Q823" s="6836"/>
      <c r="R823" s="6837" t="str">
        <f>IMAGE("https://raw.githubusercontent.com/msikma/pokesprite/master/items/hold-item/choice-scarf.png",3)</f>
        <v/>
      </c>
      <c r="S823" s="6803"/>
      <c r="T823" s="6834" t="s">
        <v>272</v>
      </c>
      <c r="U823" s="6835"/>
      <c r="V823" s="6836"/>
      <c r="W823" s="6837" t="str">
        <f>IMAGE("https://raw.githubusercontent.com/msikma/pokesprite/master/items/hold-item/life-orb.png",3)</f>
        <v/>
      </c>
      <c r="X823" s="6803"/>
      <c r="Y823" s="6834" t="s">
        <v>1275</v>
      </c>
      <c r="Z823" s="6835"/>
      <c r="AA823" s="6836"/>
      <c r="AB823" s="6837" t="str">
        <f>IMAGE("https://raw.githubusercontent.com/msikma/pokesprite/master/items/mega-stone/absolite.png",3)</f>
        <v/>
      </c>
      <c r="AC823" s="6803"/>
      <c r="AD823" s="6834" t="s">
        <v>211</v>
      </c>
      <c r="AE823" s="6835"/>
      <c r="AF823" s="6836"/>
      <c r="AG823" s="6837" t="str">
        <f>IMAGE("https://raw.githubusercontent.com/msikma/pokesprite/master/items/hold-item/eviolite.png",3)</f>
        <v/>
      </c>
      <c r="AH823" s="6804"/>
      <c r="AI823" s="6129"/>
    </row>
    <row r="824" ht="20.25" customHeight="1">
      <c r="A824" s="6125"/>
      <c r="B824" s="6799"/>
      <c r="C824" s="6838"/>
      <c r="D824" s="6816"/>
      <c r="E824" s="6828" t="s">
        <v>476</v>
      </c>
      <c r="F824" s="6829"/>
      <c r="G824" s="6839"/>
      <c r="H824" s="6840" t="str">
        <f>IMAGE("https://raw.githubusercontent.com/msikma/pokesprite/master/misc/types/gen8/normal.png",4,20,20)</f>
        <v/>
      </c>
      <c r="I824" s="6803"/>
      <c r="J824" s="6828" t="s">
        <v>1466</v>
      </c>
      <c r="K824" s="6829"/>
      <c r="L824" s="6839"/>
      <c r="M824" s="6840" t="str">
        <f>IMAGE("https://raw.githubusercontent.com/msikma/pokesprite/master/misc/types/gen8/dark.png",4,20,20)</f>
        <v/>
      </c>
      <c r="N824" s="6803"/>
      <c r="O824" s="6828" t="s">
        <v>278</v>
      </c>
      <c r="P824" s="6829"/>
      <c r="Q824" s="6839"/>
      <c r="R824" s="6840" t="str">
        <f>IMAGE("https://raw.githubusercontent.com/msikma/pokesprite/master/misc/types/gen8/bug.png",4,20,20)</f>
        <v/>
      </c>
      <c r="S824" s="6803"/>
      <c r="T824" s="6828" t="s">
        <v>218</v>
      </c>
      <c r="U824" s="6829"/>
      <c r="V824" s="6839"/>
      <c r="W824" s="6840" t="str">
        <f>IMAGE("https://raw.githubusercontent.com/msikma/pokesprite/master/misc/types/gen8/poison.png",4,20,20)</f>
        <v/>
      </c>
      <c r="X824" s="6803"/>
      <c r="Y824" s="6828" t="s">
        <v>540</v>
      </c>
      <c r="Z824" s="6829"/>
      <c r="AA824" s="6839"/>
      <c r="AB824" s="6840" t="str">
        <f>IMAGE("https://raw.githubusercontent.com/msikma/pokesprite/master/misc/types/gen8/dark.png",4,20,20)</f>
        <v/>
      </c>
      <c r="AC824" s="6803"/>
      <c r="AD824" s="6828" t="s">
        <v>279</v>
      </c>
      <c r="AE824" s="6829"/>
      <c r="AF824" s="6839"/>
      <c r="AG824" s="6840" t="str">
        <f t="shared" ref="AG824:AG825" si="32">IMAGE("https://raw.githubusercontent.com/msikma/pokesprite/master/misc/types/gen8/dark.png",4,20,20)</f>
        <v/>
      </c>
      <c r="AH824" s="6804"/>
      <c r="AI824" s="6129"/>
    </row>
    <row r="825" ht="20.25" customHeight="1">
      <c r="A825" s="6125"/>
      <c r="B825" s="6799"/>
      <c r="C825" s="6841"/>
      <c r="D825" s="6816"/>
      <c r="E825" s="6831" t="s">
        <v>1073</v>
      </c>
      <c r="F825" s="6832"/>
      <c r="G825" s="6842"/>
      <c r="H825" s="6843" t="str">
        <f t="shared" ref="H825:H826" si="33">IMAGE("https://raw.githubusercontent.com/msikma/pokesprite/master/misc/types/gen8/psychic.png",4,20,20)</f>
        <v/>
      </c>
      <c r="I825" s="6803"/>
      <c r="J825" s="6831" t="s">
        <v>1755</v>
      </c>
      <c r="K825" s="6832"/>
      <c r="L825" s="6842"/>
      <c r="M825" s="6843" t="str">
        <f>IMAGE("https://raw.githubusercontent.com/msikma/pokesprite/master/misc/types/gen8/psychic.png",4,20,20)</f>
        <v/>
      </c>
      <c r="N825" s="6803"/>
      <c r="O825" s="6831" t="s">
        <v>344</v>
      </c>
      <c r="P825" s="6832"/>
      <c r="Q825" s="6842"/>
      <c r="R825" s="6843" t="str">
        <f>IMAGE("https://raw.githubusercontent.com/msikma/pokesprite/master/misc/types/gen8/fighting.png",4,20,20)</f>
        <v/>
      </c>
      <c r="S825" s="6803"/>
      <c r="T825" s="6831" t="s">
        <v>316</v>
      </c>
      <c r="U825" s="6832"/>
      <c r="V825" s="6842"/>
      <c r="W825" s="6843" t="str">
        <f>IMAGE("https://raw.githubusercontent.com/msikma/pokesprite/master/misc/types/gen8/fighting.png",4,20,20)</f>
        <v/>
      </c>
      <c r="X825" s="6803"/>
      <c r="Y825" s="6831" t="s">
        <v>489</v>
      </c>
      <c r="Z825" s="6832"/>
      <c r="AA825" s="6842"/>
      <c r="AB825" s="6843" t="str">
        <f>IMAGE("https://raw.githubusercontent.com/msikma/pokesprite/master/misc/types/gen8/normal.png",4,20,20)</f>
        <v/>
      </c>
      <c r="AC825" s="6803"/>
      <c r="AD825" s="6831" t="s">
        <v>541</v>
      </c>
      <c r="AE825" s="6832"/>
      <c r="AF825" s="6842"/>
      <c r="AG825" s="6843" t="str">
        <f t="shared" si="32"/>
        <v/>
      </c>
      <c r="AH825" s="6804"/>
      <c r="AI825" s="6129"/>
    </row>
    <row r="826" ht="20.25" customHeight="1">
      <c r="A826" s="6125"/>
      <c r="B826" s="6799"/>
      <c r="C826" s="6841"/>
      <c r="D826" s="6816"/>
      <c r="E826" s="6831" t="s">
        <v>1756</v>
      </c>
      <c r="F826" s="6832"/>
      <c r="G826" s="6842"/>
      <c r="H826" s="6843" t="str">
        <f t="shared" si="33"/>
        <v/>
      </c>
      <c r="I826" s="6803"/>
      <c r="J826" s="6831" t="s">
        <v>461</v>
      </c>
      <c r="K826" s="6832"/>
      <c r="L826" s="6842"/>
      <c r="M826" s="6843" t="str">
        <f t="shared" ref="M826:M827" si="34">IMAGE("https://raw.githubusercontent.com/msikma/pokesprite/master/misc/types/gen8/flying.png",4,20,20)</f>
        <v/>
      </c>
      <c r="N826" s="6803"/>
      <c r="O826" s="6831" t="s">
        <v>1466</v>
      </c>
      <c r="P826" s="6832"/>
      <c r="Q826" s="6842"/>
      <c r="R826" s="6843" t="str">
        <f>IMAGE("https://raw.githubusercontent.com/msikma/pokesprite/master/misc/types/gen8/dark.png",4,20,20)</f>
        <v/>
      </c>
      <c r="S826" s="6803"/>
      <c r="T826" s="6831" t="s">
        <v>215</v>
      </c>
      <c r="U826" s="6832"/>
      <c r="V826" s="6842"/>
      <c r="W826" s="6843" t="str">
        <f>IMAGE("https://raw.githubusercontent.com/msikma/pokesprite/master/misc/types/gen8/ice.png",4,20,20)</f>
        <v/>
      </c>
      <c r="X826" s="6803"/>
      <c r="Y826" s="6831" t="s">
        <v>608</v>
      </c>
      <c r="Z826" s="6832"/>
      <c r="AA826" s="6842"/>
      <c r="AB826" s="6843" t="str">
        <f>IMAGE("https://raw.githubusercontent.com/msikma/pokesprite/master/misc/types/gen8/psychic.png",4,20,20)</f>
        <v/>
      </c>
      <c r="AC826" s="6803"/>
      <c r="AD826" s="6831" t="s">
        <v>407</v>
      </c>
      <c r="AE826" s="6832"/>
      <c r="AF826" s="6842"/>
      <c r="AG826" s="6843" t="str">
        <f>IMAGE("https://raw.githubusercontent.com/msikma/pokesprite/master/misc/types/gen8/steel.png",4,20,20)</f>
        <v/>
      </c>
      <c r="AH826" s="6804"/>
      <c r="AI826" s="6129"/>
    </row>
    <row r="827" ht="21.0" customHeight="1">
      <c r="A827" s="6125"/>
      <c r="B827" s="6799"/>
      <c r="C827" s="6841"/>
      <c r="D827" s="6816"/>
      <c r="E827" s="6844" t="s">
        <v>184</v>
      </c>
      <c r="F827" s="6845"/>
      <c r="G827" s="6846"/>
      <c r="H827" s="6847" t="str">
        <f>IMAGE("https://raw.githubusercontent.com/msikma/pokesprite/master/misc/types/gen8/poison.png",4,20,20)</f>
        <v/>
      </c>
      <c r="I827" s="6803"/>
      <c r="J827" s="6844" t="s">
        <v>251</v>
      </c>
      <c r="K827" s="6845"/>
      <c r="L827" s="6846"/>
      <c r="M827" s="6847" t="str">
        <f t="shared" si="34"/>
        <v/>
      </c>
      <c r="N827" s="6803"/>
      <c r="O827" s="6844" t="s">
        <v>372</v>
      </c>
      <c r="P827" s="6845"/>
      <c r="Q827" s="6846"/>
      <c r="R827" s="6847" t="str">
        <f>IMAGE("https://raw.githubusercontent.com/msikma/pokesprite/master/misc/types/gen8/fire.png",4,20,20)</f>
        <v/>
      </c>
      <c r="S827" s="6803"/>
      <c r="T827" s="6844" t="s">
        <v>402</v>
      </c>
      <c r="U827" s="6845"/>
      <c r="V827" s="6846"/>
      <c r="W827" s="6847" t="str">
        <f>IMAGE("https://raw.githubusercontent.com/msikma/pokesprite/master/misc/types/gen8/ground.png",4,20,20)</f>
        <v/>
      </c>
      <c r="X827" s="6803"/>
      <c r="Y827" s="6844" t="s">
        <v>556</v>
      </c>
      <c r="Z827" s="6845"/>
      <c r="AA827" s="6846"/>
      <c r="AB827" s="6847" t="str">
        <f>IMAGE("https://raw.githubusercontent.com/msikma/pokesprite/master/misc/types/gen8/fairy.png",4,20,20)</f>
        <v/>
      </c>
      <c r="AC827" s="6803"/>
      <c r="AD827" s="6844" t="s">
        <v>399</v>
      </c>
      <c r="AE827" s="6845"/>
      <c r="AF827" s="6846"/>
      <c r="AG827" s="6847" t="str">
        <f>IMAGE("https://raw.githubusercontent.com/msikma/pokesprite/master/misc/types/gen8/rock.png",4,20,20)</f>
        <v/>
      </c>
      <c r="AH827" s="6804"/>
      <c r="AI827" s="6129"/>
    </row>
    <row r="828" ht="3.0" customHeight="1">
      <c r="A828" s="6185"/>
      <c r="B828" s="6848"/>
      <c r="C828" s="6849"/>
      <c r="D828" s="6850"/>
      <c r="E828" s="6851"/>
      <c r="F828" s="6851"/>
      <c r="G828" s="6851"/>
      <c r="H828" s="6851"/>
      <c r="I828" s="6850"/>
      <c r="J828" s="6851"/>
      <c r="K828" s="6851"/>
      <c r="L828" s="6851"/>
      <c r="M828" s="6851"/>
      <c r="N828" s="6850"/>
      <c r="O828" s="6851"/>
      <c r="P828" s="6851"/>
      <c r="Q828" s="6851"/>
      <c r="R828" s="6851"/>
      <c r="S828" s="6851"/>
      <c r="T828" s="6851"/>
      <c r="U828" s="6851"/>
      <c r="V828" s="6851"/>
      <c r="W828" s="6851"/>
      <c r="X828" s="6850"/>
      <c r="Y828" s="6851"/>
      <c r="Z828" s="6851"/>
      <c r="AA828" s="6851"/>
      <c r="AB828" s="6851"/>
      <c r="AC828" s="6852"/>
      <c r="AD828" s="6851"/>
      <c r="AE828" s="6851"/>
      <c r="AF828" s="6851"/>
      <c r="AG828" s="6851"/>
      <c r="AH828" s="6853"/>
      <c r="AI828" s="6192"/>
    </row>
    <row r="829" ht="16.5" customHeight="1">
      <c r="A829" s="6185"/>
      <c r="B829" s="6854"/>
      <c r="C829" s="6849"/>
      <c r="D829" s="6855"/>
      <c r="E829" s="6856" t="s">
        <v>190</v>
      </c>
      <c r="F829" s="381"/>
      <c r="G829" s="382"/>
      <c r="H829" s="6857" t="s">
        <v>191</v>
      </c>
      <c r="I829" s="6858"/>
      <c r="J829" s="6856" t="s">
        <v>190</v>
      </c>
      <c r="K829" s="381"/>
      <c r="L829" s="382"/>
      <c r="M829" s="6857" t="s">
        <v>191</v>
      </c>
      <c r="N829" s="6855"/>
      <c r="O829" s="6856" t="s">
        <v>190</v>
      </c>
      <c r="P829" s="381"/>
      <c r="Q829" s="382"/>
      <c r="R829" s="6857" t="s">
        <v>191</v>
      </c>
      <c r="S829" s="6850"/>
      <c r="T829" s="6856" t="s">
        <v>190</v>
      </c>
      <c r="U829" s="381"/>
      <c r="V829" s="382"/>
      <c r="W829" s="6857" t="s">
        <v>191</v>
      </c>
      <c r="X829" s="6859"/>
      <c r="Y829" s="6856" t="s">
        <v>190</v>
      </c>
      <c r="Z829" s="381"/>
      <c r="AA829" s="382"/>
      <c r="AB829" s="6857" t="s">
        <v>191</v>
      </c>
      <c r="AC829" s="6859"/>
      <c r="AD829" s="6856" t="s">
        <v>190</v>
      </c>
      <c r="AE829" s="381"/>
      <c r="AF829" s="382"/>
      <c r="AG829" s="6857" t="s">
        <v>191</v>
      </c>
      <c r="AH829" s="6860"/>
      <c r="AI829" s="6192"/>
    </row>
    <row r="830" ht="16.5" customHeight="1">
      <c r="A830" s="6185"/>
      <c r="B830" s="6854"/>
      <c r="C830" s="6849"/>
      <c r="D830" s="6855"/>
      <c r="E830" s="6861" t="s">
        <v>192</v>
      </c>
      <c r="F830" s="6862">
        <f t="array" ref="F830">IFERROR(VLOOKUP(E817,Dex!$B$3:$N1218,8,FALSE),"")</f>
        <v>95</v>
      </c>
      <c r="G830" s="6863" t="str">
        <f t="array" ref="G830">IFERROR(VLOOKUP(F830,Dex!$P$22:$Q$276,2,FALSE),"")</f>
        <v/>
      </c>
      <c r="H830" s="6864">
        <v>252.0</v>
      </c>
      <c r="I830" s="6858"/>
      <c r="J830" s="6861" t="s">
        <v>192</v>
      </c>
      <c r="K830" s="6862">
        <f t="array" ref="K830">IFERROR(VLOOKUP(J817,Dex!$B$3:$N1218,8,FALSE),"")</f>
        <v>90</v>
      </c>
      <c r="L830" s="6863" t="str">
        <f t="array" ref="L830">IFERROR(VLOOKUP(K830,Dex!$P$22:$Q$276,2,FALSE),"")</f>
        <v/>
      </c>
      <c r="M830" s="6864">
        <v>4.0</v>
      </c>
      <c r="N830" s="6855"/>
      <c r="O830" s="6861" t="s">
        <v>192</v>
      </c>
      <c r="P830" s="6862">
        <f t="array" ref="P830">IFERROR(VLOOKUP(O817,Dex!$B$3:$N1218,8,FALSE),"")</f>
        <v>60</v>
      </c>
      <c r="Q830" s="6863" t="str">
        <f t="array" ref="Q830">IFERROR(VLOOKUP(P830,Dex!$P$22:$Q$276,2,FALSE),"")</f>
        <v/>
      </c>
      <c r="R830" s="6864">
        <v>4.0</v>
      </c>
      <c r="S830" s="6859"/>
      <c r="T830" s="6861" t="s">
        <v>192</v>
      </c>
      <c r="U830" s="6862">
        <f t="array" ref="U830">IFERROR(VLOOKUP(T817,Dex!$B$3:$N1218,8,FALSE),"")</f>
        <v>80</v>
      </c>
      <c r="V830" s="6863" t="str">
        <f t="array" ref="V830">IFERROR(VLOOKUP(U830,Dex!$P$22:$Q$276,2,FALSE),"")</f>
        <v/>
      </c>
      <c r="W830" s="6864">
        <v>4.0</v>
      </c>
      <c r="X830" s="6859"/>
      <c r="Y830" s="6861" t="s">
        <v>192</v>
      </c>
      <c r="Z830" s="6862">
        <f t="array" ref="Z830">IFERROR(VLOOKUP(Y817,Dex!$B$3:$N1218,8,FALSE),"")</f>
        <v>65</v>
      </c>
      <c r="AA830" s="6863" t="str">
        <f t="array" ref="AA830">IFERROR(VLOOKUP(Z830,Dex!$P$22:$Q$276,2,FALSE),"")</f>
        <v/>
      </c>
      <c r="AB830" s="6864">
        <v>4.0</v>
      </c>
      <c r="AC830" s="6859"/>
      <c r="AD830" s="6861" t="s">
        <v>192</v>
      </c>
      <c r="AE830" s="6862">
        <f t="array" ref="AE830">IFERROR(VLOOKUP(AD817,Dex!$B$3:$N1218,8,FALSE),"")</f>
        <v>65</v>
      </c>
      <c r="AF830" s="6863" t="str">
        <f t="array" ref="AF830">IFERROR(VLOOKUP(AE830,Dex!$P$22:$Q$276,2,FALSE),"")</f>
        <v/>
      </c>
      <c r="AG830" s="6864">
        <v>4.0</v>
      </c>
      <c r="AH830" s="6860"/>
      <c r="AI830" s="6192"/>
    </row>
    <row r="831" ht="16.5" customHeight="1">
      <c r="A831" s="6185"/>
      <c r="B831" s="6854"/>
      <c r="C831" s="6849"/>
      <c r="D831" s="6855"/>
      <c r="E831" s="6865" t="s">
        <v>193</v>
      </c>
      <c r="F831" s="6866">
        <f t="array" ref="F831">IFERROR(VLOOKUP(E817,Dex!$B$3:$N1218,9,FALSE),"")</f>
        <v>120</v>
      </c>
      <c r="G831" s="6867" t="str">
        <f t="array" ref="G831">IFERROR(VLOOKUP(F831,Dex!$P$22:$Q$276,2,FALSE),"")</f>
        <v/>
      </c>
      <c r="H831" s="6868"/>
      <c r="I831" s="6858"/>
      <c r="J831" s="6865" t="s">
        <v>193</v>
      </c>
      <c r="K831" s="6866">
        <f t="array" ref="K831">IFERROR(VLOOKUP(J817,Dex!$B$3:$N1218,9,FALSE),"")</f>
        <v>85</v>
      </c>
      <c r="L831" s="6867" t="str">
        <f t="array" ref="L831">IFERROR(VLOOKUP(K831,Dex!$P$22:$Q$276,2,FALSE),"")</f>
        <v/>
      </c>
      <c r="M831" s="6868"/>
      <c r="N831" s="6855"/>
      <c r="O831" s="6865" t="s">
        <v>193</v>
      </c>
      <c r="P831" s="6866">
        <f t="array" ref="P831">IFERROR(VLOOKUP(O817,Dex!$B$3:$N1218,9,FALSE),"")</f>
        <v>105</v>
      </c>
      <c r="Q831" s="6867" t="str">
        <f t="array" ref="Q831">IFERROR(VLOOKUP(P831,Dex!$P$22:$Q$276,2,FALSE),"")</f>
        <v/>
      </c>
      <c r="R831" s="6868"/>
      <c r="S831" s="6859"/>
      <c r="T831" s="6865" t="s">
        <v>193</v>
      </c>
      <c r="U831" s="6866">
        <f t="array" ref="U831">IFERROR(VLOOKUP(T817,Dex!$B$3:$N1218,9,FALSE),"")</f>
        <v>130</v>
      </c>
      <c r="V831" s="6867" t="str">
        <f t="array" ref="V831">IFERROR(VLOOKUP(U831,Dex!$P$22:$Q$276,2,FALSE),"")</f>
        <v/>
      </c>
      <c r="W831" s="6868">
        <v>252.0</v>
      </c>
      <c r="X831" s="6859"/>
      <c r="Y831" s="6865" t="s">
        <v>193</v>
      </c>
      <c r="Z831" s="6866">
        <f t="array" ref="Z831">IFERROR(VLOOKUP(Y817,Dex!$B$3:$N1218,9,FALSE),"")</f>
        <v>150</v>
      </c>
      <c r="AA831" s="6867" t="str">
        <f t="array" ref="AA831">IFERROR(VLOOKUP(Z831,Dex!$P$22:$Q$276,2,FALSE),"")</f>
        <v/>
      </c>
      <c r="AB831" s="6868">
        <v>252.0</v>
      </c>
      <c r="AC831" s="6859"/>
      <c r="AD831" s="6865" t="s">
        <v>193</v>
      </c>
      <c r="AE831" s="6866">
        <f t="array" ref="AE831">IFERROR(VLOOKUP(AD817,Dex!$B$3:$N1218,9,FALSE),"")</f>
        <v>125</v>
      </c>
      <c r="AF831" s="6867" t="str">
        <f t="array" ref="AF831">IFERROR(VLOOKUP(AE831,Dex!$P$22:$Q$276,2,FALSE),"")</f>
        <v/>
      </c>
      <c r="AG831" s="6868">
        <v>252.0</v>
      </c>
      <c r="AH831" s="6860"/>
      <c r="AI831" s="6192"/>
    </row>
    <row r="832" ht="16.5" customHeight="1">
      <c r="A832" s="6185"/>
      <c r="B832" s="6854"/>
      <c r="C832" s="6849"/>
      <c r="D832" s="6855"/>
      <c r="E832" s="6865" t="s">
        <v>194</v>
      </c>
      <c r="F832" s="6866">
        <f t="array" ref="F832">IFERROR(VLOOKUP(E817,Dex!$B$3:$N1218,10,FALSE),"")</f>
        <v>65</v>
      </c>
      <c r="G832" s="6867" t="str">
        <f t="array" ref="G832">IFERROR(VLOOKUP(F832,Dex!$P$22:$Q$276,2,FALSE),"")</f>
        <v/>
      </c>
      <c r="H832" s="6868">
        <v>252.0</v>
      </c>
      <c r="I832" s="6858"/>
      <c r="J832" s="6865" t="s">
        <v>194</v>
      </c>
      <c r="K832" s="6866">
        <f t="array" ref="K832">IFERROR(VLOOKUP(J817,Dex!$B$3:$N1218,10,FALSE),"")</f>
        <v>90</v>
      </c>
      <c r="L832" s="6867" t="str">
        <f t="array" ref="L832">IFERROR(VLOOKUP(K832,Dex!$P$22:$Q$276,2,FALSE),"")</f>
        <v/>
      </c>
      <c r="M832" s="6868"/>
      <c r="N832" s="6855"/>
      <c r="O832" s="6865" t="s">
        <v>194</v>
      </c>
      <c r="P832" s="6866">
        <f t="array" ref="P832">IFERROR(VLOOKUP(O817,Dex!$B$3:$N1218,10,FALSE),"")</f>
        <v>60</v>
      </c>
      <c r="Q832" s="6867" t="str">
        <f t="array" ref="Q832">IFERROR(VLOOKUP(P832,Dex!$P$22:$Q$276,2,FALSE),"")</f>
        <v/>
      </c>
      <c r="R832" s="6868"/>
      <c r="S832" s="6859"/>
      <c r="T832" s="6865" t="s">
        <v>194</v>
      </c>
      <c r="U832" s="6866">
        <f t="array" ref="U832">IFERROR(VLOOKUP(T817,Dex!$B$3:$N1218,10,FALSE),"")</f>
        <v>60</v>
      </c>
      <c r="V832" s="6867" t="str">
        <f t="array" ref="V832">IFERROR(VLOOKUP(U832,Dex!$P$22:$Q$276,2,FALSE),"")</f>
        <v/>
      </c>
      <c r="W832" s="6868"/>
      <c r="X832" s="6859"/>
      <c r="Y832" s="6865" t="s">
        <v>194</v>
      </c>
      <c r="Z832" s="6866">
        <f t="array" ref="Z832">IFERROR(VLOOKUP(Y817,Dex!$B$3:$N1218,10,FALSE),"")</f>
        <v>60</v>
      </c>
      <c r="AA832" s="6867" t="str">
        <f t="array" ref="AA832">IFERROR(VLOOKUP(Z832,Dex!$P$22:$Q$276,2,FALSE),"")</f>
        <v/>
      </c>
      <c r="AB832" s="6868"/>
      <c r="AC832" s="6859"/>
      <c r="AD832" s="6865" t="s">
        <v>194</v>
      </c>
      <c r="AE832" s="6866">
        <f t="array" ref="AE832">IFERROR(VLOOKUP(AD817,Dex!$B$3:$N1218,10,FALSE),"")</f>
        <v>100</v>
      </c>
      <c r="AF832" s="6867" t="str">
        <f t="array" ref="AF832">IFERROR(VLOOKUP(AE832,Dex!$P$22:$Q$276,2,FALSE),"")</f>
        <v/>
      </c>
      <c r="AG832" s="6868"/>
      <c r="AH832" s="6860"/>
      <c r="AI832" s="6192"/>
    </row>
    <row r="833" ht="16.5" customHeight="1">
      <c r="A833" s="6185"/>
      <c r="B833" s="6854"/>
      <c r="C833" s="6849"/>
      <c r="D833" s="6855"/>
      <c r="E833" s="6865" t="s">
        <v>195</v>
      </c>
      <c r="F833" s="6866">
        <f t="array" ref="F833">IFERROR(VLOOKUP(E817,Dex!$B$3:$N1218,11,FALSE),"")</f>
        <v>95</v>
      </c>
      <c r="G833" s="6867" t="str">
        <f t="array" ref="G833">IFERROR(VLOOKUP(F833,Dex!$P$22:$Q$276,2,FALSE),"")</f>
        <v/>
      </c>
      <c r="H833" s="6868"/>
      <c r="I833" s="6858"/>
      <c r="J833" s="6865" t="s">
        <v>195</v>
      </c>
      <c r="K833" s="6866">
        <f t="array" ref="K833">IFERROR(VLOOKUP(J817,Dex!$B$3:$N1218,11,FALSE),"")</f>
        <v>100</v>
      </c>
      <c r="L833" s="6867" t="str">
        <f t="array" ref="L833">IFERROR(VLOOKUP(K833,Dex!$P$22:$Q$276,2,FALSE),"")</f>
        <v/>
      </c>
      <c r="M833" s="6868">
        <v>252.0</v>
      </c>
      <c r="N833" s="6855"/>
      <c r="O833" s="6865" t="s">
        <v>195</v>
      </c>
      <c r="P833" s="6866">
        <f t="array" ref="P833">IFERROR(VLOOKUP(O817,Dex!$B$3:$N1218,11,FALSE),"")</f>
        <v>120</v>
      </c>
      <c r="Q833" s="6867" t="str">
        <f t="array" ref="Q833">IFERROR(VLOOKUP(P833,Dex!$P$22:$Q$276,2,FALSE),"")</f>
        <v/>
      </c>
      <c r="R833" s="6868">
        <v>252.0</v>
      </c>
      <c r="S833" s="6859"/>
      <c r="T833" s="6865" t="s">
        <v>195</v>
      </c>
      <c r="U833" s="6866">
        <f t="array" ref="U833">IFERROR(VLOOKUP(T817,Dex!$B$3:$N1218,11,FALSE),"")</f>
        <v>40</v>
      </c>
      <c r="V833" s="6867" t="str">
        <f t="array" ref="V833">IFERROR(VLOOKUP(U833,Dex!$P$22:$Q$276,2,FALSE),"")</f>
        <v/>
      </c>
      <c r="W833" s="6868"/>
      <c r="X833" s="6859"/>
      <c r="Y833" s="6865" t="s">
        <v>195</v>
      </c>
      <c r="Z833" s="6866">
        <f t="array" ref="Z833">IFERROR(VLOOKUP(Y817,Dex!$B$3:$N1218,11,FALSE),"")</f>
        <v>115</v>
      </c>
      <c r="AA833" s="6867" t="str">
        <f t="array" ref="AA833">IFERROR(VLOOKUP(Z833,Dex!$P$22:$Q$276,2,FALSE),"")</f>
        <v/>
      </c>
      <c r="AB833" s="6868"/>
      <c r="AC833" s="6859"/>
      <c r="AD833" s="6865" t="s">
        <v>195</v>
      </c>
      <c r="AE833" s="6866">
        <f t="array" ref="AE833">IFERROR(VLOOKUP(AD817,Dex!$B$3:$N1218,11,FALSE),"")</f>
        <v>60</v>
      </c>
      <c r="AF833" s="6867" t="str">
        <f t="array" ref="AF833">IFERROR(VLOOKUP(AE833,Dex!$P$22:$Q$276,2,FALSE),"")</f>
        <v/>
      </c>
      <c r="AG833" s="6868"/>
      <c r="AH833" s="6860"/>
      <c r="AI833" s="6192"/>
    </row>
    <row r="834" ht="16.5" customHeight="1">
      <c r="A834" s="6185"/>
      <c r="B834" s="6854"/>
      <c r="C834" s="6849"/>
      <c r="D834" s="6855"/>
      <c r="E834" s="6865" t="s">
        <v>196</v>
      </c>
      <c r="F834" s="6866">
        <f t="array" ref="F834">IFERROR(VLOOKUP(E817,Dex!$B$3:$N1218,12,FALSE),"")</f>
        <v>75</v>
      </c>
      <c r="G834" s="6867" t="str">
        <f t="array" ref="G834">IFERROR(VLOOKUP(F834,Dex!$P$22:$Q$276,2,FALSE),"")</f>
        <v/>
      </c>
      <c r="H834" s="6868"/>
      <c r="I834" s="6858"/>
      <c r="J834" s="6865" t="s">
        <v>196</v>
      </c>
      <c r="K834" s="6866">
        <f t="array" ref="K834">IFERROR(VLOOKUP(J817,Dex!$B$3:$N1218,12,FALSE),"")</f>
        <v>125</v>
      </c>
      <c r="L834" s="6867" t="str">
        <f t="array" ref="L834">IFERROR(VLOOKUP(K834,Dex!$P$22:$Q$276,2,FALSE),"")</f>
        <v/>
      </c>
      <c r="M834" s="6868"/>
      <c r="N834" s="6855"/>
      <c r="O834" s="6865" t="s">
        <v>196</v>
      </c>
      <c r="P834" s="6866">
        <f t="array" ref="P834">IFERROR(VLOOKUP(O817,Dex!$B$3:$N1218,12,FALSE),"")</f>
        <v>60</v>
      </c>
      <c r="Q834" s="6867" t="str">
        <f t="array" ref="Q834">IFERROR(VLOOKUP(P834,Dex!$P$22:$Q$276,2,FALSE),"")</f>
        <v/>
      </c>
      <c r="R834" s="6868"/>
      <c r="S834" s="6859"/>
      <c r="T834" s="6865" t="s">
        <v>196</v>
      </c>
      <c r="U834" s="6866">
        <f t="array" ref="U834">IFERROR(VLOOKUP(T817,Dex!$B$3:$N1218,12,FALSE),"")</f>
        <v>80</v>
      </c>
      <c r="V834" s="6867" t="str">
        <f t="array" ref="V834">IFERROR(VLOOKUP(U834,Dex!$P$22:$Q$276,2,FALSE),"")</f>
        <v/>
      </c>
      <c r="W834" s="6868"/>
      <c r="X834" s="6859"/>
      <c r="Y834" s="6865" t="s">
        <v>196</v>
      </c>
      <c r="Z834" s="6866">
        <f t="array" ref="Z834">IFERROR(VLOOKUP(Y817,Dex!$B$3:$N1218,12,FALSE),"")</f>
        <v>60</v>
      </c>
      <c r="AA834" s="6867" t="str">
        <f t="array" ref="AA834">IFERROR(VLOOKUP(Z834,Dex!$P$22:$Q$276,2,FALSE),"")</f>
        <v/>
      </c>
      <c r="AB834" s="6868"/>
      <c r="AC834" s="6859"/>
      <c r="AD834" s="6865" t="s">
        <v>196</v>
      </c>
      <c r="AE834" s="6866">
        <f t="array" ref="AE834">IFERROR(VLOOKUP(AD817,Dex!$B$3:$N1218,12,FALSE),"")</f>
        <v>70</v>
      </c>
      <c r="AF834" s="6867" t="str">
        <f t="array" ref="AF834">IFERROR(VLOOKUP(AE834,Dex!$P$22:$Q$276,2,FALSE),"")</f>
        <v/>
      </c>
      <c r="AG834" s="6868"/>
      <c r="AH834" s="6860"/>
      <c r="AI834" s="6192"/>
    </row>
    <row r="835" ht="16.5" customHeight="1">
      <c r="A835" s="6185"/>
      <c r="B835" s="6854"/>
      <c r="C835" s="6849"/>
      <c r="D835" s="6855"/>
      <c r="E835" s="6869" t="s">
        <v>197</v>
      </c>
      <c r="F835" s="6870">
        <f t="array" ref="F835">IFERROR(VLOOKUP(E817,Dex!$B$3:$N1218,13,FALSE),"")</f>
        <v>60</v>
      </c>
      <c r="G835" s="6871" t="str">
        <f t="array" ref="G835">IFERROR(VLOOKUP(F835,Dex!$P$22:$Q$276,2,FALSE),"")</f>
        <v/>
      </c>
      <c r="H835" s="6872"/>
      <c r="I835" s="6858"/>
      <c r="J835" s="6869" t="s">
        <v>197</v>
      </c>
      <c r="K835" s="6870">
        <f t="array" ref="K835">IFERROR(VLOOKUP(J817,Dex!$B$3:$N1218,13,FALSE),"")</f>
        <v>90</v>
      </c>
      <c r="L835" s="6871" t="str">
        <f t="array" ref="L835">IFERROR(VLOOKUP(K835,Dex!$P$22:$Q$276,2,FALSE),"")</f>
        <v/>
      </c>
      <c r="M835" s="6872">
        <v>252.0</v>
      </c>
      <c r="N835" s="6855"/>
      <c r="O835" s="6869" t="s">
        <v>197</v>
      </c>
      <c r="P835" s="6870">
        <f t="array" ref="P835">IFERROR(VLOOKUP(O817,Dex!$B$3:$N1218,13,FALSE),"")</f>
        <v>105</v>
      </c>
      <c r="Q835" s="6871" t="str">
        <f t="array" ref="Q835">IFERROR(VLOOKUP(P835,Dex!$P$22:$Q$276,2,FALSE),"")</f>
        <v/>
      </c>
      <c r="R835" s="6872">
        <v>252.0</v>
      </c>
      <c r="S835" s="6859"/>
      <c r="T835" s="6869" t="s">
        <v>197</v>
      </c>
      <c r="U835" s="6870">
        <f t="array" ref="U835">IFERROR(VLOOKUP(T817,Dex!$B$3:$N1218,13,FALSE),"")</f>
        <v>120</v>
      </c>
      <c r="V835" s="6871" t="str">
        <f t="array" ref="V835">IFERROR(VLOOKUP(U835,Dex!$P$22:$Q$276,2,FALSE),"")</f>
        <v/>
      </c>
      <c r="W835" s="6872">
        <v>252.0</v>
      </c>
      <c r="X835" s="6859"/>
      <c r="Y835" s="6869" t="s">
        <v>197</v>
      </c>
      <c r="Z835" s="6870">
        <f t="array" ref="Z835">IFERROR(VLOOKUP(Y817,Dex!$B$3:$N1218,13,FALSE),"")</f>
        <v>115</v>
      </c>
      <c r="AA835" s="6871" t="str">
        <f t="array" ref="AA835">IFERROR(VLOOKUP(Z835,Dex!$P$22:$Q$276,2,FALSE),"")</f>
        <v/>
      </c>
      <c r="AB835" s="6872">
        <v>252.0</v>
      </c>
      <c r="AC835" s="6859"/>
      <c r="AD835" s="6869" t="s">
        <v>197</v>
      </c>
      <c r="AE835" s="6870">
        <f t="array" ref="AE835">IFERROR(VLOOKUP(AD817,Dex!$B$3:$N1218,13,FALSE),"")</f>
        <v>70</v>
      </c>
      <c r="AF835" s="6871" t="str">
        <f t="array" ref="AF835">IFERROR(VLOOKUP(AE835,Dex!$P$22:$Q$276,2,FALSE),"")</f>
        <v/>
      </c>
      <c r="AG835" s="6872">
        <v>252.0</v>
      </c>
      <c r="AH835" s="6860"/>
      <c r="AI835" s="6192"/>
    </row>
    <row r="836" ht="16.5" customHeight="1">
      <c r="A836" s="6185"/>
      <c r="B836" s="6854"/>
      <c r="C836" s="6849"/>
      <c r="D836" s="6855"/>
      <c r="E836" s="6873" t="s">
        <v>198</v>
      </c>
      <c r="F836" s="405"/>
      <c r="G836" s="406"/>
      <c r="H836" s="6874">
        <v>140.0</v>
      </c>
      <c r="I836" s="6858"/>
      <c r="J836" s="6873" t="s">
        <v>198</v>
      </c>
      <c r="K836" s="405"/>
      <c r="L836" s="406"/>
      <c r="M836" s="6874">
        <v>306.0</v>
      </c>
      <c r="N836" s="6855"/>
      <c r="O836" s="6875" t="s">
        <v>198</v>
      </c>
      <c r="P836" s="918"/>
      <c r="Q836" s="919"/>
      <c r="R836" s="6876">
        <v>339.0</v>
      </c>
      <c r="S836" s="6859"/>
      <c r="T836" s="6873" t="s">
        <v>198</v>
      </c>
      <c r="U836" s="405"/>
      <c r="V836" s="406"/>
      <c r="W836" s="6874">
        <v>372.0</v>
      </c>
      <c r="X836" s="6859"/>
      <c r="Y836" s="6873" t="s">
        <v>198</v>
      </c>
      <c r="Z836" s="405"/>
      <c r="AA836" s="406"/>
      <c r="AB836" s="6874">
        <v>361.0</v>
      </c>
      <c r="AC836" s="6859"/>
      <c r="AD836" s="6873" t="s">
        <v>198</v>
      </c>
      <c r="AE836" s="405"/>
      <c r="AF836" s="406"/>
      <c r="AG836" s="6874">
        <v>262.0</v>
      </c>
      <c r="AH836" s="6860"/>
      <c r="AI836" s="6192"/>
    </row>
    <row r="837" ht="16.5" customHeight="1">
      <c r="A837" s="6185"/>
      <c r="B837" s="6854"/>
      <c r="C837" s="6849"/>
      <c r="D837" s="6855"/>
      <c r="E837" s="6849"/>
      <c r="F837" s="6849"/>
      <c r="G837" s="6849"/>
      <c r="H837" s="6849"/>
      <c r="I837" s="6858"/>
      <c r="J837" s="6849"/>
      <c r="K837" s="6849"/>
      <c r="L837" s="6849"/>
      <c r="M837" s="6849"/>
      <c r="N837" s="6855"/>
      <c r="O837" s="6877" t="s">
        <v>348</v>
      </c>
      <c r="P837" s="925"/>
      <c r="Q837" s="926"/>
      <c r="R837" s="6878">
        <v>508.0</v>
      </c>
      <c r="S837" s="6859"/>
      <c r="T837" s="6849"/>
      <c r="U837" s="6849"/>
      <c r="V837" s="6849"/>
      <c r="W837" s="6849"/>
      <c r="X837" s="6859"/>
      <c r="Y837" s="6849"/>
      <c r="Z837" s="6849"/>
      <c r="AA837" s="6849"/>
      <c r="AB837" s="6849"/>
      <c r="AC837" s="6859"/>
      <c r="AD837" s="6849"/>
      <c r="AE837" s="6849"/>
      <c r="AF837" s="6849"/>
      <c r="AG837" s="6849"/>
      <c r="AH837" s="6860"/>
      <c r="AI837" s="6192"/>
    </row>
    <row r="838" ht="15.0" customHeight="1">
      <c r="A838" s="6185"/>
      <c r="B838" s="6879"/>
      <c r="C838" s="6880"/>
      <c r="D838" s="6881"/>
      <c r="E838" s="6882"/>
      <c r="F838" s="6882"/>
      <c r="G838" s="6882"/>
      <c r="H838" s="6882"/>
      <c r="I838" s="6881"/>
      <c r="J838" s="6882"/>
      <c r="K838" s="6882"/>
      <c r="L838" s="6882"/>
      <c r="M838" s="6882"/>
      <c r="N838" s="6881"/>
      <c r="O838" s="6882"/>
      <c r="P838" s="6882"/>
      <c r="Q838" s="6882"/>
      <c r="R838" s="6882"/>
      <c r="S838" s="6881"/>
      <c r="T838" s="6882"/>
      <c r="U838" s="6882"/>
      <c r="V838" s="6882"/>
      <c r="W838" s="6882"/>
      <c r="X838" s="6881"/>
      <c r="Y838" s="6882"/>
      <c r="Z838" s="6882"/>
      <c r="AA838" s="6882"/>
      <c r="AB838" s="6882"/>
      <c r="AC838" s="6881"/>
      <c r="AD838" s="6882"/>
      <c r="AE838" s="6882"/>
      <c r="AF838" s="6882"/>
      <c r="AG838" s="6882"/>
      <c r="AH838" s="6883"/>
      <c r="AI838" s="6192"/>
    </row>
    <row r="839" ht="15.0" customHeight="1">
      <c r="A839" s="6185"/>
      <c r="B839" s="4925"/>
      <c r="C839" s="4926"/>
      <c r="D839" s="4926"/>
      <c r="E839" s="6884"/>
      <c r="F839" s="6884"/>
      <c r="G839" s="6884"/>
      <c r="H839" s="6884"/>
      <c r="I839" s="4926"/>
      <c r="J839" s="6884"/>
      <c r="K839" s="6884"/>
      <c r="L839" s="6884"/>
      <c r="M839" s="6884"/>
      <c r="N839" s="4926"/>
      <c r="O839" s="4926"/>
      <c r="P839" s="4926"/>
      <c r="Q839" s="4926"/>
      <c r="R839" s="4926"/>
      <c r="S839" s="4926"/>
      <c r="T839" s="4926"/>
      <c r="U839" s="4926"/>
      <c r="V839" s="4926"/>
      <c r="W839" s="4926"/>
      <c r="X839" s="4926"/>
      <c r="Y839" s="4926"/>
      <c r="Z839" s="4926"/>
      <c r="AA839" s="4926"/>
      <c r="AB839" s="4926"/>
      <c r="AC839" s="4926"/>
      <c r="AD839" s="4926"/>
      <c r="AE839" s="4926"/>
      <c r="AF839" s="4926"/>
      <c r="AG839" s="4926"/>
      <c r="AH839" s="4927"/>
      <c r="AI839" s="6192"/>
    </row>
    <row r="840" ht="96.75" customHeight="1">
      <c r="A840" s="6185"/>
      <c r="B840" s="2300"/>
      <c r="C840" s="4932" t="str">
        <f>IMAGE("https://i.ibb.co/qsQbp4Z/Biker.png")</f>
        <v/>
      </c>
      <c r="D840" s="2492"/>
      <c r="E840" s="4933" t="str">
        <f t="array" ref="E840">IFERROR(VLOOKUP(E841,Dex!$B$3:$G1218,3,FALSE),"")</f>
        <v/>
      </c>
      <c r="F840" s="1830"/>
      <c r="G840" s="1830"/>
      <c r="H840" s="1831"/>
      <c r="I840" s="2492"/>
      <c r="J840" s="4933" t="str">
        <f t="array" ref="J840">IFERROR(VLOOKUP(J841,Dex!$B$3:$G1218,3,FALSE),"")</f>
        <v/>
      </c>
      <c r="K840" s="1830"/>
      <c r="L840" s="1830"/>
      <c r="M840" s="1831"/>
      <c r="N840" s="2492"/>
      <c r="O840" s="2270"/>
      <c r="P840" s="2273"/>
      <c r="Q840" s="2273"/>
      <c r="R840" s="2274"/>
      <c r="S840" s="2492"/>
      <c r="T840" s="2270"/>
      <c r="U840" s="2273"/>
      <c r="V840" s="2273"/>
      <c r="W840" s="2274"/>
      <c r="X840" s="5007"/>
      <c r="Y840" s="2270"/>
      <c r="Z840" s="2273"/>
      <c r="AA840" s="2273"/>
      <c r="AB840" s="2274"/>
      <c r="AC840" s="2493"/>
      <c r="AD840" s="2270"/>
      <c r="AE840" s="2273"/>
      <c r="AF840" s="2273"/>
      <c r="AG840" s="2274"/>
      <c r="AH840" s="2276"/>
      <c r="AI840" s="6192"/>
    </row>
    <row r="841" ht="18.75" customHeight="1">
      <c r="A841" s="6185"/>
      <c r="B841" s="2358"/>
      <c r="C841" s="4934" t="s">
        <v>1757</v>
      </c>
      <c r="E841" s="2292" t="s">
        <v>1681</v>
      </c>
      <c r="F841" s="2293"/>
      <c r="G841" s="2293"/>
      <c r="H841" s="2294"/>
      <c r="J841" s="2292" t="s">
        <v>569</v>
      </c>
      <c r="K841" s="2293"/>
      <c r="L841" s="2293"/>
      <c r="M841" s="2294"/>
      <c r="O841" s="2297"/>
      <c r="P841" s="2273"/>
      <c r="Q841" s="2273"/>
      <c r="R841" s="2274"/>
      <c r="T841" s="2297"/>
      <c r="U841" s="2273"/>
      <c r="V841" s="2273"/>
      <c r="W841" s="2274"/>
      <c r="Y841" s="2297"/>
      <c r="Z841" s="2273"/>
      <c r="AA841" s="2273"/>
      <c r="AB841" s="2274"/>
      <c r="AC841" s="2495"/>
      <c r="AD841" s="2297"/>
      <c r="AE841" s="2273"/>
      <c r="AF841" s="2273"/>
      <c r="AG841" s="2274"/>
      <c r="AH841" s="2298"/>
      <c r="AI841" s="6192"/>
    </row>
    <row r="842">
      <c r="A842" s="6185"/>
      <c r="B842" s="4935"/>
      <c r="C842" s="1489"/>
      <c r="E842" s="2496" t="s">
        <v>1623</v>
      </c>
      <c r="F842" s="2303"/>
      <c r="G842" s="2303"/>
      <c r="H842" s="2304"/>
      <c r="J842" s="2496" t="s">
        <v>1502</v>
      </c>
      <c r="K842" s="2303"/>
      <c r="L842" s="2303"/>
      <c r="M842" s="2304"/>
      <c r="O842" s="2704"/>
      <c r="P842" s="2273"/>
      <c r="Q842" s="2273"/>
      <c r="R842" s="2274"/>
      <c r="T842" s="2704"/>
      <c r="U842" s="2273"/>
      <c r="V842" s="2273"/>
      <c r="W842" s="2274"/>
      <c r="Y842" s="2704"/>
      <c r="Z842" s="2273"/>
      <c r="AA842" s="2273"/>
      <c r="AB842" s="2274"/>
      <c r="AC842" s="2495"/>
      <c r="AD842" s="2704"/>
      <c r="AE842" s="2273"/>
      <c r="AF842" s="2273"/>
      <c r="AG842" s="2274"/>
      <c r="AH842" s="4936"/>
      <c r="AI842" s="6192"/>
    </row>
    <row r="843" ht="25.5" customHeight="1">
      <c r="A843" s="6185"/>
      <c r="B843" s="2300"/>
      <c r="C843" s="3357"/>
      <c r="E843" s="2307"/>
      <c r="F843" s="2308" t="str">
        <f t="array" ref="F843">IFERROR(VLOOKUP(E841,Dex!$B$3:$H1218,5,FALSE),"")</f>
        <v/>
      </c>
      <c r="G843" s="2309" t="str">
        <f t="array" ref="G843">IFERROR(VLOOKUP(E841,Dex!$B$3:$H1218,7,FALSE),"")</f>
        <v/>
      </c>
      <c r="H843" s="2310"/>
      <c r="J843" s="2307"/>
      <c r="K843" s="2311" t="str">
        <f t="array" ref="K843">IFERROR(VLOOKUP(J841,Dex!$B$3:$H1218,5,FALSE),"")</f>
        <v/>
      </c>
      <c r="L843" s="2312"/>
      <c r="M843" s="2310"/>
      <c r="O843" s="2270"/>
      <c r="P843" s="2273"/>
      <c r="Q843" s="2273"/>
      <c r="R843" s="2274"/>
      <c r="T843" s="2270"/>
      <c r="U843" s="2273"/>
      <c r="V843" s="2273"/>
      <c r="W843" s="2274"/>
      <c r="Y843" s="2270"/>
      <c r="Z843" s="2273"/>
      <c r="AA843" s="2273"/>
      <c r="AB843" s="2274"/>
      <c r="AC843" s="2495"/>
      <c r="AD843" s="2270"/>
      <c r="AE843" s="2273"/>
      <c r="AF843" s="2273"/>
      <c r="AG843" s="2274"/>
      <c r="AH843" s="2276"/>
      <c r="AI843" s="6192"/>
    </row>
    <row r="844" ht="2.25" customHeight="1">
      <c r="A844" s="6185"/>
      <c r="B844" s="2300"/>
      <c r="C844" s="2338"/>
      <c r="E844" s="2313"/>
      <c r="F844" s="2314"/>
      <c r="G844" s="2314"/>
      <c r="H844" s="2315"/>
      <c r="J844" s="2313"/>
      <c r="K844" s="2314"/>
      <c r="L844" s="2314"/>
      <c r="M844" s="2315"/>
      <c r="O844" s="2316"/>
      <c r="P844" s="2316"/>
      <c r="Q844" s="2316"/>
      <c r="R844" s="2316"/>
      <c r="T844" s="2316"/>
      <c r="U844" s="2316"/>
      <c r="V844" s="2316"/>
      <c r="W844" s="2316"/>
      <c r="Y844" s="2316"/>
      <c r="Z844" s="2316"/>
      <c r="AA844" s="2316"/>
      <c r="AB844" s="2316"/>
      <c r="AC844" s="2495"/>
      <c r="AD844" s="2316"/>
      <c r="AE844" s="2316"/>
      <c r="AF844" s="2316"/>
      <c r="AG844" s="2316"/>
      <c r="AH844" s="2276"/>
      <c r="AI844" s="6192"/>
    </row>
    <row r="845" ht="20.25" customHeight="1">
      <c r="A845" s="6185"/>
      <c r="B845" s="2268"/>
      <c r="C845" s="4937"/>
      <c r="E845" s="2317" t="s">
        <v>172</v>
      </c>
      <c r="F845" s="2318"/>
      <c r="G845" s="2318"/>
      <c r="H845" s="2319"/>
      <c r="J845" s="2317" t="s">
        <v>169</v>
      </c>
      <c r="K845" s="2318"/>
      <c r="L845" s="2318"/>
      <c r="M845" s="2319"/>
      <c r="O845" s="2270"/>
      <c r="P845" s="2273"/>
      <c r="Q845" s="2273"/>
      <c r="R845" s="2274"/>
      <c r="T845" s="2270"/>
      <c r="U845" s="2273"/>
      <c r="V845" s="2273"/>
      <c r="W845" s="2274"/>
      <c r="Y845" s="2270"/>
      <c r="Z845" s="2273"/>
      <c r="AA845" s="2273"/>
      <c r="AB845" s="2274"/>
      <c r="AC845" s="2495"/>
      <c r="AD845" s="2270"/>
      <c r="AE845" s="2273"/>
      <c r="AF845" s="2273"/>
      <c r="AG845" s="2274"/>
      <c r="AH845" s="2276"/>
      <c r="AI845" s="6192"/>
    </row>
    <row r="846" ht="20.25" customHeight="1">
      <c r="A846" s="6185"/>
      <c r="B846" s="2268"/>
      <c r="C846" s="2269"/>
      <c r="E846" s="2321" t="s">
        <v>716</v>
      </c>
      <c r="F846" s="2273"/>
      <c r="G846" s="2273"/>
      <c r="H846" s="2322"/>
      <c r="J846" s="2321" t="s">
        <v>485</v>
      </c>
      <c r="K846" s="2273"/>
      <c r="L846" s="2273"/>
      <c r="M846" s="2322"/>
      <c r="O846" s="2270"/>
      <c r="P846" s="2273"/>
      <c r="Q846" s="2273"/>
      <c r="R846" s="2274"/>
      <c r="T846" s="2270"/>
      <c r="U846" s="2273"/>
      <c r="V846" s="2273"/>
      <c r="W846" s="2274"/>
      <c r="Y846" s="2270"/>
      <c r="Z846" s="2273"/>
      <c r="AA846" s="2273"/>
      <c r="AB846" s="2274"/>
      <c r="AC846" s="2495"/>
      <c r="AD846" s="2270"/>
      <c r="AE846" s="2273"/>
      <c r="AF846" s="2273"/>
      <c r="AG846" s="2274"/>
      <c r="AH846" s="2276"/>
      <c r="AI846" s="6192"/>
    </row>
    <row r="847" ht="20.25" customHeight="1">
      <c r="A847" s="6185"/>
      <c r="B847" s="2268"/>
      <c r="C847" s="2269"/>
      <c r="E847" s="2323" t="s">
        <v>1758</v>
      </c>
      <c r="F847" s="2324"/>
      <c r="G847" s="4930"/>
      <c r="H847" s="4938" t="str">
        <f>IMAGE("https://raw.githubusercontent.com/msikma/pokesprite/master/items/gem/dark.png",3)</f>
        <v/>
      </c>
      <c r="J847" s="2323" t="s">
        <v>578</v>
      </c>
      <c r="K847" s="2324"/>
      <c r="L847" s="4930"/>
      <c r="M847" s="4938" t="str">
        <f>IMAGE("https://raw.githubusercontent.com/msikma/pokesprite/master/items/evo-item/reaper-cloth.png",3)</f>
        <v/>
      </c>
      <c r="O847" s="2270"/>
      <c r="P847" s="2273"/>
      <c r="Q847" s="2273"/>
      <c r="R847" s="2274"/>
      <c r="T847" s="2270"/>
      <c r="U847" s="2273"/>
      <c r="V847" s="2273"/>
      <c r="W847" s="2274"/>
      <c r="Y847" s="2270"/>
      <c r="Z847" s="2273"/>
      <c r="AA847" s="2273"/>
      <c r="AB847" s="2274"/>
      <c r="AC847" s="2495"/>
      <c r="AD847" s="2270"/>
      <c r="AE847" s="2273"/>
      <c r="AF847" s="2273"/>
      <c r="AG847" s="2274"/>
      <c r="AH847" s="2276"/>
      <c r="AI847" s="6192"/>
    </row>
    <row r="848" ht="20.25" customHeight="1">
      <c r="A848" s="6185"/>
      <c r="B848" s="2268"/>
      <c r="C848" s="2338"/>
      <c r="E848" s="2317" t="s">
        <v>279</v>
      </c>
      <c r="F848" s="2318"/>
      <c r="G848" s="2327"/>
      <c r="H848" s="4939" t="str">
        <f>IMAGE("https://raw.githubusercontent.com/msikma/pokesprite/master/misc/types/gen8/dark.png",4,20,20)</f>
        <v/>
      </c>
      <c r="J848" s="2317" t="s">
        <v>581</v>
      </c>
      <c r="K848" s="2318"/>
      <c r="L848" s="2327"/>
      <c r="M848" s="4939" t="str">
        <f>IMAGE("https://raw.githubusercontent.com/msikma/pokesprite/master/misc/types/gen8/ghost.png",4,20,20)</f>
        <v/>
      </c>
      <c r="O848" s="2270"/>
      <c r="P848" s="2273"/>
      <c r="Q848" s="2273"/>
      <c r="R848" s="2274"/>
      <c r="T848" s="2270"/>
      <c r="U848" s="2273"/>
      <c r="V848" s="2273"/>
      <c r="W848" s="2274"/>
      <c r="Y848" s="2270"/>
      <c r="Z848" s="2273"/>
      <c r="AA848" s="2273"/>
      <c r="AB848" s="2274"/>
      <c r="AC848" s="2495"/>
      <c r="AD848" s="2270"/>
      <c r="AE848" s="2273"/>
      <c r="AF848" s="2273"/>
      <c r="AG848" s="2274"/>
      <c r="AH848" s="2276"/>
      <c r="AI848" s="6192"/>
    </row>
    <row r="849" ht="20.25" customHeight="1">
      <c r="A849" s="6185"/>
      <c r="B849" s="2268"/>
      <c r="C849" s="2338"/>
      <c r="E849" s="2321" t="s">
        <v>1200</v>
      </c>
      <c r="F849" s="2273"/>
      <c r="G849" s="2274"/>
      <c r="H849" s="4940" t="str">
        <f>IMAGE("https://raw.githubusercontent.com/msikma/pokesprite/master/misc/types/gen8/poison.png",4,20,20)</f>
        <v/>
      </c>
      <c r="J849" s="2321" t="s">
        <v>1521</v>
      </c>
      <c r="K849" s="2273"/>
      <c r="L849" s="2274"/>
      <c r="M849" s="4940" t="str">
        <f>IMAGE("https://raw.githubusercontent.com/msikma/pokesprite/master/misc/types/gen8/fighting.png",4,20,20)</f>
        <v/>
      </c>
      <c r="O849" s="2270"/>
      <c r="P849" s="2273"/>
      <c r="Q849" s="2273"/>
      <c r="R849" s="2274"/>
      <c r="T849" s="2270"/>
      <c r="U849" s="2273"/>
      <c r="V849" s="2273"/>
      <c r="W849" s="2274"/>
      <c r="Y849" s="2270"/>
      <c r="Z849" s="2273"/>
      <c r="AA849" s="2273"/>
      <c r="AB849" s="2274"/>
      <c r="AC849" s="2495"/>
      <c r="AD849" s="2270"/>
      <c r="AE849" s="2273"/>
      <c r="AF849" s="2273"/>
      <c r="AG849" s="2274"/>
      <c r="AH849" s="2276"/>
      <c r="AI849" s="6192"/>
    </row>
    <row r="850" ht="20.25" customHeight="1">
      <c r="A850" s="6185"/>
      <c r="B850" s="2268"/>
      <c r="C850" s="2338"/>
      <c r="E850" s="2321" t="s">
        <v>459</v>
      </c>
      <c r="F850" s="2273"/>
      <c r="G850" s="2274"/>
      <c r="H850" s="4940" t="str">
        <f>IMAGE("https://raw.githubusercontent.com/msikma/pokesprite/master/misc/types/gen8/water.png",4,20,20)</f>
        <v/>
      </c>
      <c r="J850" s="2321" t="s">
        <v>585</v>
      </c>
      <c r="K850" s="2273"/>
      <c r="L850" s="2274"/>
      <c r="M850" s="4940" t="str">
        <f>IMAGE("https://raw.githubusercontent.com/msikma/pokesprite/master/misc/types/gen8/ghost.png",4,20,20)</f>
        <v/>
      </c>
      <c r="O850" s="2270"/>
      <c r="P850" s="2273"/>
      <c r="Q850" s="2273"/>
      <c r="R850" s="2274"/>
      <c r="T850" s="2270"/>
      <c r="U850" s="2273"/>
      <c r="V850" s="2273"/>
      <c r="W850" s="2274"/>
      <c r="Y850" s="2270"/>
      <c r="Z850" s="2273"/>
      <c r="AA850" s="2273"/>
      <c r="AB850" s="2274"/>
      <c r="AC850" s="2495"/>
      <c r="AD850" s="2270"/>
      <c r="AE850" s="2273"/>
      <c r="AF850" s="2273"/>
      <c r="AG850" s="2274"/>
      <c r="AH850" s="2276"/>
      <c r="AI850" s="6192"/>
    </row>
    <row r="851" ht="21.0" customHeight="1">
      <c r="A851" s="6185"/>
      <c r="B851" s="2268"/>
      <c r="C851" s="2338"/>
      <c r="D851" s="2497"/>
      <c r="E851" s="2330" t="s">
        <v>252</v>
      </c>
      <c r="F851" s="2331"/>
      <c r="G851" s="2332"/>
      <c r="H851" s="4941" t="str">
        <f>IMAGE("https://raw.githubusercontent.com/msikma/pokesprite/master/misc/types/gen8/electric.png",4,20,20)</f>
        <v/>
      </c>
      <c r="I851" s="2497"/>
      <c r="J851" s="2330" t="s">
        <v>215</v>
      </c>
      <c r="K851" s="2331"/>
      <c r="L851" s="2332"/>
      <c r="M851" s="4941" t="str">
        <f>IMAGE("https://raw.githubusercontent.com/msikma/pokesprite/master/misc/types/gen8/ice.png",4,20,20)</f>
        <v/>
      </c>
      <c r="N851" s="2497"/>
      <c r="O851" s="2270"/>
      <c r="P851" s="2273"/>
      <c r="Q851" s="2273"/>
      <c r="R851" s="2274"/>
      <c r="S851" s="2497"/>
      <c r="T851" s="2270"/>
      <c r="U851" s="2273"/>
      <c r="V851" s="2273"/>
      <c r="W851" s="2274"/>
      <c r="X851" s="2497"/>
      <c r="Y851" s="2270"/>
      <c r="Z851" s="2273"/>
      <c r="AA851" s="2273"/>
      <c r="AB851" s="2274"/>
      <c r="AC851" s="2498"/>
      <c r="AD851" s="2270"/>
      <c r="AE851" s="2273"/>
      <c r="AF851" s="2273"/>
      <c r="AG851" s="2274"/>
      <c r="AH851" s="2276"/>
      <c r="AI851" s="6192"/>
    </row>
    <row r="852" ht="3.0" customHeight="1">
      <c r="A852" s="6185"/>
      <c r="B852" s="2337"/>
      <c r="C852" s="2338"/>
      <c r="D852" s="2339"/>
      <c r="E852" s="4942"/>
      <c r="F852" s="4942"/>
      <c r="G852" s="4942"/>
      <c r="H852" s="4943"/>
      <c r="I852" s="2339"/>
      <c r="J852" s="4944"/>
      <c r="K852" s="4944"/>
      <c r="L852" s="4944"/>
      <c r="M852" s="4943"/>
      <c r="N852" s="2339"/>
      <c r="O852" s="2342"/>
      <c r="P852" s="2342"/>
      <c r="Q852" s="2342"/>
      <c r="R852" s="2342"/>
      <c r="S852" s="2339"/>
      <c r="T852" s="2342"/>
      <c r="U852" s="2342"/>
      <c r="V852" s="2342"/>
      <c r="W852" s="2342"/>
      <c r="X852" s="2339"/>
      <c r="Y852" s="2342"/>
      <c r="Z852" s="2342"/>
      <c r="AA852" s="2342"/>
      <c r="AB852" s="2342"/>
      <c r="AC852" s="2342"/>
      <c r="AD852" s="2342"/>
      <c r="AE852" s="2342"/>
      <c r="AF852" s="2342"/>
      <c r="AG852" s="2342"/>
      <c r="AH852" s="2343"/>
      <c r="AI852" s="6192"/>
    </row>
    <row r="853" ht="16.5" customHeight="1">
      <c r="A853" s="6185"/>
      <c r="B853" s="2345"/>
      <c r="C853" s="2338"/>
      <c r="D853" s="4946"/>
      <c r="E853" s="4947" t="s">
        <v>190</v>
      </c>
      <c r="F853" s="381"/>
      <c r="G853" s="382"/>
      <c r="H853" s="4948" t="s">
        <v>191</v>
      </c>
      <c r="I853" s="4946"/>
      <c r="J853" s="4947" t="s">
        <v>190</v>
      </c>
      <c r="K853" s="381"/>
      <c r="L853" s="382"/>
      <c r="M853" s="4948" t="s">
        <v>191</v>
      </c>
      <c r="N853" s="4946"/>
      <c r="O853" s="2350"/>
      <c r="P853" s="2350"/>
      <c r="Q853" s="2350"/>
      <c r="R853" s="2350"/>
      <c r="S853" s="2350"/>
      <c r="T853" s="2350"/>
      <c r="U853" s="2350"/>
      <c r="V853" s="2350"/>
      <c r="W853" s="2350"/>
      <c r="X853" s="5009"/>
      <c r="Y853" s="2350"/>
      <c r="Z853" s="2350"/>
      <c r="AA853" s="2350"/>
      <c r="AB853" s="2350"/>
      <c r="AC853" s="2350"/>
      <c r="AD853" s="2350"/>
      <c r="AE853" s="2350"/>
      <c r="AF853" s="2350"/>
      <c r="AG853" s="2350"/>
      <c r="AH853" s="2351"/>
      <c r="AI853" s="6192"/>
    </row>
    <row r="854" ht="16.5" customHeight="1">
      <c r="A854" s="6185"/>
      <c r="B854" s="2345"/>
      <c r="C854" s="2338"/>
      <c r="D854" s="4950"/>
      <c r="E854" s="4951" t="s">
        <v>192</v>
      </c>
      <c r="F854" s="4952">
        <f t="array" ref="F854">IFERROR(VLOOKUP(E841,Dex!$B$3:$N1218,8,FALSE),"")</f>
        <v>95</v>
      </c>
      <c r="G854" s="4953" t="str">
        <f t="array" ref="G854">IFERROR(VLOOKUP(F854,Dex!$P$22:$Q$276,2,FALSE),"")</f>
        <v/>
      </c>
      <c r="H854" s="4954">
        <v>252.0</v>
      </c>
      <c r="I854" s="4950"/>
      <c r="J854" s="4951" t="s">
        <v>192</v>
      </c>
      <c r="K854" s="4952">
        <f t="array" ref="K854">IFERROR(VLOOKUP(J841,Dex!$B$3:$N1218,8,FALSE),"")</f>
        <v>45</v>
      </c>
      <c r="L854" s="4953" t="str">
        <f t="array" ref="L854">IFERROR(VLOOKUP(K854,Dex!$P$22:$Q$276,2,FALSE),"")</f>
        <v/>
      </c>
      <c r="M854" s="4954">
        <v>252.0</v>
      </c>
      <c r="N854" s="4950"/>
      <c r="O854" s="2350"/>
      <c r="P854" s="2350"/>
      <c r="Q854" s="2350"/>
      <c r="R854" s="2350"/>
      <c r="S854" s="2350"/>
      <c r="T854" s="2350"/>
      <c r="U854" s="2350"/>
      <c r="V854" s="2350"/>
      <c r="W854" s="2350"/>
      <c r="X854" s="4949"/>
      <c r="Y854" s="2350"/>
      <c r="Z854" s="2350"/>
      <c r="AA854" s="2350"/>
      <c r="AB854" s="2350"/>
      <c r="AC854" s="2350"/>
      <c r="AD854" s="2350"/>
      <c r="AE854" s="2350"/>
      <c r="AF854" s="2350"/>
      <c r="AG854" s="2350"/>
      <c r="AH854" s="2351"/>
      <c r="AI854" s="6192"/>
    </row>
    <row r="855" ht="16.5" customHeight="1">
      <c r="A855" s="6185"/>
      <c r="B855" s="2345"/>
      <c r="C855" s="2338"/>
      <c r="D855" s="4950"/>
      <c r="E855" s="4955" t="s">
        <v>193</v>
      </c>
      <c r="F855" s="4956">
        <f t="array" ref="F855">IFERROR(VLOOKUP(E841,Dex!$B$3:$N1218,9,FALSE),"")</f>
        <v>115</v>
      </c>
      <c r="G855" s="4957" t="str">
        <f t="array" ref="G855">IFERROR(VLOOKUP(F855,Dex!$P$22:$Q$276,2,FALSE),"")</f>
        <v/>
      </c>
      <c r="H855" s="4958">
        <v>252.0</v>
      </c>
      <c r="I855" s="4950"/>
      <c r="J855" s="4955" t="s">
        <v>193</v>
      </c>
      <c r="K855" s="4956">
        <f t="array" ref="K855">IFERROR(VLOOKUP(J841,Dex!$B$3:$N1218,9,FALSE),"")</f>
        <v>100</v>
      </c>
      <c r="L855" s="4957" t="str">
        <f t="array" ref="L855">IFERROR(VLOOKUP(K855,Dex!$P$22:$Q$276,2,FALSE),"")</f>
        <v/>
      </c>
      <c r="M855" s="4958">
        <v>252.0</v>
      </c>
      <c r="N855" s="4950"/>
      <c r="O855" s="2350"/>
      <c r="P855" s="2350"/>
      <c r="Q855" s="2350"/>
      <c r="R855" s="2350"/>
      <c r="S855" s="2350"/>
      <c r="T855" s="2350"/>
      <c r="U855" s="2350"/>
      <c r="V855" s="2350"/>
      <c r="W855" s="2350"/>
      <c r="X855" s="4949"/>
      <c r="Y855" s="2350"/>
      <c r="Z855" s="2350"/>
      <c r="AA855" s="2350"/>
      <c r="AB855" s="2350"/>
      <c r="AC855" s="2350"/>
      <c r="AD855" s="2350"/>
      <c r="AE855" s="2350"/>
      <c r="AF855" s="2350"/>
      <c r="AG855" s="2350"/>
      <c r="AH855" s="2351"/>
      <c r="AI855" s="6192"/>
    </row>
    <row r="856" ht="16.5" customHeight="1">
      <c r="A856" s="6185"/>
      <c r="B856" s="2345"/>
      <c r="C856" s="2338"/>
      <c r="D856" s="4950"/>
      <c r="E856" s="4955" t="s">
        <v>194</v>
      </c>
      <c r="F856" s="4956">
        <f t="array" ref="F856">IFERROR(VLOOKUP(E841,Dex!$B$3:$N1218,10,FALSE),"")</f>
        <v>100</v>
      </c>
      <c r="G856" s="4957" t="str">
        <f t="array" ref="G856">IFERROR(VLOOKUP(F856,Dex!$P$22:$Q$276,2,FALSE),"")</f>
        <v/>
      </c>
      <c r="H856" s="4958">
        <v>4.0</v>
      </c>
      <c r="I856" s="4950"/>
      <c r="J856" s="4955" t="s">
        <v>194</v>
      </c>
      <c r="K856" s="4956">
        <f t="array" ref="K856">IFERROR(VLOOKUP(J841,Dex!$B$3:$N1218,10,FALSE),"")</f>
        <v>135</v>
      </c>
      <c r="L856" s="4957" t="str">
        <f t="array" ref="L856">IFERROR(VLOOKUP(K856,Dex!$P$22:$Q$276,2,FALSE),"")</f>
        <v/>
      </c>
      <c r="M856" s="4958">
        <v>4.0</v>
      </c>
      <c r="N856" s="4950"/>
      <c r="O856" s="2350"/>
      <c r="P856" s="2350"/>
      <c r="Q856" s="2350"/>
      <c r="R856" s="2350"/>
      <c r="S856" s="2350"/>
      <c r="T856" s="2350"/>
      <c r="U856" s="2350"/>
      <c r="V856" s="2350"/>
      <c r="W856" s="2350"/>
      <c r="X856" s="4949"/>
      <c r="Y856" s="2350"/>
      <c r="Z856" s="2350"/>
      <c r="AA856" s="2350"/>
      <c r="AB856" s="2350"/>
      <c r="AC856" s="2350"/>
      <c r="AD856" s="2350"/>
      <c r="AE856" s="2350"/>
      <c r="AF856" s="2350"/>
      <c r="AG856" s="2350"/>
      <c r="AH856" s="2351"/>
      <c r="AI856" s="6192"/>
    </row>
    <row r="857" ht="16.5" customHeight="1">
      <c r="A857" s="6185"/>
      <c r="B857" s="2345"/>
      <c r="C857" s="2338"/>
      <c r="D857" s="4950"/>
      <c r="E857" s="4955" t="s">
        <v>195</v>
      </c>
      <c r="F857" s="4956">
        <f t="array" ref="F857">IFERROR(VLOOKUP(E841,Dex!$B$3:$N1218,11,FALSE),"")</f>
        <v>55</v>
      </c>
      <c r="G857" s="4957" t="str">
        <f t="array" ref="G857">IFERROR(VLOOKUP(F857,Dex!$P$22:$Q$276,2,FALSE),"")</f>
        <v/>
      </c>
      <c r="H857" s="4958"/>
      <c r="I857" s="4950"/>
      <c r="J857" s="4955" t="s">
        <v>195</v>
      </c>
      <c r="K857" s="4956">
        <f t="array" ref="K857">IFERROR(VLOOKUP(J841,Dex!$B$3:$N1218,11,FALSE),"")</f>
        <v>65</v>
      </c>
      <c r="L857" s="4957" t="str">
        <f t="array" ref="L857">IFERROR(VLOOKUP(K857,Dex!$P$22:$Q$276,2,FALSE),"")</f>
        <v/>
      </c>
      <c r="M857" s="4958"/>
      <c r="N857" s="4950"/>
      <c r="O857" s="2350"/>
      <c r="P857" s="2350"/>
      <c r="Q857" s="2350"/>
      <c r="R857" s="2350"/>
      <c r="S857" s="2350"/>
      <c r="T857" s="2350"/>
      <c r="U857" s="2350"/>
      <c r="V857" s="2350"/>
      <c r="W857" s="2350"/>
      <c r="X857" s="4949"/>
      <c r="Y857" s="2350"/>
      <c r="Z857" s="2350"/>
      <c r="AA857" s="2350"/>
      <c r="AB857" s="2350"/>
      <c r="AC857" s="2350"/>
      <c r="AD857" s="2350"/>
      <c r="AE857" s="2350"/>
      <c r="AF857" s="2350"/>
      <c r="AG857" s="2350"/>
      <c r="AH857" s="2351"/>
      <c r="AI857" s="6192"/>
    </row>
    <row r="858" ht="16.5" customHeight="1">
      <c r="A858" s="6185"/>
      <c r="B858" s="2345"/>
      <c r="C858" s="2338"/>
      <c r="D858" s="4950"/>
      <c r="E858" s="4955" t="s">
        <v>196</v>
      </c>
      <c r="F858" s="4956">
        <f t="array" ref="F858">IFERROR(VLOOKUP(E841,Dex!$B$3:$N1218,12,FALSE),"")</f>
        <v>80</v>
      </c>
      <c r="G858" s="4957" t="str">
        <f t="array" ref="G858">IFERROR(VLOOKUP(F858,Dex!$P$22:$Q$276,2,FALSE),"")</f>
        <v/>
      </c>
      <c r="H858" s="4958"/>
      <c r="I858" s="4950"/>
      <c r="J858" s="4955" t="s">
        <v>196</v>
      </c>
      <c r="K858" s="4956">
        <f t="array" ref="K858">IFERROR(VLOOKUP(J841,Dex!$B$3:$N1218,12,FALSE),"")</f>
        <v>135</v>
      </c>
      <c r="L858" s="4957" t="str">
        <f t="array" ref="L858">IFERROR(VLOOKUP(K858,Dex!$P$22:$Q$276,2,FALSE),"")</f>
        <v/>
      </c>
      <c r="M858" s="4958"/>
      <c r="N858" s="4950"/>
      <c r="O858" s="2350"/>
      <c r="P858" s="2350"/>
      <c r="Q858" s="2350"/>
      <c r="R858" s="2350"/>
      <c r="S858" s="2350"/>
      <c r="T858" s="2350"/>
      <c r="U858" s="2350"/>
      <c r="V858" s="2350"/>
      <c r="W858" s="2350"/>
      <c r="X858" s="4949"/>
      <c r="Y858" s="2350"/>
      <c r="Z858" s="2350"/>
      <c r="AA858" s="2350"/>
      <c r="AB858" s="2350"/>
      <c r="AC858" s="2350"/>
      <c r="AD858" s="2350"/>
      <c r="AE858" s="2350"/>
      <c r="AF858" s="2350"/>
      <c r="AG858" s="2350"/>
      <c r="AH858" s="2351"/>
      <c r="AI858" s="6192"/>
    </row>
    <row r="859" ht="16.5" customHeight="1">
      <c r="A859" s="6185"/>
      <c r="B859" s="2345"/>
      <c r="C859" s="2338"/>
      <c r="D859" s="4950"/>
      <c r="E859" s="4959" t="s">
        <v>197</v>
      </c>
      <c r="F859" s="4960">
        <f t="array" ref="F859">IFERROR(VLOOKUP(E841,Dex!$B$3:$N1218,13,FALSE),"")</f>
        <v>85</v>
      </c>
      <c r="G859" s="4961" t="str">
        <f t="array" ref="G859">IFERROR(VLOOKUP(F859,Dex!$P$22:$Q$276,2,FALSE),"")</f>
        <v/>
      </c>
      <c r="H859" s="4962"/>
      <c r="I859" s="4950"/>
      <c r="J859" s="4959" t="s">
        <v>197</v>
      </c>
      <c r="K859" s="4960">
        <f t="array" ref="K859">IFERROR(VLOOKUP(J841,Dex!$B$3:$N1218,13,FALSE),"")</f>
        <v>45</v>
      </c>
      <c r="L859" s="4961" t="str">
        <f t="array" ref="L859">IFERROR(VLOOKUP(K859,Dex!$P$22:$Q$276,2,FALSE),"")</f>
        <v/>
      </c>
      <c r="M859" s="4962"/>
      <c r="N859" s="4950"/>
      <c r="O859" s="2350"/>
      <c r="P859" s="2350"/>
      <c r="Q859" s="2350"/>
      <c r="R859" s="2350"/>
      <c r="S859" s="2350"/>
      <c r="T859" s="2350"/>
      <c r="U859" s="2350"/>
      <c r="V859" s="2350"/>
      <c r="W859" s="2350"/>
      <c r="X859" s="4949"/>
      <c r="Y859" s="2350"/>
      <c r="Z859" s="2350"/>
      <c r="AA859" s="2350"/>
      <c r="AB859" s="2350"/>
      <c r="AC859" s="2350"/>
      <c r="AD859" s="2350"/>
      <c r="AE859" s="2350"/>
      <c r="AF859" s="2350"/>
      <c r="AG859" s="2350"/>
      <c r="AH859" s="2351"/>
      <c r="AI859" s="6192"/>
    </row>
    <row r="860" ht="16.5" customHeight="1">
      <c r="A860" s="6185"/>
      <c r="B860" s="2345"/>
      <c r="C860" s="2338"/>
      <c r="D860" s="4946"/>
      <c r="E860" s="4963" t="s">
        <v>198</v>
      </c>
      <c r="F860" s="405"/>
      <c r="G860" s="406"/>
      <c r="H860" s="4964">
        <v>223.0</v>
      </c>
      <c r="I860" s="4946"/>
      <c r="J860" s="4963" t="s">
        <v>198</v>
      </c>
      <c r="K860" s="405"/>
      <c r="L860" s="406"/>
      <c r="M860" s="4964">
        <v>126.0</v>
      </c>
      <c r="N860" s="4946"/>
      <c r="O860" s="2350"/>
      <c r="P860" s="2350"/>
      <c r="Q860" s="2350"/>
      <c r="R860" s="2350"/>
      <c r="S860" s="2350"/>
      <c r="T860" s="2350"/>
      <c r="U860" s="2350"/>
      <c r="V860" s="2350"/>
      <c r="W860" s="2350"/>
      <c r="X860" s="5009"/>
      <c r="Y860" s="2350"/>
      <c r="Z860" s="2350"/>
      <c r="AA860" s="2350"/>
      <c r="AB860" s="2350"/>
      <c r="AC860" s="2350"/>
      <c r="AD860" s="2350"/>
      <c r="AE860" s="2350"/>
      <c r="AF860" s="2350"/>
      <c r="AG860" s="2350"/>
      <c r="AH860" s="2351"/>
      <c r="AI860" s="6192"/>
    </row>
    <row r="861" ht="15.0" customHeight="1">
      <c r="A861" s="6185"/>
      <c r="B861" s="2385"/>
      <c r="C861" s="2386"/>
      <c r="D861" s="4971"/>
      <c r="E861" s="4972"/>
      <c r="F861" s="4972"/>
      <c r="G861" s="4972"/>
      <c r="H861" s="4972"/>
      <c r="I861" s="4971"/>
      <c r="J861" s="4972"/>
      <c r="K861" s="4972"/>
      <c r="L861" s="4972"/>
      <c r="M861" s="4972"/>
      <c r="N861" s="4971"/>
      <c r="O861" s="4972"/>
      <c r="P861" s="4972"/>
      <c r="Q861" s="4972"/>
      <c r="R861" s="4972"/>
      <c r="S861" s="4971"/>
      <c r="T861" s="4972"/>
      <c r="U861" s="4972"/>
      <c r="V861" s="4972"/>
      <c r="W861" s="4972"/>
      <c r="X861" s="2387"/>
      <c r="Y861" s="2387"/>
      <c r="Z861" s="2387"/>
      <c r="AA861" s="2387"/>
      <c r="AB861" s="2387"/>
      <c r="AC861" s="2387"/>
      <c r="AD861" s="2387"/>
      <c r="AE861" s="2387"/>
      <c r="AF861" s="2387"/>
      <c r="AG861" s="2387"/>
      <c r="AH861" s="2389"/>
      <c r="AI861" s="6192"/>
    </row>
    <row r="862" ht="15.0" customHeight="1">
      <c r="A862" s="6185"/>
      <c r="B862" s="4925"/>
      <c r="C862" s="4926"/>
      <c r="D862" s="4926"/>
      <c r="E862" s="6884"/>
      <c r="F862" s="6884"/>
      <c r="G862" s="6884"/>
      <c r="H862" s="6884"/>
      <c r="I862" s="4926"/>
      <c r="J862" s="6884"/>
      <c r="K862" s="6884"/>
      <c r="L862" s="6884"/>
      <c r="M862" s="6884"/>
      <c r="N862" s="4926"/>
      <c r="O862" s="4926"/>
      <c r="P862" s="4926"/>
      <c r="Q862" s="4926"/>
      <c r="R862" s="4926"/>
      <c r="S862" s="4926"/>
      <c r="T862" s="4926"/>
      <c r="U862" s="4926"/>
      <c r="V862" s="4926"/>
      <c r="W862" s="4926"/>
      <c r="X862" s="4926"/>
      <c r="Y862" s="4926"/>
      <c r="Z862" s="4926"/>
      <c r="AA862" s="4926"/>
      <c r="AB862" s="4926"/>
      <c r="AC862" s="4926"/>
      <c r="AD862" s="4926"/>
      <c r="AE862" s="4926"/>
      <c r="AF862" s="4926"/>
      <c r="AG862" s="4926"/>
      <c r="AH862" s="4927"/>
      <c r="AI862" s="6192"/>
    </row>
    <row r="863">
      <c r="A863" s="6185"/>
      <c r="B863" s="2268"/>
      <c r="C863" s="4928"/>
      <c r="D863" s="2287"/>
      <c r="E863" s="4929" t="s">
        <v>1759</v>
      </c>
      <c r="F863" s="2324"/>
      <c r="G863" s="2324"/>
      <c r="H863" s="2324"/>
      <c r="I863" s="2324"/>
      <c r="J863" s="2324"/>
      <c r="K863" s="2324"/>
      <c r="L863" s="2324"/>
      <c r="M863" s="2324"/>
      <c r="N863" s="2324"/>
      <c r="O863" s="2324"/>
      <c r="P863" s="2324"/>
      <c r="Q863" s="2324"/>
      <c r="R863" s="2324"/>
      <c r="S863" s="2324"/>
      <c r="T863" s="2324"/>
      <c r="U863" s="2324"/>
      <c r="V863" s="2324"/>
      <c r="W863" s="2324"/>
      <c r="X863" s="2324"/>
      <c r="Y863" s="2324"/>
      <c r="Z863" s="2324"/>
      <c r="AA863" s="2324"/>
      <c r="AB863" s="2324"/>
      <c r="AC863" s="2324"/>
      <c r="AD863" s="2324"/>
      <c r="AE863" s="2324"/>
      <c r="AF863" s="2324"/>
      <c r="AG863" s="4930"/>
      <c r="AH863" s="4931"/>
      <c r="AI863" s="6192"/>
    </row>
    <row r="864" ht="96.75" customHeight="1">
      <c r="A864" s="6185"/>
      <c r="B864" s="2300"/>
      <c r="C864" s="4932" t="str">
        <f>IMAGE("https://i.ibb.co/qsQbp4Z/Biker.png")</f>
        <v/>
      </c>
      <c r="D864" s="2492"/>
      <c r="E864" s="4933" t="str">
        <f t="array" ref="E864">IFERROR(VLOOKUP(E865,Dex!$B$3:$G1218,3,FALSE),"")</f>
        <v/>
      </c>
      <c r="F864" s="1830"/>
      <c r="G864" s="1830"/>
      <c r="H864" s="1831"/>
      <c r="I864" s="2492"/>
      <c r="J864" s="4933" t="str">
        <f t="array" ref="J864">IFERROR(VLOOKUP(J865,Dex!$B$3:$G1218,3,FALSE),"")</f>
        <v/>
      </c>
      <c r="K864" s="1830"/>
      <c r="L864" s="1830"/>
      <c r="M864" s="1831"/>
      <c r="N864" s="2492"/>
      <c r="O864" s="4933" t="str">
        <f t="array" ref="O864">IFERROR(VLOOKUP(O865,Dex!$B$3:$G1218,3,FALSE),"")</f>
        <v/>
      </c>
      <c r="P864" s="1830"/>
      <c r="Q864" s="1830"/>
      <c r="R864" s="1831"/>
      <c r="S864" s="2492"/>
      <c r="T864" s="2270"/>
      <c r="U864" s="2273"/>
      <c r="V864" s="2273"/>
      <c r="W864" s="2274"/>
      <c r="X864" s="5007"/>
      <c r="Y864" s="2270"/>
      <c r="Z864" s="2273"/>
      <c r="AA864" s="2273"/>
      <c r="AB864" s="2274"/>
      <c r="AC864" s="2493"/>
      <c r="AD864" s="2270"/>
      <c r="AE864" s="2273"/>
      <c r="AF864" s="2273"/>
      <c r="AG864" s="2274"/>
      <c r="AH864" s="2276"/>
      <c r="AI864" s="6192"/>
    </row>
    <row r="865" ht="18.75" customHeight="1">
      <c r="A865" s="6185"/>
      <c r="B865" s="2358"/>
      <c r="C865" s="4934" t="s">
        <v>1760</v>
      </c>
      <c r="E865" s="2292" t="s">
        <v>1751</v>
      </c>
      <c r="F865" s="2293"/>
      <c r="G865" s="2293"/>
      <c r="H865" s="2294"/>
      <c r="J865" s="2292" t="s">
        <v>777</v>
      </c>
      <c r="K865" s="2293"/>
      <c r="L865" s="2293"/>
      <c r="M865" s="2294"/>
      <c r="O865" s="2292" t="s">
        <v>528</v>
      </c>
      <c r="P865" s="2293"/>
      <c r="Q865" s="2293"/>
      <c r="R865" s="2294"/>
      <c r="T865" s="2297"/>
      <c r="U865" s="2273"/>
      <c r="V865" s="2273"/>
      <c r="W865" s="2274"/>
      <c r="Y865" s="2297"/>
      <c r="Z865" s="2273"/>
      <c r="AA865" s="2273"/>
      <c r="AB865" s="2274"/>
      <c r="AC865" s="2495"/>
      <c r="AD865" s="2297"/>
      <c r="AE865" s="2273"/>
      <c r="AF865" s="2273"/>
      <c r="AG865" s="2274"/>
      <c r="AH865" s="2298"/>
      <c r="AI865" s="6192"/>
    </row>
    <row r="866">
      <c r="A866" s="6185"/>
      <c r="B866" s="4935"/>
      <c r="C866" s="1489"/>
      <c r="E866" s="2496" t="s">
        <v>420</v>
      </c>
      <c r="F866" s="2303"/>
      <c r="G866" s="2303"/>
      <c r="H866" s="2304"/>
      <c r="J866" s="2496" t="s">
        <v>1502</v>
      </c>
      <c r="K866" s="2303"/>
      <c r="L866" s="2303"/>
      <c r="M866" s="2304"/>
      <c r="O866" s="2496" t="s">
        <v>420</v>
      </c>
      <c r="P866" s="2303"/>
      <c r="Q866" s="2303"/>
      <c r="R866" s="2304"/>
      <c r="T866" s="2704"/>
      <c r="U866" s="2273"/>
      <c r="V866" s="2273"/>
      <c r="W866" s="2274"/>
      <c r="Y866" s="2704"/>
      <c r="Z866" s="2273"/>
      <c r="AA866" s="2273"/>
      <c r="AB866" s="2274"/>
      <c r="AC866" s="2495"/>
      <c r="AD866" s="2704"/>
      <c r="AE866" s="2273"/>
      <c r="AF866" s="2273"/>
      <c r="AG866" s="2274"/>
      <c r="AH866" s="4936"/>
      <c r="AI866" s="6192"/>
    </row>
    <row r="867" ht="25.5" customHeight="1">
      <c r="A867" s="6185"/>
      <c r="B867" s="2300"/>
      <c r="C867" s="3357"/>
      <c r="E867" s="2307"/>
      <c r="F867" s="2308" t="str">
        <f t="array" ref="F867">IFERROR(VLOOKUP(E865,Dex!$B$3:$H1218,5,FALSE),"")</f>
        <v/>
      </c>
      <c r="G867" s="2309" t="str">
        <f t="array" ref="G867">IFERROR(VLOOKUP(E865,Dex!$B$3:$H1218,7,FALSE),"")</f>
        <v/>
      </c>
      <c r="H867" s="2310"/>
      <c r="J867" s="2307"/>
      <c r="K867" s="2308" t="str">
        <f t="array" ref="K867">IFERROR(VLOOKUP(J865,Dex!$B$3:$H1218,5,FALSE),"")</f>
        <v/>
      </c>
      <c r="L867" s="2309" t="str">
        <f t="array" ref="L867">IFERROR(VLOOKUP(J865,Dex!$B$3:$H1218,7,FALSE),"")</f>
        <v/>
      </c>
      <c r="M867" s="2310"/>
      <c r="O867" s="2307"/>
      <c r="P867" s="2308" t="str">
        <f t="array" ref="P867">IFERROR(VLOOKUP(O865,Dex!$B$3:$H1218,5,FALSE),"")</f>
        <v/>
      </c>
      <c r="Q867" s="2309" t="str">
        <f t="array" ref="Q867">IFERROR(VLOOKUP(O865,Dex!$B$3:$H1218,7,FALSE),"")</f>
        <v/>
      </c>
      <c r="R867" s="2310"/>
      <c r="T867" s="2270"/>
      <c r="U867" s="2273"/>
      <c r="V867" s="2273"/>
      <c r="W867" s="2274"/>
      <c r="Y867" s="2270"/>
      <c r="Z867" s="2273"/>
      <c r="AA867" s="2273"/>
      <c r="AB867" s="2274"/>
      <c r="AC867" s="2495"/>
      <c r="AD867" s="2270"/>
      <c r="AE867" s="2273"/>
      <c r="AF867" s="2273"/>
      <c r="AG867" s="2274"/>
      <c r="AH867" s="2276"/>
      <c r="AI867" s="6192"/>
    </row>
    <row r="868" ht="2.25" customHeight="1">
      <c r="A868" s="6185"/>
      <c r="B868" s="2300"/>
      <c r="C868" s="2338"/>
      <c r="E868" s="2313"/>
      <c r="F868" s="2314"/>
      <c r="G868" s="2314"/>
      <c r="H868" s="2315"/>
      <c r="J868" s="2313"/>
      <c r="K868" s="2314"/>
      <c r="L868" s="2314"/>
      <c r="M868" s="2315"/>
      <c r="O868" s="2313"/>
      <c r="P868" s="2314"/>
      <c r="Q868" s="2314"/>
      <c r="R868" s="2315"/>
      <c r="T868" s="2316"/>
      <c r="U868" s="2316"/>
      <c r="V868" s="2316"/>
      <c r="W868" s="2316"/>
      <c r="Y868" s="2316"/>
      <c r="Z868" s="2316"/>
      <c r="AA868" s="2316"/>
      <c r="AB868" s="2316"/>
      <c r="AC868" s="2495"/>
      <c r="AD868" s="2316"/>
      <c r="AE868" s="2316"/>
      <c r="AF868" s="2316"/>
      <c r="AG868" s="2316"/>
      <c r="AH868" s="2276"/>
      <c r="AI868" s="6192"/>
    </row>
    <row r="869" ht="20.25" customHeight="1">
      <c r="A869" s="6185"/>
      <c r="B869" s="2268"/>
      <c r="C869" s="4937"/>
      <c r="E869" s="2317" t="s">
        <v>531</v>
      </c>
      <c r="F869" s="2318"/>
      <c r="G869" s="2318"/>
      <c r="H869" s="2319"/>
      <c r="J869" s="2317" t="s">
        <v>172</v>
      </c>
      <c r="K869" s="2318"/>
      <c r="L869" s="2318"/>
      <c r="M869" s="2319"/>
      <c r="O869" s="2317" t="s">
        <v>172</v>
      </c>
      <c r="P869" s="2318"/>
      <c r="Q869" s="2318"/>
      <c r="R869" s="2319"/>
      <c r="T869" s="2270"/>
      <c r="U869" s="2273"/>
      <c r="V869" s="2273"/>
      <c r="W869" s="2274"/>
      <c r="Y869" s="2270"/>
      <c r="Z869" s="2273"/>
      <c r="AA869" s="2273"/>
      <c r="AB869" s="2274"/>
      <c r="AC869" s="2495"/>
      <c r="AD869" s="2270"/>
      <c r="AE869" s="2273"/>
      <c r="AF869" s="2273"/>
      <c r="AG869" s="2274"/>
      <c r="AH869" s="2276"/>
      <c r="AI869" s="6192"/>
    </row>
    <row r="870" ht="20.25" customHeight="1">
      <c r="A870" s="6185"/>
      <c r="B870" s="2268"/>
      <c r="C870" s="2269"/>
      <c r="E870" s="2321" t="s">
        <v>1002</v>
      </c>
      <c r="F870" s="2273"/>
      <c r="G870" s="2273"/>
      <c r="H870" s="2322"/>
      <c r="J870" s="2321" t="s">
        <v>518</v>
      </c>
      <c r="K870" s="2273"/>
      <c r="L870" s="2273"/>
      <c r="M870" s="2322"/>
      <c r="O870" s="2321" t="s">
        <v>208</v>
      </c>
      <c r="P870" s="2273"/>
      <c r="Q870" s="2273"/>
      <c r="R870" s="2322"/>
      <c r="T870" s="2270"/>
      <c r="U870" s="2273"/>
      <c r="V870" s="2273"/>
      <c r="W870" s="2274"/>
      <c r="Y870" s="2270"/>
      <c r="Z870" s="2273"/>
      <c r="AA870" s="2273"/>
      <c r="AB870" s="2274"/>
      <c r="AC870" s="2495"/>
      <c r="AD870" s="2270"/>
      <c r="AE870" s="2273"/>
      <c r="AF870" s="2273"/>
      <c r="AG870" s="2274"/>
      <c r="AH870" s="2276"/>
      <c r="AI870" s="6192"/>
    </row>
    <row r="871" ht="20.25" customHeight="1">
      <c r="A871" s="6185"/>
      <c r="B871" s="2268"/>
      <c r="C871" s="2269"/>
      <c r="E871" s="2323" t="s">
        <v>1107</v>
      </c>
      <c r="F871" s="2324"/>
      <c r="G871" s="4930"/>
      <c r="H871" s="4938" t="str">
        <f>IMAGE("https://raw.githubusercontent.com/msikma/pokesprite/master/items/hold-item/light-clay.png",3)</f>
        <v/>
      </c>
      <c r="J871" s="2323" t="s">
        <v>1761</v>
      </c>
      <c r="K871" s="2324"/>
      <c r="L871" s="4930"/>
      <c r="M871" s="4938" t="str">
        <f>IMAGE("https://raw.githubusercontent.com/msikma/pokesprite/master/items/z-crystals/groundium-z--held.png",3)</f>
        <v/>
      </c>
      <c r="O871" s="2323" t="s">
        <v>1762</v>
      </c>
      <c r="P871" s="2324"/>
      <c r="Q871" s="4930"/>
      <c r="R871" s="4938" t="str">
        <f>IMAGE("https://raw.githubusercontent.com/msikma/pokesprite/master/items/gem/rock.png",3)</f>
        <v/>
      </c>
      <c r="T871" s="2270"/>
      <c r="U871" s="2273"/>
      <c r="V871" s="2273"/>
      <c r="W871" s="2274"/>
      <c r="Y871" s="2270"/>
      <c r="Z871" s="2273"/>
      <c r="AA871" s="2273"/>
      <c r="AB871" s="2274"/>
      <c r="AC871" s="2495"/>
      <c r="AD871" s="2270"/>
      <c r="AE871" s="2273"/>
      <c r="AF871" s="2273"/>
      <c r="AG871" s="2274"/>
      <c r="AH871" s="2276"/>
      <c r="AI871" s="6192"/>
    </row>
    <row r="872" ht="20.25" customHeight="1">
      <c r="A872" s="6185"/>
      <c r="B872" s="2268"/>
      <c r="C872" s="2338"/>
      <c r="E872" s="2317" t="s">
        <v>1073</v>
      </c>
      <c r="F872" s="2318"/>
      <c r="G872" s="2327"/>
      <c r="H872" s="4939" t="str">
        <f t="shared" ref="H872:H873" si="35">IMAGE("https://raw.githubusercontent.com/msikma/pokesprite/master/misc/types/gen8/psychic.png",4,20,20)</f>
        <v/>
      </c>
      <c r="J872" s="2317" t="s">
        <v>1163</v>
      </c>
      <c r="K872" s="2318"/>
      <c r="L872" s="2327"/>
      <c r="M872" s="4939" t="str">
        <f>IMAGE("https://raw.githubusercontent.com/msikma/pokesprite/master/misc/types/gen8/ground.png",4,20,20)</f>
        <v/>
      </c>
      <c r="O872" s="2317" t="s">
        <v>1125</v>
      </c>
      <c r="P872" s="2318"/>
      <c r="Q872" s="2327"/>
      <c r="R872" s="4939" t="str">
        <f>IMAGE("https://raw.githubusercontent.com/msikma/pokesprite/master/misc/types/gen8/rock.png",4,20,20)</f>
        <v/>
      </c>
      <c r="T872" s="2270"/>
      <c r="U872" s="2273"/>
      <c r="V872" s="2273"/>
      <c r="W872" s="2274"/>
      <c r="Y872" s="2270"/>
      <c r="Z872" s="2273"/>
      <c r="AA872" s="2273"/>
      <c r="AB872" s="2274"/>
      <c r="AC872" s="2495"/>
      <c r="AD872" s="2270"/>
      <c r="AE872" s="2273"/>
      <c r="AF872" s="2273"/>
      <c r="AG872" s="2274"/>
      <c r="AH872" s="2276"/>
      <c r="AI872" s="6192"/>
    </row>
    <row r="873" ht="20.25" customHeight="1">
      <c r="A873" s="6185"/>
      <c r="B873" s="2268"/>
      <c r="C873" s="2338"/>
      <c r="E873" s="2321" t="s">
        <v>1756</v>
      </c>
      <c r="F873" s="2273"/>
      <c r="G873" s="2274"/>
      <c r="H873" s="4940" t="str">
        <f t="shared" si="35"/>
        <v/>
      </c>
      <c r="J873" s="2321" t="s">
        <v>1588</v>
      </c>
      <c r="K873" s="2273"/>
      <c r="L873" s="2274"/>
      <c r="M873" s="4940" t="str">
        <f>IMAGE("https://raw.githubusercontent.com/msikma/pokesprite/master/misc/types/gen8/dragon.png",4,20,20)</f>
        <v/>
      </c>
      <c r="O873" s="2321" t="s">
        <v>278</v>
      </c>
      <c r="P873" s="2273"/>
      <c r="Q873" s="2274"/>
      <c r="R873" s="4940" t="str">
        <f>IMAGE("https://raw.githubusercontent.com/msikma/pokesprite/master/misc/types/gen8/bug.png",4,20,20)</f>
        <v/>
      </c>
      <c r="T873" s="2270"/>
      <c r="U873" s="2273"/>
      <c r="V873" s="2273"/>
      <c r="W873" s="2274"/>
      <c r="Y873" s="2270"/>
      <c r="Z873" s="2273"/>
      <c r="AA873" s="2273"/>
      <c r="AB873" s="2274"/>
      <c r="AC873" s="2495"/>
      <c r="AD873" s="2270"/>
      <c r="AE873" s="2273"/>
      <c r="AF873" s="2273"/>
      <c r="AG873" s="2274"/>
      <c r="AH873" s="2276"/>
      <c r="AI873" s="6192"/>
    </row>
    <row r="874" ht="20.25" customHeight="1">
      <c r="A874" s="6185"/>
      <c r="B874" s="2268"/>
      <c r="C874" s="2338"/>
      <c r="E874" s="2321" t="s">
        <v>252</v>
      </c>
      <c r="F874" s="2273"/>
      <c r="G874" s="2274"/>
      <c r="H874" s="4940" t="str">
        <f>IMAGE("https://raw.githubusercontent.com/msikma/pokesprite/master/misc/types/gen8/electric.png",4,20,20)</f>
        <v/>
      </c>
      <c r="J874" s="2321" t="s">
        <v>278</v>
      </c>
      <c r="K874" s="2273"/>
      <c r="L874" s="2274"/>
      <c r="M874" s="4940" t="str">
        <f>IMAGE("https://raw.githubusercontent.com/msikma/pokesprite/master/misc/types/gen8/bug.png",4,20,20)</f>
        <v/>
      </c>
      <c r="O874" s="2321" t="s">
        <v>316</v>
      </c>
      <c r="P874" s="2273"/>
      <c r="Q874" s="2274"/>
      <c r="R874" s="4940" t="str">
        <f>IMAGE("https://raw.githubusercontent.com/msikma/pokesprite/master/misc/types/gen8/fighting.png",4,20,20)</f>
        <v/>
      </c>
      <c r="T874" s="2270"/>
      <c r="U874" s="2273"/>
      <c r="V874" s="2273"/>
      <c r="W874" s="2274"/>
      <c r="Y874" s="2270"/>
      <c r="Z874" s="2273"/>
      <c r="AA874" s="2273"/>
      <c r="AB874" s="2274"/>
      <c r="AC874" s="2495"/>
      <c r="AD874" s="2270"/>
      <c r="AE874" s="2273"/>
      <c r="AF874" s="2273"/>
      <c r="AG874" s="2274"/>
      <c r="AH874" s="2276"/>
      <c r="AI874" s="6192"/>
    </row>
    <row r="875" ht="21.0" customHeight="1">
      <c r="A875" s="6185"/>
      <c r="B875" s="2268"/>
      <c r="C875" s="2338"/>
      <c r="D875" s="2497"/>
      <c r="E875" s="2330" t="s">
        <v>342</v>
      </c>
      <c r="F875" s="2331"/>
      <c r="G875" s="2332"/>
      <c r="H875" s="4941" t="str">
        <f>IMAGE("https://raw.githubusercontent.com/msikma/pokesprite/master/misc/types/gen8/fairy.png",4,20,20)</f>
        <v/>
      </c>
      <c r="I875" s="2497"/>
      <c r="J875" s="2330" t="s">
        <v>403</v>
      </c>
      <c r="K875" s="2331"/>
      <c r="L875" s="2332"/>
      <c r="M875" s="4941" t="str">
        <f>IMAGE("https://raw.githubusercontent.com/msikma/pokesprite/master/misc/types/gen8/fire.png",4,20,20)</f>
        <v/>
      </c>
      <c r="N875" s="2497"/>
      <c r="O875" s="2330" t="s">
        <v>399</v>
      </c>
      <c r="P875" s="2331"/>
      <c r="Q875" s="2332"/>
      <c r="R875" s="4941" t="str">
        <f>IMAGE("https://raw.githubusercontent.com/msikma/pokesprite/master/misc/types/gen8/rock.png",4,20,20)</f>
        <v/>
      </c>
      <c r="S875" s="2497"/>
      <c r="T875" s="2270"/>
      <c r="U875" s="2273"/>
      <c r="V875" s="2273"/>
      <c r="W875" s="2274"/>
      <c r="X875" s="2497"/>
      <c r="Y875" s="2270"/>
      <c r="Z875" s="2273"/>
      <c r="AA875" s="2273"/>
      <c r="AB875" s="2274"/>
      <c r="AC875" s="2498"/>
      <c r="AD875" s="2270"/>
      <c r="AE875" s="2273"/>
      <c r="AF875" s="2273"/>
      <c r="AG875" s="2274"/>
      <c r="AH875" s="2276"/>
      <c r="AI875" s="6192"/>
    </row>
    <row r="876" ht="3.0" customHeight="1">
      <c r="A876" s="6185"/>
      <c r="B876" s="2337"/>
      <c r="C876" s="2338"/>
      <c r="D876" s="2339"/>
      <c r="E876" s="4942"/>
      <c r="F876" s="4942"/>
      <c r="G876" s="4942"/>
      <c r="H876" s="4943"/>
      <c r="I876" s="2339"/>
      <c r="J876" s="4944"/>
      <c r="K876" s="4944"/>
      <c r="L876" s="4944"/>
      <c r="M876" s="4943"/>
      <c r="N876" s="2339"/>
      <c r="O876" s="4944"/>
      <c r="P876" s="4944"/>
      <c r="Q876" s="4944"/>
      <c r="R876" s="4943"/>
      <c r="S876" s="2339"/>
      <c r="T876" s="2342"/>
      <c r="U876" s="2342"/>
      <c r="V876" s="2342"/>
      <c r="W876" s="2342"/>
      <c r="X876" s="2339"/>
      <c r="Y876" s="2342"/>
      <c r="Z876" s="2342"/>
      <c r="AA876" s="2342"/>
      <c r="AB876" s="2342"/>
      <c r="AC876" s="2342"/>
      <c r="AD876" s="2342"/>
      <c r="AE876" s="2342"/>
      <c r="AF876" s="2342"/>
      <c r="AG876" s="2342"/>
      <c r="AH876" s="2343"/>
      <c r="AI876" s="6192"/>
    </row>
    <row r="877" ht="16.5" customHeight="1">
      <c r="A877" s="6185"/>
      <c r="B877" s="2345"/>
      <c r="C877" s="2338"/>
      <c r="D877" s="4946"/>
      <c r="E877" s="4947" t="s">
        <v>190</v>
      </c>
      <c r="F877" s="381"/>
      <c r="G877" s="382"/>
      <c r="H877" s="4948" t="s">
        <v>191</v>
      </c>
      <c r="I877" s="4946"/>
      <c r="J877" s="4947" t="s">
        <v>190</v>
      </c>
      <c r="K877" s="381"/>
      <c r="L877" s="382"/>
      <c r="M877" s="4948" t="s">
        <v>191</v>
      </c>
      <c r="N877" s="4946"/>
      <c r="O877" s="4947" t="s">
        <v>190</v>
      </c>
      <c r="P877" s="381"/>
      <c r="Q877" s="382"/>
      <c r="R877" s="4948" t="s">
        <v>191</v>
      </c>
      <c r="S877" s="2350"/>
      <c r="T877" s="2350"/>
      <c r="U877" s="2350"/>
      <c r="V877" s="2350"/>
      <c r="W877" s="2350"/>
      <c r="X877" s="5009"/>
      <c r="Y877" s="2350"/>
      <c r="Z877" s="2350"/>
      <c r="AA877" s="2350"/>
      <c r="AB877" s="2350"/>
      <c r="AC877" s="2350"/>
      <c r="AD877" s="2350"/>
      <c r="AE877" s="2350"/>
      <c r="AF877" s="2350"/>
      <c r="AG877" s="2350"/>
      <c r="AH877" s="2351"/>
      <c r="AI877" s="6192"/>
    </row>
    <row r="878" ht="16.5" customHeight="1">
      <c r="A878" s="6185"/>
      <c r="B878" s="2345"/>
      <c r="C878" s="2338"/>
      <c r="D878" s="4950"/>
      <c r="E878" s="4951" t="s">
        <v>192</v>
      </c>
      <c r="F878" s="4952">
        <f t="array" ref="F878">IFERROR(VLOOKUP(E865,Dex!$B$3:$N1218,8,FALSE),"")</f>
        <v>95</v>
      </c>
      <c r="G878" s="4953" t="str">
        <f t="array" ref="G878">IFERROR(VLOOKUP(F878,Dex!$P$22:$Q$276,2,FALSE),"")</f>
        <v/>
      </c>
      <c r="H878" s="4954">
        <v>252.0</v>
      </c>
      <c r="I878" s="4950"/>
      <c r="J878" s="4951" t="s">
        <v>192</v>
      </c>
      <c r="K878" s="4952">
        <f t="array" ref="K878">IFERROR(VLOOKUP(J865,Dex!$B$3:$N1218,8,FALSE),"")</f>
        <v>100</v>
      </c>
      <c r="L878" s="4953" t="str">
        <f t="array" ref="L878">IFERROR(VLOOKUP(K878,Dex!$P$22:$Q$276,2,FALSE),"")</f>
        <v/>
      </c>
      <c r="M878" s="4954"/>
      <c r="N878" s="4950"/>
      <c r="O878" s="4951" t="s">
        <v>192</v>
      </c>
      <c r="P878" s="4952">
        <f t="array" ref="P878">IFERROR(VLOOKUP(O865,Dex!$B$3:$N1218,8,FALSE),"")</f>
        <v>85</v>
      </c>
      <c r="Q878" s="4953" t="str">
        <f t="array" ref="Q878">IFERROR(VLOOKUP(P878,Dex!$P$22:$Q$276,2,FALSE),"")</f>
        <v/>
      </c>
      <c r="R878" s="4954"/>
      <c r="S878" s="2350"/>
      <c r="T878" s="2350"/>
      <c r="U878" s="2350"/>
      <c r="V878" s="2350"/>
      <c r="W878" s="2350"/>
      <c r="X878" s="4949"/>
      <c r="Y878" s="2350"/>
      <c r="Z878" s="2350"/>
      <c r="AA878" s="2350"/>
      <c r="AB878" s="2350"/>
      <c r="AC878" s="2350"/>
      <c r="AD878" s="2350"/>
      <c r="AE878" s="2350"/>
      <c r="AF878" s="2350"/>
      <c r="AG878" s="2350"/>
      <c r="AH878" s="2351"/>
      <c r="AI878" s="6192"/>
    </row>
    <row r="879" ht="16.5" customHeight="1">
      <c r="A879" s="6185"/>
      <c r="B879" s="2345"/>
      <c r="C879" s="2338"/>
      <c r="D879" s="4950"/>
      <c r="E879" s="4955" t="s">
        <v>193</v>
      </c>
      <c r="F879" s="4956">
        <f t="array" ref="F879">IFERROR(VLOOKUP(E865,Dex!$B$3:$N1218,9,FALSE),"")</f>
        <v>120</v>
      </c>
      <c r="G879" s="4957" t="str">
        <f t="array" ref="G879">IFERROR(VLOOKUP(F879,Dex!$P$22:$Q$276,2,FALSE),"")</f>
        <v/>
      </c>
      <c r="H879" s="4958"/>
      <c r="I879" s="4950"/>
      <c r="J879" s="4955" t="s">
        <v>193</v>
      </c>
      <c r="K879" s="4956">
        <f t="array" ref="K879">IFERROR(VLOOKUP(J865,Dex!$B$3:$N1218,9,FALSE),"")</f>
        <v>100</v>
      </c>
      <c r="L879" s="4957" t="str">
        <f t="array" ref="L879">IFERROR(VLOOKUP(K879,Dex!$P$22:$Q$276,2,FALSE),"")</f>
        <v/>
      </c>
      <c r="M879" s="4958">
        <v>252.0</v>
      </c>
      <c r="N879" s="4950"/>
      <c r="O879" s="4955" t="s">
        <v>193</v>
      </c>
      <c r="P879" s="4956">
        <f t="array" ref="P879">IFERROR(VLOOKUP(O865,Dex!$B$3:$N1218,9,FALSE),"")</f>
        <v>135</v>
      </c>
      <c r="Q879" s="4957" t="str">
        <f t="array" ref="Q879">IFERROR(VLOOKUP(P879,Dex!$P$22:$Q$276,2,FALSE),"")</f>
        <v/>
      </c>
      <c r="R879" s="4958">
        <v>252.0</v>
      </c>
      <c r="S879" s="2350"/>
      <c r="T879" s="2350"/>
      <c r="U879" s="2350"/>
      <c r="V879" s="2350"/>
      <c r="W879" s="2350"/>
      <c r="X879" s="4949"/>
      <c r="Y879" s="2350"/>
      <c r="Z879" s="2350"/>
      <c r="AA879" s="2350"/>
      <c r="AB879" s="2350"/>
      <c r="AC879" s="2350"/>
      <c r="AD879" s="2350"/>
      <c r="AE879" s="2350"/>
      <c r="AF879" s="2350"/>
      <c r="AG879" s="2350"/>
      <c r="AH879" s="2351"/>
      <c r="AI879" s="6192"/>
    </row>
    <row r="880" ht="16.5" customHeight="1">
      <c r="A880" s="6185"/>
      <c r="B880" s="2345"/>
      <c r="C880" s="2338"/>
      <c r="D880" s="4950"/>
      <c r="E880" s="4955" t="s">
        <v>194</v>
      </c>
      <c r="F880" s="4956">
        <f t="array" ref="F880">IFERROR(VLOOKUP(E865,Dex!$B$3:$N1218,10,FALSE),"")</f>
        <v>65</v>
      </c>
      <c r="G880" s="4957" t="str">
        <f t="array" ref="G880">IFERROR(VLOOKUP(F880,Dex!$P$22:$Q$276,2,FALSE),"")</f>
        <v/>
      </c>
      <c r="H880" s="4958">
        <v>252.0</v>
      </c>
      <c r="I880" s="4950"/>
      <c r="J880" s="4955" t="s">
        <v>194</v>
      </c>
      <c r="K880" s="4956">
        <f t="array" ref="K880">IFERROR(VLOOKUP(J865,Dex!$B$3:$N1218,10,FALSE),"")</f>
        <v>80</v>
      </c>
      <c r="L880" s="4957" t="str">
        <f t="array" ref="L880">IFERROR(VLOOKUP(K880,Dex!$P$22:$Q$276,2,FALSE),"")</f>
        <v/>
      </c>
      <c r="M880" s="4958">
        <v>4.0</v>
      </c>
      <c r="N880" s="4950"/>
      <c r="O880" s="4955" t="s">
        <v>194</v>
      </c>
      <c r="P880" s="4956">
        <f t="array" ref="P880">IFERROR(VLOOKUP(O865,Dex!$B$3:$N1218,10,FALSE),"")</f>
        <v>95</v>
      </c>
      <c r="Q880" s="4957" t="str">
        <f t="array" ref="Q880">IFERROR(VLOOKUP(P880,Dex!$P$22:$Q$276,2,FALSE),"")</f>
        <v/>
      </c>
      <c r="R880" s="4958">
        <v>4.0</v>
      </c>
      <c r="S880" s="2350"/>
      <c r="T880" s="2350"/>
      <c r="U880" s="2350"/>
      <c r="V880" s="2350"/>
      <c r="W880" s="2350"/>
      <c r="X880" s="4949"/>
      <c r="Y880" s="2350"/>
      <c r="Z880" s="2350"/>
      <c r="AA880" s="2350"/>
      <c r="AB880" s="2350"/>
      <c r="AC880" s="2350"/>
      <c r="AD880" s="2350"/>
      <c r="AE880" s="2350"/>
      <c r="AF880" s="2350"/>
      <c r="AG880" s="2350"/>
      <c r="AH880" s="2351"/>
      <c r="AI880" s="6192"/>
    </row>
    <row r="881" ht="16.5" customHeight="1">
      <c r="A881" s="6185"/>
      <c r="B881" s="2345"/>
      <c r="C881" s="2338"/>
      <c r="D881" s="4950"/>
      <c r="E881" s="4955" t="s">
        <v>195</v>
      </c>
      <c r="F881" s="4956">
        <f t="array" ref="F881">IFERROR(VLOOKUP(E865,Dex!$B$3:$N1218,11,FALSE),"")</f>
        <v>95</v>
      </c>
      <c r="G881" s="4957" t="str">
        <f t="array" ref="G881">IFERROR(VLOOKUP(F881,Dex!$P$22:$Q$276,2,FALSE),"")</f>
        <v/>
      </c>
      <c r="H881" s="4958"/>
      <c r="I881" s="4950"/>
      <c r="J881" s="4955" t="s">
        <v>195</v>
      </c>
      <c r="K881" s="4956">
        <f t="array" ref="K881">IFERROR(VLOOKUP(J865,Dex!$B$3:$N1218,11,FALSE),"")</f>
        <v>100</v>
      </c>
      <c r="L881" s="4957" t="str">
        <f t="array" ref="L881">IFERROR(VLOOKUP(K881,Dex!$P$22:$Q$276,2,FALSE),"")</f>
        <v/>
      </c>
      <c r="M881" s="4958"/>
      <c r="N881" s="4950"/>
      <c r="O881" s="4955" t="s">
        <v>195</v>
      </c>
      <c r="P881" s="4956">
        <f t="array" ref="P881">IFERROR(VLOOKUP(O865,Dex!$B$3:$N1218,11,FALSE),"")</f>
        <v>30</v>
      </c>
      <c r="Q881" s="4957" t="str">
        <f t="array" ref="Q881">IFERROR(VLOOKUP(P881,Dex!$P$22:$Q$276,2,FALSE),"")</f>
        <v/>
      </c>
      <c r="R881" s="4958"/>
      <c r="S881" s="2350"/>
      <c r="T881" s="2350"/>
      <c r="U881" s="2350"/>
      <c r="V881" s="2350"/>
      <c r="W881" s="2350"/>
      <c r="X881" s="4949"/>
      <c r="Y881" s="2350"/>
      <c r="Z881" s="2350"/>
      <c r="AA881" s="2350"/>
      <c r="AB881" s="2350"/>
      <c r="AC881" s="2350"/>
      <c r="AD881" s="2350"/>
      <c r="AE881" s="2350"/>
      <c r="AF881" s="2350"/>
      <c r="AG881" s="2350"/>
      <c r="AH881" s="2351"/>
      <c r="AI881" s="6192"/>
    </row>
    <row r="882" ht="16.5" customHeight="1">
      <c r="A882" s="6185"/>
      <c r="B882" s="2345"/>
      <c r="C882" s="2338"/>
      <c r="D882" s="4950"/>
      <c r="E882" s="4955" t="s">
        <v>196</v>
      </c>
      <c r="F882" s="4956">
        <f t="array" ref="F882">IFERROR(VLOOKUP(E865,Dex!$B$3:$N1218,12,FALSE),"")</f>
        <v>75</v>
      </c>
      <c r="G882" s="4957" t="str">
        <f t="array" ref="G882">IFERROR(VLOOKUP(F882,Dex!$P$22:$Q$276,2,FALSE),"")</f>
        <v/>
      </c>
      <c r="H882" s="4958"/>
      <c r="I882" s="4950"/>
      <c r="J882" s="4955" t="s">
        <v>196</v>
      </c>
      <c r="K882" s="4956">
        <f t="array" ref="K882">IFERROR(VLOOKUP(J865,Dex!$B$3:$N1218,12,FALSE),"")</f>
        <v>80</v>
      </c>
      <c r="L882" s="4957" t="str">
        <f t="array" ref="L882">IFERROR(VLOOKUP(K882,Dex!$P$22:$Q$276,2,FALSE),"")</f>
        <v/>
      </c>
      <c r="M882" s="4958"/>
      <c r="N882" s="4950"/>
      <c r="O882" s="4955" t="s">
        <v>196</v>
      </c>
      <c r="P882" s="4956">
        <f t="array" ref="P882">IFERROR(VLOOKUP(O865,Dex!$B$3:$N1218,12,FALSE),"")</f>
        <v>70</v>
      </c>
      <c r="Q882" s="4957" t="str">
        <f t="array" ref="Q882">IFERROR(VLOOKUP(P882,Dex!$P$22:$Q$276,2,FALSE),"")</f>
        <v/>
      </c>
      <c r="R882" s="4958"/>
      <c r="S882" s="2350"/>
      <c r="T882" s="2350"/>
      <c r="U882" s="2350"/>
      <c r="V882" s="2350"/>
      <c r="W882" s="2350"/>
      <c r="X882" s="4949"/>
      <c r="Y882" s="2350"/>
      <c r="Z882" s="2350"/>
      <c r="AA882" s="2350"/>
      <c r="AB882" s="2350"/>
      <c r="AC882" s="2350"/>
      <c r="AD882" s="2350"/>
      <c r="AE882" s="2350"/>
      <c r="AF882" s="2350"/>
      <c r="AG882" s="2350"/>
      <c r="AH882" s="2351"/>
      <c r="AI882" s="6192"/>
    </row>
    <row r="883" ht="16.5" customHeight="1">
      <c r="A883" s="6185"/>
      <c r="B883" s="2345"/>
      <c r="C883" s="2338"/>
      <c r="D883" s="4950"/>
      <c r="E883" s="4959" t="s">
        <v>197</v>
      </c>
      <c r="F883" s="4960">
        <f t="array" ref="F883">IFERROR(VLOOKUP(E865,Dex!$B$3:$N1218,13,FALSE),"")</f>
        <v>60</v>
      </c>
      <c r="G883" s="4961" t="str">
        <f t="array" ref="G883">IFERROR(VLOOKUP(F883,Dex!$P$22:$Q$276,2,FALSE),"")</f>
        <v/>
      </c>
      <c r="H883" s="4962">
        <v>4.0</v>
      </c>
      <c r="I883" s="4950"/>
      <c r="J883" s="4959" t="s">
        <v>197</v>
      </c>
      <c r="K883" s="4960">
        <f t="array" ref="K883">IFERROR(VLOOKUP(J865,Dex!$B$3:$N1218,13,FALSE),"")</f>
        <v>100</v>
      </c>
      <c r="L883" s="4961" t="str">
        <f t="array" ref="L883">IFERROR(VLOOKUP(K883,Dex!$P$22:$Q$276,2,FALSE),"")</f>
        <v/>
      </c>
      <c r="M883" s="4962">
        <v>252.0</v>
      </c>
      <c r="N883" s="4950"/>
      <c r="O883" s="4959" t="s">
        <v>197</v>
      </c>
      <c r="P883" s="4960">
        <f t="array" ref="P883">IFERROR(VLOOKUP(O865,Dex!$B$3:$N1218,13,FALSE),"")</f>
        <v>85</v>
      </c>
      <c r="Q883" s="4961" t="str">
        <f t="array" ref="Q883">IFERROR(VLOOKUP(P883,Dex!$P$22:$Q$276,2,FALSE),"")</f>
        <v/>
      </c>
      <c r="R883" s="4962">
        <v>252.0</v>
      </c>
      <c r="S883" s="2350"/>
      <c r="T883" s="2350"/>
      <c r="U883" s="2350"/>
      <c r="V883" s="2350"/>
      <c r="W883" s="2350"/>
      <c r="X883" s="4949"/>
      <c r="Y883" s="2350"/>
      <c r="Z883" s="2350"/>
      <c r="AA883" s="2350"/>
      <c r="AB883" s="2350"/>
      <c r="AC883" s="2350"/>
      <c r="AD883" s="2350"/>
      <c r="AE883" s="2350"/>
      <c r="AF883" s="2350"/>
      <c r="AG883" s="2350"/>
      <c r="AH883" s="2351"/>
      <c r="AI883" s="6192"/>
    </row>
    <row r="884" ht="16.5" customHeight="1">
      <c r="A884" s="6185"/>
      <c r="B884" s="2345"/>
      <c r="C884" s="2338"/>
      <c r="D884" s="4946"/>
      <c r="E884" s="4963" t="s">
        <v>198</v>
      </c>
      <c r="F884" s="405"/>
      <c r="G884" s="406"/>
      <c r="H884" s="4964">
        <v>153.0</v>
      </c>
      <c r="I884" s="4946"/>
      <c r="J884" s="4963" t="s">
        <v>198</v>
      </c>
      <c r="K884" s="405"/>
      <c r="L884" s="406"/>
      <c r="M884" s="4964">
        <v>328.0</v>
      </c>
      <c r="N884" s="4946"/>
      <c r="O884" s="4963" t="s">
        <v>198</v>
      </c>
      <c r="P884" s="405"/>
      <c r="Q884" s="406"/>
      <c r="R884" s="4964">
        <v>289.0</v>
      </c>
      <c r="S884" s="2350"/>
      <c r="T884" s="2350"/>
      <c r="U884" s="2350"/>
      <c r="V884" s="2350"/>
      <c r="W884" s="2350"/>
      <c r="X884" s="5009"/>
      <c r="Y884" s="2350"/>
      <c r="Z884" s="2350"/>
      <c r="AA884" s="2350"/>
      <c r="AB884" s="2350"/>
      <c r="AC884" s="2350"/>
      <c r="AD884" s="2350"/>
      <c r="AE884" s="2350"/>
      <c r="AF884" s="2350"/>
      <c r="AG884" s="2350"/>
      <c r="AH884" s="2351"/>
      <c r="AI884" s="6192"/>
    </row>
    <row r="885" ht="15.0" customHeight="1">
      <c r="A885" s="6185"/>
      <c r="B885" s="2385"/>
      <c r="C885" s="2386"/>
      <c r="D885" s="4971"/>
      <c r="E885" s="4972"/>
      <c r="F885" s="4972"/>
      <c r="G885" s="4972"/>
      <c r="H885" s="4972"/>
      <c r="I885" s="4971"/>
      <c r="J885" s="4972"/>
      <c r="K885" s="4972"/>
      <c r="L885" s="4972"/>
      <c r="M885" s="4972"/>
      <c r="N885" s="4971"/>
      <c r="O885" s="4972"/>
      <c r="P885" s="4972"/>
      <c r="Q885" s="4972"/>
      <c r="R885" s="4972"/>
      <c r="S885" s="4971"/>
      <c r="T885" s="4972"/>
      <c r="U885" s="4972"/>
      <c r="V885" s="4972"/>
      <c r="W885" s="4972"/>
      <c r="X885" s="2387"/>
      <c r="Y885" s="2387"/>
      <c r="Z885" s="2387"/>
      <c r="AA885" s="2387"/>
      <c r="AB885" s="2387"/>
      <c r="AC885" s="2387"/>
      <c r="AD885" s="2387"/>
      <c r="AE885" s="2387"/>
      <c r="AF885" s="2387"/>
      <c r="AG885" s="2387"/>
      <c r="AH885" s="2389"/>
      <c r="AI885" s="6192"/>
    </row>
    <row r="886" ht="15.0" customHeight="1">
      <c r="A886" s="6185"/>
      <c r="B886" s="4925"/>
      <c r="C886" s="4926"/>
      <c r="D886" s="4926"/>
      <c r="E886" s="6884"/>
      <c r="F886" s="6884"/>
      <c r="G886" s="6884"/>
      <c r="H886" s="6884"/>
      <c r="I886" s="4926"/>
      <c r="J886" s="6884"/>
      <c r="K886" s="6884"/>
      <c r="L886" s="6884"/>
      <c r="M886" s="6884"/>
      <c r="N886" s="4926"/>
      <c r="O886" s="6884"/>
      <c r="P886" s="6884"/>
      <c r="Q886" s="6884"/>
      <c r="R886" s="6884"/>
      <c r="S886" s="4926"/>
      <c r="T886" s="4926"/>
      <c r="U886" s="4926"/>
      <c r="V886" s="4926"/>
      <c r="W886" s="4926"/>
      <c r="X886" s="4926"/>
      <c r="Y886" s="4926"/>
      <c r="Z886" s="4926"/>
      <c r="AA886" s="4926"/>
      <c r="AB886" s="4926"/>
      <c r="AC886" s="4926"/>
      <c r="AD886" s="4926"/>
      <c r="AE886" s="4926"/>
      <c r="AF886" s="4926"/>
      <c r="AG886" s="4926"/>
      <c r="AH886" s="4927"/>
      <c r="AI886" s="6192"/>
    </row>
    <row r="887" ht="96.75" customHeight="1">
      <c r="A887" s="6185"/>
      <c r="B887" s="2300"/>
      <c r="C887" s="4932" t="str">
        <f>IMAGE("https://i.ibb.co/qsQbp4Z/Biker.png")</f>
        <v/>
      </c>
      <c r="D887" s="2492"/>
      <c r="E887" s="4933" t="str">
        <f t="array" ref="E887">IFERROR(VLOOKUP(E888,Dex!$B$3:$G1218,3,FALSE),"")</f>
        <v/>
      </c>
      <c r="F887" s="1830"/>
      <c r="G887" s="1830"/>
      <c r="H887" s="1831"/>
      <c r="I887" s="2492"/>
      <c r="J887" s="4933" t="str">
        <f t="array" ref="J887">IFERROR(VLOOKUP(J888,Dex!$B$3:$G1218,3,FALSE),"")</f>
        <v/>
      </c>
      <c r="K887" s="1830"/>
      <c r="L887" s="1830"/>
      <c r="M887" s="1831"/>
      <c r="N887" s="2492"/>
      <c r="O887" s="4933" t="str">
        <f t="array" ref="O887">IFERROR(VLOOKUP(O888,Dex!$B$3:$G1218,3,FALSE),"")</f>
        <v/>
      </c>
      <c r="P887" s="1830"/>
      <c r="Q887" s="1830"/>
      <c r="R887" s="1831"/>
      <c r="S887" s="2492"/>
      <c r="T887" s="2270"/>
      <c r="U887" s="2273"/>
      <c r="V887" s="2273"/>
      <c r="W887" s="2274"/>
      <c r="X887" s="5007"/>
      <c r="Y887" s="2270"/>
      <c r="Z887" s="2273"/>
      <c r="AA887" s="2273"/>
      <c r="AB887" s="2274"/>
      <c r="AC887" s="2493"/>
      <c r="AD887" s="2270"/>
      <c r="AE887" s="2273"/>
      <c r="AF887" s="2273"/>
      <c r="AG887" s="2274"/>
      <c r="AH887" s="2276"/>
      <c r="AI887" s="6192"/>
    </row>
    <row r="888" ht="18.75" customHeight="1">
      <c r="A888" s="6185"/>
      <c r="B888" s="2358"/>
      <c r="C888" s="4934" t="s">
        <v>1763</v>
      </c>
      <c r="E888" s="2292" t="s">
        <v>1764</v>
      </c>
      <c r="F888" s="2293"/>
      <c r="G888" s="2293"/>
      <c r="H888" s="2294"/>
      <c r="J888" s="2292" t="s">
        <v>1263</v>
      </c>
      <c r="K888" s="2293"/>
      <c r="L888" s="2293"/>
      <c r="M888" s="2294"/>
      <c r="O888" s="2292" t="s">
        <v>1304</v>
      </c>
      <c r="P888" s="2293"/>
      <c r="Q888" s="2293"/>
      <c r="R888" s="2294"/>
      <c r="T888" s="2297"/>
      <c r="U888" s="2273"/>
      <c r="V888" s="2273"/>
      <c r="W888" s="2274"/>
      <c r="Y888" s="2297"/>
      <c r="Z888" s="2273"/>
      <c r="AA888" s="2273"/>
      <c r="AB888" s="2274"/>
      <c r="AC888" s="2495"/>
      <c r="AD888" s="2297"/>
      <c r="AE888" s="2273"/>
      <c r="AF888" s="2273"/>
      <c r="AG888" s="2274"/>
      <c r="AH888" s="2298"/>
      <c r="AI888" s="6192"/>
    </row>
    <row r="889">
      <c r="A889" s="6185"/>
      <c r="B889" s="4935"/>
      <c r="C889" s="1489"/>
      <c r="E889" s="2496" t="s">
        <v>420</v>
      </c>
      <c r="F889" s="2303"/>
      <c r="G889" s="2303"/>
      <c r="H889" s="2304"/>
      <c r="J889" s="2496" t="s">
        <v>1623</v>
      </c>
      <c r="K889" s="2303"/>
      <c r="L889" s="2303"/>
      <c r="M889" s="2304"/>
      <c r="O889" s="2496" t="s">
        <v>1502</v>
      </c>
      <c r="P889" s="2303"/>
      <c r="Q889" s="2303"/>
      <c r="R889" s="2304"/>
      <c r="T889" s="2704"/>
      <c r="U889" s="2273"/>
      <c r="V889" s="2273"/>
      <c r="W889" s="2274"/>
      <c r="Y889" s="2704"/>
      <c r="Z889" s="2273"/>
      <c r="AA889" s="2273"/>
      <c r="AB889" s="2274"/>
      <c r="AC889" s="2495"/>
      <c r="AD889" s="2704"/>
      <c r="AE889" s="2273"/>
      <c r="AF889" s="2273"/>
      <c r="AG889" s="2274"/>
      <c r="AH889" s="4936"/>
      <c r="AI889" s="6192"/>
    </row>
    <row r="890" ht="25.5" customHeight="1">
      <c r="A890" s="6185"/>
      <c r="B890" s="2300"/>
      <c r="C890" s="3357"/>
      <c r="E890" s="2307"/>
      <c r="F890" s="2308" t="str">
        <f t="array" ref="F890">IFERROR(VLOOKUP(E888,Dex!$B$3:$H1218,5,FALSE),"")</f>
        <v/>
      </c>
      <c r="G890" s="2309" t="str">
        <f t="array" ref="G890">IFERROR(VLOOKUP(E888,Dex!$B$3:$H1218,7,FALSE),"")</f>
        <v/>
      </c>
      <c r="H890" s="2310"/>
      <c r="J890" s="2307"/>
      <c r="K890" s="2308" t="str">
        <f t="array" ref="K890">IFERROR(VLOOKUP(J888,Dex!$B$3:$H1218,5,FALSE),"")</f>
        <v/>
      </c>
      <c r="L890" s="2309" t="str">
        <f t="array" ref="L890">IFERROR(VLOOKUP(J888,Dex!$B$3:$H1218,7,FALSE),"")</f>
        <v/>
      </c>
      <c r="M890" s="2310"/>
      <c r="O890" s="2307"/>
      <c r="P890" s="2308" t="str">
        <f t="array" ref="P890">IFERROR(VLOOKUP(O888,Dex!$B$3:$H1218,5,FALSE),"")</f>
        <v/>
      </c>
      <c r="Q890" s="2309" t="str">
        <f t="array" ref="Q890">IFERROR(VLOOKUP(O888,Dex!$B$3:$H1218,7,FALSE),"")</f>
        <v/>
      </c>
      <c r="R890" s="2310"/>
      <c r="T890" s="2270"/>
      <c r="U890" s="2273"/>
      <c r="V890" s="2273"/>
      <c r="W890" s="2274"/>
      <c r="Y890" s="2270"/>
      <c r="Z890" s="2273"/>
      <c r="AA890" s="2273"/>
      <c r="AB890" s="2274"/>
      <c r="AC890" s="2495"/>
      <c r="AD890" s="2270"/>
      <c r="AE890" s="2273"/>
      <c r="AF890" s="2273"/>
      <c r="AG890" s="2274"/>
      <c r="AH890" s="2276"/>
      <c r="AI890" s="6192"/>
    </row>
    <row r="891" ht="2.25" customHeight="1">
      <c r="A891" s="6185"/>
      <c r="B891" s="2300"/>
      <c r="C891" s="2338"/>
      <c r="E891" s="2313"/>
      <c r="F891" s="2314"/>
      <c r="G891" s="2314"/>
      <c r="H891" s="2315"/>
      <c r="J891" s="2313"/>
      <c r="K891" s="2314"/>
      <c r="L891" s="2314"/>
      <c r="M891" s="2315"/>
      <c r="O891" s="2313"/>
      <c r="P891" s="2314"/>
      <c r="Q891" s="2314"/>
      <c r="R891" s="2315"/>
      <c r="T891" s="2316"/>
      <c r="U891" s="2316"/>
      <c r="V891" s="2316"/>
      <c r="W891" s="2316"/>
      <c r="Y891" s="2316"/>
      <c r="Z891" s="2316"/>
      <c r="AA891" s="2316"/>
      <c r="AB891" s="2316"/>
      <c r="AC891" s="2495"/>
      <c r="AD891" s="2316"/>
      <c r="AE891" s="2316"/>
      <c r="AF891" s="2316"/>
      <c r="AG891" s="2316"/>
      <c r="AH891" s="2276"/>
      <c r="AI891" s="6192"/>
    </row>
    <row r="892" ht="20.25" customHeight="1">
      <c r="A892" s="6185"/>
      <c r="B892" s="2268"/>
      <c r="C892" s="4937"/>
      <c r="E892" s="2317" t="s">
        <v>169</v>
      </c>
      <c r="F892" s="2318"/>
      <c r="G892" s="2318"/>
      <c r="H892" s="2319"/>
      <c r="J892" s="2317" t="s">
        <v>263</v>
      </c>
      <c r="K892" s="2318"/>
      <c r="L892" s="2318"/>
      <c r="M892" s="2319"/>
      <c r="O892" s="2317" t="s">
        <v>172</v>
      </c>
      <c r="P892" s="2318"/>
      <c r="Q892" s="2318"/>
      <c r="R892" s="2319"/>
      <c r="T892" s="2270"/>
      <c r="U892" s="2273"/>
      <c r="V892" s="2273"/>
      <c r="W892" s="2274"/>
      <c r="Y892" s="2270"/>
      <c r="Z892" s="2273"/>
      <c r="AA892" s="2273"/>
      <c r="AB892" s="2274"/>
      <c r="AC892" s="2495"/>
      <c r="AD892" s="2270"/>
      <c r="AE892" s="2273"/>
      <c r="AF892" s="2273"/>
      <c r="AG892" s="2274"/>
      <c r="AH892" s="2276"/>
      <c r="AI892" s="6192"/>
    </row>
    <row r="893">
      <c r="A893" s="6185"/>
      <c r="B893" s="2268"/>
      <c r="C893" s="2269"/>
      <c r="E893" s="2321" t="s">
        <v>208</v>
      </c>
      <c r="F893" s="2273"/>
      <c r="G893" s="2273"/>
      <c r="H893" s="2322"/>
      <c r="J893" s="2321" t="s">
        <v>329</v>
      </c>
      <c r="K893" s="2273"/>
      <c r="L893" s="2273"/>
      <c r="M893" s="2322"/>
      <c r="O893" s="2321" t="s">
        <v>1765</v>
      </c>
      <c r="P893" s="2273"/>
      <c r="Q893" s="2273"/>
      <c r="R893" s="2322"/>
      <c r="T893" s="2270"/>
      <c r="U893" s="2273"/>
      <c r="V893" s="2273"/>
      <c r="W893" s="2274"/>
      <c r="Y893" s="2270"/>
      <c r="Z893" s="2273"/>
      <c r="AA893" s="2273"/>
      <c r="AB893" s="2274"/>
      <c r="AC893" s="2495"/>
      <c r="AD893" s="2270"/>
      <c r="AE893" s="2273"/>
      <c r="AF893" s="2273"/>
      <c r="AG893" s="2274"/>
      <c r="AH893" s="2276"/>
      <c r="AI893" s="6192"/>
    </row>
    <row r="894" ht="20.25" customHeight="1">
      <c r="A894" s="6185"/>
      <c r="B894" s="2268"/>
      <c r="C894" s="2269"/>
      <c r="E894" s="2323" t="s">
        <v>240</v>
      </c>
      <c r="F894" s="2324"/>
      <c r="G894" s="4930"/>
      <c r="H894" s="4938" t="str">
        <f>IMAGE("https://raw.githubusercontent.com/msikma/pokesprite/master/items/hold-item/focus-sash.png",3)</f>
        <v/>
      </c>
      <c r="J894" s="2323" t="s">
        <v>272</v>
      </c>
      <c r="K894" s="2324"/>
      <c r="L894" s="4930"/>
      <c r="M894" s="4938" t="str">
        <f>IMAGE("https://raw.githubusercontent.com/msikma/pokesprite/master/items/hold-item/life-orb.png",3)</f>
        <v/>
      </c>
      <c r="O894" s="2323" t="s">
        <v>1308</v>
      </c>
      <c r="P894" s="2324"/>
      <c r="Q894" s="4930"/>
      <c r="R894" s="4938" t="str">
        <f>IMAGE("https://raw.githubusercontent.com/msikma/pokesprite/master/items/mega-stone/sharpedonite.png",3)</f>
        <v/>
      </c>
      <c r="T894" s="2270"/>
      <c r="U894" s="2273"/>
      <c r="V894" s="2273"/>
      <c r="W894" s="2274"/>
      <c r="Y894" s="2270"/>
      <c r="Z894" s="2273"/>
      <c r="AA894" s="2273"/>
      <c r="AB894" s="2274"/>
      <c r="AC894" s="2495"/>
      <c r="AD894" s="2270"/>
      <c r="AE894" s="2273"/>
      <c r="AF894" s="2273"/>
      <c r="AG894" s="2274"/>
      <c r="AH894" s="2276"/>
      <c r="AI894" s="6192"/>
    </row>
    <row r="895" ht="20.25" customHeight="1">
      <c r="A895" s="6185"/>
      <c r="B895" s="2268"/>
      <c r="C895" s="2338"/>
      <c r="E895" s="2317" t="s">
        <v>638</v>
      </c>
      <c r="F895" s="2318"/>
      <c r="G895" s="2327"/>
      <c r="H895" s="4939" t="str">
        <f>IMAGE("https://raw.githubusercontent.com/msikma/pokesprite/master/misc/types/gen8/rock.png",4,20,20)</f>
        <v/>
      </c>
      <c r="J895" s="2317" t="s">
        <v>461</v>
      </c>
      <c r="K895" s="2318"/>
      <c r="L895" s="2327"/>
      <c r="M895" s="4939" t="str">
        <f>IMAGE("https://raw.githubusercontent.com/msikma/pokesprite/master/misc/types/gen8/flying.png",4,20,20)</f>
        <v/>
      </c>
      <c r="O895" s="2317" t="s">
        <v>187</v>
      </c>
      <c r="P895" s="2318"/>
      <c r="Q895" s="2327"/>
      <c r="R895" s="4939" t="str">
        <f>IMAGE("https://raw.githubusercontent.com/msikma/pokesprite/master/misc/types/gen8/normal.png",4,20,20)</f>
        <v/>
      </c>
      <c r="T895" s="2270"/>
      <c r="U895" s="2273"/>
      <c r="V895" s="2273"/>
      <c r="W895" s="2274"/>
      <c r="Y895" s="2270"/>
      <c r="Z895" s="2273"/>
      <c r="AA895" s="2273"/>
      <c r="AB895" s="2274"/>
      <c r="AC895" s="2495"/>
      <c r="AD895" s="2270"/>
      <c r="AE895" s="2273"/>
      <c r="AF895" s="2273"/>
      <c r="AG895" s="2274"/>
      <c r="AH895" s="2276"/>
      <c r="AI895" s="6192"/>
    </row>
    <row r="896" ht="20.25" customHeight="1">
      <c r="A896" s="6185"/>
      <c r="B896" s="2268"/>
      <c r="C896" s="2338"/>
      <c r="E896" s="2321" t="s">
        <v>632</v>
      </c>
      <c r="F896" s="2273"/>
      <c r="G896" s="2274"/>
      <c r="H896" s="4940" t="str">
        <f>IMAGE("https://raw.githubusercontent.com/msikma/pokesprite/master/misc/types/gen8/ice.png",4,20,20)</f>
        <v/>
      </c>
      <c r="J896" s="2321" t="s">
        <v>561</v>
      </c>
      <c r="K896" s="2273"/>
      <c r="L896" s="2274"/>
      <c r="M896" s="4940" t="str">
        <f>IMAGE("https://raw.githubusercontent.com/msikma/pokesprite/master/misc/types/gen8/psychic.png",4,20,20)</f>
        <v/>
      </c>
      <c r="O896" s="2321" t="s">
        <v>1309</v>
      </c>
      <c r="P896" s="2273"/>
      <c r="Q896" s="2274"/>
      <c r="R896" s="4940" t="str">
        <f>IMAGE("https://raw.githubusercontent.com/msikma/pokesprite/master/misc/types/gen8/water.png",4,20,20)</f>
        <v/>
      </c>
      <c r="T896" s="2270"/>
      <c r="U896" s="2273"/>
      <c r="V896" s="2273"/>
      <c r="W896" s="2274"/>
      <c r="Y896" s="2270"/>
      <c r="Z896" s="2273"/>
      <c r="AA896" s="2273"/>
      <c r="AB896" s="2274"/>
      <c r="AC896" s="2495"/>
      <c r="AD896" s="2270"/>
      <c r="AE896" s="2273"/>
      <c r="AF896" s="2273"/>
      <c r="AG896" s="2274"/>
      <c r="AH896" s="2276"/>
      <c r="AI896" s="6192"/>
    </row>
    <row r="897" ht="20.25" customHeight="1">
      <c r="A897" s="6185"/>
      <c r="B897" s="2268"/>
      <c r="C897" s="2338"/>
      <c r="E897" s="2321" t="s">
        <v>1163</v>
      </c>
      <c r="F897" s="2273"/>
      <c r="G897" s="2274"/>
      <c r="H897" s="4940" t="str">
        <f>IMAGE("https://raw.githubusercontent.com/msikma/pokesprite/master/misc/types/gen8/ground.png",4,20,20)</f>
        <v/>
      </c>
      <c r="J897" s="2321" t="s">
        <v>903</v>
      </c>
      <c r="K897" s="2273"/>
      <c r="L897" s="2274"/>
      <c r="M897" s="4940" t="str">
        <f>IMAGE("https://raw.githubusercontent.com/msikma/pokesprite/master/misc/types/gen8/fire.png",4,20,20)</f>
        <v/>
      </c>
      <c r="O897" s="2321" t="s">
        <v>320</v>
      </c>
      <c r="P897" s="2273"/>
      <c r="Q897" s="2274"/>
      <c r="R897" s="4940" t="str">
        <f>IMAGE("https://raw.githubusercontent.com/msikma/pokesprite/master/misc/types/gen8/dark.png",4,20,20)</f>
        <v/>
      </c>
      <c r="T897" s="2270"/>
      <c r="U897" s="2273"/>
      <c r="V897" s="2273"/>
      <c r="W897" s="2274"/>
      <c r="Y897" s="2270"/>
      <c r="Z897" s="2273"/>
      <c r="AA897" s="2273"/>
      <c r="AB897" s="2274"/>
      <c r="AC897" s="2495"/>
      <c r="AD897" s="2270"/>
      <c r="AE897" s="2273"/>
      <c r="AF897" s="2273"/>
      <c r="AG897" s="2274"/>
      <c r="AH897" s="2276"/>
      <c r="AI897" s="6192"/>
    </row>
    <row r="898" ht="21.0" customHeight="1">
      <c r="A898" s="6185"/>
      <c r="B898" s="2268"/>
      <c r="C898" s="2338"/>
      <c r="D898" s="2497"/>
      <c r="E898" s="2330" t="s">
        <v>947</v>
      </c>
      <c r="F898" s="2331"/>
      <c r="G898" s="2332"/>
      <c r="H898" s="4941" t="str">
        <f>IMAGE("https://raw.githubusercontent.com/msikma/pokesprite/master/misc/types/gen8/ice.png",4,20,20)</f>
        <v/>
      </c>
      <c r="I898" s="2497"/>
      <c r="J898" s="2330" t="s">
        <v>1267</v>
      </c>
      <c r="K898" s="2331"/>
      <c r="L898" s="2332"/>
      <c r="M898" s="4941" t="str">
        <f>IMAGE("https://raw.githubusercontent.com/msikma/pokesprite/master/misc/types/gen8/psychic.png",4,20,20)</f>
        <v/>
      </c>
      <c r="N898" s="2497"/>
      <c r="O898" s="2330" t="s">
        <v>316</v>
      </c>
      <c r="P898" s="2331"/>
      <c r="Q898" s="2332"/>
      <c r="R898" s="4941" t="str">
        <f>IMAGE("https://raw.githubusercontent.com/msikma/pokesprite/master/misc/types/gen8/fighting.png",4,20,20)</f>
        <v/>
      </c>
      <c r="S898" s="2497"/>
      <c r="T898" s="2270"/>
      <c r="U898" s="2273"/>
      <c r="V898" s="2273"/>
      <c r="W898" s="2274"/>
      <c r="X898" s="2497"/>
      <c r="Y898" s="2270"/>
      <c r="Z898" s="2273"/>
      <c r="AA898" s="2273"/>
      <c r="AB898" s="2274"/>
      <c r="AC898" s="2498"/>
      <c r="AD898" s="2270"/>
      <c r="AE898" s="2273"/>
      <c r="AF898" s="2273"/>
      <c r="AG898" s="2274"/>
      <c r="AH898" s="2276"/>
      <c r="AI898" s="6192"/>
    </row>
    <row r="899" ht="3.0" customHeight="1">
      <c r="A899" s="6185"/>
      <c r="B899" s="2337"/>
      <c r="C899" s="2338"/>
      <c r="D899" s="2339"/>
      <c r="E899" s="4942"/>
      <c r="F899" s="4942"/>
      <c r="G899" s="4942"/>
      <c r="H899" s="4943"/>
      <c r="I899" s="2339"/>
      <c r="J899" s="4944"/>
      <c r="K899" s="4944"/>
      <c r="L899" s="4944"/>
      <c r="M899" s="4943"/>
      <c r="N899" s="2339"/>
      <c r="O899" s="4944"/>
      <c r="P899" s="4944"/>
      <c r="Q899" s="4944"/>
      <c r="R899" s="4943"/>
      <c r="S899" s="2339"/>
      <c r="T899" s="2342"/>
      <c r="U899" s="2342"/>
      <c r="V899" s="2342"/>
      <c r="W899" s="2342"/>
      <c r="X899" s="2339"/>
      <c r="Y899" s="2342"/>
      <c r="Z899" s="2342"/>
      <c r="AA899" s="2342"/>
      <c r="AB899" s="2342"/>
      <c r="AC899" s="2342"/>
      <c r="AD899" s="2342"/>
      <c r="AE899" s="2342"/>
      <c r="AF899" s="2342"/>
      <c r="AG899" s="2342"/>
      <c r="AH899" s="2343"/>
      <c r="AI899" s="6192"/>
    </row>
    <row r="900" ht="16.5" customHeight="1">
      <c r="A900" s="6185"/>
      <c r="B900" s="2345"/>
      <c r="C900" s="2338"/>
      <c r="D900" s="4946"/>
      <c r="E900" s="4947" t="s">
        <v>190</v>
      </c>
      <c r="F900" s="381"/>
      <c r="G900" s="382"/>
      <c r="H900" s="4948" t="s">
        <v>191</v>
      </c>
      <c r="I900" s="4946"/>
      <c r="J900" s="4947" t="s">
        <v>190</v>
      </c>
      <c r="K900" s="381"/>
      <c r="L900" s="382"/>
      <c r="M900" s="4948" t="s">
        <v>191</v>
      </c>
      <c r="N900" s="4946"/>
      <c r="O900" s="4947" t="s">
        <v>190</v>
      </c>
      <c r="P900" s="381"/>
      <c r="Q900" s="382"/>
      <c r="R900" s="4948" t="s">
        <v>191</v>
      </c>
      <c r="S900" s="2350"/>
      <c r="T900" s="2350"/>
      <c r="U900" s="2350"/>
      <c r="V900" s="2350"/>
      <c r="W900" s="2350"/>
      <c r="X900" s="5009"/>
      <c r="Y900" s="2350"/>
      <c r="Z900" s="2350"/>
      <c r="AA900" s="2350"/>
      <c r="AB900" s="2350"/>
      <c r="AC900" s="2350"/>
      <c r="AD900" s="2350"/>
      <c r="AE900" s="2350"/>
      <c r="AF900" s="2350"/>
      <c r="AG900" s="2350"/>
      <c r="AH900" s="2351"/>
      <c r="AI900" s="6192"/>
    </row>
    <row r="901" ht="16.5" customHeight="1">
      <c r="A901" s="6185"/>
      <c r="B901" s="2345"/>
      <c r="C901" s="2338"/>
      <c r="D901" s="4950"/>
      <c r="E901" s="4951" t="s">
        <v>192</v>
      </c>
      <c r="F901" s="4952">
        <f t="array" ref="F901">IFERROR(VLOOKUP(E888,Dex!$B$3:$N1218,8,FALSE),"")</f>
        <v>100</v>
      </c>
      <c r="G901" s="4953" t="str">
        <f t="array" ref="G901">IFERROR(VLOOKUP(F901,Dex!$P$22:$Q$276,2,FALSE),"")</f>
        <v/>
      </c>
      <c r="H901" s="4954">
        <v>252.0</v>
      </c>
      <c r="I901" s="4950"/>
      <c r="J901" s="4951" t="s">
        <v>192</v>
      </c>
      <c r="K901" s="4952">
        <f t="array" ref="K901">IFERROR(VLOOKUP(J888,Dex!$B$3:$N1218,8,FALSE),"")</f>
        <v>115</v>
      </c>
      <c r="L901" s="4953" t="str">
        <f t="array" ref="L901">IFERROR(VLOOKUP(K901,Dex!$P$22:$Q$276,2,FALSE),"")</f>
        <v/>
      </c>
      <c r="M901" s="4954">
        <v>252.0</v>
      </c>
      <c r="N901" s="4950"/>
      <c r="O901" s="4951" t="s">
        <v>192</v>
      </c>
      <c r="P901" s="4952">
        <f t="array" ref="P901">IFERROR(VLOOKUP(O888,Dex!$B$3:$N1218,8,FALSE),"")</f>
        <v>70</v>
      </c>
      <c r="Q901" s="4953" t="str">
        <f t="array" ref="Q901">IFERROR(VLOOKUP(P901,Dex!$P$22:$Q$276,2,FALSE),"")</f>
        <v/>
      </c>
      <c r="R901" s="4954"/>
      <c r="S901" s="2350"/>
      <c r="T901" s="2350"/>
      <c r="U901" s="2350"/>
      <c r="V901" s="2350"/>
      <c r="W901" s="2350"/>
      <c r="X901" s="4949"/>
      <c r="Y901" s="2350"/>
      <c r="Z901" s="2350"/>
      <c r="AA901" s="2350"/>
      <c r="AB901" s="2350"/>
      <c r="AC901" s="2350"/>
      <c r="AD901" s="2350"/>
      <c r="AE901" s="2350"/>
      <c r="AF901" s="2350"/>
      <c r="AG901" s="2350"/>
      <c r="AH901" s="2351"/>
      <c r="AI901" s="6192"/>
    </row>
    <row r="902" ht="16.5" customHeight="1">
      <c r="A902" s="6185"/>
      <c r="B902" s="2345"/>
      <c r="C902" s="2338"/>
      <c r="D902" s="4950"/>
      <c r="E902" s="4955" t="s">
        <v>193</v>
      </c>
      <c r="F902" s="4956">
        <f t="array" ref="F902">IFERROR(VLOOKUP(E888,Dex!$B$3:$N1218,9,FALSE),"")</f>
        <v>132</v>
      </c>
      <c r="G902" s="4957" t="str">
        <f t="array" ref="G902">IFERROR(VLOOKUP(F902,Dex!$P$22:$Q$276,2,FALSE),"")</f>
        <v/>
      </c>
      <c r="H902" s="4958">
        <v>252.0</v>
      </c>
      <c r="I902" s="4950"/>
      <c r="J902" s="4955" t="s">
        <v>193</v>
      </c>
      <c r="K902" s="4956">
        <f t="array" ref="K902">IFERROR(VLOOKUP(J888,Dex!$B$3:$N1218,9,FALSE),"")</f>
        <v>58</v>
      </c>
      <c r="L902" s="4957" t="str">
        <f t="array" ref="L902">IFERROR(VLOOKUP(K902,Dex!$P$22:$Q$276,2,FALSE),"")</f>
        <v/>
      </c>
      <c r="M902" s="4958"/>
      <c r="N902" s="4950"/>
      <c r="O902" s="4955" t="s">
        <v>193</v>
      </c>
      <c r="P902" s="4956">
        <f t="array" ref="P902">IFERROR(VLOOKUP(O888,Dex!$B$3:$N1218,9,FALSE),"")</f>
        <v>140</v>
      </c>
      <c r="Q902" s="4957" t="str">
        <f t="array" ref="Q902">IFERROR(VLOOKUP(P902,Dex!$P$22:$Q$276,2,FALSE),"")</f>
        <v/>
      </c>
      <c r="R902" s="4958">
        <v>252.0</v>
      </c>
      <c r="S902" s="2350"/>
      <c r="T902" s="2350"/>
      <c r="U902" s="2350"/>
      <c r="V902" s="2350"/>
      <c r="W902" s="2350"/>
      <c r="X902" s="4949"/>
      <c r="Y902" s="2350"/>
      <c r="Z902" s="2350"/>
      <c r="AA902" s="2350"/>
      <c r="AB902" s="2350"/>
      <c r="AC902" s="2350"/>
      <c r="AD902" s="2350"/>
      <c r="AE902" s="2350"/>
      <c r="AF902" s="2350"/>
      <c r="AG902" s="2350"/>
      <c r="AH902" s="2351"/>
      <c r="AI902" s="6192"/>
    </row>
    <row r="903" ht="16.5" customHeight="1">
      <c r="A903" s="6185"/>
      <c r="B903" s="2345"/>
      <c r="C903" s="2338"/>
      <c r="D903" s="4950"/>
      <c r="E903" s="4955" t="s">
        <v>194</v>
      </c>
      <c r="F903" s="4956">
        <f t="array" ref="F903">IFERROR(VLOOKUP(E888,Dex!$B$3:$N1218,10,FALSE),"")</f>
        <v>184</v>
      </c>
      <c r="G903" s="4957" t="str">
        <f t="array" ref="G903">IFERROR(VLOOKUP(F903,Dex!$P$22:$Q$276,2,FALSE),"")</f>
        <v/>
      </c>
      <c r="H903" s="4958">
        <v>4.0</v>
      </c>
      <c r="I903" s="4950"/>
      <c r="J903" s="4955" t="s">
        <v>194</v>
      </c>
      <c r="K903" s="4956">
        <f t="array" ref="K903">IFERROR(VLOOKUP(J888,Dex!$B$3:$N1218,10,FALSE),"")</f>
        <v>80</v>
      </c>
      <c r="L903" s="4957" t="str">
        <f t="array" ref="L903">IFERROR(VLOOKUP(K903,Dex!$P$22:$Q$276,2,FALSE),"")</f>
        <v/>
      </c>
      <c r="M903" s="4958">
        <v>4.0</v>
      </c>
      <c r="N903" s="4950"/>
      <c r="O903" s="4955" t="s">
        <v>194</v>
      </c>
      <c r="P903" s="4956">
        <f t="array" ref="P903">IFERROR(VLOOKUP(O888,Dex!$B$3:$N1218,10,FALSE),"")</f>
        <v>70</v>
      </c>
      <c r="Q903" s="4957" t="str">
        <f t="array" ref="Q903">IFERROR(VLOOKUP(P903,Dex!$P$22:$Q$276,2,FALSE),"")</f>
        <v/>
      </c>
      <c r="R903" s="4958">
        <v>4.0</v>
      </c>
      <c r="S903" s="2350"/>
      <c r="T903" s="2350"/>
      <c r="U903" s="2350"/>
      <c r="V903" s="2350"/>
      <c r="W903" s="2350"/>
      <c r="X903" s="4949"/>
      <c r="Y903" s="2350"/>
      <c r="Z903" s="2350"/>
      <c r="AA903" s="2350"/>
      <c r="AB903" s="2350"/>
      <c r="AC903" s="2350"/>
      <c r="AD903" s="2350"/>
      <c r="AE903" s="2350"/>
      <c r="AF903" s="2350"/>
      <c r="AG903" s="2350"/>
      <c r="AH903" s="2351"/>
      <c r="AI903" s="6192"/>
    </row>
    <row r="904" ht="16.5" customHeight="1">
      <c r="A904" s="6185"/>
      <c r="B904" s="2345"/>
      <c r="C904" s="2338"/>
      <c r="D904" s="4950"/>
      <c r="E904" s="4955" t="s">
        <v>195</v>
      </c>
      <c r="F904" s="4956">
        <f t="array" ref="F904">IFERROR(VLOOKUP(E888,Dex!$B$3:$N1218,11,FALSE),"")</f>
        <v>34</v>
      </c>
      <c r="G904" s="4957" t="str">
        <f t="array" ref="G904">IFERROR(VLOOKUP(F904,Dex!$P$22:$Q$276,2,FALSE),"")</f>
        <v/>
      </c>
      <c r="H904" s="4958"/>
      <c r="I904" s="4950"/>
      <c r="J904" s="4955" t="s">
        <v>195</v>
      </c>
      <c r="K904" s="4956">
        <f t="array" ref="K904">IFERROR(VLOOKUP(J888,Dex!$B$3:$N1218,11,FALSE),"")</f>
        <v>112</v>
      </c>
      <c r="L904" s="4957" t="str">
        <f t="array" ref="L904">IFERROR(VLOOKUP(K904,Dex!$P$22:$Q$276,2,FALSE),"")</f>
        <v/>
      </c>
      <c r="M904" s="4958">
        <v>252.0</v>
      </c>
      <c r="N904" s="4950"/>
      <c r="O904" s="4955" t="s">
        <v>195</v>
      </c>
      <c r="P904" s="4956">
        <f t="array" ref="P904">IFERROR(VLOOKUP(O888,Dex!$B$3:$N1218,11,FALSE),"")</f>
        <v>110</v>
      </c>
      <c r="Q904" s="4957" t="str">
        <f t="array" ref="Q904">IFERROR(VLOOKUP(P904,Dex!$P$22:$Q$276,2,FALSE),"")</f>
        <v/>
      </c>
      <c r="R904" s="4958"/>
      <c r="S904" s="2350"/>
      <c r="T904" s="2350"/>
      <c r="U904" s="2350"/>
      <c r="V904" s="2350"/>
      <c r="W904" s="2350"/>
      <c r="X904" s="4949"/>
      <c r="Y904" s="2350"/>
      <c r="Z904" s="2350"/>
      <c r="AA904" s="2350"/>
      <c r="AB904" s="2350"/>
      <c r="AC904" s="2350"/>
      <c r="AD904" s="2350"/>
      <c r="AE904" s="2350"/>
      <c r="AF904" s="2350"/>
      <c r="AG904" s="2350"/>
      <c r="AH904" s="2351"/>
      <c r="AI904" s="6192"/>
    </row>
    <row r="905" ht="16.5" customHeight="1">
      <c r="A905" s="6185"/>
      <c r="B905" s="2345"/>
      <c r="C905" s="2338"/>
      <c r="D905" s="4950"/>
      <c r="E905" s="4955" t="s">
        <v>196</v>
      </c>
      <c r="F905" s="4956">
        <f t="array" ref="F905">IFERROR(VLOOKUP(E888,Dex!$B$3:$N1218,12,FALSE),"")</f>
        <v>36</v>
      </c>
      <c r="G905" s="4957" t="str">
        <f t="array" ref="G905">IFERROR(VLOOKUP(F905,Dex!$P$22:$Q$276,2,FALSE),"")</f>
        <v/>
      </c>
      <c r="H905" s="4958"/>
      <c r="I905" s="4950"/>
      <c r="J905" s="4955" t="s">
        <v>196</v>
      </c>
      <c r="K905" s="4956">
        <f t="array" ref="K905">IFERROR(VLOOKUP(J888,Dex!$B$3:$N1218,12,FALSE),"")</f>
        <v>80</v>
      </c>
      <c r="L905" s="4957" t="str">
        <f t="array" ref="L905">IFERROR(VLOOKUP(K905,Dex!$P$22:$Q$276,2,FALSE),"")</f>
        <v/>
      </c>
      <c r="M905" s="4958"/>
      <c r="N905" s="4950"/>
      <c r="O905" s="4955" t="s">
        <v>196</v>
      </c>
      <c r="P905" s="4956">
        <f t="array" ref="P905">IFERROR(VLOOKUP(O888,Dex!$B$3:$N1218,12,FALSE),"")</f>
        <v>65</v>
      </c>
      <c r="Q905" s="4957" t="str">
        <f t="array" ref="Q905">IFERROR(VLOOKUP(P905,Dex!$P$22:$Q$276,2,FALSE),"")</f>
        <v/>
      </c>
      <c r="R905" s="4958"/>
      <c r="S905" s="2350"/>
      <c r="T905" s="2350"/>
      <c r="U905" s="2350"/>
      <c r="V905" s="2350"/>
      <c r="W905" s="2350"/>
      <c r="X905" s="4949"/>
      <c r="Y905" s="2350"/>
      <c r="Z905" s="2350"/>
      <c r="AA905" s="2350"/>
      <c r="AB905" s="2350"/>
      <c r="AC905" s="2350"/>
      <c r="AD905" s="2350"/>
      <c r="AE905" s="2350"/>
      <c r="AF905" s="2350"/>
      <c r="AG905" s="2350"/>
      <c r="AH905" s="2351"/>
      <c r="AI905" s="6192"/>
    </row>
    <row r="906" ht="16.5" customHeight="1">
      <c r="A906" s="6185"/>
      <c r="B906" s="2345"/>
      <c r="C906" s="2338"/>
      <c r="D906" s="4950"/>
      <c r="E906" s="4959" t="s">
        <v>197</v>
      </c>
      <c r="F906" s="4960">
        <f t="array" ref="F906">IFERROR(VLOOKUP(E888,Dex!$B$3:$N1218,13,FALSE),"")</f>
        <v>38</v>
      </c>
      <c r="G906" s="4961" t="str">
        <f t="array" ref="G906">IFERROR(VLOOKUP(F906,Dex!$P$22:$Q$276,2,FALSE),"")</f>
        <v/>
      </c>
      <c r="H906" s="4962"/>
      <c r="I906" s="4950"/>
      <c r="J906" s="4959" t="s">
        <v>197</v>
      </c>
      <c r="K906" s="4960">
        <f t="array" ref="K906">IFERROR(VLOOKUP(J888,Dex!$B$3:$N1218,13,FALSE),"")</f>
        <v>65</v>
      </c>
      <c r="L906" s="4961" t="str">
        <f t="array" ref="L906">IFERROR(VLOOKUP(K906,Dex!$P$22:$Q$276,2,FALSE),"")</f>
        <v/>
      </c>
      <c r="M906" s="4962"/>
      <c r="N906" s="4950"/>
      <c r="O906" s="4959" t="s">
        <v>197</v>
      </c>
      <c r="P906" s="4960">
        <f t="array" ref="P906">IFERROR(VLOOKUP(O888,Dex!$B$3:$N1218,13,FALSE),"")</f>
        <v>105</v>
      </c>
      <c r="Q906" s="4961" t="str">
        <f t="array" ref="Q906">IFERROR(VLOOKUP(P906,Dex!$P$22:$Q$276,2,FALSE),"")</f>
        <v/>
      </c>
      <c r="R906" s="4962">
        <v>252.0</v>
      </c>
      <c r="S906" s="2350"/>
      <c r="T906" s="2350"/>
      <c r="U906" s="2350"/>
      <c r="V906" s="2350"/>
      <c r="W906" s="2350"/>
      <c r="X906" s="4949"/>
      <c r="Y906" s="2350"/>
      <c r="Z906" s="2350"/>
      <c r="AA906" s="2350"/>
      <c r="AB906" s="2350"/>
      <c r="AC906" s="2350"/>
      <c r="AD906" s="2350"/>
      <c r="AE906" s="2350"/>
      <c r="AF906" s="2350"/>
      <c r="AG906" s="2350"/>
      <c r="AH906" s="2351"/>
      <c r="AI906" s="6192"/>
    </row>
    <row r="907" ht="16.5" customHeight="1">
      <c r="A907" s="6185"/>
      <c r="B907" s="2345"/>
      <c r="C907" s="2338"/>
      <c r="D907" s="4946"/>
      <c r="E907" s="4963" t="s">
        <v>198</v>
      </c>
      <c r="F907" s="405"/>
      <c r="G907" s="406"/>
      <c r="H907" s="4964">
        <v>90.0</v>
      </c>
      <c r="I907" s="4946"/>
      <c r="J907" s="4963" t="s">
        <v>198</v>
      </c>
      <c r="K907" s="405"/>
      <c r="L907" s="406"/>
      <c r="M907" s="4964">
        <v>164.0</v>
      </c>
      <c r="N907" s="4946"/>
      <c r="O907" s="4965" t="s">
        <v>198</v>
      </c>
      <c r="P907" s="918"/>
      <c r="Q907" s="6885"/>
      <c r="R907" s="6886">
        <v>339.0</v>
      </c>
      <c r="S907" s="2350"/>
      <c r="T907" s="2350"/>
      <c r="U907" s="2350"/>
      <c r="V907" s="2350"/>
      <c r="W907" s="2350"/>
      <c r="X907" s="5009"/>
      <c r="Y907" s="2350"/>
      <c r="Z907" s="2350"/>
      <c r="AA907" s="2350"/>
      <c r="AB907" s="2350"/>
      <c r="AC907" s="2350"/>
      <c r="AD907" s="2350"/>
      <c r="AE907" s="2350"/>
      <c r="AF907" s="2350"/>
      <c r="AG907" s="2350"/>
      <c r="AH907" s="2351"/>
      <c r="AI907" s="6192"/>
    </row>
    <row r="908" ht="16.5" customHeight="1">
      <c r="A908" s="6185"/>
      <c r="B908" s="6115"/>
      <c r="C908" s="6116"/>
      <c r="D908" s="6887"/>
      <c r="E908" s="2338"/>
      <c r="F908" s="2338"/>
      <c r="G908" s="2338"/>
      <c r="H908" s="2338"/>
      <c r="I908" s="6887"/>
      <c r="J908" s="2338"/>
      <c r="K908" s="2338"/>
      <c r="L908" s="2338"/>
      <c r="M908" s="2338"/>
      <c r="N908" s="6887"/>
      <c r="O908" s="4968" t="s">
        <v>510</v>
      </c>
      <c r="P908" s="925"/>
      <c r="Q908" s="6888"/>
      <c r="R908" s="6889">
        <v>508.0</v>
      </c>
      <c r="S908" s="6112"/>
      <c r="T908" s="2350"/>
      <c r="U908" s="4949"/>
      <c r="V908" s="2350"/>
      <c r="W908" s="2350"/>
      <c r="X908" s="2350"/>
      <c r="Y908" s="2350"/>
      <c r="Z908" s="6112"/>
      <c r="AA908" s="6112"/>
      <c r="AB908" s="6112"/>
      <c r="AC908" s="6112"/>
      <c r="AD908" s="6112"/>
      <c r="AE908" s="6112"/>
      <c r="AF908" s="6112"/>
      <c r="AG908" s="6112"/>
      <c r="AH908" s="6118"/>
      <c r="AI908" s="6192"/>
    </row>
    <row r="909" ht="15.0" customHeight="1">
      <c r="A909" s="6185"/>
      <c r="B909" s="2385"/>
      <c r="C909" s="2386"/>
      <c r="D909" s="4971"/>
      <c r="E909" s="4972"/>
      <c r="F909" s="4972"/>
      <c r="G909" s="4972"/>
      <c r="H909" s="4972"/>
      <c r="I909" s="4971"/>
      <c r="J909" s="4972"/>
      <c r="K909" s="4972"/>
      <c r="L909" s="4972"/>
      <c r="M909" s="4972"/>
      <c r="N909" s="4971"/>
      <c r="O909" s="4972"/>
      <c r="P909" s="4972"/>
      <c r="Q909" s="4972"/>
      <c r="R909" s="4972"/>
      <c r="S909" s="4971"/>
      <c r="T909" s="4972"/>
      <c r="U909" s="4972"/>
      <c r="V909" s="4972"/>
      <c r="W909" s="4972"/>
      <c r="X909" s="4971"/>
      <c r="Y909" s="2387"/>
      <c r="Z909" s="2387"/>
      <c r="AA909" s="2387"/>
      <c r="AB909" s="2387"/>
      <c r="AC909" s="2387"/>
      <c r="AD909" s="2387"/>
      <c r="AE909" s="2387"/>
      <c r="AF909" s="2387"/>
      <c r="AG909" s="2387"/>
      <c r="AH909" s="2389"/>
      <c r="AI909" s="6192"/>
    </row>
    <row r="910" ht="15.0" customHeight="1">
      <c r="A910" s="6185"/>
      <c r="B910" s="4925"/>
      <c r="C910" s="4926"/>
      <c r="D910" s="4926"/>
      <c r="E910" s="6884"/>
      <c r="F910" s="6884"/>
      <c r="G910" s="6884"/>
      <c r="H910" s="6884"/>
      <c r="I910" s="4926"/>
      <c r="J910" s="6884"/>
      <c r="K910" s="6884"/>
      <c r="L910" s="6884"/>
      <c r="M910" s="6884"/>
      <c r="N910" s="4926"/>
      <c r="O910" s="6884"/>
      <c r="P910" s="6884"/>
      <c r="Q910" s="6884"/>
      <c r="R910" s="6884"/>
      <c r="S910" s="4926"/>
      <c r="T910" s="6884"/>
      <c r="U910" s="6884"/>
      <c r="V910" s="6884"/>
      <c r="W910" s="6884"/>
      <c r="X910" s="4926"/>
      <c r="Y910" s="4926"/>
      <c r="Z910" s="4926"/>
      <c r="AA910" s="4926"/>
      <c r="AB910" s="4926"/>
      <c r="AC910" s="4926"/>
      <c r="AD910" s="4926"/>
      <c r="AE910" s="4926"/>
      <c r="AF910" s="4926"/>
      <c r="AG910" s="4926"/>
      <c r="AH910" s="4927"/>
      <c r="AI910" s="6192"/>
    </row>
    <row r="911" ht="96.75" customHeight="1">
      <c r="A911" s="6185"/>
      <c r="B911" s="2300"/>
      <c r="C911" s="4932" t="str">
        <f>IMAGE("https://i.ibb.co/Wv3HtLh/CueBall.png")</f>
        <v/>
      </c>
      <c r="D911" s="2492"/>
      <c r="E911" s="4933" t="str">
        <f t="array" ref="E911">IFERROR(VLOOKUP(E912,Dex!$B$3:$G1218,3,FALSE),"")</f>
        <v/>
      </c>
      <c r="F911" s="1830"/>
      <c r="G911" s="1830"/>
      <c r="H911" s="1831"/>
      <c r="I911" s="2492"/>
      <c r="J911" s="4933" t="str">
        <f t="array" ref="J911">IFERROR(VLOOKUP(J912,Dex!$B$3:$G1218,3,FALSE),"")</f>
        <v/>
      </c>
      <c r="K911" s="1830"/>
      <c r="L911" s="1830"/>
      <c r="M911" s="1831"/>
      <c r="N911" s="2492"/>
      <c r="O911" s="4933" t="str">
        <f t="array" ref="O911">IFERROR(VLOOKUP(O912,Dex!$B$3:$G1218,3,FALSE),"")</f>
        <v/>
      </c>
      <c r="P911" s="1830"/>
      <c r="Q911" s="1830"/>
      <c r="R911" s="1831"/>
      <c r="S911" s="2492"/>
      <c r="T911" s="4933" t="str">
        <f t="array" ref="T911">IFERROR(VLOOKUP(T912,Dex!$B$3:$G1218,3,FALSE),"")</f>
        <v/>
      </c>
      <c r="U911" s="1830"/>
      <c r="V911" s="1830"/>
      <c r="W911" s="1831"/>
      <c r="X911" s="5007"/>
      <c r="Y911" s="2270"/>
      <c r="Z911" s="2273"/>
      <c r="AA911" s="2273"/>
      <c r="AB911" s="2274"/>
      <c r="AC911" s="2493"/>
      <c r="AD911" s="2270"/>
      <c r="AE911" s="2273"/>
      <c r="AF911" s="2273"/>
      <c r="AG911" s="2274"/>
      <c r="AH911" s="2276"/>
      <c r="AI911" s="6192"/>
    </row>
    <row r="912" ht="18.75" customHeight="1">
      <c r="A912" s="6185"/>
      <c r="B912" s="2358"/>
      <c r="C912" s="4934" t="s">
        <v>1766</v>
      </c>
      <c r="E912" s="2292" t="s">
        <v>1168</v>
      </c>
      <c r="F912" s="2293"/>
      <c r="G912" s="2293"/>
      <c r="H912" s="2294"/>
      <c r="J912" s="6890" t="s">
        <v>1767</v>
      </c>
      <c r="K912" s="2293"/>
      <c r="L912" s="2293"/>
      <c r="M912" s="2294"/>
      <c r="O912" s="2292" t="s">
        <v>1229</v>
      </c>
      <c r="P912" s="2293"/>
      <c r="Q912" s="2293"/>
      <c r="R912" s="2294"/>
      <c r="T912" s="2292" t="s">
        <v>480</v>
      </c>
      <c r="U912" s="2293"/>
      <c r="V912" s="2293"/>
      <c r="W912" s="2294"/>
      <c r="Y912" s="2297"/>
      <c r="Z912" s="2273"/>
      <c r="AA912" s="2273"/>
      <c r="AB912" s="2274"/>
      <c r="AC912" s="2495"/>
      <c r="AD912" s="2297"/>
      <c r="AE912" s="2273"/>
      <c r="AF912" s="2273"/>
      <c r="AG912" s="2274"/>
      <c r="AH912" s="2298"/>
      <c r="AI912" s="6192"/>
    </row>
    <row r="913">
      <c r="A913" s="6185"/>
      <c r="B913" s="4935"/>
      <c r="C913" s="1489"/>
      <c r="E913" s="2496" t="s">
        <v>1502</v>
      </c>
      <c r="F913" s="2303"/>
      <c r="G913" s="2303"/>
      <c r="H913" s="2304"/>
      <c r="J913" s="2496" t="s">
        <v>1502</v>
      </c>
      <c r="K913" s="2303"/>
      <c r="L913" s="2303"/>
      <c r="M913" s="2304"/>
      <c r="O913" s="2496" t="s">
        <v>1502</v>
      </c>
      <c r="P913" s="2303"/>
      <c r="Q913" s="2303"/>
      <c r="R913" s="2304"/>
      <c r="T913" s="2496" t="s">
        <v>1502</v>
      </c>
      <c r="U913" s="2303"/>
      <c r="V913" s="2303"/>
      <c r="W913" s="2304"/>
      <c r="Y913" s="2704"/>
      <c r="Z913" s="2273"/>
      <c r="AA913" s="2273"/>
      <c r="AB913" s="2274"/>
      <c r="AC913" s="2495"/>
      <c r="AD913" s="2704"/>
      <c r="AE913" s="2273"/>
      <c r="AF913" s="2273"/>
      <c r="AG913" s="2274"/>
      <c r="AH913" s="4936"/>
      <c r="AI913" s="6192"/>
    </row>
    <row r="914" ht="25.5" customHeight="1">
      <c r="A914" s="6185"/>
      <c r="B914" s="2300"/>
      <c r="C914" s="3357"/>
      <c r="E914" s="2307"/>
      <c r="F914" s="2308" t="str">
        <f t="array" ref="F914">IFERROR(VLOOKUP(E912,Dex!$B$3:$H1218,5,FALSE),"")</f>
        <v/>
      </c>
      <c r="G914" s="2309" t="str">
        <f t="array" ref="G914">IFERROR(VLOOKUP(E912,Dex!$B$3:$H1218,7,FALSE),"")</f>
        <v/>
      </c>
      <c r="H914" s="2310"/>
      <c r="J914" s="2307"/>
      <c r="K914" s="2308" t="str">
        <f t="array" ref="K914">IFERROR(VLOOKUP(J912,Dex!$B$3:$H1218,5,FALSE),"")</f>
        <v/>
      </c>
      <c r="L914" s="2309" t="str">
        <f t="array" ref="L914">IFERROR(VLOOKUP(J912,Dex!$B$3:$H1218,7,FALSE),"")</f>
        <v/>
      </c>
      <c r="M914" s="2310"/>
      <c r="O914" s="2307"/>
      <c r="P914" s="2308" t="str">
        <f t="array" ref="P914">IFERROR(VLOOKUP(O912,Dex!$B$3:$H1218,5,FALSE),"")</f>
        <v/>
      </c>
      <c r="Q914" s="2309" t="str">
        <f t="array" ref="Q914">IFERROR(VLOOKUP(O912,Dex!$B$3:$H1218,7,FALSE),"")</f>
        <v/>
      </c>
      <c r="R914" s="2310"/>
      <c r="T914" s="2307"/>
      <c r="U914" s="2308" t="str">
        <f t="array" ref="U914">IFERROR(VLOOKUP(T912,Dex!$B$3:$H1218,5,FALSE),"")</f>
        <v/>
      </c>
      <c r="V914" s="2309" t="str">
        <f t="array" ref="V914">IFERROR(VLOOKUP(T912,Dex!$B$3:$H1218,7,FALSE),"")</f>
        <v/>
      </c>
      <c r="W914" s="2310"/>
      <c r="Y914" s="2270"/>
      <c r="Z914" s="2273"/>
      <c r="AA914" s="2273"/>
      <c r="AB914" s="2274"/>
      <c r="AC914" s="2495"/>
      <c r="AD914" s="2270"/>
      <c r="AE914" s="2273"/>
      <c r="AF914" s="2273"/>
      <c r="AG914" s="2274"/>
      <c r="AH914" s="2276"/>
      <c r="AI914" s="6192"/>
    </row>
    <row r="915" ht="2.25" customHeight="1">
      <c r="A915" s="6185"/>
      <c r="B915" s="2300"/>
      <c r="C915" s="2338"/>
      <c r="E915" s="2313"/>
      <c r="F915" s="2314"/>
      <c r="G915" s="2314"/>
      <c r="H915" s="2315"/>
      <c r="J915" s="2313"/>
      <c r="K915" s="2314"/>
      <c r="L915" s="2314"/>
      <c r="M915" s="2315"/>
      <c r="O915" s="2313"/>
      <c r="P915" s="2314"/>
      <c r="Q915" s="2314"/>
      <c r="R915" s="2315"/>
      <c r="T915" s="2313"/>
      <c r="U915" s="2314"/>
      <c r="V915" s="2314"/>
      <c r="W915" s="2315"/>
      <c r="Y915" s="2316"/>
      <c r="Z915" s="2316"/>
      <c r="AA915" s="2316"/>
      <c r="AB915" s="2316"/>
      <c r="AC915" s="2495"/>
      <c r="AD915" s="2316"/>
      <c r="AE915" s="2316"/>
      <c r="AF915" s="2316"/>
      <c r="AG915" s="2316"/>
      <c r="AH915" s="2276"/>
      <c r="AI915" s="6192"/>
    </row>
    <row r="916" ht="20.25" customHeight="1">
      <c r="A916" s="6185"/>
      <c r="B916" s="2268"/>
      <c r="C916" s="4937"/>
      <c r="E916" s="2317" t="s">
        <v>172</v>
      </c>
      <c r="F916" s="2318"/>
      <c r="G916" s="2318"/>
      <c r="H916" s="2319"/>
      <c r="J916" s="2317" t="s">
        <v>172</v>
      </c>
      <c r="K916" s="2318"/>
      <c r="L916" s="2318"/>
      <c r="M916" s="2319"/>
      <c r="O916" s="2317" t="s">
        <v>263</v>
      </c>
      <c r="P916" s="2318"/>
      <c r="Q916" s="2318"/>
      <c r="R916" s="2319"/>
      <c r="T916" s="2317" t="s">
        <v>172</v>
      </c>
      <c r="U916" s="2318"/>
      <c r="V916" s="2318"/>
      <c r="W916" s="2319"/>
      <c r="Y916" s="2270"/>
      <c r="Z916" s="2273"/>
      <c r="AA916" s="2273"/>
      <c r="AB916" s="2274"/>
      <c r="AC916" s="2495"/>
      <c r="AD916" s="2270"/>
      <c r="AE916" s="2273"/>
      <c r="AF916" s="2273"/>
      <c r="AG916" s="2274"/>
      <c r="AH916" s="2276"/>
      <c r="AI916" s="6192"/>
    </row>
    <row r="917">
      <c r="A917" s="6185"/>
      <c r="B917" s="2268"/>
      <c r="C917" s="2269"/>
      <c r="E917" s="2321" t="s">
        <v>1170</v>
      </c>
      <c r="F917" s="2273"/>
      <c r="G917" s="2273"/>
      <c r="H917" s="2322"/>
      <c r="J917" s="2321" t="s">
        <v>1768</v>
      </c>
      <c r="K917" s="2273"/>
      <c r="L917" s="2273"/>
      <c r="M917" s="2322"/>
      <c r="O917" s="2321" t="s">
        <v>551</v>
      </c>
      <c r="P917" s="2273"/>
      <c r="Q917" s="2273"/>
      <c r="R917" s="2322"/>
      <c r="T917" s="2321" t="s">
        <v>483</v>
      </c>
      <c r="U917" s="2273"/>
      <c r="V917" s="2273"/>
      <c r="W917" s="2322"/>
      <c r="Y917" s="2270"/>
      <c r="Z917" s="2273"/>
      <c r="AA917" s="2273"/>
      <c r="AB917" s="2274"/>
      <c r="AC917" s="2495"/>
      <c r="AD917" s="2270"/>
      <c r="AE917" s="2273"/>
      <c r="AF917" s="2273"/>
      <c r="AG917" s="2274"/>
      <c r="AH917" s="2276"/>
      <c r="AI917" s="6192"/>
    </row>
    <row r="918" ht="20.25" customHeight="1">
      <c r="A918" s="6185"/>
      <c r="B918" s="2268"/>
      <c r="C918" s="2269"/>
      <c r="E918" s="2323" t="s">
        <v>1618</v>
      </c>
      <c r="F918" s="2324"/>
      <c r="G918" s="4930"/>
      <c r="H918" s="4938" t="str">
        <f>IMAGE("https://raw.githubusercontent.com/msikma/pokesprite/master/items/z-crystals/fightinium-z--held.png",3)</f>
        <v/>
      </c>
      <c r="J918" s="2323" t="s">
        <v>1247</v>
      </c>
      <c r="K918" s="2324"/>
      <c r="L918" s="4930"/>
      <c r="M918" s="4938" t="str">
        <f>IMAGE("https://raw.githubusercontent.com/msikma/pokesprite/master/items/mega-stone/charizardite-y.png",3)</f>
        <v/>
      </c>
      <c r="O918" s="2323" t="s">
        <v>473</v>
      </c>
      <c r="P918" s="2324"/>
      <c r="Q918" s="4930"/>
      <c r="R918" s="4938" t="str">
        <f>IMAGE("https://raw.githubusercontent.com/msikma/pokesprite/master/items/hold-item/assault-vest.png",3)</f>
        <v/>
      </c>
      <c r="T918" s="2323" t="s">
        <v>1519</v>
      </c>
      <c r="U918" s="2324"/>
      <c r="V918" s="4930"/>
      <c r="W918" s="4938" t="str">
        <f>IMAGE("https://raw.githubusercontent.com/msikma/pokesprite/master/items/gem/flying.png",3)</f>
        <v/>
      </c>
      <c r="Y918" s="2270"/>
      <c r="Z918" s="2273"/>
      <c r="AA918" s="2273"/>
      <c r="AB918" s="2274"/>
      <c r="AC918" s="2495"/>
      <c r="AD918" s="2270"/>
      <c r="AE918" s="2273"/>
      <c r="AF918" s="2273"/>
      <c r="AG918" s="2274"/>
      <c r="AH918" s="2276"/>
      <c r="AI918" s="6192"/>
    </row>
    <row r="919" ht="20.25" customHeight="1">
      <c r="A919" s="6185"/>
      <c r="B919" s="2268"/>
      <c r="C919" s="2338"/>
      <c r="E919" s="2317" t="s">
        <v>316</v>
      </c>
      <c r="F919" s="2318"/>
      <c r="G919" s="2327"/>
      <c r="H919" s="4939" t="str">
        <f>IMAGE("https://raw.githubusercontent.com/msikma/pokesprite/master/misc/types/gen8/fighting.png",4,20,20)</f>
        <v/>
      </c>
      <c r="J919" s="2317" t="s">
        <v>402</v>
      </c>
      <c r="K919" s="2318"/>
      <c r="L919" s="2327"/>
      <c r="M919" s="4939" t="str">
        <f>IMAGE("https://raw.githubusercontent.com/msikma/pokesprite/master/misc/types/gen8/ground.png",4,20,20)</f>
        <v/>
      </c>
      <c r="O919" s="2317" t="s">
        <v>380</v>
      </c>
      <c r="P919" s="2318"/>
      <c r="Q919" s="2327"/>
      <c r="R919" s="4939" t="str">
        <f>IMAGE("https://raw.githubusercontent.com/msikma/pokesprite/master/misc/types/gen8/dragon.png",4,20,20)</f>
        <v/>
      </c>
      <c r="T919" s="2317" t="s">
        <v>489</v>
      </c>
      <c r="U919" s="2318"/>
      <c r="V919" s="2327"/>
      <c r="W919" s="4939" t="str">
        <f>IMAGE("https://raw.githubusercontent.com/msikma/pokesprite/master/misc/types/gen8/normal.png",4,20,20)</f>
        <v/>
      </c>
      <c r="Y919" s="2270"/>
      <c r="Z919" s="2273"/>
      <c r="AA919" s="2273"/>
      <c r="AB919" s="2274"/>
      <c r="AC919" s="2495"/>
      <c r="AD919" s="2270"/>
      <c r="AE919" s="2273"/>
      <c r="AF919" s="2273"/>
      <c r="AG919" s="2274"/>
      <c r="AH919" s="2276"/>
      <c r="AI919" s="6192"/>
    </row>
    <row r="920" ht="20.25" customHeight="1">
      <c r="A920" s="6185"/>
      <c r="B920" s="2268"/>
      <c r="C920" s="2338"/>
      <c r="E920" s="2321" t="s">
        <v>378</v>
      </c>
      <c r="F920" s="2273"/>
      <c r="G920" s="2274"/>
      <c r="H920" s="4940" t="str">
        <f>IMAGE("https://raw.githubusercontent.com/msikma/pokesprite/master/misc/types/gen8/fire.png",4,20,20)</f>
        <v/>
      </c>
      <c r="J920" s="2321" t="s">
        <v>523</v>
      </c>
      <c r="K920" s="2273"/>
      <c r="L920" s="2274"/>
      <c r="M920" s="4940" t="str">
        <f>IMAGE("https://raw.githubusercontent.com/msikma/pokesprite/master/misc/types/gen8/bug.png",4,20,20)</f>
        <v/>
      </c>
      <c r="O920" s="2321" t="s">
        <v>404</v>
      </c>
      <c r="P920" s="2273"/>
      <c r="Q920" s="2274"/>
      <c r="R920" s="4940" t="str">
        <f>IMAGE("https://raw.githubusercontent.com/msikma/pokesprite/master/misc/types/gen8/steel.png",4,20,20)</f>
        <v/>
      </c>
      <c r="T920" s="2321" t="s">
        <v>493</v>
      </c>
      <c r="U920" s="2273"/>
      <c r="V920" s="2274"/>
      <c r="W920" s="4940" t="str">
        <f>IMAGE("https://raw.githubusercontent.com/msikma/pokesprite/master/misc/types/gen8/flying.png",4,20,20)</f>
        <v/>
      </c>
      <c r="Y920" s="2270"/>
      <c r="Z920" s="2273"/>
      <c r="AA920" s="2273"/>
      <c r="AB920" s="2274"/>
      <c r="AC920" s="2495"/>
      <c r="AD920" s="2270"/>
      <c r="AE920" s="2273"/>
      <c r="AF920" s="2273"/>
      <c r="AG920" s="2274"/>
      <c r="AH920" s="2276"/>
      <c r="AI920" s="6192"/>
    </row>
    <row r="921" ht="20.25" customHeight="1">
      <c r="A921" s="6185"/>
      <c r="B921" s="2268"/>
      <c r="C921" s="2338"/>
      <c r="E921" s="2321" t="s">
        <v>431</v>
      </c>
      <c r="F921" s="2273"/>
      <c r="G921" s="2274"/>
      <c r="H921" s="4940" t="str">
        <f>IMAGE("https://raw.githubusercontent.com/msikma/pokesprite/master/misc/types/gen8/rock.png",4,20,20)</f>
        <v/>
      </c>
      <c r="J921" s="2321" t="s">
        <v>565</v>
      </c>
      <c r="K921" s="2273"/>
      <c r="L921" s="2274"/>
      <c r="M921" s="4940" t="str">
        <f>IMAGE("https://raw.githubusercontent.com/msikma/pokesprite/master/misc/types/gen8/poison.png",4,20,20)</f>
        <v/>
      </c>
      <c r="O921" s="2321" t="s">
        <v>372</v>
      </c>
      <c r="P921" s="2273"/>
      <c r="Q921" s="2274"/>
      <c r="R921" s="4940" t="str">
        <f>IMAGE("https://raw.githubusercontent.com/msikma/pokesprite/master/misc/types/gen8/fire.png",4,20,20)</f>
        <v/>
      </c>
      <c r="T921" s="2321" t="s">
        <v>316</v>
      </c>
      <c r="U921" s="2273"/>
      <c r="V921" s="2274"/>
      <c r="W921" s="4940" t="str">
        <f>IMAGE("https://raw.githubusercontent.com/msikma/pokesprite/master/misc/types/gen8/fighting.png",4,20,20)</f>
        <v/>
      </c>
      <c r="Y921" s="2270"/>
      <c r="Z921" s="2273"/>
      <c r="AA921" s="2273"/>
      <c r="AB921" s="2274"/>
      <c r="AC921" s="2495"/>
      <c r="AD921" s="2270"/>
      <c r="AE921" s="2273"/>
      <c r="AF921" s="2273"/>
      <c r="AG921" s="2274"/>
      <c r="AH921" s="2276"/>
      <c r="AI921" s="6192"/>
    </row>
    <row r="922" ht="21.0" customHeight="1">
      <c r="A922" s="6185"/>
      <c r="B922" s="2268"/>
      <c r="C922" s="2338"/>
      <c r="D922" s="2497"/>
      <c r="E922" s="2330" t="s">
        <v>435</v>
      </c>
      <c r="F922" s="2331"/>
      <c r="G922" s="2332"/>
      <c r="H922" s="4941" t="str">
        <f>IMAGE("https://raw.githubusercontent.com/msikma/pokesprite/master/misc/types/gen8/electric.png",4,20,20)</f>
        <v/>
      </c>
      <c r="I922" s="2497"/>
      <c r="J922" s="2330" t="s">
        <v>399</v>
      </c>
      <c r="K922" s="2331"/>
      <c r="L922" s="2332"/>
      <c r="M922" s="4941" t="str">
        <f>IMAGE("https://raw.githubusercontent.com/msikma/pokesprite/master/misc/types/gen8/rock.png",4,20,20)</f>
        <v/>
      </c>
      <c r="N922" s="2497"/>
      <c r="O922" s="2330" t="s">
        <v>280</v>
      </c>
      <c r="P922" s="2331"/>
      <c r="Q922" s="2332"/>
      <c r="R922" s="4941" t="str">
        <f>IMAGE("https://raw.githubusercontent.com/msikma/pokesprite/master/misc/types/gen8/poison.png",4,20,20)</f>
        <v/>
      </c>
      <c r="S922" s="2497"/>
      <c r="T922" s="2330" t="s">
        <v>1398</v>
      </c>
      <c r="U922" s="2331"/>
      <c r="V922" s="2332"/>
      <c r="W922" s="4941" t="str">
        <f>IMAGE("https://raw.githubusercontent.com/msikma/pokesprite/master/misc/types/gen8/dark.png",4,20,20)</f>
        <v/>
      </c>
      <c r="X922" s="2497"/>
      <c r="Y922" s="2270"/>
      <c r="Z922" s="2273"/>
      <c r="AA922" s="2273"/>
      <c r="AB922" s="2274"/>
      <c r="AC922" s="2498"/>
      <c r="AD922" s="2270"/>
      <c r="AE922" s="2273"/>
      <c r="AF922" s="2273"/>
      <c r="AG922" s="2274"/>
      <c r="AH922" s="2276"/>
      <c r="AI922" s="6192"/>
    </row>
    <row r="923" ht="3.0" customHeight="1">
      <c r="A923" s="6185"/>
      <c r="B923" s="2337"/>
      <c r="C923" s="2338"/>
      <c r="D923" s="2339"/>
      <c r="E923" s="4942"/>
      <c r="F923" s="4942"/>
      <c r="G923" s="4942"/>
      <c r="H923" s="4943"/>
      <c r="I923" s="2339"/>
      <c r="J923" s="4944"/>
      <c r="K923" s="4944"/>
      <c r="L923" s="4944"/>
      <c r="M923" s="4943"/>
      <c r="N923" s="2339"/>
      <c r="O923" s="4944"/>
      <c r="P923" s="4944"/>
      <c r="Q923" s="4944"/>
      <c r="R923" s="4943"/>
      <c r="S923" s="2339"/>
      <c r="T923" s="4944"/>
      <c r="U923" s="4944"/>
      <c r="V923" s="4944"/>
      <c r="W923" s="4943"/>
      <c r="X923" s="2339"/>
      <c r="Y923" s="2342"/>
      <c r="Z923" s="2342"/>
      <c r="AA923" s="2342"/>
      <c r="AB923" s="2342"/>
      <c r="AC923" s="2342"/>
      <c r="AD923" s="2342"/>
      <c r="AE923" s="2342"/>
      <c r="AF923" s="2342"/>
      <c r="AG923" s="2342"/>
      <c r="AH923" s="2343"/>
      <c r="AI923" s="6192"/>
    </row>
    <row r="924" ht="16.5" customHeight="1">
      <c r="A924" s="6185"/>
      <c r="B924" s="2345"/>
      <c r="C924" s="2338"/>
      <c r="D924" s="4946"/>
      <c r="E924" s="4947" t="s">
        <v>190</v>
      </c>
      <c r="F924" s="381"/>
      <c r="G924" s="382"/>
      <c r="H924" s="4948" t="s">
        <v>191</v>
      </c>
      <c r="I924" s="4946"/>
      <c r="J924" s="4947" t="s">
        <v>190</v>
      </c>
      <c r="K924" s="381"/>
      <c r="L924" s="382"/>
      <c r="M924" s="4948" t="s">
        <v>191</v>
      </c>
      <c r="N924" s="4946"/>
      <c r="O924" s="4947" t="s">
        <v>190</v>
      </c>
      <c r="P924" s="381"/>
      <c r="Q924" s="382"/>
      <c r="R924" s="4948" t="s">
        <v>191</v>
      </c>
      <c r="S924" s="2350"/>
      <c r="T924" s="4947" t="s">
        <v>190</v>
      </c>
      <c r="U924" s="381"/>
      <c r="V924" s="382"/>
      <c r="W924" s="4948" t="s">
        <v>191</v>
      </c>
      <c r="X924" s="5009"/>
      <c r="Y924" s="2350"/>
      <c r="Z924" s="2350"/>
      <c r="AA924" s="2350"/>
      <c r="AB924" s="2350"/>
      <c r="AC924" s="2350"/>
      <c r="AD924" s="2350"/>
      <c r="AE924" s="2350"/>
      <c r="AF924" s="2350"/>
      <c r="AG924" s="2350"/>
      <c r="AH924" s="2351"/>
      <c r="AI924" s="6192"/>
    </row>
    <row r="925" ht="16.5" customHeight="1">
      <c r="A925" s="6185"/>
      <c r="B925" s="2345"/>
      <c r="C925" s="2338"/>
      <c r="D925" s="4950"/>
      <c r="E925" s="4951" t="s">
        <v>192</v>
      </c>
      <c r="F925" s="4952">
        <f t="array" ref="F925">IFERROR(VLOOKUP(E912,Dex!$B$3:$N1218,8,FALSE),"")</f>
        <v>110</v>
      </c>
      <c r="G925" s="4953" t="str">
        <f t="array" ref="G925">IFERROR(VLOOKUP(F925,Dex!$P$22:$Q$276,2,FALSE),"")</f>
        <v/>
      </c>
      <c r="H925" s="4954"/>
      <c r="I925" s="4950"/>
      <c r="J925" s="4951" t="s">
        <v>192</v>
      </c>
      <c r="K925" s="4952">
        <f t="array" ref="K925">IFERROR(VLOOKUP(J912,Dex!$B$3:$N1218,8,FALSE),"")</f>
        <v>100</v>
      </c>
      <c r="L925" s="4953" t="str">
        <f t="array" ref="L925">IFERROR(VLOOKUP(K925,Dex!$P$22:$Q$276,2,FALSE),"")</f>
        <v/>
      </c>
      <c r="M925" s="4954"/>
      <c r="N925" s="4950"/>
      <c r="O925" s="4951" t="s">
        <v>192</v>
      </c>
      <c r="P925" s="4952">
        <f t="array" ref="P925">IFERROR(VLOOKUP(O912,Dex!$B$3:$N1218,8,FALSE),"")</f>
        <v>80</v>
      </c>
      <c r="Q925" s="4953" t="str">
        <f t="array" ref="Q925">IFERROR(VLOOKUP(P925,Dex!$P$22:$Q$276,2,FALSE),"")</f>
        <v/>
      </c>
      <c r="R925" s="4954">
        <v>252.0</v>
      </c>
      <c r="S925" s="2350"/>
      <c r="T925" s="4951" t="s">
        <v>192</v>
      </c>
      <c r="U925" s="4952">
        <f t="array" ref="U925">IFERROR(VLOOKUP(T912,Dex!$B$3:$N1218,8,FALSE),"")</f>
        <v>78</v>
      </c>
      <c r="V925" s="4953" t="str">
        <f t="array" ref="V925">IFERROR(VLOOKUP(U925,Dex!$P$22:$Q$276,2,FALSE),"")</f>
        <v/>
      </c>
      <c r="W925" s="4954"/>
      <c r="X925" s="4949"/>
      <c r="Y925" s="2350"/>
      <c r="Z925" s="2350"/>
      <c r="AA925" s="2350"/>
      <c r="AB925" s="2350"/>
      <c r="AC925" s="2350"/>
      <c r="AD925" s="2350"/>
      <c r="AE925" s="2350"/>
      <c r="AF925" s="2350"/>
      <c r="AG925" s="2350"/>
      <c r="AH925" s="2351"/>
      <c r="AI925" s="6192"/>
    </row>
    <row r="926" ht="16.5" customHeight="1">
      <c r="A926" s="6185"/>
      <c r="B926" s="2345"/>
      <c r="C926" s="2338"/>
      <c r="D926" s="4950"/>
      <c r="E926" s="4955" t="s">
        <v>193</v>
      </c>
      <c r="F926" s="4956">
        <f t="array" ref="F926">IFERROR(VLOOKUP(E912,Dex!$B$3:$N1218,9,FALSE),"")</f>
        <v>123</v>
      </c>
      <c r="G926" s="4957" t="str">
        <f t="array" ref="G926">IFERROR(VLOOKUP(F926,Dex!$P$22:$Q$276,2,FALSE),"")</f>
        <v/>
      </c>
      <c r="H926" s="4958">
        <v>252.0</v>
      </c>
      <c r="I926" s="4950"/>
      <c r="J926" s="4955" t="s">
        <v>193</v>
      </c>
      <c r="K926" s="4956">
        <f t="array" ref="K926">IFERROR(VLOOKUP(J912,Dex!$B$3:$N1218,9,FALSE),"")</f>
        <v>150</v>
      </c>
      <c r="L926" s="4957" t="str">
        <f t="array" ref="L926">IFERROR(VLOOKUP(K926,Dex!$P$22:$Q$276,2,FALSE),"")</f>
        <v/>
      </c>
      <c r="M926" s="4958">
        <v>252.0</v>
      </c>
      <c r="N926" s="4950"/>
      <c r="O926" s="4955" t="s">
        <v>193</v>
      </c>
      <c r="P926" s="4956">
        <f t="array" ref="P926">IFERROR(VLOOKUP(O912,Dex!$B$3:$N1218,9,FALSE),"")</f>
        <v>100</v>
      </c>
      <c r="Q926" s="4957" t="str">
        <f t="array" ref="Q926">IFERROR(VLOOKUP(P926,Dex!$P$22:$Q$276,2,FALSE),"")</f>
        <v/>
      </c>
      <c r="R926" s="4958"/>
      <c r="S926" s="2350"/>
      <c r="T926" s="4955" t="s">
        <v>193</v>
      </c>
      <c r="U926" s="4956">
        <f t="array" ref="U926">IFERROR(VLOOKUP(T912,Dex!$B$3:$N1218,9,FALSE),"")</f>
        <v>92</v>
      </c>
      <c r="V926" s="4957" t="str">
        <f t="array" ref="V926">IFERROR(VLOOKUP(U926,Dex!$P$22:$Q$276,2,FALSE),"")</f>
        <v/>
      </c>
      <c r="W926" s="4958">
        <v>252.0</v>
      </c>
      <c r="X926" s="4949"/>
      <c r="Y926" s="2350"/>
      <c r="Z926" s="2350"/>
      <c r="AA926" s="2350"/>
      <c r="AB926" s="2350"/>
      <c r="AC926" s="2350"/>
      <c r="AD926" s="2350"/>
      <c r="AE926" s="2350"/>
      <c r="AF926" s="2350"/>
      <c r="AG926" s="2350"/>
      <c r="AH926" s="2351"/>
      <c r="AI926" s="6192"/>
    </row>
    <row r="927" ht="16.5" customHeight="1">
      <c r="A927" s="6185"/>
      <c r="B927" s="2345"/>
      <c r="C927" s="2338"/>
      <c r="D927" s="4950"/>
      <c r="E927" s="4955" t="s">
        <v>194</v>
      </c>
      <c r="F927" s="4956">
        <f t="array" ref="F927">IFERROR(VLOOKUP(E912,Dex!$B$3:$N1218,10,FALSE),"")</f>
        <v>65</v>
      </c>
      <c r="G927" s="4957" t="str">
        <f t="array" ref="G927">IFERROR(VLOOKUP(F927,Dex!$P$22:$Q$276,2,FALSE),"")</f>
        <v/>
      </c>
      <c r="H927" s="4958">
        <v>4.0</v>
      </c>
      <c r="I927" s="4950"/>
      <c r="J927" s="4955" t="s">
        <v>194</v>
      </c>
      <c r="K927" s="4956">
        <f t="array" ref="K927">IFERROR(VLOOKUP(J912,Dex!$B$3:$N1218,10,FALSE),"")</f>
        <v>80</v>
      </c>
      <c r="L927" s="4957" t="str">
        <f t="array" ref="L927">IFERROR(VLOOKUP(K927,Dex!$P$22:$Q$276,2,FALSE),"")</f>
        <v/>
      </c>
      <c r="M927" s="4958">
        <v>4.0</v>
      </c>
      <c r="N927" s="4950"/>
      <c r="O927" s="4955" t="s">
        <v>194</v>
      </c>
      <c r="P927" s="4956">
        <f t="array" ref="P927">IFERROR(VLOOKUP(O912,Dex!$B$3:$N1218,10,FALSE),"")</f>
        <v>100</v>
      </c>
      <c r="Q927" s="4957" t="str">
        <f t="array" ref="Q927">IFERROR(VLOOKUP(P927,Dex!$P$22:$Q$276,2,FALSE),"")</f>
        <v/>
      </c>
      <c r="R927" s="4958">
        <v>4.0</v>
      </c>
      <c r="S927" s="2350"/>
      <c r="T927" s="4955" t="s">
        <v>194</v>
      </c>
      <c r="U927" s="4956">
        <f t="array" ref="U927">IFERROR(VLOOKUP(T912,Dex!$B$3:$N1218,10,FALSE),"")</f>
        <v>75</v>
      </c>
      <c r="V927" s="4957" t="str">
        <f t="array" ref="V927">IFERROR(VLOOKUP(U927,Dex!$P$22:$Q$276,2,FALSE),"")</f>
        <v/>
      </c>
      <c r="W927" s="4958">
        <v>4.0</v>
      </c>
      <c r="X927" s="4949"/>
      <c r="Y927" s="2350"/>
      <c r="Z927" s="2350"/>
      <c r="AA927" s="2350"/>
      <c r="AB927" s="2350"/>
      <c r="AC927" s="2350"/>
      <c r="AD927" s="2350"/>
      <c r="AE927" s="2350"/>
      <c r="AF927" s="2350"/>
      <c r="AG927" s="2350"/>
      <c r="AH927" s="2351"/>
      <c r="AI927" s="6192"/>
    </row>
    <row r="928" ht="16.5" customHeight="1">
      <c r="A928" s="6185"/>
      <c r="B928" s="2345"/>
      <c r="C928" s="2338"/>
      <c r="D928" s="4950"/>
      <c r="E928" s="4955" t="s">
        <v>195</v>
      </c>
      <c r="F928" s="4956">
        <f t="array" ref="F928">IFERROR(VLOOKUP(E912,Dex!$B$3:$N1218,11,FALSE),"")</f>
        <v>100</v>
      </c>
      <c r="G928" s="4957" t="str">
        <f t="array" ref="G928">IFERROR(VLOOKUP(F928,Dex!$P$22:$Q$276,2,FALSE),"")</f>
        <v/>
      </c>
      <c r="H928" s="4958"/>
      <c r="I928" s="4950"/>
      <c r="J928" s="4955" t="s">
        <v>195</v>
      </c>
      <c r="K928" s="4956">
        <f t="array" ref="K928">IFERROR(VLOOKUP(J912,Dex!$B$3:$N1218,11,FALSE),"")</f>
        <v>75</v>
      </c>
      <c r="L928" s="4957" t="str">
        <f t="array" ref="L928">IFERROR(VLOOKUP(K928,Dex!$P$22:$Q$276,2,FALSE),"")</f>
        <v/>
      </c>
      <c r="M928" s="4958"/>
      <c r="N928" s="4950"/>
      <c r="O928" s="4955" t="s">
        <v>195</v>
      </c>
      <c r="P928" s="4956">
        <f t="array" ref="P928">IFERROR(VLOOKUP(O912,Dex!$B$3:$N1218,11,FALSE),"")</f>
        <v>110</v>
      </c>
      <c r="Q928" s="4957" t="str">
        <f t="array" ref="Q928">IFERROR(VLOOKUP(P928,Dex!$P$22:$Q$276,2,FALSE),"")</f>
        <v/>
      </c>
      <c r="R928" s="4958">
        <v>252.0</v>
      </c>
      <c r="S928" s="2350"/>
      <c r="T928" s="4955" t="s">
        <v>195</v>
      </c>
      <c r="U928" s="4956">
        <f t="array" ref="U928">IFERROR(VLOOKUP(T912,Dex!$B$3:$N1218,11,FALSE),"")</f>
        <v>74</v>
      </c>
      <c r="V928" s="4957" t="str">
        <f t="array" ref="V928">IFERROR(VLOOKUP(U928,Dex!$P$22:$Q$276,2,FALSE),"")</f>
        <v/>
      </c>
      <c r="W928" s="4958"/>
      <c r="X928" s="4949"/>
      <c r="Y928" s="2350"/>
      <c r="Z928" s="2350"/>
      <c r="AA928" s="2350"/>
      <c r="AB928" s="2350"/>
      <c r="AC928" s="2350"/>
      <c r="AD928" s="2350"/>
      <c r="AE928" s="2350"/>
      <c r="AF928" s="2350"/>
      <c r="AG928" s="2350"/>
      <c r="AH928" s="2351"/>
      <c r="AI928" s="6192"/>
    </row>
    <row r="929" ht="16.5" customHeight="1">
      <c r="A929" s="6185"/>
      <c r="B929" s="2345"/>
      <c r="C929" s="2338"/>
      <c r="D929" s="4950"/>
      <c r="E929" s="4955" t="s">
        <v>196</v>
      </c>
      <c r="F929" s="4956">
        <f t="array" ref="F929">IFERROR(VLOOKUP(E912,Dex!$B$3:$N1218,12,FALSE),"")</f>
        <v>65</v>
      </c>
      <c r="G929" s="4957" t="str">
        <f t="array" ref="G929">IFERROR(VLOOKUP(F929,Dex!$P$22:$Q$276,2,FALSE),"")</f>
        <v/>
      </c>
      <c r="H929" s="4958"/>
      <c r="I929" s="4950"/>
      <c r="J929" s="4955" t="s">
        <v>196</v>
      </c>
      <c r="K929" s="4956">
        <f t="array" ref="K929">IFERROR(VLOOKUP(J912,Dex!$B$3:$N1218,12,FALSE),"")</f>
        <v>100</v>
      </c>
      <c r="L929" s="4957" t="str">
        <f t="array" ref="L929">IFERROR(VLOOKUP(K929,Dex!$P$22:$Q$276,2,FALSE),"")</f>
        <v/>
      </c>
      <c r="M929" s="4958"/>
      <c r="N929" s="4950"/>
      <c r="O929" s="4955" t="s">
        <v>196</v>
      </c>
      <c r="P929" s="4956">
        <f t="array" ref="P929">IFERROR(VLOOKUP(O912,Dex!$B$3:$N1218,12,FALSE),"")</f>
        <v>150</v>
      </c>
      <c r="Q929" s="4957" t="str">
        <f t="array" ref="Q929">IFERROR(VLOOKUP(P929,Dex!$P$22:$Q$276,2,FALSE),"")</f>
        <v/>
      </c>
      <c r="R929" s="4958"/>
      <c r="S929" s="2350"/>
      <c r="T929" s="4955" t="s">
        <v>196</v>
      </c>
      <c r="U929" s="4956">
        <f t="array" ref="U929">IFERROR(VLOOKUP(T912,Dex!$B$3:$N1218,12,FALSE),"")</f>
        <v>63</v>
      </c>
      <c r="V929" s="4957" t="str">
        <f t="array" ref="V929">IFERROR(VLOOKUP(U929,Dex!$P$22:$Q$276,2,FALSE),"")</f>
        <v/>
      </c>
      <c r="W929" s="4958"/>
      <c r="X929" s="4949"/>
      <c r="Y929" s="2350"/>
      <c r="Z929" s="2350"/>
      <c r="AA929" s="2350"/>
      <c r="AB929" s="2350"/>
      <c r="AC929" s="2350"/>
      <c r="AD929" s="2350"/>
      <c r="AE929" s="2350"/>
      <c r="AF929" s="2350"/>
      <c r="AG929" s="2350"/>
      <c r="AH929" s="2351"/>
      <c r="AI929" s="6192"/>
    </row>
    <row r="930" ht="16.5" customHeight="1">
      <c r="A930" s="6185"/>
      <c r="B930" s="2345"/>
      <c r="C930" s="2338"/>
      <c r="D930" s="4950"/>
      <c r="E930" s="4959" t="s">
        <v>197</v>
      </c>
      <c r="F930" s="4960">
        <f t="array" ref="F930">IFERROR(VLOOKUP(E912,Dex!$B$3:$N1218,13,FALSE),"")</f>
        <v>65</v>
      </c>
      <c r="G930" s="4961" t="str">
        <f t="array" ref="G930">IFERROR(VLOOKUP(F930,Dex!$P$22:$Q$276,2,FALSE),"")</f>
        <v/>
      </c>
      <c r="H930" s="4962">
        <v>252.0</v>
      </c>
      <c r="I930" s="4950"/>
      <c r="J930" s="4959" t="s">
        <v>197</v>
      </c>
      <c r="K930" s="4960">
        <f t="array" ref="K930">IFERROR(VLOOKUP(J912,Dex!$B$3:$N1218,13,FALSE),"")</f>
        <v>120</v>
      </c>
      <c r="L930" s="4961" t="str">
        <f t="array" ref="L930">IFERROR(VLOOKUP(K930,Dex!$P$22:$Q$276,2,FALSE),"")</f>
        <v/>
      </c>
      <c r="M930" s="4962">
        <v>252.0</v>
      </c>
      <c r="N930" s="4950"/>
      <c r="O930" s="4959" t="s">
        <v>197</v>
      </c>
      <c r="P930" s="4960">
        <f t="array" ref="P930">IFERROR(VLOOKUP(O912,Dex!$B$3:$N1218,13,FALSE),"")</f>
        <v>60</v>
      </c>
      <c r="Q930" s="4961" t="str">
        <f t="array" ref="Q930">IFERROR(VLOOKUP(P930,Dex!$P$22:$Q$276,2,FALSE),"")</f>
        <v/>
      </c>
      <c r="R930" s="4962"/>
      <c r="S930" s="2350"/>
      <c r="T930" s="4959" t="s">
        <v>197</v>
      </c>
      <c r="U930" s="4960">
        <f t="array" ref="U930">IFERROR(VLOOKUP(T912,Dex!$B$3:$N1218,13,FALSE),"")</f>
        <v>118</v>
      </c>
      <c r="V930" s="4961" t="str">
        <f t="array" ref="V930">IFERROR(VLOOKUP(U930,Dex!$P$22:$Q$276,2,FALSE),"")</f>
        <v/>
      </c>
      <c r="W930" s="4962">
        <v>252.0</v>
      </c>
      <c r="X930" s="4949"/>
      <c r="Y930" s="2350"/>
      <c r="Z930" s="2350"/>
      <c r="AA930" s="2350"/>
      <c r="AB930" s="2350"/>
      <c r="AC930" s="2350"/>
      <c r="AD930" s="2350"/>
      <c r="AE930" s="2350"/>
      <c r="AF930" s="2350"/>
      <c r="AG930" s="2350"/>
      <c r="AH930" s="2351"/>
      <c r="AI930" s="6192"/>
    </row>
    <row r="931" ht="16.5" customHeight="1">
      <c r="A931" s="6185"/>
      <c r="B931" s="2345"/>
      <c r="C931" s="2338"/>
      <c r="D931" s="4946"/>
      <c r="E931" s="4965" t="s">
        <v>198</v>
      </c>
      <c r="F931" s="918"/>
      <c r="G931" s="919"/>
      <c r="H931" s="4966">
        <v>251.0</v>
      </c>
      <c r="I931" s="4946"/>
      <c r="J931" s="4963" t="s">
        <v>198</v>
      </c>
      <c r="K931" s="405"/>
      <c r="L931" s="406"/>
      <c r="M931" s="4964">
        <v>372.0</v>
      </c>
      <c r="N931" s="4946"/>
      <c r="O931" s="4963" t="s">
        <v>198</v>
      </c>
      <c r="P931" s="405"/>
      <c r="Q931" s="406"/>
      <c r="R931" s="4964">
        <v>156.0</v>
      </c>
      <c r="S931" s="6109"/>
      <c r="T931" s="4965" t="s">
        <v>198</v>
      </c>
      <c r="U931" s="918"/>
      <c r="V931" s="919"/>
      <c r="W931" s="4966">
        <v>368.0</v>
      </c>
      <c r="X931" s="5009"/>
      <c r="Y931" s="2350"/>
      <c r="Z931" s="2350"/>
      <c r="AA931" s="2350"/>
      <c r="AB931" s="2350"/>
      <c r="AC931" s="2350"/>
      <c r="AD931" s="2350"/>
      <c r="AE931" s="2350"/>
      <c r="AF931" s="2350"/>
      <c r="AG931" s="2350"/>
      <c r="AH931" s="2351"/>
      <c r="AI931" s="6192"/>
    </row>
    <row r="932" ht="16.5" customHeight="1">
      <c r="A932" s="6185"/>
      <c r="B932" s="6115"/>
      <c r="C932" s="6116"/>
      <c r="D932" s="6887"/>
      <c r="E932" s="4968" t="s">
        <v>1171</v>
      </c>
      <c r="F932" s="925"/>
      <c r="G932" s="926"/>
      <c r="H932" s="4969">
        <v>376.0</v>
      </c>
      <c r="I932" s="6887"/>
      <c r="J932" s="6116"/>
      <c r="K932" s="6116"/>
      <c r="L932" s="6116"/>
      <c r="M932" s="6116"/>
      <c r="N932" s="6887"/>
      <c r="O932" s="6116"/>
      <c r="P932" s="6116"/>
      <c r="Q932" s="6116"/>
      <c r="R932" s="6116"/>
      <c r="S932" s="6112"/>
      <c r="T932" s="4968" t="s">
        <v>497</v>
      </c>
      <c r="U932" s="925"/>
      <c r="V932" s="926"/>
      <c r="W932" s="4969">
        <v>736.0</v>
      </c>
      <c r="X932" s="6891"/>
      <c r="Y932" s="6112"/>
      <c r="Z932" s="6112"/>
      <c r="AA932" s="6112"/>
      <c r="AB932" s="6112"/>
      <c r="AC932" s="6112"/>
      <c r="AD932" s="6112"/>
      <c r="AE932" s="6112"/>
      <c r="AF932" s="6112"/>
      <c r="AG932" s="6112"/>
      <c r="AH932" s="6118"/>
      <c r="AI932" s="6192"/>
    </row>
    <row r="933" ht="15.0" customHeight="1">
      <c r="A933" s="6185"/>
      <c r="B933" s="2385"/>
      <c r="C933" s="2386"/>
      <c r="D933" s="4971"/>
      <c r="E933" s="4972"/>
      <c r="F933" s="4972"/>
      <c r="G933" s="4972"/>
      <c r="H933" s="4972"/>
      <c r="I933" s="4971"/>
      <c r="J933" s="2386"/>
      <c r="K933" s="2386"/>
      <c r="L933" s="2386"/>
      <c r="M933" s="2386"/>
      <c r="N933" s="4971"/>
      <c r="O933" s="2386"/>
      <c r="P933" s="2386"/>
      <c r="Q933" s="2386"/>
      <c r="R933" s="2386"/>
      <c r="S933" s="4971"/>
      <c r="T933" s="2386"/>
      <c r="U933" s="2386"/>
      <c r="V933" s="2386"/>
      <c r="W933" s="2386"/>
      <c r="X933" s="2387"/>
      <c r="Y933" s="2387"/>
      <c r="Z933" s="2387"/>
      <c r="AA933" s="2387"/>
      <c r="AB933" s="2387"/>
      <c r="AC933" s="2387"/>
      <c r="AD933" s="2387"/>
      <c r="AE933" s="2387"/>
      <c r="AF933" s="2387"/>
      <c r="AG933" s="2387"/>
      <c r="AH933" s="2389"/>
      <c r="AI933" s="6192"/>
    </row>
    <row r="934" ht="15.0" customHeight="1">
      <c r="A934" s="6185"/>
      <c r="B934" s="6892"/>
      <c r="C934" s="6893"/>
      <c r="D934" s="6893"/>
      <c r="E934" s="6893"/>
      <c r="F934" s="6893"/>
      <c r="G934" s="6893"/>
      <c r="H934" s="6893"/>
      <c r="I934" s="6893"/>
      <c r="J934" s="6893"/>
      <c r="K934" s="6893"/>
      <c r="L934" s="6893"/>
      <c r="M934" s="6893"/>
      <c r="N934" s="6893"/>
      <c r="O934" s="6893"/>
      <c r="P934" s="6893"/>
      <c r="Q934" s="6893"/>
      <c r="R934" s="6893"/>
      <c r="S934" s="6893"/>
      <c r="T934" s="6893"/>
      <c r="U934" s="6893"/>
      <c r="V934" s="6893"/>
      <c r="W934" s="6893"/>
      <c r="X934" s="6893"/>
      <c r="Y934" s="6893"/>
      <c r="Z934" s="6893"/>
      <c r="AA934" s="6893"/>
      <c r="AB934" s="6893"/>
      <c r="AC934" s="6893"/>
      <c r="AD934" s="6893"/>
      <c r="AE934" s="6893"/>
      <c r="AF934" s="6893"/>
      <c r="AG934" s="6893"/>
      <c r="AH934" s="6894"/>
      <c r="AI934" s="6192"/>
    </row>
    <row r="935">
      <c r="A935" s="6125"/>
      <c r="B935" s="6895"/>
      <c r="C935" s="6896"/>
      <c r="D935" s="6897"/>
      <c r="E935" s="6898" t="s">
        <v>1769</v>
      </c>
      <c r="F935" s="6899"/>
      <c r="G935" s="6899"/>
      <c r="H935" s="6899"/>
      <c r="I935" s="6899"/>
      <c r="J935" s="6899"/>
      <c r="K935" s="6899"/>
      <c r="L935" s="6899"/>
      <c r="M935" s="6899"/>
      <c r="N935" s="6899"/>
      <c r="O935" s="6899"/>
      <c r="P935" s="6899"/>
      <c r="Q935" s="6899"/>
      <c r="R935" s="6899"/>
      <c r="S935" s="6899"/>
      <c r="T935" s="6899"/>
      <c r="U935" s="6899"/>
      <c r="V935" s="6899"/>
      <c r="W935" s="6899"/>
      <c r="X935" s="6899"/>
      <c r="Y935" s="6899"/>
      <c r="Z935" s="6899"/>
      <c r="AA935" s="6899"/>
      <c r="AB935" s="6899"/>
      <c r="AC935" s="6899"/>
      <c r="AD935" s="6899"/>
      <c r="AE935" s="6899"/>
      <c r="AF935" s="6899"/>
      <c r="AG935" s="6900"/>
      <c r="AH935" s="6901"/>
      <c r="AI935" s="6129"/>
    </row>
    <row r="936" ht="96.75" customHeight="1">
      <c r="A936" s="6125"/>
      <c r="B936" s="6895"/>
      <c r="C936" s="6902" t="str">
        <f>IMAGE("https://i.ibb.co/nQz85bj/Twins.png")</f>
        <v/>
      </c>
      <c r="D936" s="6903"/>
      <c r="E936" s="6904" t="str">
        <f t="array" ref="E936">IFERROR(VLOOKUP(E937,Dex!$B$3:$G1218,3,FALSE),"")</f>
        <v/>
      </c>
      <c r="F936" s="1830"/>
      <c r="G936" s="1830"/>
      <c r="H936" s="1831"/>
      <c r="I936" s="6905"/>
      <c r="J936" s="6904" t="str">
        <f t="array" ref="J936">IFERROR(VLOOKUP(J937,Dex!$B$3:$G1218,3,FALSE),"")</f>
        <v/>
      </c>
      <c r="K936" s="1830"/>
      <c r="L936" s="1830"/>
      <c r="M936" s="1831"/>
      <c r="N936" s="6905"/>
      <c r="O936" s="6904" t="str">
        <f t="array" ref="O936">IFERROR(VLOOKUP(O937,Dex!$B$3:$G1218,3,FALSE),"")</f>
        <v/>
      </c>
      <c r="P936" s="1830"/>
      <c r="Q936" s="1830"/>
      <c r="R936" s="1831"/>
      <c r="S936" s="6905"/>
      <c r="T936" s="6904" t="str">
        <f t="array" ref="T936">IFERROR(VLOOKUP(T937,Dex!$B$3:$G1218,3,FALSE),"")</f>
        <v/>
      </c>
      <c r="U936" s="1830"/>
      <c r="V936" s="1830"/>
      <c r="W936" s="1831"/>
      <c r="X936" s="6905"/>
      <c r="Y936" s="6904" t="str">
        <f t="array" ref="Y936">IFERROR(VLOOKUP(Y937,Dex!$B$3:$G1218,3,FALSE),"")</f>
        <v/>
      </c>
      <c r="Z936" s="1830"/>
      <c r="AA936" s="1830"/>
      <c r="AB936" s="1831"/>
      <c r="AC936" s="6905"/>
      <c r="AD936" s="6904" t="str">
        <f t="array" ref="AD936">IFERROR(VLOOKUP(AD937,Dex!$B$3:$G1218,3,FALSE),"")</f>
        <v/>
      </c>
      <c r="AE936" s="1830"/>
      <c r="AF936" s="1830"/>
      <c r="AG936" s="1831"/>
      <c r="AH936" s="6901"/>
      <c r="AI936" s="6129"/>
    </row>
    <row r="937" ht="18.75" customHeight="1">
      <c r="A937" s="6140"/>
      <c r="B937" s="6906"/>
      <c r="C937" s="6907" t="s">
        <v>1770</v>
      </c>
      <c r="D937" s="6908"/>
      <c r="E937" s="6909" t="s">
        <v>1305</v>
      </c>
      <c r="F937" s="6910"/>
      <c r="G937" s="6910"/>
      <c r="H937" s="6911"/>
      <c r="I937" s="6905"/>
      <c r="J937" s="6909" t="s">
        <v>857</v>
      </c>
      <c r="K937" s="6910"/>
      <c r="L937" s="6910"/>
      <c r="M937" s="6911"/>
      <c r="N937" s="6905"/>
      <c r="O937" s="6909" t="s">
        <v>1771</v>
      </c>
      <c r="P937" s="6910"/>
      <c r="Q937" s="6910"/>
      <c r="R937" s="6911"/>
      <c r="S937" s="6905"/>
      <c r="T937" s="6909" t="s">
        <v>1772</v>
      </c>
      <c r="U937" s="6910"/>
      <c r="V937" s="6910"/>
      <c r="W937" s="6911"/>
      <c r="X937" s="6905"/>
      <c r="Y937" s="6909" t="s">
        <v>1773</v>
      </c>
      <c r="Z937" s="6910"/>
      <c r="AA937" s="6910"/>
      <c r="AB937" s="6911"/>
      <c r="AC937" s="6905"/>
      <c r="AD937" s="6909" t="s">
        <v>1027</v>
      </c>
      <c r="AE937" s="6910"/>
      <c r="AF937" s="6910"/>
      <c r="AG937" s="6911"/>
      <c r="AH937" s="6912"/>
      <c r="AI937" s="6149"/>
    </row>
    <row r="938">
      <c r="A938" s="6125"/>
      <c r="B938" s="6895"/>
      <c r="C938" s="1481"/>
      <c r="D938" s="6913"/>
      <c r="E938" s="6914" t="s">
        <v>1502</v>
      </c>
      <c r="F938" s="6915"/>
      <c r="G938" s="6915"/>
      <c r="H938" s="6916"/>
      <c r="I938" s="6905"/>
      <c r="J938" s="6914" t="s">
        <v>1623</v>
      </c>
      <c r="K938" s="6915"/>
      <c r="L938" s="6915"/>
      <c r="M938" s="6916"/>
      <c r="N938" s="6905"/>
      <c r="O938" s="6914" t="s">
        <v>1502</v>
      </c>
      <c r="P938" s="6915"/>
      <c r="Q938" s="6915"/>
      <c r="R938" s="6916"/>
      <c r="S938" s="6905"/>
      <c r="T938" s="6914" t="s">
        <v>1502</v>
      </c>
      <c r="U938" s="6915"/>
      <c r="V938" s="6915"/>
      <c r="W938" s="6916"/>
      <c r="X938" s="6905"/>
      <c r="Y938" s="6914" t="s">
        <v>1502</v>
      </c>
      <c r="Z938" s="6915"/>
      <c r="AA938" s="6915"/>
      <c r="AB938" s="6916"/>
      <c r="AC938" s="6905"/>
      <c r="AD938" s="6914" t="s">
        <v>1502</v>
      </c>
      <c r="AE938" s="6915"/>
      <c r="AF938" s="6915"/>
      <c r="AG938" s="6916"/>
      <c r="AH938" s="6901"/>
      <c r="AI938" s="6129"/>
    </row>
    <row r="939" ht="25.5" customHeight="1">
      <c r="A939" s="6125"/>
      <c r="B939" s="6895"/>
      <c r="C939" s="1489"/>
      <c r="D939" s="6897"/>
      <c r="E939" s="6917"/>
      <c r="F939" s="6918" t="str">
        <f t="array" ref="F939">IFERROR(VLOOKUP(E937,Dex!$B$3:$H1218,5,FALSE),"")</f>
        <v/>
      </c>
      <c r="G939" s="6919" t="str">
        <f t="array" ref="G939">IFERROR(VLOOKUP(E937,Dex!$B$3:$H1218,7,FALSE),"")</f>
        <v/>
      </c>
      <c r="H939" s="6920"/>
      <c r="I939" s="6905"/>
      <c r="J939" s="6917"/>
      <c r="K939" s="6918" t="str">
        <f t="array" ref="K939">IFERROR(VLOOKUP(J937,Dex!$B$3:$H1218,5,FALSE),"")</f>
        <v/>
      </c>
      <c r="L939" s="6919" t="str">
        <f t="array" ref="L939">IFERROR(VLOOKUP(J937,Dex!$B$3:$H1218,7,FALSE),"")</f>
        <v/>
      </c>
      <c r="M939" s="6920"/>
      <c r="N939" s="6905"/>
      <c r="O939" s="6917"/>
      <c r="P939" s="6918" t="str">
        <f t="array" ref="P939">IFERROR(VLOOKUP(O937,Dex!$B$3:$H1218,5,FALSE),"")</f>
        <v/>
      </c>
      <c r="Q939" s="6919" t="str">
        <f t="array" ref="Q939">IFERROR(VLOOKUP(O937,Dex!$B$3:$H1218,7,FALSE),"")</f>
        <v/>
      </c>
      <c r="R939" s="6920"/>
      <c r="S939" s="6905"/>
      <c r="T939" s="6917"/>
      <c r="U939" s="6918" t="str">
        <f t="array" ref="U939">IFERROR(VLOOKUP(T937,Dex!$B$3:$H1218,5,FALSE),"")</f>
        <v/>
      </c>
      <c r="V939" s="6919" t="str">
        <f t="array" ref="V939">IFERROR(VLOOKUP(T937,Dex!$B$3:$H1218,7,FALSE),"")</f>
        <v/>
      </c>
      <c r="W939" s="6920"/>
      <c r="X939" s="6905"/>
      <c r="Y939" s="6917"/>
      <c r="Z939" s="6921" t="str">
        <f t="array" ref="Z939">IFERROR(VLOOKUP(Y937,Dex!$B$3:$H1218,5,FALSE),"")</f>
        <v/>
      </c>
      <c r="AA939" s="6922"/>
      <c r="AB939" s="6920"/>
      <c r="AC939" s="6905"/>
      <c r="AD939" s="6917"/>
      <c r="AE939" s="6921" t="str">
        <f t="array" ref="AE939">IFERROR(VLOOKUP(AD937,Dex!$B$3:$H1218,5,FALSE),"")</f>
        <v/>
      </c>
      <c r="AF939" s="6922"/>
      <c r="AG939" s="6920"/>
      <c r="AH939" s="6901"/>
      <c r="AI939" s="6129"/>
    </row>
    <row r="940" ht="2.25" customHeight="1">
      <c r="A940" s="6125"/>
      <c r="B940" s="6895"/>
      <c r="C940" s="6923"/>
      <c r="D940" s="6897"/>
      <c r="E940" s="6924"/>
      <c r="F940" s="6925"/>
      <c r="G940" s="6925"/>
      <c r="H940" s="6926"/>
      <c r="I940" s="6905"/>
      <c r="J940" s="6924"/>
      <c r="K940" s="6925"/>
      <c r="L940" s="6925"/>
      <c r="M940" s="6926"/>
      <c r="N940" s="6905"/>
      <c r="O940" s="6924"/>
      <c r="P940" s="6925"/>
      <c r="Q940" s="6925"/>
      <c r="R940" s="6926"/>
      <c r="S940" s="6905"/>
      <c r="T940" s="6924"/>
      <c r="U940" s="6925"/>
      <c r="V940" s="6925"/>
      <c r="W940" s="6926"/>
      <c r="X940" s="6905"/>
      <c r="Y940" s="6924"/>
      <c r="Z940" s="6925"/>
      <c r="AA940" s="6925"/>
      <c r="AB940" s="6926"/>
      <c r="AC940" s="6905"/>
      <c r="AD940" s="6924"/>
      <c r="AE940" s="6925"/>
      <c r="AF940" s="6925"/>
      <c r="AG940" s="6926"/>
      <c r="AH940" s="6901"/>
      <c r="AI940" s="6129"/>
    </row>
    <row r="941" ht="20.25" customHeight="1">
      <c r="A941" s="6125"/>
      <c r="B941" s="6895"/>
      <c r="C941" s="6927"/>
      <c r="D941" s="6897"/>
      <c r="E941" s="6928" t="s">
        <v>205</v>
      </c>
      <c r="F941" s="6929"/>
      <c r="G941" s="6929"/>
      <c r="H941" s="6930"/>
      <c r="I941" s="6905"/>
      <c r="J941" s="6928" t="s">
        <v>172</v>
      </c>
      <c r="K941" s="6929"/>
      <c r="L941" s="6929"/>
      <c r="M941" s="6930"/>
      <c r="N941" s="6905"/>
      <c r="O941" s="6928" t="s">
        <v>205</v>
      </c>
      <c r="P941" s="6929"/>
      <c r="Q941" s="6929"/>
      <c r="R941" s="6930"/>
      <c r="S941" s="6905"/>
      <c r="T941" s="6928" t="s">
        <v>172</v>
      </c>
      <c r="U941" s="6929"/>
      <c r="V941" s="6929"/>
      <c r="W941" s="6930"/>
      <c r="X941" s="6905"/>
      <c r="Y941" s="6931" t="s">
        <v>172</v>
      </c>
      <c r="Z941" s="6929"/>
      <c r="AA941" s="6929"/>
      <c r="AB941" s="6930"/>
      <c r="AC941" s="6905"/>
      <c r="AD941" s="6928" t="s">
        <v>205</v>
      </c>
      <c r="AE941" s="6929"/>
      <c r="AF941" s="6929"/>
      <c r="AG941" s="6930"/>
      <c r="AH941" s="6901"/>
      <c r="AI941" s="6129"/>
    </row>
    <row r="942" ht="20.25" customHeight="1">
      <c r="A942" s="6125"/>
      <c r="B942" s="6895"/>
      <c r="C942" s="6927"/>
      <c r="D942" s="6897"/>
      <c r="E942" s="6932" t="s">
        <v>914</v>
      </c>
      <c r="F942" s="6899"/>
      <c r="G942" s="6899"/>
      <c r="H942" s="6933"/>
      <c r="I942" s="6905"/>
      <c r="J942" s="6932" t="s">
        <v>716</v>
      </c>
      <c r="K942" s="6899"/>
      <c r="L942" s="6899"/>
      <c r="M942" s="6933"/>
      <c r="N942" s="6905"/>
      <c r="O942" s="6932" t="s">
        <v>1603</v>
      </c>
      <c r="P942" s="6899"/>
      <c r="Q942" s="6899"/>
      <c r="R942" s="6933"/>
      <c r="S942" s="6905"/>
      <c r="T942" s="6932" t="s">
        <v>518</v>
      </c>
      <c r="U942" s="6899"/>
      <c r="V942" s="6899"/>
      <c r="W942" s="6933"/>
      <c r="X942" s="6905"/>
      <c r="Y942" s="6932" t="s">
        <v>1774</v>
      </c>
      <c r="Z942" s="6899"/>
      <c r="AA942" s="6899"/>
      <c r="AB942" s="6933"/>
      <c r="AC942" s="6905"/>
      <c r="AD942" s="6932" t="s">
        <v>1775</v>
      </c>
      <c r="AE942" s="6899"/>
      <c r="AF942" s="6899"/>
      <c r="AG942" s="6933"/>
      <c r="AH942" s="6901"/>
      <c r="AI942" s="6129"/>
    </row>
    <row r="943" ht="20.25" customHeight="1">
      <c r="A943" s="6125"/>
      <c r="B943" s="6895"/>
      <c r="C943" s="6927"/>
      <c r="D943" s="6897"/>
      <c r="E943" s="6934" t="s">
        <v>393</v>
      </c>
      <c r="F943" s="6935"/>
      <c r="G943" s="6936"/>
      <c r="H943" s="6937" t="str">
        <f>IMAGE("https://raw.githubusercontent.com/msikma/pokesprite/master/items/hold-item/weakness-policy.png",3)</f>
        <v/>
      </c>
      <c r="I943" s="6905"/>
      <c r="J943" s="6934" t="s">
        <v>473</v>
      </c>
      <c r="K943" s="6935"/>
      <c r="L943" s="6936"/>
      <c r="M943" s="6937" t="str">
        <f>IMAGE("https://raw.githubusercontent.com/msikma/pokesprite/master/items/hold-item/assault-vest.png",3)</f>
        <v/>
      </c>
      <c r="N943" s="6905"/>
      <c r="O943" s="6934" t="s">
        <v>1776</v>
      </c>
      <c r="P943" s="6935"/>
      <c r="Q943" s="6936"/>
      <c r="R943" s="6937" t="str">
        <f>IMAGE("https://raw.githubusercontent.com/msikma/pokesprite/master/items/z-crystals/electrium-z--held.png",3)</f>
        <v/>
      </c>
      <c r="S943" s="6905"/>
      <c r="T943" s="6934" t="s">
        <v>272</v>
      </c>
      <c r="U943" s="6935"/>
      <c r="V943" s="6936"/>
      <c r="W943" s="6937" t="str">
        <f>IMAGE("https://raw.githubusercontent.com/msikma/pokesprite/master/items/hold-item/life-orb.png",3)</f>
        <v/>
      </c>
      <c r="X943" s="6905"/>
      <c r="Y943" s="6934" t="s">
        <v>536</v>
      </c>
      <c r="Z943" s="6935"/>
      <c r="AA943" s="6936"/>
      <c r="AB943" s="6937" t="str">
        <f>IMAGE("https://raw.githubusercontent.com/msikma/pokesprite/master/items/hold-item/magnet.png",3)</f>
        <v/>
      </c>
      <c r="AC943" s="6905"/>
      <c r="AD943" s="6934" t="s">
        <v>240</v>
      </c>
      <c r="AE943" s="6935"/>
      <c r="AF943" s="6936"/>
      <c r="AG943" s="6937" t="str">
        <f>IMAGE("https://raw.githubusercontent.com/msikma/pokesprite/master/items/hold-item/focus-sash.png",3)</f>
        <v/>
      </c>
      <c r="AH943" s="6901"/>
      <c r="AI943" s="6129"/>
    </row>
    <row r="944" ht="20.25" customHeight="1">
      <c r="A944" s="6125"/>
      <c r="B944" s="6895"/>
      <c r="C944" s="6938"/>
      <c r="D944" s="6897"/>
      <c r="E944" s="6928" t="s">
        <v>338</v>
      </c>
      <c r="F944" s="6929"/>
      <c r="G944" s="6939"/>
      <c r="H944" s="6940" t="str">
        <f>IMAGE("https://raw.githubusercontent.com/msikma/pokesprite/master/misc/types/gen8/water.png",4,20,20)</f>
        <v/>
      </c>
      <c r="I944" s="6905"/>
      <c r="J944" s="6928" t="s">
        <v>316</v>
      </c>
      <c r="K944" s="6929"/>
      <c r="L944" s="6939"/>
      <c r="M944" s="6940" t="str">
        <f>IMAGE("https://raw.githubusercontent.com/msikma/pokesprite/master/misc/types/gen8/fighting.png",4,20,20)</f>
        <v/>
      </c>
      <c r="N944" s="6905"/>
      <c r="O944" s="6928" t="s">
        <v>539</v>
      </c>
      <c r="P944" s="6929"/>
      <c r="Q944" s="6939"/>
      <c r="R944" s="6940" t="str">
        <f>IMAGE("https://raw.githubusercontent.com/msikma/pokesprite/master/misc/types/gen8/electric.png",4,20,20)</f>
        <v/>
      </c>
      <c r="S944" s="6905"/>
      <c r="T944" s="6928" t="s">
        <v>556</v>
      </c>
      <c r="U944" s="6929"/>
      <c r="V944" s="6939"/>
      <c r="W944" s="6940" t="str">
        <f>IMAGE("https://raw.githubusercontent.com/msikma/pokesprite/master/misc/types/gen8/fairy.png",4,20,20)</f>
        <v/>
      </c>
      <c r="X944" s="6905"/>
      <c r="Y944" s="6931" t="s">
        <v>397</v>
      </c>
      <c r="Z944" s="6929"/>
      <c r="AA944" s="6939"/>
      <c r="AB944" s="6940" t="str">
        <f>IMAGE("https://raw.githubusercontent.com/msikma/pokesprite/master/misc/types/gen8/electric.png",4,20,20)</f>
        <v/>
      </c>
      <c r="AC944" s="6905"/>
      <c r="AD944" s="6928" t="s">
        <v>277</v>
      </c>
      <c r="AE944" s="6929"/>
      <c r="AF944" s="6939"/>
      <c r="AG944" s="6940" t="str">
        <f>IMAGE("https://raw.githubusercontent.com/msikma/pokesprite/master/misc/types/gen8/electric.png",4,20,20)</f>
        <v/>
      </c>
      <c r="AH944" s="6901"/>
      <c r="AI944" s="6129"/>
    </row>
    <row r="945" ht="20.25" customHeight="1">
      <c r="A945" s="6125"/>
      <c r="B945" s="6895"/>
      <c r="C945" s="6896"/>
      <c r="D945" s="6897"/>
      <c r="E945" s="6932" t="s">
        <v>317</v>
      </c>
      <c r="F945" s="6899"/>
      <c r="G945" s="6900"/>
      <c r="H945" s="6941" t="str">
        <f>IMAGE("https://raw.githubusercontent.com/msikma/pokesprite/master/misc/types/gen8/ice.png",4,20,20)</f>
        <v/>
      </c>
      <c r="I945" s="6905"/>
      <c r="J945" s="6932" t="s">
        <v>556</v>
      </c>
      <c r="K945" s="6899"/>
      <c r="L945" s="6900"/>
      <c r="M945" s="6941" t="str">
        <f>IMAGE("https://raw.githubusercontent.com/msikma/pokesprite/master/misc/types/gen8/fairy.png",4,20,20)</f>
        <v/>
      </c>
      <c r="N945" s="6905"/>
      <c r="O945" s="6932" t="s">
        <v>247</v>
      </c>
      <c r="P945" s="6899"/>
      <c r="Q945" s="6900"/>
      <c r="R945" s="6941" t="str">
        <f>IMAGE("https://raw.githubusercontent.com/msikma/pokesprite/master/misc/types/gen8/bug.png",4,20,20)</f>
        <v/>
      </c>
      <c r="S945" s="6905"/>
      <c r="T945" s="6932" t="s">
        <v>1777</v>
      </c>
      <c r="U945" s="6899"/>
      <c r="V945" s="6900"/>
      <c r="W945" s="6941" t="str">
        <f>IMAGE("https://raw.githubusercontent.com/msikma/pokesprite/master/misc/types/gen8/bug.png",4,20,20)</f>
        <v/>
      </c>
      <c r="X945" s="6905"/>
      <c r="Y945" s="6932" t="s">
        <v>279</v>
      </c>
      <c r="Z945" s="6899"/>
      <c r="AA945" s="6900"/>
      <c r="AB945" s="6941" t="str">
        <f>IMAGE("https://raw.githubusercontent.com/msikma/pokesprite/master/misc/types/gen8/dark.png",4,20,20)</f>
        <v/>
      </c>
      <c r="AC945" s="6905"/>
      <c r="AD945" s="6932" t="s">
        <v>433</v>
      </c>
      <c r="AE945" s="6899"/>
      <c r="AF945" s="6900"/>
      <c r="AG945" s="6941" t="str">
        <f>IMAGE("https://raw.githubusercontent.com/msikma/pokesprite/master/misc/types/gen8/water.png",4,20,20)</f>
        <v/>
      </c>
      <c r="AH945" s="6901"/>
      <c r="AI945" s="6129"/>
    </row>
    <row r="946" ht="20.25" customHeight="1">
      <c r="A946" s="6125"/>
      <c r="B946" s="6895"/>
      <c r="C946" s="6896"/>
      <c r="D946" s="6897"/>
      <c r="E946" s="6932" t="s">
        <v>404</v>
      </c>
      <c r="F946" s="6899"/>
      <c r="G946" s="6900"/>
      <c r="H946" s="6941" t="str">
        <f>IMAGE("https://raw.githubusercontent.com/msikma/pokesprite/master/misc/types/gen8/steel.png",4,20,20)</f>
        <v/>
      </c>
      <c r="I946" s="6905"/>
      <c r="J946" s="6932" t="s">
        <v>378</v>
      </c>
      <c r="K946" s="6899"/>
      <c r="L946" s="6900"/>
      <c r="M946" s="6941" t="str">
        <f>IMAGE("https://raw.githubusercontent.com/msikma/pokesprite/master/misc/types/gen8/fire.png",4,20,20)</f>
        <v/>
      </c>
      <c r="N946" s="6905"/>
      <c r="O946" s="6932" t="s">
        <v>216</v>
      </c>
      <c r="P946" s="6899"/>
      <c r="Q946" s="6900"/>
      <c r="R946" s="6941" t="str">
        <f>IMAGE("https://raw.githubusercontent.com/msikma/pokesprite/master/misc/types/gen8/water.png",4,20,20)</f>
        <v/>
      </c>
      <c r="S946" s="6905"/>
      <c r="T946" s="6932" t="s">
        <v>692</v>
      </c>
      <c r="U946" s="6899"/>
      <c r="V946" s="6900"/>
      <c r="W946" s="6941" t="str">
        <f>IMAGE("https://raw.githubusercontent.com/msikma/pokesprite/master/misc/types/gen8/fighting.png",4,20,20)</f>
        <v/>
      </c>
      <c r="X946" s="6905"/>
      <c r="Y946" s="6932" t="s">
        <v>189</v>
      </c>
      <c r="Z946" s="6899"/>
      <c r="AA946" s="6900"/>
      <c r="AB946" s="6941" t="str">
        <f t="shared" ref="AB946:AB947" si="36">IMAGE("https://raw.githubusercontent.com/msikma/pokesprite/master/misc/types/gen8/electric.png",4,20,20)</f>
        <v/>
      </c>
      <c r="AC946" s="6905"/>
      <c r="AD946" s="6932" t="s">
        <v>223</v>
      </c>
      <c r="AE946" s="6899"/>
      <c r="AF946" s="6900"/>
      <c r="AG946" s="6941" t="str">
        <f>IMAGE("https://raw.githubusercontent.com/msikma/pokesprite/master/misc/types/gen8/grass.png",4,20,20)</f>
        <v/>
      </c>
      <c r="AH946" s="6901"/>
      <c r="AI946" s="6129"/>
    </row>
    <row r="947" ht="21.0" customHeight="1">
      <c r="A947" s="6125"/>
      <c r="B947" s="6895"/>
      <c r="C947" s="6896"/>
      <c r="D947" s="6897"/>
      <c r="E947" s="6942" t="s">
        <v>222</v>
      </c>
      <c r="F947" s="6943"/>
      <c r="G947" s="6944"/>
      <c r="H947" s="6945" t="str">
        <f>IMAGE("https://raw.githubusercontent.com/msikma/pokesprite/master/misc/types/gen8/grass.png",4,20,20)</f>
        <v/>
      </c>
      <c r="I947" s="6905"/>
      <c r="J947" s="6942" t="s">
        <v>249</v>
      </c>
      <c r="K947" s="6943"/>
      <c r="L947" s="6944"/>
      <c r="M947" s="6945" t="str">
        <f>IMAGE("https://raw.githubusercontent.com/msikma/pokesprite/master/misc/types/gen8/electric.png",4,20,20)</f>
        <v/>
      </c>
      <c r="N947" s="6905"/>
      <c r="O947" s="6942" t="s">
        <v>1778</v>
      </c>
      <c r="P947" s="6943"/>
      <c r="Q947" s="6944"/>
      <c r="R947" s="6945" t="str">
        <f>IMAGE("https://raw.githubusercontent.com/msikma/pokesprite/master/misc/types/gen8/bug.png",4,20,20)</f>
        <v/>
      </c>
      <c r="S947" s="6905"/>
      <c r="T947" s="6942" t="s">
        <v>249</v>
      </c>
      <c r="U947" s="6943"/>
      <c r="V947" s="6944"/>
      <c r="W947" s="6945" t="str">
        <f>IMAGE("https://raw.githubusercontent.com/msikma/pokesprite/master/misc/types/gen8/electric.png",4,20,20)</f>
        <v/>
      </c>
      <c r="X947" s="6905"/>
      <c r="Y947" s="6942" t="s">
        <v>242</v>
      </c>
      <c r="Z947" s="6943"/>
      <c r="AA947" s="6944"/>
      <c r="AB947" s="6945" t="str">
        <f t="shared" si="36"/>
        <v/>
      </c>
      <c r="AC947" s="6905"/>
      <c r="AD947" s="6942" t="s">
        <v>242</v>
      </c>
      <c r="AE947" s="6943"/>
      <c r="AF947" s="6944"/>
      <c r="AG947" s="6945" t="str">
        <f>IMAGE("https://raw.githubusercontent.com/msikma/pokesprite/master/misc/types/gen8/electric.png",4,20,20)</f>
        <v/>
      </c>
      <c r="AH947" s="6901"/>
      <c r="AI947" s="6129"/>
    </row>
    <row r="948" ht="3.0" customHeight="1">
      <c r="A948" s="6185"/>
      <c r="B948" s="6946"/>
      <c r="C948" s="6947"/>
      <c r="D948" s="6948"/>
      <c r="E948" s="6949"/>
      <c r="F948" s="6949"/>
      <c r="G948" s="6949"/>
      <c r="H948" s="6949"/>
      <c r="I948" s="6948"/>
      <c r="J948" s="6950"/>
      <c r="K948" s="6950"/>
      <c r="L948" s="6950"/>
      <c r="M948" s="6949"/>
      <c r="N948" s="6948"/>
      <c r="O948" s="6950"/>
      <c r="P948" s="6950"/>
      <c r="Q948" s="6950"/>
      <c r="R948" s="6949"/>
      <c r="S948" s="6948"/>
      <c r="T948" s="6950"/>
      <c r="U948" s="6950"/>
      <c r="V948" s="6950"/>
      <c r="W948" s="6949"/>
      <c r="X948" s="6948"/>
      <c r="Y948" s="6951"/>
      <c r="Z948" s="6951"/>
      <c r="AA948" s="6951"/>
      <c r="AB948" s="6952"/>
      <c r="AC948" s="6952"/>
      <c r="AD948" s="6951"/>
      <c r="AE948" s="6951"/>
      <c r="AF948" s="6951"/>
      <c r="AG948" s="6952"/>
      <c r="AH948" s="6953"/>
      <c r="AI948" s="6192"/>
    </row>
    <row r="949" ht="16.5" customHeight="1">
      <c r="A949" s="6185"/>
      <c r="B949" s="6954"/>
      <c r="C949" s="6947"/>
      <c r="D949" s="6955"/>
      <c r="E949" s="6956" t="s">
        <v>190</v>
      </c>
      <c r="F949" s="381"/>
      <c r="G949" s="382"/>
      <c r="H949" s="6957" t="s">
        <v>191</v>
      </c>
      <c r="I949" s="6958"/>
      <c r="J949" s="6956" t="s">
        <v>190</v>
      </c>
      <c r="K949" s="381"/>
      <c r="L949" s="382"/>
      <c r="M949" s="6957" t="s">
        <v>191</v>
      </c>
      <c r="N949" s="6958"/>
      <c r="O949" s="6956" t="s">
        <v>190</v>
      </c>
      <c r="P949" s="381"/>
      <c r="Q949" s="382"/>
      <c r="R949" s="6957" t="s">
        <v>191</v>
      </c>
      <c r="S949" s="6959"/>
      <c r="T949" s="6956" t="s">
        <v>190</v>
      </c>
      <c r="U949" s="381"/>
      <c r="V949" s="382"/>
      <c r="W949" s="6957" t="s">
        <v>191</v>
      </c>
      <c r="X949" s="6959"/>
      <c r="Y949" s="6956" t="s">
        <v>190</v>
      </c>
      <c r="Z949" s="381"/>
      <c r="AA949" s="382"/>
      <c r="AB949" s="6957" t="s">
        <v>191</v>
      </c>
      <c r="AC949" s="6959"/>
      <c r="AD949" s="6956" t="s">
        <v>190</v>
      </c>
      <c r="AE949" s="381"/>
      <c r="AF949" s="382"/>
      <c r="AG949" s="6957" t="s">
        <v>191</v>
      </c>
      <c r="AH949" s="6960"/>
      <c r="AI949" s="6192"/>
    </row>
    <row r="950" ht="16.5" customHeight="1">
      <c r="A950" s="6185"/>
      <c r="B950" s="6954"/>
      <c r="C950" s="6947"/>
      <c r="D950" s="6955"/>
      <c r="E950" s="6961" t="s">
        <v>192</v>
      </c>
      <c r="F950" s="6962">
        <f t="array" ref="F950">IFERROR(VLOOKUP(E937,Dex!$B$3:$N1218,8,FALSE),"")</f>
        <v>84</v>
      </c>
      <c r="G950" s="6963" t="str">
        <f t="array" ref="G950">IFERROR(VLOOKUP(F950,Dex!$P$22:$Q$276,2,FALSE),"")</f>
        <v/>
      </c>
      <c r="H950" s="6964">
        <v>176.0</v>
      </c>
      <c r="I950" s="6955"/>
      <c r="J950" s="6961" t="s">
        <v>192</v>
      </c>
      <c r="K950" s="6962">
        <f t="array" ref="K950">IFERROR(VLOOKUP(J937,Dex!$B$3:$N1218,8,FALSE),"")</f>
        <v>100</v>
      </c>
      <c r="L950" s="6963" t="str">
        <f t="array" ref="L950">IFERROR(VLOOKUP(K950,Dex!$P$22:$Q$276,2,FALSE),"")</f>
        <v/>
      </c>
      <c r="M950" s="6964">
        <v>252.0</v>
      </c>
      <c r="N950" s="6955"/>
      <c r="O950" s="6961" t="s">
        <v>192</v>
      </c>
      <c r="P950" s="6962">
        <f t="array" ref="P950">IFERROR(VLOOKUP(O937,Dex!$B$3:$N1218,8,FALSE),"")</f>
        <v>85</v>
      </c>
      <c r="Q950" s="6963" t="str">
        <f t="array" ref="Q950">IFERROR(VLOOKUP(P950,Dex!$P$22:$Q$276,2,FALSE),"")</f>
        <v/>
      </c>
      <c r="R950" s="6964"/>
      <c r="S950" s="6965"/>
      <c r="T950" s="6961" t="s">
        <v>192</v>
      </c>
      <c r="U950" s="6962">
        <f t="array" ref="U950">IFERROR(VLOOKUP(T937,Dex!$B$3:$N1218,8,FALSE),"")</f>
        <v>85</v>
      </c>
      <c r="V950" s="6963" t="str">
        <f t="array" ref="V950">IFERROR(VLOOKUP(U950,Dex!$P$22:$Q$276,2,FALSE),"")</f>
        <v/>
      </c>
      <c r="W950" s="6964"/>
      <c r="X950" s="6965"/>
      <c r="Y950" s="6961" t="s">
        <v>192</v>
      </c>
      <c r="Z950" s="6962">
        <f t="array" ref="Z950">IFERROR(VLOOKUP(Y937,Dex!$B$3:$N1218,8,FALSE),"")</f>
        <v>60</v>
      </c>
      <c r="AA950" s="6963" t="str">
        <f t="array" ref="AA950">IFERROR(VLOOKUP(Z950,Dex!$P$22:$Q$276,2,FALSE),"")</f>
        <v/>
      </c>
      <c r="AB950" s="6964"/>
      <c r="AC950" s="6965"/>
      <c r="AD950" s="6961" t="s">
        <v>192</v>
      </c>
      <c r="AE950" s="6962">
        <f t="array" ref="AE950">IFERROR(VLOOKUP(AD937,Dex!$B$3:$N1218,8,FALSE),"")</f>
        <v>60</v>
      </c>
      <c r="AF950" s="6963" t="str">
        <f t="array" ref="AF950">IFERROR(VLOOKUP(AE950,Dex!$P$22:$Q$276,2,FALSE),"")</f>
        <v/>
      </c>
      <c r="AG950" s="6964"/>
      <c r="AH950" s="6960"/>
      <c r="AI950" s="6192"/>
    </row>
    <row r="951" ht="16.5" customHeight="1">
      <c r="A951" s="6185"/>
      <c r="B951" s="6954"/>
      <c r="C951" s="6947"/>
      <c r="D951" s="6955"/>
      <c r="E951" s="6966" t="s">
        <v>193</v>
      </c>
      <c r="F951" s="6967">
        <f t="array" ref="F951">IFERROR(VLOOKUP(E937,Dex!$B$3:$N1218,9,FALSE),"")</f>
        <v>86</v>
      </c>
      <c r="G951" s="6968" t="str">
        <f t="array" ref="G951">IFERROR(VLOOKUP(F951,Dex!$P$22:$Q$276,2,FALSE),"")</f>
        <v/>
      </c>
      <c r="H951" s="6969"/>
      <c r="I951" s="6955"/>
      <c r="J951" s="6966" t="s">
        <v>193</v>
      </c>
      <c r="K951" s="6967">
        <f t="array" ref="K951">IFERROR(VLOOKUP(J937,Dex!$B$3:$N1218,9,FALSE),"")</f>
        <v>120</v>
      </c>
      <c r="L951" s="6968" t="str">
        <f t="array" ref="L951">IFERROR(VLOOKUP(K951,Dex!$P$22:$Q$276,2,FALSE),"")</f>
        <v/>
      </c>
      <c r="M951" s="6969">
        <v>252.0</v>
      </c>
      <c r="N951" s="6955"/>
      <c r="O951" s="6966" t="s">
        <v>193</v>
      </c>
      <c r="P951" s="6967">
        <f t="array" ref="P951">IFERROR(VLOOKUP(O937,Dex!$B$3:$N1218,9,FALSE),"")</f>
        <v>47</v>
      </c>
      <c r="Q951" s="6968" t="str">
        <f t="array" ref="Q951">IFERROR(VLOOKUP(P951,Dex!$P$22:$Q$276,2,FALSE),"")</f>
        <v/>
      </c>
      <c r="R951" s="6969"/>
      <c r="S951" s="6965"/>
      <c r="T951" s="6966" t="s">
        <v>193</v>
      </c>
      <c r="U951" s="6967">
        <f t="array" ref="U951">IFERROR(VLOOKUP(T937,Dex!$B$3:$N1218,9,FALSE),"")</f>
        <v>90</v>
      </c>
      <c r="V951" s="6968" t="str">
        <f t="array" ref="V951">IFERROR(VLOOKUP(U951,Dex!$P$22:$Q$276,2,FALSE),"")</f>
        <v/>
      </c>
      <c r="W951" s="6969">
        <v>252.0</v>
      </c>
      <c r="X951" s="6965"/>
      <c r="Y951" s="6966" t="s">
        <v>193</v>
      </c>
      <c r="Z951" s="6967">
        <f t="array" ref="Z951">IFERROR(VLOOKUP(Y937,Dex!$B$3:$N1218,9,FALSE),"")</f>
        <v>85</v>
      </c>
      <c r="AA951" s="6968" t="str">
        <f t="array" ref="AA951">IFERROR(VLOOKUP(Z951,Dex!$P$22:$Q$276,2,FALSE),"")</f>
        <v/>
      </c>
      <c r="AB951" s="6969">
        <v>252.0</v>
      </c>
      <c r="AC951" s="6965"/>
      <c r="AD951" s="6966" t="s">
        <v>193</v>
      </c>
      <c r="AE951" s="6967">
        <f t="array" ref="AE951">IFERROR(VLOOKUP(AD937,Dex!$B$3:$N1218,9,FALSE),"")</f>
        <v>50</v>
      </c>
      <c r="AF951" s="6968" t="str">
        <f t="array" ref="AF951">IFERROR(VLOOKUP(AE951,Dex!$P$22:$Q$276,2,FALSE),"")</f>
        <v/>
      </c>
      <c r="AG951" s="6969"/>
      <c r="AH951" s="6960"/>
      <c r="AI951" s="6192"/>
    </row>
    <row r="952" ht="16.5" customHeight="1">
      <c r="A952" s="6185"/>
      <c r="B952" s="6954"/>
      <c r="C952" s="6947"/>
      <c r="D952" s="6955"/>
      <c r="E952" s="6966" t="s">
        <v>194</v>
      </c>
      <c r="F952" s="6967">
        <f t="array" ref="F952">IFERROR(VLOOKUP(E937,Dex!$B$3:$N1218,10,FALSE),"")</f>
        <v>88</v>
      </c>
      <c r="G952" s="6968" t="str">
        <f t="array" ref="G952">IFERROR(VLOOKUP(F952,Dex!$P$22:$Q$276,2,FALSE),"")</f>
        <v/>
      </c>
      <c r="H952" s="6969"/>
      <c r="I952" s="6955"/>
      <c r="J952" s="6966" t="s">
        <v>194</v>
      </c>
      <c r="K952" s="6967">
        <f t="array" ref="K952">IFERROR(VLOOKUP(J937,Dex!$B$3:$N1218,10,FALSE),"")</f>
        <v>75</v>
      </c>
      <c r="L952" s="6968" t="str">
        <f t="array" ref="L952">IFERROR(VLOOKUP(K952,Dex!$P$22:$Q$276,2,FALSE),"")</f>
        <v/>
      </c>
      <c r="M952" s="6969"/>
      <c r="N952" s="6955"/>
      <c r="O952" s="6966" t="s">
        <v>194</v>
      </c>
      <c r="P952" s="6967">
        <f t="array" ref="P952">IFERROR(VLOOKUP(O937,Dex!$B$3:$N1218,10,FALSE),"")</f>
        <v>75</v>
      </c>
      <c r="Q952" s="6968" t="str">
        <f t="array" ref="Q952">IFERROR(VLOOKUP(P952,Dex!$P$22:$Q$276,2,FALSE),"")</f>
        <v/>
      </c>
      <c r="R952" s="6969">
        <v>4.0</v>
      </c>
      <c r="S952" s="6965"/>
      <c r="T952" s="6966" t="s">
        <v>194</v>
      </c>
      <c r="U952" s="6967">
        <f t="array" ref="U952">IFERROR(VLOOKUP(T937,Dex!$B$3:$N1218,10,FALSE),"")</f>
        <v>75</v>
      </c>
      <c r="V952" s="6968" t="str">
        <f t="array" ref="V952">IFERROR(VLOOKUP(U952,Dex!$P$22:$Q$276,2,FALSE),"")</f>
        <v/>
      </c>
      <c r="W952" s="6969">
        <v>4.0</v>
      </c>
      <c r="X952" s="6965"/>
      <c r="Y952" s="6966" t="s">
        <v>194</v>
      </c>
      <c r="Z952" s="6967">
        <f t="array" ref="Z952">IFERROR(VLOOKUP(Y937,Dex!$B$3:$N1218,10,FALSE),"")</f>
        <v>75</v>
      </c>
      <c r="AA952" s="6968" t="str">
        <f t="array" ref="AA952">IFERROR(VLOOKUP(Z952,Dex!$P$22:$Q$276,2,FALSE),"")</f>
        <v/>
      </c>
      <c r="AB952" s="6969">
        <v>4.0</v>
      </c>
      <c r="AC952" s="6965"/>
      <c r="AD952" s="6966" t="s">
        <v>194</v>
      </c>
      <c r="AE952" s="6967">
        <f t="array" ref="AE952">IFERROR(VLOOKUP(AD937,Dex!$B$3:$N1218,10,FALSE),"")</f>
        <v>40</v>
      </c>
      <c r="AF952" s="6968" t="str">
        <f t="array" ref="AF952">IFERROR(VLOOKUP(AE952,Dex!$P$22:$Q$276,2,FALSE),"")</f>
        <v/>
      </c>
      <c r="AG952" s="6969">
        <v>4.0</v>
      </c>
      <c r="AH952" s="6960"/>
      <c r="AI952" s="6192"/>
    </row>
    <row r="953" ht="16.5" customHeight="1">
      <c r="A953" s="6185"/>
      <c r="B953" s="6954"/>
      <c r="C953" s="6947"/>
      <c r="D953" s="6955"/>
      <c r="E953" s="6966" t="s">
        <v>195</v>
      </c>
      <c r="F953" s="6967">
        <f t="array" ref="F953">IFERROR(VLOOKUP(E937,Dex!$B$3:$N1218,11,FALSE),"")</f>
        <v>111</v>
      </c>
      <c r="G953" s="6968" t="str">
        <f t="array" ref="G953">IFERROR(VLOOKUP(F953,Dex!$P$22:$Q$276,2,FALSE),"")</f>
        <v/>
      </c>
      <c r="H953" s="6969">
        <v>80.0</v>
      </c>
      <c r="I953" s="6955"/>
      <c r="J953" s="6966" t="s">
        <v>195</v>
      </c>
      <c r="K953" s="6967">
        <f t="array" ref="K953">IFERROR(VLOOKUP(J937,Dex!$B$3:$N1218,11,FALSE),"")</f>
        <v>60</v>
      </c>
      <c r="L953" s="6968" t="str">
        <f t="array" ref="L953">IFERROR(VLOOKUP(K953,Dex!$P$22:$Q$276,2,FALSE),"")</f>
        <v/>
      </c>
      <c r="M953" s="6969"/>
      <c r="N953" s="6955"/>
      <c r="O953" s="6966" t="s">
        <v>195</v>
      </c>
      <c r="P953" s="6967">
        <f t="array" ref="P953">IFERROR(VLOOKUP(O937,Dex!$B$3:$N1218,11,FALSE),"")</f>
        <v>90</v>
      </c>
      <c r="Q953" s="6968" t="str">
        <f t="array" ref="Q953">IFERROR(VLOOKUP(P953,Dex!$P$22:$Q$276,2,FALSE),"")</f>
        <v/>
      </c>
      <c r="R953" s="6969">
        <v>252.0</v>
      </c>
      <c r="S953" s="6965"/>
      <c r="T953" s="6966" t="s">
        <v>195</v>
      </c>
      <c r="U953" s="6967">
        <f t="array" ref="U953">IFERROR(VLOOKUP(T937,Dex!$B$3:$N1218,11,FALSE),"")</f>
        <v>47</v>
      </c>
      <c r="V953" s="6968" t="str">
        <f t="array" ref="V953">IFERROR(VLOOKUP(U953,Dex!$P$22:$Q$276,2,FALSE),"")</f>
        <v/>
      </c>
      <c r="W953" s="6969"/>
      <c r="X953" s="6965"/>
      <c r="Y953" s="6966" t="s">
        <v>195</v>
      </c>
      <c r="Z953" s="6967">
        <f t="array" ref="Z953">IFERROR(VLOOKUP(Y937,Dex!$B$3:$N1218,11,FALSE),"")</f>
        <v>50</v>
      </c>
      <c r="AA953" s="6968" t="str">
        <f t="array" ref="AA953">IFERROR(VLOOKUP(Z953,Dex!$P$22:$Q$276,2,FALSE),"")</f>
        <v/>
      </c>
      <c r="AB953" s="6969"/>
      <c r="AC953" s="6965"/>
      <c r="AD953" s="6966" t="s">
        <v>195</v>
      </c>
      <c r="AE953" s="6967">
        <f t="array" ref="AE953">IFERROR(VLOOKUP(AD937,Dex!$B$3:$N1218,11,FALSE),"")</f>
        <v>85</v>
      </c>
      <c r="AF953" s="6968" t="str">
        <f t="array" ref="AF953">IFERROR(VLOOKUP(AE953,Dex!$P$22:$Q$276,2,FALSE),"")</f>
        <v/>
      </c>
      <c r="AG953" s="6969">
        <v>252.0</v>
      </c>
      <c r="AH953" s="6960"/>
      <c r="AI953" s="6192"/>
    </row>
    <row r="954" ht="16.5" customHeight="1">
      <c r="A954" s="6185"/>
      <c r="B954" s="6954"/>
      <c r="C954" s="6947"/>
      <c r="D954" s="6955"/>
      <c r="E954" s="6966" t="s">
        <v>196</v>
      </c>
      <c r="F954" s="6967">
        <f t="array" ref="F954">IFERROR(VLOOKUP(E937,Dex!$B$3:$N1218,12,FALSE),"")</f>
        <v>101</v>
      </c>
      <c r="G954" s="6968" t="str">
        <f t="array" ref="G954">IFERROR(VLOOKUP(F954,Dex!$P$22:$Q$276,2,FALSE),"")</f>
        <v/>
      </c>
      <c r="H954" s="6969"/>
      <c r="I954" s="6955"/>
      <c r="J954" s="6966" t="s">
        <v>196</v>
      </c>
      <c r="K954" s="6967">
        <f t="array" ref="K954">IFERROR(VLOOKUP(J937,Dex!$B$3:$N1218,12,FALSE),"")</f>
        <v>60</v>
      </c>
      <c r="L954" s="6968" t="str">
        <f t="array" ref="L954">IFERROR(VLOOKUP(K954,Dex!$P$22:$Q$276,2,FALSE),"")</f>
        <v/>
      </c>
      <c r="M954" s="6969">
        <v>4.0</v>
      </c>
      <c r="N954" s="6955"/>
      <c r="O954" s="6966" t="s">
        <v>196</v>
      </c>
      <c r="P954" s="6967">
        <f t="array" ref="P954">IFERROR(VLOOKUP(O937,Dex!$B$3:$N1218,12,FALSE),"")</f>
        <v>85</v>
      </c>
      <c r="Q954" s="6968" t="str">
        <f t="array" ref="Q954">IFERROR(VLOOKUP(P954,Dex!$P$22:$Q$276,2,FALSE),"")</f>
        <v/>
      </c>
      <c r="R954" s="6969"/>
      <c r="S954" s="6965"/>
      <c r="T954" s="6966" t="s">
        <v>196</v>
      </c>
      <c r="U954" s="6967">
        <f t="array" ref="U954">IFERROR(VLOOKUP(T937,Dex!$B$3:$N1218,12,FALSE),"")</f>
        <v>85</v>
      </c>
      <c r="V954" s="6968" t="str">
        <f t="array" ref="V954">IFERROR(VLOOKUP(U954,Dex!$P$22:$Q$276,2,FALSE),"")</f>
        <v/>
      </c>
      <c r="W954" s="6969"/>
      <c r="X954" s="6965"/>
      <c r="Y954" s="6966" t="s">
        <v>196</v>
      </c>
      <c r="Z954" s="6967">
        <f t="array" ref="Z954">IFERROR(VLOOKUP(Y937,Dex!$B$3:$N1218,12,FALSE),"")</f>
        <v>40</v>
      </c>
      <c r="AA954" s="6968" t="str">
        <f t="array" ref="AA954">IFERROR(VLOOKUP(Z954,Dex!$P$22:$Q$276,2,FALSE),"")</f>
        <v/>
      </c>
      <c r="AB954" s="6969"/>
      <c r="AC954" s="6965"/>
      <c r="AD954" s="6966" t="s">
        <v>196</v>
      </c>
      <c r="AE954" s="6967">
        <f t="array" ref="AE954">IFERROR(VLOOKUP(AD937,Dex!$B$3:$N1218,12,FALSE),"")</f>
        <v>75</v>
      </c>
      <c r="AF954" s="6968" t="str">
        <f t="array" ref="AF954">IFERROR(VLOOKUP(AE954,Dex!$P$22:$Q$276,2,FALSE),"")</f>
        <v/>
      </c>
      <c r="AG954" s="6969"/>
      <c r="AH954" s="6960"/>
      <c r="AI954" s="6192"/>
    </row>
    <row r="955" ht="16.5" customHeight="1">
      <c r="A955" s="6185"/>
      <c r="B955" s="6954"/>
      <c r="C955" s="6947"/>
      <c r="D955" s="6955"/>
      <c r="E955" s="6970" t="s">
        <v>197</v>
      </c>
      <c r="F955" s="6971">
        <f t="array" ref="F955">IFERROR(VLOOKUP(E937,Dex!$B$3:$N1218,13,FALSE),"")</f>
        <v>60</v>
      </c>
      <c r="G955" s="6972" t="str">
        <f t="array" ref="G955">IFERROR(VLOOKUP(F955,Dex!$P$22:$Q$276,2,FALSE),"")</f>
        <v/>
      </c>
      <c r="H955" s="6973">
        <v>252.0</v>
      </c>
      <c r="I955" s="6955"/>
      <c r="J955" s="6970" t="s">
        <v>197</v>
      </c>
      <c r="K955" s="6971">
        <f t="array" ref="K955">IFERROR(VLOOKUP(J937,Dex!$B$3:$N1218,13,FALSE),"")</f>
        <v>45</v>
      </c>
      <c r="L955" s="6972" t="str">
        <f t="array" ref="L955">IFERROR(VLOOKUP(K955,Dex!$P$22:$Q$276,2,FALSE),"")</f>
        <v/>
      </c>
      <c r="M955" s="6973"/>
      <c r="N955" s="6955"/>
      <c r="O955" s="6970" t="s">
        <v>197</v>
      </c>
      <c r="P955" s="6971">
        <f t="array" ref="P955">IFERROR(VLOOKUP(O937,Dex!$B$3:$N1218,13,FALSE),"")</f>
        <v>100</v>
      </c>
      <c r="Q955" s="6972" t="str">
        <f t="array" ref="Q955">IFERROR(VLOOKUP(P955,Dex!$P$22:$Q$276,2,FALSE),"")</f>
        <v/>
      </c>
      <c r="R955" s="6973">
        <v>252.0</v>
      </c>
      <c r="S955" s="6965"/>
      <c r="T955" s="6970" t="s">
        <v>197</v>
      </c>
      <c r="U955" s="6971">
        <f t="array" ref="U955">IFERROR(VLOOKUP(T937,Dex!$B$3:$N1218,13,FALSE),"")</f>
        <v>100</v>
      </c>
      <c r="V955" s="6972" t="str">
        <f t="array" ref="V955">IFERROR(VLOOKUP(U955,Dex!$P$22:$Q$276,2,FALSE),"")</f>
        <v/>
      </c>
      <c r="W955" s="6973">
        <v>252.0</v>
      </c>
      <c r="X955" s="6965"/>
      <c r="Y955" s="6970" t="s">
        <v>197</v>
      </c>
      <c r="Z955" s="6971">
        <f t="array" ref="Z955">IFERROR(VLOOKUP(Y937,Dex!$B$3:$N1218,13,FALSE),"")</f>
        <v>110</v>
      </c>
      <c r="AA955" s="6972" t="str">
        <f t="array" ref="AA955">IFERROR(VLOOKUP(Z955,Dex!$P$22:$Q$276,2,FALSE),"")</f>
        <v/>
      </c>
      <c r="AB955" s="6973">
        <v>252.0</v>
      </c>
      <c r="AC955" s="6965"/>
      <c r="AD955" s="6970" t="s">
        <v>197</v>
      </c>
      <c r="AE955" s="6971">
        <f t="array" ref="AE955">IFERROR(VLOOKUP(AD937,Dex!$B$3:$N1218,13,FALSE),"")</f>
        <v>110</v>
      </c>
      <c r="AF955" s="6972" t="str">
        <f t="array" ref="AF955">IFERROR(VLOOKUP(AE955,Dex!$P$22:$Q$276,2,FALSE),"")</f>
        <v/>
      </c>
      <c r="AG955" s="6973">
        <v>252.0</v>
      </c>
      <c r="AH955" s="6960"/>
      <c r="AI955" s="6192"/>
    </row>
    <row r="956" ht="16.5" customHeight="1">
      <c r="A956" s="6185"/>
      <c r="B956" s="6954"/>
      <c r="C956" s="6947"/>
      <c r="D956" s="6955"/>
      <c r="E956" s="6974" t="s">
        <v>198</v>
      </c>
      <c r="F956" s="405"/>
      <c r="G956" s="406"/>
      <c r="H956" s="6975">
        <v>240.0</v>
      </c>
      <c r="I956" s="6958"/>
      <c r="J956" s="6974" t="s">
        <v>198</v>
      </c>
      <c r="K956" s="405"/>
      <c r="L956" s="406"/>
      <c r="M956" s="6975">
        <v>136.0</v>
      </c>
      <c r="N956" s="6958"/>
      <c r="O956" s="6974" t="s">
        <v>198</v>
      </c>
      <c r="P956" s="405"/>
      <c r="Q956" s="406"/>
      <c r="R956" s="6975">
        <v>328.0</v>
      </c>
      <c r="S956" s="6959"/>
      <c r="T956" s="6974" t="s">
        <v>198</v>
      </c>
      <c r="U956" s="405"/>
      <c r="V956" s="406"/>
      <c r="W956" s="6975">
        <v>328.0</v>
      </c>
      <c r="X956" s="6959"/>
      <c r="Y956" s="6974" t="s">
        <v>198</v>
      </c>
      <c r="Z956" s="405"/>
      <c r="AA956" s="406"/>
      <c r="AB956" s="6975">
        <v>350.0</v>
      </c>
      <c r="AC956" s="6959"/>
      <c r="AD956" s="6974" t="s">
        <v>198</v>
      </c>
      <c r="AE956" s="405"/>
      <c r="AF956" s="406"/>
      <c r="AG956" s="6975">
        <v>328.0</v>
      </c>
      <c r="AH956" s="6960"/>
      <c r="AI956" s="6192"/>
    </row>
    <row r="957" ht="15.0" customHeight="1">
      <c r="A957" s="6185"/>
      <c r="B957" s="6976"/>
      <c r="C957" s="6977"/>
      <c r="D957" s="6978"/>
      <c r="E957" s="6977"/>
      <c r="F957" s="6977"/>
      <c r="G957" s="6977"/>
      <c r="H957" s="6977"/>
      <c r="I957" s="6978"/>
      <c r="J957" s="6979"/>
      <c r="K957" s="6979"/>
      <c r="L957" s="6979"/>
      <c r="M957" s="6977"/>
      <c r="N957" s="6978"/>
      <c r="O957" s="6979"/>
      <c r="P957" s="6979"/>
      <c r="Q957" s="6979"/>
      <c r="R957" s="6977"/>
      <c r="S957" s="6980"/>
      <c r="T957" s="6979"/>
      <c r="U957" s="6979"/>
      <c r="V957" s="6979"/>
      <c r="W957" s="6977"/>
      <c r="X957" s="6980"/>
      <c r="Y957" s="6981"/>
      <c r="Z957" s="6981"/>
      <c r="AA957" s="6981"/>
      <c r="AB957" s="6980"/>
      <c r="AC957" s="6980"/>
      <c r="AD957" s="6981"/>
      <c r="AE957" s="6981"/>
      <c r="AF957" s="6981"/>
      <c r="AG957" s="6980"/>
      <c r="AH957" s="6982"/>
      <c r="AI957" s="6192"/>
    </row>
    <row r="958" ht="15.0" customHeight="1">
      <c r="A958" s="6125"/>
      <c r="B958" s="6983"/>
      <c r="C958" s="6984"/>
      <c r="D958" s="6985"/>
      <c r="E958" s="6986"/>
      <c r="F958" s="6986"/>
      <c r="G958" s="6986"/>
      <c r="H958" s="6986"/>
      <c r="I958" s="6987"/>
      <c r="J958" s="6986"/>
      <c r="K958" s="6986"/>
      <c r="L958" s="6986"/>
      <c r="M958" s="6986"/>
      <c r="N958" s="6987"/>
      <c r="O958" s="6986"/>
      <c r="P958" s="6986"/>
      <c r="Q958" s="6986"/>
      <c r="R958" s="6986"/>
      <c r="S958" s="6987"/>
      <c r="T958" s="6986"/>
      <c r="U958" s="6986"/>
      <c r="V958" s="6986"/>
      <c r="W958" s="6986"/>
      <c r="X958" s="6987"/>
      <c r="Y958" s="6986"/>
      <c r="Z958" s="6986"/>
      <c r="AA958" s="6986"/>
      <c r="AB958" s="6986"/>
      <c r="AC958" s="6987"/>
      <c r="AD958" s="6986"/>
      <c r="AE958" s="6986"/>
      <c r="AF958" s="6986"/>
      <c r="AG958" s="6986"/>
      <c r="AH958" s="6988"/>
      <c r="AI958" s="6129"/>
    </row>
    <row r="959" ht="96.75" customHeight="1">
      <c r="A959" s="6125"/>
      <c r="B959" s="6989"/>
      <c r="C959" s="6990" t="str">
        <f>IMAGE("https://i.ibb.co/3NcSy5g/Aroma-Lady.png")</f>
        <v/>
      </c>
      <c r="D959" s="6991"/>
      <c r="E959" s="6992" t="str">
        <f t="array" ref="E959">IFERROR(VLOOKUP(E960,Dex!$B$3:$G1218,3,FALSE),"")</f>
        <v/>
      </c>
      <c r="F959" s="1830"/>
      <c r="G959" s="1830"/>
      <c r="H959" s="1831"/>
      <c r="I959" s="6993"/>
      <c r="J959" s="6992" t="str">
        <f t="array" ref="J959">IFERROR(VLOOKUP(J960,Dex!$B$3:$G1218,3,FALSE),"")</f>
        <v/>
      </c>
      <c r="K959" s="1830"/>
      <c r="L959" s="1830"/>
      <c r="M959" s="1831"/>
      <c r="N959" s="6993"/>
      <c r="O959" s="6992" t="str">
        <f t="array" ref="O959">IFERROR(VLOOKUP(O960,Dex!$B$3:$G1218,3,FALSE),"")</f>
        <v/>
      </c>
      <c r="P959" s="1830"/>
      <c r="Q959" s="1830"/>
      <c r="R959" s="1831"/>
      <c r="S959" s="6993"/>
      <c r="T959" s="6992" t="str">
        <f t="array" ref="T959">IFERROR(VLOOKUP(T960,Dex!$B$3:$G1218,3,FALSE),"")</f>
        <v/>
      </c>
      <c r="U959" s="1830"/>
      <c r="V959" s="1830"/>
      <c r="W959" s="1831"/>
      <c r="X959" s="6993"/>
      <c r="Y959" s="6992" t="str">
        <f t="array" ref="Y959">IFERROR(VLOOKUP(Y960,Dex!$B$3:$G1218,3,FALSE),"")</f>
        <v/>
      </c>
      <c r="Z959" s="1830"/>
      <c r="AA959" s="1830"/>
      <c r="AB959" s="1831"/>
      <c r="AC959" s="6994"/>
      <c r="AD959" s="6995"/>
      <c r="AE959" s="1060"/>
      <c r="AF959" s="1060"/>
      <c r="AG959" s="6996"/>
      <c r="AH959" s="6997"/>
      <c r="AI959" s="6129"/>
    </row>
    <row r="960" ht="18.75" customHeight="1">
      <c r="A960" s="6140"/>
      <c r="B960" s="6998"/>
      <c r="C960" s="6999" t="s">
        <v>1779</v>
      </c>
      <c r="D960" s="7000"/>
      <c r="E960" s="7001" t="s">
        <v>1339</v>
      </c>
      <c r="F960" s="7002"/>
      <c r="G960" s="7002"/>
      <c r="H960" s="7003"/>
      <c r="I960" s="6993"/>
      <c r="J960" s="7001" t="s">
        <v>418</v>
      </c>
      <c r="K960" s="7002"/>
      <c r="L960" s="7002"/>
      <c r="M960" s="7003"/>
      <c r="N960" s="6993"/>
      <c r="O960" s="7001" t="s">
        <v>664</v>
      </c>
      <c r="P960" s="7002"/>
      <c r="Q960" s="7002"/>
      <c r="R960" s="7003"/>
      <c r="S960" s="6993"/>
      <c r="T960" s="7001" t="s">
        <v>1130</v>
      </c>
      <c r="U960" s="7002"/>
      <c r="V960" s="7002"/>
      <c r="W960" s="7003"/>
      <c r="X960" s="6993"/>
      <c r="Y960" s="7001" t="s">
        <v>907</v>
      </c>
      <c r="Z960" s="7002"/>
      <c r="AA960" s="7002"/>
      <c r="AB960" s="7003"/>
      <c r="AC960" s="6993"/>
      <c r="AD960" s="7004"/>
      <c r="AE960" s="1060"/>
      <c r="AF960" s="1060"/>
      <c r="AG960" s="6996"/>
      <c r="AH960" s="7005"/>
      <c r="AI960" s="6149"/>
    </row>
    <row r="961">
      <c r="A961" s="6125"/>
      <c r="B961" s="6989"/>
      <c r="C961" s="1481"/>
      <c r="D961" s="7006"/>
      <c r="E961" s="7007" t="s">
        <v>1502</v>
      </c>
      <c r="F961" s="7008"/>
      <c r="G961" s="7008"/>
      <c r="H961" s="7009"/>
      <c r="I961" s="6993"/>
      <c r="J961" s="7007" t="s">
        <v>1623</v>
      </c>
      <c r="K961" s="7008"/>
      <c r="L961" s="7008"/>
      <c r="M961" s="7009"/>
      <c r="N961" s="6993"/>
      <c r="O961" s="7007" t="s">
        <v>1502</v>
      </c>
      <c r="P961" s="7008"/>
      <c r="Q961" s="7008"/>
      <c r="R961" s="7009"/>
      <c r="S961" s="6993"/>
      <c r="T961" s="7007" t="s">
        <v>1502</v>
      </c>
      <c r="U961" s="7008"/>
      <c r="V961" s="7008"/>
      <c r="W961" s="7009"/>
      <c r="X961" s="6993"/>
      <c r="Y961" s="7007" t="s">
        <v>1502</v>
      </c>
      <c r="Z961" s="7008"/>
      <c r="AA961" s="7008"/>
      <c r="AB961" s="7009"/>
      <c r="AC961" s="6994"/>
      <c r="AD961" s="6995"/>
      <c r="AE961" s="1060"/>
      <c r="AF961" s="1060"/>
      <c r="AG961" s="6996"/>
      <c r="AH961" s="6997"/>
      <c r="AI961" s="6129"/>
    </row>
    <row r="962" ht="25.5" customHeight="1">
      <c r="A962" s="6125"/>
      <c r="B962" s="6989"/>
      <c r="C962" s="1489"/>
      <c r="D962" s="6994"/>
      <c r="E962" s="7010"/>
      <c r="F962" s="7011" t="str">
        <f t="array" ref="F962">IFERROR(VLOOKUP(E960,Dex!$B$3:$H1218,5,FALSE),"")</f>
        <v/>
      </c>
      <c r="G962" s="7012" t="str">
        <f t="array" ref="G962">IFERROR(VLOOKUP(E960,Dex!$B$3:$H1218,7,FALSE),"")</f>
        <v/>
      </c>
      <c r="H962" s="7013"/>
      <c r="I962" s="6993"/>
      <c r="J962" s="7010"/>
      <c r="K962" s="7011" t="str">
        <f t="array" ref="K962">IFERROR(VLOOKUP(J960,Dex!$B$3:$H1218,5,FALSE),"")</f>
        <v/>
      </c>
      <c r="L962" s="7012" t="str">
        <f t="array" ref="L962">IFERROR(VLOOKUP(J960,Dex!$B$3:$H1218,7,FALSE),"")</f>
        <v/>
      </c>
      <c r="M962" s="7013"/>
      <c r="N962" s="6993"/>
      <c r="O962" s="7010"/>
      <c r="P962" s="7011" t="str">
        <f t="array" ref="P962">IFERROR(VLOOKUP(O960,Dex!$B$3:$H1218,5,FALSE),"")</f>
        <v/>
      </c>
      <c r="Q962" s="7012" t="str">
        <f t="array" ref="Q962">IFERROR(VLOOKUP(O960,Dex!$B$3:$H1218,7,FALSE),"")</f>
        <v/>
      </c>
      <c r="R962" s="7013"/>
      <c r="S962" s="6993"/>
      <c r="T962" s="7010"/>
      <c r="U962" s="7011" t="str">
        <f t="array" ref="U962">IFERROR(VLOOKUP(T960,Dex!$B$3:$H1218,5,FALSE),"")</f>
        <v/>
      </c>
      <c r="V962" s="7012" t="str">
        <f t="array" ref="V962">IFERROR(VLOOKUP(T960,Dex!$B$3:$H1218,7,FALSE),"")</f>
        <v/>
      </c>
      <c r="W962" s="7013"/>
      <c r="X962" s="6993"/>
      <c r="Y962" s="7010"/>
      <c r="Z962" s="7011" t="str">
        <f t="array" ref="Z962">IFERROR(VLOOKUP(Y960,Dex!$B$3:$H1218,5,FALSE),"")</f>
        <v/>
      </c>
      <c r="AA962" s="7012" t="str">
        <f t="array" ref="AA962">IFERROR(VLOOKUP(Y960,Dex!$B$3:$H1218,7,FALSE),"")</f>
        <v/>
      </c>
      <c r="AB962" s="7013"/>
      <c r="AC962" s="6994"/>
      <c r="AD962" s="6995"/>
      <c r="AE962" s="1060"/>
      <c r="AF962" s="1060"/>
      <c r="AG962" s="6996"/>
      <c r="AH962" s="6997"/>
      <c r="AI962" s="6129"/>
    </row>
    <row r="963" ht="2.25" customHeight="1">
      <c r="A963" s="6125"/>
      <c r="B963" s="6989"/>
      <c r="C963" s="7014"/>
      <c r="D963" s="6994"/>
      <c r="E963" s="7015"/>
      <c r="F963" s="7016"/>
      <c r="G963" s="7016"/>
      <c r="H963" s="7017"/>
      <c r="I963" s="6993"/>
      <c r="J963" s="7015"/>
      <c r="K963" s="7016"/>
      <c r="L963" s="7016"/>
      <c r="M963" s="7017"/>
      <c r="N963" s="6993"/>
      <c r="O963" s="7015"/>
      <c r="P963" s="7016"/>
      <c r="Q963" s="7016"/>
      <c r="R963" s="7017"/>
      <c r="S963" s="6993"/>
      <c r="T963" s="7015"/>
      <c r="U963" s="7016"/>
      <c r="V963" s="7016"/>
      <c r="W963" s="7017"/>
      <c r="X963" s="6993"/>
      <c r="Y963" s="7015"/>
      <c r="Z963" s="7016"/>
      <c r="AA963" s="7016"/>
      <c r="AB963" s="7017"/>
      <c r="AC963" s="6994"/>
      <c r="AD963" s="6994"/>
      <c r="AE963" s="6994"/>
      <c r="AF963" s="6994"/>
      <c r="AG963" s="6994"/>
      <c r="AH963" s="6997"/>
      <c r="AI963" s="6129"/>
    </row>
    <row r="964" ht="20.25" customHeight="1">
      <c r="A964" s="6125"/>
      <c r="B964" s="6989"/>
      <c r="C964" s="1073"/>
      <c r="D964" s="6994"/>
      <c r="E964" s="7018" t="s">
        <v>264</v>
      </c>
      <c r="F964" s="1080"/>
      <c r="G964" s="1080"/>
      <c r="H964" s="1081"/>
      <c r="I964" s="6993"/>
      <c r="J964" s="7018" t="s">
        <v>172</v>
      </c>
      <c r="K964" s="1080"/>
      <c r="L964" s="1080"/>
      <c r="M964" s="1081"/>
      <c r="N964" s="6993"/>
      <c r="O964" s="7018" t="s">
        <v>172</v>
      </c>
      <c r="P964" s="1080"/>
      <c r="Q964" s="1080"/>
      <c r="R964" s="1081"/>
      <c r="S964" s="6993"/>
      <c r="T964" s="7018" t="s">
        <v>205</v>
      </c>
      <c r="U964" s="1080"/>
      <c r="V964" s="1080"/>
      <c r="W964" s="1081"/>
      <c r="X964" s="6993"/>
      <c r="Y964" s="7018" t="s">
        <v>206</v>
      </c>
      <c r="Z964" s="1080"/>
      <c r="AA964" s="1080"/>
      <c r="AB964" s="1081"/>
      <c r="AC964" s="6994"/>
      <c r="AD964" s="6995"/>
      <c r="AE964" s="1060"/>
      <c r="AF964" s="1060"/>
      <c r="AG964" s="6996"/>
      <c r="AH964" s="6997"/>
      <c r="AI964" s="6129"/>
    </row>
    <row r="965">
      <c r="A965" s="6125"/>
      <c r="B965" s="6989"/>
      <c r="C965" s="1073"/>
      <c r="D965" s="6994"/>
      <c r="E965" s="7019" t="s">
        <v>1780</v>
      </c>
      <c r="F965" s="1060"/>
      <c r="G965" s="1060"/>
      <c r="H965" s="1061"/>
      <c r="I965" s="6993"/>
      <c r="J965" s="7019" t="s">
        <v>424</v>
      </c>
      <c r="K965" s="1060"/>
      <c r="L965" s="1060"/>
      <c r="M965" s="1061"/>
      <c r="N965" s="6993"/>
      <c r="O965" s="7019" t="s">
        <v>361</v>
      </c>
      <c r="P965" s="1060"/>
      <c r="Q965" s="1060"/>
      <c r="R965" s="1061"/>
      <c r="S965" s="6993"/>
      <c r="T965" s="7019" t="s">
        <v>1133</v>
      </c>
      <c r="U965" s="1060"/>
      <c r="V965" s="1060"/>
      <c r="W965" s="1061"/>
      <c r="X965" s="6993"/>
      <c r="Y965" s="7019" t="s">
        <v>912</v>
      </c>
      <c r="Z965" s="1060"/>
      <c r="AA965" s="1060"/>
      <c r="AB965" s="1061"/>
      <c r="AC965" s="6994"/>
      <c r="AD965" s="6995"/>
      <c r="AE965" s="1060"/>
      <c r="AF965" s="1060"/>
      <c r="AG965" s="6996"/>
      <c r="AH965" s="6997"/>
      <c r="AI965" s="6129"/>
    </row>
    <row r="966" ht="20.25" customHeight="1">
      <c r="A966" s="6125"/>
      <c r="B966" s="6989"/>
      <c r="C966" s="1073"/>
      <c r="D966" s="6994"/>
      <c r="E966" s="7020" t="s">
        <v>1342</v>
      </c>
      <c r="F966" s="1085"/>
      <c r="G966" s="1086"/>
      <c r="H966" s="7021" t="str">
        <f>IMAGE("https://raw.githubusercontent.com/msikma/pokesprite/master/items/mega-stone/venusaurite.png",3)</f>
        <v/>
      </c>
      <c r="I966" s="6993"/>
      <c r="J966" s="7020" t="s">
        <v>1762</v>
      </c>
      <c r="K966" s="1085"/>
      <c r="L966" s="1086"/>
      <c r="M966" s="7021" t="str">
        <f>IMAGE("https://raw.githubusercontent.com/msikma/pokesprite/master/items/gem/rock.png",3)</f>
        <v/>
      </c>
      <c r="N966" s="6993"/>
      <c r="O966" s="7020" t="s">
        <v>240</v>
      </c>
      <c r="P966" s="1085"/>
      <c r="Q966" s="1086"/>
      <c r="R966" s="7021" t="str">
        <f>IMAGE("https://raw.githubusercontent.com/msikma/pokesprite/master/items/hold-item/focus-sash.png",3)</f>
        <v/>
      </c>
      <c r="S966" s="6993"/>
      <c r="T966" s="7020" t="s">
        <v>335</v>
      </c>
      <c r="U966" s="1085"/>
      <c r="V966" s="1086"/>
      <c r="W966" s="7021" t="str">
        <f>IMAGE("https://raw.githubusercontent.com/msikma/pokesprite/master/items/hold-item/choice-scarf.png",3)</f>
        <v/>
      </c>
      <c r="X966" s="6993"/>
      <c r="Y966" s="7020" t="s">
        <v>394</v>
      </c>
      <c r="Z966" s="1085"/>
      <c r="AA966" s="1086"/>
      <c r="AB966" s="7021" t="str">
        <f>IMAGE("https://raw.githubusercontent.com/msikma/pokesprite/master/items/hold-item/leftovers.png",3)</f>
        <v/>
      </c>
      <c r="AC966" s="6994"/>
      <c r="AD966" s="6995"/>
      <c r="AE966" s="1060"/>
      <c r="AF966" s="1060"/>
      <c r="AG966" s="6996"/>
      <c r="AH966" s="6997"/>
      <c r="AI966" s="6129"/>
    </row>
    <row r="967" ht="20.25" customHeight="1">
      <c r="A967" s="6125"/>
      <c r="B967" s="6989"/>
      <c r="C967" s="1078"/>
      <c r="D967" s="6994"/>
      <c r="E967" s="7018" t="s">
        <v>410</v>
      </c>
      <c r="F967" s="1080"/>
      <c r="G967" s="7022"/>
      <c r="H967" s="7023" t="str">
        <f>IMAGE("https://raw.githubusercontent.com/msikma/pokesprite/master/misc/types/gen8/dragon.png",4,20,20)</f>
        <v/>
      </c>
      <c r="I967" s="6993"/>
      <c r="J967" s="7018" t="s">
        <v>431</v>
      </c>
      <c r="K967" s="1080"/>
      <c r="L967" s="7022"/>
      <c r="M967" s="7023" t="str">
        <f>IMAGE("https://raw.githubusercontent.com/msikma/pokesprite/master/misc/types/gen8/rock.png",4,20,20)</f>
        <v/>
      </c>
      <c r="N967" s="6993"/>
      <c r="O967" s="7018" t="s">
        <v>402</v>
      </c>
      <c r="P967" s="1080"/>
      <c r="Q967" s="7022"/>
      <c r="R967" s="7023" t="str">
        <f>IMAGE("https://raw.githubusercontent.com/msikma/pokesprite/master/misc/types/gen8/ground.png",4,20,20)</f>
        <v/>
      </c>
      <c r="S967" s="6993"/>
      <c r="T967" s="7018" t="s">
        <v>372</v>
      </c>
      <c r="U967" s="1080"/>
      <c r="V967" s="7022"/>
      <c r="W967" s="7023" t="str">
        <f>IMAGE("https://raw.githubusercontent.com/msikma/pokesprite/master/misc/types/gen8/fire.png",4,20,20)</f>
        <v/>
      </c>
      <c r="X967" s="6993"/>
      <c r="Y967" s="7018" t="s">
        <v>509</v>
      </c>
      <c r="Z967" s="1080"/>
      <c r="AA967" s="7022"/>
      <c r="AB967" s="7023" t="str">
        <f>IMAGE("https://raw.githubusercontent.com/msikma/pokesprite/master/misc/types/gen8/psychic.png",4,20,20)</f>
        <v/>
      </c>
      <c r="AC967" s="6994"/>
      <c r="AD967" s="6995"/>
      <c r="AE967" s="1060"/>
      <c r="AF967" s="1060"/>
      <c r="AG967" s="6996"/>
      <c r="AH967" s="6997"/>
      <c r="AI967" s="6129"/>
    </row>
    <row r="968" ht="20.25" customHeight="1">
      <c r="A968" s="6125"/>
      <c r="B968" s="6989"/>
      <c r="C968" s="7024"/>
      <c r="D968" s="6994"/>
      <c r="E968" s="7019" t="s">
        <v>1344</v>
      </c>
      <c r="F968" s="1060"/>
      <c r="G968" s="6996"/>
      <c r="H968" s="7025" t="str">
        <f>IMAGE("https://raw.githubusercontent.com/msikma/pokesprite/master/misc/types/gen8/grass.png",4,20,20)</f>
        <v/>
      </c>
      <c r="I968" s="6993"/>
      <c r="J968" s="7019" t="s">
        <v>378</v>
      </c>
      <c r="K968" s="1060"/>
      <c r="L968" s="6996"/>
      <c r="M968" s="7025" t="str">
        <f>IMAGE("https://raw.githubusercontent.com/msikma/pokesprite/master/misc/types/gen8/fire.png",4,20,20)</f>
        <v/>
      </c>
      <c r="N968" s="6993"/>
      <c r="O968" s="7019" t="s">
        <v>399</v>
      </c>
      <c r="P968" s="1060"/>
      <c r="Q968" s="6996"/>
      <c r="R968" s="7025" t="str">
        <f>IMAGE("https://raw.githubusercontent.com/msikma/pokesprite/master/misc/types/gen8/rock.png",4,20,20)</f>
        <v/>
      </c>
      <c r="S968" s="6993"/>
      <c r="T968" s="7019" t="s">
        <v>318</v>
      </c>
      <c r="U968" s="1060"/>
      <c r="V968" s="6996"/>
      <c r="W968" s="7025" t="str">
        <f>IMAGE("https://raw.githubusercontent.com/msikma/pokesprite/master/misc/types/gen8/ghost.png",4,20,20)</f>
        <v/>
      </c>
      <c r="X968" s="6993"/>
      <c r="Y968" s="7019" t="s">
        <v>605</v>
      </c>
      <c r="Z968" s="1060"/>
      <c r="AA968" s="6996"/>
      <c r="AB968" s="7025" t="str">
        <f>IMAGE("https://raw.githubusercontent.com/msikma/pokesprite/master/misc/types/gen8/normal.png",4,20,20)</f>
        <v/>
      </c>
      <c r="AC968" s="6994"/>
      <c r="AD968" s="6995"/>
      <c r="AE968" s="1060"/>
      <c r="AF968" s="1060"/>
      <c r="AG968" s="6996"/>
      <c r="AH968" s="6997"/>
      <c r="AI968" s="6129"/>
    </row>
    <row r="969" ht="20.25" customHeight="1">
      <c r="A969" s="6125"/>
      <c r="B969" s="6989"/>
      <c r="C969" s="7024"/>
      <c r="D969" s="6994"/>
      <c r="E969" s="7019" t="s">
        <v>541</v>
      </c>
      <c r="F969" s="1060"/>
      <c r="G969" s="6996"/>
      <c r="H969" s="7025" t="str">
        <f>IMAGE("https://raw.githubusercontent.com/msikma/pokesprite/master/misc/types/gen8/dark.png",4,20,20)</f>
        <v/>
      </c>
      <c r="I969" s="6993"/>
      <c r="J969" s="7019" t="s">
        <v>1125</v>
      </c>
      <c r="K969" s="1060"/>
      <c r="L969" s="6996"/>
      <c r="M969" s="7025" t="str">
        <f>IMAGE("https://raw.githubusercontent.com/msikma/pokesprite/master/misc/types/gen8/rock.png",4,20,20)</f>
        <v/>
      </c>
      <c r="N969" s="6993"/>
      <c r="O969" s="7019" t="s">
        <v>407</v>
      </c>
      <c r="P969" s="1060"/>
      <c r="Q969" s="6996"/>
      <c r="R969" s="7025" t="str">
        <f>IMAGE("https://raw.githubusercontent.com/msikma/pokesprite/master/misc/types/gen8/steel.png",4,20,20)</f>
        <v/>
      </c>
      <c r="S969" s="6993"/>
      <c r="T969" s="7019" t="s">
        <v>377</v>
      </c>
      <c r="U969" s="1060"/>
      <c r="V969" s="6996"/>
      <c r="W969" s="7025" t="str">
        <f>IMAGE("https://raw.githubusercontent.com/msikma/pokesprite/master/misc/types/gen8/grass.png",4,20,20)</f>
        <v/>
      </c>
      <c r="X969" s="6993"/>
      <c r="Y969" s="7019" t="s">
        <v>314</v>
      </c>
      <c r="Z969" s="1060"/>
      <c r="AA969" s="6996"/>
      <c r="AB969" s="7025" t="str">
        <f>IMAGE("https://raw.githubusercontent.com/msikma/pokesprite/master/misc/types/gen8/fairy.png",4,20,20)</f>
        <v/>
      </c>
      <c r="AC969" s="6994"/>
      <c r="AD969" s="6995"/>
      <c r="AE969" s="1060"/>
      <c r="AF969" s="1060"/>
      <c r="AG969" s="6996"/>
      <c r="AH969" s="6997"/>
      <c r="AI969" s="6129"/>
    </row>
    <row r="970" ht="21.0" customHeight="1">
      <c r="A970" s="6125"/>
      <c r="B970" s="6989"/>
      <c r="C970" s="7024"/>
      <c r="D970" s="6994"/>
      <c r="E970" s="7026" t="s">
        <v>188</v>
      </c>
      <c r="F970" s="1092"/>
      <c r="G970" s="1092"/>
      <c r="H970" s="7027"/>
      <c r="I970" s="6993"/>
      <c r="J970" s="7026" t="s">
        <v>316</v>
      </c>
      <c r="K970" s="1092"/>
      <c r="L970" s="7028"/>
      <c r="M970" s="7029" t="str">
        <f>IMAGE("https://raw.githubusercontent.com/msikma/pokesprite/master/misc/types/gen8/fighting.png",4,20,20)</f>
        <v/>
      </c>
      <c r="N970" s="6993"/>
      <c r="O970" s="7026" t="s">
        <v>489</v>
      </c>
      <c r="P970" s="1092"/>
      <c r="Q970" s="7028"/>
      <c r="R970" s="7029" t="str">
        <f>IMAGE("https://raw.githubusercontent.com/msikma/pokesprite/master/misc/types/gen8/normal.png",4,20,20)</f>
        <v/>
      </c>
      <c r="S970" s="6993"/>
      <c r="T970" s="7026" t="s">
        <v>923</v>
      </c>
      <c r="U970" s="1092"/>
      <c r="V970" s="7028"/>
      <c r="W970" s="7029" t="str">
        <f>IMAGE("https://raw.githubusercontent.com/msikma/pokesprite/master/misc/types/gen8/ground.png",4,20,20)</f>
        <v/>
      </c>
      <c r="X970" s="6993"/>
      <c r="Y970" s="7026" t="s">
        <v>311</v>
      </c>
      <c r="Z970" s="1092"/>
      <c r="AA970" s="7028"/>
      <c r="AB970" s="7029" t="str">
        <f>IMAGE("https://raw.githubusercontent.com/msikma/pokesprite/master/misc/types/gen8/water.png",4,20,20)</f>
        <v/>
      </c>
      <c r="AC970" s="6994"/>
      <c r="AD970" s="6995"/>
      <c r="AE970" s="1060"/>
      <c r="AF970" s="1060"/>
      <c r="AG970" s="6996"/>
      <c r="AH970" s="6997"/>
      <c r="AI970" s="6129"/>
    </row>
    <row r="971" ht="3.0" customHeight="1">
      <c r="A971" s="6185"/>
      <c r="B971" s="7030"/>
      <c r="C971" s="7031"/>
      <c r="D971" s="7032"/>
      <c r="E971" s="7033"/>
      <c r="F971" s="7033"/>
      <c r="G971" s="7033"/>
      <c r="H971" s="7033"/>
      <c r="I971" s="7032"/>
      <c r="J971" s="7034"/>
      <c r="K971" s="7034"/>
      <c r="L971" s="7034"/>
      <c r="M971" s="7033"/>
      <c r="N971" s="7032"/>
      <c r="O971" s="7034"/>
      <c r="P971" s="7034"/>
      <c r="Q971" s="7034"/>
      <c r="R971" s="7033"/>
      <c r="S971" s="7032"/>
      <c r="T971" s="7033"/>
      <c r="U971" s="7033"/>
      <c r="V971" s="7033"/>
      <c r="W971" s="7033"/>
      <c r="X971" s="7032"/>
      <c r="Y971" s="7035"/>
      <c r="Z971" s="7035"/>
      <c r="AA971" s="7035"/>
      <c r="AB971" s="7036"/>
      <c r="AC971" s="7036"/>
      <c r="AD971" s="7036"/>
      <c r="AE971" s="7036"/>
      <c r="AF971" s="7036"/>
      <c r="AG971" s="7031"/>
      <c r="AH971" s="7037"/>
      <c r="AI971" s="6192"/>
    </row>
    <row r="972" ht="16.5" customHeight="1">
      <c r="A972" s="6185"/>
      <c r="B972" s="7038"/>
      <c r="C972" s="7039"/>
      <c r="D972" s="1125"/>
      <c r="E972" s="7040" t="s">
        <v>190</v>
      </c>
      <c r="F972" s="381"/>
      <c r="G972" s="382"/>
      <c r="H972" s="7041" t="s">
        <v>191</v>
      </c>
      <c r="I972" s="7042"/>
      <c r="J972" s="7040" t="s">
        <v>190</v>
      </c>
      <c r="K972" s="381"/>
      <c r="L972" s="382"/>
      <c r="M972" s="7041" t="s">
        <v>191</v>
      </c>
      <c r="N972" s="7042"/>
      <c r="O972" s="7040" t="s">
        <v>190</v>
      </c>
      <c r="P972" s="381"/>
      <c r="Q972" s="382"/>
      <c r="R972" s="7041" t="s">
        <v>191</v>
      </c>
      <c r="S972" s="7043"/>
      <c r="T972" s="7040" t="s">
        <v>190</v>
      </c>
      <c r="U972" s="381"/>
      <c r="V972" s="382"/>
      <c r="W972" s="7041" t="s">
        <v>191</v>
      </c>
      <c r="X972" s="7044"/>
      <c r="Y972" s="7040" t="s">
        <v>190</v>
      </c>
      <c r="Z972" s="381"/>
      <c r="AA972" s="382"/>
      <c r="AB972" s="7041" t="s">
        <v>191</v>
      </c>
      <c r="AC972" s="7043"/>
      <c r="AD972" s="7031"/>
      <c r="AE972" s="7031"/>
      <c r="AF972" s="7031"/>
      <c r="AG972" s="7031"/>
      <c r="AH972" s="7045"/>
      <c r="AI972" s="6192"/>
    </row>
    <row r="973" ht="16.5" customHeight="1">
      <c r="A973" s="6185"/>
      <c r="B973" s="7038"/>
      <c r="C973" s="7039"/>
      <c r="D973" s="1125"/>
      <c r="E973" s="7046" t="s">
        <v>192</v>
      </c>
      <c r="F973" s="7047">
        <f t="array" ref="F973">IFERROR(VLOOKUP(E960,Dex!$B$3:$N1218,8,FALSE),"")</f>
        <v>70</v>
      </c>
      <c r="G973" s="7048" t="str">
        <f t="array" ref="G973">IFERROR(VLOOKUP(F973,Dex!$P$22:$Q$276,2,FALSE),"")</f>
        <v/>
      </c>
      <c r="H973" s="7049"/>
      <c r="I973" s="1125"/>
      <c r="J973" s="7046" t="s">
        <v>192</v>
      </c>
      <c r="K973" s="7047">
        <f t="array" ref="K973">IFERROR(VLOOKUP(J960,Dex!$B$3:$N1218,8,FALSE),"")</f>
        <v>95</v>
      </c>
      <c r="L973" s="7048" t="str">
        <f t="array" ref="L973">IFERROR(VLOOKUP(K973,Dex!$P$22:$Q$276,2,FALSE),"")</f>
        <v/>
      </c>
      <c r="M973" s="7049"/>
      <c r="N973" s="1125"/>
      <c r="O973" s="7046" t="s">
        <v>192</v>
      </c>
      <c r="P973" s="7047">
        <f t="array" ref="P973">IFERROR(VLOOKUP(O960,Dex!$B$3:$N1218,8,FALSE),"")</f>
        <v>110</v>
      </c>
      <c r="Q973" s="7048" t="str">
        <f t="array" ref="Q973">IFERROR(VLOOKUP(P973,Dex!$P$22:$Q$276,2,FALSE),"")</f>
        <v/>
      </c>
      <c r="R973" s="7049"/>
      <c r="S973" s="7043"/>
      <c r="T973" s="7046" t="s">
        <v>192</v>
      </c>
      <c r="U973" s="7047">
        <f t="array" ref="U973">IFERROR(VLOOKUP(T960,Dex!$B$3:$N1218,8,FALSE),"")</f>
        <v>60</v>
      </c>
      <c r="V973" s="7048" t="str">
        <f t="array" ref="V973">IFERROR(VLOOKUP(U973,Dex!$P$22:$Q$276,2,FALSE),"")</f>
        <v/>
      </c>
      <c r="W973" s="7049"/>
      <c r="X973" s="7043"/>
      <c r="Y973" s="7046" t="s">
        <v>192</v>
      </c>
      <c r="Z973" s="7047">
        <f t="array" ref="Z973">IFERROR(VLOOKUP(Y960,Dex!$B$3:$N1218,8,FALSE),"")</f>
        <v>80</v>
      </c>
      <c r="AA973" s="7048" t="str">
        <f t="array" ref="AA973">IFERROR(VLOOKUP(Z973,Dex!$P$22:$Q$276,2,FALSE),"")</f>
        <v/>
      </c>
      <c r="AB973" s="7049">
        <v>248.0</v>
      </c>
      <c r="AC973" s="7043"/>
      <c r="AD973" s="7031"/>
      <c r="AE973" s="7031"/>
      <c r="AF973" s="7031"/>
      <c r="AG973" s="7031"/>
      <c r="AH973" s="7045"/>
      <c r="AI973" s="6192"/>
    </row>
    <row r="974" ht="16.5" customHeight="1">
      <c r="A974" s="6185"/>
      <c r="B974" s="7038"/>
      <c r="C974" s="7039"/>
      <c r="D974" s="1125"/>
      <c r="E974" s="7050" t="s">
        <v>193</v>
      </c>
      <c r="F974" s="7051">
        <f t="array" ref="F974">IFERROR(VLOOKUP(E960,Dex!$B$3:$N1218,9,FALSE),"")</f>
        <v>145</v>
      </c>
      <c r="G974" s="7052" t="str">
        <f t="array" ref="G974">IFERROR(VLOOKUP(F974,Dex!$P$22:$Q$276,2,FALSE),"")</f>
        <v/>
      </c>
      <c r="H974" s="7053">
        <v>252.0</v>
      </c>
      <c r="I974" s="1125"/>
      <c r="J974" s="7050" t="s">
        <v>193</v>
      </c>
      <c r="K974" s="7051">
        <f t="array" ref="K974">IFERROR(VLOOKUP(J960,Dex!$B$3:$N1218,9,FALSE),"")</f>
        <v>125</v>
      </c>
      <c r="L974" s="7052" t="str">
        <f t="array" ref="L974">IFERROR(VLOOKUP(K974,Dex!$P$22:$Q$276,2,FALSE),"")</f>
        <v/>
      </c>
      <c r="M974" s="7053">
        <v>252.0</v>
      </c>
      <c r="N974" s="1125"/>
      <c r="O974" s="7050" t="s">
        <v>193</v>
      </c>
      <c r="P974" s="7051">
        <f t="array" ref="P974">IFERROR(VLOOKUP(O960,Dex!$B$3:$N1218,9,FALSE),"")</f>
        <v>135</v>
      </c>
      <c r="Q974" s="7052" t="str">
        <f t="array" ref="Q974">IFERROR(VLOOKUP(P974,Dex!$P$22:$Q$276,2,FALSE),"")</f>
        <v/>
      </c>
      <c r="R974" s="7053">
        <v>252.0</v>
      </c>
      <c r="S974" s="7043"/>
      <c r="T974" s="7050" t="s">
        <v>193</v>
      </c>
      <c r="U974" s="7051">
        <f t="array" ref="U974">IFERROR(VLOOKUP(T960,Dex!$B$3:$N1218,9,FALSE),"")</f>
        <v>55</v>
      </c>
      <c r="V974" s="7052" t="str">
        <f t="array" ref="V974">IFERROR(VLOOKUP(U974,Dex!$P$22:$Q$276,2,FALSE),"")</f>
        <v/>
      </c>
      <c r="W974" s="7053"/>
      <c r="X974" s="7043"/>
      <c r="Y974" s="7050" t="s">
        <v>193</v>
      </c>
      <c r="Z974" s="7051">
        <f t="array" ref="Z974">IFERROR(VLOOKUP(Y960,Dex!$B$3:$N1218,9,FALSE),"")</f>
        <v>74</v>
      </c>
      <c r="AA974" s="7052" t="str">
        <f t="array" ref="AA974">IFERROR(VLOOKUP(Z974,Dex!$P$22:$Q$276,2,FALSE),"")</f>
        <v/>
      </c>
      <c r="AB974" s="7053"/>
      <c r="AC974" s="7043"/>
      <c r="AD974" s="7031"/>
      <c r="AE974" s="7031"/>
      <c r="AF974" s="7031"/>
      <c r="AG974" s="7031"/>
      <c r="AH974" s="7045"/>
      <c r="AI974" s="6192"/>
    </row>
    <row r="975" ht="16.5" customHeight="1">
      <c r="A975" s="6185"/>
      <c r="B975" s="7038"/>
      <c r="C975" s="7031"/>
      <c r="D975" s="1125"/>
      <c r="E975" s="7050" t="s">
        <v>194</v>
      </c>
      <c r="F975" s="7051">
        <f t="array" ref="F975">IFERROR(VLOOKUP(E960,Dex!$B$3:$N1218,10,FALSE),"")</f>
        <v>90</v>
      </c>
      <c r="G975" s="7052" t="str">
        <f t="array" ref="G975">IFERROR(VLOOKUP(F975,Dex!$P$22:$Q$276,2,FALSE),"")</f>
        <v/>
      </c>
      <c r="H975" s="7053"/>
      <c r="I975" s="1125"/>
      <c r="J975" s="7050" t="s">
        <v>194</v>
      </c>
      <c r="K975" s="7051">
        <f t="array" ref="K975">IFERROR(VLOOKUP(J960,Dex!$B$3:$N1218,10,FALSE),"")</f>
        <v>80</v>
      </c>
      <c r="L975" s="7052" t="str">
        <f t="array" ref="L975">IFERROR(VLOOKUP(K975,Dex!$P$22:$Q$276,2,FALSE),"")</f>
        <v/>
      </c>
      <c r="M975" s="7053">
        <v>4.0</v>
      </c>
      <c r="N975" s="1125"/>
      <c r="O975" s="7050" t="s">
        <v>194</v>
      </c>
      <c r="P975" s="7051">
        <f t="array" ref="P975">IFERROR(VLOOKUP(O960,Dex!$B$3:$N1218,10,FALSE),"")</f>
        <v>60</v>
      </c>
      <c r="Q975" s="7052" t="str">
        <f t="array" ref="Q975">IFERROR(VLOOKUP(P975,Dex!$P$22:$Q$276,2,FALSE),"")</f>
        <v/>
      </c>
      <c r="R975" s="7053">
        <v>4.0</v>
      </c>
      <c r="S975" s="7043"/>
      <c r="T975" s="7050" t="s">
        <v>194</v>
      </c>
      <c r="U975" s="7051">
        <f t="array" ref="U975">IFERROR(VLOOKUP(T960,Dex!$B$3:$N1218,10,FALSE),"")</f>
        <v>90</v>
      </c>
      <c r="V975" s="7052" t="str">
        <f t="array" ref="V975">IFERROR(VLOOKUP(U975,Dex!$P$22:$Q$276,2,FALSE),"")</f>
        <v/>
      </c>
      <c r="W975" s="7053">
        <v>4.0</v>
      </c>
      <c r="X975" s="7043"/>
      <c r="Y975" s="7050" t="s">
        <v>194</v>
      </c>
      <c r="Z975" s="7051">
        <f t="array" ref="Z975">IFERROR(VLOOKUP(Y960,Dex!$B$3:$N1218,10,FALSE),"")</f>
        <v>74</v>
      </c>
      <c r="AA975" s="7052" t="str">
        <f t="array" ref="AA975">IFERROR(VLOOKUP(Z975,Dex!$P$22:$Q$276,2,FALSE),"")</f>
        <v/>
      </c>
      <c r="AB975" s="7053">
        <v>252.0</v>
      </c>
      <c r="AC975" s="7043"/>
      <c r="AD975" s="7031"/>
      <c r="AE975" s="7031"/>
      <c r="AF975" s="7031"/>
      <c r="AG975" s="7031"/>
      <c r="AH975" s="7045"/>
      <c r="AI975" s="6192"/>
    </row>
    <row r="976" ht="16.5" customHeight="1">
      <c r="A976" s="6185"/>
      <c r="B976" s="7038"/>
      <c r="C976" s="7031"/>
      <c r="D976" s="1125"/>
      <c r="E976" s="7050" t="s">
        <v>195</v>
      </c>
      <c r="F976" s="7051">
        <f t="array" ref="F976">IFERROR(VLOOKUP(E960,Dex!$B$3:$N1218,11,FALSE),"")</f>
        <v>135</v>
      </c>
      <c r="G976" s="7052" t="str">
        <f t="array" ref="G976">IFERROR(VLOOKUP(F976,Dex!$P$22:$Q$276,2,FALSE),"")</f>
        <v/>
      </c>
      <c r="H976" s="7053">
        <v>4.0</v>
      </c>
      <c r="I976" s="1125"/>
      <c r="J976" s="7050" t="s">
        <v>195</v>
      </c>
      <c r="K976" s="7051">
        <f t="array" ref="K976">IFERROR(VLOOKUP(J960,Dex!$B$3:$N1218,11,FALSE),"")</f>
        <v>85</v>
      </c>
      <c r="L976" s="7052" t="str">
        <f t="array" ref="L976">IFERROR(VLOOKUP(K976,Dex!$P$22:$Q$276,2,FALSE),"")</f>
        <v/>
      </c>
      <c r="M976" s="7053"/>
      <c r="N976" s="1125"/>
      <c r="O976" s="7050" t="s">
        <v>195</v>
      </c>
      <c r="P976" s="7051">
        <f t="array" ref="P976">IFERROR(VLOOKUP(O960,Dex!$B$3:$N1218,11,FALSE),"")</f>
        <v>50</v>
      </c>
      <c r="Q976" s="7052" t="str">
        <f t="array" ref="Q976">IFERROR(VLOOKUP(P976,Dex!$P$22:$Q$276,2,FALSE),"")</f>
        <v/>
      </c>
      <c r="R976" s="7053"/>
      <c r="S976" s="7043"/>
      <c r="T976" s="7050" t="s">
        <v>195</v>
      </c>
      <c r="U976" s="7051">
        <f t="array" ref="U976">IFERROR(VLOOKUP(T960,Dex!$B$3:$N1218,11,FALSE),"")</f>
        <v>145</v>
      </c>
      <c r="V976" s="7052" t="str">
        <f t="array" ref="V976">IFERROR(VLOOKUP(U976,Dex!$P$22:$Q$276,2,FALSE),"")</f>
        <v/>
      </c>
      <c r="W976" s="7053">
        <v>252.0</v>
      </c>
      <c r="X976" s="7043"/>
      <c r="Y976" s="7050" t="s">
        <v>195</v>
      </c>
      <c r="Z976" s="7051">
        <f t="array" ref="Z976">IFERROR(VLOOKUP(Y960,Dex!$B$3:$N1218,11,FALSE),"")</f>
        <v>126</v>
      </c>
      <c r="AA976" s="7052" t="str">
        <f t="array" ref="AA976">IFERROR(VLOOKUP(Z976,Dex!$P$22:$Q$276,2,FALSE),"")</f>
        <v/>
      </c>
      <c r="AB976" s="7053">
        <v>8.0</v>
      </c>
      <c r="AC976" s="7043"/>
      <c r="AD976" s="7031"/>
      <c r="AE976" s="7031"/>
      <c r="AF976" s="7031"/>
      <c r="AG976" s="7031"/>
      <c r="AH976" s="7045"/>
      <c r="AI976" s="6192"/>
    </row>
    <row r="977" ht="16.5" customHeight="1">
      <c r="A977" s="6185"/>
      <c r="B977" s="7038"/>
      <c r="C977" s="7031"/>
      <c r="D977" s="1125"/>
      <c r="E977" s="7050" t="s">
        <v>196</v>
      </c>
      <c r="F977" s="7051">
        <f t="array" ref="F977">IFERROR(VLOOKUP(E960,Dex!$B$3:$N1218,12,FALSE),"")</f>
        <v>70</v>
      </c>
      <c r="G977" s="7052" t="str">
        <f t="array" ref="G977">IFERROR(VLOOKUP(F977,Dex!$P$22:$Q$276,2,FALSE),"")</f>
        <v/>
      </c>
      <c r="H977" s="7053"/>
      <c r="I977" s="1125"/>
      <c r="J977" s="7050" t="s">
        <v>196</v>
      </c>
      <c r="K977" s="7051">
        <f t="array" ref="K977">IFERROR(VLOOKUP(J960,Dex!$B$3:$N1218,12,FALSE),"")</f>
        <v>80</v>
      </c>
      <c r="L977" s="7052" t="str">
        <f t="array" ref="L977">IFERROR(VLOOKUP(K977,Dex!$P$22:$Q$276,2,FALSE),"")</f>
        <v/>
      </c>
      <c r="M977" s="7053"/>
      <c r="N977" s="1125"/>
      <c r="O977" s="7050" t="s">
        <v>196</v>
      </c>
      <c r="P977" s="7051">
        <f t="array" ref="P977">IFERROR(VLOOKUP(O960,Dex!$B$3:$N1218,12,FALSE),"")</f>
        <v>65</v>
      </c>
      <c r="Q977" s="7052" t="str">
        <f t="array" ref="Q977">IFERROR(VLOOKUP(P977,Dex!$P$22:$Q$276,2,FALSE),"")</f>
        <v/>
      </c>
      <c r="R977" s="7053"/>
      <c r="S977" s="7043"/>
      <c r="T977" s="7050" t="s">
        <v>196</v>
      </c>
      <c r="U977" s="7051">
        <f t="array" ref="U977">IFERROR(VLOOKUP(T960,Dex!$B$3:$N1218,12,FALSE),"")</f>
        <v>90</v>
      </c>
      <c r="V977" s="7052" t="str">
        <f t="array" ref="V977">IFERROR(VLOOKUP(U977,Dex!$P$22:$Q$276,2,FALSE),"")</f>
        <v/>
      </c>
      <c r="W977" s="7053"/>
      <c r="X977" s="7043"/>
      <c r="Y977" s="7050" t="s">
        <v>196</v>
      </c>
      <c r="Z977" s="7051">
        <f t="array" ref="Z977">IFERROR(VLOOKUP(Y960,Dex!$B$3:$N1218,12,FALSE),"")</f>
        <v>116</v>
      </c>
      <c r="AA977" s="7052" t="str">
        <f t="array" ref="AA977">IFERROR(VLOOKUP(Z977,Dex!$P$22:$Q$276,2,FALSE),"")</f>
        <v/>
      </c>
      <c r="AB977" s="7053"/>
      <c r="AC977" s="7043"/>
      <c r="AD977" s="7031"/>
      <c r="AE977" s="7031"/>
      <c r="AF977" s="7031"/>
      <c r="AG977" s="7031"/>
      <c r="AH977" s="7045"/>
      <c r="AI977" s="6192"/>
    </row>
    <row r="978" ht="16.5" customHeight="1">
      <c r="A978" s="6185"/>
      <c r="B978" s="7038"/>
      <c r="C978" s="7031"/>
      <c r="D978" s="1125"/>
      <c r="E978" s="7054" t="s">
        <v>197</v>
      </c>
      <c r="F978" s="7055">
        <f t="array" ref="F978">IFERROR(VLOOKUP(E960,Dex!$B$3:$N1218,13,FALSE),"")</f>
        <v>105</v>
      </c>
      <c r="G978" s="7056" t="str">
        <f t="array" ref="G978">IFERROR(VLOOKUP(F978,Dex!$P$22:$Q$276,2,FALSE),"")</f>
        <v/>
      </c>
      <c r="H978" s="7057">
        <v>252.0</v>
      </c>
      <c r="I978" s="1125"/>
      <c r="J978" s="7054" t="s">
        <v>197</v>
      </c>
      <c r="K978" s="7055">
        <f t="array" ref="K978">IFERROR(VLOOKUP(J960,Dex!$B$3:$N1218,13,FALSE),"")</f>
        <v>90</v>
      </c>
      <c r="L978" s="7056" t="str">
        <f t="array" ref="L978">IFERROR(VLOOKUP(K978,Dex!$P$22:$Q$276,2,FALSE),"")</f>
        <v/>
      </c>
      <c r="M978" s="7057">
        <v>252.0</v>
      </c>
      <c r="N978" s="1125"/>
      <c r="O978" s="7054" t="s">
        <v>197</v>
      </c>
      <c r="P978" s="7055">
        <f t="array" ref="P978">IFERROR(VLOOKUP(O960,Dex!$B$3:$N1218,13,FALSE),"")</f>
        <v>88</v>
      </c>
      <c r="Q978" s="7056" t="str">
        <f t="array" ref="Q978">IFERROR(VLOOKUP(P978,Dex!$P$22:$Q$276,2,FALSE),"")</f>
        <v/>
      </c>
      <c r="R978" s="7057">
        <v>252.0</v>
      </c>
      <c r="S978" s="7043"/>
      <c r="T978" s="7054" t="s">
        <v>197</v>
      </c>
      <c r="U978" s="7055">
        <f t="array" ref="U978">IFERROR(VLOOKUP(T960,Dex!$B$3:$N1218,13,FALSE),"")</f>
        <v>80</v>
      </c>
      <c r="V978" s="7056" t="str">
        <f t="array" ref="V978">IFERROR(VLOOKUP(U978,Dex!$P$22:$Q$276,2,FALSE),"")</f>
        <v/>
      </c>
      <c r="W978" s="7057">
        <v>252.0</v>
      </c>
      <c r="X978" s="7043"/>
      <c r="Y978" s="7054" t="s">
        <v>197</v>
      </c>
      <c r="Z978" s="7055">
        <f t="array" ref="Z978">IFERROR(VLOOKUP(Y960,Dex!$B$3:$N1218,13,FALSE),"")</f>
        <v>60</v>
      </c>
      <c r="AA978" s="7056" t="str">
        <f t="array" ref="AA978">IFERROR(VLOOKUP(Z978,Dex!$P$22:$Q$276,2,FALSE),"")</f>
        <v/>
      </c>
      <c r="AB978" s="7057"/>
      <c r="AC978" s="7043"/>
      <c r="AD978" s="7031"/>
      <c r="AE978" s="7031"/>
      <c r="AF978" s="7031"/>
      <c r="AG978" s="7031"/>
      <c r="AH978" s="7045"/>
      <c r="AI978" s="6192"/>
    </row>
    <row r="979" ht="16.5" customHeight="1">
      <c r="A979" s="6185"/>
      <c r="B979" s="7038"/>
      <c r="C979" s="7031"/>
      <c r="D979" s="1125"/>
      <c r="E979" s="7058" t="s">
        <v>198</v>
      </c>
      <c r="F979" s="405"/>
      <c r="G979" s="406"/>
      <c r="H979" s="7059">
        <v>339.0</v>
      </c>
      <c r="I979" s="7042"/>
      <c r="J979" s="7058" t="s">
        <v>198</v>
      </c>
      <c r="K979" s="405"/>
      <c r="L979" s="406"/>
      <c r="M979" s="7059">
        <v>303.0</v>
      </c>
      <c r="N979" s="7042"/>
      <c r="O979" s="7058" t="s">
        <v>198</v>
      </c>
      <c r="P979" s="405"/>
      <c r="Q979" s="406"/>
      <c r="R979" s="7059">
        <v>302.0</v>
      </c>
      <c r="S979" s="7043"/>
      <c r="T979" s="7060" t="s">
        <v>198</v>
      </c>
      <c r="U979" s="918"/>
      <c r="V979" s="919"/>
      <c r="W979" s="7061">
        <v>284.0</v>
      </c>
      <c r="X979" s="7044"/>
      <c r="Y979" s="7058" t="s">
        <v>198</v>
      </c>
      <c r="Z979" s="405"/>
      <c r="AA979" s="406"/>
      <c r="AB979" s="7059">
        <v>156.0</v>
      </c>
      <c r="AC979" s="7043"/>
      <c r="AD979" s="7031"/>
      <c r="AE979" s="7031"/>
      <c r="AF979" s="7031"/>
      <c r="AG979" s="7031"/>
      <c r="AH979" s="7045"/>
      <c r="AI979" s="6192"/>
    </row>
    <row r="980" ht="16.5" customHeight="1">
      <c r="A980" s="6125"/>
      <c r="B980" s="6989"/>
      <c r="C980" s="7024"/>
      <c r="D980" s="6994"/>
      <c r="E980" s="7000"/>
      <c r="F980" s="7000"/>
      <c r="G980" s="7000"/>
      <c r="H980" s="7000"/>
      <c r="I980" s="6993"/>
      <c r="J980" s="6986"/>
      <c r="K980" s="6986"/>
      <c r="L980" s="6986"/>
      <c r="M980" s="7062"/>
      <c r="N980" s="6993"/>
      <c r="O980" s="6986"/>
      <c r="P980" s="6986"/>
      <c r="Q980" s="6986"/>
      <c r="R980" s="7062"/>
      <c r="S980" s="6993"/>
      <c r="T980" s="7063" t="s">
        <v>348</v>
      </c>
      <c r="U980" s="925"/>
      <c r="V980" s="926"/>
      <c r="W980" s="7064">
        <v>426.0</v>
      </c>
      <c r="X980" s="6993"/>
      <c r="Y980" s="6986"/>
      <c r="Z980" s="6986"/>
      <c r="AA980" s="6986"/>
      <c r="AB980" s="7062"/>
      <c r="AC980" s="6994"/>
      <c r="AD980" s="6994"/>
      <c r="AE980" s="6994"/>
      <c r="AF980" s="6994"/>
      <c r="AG980" s="7031"/>
      <c r="AH980" s="6997"/>
      <c r="AI980" s="6129"/>
    </row>
    <row r="981" ht="15.0" customHeight="1">
      <c r="A981" s="6125"/>
      <c r="B981" s="7065"/>
      <c r="C981" s="7066"/>
      <c r="D981" s="7066"/>
      <c r="E981" s="7066"/>
      <c r="F981" s="7066"/>
      <c r="G981" s="7066"/>
      <c r="H981" s="7066"/>
      <c r="I981" s="7066"/>
      <c r="J981" s="7066"/>
      <c r="K981" s="7066"/>
      <c r="L981" s="7066"/>
      <c r="M981" s="7066"/>
      <c r="N981" s="7066"/>
      <c r="O981" s="7066"/>
      <c r="P981" s="7066"/>
      <c r="Q981" s="7066"/>
      <c r="R981" s="7066"/>
      <c r="S981" s="7066"/>
      <c r="T981" s="7066"/>
      <c r="U981" s="7066"/>
      <c r="V981" s="7066"/>
      <c r="W981" s="7066"/>
      <c r="X981" s="7066"/>
      <c r="Y981" s="7066"/>
      <c r="Z981" s="7066"/>
      <c r="AA981" s="7066"/>
      <c r="AB981" s="7066"/>
      <c r="AC981" s="7066"/>
      <c r="AD981" s="7066"/>
      <c r="AE981" s="7066"/>
      <c r="AF981" s="7066"/>
      <c r="AG981" s="7066"/>
      <c r="AH981" s="7067"/>
      <c r="AI981" s="6129"/>
    </row>
    <row r="982" ht="15.0" customHeight="1">
      <c r="A982" s="6125"/>
      <c r="B982" s="7068"/>
      <c r="C982" s="7069"/>
      <c r="D982" s="7069"/>
      <c r="E982" s="7069"/>
      <c r="F982" s="7069"/>
      <c r="G982" s="7069"/>
      <c r="H982" s="7069"/>
      <c r="I982" s="7069"/>
      <c r="J982" s="7069"/>
      <c r="K982" s="7069"/>
      <c r="L982" s="7069"/>
      <c r="M982" s="7069"/>
      <c r="N982" s="7069"/>
      <c r="O982" s="7069"/>
      <c r="P982" s="7069"/>
      <c r="Q982" s="7069"/>
      <c r="R982" s="7069"/>
      <c r="S982" s="7069"/>
      <c r="T982" s="7069"/>
      <c r="U982" s="7069"/>
      <c r="V982" s="7069"/>
      <c r="W982" s="7069"/>
      <c r="X982" s="7069"/>
      <c r="Y982" s="7069"/>
      <c r="Z982" s="7069"/>
      <c r="AA982" s="7069"/>
      <c r="AB982" s="7069"/>
      <c r="AC982" s="7069"/>
      <c r="AD982" s="7069"/>
      <c r="AE982" s="7069"/>
      <c r="AF982" s="7069"/>
      <c r="AG982" s="7069"/>
      <c r="AH982" s="7070"/>
      <c r="AI982" s="6129"/>
    </row>
    <row r="983" ht="96.75" customHeight="1">
      <c r="A983" s="6125"/>
      <c r="B983" s="7071"/>
      <c r="C983" s="7072" t="str">
        <f>IMAGE("https://i.ibb.co/dbpWnbD/Tuber.png")</f>
        <v/>
      </c>
      <c r="D983" s="7073"/>
      <c r="E983" s="7074" t="str">
        <f t="array" ref="E983">IFERROR(VLOOKUP(E984,Dex!$B$3:$G1218,3,FALSE),"")</f>
        <v/>
      </c>
      <c r="F983" s="1830"/>
      <c r="G983" s="1830"/>
      <c r="H983" s="1831"/>
      <c r="I983" s="7075"/>
      <c r="J983" s="7074" t="str">
        <f t="array" ref="J983">IFERROR(VLOOKUP(J984,Dex!$B$3:$G1218,3,FALSE),"")</f>
        <v/>
      </c>
      <c r="K983" s="1830"/>
      <c r="L983" s="1830"/>
      <c r="M983" s="1831"/>
      <c r="N983" s="7075"/>
      <c r="O983" s="7074" t="str">
        <f t="array" ref="O983">IFERROR(VLOOKUP(O984,Dex!$B$3:$G1218,3,FALSE),"")</f>
        <v/>
      </c>
      <c r="P983" s="1830"/>
      <c r="Q983" s="1830"/>
      <c r="R983" s="1831"/>
      <c r="S983" s="7075"/>
      <c r="T983" s="7074" t="str">
        <f t="array" ref="T983">IFERROR(VLOOKUP(T984,Dex!$B$3:$G1218,3,FALSE),"")</f>
        <v/>
      </c>
      <c r="U983" s="1830"/>
      <c r="V983" s="1830"/>
      <c r="W983" s="1831"/>
      <c r="X983" s="7075"/>
      <c r="Y983" s="7074" t="str">
        <f t="array" ref="Y983">IFERROR(VLOOKUP(Y984,Dex!$B$3:$G1218,3,FALSE),"")</f>
        <v/>
      </c>
      <c r="Z983" s="1830"/>
      <c r="AA983" s="1830"/>
      <c r="AB983" s="1831"/>
      <c r="AC983" s="7076"/>
      <c r="AD983" s="7077"/>
      <c r="AE983" s="7078"/>
      <c r="AF983" s="7078"/>
      <c r="AG983" s="7079"/>
      <c r="AH983" s="7080"/>
      <c r="AI983" s="6129"/>
    </row>
    <row r="984" ht="18.75" customHeight="1">
      <c r="A984" s="6140"/>
      <c r="B984" s="7081"/>
      <c r="C984" s="7082" t="s">
        <v>1781</v>
      </c>
      <c r="D984" s="7083"/>
      <c r="E984" s="7084" t="s">
        <v>1782</v>
      </c>
      <c r="F984" s="7085"/>
      <c r="G984" s="7085"/>
      <c r="H984" s="7086"/>
      <c r="I984" s="7075"/>
      <c r="J984" s="7084" t="s">
        <v>1783</v>
      </c>
      <c r="K984" s="7085"/>
      <c r="L984" s="7085"/>
      <c r="M984" s="7086"/>
      <c r="N984" s="7075"/>
      <c r="O984" s="7084" t="s">
        <v>1693</v>
      </c>
      <c r="P984" s="7085"/>
      <c r="Q984" s="7085"/>
      <c r="R984" s="7086"/>
      <c r="S984" s="7075"/>
      <c r="T984" s="7084" t="s">
        <v>1784</v>
      </c>
      <c r="U984" s="7085"/>
      <c r="V984" s="7085"/>
      <c r="W984" s="7086"/>
      <c r="X984" s="7075"/>
      <c r="Y984" s="7084" t="s">
        <v>1785</v>
      </c>
      <c r="Z984" s="7085"/>
      <c r="AA984" s="7085"/>
      <c r="AB984" s="7086"/>
      <c r="AC984" s="7075"/>
      <c r="AD984" s="7087"/>
      <c r="AE984" s="7078"/>
      <c r="AF984" s="7078"/>
      <c r="AG984" s="7079"/>
      <c r="AH984" s="7088"/>
      <c r="AI984" s="6149"/>
    </row>
    <row r="985">
      <c r="A985" s="6125"/>
      <c r="B985" s="7071"/>
      <c r="C985" s="1481"/>
      <c r="D985" s="7089"/>
      <c r="E985" s="7090" t="s">
        <v>1502</v>
      </c>
      <c r="F985" s="7091"/>
      <c r="G985" s="7091"/>
      <c r="H985" s="7092"/>
      <c r="I985" s="7075"/>
      <c r="J985" s="7090" t="s">
        <v>1502</v>
      </c>
      <c r="K985" s="7091"/>
      <c r="L985" s="7091"/>
      <c r="M985" s="7092"/>
      <c r="N985" s="7075"/>
      <c r="O985" s="7090" t="s">
        <v>1502</v>
      </c>
      <c r="P985" s="7091"/>
      <c r="Q985" s="7091"/>
      <c r="R985" s="7092"/>
      <c r="S985" s="7075"/>
      <c r="T985" s="7090" t="s">
        <v>1502</v>
      </c>
      <c r="U985" s="7091"/>
      <c r="V985" s="7091"/>
      <c r="W985" s="7092"/>
      <c r="X985" s="7075"/>
      <c r="Y985" s="7090" t="s">
        <v>1502</v>
      </c>
      <c r="Z985" s="7091"/>
      <c r="AA985" s="7091"/>
      <c r="AB985" s="7092"/>
      <c r="AC985" s="7076"/>
      <c r="AD985" s="7077"/>
      <c r="AE985" s="7078"/>
      <c r="AF985" s="7078"/>
      <c r="AG985" s="7079"/>
      <c r="AH985" s="7080"/>
      <c r="AI985" s="6129"/>
    </row>
    <row r="986" ht="25.5" customHeight="1">
      <c r="A986" s="6125"/>
      <c r="B986" s="7071"/>
      <c r="C986" s="1489"/>
      <c r="D986" s="7076"/>
      <c r="E986" s="7093"/>
      <c r="F986" s="7094" t="str">
        <f t="array" ref="F986">IFERROR(VLOOKUP(E984,Dex!$B$3:$H1218,5,FALSE),"")</f>
        <v/>
      </c>
      <c r="G986" s="7095" t="str">
        <f t="array" ref="G986">IFERROR(VLOOKUP(E984,Dex!$B$3:$H1218,7,FALSE),"")</f>
        <v/>
      </c>
      <c r="H986" s="7096"/>
      <c r="I986" s="7075"/>
      <c r="J986" s="7093"/>
      <c r="K986" s="7097" t="str">
        <f t="array" ref="K986">IFERROR(VLOOKUP(J984,Dex!$B$3:$H1218,5,FALSE),"")</f>
        <v/>
      </c>
      <c r="L986" s="7098"/>
      <c r="M986" s="7096"/>
      <c r="N986" s="7075"/>
      <c r="O986" s="7093"/>
      <c r="P986" s="7094" t="str">
        <f t="array" ref="P986">IFERROR(VLOOKUP(O984,Dex!$B$3:$H1218,5,FALSE),"")</f>
        <v/>
      </c>
      <c r="Q986" s="7095" t="str">
        <f t="array" ref="Q986">IFERROR(VLOOKUP(O984,Dex!$B$3:$H1218,7,FALSE),"")</f>
        <v/>
      </c>
      <c r="R986" s="7096"/>
      <c r="S986" s="7075"/>
      <c r="T986" s="7093"/>
      <c r="U986" s="7094" t="str">
        <f t="array" ref="U986">IFERROR(VLOOKUP(T984,Dex!$B$3:$H1218,5,FALSE),"")</f>
        <v/>
      </c>
      <c r="V986" s="7095" t="str">
        <f t="array" ref="V986">IFERROR(VLOOKUP(T984,Dex!$B$3:$H1218,7,FALSE),"")</f>
        <v/>
      </c>
      <c r="W986" s="7096"/>
      <c r="X986" s="7075"/>
      <c r="Y986" s="7093"/>
      <c r="Z986" s="7094" t="str">
        <f t="array" ref="Z986">IFERROR(VLOOKUP(Y984,Dex!$B$3:$H1218,5,FALSE),"")</f>
        <v/>
      </c>
      <c r="AA986" s="7095" t="str">
        <f t="array" ref="AA986">IFERROR(VLOOKUP(Y984,Dex!$B$3:$H1218,7,FALSE),"")</f>
        <v/>
      </c>
      <c r="AB986" s="7096"/>
      <c r="AC986" s="7076"/>
      <c r="AD986" s="7077"/>
      <c r="AE986" s="7078"/>
      <c r="AF986" s="7078"/>
      <c r="AG986" s="7079"/>
      <c r="AH986" s="7080"/>
      <c r="AI986" s="6129"/>
    </row>
    <row r="987" ht="2.25" customHeight="1">
      <c r="A987" s="6125"/>
      <c r="B987" s="7071"/>
      <c r="C987" s="7099"/>
      <c r="D987" s="7076"/>
      <c r="E987" s="7100"/>
      <c r="F987" s="7101"/>
      <c r="G987" s="7101"/>
      <c r="H987" s="7102"/>
      <c r="I987" s="7075"/>
      <c r="J987" s="7100"/>
      <c r="K987" s="7101"/>
      <c r="L987" s="7101"/>
      <c r="M987" s="7102"/>
      <c r="N987" s="7075"/>
      <c r="O987" s="7100"/>
      <c r="P987" s="7101"/>
      <c r="Q987" s="7101"/>
      <c r="R987" s="7102"/>
      <c r="S987" s="7075"/>
      <c r="T987" s="7100"/>
      <c r="U987" s="7101"/>
      <c r="V987" s="7101"/>
      <c r="W987" s="7102"/>
      <c r="X987" s="7075"/>
      <c r="Y987" s="7100"/>
      <c r="Z987" s="7101"/>
      <c r="AA987" s="7101"/>
      <c r="AB987" s="7102"/>
      <c r="AC987" s="7076"/>
      <c r="AD987" s="7076"/>
      <c r="AE987" s="7076"/>
      <c r="AF987" s="7076"/>
      <c r="AG987" s="7076"/>
      <c r="AH987" s="7080"/>
      <c r="AI987" s="6129"/>
    </row>
    <row r="988" ht="20.25" customHeight="1">
      <c r="A988" s="6125"/>
      <c r="B988" s="7071"/>
      <c r="C988" s="7103"/>
      <c r="D988" s="7076"/>
      <c r="E988" s="7104" t="s">
        <v>172</v>
      </c>
      <c r="F988" s="7105"/>
      <c r="G988" s="7105"/>
      <c r="H988" s="7106"/>
      <c r="I988" s="7075"/>
      <c r="J988" s="7104" t="s">
        <v>172</v>
      </c>
      <c r="K988" s="7105"/>
      <c r="L988" s="7105"/>
      <c r="M988" s="7106"/>
      <c r="N988" s="7075"/>
      <c r="O988" s="7104" t="s">
        <v>206</v>
      </c>
      <c r="P988" s="7105"/>
      <c r="Q988" s="7105"/>
      <c r="R988" s="7106"/>
      <c r="S988" s="7075"/>
      <c r="T988" s="7104" t="s">
        <v>263</v>
      </c>
      <c r="U988" s="7105"/>
      <c r="V988" s="7105"/>
      <c r="W988" s="7106"/>
      <c r="X988" s="7075"/>
      <c r="Y988" s="7104" t="s">
        <v>205</v>
      </c>
      <c r="Z988" s="7105"/>
      <c r="AA988" s="7105"/>
      <c r="AB988" s="7106"/>
      <c r="AC988" s="7076"/>
      <c r="AD988" s="7077"/>
      <c r="AE988" s="7078"/>
      <c r="AF988" s="7078"/>
      <c r="AG988" s="7079"/>
      <c r="AH988" s="7080"/>
      <c r="AI988" s="6129"/>
    </row>
    <row r="989">
      <c r="A989" s="6125"/>
      <c r="B989" s="7071"/>
      <c r="C989" s="7107"/>
      <c r="D989" s="7076"/>
      <c r="E989" s="7108" t="s">
        <v>173</v>
      </c>
      <c r="F989" s="7078"/>
      <c r="G989" s="7078"/>
      <c r="H989" s="7109"/>
      <c r="I989" s="7075"/>
      <c r="J989" s="7108" t="s">
        <v>329</v>
      </c>
      <c r="K989" s="7078"/>
      <c r="L989" s="7078"/>
      <c r="M989" s="7109"/>
      <c r="N989" s="7075"/>
      <c r="O989" s="7108" t="s">
        <v>1786</v>
      </c>
      <c r="P989" s="7078"/>
      <c r="Q989" s="7078"/>
      <c r="R989" s="7109"/>
      <c r="S989" s="7075"/>
      <c r="T989" s="7108" t="s">
        <v>1603</v>
      </c>
      <c r="U989" s="7078"/>
      <c r="V989" s="7078"/>
      <c r="W989" s="7109"/>
      <c r="X989" s="7075"/>
      <c r="Y989" s="7108" t="s">
        <v>233</v>
      </c>
      <c r="Z989" s="7078"/>
      <c r="AA989" s="7078"/>
      <c r="AB989" s="7109"/>
      <c r="AC989" s="7076"/>
      <c r="AD989" s="7077"/>
      <c r="AE989" s="7078"/>
      <c r="AF989" s="7078"/>
      <c r="AG989" s="7079"/>
      <c r="AH989" s="7080"/>
      <c r="AI989" s="6129"/>
    </row>
    <row r="990" ht="20.25" customHeight="1">
      <c r="A990" s="6125"/>
      <c r="B990" s="7071"/>
      <c r="C990" s="7107"/>
      <c r="D990" s="7076"/>
      <c r="E990" s="7110" t="s">
        <v>1787</v>
      </c>
      <c r="F990" s="7111"/>
      <c r="G990" s="7112"/>
      <c r="H990" s="7113" t="str">
        <f>IMAGE("https://raw.githubusercontent.com/msikma/pokesprite/master/items/berry/salac.png",3)</f>
        <v/>
      </c>
      <c r="I990" s="7075"/>
      <c r="J990" s="7110" t="s">
        <v>272</v>
      </c>
      <c r="K990" s="7111"/>
      <c r="L990" s="7112"/>
      <c r="M990" s="7113" t="str">
        <f>IMAGE("https://raw.githubusercontent.com/msikma/pokesprite/master/items/hold-item/life-orb.png",3)</f>
        <v/>
      </c>
      <c r="N990" s="7075"/>
      <c r="O990" s="7110" t="s">
        <v>1697</v>
      </c>
      <c r="P990" s="7111"/>
      <c r="Q990" s="7112"/>
      <c r="R990" s="7113" t="str">
        <f>IMAGE("https://raw.githubusercontent.com/msikma/pokesprite/master/items/mega-stone/slowbronite.png",3)</f>
        <v/>
      </c>
      <c r="S990" s="7075"/>
      <c r="T990" s="7110" t="s">
        <v>272</v>
      </c>
      <c r="U990" s="7111"/>
      <c r="V990" s="7112"/>
      <c r="W990" s="7113" t="str">
        <f>IMAGE("https://raw.githubusercontent.com/msikma/pokesprite/master/items/hold-item/life-orb.png",3)</f>
        <v/>
      </c>
      <c r="X990" s="7075"/>
      <c r="Y990" s="7110" t="s">
        <v>1540</v>
      </c>
      <c r="Z990" s="7111"/>
      <c r="AA990" s="7112"/>
      <c r="AB990" s="7113" t="str">
        <f>IMAGE("https://raw.githubusercontent.com/msikma/pokesprite/master/items/z-crystals/waterium-z--held.png",3)</f>
        <v/>
      </c>
      <c r="AC990" s="7076"/>
      <c r="AD990" s="7077"/>
      <c r="AE990" s="7078"/>
      <c r="AF990" s="7078"/>
      <c r="AG990" s="7079"/>
      <c r="AH990" s="7080"/>
      <c r="AI990" s="6129"/>
    </row>
    <row r="991" ht="20.25" customHeight="1">
      <c r="A991" s="6125"/>
      <c r="B991" s="7071"/>
      <c r="C991" s="7107"/>
      <c r="D991" s="7076"/>
      <c r="E991" s="7114" t="s">
        <v>428</v>
      </c>
      <c r="F991" s="7105"/>
      <c r="G991" s="7115"/>
      <c r="H991" s="7116" t="str">
        <f>IMAGE("https://raw.githubusercontent.com/msikma/pokesprite/master/misc/types/gen8/normal.png",4,20,20)</f>
        <v/>
      </c>
      <c r="I991" s="7075"/>
      <c r="J991" s="7114" t="s">
        <v>346</v>
      </c>
      <c r="K991" s="7105"/>
      <c r="L991" s="7115"/>
      <c r="M991" s="7116" t="str">
        <f>IMAGE("https://raw.githubusercontent.com/msikma/pokesprite/master/misc/types/gen8/water.png",4,20,20)</f>
        <v/>
      </c>
      <c r="N991" s="7075"/>
      <c r="O991" s="7114" t="s">
        <v>1788</v>
      </c>
      <c r="P991" s="7105"/>
      <c r="Q991" s="7115"/>
      <c r="R991" s="7116" t="str">
        <f>IMAGE("https://raw.githubusercontent.com/msikma/pokesprite/master/misc/types/gen8/steel.png",4,20,20)</f>
        <v/>
      </c>
      <c r="S991" s="7075"/>
      <c r="T991" s="7114" t="s">
        <v>338</v>
      </c>
      <c r="U991" s="7105"/>
      <c r="V991" s="7115"/>
      <c r="W991" s="7116" t="str">
        <f>IMAGE("https://raw.githubusercontent.com/msikma/pokesprite/master/misc/types/gen8/water.png",4,20,20)</f>
        <v/>
      </c>
      <c r="X991" s="7075"/>
      <c r="Y991" s="7114" t="s">
        <v>785</v>
      </c>
      <c r="Z991" s="7105"/>
      <c r="AA991" s="7115"/>
      <c r="AB991" s="7116" t="str">
        <f>IMAGE("https://raw.githubusercontent.com/msikma/pokesprite/master/misc/types/gen8/fire.png",4,20,20)</f>
        <v/>
      </c>
      <c r="AC991" s="7076"/>
      <c r="AD991" s="7077"/>
      <c r="AE991" s="7078"/>
      <c r="AF991" s="7078"/>
      <c r="AG991" s="7079"/>
      <c r="AH991" s="7080"/>
      <c r="AI991" s="6129"/>
    </row>
    <row r="992" ht="20.25" customHeight="1">
      <c r="A992" s="6125"/>
      <c r="B992" s="7071"/>
      <c r="C992" s="7117"/>
      <c r="D992" s="7076"/>
      <c r="E992" s="7108" t="s">
        <v>735</v>
      </c>
      <c r="F992" s="7078"/>
      <c r="G992" s="7079"/>
      <c r="H992" s="7118" t="str">
        <f t="shared" ref="H992:H993" si="37">IMAGE("https://raw.githubusercontent.com/msikma/pokesprite/master/misc/types/gen8/water.png",4,20,20)</f>
        <v/>
      </c>
      <c r="I992" s="7075"/>
      <c r="J992" s="7108" t="s">
        <v>489</v>
      </c>
      <c r="K992" s="7078"/>
      <c r="L992" s="7079"/>
      <c r="M992" s="7118" t="str">
        <f>IMAGE("https://raw.githubusercontent.com/msikma/pokesprite/master/misc/types/gen8/normal.png",4,20,20)</f>
        <v/>
      </c>
      <c r="N992" s="7075"/>
      <c r="O992" s="7108" t="s">
        <v>509</v>
      </c>
      <c r="P992" s="7078"/>
      <c r="Q992" s="7079"/>
      <c r="R992" s="7118" t="str">
        <f>IMAGE("https://raw.githubusercontent.com/msikma/pokesprite/master/misc/types/gen8/psychic.png",4,20,20)</f>
        <v/>
      </c>
      <c r="S992" s="7075"/>
      <c r="T992" s="7108" t="s">
        <v>1097</v>
      </c>
      <c r="U992" s="7078"/>
      <c r="V992" s="7079"/>
      <c r="W992" s="7118" t="str">
        <f>IMAGE("https://raw.githubusercontent.com/msikma/pokesprite/master/misc/types/gen8/ice.png",4,20,20)</f>
        <v/>
      </c>
      <c r="X992" s="7075"/>
      <c r="Y992" s="7108" t="s">
        <v>433</v>
      </c>
      <c r="Z992" s="7078"/>
      <c r="AA992" s="7079"/>
      <c r="AB992" s="7118" t="str">
        <f>IMAGE("https://raw.githubusercontent.com/msikma/pokesprite/master/misc/types/gen8/water.png",4,20,20)</f>
        <v/>
      </c>
      <c r="AC992" s="7076"/>
      <c r="AD992" s="7077"/>
      <c r="AE992" s="7078"/>
      <c r="AF992" s="7078"/>
      <c r="AG992" s="7079"/>
      <c r="AH992" s="7080"/>
      <c r="AI992" s="6129"/>
    </row>
    <row r="993" ht="20.25" customHeight="1">
      <c r="A993" s="6125"/>
      <c r="B993" s="7071"/>
      <c r="C993" s="7119"/>
      <c r="D993" s="7076"/>
      <c r="E993" s="7108" t="s">
        <v>459</v>
      </c>
      <c r="F993" s="7078"/>
      <c r="G993" s="7079"/>
      <c r="H993" s="7118" t="str">
        <f t="shared" si="37"/>
        <v/>
      </c>
      <c r="I993" s="7075"/>
      <c r="J993" s="7108" t="s">
        <v>316</v>
      </c>
      <c r="K993" s="7078"/>
      <c r="L993" s="7079"/>
      <c r="M993" s="7118" t="str">
        <f>IMAGE("https://raw.githubusercontent.com/msikma/pokesprite/master/misc/types/gen8/fighting.png",4,20,20)</f>
        <v/>
      </c>
      <c r="N993" s="7075"/>
      <c r="O993" s="7108" t="s">
        <v>463</v>
      </c>
      <c r="P993" s="7078"/>
      <c r="Q993" s="7079"/>
      <c r="R993" s="7118" t="str">
        <f>IMAGE("https://raw.githubusercontent.com/msikma/pokesprite/master/misc/types/gen8/fighting.png",4,20,20)</f>
        <v/>
      </c>
      <c r="S993" s="7075"/>
      <c r="T993" s="7108" t="s">
        <v>539</v>
      </c>
      <c r="U993" s="7078"/>
      <c r="V993" s="7079"/>
      <c r="W993" s="7118" t="str">
        <f t="shared" ref="W993:W994" si="38">IMAGE("https://raw.githubusercontent.com/msikma/pokesprite/master/misc/types/gen8/electric.png",4,20,20)</f>
        <v/>
      </c>
      <c r="X993" s="7075"/>
      <c r="Y993" s="7108" t="s">
        <v>345</v>
      </c>
      <c r="Z993" s="7078"/>
      <c r="AA993" s="7079"/>
      <c r="AB993" s="7118" t="str">
        <f t="shared" ref="AB993:AB994" si="39">IMAGE("https://raw.githubusercontent.com/msikma/pokesprite/master/misc/types/gen8/dark.png",4,20,20)</f>
        <v/>
      </c>
      <c r="AC993" s="7076"/>
      <c r="AD993" s="7077"/>
      <c r="AE993" s="7078"/>
      <c r="AF993" s="7078"/>
      <c r="AG993" s="7079"/>
      <c r="AH993" s="7080"/>
      <c r="AI993" s="6129"/>
    </row>
    <row r="994" ht="21.0" customHeight="1">
      <c r="A994" s="6125"/>
      <c r="B994" s="7071"/>
      <c r="C994" s="7119"/>
      <c r="D994" s="7076"/>
      <c r="E994" s="7120" t="s">
        <v>399</v>
      </c>
      <c r="F994" s="7121"/>
      <c r="G994" s="7122"/>
      <c r="H994" s="7123" t="str">
        <f>IMAGE("https://raw.githubusercontent.com/msikma/pokesprite/master/misc/types/gen8/rock.png",4,20,20)</f>
        <v/>
      </c>
      <c r="I994" s="7075"/>
      <c r="J994" s="7120" t="s">
        <v>735</v>
      </c>
      <c r="K994" s="7121"/>
      <c r="L994" s="7122"/>
      <c r="M994" s="7123" t="str">
        <f>IMAGE("https://raw.githubusercontent.com/msikma/pokesprite/master/misc/types/gen8/water.png",4,20,20)</f>
        <v/>
      </c>
      <c r="N994" s="7075"/>
      <c r="O994" s="7120" t="s">
        <v>318</v>
      </c>
      <c r="P994" s="7121"/>
      <c r="Q994" s="7122"/>
      <c r="R994" s="7123" t="str">
        <f>IMAGE("https://raw.githubusercontent.com/msikma/pokesprite/master/misc/types/gen8/ghost.png",4,20,20)</f>
        <v/>
      </c>
      <c r="S994" s="7075"/>
      <c r="T994" s="7120" t="s">
        <v>242</v>
      </c>
      <c r="U994" s="7121"/>
      <c r="V994" s="7122"/>
      <c r="W994" s="7123" t="str">
        <f t="shared" si="38"/>
        <v/>
      </c>
      <c r="X994" s="7075"/>
      <c r="Y994" s="7120" t="s">
        <v>401</v>
      </c>
      <c r="Z994" s="7121"/>
      <c r="AA994" s="7122"/>
      <c r="AB994" s="7123" t="str">
        <f t="shared" si="39"/>
        <v/>
      </c>
      <c r="AC994" s="7076"/>
      <c r="AD994" s="7077"/>
      <c r="AE994" s="7078"/>
      <c r="AF994" s="7078"/>
      <c r="AG994" s="7079"/>
      <c r="AH994" s="7080"/>
      <c r="AI994" s="6129"/>
    </row>
    <row r="995" ht="3.0" customHeight="1">
      <c r="A995" s="6185"/>
      <c r="B995" s="7124"/>
      <c r="C995" s="7119"/>
      <c r="D995" s="7125"/>
      <c r="E995" s="7126"/>
      <c r="F995" s="7126"/>
      <c r="G995" s="7126"/>
      <c r="H995" s="7126"/>
      <c r="I995" s="7125"/>
      <c r="J995" s="7127"/>
      <c r="K995" s="7127"/>
      <c r="L995" s="7127"/>
      <c r="M995" s="7126"/>
      <c r="N995" s="7125"/>
      <c r="O995" s="7127"/>
      <c r="P995" s="7127"/>
      <c r="Q995" s="7127"/>
      <c r="R995" s="7126"/>
      <c r="S995" s="7125"/>
      <c r="T995" s="7127"/>
      <c r="U995" s="7127"/>
      <c r="V995" s="7127"/>
      <c r="W995" s="7126"/>
      <c r="X995" s="7125"/>
      <c r="Y995" s="7128"/>
      <c r="Z995" s="7128"/>
      <c r="AA995" s="7128"/>
      <c r="AB995" s="7129"/>
      <c r="AC995" s="7129"/>
      <c r="AD995" s="7129"/>
      <c r="AE995" s="7129"/>
      <c r="AF995" s="7129"/>
      <c r="AG995" s="7117"/>
      <c r="AH995" s="7130"/>
      <c r="AI995" s="6192"/>
    </row>
    <row r="996" ht="16.5" customHeight="1">
      <c r="A996" s="6185"/>
      <c r="B996" s="7131"/>
      <c r="C996" s="7117"/>
      <c r="D996" s="7132"/>
      <c r="E996" s="7133" t="s">
        <v>190</v>
      </c>
      <c r="F996" s="381"/>
      <c r="G996" s="382"/>
      <c r="H996" s="7134" t="s">
        <v>191</v>
      </c>
      <c r="I996" s="7135"/>
      <c r="J996" s="7133" t="s">
        <v>190</v>
      </c>
      <c r="K996" s="381"/>
      <c r="L996" s="382"/>
      <c r="M996" s="7134" t="s">
        <v>191</v>
      </c>
      <c r="N996" s="7135"/>
      <c r="O996" s="7133" t="s">
        <v>190</v>
      </c>
      <c r="P996" s="381"/>
      <c r="Q996" s="382"/>
      <c r="R996" s="7134" t="s">
        <v>191</v>
      </c>
      <c r="S996" s="7136"/>
      <c r="T996" s="7133" t="s">
        <v>190</v>
      </c>
      <c r="U996" s="381"/>
      <c r="V996" s="382"/>
      <c r="W996" s="7134" t="s">
        <v>191</v>
      </c>
      <c r="X996" s="7136"/>
      <c r="Y996" s="7133" t="s">
        <v>190</v>
      </c>
      <c r="Z996" s="381"/>
      <c r="AA996" s="382"/>
      <c r="AB996" s="7134" t="s">
        <v>191</v>
      </c>
      <c r="AC996" s="7137"/>
      <c r="AD996" s="7117"/>
      <c r="AE996" s="7117"/>
      <c r="AF996" s="7117"/>
      <c r="AG996" s="7117"/>
      <c r="AH996" s="7138"/>
      <c r="AI996" s="6192"/>
    </row>
    <row r="997" ht="16.5" customHeight="1">
      <c r="A997" s="6185"/>
      <c r="B997" s="7131"/>
      <c r="C997" s="7117"/>
      <c r="D997" s="7132"/>
      <c r="E997" s="7139" t="s">
        <v>192</v>
      </c>
      <c r="F997" s="7140">
        <f t="array" ref="F997">IFERROR(VLOOKUP(E984,Dex!$B$3:$N1218,8,FALSE),"")</f>
        <v>74</v>
      </c>
      <c r="G997" s="7141" t="str">
        <f t="array" ref="G997">IFERROR(VLOOKUP(F997,Dex!$P$22:$Q$276,2,FALSE),"")</f>
        <v/>
      </c>
      <c r="H997" s="7142"/>
      <c r="I997" s="7132"/>
      <c r="J997" s="7139" t="s">
        <v>192</v>
      </c>
      <c r="K997" s="7140">
        <f t="array" ref="K997">IFERROR(VLOOKUP(J984,Dex!$B$3:$N1218,8,FALSE),"")</f>
        <v>55</v>
      </c>
      <c r="L997" s="7141" t="str">
        <f t="array" ref="L997">IFERROR(VLOOKUP(K997,Dex!$P$22:$Q$276,2,FALSE),"")</f>
        <v/>
      </c>
      <c r="M997" s="7142"/>
      <c r="N997" s="7132"/>
      <c r="O997" s="7139" t="s">
        <v>192</v>
      </c>
      <c r="P997" s="7140">
        <f t="array" ref="P997">IFERROR(VLOOKUP(O984,Dex!$B$3:$N1218,8,FALSE),"")</f>
        <v>95</v>
      </c>
      <c r="Q997" s="7141" t="str">
        <f t="array" ref="Q997">IFERROR(VLOOKUP(P997,Dex!$P$22:$Q$276,2,FALSE),"")</f>
        <v/>
      </c>
      <c r="R997" s="7142">
        <v>252.0</v>
      </c>
      <c r="S997" s="7137"/>
      <c r="T997" s="7139" t="s">
        <v>192</v>
      </c>
      <c r="U997" s="7140">
        <f t="array" ref="U997">IFERROR(VLOOKUP(T984,Dex!$B$3:$N1218,8,FALSE),"")</f>
        <v>125</v>
      </c>
      <c r="V997" s="7141" t="str">
        <f t="array" ref="V997">IFERROR(VLOOKUP(U997,Dex!$P$22:$Q$276,2,FALSE),"")</f>
        <v/>
      </c>
      <c r="W997" s="7142">
        <v>252.0</v>
      </c>
      <c r="X997" s="7137"/>
      <c r="Y997" s="7139" t="s">
        <v>192</v>
      </c>
      <c r="Z997" s="7140">
        <f t="array" ref="Z997">IFERROR(VLOOKUP(Y984,Dex!$B$3:$N1218,8,FALSE),"")</f>
        <v>92</v>
      </c>
      <c r="AA997" s="7141" t="str">
        <f t="array" ref="AA997">IFERROR(VLOOKUP(Z997,Dex!$P$22:$Q$276,2,FALSE),"")</f>
        <v/>
      </c>
      <c r="AB997" s="7142"/>
      <c r="AC997" s="7137"/>
      <c r="AD997" s="7117"/>
      <c r="AE997" s="7117"/>
      <c r="AF997" s="7117"/>
      <c r="AG997" s="7117"/>
      <c r="AH997" s="7138"/>
      <c r="AI997" s="6192"/>
    </row>
    <row r="998" ht="16.5" customHeight="1">
      <c r="A998" s="6185"/>
      <c r="B998" s="7131"/>
      <c r="C998" s="7117"/>
      <c r="D998" s="7132"/>
      <c r="E998" s="7143" t="s">
        <v>193</v>
      </c>
      <c r="F998" s="7144">
        <f t="array" ref="F998">IFERROR(VLOOKUP(E984,Dex!$B$3:$N1218,9,FALSE),"")</f>
        <v>108</v>
      </c>
      <c r="G998" s="7145" t="str">
        <f t="array" ref="G998">IFERROR(VLOOKUP(F998,Dex!$P$22:$Q$276,2,FALSE),"")</f>
        <v/>
      </c>
      <c r="H998" s="7146">
        <v>252.0</v>
      </c>
      <c r="I998" s="7132"/>
      <c r="J998" s="7143" t="s">
        <v>193</v>
      </c>
      <c r="K998" s="7144">
        <f t="array" ref="K998">IFERROR(VLOOKUP(J984,Dex!$B$3:$N1218,9,FALSE),"")</f>
        <v>130</v>
      </c>
      <c r="L998" s="7145" t="str">
        <f t="array" ref="L998">IFERROR(VLOOKUP(K998,Dex!$P$22:$Q$276,2,FALSE),"")</f>
        <v/>
      </c>
      <c r="M998" s="7146">
        <v>252.0</v>
      </c>
      <c r="N998" s="7132"/>
      <c r="O998" s="7143" t="s">
        <v>193</v>
      </c>
      <c r="P998" s="7144">
        <f t="array" ref="P998">IFERROR(VLOOKUP(O984,Dex!$B$3:$N1218,9,FALSE),"")</f>
        <v>75</v>
      </c>
      <c r="Q998" s="7145" t="str">
        <f t="array" ref="Q998">IFERROR(VLOOKUP(P998,Dex!$P$22:$Q$276,2,FALSE),"")</f>
        <v/>
      </c>
      <c r="R998" s="7146"/>
      <c r="S998" s="7137"/>
      <c r="T998" s="7143" t="s">
        <v>193</v>
      </c>
      <c r="U998" s="7144">
        <f t="array" ref="U998">IFERROR(VLOOKUP(T984,Dex!$B$3:$N1218,9,FALSE),"")</f>
        <v>58</v>
      </c>
      <c r="V998" s="7145" t="str">
        <f t="array" ref="V998">IFERROR(VLOOKUP(U998,Dex!$P$22:$Q$276,2,FALSE),"")</f>
        <v/>
      </c>
      <c r="W998" s="7146"/>
      <c r="X998" s="7137"/>
      <c r="Y998" s="7143" t="s">
        <v>193</v>
      </c>
      <c r="Z998" s="7144">
        <f t="array" ref="Z998">IFERROR(VLOOKUP(Y984,Dex!$B$3:$N1218,9,FALSE),"")</f>
        <v>105</v>
      </c>
      <c r="AA998" s="7145" t="str">
        <f t="array" ref="AA998">IFERROR(VLOOKUP(Z998,Dex!$P$22:$Q$276,2,FALSE),"")</f>
        <v/>
      </c>
      <c r="AB998" s="7146"/>
      <c r="AC998" s="7137"/>
      <c r="AD998" s="7117"/>
      <c r="AE998" s="7117"/>
      <c r="AF998" s="7117"/>
      <c r="AG998" s="7117"/>
      <c r="AH998" s="7138"/>
      <c r="AI998" s="6192"/>
    </row>
    <row r="999" ht="16.5" customHeight="1">
      <c r="A999" s="6185"/>
      <c r="B999" s="7131"/>
      <c r="C999" s="7117"/>
      <c r="D999" s="7132"/>
      <c r="E999" s="7143" t="s">
        <v>194</v>
      </c>
      <c r="F999" s="7144">
        <f t="array" ref="F999">IFERROR(VLOOKUP(E984,Dex!$B$3:$N1218,10,FALSE),"")</f>
        <v>133</v>
      </c>
      <c r="G999" s="7145" t="str">
        <f t="array" ref="G999">IFERROR(VLOOKUP(F999,Dex!$P$22:$Q$276,2,FALSE),"")</f>
        <v/>
      </c>
      <c r="H999" s="7146">
        <v>4.0</v>
      </c>
      <c r="I999" s="7132"/>
      <c r="J999" s="7143" t="s">
        <v>194</v>
      </c>
      <c r="K999" s="7144">
        <f t="array" ref="K999">IFERROR(VLOOKUP(J984,Dex!$B$3:$N1218,10,FALSE),"")</f>
        <v>115</v>
      </c>
      <c r="L999" s="7145" t="str">
        <f t="array" ref="L999">IFERROR(VLOOKUP(K999,Dex!$P$22:$Q$276,2,FALSE),"")</f>
        <v/>
      </c>
      <c r="M999" s="7146"/>
      <c r="N999" s="7132"/>
      <c r="O999" s="7143" t="s">
        <v>194</v>
      </c>
      <c r="P999" s="7144">
        <f t="array" ref="P999">IFERROR(VLOOKUP(O984,Dex!$B$3:$N1218,10,FALSE),"")</f>
        <v>180</v>
      </c>
      <c r="Q999" s="7145" t="str">
        <f t="array" ref="Q999">IFERROR(VLOOKUP(P999,Dex!$P$22:$Q$276,2,FALSE),"")</f>
        <v/>
      </c>
      <c r="R999" s="7146">
        <v>252.0</v>
      </c>
      <c r="S999" s="7137"/>
      <c r="T999" s="7143" t="s">
        <v>194</v>
      </c>
      <c r="U999" s="7144">
        <f t="array" ref="U999">IFERROR(VLOOKUP(T984,Dex!$B$3:$N1218,10,FALSE),"")</f>
        <v>58</v>
      </c>
      <c r="V999" s="7145" t="str">
        <f t="array" ref="V999">IFERROR(VLOOKUP(U999,Dex!$P$22:$Q$276,2,FALSE),"")</f>
        <v/>
      </c>
      <c r="W999" s="7146">
        <v>4.0</v>
      </c>
      <c r="X999" s="7137"/>
      <c r="Y999" s="7143" t="s">
        <v>194</v>
      </c>
      <c r="Z999" s="7144">
        <f t="array" ref="Z999">IFERROR(VLOOKUP(Y984,Dex!$B$3:$N1218,10,FALSE),"")</f>
        <v>90</v>
      </c>
      <c r="AA999" s="7145" t="str">
        <f t="array" ref="AA999">IFERROR(VLOOKUP(Z999,Dex!$P$22:$Q$276,2,FALSE),"")</f>
        <v/>
      </c>
      <c r="AB999" s="7146">
        <v>4.0</v>
      </c>
      <c r="AC999" s="7137"/>
      <c r="AD999" s="7117"/>
      <c r="AE999" s="7117"/>
      <c r="AF999" s="7117"/>
      <c r="AG999" s="7117"/>
      <c r="AH999" s="7138"/>
      <c r="AI999" s="6192"/>
    </row>
    <row r="1000" ht="16.5" customHeight="1">
      <c r="A1000" s="6185"/>
      <c r="B1000" s="7131"/>
      <c r="C1000" s="7117"/>
      <c r="D1000" s="7132"/>
      <c r="E1000" s="7143" t="s">
        <v>195</v>
      </c>
      <c r="F1000" s="7144">
        <f t="array" ref="F1000">IFERROR(VLOOKUP(E984,Dex!$B$3:$N1218,11,FALSE),"")</f>
        <v>83</v>
      </c>
      <c r="G1000" s="7145" t="str">
        <f t="array" ref="G1000">IFERROR(VLOOKUP(F1000,Dex!$P$22:$Q$276,2,FALSE),"")</f>
        <v/>
      </c>
      <c r="H1000" s="7146"/>
      <c r="I1000" s="7132"/>
      <c r="J1000" s="7143" t="s">
        <v>195</v>
      </c>
      <c r="K1000" s="7144">
        <f t="array" ref="K1000">IFERROR(VLOOKUP(J984,Dex!$B$3:$N1218,11,FALSE),"")</f>
        <v>50</v>
      </c>
      <c r="L1000" s="7145" t="str">
        <f t="array" ref="L1000">IFERROR(VLOOKUP(K1000,Dex!$P$22:$Q$276,2,FALSE),"")</f>
        <v/>
      </c>
      <c r="M1000" s="7146"/>
      <c r="N1000" s="7132"/>
      <c r="O1000" s="7143" t="s">
        <v>195</v>
      </c>
      <c r="P1000" s="7144">
        <f t="array" ref="P1000">IFERROR(VLOOKUP(O984,Dex!$B$3:$N1218,11,FALSE),"")</f>
        <v>130</v>
      </c>
      <c r="Q1000" s="7145" t="str">
        <f t="array" ref="Q1000">IFERROR(VLOOKUP(P1000,Dex!$P$22:$Q$276,2,FALSE),"")</f>
        <v/>
      </c>
      <c r="R1000" s="7146"/>
      <c r="S1000" s="7137"/>
      <c r="T1000" s="7143" t="s">
        <v>195</v>
      </c>
      <c r="U1000" s="7144">
        <f t="array" ref="U1000">IFERROR(VLOOKUP(T984,Dex!$B$3:$N1218,11,FALSE),"")</f>
        <v>76</v>
      </c>
      <c r="V1000" s="7145" t="str">
        <f t="array" ref="V1000">IFERROR(VLOOKUP(U1000,Dex!$P$22:$Q$276,2,FALSE),"")</f>
        <v/>
      </c>
      <c r="W1000" s="7146">
        <v>252.0</v>
      </c>
      <c r="X1000" s="7137"/>
      <c r="Y1000" s="7143" t="s">
        <v>195</v>
      </c>
      <c r="Z1000" s="7144">
        <f t="array" ref="Z1000">IFERROR(VLOOKUP(Y984,Dex!$B$3:$N1218,11,FALSE),"")</f>
        <v>125</v>
      </c>
      <c r="AA1000" s="7145" t="str">
        <f t="array" ref="AA1000">IFERROR(VLOOKUP(Z1000,Dex!$P$22:$Q$276,2,FALSE),"")</f>
        <v/>
      </c>
      <c r="AB1000" s="7146">
        <v>252.0</v>
      </c>
      <c r="AC1000" s="7137"/>
      <c r="AD1000" s="7117"/>
      <c r="AE1000" s="7117"/>
      <c r="AF1000" s="7117"/>
      <c r="AG1000" s="7117"/>
      <c r="AH1000" s="7138"/>
      <c r="AI1000" s="6192"/>
    </row>
    <row r="1001" ht="16.5" customHeight="1">
      <c r="A1001" s="6185"/>
      <c r="B1001" s="7131"/>
      <c r="C1001" s="7117"/>
      <c r="D1001" s="7132"/>
      <c r="E1001" s="7143" t="s">
        <v>196</v>
      </c>
      <c r="F1001" s="7144">
        <f t="array" ref="F1001">IFERROR(VLOOKUP(E984,Dex!$B$3:$N1218,12,FALSE),"")</f>
        <v>65</v>
      </c>
      <c r="G1001" s="7145" t="str">
        <f t="array" ref="G1001">IFERROR(VLOOKUP(F1001,Dex!$P$22:$Q$276,2,FALSE),"")</f>
        <v/>
      </c>
      <c r="H1001" s="7146"/>
      <c r="I1001" s="7132"/>
      <c r="J1001" s="7143" t="s">
        <v>196</v>
      </c>
      <c r="K1001" s="7144">
        <f t="array" ref="K1001">IFERROR(VLOOKUP(J984,Dex!$B$3:$N1218,12,FALSE),"")</f>
        <v>50</v>
      </c>
      <c r="L1001" s="7145" t="str">
        <f t="array" ref="L1001">IFERROR(VLOOKUP(K1001,Dex!$P$22:$Q$276,2,FALSE),"")</f>
        <v/>
      </c>
      <c r="M1001" s="7146">
        <v>4.0</v>
      </c>
      <c r="N1001" s="7132"/>
      <c r="O1001" s="7143" t="s">
        <v>196</v>
      </c>
      <c r="P1001" s="7144">
        <f t="array" ref="P1001">IFERROR(VLOOKUP(O984,Dex!$B$3:$N1218,12,FALSE),"")</f>
        <v>80</v>
      </c>
      <c r="Q1001" s="7145" t="str">
        <f t="array" ref="Q1001">IFERROR(VLOOKUP(P1001,Dex!$P$22:$Q$276,2,FALSE),"")</f>
        <v/>
      </c>
      <c r="R1001" s="7146">
        <v>4.0</v>
      </c>
      <c r="S1001" s="7137"/>
      <c r="T1001" s="7143" t="s">
        <v>196</v>
      </c>
      <c r="U1001" s="7144">
        <f t="array" ref="U1001">IFERROR(VLOOKUP(T984,Dex!$B$3:$N1218,12,FALSE),"")</f>
        <v>76</v>
      </c>
      <c r="V1001" s="7145" t="str">
        <f t="array" ref="V1001">IFERROR(VLOOKUP(U1001,Dex!$P$22:$Q$276,2,FALSE),"")</f>
        <v/>
      </c>
      <c r="W1001" s="7146"/>
      <c r="X1001" s="7137"/>
      <c r="Y1001" s="7143" t="s">
        <v>196</v>
      </c>
      <c r="Z1001" s="7144">
        <f t="array" ref="Z1001">IFERROR(VLOOKUP(Y984,Dex!$B$3:$N1218,12,FALSE),"")</f>
        <v>90</v>
      </c>
      <c r="AA1001" s="7145" t="str">
        <f t="array" ref="AA1001">IFERROR(VLOOKUP(Z1001,Dex!$P$22:$Q$276,2,FALSE),"")</f>
        <v/>
      </c>
      <c r="AB1001" s="7146"/>
      <c r="AC1001" s="7137"/>
      <c r="AD1001" s="7117"/>
      <c r="AE1001" s="7117"/>
      <c r="AF1001" s="7117"/>
      <c r="AG1001" s="7117"/>
      <c r="AH1001" s="7138"/>
      <c r="AI1001" s="6192"/>
    </row>
    <row r="1002" ht="16.5" customHeight="1">
      <c r="A1002" s="6185"/>
      <c r="B1002" s="7131"/>
      <c r="C1002" s="7117"/>
      <c r="D1002" s="7132"/>
      <c r="E1002" s="7147" t="s">
        <v>197</v>
      </c>
      <c r="F1002" s="7148">
        <f t="array" ref="F1002">IFERROR(VLOOKUP(E984,Dex!$B$3:$N1218,13,FALSE),"")</f>
        <v>32</v>
      </c>
      <c r="G1002" s="7149" t="str">
        <f t="array" ref="G1002">IFERROR(VLOOKUP(F1002,Dex!$P$22:$Q$276,2,FALSE),"")</f>
        <v/>
      </c>
      <c r="H1002" s="7150">
        <v>252.0</v>
      </c>
      <c r="I1002" s="7132"/>
      <c r="J1002" s="7147" t="s">
        <v>197</v>
      </c>
      <c r="K1002" s="7148">
        <f t="array" ref="K1002">IFERROR(VLOOKUP(J984,Dex!$B$3:$N1218,13,FALSE),"")</f>
        <v>75</v>
      </c>
      <c r="L1002" s="7149" t="str">
        <f t="array" ref="L1002">IFERROR(VLOOKUP(K1002,Dex!$P$22:$Q$276,2,FALSE),"")</f>
        <v/>
      </c>
      <c r="M1002" s="7150">
        <v>252.0</v>
      </c>
      <c r="N1002" s="7132"/>
      <c r="O1002" s="7147" t="s">
        <v>197</v>
      </c>
      <c r="P1002" s="7148">
        <f t="array" ref="P1002">IFERROR(VLOOKUP(O984,Dex!$B$3:$N1218,13,FALSE),"")</f>
        <v>30</v>
      </c>
      <c r="Q1002" s="7149" t="str">
        <f t="array" ref="Q1002">IFERROR(VLOOKUP(P1002,Dex!$P$22:$Q$276,2,FALSE),"")</f>
        <v/>
      </c>
      <c r="R1002" s="7150"/>
      <c r="S1002" s="7137"/>
      <c r="T1002" s="7147" t="s">
        <v>197</v>
      </c>
      <c r="U1002" s="7148">
        <f t="array" ref="U1002">IFERROR(VLOOKUP(T984,Dex!$B$3:$N1218,13,FALSE),"")</f>
        <v>67</v>
      </c>
      <c r="V1002" s="7149" t="str">
        <f t="array" ref="V1002">IFERROR(VLOOKUP(U1002,Dex!$P$22:$Q$276,2,FALSE),"")</f>
        <v/>
      </c>
      <c r="W1002" s="7150"/>
      <c r="X1002" s="7137"/>
      <c r="Y1002" s="7147" t="s">
        <v>197</v>
      </c>
      <c r="Z1002" s="7148">
        <f t="array" ref="Z1002">IFERROR(VLOOKUP(Y984,Dex!$B$3:$N1218,13,FALSE),"")</f>
        <v>98</v>
      </c>
      <c r="AA1002" s="7149" t="str">
        <f t="array" ref="AA1002">IFERROR(VLOOKUP(Z1002,Dex!$P$22:$Q$276,2,FALSE),"")</f>
        <v/>
      </c>
      <c r="AB1002" s="7150">
        <v>252.0</v>
      </c>
      <c r="AC1002" s="7137"/>
      <c r="AD1002" s="7117"/>
      <c r="AE1002" s="7117"/>
      <c r="AF1002" s="7117"/>
      <c r="AG1002" s="7117"/>
      <c r="AH1002" s="7138"/>
      <c r="AI1002" s="6192"/>
    </row>
    <row r="1003" ht="16.5" customHeight="1">
      <c r="A1003" s="6185"/>
      <c r="B1003" s="7131"/>
      <c r="C1003" s="7117"/>
      <c r="D1003" s="7132"/>
      <c r="E1003" s="7151" t="s">
        <v>198</v>
      </c>
      <c r="F1003" s="918"/>
      <c r="G1003" s="919"/>
      <c r="H1003" s="7152">
        <v>179.0</v>
      </c>
      <c r="I1003" s="7135"/>
      <c r="J1003" s="7153" t="s">
        <v>198</v>
      </c>
      <c r="K1003" s="405"/>
      <c r="L1003" s="406"/>
      <c r="M1003" s="7154">
        <v>273.0</v>
      </c>
      <c r="N1003" s="7135"/>
      <c r="O1003" s="7153" t="s">
        <v>198</v>
      </c>
      <c r="P1003" s="405"/>
      <c r="Q1003" s="406"/>
      <c r="R1003" s="7154">
        <v>96.0</v>
      </c>
      <c r="S1003" s="7136"/>
      <c r="T1003" s="7153" t="s">
        <v>198</v>
      </c>
      <c r="U1003" s="405"/>
      <c r="V1003" s="406"/>
      <c r="W1003" s="7154">
        <v>170.0</v>
      </c>
      <c r="X1003" s="7136"/>
      <c r="Y1003" s="7153" t="s">
        <v>198</v>
      </c>
      <c r="Z1003" s="405"/>
      <c r="AA1003" s="406"/>
      <c r="AB1003" s="7154">
        <v>324.0</v>
      </c>
      <c r="AC1003" s="7137"/>
      <c r="AD1003" s="7117"/>
      <c r="AE1003" s="7117"/>
      <c r="AF1003" s="7117"/>
      <c r="AG1003" s="7117"/>
      <c r="AH1003" s="7138"/>
      <c r="AI1003" s="6192"/>
    </row>
    <row r="1004" ht="16.5" customHeight="1">
      <c r="A1004" s="6185"/>
      <c r="B1004" s="7155"/>
      <c r="C1004" s="7156"/>
      <c r="D1004" s="7157"/>
      <c r="E1004" s="7158" t="s">
        <v>1789</v>
      </c>
      <c r="F1004" s="925"/>
      <c r="G1004" s="926"/>
      <c r="H1004" s="7159">
        <v>268.0</v>
      </c>
      <c r="I1004" s="7160"/>
      <c r="J1004" s="7117"/>
      <c r="K1004" s="7117"/>
      <c r="L1004" s="7117"/>
      <c r="M1004" s="7117"/>
      <c r="N1004" s="7160"/>
      <c r="O1004" s="7161"/>
      <c r="P1004" s="7161"/>
      <c r="Q1004" s="7161"/>
      <c r="R1004" s="7117"/>
      <c r="S1004" s="7162"/>
      <c r="T1004" s="7161"/>
      <c r="U1004" s="7161"/>
      <c r="V1004" s="7161"/>
      <c r="W1004" s="7117"/>
      <c r="X1004" s="7162"/>
      <c r="Y1004" s="7161"/>
      <c r="Z1004" s="7161"/>
      <c r="AA1004" s="7161"/>
      <c r="AB1004" s="7117"/>
      <c r="AC1004" s="7163"/>
      <c r="AD1004" s="7156"/>
      <c r="AE1004" s="7156"/>
      <c r="AF1004" s="7156"/>
      <c r="AG1004" s="7156"/>
      <c r="AH1004" s="7164"/>
      <c r="AI1004" s="6192"/>
    </row>
    <row r="1005" ht="15.0" customHeight="1">
      <c r="A1005" s="6125"/>
      <c r="B1005" s="7165"/>
      <c r="C1005" s="7166"/>
      <c r="D1005" s="7167"/>
      <c r="E1005" s="7168"/>
      <c r="F1005" s="7168"/>
      <c r="G1005" s="7168"/>
      <c r="H1005" s="7168"/>
      <c r="I1005" s="7169"/>
      <c r="J1005" s="7170"/>
      <c r="K1005" s="7170"/>
      <c r="L1005" s="7170"/>
      <c r="M1005" s="7168"/>
      <c r="N1005" s="7169"/>
      <c r="O1005" s="7170"/>
      <c r="P1005" s="7170"/>
      <c r="Q1005" s="7170"/>
      <c r="R1005" s="7168"/>
      <c r="S1005" s="7169"/>
      <c r="T1005" s="7170"/>
      <c r="U1005" s="7170"/>
      <c r="V1005" s="7170"/>
      <c r="W1005" s="7168"/>
      <c r="X1005" s="7169"/>
      <c r="Y1005" s="7170"/>
      <c r="Z1005" s="7170"/>
      <c r="AA1005" s="7170"/>
      <c r="AB1005" s="7168"/>
      <c r="AC1005" s="7167"/>
      <c r="AD1005" s="7167"/>
      <c r="AE1005" s="7167"/>
      <c r="AF1005" s="7167"/>
      <c r="AG1005" s="7167"/>
      <c r="AH1005" s="7171"/>
      <c r="AI1005" s="6129"/>
    </row>
    <row r="1006" ht="15.0" customHeight="1">
      <c r="A1006" s="6185"/>
      <c r="B1006" s="6324"/>
      <c r="C1006" s="6325"/>
      <c r="D1006" s="6326"/>
      <c r="E1006" s="6421"/>
      <c r="F1006" s="6421"/>
      <c r="G1006" s="6421"/>
      <c r="H1006" s="6421"/>
      <c r="I1006" s="6327"/>
      <c r="J1006" s="6421"/>
      <c r="K1006" s="6421"/>
      <c r="L1006" s="6421"/>
      <c r="M1006" s="6421"/>
      <c r="N1006" s="6327"/>
      <c r="O1006" s="6421"/>
      <c r="P1006" s="6421"/>
      <c r="Q1006" s="6421"/>
      <c r="R1006" s="6421"/>
      <c r="S1006" s="6327"/>
      <c r="T1006" s="6421"/>
      <c r="U1006" s="6421"/>
      <c r="V1006" s="6421"/>
      <c r="W1006" s="6421"/>
      <c r="X1006" s="6327"/>
      <c r="Y1006" s="6421"/>
      <c r="Z1006" s="6421"/>
      <c r="AA1006" s="6421"/>
      <c r="AB1006" s="6421"/>
      <c r="AC1006" s="6327"/>
      <c r="AD1006" s="6326"/>
      <c r="AE1006" s="6326"/>
      <c r="AF1006" s="6326"/>
      <c r="AG1006" s="6326"/>
      <c r="AH1006" s="6328"/>
      <c r="AI1006" s="6192"/>
    </row>
    <row r="1007" ht="96.75" customHeight="1">
      <c r="A1007" s="6185"/>
      <c r="B1007" s="6329"/>
      <c r="C1007" s="6330" t="str">
        <f>IMAGE("https://i.ibb.co/qNMR4cv/SwimmerF.png")</f>
        <v/>
      </c>
      <c r="D1007" s="6422"/>
      <c r="E1007" s="6332" t="str">
        <f t="array" ref="E1007">IFERROR(VLOOKUP(E1008,Dex!$B$3:$G1218,3,FALSE),"")</f>
        <v/>
      </c>
      <c r="F1007" s="1830"/>
      <c r="G1007" s="1830"/>
      <c r="H1007" s="1831"/>
      <c r="I1007" s="6423"/>
      <c r="J1007" s="6332" t="str">
        <f t="array" ref="J1007">IFERROR(VLOOKUP(J1008,Dex!$B$3:$G1218,3,FALSE),"")</f>
        <v/>
      </c>
      <c r="K1007" s="1830"/>
      <c r="L1007" s="1830"/>
      <c r="M1007" s="1831"/>
      <c r="N1007" s="6423"/>
      <c r="O1007" s="6332" t="str">
        <f t="array" ref="O1007">IFERROR(VLOOKUP(O1008,Dex!$B$3:$G1218,3,FALSE),"")</f>
        <v/>
      </c>
      <c r="P1007" s="1830"/>
      <c r="Q1007" s="1830"/>
      <c r="R1007" s="1831"/>
      <c r="S1007" s="6424"/>
      <c r="T1007" s="6332" t="str">
        <f t="array" ref="T1007">IFERROR(VLOOKUP(T1008,Dex!$B$3:$G1218,3,FALSE),"")</f>
        <v/>
      </c>
      <c r="U1007" s="1830"/>
      <c r="V1007" s="1830"/>
      <c r="W1007" s="1831"/>
      <c r="X1007" s="6424"/>
      <c r="Y1007" s="6332" t="str">
        <f t="array" ref="Y1007">IFERROR(VLOOKUP(Y1008,Dex!$B$3:$G1218,3,FALSE),"")</f>
        <v/>
      </c>
      <c r="Z1007" s="1830"/>
      <c r="AA1007" s="1830"/>
      <c r="AB1007" s="1831"/>
      <c r="AC1007" s="6425"/>
      <c r="AD1007" s="6335"/>
      <c r="AE1007" s="6336"/>
      <c r="AF1007" s="6336"/>
      <c r="AG1007" s="6337"/>
      <c r="AH1007" s="6338"/>
      <c r="AI1007" s="6192"/>
    </row>
    <row r="1008" ht="18.75" customHeight="1">
      <c r="A1008" s="6140"/>
      <c r="B1008" s="6339"/>
      <c r="C1008" s="6340" t="s">
        <v>1790</v>
      </c>
      <c r="D1008" s="6426"/>
      <c r="E1008" s="6342" t="s">
        <v>1326</v>
      </c>
      <c r="F1008" s="6343"/>
      <c r="G1008" s="6343"/>
      <c r="H1008" s="6344"/>
      <c r="I1008" s="6423"/>
      <c r="J1008" s="6342" t="s">
        <v>1791</v>
      </c>
      <c r="K1008" s="6343"/>
      <c r="L1008" s="6343"/>
      <c r="M1008" s="6344"/>
      <c r="N1008" s="6423"/>
      <c r="O1008" s="6342" t="s">
        <v>1792</v>
      </c>
      <c r="P1008" s="6343"/>
      <c r="Q1008" s="6343"/>
      <c r="R1008" s="6344"/>
      <c r="S1008" s="6423"/>
      <c r="T1008" s="6342" t="s">
        <v>1169</v>
      </c>
      <c r="U1008" s="6343"/>
      <c r="V1008" s="6343"/>
      <c r="W1008" s="6344"/>
      <c r="X1008" s="6423"/>
      <c r="Y1008" s="6342" t="s">
        <v>1262</v>
      </c>
      <c r="Z1008" s="6343"/>
      <c r="AA1008" s="6343"/>
      <c r="AB1008" s="6344"/>
      <c r="AC1008" s="6427"/>
      <c r="AD1008" s="6345"/>
      <c r="AE1008" s="6336"/>
      <c r="AF1008" s="6336"/>
      <c r="AG1008" s="6337"/>
      <c r="AH1008" s="6346"/>
      <c r="AI1008" s="6149"/>
    </row>
    <row r="1009">
      <c r="A1009" s="6125"/>
      <c r="B1009" s="6329"/>
      <c r="C1009" s="1481"/>
      <c r="D1009" s="6428"/>
      <c r="E1009" s="6348" t="s">
        <v>1502</v>
      </c>
      <c r="F1009" s="6349"/>
      <c r="G1009" s="6349"/>
      <c r="H1009" s="6350"/>
      <c r="I1009" s="6423"/>
      <c r="J1009" s="6348" t="s">
        <v>1502</v>
      </c>
      <c r="K1009" s="6349"/>
      <c r="L1009" s="6349"/>
      <c r="M1009" s="6350"/>
      <c r="N1009" s="6423"/>
      <c r="O1009" s="6348" t="s">
        <v>1502</v>
      </c>
      <c r="P1009" s="6349"/>
      <c r="Q1009" s="6349"/>
      <c r="R1009" s="6350"/>
      <c r="S1009" s="6424"/>
      <c r="T1009" s="6348" t="s">
        <v>1502</v>
      </c>
      <c r="U1009" s="6349"/>
      <c r="V1009" s="6349"/>
      <c r="W1009" s="6350"/>
      <c r="X1009" s="6424"/>
      <c r="Y1009" s="6348" t="s">
        <v>1502</v>
      </c>
      <c r="Z1009" s="6349"/>
      <c r="AA1009" s="6349"/>
      <c r="AB1009" s="6350"/>
      <c r="AC1009" s="6425"/>
      <c r="AD1009" s="6335"/>
      <c r="AE1009" s="6336"/>
      <c r="AF1009" s="6336"/>
      <c r="AG1009" s="6337"/>
      <c r="AH1009" s="6338"/>
      <c r="AI1009" s="6129"/>
    </row>
    <row r="1010" ht="25.5" customHeight="1">
      <c r="A1010" s="6125"/>
      <c r="B1010" s="6329"/>
      <c r="C1010" s="1489"/>
      <c r="D1010" s="6334"/>
      <c r="E1010" s="6351"/>
      <c r="F1010" s="6355" t="str">
        <f t="array" ref="F1010">IFERROR(VLOOKUP(E1008,Dex!$B$3:$H1218,5,FALSE),"")</f>
        <v/>
      </c>
      <c r="G1010" s="6356" t="str">
        <f t="array" ref="G1010">IFERROR(VLOOKUP(E1008,Dex!$B$3:$H1218,7,FALSE),"")</f>
        <v/>
      </c>
      <c r="H1010" s="6354"/>
      <c r="I1010" s="6333"/>
      <c r="J1010" s="6351"/>
      <c r="K1010" s="6355" t="str">
        <f t="array" ref="K1010">IFERROR(VLOOKUP(J1008,Dex!$B$3:$H1218,5,FALSE),"")</f>
        <v/>
      </c>
      <c r="L1010" s="6356" t="str">
        <f t="array" ref="L1010">IFERROR(VLOOKUP(J1008,Dex!$B$3:$H1218,7,FALSE),"")</f>
        <v/>
      </c>
      <c r="M1010" s="6354"/>
      <c r="N1010" s="6333"/>
      <c r="O1010" s="6351"/>
      <c r="P1010" s="6352" t="str">
        <f t="array" ref="P1010">IFERROR(VLOOKUP(O1008,Dex!$B$3:$H1218,5,FALSE),"")</f>
        <v/>
      </c>
      <c r="Q1010" s="6353"/>
      <c r="R1010" s="6354"/>
      <c r="S1010" s="6334"/>
      <c r="T1010" s="6351"/>
      <c r="U1010" s="6352" t="str">
        <f t="array" ref="U1010">IFERROR(VLOOKUP(T1008,Dex!$B$3:$H1218,5,FALSE),"")</f>
        <v/>
      </c>
      <c r="V1010" s="6353"/>
      <c r="W1010" s="6354"/>
      <c r="X1010" s="6334"/>
      <c r="Y1010" s="6351"/>
      <c r="Z1010" s="6355" t="str">
        <f t="array" ref="Z1010">IFERROR(VLOOKUP(Y1008,Dex!$B$3:$H1218,5,FALSE),"")</f>
        <v/>
      </c>
      <c r="AA1010" s="6356" t="str">
        <f t="array" ref="AA1010">IFERROR(VLOOKUP(Y1008,Dex!$B$3:$H1218,7,FALSE),"")</f>
        <v/>
      </c>
      <c r="AB1010" s="6354"/>
      <c r="AC1010" s="6334"/>
      <c r="AD1010" s="6335"/>
      <c r="AE1010" s="6336"/>
      <c r="AF1010" s="6336"/>
      <c r="AG1010" s="6337"/>
      <c r="AH1010" s="6338"/>
      <c r="AI1010" s="6129"/>
    </row>
    <row r="1011" ht="2.25" customHeight="1">
      <c r="A1011" s="6125"/>
      <c r="B1011" s="6329"/>
      <c r="C1011" s="6357"/>
      <c r="D1011" s="6334"/>
      <c r="E1011" s="6358"/>
      <c r="F1011" s="6359"/>
      <c r="G1011" s="6359"/>
      <c r="H1011" s="6360"/>
      <c r="I1011" s="6333"/>
      <c r="J1011" s="6358"/>
      <c r="K1011" s="6359"/>
      <c r="L1011" s="6359"/>
      <c r="M1011" s="6360"/>
      <c r="N1011" s="6333"/>
      <c r="O1011" s="6358"/>
      <c r="P1011" s="6359"/>
      <c r="Q1011" s="6359"/>
      <c r="R1011" s="6360"/>
      <c r="S1011" s="6334"/>
      <c r="T1011" s="6358"/>
      <c r="U1011" s="6359"/>
      <c r="V1011" s="6359"/>
      <c r="W1011" s="6360"/>
      <c r="X1011" s="6334"/>
      <c r="Y1011" s="6358"/>
      <c r="Z1011" s="6359"/>
      <c r="AA1011" s="6359"/>
      <c r="AB1011" s="6360"/>
      <c r="AC1011" s="6334"/>
      <c r="AD1011" s="6334"/>
      <c r="AE1011" s="6334"/>
      <c r="AF1011" s="6334"/>
      <c r="AG1011" s="6334"/>
      <c r="AH1011" s="6338"/>
      <c r="AI1011" s="6129"/>
    </row>
    <row r="1012" ht="20.25" customHeight="1">
      <c r="A1012" s="6125"/>
      <c r="B1012" s="6329"/>
      <c r="C1012" s="6361"/>
      <c r="D1012" s="6335"/>
      <c r="E1012" s="6362" t="s">
        <v>206</v>
      </c>
      <c r="F1012" s="6363"/>
      <c r="G1012" s="6363"/>
      <c r="H1012" s="6364"/>
      <c r="I1012" s="6423"/>
      <c r="J1012" s="6362" t="s">
        <v>205</v>
      </c>
      <c r="K1012" s="6363"/>
      <c r="L1012" s="6363"/>
      <c r="M1012" s="6364"/>
      <c r="N1012" s="6423"/>
      <c r="O1012" s="6362" t="s">
        <v>263</v>
      </c>
      <c r="P1012" s="6363"/>
      <c r="Q1012" s="6363"/>
      <c r="R1012" s="6364"/>
      <c r="S1012" s="6424"/>
      <c r="T1012" s="6362" t="s">
        <v>205</v>
      </c>
      <c r="U1012" s="6363"/>
      <c r="V1012" s="6363"/>
      <c r="W1012" s="6364"/>
      <c r="X1012" s="6424"/>
      <c r="Y1012" s="6362" t="s">
        <v>205</v>
      </c>
      <c r="Z1012" s="6363"/>
      <c r="AA1012" s="6363"/>
      <c r="AB1012" s="6364"/>
      <c r="AC1012" s="6425"/>
      <c r="AD1012" s="6335"/>
      <c r="AE1012" s="6336"/>
      <c r="AF1012" s="6336"/>
      <c r="AG1012" s="6337"/>
      <c r="AH1012" s="6338"/>
      <c r="AI1012" s="6129"/>
    </row>
    <row r="1013" ht="20.25" customHeight="1">
      <c r="A1013" s="6125"/>
      <c r="B1013" s="6329"/>
      <c r="C1013" s="6361"/>
      <c r="D1013" s="6335"/>
      <c r="E1013" s="6365" t="s">
        <v>1330</v>
      </c>
      <c r="F1013" s="6336"/>
      <c r="G1013" s="6336"/>
      <c r="H1013" s="6366"/>
      <c r="I1013" s="6423"/>
      <c r="J1013" s="6365" t="s">
        <v>448</v>
      </c>
      <c r="K1013" s="6336"/>
      <c r="L1013" s="6336"/>
      <c r="M1013" s="6366"/>
      <c r="N1013" s="6423"/>
      <c r="O1013" s="6365" t="s">
        <v>1793</v>
      </c>
      <c r="P1013" s="6336"/>
      <c r="Q1013" s="6336"/>
      <c r="R1013" s="6366"/>
      <c r="S1013" s="6424"/>
      <c r="T1013" s="6365" t="s">
        <v>502</v>
      </c>
      <c r="U1013" s="6336"/>
      <c r="V1013" s="6336"/>
      <c r="W1013" s="6366"/>
      <c r="X1013" s="6424"/>
      <c r="Y1013" s="6365" t="s">
        <v>1265</v>
      </c>
      <c r="Z1013" s="6336"/>
      <c r="AA1013" s="6336"/>
      <c r="AB1013" s="6366"/>
      <c r="AC1013" s="6425"/>
      <c r="AD1013" s="6335"/>
      <c r="AE1013" s="6336"/>
      <c r="AF1013" s="6336"/>
      <c r="AG1013" s="6337"/>
      <c r="AH1013" s="6338"/>
      <c r="AI1013" s="6129"/>
    </row>
    <row r="1014" ht="20.25" customHeight="1">
      <c r="A1014" s="6125"/>
      <c r="B1014" s="6329"/>
      <c r="C1014" s="6361"/>
      <c r="D1014" s="6335"/>
      <c r="E1014" s="6367" t="s">
        <v>1334</v>
      </c>
      <c r="F1014" s="6368"/>
      <c r="G1014" s="6369"/>
      <c r="H1014" s="6370" t="str">
        <f>IMAGE("https://raw.githubusercontent.com/msikma/pokesprite/master/items/hold-item/damp-rock.png",3)</f>
        <v/>
      </c>
      <c r="I1014" s="6345"/>
      <c r="J1014" s="6367" t="s">
        <v>1794</v>
      </c>
      <c r="K1014" s="6368"/>
      <c r="L1014" s="6369"/>
      <c r="M1014" s="6370" t="str">
        <f>IMAGE("https://raw.githubusercontent.com/msikma/pokesprite/master/items/z-crystals/psychium-z--held.png",3)</f>
        <v/>
      </c>
      <c r="N1014" s="6345"/>
      <c r="O1014" s="6367" t="s">
        <v>394</v>
      </c>
      <c r="P1014" s="6368"/>
      <c r="Q1014" s="6369"/>
      <c r="R1014" s="6370" t="str">
        <f>IMAGE("https://raw.githubusercontent.com/msikma/pokesprite/master/items/hold-item/leftovers.png",3)</f>
        <v/>
      </c>
      <c r="S1014" s="6335"/>
      <c r="T1014" s="6367" t="s">
        <v>1795</v>
      </c>
      <c r="U1014" s="6368"/>
      <c r="V1014" s="6369"/>
      <c r="W1014" s="6370" t="str">
        <f>IMAGE("https://raw.githubusercontent.com/msikma/pokesprite/master/items/gem/ice.png",3)</f>
        <v/>
      </c>
      <c r="X1014" s="6335"/>
      <c r="Y1014" s="6367" t="s">
        <v>240</v>
      </c>
      <c r="Z1014" s="6368"/>
      <c r="AA1014" s="6369"/>
      <c r="AB1014" s="6370" t="str">
        <f>IMAGE("https://raw.githubusercontent.com/msikma/pokesprite/master/items/hold-item/focus-sash.png",3)</f>
        <v/>
      </c>
      <c r="AC1014" s="6334"/>
      <c r="AD1014" s="6335"/>
      <c r="AE1014" s="6336"/>
      <c r="AF1014" s="6336"/>
      <c r="AG1014" s="6337"/>
      <c r="AH1014" s="6338"/>
      <c r="AI1014" s="6129"/>
    </row>
    <row r="1015" ht="20.25" customHeight="1">
      <c r="A1015" s="6125"/>
      <c r="B1015" s="6329"/>
      <c r="C1015" s="6371"/>
      <c r="D1015" s="6335"/>
      <c r="E1015" s="6362" t="s">
        <v>246</v>
      </c>
      <c r="F1015" s="6363"/>
      <c r="G1015" s="6372"/>
      <c r="H1015" s="6373" t="str">
        <f>IMAGE("https://raw.githubusercontent.com/msikma/pokesprite/master/misc/types/gen8/water.png",4,20,20)</f>
        <v/>
      </c>
      <c r="I1015" s="6345"/>
      <c r="J1015" s="6362" t="s">
        <v>338</v>
      </c>
      <c r="K1015" s="6363"/>
      <c r="L1015" s="6372"/>
      <c r="M1015" s="6373" t="str">
        <f>IMAGE("https://raw.githubusercontent.com/msikma/pokesprite/master/misc/types/gen8/water.png",4,20,20)</f>
        <v/>
      </c>
      <c r="N1015" s="6345"/>
      <c r="O1015" s="6362" t="s">
        <v>1608</v>
      </c>
      <c r="P1015" s="6363"/>
      <c r="Q1015" s="6372"/>
      <c r="R1015" s="6373" t="str">
        <f>IMAGE("https://raw.githubusercontent.com/msikma/pokesprite/master/misc/types/gen8/poison.png",4,20,20)</f>
        <v/>
      </c>
      <c r="S1015" s="6335"/>
      <c r="T1015" s="6362" t="s">
        <v>539</v>
      </c>
      <c r="U1015" s="6363"/>
      <c r="V1015" s="6372"/>
      <c r="W1015" s="6373" t="str">
        <f>IMAGE("https://raw.githubusercontent.com/msikma/pokesprite/master/misc/types/gen8/electric.png",4,20,20)</f>
        <v/>
      </c>
      <c r="X1015" s="6335"/>
      <c r="Y1015" s="6362" t="s">
        <v>461</v>
      </c>
      <c r="Z1015" s="6363"/>
      <c r="AA1015" s="6372"/>
      <c r="AB1015" s="6373" t="str">
        <f>IMAGE("https://raw.githubusercontent.com/msikma/pokesprite/master/misc/types/gen8/flying.png",4,20,20)</f>
        <v/>
      </c>
      <c r="AC1015" s="6334"/>
      <c r="AD1015" s="6335"/>
      <c r="AE1015" s="6336"/>
      <c r="AF1015" s="6336"/>
      <c r="AG1015" s="6337"/>
      <c r="AH1015" s="6338"/>
      <c r="AI1015" s="6129"/>
    </row>
    <row r="1016" ht="20.25" customHeight="1">
      <c r="A1016" s="6125"/>
      <c r="B1016" s="6329"/>
      <c r="C1016" s="6374"/>
      <c r="D1016" s="6335"/>
      <c r="E1016" s="6365" t="s">
        <v>461</v>
      </c>
      <c r="F1016" s="6336"/>
      <c r="G1016" s="6337"/>
      <c r="H1016" s="6375" t="str">
        <f>IMAGE("https://raw.githubusercontent.com/msikma/pokesprite/master/misc/types/gen8/flying.png",4,20,20)</f>
        <v/>
      </c>
      <c r="I1016" s="6345"/>
      <c r="J1016" s="6365" t="s">
        <v>401</v>
      </c>
      <c r="K1016" s="6336"/>
      <c r="L1016" s="6337"/>
      <c r="M1016" s="6375" t="str">
        <f>IMAGE("https://raw.githubusercontent.com/msikma/pokesprite/master/misc/types/gen8/dark.png",4,20,20)</f>
        <v/>
      </c>
      <c r="N1016" s="6423"/>
      <c r="O1016" s="6365" t="s">
        <v>317</v>
      </c>
      <c r="P1016" s="6336"/>
      <c r="Q1016" s="6337"/>
      <c r="R1016" s="6375" t="str">
        <f>IMAGE("https://raw.githubusercontent.com/msikma/pokesprite/master/misc/types/gen8/ice.png",4,20,20)</f>
        <v/>
      </c>
      <c r="S1016" s="6335"/>
      <c r="T1016" s="6365" t="s">
        <v>379</v>
      </c>
      <c r="U1016" s="6336"/>
      <c r="V1016" s="6337"/>
      <c r="W1016" s="6375" t="str">
        <f>IMAGE("https://raw.githubusercontent.com/msikma/pokesprite/master/misc/types/gen8/water.png",4,20,20)</f>
        <v/>
      </c>
      <c r="X1016" s="6335"/>
      <c r="Y1016" s="6365" t="s">
        <v>337</v>
      </c>
      <c r="Z1016" s="6336"/>
      <c r="AA1016" s="6337"/>
      <c r="AB1016" s="6375" t="str">
        <f>IMAGE("https://raw.githubusercontent.com/msikma/pokesprite/master/misc/types/gen8/normal.png",4,20,20)</f>
        <v/>
      </c>
      <c r="AC1016" s="6334"/>
      <c r="AD1016" s="6335"/>
      <c r="AE1016" s="6336"/>
      <c r="AF1016" s="6336"/>
      <c r="AG1016" s="6337"/>
      <c r="AH1016" s="6338"/>
      <c r="AI1016" s="6129"/>
    </row>
    <row r="1017" ht="20.25" customHeight="1">
      <c r="A1017" s="6125"/>
      <c r="B1017" s="6329"/>
      <c r="C1017" s="6374"/>
      <c r="D1017" s="6335"/>
      <c r="E1017" s="6365" t="s">
        <v>317</v>
      </c>
      <c r="F1017" s="6336"/>
      <c r="G1017" s="6337"/>
      <c r="H1017" s="6375" t="str">
        <f>IMAGE("https://raw.githubusercontent.com/msikma/pokesprite/master/misc/types/gen8/ice.png",4,20,20)</f>
        <v/>
      </c>
      <c r="I1017" s="6345"/>
      <c r="J1017" s="6365" t="s">
        <v>1796</v>
      </c>
      <c r="K1017" s="6336"/>
      <c r="L1017" s="6337"/>
      <c r="M1017" s="6375" t="str">
        <f>IMAGE("https://raw.githubusercontent.com/msikma/pokesprite/master/misc/types/gen8/psychic.png",4,20,20)</f>
        <v/>
      </c>
      <c r="N1017" s="6423"/>
      <c r="O1017" s="6365" t="s">
        <v>633</v>
      </c>
      <c r="P1017" s="6336"/>
      <c r="Q1017" s="6337"/>
      <c r="R1017" s="6375" t="str">
        <f>IMAGE("https://raw.githubusercontent.com/msikma/pokesprite/master/misc/types/gen8/psychic.png",4,20,20)</f>
        <v/>
      </c>
      <c r="S1017" s="6335"/>
      <c r="T1017" s="6365" t="s">
        <v>254</v>
      </c>
      <c r="U1017" s="6336"/>
      <c r="V1017" s="6337"/>
      <c r="W1017" s="6375" t="str">
        <f>IMAGE("https://raw.githubusercontent.com/msikma/pokesprite/master/misc/types/gen8/ice.png",4,20,20)</f>
        <v/>
      </c>
      <c r="X1017" s="6335"/>
      <c r="Y1017" s="6365" t="s">
        <v>344</v>
      </c>
      <c r="Z1017" s="6336"/>
      <c r="AA1017" s="6337"/>
      <c r="AB1017" s="6375" t="str">
        <f>IMAGE("https://raw.githubusercontent.com/msikma/pokesprite/master/misc/types/gen8/fighting.png",4,20,20)</f>
        <v/>
      </c>
      <c r="AC1017" s="6334"/>
      <c r="AD1017" s="6335"/>
      <c r="AE1017" s="6336"/>
      <c r="AF1017" s="6336"/>
      <c r="AG1017" s="6337"/>
      <c r="AH1017" s="6338"/>
      <c r="AI1017" s="6129"/>
    </row>
    <row r="1018" ht="21.0" customHeight="1">
      <c r="A1018" s="6125"/>
      <c r="B1018" s="6329"/>
      <c r="C1018" s="6374"/>
      <c r="D1018" s="6335"/>
      <c r="E1018" s="6376" t="s">
        <v>278</v>
      </c>
      <c r="F1018" s="6377"/>
      <c r="G1018" s="6378"/>
      <c r="H1018" s="6379" t="str">
        <f>IMAGE("https://raw.githubusercontent.com/msikma/pokesprite/master/misc/types/gen8/bug.png",4,20,20)</f>
        <v/>
      </c>
      <c r="I1018" s="6345"/>
      <c r="J1018" s="6376" t="s">
        <v>317</v>
      </c>
      <c r="K1018" s="6377"/>
      <c r="L1018" s="6378"/>
      <c r="M1018" s="6379" t="str">
        <f>IMAGE("https://raw.githubusercontent.com/msikma/pokesprite/master/misc/types/gen8/ice.png",4,20,20)</f>
        <v/>
      </c>
      <c r="N1018" s="6423"/>
      <c r="O1018" s="6376" t="s">
        <v>246</v>
      </c>
      <c r="P1018" s="6377"/>
      <c r="Q1018" s="6378"/>
      <c r="R1018" s="6379" t="str">
        <f>IMAGE("https://raw.githubusercontent.com/msikma/pokesprite/master/misc/types/gen8/water.png",4,20,20)</f>
        <v/>
      </c>
      <c r="S1018" s="6335"/>
      <c r="T1018" s="6376" t="s">
        <v>318</v>
      </c>
      <c r="U1018" s="6377"/>
      <c r="V1018" s="6378"/>
      <c r="W1018" s="6379" t="str">
        <f>IMAGE("https://raw.githubusercontent.com/msikma/pokesprite/master/misc/types/gen8/ghost.png",4,20,20)</f>
        <v/>
      </c>
      <c r="X1018" s="6335"/>
      <c r="Y1018" s="6376" t="s">
        <v>380</v>
      </c>
      <c r="Z1018" s="6377"/>
      <c r="AA1018" s="6378"/>
      <c r="AB1018" s="6379" t="str">
        <f>IMAGE("https://raw.githubusercontent.com/msikma/pokesprite/master/misc/types/gen8/dragon.png",4,20,20)</f>
        <v/>
      </c>
      <c r="AC1018" s="6334"/>
      <c r="AD1018" s="6335"/>
      <c r="AE1018" s="6336"/>
      <c r="AF1018" s="6336"/>
      <c r="AG1018" s="6337"/>
      <c r="AH1018" s="6338"/>
      <c r="AI1018" s="6129"/>
    </row>
    <row r="1019" ht="3.0" customHeight="1">
      <c r="A1019" s="6185"/>
      <c r="B1019" s="6380"/>
      <c r="C1019" s="6381"/>
      <c r="D1019" s="6382"/>
      <c r="E1019" s="6429"/>
      <c r="F1019" s="6429"/>
      <c r="G1019" s="6429"/>
      <c r="H1019" s="6383"/>
      <c r="I1019" s="6382"/>
      <c r="J1019" s="6567"/>
      <c r="K1019" s="6567"/>
      <c r="L1019" s="6567"/>
      <c r="M1019" s="6567"/>
      <c r="N1019" s="6382"/>
      <c r="O1019" s="6429"/>
      <c r="P1019" s="6429"/>
      <c r="Q1019" s="6429"/>
      <c r="R1019" s="6383"/>
      <c r="S1019" s="6383"/>
      <c r="T1019" s="6429"/>
      <c r="U1019" s="6429"/>
      <c r="V1019" s="6429"/>
      <c r="W1019" s="6383"/>
      <c r="X1019" s="6383"/>
      <c r="Y1019" s="6429"/>
      <c r="Z1019" s="6429"/>
      <c r="AA1019" s="6429"/>
      <c r="AB1019" s="6383"/>
      <c r="AC1019" s="6385"/>
      <c r="AD1019" s="6383"/>
      <c r="AE1019" s="6383"/>
      <c r="AF1019" s="6383"/>
      <c r="AG1019" s="6383"/>
      <c r="AH1019" s="6386"/>
      <c r="AI1019" s="6192"/>
    </row>
    <row r="1020" ht="16.5" customHeight="1">
      <c r="A1020" s="6185"/>
      <c r="B1020" s="6387"/>
      <c r="C1020" s="6381"/>
      <c r="D1020" s="6392"/>
      <c r="E1020" s="6389" t="s">
        <v>190</v>
      </c>
      <c r="F1020" s="381"/>
      <c r="G1020" s="382"/>
      <c r="H1020" s="6390" t="s">
        <v>191</v>
      </c>
      <c r="I1020" s="6399"/>
      <c r="J1020" s="6389" t="s">
        <v>190</v>
      </c>
      <c r="K1020" s="381"/>
      <c r="L1020" s="382"/>
      <c r="M1020" s="6390" t="s">
        <v>191</v>
      </c>
      <c r="N1020" s="6392"/>
      <c r="O1020" s="6389" t="s">
        <v>190</v>
      </c>
      <c r="P1020" s="381"/>
      <c r="Q1020" s="382"/>
      <c r="R1020" s="6390" t="s">
        <v>191</v>
      </c>
      <c r="S1020" s="6430"/>
      <c r="T1020" s="6389" t="s">
        <v>190</v>
      </c>
      <c r="U1020" s="381"/>
      <c r="V1020" s="382"/>
      <c r="W1020" s="6390" t="s">
        <v>191</v>
      </c>
      <c r="X1020" s="7172"/>
      <c r="Y1020" s="6389" t="s">
        <v>190</v>
      </c>
      <c r="Z1020" s="381"/>
      <c r="AA1020" s="382"/>
      <c r="AB1020" s="6390" t="s">
        <v>191</v>
      </c>
      <c r="AC1020" s="6425"/>
      <c r="AD1020" s="6334"/>
      <c r="AE1020" s="6334"/>
      <c r="AF1020" s="6334"/>
      <c r="AG1020" s="6393"/>
      <c r="AH1020" s="6394"/>
      <c r="AI1020" s="6192"/>
    </row>
    <row r="1021" ht="16.5" customHeight="1">
      <c r="A1021" s="6185"/>
      <c r="B1021" s="6387"/>
      <c r="C1021" s="6381"/>
      <c r="D1021" s="6388"/>
      <c r="E1021" s="6395" t="s">
        <v>192</v>
      </c>
      <c r="F1021" s="6396">
        <f t="array" ref="F1021">IFERROR(VLOOKUP(E1008,Dex!$B$3:$N1218,8,FALSE),"")</f>
        <v>60</v>
      </c>
      <c r="G1021" s="6397" t="str">
        <f t="array" ref="G1021">IFERROR(VLOOKUP(F1021,Dex!$P$22:$Q$276,2,FALSE),"")</f>
        <v/>
      </c>
      <c r="H1021" s="6398">
        <v>248.0</v>
      </c>
      <c r="I1021" s="6399"/>
      <c r="J1021" s="6395" t="s">
        <v>192</v>
      </c>
      <c r="K1021" s="6396">
        <f t="array" ref="K1021">IFERROR(VLOOKUP(J1008,Dex!$B$3:$N1218,8,FALSE),"")</f>
        <v>80</v>
      </c>
      <c r="L1021" s="6397" t="str">
        <f t="array" ref="L1021">IFERROR(VLOOKUP(K1021,Dex!$P$22:$Q$276,2,FALSE),"")</f>
        <v/>
      </c>
      <c r="M1021" s="6398"/>
      <c r="N1021" s="6388"/>
      <c r="O1021" s="6395" t="s">
        <v>192</v>
      </c>
      <c r="P1021" s="6396">
        <f t="array" ref="P1021">IFERROR(VLOOKUP(O1008,Dex!$B$3:$N1218,8,FALSE),"")</f>
        <v>130</v>
      </c>
      <c r="Q1021" s="6397" t="str">
        <f t="array" ref="Q1021">IFERROR(VLOOKUP(P1021,Dex!$P$22:$Q$276,2,FALSE),"")</f>
        <v/>
      </c>
      <c r="R1021" s="6398">
        <v>252.0</v>
      </c>
      <c r="S1021" s="6400"/>
      <c r="T1021" s="6395" t="s">
        <v>192</v>
      </c>
      <c r="U1021" s="6396">
        <f t="array" ref="U1021">IFERROR(VLOOKUP(T1008,Dex!$B$3:$N1218,8,FALSE),"")</f>
        <v>65</v>
      </c>
      <c r="V1021" s="6397" t="str">
        <f t="array" ref="V1021">IFERROR(VLOOKUP(U1021,Dex!$P$22:$Q$276,2,FALSE),"")</f>
        <v/>
      </c>
      <c r="W1021" s="6398"/>
      <c r="X1021" s="7173"/>
      <c r="Y1021" s="6395" t="s">
        <v>192</v>
      </c>
      <c r="Z1021" s="6396">
        <f t="array" ref="Z1021">IFERROR(VLOOKUP(Y1008,Dex!$B$3:$N1218,8,FALSE),"")</f>
        <v>85</v>
      </c>
      <c r="AA1021" s="6397" t="str">
        <f t="array" ref="AA1021">IFERROR(VLOOKUP(Z1021,Dex!$P$22:$Q$276,2,FALSE),"")</f>
        <v/>
      </c>
      <c r="AB1021" s="6398"/>
      <c r="AC1021" s="6425"/>
      <c r="AD1021" s="6334"/>
      <c r="AE1021" s="6334"/>
      <c r="AF1021" s="6334"/>
      <c r="AG1021" s="6393"/>
      <c r="AH1021" s="6394"/>
      <c r="AI1021" s="6192"/>
    </row>
    <row r="1022" ht="16.5" customHeight="1">
      <c r="A1022" s="6185"/>
      <c r="B1022" s="6387"/>
      <c r="C1022" s="6381"/>
      <c r="D1022" s="6388"/>
      <c r="E1022" s="6401" t="s">
        <v>193</v>
      </c>
      <c r="F1022" s="6402">
        <f t="array" ref="F1022">IFERROR(VLOOKUP(E1008,Dex!$B$3:$N1218,9,FALSE),"")</f>
        <v>50</v>
      </c>
      <c r="G1022" s="6403" t="str">
        <f t="array" ref="G1022">IFERROR(VLOOKUP(F1022,Dex!$P$22:$Q$276,2,FALSE),"")</f>
        <v/>
      </c>
      <c r="H1022" s="6404"/>
      <c r="I1022" s="6399"/>
      <c r="J1022" s="6401" t="s">
        <v>193</v>
      </c>
      <c r="K1022" s="6402">
        <f t="array" ref="K1022">IFERROR(VLOOKUP(J1008,Dex!$B$3:$N1218,9,FALSE),"")</f>
        <v>82</v>
      </c>
      <c r="L1022" s="6403" t="str">
        <f t="array" ref="L1022">IFERROR(VLOOKUP(K1022,Dex!$P$22:$Q$276,2,FALSE),"")</f>
        <v/>
      </c>
      <c r="M1022" s="6404"/>
      <c r="N1022" s="6388"/>
      <c r="O1022" s="6401" t="s">
        <v>193</v>
      </c>
      <c r="P1022" s="6402">
        <f t="array" ref="P1022">IFERROR(VLOOKUP(O1008,Dex!$B$3:$N1218,9,FALSE),"")</f>
        <v>65</v>
      </c>
      <c r="Q1022" s="6403" t="str">
        <f t="array" ref="Q1022">IFERROR(VLOOKUP(P1022,Dex!$P$22:$Q$276,2,FALSE),"")</f>
        <v/>
      </c>
      <c r="R1022" s="6404"/>
      <c r="S1022" s="6400"/>
      <c r="T1022" s="6401" t="s">
        <v>193</v>
      </c>
      <c r="U1022" s="6402">
        <f t="array" ref="U1022">IFERROR(VLOOKUP(T1008,Dex!$B$3:$N1218,9,FALSE),"")</f>
        <v>65</v>
      </c>
      <c r="V1022" s="6403" t="str">
        <f t="array" ref="V1022">IFERROR(VLOOKUP(U1022,Dex!$P$22:$Q$276,2,FALSE),"")</f>
        <v/>
      </c>
      <c r="W1022" s="6404"/>
      <c r="X1022" s="7173"/>
      <c r="Y1022" s="6401" t="s">
        <v>193</v>
      </c>
      <c r="Z1022" s="6402">
        <f t="array" ref="Z1022">IFERROR(VLOOKUP(Y1008,Dex!$B$3:$N1218,9,FALSE),"")</f>
        <v>70</v>
      </c>
      <c r="AA1022" s="6403" t="str">
        <f t="array" ref="AA1022">IFERROR(VLOOKUP(Z1022,Dex!$P$22:$Q$276,2,FALSE),"")</f>
        <v/>
      </c>
      <c r="AB1022" s="6404"/>
      <c r="AC1022" s="6424"/>
      <c r="AD1022" s="6336"/>
      <c r="AE1022" s="6336"/>
      <c r="AF1022" s="6337"/>
      <c r="AG1022" s="6393"/>
      <c r="AH1022" s="6394"/>
      <c r="AI1022" s="6192"/>
    </row>
    <row r="1023" ht="16.5" customHeight="1">
      <c r="A1023" s="6185"/>
      <c r="B1023" s="6387"/>
      <c r="C1023" s="6381"/>
      <c r="D1023" s="6388"/>
      <c r="E1023" s="6401" t="s">
        <v>194</v>
      </c>
      <c r="F1023" s="6402">
        <f t="array" ref="F1023">IFERROR(VLOOKUP(E1008,Dex!$B$3:$N1218,10,FALSE),"")</f>
        <v>100</v>
      </c>
      <c r="G1023" s="6403" t="str">
        <f t="array" ref="G1023">IFERROR(VLOOKUP(F1023,Dex!$P$22:$Q$276,2,FALSE),"")</f>
        <v/>
      </c>
      <c r="H1023" s="6404">
        <v>252.0</v>
      </c>
      <c r="I1023" s="6399"/>
      <c r="J1023" s="6401" t="s">
        <v>194</v>
      </c>
      <c r="K1023" s="6402">
        <f t="array" ref="K1023">IFERROR(VLOOKUP(J1008,Dex!$B$3:$N1218,10,FALSE),"")</f>
        <v>78</v>
      </c>
      <c r="L1023" s="6403" t="str">
        <f t="array" ref="L1023">IFERROR(VLOOKUP(K1023,Dex!$P$22:$Q$276,2,FALSE),"")</f>
        <v/>
      </c>
      <c r="M1023" s="6404"/>
      <c r="N1023" s="6388"/>
      <c r="O1023" s="6401" t="s">
        <v>194</v>
      </c>
      <c r="P1023" s="6402">
        <f t="array" ref="P1023">IFERROR(VLOOKUP(O1008,Dex!$B$3:$N1218,10,FALSE),"")</f>
        <v>60</v>
      </c>
      <c r="Q1023" s="6403" t="str">
        <f t="array" ref="Q1023">IFERROR(VLOOKUP(P1023,Dex!$P$22:$Q$276,2,FALSE),"")</f>
        <v/>
      </c>
      <c r="R1023" s="6404"/>
      <c r="S1023" s="6400"/>
      <c r="T1023" s="6401" t="s">
        <v>194</v>
      </c>
      <c r="U1023" s="6402">
        <f t="array" ref="U1023">IFERROR(VLOOKUP(T1008,Dex!$B$3:$N1218,10,FALSE),"")</f>
        <v>60</v>
      </c>
      <c r="V1023" s="6403" t="str">
        <f t="array" ref="V1023">IFERROR(VLOOKUP(U1023,Dex!$P$22:$Q$276,2,FALSE),"")</f>
        <v/>
      </c>
      <c r="W1023" s="6404">
        <v>4.0</v>
      </c>
      <c r="X1023" s="7173"/>
      <c r="Y1023" s="6401" t="s">
        <v>194</v>
      </c>
      <c r="Z1023" s="6402">
        <f t="array" ref="Z1023">IFERROR(VLOOKUP(Y1008,Dex!$B$3:$N1218,10,FALSE),"")</f>
        <v>80</v>
      </c>
      <c r="AA1023" s="6403" t="str">
        <f t="array" ref="AA1023">IFERROR(VLOOKUP(Z1023,Dex!$P$22:$Q$276,2,FALSE),"")</f>
        <v/>
      </c>
      <c r="AB1023" s="6404">
        <v>4.0</v>
      </c>
      <c r="AC1023" s="6424"/>
      <c r="AD1023" s="6336"/>
      <c r="AE1023" s="6336"/>
      <c r="AF1023" s="6337"/>
      <c r="AG1023" s="6393"/>
      <c r="AH1023" s="6394"/>
      <c r="AI1023" s="6192"/>
    </row>
    <row r="1024" ht="16.5" customHeight="1">
      <c r="A1024" s="6185"/>
      <c r="B1024" s="6387"/>
      <c r="C1024" s="6381"/>
      <c r="D1024" s="6388"/>
      <c r="E1024" s="6401" t="s">
        <v>195</v>
      </c>
      <c r="F1024" s="6402">
        <f t="array" ref="F1024">IFERROR(VLOOKUP(E1008,Dex!$B$3:$N1218,11,FALSE),"")</f>
        <v>95</v>
      </c>
      <c r="G1024" s="6403" t="str">
        <f t="array" ref="G1024">IFERROR(VLOOKUP(F1024,Dex!$P$22:$Q$276,2,FALSE),"")</f>
        <v/>
      </c>
      <c r="H1024" s="6404">
        <v>8.0</v>
      </c>
      <c r="I1024" s="6399"/>
      <c r="J1024" s="6401" t="s">
        <v>195</v>
      </c>
      <c r="K1024" s="6402">
        <f t="array" ref="K1024">IFERROR(VLOOKUP(J1008,Dex!$B$3:$N1218,11,FALSE),"")</f>
        <v>100</v>
      </c>
      <c r="L1024" s="6403" t="str">
        <f t="array" ref="L1024">IFERROR(VLOOKUP(K1024,Dex!$P$22:$Q$276,2,FALSE),"")</f>
        <v/>
      </c>
      <c r="M1024" s="6404">
        <v>252.0</v>
      </c>
      <c r="N1024" s="6388"/>
      <c r="O1024" s="6401" t="s">
        <v>195</v>
      </c>
      <c r="P1024" s="6402">
        <f t="array" ref="P1024">IFERROR(VLOOKUP(O1008,Dex!$B$3:$N1218,11,FALSE),"")</f>
        <v>110</v>
      </c>
      <c r="Q1024" s="6403" t="str">
        <f t="array" ref="Q1024">IFERROR(VLOOKUP(P1024,Dex!$P$22:$Q$276,2,FALSE),"")</f>
        <v/>
      </c>
      <c r="R1024" s="6404">
        <v>252.0</v>
      </c>
      <c r="S1024" s="6400"/>
      <c r="T1024" s="6401" t="s">
        <v>195</v>
      </c>
      <c r="U1024" s="6402">
        <f t="array" ref="U1024">IFERROR(VLOOKUP(T1008,Dex!$B$3:$N1218,11,FALSE),"")</f>
        <v>110</v>
      </c>
      <c r="V1024" s="6403" t="str">
        <f t="array" ref="V1024">IFERROR(VLOOKUP(U1024,Dex!$P$22:$Q$276,2,FALSE),"")</f>
        <v/>
      </c>
      <c r="W1024" s="6404">
        <v>252.0</v>
      </c>
      <c r="X1024" s="7173"/>
      <c r="Y1024" s="6401" t="s">
        <v>195</v>
      </c>
      <c r="Z1024" s="6402">
        <f t="array" ref="Z1024">IFERROR(VLOOKUP(Y1008,Dex!$B$3:$N1218,11,FALSE),"")</f>
        <v>102</v>
      </c>
      <c r="AA1024" s="6403" t="str">
        <f t="array" ref="AA1024">IFERROR(VLOOKUP(Z1024,Dex!$P$22:$Q$276,2,FALSE),"")</f>
        <v/>
      </c>
      <c r="AB1024" s="6404">
        <v>252.0</v>
      </c>
      <c r="AC1024" s="6424"/>
      <c r="AD1024" s="6336"/>
      <c r="AE1024" s="6336"/>
      <c r="AF1024" s="6337"/>
      <c r="AG1024" s="6393"/>
      <c r="AH1024" s="6394"/>
      <c r="AI1024" s="6192"/>
    </row>
    <row r="1025" ht="16.5" customHeight="1">
      <c r="A1025" s="6185"/>
      <c r="B1025" s="6387"/>
      <c r="C1025" s="6381"/>
      <c r="D1025" s="6388"/>
      <c r="E1025" s="6401" t="s">
        <v>196</v>
      </c>
      <c r="F1025" s="6402">
        <f t="array" ref="F1025">IFERROR(VLOOKUP(E1008,Dex!$B$3:$N1218,12,FALSE),"")</f>
        <v>70</v>
      </c>
      <c r="G1025" s="6403" t="str">
        <f t="array" ref="G1025">IFERROR(VLOOKUP(F1025,Dex!$P$22:$Q$276,2,FALSE),"")</f>
        <v/>
      </c>
      <c r="H1025" s="6404"/>
      <c r="I1025" s="6399"/>
      <c r="J1025" s="6401" t="s">
        <v>196</v>
      </c>
      <c r="K1025" s="6402">
        <f t="array" ref="K1025">IFERROR(VLOOKUP(J1008,Dex!$B$3:$N1218,12,FALSE),"")</f>
        <v>80</v>
      </c>
      <c r="L1025" s="6403" t="str">
        <f t="array" ref="L1025">IFERROR(VLOOKUP(K1025,Dex!$P$22:$Q$276,2,FALSE),"")</f>
        <v/>
      </c>
      <c r="M1025" s="6404">
        <v>4.0</v>
      </c>
      <c r="N1025" s="6388"/>
      <c r="O1025" s="6401" t="s">
        <v>196</v>
      </c>
      <c r="P1025" s="6402">
        <f t="array" ref="P1025">IFERROR(VLOOKUP(O1008,Dex!$B$3:$N1218,12,FALSE),"")</f>
        <v>95</v>
      </c>
      <c r="Q1025" s="6403" t="str">
        <f t="array" ref="Q1025">IFERROR(VLOOKUP(P1025,Dex!$P$22:$Q$276,2,FALSE),"")</f>
        <v/>
      </c>
      <c r="R1025" s="6404">
        <v>4.0</v>
      </c>
      <c r="S1025" s="6400"/>
      <c r="T1025" s="6401" t="s">
        <v>196</v>
      </c>
      <c r="U1025" s="6402">
        <f t="array" ref="U1025">IFERROR(VLOOKUP(T1008,Dex!$B$3:$N1218,12,FALSE),"")</f>
        <v>95</v>
      </c>
      <c r="V1025" s="6403" t="str">
        <f t="array" ref="V1025">IFERROR(VLOOKUP(U1025,Dex!$P$22:$Q$276,2,FALSE),"")</f>
        <v/>
      </c>
      <c r="W1025" s="6404"/>
      <c r="X1025" s="7173"/>
      <c r="Y1025" s="6401" t="s">
        <v>196</v>
      </c>
      <c r="Z1025" s="6402">
        <f t="array" ref="Z1025">IFERROR(VLOOKUP(Y1008,Dex!$B$3:$N1218,12,FALSE),"")</f>
        <v>80</v>
      </c>
      <c r="AA1025" s="6403" t="str">
        <f t="array" ref="AA1025">IFERROR(VLOOKUP(Z1025,Dex!$P$22:$Q$276,2,FALSE),"")</f>
        <v/>
      </c>
      <c r="AB1025" s="6404"/>
      <c r="AC1025" s="6424"/>
      <c r="AD1025" s="6336"/>
      <c r="AE1025" s="6336"/>
      <c r="AF1025" s="6337"/>
      <c r="AG1025" s="6393"/>
      <c r="AH1025" s="6394"/>
      <c r="AI1025" s="6192"/>
    </row>
    <row r="1026" ht="16.5" customHeight="1">
      <c r="A1026" s="6185"/>
      <c r="B1026" s="6387"/>
      <c r="C1026" s="6381"/>
      <c r="D1026" s="6388"/>
      <c r="E1026" s="6405" t="s">
        <v>197</v>
      </c>
      <c r="F1026" s="6406">
        <f t="array" ref="F1026">IFERROR(VLOOKUP(E1008,Dex!$B$3:$N1218,13,FALSE),"")</f>
        <v>65</v>
      </c>
      <c r="G1026" s="6407" t="str">
        <f t="array" ref="G1026">IFERROR(VLOOKUP(F1026,Dex!$P$22:$Q$276,2,FALSE),"")</f>
        <v/>
      </c>
      <c r="H1026" s="6408"/>
      <c r="I1026" s="6399"/>
      <c r="J1026" s="6405" t="s">
        <v>197</v>
      </c>
      <c r="K1026" s="6406">
        <f t="array" ref="K1026">IFERROR(VLOOKUP(J1008,Dex!$B$3:$N1218,13,FALSE),"")</f>
        <v>100</v>
      </c>
      <c r="L1026" s="6407" t="str">
        <f t="array" ref="L1026">IFERROR(VLOOKUP(K1026,Dex!$P$22:$Q$276,2,FALSE),"")</f>
        <v/>
      </c>
      <c r="M1026" s="6408">
        <v>252.0</v>
      </c>
      <c r="N1026" s="6388"/>
      <c r="O1026" s="6405" t="s">
        <v>197</v>
      </c>
      <c r="P1026" s="6406">
        <f t="array" ref="P1026">IFERROR(VLOOKUP(O1008,Dex!$B$3:$N1218,13,FALSE),"")</f>
        <v>65</v>
      </c>
      <c r="Q1026" s="6407" t="str">
        <f t="array" ref="Q1026">IFERROR(VLOOKUP(P1026,Dex!$P$22:$Q$276,2,FALSE),"")</f>
        <v/>
      </c>
      <c r="R1026" s="6408"/>
      <c r="S1026" s="6400"/>
      <c r="T1026" s="6405" t="s">
        <v>197</v>
      </c>
      <c r="U1026" s="6406">
        <f t="array" ref="U1026">IFERROR(VLOOKUP(T1008,Dex!$B$3:$N1218,13,FALSE),"")</f>
        <v>130</v>
      </c>
      <c r="V1026" s="6407" t="str">
        <f t="array" ref="V1026">IFERROR(VLOOKUP(U1026,Dex!$P$22:$Q$276,2,FALSE),"")</f>
        <v/>
      </c>
      <c r="W1026" s="6408">
        <v>252.0</v>
      </c>
      <c r="X1026" s="7173"/>
      <c r="Y1026" s="6405" t="s">
        <v>197</v>
      </c>
      <c r="Z1026" s="6406">
        <f t="array" ref="Z1026">IFERROR(VLOOKUP(Y1008,Dex!$B$3:$N1218,13,FALSE),"")</f>
        <v>123</v>
      </c>
      <c r="AA1026" s="6407" t="str">
        <f t="array" ref="AA1026">IFERROR(VLOOKUP(Z1026,Dex!$P$22:$Q$276,2,FALSE),"")</f>
        <v/>
      </c>
      <c r="AB1026" s="6408">
        <v>252.0</v>
      </c>
      <c r="AC1026" s="6424"/>
      <c r="AD1026" s="6336"/>
      <c r="AE1026" s="6336"/>
      <c r="AF1026" s="6337"/>
      <c r="AG1026" s="6334"/>
      <c r="AH1026" s="6394"/>
      <c r="AI1026" s="6192"/>
    </row>
    <row r="1027" ht="16.5" customHeight="1">
      <c r="A1027" s="6185"/>
      <c r="B1027" s="6387"/>
      <c r="C1027" s="6381"/>
      <c r="D1027" s="6392"/>
      <c r="E1027" s="6409" t="s">
        <v>198</v>
      </c>
      <c r="F1027" s="405"/>
      <c r="G1027" s="406"/>
      <c r="H1027" s="6410">
        <v>166.0</v>
      </c>
      <c r="I1027" s="6391"/>
      <c r="J1027" s="6431" t="s">
        <v>198</v>
      </c>
      <c r="K1027" s="918"/>
      <c r="L1027" s="919"/>
      <c r="M1027" s="6432">
        <v>328.0</v>
      </c>
      <c r="N1027" s="6392"/>
      <c r="O1027" s="6409" t="s">
        <v>198</v>
      </c>
      <c r="P1027" s="405"/>
      <c r="Q1027" s="406"/>
      <c r="R1027" s="6410">
        <v>166.0</v>
      </c>
      <c r="S1027" s="6568"/>
      <c r="T1027" s="6409" t="s">
        <v>198</v>
      </c>
      <c r="U1027" s="405"/>
      <c r="V1027" s="406"/>
      <c r="W1027" s="6410">
        <v>394.0</v>
      </c>
      <c r="X1027" s="7174"/>
      <c r="Y1027" s="6409" t="s">
        <v>198</v>
      </c>
      <c r="Z1027" s="405"/>
      <c r="AA1027" s="406"/>
      <c r="AB1027" s="6410">
        <v>379.0</v>
      </c>
      <c r="AC1027" s="6424"/>
      <c r="AD1027" s="6336"/>
      <c r="AE1027" s="6336"/>
      <c r="AF1027" s="6337"/>
      <c r="AG1027" s="6334"/>
      <c r="AH1027" s="6394"/>
      <c r="AI1027" s="6192"/>
    </row>
    <row r="1028" ht="16.5" customHeight="1">
      <c r="A1028" s="6185"/>
      <c r="B1028" s="6433"/>
      <c r="C1028" s="6434"/>
      <c r="D1028" s="6435"/>
      <c r="E1028" s="7175"/>
      <c r="F1028" s="7175"/>
      <c r="G1028" s="7175"/>
      <c r="H1028" s="6434"/>
      <c r="I1028" s="7176"/>
      <c r="J1028" s="6439" t="s">
        <v>465</v>
      </c>
      <c r="K1028" s="925"/>
      <c r="L1028" s="926"/>
      <c r="M1028" s="6440">
        <v>656.0</v>
      </c>
      <c r="N1028" s="6435"/>
      <c r="O1028" s="7175"/>
      <c r="P1028" s="7175"/>
      <c r="Q1028" s="7175"/>
      <c r="R1028" s="6434"/>
      <c r="S1028" s="6569"/>
      <c r="T1028" s="7175"/>
      <c r="U1028" s="7175"/>
      <c r="V1028" s="7175"/>
      <c r="W1028" s="6434"/>
      <c r="X1028" s="7177"/>
      <c r="Y1028" s="7175"/>
      <c r="Z1028" s="7175"/>
      <c r="AA1028" s="7175"/>
      <c r="AB1028" s="6434"/>
      <c r="AC1028" s="7178"/>
      <c r="AD1028" s="7178"/>
      <c r="AE1028" s="7178"/>
      <c r="AF1028" s="7178"/>
      <c r="AG1028" s="6441"/>
      <c r="AH1028" s="6442"/>
      <c r="AI1028" s="6192"/>
    </row>
    <row r="1029" ht="15.0" customHeight="1">
      <c r="A1029" s="6185"/>
      <c r="B1029" s="6411"/>
      <c r="C1029" s="6412"/>
      <c r="D1029" s="6413"/>
      <c r="E1029" s="6414"/>
      <c r="F1029" s="6414"/>
      <c r="G1029" s="6414"/>
      <c r="H1029" s="6414"/>
      <c r="I1029" s="6415"/>
      <c r="J1029" s="6416"/>
      <c r="K1029" s="6416"/>
      <c r="L1029" s="6416"/>
      <c r="M1029" s="6414"/>
      <c r="N1029" s="6415"/>
      <c r="O1029" s="6414"/>
      <c r="P1029" s="6414"/>
      <c r="Q1029" s="6414"/>
      <c r="R1029" s="6414"/>
      <c r="S1029" s="6413"/>
      <c r="T1029" s="6414"/>
      <c r="U1029" s="6414"/>
      <c r="V1029" s="6414"/>
      <c r="W1029" s="6414"/>
      <c r="X1029" s="6413"/>
      <c r="Y1029" s="6417"/>
      <c r="Z1029" s="6418"/>
      <c r="AA1029" s="6418"/>
      <c r="AB1029" s="6419"/>
      <c r="AC1029" s="6413"/>
      <c r="AD1029" s="6413"/>
      <c r="AE1029" s="6413"/>
      <c r="AF1029" s="6413"/>
      <c r="AG1029" s="6413"/>
      <c r="AH1029" s="6420"/>
      <c r="AI1029" s="6192"/>
    </row>
    <row r="1030" ht="15.0" customHeight="1">
      <c r="A1030" s="6125"/>
      <c r="B1030" s="7068"/>
      <c r="C1030" s="7069"/>
      <c r="D1030" s="7069"/>
      <c r="E1030" s="7179"/>
      <c r="F1030" s="7179"/>
      <c r="G1030" s="7179"/>
      <c r="H1030" s="7179"/>
      <c r="I1030" s="7069"/>
      <c r="J1030" s="7179"/>
      <c r="K1030" s="7179"/>
      <c r="L1030" s="7179"/>
      <c r="M1030" s="7179"/>
      <c r="N1030" s="7069"/>
      <c r="O1030" s="7179"/>
      <c r="P1030" s="7179"/>
      <c r="Q1030" s="7179"/>
      <c r="R1030" s="7179"/>
      <c r="S1030" s="7069"/>
      <c r="T1030" s="7179"/>
      <c r="U1030" s="7179"/>
      <c r="V1030" s="7179"/>
      <c r="W1030" s="7179"/>
      <c r="X1030" s="7069"/>
      <c r="Y1030" s="7179"/>
      <c r="Z1030" s="7179"/>
      <c r="AA1030" s="7179"/>
      <c r="AB1030" s="7179"/>
      <c r="AC1030" s="7069"/>
      <c r="AD1030" s="7069"/>
      <c r="AE1030" s="7069"/>
      <c r="AF1030" s="7069"/>
      <c r="AG1030" s="7069"/>
      <c r="AH1030" s="7070"/>
      <c r="AI1030" s="6129"/>
    </row>
    <row r="1031" ht="96.75" customHeight="1">
      <c r="A1031" s="6125"/>
      <c r="B1031" s="7071"/>
      <c r="C1031" s="7072" t="str">
        <f>IMAGE("https://i.ibb.co/dbpWnbD/Tuber.png")</f>
        <v/>
      </c>
      <c r="D1031" s="7180"/>
      <c r="E1031" s="7074" t="str">
        <f t="array" ref="E1031">IFERROR(VLOOKUP(E1032,Dex!$B$3:$G1218,3,FALSE),"")</f>
        <v/>
      </c>
      <c r="F1031" s="1830"/>
      <c r="G1031" s="1830"/>
      <c r="H1031" s="1831"/>
      <c r="I1031" s="7181"/>
      <c r="J1031" s="7074" t="str">
        <f t="array" ref="J1031">IFERROR(VLOOKUP(J1032,Dex!$B$3:$G1218,3,FALSE),"")</f>
        <v/>
      </c>
      <c r="K1031" s="1830"/>
      <c r="L1031" s="1830"/>
      <c r="M1031" s="1831"/>
      <c r="N1031" s="7181"/>
      <c r="O1031" s="7074" t="str">
        <f t="array" ref="O1031">IFERROR(VLOOKUP(O1032,Dex!$B$3:$G1218,3,FALSE),"")</f>
        <v/>
      </c>
      <c r="P1031" s="1830"/>
      <c r="Q1031" s="1830"/>
      <c r="R1031" s="1831"/>
      <c r="S1031" s="7181"/>
      <c r="T1031" s="7074" t="str">
        <f t="array" ref="T1031">IFERROR(VLOOKUP(T1032,Dex!$B$3:$G1218,3,FALSE),"")</f>
        <v/>
      </c>
      <c r="U1031" s="1830"/>
      <c r="V1031" s="1830"/>
      <c r="W1031" s="1831"/>
      <c r="X1031" s="7181"/>
      <c r="Y1031" s="7074" t="str">
        <f t="array" ref="Y1031">IFERROR(VLOOKUP(Y1032,Dex!$B$3:$G1218,3,FALSE),"")</f>
        <v/>
      </c>
      <c r="Z1031" s="1830"/>
      <c r="AA1031" s="1830"/>
      <c r="AB1031" s="1831"/>
      <c r="AC1031" s="7182"/>
      <c r="AD1031" s="7077"/>
      <c r="AE1031" s="7078"/>
      <c r="AF1031" s="7078"/>
      <c r="AG1031" s="7079"/>
      <c r="AH1031" s="7080"/>
      <c r="AI1031" s="6129"/>
    </row>
    <row r="1032" ht="18.75" customHeight="1">
      <c r="A1032" s="6140"/>
      <c r="B1032" s="7081"/>
      <c r="C1032" s="7082" t="s">
        <v>1797</v>
      </c>
      <c r="D1032" s="7183"/>
      <c r="E1032" s="7084" t="s">
        <v>1798</v>
      </c>
      <c r="F1032" s="7085"/>
      <c r="G1032" s="7085"/>
      <c r="H1032" s="7086"/>
      <c r="I1032" s="7181"/>
      <c r="J1032" s="7084" t="s">
        <v>731</v>
      </c>
      <c r="K1032" s="7085"/>
      <c r="L1032" s="7085"/>
      <c r="M1032" s="7086"/>
      <c r="N1032" s="7181"/>
      <c r="O1032" s="7084" t="s">
        <v>1662</v>
      </c>
      <c r="P1032" s="7085"/>
      <c r="Q1032" s="7085"/>
      <c r="R1032" s="7086"/>
      <c r="S1032" s="7181"/>
      <c r="T1032" s="7084" t="s">
        <v>1303</v>
      </c>
      <c r="U1032" s="7085"/>
      <c r="V1032" s="7085"/>
      <c r="W1032" s="7086"/>
      <c r="X1032" s="7181"/>
      <c r="Y1032" s="7084" t="s">
        <v>1215</v>
      </c>
      <c r="Z1032" s="7085"/>
      <c r="AA1032" s="7085"/>
      <c r="AB1032" s="7086"/>
      <c r="AC1032" s="7184"/>
      <c r="AD1032" s="7087"/>
      <c r="AE1032" s="7078"/>
      <c r="AF1032" s="7078"/>
      <c r="AG1032" s="7079"/>
      <c r="AH1032" s="7088"/>
      <c r="AI1032" s="6149"/>
    </row>
    <row r="1033">
      <c r="A1033" s="6125"/>
      <c r="B1033" s="7071"/>
      <c r="C1033" s="1481"/>
      <c r="D1033" s="7185"/>
      <c r="E1033" s="7090" t="s">
        <v>1502</v>
      </c>
      <c r="F1033" s="7091"/>
      <c r="G1033" s="7091"/>
      <c r="H1033" s="7092"/>
      <c r="I1033" s="7181"/>
      <c r="J1033" s="7090" t="s">
        <v>1502</v>
      </c>
      <c r="K1033" s="7091"/>
      <c r="L1033" s="7091"/>
      <c r="M1033" s="7092"/>
      <c r="N1033" s="7181"/>
      <c r="O1033" s="7090" t="s">
        <v>1502</v>
      </c>
      <c r="P1033" s="7091"/>
      <c r="Q1033" s="7091"/>
      <c r="R1033" s="7092"/>
      <c r="S1033" s="7181"/>
      <c r="T1033" s="7090" t="s">
        <v>1502</v>
      </c>
      <c r="U1033" s="7091"/>
      <c r="V1033" s="7091"/>
      <c r="W1033" s="7092"/>
      <c r="X1033" s="7181"/>
      <c r="Y1033" s="7090" t="s">
        <v>1502</v>
      </c>
      <c r="Z1033" s="7091"/>
      <c r="AA1033" s="7091"/>
      <c r="AB1033" s="7092"/>
      <c r="AC1033" s="7182"/>
      <c r="AD1033" s="7077"/>
      <c r="AE1033" s="7078"/>
      <c r="AF1033" s="7078"/>
      <c r="AG1033" s="7079"/>
      <c r="AH1033" s="7080"/>
      <c r="AI1033" s="6129"/>
    </row>
    <row r="1034" ht="25.5" customHeight="1">
      <c r="A1034" s="6125"/>
      <c r="B1034" s="7071"/>
      <c r="C1034" s="1489"/>
      <c r="D1034" s="7076"/>
      <c r="E1034" s="7093"/>
      <c r="F1034" s="7094" t="str">
        <f t="array" ref="F1034">IFERROR(VLOOKUP(E1032,Dex!$B$3:$H1218,5,FALSE),"")</f>
        <v/>
      </c>
      <c r="G1034" s="7095" t="str">
        <f t="array" ref="G1034">IFERROR(VLOOKUP(E1032,Dex!$B$3:$H1218,7,FALSE),"")</f>
        <v/>
      </c>
      <c r="H1034" s="7096"/>
      <c r="I1034" s="7075"/>
      <c r="J1034" s="7093"/>
      <c r="K1034" s="7094" t="str">
        <f t="array" ref="K1034">IFERROR(VLOOKUP(J1032,Dex!$B$3:$H1218,5,FALSE),"")</f>
        <v/>
      </c>
      <c r="L1034" s="7095" t="str">
        <f t="array" ref="L1034">IFERROR(VLOOKUP(J1032,Dex!$B$3:$H1218,7,FALSE),"")</f>
        <v/>
      </c>
      <c r="M1034" s="7096"/>
      <c r="N1034" s="7075"/>
      <c r="O1034" s="7093"/>
      <c r="P1034" s="7094" t="str">
        <f t="array" ref="P1034">IFERROR(VLOOKUP(O1032,Dex!$B$3:$H1218,5,FALSE),"")</f>
        <v/>
      </c>
      <c r="Q1034" s="7095" t="str">
        <f t="array" ref="Q1034">IFERROR(VLOOKUP(O1032,Dex!$B$3:$H1218,7,FALSE),"")</f>
        <v/>
      </c>
      <c r="R1034" s="7096"/>
      <c r="S1034" s="7075"/>
      <c r="T1034" s="7093"/>
      <c r="U1034" s="7094" t="str">
        <f t="array" ref="U1034">IFERROR(VLOOKUP(T1032,Dex!$B$3:$H1218,5,FALSE),"")</f>
        <v/>
      </c>
      <c r="V1034" s="7095" t="str">
        <f t="array" ref="V1034">IFERROR(VLOOKUP(T1032,Dex!$B$3:$H1218,7,FALSE),"")</f>
        <v/>
      </c>
      <c r="W1034" s="7096"/>
      <c r="X1034" s="7075"/>
      <c r="Y1034" s="7093"/>
      <c r="Z1034" s="7094" t="str">
        <f t="array" ref="Z1034">IFERROR(VLOOKUP(Y1032,Dex!$B$3:$H1218,5,FALSE),"")</f>
        <v/>
      </c>
      <c r="AA1034" s="7095" t="str">
        <f t="array" ref="AA1034">IFERROR(VLOOKUP(Y1032,Dex!$B$3:$H1218,7,FALSE),"")</f>
        <v/>
      </c>
      <c r="AB1034" s="7096"/>
      <c r="AC1034" s="7076"/>
      <c r="AD1034" s="7077"/>
      <c r="AE1034" s="7078"/>
      <c r="AF1034" s="7078"/>
      <c r="AG1034" s="7079"/>
      <c r="AH1034" s="7080"/>
      <c r="AI1034" s="6129"/>
    </row>
    <row r="1035" ht="2.25" customHeight="1">
      <c r="A1035" s="6125"/>
      <c r="B1035" s="7071"/>
      <c r="C1035" s="7099"/>
      <c r="D1035" s="7076"/>
      <c r="E1035" s="7100"/>
      <c r="F1035" s="7101"/>
      <c r="G1035" s="7101"/>
      <c r="H1035" s="7102"/>
      <c r="I1035" s="7075"/>
      <c r="J1035" s="7100"/>
      <c r="K1035" s="7101"/>
      <c r="L1035" s="7101"/>
      <c r="M1035" s="7102"/>
      <c r="N1035" s="7075"/>
      <c r="O1035" s="7100"/>
      <c r="P1035" s="7101"/>
      <c r="Q1035" s="7101"/>
      <c r="R1035" s="7102"/>
      <c r="S1035" s="7075"/>
      <c r="T1035" s="7100"/>
      <c r="U1035" s="7101"/>
      <c r="V1035" s="7101"/>
      <c r="W1035" s="7102"/>
      <c r="X1035" s="7075"/>
      <c r="Y1035" s="7100"/>
      <c r="Z1035" s="7101"/>
      <c r="AA1035" s="7101"/>
      <c r="AB1035" s="7102"/>
      <c r="AC1035" s="7076"/>
      <c r="AD1035" s="7076"/>
      <c r="AE1035" s="7076"/>
      <c r="AF1035" s="7076"/>
      <c r="AG1035" s="7076"/>
      <c r="AH1035" s="7080"/>
      <c r="AI1035" s="6129"/>
    </row>
    <row r="1036" ht="20.25" customHeight="1">
      <c r="A1036" s="6125"/>
      <c r="B1036" s="7071"/>
      <c r="C1036" s="7103"/>
      <c r="D1036" s="7077"/>
      <c r="E1036" s="7104" t="s">
        <v>206</v>
      </c>
      <c r="F1036" s="7105"/>
      <c r="G1036" s="7105"/>
      <c r="H1036" s="7106"/>
      <c r="I1036" s="7181"/>
      <c r="J1036" s="7104" t="s">
        <v>172</v>
      </c>
      <c r="K1036" s="7105"/>
      <c r="L1036" s="7105"/>
      <c r="M1036" s="7106"/>
      <c r="N1036" s="7181"/>
      <c r="O1036" s="7104" t="s">
        <v>205</v>
      </c>
      <c r="P1036" s="7105"/>
      <c r="Q1036" s="7105"/>
      <c r="R1036" s="7106"/>
      <c r="S1036" s="7181"/>
      <c r="T1036" s="7104" t="s">
        <v>264</v>
      </c>
      <c r="U1036" s="7105"/>
      <c r="V1036" s="7105"/>
      <c r="W1036" s="7106"/>
      <c r="X1036" s="7181"/>
      <c r="Y1036" s="7104" t="s">
        <v>172</v>
      </c>
      <c r="Z1036" s="7105"/>
      <c r="AA1036" s="7105"/>
      <c r="AB1036" s="7106"/>
      <c r="AC1036" s="7182"/>
      <c r="AD1036" s="7077"/>
      <c r="AE1036" s="7078"/>
      <c r="AF1036" s="7078"/>
      <c r="AG1036" s="7079"/>
      <c r="AH1036" s="7080"/>
      <c r="AI1036" s="6129"/>
    </row>
    <row r="1037" ht="20.25" customHeight="1">
      <c r="A1037" s="6125"/>
      <c r="B1037" s="7071"/>
      <c r="C1037" s="7107"/>
      <c r="D1037" s="7077"/>
      <c r="E1037" s="7108" t="s">
        <v>1799</v>
      </c>
      <c r="F1037" s="7078"/>
      <c r="G1037" s="7078"/>
      <c r="H1037" s="7109"/>
      <c r="I1037" s="7181"/>
      <c r="J1037" s="7108" t="s">
        <v>734</v>
      </c>
      <c r="K1037" s="7078"/>
      <c r="L1037" s="7078"/>
      <c r="M1037" s="7109"/>
      <c r="N1037" s="7181"/>
      <c r="O1037" s="7108" t="s">
        <v>1793</v>
      </c>
      <c r="P1037" s="7078"/>
      <c r="Q1037" s="7078"/>
      <c r="R1037" s="7109"/>
      <c r="S1037" s="7181"/>
      <c r="T1037" s="7108" t="s">
        <v>1306</v>
      </c>
      <c r="U1037" s="7078"/>
      <c r="V1037" s="7078"/>
      <c r="W1037" s="7109"/>
      <c r="X1037" s="7181"/>
      <c r="Y1037" s="7108" t="s">
        <v>1217</v>
      </c>
      <c r="Z1037" s="7078"/>
      <c r="AA1037" s="7078"/>
      <c r="AB1037" s="7109"/>
      <c r="AC1037" s="7182"/>
      <c r="AD1037" s="7077"/>
      <c r="AE1037" s="7078"/>
      <c r="AF1037" s="7078"/>
      <c r="AG1037" s="7079"/>
      <c r="AH1037" s="7080"/>
      <c r="AI1037" s="6129"/>
    </row>
    <row r="1038" ht="20.25" customHeight="1">
      <c r="A1038" s="6125"/>
      <c r="B1038" s="7071"/>
      <c r="C1038" s="7107"/>
      <c r="D1038" s="7077"/>
      <c r="E1038" s="7110" t="s">
        <v>394</v>
      </c>
      <c r="F1038" s="7111"/>
      <c r="G1038" s="7112"/>
      <c r="H1038" s="7113" t="str">
        <f>IMAGE("https://raw.githubusercontent.com/msikma/pokesprite/master/items/hold-item/leftovers.png",3)</f>
        <v/>
      </c>
      <c r="I1038" s="7087"/>
      <c r="J1038" s="7110" t="s">
        <v>240</v>
      </c>
      <c r="K1038" s="7111"/>
      <c r="L1038" s="7112"/>
      <c r="M1038" s="7113" t="str">
        <f>IMAGE("https://raw.githubusercontent.com/msikma/pokesprite/master/items/hold-item/focus-sash.png",3)</f>
        <v/>
      </c>
      <c r="N1038" s="7087"/>
      <c r="O1038" s="7110" t="s">
        <v>1800</v>
      </c>
      <c r="P1038" s="7111"/>
      <c r="Q1038" s="7112"/>
      <c r="R1038" s="7113" t="str">
        <f>IMAGE("https://raw.githubusercontent.com/msikma/pokesprite/master/items/z-crystals/poisonium-z--held.png",3)</f>
        <v/>
      </c>
      <c r="S1038" s="7087"/>
      <c r="T1038" s="7110" t="s">
        <v>1519</v>
      </c>
      <c r="U1038" s="7111"/>
      <c r="V1038" s="7112"/>
      <c r="W1038" s="7113" t="str">
        <f>IMAGE("https://raw.githubusercontent.com/msikma/pokesprite/master/items/gem/flying.png",3)</f>
        <v/>
      </c>
      <c r="X1038" s="7087"/>
      <c r="Y1038" s="7110" t="s">
        <v>848</v>
      </c>
      <c r="Z1038" s="7111"/>
      <c r="AA1038" s="7112"/>
      <c r="AB1038" s="7113" t="str">
        <f>IMAGE("https://raw.githubusercontent.com/msikma/pokesprite/master/items/berry/rindo.png",3)</f>
        <v/>
      </c>
      <c r="AC1038" s="7076"/>
      <c r="AD1038" s="7077"/>
      <c r="AE1038" s="7078"/>
      <c r="AF1038" s="7078"/>
      <c r="AG1038" s="7079"/>
      <c r="AH1038" s="7080"/>
      <c r="AI1038" s="6129"/>
    </row>
    <row r="1039" ht="20.25" customHeight="1">
      <c r="A1039" s="6125"/>
      <c r="B1039" s="7071"/>
      <c r="C1039" s="7107"/>
      <c r="D1039" s="7077"/>
      <c r="E1039" s="7104" t="s">
        <v>923</v>
      </c>
      <c r="F1039" s="7105"/>
      <c r="G1039" s="7115"/>
      <c r="H1039" s="7116" t="str">
        <f>IMAGE("https://raw.githubusercontent.com/msikma/pokesprite/master/misc/types/gen8/ground.png",4,20,20)</f>
        <v/>
      </c>
      <c r="I1039" s="7087"/>
      <c r="J1039" s="7114" t="s">
        <v>396</v>
      </c>
      <c r="K1039" s="7105"/>
      <c r="L1039" s="7115"/>
      <c r="M1039" s="7116" t="str">
        <f>IMAGE("https://raw.githubusercontent.com/msikma/pokesprite/master/misc/types/gen8/dragon.png",4,20,20)</f>
        <v/>
      </c>
      <c r="N1039" s="7087"/>
      <c r="O1039" s="7114" t="s">
        <v>277</v>
      </c>
      <c r="P1039" s="7105"/>
      <c r="Q1039" s="7115"/>
      <c r="R1039" s="7116" t="str">
        <f>IMAGE("https://raw.githubusercontent.com/msikma/pokesprite/master/misc/types/gen8/electric.png",4,20,20)</f>
        <v/>
      </c>
      <c r="S1039" s="7087"/>
      <c r="T1039" s="7114" t="s">
        <v>338</v>
      </c>
      <c r="U1039" s="7105"/>
      <c r="V1039" s="7115"/>
      <c r="W1039" s="7116" t="str">
        <f>IMAGE("https://raw.githubusercontent.com/msikma/pokesprite/master/misc/types/gen8/water.png",4,20,20)</f>
        <v/>
      </c>
      <c r="X1039" s="7087"/>
      <c r="Y1039" s="7114" t="s">
        <v>396</v>
      </c>
      <c r="Z1039" s="7105"/>
      <c r="AA1039" s="7115"/>
      <c r="AB1039" s="7116" t="str">
        <f>IMAGE("https://raw.githubusercontent.com/msikma/pokesprite/master/misc/types/gen8/dragon.png",4,20,20)</f>
        <v/>
      </c>
      <c r="AC1039" s="7076"/>
      <c r="AD1039" s="7077"/>
      <c r="AE1039" s="7078"/>
      <c r="AF1039" s="7078"/>
      <c r="AG1039" s="7079"/>
      <c r="AH1039" s="7080"/>
      <c r="AI1039" s="6129"/>
    </row>
    <row r="1040" ht="20.25" customHeight="1">
      <c r="A1040" s="6125"/>
      <c r="B1040" s="7071"/>
      <c r="C1040" s="7117"/>
      <c r="D1040" s="7077"/>
      <c r="E1040" s="7108" t="s">
        <v>318</v>
      </c>
      <c r="F1040" s="7078"/>
      <c r="G1040" s="7079"/>
      <c r="H1040" s="7118" t="str">
        <f>IMAGE("https://raw.githubusercontent.com/msikma/pokesprite/master/misc/types/gen8/ghost.png",4,20,20)</f>
        <v/>
      </c>
      <c r="I1040" s="7087"/>
      <c r="J1040" s="7108" t="s">
        <v>1285</v>
      </c>
      <c r="K1040" s="7078"/>
      <c r="L1040" s="7079"/>
      <c r="M1040" s="7118" t="str">
        <f>IMAGE("https://raw.githubusercontent.com/msikma/pokesprite/master/misc/types/gen8/water.png",4,20,20)</f>
        <v/>
      </c>
      <c r="N1040" s="7087"/>
      <c r="O1040" s="7108" t="s">
        <v>405</v>
      </c>
      <c r="P1040" s="7078"/>
      <c r="Q1040" s="7079"/>
      <c r="R1040" s="7118" t="str">
        <f>IMAGE("https://raw.githubusercontent.com/msikma/pokesprite/master/misc/types/gen8/poison.png",4,20,20)</f>
        <v/>
      </c>
      <c r="S1040" s="7087"/>
      <c r="T1040" s="7108" t="s">
        <v>461</v>
      </c>
      <c r="U1040" s="7078"/>
      <c r="V1040" s="7079"/>
      <c r="W1040" s="7118" t="str">
        <f>IMAGE("https://raw.githubusercontent.com/msikma/pokesprite/master/misc/types/gen8/flying.png",4,20,20)</f>
        <v/>
      </c>
      <c r="X1040" s="7087"/>
      <c r="Y1040" s="7108" t="s">
        <v>459</v>
      </c>
      <c r="Z1040" s="7078"/>
      <c r="AA1040" s="7079"/>
      <c r="AB1040" s="7118" t="str">
        <f>IMAGE("https://raw.githubusercontent.com/msikma/pokesprite/master/misc/types/gen8/water.png",4,20,20)</f>
        <v/>
      </c>
      <c r="AC1040" s="7076"/>
      <c r="AD1040" s="7077"/>
      <c r="AE1040" s="7078"/>
      <c r="AF1040" s="7078"/>
      <c r="AG1040" s="7079"/>
      <c r="AH1040" s="7080"/>
      <c r="AI1040" s="6129"/>
    </row>
    <row r="1041" ht="20.25" customHeight="1">
      <c r="A1041" s="6125"/>
      <c r="B1041" s="7071"/>
      <c r="C1041" s="7119"/>
      <c r="D1041" s="7077"/>
      <c r="E1041" s="7108" t="s">
        <v>1801</v>
      </c>
      <c r="F1041" s="7078"/>
      <c r="G1041" s="7079"/>
      <c r="H1041" s="7118" t="str">
        <f>IMAGE("https://raw.githubusercontent.com/msikma/pokesprite/master/misc/types/gen8/ground.png",4,20,20)</f>
        <v/>
      </c>
      <c r="I1041" s="7087"/>
      <c r="J1041" s="7108" t="s">
        <v>279</v>
      </c>
      <c r="K1041" s="7078"/>
      <c r="L1041" s="7079"/>
      <c r="M1041" s="7118" t="str">
        <f>IMAGE("https://raw.githubusercontent.com/msikma/pokesprite/master/misc/types/gen8/dark.png",4,20,20)</f>
        <v/>
      </c>
      <c r="N1041" s="7087"/>
      <c r="O1041" s="7108" t="s">
        <v>317</v>
      </c>
      <c r="P1041" s="7078"/>
      <c r="Q1041" s="7079"/>
      <c r="R1041" s="7118" t="str">
        <f>IMAGE("https://raw.githubusercontent.com/msikma/pokesprite/master/misc/types/gen8/ice.png",4,20,20)</f>
        <v/>
      </c>
      <c r="S1041" s="7087"/>
      <c r="T1041" s="7108" t="s">
        <v>1097</v>
      </c>
      <c r="U1041" s="7078"/>
      <c r="V1041" s="7079"/>
      <c r="W1041" s="7118" t="str">
        <f>IMAGE("https://raw.githubusercontent.com/msikma/pokesprite/master/misc/types/gen8/ice.png",4,20,20)</f>
        <v/>
      </c>
      <c r="X1041" s="7087"/>
      <c r="Y1041" s="7108" t="s">
        <v>402</v>
      </c>
      <c r="Z1041" s="7078"/>
      <c r="AA1041" s="7079"/>
      <c r="AB1041" s="7118" t="str">
        <f>IMAGE("https://raw.githubusercontent.com/msikma/pokesprite/master/misc/types/gen8/ground.png",4,20,20)</f>
        <v/>
      </c>
      <c r="AC1041" s="7076"/>
      <c r="AD1041" s="7077"/>
      <c r="AE1041" s="7078"/>
      <c r="AF1041" s="7078"/>
      <c r="AG1041" s="7079"/>
      <c r="AH1041" s="7080"/>
      <c r="AI1041" s="6129"/>
    </row>
    <row r="1042" ht="21.0" customHeight="1">
      <c r="A1042" s="6125"/>
      <c r="B1042" s="7071"/>
      <c r="C1042" s="7119"/>
      <c r="D1042" s="7077"/>
      <c r="E1042" s="7120" t="s">
        <v>395</v>
      </c>
      <c r="F1042" s="7121"/>
      <c r="G1042" s="7122"/>
      <c r="H1042" s="7123" t="str">
        <f>IMAGE("https://raw.githubusercontent.com/msikma/pokesprite/master/misc/types/gen8/rock.png",4,20,20)</f>
        <v/>
      </c>
      <c r="I1042" s="7087"/>
      <c r="J1042" s="7120" t="s">
        <v>316</v>
      </c>
      <c r="K1042" s="7121"/>
      <c r="L1042" s="7122"/>
      <c r="M1042" s="7123" t="str">
        <f>IMAGE("https://raw.githubusercontent.com/msikma/pokesprite/master/misc/types/gen8/fighting.png",4,20,20)</f>
        <v/>
      </c>
      <c r="N1042" s="7087"/>
      <c r="O1042" s="7120" t="s">
        <v>246</v>
      </c>
      <c r="P1042" s="7121"/>
      <c r="Q1042" s="7122"/>
      <c r="R1042" s="7123" t="str">
        <f>IMAGE("https://raw.githubusercontent.com/msikma/pokesprite/master/misc/types/gen8/water.png",4,20,20)</f>
        <v/>
      </c>
      <c r="S1042" s="7087"/>
      <c r="T1042" s="7120" t="s">
        <v>735</v>
      </c>
      <c r="U1042" s="7121"/>
      <c r="V1042" s="7122"/>
      <c r="W1042" s="7123" t="str">
        <f>IMAGE("https://raw.githubusercontent.com/msikma/pokesprite/master/misc/types/gen8/water.png",4,20,20)</f>
        <v/>
      </c>
      <c r="X1042" s="7087"/>
      <c r="Y1042" s="7120" t="s">
        <v>562</v>
      </c>
      <c r="Z1042" s="7121"/>
      <c r="AA1042" s="7122"/>
      <c r="AB1042" s="7123" t="str">
        <f>IMAGE("https://raw.githubusercontent.com/msikma/pokesprite/master/misc/types/gen8/psychic.png",4,20,20)</f>
        <v/>
      </c>
      <c r="AC1042" s="7076"/>
      <c r="AD1042" s="7077"/>
      <c r="AE1042" s="7078"/>
      <c r="AF1042" s="7078"/>
      <c r="AG1042" s="7079"/>
      <c r="AH1042" s="7080"/>
      <c r="AI1042" s="6129"/>
    </row>
    <row r="1043" ht="3.0" customHeight="1">
      <c r="A1043" s="6185"/>
      <c r="B1043" s="7124"/>
      <c r="C1043" s="7119"/>
      <c r="D1043" s="7125"/>
      <c r="E1043" s="7186"/>
      <c r="F1043" s="7186"/>
      <c r="G1043" s="7186"/>
      <c r="H1043" s="7126"/>
      <c r="I1043" s="7125"/>
      <c r="J1043" s="7186"/>
      <c r="K1043" s="7186"/>
      <c r="L1043" s="7186"/>
      <c r="M1043" s="7126"/>
      <c r="N1043" s="7125"/>
      <c r="O1043" s="7186"/>
      <c r="P1043" s="7186"/>
      <c r="Q1043" s="7186"/>
      <c r="R1043" s="7126"/>
      <c r="S1043" s="7125"/>
      <c r="T1043" s="7186"/>
      <c r="U1043" s="7186"/>
      <c r="V1043" s="7186"/>
      <c r="W1043" s="7126"/>
      <c r="X1043" s="7125"/>
      <c r="Y1043" s="7187"/>
      <c r="Z1043" s="7187"/>
      <c r="AA1043" s="7187"/>
      <c r="AB1043" s="7129"/>
      <c r="AC1043" s="7129"/>
      <c r="AD1043" s="7129"/>
      <c r="AE1043" s="7129"/>
      <c r="AF1043" s="7129"/>
      <c r="AG1043" s="7117"/>
      <c r="AH1043" s="7130"/>
      <c r="AI1043" s="6192"/>
    </row>
    <row r="1044" ht="16.5" customHeight="1">
      <c r="A1044" s="6185"/>
      <c r="B1044" s="7131"/>
      <c r="C1044" s="7117"/>
      <c r="D1044" s="7135"/>
      <c r="E1044" s="7133" t="s">
        <v>190</v>
      </c>
      <c r="F1044" s="381"/>
      <c r="G1044" s="382"/>
      <c r="H1044" s="7134" t="s">
        <v>191</v>
      </c>
      <c r="I1044" s="7135"/>
      <c r="J1044" s="7133" t="s">
        <v>190</v>
      </c>
      <c r="K1044" s="381"/>
      <c r="L1044" s="382"/>
      <c r="M1044" s="7134" t="s">
        <v>191</v>
      </c>
      <c r="N1044" s="7135"/>
      <c r="O1044" s="7133" t="s">
        <v>190</v>
      </c>
      <c r="P1044" s="381"/>
      <c r="Q1044" s="382"/>
      <c r="R1044" s="7134" t="s">
        <v>191</v>
      </c>
      <c r="S1044" s="7136"/>
      <c r="T1044" s="7133" t="s">
        <v>190</v>
      </c>
      <c r="U1044" s="381"/>
      <c r="V1044" s="382"/>
      <c r="W1044" s="7134" t="s">
        <v>191</v>
      </c>
      <c r="X1044" s="7136"/>
      <c r="Y1044" s="7133" t="s">
        <v>190</v>
      </c>
      <c r="Z1044" s="381"/>
      <c r="AA1044" s="382"/>
      <c r="AB1044" s="7134" t="s">
        <v>191</v>
      </c>
      <c r="AC1044" s="7137"/>
      <c r="AD1044" s="7117"/>
      <c r="AE1044" s="7117"/>
      <c r="AF1044" s="7117"/>
      <c r="AG1044" s="7117"/>
      <c r="AH1044" s="7138"/>
      <c r="AI1044" s="6192"/>
    </row>
    <row r="1045" ht="16.5" customHeight="1">
      <c r="A1045" s="6185"/>
      <c r="B1045" s="7131"/>
      <c r="C1045" s="7117"/>
      <c r="D1045" s="7132"/>
      <c r="E1045" s="7139" t="s">
        <v>192</v>
      </c>
      <c r="F1045" s="7140">
        <f t="array" ref="F1045">IFERROR(VLOOKUP(E1032,Dex!$B$3:$N1218,8,FALSE),"")</f>
        <v>85</v>
      </c>
      <c r="G1045" s="7141" t="str">
        <f t="array" ref="G1045">IFERROR(VLOOKUP(F1045,Dex!$P$22:$Q$276,2,FALSE),"")</f>
        <v/>
      </c>
      <c r="H1045" s="7142">
        <v>248.0</v>
      </c>
      <c r="I1045" s="7132"/>
      <c r="J1045" s="7139" t="s">
        <v>192</v>
      </c>
      <c r="K1045" s="7140">
        <f t="array" ref="K1045">IFERROR(VLOOKUP(J1032,Dex!$B$3:$N1218,8,FALSE),"")</f>
        <v>63</v>
      </c>
      <c r="L1045" s="7141" t="str">
        <f t="array" ref="L1045">IFERROR(VLOOKUP(K1045,Dex!$P$22:$Q$276,2,FALSE),"")</f>
        <v/>
      </c>
      <c r="M1045" s="7142"/>
      <c r="N1045" s="7132"/>
      <c r="O1045" s="7139" t="s">
        <v>192</v>
      </c>
      <c r="P1045" s="7140">
        <f t="array" ref="P1045">IFERROR(VLOOKUP(O1032,Dex!$B$3:$N1218,8,FALSE),"")</f>
        <v>80</v>
      </c>
      <c r="Q1045" s="7141" t="str">
        <f t="array" ref="Q1045">IFERROR(VLOOKUP(P1045,Dex!$P$22:$Q$276,2,FALSE),"")</f>
        <v/>
      </c>
      <c r="R1045" s="7142"/>
      <c r="S1045" s="7137"/>
      <c r="T1045" s="7139" t="s">
        <v>192</v>
      </c>
      <c r="U1045" s="7140">
        <f t="array" ref="U1045">IFERROR(VLOOKUP(T1032,Dex!$B$3:$N1218,8,FALSE),"")</f>
        <v>75</v>
      </c>
      <c r="V1045" s="7141" t="str">
        <f t="array" ref="V1045">IFERROR(VLOOKUP(U1045,Dex!$P$22:$Q$276,2,FALSE),"")</f>
        <v/>
      </c>
      <c r="W1045" s="7142"/>
      <c r="X1045" s="7137"/>
      <c r="Y1045" s="7139" t="s">
        <v>192</v>
      </c>
      <c r="Z1045" s="7140">
        <f t="array" ref="Z1045">IFERROR(VLOOKUP(Y1032,Dex!$B$3:$N1218,8,FALSE),"")</f>
        <v>110</v>
      </c>
      <c r="AA1045" s="7141" t="str">
        <f t="array" ref="AA1045">IFERROR(VLOOKUP(Z1045,Dex!$P$22:$Q$276,2,FALSE),"")</f>
        <v/>
      </c>
      <c r="AB1045" s="7142"/>
      <c r="AC1045" s="7137"/>
      <c r="AD1045" s="7117"/>
      <c r="AE1045" s="7117"/>
      <c r="AF1045" s="7117"/>
      <c r="AG1045" s="7117"/>
      <c r="AH1045" s="7138"/>
      <c r="AI1045" s="6192"/>
    </row>
    <row r="1046" ht="16.5" customHeight="1">
      <c r="A1046" s="6185"/>
      <c r="B1046" s="7131"/>
      <c r="C1046" s="7117"/>
      <c r="D1046" s="7132"/>
      <c r="E1046" s="7143" t="s">
        <v>193</v>
      </c>
      <c r="F1046" s="7144">
        <f t="array" ref="F1046">IFERROR(VLOOKUP(E1032,Dex!$B$3:$N1218,9,FALSE),"")</f>
        <v>75</v>
      </c>
      <c r="G1046" s="7145" t="str">
        <f t="array" ref="G1046">IFERROR(VLOOKUP(F1046,Dex!$P$22:$Q$276,2,FALSE),"")</f>
        <v/>
      </c>
      <c r="H1046" s="7146"/>
      <c r="I1046" s="7132"/>
      <c r="J1046" s="7143" t="s">
        <v>193</v>
      </c>
      <c r="K1046" s="7144">
        <f t="array" ref="K1046">IFERROR(VLOOKUP(J1032,Dex!$B$3:$N1218,9,FALSE),"")</f>
        <v>120</v>
      </c>
      <c r="L1046" s="7145" t="str">
        <f t="array" ref="L1046">IFERROR(VLOOKUP(K1046,Dex!$P$22:$Q$276,2,FALSE),"")</f>
        <v/>
      </c>
      <c r="M1046" s="7146">
        <v>252.0</v>
      </c>
      <c r="N1046" s="7132"/>
      <c r="O1046" s="7143" t="s">
        <v>193</v>
      </c>
      <c r="P1046" s="7144">
        <f t="array" ref="P1046">IFERROR(VLOOKUP(O1032,Dex!$B$3:$N1218,9,FALSE),"")</f>
        <v>30</v>
      </c>
      <c r="Q1046" s="7145" t="str">
        <f t="array" ref="Q1046">IFERROR(VLOOKUP(P1046,Dex!$P$22:$Q$276,2,FALSE),"")</f>
        <v/>
      </c>
      <c r="R1046" s="7146"/>
      <c r="S1046" s="7137"/>
      <c r="T1046" s="7143" t="s">
        <v>193</v>
      </c>
      <c r="U1046" s="7144">
        <f t="array" ref="U1046">IFERROR(VLOOKUP(T1032,Dex!$B$3:$N1218,9,FALSE),"")</f>
        <v>77</v>
      </c>
      <c r="V1046" s="7145" t="str">
        <f t="array" ref="V1046">IFERROR(VLOOKUP(U1046,Dex!$P$22:$Q$276,2,FALSE),"")</f>
        <v/>
      </c>
      <c r="W1046" s="7146"/>
      <c r="X1046" s="7137"/>
      <c r="Y1046" s="7143" t="s">
        <v>193</v>
      </c>
      <c r="Z1046" s="7144">
        <f t="array" ref="Z1046">IFERROR(VLOOKUP(Y1032,Dex!$B$3:$N1218,9,FALSE),"")</f>
        <v>78</v>
      </c>
      <c r="AA1046" s="7145" t="str">
        <f t="array" ref="AA1046">IFERROR(VLOOKUP(Z1046,Dex!$P$22:$Q$276,2,FALSE),"")</f>
        <v/>
      </c>
      <c r="AB1046" s="7146">
        <v>252.0</v>
      </c>
      <c r="AC1046" s="7137"/>
      <c r="AD1046" s="7117"/>
      <c r="AE1046" s="7117"/>
      <c r="AF1046" s="7117"/>
      <c r="AG1046" s="7117"/>
      <c r="AH1046" s="7138"/>
      <c r="AI1046" s="6192"/>
    </row>
    <row r="1047" ht="16.5" customHeight="1">
      <c r="A1047" s="6185"/>
      <c r="B1047" s="7131"/>
      <c r="C1047" s="7117"/>
      <c r="D1047" s="7132"/>
      <c r="E1047" s="7143" t="s">
        <v>194</v>
      </c>
      <c r="F1047" s="7144">
        <f t="array" ref="F1047">IFERROR(VLOOKUP(E1032,Dex!$B$3:$N1218,10,FALSE),"")</f>
        <v>110</v>
      </c>
      <c r="G1047" s="7145" t="str">
        <f t="array" ref="G1047">IFERROR(VLOOKUP(F1047,Dex!$P$22:$Q$276,2,FALSE),"")</f>
        <v/>
      </c>
      <c r="H1047" s="7146">
        <v>252.0</v>
      </c>
      <c r="I1047" s="7132"/>
      <c r="J1047" s="7143" t="s">
        <v>194</v>
      </c>
      <c r="K1047" s="7144">
        <f t="array" ref="K1047">IFERROR(VLOOKUP(J1032,Dex!$B$3:$N1218,10,FALSE),"")</f>
        <v>85</v>
      </c>
      <c r="L1047" s="7145" t="str">
        <f t="array" ref="L1047">IFERROR(VLOOKUP(K1047,Dex!$P$22:$Q$276,2,FALSE),"")</f>
        <v/>
      </c>
      <c r="M1047" s="7146"/>
      <c r="N1047" s="7132"/>
      <c r="O1047" s="7143" t="s">
        <v>194</v>
      </c>
      <c r="P1047" s="7144">
        <f t="array" ref="P1047">IFERROR(VLOOKUP(O1032,Dex!$B$3:$N1218,10,FALSE),"")</f>
        <v>70</v>
      </c>
      <c r="Q1047" s="7145" t="str">
        <f t="array" ref="Q1047">IFERROR(VLOOKUP(P1047,Dex!$P$22:$Q$276,2,FALSE),"")</f>
        <v/>
      </c>
      <c r="R1047" s="7146"/>
      <c r="S1047" s="7137"/>
      <c r="T1047" s="7143" t="s">
        <v>194</v>
      </c>
      <c r="U1047" s="7144">
        <f t="array" ref="U1047">IFERROR(VLOOKUP(T1032,Dex!$B$3:$N1218,10,FALSE),"")</f>
        <v>63</v>
      </c>
      <c r="V1047" s="7145" t="str">
        <f t="array" ref="V1047">IFERROR(VLOOKUP(U1047,Dex!$P$22:$Q$276,2,FALSE),"")</f>
        <v/>
      </c>
      <c r="W1047" s="7146">
        <v>4.0</v>
      </c>
      <c r="X1047" s="7137"/>
      <c r="Y1047" s="7143" t="s">
        <v>194</v>
      </c>
      <c r="Z1047" s="7144">
        <f t="array" ref="Z1047">IFERROR(VLOOKUP(Y1032,Dex!$B$3:$N1218,10,FALSE),"")</f>
        <v>73</v>
      </c>
      <c r="AA1047" s="7145" t="str">
        <f t="array" ref="AA1047">IFERROR(VLOOKUP(Z1047,Dex!$P$22:$Q$276,2,FALSE),"")</f>
        <v/>
      </c>
      <c r="AB1047" s="7146"/>
      <c r="AC1047" s="7137"/>
      <c r="AD1047" s="7117"/>
      <c r="AE1047" s="7117"/>
      <c r="AF1047" s="7117"/>
      <c r="AG1047" s="7117"/>
      <c r="AH1047" s="7138"/>
      <c r="AI1047" s="6192"/>
    </row>
    <row r="1048" ht="16.5" customHeight="1">
      <c r="A1048" s="6185"/>
      <c r="B1048" s="7131"/>
      <c r="C1048" s="7117"/>
      <c r="D1048" s="7132"/>
      <c r="E1048" s="7143" t="s">
        <v>195</v>
      </c>
      <c r="F1048" s="7144">
        <f t="array" ref="F1048">IFERROR(VLOOKUP(E1032,Dex!$B$3:$N1218,11,FALSE),"")</f>
        <v>100</v>
      </c>
      <c r="G1048" s="7145" t="str">
        <f t="array" ref="G1048">IFERROR(VLOOKUP(F1048,Dex!$P$22:$Q$276,2,FALSE),"")</f>
        <v/>
      </c>
      <c r="H1048" s="7146">
        <v>8.0</v>
      </c>
      <c r="I1048" s="7132"/>
      <c r="J1048" s="7143" t="s">
        <v>195</v>
      </c>
      <c r="K1048" s="7144">
        <f t="array" ref="K1048">IFERROR(VLOOKUP(J1032,Dex!$B$3:$N1218,11,FALSE),"")</f>
        <v>90</v>
      </c>
      <c r="L1048" s="7145" t="str">
        <f t="array" ref="L1048">IFERROR(VLOOKUP(K1048,Dex!$P$22:$Q$276,2,FALSE),"")</f>
        <v/>
      </c>
      <c r="M1048" s="7146"/>
      <c r="N1048" s="7132"/>
      <c r="O1048" s="7143" t="s">
        <v>195</v>
      </c>
      <c r="P1048" s="7144">
        <f t="array" ref="P1048">IFERROR(VLOOKUP(O1032,Dex!$B$3:$N1218,11,FALSE),"")</f>
        <v>100</v>
      </c>
      <c r="Q1048" s="7145" t="str">
        <f t="array" ref="Q1048">IFERROR(VLOOKUP(P1048,Dex!$P$22:$Q$276,2,FALSE),"")</f>
        <v/>
      </c>
      <c r="R1048" s="7146">
        <v>252.0</v>
      </c>
      <c r="S1048" s="7137"/>
      <c r="T1048" s="7143" t="s">
        <v>195</v>
      </c>
      <c r="U1048" s="7144">
        <f t="array" ref="U1048">IFERROR(VLOOKUP(T1032,Dex!$B$3:$N1218,11,FALSE),"")</f>
        <v>97</v>
      </c>
      <c r="V1048" s="7145" t="str">
        <f t="array" ref="V1048">IFERROR(VLOOKUP(U1048,Dex!$P$22:$Q$276,2,FALSE),"")</f>
        <v/>
      </c>
      <c r="W1048" s="7146">
        <v>252.0</v>
      </c>
      <c r="X1048" s="7137"/>
      <c r="Y1048" s="7143" t="s">
        <v>195</v>
      </c>
      <c r="Z1048" s="7144">
        <f t="array" ref="Z1048">IFERROR(VLOOKUP(Y1032,Dex!$B$3:$N1218,11,FALSE),"")</f>
        <v>76</v>
      </c>
      <c r="AA1048" s="7145" t="str">
        <f t="array" ref="AA1048">IFERROR(VLOOKUP(Z1048,Dex!$P$22:$Q$276,2,FALSE),"")</f>
        <v/>
      </c>
      <c r="AB1048" s="7146"/>
      <c r="AC1048" s="7137"/>
      <c r="AD1048" s="7117"/>
      <c r="AE1048" s="7117"/>
      <c r="AF1048" s="7117"/>
      <c r="AG1048" s="7117"/>
      <c r="AH1048" s="7138"/>
      <c r="AI1048" s="6192"/>
    </row>
    <row r="1049" ht="16.5" customHeight="1">
      <c r="A1049" s="6185"/>
      <c r="B1049" s="7131"/>
      <c r="C1049" s="7117"/>
      <c r="D1049" s="7132"/>
      <c r="E1049" s="7143" t="s">
        <v>196</v>
      </c>
      <c r="F1049" s="7144">
        <f t="array" ref="F1049">IFERROR(VLOOKUP(E1032,Dex!$B$3:$N1218,12,FALSE),"")</f>
        <v>75</v>
      </c>
      <c r="G1049" s="7145" t="str">
        <f t="array" ref="G1049">IFERROR(VLOOKUP(F1049,Dex!$P$22:$Q$276,2,FALSE),"")</f>
        <v/>
      </c>
      <c r="H1049" s="7146"/>
      <c r="I1049" s="7132"/>
      <c r="J1049" s="7143" t="s">
        <v>196</v>
      </c>
      <c r="K1049" s="7144">
        <f t="array" ref="K1049">IFERROR(VLOOKUP(J1032,Dex!$B$3:$N1218,12,FALSE),"")</f>
        <v>55</v>
      </c>
      <c r="L1049" s="7145" t="str">
        <f t="array" ref="L1049">IFERROR(VLOOKUP(K1049,Dex!$P$22:$Q$276,2,FALSE),"")</f>
        <v/>
      </c>
      <c r="M1049" s="7146">
        <v>4.0</v>
      </c>
      <c r="N1049" s="7132"/>
      <c r="O1049" s="7143" t="s">
        <v>196</v>
      </c>
      <c r="P1049" s="7144">
        <f t="array" ref="P1049">IFERROR(VLOOKUP(O1032,Dex!$B$3:$N1218,12,FALSE),"")</f>
        <v>120</v>
      </c>
      <c r="Q1049" s="7145" t="str">
        <f t="array" ref="Q1049">IFERROR(VLOOKUP(P1049,Dex!$P$22:$Q$276,2,FALSE),"")</f>
        <v/>
      </c>
      <c r="R1049" s="7146">
        <v>4.0</v>
      </c>
      <c r="S1049" s="7137"/>
      <c r="T1049" s="7143" t="s">
        <v>196</v>
      </c>
      <c r="U1049" s="7144">
        <f t="array" ref="U1049">IFERROR(VLOOKUP(T1032,Dex!$B$3:$N1218,12,FALSE),"")</f>
        <v>63</v>
      </c>
      <c r="V1049" s="7145" t="str">
        <f t="array" ref="V1049">IFERROR(VLOOKUP(U1049,Dex!$P$22:$Q$276,2,FALSE),"")</f>
        <v/>
      </c>
      <c r="W1049" s="7146"/>
      <c r="X1049" s="7137"/>
      <c r="Y1049" s="7143" t="s">
        <v>196</v>
      </c>
      <c r="Z1049" s="7144">
        <f t="array" ref="Z1049">IFERROR(VLOOKUP(Y1032,Dex!$B$3:$N1218,12,FALSE),"")</f>
        <v>71</v>
      </c>
      <c r="AA1049" s="7145" t="str">
        <f t="array" ref="AA1049">IFERROR(VLOOKUP(Z1049,Dex!$P$22:$Q$276,2,FALSE),"")</f>
        <v/>
      </c>
      <c r="AB1049" s="7146">
        <v>4.0</v>
      </c>
      <c r="AC1049" s="7137"/>
      <c r="AD1049" s="7117"/>
      <c r="AE1049" s="7117"/>
      <c r="AF1049" s="7117"/>
      <c r="AG1049" s="7117"/>
      <c r="AH1049" s="7138"/>
      <c r="AI1049" s="6192"/>
    </row>
    <row r="1050" ht="16.5" customHeight="1">
      <c r="A1050" s="6185"/>
      <c r="B1050" s="7131"/>
      <c r="C1050" s="7117"/>
      <c r="D1050" s="7132"/>
      <c r="E1050" s="7147" t="s">
        <v>197</v>
      </c>
      <c r="F1050" s="7148">
        <f t="array" ref="F1050">IFERROR(VLOOKUP(E1032,Dex!$B$3:$N1218,13,FALSE),"")</f>
        <v>35</v>
      </c>
      <c r="G1050" s="7149" t="str">
        <f t="array" ref="G1050">IFERROR(VLOOKUP(F1050,Dex!$P$22:$Q$276,2,FALSE),"")</f>
        <v/>
      </c>
      <c r="H1050" s="7150"/>
      <c r="I1050" s="7132"/>
      <c r="J1050" s="7147" t="s">
        <v>197</v>
      </c>
      <c r="K1050" s="7148">
        <f t="array" ref="K1050">IFERROR(VLOOKUP(J1032,Dex!$B$3:$N1218,13,FALSE),"")</f>
        <v>55</v>
      </c>
      <c r="L1050" s="7149" t="str">
        <f t="array" ref="L1050">IFERROR(VLOOKUP(K1050,Dex!$P$22:$Q$276,2,FALSE),"")</f>
        <v/>
      </c>
      <c r="M1050" s="7150">
        <v>252.0</v>
      </c>
      <c r="N1050" s="7132"/>
      <c r="O1050" s="7147" t="s">
        <v>197</v>
      </c>
      <c r="P1050" s="7148">
        <f t="array" ref="P1050">IFERROR(VLOOKUP(O1032,Dex!$B$3:$N1218,13,FALSE),"")</f>
        <v>95</v>
      </c>
      <c r="Q1050" s="7149" t="str">
        <f t="array" ref="Q1050">IFERROR(VLOOKUP(P1050,Dex!$P$22:$Q$276,2,FALSE),"")</f>
        <v/>
      </c>
      <c r="R1050" s="7150">
        <v>252.0</v>
      </c>
      <c r="S1050" s="7137"/>
      <c r="T1050" s="7147" t="s">
        <v>197</v>
      </c>
      <c r="U1050" s="7148">
        <f t="array" ref="U1050">IFERROR(VLOOKUP(T1032,Dex!$B$3:$N1218,13,FALSE),"")</f>
        <v>108</v>
      </c>
      <c r="V1050" s="7149" t="str">
        <f t="array" ref="V1050">IFERROR(VLOOKUP(U1050,Dex!$P$22:$Q$276,2,FALSE),"")</f>
        <v/>
      </c>
      <c r="W1050" s="7150">
        <v>252.0</v>
      </c>
      <c r="X1050" s="7137"/>
      <c r="Y1050" s="7147" t="s">
        <v>197</v>
      </c>
      <c r="Z1050" s="7148">
        <f t="array" ref="Z1050">IFERROR(VLOOKUP(Y1032,Dex!$B$3:$N1218,13,FALSE),"")</f>
        <v>60</v>
      </c>
      <c r="AA1050" s="7149" t="str">
        <f t="array" ref="AA1050">IFERROR(VLOOKUP(Z1050,Dex!$P$22:$Q$276,2,FALSE),"")</f>
        <v/>
      </c>
      <c r="AB1050" s="7150">
        <v>252.0</v>
      </c>
      <c r="AC1050" s="7137"/>
      <c r="AD1050" s="7117"/>
      <c r="AE1050" s="7117"/>
      <c r="AF1050" s="7117"/>
      <c r="AG1050" s="7117"/>
      <c r="AH1050" s="7138"/>
      <c r="AI1050" s="6192"/>
    </row>
    <row r="1051" ht="16.5" customHeight="1">
      <c r="A1051" s="6185"/>
      <c r="B1051" s="7131"/>
      <c r="C1051" s="7117"/>
      <c r="D1051" s="7135"/>
      <c r="E1051" s="7153" t="s">
        <v>198</v>
      </c>
      <c r="F1051" s="405"/>
      <c r="G1051" s="406"/>
      <c r="H1051" s="7154">
        <v>106.0</v>
      </c>
      <c r="I1051" s="7135"/>
      <c r="J1051" s="7153" t="s">
        <v>198</v>
      </c>
      <c r="K1051" s="405"/>
      <c r="L1051" s="406"/>
      <c r="M1051" s="7154">
        <v>229.0</v>
      </c>
      <c r="N1051" s="7135"/>
      <c r="O1051" s="7153" t="s">
        <v>198</v>
      </c>
      <c r="P1051" s="405"/>
      <c r="Q1051" s="406"/>
      <c r="R1051" s="7154">
        <v>317.0</v>
      </c>
      <c r="S1051" s="7136"/>
      <c r="T1051" s="7153" t="s">
        <v>198</v>
      </c>
      <c r="U1051" s="405"/>
      <c r="V1051" s="406"/>
      <c r="W1051" s="7154">
        <v>346.0</v>
      </c>
      <c r="X1051" s="7136"/>
      <c r="Y1051" s="7153" t="s">
        <v>198</v>
      </c>
      <c r="Z1051" s="405"/>
      <c r="AA1051" s="406"/>
      <c r="AB1051" s="7154">
        <v>240.0</v>
      </c>
      <c r="AC1051" s="7137"/>
      <c r="AD1051" s="7117"/>
      <c r="AE1051" s="7117"/>
      <c r="AF1051" s="7117"/>
      <c r="AG1051" s="7117"/>
      <c r="AH1051" s="7138"/>
      <c r="AI1051" s="6192"/>
    </row>
    <row r="1052" ht="15.0" customHeight="1">
      <c r="A1052" s="6125"/>
      <c r="B1052" s="7165"/>
      <c r="C1052" s="7166"/>
      <c r="D1052" s="7167"/>
      <c r="E1052" s="7170"/>
      <c r="F1052" s="7170"/>
      <c r="G1052" s="7170"/>
      <c r="H1052" s="7168"/>
      <c r="I1052" s="7169"/>
      <c r="J1052" s="7170"/>
      <c r="K1052" s="7170"/>
      <c r="L1052" s="7170"/>
      <c r="M1052" s="7168"/>
      <c r="N1052" s="7169"/>
      <c r="O1052" s="7170"/>
      <c r="P1052" s="7170"/>
      <c r="Q1052" s="7170"/>
      <c r="R1052" s="7168"/>
      <c r="S1052" s="7169"/>
      <c r="T1052" s="7170"/>
      <c r="U1052" s="7170"/>
      <c r="V1052" s="7170"/>
      <c r="W1052" s="7168"/>
      <c r="X1052" s="7169"/>
      <c r="Y1052" s="7170"/>
      <c r="Z1052" s="7170"/>
      <c r="AA1052" s="7170"/>
      <c r="AB1052" s="7168"/>
      <c r="AC1052" s="7167"/>
      <c r="AD1052" s="7167"/>
      <c r="AE1052" s="7167"/>
      <c r="AF1052" s="7167"/>
      <c r="AG1052" s="7167"/>
      <c r="AH1052" s="7171"/>
      <c r="AI1052" s="6129"/>
    </row>
    <row r="1053" ht="15.0" customHeight="1">
      <c r="A1053" s="6125"/>
      <c r="B1053" s="6983"/>
      <c r="C1053" s="6984"/>
      <c r="D1053" s="6985"/>
      <c r="E1053" s="7188"/>
      <c r="F1053" s="7188"/>
      <c r="G1053" s="7188"/>
      <c r="H1053" s="7188"/>
      <c r="I1053" s="6987"/>
      <c r="J1053" s="7188"/>
      <c r="K1053" s="7188"/>
      <c r="L1053" s="7188"/>
      <c r="M1053" s="7188"/>
      <c r="N1053" s="6987"/>
      <c r="O1053" s="7188"/>
      <c r="P1053" s="7188"/>
      <c r="Q1053" s="7188"/>
      <c r="R1053" s="7188"/>
      <c r="S1053" s="6987"/>
      <c r="T1053" s="7188"/>
      <c r="U1053" s="7188"/>
      <c r="V1053" s="7188"/>
      <c r="W1053" s="7188"/>
      <c r="X1053" s="6987"/>
      <c r="Y1053" s="7188"/>
      <c r="Z1053" s="7188"/>
      <c r="AA1053" s="7188"/>
      <c r="AB1053" s="7188"/>
      <c r="AC1053" s="6987"/>
      <c r="AD1053" s="7188"/>
      <c r="AE1053" s="7188"/>
      <c r="AF1053" s="7188"/>
      <c r="AG1053" s="7188"/>
      <c r="AH1053" s="6988"/>
      <c r="AI1053" s="6129"/>
    </row>
    <row r="1054" ht="96.75" customHeight="1">
      <c r="A1054" s="6125"/>
      <c r="B1054" s="6989"/>
      <c r="C1054" s="6990" t="str">
        <f>IMAGE("https://i.ibb.co/3NcSy5g/Aroma-Lady.png")</f>
        <v/>
      </c>
      <c r="D1054" s="7189"/>
      <c r="E1054" s="6992" t="str">
        <f t="array" ref="E1054">IFERROR(VLOOKUP(E1055,Dex!$B$3:$G1218,3,FALSE),"")</f>
        <v/>
      </c>
      <c r="F1054" s="1830"/>
      <c r="G1054" s="1830"/>
      <c r="H1054" s="1831"/>
      <c r="I1054" s="7190"/>
      <c r="J1054" s="6992" t="str">
        <f t="array" ref="J1054">IFERROR(VLOOKUP(J1055,Dex!$B$3:$G1218,3,FALSE),"")</f>
        <v/>
      </c>
      <c r="K1054" s="1830"/>
      <c r="L1054" s="1830"/>
      <c r="M1054" s="1831"/>
      <c r="N1054" s="7190"/>
      <c r="O1054" s="6992" t="str">
        <f t="array" ref="O1054">IFERROR(VLOOKUP(O1055,Dex!$B$3:$G1218,3,FALSE),"")</f>
        <v/>
      </c>
      <c r="P1054" s="1830"/>
      <c r="Q1054" s="1830"/>
      <c r="R1054" s="1831"/>
      <c r="S1054" s="7190"/>
      <c r="T1054" s="6992" t="str">
        <f t="array" ref="T1054">IFERROR(VLOOKUP(T1055,Dex!$B$3:$G1218,3,FALSE),"")</f>
        <v/>
      </c>
      <c r="U1054" s="1830"/>
      <c r="V1054" s="1830"/>
      <c r="W1054" s="1831"/>
      <c r="X1054" s="7190"/>
      <c r="Y1054" s="6992" t="str">
        <f t="array" ref="Y1054">IFERROR(VLOOKUP(Y1055,Dex!$B$3:$G1218,3,FALSE),"")</f>
        <v/>
      </c>
      <c r="Z1054" s="1830"/>
      <c r="AA1054" s="1830"/>
      <c r="AB1054" s="1831"/>
      <c r="AC1054" s="7191"/>
      <c r="AD1054" s="6992" t="str">
        <f t="array" ref="AD1054">IFERROR(VLOOKUP(AD1055,Dex!$B$3:$G1218,3,FALSE),"")</f>
        <v/>
      </c>
      <c r="AE1054" s="1830"/>
      <c r="AF1054" s="1830"/>
      <c r="AG1054" s="1831"/>
      <c r="AH1054" s="7192"/>
      <c r="AI1054" s="6129"/>
    </row>
    <row r="1055" ht="18.75" customHeight="1">
      <c r="A1055" s="6140"/>
      <c r="B1055" s="6998"/>
      <c r="C1055" s="6999" t="s">
        <v>1802</v>
      </c>
      <c r="D1055" s="7193"/>
      <c r="E1055" s="7001" t="s">
        <v>1803</v>
      </c>
      <c r="F1055" s="7002"/>
      <c r="G1055" s="7002"/>
      <c r="H1055" s="7003"/>
      <c r="I1055" s="7190"/>
      <c r="J1055" s="7001" t="s">
        <v>1128</v>
      </c>
      <c r="K1055" s="7002"/>
      <c r="L1055" s="7002"/>
      <c r="M1055" s="7003"/>
      <c r="N1055" s="7190"/>
      <c r="O1055" s="7001" t="s">
        <v>1804</v>
      </c>
      <c r="P1055" s="7002"/>
      <c r="Q1055" s="7002"/>
      <c r="R1055" s="7003"/>
      <c r="S1055" s="7190"/>
      <c r="T1055" s="7001" t="s">
        <v>1719</v>
      </c>
      <c r="U1055" s="7002"/>
      <c r="V1055" s="7002"/>
      <c r="W1055" s="7003"/>
      <c r="X1055" s="7190"/>
      <c r="Y1055" s="7001" t="s">
        <v>1805</v>
      </c>
      <c r="Z1055" s="7002"/>
      <c r="AA1055" s="7002"/>
      <c r="AB1055" s="7003"/>
      <c r="AC1055" s="7190"/>
      <c r="AD1055" s="7001" t="s">
        <v>325</v>
      </c>
      <c r="AE1055" s="7002"/>
      <c r="AF1055" s="7002"/>
      <c r="AG1055" s="7003"/>
      <c r="AH1055" s="7194"/>
      <c r="AI1055" s="6149"/>
    </row>
    <row r="1056">
      <c r="A1056" s="6125"/>
      <c r="B1056" s="6989"/>
      <c r="C1056" s="1481"/>
      <c r="D1056" s="7195"/>
      <c r="E1056" s="7007" t="s">
        <v>1502</v>
      </c>
      <c r="F1056" s="7008"/>
      <c r="G1056" s="7008"/>
      <c r="H1056" s="7009"/>
      <c r="I1056" s="7190"/>
      <c r="J1056" s="7007" t="s">
        <v>1502</v>
      </c>
      <c r="K1056" s="7008"/>
      <c r="L1056" s="7008"/>
      <c r="M1056" s="7009"/>
      <c r="N1056" s="7190"/>
      <c r="O1056" s="7007" t="s">
        <v>1502</v>
      </c>
      <c r="P1056" s="7008"/>
      <c r="Q1056" s="7008"/>
      <c r="R1056" s="7009"/>
      <c r="S1056" s="7190"/>
      <c r="T1056" s="7007" t="s">
        <v>1502</v>
      </c>
      <c r="U1056" s="7008"/>
      <c r="V1056" s="7008"/>
      <c r="W1056" s="7009"/>
      <c r="X1056" s="7190"/>
      <c r="Y1056" s="7007" t="s">
        <v>1502</v>
      </c>
      <c r="Z1056" s="7008"/>
      <c r="AA1056" s="7008"/>
      <c r="AB1056" s="7009"/>
      <c r="AC1056" s="7191"/>
      <c r="AD1056" s="7007" t="s">
        <v>1502</v>
      </c>
      <c r="AE1056" s="7008"/>
      <c r="AF1056" s="7008"/>
      <c r="AG1056" s="7009"/>
      <c r="AH1056" s="7192"/>
      <c r="AI1056" s="6129"/>
    </row>
    <row r="1057" ht="25.5" customHeight="1">
      <c r="A1057" s="6125"/>
      <c r="B1057" s="6989"/>
      <c r="C1057" s="1489"/>
      <c r="D1057" s="6994"/>
      <c r="E1057" s="7010"/>
      <c r="F1057" s="7011" t="str">
        <f t="array" ref="F1057">IFERROR(VLOOKUP(E1055,Dex!$B$3:$H1218,5,FALSE),"")</f>
        <v/>
      </c>
      <c r="G1057" s="7012" t="str">
        <f t="array" ref="G1057">IFERROR(VLOOKUP(E1055,Dex!$B$3:$H1218,7,FALSE),"")</f>
        <v/>
      </c>
      <c r="H1057" s="7013"/>
      <c r="I1057" s="6993"/>
      <c r="J1057" s="7010"/>
      <c r="K1057" s="7196" t="str">
        <f t="array" ref="K1057">IFERROR(VLOOKUP(J1055,Dex!$B$3:$H1218,5,FALSE),"")</f>
        <v/>
      </c>
      <c r="L1057" s="7197"/>
      <c r="M1057" s="7013"/>
      <c r="N1057" s="6993"/>
      <c r="O1057" s="7010"/>
      <c r="P1057" s="7196" t="str">
        <f t="array" ref="P1057">IFERROR(VLOOKUP(O1055,Dex!$B$3:$H1218,5,FALSE),"")</f>
        <v/>
      </c>
      <c r="Q1057" s="7197"/>
      <c r="R1057" s="7013"/>
      <c r="S1057" s="6993"/>
      <c r="T1057" s="7010"/>
      <c r="U1057" s="7011" t="str">
        <f t="array" ref="U1057">IFERROR(VLOOKUP(T1055,Dex!$B$3:$H1218,5,FALSE),"")</f>
        <v/>
      </c>
      <c r="V1057" s="7012" t="str">
        <f t="array" ref="V1057">IFERROR(VLOOKUP(T1055,Dex!$B$3:$H1218,7,FALSE),"")</f>
        <v/>
      </c>
      <c r="W1057" s="7013"/>
      <c r="X1057" s="6993"/>
      <c r="Y1057" s="7010"/>
      <c r="Z1057" s="7196" t="str">
        <f t="array" ref="Z1057">IFERROR(VLOOKUP(Y1055,Dex!$B$3:$H1218,5,FALSE),"")</f>
        <v/>
      </c>
      <c r="AA1057" s="7197"/>
      <c r="AB1057" s="7013"/>
      <c r="AC1057" s="6994"/>
      <c r="AD1057" s="7010"/>
      <c r="AE1057" s="7011" t="str">
        <f t="array" ref="AE1057">IFERROR(VLOOKUP(AD1055,Dex!$B$3:$H1218,5,FALSE),"")</f>
        <v/>
      </c>
      <c r="AF1057" s="7012" t="str">
        <f t="array" ref="AF1057">IFERROR(VLOOKUP(AD1055,Dex!$B$3:$H1218,7,FALSE),"")</f>
        <v/>
      </c>
      <c r="AG1057" s="7013"/>
      <c r="AH1057" s="6997"/>
      <c r="AI1057" s="6129"/>
    </row>
    <row r="1058" ht="2.25" customHeight="1">
      <c r="A1058" s="6125"/>
      <c r="B1058" s="6989"/>
      <c r="C1058" s="7014"/>
      <c r="D1058" s="6994"/>
      <c r="E1058" s="7015"/>
      <c r="F1058" s="7016"/>
      <c r="G1058" s="7016"/>
      <c r="H1058" s="7017"/>
      <c r="I1058" s="6993"/>
      <c r="J1058" s="7015"/>
      <c r="K1058" s="7016"/>
      <c r="L1058" s="7016"/>
      <c r="M1058" s="7017"/>
      <c r="N1058" s="6993"/>
      <c r="O1058" s="7015"/>
      <c r="P1058" s="7016"/>
      <c r="Q1058" s="7016"/>
      <c r="R1058" s="7017"/>
      <c r="S1058" s="6993"/>
      <c r="T1058" s="7015"/>
      <c r="U1058" s="7016"/>
      <c r="V1058" s="7016"/>
      <c r="W1058" s="7017"/>
      <c r="X1058" s="6993"/>
      <c r="Y1058" s="7015"/>
      <c r="Z1058" s="7016"/>
      <c r="AA1058" s="7016"/>
      <c r="AB1058" s="7017"/>
      <c r="AC1058" s="6994"/>
      <c r="AD1058" s="7015"/>
      <c r="AE1058" s="7016"/>
      <c r="AF1058" s="7016"/>
      <c r="AG1058" s="7017"/>
      <c r="AH1058" s="6997"/>
      <c r="AI1058" s="6129"/>
    </row>
    <row r="1059" ht="20.25" customHeight="1">
      <c r="A1059" s="6125"/>
      <c r="B1059" s="6989"/>
      <c r="C1059" s="1073"/>
      <c r="D1059" s="6995"/>
      <c r="E1059" s="7018" t="s">
        <v>231</v>
      </c>
      <c r="F1059" s="1080"/>
      <c r="G1059" s="1080"/>
      <c r="H1059" s="1081"/>
      <c r="I1059" s="7190"/>
      <c r="J1059" s="7018" t="s">
        <v>205</v>
      </c>
      <c r="K1059" s="1080"/>
      <c r="L1059" s="1080"/>
      <c r="M1059" s="1081"/>
      <c r="N1059" s="7190"/>
      <c r="O1059" s="7018" t="s">
        <v>206</v>
      </c>
      <c r="P1059" s="1080"/>
      <c r="Q1059" s="1080"/>
      <c r="R1059" s="1081"/>
      <c r="S1059" s="7190"/>
      <c r="T1059" s="7018" t="s">
        <v>531</v>
      </c>
      <c r="U1059" s="1080"/>
      <c r="V1059" s="1080"/>
      <c r="W1059" s="1081"/>
      <c r="X1059" s="7190"/>
      <c r="Y1059" s="7018" t="s">
        <v>263</v>
      </c>
      <c r="Z1059" s="1080"/>
      <c r="AA1059" s="1080"/>
      <c r="AB1059" s="1081"/>
      <c r="AC1059" s="7191"/>
      <c r="AD1059" s="7018" t="s">
        <v>172</v>
      </c>
      <c r="AE1059" s="1080"/>
      <c r="AF1059" s="1080"/>
      <c r="AG1059" s="1081"/>
      <c r="AH1059" s="7192"/>
      <c r="AI1059" s="6129"/>
    </row>
    <row r="1060">
      <c r="A1060" s="6125"/>
      <c r="B1060" s="6989"/>
      <c r="C1060" s="1073"/>
      <c r="D1060" s="6995"/>
      <c r="E1060" s="7198" t="s">
        <v>1806</v>
      </c>
      <c r="F1060" s="1060"/>
      <c r="G1060" s="1060"/>
      <c r="H1060" s="1061"/>
      <c r="I1060" s="7190"/>
      <c r="J1060" s="7019" t="s">
        <v>980</v>
      </c>
      <c r="K1060" s="1060"/>
      <c r="L1060" s="1060"/>
      <c r="M1060" s="1061"/>
      <c r="N1060" s="7190"/>
      <c r="O1060" s="7019" t="s">
        <v>1132</v>
      </c>
      <c r="P1060" s="1060"/>
      <c r="Q1060" s="1060"/>
      <c r="R1060" s="1061"/>
      <c r="S1060" s="7190"/>
      <c r="T1060" s="7019" t="s">
        <v>980</v>
      </c>
      <c r="U1060" s="1060"/>
      <c r="V1060" s="1060"/>
      <c r="W1060" s="1061"/>
      <c r="X1060" s="7190"/>
      <c r="Y1060" s="7019" t="s">
        <v>980</v>
      </c>
      <c r="Z1060" s="1060"/>
      <c r="AA1060" s="1060"/>
      <c r="AB1060" s="1061"/>
      <c r="AC1060" s="7191"/>
      <c r="AD1060" s="7019" t="s">
        <v>331</v>
      </c>
      <c r="AE1060" s="1060"/>
      <c r="AF1060" s="1060"/>
      <c r="AG1060" s="1061"/>
      <c r="AH1060" s="7192"/>
      <c r="AI1060" s="6129"/>
    </row>
    <row r="1061" ht="20.25" customHeight="1">
      <c r="A1061" s="6125"/>
      <c r="B1061" s="6989"/>
      <c r="C1061" s="1073"/>
      <c r="D1061" s="6995"/>
      <c r="E1061" s="7020" t="s">
        <v>1807</v>
      </c>
      <c r="F1061" s="1085"/>
      <c r="G1061" s="1086"/>
      <c r="H1061" s="7021" t="str">
        <f>IMAGE("https://raw.githubusercontent.com/msikma/pokesprite/master/items/mega-stone/sablenite.png",3)</f>
        <v/>
      </c>
      <c r="I1061" s="7004"/>
      <c r="J1061" s="7020" t="s">
        <v>473</v>
      </c>
      <c r="K1061" s="1085"/>
      <c r="L1061" s="1086"/>
      <c r="M1061" s="7021" t="str">
        <f>IMAGE("https://raw.githubusercontent.com/msikma/pokesprite/master/items/hold-item/assault-vest.png",3)</f>
        <v/>
      </c>
      <c r="N1061" s="7004"/>
      <c r="O1061" s="7020" t="s">
        <v>394</v>
      </c>
      <c r="P1061" s="1085"/>
      <c r="Q1061" s="1086"/>
      <c r="R1061" s="7021" t="str">
        <f>IMAGE("https://raw.githubusercontent.com/msikma/pokesprite/master/items/hold-item/leftovers.png",3)</f>
        <v/>
      </c>
      <c r="S1061" s="7004"/>
      <c r="T1061" s="7020" t="s">
        <v>1048</v>
      </c>
      <c r="U1061" s="1085"/>
      <c r="V1061" s="1086"/>
      <c r="W1061" s="7021" t="str">
        <f>IMAGE("https://raw.githubusercontent.com/msikma/pokesprite/master/items/hold-item/black-sludge.png",3)</f>
        <v/>
      </c>
      <c r="X1061" s="7004"/>
      <c r="Y1061" s="7020" t="s">
        <v>394</v>
      </c>
      <c r="Z1061" s="1085"/>
      <c r="AA1061" s="1086"/>
      <c r="AB1061" s="7021" t="str">
        <f>IMAGE("https://raw.githubusercontent.com/msikma/pokesprite/master/items/hold-item/leftovers.png",3)</f>
        <v/>
      </c>
      <c r="AC1061" s="6995"/>
      <c r="AD1061" s="7020" t="s">
        <v>766</v>
      </c>
      <c r="AE1061" s="1085"/>
      <c r="AF1061" s="1086"/>
      <c r="AG1061" s="7021" t="str">
        <f>IMAGE("https://raw.githubusercontent.com/msikma/pokesprite/master/items/hold-item/choice-band.png",3)</f>
        <v/>
      </c>
      <c r="AH1061" s="6997"/>
      <c r="AI1061" s="6129"/>
    </row>
    <row r="1062" ht="20.25" customHeight="1">
      <c r="A1062" s="6125"/>
      <c r="B1062" s="6989"/>
      <c r="C1062" s="1078"/>
      <c r="D1062" s="6995"/>
      <c r="E1062" s="7018" t="s">
        <v>221</v>
      </c>
      <c r="F1062" s="1080"/>
      <c r="G1062" s="7022"/>
      <c r="H1062" s="7023" t="str">
        <f>IMAGE("https://raw.githubusercontent.com/msikma/pokesprite/master/misc/types/gen8/normal.png",4,20,20)</f>
        <v/>
      </c>
      <c r="I1062" s="7004"/>
      <c r="J1062" s="7018" t="s">
        <v>275</v>
      </c>
      <c r="K1062" s="1080"/>
      <c r="L1062" s="7022"/>
      <c r="M1062" s="7023" t="str">
        <f>IMAGE("https://raw.githubusercontent.com/msikma/pokesprite/master/misc/types/gen8/grass.png",4,20,20)</f>
        <v/>
      </c>
      <c r="N1062" s="7004"/>
      <c r="O1062" s="7018" t="s">
        <v>313</v>
      </c>
      <c r="P1062" s="1080"/>
      <c r="Q1062" s="7022"/>
      <c r="R1062" s="7023" t="str">
        <f>IMAGE("https://raw.githubusercontent.com/msikma/pokesprite/master/misc/types/gen8/psychic.png",4,20,20)</f>
        <v/>
      </c>
      <c r="S1062" s="7004"/>
      <c r="T1062" s="7018" t="s">
        <v>1394</v>
      </c>
      <c r="U1062" s="1080"/>
      <c r="V1062" s="7022"/>
      <c r="W1062" s="7023" t="str">
        <f>IMAGE("https://raw.githubusercontent.com/msikma/pokesprite/master/misc/types/gen8/poison.png",4,20,20)</f>
        <v/>
      </c>
      <c r="X1062" s="7004"/>
      <c r="Y1062" s="7018" t="s">
        <v>1808</v>
      </c>
      <c r="Z1062" s="1080"/>
      <c r="AA1062" s="7022"/>
      <c r="AB1062" s="7023" t="str">
        <f t="shared" ref="AB1062:AB1063" si="40">IMAGE("https://raw.githubusercontent.com/msikma/pokesprite/master/misc/types/gen8/psychic.png",4,20,20)</f>
        <v/>
      </c>
      <c r="AC1062" s="6995"/>
      <c r="AD1062" s="7018" t="s">
        <v>339</v>
      </c>
      <c r="AE1062" s="1080"/>
      <c r="AF1062" s="7022"/>
      <c r="AG1062" s="7023" t="str">
        <f>IMAGE("https://raw.githubusercontent.com/msikma/pokesprite/master/misc/types/gen8/dark.png",4,20,20)</f>
        <v/>
      </c>
      <c r="AH1062" s="6997"/>
      <c r="AI1062" s="6129"/>
    </row>
    <row r="1063" ht="20.25" customHeight="1">
      <c r="A1063" s="6125"/>
      <c r="B1063" s="6989"/>
      <c r="C1063" s="7024"/>
      <c r="D1063" s="6995"/>
      <c r="E1063" s="7019" t="s">
        <v>184</v>
      </c>
      <c r="F1063" s="1060"/>
      <c r="G1063" s="6996"/>
      <c r="H1063" s="7025" t="str">
        <f>IMAGE("https://raw.githubusercontent.com/msikma/pokesprite/master/misc/types/gen8/poison.png",4,20,20)</f>
        <v/>
      </c>
      <c r="I1063" s="7004"/>
      <c r="J1063" s="7019" t="s">
        <v>402</v>
      </c>
      <c r="K1063" s="1060"/>
      <c r="L1063" s="6996"/>
      <c r="M1063" s="7025" t="str">
        <f>IMAGE("https://raw.githubusercontent.com/msikma/pokesprite/master/misc/types/gen8/ground.png",4,20,20)</f>
        <v/>
      </c>
      <c r="N1063" s="7004"/>
      <c r="O1063" s="7019" t="s">
        <v>1809</v>
      </c>
      <c r="P1063" s="1060"/>
      <c r="Q1063" s="6996"/>
      <c r="R1063" s="7025" t="str">
        <f>IMAGE("https://raw.githubusercontent.com/msikma/pokesprite/master/misc/types/gen8/normal.png",4,20,20)</f>
        <v/>
      </c>
      <c r="S1063" s="7004"/>
      <c r="T1063" s="7019" t="s">
        <v>246</v>
      </c>
      <c r="U1063" s="1060"/>
      <c r="V1063" s="6996"/>
      <c r="W1063" s="7025" t="str">
        <f>IMAGE("https://raw.githubusercontent.com/msikma/pokesprite/master/misc/types/gen8/water.png",4,20,20)</f>
        <v/>
      </c>
      <c r="X1063" s="7004"/>
      <c r="Y1063" s="7019" t="s">
        <v>217</v>
      </c>
      <c r="Z1063" s="1060"/>
      <c r="AA1063" s="6996"/>
      <c r="AB1063" s="7025" t="str">
        <f t="shared" si="40"/>
        <v/>
      </c>
      <c r="AC1063" s="6995"/>
      <c r="AD1063" s="7019" t="s">
        <v>218</v>
      </c>
      <c r="AE1063" s="1060"/>
      <c r="AF1063" s="6996"/>
      <c r="AG1063" s="7025" t="str">
        <f>IMAGE("https://raw.githubusercontent.com/msikma/pokesprite/master/misc/types/gen8/poison.png",4,20,20)</f>
        <v/>
      </c>
      <c r="AH1063" s="6997"/>
      <c r="AI1063" s="6129"/>
    </row>
    <row r="1064" ht="20.25" customHeight="1">
      <c r="A1064" s="6125"/>
      <c r="B1064" s="6989"/>
      <c r="C1064" s="7024"/>
      <c r="D1064" s="6995"/>
      <c r="E1064" s="7019" t="s">
        <v>1005</v>
      </c>
      <c r="F1064" s="1060"/>
      <c r="G1064" s="6996"/>
      <c r="H1064" s="7025" t="str">
        <f>IMAGE("https://raw.githubusercontent.com/msikma/pokesprite/master/misc/types/gen8/dark.png",4,20,20)</f>
        <v/>
      </c>
      <c r="I1064" s="7004"/>
      <c r="J1064" s="7019" t="s">
        <v>279</v>
      </c>
      <c r="K1064" s="1060"/>
      <c r="L1064" s="6996"/>
      <c r="M1064" s="7025" t="str">
        <f>IMAGE("https://raw.githubusercontent.com/msikma/pokesprite/master/misc/types/gen8/dark.png",4,20,20)</f>
        <v/>
      </c>
      <c r="N1064" s="7004"/>
      <c r="O1064" s="7019" t="s">
        <v>719</v>
      </c>
      <c r="P1064" s="1060"/>
      <c r="Q1064" s="6996"/>
      <c r="R1064" s="7025" t="str">
        <f>IMAGE("https://raw.githubusercontent.com/msikma/pokesprite/master/misc/types/gen8/fighting.png",4,20,20)</f>
        <v/>
      </c>
      <c r="S1064" s="7004"/>
      <c r="T1064" s="7019" t="s">
        <v>279</v>
      </c>
      <c r="U1064" s="1060"/>
      <c r="V1064" s="6996"/>
      <c r="W1064" s="7025" t="str">
        <f>IMAGE("https://raw.githubusercontent.com/msikma/pokesprite/master/misc/types/gen8/dark.png",4,20,20)</f>
        <v/>
      </c>
      <c r="X1064" s="7004"/>
      <c r="Y1064" s="7019" t="s">
        <v>344</v>
      </c>
      <c r="Z1064" s="1060"/>
      <c r="AA1064" s="6996"/>
      <c r="AB1064" s="7025" t="str">
        <f>IMAGE("https://raw.githubusercontent.com/msikma/pokesprite/master/misc/types/gen8/fighting.png",4,20,20)</f>
        <v/>
      </c>
      <c r="AC1064" s="6995"/>
      <c r="AD1064" s="7019" t="s">
        <v>402</v>
      </c>
      <c r="AE1064" s="1060"/>
      <c r="AF1064" s="6996"/>
      <c r="AG1064" s="7025" t="str">
        <f>IMAGE("https://raw.githubusercontent.com/msikma/pokesprite/master/misc/types/gen8/ground.png",4,20,20)</f>
        <v/>
      </c>
      <c r="AH1064" s="6997"/>
      <c r="AI1064" s="6129"/>
    </row>
    <row r="1065" ht="21.0" customHeight="1">
      <c r="A1065" s="6125"/>
      <c r="B1065" s="6989"/>
      <c r="C1065" s="7024"/>
      <c r="D1065" s="6995"/>
      <c r="E1065" s="7026" t="s">
        <v>492</v>
      </c>
      <c r="F1065" s="1092"/>
      <c r="G1065" s="7028"/>
      <c r="H1065" s="7029" t="str">
        <f>IMAGE("https://raw.githubusercontent.com/msikma/pokesprite/master/misc/types/gen8/fire.png",4,20,20)</f>
        <v/>
      </c>
      <c r="I1065" s="7190"/>
      <c r="J1065" s="7026" t="s">
        <v>344</v>
      </c>
      <c r="K1065" s="1092"/>
      <c r="L1065" s="7028"/>
      <c r="M1065" s="7029" t="str">
        <f>IMAGE("https://raw.githubusercontent.com/msikma/pokesprite/master/misc/types/gen8/fighting.png",4,20,20)</f>
        <v/>
      </c>
      <c r="N1065" s="7004"/>
      <c r="O1065" s="7026" t="s">
        <v>252</v>
      </c>
      <c r="P1065" s="1092"/>
      <c r="Q1065" s="7028"/>
      <c r="R1065" s="7029" t="str">
        <f>IMAGE("https://raw.githubusercontent.com/msikma/pokesprite/master/misc/types/gen8/electric.png",4,20,20)</f>
        <v/>
      </c>
      <c r="S1065" s="7004"/>
      <c r="T1065" s="7026" t="s">
        <v>221</v>
      </c>
      <c r="U1065" s="1092"/>
      <c r="V1065" s="7028"/>
      <c r="W1065" s="7029" t="str">
        <f>IMAGE("https://raw.githubusercontent.com/msikma/pokesprite/master/misc/types/gen8/normal.png",4,20,20)</f>
        <v/>
      </c>
      <c r="X1065" s="7004"/>
      <c r="Y1065" s="7026" t="s">
        <v>313</v>
      </c>
      <c r="Z1065" s="1092"/>
      <c r="AA1065" s="7028"/>
      <c r="AB1065" s="7029" t="str">
        <f>IMAGE("https://raw.githubusercontent.com/msikma/pokesprite/master/misc/types/gen8/psychic.png",4,20,20)</f>
        <v/>
      </c>
      <c r="AC1065" s="6995"/>
      <c r="AD1065" s="7026" t="s">
        <v>523</v>
      </c>
      <c r="AE1065" s="1092"/>
      <c r="AF1065" s="7028"/>
      <c r="AG1065" s="7029" t="str">
        <f>IMAGE("https://raw.githubusercontent.com/msikma/pokesprite/master/misc/types/gen8/bug.png",4,20,20)</f>
        <v/>
      </c>
      <c r="AH1065" s="6997"/>
      <c r="AI1065" s="6129"/>
    </row>
    <row r="1066" ht="3.0" customHeight="1">
      <c r="A1066" s="6185"/>
      <c r="B1066" s="7030"/>
      <c r="C1066" s="7031"/>
      <c r="D1066" s="7032"/>
      <c r="E1066" s="7199"/>
      <c r="F1066" s="7199"/>
      <c r="G1066" s="7199"/>
      <c r="H1066" s="7199"/>
      <c r="I1066" s="7032"/>
      <c r="J1066" s="7200"/>
      <c r="K1066" s="7200"/>
      <c r="L1066" s="7200"/>
      <c r="M1066" s="7033"/>
      <c r="N1066" s="7032"/>
      <c r="O1066" s="7200"/>
      <c r="P1066" s="7200"/>
      <c r="Q1066" s="7200"/>
      <c r="R1066" s="7033"/>
      <c r="S1066" s="7032"/>
      <c r="T1066" s="7199"/>
      <c r="U1066" s="7199"/>
      <c r="V1066" s="7199"/>
      <c r="W1066" s="7033"/>
      <c r="X1066" s="7032"/>
      <c r="Y1066" s="7201"/>
      <c r="Z1066" s="7201"/>
      <c r="AA1066" s="7201"/>
      <c r="AB1066" s="7036"/>
      <c r="AC1066" s="7036"/>
      <c r="AD1066" s="7201"/>
      <c r="AE1066" s="7201"/>
      <c r="AF1066" s="7201"/>
      <c r="AG1066" s="7036"/>
      <c r="AH1066" s="7037"/>
      <c r="AI1066" s="6192"/>
    </row>
    <row r="1067" ht="16.5" customHeight="1">
      <c r="A1067" s="6185"/>
      <c r="B1067" s="7038"/>
      <c r="C1067" s="7039"/>
      <c r="D1067" s="1125"/>
      <c r="E1067" s="7040" t="s">
        <v>190</v>
      </c>
      <c r="F1067" s="381"/>
      <c r="G1067" s="382"/>
      <c r="H1067" s="7041" t="s">
        <v>191</v>
      </c>
      <c r="I1067" s="7042"/>
      <c r="J1067" s="7040" t="s">
        <v>190</v>
      </c>
      <c r="K1067" s="381"/>
      <c r="L1067" s="382"/>
      <c r="M1067" s="7041" t="s">
        <v>191</v>
      </c>
      <c r="N1067" s="7042"/>
      <c r="O1067" s="7040" t="s">
        <v>190</v>
      </c>
      <c r="P1067" s="381"/>
      <c r="Q1067" s="382"/>
      <c r="R1067" s="7041" t="s">
        <v>191</v>
      </c>
      <c r="S1067" s="7043"/>
      <c r="T1067" s="7040" t="s">
        <v>190</v>
      </c>
      <c r="U1067" s="381"/>
      <c r="V1067" s="382"/>
      <c r="W1067" s="7041" t="s">
        <v>191</v>
      </c>
      <c r="X1067" s="7044"/>
      <c r="Y1067" s="7040" t="s">
        <v>190</v>
      </c>
      <c r="Z1067" s="381"/>
      <c r="AA1067" s="382"/>
      <c r="AB1067" s="7041" t="s">
        <v>191</v>
      </c>
      <c r="AC1067" s="7043"/>
      <c r="AD1067" s="7040" t="s">
        <v>190</v>
      </c>
      <c r="AE1067" s="381"/>
      <c r="AF1067" s="382"/>
      <c r="AG1067" s="7041" t="s">
        <v>191</v>
      </c>
      <c r="AH1067" s="7045"/>
      <c r="AI1067" s="6192"/>
    </row>
    <row r="1068" ht="16.5" customHeight="1">
      <c r="A1068" s="6185"/>
      <c r="B1068" s="7038"/>
      <c r="C1068" s="7039"/>
      <c r="D1068" s="1125"/>
      <c r="E1068" s="7046" t="s">
        <v>192</v>
      </c>
      <c r="F1068" s="7047">
        <f t="array" ref="F1068">IFERROR(VLOOKUP(E1055,Dex!$B$3:$N1218,8,FALSE),"")</f>
        <v>50</v>
      </c>
      <c r="G1068" s="7048" t="str">
        <f t="array" ref="G1068">IFERROR(VLOOKUP(F1068,Dex!$P$22:$Q$276,2,FALSE),"")</f>
        <v/>
      </c>
      <c r="H1068" s="7049">
        <v>248.0</v>
      </c>
      <c r="I1068" s="1125"/>
      <c r="J1068" s="7046" t="s">
        <v>192</v>
      </c>
      <c r="K1068" s="7047">
        <f t="array" ref="K1068">IFERROR(VLOOKUP(J1055,Dex!$B$3:$N1218,8,FALSE),"")</f>
        <v>100</v>
      </c>
      <c r="L1068" s="7048" t="str">
        <f t="array" ref="L1068">IFERROR(VLOOKUP(K1068,Dex!$P$22:$Q$276,2,FALSE),"")</f>
        <v/>
      </c>
      <c r="M1068" s="7049">
        <v>252.0</v>
      </c>
      <c r="N1068" s="1125"/>
      <c r="O1068" s="7046" t="s">
        <v>192</v>
      </c>
      <c r="P1068" s="7047">
        <f t="array" ref="P1068">IFERROR(VLOOKUP(O1055,Dex!$B$3:$N1218,8,FALSE),"")</f>
        <v>255</v>
      </c>
      <c r="Q1068" s="7048" t="str">
        <f t="array" ref="Q1068">IFERROR(VLOOKUP(P1068,Dex!$P$22:$Q$276,2,FALSE),"")</f>
        <v/>
      </c>
      <c r="R1068" s="7049">
        <v>252.0</v>
      </c>
      <c r="S1068" s="7043"/>
      <c r="T1068" s="7046" t="s">
        <v>192</v>
      </c>
      <c r="U1068" s="7047">
        <f t="array" ref="U1068">IFERROR(VLOOKUP(T1055,Dex!$B$3:$N1218,8,FALSE),"")</f>
        <v>50</v>
      </c>
      <c r="V1068" s="7048" t="str">
        <f t="array" ref="V1068">IFERROR(VLOOKUP(U1068,Dex!$P$22:$Q$276,2,FALSE),"")</f>
        <v/>
      </c>
      <c r="W1068" s="7049">
        <v>252.0</v>
      </c>
      <c r="X1068" s="7043"/>
      <c r="Y1068" s="7046" t="s">
        <v>192</v>
      </c>
      <c r="Z1068" s="7047">
        <f t="array" ref="Z1068">IFERROR(VLOOKUP(Y1055,Dex!$B$3:$N1218,8,FALSE),"")</f>
        <v>110</v>
      </c>
      <c r="AA1068" s="7048" t="str">
        <f t="array" ref="AA1068">IFERROR(VLOOKUP(Z1068,Dex!$P$22:$Q$276,2,FALSE),"")</f>
        <v/>
      </c>
      <c r="AB1068" s="7049">
        <v>252.0</v>
      </c>
      <c r="AC1068" s="7043"/>
      <c r="AD1068" s="7046" t="s">
        <v>192</v>
      </c>
      <c r="AE1068" s="7047">
        <f t="array" ref="AE1068">IFERROR(VLOOKUP(AD1055,Dex!$B$3:$N1218,8,FALSE),"")</f>
        <v>70</v>
      </c>
      <c r="AF1068" s="7048" t="str">
        <f t="array" ref="AF1068">IFERROR(VLOOKUP(AE1068,Dex!$P$22:$Q$276,2,FALSE),"")</f>
        <v/>
      </c>
      <c r="AG1068" s="7049"/>
      <c r="AH1068" s="7045"/>
      <c r="AI1068" s="6192"/>
    </row>
    <row r="1069" ht="16.5" customHeight="1">
      <c r="A1069" s="6185"/>
      <c r="B1069" s="7038"/>
      <c r="C1069" s="7039"/>
      <c r="D1069" s="1125"/>
      <c r="E1069" s="7050" t="s">
        <v>193</v>
      </c>
      <c r="F1069" s="7051">
        <f t="array" ref="F1069">IFERROR(VLOOKUP(E1055,Dex!$B$3:$N1218,9,FALSE),"")</f>
        <v>85</v>
      </c>
      <c r="G1069" s="7052" t="str">
        <f t="array" ref="G1069">IFERROR(VLOOKUP(F1069,Dex!$P$22:$Q$276,2,FALSE),"")</f>
        <v/>
      </c>
      <c r="H1069" s="7053"/>
      <c r="I1069" s="1125"/>
      <c r="J1069" s="7050" t="s">
        <v>193</v>
      </c>
      <c r="K1069" s="7051">
        <f t="array" ref="K1069">IFERROR(VLOOKUP(J1055,Dex!$B$3:$N1218,9,FALSE),"")</f>
        <v>100</v>
      </c>
      <c r="L1069" s="7052" t="str">
        <f t="array" ref="L1069">IFERROR(VLOOKUP(K1069,Dex!$P$22:$Q$276,2,FALSE),"")</f>
        <v/>
      </c>
      <c r="M1069" s="7053"/>
      <c r="N1069" s="1125"/>
      <c r="O1069" s="7050" t="s">
        <v>193</v>
      </c>
      <c r="P1069" s="7051">
        <f t="array" ref="P1069">IFERROR(VLOOKUP(O1055,Dex!$B$3:$N1218,9,FALSE),"")</f>
        <v>10</v>
      </c>
      <c r="Q1069" s="7052" t="str">
        <f t="array" ref="Q1069">IFERROR(VLOOKUP(P1069,Dex!$P$22:$Q$276,2,FALSE),"")</f>
        <v/>
      </c>
      <c r="R1069" s="7053"/>
      <c r="S1069" s="7043"/>
      <c r="T1069" s="7050" t="s">
        <v>193</v>
      </c>
      <c r="U1069" s="7051">
        <f t="array" ref="U1069">IFERROR(VLOOKUP(T1055,Dex!$B$3:$N1218,9,FALSE),"")</f>
        <v>63</v>
      </c>
      <c r="V1069" s="7052" t="str">
        <f t="array" ref="V1069">IFERROR(VLOOKUP(U1069,Dex!$P$22:$Q$276,2,FALSE),"")</f>
        <v/>
      </c>
      <c r="W1069" s="7053"/>
      <c r="X1069" s="7043"/>
      <c r="Y1069" s="7050" t="s">
        <v>193</v>
      </c>
      <c r="Z1069" s="7051">
        <f t="array" ref="Z1069">IFERROR(VLOOKUP(Y1055,Dex!$B$3:$N1218,9,FALSE),"")</f>
        <v>65</v>
      </c>
      <c r="AA1069" s="7052" t="str">
        <f t="array" ref="AA1069">IFERROR(VLOOKUP(Z1069,Dex!$P$22:$Q$276,2,FALSE),"")</f>
        <v/>
      </c>
      <c r="AB1069" s="7053"/>
      <c r="AC1069" s="7043"/>
      <c r="AD1069" s="7050" t="s">
        <v>193</v>
      </c>
      <c r="AE1069" s="7051">
        <f t="array" ref="AE1069">IFERROR(VLOOKUP(AD1055,Dex!$B$3:$N1218,9,FALSE),"")</f>
        <v>80</v>
      </c>
      <c r="AF1069" s="7052" t="str">
        <f t="array" ref="AF1069">IFERROR(VLOOKUP(AE1069,Dex!$P$22:$Q$276,2,FALSE),"")</f>
        <v/>
      </c>
      <c r="AG1069" s="7053">
        <v>252.0</v>
      </c>
      <c r="AH1069" s="7045"/>
      <c r="AI1069" s="6192"/>
    </row>
    <row r="1070" ht="16.5" customHeight="1">
      <c r="A1070" s="6185"/>
      <c r="B1070" s="7038"/>
      <c r="C1070" s="7031"/>
      <c r="D1070" s="1125"/>
      <c r="E1070" s="7050" t="s">
        <v>194</v>
      </c>
      <c r="F1070" s="7051">
        <f t="array" ref="F1070">IFERROR(VLOOKUP(E1055,Dex!$B$3:$N1218,10,FALSE),"")</f>
        <v>125</v>
      </c>
      <c r="G1070" s="7052" t="str">
        <f t="array" ref="G1070">IFERROR(VLOOKUP(F1070,Dex!$P$22:$Q$276,2,FALSE),"")</f>
        <v/>
      </c>
      <c r="H1070" s="7053">
        <v>8.0</v>
      </c>
      <c r="I1070" s="1125"/>
      <c r="J1070" s="7050" t="s">
        <v>194</v>
      </c>
      <c r="K1070" s="7051">
        <f t="array" ref="K1070">IFERROR(VLOOKUP(J1055,Dex!$B$3:$N1218,10,FALSE),"")</f>
        <v>125</v>
      </c>
      <c r="L1070" s="7052" t="str">
        <f t="array" ref="L1070">IFERROR(VLOOKUP(K1070,Dex!$P$22:$Q$276,2,FALSE),"")</f>
        <v/>
      </c>
      <c r="M1070" s="7053">
        <v>252.0</v>
      </c>
      <c r="N1070" s="1125"/>
      <c r="O1070" s="7050" t="s">
        <v>194</v>
      </c>
      <c r="P1070" s="7051">
        <f t="array" ref="P1070">IFERROR(VLOOKUP(O1055,Dex!$B$3:$N1218,10,FALSE),"")</f>
        <v>10</v>
      </c>
      <c r="Q1070" s="7052" t="str">
        <f t="array" ref="Q1070">IFERROR(VLOOKUP(P1070,Dex!$P$22:$Q$276,2,FALSE),"")</f>
        <v/>
      </c>
      <c r="R1070" s="7053">
        <v>252.0</v>
      </c>
      <c r="S1070" s="7043"/>
      <c r="T1070" s="7050" t="s">
        <v>194</v>
      </c>
      <c r="U1070" s="7051">
        <f t="array" ref="U1070">IFERROR(VLOOKUP(T1055,Dex!$B$3:$N1218,10,FALSE),"")</f>
        <v>152</v>
      </c>
      <c r="V1070" s="7052" t="str">
        <f t="array" ref="V1070">IFERROR(VLOOKUP(U1070,Dex!$P$22:$Q$276,2,FALSE),"")</f>
        <v/>
      </c>
      <c r="W1070" s="7053">
        <v>252.0</v>
      </c>
      <c r="X1070" s="7043"/>
      <c r="Y1070" s="7050" t="s">
        <v>194</v>
      </c>
      <c r="Z1070" s="7051">
        <f t="array" ref="Z1070">IFERROR(VLOOKUP(Y1055,Dex!$B$3:$N1218,10,FALSE),"")</f>
        <v>75</v>
      </c>
      <c r="AA1070" s="7052" t="str">
        <f t="array" ref="AA1070">IFERROR(VLOOKUP(Z1070,Dex!$P$22:$Q$276,2,FALSE),"")</f>
        <v/>
      </c>
      <c r="AB1070" s="7053">
        <v>4.0</v>
      </c>
      <c r="AC1070" s="7043"/>
      <c r="AD1070" s="7050" t="s">
        <v>194</v>
      </c>
      <c r="AE1070" s="7051">
        <f t="array" ref="AE1070">IFERROR(VLOOKUP(AD1055,Dex!$B$3:$N1218,10,FALSE),"")</f>
        <v>110</v>
      </c>
      <c r="AF1070" s="7052" t="str">
        <f t="array" ref="AF1070">IFERROR(VLOOKUP(AE1070,Dex!$P$22:$Q$276,2,FALSE),"")</f>
        <v/>
      </c>
      <c r="AG1070" s="7053">
        <v>4.0</v>
      </c>
      <c r="AH1070" s="7045"/>
      <c r="AI1070" s="6192"/>
    </row>
    <row r="1071" ht="16.5" customHeight="1">
      <c r="A1071" s="6185"/>
      <c r="B1071" s="7038"/>
      <c r="C1071" s="7031"/>
      <c r="D1071" s="1125"/>
      <c r="E1071" s="7050" t="s">
        <v>195</v>
      </c>
      <c r="F1071" s="7051">
        <f t="array" ref="F1071">IFERROR(VLOOKUP(E1055,Dex!$B$3:$N1218,11,FALSE),"")</f>
        <v>85</v>
      </c>
      <c r="G1071" s="7052" t="str">
        <f t="array" ref="G1071">IFERROR(VLOOKUP(F1071,Dex!$P$22:$Q$276,2,FALSE),"")</f>
        <v/>
      </c>
      <c r="H1071" s="7053"/>
      <c r="I1071" s="1125"/>
      <c r="J1071" s="7050" t="s">
        <v>195</v>
      </c>
      <c r="K1071" s="7051">
        <f t="array" ref="K1071">IFERROR(VLOOKUP(J1055,Dex!$B$3:$N1218,11,FALSE),"")</f>
        <v>110</v>
      </c>
      <c r="L1071" s="7052" t="str">
        <f t="array" ref="L1071">IFERROR(VLOOKUP(K1071,Dex!$P$22:$Q$276,2,FALSE),"")</f>
        <v/>
      </c>
      <c r="M1071" s="7053"/>
      <c r="N1071" s="1125"/>
      <c r="O1071" s="7050" t="s">
        <v>195</v>
      </c>
      <c r="P1071" s="7051">
        <f t="array" ref="P1071">IFERROR(VLOOKUP(O1055,Dex!$B$3:$N1218,11,FALSE),"")</f>
        <v>75</v>
      </c>
      <c r="Q1071" s="7052" t="str">
        <f t="array" ref="Q1071">IFERROR(VLOOKUP(P1071,Dex!$P$22:$Q$276,2,FALSE),"")</f>
        <v/>
      </c>
      <c r="R1071" s="7053"/>
      <c r="S1071" s="7043"/>
      <c r="T1071" s="7050" t="s">
        <v>195</v>
      </c>
      <c r="U1071" s="7051">
        <f t="array" ref="U1071">IFERROR(VLOOKUP(T1055,Dex!$B$3:$N1218,11,FALSE),"")</f>
        <v>53</v>
      </c>
      <c r="V1071" s="7052" t="str">
        <f t="array" ref="V1071">IFERROR(VLOOKUP(U1071,Dex!$P$22:$Q$276,2,FALSE),"")</f>
        <v/>
      </c>
      <c r="W1071" s="7053"/>
      <c r="X1071" s="7043"/>
      <c r="Y1071" s="7050" t="s">
        <v>195</v>
      </c>
      <c r="Z1071" s="7051">
        <f t="array" ref="Z1071">IFERROR(VLOOKUP(Y1055,Dex!$B$3:$N1218,11,FALSE),"")</f>
        <v>125</v>
      </c>
      <c r="AA1071" s="7052" t="str">
        <f t="array" ref="AA1071">IFERROR(VLOOKUP(Z1071,Dex!$P$22:$Q$276,2,FALSE),"")</f>
        <v/>
      </c>
      <c r="AB1071" s="7053">
        <v>252.0</v>
      </c>
      <c r="AC1071" s="7043"/>
      <c r="AD1071" s="7050" t="s">
        <v>195</v>
      </c>
      <c r="AE1071" s="7051">
        <f t="array" ref="AE1071">IFERROR(VLOOKUP(AD1055,Dex!$B$3:$N1218,11,FALSE),"")</f>
        <v>60</v>
      </c>
      <c r="AF1071" s="7052" t="str">
        <f t="array" ref="AF1071">IFERROR(VLOOKUP(AE1071,Dex!$P$22:$Q$276,2,FALSE),"")</f>
        <v/>
      </c>
      <c r="AG1071" s="7053"/>
      <c r="AH1071" s="7045"/>
      <c r="AI1071" s="6192"/>
    </row>
    <row r="1072" ht="16.5" customHeight="1">
      <c r="A1072" s="6185"/>
      <c r="B1072" s="7038"/>
      <c r="C1072" s="7031"/>
      <c r="D1072" s="1125"/>
      <c r="E1072" s="7050" t="s">
        <v>196</v>
      </c>
      <c r="F1072" s="7051">
        <f t="array" ref="F1072">IFERROR(VLOOKUP(E1055,Dex!$B$3:$N1218,12,FALSE),"")</f>
        <v>115</v>
      </c>
      <c r="G1072" s="7052" t="str">
        <f t="array" ref="G1072">IFERROR(VLOOKUP(F1072,Dex!$P$22:$Q$276,2,FALSE),"")</f>
        <v/>
      </c>
      <c r="H1072" s="7053">
        <v>252.0</v>
      </c>
      <c r="I1072" s="1125"/>
      <c r="J1072" s="7050" t="s">
        <v>196</v>
      </c>
      <c r="K1072" s="7051">
        <f t="array" ref="K1072">IFERROR(VLOOKUP(J1055,Dex!$B$3:$N1218,12,FALSE),"")</f>
        <v>50</v>
      </c>
      <c r="L1072" s="7052" t="str">
        <f t="array" ref="L1072">IFERROR(VLOOKUP(K1072,Dex!$P$22:$Q$276,2,FALSE),"")</f>
        <v/>
      </c>
      <c r="M1072" s="7053">
        <v>4.0</v>
      </c>
      <c r="N1072" s="1125"/>
      <c r="O1072" s="7050" t="s">
        <v>196</v>
      </c>
      <c r="P1072" s="7051">
        <f t="array" ref="P1072">IFERROR(VLOOKUP(O1055,Dex!$B$3:$N1218,12,FALSE),"")</f>
        <v>135</v>
      </c>
      <c r="Q1072" s="7052" t="str">
        <f t="array" ref="Q1072">IFERROR(VLOOKUP(P1072,Dex!$P$22:$Q$276,2,FALSE),"")</f>
        <v/>
      </c>
      <c r="R1072" s="7053">
        <v>4.0</v>
      </c>
      <c r="S1072" s="7043"/>
      <c r="T1072" s="7050" t="s">
        <v>196</v>
      </c>
      <c r="U1072" s="7051">
        <f t="array" ref="U1072">IFERROR(VLOOKUP(T1055,Dex!$B$3:$N1218,12,FALSE),"")</f>
        <v>142</v>
      </c>
      <c r="V1072" s="7052" t="str">
        <f t="array" ref="V1072">IFERROR(VLOOKUP(U1072,Dex!$P$22:$Q$276,2,FALSE),"")</f>
        <v/>
      </c>
      <c r="W1072" s="7053">
        <v>4.0</v>
      </c>
      <c r="X1072" s="7043"/>
      <c r="Y1072" s="7050" t="s">
        <v>196</v>
      </c>
      <c r="Z1072" s="7051">
        <f t="array" ref="Z1072">IFERROR(VLOOKUP(Y1055,Dex!$B$3:$N1218,12,FALSE),"")</f>
        <v>85</v>
      </c>
      <c r="AA1072" s="7052" t="str">
        <f t="array" ref="AA1072">IFERROR(VLOOKUP(Z1072,Dex!$P$22:$Q$276,2,FALSE),"")</f>
        <v/>
      </c>
      <c r="AB1072" s="7053"/>
      <c r="AC1072" s="7043"/>
      <c r="AD1072" s="7050" t="s">
        <v>196</v>
      </c>
      <c r="AE1072" s="7051">
        <f t="array" ref="AE1072">IFERROR(VLOOKUP(AD1055,Dex!$B$3:$N1218,12,FALSE),"")</f>
        <v>75</v>
      </c>
      <c r="AF1072" s="7052" t="str">
        <f t="array" ref="AF1072">IFERROR(VLOOKUP(AE1072,Dex!$P$22:$Q$276,2,FALSE),"")</f>
        <v/>
      </c>
      <c r="AG1072" s="7053"/>
      <c r="AH1072" s="7045"/>
      <c r="AI1072" s="6192"/>
    </row>
    <row r="1073" ht="16.5" customHeight="1">
      <c r="A1073" s="6185"/>
      <c r="B1073" s="7038"/>
      <c r="C1073" s="7031"/>
      <c r="D1073" s="1125"/>
      <c r="E1073" s="7054" t="s">
        <v>197</v>
      </c>
      <c r="F1073" s="7055">
        <f t="array" ref="F1073">IFERROR(VLOOKUP(E1055,Dex!$B$3:$N1218,13,FALSE),"")</f>
        <v>20</v>
      </c>
      <c r="G1073" s="7056" t="str">
        <f t="array" ref="G1073">IFERROR(VLOOKUP(F1073,Dex!$P$22:$Q$276,2,FALSE),"")</f>
        <v/>
      </c>
      <c r="H1073" s="7057"/>
      <c r="I1073" s="1125"/>
      <c r="J1073" s="7054" t="s">
        <v>197</v>
      </c>
      <c r="K1073" s="7055">
        <f t="array" ref="K1073">IFERROR(VLOOKUP(J1055,Dex!$B$3:$N1218,13,FALSE),"")</f>
        <v>50</v>
      </c>
      <c r="L1073" s="7056" t="str">
        <f t="array" ref="L1073">IFERROR(VLOOKUP(K1073,Dex!$P$22:$Q$276,2,FALSE),"")</f>
        <v/>
      </c>
      <c r="M1073" s="7057"/>
      <c r="N1073" s="1125"/>
      <c r="O1073" s="7054" t="s">
        <v>197</v>
      </c>
      <c r="P1073" s="7055">
        <f t="array" ref="P1073">IFERROR(VLOOKUP(O1055,Dex!$B$3:$N1218,13,FALSE),"")</f>
        <v>55</v>
      </c>
      <c r="Q1073" s="7056" t="str">
        <f t="array" ref="Q1073">IFERROR(VLOOKUP(P1073,Dex!$P$22:$Q$276,2,FALSE),"")</f>
        <v/>
      </c>
      <c r="R1073" s="7057"/>
      <c r="S1073" s="7043"/>
      <c r="T1073" s="7054" t="s">
        <v>197</v>
      </c>
      <c r="U1073" s="7055">
        <f t="array" ref="U1073">IFERROR(VLOOKUP(T1055,Dex!$B$3:$N1218,13,FALSE),"")</f>
        <v>35</v>
      </c>
      <c r="V1073" s="7056" t="str">
        <f t="array" ref="V1073">IFERROR(VLOOKUP(U1073,Dex!$P$22:$Q$276,2,FALSE),"")</f>
        <v/>
      </c>
      <c r="W1073" s="7057"/>
      <c r="X1073" s="7043"/>
      <c r="Y1073" s="7054" t="s">
        <v>197</v>
      </c>
      <c r="Z1073" s="7055">
        <f t="array" ref="Z1073">IFERROR(VLOOKUP(Y1055,Dex!$B$3:$N1218,13,FALSE),"")</f>
        <v>30</v>
      </c>
      <c r="AA1073" s="7056" t="str">
        <f t="array" ref="AA1073">IFERROR(VLOOKUP(Z1073,Dex!$P$22:$Q$276,2,FALSE),"")</f>
        <v/>
      </c>
      <c r="AB1073" s="7057"/>
      <c r="AC1073" s="7043"/>
      <c r="AD1073" s="7054" t="s">
        <v>197</v>
      </c>
      <c r="AE1073" s="7055">
        <f t="array" ref="AE1073">IFERROR(VLOOKUP(AD1055,Dex!$B$3:$N1218,13,FALSE),"")</f>
        <v>95</v>
      </c>
      <c r="AF1073" s="7056" t="str">
        <f t="array" ref="AF1073">IFERROR(VLOOKUP(AE1073,Dex!$P$22:$Q$276,2,FALSE),"")</f>
        <v/>
      </c>
      <c r="AG1073" s="7057">
        <v>252.0</v>
      </c>
      <c r="AH1073" s="7045"/>
      <c r="AI1073" s="6192"/>
    </row>
    <row r="1074" ht="16.5" customHeight="1">
      <c r="A1074" s="6185"/>
      <c r="B1074" s="7038"/>
      <c r="C1074" s="7031"/>
      <c r="D1074" s="1125"/>
      <c r="E1074" s="7058" t="s">
        <v>198</v>
      </c>
      <c r="F1074" s="405"/>
      <c r="G1074" s="406"/>
      <c r="H1074" s="7059">
        <v>76.0</v>
      </c>
      <c r="I1074" s="7042"/>
      <c r="J1074" s="7058" t="s">
        <v>198</v>
      </c>
      <c r="K1074" s="405"/>
      <c r="L1074" s="406"/>
      <c r="M1074" s="7059">
        <v>149.0</v>
      </c>
      <c r="N1074" s="7042"/>
      <c r="O1074" s="7058" t="s">
        <v>198</v>
      </c>
      <c r="P1074" s="405"/>
      <c r="Q1074" s="406"/>
      <c r="R1074" s="7059">
        <v>146.0</v>
      </c>
      <c r="S1074" s="7044"/>
      <c r="T1074" s="7058" t="s">
        <v>198</v>
      </c>
      <c r="U1074" s="405"/>
      <c r="V1074" s="406"/>
      <c r="W1074" s="7059">
        <v>106.0</v>
      </c>
      <c r="X1074" s="7044"/>
      <c r="Y1074" s="7058" t="s">
        <v>198</v>
      </c>
      <c r="Z1074" s="405"/>
      <c r="AA1074" s="406"/>
      <c r="AB1074" s="7059">
        <v>96.0</v>
      </c>
      <c r="AC1074" s="7043"/>
      <c r="AD1074" s="7058" t="s">
        <v>198</v>
      </c>
      <c r="AE1074" s="405"/>
      <c r="AF1074" s="406"/>
      <c r="AG1074" s="7059">
        <v>317.0</v>
      </c>
      <c r="AH1074" s="7045"/>
      <c r="AI1074" s="6192"/>
    </row>
    <row r="1075" ht="15.0" customHeight="1">
      <c r="A1075" s="6125"/>
      <c r="B1075" s="7065"/>
      <c r="C1075" s="7066"/>
      <c r="D1075" s="7066"/>
      <c r="E1075" s="7066"/>
      <c r="F1075" s="7066"/>
      <c r="G1075" s="7066"/>
      <c r="H1075" s="7066"/>
      <c r="I1075" s="7066"/>
      <c r="J1075" s="7066"/>
      <c r="K1075" s="7066"/>
      <c r="L1075" s="7066"/>
      <c r="M1075" s="7066"/>
      <c r="N1075" s="7066"/>
      <c r="O1075" s="7066"/>
      <c r="P1075" s="7066"/>
      <c r="Q1075" s="7066"/>
      <c r="R1075" s="7066"/>
      <c r="S1075" s="7066"/>
      <c r="T1075" s="7202"/>
      <c r="U1075" s="7202"/>
      <c r="V1075" s="7202"/>
      <c r="W1075" s="7066"/>
      <c r="X1075" s="7066"/>
      <c r="Y1075" s="7066"/>
      <c r="Z1075" s="7066"/>
      <c r="AA1075" s="7066"/>
      <c r="AB1075" s="7066"/>
      <c r="AC1075" s="7066"/>
      <c r="AD1075" s="7066"/>
      <c r="AE1075" s="7066"/>
      <c r="AF1075" s="7066"/>
      <c r="AG1075" s="7066"/>
      <c r="AH1075" s="7067"/>
      <c r="AI1075" s="6129"/>
    </row>
    <row r="1076" ht="15.0" customHeight="1">
      <c r="A1076" s="6185"/>
      <c r="B1076" s="3491"/>
      <c r="C1076" s="3492"/>
      <c r="D1076" s="3493"/>
      <c r="E1076" s="3494"/>
      <c r="F1076" s="3494"/>
      <c r="G1076" s="3494"/>
      <c r="H1076" s="3494"/>
      <c r="I1076" s="3493"/>
      <c r="J1076" s="3494"/>
      <c r="K1076" s="3494"/>
      <c r="L1076" s="3494"/>
      <c r="M1076" s="3494"/>
      <c r="N1076" s="3493"/>
      <c r="O1076" s="3494"/>
      <c r="P1076" s="3494"/>
      <c r="Q1076" s="3494"/>
      <c r="R1076" s="3494"/>
      <c r="S1076" s="3493"/>
      <c r="T1076" s="3494"/>
      <c r="U1076" s="3494"/>
      <c r="V1076" s="3494"/>
      <c r="W1076" s="3494"/>
      <c r="X1076" s="3493"/>
      <c r="Y1076" s="3494"/>
      <c r="Z1076" s="3494"/>
      <c r="AA1076" s="3494"/>
      <c r="AB1076" s="3494"/>
      <c r="AC1076" s="3493"/>
      <c r="AD1076" s="3494"/>
      <c r="AE1076" s="3494"/>
      <c r="AF1076" s="3494"/>
      <c r="AG1076" s="3494"/>
      <c r="AH1076" s="3495"/>
      <c r="AI1076" s="6192"/>
    </row>
    <row r="1077" ht="96.75" customHeight="1">
      <c r="A1077" s="6185"/>
      <c r="B1077" s="3496"/>
      <c r="C1077" s="3497" t="str">
        <f>IMAGE("https://i.ibb.co/TKBZjnF/Ace-Trainer-M.png")</f>
        <v/>
      </c>
      <c r="D1077" s="3498"/>
      <c r="E1077" s="3499" t="str">
        <f t="array" ref="E1077">IFERROR(VLOOKUP(E1078,Dex!$B$3:$G1218,3,FALSE),"")</f>
        <v/>
      </c>
      <c r="F1077" s="381"/>
      <c r="G1077" s="381"/>
      <c r="H1077" s="2531"/>
      <c r="I1077" s="3500"/>
      <c r="J1077" s="3499" t="str">
        <f t="array" ref="J1077">IFERROR(VLOOKUP(J1078,Dex!$B$3:$G1218,3,FALSE),"")</f>
        <v/>
      </c>
      <c r="K1077" s="381"/>
      <c r="L1077" s="381"/>
      <c r="M1077" s="2531"/>
      <c r="N1077" s="5127"/>
      <c r="O1077" s="3499" t="str">
        <f t="array" ref="O1077">IFERROR(VLOOKUP(O1078,Dex!$B$3:$G1218,3,FALSE),"")</f>
        <v/>
      </c>
      <c r="P1077" s="381"/>
      <c r="Q1077" s="381"/>
      <c r="R1077" s="2531"/>
      <c r="S1077" s="5128"/>
      <c r="T1077" s="3499" t="str">
        <f t="array" ref="T1077">IFERROR(VLOOKUP(T1078,Dex!$B$3:$G1218,3,FALSE),"")</f>
        <v/>
      </c>
      <c r="U1077" s="381"/>
      <c r="V1077" s="381"/>
      <c r="W1077" s="2531"/>
      <c r="X1077" s="5127"/>
      <c r="Y1077" s="3499" t="str">
        <f t="array" ref="Y1077">IFERROR(VLOOKUP(Y1078,Dex!$B$3:$G1218,3,FALSE),"")</f>
        <v/>
      </c>
      <c r="Z1077" s="381"/>
      <c r="AA1077" s="381"/>
      <c r="AB1077" s="2531"/>
      <c r="AC1077" s="5128"/>
      <c r="AD1077" s="3499" t="str">
        <f t="array" ref="AD1077">IFERROR(VLOOKUP(AD1078,Dex!$B$3:$G1218,3,FALSE),"")</f>
        <v/>
      </c>
      <c r="AE1077" s="381"/>
      <c r="AF1077" s="381"/>
      <c r="AG1077" s="2531"/>
      <c r="AH1077" s="5181"/>
      <c r="AI1077" s="6192"/>
    </row>
    <row r="1078" ht="18.75" customHeight="1">
      <c r="A1078" s="6185"/>
      <c r="B1078" s="6302"/>
      <c r="C1078" s="6303" t="s">
        <v>1810</v>
      </c>
      <c r="D1078" s="6304"/>
      <c r="E1078" s="5129" t="s">
        <v>1811</v>
      </c>
      <c r="F1078" s="3512"/>
      <c r="G1078" s="3512"/>
      <c r="H1078" s="5130"/>
      <c r="J1078" s="5129" t="s">
        <v>1812</v>
      </c>
      <c r="K1078" s="3512"/>
      <c r="L1078" s="3512"/>
      <c r="M1078" s="5130"/>
      <c r="O1078" s="5129" t="s">
        <v>1813</v>
      </c>
      <c r="P1078" s="3512"/>
      <c r="Q1078" s="3512"/>
      <c r="R1078" s="5130"/>
      <c r="T1078" s="5129" t="s">
        <v>1443</v>
      </c>
      <c r="U1078" s="3512"/>
      <c r="V1078" s="3512"/>
      <c r="W1078" s="5130"/>
      <c r="Y1078" s="5129" t="s">
        <v>1814</v>
      </c>
      <c r="Z1078" s="3512"/>
      <c r="AA1078" s="3512"/>
      <c r="AB1078" s="5130"/>
      <c r="AD1078" s="5129" t="s">
        <v>327</v>
      </c>
      <c r="AE1078" s="3512"/>
      <c r="AF1078" s="3512"/>
      <c r="AG1078" s="5130"/>
      <c r="AH1078" s="5182"/>
      <c r="AI1078" s="6192"/>
    </row>
    <row r="1079">
      <c r="A1079" s="6185"/>
      <c r="B1079" s="6305"/>
      <c r="C1079" s="3030"/>
      <c r="D1079" s="6306"/>
      <c r="E1079" s="5131" t="s">
        <v>1502</v>
      </c>
      <c r="F1079" s="3521"/>
      <c r="G1079" s="3521"/>
      <c r="H1079" s="5132"/>
      <c r="J1079" s="5131" t="s">
        <v>1502</v>
      </c>
      <c r="K1079" s="3521"/>
      <c r="L1079" s="3521"/>
      <c r="M1079" s="5132"/>
      <c r="O1079" s="5131" t="s">
        <v>1502</v>
      </c>
      <c r="P1079" s="3521"/>
      <c r="Q1079" s="3521"/>
      <c r="R1079" s="5132"/>
      <c r="T1079" s="5131" t="s">
        <v>1502</v>
      </c>
      <c r="U1079" s="3521"/>
      <c r="V1079" s="3521"/>
      <c r="W1079" s="5132"/>
      <c r="Y1079" s="5131" t="s">
        <v>1502</v>
      </c>
      <c r="Z1079" s="3521"/>
      <c r="AA1079" s="3521"/>
      <c r="AB1079" s="5132"/>
      <c r="AD1079" s="5131" t="s">
        <v>1502</v>
      </c>
      <c r="AE1079" s="3521"/>
      <c r="AF1079" s="3521"/>
      <c r="AG1079" s="5132"/>
      <c r="AH1079" s="5183"/>
      <c r="AI1079" s="6192"/>
    </row>
    <row r="1080" ht="25.5" customHeight="1">
      <c r="A1080" s="6185"/>
      <c r="B1080" s="6307"/>
      <c r="C1080" s="3030"/>
      <c r="D1080" s="6308"/>
      <c r="E1080" s="5133"/>
      <c r="F1080" s="5134" t="str">
        <f t="array" ref="F1080">IFERROR(VLOOKUP(E1078,Dex!$B$3:$H1218,5,FALSE),"")</f>
        <v/>
      </c>
      <c r="G1080" s="5135" t="str">
        <f t="array" ref="G1080">IFERROR(VLOOKUP(E1078,Dex!$B$3:$H1218,7,FALSE),"")</f>
        <v/>
      </c>
      <c r="H1080" s="5136"/>
      <c r="J1080" s="5133"/>
      <c r="K1080" s="5134" t="str">
        <f t="array" ref="K1080">IFERROR(VLOOKUP(J1078,Dex!$B$3:$H1218,5,FALSE),"")</f>
        <v/>
      </c>
      <c r="L1080" s="5135" t="str">
        <f t="array" ref="L1080">IFERROR(VLOOKUP(J1078,Dex!$B$3:$H1218,7,FALSE),"")</f>
        <v/>
      </c>
      <c r="M1080" s="5136"/>
      <c r="O1080" s="5133"/>
      <c r="P1080" s="3526" t="str">
        <f t="array" ref="P1080">IFERROR(VLOOKUP(O1078,Dex!$B$3:$H1218,5,FALSE),"")</f>
        <v/>
      </c>
      <c r="Q1080" s="3527"/>
      <c r="R1080" s="5136"/>
      <c r="T1080" s="5133"/>
      <c r="U1080" s="5134" t="str">
        <f t="array" ref="U1080">IFERROR(VLOOKUP(T1078,Dex!$B$3:$H1218,5,FALSE),"")</f>
        <v/>
      </c>
      <c r="V1080" s="5135" t="str">
        <f t="array" ref="V1080">IFERROR(VLOOKUP(T1078,Dex!$B$3:$H1218,7,FALSE),"")</f>
        <v/>
      </c>
      <c r="W1080" s="5136"/>
      <c r="Y1080" s="5133"/>
      <c r="Z1080" s="5134" t="str">
        <f t="array" ref="Z1080">IFERROR(VLOOKUP(Y1078,Dex!$B$3:$H1218,5,FALSE),"")</f>
        <v/>
      </c>
      <c r="AA1080" s="5135" t="str">
        <f t="array" ref="AA1080">IFERROR(VLOOKUP(Y1078,Dex!$B$3:$H1218,7,FALSE),"")</f>
        <v/>
      </c>
      <c r="AB1080" s="5136"/>
      <c r="AD1080" s="5133"/>
      <c r="AE1080" s="5134" t="str">
        <f t="array" ref="AE1080">IFERROR(VLOOKUP(AD1078,Dex!$B$3:$H1218,5,FALSE),"")</f>
        <v/>
      </c>
      <c r="AF1080" s="5135" t="str">
        <f t="array" ref="AF1080">IFERROR(VLOOKUP(AD1078,Dex!$B$3:$H1218,7,FALSE),"")</f>
        <v/>
      </c>
      <c r="AG1080" s="5136"/>
      <c r="AH1080" s="3507"/>
      <c r="AI1080" s="6192"/>
    </row>
    <row r="1081" ht="2.25" customHeight="1">
      <c r="A1081" s="6185"/>
      <c r="B1081" s="6307"/>
      <c r="C1081" s="3030"/>
      <c r="D1081" s="6308"/>
      <c r="E1081" s="5137"/>
      <c r="F1081" s="5138"/>
      <c r="G1081" s="5138"/>
      <c r="H1081" s="5139"/>
      <c r="J1081" s="5137"/>
      <c r="K1081" s="5138"/>
      <c r="L1081" s="5138"/>
      <c r="M1081" s="5139"/>
      <c r="O1081" s="5137"/>
      <c r="P1081" s="5138"/>
      <c r="Q1081" s="5138"/>
      <c r="R1081" s="5139"/>
      <c r="T1081" s="5137"/>
      <c r="U1081" s="5138"/>
      <c r="V1081" s="5138"/>
      <c r="W1081" s="5139"/>
      <c r="Y1081" s="5137"/>
      <c r="Z1081" s="5138"/>
      <c r="AA1081" s="5138"/>
      <c r="AB1081" s="5139"/>
      <c r="AD1081" s="5137"/>
      <c r="AE1081" s="5138"/>
      <c r="AF1081" s="5138"/>
      <c r="AG1081" s="5139"/>
      <c r="AH1081" s="3507"/>
      <c r="AI1081" s="6192"/>
    </row>
    <row r="1082" ht="20.25" customHeight="1">
      <c r="A1082" s="6185"/>
      <c r="B1082" s="6307"/>
      <c r="C1082" s="3045"/>
      <c r="D1082" s="6308"/>
      <c r="E1082" s="3534" t="s">
        <v>172</v>
      </c>
      <c r="F1082" s="3535"/>
      <c r="G1082" s="3535"/>
      <c r="H1082" s="3536"/>
      <c r="J1082" s="3534" t="s">
        <v>531</v>
      </c>
      <c r="K1082" s="3535"/>
      <c r="L1082" s="3535"/>
      <c r="M1082" s="3536"/>
      <c r="O1082" s="3534" t="s">
        <v>205</v>
      </c>
      <c r="P1082" s="3535"/>
      <c r="Q1082" s="3535"/>
      <c r="R1082" s="3536"/>
      <c r="T1082" s="3534" t="s">
        <v>264</v>
      </c>
      <c r="U1082" s="3535"/>
      <c r="V1082" s="3535"/>
      <c r="W1082" s="3536"/>
      <c r="Y1082" s="3534" t="s">
        <v>205</v>
      </c>
      <c r="Z1082" s="3535"/>
      <c r="AA1082" s="3535"/>
      <c r="AB1082" s="3536"/>
      <c r="AD1082" s="3534" t="s">
        <v>205</v>
      </c>
      <c r="AE1082" s="3535"/>
      <c r="AF1082" s="3535"/>
      <c r="AG1082" s="3536"/>
      <c r="AH1082" s="5181"/>
      <c r="AI1082" s="6192"/>
    </row>
    <row r="1083" ht="20.25" customHeight="1">
      <c r="A1083" s="6185"/>
      <c r="B1083" s="3496"/>
      <c r="C1083" s="6309"/>
      <c r="D1083" s="3498"/>
      <c r="E1083" s="3538" t="s">
        <v>716</v>
      </c>
      <c r="F1083" s="3503"/>
      <c r="G1083" s="3503"/>
      <c r="H1083" s="3539"/>
      <c r="J1083" s="3538" t="s">
        <v>808</v>
      </c>
      <c r="K1083" s="3503"/>
      <c r="L1083" s="3503"/>
      <c r="M1083" s="3539"/>
      <c r="O1083" s="3538" t="s">
        <v>979</v>
      </c>
      <c r="P1083" s="3503"/>
      <c r="Q1083" s="3503"/>
      <c r="R1083" s="3539"/>
      <c r="T1083" s="3538" t="s">
        <v>1815</v>
      </c>
      <c r="U1083" s="3503"/>
      <c r="V1083" s="3503"/>
      <c r="W1083" s="3539"/>
      <c r="Y1083" s="3538" t="s">
        <v>233</v>
      </c>
      <c r="Z1083" s="3503"/>
      <c r="AA1083" s="3503"/>
      <c r="AB1083" s="3539"/>
      <c r="AD1083" s="5162" t="s">
        <v>333</v>
      </c>
      <c r="AE1083" s="3503"/>
      <c r="AF1083" s="3503"/>
      <c r="AG1083" s="3539"/>
      <c r="AH1083" s="5181"/>
      <c r="AI1083" s="6192"/>
    </row>
    <row r="1084" ht="20.25" customHeight="1">
      <c r="A1084" s="6185"/>
      <c r="B1084" s="3496"/>
      <c r="C1084" s="3516"/>
      <c r="D1084" s="3498"/>
      <c r="E1084" s="3540" t="s">
        <v>240</v>
      </c>
      <c r="F1084" s="3541"/>
      <c r="G1084" s="3542"/>
      <c r="H1084" s="3543" t="str">
        <f>IMAGE("https://raw.githubusercontent.com/msikma/pokesprite/master/items/hold-item/focus-sash.png",3)</f>
        <v/>
      </c>
      <c r="J1084" s="3540" t="s">
        <v>394</v>
      </c>
      <c r="K1084" s="3541"/>
      <c r="L1084" s="3542"/>
      <c r="M1084" s="3543" t="str">
        <f>IMAGE("https://raw.githubusercontent.com/msikma/pokesprite/master/items/hold-item/leftovers.png",3)</f>
        <v/>
      </c>
      <c r="O1084" s="3540" t="s">
        <v>240</v>
      </c>
      <c r="P1084" s="3541"/>
      <c r="Q1084" s="3542"/>
      <c r="R1084" s="3543" t="str">
        <f>IMAGE("https://raw.githubusercontent.com/msikma/pokesprite/master/items/hold-item/focus-sash.png",3)</f>
        <v/>
      </c>
      <c r="T1084" s="3540" t="s">
        <v>1816</v>
      </c>
      <c r="U1084" s="3541"/>
      <c r="V1084" s="3542"/>
      <c r="W1084" s="3543" t="str">
        <f>IMAGE("https://raw.githubusercontent.com/msikma/pokesprite/master/items/z-crystals/kommonium-z--held.png",3)</f>
        <v/>
      </c>
      <c r="Y1084" s="3540" t="s">
        <v>393</v>
      </c>
      <c r="Z1084" s="3541"/>
      <c r="AA1084" s="3542"/>
      <c r="AB1084" s="3543" t="str">
        <f>IMAGE("https://raw.githubusercontent.com/msikma/pokesprite/master/items/hold-item/weakness-policy.png",3)</f>
        <v/>
      </c>
      <c r="AD1084" s="3540" t="s">
        <v>336</v>
      </c>
      <c r="AE1084" s="3541"/>
      <c r="AF1084" s="3542"/>
      <c r="AG1084" s="3543" t="str">
        <f>IMAGE("https://raw.githubusercontent.com/msikma/pokesprite/master/items/mega-stone/banettite.png",3)</f>
        <v/>
      </c>
      <c r="AH1084" s="3507"/>
      <c r="AI1084" s="6192"/>
    </row>
    <row r="1085" ht="20.25" customHeight="1">
      <c r="A1085" s="6185"/>
      <c r="B1085" s="3496"/>
      <c r="C1085" s="3544"/>
      <c r="D1085" s="3498"/>
      <c r="E1085" s="3534" t="s">
        <v>402</v>
      </c>
      <c r="F1085" s="3535"/>
      <c r="G1085" s="3545"/>
      <c r="H1085" s="3546" t="str">
        <f>IMAGE("https://raw.githubusercontent.com/msikma/pokesprite/master/misc/types/gen8/ground.png",4,20,20)</f>
        <v/>
      </c>
      <c r="J1085" s="3534" t="s">
        <v>604</v>
      </c>
      <c r="K1085" s="3535"/>
      <c r="L1085" s="3545"/>
      <c r="M1085" s="3546" t="str">
        <f>IMAGE("https://raw.githubusercontent.com/msikma/pokesprite/master/misc/types/gen8/fighting.png",4,20,20)</f>
        <v/>
      </c>
      <c r="O1085" s="3534" t="s">
        <v>401</v>
      </c>
      <c r="P1085" s="3535"/>
      <c r="Q1085" s="3545"/>
      <c r="R1085" s="3546" t="str">
        <f>IMAGE("https://raw.githubusercontent.com/msikma/pokesprite/master/misc/types/gen8/dark.png",4,20,20)</f>
        <v/>
      </c>
      <c r="T1085" s="3534" t="s">
        <v>1817</v>
      </c>
      <c r="U1085" s="3535"/>
      <c r="V1085" s="3545"/>
      <c r="W1085" s="3546" t="str">
        <f>IMAGE("https://raw.githubusercontent.com/msikma/pokesprite/master/misc/types/gen8/dragon.png",4,20,20)</f>
        <v/>
      </c>
      <c r="Y1085" s="3534" t="s">
        <v>1123</v>
      </c>
      <c r="Z1085" s="3535"/>
      <c r="AA1085" s="3545"/>
      <c r="AB1085" s="3546" t="str">
        <f>IMAGE("https://raw.githubusercontent.com/msikma/pokesprite/master/misc/types/gen8/dragon.png",4,20,20)</f>
        <v/>
      </c>
      <c r="AD1085" s="3534" t="s">
        <v>337</v>
      </c>
      <c r="AE1085" s="3535"/>
      <c r="AF1085" s="3545"/>
      <c r="AG1085" s="3546" t="str">
        <f>IMAGE("https://raw.githubusercontent.com/msikma/pokesprite/master/misc/types/gen8/normal.png",4,20,20)</f>
        <v/>
      </c>
      <c r="AH1085" s="3507"/>
      <c r="AI1085" s="6192"/>
    </row>
    <row r="1086" ht="20.25" customHeight="1">
      <c r="A1086" s="6185"/>
      <c r="B1086" s="3496"/>
      <c r="C1086" s="3529"/>
      <c r="D1086" s="3498"/>
      <c r="E1086" s="3538" t="s">
        <v>399</v>
      </c>
      <c r="F1086" s="3503"/>
      <c r="G1086" s="3504"/>
      <c r="H1086" s="3547" t="str">
        <f t="shared" ref="H1086:H1087" si="41">IMAGE("https://raw.githubusercontent.com/msikma/pokesprite/master/misc/types/gen8/rock.png",4,20,20)</f>
        <v/>
      </c>
      <c r="J1086" s="3538" t="s">
        <v>1755</v>
      </c>
      <c r="K1086" s="3503"/>
      <c r="L1086" s="3504"/>
      <c r="M1086" s="3547" t="str">
        <f>IMAGE("https://raw.githubusercontent.com/msikma/pokesprite/master/misc/types/gen8/psychic.png",4,20,20)</f>
        <v/>
      </c>
      <c r="O1086" s="3538" t="s">
        <v>561</v>
      </c>
      <c r="P1086" s="3503"/>
      <c r="Q1086" s="3504"/>
      <c r="R1086" s="3547" t="str">
        <f>IMAGE("https://raw.githubusercontent.com/msikma/pokesprite/master/misc/types/gen8/psychic.png",4,20,20)</f>
        <v/>
      </c>
      <c r="T1086" s="3538" t="s">
        <v>316</v>
      </c>
      <c r="U1086" s="3503"/>
      <c r="V1086" s="3504"/>
      <c r="W1086" s="3547" t="str">
        <f>IMAGE("https://raw.githubusercontent.com/msikma/pokesprite/master/misc/types/gen8/fighting.png",4,20,20)</f>
        <v/>
      </c>
      <c r="Y1086" s="3538" t="s">
        <v>217</v>
      </c>
      <c r="Z1086" s="3503"/>
      <c r="AA1086" s="3504"/>
      <c r="AB1086" s="3547" t="str">
        <f>IMAGE("https://raw.githubusercontent.com/msikma/pokesprite/master/misc/types/gen8/psychic.png",4,20,20)</f>
        <v/>
      </c>
      <c r="AD1086" s="3538" t="s">
        <v>343</v>
      </c>
      <c r="AE1086" s="3503"/>
      <c r="AF1086" s="3504"/>
      <c r="AG1086" s="3547" t="str">
        <f>IMAGE("https://raw.githubusercontent.com/msikma/pokesprite/master/misc/types/gen8/electric.png",4,20,20)</f>
        <v/>
      </c>
      <c r="AH1086" s="3507"/>
      <c r="AI1086" s="6192"/>
    </row>
    <row r="1087" ht="20.25" customHeight="1">
      <c r="A1087" s="6185"/>
      <c r="B1087" s="3496"/>
      <c r="C1087" s="3529"/>
      <c r="D1087" s="3498"/>
      <c r="E1087" s="3538" t="s">
        <v>395</v>
      </c>
      <c r="F1087" s="3503"/>
      <c r="G1087" s="3504"/>
      <c r="H1087" s="3547" t="str">
        <f t="shared" si="41"/>
        <v/>
      </c>
      <c r="J1087" s="3538" t="s">
        <v>1818</v>
      </c>
      <c r="K1087" s="3503"/>
      <c r="L1087" s="3504"/>
      <c r="M1087" s="3547" t="str">
        <f>IMAGE("https://raw.githubusercontent.com/msikma/pokesprite/master/misc/types/gen8/dark.png",4,20,20)</f>
        <v/>
      </c>
      <c r="O1087" s="3538" t="s">
        <v>344</v>
      </c>
      <c r="P1087" s="3503"/>
      <c r="Q1087" s="3504"/>
      <c r="R1087" s="3547" t="str">
        <f>IMAGE("https://raw.githubusercontent.com/msikma/pokesprite/master/misc/types/gen8/fighting.png",4,20,20)</f>
        <v/>
      </c>
      <c r="T1087" s="3538" t="s">
        <v>218</v>
      </c>
      <c r="U1087" s="3503"/>
      <c r="V1087" s="3504"/>
      <c r="W1087" s="3547" t="str">
        <f>IMAGE("https://raw.githubusercontent.com/msikma/pokesprite/master/misc/types/gen8/poison.png",4,20,20)</f>
        <v/>
      </c>
      <c r="Y1087" s="3538" t="s">
        <v>433</v>
      </c>
      <c r="Z1087" s="3503"/>
      <c r="AA1087" s="3504"/>
      <c r="AB1087" s="3547" t="str">
        <f>IMAGE("https://raw.githubusercontent.com/msikma/pokesprite/master/misc/types/gen8/water.png",4,20,20)</f>
        <v/>
      </c>
      <c r="AD1087" s="3538" t="s">
        <v>405</v>
      </c>
      <c r="AE1087" s="3503"/>
      <c r="AF1087" s="3504"/>
      <c r="AG1087" s="3547" t="str">
        <f>IMAGE("https://raw.githubusercontent.com/msikma/pokesprite/master/misc/types/gen8/poison.png",4,20,20)</f>
        <v/>
      </c>
      <c r="AH1087" s="3507"/>
      <c r="AI1087" s="6192"/>
    </row>
    <row r="1088" ht="21.0" customHeight="1">
      <c r="A1088" s="6185"/>
      <c r="B1088" s="3496"/>
      <c r="C1088" s="3529"/>
      <c r="D1088" s="3498"/>
      <c r="E1088" s="3548" t="s">
        <v>278</v>
      </c>
      <c r="F1088" s="3549"/>
      <c r="G1088" s="3550"/>
      <c r="H1088" s="3551" t="str">
        <f>IMAGE("https://raw.githubusercontent.com/msikma/pokesprite/master/misc/types/gen8/bug.png",4,20,20)</f>
        <v/>
      </c>
      <c r="I1088" s="3552"/>
      <c r="J1088" s="3548" t="s">
        <v>251</v>
      </c>
      <c r="K1088" s="3549"/>
      <c r="L1088" s="3550"/>
      <c r="M1088" s="3551" t="str">
        <f>IMAGE("https://raw.githubusercontent.com/msikma/pokesprite/master/misc/types/gen8/flying.png",4,20,20)</f>
        <v/>
      </c>
      <c r="N1088" s="3552"/>
      <c r="O1088" s="3548" t="s">
        <v>318</v>
      </c>
      <c r="P1088" s="3549"/>
      <c r="Q1088" s="3550"/>
      <c r="R1088" s="3551" t="str">
        <f>IMAGE("https://raw.githubusercontent.com/msikma/pokesprite/master/misc/types/gen8/ghost.png",4,20,20)</f>
        <v/>
      </c>
      <c r="S1088" s="3552"/>
      <c r="T1088" s="3548" t="s">
        <v>610</v>
      </c>
      <c r="U1088" s="3549"/>
      <c r="V1088" s="3550"/>
      <c r="W1088" s="3551" t="str">
        <f>IMAGE("https://raw.githubusercontent.com/msikma/pokesprite/master/misc/types/gen8/rock.png",4,20,20)</f>
        <v/>
      </c>
      <c r="X1088" s="3552"/>
      <c r="Y1088" s="3548" t="s">
        <v>509</v>
      </c>
      <c r="Z1088" s="3549"/>
      <c r="AA1088" s="3550"/>
      <c r="AB1088" s="3551" t="str">
        <f>IMAGE("https://raw.githubusercontent.com/msikma/pokesprite/master/misc/types/gen8/psychic.png",4,20,20)</f>
        <v/>
      </c>
      <c r="AC1088" s="3552"/>
      <c r="AD1088" s="3548" t="s">
        <v>223</v>
      </c>
      <c r="AE1088" s="3549"/>
      <c r="AF1088" s="3550"/>
      <c r="AG1088" s="3551" t="str">
        <f>IMAGE("https://raw.githubusercontent.com/msikma/pokesprite/master/misc/types/gen8/grass.png",4,20,20)</f>
        <v/>
      </c>
      <c r="AH1088" s="3507"/>
      <c r="AI1088" s="6192"/>
    </row>
    <row r="1089" ht="3.0" customHeight="1">
      <c r="A1089" s="6185"/>
      <c r="B1089" s="3554"/>
      <c r="C1089" s="3555"/>
      <c r="D1089" s="3556"/>
      <c r="E1089" s="3558"/>
      <c r="F1089" s="3558"/>
      <c r="G1089" s="3558"/>
      <c r="H1089" s="3557"/>
      <c r="I1089" s="3556"/>
      <c r="J1089" s="3558"/>
      <c r="K1089" s="3558"/>
      <c r="L1089" s="3558"/>
      <c r="M1089" s="3557"/>
      <c r="N1089" s="3556"/>
      <c r="O1089" s="3558"/>
      <c r="P1089" s="3558"/>
      <c r="Q1089" s="3558"/>
      <c r="R1089" s="3557"/>
      <c r="S1089" s="3559"/>
      <c r="T1089" s="3557"/>
      <c r="U1089" s="3557"/>
      <c r="V1089" s="3557"/>
      <c r="W1089" s="3557"/>
      <c r="X1089" s="3556"/>
      <c r="Y1089" s="3558"/>
      <c r="Z1089" s="3558"/>
      <c r="AA1089" s="3558"/>
      <c r="AB1089" s="3557"/>
      <c r="AC1089" s="3561"/>
      <c r="AD1089" s="3558"/>
      <c r="AE1089" s="3558"/>
      <c r="AF1089" s="3558"/>
      <c r="AG1089" s="3557"/>
      <c r="AH1089" s="3562"/>
      <c r="AI1089" s="6192"/>
    </row>
    <row r="1090" ht="16.5" customHeight="1">
      <c r="A1090" s="6185"/>
      <c r="B1090" s="3563"/>
      <c r="C1090" s="3555"/>
      <c r="D1090" s="5140"/>
      <c r="E1090" s="3565" t="s">
        <v>190</v>
      </c>
      <c r="F1090" s="381"/>
      <c r="G1090" s="382"/>
      <c r="H1090" s="3566" t="s">
        <v>191</v>
      </c>
      <c r="I1090" s="3567"/>
      <c r="J1090" s="3565" t="s">
        <v>190</v>
      </c>
      <c r="K1090" s="381"/>
      <c r="L1090" s="382"/>
      <c r="M1090" s="3566" t="s">
        <v>191</v>
      </c>
      <c r="N1090" s="5140"/>
      <c r="O1090" s="3565" t="s">
        <v>190</v>
      </c>
      <c r="P1090" s="381"/>
      <c r="Q1090" s="382"/>
      <c r="R1090" s="3566" t="s">
        <v>191</v>
      </c>
      <c r="S1090" s="3556"/>
      <c r="T1090" s="3565" t="s">
        <v>190</v>
      </c>
      <c r="U1090" s="381"/>
      <c r="V1090" s="382"/>
      <c r="W1090" s="3566" t="s">
        <v>191</v>
      </c>
      <c r="X1090" s="5154"/>
      <c r="Y1090" s="3565" t="s">
        <v>190</v>
      </c>
      <c r="Z1090" s="381"/>
      <c r="AA1090" s="382"/>
      <c r="AB1090" s="3566" t="s">
        <v>191</v>
      </c>
      <c r="AC1090" s="5154"/>
      <c r="AD1090" s="3565" t="s">
        <v>190</v>
      </c>
      <c r="AE1090" s="381"/>
      <c r="AF1090" s="382"/>
      <c r="AG1090" s="3566" t="s">
        <v>191</v>
      </c>
      <c r="AH1090" s="3570"/>
      <c r="AI1090" s="6192"/>
    </row>
    <row r="1091" ht="16.5" customHeight="1">
      <c r="A1091" s="6185"/>
      <c r="B1091" s="3563"/>
      <c r="C1091" s="3555"/>
      <c r="D1091" s="3564"/>
      <c r="E1091" s="3571" t="s">
        <v>192</v>
      </c>
      <c r="F1091" s="3572">
        <f t="array" ref="F1091">IFERROR(VLOOKUP(E1078,Dex!$B$3:$N1218,8,FALSE),"")</f>
        <v>89</v>
      </c>
      <c r="G1091" s="3573" t="str">
        <f t="array" ref="G1091">IFERROR(VLOOKUP(F1091,Dex!$P$22:$Q$276,2,FALSE),"")</f>
        <v/>
      </c>
      <c r="H1091" s="3574"/>
      <c r="I1091" s="3575"/>
      <c r="J1091" s="3571" t="s">
        <v>192</v>
      </c>
      <c r="K1091" s="3572">
        <f t="array" ref="K1091">IFERROR(VLOOKUP(J1078,Dex!$B$3:$N1218,8,FALSE),"")</f>
        <v>98</v>
      </c>
      <c r="L1091" s="3573" t="str">
        <f t="array" ref="L1091">IFERROR(VLOOKUP(K1091,Dex!$P$22:$Q$276,2,FALSE),"")</f>
        <v/>
      </c>
      <c r="M1091" s="3574">
        <v>252.0</v>
      </c>
      <c r="N1091" s="3564"/>
      <c r="O1091" s="3571" t="s">
        <v>192</v>
      </c>
      <c r="P1091" s="3572">
        <f t="array" ref="P1091">IFERROR(VLOOKUP(O1078,Dex!$B$3:$N1218,8,FALSE),"")</f>
        <v>55</v>
      </c>
      <c r="Q1091" s="3573" t="str">
        <f t="array" ref="Q1091">IFERROR(VLOOKUP(P1091,Dex!$P$22:$Q$276,2,FALSE),"")</f>
        <v/>
      </c>
      <c r="R1091" s="3574"/>
      <c r="S1091" s="3569"/>
      <c r="T1091" s="3571" t="s">
        <v>192</v>
      </c>
      <c r="U1091" s="3572">
        <f t="array" ref="U1091">IFERROR(VLOOKUP(T1078,Dex!$B$3:$N1218,8,FALSE),"")</f>
        <v>75</v>
      </c>
      <c r="V1091" s="3573" t="str">
        <f t="array" ref="V1091">IFERROR(VLOOKUP(U1091,Dex!$P$22:$Q$276,2,FALSE),"")</f>
        <v/>
      </c>
      <c r="W1091" s="3574"/>
      <c r="X1091" s="3569"/>
      <c r="Y1091" s="3571" t="s">
        <v>192</v>
      </c>
      <c r="Z1091" s="3572">
        <f t="array" ref="Z1091">IFERROR(VLOOKUP(Y1078,Dex!$B$3:$N1218,8,FALSE),"")</f>
        <v>80</v>
      </c>
      <c r="AA1091" s="3573" t="str">
        <f t="array" ref="AA1091">IFERROR(VLOOKUP(Z1091,Dex!$P$22:$Q$276,2,FALSE),"")</f>
        <v/>
      </c>
      <c r="AB1091" s="3574"/>
      <c r="AC1091" s="3569"/>
      <c r="AD1091" s="3571" t="s">
        <v>192</v>
      </c>
      <c r="AE1091" s="3572">
        <f t="array" ref="AE1091">IFERROR(VLOOKUP(AD1078,Dex!$B$3:$N1218,8,FALSE),"")</f>
        <v>75</v>
      </c>
      <c r="AF1091" s="3573" t="str">
        <f t="array" ref="AF1091">IFERROR(VLOOKUP(AE1091,Dex!$P$22:$Q$276,2,FALSE),"")</f>
        <v/>
      </c>
      <c r="AG1091" s="3574"/>
      <c r="AH1091" s="3570"/>
      <c r="AI1091" s="6192"/>
    </row>
    <row r="1092" ht="16.5" customHeight="1">
      <c r="A1092" s="6185"/>
      <c r="B1092" s="3563"/>
      <c r="C1092" s="3555"/>
      <c r="D1092" s="3564"/>
      <c r="E1092" s="3577" t="s">
        <v>193</v>
      </c>
      <c r="F1092" s="3578">
        <f t="array" ref="F1092">IFERROR(VLOOKUP(E1078,Dex!$B$3:$N1218,9,FALSE),"")</f>
        <v>145</v>
      </c>
      <c r="G1092" s="3579" t="str">
        <f t="array" ref="G1092">IFERROR(VLOOKUP(F1092,Dex!$P$22:$Q$276,2,FALSE),"")</f>
        <v/>
      </c>
      <c r="H1092" s="3580">
        <v>252.0</v>
      </c>
      <c r="I1092" s="3575"/>
      <c r="J1092" s="3577" t="s">
        <v>193</v>
      </c>
      <c r="K1092" s="3578">
        <f t="array" ref="K1092">IFERROR(VLOOKUP(J1078,Dex!$B$3:$N1218,9,FALSE),"")</f>
        <v>87</v>
      </c>
      <c r="L1092" s="3579" t="str">
        <f t="array" ref="L1092">IFERROR(VLOOKUP(K1092,Dex!$P$22:$Q$276,2,FALSE),"")</f>
        <v/>
      </c>
      <c r="M1092" s="3580"/>
      <c r="N1092" s="3564"/>
      <c r="O1092" s="3577" t="s">
        <v>193</v>
      </c>
      <c r="P1092" s="3578">
        <f t="array" ref="P1092">IFERROR(VLOOKUP(O1078,Dex!$B$3:$N1218,9,FALSE),"")</f>
        <v>50</v>
      </c>
      <c r="Q1092" s="3579" t="str">
        <f t="array" ref="Q1092">IFERROR(VLOOKUP(P1092,Dex!$P$22:$Q$276,2,FALSE),"")</f>
        <v/>
      </c>
      <c r="R1092" s="3580"/>
      <c r="S1092" s="3569"/>
      <c r="T1092" s="3577" t="s">
        <v>193</v>
      </c>
      <c r="U1092" s="3578">
        <f t="array" ref="U1092">IFERROR(VLOOKUP(T1078,Dex!$B$3:$N1218,9,FALSE),"")</f>
        <v>110</v>
      </c>
      <c r="V1092" s="3579" t="str">
        <f t="array" ref="V1092">IFERROR(VLOOKUP(U1092,Dex!$P$22:$Q$276,2,FALSE),"")</f>
        <v/>
      </c>
      <c r="W1092" s="3580">
        <v>252.0</v>
      </c>
      <c r="X1092" s="3569"/>
      <c r="Y1092" s="3577" t="s">
        <v>193</v>
      </c>
      <c r="Z1092" s="3578">
        <f t="array" ref="Z1092">IFERROR(VLOOKUP(Y1078,Dex!$B$3:$N1218,9,FALSE),"")</f>
        <v>80</v>
      </c>
      <c r="AA1092" s="3579" t="str">
        <f t="array" ref="AA1092">IFERROR(VLOOKUP(Z1092,Dex!$P$22:$Q$276,2,FALSE),"")</f>
        <v/>
      </c>
      <c r="AB1092" s="3580"/>
      <c r="AC1092" s="3569"/>
      <c r="AD1092" s="3577" t="s">
        <v>193</v>
      </c>
      <c r="AE1092" s="3578">
        <f t="array" ref="AE1092">IFERROR(VLOOKUP(AD1078,Dex!$B$3:$N1218,9,FALSE),"")</f>
        <v>120</v>
      </c>
      <c r="AF1092" s="3579" t="str">
        <f t="array" ref="AF1092">IFERROR(VLOOKUP(AE1092,Dex!$P$22:$Q$276,2,FALSE),"")</f>
        <v/>
      </c>
      <c r="AG1092" s="3580"/>
      <c r="AH1092" s="3570"/>
      <c r="AI1092" s="6192"/>
    </row>
    <row r="1093" ht="16.5" customHeight="1">
      <c r="A1093" s="6185"/>
      <c r="B1093" s="3563"/>
      <c r="C1093" s="3555"/>
      <c r="D1093" s="3564"/>
      <c r="E1093" s="3577" t="s">
        <v>194</v>
      </c>
      <c r="F1093" s="3578">
        <f t="array" ref="F1093">IFERROR(VLOOKUP(E1078,Dex!$B$3:$N1218,10,FALSE),"")</f>
        <v>90</v>
      </c>
      <c r="G1093" s="3579" t="str">
        <f t="array" ref="G1093">IFERROR(VLOOKUP(F1093,Dex!$P$22:$Q$276,2,FALSE),"")</f>
        <v/>
      </c>
      <c r="H1093" s="3580">
        <v>4.0</v>
      </c>
      <c r="I1093" s="3575"/>
      <c r="J1093" s="3577" t="s">
        <v>194</v>
      </c>
      <c r="K1093" s="3578">
        <f t="array" ref="K1093">IFERROR(VLOOKUP(J1078,Dex!$B$3:$N1218,10,FALSE),"")</f>
        <v>105</v>
      </c>
      <c r="L1093" s="3579" t="str">
        <f t="array" ref="L1093">IFERROR(VLOOKUP(K1093,Dex!$P$22:$Q$276,2,FALSE),"")</f>
        <v/>
      </c>
      <c r="M1093" s="3580">
        <v>252.0</v>
      </c>
      <c r="N1093" s="3564"/>
      <c r="O1093" s="3577" t="s">
        <v>194</v>
      </c>
      <c r="P1093" s="3578">
        <f t="array" ref="P1093">IFERROR(VLOOKUP(O1078,Dex!$B$3:$N1218,10,FALSE),"")</f>
        <v>45</v>
      </c>
      <c r="Q1093" s="3579" t="str">
        <f t="array" ref="Q1093">IFERROR(VLOOKUP(P1093,Dex!$P$22:$Q$276,2,FALSE),"")</f>
        <v/>
      </c>
      <c r="R1093" s="3580">
        <v>4.0</v>
      </c>
      <c r="S1093" s="3569"/>
      <c r="T1093" s="3577" t="s">
        <v>194</v>
      </c>
      <c r="U1093" s="3578">
        <f t="array" ref="U1093">IFERROR(VLOOKUP(T1078,Dex!$B$3:$N1218,10,FALSE),"")</f>
        <v>125</v>
      </c>
      <c r="V1093" s="3579" t="str">
        <f t="array" ref="V1093">IFERROR(VLOOKUP(U1093,Dex!$P$22:$Q$276,2,FALSE),"")</f>
        <v/>
      </c>
      <c r="W1093" s="3580"/>
      <c r="X1093" s="3569"/>
      <c r="Y1093" s="3577" t="s">
        <v>194</v>
      </c>
      <c r="Z1093" s="3578">
        <f t="array" ref="Z1093">IFERROR(VLOOKUP(Y1078,Dex!$B$3:$N1218,10,FALSE),"")</f>
        <v>90</v>
      </c>
      <c r="AA1093" s="3579" t="str">
        <f t="array" ref="AA1093">IFERROR(VLOOKUP(Z1093,Dex!$P$22:$Q$276,2,FALSE),"")</f>
        <v/>
      </c>
      <c r="AB1093" s="3580">
        <v>4.0</v>
      </c>
      <c r="AC1093" s="3569"/>
      <c r="AD1093" s="3577" t="s">
        <v>194</v>
      </c>
      <c r="AE1093" s="3578">
        <f t="array" ref="AE1093">IFERROR(VLOOKUP(AD1078,Dex!$B$3:$N1218,10,FALSE),"")</f>
        <v>80</v>
      </c>
      <c r="AF1093" s="3579" t="str">
        <f t="array" ref="AF1093">IFERROR(VLOOKUP(AE1093,Dex!$P$22:$Q$276,2,FALSE),"")</f>
        <v/>
      </c>
      <c r="AG1093" s="3580">
        <v>4.0</v>
      </c>
      <c r="AH1093" s="3570"/>
      <c r="AI1093" s="6192"/>
    </row>
    <row r="1094" ht="16.5" customHeight="1">
      <c r="A1094" s="6185"/>
      <c r="B1094" s="3563"/>
      <c r="C1094" s="3555"/>
      <c r="D1094" s="3564"/>
      <c r="E1094" s="3577" t="s">
        <v>195</v>
      </c>
      <c r="F1094" s="3578">
        <f t="array" ref="F1094">IFERROR(VLOOKUP(E1078,Dex!$B$3:$N1218,11,FALSE),"")</f>
        <v>105</v>
      </c>
      <c r="G1094" s="3579" t="str">
        <f t="array" ref="G1094">IFERROR(VLOOKUP(F1094,Dex!$P$22:$Q$276,2,FALSE),"")</f>
        <v/>
      </c>
      <c r="H1094" s="3580"/>
      <c r="I1094" s="3575"/>
      <c r="J1094" s="3577" t="s">
        <v>195</v>
      </c>
      <c r="K1094" s="3578">
        <f t="array" ref="K1094">IFERROR(VLOOKUP(J1078,Dex!$B$3:$N1218,11,FALSE),"")</f>
        <v>53</v>
      </c>
      <c r="L1094" s="3579" t="str">
        <f t="array" ref="L1094">IFERROR(VLOOKUP(K1094,Dex!$P$22:$Q$276,2,FALSE),"")</f>
        <v/>
      </c>
      <c r="M1094" s="3580"/>
      <c r="N1094" s="3564"/>
      <c r="O1094" s="3577" t="s">
        <v>195</v>
      </c>
      <c r="P1094" s="3578">
        <f t="array" ref="P1094">IFERROR(VLOOKUP(O1078,Dex!$B$3:$N1218,11,FALSE),"")</f>
        <v>135</v>
      </c>
      <c r="Q1094" s="3579" t="str">
        <f t="array" ref="Q1094">IFERROR(VLOOKUP(P1094,Dex!$P$22:$Q$276,2,FALSE),"")</f>
        <v/>
      </c>
      <c r="R1094" s="3580">
        <v>252.0</v>
      </c>
      <c r="S1094" s="3569"/>
      <c r="T1094" s="3577" t="s">
        <v>195</v>
      </c>
      <c r="U1094" s="3578">
        <f t="array" ref="U1094">IFERROR(VLOOKUP(T1078,Dex!$B$3:$N1218,11,FALSE),"")</f>
        <v>100</v>
      </c>
      <c r="V1094" s="3579" t="str">
        <f t="array" ref="V1094">IFERROR(VLOOKUP(U1094,Dex!$P$22:$Q$276,2,FALSE),"")</f>
        <v/>
      </c>
      <c r="W1094" s="3580">
        <v>4.0</v>
      </c>
      <c r="X1094" s="3569"/>
      <c r="Y1094" s="3577" t="s">
        <v>195</v>
      </c>
      <c r="Z1094" s="3578">
        <f t="array" ref="Z1094">IFERROR(VLOOKUP(Y1078,Dex!$B$3:$N1218,11,FALSE),"")</f>
        <v>110</v>
      </c>
      <c r="AA1094" s="3579" t="str">
        <f t="array" ref="AA1094">IFERROR(VLOOKUP(Z1094,Dex!$P$22:$Q$276,2,FALSE),"")</f>
        <v/>
      </c>
      <c r="AB1094" s="3580">
        <v>252.0</v>
      </c>
      <c r="AC1094" s="3569"/>
      <c r="AD1094" s="3577" t="s">
        <v>195</v>
      </c>
      <c r="AE1094" s="3578">
        <f t="array" ref="AE1094">IFERROR(VLOOKUP(AD1078,Dex!$B$3:$N1218,11,FALSE),"")</f>
        <v>155</v>
      </c>
      <c r="AF1094" s="3579" t="str">
        <f t="array" ref="AF1094">IFERROR(VLOOKUP(AE1094,Dex!$P$22:$Q$276,2,FALSE),"")</f>
        <v/>
      </c>
      <c r="AG1094" s="3580">
        <v>252.0</v>
      </c>
      <c r="AH1094" s="3570"/>
      <c r="AI1094" s="6192"/>
    </row>
    <row r="1095" ht="16.5" customHeight="1">
      <c r="A1095" s="6185"/>
      <c r="B1095" s="3563"/>
      <c r="C1095" s="3555"/>
      <c r="D1095" s="3564"/>
      <c r="E1095" s="3577" t="s">
        <v>196</v>
      </c>
      <c r="F1095" s="3578">
        <f t="array" ref="F1095">IFERROR(VLOOKUP(E1078,Dex!$B$3:$N1218,12,FALSE),"")</f>
        <v>80</v>
      </c>
      <c r="G1095" s="3579" t="str">
        <f t="array" ref="G1095">IFERROR(VLOOKUP(F1095,Dex!$P$22:$Q$276,2,FALSE),"")</f>
        <v/>
      </c>
      <c r="H1095" s="3580"/>
      <c r="I1095" s="3575"/>
      <c r="J1095" s="3577" t="s">
        <v>196</v>
      </c>
      <c r="K1095" s="3578">
        <f t="array" ref="K1095">IFERROR(VLOOKUP(J1078,Dex!$B$3:$N1218,12,FALSE),"")</f>
        <v>85</v>
      </c>
      <c r="L1095" s="3579" t="str">
        <f t="array" ref="L1095">IFERROR(VLOOKUP(K1095,Dex!$P$22:$Q$276,2,FALSE),"")</f>
        <v/>
      </c>
      <c r="M1095" s="3580">
        <v>4.0</v>
      </c>
      <c r="N1095" s="3564"/>
      <c r="O1095" s="3577" t="s">
        <v>196</v>
      </c>
      <c r="P1095" s="3578">
        <f t="array" ref="P1095">IFERROR(VLOOKUP(O1078,Dex!$B$3:$N1218,12,FALSE),"")</f>
        <v>95</v>
      </c>
      <c r="Q1095" s="3579" t="str">
        <f t="array" ref="Q1095">IFERROR(VLOOKUP(P1095,Dex!$P$22:$Q$276,2,FALSE),"")</f>
        <v/>
      </c>
      <c r="R1095" s="3580"/>
      <c r="S1095" s="3569"/>
      <c r="T1095" s="3577" t="s">
        <v>196</v>
      </c>
      <c r="U1095" s="3578">
        <f t="array" ref="U1095">IFERROR(VLOOKUP(T1078,Dex!$B$3:$N1218,12,FALSE),"")</f>
        <v>105</v>
      </c>
      <c r="V1095" s="3579" t="str">
        <f t="array" ref="V1095">IFERROR(VLOOKUP(U1095,Dex!$P$22:$Q$276,2,FALSE),"")</f>
        <v/>
      </c>
      <c r="W1095" s="3580"/>
      <c r="X1095" s="3569"/>
      <c r="Y1095" s="3577" t="s">
        <v>196</v>
      </c>
      <c r="Z1095" s="3578">
        <f t="array" ref="Z1095">IFERROR(VLOOKUP(Y1078,Dex!$B$3:$N1218,12,FALSE),"")</f>
        <v>130</v>
      </c>
      <c r="AA1095" s="3579" t="str">
        <f t="array" ref="AA1095">IFERROR(VLOOKUP(Z1095,Dex!$P$22:$Q$276,2,FALSE),"")</f>
        <v/>
      </c>
      <c r="AB1095" s="3580"/>
      <c r="AC1095" s="3569"/>
      <c r="AD1095" s="3577" t="s">
        <v>196</v>
      </c>
      <c r="AE1095" s="3578">
        <f t="array" ref="AE1095">IFERROR(VLOOKUP(AD1078,Dex!$B$3:$N1218,12,FALSE),"")</f>
        <v>80</v>
      </c>
      <c r="AF1095" s="3579" t="str">
        <f t="array" ref="AF1095">IFERROR(VLOOKUP(AE1095,Dex!$P$22:$Q$276,2,FALSE),"")</f>
        <v/>
      </c>
      <c r="AG1095" s="3580"/>
      <c r="AH1095" s="3570"/>
      <c r="AI1095" s="6192"/>
    </row>
    <row r="1096" ht="16.5" customHeight="1">
      <c r="A1096" s="6185"/>
      <c r="B1096" s="3563"/>
      <c r="C1096" s="3555"/>
      <c r="D1096" s="3564"/>
      <c r="E1096" s="3583" t="s">
        <v>197</v>
      </c>
      <c r="F1096" s="3584">
        <f t="array" ref="F1096">IFERROR(VLOOKUP(E1078,Dex!$B$3:$N1218,13,FALSE),"")</f>
        <v>91</v>
      </c>
      <c r="G1096" s="3585" t="str">
        <f t="array" ref="G1096">IFERROR(VLOOKUP(F1096,Dex!$P$22:$Q$276,2,FALSE),"")</f>
        <v/>
      </c>
      <c r="H1096" s="3586">
        <v>252.0</v>
      </c>
      <c r="I1096" s="3575"/>
      <c r="J1096" s="3583" t="s">
        <v>197</v>
      </c>
      <c r="K1096" s="3584">
        <f t="array" ref="K1096">IFERROR(VLOOKUP(J1078,Dex!$B$3:$N1218,13,FALSE),"")</f>
        <v>67</v>
      </c>
      <c r="L1096" s="3585" t="str">
        <f t="array" ref="L1096">IFERROR(VLOOKUP(K1096,Dex!$P$22:$Q$276,2,FALSE),"")</f>
        <v/>
      </c>
      <c r="M1096" s="3586"/>
      <c r="N1096" s="3564"/>
      <c r="O1096" s="3583" t="s">
        <v>197</v>
      </c>
      <c r="P1096" s="3584">
        <f t="array" ref="P1096">IFERROR(VLOOKUP(O1078,Dex!$B$3:$N1218,13,FALSE),"")</f>
        <v>120</v>
      </c>
      <c r="Q1096" s="3585" t="str">
        <f t="array" ref="Q1096">IFERROR(VLOOKUP(P1096,Dex!$P$22:$Q$276,2,FALSE),"")</f>
        <v/>
      </c>
      <c r="R1096" s="3586">
        <v>252.0</v>
      </c>
      <c r="S1096" s="3569"/>
      <c r="T1096" s="3583" t="s">
        <v>197</v>
      </c>
      <c r="U1096" s="3584">
        <f t="array" ref="U1096">IFERROR(VLOOKUP(T1078,Dex!$B$3:$N1218,13,FALSE),"")</f>
        <v>85</v>
      </c>
      <c r="V1096" s="3585" t="str">
        <f t="array" ref="V1096">IFERROR(VLOOKUP(U1096,Dex!$P$22:$Q$276,2,FALSE),"")</f>
        <v/>
      </c>
      <c r="W1096" s="3586">
        <v>252.0</v>
      </c>
      <c r="X1096" s="3569"/>
      <c r="Y1096" s="3583" t="s">
        <v>197</v>
      </c>
      <c r="Z1096" s="3584">
        <f t="array" ref="Z1096">IFERROR(VLOOKUP(Y1078,Dex!$B$3:$N1218,13,FALSE),"")</f>
        <v>110</v>
      </c>
      <c r="AA1096" s="3585" t="str">
        <f t="array" ref="AA1096">IFERROR(VLOOKUP(Z1096,Dex!$P$22:$Q$276,2,FALSE),"")</f>
        <v/>
      </c>
      <c r="AB1096" s="3586">
        <v>252.0</v>
      </c>
      <c r="AC1096" s="3569"/>
      <c r="AD1096" s="3583" t="s">
        <v>197</v>
      </c>
      <c r="AE1096" s="3584">
        <f t="array" ref="AE1096">IFERROR(VLOOKUP(AD1078,Dex!$B$3:$N1218,13,FALSE),"")</f>
        <v>111</v>
      </c>
      <c r="AF1096" s="3585" t="str">
        <f t="array" ref="AF1096">IFERROR(VLOOKUP(AE1096,Dex!$P$22:$Q$276,2,FALSE),"")</f>
        <v/>
      </c>
      <c r="AG1096" s="3586">
        <v>252.0</v>
      </c>
      <c r="AH1096" s="3570"/>
      <c r="AI1096" s="6192"/>
    </row>
    <row r="1097" ht="16.5" customHeight="1">
      <c r="A1097" s="6185"/>
      <c r="B1097" s="3563"/>
      <c r="C1097" s="3555"/>
      <c r="D1097" s="5140"/>
      <c r="E1097" s="3587" t="s">
        <v>198</v>
      </c>
      <c r="F1097" s="405"/>
      <c r="G1097" s="406"/>
      <c r="H1097" s="3588">
        <v>309.0</v>
      </c>
      <c r="I1097" s="3567"/>
      <c r="J1097" s="3587" t="s">
        <v>198</v>
      </c>
      <c r="K1097" s="405"/>
      <c r="L1097" s="406"/>
      <c r="M1097" s="3588">
        <v>170.0</v>
      </c>
      <c r="N1097" s="5140"/>
      <c r="O1097" s="3587" t="s">
        <v>198</v>
      </c>
      <c r="P1097" s="405"/>
      <c r="Q1097" s="406"/>
      <c r="R1097" s="3588">
        <v>372.0</v>
      </c>
      <c r="S1097" s="5154"/>
      <c r="T1097" s="5141" t="s">
        <v>198</v>
      </c>
      <c r="U1097" s="918"/>
      <c r="V1097" s="919"/>
      <c r="W1097" s="5142">
        <v>295.0</v>
      </c>
      <c r="X1097" s="5154"/>
      <c r="Y1097" s="3587" t="s">
        <v>198</v>
      </c>
      <c r="Z1097" s="405"/>
      <c r="AA1097" s="406"/>
      <c r="AB1097" s="3588">
        <v>350.0</v>
      </c>
      <c r="AC1097" s="5154"/>
      <c r="AD1097" s="3587" t="s">
        <v>198</v>
      </c>
      <c r="AE1097" s="405"/>
      <c r="AF1097" s="406"/>
      <c r="AG1097" s="3588">
        <v>353.0</v>
      </c>
      <c r="AH1097" s="3570"/>
      <c r="AI1097" s="6192"/>
    </row>
    <row r="1098" ht="16.5" customHeight="1">
      <c r="A1098" s="6185"/>
      <c r="B1098" s="5143"/>
      <c r="C1098" s="5144"/>
      <c r="D1098" s="5145"/>
      <c r="E1098" s="5146"/>
      <c r="F1098" s="5146"/>
      <c r="G1098" s="5146"/>
      <c r="H1098" s="5144"/>
      <c r="I1098" s="5147"/>
      <c r="J1098" s="5146"/>
      <c r="K1098" s="5146"/>
      <c r="L1098" s="5146"/>
      <c r="M1098" s="5144"/>
      <c r="N1098" s="5145"/>
      <c r="O1098" s="5146"/>
      <c r="P1098" s="5146"/>
      <c r="Q1098" s="5146"/>
      <c r="R1098" s="5144"/>
      <c r="S1098" s="5155"/>
      <c r="T1098" s="5149" t="s">
        <v>1819</v>
      </c>
      <c r="U1098" s="925"/>
      <c r="V1098" s="926"/>
      <c r="W1098" s="5150">
        <v>442.0</v>
      </c>
      <c r="X1098" s="5155"/>
      <c r="Y1098" s="5146"/>
      <c r="Z1098" s="5146"/>
      <c r="AA1098" s="5146"/>
      <c r="AB1098" s="5144"/>
      <c r="AC1098" s="5155"/>
      <c r="AD1098" s="5146"/>
      <c r="AE1098" s="5146"/>
      <c r="AF1098" s="5146"/>
      <c r="AG1098" s="5144"/>
      <c r="AH1098" s="5151"/>
      <c r="AI1098" s="6192"/>
    </row>
    <row r="1099" ht="15.0" customHeight="1">
      <c r="A1099" s="6185"/>
      <c r="B1099" s="3589"/>
      <c r="C1099" s="3590"/>
      <c r="D1099" s="3591"/>
      <c r="E1099" s="3592"/>
      <c r="F1099" s="3592"/>
      <c r="G1099" s="3592"/>
      <c r="H1099" s="3593"/>
      <c r="I1099" s="3593"/>
      <c r="J1099" s="3592"/>
      <c r="K1099" s="3592"/>
      <c r="L1099" s="3592"/>
      <c r="M1099" s="3593"/>
      <c r="N1099" s="3595"/>
      <c r="O1099" s="3596"/>
      <c r="P1099" s="3596"/>
      <c r="Q1099" s="3597"/>
      <c r="R1099" s="3597"/>
      <c r="S1099" s="3597"/>
      <c r="T1099" s="3596"/>
      <c r="U1099" s="3596"/>
      <c r="V1099" s="3597"/>
      <c r="W1099" s="3597"/>
      <c r="X1099" s="3595"/>
      <c r="Y1099" s="3596"/>
      <c r="Z1099" s="3596"/>
      <c r="AA1099" s="3597"/>
      <c r="AB1099" s="3597"/>
      <c r="AC1099" s="3598"/>
      <c r="AD1099" s="3596"/>
      <c r="AE1099" s="3596"/>
      <c r="AF1099" s="3597"/>
      <c r="AG1099" s="3597"/>
      <c r="AH1099" s="3599"/>
      <c r="AI1099" s="6192"/>
    </row>
    <row r="1100" ht="15.0" customHeight="1">
      <c r="A1100" s="6185"/>
      <c r="B1100" s="3491"/>
      <c r="C1100" s="3492"/>
      <c r="D1100" s="3493"/>
      <c r="E1100" s="3494"/>
      <c r="F1100" s="3494"/>
      <c r="G1100" s="3494"/>
      <c r="H1100" s="3494"/>
      <c r="I1100" s="3493"/>
      <c r="J1100" s="3494"/>
      <c r="K1100" s="3494"/>
      <c r="L1100" s="3494"/>
      <c r="M1100" s="3494"/>
      <c r="N1100" s="3493"/>
      <c r="O1100" s="3494"/>
      <c r="P1100" s="3494"/>
      <c r="Q1100" s="3494"/>
      <c r="R1100" s="3494"/>
      <c r="S1100" s="3493"/>
      <c r="T1100" s="3494"/>
      <c r="U1100" s="3494"/>
      <c r="V1100" s="3494"/>
      <c r="W1100" s="3494"/>
      <c r="X1100" s="3493"/>
      <c r="Y1100" s="3494"/>
      <c r="Z1100" s="3494"/>
      <c r="AA1100" s="3494"/>
      <c r="AB1100" s="3494"/>
      <c r="AC1100" s="3493"/>
      <c r="AD1100" s="3494"/>
      <c r="AE1100" s="3494"/>
      <c r="AF1100" s="3494"/>
      <c r="AG1100" s="3494"/>
      <c r="AH1100" s="3495"/>
      <c r="AI1100" s="6192"/>
    </row>
    <row r="1101" ht="96.75" customHeight="1">
      <c r="A1101" s="6185"/>
      <c r="B1101" s="3496"/>
      <c r="C1101" s="3497" t="str">
        <f>IMAGE("https://i.ibb.co/26kF6WW/Ace-Trainer-F.png")</f>
        <v/>
      </c>
      <c r="D1101" s="3498"/>
      <c r="E1101" s="3499" t="str">
        <f t="array" ref="E1101">IFERROR(VLOOKUP(E1102,Dex!$B$3:$G1218,3,FALSE),"")</f>
        <v/>
      </c>
      <c r="F1101" s="381"/>
      <c r="G1101" s="381"/>
      <c r="H1101" s="2531"/>
      <c r="I1101" s="3500"/>
      <c r="J1101" s="3499" t="str">
        <f t="array" ref="J1101">IFERROR(VLOOKUP(J1102,Dex!$B$3:$G1218,3,FALSE),"")</f>
        <v/>
      </c>
      <c r="K1101" s="381"/>
      <c r="L1101" s="381"/>
      <c r="M1101" s="2531"/>
      <c r="N1101" s="5127"/>
      <c r="O1101" s="3499" t="str">
        <f t="array" ref="O1101">IFERROR(VLOOKUP(O1102,Dex!$B$3:$G1218,3,FALSE),"")</f>
        <v/>
      </c>
      <c r="P1101" s="381"/>
      <c r="Q1101" s="381"/>
      <c r="R1101" s="2531"/>
      <c r="S1101" s="5128"/>
      <c r="T1101" s="3499" t="str">
        <f t="array" ref="T1101">IFERROR(VLOOKUP(T1102,Dex!$B$3:$G1218,3,FALSE),"")</f>
        <v/>
      </c>
      <c r="U1101" s="381"/>
      <c r="V1101" s="381"/>
      <c r="W1101" s="2531"/>
      <c r="X1101" s="5127"/>
      <c r="Y1101" s="3499" t="str">
        <f t="array" ref="Y1101">IFERROR(VLOOKUP(Y1102,Dex!$B$3:$G1218,3,FALSE),"")</f>
        <v/>
      </c>
      <c r="Z1101" s="381"/>
      <c r="AA1101" s="381"/>
      <c r="AB1101" s="2531"/>
      <c r="AC1101" s="5128"/>
      <c r="AD1101" s="3499" t="str">
        <f t="array" ref="AD1101">IFERROR(VLOOKUP(AD1102,Dex!$B$3:$G1218,3,FALSE),"")</f>
        <v/>
      </c>
      <c r="AE1101" s="381"/>
      <c r="AF1101" s="381"/>
      <c r="AG1101" s="2531"/>
      <c r="AH1101" s="5181"/>
      <c r="AI1101" s="6192"/>
    </row>
    <row r="1102" ht="18.75" customHeight="1">
      <c r="A1102" s="6185"/>
      <c r="B1102" s="6302"/>
      <c r="C1102" s="6303" t="s">
        <v>1820</v>
      </c>
      <c r="D1102" s="6304"/>
      <c r="E1102" s="5129" t="s">
        <v>1821</v>
      </c>
      <c r="F1102" s="3512"/>
      <c r="G1102" s="3512"/>
      <c r="H1102" s="5130"/>
      <c r="J1102" s="5129" t="s">
        <v>1264</v>
      </c>
      <c r="K1102" s="3512"/>
      <c r="L1102" s="3512"/>
      <c r="M1102" s="5130"/>
      <c r="O1102" s="5129" t="s">
        <v>1454</v>
      </c>
      <c r="P1102" s="3512"/>
      <c r="Q1102" s="3512"/>
      <c r="R1102" s="5130"/>
      <c r="T1102" s="5129" t="s">
        <v>1182</v>
      </c>
      <c r="U1102" s="3512"/>
      <c r="V1102" s="3512"/>
      <c r="W1102" s="5130"/>
      <c r="Y1102" s="5129" t="s">
        <v>1271</v>
      </c>
      <c r="Z1102" s="3512"/>
      <c r="AA1102" s="3512"/>
      <c r="AB1102" s="5130"/>
      <c r="AD1102" s="5129" t="s">
        <v>1662</v>
      </c>
      <c r="AE1102" s="3512"/>
      <c r="AF1102" s="3512"/>
      <c r="AG1102" s="5130"/>
      <c r="AH1102" s="5182"/>
      <c r="AI1102" s="6192"/>
    </row>
    <row r="1103">
      <c r="A1103" s="6185"/>
      <c r="B1103" s="6305"/>
      <c r="C1103" s="3030"/>
      <c r="D1103" s="6306"/>
      <c r="E1103" s="5131" t="s">
        <v>1502</v>
      </c>
      <c r="F1103" s="3521"/>
      <c r="G1103" s="3521"/>
      <c r="H1103" s="5132"/>
      <c r="J1103" s="5131" t="s">
        <v>1502</v>
      </c>
      <c r="K1103" s="3521"/>
      <c r="L1103" s="3521"/>
      <c r="M1103" s="5132"/>
      <c r="O1103" s="5131" t="s">
        <v>1502</v>
      </c>
      <c r="P1103" s="3521"/>
      <c r="Q1103" s="3521"/>
      <c r="R1103" s="5132"/>
      <c r="T1103" s="5131" t="s">
        <v>1502</v>
      </c>
      <c r="U1103" s="3521"/>
      <c r="V1103" s="3521"/>
      <c r="W1103" s="5132"/>
      <c r="Y1103" s="5131" t="s">
        <v>1502</v>
      </c>
      <c r="Z1103" s="3521"/>
      <c r="AA1103" s="3521"/>
      <c r="AB1103" s="5132"/>
      <c r="AD1103" s="5131" t="s">
        <v>1502</v>
      </c>
      <c r="AE1103" s="3521"/>
      <c r="AF1103" s="3521"/>
      <c r="AG1103" s="5132"/>
      <c r="AH1103" s="5183"/>
      <c r="AI1103" s="6192"/>
    </row>
    <row r="1104" ht="25.5" customHeight="1">
      <c r="A1104" s="6185"/>
      <c r="B1104" s="6307"/>
      <c r="C1104" s="3030"/>
      <c r="D1104" s="6308"/>
      <c r="E1104" s="5133"/>
      <c r="F1104" s="3526" t="str">
        <f t="array" ref="F1104">IFERROR(VLOOKUP(E1102,Dex!$B$3:$H1218,5,FALSE),"")</f>
        <v/>
      </c>
      <c r="G1104" s="3527"/>
      <c r="H1104" s="5136"/>
      <c r="J1104" s="5133"/>
      <c r="K1104" s="5134" t="str">
        <f t="array" ref="K1104">IFERROR(VLOOKUP(J1102,Dex!$B$3:$H1218,5,FALSE),"")</f>
        <v/>
      </c>
      <c r="L1104" s="5135" t="str">
        <f t="array" ref="L1104">IFERROR(VLOOKUP(J1102,Dex!$B$3:$H1218,7,FALSE),"")</f>
        <v/>
      </c>
      <c r="M1104" s="5136"/>
      <c r="O1104" s="5133"/>
      <c r="P1104" s="3526" t="str">
        <f t="array" ref="P1104">IFERROR(VLOOKUP(O1102,Dex!$B$3:$H1218,5,FALSE),"")</f>
        <v/>
      </c>
      <c r="Q1104" s="3527"/>
      <c r="R1104" s="5136"/>
      <c r="T1104" s="5133"/>
      <c r="U1104" s="3526" t="str">
        <f t="array" ref="U1104">IFERROR(VLOOKUP(T1102,Dex!$B$3:$H1218,5,FALSE),"")</f>
        <v/>
      </c>
      <c r="V1104" s="3527"/>
      <c r="W1104" s="5136"/>
      <c r="Y1104" s="5133"/>
      <c r="Z1104" s="5134" t="str">
        <f t="array" ref="Z1104">IFERROR(VLOOKUP(Y1102,Dex!$B$3:$H1218,5,FALSE),"")</f>
        <v/>
      </c>
      <c r="AA1104" s="5135" t="str">
        <f t="array" ref="AA1104">IFERROR(VLOOKUP(Y1102,Dex!$B$3:$H1218,7,FALSE),"")</f>
        <v/>
      </c>
      <c r="AB1104" s="5136"/>
      <c r="AD1104" s="5133"/>
      <c r="AE1104" s="5134" t="str">
        <f t="array" ref="AE1104">IFERROR(VLOOKUP(AD1102,Dex!$B$3:$H1218,5,FALSE),"")</f>
        <v/>
      </c>
      <c r="AF1104" s="5135" t="str">
        <f t="array" ref="AF1104">IFERROR(VLOOKUP(AD1102,Dex!$B$3:$H1218,7,FALSE),"")</f>
        <v/>
      </c>
      <c r="AG1104" s="5136"/>
      <c r="AH1104" s="3507"/>
      <c r="AI1104" s="6192"/>
    </row>
    <row r="1105" ht="2.25" customHeight="1">
      <c r="A1105" s="6185"/>
      <c r="B1105" s="6307"/>
      <c r="C1105" s="3030"/>
      <c r="D1105" s="6308"/>
      <c r="E1105" s="5137"/>
      <c r="F1105" s="5138"/>
      <c r="G1105" s="5138"/>
      <c r="H1105" s="5139"/>
      <c r="J1105" s="5137"/>
      <c r="K1105" s="5138"/>
      <c r="L1105" s="5138"/>
      <c r="M1105" s="5139"/>
      <c r="O1105" s="5137"/>
      <c r="P1105" s="5138"/>
      <c r="Q1105" s="5138"/>
      <c r="R1105" s="5139"/>
      <c r="T1105" s="5137"/>
      <c r="U1105" s="5138"/>
      <c r="V1105" s="5138"/>
      <c r="W1105" s="5139"/>
      <c r="Y1105" s="5137"/>
      <c r="Z1105" s="5138"/>
      <c r="AA1105" s="5138"/>
      <c r="AB1105" s="5139"/>
      <c r="AD1105" s="5137"/>
      <c r="AE1105" s="5138"/>
      <c r="AF1105" s="5138"/>
      <c r="AG1105" s="5139"/>
      <c r="AH1105" s="3507"/>
      <c r="AI1105" s="6192"/>
    </row>
    <row r="1106" ht="20.25" customHeight="1">
      <c r="A1106" s="6185"/>
      <c r="B1106" s="6307"/>
      <c r="C1106" s="3045"/>
      <c r="D1106" s="6308"/>
      <c r="E1106" s="3534" t="s">
        <v>205</v>
      </c>
      <c r="F1106" s="3535"/>
      <c r="G1106" s="3535"/>
      <c r="H1106" s="3536"/>
      <c r="J1106" s="3534" t="s">
        <v>205</v>
      </c>
      <c r="K1106" s="3535"/>
      <c r="L1106" s="3535"/>
      <c r="M1106" s="3536"/>
      <c r="O1106" s="3534" t="s">
        <v>205</v>
      </c>
      <c r="P1106" s="3535"/>
      <c r="Q1106" s="3535"/>
      <c r="R1106" s="3536"/>
      <c r="T1106" s="3534" t="s">
        <v>172</v>
      </c>
      <c r="U1106" s="3535"/>
      <c r="V1106" s="3535"/>
      <c r="W1106" s="3536"/>
      <c r="Y1106" s="3534" t="s">
        <v>172</v>
      </c>
      <c r="Z1106" s="3535"/>
      <c r="AA1106" s="3535"/>
      <c r="AB1106" s="3536"/>
      <c r="AD1106" s="3534" t="s">
        <v>205</v>
      </c>
      <c r="AE1106" s="3535"/>
      <c r="AF1106" s="3535"/>
      <c r="AG1106" s="3536"/>
      <c r="AH1106" s="5181"/>
      <c r="AI1106" s="6192"/>
    </row>
    <row r="1107">
      <c r="A1107" s="6185"/>
      <c r="B1107" s="3496"/>
      <c r="C1107" s="6309"/>
      <c r="D1107" s="3498"/>
      <c r="E1107" s="3538" t="s">
        <v>1080</v>
      </c>
      <c r="F1107" s="3503"/>
      <c r="G1107" s="3503"/>
      <c r="H1107" s="3539"/>
      <c r="J1107" s="3538" t="s">
        <v>990</v>
      </c>
      <c r="K1107" s="3503"/>
      <c r="L1107" s="3503"/>
      <c r="M1107" s="3539"/>
      <c r="O1107" s="3538" t="s">
        <v>575</v>
      </c>
      <c r="P1107" s="3503"/>
      <c r="Q1107" s="3503"/>
      <c r="R1107" s="3539"/>
      <c r="T1107" s="3538" t="s">
        <v>1184</v>
      </c>
      <c r="U1107" s="3503"/>
      <c r="V1107" s="3503"/>
      <c r="W1107" s="3539"/>
      <c r="Y1107" s="3538" t="s">
        <v>1822</v>
      </c>
      <c r="Z1107" s="3503"/>
      <c r="AA1107" s="3503"/>
      <c r="AB1107" s="3539"/>
      <c r="AD1107" s="3538" t="s">
        <v>1069</v>
      </c>
      <c r="AE1107" s="3503"/>
      <c r="AF1107" s="3503"/>
      <c r="AG1107" s="3539"/>
      <c r="AH1107" s="5181"/>
      <c r="AI1107" s="6192"/>
    </row>
    <row r="1108" ht="20.25" customHeight="1">
      <c r="A1108" s="6185"/>
      <c r="B1108" s="3496"/>
      <c r="C1108" s="3516"/>
      <c r="D1108" s="3498"/>
      <c r="E1108" s="3540" t="s">
        <v>394</v>
      </c>
      <c r="F1108" s="3541"/>
      <c r="G1108" s="3542"/>
      <c r="H1108" s="3543" t="str">
        <f>IMAGE("https://raw.githubusercontent.com/msikma/pokesprite/master/items/hold-item/leftovers.png",3)</f>
        <v/>
      </c>
      <c r="J1108" s="3540" t="s">
        <v>394</v>
      </c>
      <c r="K1108" s="3541"/>
      <c r="L1108" s="3542"/>
      <c r="M1108" s="3543" t="str">
        <f>IMAGE("https://raw.githubusercontent.com/msikma/pokesprite/master/items/hold-item/leftovers.png",3)</f>
        <v/>
      </c>
      <c r="O1108" s="3540" t="s">
        <v>240</v>
      </c>
      <c r="P1108" s="3541"/>
      <c r="Q1108" s="3542"/>
      <c r="R1108" s="3543" t="str">
        <f>IMAGE("https://raw.githubusercontent.com/msikma/pokesprite/master/items/hold-item/focus-sash.png",3)</f>
        <v/>
      </c>
      <c r="T1108" s="3540" t="s">
        <v>1761</v>
      </c>
      <c r="U1108" s="3541"/>
      <c r="V1108" s="3542"/>
      <c r="W1108" s="3543" t="str">
        <f>IMAGE("https://raw.githubusercontent.com/msikma/pokesprite/master/items/z-crystals/groundium-z--held.png",3)</f>
        <v/>
      </c>
      <c r="Y1108" s="3540" t="s">
        <v>1275</v>
      </c>
      <c r="Z1108" s="3541"/>
      <c r="AA1108" s="3542"/>
      <c r="AB1108" s="3543" t="str">
        <f>IMAGE("https://raw.githubusercontent.com/msikma/pokesprite/master/items/mega-stone/absolite.png",3)</f>
        <v/>
      </c>
      <c r="AD1108" s="3540" t="s">
        <v>177</v>
      </c>
      <c r="AE1108" s="3541"/>
      <c r="AF1108" s="3542"/>
      <c r="AG1108" s="3543" t="str">
        <f>IMAGE("https://raw.githubusercontent.com/msikma/pokesprite/master/items/hold-item/air-balloon.png",3)</f>
        <v/>
      </c>
      <c r="AH1108" s="3507"/>
      <c r="AI1108" s="6192"/>
    </row>
    <row r="1109" ht="20.25" customHeight="1">
      <c r="A1109" s="6185"/>
      <c r="B1109" s="3496"/>
      <c r="C1109" s="3544"/>
      <c r="D1109" s="3498"/>
      <c r="E1109" s="3534" t="s">
        <v>1715</v>
      </c>
      <c r="F1109" s="3535"/>
      <c r="G1109" s="3545"/>
      <c r="H1109" s="3546" t="str">
        <f>IMAGE("https://raw.githubusercontent.com/msikma/pokesprite/master/misc/types/gen8/normal.png",4,20,20)</f>
        <v/>
      </c>
      <c r="J1109" s="3534" t="s">
        <v>1299</v>
      </c>
      <c r="K1109" s="3535"/>
      <c r="L1109" s="3545"/>
      <c r="M1109" s="3546" t="str">
        <f>IMAGE("https://raw.githubusercontent.com/msikma/pokesprite/master/misc/types/gen8/bug.png",4,20,20)</f>
        <v/>
      </c>
      <c r="O1109" s="3534" t="s">
        <v>1466</v>
      </c>
      <c r="P1109" s="3535"/>
      <c r="Q1109" s="3545"/>
      <c r="R1109" s="3546" t="str">
        <f t="shared" ref="R1109:R1110" si="42">IMAGE("https://raw.githubusercontent.com/msikma/pokesprite/master/misc/types/gen8/dark.png",4,20,20)</f>
        <v/>
      </c>
      <c r="T1109" s="3534" t="s">
        <v>402</v>
      </c>
      <c r="U1109" s="3535"/>
      <c r="V1109" s="3545"/>
      <c r="W1109" s="3546" t="str">
        <f>IMAGE("https://raw.githubusercontent.com/msikma/pokesprite/master/misc/types/gen8/ground.png",4,20,20)</f>
        <v/>
      </c>
      <c r="Y1109" s="3534" t="s">
        <v>540</v>
      </c>
      <c r="Z1109" s="3535"/>
      <c r="AA1109" s="3545"/>
      <c r="AB1109" s="3546" t="str">
        <f>IMAGE("https://raw.githubusercontent.com/msikma/pokesprite/master/misc/types/gen8/dark.png",4,20,20)</f>
        <v/>
      </c>
      <c r="AD1109" s="3534" t="s">
        <v>277</v>
      </c>
      <c r="AE1109" s="3535"/>
      <c r="AF1109" s="3545"/>
      <c r="AG1109" s="3546" t="str">
        <f>IMAGE("https://raw.githubusercontent.com/msikma/pokesprite/master/misc/types/gen8/electric.png",4,20,20)</f>
        <v/>
      </c>
      <c r="AH1109" s="3507"/>
      <c r="AI1109" s="6192"/>
    </row>
    <row r="1110" ht="20.25" customHeight="1">
      <c r="A1110" s="6185"/>
      <c r="B1110" s="3496"/>
      <c r="C1110" s="3529"/>
      <c r="D1110" s="3498"/>
      <c r="E1110" s="3538" t="s">
        <v>1351</v>
      </c>
      <c r="F1110" s="3503"/>
      <c r="G1110" s="3504"/>
      <c r="H1110" s="3547" t="str">
        <f>IMAGE("https://raw.githubusercontent.com/msikma/pokesprite/master/misc/types/gen8/grass.png",4,20,20)</f>
        <v/>
      </c>
      <c r="J1110" s="3538" t="s">
        <v>791</v>
      </c>
      <c r="K1110" s="3503"/>
      <c r="L1110" s="3504"/>
      <c r="M1110" s="3547" t="str">
        <f>IMAGE("https://raw.githubusercontent.com/msikma/pokesprite/master/misc/types/gen8/fire.png",4,20,20)</f>
        <v/>
      </c>
      <c r="O1110" s="3538" t="s">
        <v>401</v>
      </c>
      <c r="P1110" s="3503"/>
      <c r="Q1110" s="3504"/>
      <c r="R1110" s="3547" t="str">
        <f t="shared" si="42"/>
        <v/>
      </c>
      <c r="T1110" s="3538" t="s">
        <v>399</v>
      </c>
      <c r="U1110" s="3503"/>
      <c r="V1110" s="3504"/>
      <c r="W1110" s="3547" t="str">
        <f>IMAGE("https://raw.githubusercontent.com/msikma/pokesprite/master/misc/types/gen8/rock.png",4,20,20)</f>
        <v/>
      </c>
      <c r="Y1110" s="3538" t="s">
        <v>608</v>
      </c>
      <c r="Z1110" s="3503"/>
      <c r="AA1110" s="3504"/>
      <c r="AB1110" s="3547" t="str">
        <f>IMAGE("https://raw.githubusercontent.com/msikma/pokesprite/master/misc/types/gen8/psychic.png",4,20,20)</f>
        <v/>
      </c>
      <c r="AD1110" s="3538" t="s">
        <v>405</v>
      </c>
      <c r="AE1110" s="3503"/>
      <c r="AF1110" s="3504"/>
      <c r="AG1110" s="3547" t="str">
        <f>IMAGE("https://raw.githubusercontent.com/msikma/pokesprite/master/misc/types/gen8/poison.png",4,20,20)</f>
        <v/>
      </c>
      <c r="AH1110" s="3507"/>
      <c r="AI1110" s="6192"/>
    </row>
    <row r="1111" ht="20.25" customHeight="1">
      <c r="A1111" s="6185"/>
      <c r="B1111" s="3496"/>
      <c r="C1111" s="3529"/>
      <c r="D1111" s="3498"/>
      <c r="E1111" s="3538" t="s">
        <v>605</v>
      </c>
      <c r="F1111" s="3503"/>
      <c r="G1111" s="3504"/>
      <c r="H1111" s="3547" t="str">
        <f>IMAGE("https://raw.githubusercontent.com/msikma/pokesprite/master/misc/types/gen8/normal.png",4,20,20)</f>
        <v/>
      </c>
      <c r="J1111" s="3538" t="s">
        <v>247</v>
      </c>
      <c r="K1111" s="3503"/>
      <c r="L1111" s="3504"/>
      <c r="M1111" s="3547" t="str">
        <f>IMAGE("https://raw.githubusercontent.com/msikma/pokesprite/master/misc/types/gen8/bug.png",4,20,20)</f>
        <v/>
      </c>
      <c r="O1111" s="3538" t="s">
        <v>280</v>
      </c>
      <c r="P1111" s="3503"/>
      <c r="Q1111" s="3504"/>
      <c r="R1111" s="3547" t="str">
        <f>IMAGE("https://raw.githubusercontent.com/msikma/pokesprite/master/misc/types/gen8/poison.png",4,20,20)</f>
        <v/>
      </c>
      <c r="T1111" s="3538" t="s">
        <v>541</v>
      </c>
      <c r="U1111" s="3503"/>
      <c r="V1111" s="3504"/>
      <c r="W1111" s="3547" t="str">
        <f>IMAGE("https://raw.githubusercontent.com/msikma/pokesprite/master/misc/types/gen8/dark.png",4,20,20)</f>
        <v/>
      </c>
      <c r="Y1111" s="3538" t="s">
        <v>316</v>
      </c>
      <c r="Z1111" s="3503"/>
      <c r="AA1111" s="3504"/>
      <c r="AB1111" s="3547" t="str">
        <f>IMAGE("https://raw.githubusercontent.com/msikma/pokesprite/master/misc/types/gen8/fighting.png",4,20,20)</f>
        <v/>
      </c>
      <c r="AD1111" s="3538" t="s">
        <v>242</v>
      </c>
      <c r="AE1111" s="3503"/>
      <c r="AF1111" s="3504"/>
      <c r="AG1111" s="3547" t="str">
        <f>IMAGE("https://raw.githubusercontent.com/msikma/pokesprite/master/misc/types/gen8/electric.png",4,20,20)</f>
        <v/>
      </c>
      <c r="AH1111" s="3507"/>
      <c r="AI1111" s="6192"/>
    </row>
    <row r="1112" ht="21.0" customHeight="1">
      <c r="A1112" s="6185"/>
      <c r="B1112" s="3496"/>
      <c r="C1112" s="3529"/>
      <c r="D1112" s="3498"/>
      <c r="E1112" s="3548" t="s">
        <v>457</v>
      </c>
      <c r="F1112" s="3549"/>
      <c r="G1112" s="3550"/>
      <c r="H1112" s="3551" t="str">
        <f>IMAGE("https://raw.githubusercontent.com/msikma/pokesprite/master/misc/types/gen8/grass.png",4,20,20)</f>
        <v/>
      </c>
      <c r="I1112" s="3552"/>
      <c r="J1112" s="3548" t="s">
        <v>251</v>
      </c>
      <c r="K1112" s="3549"/>
      <c r="L1112" s="3550"/>
      <c r="M1112" s="3551" t="str">
        <f>IMAGE("https://raw.githubusercontent.com/msikma/pokesprite/master/misc/types/gen8/flying.png",4,20,20)</f>
        <v/>
      </c>
      <c r="N1112" s="3552"/>
      <c r="O1112" s="3548" t="s">
        <v>372</v>
      </c>
      <c r="P1112" s="3549"/>
      <c r="Q1112" s="3550"/>
      <c r="R1112" s="3551" t="str">
        <f>IMAGE("https://raw.githubusercontent.com/msikma/pokesprite/master/misc/types/gen8/fire.png",4,20,20)</f>
        <v/>
      </c>
      <c r="S1112" s="3552"/>
      <c r="T1112" s="3548" t="s">
        <v>584</v>
      </c>
      <c r="U1112" s="3549"/>
      <c r="V1112" s="3550"/>
      <c r="W1112" s="3551" t="str">
        <f>IMAGE("https://raw.githubusercontent.com/msikma/pokesprite/master/misc/types/gen8/ghost.png",4,20,20)</f>
        <v/>
      </c>
      <c r="X1112" s="3552"/>
      <c r="Y1112" s="3548" t="s">
        <v>541</v>
      </c>
      <c r="Z1112" s="3549"/>
      <c r="AA1112" s="3550"/>
      <c r="AB1112" s="3551" t="str">
        <f>IMAGE("https://raw.githubusercontent.com/msikma/pokesprite/master/misc/types/gen8/dark.png",4,20,20)</f>
        <v/>
      </c>
      <c r="AC1112" s="3552"/>
      <c r="AD1112" s="3548" t="s">
        <v>223</v>
      </c>
      <c r="AE1112" s="3549"/>
      <c r="AF1112" s="3550"/>
      <c r="AG1112" s="3551" t="str">
        <f>IMAGE("https://raw.githubusercontent.com/msikma/pokesprite/master/misc/types/gen8/grass.png",4,20,20)</f>
        <v/>
      </c>
      <c r="AH1112" s="3507"/>
      <c r="AI1112" s="6192"/>
    </row>
    <row r="1113" ht="3.0" customHeight="1">
      <c r="A1113" s="6185"/>
      <c r="B1113" s="3554"/>
      <c r="C1113" s="3555"/>
      <c r="D1113" s="3556"/>
      <c r="E1113" s="3558"/>
      <c r="F1113" s="3558"/>
      <c r="G1113" s="3558"/>
      <c r="H1113" s="3557"/>
      <c r="I1113" s="3556"/>
      <c r="J1113" s="3558"/>
      <c r="K1113" s="3558"/>
      <c r="L1113" s="3558"/>
      <c r="M1113" s="3557"/>
      <c r="N1113" s="3556"/>
      <c r="O1113" s="3558"/>
      <c r="P1113" s="3558"/>
      <c r="Q1113" s="3558"/>
      <c r="R1113" s="3557"/>
      <c r="S1113" s="3559"/>
      <c r="T1113" s="3558"/>
      <c r="U1113" s="3558"/>
      <c r="V1113" s="3558"/>
      <c r="W1113" s="3557"/>
      <c r="X1113" s="3556"/>
      <c r="Y1113" s="3558"/>
      <c r="Z1113" s="3558"/>
      <c r="AA1113" s="3558"/>
      <c r="AB1113" s="3557"/>
      <c r="AC1113" s="3561"/>
      <c r="AD1113" s="3558"/>
      <c r="AE1113" s="3558"/>
      <c r="AF1113" s="3558"/>
      <c r="AG1113" s="3557"/>
      <c r="AH1113" s="3562"/>
      <c r="AI1113" s="6192"/>
    </row>
    <row r="1114" ht="16.5" customHeight="1">
      <c r="A1114" s="6185"/>
      <c r="B1114" s="3563"/>
      <c r="C1114" s="3555"/>
      <c r="D1114" s="5140"/>
      <c r="E1114" s="3565" t="s">
        <v>190</v>
      </c>
      <c r="F1114" s="381"/>
      <c r="G1114" s="382"/>
      <c r="H1114" s="3566" t="s">
        <v>191</v>
      </c>
      <c r="I1114" s="3567"/>
      <c r="J1114" s="3565" t="s">
        <v>190</v>
      </c>
      <c r="K1114" s="381"/>
      <c r="L1114" s="382"/>
      <c r="M1114" s="3566" t="s">
        <v>191</v>
      </c>
      <c r="N1114" s="5140"/>
      <c r="O1114" s="3565" t="s">
        <v>190</v>
      </c>
      <c r="P1114" s="381"/>
      <c r="Q1114" s="382"/>
      <c r="R1114" s="3566" t="s">
        <v>191</v>
      </c>
      <c r="S1114" s="5153"/>
      <c r="T1114" s="3565" t="s">
        <v>190</v>
      </c>
      <c r="U1114" s="381"/>
      <c r="V1114" s="382"/>
      <c r="W1114" s="3566" t="s">
        <v>191</v>
      </c>
      <c r="X1114" s="5154"/>
      <c r="Y1114" s="3565" t="s">
        <v>190</v>
      </c>
      <c r="Z1114" s="381"/>
      <c r="AA1114" s="382"/>
      <c r="AB1114" s="3566" t="s">
        <v>191</v>
      </c>
      <c r="AC1114" s="5154"/>
      <c r="AD1114" s="3565" t="s">
        <v>190</v>
      </c>
      <c r="AE1114" s="381"/>
      <c r="AF1114" s="382"/>
      <c r="AG1114" s="3566" t="s">
        <v>191</v>
      </c>
      <c r="AH1114" s="3570"/>
      <c r="AI1114" s="6192"/>
    </row>
    <row r="1115" ht="16.5" customHeight="1">
      <c r="A1115" s="6185"/>
      <c r="B1115" s="3563"/>
      <c r="C1115" s="3555"/>
      <c r="D1115" s="3564"/>
      <c r="E1115" s="3571" t="s">
        <v>192</v>
      </c>
      <c r="F1115" s="3572">
        <f t="array" ref="F1115">IFERROR(VLOOKUP(E1102,Dex!$B$3:$N1218,8,FALSE),"")</f>
        <v>75</v>
      </c>
      <c r="G1115" s="3573" t="str">
        <f t="array" ref="G1115">IFERROR(VLOOKUP(F1115,Dex!$P$22:$Q$276,2,FALSE),"")</f>
        <v/>
      </c>
      <c r="H1115" s="3574"/>
      <c r="I1115" s="3575"/>
      <c r="J1115" s="3571" t="s">
        <v>192</v>
      </c>
      <c r="K1115" s="3572">
        <f t="array" ref="K1115">IFERROR(VLOOKUP(J1102,Dex!$B$3:$N1218,8,FALSE),"")</f>
        <v>85</v>
      </c>
      <c r="L1115" s="3573" t="str">
        <f t="array" ref="L1115">IFERROR(VLOOKUP(K1115,Dex!$P$22:$Q$276,2,FALSE),"")</f>
        <v/>
      </c>
      <c r="M1115" s="3574">
        <v>252.0</v>
      </c>
      <c r="N1115" s="3564"/>
      <c r="O1115" s="3571" t="s">
        <v>192</v>
      </c>
      <c r="P1115" s="3572">
        <f t="array" ref="P1115">IFERROR(VLOOKUP(O1102,Dex!$B$3:$N1218,8,FALSE),"")</f>
        <v>60</v>
      </c>
      <c r="Q1115" s="3573" t="str">
        <f t="array" ref="Q1115">IFERROR(VLOOKUP(P1115,Dex!$P$22:$Q$276,2,FALSE),"")</f>
        <v/>
      </c>
      <c r="R1115" s="3574"/>
      <c r="S1115" s="3569"/>
      <c r="T1115" s="3571" t="s">
        <v>192</v>
      </c>
      <c r="U1115" s="3572">
        <f t="array" ref="U1115">IFERROR(VLOOKUP(T1102,Dex!$B$3:$N1218,8,FALSE),"")</f>
        <v>35</v>
      </c>
      <c r="V1115" s="3573" t="str">
        <f t="array" ref="V1115">IFERROR(VLOOKUP(U1115,Dex!$P$22:$Q$276,2,FALSE),"")</f>
        <v/>
      </c>
      <c r="W1115" s="3574"/>
      <c r="X1115" s="3569"/>
      <c r="Y1115" s="3571" t="s">
        <v>192</v>
      </c>
      <c r="Z1115" s="3572">
        <f t="array" ref="Z1115">IFERROR(VLOOKUP(Y1102,Dex!$B$3:$N1218,8,FALSE),"")</f>
        <v>65</v>
      </c>
      <c r="AA1115" s="3573" t="str">
        <f t="array" ref="AA1115">IFERROR(VLOOKUP(Z1115,Dex!$P$22:$Q$276,2,FALSE),"")</f>
        <v/>
      </c>
      <c r="AB1115" s="3574"/>
      <c r="AC1115" s="3569"/>
      <c r="AD1115" s="3571" t="s">
        <v>192</v>
      </c>
      <c r="AE1115" s="3572">
        <f t="array" ref="AE1115">IFERROR(VLOOKUP(AD1102,Dex!$B$3:$N1218,8,FALSE),"")</f>
        <v>80</v>
      </c>
      <c r="AF1115" s="3573" t="str">
        <f t="array" ref="AF1115">IFERROR(VLOOKUP(AE1115,Dex!$P$22:$Q$276,2,FALSE),"")</f>
        <v/>
      </c>
      <c r="AG1115" s="3574"/>
      <c r="AH1115" s="3570"/>
      <c r="AI1115" s="6192"/>
    </row>
    <row r="1116" ht="16.5" customHeight="1">
      <c r="A1116" s="6185"/>
      <c r="B1116" s="3563"/>
      <c r="C1116" s="3555"/>
      <c r="D1116" s="3564"/>
      <c r="E1116" s="3577" t="s">
        <v>193</v>
      </c>
      <c r="F1116" s="3578">
        <f t="array" ref="F1116">IFERROR(VLOOKUP(E1102,Dex!$B$3:$N1218,9,FALSE),"")</f>
        <v>75</v>
      </c>
      <c r="G1116" s="3579" t="str">
        <f t="array" ref="G1116">IFERROR(VLOOKUP(F1116,Dex!$P$22:$Q$276,2,FALSE),"")</f>
        <v/>
      </c>
      <c r="H1116" s="3580"/>
      <c r="I1116" s="3575"/>
      <c r="J1116" s="3577" t="s">
        <v>193</v>
      </c>
      <c r="K1116" s="3578">
        <f t="array" ref="K1116">IFERROR(VLOOKUP(J1102,Dex!$B$3:$N1218,9,FALSE),"")</f>
        <v>60</v>
      </c>
      <c r="L1116" s="3579" t="str">
        <f t="array" ref="L1116">IFERROR(VLOOKUP(K1116,Dex!$P$22:$Q$276,2,FALSE),"")</f>
        <v/>
      </c>
      <c r="M1116" s="3580"/>
      <c r="N1116" s="3564"/>
      <c r="O1116" s="3577" t="s">
        <v>193</v>
      </c>
      <c r="P1116" s="3578">
        <f t="array" ref="P1116">IFERROR(VLOOKUP(O1102,Dex!$B$3:$N1218,9,FALSE),"")</f>
        <v>105</v>
      </c>
      <c r="Q1116" s="3579" t="str">
        <f t="array" ref="Q1116">IFERROR(VLOOKUP(P1116,Dex!$P$22:$Q$276,2,FALSE),"")</f>
        <v/>
      </c>
      <c r="R1116" s="3580"/>
      <c r="S1116" s="3569"/>
      <c r="T1116" s="3577" t="s">
        <v>193</v>
      </c>
      <c r="U1116" s="3578">
        <f t="array" ref="U1116">IFERROR(VLOOKUP(T1102,Dex!$B$3:$N1218,9,FALSE),"")</f>
        <v>100</v>
      </c>
      <c r="V1116" s="3579" t="str">
        <f t="array" ref="V1116">IFERROR(VLOOKUP(U1116,Dex!$P$22:$Q$276,2,FALSE),"")</f>
        <v/>
      </c>
      <c r="W1116" s="3580">
        <v>252.0</v>
      </c>
      <c r="X1116" s="3569"/>
      <c r="Y1116" s="3577" t="s">
        <v>193</v>
      </c>
      <c r="Z1116" s="3578">
        <f t="array" ref="Z1116">IFERROR(VLOOKUP(Y1102,Dex!$B$3:$N1218,9,FALSE),"")</f>
        <v>150</v>
      </c>
      <c r="AA1116" s="3579" t="str">
        <f t="array" ref="AA1116">IFERROR(VLOOKUP(Z1116,Dex!$P$22:$Q$276,2,FALSE),"")</f>
        <v/>
      </c>
      <c r="AB1116" s="3580">
        <v>252.0</v>
      </c>
      <c r="AC1116" s="3569"/>
      <c r="AD1116" s="3577" t="s">
        <v>193</v>
      </c>
      <c r="AE1116" s="3578">
        <f t="array" ref="AE1116">IFERROR(VLOOKUP(AD1102,Dex!$B$3:$N1218,9,FALSE),"")</f>
        <v>30</v>
      </c>
      <c r="AF1116" s="3579" t="str">
        <f t="array" ref="AF1116">IFERROR(VLOOKUP(AE1116,Dex!$P$22:$Q$276,2,FALSE),"")</f>
        <v/>
      </c>
      <c r="AG1116" s="3580"/>
      <c r="AH1116" s="3570"/>
      <c r="AI1116" s="6192"/>
    </row>
    <row r="1117" ht="16.5" customHeight="1">
      <c r="A1117" s="6185"/>
      <c r="B1117" s="3563"/>
      <c r="C1117" s="3555"/>
      <c r="D1117" s="3564"/>
      <c r="E1117" s="3577" t="s">
        <v>194</v>
      </c>
      <c r="F1117" s="3578">
        <f t="array" ref="F1117">IFERROR(VLOOKUP(E1102,Dex!$B$3:$N1218,10,FALSE),"")</f>
        <v>95</v>
      </c>
      <c r="G1117" s="3579" t="str">
        <f t="array" ref="G1117">IFERROR(VLOOKUP(F1117,Dex!$P$22:$Q$276,2,FALSE),"")</f>
        <v/>
      </c>
      <c r="H1117" s="3580">
        <v>4.0</v>
      </c>
      <c r="I1117" s="3575"/>
      <c r="J1117" s="3577" t="s">
        <v>194</v>
      </c>
      <c r="K1117" s="3578">
        <f t="array" ref="K1117">IFERROR(VLOOKUP(J1102,Dex!$B$3:$N1218,10,FALSE),"")</f>
        <v>65</v>
      </c>
      <c r="L1117" s="3579" t="str">
        <f t="array" ref="L1117">IFERROR(VLOOKUP(K1117,Dex!$P$22:$Q$276,2,FALSE),"")</f>
        <v/>
      </c>
      <c r="M1117" s="3580"/>
      <c r="N1117" s="3564"/>
      <c r="O1117" s="3577" t="s">
        <v>194</v>
      </c>
      <c r="P1117" s="3578">
        <f t="array" ref="P1117">IFERROR(VLOOKUP(O1102,Dex!$B$3:$N1218,10,FALSE),"")</f>
        <v>60</v>
      </c>
      <c r="Q1117" s="3579" t="str">
        <f t="array" ref="Q1117">IFERROR(VLOOKUP(P1117,Dex!$P$22:$Q$276,2,FALSE),"")</f>
        <v/>
      </c>
      <c r="R1117" s="3580">
        <v>4.0</v>
      </c>
      <c r="S1117" s="3569"/>
      <c r="T1117" s="3577" t="s">
        <v>194</v>
      </c>
      <c r="U1117" s="3578">
        <f t="array" ref="U1117">IFERROR(VLOOKUP(T1102,Dex!$B$3:$N1218,10,FALSE),"")</f>
        <v>50</v>
      </c>
      <c r="V1117" s="3579" t="str">
        <f t="array" ref="V1117">IFERROR(VLOOKUP(U1117,Dex!$P$22:$Q$276,2,FALSE),"")</f>
        <v/>
      </c>
      <c r="W1117" s="3580">
        <v>4.0</v>
      </c>
      <c r="X1117" s="3569"/>
      <c r="Y1117" s="3577" t="s">
        <v>194</v>
      </c>
      <c r="Z1117" s="3578">
        <f t="array" ref="Z1117">IFERROR(VLOOKUP(Y1102,Dex!$B$3:$N1218,10,FALSE),"")</f>
        <v>60</v>
      </c>
      <c r="AA1117" s="3579" t="str">
        <f t="array" ref="AA1117">IFERROR(VLOOKUP(Z1117,Dex!$P$22:$Q$276,2,FALSE),"")</f>
        <v/>
      </c>
      <c r="AB1117" s="3580">
        <v>4.0</v>
      </c>
      <c r="AC1117" s="3569"/>
      <c r="AD1117" s="3577" t="s">
        <v>194</v>
      </c>
      <c r="AE1117" s="3578">
        <f t="array" ref="AE1117">IFERROR(VLOOKUP(AD1102,Dex!$B$3:$N1218,10,FALSE),"")</f>
        <v>70</v>
      </c>
      <c r="AF1117" s="3579" t="str">
        <f t="array" ref="AF1117">IFERROR(VLOOKUP(AE1117,Dex!$P$22:$Q$276,2,FALSE),"")</f>
        <v/>
      </c>
      <c r="AG1117" s="3580">
        <v>4.0</v>
      </c>
      <c r="AH1117" s="3570"/>
      <c r="AI1117" s="6192"/>
    </row>
    <row r="1118" ht="16.5" customHeight="1">
      <c r="A1118" s="6185"/>
      <c r="B1118" s="3563"/>
      <c r="C1118" s="3555"/>
      <c r="D1118" s="3564"/>
      <c r="E1118" s="3577" t="s">
        <v>195</v>
      </c>
      <c r="F1118" s="3578">
        <f t="array" ref="F1118">IFERROR(VLOOKUP(E1102,Dex!$B$3:$N1218,11,FALSE),"")</f>
        <v>75</v>
      </c>
      <c r="G1118" s="3579" t="str">
        <f t="array" ref="G1118">IFERROR(VLOOKUP(F1118,Dex!$P$22:$Q$276,2,FALSE),"")</f>
        <v/>
      </c>
      <c r="H1118" s="3580">
        <v>252.0</v>
      </c>
      <c r="I1118" s="3575"/>
      <c r="J1118" s="3577" t="s">
        <v>195</v>
      </c>
      <c r="K1118" s="3578">
        <f t="array" ref="K1118">IFERROR(VLOOKUP(J1102,Dex!$B$3:$N1218,11,FALSE),"")</f>
        <v>135</v>
      </c>
      <c r="L1118" s="3579" t="str">
        <f t="array" ref="L1118">IFERROR(VLOOKUP(K1118,Dex!$P$22:$Q$276,2,FALSE),"")</f>
        <v/>
      </c>
      <c r="M1118" s="3580">
        <v>4.0</v>
      </c>
      <c r="N1118" s="3564"/>
      <c r="O1118" s="3577" t="s">
        <v>195</v>
      </c>
      <c r="P1118" s="3578">
        <f t="array" ref="P1118">IFERROR(VLOOKUP(O1102,Dex!$B$3:$N1218,11,FALSE),"")</f>
        <v>120</v>
      </c>
      <c r="Q1118" s="3579" t="str">
        <f t="array" ref="Q1118">IFERROR(VLOOKUP(P1118,Dex!$P$22:$Q$276,2,FALSE),"")</f>
        <v/>
      </c>
      <c r="R1118" s="3580">
        <v>252.0</v>
      </c>
      <c r="S1118" s="3569"/>
      <c r="T1118" s="3577" t="s">
        <v>195</v>
      </c>
      <c r="U1118" s="3578">
        <f t="array" ref="U1118">IFERROR(VLOOKUP(T1102,Dex!$B$3:$N1218,11,FALSE),"")</f>
        <v>50</v>
      </c>
      <c r="V1118" s="3579" t="str">
        <f t="array" ref="V1118">IFERROR(VLOOKUP(U1118,Dex!$P$22:$Q$276,2,FALSE),"")</f>
        <v/>
      </c>
      <c r="W1118" s="3580"/>
      <c r="X1118" s="3569"/>
      <c r="Y1118" s="3577" t="s">
        <v>195</v>
      </c>
      <c r="Z1118" s="3578">
        <f t="array" ref="Z1118">IFERROR(VLOOKUP(Y1102,Dex!$B$3:$N1218,11,FALSE),"")</f>
        <v>115</v>
      </c>
      <c r="AA1118" s="3579" t="str">
        <f t="array" ref="AA1118">IFERROR(VLOOKUP(Z1118,Dex!$P$22:$Q$276,2,FALSE),"")</f>
        <v/>
      </c>
      <c r="AB1118" s="3580"/>
      <c r="AC1118" s="3569"/>
      <c r="AD1118" s="3577" t="s">
        <v>195</v>
      </c>
      <c r="AE1118" s="3578">
        <f t="array" ref="AE1118">IFERROR(VLOOKUP(AD1102,Dex!$B$3:$N1218,11,FALSE),"")</f>
        <v>100</v>
      </c>
      <c r="AF1118" s="3579" t="str">
        <f t="array" ref="AF1118">IFERROR(VLOOKUP(AE1118,Dex!$P$22:$Q$276,2,FALSE),"")</f>
        <v/>
      </c>
      <c r="AG1118" s="3580">
        <v>252.0</v>
      </c>
      <c r="AH1118" s="3570"/>
      <c r="AI1118" s="6192"/>
    </row>
    <row r="1119" ht="16.5" customHeight="1">
      <c r="A1119" s="6185"/>
      <c r="B1119" s="3563"/>
      <c r="C1119" s="3555"/>
      <c r="D1119" s="3564"/>
      <c r="E1119" s="3577" t="s">
        <v>196</v>
      </c>
      <c r="F1119" s="3578">
        <f t="array" ref="F1119">IFERROR(VLOOKUP(E1102,Dex!$B$3:$N1218,12,FALSE),"")</f>
        <v>95</v>
      </c>
      <c r="G1119" s="3579" t="str">
        <f t="array" ref="G1119">IFERROR(VLOOKUP(F1119,Dex!$P$22:$Q$276,2,FALSE),"")</f>
        <v/>
      </c>
      <c r="H1119" s="3580"/>
      <c r="I1119" s="3575"/>
      <c r="J1119" s="3577" t="s">
        <v>196</v>
      </c>
      <c r="K1119" s="3578">
        <f t="array" ref="K1119">IFERROR(VLOOKUP(J1102,Dex!$B$3:$N1218,12,FALSE),"")</f>
        <v>105</v>
      </c>
      <c r="L1119" s="3579" t="str">
        <f t="array" ref="L1119">IFERROR(VLOOKUP(K1119,Dex!$P$22:$Q$276,2,FALSE),"")</f>
        <v/>
      </c>
      <c r="M1119" s="3580"/>
      <c r="N1119" s="3564"/>
      <c r="O1119" s="3577" t="s">
        <v>196</v>
      </c>
      <c r="P1119" s="3578">
        <f t="array" ref="P1119">IFERROR(VLOOKUP(O1102,Dex!$B$3:$N1218,12,FALSE),"")</f>
        <v>60</v>
      </c>
      <c r="Q1119" s="3579" t="str">
        <f t="array" ref="Q1119">IFERROR(VLOOKUP(P1119,Dex!$P$22:$Q$276,2,FALSE),"")</f>
        <v/>
      </c>
      <c r="R1119" s="3580"/>
      <c r="S1119" s="3569"/>
      <c r="T1119" s="3577" t="s">
        <v>196</v>
      </c>
      <c r="U1119" s="3578">
        <f t="array" ref="U1119">IFERROR(VLOOKUP(T1102,Dex!$B$3:$N1218,12,FALSE),"")</f>
        <v>70</v>
      </c>
      <c r="V1119" s="3579" t="str">
        <f t="array" ref="V1119">IFERROR(VLOOKUP(U1119,Dex!$P$22:$Q$276,2,FALSE),"")</f>
        <v/>
      </c>
      <c r="W1119" s="3580"/>
      <c r="X1119" s="3569"/>
      <c r="Y1119" s="3577" t="s">
        <v>196</v>
      </c>
      <c r="Z1119" s="3578">
        <f t="array" ref="Z1119">IFERROR(VLOOKUP(Y1102,Dex!$B$3:$N1218,12,FALSE),"")</f>
        <v>60</v>
      </c>
      <c r="AA1119" s="3579" t="str">
        <f t="array" ref="AA1119">IFERROR(VLOOKUP(Z1119,Dex!$P$22:$Q$276,2,FALSE),"")</f>
        <v/>
      </c>
      <c r="AB1119" s="3580"/>
      <c r="AC1119" s="3569"/>
      <c r="AD1119" s="3577" t="s">
        <v>196</v>
      </c>
      <c r="AE1119" s="3578">
        <f t="array" ref="AE1119">IFERROR(VLOOKUP(AD1102,Dex!$B$3:$N1218,12,FALSE),"")</f>
        <v>120</v>
      </c>
      <c r="AF1119" s="3579" t="str">
        <f t="array" ref="AF1119">IFERROR(VLOOKUP(AE1119,Dex!$P$22:$Q$276,2,FALSE),"")</f>
        <v/>
      </c>
      <c r="AG1119" s="3580"/>
      <c r="AH1119" s="3570"/>
      <c r="AI1119" s="6192"/>
    </row>
    <row r="1120" ht="16.5" customHeight="1">
      <c r="A1120" s="6185"/>
      <c r="B1120" s="3563"/>
      <c r="C1120" s="3555"/>
      <c r="D1120" s="3564"/>
      <c r="E1120" s="3583" t="s">
        <v>197</v>
      </c>
      <c r="F1120" s="3584">
        <f t="array" ref="F1120">IFERROR(VLOOKUP(E1102,Dex!$B$3:$N1218,13,FALSE),"")</f>
        <v>113</v>
      </c>
      <c r="G1120" s="3585" t="str">
        <f t="array" ref="G1120">IFERROR(VLOOKUP(F1120,Dex!$P$22:$Q$276,2,FALSE),"")</f>
        <v/>
      </c>
      <c r="H1120" s="3586">
        <v>252.0</v>
      </c>
      <c r="I1120" s="3575"/>
      <c r="J1120" s="3583" t="s">
        <v>197</v>
      </c>
      <c r="K1120" s="3584">
        <f t="array" ref="K1120">IFERROR(VLOOKUP(J1102,Dex!$B$3:$N1218,13,FALSE),"")</f>
        <v>100</v>
      </c>
      <c r="L1120" s="3585" t="str">
        <f t="array" ref="L1120">IFERROR(VLOOKUP(K1120,Dex!$P$22:$Q$276,2,FALSE),"")</f>
        <v/>
      </c>
      <c r="M1120" s="3586">
        <v>252.0</v>
      </c>
      <c r="N1120" s="3564"/>
      <c r="O1120" s="3583" t="s">
        <v>197</v>
      </c>
      <c r="P1120" s="3584">
        <f t="array" ref="P1120">IFERROR(VLOOKUP(O1102,Dex!$B$3:$N1218,13,FALSE),"")</f>
        <v>105</v>
      </c>
      <c r="Q1120" s="3585" t="str">
        <f t="array" ref="Q1120">IFERROR(VLOOKUP(P1120,Dex!$P$22:$Q$276,2,FALSE),"")</f>
        <v/>
      </c>
      <c r="R1120" s="3586">
        <v>252.0</v>
      </c>
      <c r="S1120" s="3569"/>
      <c r="T1120" s="3583" t="s">
        <v>197</v>
      </c>
      <c r="U1120" s="3584">
        <f t="array" ref="U1120">IFERROR(VLOOKUP(T1102,Dex!$B$3:$N1218,13,FALSE),"")</f>
        <v>120</v>
      </c>
      <c r="V1120" s="3585" t="str">
        <f t="array" ref="V1120">IFERROR(VLOOKUP(U1120,Dex!$P$22:$Q$276,2,FALSE),"")</f>
        <v/>
      </c>
      <c r="W1120" s="3586">
        <v>252.0</v>
      </c>
      <c r="X1120" s="3569"/>
      <c r="Y1120" s="3583" t="s">
        <v>197</v>
      </c>
      <c r="Z1120" s="3584">
        <f t="array" ref="Z1120">IFERROR(VLOOKUP(Y1102,Dex!$B$3:$N1218,13,FALSE),"")</f>
        <v>115</v>
      </c>
      <c r="AA1120" s="3585" t="str">
        <f t="array" ref="AA1120">IFERROR(VLOOKUP(Z1120,Dex!$P$22:$Q$276,2,FALSE),"")</f>
        <v/>
      </c>
      <c r="AB1120" s="3586">
        <v>252.0</v>
      </c>
      <c r="AC1120" s="3569"/>
      <c r="AD1120" s="3583" t="s">
        <v>197</v>
      </c>
      <c r="AE1120" s="3584">
        <f t="array" ref="AE1120">IFERROR(VLOOKUP(AD1102,Dex!$B$3:$N1218,13,FALSE),"")</f>
        <v>95</v>
      </c>
      <c r="AF1120" s="3585" t="str">
        <f t="array" ref="AF1120">IFERROR(VLOOKUP(AE1120,Dex!$P$22:$Q$276,2,FALSE),"")</f>
        <v/>
      </c>
      <c r="AG1120" s="3586">
        <v>252.0</v>
      </c>
      <c r="AH1120" s="3570"/>
      <c r="AI1120" s="6192"/>
    </row>
    <row r="1121" ht="16.5" customHeight="1">
      <c r="A1121" s="6185"/>
      <c r="B1121" s="3563"/>
      <c r="C1121" s="3555"/>
      <c r="D1121" s="5140"/>
      <c r="E1121" s="3587" t="s">
        <v>198</v>
      </c>
      <c r="F1121" s="405"/>
      <c r="G1121" s="406"/>
      <c r="H1121" s="3588">
        <v>357.0</v>
      </c>
      <c r="I1121" s="3567"/>
      <c r="J1121" s="3587" t="s">
        <v>198</v>
      </c>
      <c r="K1121" s="405"/>
      <c r="L1121" s="406"/>
      <c r="M1121" s="3588">
        <v>328.0</v>
      </c>
      <c r="N1121" s="5140"/>
      <c r="O1121" s="3587" t="s">
        <v>198</v>
      </c>
      <c r="P1121" s="405"/>
      <c r="Q1121" s="406"/>
      <c r="R1121" s="3588">
        <v>339.0</v>
      </c>
      <c r="S1121" s="5154"/>
      <c r="T1121" s="3587" t="s">
        <v>198</v>
      </c>
      <c r="U1121" s="405"/>
      <c r="V1121" s="406"/>
      <c r="W1121" s="3588">
        <v>372.0</v>
      </c>
      <c r="X1121" s="5154"/>
      <c r="Y1121" s="3587" t="s">
        <v>198</v>
      </c>
      <c r="Z1121" s="405"/>
      <c r="AA1121" s="406"/>
      <c r="AB1121" s="3588">
        <v>361.0</v>
      </c>
      <c r="AC1121" s="5154"/>
      <c r="AD1121" s="3587" t="s">
        <v>198</v>
      </c>
      <c r="AE1121" s="405"/>
      <c r="AF1121" s="406"/>
      <c r="AG1121" s="3588">
        <v>317.0</v>
      </c>
      <c r="AH1121" s="3570"/>
      <c r="AI1121" s="6192"/>
    </row>
    <row r="1122" ht="15.0" customHeight="1">
      <c r="A1122" s="6185"/>
      <c r="B1122" s="3589"/>
      <c r="C1122" s="3590"/>
      <c r="D1122" s="3591"/>
      <c r="E1122" s="3594"/>
      <c r="F1122" s="3594"/>
      <c r="G1122" s="3594"/>
      <c r="H1122" s="3593"/>
      <c r="I1122" s="3593"/>
      <c r="J1122" s="3594"/>
      <c r="K1122" s="3594"/>
      <c r="L1122" s="3594"/>
      <c r="M1122" s="3593"/>
      <c r="N1122" s="3595"/>
      <c r="O1122" s="5156"/>
      <c r="P1122" s="5156"/>
      <c r="Q1122" s="5157"/>
      <c r="R1122" s="3597"/>
      <c r="S1122" s="3597"/>
      <c r="T1122" s="5156"/>
      <c r="U1122" s="5156"/>
      <c r="V1122" s="5157"/>
      <c r="W1122" s="3597"/>
      <c r="X1122" s="3595"/>
      <c r="Y1122" s="5156"/>
      <c r="Z1122" s="5156"/>
      <c r="AA1122" s="5157"/>
      <c r="AB1122" s="3597"/>
      <c r="AC1122" s="3598"/>
      <c r="AD1122" s="5156"/>
      <c r="AE1122" s="5156"/>
      <c r="AF1122" s="5157"/>
      <c r="AG1122" s="3597"/>
      <c r="AH1122" s="3599"/>
      <c r="AI1122" s="6192"/>
    </row>
    <row r="1123" ht="15.0" customHeight="1">
      <c r="A1123" s="6185"/>
      <c r="B1123" s="3491"/>
      <c r="C1123" s="3492"/>
      <c r="D1123" s="3493"/>
      <c r="E1123" s="3494"/>
      <c r="F1123" s="3494"/>
      <c r="G1123" s="3494"/>
      <c r="H1123" s="3494"/>
      <c r="I1123" s="3493"/>
      <c r="J1123" s="3494"/>
      <c r="K1123" s="3494"/>
      <c r="L1123" s="3494"/>
      <c r="M1123" s="3494"/>
      <c r="N1123" s="3493"/>
      <c r="O1123" s="3494"/>
      <c r="P1123" s="3494"/>
      <c r="Q1123" s="3494"/>
      <c r="R1123" s="3494"/>
      <c r="S1123" s="3493"/>
      <c r="T1123" s="3494"/>
      <c r="U1123" s="3494"/>
      <c r="V1123" s="3494"/>
      <c r="W1123" s="3494"/>
      <c r="X1123" s="3493"/>
      <c r="Y1123" s="3494"/>
      <c r="Z1123" s="3494"/>
      <c r="AA1123" s="3494"/>
      <c r="AB1123" s="3494"/>
      <c r="AC1123" s="3493"/>
      <c r="AD1123" s="3494"/>
      <c r="AE1123" s="3494"/>
      <c r="AF1123" s="3494"/>
      <c r="AG1123" s="3494"/>
      <c r="AH1123" s="3495"/>
      <c r="AI1123" s="6192"/>
    </row>
    <row r="1124" ht="96.75" customHeight="1">
      <c r="A1124" s="6185"/>
      <c r="B1124" s="3496"/>
      <c r="C1124" s="3497" t="str">
        <f>IMAGE("https://i.ibb.co/TKBZjnF/Ace-Trainer-M.png")</f>
        <v/>
      </c>
      <c r="D1124" s="3498"/>
      <c r="E1124" s="3499" t="str">
        <f t="array" ref="E1124">IFERROR(VLOOKUP(E1125,Dex!$B$3:$G1218,3,FALSE),"")</f>
        <v/>
      </c>
      <c r="F1124" s="381"/>
      <c r="G1124" s="381"/>
      <c r="H1124" s="2531"/>
      <c r="I1124" s="3500"/>
      <c r="J1124" s="3499" t="str">
        <f t="array" ref="J1124">IFERROR(VLOOKUP(J1125,Dex!$B$3:$G1218,3,FALSE),"")</f>
        <v/>
      </c>
      <c r="K1124" s="381"/>
      <c r="L1124" s="381"/>
      <c r="M1124" s="2531"/>
      <c r="N1124" s="5127"/>
      <c r="O1124" s="3499" t="str">
        <f t="array" ref="O1124">IFERROR(VLOOKUP(O1125,Dex!$B$3:$G1218,3,FALSE),"")</f>
        <v/>
      </c>
      <c r="P1124" s="381"/>
      <c r="Q1124" s="381"/>
      <c r="R1124" s="2531"/>
      <c r="S1124" s="5128"/>
      <c r="T1124" s="3499" t="str">
        <f t="array" ref="T1124">IFERROR(VLOOKUP(T1125,Dex!$B$3:$G1218,3,FALSE),"")</f>
        <v/>
      </c>
      <c r="U1124" s="381"/>
      <c r="V1124" s="381"/>
      <c r="W1124" s="2531"/>
      <c r="X1124" s="5127"/>
      <c r="Y1124" s="3499" t="str">
        <f t="array" ref="Y1124">IFERROR(VLOOKUP(Y1125,Dex!$B$3:$G1218,3,FALSE),"")</f>
        <v/>
      </c>
      <c r="Z1124" s="381"/>
      <c r="AA1124" s="381"/>
      <c r="AB1124" s="2531"/>
      <c r="AC1124" s="5128"/>
      <c r="AD1124" s="3499" t="str">
        <f t="array" ref="AD1124">IFERROR(VLOOKUP(AD1125,Dex!$B$3:$G1218,3,FALSE),"")</f>
        <v/>
      </c>
      <c r="AE1124" s="381"/>
      <c r="AF1124" s="381"/>
      <c r="AG1124" s="2531"/>
      <c r="AH1124" s="5181"/>
      <c r="AI1124" s="6192"/>
    </row>
    <row r="1125" ht="18.75" customHeight="1">
      <c r="A1125" s="6185"/>
      <c r="B1125" s="6302"/>
      <c r="C1125" s="6303" t="s">
        <v>1823</v>
      </c>
      <c r="D1125" s="6304"/>
      <c r="E1125" s="5129" t="s">
        <v>1422</v>
      </c>
      <c r="F1125" s="3512"/>
      <c r="G1125" s="3512"/>
      <c r="H1125" s="5130"/>
      <c r="J1125" s="5129" t="s">
        <v>1593</v>
      </c>
      <c r="K1125" s="3512"/>
      <c r="L1125" s="3512"/>
      <c r="M1125" s="5130"/>
      <c r="O1125" s="5129" t="s">
        <v>965</v>
      </c>
      <c r="P1125" s="3512"/>
      <c r="Q1125" s="3512"/>
      <c r="R1125" s="5130"/>
      <c r="T1125" s="5129" t="s">
        <v>1734</v>
      </c>
      <c r="U1125" s="3512"/>
      <c r="V1125" s="3512"/>
      <c r="W1125" s="5130"/>
      <c r="Y1125" s="5129" t="s">
        <v>618</v>
      </c>
      <c r="Z1125" s="3512"/>
      <c r="AA1125" s="3512"/>
      <c r="AB1125" s="5130"/>
      <c r="AD1125" s="5129" t="s">
        <v>806</v>
      </c>
      <c r="AE1125" s="3512"/>
      <c r="AF1125" s="3512"/>
      <c r="AG1125" s="5130"/>
      <c r="AH1125" s="5182"/>
      <c r="AI1125" s="6192"/>
    </row>
    <row r="1126">
      <c r="A1126" s="6185"/>
      <c r="B1126" s="6305"/>
      <c r="C1126" s="3030"/>
      <c r="D1126" s="6306"/>
      <c r="E1126" s="5131" t="s">
        <v>1502</v>
      </c>
      <c r="F1126" s="3521"/>
      <c r="G1126" s="3521"/>
      <c r="H1126" s="5132"/>
      <c r="J1126" s="5131" t="s">
        <v>1502</v>
      </c>
      <c r="K1126" s="3521"/>
      <c r="L1126" s="3521"/>
      <c r="M1126" s="5132"/>
      <c r="O1126" s="5131" t="s">
        <v>1502</v>
      </c>
      <c r="P1126" s="3521"/>
      <c r="Q1126" s="3521"/>
      <c r="R1126" s="5132"/>
      <c r="T1126" s="5131" t="s">
        <v>1502</v>
      </c>
      <c r="U1126" s="3521"/>
      <c r="V1126" s="3521"/>
      <c r="W1126" s="5132"/>
      <c r="Y1126" s="5131" t="s">
        <v>1502</v>
      </c>
      <c r="Z1126" s="3521"/>
      <c r="AA1126" s="3521"/>
      <c r="AB1126" s="5132"/>
      <c r="AD1126" s="5131" t="s">
        <v>1502</v>
      </c>
      <c r="AE1126" s="3521"/>
      <c r="AF1126" s="3521"/>
      <c r="AG1126" s="5132"/>
      <c r="AH1126" s="5183"/>
      <c r="AI1126" s="6192"/>
    </row>
    <row r="1127" ht="25.5" customHeight="1">
      <c r="A1127" s="6185"/>
      <c r="B1127" s="6307"/>
      <c r="C1127" s="3030"/>
      <c r="D1127" s="6308"/>
      <c r="E1127" s="5133"/>
      <c r="F1127" s="5134" t="str">
        <f t="array" ref="F1127">IFERROR(VLOOKUP(E1125,Dex!$B$3:$H1218,5,FALSE),"")</f>
        <v/>
      </c>
      <c r="G1127" s="5135" t="str">
        <f t="array" ref="G1127">IFERROR(VLOOKUP(E1125,Dex!$B$3:$H1218,7,FALSE),"")</f>
        <v/>
      </c>
      <c r="H1127" s="5136"/>
      <c r="J1127" s="5133"/>
      <c r="K1127" s="5134" t="str">
        <f t="array" ref="K1127">IFERROR(VLOOKUP(J1125,Dex!$B$3:$H1218,5,FALSE),"")</f>
        <v/>
      </c>
      <c r="L1127" s="5135" t="str">
        <f t="array" ref="L1127">IFERROR(VLOOKUP(J1125,Dex!$B$3:$H1218,7,FALSE),"")</f>
        <v/>
      </c>
      <c r="M1127" s="5136"/>
      <c r="O1127" s="5133"/>
      <c r="P1127" s="5134" t="str">
        <f t="array" ref="P1127">IFERROR(VLOOKUP(O1125,Dex!$B$3:$H1218,5,FALSE),"")</f>
        <v/>
      </c>
      <c r="Q1127" s="5135" t="str">
        <f t="array" ref="Q1127">IFERROR(VLOOKUP(O1125,Dex!$B$3:$H1218,7,FALSE),"")</f>
        <v/>
      </c>
      <c r="R1127" s="5136"/>
      <c r="T1127" s="5133"/>
      <c r="U1127" s="5134" t="str">
        <f t="array" ref="U1127">IFERROR(VLOOKUP(T1125,Dex!$B$3:$H1218,5,FALSE),"")</f>
        <v/>
      </c>
      <c r="V1127" s="5135" t="str">
        <f t="array" ref="V1127">IFERROR(VLOOKUP(T1125,Dex!$B$3:$H1218,7,FALSE),"")</f>
        <v/>
      </c>
      <c r="W1127" s="5136"/>
      <c r="Y1127" s="5133"/>
      <c r="Z1127" s="5134" t="str">
        <f t="array" ref="Z1127">IFERROR(VLOOKUP(Y1125,Dex!$B$3:$H1218,5,FALSE),"")</f>
        <v/>
      </c>
      <c r="AA1127" s="5135" t="str">
        <f t="array" ref="AA1127">IFERROR(VLOOKUP(Y1125,Dex!$B$3:$H1218,7,FALSE),"")</f>
        <v/>
      </c>
      <c r="AB1127" s="5136"/>
      <c r="AD1127" s="5133"/>
      <c r="AE1127" s="5134" t="str">
        <f t="array" ref="AE1127">IFERROR(VLOOKUP(AD1125,Dex!$B$3:$H1218,5,FALSE),"")</f>
        <v/>
      </c>
      <c r="AF1127" s="5135" t="str">
        <f t="array" ref="AF1127">IFERROR(VLOOKUP(AD1125,Dex!$B$3:$H1218,7,FALSE),"")</f>
        <v/>
      </c>
      <c r="AG1127" s="5136"/>
      <c r="AH1127" s="3507"/>
      <c r="AI1127" s="6192"/>
    </row>
    <row r="1128" ht="2.25" customHeight="1">
      <c r="A1128" s="6185"/>
      <c r="B1128" s="6307"/>
      <c r="C1128" s="3030"/>
      <c r="D1128" s="6308"/>
      <c r="E1128" s="5137"/>
      <c r="F1128" s="5138"/>
      <c r="G1128" s="5138"/>
      <c r="H1128" s="5139"/>
      <c r="J1128" s="5137"/>
      <c r="K1128" s="5138"/>
      <c r="L1128" s="5138"/>
      <c r="M1128" s="5139"/>
      <c r="O1128" s="5137"/>
      <c r="P1128" s="5138"/>
      <c r="Q1128" s="5138"/>
      <c r="R1128" s="5139"/>
      <c r="T1128" s="5137"/>
      <c r="U1128" s="5138"/>
      <c r="V1128" s="5138"/>
      <c r="W1128" s="5139"/>
      <c r="Y1128" s="5137"/>
      <c r="Z1128" s="5138"/>
      <c r="AA1128" s="5138"/>
      <c r="AB1128" s="5139"/>
      <c r="AD1128" s="5137"/>
      <c r="AE1128" s="5138"/>
      <c r="AF1128" s="5138"/>
      <c r="AG1128" s="5139"/>
      <c r="AH1128" s="3507"/>
      <c r="AI1128" s="6192"/>
    </row>
    <row r="1129" ht="20.25" customHeight="1">
      <c r="A1129" s="6185"/>
      <c r="B1129" s="6307"/>
      <c r="C1129" s="3045"/>
      <c r="D1129" s="6308"/>
      <c r="E1129" s="3534" t="s">
        <v>205</v>
      </c>
      <c r="F1129" s="3535"/>
      <c r="G1129" s="3535"/>
      <c r="H1129" s="3536"/>
      <c r="J1129" s="3534" t="s">
        <v>172</v>
      </c>
      <c r="K1129" s="3535"/>
      <c r="L1129" s="3535"/>
      <c r="M1129" s="3536"/>
      <c r="O1129" s="3534" t="s">
        <v>172</v>
      </c>
      <c r="P1129" s="3535"/>
      <c r="Q1129" s="3535"/>
      <c r="R1129" s="3536"/>
      <c r="T1129" s="3534" t="s">
        <v>205</v>
      </c>
      <c r="U1129" s="3535"/>
      <c r="V1129" s="3535"/>
      <c r="W1129" s="3536"/>
      <c r="Y1129" s="3534" t="s">
        <v>264</v>
      </c>
      <c r="Z1129" s="3535"/>
      <c r="AA1129" s="3535"/>
      <c r="AB1129" s="3536"/>
      <c r="AD1129" s="3534" t="s">
        <v>172</v>
      </c>
      <c r="AE1129" s="3535"/>
      <c r="AF1129" s="3535"/>
      <c r="AG1129" s="3536"/>
      <c r="AH1129" s="5181"/>
      <c r="AI1129" s="6192"/>
    </row>
    <row r="1130">
      <c r="A1130" s="6185"/>
      <c r="B1130" s="3496"/>
      <c r="C1130" s="6309"/>
      <c r="D1130" s="3498"/>
      <c r="E1130" s="3538" t="s">
        <v>1426</v>
      </c>
      <c r="F1130" s="3503"/>
      <c r="G1130" s="3503"/>
      <c r="H1130" s="3539"/>
      <c r="J1130" s="3538" t="s">
        <v>1824</v>
      </c>
      <c r="K1130" s="3503"/>
      <c r="L1130" s="3503"/>
      <c r="M1130" s="3539"/>
      <c r="O1130" s="3538" t="s">
        <v>763</v>
      </c>
      <c r="P1130" s="3503"/>
      <c r="Q1130" s="3503"/>
      <c r="R1130" s="3539"/>
      <c r="T1130" s="3538" t="s">
        <v>1738</v>
      </c>
      <c r="U1130" s="3503"/>
      <c r="V1130" s="3503"/>
      <c r="W1130" s="3539"/>
      <c r="Y1130" s="3538" t="s">
        <v>624</v>
      </c>
      <c r="Z1130" s="3503"/>
      <c r="AA1130" s="3503"/>
      <c r="AB1130" s="3539"/>
      <c r="AD1130" s="3538" t="s">
        <v>717</v>
      </c>
      <c r="AE1130" s="3503"/>
      <c r="AF1130" s="3503"/>
      <c r="AG1130" s="3539"/>
      <c r="AH1130" s="5181"/>
      <c r="AI1130" s="6192"/>
    </row>
    <row r="1131" ht="20.25" customHeight="1">
      <c r="A1131" s="6185"/>
      <c r="B1131" s="3496"/>
      <c r="C1131" s="3516"/>
      <c r="D1131" s="3498"/>
      <c r="E1131" s="3540" t="s">
        <v>1107</v>
      </c>
      <c r="F1131" s="3541"/>
      <c r="G1131" s="3542"/>
      <c r="H1131" s="3543" t="str">
        <f>IMAGE("https://raw.githubusercontent.com/msikma/pokesprite/master/items/hold-item/light-clay.png",3)</f>
        <v/>
      </c>
      <c r="J1131" s="3540" t="s">
        <v>1597</v>
      </c>
      <c r="K1131" s="3541"/>
      <c r="L1131" s="3542"/>
      <c r="M1131" s="3543" t="str">
        <f>IMAGE("https://raw.githubusercontent.com/msikma/pokesprite/master/items/mega-stone/garchompite.png",3)</f>
        <v/>
      </c>
      <c r="O1131" s="3540" t="s">
        <v>393</v>
      </c>
      <c r="P1131" s="3541"/>
      <c r="Q1131" s="3542"/>
      <c r="R1131" s="3543" t="str">
        <f>IMAGE("https://raw.githubusercontent.com/msikma/pokesprite/master/items/hold-item/weakness-policy.png",3)</f>
        <v/>
      </c>
      <c r="T1131" s="3540" t="s">
        <v>177</v>
      </c>
      <c r="U1131" s="3541"/>
      <c r="V1131" s="3542"/>
      <c r="W1131" s="3543" t="str">
        <f>IMAGE("https://raw.githubusercontent.com/msikma/pokesprite/master/items/hold-item/air-balloon.png",3)</f>
        <v/>
      </c>
      <c r="Y1131" s="3540" t="s">
        <v>1795</v>
      </c>
      <c r="Z1131" s="3541"/>
      <c r="AA1131" s="3542"/>
      <c r="AB1131" s="3543" t="str">
        <f>IMAGE("https://raw.githubusercontent.com/msikma/pokesprite/master/items/gem/ice.png",3)</f>
        <v/>
      </c>
      <c r="AD1131" s="3540" t="s">
        <v>1548</v>
      </c>
      <c r="AE1131" s="3541"/>
      <c r="AF1131" s="3542"/>
      <c r="AG1131" s="3543" t="str">
        <f>IMAGE("https://raw.githubusercontent.com/msikma/pokesprite/master/items/z-crystals/flyinium-z--held.png",3)</f>
        <v/>
      </c>
      <c r="AH1131" s="3507"/>
      <c r="AI1131" s="6192"/>
    </row>
    <row r="1132" ht="20.25" customHeight="1">
      <c r="A1132" s="6185"/>
      <c r="B1132" s="3496"/>
      <c r="C1132" s="3544"/>
      <c r="D1132" s="3498"/>
      <c r="E1132" s="3534" t="s">
        <v>636</v>
      </c>
      <c r="F1132" s="3535"/>
      <c r="G1132" s="3545"/>
      <c r="H1132" s="3546" t="str">
        <f>IMAGE("https://raw.githubusercontent.com/msikma/pokesprite/master/misc/types/gen8/ice.png",4,20,20)</f>
        <v/>
      </c>
      <c r="J1132" s="3534" t="s">
        <v>489</v>
      </c>
      <c r="K1132" s="3535"/>
      <c r="L1132" s="3545"/>
      <c r="M1132" s="3546" t="str">
        <f>IMAGE("https://raw.githubusercontent.com/msikma/pokesprite/master/misc/types/gen8/normal.png",4,20,20)</f>
        <v/>
      </c>
      <c r="O1132" s="3534" t="s">
        <v>396</v>
      </c>
      <c r="P1132" s="3535"/>
      <c r="Q1132" s="3545"/>
      <c r="R1132" s="3546" t="str">
        <f>IMAGE("https://raw.githubusercontent.com/msikma/pokesprite/master/misc/types/gen8/dragon.png",4,20,20)</f>
        <v/>
      </c>
      <c r="T1132" s="3534" t="s">
        <v>1825</v>
      </c>
      <c r="U1132" s="3535"/>
      <c r="V1132" s="3545"/>
      <c r="W1132" s="3546" t="str">
        <f>IMAGE("https://raw.githubusercontent.com/msikma/pokesprite/master/misc/types/gen8/fire.png",4,20,20)</f>
        <v/>
      </c>
      <c r="Y1132" s="3534" t="s">
        <v>630</v>
      </c>
      <c r="Z1132" s="3535"/>
      <c r="AA1132" s="3545"/>
      <c r="AB1132" s="3546" t="str">
        <f>IMAGE("https://raw.githubusercontent.com/msikma/pokesprite/master/misc/types/gen8/electric.png",4,20,20)</f>
        <v/>
      </c>
      <c r="AD1132" s="3534" t="s">
        <v>316</v>
      </c>
      <c r="AE1132" s="3535"/>
      <c r="AF1132" s="3545"/>
      <c r="AG1132" s="3546" t="str">
        <f>IMAGE("https://raw.githubusercontent.com/msikma/pokesprite/master/misc/types/gen8/fighting.png",4,20,20)</f>
        <v/>
      </c>
      <c r="AH1132" s="3507"/>
      <c r="AI1132" s="6192"/>
    </row>
    <row r="1133" ht="20.25" customHeight="1">
      <c r="A1133" s="6185"/>
      <c r="B1133" s="3496"/>
      <c r="C1133" s="3529"/>
      <c r="D1133" s="3498"/>
      <c r="E1133" s="3538" t="s">
        <v>464</v>
      </c>
      <c r="F1133" s="3503"/>
      <c r="G1133" s="3504"/>
      <c r="H1133" s="3547" t="str">
        <f>IMAGE("https://raw.githubusercontent.com/msikma/pokesprite/master/misc/types/gen8/fairy.png",4,20,20)</f>
        <v/>
      </c>
      <c r="J1133" s="3538" t="s">
        <v>402</v>
      </c>
      <c r="K1133" s="3503"/>
      <c r="L1133" s="3504"/>
      <c r="M1133" s="3547" t="str">
        <f>IMAGE("https://raw.githubusercontent.com/msikma/pokesprite/master/misc/types/gen8/ground.png",4,20,20)</f>
        <v/>
      </c>
      <c r="O1133" s="3538" t="s">
        <v>1698</v>
      </c>
      <c r="P1133" s="3503"/>
      <c r="Q1133" s="3504"/>
      <c r="R1133" s="3547" t="str">
        <f>IMAGE("https://raw.githubusercontent.com/msikma/pokesprite/master/misc/types/gen8/ghost.png",4,20,20)</f>
        <v/>
      </c>
      <c r="T1133" s="3538" t="s">
        <v>286</v>
      </c>
      <c r="U1133" s="3503"/>
      <c r="V1133" s="3504"/>
      <c r="W1133" s="3547" t="str">
        <f>IMAGE("https://raw.githubusercontent.com/msikma/pokesprite/master/misc/types/gen8/ground.png",4,20,20)</f>
        <v/>
      </c>
      <c r="Y1133" s="3538" t="s">
        <v>1097</v>
      </c>
      <c r="Z1133" s="3503"/>
      <c r="AA1133" s="3504"/>
      <c r="AB1133" s="3547" t="str">
        <f t="shared" ref="AB1133:AB1134" si="43">IMAGE("https://raw.githubusercontent.com/msikma/pokesprite/master/misc/types/gen8/ice.png",4,20,20)</f>
        <v/>
      </c>
      <c r="AD1133" s="3538" t="s">
        <v>749</v>
      </c>
      <c r="AE1133" s="3503"/>
      <c r="AF1133" s="3504"/>
      <c r="AG1133" s="3547" t="str">
        <f>IMAGE("https://raw.githubusercontent.com/msikma/pokesprite/master/misc/types/gen8/flying.png",4,20,20)</f>
        <v/>
      </c>
      <c r="AH1133" s="3507"/>
      <c r="AI1133" s="6192"/>
    </row>
    <row r="1134" ht="20.25" customHeight="1">
      <c r="A1134" s="6185"/>
      <c r="B1134" s="3496"/>
      <c r="C1134" s="3529"/>
      <c r="D1134" s="3498"/>
      <c r="E1134" s="3538" t="s">
        <v>1108</v>
      </c>
      <c r="F1134" s="3503"/>
      <c r="G1134" s="3504"/>
      <c r="H1134" s="3547" t="str">
        <f t="shared" ref="H1134:H1135" si="44">IMAGE("https://raw.githubusercontent.com/msikma/pokesprite/master/misc/types/gen8/ice.png",4,20,20)</f>
        <v/>
      </c>
      <c r="J1134" s="3538" t="s">
        <v>811</v>
      </c>
      <c r="K1134" s="3503"/>
      <c r="L1134" s="3504"/>
      <c r="M1134" s="3547" t="str">
        <f>IMAGE("https://raw.githubusercontent.com/msikma/pokesprite/master/misc/types/gen8/dragon.png",4,20,20)</f>
        <v/>
      </c>
      <c r="O1134" s="3538" t="s">
        <v>973</v>
      </c>
      <c r="P1134" s="3503"/>
      <c r="Q1134" s="3504"/>
      <c r="R1134" s="3547" t="str">
        <f>IMAGE("https://raw.githubusercontent.com/msikma/pokesprite/master/misc/types/gen8/dragon.png",4,20,20)</f>
        <v/>
      </c>
      <c r="T1134" s="3538" t="s">
        <v>404</v>
      </c>
      <c r="U1134" s="3503"/>
      <c r="V1134" s="3504"/>
      <c r="W1134" s="3547" t="str">
        <f>IMAGE("https://raw.githubusercontent.com/msikma/pokesprite/master/misc/types/gen8/steel.png",4,20,20)</f>
        <v/>
      </c>
      <c r="Y1134" s="3538" t="s">
        <v>636</v>
      </c>
      <c r="Z1134" s="3503"/>
      <c r="AA1134" s="3504"/>
      <c r="AB1134" s="3547" t="str">
        <f t="shared" si="43"/>
        <v/>
      </c>
      <c r="AD1134" s="3538" t="s">
        <v>278</v>
      </c>
      <c r="AE1134" s="3503"/>
      <c r="AF1134" s="3504"/>
      <c r="AG1134" s="3547" t="str">
        <f>IMAGE("https://raw.githubusercontent.com/msikma/pokesprite/master/misc/types/gen8/bug.png",4,20,20)</f>
        <v/>
      </c>
      <c r="AH1134" s="3507"/>
      <c r="AI1134" s="6192"/>
    </row>
    <row r="1135" ht="21.0" customHeight="1">
      <c r="A1135" s="6185"/>
      <c r="B1135" s="3496"/>
      <c r="C1135" s="3529"/>
      <c r="D1135" s="3498"/>
      <c r="E1135" s="3548" t="s">
        <v>1826</v>
      </c>
      <c r="F1135" s="3549"/>
      <c r="G1135" s="3550"/>
      <c r="H1135" s="3551" t="str">
        <f t="shared" si="44"/>
        <v/>
      </c>
      <c r="I1135" s="3552"/>
      <c r="J1135" s="3548" t="s">
        <v>399</v>
      </c>
      <c r="K1135" s="3549"/>
      <c r="L1135" s="3550"/>
      <c r="M1135" s="3551" t="str">
        <f>IMAGE("https://raw.githubusercontent.com/msikma/pokesprite/master/misc/types/gen8/rock.png",4,20,20)</f>
        <v/>
      </c>
      <c r="N1135" s="3552"/>
      <c r="O1135" s="3548" t="s">
        <v>785</v>
      </c>
      <c r="P1135" s="3549"/>
      <c r="Q1135" s="3550"/>
      <c r="R1135" s="3551" t="str">
        <f>IMAGE("https://raw.githubusercontent.com/msikma/pokesprite/master/misc/types/gen8/fire.png",4,20,20)</f>
        <v/>
      </c>
      <c r="S1135" s="3552"/>
      <c r="T1135" s="3548" t="s">
        <v>187</v>
      </c>
      <c r="U1135" s="3549"/>
      <c r="V1135" s="3550"/>
      <c r="W1135" s="3551" t="str">
        <f>IMAGE("https://raw.githubusercontent.com/msikma/pokesprite/master/misc/types/gen8/normal.png",4,20,20)</f>
        <v/>
      </c>
      <c r="X1135" s="3552"/>
      <c r="Y1135" s="3548" t="s">
        <v>639</v>
      </c>
      <c r="Z1135" s="3549"/>
      <c r="AA1135" s="3550"/>
      <c r="AB1135" s="3551" t="str">
        <f>IMAGE("https://raw.githubusercontent.com/msikma/pokesprite/master/misc/types/gen8/fighting.png",4,20,20)</f>
        <v/>
      </c>
      <c r="AC1135" s="3552"/>
      <c r="AD1135" s="3548" t="s">
        <v>1041</v>
      </c>
      <c r="AE1135" s="3549"/>
      <c r="AF1135" s="3550"/>
      <c r="AG1135" s="3551" t="str">
        <f>IMAGE("https://raw.githubusercontent.com/msikma/pokesprite/master/misc/types/gen8/ground.png",4,20,20)</f>
        <v/>
      </c>
      <c r="AH1135" s="3507"/>
      <c r="AI1135" s="6192"/>
    </row>
    <row r="1136" ht="3.0" customHeight="1">
      <c r="A1136" s="6185"/>
      <c r="B1136" s="3554"/>
      <c r="C1136" s="3555"/>
      <c r="D1136" s="3556"/>
      <c r="E1136" s="3558"/>
      <c r="F1136" s="3558"/>
      <c r="G1136" s="3558"/>
      <c r="H1136" s="3557"/>
      <c r="I1136" s="3556"/>
      <c r="J1136" s="3558"/>
      <c r="K1136" s="3558"/>
      <c r="L1136" s="3558"/>
      <c r="M1136" s="3557"/>
      <c r="N1136" s="3556"/>
      <c r="O1136" s="3558"/>
      <c r="P1136" s="3558"/>
      <c r="Q1136" s="3558"/>
      <c r="R1136" s="3557"/>
      <c r="S1136" s="3559"/>
      <c r="T1136" s="3558"/>
      <c r="U1136" s="3558"/>
      <c r="V1136" s="3558"/>
      <c r="W1136" s="3557"/>
      <c r="X1136" s="3556"/>
      <c r="Y1136" s="3557"/>
      <c r="Z1136" s="3557"/>
      <c r="AA1136" s="3557"/>
      <c r="AB1136" s="3557"/>
      <c r="AC1136" s="3561"/>
      <c r="AD1136" s="3558"/>
      <c r="AE1136" s="3558"/>
      <c r="AF1136" s="3558"/>
      <c r="AG1136" s="3557"/>
      <c r="AH1136" s="3562"/>
      <c r="AI1136" s="6192"/>
    </row>
    <row r="1137" ht="16.5" customHeight="1">
      <c r="A1137" s="6185"/>
      <c r="B1137" s="3563"/>
      <c r="C1137" s="3555"/>
      <c r="D1137" s="5140"/>
      <c r="E1137" s="3565" t="s">
        <v>190</v>
      </c>
      <c r="F1137" s="381"/>
      <c r="G1137" s="382"/>
      <c r="H1137" s="3566" t="s">
        <v>191</v>
      </c>
      <c r="I1137" s="3567"/>
      <c r="J1137" s="3565" t="s">
        <v>190</v>
      </c>
      <c r="K1137" s="381"/>
      <c r="L1137" s="382"/>
      <c r="M1137" s="3566" t="s">
        <v>191</v>
      </c>
      <c r="N1137" s="5140"/>
      <c r="O1137" s="3565" t="s">
        <v>190</v>
      </c>
      <c r="P1137" s="381"/>
      <c r="Q1137" s="382"/>
      <c r="R1137" s="3566" t="s">
        <v>191</v>
      </c>
      <c r="S1137" s="5153"/>
      <c r="T1137" s="3565" t="s">
        <v>190</v>
      </c>
      <c r="U1137" s="381"/>
      <c r="V1137" s="382"/>
      <c r="W1137" s="3566" t="s">
        <v>191</v>
      </c>
      <c r="X1137" s="3569"/>
      <c r="Y1137" s="3565" t="s">
        <v>190</v>
      </c>
      <c r="Z1137" s="381"/>
      <c r="AA1137" s="382"/>
      <c r="AB1137" s="3566" t="s">
        <v>191</v>
      </c>
      <c r="AC1137" s="5154"/>
      <c r="AD1137" s="3565" t="s">
        <v>190</v>
      </c>
      <c r="AE1137" s="381"/>
      <c r="AF1137" s="382"/>
      <c r="AG1137" s="3566" t="s">
        <v>191</v>
      </c>
      <c r="AH1137" s="3570"/>
      <c r="AI1137" s="6192"/>
    </row>
    <row r="1138" ht="16.5" customHeight="1">
      <c r="A1138" s="6185"/>
      <c r="B1138" s="3563"/>
      <c r="C1138" s="3555"/>
      <c r="D1138" s="3564"/>
      <c r="E1138" s="3571" t="s">
        <v>192</v>
      </c>
      <c r="F1138" s="3572">
        <f t="array" ref="F1138">IFERROR(VLOOKUP(E1125,Dex!$B$3:$N1218,8,FALSE),"")</f>
        <v>73</v>
      </c>
      <c r="G1138" s="3573" t="str">
        <f t="array" ref="G1138">IFERROR(VLOOKUP(F1138,Dex!$P$22:$Q$276,2,FALSE),"")</f>
        <v/>
      </c>
      <c r="H1138" s="3574">
        <v>252.0</v>
      </c>
      <c r="I1138" s="3575"/>
      <c r="J1138" s="3571" t="s">
        <v>192</v>
      </c>
      <c r="K1138" s="3572">
        <f t="array" ref="K1138">IFERROR(VLOOKUP(J1125,Dex!$B$3:$N1218,8,FALSE),"")</f>
        <v>108</v>
      </c>
      <c r="L1138" s="3573" t="str">
        <f t="array" ref="L1138">IFERROR(VLOOKUP(K1138,Dex!$P$22:$Q$276,2,FALSE),"")</f>
        <v/>
      </c>
      <c r="M1138" s="3574"/>
      <c r="N1138" s="3564"/>
      <c r="O1138" s="3571" t="s">
        <v>192</v>
      </c>
      <c r="P1138" s="3572">
        <f t="array" ref="P1138">IFERROR(VLOOKUP(O1125,Dex!$B$3:$N1218,8,FALSE),"")</f>
        <v>88</v>
      </c>
      <c r="Q1138" s="3573" t="str">
        <f t="array" ref="Q1138">IFERROR(VLOOKUP(P1138,Dex!$P$22:$Q$276,2,FALSE),"")</f>
        <v/>
      </c>
      <c r="R1138" s="3574">
        <v>120.0</v>
      </c>
      <c r="S1138" s="3569"/>
      <c r="T1138" s="3571" t="s">
        <v>192</v>
      </c>
      <c r="U1138" s="3572">
        <f t="array" ref="U1138">IFERROR(VLOOKUP(T1125,Dex!$B$3:$N1218,8,FALSE),"")</f>
        <v>91</v>
      </c>
      <c r="V1138" s="3573" t="str">
        <f t="array" ref="V1138">IFERROR(VLOOKUP(U1138,Dex!$P$22:$Q$276,2,FALSE),"")</f>
        <v/>
      </c>
      <c r="W1138" s="3574">
        <v>184.0</v>
      </c>
      <c r="X1138" s="3569"/>
      <c r="Y1138" s="3571" t="s">
        <v>192</v>
      </c>
      <c r="Z1138" s="3572">
        <f t="array" ref="Z1138">IFERROR(VLOOKUP(Y1125,Dex!$B$3:$N1218,8,FALSE),"")</f>
        <v>90</v>
      </c>
      <c r="AA1138" s="3573" t="str">
        <f t="array" ref="AA1138">IFERROR(VLOOKUP(Z1138,Dex!$P$22:$Q$276,2,FALSE),"")</f>
        <v/>
      </c>
      <c r="AB1138" s="3574"/>
      <c r="AC1138" s="3569"/>
      <c r="AD1138" s="3571" t="s">
        <v>192</v>
      </c>
      <c r="AE1138" s="3572">
        <f t="array" ref="AE1138">IFERROR(VLOOKUP(AD1125,Dex!$B$3:$N1218,8,FALSE),"")</f>
        <v>90</v>
      </c>
      <c r="AF1138" s="3573" t="str">
        <f t="array" ref="AF1138">IFERROR(VLOOKUP(AE1138,Dex!$P$22:$Q$276,2,FALSE),"")</f>
        <v/>
      </c>
      <c r="AG1138" s="3574"/>
      <c r="AH1138" s="3570"/>
      <c r="AI1138" s="6192"/>
    </row>
    <row r="1139" ht="16.5" customHeight="1">
      <c r="A1139" s="6185"/>
      <c r="B1139" s="3563"/>
      <c r="C1139" s="3555"/>
      <c r="D1139" s="3564"/>
      <c r="E1139" s="3577" t="s">
        <v>193</v>
      </c>
      <c r="F1139" s="3578">
        <f t="array" ref="F1139">IFERROR(VLOOKUP(E1125,Dex!$B$3:$N1218,9,FALSE),"")</f>
        <v>67</v>
      </c>
      <c r="G1139" s="3579" t="str">
        <f t="array" ref="G1139">IFERROR(VLOOKUP(F1139,Dex!$P$22:$Q$276,2,FALSE),"")</f>
        <v/>
      </c>
      <c r="H1139" s="3580"/>
      <c r="I1139" s="3575"/>
      <c r="J1139" s="3577" t="s">
        <v>193</v>
      </c>
      <c r="K1139" s="3578">
        <f t="array" ref="K1139">IFERROR(VLOOKUP(J1125,Dex!$B$3:$N1218,9,FALSE),"")</f>
        <v>170</v>
      </c>
      <c r="L1139" s="3579" t="str">
        <f t="array" ref="L1139">IFERROR(VLOOKUP(K1139,Dex!$P$22:$Q$276,2,FALSE),"")</f>
        <v/>
      </c>
      <c r="M1139" s="3580">
        <v>252.0</v>
      </c>
      <c r="N1139" s="3564"/>
      <c r="O1139" s="3577" t="s">
        <v>193</v>
      </c>
      <c r="P1139" s="3578">
        <f t="array" ref="P1139">IFERROR(VLOOKUP(O1125,Dex!$B$3:$N1218,9,FALSE),"")</f>
        <v>120</v>
      </c>
      <c r="Q1139" s="3579" t="str">
        <f t="array" ref="Q1139">IFERROR(VLOOKUP(P1139,Dex!$P$22:$Q$276,2,FALSE),"")</f>
        <v/>
      </c>
      <c r="R1139" s="3580">
        <v>252.0</v>
      </c>
      <c r="S1139" s="3569"/>
      <c r="T1139" s="3577" t="s">
        <v>193</v>
      </c>
      <c r="U1139" s="3578">
        <f t="array" ref="U1139">IFERROR(VLOOKUP(T1125,Dex!$B$3:$N1218,9,FALSE),"")</f>
        <v>90</v>
      </c>
      <c r="V1139" s="3579" t="str">
        <f t="array" ref="V1139">IFERROR(VLOOKUP(U1139,Dex!$P$22:$Q$276,2,FALSE),"")</f>
        <v/>
      </c>
      <c r="W1139" s="3580"/>
      <c r="X1139" s="3569"/>
      <c r="Y1139" s="3577" t="s">
        <v>193</v>
      </c>
      <c r="Z1139" s="3578">
        <f t="array" ref="Z1139">IFERROR(VLOOKUP(Y1125,Dex!$B$3:$N1218,9,FALSE),"")</f>
        <v>100</v>
      </c>
      <c r="AA1139" s="3579" t="str">
        <f t="array" ref="AA1139">IFERROR(VLOOKUP(Z1139,Dex!$P$22:$Q$276,2,FALSE),"")</f>
        <v/>
      </c>
      <c r="AB1139" s="3580">
        <v>200.0</v>
      </c>
      <c r="AC1139" s="3569"/>
      <c r="AD1139" s="3577" t="s">
        <v>193</v>
      </c>
      <c r="AE1139" s="3578">
        <f t="array" ref="AE1139">IFERROR(VLOOKUP(AD1125,Dex!$B$3:$N1218,9,FALSE),"")</f>
        <v>125</v>
      </c>
      <c r="AF1139" s="3579" t="str">
        <f t="array" ref="AF1139">IFERROR(VLOOKUP(AE1139,Dex!$P$22:$Q$276,2,FALSE),"")</f>
        <v/>
      </c>
      <c r="AG1139" s="3580">
        <v>252.0</v>
      </c>
      <c r="AH1139" s="3570"/>
      <c r="AI1139" s="6192"/>
    </row>
    <row r="1140" ht="16.5" customHeight="1">
      <c r="A1140" s="6185"/>
      <c r="B1140" s="3563"/>
      <c r="C1140" s="3555"/>
      <c r="D1140" s="3564"/>
      <c r="E1140" s="3577" t="s">
        <v>194</v>
      </c>
      <c r="F1140" s="3578">
        <f t="array" ref="F1140">IFERROR(VLOOKUP(E1125,Dex!$B$3:$N1218,10,FALSE),"")</f>
        <v>75</v>
      </c>
      <c r="G1140" s="3579" t="str">
        <f t="array" ref="G1140">IFERROR(VLOOKUP(F1140,Dex!$P$22:$Q$276,2,FALSE),"")</f>
        <v/>
      </c>
      <c r="H1140" s="3580">
        <v>4.0</v>
      </c>
      <c r="I1140" s="3575"/>
      <c r="J1140" s="3577" t="s">
        <v>194</v>
      </c>
      <c r="K1140" s="3578">
        <f t="array" ref="K1140">IFERROR(VLOOKUP(J1125,Dex!$B$3:$N1218,10,FALSE),"")</f>
        <v>105</v>
      </c>
      <c r="L1140" s="3579" t="str">
        <f t="array" ref="L1140">IFERROR(VLOOKUP(K1140,Dex!$P$22:$Q$276,2,FALSE),"")</f>
        <v/>
      </c>
      <c r="M1140" s="3580">
        <v>4.0</v>
      </c>
      <c r="N1140" s="3564"/>
      <c r="O1140" s="3577" t="s">
        <v>194</v>
      </c>
      <c r="P1140" s="3578">
        <f t="array" ref="P1140">IFERROR(VLOOKUP(O1125,Dex!$B$3:$N1218,10,FALSE),"")</f>
        <v>75</v>
      </c>
      <c r="Q1140" s="3579" t="str">
        <f t="array" ref="Q1140">IFERROR(VLOOKUP(P1140,Dex!$P$22:$Q$276,2,FALSE),"")</f>
        <v/>
      </c>
      <c r="R1140" s="3580"/>
      <c r="S1140" s="3569"/>
      <c r="T1140" s="3577" t="s">
        <v>194</v>
      </c>
      <c r="U1140" s="3578">
        <f t="array" ref="U1140">IFERROR(VLOOKUP(T1125,Dex!$B$3:$N1218,10,FALSE),"")</f>
        <v>106</v>
      </c>
      <c r="V1140" s="3579" t="str">
        <f t="array" ref="V1140">IFERROR(VLOOKUP(U1140,Dex!$P$22:$Q$276,2,FALSE),"")</f>
        <v/>
      </c>
      <c r="W1140" s="3580">
        <v>4.0</v>
      </c>
      <c r="X1140" s="3569"/>
      <c r="Y1140" s="3577" t="s">
        <v>194</v>
      </c>
      <c r="Z1140" s="3578">
        <f t="array" ref="Z1140">IFERROR(VLOOKUP(Y1125,Dex!$B$3:$N1218,10,FALSE),"")</f>
        <v>90</v>
      </c>
      <c r="AA1140" s="3579" t="str">
        <f t="array" ref="AA1140">IFERROR(VLOOKUP(Z1140,Dex!$P$22:$Q$276,2,FALSE),"")</f>
        <v/>
      </c>
      <c r="AB1140" s="3580">
        <v>4.0</v>
      </c>
      <c r="AC1140" s="3569"/>
      <c r="AD1140" s="3577" t="s">
        <v>194</v>
      </c>
      <c r="AE1140" s="3578">
        <f t="array" ref="AE1140">IFERROR(VLOOKUP(AD1125,Dex!$B$3:$N1218,10,FALSE),"")</f>
        <v>90</v>
      </c>
      <c r="AF1140" s="3579" t="str">
        <f t="array" ref="AF1140">IFERROR(VLOOKUP(AE1140,Dex!$P$22:$Q$276,2,FALSE),"")</f>
        <v/>
      </c>
      <c r="AG1140" s="3580">
        <v>4.0</v>
      </c>
      <c r="AH1140" s="3570"/>
      <c r="AI1140" s="6192"/>
    </row>
    <row r="1141" ht="16.5" customHeight="1">
      <c r="A1141" s="6185"/>
      <c r="B1141" s="3563"/>
      <c r="C1141" s="3555"/>
      <c r="D1141" s="3564"/>
      <c r="E1141" s="3577" t="s">
        <v>195</v>
      </c>
      <c r="F1141" s="3578">
        <f t="array" ref="F1141">IFERROR(VLOOKUP(E1125,Dex!$B$3:$N1218,11,FALSE),"")</f>
        <v>81</v>
      </c>
      <c r="G1141" s="3579" t="str">
        <f t="array" ref="G1141">IFERROR(VLOOKUP(F1141,Dex!$P$22:$Q$276,2,FALSE),"")</f>
        <v/>
      </c>
      <c r="H1141" s="3580"/>
      <c r="I1141" s="3575"/>
      <c r="J1141" s="3577" t="s">
        <v>195</v>
      </c>
      <c r="K1141" s="3578">
        <f t="array" ref="K1141">IFERROR(VLOOKUP(J1125,Dex!$B$3:$N1218,11,FALSE),"")</f>
        <v>120</v>
      </c>
      <c r="L1141" s="3579" t="str">
        <f t="array" ref="L1141">IFERROR(VLOOKUP(K1141,Dex!$P$22:$Q$276,2,FALSE),"")</f>
        <v/>
      </c>
      <c r="M1141" s="3580"/>
      <c r="N1141" s="3564"/>
      <c r="O1141" s="3577" t="s">
        <v>195</v>
      </c>
      <c r="P1141" s="3578">
        <f t="array" ref="P1141">IFERROR(VLOOKUP(O1125,Dex!$B$3:$N1218,11,FALSE),"")</f>
        <v>100</v>
      </c>
      <c r="Q1141" s="3579" t="str">
        <f t="array" ref="Q1141">IFERROR(VLOOKUP(P1141,Dex!$P$22:$Q$276,2,FALSE),"")</f>
        <v/>
      </c>
      <c r="R1141" s="3580">
        <v>4.0</v>
      </c>
      <c r="S1141" s="3569"/>
      <c r="T1141" s="3577" t="s">
        <v>195</v>
      </c>
      <c r="U1141" s="3578">
        <f t="array" ref="U1141">IFERROR(VLOOKUP(T1125,Dex!$B$3:$N1218,11,FALSE),"")</f>
        <v>130</v>
      </c>
      <c r="V1141" s="3579" t="str">
        <f t="array" ref="V1141">IFERROR(VLOOKUP(U1141,Dex!$P$22:$Q$276,2,FALSE),"")</f>
        <v/>
      </c>
      <c r="W1141" s="3580">
        <v>96.0</v>
      </c>
      <c r="X1141" s="3569"/>
      <c r="Y1141" s="3577" t="s">
        <v>195</v>
      </c>
      <c r="Z1141" s="3578">
        <f t="array" ref="Z1141">IFERROR(VLOOKUP(Y1125,Dex!$B$3:$N1218,11,FALSE),"")</f>
        <v>90</v>
      </c>
      <c r="AA1141" s="3579" t="str">
        <f t="array" ref="AA1141">IFERROR(VLOOKUP(Z1141,Dex!$P$22:$Q$276,2,FALSE),"")</f>
        <v/>
      </c>
      <c r="AB1141" s="3580">
        <v>76.0</v>
      </c>
      <c r="AC1141" s="3569"/>
      <c r="AD1141" s="3577" t="s">
        <v>195</v>
      </c>
      <c r="AE1141" s="3578">
        <f t="array" ref="AE1141">IFERROR(VLOOKUP(AD1125,Dex!$B$3:$N1218,11,FALSE),"")</f>
        <v>85</v>
      </c>
      <c r="AF1141" s="3579" t="str">
        <f t="array" ref="AF1141">IFERROR(VLOOKUP(AE1141,Dex!$P$22:$Q$276,2,FALSE),"")</f>
        <v/>
      </c>
      <c r="AG1141" s="3580"/>
      <c r="AH1141" s="3570"/>
      <c r="AI1141" s="6192"/>
    </row>
    <row r="1142" ht="16.5" customHeight="1">
      <c r="A1142" s="6185"/>
      <c r="B1142" s="3563"/>
      <c r="C1142" s="3555"/>
      <c r="D1142" s="3564"/>
      <c r="E1142" s="3577" t="s">
        <v>196</v>
      </c>
      <c r="F1142" s="3578">
        <f t="array" ref="F1142">IFERROR(VLOOKUP(E1125,Dex!$B$3:$N1218,12,FALSE),"")</f>
        <v>100</v>
      </c>
      <c r="G1142" s="3579" t="str">
        <f t="array" ref="G1142">IFERROR(VLOOKUP(F1142,Dex!$P$22:$Q$276,2,FALSE),"")</f>
        <v/>
      </c>
      <c r="H1142" s="3580"/>
      <c r="I1142" s="3575"/>
      <c r="J1142" s="3577" t="s">
        <v>196</v>
      </c>
      <c r="K1142" s="3578">
        <f t="array" ref="K1142">IFERROR(VLOOKUP(J1125,Dex!$B$3:$N1218,12,FALSE),"")</f>
        <v>95</v>
      </c>
      <c r="L1142" s="3579" t="str">
        <f t="array" ref="L1142">IFERROR(VLOOKUP(K1142,Dex!$P$22:$Q$276,2,FALSE),"")</f>
        <v/>
      </c>
      <c r="M1142" s="3580"/>
      <c r="N1142" s="3564"/>
      <c r="O1142" s="3577" t="s">
        <v>196</v>
      </c>
      <c r="P1142" s="3578">
        <f t="array" ref="P1142">IFERROR(VLOOKUP(O1125,Dex!$B$3:$N1218,12,FALSE),"")</f>
        <v>75</v>
      </c>
      <c r="Q1142" s="3579" t="str">
        <f t="array" ref="Q1142">IFERROR(VLOOKUP(P1142,Dex!$P$22:$Q$276,2,FALSE),"")</f>
        <v/>
      </c>
      <c r="R1142" s="3580"/>
      <c r="S1142" s="3569"/>
      <c r="T1142" s="3577" t="s">
        <v>196</v>
      </c>
      <c r="U1142" s="3578">
        <f t="array" ref="U1142">IFERROR(VLOOKUP(T1125,Dex!$B$3:$N1218,12,FALSE),"")</f>
        <v>106</v>
      </c>
      <c r="V1142" s="3579" t="str">
        <f t="array" ref="V1142">IFERROR(VLOOKUP(U1142,Dex!$P$22:$Q$276,2,FALSE),"")</f>
        <v/>
      </c>
      <c r="W1142" s="3580"/>
      <c r="X1142" s="3569"/>
      <c r="Y1142" s="3577" t="s">
        <v>196</v>
      </c>
      <c r="Z1142" s="3578">
        <f t="array" ref="Z1142">IFERROR(VLOOKUP(Y1125,Dex!$B$3:$N1218,12,FALSE),"")</f>
        <v>80</v>
      </c>
      <c r="AA1142" s="3579" t="str">
        <f t="array" ref="AA1142">IFERROR(VLOOKUP(Z1142,Dex!$P$22:$Q$276,2,FALSE),"")</f>
        <v/>
      </c>
      <c r="AB1142" s="3580"/>
      <c r="AC1142" s="3569"/>
      <c r="AD1142" s="3577" t="s">
        <v>196</v>
      </c>
      <c r="AE1142" s="3578">
        <f t="array" ref="AE1142">IFERROR(VLOOKUP(AD1125,Dex!$B$3:$N1218,12,FALSE),"")</f>
        <v>90</v>
      </c>
      <c r="AF1142" s="3579" t="str">
        <f t="array" ref="AF1142">IFERROR(VLOOKUP(AE1142,Dex!$P$22:$Q$276,2,FALSE),"")</f>
        <v/>
      </c>
      <c r="AG1142" s="3580"/>
      <c r="AH1142" s="3570"/>
      <c r="AI1142" s="6192"/>
    </row>
    <row r="1143" ht="16.5" customHeight="1">
      <c r="A1143" s="6185"/>
      <c r="B1143" s="3563"/>
      <c r="C1143" s="3555"/>
      <c r="D1143" s="3564"/>
      <c r="E1143" s="3583" t="s">
        <v>197</v>
      </c>
      <c r="F1143" s="3584">
        <f t="array" ref="F1143">IFERROR(VLOOKUP(E1125,Dex!$B$3:$N1218,13,FALSE),"")</f>
        <v>109</v>
      </c>
      <c r="G1143" s="3585" t="str">
        <f t="array" ref="G1143">IFERROR(VLOOKUP(F1143,Dex!$P$22:$Q$276,2,FALSE),"")</f>
        <v/>
      </c>
      <c r="H1143" s="3586">
        <v>252.0</v>
      </c>
      <c r="I1143" s="3575"/>
      <c r="J1143" s="3583" t="s">
        <v>197</v>
      </c>
      <c r="K1143" s="3584">
        <f t="array" ref="K1143">IFERROR(VLOOKUP(J1125,Dex!$B$3:$N1218,13,FALSE),"")</f>
        <v>102</v>
      </c>
      <c r="L1143" s="3585" t="str">
        <f t="array" ref="L1143">IFERROR(VLOOKUP(K1143,Dex!$P$22:$Q$276,2,FALSE),"")</f>
        <v/>
      </c>
      <c r="M1143" s="3586">
        <v>252.0</v>
      </c>
      <c r="N1143" s="3564"/>
      <c r="O1143" s="3583" t="s">
        <v>197</v>
      </c>
      <c r="P1143" s="3584">
        <f t="array" ref="P1143">IFERROR(VLOOKUP(O1125,Dex!$B$3:$N1218,13,FALSE),"")</f>
        <v>142</v>
      </c>
      <c r="Q1143" s="3585" t="str">
        <f t="array" ref="Q1143">IFERROR(VLOOKUP(P1143,Dex!$P$22:$Q$276,2,FALSE),"")</f>
        <v/>
      </c>
      <c r="R1143" s="3586">
        <v>132.0</v>
      </c>
      <c r="S1143" s="3569"/>
      <c r="T1143" s="3583" t="s">
        <v>197</v>
      </c>
      <c r="U1143" s="3584">
        <f t="array" ref="U1143">IFERROR(VLOOKUP(T1125,Dex!$B$3:$N1218,13,FALSE),"")</f>
        <v>77</v>
      </c>
      <c r="V1143" s="3585" t="str">
        <f t="array" ref="V1143">IFERROR(VLOOKUP(U1143,Dex!$P$22:$Q$276,2,FALSE),"")</f>
        <v/>
      </c>
      <c r="W1143" s="3586">
        <v>224.0</v>
      </c>
      <c r="X1143" s="3569"/>
      <c r="Y1143" s="3583" t="s">
        <v>197</v>
      </c>
      <c r="Z1143" s="3584">
        <f t="array" ref="Z1143">IFERROR(VLOOKUP(Y1125,Dex!$B$3:$N1218,13,FALSE),"")</f>
        <v>55</v>
      </c>
      <c r="AA1143" s="3585" t="str">
        <f t="array" ref="AA1143">IFERROR(VLOOKUP(Z1143,Dex!$P$22:$Q$276,2,FALSE),"")</f>
        <v/>
      </c>
      <c r="AB1143" s="3586">
        <v>232.0</v>
      </c>
      <c r="AC1143" s="3569"/>
      <c r="AD1143" s="3583" t="s">
        <v>197</v>
      </c>
      <c r="AE1143" s="3584">
        <f t="array" ref="AE1143">IFERROR(VLOOKUP(AD1125,Dex!$B$3:$N1218,13,FALSE),"")</f>
        <v>100</v>
      </c>
      <c r="AF1143" s="3585" t="str">
        <f t="array" ref="AF1143">IFERROR(VLOOKUP(AE1143,Dex!$P$22:$Q$276,2,FALSE),"")</f>
        <v/>
      </c>
      <c r="AG1143" s="3586">
        <v>252.0</v>
      </c>
      <c r="AH1143" s="3570"/>
      <c r="AI1143" s="6192"/>
    </row>
    <row r="1144" ht="16.5" customHeight="1">
      <c r="A1144" s="6185"/>
      <c r="B1144" s="3563"/>
      <c r="C1144" s="3555"/>
      <c r="D1144" s="5140"/>
      <c r="E1144" s="3587" t="s">
        <v>198</v>
      </c>
      <c r="F1144" s="405"/>
      <c r="G1144" s="406"/>
      <c r="H1144" s="3588">
        <v>348.0</v>
      </c>
      <c r="I1144" s="3567"/>
      <c r="J1144" s="3587" t="s">
        <v>198</v>
      </c>
      <c r="K1144" s="405"/>
      <c r="L1144" s="406"/>
      <c r="M1144" s="3588">
        <v>333.0</v>
      </c>
      <c r="N1144" s="5140"/>
      <c r="O1144" s="3587" t="s">
        <v>198</v>
      </c>
      <c r="P1144" s="405"/>
      <c r="Q1144" s="406"/>
      <c r="R1144" s="3588">
        <v>388.0</v>
      </c>
      <c r="S1144" s="5154"/>
      <c r="T1144" s="3587" t="s">
        <v>198</v>
      </c>
      <c r="U1144" s="405"/>
      <c r="V1144" s="406"/>
      <c r="W1144" s="3588">
        <v>270.0</v>
      </c>
      <c r="X1144" s="5154"/>
      <c r="Y1144" s="5141" t="s">
        <v>198</v>
      </c>
      <c r="Z1144" s="918"/>
      <c r="AA1144" s="919"/>
      <c r="AB1144" s="5142">
        <v>224.0</v>
      </c>
      <c r="AC1144" s="5154"/>
      <c r="AD1144" s="3587" t="s">
        <v>198</v>
      </c>
      <c r="AE1144" s="405"/>
      <c r="AF1144" s="406"/>
      <c r="AG1144" s="3588">
        <v>328.0</v>
      </c>
      <c r="AH1144" s="3570"/>
      <c r="AI1144" s="6192"/>
    </row>
    <row r="1145" ht="16.5" customHeight="1">
      <c r="A1145" s="6185"/>
      <c r="B1145" s="5143"/>
      <c r="C1145" s="5144"/>
      <c r="D1145" s="5145"/>
      <c r="E1145" s="5146"/>
      <c r="F1145" s="5146"/>
      <c r="G1145" s="5146"/>
      <c r="H1145" s="5144"/>
      <c r="I1145" s="5147"/>
      <c r="J1145" s="5146"/>
      <c r="K1145" s="5146"/>
      <c r="L1145" s="5146"/>
      <c r="M1145" s="5144"/>
      <c r="N1145" s="5145"/>
      <c r="O1145" s="5146"/>
      <c r="P1145" s="5146"/>
      <c r="Q1145" s="5146"/>
      <c r="R1145" s="5144"/>
      <c r="S1145" s="5155"/>
      <c r="T1145" s="5146"/>
      <c r="U1145" s="5146"/>
      <c r="V1145" s="5146"/>
      <c r="W1145" s="5144"/>
      <c r="X1145" s="5155"/>
      <c r="Y1145" s="5149" t="s">
        <v>642</v>
      </c>
      <c r="Z1145" s="925"/>
      <c r="AA1145" s="926"/>
      <c r="AB1145" s="5150">
        <v>448.0</v>
      </c>
      <c r="AC1145" s="5155"/>
      <c r="AD1145" s="5146"/>
      <c r="AE1145" s="5146"/>
      <c r="AF1145" s="5146"/>
      <c r="AG1145" s="5144"/>
      <c r="AH1145" s="5151"/>
      <c r="AI1145" s="6192"/>
    </row>
    <row r="1146" ht="15.0" customHeight="1">
      <c r="A1146" s="6185"/>
      <c r="B1146" s="3589"/>
      <c r="C1146" s="3590"/>
      <c r="D1146" s="3591"/>
      <c r="E1146" s="3592"/>
      <c r="F1146" s="3592"/>
      <c r="G1146" s="3592"/>
      <c r="H1146" s="3593"/>
      <c r="I1146" s="3593"/>
      <c r="J1146" s="3592"/>
      <c r="K1146" s="3592"/>
      <c r="L1146" s="3592"/>
      <c r="M1146" s="3593"/>
      <c r="N1146" s="3595"/>
      <c r="O1146" s="3596"/>
      <c r="P1146" s="3596"/>
      <c r="Q1146" s="3597"/>
      <c r="R1146" s="3597"/>
      <c r="S1146" s="3597"/>
      <c r="T1146" s="3596"/>
      <c r="U1146" s="3596"/>
      <c r="V1146" s="3597"/>
      <c r="W1146" s="3597"/>
      <c r="X1146" s="3595"/>
      <c r="Y1146" s="3596"/>
      <c r="Z1146" s="3596"/>
      <c r="AA1146" s="3597"/>
      <c r="AB1146" s="3597"/>
      <c r="AC1146" s="3598"/>
      <c r="AD1146" s="3596"/>
      <c r="AE1146" s="3596"/>
      <c r="AF1146" s="3597"/>
      <c r="AG1146" s="3597"/>
      <c r="AH1146" s="3599"/>
      <c r="AI1146" s="6192"/>
    </row>
    <row r="1147" ht="15.0" customHeight="1">
      <c r="A1147" s="6185"/>
      <c r="B1147" s="3491"/>
      <c r="C1147" s="3492"/>
      <c r="D1147" s="3493"/>
      <c r="E1147" s="3494"/>
      <c r="F1147" s="3494"/>
      <c r="G1147" s="3494"/>
      <c r="H1147" s="3494"/>
      <c r="I1147" s="3493"/>
      <c r="J1147" s="3494"/>
      <c r="K1147" s="3494"/>
      <c r="L1147" s="3494"/>
      <c r="M1147" s="3494"/>
      <c r="N1147" s="3493"/>
      <c r="O1147" s="3494"/>
      <c r="P1147" s="3494"/>
      <c r="Q1147" s="3494"/>
      <c r="R1147" s="3494"/>
      <c r="S1147" s="3493"/>
      <c r="T1147" s="3494"/>
      <c r="U1147" s="3494"/>
      <c r="V1147" s="3494"/>
      <c r="W1147" s="3494"/>
      <c r="X1147" s="3493"/>
      <c r="Y1147" s="3494"/>
      <c r="Z1147" s="3494"/>
      <c r="AA1147" s="3494"/>
      <c r="AB1147" s="3494"/>
      <c r="AC1147" s="3493"/>
      <c r="AD1147" s="3494"/>
      <c r="AE1147" s="3494"/>
      <c r="AF1147" s="3494"/>
      <c r="AG1147" s="3494"/>
      <c r="AH1147" s="3495"/>
      <c r="AI1147" s="6192"/>
    </row>
    <row r="1148" ht="96.75" customHeight="1">
      <c r="A1148" s="6185"/>
      <c r="B1148" s="3496"/>
      <c r="C1148" s="3497" t="str">
        <f>IMAGE("https://i.ibb.co/26kF6WW/Ace-Trainer-F.png")</f>
        <v/>
      </c>
      <c r="D1148" s="3498"/>
      <c r="E1148" s="3499" t="str">
        <f t="array" ref="E1148">IFERROR(VLOOKUP(E1149,Dex!$B$3:$G1218,3,FALSE),"")</f>
        <v/>
      </c>
      <c r="F1148" s="381"/>
      <c r="G1148" s="381"/>
      <c r="H1148" s="2531"/>
      <c r="I1148" s="3500"/>
      <c r="J1148" s="3499" t="str">
        <f t="array" ref="J1148">IFERROR(VLOOKUP(J1149,Dex!$B$3:$G1218,3,FALSE),"")</f>
        <v/>
      </c>
      <c r="K1148" s="381"/>
      <c r="L1148" s="381"/>
      <c r="M1148" s="2531"/>
      <c r="N1148" s="5127"/>
      <c r="O1148" s="3499" t="str">
        <f t="array" ref="O1148">IFERROR(VLOOKUP(O1149,Dex!$B$3:$G1218,3,FALSE),"")</f>
        <v/>
      </c>
      <c r="P1148" s="381"/>
      <c r="Q1148" s="381"/>
      <c r="R1148" s="2531"/>
      <c r="S1148" s="5128"/>
      <c r="T1148" s="3499" t="str">
        <f t="array" ref="T1148">IFERROR(VLOOKUP(T1149,Dex!$B$3:$G1218,3,FALSE),"")</f>
        <v/>
      </c>
      <c r="U1148" s="381"/>
      <c r="V1148" s="381"/>
      <c r="W1148" s="2531"/>
      <c r="X1148" s="5127"/>
      <c r="Y1148" s="3499" t="str">
        <f t="array" ref="Y1148">IFERROR(VLOOKUP(Y1149,Dex!$B$3:$G1218,3,FALSE),"")</f>
        <v/>
      </c>
      <c r="Z1148" s="381"/>
      <c r="AA1148" s="381"/>
      <c r="AB1148" s="2531"/>
      <c r="AC1148" s="5128"/>
      <c r="AD1148" s="3499" t="str">
        <f t="array" ref="AD1148">IFERROR(VLOOKUP(AD1149,Dex!$B$3:$G1218,3,FALSE),"")</f>
        <v/>
      </c>
      <c r="AE1148" s="381"/>
      <c r="AF1148" s="381"/>
      <c r="AG1148" s="2531"/>
      <c r="AH1148" s="5181"/>
      <c r="AI1148" s="6192"/>
    </row>
    <row r="1149" ht="18.75" customHeight="1">
      <c r="A1149" s="6185"/>
      <c r="B1149" s="6302"/>
      <c r="C1149" s="6303" t="s">
        <v>1827</v>
      </c>
      <c r="D1149" s="6304"/>
      <c r="E1149" s="5129" t="s">
        <v>1326</v>
      </c>
      <c r="F1149" s="3512"/>
      <c r="G1149" s="3512"/>
      <c r="H1149" s="5130"/>
      <c r="J1149" s="5129" t="s">
        <v>445</v>
      </c>
      <c r="K1149" s="3512"/>
      <c r="L1149" s="3512"/>
      <c r="M1149" s="5130"/>
      <c r="O1149" s="5129" t="s">
        <v>1828</v>
      </c>
      <c r="P1149" s="3512"/>
      <c r="Q1149" s="3512"/>
      <c r="R1149" s="5130"/>
      <c r="T1149" s="5129" t="s">
        <v>1829</v>
      </c>
      <c r="U1149" s="3512"/>
      <c r="V1149" s="3512"/>
      <c r="W1149" s="5130"/>
      <c r="Y1149" s="5129" t="s">
        <v>1682</v>
      </c>
      <c r="Z1149" s="3512"/>
      <c r="AA1149" s="3512"/>
      <c r="AB1149" s="5130"/>
      <c r="AD1149" s="5129" t="s">
        <v>1830</v>
      </c>
      <c r="AE1149" s="3512"/>
      <c r="AF1149" s="3512"/>
      <c r="AG1149" s="5130"/>
      <c r="AH1149" s="5182"/>
      <c r="AI1149" s="6192"/>
    </row>
    <row r="1150">
      <c r="A1150" s="6185"/>
      <c r="B1150" s="6305"/>
      <c r="C1150" s="3030"/>
      <c r="D1150" s="6306"/>
      <c r="E1150" s="5131" t="s">
        <v>1502</v>
      </c>
      <c r="F1150" s="3521"/>
      <c r="G1150" s="3521"/>
      <c r="H1150" s="5132"/>
      <c r="J1150" s="5131" t="s">
        <v>1502</v>
      </c>
      <c r="K1150" s="3521"/>
      <c r="L1150" s="3521"/>
      <c r="M1150" s="5132"/>
      <c r="O1150" s="5131" t="s">
        <v>1502</v>
      </c>
      <c r="P1150" s="3521"/>
      <c r="Q1150" s="3521"/>
      <c r="R1150" s="5132"/>
      <c r="T1150" s="5131" t="s">
        <v>1502</v>
      </c>
      <c r="U1150" s="3521"/>
      <c r="V1150" s="3521"/>
      <c r="W1150" s="5132"/>
      <c r="Y1150" s="5131" t="s">
        <v>1502</v>
      </c>
      <c r="Z1150" s="3521"/>
      <c r="AA1150" s="3521"/>
      <c r="AB1150" s="5132"/>
      <c r="AD1150" s="5131" t="s">
        <v>1502</v>
      </c>
      <c r="AE1150" s="3521"/>
      <c r="AF1150" s="3521"/>
      <c r="AG1150" s="5132"/>
      <c r="AH1150" s="5183"/>
      <c r="AI1150" s="6192"/>
    </row>
    <row r="1151" ht="25.5" customHeight="1">
      <c r="A1151" s="6185"/>
      <c r="B1151" s="6307"/>
      <c r="C1151" s="3030"/>
      <c r="D1151" s="6308"/>
      <c r="E1151" s="5133"/>
      <c r="F1151" s="5134" t="str">
        <f t="array" ref="F1151">IFERROR(VLOOKUP(E1149,Dex!$B$3:$H1218,5,FALSE),"")</f>
        <v/>
      </c>
      <c r="G1151" s="5135" t="str">
        <f t="array" ref="G1151">IFERROR(VLOOKUP(E1149,Dex!$B$3:$H1218,7,FALSE),"")</f>
        <v/>
      </c>
      <c r="H1151" s="5136"/>
      <c r="J1151" s="5133"/>
      <c r="K1151" s="5134" t="str">
        <f t="array" ref="K1151">IFERROR(VLOOKUP(J1149,Dex!$B$3:$H1218,5,FALSE),"")</f>
        <v/>
      </c>
      <c r="L1151" s="5135" t="str">
        <f t="array" ref="L1151">IFERROR(VLOOKUP(J1149,Dex!$B$3:$H1218,7,FALSE),"")</f>
        <v/>
      </c>
      <c r="M1151" s="5136"/>
      <c r="O1151" s="5133"/>
      <c r="P1151" s="5134" t="str">
        <f t="array" ref="P1151">IFERROR(VLOOKUP(O1149,Dex!$B$3:$H1218,5,FALSE),"")</f>
        <v/>
      </c>
      <c r="Q1151" s="5135" t="str">
        <f t="array" ref="Q1151">IFERROR(VLOOKUP(O1149,Dex!$B$3:$H1218,7,FALSE),"")</f>
        <v/>
      </c>
      <c r="R1151" s="5136"/>
      <c r="T1151" s="5133"/>
      <c r="U1151" s="5134" t="str">
        <f t="array" ref="U1151">IFERROR(VLOOKUP(T1149,Dex!$B$3:$H1218,5,FALSE),"")</f>
        <v/>
      </c>
      <c r="V1151" s="5135" t="str">
        <f t="array" ref="V1151">IFERROR(VLOOKUP(T1149,Dex!$B$3:$H1218,7,FALSE),"")</f>
        <v/>
      </c>
      <c r="W1151" s="5136"/>
      <c r="Y1151" s="5133"/>
      <c r="Z1151" s="3526" t="str">
        <f t="array" ref="Z1151">IFERROR(VLOOKUP(Y1149,Dex!$B$3:$H1218,5,FALSE),"")</f>
        <v/>
      </c>
      <c r="AA1151" s="3527"/>
      <c r="AB1151" s="5136"/>
      <c r="AD1151" s="5133"/>
      <c r="AE1151" s="3526" t="str">
        <f t="array" ref="AE1151">IFERROR(VLOOKUP(AD1149,Dex!$B$3:$H1218,5,FALSE),"")</f>
        <v/>
      </c>
      <c r="AF1151" s="3527"/>
      <c r="AG1151" s="5136"/>
      <c r="AH1151" s="3507"/>
      <c r="AI1151" s="6192"/>
    </row>
    <row r="1152" ht="2.25" customHeight="1">
      <c r="A1152" s="6185"/>
      <c r="B1152" s="6307"/>
      <c r="C1152" s="3030"/>
      <c r="D1152" s="6308"/>
      <c r="E1152" s="5137"/>
      <c r="F1152" s="5138"/>
      <c r="G1152" s="5138"/>
      <c r="H1152" s="5139"/>
      <c r="J1152" s="5137"/>
      <c r="K1152" s="5138"/>
      <c r="L1152" s="5138"/>
      <c r="M1152" s="5139"/>
      <c r="O1152" s="5137"/>
      <c r="P1152" s="5138"/>
      <c r="Q1152" s="5138"/>
      <c r="R1152" s="5139"/>
      <c r="T1152" s="5137"/>
      <c r="U1152" s="5138"/>
      <c r="V1152" s="5138"/>
      <c r="W1152" s="5139"/>
      <c r="Y1152" s="5137"/>
      <c r="Z1152" s="5138"/>
      <c r="AA1152" s="5138"/>
      <c r="AB1152" s="5139"/>
      <c r="AD1152" s="5137"/>
      <c r="AE1152" s="5138"/>
      <c r="AF1152" s="5138"/>
      <c r="AG1152" s="5139"/>
      <c r="AH1152" s="3507"/>
      <c r="AI1152" s="6192"/>
    </row>
    <row r="1153" ht="20.25" customHeight="1">
      <c r="A1153" s="6185"/>
      <c r="B1153" s="6307"/>
      <c r="C1153" s="3045"/>
      <c r="D1153" s="6308"/>
      <c r="E1153" s="3534" t="s">
        <v>231</v>
      </c>
      <c r="F1153" s="3535"/>
      <c r="G1153" s="3535"/>
      <c r="H1153" s="3536"/>
      <c r="J1153" s="3534" t="s">
        <v>531</v>
      </c>
      <c r="K1153" s="3535"/>
      <c r="L1153" s="3535"/>
      <c r="M1153" s="3536"/>
      <c r="O1153" s="3534" t="s">
        <v>263</v>
      </c>
      <c r="P1153" s="3535"/>
      <c r="Q1153" s="3535"/>
      <c r="R1153" s="3536"/>
      <c r="T1153" s="3534" t="s">
        <v>205</v>
      </c>
      <c r="U1153" s="3535"/>
      <c r="V1153" s="3535"/>
      <c r="W1153" s="3536"/>
      <c r="Y1153" s="3534" t="s">
        <v>169</v>
      </c>
      <c r="Z1153" s="3535"/>
      <c r="AA1153" s="3535"/>
      <c r="AB1153" s="3536"/>
      <c r="AD1153" s="3534" t="s">
        <v>205</v>
      </c>
      <c r="AE1153" s="3535"/>
      <c r="AF1153" s="3535"/>
      <c r="AG1153" s="3536"/>
      <c r="AH1153" s="5181"/>
      <c r="AI1153" s="6192"/>
    </row>
    <row r="1154" ht="20.25" customHeight="1">
      <c r="A1154" s="6185"/>
      <c r="B1154" s="3496"/>
      <c r="C1154" s="6309"/>
      <c r="D1154" s="3498"/>
      <c r="E1154" s="3538" t="s">
        <v>1330</v>
      </c>
      <c r="F1154" s="3503"/>
      <c r="G1154" s="3503"/>
      <c r="H1154" s="3539"/>
      <c r="J1154" s="3538" t="s">
        <v>450</v>
      </c>
      <c r="K1154" s="3503"/>
      <c r="L1154" s="3503"/>
      <c r="M1154" s="3539"/>
      <c r="O1154" s="3538" t="s">
        <v>448</v>
      </c>
      <c r="P1154" s="3503"/>
      <c r="Q1154" s="3503"/>
      <c r="R1154" s="3539"/>
      <c r="T1154" s="3538" t="s">
        <v>914</v>
      </c>
      <c r="U1154" s="3503"/>
      <c r="V1154" s="3503"/>
      <c r="W1154" s="3539"/>
      <c r="Y1154" s="3538" t="s">
        <v>448</v>
      </c>
      <c r="Z1154" s="3503"/>
      <c r="AA1154" s="3503"/>
      <c r="AB1154" s="3539"/>
      <c r="AD1154" s="3538" t="s">
        <v>598</v>
      </c>
      <c r="AE1154" s="3503"/>
      <c r="AF1154" s="3503"/>
      <c r="AG1154" s="3539"/>
      <c r="AH1154" s="5181"/>
      <c r="AI1154" s="6192"/>
    </row>
    <row r="1155" ht="20.25" customHeight="1">
      <c r="A1155" s="6185"/>
      <c r="B1155" s="3496"/>
      <c r="C1155" s="3516"/>
      <c r="D1155" s="3498"/>
      <c r="E1155" s="3540" t="s">
        <v>1334</v>
      </c>
      <c r="F1155" s="3541"/>
      <c r="G1155" s="3542"/>
      <c r="H1155" s="3543" t="str">
        <f>IMAGE("https://raw.githubusercontent.com/msikma/pokesprite/master/items/hold-item/damp-rock.png",3)</f>
        <v/>
      </c>
      <c r="J1155" s="3540" t="s">
        <v>454</v>
      </c>
      <c r="K1155" s="3541"/>
      <c r="L1155" s="3542"/>
      <c r="M1155" s="3543" t="str">
        <f>IMAGE("https://raw.githubusercontent.com/msikma/pokesprite/master/items/hold-item/rocky-helmet.png",3)</f>
        <v/>
      </c>
      <c r="O1155" s="3540" t="s">
        <v>272</v>
      </c>
      <c r="P1155" s="3541"/>
      <c r="Q1155" s="3542"/>
      <c r="R1155" s="3543" t="str">
        <f>IMAGE("https://raw.githubusercontent.com/msikma/pokesprite/master/items/hold-item/life-orb.png",3)</f>
        <v/>
      </c>
      <c r="T1155" s="3540" t="s">
        <v>393</v>
      </c>
      <c r="U1155" s="3541"/>
      <c r="V1155" s="3542"/>
      <c r="W1155" s="3543" t="str">
        <f>IMAGE("https://raw.githubusercontent.com/msikma/pokesprite/master/items/hold-item/weakness-policy.png",3)</f>
        <v/>
      </c>
      <c r="Y1155" s="3540" t="s">
        <v>1540</v>
      </c>
      <c r="Z1155" s="3541"/>
      <c r="AA1155" s="3542"/>
      <c r="AB1155" s="3543" t="str">
        <f>IMAGE("https://raw.githubusercontent.com/msikma/pokesprite/master/items/z-crystals/waterium-z--held.png",3)</f>
        <v/>
      </c>
      <c r="AD1155" s="3540" t="s">
        <v>394</v>
      </c>
      <c r="AE1155" s="3541"/>
      <c r="AF1155" s="3542"/>
      <c r="AG1155" s="3543" t="str">
        <f>IMAGE("https://raw.githubusercontent.com/msikma/pokesprite/master/items/hold-item/leftovers.png",3)</f>
        <v/>
      </c>
      <c r="AH1155" s="3507"/>
      <c r="AI1155" s="6192"/>
    </row>
    <row r="1156" ht="20.25" customHeight="1">
      <c r="A1156" s="6185"/>
      <c r="B1156" s="3496"/>
      <c r="C1156" s="3544"/>
      <c r="D1156" s="3498"/>
      <c r="E1156" s="3534" t="s">
        <v>246</v>
      </c>
      <c r="F1156" s="3535"/>
      <c r="G1156" s="3545"/>
      <c r="H1156" s="3546" t="str">
        <f>IMAGE("https://raw.githubusercontent.com/msikma/pokesprite/master/misc/types/gen8/water.png",4,20,20)</f>
        <v/>
      </c>
      <c r="J1156" s="3534" t="s">
        <v>462</v>
      </c>
      <c r="K1156" s="3535"/>
      <c r="L1156" s="3545"/>
      <c r="M1156" s="3546" t="str">
        <f>IMAGE("https://raw.githubusercontent.com/msikma/pokesprite/master/misc/types/gen8/grass.png",4,20,20)</f>
        <v/>
      </c>
      <c r="O1156" s="3534" t="s">
        <v>379</v>
      </c>
      <c r="P1156" s="3535"/>
      <c r="Q1156" s="3545"/>
      <c r="R1156" s="3546" t="str">
        <f>IMAGE("https://raw.githubusercontent.com/msikma/pokesprite/master/misc/types/gen8/water.png",4,20,20)</f>
        <v/>
      </c>
      <c r="T1156" s="3534" t="s">
        <v>461</v>
      </c>
      <c r="U1156" s="3535"/>
      <c r="V1156" s="3545"/>
      <c r="W1156" s="3546" t="str">
        <f>IMAGE("https://raw.githubusercontent.com/msikma/pokesprite/master/misc/types/gen8/flying.png",4,20,20)</f>
        <v/>
      </c>
      <c r="Y1156" s="3534" t="s">
        <v>346</v>
      </c>
      <c r="Z1156" s="3535"/>
      <c r="AA1156" s="3545"/>
      <c r="AB1156" s="3546" t="str">
        <f>IMAGE("https://raw.githubusercontent.com/msikma/pokesprite/master/misc/types/gen8/water.png",4,20,20)</f>
        <v/>
      </c>
      <c r="AD1156" s="3534" t="s">
        <v>509</v>
      </c>
      <c r="AE1156" s="3535"/>
      <c r="AF1156" s="3545"/>
      <c r="AG1156" s="3546" t="str">
        <f>IMAGE("https://raw.githubusercontent.com/msikma/pokesprite/master/misc/types/gen8/psychic.png",4,20,20)</f>
        <v/>
      </c>
      <c r="AH1156" s="3507"/>
      <c r="AI1156" s="6192"/>
    </row>
    <row r="1157" ht="20.25" customHeight="1">
      <c r="A1157" s="6185"/>
      <c r="B1157" s="3496"/>
      <c r="C1157" s="3529"/>
      <c r="D1157" s="3498"/>
      <c r="E1157" s="3538" t="s">
        <v>251</v>
      </c>
      <c r="F1157" s="3503"/>
      <c r="G1157" s="3504"/>
      <c r="H1157" s="3547" t="str">
        <f>IMAGE("https://raw.githubusercontent.com/msikma/pokesprite/master/misc/types/gen8/flying.png",4,20,20)</f>
        <v/>
      </c>
      <c r="J1157" s="3538" t="s">
        <v>463</v>
      </c>
      <c r="K1157" s="3503"/>
      <c r="L1157" s="3504"/>
      <c r="M1157" s="3547" t="str">
        <f>IMAGE("https://raw.githubusercontent.com/msikma/pokesprite/master/misc/types/gen8/fighting.png",4,20,20)</f>
        <v/>
      </c>
      <c r="O1157" s="3538" t="s">
        <v>286</v>
      </c>
      <c r="P1157" s="3503"/>
      <c r="Q1157" s="3504"/>
      <c r="R1157" s="3547" t="str">
        <f>IMAGE("https://raw.githubusercontent.com/msikma/pokesprite/master/misc/types/gen8/ground.png",4,20,20)</f>
        <v/>
      </c>
      <c r="T1157" s="3538" t="s">
        <v>1831</v>
      </c>
      <c r="U1157" s="3503"/>
      <c r="V1157" s="3504"/>
      <c r="W1157" s="3547" t="str">
        <f>IMAGE("https://raw.githubusercontent.com/msikma/pokesprite/master/misc/types/gen8/psychic.png",4,20,20)</f>
        <v/>
      </c>
      <c r="Y1157" s="3538" t="s">
        <v>316</v>
      </c>
      <c r="Z1157" s="3503"/>
      <c r="AA1157" s="3504"/>
      <c r="AB1157" s="3547" t="str">
        <f>IMAGE("https://raw.githubusercontent.com/msikma/pokesprite/master/misc/types/gen8/fighting.png",4,20,20)</f>
        <v/>
      </c>
      <c r="AD1157" s="3538" t="s">
        <v>539</v>
      </c>
      <c r="AE1157" s="3503"/>
      <c r="AF1157" s="3504"/>
      <c r="AG1157" s="3547" t="str">
        <f>IMAGE("https://raw.githubusercontent.com/msikma/pokesprite/master/misc/types/gen8/electric.png",4,20,20)</f>
        <v/>
      </c>
      <c r="AH1157" s="3507"/>
      <c r="AI1157" s="6192"/>
    </row>
    <row r="1158" ht="20.25" customHeight="1">
      <c r="A1158" s="6185"/>
      <c r="B1158" s="3496"/>
      <c r="C1158" s="3529"/>
      <c r="D1158" s="3498"/>
      <c r="E1158" s="3538" t="s">
        <v>278</v>
      </c>
      <c r="F1158" s="3503"/>
      <c r="G1158" s="3504"/>
      <c r="H1158" s="3547" t="str">
        <f>IMAGE("https://raw.githubusercontent.com/msikma/pokesprite/master/misc/types/gen8/bug.png",4,20,20)</f>
        <v/>
      </c>
      <c r="J1158" s="3538" t="s">
        <v>279</v>
      </c>
      <c r="K1158" s="3503"/>
      <c r="L1158" s="3504"/>
      <c r="M1158" s="3547" t="str">
        <f>IMAGE("https://raw.githubusercontent.com/msikma/pokesprite/master/misc/types/gen8/dark.png",4,20,20)</f>
        <v/>
      </c>
      <c r="O1158" s="3538" t="s">
        <v>344</v>
      </c>
      <c r="P1158" s="3503"/>
      <c r="Q1158" s="3504"/>
      <c r="R1158" s="3547" t="str">
        <f>IMAGE("https://raw.githubusercontent.com/msikma/pokesprite/master/misc/types/gen8/fighting.png",4,20,20)</f>
        <v/>
      </c>
      <c r="T1158" s="3538" t="s">
        <v>379</v>
      </c>
      <c r="U1158" s="3503"/>
      <c r="V1158" s="3504"/>
      <c r="W1158" s="3547" t="str">
        <f>IMAGE("https://raw.githubusercontent.com/msikma/pokesprite/master/misc/types/gen8/water.png",4,20,20)</f>
        <v/>
      </c>
      <c r="Y1158" s="3538" t="s">
        <v>735</v>
      </c>
      <c r="Z1158" s="3503"/>
      <c r="AA1158" s="3504"/>
      <c r="AB1158" s="3547" t="str">
        <f t="shared" ref="AB1158:AB1159" si="45">IMAGE("https://raw.githubusercontent.com/msikma/pokesprite/master/misc/types/gen8/water.png",4,20,20)</f>
        <v/>
      </c>
      <c r="AD1158" s="3538" t="s">
        <v>379</v>
      </c>
      <c r="AE1158" s="3503"/>
      <c r="AF1158" s="3504"/>
      <c r="AG1158" s="3547" t="str">
        <f>IMAGE("https://raw.githubusercontent.com/msikma/pokesprite/master/misc/types/gen8/water.png",4,20,20)</f>
        <v/>
      </c>
      <c r="AH1158" s="3507"/>
      <c r="AI1158" s="6192"/>
    </row>
    <row r="1159" ht="21.0" customHeight="1">
      <c r="A1159" s="6185"/>
      <c r="B1159" s="3496"/>
      <c r="C1159" s="3529"/>
      <c r="D1159" s="3498"/>
      <c r="E1159" s="3548" t="s">
        <v>461</v>
      </c>
      <c r="F1159" s="3549"/>
      <c r="G1159" s="3550"/>
      <c r="H1159" s="3551" t="str">
        <f>IMAGE("https://raw.githubusercontent.com/msikma/pokesprite/master/misc/types/gen8/flying.png",4,20,20)</f>
        <v/>
      </c>
      <c r="I1159" s="3552"/>
      <c r="J1159" s="3548" t="s">
        <v>252</v>
      </c>
      <c r="K1159" s="3549"/>
      <c r="L1159" s="3550"/>
      <c r="M1159" s="3551" t="str">
        <f>IMAGE("https://raw.githubusercontent.com/msikma/pokesprite/master/misc/types/gen8/electric.png",4,20,20)</f>
        <v/>
      </c>
      <c r="N1159" s="3552"/>
      <c r="O1159" s="3548" t="s">
        <v>433</v>
      </c>
      <c r="P1159" s="3549"/>
      <c r="Q1159" s="3550"/>
      <c r="R1159" s="3551" t="str">
        <f>IMAGE("https://raw.githubusercontent.com/msikma/pokesprite/master/misc/types/gen8/water.png",4,20,20)</f>
        <v/>
      </c>
      <c r="S1159" s="3552"/>
      <c r="T1159" s="3548" t="s">
        <v>278</v>
      </c>
      <c r="U1159" s="3549"/>
      <c r="V1159" s="3550"/>
      <c r="W1159" s="3551" t="str">
        <f>IMAGE("https://raw.githubusercontent.com/msikma/pokesprite/master/misc/types/gen8/bug.png",4,20,20)</f>
        <v/>
      </c>
      <c r="X1159" s="3552"/>
      <c r="Y1159" s="3548" t="s">
        <v>219</v>
      </c>
      <c r="Z1159" s="3549"/>
      <c r="AA1159" s="3550"/>
      <c r="AB1159" s="3551" t="str">
        <f t="shared" si="45"/>
        <v/>
      </c>
      <c r="AC1159" s="3552"/>
      <c r="AD1159" s="3548" t="s">
        <v>375</v>
      </c>
      <c r="AE1159" s="3549"/>
      <c r="AF1159" s="3550"/>
      <c r="AG1159" s="3551" t="str">
        <f>IMAGE("https://raw.githubusercontent.com/msikma/pokesprite/master/misc/types/gen8/fighting.png",4,20,20)</f>
        <v/>
      </c>
      <c r="AH1159" s="3507"/>
      <c r="AI1159" s="6192"/>
    </row>
    <row r="1160" ht="3.0" customHeight="1">
      <c r="A1160" s="6185"/>
      <c r="B1160" s="3554"/>
      <c r="C1160" s="3555"/>
      <c r="D1160" s="3556"/>
      <c r="E1160" s="3558"/>
      <c r="F1160" s="3558"/>
      <c r="G1160" s="3558"/>
      <c r="H1160" s="3557"/>
      <c r="I1160" s="3556"/>
      <c r="J1160" s="3558"/>
      <c r="K1160" s="3558"/>
      <c r="L1160" s="3558"/>
      <c r="M1160" s="3557"/>
      <c r="N1160" s="3556"/>
      <c r="O1160" s="3557"/>
      <c r="P1160" s="3557"/>
      <c r="Q1160" s="3557"/>
      <c r="R1160" s="3557"/>
      <c r="S1160" s="3559"/>
      <c r="T1160" s="3558"/>
      <c r="U1160" s="3558"/>
      <c r="V1160" s="3558"/>
      <c r="W1160" s="3557"/>
      <c r="X1160" s="3556"/>
      <c r="Y1160" s="3558"/>
      <c r="Z1160" s="3558"/>
      <c r="AA1160" s="3558"/>
      <c r="AB1160" s="3557"/>
      <c r="AC1160" s="3561"/>
      <c r="AD1160" s="3558"/>
      <c r="AE1160" s="3558"/>
      <c r="AF1160" s="3558"/>
      <c r="AG1160" s="3557"/>
      <c r="AH1160" s="3562"/>
      <c r="AI1160" s="6192"/>
    </row>
    <row r="1161" ht="16.5" customHeight="1">
      <c r="A1161" s="6185"/>
      <c r="B1161" s="3563"/>
      <c r="C1161" s="3555"/>
      <c r="D1161" s="5140"/>
      <c r="E1161" s="3565" t="s">
        <v>190</v>
      </c>
      <c r="F1161" s="381"/>
      <c r="G1161" s="382"/>
      <c r="H1161" s="3566" t="s">
        <v>191</v>
      </c>
      <c r="I1161" s="3567"/>
      <c r="J1161" s="3565" t="s">
        <v>190</v>
      </c>
      <c r="K1161" s="381"/>
      <c r="L1161" s="382"/>
      <c r="M1161" s="3566" t="s">
        <v>191</v>
      </c>
      <c r="N1161" s="3564"/>
      <c r="O1161" s="3565" t="s">
        <v>190</v>
      </c>
      <c r="P1161" s="381"/>
      <c r="Q1161" s="382"/>
      <c r="R1161" s="3566" t="s">
        <v>191</v>
      </c>
      <c r="S1161" s="5153"/>
      <c r="T1161" s="3565" t="s">
        <v>190</v>
      </c>
      <c r="U1161" s="381"/>
      <c r="V1161" s="382"/>
      <c r="W1161" s="3566" t="s">
        <v>191</v>
      </c>
      <c r="X1161" s="5154"/>
      <c r="Y1161" s="3565" t="s">
        <v>190</v>
      </c>
      <c r="Z1161" s="381"/>
      <c r="AA1161" s="382"/>
      <c r="AB1161" s="3566" t="s">
        <v>191</v>
      </c>
      <c r="AC1161" s="5154"/>
      <c r="AD1161" s="3565" t="s">
        <v>190</v>
      </c>
      <c r="AE1161" s="381"/>
      <c r="AF1161" s="382"/>
      <c r="AG1161" s="3566" t="s">
        <v>191</v>
      </c>
      <c r="AH1161" s="3570"/>
      <c r="AI1161" s="6192"/>
    </row>
    <row r="1162" ht="16.5" customHeight="1">
      <c r="A1162" s="6185"/>
      <c r="B1162" s="3563"/>
      <c r="C1162" s="3555"/>
      <c r="D1162" s="3564"/>
      <c r="E1162" s="3571" t="s">
        <v>192</v>
      </c>
      <c r="F1162" s="3572">
        <f t="array" ref="F1162">IFERROR(VLOOKUP(E1149,Dex!$B$3:$N1218,8,FALSE),"")</f>
        <v>60</v>
      </c>
      <c r="G1162" s="3573" t="str">
        <f t="array" ref="G1162">IFERROR(VLOOKUP(F1162,Dex!$P$22:$Q$276,2,FALSE),"")</f>
        <v/>
      </c>
      <c r="H1162" s="3574">
        <v>248.0</v>
      </c>
      <c r="I1162" s="3575"/>
      <c r="J1162" s="3571" t="s">
        <v>192</v>
      </c>
      <c r="K1162" s="3572">
        <f t="array" ref="K1162">IFERROR(VLOOKUP(J1149,Dex!$B$3:$N1218,8,FALSE),"")</f>
        <v>74</v>
      </c>
      <c r="L1162" s="3573" t="str">
        <f t="array" ref="L1162">IFERROR(VLOOKUP(K1162,Dex!$P$22:$Q$276,2,FALSE),"")</f>
        <v/>
      </c>
      <c r="M1162" s="3574">
        <v>248.0</v>
      </c>
      <c r="N1162" s="3564"/>
      <c r="O1162" s="3571" t="s">
        <v>192</v>
      </c>
      <c r="P1162" s="3572">
        <f t="array" ref="P1162">IFERROR(VLOOKUP(O1149,Dex!$B$3:$N1218,8,FALSE),"")</f>
        <v>105</v>
      </c>
      <c r="Q1162" s="3573" t="str">
        <f t="array" ref="Q1162">IFERROR(VLOOKUP(P1162,Dex!$P$22:$Q$276,2,FALSE),"")</f>
        <v/>
      </c>
      <c r="R1162" s="3574"/>
      <c r="S1162" s="3569"/>
      <c r="T1162" s="3571" t="s">
        <v>192</v>
      </c>
      <c r="U1162" s="3572">
        <f t="array" ref="U1162">IFERROR(VLOOKUP(T1149,Dex!$B$3:$N1218,8,FALSE),"")</f>
        <v>90</v>
      </c>
      <c r="V1162" s="3573" t="str">
        <f t="array" ref="V1162">IFERROR(VLOOKUP(U1162,Dex!$P$22:$Q$276,2,FALSE),"")</f>
        <v/>
      </c>
      <c r="W1162" s="3574"/>
      <c r="X1162" s="3569"/>
      <c r="Y1162" s="3571" t="s">
        <v>192</v>
      </c>
      <c r="Z1162" s="3572">
        <f t="array" ref="Z1162">IFERROR(VLOOKUP(Y1149,Dex!$B$3:$N1218,8,FALSE),"")</f>
        <v>61</v>
      </c>
      <c r="AA1162" s="3573" t="str">
        <f t="array" ref="AA1162">IFERROR(VLOOKUP(Z1162,Dex!$P$22:$Q$276,2,FALSE),"")</f>
        <v/>
      </c>
      <c r="AB1162" s="3574"/>
      <c r="AC1162" s="3569"/>
      <c r="AD1162" s="3571" t="s">
        <v>192</v>
      </c>
      <c r="AE1162" s="3572">
        <f t="array" ref="AE1162">IFERROR(VLOOKUP(AD1149,Dex!$B$3:$N1218,8,FALSE),"")</f>
        <v>90</v>
      </c>
      <c r="AF1162" s="3573" t="str">
        <f t="array" ref="AF1162">IFERROR(VLOOKUP(AE1162,Dex!$P$22:$Q$276,2,FALSE),"")</f>
        <v/>
      </c>
      <c r="AG1162" s="3574"/>
      <c r="AH1162" s="3570"/>
      <c r="AI1162" s="6192"/>
    </row>
    <row r="1163" ht="16.5" customHeight="1">
      <c r="A1163" s="6185"/>
      <c r="B1163" s="3563"/>
      <c r="C1163" s="3555"/>
      <c r="D1163" s="3564"/>
      <c r="E1163" s="3577" t="s">
        <v>193</v>
      </c>
      <c r="F1163" s="3578">
        <f t="array" ref="F1163">IFERROR(VLOOKUP(E1149,Dex!$B$3:$N1218,9,FALSE),"")</f>
        <v>50</v>
      </c>
      <c r="G1163" s="3579" t="str">
        <f t="array" ref="G1163">IFERROR(VLOOKUP(F1163,Dex!$P$22:$Q$276,2,FALSE),"")</f>
        <v/>
      </c>
      <c r="H1163" s="3580"/>
      <c r="I1163" s="3575"/>
      <c r="J1163" s="3577" t="s">
        <v>193</v>
      </c>
      <c r="K1163" s="3578">
        <f t="array" ref="K1163">IFERROR(VLOOKUP(J1149,Dex!$B$3:$N1218,9,FALSE),"")</f>
        <v>94</v>
      </c>
      <c r="L1163" s="3579" t="str">
        <f t="array" ref="L1163">IFERROR(VLOOKUP(K1163,Dex!$P$22:$Q$276,2,FALSE),"")</f>
        <v/>
      </c>
      <c r="M1163" s="3580"/>
      <c r="N1163" s="3564"/>
      <c r="O1163" s="3577" t="s">
        <v>193</v>
      </c>
      <c r="P1163" s="3578">
        <f t="array" ref="P1163">IFERROR(VLOOKUP(O1149,Dex!$B$3:$N1218,9,FALSE),"")</f>
        <v>95</v>
      </c>
      <c r="Q1163" s="3579" t="str">
        <f t="array" ref="Q1163">IFERROR(VLOOKUP(P1163,Dex!$P$22:$Q$276,2,FALSE),"")</f>
        <v/>
      </c>
      <c r="R1163" s="3580"/>
      <c r="S1163" s="3569"/>
      <c r="T1163" s="3577" t="s">
        <v>193</v>
      </c>
      <c r="U1163" s="3578">
        <f t="array" ref="U1163">IFERROR(VLOOKUP(T1149,Dex!$B$3:$N1218,9,FALSE),"")</f>
        <v>70</v>
      </c>
      <c r="V1163" s="3579" t="str">
        <f t="array" ref="V1163">IFERROR(VLOOKUP(U1163,Dex!$P$22:$Q$276,2,FALSE),"")</f>
        <v/>
      </c>
      <c r="W1163" s="3580"/>
      <c r="X1163" s="3569"/>
      <c r="Y1163" s="3577" t="s">
        <v>193</v>
      </c>
      <c r="Z1163" s="3578">
        <f t="array" ref="Z1163">IFERROR(VLOOKUP(Y1149,Dex!$B$3:$N1218,9,FALSE),"")</f>
        <v>123</v>
      </c>
      <c r="AA1163" s="3579" t="str">
        <f t="array" ref="AA1163">IFERROR(VLOOKUP(Z1163,Dex!$P$22:$Q$276,2,FALSE),"")</f>
        <v/>
      </c>
      <c r="AB1163" s="3580">
        <v>252.0</v>
      </c>
      <c r="AC1163" s="3569"/>
      <c r="AD1163" s="3577" t="s">
        <v>193</v>
      </c>
      <c r="AE1163" s="3578">
        <f t="array" ref="AE1163">IFERROR(VLOOKUP(AD1149,Dex!$B$3:$N1218,9,FALSE),"")</f>
        <v>85</v>
      </c>
      <c r="AF1163" s="3579" t="str">
        <f t="array" ref="AF1163">IFERROR(VLOOKUP(AE1163,Dex!$P$22:$Q$276,2,FALSE),"")</f>
        <v/>
      </c>
      <c r="AG1163" s="3580"/>
      <c r="AH1163" s="3570"/>
      <c r="AI1163" s="6192"/>
    </row>
    <row r="1164" ht="16.5" customHeight="1">
      <c r="A1164" s="6185"/>
      <c r="B1164" s="3563"/>
      <c r="C1164" s="3555"/>
      <c r="D1164" s="3564"/>
      <c r="E1164" s="3577" t="s">
        <v>194</v>
      </c>
      <c r="F1164" s="3578">
        <f t="array" ref="F1164">IFERROR(VLOOKUP(E1149,Dex!$B$3:$N1218,10,FALSE),"")</f>
        <v>100</v>
      </c>
      <c r="G1164" s="3579" t="str">
        <f t="array" ref="G1164">IFERROR(VLOOKUP(F1164,Dex!$P$22:$Q$276,2,FALSE),"")</f>
        <v/>
      </c>
      <c r="H1164" s="3580">
        <v>8.0</v>
      </c>
      <c r="I1164" s="3575"/>
      <c r="J1164" s="3577" t="s">
        <v>194</v>
      </c>
      <c r="K1164" s="3578">
        <f t="array" ref="K1164">IFERROR(VLOOKUP(J1149,Dex!$B$3:$N1218,10,FALSE),"")</f>
        <v>131</v>
      </c>
      <c r="L1164" s="3579" t="str">
        <f t="array" ref="L1164">IFERROR(VLOOKUP(K1164,Dex!$P$22:$Q$276,2,FALSE),"")</f>
        <v/>
      </c>
      <c r="M1164" s="3580">
        <v>252.0</v>
      </c>
      <c r="N1164" s="3564"/>
      <c r="O1164" s="3577" t="s">
        <v>194</v>
      </c>
      <c r="P1164" s="3578">
        <f t="array" ref="P1164">IFERROR(VLOOKUP(O1149,Dex!$B$3:$N1218,10,FALSE),"")</f>
        <v>75</v>
      </c>
      <c r="Q1164" s="3579" t="str">
        <f t="array" ref="Q1164">IFERROR(VLOOKUP(P1164,Dex!$P$22:$Q$276,2,FALSE),"")</f>
        <v/>
      </c>
      <c r="R1164" s="3580"/>
      <c r="S1164" s="3569"/>
      <c r="T1164" s="3577" t="s">
        <v>194</v>
      </c>
      <c r="U1164" s="3578">
        <f t="array" ref="U1164">IFERROR(VLOOKUP(T1149,Dex!$B$3:$N1218,10,FALSE),"")</f>
        <v>95</v>
      </c>
      <c r="V1164" s="3579" t="str">
        <f t="array" ref="V1164">IFERROR(VLOOKUP(U1164,Dex!$P$22:$Q$276,2,FALSE),"")</f>
        <v/>
      </c>
      <c r="W1164" s="3580">
        <v>4.0</v>
      </c>
      <c r="X1164" s="3569"/>
      <c r="Y1164" s="3577" t="s">
        <v>194</v>
      </c>
      <c r="Z1164" s="3578">
        <f t="array" ref="Z1164">IFERROR(VLOOKUP(Y1149,Dex!$B$3:$N1218,10,FALSE),"")</f>
        <v>60</v>
      </c>
      <c r="AA1164" s="3579" t="str">
        <f t="array" ref="AA1164">IFERROR(VLOOKUP(Z1164,Dex!$P$22:$Q$276,2,FALSE),"")</f>
        <v/>
      </c>
      <c r="AB1164" s="3580">
        <v>4.0</v>
      </c>
      <c r="AC1164" s="3569"/>
      <c r="AD1164" s="3577" t="s">
        <v>194</v>
      </c>
      <c r="AE1164" s="3578">
        <f t="array" ref="AE1164">IFERROR(VLOOKUP(AD1149,Dex!$B$3:$N1218,10,FALSE),"")</f>
        <v>75</v>
      </c>
      <c r="AF1164" s="3579" t="str">
        <f t="array" ref="AF1164">IFERROR(VLOOKUP(AE1164,Dex!$P$22:$Q$276,2,FALSE),"")</f>
        <v/>
      </c>
      <c r="AG1164" s="3580">
        <v>4.0</v>
      </c>
      <c r="AH1164" s="3570"/>
      <c r="AI1164" s="6192"/>
    </row>
    <row r="1165" ht="16.5" customHeight="1">
      <c r="A1165" s="6185"/>
      <c r="B1165" s="3563"/>
      <c r="C1165" s="3555"/>
      <c r="D1165" s="3564"/>
      <c r="E1165" s="3577" t="s">
        <v>195</v>
      </c>
      <c r="F1165" s="3578">
        <f t="array" ref="F1165">IFERROR(VLOOKUP(E1149,Dex!$B$3:$N1218,11,FALSE),"")</f>
        <v>95</v>
      </c>
      <c r="G1165" s="3579" t="str">
        <f t="array" ref="G1165">IFERROR(VLOOKUP(F1165,Dex!$P$22:$Q$276,2,FALSE),"")</f>
        <v/>
      </c>
      <c r="H1165" s="3580"/>
      <c r="I1165" s="3575"/>
      <c r="J1165" s="3577" t="s">
        <v>195</v>
      </c>
      <c r="K1165" s="3578">
        <f t="array" ref="K1165">IFERROR(VLOOKUP(J1149,Dex!$B$3:$N1218,11,FALSE),"")</f>
        <v>54</v>
      </c>
      <c r="L1165" s="3579" t="str">
        <f t="array" ref="L1165">IFERROR(VLOOKUP(K1165,Dex!$P$22:$Q$276,2,FALSE),"")</f>
        <v/>
      </c>
      <c r="M1165" s="3580"/>
      <c r="N1165" s="3564"/>
      <c r="O1165" s="3577" t="s">
        <v>195</v>
      </c>
      <c r="P1165" s="3578">
        <f t="array" ref="P1165">IFERROR(VLOOKUP(O1149,Dex!$B$3:$N1218,11,FALSE),"")</f>
        <v>85</v>
      </c>
      <c r="Q1165" s="3579" t="str">
        <f t="array" ref="Q1165">IFERROR(VLOOKUP(P1165,Dex!$P$22:$Q$276,2,FALSE),"")</f>
        <v/>
      </c>
      <c r="R1165" s="3580">
        <v>252.0</v>
      </c>
      <c r="S1165" s="3569"/>
      <c r="T1165" s="3577" t="s">
        <v>195</v>
      </c>
      <c r="U1165" s="3578">
        <f t="array" ref="U1165">IFERROR(VLOOKUP(T1149,Dex!$B$3:$N1218,11,FALSE),"")</f>
        <v>125</v>
      </c>
      <c r="V1165" s="3579" t="str">
        <f t="array" ref="V1165">IFERROR(VLOOKUP(U1165,Dex!$P$22:$Q$276,2,FALSE),"")</f>
        <v/>
      </c>
      <c r="W1165" s="3580">
        <v>252.0</v>
      </c>
      <c r="X1165" s="3569"/>
      <c r="Y1165" s="3577" t="s">
        <v>195</v>
      </c>
      <c r="Z1165" s="3578">
        <f t="array" ref="Z1165">IFERROR(VLOOKUP(Y1149,Dex!$B$3:$N1218,11,FALSE),"")</f>
        <v>60</v>
      </c>
      <c r="AA1165" s="3579" t="str">
        <f t="array" ref="AA1165">IFERROR(VLOOKUP(Z1165,Dex!$P$22:$Q$276,2,FALSE),"")</f>
        <v/>
      </c>
      <c r="AB1165" s="3580"/>
      <c r="AC1165" s="3569"/>
      <c r="AD1165" s="3577" t="s">
        <v>195</v>
      </c>
      <c r="AE1165" s="3578">
        <f t="array" ref="AE1165">IFERROR(VLOOKUP(AD1149,Dex!$B$3:$N1218,11,FALSE),"")</f>
        <v>115</v>
      </c>
      <c r="AF1165" s="3579" t="str">
        <f t="array" ref="AF1165">IFERROR(VLOOKUP(AE1165,Dex!$P$22:$Q$276,2,FALSE),"")</f>
        <v/>
      </c>
      <c r="AG1165" s="3580">
        <v>252.0</v>
      </c>
      <c r="AH1165" s="3570"/>
      <c r="AI1165" s="6192"/>
    </row>
    <row r="1166" ht="16.5" customHeight="1">
      <c r="A1166" s="6185"/>
      <c r="B1166" s="3563"/>
      <c r="C1166" s="3555"/>
      <c r="D1166" s="3564"/>
      <c r="E1166" s="3577" t="s">
        <v>196</v>
      </c>
      <c r="F1166" s="3578">
        <f t="array" ref="F1166">IFERROR(VLOOKUP(E1149,Dex!$B$3:$N1218,12,FALSE),"")</f>
        <v>70</v>
      </c>
      <c r="G1166" s="3579" t="str">
        <f t="array" ref="G1166">IFERROR(VLOOKUP(F1166,Dex!$P$22:$Q$276,2,FALSE),"")</f>
        <v/>
      </c>
      <c r="H1166" s="3580"/>
      <c r="I1166" s="3575"/>
      <c r="J1166" s="3577" t="s">
        <v>196</v>
      </c>
      <c r="K1166" s="3578">
        <f t="array" ref="K1166">IFERROR(VLOOKUP(J1149,Dex!$B$3:$N1218,12,FALSE),"")</f>
        <v>116</v>
      </c>
      <c r="L1166" s="3579" t="str">
        <f t="array" ref="L1166">IFERROR(VLOOKUP(K1166,Dex!$P$22:$Q$276,2,FALSE),"")</f>
        <v/>
      </c>
      <c r="M1166" s="3580">
        <v>8.0</v>
      </c>
      <c r="N1166" s="3564"/>
      <c r="O1166" s="3577" t="s">
        <v>196</v>
      </c>
      <c r="P1166" s="3578">
        <f t="array" ref="P1166">IFERROR(VLOOKUP(O1149,Dex!$B$3:$N1218,12,FALSE),"")</f>
        <v>75</v>
      </c>
      <c r="Q1166" s="3579" t="str">
        <f t="array" ref="Q1166">IFERROR(VLOOKUP(P1166,Dex!$P$22:$Q$276,2,FALSE),"")</f>
        <v/>
      </c>
      <c r="R1166" s="3580"/>
      <c r="S1166" s="3569"/>
      <c r="T1166" s="3577" t="s">
        <v>196</v>
      </c>
      <c r="U1166" s="3578">
        <f t="array" ref="U1166">IFERROR(VLOOKUP(T1149,Dex!$B$3:$N1218,12,FALSE),"")</f>
        <v>100</v>
      </c>
      <c r="V1166" s="3579" t="str">
        <f t="array" ref="V1166">IFERROR(VLOOKUP(U1166,Dex!$P$22:$Q$276,2,FALSE),"")</f>
        <v/>
      </c>
      <c r="W1166" s="3580"/>
      <c r="X1166" s="3569"/>
      <c r="Y1166" s="3577" t="s">
        <v>196</v>
      </c>
      <c r="Z1166" s="3578">
        <f t="array" ref="Z1166">IFERROR(VLOOKUP(Y1149,Dex!$B$3:$N1218,12,FALSE),"")</f>
        <v>50</v>
      </c>
      <c r="AA1166" s="3579" t="str">
        <f t="array" ref="AA1166">IFERROR(VLOOKUP(Z1166,Dex!$P$22:$Q$276,2,FALSE),"")</f>
        <v/>
      </c>
      <c r="AB1166" s="3580"/>
      <c r="AC1166" s="3569"/>
      <c r="AD1166" s="3577" t="s">
        <v>196</v>
      </c>
      <c r="AE1166" s="3578">
        <f t="array" ref="AE1166">IFERROR(VLOOKUP(AD1149,Dex!$B$3:$N1218,12,FALSE),"")</f>
        <v>100</v>
      </c>
      <c r="AF1166" s="3579" t="str">
        <f t="array" ref="AF1166">IFERROR(VLOOKUP(AE1166,Dex!$P$22:$Q$276,2,FALSE),"")</f>
        <v/>
      </c>
      <c r="AG1166" s="3580"/>
      <c r="AH1166" s="3570"/>
      <c r="AI1166" s="6192"/>
    </row>
    <row r="1167" ht="16.5" customHeight="1">
      <c r="A1167" s="6185"/>
      <c r="B1167" s="3563"/>
      <c r="C1167" s="3555"/>
      <c r="D1167" s="3564"/>
      <c r="E1167" s="3583" t="s">
        <v>197</v>
      </c>
      <c r="F1167" s="3584">
        <f t="array" ref="F1167">IFERROR(VLOOKUP(E1149,Dex!$B$3:$N1218,13,FALSE),"")</f>
        <v>65</v>
      </c>
      <c r="G1167" s="3585" t="str">
        <f t="array" ref="G1167">IFERROR(VLOOKUP(F1167,Dex!$P$22:$Q$276,2,FALSE),"")</f>
        <v/>
      </c>
      <c r="H1167" s="3586">
        <v>252.0</v>
      </c>
      <c r="I1167" s="3575"/>
      <c r="J1167" s="3583" t="s">
        <v>197</v>
      </c>
      <c r="K1167" s="3584">
        <f t="array" ref="K1167">IFERROR(VLOOKUP(J1149,Dex!$B$3:$N1218,13,FALSE),"")</f>
        <v>20</v>
      </c>
      <c r="L1167" s="3585" t="str">
        <f t="array" ref="L1167">IFERROR(VLOOKUP(K1167,Dex!$P$22:$Q$276,2,FALSE),"")</f>
        <v/>
      </c>
      <c r="M1167" s="3586"/>
      <c r="N1167" s="3564"/>
      <c r="O1167" s="3583" t="s">
        <v>197</v>
      </c>
      <c r="P1167" s="3584">
        <f t="array" ref="P1167">IFERROR(VLOOKUP(O1149,Dex!$B$3:$N1218,13,FALSE),"")</f>
        <v>74</v>
      </c>
      <c r="Q1167" s="3585" t="str">
        <f t="array" ref="Q1167">IFERROR(VLOOKUP(P1167,Dex!$P$22:$Q$276,2,FALSE),"")</f>
        <v/>
      </c>
      <c r="R1167" s="3586">
        <v>252.0</v>
      </c>
      <c r="S1167" s="3569"/>
      <c r="T1167" s="3583" t="s">
        <v>197</v>
      </c>
      <c r="U1167" s="3584">
        <f t="array" ref="U1167">IFERROR(VLOOKUP(T1149,Dex!$B$3:$N1218,13,FALSE),"")</f>
        <v>100</v>
      </c>
      <c r="V1167" s="3585" t="str">
        <f t="array" ref="V1167">IFERROR(VLOOKUP(U1167,Dex!$P$22:$Q$276,2,FALSE),"")</f>
        <v/>
      </c>
      <c r="W1167" s="3586">
        <v>252.0</v>
      </c>
      <c r="X1167" s="3569"/>
      <c r="Y1167" s="3583" t="s">
        <v>197</v>
      </c>
      <c r="Z1167" s="3584">
        <f t="array" ref="Z1167">IFERROR(VLOOKUP(Y1149,Dex!$B$3:$N1218,13,FALSE),"")</f>
        <v>136</v>
      </c>
      <c r="AA1167" s="3585" t="str">
        <f t="array" ref="AA1167">IFERROR(VLOOKUP(Z1167,Dex!$P$22:$Q$276,2,FALSE),"")</f>
        <v/>
      </c>
      <c r="AB1167" s="3586">
        <v>252.0</v>
      </c>
      <c r="AC1167" s="3569"/>
      <c r="AD1167" s="3583" t="s">
        <v>197</v>
      </c>
      <c r="AE1167" s="3584">
        <f t="array" ref="AE1167">IFERROR(VLOOKUP(AD1149,Dex!$B$3:$N1218,13,FALSE),"")</f>
        <v>115</v>
      </c>
      <c r="AF1167" s="3585" t="str">
        <f t="array" ref="AF1167">IFERROR(VLOOKUP(AE1167,Dex!$P$22:$Q$276,2,FALSE),"")</f>
        <v/>
      </c>
      <c r="AG1167" s="3586">
        <v>252.0</v>
      </c>
      <c r="AH1167" s="3570"/>
      <c r="AI1167" s="6192"/>
    </row>
    <row r="1168" ht="16.5" customHeight="1">
      <c r="A1168" s="6185"/>
      <c r="B1168" s="3563"/>
      <c r="C1168" s="3555"/>
      <c r="D1168" s="5140"/>
      <c r="E1168" s="3587" t="s">
        <v>198</v>
      </c>
      <c r="F1168" s="405"/>
      <c r="G1168" s="406"/>
      <c r="H1168" s="3588">
        <v>229.0</v>
      </c>
      <c r="I1168" s="3567"/>
      <c r="J1168" s="3587" t="s">
        <v>198</v>
      </c>
      <c r="K1168" s="405"/>
      <c r="L1168" s="406"/>
      <c r="M1168" s="3588">
        <v>45.0</v>
      </c>
      <c r="N1168" s="5140"/>
      <c r="O1168" s="5141" t="s">
        <v>198</v>
      </c>
      <c r="P1168" s="918"/>
      <c r="Q1168" s="919"/>
      <c r="R1168" s="5142">
        <v>247.0</v>
      </c>
      <c r="S1168" s="5154"/>
      <c r="T1168" s="3587" t="s">
        <v>198</v>
      </c>
      <c r="U1168" s="405"/>
      <c r="V1168" s="406"/>
      <c r="W1168" s="3588">
        <v>328.0</v>
      </c>
      <c r="X1168" s="5154"/>
      <c r="Y1168" s="5141" t="s">
        <v>198</v>
      </c>
      <c r="Z1168" s="918"/>
      <c r="AA1168" s="919"/>
      <c r="AB1168" s="5142">
        <v>371.0</v>
      </c>
      <c r="AC1168" s="5154"/>
      <c r="AD1168" s="3587" t="s">
        <v>198</v>
      </c>
      <c r="AE1168" s="405"/>
      <c r="AF1168" s="406"/>
      <c r="AG1168" s="3588">
        <v>361.0</v>
      </c>
      <c r="AH1168" s="3570"/>
      <c r="AI1168" s="6192"/>
    </row>
    <row r="1169" ht="16.5" customHeight="1">
      <c r="A1169" s="6185"/>
      <c r="B1169" s="5143"/>
      <c r="C1169" s="5144"/>
      <c r="D1169" s="5145"/>
      <c r="E1169" s="5146"/>
      <c r="F1169" s="5146"/>
      <c r="G1169" s="5146"/>
      <c r="H1169" s="5144"/>
      <c r="I1169" s="5147"/>
      <c r="J1169" s="5146"/>
      <c r="K1169" s="5146"/>
      <c r="L1169" s="5146"/>
      <c r="M1169" s="5144"/>
      <c r="N1169" s="5145"/>
      <c r="O1169" s="5149" t="s">
        <v>465</v>
      </c>
      <c r="P1169" s="925"/>
      <c r="Q1169" s="926"/>
      <c r="R1169" s="5150">
        <v>494.0</v>
      </c>
      <c r="S1169" s="5155"/>
      <c r="T1169" s="5146"/>
      <c r="U1169" s="5146"/>
      <c r="V1169" s="5146"/>
      <c r="W1169" s="5144"/>
      <c r="X1169" s="5155"/>
      <c r="Y1169" s="5149" t="s">
        <v>465</v>
      </c>
      <c r="Z1169" s="925"/>
      <c r="AA1169" s="926"/>
      <c r="AB1169" s="5150">
        <v>742.0</v>
      </c>
      <c r="AC1169" s="5155"/>
      <c r="AD1169" s="5146"/>
      <c r="AE1169" s="5146"/>
      <c r="AF1169" s="5146"/>
      <c r="AG1169" s="5144"/>
      <c r="AH1169" s="5151"/>
      <c r="AI1169" s="6192"/>
    </row>
    <row r="1170" ht="15.0" customHeight="1">
      <c r="A1170" s="6185"/>
      <c r="B1170" s="3589"/>
      <c r="C1170" s="3590"/>
      <c r="D1170" s="3591"/>
      <c r="E1170" s="3592"/>
      <c r="F1170" s="3592"/>
      <c r="G1170" s="3592"/>
      <c r="H1170" s="3593"/>
      <c r="I1170" s="3593"/>
      <c r="J1170" s="3592"/>
      <c r="K1170" s="3592"/>
      <c r="L1170" s="3592"/>
      <c r="M1170" s="3593"/>
      <c r="N1170" s="3595"/>
      <c r="O1170" s="3596"/>
      <c r="P1170" s="3596"/>
      <c r="Q1170" s="3597"/>
      <c r="R1170" s="3597"/>
      <c r="S1170" s="3597"/>
      <c r="T1170" s="3596"/>
      <c r="U1170" s="3596"/>
      <c r="V1170" s="3597"/>
      <c r="W1170" s="3597"/>
      <c r="X1170" s="3595"/>
      <c r="Y1170" s="5156"/>
      <c r="Z1170" s="5156"/>
      <c r="AA1170" s="5157"/>
      <c r="AB1170" s="3597"/>
      <c r="AC1170" s="3598"/>
      <c r="AD1170" s="3596"/>
      <c r="AE1170" s="3596"/>
      <c r="AF1170" s="3597"/>
      <c r="AG1170" s="3597"/>
      <c r="AH1170" s="3599"/>
      <c r="AI1170" s="6192"/>
    </row>
    <row r="1171" ht="15.0" customHeight="1">
      <c r="A1171" s="6185"/>
      <c r="B1171" s="4306"/>
      <c r="C1171" s="4307"/>
      <c r="D1171" s="4307"/>
      <c r="E1171" s="4307"/>
      <c r="F1171" s="4307"/>
      <c r="G1171" s="4307"/>
      <c r="H1171" s="4307"/>
      <c r="I1171" s="4307"/>
      <c r="J1171" s="4307"/>
      <c r="K1171" s="4307"/>
      <c r="L1171" s="4307"/>
      <c r="M1171" s="4307"/>
      <c r="N1171" s="4307"/>
      <c r="O1171" s="4307"/>
      <c r="P1171" s="4307"/>
      <c r="Q1171" s="4307"/>
      <c r="R1171" s="4307"/>
      <c r="S1171" s="4307"/>
      <c r="T1171" s="4307"/>
      <c r="U1171" s="4307"/>
      <c r="V1171" s="4307"/>
      <c r="W1171" s="4307"/>
      <c r="X1171" s="4307"/>
      <c r="Y1171" s="4307"/>
      <c r="Z1171" s="4307"/>
      <c r="AA1171" s="4307"/>
      <c r="AB1171" s="4307"/>
      <c r="AC1171" s="4307"/>
      <c r="AD1171" s="4307"/>
      <c r="AE1171" s="4307"/>
      <c r="AF1171" s="4307"/>
      <c r="AG1171" s="4307"/>
      <c r="AH1171" s="4308"/>
      <c r="AI1171" s="6192"/>
    </row>
    <row r="1172">
      <c r="A1172" s="6185"/>
      <c r="B1172" s="4309"/>
      <c r="C1172" s="4310"/>
      <c r="D1172" s="4311"/>
      <c r="E1172" s="4312" t="s">
        <v>1832</v>
      </c>
      <c r="F1172" s="4313"/>
      <c r="G1172" s="4313"/>
      <c r="H1172" s="4313"/>
      <c r="I1172" s="4313"/>
      <c r="J1172" s="4313"/>
      <c r="K1172" s="4313"/>
      <c r="L1172" s="4313"/>
      <c r="M1172" s="4313"/>
      <c r="N1172" s="4313"/>
      <c r="O1172" s="4313"/>
      <c r="P1172" s="4313"/>
      <c r="Q1172" s="4313"/>
      <c r="R1172" s="4313"/>
      <c r="S1172" s="4313"/>
      <c r="T1172" s="4313"/>
      <c r="U1172" s="4313"/>
      <c r="V1172" s="4313"/>
      <c r="W1172" s="4313"/>
      <c r="X1172" s="4313"/>
      <c r="Y1172" s="4313"/>
      <c r="Z1172" s="4313"/>
      <c r="AA1172" s="4313"/>
      <c r="AB1172" s="4313"/>
      <c r="AC1172" s="4313"/>
      <c r="AD1172" s="4313"/>
      <c r="AE1172" s="4313"/>
      <c r="AF1172" s="4313"/>
      <c r="AG1172" s="4314"/>
      <c r="AH1172" s="4315"/>
      <c r="AI1172" s="6192"/>
    </row>
    <row r="1173" ht="96.75" customHeight="1">
      <c r="A1173" s="6185"/>
      <c r="B1173" s="4309"/>
      <c r="C1173" s="4316" t="str">
        <f>IMAGE("https://i.ibb.co/26DXmkJ/Ghost.png")</f>
        <v/>
      </c>
      <c r="D1173" s="4317"/>
      <c r="E1173" s="4318" t="str">
        <f t="array" ref="E1173">IFERROR(VLOOKUP(E1174,Dex!$B$3:$G1218,3,FALSE),"")</f>
        <v/>
      </c>
      <c r="F1173" s="381"/>
      <c r="G1173" s="381"/>
      <c r="H1173" s="4280"/>
      <c r="I1173" s="4319"/>
      <c r="J1173" s="4320"/>
      <c r="K1173" s="4313"/>
      <c r="L1173" s="4313"/>
      <c r="M1173" s="4314"/>
      <c r="N1173" s="4319"/>
      <c r="O1173" s="4320"/>
      <c r="P1173" s="4313"/>
      <c r="Q1173" s="4313"/>
      <c r="R1173" s="4314"/>
      <c r="S1173" s="4319"/>
      <c r="T1173" s="4320"/>
      <c r="U1173" s="4313"/>
      <c r="V1173" s="4313"/>
      <c r="W1173" s="4314"/>
      <c r="X1173" s="4319"/>
      <c r="Y1173" s="4320"/>
      <c r="Z1173" s="4313"/>
      <c r="AA1173" s="4313"/>
      <c r="AB1173" s="4314"/>
      <c r="AC1173" s="4319"/>
      <c r="AD1173" s="4320"/>
      <c r="AE1173" s="4313"/>
      <c r="AF1173" s="4313"/>
      <c r="AG1173" s="4314"/>
      <c r="AH1173" s="4315"/>
      <c r="AI1173" s="6192"/>
    </row>
    <row r="1174" ht="18.75" customHeight="1">
      <c r="A1174" s="6185"/>
      <c r="B1174" s="4321"/>
      <c r="C1174" s="4322" t="s">
        <v>1833</v>
      </c>
      <c r="D1174" s="4323"/>
      <c r="E1174" s="4324" t="s">
        <v>1501</v>
      </c>
      <c r="F1174" s="4325"/>
      <c r="G1174" s="4325"/>
      <c r="H1174" s="4326"/>
      <c r="I1174" s="4327"/>
      <c r="J1174" s="4328"/>
      <c r="K1174" s="4313"/>
      <c r="L1174" s="4313"/>
      <c r="M1174" s="4314"/>
      <c r="N1174" s="4327"/>
      <c r="O1174" s="4328"/>
      <c r="P1174" s="4313"/>
      <c r="Q1174" s="4313"/>
      <c r="R1174" s="4314"/>
      <c r="S1174" s="4327"/>
      <c r="T1174" s="4328"/>
      <c r="U1174" s="4313"/>
      <c r="V1174" s="4313"/>
      <c r="W1174" s="4314"/>
      <c r="X1174" s="4327"/>
      <c r="Y1174" s="4328"/>
      <c r="Z1174" s="4313"/>
      <c r="AA1174" s="4313"/>
      <c r="AB1174" s="4314"/>
      <c r="AC1174" s="4327"/>
      <c r="AD1174" s="4328"/>
      <c r="AE1174" s="4313"/>
      <c r="AF1174" s="4313"/>
      <c r="AG1174" s="4314"/>
      <c r="AH1174" s="4329"/>
      <c r="AI1174" s="6192"/>
    </row>
    <row r="1175">
      <c r="A1175" s="6185"/>
      <c r="B1175" s="4330"/>
      <c r="C1175" s="326"/>
      <c r="D1175" s="4331"/>
      <c r="E1175" s="4332">
        <v>100.0</v>
      </c>
      <c r="F1175" s="4313"/>
      <c r="G1175" s="4313"/>
      <c r="H1175" s="4333"/>
      <c r="I1175" s="4327"/>
      <c r="J1175" s="4334"/>
      <c r="K1175" s="4313"/>
      <c r="L1175" s="4313"/>
      <c r="M1175" s="4314"/>
      <c r="N1175" s="4327"/>
      <c r="O1175" s="4334"/>
      <c r="P1175" s="4313"/>
      <c r="Q1175" s="4313"/>
      <c r="R1175" s="4314"/>
      <c r="S1175" s="4327"/>
      <c r="T1175" s="4334"/>
      <c r="U1175" s="4313"/>
      <c r="V1175" s="4313"/>
      <c r="W1175" s="4314"/>
      <c r="X1175" s="4327"/>
      <c r="Y1175" s="4334"/>
      <c r="Z1175" s="4313"/>
      <c r="AA1175" s="4313"/>
      <c r="AB1175" s="4314"/>
      <c r="AC1175" s="4327"/>
      <c r="AD1175" s="4334"/>
      <c r="AE1175" s="4313"/>
      <c r="AF1175" s="4313"/>
      <c r="AG1175" s="4314"/>
      <c r="AH1175" s="4335"/>
      <c r="AI1175" s="6192"/>
    </row>
    <row r="1176" ht="25.5" customHeight="1">
      <c r="A1176" s="6185"/>
      <c r="B1176" s="4309"/>
      <c r="C1176" s="4310"/>
      <c r="D1176" s="4311"/>
      <c r="E1176" s="4337"/>
      <c r="F1176" s="7203" t="str">
        <f t="array" ref="F1176">IFERROR(VLOOKUP(E1174,Dex!$B$3:$H1218,5,FALSE),"")</f>
        <v/>
      </c>
      <c r="G1176" s="4314"/>
      <c r="H1176" s="4340"/>
      <c r="I1176" s="4327"/>
      <c r="J1176" s="4320"/>
      <c r="K1176" s="4313"/>
      <c r="L1176" s="4313"/>
      <c r="M1176" s="4314"/>
      <c r="N1176" s="4327"/>
      <c r="O1176" s="4320"/>
      <c r="P1176" s="4313"/>
      <c r="Q1176" s="4313"/>
      <c r="R1176" s="4314"/>
      <c r="S1176" s="4327"/>
      <c r="T1176" s="4320"/>
      <c r="U1176" s="4313"/>
      <c r="V1176" s="4313"/>
      <c r="W1176" s="4314"/>
      <c r="X1176" s="4327"/>
      <c r="Y1176" s="4320"/>
      <c r="Z1176" s="4313"/>
      <c r="AA1176" s="4313"/>
      <c r="AB1176" s="4314"/>
      <c r="AC1176" s="4327"/>
      <c r="AD1176" s="4320"/>
      <c r="AE1176" s="4313"/>
      <c r="AF1176" s="4313"/>
      <c r="AG1176" s="4314"/>
      <c r="AH1176" s="4315"/>
      <c r="AI1176" s="6192"/>
    </row>
    <row r="1177" ht="2.25" customHeight="1">
      <c r="A1177" s="6185"/>
      <c r="B1177" s="4309"/>
      <c r="C1177" s="4310"/>
      <c r="D1177" s="4311"/>
      <c r="E1177" s="4341"/>
      <c r="F1177" s="4342"/>
      <c r="G1177" s="4342"/>
      <c r="H1177" s="4343"/>
      <c r="I1177" s="4327"/>
      <c r="J1177" s="4311"/>
      <c r="K1177" s="4311"/>
      <c r="L1177" s="4311"/>
      <c r="M1177" s="4311"/>
      <c r="N1177" s="4327"/>
      <c r="O1177" s="4311"/>
      <c r="P1177" s="4311"/>
      <c r="Q1177" s="4311"/>
      <c r="R1177" s="4311"/>
      <c r="S1177" s="4327"/>
      <c r="T1177" s="4311"/>
      <c r="U1177" s="4311"/>
      <c r="V1177" s="4311"/>
      <c r="W1177" s="4311"/>
      <c r="X1177" s="4327"/>
      <c r="Y1177" s="4311"/>
      <c r="Z1177" s="4311"/>
      <c r="AA1177" s="4311"/>
      <c r="AB1177" s="4311"/>
      <c r="AC1177" s="4327"/>
      <c r="AD1177" s="4311"/>
      <c r="AE1177" s="4311"/>
      <c r="AF1177" s="4311"/>
      <c r="AG1177" s="4311"/>
      <c r="AH1177" s="4315"/>
      <c r="AI1177" s="6192"/>
    </row>
    <row r="1178" ht="20.25" customHeight="1">
      <c r="A1178" s="6185"/>
      <c r="B1178" s="4309"/>
      <c r="C1178" s="4310"/>
      <c r="D1178" s="4311"/>
      <c r="E1178" s="4345" t="s">
        <v>1834</v>
      </c>
      <c r="F1178" s="4346"/>
      <c r="G1178" s="4346"/>
      <c r="H1178" s="4347"/>
      <c r="I1178" s="4327"/>
      <c r="J1178" s="4320"/>
      <c r="K1178" s="4313"/>
      <c r="L1178" s="4313"/>
      <c r="M1178" s="4314"/>
      <c r="N1178" s="4327"/>
      <c r="O1178" s="4320"/>
      <c r="P1178" s="4313"/>
      <c r="Q1178" s="4313"/>
      <c r="R1178" s="4314"/>
      <c r="S1178" s="4327"/>
      <c r="T1178" s="4320"/>
      <c r="U1178" s="4313"/>
      <c r="V1178" s="4313"/>
      <c r="W1178" s="4314"/>
      <c r="X1178" s="4327"/>
      <c r="Y1178" s="4320"/>
      <c r="Z1178" s="4313"/>
      <c r="AA1178" s="4313"/>
      <c r="AB1178" s="4314"/>
      <c r="AC1178" s="4327"/>
      <c r="AD1178" s="4320"/>
      <c r="AE1178" s="4313"/>
      <c r="AF1178" s="4313"/>
      <c r="AG1178" s="4314"/>
      <c r="AH1178" s="4315"/>
      <c r="AI1178" s="6192"/>
    </row>
    <row r="1179" ht="20.25" customHeight="1">
      <c r="A1179" s="6185"/>
      <c r="B1179" s="4309"/>
      <c r="C1179" s="4336"/>
      <c r="D1179" s="4311"/>
      <c r="E1179" s="7204" t="s">
        <v>1505</v>
      </c>
      <c r="F1179" s="4313"/>
      <c r="G1179" s="4313"/>
      <c r="H1179" s="4333"/>
      <c r="I1179" s="4327"/>
      <c r="J1179" s="4320"/>
      <c r="K1179" s="4313"/>
      <c r="L1179" s="4313"/>
      <c r="M1179" s="4314"/>
      <c r="N1179" s="4327"/>
      <c r="O1179" s="4320"/>
      <c r="P1179" s="4313"/>
      <c r="Q1179" s="4313"/>
      <c r="R1179" s="4314"/>
      <c r="S1179" s="4327"/>
      <c r="T1179" s="4320"/>
      <c r="U1179" s="4313"/>
      <c r="V1179" s="4313"/>
      <c r="W1179" s="4314"/>
      <c r="X1179" s="4327"/>
      <c r="Y1179" s="4320"/>
      <c r="Z1179" s="4313"/>
      <c r="AA1179" s="4313"/>
      <c r="AB1179" s="4314"/>
      <c r="AC1179" s="4327"/>
      <c r="AD1179" s="4320"/>
      <c r="AE1179" s="4313"/>
      <c r="AF1179" s="4313"/>
      <c r="AG1179" s="4314"/>
      <c r="AH1179" s="4315"/>
      <c r="AI1179" s="6192"/>
    </row>
    <row r="1180" ht="20.25" customHeight="1">
      <c r="A1180" s="6185"/>
      <c r="B1180" s="4309"/>
      <c r="C1180" s="4327"/>
      <c r="D1180" s="4311"/>
      <c r="E1180" s="4349" t="s">
        <v>363</v>
      </c>
      <c r="F1180" s="4350"/>
      <c r="G1180" s="4351"/>
      <c r="H1180" s="4352" t="str">
        <f>IMAGE("https://raw.githubusercontent.com/msikma/pokesprite/master/items/berry/lum.png",3)</f>
        <v/>
      </c>
      <c r="I1180" s="4327"/>
      <c r="J1180" s="4320"/>
      <c r="K1180" s="4313"/>
      <c r="L1180" s="4313"/>
      <c r="M1180" s="4314"/>
      <c r="N1180" s="4327"/>
      <c r="O1180" s="4320"/>
      <c r="P1180" s="4313"/>
      <c r="Q1180" s="4313"/>
      <c r="R1180" s="4314"/>
      <c r="S1180" s="4327"/>
      <c r="T1180" s="4320"/>
      <c r="U1180" s="4313"/>
      <c r="V1180" s="4313"/>
      <c r="W1180" s="4314"/>
      <c r="X1180" s="4327"/>
      <c r="Y1180" s="4320"/>
      <c r="Z1180" s="4313"/>
      <c r="AA1180" s="4313"/>
      <c r="AB1180" s="4314"/>
      <c r="AC1180" s="4327"/>
      <c r="AD1180" s="4320"/>
      <c r="AE1180" s="4313"/>
      <c r="AF1180" s="4313"/>
      <c r="AG1180" s="4314"/>
      <c r="AH1180" s="4315"/>
      <c r="AI1180" s="6192"/>
    </row>
    <row r="1181" ht="20.25" customHeight="1">
      <c r="A1181" s="6185"/>
      <c r="B1181" s="4309"/>
      <c r="C1181" s="4344"/>
      <c r="D1181" s="4311"/>
      <c r="E1181" s="4345" t="s">
        <v>1835</v>
      </c>
      <c r="F1181" s="4346"/>
      <c r="G1181" s="4354"/>
      <c r="H1181" s="4355" t="str">
        <f>IMAGE("https://raw.githubusercontent.com/msikma/pokesprite/master/misc/types/gen8/psychic.png",4,20,20)</f>
        <v/>
      </c>
      <c r="I1181" s="4327"/>
      <c r="J1181" s="4320"/>
      <c r="K1181" s="4313"/>
      <c r="L1181" s="4313"/>
      <c r="M1181" s="4314"/>
      <c r="N1181" s="4327"/>
      <c r="O1181" s="4320"/>
      <c r="P1181" s="4313"/>
      <c r="Q1181" s="4313"/>
      <c r="R1181" s="4314"/>
      <c r="S1181" s="4327"/>
      <c r="T1181" s="4320"/>
      <c r="U1181" s="4313"/>
      <c r="V1181" s="4313"/>
      <c r="W1181" s="4314"/>
      <c r="X1181" s="4327"/>
      <c r="Y1181" s="4320"/>
      <c r="Z1181" s="4313"/>
      <c r="AA1181" s="4313"/>
      <c r="AB1181" s="4314"/>
      <c r="AC1181" s="4327"/>
      <c r="AD1181" s="4320"/>
      <c r="AE1181" s="4313"/>
      <c r="AF1181" s="4313"/>
      <c r="AG1181" s="4314"/>
      <c r="AH1181" s="4315"/>
      <c r="AI1181" s="6192"/>
    </row>
    <row r="1182" ht="20.25" customHeight="1">
      <c r="A1182" s="6185"/>
      <c r="B1182" s="4309"/>
      <c r="C1182" s="4310"/>
      <c r="D1182" s="4311"/>
      <c r="E1182" s="4348" t="s">
        <v>401</v>
      </c>
      <c r="F1182" s="4313"/>
      <c r="G1182" s="4314"/>
      <c r="H1182" s="4357" t="str">
        <f>IMAGE("https://raw.githubusercontent.com/msikma/pokesprite/master/misc/types/gen8/dark.png",4,20,20)</f>
        <v/>
      </c>
      <c r="I1182" s="4327"/>
      <c r="J1182" s="4320"/>
      <c r="K1182" s="4313"/>
      <c r="L1182" s="4313"/>
      <c r="M1182" s="4314"/>
      <c r="N1182" s="4327"/>
      <c r="O1182" s="4320"/>
      <c r="P1182" s="4313"/>
      <c r="Q1182" s="4313"/>
      <c r="R1182" s="4314"/>
      <c r="S1182" s="4327"/>
      <c r="T1182" s="4320"/>
      <c r="U1182" s="4313"/>
      <c r="V1182" s="4313"/>
      <c r="W1182" s="4314"/>
      <c r="X1182" s="4327"/>
      <c r="Y1182" s="4320"/>
      <c r="Z1182" s="4313"/>
      <c r="AA1182" s="4313"/>
      <c r="AB1182" s="4314"/>
      <c r="AC1182" s="4327"/>
      <c r="AD1182" s="4320"/>
      <c r="AE1182" s="4313"/>
      <c r="AF1182" s="4313"/>
      <c r="AG1182" s="4314"/>
      <c r="AH1182" s="4315"/>
      <c r="AI1182" s="6192"/>
    </row>
    <row r="1183" ht="20.25" customHeight="1">
      <c r="A1183" s="6185"/>
      <c r="B1183" s="4309"/>
      <c r="C1183" s="4310"/>
      <c r="D1183" s="4311"/>
      <c r="E1183" s="7204" t="s">
        <v>1836</v>
      </c>
      <c r="F1183" s="4313"/>
      <c r="G1183" s="4314"/>
      <c r="H1183" s="4357" t="str">
        <f>IMAGE("https://raw.githubusercontent.com/msikma/pokesprite/master/misc/types/gen8/normal.png",4,20,20)</f>
        <v/>
      </c>
      <c r="I1183" s="4327"/>
      <c r="J1183" s="4320"/>
      <c r="K1183" s="4313"/>
      <c r="L1183" s="4313"/>
      <c r="M1183" s="4314"/>
      <c r="N1183" s="4327"/>
      <c r="O1183" s="4320"/>
      <c r="P1183" s="4313"/>
      <c r="Q1183" s="4313"/>
      <c r="R1183" s="4314"/>
      <c r="S1183" s="4327"/>
      <c r="T1183" s="4320"/>
      <c r="U1183" s="4313"/>
      <c r="V1183" s="4313"/>
      <c r="W1183" s="4314"/>
      <c r="X1183" s="4327"/>
      <c r="Y1183" s="4320"/>
      <c r="Z1183" s="4313"/>
      <c r="AA1183" s="4313"/>
      <c r="AB1183" s="4314"/>
      <c r="AC1183" s="4327"/>
      <c r="AD1183" s="4320"/>
      <c r="AE1183" s="4313"/>
      <c r="AF1183" s="4313"/>
      <c r="AG1183" s="4314"/>
      <c r="AH1183" s="4315"/>
      <c r="AI1183" s="6192"/>
    </row>
    <row r="1184" ht="21.0" customHeight="1">
      <c r="A1184" s="6185"/>
      <c r="B1184" s="4309"/>
      <c r="C1184" s="4310"/>
      <c r="D1184" s="4311"/>
      <c r="E1184" s="7205" t="s">
        <v>375</v>
      </c>
      <c r="F1184" s="4359"/>
      <c r="G1184" s="4360"/>
      <c r="H1184" s="4361" t="str">
        <f>IMAGE("https://raw.githubusercontent.com/msikma/pokesprite/master/misc/types/gen8/fighting.png",4,20,20)</f>
        <v/>
      </c>
      <c r="I1184" s="4344"/>
      <c r="J1184" s="4320"/>
      <c r="K1184" s="4313"/>
      <c r="L1184" s="4313"/>
      <c r="M1184" s="4314"/>
      <c r="N1184" s="4344"/>
      <c r="O1184" s="4320"/>
      <c r="P1184" s="4313"/>
      <c r="Q1184" s="4313"/>
      <c r="R1184" s="4314"/>
      <c r="S1184" s="4344"/>
      <c r="T1184" s="4320"/>
      <c r="U1184" s="4313"/>
      <c r="V1184" s="4313"/>
      <c r="W1184" s="4314"/>
      <c r="X1184" s="4344"/>
      <c r="Y1184" s="4320"/>
      <c r="Z1184" s="4313"/>
      <c r="AA1184" s="4313"/>
      <c r="AB1184" s="4314"/>
      <c r="AC1184" s="4344"/>
      <c r="AD1184" s="4320"/>
      <c r="AE1184" s="4313"/>
      <c r="AF1184" s="4313"/>
      <c r="AG1184" s="4314"/>
      <c r="AH1184" s="4315"/>
      <c r="AI1184" s="6192"/>
    </row>
    <row r="1185" ht="3.0" customHeight="1">
      <c r="A1185" s="6185"/>
      <c r="B1185" s="4362"/>
      <c r="C1185" s="4363"/>
      <c r="D1185" s="4364"/>
      <c r="E1185" s="4365"/>
      <c r="F1185" s="4365"/>
      <c r="G1185" s="4365"/>
      <c r="H1185" s="4365"/>
      <c r="I1185" s="4364"/>
      <c r="J1185" s="4365"/>
      <c r="K1185" s="4365"/>
      <c r="L1185" s="4365"/>
      <c r="M1185" s="4365"/>
      <c r="N1185" s="4364"/>
      <c r="O1185" s="4365"/>
      <c r="P1185" s="4365"/>
      <c r="Q1185" s="4365"/>
      <c r="R1185" s="4365"/>
      <c r="S1185" s="4365"/>
      <c r="T1185" s="4365"/>
      <c r="U1185" s="4365"/>
      <c r="V1185" s="4365"/>
      <c r="W1185" s="4365"/>
      <c r="X1185" s="4364"/>
      <c r="Y1185" s="4364"/>
      <c r="Z1185" s="4366"/>
      <c r="AA1185" s="4366"/>
      <c r="AB1185" s="4367"/>
      <c r="AC1185" s="4367"/>
      <c r="AD1185" s="4367"/>
      <c r="AE1185" s="4367"/>
      <c r="AF1185" s="4367"/>
      <c r="AG1185" s="4367"/>
      <c r="AH1185" s="4368"/>
      <c r="AI1185" s="6192"/>
    </row>
    <row r="1186" ht="16.5" customHeight="1">
      <c r="A1186" s="6185"/>
      <c r="B1186" s="4369"/>
      <c r="C1186" s="4363"/>
      <c r="D1186" s="4370"/>
      <c r="E1186" s="4371" t="s">
        <v>190</v>
      </c>
      <c r="F1186" s="381"/>
      <c r="G1186" s="382"/>
      <c r="H1186" s="4372" t="s">
        <v>191</v>
      </c>
      <c r="I1186" s="4370"/>
      <c r="J1186" s="4373"/>
      <c r="K1186" s="4370"/>
      <c r="L1186" s="4370"/>
      <c r="M1186" s="4373"/>
      <c r="N1186" s="4373"/>
      <c r="O1186" s="4373"/>
      <c r="P1186" s="4373"/>
      <c r="Q1186" s="4370"/>
      <c r="R1186" s="4370"/>
      <c r="S1186" s="4373"/>
      <c r="T1186" s="4373"/>
      <c r="U1186" s="4373"/>
      <c r="V1186" s="4370"/>
      <c r="W1186" s="4370"/>
      <c r="X1186" s="4373"/>
      <c r="Y1186" s="4373"/>
      <c r="Z1186" s="4373"/>
      <c r="AA1186" s="4370"/>
      <c r="AB1186" s="4373"/>
      <c r="AC1186" s="4373"/>
      <c r="AD1186" s="4373"/>
      <c r="AE1186" s="4373"/>
      <c r="AF1186" s="4373"/>
      <c r="AG1186" s="4373"/>
      <c r="AH1186" s="4374"/>
      <c r="AI1186" s="6192"/>
    </row>
    <row r="1187" ht="16.5" customHeight="1">
      <c r="A1187" s="6185"/>
      <c r="B1187" s="4369"/>
      <c r="C1187" s="4363"/>
      <c r="D1187" s="4370"/>
      <c r="E1187" s="4375" t="s">
        <v>192</v>
      </c>
      <c r="F1187" s="4376">
        <f t="array" ref="F1187">IFERROR(VLOOKUP(E1174,Dex!$B$3:$N1218,8,FALSE),"")</f>
        <v>100</v>
      </c>
      <c r="G1187" s="4377" t="str">
        <f t="array" ref="G1187">IFERROR(VLOOKUP(F1187,Dex!$P$22:$Q$276,2,FALSE),"")</f>
        <v/>
      </c>
      <c r="H1187" s="4378"/>
      <c r="I1187" s="4370"/>
      <c r="J1187" s="4373"/>
      <c r="K1187" s="4370"/>
      <c r="L1187" s="4370"/>
      <c r="M1187" s="4373"/>
      <c r="N1187" s="4373"/>
      <c r="O1187" s="4373"/>
      <c r="P1187" s="4373"/>
      <c r="Q1187" s="4370"/>
      <c r="R1187" s="4370"/>
      <c r="S1187" s="4373"/>
      <c r="T1187" s="4373"/>
      <c r="U1187" s="4373"/>
      <c r="V1187" s="4370"/>
      <c r="W1187" s="4370"/>
      <c r="X1187" s="4373"/>
      <c r="Y1187" s="4373"/>
      <c r="Z1187" s="4373"/>
      <c r="AA1187" s="4370"/>
      <c r="AB1187" s="4373"/>
      <c r="AC1187" s="4373"/>
      <c r="AD1187" s="4373"/>
      <c r="AE1187" s="4373"/>
      <c r="AF1187" s="4373"/>
      <c r="AG1187" s="4373"/>
      <c r="AH1187" s="4374"/>
      <c r="AI1187" s="6192"/>
    </row>
    <row r="1188" ht="16.5" customHeight="1">
      <c r="A1188" s="6185"/>
      <c r="B1188" s="4369"/>
      <c r="C1188" s="4363"/>
      <c r="D1188" s="4370"/>
      <c r="E1188" s="4379" t="s">
        <v>193</v>
      </c>
      <c r="F1188" s="4380">
        <f t="array" ref="F1188">IFERROR(VLOOKUP(E1174,Dex!$B$3:$N1218,9,FALSE),"")</f>
        <v>100</v>
      </c>
      <c r="G1188" s="4381" t="str">
        <f t="array" ref="G1188">IFERROR(VLOOKUP(F1188,Dex!$P$22:$Q$276,2,FALSE),"")</f>
        <v/>
      </c>
      <c r="H1188" s="4382"/>
      <c r="I1188" s="4370"/>
      <c r="J1188" s="4373"/>
      <c r="K1188" s="4370"/>
      <c r="L1188" s="4370"/>
      <c r="M1188" s="4373"/>
      <c r="N1188" s="4373"/>
      <c r="O1188" s="4373"/>
      <c r="P1188" s="4373"/>
      <c r="Q1188" s="4370"/>
      <c r="R1188" s="4370"/>
      <c r="S1188" s="4373"/>
      <c r="T1188" s="4373"/>
      <c r="U1188" s="4373"/>
      <c r="V1188" s="4370"/>
      <c r="W1188" s="4370"/>
      <c r="X1188" s="4373"/>
      <c r="Y1188" s="4373"/>
      <c r="Z1188" s="4373"/>
      <c r="AA1188" s="4370"/>
      <c r="AB1188" s="4373"/>
      <c r="AC1188" s="4373"/>
      <c r="AD1188" s="4373"/>
      <c r="AE1188" s="4373"/>
      <c r="AF1188" s="4373"/>
      <c r="AG1188" s="4373"/>
      <c r="AH1188" s="4374"/>
      <c r="AI1188" s="6192"/>
    </row>
    <row r="1189" ht="16.5" customHeight="1">
      <c r="A1189" s="6185"/>
      <c r="B1189" s="4369"/>
      <c r="C1189" s="4363"/>
      <c r="D1189" s="4370"/>
      <c r="E1189" s="4379" t="s">
        <v>194</v>
      </c>
      <c r="F1189" s="4380">
        <f t="array" ref="F1189">IFERROR(VLOOKUP(E1174,Dex!$B$3:$N1218,10,FALSE),"")</f>
        <v>100</v>
      </c>
      <c r="G1189" s="4381" t="str">
        <f t="array" ref="G1189">IFERROR(VLOOKUP(F1189,Dex!$P$22:$Q$276,2,FALSE),"")</f>
        <v/>
      </c>
      <c r="H1189" s="4382"/>
      <c r="I1189" s="4370"/>
      <c r="J1189" s="4373"/>
      <c r="K1189" s="4370"/>
      <c r="L1189" s="4370"/>
      <c r="M1189" s="4373"/>
      <c r="N1189" s="4373"/>
      <c r="O1189" s="4373"/>
      <c r="P1189" s="4373"/>
      <c r="Q1189" s="4370"/>
      <c r="R1189" s="4370"/>
      <c r="S1189" s="4373"/>
      <c r="T1189" s="4373"/>
      <c r="U1189" s="4373"/>
      <c r="V1189" s="4370"/>
      <c r="W1189" s="4370"/>
      <c r="X1189" s="4373"/>
      <c r="Y1189" s="4373"/>
      <c r="Z1189" s="4373"/>
      <c r="AA1189" s="4370"/>
      <c r="AB1189" s="4373"/>
      <c r="AC1189" s="4373"/>
      <c r="AD1189" s="4373"/>
      <c r="AE1189" s="4373"/>
      <c r="AF1189" s="4373"/>
      <c r="AG1189" s="4373"/>
      <c r="AH1189" s="4374"/>
      <c r="AI1189" s="6192"/>
    </row>
    <row r="1190" ht="16.5" customHeight="1">
      <c r="A1190" s="6185"/>
      <c r="B1190" s="4369"/>
      <c r="C1190" s="4363"/>
      <c r="D1190" s="4370"/>
      <c r="E1190" s="4379" t="s">
        <v>195</v>
      </c>
      <c r="F1190" s="4380">
        <f t="array" ref="F1190">IFERROR(VLOOKUP(E1174,Dex!$B$3:$N1218,11,FALSE),"")</f>
        <v>100</v>
      </c>
      <c r="G1190" s="4381" t="str">
        <f t="array" ref="G1190">IFERROR(VLOOKUP(F1190,Dex!$P$22:$Q$276,2,FALSE),"")</f>
        <v/>
      </c>
      <c r="H1190" s="4382"/>
      <c r="I1190" s="4370"/>
      <c r="J1190" s="4373"/>
      <c r="K1190" s="4370"/>
      <c r="L1190" s="4370"/>
      <c r="M1190" s="4373"/>
      <c r="N1190" s="4373"/>
      <c r="O1190" s="4373"/>
      <c r="P1190" s="4373"/>
      <c r="Q1190" s="4370"/>
      <c r="R1190" s="4370"/>
      <c r="S1190" s="4373"/>
      <c r="T1190" s="4373"/>
      <c r="U1190" s="4373"/>
      <c r="V1190" s="4370"/>
      <c r="W1190" s="4370"/>
      <c r="X1190" s="4373"/>
      <c r="Y1190" s="4373"/>
      <c r="Z1190" s="4373"/>
      <c r="AA1190" s="4370"/>
      <c r="AB1190" s="4373"/>
      <c r="AC1190" s="4373"/>
      <c r="AD1190" s="4373"/>
      <c r="AE1190" s="4373"/>
      <c r="AF1190" s="4373"/>
      <c r="AG1190" s="4373"/>
      <c r="AH1190" s="4374"/>
      <c r="AI1190" s="6192"/>
    </row>
    <row r="1191" ht="16.5" customHeight="1">
      <c r="A1191" s="6185"/>
      <c r="B1191" s="4369"/>
      <c r="C1191" s="4363"/>
      <c r="D1191" s="4370"/>
      <c r="E1191" s="4379" t="s">
        <v>196</v>
      </c>
      <c r="F1191" s="4380">
        <f t="array" ref="F1191">IFERROR(VLOOKUP(E1174,Dex!$B$3:$N1218,12,FALSE),"")</f>
        <v>100</v>
      </c>
      <c r="G1191" s="4381" t="str">
        <f t="array" ref="G1191">IFERROR(VLOOKUP(F1191,Dex!$P$22:$Q$276,2,FALSE),"")</f>
        <v/>
      </c>
      <c r="H1191" s="4382"/>
      <c r="I1191" s="4370"/>
      <c r="J1191" s="4373"/>
      <c r="K1191" s="4370"/>
      <c r="L1191" s="4370"/>
      <c r="M1191" s="4373"/>
      <c r="N1191" s="4373"/>
      <c r="O1191" s="4373"/>
      <c r="P1191" s="4373"/>
      <c r="Q1191" s="4370"/>
      <c r="R1191" s="4370"/>
      <c r="S1191" s="4373"/>
      <c r="T1191" s="4373"/>
      <c r="U1191" s="4373"/>
      <c r="V1191" s="4370"/>
      <c r="W1191" s="4370"/>
      <c r="X1191" s="4373"/>
      <c r="Y1191" s="4373"/>
      <c r="Z1191" s="4373"/>
      <c r="AA1191" s="4370"/>
      <c r="AB1191" s="4373"/>
      <c r="AC1191" s="4373"/>
      <c r="AD1191" s="4373"/>
      <c r="AE1191" s="4373"/>
      <c r="AF1191" s="4373"/>
      <c r="AG1191" s="4373"/>
      <c r="AH1191" s="4374"/>
      <c r="AI1191" s="6192"/>
    </row>
    <row r="1192" ht="16.5" customHeight="1">
      <c r="A1192" s="6185"/>
      <c r="B1192" s="4369"/>
      <c r="C1192" s="4363"/>
      <c r="D1192" s="4370"/>
      <c r="E1192" s="4383" t="s">
        <v>197</v>
      </c>
      <c r="F1192" s="4384">
        <f t="array" ref="F1192">IFERROR(VLOOKUP(E1174,Dex!$B$3:$N1218,13,FALSE),"")</f>
        <v>100</v>
      </c>
      <c r="G1192" s="4385" t="str">
        <f t="array" ref="G1192">IFERROR(VLOOKUP(F1192,Dex!$P$22:$Q$276,2,FALSE),"")</f>
        <v/>
      </c>
      <c r="H1192" s="7206"/>
      <c r="I1192" s="7207"/>
      <c r="J1192" s="7208"/>
      <c r="K1192" s="7207"/>
      <c r="L1192" s="7209"/>
      <c r="M1192" s="7210"/>
      <c r="N1192" s="7210"/>
      <c r="O1192" s="7210"/>
      <c r="P1192" s="7210"/>
      <c r="Q1192" s="7209"/>
      <c r="R1192" s="7209"/>
      <c r="S1192" s="7210"/>
      <c r="T1192" s="7210"/>
      <c r="U1192" s="4373"/>
      <c r="V1192" s="4370"/>
      <c r="W1192" s="4370"/>
      <c r="X1192" s="4373"/>
      <c r="Y1192" s="4373"/>
      <c r="Z1192" s="4373"/>
      <c r="AA1192" s="4370"/>
      <c r="AB1192" s="4373"/>
      <c r="AC1192" s="4373"/>
      <c r="AD1192" s="4373"/>
      <c r="AE1192" s="4373"/>
      <c r="AF1192" s="4373"/>
      <c r="AG1192" s="4373"/>
      <c r="AH1192" s="4374"/>
      <c r="AI1192" s="6192"/>
    </row>
    <row r="1193" ht="16.5" customHeight="1">
      <c r="A1193" s="6185"/>
      <c r="B1193" s="4369"/>
      <c r="C1193" s="4363"/>
      <c r="D1193" s="4370"/>
      <c r="E1193" s="4386" t="s">
        <v>198</v>
      </c>
      <c r="F1193" s="405"/>
      <c r="G1193" s="406"/>
      <c r="H1193" s="7211" t="s">
        <v>1837</v>
      </c>
      <c r="I1193" s="3185"/>
      <c r="J1193" s="3185"/>
      <c r="K1193" s="3186"/>
      <c r="L1193" s="7212"/>
      <c r="M1193" s="7209"/>
      <c r="N1193" s="7209"/>
      <c r="O1193" s="7209"/>
      <c r="P1193" s="7209"/>
      <c r="Q1193" s="7209"/>
      <c r="R1193" s="7209"/>
      <c r="S1193" s="7209"/>
      <c r="T1193" s="7209"/>
      <c r="U1193" s="4373"/>
      <c r="V1193" s="4370"/>
      <c r="W1193" s="4370"/>
      <c r="X1193" s="4373"/>
      <c r="Y1193" s="4373"/>
      <c r="Z1193" s="4373"/>
      <c r="AA1193" s="4370"/>
      <c r="AB1193" s="4373"/>
      <c r="AC1193" s="4373"/>
      <c r="AD1193" s="4373"/>
      <c r="AE1193" s="4373"/>
      <c r="AF1193" s="4373"/>
      <c r="AG1193" s="4373"/>
      <c r="AH1193" s="4374"/>
      <c r="AI1193" s="6192"/>
    </row>
    <row r="1194" ht="15.0" customHeight="1">
      <c r="A1194" s="6185"/>
      <c r="B1194" s="4388"/>
      <c r="C1194" s="4389"/>
      <c r="D1194" s="4390"/>
      <c r="E1194" s="4391"/>
      <c r="F1194" s="4391"/>
      <c r="G1194" s="4391"/>
      <c r="H1194" s="4391"/>
      <c r="I1194" s="7213"/>
      <c r="J1194" s="7213"/>
      <c r="K1194" s="7213"/>
      <c r="L1194" s="4390"/>
      <c r="M1194" s="4390"/>
      <c r="N1194" s="4390"/>
      <c r="O1194" s="4390"/>
      <c r="P1194" s="4390"/>
      <c r="Q1194" s="4390"/>
      <c r="R1194" s="4390"/>
      <c r="S1194" s="4390"/>
      <c r="T1194" s="4390"/>
      <c r="U1194" s="4390"/>
      <c r="V1194" s="4390"/>
      <c r="W1194" s="4390"/>
      <c r="X1194" s="4390"/>
      <c r="Y1194" s="4390"/>
      <c r="Z1194" s="4390"/>
      <c r="AA1194" s="4390"/>
      <c r="AB1194" s="4390"/>
      <c r="AC1194" s="4390"/>
      <c r="AD1194" s="4390"/>
      <c r="AE1194" s="4390"/>
      <c r="AF1194" s="4390"/>
      <c r="AG1194" s="4390"/>
      <c r="AH1194" s="4392"/>
      <c r="AI1194" s="6192"/>
    </row>
    <row r="1195" ht="15.0" customHeight="1">
      <c r="A1195" s="6185"/>
      <c r="B1195" s="7214"/>
      <c r="C1195" s="7215"/>
      <c r="D1195" s="7216"/>
      <c r="E1195" s="7217"/>
      <c r="F1195" s="7217"/>
      <c r="G1195" s="7217"/>
      <c r="H1195" s="7217"/>
      <c r="I1195" s="7217"/>
      <c r="J1195" s="7217"/>
      <c r="K1195" s="7217"/>
      <c r="L1195" s="7217"/>
      <c r="M1195" s="7217"/>
      <c r="N1195" s="7217"/>
      <c r="O1195" s="7217"/>
      <c r="P1195" s="7217"/>
      <c r="Q1195" s="7217"/>
      <c r="R1195" s="7217"/>
      <c r="S1195" s="7217"/>
      <c r="T1195" s="7217"/>
      <c r="U1195" s="7217"/>
      <c r="V1195" s="7217"/>
      <c r="W1195" s="7217"/>
      <c r="X1195" s="7217"/>
      <c r="Y1195" s="7217"/>
      <c r="Z1195" s="7217"/>
      <c r="AA1195" s="7217"/>
      <c r="AB1195" s="7217"/>
      <c r="AC1195" s="7217"/>
      <c r="AD1195" s="7217"/>
      <c r="AE1195" s="7217"/>
      <c r="AF1195" s="7217"/>
      <c r="AG1195" s="7217"/>
      <c r="AH1195" s="7218"/>
      <c r="AI1195" s="6192"/>
    </row>
    <row r="1196" ht="96.75" customHeight="1">
      <c r="A1196" s="6125"/>
      <c r="B1196" s="7219"/>
      <c r="C1196" s="7220" t="str">
        <f>IMAGE("https://i.ibb.co/FYn1QFQ/Gatekeeper.png")</f>
        <v/>
      </c>
      <c r="D1196" s="7221"/>
      <c r="E1196" s="7222" t="str">
        <f t="array" ref="E1196">IFERROR(VLOOKUP(E1197,Dex!$B$3:$G1218,3,FALSE),"")</f>
        <v/>
      </c>
      <c r="F1196" s="1830"/>
      <c r="G1196" s="1830"/>
      <c r="H1196" s="1831"/>
      <c r="I1196" s="7223"/>
      <c r="J1196" s="7222" t="str">
        <f t="array" ref="J1196">IFERROR(VLOOKUP(J1197,Dex!$B$3:$G1218,3,FALSE),"")</f>
        <v/>
      </c>
      <c r="K1196" s="1830"/>
      <c r="L1196" s="1830"/>
      <c r="M1196" s="1831"/>
      <c r="N1196" s="7223"/>
      <c r="O1196" s="7222" t="str">
        <f t="array" ref="O1196">IFERROR(VLOOKUP(O1197,Dex!$B$3:$G1218,3,FALSE),"")</f>
        <v/>
      </c>
      <c r="P1196" s="1830"/>
      <c r="Q1196" s="1830"/>
      <c r="R1196" s="1831"/>
      <c r="S1196" s="7223"/>
      <c r="T1196" s="7222" t="str">
        <f t="array" ref="T1196">IFERROR(VLOOKUP(T1197,Dex!$B$3:$G1218,3,FALSE),"")</f>
        <v/>
      </c>
      <c r="U1196" s="1830"/>
      <c r="V1196" s="1830"/>
      <c r="W1196" s="1831"/>
      <c r="X1196" s="7223"/>
      <c r="Y1196" s="7222" t="str">
        <f t="array" ref="Y1196">IFERROR(VLOOKUP(Y1197,Dex!$B$3:$G1218,3,FALSE),"")</f>
        <v/>
      </c>
      <c r="Z1196" s="1830"/>
      <c r="AA1196" s="1830"/>
      <c r="AB1196" s="1831"/>
      <c r="AC1196" s="7223"/>
      <c r="AD1196" s="7222" t="str">
        <f t="array" ref="AD1196">IFERROR(VLOOKUP(AD1197,Dex!$B$3:$G1218,3,FALSE),"")</f>
        <v/>
      </c>
      <c r="AE1196" s="1830"/>
      <c r="AF1196" s="1830"/>
      <c r="AG1196" s="1831"/>
      <c r="AH1196" s="2243"/>
      <c r="AI1196" s="6129"/>
    </row>
    <row r="1197" ht="18.75" customHeight="1">
      <c r="A1197" s="6140"/>
      <c r="B1197" s="7224"/>
      <c r="C1197" s="7225" t="s">
        <v>1838</v>
      </c>
      <c r="D1197" s="7226"/>
      <c r="E1197" s="7227" t="s">
        <v>1839</v>
      </c>
      <c r="F1197" s="7228"/>
      <c r="G1197" s="7228"/>
      <c r="H1197" s="7229"/>
      <c r="I1197" s="7223"/>
      <c r="J1197" s="7230" t="s">
        <v>1501</v>
      </c>
      <c r="K1197" s="7228"/>
      <c r="L1197" s="7228"/>
      <c r="M1197" s="7229"/>
      <c r="N1197" s="7223"/>
      <c r="O1197" s="7230" t="s">
        <v>1282</v>
      </c>
      <c r="P1197" s="7228"/>
      <c r="Q1197" s="7228"/>
      <c r="R1197" s="7229"/>
      <c r="S1197" s="7223"/>
      <c r="T1197" s="7230" t="s">
        <v>1840</v>
      </c>
      <c r="U1197" s="7228"/>
      <c r="V1197" s="7228"/>
      <c r="W1197" s="7229"/>
      <c r="X1197" s="7223"/>
      <c r="Y1197" s="7230" t="s">
        <v>1841</v>
      </c>
      <c r="Z1197" s="7228"/>
      <c r="AA1197" s="7228"/>
      <c r="AB1197" s="7229"/>
      <c r="AC1197" s="7223"/>
      <c r="AD1197" s="7230" t="s">
        <v>1600</v>
      </c>
      <c r="AE1197" s="7228"/>
      <c r="AF1197" s="7228"/>
      <c r="AG1197" s="7229"/>
      <c r="AH1197" s="2246"/>
      <c r="AI1197" s="6149"/>
    </row>
    <row r="1198">
      <c r="A1198" s="6125"/>
      <c r="B1198" s="7219"/>
      <c r="C1198" s="3030"/>
      <c r="D1198" s="7231"/>
      <c r="E1198" s="7232" t="s">
        <v>1502</v>
      </c>
      <c r="F1198" s="7233"/>
      <c r="G1198" s="7233"/>
      <c r="H1198" s="7234"/>
      <c r="I1198" s="7223"/>
      <c r="J1198" s="7232" t="s">
        <v>1502</v>
      </c>
      <c r="K1198" s="7233"/>
      <c r="L1198" s="7233"/>
      <c r="M1198" s="7234"/>
      <c r="N1198" s="7223"/>
      <c r="O1198" s="7232" t="s">
        <v>1502</v>
      </c>
      <c r="P1198" s="7233"/>
      <c r="Q1198" s="7233"/>
      <c r="R1198" s="7234"/>
      <c r="S1198" s="7223"/>
      <c r="T1198" s="7232" t="s">
        <v>1502</v>
      </c>
      <c r="U1198" s="7233"/>
      <c r="V1198" s="7233"/>
      <c r="W1198" s="7234"/>
      <c r="X1198" s="7223"/>
      <c r="Y1198" s="7232" t="s">
        <v>1502</v>
      </c>
      <c r="Z1198" s="7233"/>
      <c r="AA1198" s="7233"/>
      <c r="AB1198" s="7234"/>
      <c r="AC1198" s="7223"/>
      <c r="AD1198" s="7232" t="s">
        <v>1502</v>
      </c>
      <c r="AE1198" s="7233"/>
      <c r="AF1198" s="7233"/>
      <c r="AG1198" s="7234"/>
      <c r="AH1198" s="2243"/>
      <c r="AI1198" s="6129"/>
    </row>
    <row r="1199" ht="25.5" customHeight="1">
      <c r="A1199" s="6125"/>
      <c r="B1199" s="7219"/>
      <c r="C1199" s="3030"/>
      <c r="D1199" s="7235"/>
      <c r="E1199" s="7236"/>
      <c r="F1199" s="7237" t="str">
        <f t="array" ref="F1199">IFERROR(VLOOKUP(E1197,Dex!$B$3:$H1218,5,FALSE),"")</f>
        <v/>
      </c>
      <c r="G1199" s="7238" t="str">
        <f t="array" ref="G1199">IFERROR(VLOOKUP(E1197,Dex!$B$3:$H1218,7,FALSE),"")</f>
        <v/>
      </c>
      <c r="H1199" s="7239"/>
      <c r="I1199" s="7223"/>
      <c r="J1199" s="7236"/>
      <c r="K1199" s="7240" t="str">
        <f t="array" ref="K1199">IFERROR(VLOOKUP(J1197,Dex!$B$3:$H1218,5,FALSE),"")</f>
        <v/>
      </c>
      <c r="L1199" s="7241"/>
      <c r="M1199" s="7239"/>
      <c r="N1199" s="7223"/>
      <c r="O1199" s="7236"/>
      <c r="P1199" s="7237" t="str">
        <f t="array" ref="P1199">IFERROR(VLOOKUP(O1197,Dex!$B$3:$H1218,5,FALSE),"")</f>
        <v/>
      </c>
      <c r="Q1199" s="7238" t="str">
        <f t="array" ref="Q1199">IFERROR(VLOOKUP(O1197,Dex!$B$3:$H1218,7,FALSE),"")</f>
        <v/>
      </c>
      <c r="R1199" s="7239"/>
      <c r="S1199" s="7223"/>
      <c r="T1199" s="7236"/>
      <c r="U1199" s="7237" t="str">
        <f t="array" ref="U1199">IFERROR(VLOOKUP(T1197,Dex!$B$3:$H1218,5,FALSE),"")</f>
        <v/>
      </c>
      <c r="V1199" s="7238" t="str">
        <f t="array" ref="V1199">IFERROR(VLOOKUP(T1197,Dex!$B$3:$H1218,7,FALSE),"")</f>
        <v/>
      </c>
      <c r="W1199" s="7239"/>
      <c r="X1199" s="7223"/>
      <c r="Y1199" s="7236"/>
      <c r="Z1199" s="7237" t="str">
        <f t="array" ref="Z1199">IFERROR(VLOOKUP(Y1197,Dex!$B$3:$H1218,5,FALSE),"")</f>
        <v/>
      </c>
      <c r="AA1199" s="7238" t="str">
        <f t="array" ref="AA1199">IFERROR(VLOOKUP(Y1197,Dex!$B$3:$H1218,7,FALSE),"")</f>
        <v/>
      </c>
      <c r="AB1199" s="7239"/>
      <c r="AC1199" s="7223"/>
      <c r="AD1199" s="7236"/>
      <c r="AE1199" s="7237" t="str">
        <f t="array" ref="AE1199">IFERROR(VLOOKUP(AD1197,Dex!$B$3:$H1218,5,FALSE),"")</f>
        <v/>
      </c>
      <c r="AF1199" s="7238" t="str">
        <f t="array" ref="AF1199">IFERROR(VLOOKUP(AD1197,Dex!$B$3:$H1218,7,FALSE),"")</f>
        <v/>
      </c>
      <c r="AG1199" s="7239"/>
      <c r="AH1199" s="2243"/>
      <c r="AI1199" s="6129"/>
    </row>
    <row r="1200" ht="2.25" customHeight="1">
      <c r="A1200" s="6125"/>
      <c r="B1200" s="7219"/>
      <c r="C1200" s="3030"/>
      <c r="D1200" s="7235"/>
      <c r="E1200" s="7242"/>
      <c r="F1200" s="7243"/>
      <c r="G1200" s="7243"/>
      <c r="H1200" s="7244"/>
      <c r="I1200" s="7223"/>
      <c r="J1200" s="7242"/>
      <c r="K1200" s="7243"/>
      <c r="L1200" s="7243"/>
      <c r="M1200" s="7244"/>
      <c r="N1200" s="7223"/>
      <c r="O1200" s="7242"/>
      <c r="P1200" s="7243"/>
      <c r="Q1200" s="7243"/>
      <c r="R1200" s="7244"/>
      <c r="S1200" s="7223"/>
      <c r="T1200" s="7242"/>
      <c r="U1200" s="7243"/>
      <c r="V1200" s="7243"/>
      <c r="W1200" s="7244"/>
      <c r="X1200" s="7223"/>
      <c r="Y1200" s="7242"/>
      <c r="Z1200" s="7243"/>
      <c r="AA1200" s="7243"/>
      <c r="AB1200" s="7244"/>
      <c r="AC1200" s="7223"/>
      <c r="AD1200" s="7242"/>
      <c r="AE1200" s="7243"/>
      <c r="AF1200" s="7243"/>
      <c r="AG1200" s="7244"/>
      <c r="AH1200" s="2243"/>
      <c r="AI1200" s="6129"/>
    </row>
    <row r="1201" ht="20.25" customHeight="1">
      <c r="A1201" s="6125"/>
      <c r="B1201" s="7219"/>
      <c r="C1201" s="3045"/>
      <c r="D1201" s="7235"/>
      <c r="E1201" s="7245" t="s">
        <v>172</v>
      </c>
      <c r="F1201" s="7246"/>
      <c r="G1201" s="7246"/>
      <c r="H1201" s="7247"/>
      <c r="I1201" s="7223"/>
      <c r="J1201" s="7245" t="s">
        <v>205</v>
      </c>
      <c r="K1201" s="7246"/>
      <c r="L1201" s="7246"/>
      <c r="M1201" s="7247"/>
      <c r="N1201" s="7223"/>
      <c r="O1201" s="7245" t="s">
        <v>172</v>
      </c>
      <c r="P1201" s="7246"/>
      <c r="Q1201" s="7246"/>
      <c r="R1201" s="7247"/>
      <c r="S1201" s="7223"/>
      <c r="T1201" s="7245" t="s">
        <v>297</v>
      </c>
      <c r="U1201" s="7246"/>
      <c r="V1201" s="7246"/>
      <c r="W1201" s="7247"/>
      <c r="X1201" s="7223"/>
      <c r="Y1201" s="7245" t="s">
        <v>263</v>
      </c>
      <c r="Z1201" s="7246"/>
      <c r="AA1201" s="7246"/>
      <c r="AB1201" s="7247"/>
      <c r="AC1201" s="7223"/>
      <c r="AD1201" s="7245" t="s">
        <v>205</v>
      </c>
      <c r="AE1201" s="7246"/>
      <c r="AF1201" s="7246"/>
      <c r="AG1201" s="7247"/>
      <c r="AH1201" s="2243"/>
      <c r="AI1201" s="6129"/>
    </row>
    <row r="1202">
      <c r="A1202" s="6125"/>
      <c r="B1202" s="7219"/>
      <c r="C1202" s="7248"/>
      <c r="D1202" s="7235"/>
      <c r="E1202" s="7249" t="s">
        <v>552</v>
      </c>
      <c r="F1202" s="7250"/>
      <c r="G1202" s="7250"/>
      <c r="H1202" s="7251"/>
      <c r="I1202" s="7223"/>
      <c r="J1202" s="7249" t="s">
        <v>1505</v>
      </c>
      <c r="K1202" s="7250"/>
      <c r="L1202" s="7250"/>
      <c r="M1202" s="7251"/>
      <c r="N1202" s="7223"/>
      <c r="O1202" s="7252" t="s">
        <v>1842</v>
      </c>
      <c r="P1202" s="7250"/>
      <c r="Q1202" s="7250"/>
      <c r="R1202" s="7251"/>
      <c r="S1202" s="7223"/>
      <c r="T1202" s="7249" t="s">
        <v>233</v>
      </c>
      <c r="U1202" s="7250"/>
      <c r="V1202" s="7250"/>
      <c r="W1202" s="7251"/>
      <c r="X1202" s="7223"/>
      <c r="Y1202" s="7249" t="s">
        <v>1014</v>
      </c>
      <c r="Z1202" s="7250"/>
      <c r="AA1202" s="7250"/>
      <c r="AB1202" s="7251"/>
      <c r="AC1202" s="7223"/>
      <c r="AD1202" s="7249" t="s">
        <v>1603</v>
      </c>
      <c r="AE1202" s="7250"/>
      <c r="AF1202" s="7250"/>
      <c r="AG1202" s="7251"/>
      <c r="AH1202" s="2243"/>
      <c r="AI1202" s="6129"/>
    </row>
    <row r="1203" ht="20.25" customHeight="1">
      <c r="A1203" s="6125"/>
      <c r="B1203" s="7219"/>
      <c r="C1203" s="7248"/>
      <c r="D1203" s="7235"/>
      <c r="E1203" s="7253" t="s">
        <v>272</v>
      </c>
      <c r="F1203" s="7254"/>
      <c r="G1203" s="7255"/>
      <c r="H1203" s="7256" t="str">
        <f>IMAGE("https://raw.githubusercontent.com/msikma/pokesprite/master/items/hold-item/life-orb.png",3)</f>
        <v/>
      </c>
      <c r="I1203" s="7223"/>
      <c r="J1203" s="7253" t="s">
        <v>1843</v>
      </c>
      <c r="K1203" s="7254"/>
      <c r="L1203" s="7255"/>
      <c r="M1203" s="7256" t="str">
        <f>IMAGE("https://raw.githubusercontent.com/msikma/pokesprite/master/items/z-crystals/mewnium-z--held.png",3)</f>
        <v/>
      </c>
      <c r="N1203" s="7223"/>
      <c r="O1203" s="7253" t="s">
        <v>1284</v>
      </c>
      <c r="P1203" s="7254"/>
      <c r="Q1203" s="7255"/>
      <c r="R1203" s="7256" t="str">
        <f>IMAGE("https://raw.githubusercontent.com/msikma/pokesprite/master/items/mega-stone/blastoisinite.png",3)</f>
        <v/>
      </c>
      <c r="S1203" s="7223"/>
      <c r="T1203" s="7253" t="s">
        <v>1844</v>
      </c>
      <c r="U1203" s="7254"/>
      <c r="V1203" s="7255"/>
      <c r="W1203" s="7256" t="str">
        <f>IMAGE("https://raw.githubusercontent.com/msikma/pokesprite/master/items/hold-item/griseous-orb.png",3)</f>
        <v/>
      </c>
      <c r="X1203" s="7223"/>
      <c r="Y1203" s="7253" t="s">
        <v>473</v>
      </c>
      <c r="Z1203" s="7254"/>
      <c r="AA1203" s="7255"/>
      <c r="AB1203" s="7256" t="str">
        <f>IMAGE("https://raw.githubusercontent.com/msikma/pokesprite/master/items/hold-item/assault-vest.png",3)</f>
        <v/>
      </c>
      <c r="AC1203" s="7223"/>
      <c r="AD1203" s="7253" t="s">
        <v>272</v>
      </c>
      <c r="AE1203" s="7254"/>
      <c r="AF1203" s="7255"/>
      <c r="AG1203" s="7256" t="str">
        <f>IMAGE("https://raw.githubusercontent.com/msikma/pokesprite/master/items/hold-item/life-orb.png",3)</f>
        <v/>
      </c>
      <c r="AH1203" s="2243"/>
      <c r="AI1203" s="6129"/>
    </row>
    <row r="1204" ht="20.25" customHeight="1">
      <c r="A1204" s="6125"/>
      <c r="B1204" s="7219"/>
      <c r="C1204" s="7248"/>
      <c r="D1204" s="7235"/>
      <c r="E1204" s="7257" t="s">
        <v>278</v>
      </c>
      <c r="F1204" s="7246"/>
      <c r="G1204" s="7258"/>
      <c r="H1204" s="7259" t="str">
        <f>IMAGE("https://raw.githubusercontent.com/msikma/pokesprite/master/misc/types/gen8/bug.png",4,20,20)</f>
        <v/>
      </c>
      <c r="I1204" s="7223"/>
      <c r="J1204" s="7257" t="s">
        <v>561</v>
      </c>
      <c r="K1204" s="7246"/>
      <c r="L1204" s="7258"/>
      <c r="M1204" s="7259" t="str">
        <f>IMAGE("https://raw.githubusercontent.com/msikma/pokesprite/master/misc/types/gen8/psychic.png",4,20,20)</f>
        <v/>
      </c>
      <c r="N1204" s="7223"/>
      <c r="O1204" s="7257" t="s">
        <v>1285</v>
      </c>
      <c r="P1204" s="7246"/>
      <c r="Q1204" s="7258"/>
      <c r="R1204" s="7259" t="str">
        <f>IMAGE("https://raw.githubusercontent.com/msikma/pokesprite/master/misc/types/gen8/water.png",4,20,20)</f>
        <v/>
      </c>
      <c r="S1204" s="7223"/>
      <c r="T1204" s="7257" t="s">
        <v>587</v>
      </c>
      <c r="U1204" s="7246"/>
      <c r="V1204" s="7258"/>
      <c r="W1204" s="7259" t="str">
        <f>IMAGE("https://raw.githubusercontent.com/msikma/pokesprite/master/misc/types/gen8/ghost.png",4,20,20)</f>
        <v/>
      </c>
      <c r="X1204" s="7223"/>
      <c r="Y1204" s="7257" t="s">
        <v>464</v>
      </c>
      <c r="Z1204" s="7246"/>
      <c r="AA1204" s="7258"/>
      <c r="AB1204" s="7259" t="str">
        <f>IMAGE("https://raw.githubusercontent.com/msikma/pokesprite/master/misc/types/gen8/fairy.png",4,20,20)</f>
        <v/>
      </c>
      <c r="AC1204" s="7223"/>
      <c r="AD1204" s="7257" t="s">
        <v>1097</v>
      </c>
      <c r="AE1204" s="7246"/>
      <c r="AF1204" s="7258"/>
      <c r="AG1204" s="7259" t="str">
        <f>IMAGE("https://raw.githubusercontent.com/msikma/pokesprite/master/misc/types/gen8/ice.png",4,20,20)</f>
        <v/>
      </c>
      <c r="AH1204" s="2243"/>
      <c r="AI1204" s="6129"/>
    </row>
    <row r="1205" ht="20.25" customHeight="1">
      <c r="A1205" s="6125"/>
      <c r="B1205" s="7219"/>
      <c r="C1205" s="7260"/>
      <c r="D1205" s="7235"/>
      <c r="E1205" s="7249" t="s">
        <v>557</v>
      </c>
      <c r="F1205" s="7250"/>
      <c r="G1205" s="7261"/>
      <c r="H1205" s="7262" t="str">
        <f>IMAGE("https://raw.githubusercontent.com/msikma/pokesprite/master/misc/types/gen8/normal.png",4,20,20)</f>
        <v/>
      </c>
      <c r="I1205" s="7223"/>
      <c r="J1205" s="7249" t="s">
        <v>372</v>
      </c>
      <c r="K1205" s="7250"/>
      <c r="L1205" s="7261"/>
      <c r="M1205" s="7262" t="str">
        <f>IMAGE("https://raw.githubusercontent.com/msikma/pokesprite/master/misc/types/gen8/fire.png",4,20,20)</f>
        <v/>
      </c>
      <c r="N1205" s="7223"/>
      <c r="O1205" s="7249" t="s">
        <v>407</v>
      </c>
      <c r="P1205" s="7250"/>
      <c r="Q1205" s="7261"/>
      <c r="R1205" s="7262" t="str">
        <f>IMAGE("https://raw.githubusercontent.com/msikma/pokesprite/master/misc/types/gen8/steel.png",4,20,20)</f>
        <v/>
      </c>
      <c r="S1205" s="7223"/>
      <c r="T1205" s="7249" t="s">
        <v>410</v>
      </c>
      <c r="U1205" s="7250"/>
      <c r="V1205" s="7261"/>
      <c r="W1205" s="7262" t="str">
        <f>IMAGE("https://raw.githubusercontent.com/msikma/pokesprite/master/misc/types/gen8/dragon.png",4,20,20)</f>
        <v/>
      </c>
      <c r="X1205" s="7223"/>
      <c r="Y1205" s="7249" t="s">
        <v>278</v>
      </c>
      <c r="Z1205" s="7250"/>
      <c r="AA1205" s="7261"/>
      <c r="AB1205" s="7262" t="str">
        <f>IMAGE("https://raw.githubusercontent.com/msikma/pokesprite/master/misc/types/gen8/bug.png",4,20,20)</f>
        <v/>
      </c>
      <c r="AC1205" s="7223"/>
      <c r="AD1205" s="7249" t="s">
        <v>539</v>
      </c>
      <c r="AE1205" s="7250"/>
      <c r="AF1205" s="7261"/>
      <c r="AG1205" s="7262" t="str">
        <f t="shared" ref="AG1205:AG1206" si="46">IMAGE("https://raw.githubusercontent.com/msikma/pokesprite/master/misc/types/gen8/electric.png",4,20,20)</f>
        <v/>
      </c>
      <c r="AH1205" s="2243"/>
      <c r="AI1205" s="6129"/>
    </row>
    <row r="1206" ht="20.25" customHeight="1">
      <c r="A1206" s="6125"/>
      <c r="B1206" s="7219"/>
      <c r="C1206" s="7263"/>
      <c r="D1206" s="7235"/>
      <c r="E1206" s="7249" t="s">
        <v>316</v>
      </c>
      <c r="F1206" s="7250"/>
      <c r="G1206" s="7261"/>
      <c r="H1206" s="7262" t="str">
        <f>IMAGE("https://raw.githubusercontent.com/msikma/pokesprite/master/misc/types/gen8/fighting.png",4,20,20)</f>
        <v/>
      </c>
      <c r="I1206" s="7223"/>
      <c r="J1206" s="7249" t="s">
        <v>375</v>
      </c>
      <c r="K1206" s="7250"/>
      <c r="L1206" s="7261"/>
      <c r="M1206" s="7262" t="str">
        <f>IMAGE("https://raw.githubusercontent.com/msikma/pokesprite/master/misc/types/gen8/fighting.png",4,20,20)</f>
        <v/>
      </c>
      <c r="N1206" s="7223"/>
      <c r="O1206" s="7249" t="s">
        <v>735</v>
      </c>
      <c r="P1206" s="7250"/>
      <c r="Q1206" s="7261"/>
      <c r="R1206" s="7262" t="str">
        <f>IMAGE("https://raw.githubusercontent.com/msikma/pokesprite/master/misc/types/gen8/water.png",4,20,20)</f>
        <v/>
      </c>
      <c r="S1206" s="7223"/>
      <c r="T1206" s="7249" t="s">
        <v>585</v>
      </c>
      <c r="U1206" s="7250"/>
      <c r="V1206" s="7261"/>
      <c r="W1206" s="7262" t="str">
        <f>IMAGE("https://raw.githubusercontent.com/msikma/pokesprite/master/misc/types/gen8/ghost.png",4,20,20)</f>
        <v/>
      </c>
      <c r="X1206" s="7223"/>
      <c r="Y1206" s="7249" t="s">
        <v>344</v>
      </c>
      <c r="Z1206" s="7250"/>
      <c r="AA1206" s="7261"/>
      <c r="AB1206" s="7262" t="str">
        <f>IMAGE("https://raw.githubusercontent.com/msikma/pokesprite/master/misc/types/gen8/fighting.png",4,20,20)</f>
        <v/>
      </c>
      <c r="AC1206" s="7223"/>
      <c r="AD1206" s="7249" t="s">
        <v>242</v>
      </c>
      <c r="AE1206" s="7250"/>
      <c r="AF1206" s="7261"/>
      <c r="AG1206" s="7262" t="str">
        <f t="shared" si="46"/>
        <v/>
      </c>
      <c r="AH1206" s="2243"/>
      <c r="AI1206" s="6129"/>
    </row>
    <row r="1207" ht="21.0" customHeight="1">
      <c r="A1207" s="6125"/>
      <c r="B1207" s="7264"/>
      <c r="C1207" s="7265"/>
      <c r="D1207" s="7266"/>
      <c r="E1207" s="7267" t="s">
        <v>610</v>
      </c>
      <c r="F1207" s="7268"/>
      <c r="G1207" s="7269"/>
      <c r="H1207" s="7270" t="str">
        <f>IMAGE("https://raw.githubusercontent.com/msikma/pokesprite/master/misc/types/gen8/rock.png",4,20,20)</f>
        <v/>
      </c>
      <c r="I1207" s="7223"/>
      <c r="J1207" s="7267" t="s">
        <v>317</v>
      </c>
      <c r="K1207" s="7268"/>
      <c r="L1207" s="7269"/>
      <c r="M1207" s="7270" t="str">
        <f>IMAGE("https://raw.githubusercontent.com/msikma/pokesprite/master/misc/types/gen8/ice.png",4,20,20)</f>
        <v/>
      </c>
      <c r="N1207" s="7223"/>
      <c r="O1207" s="7267" t="s">
        <v>316</v>
      </c>
      <c r="P1207" s="7268"/>
      <c r="Q1207" s="7269"/>
      <c r="R1207" s="7270" t="str">
        <f>IMAGE("https://raw.githubusercontent.com/msikma/pokesprite/master/misc/types/gen8/fighting.png",4,20,20)</f>
        <v/>
      </c>
      <c r="S1207" s="7223"/>
      <c r="T1207" s="7267" t="s">
        <v>252</v>
      </c>
      <c r="U1207" s="7268"/>
      <c r="V1207" s="7269"/>
      <c r="W1207" s="7270" t="str">
        <f>IMAGE("https://raw.githubusercontent.com/msikma/pokesprite/master/misc/types/gen8/electric.png",4,20,20)</f>
        <v/>
      </c>
      <c r="X1207" s="7223"/>
      <c r="Y1207" s="7267" t="s">
        <v>561</v>
      </c>
      <c r="Z1207" s="7268"/>
      <c r="AA1207" s="7269"/>
      <c r="AB1207" s="7270" t="str">
        <f>IMAGE("https://raw.githubusercontent.com/msikma/pokesprite/master/misc/types/gen8/psychic.png",4,20,20)</f>
        <v/>
      </c>
      <c r="AC1207" s="7223"/>
      <c r="AD1207" s="7267" t="s">
        <v>636</v>
      </c>
      <c r="AE1207" s="7268"/>
      <c r="AF1207" s="7269"/>
      <c r="AG1207" s="7270" t="str">
        <f>IMAGE("https://raw.githubusercontent.com/msikma/pokesprite/master/misc/types/gen8/ice.png",4,20,20)</f>
        <v/>
      </c>
      <c r="AH1207" s="2243"/>
      <c r="AI1207" s="6129"/>
    </row>
    <row r="1208" ht="3.0" customHeight="1">
      <c r="A1208" s="6185"/>
      <c r="B1208" s="7271"/>
      <c r="C1208" s="7272"/>
      <c r="D1208" s="7273"/>
      <c r="E1208" s="7274"/>
      <c r="F1208" s="7274"/>
      <c r="G1208" s="7274"/>
      <c r="H1208" s="7274"/>
      <c r="I1208" s="7275"/>
      <c r="J1208" s="7276"/>
      <c r="K1208" s="7276"/>
      <c r="L1208" s="7276"/>
      <c r="M1208" s="7277"/>
      <c r="N1208" s="7275"/>
      <c r="O1208" s="7276"/>
      <c r="P1208" s="7276"/>
      <c r="Q1208" s="7276"/>
      <c r="R1208" s="7277"/>
      <c r="S1208" s="7277"/>
      <c r="T1208" s="7276"/>
      <c r="U1208" s="7276"/>
      <c r="V1208" s="7276"/>
      <c r="W1208" s="7277"/>
      <c r="X1208" s="7275"/>
      <c r="Y1208" s="7278"/>
      <c r="Z1208" s="7279"/>
      <c r="AA1208" s="7279"/>
      <c r="AB1208" s="7280"/>
      <c r="AC1208" s="7280"/>
      <c r="AD1208" s="7281"/>
      <c r="AE1208" s="7281"/>
      <c r="AF1208" s="7281"/>
      <c r="AG1208" s="7280"/>
      <c r="AH1208" s="7282"/>
      <c r="AI1208" s="6192"/>
    </row>
    <row r="1209" ht="16.5" customHeight="1">
      <c r="A1209" s="6185"/>
      <c r="B1209" s="7283"/>
      <c r="C1209" s="7272"/>
      <c r="D1209" s="7284"/>
      <c r="E1209" s="7285" t="s">
        <v>190</v>
      </c>
      <c r="F1209" s="381"/>
      <c r="G1209" s="382"/>
      <c r="H1209" s="7286" t="s">
        <v>191</v>
      </c>
      <c r="I1209" s="7287"/>
      <c r="J1209" s="7285" t="s">
        <v>190</v>
      </c>
      <c r="K1209" s="381"/>
      <c r="L1209" s="382"/>
      <c r="M1209" s="7286" t="s">
        <v>191</v>
      </c>
      <c r="N1209" s="7288"/>
      <c r="O1209" s="7285" t="s">
        <v>190</v>
      </c>
      <c r="P1209" s="381"/>
      <c r="Q1209" s="382"/>
      <c r="R1209" s="7286" t="s">
        <v>191</v>
      </c>
      <c r="S1209" s="7288"/>
      <c r="T1209" s="7285" t="s">
        <v>190</v>
      </c>
      <c r="U1209" s="381"/>
      <c r="V1209" s="382"/>
      <c r="W1209" s="7286" t="s">
        <v>191</v>
      </c>
      <c r="X1209" s="7288"/>
      <c r="Y1209" s="7285" t="s">
        <v>190</v>
      </c>
      <c r="Z1209" s="381"/>
      <c r="AA1209" s="382"/>
      <c r="AB1209" s="7286" t="s">
        <v>191</v>
      </c>
      <c r="AC1209" s="7288"/>
      <c r="AD1209" s="7285" t="s">
        <v>190</v>
      </c>
      <c r="AE1209" s="381"/>
      <c r="AF1209" s="382"/>
      <c r="AG1209" s="7286" t="s">
        <v>191</v>
      </c>
      <c r="AH1209" s="7289"/>
      <c r="AI1209" s="6192"/>
    </row>
    <row r="1210" ht="16.5" customHeight="1">
      <c r="A1210" s="6185"/>
      <c r="B1210" s="7283"/>
      <c r="C1210" s="7272"/>
      <c r="D1210" s="7284"/>
      <c r="E1210" s="7290" t="s">
        <v>192</v>
      </c>
      <c r="F1210" s="7291">
        <f t="array" ref="F1210">IFERROR(VLOOKUP(E1197,Dex!$B$3:$N1218,8,FALSE),"")</f>
        <v>100</v>
      </c>
      <c r="G1210" s="7292" t="str">
        <f t="array" ref="G1210">IFERROR(VLOOKUP(F1210,Dex!$P$22:$Q$276,2,FALSE),"")</f>
        <v/>
      </c>
      <c r="H1210" s="7293"/>
      <c r="I1210" s="7294"/>
      <c r="J1210" s="7290" t="s">
        <v>192</v>
      </c>
      <c r="K1210" s="7291">
        <f t="array" ref="K1210">IFERROR(VLOOKUP(J1197,Dex!$B$3:$N1218,8,FALSE),"")</f>
        <v>100</v>
      </c>
      <c r="L1210" s="7292" t="str">
        <f t="array" ref="L1210">IFERROR(VLOOKUP(K1210,Dex!$P$22:$Q$276,2,FALSE),"")</f>
        <v/>
      </c>
      <c r="M1210" s="7293"/>
      <c r="N1210" s="7295"/>
      <c r="O1210" s="7290" t="s">
        <v>192</v>
      </c>
      <c r="P1210" s="7291">
        <f t="array" ref="P1210">IFERROR(VLOOKUP(O1197,Dex!$B$3:$N1218,8,FALSE),"")</f>
        <v>55</v>
      </c>
      <c r="Q1210" s="7292" t="str">
        <f t="array" ref="Q1210">IFERROR(VLOOKUP(P1210,Dex!$P$22:$Q$276,2,FALSE),"")</f>
        <v/>
      </c>
      <c r="R1210" s="7293"/>
      <c r="S1210" s="7295"/>
      <c r="T1210" s="7290" t="s">
        <v>192</v>
      </c>
      <c r="U1210" s="7291">
        <f t="array" ref="U1210">IFERROR(VLOOKUP(T1197,Dex!$B$3:$N1218,8,FALSE),"")</f>
        <v>150</v>
      </c>
      <c r="V1210" s="7292" t="str">
        <f t="array" ref="V1210">IFERROR(VLOOKUP(U1210,Dex!$P$22:$Q$276,2,FALSE),"")</f>
        <v/>
      </c>
      <c r="W1210" s="7293">
        <v>244.0</v>
      </c>
      <c r="X1210" s="7295"/>
      <c r="Y1210" s="7290" t="s">
        <v>192</v>
      </c>
      <c r="Z1210" s="7291">
        <f t="array" ref="Z1210">IFERROR(VLOOKUP(Y1197,Dex!$B$3:$N1218,8,FALSE),"")</f>
        <v>74</v>
      </c>
      <c r="AA1210" s="7292" t="str">
        <f t="array" ref="AA1210">IFERROR(VLOOKUP(Z1210,Dex!$P$22:$Q$276,2,FALSE),"")</f>
        <v/>
      </c>
      <c r="AB1210" s="7293">
        <v>252.0</v>
      </c>
      <c r="AC1210" s="7295"/>
      <c r="AD1210" s="7290" t="s">
        <v>192</v>
      </c>
      <c r="AE1210" s="7291">
        <f t="array" ref="AE1210">IFERROR(VLOOKUP(AD1197,Dex!$B$3:$N1218,8,FALSE),"")</f>
        <v>75</v>
      </c>
      <c r="AF1210" s="7292" t="str">
        <f t="array" ref="AF1210">IFERROR(VLOOKUP(AE1210,Dex!$P$22:$Q$276,2,FALSE),"")</f>
        <v/>
      </c>
      <c r="AG1210" s="7293"/>
      <c r="AH1210" s="7289"/>
      <c r="AI1210" s="6192"/>
    </row>
    <row r="1211" ht="16.5" customHeight="1">
      <c r="A1211" s="6185"/>
      <c r="B1211" s="7283"/>
      <c r="C1211" s="7272"/>
      <c r="D1211" s="7284"/>
      <c r="E1211" s="7296" t="s">
        <v>193</v>
      </c>
      <c r="F1211" s="7297">
        <f t="array" ref="F1211">IFERROR(VLOOKUP(E1197,Dex!$B$3:$N1218,9,FALSE),"")</f>
        <v>128</v>
      </c>
      <c r="G1211" s="7298" t="str">
        <f t="array" ref="G1211">IFERROR(VLOOKUP(F1211,Dex!$P$22:$Q$276,2,FALSE),"")</f>
        <v/>
      </c>
      <c r="H1211" s="7299">
        <v>252.0</v>
      </c>
      <c r="I1211" s="7294"/>
      <c r="J1211" s="7296" t="s">
        <v>193</v>
      </c>
      <c r="K1211" s="7297">
        <f t="array" ref="K1211">IFERROR(VLOOKUP(J1197,Dex!$B$3:$N1218,9,FALSE),"")</f>
        <v>100</v>
      </c>
      <c r="L1211" s="7298" t="str">
        <f t="array" ref="L1211">IFERROR(VLOOKUP(K1211,Dex!$P$22:$Q$276,2,FALSE),"")</f>
        <v/>
      </c>
      <c r="M1211" s="7299"/>
      <c r="N1211" s="7295"/>
      <c r="O1211" s="7296" t="s">
        <v>193</v>
      </c>
      <c r="P1211" s="7297">
        <f t="array" ref="P1211">IFERROR(VLOOKUP(O1197,Dex!$B$3:$N1218,9,FALSE),"")</f>
        <v>150</v>
      </c>
      <c r="Q1211" s="7298" t="str">
        <f t="array" ref="Q1211">IFERROR(VLOOKUP(P1211,Dex!$P$22:$Q$276,2,FALSE),"")</f>
        <v/>
      </c>
      <c r="R1211" s="7299">
        <v>252.0</v>
      </c>
      <c r="S1211" s="7295"/>
      <c r="T1211" s="7296" t="s">
        <v>193</v>
      </c>
      <c r="U1211" s="7297">
        <f t="array" ref="U1211">IFERROR(VLOOKUP(T1197,Dex!$B$3:$N1218,9,FALSE),"")</f>
        <v>120</v>
      </c>
      <c r="V1211" s="7298" t="str">
        <f t="array" ref="V1211">IFERROR(VLOOKUP(U1211,Dex!$P$22:$Q$276,2,FALSE),"")</f>
        <v/>
      </c>
      <c r="W1211" s="7299">
        <v>12.0</v>
      </c>
      <c r="X1211" s="7295"/>
      <c r="Y1211" s="7296" t="s">
        <v>193</v>
      </c>
      <c r="Z1211" s="7297">
        <f t="array" ref="Z1211">IFERROR(VLOOKUP(Y1197,Dex!$B$3:$N1218,9,FALSE),"")</f>
        <v>115</v>
      </c>
      <c r="AA1211" s="7298" t="str">
        <f t="array" ref="AA1211">IFERROR(VLOOKUP(Z1211,Dex!$P$22:$Q$276,2,FALSE),"")</f>
        <v/>
      </c>
      <c r="AB1211" s="7299"/>
      <c r="AC1211" s="7295"/>
      <c r="AD1211" s="7296" t="s">
        <v>193</v>
      </c>
      <c r="AE1211" s="7297">
        <f t="array" ref="AE1211">IFERROR(VLOOKUP(AD1197,Dex!$B$3:$N1218,9,FALSE),"")</f>
        <v>70</v>
      </c>
      <c r="AF1211" s="7298" t="str">
        <f t="array" ref="AF1211">IFERROR(VLOOKUP(AE1211,Dex!$P$22:$Q$276,2,FALSE),"")</f>
        <v/>
      </c>
      <c r="AG1211" s="7299"/>
      <c r="AH1211" s="7289"/>
      <c r="AI1211" s="6192"/>
    </row>
    <row r="1212" ht="16.5" customHeight="1">
      <c r="A1212" s="6185"/>
      <c r="B1212" s="7283"/>
      <c r="C1212" s="7272"/>
      <c r="D1212" s="7284"/>
      <c r="E1212" s="7296" t="s">
        <v>194</v>
      </c>
      <c r="F1212" s="7297">
        <f t="array" ref="F1212">IFERROR(VLOOKUP(E1197,Dex!$B$3:$N1218,10,FALSE),"")</f>
        <v>90</v>
      </c>
      <c r="G1212" s="7298" t="str">
        <f t="array" ref="G1212">IFERROR(VLOOKUP(F1212,Dex!$P$22:$Q$276,2,FALSE),"")</f>
        <v/>
      </c>
      <c r="H1212" s="7299">
        <v>4.0</v>
      </c>
      <c r="I1212" s="7294"/>
      <c r="J1212" s="7296" t="s">
        <v>194</v>
      </c>
      <c r="K1212" s="7297">
        <f t="array" ref="K1212">IFERROR(VLOOKUP(J1197,Dex!$B$3:$N1218,10,FALSE),"")</f>
        <v>100</v>
      </c>
      <c r="L1212" s="7298" t="str">
        <f t="array" ref="L1212">IFERROR(VLOOKUP(K1212,Dex!$P$22:$Q$276,2,FALSE),"")</f>
        <v/>
      </c>
      <c r="M1212" s="7299">
        <v>4.0</v>
      </c>
      <c r="N1212" s="7295"/>
      <c r="O1212" s="7296" t="s">
        <v>194</v>
      </c>
      <c r="P1212" s="7297">
        <f t="array" ref="P1212">IFERROR(VLOOKUP(O1197,Dex!$B$3:$N1218,10,FALSE),"")</f>
        <v>125</v>
      </c>
      <c r="Q1212" s="7298" t="str">
        <f t="array" ref="Q1212">IFERROR(VLOOKUP(P1212,Dex!$P$22:$Q$276,2,FALSE),"")</f>
        <v/>
      </c>
      <c r="R1212" s="7299"/>
      <c r="S1212" s="7295"/>
      <c r="T1212" s="7296" t="s">
        <v>194</v>
      </c>
      <c r="U1212" s="7297">
        <f t="array" ref="U1212">IFERROR(VLOOKUP(T1197,Dex!$B$3:$N1218,10,FALSE),"")</f>
        <v>100</v>
      </c>
      <c r="V1212" s="7298" t="str">
        <f t="array" ref="V1212">IFERROR(VLOOKUP(U1212,Dex!$P$22:$Q$276,2,FALSE),"")</f>
        <v/>
      </c>
      <c r="W1212" s="7299"/>
      <c r="X1212" s="7295"/>
      <c r="Y1212" s="7296" t="s">
        <v>194</v>
      </c>
      <c r="Z1212" s="7297">
        <f t="array" ref="Z1212">IFERROR(VLOOKUP(Y1197,Dex!$B$3:$N1218,10,FALSE),"")</f>
        <v>110</v>
      </c>
      <c r="AA1212" s="7298" t="str">
        <f t="array" ref="AA1212">IFERROR(VLOOKUP(Z1212,Dex!$P$22:$Q$276,2,FALSE),"")</f>
        <v/>
      </c>
      <c r="AB1212" s="7299"/>
      <c r="AC1212" s="7295"/>
      <c r="AD1212" s="7296" t="s">
        <v>194</v>
      </c>
      <c r="AE1212" s="7297">
        <f t="array" ref="AE1212">IFERROR(VLOOKUP(AD1197,Dex!$B$3:$N1218,10,FALSE),"")</f>
        <v>63</v>
      </c>
      <c r="AF1212" s="7298" t="str">
        <f t="array" ref="AF1212">IFERROR(VLOOKUP(AE1212,Dex!$P$22:$Q$276,2,FALSE),"")</f>
        <v/>
      </c>
      <c r="AG1212" s="7299"/>
      <c r="AH1212" s="7289"/>
      <c r="AI1212" s="6192"/>
    </row>
    <row r="1213" ht="16.5" customHeight="1">
      <c r="A1213" s="6185"/>
      <c r="B1213" s="7283"/>
      <c r="C1213" s="7272"/>
      <c r="D1213" s="7284"/>
      <c r="E1213" s="7296" t="s">
        <v>195</v>
      </c>
      <c r="F1213" s="7297">
        <f t="array" ref="F1213">IFERROR(VLOOKUP(E1197,Dex!$B$3:$N1218,11,FALSE),"")</f>
        <v>77</v>
      </c>
      <c r="G1213" s="7298" t="str">
        <f t="array" ref="G1213">IFERROR(VLOOKUP(F1213,Dex!$P$22:$Q$276,2,FALSE),"")</f>
        <v/>
      </c>
      <c r="H1213" s="7299"/>
      <c r="I1213" s="7294"/>
      <c r="J1213" s="7296" t="s">
        <v>195</v>
      </c>
      <c r="K1213" s="7297">
        <f t="array" ref="K1213">IFERROR(VLOOKUP(J1197,Dex!$B$3:$N1218,11,FALSE),"")</f>
        <v>100</v>
      </c>
      <c r="L1213" s="7298" t="str">
        <f t="array" ref="L1213">IFERROR(VLOOKUP(K1213,Dex!$P$22:$Q$276,2,FALSE),"")</f>
        <v/>
      </c>
      <c r="M1213" s="7299">
        <v>252.0</v>
      </c>
      <c r="N1213" s="7295"/>
      <c r="O1213" s="7296" t="s">
        <v>195</v>
      </c>
      <c r="P1213" s="7297">
        <f t="array" ref="P1213">IFERROR(VLOOKUP(O1197,Dex!$B$3:$N1218,11,FALSE),"")</f>
        <v>50</v>
      </c>
      <c r="Q1213" s="7298" t="str">
        <f t="array" ref="Q1213">IFERROR(VLOOKUP(P1213,Dex!$P$22:$Q$276,2,FALSE),"")</f>
        <v/>
      </c>
      <c r="R1213" s="7299"/>
      <c r="S1213" s="7295"/>
      <c r="T1213" s="7296" t="s">
        <v>195</v>
      </c>
      <c r="U1213" s="7297">
        <f t="array" ref="U1213">IFERROR(VLOOKUP(T1197,Dex!$B$3:$N1218,11,FALSE),"")</f>
        <v>120</v>
      </c>
      <c r="V1213" s="7298" t="str">
        <f t="array" ref="V1213">IFERROR(VLOOKUP(U1213,Dex!$P$22:$Q$276,2,FALSE),"")</f>
        <v/>
      </c>
      <c r="W1213" s="7299">
        <v>252.0</v>
      </c>
      <c r="X1213" s="7295"/>
      <c r="Y1213" s="7296" t="s">
        <v>195</v>
      </c>
      <c r="Z1213" s="7297">
        <f t="array" ref="Z1213">IFERROR(VLOOKUP(Y1197,Dex!$B$3:$N1218,11,FALSE),"")</f>
        <v>135</v>
      </c>
      <c r="AA1213" s="7298" t="str">
        <f t="array" ref="AA1213">IFERROR(VLOOKUP(Z1213,Dex!$P$22:$Q$276,2,FALSE),"")</f>
        <v/>
      </c>
      <c r="AB1213" s="7299">
        <v>252.0</v>
      </c>
      <c r="AC1213" s="7295"/>
      <c r="AD1213" s="7296" t="s">
        <v>195</v>
      </c>
      <c r="AE1213" s="7297">
        <f t="array" ref="AE1213">IFERROR(VLOOKUP(AD1197,Dex!$B$3:$N1218,11,FALSE),"")</f>
        <v>110</v>
      </c>
      <c r="AF1213" s="7298" t="str">
        <f t="array" ref="AF1213">IFERROR(VLOOKUP(AE1213,Dex!$P$22:$Q$276,2,FALSE),"")</f>
        <v/>
      </c>
      <c r="AG1213" s="7299">
        <v>252.0</v>
      </c>
      <c r="AH1213" s="7289"/>
      <c r="AI1213" s="6192"/>
    </row>
    <row r="1214" ht="16.5" customHeight="1">
      <c r="A1214" s="6185"/>
      <c r="B1214" s="7283"/>
      <c r="C1214" s="7272"/>
      <c r="D1214" s="7284"/>
      <c r="E1214" s="7296" t="s">
        <v>196</v>
      </c>
      <c r="F1214" s="7297">
        <f t="array" ref="F1214">IFERROR(VLOOKUP(E1197,Dex!$B$3:$N1218,12,FALSE),"")</f>
        <v>77</v>
      </c>
      <c r="G1214" s="7298" t="str">
        <f t="array" ref="G1214">IFERROR(VLOOKUP(F1214,Dex!$P$22:$Q$276,2,FALSE),"")</f>
        <v/>
      </c>
      <c r="H1214" s="7299"/>
      <c r="I1214" s="7294"/>
      <c r="J1214" s="7296" t="s">
        <v>196</v>
      </c>
      <c r="K1214" s="7297">
        <f t="array" ref="K1214">IFERROR(VLOOKUP(J1197,Dex!$B$3:$N1218,12,FALSE),"")</f>
        <v>100</v>
      </c>
      <c r="L1214" s="7298" t="str">
        <f t="array" ref="L1214">IFERROR(VLOOKUP(K1214,Dex!$P$22:$Q$276,2,FALSE),"")</f>
        <v/>
      </c>
      <c r="M1214" s="7299"/>
      <c r="N1214" s="7295"/>
      <c r="O1214" s="7296" t="s">
        <v>196</v>
      </c>
      <c r="P1214" s="7297">
        <f t="array" ref="P1214">IFERROR(VLOOKUP(O1197,Dex!$B$3:$N1218,12,FALSE),"")</f>
        <v>70</v>
      </c>
      <c r="Q1214" s="7298" t="str">
        <f t="array" ref="Q1214">IFERROR(VLOOKUP(P1214,Dex!$P$22:$Q$276,2,FALSE),"")</f>
        <v/>
      </c>
      <c r="R1214" s="7299"/>
      <c r="S1214" s="7295"/>
      <c r="T1214" s="7296" t="s">
        <v>196</v>
      </c>
      <c r="U1214" s="7297">
        <f t="array" ref="U1214">IFERROR(VLOOKUP(T1197,Dex!$B$3:$N1218,12,FALSE),"")</f>
        <v>100</v>
      </c>
      <c r="V1214" s="7298" t="str">
        <f t="array" ref="V1214">IFERROR(VLOOKUP(U1214,Dex!$P$22:$Q$276,2,FALSE),"")</f>
        <v/>
      </c>
      <c r="W1214" s="7299"/>
      <c r="X1214" s="7295"/>
      <c r="Y1214" s="7296" t="s">
        <v>196</v>
      </c>
      <c r="Z1214" s="7297">
        <f t="array" ref="Z1214">IFERROR(VLOOKUP(Y1197,Dex!$B$3:$N1218,12,FALSE),"")</f>
        <v>100</v>
      </c>
      <c r="AA1214" s="7298" t="str">
        <f t="array" ref="AA1214">IFERROR(VLOOKUP(Z1214,Dex!$P$22:$Q$276,2,FALSE),"")</f>
        <v/>
      </c>
      <c r="AB1214" s="7299">
        <v>4.0</v>
      </c>
      <c r="AC1214" s="7295"/>
      <c r="AD1214" s="7296" t="s">
        <v>196</v>
      </c>
      <c r="AE1214" s="7297">
        <f t="array" ref="AE1214">IFERROR(VLOOKUP(AD1197,Dex!$B$3:$N1218,12,FALSE),"")</f>
        <v>63</v>
      </c>
      <c r="AF1214" s="7298" t="str">
        <f t="array" ref="AF1214">IFERROR(VLOOKUP(AE1214,Dex!$P$22:$Q$276,2,FALSE),"")</f>
        <v/>
      </c>
      <c r="AG1214" s="7299">
        <v>4.0</v>
      </c>
      <c r="AH1214" s="7289"/>
      <c r="AI1214" s="6192"/>
    </row>
    <row r="1215" ht="16.5" customHeight="1">
      <c r="A1215" s="6185"/>
      <c r="B1215" s="7283"/>
      <c r="C1215" s="7272"/>
      <c r="D1215" s="7284"/>
      <c r="E1215" s="7300" t="s">
        <v>197</v>
      </c>
      <c r="F1215" s="7301">
        <f t="array" ref="F1215">IFERROR(VLOOKUP(E1197,Dex!$B$3:$N1218,13,FALSE),"")</f>
        <v>128</v>
      </c>
      <c r="G1215" s="7302" t="str">
        <f t="array" ref="G1215">IFERROR(VLOOKUP(F1215,Dex!$P$22:$Q$276,2,FALSE),"")</f>
        <v/>
      </c>
      <c r="H1215" s="7303">
        <v>252.0</v>
      </c>
      <c r="I1215" s="7294"/>
      <c r="J1215" s="7300" t="s">
        <v>197</v>
      </c>
      <c r="K1215" s="7301">
        <f t="array" ref="K1215">IFERROR(VLOOKUP(J1197,Dex!$B$3:$N1218,13,FALSE),"")</f>
        <v>100</v>
      </c>
      <c r="L1215" s="7302" t="str">
        <f t="array" ref="L1215">IFERROR(VLOOKUP(K1215,Dex!$P$22:$Q$276,2,FALSE),"")</f>
        <v/>
      </c>
      <c r="M1215" s="7303">
        <v>252.0</v>
      </c>
      <c r="N1215" s="7295"/>
      <c r="O1215" s="7300" t="s">
        <v>197</v>
      </c>
      <c r="P1215" s="7301">
        <f t="array" ref="P1215">IFERROR(VLOOKUP(O1197,Dex!$B$3:$N1218,13,FALSE),"")</f>
        <v>110</v>
      </c>
      <c r="Q1215" s="7302" t="str">
        <f t="array" ref="Q1215">IFERROR(VLOOKUP(P1215,Dex!$P$22:$Q$276,2,FALSE),"")</f>
        <v/>
      </c>
      <c r="R1215" s="7303">
        <v>252.0</v>
      </c>
      <c r="S1215" s="7295"/>
      <c r="T1215" s="7300" t="s">
        <v>197</v>
      </c>
      <c r="U1215" s="7301">
        <f t="array" ref="U1215">IFERROR(VLOOKUP(T1197,Dex!$B$3:$N1218,13,FALSE),"")</f>
        <v>90</v>
      </c>
      <c r="V1215" s="7302" t="str">
        <f t="array" ref="V1215">IFERROR(VLOOKUP(U1215,Dex!$P$22:$Q$276,2,FALSE),"")</f>
        <v/>
      </c>
      <c r="W1215" s="7303"/>
      <c r="X1215" s="7295"/>
      <c r="Y1215" s="7300" t="s">
        <v>197</v>
      </c>
      <c r="Z1215" s="7301">
        <f t="array" ref="Z1215">IFERROR(VLOOKUP(Y1197,Dex!$B$3:$N1218,13,FALSE),"")</f>
        <v>46</v>
      </c>
      <c r="AA1215" s="7302" t="str">
        <f t="array" ref="AA1215">IFERROR(VLOOKUP(Z1215,Dex!$P$22:$Q$276,2,FALSE),"")</f>
        <v/>
      </c>
      <c r="AB1215" s="7303"/>
      <c r="AC1215" s="7295"/>
      <c r="AD1215" s="7300" t="s">
        <v>197</v>
      </c>
      <c r="AE1215" s="7301">
        <f t="array" ref="AE1215">IFERROR(VLOOKUP(AD1197,Dex!$B$3:$N1218,13,FALSE),"")</f>
        <v>116</v>
      </c>
      <c r="AF1215" s="7302" t="str">
        <f t="array" ref="AF1215">IFERROR(VLOOKUP(AE1215,Dex!$P$22:$Q$276,2,FALSE),"")</f>
        <v/>
      </c>
      <c r="AG1215" s="7303">
        <v>252.0</v>
      </c>
      <c r="AH1215" s="7289"/>
      <c r="AI1215" s="6192"/>
    </row>
    <row r="1216" ht="16.5" customHeight="1">
      <c r="A1216" s="6185"/>
      <c r="B1216" s="7283"/>
      <c r="C1216" s="7272"/>
      <c r="D1216" s="7284"/>
      <c r="E1216" s="7304" t="s">
        <v>198</v>
      </c>
      <c r="F1216" s="405"/>
      <c r="G1216" s="406"/>
      <c r="H1216" s="7305">
        <v>390.0</v>
      </c>
      <c r="I1216" s="7287"/>
      <c r="J1216" s="7304" t="s">
        <v>198</v>
      </c>
      <c r="K1216" s="405"/>
      <c r="L1216" s="406"/>
      <c r="M1216" s="7305">
        <v>328.0</v>
      </c>
      <c r="N1216" s="7288"/>
      <c r="O1216" s="7304" t="s">
        <v>198</v>
      </c>
      <c r="P1216" s="405"/>
      <c r="Q1216" s="406"/>
      <c r="R1216" s="7305">
        <v>350.0</v>
      </c>
      <c r="S1216" s="7288"/>
      <c r="T1216" s="7304" t="s">
        <v>198</v>
      </c>
      <c r="U1216" s="405"/>
      <c r="V1216" s="406"/>
      <c r="W1216" s="7305">
        <v>194.0</v>
      </c>
      <c r="X1216" s="7288"/>
      <c r="Y1216" s="7304" t="s">
        <v>198</v>
      </c>
      <c r="Z1216" s="405"/>
      <c r="AA1216" s="406"/>
      <c r="AB1216" s="7305">
        <v>128.0</v>
      </c>
      <c r="AC1216" s="7288"/>
      <c r="AD1216" s="7304" t="s">
        <v>198</v>
      </c>
      <c r="AE1216" s="405"/>
      <c r="AF1216" s="406"/>
      <c r="AG1216" s="7305">
        <v>364.0</v>
      </c>
      <c r="AH1216" s="7289"/>
      <c r="AI1216" s="6192"/>
    </row>
    <row r="1217" ht="7.5" customHeight="1">
      <c r="A1217" s="6125"/>
      <c r="B1217" s="7306"/>
      <c r="C1217" s="7307"/>
      <c r="D1217" s="3185"/>
      <c r="E1217" s="3185"/>
      <c r="F1217" s="3185"/>
      <c r="G1217" s="3185"/>
      <c r="H1217" s="3185"/>
      <c r="I1217" s="3185"/>
      <c r="J1217" s="3185"/>
      <c r="K1217" s="3185"/>
      <c r="L1217" s="3185"/>
      <c r="M1217" s="3185"/>
      <c r="N1217" s="3185"/>
      <c r="O1217" s="3185"/>
      <c r="P1217" s="3185"/>
      <c r="Q1217" s="3185"/>
      <c r="R1217" s="3185"/>
      <c r="S1217" s="3185"/>
      <c r="T1217" s="3185"/>
      <c r="U1217" s="3185"/>
      <c r="V1217" s="3185"/>
      <c r="W1217" s="3185"/>
      <c r="X1217" s="3185"/>
      <c r="Y1217" s="3185"/>
      <c r="Z1217" s="3185"/>
      <c r="AA1217" s="3185"/>
      <c r="AB1217" s="3185"/>
      <c r="AC1217" s="3185"/>
      <c r="AD1217" s="3185"/>
      <c r="AE1217" s="3185"/>
      <c r="AF1217" s="3185"/>
      <c r="AG1217" s="7308"/>
      <c r="AH1217" s="7309"/>
      <c r="AI1217" s="6129"/>
    </row>
    <row r="1218" ht="3.75" customHeight="1">
      <c r="A1218" s="6124"/>
      <c r="B1218" s="7310"/>
      <c r="C1218" s="7311"/>
      <c r="D1218" s="7310"/>
      <c r="E1218" s="7310"/>
      <c r="F1218" s="7310"/>
      <c r="G1218" s="7310"/>
      <c r="H1218" s="7310"/>
      <c r="I1218" s="7310"/>
      <c r="J1218" s="7310"/>
      <c r="K1218" s="7310"/>
      <c r="L1218" s="7310"/>
      <c r="M1218" s="7310"/>
      <c r="N1218" s="7310"/>
      <c r="O1218" s="7310"/>
      <c r="P1218" s="7310"/>
      <c r="Q1218" s="7310"/>
      <c r="R1218" s="7310"/>
      <c r="S1218" s="7310"/>
      <c r="T1218" s="7310"/>
      <c r="U1218" s="7310"/>
      <c r="V1218" s="7310"/>
      <c r="W1218" s="7310"/>
      <c r="X1218" s="7310"/>
      <c r="Y1218" s="7310"/>
      <c r="Z1218" s="7310"/>
      <c r="AA1218" s="7310"/>
      <c r="AB1218" s="7310"/>
      <c r="AC1218" s="7310"/>
      <c r="AD1218" s="7310"/>
      <c r="AE1218" s="7310"/>
      <c r="AF1218" s="7310"/>
      <c r="AG1218" s="7310"/>
      <c r="AH1218" s="7310"/>
      <c r="AI1218" s="6124"/>
    </row>
  </sheetData>
  <mergeCells count="4214">
    <mergeCell ref="J1007:M1007"/>
    <mergeCell ref="J1008:M1008"/>
    <mergeCell ref="J990:L990"/>
    <mergeCell ref="J991:L991"/>
    <mergeCell ref="J992:L992"/>
    <mergeCell ref="J993:L993"/>
    <mergeCell ref="J994:L994"/>
    <mergeCell ref="J996:L996"/>
    <mergeCell ref="J1003:L1003"/>
    <mergeCell ref="E1013:H1013"/>
    <mergeCell ref="E1014:G1014"/>
    <mergeCell ref="J1014:L1014"/>
    <mergeCell ref="E1007:H1007"/>
    <mergeCell ref="E1008:H1008"/>
    <mergeCell ref="E1009:H1009"/>
    <mergeCell ref="J1009:M1009"/>
    <mergeCell ref="E1012:H1012"/>
    <mergeCell ref="J1012:M1012"/>
    <mergeCell ref="J1013:M1013"/>
    <mergeCell ref="O1015:Q1015"/>
    <mergeCell ref="O1016:Q1016"/>
    <mergeCell ref="O1009:R1009"/>
    <mergeCell ref="P1010:Q1010"/>
    <mergeCell ref="O1012:R1012"/>
    <mergeCell ref="O1013:R1013"/>
    <mergeCell ref="O1014:Q1014"/>
    <mergeCell ref="J1015:L1015"/>
    <mergeCell ref="J1016:L1016"/>
    <mergeCell ref="E983:H983"/>
    <mergeCell ref="E984:H984"/>
    <mergeCell ref="C984:C986"/>
    <mergeCell ref="C987:C988"/>
    <mergeCell ref="C1008:C1010"/>
    <mergeCell ref="C1011:C1015"/>
    <mergeCell ref="E967:G967"/>
    <mergeCell ref="E968:G968"/>
    <mergeCell ref="E969:G969"/>
    <mergeCell ref="E970:H970"/>
    <mergeCell ref="E972:G972"/>
    <mergeCell ref="E979:G979"/>
    <mergeCell ref="E985:H985"/>
    <mergeCell ref="E988:H988"/>
    <mergeCell ref="E989:H989"/>
    <mergeCell ref="J989:M989"/>
    <mergeCell ref="O989:R989"/>
    <mergeCell ref="E990:G990"/>
    <mergeCell ref="O990:Q990"/>
    <mergeCell ref="O991:Q991"/>
    <mergeCell ref="O992:Q992"/>
    <mergeCell ref="O993:Q993"/>
    <mergeCell ref="O994:Q994"/>
    <mergeCell ref="O996:Q996"/>
    <mergeCell ref="O1003:Q1003"/>
    <mergeCell ref="O1007:R1007"/>
    <mergeCell ref="O1008:R1008"/>
    <mergeCell ref="E991:G991"/>
    <mergeCell ref="E992:G992"/>
    <mergeCell ref="E993:G993"/>
    <mergeCell ref="E994:G994"/>
    <mergeCell ref="E996:G996"/>
    <mergeCell ref="E1003:G1003"/>
    <mergeCell ref="E1004:G1004"/>
    <mergeCell ref="E1018:G1018"/>
    <mergeCell ref="E1020:G1020"/>
    <mergeCell ref="J1020:L1020"/>
    <mergeCell ref="O1020:Q1020"/>
    <mergeCell ref="E1015:G1015"/>
    <mergeCell ref="E1016:G1016"/>
    <mergeCell ref="E1017:G1017"/>
    <mergeCell ref="J1017:L1017"/>
    <mergeCell ref="O1017:Q1017"/>
    <mergeCell ref="J1018:L1018"/>
    <mergeCell ref="O1018:Q1018"/>
    <mergeCell ref="E725:H725"/>
    <mergeCell ref="E726:G726"/>
    <mergeCell ref="C725:C727"/>
    <mergeCell ref="E727:G727"/>
    <mergeCell ref="E728:G728"/>
    <mergeCell ref="E729:G729"/>
    <mergeCell ref="E730:G730"/>
    <mergeCell ref="E732:G732"/>
    <mergeCell ref="E739:G739"/>
    <mergeCell ref="C747:C749"/>
    <mergeCell ref="E749:H749"/>
    <mergeCell ref="C750:C752"/>
    <mergeCell ref="E750:H750"/>
    <mergeCell ref="E751:G751"/>
    <mergeCell ref="E752:G752"/>
    <mergeCell ref="E753:G753"/>
    <mergeCell ref="C769:C770"/>
    <mergeCell ref="C771:C773"/>
    <mergeCell ref="C774:C776"/>
    <mergeCell ref="C793:C797"/>
    <mergeCell ref="C798:C800"/>
    <mergeCell ref="C817:C819"/>
    <mergeCell ref="C820:C824"/>
    <mergeCell ref="E754:G754"/>
    <mergeCell ref="E755:G755"/>
    <mergeCell ref="E757:G757"/>
    <mergeCell ref="E764:G764"/>
    <mergeCell ref="E768:H768"/>
    <mergeCell ref="E769:H769"/>
    <mergeCell ref="E770:H770"/>
    <mergeCell ref="F771:G771"/>
    <mergeCell ref="E773:H773"/>
    <mergeCell ref="E774:H774"/>
    <mergeCell ref="E775:G775"/>
    <mergeCell ref="E776:G776"/>
    <mergeCell ref="E777:G777"/>
    <mergeCell ref="E778:G778"/>
    <mergeCell ref="E799:G799"/>
    <mergeCell ref="E800:G800"/>
    <mergeCell ref="E812:G812"/>
    <mergeCell ref="E816:H816"/>
    <mergeCell ref="E817:H817"/>
    <mergeCell ref="E818:H818"/>
    <mergeCell ref="E821:H821"/>
    <mergeCell ref="E866:H866"/>
    <mergeCell ref="E869:H869"/>
    <mergeCell ref="E853:G853"/>
    <mergeCell ref="E860:G860"/>
    <mergeCell ref="D864:D875"/>
    <mergeCell ref="E864:H864"/>
    <mergeCell ref="I864:I875"/>
    <mergeCell ref="C865:C866"/>
    <mergeCell ref="E865:H865"/>
    <mergeCell ref="E847:G847"/>
    <mergeCell ref="E848:G848"/>
    <mergeCell ref="E840:H840"/>
    <mergeCell ref="I840:I851"/>
    <mergeCell ref="C841:C842"/>
    <mergeCell ref="E841:H841"/>
    <mergeCell ref="E842:H842"/>
    <mergeCell ref="E845:H845"/>
    <mergeCell ref="E846:H846"/>
    <mergeCell ref="E851:G851"/>
    <mergeCell ref="E849:G849"/>
    <mergeCell ref="E850:G850"/>
    <mergeCell ref="E824:G824"/>
    <mergeCell ref="E825:G825"/>
    <mergeCell ref="E826:G826"/>
    <mergeCell ref="E827:G827"/>
    <mergeCell ref="E829:G829"/>
    <mergeCell ref="E836:G836"/>
    <mergeCell ref="D840:D851"/>
    <mergeCell ref="E870:H870"/>
    <mergeCell ref="E871:G871"/>
    <mergeCell ref="E872:G872"/>
    <mergeCell ref="E873:G873"/>
    <mergeCell ref="E887:H887"/>
    <mergeCell ref="E888:H888"/>
    <mergeCell ref="E889:H889"/>
    <mergeCell ref="E892:H892"/>
    <mergeCell ref="E893:H893"/>
    <mergeCell ref="E894:G894"/>
    <mergeCell ref="E895:G895"/>
    <mergeCell ref="E896:G896"/>
    <mergeCell ref="E874:G874"/>
    <mergeCell ref="E875:G875"/>
    <mergeCell ref="E877:G877"/>
    <mergeCell ref="E884:G884"/>
    <mergeCell ref="D887:D898"/>
    <mergeCell ref="I887:I898"/>
    <mergeCell ref="C888:C889"/>
    <mergeCell ref="E911:H911"/>
    <mergeCell ref="E912:H912"/>
    <mergeCell ref="E917:H917"/>
    <mergeCell ref="E918:G918"/>
    <mergeCell ref="E919:G919"/>
    <mergeCell ref="E920:G920"/>
    <mergeCell ref="E913:H913"/>
    <mergeCell ref="E916:H916"/>
    <mergeCell ref="E897:G897"/>
    <mergeCell ref="E898:G898"/>
    <mergeCell ref="E900:G900"/>
    <mergeCell ref="E907:G907"/>
    <mergeCell ref="D911:D922"/>
    <mergeCell ref="I911:I922"/>
    <mergeCell ref="C912:C913"/>
    <mergeCell ref="E937:H937"/>
    <mergeCell ref="E938:H938"/>
    <mergeCell ref="E936:H936"/>
    <mergeCell ref="E941:H941"/>
    <mergeCell ref="E942:H942"/>
    <mergeCell ref="E921:G921"/>
    <mergeCell ref="E922:G922"/>
    <mergeCell ref="E924:G924"/>
    <mergeCell ref="E931:G931"/>
    <mergeCell ref="E932:G932"/>
    <mergeCell ref="C937:C939"/>
    <mergeCell ref="C940:C944"/>
    <mergeCell ref="E943:G943"/>
    <mergeCell ref="E944:G944"/>
    <mergeCell ref="E945:G945"/>
    <mergeCell ref="E946:G946"/>
    <mergeCell ref="E947:G947"/>
    <mergeCell ref="E949:G949"/>
    <mergeCell ref="E956:G956"/>
    <mergeCell ref="E959:H959"/>
    <mergeCell ref="C960:C962"/>
    <mergeCell ref="E960:H960"/>
    <mergeCell ref="E961:H961"/>
    <mergeCell ref="C963:C967"/>
    <mergeCell ref="E964:H964"/>
    <mergeCell ref="E965:H965"/>
    <mergeCell ref="Y967:AA967"/>
    <mergeCell ref="Y968:AA968"/>
    <mergeCell ref="Y969:AA969"/>
    <mergeCell ref="Y970:AA970"/>
    <mergeCell ref="Y972:AA972"/>
    <mergeCell ref="Y979:AA979"/>
    <mergeCell ref="Y983:AB983"/>
    <mergeCell ref="Y984:AB984"/>
    <mergeCell ref="Y985:AB985"/>
    <mergeCell ref="Y989:AB989"/>
    <mergeCell ref="Y990:AA990"/>
    <mergeCell ref="Y991:AA991"/>
    <mergeCell ref="Y992:AA992"/>
    <mergeCell ref="Y993:AA993"/>
    <mergeCell ref="Y1013:AB1013"/>
    <mergeCell ref="Y1014:AA1014"/>
    <mergeCell ref="Y1015:AA1015"/>
    <mergeCell ref="Y1016:AA1016"/>
    <mergeCell ref="Y1017:AA1017"/>
    <mergeCell ref="Y1018:AA1018"/>
    <mergeCell ref="Y1020:AA1020"/>
    <mergeCell ref="Y994:AA994"/>
    <mergeCell ref="Y996:AA996"/>
    <mergeCell ref="Y1003:AA1003"/>
    <mergeCell ref="Y1007:AB1007"/>
    <mergeCell ref="Y1008:AB1008"/>
    <mergeCell ref="Y1009:AB1009"/>
    <mergeCell ref="Y1012:AB1012"/>
    <mergeCell ref="T989:W989"/>
    <mergeCell ref="T990:V990"/>
    <mergeCell ref="T991:V991"/>
    <mergeCell ref="T992:V992"/>
    <mergeCell ref="T993:V993"/>
    <mergeCell ref="T994:V994"/>
    <mergeCell ref="T996:V996"/>
    <mergeCell ref="T1014:V1014"/>
    <mergeCell ref="T1015:V1015"/>
    <mergeCell ref="T1016:V1016"/>
    <mergeCell ref="T1017:V1017"/>
    <mergeCell ref="T1018:V1018"/>
    <mergeCell ref="T1020:V1020"/>
    <mergeCell ref="T1003:V1003"/>
    <mergeCell ref="T1007:W1007"/>
    <mergeCell ref="T1008:W1008"/>
    <mergeCell ref="T1009:W1009"/>
    <mergeCell ref="U1010:V1010"/>
    <mergeCell ref="T1012:W1012"/>
    <mergeCell ref="T1013:W1013"/>
    <mergeCell ref="AD485:AG485"/>
    <mergeCell ref="AD486:AG486"/>
    <mergeCell ref="AD487:AG487"/>
    <mergeCell ref="AD488:AG488"/>
    <mergeCell ref="AD489:AG489"/>
    <mergeCell ref="AD490:AG490"/>
    <mergeCell ref="AD491:AG491"/>
    <mergeCell ref="AD492:AG492"/>
    <mergeCell ref="AD493:AG493"/>
    <mergeCell ref="AD494:AG494"/>
    <mergeCell ref="AD495:AG495"/>
    <mergeCell ref="AD496:AG496"/>
    <mergeCell ref="AD497:AG497"/>
    <mergeCell ref="AD498:AG498"/>
    <mergeCell ref="AD499:AG499"/>
    <mergeCell ref="AD500:AG500"/>
    <mergeCell ref="AD501:AG501"/>
    <mergeCell ref="AD502:AG502"/>
    <mergeCell ref="AD508:AG508"/>
    <mergeCell ref="AD509:AG509"/>
    <mergeCell ref="AD510:AG510"/>
    <mergeCell ref="AD511:AG511"/>
    <mergeCell ref="AD512:AG512"/>
    <mergeCell ref="AD513:AG513"/>
    <mergeCell ref="AD514:AG514"/>
    <mergeCell ref="AD515:AG515"/>
    <mergeCell ref="AD516:AG516"/>
    <mergeCell ref="AD517:AG517"/>
    <mergeCell ref="AD518:AG518"/>
    <mergeCell ref="AD519:AG519"/>
    <mergeCell ref="AD520:AG520"/>
    <mergeCell ref="AD521:AG521"/>
    <mergeCell ref="AD522:AG522"/>
    <mergeCell ref="AD523:AG523"/>
    <mergeCell ref="AD524:AG524"/>
    <mergeCell ref="AD525:AG525"/>
    <mergeCell ref="AD526:AG526"/>
    <mergeCell ref="AD527:AG527"/>
    <mergeCell ref="AD528:AG528"/>
    <mergeCell ref="AD532:AG532"/>
    <mergeCell ref="AD533:AG533"/>
    <mergeCell ref="AD534:AG534"/>
    <mergeCell ref="AD535:AG535"/>
    <mergeCell ref="AD536:AG536"/>
    <mergeCell ref="AD537:AG537"/>
    <mergeCell ref="AD538:AG538"/>
    <mergeCell ref="AD539:AG539"/>
    <mergeCell ref="AD540:AG540"/>
    <mergeCell ref="AD541:AG541"/>
    <mergeCell ref="Y585:AB585"/>
    <mergeCell ref="Y586:AB586"/>
    <mergeCell ref="Y587:AB587"/>
    <mergeCell ref="Y588:AB588"/>
    <mergeCell ref="Y589:AB589"/>
    <mergeCell ref="Y590:AB590"/>
    <mergeCell ref="X594:AA594"/>
    <mergeCell ref="X595:AA595"/>
    <mergeCell ref="Y664:AB664"/>
    <mergeCell ref="Y665:AB665"/>
    <mergeCell ref="Y666:AB666"/>
    <mergeCell ref="Y667:AB667"/>
    <mergeCell ref="Y668:AB668"/>
    <mergeCell ref="Y669:AB669"/>
    <mergeCell ref="Y575:AB575"/>
    <mergeCell ref="Y577:AB577"/>
    <mergeCell ref="Y579:AB579"/>
    <mergeCell ref="Y580:AB580"/>
    <mergeCell ref="Y581:AB581"/>
    <mergeCell ref="Y582:AB582"/>
    <mergeCell ref="Y584:AB584"/>
    <mergeCell ref="AD542:AG542"/>
    <mergeCell ref="AD543:AG543"/>
    <mergeCell ref="AD544:AG544"/>
    <mergeCell ref="AD545:AG545"/>
    <mergeCell ref="AD546:AG546"/>
    <mergeCell ref="AD547:AG547"/>
    <mergeCell ref="AD548:AG548"/>
    <mergeCell ref="AD549:AG549"/>
    <mergeCell ref="AD550:AG550"/>
    <mergeCell ref="Y551:AB551"/>
    <mergeCell ref="AD551:AG551"/>
    <mergeCell ref="Y552:AB552"/>
    <mergeCell ref="AD552:AG552"/>
    <mergeCell ref="AD555:AG555"/>
    <mergeCell ref="Y555:AB555"/>
    <mergeCell ref="Y556:AB556"/>
    <mergeCell ref="Y557:AB557"/>
    <mergeCell ref="Y558:AB558"/>
    <mergeCell ref="Y560:AB560"/>
    <mergeCell ref="Y561:AB561"/>
    <mergeCell ref="Y562:AB562"/>
    <mergeCell ref="AD556:AG556"/>
    <mergeCell ref="AD557:AG557"/>
    <mergeCell ref="AD558:AG558"/>
    <mergeCell ref="AD560:AG560"/>
    <mergeCell ref="AD561:AG561"/>
    <mergeCell ref="AD562:AG562"/>
    <mergeCell ref="AD563:AG563"/>
    <mergeCell ref="AD564:AG564"/>
    <mergeCell ref="AD565:AG565"/>
    <mergeCell ref="AD566:AG566"/>
    <mergeCell ref="AC570:AF570"/>
    <mergeCell ref="AC571:AF571"/>
    <mergeCell ref="AC572:AF572"/>
    <mergeCell ref="AC573:AF573"/>
    <mergeCell ref="Y563:AB563"/>
    <mergeCell ref="Y564:AB564"/>
    <mergeCell ref="Y565:AB565"/>
    <mergeCell ref="Y566:AB566"/>
    <mergeCell ref="X570:AA570"/>
    <mergeCell ref="X571:AA571"/>
    <mergeCell ref="Y574:AB574"/>
    <mergeCell ref="AC595:AF595"/>
    <mergeCell ref="AC596:AF596"/>
    <mergeCell ref="AC597:AF597"/>
    <mergeCell ref="Y598:AB598"/>
    <mergeCell ref="AC598:AF598"/>
    <mergeCell ref="Y599:AB599"/>
    <mergeCell ref="AC599:AF599"/>
    <mergeCell ref="Y600:AB600"/>
    <mergeCell ref="AC574:AF574"/>
    <mergeCell ref="AC575:AF575"/>
    <mergeCell ref="AD579:AG579"/>
    <mergeCell ref="AD580:AG580"/>
    <mergeCell ref="AD581:AG581"/>
    <mergeCell ref="AD582:AG582"/>
    <mergeCell ref="AD584:AG584"/>
    <mergeCell ref="AD585:AG585"/>
    <mergeCell ref="AD586:AG586"/>
    <mergeCell ref="AD587:AG587"/>
    <mergeCell ref="AD588:AG588"/>
    <mergeCell ref="AD589:AG589"/>
    <mergeCell ref="AD590:AG590"/>
    <mergeCell ref="AC594:AF594"/>
    <mergeCell ref="AD613:AG613"/>
    <mergeCell ref="AD614:AG614"/>
    <mergeCell ref="AD626:AG626"/>
    <mergeCell ref="AD627:AG627"/>
    <mergeCell ref="AD628:AG628"/>
    <mergeCell ref="AD631:AG631"/>
    <mergeCell ref="AD632:AG632"/>
    <mergeCell ref="AD633:AF633"/>
    <mergeCell ref="AD634:AF634"/>
    <mergeCell ref="AD635:AF635"/>
    <mergeCell ref="AD636:AF636"/>
    <mergeCell ref="AD637:AF637"/>
    <mergeCell ref="AD639:AF639"/>
    <mergeCell ref="AD646:AF646"/>
    <mergeCell ref="AD650:AG650"/>
    <mergeCell ref="AD651:AG651"/>
    <mergeCell ref="AD652:AG652"/>
    <mergeCell ref="AD653:AG653"/>
    <mergeCell ref="AD655:AG655"/>
    <mergeCell ref="AD656:AG656"/>
    <mergeCell ref="AD657:AG657"/>
    <mergeCell ref="AD658:AG658"/>
    <mergeCell ref="AD659:AG659"/>
    <mergeCell ref="AD660:AG660"/>
    <mergeCell ref="AD661:AG661"/>
    <mergeCell ref="AD663:AG663"/>
    <mergeCell ref="AD664:AG664"/>
    <mergeCell ref="AD665:AG665"/>
    <mergeCell ref="AD666:AG666"/>
    <mergeCell ref="AD667:AG667"/>
    <mergeCell ref="AD668:AG668"/>
    <mergeCell ref="AD669:AG669"/>
    <mergeCell ref="AD670:AG670"/>
    <mergeCell ref="AD673:AG673"/>
    <mergeCell ref="AD674:AG674"/>
    <mergeCell ref="AD675:AG675"/>
    <mergeCell ref="AD676:AG676"/>
    <mergeCell ref="AD678:AG678"/>
    <mergeCell ref="AD679:AG679"/>
    <mergeCell ref="AD680:AG680"/>
    <mergeCell ref="AD681:AG681"/>
    <mergeCell ref="AD682:AG682"/>
    <mergeCell ref="AD688:AG688"/>
    <mergeCell ref="AD689:AG689"/>
    <mergeCell ref="AD683:AG683"/>
    <mergeCell ref="AD684:AG684"/>
    <mergeCell ref="AD686:AG686"/>
    <mergeCell ref="Y687:AB687"/>
    <mergeCell ref="AD687:AG687"/>
    <mergeCell ref="Y688:AB688"/>
    <mergeCell ref="Y689:AB689"/>
    <mergeCell ref="Y690:AB690"/>
    <mergeCell ref="AD690:AG690"/>
    <mergeCell ref="Y691:AB691"/>
    <mergeCell ref="AD691:AG691"/>
    <mergeCell ref="Y692:AB692"/>
    <mergeCell ref="AD692:AG692"/>
    <mergeCell ref="AD693:AG693"/>
    <mergeCell ref="AD696:AG696"/>
    <mergeCell ref="AD697:AG697"/>
    <mergeCell ref="AD698:AG698"/>
    <mergeCell ref="AD699:AG699"/>
    <mergeCell ref="AD700:AG700"/>
    <mergeCell ref="AD701:AG701"/>
    <mergeCell ref="AD702:AG702"/>
    <mergeCell ref="AD708:AG708"/>
    <mergeCell ref="AD709:AG709"/>
    <mergeCell ref="Y713:AB713"/>
    <mergeCell ref="Y714:AB714"/>
    <mergeCell ref="AD714:AG714"/>
    <mergeCell ref="Y715:AB715"/>
    <mergeCell ref="AD715:AG715"/>
    <mergeCell ref="Y716:AB716"/>
    <mergeCell ref="AD716:AG716"/>
    <mergeCell ref="Y712:AB712"/>
    <mergeCell ref="Y719:AB719"/>
    <mergeCell ref="Y727:AA727"/>
    <mergeCell ref="AD727:AF727"/>
    <mergeCell ref="Y728:AA728"/>
    <mergeCell ref="AD728:AF728"/>
    <mergeCell ref="Y729:AA729"/>
    <mergeCell ref="AD729:AF729"/>
    <mergeCell ref="Y730:AA730"/>
    <mergeCell ref="AD730:AF730"/>
    <mergeCell ref="Y732:AA732"/>
    <mergeCell ref="AD732:AF732"/>
    <mergeCell ref="Y739:AA739"/>
    <mergeCell ref="AD739:AF739"/>
    <mergeCell ref="AD740:AF740"/>
    <mergeCell ref="Y710:AB710"/>
    <mergeCell ref="AD710:AG710"/>
    <mergeCell ref="Y711:AB711"/>
    <mergeCell ref="AD711:AG711"/>
    <mergeCell ref="AD712:AG712"/>
    <mergeCell ref="X719:X730"/>
    <mergeCell ref="AC719:AC730"/>
    <mergeCell ref="AD703:AG703"/>
    <mergeCell ref="AD704:AG704"/>
    <mergeCell ref="AD705:AG705"/>
    <mergeCell ref="AD706:AG706"/>
    <mergeCell ref="AD707:AG707"/>
    <mergeCell ref="Y708:AB708"/>
    <mergeCell ref="Y709:AB709"/>
    <mergeCell ref="AD713:AG713"/>
    <mergeCell ref="AD719:AG719"/>
    <mergeCell ref="Y720:AB720"/>
    <mergeCell ref="AD720:AG720"/>
    <mergeCell ref="Y721:AB721"/>
    <mergeCell ref="AD721:AG721"/>
    <mergeCell ref="AE722:AF722"/>
    <mergeCell ref="Y724:AB724"/>
    <mergeCell ref="AD724:AG724"/>
    <mergeCell ref="Y725:AB725"/>
    <mergeCell ref="AD725:AG725"/>
    <mergeCell ref="Y726:AA726"/>
    <mergeCell ref="AD726:AF726"/>
    <mergeCell ref="J508:M508"/>
    <mergeCell ref="O508:R508"/>
    <mergeCell ref="J509:M509"/>
    <mergeCell ref="O509:R509"/>
    <mergeCell ref="E521:G521"/>
    <mergeCell ref="J521:L521"/>
    <mergeCell ref="O521:Q521"/>
    <mergeCell ref="J528:L528"/>
    <mergeCell ref="O528:Q528"/>
    <mergeCell ref="E470:G470"/>
    <mergeCell ref="J470:L470"/>
    <mergeCell ref="J472:L472"/>
    <mergeCell ref="O472:Q472"/>
    <mergeCell ref="E492:G492"/>
    <mergeCell ref="J492:L492"/>
    <mergeCell ref="E495:G495"/>
    <mergeCell ref="J495:L495"/>
    <mergeCell ref="O495:Q495"/>
    <mergeCell ref="O492:Q492"/>
    <mergeCell ref="E493:G493"/>
    <mergeCell ref="J493:L493"/>
    <mergeCell ref="O493:Q493"/>
    <mergeCell ref="E466:G466"/>
    <mergeCell ref="E467:G467"/>
    <mergeCell ref="E472:G472"/>
    <mergeCell ref="J479:L479"/>
    <mergeCell ref="O479:Q479"/>
    <mergeCell ref="I482:I493"/>
    <mergeCell ref="P485:Q485"/>
    <mergeCell ref="E491:G491"/>
    <mergeCell ref="J491:L491"/>
    <mergeCell ref="E502:G502"/>
    <mergeCell ref="J502:L502"/>
    <mergeCell ref="O502:Q502"/>
    <mergeCell ref="E503:G503"/>
    <mergeCell ref="E504:G504"/>
    <mergeCell ref="J532:M532"/>
    <mergeCell ref="O532:R532"/>
    <mergeCell ref="J533:M533"/>
    <mergeCell ref="O533:R533"/>
    <mergeCell ref="E534:H534"/>
    <mergeCell ref="J534:M534"/>
    <mergeCell ref="E533:H533"/>
    <mergeCell ref="E537:H537"/>
    <mergeCell ref="J537:M537"/>
    <mergeCell ref="O537:R537"/>
    <mergeCell ref="E538:H538"/>
    <mergeCell ref="J538:M538"/>
    <mergeCell ref="E540:G540"/>
    <mergeCell ref="J540:L540"/>
    <mergeCell ref="O540:Q540"/>
    <mergeCell ref="E541:G541"/>
    <mergeCell ref="J541:L541"/>
    <mergeCell ref="O541:Q541"/>
    <mergeCell ref="E542:G542"/>
    <mergeCell ref="J542:L542"/>
    <mergeCell ref="O562:Q562"/>
    <mergeCell ref="O563:Q563"/>
    <mergeCell ref="O555:R555"/>
    <mergeCell ref="O556:R556"/>
    <mergeCell ref="O560:R560"/>
    <mergeCell ref="T560:W560"/>
    <mergeCell ref="O561:R561"/>
    <mergeCell ref="T561:W561"/>
    <mergeCell ref="T562:V562"/>
    <mergeCell ref="T563:V563"/>
    <mergeCell ref="O538:R538"/>
    <mergeCell ref="E539:G539"/>
    <mergeCell ref="J539:L539"/>
    <mergeCell ref="O539:Q539"/>
    <mergeCell ref="E528:G528"/>
    <mergeCell ref="E529:G529"/>
    <mergeCell ref="E532:H532"/>
    <mergeCell ref="I532:I543"/>
    <mergeCell ref="N532:N543"/>
    <mergeCell ref="S532:S543"/>
    <mergeCell ref="O534:R534"/>
    <mergeCell ref="O542:Q542"/>
    <mergeCell ref="E543:G543"/>
    <mergeCell ref="J543:L543"/>
    <mergeCell ref="O543:Q543"/>
    <mergeCell ref="J552:L552"/>
    <mergeCell ref="O552:Q552"/>
    <mergeCell ref="T552:V552"/>
    <mergeCell ref="J557:M557"/>
    <mergeCell ref="O557:R557"/>
    <mergeCell ref="E552:G552"/>
    <mergeCell ref="E555:H555"/>
    <mergeCell ref="J555:M555"/>
    <mergeCell ref="T555:W555"/>
    <mergeCell ref="C556:C558"/>
    <mergeCell ref="T556:W556"/>
    <mergeCell ref="T557:W557"/>
    <mergeCell ref="O564:Q564"/>
    <mergeCell ref="T564:V564"/>
    <mergeCell ref="O565:Q565"/>
    <mergeCell ref="T565:V565"/>
    <mergeCell ref="O566:Q566"/>
    <mergeCell ref="T566:V566"/>
    <mergeCell ref="O568:Q568"/>
    <mergeCell ref="T568:V568"/>
    <mergeCell ref="J565:L565"/>
    <mergeCell ref="J566:L566"/>
    <mergeCell ref="J568:L568"/>
    <mergeCell ref="J556:M556"/>
    <mergeCell ref="K558:L558"/>
    <mergeCell ref="J560:M560"/>
    <mergeCell ref="J561:M561"/>
    <mergeCell ref="J562:L562"/>
    <mergeCell ref="J563:L563"/>
    <mergeCell ref="J564:L564"/>
    <mergeCell ref="E556:H556"/>
    <mergeCell ref="E557:H557"/>
    <mergeCell ref="C559:C563"/>
    <mergeCell ref="E560:H560"/>
    <mergeCell ref="E561:H561"/>
    <mergeCell ref="E562:G562"/>
    <mergeCell ref="E563:G563"/>
    <mergeCell ref="E564:G564"/>
    <mergeCell ref="E565:G565"/>
    <mergeCell ref="E566:G566"/>
    <mergeCell ref="E568:G568"/>
    <mergeCell ref="E575:G575"/>
    <mergeCell ref="O575:Q575"/>
    <mergeCell ref="T575:V575"/>
    <mergeCell ref="J575:L575"/>
    <mergeCell ref="J576:L576"/>
    <mergeCell ref="T577:W577"/>
    <mergeCell ref="J579:M579"/>
    <mergeCell ref="T579:W579"/>
    <mergeCell ref="C580:C582"/>
    <mergeCell ref="O581:R581"/>
    <mergeCell ref="F582:G582"/>
    <mergeCell ref="E588:G588"/>
    <mergeCell ref="E589:G589"/>
    <mergeCell ref="E590:G590"/>
    <mergeCell ref="E592:G592"/>
    <mergeCell ref="J588:L588"/>
    <mergeCell ref="J589:L589"/>
    <mergeCell ref="J590:L590"/>
    <mergeCell ref="J592:L592"/>
    <mergeCell ref="O589:Q589"/>
    <mergeCell ref="O590:Q590"/>
    <mergeCell ref="O592:Q592"/>
    <mergeCell ref="T592:V592"/>
    <mergeCell ref="O579:R579"/>
    <mergeCell ref="O580:R580"/>
    <mergeCell ref="O584:R584"/>
    <mergeCell ref="O585:R585"/>
    <mergeCell ref="O586:Q586"/>
    <mergeCell ref="O587:Q587"/>
    <mergeCell ref="O588:Q588"/>
    <mergeCell ref="I603:I614"/>
    <mergeCell ref="N603:N614"/>
    <mergeCell ref="S603:S614"/>
    <mergeCell ref="X603:X614"/>
    <mergeCell ref="AC603:AC614"/>
    <mergeCell ref="Y606:AB606"/>
    <mergeCell ref="T610:V610"/>
    <mergeCell ref="T613:V613"/>
    <mergeCell ref="Y613:AB613"/>
    <mergeCell ref="E614:G614"/>
    <mergeCell ref="J614:L614"/>
    <mergeCell ref="O614:Q614"/>
    <mergeCell ref="T614:V614"/>
    <mergeCell ref="Y614:AB614"/>
    <mergeCell ref="E616:G616"/>
    <mergeCell ref="J616:L616"/>
    <mergeCell ref="O616:Q616"/>
    <mergeCell ref="T616:V616"/>
    <mergeCell ref="J623:L623"/>
    <mergeCell ref="O623:Q623"/>
    <mergeCell ref="T623:V623"/>
    <mergeCell ref="E626:H626"/>
    <mergeCell ref="E627:H627"/>
    <mergeCell ref="J627:M627"/>
    <mergeCell ref="O627:R627"/>
    <mergeCell ref="T627:W627"/>
    <mergeCell ref="Y627:AB627"/>
    <mergeCell ref="E628:H628"/>
    <mergeCell ref="J628:M628"/>
    <mergeCell ref="J703:L703"/>
    <mergeCell ref="J704:L704"/>
    <mergeCell ref="O704:Q704"/>
    <mergeCell ref="T704:V704"/>
    <mergeCell ref="O705:Q705"/>
    <mergeCell ref="T705:V705"/>
    <mergeCell ref="T706:V706"/>
    <mergeCell ref="O706:Q706"/>
    <mergeCell ref="O707:Q707"/>
    <mergeCell ref="T707:V707"/>
    <mergeCell ref="J709:L709"/>
    <mergeCell ref="O709:Q709"/>
    <mergeCell ref="T709:V709"/>
    <mergeCell ref="J716:L716"/>
    <mergeCell ref="T719:W719"/>
    <mergeCell ref="T720:W720"/>
    <mergeCell ref="T721:W721"/>
    <mergeCell ref="T724:W724"/>
    <mergeCell ref="T725:W725"/>
    <mergeCell ref="T726:V726"/>
    <mergeCell ref="T727:V727"/>
    <mergeCell ref="Y745:AB745"/>
    <mergeCell ref="Y746:AB746"/>
    <mergeCell ref="T744:W744"/>
    <mergeCell ref="J745:M745"/>
    <mergeCell ref="O745:R745"/>
    <mergeCell ref="T745:W745"/>
    <mergeCell ref="J746:M746"/>
    <mergeCell ref="O746:R746"/>
    <mergeCell ref="T746:W746"/>
    <mergeCell ref="T749:W749"/>
    <mergeCell ref="Y749:AB749"/>
    <mergeCell ref="O753:Q753"/>
    <mergeCell ref="O754:Q754"/>
    <mergeCell ref="T750:W750"/>
    <mergeCell ref="Y750:AB750"/>
    <mergeCell ref="T751:V751"/>
    <mergeCell ref="Y751:AA751"/>
    <mergeCell ref="T752:V752"/>
    <mergeCell ref="Y752:AA752"/>
    <mergeCell ref="T753:V753"/>
    <mergeCell ref="Y753:AA753"/>
    <mergeCell ref="T754:V754"/>
    <mergeCell ref="Y754:AA754"/>
    <mergeCell ref="T728:V728"/>
    <mergeCell ref="T729:V729"/>
    <mergeCell ref="T730:V730"/>
    <mergeCell ref="T732:V732"/>
    <mergeCell ref="S744:S755"/>
    <mergeCell ref="X744:X755"/>
    <mergeCell ref="AC744:AC755"/>
    <mergeCell ref="T769:W769"/>
    <mergeCell ref="Y769:AB769"/>
    <mergeCell ref="O797:R797"/>
    <mergeCell ref="O798:R798"/>
    <mergeCell ref="T798:W798"/>
    <mergeCell ref="O799:Q799"/>
    <mergeCell ref="T799:V799"/>
    <mergeCell ref="O800:Q800"/>
    <mergeCell ref="T800:V800"/>
    <mergeCell ref="O801:Q801"/>
    <mergeCell ref="T801:V801"/>
    <mergeCell ref="O802:Q802"/>
    <mergeCell ref="T802:V802"/>
    <mergeCell ref="O803:Q803"/>
    <mergeCell ref="T803:V803"/>
    <mergeCell ref="O776:Q776"/>
    <mergeCell ref="O777:R777"/>
    <mergeCell ref="N792:N803"/>
    <mergeCell ref="O792:R792"/>
    <mergeCell ref="S792:S803"/>
    <mergeCell ref="X792:X803"/>
    <mergeCell ref="T793:W793"/>
    <mergeCell ref="Y797:AB797"/>
    <mergeCell ref="Y798:AB798"/>
    <mergeCell ref="Y801:AA801"/>
    <mergeCell ref="Y802:AA802"/>
    <mergeCell ref="T792:W792"/>
    <mergeCell ref="Y792:AB792"/>
    <mergeCell ref="AC792:AC803"/>
    <mergeCell ref="Y793:AB793"/>
    <mergeCell ref="T794:W794"/>
    <mergeCell ref="Y794:AB794"/>
    <mergeCell ref="T797:W797"/>
    <mergeCell ref="Y803:AA803"/>
    <mergeCell ref="AD801:AF801"/>
    <mergeCell ref="AD802:AF802"/>
    <mergeCell ref="AD793:AG793"/>
    <mergeCell ref="AD794:AG794"/>
    <mergeCell ref="AE795:AF795"/>
    <mergeCell ref="AD797:AG797"/>
    <mergeCell ref="AD798:AG798"/>
    <mergeCell ref="AD799:AF799"/>
    <mergeCell ref="AD800:AF800"/>
    <mergeCell ref="J774:M774"/>
    <mergeCell ref="J775:L775"/>
    <mergeCell ref="O775:Q775"/>
    <mergeCell ref="T775:V775"/>
    <mergeCell ref="J776:L776"/>
    <mergeCell ref="T776:V776"/>
    <mergeCell ref="J777:L777"/>
    <mergeCell ref="J778:L778"/>
    <mergeCell ref="O778:R778"/>
    <mergeCell ref="J779:L779"/>
    <mergeCell ref="O779:R779"/>
    <mergeCell ref="J781:L781"/>
    <mergeCell ref="O781:Q781"/>
    <mergeCell ref="T781:V781"/>
    <mergeCell ref="O793:R793"/>
    <mergeCell ref="O794:R794"/>
    <mergeCell ref="J788:L788"/>
    <mergeCell ref="O788:Q788"/>
    <mergeCell ref="T788:V788"/>
    <mergeCell ref="Y788:AA788"/>
    <mergeCell ref="AD788:AF788"/>
    <mergeCell ref="O789:Q789"/>
    <mergeCell ref="AD792:AG792"/>
    <mergeCell ref="Y799:AA799"/>
    <mergeCell ref="Y800:AA800"/>
    <mergeCell ref="AD803:AF803"/>
    <mergeCell ref="J801:L801"/>
    <mergeCell ref="J802:L802"/>
    <mergeCell ref="J803:L803"/>
    <mergeCell ref="J792:M792"/>
    <mergeCell ref="J793:M793"/>
    <mergeCell ref="J794:M794"/>
    <mergeCell ref="J797:M797"/>
    <mergeCell ref="J798:M798"/>
    <mergeCell ref="J799:L799"/>
    <mergeCell ref="J800:L800"/>
    <mergeCell ref="O821:R821"/>
    <mergeCell ref="O822:R822"/>
    <mergeCell ref="J817:M817"/>
    <mergeCell ref="J818:M818"/>
    <mergeCell ref="O818:R818"/>
    <mergeCell ref="T818:W818"/>
    <mergeCell ref="P819:Q819"/>
    <mergeCell ref="J821:M821"/>
    <mergeCell ref="J822:M822"/>
    <mergeCell ref="T822:W822"/>
    <mergeCell ref="E801:G801"/>
    <mergeCell ref="E802:G802"/>
    <mergeCell ref="E805:G805"/>
    <mergeCell ref="J805:L805"/>
    <mergeCell ref="O805:Q805"/>
    <mergeCell ref="T805:V805"/>
    <mergeCell ref="Y805:AA805"/>
    <mergeCell ref="AD805:AF805"/>
    <mergeCell ref="E779:G779"/>
    <mergeCell ref="E781:G781"/>
    <mergeCell ref="E788:G788"/>
    <mergeCell ref="E792:H792"/>
    <mergeCell ref="I792:I803"/>
    <mergeCell ref="E793:H793"/>
    <mergeCell ref="E794:H794"/>
    <mergeCell ref="E803:G803"/>
    <mergeCell ref="Y812:AA812"/>
    <mergeCell ref="Y813:AA813"/>
    <mergeCell ref="E797:H797"/>
    <mergeCell ref="E798:H798"/>
    <mergeCell ref="J812:L812"/>
    <mergeCell ref="O812:Q812"/>
    <mergeCell ref="T812:V812"/>
    <mergeCell ref="AD812:AF812"/>
    <mergeCell ref="T813:V813"/>
    <mergeCell ref="Y816:AB816"/>
    <mergeCell ref="Y817:AB817"/>
    <mergeCell ref="Y818:AB818"/>
    <mergeCell ref="AD818:AG818"/>
    <mergeCell ref="J816:M816"/>
    <mergeCell ref="O816:R816"/>
    <mergeCell ref="T816:W816"/>
    <mergeCell ref="AD816:AG816"/>
    <mergeCell ref="O817:R817"/>
    <mergeCell ref="T817:W817"/>
    <mergeCell ref="AD817:AG817"/>
    <mergeCell ref="T821:W821"/>
    <mergeCell ref="Y821:AB821"/>
    <mergeCell ref="AD821:AG821"/>
    <mergeCell ref="Y822:AB822"/>
    <mergeCell ref="AD822:AG822"/>
    <mergeCell ref="AD836:AF836"/>
    <mergeCell ref="AD840:AG840"/>
    <mergeCell ref="AD841:AG841"/>
    <mergeCell ref="AD842:AG842"/>
    <mergeCell ref="AD843:AG843"/>
    <mergeCell ref="AD845:AG845"/>
    <mergeCell ref="AD846:AG846"/>
    <mergeCell ref="AD847:AG847"/>
    <mergeCell ref="J841:M841"/>
    <mergeCell ref="O841:R841"/>
    <mergeCell ref="T841:W841"/>
    <mergeCell ref="Y841:AB841"/>
    <mergeCell ref="J842:M842"/>
    <mergeCell ref="O842:R842"/>
    <mergeCell ref="T842:W842"/>
    <mergeCell ref="Y842:AB842"/>
    <mergeCell ref="K843:L843"/>
    <mergeCell ref="O843:R843"/>
    <mergeCell ref="T843:W843"/>
    <mergeCell ref="Y843:AB843"/>
    <mergeCell ref="J845:M845"/>
    <mergeCell ref="O845:R845"/>
    <mergeCell ref="T845:W845"/>
    <mergeCell ref="Y845:AB845"/>
    <mergeCell ref="J846:M846"/>
    <mergeCell ref="O846:R846"/>
    <mergeCell ref="T846:W846"/>
    <mergeCell ref="Y846:AB846"/>
    <mergeCell ref="J847:L847"/>
    <mergeCell ref="O847:R847"/>
    <mergeCell ref="T847:W847"/>
    <mergeCell ref="Y847:AB847"/>
    <mergeCell ref="J848:L848"/>
    <mergeCell ref="O848:R848"/>
    <mergeCell ref="AD848:AG848"/>
    <mergeCell ref="AD849:AG849"/>
    <mergeCell ref="AD850:AG850"/>
    <mergeCell ref="T848:W848"/>
    <mergeCell ref="Y848:AB848"/>
    <mergeCell ref="J849:L849"/>
    <mergeCell ref="O849:R849"/>
    <mergeCell ref="T849:W849"/>
    <mergeCell ref="Y849:AB849"/>
    <mergeCell ref="J850:L850"/>
    <mergeCell ref="O850:R850"/>
    <mergeCell ref="T850:W850"/>
    <mergeCell ref="Y850:AB850"/>
    <mergeCell ref="J851:L851"/>
    <mergeCell ref="O851:R851"/>
    <mergeCell ref="T851:W851"/>
    <mergeCell ref="Y851:AB851"/>
    <mergeCell ref="AD851:AG851"/>
    <mergeCell ref="J853:L853"/>
    <mergeCell ref="J860:L860"/>
    <mergeCell ref="E863:AG863"/>
    <mergeCell ref="N864:N875"/>
    <mergeCell ref="O864:R864"/>
    <mergeCell ref="S864:S875"/>
    <mergeCell ref="J866:M866"/>
    <mergeCell ref="AD875:AG875"/>
    <mergeCell ref="Y871:AB871"/>
    <mergeCell ref="Y875:AB875"/>
    <mergeCell ref="Y864:AB864"/>
    <mergeCell ref="AC864:AC875"/>
    <mergeCell ref="Y865:AB865"/>
    <mergeCell ref="Y866:AB866"/>
    <mergeCell ref="Y867:AB867"/>
    <mergeCell ref="Y869:AB869"/>
    <mergeCell ref="Y870:AB870"/>
    <mergeCell ref="J869:M869"/>
    <mergeCell ref="O869:R869"/>
    <mergeCell ref="T869:W869"/>
    <mergeCell ref="AD869:AG869"/>
    <mergeCell ref="J870:M870"/>
    <mergeCell ref="O870:R870"/>
    <mergeCell ref="T870:W870"/>
    <mergeCell ref="AD870:AG870"/>
    <mergeCell ref="J871:L871"/>
    <mergeCell ref="O871:Q871"/>
    <mergeCell ref="T871:W871"/>
    <mergeCell ref="AD871:AG871"/>
    <mergeCell ref="J872:L872"/>
    <mergeCell ref="O872:Q872"/>
    <mergeCell ref="T874:W874"/>
    <mergeCell ref="T875:W875"/>
    <mergeCell ref="T864:W864"/>
    <mergeCell ref="X864:X875"/>
    <mergeCell ref="T865:W865"/>
    <mergeCell ref="T866:W866"/>
    <mergeCell ref="T867:W867"/>
    <mergeCell ref="T872:W872"/>
    <mergeCell ref="T873:W873"/>
    <mergeCell ref="Y836:AA836"/>
    <mergeCell ref="Y840:AB840"/>
    <mergeCell ref="J836:L836"/>
    <mergeCell ref="O836:Q836"/>
    <mergeCell ref="O837:Q837"/>
    <mergeCell ref="N840:N851"/>
    <mergeCell ref="S840:S851"/>
    <mergeCell ref="X840:X851"/>
    <mergeCell ref="AC840:AC851"/>
    <mergeCell ref="AD864:AG864"/>
    <mergeCell ref="AD865:AG865"/>
    <mergeCell ref="O865:R865"/>
    <mergeCell ref="O866:R866"/>
    <mergeCell ref="O873:Q873"/>
    <mergeCell ref="O874:Q874"/>
    <mergeCell ref="O875:Q875"/>
    <mergeCell ref="O877:Q877"/>
    <mergeCell ref="O884:Q884"/>
    <mergeCell ref="O887:R887"/>
    <mergeCell ref="AD866:AG866"/>
    <mergeCell ref="AD867:AG867"/>
    <mergeCell ref="AD872:AG872"/>
    <mergeCell ref="AD873:AG873"/>
    <mergeCell ref="AD874:AG874"/>
    <mergeCell ref="Y872:AB872"/>
    <mergeCell ref="Y873:AB873"/>
    <mergeCell ref="Y874:AB874"/>
    <mergeCell ref="J864:M864"/>
    <mergeCell ref="J865:M865"/>
    <mergeCell ref="J873:L873"/>
    <mergeCell ref="J874:L874"/>
    <mergeCell ref="J875:L875"/>
    <mergeCell ref="J877:L877"/>
    <mergeCell ref="J884:L884"/>
    <mergeCell ref="Y1059:AB1059"/>
    <mergeCell ref="Y1060:AB1060"/>
    <mergeCell ref="Y1061:AA1061"/>
    <mergeCell ref="Y1062:AA1062"/>
    <mergeCell ref="Y1063:AA1063"/>
    <mergeCell ref="Y1064:AA1064"/>
    <mergeCell ref="Y1065:AA1065"/>
    <mergeCell ref="Y1083:AB1083"/>
    <mergeCell ref="Y1084:AA1084"/>
    <mergeCell ref="Y1085:AA1085"/>
    <mergeCell ref="Y1086:AA1086"/>
    <mergeCell ref="Y1087:AA1087"/>
    <mergeCell ref="Y1088:AA1088"/>
    <mergeCell ref="Y1090:AA1090"/>
    <mergeCell ref="Y1067:AA1067"/>
    <mergeCell ref="Y1074:AA1074"/>
    <mergeCell ref="Y1077:AB1077"/>
    <mergeCell ref="AC1077:AC1088"/>
    <mergeCell ref="Y1078:AB1078"/>
    <mergeCell ref="Y1079:AB1079"/>
    <mergeCell ref="Y1082:AB1082"/>
    <mergeCell ref="AD992:AG992"/>
    <mergeCell ref="AD993:AG993"/>
    <mergeCell ref="AD994:AG994"/>
    <mergeCell ref="AD1007:AG1007"/>
    <mergeCell ref="AD1008:AG1008"/>
    <mergeCell ref="AD1009:AG1009"/>
    <mergeCell ref="AD1010:AG1010"/>
    <mergeCell ref="AD1012:AG1012"/>
    <mergeCell ref="AD1013:AG1013"/>
    <mergeCell ref="AD1014:AG1014"/>
    <mergeCell ref="AD1015:AG1015"/>
    <mergeCell ref="AD1016:AG1016"/>
    <mergeCell ref="AD1017:AG1017"/>
    <mergeCell ref="AD1018:AG1018"/>
    <mergeCell ref="AC1022:AF1022"/>
    <mergeCell ref="AC1023:AF1023"/>
    <mergeCell ref="AC1024:AF1024"/>
    <mergeCell ref="AC1025:AF1025"/>
    <mergeCell ref="AC1026:AF1026"/>
    <mergeCell ref="Y1027:AA1027"/>
    <mergeCell ref="AC1027:AF1027"/>
    <mergeCell ref="Y1029:AB1029"/>
    <mergeCell ref="Y1031:AB1031"/>
    <mergeCell ref="AD1031:AG1031"/>
    <mergeCell ref="Y1032:AB1032"/>
    <mergeCell ref="AD1032:AG1032"/>
    <mergeCell ref="AD1033:AG1033"/>
    <mergeCell ref="AD1034:AG1034"/>
    <mergeCell ref="AD1036:AG1036"/>
    <mergeCell ref="AD1037:AG1037"/>
    <mergeCell ref="AD1038:AG1038"/>
    <mergeCell ref="AD1039:AG1039"/>
    <mergeCell ref="AD1040:AG1040"/>
    <mergeCell ref="AD1041:AG1041"/>
    <mergeCell ref="AD1042:AG1042"/>
    <mergeCell ref="AD1054:AG1054"/>
    <mergeCell ref="AD1055:AG1055"/>
    <mergeCell ref="AD1056:AG1056"/>
    <mergeCell ref="AD1059:AG1059"/>
    <mergeCell ref="AD1060:AG1060"/>
    <mergeCell ref="AD1061:AF1061"/>
    <mergeCell ref="AD1062:AF1062"/>
    <mergeCell ref="AD1088:AF1088"/>
    <mergeCell ref="AD1090:AF1090"/>
    <mergeCell ref="J249:M249"/>
    <mergeCell ref="J253:M253"/>
    <mergeCell ref="C254:C256"/>
    <mergeCell ref="E254:H254"/>
    <mergeCell ref="J254:M254"/>
    <mergeCell ref="E255:G255"/>
    <mergeCell ref="E256:G256"/>
    <mergeCell ref="Y257:AA257"/>
    <mergeCell ref="Y258:AA258"/>
    <mergeCell ref="Y261:AA261"/>
    <mergeCell ref="AD261:AF261"/>
    <mergeCell ref="I248:I259"/>
    <mergeCell ref="J248:M248"/>
    <mergeCell ref="N248:N259"/>
    <mergeCell ref="S248:S259"/>
    <mergeCell ref="X248:X259"/>
    <mergeCell ref="AC248:AC259"/>
    <mergeCell ref="O259:Q259"/>
    <mergeCell ref="Y259:AA259"/>
    <mergeCell ref="Y271:AB271"/>
    <mergeCell ref="AD271:AG271"/>
    <mergeCell ref="AD272:AG272"/>
    <mergeCell ref="AD273:AG273"/>
    <mergeCell ref="AD276:AG276"/>
    <mergeCell ref="AD277:AG277"/>
    <mergeCell ref="AD281:AF281"/>
    <mergeCell ref="E258:G258"/>
    <mergeCell ref="J258:L258"/>
    <mergeCell ref="E259:G259"/>
    <mergeCell ref="J259:L259"/>
    <mergeCell ref="E261:G261"/>
    <mergeCell ref="J261:L261"/>
    <mergeCell ref="J268:L268"/>
    <mergeCell ref="E278:G278"/>
    <mergeCell ref="E279:G279"/>
    <mergeCell ref="J280:L280"/>
    <mergeCell ref="J281:L281"/>
    <mergeCell ref="J271:M271"/>
    <mergeCell ref="J272:M272"/>
    <mergeCell ref="J273:M273"/>
    <mergeCell ref="J276:M276"/>
    <mergeCell ref="J277:M277"/>
    <mergeCell ref="J278:L278"/>
    <mergeCell ref="J279:L279"/>
    <mergeCell ref="Y273:AB273"/>
    <mergeCell ref="Z274:AA274"/>
    <mergeCell ref="T276:W276"/>
    <mergeCell ref="Y276:AB276"/>
    <mergeCell ref="T277:W277"/>
    <mergeCell ref="Y277:AB277"/>
    <mergeCell ref="T278:V278"/>
    <mergeCell ref="Y278:AA278"/>
    <mergeCell ref="AD278:AF278"/>
    <mergeCell ref="T279:V279"/>
    <mergeCell ref="Y279:AA279"/>
    <mergeCell ref="AD279:AF279"/>
    <mergeCell ref="T280:V280"/>
    <mergeCell ref="Y280:AA280"/>
    <mergeCell ref="AD280:AF280"/>
    <mergeCell ref="T281:V281"/>
    <mergeCell ref="Y281:AA281"/>
    <mergeCell ref="J224:M224"/>
    <mergeCell ref="J229:M229"/>
    <mergeCell ref="O229:R229"/>
    <mergeCell ref="J230:M230"/>
    <mergeCell ref="O230:R230"/>
    <mergeCell ref="J231:L231"/>
    <mergeCell ref="O231:Q231"/>
    <mergeCell ref="T231:V231"/>
    <mergeCell ref="J232:L232"/>
    <mergeCell ref="O232:Q232"/>
    <mergeCell ref="T232:V232"/>
    <mergeCell ref="J233:L233"/>
    <mergeCell ref="O233:Q233"/>
    <mergeCell ref="T233:V233"/>
    <mergeCell ref="J234:L234"/>
    <mergeCell ref="O234:Q234"/>
    <mergeCell ref="T234:V234"/>
    <mergeCell ref="J235:L235"/>
    <mergeCell ref="O235:Q235"/>
    <mergeCell ref="O221:Q221"/>
    <mergeCell ref="T221:V221"/>
    <mergeCell ref="I224:I235"/>
    <mergeCell ref="N224:N235"/>
    <mergeCell ref="S224:S235"/>
    <mergeCell ref="O226:R226"/>
    <mergeCell ref="U227:V227"/>
    <mergeCell ref="T235:V235"/>
    <mergeCell ref="E214:G214"/>
    <mergeCell ref="J214:L214"/>
    <mergeCell ref="O214:Q214"/>
    <mergeCell ref="T214:V214"/>
    <mergeCell ref="Y214:AA214"/>
    <mergeCell ref="E221:G221"/>
    <mergeCell ref="J221:L221"/>
    <mergeCell ref="Y221:AA221"/>
    <mergeCell ref="O224:R224"/>
    <mergeCell ref="T224:W224"/>
    <mergeCell ref="Y224:AB224"/>
    <mergeCell ref="J225:M225"/>
    <mergeCell ref="O225:R225"/>
    <mergeCell ref="T225:W225"/>
    <mergeCell ref="E226:H226"/>
    <mergeCell ref="J226:M226"/>
    <mergeCell ref="T226:W226"/>
    <mergeCell ref="Y232:AA232"/>
    <mergeCell ref="Y233:AA233"/>
    <mergeCell ref="Y237:AA237"/>
    <mergeCell ref="E233:G233"/>
    <mergeCell ref="E234:G234"/>
    <mergeCell ref="E235:G235"/>
    <mergeCell ref="E237:G237"/>
    <mergeCell ref="J237:L237"/>
    <mergeCell ref="O237:Q237"/>
    <mergeCell ref="T237:V237"/>
    <mergeCell ref="E244:G244"/>
    <mergeCell ref="J244:L244"/>
    <mergeCell ref="O244:Q244"/>
    <mergeCell ref="T244:V244"/>
    <mergeCell ref="Y244:AA244"/>
    <mergeCell ref="AD244:AF244"/>
    <mergeCell ref="AD245:AF245"/>
    <mergeCell ref="T248:W248"/>
    <mergeCell ref="Y248:AB248"/>
    <mergeCell ref="AD248:AG248"/>
    <mergeCell ref="E248:H248"/>
    <mergeCell ref="C249:C253"/>
    <mergeCell ref="E249:H249"/>
    <mergeCell ref="E250:H250"/>
    <mergeCell ref="E253:H253"/>
    <mergeCell ref="O248:R248"/>
    <mergeCell ref="O249:R249"/>
    <mergeCell ref="T249:W249"/>
    <mergeCell ref="Y249:AB249"/>
    <mergeCell ref="AD249:AG249"/>
    <mergeCell ref="J250:M250"/>
    <mergeCell ref="O250:R250"/>
    <mergeCell ref="T250:W250"/>
    <mergeCell ref="Y250:AB250"/>
    <mergeCell ref="AD250:AG250"/>
    <mergeCell ref="O253:R253"/>
    <mergeCell ref="T253:W253"/>
    <mergeCell ref="AD253:AG253"/>
    <mergeCell ref="AD254:AG254"/>
    <mergeCell ref="AD255:AF255"/>
    <mergeCell ref="AD256:AF256"/>
    <mergeCell ref="P251:Q251"/>
    <mergeCell ref="O254:R254"/>
    <mergeCell ref="Y253:AB253"/>
    <mergeCell ref="Y254:AB254"/>
    <mergeCell ref="T254:W254"/>
    <mergeCell ref="T255:V255"/>
    <mergeCell ref="J255:L255"/>
    <mergeCell ref="J256:L256"/>
    <mergeCell ref="O255:Q255"/>
    <mergeCell ref="O256:Q256"/>
    <mergeCell ref="Y255:AA255"/>
    <mergeCell ref="Y256:AA256"/>
    <mergeCell ref="AD257:AF257"/>
    <mergeCell ref="AD258:AF258"/>
    <mergeCell ref="AD259:AF259"/>
    <mergeCell ref="E257:G257"/>
    <mergeCell ref="J257:L257"/>
    <mergeCell ref="O272:R272"/>
    <mergeCell ref="O273:R273"/>
    <mergeCell ref="O276:R276"/>
    <mergeCell ref="O277:R277"/>
    <mergeCell ref="O278:Q278"/>
    <mergeCell ref="O279:Q279"/>
    <mergeCell ref="O257:Q257"/>
    <mergeCell ref="O258:Q258"/>
    <mergeCell ref="O261:Q261"/>
    <mergeCell ref="O268:Q268"/>
    <mergeCell ref="N271:N282"/>
    <mergeCell ref="O271:R271"/>
    <mergeCell ref="S271:S282"/>
    <mergeCell ref="O282:Q282"/>
    <mergeCell ref="O299:R299"/>
    <mergeCell ref="O300:R300"/>
    <mergeCell ref="O301:Q301"/>
    <mergeCell ref="O302:Q302"/>
    <mergeCell ref="O303:Q303"/>
    <mergeCell ref="O304:Q304"/>
    <mergeCell ref="O305:Q305"/>
    <mergeCell ref="O280:Q280"/>
    <mergeCell ref="O281:Q281"/>
    <mergeCell ref="O284:Q284"/>
    <mergeCell ref="O291:Q291"/>
    <mergeCell ref="O294:R294"/>
    <mergeCell ref="O295:R295"/>
    <mergeCell ref="O296:R296"/>
    <mergeCell ref="T301:W301"/>
    <mergeCell ref="T302:W302"/>
    <mergeCell ref="T303:W303"/>
    <mergeCell ref="T304:W304"/>
    <mergeCell ref="T305:W305"/>
    <mergeCell ref="Y302:AB302"/>
    <mergeCell ref="Y303:AB303"/>
    <mergeCell ref="Y304:AB304"/>
    <mergeCell ref="Y305:AB305"/>
    <mergeCell ref="T297:W297"/>
    <mergeCell ref="Y297:AB297"/>
    <mergeCell ref="T299:W299"/>
    <mergeCell ref="Y299:AB299"/>
    <mergeCell ref="T300:W300"/>
    <mergeCell ref="Y300:AB300"/>
    <mergeCell ref="Y301:AB301"/>
    <mergeCell ref="T258:V258"/>
    <mergeCell ref="T259:V259"/>
    <mergeCell ref="T261:V261"/>
    <mergeCell ref="T268:V268"/>
    <mergeCell ref="Y268:AA268"/>
    <mergeCell ref="AD268:AF268"/>
    <mergeCell ref="T271:W271"/>
    <mergeCell ref="T282:V282"/>
    <mergeCell ref="Y282:AA282"/>
    <mergeCell ref="AD282:AF282"/>
    <mergeCell ref="T284:V284"/>
    <mergeCell ref="Y284:AA284"/>
    <mergeCell ref="AD284:AF284"/>
    <mergeCell ref="T256:V256"/>
    <mergeCell ref="T257:V257"/>
    <mergeCell ref="X271:X282"/>
    <mergeCell ref="AC271:AC282"/>
    <mergeCell ref="T272:W272"/>
    <mergeCell ref="Y272:AB272"/>
    <mergeCell ref="T273:W273"/>
    <mergeCell ref="Y295:AB295"/>
    <mergeCell ref="Y296:AB296"/>
    <mergeCell ref="T291:V291"/>
    <mergeCell ref="Y291:AA291"/>
    <mergeCell ref="AD291:AF291"/>
    <mergeCell ref="T294:W294"/>
    <mergeCell ref="Y294:AB294"/>
    <mergeCell ref="T295:W295"/>
    <mergeCell ref="T296:W296"/>
    <mergeCell ref="AD302:AG302"/>
    <mergeCell ref="AD303:AG303"/>
    <mergeCell ref="AD304:AG304"/>
    <mergeCell ref="AD305:AG305"/>
    <mergeCell ref="AD294:AG294"/>
    <mergeCell ref="AD295:AG295"/>
    <mergeCell ref="AD296:AG296"/>
    <mergeCell ref="AD297:AG297"/>
    <mergeCell ref="AD299:AG299"/>
    <mergeCell ref="AD300:AG300"/>
    <mergeCell ref="AD301:AG301"/>
    <mergeCell ref="AD57:AG57"/>
    <mergeCell ref="AD58:AG58"/>
    <mergeCell ref="Y44:AA44"/>
    <mergeCell ref="Y51:AA51"/>
    <mergeCell ref="AD51:AF51"/>
    <mergeCell ref="E55:AG55"/>
    <mergeCell ref="T56:W56"/>
    <mergeCell ref="Y56:AB56"/>
    <mergeCell ref="AD56:AG56"/>
    <mergeCell ref="J25:L25"/>
    <mergeCell ref="O25:Q25"/>
    <mergeCell ref="T25:V25"/>
    <mergeCell ref="Y25:AA25"/>
    <mergeCell ref="AD25:AF25"/>
    <mergeCell ref="AD26:AF26"/>
    <mergeCell ref="E28:AG29"/>
    <mergeCell ref="T37:W37"/>
    <mergeCell ref="Y37:AB37"/>
    <mergeCell ref="AD37:AG37"/>
    <mergeCell ref="E38:G38"/>
    <mergeCell ref="J38:L38"/>
    <mergeCell ref="O38:Q38"/>
    <mergeCell ref="T38:V38"/>
    <mergeCell ref="AD38:AF38"/>
    <mergeCell ref="E25:G25"/>
    <mergeCell ref="E39:G39"/>
    <mergeCell ref="E40:G40"/>
    <mergeCell ref="E41:G41"/>
    <mergeCell ref="E42:G42"/>
    <mergeCell ref="E44:G44"/>
    <mergeCell ref="E51:G51"/>
    <mergeCell ref="Y38:AA38"/>
    <mergeCell ref="Y39:AA39"/>
    <mergeCell ref="AD39:AF39"/>
    <mergeCell ref="AD40:AF40"/>
    <mergeCell ref="AD41:AF41"/>
    <mergeCell ref="AD42:AF42"/>
    <mergeCell ref="AD44:AF44"/>
    <mergeCell ref="E56:H56"/>
    <mergeCell ref="C57:C58"/>
    <mergeCell ref="E57:H57"/>
    <mergeCell ref="E58:H58"/>
    <mergeCell ref="I5:I16"/>
    <mergeCell ref="C9:C13"/>
    <mergeCell ref="E10:H10"/>
    <mergeCell ref="E11:H11"/>
    <mergeCell ref="E12:G12"/>
    <mergeCell ref="E13:G13"/>
    <mergeCell ref="O16:Q16"/>
    <mergeCell ref="T16:V16"/>
    <mergeCell ref="Y16:AA16"/>
    <mergeCell ref="AD16:AF16"/>
    <mergeCell ref="C3:AG3"/>
    <mergeCell ref="N5:N16"/>
    <mergeCell ref="S5:S16"/>
    <mergeCell ref="AD5:AG5"/>
    <mergeCell ref="O7:R7"/>
    <mergeCell ref="AE8:AF8"/>
    <mergeCell ref="AD12:AF12"/>
    <mergeCell ref="T10:W10"/>
    <mergeCell ref="Y10:AB10"/>
    <mergeCell ref="J5:M5"/>
    <mergeCell ref="J11:M11"/>
    <mergeCell ref="O11:R11"/>
    <mergeCell ref="T11:W11"/>
    <mergeCell ref="AD10:AG10"/>
    <mergeCell ref="AD11:AG11"/>
    <mergeCell ref="J12:L12"/>
    <mergeCell ref="O12:Q12"/>
    <mergeCell ref="Y11:AB11"/>
    <mergeCell ref="Y12:AA12"/>
    <mergeCell ref="T12:V12"/>
    <mergeCell ref="J13:L13"/>
    <mergeCell ref="T5:W5"/>
    <mergeCell ref="X5:X16"/>
    <mergeCell ref="T6:W6"/>
    <mergeCell ref="T7:W7"/>
    <mergeCell ref="T13:V13"/>
    <mergeCell ref="T14:V14"/>
    <mergeCell ref="T15:V15"/>
    <mergeCell ref="Y5:AB5"/>
    <mergeCell ref="AC5:AC16"/>
    <mergeCell ref="Y6:AB6"/>
    <mergeCell ref="Y7:AB7"/>
    <mergeCell ref="Z8:AA8"/>
    <mergeCell ref="Y13:AA13"/>
    <mergeCell ref="Y14:AA14"/>
    <mergeCell ref="Y15:AA15"/>
    <mergeCell ref="E5:H5"/>
    <mergeCell ref="C6:C8"/>
    <mergeCell ref="E6:H6"/>
    <mergeCell ref="E7:H7"/>
    <mergeCell ref="F8:G8"/>
    <mergeCell ref="O5:R5"/>
    <mergeCell ref="O6:R6"/>
    <mergeCell ref="J6:M6"/>
    <mergeCell ref="J7:M7"/>
    <mergeCell ref="AD6:AG6"/>
    <mergeCell ref="AD7:AG7"/>
    <mergeCell ref="AD13:AF13"/>
    <mergeCell ref="AD14:AF14"/>
    <mergeCell ref="AD15:AF15"/>
    <mergeCell ref="O14:Q14"/>
    <mergeCell ref="O15:Q15"/>
    <mergeCell ref="J15:L15"/>
    <mergeCell ref="J16:L16"/>
    <mergeCell ref="E18:G18"/>
    <mergeCell ref="J18:L18"/>
    <mergeCell ref="O18:Q18"/>
    <mergeCell ref="T18:V18"/>
    <mergeCell ref="Y18:AA18"/>
    <mergeCell ref="AD18:AF18"/>
    <mergeCell ref="J10:M10"/>
    <mergeCell ref="O10:R10"/>
    <mergeCell ref="O13:Q13"/>
    <mergeCell ref="E14:G14"/>
    <mergeCell ref="J14:L14"/>
    <mergeCell ref="E15:G15"/>
    <mergeCell ref="E16:G16"/>
    <mergeCell ref="J31:M31"/>
    <mergeCell ref="O31:R31"/>
    <mergeCell ref="T31:W31"/>
    <mergeCell ref="Y31:AB31"/>
    <mergeCell ref="AD31:AG31"/>
    <mergeCell ref="E31:H31"/>
    <mergeCell ref="E32:H32"/>
    <mergeCell ref="J32:M32"/>
    <mergeCell ref="O32:R32"/>
    <mergeCell ref="T32:W32"/>
    <mergeCell ref="Y32:AB32"/>
    <mergeCell ref="AD32:AG32"/>
    <mergeCell ref="E33:H33"/>
    <mergeCell ref="J33:M33"/>
    <mergeCell ref="O33:R33"/>
    <mergeCell ref="T33:W33"/>
    <mergeCell ref="AD33:AG33"/>
    <mergeCell ref="C32:C34"/>
    <mergeCell ref="K34:L34"/>
    <mergeCell ref="Y33:AB33"/>
    <mergeCell ref="Z34:AA34"/>
    <mergeCell ref="C35:C39"/>
    <mergeCell ref="E36:H36"/>
    <mergeCell ref="E37:H37"/>
    <mergeCell ref="J36:M36"/>
    <mergeCell ref="O36:R36"/>
    <mergeCell ref="T36:W36"/>
    <mergeCell ref="Y36:AB36"/>
    <mergeCell ref="AD36:AG36"/>
    <mergeCell ref="J37:M37"/>
    <mergeCell ref="O37:R37"/>
    <mergeCell ref="J40:L40"/>
    <mergeCell ref="O40:Q40"/>
    <mergeCell ref="T40:V40"/>
    <mergeCell ref="Y40:AA40"/>
    <mergeCell ref="J41:L41"/>
    <mergeCell ref="O41:Q41"/>
    <mergeCell ref="T41:V41"/>
    <mergeCell ref="Y41:AA41"/>
    <mergeCell ref="J42:L42"/>
    <mergeCell ref="O42:Q42"/>
    <mergeCell ref="T42:V42"/>
    <mergeCell ref="Y42:AA42"/>
    <mergeCell ref="I31:I42"/>
    <mergeCell ref="N31:N42"/>
    <mergeCell ref="S31:S42"/>
    <mergeCell ref="X31:X42"/>
    <mergeCell ref="AC31:AC42"/>
    <mergeCell ref="P34:Q34"/>
    <mergeCell ref="T39:V39"/>
    <mergeCell ref="J62:M62"/>
    <mergeCell ref="O62:R62"/>
    <mergeCell ref="J58:M58"/>
    <mergeCell ref="O58:R58"/>
    <mergeCell ref="T58:W58"/>
    <mergeCell ref="C59:C61"/>
    <mergeCell ref="J61:M61"/>
    <mergeCell ref="O61:R61"/>
    <mergeCell ref="T62:W62"/>
    <mergeCell ref="T105:W105"/>
    <mergeCell ref="T106:W106"/>
    <mergeCell ref="Y105:AB105"/>
    <mergeCell ref="Y106:AB106"/>
    <mergeCell ref="T109:W109"/>
    <mergeCell ref="T110:W110"/>
    <mergeCell ref="Y109:AB109"/>
    <mergeCell ref="Y110:AB110"/>
    <mergeCell ref="Y113:AA113"/>
    <mergeCell ref="Y114:AA114"/>
    <mergeCell ref="Y115:AA115"/>
    <mergeCell ref="Y111:AA111"/>
    <mergeCell ref="AD111:AF111"/>
    <mergeCell ref="AD113:AF113"/>
    <mergeCell ref="AD114:AF114"/>
    <mergeCell ref="AD115:AF115"/>
    <mergeCell ref="T111:V111"/>
    <mergeCell ref="T112:V112"/>
    <mergeCell ref="T114:V114"/>
    <mergeCell ref="T115:V115"/>
    <mergeCell ref="T89:V89"/>
    <mergeCell ref="T90:V90"/>
    <mergeCell ref="T93:V93"/>
    <mergeCell ref="T100:V100"/>
    <mergeCell ref="T101:V101"/>
    <mergeCell ref="S104:S115"/>
    <mergeCell ref="X104:X115"/>
    <mergeCell ref="E90:G90"/>
    <mergeCell ref="J90:L90"/>
    <mergeCell ref="E93:G93"/>
    <mergeCell ref="J93:L93"/>
    <mergeCell ref="O93:Q93"/>
    <mergeCell ref="O90:Q90"/>
    <mergeCell ref="E91:G91"/>
    <mergeCell ref="J91:L91"/>
    <mergeCell ref="O91:Q91"/>
    <mergeCell ref="O80:R80"/>
    <mergeCell ref="X80:X91"/>
    <mergeCell ref="AC80:AC91"/>
    <mergeCell ref="C81:C82"/>
    <mergeCell ref="T82:W82"/>
    <mergeCell ref="Y85:AB85"/>
    <mergeCell ref="T91:V91"/>
    <mergeCell ref="O104:R104"/>
    <mergeCell ref="T104:W104"/>
    <mergeCell ref="Y104:AB104"/>
    <mergeCell ref="AD104:AG104"/>
    <mergeCell ref="AD105:AG105"/>
    <mergeCell ref="AD106:AG106"/>
    <mergeCell ref="AD109:AG109"/>
    <mergeCell ref="AD110:AG110"/>
    <mergeCell ref="E80:H80"/>
    <mergeCell ref="E87:G87"/>
    <mergeCell ref="E100:G100"/>
    <mergeCell ref="J100:L100"/>
    <mergeCell ref="E104:H104"/>
    <mergeCell ref="C105:C107"/>
    <mergeCell ref="E105:H105"/>
    <mergeCell ref="O113:Q113"/>
    <mergeCell ref="T113:V113"/>
    <mergeCell ref="J114:L114"/>
    <mergeCell ref="O114:Q114"/>
    <mergeCell ref="E114:G114"/>
    <mergeCell ref="E115:G115"/>
    <mergeCell ref="J115:L115"/>
    <mergeCell ref="O115:Q115"/>
    <mergeCell ref="E106:H106"/>
    <mergeCell ref="E109:H109"/>
    <mergeCell ref="C110:C112"/>
    <mergeCell ref="E110:H110"/>
    <mergeCell ref="E111:G111"/>
    <mergeCell ref="E112:G112"/>
    <mergeCell ref="E113:G113"/>
    <mergeCell ref="J64:L64"/>
    <mergeCell ref="O64:Q64"/>
    <mergeCell ref="J65:L65"/>
    <mergeCell ref="O65:Q65"/>
    <mergeCell ref="J66:L66"/>
    <mergeCell ref="O66:Q66"/>
    <mergeCell ref="J67:L67"/>
    <mergeCell ref="O67:Q67"/>
    <mergeCell ref="O51:Q51"/>
    <mergeCell ref="O52:Q52"/>
    <mergeCell ref="I56:I67"/>
    <mergeCell ref="J56:M56"/>
    <mergeCell ref="N56:N67"/>
    <mergeCell ref="S56:S67"/>
    <mergeCell ref="J57:M57"/>
    <mergeCell ref="J39:L39"/>
    <mergeCell ref="O39:Q39"/>
    <mergeCell ref="J44:L44"/>
    <mergeCell ref="O44:Q44"/>
    <mergeCell ref="T44:V44"/>
    <mergeCell ref="J51:L51"/>
    <mergeCell ref="T51:V51"/>
    <mergeCell ref="O56:R56"/>
    <mergeCell ref="O57:R57"/>
    <mergeCell ref="T57:W57"/>
    <mergeCell ref="T61:W61"/>
    <mergeCell ref="AD61:AG61"/>
    <mergeCell ref="AD62:AG62"/>
    <mergeCell ref="J63:L63"/>
    <mergeCell ref="O63:Q63"/>
    <mergeCell ref="T63:V63"/>
    <mergeCell ref="AD63:AF63"/>
    <mergeCell ref="T64:V64"/>
    <mergeCell ref="AD64:AF64"/>
    <mergeCell ref="T65:V65"/>
    <mergeCell ref="AD65:AF65"/>
    <mergeCell ref="Y64:AA64"/>
    <mergeCell ref="Y65:AA65"/>
    <mergeCell ref="T66:V66"/>
    <mergeCell ref="Y66:AA66"/>
    <mergeCell ref="AD66:AF66"/>
    <mergeCell ref="T67:V67"/>
    <mergeCell ref="Y67:AA67"/>
    <mergeCell ref="AD67:AF67"/>
    <mergeCell ref="X56:X67"/>
    <mergeCell ref="AC56:AC67"/>
    <mergeCell ref="Y57:AB57"/>
    <mergeCell ref="Y58:AB58"/>
    <mergeCell ref="Y61:AB61"/>
    <mergeCell ref="Y62:AB62"/>
    <mergeCell ref="Y63:AA63"/>
    <mergeCell ref="J69:L69"/>
    <mergeCell ref="O69:Q69"/>
    <mergeCell ref="T69:V69"/>
    <mergeCell ref="Y69:AA69"/>
    <mergeCell ref="AD69:AF69"/>
    <mergeCell ref="E61:H61"/>
    <mergeCell ref="E62:H62"/>
    <mergeCell ref="C62:C64"/>
    <mergeCell ref="E63:G63"/>
    <mergeCell ref="E64:G64"/>
    <mergeCell ref="E65:G65"/>
    <mergeCell ref="E66:G66"/>
    <mergeCell ref="E67:G67"/>
    <mergeCell ref="E69:G69"/>
    <mergeCell ref="Y80:AB80"/>
    <mergeCell ref="AD80:AG80"/>
    <mergeCell ref="AD81:AG81"/>
    <mergeCell ref="AD82:AG82"/>
    <mergeCell ref="AE83:AF83"/>
    <mergeCell ref="E76:G76"/>
    <mergeCell ref="J76:L76"/>
    <mergeCell ref="O76:Q76"/>
    <mergeCell ref="T76:V76"/>
    <mergeCell ref="Y76:AA76"/>
    <mergeCell ref="AD76:AF76"/>
    <mergeCell ref="E79:AG79"/>
    <mergeCell ref="J80:M80"/>
    <mergeCell ref="J81:M81"/>
    <mergeCell ref="T80:W80"/>
    <mergeCell ref="T81:W81"/>
    <mergeCell ref="E81:H81"/>
    <mergeCell ref="E82:H82"/>
    <mergeCell ref="O81:R81"/>
    <mergeCell ref="O82:R82"/>
    <mergeCell ref="Y81:AB81"/>
    <mergeCell ref="Y82:AB82"/>
    <mergeCell ref="J82:M82"/>
    <mergeCell ref="K83:L83"/>
    <mergeCell ref="E85:H85"/>
    <mergeCell ref="J85:M85"/>
    <mergeCell ref="O85:R85"/>
    <mergeCell ref="T85:W85"/>
    <mergeCell ref="AD85:AG85"/>
    <mergeCell ref="AD86:AG86"/>
    <mergeCell ref="AD87:AF87"/>
    <mergeCell ref="AD88:AF88"/>
    <mergeCell ref="C83:C85"/>
    <mergeCell ref="C86:C88"/>
    <mergeCell ref="E86:H86"/>
    <mergeCell ref="J86:M86"/>
    <mergeCell ref="O86:R86"/>
    <mergeCell ref="T86:W86"/>
    <mergeCell ref="J87:L87"/>
    <mergeCell ref="O87:Q87"/>
    <mergeCell ref="Y86:AB86"/>
    <mergeCell ref="Y87:AA87"/>
    <mergeCell ref="E88:G88"/>
    <mergeCell ref="J88:L88"/>
    <mergeCell ref="T87:V87"/>
    <mergeCell ref="T88:V88"/>
    <mergeCell ref="O88:Q88"/>
    <mergeCell ref="E89:G89"/>
    <mergeCell ref="J89:L89"/>
    <mergeCell ref="O89:Q89"/>
    <mergeCell ref="Y88:AA88"/>
    <mergeCell ref="Y89:AA89"/>
    <mergeCell ref="AD89:AF89"/>
    <mergeCell ref="AD90:AF90"/>
    <mergeCell ref="AD91:AF91"/>
    <mergeCell ref="Y112:AA112"/>
    <mergeCell ref="AD112:AF112"/>
    <mergeCell ref="Y117:AA117"/>
    <mergeCell ref="AD117:AF117"/>
    <mergeCell ref="Y124:AA124"/>
    <mergeCell ref="AD124:AF124"/>
    <mergeCell ref="Y90:AA90"/>
    <mergeCell ref="Y91:AA91"/>
    <mergeCell ref="Y93:AA93"/>
    <mergeCell ref="AD93:AF93"/>
    <mergeCell ref="Y100:AA100"/>
    <mergeCell ref="AD100:AF100"/>
    <mergeCell ref="AC104:AC115"/>
    <mergeCell ref="O100:Q100"/>
    <mergeCell ref="O105:R105"/>
    <mergeCell ref="O106:R106"/>
    <mergeCell ref="O109:R109"/>
    <mergeCell ref="O110:R110"/>
    <mergeCell ref="O111:Q111"/>
    <mergeCell ref="O112:Q112"/>
    <mergeCell ref="O117:Q117"/>
    <mergeCell ref="T124:V124"/>
    <mergeCell ref="E127:AG127"/>
    <mergeCell ref="E128:H128"/>
    <mergeCell ref="O128:R128"/>
    <mergeCell ref="T128:W128"/>
    <mergeCell ref="Y128:AB128"/>
    <mergeCell ref="AD128:AG128"/>
    <mergeCell ref="J113:L113"/>
    <mergeCell ref="E117:G117"/>
    <mergeCell ref="J117:L117"/>
    <mergeCell ref="T117:V117"/>
    <mergeCell ref="E124:G124"/>
    <mergeCell ref="J124:L124"/>
    <mergeCell ref="O124:Q124"/>
    <mergeCell ref="J104:M104"/>
    <mergeCell ref="J105:M105"/>
    <mergeCell ref="J106:M106"/>
    <mergeCell ref="J109:M109"/>
    <mergeCell ref="J110:M110"/>
    <mergeCell ref="J111:L111"/>
    <mergeCell ref="J112:L112"/>
    <mergeCell ref="J128:M128"/>
    <mergeCell ref="J129:M129"/>
    <mergeCell ref="O129:R129"/>
    <mergeCell ref="T129:W129"/>
    <mergeCell ref="AD129:AG129"/>
    <mergeCell ref="AD130:AG130"/>
    <mergeCell ref="E129:H129"/>
    <mergeCell ref="E130:H130"/>
    <mergeCell ref="J130:M130"/>
    <mergeCell ref="O130:R130"/>
    <mergeCell ref="Y136:AA136"/>
    <mergeCell ref="J137:L137"/>
    <mergeCell ref="O137:Q137"/>
    <mergeCell ref="T137:V137"/>
    <mergeCell ref="Y137:AA137"/>
    <mergeCell ref="J138:L138"/>
    <mergeCell ref="O138:Q138"/>
    <mergeCell ref="T138:V138"/>
    <mergeCell ref="Y138:AA138"/>
    <mergeCell ref="J139:L139"/>
    <mergeCell ref="O139:Q139"/>
    <mergeCell ref="T139:V139"/>
    <mergeCell ref="Y139:AA139"/>
    <mergeCell ref="I128:I139"/>
    <mergeCell ref="N128:N139"/>
    <mergeCell ref="S128:S139"/>
    <mergeCell ref="X128:X139"/>
    <mergeCell ref="AC128:AC139"/>
    <mergeCell ref="T130:W130"/>
    <mergeCell ref="Y133:AB133"/>
    <mergeCell ref="Y129:AB129"/>
    <mergeCell ref="Y130:AB130"/>
    <mergeCell ref="O133:R133"/>
    <mergeCell ref="T133:W133"/>
    <mergeCell ref="AD133:AG133"/>
    <mergeCell ref="C129:C131"/>
    <mergeCell ref="C134:C136"/>
    <mergeCell ref="O134:R134"/>
    <mergeCell ref="T134:W134"/>
    <mergeCell ref="AD134:AG134"/>
    <mergeCell ref="Y134:AB134"/>
    <mergeCell ref="O135:Q135"/>
    <mergeCell ref="T135:V135"/>
    <mergeCell ref="Y135:AA135"/>
    <mergeCell ref="AD135:AF135"/>
    <mergeCell ref="O136:Q136"/>
    <mergeCell ref="T136:V136"/>
    <mergeCell ref="AD136:AF136"/>
    <mergeCell ref="AD137:AF137"/>
    <mergeCell ref="AD138:AF138"/>
    <mergeCell ref="AD139:AF139"/>
    <mergeCell ref="T141:V141"/>
    <mergeCell ref="Y141:AA141"/>
    <mergeCell ref="AD141:AF141"/>
    <mergeCell ref="E159:H159"/>
    <mergeCell ref="E160:G160"/>
    <mergeCell ref="J160:L160"/>
    <mergeCell ref="O161:Q161"/>
    <mergeCell ref="T161:V161"/>
    <mergeCell ref="Y161:AA161"/>
    <mergeCell ref="AD161:AF161"/>
    <mergeCell ref="AD162:AF162"/>
    <mergeCell ref="AD163:AF163"/>
    <mergeCell ref="AD164:AF164"/>
    <mergeCell ref="AD166:AF166"/>
    <mergeCell ref="Y163:AA163"/>
    <mergeCell ref="Y164:AA164"/>
    <mergeCell ref="Y166:AA166"/>
    <mergeCell ref="J161:L161"/>
    <mergeCell ref="J162:L162"/>
    <mergeCell ref="O162:Q162"/>
    <mergeCell ref="Y162:AA162"/>
    <mergeCell ref="J163:L163"/>
    <mergeCell ref="J164:L164"/>
    <mergeCell ref="T164:V164"/>
    <mergeCell ref="T178:W178"/>
    <mergeCell ref="Y178:AB178"/>
    <mergeCell ref="O163:Q163"/>
    <mergeCell ref="O164:Q164"/>
    <mergeCell ref="J166:L166"/>
    <mergeCell ref="O166:Q166"/>
    <mergeCell ref="T166:V166"/>
    <mergeCell ref="E177:AG177"/>
    <mergeCell ref="E178:H178"/>
    <mergeCell ref="E133:H133"/>
    <mergeCell ref="J133:M133"/>
    <mergeCell ref="E134:H134"/>
    <mergeCell ref="J134:M134"/>
    <mergeCell ref="E135:G135"/>
    <mergeCell ref="J135:L135"/>
    <mergeCell ref="J136:L136"/>
    <mergeCell ref="E136:G136"/>
    <mergeCell ref="E137:G137"/>
    <mergeCell ref="E138:G138"/>
    <mergeCell ref="E139:G139"/>
    <mergeCell ref="E141:G141"/>
    <mergeCell ref="J141:L141"/>
    <mergeCell ref="O141:Q141"/>
    <mergeCell ref="J148:L148"/>
    <mergeCell ref="O148:Q148"/>
    <mergeCell ref="T148:V148"/>
    <mergeCell ref="Y148:AA148"/>
    <mergeCell ref="AD148:AF148"/>
    <mergeCell ref="J149:L149"/>
    <mergeCell ref="E152:AG152"/>
    <mergeCell ref="J153:M153"/>
    <mergeCell ref="O153:R153"/>
    <mergeCell ref="T153:W153"/>
    <mergeCell ref="AD153:AG153"/>
    <mergeCell ref="O154:R154"/>
    <mergeCell ref="T154:W154"/>
    <mergeCell ref="AD154:AG154"/>
    <mergeCell ref="O158:R158"/>
    <mergeCell ref="O159:R159"/>
    <mergeCell ref="O160:Q160"/>
    <mergeCell ref="T160:V160"/>
    <mergeCell ref="Y160:AA160"/>
    <mergeCell ref="AD160:AF160"/>
    <mergeCell ref="J154:M154"/>
    <mergeCell ref="J155:M155"/>
    <mergeCell ref="O155:R155"/>
    <mergeCell ref="T155:W155"/>
    <mergeCell ref="J158:M158"/>
    <mergeCell ref="T158:W158"/>
    <mergeCell ref="J159:M159"/>
    <mergeCell ref="T159:W159"/>
    <mergeCell ref="T162:V162"/>
    <mergeCell ref="T163:V163"/>
    <mergeCell ref="AD183:AG183"/>
    <mergeCell ref="Y184:AB184"/>
    <mergeCell ref="AD184:AG184"/>
    <mergeCell ref="Y173:AA173"/>
    <mergeCell ref="AD173:AF173"/>
    <mergeCell ref="AC178:AC189"/>
    <mergeCell ref="AD178:AG178"/>
    <mergeCell ref="Y179:AB179"/>
    <mergeCell ref="AD179:AG179"/>
    <mergeCell ref="AD180:AG180"/>
    <mergeCell ref="Y189:AA189"/>
    <mergeCell ref="AD189:AF189"/>
    <mergeCell ref="Y191:AA191"/>
    <mergeCell ref="AD191:AF191"/>
    <mergeCell ref="AD198:AF198"/>
    <mergeCell ref="AD201:AG201"/>
    <mergeCell ref="AD202:AG202"/>
    <mergeCell ref="AD203:AG203"/>
    <mergeCell ref="AD206:AG206"/>
    <mergeCell ref="AD207:AG207"/>
    <mergeCell ref="AD208:AF208"/>
    <mergeCell ref="AD209:AF209"/>
    <mergeCell ref="AD210:AF210"/>
    <mergeCell ref="AD211:AF211"/>
    <mergeCell ref="AD230:AG230"/>
    <mergeCell ref="AD231:AF231"/>
    <mergeCell ref="AD232:AF232"/>
    <mergeCell ref="AD233:AF233"/>
    <mergeCell ref="AD234:AF234"/>
    <mergeCell ref="AD235:AF235"/>
    <mergeCell ref="AD237:AF237"/>
    <mergeCell ref="AD212:AF212"/>
    <mergeCell ref="AD214:AF214"/>
    <mergeCell ref="AD221:AF221"/>
    <mergeCell ref="AD224:AG224"/>
    <mergeCell ref="AD225:AG225"/>
    <mergeCell ref="AD226:AG226"/>
    <mergeCell ref="AD229:AG229"/>
    <mergeCell ref="AD158:AG158"/>
    <mergeCell ref="AD159:AG159"/>
    <mergeCell ref="Y153:AB153"/>
    <mergeCell ref="Y154:AB154"/>
    <mergeCell ref="Y155:AB155"/>
    <mergeCell ref="AD155:AG155"/>
    <mergeCell ref="Z156:AA156"/>
    <mergeCell ref="Y158:AB158"/>
    <mergeCell ref="Y159:AB159"/>
    <mergeCell ref="Y180:AB180"/>
    <mergeCell ref="Y183:AB183"/>
    <mergeCell ref="Y185:AA185"/>
    <mergeCell ref="AD185:AF185"/>
    <mergeCell ref="Y186:AA186"/>
    <mergeCell ref="AD186:AF186"/>
    <mergeCell ref="Y187:AA187"/>
    <mergeCell ref="AD187:AF187"/>
    <mergeCell ref="Y188:AA188"/>
    <mergeCell ref="AD188:AF188"/>
    <mergeCell ref="C179:C183"/>
    <mergeCell ref="E179:H179"/>
    <mergeCell ref="E180:H180"/>
    <mergeCell ref="E183:H183"/>
    <mergeCell ref="C184:C186"/>
    <mergeCell ref="E184:H184"/>
    <mergeCell ref="E185:G185"/>
    <mergeCell ref="E186:G186"/>
    <mergeCell ref="E161:G161"/>
    <mergeCell ref="E162:G162"/>
    <mergeCell ref="E163:G163"/>
    <mergeCell ref="E164:G164"/>
    <mergeCell ref="E166:G166"/>
    <mergeCell ref="E173:G173"/>
    <mergeCell ref="I178:I189"/>
    <mergeCell ref="O173:Q173"/>
    <mergeCell ref="T173:V173"/>
    <mergeCell ref="T174:V174"/>
    <mergeCell ref="O178:R178"/>
    <mergeCell ref="O184:R184"/>
    <mergeCell ref="T184:W184"/>
    <mergeCell ref="J185:L185"/>
    <mergeCell ref="O185:Q185"/>
    <mergeCell ref="T185:V185"/>
    <mergeCell ref="J186:L186"/>
    <mergeCell ref="O186:Q186"/>
    <mergeCell ref="T186:V186"/>
    <mergeCell ref="J187:L187"/>
    <mergeCell ref="O187:Q187"/>
    <mergeCell ref="T187:V187"/>
    <mergeCell ref="J188:L188"/>
    <mergeCell ref="O188:Q188"/>
    <mergeCell ref="T188:V188"/>
    <mergeCell ref="J189:L189"/>
    <mergeCell ref="O189:Q189"/>
    <mergeCell ref="J173:L173"/>
    <mergeCell ref="J178:M178"/>
    <mergeCell ref="N178:N189"/>
    <mergeCell ref="S178:S189"/>
    <mergeCell ref="X178:X189"/>
    <mergeCell ref="O179:R179"/>
    <mergeCell ref="O180:R180"/>
    <mergeCell ref="T189:V189"/>
    <mergeCell ref="F204:G204"/>
    <mergeCell ref="P204:Q204"/>
    <mergeCell ref="E203:H203"/>
    <mergeCell ref="J210:L210"/>
    <mergeCell ref="J211:L211"/>
    <mergeCell ref="J212:L212"/>
    <mergeCell ref="O210:Q210"/>
    <mergeCell ref="T210:V210"/>
    <mergeCell ref="E202:H202"/>
    <mergeCell ref="E211:G211"/>
    <mergeCell ref="E212:G212"/>
    <mergeCell ref="O211:Q211"/>
    <mergeCell ref="T211:V211"/>
    <mergeCell ref="Y211:AA211"/>
    <mergeCell ref="O212:Q212"/>
    <mergeCell ref="T212:V212"/>
    <mergeCell ref="Y212:AA212"/>
    <mergeCell ref="O201:R201"/>
    <mergeCell ref="Y201:AB201"/>
    <mergeCell ref="AC201:AC212"/>
    <mergeCell ref="T203:W203"/>
    <mergeCell ref="Y206:AB206"/>
    <mergeCell ref="Y207:AB207"/>
    <mergeCell ref="Y210:AA210"/>
    <mergeCell ref="O202:R202"/>
    <mergeCell ref="O203:R203"/>
    <mergeCell ref="Y202:AB202"/>
    <mergeCell ref="Y203:AB203"/>
    <mergeCell ref="E206:H206"/>
    <mergeCell ref="J206:M206"/>
    <mergeCell ref="O206:R206"/>
    <mergeCell ref="T206:W206"/>
    <mergeCell ref="C202:C206"/>
    <mergeCell ref="C207:C209"/>
    <mergeCell ref="E207:H207"/>
    <mergeCell ref="J207:M207"/>
    <mergeCell ref="O207:R207"/>
    <mergeCell ref="T207:W207"/>
    <mergeCell ref="E209:G209"/>
    <mergeCell ref="E210:G210"/>
    <mergeCell ref="E208:G208"/>
    <mergeCell ref="J208:L208"/>
    <mergeCell ref="O208:Q208"/>
    <mergeCell ref="Y208:AA208"/>
    <mergeCell ref="J209:L209"/>
    <mergeCell ref="O209:Q209"/>
    <mergeCell ref="Y209:AA209"/>
    <mergeCell ref="E148:G148"/>
    <mergeCell ref="E153:H153"/>
    <mergeCell ref="C154:C158"/>
    <mergeCell ref="E154:H154"/>
    <mergeCell ref="E155:H155"/>
    <mergeCell ref="E158:H158"/>
    <mergeCell ref="C159:C161"/>
    <mergeCell ref="T179:W179"/>
    <mergeCell ref="T180:W180"/>
    <mergeCell ref="S201:S212"/>
    <mergeCell ref="T201:W201"/>
    <mergeCell ref="X201:X212"/>
    <mergeCell ref="T202:W202"/>
    <mergeCell ref="T208:V208"/>
    <mergeCell ref="T209:V209"/>
    <mergeCell ref="J183:M183"/>
    <mergeCell ref="O183:R183"/>
    <mergeCell ref="T183:W183"/>
    <mergeCell ref="J184:M184"/>
    <mergeCell ref="E187:G187"/>
    <mergeCell ref="E188:G188"/>
    <mergeCell ref="E191:G191"/>
    <mergeCell ref="J191:L191"/>
    <mergeCell ref="O191:Q191"/>
    <mergeCell ref="T191:V191"/>
    <mergeCell ref="E189:G189"/>
    <mergeCell ref="E198:G198"/>
    <mergeCell ref="J198:L198"/>
    <mergeCell ref="O198:Q198"/>
    <mergeCell ref="T198:V198"/>
    <mergeCell ref="Y198:AA198"/>
    <mergeCell ref="E201:H201"/>
    <mergeCell ref="J179:M179"/>
    <mergeCell ref="J180:M180"/>
    <mergeCell ref="I201:I212"/>
    <mergeCell ref="J201:M201"/>
    <mergeCell ref="N201:N212"/>
    <mergeCell ref="J202:M202"/>
    <mergeCell ref="J203:M203"/>
    <mergeCell ref="Y230:AB230"/>
    <mergeCell ref="Y231:AA231"/>
    <mergeCell ref="Y234:AA234"/>
    <mergeCell ref="Y235:AA235"/>
    <mergeCell ref="X224:X235"/>
    <mergeCell ref="AC224:AC235"/>
    <mergeCell ref="Y225:AB225"/>
    <mergeCell ref="Y226:AB226"/>
    <mergeCell ref="T229:W229"/>
    <mergeCell ref="Y229:AB229"/>
    <mergeCell ref="T230:W230"/>
    <mergeCell ref="E224:H224"/>
    <mergeCell ref="E225:H225"/>
    <mergeCell ref="C225:C229"/>
    <mergeCell ref="F227:G227"/>
    <mergeCell ref="E229:H229"/>
    <mergeCell ref="C230:C232"/>
    <mergeCell ref="E230:H230"/>
    <mergeCell ref="E231:G231"/>
    <mergeCell ref="E232:G232"/>
    <mergeCell ref="O346:R346"/>
    <mergeCell ref="O347:R347"/>
    <mergeCell ref="O348:Q348"/>
    <mergeCell ref="O328:Q328"/>
    <mergeCell ref="O330:Q330"/>
    <mergeCell ref="O337:Q337"/>
    <mergeCell ref="O341:R341"/>
    <mergeCell ref="O342:R342"/>
    <mergeCell ref="O343:R343"/>
    <mergeCell ref="P344:Q344"/>
    <mergeCell ref="O322:R322"/>
    <mergeCell ref="T322:W322"/>
    <mergeCell ref="Y322:AB322"/>
    <mergeCell ref="AD322:AG322"/>
    <mergeCell ref="T323:W323"/>
    <mergeCell ref="Y323:AB323"/>
    <mergeCell ref="AD323:AG323"/>
    <mergeCell ref="Y326:AB326"/>
    <mergeCell ref="AD326:AG326"/>
    <mergeCell ref="O323:R323"/>
    <mergeCell ref="O324:Q324"/>
    <mergeCell ref="T324:V324"/>
    <mergeCell ref="Y324:AB324"/>
    <mergeCell ref="O325:Q325"/>
    <mergeCell ref="Y325:AB325"/>
    <mergeCell ref="O326:Q326"/>
    <mergeCell ref="O327:Q327"/>
    <mergeCell ref="T327:V327"/>
    <mergeCell ref="Y327:AB327"/>
    <mergeCell ref="AD327:AG327"/>
    <mergeCell ref="T328:V328"/>
    <mergeCell ref="Y328:AB328"/>
    <mergeCell ref="AD328:AG328"/>
    <mergeCell ref="T325:V325"/>
    <mergeCell ref="T326:V326"/>
    <mergeCell ref="T330:V330"/>
    <mergeCell ref="X332:AA332"/>
    <mergeCell ref="AC332:AF332"/>
    <mergeCell ref="X333:AA333"/>
    <mergeCell ref="AC333:AF333"/>
    <mergeCell ref="AC334:AF334"/>
    <mergeCell ref="AC335:AF335"/>
    <mergeCell ref="Y336:AB336"/>
    <mergeCell ref="AC336:AF336"/>
    <mergeCell ref="T337:V337"/>
    <mergeCell ref="Y337:AB337"/>
    <mergeCell ref="AC337:AF337"/>
    <mergeCell ref="T347:W347"/>
    <mergeCell ref="T348:V348"/>
    <mergeCell ref="Y348:AA348"/>
    <mergeCell ref="AD348:AF348"/>
    <mergeCell ref="E464:H464"/>
    <mergeCell ref="J464:M464"/>
    <mergeCell ref="O464:R464"/>
    <mergeCell ref="C465:C467"/>
    <mergeCell ref="E465:H465"/>
    <mergeCell ref="J465:M465"/>
    <mergeCell ref="O465:R465"/>
    <mergeCell ref="J466:L466"/>
    <mergeCell ref="O466:Q466"/>
    <mergeCell ref="J467:L467"/>
    <mergeCell ref="O467:Q467"/>
    <mergeCell ref="E468:G468"/>
    <mergeCell ref="J468:L468"/>
    <mergeCell ref="O468:Q468"/>
    <mergeCell ref="E469:G469"/>
    <mergeCell ref="J469:L469"/>
    <mergeCell ref="O469:Q469"/>
    <mergeCell ref="E455:G455"/>
    <mergeCell ref="J455:L455"/>
    <mergeCell ref="O455:Q455"/>
    <mergeCell ref="J456:L456"/>
    <mergeCell ref="I459:I470"/>
    <mergeCell ref="N459:N470"/>
    <mergeCell ref="S459:S470"/>
    <mergeCell ref="O470:Q470"/>
    <mergeCell ref="E482:H482"/>
    <mergeCell ref="J482:M482"/>
    <mergeCell ref="O482:R482"/>
    <mergeCell ref="C483:C485"/>
    <mergeCell ref="E483:H483"/>
    <mergeCell ref="J483:M483"/>
    <mergeCell ref="E484:H484"/>
    <mergeCell ref="J484:M484"/>
    <mergeCell ref="T483:W483"/>
    <mergeCell ref="T484:W484"/>
    <mergeCell ref="Y484:AB484"/>
    <mergeCell ref="Y485:AB485"/>
    <mergeCell ref="E479:G479"/>
    <mergeCell ref="E487:H487"/>
    <mergeCell ref="C488:C490"/>
    <mergeCell ref="E488:H488"/>
    <mergeCell ref="E489:G489"/>
    <mergeCell ref="E490:G490"/>
    <mergeCell ref="J487:M487"/>
    <mergeCell ref="J488:M488"/>
    <mergeCell ref="J489:L489"/>
    <mergeCell ref="J490:L490"/>
    <mergeCell ref="Y486:AB486"/>
    <mergeCell ref="Y487:AB487"/>
    <mergeCell ref="T487:W487"/>
    <mergeCell ref="T488:W488"/>
    <mergeCell ref="O488:R488"/>
    <mergeCell ref="O489:Q489"/>
    <mergeCell ref="Y488:AB488"/>
    <mergeCell ref="Y489:AB489"/>
    <mergeCell ref="T489:V489"/>
    <mergeCell ref="T490:V490"/>
    <mergeCell ref="O490:Q490"/>
    <mergeCell ref="O491:Q491"/>
    <mergeCell ref="Y490:AB490"/>
    <mergeCell ref="Y491:AB491"/>
    <mergeCell ref="Y509:AB509"/>
    <mergeCell ref="Y511:AB511"/>
    <mergeCell ref="T508:W508"/>
    <mergeCell ref="Y508:AB508"/>
    <mergeCell ref="O510:R510"/>
    <mergeCell ref="T510:W510"/>
    <mergeCell ref="Y510:AB510"/>
    <mergeCell ref="T513:W513"/>
    <mergeCell ref="Y513:AB513"/>
    <mergeCell ref="Y512:AB512"/>
    <mergeCell ref="Y514:AB514"/>
    <mergeCell ref="Y517:AB517"/>
    <mergeCell ref="Y518:AB518"/>
    <mergeCell ref="Y498:AB498"/>
    <mergeCell ref="Y499:AB499"/>
    <mergeCell ref="Y500:AB500"/>
    <mergeCell ref="Y501:AB501"/>
    <mergeCell ref="Y502:AB502"/>
    <mergeCell ref="X508:X519"/>
    <mergeCell ref="AC508:AC519"/>
    <mergeCell ref="Y519:AB519"/>
    <mergeCell ref="O484:R484"/>
    <mergeCell ref="O487:R487"/>
    <mergeCell ref="T492:V492"/>
    <mergeCell ref="Y492:AB492"/>
    <mergeCell ref="N482:N493"/>
    <mergeCell ref="S482:S493"/>
    <mergeCell ref="X482:X493"/>
    <mergeCell ref="AC482:AC493"/>
    <mergeCell ref="O483:R483"/>
    <mergeCell ref="Y483:AB483"/>
    <mergeCell ref="T491:V491"/>
    <mergeCell ref="T493:V493"/>
    <mergeCell ref="Y493:AB493"/>
    <mergeCell ref="Y494:AB494"/>
    <mergeCell ref="T495:V495"/>
    <mergeCell ref="Y495:AB495"/>
    <mergeCell ref="Y496:AB496"/>
    <mergeCell ref="Y497:AB497"/>
    <mergeCell ref="O513:R513"/>
    <mergeCell ref="O514:R514"/>
    <mergeCell ref="T502:V502"/>
    <mergeCell ref="T509:W509"/>
    <mergeCell ref="T511:W511"/>
    <mergeCell ref="T512:W512"/>
    <mergeCell ref="T514:W514"/>
    <mergeCell ref="T515:W515"/>
    <mergeCell ref="T516:W516"/>
    <mergeCell ref="Y525:AB525"/>
    <mergeCell ref="Y526:AB526"/>
    <mergeCell ref="Y527:AB527"/>
    <mergeCell ref="Y528:AB528"/>
    <mergeCell ref="Y532:AB532"/>
    <mergeCell ref="Y515:AB515"/>
    <mergeCell ref="Y516:AB516"/>
    <mergeCell ref="Y520:AB520"/>
    <mergeCell ref="Y521:AB521"/>
    <mergeCell ref="Y522:AB522"/>
    <mergeCell ref="Y523:AB523"/>
    <mergeCell ref="Y524:AB524"/>
    <mergeCell ref="T542:V542"/>
    <mergeCell ref="Y542:AB542"/>
    <mergeCell ref="T543:V543"/>
    <mergeCell ref="Y543:AB543"/>
    <mergeCell ref="Y544:AB544"/>
    <mergeCell ref="Y546:AB546"/>
    <mergeCell ref="Y547:AB547"/>
    <mergeCell ref="Y548:AB548"/>
    <mergeCell ref="Y549:AB549"/>
    <mergeCell ref="Y550:AB550"/>
    <mergeCell ref="T524:W524"/>
    <mergeCell ref="T525:W525"/>
    <mergeCell ref="T526:W526"/>
    <mergeCell ref="T527:W527"/>
    <mergeCell ref="T528:W528"/>
    <mergeCell ref="X532:X543"/>
    <mergeCell ref="AC532:AC543"/>
    <mergeCell ref="T517:W517"/>
    <mergeCell ref="T518:W518"/>
    <mergeCell ref="T519:W519"/>
    <mergeCell ref="T520:W520"/>
    <mergeCell ref="T521:W521"/>
    <mergeCell ref="T522:W522"/>
    <mergeCell ref="T523:W523"/>
    <mergeCell ref="T532:W532"/>
    <mergeCell ref="C533:C535"/>
    <mergeCell ref="T533:W533"/>
    <mergeCell ref="T534:W534"/>
    <mergeCell ref="Y533:AB533"/>
    <mergeCell ref="Y534:AB534"/>
    <mergeCell ref="Y535:AB535"/>
    <mergeCell ref="Y536:AB536"/>
    <mergeCell ref="Y539:AB539"/>
    <mergeCell ref="Y540:AB540"/>
    <mergeCell ref="T537:W537"/>
    <mergeCell ref="Y537:AB537"/>
    <mergeCell ref="C538:C540"/>
    <mergeCell ref="T538:W538"/>
    <mergeCell ref="Y538:AB538"/>
    <mergeCell ref="T539:V539"/>
    <mergeCell ref="T540:V540"/>
    <mergeCell ref="T541:V541"/>
    <mergeCell ref="Y541:AB541"/>
    <mergeCell ref="E545:G545"/>
    <mergeCell ref="J545:L545"/>
    <mergeCell ref="O545:Q545"/>
    <mergeCell ref="T545:V545"/>
    <mergeCell ref="Y545:AB545"/>
    <mergeCell ref="J413:M413"/>
    <mergeCell ref="O413:R413"/>
    <mergeCell ref="E416:H416"/>
    <mergeCell ref="J416:M416"/>
    <mergeCell ref="C417:C419"/>
    <mergeCell ref="E417:H417"/>
    <mergeCell ref="E418:G418"/>
    <mergeCell ref="T422:V422"/>
    <mergeCell ref="Y422:AA422"/>
    <mergeCell ref="I411:I422"/>
    <mergeCell ref="J411:M411"/>
    <mergeCell ref="N411:N422"/>
    <mergeCell ref="S411:S422"/>
    <mergeCell ref="X411:X422"/>
    <mergeCell ref="AC411:AC422"/>
    <mergeCell ref="J412:M412"/>
    <mergeCell ref="Y417:AB417"/>
    <mergeCell ref="O418:Q418"/>
    <mergeCell ref="T418:V418"/>
    <mergeCell ref="Y418:AA418"/>
    <mergeCell ref="O419:Q419"/>
    <mergeCell ref="T419:V419"/>
    <mergeCell ref="Y419:AA419"/>
    <mergeCell ref="O420:Q420"/>
    <mergeCell ref="T420:V420"/>
    <mergeCell ref="Y420:AA420"/>
    <mergeCell ref="O421:Q421"/>
    <mergeCell ref="T421:V421"/>
    <mergeCell ref="Y421:AA421"/>
    <mergeCell ref="O422:Q422"/>
    <mergeCell ref="E422:G422"/>
    <mergeCell ref="E424:G424"/>
    <mergeCell ref="J424:L424"/>
    <mergeCell ref="O424:Q424"/>
    <mergeCell ref="T424:V424"/>
    <mergeCell ref="Y424:AA424"/>
    <mergeCell ref="J435:M435"/>
    <mergeCell ref="O435:R435"/>
    <mergeCell ref="E431:G431"/>
    <mergeCell ref="J431:L431"/>
    <mergeCell ref="O431:Q431"/>
    <mergeCell ref="T431:V431"/>
    <mergeCell ref="Y431:AA431"/>
    <mergeCell ref="E434:AG434"/>
    <mergeCell ref="E435:H435"/>
    <mergeCell ref="AD435:AG435"/>
    <mergeCell ref="O437:R437"/>
    <mergeCell ref="K438:L438"/>
    <mergeCell ref="O440:R440"/>
    <mergeCell ref="O441:R441"/>
    <mergeCell ref="T435:W435"/>
    <mergeCell ref="Y435:AB435"/>
    <mergeCell ref="C436:C438"/>
    <mergeCell ref="E436:H436"/>
    <mergeCell ref="O436:R436"/>
    <mergeCell ref="E437:H437"/>
    <mergeCell ref="Y437:AB437"/>
    <mergeCell ref="Y438:AB438"/>
    <mergeCell ref="J441:M441"/>
    <mergeCell ref="J442:L442"/>
    <mergeCell ref="O442:Q442"/>
    <mergeCell ref="O443:Q443"/>
    <mergeCell ref="O444:Q444"/>
    <mergeCell ref="O445:Q445"/>
    <mergeCell ref="O446:Q446"/>
    <mergeCell ref="Y441:AB441"/>
    <mergeCell ref="Y442:AB442"/>
    <mergeCell ref="Y443:AB443"/>
    <mergeCell ref="Y444:AB444"/>
    <mergeCell ref="Y445:AB445"/>
    <mergeCell ref="Y446:AB446"/>
    <mergeCell ref="AD442:AG442"/>
    <mergeCell ref="AD443:AG443"/>
    <mergeCell ref="AD444:AG444"/>
    <mergeCell ref="AD445:AG445"/>
    <mergeCell ref="AD446:AG446"/>
    <mergeCell ref="Y436:AB436"/>
    <mergeCell ref="AD436:AG436"/>
    <mergeCell ref="AD437:AG437"/>
    <mergeCell ref="AD438:AG438"/>
    <mergeCell ref="Y440:AB440"/>
    <mergeCell ref="AD440:AG440"/>
    <mergeCell ref="AD441:AG441"/>
    <mergeCell ref="T436:W436"/>
    <mergeCell ref="T437:W437"/>
    <mergeCell ref="T440:W440"/>
    <mergeCell ref="T441:W441"/>
    <mergeCell ref="T442:V442"/>
    <mergeCell ref="T443:V443"/>
    <mergeCell ref="T444:V444"/>
    <mergeCell ref="T445:V445"/>
    <mergeCell ref="T446:V446"/>
    <mergeCell ref="T448:V448"/>
    <mergeCell ref="X450:AA450"/>
    <mergeCell ref="AC450:AF450"/>
    <mergeCell ref="X451:AA451"/>
    <mergeCell ref="AC451:AF451"/>
    <mergeCell ref="AC452:AF452"/>
    <mergeCell ref="AC453:AF453"/>
    <mergeCell ref="Y454:AB454"/>
    <mergeCell ref="AC454:AF454"/>
    <mergeCell ref="T455:V455"/>
    <mergeCell ref="Y455:AB455"/>
    <mergeCell ref="AC455:AF455"/>
    <mergeCell ref="Y459:AB459"/>
    <mergeCell ref="Y460:AB460"/>
    <mergeCell ref="T460:W460"/>
    <mergeCell ref="T461:W461"/>
    <mergeCell ref="AD460:AG460"/>
    <mergeCell ref="AD461:AG461"/>
    <mergeCell ref="Y461:AB461"/>
    <mergeCell ref="Y462:AB462"/>
    <mergeCell ref="J436:M436"/>
    <mergeCell ref="J437:M437"/>
    <mergeCell ref="C439:C443"/>
    <mergeCell ref="E440:H440"/>
    <mergeCell ref="J440:M440"/>
    <mergeCell ref="E441:H441"/>
    <mergeCell ref="E442:G442"/>
    <mergeCell ref="E446:G446"/>
    <mergeCell ref="E448:G448"/>
    <mergeCell ref="J448:L448"/>
    <mergeCell ref="O448:Q448"/>
    <mergeCell ref="E443:G443"/>
    <mergeCell ref="J443:L443"/>
    <mergeCell ref="E444:G444"/>
    <mergeCell ref="J444:M444"/>
    <mergeCell ref="E445:G445"/>
    <mergeCell ref="J445:M445"/>
    <mergeCell ref="J446:M446"/>
    <mergeCell ref="J459:M459"/>
    <mergeCell ref="O459:R459"/>
    <mergeCell ref="E459:H459"/>
    <mergeCell ref="C460:C462"/>
    <mergeCell ref="E460:H460"/>
    <mergeCell ref="E461:H461"/>
    <mergeCell ref="J460:M460"/>
    <mergeCell ref="O460:R460"/>
    <mergeCell ref="J461:M461"/>
    <mergeCell ref="O461:R461"/>
    <mergeCell ref="T464:W464"/>
    <mergeCell ref="Y464:AB464"/>
    <mergeCell ref="U462:V462"/>
    <mergeCell ref="T465:W465"/>
    <mergeCell ref="AD464:AG464"/>
    <mergeCell ref="AD465:AG465"/>
    <mergeCell ref="Y465:AB465"/>
    <mergeCell ref="Y466:AB466"/>
    <mergeCell ref="T466:V466"/>
    <mergeCell ref="T467:V467"/>
    <mergeCell ref="AD466:AG466"/>
    <mergeCell ref="AD467:AG467"/>
    <mergeCell ref="Y467:AB467"/>
    <mergeCell ref="Y468:AB468"/>
    <mergeCell ref="AD462:AG462"/>
    <mergeCell ref="Y463:AB463"/>
    <mergeCell ref="AD463:AG463"/>
    <mergeCell ref="T468:V468"/>
    <mergeCell ref="T469:V469"/>
    <mergeCell ref="T472:V472"/>
    <mergeCell ref="T479:V479"/>
    <mergeCell ref="T482:W482"/>
    <mergeCell ref="T457:W457"/>
    <mergeCell ref="Y457:AB457"/>
    <mergeCell ref="T459:W459"/>
    <mergeCell ref="X459:X470"/>
    <mergeCell ref="AC459:AC470"/>
    <mergeCell ref="AD459:AG459"/>
    <mergeCell ref="T470:V470"/>
    <mergeCell ref="AD470:AG470"/>
    <mergeCell ref="Y476:AB476"/>
    <mergeCell ref="Y477:AB477"/>
    <mergeCell ref="Y478:AB478"/>
    <mergeCell ref="Y479:AB479"/>
    <mergeCell ref="Y482:AB482"/>
    <mergeCell ref="Y469:AB469"/>
    <mergeCell ref="Y470:AB470"/>
    <mergeCell ref="Y471:AB471"/>
    <mergeCell ref="Y472:AB472"/>
    <mergeCell ref="Y473:AB473"/>
    <mergeCell ref="Y474:AB474"/>
    <mergeCell ref="Y475:AB475"/>
    <mergeCell ref="AD468:AG468"/>
    <mergeCell ref="AD469:AG469"/>
    <mergeCell ref="AD471:AG471"/>
    <mergeCell ref="AD472:AG472"/>
    <mergeCell ref="AD473:AG473"/>
    <mergeCell ref="AD474:AG474"/>
    <mergeCell ref="AD475:AG475"/>
    <mergeCell ref="AD476:AG476"/>
    <mergeCell ref="AD477:AG477"/>
    <mergeCell ref="AD478:AG478"/>
    <mergeCell ref="AD479:AG479"/>
    <mergeCell ref="AD482:AG482"/>
    <mergeCell ref="AD483:AG483"/>
    <mergeCell ref="AD484:AG484"/>
    <mergeCell ref="J343:M343"/>
    <mergeCell ref="J346:M346"/>
    <mergeCell ref="J347:M347"/>
    <mergeCell ref="J348:L348"/>
    <mergeCell ref="J349:L349"/>
    <mergeCell ref="J350:L350"/>
    <mergeCell ref="J351:L351"/>
    <mergeCell ref="J352:L352"/>
    <mergeCell ref="J354:L354"/>
    <mergeCell ref="O361:Q361"/>
    <mergeCell ref="T361:V361"/>
    <mergeCell ref="Y361:AA361"/>
    <mergeCell ref="AD361:AF361"/>
    <mergeCell ref="E364:AG364"/>
    <mergeCell ref="AD367:AG367"/>
    <mergeCell ref="AD368:AG368"/>
    <mergeCell ref="E365:H365"/>
    <mergeCell ref="J365:M365"/>
    <mergeCell ref="O365:R365"/>
    <mergeCell ref="T365:W365"/>
    <mergeCell ref="Y365:AB365"/>
    <mergeCell ref="AD365:AG365"/>
    <mergeCell ref="AD366:AG366"/>
    <mergeCell ref="E372:G372"/>
    <mergeCell ref="J372:L372"/>
    <mergeCell ref="E373:G373"/>
    <mergeCell ref="J373:L373"/>
    <mergeCell ref="E374:G374"/>
    <mergeCell ref="J374:L374"/>
    <mergeCell ref="E375:G375"/>
    <mergeCell ref="J375:L375"/>
    <mergeCell ref="E376:G376"/>
    <mergeCell ref="J376:L376"/>
    <mergeCell ref="J366:M366"/>
    <mergeCell ref="E367:H367"/>
    <mergeCell ref="J367:M367"/>
    <mergeCell ref="F368:G368"/>
    <mergeCell ref="E370:H370"/>
    <mergeCell ref="C371:C373"/>
    <mergeCell ref="E371:H371"/>
    <mergeCell ref="J323:M323"/>
    <mergeCell ref="E324:G324"/>
    <mergeCell ref="J324:L324"/>
    <mergeCell ref="E317:H317"/>
    <mergeCell ref="C318:C320"/>
    <mergeCell ref="E318:H318"/>
    <mergeCell ref="E319:H319"/>
    <mergeCell ref="K320:L320"/>
    <mergeCell ref="C321:C325"/>
    <mergeCell ref="J322:M322"/>
    <mergeCell ref="E325:G325"/>
    <mergeCell ref="J325:L325"/>
    <mergeCell ref="E326:G326"/>
    <mergeCell ref="J326:L326"/>
    <mergeCell ref="E327:G327"/>
    <mergeCell ref="J327:L327"/>
    <mergeCell ref="J328:L328"/>
    <mergeCell ref="E341:H341"/>
    <mergeCell ref="E342:H342"/>
    <mergeCell ref="E328:G328"/>
    <mergeCell ref="E330:G330"/>
    <mergeCell ref="J330:L330"/>
    <mergeCell ref="E337:G337"/>
    <mergeCell ref="J337:L337"/>
    <mergeCell ref="J341:M341"/>
    <mergeCell ref="J342:M342"/>
    <mergeCell ref="C342:C343"/>
    <mergeCell ref="E343:H343"/>
    <mergeCell ref="C344:C349"/>
    <mergeCell ref="E346:H346"/>
    <mergeCell ref="E347:H347"/>
    <mergeCell ref="E348:G348"/>
    <mergeCell ref="E349:G349"/>
    <mergeCell ref="J370:M370"/>
    <mergeCell ref="J371:M371"/>
    <mergeCell ref="Y373:AB373"/>
    <mergeCell ref="O374:Q374"/>
    <mergeCell ref="T374:V374"/>
    <mergeCell ref="Y374:AB374"/>
    <mergeCell ref="O375:Q375"/>
    <mergeCell ref="T375:V375"/>
    <mergeCell ref="Y375:AB375"/>
    <mergeCell ref="O376:Q376"/>
    <mergeCell ref="T376:V376"/>
    <mergeCell ref="Y376:AB376"/>
    <mergeCell ref="N365:N376"/>
    <mergeCell ref="S365:S376"/>
    <mergeCell ref="X365:X376"/>
    <mergeCell ref="AC365:AC376"/>
    <mergeCell ref="Y366:AB366"/>
    <mergeCell ref="Y367:AB367"/>
    <mergeCell ref="Y368:AB368"/>
    <mergeCell ref="T366:W366"/>
    <mergeCell ref="T367:W367"/>
    <mergeCell ref="O367:R367"/>
    <mergeCell ref="P368:Q368"/>
    <mergeCell ref="O366:R366"/>
    <mergeCell ref="O370:R370"/>
    <mergeCell ref="T370:W370"/>
    <mergeCell ref="Y370:AB370"/>
    <mergeCell ref="AD370:AG370"/>
    <mergeCell ref="O371:R371"/>
    <mergeCell ref="T371:W371"/>
    <mergeCell ref="AD371:AG371"/>
    <mergeCell ref="Y371:AB371"/>
    <mergeCell ref="O372:Q372"/>
    <mergeCell ref="T372:V372"/>
    <mergeCell ref="Y372:AB372"/>
    <mergeCell ref="AD372:AG372"/>
    <mergeCell ref="O373:Q373"/>
    <mergeCell ref="T373:V373"/>
    <mergeCell ref="AD373:AG373"/>
    <mergeCell ref="AD374:AG374"/>
    <mergeCell ref="AD375:AG375"/>
    <mergeCell ref="AD376:AG376"/>
    <mergeCell ref="E390:H390"/>
    <mergeCell ref="J390:M390"/>
    <mergeCell ref="O390:R390"/>
    <mergeCell ref="U391:V391"/>
    <mergeCell ref="E385:G385"/>
    <mergeCell ref="J385:L385"/>
    <mergeCell ref="O385:Q385"/>
    <mergeCell ref="T385:V385"/>
    <mergeCell ref="J388:M388"/>
    <mergeCell ref="O388:R388"/>
    <mergeCell ref="C389:C391"/>
    <mergeCell ref="C366:C368"/>
    <mergeCell ref="E366:H366"/>
    <mergeCell ref="E378:G378"/>
    <mergeCell ref="J378:L378"/>
    <mergeCell ref="O378:Q378"/>
    <mergeCell ref="T378:V378"/>
    <mergeCell ref="E350:G350"/>
    <mergeCell ref="E351:G351"/>
    <mergeCell ref="E352:G352"/>
    <mergeCell ref="E354:G354"/>
    <mergeCell ref="E361:G361"/>
    <mergeCell ref="J361:L361"/>
    <mergeCell ref="I365:I376"/>
    <mergeCell ref="T388:W388"/>
    <mergeCell ref="Y388:AB388"/>
    <mergeCell ref="AD388:AG388"/>
    <mergeCell ref="E388:H388"/>
    <mergeCell ref="E389:H389"/>
    <mergeCell ref="T389:W389"/>
    <mergeCell ref="Y389:AB389"/>
    <mergeCell ref="AD389:AG389"/>
    <mergeCell ref="T390:W390"/>
    <mergeCell ref="Y390:AB390"/>
    <mergeCell ref="AD390:AG390"/>
    <mergeCell ref="AD391:AG391"/>
    <mergeCell ref="J318:M318"/>
    <mergeCell ref="J319:M319"/>
    <mergeCell ref="E303:G303"/>
    <mergeCell ref="E304:G304"/>
    <mergeCell ref="E305:G305"/>
    <mergeCell ref="E307:G307"/>
    <mergeCell ref="E314:G314"/>
    <mergeCell ref="J314:L314"/>
    <mergeCell ref="J317:M317"/>
    <mergeCell ref="T318:W318"/>
    <mergeCell ref="T319:W319"/>
    <mergeCell ref="U320:V320"/>
    <mergeCell ref="T313:W313"/>
    <mergeCell ref="T314:W314"/>
    <mergeCell ref="T315:W315"/>
    <mergeCell ref="O317:R317"/>
    <mergeCell ref="T317:W317"/>
    <mergeCell ref="O318:R318"/>
    <mergeCell ref="O319:R319"/>
    <mergeCell ref="E276:H276"/>
    <mergeCell ref="E277:H277"/>
    <mergeCell ref="E280:G280"/>
    <mergeCell ref="E281:G281"/>
    <mergeCell ref="J282:L282"/>
    <mergeCell ref="E268:G268"/>
    <mergeCell ref="E271:H271"/>
    <mergeCell ref="I271:I282"/>
    <mergeCell ref="C272:C274"/>
    <mergeCell ref="E272:H272"/>
    <mergeCell ref="E273:H273"/>
    <mergeCell ref="C277:C279"/>
    <mergeCell ref="J295:M295"/>
    <mergeCell ref="E296:H296"/>
    <mergeCell ref="J296:M296"/>
    <mergeCell ref="E282:G282"/>
    <mergeCell ref="E284:G284"/>
    <mergeCell ref="J284:L284"/>
    <mergeCell ref="E291:G291"/>
    <mergeCell ref="J291:L291"/>
    <mergeCell ref="C295:C297"/>
    <mergeCell ref="F297:G297"/>
    <mergeCell ref="E294:H294"/>
    <mergeCell ref="E295:H295"/>
    <mergeCell ref="C298:C302"/>
    <mergeCell ref="E299:H299"/>
    <mergeCell ref="E300:H300"/>
    <mergeCell ref="E301:G301"/>
    <mergeCell ref="E302:G302"/>
    <mergeCell ref="E322:H322"/>
    <mergeCell ref="E323:H323"/>
    <mergeCell ref="J294:M294"/>
    <mergeCell ref="J299:M299"/>
    <mergeCell ref="J300:M300"/>
    <mergeCell ref="J301:L301"/>
    <mergeCell ref="J302:L302"/>
    <mergeCell ref="J303:L303"/>
    <mergeCell ref="J304:L304"/>
    <mergeCell ref="J305:L305"/>
    <mergeCell ref="J307:L307"/>
    <mergeCell ref="O307:Q307"/>
    <mergeCell ref="T309:W309"/>
    <mergeCell ref="X309:AA309"/>
    <mergeCell ref="T310:W310"/>
    <mergeCell ref="X310:AA310"/>
    <mergeCell ref="AC309:AF309"/>
    <mergeCell ref="AC310:AF310"/>
    <mergeCell ref="AC311:AF311"/>
    <mergeCell ref="AC312:AF312"/>
    <mergeCell ref="Y313:AB313"/>
    <mergeCell ref="AC313:AF313"/>
    <mergeCell ref="O314:Q314"/>
    <mergeCell ref="AD318:AG318"/>
    <mergeCell ref="AD319:AG319"/>
    <mergeCell ref="Y320:AB320"/>
    <mergeCell ref="AD320:AG320"/>
    <mergeCell ref="Y314:AB314"/>
    <mergeCell ref="AC314:AF314"/>
    <mergeCell ref="Y315:AB315"/>
    <mergeCell ref="Y317:AB317"/>
    <mergeCell ref="AD317:AG317"/>
    <mergeCell ref="Y318:AB318"/>
    <mergeCell ref="Y319:AB319"/>
    <mergeCell ref="AD324:AG324"/>
    <mergeCell ref="AD325:AG325"/>
    <mergeCell ref="AD341:AG341"/>
    <mergeCell ref="AD342:AG342"/>
    <mergeCell ref="T338:V338"/>
    <mergeCell ref="T339:W339"/>
    <mergeCell ref="Y339:AB339"/>
    <mergeCell ref="T341:W341"/>
    <mergeCell ref="Y341:AB341"/>
    <mergeCell ref="T342:W342"/>
    <mergeCell ref="Y342:AB342"/>
    <mergeCell ref="T343:W343"/>
    <mergeCell ref="Y343:AB343"/>
    <mergeCell ref="AD343:AG343"/>
    <mergeCell ref="Z344:AA344"/>
    <mergeCell ref="T346:W346"/>
    <mergeCell ref="AD346:AG346"/>
    <mergeCell ref="AD347:AG347"/>
    <mergeCell ref="Y349:AA349"/>
    <mergeCell ref="Y350:AA350"/>
    <mergeCell ref="Y351:AA351"/>
    <mergeCell ref="AD351:AF351"/>
    <mergeCell ref="Y352:AA352"/>
    <mergeCell ref="AD352:AF352"/>
    <mergeCell ref="Y354:AA354"/>
    <mergeCell ref="AD354:AF354"/>
    <mergeCell ref="O350:Q350"/>
    <mergeCell ref="O351:Q351"/>
    <mergeCell ref="T351:V351"/>
    <mergeCell ref="O352:Q352"/>
    <mergeCell ref="T352:V352"/>
    <mergeCell ref="O354:Q354"/>
    <mergeCell ref="T354:V354"/>
    <mergeCell ref="Y346:AB346"/>
    <mergeCell ref="Y347:AB347"/>
    <mergeCell ref="O349:Q349"/>
    <mergeCell ref="T349:V349"/>
    <mergeCell ref="AD349:AF349"/>
    <mergeCell ref="T350:V350"/>
    <mergeCell ref="AD350:AF350"/>
    <mergeCell ref="Y393:AB393"/>
    <mergeCell ref="Y394:AB394"/>
    <mergeCell ref="Y391:AB391"/>
    <mergeCell ref="Y392:AB392"/>
    <mergeCell ref="AD392:AG392"/>
    <mergeCell ref="AD393:AG393"/>
    <mergeCell ref="AD394:AG394"/>
    <mergeCell ref="AD395:AG395"/>
    <mergeCell ref="AD396:AG396"/>
    <mergeCell ref="O393:R393"/>
    <mergeCell ref="T393:W393"/>
    <mergeCell ref="T394:W394"/>
    <mergeCell ref="T395:V395"/>
    <mergeCell ref="J395:L395"/>
    <mergeCell ref="J396:L396"/>
    <mergeCell ref="O395:Q395"/>
    <mergeCell ref="O396:Q396"/>
    <mergeCell ref="E397:G397"/>
    <mergeCell ref="E398:G398"/>
    <mergeCell ref="E399:G399"/>
    <mergeCell ref="E393:H393"/>
    <mergeCell ref="J393:M393"/>
    <mergeCell ref="C394:C396"/>
    <mergeCell ref="E394:H394"/>
    <mergeCell ref="J394:M394"/>
    <mergeCell ref="E395:G395"/>
    <mergeCell ref="E396:G396"/>
    <mergeCell ref="AD397:AG397"/>
    <mergeCell ref="AD398:AG398"/>
    <mergeCell ref="AD399:AG399"/>
    <mergeCell ref="O389:R389"/>
    <mergeCell ref="O394:R394"/>
    <mergeCell ref="I388:I399"/>
    <mergeCell ref="N388:N399"/>
    <mergeCell ref="S388:S399"/>
    <mergeCell ref="X388:X399"/>
    <mergeCell ref="AC388:AC399"/>
    <mergeCell ref="J389:M389"/>
    <mergeCell ref="T396:V396"/>
    <mergeCell ref="AD401:AG401"/>
    <mergeCell ref="AD402:AG402"/>
    <mergeCell ref="Y404:AB404"/>
    <mergeCell ref="AD404:AG404"/>
    <mergeCell ref="Y405:AB405"/>
    <mergeCell ref="AD405:AG405"/>
    <mergeCell ref="Y406:AB406"/>
    <mergeCell ref="AD406:AG406"/>
    <mergeCell ref="Y407:AB407"/>
    <mergeCell ref="AD407:AG407"/>
    <mergeCell ref="T399:V399"/>
    <mergeCell ref="Y399:AB399"/>
    <mergeCell ref="Y400:AB400"/>
    <mergeCell ref="AD400:AG400"/>
    <mergeCell ref="T401:V401"/>
    <mergeCell ref="Y401:AB401"/>
    <mergeCell ref="Y402:AB402"/>
    <mergeCell ref="J398:L398"/>
    <mergeCell ref="O398:Q398"/>
    <mergeCell ref="J399:L399"/>
    <mergeCell ref="O399:Q399"/>
    <mergeCell ref="E401:G401"/>
    <mergeCell ref="J401:L401"/>
    <mergeCell ref="O401:Q401"/>
    <mergeCell ref="E408:G408"/>
    <mergeCell ref="J408:L408"/>
    <mergeCell ref="Y395:AB395"/>
    <mergeCell ref="Y396:AB396"/>
    <mergeCell ref="J397:L397"/>
    <mergeCell ref="O397:Q397"/>
    <mergeCell ref="T397:V397"/>
    <mergeCell ref="Y397:AB397"/>
    <mergeCell ref="T398:V398"/>
    <mergeCell ref="Y398:AB398"/>
    <mergeCell ref="Y403:AB403"/>
    <mergeCell ref="AD403:AG403"/>
    <mergeCell ref="O408:Q408"/>
    <mergeCell ref="T408:V408"/>
    <mergeCell ref="Y408:AB408"/>
    <mergeCell ref="AD408:AG408"/>
    <mergeCell ref="E411:H411"/>
    <mergeCell ref="C412:C414"/>
    <mergeCell ref="E412:H412"/>
    <mergeCell ref="E413:H413"/>
    <mergeCell ref="T411:W411"/>
    <mergeCell ref="Y411:AB411"/>
    <mergeCell ref="AD411:AG411"/>
    <mergeCell ref="O411:R411"/>
    <mergeCell ref="O412:R412"/>
    <mergeCell ref="T412:W412"/>
    <mergeCell ref="Y412:AB412"/>
    <mergeCell ref="AD412:AG412"/>
    <mergeCell ref="T413:W413"/>
    <mergeCell ref="Y413:AB413"/>
    <mergeCell ref="AD413:AG413"/>
    <mergeCell ref="AD414:AG414"/>
    <mergeCell ref="AD416:AG416"/>
    <mergeCell ref="K414:L414"/>
    <mergeCell ref="T416:W416"/>
    <mergeCell ref="O416:R416"/>
    <mergeCell ref="O417:R417"/>
    <mergeCell ref="Y416:AB416"/>
    <mergeCell ref="T417:W417"/>
    <mergeCell ref="AD417:AG417"/>
    <mergeCell ref="AD418:AG418"/>
    <mergeCell ref="AD419:AG419"/>
    <mergeCell ref="AD420:AG420"/>
    <mergeCell ref="AD421:AG421"/>
    <mergeCell ref="AD422:AG422"/>
    <mergeCell ref="J417:M417"/>
    <mergeCell ref="J418:L418"/>
    <mergeCell ref="E419:G419"/>
    <mergeCell ref="J419:L419"/>
    <mergeCell ref="E420:G420"/>
    <mergeCell ref="J420:L420"/>
    <mergeCell ref="E421:G421"/>
    <mergeCell ref="J421:L421"/>
    <mergeCell ref="J422:L422"/>
    <mergeCell ref="O517:Q517"/>
    <mergeCell ref="E518:G518"/>
    <mergeCell ref="J518:L518"/>
    <mergeCell ref="O518:Q518"/>
    <mergeCell ref="E505:G505"/>
    <mergeCell ref="E508:H508"/>
    <mergeCell ref="I508:I519"/>
    <mergeCell ref="N508:N519"/>
    <mergeCell ref="S508:S519"/>
    <mergeCell ref="C509:C511"/>
    <mergeCell ref="E509:H509"/>
    <mergeCell ref="O519:Q519"/>
    <mergeCell ref="E510:H510"/>
    <mergeCell ref="J510:M510"/>
    <mergeCell ref="E513:H513"/>
    <mergeCell ref="J513:M513"/>
    <mergeCell ref="C514:C516"/>
    <mergeCell ref="E514:H514"/>
    <mergeCell ref="E515:G515"/>
    <mergeCell ref="E516:G516"/>
    <mergeCell ref="J514:M514"/>
    <mergeCell ref="J515:L515"/>
    <mergeCell ref="O515:Q515"/>
    <mergeCell ref="J516:L516"/>
    <mergeCell ref="O516:Q516"/>
    <mergeCell ref="E517:G517"/>
    <mergeCell ref="J517:L517"/>
    <mergeCell ref="E519:G519"/>
    <mergeCell ref="J519:L519"/>
    <mergeCell ref="T589:V589"/>
    <mergeCell ref="T590:V590"/>
    <mergeCell ref="T599:V599"/>
    <mergeCell ref="T600:W600"/>
    <mergeCell ref="T580:W580"/>
    <mergeCell ref="T581:W581"/>
    <mergeCell ref="T584:W584"/>
    <mergeCell ref="T585:W585"/>
    <mergeCell ref="T586:V586"/>
    <mergeCell ref="T587:V587"/>
    <mergeCell ref="T588:V588"/>
    <mergeCell ref="J580:M580"/>
    <mergeCell ref="E581:H581"/>
    <mergeCell ref="J581:M581"/>
    <mergeCell ref="J584:M584"/>
    <mergeCell ref="J585:M585"/>
    <mergeCell ref="J586:L586"/>
    <mergeCell ref="J587:L587"/>
    <mergeCell ref="E579:H579"/>
    <mergeCell ref="E580:H580"/>
    <mergeCell ref="C583:C587"/>
    <mergeCell ref="E584:H584"/>
    <mergeCell ref="E585:H585"/>
    <mergeCell ref="E586:G586"/>
    <mergeCell ref="E587:G587"/>
    <mergeCell ref="T603:W603"/>
    <mergeCell ref="Y603:AB603"/>
    <mergeCell ref="E599:G599"/>
    <mergeCell ref="J599:L599"/>
    <mergeCell ref="O599:Q599"/>
    <mergeCell ref="E602:AG602"/>
    <mergeCell ref="E603:H603"/>
    <mergeCell ref="J603:M603"/>
    <mergeCell ref="O603:R603"/>
    <mergeCell ref="AD603:AG603"/>
    <mergeCell ref="J604:M604"/>
    <mergeCell ref="O604:R604"/>
    <mergeCell ref="E605:H605"/>
    <mergeCell ref="J605:M605"/>
    <mergeCell ref="AD609:AG609"/>
    <mergeCell ref="AD610:AG610"/>
    <mergeCell ref="AD611:AG611"/>
    <mergeCell ref="AD612:AG612"/>
    <mergeCell ref="T604:W604"/>
    <mergeCell ref="Y604:AB604"/>
    <mergeCell ref="AD604:AG604"/>
    <mergeCell ref="Y605:AB605"/>
    <mergeCell ref="AD605:AG605"/>
    <mergeCell ref="AD606:AG606"/>
    <mergeCell ref="AD608:AG608"/>
    <mergeCell ref="O605:R605"/>
    <mergeCell ref="T605:W605"/>
    <mergeCell ref="E604:H604"/>
    <mergeCell ref="E608:H608"/>
    <mergeCell ref="J608:M608"/>
    <mergeCell ref="O608:R608"/>
    <mergeCell ref="T608:W608"/>
    <mergeCell ref="Y608:AB608"/>
    <mergeCell ref="E609:H609"/>
    <mergeCell ref="J609:M609"/>
    <mergeCell ref="C604:C606"/>
    <mergeCell ref="E610:G610"/>
    <mergeCell ref="E611:G611"/>
    <mergeCell ref="E612:G612"/>
    <mergeCell ref="E613:G613"/>
    <mergeCell ref="J610:L610"/>
    <mergeCell ref="O610:Q610"/>
    <mergeCell ref="O609:R609"/>
    <mergeCell ref="T609:W609"/>
    <mergeCell ref="Y609:AB609"/>
    <mergeCell ref="Y610:AB610"/>
    <mergeCell ref="J611:L611"/>
    <mergeCell ref="O611:Q611"/>
    <mergeCell ref="T611:V611"/>
    <mergeCell ref="Y611:AB611"/>
    <mergeCell ref="J612:L612"/>
    <mergeCell ref="O612:Q612"/>
    <mergeCell ref="T612:V612"/>
    <mergeCell ref="Y612:AB612"/>
    <mergeCell ref="J613:L613"/>
    <mergeCell ref="O613:Q613"/>
    <mergeCell ref="O628:R628"/>
    <mergeCell ref="T628:W628"/>
    <mergeCell ref="Y628:AB628"/>
    <mergeCell ref="Z629:AA629"/>
    <mergeCell ref="E631:H631"/>
    <mergeCell ref="J631:M631"/>
    <mergeCell ref="O631:R631"/>
    <mergeCell ref="T631:W631"/>
    <mergeCell ref="C627:C629"/>
    <mergeCell ref="E632:H632"/>
    <mergeCell ref="J632:M632"/>
    <mergeCell ref="O632:R632"/>
    <mergeCell ref="Y631:AB631"/>
    <mergeCell ref="Y632:AB632"/>
    <mergeCell ref="J626:M626"/>
    <mergeCell ref="O626:R626"/>
    <mergeCell ref="T626:W626"/>
    <mergeCell ref="Y626:AB626"/>
    <mergeCell ref="E633:G633"/>
    <mergeCell ref="J633:L633"/>
    <mergeCell ref="T632:W632"/>
    <mergeCell ref="T633:V633"/>
    <mergeCell ref="O633:Q633"/>
    <mergeCell ref="E634:G634"/>
    <mergeCell ref="J634:L634"/>
    <mergeCell ref="O634:Q634"/>
    <mergeCell ref="Y633:AA633"/>
    <mergeCell ref="Y634:AA634"/>
    <mergeCell ref="E635:G635"/>
    <mergeCell ref="J635:L635"/>
    <mergeCell ref="T634:V634"/>
    <mergeCell ref="T635:V635"/>
    <mergeCell ref="O635:Q635"/>
    <mergeCell ref="E636:G636"/>
    <mergeCell ref="J636:L636"/>
    <mergeCell ref="O636:Q636"/>
    <mergeCell ref="Y635:AA635"/>
    <mergeCell ref="Y636:AA636"/>
    <mergeCell ref="Y639:AA639"/>
    <mergeCell ref="Y646:AA646"/>
    <mergeCell ref="T636:V636"/>
    <mergeCell ref="T637:V637"/>
    <mergeCell ref="T639:V639"/>
    <mergeCell ref="T646:V646"/>
    <mergeCell ref="E623:G623"/>
    <mergeCell ref="I626:I637"/>
    <mergeCell ref="N626:N637"/>
    <mergeCell ref="S626:S637"/>
    <mergeCell ref="X626:X637"/>
    <mergeCell ref="AC626:AC637"/>
    <mergeCell ref="O637:Q637"/>
    <mergeCell ref="Y637:AA637"/>
    <mergeCell ref="E637:G637"/>
    <mergeCell ref="J637:L637"/>
    <mergeCell ref="E639:G639"/>
    <mergeCell ref="J639:L639"/>
    <mergeCell ref="O639:Q639"/>
    <mergeCell ref="J646:L646"/>
    <mergeCell ref="O646:Q646"/>
    <mergeCell ref="E650:H650"/>
    <mergeCell ref="E651:H651"/>
    <mergeCell ref="Y658:AB658"/>
    <mergeCell ref="Y659:AB659"/>
    <mergeCell ref="Y660:AB660"/>
    <mergeCell ref="Y661:AB661"/>
    <mergeCell ref="Y663:AB663"/>
    <mergeCell ref="Y650:AB650"/>
    <mergeCell ref="Y651:AB651"/>
    <mergeCell ref="Y652:AB652"/>
    <mergeCell ref="Y653:AB653"/>
    <mergeCell ref="Y655:AB655"/>
    <mergeCell ref="Y656:AB656"/>
    <mergeCell ref="Y657:AB657"/>
    <mergeCell ref="Y673:AB673"/>
    <mergeCell ref="Y674:AB674"/>
    <mergeCell ref="T660:V660"/>
    <mergeCell ref="T661:V661"/>
    <mergeCell ref="T663:V663"/>
    <mergeCell ref="T670:V670"/>
    <mergeCell ref="Y670:AB670"/>
    <mergeCell ref="T673:W673"/>
    <mergeCell ref="T674:W674"/>
    <mergeCell ref="T679:W679"/>
    <mergeCell ref="T680:V680"/>
    <mergeCell ref="T696:W696"/>
    <mergeCell ref="T697:W697"/>
    <mergeCell ref="T698:W698"/>
    <mergeCell ref="T701:W701"/>
    <mergeCell ref="T702:W702"/>
    <mergeCell ref="T675:W675"/>
    <mergeCell ref="Y675:AB675"/>
    <mergeCell ref="U676:V676"/>
    <mergeCell ref="Y676:AB676"/>
    <mergeCell ref="T678:W678"/>
    <mergeCell ref="Y678:AB678"/>
    <mergeCell ref="Y679:AB679"/>
    <mergeCell ref="Y680:AB680"/>
    <mergeCell ref="Y681:AB681"/>
    <mergeCell ref="Y682:AB682"/>
    <mergeCell ref="Y683:AB683"/>
    <mergeCell ref="Y684:AB684"/>
    <mergeCell ref="Y686:AB686"/>
    <mergeCell ref="Y693:AB693"/>
    <mergeCell ref="Y702:AB702"/>
    <mergeCell ref="Y703:AB703"/>
    <mergeCell ref="Y704:AB704"/>
    <mergeCell ref="Y705:AB705"/>
    <mergeCell ref="Y706:AB706"/>
    <mergeCell ref="Y707:AB707"/>
    <mergeCell ref="Y696:AB696"/>
    <mergeCell ref="AC696:AC707"/>
    <mergeCell ref="Y697:AB697"/>
    <mergeCell ref="Y698:AB698"/>
    <mergeCell ref="Y699:AB699"/>
    <mergeCell ref="Y700:AB700"/>
    <mergeCell ref="Y701:AB701"/>
    <mergeCell ref="T682:V682"/>
    <mergeCell ref="T683:V683"/>
    <mergeCell ref="O678:R678"/>
    <mergeCell ref="O679:R679"/>
    <mergeCell ref="O680:Q680"/>
    <mergeCell ref="O681:Q681"/>
    <mergeCell ref="T681:V681"/>
    <mergeCell ref="O682:Q682"/>
    <mergeCell ref="O683:Q683"/>
    <mergeCell ref="O697:R697"/>
    <mergeCell ref="O698:R698"/>
    <mergeCell ref="O701:R701"/>
    <mergeCell ref="O702:R702"/>
    <mergeCell ref="O686:Q686"/>
    <mergeCell ref="T686:V686"/>
    <mergeCell ref="O693:Q693"/>
    <mergeCell ref="T693:V693"/>
    <mergeCell ref="O696:R696"/>
    <mergeCell ref="S696:S707"/>
    <mergeCell ref="X696:X707"/>
    <mergeCell ref="E702:H702"/>
    <mergeCell ref="E703:G703"/>
    <mergeCell ref="E686:G686"/>
    <mergeCell ref="E693:G693"/>
    <mergeCell ref="E696:H696"/>
    <mergeCell ref="E697:H697"/>
    <mergeCell ref="E698:H698"/>
    <mergeCell ref="F699:G699"/>
    <mergeCell ref="E701:H701"/>
    <mergeCell ref="E646:G646"/>
    <mergeCell ref="E647:G647"/>
    <mergeCell ref="J650:M650"/>
    <mergeCell ref="T650:W650"/>
    <mergeCell ref="C651:C653"/>
    <mergeCell ref="E652:H652"/>
    <mergeCell ref="O652:R652"/>
    <mergeCell ref="K653:L653"/>
    <mergeCell ref="J651:M651"/>
    <mergeCell ref="J652:M652"/>
    <mergeCell ref="E655:H655"/>
    <mergeCell ref="J655:M655"/>
    <mergeCell ref="E656:H656"/>
    <mergeCell ref="J656:M656"/>
    <mergeCell ref="J657:L657"/>
    <mergeCell ref="O650:R650"/>
    <mergeCell ref="O651:R651"/>
    <mergeCell ref="O655:R655"/>
    <mergeCell ref="O656:R656"/>
    <mergeCell ref="O657:Q657"/>
    <mergeCell ref="O658:Q658"/>
    <mergeCell ref="O659:Q659"/>
    <mergeCell ref="T651:W651"/>
    <mergeCell ref="T652:W652"/>
    <mergeCell ref="T655:W655"/>
    <mergeCell ref="T656:W656"/>
    <mergeCell ref="T657:V657"/>
    <mergeCell ref="T658:V658"/>
    <mergeCell ref="T659:V659"/>
    <mergeCell ref="E673:H673"/>
    <mergeCell ref="C674:C676"/>
    <mergeCell ref="E674:H674"/>
    <mergeCell ref="J674:M674"/>
    <mergeCell ref="E675:H675"/>
    <mergeCell ref="J675:M675"/>
    <mergeCell ref="O660:Q660"/>
    <mergeCell ref="O661:Q661"/>
    <mergeCell ref="O663:Q663"/>
    <mergeCell ref="O670:Q670"/>
    <mergeCell ref="O673:R673"/>
    <mergeCell ref="O674:R674"/>
    <mergeCell ref="O675:R675"/>
    <mergeCell ref="O684:Q684"/>
    <mergeCell ref="T684:V684"/>
    <mergeCell ref="J705:L705"/>
    <mergeCell ref="J706:L706"/>
    <mergeCell ref="J686:L686"/>
    <mergeCell ref="J693:L693"/>
    <mergeCell ref="I696:I707"/>
    <mergeCell ref="J696:M696"/>
    <mergeCell ref="N696:N707"/>
    <mergeCell ref="J697:M697"/>
    <mergeCell ref="J698:M698"/>
    <mergeCell ref="J707:L707"/>
    <mergeCell ref="E657:G657"/>
    <mergeCell ref="E658:G658"/>
    <mergeCell ref="E659:G659"/>
    <mergeCell ref="E660:G660"/>
    <mergeCell ref="E661:G661"/>
    <mergeCell ref="E663:G663"/>
    <mergeCell ref="E670:G670"/>
    <mergeCell ref="J658:L658"/>
    <mergeCell ref="J659:L659"/>
    <mergeCell ref="J660:L660"/>
    <mergeCell ref="J661:L661"/>
    <mergeCell ref="J663:L663"/>
    <mergeCell ref="J670:L670"/>
    <mergeCell ref="J673:M673"/>
    <mergeCell ref="E678:H678"/>
    <mergeCell ref="E679:H679"/>
    <mergeCell ref="E680:G680"/>
    <mergeCell ref="E681:G681"/>
    <mergeCell ref="E682:G682"/>
    <mergeCell ref="E683:G683"/>
    <mergeCell ref="E684:G684"/>
    <mergeCell ref="J678:M678"/>
    <mergeCell ref="J679:M679"/>
    <mergeCell ref="J680:L680"/>
    <mergeCell ref="J681:L681"/>
    <mergeCell ref="J682:L682"/>
    <mergeCell ref="J683:L683"/>
    <mergeCell ref="J684:L684"/>
    <mergeCell ref="J701:M701"/>
    <mergeCell ref="J702:M702"/>
    <mergeCell ref="O703:Q703"/>
    <mergeCell ref="T703:V703"/>
    <mergeCell ref="O716:Q716"/>
    <mergeCell ref="T716:V716"/>
    <mergeCell ref="C697:C699"/>
    <mergeCell ref="C702:C704"/>
    <mergeCell ref="E704:G704"/>
    <mergeCell ref="E705:G705"/>
    <mergeCell ref="E706:G706"/>
    <mergeCell ref="E707:G707"/>
    <mergeCell ref="E709:G709"/>
    <mergeCell ref="E716:G716"/>
    <mergeCell ref="E719:H719"/>
    <mergeCell ref="J719:M719"/>
    <mergeCell ref="O719:R719"/>
    <mergeCell ref="C720:C721"/>
    <mergeCell ref="J720:M720"/>
    <mergeCell ref="J721:M721"/>
    <mergeCell ref="J727:L727"/>
    <mergeCell ref="J728:L728"/>
    <mergeCell ref="J729:L729"/>
    <mergeCell ref="J730:L730"/>
    <mergeCell ref="J732:L732"/>
    <mergeCell ref="J739:L739"/>
    <mergeCell ref="E720:H720"/>
    <mergeCell ref="E721:H721"/>
    <mergeCell ref="F722:G722"/>
    <mergeCell ref="E724:H724"/>
    <mergeCell ref="J724:M724"/>
    <mergeCell ref="J725:M725"/>
    <mergeCell ref="J726:L726"/>
    <mergeCell ref="O720:R720"/>
    <mergeCell ref="O721:R721"/>
    <mergeCell ref="O724:R724"/>
    <mergeCell ref="O725:R725"/>
    <mergeCell ref="O726:Q726"/>
    <mergeCell ref="O727:Q727"/>
    <mergeCell ref="O728:Q728"/>
    <mergeCell ref="O729:Q729"/>
    <mergeCell ref="O730:Q730"/>
    <mergeCell ref="O732:Q732"/>
    <mergeCell ref="O739:Q739"/>
    <mergeCell ref="T739:V739"/>
    <mergeCell ref="O740:Q740"/>
    <mergeCell ref="E743:AG743"/>
    <mergeCell ref="C745:C746"/>
    <mergeCell ref="E745:H745"/>
    <mergeCell ref="E746:H746"/>
    <mergeCell ref="AD749:AG749"/>
    <mergeCell ref="AD750:AG750"/>
    <mergeCell ref="AD751:AF751"/>
    <mergeCell ref="AD752:AF752"/>
    <mergeCell ref="AD753:AF753"/>
    <mergeCell ref="AD754:AF754"/>
    <mergeCell ref="AD755:AF755"/>
    <mergeCell ref="AD757:AF757"/>
    <mergeCell ref="E744:H744"/>
    <mergeCell ref="J744:M744"/>
    <mergeCell ref="O744:R744"/>
    <mergeCell ref="Y744:AB744"/>
    <mergeCell ref="AD744:AG744"/>
    <mergeCell ref="AD745:AG745"/>
    <mergeCell ref="AD746:AG746"/>
    <mergeCell ref="T770:W770"/>
    <mergeCell ref="Y770:AB770"/>
    <mergeCell ref="T777:V777"/>
    <mergeCell ref="Y777:AA777"/>
    <mergeCell ref="AD777:AF777"/>
    <mergeCell ref="T778:V778"/>
    <mergeCell ref="Y778:AA778"/>
    <mergeCell ref="AD778:AF778"/>
    <mergeCell ref="T779:V779"/>
    <mergeCell ref="Y779:AA779"/>
    <mergeCell ref="Y781:AA781"/>
    <mergeCell ref="AD781:AF781"/>
    <mergeCell ref="T755:V755"/>
    <mergeCell ref="Y755:AA755"/>
    <mergeCell ref="T757:V757"/>
    <mergeCell ref="Y757:AA757"/>
    <mergeCell ref="Y764:AA764"/>
    <mergeCell ref="AD764:AF764"/>
    <mergeCell ref="AC768:AC779"/>
    <mergeCell ref="AD779:AF779"/>
    <mergeCell ref="J749:M749"/>
    <mergeCell ref="O749:R749"/>
    <mergeCell ref="J750:M750"/>
    <mergeCell ref="O750:R750"/>
    <mergeCell ref="J751:L751"/>
    <mergeCell ref="O751:Q751"/>
    <mergeCell ref="O752:Q752"/>
    <mergeCell ref="J752:L752"/>
    <mergeCell ref="J753:L753"/>
    <mergeCell ref="J754:L754"/>
    <mergeCell ref="J755:L755"/>
    <mergeCell ref="O755:Q755"/>
    <mergeCell ref="J757:L757"/>
    <mergeCell ref="O757:Q757"/>
    <mergeCell ref="T768:W768"/>
    <mergeCell ref="Y768:AB768"/>
    <mergeCell ref="AD769:AG769"/>
    <mergeCell ref="AD770:AG770"/>
    <mergeCell ref="AE771:AF771"/>
    <mergeCell ref="J764:L764"/>
    <mergeCell ref="O764:Q764"/>
    <mergeCell ref="T764:V764"/>
    <mergeCell ref="E767:M767"/>
    <mergeCell ref="N767:AG767"/>
    <mergeCell ref="O768:R768"/>
    <mergeCell ref="AD768:AG768"/>
    <mergeCell ref="J768:M768"/>
    <mergeCell ref="J769:M769"/>
    <mergeCell ref="O769:R769"/>
    <mergeCell ref="J770:M770"/>
    <mergeCell ref="O770:R770"/>
    <mergeCell ref="K771:L771"/>
    <mergeCell ref="P771:Q771"/>
    <mergeCell ref="Y773:AB773"/>
    <mergeCell ref="Y774:AB774"/>
    <mergeCell ref="Y775:AA775"/>
    <mergeCell ref="AD775:AF775"/>
    <mergeCell ref="Y776:AA776"/>
    <mergeCell ref="AD776:AF776"/>
    <mergeCell ref="J773:M773"/>
    <mergeCell ref="O773:R773"/>
    <mergeCell ref="T773:W773"/>
    <mergeCell ref="AD773:AG773"/>
    <mergeCell ref="O774:R774"/>
    <mergeCell ref="T774:W774"/>
    <mergeCell ref="AD774:AG774"/>
    <mergeCell ref="E822:H822"/>
    <mergeCell ref="E823:G823"/>
    <mergeCell ref="J823:L823"/>
    <mergeCell ref="T823:V823"/>
    <mergeCell ref="AD823:AF823"/>
    <mergeCell ref="J824:L824"/>
    <mergeCell ref="T824:V824"/>
    <mergeCell ref="AD824:AF824"/>
    <mergeCell ref="O823:Q823"/>
    <mergeCell ref="O824:Q824"/>
    <mergeCell ref="J825:L825"/>
    <mergeCell ref="O825:Q825"/>
    <mergeCell ref="T825:V825"/>
    <mergeCell ref="O826:Q826"/>
    <mergeCell ref="T826:V826"/>
    <mergeCell ref="Y827:AA827"/>
    <mergeCell ref="Y829:AA829"/>
    <mergeCell ref="AD829:AF829"/>
    <mergeCell ref="Y823:AA823"/>
    <mergeCell ref="Y824:AA824"/>
    <mergeCell ref="Y825:AA825"/>
    <mergeCell ref="AD825:AF825"/>
    <mergeCell ref="Y826:AA826"/>
    <mergeCell ref="AD826:AF826"/>
    <mergeCell ref="AD827:AF827"/>
    <mergeCell ref="J826:L826"/>
    <mergeCell ref="J827:L827"/>
    <mergeCell ref="O827:Q827"/>
    <mergeCell ref="T827:V827"/>
    <mergeCell ref="J829:L829"/>
    <mergeCell ref="O829:Q829"/>
    <mergeCell ref="T829:V829"/>
    <mergeCell ref="J840:M840"/>
    <mergeCell ref="O840:R840"/>
    <mergeCell ref="T836:V836"/>
    <mergeCell ref="T840:W840"/>
    <mergeCell ref="J911:M911"/>
    <mergeCell ref="J912:M912"/>
    <mergeCell ref="J913:M913"/>
    <mergeCell ref="J916:M916"/>
    <mergeCell ref="J917:M917"/>
    <mergeCell ref="J918:L918"/>
    <mergeCell ref="J919:L919"/>
    <mergeCell ref="J920:L920"/>
    <mergeCell ref="J921:L921"/>
    <mergeCell ref="J922:L922"/>
    <mergeCell ref="J924:L924"/>
    <mergeCell ref="J931:L931"/>
    <mergeCell ref="O931:Q931"/>
    <mergeCell ref="T931:V931"/>
    <mergeCell ref="T932:V932"/>
    <mergeCell ref="E935:AG935"/>
    <mergeCell ref="J936:M936"/>
    <mergeCell ref="T936:W936"/>
    <mergeCell ref="AD936:AG936"/>
    <mergeCell ref="J937:M937"/>
    <mergeCell ref="T937:W937"/>
    <mergeCell ref="AD937:AG937"/>
    <mergeCell ref="Y941:AB941"/>
    <mergeCell ref="Y942:AB942"/>
    <mergeCell ref="Y943:AA943"/>
    <mergeCell ref="Y944:AA944"/>
    <mergeCell ref="Y945:AA945"/>
    <mergeCell ref="Y946:AA946"/>
    <mergeCell ref="Y947:AA947"/>
    <mergeCell ref="AD942:AG942"/>
    <mergeCell ref="AD943:AF943"/>
    <mergeCell ref="AD944:AF944"/>
    <mergeCell ref="AD945:AF945"/>
    <mergeCell ref="AD946:AF946"/>
    <mergeCell ref="AD947:AF947"/>
    <mergeCell ref="AD949:AF949"/>
    <mergeCell ref="Y936:AB936"/>
    <mergeCell ref="Y937:AB937"/>
    <mergeCell ref="Y938:AB938"/>
    <mergeCell ref="AD938:AG938"/>
    <mergeCell ref="Z939:AA939"/>
    <mergeCell ref="AE939:AF939"/>
    <mergeCell ref="AD941:AG941"/>
    <mergeCell ref="O943:Q943"/>
    <mergeCell ref="O944:Q944"/>
    <mergeCell ref="O936:R936"/>
    <mergeCell ref="O937:R937"/>
    <mergeCell ref="J938:M938"/>
    <mergeCell ref="O938:R938"/>
    <mergeCell ref="T938:W938"/>
    <mergeCell ref="O941:R941"/>
    <mergeCell ref="T941:W941"/>
    <mergeCell ref="J941:M941"/>
    <mergeCell ref="J942:M942"/>
    <mergeCell ref="O942:R942"/>
    <mergeCell ref="T942:W942"/>
    <mergeCell ref="J943:L943"/>
    <mergeCell ref="T943:V943"/>
    <mergeCell ref="T944:V944"/>
    <mergeCell ref="O946:Q946"/>
    <mergeCell ref="O947:Q947"/>
    <mergeCell ref="O949:Q949"/>
    <mergeCell ref="T949:V949"/>
    <mergeCell ref="Y949:AA949"/>
    <mergeCell ref="J944:L944"/>
    <mergeCell ref="J945:L945"/>
    <mergeCell ref="O945:Q945"/>
    <mergeCell ref="T945:V945"/>
    <mergeCell ref="J946:L946"/>
    <mergeCell ref="T946:V946"/>
    <mergeCell ref="T947:V947"/>
    <mergeCell ref="J947:L947"/>
    <mergeCell ref="J949:L949"/>
    <mergeCell ref="J956:L956"/>
    <mergeCell ref="O956:Q956"/>
    <mergeCell ref="T956:V956"/>
    <mergeCell ref="Y956:AA956"/>
    <mergeCell ref="AD956:AF956"/>
    <mergeCell ref="Y959:AB959"/>
    <mergeCell ref="Y960:AB960"/>
    <mergeCell ref="Y961:AB961"/>
    <mergeCell ref="AD961:AG961"/>
    <mergeCell ref="AD962:AG962"/>
    <mergeCell ref="Y964:AB964"/>
    <mergeCell ref="AD964:AG964"/>
    <mergeCell ref="J959:M959"/>
    <mergeCell ref="O959:R959"/>
    <mergeCell ref="T959:W959"/>
    <mergeCell ref="AD959:AG959"/>
    <mergeCell ref="O960:R960"/>
    <mergeCell ref="T960:W960"/>
    <mergeCell ref="AD960:AG960"/>
    <mergeCell ref="T887:W887"/>
    <mergeCell ref="T888:W888"/>
    <mergeCell ref="O889:R889"/>
    <mergeCell ref="T889:W889"/>
    <mergeCell ref="Y889:AB889"/>
    <mergeCell ref="T890:W890"/>
    <mergeCell ref="Y890:AB890"/>
    <mergeCell ref="O892:R892"/>
    <mergeCell ref="T892:W892"/>
    <mergeCell ref="Y892:AB892"/>
    <mergeCell ref="Y893:AB893"/>
    <mergeCell ref="AD895:AG895"/>
    <mergeCell ref="AD896:AG896"/>
    <mergeCell ref="AD897:AG897"/>
    <mergeCell ref="AD898:AG898"/>
    <mergeCell ref="AD887:AG887"/>
    <mergeCell ref="AD888:AG888"/>
    <mergeCell ref="AD889:AG889"/>
    <mergeCell ref="AD890:AG890"/>
    <mergeCell ref="AD892:AG892"/>
    <mergeCell ref="AD893:AG893"/>
    <mergeCell ref="AD894:AG894"/>
    <mergeCell ref="O888:R888"/>
    <mergeCell ref="O893:R893"/>
    <mergeCell ref="N887:N898"/>
    <mergeCell ref="S887:S898"/>
    <mergeCell ref="X887:X898"/>
    <mergeCell ref="Y887:AB887"/>
    <mergeCell ref="AC887:AC898"/>
    <mergeCell ref="Y888:AB888"/>
    <mergeCell ref="O898:Q898"/>
    <mergeCell ref="Y898:AB898"/>
    <mergeCell ref="T893:W893"/>
    <mergeCell ref="T894:W894"/>
    <mergeCell ref="O894:Q894"/>
    <mergeCell ref="O895:Q895"/>
    <mergeCell ref="Y894:AB894"/>
    <mergeCell ref="Y895:AB895"/>
    <mergeCell ref="T895:W895"/>
    <mergeCell ref="T896:W896"/>
    <mergeCell ref="O896:Q896"/>
    <mergeCell ref="O897:Q897"/>
    <mergeCell ref="O900:Q900"/>
    <mergeCell ref="Y896:AB896"/>
    <mergeCell ref="Y897:AB897"/>
    <mergeCell ref="T897:W897"/>
    <mergeCell ref="T898:W898"/>
    <mergeCell ref="J887:M887"/>
    <mergeCell ref="J888:M888"/>
    <mergeCell ref="J889:M889"/>
    <mergeCell ref="J892:M892"/>
    <mergeCell ref="J893:M893"/>
    <mergeCell ref="J894:L894"/>
    <mergeCell ref="J895:L895"/>
    <mergeCell ref="J896:L896"/>
    <mergeCell ref="J897:L897"/>
    <mergeCell ref="J898:L898"/>
    <mergeCell ref="J900:L900"/>
    <mergeCell ref="J907:L907"/>
    <mergeCell ref="O907:Q907"/>
    <mergeCell ref="O908:Q908"/>
    <mergeCell ref="O911:R911"/>
    <mergeCell ref="T911:W911"/>
    <mergeCell ref="T912:W912"/>
    <mergeCell ref="O913:R913"/>
    <mergeCell ref="T913:W913"/>
    <mergeCell ref="Y913:AB913"/>
    <mergeCell ref="Y914:AB914"/>
    <mergeCell ref="AD919:AG919"/>
    <mergeCell ref="AD920:AG920"/>
    <mergeCell ref="AD921:AG921"/>
    <mergeCell ref="AD922:AG922"/>
    <mergeCell ref="AD911:AG911"/>
    <mergeCell ref="AD912:AG912"/>
    <mergeCell ref="AD913:AG913"/>
    <mergeCell ref="AD914:AG914"/>
    <mergeCell ref="AD916:AG916"/>
    <mergeCell ref="AD917:AG917"/>
    <mergeCell ref="AD918:AG918"/>
    <mergeCell ref="O912:R912"/>
    <mergeCell ref="O917:R917"/>
    <mergeCell ref="Y920:AB920"/>
    <mergeCell ref="Y921:AB921"/>
    <mergeCell ref="T921:V921"/>
    <mergeCell ref="T922:V922"/>
    <mergeCell ref="O924:Q924"/>
    <mergeCell ref="T924:V924"/>
    <mergeCell ref="N911:N922"/>
    <mergeCell ref="S911:S922"/>
    <mergeCell ref="X911:X922"/>
    <mergeCell ref="Y911:AB911"/>
    <mergeCell ref="AC911:AC922"/>
    <mergeCell ref="Y912:AB912"/>
    <mergeCell ref="O922:Q922"/>
    <mergeCell ref="Y922:AB922"/>
    <mergeCell ref="O916:R916"/>
    <mergeCell ref="T916:W916"/>
    <mergeCell ref="Y916:AB916"/>
    <mergeCell ref="Y917:AB917"/>
    <mergeCell ref="T917:W917"/>
    <mergeCell ref="T918:V918"/>
    <mergeCell ref="O918:Q918"/>
    <mergeCell ref="O919:Q919"/>
    <mergeCell ref="Y918:AB918"/>
    <mergeCell ref="Y919:AB919"/>
    <mergeCell ref="T919:V919"/>
    <mergeCell ref="T920:V920"/>
    <mergeCell ref="O920:Q920"/>
    <mergeCell ref="O921:Q921"/>
    <mergeCell ref="O964:R964"/>
    <mergeCell ref="O965:R965"/>
    <mergeCell ref="Y965:AB965"/>
    <mergeCell ref="AD965:AG965"/>
    <mergeCell ref="J960:M960"/>
    <mergeCell ref="J961:M961"/>
    <mergeCell ref="O961:R961"/>
    <mergeCell ref="T961:W961"/>
    <mergeCell ref="J964:M964"/>
    <mergeCell ref="T964:W964"/>
    <mergeCell ref="J965:M965"/>
    <mergeCell ref="T965:W965"/>
    <mergeCell ref="O1051:Q1051"/>
    <mergeCell ref="T1051:V1051"/>
    <mergeCell ref="T1054:W1054"/>
    <mergeCell ref="T1055:W1055"/>
    <mergeCell ref="T1056:W1056"/>
    <mergeCell ref="T1059:W1059"/>
    <mergeCell ref="T1060:W1060"/>
    <mergeCell ref="O1039:Q1039"/>
    <mergeCell ref="O1040:Q1040"/>
    <mergeCell ref="O1041:Q1041"/>
    <mergeCell ref="O1042:Q1042"/>
    <mergeCell ref="T1042:V1042"/>
    <mergeCell ref="O1044:Q1044"/>
    <mergeCell ref="T1044:V1044"/>
    <mergeCell ref="J972:L972"/>
    <mergeCell ref="J979:L979"/>
    <mergeCell ref="O979:Q979"/>
    <mergeCell ref="J983:M983"/>
    <mergeCell ref="O983:R983"/>
    <mergeCell ref="J984:M984"/>
    <mergeCell ref="J985:M985"/>
    <mergeCell ref="O984:R984"/>
    <mergeCell ref="O985:R985"/>
    <mergeCell ref="E1027:G1027"/>
    <mergeCell ref="J1027:L1027"/>
    <mergeCell ref="O1027:Q1027"/>
    <mergeCell ref="T1027:V1027"/>
    <mergeCell ref="J1028:L1028"/>
    <mergeCell ref="E1031:H1031"/>
    <mergeCell ref="J1031:M1031"/>
    <mergeCell ref="O1031:R1031"/>
    <mergeCell ref="E1032:H1032"/>
    <mergeCell ref="O1032:R1032"/>
    <mergeCell ref="E1033:H1033"/>
    <mergeCell ref="O1033:R1033"/>
    <mergeCell ref="J1032:M1032"/>
    <mergeCell ref="J1033:M1033"/>
    <mergeCell ref="J1036:M1036"/>
    <mergeCell ref="O1036:R1036"/>
    <mergeCell ref="J1037:M1037"/>
    <mergeCell ref="O1037:R1037"/>
    <mergeCell ref="O1038:Q1038"/>
    <mergeCell ref="J1038:L1038"/>
    <mergeCell ref="J1039:L1039"/>
    <mergeCell ref="J1040:L1040"/>
    <mergeCell ref="J1041:L1041"/>
    <mergeCell ref="J1042:L1042"/>
    <mergeCell ref="J1044:L1044"/>
    <mergeCell ref="J1051:L1051"/>
    <mergeCell ref="J1061:L1061"/>
    <mergeCell ref="J1062:L1062"/>
    <mergeCell ref="O1062:Q1062"/>
    <mergeCell ref="T1062:V1062"/>
    <mergeCell ref="J1063:L1063"/>
    <mergeCell ref="T1063:V1063"/>
    <mergeCell ref="J1064:L1064"/>
    <mergeCell ref="T1064:V1064"/>
    <mergeCell ref="O1077:R1077"/>
    <mergeCell ref="T1077:W1077"/>
    <mergeCell ref="P1080:Q1080"/>
    <mergeCell ref="J1082:M1082"/>
    <mergeCell ref="T1083:W1083"/>
    <mergeCell ref="J1084:L1084"/>
    <mergeCell ref="O1084:Q1084"/>
    <mergeCell ref="T1084:V1084"/>
    <mergeCell ref="J1085:L1085"/>
    <mergeCell ref="O1085:Q1085"/>
    <mergeCell ref="T1085:V1085"/>
    <mergeCell ref="J1086:L1086"/>
    <mergeCell ref="O1086:Q1086"/>
    <mergeCell ref="T1086:V1086"/>
    <mergeCell ref="J1087:L1087"/>
    <mergeCell ref="O1087:Q1087"/>
    <mergeCell ref="T1087:V1087"/>
    <mergeCell ref="J1088:L1088"/>
    <mergeCell ref="O1088:Q1088"/>
    <mergeCell ref="T1088:V1088"/>
    <mergeCell ref="J1074:L1074"/>
    <mergeCell ref="O1074:Q1074"/>
    <mergeCell ref="I1077:I1088"/>
    <mergeCell ref="N1077:N1088"/>
    <mergeCell ref="S1077:S1088"/>
    <mergeCell ref="X1077:X1088"/>
    <mergeCell ref="O1079:R1079"/>
    <mergeCell ref="O1063:Q1063"/>
    <mergeCell ref="O1064:Q1064"/>
    <mergeCell ref="E1067:G1067"/>
    <mergeCell ref="J1067:L1067"/>
    <mergeCell ref="O1067:Q1067"/>
    <mergeCell ref="T1067:V1067"/>
    <mergeCell ref="E1074:G1074"/>
    <mergeCell ref="T1074:V1074"/>
    <mergeCell ref="J1078:M1078"/>
    <mergeCell ref="O1078:R1078"/>
    <mergeCell ref="J1077:M1077"/>
    <mergeCell ref="J1079:M1079"/>
    <mergeCell ref="J1097:L1097"/>
    <mergeCell ref="O1097:Q1097"/>
    <mergeCell ref="J1101:M1101"/>
    <mergeCell ref="O1101:R1101"/>
    <mergeCell ref="T1078:W1078"/>
    <mergeCell ref="T1079:W1079"/>
    <mergeCell ref="T1097:V1097"/>
    <mergeCell ref="T1098:V1098"/>
    <mergeCell ref="T1101:W1101"/>
    <mergeCell ref="O1082:R1082"/>
    <mergeCell ref="T1082:W1082"/>
    <mergeCell ref="J1083:M1083"/>
    <mergeCell ref="O1083:R1083"/>
    <mergeCell ref="E1086:G1086"/>
    <mergeCell ref="E1087:G1087"/>
    <mergeCell ref="E1088:G1088"/>
    <mergeCell ref="E1090:G1090"/>
    <mergeCell ref="J1090:L1090"/>
    <mergeCell ref="O1090:Q1090"/>
    <mergeCell ref="T1090:V1090"/>
    <mergeCell ref="E1077:H1077"/>
    <mergeCell ref="E1078:H1078"/>
    <mergeCell ref="E1079:H1079"/>
    <mergeCell ref="E1082:H1082"/>
    <mergeCell ref="E1083:H1083"/>
    <mergeCell ref="E1084:G1084"/>
    <mergeCell ref="E1085:G1085"/>
    <mergeCell ref="J1102:M1102"/>
    <mergeCell ref="O1102:R1102"/>
    <mergeCell ref="E1102:H1102"/>
    <mergeCell ref="E1103:H1103"/>
    <mergeCell ref="J1103:M1103"/>
    <mergeCell ref="O1103:R1103"/>
    <mergeCell ref="T1103:W1103"/>
    <mergeCell ref="U1104:V1104"/>
    <mergeCell ref="E1106:H1106"/>
    <mergeCell ref="J1106:M1106"/>
    <mergeCell ref="O1106:R1106"/>
    <mergeCell ref="T1106:W1106"/>
    <mergeCell ref="E1107:H1107"/>
    <mergeCell ref="J1107:M1107"/>
    <mergeCell ref="O1107:R1107"/>
    <mergeCell ref="T1107:W1107"/>
    <mergeCell ref="E1108:G1108"/>
    <mergeCell ref="J1108:L1108"/>
    <mergeCell ref="O1108:Q1108"/>
    <mergeCell ref="T1108:V1108"/>
    <mergeCell ref="E1109:G1109"/>
    <mergeCell ref="J1109:L1109"/>
    <mergeCell ref="O1109:Q1109"/>
    <mergeCell ref="T1109:V1109"/>
    <mergeCell ref="E1110:G1110"/>
    <mergeCell ref="J1110:L1110"/>
    <mergeCell ref="O1110:Q1110"/>
    <mergeCell ref="T1110:V1110"/>
    <mergeCell ref="O1111:Q1111"/>
    <mergeCell ref="T1111:V1111"/>
    <mergeCell ref="E1112:G1112"/>
    <mergeCell ref="J1112:L1112"/>
    <mergeCell ref="E1114:G1114"/>
    <mergeCell ref="J1114:L1114"/>
    <mergeCell ref="O1114:Q1114"/>
    <mergeCell ref="T1114:V1114"/>
    <mergeCell ref="O1112:Q1112"/>
    <mergeCell ref="T1112:V1112"/>
    <mergeCell ref="E1097:G1097"/>
    <mergeCell ref="I1101:I1112"/>
    <mergeCell ref="N1101:N1112"/>
    <mergeCell ref="S1101:S1112"/>
    <mergeCell ref="X1101:X1112"/>
    <mergeCell ref="T1102:W1102"/>
    <mergeCell ref="P1104:Q1104"/>
    <mergeCell ref="E1124:H1124"/>
    <mergeCell ref="E1125:H1125"/>
    <mergeCell ref="J1125:M1125"/>
    <mergeCell ref="O1125:R1125"/>
    <mergeCell ref="AD1126:AG1126"/>
    <mergeCell ref="AD1129:AG1129"/>
    <mergeCell ref="AD1110:AF1110"/>
    <mergeCell ref="AD1111:AF1111"/>
    <mergeCell ref="AD1114:AF1114"/>
    <mergeCell ref="AD1121:AF1121"/>
    <mergeCell ref="AC1124:AC1135"/>
    <mergeCell ref="AD1124:AG1124"/>
    <mergeCell ref="AD1125:AG1125"/>
    <mergeCell ref="AD1202:AG1202"/>
    <mergeCell ref="AD1203:AF1203"/>
    <mergeCell ref="AD1204:AF1204"/>
    <mergeCell ref="AD1205:AF1205"/>
    <mergeCell ref="AD1206:AF1206"/>
    <mergeCell ref="AD1207:AF1207"/>
    <mergeCell ref="AD1209:AF1209"/>
    <mergeCell ref="AD1216:AF1216"/>
    <mergeCell ref="AD1182:AG1182"/>
    <mergeCell ref="AD1183:AG1183"/>
    <mergeCell ref="AD1184:AG1184"/>
    <mergeCell ref="AD1196:AG1196"/>
    <mergeCell ref="AD1197:AG1197"/>
    <mergeCell ref="AD1198:AG1198"/>
    <mergeCell ref="AD1201:AG1201"/>
    <mergeCell ref="AD1063:AF1063"/>
    <mergeCell ref="AD1064:AF1064"/>
    <mergeCell ref="AD1065:AF1065"/>
    <mergeCell ref="AD1067:AF1067"/>
    <mergeCell ref="AD1074:AF1074"/>
    <mergeCell ref="AD1077:AG1077"/>
    <mergeCell ref="AD1078:AG1078"/>
    <mergeCell ref="AD1079:AG1079"/>
    <mergeCell ref="AD1082:AG1082"/>
    <mergeCell ref="AD1083:AG1083"/>
    <mergeCell ref="AD1084:AF1084"/>
    <mergeCell ref="AD1085:AF1085"/>
    <mergeCell ref="AD1086:AF1086"/>
    <mergeCell ref="AD1087:AF1087"/>
    <mergeCell ref="AD1108:AF1108"/>
    <mergeCell ref="AD1109:AF1109"/>
    <mergeCell ref="AD1097:AF1097"/>
    <mergeCell ref="AC1101:AC1112"/>
    <mergeCell ref="AD1101:AG1101"/>
    <mergeCell ref="AD1102:AG1102"/>
    <mergeCell ref="AD1103:AG1103"/>
    <mergeCell ref="AD1106:AG1106"/>
    <mergeCell ref="AD1107:AG1107"/>
    <mergeCell ref="AD1112:AF1112"/>
    <mergeCell ref="AD1130:AG1130"/>
    <mergeCell ref="AD1131:AF1131"/>
    <mergeCell ref="AD1132:AF1132"/>
    <mergeCell ref="AD1133:AF1133"/>
    <mergeCell ref="AD1159:AF1159"/>
    <mergeCell ref="AD1161:AF1161"/>
    <mergeCell ref="AD1168:AF1168"/>
    <mergeCell ref="AD1178:AG1178"/>
    <mergeCell ref="AD1179:AG1179"/>
    <mergeCell ref="AD1180:AG1180"/>
    <mergeCell ref="AD1181:AG1181"/>
    <mergeCell ref="E966:G966"/>
    <mergeCell ref="J966:L966"/>
    <mergeCell ref="O966:Q966"/>
    <mergeCell ref="Y966:AA966"/>
    <mergeCell ref="J967:L967"/>
    <mergeCell ref="J968:L968"/>
    <mergeCell ref="T968:V968"/>
    <mergeCell ref="O967:Q967"/>
    <mergeCell ref="O968:Q968"/>
    <mergeCell ref="J969:L969"/>
    <mergeCell ref="O969:Q969"/>
    <mergeCell ref="J970:L970"/>
    <mergeCell ref="O970:Q970"/>
    <mergeCell ref="O972:Q972"/>
    <mergeCell ref="T983:W983"/>
    <mergeCell ref="T984:W984"/>
    <mergeCell ref="T985:W985"/>
    <mergeCell ref="T988:W988"/>
    <mergeCell ref="T966:V966"/>
    <mergeCell ref="T967:V967"/>
    <mergeCell ref="T969:V969"/>
    <mergeCell ref="T970:V970"/>
    <mergeCell ref="T972:V972"/>
    <mergeCell ref="T979:V979"/>
    <mergeCell ref="T980:V980"/>
    <mergeCell ref="AD966:AG966"/>
    <mergeCell ref="AD967:AG967"/>
    <mergeCell ref="AD968:AG968"/>
    <mergeCell ref="AD969:AG969"/>
    <mergeCell ref="AD970:AG970"/>
    <mergeCell ref="AD983:AG983"/>
    <mergeCell ref="AD984:AG984"/>
    <mergeCell ref="K986:L986"/>
    <mergeCell ref="J988:M988"/>
    <mergeCell ref="O988:R988"/>
    <mergeCell ref="AD985:AG985"/>
    <mergeCell ref="AD986:AG986"/>
    <mergeCell ref="Y988:AB988"/>
    <mergeCell ref="AD988:AG988"/>
    <mergeCell ref="AD989:AG989"/>
    <mergeCell ref="AD990:AG990"/>
    <mergeCell ref="AD991:AG991"/>
    <mergeCell ref="T1040:V1040"/>
    <mergeCell ref="T1041:V1041"/>
    <mergeCell ref="T1031:W1031"/>
    <mergeCell ref="T1032:W1032"/>
    <mergeCell ref="T1033:W1033"/>
    <mergeCell ref="T1036:W1036"/>
    <mergeCell ref="T1037:W1037"/>
    <mergeCell ref="T1038:V1038"/>
    <mergeCell ref="T1039:V1039"/>
    <mergeCell ref="C1032:C1034"/>
    <mergeCell ref="C1035:C1036"/>
    <mergeCell ref="E1036:H1036"/>
    <mergeCell ref="E1037:H1037"/>
    <mergeCell ref="E1038:G1038"/>
    <mergeCell ref="E1039:G1039"/>
    <mergeCell ref="E1040:G1040"/>
    <mergeCell ref="E1041:G1041"/>
    <mergeCell ref="E1042:G1042"/>
    <mergeCell ref="E1044:G1044"/>
    <mergeCell ref="E1051:G1051"/>
    <mergeCell ref="E1054:H1054"/>
    <mergeCell ref="E1055:H1055"/>
    <mergeCell ref="E1056:H1056"/>
    <mergeCell ref="E1134:G1134"/>
    <mergeCell ref="E1135:G1135"/>
    <mergeCell ref="C1078:C1082"/>
    <mergeCell ref="C1083:C1085"/>
    <mergeCell ref="C1102:C1106"/>
    <mergeCell ref="C1107:C1109"/>
    <mergeCell ref="C1125:C1129"/>
    <mergeCell ref="C1130:C1132"/>
    <mergeCell ref="E1133:G1133"/>
    <mergeCell ref="Y1033:AB1033"/>
    <mergeCell ref="Y1036:AB1036"/>
    <mergeCell ref="Y1037:AB1037"/>
    <mergeCell ref="Y1038:AA1038"/>
    <mergeCell ref="Y1039:AA1039"/>
    <mergeCell ref="Y1040:AA1040"/>
    <mergeCell ref="Y1041:AA1041"/>
    <mergeCell ref="Y1042:AA1042"/>
    <mergeCell ref="Y1044:AA1044"/>
    <mergeCell ref="Y1051:AA1051"/>
    <mergeCell ref="Y1054:AB1054"/>
    <mergeCell ref="Y1055:AB1055"/>
    <mergeCell ref="Y1056:AB1056"/>
    <mergeCell ref="Z1057:AA1057"/>
    <mergeCell ref="Y1097:AA1097"/>
    <mergeCell ref="Y1101:AB1101"/>
    <mergeCell ref="Y1102:AB1102"/>
    <mergeCell ref="Y1103:AB1103"/>
    <mergeCell ref="Y1106:AB1106"/>
    <mergeCell ref="Y1107:AB1107"/>
    <mergeCell ref="Y1108:AA1108"/>
    <mergeCell ref="Y1109:AA1109"/>
    <mergeCell ref="Y1110:AA1110"/>
    <mergeCell ref="Y1111:AA1111"/>
    <mergeCell ref="Y1112:AA1112"/>
    <mergeCell ref="Y1114:AA1114"/>
    <mergeCell ref="Y1121:AA1121"/>
    <mergeCell ref="Y1124:AB1124"/>
    <mergeCell ref="Y1134:AA1134"/>
    <mergeCell ref="Y1135:AA1135"/>
    <mergeCell ref="Y1137:AA1137"/>
    <mergeCell ref="Y1125:AB1125"/>
    <mergeCell ref="Y1126:AB1126"/>
    <mergeCell ref="Y1129:AB1129"/>
    <mergeCell ref="Y1130:AB1130"/>
    <mergeCell ref="Y1131:AA1131"/>
    <mergeCell ref="Y1132:AA1132"/>
    <mergeCell ref="Y1133:AA1133"/>
    <mergeCell ref="J1054:M1054"/>
    <mergeCell ref="O1054:R1054"/>
    <mergeCell ref="J1055:M1055"/>
    <mergeCell ref="O1055:R1055"/>
    <mergeCell ref="J1056:M1056"/>
    <mergeCell ref="O1056:R1056"/>
    <mergeCell ref="P1057:Q1057"/>
    <mergeCell ref="K1057:L1057"/>
    <mergeCell ref="J1059:M1059"/>
    <mergeCell ref="O1059:R1059"/>
    <mergeCell ref="J1060:M1060"/>
    <mergeCell ref="O1060:R1060"/>
    <mergeCell ref="O1061:Q1061"/>
    <mergeCell ref="T1061:V1061"/>
    <mergeCell ref="O1133:Q1133"/>
    <mergeCell ref="O1134:Q1134"/>
    <mergeCell ref="O1135:Q1135"/>
    <mergeCell ref="J1134:L1134"/>
    <mergeCell ref="J1135:L1135"/>
    <mergeCell ref="O1065:Q1065"/>
    <mergeCell ref="T1065:V1065"/>
    <mergeCell ref="O1132:Q1132"/>
    <mergeCell ref="T1132:V1132"/>
    <mergeCell ref="J1133:L1133"/>
    <mergeCell ref="T1133:V1133"/>
    <mergeCell ref="T1134:V1134"/>
    <mergeCell ref="T1135:V1135"/>
    <mergeCell ref="E1064:G1064"/>
    <mergeCell ref="E1065:G1065"/>
    <mergeCell ref="J1065:L1065"/>
    <mergeCell ref="C1055:C1057"/>
    <mergeCell ref="C1058:C1062"/>
    <mergeCell ref="E1059:H1059"/>
    <mergeCell ref="E1060:H1060"/>
    <mergeCell ref="E1061:G1061"/>
    <mergeCell ref="E1062:G1062"/>
    <mergeCell ref="E1063:G1063"/>
    <mergeCell ref="AD1134:AF1134"/>
    <mergeCell ref="AD1135:AF1135"/>
    <mergeCell ref="AD1137:AF1137"/>
    <mergeCell ref="AD1144:AF1144"/>
    <mergeCell ref="AD1148:AG1148"/>
    <mergeCell ref="AD1149:AG1149"/>
    <mergeCell ref="AD1150:AG1150"/>
    <mergeCell ref="AE1151:AF1151"/>
    <mergeCell ref="AD1153:AG1153"/>
    <mergeCell ref="AD1154:AG1154"/>
    <mergeCell ref="AD1155:AF1155"/>
    <mergeCell ref="AD1156:AF1156"/>
    <mergeCell ref="AD1157:AF1157"/>
    <mergeCell ref="AD1158:AF1158"/>
    <mergeCell ref="E1159:G1159"/>
    <mergeCell ref="J1159:L1159"/>
    <mergeCell ref="E1161:G1161"/>
    <mergeCell ref="J1161:L1161"/>
    <mergeCell ref="O1161:Q1161"/>
    <mergeCell ref="T1161:V1161"/>
    <mergeCell ref="Y1161:AA1161"/>
    <mergeCell ref="AD1173:AG1173"/>
    <mergeCell ref="AD1174:AG1174"/>
    <mergeCell ref="AD1175:AG1175"/>
    <mergeCell ref="AD1176:AG1176"/>
    <mergeCell ref="E1157:G1157"/>
    <mergeCell ref="J1157:L1157"/>
    <mergeCell ref="J1168:L1168"/>
    <mergeCell ref="O1168:Q1168"/>
    <mergeCell ref="T1168:V1168"/>
    <mergeCell ref="O1169:Q1169"/>
    <mergeCell ref="E1172:AG1172"/>
    <mergeCell ref="Y1154:AB1154"/>
    <mergeCell ref="Y1155:AA1155"/>
    <mergeCell ref="Y1168:AA1168"/>
    <mergeCell ref="Y1169:AA1169"/>
    <mergeCell ref="J1156:L1156"/>
    <mergeCell ref="O1156:Q1156"/>
    <mergeCell ref="T1156:V1156"/>
    <mergeCell ref="Y1156:AA1156"/>
    <mergeCell ref="O1157:Q1157"/>
    <mergeCell ref="T1157:V1157"/>
    <mergeCell ref="Y1157:AA1157"/>
    <mergeCell ref="E1158:G1158"/>
    <mergeCell ref="J1158:L1158"/>
    <mergeCell ref="O1158:Q1158"/>
    <mergeCell ref="T1158:V1158"/>
    <mergeCell ref="Y1158:AA1158"/>
    <mergeCell ref="E1173:H1173"/>
    <mergeCell ref="E1174:H1174"/>
    <mergeCell ref="J1174:M1174"/>
    <mergeCell ref="O1174:R1174"/>
    <mergeCell ref="T1174:W1174"/>
    <mergeCell ref="Y1174:AB1174"/>
    <mergeCell ref="J1173:M1173"/>
    <mergeCell ref="O1173:R1173"/>
    <mergeCell ref="T1173:W1173"/>
    <mergeCell ref="Y1173:AB1173"/>
    <mergeCell ref="J1182:M1182"/>
    <mergeCell ref="O1182:R1182"/>
    <mergeCell ref="T1182:W1182"/>
    <mergeCell ref="Y1182:AB1182"/>
    <mergeCell ref="J1183:M1183"/>
    <mergeCell ref="O1183:R1183"/>
    <mergeCell ref="T1183:W1183"/>
    <mergeCell ref="Y1183:AB1183"/>
    <mergeCell ref="J1184:M1184"/>
    <mergeCell ref="O1184:R1184"/>
    <mergeCell ref="T1184:W1184"/>
    <mergeCell ref="Y1184:AB1184"/>
    <mergeCell ref="I1173:I1184"/>
    <mergeCell ref="N1173:N1184"/>
    <mergeCell ref="S1173:S1184"/>
    <mergeCell ref="X1173:X1184"/>
    <mergeCell ref="AC1173:AC1184"/>
    <mergeCell ref="T1176:W1176"/>
    <mergeCell ref="T1179:W1179"/>
    <mergeCell ref="T1196:W1196"/>
    <mergeCell ref="Y1196:AB1196"/>
    <mergeCell ref="T1197:W1197"/>
    <mergeCell ref="Y1197:AB1197"/>
    <mergeCell ref="T1198:W1198"/>
    <mergeCell ref="Y1198:AB1198"/>
    <mergeCell ref="Y1201:AB1201"/>
    <mergeCell ref="Y1205:AA1205"/>
    <mergeCell ref="Y1206:AA1206"/>
    <mergeCell ref="T1207:V1207"/>
    <mergeCell ref="Y1207:AA1207"/>
    <mergeCell ref="T1209:V1209"/>
    <mergeCell ref="Y1209:AA1209"/>
    <mergeCell ref="T1216:V1216"/>
    <mergeCell ref="Y1216:AA1216"/>
    <mergeCell ref="T1201:W1201"/>
    <mergeCell ref="T1202:W1202"/>
    <mergeCell ref="T1203:V1203"/>
    <mergeCell ref="T1204:V1204"/>
    <mergeCell ref="Y1204:AA1204"/>
    <mergeCell ref="T1205:V1205"/>
    <mergeCell ref="T1206:V1206"/>
    <mergeCell ref="J1179:M1179"/>
    <mergeCell ref="O1179:R1179"/>
    <mergeCell ref="Y1178:AB1178"/>
    <mergeCell ref="Y1179:AB1179"/>
    <mergeCell ref="J1180:M1180"/>
    <mergeCell ref="O1180:R1180"/>
    <mergeCell ref="T1180:W1180"/>
    <mergeCell ref="Y1180:AB1180"/>
    <mergeCell ref="T1181:W1181"/>
    <mergeCell ref="Y1181:AB1181"/>
    <mergeCell ref="E1168:G1168"/>
    <mergeCell ref="C1179:C1181"/>
    <mergeCell ref="E1179:H1179"/>
    <mergeCell ref="E1180:G1180"/>
    <mergeCell ref="E1181:G1181"/>
    <mergeCell ref="E1182:G1182"/>
    <mergeCell ref="E1183:G1183"/>
    <mergeCell ref="Y1202:AB1202"/>
    <mergeCell ref="Y1203:AA1203"/>
    <mergeCell ref="E1196:H1196"/>
    <mergeCell ref="E1197:H1197"/>
    <mergeCell ref="E1216:G1216"/>
    <mergeCell ref="J1216:L1216"/>
    <mergeCell ref="O1216:Q1216"/>
    <mergeCell ref="C1217:AG1217"/>
    <mergeCell ref="E1198:H1198"/>
    <mergeCell ref="E1201:H1201"/>
    <mergeCell ref="E1202:H1202"/>
    <mergeCell ref="E1203:G1203"/>
    <mergeCell ref="E1204:G1204"/>
    <mergeCell ref="E1205:G1205"/>
    <mergeCell ref="E1206:G1206"/>
    <mergeCell ref="J1181:M1181"/>
    <mergeCell ref="O1181:R1181"/>
    <mergeCell ref="J1197:M1197"/>
    <mergeCell ref="J1198:M1198"/>
    <mergeCell ref="J1201:M1201"/>
    <mergeCell ref="J1202:M1202"/>
    <mergeCell ref="J1203:L1203"/>
    <mergeCell ref="J1204:L1204"/>
    <mergeCell ref="J1205:L1205"/>
    <mergeCell ref="J1206:L1206"/>
    <mergeCell ref="J1207:L1207"/>
    <mergeCell ref="J1209:L1209"/>
    <mergeCell ref="E1184:G1184"/>
    <mergeCell ref="E1186:G1186"/>
    <mergeCell ref="E1193:G1193"/>
    <mergeCell ref="H1193:K1193"/>
    <mergeCell ref="J1196:M1196"/>
    <mergeCell ref="C1197:C1201"/>
    <mergeCell ref="K1199:L1199"/>
    <mergeCell ref="O1205:Q1205"/>
    <mergeCell ref="O1206:Q1206"/>
    <mergeCell ref="O1207:Q1207"/>
    <mergeCell ref="O1209:Q1209"/>
    <mergeCell ref="O1196:R1196"/>
    <mergeCell ref="O1197:R1197"/>
    <mergeCell ref="O1198:R1198"/>
    <mergeCell ref="O1201:R1201"/>
    <mergeCell ref="O1202:R1202"/>
    <mergeCell ref="O1203:Q1203"/>
    <mergeCell ref="O1204:Q1204"/>
    <mergeCell ref="E1207:G1207"/>
    <mergeCell ref="E1209:G1209"/>
    <mergeCell ref="E1111:G1111"/>
    <mergeCell ref="J1111:L1111"/>
    <mergeCell ref="J1121:L1121"/>
    <mergeCell ref="O1121:Q1121"/>
    <mergeCell ref="T1121:V1121"/>
    <mergeCell ref="J1124:M1124"/>
    <mergeCell ref="O1124:R1124"/>
    <mergeCell ref="T1124:W1124"/>
    <mergeCell ref="E1101:H1101"/>
    <mergeCell ref="F1104:G1104"/>
    <mergeCell ref="N1124:N1135"/>
    <mergeCell ref="S1124:S1135"/>
    <mergeCell ref="X1124:X1135"/>
    <mergeCell ref="T1125:W1125"/>
    <mergeCell ref="T1126:W1126"/>
    <mergeCell ref="J1148:M1148"/>
    <mergeCell ref="O1148:R1148"/>
    <mergeCell ref="T1148:W1148"/>
    <mergeCell ref="Y1148:AB1148"/>
    <mergeCell ref="E1144:G1144"/>
    <mergeCell ref="J1144:L1144"/>
    <mergeCell ref="O1144:Q1144"/>
    <mergeCell ref="T1144:V1144"/>
    <mergeCell ref="Y1144:AA1144"/>
    <mergeCell ref="Y1145:AA1145"/>
    <mergeCell ref="E1148:H1148"/>
    <mergeCell ref="T1149:W1149"/>
    <mergeCell ref="Y1149:AB1149"/>
    <mergeCell ref="E1150:H1150"/>
    <mergeCell ref="J1150:M1150"/>
    <mergeCell ref="O1150:R1150"/>
    <mergeCell ref="T1150:W1150"/>
    <mergeCell ref="Y1150:AB1150"/>
    <mergeCell ref="Z1151:AA1151"/>
    <mergeCell ref="E1153:H1153"/>
    <mergeCell ref="J1153:M1153"/>
    <mergeCell ref="O1153:R1153"/>
    <mergeCell ref="T1153:W1153"/>
    <mergeCell ref="Y1153:AB1153"/>
    <mergeCell ref="E1154:H1154"/>
    <mergeCell ref="J1149:M1149"/>
    <mergeCell ref="O1149:R1149"/>
    <mergeCell ref="C1149:C1153"/>
    <mergeCell ref="E1149:H1149"/>
    <mergeCell ref="C1154:C1156"/>
    <mergeCell ref="J1154:M1154"/>
    <mergeCell ref="T1154:W1154"/>
    <mergeCell ref="J1155:L1155"/>
    <mergeCell ref="T1155:V1155"/>
    <mergeCell ref="J1126:M1126"/>
    <mergeCell ref="O1126:R1126"/>
    <mergeCell ref="J1129:M1129"/>
    <mergeCell ref="O1129:R1129"/>
    <mergeCell ref="T1129:W1129"/>
    <mergeCell ref="J1130:M1130"/>
    <mergeCell ref="O1130:R1130"/>
    <mergeCell ref="T1130:W1130"/>
    <mergeCell ref="J1131:L1131"/>
    <mergeCell ref="O1131:Q1131"/>
    <mergeCell ref="O1137:Q1137"/>
    <mergeCell ref="T1137:V1137"/>
    <mergeCell ref="T1131:V1131"/>
    <mergeCell ref="J1132:L1132"/>
    <mergeCell ref="O1154:R1154"/>
    <mergeCell ref="O1155:Q1155"/>
    <mergeCell ref="E1155:G1155"/>
    <mergeCell ref="E1156:G1156"/>
    <mergeCell ref="I1124:I1135"/>
    <mergeCell ref="E1129:H1129"/>
    <mergeCell ref="E1130:H1130"/>
    <mergeCell ref="E1131:G1131"/>
    <mergeCell ref="E1132:G1132"/>
    <mergeCell ref="E1137:G1137"/>
    <mergeCell ref="J1137:L1137"/>
    <mergeCell ref="O1159:Q1159"/>
    <mergeCell ref="T1159:V1159"/>
    <mergeCell ref="E1121:G1121"/>
    <mergeCell ref="E1126:H1126"/>
    <mergeCell ref="I1148:I1159"/>
    <mergeCell ref="N1148:N1159"/>
    <mergeCell ref="S1148:S1159"/>
    <mergeCell ref="X1148:X1159"/>
    <mergeCell ref="AC1148:AC1159"/>
    <mergeCell ref="Y1159:AA1159"/>
    <mergeCell ref="E1175:H1175"/>
    <mergeCell ref="J1175:M1175"/>
    <mergeCell ref="O1175:R1175"/>
    <mergeCell ref="T1175:W1175"/>
    <mergeCell ref="C1174:C1175"/>
    <mergeCell ref="F1176:G1176"/>
    <mergeCell ref="J1176:M1176"/>
    <mergeCell ref="O1176:R1176"/>
    <mergeCell ref="Y1175:AB1175"/>
    <mergeCell ref="Y1176:AB1176"/>
    <mergeCell ref="E1178:H1178"/>
    <mergeCell ref="J1178:M1178"/>
    <mergeCell ref="O1178:R1178"/>
    <mergeCell ref="T1178:W1178"/>
  </mergeCells>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0" priority="1" operator="between">
      <formula>1</formula>
      <formula>95</formula>
    </cfRule>
  </conditionalFormatting>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1" priority="2" operator="between">
      <formula>96</formula>
      <formula>195</formula>
    </cfRule>
  </conditionalFormatting>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2" priority="3" operator="between">
      <formula>196</formula>
      <formula>260</formula>
    </cfRule>
  </conditionalFormatting>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3" priority="4" operator="between">
      <formula>261</formula>
      <formula>299</formula>
    </cfRule>
  </conditionalFormatting>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4" priority="5" operator="between">
      <formula>300</formula>
      <formula>350</formula>
    </cfRule>
  </conditionalFormatting>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5" priority="6" operator="between">
      <formula>351</formula>
      <formula>450</formula>
    </cfRule>
  </conditionalFormatting>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6" priority="7" operator="between">
      <formula>451</formula>
      <formula>1000</formula>
    </cfRule>
  </conditionalFormatting>
  <hyperlinks>
    <hyperlink r:id="rId1" ref="N767"/>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E3A3A"/>
    <outlinePr summaryBelow="0" summaryRight="0"/>
  </sheetPr>
  <sheetViews>
    <sheetView workbookViewId="0"/>
  </sheetViews>
  <sheetFormatPr customHeight="1" defaultColWidth="12.63" defaultRowHeight="15.0" outlineLevelCol="1"/>
  <cols>
    <col customWidth="1" min="1" max="1" width="0.75"/>
    <col collapsed="1" customWidth="1" min="2" max="2" width="18.88"/>
    <col customWidth="1" hidden="1" min="3" max="3" width="18.88" outlineLevel="1"/>
    <col customWidth="1" min="5" max="5" width="10.13"/>
    <col customWidth="1" hidden="1" min="6" max="6" width="3.88"/>
    <col customWidth="1" min="7" max="7" width="10.13"/>
    <col customWidth="1" hidden="1" min="8" max="8" width="3.88"/>
    <col customWidth="1" min="9" max="13" width="6.38"/>
    <col collapsed="1" customWidth="1" min="14" max="14" width="6.38"/>
    <col customWidth="1" hidden="1" min="15" max="15" width="0.75" outlineLevel="1"/>
    <col customWidth="1" hidden="1" min="16" max="16" width="10.13" outlineLevel="1"/>
    <col customWidth="1" hidden="1" min="17" max="17" width="6.38" outlineLevel="1"/>
    <col customWidth="1" min="18" max="18" width="0.75"/>
  </cols>
  <sheetData>
    <row r="1" ht="3.75" customHeight="1">
      <c r="A1" s="7312"/>
      <c r="B1" s="7313"/>
      <c r="C1" s="7313"/>
      <c r="D1" s="7313"/>
      <c r="E1" s="7313"/>
      <c r="F1" s="7313"/>
      <c r="G1" s="7313"/>
      <c r="H1" s="7313"/>
      <c r="I1" s="7313"/>
      <c r="J1" s="7313"/>
      <c r="K1" s="7313"/>
      <c r="L1" s="7313"/>
      <c r="M1" s="7313"/>
      <c r="N1" s="7313"/>
      <c r="O1" s="7314"/>
      <c r="P1" s="7314"/>
      <c r="Q1" s="7314"/>
      <c r="R1" s="7315"/>
    </row>
    <row r="2">
      <c r="A2" s="7316"/>
      <c r="B2" s="7317" t="s">
        <v>1845</v>
      </c>
      <c r="C2" s="302"/>
      <c r="D2" s="302"/>
      <c r="E2" s="302"/>
      <c r="F2" s="302"/>
      <c r="G2" s="302"/>
      <c r="H2" s="7318"/>
      <c r="I2" s="7319" t="s">
        <v>192</v>
      </c>
      <c r="J2" s="7319" t="s">
        <v>193</v>
      </c>
      <c r="K2" s="7319" t="s">
        <v>194</v>
      </c>
      <c r="L2" s="7319" t="s">
        <v>195</v>
      </c>
      <c r="M2" s="7319" t="s">
        <v>196</v>
      </c>
      <c r="N2" s="7320" t="s">
        <v>197</v>
      </c>
      <c r="O2" s="7321"/>
      <c r="P2" s="7322" t="s">
        <v>1846</v>
      </c>
      <c r="Q2" s="7323"/>
      <c r="R2" s="7324"/>
    </row>
    <row r="3" ht="18.75" customHeight="1">
      <c r="A3" s="7316"/>
      <c r="B3" s="7325" t="s">
        <v>695</v>
      </c>
      <c r="C3" s="7326" t="s">
        <v>1847</v>
      </c>
      <c r="D3" s="7327" t="str">
        <f t="array" ref="D3:D1322">IMAGE("https://raw.githubusercontent.com/darkbooker/RadicalRedSprites/main/Sprites/"&amp;UPPER(C3:C1322)&amp;".png",3)</f>
        <v/>
      </c>
      <c r="E3" s="7326" t="s">
        <v>1848</v>
      </c>
      <c r="F3" s="7326" t="str">
        <f t="shared" ref="F3:F199" si="1">IFERROR(VLOOKUP(E3,P$3:Q20,2,False),"")</f>
        <v/>
      </c>
      <c r="G3" s="7326" t="s">
        <v>1849</v>
      </c>
      <c r="H3" s="7326" t="str">
        <f t="shared" ref="H3:H199" si="2">IFERROR(VLOOKUP(G3,P$3:Q20,2,False),"")</f>
        <v/>
      </c>
      <c r="I3" s="7326">
        <v>45.0</v>
      </c>
      <c r="J3" s="7326">
        <v>49.0</v>
      </c>
      <c r="K3" s="7326">
        <v>49.0</v>
      </c>
      <c r="L3" s="7326">
        <v>65.0</v>
      </c>
      <c r="M3" s="7326">
        <v>65.0</v>
      </c>
      <c r="N3" s="7328">
        <v>45.0</v>
      </c>
      <c r="O3" s="7321"/>
      <c r="P3" s="7329" t="s">
        <v>1850</v>
      </c>
      <c r="Q3" s="7330" t="str">
        <f t="array" ref="Q3:Q20">IMAGE("https://raw.githubusercontent.com/msikma/pokesprite/master/misc/types/gen8/"&amp;P3:P20&amp;".png",4,32,32)
</f>
        <v/>
      </c>
      <c r="R3" s="7321"/>
    </row>
    <row r="4" ht="18.75" customHeight="1">
      <c r="A4" s="7316"/>
      <c r="B4" s="7331" t="s">
        <v>725</v>
      </c>
      <c r="C4" s="7332" t="s">
        <v>1851</v>
      </c>
      <c r="D4" s="7333"/>
      <c r="E4" s="7332" t="s">
        <v>1848</v>
      </c>
      <c r="F4" s="7332" t="str">
        <f t="shared" si="1"/>
        <v/>
      </c>
      <c r="G4" s="7332" t="s">
        <v>1849</v>
      </c>
      <c r="H4" s="7332" t="str">
        <f t="shared" si="2"/>
        <v/>
      </c>
      <c r="I4" s="7332">
        <v>60.0</v>
      </c>
      <c r="J4" s="7332">
        <v>62.0</v>
      </c>
      <c r="K4" s="7332">
        <v>63.0</v>
      </c>
      <c r="L4" s="7332">
        <v>80.0</v>
      </c>
      <c r="M4" s="7332">
        <v>80.0</v>
      </c>
      <c r="N4" s="7334">
        <v>60.0</v>
      </c>
      <c r="O4" s="7321"/>
      <c r="P4" s="7335" t="s">
        <v>1852</v>
      </c>
      <c r="Q4" s="7336"/>
      <c r="R4" s="7321"/>
    </row>
    <row r="5" ht="18.75" customHeight="1">
      <c r="A5" s="7316"/>
      <c r="B5" s="7337" t="s">
        <v>1140</v>
      </c>
      <c r="C5" s="7338" t="s">
        <v>1853</v>
      </c>
      <c r="D5" s="7339"/>
      <c r="E5" s="7338" t="s">
        <v>1848</v>
      </c>
      <c r="F5" s="7338" t="str">
        <f t="shared" si="1"/>
        <v/>
      </c>
      <c r="G5" s="7338" t="s">
        <v>1849</v>
      </c>
      <c r="H5" s="7338" t="str">
        <f t="shared" si="2"/>
        <v/>
      </c>
      <c r="I5" s="7338">
        <v>80.0</v>
      </c>
      <c r="J5" s="7338">
        <v>82.0</v>
      </c>
      <c r="K5" s="7338">
        <v>83.0</v>
      </c>
      <c r="L5" s="7338">
        <v>100.0</v>
      </c>
      <c r="M5" s="7338">
        <v>100.0</v>
      </c>
      <c r="N5" s="7340">
        <v>80.0</v>
      </c>
      <c r="O5" s="7321"/>
      <c r="P5" s="7335" t="s">
        <v>1854</v>
      </c>
      <c r="Q5" s="7336"/>
      <c r="R5" s="7321"/>
    </row>
    <row r="6" ht="18.75" customHeight="1">
      <c r="A6" s="7316"/>
      <c r="B6" s="7331" t="s">
        <v>260</v>
      </c>
      <c r="C6" s="7341" t="s">
        <v>1855</v>
      </c>
      <c r="D6" s="7333"/>
      <c r="E6" s="7341" t="s">
        <v>1848</v>
      </c>
      <c r="F6" s="7341" t="str">
        <f t="shared" si="1"/>
        <v/>
      </c>
      <c r="G6" s="7341" t="s">
        <v>1849</v>
      </c>
      <c r="H6" s="7341" t="str">
        <f t="shared" si="2"/>
        <v/>
      </c>
      <c r="I6" s="7332">
        <v>80.0</v>
      </c>
      <c r="J6" s="7332">
        <v>100.0</v>
      </c>
      <c r="K6" s="7332">
        <v>123.0</v>
      </c>
      <c r="L6" s="7332">
        <v>122.0</v>
      </c>
      <c r="M6" s="7332">
        <v>120.0</v>
      </c>
      <c r="N6" s="7334">
        <v>80.0</v>
      </c>
      <c r="O6" s="7321"/>
      <c r="P6" s="7335" t="s">
        <v>1856</v>
      </c>
      <c r="Q6" s="7336"/>
      <c r="R6" s="7321"/>
    </row>
    <row r="7" ht="18.75" customHeight="1">
      <c r="A7" s="7316"/>
      <c r="B7" s="7337" t="s">
        <v>689</v>
      </c>
      <c r="C7" s="7338" t="s">
        <v>1857</v>
      </c>
      <c r="D7" s="7339"/>
      <c r="E7" s="7338" t="s">
        <v>1858</v>
      </c>
      <c r="F7" s="7338" t="str">
        <f t="shared" si="1"/>
        <v/>
      </c>
      <c r="G7" s="7338"/>
      <c r="H7" s="7338" t="str">
        <f t="shared" si="2"/>
        <v/>
      </c>
      <c r="I7" s="7338">
        <v>39.0</v>
      </c>
      <c r="J7" s="7338">
        <v>52.0</v>
      </c>
      <c r="K7" s="7338">
        <v>43.0</v>
      </c>
      <c r="L7" s="7338">
        <v>60.0</v>
      </c>
      <c r="M7" s="7338">
        <v>50.0</v>
      </c>
      <c r="N7" s="7340">
        <v>65.0</v>
      </c>
      <c r="O7" s="7321"/>
      <c r="P7" s="7335" t="s">
        <v>1859</v>
      </c>
      <c r="Q7" s="7336"/>
      <c r="R7" s="7321"/>
    </row>
    <row r="8" ht="18.75" customHeight="1">
      <c r="A8" s="7316"/>
      <c r="B8" s="7331" t="s">
        <v>723</v>
      </c>
      <c r="C8" s="7332" t="s">
        <v>1860</v>
      </c>
      <c r="D8" s="7333"/>
      <c r="E8" s="7332" t="s">
        <v>1858</v>
      </c>
      <c r="F8" s="7332" t="str">
        <f t="shared" si="1"/>
        <v/>
      </c>
      <c r="G8" s="7332"/>
      <c r="H8" s="7332" t="str">
        <f t="shared" si="2"/>
        <v/>
      </c>
      <c r="I8" s="7332">
        <v>58.0</v>
      </c>
      <c r="J8" s="7332">
        <v>64.0</v>
      </c>
      <c r="K8" s="7332">
        <v>58.0</v>
      </c>
      <c r="L8" s="7332">
        <v>80.0</v>
      </c>
      <c r="M8" s="7332">
        <v>65.0</v>
      </c>
      <c r="N8" s="7334">
        <v>80.0</v>
      </c>
      <c r="O8" s="7321"/>
      <c r="P8" s="7335" t="s">
        <v>1861</v>
      </c>
      <c r="Q8" s="7336"/>
      <c r="R8" s="7321"/>
    </row>
    <row r="9" ht="18.75" customHeight="1">
      <c r="A9" s="7316"/>
      <c r="B9" s="7337" t="s">
        <v>1255</v>
      </c>
      <c r="C9" s="7338" t="s">
        <v>1862</v>
      </c>
      <c r="D9" s="7339"/>
      <c r="E9" s="7338" t="s">
        <v>1858</v>
      </c>
      <c r="F9" s="7338" t="str">
        <f t="shared" si="1"/>
        <v/>
      </c>
      <c r="G9" s="7338" t="s">
        <v>1863</v>
      </c>
      <c r="H9" s="7338" t="str">
        <f t="shared" si="2"/>
        <v/>
      </c>
      <c r="I9" s="7338">
        <v>78.0</v>
      </c>
      <c r="J9" s="7338">
        <v>84.0</v>
      </c>
      <c r="K9" s="7338">
        <v>78.0</v>
      </c>
      <c r="L9" s="7338">
        <v>109.0</v>
      </c>
      <c r="M9" s="7338">
        <v>85.0</v>
      </c>
      <c r="N9" s="7340">
        <v>100.0</v>
      </c>
      <c r="O9" s="7321"/>
      <c r="P9" s="7335" t="s">
        <v>1864</v>
      </c>
      <c r="Q9" s="7336"/>
      <c r="R9" s="7321"/>
    </row>
    <row r="10" ht="18.75" customHeight="1">
      <c r="A10" s="7316"/>
      <c r="B10" s="7331" t="s">
        <v>796</v>
      </c>
      <c r="C10" s="7341" t="s">
        <v>1865</v>
      </c>
      <c r="D10" s="7333"/>
      <c r="E10" s="7341" t="s">
        <v>1858</v>
      </c>
      <c r="F10" s="7341" t="str">
        <f t="shared" si="1"/>
        <v/>
      </c>
      <c r="G10" s="7341" t="s">
        <v>1866</v>
      </c>
      <c r="H10" s="7341" t="str">
        <f t="shared" si="2"/>
        <v/>
      </c>
      <c r="I10" s="7332">
        <v>78.0</v>
      </c>
      <c r="J10" s="7332">
        <v>130.0</v>
      </c>
      <c r="K10" s="7332">
        <v>111.0</v>
      </c>
      <c r="L10" s="7332">
        <v>130.0</v>
      </c>
      <c r="M10" s="7332">
        <v>85.0</v>
      </c>
      <c r="N10" s="7334">
        <v>100.0</v>
      </c>
      <c r="O10" s="7321"/>
      <c r="P10" s="7335" t="s">
        <v>1867</v>
      </c>
      <c r="Q10" s="7336"/>
      <c r="R10" s="7321"/>
    </row>
    <row r="11" ht="18.75" customHeight="1">
      <c r="A11" s="7316"/>
      <c r="B11" s="7337" t="s">
        <v>357</v>
      </c>
      <c r="C11" s="7342" t="s">
        <v>1868</v>
      </c>
      <c r="D11" s="7339"/>
      <c r="E11" s="7342" t="s">
        <v>1858</v>
      </c>
      <c r="F11" s="7342" t="str">
        <f t="shared" si="1"/>
        <v/>
      </c>
      <c r="G11" s="7342" t="s">
        <v>1863</v>
      </c>
      <c r="H11" s="7342" t="str">
        <f t="shared" si="2"/>
        <v/>
      </c>
      <c r="I11" s="7338">
        <v>78.0</v>
      </c>
      <c r="J11" s="7338">
        <v>104.0</v>
      </c>
      <c r="K11" s="7338">
        <v>78.0</v>
      </c>
      <c r="L11" s="7338">
        <v>159.0</v>
      </c>
      <c r="M11" s="7338">
        <v>115.0</v>
      </c>
      <c r="N11" s="7340">
        <v>100.0</v>
      </c>
      <c r="O11" s="7321"/>
      <c r="P11" s="7335" t="s">
        <v>1869</v>
      </c>
      <c r="Q11" s="7336"/>
      <c r="R11" s="7321"/>
    </row>
    <row r="12" ht="18.75" customHeight="1">
      <c r="A12" s="7316"/>
      <c r="B12" s="7331" t="s">
        <v>675</v>
      </c>
      <c r="C12" s="7332" t="s">
        <v>1870</v>
      </c>
      <c r="D12" s="7333"/>
      <c r="E12" s="7332" t="s">
        <v>1871</v>
      </c>
      <c r="F12" s="7332" t="str">
        <f t="shared" si="1"/>
        <v/>
      </c>
      <c r="G12" s="7332"/>
      <c r="H12" s="7332" t="str">
        <f t="shared" si="2"/>
        <v/>
      </c>
      <c r="I12" s="7332">
        <v>44.0</v>
      </c>
      <c r="J12" s="7332">
        <v>48.0</v>
      </c>
      <c r="K12" s="7332">
        <v>65.0</v>
      </c>
      <c r="L12" s="7332">
        <v>50.0</v>
      </c>
      <c r="M12" s="7332">
        <v>64.0</v>
      </c>
      <c r="N12" s="7334">
        <v>43.0</v>
      </c>
      <c r="O12" s="7321"/>
      <c r="P12" s="7335" t="s">
        <v>1872</v>
      </c>
      <c r="Q12" s="7336"/>
      <c r="R12" s="7321"/>
    </row>
    <row r="13" ht="18.75" customHeight="1">
      <c r="A13" s="7316"/>
      <c r="B13" s="7337" t="s">
        <v>713</v>
      </c>
      <c r="C13" s="7338" t="s">
        <v>1873</v>
      </c>
      <c r="D13" s="7339"/>
      <c r="E13" s="7338" t="s">
        <v>1871</v>
      </c>
      <c r="F13" s="7338" t="str">
        <f t="shared" si="1"/>
        <v/>
      </c>
      <c r="G13" s="7338"/>
      <c r="H13" s="7338" t="str">
        <f t="shared" si="2"/>
        <v/>
      </c>
      <c r="I13" s="7338">
        <v>59.0</v>
      </c>
      <c r="J13" s="7338">
        <v>63.0</v>
      </c>
      <c r="K13" s="7338">
        <v>80.0</v>
      </c>
      <c r="L13" s="7338">
        <v>65.0</v>
      </c>
      <c r="M13" s="7338">
        <v>80.0</v>
      </c>
      <c r="N13" s="7340">
        <v>58.0</v>
      </c>
      <c r="O13" s="7321"/>
      <c r="P13" s="7335" t="s">
        <v>1874</v>
      </c>
      <c r="Q13" s="7336"/>
      <c r="R13" s="7321"/>
    </row>
    <row r="14" ht="18.75" customHeight="1">
      <c r="A14" s="7316"/>
      <c r="B14" s="7331" t="s">
        <v>1875</v>
      </c>
      <c r="C14" s="7332" t="s">
        <v>1876</v>
      </c>
      <c r="D14" s="7333"/>
      <c r="E14" s="7332" t="s">
        <v>1871</v>
      </c>
      <c r="F14" s="7332" t="str">
        <f t="shared" si="1"/>
        <v/>
      </c>
      <c r="G14" s="7332"/>
      <c r="H14" s="7332" t="str">
        <f t="shared" si="2"/>
        <v/>
      </c>
      <c r="I14" s="7332">
        <v>79.0</v>
      </c>
      <c r="J14" s="7332">
        <v>83.0</v>
      </c>
      <c r="K14" s="7332">
        <v>100.0</v>
      </c>
      <c r="L14" s="7332">
        <v>85.0</v>
      </c>
      <c r="M14" s="7332">
        <v>105.0</v>
      </c>
      <c r="N14" s="7334">
        <v>78.0</v>
      </c>
      <c r="O14" s="7321"/>
      <c r="P14" s="7335" t="s">
        <v>1877</v>
      </c>
      <c r="Q14" s="7336"/>
      <c r="R14" s="7321"/>
    </row>
    <row r="15" ht="18.75" customHeight="1">
      <c r="A15" s="7316"/>
      <c r="B15" s="7337" t="s">
        <v>744</v>
      </c>
      <c r="C15" s="7342" t="s">
        <v>1878</v>
      </c>
      <c r="D15" s="7339"/>
      <c r="E15" s="7342" t="s">
        <v>1871</v>
      </c>
      <c r="F15" s="7342" t="str">
        <f t="shared" si="1"/>
        <v/>
      </c>
      <c r="G15" s="7342"/>
      <c r="H15" s="7342" t="str">
        <f t="shared" si="2"/>
        <v/>
      </c>
      <c r="I15" s="7338">
        <v>79.0</v>
      </c>
      <c r="J15" s="7338">
        <v>103.0</v>
      </c>
      <c r="K15" s="7338">
        <v>120.0</v>
      </c>
      <c r="L15" s="7338">
        <v>135.0</v>
      </c>
      <c r="M15" s="7338">
        <v>115.0</v>
      </c>
      <c r="N15" s="7340">
        <v>78.0</v>
      </c>
      <c r="O15" s="7321"/>
      <c r="P15" s="7335" t="s">
        <v>1879</v>
      </c>
      <c r="Q15" s="7336"/>
      <c r="R15" s="7321"/>
    </row>
    <row r="16" ht="18.75" customHeight="1">
      <c r="A16" s="7316"/>
      <c r="B16" s="7331" t="s">
        <v>1880</v>
      </c>
      <c r="C16" s="7332" t="s">
        <v>1881</v>
      </c>
      <c r="D16" s="7333"/>
      <c r="E16" s="7332" t="s">
        <v>1882</v>
      </c>
      <c r="F16" s="7332" t="str">
        <f t="shared" si="1"/>
        <v/>
      </c>
      <c r="G16" s="7332"/>
      <c r="H16" s="7332" t="str">
        <f t="shared" si="2"/>
        <v/>
      </c>
      <c r="I16" s="7332">
        <v>45.0</v>
      </c>
      <c r="J16" s="7332">
        <v>30.0</v>
      </c>
      <c r="K16" s="7332">
        <v>35.0</v>
      </c>
      <c r="L16" s="7332">
        <v>20.0</v>
      </c>
      <c r="M16" s="7332">
        <v>20.0</v>
      </c>
      <c r="N16" s="7334">
        <v>45.0</v>
      </c>
      <c r="O16" s="7321"/>
      <c r="P16" s="7335" t="s">
        <v>1883</v>
      </c>
      <c r="Q16" s="7336"/>
      <c r="R16" s="7321"/>
    </row>
    <row r="17" ht="18.75" customHeight="1">
      <c r="A17" s="7316"/>
      <c r="B17" s="7337" t="s">
        <v>1884</v>
      </c>
      <c r="C17" s="7338" t="s">
        <v>1885</v>
      </c>
      <c r="D17" s="7339"/>
      <c r="E17" s="7338" t="s">
        <v>1882</v>
      </c>
      <c r="F17" s="7338" t="str">
        <f t="shared" si="1"/>
        <v/>
      </c>
      <c r="G17" s="7338"/>
      <c r="H17" s="7338" t="str">
        <f t="shared" si="2"/>
        <v/>
      </c>
      <c r="I17" s="7338">
        <v>50.0</v>
      </c>
      <c r="J17" s="7338">
        <v>20.0</v>
      </c>
      <c r="K17" s="7338">
        <v>55.0</v>
      </c>
      <c r="L17" s="7338">
        <v>25.0</v>
      </c>
      <c r="M17" s="7338">
        <v>25.0</v>
      </c>
      <c r="N17" s="7340">
        <v>30.0</v>
      </c>
      <c r="O17" s="7321"/>
      <c r="P17" s="7335" t="s">
        <v>1886</v>
      </c>
      <c r="Q17" s="7336"/>
      <c r="R17" s="7321"/>
    </row>
    <row r="18" ht="18.75" customHeight="1">
      <c r="A18" s="7316"/>
      <c r="B18" s="7331" t="s">
        <v>1010</v>
      </c>
      <c r="C18" s="7332" t="s">
        <v>1887</v>
      </c>
      <c r="D18" s="7333"/>
      <c r="E18" s="7332" t="s">
        <v>1882</v>
      </c>
      <c r="F18" s="7332" t="str">
        <f t="shared" si="1"/>
        <v/>
      </c>
      <c r="G18" s="7332" t="s">
        <v>1863</v>
      </c>
      <c r="H18" s="7332" t="str">
        <f t="shared" si="2"/>
        <v/>
      </c>
      <c r="I18" s="7332">
        <v>60.0</v>
      </c>
      <c r="J18" s="7332">
        <v>60.0</v>
      </c>
      <c r="K18" s="7332">
        <v>45.0</v>
      </c>
      <c r="L18" s="7332">
        <v>50.0</v>
      </c>
      <c r="M18" s="7332">
        <v>95.0</v>
      </c>
      <c r="N18" s="7334">
        <v>80.0</v>
      </c>
      <c r="O18" s="7343">
        <v>70.0</v>
      </c>
      <c r="P18" s="7335" t="s">
        <v>1888</v>
      </c>
      <c r="Q18" s="7336"/>
      <c r="R18" s="7321"/>
    </row>
    <row r="19" ht="18.75" customHeight="1">
      <c r="A19" s="7316"/>
      <c r="B19" s="7337" t="s">
        <v>1654</v>
      </c>
      <c r="C19" s="7342" t="s">
        <v>1889</v>
      </c>
      <c r="D19" s="7339"/>
      <c r="E19" s="7342" t="s">
        <v>1882</v>
      </c>
      <c r="F19" s="7342" t="str">
        <f t="shared" si="1"/>
        <v/>
      </c>
      <c r="G19" s="7342" t="s">
        <v>1863</v>
      </c>
      <c r="H19" s="7342" t="str">
        <f t="shared" si="2"/>
        <v/>
      </c>
      <c r="I19" s="7338">
        <v>60.0</v>
      </c>
      <c r="J19" s="7338">
        <v>45.0</v>
      </c>
      <c r="K19" s="7338">
        <v>100.0</v>
      </c>
      <c r="L19" s="7338">
        <v>140.0</v>
      </c>
      <c r="M19" s="7338">
        <v>100.0</v>
      </c>
      <c r="N19" s="7340">
        <v>80.0</v>
      </c>
      <c r="O19" s="7321"/>
      <c r="P19" s="7335" t="s">
        <v>1890</v>
      </c>
      <c r="Q19" s="7336"/>
      <c r="R19" s="7321"/>
    </row>
    <row r="20" ht="18.75" customHeight="1">
      <c r="A20" s="7316"/>
      <c r="B20" s="7331" t="s">
        <v>1891</v>
      </c>
      <c r="C20" s="7332" t="s">
        <v>1892</v>
      </c>
      <c r="D20" s="7333"/>
      <c r="E20" s="7332" t="s">
        <v>1882</v>
      </c>
      <c r="F20" s="7332" t="str">
        <f t="shared" si="1"/>
        <v/>
      </c>
      <c r="G20" s="7332" t="s">
        <v>1849</v>
      </c>
      <c r="H20" s="7332" t="str">
        <f t="shared" si="2"/>
        <v/>
      </c>
      <c r="I20" s="7332">
        <v>40.0</v>
      </c>
      <c r="J20" s="7332">
        <v>35.0</v>
      </c>
      <c r="K20" s="7332">
        <v>30.0</v>
      </c>
      <c r="L20" s="7332">
        <v>20.0</v>
      </c>
      <c r="M20" s="7332">
        <v>20.0</v>
      </c>
      <c r="N20" s="7334">
        <v>50.0</v>
      </c>
      <c r="O20" s="7321"/>
      <c r="P20" s="7344" t="s">
        <v>1893</v>
      </c>
      <c r="Q20" s="7345"/>
      <c r="R20" s="7321"/>
    </row>
    <row r="21" ht="18.75" customHeight="1">
      <c r="A21" s="7316"/>
      <c r="B21" s="7337" t="s">
        <v>1894</v>
      </c>
      <c r="C21" s="7338" t="s">
        <v>1895</v>
      </c>
      <c r="D21" s="7339"/>
      <c r="E21" s="7338" t="s">
        <v>1882</v>
      </c>
      <c r="F21" s="7338" t="str">
        <f t="shared" si="1"/>
        <v/>
      </c>
      <c r="G21" s="7338" t="s">
        <v>1849</v>
      </c>
      <c r="H21" s="7338" t="str">
        <f t="shared" si="2"/>
        <v/>
      </c>
      <c r="I21" s="7338">
        <v>45.0</v>
      </c>
      <c r="J21" s="7338">
        <v>25.0</v>
      </c>
      <c r="K21" s="7338">
        <v>50.0</v>
      </c>
      <c r="L21" s="7338">
        <v>25.0</v>
      </c>
      <c r="M21" s="7338">
        <v>25.0</v>
      </c>
      <c r="N21" s="7340">
        <v>35.0</v>
      </c>
      <c r="O21" s="7321"/>
      <c r="P21" s="7346"/>
      <c r="Q21" s="7346"/>
      <c r="R21" s="7324"/>
    </row>
    <row r="22" ht="18.75" customHeight="1">
      <c r="A22" s="7316"/>
      <c r="B22" s="7331" t="s">
        <v>1896</v>
      </c>
      <c r="C22" s="7332" t="s">
        <v>1897</v>
      </c>
      <c r="D22" s="7333"/>
      <c r="E22" s="7332" t="s">
        <v>1882</v>
      </c>
      <c r="F22" s="7332" t="str">
        <f t="shared" si="1"/>
        <v/>
      </c>
      <c r="G22" s="7332" t="s">
        <v>1849</v>
      </c>
      <c r="H22" s="7332" t="str">
        <f t="shared" si="2"/>
        <v/>
      </c>
      <c r="I22" s="7332">
        <v>65.0</v>
      </c>
      <c r="J22" s="7332">
        <v>90.0</v>
      </c>
      <c r="K22" s="7332">
        <v>40.0</v>
      </c>
      <c r="L22" s="7332">
        <v>45.0</v>
      </c>
      <c r="M22" s="7332">
        <v>80.0</v>
      </c>
      <c r="N22" s="7334">
        <v>75.0</v>
      </c>
      <c r="O22" s="7321"/>
      <c r="P22" s="7347">
        <v>1.0</v>
      </c>
      <c r="Q22" s="7348" t="str">
        <f t="shared" ref="Q22:Q26" si="3">IMAGE("https://i.ibb.co/P1RBC78/Red4.png",1)</f>
        <v/>
      </c>
      <c r="R22" s="7324"/>
    </row>
    <row r="23" ht="18.75" customHeight="1">
      <c r="A23" s="7316"/>
      <c r="B23" s="7337" t="s">
        <v>1205</v>
      </c>
      <c r="C23" s="7342" t="s">
        <v>1898</v>
      </c>
      <c r="D23" s="7339"/>
      <c r="E23" s="7342" t="s">
        <v>1882</v>
      </c>
      <c r="F23" s="7342" t="str">
        <f t="shared" si="1"/>
        <v/>
      </c>
      <c r="G23" s="7342" t="s">
        <v>1849</v>
      </c>
      <c r="H23" s="7342" t="str">
        <f t="shared" si="2"/>
        <v/>
      </c>
      <c r="I23" s="7338">
        <v>65.0</v>
      </c>
      <c r="J23" s="7338">
        <v>150.0</v>
      </c>
      <c r="K23" s="7338">
        <v>40.0</v>
      </c>
      <c r="L23" s="7338">
        <v>15.0</v>
      </c>
      <c r="M23" s="7338">
        <v>80.0</v>
      </c>
      <c r="N23" s="7340">
        <v>145.0</v>
      </c>
      <c r="O23" s="7321"/>
      <c r="P23" s="7347">
        <v>2.0</v>
      </c>
      <c r="Q23" s="7348" t="str">
        <f t="shared" si="3"/>
        <v/>
      </c>
      <c r="R23" s="7324"/>
    </row>
    <row r="24" ht="18.75" customHeight="1">
      <c r="A24" s="7316"/>
      <c r="B24" s="7331" t="s">
        <v>1899</v>
      </c>
      <c r="C24" s="7332" t="s">
        <v>1900</v>
      </c>
      <c r="D24" s="7333"/>
      <c r="E24" s="7332" t="s">
        <v>1901</v>
      </c>
      <c r="F24" s="7332" t="str">
        <f t="shared" si="1"/>
        <v/>
      </c>
      <c r="G24" s="7332" t="s">
        <v>1863</v>
      </c>
      <c r="H24" s="7332" t="str">
        <f t="shared" si="2"/>
        <v/>
      </c>
      <c r="I24" s="7332">
        <v>40.0</v>
      </c>
      <c r="J24" s="7332">
        <v>45.0</v>
      </c>
      <c r="K24" s="7332">
        <v>40.0</v>
      </c>
      <c r="L24" s="7332">
        <v>35.0</v>
      </c>
      <c r="M24" s="7332">
        <v>35.0</v>
      </c>
      <c r="N24" s="7334">
        <v>56.0</v>
      </c>
      <c r="O24" s="7321"/>
      <c r="P24" s="7347">
        <v>3.0</v>
      </c>
      <c r="Q24" s="7348" t="str">
        <f t="shared" si="3"/>
        <v/>
      </c>
      <c r="R24" s="7324"/>
    </row>
    <row r="25" ht="18.75" customHeight="1">
      <c r="A25" s="7316"/>
      <c r="B25" s="7337" t="s">
        <v>1902</v>
      </c>
      <c r="C25" s="7338" t="s">
        <v>1903</v>
      </c>
      <c r="D25" s="7339"/>
      <c r="E25" s="7338" t="s">
        <v>1901</v>
      </c>
      <c r="F25" s="7338" t="str">
        <f t="shared" si="1"/>
        <v/>
      </c>
      <c r="G25" s="7338" t="s">
        <v>1863</v>
      </c>
      <c r="H25" s="7338" t="str">
        <f t="shared" si="2"/>
        <v/>
      </c>
      <c r="I25" s="7338">
        <v>63.0</v>
      </c>
      <c r="J25" s="7338">
        <v>60.0</v>
      </c>
      <c r="K25" s="7338">
        <v>55.0</v>
      </c>
      <c r="L25" s="7338">
        <v>50.0</v>
      </c>
      <c r="M25" s="7338">
        <v>50.0</v>
      </c>
      <c r="N25" s="7340">
        <v>71.0</v>
      </c>
      <c r="O25" s="7321"/>
      <c r="P25" s="7347">
        <v>4.0</v>
      </c>
      <c r="Q25" s="7348" t="str">
        <f t="shared" si="3"/>
        <v/>
      </c>
      <c r="R25" s="7324"/>
    </row>
    <row r="26" ht="18.75" customHeight="1">
      <c r="A26" s="7316"/>
      <c r="B26" s="7331" t="s">
        <v>1904</v>
      </c>
      <c r="C26" s="7332" t="s">
        <v>1905</v>
      </c>
      <c r="D26" s="7333"/>
      <c r="E26" s="7332" t="s">
        <v>1901</v>
      </c>
      <c r="F26" s="7332" t="str">
        <f t="shared" si="1"/>
        <v/>
      </c>
      <c r="G26" s="7332" t="s">
        <v>1863</v>
      </c>
      <c r="H26" s="7332" t="str">
        <f t="shared" si="2"/>
        <v/>
      </c>
      <c r="I26" s="7332">
        <v>83.0</v>
      </c>
      <c r="J26" s="7332">
        <v>80.0</v>
      </c>
      <c r="K26" s="7332">
        <v>75.0</v>
      </c>
      <c r="L26" s="7332">
        <v>70.0</v>
      </c>
      <c r="M26" s="7332">
        <v>70.0</v>
      </c>
      <c r="N26" s="7334">
        <v>101.0</v>
      </c>
      <c r="O26" s="7321"/>
      <c r="P26" s="7347">
        <v>5.0</v>
      </c>
      <c r="Q26" s="7348" t="str">
        <f t="shared" si="3"/>
        <v/>
      </c>
      <c r="R26" s="7324"/>
    </row>
    <row r="27" ht="18.75" customHeight="1">
      <c r="A27" s="7316"/>
      <c r="B27" s="7337" t="s">
        <v>1511</v>
      </c>
      <c r="C27" s="7342" t="s">
        <v>1906</v>
      </c>
      <c r="D27" s="7339"/>
      <c r="E27" s="7342" t="s">
        <v>1901</v>
      </c>
      <c r="F27" s="7342" t="str">
        <f t="shared" si="1"/>
        <v/>
      </c>
      <c r="G27" s="7342" t="s">
        <v>1863</v>
      </c>
      <c r="H27" s="7342" t="str">
        <f t="shared" si="2"/>
        <v/>
      </c>
      <c r="I27" s="7338">
        <v>83.0</v>
      </c>
      <c r="J27" s="7338">
        <v>80.0</v>
      </c>
      <c r="K27" s="7338">
        <v>80.0</v>
      </c>
      <c r="L27" s="7338">
        <v>135.0</v>
      </c>
      <c r="M27" s="7338">
        <v>80.0</v>
      </c>
      <c r="N27" s="7340">
        <v>121.0</v>
      </c>
      <c r="O27" s="7321"/>
      <c r="P27" s="7347">
        <v>6.0</v>
      </c>
      <c r="Q27" s="7348" t="str">
        <f t="shared" ref="Q27:Q30" si="4">IMAGE("https://i.ibb.co/GxShM6S/Red3.png",1)</f>
        <v/>
      </c>
      <c r="R27" s="7324"/>
    </row>
    <row r="28" ht="18.75" customHeight="1">
      <c r="A28" s="7316"/>
      <c r="B28" s="7331" t="s">
        <v>1907</v>
      </c>
      <c r="C28" s="7332" t="s">
        <v>1908</v>
      </c>
      <c r="D28" s="7333"/>
      <c r="E28" s="7332" t="s">
        <v>1901</v>
      </c>
      <c r="F28" s="7332" t="str">
        <f t="shared" si="1"/>
        <v/>
      </c>
      <c r="G28" s="7332"/>
      <c r="H28" s="7332" t="str">
        <f t="shared" si="2"/>
        <v/>
      </c>
      <c r="I28" s="7332">
        <v>30.0</v>
      </c>
      <c r="J28" s="7332">
        <v>56.0</v>
      </c>
      <c r="K28" s="7332">
        <v>35.0</v>
      </c>
      <c r="L28" s="7332">
        <v>25.0</v>
      </c>
      <c r="M28" s="7332">
        <v>35.0</v>
      </c>
      <c r="N28" s="7334">
        <v>72.0</v>
      </c>
      <c r="O28" s="7321"/>
      <c r="P28" s="7347">
        <v>7.0</v>
      </c>
      <c r="Q28" s="7348" t="str">
        <f t="shared" si="4"/>
        <v/>
      </c>
      <c r="R28" s="7324"/>
    </row>
    <row r="29" ht="18.75" customHeight="1">
      <c r="A29" s="7316"/>
      <c r="B29" s="7337" t="s">
        <v>1909</v>
      </c>
      <c r="C29" s="7342" t="s">
        <v>1910</v>
      </c>
      <c r="D29" s="7339"/>
      <c r="E29" s="7342" t="s">
        <v>1911</v>
      </c>
      <c r="F29" s="7342" t="str">
        <f t="shared" si="1"/>
        <v/>
      </c>
      <c r="G29" s="7342" t="s">
        <v>1901</v>
      </c>
      <c r="H29" s="7342" t="str">
        <f t="shared" si="2"/>
        <v/>
      </c>
      <c r="I29" s="7338">
        <v>30.0</v>
      </c>
      <c r="J29" s="7338">
        <v>56.0</v>
      </c>
      <c r="K29" s="7338">
        <v>35.0</v>
      </c>
      <c r="L29" s="7338">
        <v>25.0</v>
      </c>
      <c r="M29" s="7338">
        <v>35.0</v>
      </c>
      <c r="N29" s="7340">
        <v>72.0</v>
      </c>
      <c r="O29" s="7321"/>
      <c r="P29" s="7347">
        <v>8.0</v>
      </c>
      <c r="Q29" s="7348" t="str">
        <f t="shared" si="4"/>
        <v/>
      </c>
      <c r="R29" s="7324"/>
    </row>
    <row r="30" ht="18.75" customHeight="1">
      <c r="A30" s="7316"/>
      <c r="B30" s="7331" t="s">
        <v>1912</v>
      </c>
      <c r="C30" s="7332" t="s">
        <v>1913</v>
      </c>
      <c r="D30" s="7333"/>
      <c r="E30" s="7332" t="s">
        <v>1901</v>
      </c>
      <c r="F30" s="7332" t="str">
        <f t="shared" si="1"/>
        <v/>
      </c>
      <c r="G30" s="7332"/>
      <c r="H30" s="7332" t="str">
        <f t="shared" si="2"/>
        <v/>
      </c>
      <c r="I30" s="7332">
        <v>60.0</v>
      </c>
      <c r="J30" s="7332">
        <v>91.0</v>
      </c>
      <c r="K30" s="7332">
        <v>60.0</v>
      </c>
      <c r="L30" s="7332">
        <v>50.0</v>
      </c>
      <c r="M30" s="7332">
        <v>70.0</v>
      </c>
      <c r="N30" s="7334">
        <v>97.0</v>
      </c>
      <c r="O30" s="7321"/>
      <c r="P30" s="7347">
        <v>9.0</v>
      </c>
      <c r="Q30" s="7348" t="str">
        <f t="shared" si="4"/>
        <v/>
      </c>
      <c r="R30" s="7324"/>
    </row>
    <row r="31" ht="18.75" customHeight="1">
      <c r="A31" s="7316"/>
      <c r="B31" s="7337" t="s">
        <v>1914</v>
      </c>
      <c r="C31" s="7342" t="s">
        <v>1915</v>
      </c>
      <c r="D31" s="7339"/>
      <c r="E31" s="7342" t="s">
        <v>1911</v>
      </c>
      <c r="F31" s="7342" t="str">
        <f t="shared" si="1"/>
        <v/>
      </c>
      <c r="G31" s="7342" t="s">
        <v>1901</v>
      </c>
      <c r="H31" s="7342" t="str">
        <f t="shared" si="2"/>
        <v/>
      </c>
      <c r="I31" s="7338">
        <v>75.0</v>
      </c>
      <c r="J31" s="7338">
        <v>86.0</v>
      </c>
      <c r="K31" s="7338">
        <v>70.0</v>
      </c>
      <c r="L31" s="7338">
        <v>40.0</v>
      </c>
      <c r="M31" s="7338">
        <v>80.0</v>
      </c>
      <c r="N31" s="7340">
        <v>77.0</v>
      </c>
      <c r="O31" s="7321"/>
      <c r="P31" s="7347">
        <v>10.0</v>
      </c>
      <c r="Q31" s="7348" t="str">
        <f t="shared" ref="Q31:Q40" si="5">IMAGE("https://i.ibb.co/PmbvjT0/Red2.png",1)</f>
        <v/>
      </c>
      <c r="R31" s="7324"/>
    </row>
    <row r="32" ht="18.75" customHeight="1">
      <c r="A32" s="7316"/>
      <c r="B32" s="7331" t="s">
        <v>1916</v>
      </c>
      <c r="C32" s="7332" t="s">
        <v>1917</v>
      </c>
      <c r="D32" s="7333"/>
      <c r="E32" s="7332" t="s">
        <v>1901</v>
      </c>
      <c r="F32" s="7332" t="str">
        <f t="shared" si="1"/>
        <v/>
      </c>
      <c r="G32" s="7332" t="s">
        <v>1863</v>
      </c>
      <c r="H32" s="7332" t="str">
        <f t="shared" si="2"/>
        <v/>
      </c>
      <c r="I32" s="7332">
        <v>40.0</v>
      </c>
      <c r="J32" s="7332">
        <v>60.0</v>
      </c>
      <c r="K32" s="7332">
        <v>30.0</v>
      </c>
      <c r="L32" s="7332">
        <v>31.0</v>
      </c>
      <c r="M32" s="7332">
        <v>31.0</v>
      </c>
      <c r="N32" s="7334">
        <v>70.0</v>
      </c>
      <c r="O32" s="7321"/>
      <c r="P32" s="7347">
        <v>11.0</v>
      </c>
      <c r="Q32" s="7348" t="str">
        <f t="shared" si="5"/>
        <v/>
      </c>
      <c r="R32" s="7324"/>
    </row>
    <row r="33" ht="18.75" customHeight="1">
      <c r="A33" s="7316"/>
      <c r="B33" s="7337" t="s">
        <v>1918</v>
      </c>
      <c r="C33" s="7338" t="s">
        <v>1919</v>
      </c>
      <c r="D33" s="7339"/>
      <c r="E33" s="7338" t="s">
        <v>1901</v>
      </c>
      <c r="F33" s="7338" t="str">
        <f t="shared" si="1"/>
        <v/>
      </c>
      <c r="G33" s="7338" t="s">
        <v>1863</v>
      </c>
      <c r="H33" s="7338" t="str">
        <f t="shared" si="2"/>
        <v/>
      </c>
      <c r="I33" s="7338">
        <v>65.0</v>
      </c>
      <c r="J33" s="7338">
        <v>100.0</v>
      </c>
      <c r="K33" s="7338">
        <v>65.0</v>
      </c>
      <c r="L33" s="7338">
        <v>61.0</v>
      </c>
      <c r="M33" s="7338">
        <v>61.0</v>
      </c>
      <c r="N33" s="7340">
        <v>115.0</v>
      </c>
      <c r="O33" s="7321"/>
      <c r="P33" s="7347">
        <v>12.0</v>
      </c>
      <c r="Q33" s="7348" t="str">
        <f t="shared" si="5"/>
        <v/>
      </c>
      <c r="R33" s="7324"/>
    </row>
    <row r="34" ht="18.75" customHeight="1">
      <c r="A34" s="7316"/>
      <c r="B34" s="7331" t="s">
        <v>1920</v>
      </c>
      <c r="C34" s="7332" t="s">
        <v>1921</v>
      </c>
      <c r="D34" s="7333"/>
      <c r="E34" s="7332" t="s">
        <v>1849</v>
      </c>
      <c r="F34" s="7332" t="str">
        <f t="shared" si="1"/>
        <v/>
      </c>
      <c r="G34" s="7332"/>
      <c r="H34" s="7332" t="str">
        <f t="shared" si="2"/>
        <v/>
      </c>
      <c r="I34" s="7332">
        <v>35.0</v>
      </c>
      <c r="J34" s="7332">
        <v>60.0</v>
      </c>
      <c r="K34" s="7332">
        <v>44.0</v>
      </c>
      <c r="L34" s="7332">
        <v>40.0</v>
      </c>
      <c r="M34" s="7332">
        <v>54.0</v>
      </c>
      <c r="N34" s="7334">
        <v>55.0</v>
      </c>
      <c r="O34" s="7321"/>
      <c r="P34" s="7347">
        <v>13.0</v>
      </c>
      <c r="Q34" s="7348" t="str">
        <f t="shared" si="5"/>
        <v/>
      </c>
      <c r="R34" s="7324"/>
    </row>
    <row r="35" ht="18.75" customHeight="1">
      <c r="A35" s="7316"/>
      <c r="B35" s="7337" t="s">
        <v>1922</v>
      </c>
      <c r="C35" s="7338" t="s">
        <v>1923</v>
      </c>
      <c r="D35" s="7339"/>
      <c r="E35" s="7338" t="s">
        <v>1849</v>
      </c>
      <c r="F35" s="7338" t="str">
        <f t="shared" si="1"/>
        <v/>
      </c>
      <c r="G35" s="7338" t="s">
        <v>1911</v>
      </c>
      <c r="H35" s="7338" t="str">
        <f t="shared" si="2"/>
        <v/>
      </c>
      <c r="I35" s="7338">
        <v>75.0</v>
      </c>
      <c r="J35" s="7338">
        <v>95.0</v>
      </c>
      <c r="K35" s="7338">
        <v>75.0</v>
      </c>
      <c r="L35" s="7338">
        <v>65.0</v>
      </c>
      <c r="M35" s="7338">
        <v>79.0</v>
      </c>
      <c r="N35" s="7340">
        <v>80.0</v>
      </c>
      <c r="O35" s="7321"/>
      <c r="P35" s="7347">
        <v>14.0</v>
      </c>
      <c r="Q35" s="7348" t="str">
        <f t="shared" si="5"/>
        <v/>
      </c>
      <c r="R35" s="7324"/>
    </row>
    <row r="36" ht="18.75" customHeight="1">
      <c r="A36" s="7316"/>
      <c r="B36" s="7331" t="s">
        <v>1924</v>
      </c>
      <c r="C36" s="7332" t="s">
        <v>1925</v>
      </c>
      <c r="D36" s="7333"/>
      <c r="E36" s="7332" t="s">
        <v>1926</v>
      </c>
      <c r="F36" s="7332" t="str">
        <f t="shared" si="1"/>
        <v/>
      </c>
      <c r="G36" s="7332"/>
      <c r="H36" s="7332" t="str">
        <f t="shared" si="2"/>
        <v/>
      </c>
      <c r="I36" s="7332">
        <v>35.0</v>
      </c>
      <c r="J36" s="7332">
        <v>55.0</v>
      </c>
      <c r="K36" s="7332">
        <v>40.0</v>
      </c>
      <c r="L36" s="7332">
        <v>50.0</v>
      </c>
      <c r="M36" s="7332">
        <v>50.0</v>
      </c>
      <c r="N36" s="7334">
        <v>90.0</v>
      </c>
      <c r="O36" s="7321"/>
      <c r="P36" s="7347">
        <v>15.0</v>
      </c>
      <c r="Q36" s="7348" t="str">
        <f t="shared" si="5"/>
        <v/>
      </c>
      <c r="R36" s="7324"/>
    </row>
    <row r="37" ht="18.75" customHeight="1">
      <c r="A37" s="7316"/>
      <c r="B37" s="7337" t="s">
        <v>1927</v>
      </c>
      <c r="C37" s="7342" t="s">
        <v>1928</v>
      </c>
      <c r="D37" s="7339"/>
      <c r="E37" s="7342" t="s">
        <v>1926</v>
      </c>
      <c r="F37" s="7342" t="str">
        <f t="shared" si="1"/>
        <v/>
      </c>
      <c r="G37" s="7342" t="s">
        <v>1929</v>
      </c>
      <c r="H37" s="7342" t="str">
        <f t="shared" si="2"/>
        <v/>
      </c>
      <c r="I37" s="7338">
        <v>35.0</v>
      </c>
      <c r="J37" s="7338">
        <v>55.0</v>
      </c>
      <c r="K37" s="7338">
        <v>40.0</v>
      </c>
      <c r="L37" s="7338">
        <v>50.0</v>
      </c>
      <c r="M37" s="7338">
        <v>50.0</v>
      </c>
      <c r="N37" s="7340">
        <v>90.0</v>
      </c>
      <c r="O37" s="7321"/>
      <c r="P37" s="7347">
        <v>16.0</v>
      </c>
      <c r="Q37" s="7348" t="str">
        <f t="shared" si="5"/>
        <v/>
      </c>
      <c r="R37" s="7324"/>
    </row>
    <row r="38" ht="18.75" customHeight="1">
      <c r="A38" s="7316"/>
      <c r="B38" s="7331" t="s">
        <v>1930</v>
      </c>
      <c r="C38" s="7341" t="s">
        <v>1931</v>
      </c>
      <c r="D38" s="7333"/>
      <c r="E38" s="7341" t="s">
        <v>1926</v>
      </c>
      <c r="F38" s="7341" t="str">
        <f t="shared" si="1"/>
        <v/>
      </c>
      <c r="G38" s="7341" t="s">
        <v>1932</v>
      </c>
      <c r="H38" s="7341" t="str">
        <f t="shared" si="2"/>
        <v/>
      </c>
      <c r="I38" s="7332">
        <v>35.0</v>
      </c>
      <c r="J38" s="7332">
        <v>55.0</v>
      </c>
      <c r="K38" s="7332">
        <v>40.0</v>
      </c>
      <c r="L38" s="7332">
        <v>50.0</v>
      </c>
      <c r="M38" s="7332">
        <v>50.0</v>
      </c>
      <c r="N38" s="7334">
        <v>90.0</v>
      </c>
      <c r="O38" s="7321"/>
      <c r="P38" s="7347">
        <v>17.0</v>
      </c>
      <c r="Q38" s="7348" t="str">
        <f t="shared" si="5"/>
        <v/>
      </c>
      <c r="R38" s="7324"/>
    </row>
    <row r="39" ht="18.75" customHeight="1">
      <c r="A39" s="7316"/>
      <c r="B39" s="7337" t="s">
        <v>1933</v>
      </c>
      <c r="C39" s="7342" t="s">
        <v>1934</v>
      </c>
      <c r="D39" s="7339"/>
      <c r="E39" s="7342" t="s">
        <v>1926</v>
      </c>
      <c r="F39" s="7342" t="str">
        <f t="shared" si="1"/>
        <v/>
      </c>
      <c r="G39" s="7342" t="s">
        <v>1935</v>
      </c>
      <c r="H39" s="7342" t="str">
        <f t="shared" si="2"/>
        <v/>
      </c>
      <c r="I39" s="7338">
        <v>35.0</v>
      </c>
      <c r="J39" s="7338">
        <v>55.0</v>
      </c>
      <c r="K39" s="7338">
        <v>40.0</v>
      </c>
      <c r="L39" s="7338">
        <v>50.0</v>
      </c>
      <c r="M39" s="7338">
        <v>50.0</v>
      </c>
      <c r="N39" s="7340">
        <v>90.0</v>
      </c>
      <c r="O39" s="7321"/>
      <c r="P39" s="7347">
        <v>18.0</v>
      </c>
      <c r="Q39" s="7348" t="str">
        <f t="shared" si="5"/>
        <v/>
      </c>
      <c r="R39" s="7324"/>
    </row>
    <row r="40" ht="18.75" customHeight="1">
      <c r="A40" s="7316"/>
      <c r="B40" s="7331" t="s">
        <v>1936</v>
      </c>
      <c r="C40" s="7341" t="s">
        <v>1937</v>
      </c>
      <c r="D40" s="7333"/>
      <c r="E40" s="7341" t="s">
        <v>1926</v>
      </c>
      <c r="F40" s="7341" t="str">
        <f t="shared" si="1"/>
        <v/>
      </c>
      <c r="G40" s="7341" t="s">
        <v>561</v>
      </c>
      <c r="H40" s="7341" t="str">
        <f t="shared" si="2"/>
        <v/>
      </c>
      <c r="I40" s="7332">
        <v>35.0</v>
      </c>
      <c r="J40" s="7332">
        <v>55.0</v>
      </c>
      <c r="K40" s="7332">
        <v>40.0</v>
      </c>
      <c r="L40" s="7332">
        <v>50.0</v>
      </c>
      <c r="M40" s="7332">
        <v>50.0</v>
      </c>
      <c r="N40" s="7334">
        <v>90.0</v>
      </c>
      <c r="O40" s="7321"/>
      <c r="P40" s="7347">
        <v>19.0</v>
      </c>
      <c r="Q40" s="7348" t="str">
        <f t="shared" si="5"/>
        <v/>
      </c>
      <c r="R40" s="7324"/>
    </row>
    <row r="41" ht="18.75" customHeight="1">
      <c r="A41" s="7316"/>
      <c r="B41" s="7337" t="s">
        <v>1629</v>
      </c>
      <c r="C41" s="7342" t="s">
        <v>1938</v>
      </c>
      <c r="D41" s="7339"/>
      <c r="E41" s="7342" t="s">
        <v>1926</v>
      </c>
      <c r="F41" s="7342" t="str">
        <f t="shared" si="1"/>
        <v/>
      </c>
      <c r="G41" s="7342" t="s">
        <v>1939</v>
      </c>
      <c r="H41" s="7342" t="str">
        <f t="shared" si="2"/>
        <v/>
      </c>
      <c r="I41" s="7338">
        <v>35.0</v>
      </c>
      <c r="J41" s="7338">
        <v>55.0</v>
      </c>
      <c r="K41" s="7338">
        <v>40.0</v>
      </c>
      <c r="L41" s="7338">
        <v>50.0</v>
      </c>
      <c r="M41" s="7338">
        <v>50.0</v>
      </c>
      <c r="N41" s="7340">
        <v>90.0</v>
      </c>
      <c r="O41" s="7321"/>
      <c r="P41" s="7347">
        <v>20.0</v>
      </c>
      <c r="Q41" s="7348" t="str">
        <f t="shared" ref="Q41:Q50" si="6">IMAGE("https://i.ibb.co/Z6wDNSj/RED.png",1)</f>
        <v/>
      </c>
      <c r="R41" s="7324"/>
    </row>
    <row r="42" ht="18.75" customHeight="1">
      <c r="A42" s="7316"/>
      <c r="B42" s="7331" t="s">
        <v>1535</v>
      </c>
      <c r="C42" s="7341" t="s">
        <v>1940</v>
      </c>
      <c r="D42" s="7333"/>
      <c r="E42" s="7341" t="s">
        <v>1926</v>
      </c>
      <c r="F42" s="7341" t="str">
        <f t="shared" si="1"/>
        <v/>
      </c>
      <c r="G42" s="7341" t="s">
        <v>1863</v>
      </c>
      <c r="H42" s="7341" t="str">
        <f t="shared" si="2"/>
        <v/>
      </c>
      <c r="I42" s="7332">
        <v>35.0</v>
      </c>
      <c r="J42" s="7332">
        <v>55.0</v>
      </c>
      <c r="K42" s="7332">
        <v>40.0</v>
      </c>
      <c r="L42" s="7332">
        <v>50.0</v>
      </c>
      <c r="M42" s="7332">
        <v>50.0</v>
      </c>
      <c r="N42" s="7334">
        <v>90.0</v>
      </c>
      <c r="O42" s="7321"/>
      <c r="P42" s="7347">
        <v>21.0</v>
      </c>
      <c r="Q42" s="7348" t="str">
        <f t="shared" si="6"/>
        <v/>
      </c>
      <c r="R42" s="7324"/>
    </row>
    <row r="43" ht="18.75" customHeight="1">
      <c r="A43" s="7316"/>
      <c r="B43" s="7337" t="s">
        <v>1226</v>
      </c>
      <c r="C43" s="7342" t="s">
        <v>1941</v>
      </c>
      <c r="D43" s="7339"/>
      <c r="E43" s="7342" t="s">
        <v>1926</v>
      </c>
      <c r="F43" s="7342" t="str">
        <f t="shared" si="1"/>
        <v/>
      </c>
      <c r="G43" s="7342" t="s">
        <v>1871</v>
      </c>
      <c r="H43" s="7342" t="str">
        <f t="shared" si="2"/>
        <v/>
      </c>
      <c r="I43" s="7338">
        <v>35.0</v>
      </c>
      <c r="J43" s="7338">
        <v>55.0</v>
      </c>
      <c r="K43" s="7338">
        <v>40.0</v>
      </c>
      <c r="L43" s="7338">
        <v>50.0</v>
      </c>
      <c r="M43" s="7338">
        <v>50.0</v>
      </c>
      <c r="N43" s="7340">
        <v>90.0</v>
      </c>
      <c r="O43" s="7321"/>
      <c r="P43" s="7347">
        <v>22.0</v>
      </c>
      <c r="Q43" s="7348" t="str">
        <f t="shared" si="6"/>
        <v/>
      </c>
      <c r="R43" s="7324"/>
    </row>
    <row r="44" ht="18.75" customHeight="1">
      <c r="A44" s="7316"/>
      <c r="B44" s="7331" t="s">
        <v>1942</v>
      </c>
      <c r="C44" s="7332" t="s">
        <v>1943</v>
      </c>
      <c r="D44" s="7333"/>
      <c r="E44" s="7332" t="s">
        <v>1926</v>
      </c>
      <c r="F44" s="7332" t="str">
        <f t="shared" si="1"/>
        <v/>
      </c>
      <c r="G44" s="7341" t="s">
        <v>1901</v>
      </c>
      <c r="H44" s="7332" t="str">
        <f t="shared" si="2"/>
        <v/>
      </c>
      <c r="I44" s="7332">
        <v>70.0</v>
      </c>
      <c r="J44" s="7332">
        <v>100.0</v>
      </c>
      <c r="K44" s="7332">
        <v>55.0</v>
      </c>
      <c r="L44" s="7332">
        <v>100.0</v>
      </c>
      <c r="M44" s="7332">
        <v>80.0</v>
      </c>
      <c r="N44" s="7334">
        <v>110.0</v>
      </c>
      <c r="O44" s="7321"/>
      <c r="P44" s="7347">
        <v>23.0</v>
      </c>
      <c r="Q44" s="7348" t="str">
        <f t="shared" si="6"/>
        <v/>
      </c>
      <c r="R44" s="7324"/>
    </row>
    <row r="45" ht="18.75" customHeight="1">
      <c r="A45" s="7316"/>
      <c r="B45" s="7337" t="s">
        <v>1944</v>
      </c>
      <c r="C45" s="7342" t="s">
        <v>1945</v>
      </c>
      <c r="D45" s="7339"/>
      <c r="E45" s="7342" t="s">
        <v>1926</v>
      </c>
      <c r="F45" s="7342" t="str">
        <f t="shared" si="1"/>
        <v/>
      </c>
      <c r="G45" s="7342" t="s">
        <v>561</v>
      </c>
      <c r="H45" s="7342" t="str">
        <f t="shared" si="2"/>
        <v/>
      </c>
      <c r="I45" s="7338">
        <v>60.0</v>
      </c>
      <c r="J45" s="7338">
        <v>85.0</v>
      </c>
      <c r="K45" s="7338">
        <v>50.0</v>
      </c>
      <c r="L45" s="7338">
        <v>95.0</v>
      </c>
      <c r="M45" s="7338">
        <v>85.0</v>
      </c>
      <c r="N45" s="7340">
        <v>110.0</v>
      </c>
      <c r="O45" s="7321"/>
      <c r="P45" s="7347">
        <v>24.0</v>
      </c>
      <c r="Q45" s="7348" t="str">
        <f t="shared" si="6"/>
        <v/>
      </c>
      <c r="R45" s="7324"/>
    </row>
    <row r="46" ht="18.75" customHeight="1">
      <c r="A46" s="7316"/>
      <c r="B46" s="7331" t="s">
        <v>1946</v>
      </c>
      <c r="C46" s="7332" t="s">
        <v>1947</v>
      </c>
      <c r="D46" s="7333"/>
      <c r="E46" s="7332" t="s">
        <v>1948</v>
      </c>
      <c r="F46" s="7332" t="str">
        <f t="shared" si="1"/>
        <v/>
      </c>
      <c r="G46" s="7332"/>
      <c r="H46" s="7332" t="str">
        <f t="shared" si="2"/>
        <v/>
      </c>
      <c r="I46" s="7332">
        <v>50.0</v>
      </c>
      <c r="J46" s="7332">
        <v>75.0</v>
      </c>
      <c r="K46" s="7332">
        <v>85.0</v>
      </c>
      <c r="L46" s="7332">
        <v>20.0</v>
      </c>
      <c r="M46" s="7332">
        <v>30.0</v>
      </c>
      <c r="N46" s="7334">
        <v>40.0</v>
      </c>
      <c r="O46" s="7321"/>
      <c r="P46" s="7347">
        <v>25.0</v>
      </c>
      <c r="Q46" s="7348" t="str">
        <f t="shared" si="6"/>
        <v/>
      </c>
      <c r="R46" s="7324"/>
    </row>
    <row r="47" ht="18.75" customHeight="1">
      <c r="A47" s="7316"/>
      <c r="B47" s="7337" t="s">
        <v>1949</v>
      </c>
      <c r="C47" s="7342" t="s">
        <v>1950</v>
      </c>
      <c r="D47" s="7339"/>
      <c r="E47" s="7342" t="s">
        <v>1932</v>
      </c>
      <c r="F47" s="7342" t="str">
        <f t="shared" si="1"/>
        <v/>
      </c>
      <c r="G47" s="7342" t="s">
        <v>1929</v>
      </c>
      <c r="H47" s="7342" t="str">
        <f t="shared" si="2"/>
        <v/>
      </c>
      <c r="I47" s="7338">
        <v>50.0</v>
      </c>
      <c r="J47" s="7338">
        <v>75.0</v>
      </c>
      <c r="K47" s="7338">
        <v>90.0</v>
      </c>
      <c r="L47" s="7338">
        <v>10.0</v>
      </c>
      <c r="M47" s="7338">
        <v>35.0</v>
      </c>
      <c r="N47" s="7340">
        <v>40.0</v>
      </c>
      <c r="O47" s="7321"/>
      <c r="P47" s="7347">
        <v>26.0</v>
      </c>
      <c r="Q47" s="7348" t="str">
        <f t="shared" si="6"/>
        <v/>
      </c>
      <c r="R47" s="7324"/>
    </row>
    <row r="48" ht="18.75" customHeight="1">
      <c r="A48" s="7316"/>
      <c r="B48" s="7331" t="s">
        <v>1951</v>
      </c>
      <c r="C48" s="7332" t="s">
        <v>1952</v>
      </c>
      <c r="D48" s="7333"/>
      <c r="E48" s="7332" t="s">
        <v>1948</v>
      </c>
      <c r="F48" s="7332" t="str">
        <f t="shared" si="1"/>
        <v/>
      </c>
      <c r="G48" s="7332"/>
      <c r="H48" s="7332" t="str">
        <f t="shared" si="2"/>
        <v/>
      </c>
      <c r="I48" s="7332">
        <v>75.0</v>
      </c>
      <c r="J48" s="7332">
        <v>110.0</v>
      </c>
      <c r="K48" s="7332">
        <v>120.0</v>
      </c>
      <c r="L48" s="7332">
        <v>25.0</v>
      </c>
      <c r="M48" s="7332">
        <v>65.0</v>
      </c>
      <c r="N48" s="7334">
        <v>65.0</v>
      </c>
      <c r="O48" s="7321"/>
      <c r="P48" s="7347">
        <v>27.0</v>
      </c>
      <c r="Q48" s="7348" t="str">
        <f t="shared" si="6"/>
        <v/>
      </c>
      <c r="R48" s="7324"/>
    </row>
    <row r="49" ht="18.75" customHeight="1">
      <c r="A49" s="7316"/>
      <c r="B49" s="7337" t="s">
        <v>1101</v>
      </c>
      <c r="C49" s="7342" t="s">
        <v>1953</v>
      </c>
      <c r="D49" s="7339"/>
      <c r="E49" s="7342" t="s">
        <v>1932</v>
      </c>
      <c r="F49" s="7342" t="str">
        <f t="shared" si="1"/>
        <v/>
      </c>
      <c r="G49" s="7342" t="s">
        <v>1929</v>
      </c>
      <c r="H49" s="7342" t="str">
        <f t="shared" si="2"/>
        <v/>
      </c>
      <c r="I49" s="7338">
        <v>75.0</v>
      </c>
      <c r="J49" s="7338">
        <v>110.0</v>
      </c>
      <c r="K49" s="7338">
        <v>120.0</v>
      </c>
      <c r="L49" s="7338">
        <v>25.0</v>
      </c>
      <c r="M49" s="7338">
        <v>65.0</v>
      </c>
      <c r="N49" s="7340">
        <v>65.0</v>
      </c>
      <c r="O49" s="7321"/>
      <c r="P49" s="7347">
        <v>28.0</v>
      </c>
      <c r="Q49" s="7348" t="str">
        <f t="shared" si="6"/>
        <v/>
      </c>
      <c r="R49" s="7324"/>
    </row>
    <row r="50" ht="18.75" customHeight="1">
      <c r="A50" s="7316"/>
      <c r="B50" s="7331" t="s">
        <v>1954</v>
      </c>
      <c r="C50" s="7341" t="s">
        <v>1955</v>
      </c>
      <c r="D50" s="7333"/>
      <c r="E50" s="7341" t="s">
        <v>1849</v>
      </c>
      <c r="F50" s="7341" t="str">
        <f t="shared" si="1"/>
        <v/>
      </c>
      <c r="G50" s="7341"/>
      <c r="H50" s="7341" t="str">
        <f t="shared" si="2"/>
        <v/>
      </c>
      <c r="I50" s="7332">
        <v>55.0</v>
      </c>
      <c r="J50" s="7332">
        <v>47.0</v>
      </c>
      <c r="K50" s="7332">
        <v>52.0</v>
      </c>
      <c r="L50" s="7332">
        <v>40.0</v>
      </c>
      <c r="M50" s="7332">
        <v>40.0</v>
      </c>
      <c r="N50" s="7334">
        <v>41.0</v>
      </c>
      <c r="O50" s="7321"/>
      <c r="P50" s="7347">
        <v>29.0</v>
      </c>
      <c r="Q50" s="7348" t="str">
        <f t="shared" si="6"/>
        <v/>
      </c>
      <c r="R50" s="7324"/>
    </row>
    <row r="51" ht="18.75" customHeight="1">
      <c r="A51" s="7316"/>
      <c r="B51" s="7337" t="s">
        <v>1956</v>
      </c>
      <c r="C51" s="7338" t="s">
        <v>1957</v>
      </c>
      <c r="D51" s="7339"/>
      <c r="E51" s="7338" t="s">
        <v>1849</v>
      </c>
      <c r="F51" s="7338" t="str">
        <f t="shared" si="1"/>
        <v/>
      </c>
      <c r="G51" s="7338"/>
      <c r="H51" s="7338" t="str">
        <f t="shared" si="2"/>
        <v/>
      </c>
      <c r="I51" s="7338">
        <v>70.0</v>
      </c>
      <c r="J51" s="7338">
        <v>62.0</v>
      </c>
      <c r="K51" s="7338">
        <v>67.0</v>
      </c>
      <c r="L51" s="7338">
        <v>55.0</v>
      </c>
      <c r="M51" s="7338">
        <v>55.0</v>
      </c>
      <c r="N51" s="7340">
        <v>56.0</v>
      </c>
      <c r="O51" s="7321"/>
      <c r="P51" s="7347">
        <v>30.0</v>
      </c>
      <c r="Q51" s="7348" t="str">
        <f t="shared" ref="Q51:Q60" si="7">IMAGE("https://i.ibb.co/Vjqjrmx/Orange3.png",1)</f>
        <v/>
      </c>
      <c r="R51" s="7324"/>
    </row>
    <row r="52" ht="18.75" customHeight="1">
      <c r="A52" s="7316"/>
      <c r="B52" s="7331" t="s">
        <v>1068</v>
      </c>
      <c r="C52" s="7332" t="s">
        <v>1958</v>
      </c>
      <c r="D52" s="7333"/>
      <c r="E52" s="7332" t="s">
        <v>1849</v>
      </c>
      <c r="F52" s="7332" t="str">
        <f t="shared" si="1"/>
        <v/>
      </c>
      <c r="G52" s="7332" t="s">
        <v>1948</v>
      </c>
      <c r="H52" s="7332" t="str">
        <f t="shared" si="2"/>
        <v/>
      </c>
      <c r="I52" s="7332">
        <v>90.0</v>
      </c>
      <c r="J52" s="7332">
        <v>92.0</v>
      </c>
      <c r="K52" s="7332">
        <v>87.0</v>
      </c>
      <c r="L52" s="7332">
        <v>75.0</v>
      </c>
      <c r="M52" s="7332">
        <v>85.0</v>
      </c>
      <c r="N52" s="7334">
        <v>76.0</v>
      </c>
      <c r="O52" s="7321"/>
      <c r="P52" s="7347">
        <v>31.0</v>
      </c>
      <c r="Q52" s="7348" t="str">
        <f t="shared" si="7"/>
        <v/>
      </c>
      <c r="R52" s="7324"/>
    </row>
    <row r="53" ht="18.75" customHeight="1">
      <c r="A53" s="7316"/>
      <c r="B53" s="7337" t="s">
        <v>1959</v>
      </c>
      <c r="C53" s="7342" t="s">
        <v>1960</v>
      </c>
      <c r="D53" s="7339"/>
      <c r="E53" s="7342" t="s">
        <v>1849</v>
      </c>
      <c r="F53" s="7342" t="str">
        <f t="shared" si="1"/>
        <v/>
      </c>
      <c r="G53" s="7342"/>
      <c r="H53" s="7342" t="str">
        <f t="shared" si="2"/>
        <v/>
      </c>
      <c r="I53" s="7338">
        <v>46.0</v>
      </c>
      <c r="J53" s="7338">
        <v>57.0</v>
      </c>
      <c r="K53" s="7338">
        <v>40.0</v>
      </c>
      <c r="L53" s="7338">
        <v>40.0</v>
      </c>
      <c r="M53" s="7338">
        <v>40.0</v>
      </c>
      <c r="N53" s="7340">
        <v>50.0</v>
      </c>
      <c r="O53" s="7321"/>
      <c r="P53" s="7347">
        <v>32.0</v>
      </c>
      <c r="Q53" s="7348" t="str">
        <f t="shared" si="7"/>
        <v/>
      </c>
      <c r="R53" s="7324"/>
    </row>
    <row r="54" ht="18.75" customHeight="1">
      <c r="A54" s="7316"/>
      <c r="B54" s="7331" t="s">
        <v>1961</v>
      </c>
      <c r="C54" s="7332" t="s">
        <v>1962</v>
      </c>
      <c r="D54" s="7333"/>
      <c r="E54" s="7332" t="s">
        <v>1849</v>
      </c>
      <c r="F54" s="7332" t="str">
        <f t="shared" si="1"/>
        <v/>
      </c>
      <c r="G54" s="7332"/>
      <c r="H54" s="7332" t="str">
        <f t="shared" si="2"/>
        <v/>
      </c>
      <c r="I54" s="7332">
        <v>61.0</v>
      </c>
      <c r="J54" s="7332">
        <v>72.0</v>
      </c>
      <c r="K54" s="7332">
        <v>57.0</v>
      </c>
      <c r="L54" s="7332">
        <v>55.0</v>
      </c>
      <c r="M54" s="7332">
        <v>55.0</v>
      </c>
      <c r="N54" s="7334">
        <v>65.0</v>
      </c>
      <c r="O54" s="7321"/>
      <c r="P54" s="7347">
        <v>33.0</v>
      </c>
      <c r="Q54" s="7348" t="str">
        <f t="shared" si="7"/>
        <v/>
      </c>
      <c r="R54" s="7324"/>
    </row>
    <row r="55" ht="18.75" customHeight="1">
      <c r="A55" s="7316"/>
      <c r="B55" s="7337" t="s">
        <v>888</v>
      </c>
      <c r="C55" s="7338" t="s">
        <v>1963</v>
      </c>
      <c r="D55" s="7339"/>
      <c r="E55" s="7338" t="s">
        <v>1849</v>
      </c>
      <c r="F55" s="7338" t="str">
        <f t="shared" si="1"/>
        <v/>
      </c>
      <c r="G55" s="7338" t="s">
        <v>1948</v>
      </c>
      <c r="H55" s="7338" t="str">
        <f t="shared" si="2"/>
        <v/>
      </c>
      <c r="I55" s="7338">
        <v>81.0</v>
      </c>
      <c r="J55" s="7338">
        <v>102.0</v>
      </c>
      <c r="K55" s="7338">
        <v>77.0</v>
      </c>
      <c r="L55" s="7338">
        <v>85.0</v>
      </c>
      <c r="M55" s="7338">
        <v>75.0</v>
      </c>
      <c r="N55" s="7340">
        <v>85.0</v>
      </c>
      <c r="O55" s="7321"/>
      <c r="P55" s="7347">
        <v>34.0</v>
      </c>
      <c r="Q55" s="7348" t="str">
        <f t="shared" si="7"/>
        <v/>
      </c>
      <c r="R55" s="7324"/>
    </row>
    <row r="56" ht="18.75" customHeight="1">
      <c r="A56" s="7316"/>
      <c r="B56" s="7331" t="s">
        <v>976</v>
      </c>
      <c r="C56" s="7332" t="s">
        <v>1964</v>
      </c>
      <c r="D56" s="7333"/>
      <c r="E56" s="7332" t="s">
        <v>1935</v>
      </c>
      <c r="F56" s="7332" t="str">
        <f t="shared" si="1"/>
        <v/>
      </c>
      <c r="G56" s="7332"/>
      <c r="H56" s="7332" t="str">
        <f t="shared" si="2"/>
        <v/>
      </c>
      <c r="I56" s="7332">
        <v>70.0</v>
      </c>
      <c r="J56" s="7332">
        <v>45.0</v>
      </c>
      <c r="K56" s="7332">
        <v>48.0</v>
      </c>
      <c r="L56" s="7332">
        <v>60.0</v>
      </c>
      <c r="M56" s="7332">
        <v>65.0</v>
      </c>
      <c r="N56" s="7334">
        <v>35.0</v>
      </c>
      <c r="O56" s="7321"/>
      <c r="P56" s="7347">
        <v>35.0</v>
      </c>
      <c r="Q56" s="7348" t="str">
        <f t="shared" si="7"/>
        <v/>
      </c>
      <c r="R56" s="7324"/>
    </row>
    <row r="57" ht="18.75" customHeight="1">
      <c r="A57" s="7316"/>
      <c r="B57" s="7337" t="s">
        <v>1312</v>
      </c>
      <c r="C57" s="7338" t="s">
        <v>1965</v>
      </c>
      <c r="D57" s="7339"/>
      <c r="E57" s="7338" t="s">
        <v>1935</v>
      </c>
      <c r="F57" s="7338" t="str">
        <f t="shared" si="1"/>
        <v/>
      </c>
      <c r="G57" s="7338"/>
      <c r="H57" s="7338" t="str">
        <f t="shared" si="2"/>
        <v/>
      </c>
      <c r="I57" s="7338">
        <v>95.0</v>
      </c>
      <c r="J57" s="7338">
        <v>70.0</v>
      </c>
      <c r="K57" s="7338">
        <v>73.0</v>
      </c>
      <c r="L57" s="7338">
        <v>95.0</v>
      </c>
      <c r="M57" s="7338">
        <v>90.0</v>
      </c>
      <c r="N57" s="7340">
        <v>60.0</v>
      </c>
      <c r="O57" s="7321"/>
      <c r="P57" s="7347">
        <v>36.0</v>
      </c>
      <c r="Q57" s="7348" t="str">
        <f t="shared" si="7"/>
        <v/>
      </c>
      <c r="R57" s="7324"/>
    </row>
    <row r="58" ht="18.75" customHeight="1">
      <c r="A58" s="7316"/>
      <c r="B58" s="7331" t="s">
        <v>1966</v>
      </c>
      <c r="C58" s="7332" t="s">
        <v>1967</v>
      </c>
      <c r="D58" s="7333"/>
      <c r="E58" s="7332" t="s">
        <v>1858</v>
      </c>
      <c r="F58" s="7332" t="str">
        <f t="shared" si="1"/>
        <v/>
      </c>
      <c r="G58" s="7332"/>
      <c r="H58" s="7332" t="str">
        <f t="shared" si="2"/>
        <v/>
      </c>
      <c r="I58" s="7332">
        <v>38.0</v>
      </c>
      <c r="J58" s="7332">
        <v>41.0</v>
      </c>
      <c r="K58" s="7332">
        <v>40.0</v>
      </c>
      <c r="L58" s="7332">
        <v>50.0</v>
      </c>
      <c r="M58" s="7332">
        <v>65.0</v>
      </c>
      <c r="N58" s="7334">
        <v>65.0</v>
      </c>
      <c r="O58" s="7321"/>
      <c r="P58" s="7347">
        <v>37.0</v>
      </c>
      <c r="Q58" s="7348" t="str">
        <f t="shared" si="7"/>
        <v/>
      </c>
      <c r="R58" s="7324"/>
    </row>
    <row r="59" ht="18.75" customHeight="1">
      <c r="A59" s="7316"/>
      <c r="B59" s="7337" t="s">
        <v>1968</v>
      </c>
      <c r="C59" s="7342" t="s">
        <v>1969</v>
      </c>
      <c r="D59" s="7339"/>
      <c r="E59" s="7342" t="s">
        <v>1932</v>
      </c>
      <c r="F59" s="7342" t="str">
        <f t="shared" si="1"/>
        <v/>
      </c>
      <c r="G59" s="7342"/>
      <c r="H59" s="7342" t="str">
        <f t="shared" si="2"/>
        <v/>
      </c>
      <c r="I59" s="7338">
        <v>38.0</v>
      </c>
      <c r="J59" s="7338">
        <v>41.0</v>
      </c>
      <c r="K59" s="7338">
        <v>40.0</v>
      </c>
      <c r="L59" s="7338">
        <v>50.0</v>
      </c>
      <c r="M59" s="7338">
        <v>65.0</v>
      </c>
      <c r="N59" s="7340">
        <v>65.0</v>
      </c>
      <c r="O59" s="7321"/>
      <c r="P59" s="7347">
        <v>38.0</v>
      </c>
      <c r="Q59" s="7348" t="str">
        <f t="shared" si="7"/>
        <v/>
      </c>
      <c r="R59" s="7324"/>
    </row>
    <row r="60" ht="18.75" customHeight="1">
      <c r="A60" s="7316"/>
      <c r="B60" s="7331" t="s">
        <v>1970</v>
      </c>
      <c r="C60" s="7332" t="s">
        <v>1971</v>
      </c>
      <c r="D60" s="7333"/>
      <c r="E60" s="7332" t="s">
        <v>1858</v>
      </c>
      <c r="F60" s="7332" t="str">
        <f t="shared" si="1"/>
        <v/>
      </c>
      <c r="G60" s="7332"/>
      <c r="H60" s="7332" t="str">
        <f t="shared" si="2"/>
        <v/>
      </c>
      <c r="I60" s="7332">
        <v>73.0</v>
      </c>
      <c r="J60" s="7332">
        <v>76.0</v>
      </c>
      <c r="K60" s="7332">
        <v>75.0</v>
      </c>
      <c r="L60" s="7332">
        <v>81.0</v>
      </c>
      <c r="M60" s="7332">
        <v>100.0</v>
      </c>
      <c r="N60" s="7334">
        <v>100.0</v>
      </c>
      <c r="O60" s="7321"/>
      <c r="P60" s="7347">
        <v>39.0</v>
      </c>
      <c r="Q60" s="7348" t="str">
        <f t="shared" si="7"/>
        <v/>
      </c>
      <c r="R60" s="7324"/>
    </row>
    <row r="61" ht="18.75" customHeight="1">
      <c r="A61" s="7316"/>
      <c r="B61" s="7337" t="s">
        <v>1422</v>
      </c>
      <c r="C61" s="7342" t="s">
        <v>1972</v>
      </c>
      <c r="D61" s="7339"/>
      <c r="E61" s="7342" t="s">
        <v>1932</v>
      </c>
      <c r="F61" s="7342" t="str">
        <f t="shared" si="1"/>
        <v/>
      </c>
      <c r="G61" s="7342" t="s">
        <v>1935</v>
      </c>
      <c r="H61" s="7342" t="str">
        <f t="shared" si="2"/>
        <v/>
      </c>
      <c r="I61" s="7338">
        <v>73.0</v>
      </c>
      <c r="J61" s="7338">
        <v>67.0</v>
      </c>
      <c r="K61" s="7338">
        <v>75.0</v>
      </c>
      <c r="L61" s="7338">
        <v>81.0</v>
      </c>
      <c r="M61" s="7338">
        <v>100.0</v>
      </c>
      <c r="N61" s="7340">
        <v>109.0</v>
      </c>
      <c r="O61" s="7321"/>
      <c r="P61" s="7347">
        <v>40.0</v>
      </c>
      <c r="Q61" s="7348" t="str">
        <f t="shared" ref="Q61:Q70" si="8">IMAGE("https://i.ibb.co/k3Kk4Md/Orange2.png",1)</f>
        <v/>
      </c>
      <c r="R61" s="7324"/>
    </row>
    <row r="62" ht="18.75" customHeight="1">
      <c r="A62" s="7316"/>
      <c r="B62" s="7331" t="s">
        <v>1020</v>
      </c>
      <c r="C62" s="7332" t="s">
        <v>1973</v>
      </c>
      <c r="D62" s="7333"/>
      <c r="E62" s="7332" t="s">
        <v>1901</v>
      </c>
      <c r="F62" s="7332" t="str">
        <f t="shared" si="1"/>
        <v/>
      </c>
      <c r="G62" s="7332" t="s">
        <v>1935</v>
      </c>
      <c r="H62" s="7332" t="str">
        <f t="shared" si="2"/>
        <v/>
      </c>
      <c r="I62" s="7332">
        <v>115.0</v>
      </c>
      <c r="J62" s="7332">
        <v>45.0</v>
      </c>
      <c r="K62" s="7332">
        <v>20.0</v>
      </c>
      <c r="L62" s="7332">
        <v>45.0</v>
      </c>
      <c r="M62" s="7332">
        <v>25.0</v>
      </c>
      <c r="N62" s="7334">
        <v>20.0</v>
      </c>
      <c r="O62" s="7321"/>
      <c r="P62" s="7347">
        <v>41.0</v>
      </c>
      <c r="Q62" s="7348" t="str">
        <f t="shared" si="8"/>
        <v/>
      </c>
      <c r="R62" s="7324"/>
    </row>
    <row r="63" ht="18.75" customHeight="1">
      <c r="A63" s="7316"/>
      <c r="B63" s="7337" t="s">
        <v>1056</v>
      </c>
      <c r="C63" s="7338" t="s">
        <v>1974</v>
      </c>
      <c r="D63" s="7339"/>
      <c r="E63" s="7338" t="s">
        <v>1901</v>
      </c>
      <c r="F63" s="7338" t="str">
        <f t="shared" si="1"/>
        <v/>
      </c>
      <c r="G63" s="7338" t="s">
        <v>1935</v>
      </c>
      <c r="H63" s="7338" t="str">
        <f t="shared" si="2"/>
        <v/>
      </c>
      <c r="I63" s="7338">
        <v>140.0</v>
      </c>
      <c r="J63" s="7338">
        <v>70.0</v>
      </c>
      <c r="K63" s="7338">
        <v>45.0</v>
      </c>
      <c r="L63" s="7338">
        <v>85.0</v>
      </c>
      <c r="M63" s="7338">
        <v>50.0</v>
      </c>
      <c r="N63" s="7340">
        <v>45.0</v>
      </c>
      <c r="O63" s="7321"/>
      <c r="P63" s="7347">
        <v>42.0</v>
      </c>
      <c r="Q63" s="7348" t="str">
        <f t="shared" si="8"/>
        <v/>
      </c>
      <c r="R63" s="7324"/>
    </row>
    <row r="64" ht="18.75" customHeight="1">
      <c r="A64" s="7316"/>
      <c r="B64" s="7331" t="s">
        <v>1975</v>
      </c>
      <c r="C64" s="7332" t="s">
        <v>1976</v>
      </c>
      <c r="D64" s="7333"/>
      <c r="E64" s="7332" t="s">
        <v>1849</v>
      </c>
      <c r="F64" s="7332" t="str">
        <f t="shared" si="1"/>
        <v/>
      </c>
      <c r="G64" s="7332" t="s">
        <v>1863</v>
      </c>
      <c r="H64" s="7332" t="str">
        <f t="shared" si="2"/>
        <v/>
      </c>
      <c r="I64" s="7332">
        <v>40.0</v>
      </c>
      <c r="J64" s="7332">
        <v>45.0</v>
      </c>
      <c r="K64" s="7332">
        <v>35.0</v>
      </c>
      <c r="L64" s="7332">
        <v>30.0</v>
      </c>
      <c r="M64" s="7332">
        <v>40.0</v>
      </c>
      <c r="N64" s="7334">
        <v>55.0</v>
      </c>
      <c r="O64" s="7321"/>
      <c r="P64" s="7347">
        <v>43.0</v>
      </c>
      <c r="Q64" s="7348" t="str">
        <f t="shared" si="8"/>
        <v/>
      </c>
      <c r="R64" s="7324"/>
    </row>
    <row r="65" ht="18.75" customHeight="1">
      <c r="A65" s="7316"/>
      <c r="B65" s="7337" t="s">
        <v>840</v>
      </c>
      <c r="C65" s="7338" t="s">
        <v>1977</v>
      </c>
      <c r="D65" s="7339"/>
      <c r="E65" s="7338" t="s">
        <v>1849</v>
      </c>
      <c r="F65" s="7338" t="str">
        <f t="shared" si="1"/>
        <v/>
      </c>
      <c r="G65" s="7338" t="s">
        <v>1863</v>
      </c>
      <c r="H65" s="7338" t="str">
        <f t="shared" si="2"/>
        <v/>
      </c>
      <c r="I65" s="7338">
        <v>75.0</v>
      </c>
      <c r="J65" s="7338">
        <v>80.0</v>
      </c>
      <c r="K65" s="7338">
        <v>70.0</v>
      </c>
      <c r="L65" s="7338">
        <v>65.0</v>
      </c>
      <c r="M65" s="7338">
        <v>75.0</v>
      </c>
      <c r="N65" s="7340">
        <v>90.0</v>
      </c>
      <c r="O65" s="7321"/>
      <c r="P65" s="7347">
        <v>44.0</v>
      </c>
      <c r="Q65" s="7348" t="str">
        <f t="shared" si="8"/>
        <v/>
      </c>
      <c r="R65" s="7324"/>
    </row>
    <row r="66" ht="18.75" customHeight="1">
      <c r="A66" s="7316"/>
      <c r="B66" s="7331" t="s">
        <v>1978</v>
      </c>
      <c r="C66" s="7332" t="s">
        <v>1979</v>
      </c>
      <c r="D66" s="7333"/>
      <c r="E66" s="7332" t="s">
        <v>1848</v>
      </c>
      <c r="F66" s="7332" t="str">
        <f t="shared" si="1"/>
        <v/>
      </c>
      <c r="G66" s="7332" t="s">
        <v>1849</v>
      </c>
      <c r="H66" s="7332" t="str">
        <f t="shared" si="2"/>
        <v/>
      </c>
      <c r="I66" s="7332">
        <v>45.0</v>
      </c>
      <c r="J66" s="7332">
        <v>50.0</v>
      </c>
      <c r="K66" s="7332">
        <v>55.0</v>
      </c>
      <c r="L66" s="7332">
        <v>75.0</v>
      </c>
      <c r="M66" s="7332">
        <v>65.0</v>
      </c>
      <c r="N66" s="7334">
        <v>30.0</v>
      </c>
      <c r="O66" s="7321"/>
      <c r="P66" s="7347">
        <v>45.0</v>
      </c>
      <c r="Q66" s="7348" t="str">
        <f t="shared" si="8"/>
        <v/>
      </c>
      <c r="R66" s="7324"/>
    </row>
    <row r="67" ht="18.75" customHeight="1">
      <c r="A67" s="7316"/>
      <c r="B67" s="7337" t="s">
        <v>1980</v>
      </c>
      <c r="C67" s="7338" t="s">
        <v>1981</v>
      </c>
      <c r="D67" s="7339"/>
      <c r="E67" s="7338" t="s">
        <v>1848</v>
      </c>
      <c r="F67" s="7338" t="str">
        <f t="shared" si="1"/>
        <v/>
      </c>
      <c r="G67" s="7338" t="s">
        <v>1849</v>
      </c>
      <c r="H67" s="7338" t="str">
        <f t="shared" si="2"/>
        <v/>
      </c>
      <c r="I67" s="7338">
        <v>60.0</v>
      </c>
      <c r="J67" s="7338">
        <v>65.0</v>
      </c>
      <c r="K67" s="7338">
        <v>70.0</v>
      </c>
      <c r="L67" s="7338">
        <v>85.0</v>
      </c>
      <c r="M67" s="7338">
        <v>75.0</v>
      </c>
      <c r="N67" s="7340">
        <v>40.0</v>
      </c>
      <c r="O67" s="7321"/>
      <c r="P67" s="7347">
        <v>46.0</v>
      </c>
      <c r="Q67" s="7348" t="str">
        <f t="shared" si="8"/>
        <v/>
      </c>
      <c r="R67" s="7324"/>
    </row>
    <row r="68" ht="18.75" customHeight="1">
      <c r="A68" s="7316"/>
      <c r="B68" s="7331" t="s">
        <v>1294</v>
      </c>
      <c r="C68" s="7332" t="s">
        <v>1982</v>
      </c>
      <c r="D68" s="7333"/>
      <c r="E68" s="7332" t="s">
        <v>1848</v>
      </c>
      <c r="F68" s="7332" t="str">
        <f t="shared" si="1"/>
        <v/>
      </c>
      <c r="G68" s="7332" t="s">
        <v>1849</v>
      </c>
      <c r="H68" s="7332" t="str">
        <f t="shared" si="2"/>
        <v/>
      </c>
      <c r="I68" s="7332">
        <v>75.0</v>
      </c>
      <c r="J68" s="7332">
        <v>80.0</v>
      </c>
      <c r="K68" s="7332">
        <v>85.0</v>
      </c>
      <c r="L68" s="7332">
        <v>110.0</v>
      </c>
      <c r="M68" s="7332">
        <v>90.0</v>
      </c>
      <c r="N68" s="7334">
        <v>50.0</v>
      </c>
      <c r="O68" s="7321"/>
      <c r="P68" s="7347">
        <v>47.0</v>
      </c>
      <c r="Q68" s="7348" t="str">
        <f t="shared" si="8"/>
        <v/>
      </c>
      <c r="R68" s="7324"/>
    </row>
    <row r="69" ht="18.75" customHeight="1">
      <c r="A69" s="7316"/>
      <c r="B69" s="7337" t="s">
        <v>1983</v>
      </c>
      <c r="C69" s="7338" t="s">
        <v>1984</v>
      </c>
      <c r="D69" s="7339"/>
      <c r="E69" s="7338" t="s">
        <v>1882</v>
      </c>
      <c r="F69" s="7338" t="str">
        <f t="shared" si="1"/>
        <v/>
      </c>
      <c r="G69" s="7338" t="s">
        <v>1848</v>
      </c>
      <c r="H69" s="7338" t="str">
        <f t="shared" si="2"/>
        <v/>
      </c>
      <c r="I69" s="7338">
        <v>35.0</v>
      </c>
      <c r="J69" s="7338">
        <v>70.0</v>
      </c>
      <c r="K69" s="7338">
        <v>55.0</v>
      </c>
      <c r="L69" s="7338">
        <v>45.0</v>
      </c>
      <c r="M69" s="7338">
        <v>55.0</v>
      </c>
      <c r="N69" s="7340">
        <v>25.0</v>
      </c>
      <c r="O69" s="7321"/>
      <c r="P69" s="7347">
        <v>48.0</v>
      </c>
      <c r="Q69" s="7348" t="str">
        <f t="shared" si="8"/>
        <v/>
      </c>
      <c r="R69" s="7324"/>
    </row>
    <row r="70" ht="18.75" customHeight="1">
      <c r="A70" s="7316"/>
      <c r="B70" s="7331" t="s">
        <v>1293</v>
      </c>
      <c r="C70" s="7332" t="s">
        <v>1985</v>
      </c>
      <c r="D70" s="7333"/>
      <c r="E70" s="7332" t="s">
        <v>1882</v>
      </c>
      <c r="F70" s="7332" t="str">
        <f t="shared" si="1"/>
        <v/>
      </c>
      <c r="G70" s="7332" t="s">
        <v>1848</v>
      </c>
      <c r="H70" s="7332" t="str">
        <f t="shared" si="2"/>
        <v/>
      </c>
      <c r="I70" s="7332">
        <v>80.0</v>
      </c>
      <c r="J70" s="7332">
        <v>110.0</v>
      </c>
      <c r="K70" s="7332">
        <v>100.0</v>
      </c>
      <c r="L70" s="7332">
        <v>60.0</v>
      </c>
      <c r="M70" s="7332">
        <v>80.0</v>
      </c>
      <c r="N70" s="7334">
        <v>30.0</v>
      </c>
      <c r="O70" s="7321"/>
      <c r="P70" s="7347">
        <v>49.0</v>
      </c>
      <c r="Q70" s="7348" t="str">
        <f t="shared" si="8"/>
        <v/>
      </c>
      <c r="R70" s="7324"/>
    </row>
    <row r="71" ht="18.75" customHeight="1">
      <c r="A71" s="7316"/>
      <c r="B71" s="7337" t="s">
        <v>1986</v>
      </c>
      <c r="C71" s="7338" t="s">
        <v>1987</v>
      </c>
      <c r="D71" s="7339"/>
      <c r="E71" s="7338" t="s">
        <v>1882</v>
      </c>
      <c r="F71" s="7338" t="str">
        <f t="shared" si="1"/>
        <v/>
      </c>
      <c r="G71" s="7338" t="s">
        <v>1849</v>
      </c>
      <c r="H71" s="7338" t="str">
        <f t="shared" si="2"/>
        <v/>
      </c>
      <c r="I71" s="7338">
        <v>60.0</v>
      </c>
      <c r="J71" s="7338">
        <v>55.0</v>
      </c>
      <c r="K71" s="7338">
        <v>50.0</v>
      </c>
      <c r="L71" s="7338">
        <v>40.0</v>
      </c>
      <c r="M71" s="7338">
        <v>55.0</v>
      </c>
      <c r="N71" s="7340">
        <v>45.0</v>
      </c>
      <c r="O71" s="7321"/>
      <c r="P71" s="7347">
        <v>50.0</v>
      </c>
      <c r="Q71" s="7348" t="str">
        <f t="shared" ref="Q71:Q80" si="9">IMAGE("https://i.ibb.co/19pSXJj/Orange.png",1)</f>
        <v/>
      </c>
      <c r="R71" s="7324"/>
    </row>
    <row r="72" ht="18.75" customHeight="1">
      <c r="A72" s="7316"/>
      <c r="B72" s="7331" t="s">
        <v>1988</v>
      </c>
      <c r="C72" s="7332" t="s">
        <v>1989</v>
      </c>
      <c r="D72" s="7333"/>
      <c r="E72" s="7332" t="s">
        <v>1882</v>
      </c>
      <c r="F72" s="7332" t="str">
        <f t="shared" si="1"/>
        <v/>
      </c>
      <c r="G72" s="7332" t="s">
        <v>1849</v>
      </c>
      <c r="H72" s="7332" t="str">
        <f t="shared" si="2"/>
        <v/>
      </c>
      <c r="I72" s="7332">
        <v>70.0</v>
      </c>
      <c r="J72" s="7332">
        <v>65.0</v>
      </c>
      <c r="K72" s="7332">
        <v>65.0</v>
      </c>
      <c r="L72" s="7332">
        <v>95.0</v>
      </c>
      <c r="M72" s="7332">
        <v>75.0</v>
      </c>
      <c r="N72" s="7334">
        <v>90.0</v>
      </c>
      <c r="O72" s="7321"/>
      <c r="P72" s="7347">
        <v>51.0</v>
      </c>
      <c r="Q72" s="7348" t="str">
        <f t="shared" si="9"/>
        <v/>
      </c>
      <c r="R72" s="7324"/>
    </row>
    <row r="73" ht="18.75" customHeight="1">
      <c r="A73" s="7316"/>
      <c r="B73" s="7337" t="s">
        <v>1990</v>
      </c>
      <c r="C73" s="7338" t="s">
        <v>1991</v>
      </c>
      <c r="D73" s="7339"/>
      <c r="E73" s="7338" t="s">
        <v>1948</v>
      </c>
      <c r="F73" s="7338" t="str">
        <f t="shared" si="1"/>
        <v/>
      </c>
      <c r="G73" s="7338"/>
      <c r="H73" s="7338" t="str">
        <f t="shared" si="2"/>
        <v/>
      </c>
      <c r="I73" s="7338">
        <v>10.0</v>
      </c>
      <c r="J73" s="7338">
        <v>55.0</v>
      </c>
      <c r="K73" s="7338">
        <v>25.0</v>
      </c>
      <c r="L73" s="7338">
        <v>35.0</v>
      </c>
      <c r="M73" s="7338">
        <v>45.0</v>
      </c>
      <c r="N73" s="7340">
        <v>95.0</v>
      </c>
      <c r="O73" s="7321"/>
      <c r="P73" s="7347">
        <v>52.0</v>
      </c>
      <c r="Q73" s="7348" t="str">
        <f t="shared" si="9"/>
        <v/>
      </c>
      <c r="R73" s="7324"/>
    </row>
    <row r="74" ht="18.75" customHeight="1">
      <c r="A74" s="7316"/>
      <c r="B74" s="7331" t="s">
        <v>1992</v>
      </c>
      <c r="C74" s="7341" t="s">
        <v>1993</v>
      </c>
      <c r="D74" s="7333"/>
      <c r="E74" s="7341" t="s">
        <v>1948</v>
      </c>
      <c r="F74" s="7341" t="str">
        <f t="shared" si="1"/>
        <v/>
      </c>
      <c r="G74" s="7341" t="s">
        <v>1929</v>
      </c>
      <c r="H74" s="7341" t="str">
        <f t="shared" si="2"/>
        <v/>
      </c>
      <c r="I74" s="7332">
        <v>10.0</v>
      </c>
      <c r="J74" s="7332">
        <v>55.0</v>
      </c>
      <c r="K74" s="7332">
        <v>30.0</v>
      </c>
      <c r="L74" s="7332">
        <v>35.0</v>
      </c>
      <c r="M74" s="7332">
        <v>45.0</v>
      </c>
      <c r="N74" s="7334">
        <v>90.0</v>
      </c>
      <c r="O74" s="7321"/>
      <c r="P74" s="7347">
        <v>53.0</v>
      </c>
      <c r="Q74" s="7348" t="str">
        <f t="shared" si="9"/>
        <v/>
      </c>
      <c r="R74" s="7324"/>
    </row>
    <row r="75" ht="18.75" customHeight="1">
      <c r="A75" s="7316"/>
      <c r="B75" s="7337" t="s">
        <v>1182</v>
      </c>
      <c r="C75" s="7338" t="s">
        <v>1994</v>
      </c>
      <c r="D75" s="7339"/>
      <c r="E75" s="7338" t="s">
        <v>1948</v>
      </c>
      <c r="F75" s="7338" t="str">
        <f t="shared" si="1"/>
        <v/>
      </c>
      <c r="G75" s="7338"/>
      <c r="H75" s="7338" t="str">
        <f t="shared" si="2"/>
        <v/>
      </c>
      <c r="I75" s="7338">
        <v>35.0</v>
      </c>
      <c r="J75" s="7338">
        <v>100.0</v>
      </c>
      <c r="K75" s="7338">
        <v>50.0</v>
      </c>
      <c r="L75" s="7338">
        <v>50.0</v>
      </c>
      <c r="M75" s="7338">
        <v>70.0</v>
      </c>
      <c r="N75" s="7340">
        <v>120.0</v>
      </c>
      <c r="O75" s="7321"/>
      <c r="P75" s="7347">
        <v>54.0</v>
      </c>
      <c r="Q75" s="7348" t="str">
        <f t="shared" si="9"/>
        <v/>
      </c>
      <c r="R75" s="7324"/>
    </row>
    <row r="76" ht="18.75" customHeight="1">
      <c r="A76" s="7316"/>
      <c r="B76" s="7331" t="s">
        <v>1175</v>
      </c>
      <c r="C76" s="7341" t="s">
        <v>1995</v>
      </c>
      <c r="D76" s="7333"/>
      <c r="E76" s="7341" t="s">
        <v>1948</v>
      </c>
      <c r="F76" s="7341" t="str">
        <f t="shared" si="1"/>
        <v/>
      </c>
      <c r="G76" s="7341" t="s">
        <v>1929</v>
      </c>
      <c r="H76" s="7341" t="str">
        <f t="shared" si="2"/>
        <v/>
      </c>
      <c r="I76" s="7332">
        <v>35.0</v>
      </c>
      <c r="J76" s="7332">
        <v>110.0</v>
      </c>
      <c r="K76" s="7332">
        <v>60.0</v>
      </c>
      <c r="L76" s="7332">
        <v>50.0</v>
      </c>
      <c r="M76" s="7332">
        <v>70.0</v>
      </c>
      <c r="N76" s="7334">
        <v>110.0</v>
      </c>
      <c r="O76" s="7321"/>
      <c r="P76" s="7347">
        <v>55.0</v>
      </c>
      <c r="Q76" s="7348" t="str">
        <f t="shared" si="9"/>
        <v/>
      </c>
      <c r="R76" s="7324"/>
    </row>
    <row r="77" ht="18.75" customHeight="1">
      <c r="A77" s="7316"/>
      <c r="B77" s="7337" t="s">
        <v>1996</v>
      </c>
      <c r="C77" s="7338" t="s">
        <v>1997</v>
      </c>
      <c r="D77" s="7339"/>
      <c r="E77" s="7338" t="s">
        <v>1901</v>
      </c>
      <c r="F77" s="7338" t="str">
        <f t="shared" si="1"/>
        <v/>
      </c>
      <c r="G77" s="7338"/>
      <c r="H77" s="7338" t="str">
        <f t="shared" si="2"/>
        <v/>
      </c>
      <c r="I77" s="7338">
        <v>40.0</v>
      </c>
      <c r="J77" s="7338">
        <v>45.0</v>
      </c>
      <c r="K77" s="7338">
        <v>35.0</v>
      </c>
      <c r="L77" s="7338">
        <v>40.0</v>
      </c>
      <c r="M77" s="7338">
        <v>40.0</v>
      </c>
      <c r="N77" s="7340">
        <v>90.0</v>
      </c>
      <c r="O77" s="7321"/>
      <c r="P77" s="7347">
        <v>56.0</v>
      </c>
      <c r="Q77" s="7348" t="str">
        <f t="shared" si="9"/>
        <v/>
      </c>
      <c r="R77" s="7324"/>
    </row>
    <row r="78" ht="18.75" customHeight="1">
      <c r="A78" s="7316"/>
      <c r="B78" s="7331" t="s">
        <v>1998</v>
      </c>
      <c r="C78" s="7341" t="s">
        <v>1999</v>
      </c>
      <c r="D78" s="7333"/>
      <c r="E78" s="7341" t="s">
        <v>1911</v>
      </c>
      <c r="F78" s="7341" t="str">
        <f t="shared" si="1"/>
        <v/>
      </c>
      <c r="G78" s="7341"/>
      <c r="H78" s="7341" t="str">
        <f t="shared" si="2"/>
        <v/>
      </c>
      <c r="I78" s="7332">
        <v>40.0</v>
      </c>
      <c r="J78" s="7332">
        <v>35.0</v>
      </c>
      <c r="K78" s="7332">
        <v>35.0</v>
      </c>
      <c r="L78" s="7332">
        <v>40.0</v>
      </c>
      <c r="M78" s="7332">
        <v>40.0</v>
      </c>
      <c r="N78" s="7334">
        <v>90.0</v>
      </c>
      <c r="O78" s="7321"/>
      <c r="P78" s="7347">
        <v>57.0</v>
      </c>
      <c r="Q78" s="7348" t="str">
        <f t="shared" si="9"/>
        <v/>
      </c>
      <c r="R78" s="7324"/>
    </row>
    <row r="79" ht="18.75" customHeight="1">
      <c r="A79" s="7316"/>
      <c r="B79" s="7337" t="s">
        <v>2000</v>
      </c>
      <c r="C79" s="7342" t="s">
        <v>2001</v>
      </c>
      <c r="D79" s="7339"/>
      <c r="E79" s="7342" t="s">
        <v>1929</v>
      </c>
      <c r="F79" s="7342" t="str">
        <f t="shared" si="1"/>
        <v/>
      </c>
      <c r="G79" s="7342"/>
      <c r="H79" s="7342" t="str">
        <f t="shared" si="2"/>
        <v/>
      </c>
      <c r="I79" s="7338">
        <v>50.0</v>
      </c>
      <c r="J79" s="7338">
        <v>65.0</v>
      </c>
      <c r="K79" s="7338">
        <v>55.0</v>
      </c>
      <c r="L79" s="7338">
        <v>40.0</v>
      </c>
      <c r="M79" s="7338">
        <v>40.0</v>
      </c>
      <c r="N79" s="7340">
        <v>40.0</v>
      </c>
      <c r="O79" s="7321"/>
      <c r="P79" s="7347">
        <v>58.0</v>
      </c>
      <c r="Q79" s="7348" t="str">
        <f t="shared" si="9"/>
        <v/>
      </c>
      <c r="R79" s="7324"/>
    </row>
    <row r="80" ht="18.75" customHeight="1">
      <c r="A80" s="7316"/>
      <c r="B80" s="7331" t="s">
        <v>1404</v>
      </c>
      <c r="C80" s="7332" t="s">
        <v>2002</v>
      </c>
      <c r="D80" s="7333"/>
      <c r="E80" s="7332" t="s">
        <v>1901</v>
      </c>
      <c r="F80" s="7332" t="str">
        <f t="shared" si="1"/>
        <v/>
      </c>
      <c r="G80" s="7332"/>
      <c r="H80" s="7332" t="str">
        <f t="shared" si="2"/>
        <v/>
      </c>
      <c r="I80" s="7332">
        <v>65.0</v>
      </c>
      <c r="J80" s="7332">
        <v>80.0</v>
      </c>
      <c r="K80" s="7332">
        <v>60.0</v>
      </c>
      <c r="L80" s="7332">
        <v>60.0</v>
      </c>
      <c r="M80" s="7332">
        <v>65.0</v>
      </c>
      <c r="N80" s="7334">
        <v>115.0</v>
      </c>
      <c r="O80" s="7321"/>
      <c r="P80" s="7347">
        <v>59.0</v>
      </c>
      <c r="Q80" s="7348" t="str">
        <f t="shared" si="9"/>
        <v/>
      </c>
      <c r="R80" s="7324"/>
    </row>
    <row r="81" ht="18.75" customHeight="1">
      <c r="A81" s="7316"/>
      <c r="B81" s="7337" t="s">
        <v>839</v>
      </c>
      <c r="C81" s="7342" t="s">
        <v>2003</v>
      </c>
      <c r="D81" s="7339"/>
      <c r="E81" s="7342" t="s">
        <v>1911</v>
      </c>
      <c r="F81" s="7342" t="str">
        <f t="shared" si="1"/>
        <v/>
      </c>
      <c r="G81" s="7342"/>
      <c r="H81" s="7342" t="str">
        <f t="shared" si="2"/>
        <v/>
      </c>
      <c r="I81" s="7338">
        <v>65.0</v>
      </c>
      <c r="J81" s="7338">
        <v>60.0</v>
      </c>
      <c r="K81" s="7338">
        <v>60.0</v>
      </c>
      <c r="L81" s="7338">
        <v>55.0</v>
      </c>
      <c r="M81" s="7338">
        <v>65.0</v>
      </c>
      <c r="N81" s="7340">
        <v>115.0</v>
      </c>
      <c r="O81" s="7321"/>
      <c r="P81" s="7347">
        <v>60.0</v>
      </c>
      <c r="Q81" s="7348" t="str">
        <f t="shared" ref="Q81:Q90" si="10">IMAGE("https://i.ibb.co/0Byqnk4/Yellow3.png",1)</f>
        <v/>
      </c>
      <c r="R81" s="7324"/>
    </row>
    <row r="82" ht="18.75" customHeight="1">
      <c r="A82" s="7316"/>
      <c r="B82" s="7331" t="s">
        <v>2004</v>
      </c>
      <c r="C82" s="7332" t="s">
        <v>2005</v>
      </c>
      <c r="D82" s="7333"/>
      <c r="E82" s="7332" t="s">
        <v>1871</v>
      </c>
      <c r="F82" s="7332" t="str">
        <f t="shared" si="1"/>
        <v/>
      </c>
      <c r="G82" s="7332"/>
      <c r="H82" s="7332" t="str">
        <f t="shared" si="2"/>
        <v/>
      </c>
      <c r="I82" s="7332">
        <v>50.0</v>
      </c>
      <c r="J82" s="7332">
        <v>52.0</v>
      </c>
      <c r="K82" s="7332">
        <v>48.0</v>
      </c>
      <c r="L82" s="7332">
        <v>65.0</v>
      </c>
      <c r="M82" s="7332">
        <v>50.0</v>
      </c>
      <c r="N82" s="7334">
        <v>55.0</v>
      </c>
      <c r="O82" s="7321"/>
      <c r="P82" s="7347">
        <v>61.0</v>
      </c>
      <c r="Q82" s="7348" t="str">
        <f t="shared" si="10"/>
        <v/>
      </c>
      <c r="R82" s="7324"/>
    </row>
    <row r="83" ht="18.75" customHeight="1">
      <c r="A83" s="7316"/>
      <c r="B83" s="7337" t="s">
        <v>1791</v>
      </c>
      <c r="C83" s="7338" t="s">
        <v>2006</v>
      </c>
      <c r="D83" s="7339"/>
      <c r="E83" s="7338" t="s">
        <v>1871</v>
      </c>
      <c r="F83" s="7338" t="str">
        <f t="shared" si="1"/>
        <v/>
      </c>
      <c r="G83" s="7338" t="s">
        <v>561</v>
      </c>
      <c r="H83" s="7338" t="str">
        <f t="shared" si="2"/>
        <v/>
      </c>
      <c r="I83" s="7338">
        <v>80.0</v>
      </c>
      <c r="J83" s="7338">
        <v>82.0</v>
      </c>
      <c r="K83" s="7338">
        <v>78.0</v>
      </c>
      <c r="L83" s="7338">
        <v>100.0</v>
      </c>
      <c r="M83" s="7338">
        <v>80.0</v>
      </c>
      <c r="N83" s="7340">
        <v>100.0</v>
      </c>
      <c r="O83" s="7321"/>
      <c r="P83" s="7347">
        <v>62.0</v>
      </c>
      <c r="Q83" s="7348" t="str">
        <f t="shared" si="10"/>
        <v/>
      </c>
      <c r="R83" s="7324"/>
    </row>
    <row r="84" ht="18.75" customHeight="1">
      <c r="A84" s="7316"/>
      <c r="B84" s="7331" t="s">
        <v>2007</v>
      </c>
      <c r="C84" s="7332" t="s">
        <v>2008</v>
      </c>
      <c r="D84" s="7333"/>
      <c r="E84" s="7332" t="s">
        <v>1939</v>
      </c>
      <c r="F84" s="7332" t="str">
        <f t="shared" si="1"/>
        <v/>
      </c>
      <c r="G84" s="7332"/>
      <c r="H84" s="7332" t="str">
        <f t="shared" si="2"/>
        <v/>
      </c>
      <c r="I84" s="7332">
        <v>40.0</v>
      </c>
      <c r="J84" s="7332">
        <v>80.0</v>
      </c>
      <c r="K84" s="7332">
        <v>35.0</v>
      </c>
      <c r="L84" s="7332">
        <v>35.0</v>
      </c>
      <c r="M84" s="7332">
        <v>45.0</v>
      </c>
      <c r="N84" s="7334">
        <v>70.0</v>
      </c>
      <c r="O84" s="7321"/>
      <c r="P84" s="7347">
        <v>63.0</v>
      </c>
      <c r="Q84" s="7348" t="str">
        <f t="shared" si="10"/>
        <v/>
      </c>
      <c r="R84" s="7324"/>
    </row>
    <row r="85" ht="18.75" customHeight="1">
      <c r="A85" s="7316"/>
      <c r="B85" s="7337" t="s">
        <v>2009</v>
      </c>
      <c r="C85" s="7338" t="s">
        <v>2010</v>
      </c>
      <c r="D85" s="7339"/>
      <c r="E85" s="7338" t="s">
        <v>1939</v>
      </c>
      <c r="F85" s="7338" t="str">
        <f t="shared" si="1"/>
        <v/>
      </c>
      <c r="G85" s="7338"/>
      <c r="H85" s="7338" t="str">
        <f t="shared" si="2"/>
        <v/>
      </c>
      <c r="I85" s="7338">
        <v>65.0</v>
      </c>
      <c r="J85" s="7338">
        <v>105.0</v>
      </c>
      <c r="K85" s="7338">
        <v>60.0</v>
      </c>
      <c r="L85" s="7338">
        <v>60.0</v>
      </c>
      <c r="M85" s="7338">
        <v>70.0</v>
      </c>
      <c r="N85" s="7340">
        <v>95.0</v>
      </c>
      <c r="O85" s="7321"/>
      <c r="P85" s="7347">
        <v>64.0</v>
      </c>
      <c r="Q85" s="7348" t="str">
        <f t="shared" si="10"/>
        <v/>
      </c>
      <c r="R85" s="7324"/>
    </row>
    <row r="86" ht="18.75" customHeight="1">
      <c r="A86" s="7316"/>
      <c r="B86" s="7331" t="s">
        <v>827</v>
      </c>
      <c r="C86" s="7332" t="s">
        <v>2011</v>
      </c>
      <c r="D86" s="7333"/>
      <c r="E86" s="7332" t="s">
        <v>1858</v>
      </c>
      <c r="F86" s="7332" t="str">
        <f t="shared" si="1"/>
        <v/>
      </c>
      <c r="G86" s="7332"/>
      <c r="H86" s="7332" t="str">
        <f t="shared" si="2"/>
        <v/>
      </c>
      <c r="I86" s="7332">
        <v>55.0</v>
      </c>
      <c r="J86" s="7332">
        <v>70.0</v>
      </c>
      <c r="K86" s="7332">
        <v>45.0</v>
      </c>
      <c r="L86" s="7332">
        <v>70.0</v>
      </c>
      <c r="M86" s="7332">
        <v>50.0</v>
      </c>
      <c r="N86" s="7334">
        <v>60.0</v>
      </c>
      <c r="O86" s="7321"/>
      <c r="P86" s="7347">
        <v>65.0</v>
      </c>
      <c r="Q86" s="7348" t="str">
        <f t="shared" si="10"/>
        <v/>
      </c>
      <c r="R86" s="7324"/>
    </row>
    <row r="87" ht="18.75" customHeight="1">
      <c r="A87" s="7316"/>
      <c r="B87" s="7337" t="s">
        <v>2012</v>
      </c>
      <c r="C87" s="7342" t="s">
        <v>2013</v>
      </c>
      <c r="D87" s="7339"/>
      <c r="E87" s="7342" t="s">
        <v>1858</v>
      </c>
      <c r="F87" s="7342" t="str">
        <f t="shared" si="1"/>
        <v/>
      </c>
      <c r="G87" s="7342" t="s">
        <v>2014</v>
      </c>
      <c r="H87" s="7342" t="str">
        <f t="shared" si="2"/>
        <v/>
      </c>
      <c r="I87" s="7338">
        <v>60.0</v>
      </c>
      <c r="J87" s="7338">
        <v>75.0</v>
      </c>
      <c r="K87" s="7338">
        <v>45.0</v>
      </c>
      <c r="L87" s="7338">
        <v>65.0</v>
      </c>
      <c r="M87" s="7338">
        <v>50.0</v>
      </c>
      <c r="N87" s="7340">
        <v>55.0</v>
      </c>
      <c r="O87" s="7321"/>
      <c r="P87" s="7347">
        <v>66.0</v>
      </c>
      <c r="Q87" s="7348" t="str">
        <f t="shared" si="10"/>
        <v/>
      </c>
      <c r="R87" s="7324"/>
    </row>
    <row r="88" ht="18.75" customHeight="1">
      <c r="A88" s="7316"/>
      <c r="B88" s="7331" t="s">
        <v>2015</v>
      </c>
      <c r="C88" s="7332" t="s">
        <v>2016</v>
      </c>
      <c r="D88" s="7333"/>
      <c r="E88" s="7332" t="s">
        <v>1858</v>
      </c>
      <c r="F88" s="7332" t="str">
        <f t="shared" si="1"/>
        <v/>
      </c>
      <c r="G88" s="7332"/>
      <c r="H88" s="7332" t="str">
        <f t="shared" si="2"/>
        <v/>
      </c>
      <c r="I88" s="7332">
        <v>90.0</v>
      </c>
      <c r="J88" s="7332">
        <v>110.0</v>
      </c>
      <c r="K88" s="7332">
        <v>80.0</v>
      </c>
      <c r="L88" s="7332">
        <v>100.0</v>
      </c>
      <c r="M88" s="7332">
        <v>80.0</v>
      </c>
      <c r="N88" s="7334">
        <v>95.0</v>
      </c>
      <c r="O88" s="7321"/>
      <c r="P88" s="7347">
        <v>67.0</v>
      </c>
      <c r="Q88" s="7348" t="str">
        <f t="shared" si="10"/>
        <v/>
      </c>
      <c r="R88" s="7324"/>
    </row>
    <row r="89" ht="18.75" customHeight="1">
      <c r="A89" s="7316"/>
      <c r="B89" s="7337" t="s">
        <v>418</v>
      </c>
      <c r="C89" s="7342" t="s">
        <v>2017</v>
      </c>
      <c r="D89" s="7339"/>
      <c r="E89" s="7342" t="s">
        <v>1858</v>
      </c>
      <c r="F89" s="7342" t="str">
        <f t="shared" si="1"/>
        <v/>
      </c>
      <c r="G89" s="7342" t="s">
        <v>2014</v>
      </c>
      <c r="H89" s="7342" t="str">
        <f t="shared" si="2"/>
        <v/>
      </c>
      <c r="I89" s="7338">
        <v>95.0</v>
      </c>
      <c r="J89" s="7338">
        <v>125.0</v>
      </c>
      <c r="K89" s="7338">
        <v>80.0</v>
      </c>
      <c r="L89" s="7338">
        <v>85.0</v>
      </c>
      <c r="M89" s="7338">
        <v>80.0</v>
      </c>
      <c r="N89" s="7340">
        <v>90.0</v>
      </c>
      <c r="O89" s="7321"/>
      <c r="P89" s="7347">
        <v>68.0</v>
      </c>
      <c r="Q89" s="7348" t="str">
        <f t="shared" si="10"/>
        <v/>
      </c>
      <c r="R89" s="7324"/>
    </row>
    <row r="90" ht="18.75" customHeight="1">
      <c r="A90" s="7316"/>
      <c r="B90" s="7331" t="s">
        <v>2018</v>
      </c>
      <c r="C90" s="7332" t="s">
        <v>2019</v>
      </c>
      <c r="D90" s="7333"/>
      <c r="E90" s="7332" t="s">
        <v>1871</v>
      </c>
      <c r="F90" s="7332" t="str">
        <f t="shared" si="1"/>
        <v/>
      </c>
      <c r="G90" s="7332"/>
      <c r="H90" s="7332" t="str">
        <f t="shared" si="2"/>
        <v/>
      </c>
      <c r="I90" s="7332">
        <v>40.0</v>
      </c>
      <c r="J90" s="7332">
        <v>50.0</v>
      </c>
      <c r="K90" s="7332">
        <v>40.0</v>
      </c>
      <c r="L90" s="7332">
        <v>40.0</v>
      </c>
      <c r="M90" s="7332">
        <v>40.0</v>
      </c>
      <c r="N90" s="7334">
        <v>90.0</v>
      </c>
      <c r="O90" s="7321"/>
      <c r="P90" s="7347">
        <v>69.0</v>
      </c>
      <c r="Q90" s="7348" t="str">
        <f t="shared" si="10"/>
        <v/>
      </c>
      <c r="R90" s="7324"/>
    </row>
    <row r="91" ht="18.75" customHeight="1">
      <c r="A91" s="7316"/>
      <c r="B91" s="7337" t="s">
        <v>2020</v>
      </c>
      <c r="C91" s="7338" t="s">
        <v>2021</v>
      </c>
      <c r="D91" s="7339"/>
      <c r="E91" s="7338" t="s">
        <v>1871</v>
      </c>
      <c r="F91" s="7338" t="str">
        <f t="shared" si="1"/>
        <v/>
      </c>
      <c r="G91" s="7338"/>
      <c r="H91" s="7338" t="str">
        <f t="shared" si="2"/>
        <v/>
      </c>
      <c r="I91" s="7338">
        <v>65.0</v>
      </c>
      <c r="J91" s="7338">
        <v>65.0</v>
      </c>
      <c r="K91" s="7338">
        <v>65.0</v>
      </c>
      <c r="L91" s="7338">
        <v>50.0</v>
      </c>
      <c r="M91" s="7338">
        <v>50.0</v>
      </c>
      <c r="N91" s="7340">
        <v>90.0</v>
      </c>
      <c r="O91" s="7321"/>
      <c r="P91" s="7347">
        <v>70.0</v>
      </c>
      <c r="Q91" s="7348" t="str">
        <f t="shared" ref="Q91:Q100" si="11">IMAGE("https://i.ibb.co/hgC8mHL/Yellow2.png",1)</f>
        <v/>
      </c>
      <c r="R91" s="7324"/>
    </row>
    <row r="92" ht="18.75" customHeight="1">
      <c r="A92" s="7316"/>
      <c r="B92" s="7331" t="s">
        <v>2022</v>
      </c>
      <c r="C92" s="7332" t="s">
        <v>2023</v>
      </c>
      <c r="D92" s="7333"/>
      <c r="E92" s="7332" t="s">
        <v>1871</v>
      </c>
      <c r="F92" s="7332" t="str">
        <f t="shared" si="1"/>
        <v/>
      </c>
      <c r="G92" s="7332" t="s">
        <v>1939</v>
      </c>
      <c r="H92" s="7332" t="str">
        <f t="shared" si="2"/>
        <v/>
      </c>
      <c r="I92" s="7332">
        <v>90.0</v>
      </c>
      <c r="J92" s="7332">
        <v>95.0</v>
      </c>
      <c r="K92" s="7332">
        <v>95.0</v>
      </c>
      <c r="L92" s="7332">
        <v>70.0</v>
      </c>
      <c r="M92" s="7332">
        <v>90.0</v>
      </c>
      <c r="N92" s="7334">
        <v>70.0</v>
      </c>
      <c r="O92" s="7321"/>
      <c r="P92" s="7347">
        <v>71.0</v>
      </c>
      <c r="Q92" s="7348" t="str">
        <f t="shared" si="11"/>
        <v/>
      </c>
      <c r="R92" s="7324"/>
    </row>
    <row r="93" ht="18.75" customHeight="1">
      <c r="A93" s="7316"/>
      <c r="B93" s="7337" t="s">
        <v>2024</v>
      </c>
      <c r="C93" s="7338" t="s">
        <v>2025</v>
      </c>
      <c r="D93" s="7339"/>
      <c r="E93" s="7338" t="s">
        <v>561</v>
      </c>
      <c r="F93" s="7338" t="str">
        <f t="shared" si="1"/>
        <v/>
      </c>
      <c r="G93" s="7338"/>
      <c r="H93" s="7338" t="str">
        <f t="shared" si="2"/>
        <v/>
      </c>
      <c r="I93" s="7338">
        <v>25.0</v>
      </c>
      <c r="J93" s="7338">
        <v>20.0</v>
      </c>
      <c r="K93" s="7338">
        <v>15.0</v>
      </c>
      <c r="L93" s="7338">
        <v>105.0</v>
      </c>
      <c r="M93" s="7338">
        <v>55.0</v>
      </c>
      <c r="N93" s="7340">
        <v>90.0</v>
      </c>
      <c r="O93" s="7321"/>
      <c r="P93" s="7347">
        <v>72.0</v>
      </c>
      <c r="Q93" s="7348" t="str">
        <f t="shared" si="11"/>
        <v/>
      </c>
      <c r="R93" s="7324"/>
    </row>
    <row r="94" ht="18.75" customHeight="1">
      <c r="A94" s="7316"/>
      <c r="B94" s="7331" t="s">
        <v>2026</v>
      </c>
      <c r="C94" s="7332" t="s">
        <v>2027</v>
      </c>
      <c r="D94" s="7333"/>
      <c r="E94" s="7332" t="s">
        <v>561</v>
      </c>
      <c r="F94" s="7332" t="str">
        <f t="shared" si="1"/>
        <v/>
      </c>
      <c r="G94" s="7332"/>
      <c r="H94" s="7332" t="str">
        <f t="shared" si="2"/>
        <v/>
      </c>
      <c r="I94" s="7332">
        <v>40.0</v>
      </c>
      <c r="J94" s="7332">
        <v>35.0</v>
      </c>
      <c r="K94" s="7332">
        <v>30.0</v>
      </c>
      <c r="L94" s="7332">
        <v>120.0</v>
      </c>
      <c r="M94" s="7332">
        <v>70.0</v>
      </c>
      <c r="N94" s="7334">
        <v>105.0</v>
      </c>
      <c r="O94" s="7321"/>
      <c r="P94" s="7347">
        <v>73.0</v>
      </c>
      <c r="Q94" s="7348" t="str">
        <f t="shared" si="11"/>
        <v/>
      </c>
      <c r="R94" s="7324"/>
    </row>
    <row r="95" ht="18.75" customHeight="1">
      <c r="A95" s="7316"/>
      <c r="B95" s="7337" t="s">
        <v>1813</v>
      </c>
      <c r="C95" s="7338" t="s">
        <v>2028</v>
      </c>
      <c r="D95" s="7339"/>
      <c r="E95" s="7338" t="s">
        <v>561</v>
      </c>
      <c r="F95" s="7338" t="str">
        <f t="shared" si="1"/>
        <v/>
      </c>
      <c r="G95" s="7338"/>
      <c r="H95" s="7338" t="str">
        <f t="shared" si="2"/>
        <v/>
      </c>
      <c r="I95" s="7338">
        <v>55.0</v>
      </c>
      <c r="J95" s="7338">
        <v>50.0</v>
      </c>
      <c r="K95" s="7338">
        <v>45.0</v>
      </c>
      <c r="L95" s="7338">
        <v>135.0</v>
      </c>
      <c r="M95" s="7338">
        <v>95.0</v>
      </c>
      <c r="N95" s="7340">
        <v>120.0</v>
      </c>
      <c r="O95" s="7321"/>
      <c r="P95" s="7347">
        <v>74.0</v>
      </c>
      <c r="Q95" s="7348" t="str">
        <f t="shared" si="11"/>
        <v/>
      </c>
      <c r="R95" s="7324"/>
    </row>
    <row r="96" ht="18.75" customHeight="1">
      <c r="A96" s="7316"/>
      <c r="B96" s="7331" t="s">
        <v>1640</v>
      </c>
      <c r="C96" s="7341" t="s">
        <v>2029</v>
      </c>
      <c r="D96" s="7333"/>
      <c r="E96" s="7341" t="s">
        <v>561</v>
      </c>
      <c r="F96" s="7341" t="str">
        <f t="shared" si="1"/>
        <v/>
      </c>
      <c r="G96" s="7341"/>
      <c r="H96" s="7341" t="str">
        <f t="shared" si="2"/>
        <v/>
      </c>
      <c r="I96" s="7332">
        <v>55.0</v>
      </c>
      <c r="J96" s="7332">
        <v>50.0</v>
      </c>
      <c r="K96" s="7332">
        <v>65.0</v>
      </c>
      <c r="L96" s="7332">
        <v>175.0</v>
      </c>
      <c r="M96" s="7332">
        <v>105.0</v>
      </c>
      <c r="N96" s="7334">
        <v>150.0</v>
      </c>
      <c r="O96" s="7321"/>
      <c r="P96" s="7347">
        <v>75.0</v>
      </c>
      <c r="Q96" s="7348" t="str">
        <f t="shared" si="11"/>
        <v/>
      </c>
      <c r="R96" s="7324"/>
    </row>
    <row r="97" ht="18.75" customHeight="1">
      <c r="A97" s="7316"/>
      <c r="B97" s="7337" t="s">
        <v>2030</v>
      </c>
      <c r="C97" s="7338" t="s">
        <v>2031</v>
      </c>
      <c r="D97" s="7339"/>
      <c r="E97" s="7338" t="s">
        <v>1939</v>
      </c>
      <c r="F97" s="7338" t="str">
        <f t="shared" si="1"/>
        <v/>
      </c>
      <c r="G97" s="7338"/>
      <c r="H97" s="7338" t="str">
        <f t="shared" si="2"/>
        <v/>
      </c>
      <c r="I97" s="7338">
        <v>70.0</v>
      </c>
      <c r="J97" s="7338">
        <v>80.0</v>
      </c>
      <c r="K97" s="7338">
        <v>50.0</v>
      </c>
      <c r="L97" s="7338">
        <v>35.0</v>
      </c>
      <c r="M97" s="7338">
        <v>35.0</v>
      </c>
      <c r="N97" s="7340">
        <v>35.0</v>
      </c>
      <c r="O97" s="7321"/>
      <c r="P97" s="7347">
        <v>76.0</v>
      </c>
      <c r="Q97" s="7348" t="str">
        <f t="shared" si="11"/>
        <v/>
      </c>
      <c r="R97" s="7324"/>
    </row>
    <row r="98" ht="18.75" customHeight="1">
      <c r="A98" s="7316"/>
      <c r="B98" s="7331" t="s">
        <v>2032</v>
      </c>
      <c r="C98" s="7332" t="s">
        <v>2033</v>
      </c>
      <c r="D98" s="7333"/>
      <c r="E98" s="7332" t="s">
        <v>1939</v>
      </c>
      <c r="F98" s="7332" t="str">
        <f t="shared" si="1"/>
        <v/>
      </c>
      <c r="G98" s="7332"/>
      <c r="H98" s="7332" t="str">
        <f t="shared" si="2"/>
        <v/>
      </c>
      <c r="I98" s="7332">
        <v>80.0</v>
      </c>
      <c r="J98" s="7332">
        <v>100.0</v>
      </c>
      <c r="K98" s="7332">
        <v>70.0</v>
      </c>
      <c r="L98" s="7332">
        <v>50.0</v>
      </c>
      <c r="M98" s="7332">
        <v>60.0</v>
      </c>
      <c r="N98" s="7334">
        <v>45.0</v>
      </c>
      <c r="O98" s="7321"/>
      <c r="P98" s="7347">
        <v>77.0</v>
      </c>
      <c r="Q98" s="7348" t="str">
        <f t="shared" si="11"/>
        <v/>
      </c>
      <c r="R98" s="7324"/>
    </row>
    <row r="99" ht="18.75" customHeight="1">
      <c r="A99" s="7316"/>
      <c r="B99" s="7337" t="s">
        <v>1514</v>
      </c>
      <c r="C99" s="7338" t="s">
        <v>2034</v>
      </c>
      <c r="D99" s="7339"/>
      <c r="E99" s="7338" t="s">
        <v>1939</v>
      </c>
      <c r="F99" s="7338" t="str">
        <f t="shared" si="1"/>
        <v/>
      </c>
      <c r="G99" s="7338"/>
      <c r="H99" s="7338" t="str">
        <f t="shared" si="2"/>
        <v/>
      </c>
      <c r="I99" s="7338">
        <v>90.0</v>
      </c>
      <c r="J99" s="7338">
        <v>130.0</v>
      </c>
      <c r="K99" s="7338">
        <v>80.0</v>
      </c>
      <c r="L99" s="7338">
        <v>65.0</v>
      </c>
      <c r="M99" s="7338">
        <v>85.0</v>
      </c>
      <c r="N99" s="7340">
        <v>55.0</v>
      </c>
      <c r="O99" s="7321"/>
      <c r="P99" s="7347">
        <v>78.0</v>
      </c>
      <c r="Q99" s="7348" t="str">
        <f t="shared" si="11"/>
        <v/>
      </c>
      <c r="R99" s="7324"/>
    </row>
    <row r="100" ht="18.75" customHeight="1">
      <c r="A100" s="7316"/>
      <c r="B100" s="7331" t="s">
        <v>1366</v>
      </c>
      <c r="C100" s="7341" t="s">
        <v>2035</v>
      </c>
      <c r="D100" s="7333"/>
      <c r="E100" s="7341" t="s">
        <v>1939</v>
      </c>
      <c r="F100" s="7341" t="str">
        <f t="shared" si="1"/>
        <v/>
      </c>
      <c r="G100" s="7341"/>
      <c r="H100" s="7341" t="str">
        <f t="shared" si="2"/>
        <v/>
      </c>
      <c r="I100" s="7332">
        <v>90.0</v>
      </c>
      <c r="J100" s="7332">
        <v>145.0</v>
      </c>
      <c r="K100" s="7332">
        <v>110.0</v>
      </c>
      <c r="L100" s="7332">
        <v>65.0</v>
      </c>
      <c r="M100" s="7332">
        <v>115.0</v>
      </c>
      <c r="N100" s="7334">
        <v>75.0</v>
      </c>
      <c r="O100" s="7321"/>
      <c r="P100" s="7347">
        <v>79.0</v>
      </c>
      <c r="Q100" s="7348" t="str">
        <f t="shared" si="11"/>
        <v/>
      </c>
      <c r="R100" s="7324"/>
    </row>
    <row r="101" ht="18.75" customHeight="1">
      <c r="A101" s="7316"/>
      <c r="B101" s="7337" t="s">
        <v>2036</v>
      </c>
      <c r="C101" s="7338" t="s">
        <v>2037</v>
      </c>
      <c r="D101" s="7339"/>
      <c r="E101" s="7338" t="s">
        <v>1848</v>
      </c>
      <c r="F101" s="7338" t="str">
        <f t="shared" si="1"/>
        <v/>
      </c>
      <c r="G101" s="7338" t="s">
        <v>1849</v>
      </c>
      <c r="H101" s="7338" t="str">
        <f t="shared" si="2"/>
        <v/>
      </c>
      <c r="I101" s="7338">
        <v>50.0</v>
      </c>
      <c r="J101" s="7338">
        <v>75.0</v>
      </c>
      <c r="K101" s="7338">
        <v>35.0</v>
      </c>
      <c r="L101" s="7338">
        <v>70.0</v>
      </c>
      <c r="M101" s="7338">
        <v>30.0</v>
      </c>
      <c r="N101" s="7340">
        <v>40.0</v>
      </c>
      <c r="O101" s="7321"/>
      <c r="P101" s="7347">
        <v>80.0</v>
      </c>
      <c r="Q101" s="7348" t="str">
        <f t="shared" ref="Q101:Q110" si="12">IMAGE("https://i.ibb.co/fYWZzz1/Yellow.png",1)</f>
        <v/>
      </c>
      <c r="R101" s="7324"/>
    </row>
    <row r="102" ht="18.75" customHeight="1">
      <c r="A102" s="7316"/>
      <c r="B102" s="7331" t="s">
        <v>2038</v>
      </c>
      <c r="C102" s="7332" t="s">
        <v>2039</v>
      </c>
      <c r="D102" s="7333"/>
      <c r="E102" s="7332" t="s">
        <v>1848</v>
      </c>
      <c r="F102" s="7332" t="str">
        <f t="shared" si="1"/>
        <v/>
      </c>
      <c r="G102" s="7332" t="s">
        <v>1849</v>
      </c>
      <c r="H102" s="7332" t="str">
        <f t="shared" si="2"/>
        <v/>
      </c>
      <c r="I102" s="7332">
        <v>65.0</v>
      </c>
      <c r="J102" s="7332">
        <v>90.0</v>
      </c>
      <c r="K102" s="7332">
        <v>50.0</v>
      </c>
      <c r="L102" s="7332">
        <v>85.0</v>
      </c>
      <c r="M102" s="7332">
        <v>45.0</v>
      </c>
      <c r="N102" s="7334">
        <v>55.0</v>
      </c>
      <c r="O102" s="7321"/>
      <c r="P102" s="7347">
        <v>81.0</v>
      </c>
      <c r="Q102" s="7348" t="str">
        <f t="shared" si="12"/>
        <v/>
      </c>
      <c r="R102" s="7324"/>
    </row>
    <row r="103" ht="18.75" customHeight="1">
      <c r="A103" s="7316"/>
      <c r="B103" s="7337" t="s">
        <v>2040</v>
      </c>
      <c r="C103" s="7338" t="s">
        <v>2041</v>
      </c>
      <c r="D103" s="7339"/>
      <c r="E103" s="7338" t="s">
        <v>1848</v>
      </c>
      <c r="F103" s="7338" t="str">
        <f t="shared" si="1"/>
        <v/>
      </c>
      <c r="G103" s="7338" t="s">
        <v>1849</v>
      </c>
      <c r="H103" s="7338" t="str">
        <f t="shared" si="2"/>
        <v/>
      </c>
      <c r="I103" s="7338">
        <v>80.0</v>
      </c>
      <c r="J103" s="7338">
        <v>105.0</v>
      </c>
      <c r="K103" s="7338">
        <v>70.0</v>
      </c>
      <c r="L103" s="7338">
        <v>100.0</v>
      </c>
      <c r="M103" s="7338">
        <v>75.0</v>
      </c>
      <c r="N103" s="7340">
        <v>70.0</v>
      </c>
      <c r="O103" s="7321"/>
      <c r="P103" s="7347">
        <v>82.0</v>
      </c>
      <c r="Q103" s="7348" t="str">
        <f t="shared" si="12"/>
        <v/>
      </c>
      <c r="R103" s="7324"/>
    </row>
    <row r="104" ht="18.75" customHeight="1">
      <c r="A104" s="7316"/>
      <c r="B104" s="7331" t="s">
        <v>2042</v>
      </c>
      <c r="C104" s="7332" t="s">
        <v>2043</v>
      </c>
      <c r="D104" s="7333"/>
      <c r="E104" s="7332" t="s">
        <v>1871</v>
      </c>
      <c r="F104" s="7332" t="str">
        <f t="shared" si="1"/>
        <v/>
      </c>
      <c r="G104" s="7332" t="s">
        <v>1849</v>
      </c>
      <c r="H104" s="7332" t="str">
        <f t="shared" si="2"/>
        <v/>
      </c>
      <c r="I104" s="7332">
        <v>40.0</v>
      </c>
      <c r="J104" s="7332">
        <v>40.0</v>
      </c>
      <c r="K104" s="7332">
        <v>35.0</v>
      </c>
      <c r="L104" s="7332">
        <v>50.0</v>
      </c>
      <c r="M104" s="7332">
        <v>100.0</v>
      </c>
      <c r="N104" s="7334">
        <v>70.0</v>
      </c>
      <c r="O104" s="7321"/>
      <c r="P104" s="7347">
        <v>83.0</v>
      </c>
      <c r="Q104" s="7348" t="str">
        <f t="shared" si="12"/>
        <v/>
      </c>
      <c r="R104" s="7324"/>
    </row>
    <row r="105" ht="18.75" customHeight="1">
      <c r="A105" s="7316"/>
      <c r="B105" s="7337" t="s">
        <v>2044</v>
      </c>
      <c r="C105" s="7338" t="s">
        <v>2045</v>
      </c>
      <c r="D105" s="7339"/>
      <c r="E105" s="7338" t="s">
        <v>1871</v>
      </c>
      <c r="F105" s="7338" t="str">
        <f t="shared" si="1"/>
        <v/>
      </c>
      <c r="G105" s="7338" t="s">
        <v>1849</v>
      </c>
      <c r="H105" s="7338" t="str">
        <f t="shared" si="2"/>
        <v/>
      </c>
      <c r="I105" s="7338">
        <v>80.0</v>
      </c>
      <c r="J105" s="7338">
        <v>60.0</v>
      </c>
      <c r="K105" s="7338">
        <v>80.0</v>
      </c>
      <c r="L105" s="7338">
        <v>90.0</v>
      </c>
      <c r="M105" s="7338">
        <v>120.0</v>
      </c>
      <c r="N105" s="7340">
        <v>100.0</v>
      </c>
      <c r="O105" s="7321"/>
      <c r="P105" s="7347">
        <v>84.0</v>
      </c>
      <c r="Q105" s="7348" t="str">
        <f t="shared" si="12"/>
        <v/>
      </c>
      <c r="R105" s="7324"/>
    </row>
    <row r="106" ht="18.75" customHeight="1">
      <c r="A106" s="7316"/>
      <c r="B106" s="7331" t="s">
        <v>2046</v>
      </c>
      <c r="C106" s="7332" t="s">
        <v>2047</v>
      </c>
      <c r="D106" s="7333"/>
      <c r="E106" s="7332" t="s">
        <v>2014</v>
      </c>
      <c r="F106" s="7332" t="str">
        <f t="shared" si="1"/>
        <v/>
      </c>
      <c r="G106" s="7332" t="s">
        <v>1948</v>
      </c>
      <c r="H106" s="7332" t="str">
        <f t="shared" si="2"/>
        <v/>
      </c>
      <c r="I106" s="7332">
        <v>40.0</v>
      </c>
      <c r="J106" s="7332">
        <v>80.0</v>
      </c>
      <c r="K106" s="7332">
        <v>100.0</v>
      </c>
      <c r="L106" s="7332">
        <v>30.0</v>
      </c>
      <c r="M106" s="7332">
        <v>30.0</v>
      </c>
      <c r="N106" s="7334">
        <v>20.0</v>
      </c>
      <c r="O106" s="7321"/>
      <c r="P106" s="7347">
        <v>85.0</v>
      </c>
      <c r="Q106" s="7348" t="str">
        <f t="shared" si="12"/>
        <v/>
      </c>
      <c r="R106" s="7324"/>
    </row>
    <row r="107" ht="18.75" customHeight="1">
      <c r="A107" s="7316"/>
      <c r="B107" s="7337" t="s">
        <v>165</v>
      </c>
      <c r="C107" s="7342" t="s">
        <v>2048</v>
      </c>
      <c r="D107" s="7339"/>
      <c r="E107" s="7342" t="s">
        <v>2014</v>
      </c>
      <c r="F107" s="7342" t="str">
        <f t="shared" si="1"/>
        <v/>
      </c>
      <c r="G107" s="7342" t="s">
        <v>1926</v>
      </c>
      <c r="H107" s="7342" t="str">
        <f t="shared" si="2"/>
        <v/>
      </c>
      <c r="I107" s="7338">
        <v>40.0</v>
      </c>
      <c r="J107" s="7338">
        <v>80.0</v>
      </c>
      <c r="K107" s="7338">
        <v>100.0</v>
      </c>
      <c r="L107" s="7338">
        <v>30.0</v>
      </c>
      <c r="M107" s="7338">
        <v>30.0</v>
      </c>
      <c r="N107" s="7340">
        <v>20.0</v>
      </c>
      <c r="O107" s="7321"/>
      <c r="P107" s="7347">
        <v>86.0</v>
      </c>
      <c r="Q107" s="7348" t="str">
        <f t="shared" si="12"/>
        <v/>
      </c>
      <c r="R107" s="7324"/>
    </row>
    <row r="108" ht="18.75" customHeight="1">
      <c r="A108" s="7316"/>
      <c r="B108" s="7331" t="s">
        <v>2049</v>
      </c>
      <c r="C108" s="7332" t="s">
        <v>2050</v>
      </c>
      <c r="D108" s="7333"/>
      <c r="E108" s="7332" t="s">
        <v>2014</v>
      </c>
      <c r="F108" s="7332" t="str">
        <f t="shared" si="1"/>
        <v/>
      </c>
      <c r="G108" s="7332" t="s">
        <v>1948</v>
      </c>
      <c r="H108" s="7332" t="str">
        <f t="shared" si="2"/>
        <v/>
      </c>
      <c r="I108" s="7332">
        <v>55.0</v>
      </c>
      <c r="J108" s="7332">
        <v>95.0</v>
      </c>
      <c r="K108" s="7332">
        <v>115.0</v>
      </c>
      <c r="L108" s="7332">
        <v>45.0</v>
      </c>
      <c r="M108" s="7332">
        <v>45.0</v>
      </c>
      <c r="N108" s="7334">
        <v>35.0</v>
      </c>
      <c r="O108" s="7321"/>
      <c r="P108" s="7347">
        <v>87.0</v>
      </c>
      <c r="Q108" s="7348" t="str">
        <f t="shared" si="12"/>
        <v/>
      </c>
      <c r="R108" s="7324"/>
    </row>
    <row r="109" ht="18.75" customHeight="1">
      <c r="A109" s="7316"/>
      <c r="B109" s="7337" t="s">
        <v>2051</v>
      </c>
      <c r="C109" s="7342" t="s">
        <v>2052</v>
      </c>
      <c r="D109" s="7339"/>
      <c r="E109" s="7342" t="s">
        <v>2014</v>
      </c>
      <c r="F109" s="7342" t="str">
        <f t="shared" si="1"/>
        <v/>
      </c>
      <c r="G109" s="7342" t="s">
        <v>1926</v>
      </c>
      <c r="H109" s="7342" t="str">
        <f t="shared" si="2"/>
        <v/>
      </c>
      <c r="I109" s="7338">
        <v>55.0</v>
      </c>
      <c r="J109" s="7338">
        <v>95.0</v>
      </c>
      <c r="K109" s="7338">
        <v>115.0</v>
      </c>
      <c r="L109" s="7338">
        <v>45.0</v>
      </c>
      <c r="M109" s="7338">
        <v>45.0</v>
      </c>
      <c r="N109" s="7340">
        <v>35.0</v>
      </c>
      <c r="O109" s="7321"/>
      <c r="P109" s="7347">
        <v>88.0</v>
      </c>
      <c r="Q109" s="7348" t="str">
        <f t="shared" si="12"/>
        <v/>
      </c>
      <c r="R109" s="7324"/>
    </row>
    <row r="110" ht="18.75" customHeight="1">
      <c r="A110" s="7316"/>
      <c r="B110" s="7331" t="s">
        <v>1710</v>
      </c>
      <c r="C110" s="7332" t="s">
        <v>2053</v>
      </c>
      <c r="D110" s="7333"/>
      <c r="E110" s="7332" t="s">
        <v>2014</v>
      </c>
      <c r="F110" s="7332" t="str">
        <f t="shared" si="1"/>
        <v/>
      </c>
      <c r="G110" s="7332" t="s">
        <v>1948</v>
      </c>
      <c r="H110" s="7332" t="str">
        <f t="shared" si="2"/>
        <v/>
      </c>
      <c r="I110" s="7332">
        <v>80.0</v>
      </c>
      <c r="J110" s="7332">
        <v>120.0</v>
      </c>
      <c r="K110" s="7332">
        <v>130.0</v>
      </c>
      <c r="L110" s="7332">
        <v>55.0</v>
      </c>
      <c r="M110" s="7332">
        <v>65.0</v>
      </c>
      <c r="N110" s="7334">
        <v>45.0</v>
      </c>
      <c r="O110" s="7321"/>
      <c r="P110" s="7347">
        <v>89.0</v>
      </c>
      <c r="Q110" s="7348" t="str">
        <f t="shared" si="12"/>
        <v/>
      </c>
      <c r="R110" s="7324"/>
    </row>
    <row r="111" ht="18.75" customHeight="1">
      <c r="A111" s="7316"/>
      <c r="B111" s="7337" t="s">
        <v>2054</v>
      </c>
      <c r="C111" s="7342" t="s">
        <v>2055</v>
      </c>
      <c r="D111" s="7339"/>
      <c r="E111" s="7342" t="s">
        <v>2014</v>
      </c>
      <c r="F111" s="7342" t="str">
        <f t="shared" si="1"/>
        <v/>
      </c>
      <c r="G111" s="7342" t="s">
        <v>1926</v>
      </c>
      <c r="H111" s="7342" t="str">
        <f t="shared" si="2"/>
        <v/>
      </c>
      <c r="I111" s="7338">
        <v>80.0</v>
      </c>
      <c r="J111" s="7338">
        <v>120.0</v>
      </c>
      <c r="K111" s="7338">
        <v>130.0</v>
      </c>
      <c r="L111" s="7338">
        <v>55.0</v>
      </c>
      <c r="M111" s="7338">
        <v>65.0</v>
      </c>
      <c r="N111" s="7340">
        <v>45.0</v>
      </c>
      <c r="O111" s="7321"/>
      <c r="P111" s="7347">
        <v>90.0</v>
      </c>
      <c r="Q111" s="7348" t="str">
        <f t="shared" ref="Q111:Q120" si="13">IMAGE("https://i.ibb.co/X51W2gN/Green3.png",1)</f>
        <v/>
      </c>
      <c r="R111" s="7324"/>
    </row>
    <row r="112" ht="18.75" customHeight="1">
      <c r="A112" s="7316"/>
      <c r="B112" s="7331" t="s">
        <v>2056</v>
      </c>
      <c r="C112" s="7332" t="s">
        <v>2057</v>
      </c>
      <c r="D112" s="7333"/>
      <c r="E112" s="7332" t="s">
        <v>1858</v>
      </c>
      <c r="F112" s="7332" t="str">
        <f t="shared" si="1"/>
        <v/>
      </c>
      <c r="G112" s="7332"/>
      <c r="H112" s="7332" t="str">
        <f t="shared" si="2"/>
        <v/>
      </c>
      <c r="I112" s="7332">
        <v>50.0</v>
      </c>
      <c r="J112" s="7332">
        <v>85.0</v>
      </c>
      <c r="K112" s="7332">
        <v>55.0</v>
      </c>
      <c r="L112" s="7332">
        <v>65.0</v>
      </c>
      <c r="M112" s="7332">
        <v>65.0</v>
      </c>
      <c r="N112" s="7334">
        <v>90.0</v>
      </c>
      <c r="O112" s="7321"/>
      <c r="P112" s="7347">
        <v>91.0</v>
      </c>
      <c r="Q112" s="7348" t="str">
        <f t="shared" si="13"/>
        <v/>
      </c>
      <c r="R112" s="7324"/>
    </row>
    <row r="113" ht="18.75" customHeight="1">
      <c r="A113" s="7316"/>
      <c r="B113" s="7337" t="s">
        <v>2058</v>
      </c>
      <c r="C113" s="7342" t="s">
        <v>2059</v>
      </c>
      <c r="D113" s="7339"/>
      <c r="E113" s="7342" t="s">
        <v>561</v>
      </c>
      <c r="F113" s="7342" t="str">
        <f t="shared" si="1"/>
        <v/>
      </c>
      <c r="G113" s="7342"/>
      <c r="H113" s="7342" t="str">
        <f t="shared" si="2"/>
        <v/>
      </c>
      <c r="I113" s="7338">
        <v>50.0</v>
      </c>
      <c r="J113" s="7338">
        <v>85.0</v>
      </c>
      <c r="K113" s="7338">
        <v>55.0</v>
      </c>
      <c r="L113" s="7338">
        <v>65.0</v>
      </c>
      <c r="M113" s="7338">
        <v>65.0</v>
      </c>
      <c r="N113" s="7340">
        <v>90.0</v>
      </c>
      <c r="O113" s="7321"/>
      <c r="P113" s="7347">
        <v>92.0</v>
      </c>
      <c r="Q113" s="7348" t="str">
        <f t="shared" si="13"/>
        <v/>
      </c>
      <c r="R113" s="7324"/>
    </row>
    <row r="114" ht="18.75" customHeight="1">
      <c r="A114" s="7316"/>
      <c r="B114" s="7331" t="s">
        <v>1152</v>
      </c>
      <c r="C114" s="7332" t="s">
        <v>2060</v>
      </c>
      <c r="D114" s="7333"/>
      <c r="E114" s="7332" t="s">
        <v>1858</v>
      </c>
      <c r="F114" s="7332" t="str">
        <f t="shared" si="1"/>
        <v/>
      </c>
      <c r="G114" s="7332"/>
      <c r="H114" s="7332" t="str">
        <f t="shared" si="2"/>
        <v/>
      </c>
      <c r="I114" s="7332">
        <v>65.0</v>
      </c>
      <c r="J114" s="7332">
        <v>100.0</v>
      </c>
      <c r="K114" s="7332">
        <v>70.0</v>
      </c>
      <c r="L114" s="7332">
        <v>60.0</v>
      </c>
      <c r="M114" s="7332">
        <v>80.0</v>
      </c>
      <c r="N114" s="7334">
        <v>125.0</v>
      </c>
      <c r="O114" s="7321"/>
      <c r="P114" s="7347">
        <v>93.0</v>
      </c>
      <c r="Q114" s="7348" t="str">
        <f t="shared" si="13"/>
        <v/>
      </c>
      <c r="R114" s="7324"/>
    </row>
    <row r="115" ht="18.75" customHeight="1">
      <c r="A115" s="7316"/>
      <c r="B115" s="7337" t="s">
        <v>2061</v>
      </c>
      <c r="C115" s="7342" t="s">
        <v>2062</v>
      </c>
      <c r="D115" s="7339"/>
      <c r="E115" s="7342" t="s">
        <v>561</v>
      </c>
      <c r="F115" s="7342" t="str">
        <f t="shared" si="1"/>
        <v/>
      </c>
      <c r="G115" s="7342" t="s">
        <v>1935</v>
      </c>
      <c r="H115" s="7342" t="str">
        <f t="shared" si="2"/>
        <v/>
      </c>
      <c r="I115" s="7338">
        <v>65.0</v>
      </c>
      <c r="J115" s="7338">
        <v>100.0</v>
      </c>
      <c r="K115" s="7338">
        <v>70.0</v>
      </c>
      <c r="L115" s="7338">
        <v>60.0</v>
      </c>
      <c r="M115" s="7338">
        <v>80.0</v>
      </c>
      <c r="N115" s="7340">
        <v>125.0</v>
      </c>
      <c r="O115" s="7321"/>
      <c r="P115" s="7347">
        <v>94.0</v>
      </c>
      <c r="Q115" s="7348" t="str">
        <f t="shared" si="13"/>
        <v/>
      </c>
      <c r="R115" s="7324"/>
    </row>
    <row r="116" ht="18.75" customHeight="1">
      <c r="A116" s="7316"/>
      <c r="B116" s="7331" t="s">
        <v>2063</v>
      </c>
      <c r="C116" s="7332" t="s">
        <v>2064</v>
      </c>
      <c r="D116" s="7333"/>
      <c r="E116" s="7332" t="s">
        <v>1871</v>
      </c>
      <c r="F116" s="7332" t="str">
        <f t="shared" si="1"/>
        <v/>
      </c>
      <c r="G116" s="7332" t="s">
        <v>561</v>
      </c>
      <c r="H116" s="7332" t="str">
        <f t="shared" si="2"/>
        <v/>
      </c>
      <c r="I116" s="7332">
        <v>90.0</v>
      </c>
      <c r="J116" s="7332">
        <v>65.0</v>
      </c>
      <c r="K116" s="7332">
        <v>65.0</v>
      </c>
      <c r="L116" s="7332">
        <v>40.0</v>
      </c>
      <c r="M116" s="7332">
        <v>40.0</v>
      </c>
      <c r="N116" s="7334">
        <v>15.0</v>
      </c>
      <c r="O116" s="7321"/>
      <c r="P116" s="7347">
        <v>95.0</v>
      </c>
      <c r="Q116" s="7348" t="str">
        <f t="shared" si="13"/>
        <v/>
      </c>
      <c r="R116" s="7324"/>
    </row>
    <row r="117" ht="18.75" customHeight="1">
      <c r="A117" s="7316"/>
      <c r="B117" s="7337" t="s">
        <v>2065</v>
      </c>
      <c r="C117" s="7342" t="s">
        <v>2066</v>
      </c>
      <c r="D117" s="7339"/>
      <c r="E117" s="7342" t="s">
        <v>561</v>
      </c>
      <c r="F117" s="7342" t="str">
        <f t="shared" si="1"/>
        <v/>
      </c>
      <c r="G117" s="7342"/>
      <c r="H117" s="7342" t="str">
        <f t="shared" si="2"/>
        <v/>
      </c>
      <c r="I117" s="7338">
        <v>90.0</v>
      </c>
      <c r="J117" s="7338">
        <v>65.0</v>
      </c>
      <c r="K117" s="7338">
        <v>65.0</v>
      </c>
      <c r="L117" s="7338">
        <v>40.0</v>
      </c>
      <c r="M117" s="7338">
        <v>40.0</v>
      </c>
      <c r="N117" s="7340">
        <v>15.0</v>
      </c>
      <c r="O117" s="7321"/>
      <c r="P117" s="7347">
        <v>96.0</v>
      </c>
      <c r="Q117" s="7348" t="str">
        <f t="shared" si="13"/>
        <v/>
      </c>
      <c r="R117" s="7324"/>
    </row>
    <row r="118" ht="18.75" customHeight="1">
      <c r="A118" s="7316"/>
      <c r="B118" s="7331" t="s">
        <v>2067</v>
      </c>
      <c r="C118" s="7332" t="s">
        <v>2068</v>
      </c>
      <c r="D118" s="7333"/>
      <c r="E118" s="7332" t="s">
        <v>1871</v>
      </c>
      <c r="F118" s="7332" t="str">
        <f t="shared" si="1"/>
        <v/>
      </c>
      <c r="G118" s="7332" t="s">
        <v>561</v>
      </c>
      <c r="H118" s="7332" t="str">
        <f t="shared" si="2"/>
        <v/>
      </c>
      <c r="I118" s="7332">
        <v>95.0</v>
      </c>
      <c r="J118" s="7332">
        <v>75.0</v>
      </c>
      <c r="K118" s="7332">
        <v>110.0</v>
      </c>
      <c r="L118" s="7332">
        <v>100.0</v>
      </c>
      <c r="M118" s="7332">
        <v>80.0</v>
      </c>
      <c r="N118" s="7334">
        <v>30.0</v>
      </c>
      <c r="O118" s="7321"/>
      <c r="P118" s="7347">
        <v>97.0</v>
      </c>
      <c r="Q118" s="7348" t="str">
        <f t="shared" si="13"/>
        <v/>
      </c>
      <c r="R118" s="7324"/>
    </row>
    <row r="119" ht="18.75" customHeight="1">
      <c r="A119" s="7316"/>
      <c r="B119" s="7337" t="s">
        <v>1694</v>
      </c>
      <c r="C119" s="7342" t="s">
        <v>2069</v>
      </c>
      <c r="D119" s="7339"/>
      <c r="E119" s="7342" t="s">
        <v>1849</v>
      </c>
      <c r="F119" s="7342" t="str">
        <f t="shared" si="1"/>
        <v/>
      </c>
      <c r="G119" s="7342" t="s">
        <v>561</v>
      </c>
      <c r="H119" s="7342" t="str">
        <f t="shared" si="2"/>
        <v/>
      </c>
      <c r="I119" s="7338">
        <v>95.0</v>
      </c>
      <c r="J119" s="7338">
        <v>75.0</v>
      </c>
      <c r="K119" s="7338">
        <v>105.0</v>
      </c>
      <c r="L119" s="7338">
        <v>115.0</v>
      </c>
      <c r="M119" s="7338">
        <v>70.0</v>
      </c>
      <c r="N119" s="7340">
        <v>30.0</v>
      </c>
      <c r="O119" s="7321"/>
      <c r="P119" s="7347">
        <v>98.0</v>
      </c>
      <c r="Q119" s="7348" t="str">
        <f t="shared" si="13"/>
        <v/>
      </c>
      <c r="R119" s="7324"/>
    </row>
    <row r="120" ht="18.75" customHeight="1">
      <c r="A120" s="7316"/>
      <c r="B120" s="7331" t="s">
        <v>1693</v>
      </c>
      <c r="C120" s="7341" t="s">
        <v>2070</v>
      </c>
      <c r="D120" s="7333"/>
      <c r="E120" s="7341" t="s">
        <v>1849</v>
      </c>
      <c r="F120" s="7341" t="str">
        <f t="shared" si="1"/>
        <v/>
      </c>
      <c r="G120" s="7341" t="s">
        <v>561</v>
      </c>
      <c r="H120" s="7341" t="str">
        <f t="shared" si="2"/>
        <v/>
      </c>
      <c r="I120" s="7332">
        <v>95.0</v>
      </c>
      <c r="J120" s="7332">
        <v>75.0</v>
      </c>
      <c r="K120" s="7332">
        <v>180.0</v>
      </c>
      <c r="L120" s="7332">
        <v>130.0</v>
      </c>
      <c r="M120" s="7332">
        <v>80.0</v>
      </c>
      <c r="N120" s="7334">
        <v>30.0</v>
      </c>
      <c r="O120" s="7321"/>
      <c r="P120" s="7347">
        <v>99.0</v>
      </c>
      <c r="Q120" s="7348" t="str">
        <f t="shared" si="13"/>
        <v/>
      </c>
      <c r="R120" s="7324"/>
    </row>
    <row r="121" ht="18.75" customHeight="1">
      <c r="A121" s="7316"/>
      <c r="B121" s="7337" t="s">
        <v>2071</v>
      </c>
      <c r="C121" s="7338" t="s">
        <v>2072</v>
      </c>
      <c r="D121" s="7339"/>
      <c r="E121" s="7338" t="s">
        <v>1926</v>
      </c>
      <c r="F121" s="7338" t="str">
        <f t="shared" si="1"/>
        <v/>
      </c>
      <c r="G121" s="7338" t="s">
        <v>1929</v>
      </c>
      <c r="H121" s="7338" t="str">
        <f t="shared" si="2"/>
        <v/>
      </c>
      <c r="I121" s="7338">
        <v>25.0</v>
      </c>
      <c r="J121" s="7338">
        <v>35.0</v>
      </c>
      <c r="K121" s="7338">
        <v>70.0</v>
      </c>
      <c r="L121" s="7338">
        <v>95.0</v>
      </c>
      <c r="M121" s="7338">
        <v>55.0</v>
      </c>
      <c r="N121" s="7340">
        <v>45.0</v>
      </c>
      <c r="O121" s="7321"/>
      <c r="P121" s="7347">
        <v>100.0</v>
      </c>
      <c r="Q121" s="7348" t="str">
        <f t="shared" ref="Q121:Q130" si="14">IMAGE("https://i.ibb.co/hDWqSwZ/Green2.png",1)</f>
        <v/>
      </c>
      <c r="R121" s="7324"/>
    </row>
    <row r="122" ht="18.75" customHeight="1">
      <c r="A122" s="7316"/>
      <c r="B122" s="7331" t="s">
        <v>2073</v>
      </c>
      <c r="C122" s="7332" t="s">
        <v>2074</v>
      </c>
      <c r="D122" s="7333"/>
      <c r="E122" s="7332" t="s">
        <v>1926</v>
      </c>
      <c r="F122" s="7332" t="str">
        <f t="shared" si="1"/>
        <v/>
      </c>
      <c r="G122" s="7332" t="s">
        <v>1929</v>
      </c>
      <c r="H122" s="7332" t="str">
        <f t="shared" si="2"/>
        <v/>
      </c>
      <c r="I122" s="7332">
        <v>50.0</v>
      </c>
      <c r="J122" s="7332">
        <v>60.0</v>
      </c>
      <c r="K122" s="7332">
        <v>95.0</v>
      </c>
      <c r="L122" s="7332">
        <v>120.0</v>
      </c>
      <c r="M122" s="7332">
        <v>70.0</v>
      </c>
      <c r="N122" s="7334">
        <v>70.0</v>
      </c>
      <c r="O122" s="7321"/>
      <c r="P122" s="7347">
        <v>101.0</v>
      </c>
      <c r="Q122" s="7348" t="str">
        <f t="shared" si="14"/>
        <v/>
      </c>
      <c r="R122" s="7324"/>
    </row>
    <row r="123" ht="18.75" customHeight="1">
      <c r="A123" s="7316"/>
      <c r="B123" s="7337" t="s">
        <v>1340</v>
      </c>
      <c r="C123" s="7342" t="s">
        <v>2075</v>
      </c>
      <c r="D123" s="7339"/>
      <c r="E123" s="7342" t="s">
        <v>1863</v>
      </c>
      <c r="F123" s="7342" t="str">
        <f t="shared" si="1"/>
        <v/>
      </c>
      <c r="G123" s="7342" t="s">
        <v>1939</v>
      </c>
      <c r="H123" s="7342" t="str">
        <f t="shared" si="2"/>
        <v/>
      </c>
      <c r="I123" s="7338">
        <v>75.0</v>
      </c>
      <c r="J123" s="7338">
        <v>90.0</v>
      </c>
      <c r="K123" s="7338">
        <v>70.0</v>
      </c>
      <c r="L123" s="7338">
        <v>58.0</v>
      </c>
      <c r="M123" s="7338">
        <v>77.0</v>
      </c>
      <c r="N123" s="7340">
        <v>65.0</v>
      </c>
      <c r="O123" s="7321"/>
      <c r="P123" s="7347">
        <v>102.0</v>
      </c>
      <c r="Q123" s="7348" t="str">
        <f t="shared" si="14"/>
        <v/>
      </c>
      <c r="R123" s="7324"/>
    </row>
    <row r="124" ht="18.75" customHeight="1">
      <c r="A124" s="7316"/>
      <c r="B124" s="7331" t="s">
        <v>2076</v>
      </c>
      <c r="C124" s="7341" t="s">
        <v>2077</v>
      </c>
      <c r="D124" s="7333"/>
      <c r="E124" s="7341" t="s">
        <v>1939</v>
      </c>
      <c r="F124" s="7341" t="str">
        <f t="shared" si="1"/>
        <v/>
      </c>
      <c r="G124" s="7341"/>
      <c r="H124" s="7341" t="str">
        <f t="shared" si="2"/>
        <v/>
      </c>
      <c r="I124" s="7332">
        <v>52.0</v>
      </c>
      <c r="J124" s="7332">
        <v>95.0</v>
      </c>
      <c r="K124" s="7332">
        <v>55.0</v>
      </c>
      <c r="L124" s="7332">
        <v>58.0</v>
      </c>
      <c r="M124" s="7332">
        <v>62.0</v>
      </c>
      <c r="N124" s="7334">
        <v>55.0</v>
      </c>
      <c r="O124" s="7321"/>
      <c r="P124" s="7347">
        <v>103.0</v>
      </c>
      <c r="Q124" s="7348" t="str">
        <f t="shared" si="14"/>
        <v/>
      </c>
      <c r="R124" s="7324"/>
    </row>
    <row r="125" ht="18.75" customHeight="1">
      <c r="A125" s="7316"/>
      <c r="B125" s="7337" t="s">
        <v>2078</v>
      </c>
      <c r="C125" s="7338" t="s">
        <v>2079</v>
      </c>
      <c r="D125" s="7339"/>
      <c r="E125" s="7338" t="s">
        <v>1901</v>
      </c>
      <c r="F125" s="7338" t="str">
        <f t="shared" si="1"/>
        <v/>
      </c>
      <c r="G125" s="7338" t="s">
        <v>1863</v>
      </c>
      <c r="H125" s="7338" t="str">
        <f t="shared" si="2"/>
        <v/>
      </c>
      <c r="I125" s="7338">
        <v>35.0</v>
      </c>
      <c r="J125" s="7338">
        <v>85.0</v>
      </c>
      <c r="K125" s="7338">
        <v>45.0</v>
      </c>
      <c r="L125" s="7338">
        <v>35.0</v>
      </c>
      <c r="M125" s="7338">
        <v>35.0</v>
      </c>
      <c r="N125" s="7340">
        <v>75.0</v>
      </c>
      <c r="O125" s="7321"/>
      <c r="P125" s="7347">
        <v>104.0</v>
      </c>
      <c r="Q125" s="7348" t="str">
        <f t="shared" si="14"/>
        <v/>
      </c>
      <c r="R125" s="7324"/>
    </row>
    <row r="126" ht="18.75" customHeight="1">
      <c r="A126" s="7316"/>
      <c r="B126" s="7331" t="s">
        <v>1346</v>
      </c>
      <c r="C126" s="7332" t="s">
        <v>2080</v>
      </c>
      <c r="D126" s="7333"/>
      <c r="E126" s="7332" t="s">
        <v>1901</v>
      </c>
      <c r="F126" s="7332" t="str">
        <f t="shared" si="1"/>
        <v/>
      </c>
      <c r="G126" s="7332" t="s">
        <v>1863</v>
      </c>
      <c r="H126" s="7332" t="str">
        <f t="shared" si="2"/>
        <v/>
      </c>
      <c r="I126" s="7332">
        <v>60.0</v>
      </c>
      <c r="J126" s="7332">
        <v>110.0</v>
      </c>
      <c r="K126" s="7332">
        <v>70.0</v>
      </c>
      <c r="L126" s="7332">
        <v>60.0</v>
      </c>
      <c r="M126" s="7332">
        <v>60.0</v>
      </c>
      <c r="N126" s="7334">
        <v>110.0</v>
      </c>
      <c r="O126" s="7321"/>
      <c r="P126" s="7347">
        <v>105.0</v>
      </c>
      <c r="Q126" s="7348" t="str">
        <f t="shared" si="14"/>
        <v/>
      </c>
      <c r="R126" s="7324"/>
    </row>
    <row r="127" ht="18.75" customHeight="1">
      <c r="A127" s="7316"/>
      <c r="B127" s="7337" t="s">
        <v>2081</v>
      </c>
      <c r="C127" s="7338" t="s">
        <v>2082</v>
      </c>
      <c r="D127" s="7339"/>
      <c r="E127" s="7338" t="s">
        <v>1871</v>
      </c>
      <c r="F127" s="7338" t="str">
        <f t="shared" si="1"/>
        <v/>
      </c>
      <c r="G127" s="7338"/>
      <c r="H127" s="7338" t="str">
        <f t="shared" si="2"/>
        <v/>
      </c>
      <c r="I127" s="7338">
        <v>65.0</v>
      </c>
      <c r="J127" s="7338">
        <v>45.0</v>
      </c>
      <c r="K127" s="7338">
        <v>55.0</v>
      </c>
      <c r="L127" s="7338">
        <v>45.0</v>
      </c>
      <c r="M127" s="7338">
        <v>70.0</v>
      </c>
      <c r="N127" s="7340">
        <v>45.0</v>
      </c>
      <c r="O127" s="7321"/>
      <c r="P127" s="7347">
        <v>106.0</v>
      </c>
      <c r="Q127" s="7348" t="str">
        <f t="shared" si="14"/>
        <v/>
      </c>
      <c r="R127" s="7324"/>
    </row>
    <row r="128" ht="18.75" customHeight="1">
      <c r="A128" s="7316"/>
      <c r="B128" s="7331" t="s">
        <v>1622</v>
      </c>
      <c r="C128" s="7332" t="s">
        <v>2083</v>
      </c>
      <c r="D128" s="7333"/>
      <c r="E128" s="7332" t="s">
        <v>1871</v>
      </c>
      <c r="F128" s="7332" t="str">
        <f t="shared" si="1"/>
        <v/>
      </c>
      <c r="G128" s="7332" t="s">
        <v>1932</v>
      </c>
      <c r="H128" s="7332" t="str">
        <f t="shared" si="2"/>
        <v/>
      </c>
      <c r="I128" s="7332">
        <v>95.0</v>
      </c>
      <c r="J128" s="7332">
        <v>50.0</v>
      </c>
      <c r="K128" s="7332">
        <v>80.0</v>
      </c>
      <c r="L128" s="7332">
        <v>90.0</v>
      </c>
      <c r="M128" s="7332">
        <v>95.0</v>
      </c>
      <c r="N128" s="7334">
        <v>70.0</v>
      </c>
      <c r="O128" s="7321"/>
      <c r="P128" s="7347">
        <v>107.0</v>
      </c>
      <c r="Q128" s="7348" t="str">
        <f t="shared" si="14"/>
        <v/>
      </c>
      <c r="R128" s="7324"/>
    </row>
    <row r="129" ht="18.75" customHeight="1">
      <c r="A129" s="7316"/>
      <c r="B129" s="7337" t="s">
        <v>2084</v>
      </c>
      <c r="C129" s="7338" t="s">
        <v>2085</v>
      </c>
      <c r="D129" s="7339"/>
      <c r="E129" s="7338" t="s">
        <v>1849</v>
      </c>
      <c r="F129" s="7338" t="str">
        <f t="shared" si="1"/>
        <v/>
      </c>
      <c r="G129" s="7338"/>
      <c r="H129" s="7338" t="str">
        <f t="shared" si="2"/>
        <v/>
      </c>
      <c r="I129" s="7338">
        <v>80.0</v>
      </c>
      <c r="J129" s="7338">
        <v>80.0</v>
      </c>
      <c r="K129" s="7338">
        <v>50.0</v>
      </c>
      <c r="L129" s="7338">
        <v>40.0</v>
      </c>
      <c r="M129" s="7338">
        <v>50.0</v>
      </c>
      <c r="N129" s="7340">
        <v>25.0</v>
      </c>
      <c r="O129" s="7321"/>
      <c r="P129" s="7347">
        <v>108.0</v>
      </c>
      <c r="Q129" s="7348" t="str">
        <f t="shared" si="14"/>
        <v/>
      </c>
      <c r="R129" s="7324"/>
    </row>
    <row r="130" ht="18.75" customHeight="1">
      <c r="A130" s="7316"/>
      <c r="B130" s="7331" t="s">
        <v>2086</v>
      </c>
      <c r="C130" s="7341" t="s">
        <v>2087</v>
      </c>
      <c r="D130" s="7333"/>
      <c r="E130" s="7341" t="s">
        <v>1849</v>
      </c>
      <c r="F130" s="7341" t="str">
        <f t="shared" si="1"/>
        <v/>
      </c>
      <c r="G130" s="7341" t="s">
        <v>1911</v>
      </c>
      <c r="H130" s="7341" t="str">
        <f t="shared" si="2"/>
        <v/>
      </c>
      <c r="I130" s="7332">
        <v>80.0</v>
      </c>
      <c r="J130" s="7332">
        <v>80.0</v>
      </c>
      <c r="K130" s="7332">
        <v>50.0</v>
      </c>
      <c r="L130" s="7332">
        <v>40.0</v>
      </c>
      <c r="M130" s="7332">
        <v>50.0</v>
      </c>
      <c r="N130" s="7334">
        <v>25.0</v>
      </c>
      <c r="O130" s="7321"/>
      <c r="P130" s="7347">
        <v>109.0</v>
      </c>
      <c r="Q130" s="7348" t="str">
        <f t="shared" si="14"/>
        <v/>
      </c>
      <c r="R130" s="7324"/>
    </row>
    <row r="131" ht="18.75" customHeight="1">
      <c r="A131" s="7316"/>
      <c r="B131" s="7337" t="s">
        <v>2088</v>
      </c>
      <c r="C131" s="7338" t="s">
        <v>2089</v>
      </c>
      <c r="D131" s="7339"/>
      <c r="E131" s="7338" t="s">
        <v>1849</v>
      </c>
      <c r="F131" s="7338" t="str">
        <f t="shared" si="1"/>
        <v/>
      </c>
      <c r="G131" s="7338"/>
      <c r="H131" s="7338" t="str">
        <f t="shared" si="2"/>
        <v/>
      </c>
      <c r="I131" s="7338">
        <v>105.0</v>
      </c>
      <c r="J131" s="7338">
        <v>105.0</v>
      </c>
      <c r="K131" s="7338">
        <v>75.0</v>
      </c>
      <c r="L131" s="7338">
        <v>65.0</v>
      </c>
      <c r="M131" s="7338">
        <v>100.0</v>
      </c>
      <c r="N131" s="7340">
        <v>50.0</v>
      </c>
      <c r="O131" s="7321"/>
      <c r="P131" s="7347">
        <v>110.0</v>
      </c>
      <c r="Q131" s="7348" t="str">
        <f t="shared" ref="Q131:Q140" si="15">IMAGE("https://i.ibb.co/kMNLWtv/Green.png",1)</f>
        <v/>
      </c>
      <c r="R131" s="7324"/>
    </row>
    <row r="132" ht="18.75" customHeight="1">
      <c r="A132" s="7316"/>
      <c r="B132" s="7331" t="s">
        <v>2090</v>
      </c>
      <c r="C132" s="7341" t="s">
        <v>2091</v>
      </c>
      <c r="D132" s="7333"/>
      <c r="E132" s="7341" t="s">
        <v>1849</v>
      </c>
      <c r="F132" s="7341" t="str">
        <f t="shared" si="1"/>
        <v/>
      </c>
      <c r="G132" s="7341" t="s">
        <v>1911</v>
      </c>
      <c r="H132" s="7341" t="str">
        <f t="shared" si="2"/>
        <v/>
      </c>
      <c r="I132" s="7332">
        <v>105.0</v>
      </c>
      <c r="J132" s="7332">
        <v>105.0</v>
      </c>
      <c r="K132" s="7332">
        <v>75.0</v>
      </c>
      <c r="L132" s="7332">
        <v>65.0</v>
      </c>
      <c r="M132" s="7332">
        <v>100.0</v>
      </c>
      <c r="N132" s="7334">
        <v>50.0</v>
      </c>
      <c r="O132" s="7321"/>
      <c r="P132" s="7347">
        <v>111.0</v>
      </c>
      <c r="Q132" s="7348" t="str">
        <f t="shared" si="15"/>
        <v/>
      </c>
      <c r="R132" s="7324"/>
    </row>
    <row r="133" ht="18.75" customHeight="1">
      <c r="A133" s="7316"/>
      <c r="B133" s="7337" t="s">
        <v>2092</v>
      </c>
      <c r="C133" s="7338" t="s">
        <v>2093</v>
      </c>
      <c r="D133" s="7339"/>
      <c r="E133" s="7338" t="s">
        <v>1871</v>
      </c>
      <c r="F133" s="7338" t="str">
        <f t="shared" si="1"/>
        <v/>
      </c>
      <c r="G133" s="7338"/>
      <c r="H133" s="7338" t="str">
        <f t="shared" si="2"/>
        <v/>
      </c>
      <c r="I133" s="7338">
        <v>30.0</v>
      </c>
      <c r="J133" s="7338">
        <v>65.0</v>
      </c>
      <c r="K133" s="7338">
        <v>100.0</v>
      </c>
      <c r="L133" s="7338">
        <v>45.0</v>
      </c>
      <c r="M133" s="7338">
        <v>25.0</v>
      </c>
      <c r="N133" s="7340">
        <v>40.0</v>
      </c>
      <c r="O133" s="7321"/>
      <c r="P133" s="7347">
        <v>112.0</v>
      </c>
      <c r="Q133" s="7348" t="str">
        <f t="shared" si="15"/>
        <v/>
      </c>
      <c r="R133" s="7324"/>
    </row>
    <row r="134" ht="18.75" customHeight="1">
      <c r="A134" s="7316"/>
      <c r="B134" s="7331" t="s">
        <v>615</v>
      </c>
      <c r="C134" s="7332" t="s">
        <v>2094</v>
      </c>
      <c r="D134" s="7333"/>
      <c r="E134" s="7332" t="s">
        <v>1871</v>
      </c>
      <c r="F134" s="7332" t="str">
        <f t="shared" si="1"/>
        <v/>
      </c>
      <c r="G134" s="7332" t="s">
        <v>1932</v>
      </c>
      <c r="H134" s="7332" t="str">
        <f t="shared" si="2"/>
        <v/>
      </c>
      <c r="I134" s="7332">
        <v>50.0</v>
      </c>
      <c r="J134" s="7332">
        <v>95.0</v>
      </c>
      <c r="K134" s="7332">
        <v>180.0</v>
      </c>
      <c r="L134" s="7332">
        <v>85.0</v>
      </c>
      <c r="M134" s="7332">
        <v>45.0</v>
      </c>
      <c r="N134" s="7334">
        <v>70.0</v>
      </c>
      <c r="O134" s="7321"/>
      <c r="P134" s="7347">
        <v>113.0</v>
      </c>
      <c r="Q134" s="7348" t="str">
        <f t="shared" si="15"/>
        <v/>
      </c>
      <c r="R134" s="7324"/>
    </row>
    <row r="135" ht="18.75" customHeight="1">
      <c r="A135" s="7316"/>
      <c r="B135" s="7337" t="s">
        <v>2095</v>
      </c>
      <c r="C135" s="7338" t="s">
        <v>2096</v>
      </c>
      <c r="D135" s="7339"/>
      <c r="E135" s="7338" t="s">
        <v>2097</v>
      </c>
      <c r="F135" s="7338" t="str">
        <f t="shared" si="1"/>
        <v/>
      </c>
      <c r="G135" s="7338" t="s">
        <v>1849</v>
      </c>
      <c r="H135" s="7338" t="str">
        <f t="shared" si="2"/>
        <v/>
      </c>
      <c r="I135" s="7338">
        <v>30.0</v>
      </c>
      <c r="J135" s="7338">
        <v>35.0</v>
      </c>
      <c r="K135" s="7338">
        <v>30.0</v>
      </c>
      <c r="L135" s="7338">
        <v>100.0</v>
      </c>
      <c r="M135" s="7338">
        <v>35.0</v>
      </c>
      <c r="N135" s="7340">
        <v>80.0</v>
      </c>
      <c r="O135" s="7321"/>
      <c r="P135" s="7347">
        <v>114.0</v>
      </c>
      <c r="Q135" s="7348" t="str">
        <f t="shared" si="15"/>
        <v/>
      </c>
      <c r="R135" s="7324"/>
    </row>
    <row r="136" ht="18.75" customHeight="1">
      <c r="A136" s="7316"/>
      <c r="B136" s="7331" t="s">
        <v>2098</v>
      </c>
      <c r="C136" s="7332" t="s">
        <v>2099</v>
      </c>
      <c r="D136" s="7333"/>
      <c r="E136" s="7332" t="s">
        <v>2097</v>
      </c>
      <c r="F136" s="7332" t="str">
        <f t="shared" si="1"/>
        <v/>
      </c>
      <c r="G136" s="7332" t="s">
        <v>1849</v>
      </c>
      <c r="H136" s="7332" t="str">
        <f t="shared" si="2"/>
        <v/>
      </c>
      <c r="I136" s="7332">
        <v>45.0</v>
      </c>
      <c r="J136" s="7332">
        <v>50.0</v>
      </c>
      <c r="K136" s="7332">
        <v>45.0</v>
      </c>
      <c r="L136" s="7332">
        <v>115.0</v>
      </c>
      <c r="M136" s="7332">
        <v>55.0</v>
      </c>
      <c r="N136" s="7334">
        <v>95.0</v>
      </c>
      <c r="O136" s="7321"/>
      <c r="P136" s="7347">
        <v>115.0</v>
      </c>
      <c r="Q136" s="7348" t="str">
        <f t="shared" si="15"/>
        <v/>
      </c>
      <c r="R136" s="7324"/>
    </row>
    <row r="137" ht="18.75" customHeight="1">
      <c r="A137" s="7316"/>
      <c r="B137" s="7337" t="s">
        <v>2100</v>
      </c>
      <c r="C137" s="7338" t="s">
        <v>2101</v>
      </c>
      <c r="D137" s="7339"/>
      <c r="E137" s="7338" t="s">
        <v>2097</v>
      </c>
      <c r="F137" s="7338" t="str">
        <f t="shared" si="1"/>
        <v/>
      </c>
      <c r="G137" s="7338" t="s">
        <v>1849</v>
      </c>
      <c r="H137" s="7338" t="str">
        <f t="shared" si="2"/>
        <v/>
      </c>
      <c r="I137" s="7338">
        <v>60.0</v>
      </c>
      <c r="J137" s="7338">
        <v>65.0</v>
      </c>
      <c r="K137" s="7338">
        <v>60.0</v>
      </c>
      <c r="L137" s="7338">
        <v>130.0</v>
      </c>
      <c r="M137" s="7338">
        <v>75.0</v>
      </c>
      <c r="N137" s="7340">
        <v>110.0</v>
      </c>
      <c r="O137" s="7321"/>
      <c r="P137" s="7347">
        <v>116.0</v>
      </c>
      <c r="Q137" s="7348" t="str">
        <f t="shared" si="15"/>
        <v/>
      </c>
      <c r="R137" s="7324"/>
    </row>
    <row r="138" ht="18.75" customHeight="1">
      <c r="A138" s="7316"/>
      <c r="B138" s="7331" t="s">
        <v>572</v>
      </c>
      <c r="C138" s="7341" t="s">
        <v>2102</v>
      </c>
      <c r="D138" s="7333"/>
      <c r="E138" s="7341" t="s">
        <v>2097</v>
      </c>
      <c r="F138" s="7341" t="str">
        <f t="shared" si="1"/>
        <v/>
      </c>
      <c r="G138" s="7341" t="s">
        <v>1849</v>
      </c>
      <c r="H138" s="7341" t="str">
        <f t="shared" si="2"/>
        <v/>
      </c>
      <c r="I138" s="7332">
        <v>60.0</v>
      </c>
      <c r="J138" s="7332">
        <v>65.0</v>
      </c>
      <c r="K138" s="7332">
        <v>80.0</v>
      </c>
      <c r="L138" s="7332">
        <v>170.0</v>
      </c>
      <c r="M138" s="7332">
        <v>95.0</v>
      </c>
      <c r="N138" s="7334">
        <v>130.0</v>
      </c>
      <c r="O138" s="7321"/>
      <c r="P138" s="7347">
        <v>117.0</v>
      </c>
      <c r="Q138" s="7348" t="str">
        <f t="shared" si="15"/>
        <v/>
      </c>
      <c r="R138" s="7324"/>
    </row>
    <row r="139" ht="18.75" customHeight="1">
      <c r="A139" s="7316"/>
      <c r="B139" s="7337" t="s">
        <v>167</v>
      </c>
      <c r="C139" s="7338" t="s">
        <v>2103</v>
      </c>
      <c r="D139" s="7339"/>
      <c r="E139" s="7338" t="s">
        <v>2014</v>
      </c>
      <c r="F139" s="7338" t="str">
        <f t="shared" si="1"/>
        <v/>
      </c>
      <c r="G139" s="7338" t="s">
        <v>1948</v>
      </c>
      <c r="H139" s="7338" t="str">
        <f t="shared" si="2"/>
        <v/>
      </c>
      <c r="I139" s="7338">
        <v>50.0</v>
      </c>
      <c r="J139" s="7338">
        <v>60.0</v>
      </c>
      <c r="K139" s="7338">
        <v>150.0</v>
      </c>
      <c r="L139" s="7338">
        <v>30.0</v>
      </c>
      <c r="M139" s="7338">
        <v>45.0</v>
      </c>
      <c r="N139" s="7340">
        <v>65.0</v>
      </c>
      <c r="O139" s="7321"/>
      <c r="P139" s="7347">
        <v>118.0</v>
      </c>
      <c r="Q139" s="7348" t="str">
        <f t="shared" si="15"/>
        <v/>
      </c>
      <c r="R139" s="7324"/>
    </row>
    <row r="140" ht="18.75" customHeight="1">
      <c r="A140" s="7316"/>
      <c r="B140" s="7331" t="s">
        <v>2104</v>
      </c>
      <c r="C140" s="7332" t="s">
        <v>2105</v>
      </c>
      <c r="D140" s="7333"/>
      <c r="E140" s="7332" t="s">
        <v>561</v>
      </c>
      <c r="F140" s="7332" t="str">
        <f t="shared" si="1"/>
        <v/>
      </c>
      <c r="G140" s="7332"/>
      <c r="H140" s="7332" t="str">
        <f t="shared" si="2"/>
        <v/>
      </c>
      <c r="I140" s="7332">
        <v>60.0</v>
      </c>
      <c r="J140" s="7332">
        <v>48.0</v>
      </c>
      <c r="K140" s="7332">
        <v>45.0</v>
      </c>
      <c r="L140" s="7332">
        <v>43.0</v>
      </c>
      <c r="M140" s="7332">
        <v>90.0</v>
      </c>
      <c r="N140" s="7334">
        <v>42.0</v>
      </c>
      <c r="O140" s="7321"/>
      <c r="P140" s="7347">
        <v>119.0</v>
      </c>
      <c r="Q140" s="7348" t="str">
        <f t="shared" si="15"/>
        <v/>
      </c>
      <c r="R140" s="7324"/>
    </row>
    <row r="141" ht="18.75" customHeight="1">
      <c r="A141" s="7316"/>
      <c r="B141" s="7337" t="s">
        <v>856</v>
      </c>
      <c r="C141" s="7338" t="s">
        <v>2106</v>
      </c>
      <c r="D141" s="7339"/>
      <c r="E141" s="7338" t="s">
        <v>561</v>
      </c>
      <c r="F141" s="7338" t="str">
        <f t="shared" si="1"/>
        <v/>
      </c>
      <c r="G141" s="7338"/>
      <c r="H141" s="7338" t="str">
        <f t="shared" si="2"/>
        <v/>
      </c>
      <c r="I141" s="7338">
        <v>85.0</v>
      </c>
      <c r="J141" s="7338">
        <v>73.0</v>
      </c>
      <c r="K141" s="7338">
        <v>70.0</v>
      </c>
      <c r="L141" s="7338">
        <v>73.0</v>
      </c>
      <c r="M141" s="7338">
        <v>115.0</v>
      </c>
      <c r="N141" s="7340">
        <v>67.0</v>
      </c>
      <c r="O141" s="7321"/>
      <c r="P141" s="7347">
        <v>120.0</v>
      </c>
      <c r="Q141" s="7348" t="str">
        <f t="shared" ref="Q141:Q150" si="16">IMAGE("https://i.ibb.co/n0bj066/Deep-Green3.png",1)</f>
        <v/>
      </c>
      <c r="R141" s="7324"/>
    </row>
    <row r="142" ht="18.75" customHeight="1">
      <c r="A142" s="7316"/>
      <c r="B142" s="7331" t="s">
        <v>2107</v>
      </c>
      <c r="C142" s="7332" t="s">
        <v>2108</v>
      </c>
      <c r="D142" s="7333"/>
      <c r="E142" s="7332" t="s">
        <v>1871</v>
      </c>
      <c r="F142" s="7332" t="str">
        <f t="shared" si="1"/>
        <v/>
      </c>
      <c r="G142" s="7332"/>
      <c r="H142" s="7332" t="str">
        <f t="shared" si="2"/>
        <v/>
      </c>
      <c r="I142" s="7332">
        <v>30.0</v>
      </c>
      <c r="J142" s="7332">
        <v>105.0</v>
      </c>
      <c r="K142" s="7332">
        <v>90.0</v>
      </c>
      <c r="L142" s="7332">
        <v>25.0</v>
      </c>
      <c r="M142" s="7332">
        <v>25.0</v>
      </c>
      <c r="N142" s="7334">
        <v>50.0</v>
      </c>
      <c r="O142" s="7321"/>
      <c r="P142" s="7347">
        <v>121.0</v>
      </c>
      <c r="Q142" s="7348" t="str">
        <f t="shared" si="16"/>
        <v/>
      </c>
      <c r="R142" s="7324"/>
    </row>
    <row r="143" ht="18.75" customHeight="1">
      <c r="A143" s="7316"/>
      <c r="B143" s="7337" t="s">
        <v>1783</v>
      </c>
      <c r="C143" s="7338" t="s">
        <v>2109</v>
      </c>
      <c r="D143" s="7339"/>
      <c r="E143" s="7338" t="s">
        <v>1871</v>
      </c>
      <c r="F143" s="7338" t="str">
        <f t="shared" si="1"/>
        <v/>
      </c>
      <c r="G143" s="7338"/>
      <c r="H143" s="7338" t="str">
        <f t="shared" si="2"/>
        <v/>
      </c>
      <c r="I143" s="7338">
        <v>55.0</v>
      </c>
      <c r="J143" s="7338">
        <v>130.0</v>
      </c>
      <c r="K143" s="7338">
        <v>115.0</v>
      </c>
      <c r="L143" s="7338">
        <v>50.0</v>
      </c>
      <c r="M143" s="7338">
        <v>50.0</v>
      </c>
      <c r="N143" s="7340">
        <v>75.0</v>
      </c>
      <c r="O143" s="7321"/>
      <c r="P143" s="7347">
        <v>122.0</v>
      </c>
      <c r="Q143" s="7348" t="str">
        <f t="shared" si="16"/>
        <v/>
      </c>
      <c r="R143" s="7324"/>
    </row>
    <row r="144" ht="18.75" customHeight="1">
      <c r="A144" s="7316"/>
      <c r="B144" s="7331" t="s">
        <v>1282</v>
      </c>
      <c r="C144" s="7341" t="s">
        <v>2110</v>
      </c>
      <c r="D144" s="7333"/>
      <c r="E144" s="7341" t="s">
        <v>1871</v>
      </c>
      <c r="F144" s="7341" t="str">
        <f t="shared" si="1"/>
        <v/>
      </c>
      <c r="G144" s="7341" t="s">
        <v>1929</v>
      </c>
      <c r="H144" s="7341" t="str">
        <f t="shared" si="2"/>
        <v/>
      </c>
      <c r="I144" s="7332">
        <v>55.0</v>
      </c>
      <c r="J144" s="7332">
        <v>150.0</v>
      </c>
      <c r="K144" s="7332">
        <v>125.0</v>
      </c>
      <c r="L144" s="7332">
        <v>50.0</v>
      </c>
      <c r="M144" s="7332">
        <v>70.0</v>
      </c>
      <c r="N144" s="7334">
        <v>110.0</v>
      </c>
      <c r="O144" s="7321"/>
      <c r="P144" s="7347">
        <v>123.0</v>
      </c>
      <c r="Q144" s="7348" t="str">
        <f t="shared" si="16"/>
        <v/>
      </c>
      <c r="R144" s="7324"/>
    </row>
    <row r="145" ht="18.75" customHeight="1">
      <c r="A145" s="7316"/>
      <c r="B145" s="7337" t="s">
        <v>2111</v>
      </c>
      <c r="C145" s="7338" t="s">
        <v>2112</v>
      </c>
      <c r="D145" s="7339"/>
      <c r="E145" s="7338" t="s">
        <v>1926</v>
      </c>
      <c r="F145" s="7338" t="str">
        <f t="shared" si="1"/>
        <v/>
      </c>
      <c r="G145" s="7338"/>
      <c r="H145" s="7338" t="str">
        <f t="shared" si="2"/>
        <v/>
      </c>
      <c r="I145" s="7338">
        <v>40.0</v>
      </c>
      <c r="J145" s="7338">
        <v>30.0</v>
      </c>
      <c r="K145" s="7338">
        <v>50.0</v>
      </c>
      <c r="L145" s="7338">
        <v>55.0</v>
      </c>
      <c r="M145" s="7338">
        <v>55.0</v>
      </c>
      <c r="N145" s="7340">
        <v>100.0</v>
      </c>
      <c r="O145" s="7321"/>
      <c r="P145" s="7347">
        <v>124.0</v>
      </c>
      <c r="Q145" s="7348" t="str">
        <f t="shared" si="16"/>
        <v/>
      </c>
      <c r="R145" s="7324"/>
    </row>
    <row r="146" ht="18.75" customHeight="1">
      <c r="A146" s="7316"/>
      <c r="B146" s="7331" t="s">
        <v>998</v>
      </c>
      <c r="C146" s="7341" t="s">
        <v>2113</v>
      </c>
      <c r="D146" s="7333"/>
      <c r="E146" s="7341" t="s">
        <v>1926</v>
      </c>
      <c r="F146" s="7341" t="str">
        <f t="shared" si="1"/>
        <v/>
      </c>
      <c r="G146" s="7341" t="s">
        <v>1848</v>
      </c>
      <c r="H146" s="7341" t="str">
        <f t="shared" si="2"/>
        <v/>
      </c>
      <c r="I146" s="7332">
        <v>40.0</v>
      </c>
      <c r="J146" s="7332">
        <v>30.0</v>
      </c>
      <c r="K146" s="7332">
        <v>50.0</v>
      </c>
      <c r="L146" s="7332">
        <v>55.0</v>
      </c>
      <c r="M146" s="7332">
        <v>55.0</v>
      </c>
      <c r="N146" s="7334">
        <v>100.0</v>
      </c>
      <c r="O146" s="7321"/>
      <c r="P146" s="7347">
        <v>125.0</v>
      </c>
      <c r="Q146" s="7348" t="str">
        <f t="shared" si="16"/>
        <v/>
      </c>
      <c r="R146" s="7324"/>
    </row>
    <row r="147" ht="18.75" customHeight="1">
      <c r="A147" s="7316"/>
      <c r="B147" s="7337" t="s">
        <v>2114</v>
      </c>
      <c r="C147" s="7338" t="s">
        <v>2115</v>
      </c>
      <c r="D147" s="7339"/>
      <c r="E147" s="7338" t="s">
        <v>1926</v>
      </c>
      <c r="F147" s="7338" t="str">
        <f t="shared" si="1"/>
        <v/>
      </c>
      <c r="G147" s="7338"/>
      <c r="H147" s="7338" t="str">
        <f t="shared" si="2"/>
        <v/>
      </c>
      <c r="I147" s="7338">
        <v>60.0</v>
      </c>
      <c r="J147" s="7338">
        <v>55.0</v>
      </c>
      <c r="K147" s="7338">
        <v>70.0</v>
      </c>
      <c r="L147" s="7338">
        <v>100.0</v>
      </c>
      <c r="M147" s="7338">
        <v>80.0</v>
      </c>
      <c r="N147" s="7340">
        <v>150.0</v>
      </c>
      <c r="O147" s="7321"/>
      <c r="P147" s="7347">
        <v>126.0</v>
      </c>
      <c r="Q147" s="7348" t="str">
        <f t="shared" si="16"/>
        <v/>
      </c>
      <c r="R147" s="7324"/>
    </row>
    <row r="148" ht="18.75" customHeight="1">
      <c r="A148" s="7316"/>
      <c r="B148" s="7331" t="s">
        <v>262</v>
      </c>
      <c r="C148" s="7341" t="s">
        <v>2116</v>
      </c>
      <c r="D148" s="7333"/>
      <c r="E148" s="7341" t="s">
        <v>1926</v>
      </c>
      <c r="F148" s="7341" t="str">
        <f t="shared" si="1"/>
        <v/>
      </c>
      <c r="G148" s="7341" t="s">
        <v>1848</v>
      </c>
      <c r="H148" s="7341" t="str">
        <f t="shared" si="2"/>
        <v/>
      </c>
      <c r="I148" s="7332">
        <v>60.0</v>
      </c>
      <c r="J148" s="7332">
        <v>55.0</v>
      </c>
      <c r="K148" s="7332">
        <v>70.0</v>
      </c>
      <c r="L148" s="7332">
        <v>95.0</v>
      </c>
      <c r="M148" s="7332">
        <v>80.0</v>
      </c>
      <c r="N148" s="7334">
        <v>150.0</v>
      </c>
      <c r="O148" s="7321"/>
      <c r="P148" s="7347">
        <v>127.0</v>
      </c>
      <c r="Q148" s="7348" t="str">
        <f t="shared" si="16"/>
        <v/>
      </c>
      <c r="R148" s="7324"/>
    </row>
    <row r="149" ht="18.75" customHeight="1">
      <c r="A149" s="7316"/>
      <c r="B149" s="7337" t="s">
        <v>2117</v>
      </c>
      <c r="C149" s="7338" t="s">
        <v>2118</v>
      </c>
      <c r="D149" s="7339"/>
      <c r="E149" s="7338" t="s">
        <v>1848</v>
      </c>
      <c r="F149" s="7338" t="str">
        <f t="shared" si="1"/>
        <v/>
      </c>
      <c r="G149" s="7338" t="s">
        <v>561</v>
      </c>
      <c r="H149" s="7338" t="str">
        <f t="shared" si="2"/>
        <v/>
      </c>
      <c r="I149" s="7338">
        <v>60.0</v>
      </c>
      <c r="J149" s="7338">
        <v>40.0</v>
      </c>
      <c r="K149" s="7338">
        <v>80.0</v>
      </c>
      <c r="L149" s="7338">
        <v>60.0</v>
      </c>
      <c r="M149" s="7338">
        <v>45.0</v>
      </c>
      <c r="N149" s="7340">
        <v>40.0</v>
      </c>
      <c r="O149" s="7321"/>
      <c r="P149" s="7347">
        <v>128.0</v>
      </c>
      <c r="Q149" s="7348" t="str">
        <f t="shared" si="16"/>
        <v/>
      </c>
      <c r="R149" s="7324"/>
    </row>
    <row r="150" ht="18.75" customHeight="1">
      <c r="A150" s="7316"/>
      <c r="B150" s="7331" t="s">
        <v>354</v>
      </c>
      <c r="C150" s="7332" t="s">
        <v>2119</v>
      </c>
      <c r="D150" s="7333"/>
      <c r="E150" s="7332" t="s">
        <v>1848</v>
      </c>
      <c r="F150" s="7332" t="str">
        <f t="shared" si="1"/>
        <v/>
      </c>
      <c r="G150" s="7332" t="s">
        <v>561</v>
      </c>
      <c r="H150" s="7332" t="str">
        <f t="shared" si="2"/>
        <v/>
      </c>
      <c r="I150" s="7332">
        <v>95.0</v>
      </c>
      <c r="J150" s="7332">
        <v>95.0</v>
      </c>
      <c r="K150" s="7332">
        <v>85.0</v>
      </c>
      <c r="L150" s="7332">
        <v>125.0</v>
      </c>
      <c r="M150" s="7332">
        <v>75.0</v>
      </c>
      <c r="N150" s="7334">
        <v>55.0</v>
      </c>
      <c r="O150" s="7321"/>
      <c r="P150" s="7347">
        <v>129.0</v>
      </c>
      <c r="Q150" s="7348" t="str">
        <f t="shared" si="16"/>
        <v/>
      </c>
      <c r="R150" s="7324"/>
    </row>
    <row r="151" ht="18.75" customHeight="1">
      <c r="A151" s="7316"/>
      <c r="B151" s="7337" t="s">
        <v>1288</v>
      </c>
      <c r="C151" s="7342" t="s">
        <v>2120</v>
      </c>
      <c r="D151" s="7339"/>
      <c r="E151" s="7342" t="s">
        <v>1848</v>
      </c>
      <c r="F151" s="7342" t="str">
        <f t="shared" si="1"/>
        <v/>
      </c>
      <c r="G151" s="7342" t="s">
        <v>1866</v>
      </c>
      <c r="H151" s="7342" t="str">
        <f t="shared" si="2"/>
        <v/>
      </c>
      <c r="I151" s="7338">
        <v>95.0</v>
      </c>
      <c r="J151" s="7338">
        <v>105.0</v>
      </c>
      <c r="K151" s="7338">
        <v>85.0</v>
      </c>
      <c r="L151" s="7338">
        <v>125.0</v>
      </c>
      <c r="M151" s="7338">
        <v>75.0</v>
      </c>
      <c r="N151" s="7340">
        <v>45.0</v>
      </c>
      <c r="O151" s="7321"/>
      <c r="P151" s="7347">
        <v>130.0</v>
      </c>
      <c r="Q151" s="7348" t="str">
        <f t="shared" ref="Q151:Q170" si="17">IMAGE("https://i.ibb.co/hCXpN5x/Deep-Green2.png",1)</f>
        <v/>
      </c>
      <c r="R151" s="7324"/>
    </row>
    <row r="152" ht="18.75" customHeight="1">
      <c r="A152" s="7316"/>
      <c r="B152" s="7331" t="s">
        <v>2121</v>
      </c>
      <c r="C152" s="7332" t="s">
        <v>2122</v>
      </c>
      <c r="D152" s="7333"/>
      <c r="E152" s="7332" t="s">
        <v>1948</v>
      </c>
      <c r="F152" s="7332" t="str">
        <f t="shared" si="1"/>
        <v/>
      </c>
      <c r="G152" s="7332"/>
      <c r="H152" s="7332" t="str">
        <f t="shared" si="2"/>
        <v/>
      </c>
      <c r="I152" s="7332">
        <v>50.0</v>
      </c>
      <c r="J152" s="7332">
        <v>50.0</v>
      </c>
      <c r="K152" s="7332">
        <v>95.0</v>
      </c>
      <c r="L152" s="7332">
        <v>40.0</v>
      </c>
      <c r="M152" s="7332">
        <v>50.0</v>
      </c>
      <c r="N152" s="7334">
        <v>35.0</v>
      </c>
      <c r="O152" s="7321"/>
      <c r="P152" s="7347">
        <v>131.0</v>
      </c>
      <c r="Q152" s="7348" t="str">
        <f t="shared" si="17"/>
        <v/>
      </c>
      <c r="R152" s="7324"/>
    </row>
    <row r="153" ht="18.75" customHeight="1">
      <c r="A153" s="7316"/>
      <c r="B153" s="7337" t="s">
        <v>2123</v>
      </c>
      <c r="C153" s="7338" t="s">
        <v>2124</v>
      </c>
      <c r="D153" s="7339"/>
      <c r="E153" s="7338" t="s">
        <v>1948</v>
      </c>
      <c r="F153" s="7338" t="str">
        <f t="shared" si="1"/>
        <v/>
      </c>
      <c r="G153" s="7338"/>
      <c r="H153" s="7338" t="str">
        <f t="shared" si="2"/>
        <v/>
      </c>
      <c r="I153" s="7338">
        <v>80.0</v>
      </c>
      <c r="J153" s="7338">
        <v>80.0</v>
      </c>
      <c r="K153" s="7338">
        <v>110.0</v>
      </c>
      <c r="L153" s="7338">
        <v>30.0</v>
      </c>
      <c r="M153" s="7338">
        <v>80.0</v>
      </c>
      <c r="N153" s="7340">
        <v>45.0</v>
      </c>
      <c r="O153" s="7321"/>
      <c r="P153" s="7347">
        <v>132.0</v>
      </c>
      <c r="Q153" s="7348" t="str">
        <f t="shared" si="17"/>
        <v/>
      </c>
      <c r="R153" s="7324"/>
    </row>
    <row r="154" ht="18.75" customHeight="1">
      <c r="A154" s="7316"/>
      <c r="B154" s="7331" t="s">
        <v>1087</v>
      </c>
      <c r="C154" s="7341" t="s">
        <v>2125</v>
      </c>
      <c r="D154" s="7333"/>
      <c r="E154" s="7341" t="s">
        <v>1858</v>
      </c>
      <c r="F154" s="7341" t="str">
        <f t="shared" si="1"/>
        <v/>
      </c>
      <c r="G154" s="7341" t="s">
        <v>2097</v>
      </c>
      <c r="H154" s="7341" t="str">
        <f t="shared" si="2"/>
        <v/>
      </c>
      <c r="I154" s="7332">
        <v>60.0</v>
      </c>
      <c r="J154" s="7332">
        <v>80.0</v>
      </c>
      <c r="K154" s="7332">
        <v>110.0</v>
      </c>
      <c r="L154" s="7332">
        <v>50.0</v>
      </c>
      <c r="M154" s="7332">
        <v>80.0</v>
      </c>
      <c r="N154" s="7334">
        <v>45.0</v>
      </c>
      <c r="O154" s="7321"/>
      <c r="P154" s="7347">
        <v>133.0</v>
      </c>
      <c r="Q154" s="7348" t="str">
        <f t="shared" si="17"/>
        <v/>
      </c>
      <c r="R154" s="7324"/>
    </row>
    <row r="155" ht="18.75" customHeight="1">
      <c r="A155" s="7316"/>
      <c r="B155" s="7337" t="s">
        <v>2126</v>
      </c>
      <c r="C155" s="7338" t="s">
        <v>2127</v>
      </c>
      <c r="D155" s="7339"/>
      <c r="E155" s="7338" t="s">
        <v>1939</v>
      </c>
      <c r="F155" s="7338" t="str">
        <f t="shared" si="1"/>
        <v/>
      </c>
      <c r="G155" s="7338"/>
      <c r="H155" s="7338" t="str">
        <f t="shared" si="2"/>
        <v/>
      </c>
      <c r="I155" s="7338">
        <v>50.0</v>
      </c>
      <c r="J155" s="7338">
        <v>120.0</v>
      </c>
      <c r="K155" s="7338">
        <v>53.0</v>
      </c>
      <c r="L155" s="7338">
        <v>35.0</v>
      </c>
      <c r="M155" s="7338">
        <v>110.0</v>
      </c>
      <c r="N155" s="7340">
        <v>87.0</v>
      </c>
      <c r="O155" s="7321"/>
      <c r="P155" s="7347">
        <v>134.0</v>
      </c>
      <c r="Q155" s="7348" t="str">
        <f t="shared" si="17"/>
        <v/>
      </c>
      <c r="R155" s="7324"/>
    </row>
    <row r="156" ht="18.75" customHeight="1">
      <c r="A156" s="7316"/>
      <c r="B156" s="7331" t="s">
        <v>2128</v>
      </c>
      <c r="C156" s="7332" t="s">
        <v>2129</v>
      </c>
      <c r="D156" s="7333"/>
      <c r="E156" s="7332" t="s">
        <v>1939</v>
      </c>
      <c r="F156" s="7332" t="str">
        <f t="shared" si="1"/>
        <v/>
      </c>
      <c r="G156" s="7332"/>
      <c r="H156" s="7332" t="str">
        <f t="shared" si="2"/>
        <v/>
      </c>
      <c r="I156" s="7332">
        <v>50.0</v>
      </c>
      <c r="J156" s="7332">
        <v>115.0</v>
      </c>
      <c r="K156" s="7332">
        <v>79.0</v>
      </c>
      <c r="L156" s="7332">
        <v>35.0</v>
      </c>
      <c r="M156" s="7332">
        <v>110.0</v>
      </c>
      <c r="N156" s="7334">
        <v>76.0</v>
      </c>
      <c r="O156" s="7321"/>
      <c r="P156" s="7347">
        <v>135.0</v>
      </c>
      <c r="Q156" s="7348" t="str">
        <f t="shared" si="17"/>
        <v/>
      </c>
      <c r="R156" s="7324"/>
    </row>
    <row r="157" ht="18.75" customHeight="1">
      <c r="A157" s="7316"/>
      <c r="B157" s="7337" t="s">
        <v>2130</v>
      </c>
      <c r="C157" s="7338" t="s">
        <v>2131</v>
      </c>
      <c r="D157" s="7339"/>
      <c r="E157" s="7338" t="s">
        <v>1901</v>
      </c>
      <c r="F157" s="7338" t="str">
        <f t="shared" si="1"/>
        <v/>
      </c>
      <c r="G157" s="7338"/>
      <c r="H157" s="7338" t="str">
        <f t="shared" si="2"/>
        <v/>
      </c>
      <c r="I157" s="7338">
        <v>90.0</v>
      </c>
      <c r="J157" s="7338">
        <v>55.0</v>
      </c>
      <c r="K157" s="7338">
        <v>75.0</v>
      </c>
      <c r="L157" s="7338">
        <v>60.0</v>
      </c>
      <c r="M157" s="7338">
        <v>75.0</v>
      </c>
      <c r="N157" s="7340">
        <v>30.0</v>
      </c>
      <c r="O157" s="7321"/>
      <c r="P157" s="7347">
        <v>136.0</v>
      </c>
      <c r="Q157" s="7348" t="str">
        <f t="shared" si="17"/>
        <v/>
      </c>
      <c r="R157" s="7324"/>
    </row>
    <row r="158" ht="18.75" customHeight="1">
      <c r="A158" s="7316"/>
      <c r="B158" s="7331" t="s">
        <v>2132</v>
      </c>
      <c r="C158" s="7332" t="s">
        <v>2133</v>
      </c>
      <c r="D158" s="7333"/>
      <c r="E158" s="7332" t="s">
        <v>1849</v>
      </c>
      <c r="F158" s="7332" t="str">
        <f t="shared" si="1"/>
        <v/>
      </c>
      <c r="G158" s="7332"/>
      <c r="H158" s="7332" t="str">
        <f t="shared" si="2"/>
        <v/>
      </c>
      <c r="I158" s="7332">
        <v>40.0</v>
      </c>
      <c r="J158" s="7332">
        <v>65.0</v>
      </c>
      <c r="K158" s="7332">
        <v>95.0</v>
      </c>
      <c r="L158" s="7332">
        <v>60.0</v>
      </c>
      <c r="M158" s="7332">
        <v>45.0</v>
      </c>
      <c r="N158" s="7334">
        <v>35.0</v>
      </c>
      <c r="O158" s="7321"/>
      <c r="P158" s="7347">
        <v>137.0</v>
      </c>
      <c r="Q158" s="7348" t="str">
        <f t="shared" si="17"/>
        <v/>
      </c>
      <c r="R158" s="7324"/>
    </row>
    <row r="159" ht="18.75" customHeight="1">
      <c r="A159" s="7316"/>
      <c r="B159" s="7337" t="s">
        <v>2134</v>
      </c>
      <c r="C159" s="7338" t="s">
        <v>2135</v>
      </c>
      <c r="D159" s="7339"/>
      <c r="E159" s="7338" t="s">
        <v>1849</v>
      </c>
      <c r="F159" s="7338" t="str">
        <f t="shared" si="1"/>
        <v/>
      </c>
      <c r="G159" s="7338"/>
      <c r="H159" s="7338" t="str">
        <f t="shared" si="2"/>
        <v/>
      </c>
      <c r="I159" s="7338">
        <v>65.0</v>
      </c>
      <c r="J159" s="7338">
        <v>90.0</v>
      </c>
      <c r="K159" s="7338">
        <v>120.0</v>
      </c>
      <c r="L159" s="7338">
        <v>85.0</v>
      </c>
      <c r="M159" s="7338">
        <v>70.0</v>
      </c>
      <c r="N159" s="7340">
        <v>60.0</v>
      </c>
      <c r="O159" s="7321"/>
      <c r="P159" s="7347">
        <v>138.0</v>
      </c>
      <c r="Q159" s="7348" t="str">
        <f t="shared" si="17"/>
        <v/>
      </c>
      <c r="R159" s="7324"/>
    </row>
    <row r="160" ht="18.75" customHeight="1">
      <c r="A160" s="7316"/>
      <c r="B160" s="7331" t="s">
        <v>867</v>
      </c>
      <c r="C160" s="7341" t="s">
        <v>2136</v>
      </c>
      <c r="D160" s="7333"/>
      <c r="E160" s="7341" t="s">
        <v>1849</v>
      </c>
      <c r="F160" s="7341" t="str">
        <f t="shared" si="1"/>
        <v/>
      </c>
      <c r="G160" s="7341" t="s">
        <v>1935</v>
      </c>
      <c r="H160" s="7341" t="str">
        <f t="shared" si="2"/>
        <v/>
      </c>
      <c r="I160" s="7332">
        <v>65.0</v>
      </c>
      <c r="J160" s="7332">
        <v>90.0</v>
      </c>
      <c r="K160" s="7332">
        <v>120.0</v>
      </c>
      <c r="L160" s="7332">
        <v>85.0</v>
      </c>
      <c r="M160" s="7332">
        <v>70.0</v>
      </c>
      <c r="N160" s="7334">
        <v>60.0</v>
      </c>
      <c r="O160" s="7321"/>
      <c r="P160" s="7347">
        <v>139.0</v>
      </c>
      <c r="Q160" s="7348" t="str">
        <f t="shared" si="17"/>
        <v/>
      </c>
      <c r="R160" s="7324"/>
    </row>
    <row r="161" ht="18.75" customHeight="1">
      <c r="A161" s="7316"/>
      <c r="B161" s="7337" t="s">
        <v>2137</v>
      </c>
      <c r="C161" s="7338" t="s">
        <v>2138</v>
      </c>
      <c r="D161" s="7339"/>
      <c r="E161" s="7338" t="s">
        <v>1948</v>
      </c>
      <c r="F161" s="7338" t="str">
        <f t="shared" si="1"/>
        <v/>
      </c>
      <c r="G161" s="7338" t="s">
        <v>2014</v>
      </c>
      <c r="H161" s="7338" t="str">
        <f t="shared" si="2"/>
        <v/>
      </c>
      <c r="I161" s="7338">
        <v>80.0</v>
      </c>
      <c r="J161" s="7338">
        <v>85.0</v>
      </c>
      <c r="K161" s="7338">
        <v>95.0</v>
      </c>
      <c r="L161" s="7338">
        <v>30.0</v>
      </c>
      <c r="M161" s="7338">
        <v>30.0</v>
      </c>
      <c r="N161" s="7340">
        <v>25.0</v>
      </c>
      <c r="O161" s="7321"/>
      <c r="P161" s="7347">
        <v>140.0</v>
      </c>
      <c r="Q161" s="7348" t="str">
        <f t="shared" si="17"/>
        <v/>
      </c>
      <c r="R161" s="7324"/>
    </row>
    <row r="162" ht="18.75" customHeight="1">
      <c r="A162" s="7316"/>
      <c r="B162" s="7331" t="s">
        <v>2139</v>
      </c>
      <c r="C162" s="7332" t="s">
        <v>2140</v>
      </c>
      <c r="D162" s="7333"/>
      <c r="E162" s="7332" t="s">
        <v>1948</v>
      </c>
      <c r="F162" s="7332" t="str">
        <f t="shared" si="1"/>
        <v/>
      </c>
      <c r="G162" s="7332" t="s">
        <v>2014</v>
      </c>
      <c r="H162" s="7332" t="str">
        <f t="shared" si="2"/>
        <v/>
      </c>
      <c r="I162" s="7332">
        <v>105.0</v>
      </c>
      <c r="J162" s="7332">
        <v>130.0</v>
      </c>
      <c r="K162" s="7332">
        <v>120.0</v>
      </c>
      <c r="L162" s="7332">
        <v>45.0</v>
      </c>
      <c r="M162" s="7332">
        <v>45.0</v>
      </c>
      <c r="N162" s="7334">
        <v>40.0</v>
      </c>
      <c r="O162" s="7321"/>
      <c r="P162" s="7347">
        <v>141.0</v>
      </c>
      <c r="Q162" s="7348" t="str">
        <f t="shared" si="17"/>
        <v/>
      </c>
      <c r="R162" s="7324"/>
    </row>
    <row r="163" ht="18.75" customHeight="1">
      <c r="A163" s="7316"/>
      <c r="B163" s="7337" t="s">
        <v>1129</v>
      </c>
      <c r="C163" s="7338" t="s">
        <v>2141</v>
      </c>
      <c r="D163" s="7339"/>
      <c r="E163" s="7338" t="s">
        <v>1901</v>
      </c>
      <c r="F163" s="7338" t="str">
        <f t="shared" si="1"/>
        <v/>
      </c>
      <c r="G163" s="7338"/>
      <c r="H163" s="7338" t="str">
        <f t="shared" si="2"/>
        <v/>
      </c>
      <c r="I163" s="7338">
        <v>250.0</v>
      </c>
      <c r="J163" s="7338">
        <v>5.0</v>
      </c>
      <c r="K163" s="7338">
        <v>5.0</v>
      </c>
      <c r="L163" s="7338">
        <v>35.0</v>
      </c>
      <c r="M163" s="7338">
        <v>105.0</v>
      </c>
      <c r="N163" s="7340">
        <v>50.0</v>
      </c>
      <c r="O163" s="7321"/>
      <c r="P163" s="7347">
        <v>142.0</v>
      </c>
      <c r="Q163" s="7348" t="str">
        <f t="shared" si="17"/>
        <v/>
      </c>
      <c r="R163" s="7324"/>
    </row>
    <row r="164" ht="18.75" customHeight="1">
      <c r="A164" s="7316"/>
      <c r="B164" s="7331" t="s">
        <v>2142</v>
      </c>
      <c r="C164" s="7332" t="s">
        <v>2143</v>
      </c>
      <c r="D164" s="7333"/>
      <c r="E164" s="7332" t="s">
        <v>1848</v>
      </c>
      <c r="F164" s="7332" t="str">
        <f t="shared" si="1"/>
        <v/>
      </c>
      <c r="G164" s="7332"/>
      <c r="H164" s="7332" t="str">
        <f t="shared" si="2"/>
        <v/>
      </c>
      <c r="I164" s="7332">
        <v>65.0</v>
      </c>
      <c r="J164" s="7332">
        <v>55.0</v>
      </c>
      <c r="K164" s="7332">
        <v>115.0</v>
      </c>
      <c r="L164" s="7332">
        <v>100.0</v>
      </c>
      <c r="M164" s="7332">
        <v>40.0</v>
      </c>
      <c r="N164" s="7334">
        <v>60.0</v>
      </c>
      <c r="O164" s="7321"/>
      <c r="P164" s="7347">
        <v>143.0</v>
      </c>
      <c r="Q164" s="7348" t="str">
        <f t="shared" si="17"/>
        <v/>
      </c>
      <c r="R164" s="7324"/>
    </row>
    <row r="165" ht="18.75" customHeight="1">
      <c r="A165" s="7316"/>
      <c r="B165" s="7337" t="s">
        <v>2144</v>
      </c>
      <c r="C165" s="7338" t="s">
        <v>2145</v>
      </c>
      <c r="D165" s="7339"/>
      <c r="E165" s="7338" t="s">
        <v>1901</v>
      </c>
      <c r="F165" s="7338" t="str">
        <f t="shared" si="1"/>
        <v/>
      </c>
      <c r="G165" s="7338"/>
      <c r="H165" s="7338" t="str">
        <f t="shared" si="2"/>
        <v/>
      </c>
      <c r="I165" s="7338">
        <v>105.0</v>
      </c>
      <c r="J165" s="7338">
        <v>95.0</v>
      </c>
      <c r="K165" s="7338">
        <v>80.0</v>
      </c>
      <c r="L165" s="7338">
        <v>40.0</v>
      </c>
      <c r="M165" s="7338">
        <v>80.0</v>
      </c>
      <c r="N165" s="7340">
        <v>90.0</v>
      </c>
      <c r="O165" s="7321"/>
      <c r="P165" s="7347">
        <v>144.0</v>
      </c>
      <c r="Q165" s="7348" t="str">
        <f t="shared" si="17"/>
        <v/>
      </c>
      <c r="R165" s="7324"/>
    </row>
    <row r="166" ht="18.75" customHeight="1">
      <c r="A166" s="7316"/>
      <c r="B166" s="7331" t="s">
        <v>891</v>
      </c>
      <c r="C166" s="7341" t="s">
        <v>2146</v>
      </c>
      <c r="D166" s="7333"/>
      <c r="E166" s="7341" t="s">
        <v>1901</v>
      </c>
      <c r="F166" s="7341" t="str">
        <f t="shared" si="1"/>
        <v/>
      </c>
      <c r="G166" s="7341"/>
      <c r="H166" s="7341" t="str">
        <f t="shared" si="2"/>
        <v/>
      </c>
      <c r="I166" s="7332">
        <v>105.0</v>
      </c>
      <c r="J166" s="7332">
        <v>125.0</v>
      </c>
      <c r="K166" s="7332">
        <v>100.0</v>
      </c>
      <c r="L166" s="7332">
        <v>60.0</v>
      </c>
      <c r="M166" s="7332">
        <v>100.0</v>
      </c>
      <c r="N166" s="7334">
        <v>100.0</v>
      </c>
      <c r="O166" s="7321"/>
      <c r="P166" s="7347">
        <v>145.0</v>
      </c>
      <c r="Q166" s="7348" t="str">
        <f t="shared" si="17"/>
        <v/>
      </c>
      <c r="R166" s="7324"/>
    </row>
    <row r="167" ht="18.75" customHeight="1">
      <c r="A167" s="7316"/>
      <c r="B167" s="7337" t="s">
        <v>2147</v>
      </c>
      <c r="C167" s="7338" t="s">
        <v>2148</v>
      </c>
      <c r="D167" s="7339"/>
      <c r="E167" s="7338" t="s">
        <v>1871</v>
      </c>
      <c r="F167" s="7338" t="str">
        <f t="shared" si="1"/>
        <v/>
      </c>
      <c r="G167" s="7338"/>
      <c r="H167" s="7338" t="str">
        <f t="shared" si="2"/>
        <v/>
      </c>
      <c r="I167" s="7338">
        <v>30.0</v>
      </c>
      <c r="J167" s="7338">
        <v>40.0</v>
      </c>
      <c r="K167" s="7338">
        <v>70.0</v>
      </c>
      <c r="L167" s="7338">
        <v>70.0</v>
      </c>
      <c r="M167" s="7338">
        <v>25.0</v>
      </c>
      <c r="N167" s="7340">
        <v>60.0</v>
      </c>
      <c r="O167" s="7321"/>
      <c r="P167" s="7347">
        <v>146.0</v>
      </c>
      <c r="Q167" s="7348" t="str">
        <f t="shared" si="17"/>
        <v/>
      </c>
      <c r="R167" s="7324"/>
    </row>
    <row r="168" ht="18.75" customHeight="1">
      <c r="A168" s="7316"/>
      <c r="B168" s="7331" t="s">
        <v>2149</v>
      </c>
      <c r="C168" s="7332" t="s">
        <v>2150</v>
      </c>
      <c r="D168" s="7333"/>
      <c r="E168" s="7332" t="s">
        <v>1871</v>
      </c>
      <c r="F168" s="7332" t="str">
        <f t="shared" si="1"/>
        <v/>
      </c>
      <c r="G168" s="7332"/>
      <c r="H168" s="7332" t="str">
        <f t="shared" si="2"/>
        <v/>
      </c>
      <c r="I168" s="7332">
        <v>55.0</v>
      </c>
      <c r="J168" s="7332">
        <v>65.0</v>
      </c>
      <c r="K168" s="7332">
        <v>95.0</v>
      </c>
      <c r="L168" s="7332">
        <v>95.0</v>
      </c>
      <c r="M168" s="7332">
        <v>45.0</v>
      </c>
      <c r="N168" s="7334">
        <v>85.0</v>
      </c>
      <c r="O168" s="7321"/>
      <c r="P168" s="7347">
        <v>147.0</v>
      </c>
      <c r="Q168" s="7348" t="str">
        <f t="shared" si="17"/>
        <v/>
      </c>
      <c r="R168" s="7324"/>
    </row>
    <row r="169" ht="18.75" customHeight="1">
      <c r="A169" s="7316"/>
      <c r="B169" s="7337" t="s">
        <v>2151</v>
      </c>
      <c r="C169" s="7338" t="s">
        <v>2152</v>
      </c>
      <c r="D169" s="7339"/>
      <c r="E169" s="7338" t="s">
        <v>1871</v>
      </c>
      <c r="F169" s="7338" t="str">
        <f t="shared" si="1"/>
        <v/>
      </c>
      <c r="G169" s="7338"/>
      <c r="H169" s="7338" t="str">
        <f t="shared" si="2"/>
        <v/>
      </c>
      <c r="I169" s="7338">
        <v>45.0</v>
      </c>
      <c r="J169" s="7338">
        <v>67.0</v>
      </c>
      <c r="K169" s="7338">
        <v>60.0</v>
      </c>
      <c r="L169" s="7338">
        <v>35.0</v>
      </c>
      <c r="M169" s="7338">
        <v>50.0</v>
      </c>
      <c r="N169" s="7340">
        <v>63.0</v>
      </c>
      <c r="O169" s="7321"/>
      <c r="P169" s="7347">
        <v>148.0</v>
      </c>
      <c r="Q169" s="7348" t="str">
        <f t="shared" si="17"/>
        <v/>
      </c>
      <c r="R169" s="7324"/>
    </row>
    <row r="170" ht="18.75" customHeight="1">
      <c r="A170" s="7316"/>
      <c r="B170" s="7331" t="s">
        <v>1328</v>
      </c>
      <c r="C170" s="7332" t="s">
        <v>2153</v>
      </c>
      <c r="D170" s="7333"/>
      <c r="E170" s="7332" t="s">
        <v>1871</v>
      </c>
      <c r="F170" s="7332" t="str">
        <f t="shared" si="1"/>
        <v/>
      </c>
      <c r="G170" s="7332"/>
      <c r="H170" s="7332" t="str">
        <f t="shared" si="2"/>
        <v/>
      </c>
      <c r="I170" s="7332">
        <v>80.0</v>
      </c>
      <c r="J170" s="7332">
        <v>92.0</v>
      </c>
      <c r="K170" s="7332">
        <v>65.0</v>
      </c>
      <c r="L170" s="7332">
        <v>65.0</v>
      </c>
      <c r="M170" s="7332">
        <v>80.0</v>
      </c>
      <c r="N170" s="7334">
        <v>68.0</v>
      </c>
      <c r="O170" s="7321"/>
      <c r="P170" s="7347">
        <v>149.0</v>
      </c>
      <c r="Q170" s="7348" t="str">
        <f t="shared" si="17"/>
        <v/>
      </c>
      <c r="R170" s="7324"/>
    </row>
    <row r="171" ht="18.75" customHeight="1">
      <c r="A171" s="7316"/>
      <c r="B171" s="7337" t="s">
        <v>2154</v>
      </c>
      <c r="C171" s="7338" t="s">
        <v>2155</v>
      </c>
      <c r="D171" s="7339"/>
      <c r="E171" s="7338" t="s">
        <v>1871</v>
      </c>
      <c r="F171" s="7338" t="str">
        <f t="shared" si="1"/>
        <v/>
      </c>
      <c r="G171" s="7338"/>
      <c r="H171" s="7338" t="str">
        <f t="shared" si="2"/>
        <v/>
      </c>
      <c r="I171" s="7338">
        <v>30.0</v>
      </c>
      <c r="J171" s="7338">
        <v>45.0</v>
      </c>
      <c r="K171" s="7338">
        <v>55.0</v>
      </c>
      <c r="L171" s="7338">
        <v>70.0</v>
      </c>
      <c r="M171" s="7338">
        <v>55.0</v>
      </c>
      <c r="N171" s="7340">
        <v>85.0</v>
      </c>
      <c r="O171" s="7321"/>
      <c r="P171" s="7347">
        <v>150.0</v>
      </c>
      <c r="Q171" s="7348" t="str">
        <f t="shared" ref="Q171:Q220" si="18">IMAGE("https://i.ibb.co/VpynPk4/Cyan.png",1)</f>
        <v/>
      </c>
      <c r="R171" s="7324"/>
    </row>
    <row r="172" ht="18.75" customHeight="1">
      <c r="A172" s="7316"/>
      <c r="B172" s="7331" t="s">
        <v>202</v>
      </c>
      <c r="C172" s="7332" t="s">
        <v>2156</v>
      </c>
      <c r="D172" s="7333"/>
      <c r="E172" s="7332" t="s">
        <v>1871</v>
      </c>
      <c r="F172" s="7332" t="str">
        <f t="shared" si="1"/>
        <v/>
      </c>
      <c r="G172" s="7332" t="s">
        <v>561</v>
      </c>
      <c r="H172" s="7332" t="str">
        <f t="shared" si="2"/>
        <v/>
      </c>
      <c r="I172" s="7332">
        <v>60.0</v>
      </c>
      <c r="J172" s="7332">
        <v>75.0</v>
      </c>
      <c r="K172" s="7332">
        <v>85.0</v>
      </c>
      <c r="L172" s="7332">
        <v>100.0</v>
      </c>
      <c r="M172" s="7332">
        <v>85.0</v>
      </c>
      <c r="N172" s="7334">
        <v>115.0</v>
      </c>
      <c r="O172" s="7321"/>
      <c r="P172" s="7347">
        <v>151.0</v>
      </c>
      <c r="Q172" s="7348" t="str">
        <f t="shared" si="18"/>
        <v/>
      </c>
      <c r="R172" s="7324"/>
    </row>
    <row r="173" ht="18.75" customHeight="1">
      <c r="A173" s="7316"/>
      <c r="B173" s="7337" t="s">
        <v>2157</v>
      </c>
      <c r="C173" s="7342" t="s">
        <v>2158</v>
      </c>
      <c r="D173" s="7339"/>
      <c r="E173" s="7342" t="s">
        <v>561</v>
      </c>
      <c r="F173" s="7342" t="str">
        <f t="shared" si="1"/>
        <v/>
      </c>
      <c r="G173" s="7342" t="s">
        <v>1935</v>
      </c>
      <c r="H173" s="7342" t="str">
        <f t="shared" si="2"/>
        <v/>
      </c>
      <c r="I173" s="7338">
        <v>50.0</v>
      </c>
      <c r="J173" s="7338">
        <v>45.0</v>
      </c>
      <c r="K173" s="7338">
        <v>65.0</v>
      </c>
      <c r="L173" s="7338">
        <v>100.0</v>
      </c>
      <c r="M173" s="7338">
        <v>120.0</v>
      </c>
      <c r="N173" s="7340">
        <v>90.0</v>
      </c>
      <c r="O173" s="7321"/>
      <c r="P173" s="7347">
        <v>152.0</v>
      </c>
      <c r="Q173" s="7348" t="str">
        <f t="shared" si="18"/>
        <v/>
      </c>
      <c r="R173" s="7324"/>
    </row>
    <row r="174" ht="18.75" customHeight="1">
      <c r="A174" s="7316"/>
      <c r="B174" s="7331" t="s">
        <v>2159</v>
      </c>
      <c r="C174" s="7341" t="s">
        <v>2160</v>
      </c>
      <c r="D174" s="7333"/>
      <c r="E174" s="7341" t="s">
        <v>1932</v>
      </c>
      <c r="F174" s="7341" t="str">
        <f t="shared" si="1"/>
        <v/>
      </c>
      <c r="G174" s="7341" t="s">
        <v>561</v>
      </c>
      <c r="H174" s="7341" t="str">
        <f t="shared" si="2"/>
        <v/>
      </c>
      <c r="I174" s="7332">
        <v>50.0</v>
      </c>
      <c r="J174" s="7332">
        <v>65.0</v>
      </c>
      <c r="K174" s="7332">
        <v>65.0</v>
      </c>
      <c r="L174" s="7332">
        <v>90.0</v>
      </c>
      <c r="M174" s="7332">
        <v>90.0</v>
      </c>
      <c r="N174" s="7334">
        <v>100.0</v>
      </c>
      <c r="O174" s="7321"/>
      <c r="P174" s="7347">
        <v>153.0</v>
      </c>
      <c r="Q174" s="7348" t="str">
        <f t="shared" si="18"/>
        <v/>
      </c>
      <c r="R174" s="7324"/>
    </row>
    <row r="175" ht="18.75" customHeight="1">
      <c r="A175" s="7316"/>
      <c r="B175" s="7337" t="s">
        <v>516</v>
      </c>
      <c r="C175" s="7338" t="s">
        <v>2161</v>
      </c>
      <c r="D175" s="7339"/>
      <c r="E175" s="7338" t="s">
        <v>1882</v>
      </c>
      <c r="F175" s="7338" t="str">
        <f t="shared" si="1"/>
        <v/>
      </c>
      <c r="G175" s="7338" t="s">
        <v>1863</v>
      </c>
      <c r="H175" s="7338" t="str">
        <f t="shared" si="2"/>
        <v/>
      </c>
      <c r="I175" s="7338">
        <v>70.0</v>
      </c>
      <c r="J175" s="7338">
        <v>110.0</v>
      </c>
      <c r="K175" s="7338">
        <v>80.0</v>
      </c>
      <c r="L175" s="7338">
        <v>55.0</v>
      </c>
      <c r="M175" s="7338">
        <v>80.0</v>
      </c>
      <c r="N175" s="7340">
        <v>105.0</v>
      </c>
      <c r="O175" s="7321"/>
      <c r="P175" s="7347">
        <v>154.0</v>
      </c>
      <c r="Q175" s="7348" t="str">
        <f t="shared" si="18"/>
        <v/>
      </c>
      <c r="R175" s="7324"/>
    </row>
    <row r="176" ht="18.75" customHeight="1">
      <c r="A176" s="7316"/>
      <c r="B176" s="7331" t="s">
        <v>614</v>
      </c>
      <c r="C176" s="7332" t="s">
        <v>2162</v>
      </c>
      <c r="D176" s="7333"/>
      <c r="E176" s="7332" t="s">
        <v>1932</v>
      </c>
      <c r="F176" s="7332" t="str">
        <f t="shared" si="1"/>
        <v/>
      </c>
      <c r="G176" s="7332" t="s">
        <v>561</v>
      </c>
      <c r="H176" s="7332" t="str">
        <f t="shared" si="2"/>
        <v/>
      </c>
      <c r="I176" s="7332">
        <v>65.0</v>
      </c>
      <c r="J176" s="7332">
        <v>50.0</v>
      </c>
      <c r="K176" s="7332">
        <v>50.0</v>
      </c>
      <c r="L176" s="7332">
        <v>115.0</v>
      </c>
      <c r="M176" s="7332">
        <v>95.0</v>
      </c>
      <c r="N176" s="7334">
        <v>100.0</v>
      </c>
      <c r="O176" s="7321"/>
      <c r="P176" s="7347">
        <v>155.0</v>
      </c>
      <c r="Q176" s="7348" t="str">
        <f t="shared" si="18"/>
        <v/>
      </c>
      <c r="R176" s="7324"/>
    </row>
    <row r="177" ht="18.75" customHeight="1">
      <c r="A177" s="7316"/>
      <c r="B177" s="7337" t="s">
        <v>2163</v>
      </c>
      <c r="C177" s="7338" t="s">
        <v>2164</v>
      </c>
      <c r="D177" s="7339"/>
      <c r="E177" s="7338" t="s">
        <v>1926</v>
      </c>
      <c r="F177" s="7338" t="str">
        <f t="shared" si="1"/>
        <v/>
      </c>
      <c r="G177" s="7338"/>
      <c r="H177" s="7338" t="str">
        <f t="shared" si="2"/>
        <v/>
      </c>
      <c r="I177" s="7338">
        <v>65.0</v>
      </c>
      <c r="J177" s="7338">
        <v>83.0</v>
      </c>
      <c r="K177" s="7338">
        <v>57.0</v>
      </c>
      <c r="L177" s="7338">
        <v>95.0</v>
      </c>
      <c r="M177" s="7338">
        <v>85.0</v>
      </c>
      <c r="N177" s="7340">
        <v>105.0</v>
      </c>
      <c r="O177" s="7321"/>
      <c r="P177" s="7347">
        <v>156.0</v>
      </c>
      <c r="Q177" s="7348" t="str">
        <f t="shared" si="18"/>
        <v/>
      </c>
      <c r="R177" s="7324"/>
    </row>
    <row r="178" ht="18.75" customHeight="1">
      <c r="A178" s="7316"/>
      <c r="B178" s="7331" t="s">
        <v>2165</v>
      </c>
      <c r="C178" s="7332" t="s">
        <v>2166</v>
      </c>
      <c r="D178" s="7333"/>
      <c r="E178" s="7332" t="s">
        <v>1858</v>
      </c>
      <c r="F178" s="7332" t="str">
        <f t="shared" si="1"/>
        <v/>
      </c>
      <c r="G178" s="7332"/>
      <c r="H178" s="7332" t="str">
        <f t="shared" si="2"/>
        <v/>
      </c>
      <c r="I178" s="7332">
        <v>65.0</v>
      </c>
      <c r="J178" s="7332">
        <v>95.0</v>
      </c>
      <c r="K178" s="7332">
        <v>57.0</v>
      </c>
      <c r="L178" s="7332">
        <v>100.0</v>
      </c>
      <c r="M178" s="7332">
        <v>85.0</v>
      </c>
      <c r="N178" s="7334">
        <v>93.0</v>
      </c>
      <c r="O178" s="7321"/>
      <c r="P178" s="7347">
        <v>157.0</v>
      </c>
      <c r="Q178" s="7348" t="str">
        <f t="shared" si="18"/>
        <v/>
      </c>
      <c r="R178" s="7324"/>
    </row>
    <row r="179" ht="18.75" customHeight="1">
      <c r="A179" s="7316"/>
      <c r="B179" s="7337" t="s">
        <v>2167</v>
      </c>
      <c r="C179" s="7338" t="s">
        <v>2168</v>
      </c>
      <c r="D179" s="7339"/>
      <c r="E179" s="7338" t="s">
        <v>1882</v>
      </c>
      <c r="F179" s="7338" t="str">
        <f t="shared" si="1"/>
        <v/>
      </c>
      <c r="G179" s="7338"/>
      <c r="H179" s="7338" t="str">
        <f t="shared" si="2"/>
        <v/>
      </c>
      <c r="I179" s="7338">
        <v>65.0</v>
      </c>
      <c r="J179" s="7338">
        <v>125.0</v>
      </c>
      <c r="K179" s="7338">
        <v>100.0</v>
      </c>
      <c r="L179" s="7338">
        <v>55.0</v>
      </c>
      <c r="M179" s="7338">
        <v>70.0</v>
      </c>
      <c r="N179" s="7340">
        <v>85.0</v>
      </c>
      <c r="O179" s="7321"/>
      <c r="P179" s="7347">
        <v>158.0</v>
      </c>
      <c r="Q179" s="7348" t="str">
        <f t="shared" si="18"/>
        <v/>
      </c>
      <c r="R179" s="7324"/>
    </row>
    <row r="180" ht="18.75" customHeight="1">
      <c r="A180" s="7316"/>
      <c r="B180" s="7331" t="s">
        <v>1238</v>
      </c>
      <c r="C180" s="7341" t="s">
        <v>2169</v>
      </c>
      <c r="D180" s="7333"/>
      <c r="E180" s="7341" t="s">
        <v>1882</v>
      </c>
      <c r="F180" s="7341" t="str">
        <f t="shared" si="1"/>
        <v/>
      </c>
      <c r="G180" s="7341" t="s">
        <v>1863</v>
      </c>
      <c r="H180" s="7341" t="str">
        <f t="shared" si="2"/>
        <v/>
      </c>
      <c r="I180" s="7332">
        <v>65.0</v>
      </c>
      <c r="J180" s="7332">
        <v>155.0</v>
      </c>
      <c r="K180" s="7332">
        <v>120.0</v>
      </c>
      <c r="L180" s="7332">
        <v>65.0</v>
      </c>
      <c r="M180" s="7332">
        <v>90.0</v>
      </c>
      <c r="N180" s="7334">
        <v>105.0</v>
      </c>
      <c r="O180" s="7321"/>
      <c r="P180" s="7347">
        <v>159.0</v>
      </c>
      <c r="Q180" s="7348" t="str">
        <f t="shared" si="18"/>
        <v/>
      </c>
      <c r="R180" s="7324"/>
    </row>
    <row r="181" ht="18.75" customHeight="1">
      <c r="A181" s="7316"/>
      <c r="B181" s="7337" t="s">
        <v>1499</v>
      </c>
      <c r="C181" s="7338" t="s">
        <v>2170</v>
      </c>
      <c r="D181" s="7339"/>
      <c r="E181" s="7338" t="s">
        <v>1901</v>
      </c>
      <c r="F181" s="7338" t="str">
        <f t="shared" si="1"/>
        <v/>
      </c>
      <c r="G181" s="7338"/>
      <c r="H181" s="7338" t="str">
        <f t="shared" si="2"/>
        <v/>
      </c>
      <c r="I181" s="7338">
        <v>75.0</v>
      </c>
      <c r="J181" s="7338">
        <v>100.0</v>
      </c>
      <c r="K181" s="7338">
        <v>95.0</v>
      </c>
      <c r="L181" s="7338">
        <v>70.0</v>
      </c>
      <c r="M181" s="7338">
        <v>70.0</v>
      </c>
      <c r="N181" s="7340">
        <v>110.0</v>
      </c>
      <c r="O181" s="7321"/>
      <c r="P181" s="7347">
        <v>160.0</v>
      </c>
      <c r="Q181" s="7348" t="str">
        <f t="shared" si="18"/>
        <v/>
      </c>
      <c r="R181" s="7324"/>
    </row>
    <row r="182" ht="18.75" customHeight="1">
      <c r="A182" s="7316"/>
      <c r="B182" s="7331" t="s">
        <v>2171</v>
      </c>
      <c r="C182" s="7341" t="s">
        <v>2172</v>
      </c>
      <c r="D182" s="7333"/>
      <c r="E182" s="7341" t="s">
        <v>1939</v>
      </c>
      <c r="F182" s="7341" t="str">
        <f t="shared" si="1"/>
        <v/>
      </c>
      <c r="G182" s="7341"/>
      <c r="H182" s="7341" t="str">
        <f t="shared" si="2"/>
        <v/>
      </c>
      <c r="I182" s="7332">
        <v>75.0</v>
      </c>
      <c r="J182" s="7332">
        <v>110.0</v>
      </c>
      <c r="K182" s="7332">
        <v>105.0</v>
      </c>
      <c r="L182" s="7332">
        <v>60.0</v>
      </c>
      <c r="M182" s="7332">
        <v>70.0</v>
      </c>
      <c r="N182" s="7334">
        <v>100.0</v>
      </c>
      <c r="O182" s="7321"/>
      <c r="P182" s="7347">
        <v>161.0</v>
      </c>
      <c r="Q182" s="7348" t="str">
        <f t="shared" si="18"/>
        <v/>
      </c>
      <c r="R182" s="7324"/>
    </row>
    <row r="183" ht="18.75" customHeight="1">
      <c r="A183" s="7316"/>
      <c r="B183" s="7337" t="s">
        <v>2173</v>
      </c>
      <c r="C183" s="7342" t="s">
        <v>2174</v>
      </c>
      <c r="D183" s="7339"/>
      <c r="E183" s="7342" t="s">
        <v>1939</v>
      </c>
      <c r="F183" s="7342" t="str">
        <f t="shared" si="1"/>
        <v/>
      </c>
      <c r="G183" s="7342" t="s">
        <v>1858</v>
      </c>
      <c r="H183" s="7342" t="str">
        <f t="shared" si="2"/>
        <v/>
      </c>
      <c r="I183" s="7338">
        <v>75.0</v>
      </c>
      <c r="J183" s="7338">
        <v>110.0</v>
      </c>
      <c r="K183" s="7338">
        <v>105.0</v>
      </c>
      <c r="L183" s="7338">
        <v>60.0</v>
      </c>
      <c r="M183" s="7338">
        <v>70.0</v>
      </c>
      <c r="N183" s="7340">
        <v>100.0</v>
      </c>
      <c r="O183" s="7321"/>
      <c r="P183" s="7347">
        <v>162.0</v>
      </c>
      <c r="Q183" s="7348" t="str">
        <f t="shared" si="18"/>
        <v/>
      </c>
      <c r="R183" s="7324"/>
    </row>
    <row r="184" ht="18.75" customHeight="1">
      <c r="A184" s="7316"/>
      <c r="B184" s="7331" t="s">
        <v>2175</v>
      </c>
      <c r="C184" s="7341" t="s">
        <v>2176</v>
      </c>
      <c r="D184" s="7333"/>
      <c r="E184" s="7341" t="s">
        <v>1939</v>
      </c>
      <c r="F184" s="7341" t="str">
        <f t="shared" si="1"/>
        <v/>
      </c>
      <c r="G184" s="7341" t="s">
        <v>1871</v>
      </c>
      <c r="H184" s="7341" t="str">
        <f t="shared" si="2"/>
        <v/>
      </c>
      <c r="I184" s="7332">
        <v>75.0</v>
      </c>
      <c r="J184" s="7332">
        <v>110.0</v>
      </c>
      <c r="K184" s="7332">
        <v>105.0</v>
      </c>
      <c r="L184" s="7332">
        <v>60.0</v>
      </c>
      <c r="M184" s="7332">
        <v>70.0</v>
      </c>
      <c r="N184" s="7334">
        <v>100.0</v>
      </c>
      <c r="O184" s="7321"/>
      <c r="P184" s="7347">
        <v>163.0</v>
      </c>
      <c r="Q184" s="7348" t="str">
        <f t="shared" si="18"/>
        <v/>
      </c>
      <c r="R184" s="7324"/>
    </row>
    <row r="185" ht="18.75" customHeight="1">
      <c r="A185" s="7316"/>
      <c r="B185" s="7337" t="s">
        <v>2177</v>
      </c>
      <c r="C185" s="7338" t="s">
        <v>2178</v>
      </c>
      <c r="D185" s="7339"/>
      <c r="E185" s="7338" t="s">
        <v>1871</v>
      </c>
      <c r="F185" s="7338" t="str">
        <f t="shared" si="1"/>
        <v/>
      </c>
      <c r="G185" s="7338"/>
      <c r="H185" s="7338" t="str">
        <f t="shared" si="2"/>
        <v/>
      </c>
      <c r="I185" s="7338">
        <v>20.0</v>
      </c>
      <c r="J185" s="7338">
        <v>10.0</v>
      </c>
      <c r="K185" s="7338">
        <v>55.0</v>
      </c>
      <c r="L185" s="7338">
        <v>15.0</v>
      </c>
      <c r="M185" s="7338">
        <v>20.0</v>
      </c>
      <c r="N185" s="7340">
        <v>80.0</v>
      </c>
      <c r="O185" s="7321"/>
      <c r="P185" s="7347">
        <v>164.0</v>
      </c>
      <c r="Q185" s="7348" t="str">
        <f t="shared" si="18"/>
        <v/>
      </c>
      <c r="R185" s="7324"/>
    </row>
    <row r="186" ht="18.75" customHeight="1">
      <c r="A186" s="7316"/>
      <c r="B186" s="7331" t="s">
        <v>1500</v>
      </c>
      <c r="C186" s="7332" t="s">
        <v>2179</v>
      </c>
      <c r="D186" s="7333"/>
      <c r="E186" s="7332" t="s">
        <v>1871</v>
      </c>
      <c r="F186" s="7332" t="str">
        <f t="shared" si="1"/>
        <v/>
      </c>
      <c r="G186" s="7332" t="s">
        <v>1863</v>
      </c>
      <c r="H186" s="7332" t="str">
        <f t="shared" si="2"/>
        <v/>
      </c>
      <c r="I186" s="7332">
        <v>95.0</v>
      </c>
      <c r="J186" s="7332">
        <v>125.0</v>
      </c>
      <c r="K186" s="7332">
        <v>79.0</v>
      </c>
      <c r="L186" s="7332">
        <v>60.0</v>
      </c>
      <c r="M186" s="7332">
        <v>100.0</v>
      </c>
      <c r="N186" s="7334">
        <v>81.0</v>
      </c>
      <c r="O186" s="7321"/>
      <c r="P186" s="7347">
        <v>165.0</v>
      </c>
      <c r="Q186" s="7348" t="str">
        <f t="shared" si="18"/>
        <v/>
      </c>
      <c r="R186" s="7324"/>
    </row>
    <row r="187" ht="18.75" customHeight="1">
      <c r="A187" s="7316"/>
      <c r="B187" s="7337" t="s">
        <v>444</v>
      </c>
      <c r="C187" s="7342" t="s">
        <v>2180</v>
      </c>
      <c r="D187" s="7339"/>
      <c r="E187" s="7342" t="s">
        <v>1871</v>
      </c>
      <c r="F187" s="7342" t="str">
        <f t="shared" si="1"/>
        <v/>
      </c>
      <c r="G187" s="7342" t="s">
        <v>1911</v>
      </c>
      <c r="H187" s="7342" t="str">
        <f t="shared" si="2"/>
        <v/>
      </c>
      <c r="I187" s="7338">
        <v>95.0</v>
      </c>
      <c r="J187" s="7338">
        <v>155.0</v>
      </c>
      <c r="K187" s="7338">
        <v>109.0</v>
      </c>
      <c r="L187" s="7338">
        <v>70.0</v>
      </c>
      <c r="M187" s="7338">
        <v>130.0</v>
      </c>
      <c r="N187" s="7340">
        <v>81.0</v>
      </c>
      <c r="O187" s="7321"/>
      <c r="P187" s="7347">
        <v>166.0</v>
      </c>
      <c r="Q187" s="7348" t="str">
        <f t="shared" si="18"/>
        <v/>
      </c>
      <c r="R187" s="7324"/>
    </row>
    <row r="188" ht="18.75" customHeight="1">
      <c r="A188" s="7316"/>
      <c r="B188" s="7331" t="s">
        <v>2181</v>
      </c>
      <c r="C188" s="7332" t="s">
        <v>2182</v>
      </c>
      <c r="D188" s="7333"/>
      <c r="E188" s="7332" t="s">
        <v>1871</v>
      </c>
      <c r="F188" s="7332" t="str">
        <f t="shared" si="1"/>
        <v/>
      </c>
      <c r="G188" s="7332" t="s">
        <v>1932</v>
      </c>
      <c r="H188" s="7332" t="str">
        <f t="shared" si="2"/>
        <v/>
      </c>
      <c r="I188" s="7332">
        <v>130.0</v>
      </c>
      <c r="J188" s="7332">
        <v>85.0</v>
      </c>
      <c r="K188" s="7332">
        <v>80.0</v>
      </c>
      <c r="L188" s="7332">
        <v>85.0</v>
      </c>
      <c r="M188" s="7332">
        <v>95.0</v>
      </c>
      <c r="N188" s="7334">
        <v>60.0</v>
      </c>
      <c r="O188" s="7321"/>
      <c r="P188" s="7347">
        <v>167.0</v>
      </c>
      <c r="Q188" s="7348" t="str">
        <f t="shared" si="18"/>
        <v/>
      </c>
      <c r="R188" s="7324"/>
    </row>
    <row r="189" ht="18.75" customHeight="1">
      <c r="A189" s="7316"/>
      <c r="B189" s="7337" t="s">
        <v>1228</v>
      </c>
      <c r="C189" s="7342" t="s">
        <v>2183</v>
      </c>
      <c r="D189" s="7339"/>
      <c r="E189" s="7342" t="s">
        <v>1871</v>
      </c>
      <c r="F189" s="7342" t="str">
        <f t="shared" si="1"/>
        <v/>
      </c>
      <c r="G189" s="7342" t="s">
        <v>1866</v>
      </c>
      <c r="H189" s="7342" t="str">
        <f t="shared" si="2"/>
        <v/>
      </c>
      <c r="I189" s="7338">
        <v>130.0</v>
      </c>
      <c r="J189" s="7338">
        <v>105.0</v>
      </c>
      <c r="K189" s="7338">
        <v>90.0</v>
      </c>
      <c r="L189" s="7338">
        <v>115.0</v>
      </c>
      <c r="M189" s="7338">
        <v>105.0</v>
      </c>
      <c r="N189" s="7340">
        <v>70.0</v>
      </c>
      <c r="O189" s="7321"/>
      <c r="P189" s="7347">
        <v>168.0</v>
      </c>
      <c r="Q189" s="7348" t="str">
        <f t="shared" si="18"/>
        <v/>
      </c>
      <c r="R189" s="7324"/>
    </row>
    <row r="190" ht="18.75" customHeight="1">
      <c r="A190" s="7316"/>
      <c r="B190" s="7331" t="s">
        <v>1477</v>
      </c>
      <c r="C190" s="7332" t="s">
        <v>2184</v>
      </c>
      <c r="D190" s="7333"/>
      <c r="E190" s="7332" t="s">
        <v>1901</v>
      </c>
      <c r="F190" s="7332" t="str">
        <f t="shared" si="1"/>
        <v/>
      </c>
      <c r="G190" s="7332"/>
      <c r="H190" s="7332" t="str">
        <f t="shared" si="2"/>
        <v/>
      </c>
      <c r="I190" s="7332">
        <v>48.0</v>
      </c>
      <c r="J190" s="7332">
        <v>48.0</v>
      </c>
      <c r="K190" s="7332">
        <v>48.0</v>
      </c>
      <c r="L190" s="7332">
        <v>48.0</v>
      </c>
      <c r="M190" s="7332">
        <v>48.0</v>
      </c>
      <c r="N190" s="7334">
        <v>48.0</v>
      </c>
      <c r="O190" s="7321"/>
      <c r="P190" s="7347">
        <v>169.0</v>
      </c>
      <c r="Q190" s="7348" t="str">
        <f t="shared" si="18"/>
        <v/>
      </c>
      <c r="R190" s="7324"/>
    </row>
    <row r="191" ht="18.75" customHeight="1">
      <c r="A191" s="7316"/>
      <c r="B191" s="7337" t="s">
        <v>2185</v>
      </c>
      <c r="C191" s="7338" t="s">
        <v>2186</v>
      </c>
      <c r="D191" s="7339"/>
      <c r="E191" s="7338" t="s">
        <v>1901</v>
      </c>
      <c r="F191" s="7338" t="str">
        <f t="shared" si="1"/>
        <v/>
      </c>
      <c r="G191" s="7338"/>
      <c r="H191" s="7338" t="str">
        <f t="shared" si="2"/>
        <v/>
      </c>
      <c r="I191" s="7338">
        <v>55.0</v>
      </c>
      <c r="J191" s="7338">
        <v>55.0</v>
      </c>
      <c r="K191" s="7338">
        <v>50.0</v>
      </c>
      <c r="L191" s="7338">
        <v>45.0</v>
      </c>
      <c r="M191" s="7338">
        <v>65.0</v>
      </c>
      <c r="N191" s="7340">
        <v>55.0</v>
      </c>
      <c r="O191" s="7321"/>
      <c r="P191" s="7347">
        <v>170.0</v>
      </c>
      <c r="Q191" s="7348" t="str">
        <f t="shared" si="18"/>
        <v/>
      </c>
      <c r="R191" s="7324"/>
    </row>
    <row r="192" ht="18.75" customHeight="1">
      <c r="A192" s="7316"/>
      <c r="B192" s="7331" t="s">
        <v>1792</v>
      </c>
      <c r="C192" s="7332" t="s">
        <v>2187</v>
      </c>
      <c r="D192" s="7333"/>
      <c r="E192" s="7332" t="s">
        <v>1871</v>
      </c>
      <c r="F192" s="7332" t="str">
        <f t="shared" si="1"/>
        <v/>
      </c>
      <c r="G192" s="7332"/>
      <c r="H192" s="7332" t="str">
        <f t="shared" si="2"/>
        <v/>
      </c>
      <c r="I192" s="7332">
        <v>130.0</v>
      </c>
      <c r="J192" s="7332">
        <v>65.0</v>
      </c>
      <c r="K192" s="7332">
        <v>60.0</v>
      </c>
      <c r="L192" s="7332">
        <v>110.0</v>
      </c>
      <c r="M192" s="7332">
        <v>95.0</v>
      </c>
      <c r="N192" s="7334">
        <v>65.0</v>
      </c>
      <c r="O192" s="7321"/>
      <c r="P192" s="7347">
        <v>171.0</v>
      </c>
      <c r="Q192" s="7348" t="str">
        <f t="shared" si="18"/>
        <v/>
      </c>
      <c r="R192" s="7324"/>
    </row>
    <row r="193" ht="18.75" customHeight="1">
      <c r="A193" s="7316"/>
      <c r="B193" s="7337" t="s">
        <v>1169</v>
      </c>
      <c r="C193" s="7338" t="s">
        <v>2188</v>
      </c>
      <c r="D193" s="7339"/>
      <c r="E193" s="7338" t="s">
        <v>1926</v>
      </c>
      <c r="F193" s="7338" t="str">
        <f t="shared" si="1"/>
        <v/>
      </c>
      <c r="G193" s="7338"/>
      <c r="H193" s="7338" t="str">
        <f t="shared" si="2"/>
        <v/>
      </c>
      <c r="I193" s="7338">
        <v>65.0</v>
      </c>
      <c r="J193" s="7338">
        <v>65.0</v>
      </c>
      <c r="K193" s="7338">
        <v>60.0</v>
      </c>
      <c r="L193" s="7338">
        <v>110.0</v>
      </c>
      <c r="M193" s="7338">
        <v>95.0</v>
      </c>
      <c r="N193" s="7340">
        <v>130.0</v>
      </c>
      <c r="O193" s="7321"/>
      <c r="P193" s="7347">
        <v>172.0</v>
      </c>
      <c r="Q193" s="7348" t="str">
        <f t="shared" si="18"/>
        <v/>
      </c>
      <c r="R193" s="7324"/>
    </row>
    <row r="194" ht="18.75" customHeight="1">
      <c r="A194" s="7316"/>
      <c r="B194" s="7331" t="s">
        <v>1512</v>
      </c>
      <c r="C194" s="7332" t="s">
        <v>2189</v>
      </c>
      <c r="D194" s="7333"/>
      <c r="E194" s="7332" t="s">
        <v>1858</v>
      </c>
      <c r="F194" s="7332" t="str">
        <f t="shared" si="1"/>
        <v/>
      </c>
      <c r="G194" s="7332"/>
      <c r="H194" s="7332" t="str">
        <f t="shared" si="2"/>
        <v/>
      </c>
      <c r="I194" s="7332">
        <v>65.0</v>
      </c>
      <c r="J194" s="7332">
        <v>130.0</v>
      </c>
      <c r="K194" s="7332">
        <v>70.0</v>
      </c>
      <c r="L194" s="7332">
        <v>65.0</v>
      </c>
      <c r="M194" s="7332">
        <v>100.0</v>
      </c>
      <c r="N194" s="7334">
        <v>95.0</v>
      </c>
      <c r="O194" s="7321"/>
      <c r="P194" s="7347">
        <v>173.0</v>
      </c>
      <c r="Q194" s="7348" t="str">
        <f t="shared" si="18"/>
        <v/>
      </c>
      <c r="R194" s="7324"/>
    </row>
    <row r="195" ht="18.75" customHeight="1">
      <c r="A195" s="7316"/>
      <c r="B195" s="7337" t="s">
        <v>2190</v>
      </c>
      <c r="C195" s="7338" t="s">
        <v>2191</v>
      </c>
      <c r="D195" s="7339"/>
      <c r="E195" s="7338" t="s">
        <v>1901</v>
      </c>
      <c r="F195" s="7338" t="str">
        <f t="shared" si="1"/>
        <v/>
      </c>
      <c r="G195" s="7338"/>
      <c r="H195" s="7338" t="str">
        <f t="shared" si="2"/>
        <v/>
      </c>
      <c r="I195" s="7338">
        <v>65.0</v>
      </c>
      <c r="J195" s="7338">
        <v>60.0</v>
      </c>
      <c r="K195" s="7338">
        <v>70.0</v>
      </c>
      <c r="L195" s="7338">
        <v>85.0</v>
      </c>
      <c r="M195" s="7338">
        <v>75.0</v>
      </c>
      <c r="N195" s="7340">
        <v>40.0</v>
      </c>
      <c r="O195" s="7321"/>
      <c r="P195" s="7347">
        <v>174.0</v>
      </c>
      <c r="Q195" s="7348" t="str">
        <f t="shared" si="18"/>
        <v/>
      </c>
      <c r="R195" s="7324"/>
    </row>
    <row r="196" ht="18.75" customHeight="1">
      <c r="A196" s="7316"/>
      <c r="B196" s="7331" t="s">
        <v>2192</v>
      </c>
      <c r="C196" s="7332" t="s">
        <v>2193</v>
      </c>
      <c r="D196" s="7333"/>
      <c r="E196" s="7332" t="s">
        <v>2014</v>
      </c>
      <c r="F196" s="7332" t="str">
        <f t="shared" si="1"/>
        <v/>
      </c>
      <c r="G196" s="7332" t="s">
        <v>1871</v>
      </c>
      <c r="H196" s="7332" t="str">
        <f t="shared" si="2"/>
        <v/>
      </c>
      <c r="I196" s="7332">
        <v>35.0</v>
      </c>
      <c r="J196" s="7332">
        <v>40.0</v>
      </c>
      <c r="K196" s="7332">
        <v>100.0</v>
      </c>
      <c r="L196" s="7332">
        <v>90.0</v>
      </c>
      <c r="M196" s="7332">
        <v>55.0</v>
      </c>
      <c r="N196" s="7334">
        <v>35.0</v>
      </c>
      <c r="O196" s="7321"/>
      <c r="P196" s="7347">
        <v>175.0</v>
      </c>
      <c r="Q196" s="7348" t="str">
        <f t="shared" si="18"/>
        <v/>
      </c>
      <c r="R196" s="7324"/>
    </row>
    <row r="197" ht="18.75" customHeight="1">
      <c r="A197" s="7316"/>
      <c r="B197" s="7337" t="s">
        <v>415</v>
      </c>
      <c r="C197" s="7338" t="s">
        <v>2194</v>
      </c>
      <c r="D197" s="7339"/>
      <c r="E197" s="7338" t="s">
        <v>2014</v>
      </c>
      <c r="F197" s="7338" t="str">
        <f t="shared" si="1"/>
        <v/>
      </c>
      <c r="G197" s="7338" t="s">
        <v>1871</v>
      </c>
      <c r="H197" s="7338" t="str">
        <f t="shared" si="2"/>
        <v/>
      </c>
      <c r="I197" s="7338">
        <v>70.0</v>
      </c>
      <c r="J197" s="7338">
        <v>60.0</v>
      </c>
      <c r="K197" s="7338">
        <v>125.0</v>
      </c>
      <c r="L197" s="7338">
        <v>115.0</v>
      </c>
      <c r="M197" s="7338">
        <v>70.0</v>
      </c>
      <c r="N197" s="7340">
        <v>55.0</v>
      </c>
      <c r="O197" s="7321"/>
      <c r="P197" s="7347">
        <v>176.0</v>
      </c>
      <c r="Q197" s="7348" t="str">
        <f t="shared" si="18"/>
        <v/>
      </c>
      <c r="R197" s="7324"/>
    </row>
    <row r="198" ht="18.75" customHeight="1">
      <c r="A198" s="7316"/>
      <c r="B198" s="7331" t="s">
        <v>2195</v>
      </c>
      <c r="C198" s="7332" t="s">
        <v>2196</v>
      </c>
      <c r="D198" s="7333"/>
      <c r="E198" s="7332" t="s">
        <v>2014</v>
      </c>
      <c r="F198" s="7332" t="str">
        <f t="shared" si="1"/>
        <v/>
      </c>
      <c r="G198" s="7332" t="s">
        <v>1871</v>
      </c>
      <c r="H198" s="7332" t="str">
        <f t="shared" si="2"/>
        <v/>
      </c>
      <c r="I198" s="7332">
        <v>30.0</v>
      </c>
      <c r="J198" s="7332">
        <v>80.0</v>
      </c>
      <c r="K198" s="7332">
        <v>90.0</v>
      </c>
      <c r="L198" s="7332">
        <v>55.0</v>
      </c>
      <c r="M198" s="7332">
        <v>45.0</v>
      </c>
      <c r="N198" s="7334">
        <v>55.0</v>
      </c>
      <c r="O198" s="7321"/>
      <c r="P198" s="7347">
        <v>177.0</v>
      </c>
      <c r="Q198" s="7348" t="str">
        <f t="shared" si="18"/>
        <v/>
      </c>
      <c r="R198" s="7324"/>
    </row>
    <row r="199" ht="18.75" customHeight="1">
      <c r="A199" s="7316"/>
      <c r="B199" s="7337" t="s">
        <v>2197</v>
      </c>
      <c r="C199" s="7338" t="s">
        <v>2198</v>
      </c>
      <c r="D199" s="7339"/>
      <c r="E199" s="7338" t="s">
        <v>2014</v>
      </c>
      <c r="F199" s="7338" t="str">
        <f t="shared" si="1"/>
        <v/>
      </c>
      <c r="G199" s="7338" t="s">
        <v>1871</v>
      </c>
      <c r="H199" s="7338" t="str">
        <f t="shared" si="2"/>
        <v/>
      </c>
      <c r="I199" s="7338">
        <v>60.0</v>
      </c>
      <c r="J199" s="7338">
        <v>115.0</v>
      </c>
      <c r="K199" s="7338">
        <v>105.0</v>
      </c>
      <c r="L199" s="7338">
        <v>65.0</v>
      </c>
      <c r="M199" s="7338">
        <v>70.0</v>
      </c>
      <c r="N199" s="7340">
        <v>80.0</v>
      </c>
      <c r="O199" s="7321"/>
      <c r="P199" s="7347">
        <v>178.0</v>
      </c>
      <c r="Q199" s="7348" t="str">
        <f t="shared" si="18"/>
        <v/>
      </c>
      <c r="R199" s="7324"/>
    </row>
    <row r="200" ht="18.75" customHeight="1">
      <c r="A200" s="7316"/>
      <c r="B200" s="7331" t="s">
        <v>383</v>
      </c>
      <c r="C200" s="7332" t="s">
        <v>2199</v>
      </c>
      <c r="D200" s="7333"/>
      <c r="E200" s="7332" t="s">
        <v>2014</v>
      </c>
      <c r="F200" s="7332" t="str">
        <f t="shared" ref="F200:F216" si="19">IFERROR(VLOOKUP(E200,P$3:Q218,2,False),"")</f>
        <v/>
      </c>
      <c r="G200" s="7332" t="s">
        <v>1863</v>
      </c>
      <c r="H200" s="7332" t="str">
        <f t="shared" ref="H200:H216" si="20">IFERROR(VLOOKUP(G200,P$3:Q218,2,False),"")</f>
        <v/>
      </c>
      <c r="I200" s="7332">
        <v>80.0</v>
      </c>
      <c r="J200" s="7332">
        <v>105.0</v>
      </c>
      <c r="K200" s="7332">
        <v>65.0</v>
      </c>
      <c r="L200" s="7332">
        <v>60.0</v>
      </c>
      <c r="M200" s="7332">
        <v>75.0</v>
      </c>
      <c r="N200" s="7334">
        <v>130.0</v>
      </c>
      <c r="O200" s="7321"/>
      <c r="P200" s="7347">
        <v>179.0</v>
      </c>
      <c r="Q200" s="7348" t="str">
        <f t="shared" si="18"/>
        <v/>
      </c>
      <c r="R200" s="7324"/>
    </row>
    <row r="201" ht="18.75" customHeight="1">
      <c r="A201" s="7316"/>
      <c r="B201" s="7337" t="s">
        <v>419</v>
      </c>
      <c r="C201" s="7342" t="s">
        <v>2200</v>
      </c>
      <c r="D201" s="7339"/>
      <c r="E201" s="7342" t="s">
        <v>2014</v>
      </c>
      <c r="F201" s="7342" t="str">
        <f t="shared" si="19"/>
        <v/>
      </c>
      <c r="G201" s="7342" t="s">
        <v>1863</v>
      </c>
      <c r="H201" s="7342" t="str">
        <f t="shared" si="20"/>
        <v/>
      </c>
      <c r="I201" s="7338">
        <v>80.0</v>
      </c>
      <c r="J201" s="7338">
        <v>135.0</v>
      </c>
      <c r="K201" s="7338">
        <v>85.0</v>
      </c>
      <c r="L201" s="7338">
        <v>70.0</v>
      </c>
      <c r="M201" s="7338">
        <v>95.0</v>
      </c>
      <c r="N201" s="7340">
        <v>150.0</v>
      </c>
      <c r="O201" s="7321"/>
      <c r="P201" s="7347">
        <v>180.0</v>
      </c>
      <c r="Q201" s="7348" t="str">
        <f t="shared" si="18"/>
        <v/>
      </c>
      <c r="R201" s="7324"/>
    </row>
    <row r="202" ht="18.75" customHeight="1">
      <c r="A202" s="7316"/>
      <c r="B202" s="7331" t="s">
        <v>1630</v>
      </c>
      <c r="C202" s="7332" t="s">
        <v>2201</v>
      </c>
      <c r="D202" s="7333"/>
      <c r="E202" s="7332" t="s">
        <v>1901</v>
      </c>
      <c r="F202" s="7332" t="str">
        <f t="shared" si="19"/>
        <v/>
      </c>
      <c r="G202" s="7332"/>
      <c r="H202" s="7332" t="str">
        <f t="shared" si="20"/>
        <v/>
      </c>
      <c r="I202" s="7332">
        <v>160.0</v>
      </c>
      <c r="J202" s="7332">
        <v>110.0</v>
      </c>
      <c r="K202" s="7332">
        <v>65.0</v>
      </c>
      <c r="L202" s="7332">
        <v>65.0</v>
      </c>
      <c r="M202" s="7332">
        <v>110.0</v>
      </c>
      <c r="N202" s="7334">
        <v>30.0</v>
      </c>
      <c r="O202" s="7321"/>
      <c r="P202" s="7347">
        <v>181.0</v>
      </c>
      <c r="Q202" s="7348" t="str">
        <f t="shared" si="18"/>
        <v/>
      </c>
      <c r="R202" s="7324"/>
    </row>
    <row r="203" ht="18.75" customHeight="1">
      <c r="A203" s="7316"/>
      <c r="B203" s="7337" t="s">
        <v>2202</v>
      </c>
      <c r="C203" s="7342" t="s">
        <v>2203</v>
      </c>
      <c r="D203" s="7339"/>
      <c r="E203" s="7342" t="s">
        <v>1901</v>
      </c>
      <c r="F203" s="7342" t="str">
        <f t="shared" si="19"/>
        <v/>
      </c>
      <c r="G203" s="7342" t="s">
        <v>1848</v>
      </c>
      <c r="H203" s="7342" t="str">
        <f t="shared" si="20"/>
        <v/>
      </c>
      <c r="I203" s="7338">
        <v>160.0</v>
      </c>
      <c r="J203" s="7338">
        <v>160.0</v>
      </c>
      <c r="K203" s="7338">
        <v>85.0</v>
      </c>
      <c r="L203" s="7338">
        <v>80.0</v>
      </c>
      <c r="M203" s="7338">
        <v>125.0</v>
      </c>
      <c r="N203" s="7340">
        <v>30.0</v>
      </c>
      <c r="O203" s="7321"/>
      <c r="P203" s="7347">
        <v>182.0</v>
      </c>
      <c r="Q203" s="7348" t="str">
        <f t="shared" si="18"/>
        <v/>
      </c>
      <c r="R203" s="7324"/>
    </row>
    <row r="204" ht="18.75" customHeight="1">
      <c r="A204" s="7316"/>
      <c r="B204" s="7331" t="s">
        <v>2204</v>
      </c>
      <c r="C204" s="7332" t="s">
        <v>2205</v>
      </c>
      <c r="D204" s="7333"/>
      <c r="E204" s="7332" t="s">
        <v>1932</v>
      </c>
      <c r="F204" s="7332" t="str">
        <f t="shared" si="19"/>
        <v/>
      </c>
      <c r="G204" s="7332" t="s">
        <v>1863</v>
      </c>
      <c r="H204" s="7332" t="str">
        <f t="shared" si="20"/>
        <v/>
      </c>
      <c r="I204" s="7332">
        <v>90.0</v>
      </c>
      <c r="J204" s="7332">
        <v>70.0</v>
      </c>
      <c r="K204" s="7332">
        <v>100.0</v>
      </c>
      <c r="L204" s="7332">
        <v>95.0</v>
      </c>
      <c r="M204" s="7332">
        <v>125.0</v>
      </c>
      <c r="N204" s="7334">
        <v>100.0</v>
      </c>
      <c r="O204" s="7321"/>
      <c r="P204" s="7347">
        <v>183.0</v>
      </c>
      <c r="Q204" s="7348" t="str">
        <f t="shared" si="18"/>
        <v/>
      </c>
      <c r="R204" s="7324"/>
    </row>
    <row r="205" ht="18.75" customHeight="1">
      <c r="A205" s="7316"/>
      <c r="B205" s="7337" t="s">
        <v>1829</v>
      </c>
      <c r="C205" s="7342" t="s">
        <v>2206</v>
      </c>
      <c r="D205" s="7339"/>
      <c r="E205" s="7342" t="s">
        <v>561</v>
      </c>
      <c r="F205" s="7342" t="str">
        <f t="shared" si="19"/>
        <v/>
      </c>
      <c r="G205" s="7342" t="s">
        <v>1863</v>
      </c>
      <c r="H205" s="7342" t="str">
        <f t="shared" si="20"/>
        <v/>
      </c>
      <c r="I205" s="7338">
        <v>90.0</v>
      </c>
      <c r="J205" s="7338">
        <v>70.0</v>
      </c>
      <c r="K205" s="7338">
        <v>95.0</v>
      </c>
      <c r="L205" s="7338">
        <v>125.0</v>
      </c>
      <c r="M205" s="7338">
        <v>100.0</v>
      </c>
      <c r="N205" s="7340">
        <v>100.0</v>
      </c>
      <c r="O205" s="7321"/>
      <c r="P205" s="7347">
        <v>184.0</v>
      </c>
      <c r="Q205" s="7348" t="str">
        <f t="shared" si="18"/>
        <v/>
      </c>
      <c r="R205" s="7324"/>
    </row>
    <row r="206" ht="18.75" customHeight="1">
      <c r="A206" s="7316"/>
      <c r="B206" s="7331" t="s">
        <v>1513</v>
      </c>
      <c r="C206" s="7332" t="s">
        <v>2207</v>
      </c>
      <c r="D206" s="7333"/>
      <c r="E206" s="7332" t="s">
        <v>1926</v>
      </c>
      <c r="F206" s="7332" t="str">
        <f t="shared" si="19"/>
        <v/>
      </c>
      <c r="G206" s="7332" t="s">
        <v>1863</v>
      </c>
      <c r="H206" s="7332" t="str">
        <f t="shared" si="20"/>
        <v/>
      </c>
      <c r="I206" s="7332">
        <v>90.0</v>
      </c>
      <c r="J206" s="7332">
        <v>90.0</v>
      </c>
      <c r="K206" s="7332">
        <v>85.0</v>
      </c>
      <c r="L206" s="7332">
        <v>125.0</v>
      </c>
      <c r="M206" s="7332">
        <v>90.0</v>
      </c>
      <c r="N206" s="7334">
        <v>100.0</v>
      </c>
      <c r="O206" s="7321"/>
      <c r="P206" s="7347">
        <v>185.0</v>
      </c>
      <c r="Q206" s="7348" t="str">
        <f t="shared" si="18"/>
        <v/>
      </c>
      <c r="R206" s="7324"/>
    </row>
    <row r="207" ht="18.75" customHeight="1">
      <c r="A207" s="7316"/>
      <c r="B207" s="7337" t="s">
        <v>806</v>
      </c>
      <c r="C207" s="7342" t="s">
        <v>2208</v>
      </c>
      <c r="D207" s="7339"/>
      <c r="E207" s="7342" t="s">
        <v>1939</v>
      </c>
      <c r="F207" s="7342" t="str">
        <f t="shared" si="19"/>
        <v/>
      </c>
      <c r="G207" s="7342" t="s">
        <v>1863</v>
      </c>
      <c r="H207" s="7342" t="str">
        <f t="shared" si="20"/>
        <v/>
      </c>
      <c r="I207" s="7338">
        <v>90.0</v>
      </c>
      <c r="J207" s="7338">
        <v>125.0</v>
      </c>
      <c r="K207" s="7338">
        <v>90.0</v>
      </c>
      <c r="L207" s="7338">
        <v>85.0</v>
      </c>
      <c r="M207" s="7338">
        <v>90.0</v>
      </c>
      <c r="N207" s="7340">
        <v>100.0</v>
      </c>
      <c r="O207" s="7321"/>
      <c r="P207" s="7347">
        <v>186.0</v>
      </c>
      <c r="Q207" s="7348" t="str">
        <f t="shared" si="18"/>
        <v/>
      </c>
      <c r="R207" s="7324"/>
    </row>
    <row r="208" ht="18.75" customHeight="1">
      <c r="A208" s="7316"/>
      <c r="B208" s="7331" t="s">
        <v>2209</v>
      </c>
      <c r="C208" s="7332" t="s">
        <v>2210</v>
      </c>
      <c r="D208" s="7333"/>
      <c r="E208" s="7332" t="s">
        <v>1858</v>
      </c>
      <c r="F208" s="7332" t="str">
        <f t="shared" si="19"/>
        <v/>
      </c>
      <c r="G208" s="7332" t="s">
        <v>1863</v>
      </c>
      <c r="H208" s="7332" t="str">
        <f t="shared" si="20"/>
        <v/>
      </c>
      <c r="I208" s="7332">
        <v>90.0</v>
      </c>
      <c r="J208" s="7332">
        <v>100.0</v>
      </c>
      <c r="K208" s="7332">
        <v>90.0</v>
      </c>
      <c r="L208" s="7332">
        <v>125.0</v>
      </c>
      <c r="M208" s="7332">
        <v>85.0</v>
      </c>
      <c r="N208" s="7334">
        <v>90.0</v>
      </c>
      <c r="O208" s="7321"/>
      <c r="P208" s="7347">
        <v>187.0</v>
      </c>
      <c r="Q208" s="7348" t="str">
        <f t="shared" si="18"/>
        <v/>
      </c>
      <c r="R208" s="7324"/>
    </row>
    <row r="209" ht="18.75" customHeight="1">
      <c r="A209" s="7316"/>
      <c r="B209" s="7337" t="s">
        <v>1752</v>
      </c>
      <c r="C209" s="7342" t="s">
        <v>2211</v>
      </c>
      <c r="D209" s="7339"/>
      <c r="E209" s="7342" t="s">
        <v>1911</v>
      </c>
      <c r="F209" s="7342" t="str">
        <f t="shared" si="19"/>
        <v/>
      </c>
      <c r="G209" s="7342" t="s">
        <v>1863</v>
      </c>
      <c r="H209" s="7342" t="str">
        <f t="shared" si="20"/>
        <v/>
      </c>
      <c r="I209" s="7338">
        <v>90.0</v>
      </c>
      <c r="J209" s="7338">
        <v>85.0</v>
      </c>
      <c r="K209" s="7338">
        <v>90.0</v>
      </c>
      <c r="L209" s="7338">
        <v>100.0</v>
      </c>
      <c r="M209" s="7338">
        <v>125.0</v>
      </c>
      <c r="N209" s="7340">
        <v>90.0</v>
      </c>
      <c r="O209" s="7321"/>
      <c r="P209" s="7347">
        <v>188.0</v>
      </c>
      <c r="Q209" s="7348" t="str">
        <f t="shared" si="18"/>
        <v/>
      </c>
      <c r="R209" s="7324"/>
    </row>
    <row r="210" ht="18.75" customHeight="1">
      <c r="A210" s="7316"/>
      <c r="B210" s="7331" t="s">
        <v>2212</v>
      </c>
      <c r="C210" s="7332" t="s">
        <v>2213</v>
      </c>
      <c r="D210" s="7333"/>
      <c r="E210" s="7332" t="s">
        <v>1866</v>
      </c>
      <c r="F210" s="7332" t="str">
        <f t="shared" si="19"/>
        <v/>
      </c>
      <c r="G210" s="7332"/>
      <c r="H210" s="7332" t="str">
        <f t="shared" si="20"/>
        <v/>
      </c>
      <c r="I210" s="7332">
        <v>41.0</v>
      </c>
      <c r="J210" s="7332">
        <v>64.0</v>
      </c>
      <c r="K210" s="7332">
        <v>45.0</v>
      </c>
      <c r="L210" s="7332">
        <v>50.0</v>
      </c>
      <c r="M210" s="7332">
        <v>50.0</v>
      </c>
      <c r="N210" s="7334">
        <v>50.0</v>
      </c>
      <c r="O210" s="7321"/>
      <c r="P210" s="7347">
        <v>189.0</v>
      </c>
      <c r="Q210" s="7348" t="str">
        <f t="shared" si="18"/>
        <v/>
      </c>
      <c r="R210" s="7324"/>
    </row>
    <row r="211" ht="18.75" customHeight="1">
      <c r="A211" s="7316"/>
      <c r="B211" s="7337" t="s">
        <v>2214</v>
      </c>
      <c r="C211" s="7338" t="s">
        <v>2215</v>
      </c>
      <c r="D211" s="7339"/>
      <c r="E211" s="7338" t="s">
        <v>1866</v>
      </c>
      <c r="F211" s="7338" t="str">
        <f t="shared" si="19"/>
        <v/>
      </c>
      <c r="G211" s="7338"/>
      <c r="H211" s="7338" t="str">
        <f t="shared" si="20"/>
        <v/>
      </c>
      <c r="I211" s="7338">
        <v>61.0</v>
      </c>
      <c r="J211" s="7338">
        <v>84.0</v>
      </c>
      <c r="K211" s="7338">
        <v>65.0</v>
      </c>
      <c r="L211" s="7338">
        <v>70.0</v>
      </c>
      <c r="M211" s="7338">
        <v>70.0</v>
      </c>
      <c r="N211" s="7340">
        <v>70.0</v>
      </c>
      <c r="O211" s="7321"/>
      <c r="P211" s="7347">
        <v>190.0</v>
      </c>
      <c r="Q211" s="7348" t="str">
        <f t="shared" si="18"/>
        <v/>
      </c>
      <c r="R211" s="7324"/>
    </row>
    <row r="212" ht="18.75" customHeight="1">
      <c r="A212" s="7316"/>
      <c r="B212" s="7331" t="s">
        <v>385</v>
      </c>
      <c r="C212" s="7332" t="s">
        <v>2216</v>
      </c>
      <c r="D212" s="7333"/>
      <c r="E212" s="7332" t="s">
        <v>1866</v>
      </c>
      <c r="F212" s="7332" t="str">
        <f t="shared" si="19"/>
        <v/>
      </c>
      <c r="G212" s="7332" t="s">
        <v>1863</v>
      </c>
      <c r="H212" s="7332" t="str">
        <f t="shared" si="20"/>
        <v/>
      </c>
      <c r="I212" s="7332">
        <v>91.0</v>
      </c>
      <c r="J212" s="7332">
        <v>134.0</v>
      </c>
      <c r="K212" s="7332">
        <v>95.0</v>
      </c>
      <c r="L212" s="7332">
        <v>100.0</v>
      </c>
      <c r="M212" s="7332">
        <v>100.0</v>
      </c>
      <c r="N212" s="7334">
        <v>80.0</v>
      </c>
      <c r="O212" s="7321"/>
      <c r="P212" s="7347">
        <v>191.0</v>
      </c>
      <c r="Q212" s="7348" t="str">
        <f t="shared" si="18"/>
        <v/>
      </c>
      <c r="R212" s="7324"/>
    </row>
    <row r="213" ht="18.75" customHeight="1">
      <c r="A213" s="7316"/>
      <c r="B213" s="7337" t="s">
        <v>2217</v>
      </c>
      <c r="C213" s="7338" t="s">
        <v>2218</v>
      </c>
      <c r="D213" s="7339"/>
      <c r="E213" s="7338" t="s">
        <v>561</v>
      </c>
      <c r="F213" s="7338" t="str">
        <f t="shared" si="19"/>
        <v/>
      </c>
      <c r="G213" s="7338"/>
      <c r="H213" s="7338" t="str">
        <f t="shared" si="20"/>
        <v/>
      </c>
      <c r="I213" s="7338">
        <v>106.0</v>
      </c>
      <c r="J213" s="7338">
        <v>110.0</v>
      </c>
      <c r="K213" s="7338">
        <v>90.0</v>
      </c>
      <c r="L213" s="7338">
        <v>154.0</v>
      </c>
      <c r="M213" s="7338">
        <v>90.0</v>
      </c>
      <c r="N213" s="7340">
        <v>130.0</v>
      </c>
      <c r="O213" s="7321"/>
      <c r="P213" s="7347">
        <v>192.0</v>
      </c>
      <c r="Q213" s="7348" t="str">
        <f t="shared" si="18"/>
        <v/>
      </c>
      <c r="R213" s="7324"/>
    </row>
    <row r="214" ht="18.75" customHeight="1">
      <c r="A214" s="7316"/>
      <c r="B214" s="7331" t="s">
        <v>1631</v>
      </c>
      <c r="C214" s="7341" t="s">
        <v>2219</v>
      </c>
      <c r="D214" s="7333"/>
      <c r="E214" s="7341" t="s">
        <v>561</v>
      </c>
      <c r="F214" s="7341" t="str">
        <f t="shared" si="19"/>
        <v/>
      </c>
      <c r="G214" s="7341" t="s">
        <v>1939</v>
      </c>
      <c r="H214" s="7341" t="str">
        <f t="shared" si="20"/>
        <v/>
      </c>
      <c r="I214" s="7332">
        <v>106.0</v>
      </c>
      <c r="J214" s="7332">
        <v>190.0</v>
      </c>
      <c r="K214" s="7332">
        <v>100.0</v>
      </c>
      <c r="L214" s="7332">
        <v>154.0</v>
      </c>
      <c r="M214" s="7332">
        <v>100.0</v>
      </c>
      <c r="N214" s="7334">
        <v>130.0</v>
      </c>
      <c r="O214" s="7321"/>
      <c r="P214" s="7347">
        <v>193.0</v>
      </c>
      <c r="Q214" s="7348" t="str">
        <f t="shared" si="18"/>
        <v/>
      </c>
      <c r="R214" s="7324"/>
    </row>
    <row r="215" ht="18.75" customHeight="1">
      <c r="A215" s="7316"/>
      <c r="B215" s="7337" t="s">
        <v>960</v>
      </c>
      <c r="C215" s="7342" t="s">
        <v>2220</v>
      </c>
      <c r="D215" s="7339"/>
      <c r="E215" s="7342" t="s">
        <v>561</v>
      </c>
      <c r="F215" s="7342" t="str">
        <f t="shared" si="19"/>
        <v/>
      </c>
      <c r="G215" s="7342"/>
      <c r="H215" s="7342" t="str">
        <f t="shared" si="20"/>
        <v/>
      </c>
      <c r="I215" s="7338">
        <v>106.0</v>
      </c>
      <c r="J215" s="7338">
        <v>150.0</v>
      </c>
      <c r="K215" s="7338">
        <v>70.0</v>
      </c>
      <c r="L215" s="7338">
        <v>194.0</v>
      </c>
      <c r="M215" s="7338">
        <v>120.0</v>
      </c>
      <c r="N215" s="7340">
        <v>140.0</v>
      </c>
      <c r="O215" s="7321"/>
      <c r="P215" s="7347">
        <v>194.0</v>
      </c>
      <c r="Q215" s="7348" t="str">
        <f t="shared" si="18"/>
        <v/>
      </c>
      <c r="R215" s="7324"/>
    </row>
    <row r="216" ht="18.75" customHeight="1">
      <c r="A216" s="7316"/>
      <c r="B216" s="7349" t="s">
        <v>1501</v>
      </c>
      <c r="C216" s="7350" t="s">
        <v>2221</v>
      </c>
      <c r="D216" s="7351"/>
      <c r="E216" s="7350" t="s">
        <v>561</v>
      </c>
      <c r="F216" s="7350" t="str">
        <f t="shared" si="19"/>
        <v/>
      </c>
      <c r="G216" s="7350"/>
      <c r="H216" s="7350" t="str">
        <f t="shared" si="20"/>
        <v/>
      </c>
      <c r="I216" s="7350">
        <v>100.0</v>
      </c>
      <c r="J216" s="7350">
        <v>100.0</v>
      </c>
      <c r="K216" s="7350">
        <v>100.0</v>
      </c>
      <c r="L216" s="7350">
        <v>100.0</v>
      </c>
      <c r="M216" s="7350">
        <v>100.0</v>
      </c>
      <c r="N216" s="7352">
        <v>100.0</v>
      </c>
      <c r="O216" s="7321"/>
      <c r="P216" s="7347">
        <v>195.0</v>
      </c>
      <c r="Q216" s="7348" t="str">
        <f t="shared" si="18"/>
        <v/>
      </c>
      <c r="R216" s="7324"/>
    </row>
    <row r="217">
      <c r="A217" s="7316"/>
      <c r="B217" s="7315"/>
      <c r="C217" s="7315"/>
      <c r="D217" s="7315"/>
      <c r="E217" s="7315"/>
      <c r="F217" s="7315"/>
      <c r="G217" s="7315"/>
      <c r="H217" s="7315"/>
      <c r="I217" s="7315"/>
      <c r="J217" s="7315"/>
      <c r="K217" s="7315"/>
      <c r="L217" s="7315"/>
      <c r="M217" s="7315"/>
      <c r="N217" s="7315"/>
      <c r="O217" s="7316"/>
      <c r="P217" s="7347">
        <v>196.0</v>
      </c>
      <c r="Q217" s="7348" t="str">
        <f t="shared" si="18"/>
        <v/>
      </c>
      <c r="R217" s="7315"/>
    </row>
    <row r="218">
      <c r="A218" s="7316"/>
      <c r="B218" s="7317" t="s">
        <v>2222</v>
      </c>
      <c r="C218" s="7353"/>
      <c r="D218" s="7353"/>
      <c r="E218" s="7353"/>
      <c r="F218" s="7353"/>
      <c r="G218" s="7353"/>
      <c r="H218" s="7354"/>
      <c r="I218" s="7319" t="s">
        <v>192</v>
      </c>
      <c r="J218" s="7319" t="s">
        <v>193</v>
      </c>
      <c r="K218" s="7319" t="s">
        <v>194</v>
      </c>
      <c r="L218" s="7319" t="s">
        <v>195</v>
      </c>
      <c r="M218" s="7319" t="s">
        <v>196</v>
      </c>
      <c r="N218" s="7320" t="s">
        <v>197</v>
      </c>
      <c r="O218" s="7321"/>
      <c r="P218" s="7347">
        <v>197.0</v>
      </c>
      <c r="Q218" s="7348" t="str">
        <f t="shared" si="18"/>
        <v/>
      </c>
      <c r="R218" s="7324"/>
    </row>
    <row r="219" ht="18.75" customHeight="1">
      <c r="A219" s="7316"/>
      <c r="B219" s="7355" t="s">
        <v>2223</v>
      </c>
      <c r="C219" s="7356" t="s">
        <v>2224</v>
      </c>
      <c r="D219" s="7357"/>
      <c r="E219" s="7358" t="s">
        <v>1848</v>
      </c>
      <c r="F219" s="7358" t="str">
        <f t="shared" ref="F219:F313" si="21">IFERROR(VLOOKUP(E219,P$3:Q236,2,False),"")</f>
        <v/>
      </c>
      <c r="G219" s="7358"/>
      <c r="H219" s="7358" t="str">
        <f t="shared" ref="H219:H313" si="22">IFERROR(VLOOKUP(G219,P$3:Q236,2,False),"")</f>
        <v/>
      </c>
      <c r="I219" s="7358">
        <v>45.0</v>
      </c>
      <c r="J219" s="7358">
        <v>49.0</v>
      </c>
      <c r="K219" s="7358">
        <v>65.0</v>
      </c>
      <c r="L219" s="7358">
        <v>49.0</v>
      </c>
      <c r="M219" s="7358">
        <v>65.0</v>
      </c>
      <c r="N219" s="7359">
        <v>45.0</v>
      </c>
      <c r="O219" s="7321"/>
      <c r="P219" s="7347">
        <v>198.0</v>
      </c>
      <c r="Q219" s="7348" t="str">
        <f t="shared" si="18"/>
        <v/>
      </c>
      <c r="R219" s="7324"/>
    </row>
    <row r="220" ht="18.75" customHeight="1">
      <c r="A220" s="7316"/>
      <c r="B220" s="7331" t="s">
        <v>2225</v>
      </c>
      <c r="C220" s="7332" t="s">
        <v>2226</v>
      </c>
      <c r="D220" s="7333"/>
      <c r="E220" s="7332" t="s">
        <v>1848</v>
      </c>
      <c r="F220" s="7332" t="str">
        <f t="shared" si="21"/>
        <v/>
      </c>
      <c r="G220" s="7332"/>
      <c r="H220" s="7332" t="str">
        <f t="shared" si="22"/>
        <v/>
      </c>
      <c r="I220" s="7332">
        <v>60.0</v>
      </c>
      <c r="J220" s="7332">
        <v>62.0</v>
      </c>
      <c r="K220" s="7332">
        <v>80.0</v>
      </c>
      <c r="L220" s="7332">
        <v>63.0</v>
      </c>
      <c r="M220" s="7332">
        <v>80.0</v>
      </c>
      <c r="N220" s="7334">
        <v>60.0</v>
      </c>
      <c r="O220" s="7321"/>
      <c r="P220" s="7347">
        <v>199.0</v>
      </c>
      <c r="Q220" s="7348" t="str">
        <f t="shared" si="18"/>
        <v/>
      </c>
      <c r="R220" s="7324"/>
    </row>
    <row r="221" ht="18.75" customHeight="1">
      <c r="A221" s="7316"/>
      <c r="B221" s="7337" t="s">
        <v>261</v>
      </c>
      <c r="C221" s="7338" t="s">
        <v>2227</v>
      </c>
      <c r="D221" s="7339"/>
      <c r="E221" s="7338" t="s">
        <v>1848</v>
      </c>
      <c r="F221" s="7338" t="str">
        <f t="shared" si="21"/>
        <v/>
      </c>
      <c r="G221" s="7338" t="s">
        <v>1935</v>
      </c>
      <c r="H221" s="7338" t="str">
        <f t="shared" si="22"/>
        <v/>
      </c>
      <c r="I221" s="7338">
        <v>80.0</v>
      </c>
      <c r="J221" s="7338">
        <v>82.0</v>
      </c>
      <c r="K221" s="7338">
        <v>100.0</v>
      </c>
      <c r="L221" s="7338">
        <v>83.0</v>
      </c>
      <c r="M221" s="7338">
        <v>100.0</v>
      </c>
      <c r="N221" s="7340">
        <v>80.0</v>
      </c>
      <c r="O221" s="7321"/>
      <c r="P221" s="7347">
        <v>200.0</v>
      </c>
      <c r="Q221" s="7348" t="str">
        <f t="shared" ref="Q221:Q276" si="23">IMAGE("https://i.ibb.co/BttQZdK/Cyan2.png",1)</f>
        <v/>
      </c>
      <c r="R221" s="7324"/>
    </row>
    <row r="222" ht="18.75" customHeight="1">
      <c r="A222" s="7316"/>
      <c r="B222" s="7331" t="s">
        <v>2228</v>
      </c>
      <c r="C222" s="7332" t="s">
        <v>2229</v>
      </c>
      <c r="D222" s="7333"/>
      <c r="E222" s="7341" t="s">
        <v>1858</v>
      </c>
      <c r="F222" s="7341" t="str">
        <f t="shared" si="21"/>
        <v/>
      </c>
      <c r="G222" s="7341"/>
      <c r="H222" s="7341" t="str">
        <f t="shared" si="22"/>
        <v/>
      </c>
      <c r="I222" s="7332">
        <v>39.0</v>
      </c>
      <c r="J222" s="7332">
        <v>52.0</v>
      </c>
      <c r="K222" s="7332">
        <v>43.0</v>
      </c>
      <c r="L222" s="7332">
        <v>60.0</v>
      </c>
      <c r="M222" s="7332">
        <v>50.0</v>
      </c>
      <c r="N222" s="7334">
        <v>65.0</v>
      </c>
      <c r="O222" s="7321"/>
      <c r="P222" s="7347">
        <v>201.0</v>
      </c>
      <c r="Q222" s="7348" t="str">
        <f t="shared" si="23"/>
        <v/>
      </c>
      <c r="R222" s="7324"/>
    </row>
    <row r="223" ht="18.75" customHeight="1">
      <c r="A223" s="7316"/>
      <c r="B223" s="7337" t="s">
        <v>2230</v>
      </c>
      <c r="C223" s="7338" t="s">
        <v>2231</v>
      </c>
      <c r="D223" s="7339"/>
      <c r="E223" s="7338" t="s">
        <v>1858</v>
      </c>
      <c r="F223" s="7338" t="str">
        <f t="shared" si="21"/>
        <v/>
      </c>
      <c r="G223" s="7338"/>
      <c r="H223" s="7338" t="str">
        <f t="shared" si="22"/>
        <v/>
      </c>
      <c r="I223" s="7338">
        <v>58.0</v>
      </c>
      <c r="J223" s="7338">
        <v>64.0</v>
      </c>
      <c r="K223" s="7338">
        <v>58.0</v>
      </c>
      <c r="L223" s="7338">
        <v>80.0</v>
      </c>
      <c r="M223" s="7338">
        <v>65.0</v>
      </c>
      <c r="N223" s="7340">
        <v>80.0</v>
      </c>
      <c r="O223" s="7321"/>
      <c r="P223" s="7347">
        <v>202.0</v>
      </c>
      <c r="Q223" s="7348" t="str">
        <f t="shared" si="23"/>
        <v/>
      </c>
      <c r="R223" s="7324"/>
    </row>
    <row r="224" ht="18.75" customHeight="1">
      <c r="A224" s="7316"/>
      <c r="B224" s="7331" t="s">
        <v>355</v>
      </c>
      <c r="C224" s="7332" t="s">
        <v>2232</v>
      </c>
      <c r="D224" s="7333"/>
      <c r="E224" s="7332" t="s">
        <v>1858</v>
      </c>
      <c r="F224" s="7332" t="str">
        <f t="shared" si="21"/>
        <v/>
      </c>
      <c r="G224" s="7332"/>
      <c r="H224" s="7332" t="str">
        <f t="shared" si="22"/>
        <v/>
      </c>
      <c r="I224" s="7332">
        <v>78.0</v>
      </c>
      <c r="J224" s="7332">
        <v>84.0</v>
      </c>
      <c r="K224" s="7332">
        <v>78.0</v>
      </c>
      <c r="L224" s="7332">
        <v>109.0</v>
      </c>
      <c r="M224" s="7332">
        <v>85.0</v>
      </c>
      <c r="N224" s="7334">
        <v>100.0</v>
      </c>
      <c r="O224" s="7321"/>
      <c r="P224" s="7347">
        <v>203.0</v>
      </c>
      <c r="Q224" s="7348" t="str">
        <f t="shared" si="23"/>
        <v/>
      </c>
      <c r="R224" s="7324"/>
    </row>
    <row r="225" ht="18.75" customHeight="1">
      <c r="A225" s="7316"/>
      <c r="B225" s="7337" t="s">
        <v>2233</v>
      </c>
      <c r="C225" s="7342" t="s">
        <v>2234</v>
      </c>
      <c r="D225" s="7339"/>
      <c r="E225" s="7338" t="s">
        <v>1858</v>
      </c>
      <c r="F225" s="7338" t="str">
        <f t="shared" si="21"/>
        <v/>
      </c>
      <c r="G225" s="7338" t="s">
        <v>2097</v>
      </c>
      <c r="H225" s="7338" t="str">
        <f t="shared" si="22"/>
        <v/>
      </c>
      <c r="I225" s="7338">
        <v>73.0</v>
      </c>
      <c r="J225" s="7338">
        <v>84.0</v>
      </c>
      <c r="K225" s="7338">
        <v>78.0</v>
      </c>
      <c r="L225" s="7338">
        <v>119.0</v>
      </c>
      <c r="M225" s="7338">
        <v>85.0</v>
      </c>
      <c r="N225" s="7340">
        <v>95.0</v>
      </c>
      <c r="O225" s="7321"/>
      <c r="P225" s="7347">
        <v>204.0</v>
      </c>
      <c r="Q225" s="7348" t="str">
        <f t="shared" si="23"/>
        <v/>
      </c>
      <c r="R225" s="7324"/>
    </row>
    <row r="226" ht="18.75" customHeight="1">
      <c r="A226" s="7316"/>
      <c r="B226" s="7331" t="s">
        <v>2235</v>
      </c>
      <c r="C226" s="7332" t="s">
        <v>2236</v>
      </c>
      <c r="D226" s="7333"/>
      <c r="E226" s="7341" t="s">
        <v>1871</v>
      </c>
      <c r="F226" s="7341" t="str">
        <f t="shared" si="21"/>
        <v/>
      </c>
      <c r="G226" s="7341"/>
      <c r="H226" s="7341" t="str">
        <f t="shared" si="22"/>
        <v/>
      </c>
      <c r="I226" s="7332">
        <v>50.0</v>
      </c>
      <c r="J226" s="7332">
        <v>65.0</v>
      </c>
      <c r="K226" s="7332">
        <v>64.0</v>
      </c>
      <c r="L226" s="7332">
        <v>44.0</v>
      </c>
      <c r="M226" s="7332">
        <v>48.0</v>
      </c>
      <c r="N226" s="7334">
        <v>43.0</v>
      </c>
      <c r="O226" s="7321"/>
      <c r="P226" s="7347">
        <v>205.0</v>
      </c>
      <c r="Q226" s="7348" t="str">
        <f t="shared" si="23"/>
        <v/>
      </c>
      <c r="R226" s="7324"/>
    </row>
    <row r="227" ht="18.75" customHeight="1">
      <c r="A227" s="7316"/>
      <c r="B227" s="7337" t="s">
        <v>2237</v>
      </c>
      <c r="C227" s="7338" t="s">
        <v>2238</v>
      </c>
      <c r="D227" s="7339"/>
      <c r="E227" s="7342" t="s">
        <v>1871</v>
      </c>
      <c r="F227" s="7342" t="str">
        <f t="shared" si="21"/>
        <v/>
      </c>
      <c r="G227" s="7342"/>
      <c r="H227" s="7342" t="str">
        <f t="shared" si="22"/>
        <v/>
      </c>
      <c r="I227" s="7338">
        <v>65.0</v>
      </c>
      <c r="J227" s="7338">
        <v>80.0</v>
      </c>
      <c r="K227" s="7338">
        <v>80.0</v>
      </c>
      <c r="L227" s="7338">
        <v>59.0</v>
      </c>
      <c r="M227" s="7338">
        <v>63.0</v>
      </c>
      <c r="N227" s="7340">
        <v>58.0</v>
      </c>
      <c r="O227" s="7321"/>
      <c r="P227" s="7347">
        <v>206.0</v>
      </c>
      <c r="Q227" s="7348" t="str">
        <f t="shared" si="23"/>
        <v/>
      </c>
      <c r="R227" s="7324"/>
    </row>
    <row r="228" ht="18.75" customHeight="1">
      <c r="A228" s="7316"/>
      <c r="B228" s="7331" t="s">
        <v>1302</v>
      </c>
      <c r="C228" s="7332" t="s">
        <v>2239</v>
      </c>
      <c r="D228" s="7333"/>
      <c r="E228" s="7332" t="s">
        <v>1871</v>
      </c>
      <c r="F228" s="7332" t="str">
        <f t="shared" si="21"/>
        <v/>
      </c>
      <c r="G228" s="7332"/>
      <c r="H228" s="7332" t="str">
        <f t="shared" si="22"/>
        <v/>
      </c>
      <c r="I228" s="7332">
        <v>85.0</v>
      </c>
      <c r="J228" s="7332">
        <v>105.0</v>
      </c>
      <c r="K228" s="7332">
        <v>100.0</v>
      </c>
      <c r="L228" s="7332">
        <v>79.0</v>
      </c>
      <c r="M228" s="7332">
        <v>83.0</v>
      </c>
      <c r="N228" s="7334">
        <v>78.0</v>
      </c>
      <c r="O228" s="7321"/>
      <c r="P228" s="7347">
        <v>207.0</v>
      </c>
      <c r="Q228" s="7348" t="str">
        <f t="shared" si="23"/>
        <v/>
      </c>
      <c r="R228" s="7324"/>
    </row>
    <row r="229" ht="18.75" customHeight="1">
      <c r="A229" s="7316"/>
      <c r="B229" s="7337" t="s">
        <v>2240</v>
      </c>
      <c r="C229" s="7338" t="s">
        <v>2241</v>
      </c>
      <c r="D229" s="7339"/>
      <c r="E229" s="7338" t="s">
        <v>1901</v>
      </c>
      <c r="F229" s="7338" t="str">
        <f t="shared" si="21"/>
        <v/>
      </c>
      <c r="G229" s="7338"/>
      <c r="H229" s="7338" t="str">
        <f t="shared" si="22"/>
        <v/>
      </c>
      <c r="I229" s="7338">
        <v>35.0</v>
      </c>
      <c r="J229" s="7338">
        <v>46.0</v>
      </c>
      <c r="K229" s="7338">
        <v>34.0</v>
      </c>
      <c r="L229" s="7338">
        <v>35.0</v>
      </c>
      <c r="M229" s="7338">
        <v>45.0</v>
      </c>
      <c r="N229" s="7340">
        <v>20.0</v>
      </c>
      <c r="O229" s="7321"/>
      <c r="P229" s="7347">
        <v>208.0</v>
      </c>
      <c r="Q229" s="7348" t="str">
        <f t="shared" si="23"/>
        <v/>
      </c>
      <c r="R229" s="7324"/>
    </row>
    <row r="230" ht="18.75" customHeight="1">
      <c r="A230" s="7316"/>
      <c r="B230" s="7331" t="s">
        <v>2242</v>
      </c>
      <c r="C230" s="7332" t="s">
        <v>2243</v>
      </c>
      <c r="D230" s="7333"/>
      <c r="E230" s="7332" t="s">
        <v>1901</v>
      </c>
      <c r="F230" s="7332" t="str">
        <f t="shared" si="21"/>
        <v/>
      </c>
      <c r="G230" s="7332"/>
      <c r="H230" s="7332" t="str">
        <f t="shared" si="22"/>
        <v/>
      </c>
      <c r="I230" s="7332">
        <v>85.0</v>
      </c>
      <c r="J230" s="7332">
        <v>86.0</v>
      </c>
      <c r="K230" s="7332">
        <v>64.0</v>
      </c>
      <c r="L230" s="7332">
        <v>45.0</v>
      </c>
      <c r="M230" s="7332">
        <v>55.0</v>
      </c>
      <c r="N230" s="7334">
        <v>90.0</v>
      </c>
      <c r="O230" s="7321"/>
      <c r="P230" s="7347">
        <v>209.0</v>
      </c>
      <c r="Q230" s="7348" t="str">
        <f t="shared" si="23"/>
        <v/>
      </c>
      <c r="R230" s="7324"/>
    </row>
    <row r="231" ht="18.75" customHeight="1">
      <c r="A231" s="7316"/>
      <c r="B231" s="7337" t="s">
        <v>2244</v>
      </c>
      <c r="C231" s="7338" t="s">
        <v>2245</v>
      </c>
      <c r="D231" s="7339"/>
      <c r="E231" s="7342" t="s">
        <v>1901</v>
      </c>
      <c r="F231" s="7342" t="str">
        <f t="shared" si="21"/>
        <v/>
      </c>
      <c r="G231" s="7342" t="s">
        <v>1863</v>
      </c>
      <c r="H231" s="7342" t="str">
        <f t="shared" si="22"/>
        <v/>
      </c>
      <c r="I231" s="7338">
        <v>60.0</v>
      </c>
      <c r="J231" s="7338">
        <v>30.0</v>
      </c>
      <c r="K231" s="7338">
        <v>30.0</v>
      </c>
      <c r="L231" s="7338">
        <v>36.0</v>
      </c>
      <c r="M231" s="7338">
        <v>56.0</v>
      </c>
      <c r="N231" s="7340">
        <v>50.0</v>
      </c>
      <c r="O231" s="7321"/>
      <c r="P231" s="7347">
        <v>210.0</v>
      </c>
      <c r="Q231" s="7348" t="str">
        <f t="shared" si="23"/>
        <v/>
      </c>
      <c r="R231" s="7324"/>
    </row>
    <row r="232" ht="18.75" customHeight="1">
      <c r="A232" s="7316"/>
      <c r="B232" s="7331" t="s">
        <v>2246</v>
      </c>
      <c r="C232" s="7332" t="s">
        <v>2247</v>
      </c>
      <c r="D232" s="7333"/>
      <c r="E232" s="7332" t="s">
        <v>1901</v>
      </c>
      <c r="F232" s="7332" t="str">
        <f t="shared" si="21"/>
        <v/>
      </c>
      <c r="G232" s="7332" t="s">
        <v>1863</v>
      </c>
      <c r="H232" s="7332" t="str">
        <f t="shared" si="22"/>
        <v/>
      </c>
      <c r="I232" s="7332">
        <v>110.0</v>
      </c>
      <c r="J232" s="7332">
        <v>50.0</v>
      </c>
      <c r="K232" s="7332">
        <v>50.0</v>
      </c>
      <c r="L232" s="7332">
        <v>86.0</v>
      </c>
      <c r="M232" s="7332">
        <v>96.0</v>
      </c>
      <c r="N232" s="7334">
        <v>70.0</v>
      </c>
      <c r="O232" s="7321"/>
      <c r="P232" s="7347">
        <v>211.0</v>
      </c>
      <c r="Q232" s="7348" t="str">
        <f t="shared" si="23"/>
        <v/>
      </c>
      <c r="R232" s="7324"/>
    </row>
    <row r="233" ht="18.75" customHeight="1">
      <c r="A233" s="7316"/>
      <c r="B233" s="7337" t="s">
        <v>2248</v>
      </c>
      <c r="C233" s="7338" t="s">
        <v>2249</v>
      </c>
      <c r="D233" s="7339"/>
      <c r="E233" s="7338" t="s">
        <v>1882</v>
      </c>
      <c r="F233" s="7338" t="str">
        <f t="shared" si="21"/>
        <v/>
      </c>
      <c r="G233" s="7338" t="s">
        <v>1863</v>
      </c>
      <c r="H233" s="7338" t="str">
        <f t="shared" si="22"/>
        <v/>
      </c>
      <c r="I233" s="7338">
        <v>40.0</v>
      </c>
      <c r="J233" s="7338">
        <v>20.0</v>
      </c>
      <c r="K233" s="7338">
        <v>30.0</v>
      </c>
      <c r="L233" s="7338">
        <v>40.0</v>
      </c>
      <c r="M233" s="7338">
        <v>80.0</v>
      </c>
      <c r="N233" s="7340">
        <v>55.0</v>
      </c>
      <c r="O233" s="7321"/>
      <c r="P233" s="7347">
        <v>212.0</v>
      </c>
      <c r="Q233" s="7348" t="str">
        <f t="shared" si="23"/>
        <v/>
      </c>
      <c r="R233" s="7324"/>
    </row>
    <row r="234" ht="18.75" customHeight="1">
      <c r="A234" s="7316"/>
      <c r="B234" s="7331" t="s">
        <v>515</v>
      </c>
      <c r="C234" s="7332" t="s">
        <v>2250</v>
      </c>
      <c r="D234" s="7333"/>
      <c r="E234" s="7332" t="s">
        <v>1882</v>
      </c>
      <c r="F234" s="7332" t="str">
        <f t="shared" si="21"/>
        <v/>
      </c>
      <c r="G234" s="7332" t="s">
        <v>1939</v>
      </c>
      <c r="H234" s="7332" t="str">
        <f t="shared" si="22"/>
        <v/>
      </c>
      <c r="I234" s="7332">
        <v>55.0</v>
      </c>
      <c r="J234" s="7332">
        <v>90.0</v>
      </c>
      <c r="K234" s="7332">
        <v>50.0</v>
      </c>
      <c r="L234" s="7332">
        <v>35.0</v>
      </c>
      <c r="M234" s="7332">
        <v>100.0</v>
      </c>
      <c r="N234" s="7334">
        <v>85.0</v>
      </c>
      <c r="O234" s="7321"/>
      <c r="P234" s="7347">
        <v>213.0</v>
      </c>
      <c r="Q234" s="7348" t="str">
        <f t="shared" si="23"/>
        <v/>
      </c>
      <c r="R234" s="7324"/>
    </row>
    <row r="235" ht="18.75" customHeight="1">
      <c r="A235" s="7316"/>
      <c r="B235" s="7337" t="s">
        <v>2251</v>
      </c>
      <c r="C235" s="7338" t="s">
        <v>2252</v>
      </c>
      <c r="D235" s="7339"/>
      <c r="E235" s="7342" t="s">
        <v>1882</v>
      </c>
      <c r="F235" s="7342" t="str">
        <f t="shared" si="21"/>
        <v/>
      </c>
      <c r="G235" s="7342" t="s">
        <v>1849</v>
      </c>
      <c r="H235" s="7342" t="str">
        <f t="shared" si="22"/>
        <v/>
      </c>
      <c r="I235" s="7338">
        <v>40.0</v>
      </c>
      <c r="J235" s="7338">
        <v>60.0</v>
      </c>
      <c r="K235" s="7338">
        <v>40.0</v>
      </c>
      <c r="L235" s="7338">
        <v>40.0</v>
      </c>
      <c r="M235" s="7338">
        <v>40.0</v>
      </c>
      <c r="N235" s="7340">
        <v>30.0</v>
      </c>
      <c r="O235" s="7321"/>
      <c r="P235" s="7347">
        <v>214.0</v>
      </c>
      <c r="Q235" s="7348" t="str">
        <f t="shared" si="23"/>
        <v/>
      </c>
      <c r="R235" s="7324"/>
    </row>
    <row r="236" ht="18.75" customHeight="1">
      <c r="A236" s="7316"/>
      <c r="B236" s="7331" t="s">
        <v>2253</v>
      </c>
      <c r="C236" s="7332" t="s">
        <v>2254</v>
      </c>
      <c r="D236" s="7333"/>
      <c r="E236" s="7332" t="s">
        <v>1882</v>
      </c>
      <c r="F236" s="7332" t="str">
        <f t="shared" si="21"/>
        <v/>
      </c>
      <c r="G236" s="7332" t="s">
        <v>1849</v>
      </c>
      <c r="H236" s="7332" t="str">
        <f t="shared" si="22"/>
        <v/>
      </c>
      <c r="I236" s="7332">
        <v>70.0</v>
      </c>
      <c r="J236" s="7332">
        <v>95.0</v>
      </c>
      <c r="K236" s="7332">
        <v>70.0</v>
      </c>
      <c r="L236" s="7332">
        <v>60.0</v>
      </c>
      <c r="M236" s="7332">
        <v>70.0</v>
      </c>
      <c r="N236" s="7334">
        <v>70.0</v>
      </c>
      <c r="O236" s="7321"/>
      <c r="P236" s="7347">
        <v>215.0</v>
      </c>
      <c r="Q236" s="7348" t="str">
        <f t="shared" si="23"/>
        <v/>
      </c>
      <c r="R236" s="7324"/>
    </row>
    <row r="237" ht="18.75" customHeight="1">
      <c r="A237" s="7316"/>
      <c r="B237" s="7337" t="s">
        <v>869</v>
      </c>
      <c r="C237" s="7338" t="s">
        <v>2255</v>
      </c>
      <c r="D237" s="7339"/>
      <c r="E237" s="7338" t="s">
        <v>1849</v>
      </c>
      <c r="F237" s="7338" t="str">
        <f t="shared" si="21"/>
        <v/>
      </c>
      <c r="G237" s="7338" t="s">
        <v>1863</v>
      </c>
      <c r="H237" s="7338" t="str">
        <f t="shared" si="22"/>
        <v/>
      </c>
      <c r="I237" s="7338">
        <v>85.0</v>
      </c>
      <c r="J237" s="7338">
        <v>90.0</v>
      </c>
      <c r="K237" s="7338">
        <v>80.0</v>
      </c>
      <c r="L237" s="7338">
        <v>90.0</v>
      </c>
      <c r="M237" s="7338">
        <v>80.0</v>
      </c>
      <c r="N237" s="7340">
        <v>130.0</v>
      </c>
      <c r="O237" s="7321"/>
      <c r="P237" s="7347">
        <v>216.0</v>
      </c>
      <c r="Q237" s="7348" t="str">
        <f t="shared" si="23"/>
        <v/>
      </c>
      <c r="R237" s="7324"/>
    </row>
    <row r="238" ht="18.75" customHeight="1">
      <c r="A238" s="7316"/>
      <c r="B238" s="7331" t="s">
        <v>2256</v>
      </c>
      <c r="C238" s="7332" t="s">
        <v>2257</v>
      </c>
      <c r="D238" s="7333"/>
      <c r="E238" s="7332" t="s">
        <v>1871</v>
      </c>
      <c r="F238" s="7332" t="str">
        <f t="shared" si="21"/>
        <v/>
      </c>
      <c r="G238" s="7332" t="s">
        <v>1926</v>
      </c>
      <c r="H238" s="7332" t="str">
        <f t="shared" si="22"/>
        <v/>
      </c>
      <c r="I238" s="7332">
        <v>75.0</v>
      </c>
      <c r="J238" s="7332">
        <v>38.0</v>
      </c>
      <c r="K238" s="7332">
        <v>38.0</v>
      </c>
      <c r="L238" s="7332">
        <v>56.0</v>
      </c>
      <c r="M238" s="7332">
        <v>56.0</v>
      </c>
      <c r="N238" s="7334">
        <v>67.0</v>
      </c>
      <c r="O238" s="7321"/>
      <c r="P238" s="7347">
        <v>217.0</v>
      </c>
      <c r="Q238" s="7348" t="str">
        <f t="shared" si="23"/>
        <v/>
      </c>
      <c r="R238" s="7324"/>
    </row>
    <row r="239" ht="18.75" customHeight="1">
      <c r="A239" s="7316"/>
      <c r="B239" s="7337" t="s">
        <v>1784</v>
      </c>
      <c r="C239" s="7338" t="s">
        <v>2258</v>
      </c>
      <c r="D239" s="7339"/>
      <c r="E239" s="7342" t="s">
        <v>1871</v>
      </c>
      <c r="F239" s="7342" t="str">
        <f t="shared" si="21"/>
        <v/>
      </c>
      <c r="G239" s="7342" t="s">
        <v>1926</v>
      </c>
      <c r="H239" s="7342" t="str">
        <f t="shared" si="22"/>
        <v/>
      </c>
      <c r="I239" s="7338">
        <v>125.0</v>
      </c>
      <c r="J239" s="7338">
        <v>58.0</v>
      </c>
      <c r="K239" s="7338">
        <v>58.0</v>
      </c>
      <c r="L239" s="7338">
        <v>76.0</v>
      </c>
      <c r="M239" s="7338">
        <v>76.0</v>
      </c>
      <c r="N239" s="7340">
        <v>67.0</v>
      </c>
      <c r="O239" s="7321"/>
      <c r="P239" s="7347">
        <v>218.0</v>
      </c>
      <c r="Q239" s="7348" t="str">
        <f t="shared" si="23"/>
        <v/>
      </c>
      <c r="R239" s="7324"/>
    </row>
    <row r="240" ht="18.75" customHeight="1">
      <c r="A240" s="7316"/>
      <c r="B240" s="7331" t="s">
        <v>2259</v>
      </c>
      <c r="C240" s="7332" t="s">
        <v>2260</v>
      </c>
      <c r="D240" s="7333"/>
      <c r="E240" s="7332" t="s">
        <v>1926</v>
      </c>
      <c r="F240" s="7332" t="str">
        <f t="shared" si="21"/>
        <v/>
      </c>
      <c r="G240" s="7332"/>
      <c r="H240" s="7332" t="str">
        <f t="shared" si="22"/>
        <v/>
      </c>
      <c r="I240" s="7332">
        <v>20.0</v>
      </c>
      <c r="J240" s="7332">
        <v>40.0</v>
      </c>
      <c r="K240" s="7332">
        <v>15.0</v>
      </c>
      <c r="L240" s="7332">
        <v>35.0</v>
      </c>
      <c r="M240" s="7332">
        <v>35.0</v>
      </c>
      <c r="N240" s="7334">
        <v>60.0</v>
      </c>
      <c r="O240" s="7321"/>
      <c r="P240" s="7347">
        <v>219.0</v>
      </c>
      <c r="Q240" s="7348" t="str">
        <f t="shared" si="23"/>
        <v/>
      </c>
      <c r="R240" s="7324"/>
    </row>
    <row r="241" ht="18.75" customHeight="1">
      <c r="A241" s="7316"/>
      <c r="B241" s="7337" t="s">
        <v>2261</v>
      </c>
      <c r="C241" s="7338" t="s">
        <v>2262</v>
      </c>
      <c r="D241" s="7339"/>
      <c r="E241" s="7338" t="s">
        <v>1935</v>
      </c>
      <c r="F241" s="7338" t="str">
        <f t="shared" si="21"/>
        <v/>
      </c>
      <c r="G241" s="7338"/>
      <c r="H241" s="7338" t="str">
        <f t="shared" si="22"/>
        <v/>
      </c>
      <c r="I241" s="7338">
        <v>50.0</v>
      </c>
      <c r="J241" s="7338">
        <v>25.0</v>
      </c>
      <c r="K241" s="7338">
        <v>28.0</v>
      </c>
      <c r="L241" s="7338">
        <v>45.0</v>
      </c>
      <c r="M241" s="7338">
        <v>55.0</v>
      </c>
      <c r="N241" s="7340">
        <v>15.0</v>
      </c>
      <c r="O241" s="7321"/>
      <c r="P241" s="7347">
        <v>220.0</v>
      </c>
      <c r="Q241" s="7348" t="str">
        <f t="shared" si="23"/>
        <v/>
      </c>
      <c r="R241" s="7324"/>
    </row>
    <row r="242" ht="18.75" customHeight="1">
      <c r="A242" s="7316"/>
      <c r="B242" s="7331" t="s">
        <v>2263</v>
      </c>
      <c r="C242" s="7332" t="s">
        <v>2264</v>
      </c>
      <c r="D242" s="7333"/>
      <c r="E242" s="7332" t="s">
        <v>1901</v>
      </c>
      <c r="F242" s="7332" t="str">
        <f t="shared" si="21"/>
        <v/>
      </c>
      <c r="G242" s="7332" t="s">
        <v>1935</v>
      </c>
      <c r="H242" s="7332" t="str">
        <f t="shared" si="22"/>
        <v/>
      </c>
      <c r="I242" s="7332">
        <v>90.0</v>
      </c>
      <c r="J242" s="7332">
        <v>30.0</v>
      </c>
      <c r="K242" s="7332">
        <v>15.0</v>
      </c>
      <c r="L242" s="7332">
        <v>40.0</v>
      </c>
      <c r="M242" s="7332">
        <v>20.0</v>
      </c>
      <c r="N242" s="7334">
        <v>15.0</v>
      </c>
      <c r="O242" s="7321"/>
      <c r="P242" s="7347">
        <v>221.0</v>
      </c>
      <c r="Q242" s="7348" t="str">
        <f t="shared" si="23"/>
        <v/>
      </c>
      <c r="R242" s="7324"/>
    </row>
    <row r="243" ht="18.75" customHeight="1">
      <c r="A243" s="7316"/>
      <c r="B243" s="7337" t="s">
        <v>2265</v>
      </c>
      <c r="C243" s="7338" t="s">
        <v>2266</v>
      </c>
      <c r="D243" s="7339"/>
      <c r="E243" s="7342" t="s">
        <v>1935</v>
      </c>
      <c r="F243" s="7342" t="str">
        <f t="shared" si="21"/>
        <v/>
      </c>
      <c r="G243" s="7342"/>
      <c r="H243" s="7342" t="str">
        <f t="shared" si="22"/>
        <v/>
      </c>
      <c r="I243" s="7338">
        <v>35.0</v>
      </c>
      <c r="J243" s="7338">
        <v>20.0</v>
      </c>
      <c r="K243" s="7338">
        <v>65.0</v>
      </c>
      <c r="L243" s="7338">
        <v>40.0</v>
      </c>
      <c r="M243" s="7338">
        <v>65.0</v>
      </c>
      <c r="N243" s="7340">
        <v>20.0</v>
      </c>
      <c r="O243" s="7321"/>
      <c r="P243" s="7347">
        <v>222.0</v>
      </c>
      <c r="Q243" s="7348" t="str">
        <f t="shared" si="23"/>
        <v/>
      </c>
      <c r="R243" s="7324"/>
    </row>
    <row r="244" ht="18.75" customHeight="1">
      <c r="A244" s="7316"/>
      <c r="B244" s="7331" t="s">
        <v>1036</v>
      </c>
      <c r="C244" s="7332" t="s">
        <v>2267</v>
      </c>
      <c r="D244" s="7333"/>
      <c r="E244" s="7332" t="s">
        <v>1935</v>
      </c>
      <c r="F244" s="7332" t="str">
        <f t="shared" si="21"/>
        <v/>
      </c>
      <c r="G244" s="7332" t="s">
        <v>1863</v>
      </c>
      <c r="H244" s="7332" t="str">
        <f t="shared" si="22"/>
        <v/>
      </c>
      <c r="I244" s="7332">
        <v>55.0</v>
      </c>
      <c r="J244" s="7332">
        <v>40.0</v>
      </c>
      <c r="K244" s="7332">
        <v>85.0</v>
      </c>
      <c r="L244" s="7332">
        <v>80.0</v>
      </c>
      <c r="M244" s="7332">
        <v>105.0</v>
      </c>
      <c r="N244" s="7334">
        <v>40.0</v>
      </c>
      <c r="O244" s="7321"/>
      <c r="P244" s="7347">
        <v>223.0</v>
      </c>
      <c r="Q244" s="7348" t="str">
        <f t="shared" si="23"/>
        <v/>
      </c>
      <c r="R244" s="7324"/>
    </row>
    <row r="245" ht="18.75" customHeight="1">
      <c r="A245" s="7316"/>
      <c r="B245" s="7337" t="s">
        <v>2268</v>
      </c>
      <c r="C245" s="7338" t="s">
        <v>2269</v>
      </c>
      <c r="D245" s="7339"/>
      <c r="E245" s="7342" t="s">
        <v>561</v>
      </c>
      <c r="F245" s="7342" t="str">
        <f t="shared" si="21"/>
        <v/>
      </c>
      <c r="G245" s="7342" t="s">
        <v>1863</v>
      </c>
      <c r="H245" s="7342" t="str">
        <f t="shared" si="22"/>
        <v/>
      </c>
      <c r="I245" s="7338">
        <v>40.0</v>
      </c>
      <c r="J245" s="7338">
        <v>50.0</v>
      </c>
      <c r="K245" s="7338">
        <v>45.0</v>
      </c>
      <c r="L245" s="7338">
        <v>70.0</v>
      </c>
      <c r="M245" s="7338">
        <v>45.0</v>
      </c>
      <c r="N245" s="7340">
        <v>70.0</v>
      </c>
      <c r="O245" s="7321"/>
      <c r="P245" s="7347">
        <v>224.0</v>
      </c>
      <c r="Q245" s="7348" t="str">
        <f t="shared" si="23"/>
        <v/>
      </c>
      <c r="R245" s="7324"/>
    </row>
    <row r="246" ht="18.75" customHeight="1">
      <c r="A246" s="7316"/>
      <c r="B246" s="7331" t="s">
        <v>2270</v>
      </c>
      <c r="C246" s="7332" t="s">
        <v>2271</v>
      </c>
      <c r="D246" s="7333"/>
      <c r="E246" s="7332" t="s">
        <v>561</v>
      </c>
      <c r="F246" s="7332" t="str">
        <f t="shared" si="21"/>
        <v/>
      </c>
      <c r="G246" s="7332" t="s">
        <v>1863</v>
      </c>
      <c r="H246" s="7332" t="str">
        <f t="shared" si="22"/>
        <v/>
      </c>
      <c r="I246" s="7332">
        <v>65.0</v>
      </c>
      <c r="J246" s="7332">
        <v>75.0</v>
      </c>
      <c r="K246" s="7332">
        <v>70.0</v>
      </c>
      <c r="L246" s="7332">
        <v>105.0</v>
      </c>
      <c r="M246" s="7332">
        <v>70.0</v>
      </c>
      <c r="N246" s="7334">
        <v>105.0</v>
      </c>
      <c r="O246" s="7321"/>
      <c r="P246" s="7347">
        <v>225.0</v>
      </c>
      <c r="Q246" s="7348" t="str">
        <f t="shared" si="23"/>
        <v/>
      </c>
      <c r="R246" s="7324"/>
    </row>
    <row r="247" ht="18.75" customHeight="1">
      <c r="A247" s="7316"/>
      <c r="B247" s="7337" t="s">
        <v>2272</v>
      </c>
      <c r="C247" s="7338" t="s">
        <v>2273</v>
      </c>
      <c r="D247" s="7339"/>
      <c r="E247" s="7342" t="s">
        <v>1926</v>
      </c>
      <c r="F247" s="7342" t="str">
        <f t="shared" si="21"/>
        <v/>
      </c>
      <c r="G247" s="7342"/>
      <c r="H247" s="7342" t="str">
        <f t="shared" si="22"/>
        <v/>
      </c>
      <c r="I247" s="7338">
        <v>55.0</v>
      </c>
      <c r="J247" s="7338">
        <v>40.0</v>
      </c>
      <c r="K247" s="7338">
        <v>40.0</v>
      </c>
      <c r="L247" s="7338">
        <v>65.0</v>
      </c>
      <c r="M247" s="7338">
        <v>45.0</v>
      </c>
      <c r="N247" s="7340">
        <v>35.0</v>
      </c>
      <c r="O247" s="7321"/>
      <c r="P247" s="7347">
        <v>226.0</v>
      </c>
      <c r="Q247" s="7348" t="str">
        <f t="shared" si="23"/>
        <v/>
      </c>
      <c r="R247" s="7324"/>
    </row>
    <row r="248" ht="18.75" customHeight="1">
      <c r="A248" s="7316"/>
      <c r="B248" s="7331" t="s">
        <v>2274</v>
      </c>
      <c r="C248" s="7332" t="s">
        <v>2275</v>
      </c>
      <c r="D248" s="7333"/>
      <c r="E248" s="7332" t="s">
        <v>1926</v>
      </c>
      <c r="F248" s="7332" t="str">
        <f t="shared" si="21"/>
        <v/>
      </c>
      <c r="G248" s="7332"/>
      <c r="H248" s="7332" t="str">
        <f t="shared" si="22"/>
        <v/>
      </c>
      <c r="I248" s="7332">
        <v>70.0</v>
      </c>
      <c r="J248" s="7332">
        <v>55.0</v>
      </c>
      <c r="K248" s="7332">
        <v>55.0</v>
      </c>
      <c r="L248" s="7332">
        <v>80.0</v>
      </c>
      <c r="M248" s="7332">
        <v>60.0</v>
      </c>
      <c r="N248" s="7334">
        <v>45.0</v>
      </c>
      <c r="O248" s="7321"/>
      <c r="P248" s="7347">
        <v>227.0</v>
      </c>
      <c r="Q248" s="7348" t="str">
        <f t="shared" si="23"/>
        <v/>
      </c>
      <c r="R248" s="7324"/>
    </row>
    <row r="249" ht="18.75" customHeight="1">
      <c r="A249" s="7316"/>
      <c r="B249" s="7337" t="s">
        <v>2276</v>
      </c>
      <c r="C249" s="7338" t="s">
        <v>2277</v>
      </c>
      <c r="D249" s="7339"/>
      <c r="E249" s="7338" t="s">
        <v>1926</v>
      </c>
      <c r="F249" s="7338" t="str">
        <f t="shared" si="21"/>
        <v/>
      </c>
      <c r="G249" s="7338"/>
      <c r="H249" s="7338" t="str">
        <f t="shared" si="22"/>
        <v/>
      </c>
      <c r="I249" s="7338">
        <v>90.0</v>
      </c>
      <c r="J249" s="7338">
        <v>75.0</v>
      </c>
      <c r="K249" s="7338">
        <v>85.0</v>
      </c>
      <c r="L249" s="7338">
        <v>115.0</v>
      </c>
      <c r="M249" s="7338">
        <v>90.0</v>
      </c>
      <c r="N249" s="7340">
        <v>55.0</v>
      </c>
      <c r="O249" s="7321"/>
      <c r="P249" s="7347">
        <v>228.0</v>
      </c>
      <c r="Q249" s="7348" t="str">
        <f t="shared" si="23"/>
        <v/>
      </c>
      <c r="R249" s="7324"/>
    </row>
    <row r="250" ht="18.75" customHeight="1">
      <c r="A250" s="7316"/>
      <c r="B250" s="7331" t="s">
        <v>1384</v>
      </c>
      <c r="C250" s="7341" t="s">
        <v>2278</v>
      </c>
      <c r="D250" s="7333"/>
      <c r="E250" s="7332" t="s">
        <v>1926</v>
      </c>
      <c r="F250" s="7332" t="str">
        <f t="shared" si="21"/>
        <v/>
      </c>
      <c r="G250" s="7332" t="s">
        <v>1866</v>
      </c>
      <c r="H250" s="7332" t="str">
        <f t="shared" si="22"/>
        <v/>
      </c>
      <c r="I250" s="7332">
        <v>90.0</v>
      </c>
      <c r="J250" s="7332">
        <v>95.0</v>
      </c>
      <c r="K250" s="7332">
        <v>105.0</v>
      </c>
      <c r="L250" s="7332">
        <v>165.0</v>
      </c>
      <c r="M250" s="7332">
        <v>110.0</v>
      </c>
      <c r="N250" s="7334">
        <v>45.0</v>
      </c>
      <c r="O250" s="7321"/>
      <c r="P250" s="7347">
        <v>229.0</v>
      </c>
      <c r="Q250" s="7348" t="str">
        <f t="shared" si="23"/>
        <v/>
      </c>
      <c r="R250" s="7324"/>
    </row>
    <row r="251" ht="18.75" customHeight="1">
      <c r="A251" s="7316"/>
      <c r="B251" s="7337" t="s">
        <v>1292</v>
      </c>
      <c r="C251" s="7338" t="s">
        <v>2279</v>
      </c>
      <c r="D251" s="7339"/>
      <c r="E251" s="7338" t="s">
        <v>1848</v>
      </c>
      <c r="F251" s="7338" t="str">
        <f t="shared" si="21"/>
        <v/>
      </c>
      <c r="G251" s="7338" t="s">
        <v>1935</v>
      </c>
      <c r="H251" s="7338" t="str">
        <f t="shared" si="22"/>
        <v/>
      </c>
      <c r="I251" s="7338">
        <v>75.0</v>
      </c>
      <c r="J251" s="7338">
        <v>80.0</v>
      </c>
      <c r="K251" s="7338">
        <v>95.0</v>
      </c>
      <c r="L251" s="7338">
        <v>90.0</v>
      </c>
      <c r="M251" s="7338">
        <v>100.0</v>
      </c>
      <c r="N251" s="7340">
        <v>50.0</v>
      </c>
      <c r="O251" s="7321"/>
      <c r="P251" s="7347">
        <v>230.0</v>
      </c>
      <c r="Q251" s="7348" t="str">
        <f t="shared" si="23"/>
        <v/>
      </c>
      <c r="R251" s="7324"/>
    </row>
    <row r="252" ht="18.75" customHeight="1">
      <c r="A252" s="7316"/>
      <c r="B252" s="7331" t="s">
        <v>2280</v>
      </c>
      <c r="C252" s="7332" t="s">
        <v>2281</v>
      </c>
      <c r="D252" s="7333"/>
      <c r="E252" s="7332" t="s">
        <v>1871</v>
      </c>
      <c r="F252" s="7332" t="str">
        <f t="shared" si="21"/>
        <v/>
      </c>
      <c r="G252" s="7332" t="s">
        <v>1935</v>
      </c>
      <c r="H252" s="7332" t="str">
        <f t="shared" si="22"/>
        <v/>
      </c>
      <c r="I252" s="7332">
        <v>70.0</v>
      </c>
      <c r="J252" s="7332">
        <v>20.0</v>
      </c>
      <c r="K252" s="7332">
        <v>50.0</v>
      </c>
      <c r="L252" s="7332">
        <v>20.0</v>
      </c>
      <c r="M252" s="7332">
        <v>50.0</v>
      </c>
      <c r="N252" s="7334">
        <v>40.0</v>
      </c>
      <c r="O252" s="7321"/>
      <c r="P252" s="7347">
        <v>231.0</v>
      </c>
      <c r="Q252" s="7348" t="str">
        <f t="shared" si="23"/>
        <v/>
      </c>
      <c r="R252" s="7324"/>
    </row>
    <row r="253" ht="18.75" customHeight="1">
      <c r="A253" s="7316"/>
      <c r="B253" s="7337" t="s">
        <v>752</v>
      </c>
      <c r="C253" s="7338" t="s">
        <v>2282</v>
      </c>
      <c r="D253" s="7339"/>
      <c r="E253" s="7342" t="s">
        <v>1871</v>
      </c>
      <c r="F253" s="7342" t="str">
        <f t="shared" si="21"/>
        <v/>
      </c>
      <c r="G253" s="7342" t="s">
        <v>1935</v>
      </c>
      <c r="H253" s="7342" t="str">
        <f t="shared" si="22"/>
        <v/>
      </c>
      <c r="I253" s="7338">
        <v>100.0</v>
      </c>
      <c r="J253" s="7338">
        <v>50.0</v>
      </c>
      <c r="K253" s="7338">
        <v>80.0</v>
      </c>
      <c r="L253" s="7338">
        <v>60.0</v>
      </c>
      <c r="M253" s="7338">
        <v>80.0</v>
      </c>
      <c r="N253" s="7340">
        <v>50.0</v>
      </c>
      <c r="O253" s="7321"/>
      <c r="P253" s="7347">
        <v>232.0</v>
      </c>
      <c r="Q253" s="7348" t="str">
        <f t="shared" si="23"/>
        <v/>
      </c>
      <c r="R253" s="7324"/>
    </row>
    <row r="254" ht="18.75" customHeight="1">
      <c r="A254" s="7316"/>
      <c r="B254" s="7331" t="s">
        <v>2283</v>
      </c>
      <c r="C254" s="7332" t="s">
        <v>2284</v>
      </c>
      <c r="D254" s="7333"/>
      <c r="E254" s="7341" t="s">
        <v>2014</v>
      </c>
      <c r="F254" s="7341" t="str">
        <f t="shared" si="21"/>
        <v/>
      </c>
      <c r="G254" s="7341"/>
      <c r="H254" s="7341" t="str">
        <f t="shared" si="22"/>
        <v/>
      </c>
      <c r="I254" s="7332">
        <v>90.0</v>
      </c>
      <c r="J254" s="7332">
        <v>100.0</v>
      </c>
      <c r="K254" s="7332">
        <v>115.0</v>
      </c>
      <c r="L254" s="7332">
        <v>30.0</v>
      </c>
      <c r="M254" s="7332">
        <v>65.0</v>
      </c>
      <c r="N254" s="7334">
        <v>30.0</v>
      </c>
      <c r="O254" s="7321"/>
      <c r="P254" s="7347">
        <v>233.0</v>
      </c>
      <c r="Q254" s="7348" t="str">
        <f t="shared" si="23"/>
        <v/>
      </c>
      <c r="R254" s="7324"/>
    </row>
    <row r="255" ht="18.75" customHeight="1">
      <c r="A255" s="7316"/>
      <c r="B255" s="7337" t="s">
        <v>1408</v>
      </c>
      <c r="C255" s="7338" t="s">
        <v>2285</v>
      </c>
      <c r="D255" s="7339"/>
      <c r="E255" s="7342" t="s">
        <v>1871</v>
      </c>
      <c r="F255" s="7342" t="str">
        <f t="shared" si="21"/>
        <v/>
      </c>
      <c r="G255" s="7342"/>
      <c r="H255" s="7342" t="str">
        <f t="shared" si="22"/>
        <v/>
      </c>
      <c r="I255" s="7338">
        <v>90.0</v>
      </c>
      <c r="J255" s="7338">
        <v>75.0</v>
      </c>
      <c r="K255" s="7338">
        <v>75.0</v>
      </c>
      <c r="L255" s="7338">
        <v>90.0</v>
      </c>
      <c r="M255" s="7338">
        <v>100.0</v>
      </c>
      <c r="N255" s="7340">
        <v>70.0</v>
      </c>
      <c r="O255" s="7321"/>
      <c r="P255" s="7347">
        <v>234.0</v>
      </c>
      <c r="Q255" s="7348" t="str">
        <f t="shared" si="23"/>
        <v/>
      </c>
      <c r="R255" s="7324"/>
    </row>
    <row r="256" ht="18.75" customHeight="1">
      <c r="A256" s="7316"/>
      <c r="B256" s="7331" t="s">
        <v>2286</v>
      </c>
      <c r="C256" s="7332" t="s">
        <v>2287</v>
      </c>
      <c r="D256" s="7333"/>
      <c r="E256" s="7341" t="s">
        <v>1848</v>
      </c>
      <c r="F256" s="7341" t="str">
        <f t="shared" si="21"/>
        <v/>
      </c>
      <c r="G256" s="7341" t="s">
        <v>1863</v>
      </c>
      <c r="H256" s="7341" t="str">
        <f t="shared" si="22"/>
        <v/>
      </c>
      <c r="I256" s="7332">
        <v>35.0</v>
      </c>
      <c r="J256" s="7332">
        <v>35.0</v>
      </c>
      <c r="K256" s="7332">
        <v>40.0</v>
      </c>
      <c r="L256" s="7332">
        <v>35.0</v>
      </c>
      <c r="M256" s="7332">
        <v>55.0</v>
      </c>
      <c r="N256" s="7334">
        <v>50.0</v>
      </c>
      <c r="O256" s="7321"/>
      <c r="P256" s="7347">
        <v>235.0</v>
      </c>
      <c r="Q256" s="7348" t="str">
        <f t="shared" si="23"/>
        <v/>
      </c>
      <c r="R256" s="7324"/>
    </row>
    <row r="257" ht="18.75" customHeight="1">
      <c r="A257" s="7316"/>
      <c r="B257" s="7337" t="s">
        <v>2288</v>
      </c>
      <c r="C257" s="7338" t="s">
        <v>2289</v>
      </c>
      <c r="D257" s="7339"/>
      <c r="E257" s="7342" t="s">
        <v>1848</v>
      </c>
      <c r="F257" s="7342" t="str">
        <f t="shared" si="21"/>
        <v/>
      </c>
      <c r="G257" s="7342" t="s">
        <v>1863</v>
      </c>
      <c r="H257" s="7342" t="str">
        <f t="shared" si="22"/>
        <v/>
      </c>
      <c r="I257" s="7338">
        <v>55.0</v>
      </c>
      <c r="J257" s="7338">
        <v>45.0</v>
      </c>
      <c r="K257" s="7338">
        <v>50.0</v>
      </c>
      <c r="L257" s="7338">
        <v>45.0</v>
      </c>
      <c r="M257" s="7338">
        <v>65.0</v>
      </c>
      <c r="N257" s="7340">
        <v>80.0</v>
      </c>
      <c r="O257" s="7321"/>
      <c r="P257" s="7347">
        <v>236.0</v>
      </c>
      <c r="Q257" s="7348" t="str">
        <f t="shared" si="23"/>
        <v/>
      </c>
      <c r="R257" s="7324"/>
    </row>
    <row r="258" ht="18.75" customHeight="1">
      <c r="A258" s="7316"/>
      <c r="B258" s="7331" t="s">
        <v>742</v>
      </c>
      <c r="C258" s="7332" t="s">
        <v>2290</v>
      </c>
      <c r="D258" s="7333"/>
      <c r="E258" s="7341" t="s">
        <v>1848</v>
      </c>
      <c r="F258" s="7341" t="str">
        <f t="shared" si="21"/>
        <v/>
      </c>
      <c r="G258" s="7341" t="s">
        <v>1863</v>
      </c>
      <c r="H258" s="7341" t="str">
        <f t="shared" si="22"/>
        <v/>
      </c>
      <c r="I258" s="7332">
        <v>75.0</v>
      </c>
      <c r="J258" s="7332">
        <v>85.0</v>
      </c>
      <c r="K258" s="7332">
        <v>70.0</v>
      </c>
      <c r="L258" s="7332">
        <v>35.0</v>
      </c>
      <c r="M258" s="7332">
        <v>95.0</v>
      </c>
      <c r="N258" s="7334">
        <v>110.0</v>
      </c>
      <c r="O258" s="7321"/>
      <c r="P258" s="7347">
        <v>237.0</v>
      </c>
      <c r="Q258" s="7348" t="str">
        <f t="shared" si="23"/>
        <v/>
      </c>
      <c r="R258" s="7324"/>
    </row>
    <row r="259" ht="18.75" customHeight="1">
      <c r="A259" s="7316"/>
      <c r="B259" s="7337" t="s">
        <v>2291</v>
      </c>
      <c r="C259" s="7338" t="s">
        <v>2292</v>
      </c>
      <c r="D259" s="7339"/>
      <c r="E259" s="7342" t="s">
        <v>1901</v>
      </c>
      <c r="F259" s="7342" t="str">
        <f t="shared" si="21"/>
        <v/>
      </c>
      <c r="G259" s="7342"/>
      <c r="H259" s="7342" t="str">
        <f t="shared" si="22"/>
        <v/>
      </c>
      <c r="I259" s="7338">
        <v>55.0</v>
      </c>
      <c r="J259" s="7338">
        <v>70.0</v>
      </c>
      <c r="K259" s="7338">
        <v>55.0</v>
      </c>
      <c r="L259" s="7338">
        <v>40.0</v>
      </c>
      <c r="M259" s="7338">
        <v>55.0</v>
      </c>
      <c r="N259" s="7340">
        <v>85.0</v>
      </c>
      <c r="O259" s="7321"/>
      <c r="P259" s="7347">
        <v>238.0</v>
      </c>
      <c r="Q259" s="7348" t="str">
        <f t="shared" si="23"/>
        <v/>
      </c>
      <c r="R259" s="7324"/>
    </row>
    <row r="260" ht="18.75" customHeight="1">
      <c r="A260" s="7316"/>
      <c r="B260" s="7331" t="s">
        <v>2293</v>
      </c>
      <c r="C260" s="7332" t="s">
        <v>2294</v>
      </c>
      <c r="D260" s="7333"/>
      <c r="E260" s="7332" t="s">
        <v>1848</v>
      </c>
      <c r="F260" s="7332" t="str">
        <f t="shared" si="21"/>
        <v/>
      </c>
      <c r="G260" s="7332"/>
      <c r="H260" s="7332" t="str">
        <f t="shared" si="22"/>
        <v/>
      </c>
      <c r="I260" s="7332">
        <v>30.0</v>
      </c>
      <c r="J260" s="7332">
        <v>30.0</v>
      </c>
      <c r="K260" s="7332">
        <v>30.0</v>
      </c>
      <c r="L260" s="7332">
        <v>30.0</v>
      </c>
      <c r="M260" s="7332">
        <v>30.0</v>
      </c>
      <c r="N260" s="7334">
        <v>30.0</v>
      </c>
      <c r="O260" s="7321"/>
      <c r="P260" s="7347">
        <v>239.0</v>
      </c>
      <c r="Q260" s="7348" t="str">
        <f t="shared" si="23"/>
        <v/>
      </c>
      <c r="R260" s="7324"/>
    </row>
    <row r="261" ht="18.75" customHeight="1">
      <c r="A261" s="7316"/>
      <c r="B261" s="7337" t="s">
        <v>1244</v>
      </c>
      <c r="C261" s="7338" t="s">
        <v>2295</v>
      </c>
      <c r="D261" s="7339"/>
      <c r="E261" s="7342" t="s">
        <v>1848</v>
      </c>
      <c r="F261" s="7342" t="str">
        <f t="shared" si="21"/>
        <v/>
      </c>
      <c r="G261" s="7342"/>
      <c r="H261" s="7342" t="str">
        <f t="shared" si="22"/>
        <v/>
      </c>
      <c r="I261" s="7338">
        <v>95.0</v>
      </c>
      <c r="J261" s="7338">
        <v>75.0</v>
      </c>
      <c r="K261" s="7338">
        <v>55.0</v>
      </c>
      <c r="L261" s="7338">
        <v>135.0</v>
      </c>
      <c r="M261" s="7338">
        <v>85.0</v>
      </c>
      <c r="N261" s="7340">
        <v>55.0</v>
      </c>
      <c r="O261" s="7321"/>
      <c r="P261" s="7347">
        <v>240.0</v>
      </c>
      <c r="Q261" s="7348" t="str">
        <f t="shared" si="23"/>
        <v/>
      </c>
      <c r="R261" s="7324"/>
    </row>
    <row r="262" ht="18.75" customHeight="1">
      <c r="A262" s="7316"/>
      <c r="B262" s="7331" t="s">
        <v>2296</v>
      </c>
      <c r="C262" s="7332" t="s">
        <v>2297</v>
      </c>
      <c r="D262" s="7333"/>
      <c r="E262" s="7332" t="s">
        <v>1882</v>
      </c>
      <c r="F262" s="7332" t="str">
        <f t="shared" si="21"/>
        <v/>
      </c>
      <c r="G262" s="7332" t="s">
        <v>1863</v>
      </c>
      <c r="H262" s="7332" t="str">
        <f t="shared" si="22"/>
        <v/>
      </c>
      <c r="I262" s="7332">
        <v>65.0</v>
      </c>
      <c r="J262" s="7332">
        <v>65.0</v>
      </c>
      <c r="K262" s="7332">
        <v>45.0</v>
      </c>
      <c r="L262" s="7332">
        <v>75.0</v>
      </c>
      <c r="M262" s="7332">
        <v>45.0</v>
      </c>
      <c r="N262" s="7334">
        <v>95.0</v>
      </c>
      <c r="O262" s="7321"/>
      <c r="P262" s="7347">
        <v>241.0</v>
      </c>
      <c r="Q262" s="7348" t="str">
        <f t="shared" si="23"/>
        <v/>
      </c>
      <c r="R262" s="7324"/>
    </row>
    <row r="263" ht="18.75" customHeight="1">
      <c r="A263" s="7316"/>
      <c r="B263" s="7337" t="s">
        <v>2298</v>
      </c>
      <c r="C263" s="7338" t="s">
        <v>2299</v>
      </c>
      <c r="D263" s="7339"/>
      <c r="E263" s="7342" t="s">
        <v>1871</v>
      </c>
      <c r="F263" s="7342" t="str">
        <f t="shared" si="21"/>
        <v/>
      </c>
      <c r="G263" s="7342" t="s">
        <v>1948</v>
      </c>
      <c r="H263" s="7342" t="str">
        <f t="shared" si="22"/>
        <v/>
      </c>
      <c r="I263" s="7338">
        <v>55.0</v>
      </c>
      <c r="J263" s="7338">
        <v>45.0</v>
      </c>
      <c r="K263" s="7338">
        <v>45.0</v>
      </c>
      <c r="L263" s="7338">
        <v>25.0</v>
      </c>
      <c r="M263" s="7338">
        <v>25.0</v>
      </c>
      <c r="N263" s="7340">
        <v>15.0</v>
      </c>
      <c r="O263" s="7321"/>
      <c r="P263" s="7347">
        <v>242.0</v>
      </c>
      <c r="Q263" s="7348" t="str">
        <f t="shared" si="23"/>
        <v/>
      </c>
      <c r="R263" s="7324"/>
    </row>
    <row r="264" ht="18.75" customHeight="1">
      <c r="A264" s="7316"/>
      <c r="B264" s="7331" t="s">
        <v>2300</v>
      </c>
      <c r="C264" s="7341" t="s">
        <v>2301</v>
      </c>
      <c r="D264" s="7333"/>
      <c r="E264" s="7332" t="s">
        <v>1849</v>
      </c>
      <c r="F264" s="7332" t="str">
        <f t="shared" si="21"/>
        <v/>
      </c>
      <c r="G264" s="7332" t="s">
        <v>1948</v>
      </c>
      <c r="H264" s="7332" t="str">
        <f t="shared" si="22"/>
        <v/>
      </c>
      <c r="I264" s="7332">
        <v>55.0</v>
      </c>
      <c r="J264" s="7332">
        <v>45.0</v>
      </c>
      <c r="K264" s="7332">
        <v>45.0</v>
      </c>
      <c r="L264" s="7332">
        <v>25.0</v>
      </c>
      <c r="M264" s="7332">
        <v>25.0</v>
      </c>
      <c r="N264" s="7334">
        <v>15.0</v>
      </c>
      <c r="O264" s="7321"/>
      <c r="P264" s="7347">
        <v>243.0</v>
      </c>
      <c r="Q264" s="7348" t="str">
        <f t="shared" si="23"/>
        <v/>
      </c>
      <c r="R264" s="7324"/>
    </row>
    <row r="265" ht="18.75" customHeight="1">
      <c r="A265" s="7316"/>
      <c r="B265" s="7337" t="s">
        <v>2302</v>
      </c>
      <c r="C265" s="7338" t="s">
        <v>2303</v>
      </c>
      <c r="D265" s="7339"/>
      <c r="E265" s="7342" t="s">
        <v>1871</v>
      </c>
      <c r="F265" s="7342" t="str">
        <f t="shared" si="21"/>
        <v/>
      </c>
      <c r="G265" s="7342" t="s">
        <v>1948</v>
      </c>
      <c r="H265" s="7342" t="str">
        <f t="shared" si="22"/>
        <v/>
      </c>
      <c r="I265" s="7338">
        <v>100.0</v>
      </c>
      <c r="J265" s="7338">
        <v>85.0</v>
      </c>
      <c r="K265" s="7338">
        <v>90.0</v>
      </c>
      <c r="L265" s="7338">
        <v>65.0</v>
      </c>
      <c r="M265" s="7338">
        <v>65.0</v>
      </c>
      <c r="N265" s="7340">
        <v>35.0</v>
      </c>
      <c r="O265" s="7321"/>
      <c r="P265" s="7347">
        <v>244.0</v>
      </c>
      <c r="Q265" s="7348" t="str">
        <f t="shared" si="23"/>
        <v/>
      </c>
      <c r="R265" s="7324"/>
    </row>
    <row r="266" ht="18.75" customHeight="1">
      <c r="A266" s="7316"/>
      <c r="B266" s="7331" t="s">
        <v>1118</v>
      </c>
      <c r="C266" s="7332" t="s">
        <v>2304</v>
      </c>
      <c r="D266" s="7333"/>
      <c r="E266" s="7341" t="s">
        <v>561</v>
      </c>
      <c r="F266" s="7341" t="str">
        <f t="shared" si="21"/>
        <v/>
      </c>
      <c r="G266" s="7341"/>
      <c r="H266" s="7341" t="str">
        <f t="shared" si="22"/>
        <v/>
      </c>
      <c r="I266" s="7332">
        <v>65.0</v>
      </c>
      <c r="J266" s="7332">
        <v>65.0</v>
      </c>
      <c r="K266" s="7332">
        <v>60.0</v>
      </c>
      <c r="L266" s="7332">
        <v>130.0</v>
      </c>
      <c r="M266" s="7332">
        <v>95.0</v>
      </c>
      <c r="N266" s="7334">
        <v>110.0</v>
      </c>
      <c r="O266" s="7321"/>
      <c r="P266" s="7347">
        <v>245.0</v>
      </c>
      <c r="Q266" s="7348" t="str">
        <f t="shared" si="23"/>
        <v/>
      </c>
      <c r="R266" s="7324"/>
    </row>
    <row r="267" ht="18.75" customHeight="1">
      <c r="A267" s="7316"/>
      <c r="B267" s="7337" t="s">
        <v>2305</v>
      </c>
      <c r="C267" s="7338" t="s">
        <v>2306</v>
      </c>
      <c r="D267" s="7339"/>
      <c r="E267" s="7338" t="s">
        <v>1911</v>
      </c>
      <c r="F267" s="7338" t="str">
        <f t="shared" si="21"/>
        <v/>
      </c>
      <c r="G267" s="7338"/>
      <c r="H267" s="7338" t="str">
        <f t="shared" si="22"/>
        <v/>
      </c>
      <c r="I267" s="7338">
        <v>95.0</v>
      </c>
      <c r="J267" s="7338">
        <v>65.0</v>
      </c>
      <c r="K267" s="7338">
        <v>110.0</v>
      </c>
      <c r="L267" s="7338">
        <v>60.0</v>
      </c>
      <c r="M267" s="7338">
        <v>130.0</v>
      </c>
      <c r="N267" s="7340">
        <v>65.0</v>
      </c>
      <c r="O267" s="7321"/>
      <c r="P267" s="7347">
        <v>246.0</v>
      </c>
      <c r="Q267" s="7348" t="str">
        <f t="shared" si="23"/>
        <v/>
      </c>
      <c r="R267" s="7324"/>
    </row>
    <row r="268" ht="18.75" customHeight="1">
      <c r="A268" s="7316"/>
      <c r="B268" s="7331" t="s">
        <v>2307</v>
      </c>
      <c r="C268" s="7332" t="s">
        <v>2308</v>
      </c>
      <c r="D268" s="7333"/>
      <c r="E268" s="7332" t="s">
        <v>1911</v>
      </c>
      <c r="F268" s="7332" t="str">
        <f t="shared" si="21"/>
        <v/>
      </c>
      <c r="G268" s="7332" t="s">
        <v>1863</v>
      </c>
      <c r="H268" s="7332" t="str">
        <f t="shared" si="22"/>
        <v/>
      </c>
      <c r="I268" s="7332">
        <v>60.0</v>
      </c>
      <c r="J268" s="7332">
        <v>85.0</v>
      </c>
      <c r="K268" s="7332">
        <v>42.0</v>
      </c>
      <c r="L268" s="7332">
        <v>85.0</v>
      </c>
      <c r="M268" s="7332">
        <v>42.0</v>
      </c>
      <c r="N268" s="7334">
        <v>91.0</v>
      </c>
      <c r="O268" s="7321"/>
      <c r="P268" s="7347">
        <v>247.0</v>
      </c>
      <c r="Q268" s="7348" t="str">
        <f t="shared" si="23"/>
        <v/>
      </c>
      <c r="R268" s="7324"/>
    </row>
    <row r="269" ht="18.75" customHeight="1">
      <c r="A269" s="7316"/>
      <c r="B269" s="7337" t="s">
        <v>2309</v>
      </c>
      <c r="C269" s="7338" t="s">
        <v>2310</v>
      </c>
      <c r="D269" s="7339"/>
      <c r="E269" s="7342" t="s">
        <v>1871</v>
      </c>
      <c r="F269" s="7342" t="str">
        <f t="shared" si="21"/>
        <v/>
      </c>
      <c r="G269" s="7342" t="s">
        <v>561</v>
      </c>
      <c r="H269" s="7342" t="str">
        <f t="shared" si="22"/>
        <v/>
      </c>
      <c r="I269" s="7338">
        <v>95.0</v>
      </c>
      <c r="J269" s="7338">
        <v>75.0</v>
      </c>
      <c r="K269" s="7338">
        <v>80.0</v>
      </c>
      <c r="L269" s="7338">
        <v>100.0</v>
      </c>
      <c r="M269" s="7338">
        <v>110.0</v>
      </c>
      <c r="N269" s="7340">
        <v>30.0</v>
      </c>
      <c r="O269" s="7321"/>
      <c r="P269" s="7347">
        <v>248.0</v>
      </c>
      <c r="Q269" s="7348" t="str">
        <f t="shared" si="23"/>
        <v/>
      </c>
      <c r="R269" s="7324"/>
    </row>
    <row r="270" ht="18.75" customHeight="1">
      <c r="A270" s="7316"/>
      <c r="B270" s="7331" t="s">
        <v>2311</v>
      </c>
      <c r="C270" s="7341" t="s">
        <v>2312</v>
      </c>
      <c r="D270" s="7333"/>
      <c r="E270" s="7332" t="s">
        <v>1849</v>
      </c>
      <c r="F270" s="7332" t="str">
        <f t="shared" si="21"/>
        <v/>
      </c>
      <c r="G270" s="7332" t="s">
        <v>561</v>
      </c>
      <c r="H270" s="7332" t="str">
        <f t="shared" si="22"/>
        <v/>
      </c>
      <c r="I270" s="7332">
        <v>95.0</v>
      </c>
      <c r="J270" s="7332">
        <v>65.0</v>
      </c>
      <c r="K270" s="7332">
        <v>80.0</v>
      </c>
      <c r="L270" s="7332">
        <v>110.0</v>
      </c>
      <c r="M270" s="7332">
        <v>110.0</v>
      </c>
      <c r="N270" s="7334">
        <v>30.0</v>
      </c>
      <c r="O270" s="7321"/>
      <c r="P270" s="7347">
        <v>249.0</v>
      </c>
      <c r="Q270" s="7348" t="str">
        <f t="shared" si="23"/>
        <v/>
      </c>
      <c r="R270" s="7324"/>
    </row>
    <row r="271" ht="18.75" customHeight="1">
      <c r="A271" s="7316"/>
      <c r="B271" s="7337" t="s">
        <v>1046</v>
      </c>
      <c r="C271" s="7338" t="s">
        <v>2313</v>
      </c>
      <c r="D271" s="7339"/>
      <c r="E271" s="7338" t="s">
        <v>2097</v>
      </c>
      <c r="F271" s="7338" t="str">
        <f t="shared" si="21"/>
        <v/>
      </c>
      <c r="G271" s="7338"/>
      <c r="H271" s="7338" t="str">
        <f t="shared" si="22"/>
        <v/>
      </c>
      <c r="I271" s="7338">
        <v>60.0</v>
      </c>
      <c r="J271" s="7338">
        <v>60.0</v>
      </c>
      <c r="K271" s="7338">
        <v>60.0</v>
      </c>
      <c r="L271" s="7338">
        <v>85.0</v>
      </c>
      <c r="M271" s="7338">
        <v>85.0</v>
      </c>
      <c r="N271" s="7340">
        <v>85.0</v>
      </c>
      <c r="O271" s="7321"/>
      <c r="P271" s="7347">
        <v>250.0</v>
      </c>
      <c r="Q271" s="7348" t="str">
        <f t="shared" si="23"/>
        <v/>
      </c>
      <c r="R271" s="7324"/>
    </row>
    <row r="272" ht="18.75" customHeight="1">
      <c r="A272" s="7316"/>
      <c r="B272" s="7331" t="s">
        <v>2314</v>
      </c>
      <c r="C272" s="7332" t="s">
        <v>2315</v>
      </c>
      <c r="D272" s="7333"/>
      <c r="E272" s="7332" t="s">
        <v>561</v>
      </c>
      <c r="F272" s="7332" t="str">
        <f t="shared" si="21"/>
        <v/>
      </c>
      <c r="G272" s="7332"/>
      <c r="H272" s="7332" t="str">
        <f t="shared" si="22"/>
        <v/>
      </c>
      <c r="I272" s="7332">
        <v>48.0</v>
      </c>
      <c r="J272" s="7341">
        <v>48.0</v>
      </c>
      <c r="K272" s="7332">
        <v>48.0</v>
      </c>
      <c r="L272" s="7341">
        <v>96.0</v>
      </c>
      <c r="M272" s="7332">
        <v>48.0</v>
      </c>
      <c r="N272" s="7360">
        <v>96.0</v>
      </c>
      <c r="O272" s="7321"/>
      <c r="P272" s="7347">
        <v>251.0</v>
      </c>
      <c r="Q272" s="7348" t="str">
        <f t="shared" si="23"/>
        <v/>
      </c>
      <c r="R272" s="7324"/>
    </row>
    <row r="273" ht="18.75" customHeight="1">
      <c r="A273" s="7316"/>
      <c r="B273" s="7337" t="s">
        <v>2316</v>
      </c>
      <c r="C273" s="7338" t="s">
        <v>2317</v>
      </c>
      <c r="D273" s="7339"/>
      <c r="E273" s="7338" t="s">
        <v>561</v>
      </c>
      <c r="F273" s="7338" t="str">
        <f t="shared" si="21"/>
        <v/>
      </c>
      <c r="G273" s="7338"/>
      <c r="H273" s="7338" t="str">
        <f t="shared" si="22"/>
        <v/>
      </c>
      <c r="I273" s="7338">
        <v>190.0</v>
      </c>
      <c r="J273" s="7338">
        <v>33.0</v>
      </c>
      <c r="K273" s="7338">
        <v>58.0</v>
      </c>
      <c r="L273" s="7338">
        <v>33.0</v>
      </c>
      <c r="M273" s="7338">
        <v>58.0</v>
      </c>
      <c r="N273" s="7340">
        <v>33.0</v>
      </c>
      <c r="O273" s="7321"/>
      <c r="P273" s="7347">
        <v>252.0</v>
      </c>
      <c r="Q273" s="7348" t="str">
        <f t="shared" si="23"/>
        <v/>
      </c>
      <c r="R273" s="7324"/>
    </row>
    <row r="274" ht="18.75" customHeight="1">
      <c r="A274" s="7316"/>
      <c r="B274" s="7331" t="s">
        <v>2318</v>
      </c>
      <c r="C274" s="7332" t="s">
        <v>2319</v>
      </c>
      <c r="D274" s="7333"/>
      <c r="E274" s="7332" t="s">
        <v>1901</v>
      </c>
      <c r="F274" s="7332" t="str">
        <f t="shared" si="21"/>
        <v/>
      </c>
      <c r="G274" s="7332" t="s">
        <v>561</v>
      </c>
      <c r="H274" s="7332" t="str">
        <f t="shared" si="22"/>
        <v/>
      </c>
      <c r="I274" s="7332">
        <v>70.0</v>
      </c>
      <c r="J274" s="7332">
        <v>80.0</v>
      </c>
      <c r="K274" s="7332">
        <v>65.0</v>
      </c>
      <c r="L274" s="7332">
        <v>90.0</v>
      </c>
      <c r="M274" s="7332">
        <v>65.0</v>
      </c>
      <c r="N274" s="7334">
        <v>85.0</v>
      </c>
      <c r="O274" s="7321"/>
      <c r="P274" s="7347">
        <v>253.0</v>
      </c>
      <c r="Q274" s="7348" t="str">
        <f t="shared" si="23"/>
        <v/>
      </c>
      <c r="R274" s="7324"/>
    </row>
    <row r="275" ht="18.75" customHeight="1">
      <c r="A275" s="7316"/>
      <c r="B275" s="7337" t="s">
        <v>2320</v>
      </c>
      <c r="C275" s="7338" t="s">
        <v>2321</v>
      </c>
      <c r="D275" s="7339"/>
      <c r="E275" s="7342" t="s">
        <v>1882</v>
      </c>
      <c r="F275" s="7342" t="str">
        <f t="shared" si="21"/>
        <v/>
      </c>
      <c r="G275" s="7342"/>
      <c r="H275" s="7342" t="str">
        <f t="shared" si="22"/>
        <v/>
      </c>
      <c r="I275" s="7338">
        <v>50.0</v>
      </c>
      <c r="J275" s="7338">
        <v>65.0</v>
      </c>
      <c r="K275" s="7338">
        <v>90.0</v>
      </c>
      <c r="L275" s="7338">
        <v>35.0</v>
      </c>
      <c r="M275" s="7338">
        <v>35.0</v>
      </c>
      <c r="N275" s="7340">
        <v>15.0</v>
      </c>
      <c r="O275" s="7321"/>
      <c r="P275" s="7347">
        <v>254.0</v>
      </c>
      <c r="Q275" s="7348" t="str">
        <f t="shared" si="23"/>
        <v/>
      </c>
      <c r="R275" s="7324"/>
    </row>
    <row r="276" ht="18.75" customHeight="1">
      <c r="A276" s="7316"/>
      <c r="B276" s="7331" t="s">
        <v>669</v>
      </c>
      <c r="C276" s="7332" t="s">
        <v>2322</v>
      </c>
      <c r="D276" s="7333"/>
      <c r="E276" s="7332" t="s">
        <v>1882</v>
      </c>
      <c r="F276" s="7332" t="str">
        <f t="shared" si="21"/>
        <v/>
      </c>
      <c r="G276" s="7332" t="s">
        <v>1929</v>
      </c>
      <c r="H276" s="7332" t="str">
        <f t="shared" si="22"/>
        <v/>
      </c>
      <c r="I276" s="7332">
        <v>75.0</v>
      </c>
      <c r="J276" s="7332">
        <v>90.0</v>
      </c>
      <c r="K276" s="7332">
        <v>140.0</v>
      </c>
      <c r="L276" s="7332">
        <v>60.0</v>
      </c>
      <c r="M276" s="7332">
        <v>60.0</v>
      </c>
      <c r="N276" s="7334">
        <v>40.0</v>
      </c>
      <c r="O276" s="7321"/>
      <c r="P276" s="7347">
        <v>255.0</v>
      </c>
      <c r="Q276" s="7348" t="str">
        <f t="shared" si="23"/>
        <v/>
      </c>
      <c r="R276" s="7324"/>
    </row>
    <row r="277" ht="18.75" customHeight="1">
      <c r="A277" s="7316"/>
      <c r="B277" s="7337" t="s">
        <v>2323</v>
      </c>
      <c r="C277" s="7338" t="s">
        <v>2324</v>
      </c>
      <c r="D277" s="7339"/>
      <c r="E277" s="7342" t="s">
        <v>1901</v>
      </c>
      <c r="F277" s="7342" t="str">
        <f t="shared" si="21"/>
        <v/>
      </c>
      <c r="G277" s="7342"/>
      <c r="H277" s="7342" t="str">
        <f t="shared" si="22"/>
        <v/>
      </c>
      <c r="I277" s="7338">
        <v>100.0</v>
      </c>
      <c r="J277" s="7338">
        <v>70.0</v>
      </c>
      <c r="K277" s="7338">
        <v>80.0</v>
      </c>
      <c r="L277" s="7338">
        <v>65.0</v>
      </c>
      <c r="M277" s="7338">
        <v>75.0</v>
      </c>
      <c r="N277" s="7340">
        <v>45.0</v>
      </c>
      <c r="O277" s="7321"/>
      <c r="P277" s="7347"/>
      <c r="Q277" s="7348"/>
      <c r="R277" s="7324"/>
    </row>
    <row r="278" ht="18.75" customHeight="1">
      <c r="A278" s="7316"/>
      <c r="B278" s="7331" t="s">
        <v>2325</v>
      </c>
      <c r="C278" s="7332" t="s">
        <v>2326</v>
      </c>
      <c r="D278" s="7333"/>
      <c r="E278" s="7332" t="s">
        <v>1948</v>
      </c>
      <c r="F278" s="7332" t="str">
        <f t="shared" si="21"/>
        <v/>
      </c>
      <c r="G278" s="7332" t="s">
        <v>1863</v>
      </c>
      <c r="H278" s="7332" t="str">
        <f t="shared" si="22"/>
        <v/>
      </c>
      <c r="I278" s="7332">
        <v>65.0</v>
      </c>
      <c r="J278" s="7332">
        <v>75.0</v>
      </c>
      <c r="K278" s="7332">
        <v>105.0</v>
      </c>
      <c r="L278" s="7332">
        <v>35.0</v>
      </c>
      <c r="M278" s="7332">
        <v>65.0</v>
      </c>
      <c r="N278" s="7334">
        <v>85.0</v>
      </c>
      <c r="O278" s="7321"/>
      <c r="P278" s="7347"/>
      <c r="Q278" s="7348"/>
      <c r="R278" s="7324"/>
    </row>
    <row r="279" ht="18.75" customHeight="1">
      <c r="A279" s="7316"/>
      <c r="B279" s="7337" t="s">
        <v>645</v>
      </c>
      <c r="C279" s="7338" t="s">
        <v>2327</v>
      </c>
      <c r="D279" s="7339"/>
      <c r="E279" s="7338" t="s">
        <v>1929</v>
      </c>
      <c r="F279" s="7338" t="str">
        <f t="shared" si="21"/>
        <v/>
      </c>
      <c r="G279" s="7338" t="s">
        <v>1948</v>
      </c>
      <c r="H279" s="7338" t="str">
        <f t="shared" si="22"/>
        <v/>
      </c>
      <c r="I279" s="7338">
        <v>75.0</v>
      </c>
      <c r="J279" s="7338">
        <v>85.0</v>
      </c>
      <c r="K279" s="7338">
        <v>200.0</v>
      </c>
      <c r="L279" s="7338">
        <v>55.0</v>
      </c>
      <c r="M279" s="7338">
        <v>65.0</v>
      </c>
      <c r="N279" s="7340">
        <v>30.0</v>
      </c>
      <c r="O279" s="7321"/>
      <c r="P279" s="7324"/>
      <c r="Q279" s="7324"/>
      <c r="R279" s="7324"/>
    </row>
    <row r="280" ht="18.75" customHeight="1">
      <c r="A280" s="7316"/>
      <c r="B280" s="7331" t="s">
        <v>2328</v>
      </c>
      <c r="C280" s="7341" t="s">
        <v>2329</v>
      </c>
      <c r="D280" s="7333"/>
      <c r="E280" s="7332" t="s">
        <v>1929</v>
      </c>
      <c r="F280" s="7332" t="str">
        <f t="shared" si="21"/>
        <v/>
      </c>
      <c r="G280" s="7332" t="s">
        <v>1948</v>
      </c>
      <c r="H280" s="7332" t="str">
        <f t="shared" si="22"/>
        <v/>
      </c>
      <c r="I280" s="7332">
        <v>75.0</v>
      </c>
      <c r="J280" s="7332">
        <v>125.0</v>
      </c>
      <c r="K280" s="7332">
        <v>230.0</v>
      </c>
      <c r="L280" s="7332">
        <v>55.0</v>
      </c>
      <c r="M280" s="7332">
        <v>95.0</v>
      </c>
      <c r="N280" s="7334">
        <v>30.0</v>
      </c>
      <c r="O280" s="7321"/>
      <c r="P280" s="7324"/>
      <c r="Q280" s="7324"/>
      <c r="R280" s="7324"/>
    </row>
    <row r="281" ht="18.75" customHeight="1">
      <c r="A281" s="7316"/>
      <c r="B281" s="7337" t="s">
        <v>2330</v>
      </c>
      <c r="C281" s="7338" t="s">
        <v>2331</v>
      </c>
      <c r="D281" s="7339"/>
      <c r="E281" s="7338" t="s">
        <v>1935</v>
      </c>
      <c r="F281" s="7338" t="str">
        <f t="shared" si="21"/>
        <v/>
      </c>
      <c r="G281" s="7338"/>
      <c r="H281" s="7338" t="str">
        <f t="shared" si="22"/>
        <v/>
      </c>
      <c r="I281" s="7338">
        <v>60.0</v>
      </c>
      <c r="J281" s="7338">
        <v>80.0</v>
      </c>
      <c r="K281" s="7338">
        <v>50.0</v>
      </c>
      <c r="L281" s="7338">
        <v>40.0</v>
      </c>
      <c r="M281" s="7338">
        <v>40.0</v>
      </c>
      <c r="N281" s="7340">
        <v>30.0</v>
      </c>
      <c r="O281" s="7321"/>
      <c r="P281" s="7324"/>
      <c r="Q281" s="7324"/>
      <c r="R281" s="7324"/>
    </row>
    <row r="282" ht="18.75" customHeight="1">
      <c r="A282" s="7316"/>
      <c r="B282" s="7331" t="s">
        <v>857</v>
      </c>
      <c r="C282" s="7332" t="s">
        <v>2332</v>
      </c>
      <c r="D282" s="7333"/>
      <c r="E282" s="7332" t="s">
        <v>1935</v>
      </c>
      <c r="F282" s="7332" t="str">
        <f t="shared" si="21"/>
        <v/>
      </c>
      <c r="G282" s="7332" t="s">
        <v>1939</v>
      </c>
      <c r="H282" s="7332" t="str">
        <f t="shared" si="22"/>
        <v/>
      </c>
      <c r="I282" s="7332">
        <v>100.0</v>
      </c>
      <c r="J282" s="7332">
        <v>120.0</v>
      </c>
      <c r="K282" s="7332">
        <v>75.0</v>
      </c>
      <c r="L282" s="7332">
        <v>60.0</v>
      </c>
      <c r="M282" s="7332">
        <v>60.0</v>
      </c>
      <c r="N282" s="7334">
        <v>45.0</v>
      </c>
      <c r="O282" s="7321"/>
      <c r="P282" s="7324"/>
      <c r="Q282" s="7324"/>
      <c r="R282" s="7324"/>
    </row>
    <row r="283" ht="18.75" customHeight="1">
      <c r="A283" s="7316"/>
      <c r="B283" s="7337" t="s">
        <v>2333</v>
      </c>
      <c r="C283" s="7338" t="s">
        <v>2334</v>
      </c>
      <c r="D283" s="7339"/>
      <c r="E283" s="7338" t="s">
        <v>1871</v>
      </c>
      <c r="F283" s="7338" t="str">
        <f t="shared" si="21"/>
        <v/>
      </c>
      <c r="G283" s="7338" t="s">
        <v>1849</v>
      </c>
      <c r="H283" s="7338" t="str">
        <f t="shared" si="22"/>
        <v/>
      </c>
      <c r="I283" s="7338">
        <v>80.0</v>
      </c>
      <c r="J283" s="7338">
        <v>105.0</v>
      </c>
      <c r="K283" s="7338">
        <v>85.0</v>
      </c>
      <c r="L283" s="7338">
        <v>55.0</v>
      </c>
      <c r="M283" s="7338">
        <v>55.0</v>
      </c>
      <c r="N283" s="7340">
        <v>85.0</v>
      </c>
      <c r="O283" s="7321"/>
      <c r="P283" s="7324"/>
      <c r="Q283" s="7324"/>
      <c r="R283" s="7324"/>
    </row>
    <row r="284" ht="18.75" customHeight="1">
      <c r="A284" s="7316"/>
      <c r="B284" s="7331" t="s">
        <v>1389</v>
      </c>
      <c r="C284" s="7341" t="s">
        <v>2335</v>
      </c>
      <c r="D284" s="7333"/>
      <c r="E284" s="7332" t="s">
        <v>1911</v>
      </c>
      <c r="F284" s="7332" t="str">
        <f t="shared" si="21"/>
        <v/>
      </c>
      <c r="G284" s="7332" t="s">
        <v>1849</v>
      </c>
      <c r="H284" s="7332" t="str">
        <f t="shared" si="22"/>
        <v/>
      </c>
      <c r="I284" s="7332">
        <v>65.0</v>
      </c>
      <c r="J284" s="7332">
        <v>95.0</v>
      </c>
      <c r="K284" s="7332">
        <v>85.0</v>
      </c>
      <c r="L284" s="7332">
        <v>55.0</v>
      </c>
      <c r="M284" s="7332">
        <v>55.0</v>
      </c>
      <c r="N284" s="7334">
        <v>85.0</v>
      </c>
      <c r="O284" s="7321"/>
      <c r="P284" s="7324"/>
      <c r="Q284" s="7324"/>
      <c r="R284" s="7324"/>
    </row>
    <row r="285" ht="18.75" customHeight="1">
      <c r="A285" s="7316"/>
      <c r="B285" s="7337" t="s">
        <v>517</v>
      </c>
      <c r="C285" s="7338" t="s">
        <v>2336</v>
      </c>
      <c r="D285" s="7339"/>
      <c r="E285" s="7338" t="s">
        <v>1882</v>
      </c>
      <c r="F285" s="7338" t="str">
        <f t="shared" si="21"/>
        <v/>
      </c>
      <c r="G285" s="7338" t="s">
        <v>1929</v>
      </c>
      <c r="H285" s="7338" t="str">
        <f t="shared" si="22"/>
        <v/>
      </c>
      <c r="I285" s="7338">
        <v>70.0</v>
      </c>
      <c r="J285" s="7338">
        <v>130.0</v>
      </c>
      <c r="K285" s="7338">
        <v>100.0</v>
      </c>
      <c r="L285" s="7338">
        <v>55.0</v>
      </c>
      <c r="M285" s="7338">
        <v>80.0</v>
      </c>
      <c r="N285" s="7340">
        <v>65.0</v>
      </c>
      <c r="O285" s="7321"/>
      <c r="P285" s="7324"/>
      <c r="Q285" s="7324"/>
      <c r="R285" s="7324"/>
    </row>
    <row r="286" ht="18.75" customHeight="1">
      <c r="A286" s="7316"/>
      <c r="B286" s="7331" t="s">
        <v>529</v>
      </c>
      <c r="C286" s="7341" t="s">
        <v>2337</v>
      </c>
      <c r="D286" s="7333"/>
      <c r="E286" s="7332" t="s">
        <v>1882</v>
      </c>
      <c r="F286" s="7332" t="str">
        <f t="shared" si="21"/>
        <v/>
      </c>
      <c r="G286" s="7332" t="s">
        <v>1929</v>
      </c>
      <c r="H286" s="7332" t="str">
        <f t="shared" si="22"/>
        <v/>
      </c>
      <c r="I286" s="7332">
        <v>70.0</v>
      </c>
      <c r="J286" s="7332">
        <v>150.0</v>
      </c>
      <c r="K286" s="7332">
        <v>140.0</v>
      </c>
      <c r="L286" s="7332">
        <v>65.0</v>
      </c>
      <c r="M286" s="7332">
        <v>100.0</v>
      </c>
      <c r="N286" s="7334">
        <v>75.0</v>
      </c>
      <c r="O286" s="7321"/>
      <c r="P286" s="7324"/>
      <c r="Q286" s="7324"/>
      <c r="R286" s="7324"/>
    </row>
    <row r="287" ht="18.75" customHeight="1">
      <c r="A287" s="7316"/>
      <c r="B287" s="7337" t="s">
        <v>2338</v>
      </c>
      <c r="C287" s="7338" t="s">
        <v>2339</v>
      </c>
      <c r="D287" s="7339"/>
      <c r="E287" s="7338" t="s">
        <v>1882</v>
      </c>
      <c r="F287" s="7338" t="str">
        <f t="shared" si="21"/>
        <v/>
      </c>
      <c r="G287" s="7338" t="s">
        <v>2014</v>
      </c>
      <c r="H287" s="7338" t="str">
        <f t="shared" si="22"/>
        <v/>
      </c>
      <c r="I287" s="7338">
        <v>20.0</v>
      </c>
      <c r="J287" s="7338">
        <v>10.0</v>
      </c>
      <c r="K287" s="7338">
        <v>230.0</v>
      </c>
      <c r="L287" s="7338">
        <v>10.0</v>
      </c>
      <c r="M287" s="7338">
        <v>230.0</v>
      </c>
      <c r="N287" s="7340">
        <v>5.0</v>
      </c>
      <c r="O287" s="7321"/>
      <c r="P287" s="7324"/>
      <c r="Q287" s="7324"/>
      <c r="R287" s="7324"/>
    </row>
    <row r="288" ht="18.75" customHeight="1">
      <c r="A288" s="7316"/>
      <c r="B288" s="7331" t="s">
        <v>1674</v>
      </c>
      <c r="C288" s="7332" t="s">
        <v>2340</v>
      </c>
      <c r="D288" s="7333"/>
      <c r="E288" s="7332" t="s">
        <v>1882</v>
      </c>
      <c r="F288" s="7332" t="str">
        <f t="shared" si="21"/>
        <v/>
      </c>
      <c r="G288" s="7332" t="s">
        <v>1939</v>
      </c>
      <c r="H288" s="7332" t="str">
        <f t="shared" si="22"/>
        <v/>
      </c>
      <c r="I288" s="7332">
        <v>80.0</v>
      </c>
      <c r="J288" s="7332">
        <v>125.0</v>
      </c>
      <c r="K288" s="7332">
        <v>75.0</v>
      </c>
      <c r="L288" s="7332">
        <v>40.0</v>
      </c>
      <c r="M288" s="7332">
        <v>95.0</v>
      </c>
      <c r="N288" s="7334">
        <v>85.0</v>
      </c>
      <c r="O288" s="7321"/>
      <c r="P288" s="7324"/>
      <c r="Q288" s="7324"/>
      <c r="R288" s="7324"/>
    </row>
    <row r="289" ht="18.75" customHeight="1">
      <c r="A289" s="7316"/>
      <c r="B289" s="7337" t="s">
        <v>1568</v>
      </c>
      <c r="C289" s="7342" t="s">
        <v>2341</v>
      </c>
      <c r="D289" s="7339"/>
      <c r="E289" s="7338" t="s">
        <v>1882</v>
      </c>
      <c r="F289" s="7338" t="str">
        <f t="shared" si="21"/>
        <v/>
      </c>
      <c r="G289" s="7338" t="s">
        <v>1939</v>
      </c>
      <c r="H289" s="7338" t="str">
        <f t="shared" si="22"/>
        <v/>
      </c>
      <c r="I289" s="7338">
        <v>80.0</v>
      </c>
      <c r="J289" s="7338">
        <v>185.0</v>
      </c>
      <c r="K289" s="7338">
        <v>115.0</v>
      </c>
      <c r="L289" s="7338">
        <v>40.0</v>
      </c>
      <c r="M289" s="7338">
        <v>105.0</v>
      </c>
      <c r="N289" s="7340">
        <v>75.0</v>
      </c>
      <c r="O289" s="7321"/>
      <c r="P289" s="7324"/>
      <c r="Q289" s="7324"/>
      <c r="R289" s="7324"/>
    </row>
    <row r="290" ht="18.75" customHeight="1">
      <c r="A290" s="7316"/>
      <c r="B290" s="7331" t="s">
        <v>2342</v>
      </c>
      <c r="C290" s="7332" t="s">
        <v>2343</v>
      </c>
      <c r="D290" s="7333"/>
      <c r="E290" s="7341" t="s">
        <v>1911</v>
      </c>
      <c r="F290" s="7341" t="str">
        <f t="shared" si="21"/>
        <v/>
      </c>
      <c r="G290" s="7341" t="s">
        <v>1932</v>
      </c>
      <c r="H290" s="7341" t="str">
        <f t="shared" si="22"/>
        <v/>
      </c>
      <c r="I290" s="7332">
        <v>55.0</v>
      </c>
      <c r="J290" s="7332">
        <v>95.0</v>
      </c>
      <c r="K290" s="7332">
        <v>55.0</v>
      </c>
      <c r="L290" s="7332">
        <v>35.0</v>
      </c>
      <c r="M290" s="7332">
        <v>75.0</v>
      </c>
      <c r="N290" s="7334">
        <v>115.0</v>
      </c>
      <c r="O290" s="7321"/>
      <c r="P290" s="7324"/>
      <c r="Q290" s="7324"/>
      <c r="R290" s="7324"/>
    </row>
    <row r="291" ht="18.75" customHeight="1">
      <c r="A291" s="7316"/>
      <c r="B291" s="7337" t="s">
        <v>1077</v>
      </c>
      <c r="C291" s="7342" t="s">
        <v>2344</v>
      </c>
      <c r="D291" s="7339"/>
      <c r="E291" s="7338" t="s">
        <v>1849</v>
      </c>
      <c r="F291" s="7338" t="str">
        <f t="shared" si="21"/>
        <v/>
      </c>
      <c r="G291" s="7338" t="s">
        <v>1939</v>
      </c>
      <c r="H291" s="7338" t="str">
        <f t="shared" si="22"/>
        <v/>
      </c>
      <c r="I291" s="7338">
        <v>55.0</v>
      </c>
      <c r="J291" s="7338">
        <v>95.0</v>
      </c>
      <c r="K291" s="7338">
        <v>55.0</v>
      </c>
      <c r="L291" s="7338">
        <v>35.0</v>
      </c>
      <c r="M291" s="7338">
        <v>75.0</v>
      </c>
      <c r="N291" s="7340">
        <v>115.0</v>
      </c>
      <c r="O291" s="7321"/>
      <c r="P291" s="7324"/>
      <c r="Q291" s="7324"/>
      <c r="R291" s="7324"/>
    </row>
    <row r="292" ht="18.75" customHeight="1">
      <c r="A292" s="7316"/>
      <c r="B292" s="7331" t="s">
        <v>2345</v>
      </c>
      <c r="C292" s="7332" t="s">
        <v>2346</v>
      </c>
      <c r="D292" s="7333"/>
      <c r="E292" s="7341" t="s">
        <v>1901</v>
      </c>
      <c r="F292" s="7341" t="str">
        <f t="shared" si="21"/>
        <v/>
      </c>
      <c r="G292" s="7341"/>
      <c r="H292" s="7341" t="str">
        <f t="shared" si="22"/>
        <v/>
      </c>
      <c r="I292" s="7332">
        <v>60.0</v>
      </c>
      <c r="J292" s="7332">
        <v>80.0</v>
      </c>
      <c r="K292" s="7332">
        <v>50.0</v>
      </c>
      <c r="L292" s="7332">
        <v>50.0</v>
      </c>
      <c r="M292" s="7332">
        <v>50.0</v>
      </c>
      <c r="N292" s="7334">
        <v>40.0</v>
      </c>
      <c r="O292" s="7321"/>
      <c r="P292" s="7324"/>
      <c r="Q292" s="7324"/>
      <c r="R292" s="7324"/>
    </row>
    <row r="293" ht="18.75" customHeight="1">
      <c r="A293" s="7316"/>
      <c r="B293" s="7337" t="s">
        <v>2347</v>
      </c>
      <c r="C293" s="7338" t="s">
        <v>2348</v>
      </c>
      <c r="D293" s="7339"/>
      <c r="E293" s="7338" t="s">
        <v>1901</v>
      </c>
      <c r="F293" s="7338" t="str">
        <f t="shared" si="21"/>
        <v/>
      </c>
      <c r="G293" s="7338"/>
      <c r="H293" s="7338" t="str">
        <f t="shared" si="22"/>
        <v/>
      </c>
      <c r="I293" s="7338">
        <v>90.0</v>
      </c>
      <c r="J293" s="7338">
        <v>130.0</v>
      </c>
      <c r="K293" s="7338">
        <v>75.0</v>
      </c>
      <c r="L293" s="7338">
        <v>75.0</v>
      </c>
      <c r="M293" s="7338">
        <v>75.0</v>
      </c>
      <c r="N293" s="7340">
        <v>55.0</v>
      </c>
      <c r="O293" s="7321"/>
      <c r="P293" s="7324"/>
      <c r="Q293" s="7324"/>
      <c r="R293" s="7324"/>
    </row>
    <row r="294" ht="18.75" customHeight="1">
      <c r="A294" s="7316"/>
      <c r="B294" s="7331" t="s">
        <v>2349</v>
      </c>
      <c r="C294" s="7332" t="s">
        <v>2350</v>
      </c>
      <c r="D294" s="7333"/>
      <c r="E294" s="7341" t="s">
        <v>1858</v>
      </c>
      <c r="F294" s="7341" t="str">
        <f t="shared" si="21"/>
        <v/>
      </c>
      <c r="G294" s="7341"/>
      <c r="H294" s="7341" t="str">
        <f t="shared" si="22"/>
        <v/>
      </c>
      <c r="I294" s="7332">
        <v>40.0</v>
      </c>
      <c r="J294" s="7332">
        <v>40.0</v>
      </c>
      <c r="K294" s="7332">
        <v>40.0</v>
      </c>
      <c r="L294" s="7332">
        <v>70.0</v>
      </c>
      <c r="M294" s="7332">
        <v>40.0</v>
      </c>
      <c r="N294" s="7334">
        <v>20.0</v>
      </c>
      <c r="O294" s="7321"/>
      <c r="P294" s="7324"/>
      <c r="Q294" s="7324"/>
      <c r="R294" s="7324"/>
    </row>
    <row r="295" ht="18.75" customHeight="1">
      <c r="A295" s="7316"/>
      <c r="B295" s="7337" t="s">
        <v>1391</v>
      </c>
      <c r="C295" s="7338" t="s">
        <v>2351</v>
      </c>
      <c r="D295" s="7339"/>
      <c r="E295" s="7342" t="s">
        <v>1858</v>
      </c>
      <c r="F295" s="7342" t="str">
        <f t="shared" si="21"/>
        <v/>
      </c>
      <c r="G295" s="7342" t="s">
        <v>2014</v>
      </c>
      <c r="H295" s="7342" t="str">
        <f t="shared" si="22"/>
        <v/>
      </c>
      <c r="I295" s="7338">
        <v>60.0</v>
      </c>
      <c r="J295" s="7338">
        <v>50.0</v>
      </c>
      <c r="K295" s="7338">
        <v>120.0</v>
      </c>
      <c r="L295" s="7338">
        <v>90.0</v>
      </c>
      <c r="M295" s="7338">
        <v>80.0</v>
      </c>
      <c r="N295" s="7340">
        <v>30.0</v>
      </c>
      <c r="O295" s="7321"/>
      <c r="P295" s="7324"/>
      <c r="Q295" s="7324"/>
      <c r="R295" s="7324"/>
    </row>
    <row r="296" ht="18.75" customHeight="1">
      <c r="A296" s="7316"/>
      <c r="B296" s="7331" t="s">
        <v>2352</v>
      </c>
      <c r="C296" s="7332" t="s">
        <v>2353</v>
      </c>
      <c r="D296" s="7333"/>
      <c r="E296" s="7332" t="s">
        <v>1932</v>
      </c>
      <c r="F296" s="7332" t="str">
        <f t="shared" si="21"/>
        <v/>
      </c>
      <c r="G296" s="7332" t="s">
        <v>1948</v>
      </c>
      <c r="H296" s="7332" t="str">
        <f t="shared" si="22"/>
        <v/>
      </c>
      <c r="I296" s="7332">
        <v>50.0</v>
      </c>
      <c r="J296" s="7332">
        <v>50.0</v>
      </c>
      <c r="K296" s="7332">
        <v>40.0</v>
      </c>
      <c r="L296" s="7332">
        <v>30.0</v>
      </c>
      <c r="M296" s="7332">
        <v>30.0</v>
      </c>
      <c r="N296" s="7334">
        <v>50.0</v>
      </c>
      <c r="O296" s="7321"/>
      <c r="P296" s="7324"/>
      <c r="Q296" s="7324"/>
      <c r="R296" s="7324"/>
    </row>
    <row r="297" ht="18.75" customHeight="1">
      <c r="A297" s="7316"/>
      <c r="B297" s="7337" t="s">
        <v>1094</v>
      </c>
      <c r="C297" s="7338" t="s">
        <v>2354</v>
      </c>
      <c r="D297" s="7339"/>
      <c r="E297" s="7342" t="s">
        <v>1932</v>
      </c>
      <c r="F297" s="7342" t="str">
        <f t="shared" si="21"/>
        <v/>
      </c>
      <c r="G297" s="7342" t="s">
        <v>1948</v>
      </c>
      <c r="H297" s="7342" t="str">
        <f t="shared" si="22"/>
        <v/>
      </c>
      <c r="I297" s="7338">
        <v>100.0</v>
      </c>
      <c r="J297" s="7338">
        <v>100.0</v>
      </c>
      <c r="K297" s="7338">
        <v>80.0</v>
      </c>
      <c r="L297" s="7338">
        <v>60.0</v>
      </c>
      <c r="M297" s="7338">
        <v>60.0</v>
      </c>
      <c r="N297" s="7340">
        <v>50.0</v>
      </c>
      <c r="O297" s="7321"/>
      <c r="P297" s="7324"/>
      <c r="Q297" s="7324"/>
      <c r="R297" s="7324"/>
    </row>
    <row r="298" ht="18.75" customHeight="1">
      <c r="A298" s="7316"/>
      <c r="B298" s="7331" t="s">
        <v>2355</v>
      </c>
      <c r="C298" s="7332" t="s">
        <v>2356</v>
      </c>
      <c r="D298" s="7333"/>
      <c r="E298" s="7332" t="s">
        <v>1871</v>
      </c>
      <c r="F298" s="7332" t="str">
        <f t="shared" si="21"/>
        <v/>
      </c>
      <c r="G298" s="7332" t="s">
        <v>2014</v>
      </c>
      <c r="H298" s="7332" t="str">
        <f t="shared" si="22"/>
        <v/>
      </c>
      <c r="I298" s="7332">
        <v>85.0</v>
      </c>
      <c r="J298" s="7332">
        <v>55.0</v>
      </c>
      <c r="K298" s="7332">
        <v>100.0</v>
      </c>
      <c r="L298" s="7332">
        <v>65.0</v>
      </c>
      <c r="M298" s="7332">
        <v>100.0</v>
      </c>
      <c r="N298" s="7334">
        <v>35.0</v>
      </c>
      <c r="O298" s="7321"/>
      <c r="P298" s="7324"/>
      <c r="Q298" s="7324"/>
      <c r="R298" s="7324"/>
    </row>
    <row r="299" ht="18.75" customHeight="1">
      <c r="A299" s="7316"/>
      <c r="B299" s="7337" t="s">
        <v>2357</v>
      </c>
      <c r="C299" s="7342" t="s">
        <v>2358</v>
      </c>
      <c r="D299" s="7339"/>
      <c r="E299" s="7338" t="s">
        <v>2097</v>
      </c>
      <c r="F299" s="7338" t="str">
        <f t="shared" si="21"/>
        <v/>
      </c>
      <c r="G299" s="7338"/>
      <c r="H299" s="7338" t="str">
        <f t="shared" si="22"/>
        <v/>
      </c>
      <c r="I299" s="7338">
        <v>60.0</v>
      </c>
      <c r="J299" s="7338">
        <v>55.0</v>
      </c>
      <c r="K299" s="7338">
        <v>100.0</v>
      </c>
      <c r="L299" s="7338">
        <v>65.0</v>
      </c>
      <c r="M299" s="7338">
        <v>100.0</v>
      </c>
      <c r="N299" s="7340">
        <v>30.0</v>
      </c>
      <c r="O299" s="7321"/>
      <c r="P299" s="7324"/>
      <c r="Q299" s="7324"/>
      <c r="R299" s="7324"/>
    </row>
    <row r="300" ht="18.75" customHeight="1">
      <c r="A300" s="7316"/>
      <c r="B300" s="7331" t="s">
        <v>2359</v>
      </c>
      <c r="C300" s="7332" t="s">
        <v>2360</v>
      </c>
      <c r="D300" s="7333"/>
      <c r="E300" s="7332" t="s">
        <v>1871</v>
      </c>
      <c r="F300" s="7332" t="str">
        <f t="shared" si="21"/>
        <v/>
      </c>
      <c r="G300" s="7332"/>
      <c r="H300" s="7332" t="str">
        <f t="shared" si="22"/>
        <v/>
      </c>
      <c r="I300" s="7332">
        <v>35.0</v>
      </c>
      <c r="J300" s="7332">
        <v>65.0</v>
      </c>
      <c r="K300" s="7332">
        <v>35.0</v>
      </c>
      <c r="L300" s="7332">
        <v>65.0</v>
      </c>
      <c r="M300" s="7332">
        <v>35.0</v>
      </c>
      <c r="N300" s="7334">
        <v>65.0</v>
      </c>
      <c r="O300" s="7321"/>
      <c r="P300" s="7324"/>
      <c r="Q300" s="7324"/>
      <c r="R300" s="7324"/>
    </row>
    <row r="301" ht="18.75" customHeight="1">
      <c r="A301" s="7316"/>
      <c r="B301" s="7337" t="s">
        <v>842</v>
      </c>
      <c r="C301" s="7338" t="s">
        <v>2361</v>
      </c>
      <c r="D301" s="7339"/>
      <c r="E301" s="7338" t="s">
        <v>1871</v>
      </c>
      <c r="F301" s="7338" t="str">
        <f t="shared" si="21"/>
        <v/>
      </c>
      <c r="G301" s="7338"/>
      <c r="H301" s="7338" t="str">
        <f t="shared" si="22"/>
        <v/>
      </c>
      <c r="I301" s="7338">
        <v>75.0</v>
      </c>
      <c r="J301" s="7338">
        <v>105.0</v>
      </c>
      <c r="K301" s="7338">
        <v>75.0</v>
      </c>
      <c r="L301" s="7338">
        <v>105.0</v>
      </c>
      <c r="M301" s="7338">
        <v>75.0</v>
      </c>
      <c r="N301" s="7340">
        <v>75.0</v>
      </c>
      <c r="O301" s="7321"/>
      <c r="P301" s="7324"/>
      <c r="Q301" s="7324"/>
      <c r="R301" s="7324"/>
    </row>
    <row r="302" ht="18.75" customHeight="1">
      <c r="A302" s="7316"/>
      <c r="B302" s="7331" t="s">
        <v>2362</v>
      </c>
      <c r="C302" s="7332" t="s">
        <v>2363</v>
      </c>
      <c r="D302" s="7333"/>
      <c r="E302" s="7332" t="s">
        <v>1932</v>
      </c>
      <c r="F302" s="7332" t="str">
        <f t="shared" si="21"/>
        <v/>
      </c>
      <c r="G302" s="7332" t="s">
        <v>1863</v>
      </c>
      <c r="H302" s="7332" t="str">
        <f t="shared" si="22"/>
        <v/>
      </c>
      <c r="I302" s="7332">
        <v>45.0</v>
      </c>
      <c r="J302" s="7332">
        <v>100.0</v>
      </c>
      <c r="K302" s="7332">
        <v>45.0</v>
      </c>
      <c r="L302" s="7332">
        <v>65.0</v>
      </c>
      <c r="M302" s="7332">
        <v>45.0</v>
      </c>
      <c r="N302" s="7334">
        <v>105.0</v>
      </c>
      <c r="O302" s="7321"/>
      <c r="P302" s="7324"/>
      <c r="Q302" s="7324"/>
      <c r="R302" s="7324"/>
    </row>
    <row r="303" ht="18.75" customHeight="1">
      <c r="A303" s="7316"/>
      <c r="B303" s="7337" t="s">
        <v>1222</v>
      </c>
      <c r="C303" s="7338" t="s">
        <v>2364</v>
      </c>
      <c r="D303" s="7339"/>
      <c r="E303" s="7342" t="s">
        <v>1871</v>
      </c>
      <c r="F303" s="7342" t="str">
        <f t="shared" si="21"/>
        <v/>
      </c>
      <c r="G303" s="7342" t="s">
        <v>1863</v>
      </c>
      <c r="H303" s="7342" t="str">
        <f t="shared" si="22"/>
        <v/>
      </c>
      <c r="I303" s="7338">
        <v>85.0</v>
      </c>
      <c r="J303" s="7338">
        <v>40.0</v>
      </c>
      <c r="K303" s="7338">
        <v>70.0</v>
      </c>
      <c r="L303" s="7338">
        <v>90.0</v>
      </c>
      <c r="M303" s="7338">
        <v>140.0</v>
      </c>
      <c r="N303" s="7340">
        <v>70.0</v>
      </c>
      <c r="O303" s="7321"/>
      <c r="P303" s="7324"/>
      <c r="Q303" s="7324"/>
      <c r="R303" s="7324"/>
    </row>
    <row r="304" ht="18.75" customHeight="1">
      <c r="A304" s="7316"/>
      <c r="B304" s="7331" t="s">
        <v>2365</v>
      </c>
      <c r="C304" s="7332" t="s">
        <v>2366</v>
      </c>
      <c r="D304" s="7333"/>
      <c r="E304" s="7332" t="s">
        <v>1929</v>
      </c>
      <c r="F304" s="7332" t="str">
        <f t="shared" si="21"/>
        <v/>
      </c>
      <c r="G304" s="7332" t="s">
        <v>1863</v>
      </c>
      <c r="H304" s="7332" t="str">
        <f t="shared" si="22"/>
        <v/>
      </c>
      <c r="I304" s="7332">
        <v>65.0</v>
      </c>
      <c r="J304" s="7332">
        <v>80.0</v>
      </c>
      <c r="K304" s="7332">
        <v>140.0</v>
      </c>
      <c r="L304" s="7332">
        <v>40.0</v>
      </c>
      <c r="M304" s="7332">
        <v>70.0</v>
      </c>
      <c r="N304" s="7334">
        <v>70.0</v>
      </c>
      <c r="O304" s="7321"/>
      <c r="P304" s="7324"/>
      <c r="Q304" s="7324"/>
      <c r="R304" s="7324"/>
    </row>
    <row r="305" ht="18.75" customHeight="1">
      <c r="A305" s="7316"/>
      <c r="B305" s="7337" t="s">
        <v>816</v>
      </c>
      <c r="C305" s="7338" t="s">
        <v>2367</v>
      </c>
      <c r="D305" s="7339"/>
      <c r="E305" s="7338" t="s">
        <v>1911</v>
      </c>
      <c r="F305" s="7338" t="str">
        <f t="shared" si="21"/>
        <v/>
      </c>
      <c r="G305" s="7338" t="s">
        <v>1858</v>
      </c>
      <c r="H305" s="7338" t="str">
        <f t="shared" si="22"/>
        <v/>
      </c>
      <c r="I305" s="7338">
        <v>45.0</v>
      </c>
      <c r="J305" s="7338">
        <v>60.0</v>
      </c>
      <c r="K305" s="7338">
        <v>30.0</v>
      </c>
      <c r="L305" s="7338">
        <v>80.0</v>
      </c>
      <c r="M305" s="7338">
        <v>50.0</v>
      </c>
      <c r="N305" s="7340">
        <v>65.0</v>
      </c>
      <c r="O305" s="7321"/>
      <c r="P305" s="7324"/>
      <c r="Q305" s="7324"/>
      <c r="R305" s="7324"/>
    </row>
    <row r="306" ht="18.75" customHeight="1">
      <c r="A306" s="7316"/>
      <c r="B306" s="7331" t="s">
        <v>2368</v>
      </c>
      <c r="C306" s="7332" t="s">
        <v>2369</v>
      </c>
      <c r="D306" s="7333"/>
      <c r="E306" s="7332" t="s">
        <v>1911</v>
      </c>
      <c r="F306" s="7332" t="str">
        <f t="shared" si="21"/>
        <v/>
      </c>
      <c r="G306" s="7332" t="s">
        <v>1858</v>
      </c>
      <c r="H306" s="7332" t="str">
        <f t="shared" si="22"/>
        <v/>
      </c>
      <c r="I306" s="7332">
        <v>75.0</v>
      </c>
      <c r="J306" s="7332">
        <v>90.0</v>
      </c>
      <c r="K306" s="7332">
        <v>50.0</v>
      </c>
      <c r="L306" s="7332">
        <v>110.0</v>
      </c>
      <c r="M306" s="7332">
        <v>80.0</v>
      </c>
      <c r="N306" s="7334">
        <v>95.0</v>
      </c>
      <c r="O306" s="7321"/>
      <c r="P306" s="7324"/>
      <c r="Q306" s="7324"/>
      <c r="R306" s="7324"/>
    </row>
    <row r="307" ht="18.75" customHeight="1">
      <c r="A307" s="7316"/>
      <c r="B307" s="7337" t="s">
        <v>911</v>
      </c>
      <c r="C307" s="7342" t="s">
        <v>2370</v>
      </c>
      <c r="D307" s="7339"/>
      <c r="E307" s="7338" t="s">
        <v>1911</v>
      </c>
      <c r="F307" s="7338" t="str">
        <f t="shared" si="21"/>
        <v/>
      </c>
      <c r="G307" s="7338" t="s">
        <v>1858</v>
      </c>
      <c r="H307" s="7338" t="str">
        <f t="shared" si="22"/>
        <v/>
      </c>
      <c r="I307" s="7338">
        <v>75.0</v>
      </c>
      <c r="J307" s="7338">
        <v>110.0</v>
      </c>
      <c r="K307" s="7338">
        <v>90.0</v>
      </c>
      <c r="L307" s="7338">
        <v>140.0</v>
      </c>
      <c r="M307" s="7338">
        <v>90.0</v>
      </c>
      <c r="N307" s="7340">
        <v>115.0</v>
      </c>
      <c r="O307" s="7321"/>
      <c r="P307" s="7324"/>
      <c r="Q307" s="7324"/>
      <c r="R307" s="7324"/>
    </row>
    <row r="308" ht="18.75" customHeight="1">
      <c r="A308" s="7316"/>
      <c r="B308" s="7331" t="s">
        <v>442</v>
      </c>
      <c r="C308" s="7332" t="s">
        <v>2371</v>
      </c>
      <c r="D308" s="7333"/>
      <c r="E308" s="7332" t="s">
        <v>1871</v>
      </c>
      <c r="F308" s="7332" t="str">
        <f t="shared" si="21"/>
        <v/>
      </c>
      <c r="G308" s="7332" t="s">
        <v>1866</v>
      </c>
      <c r="H308" s="7332" t="str">
        <f t="shared" si="22"/>
        <v/>
      </c>
      <c r="I308" s="7332">
        <v>75.0</v>
      </c>
      <c r="J308" s="7332">
        <v>95.0</v>
      </c>
      <c r="K308" s="7332">
        <v>95.0</v>
      </c>
      <c r="L308" s="7332">
        <v>95.0</v>
      </c>
      <c r="M308" s="7332">
        <v>95.0</v>
      </c>
      <c r="N308" s="7334">
        <v>85.0</v>
      </c>
      <c r="O308" s="7321"/>
      <c r="P308" s="7324"/>
      <c r="Q308" s="7324"/>
      <c r="R308" s="7324"/>
    </row>
    <row r="309" ht="18.75" customHeight="1">
      <c r="A309" s="7316"/>
      <c r="B309" s="7337" t="s">
        <v>2372</v>
      </c>
      <c r="C309" s="7338" t="s">
        <v>2373</v>
      </c>
      <c r="D309" s="7339"/>
      <c r="E309" s="7338" t="s">
        <v>1948</v>
      </c>
      <c r="F309" s="7338" t="str">
        <f t="shared" si="21"/>
        <v/>
      </c>
      <c r="G309" s="7338"/>
      <c r="H309" s="7338" t="str">
        <f t="shared" si="22"/>
        <v/>
      </c>
      <c r="I309" s="7338">
        <v>90.0</v>
      </c>
      <c r="J309" s="7338">
        <v>60.0</v>
      </c>
      <c r="K309" s="7338">
        <v>60.0</v>
      </c>
      <c r="L309" s="7338">
        <v>40.0</v>
      </c>
      <c r="M309" s="7338">
        <v>40.0</v>
      </c>
      <c r="N309" s="7340">
        <v>40.0</v>
      </c>
      <c r="O309" s="7321"/>
      <c r="P309" s="7324"/>
      <c r="Q309" s="7324"/>
      <c r="R309" s="7324"/>
    </row>
    <row r="310" ht="18.75" customHeight="1">
      <c r="A310" s="7316"/>
      <c r="B310" s="7331" t="s">
        <v>1289</v>
      </c>
      <c r="C310" s="7332" t="s">
        <v>2374</v>
      </c>
      <c r="D310" s="7333"/>
      <c r="E310" s="7332" t="s">
        <v>1948</v>
      </c>
      <c r="F310" s="7332" t="str">
        <f t="shared" si="21"/>
        <v/>
      </c>
      <c r="G310" s="7332"/>
      <c r="H310" s="7332" t="str">
        <f t="shared" si="22"/>
        <v/>
      </c>
      <c r="I310" s="7332">
        <v>90.0</v>
      </c>
      <c r="J310" s="7332">
        <v>120.0</v>
      </c>
      <c r="K310" s="7332">
        <v>120.0</v>
      </c>
      <c r="L310" s="7332">
        <v>60.0</v>
      </c>
      <c r="M310" s="7332">
        <v>60.0</v>
      </c>
      <c r="N310" s="7334">
        <v>50.0</v>
      </c>
      <c r="O310" s="7321"/>
      <c r="P310" s="7324"/>
      <c r="Q310" s="7324"/>
      <c r="R310" s="7324"/>
    </row>
    <row r="311" ht="18.75" customHeight="1">
      <c r="A311" s="7316"/>
      <c r="B311" s="7337" t="s">
        <v>294</v>
      </c>
      <c r="C311" s="7338" t="s">
        <v>2375</v>
      </c>
      <c r="D311" s="7339"/>
      <c r="E311" s="7338" t="s">
        <v>1901</v>
      </c>
      <c r="F311" s="7338" t="str">
        <f t="shared" si="21"/>
        <v/>
      </c>
      <c r="G311" s="7338"/>
      <c r="H311" s="7338" t="str">
        <f t="shared" si="22"/>
        <v/>
      </c>
      <c r="I311" s="7338">
        <v>85.0</v>
      </c>
      <c r="J311" s="7338">
        <v>80.0</v>
      </c>
      <c r="K311" s="7338">
        <v>90.0</v>
      </c>
      <c r="L311" s="7338">
        <v>105.0</v>
      </c>
      <c r="M311" s="7338">
        <v>95.0</v>
      </c>
      <c r="N311" s="7340">
        <v>60.0</v>
      </c>
      <c r="O311" s="7321"/>
      <c r="P311" s="7324"/>
      <c r="Q311" s="7324"/>
      <c r="R311" s="7324"/>
    </row>
    <row r="312" ht="18.75" customHeight="1">
      <c r="A312" s="7316"/>
      <c r="B312" s="7331" t="s">
        <v>2376</v>
      </c>
      <c r="C312" s="7332" t="s">
        <v>2377</v>
      </c>
      <c r="D312" s="7333"/>
      <c r="E312" s="7341" t="s">
        <v>1901</v>
      </c>
      <c r="F312" s="7341" t="str">
        <f t="shared" si="21"/>
        <v/>
      </c>
      <c r="G312" s="7341"/>
      <c r="H312" s="7341" t="str">
        <f t="shared" si="22"/>
        <v/>
      </c>
      <c r="I312" s="7332">
        <v>73.0</v>
      </c>
      <c r="J312" s="7332">
        <v>95.0</v>
      </c>
      <c r="K312" s="7332">
        <v>62.0</v>
      </c>
      <c r="L312" s="7332">
        <v>85.0</v>
      </c>
      <c r="M312" s="7332">
        <v>65.0</v>
      </c>
      <c r="N312" s="7334">
        <v>85.0</v>
      </c>
      <c r="O312" s="7321"/>
      <c r="P312" s="7324"/>
      <c r="Q312" s="7324"/>
      <c r="R312" s="7324"/>
    </row>
    <row r="313" ht="18.75" customHeight="1">
      <c r="A313" s="7316"/>
      <c r="B313" s="7337" t="s">
        <v>1075</v>
      </c>
      <c r="C313" s="7338" t="s">
        <v>2378</v>
      </c>
      <c r="D313" s="7339"/>
      <c r="E313" s="7338" t="s">
        <v>1901</v>
      </c>
      <c r="F313" s="7338" t="str">
        <f t="shared" si="21"/>
        <v/>
      </c>
      <c r="G313" s="7338"/>
      <c r="H313" s="7338" t="str">
        <f t="shared" si="22"/>
        <v/>
      </c>
      <c r="I313" s="7338">
        <v>55.0</v>
      </c>
      <c r="J313" s="7338">
        <v>20.0</v>
      </c>
      <c r="K313" s="7338">
        <v>35.0</v>
      </c>
      <c r="L313" s="7338">
        <v>20.0</v>
      </c>
      <c r="M313" s="7338">
        <v>45.0</v>
      </c>
      <c r="N313" s="7340">
        <v>75.0</v>
      </c>
      <c r="O313" s="7321"/>
      <c r="P313" s="7324"/>
      <c r="Q313" s="7324"/>
      <c r="R313" s="7324"/>
    </row>
    <row r="314" ht="18.75" customHeight="1">
      <c r="A314" s="7316"/>
      <c r="B314" s="7331" t="s">
        <v>2379</v>
      </c>
      <c r="C314" s="7332" t="s">
        <v>2380</v>
      </c>
      <c r="D314" s="7333"/>
      <c r="E314" s="7341" t="s">
        <v>1939</v>
      </c>
      <c r="F314" s="7341" t="str">
        <f t="shared" ref="F314:F330" si="24">IFERROR(VLOOKUP(E314,P$3:Q332,2,False),"")</f>
        <v/>
      </c>
      <c r="G314" s="7341"/>
      <c r="H314" s="7341" t="str">
        <f t="shared" ref="H314:H330" si="25">IFERROR(VLOOKUP(G314,P$3:Q332,2,False),"")</f>
        <v/>
      </c>
      <c r="I314" s="7332">
        <v>35.0</v>
      </c>
      <c r="J314" s="7332">
        <v>35.0</v>
      </c>
      <c r="K314" s="7332">
        <v>35.0</v>
      </c>
      <c r="L314" s="7332">
        <v>35.0</v>
      </c>
      <c r="M314" s="7332">
        <v>35.0</v>
      </c>
      <c r="N314" s="7334">
        <v>35.0</v>
      </c>
      <c r="O314" s="7321"/>
      <c r="P314" s="7324"/>
      <c r="Q314" s="7324"/>
      <c r="R314" s="7324"/>
    </row>
    <row r="315" ht="18.75" customHeight="1">
      <c r="A315" s="7316"/>
      <c r="B315" s="7337" t="s">
        <v>589</v>
      </c>
      <c r="C315" s="7338" t="s">
        <v>2381</v>
      </c>
      <c r="D315" s="7339"/>
      <c r="E315" s="7338" t="s">
        <v>1939</v>
      </c>
      <c r="F315" s="7338" t="str">
        <f t="shared" si="24"/>
        <v/>
      </c>
      <c r="G315" s="7338"/>
      <c r="H315" s="7338" t="str">
        <f t="shared" si="25"/>
        <v/>
      </c>
      <c r="I315" s="7338">
        <v>50.0</v>
      </c>
      <c r="J315" s="7338">
        <v>95.0</v>
      </c>
      <c r="K315" s="7338">
        <v>95.0</v>
      </c>
      <c r="L315" s="7338">
        <v>35.0</v>
      </c>
      <c r="M315" s="7338">
        <v>110.0</v>
      </c>
      <c r="N315" s="7340">
        <v>70.0</v>
      </c>
      <c r="O315" s="7321"/>
      <c r="P315" s="7324"/>
      <c r="Q315" s="7324"/>
      <c r="R315" s="7324"/>
    </row>
    <row r="316" ht="18.75" customHeight="1">
      <c r="A316" s="7316"/>
      <c r="B316" s="7331" t="s">
        <v>2382</v>
      </c>
      <c r="C316" s="7332" t="s">
        <v>2383</v>
      </c>
      <c r="D316" s="7333"/>
      <c r="E316" s="7341" t="s">
        <v>1932</v>
      </c>
      <c r="F316" s="7341" t="str">
        <f t="shared" si="24"/>
        <v/>
      </c>
      <c r="G316" s="7341" t="s">
        <v>561</v>
      </c>
      <c r="H316" s="7341" t="str">
        <f t="shared" si="25"/>
        <v/>
      </c>
      <c r="I316" s="7332">
        <v>45.0</v>
      </c>
      <c r="J316" s="7332">
        <v>30.0</v>
      </c>
      <c r="K316" s="7332">
        <v>15.0</v>
      </c>
      <c r="L316" s="7332">
        <v>85.0</v>
      </c>
      <c r="M316" s="7332">
        <v>65.0</v>
      </c>
      <c r="N316" s="7334">
        <v>65.0</v>
      </c>
      <c r="O316" s="7321"/>
      <c r="P316" s="7324"/>
      <c r="Q316" s="7324"/>
      <c r="R316" s="7324"/>
    </row>
    <row r="317" ht="18.75" customHeight="1">
      <c r="A317" s="7316"/>
      <c r="B317" s="7337" t="s">
        <v>2384</v>
      </c>
      <c r="C317" s="7338" t="s">
        <v>2385</v>
      </c>
      <c r="D317" s="7339"/>
      <c r="E317" s="7342" t="s">
        <v>1926</v>
      </c>
      <c r="F317" s="7342" t="str">
        <f t="shared" si="24"/>
        <v/>
      </c>
      <c r="G317" s="7342"/>
      <c r="H317" s="7342" t="str">
        <f t="shared" si="25"/>
        <v/>
      </c>
      <c r="I317" s="7338">
        <v>45.0</v>
      </c>
      <c r="J317" s="7338">
        <v>63.0</v>
      </c>
      <c r="K317" s="7338">
        <v>37.0</v>
      </c>
      <c r="L317" s="7338">
        <v>65.0</v>
      </c>
      <c r="M317" s="7338">
        <v>55.0</v>
      </c>
      <c r="N317" s="7340">
        <v>95.0</v>
      </c>
      <c r="O317" s="7321"/>
      <c r="P317" s="7324"/>
      <c r="Q317" s="7324"/>
      <c r="R317" s="7324"/>
    </row>
    <row r="318" ht="18.75" customHeight="1">
      <c r="A318" s="7316"/>
      <c r="B318" s="7331" t="s">
        <v>2386</v>
      </c>
      <c r="C318" s="7332" t="s">
        <v>2387</v>
      </c>
      <c r="D318" s="7333"/>
      <c r="E318" s="7332" t="s">
        <v>1858</v>
      </c>
      <c r="F318" s="7332" t="str">
        <f t="shared" si="24"/>
        <v/>
      </c>
      <c r="G318" s="7332"/>
      <c r="H318" s="7332" t="str">
        <f t="shared" si="25"/>
        <v/>
      </c>
      <c r="I318" s="7332">
        <v>45.0</v>
      </c>
      <c r="J318" s="7332">
        <v>75.0</v>
      </c>
      <c r="K318" s="7332">
        <v>37.0</v>
      </c>
      <c r="L318" s="7332">
        <v>70.0</v>
      </c>
      <c r="M318" s="7332">
        <v>55.0</v>
      </c>
      <c r="N318" s="7334">
        <v>83.0</v>
      </c>
      <c r="O318" s="7321"/>
      <c r="P318" s="7324"/>
      <c r="Q318" s="7324"/>
      <c r="R318" s="7324"/>
    </row>
    <row r="319" ht="18.75" customHeight="1">
      <c r="A319" s="7316"/>
      <c r="B319" s="7337" t="s">
        <v>546</v>
      </c>
      <c r="C319" s="7338" t="s">
        <v>2388</v>
      </c>
      <c r="D319" s="7339"/>
      <c r="E319" s="7342" t="s">
        <v>1901</v>
      </c>
      <c r="F319" s="7342" t="str">
        <f t="shared" si="24"/>
        <v/>
      </c>
      <c r="G319" s="7342"/>
      <c r="H319" s="7342" t="str">
        <f t="shared" si="25"/>
        <v/>
      </c>
      <c r="I319" s="7338">
        <v>95.0</v>
      </c>
      <c r="J319" s="7338">
        <v>85.0</v>
      </c>
      <c r="K319" s="7338">
        <v>105.0</v>
      </c>
      <c r="L319" s="7338">
        <v>40.0</v>
      </c>
      <c r="M319" s="7338">
        <v>70.0</v>
      </c>
      <c r="N319" s="7340">
        <v>100.0</v>
      </c>
      <c r="O319" s="7321"/>
      <c r="P319" s="7324"/>
      <c r="Q319" s="7324"/>
      <c r="R319" s="7324"/>
    </row>
    <row r="320" ht="18.75" customHeight="1">
      <c r="A320" s="7316"/>
      <c r="B320" s="7331" t="s">
        <v>1804</v>
      </c>
      <c r="C320" s="7332" t="s">
        <v>2389</v>
      </c>
      <c r="D320" s="7333"/>
      <c r="E320" s="7332" t="s">
        <v>1901</v>
      </c>
      <c r="F320" s="7332" t="str">
        <f t="shared" si="24"/>
        <v/>
      </c>
      <c r="G320" s="7332"/>
      <c r="H320" s="7332" t="str">
        <f t="shared" si="25"/>
        <v/>
      </c>
      <c r="I320" s="7332">
        <v>255.0</v>
      </c>
      <c r="J320" s="7332">
        <v>10.0</v>
      </c>
      <c r="K320" s="7332">
        <v>10.0</v>
      </c>
      <c r="L320" s="7332">
        <v>75.0</v>
      </c>
      <c r="M320" s="7332">
        <v>135.0</v>
      </c>
      <c r="N320" s="7334">
        <v>55.0</v>
      </c>
      <c r="O320" s="7321"/>
      <c r="P320" s="7324"/>
      <c r="Q320" s="7324"/>
      <c r="R320" s="7324"/>
    </row>
    <row r="321" ht="18.75" customHeight="1">
      <c r="A321" s="7316"/>
      <c r="B321" s="7337" t="s">
        <v>1830</v>
      </c>
      <c r="C321" s="7338" t="s">
        <v>2390</v>
      </c>
      <c r="D321" s="7339"/>
      <c r="E321" s="7338" t="s">
        <v>1926</v>
      </c>
      <c r="F321" s="7338" t="str">
        <f t="shared" si="24"/>
        <v/>
      </c>
      <c r="G321" s="7338"/>
      <c r="H321" s="7338" t="str">
        <f t="shared" si="25"/>
        <v/>
      </c>
      <c r="I321" s="7338">
        <v>90.0</v>
      </c>
      <c r="J321" s="7338">
        <v>85.0</v>
      </c>
      <c r="K321" s="7338">
        <v>75.0</v>
      </c>
      <c r="L321" s="7338">
        <v>115.0</v>
      </c>
      <c r="M321" s="7338">
        <v>100.0</v>
      </c>
      <c r="N321" s="7340">
        <v>115.0</v>
      </c>
      <c r="O321" s="7321"/>
      <c r="P321" s="7324"/>
      <c r="Q321" s="7324"/>
      <c r="R321" s="7324"/>
    </row>
    <row r="322" ht="18.75" customHeight="1">
      <c r="A322" s="7316"/>
      <c r="B322" s="7331" t="s">
        <v>2391</v>
      </c>
      <c r="C322" s="7332" t="s">
        <v>2392</v>
      </c>
      <c r="D322" s="7333"/>
      <c r="E322" s="7332" t="s">
        <v>1858</v>
      </c>
      <c r="F322" s="7332" t="str">
        <f t="shared" si="24"/>
        <v/>
      </c>
      <c r="G322" s="7332"/>
      <c r="H322" s="7332" t="str">
        <f t="shared" si="25"/>
        <v/>
      </c>
      <c r="I322" s="7332">
        <v>115.0</v>
      </c>
      <c r="J322" s="7332">
        <v>115.0</v>
      </c>
      <c r="K322" s="7332">
        <v>85.0</v>
      </c>
      <c r="L322" s="7332">
        <v>90.0</v>
      </c>
      <c r="M322" s="7332">
        <v>75.0</v>
      </c>
      <c r="N322" s="7334">
        <v>100.0</v>
      </c>
      <c r="O322" s="7321"/>
      <c r="P322" s="7324"/>
      <c r="Q322" s="7324"/>
      <c r="R322" s="7324"/>
    </row>
    <row r="323" ht="18.75" customHeight="1">
      <c r="A323" s="7316"/>
      <c r="B323" s="7337" t="s">
        <v>2393</v>
      </c>
      <c r="C323" s="7338" t="s">
        <v>2394</v>
      </c>
      <c r="D323" s="7339"/>
      <c r="E323" s="7338" t="s">
        <v>1871</v>
      </c>
      <c r="F323" s="7338" t="str">
        <f t="shared" si="24"/>
        <v/>
      </c>
      <c r="G323" s="7338"/>
      <c r="H323" s="7338" t="str">
        <f t="shared" si="25"/>
        <v/>
      </c>
      <c r="I323" s="7338">
        <v>100.0</v>
      </c>
      <c r="J323" s="7338">
        <v>75.0</v>
      </c>
      <c r="K323" s="7338">
        <v>115.0</v>
      </c>
      <c r="L323" s="7338">
        <v>90.0</v>
      </c>
      <c r="M323" s="7338">
        <v>115.0</v>
      </c>
      <c r="N323" s="7340">
        <v>85.0</v>
      </c>
      <c r="O323" s="7321"/>
      <c r="P323" s="7324"/>
      <c r="Q323" s="7324"/>
      <c r="R323" s="7324"/>
    </row>
    <row r="324" ht="18.75" customHeight="1">
      <c r="A324" s="7316"/>
      <c r="B324" s="7331" t="s">
        <v>2395</v>
      </c>
      <c r="C324" s="7332" t="s">
        <v>2396</v>
      </c>
      <c r="D324" s="7333"/>
      <c r="E324" s="7332" t="s">
        <v>2014</v>
      </c>
      <c r="F324" s="7332" t="str">
        <f t="shared" si="24"/>
        <v/>
      </c>
      <c r="G324" s="7332" t="s">
        <v>1948</v>
      </c>
      <c r="H324" s="7332" t="str">
        <f t="shared" si="25"/>
        <v/>
      </c>
      <c r="I324" s="7332">
        <v>50.0</v>
      </c>
      <c r="J324" s="7332">
        <v>64.0</v>
      </c>
      <c r="K324" s="7332">
        <v>50.0</v>
      </c>
      <c r="L324" s="7332">
        <v>45.0</v>
      </c>
      <c r="M324" s="7332">
        <v>50.0</v>
      </c>
      <c r="N324" s="7334">
        <v>41.0</v>
      </c>
      <c r="O324" s="7321"/>
      <c r="P324" s="7324"/>
      <c r="Q324" s="7324"/>
      <c r="R324" s="7324"/>
    </row>
    <row r="325" ht="18.75" customHeight="1">
      <c r="A325" s="7316"/>
      <c r="B325" s="7337" t="s">
        <v>2397</v>
      </c>
      <c r="C325" s="7338" t="s">
        <v>2398</v>
      </c>
      <c r="D325" s="7339"/>
      <c r="E325" s="7342" t="s">
        <v>2014</v>
      </c>
      <c r="F325" s="7342" t="str">
        <f t="shared" si="24"/>
        <v/>
      </c>
      <c r="G325" s="7342" t="s">
        <v>1948</v>
      </c>
      <c r="H325" s="7342" t="str">
        <f t="shared" si="25"/>
        <v/>
      </c>
      <c r="I325" s="7338">
        <v>70.0</v>
      </c>
      <c r="J325" s="7338">
        <v>84.0</v>
      </c>
      <c r="K325" s="7338">
        <v>70.0</v>
      </c>
      <c r="L325" s="7338">
        <v>65.0</v>
      </c>
      <c r="M325" s="7338">
        <v>70.0</v>
      </c>
      <c r="N325" s="7340">
        <v>51.0</v>
      </c>
      <c r="O325" s="7321"/>
      <c r="P325" s="7324"/>
      <c r="Q325" s="7324"/>
      <c r="R325" s="7324"/>
    </row>
    <row r="326" ht="18.75" customHeight="1">
      <c r="A326" s="7316"/>
      <c r="B326" s="7331" t="s">
        <v>417</v>
      </c>
      <c r="C326" s="7332" t="s">
        <v>2399</v>
      </c>
      <c r="D326" s="7333"/>
      <c r="E326" s="7332" t="s">
        <v>2014</v>
      </c>
      <c r="F326" s="7332" t="str">
        <f t="shared" si="24"/>
        <v/>
      </c>
      <c r="G326" s="7332" t="s">
        <v>1911</v>
      </c>
      <c r="H326" s="7332" t="str">
        <f t="shared" si="25"/>
        <v/>
      </c>
      <c r="I326" s="7332">
        <v>100.0</v>
      </c>
      <c r="J326" s="7332">
        <v>134.0</v>
      </c>
      <c r="K326" s="7332">
        <v>110.0</v>
      </c>
      <c r="L326" s="7332">
        <v>95.0</v>
      </c>
      <c r="M326" s="7332">
        <v>100.0</v>
      </c>
      <c r="N326" s="7334">
        <v>61.0</v>
      </c>
      <c r="O326" s="7321"/>
      <c r="P326" s="7324"/>
      <c r="Q326" s="7324"/>
      <c r="R326" s="7324"/>
    </row>
    <row r="327" ht="18.75" customHeight="1">
      <c r="A327" s="7316"/>
      <c r="B327" s="7337" t="s">
        <v>2400</v>
      </c>
      <c r="C327" s="7342" t="s">
        <v>2401</v>
      </c>
      <c r="D327" s="7339"/>
      <c r="E327" s="7338" t="s">
        <v>2014</v>
      </c>
      <c r="F327" s="7338" t="str">
        <f t="shared" si="24"/>
        <v/>
      </c>
      <c r="G327" s="7338" t="s">
        <v>1911</v>
      </c>
      <c r="H327" s="7338" t="str">
        <f t="shared" si="25"/>
        <v/>
      </c>
      <c r="I327" s="7338">
        <v>100.0</v>
      </c>
      <c r="J327" s="7338">
        <v>164.0</v>
      </c>
      <c r="K327" s="7338">
        <v>150.0</v>
      </c>
      <c r="L327" s="7338">
        <v>95.0</v>
      </c>
      <c r="M327" s="7338">
        <v>120.0</v>
      </c>
      <c r="N327" s="7340">
        <v>71.0</v>
      </c>
      <c r="O327" s="7321"/>
      <c r="P327" s="7324"/>
      <c r="Q327" s="7324"/>
      <c r="R327" s="7324"/>
    </row>
    <row r="328" ht="18.75" customHeight="1">
      <c r="A328" s="7316"/>
      <c r="B328" s="7331" t="s">
        <v>2402</v>
      </c>
      <c r="C328" s="7332" t="s">
        <v>2403</v>
      </c>
      <c r="D328" s="7333"/>
      <c r="E328" s="7332" t="s">
        <v>561</v>
      </c>
      <c r="F328" s="7332" t="str">
        <f t="shared" si="24"/>
        <v/>
      </c>
      <c r="G328" s="7332" t="s">
        <v>1863</v>
      </c>
      <c r="H328" s="7332" t="str">
        <f t="shared" si="25"/>
        <v/>
      </c>
      <c r="I328" s="7332">
        <v>106.0</v>
      </c>
      <c r="J328" s="7332">
        <v>90.0</v>
      </c>
      <c r="K328" s="7332">
        <v>130.0</v>
      </c>
      <c r="L328" s="7332">
        <v>90.0</v>
      </c>
      <c r="M328" s="7332">
        <v>154.0</v>
      </c>
      <c r="N328" s="7334">
        <v>110.0</v>
      </c>
      <c r="O328" s="7321"/>
      <c r="P328" s="7324"/>
      <c r="Q328" s="7324"/>
      <c r="R328" s="7324"/>
    </row>
    <row r="329" ht="18.75" customHeight="1">
      <c r="A329" s="7316"/>
      <c r="B329" s="7337" t="s">
        <v>1545</v>
      </c>
      <c r="C329" s="7342" t="s">
        <v>2404</v>
      </c>
      <c r="D329" s="7339"/>
      <c r="E329" s="7342" t="s">
        <v>1858</v>
      </c>
      <c r="F329" s="7342" t="str">
        <f t="shared" si="24"/>
        <v/>
      </c>
      <c r="G329" s="7342" t="s">
        <v>1863</v>
      </c>
      <c r="H329" s="7342" t="str">
        <f t="shared" si="25"/>
        <v/>
      </c>
      <c r="I329" s="7338">
        <v>106.0</v>
      </c>
      <c r="J329" s="7338">
        <v>130.0</v>
      </c>
      <c r="K329" s="7338">
        <v>90.0</v>
      </c>
      <c r="L329" s="7338">
        <v>110.0</v>
      </c>
      <c r="M329" s="7338">
        <v>154.0</v>
      </c>
      <c r="N329" s="7340">
        <v>90.0</v>
      </c>
      <c r="O329" s="7321"/>
      <c r="P329" s="7324"/>
      <c r="Q329" s="7324"/>
      <c r="R329" s="7324"/>
    </row>
    <row r="330" ht="18.75" customHeight="1">
      <c r="A330" s="7316"/>
      <c r="B330" s="7349" t="s">
        <v>1365</v>
      </c>
      <c r="C330" s="7350" t="s">
        <v>2405</v>
      </c>
      <c r="D330" s="7351"/>
      <c r="E330" s="7350" t="s">
        <v>561</v>
      </c>
      <c r="F330" s="7350" t="str">
        <f t="shared" si="24"/>
        <v/>
      </c>
      <c r="G330" s="7350" t="s">
        <v>1848</v>
      </c>
      <c r="H330" s="7350" t="str">
        <f t="shared" si="25"/>
        <v/>
      </c>
      <c r="I330" s="7350">
        <v>100.0</v>
      </c>
      <c r="J330" s="7350">
        <v>100.0</v>
      </c>
      <c r="K330" s="7350">
        <v>100.0</v>
      </c>
      <c r="L330" s="7350">
        <v>100.0</v>
      </c>
      <c r="M330" s="7350">
        <v>100.0</v>
      </c>
      <c r="N330" s="7352">
        <v>100.0</v>
      </c>
      <c r="O330" s="7321"/>
      <c r="P330" s="7324"/>
      <c r="Q330" s="7324"/>
      <c r="R330" s="7324"/>
    </row>
    <row r="331">
      <c r="A331" s="7316"/>
      <c r="B331" s="7315"/>
      <c r="C331" s="7315"/>
      <c r="D331" s="7315"/>
      <c r="E331" s="7315"/>
      <c r="F331" s="7315"/>
      <c r="G331" s="7315"/>
      <c r="H331" s="7315"/>
      <c r="I331" s="7315"/>
      <c r="J331" s="7315"/>
      <c r="K331" s="7315"/>
      <c r="L331" s="7315"/>
      <c r="M331" s="7315"/>
      <c r="N331" s="7315"/>
      <c r="O331" s="7316"/>
      <c r="P331" s="7316"/>
      <c r="Q331" s="7315"/>
      <c r="R331" s="7324"/>
    </row>
    <row r="332">
      <c r="A332" s="7316"/>
      <c r="B332" s="7317" t="s">
        <v>2406</v>
      </c>
      <c r="C332" s="7353"/>
      <c r="D332" s="7353"/>
      <c r="E332" s="7353"/>
      <c r="F332" s="7353"/>
      <c r="G332" s="7353"/>
      <c r="H332" s="7354"/>
      <c r="I332" s="7319" t="s">
        <v>192</v>
      </c>
      <c r="J332" s="7319" t="s">
        <v>193</v>
      </c>
      <c r="K332" s="7319" t="s">
        <v>194</v>
      </c>
      <c r="L332" s="7319" t="s">
        <v>195</v>
      </c>
      <c r="M332" s="7319" t="s">
        <v>196</v>
      </c>
      <c r="N332" s="7320" t="s">
        <v>197</v>
      </c>
      <c r="O332" s="7321"/>
      <c r="P332" s="7324"/>
      <c r="Q332" s="7324"/>
      <c r="R332" s="7324"/>
    </row>
    <row r="333" ht="18.75" customHeight="1">
      <c r="A333" s="7316"/>
      <c r="B333" s="7355" t="s">
        <v>700</v>
      </c>
      <c r="C333" s="7356" t="s">
        <v>2407</v>
      </c>
      <c r="D333" s="7357"/>
      <c r="E333" s="7361" t="s">
        <v>1848</v>
      </c>
      <c r="F333" s="7361" t="str">
        <f t="shared" ref="F333:F477" si="26">IFERROR(VLOOKUP(E333,P$3:Q350,2,False),"")</f>
        <v/>
      </c>
      <c r="G333" s="7361"/>
      <c r="H333" s="7361" t="str">
        <f t="shared" ref="H333:H477" si="27">IFERROR(VLOOKUP(G333,P$3:Q350,2,False),"")</f>
        <v/>
      </c>
      <c r="I333" s="7358">
        <v>40.0</v>
      </c>
      <c r="J333" s="7358">
        <v>45.0</v>
      </c>
      <c r="K333" s="7358">
        <v>35.0</v>
      </c>
      <c r="L333" s="7358">
        <v>65.0</v>
      </c>
      <c r="M333" s="7358">
        <v>55.0</v>
      </c>
      <c r="N333" s="7359">
        <v>70.0</v>
      </c>
      <c r="O333" s="7321"/>
      <c r="P333" s="7324"/>
      <c r="Q333" s="7324"/>
      <c r="R333" s="7324"/>
    </row>
    <row r="334" ht="18.75" customHeight="1">
      <c r="A334" s="7316"/>
      <c r="B334" s="7331" t="s">
        <v>732</v>
      </c>
      <c r="C334" s="7332" t="s">
        <v>2408</v>
      </c>
      <c r="D334" s="7333"/>
      <c r="E334" s="7332" t="s">
        <v>1848</v>
      </c>
      <c r="F334" s="7332" t="str">
        <f t="shared" si="26"/>
        <v/>
      </c>
      <c r="G334" s="7332"/>
      <c r="H334" s="7332" t="str">
        <f t="shared" si="27"/>
        <v/>
      </c>
      <c r="I334" s="7332">
        <v>50.0</v>
      </c>
      <c r="J334" s="7332">
        <v>65.0</v>
      </c>
      <c r="K334" s="7332">
        <v>45.0</v>
      </c>
      <c r="L334" s="7332">
        <v>85.0</v>
      </c>
      <c r="M334" s="7332">
        <v>65.0</v>
      </c>
      <c r="N334" s="7334">
        <v>95.0</v>
      </c>
      <c r="O334" s="7321"/>
      <c r="P334" s="7324"/>
      <c r="Q334" s="7324"/>
      <c r="R334" s="7324"/>
    </row>
    <row r="335" ht="18.75" customHeight="1">
      <c r="A335" s="7316"/>
      <c r="B335" s="7337" t="s">
        <v>2409</v>
      </c>
      <c r="C335" s="7338" t="s">
        <v>2410</v>
      </c>
      <c r="D335" s="7339"/>
      <c r="E335" s="7338" t="s">
        <v>1848</v>
      </c>
      <c r="F335" s="7338" t="str">
        <f t="shared" si="26"/>
        <v/>
      </c>
      <c r="G335" s="7342" t="s">
        <v>1866</v>
      </c>
      <c r="H335" s="7338" t="str">
        <f t="shared" si="27"/>
        <v/>
      </c>
      <c r="I335" s="7338">
        <v>70.0</v>
      </c>
      <c r="J335" s="7338">
        <v>105.0</v>
      </c>
      <c r="K335" s="7338">
        <v>65.0</v>
      </c>
      <c r="L335" s="7338">
        <v>85.0</v>
      </c>
      <c r="M335" s="7338">
        <v>85.0</v>
      </c>
      <c r="N335" s="7340">
        <v>120.0</v>
      </c>
      <c r="O335" s="7321"/>
      <c r="P335" s="7324"/>
      <c r="Q335" s="7324"/>
      <c r="R335" s="7324"/>
    </row>
    <row r="336" ht="18.75" customHeight="1">
      <c r="A336" s="7316"/>
      <c r="B336" s="7331" t="s">
        <v>762</v>
      </c>
      <c r="C336" s="7341" t="s">
        <v>2411</v>
      </c>
      <c r="D336" s="7333"/>
      <c r="E336" s="7332" t="s">
        <v>1848</v>
      </c>
      <c r="F336" s="7332" t="str">
        <f t="shared" si="26"/>
        <v/>
      </c>
      <c r="G336" s="7332" t="s">
        <v>1866</v>
      </c>
      <c r="H336" s="7332" t="str">
        <f t="shared" si="27"/>
        <v/>
      </c>
      <c r="I336" s="7332">
        <v>70.0</v>
      </c>
      <c r="J336" s="7332">
        <v>135.0</v>
      </c>
      <c r="K336" s="7332">
        <v>75.0</v>
      </c>
      <c r="L336" s="7332">
        <v>110.0</v>
      </c>
      <c r="M336" s="7332">
        <v>85.0</v>
      </c>
      <c r="N336" s="7334">
        <v>145.0</v>
      </c>
      <c r="O336" s="7321"/>
      <c r="P336" s="7324"/>
      <c r="Q336" s="7324"/>
      <c r="R336" s="7324"/>
    </row>
    <row r="337" ht="18.75" customHeight="1">
      <c r="A337" s="7316"/>
      <c r="B337" s="7337" t="s">
        <v>2412</v>
      </c>
      <c r="C337" s="7338" t="s">
        <v>2413</v>
      </c>
      <c r="D337" s="7339"/>
      <c r="E337" s="7338" t="s">
        <v>1858</v>
      </c>
      <c r="F337" s="7338" t="str">
        <f t="shared" si="26"/>
        <v/>
      </c>
      <c r="G337" s="7338"/>
      <c r="H337" s="7338" t="str">
        <f t="shared" si="27"/>
        <v/>
      </c>
      <c r="I337" s="7338">
        <v>45.0</v>
      </c>
      <c r="J337" s="7338">
        <v>60.0</v>
      </c>
      <c r="K337" s="7338">
        <v>40.0</v>
      </c>
      <c r="L337" s="7338">
        <v>70.0</v>
      </c>
      <c r="M337" s="7338">
        <v>50.0</v>
      </c>
      <c r="N337" s="7340">
        <v>45.0</v>
      </c>
      <c r="O337" s="7321"/>
      <c r="P337" s="7324"/>
      <c r="Q337" s="7324"/>
      <c r="R337" s="7324"/>
    </row>
    <row r="338" ht="18.75" customHeight="1">
      <c r="A338" s="7316"/>
      <c r="B338" s="7331" t="s">
        <v>2414</v>
      </c>
      <c r="C338" s="7332" t="s">
        <v>2415</v>
      </c>
      <c r="D338" s="7333"/>
      <c r="E338" s="7332" t="s">
        <v>1858</v>
      </c>
      <c r="F338" s="7332" t="str">
        <f t="shared" si="26"/>
        <v/>
      </c>
      <c r="G338" s="7332" t="s">
        <v>1939</v>
      </c>
      <c r="H338" s="7332" t="str">
        <f t="shared" si="27"/>
        <v/>
      </c>
      <c r="I338" s="7332">
        <v>60.0</v>
      </c>
      <c r="J338" s="7332">
        <v>85.0</v>
      </c>
      <c r="K338" s="7332">
        <v>60.0</v>
      </c>
      <c r="L338" s="7332">
        <v>85.0</v>
      </c>
      <c r="M338" s="7332">
        <v>60.0</v>
      </c>
      <c r="N338" s="7334">
        <v>55.0</v>
      </c>
      <c r="O338" s="7321"/>
      <c r="P338" s="7324"/>
      <c r="Q338" s="7324"/>
      <c r="R338" s="7324"/>
    </row>
    <row r="339" ht="18.75" customHeight="1">
      <c r="A339" s="7316"/>
      <c r="B339" s="7337" t="s">
        <v>2416</v>
      </c>
      <c r="C339" s="7338" t="s">
        <v>2417</v>
      </c>
      <c r="D339" s="7339"/>
      <c r="E339" s="7342" t="s">
        <v>1858</v>
      </c>
      <c r="F339" s="7342" t="str">
        <f t="shared" si="26"/>
        <v/>
      </c>
      <c r="G339" s="7342" t="s">
        <v>1939</v>
      </c>
      <c r="H339" s="7342" t="str">
        <f t="shared" si="27"/>
        <v/>
      </c>
      <c r="I339" s="7338">
        <v>80.0</v>
      </c>
      <c r="J339" s="7338">
        <v>120.0</v>
      </c>
      <c r="K339" s="7338">
        <v>70.0</v>
      </c>
      <c r="L339" s="7338">
        <v>110.0</v>
      </c>
      <c r="M339" s="7338">
        <v>70.0</v>
      </c>
      <c r="N339" s="7340">
        <v>80.0</v>
      </c>
      <c r="O339" s="7321"/>
      <c r="P339" s="7324"/>
      <c r="Q339" s="7324"/>
      <c r="R339" s="7324"/>
    </row>
    <row r="340" ht="18.75" customHeight="1">
      <c r="A340" s="7316"/>
      <c r="B340" s="7331" t="s">
        <v>778</v>
      </c>
      <c r="C340" s="7341" t="s">
        <v>2418</v>
      </c>
      <c r="D340" s="7333"/>
      <c r="E340" s="7332" t="s">
        <v>1858</v>
      </c>
      <c r="F340" s="7332" t="str">
        <f t="shared" si="26"/>
        <v/>
      </c>
      <c r="G340" s="7332" t="s">
        <v>1939</v>
      </c>
      <c r="H340" s="7332" t="str">
        <f t="shared" si="27"/>
        <v/>
      </c>
      <c r="I340" s="7332">
        <v>80.0</v>
      </c>
      <c r="J340" s="7332">
        <v>160.0</v>
      </c>
      <c r="K340" s="7332">
        <v>80.0</v>
      </c>
      <c r="L340" s="7332">
        <v>130.0</v>
      </c>
      <c r="M340" s="7332">
        <v>80.0</v>
      </c>
      <c r="N340" s="7334">
        <v>100.0</v>
      </c>
      <c r="O340" s="7321"/>
      <c r="P340" s="7324"/>
      <c r="Q340" s="7324"/>
      <c r="R340" s="7324"/>
    </row>
    <row r="341" ht="18.75" customHeight="1">
      <c r="A341" s="7316"/>
      <c r="B341" s="7337" t="s">
        <v>2419</v>
      </c>
      <c r="C341" s="7338" t="s">
        <v>2420</v>
      </c>
      <c r="D341" s="7339"/>
      <c r="E341" s="7338" t="s">
        <v>1871</v>
      </c>
      <c r="F341" s="7338" t="str">
        <f t="shared" si="26"/>
        <v/>
      </c>
      <c r="G341" s="7338"/>
      <c r="H341" s="7338" t="str">
        <f t="shared" si="27"/>
        <v/>
      </c>
      <c r="I341" s="7338">
        <v>50.0</v>
      </c>
      <c r="J341" s="7338">
        <v>70.0</v>
      </c>
      <c r="K341" s="7338">
        <v>50.0</v>
      </c>
      <c r="L341" s="7338">
        <v>50.0</v>
      </c>
      <c r="M341" s="7338">
        <v>50.0</v>
      </c>
      <c r="N341" s="7340">
        <v>40.0</v>
      </c>
      <c r="O341" s="7321"/>
      <c r="P341" s="7324"/>
      <c r="Q341" s="7324"/>
      <c r="R341" s="7324"/>
    </row>
    <row r="342" ht="18.75" customHeight="1">
      <c r="A342" s="7316"/>
      <c r="B342" s="7331" t="s">
        <v>2421</v>
      </c>
      <c r="C342" s="7332" t="s">
        <v>2422</v>
      </c>
      <c r="D342" s="7333"/>
      <c r="E342" s="7332" t="s">
        <v>1871</v>
      </c>
      <c r="F342" s="7332" t="str">
        <f t="shared" si="26"/>
        <v/>
      </c>
      <c r="G342" s="7332" t="s">
        <v>1948</v>
      </c>
      <c r="H342" s="7332" t="str">
        <f t="shared" si="27"/>
        <v/>
      </c>
      <c r="I342" s="7332">
        <v>70.0</v>
      </c>
      <c r="J342" s="7332">
        <v>85.0</v>
      </c>
      <c r="K342" s="7332">
        <v>70.0</v>
      </c>
      <c r="L342" s="7332">
        <v>60.0</v>
      </c>
      <c r="M342" s="7332">
        <v>70.0</v>
      </c>
      <c r="N342" s="7334">
        <v>50.0</v>
      </c>
      <c r="O342" s="7321"/>
      <c r="P342" s="7324"/>
      <c r="Q342" s="7324"/>
      <c r="R342" s="7324"/>
    </row>
    <row r="343" ht="18.75" customHeight="1">
      <c r="A343" s="7316"/>
      <c r="B343" s="7337" t="s">
        <v>1193</v>
      </c>
      <c r="C343" s="7338" t="s">
        <v>2423</v>
      </c>
      <c r="D343" s="7339"/>
      <c r="E343" s="7338" t="s">
        <v>1871</v>
      </c>
      <c r="F343" s="7338" t="str">
        <f t="shared" si="26"/>
        <v/>
      </c>
      <c r="G343" s="7338" t="s">
        <v>1948</v>
      </c>
      <c r="H343" s="7338" t="str">
        <f t="shared" si="27"/>
        <v/>
      </c>
      <c r="I343" s="7338">
        <v>100.0</v>
      </c>
      <c r="J343" s="7338">
        <v>110.0</v>
      </c>
      <c r="K343" s="7338">
        <v>90.0</v>
      </c>
      <c r="L343" s="7338">
        <v>85.0</v>
      </c>
      <c r="M343" s="7338">
        <v>90.0</v>
      </c>
      <c r="N343" s="7340">
        <v>60.0</v>
      </c>
      <c r="O343" s="7321"/>
      <c r="P343" s="7324"/>
      <c r="Q343" s="7324"/>
      <c r="R343" s="7324"/>
    </row>
    <row r="344" ht="18.75" customHeight="1">
      <c r="A344" s="7316"/>
      <c r="B344" s="7331" t="s">
        <v>1329</v>
      </c>
      <c r="C344" s="7341" t="s">
        <v>2424</v>
      </c>
      <c r="D344" s="7333"/>
      <c r="E344" s="7332" t="s">
        <v>1871</v>
      </c>
      <c r="F344" s="7332" t="str">
        <f t="shared" si="26"/>
        <v/>
      </c>
      <c r="G344" s="7332" t="s">
        <v>1948</v>
      </c>
      <c r="H344" s="7332" t="str">
        <f t="shared" si="27"/>
        <v/>
      </c>
      <c r="I344" s="7332">
        <v>100.0</v>
      </c>
      <c r="J344" s="7332">
        <v>150.0</v>
      </c>
      <c r="K344" s="7332">
        <v>110.0</v>
      </c>
      <c r="L344" s="7332">
        <v>95.0</v>
      </c>
      <c r="M344" s="7332">
        <v>110.0</v>
      </c>
      <c r="N344" s="7334">
        <v>70.0</v>
      </c>
      <c r="O344" s="7321"/>
      <c r="P344" s="7324"/>
      <c r="Q344" s="7324"/>
      <c r="R344" s="7324"/>
    </row>
    <row r="345" ht="18.75" customHeight="1">
      <c r="A345" s="7316"/>
      <c r="B345" s="7337" t="s">
        <v>2425</v>
      </c>
      <c r="C345" s="7338" t="s">
        <v>2426</v>
      </c>
      <c r="D345" s="7339"/>
      <c r="E345" s="7338" t="s">
        <v>1911</v>
      </c>
      <c r="F345" s="7338" t="str">
        <f t="shared" si="26"/>
        <v/>
      </c>
      <c r="G345" s="7338"/>
      <c r="H345" s="7338" t="str">
        <f t="shared" si="27"/>
        <v/>
      </c>
      <c r="I345" s="7338">
        <v>35.0</v>
      </c>
      <c r="J345" s="7338">
        <v>55.0</v>
      </c>
      <c r="K345" s="7338">
        <v>35.0</v>
      </c>
      <c r="L345" s="7338">
        <v>30.0</v>
      </c>
      <c r="M345" s="7338">
        <v>30.0</v>
      </c>
      <c r="N345" s="7340">
        <v>35.0</v>
      </c>
      <c r="O345" s="7321"/>
      <c r="P345" s="7324"/>
      <c r="Q345" s="7324"/>
      <c r="R345" s="7324"/>
    </row>
    <row r="346" ht="18.75" customHeight="1">
      <c r="A346" s="7316"/>
      <c r="B346" s="7331" t="s">
        <v>817</v>
      </c>
      <c r="C346" s="7332" t="s">
        <v>2427</v>
      </c>
      <c r="D346" s="7333"/>
      <c r="E346" s="7332" t="s">
        <v>1911</v>
      </c>
      <c r="F346" s="7332" t="str">
        <f t="shared" si="26"/>
        <v/>
      </c>
      <c r="G346" s="7332"/>
      <c r="H346" s="7332" t="str">
        <f t="shared" si="27"/>
        <v/>
      </c>
      <c r="I346" s="7332">
        <v>70.0</v>
      </c>
      <c r="J346" s="7332">
        <v>95.0</v>
      </c>
      <c r="K346" s="7332">
        <v>70.0</v>
      </c>
      <c r="L346" s="7332">
        <v>60.0</v>
      </c>
      <c r="M346" s="7332">
        <v>60.0</v>
      </c>
      <c r="N346" s="7334">
        <v>70.0</v>
      </c>
      <c r="O346" s="7321"/>
      <c r="P346" s="7324"/>
      <c r="Q346" s="7324"/>
      <c r="R346" s="7324"/>
    </row>
    <row r="347" ht="18.75" customHeight="1">
      <c r="A347" s="7316"/>
      <c r="B347" s="7337" t="s">
        <v>2428</v>
      </c>
      <c r="C347" s="7338" t="s">
        <v>2429</v>
      </c>
      <c r="D347" s="7339"/>
      <c r="E347" s="7338" t="s">
        <v>1901</v>
      </c>
      <c r="F347" s="7338" t="str">
        <f t="shared" si="26"/>
        <v/>
      </c>
      <c r="G347" s="7338"/>
      <c r="H347" s="7338" t="str">
        <f t="shared" si="27"/>
        <v/>
      </c>
      <c r="I347" s="7338">
        <v>38.0</v>
      </c>
      <c r="J347" s="7338">
        <v>30.0</v>
      </c>
      <c r="K347" s="7338">
        <v>41.0</v>
      </c>
      <c r="L347" s="7338">
        <v>30.0</v>
      </c>
      <c r="M347" s="7338">
        <v>41.0</v>
      </c>
      <c r="N347" s="7340">
        <v>60.0</v>
      </c>
      <c r="O347" s="7321"/>
      <c r="P347" s="7324"/>
      <c r="Q347" s="7324"/>
      <c r="R347" s="7324"/>
    </row>
    <row r="348" ht="18.75" customHeight="1">
      <c r="A348" s="7316"/>
      <c r="B348" s="7331" t="s">
        <v>2430</v>
      </c>
      <c r="C348" s="7341" t="s">
        <v>2431</v>
      </c>
      <c r="D348" s="7333"/>
      <c r="E348" s="7341" t="s">
        <v>1911</v>
      </c>
      <c r="F348" s="7341" t="str">
        <f t="shared" si="26"/>
        <v/>
      </c>
      <c r="G348" s="7341" t="s">
        <v>1901</v>
      </c>
      <c r="H348" s="7341" t="str">
        <f t="shared" si="27"/>
        <v/>
      </c>
      <c r="I348" s="7332">
        <v>38.0</v>
      </c>
      <c r="J348" s="7332">
        <v>30.0</v>
      </c>
      <c r="K348" s="7332">
        <v>41.0</v>
      </c>
      <c r="L348" s="7332">
        <v>30.0</v>
      </c>
      <c r="M348" s="7332">
        <v>41.0</v>
      </c>
      <c r="N348" s="7334">
        <v>60.0</v>
      </c>
      <c r="O348" s="7321"/>
      <c r="P348" s="7324"/>
      <c r="Q348" s="7324"/>
      <c r="R348" s="7324"/>
    </row>
    <row r="349" ht="18.75" customHeight="1">
      <c r="A349" s="7316"/>
      <c r="B349" s="7337" t="s">
        <v>2432</v>
      </c>
      <c r="C349" s="7338" t="s">
        <v>2433</v>
      </c>
      <c r="D349" s="7339"/>
      <c r="E349" s="7338" t="s">
        <v>1901</v>
      </c>
      <c r="F349" s="7338" t="str">
        <f t="shared" si="26"/>
        <v/>
      </c>
      <c r="G349" s="7338"/>
      <c r="H349" s="7338" t="str">
        <f t="shared" si="27"/>
        <v/>
      </c>
      <c r="I349" s="7338">
        <v>85.0</v>
      </c>
      <c r="J349" s="7338">
        <v>85.0</v>
      </c>
      <c r="K349" s="7338">
        <v>61.0</v>
      </c>
      <c r="L349" s="7338">
        <v>50.0</v>
      </c>
      <c r="M349" s="7338">
        <v>61.0</v>
      </c>
      <c r="N349" s="7340">
        <v>100.0</v>
      </c>
      <c r="O349" s="7321"/>
      <c r="P349" s="7324"/>
      <c r="Q349" s="7324"/>
      <c r="R349" s="7324"/>
    </row>
    <row r="350" ht="18.75" customHeight="1">
      <c r="A350" s="7316"/>
      <c r="B350" s="7331" t="s">
        <v>2434</v>
      </c>
      <c r="C350" s="7341" t="s">
        <v>2435</v>
      </c>
      <c r="D350" s="7333"/>
      <c r="E350" s="7341" t="s">
        <v>1911</v>
      </c>
      <c r="F350" s="7341" t="str">
        <f t="shared" si="26"/>
        <v/>
      </c>
      <c r="G350" s="7341" t="s">
        <v>1901</v>
      </c>
      <c r="H350" s="7341" t="str">
        <f t="shared" si="27"/>
        <v/>
      </c>
      <c r="I350" s="7332">
        <v>78.0</v>
      </c>
      <c r="J350" s="7332">
        <v>70.0</v>
      </c>
      <c r="K350" s="7332">
        <v>61.0</v>
      </c>
      <c r="L350" s="7332">
        <v>50.0</v>
      </c>
      <c r="M350" s="7332">
        <v>61.0</v>
      </c>
      <c r="N350" s="7334">
        <v>100.0</v>
      </c>
      <c r="O350" s="7321"/>
      <c r="P350" s="7324"/>
      <c r="Q350" s="7324"/>
      <c r="R350" s="7324"/>
    </row>
    <row r="351" ht="18.75" customHeight="1">
      <c r="A351" s="7316"/>
      <c r="B351" s="7337" t="s">
        <v>2436</v>
      </c>
      <c r="C351" s="7338" t="s">
        <v>2437</v>
      </c>
      <c r="D351" s="7339"/>
      <c r="E351" s="7338" t="s">
        <v>1882</v>
      </c>
      <c r="F351" s="7338" t="str">
        <f t="shared" si="26"/>
        <v/>
      </c>
      <c r="G351" s="7338"/>
      <c r="H351" s="7338" t="str">
        <f t="shared" si="27"/>
        <v/>
      </c>
      <c r="I351" s="7338">
        <v>45.0</v>
      </c>
      <c r="J351" s="7338">
        <v>45.0</v>
      </c>
      <c r="K351" s="7338">
        <v>35.0</v>
      </c>
      <c r="L351" s="7338">
        <v>20.0</v>
      </c>
      <c r="M351" s="7338">
        <v>30.0</v>
      </c>
      <c r="N351" s="7340">
        <v>20.0</v>
      </c>
      <c r="O351" s="7321"/>
      <c r="P351" s="7324"/>
      <c r="Q351" s="7324"/>
      <c r="R351" s="7324"/>
    </row>
    <row r="352" ht="18.75" customHeight="1">
      <c r="A352" s="7316"/>
      <c r="B352" s="7331" t="s">
        <v>2438</v>
      </c>
      <c r="C352" s="7332" t="s">
        <v>2439</v>
      </c>
      <c r="D352" s="7333"/>
      <c r="E352" s="7341" t="s">
        <v>1882</v>
      </c>
      <c r="F352" s="7341" t="str">
        <f t="shared" si="26"/>
        <v/>
      </c>
      <c r="G352" s="7341"/>
      <c r="H352" s="7341" t="str">
        <f t="shared" si="27"/>
        <v/>
      </c>
      <c r="I352" s="7332">
        <v>50.0</v>
      </c>
      <c r="J352" s="7332">
        <v>35.0</v>
      </c>
      <c r="K352" s="7332">
        <v>55.0</v>
      </c>
      <c r="L352" s="7332">
        <v>25.0</v>
      </c>
      <c r="M352" s="7332">
        <v>25.0</v>
      </c>
      <c r="N352" s="7334">
        <v>15.0</v>
      </c>
      <c r="O352" s="7321"/>
      <c r="P352" s="7324"/>
      <c r="Q352" s="7324"/>
      <c r="R352" s="7324"/>
    </row>
    <row r="353" ht="18.75" customHeight="1">
      <c r="A353" s="7316"/>
      <c r="B353" s="7337" t="s">
        <v>2440</v>
      </c>
      <c r="C353" s="7338" t="s">
        <v>2441</v>
      </c>
      <c r="D353" s="7339"/>
      <c r="E353" s="7342" t="s">
        <v>1882</v>
      </c>
      <c r="F353" s="7342" t="str">
        <f t="shared" si="26"/>
        <v/>
      </c>
      <c r="G353" s="7342" t="s">
        <v>1863</v>
      </c>
      <c r="H353" s="7342" t="str">
        <f t="shared" si="27"/>
        <v/>
      </c>
      <c r="I353" s="7338">
        <v>60.0</v>
      </c>
      <c r="J353" s="7338">
        <v>60.0</v>
      </c>
      <c r="K353" s="7338">
        <v>50.0</v>
      </c>
      <c r="L353" s="7338">
        <v>105.0</v>
      </c>
      <c r="M353" s="7338">
        <v>50.0</v>
      </c>
      <c r="N353" s="7340">
        <v>75.0</v>
      </c>
      <c r="O353" s="7321"/>
      <c r="P353" s="7324"/>
      <c r="Q353" s="7324"/>
      <c r="R353" s="7324"/>
    </row>
    <row r="354" ht="18.75" customHeight="1">
      <c r="A354" s="7316"/>
      <c r="B354" s="7331" t="s">
        <v>2442</v>
      </c>
      <c r="C354" s="7332" t="s">
        <v>2443</v>
      </c>
      <c r="D354" s="7333"/>
      <c r="E354" s="7332" t="s">
        <v>1882</v>
      </c>
      <c r="F354" s="7332" t="str">
        <f t="shared" si="26"/>
        <v/>
      </c>
      <c r="G354" s="7332"/>
      <c r="H354" s="7332" t="str">
        <f t="shared" si="27"/>
        <v/>
      </c>
      <c r="I354" s="7332">
        <v>50.0</v>
      </c>
      <c r="J354" s="7332">
        <v>35.0</v>
      </c>
      <c r="K354" s="7332">
        <v>55.0</v>
      </c>
      <c r="L354" s="7332">
        <v>25.0</v>
      </c>
      <c r="M354" s="7332">
        <v>25.0</v>
      </c>
      <c r="N354" s="7334">
        <v>15.0</v>
      </c>
      <c r="O354" s="7321"/>
      <c r="P354" s="7324"/>
      <c r="Q354" s="7324"/>
      <c r="R354" s="7324"/>
    </row>
    <row r="355" ht="18.75" customHeight="1">
      <c r="A355" s="7316"/>
      <c r="B355" s="7337" t="s">
        <v>2444</v>
      </c>
      <c r="C355" s="7338" t="s">
        <v>2445</v>
      </c>
      <c r="D355" s="7339"/>
      <c r="E355" s="7342" t="s">
        <v>1882</v>
      </c>
      <c r="F355" s="7342" t="str">
        <f t="shared" si="26"/>
        <v/>
      </c>
      <c r="G355" s="7342" t="s">
        <v>1849</v>
      </c>
      <c r="H355" s="7342" t="str">
        <f t="shared" si="27"/>
        <v/>
      </c>
      <c r="I355" s="7338">
        <v>80.0</v>
      </c>
      <c r="J355" s="7338">
        <v>40.0</v>
      </c>
      <c r="K355" s="7338">
        <v>70.0</v>
      </c>
      <c r="L355" s="7338">
        <v>60.0</v>
      </c>
      <c r="M355" s="7338">
        <v>90.0</v>
      </c>
      <c r="N355" s="7340">
        <v>65.0</v>
      </c>
      <c r="O355" s="7321"/>
      <c r="P355" s="7324"/>
      <c r="Q355" s="7324"/>
      <c r="R355" s="7324"/>
    </row>
    <row r="356" ht="18.75" customHeight="1">
      <c r="A356" s="7316"/>
      <c r="B356" s="7331" t="s">
        <v>2446</v>
      </c>
      <c r="C356" s="7332" t="s">
        <v>2447</v>
      </c>
      <c r="D356" s="7333"/>
      <c r="E356" s="7332" t="s">
        <v>1871</v>
      </c>
      <c r="F356" s="7332" t="str">
        <f t="shared" si="26"/>
        <v/>
      </c>
      <c r="G356" s="7332" t="s">
        <v>1848</v>
      </c>
      <c r="H356" s="7332" t="str">
        <f t="shared" si="27"/>
        <v/>
      </c>
      <c r="I356" s="7332">
        <v>40.0</v>
      </c>
      <c r="J356" s="7332">
        <v>30.0</v>
      </c>
      <c r="K356" s="7332">
        <v>30.0</v>
      </c>
      <c r="L356" s="7332">
        <v>40.0</v>
      </c>
      <c r="M356" s="7332">
        <v>50.0</v>
      </c>
      <c r="N356" s="7334">
        <v>30.0</v>
      </c>
      <c r="O356" s="7321"/>
      <c r="P356" s="7324"/>
      <c r="Q356" s="7324"/>
      <c r="R356" s="7324"/>
    </row>
    <row r="357" ht="18.75" customHeight="1">
      <c r="A357" s="7316"/>
      <c r="B357" s="7337" t="s">
        <v>2448</v>
      </c>
      <c r="C357" s="7338" t="s">
        <v>2449</v>
      </c>
      <c r="D357" s="7339"/>
      <c r="E357" s="7338" t="s">
        <v>1871</v>
      </c>
      <c r="F357" s="7338" t="str">
        <f t="shared" si="26"/>
        <v/>
      </c>
      <c r="G357" s="7338" t="s">
        <v>1848</v>
      </c>
      <c r="H357" s="7338" t="str">
        <f t="shared" si="27"/>
        <v/>
      </c>
      <c r="I357" s="7338">
        <v>60.0</v>
      </c>
      <c r="J357" s="7338">
        <v>50.0</v>
      </c>
      <c r="K357" s="7338">
        <v>50.0</v>
      </c>
      <c r="L357" s="7338">
        <v>60.0</v>
      </c>
      <c r="M357" s="7338">
        <v>70.0</v>
      </c>
      <c r="N357" s="7340">
        <v>50.0</v>
      </c>
      <c r="O357" s="7321"/>
      <c r="P357" s="7324"/>
      <c r="Q357" s="7324"/>
      <c r="R357" s="7324"/>
    </row>
    <row r="358" ht="18.75" customHeight="1">
      <c r="A358" s="7316"/>
      <c r="B358" s="7331" t="s">
        <v>2450</v>
      </c>
      <c r="C358" s="7332" t="s">
        <v>2451</v>
      </c>
      <c r="D358" s="7333"/>
      <c r="E358" s="7332" t="s">
        <v>1871</v>
      </c>
      <c r="F358" s="7332" t="str">
        <f t="shared" si="26"/>
        <v/>
      </c>
      <c r="G358" s="7332" t="s">
        <v>1848</v>
      </c>
      <c r="H358" s="7332" t="str">
        <f t="shared" si="27"/>
        <v/>
      </c>
      <c r="I358" s="7332">
        <v>80.0</v>
      </c>
      <c r="J358" s="7332">
        <v>70.0</v>
      </c>
      <c r="K358" s="7332">
        <v>70.0</v>
      </c>
      <c r="L358" s="7332">
        <v>100.0</v>
      </c>
      <c r="M358" s="7332">
        <v>100.0</v>
      </c>
      <c r="N358" s="7334">
        <v>70.0</v>
      </c>
      <c r="O358" s="7321"/>
      <c r="P358" s="7324"/>
      <c r="Q358" s="7324"/>
      <c r="R358" s="7324"/>
    </row>
    <row r="359" ht="18.75" customHeight="1">
      <c r="A359" s="7316"/>
      <c r="B359" s="7337" t="s">
        <v>2452</v>
      </c>
      <c r="C359" s="7338" t="s">
        <v>2453</v>
      </c>
      <c r="D359" s="7339"/>
      <c r="E359" s="7338" t="s">
        <v>1848</v>
      </c>
      <c r="F359" s="7338" t="str">
        <f t="shared" si="26"/>
        <v/>
      </c>
      <c r="G359" s="7338"/>
      <c r="H359" s="7338" t="str">
        <f t="shared" si="27"/>
        <v/>
      </c>
      <c r="I359" s="7338">
        <v>40.0</v>
      </c>
      <c r="J359" s="7338">
        <v>40.0</v>
      </c>
      <c r="K359" s="7338">
        <v>50.0</v>
      </c>
      <c r="L359" s="7338">
        <v>30.0</v>
      </c>
      <c r="M359" s="7338">
        <v>30.0</v>
      </c>
      <c r="N359" s="7340">
        <v>30.0</v>
      </c>
      <c r="O359" s="7321"/>
      <c r="P359" s="7324"/>
      <c r="Q359" s="7324"/>
      <c r="R359" s="7324"/>
    </row>
    <row r="360" ht="18.75" customHeight="1">
      <c r="A360" s="7316"/>
      <c r="B360" s="7331" t="s">
        <v>2454</v>
      </c>
      <c r="C360" s="7332" t="s">
        <v>2455</v>
      </c>
      <c r="D360" s="7333"/>
      <c r="E360" s="7332" t="s">
        <v>1848</v>
      </c>
      <c r="F360" s="7332" t="str">
        <f t="shared" si="26"/>
        <v/>
      </c>
      <c r="G360" s="7332" t="s">
        <v>1911</v>
      </c>
      <c r="H360" s="7332" t="str">
        <f t="shared" si="27"/>
        <v/>
      </c>
      <c r="I360" s="7332">
        <v>70.0</v>
      </c>
      <c r="J360" s="7332">
        <v>70.0</v>
      </c>
      <c r="K360" s="7332">
        <v>40.0</v>
      </c>
      <c r="L360" s="7332">
        <v>60.0</v>
      </c>
      <c r="M360" s="7332">
        <v>40.0</v>
      </c>
      <c r="N360" s="7334">
        <v>60.0</v>
      </c>
      <c r="O360" s="7321"/>
      <c r="P360" s="7324"/>
      <c r="Q360" s="7324"/>
      <c r="R360" s="7324"/>
    </row>
    <row r="361" ht="18.75" customHeight="1">
      <c r="A361" s="7316"/>
      <c r="B361" s="7337" t="s">
        <v>879</v>
      </c>
      <c r="C361" s="7338" t="s">
        <v>2456</v>
      </c>
      <c r="D361" s="7339"/>
      <c r="E361" s="7342" t="s">
        <v>1848</v>
      </c>
      <c r="F361" s="7342" t="str">
        <f t="shared" si="26"/>
        <v/>
      </c>
      <c r="G361" s="7342" t="s">
        <v>1911</v>
      </c>
      <c r="H361" s="7342" t="str">
        <f t="shared" si="27"/>
        <v/>
      </c>
      <c r="I361" s="7338">
        <v>90.0</v>
      </c>
      <c r="J361" s="7338">
        <v>120.0</v>
      </c>
      <c r="K361" s="7338">
        <v>60.0</v>
      </c>
      <c r="L361" s="7338">
        <v>110.0</v>
      </c>
      <c r="M361" s="7338">
        <v>60.0</v>
      </c>
      <c r="N361" s="7340">
        <v>80.0</v>
      </c>
      <c r="O361" s="7321"/>
      <c r="P361" s="7324"/>
      <c r="Q361" s="7324"/>
      <c r="R361" s="7324"/>
    </row>
    <row r="362" ht="18.75" customHeight="1">
      <c r="A362" s="7316"/>
      <c r="B362" s="7331" t="s">
        <v>2457</v>
      </c>
      <c r="C362" s="7332" t="s">
        <v>2458</v>
      </c>
      <c r="D362" s="7333"/>
      <c r="E362" s="7332" t="s">
        <v>1901</v>
      </c>
      <c r="F362" s="7332" t="str">
        <f t="shared" si="26"/>
        <v/>
      </c>
      <c r="G362" s="7332" t="s">
        <v>1863</v>
      </c>
      <c r="H362" s="7332" t="str">
        <f t="shared" si="27"/>
        <v/>
      </c>
      <c r="I362" s="7332">
        <v>40.0</v>
      </c>
      <c r="J362" s="7332">
        <v>55.0</v>
      </c>
      <c r="K362" s="7332">
        <v>30.0</v>
      </c>
      <c r="L362" s="7332">
        <v>30.0</v>
      </c>
      <c r="M362" s="7332">
        <v>30.0</v>
      </c>
      <c r="N362" s="7334">
        <v>85.0</v>
      </c>
      <c r="O362" s="7321"/>
      <c r="P362" s="7324"/>
      <c r="Q362" s="7324"/>
      <c r="R362" s="7324"/>
    </row>
    <row r="363" ht="18.75" customHeight="1">
      <c r="A363" s="7316"/>
      <c r="B363" s="7337" t="s">
        <v>322</v>
      </c>
      <c r="C363" s="7338" t="s">
        <v>2459</v>
      </c>
      <c r="D363" s="7339"/>
      <c r="E363" s="7338" t="s">
        <v>1901</v>
      </c>
      <c r="F363" s="7338" t="str">
        <f t="shared" si="26"/>
        <v/>
      </c>
      <c r="G363" s="7338" t="s">
        <v>1863</v>
      </c>
      <c r="H363" s="7338" t="str">
        <f t="shared" si="27"/>
        <v/>
      </c>
      <c r="I363" s="7338">
        <v>60.0</v>
      </c>
      <c r="J363" s="7338">
        <v>85.0</v>
      </c>
      <c r="K363" s="7338">
        <v>60.0</v>
      </c>
      <c r="L363" s="7338">
        <v>75.0</v>
      </c>
      <c r="M363" s="7338">
        <v>50.0</v>
      </c>
      <c r="N363" s="7340">
        <v>125.0</v>
      </c>
      <c r="O363" s="7321"/>
      <c r="P363" s="7324"/>
      <c r="Q363" s="7324"/>
      <c r="R363" s="7324"/>
    </row>
    <row r="364" ht="18.75" customHeight="1">
      <c r="A364" s="7316"/>
      <c r="B364" s="7331" t="s">
        <v>2460</v>
      </c>
      <c r="C364" s="7332" t="s">
        <v>2461</v>
      </c>
      <c r="D364" s="7333"/>
      <c r="E364" s="7332" t="s">
        <v>1871</v>
      </c>
      <c r="F364" s="7332" t="str">
        <f t="shared" si="26"/>
        <v/>
      </c>
      <c r="G364" s="7332" t="s">
        <v>1863</v>
      </c>
      <c r="H364" s="7332" t="str">
        <f t="shared" si="27"/>
        <v/>
      </c>
      <c r="I364" s="7332">
        <v>40.0</v>
      </c>
      <c r="J364" s="7332">
        <v>30.0</v>
      </c>
      <c r="K364" s="7332">
        <v>30.0</v>
      </c>
      <c r="L364" s="7332">
        <v>55.0</v>
      </c>
      <c r="M364" s="7332">
        <v>30.0</v>
      </c>
      <c r="N364" s="7334">
        <v>85.0</v>
      </c>
      <c r="O364" s="7321"/>
      <c r="P364" s="7324"/>
      <c r="Q364" s="7324"/>
      <c r="R364" s="7324"/>
    </row>
    <row r="365" ht="18.75" customHeight="1">
      <c r="A365" s="7316"/>
      <c r="B365" s="7337" t="s">
        <v>1326</v>
      </c>
      <c r="C365" s="7338" t="s">
        <v>2462</v>
      </c>
      <c r="D365" s="7339"/>
      <c r="E365" s="7342" t="s">
        <v>1871</v>
      </c>
      <c r="F365" s="7342" t="str">
        <f t="shared" si="26"/>
        <v/>
      </c>
      <c r="G365" s="7342" t="s">
        <v>1863</v>
      </c>
      <c r="H365" s="7342" t="str">
        <f t="shared" si="27"/>
        <v/>
      </c>
      <c r="I365" s="7338">
        <v>60.0</v>
      </c>
      <c r="J365" s="7338">
        <v>50.0</v>
      </c>
      <c r="K365" s="7338">
        <v>100.0</v>
      </c>
      <c r="L365" s="7338">
        <v>95.0</v>
      </c>
      <c r="M365" s="7338">
        <v>70.0</v>
      </c>
      <c r="N365" s="7340">
        <v>65.0</v>
      </c>
      <c r="O365" s="7321"/>
      <c r="P365" s="7324"/>
      <c r="Q365" s="7324"/>
      <c r="R365" s="7324"/>
    </row>
    <row r="366" ht="18.75" customHeight="1">
      <c r="A366" s="7316"/>
      <c r="B366" s="7331" t="s">
        <v>2463</v>
      </c>
      <c r="C366" s="7332" t="s">
        <v>2464</v>
      </c>
      <c r="D366" s="7333"/>
      <c r="E366" s="7341" t="s">
        <v>561</v>
      </c>
      <c r="F366" s="7341" t="str">
        <f t="shared" si="26"/>
        <v/>
      </c>
      <c r="G366" s="7341" t="s">
        <v>1935</v>
      </c>
      <c r="H366" s="7341" t="str">
        <f t="shared" si="27"/>
        <v/>
      </c>
      <c r="I366" s="7332">
        <v>28.0</v>
      </c>
      <c r="J366" s="7332">
        <v>25.0</v>
      </c>
      <c r="K366" s="7332">
        <v>25.0</v>
      </c>
      <c r="L366" s="7332">
        <v>45.0</v>
      </c>
      <c r="M366" s="7332">
        <v>35.0</v>
      </c>
      <c r="N366" s="7334">
        <v>40.0</v>
      </c>
      <c r="O366" s="7321"/>
      <c r="P366" s="7324"/>
      <c r="Q366" s="7324"/>
      <c r="R366" s="7324"/>
    </row>
    <row r="367" ht="18.75" customHeight="1">
      <c r="A367" s="7316"/>
      <c r="B367" s="7337" t="s">
        <v>710</v>
      </c>
      <c r="C367" s="7338" t="s">
        <v>2465</v>
      </c>
      <c r="D367" s="7339"/>
      <c r="E367" s="7338" t="s">
        <v>561</v>
      </c>
      <c r="F367" s="7338" t="str">
        <f t="shared" si="26"/>
        <v/>
      </c>
      <c r="G367" s="7338" t="s">
        <v>1935</v>
      </c>
      <c r="H367" s="7338" t="str">
        <f t="shared" si="27"/>
        <v/>
      </c>
      <c r="I367" s="7338">
        <v>38.0</v>
      </c>
      <c r="J367" s="7338">
        <v>35.0</v>
      </c>
      <c r="K367" s="7338">
        <v>35.0</v>
      </c>
      <c r="L367" s="7338">
        <v>65.0</v>
      </c>
      <c r="M367" s="7338">
        <v>55.0</v>
      </c>
      <c r="N367" s="7340">
        <v>50.0</v>
      </c>
      <c r="O367" s="7321"/>
      <c r="P367" s="7324"/>
      <c r="Q367" s="7324"/>
      <c r="R367" s="7324"/>
    </row>
    <row r="368" ht="18.75" customHeight="1">
      <c r="A368" s="7316"/>
      <c r="B368" s="7331" t="s">
        <v>761</v>
      </c>
      <c r="C368" s="7332" t="s">
        <v>2466</v>
      </c>
      <c r="D368" s="7333"/>
      <c r="E368" s="7332" t="s">
        <v>561</v>
      </c>
      <c r="F368" s="7332" t="str">
        <f t="shared" si="26"/>
        <v/>
      </c>
      <c r="G368" s="7332" t="s">
        <v>1935</v>
      </c>
      <c r="H368" s="7332" t="str">
        <f t="shared" si="27"/>
        <v/>
      </c>
      <c r="I368" s="7332">
        <v>68.0</v>
      </c>
      <c r="J368" s="7332">
        <v>65.0</v>
      </c>
      <c r="K368" s="7332">
        <v>65.0</v>
      </c>
      <c r="L368" s="7332">
        <v>125.0</v>
      </c>
      <c r="M368" s="7332">
        <v>115.0</v>
      </c>
      <c r="N368" s="7334">
        <v>80.0</v>
      </c>
      <c r="O368" s="7321"/>
      <c r="P368" s="7324"/>
      <c r="Q368" s="7324"/>
      <c r="R368" s="7324"/>
    </row>
    <row r="369" ht="18.75" customHeight="1">
      <c r="A369" s="7316"/>
      <c r="B369" s="7337" t="s">
        <v>296</v>
      </c>
      <c r="C369" s="7342" t="s">
        <v>2467</v>
      </c>
      <c r="D369" s="7339"/>
      <c r="E369" s="7338" t="s">
        <v>561</v>
      </c>
      <c r="F369" s="7338" t="str">
        <f t="shared" si="26"/>
        <v/>
      </c>
      <c r="G369" s="7338" t="s">
        <v>1935</v>
      </c>
      <c r="H369" s="7338" t="str">
        <f t="shared" si="27"/>
        <v/>
      </c>
      <c r="I369" s="7338">
        <v>68.0</v>
      </c>
      <c r="J369" s="7338">
        <v>85.0</v>
      </c>
      <c r="K369" s="7338">
        <v>65.0</v>
      </c>
      <c r="L369" s="7338">
        <v>165.0</v>
      </c>
      <c r="M369" s="7338">
        <v>135.0</v>
      </c>
      <c r="N369" s="7340">
        <v>100.0</v>
      </c>
      <c r="O369" s="7321"/>
      <c r="P369" s="7324"/>
      <c r="Q369" s="7324"/>
      <c r="R369" s="7324"/>
    </row>
    <row r="370" ht="18.75" customHeight="1">
      <c r="A370" s="7316"/>
      <c r="B370" s="7331" t="s">
        <v>2468</v>
      </c>
      <c r="C370" s="7332" t="s">
        <v>2469</v>
      </c>
      <c r="D370" s="7333"/>
      <c r="E370" s="7332" t="s">
        <v>1882</v>
      </c>
      <c r="F370" s="7332" t="str">
        <f t="shared" si="26"/>
        <v/>
      </c>
      <c r="G370" s="7332" t="s">
        <v>1871</v>
      </c>
      <c r="H370" s="7332" t="str">
        <f t="shared" si="27"/>
        <v/>
      </c>
      <c r="I370" s="7332">
        <v>40.0</v>
      </c>
      <c r="J370" s="7332">
        <v>30.0</v>
      </c>
      <c r="K370" s="7332">
        <v>32.0</v>
      </c>
      <c r="L370" s="7332">
        <v>50.0</v>
      </c>
      <c r="M370" s="7332">
        <v>52.0</v>
      </c>
      <c r="N370" s="7334">
        <v>65.0</v>
      </c>
      <c r="O370" s="7321"/>
      <c r="P370" s="7324"/>
      <c r="Q370" s="7324"/>
      <c r="R370" s="7324"/>
    </row>
    <row r="371" ht="18.75" customHeight="1">
      <c r="A371" s="7316"/>
      <c r="B371" s="7337" t="s">
        <v>925</v>
      </c>
      <c r="C371" s="7338" t="s">
        <v>2470</v>
      </c>
      <c r="D371" s="7339"/>
      <c r="E371" s="7338" t="s">
        <v>1871</v>
      </c>
      <c r="F371" s="7338" t="str">
        <f t="shared" si="26"/>
        <v/>
      </c>
      <c r="G371" s="7338" t="s">
        <v>1882</v>
      </c>
      <c r="H371" s="7338" t="str">
        <f t="shared" si="27"/>
        <v/>
      </c>
      <c r="I371" s="7338">
        <v>80.0</v>
      </c>
      <c r="J371" s="7338">
        <v>60.0</v>
      </c>
      <c r="K371" s="7338">
        <v>62.0</v>
      </c>
      <c r="L371" s="7338">
        <v>100.0</v>
      </c>
      <c r="M371" s="7338">
        <v>82.0</v>
      </c>
      <c r="N371" s="7340">
        <v>80.0</v>
      </c>
      <c r="O371" s="7321"/>
      <c r="P371" s="7324"/>
      <c r="Q371" s="7324"/>
      <c r="R371" s="7324"/>
    </row>
    <row r="372" ht="18.75" customHeight="1">
      <c r="A372" s="7316"/>
      <c r="B372" s="7331" t="s">
        <v>2471</v>
      </c>
      <c r="C372" s="7332" t="s">
        <v>2472</v>
      </c>
      <c r="D372" s="7333"/>
      <c r="E372" s="7341" t="s">
        <v>1848</v>
      </c>
      <c r="F372" s="7341" t="str">
        <f t="shared" si="26"/>
        <v/>
      </c>
      <c r="G372" s="7341"/>
      <c r="H372" s="7341" t="str">
        <f t="shared" si="27"/>
        <v/>
      </c>
      <c r="I372" s="7332">
        <v>60.0</v>
      </c>
      <c r="J372" s="7332">
        <v>40.0</v>
      </c>
      <c r="K372" s="7332">
        <v>60.0</v>
      </c>
      <c r="L372" s="7332">
        <v>40.0</v>
      </c>
      <c r="M372" s="7332">
        <v>60.0</v>
      </c>
      <c r="N372" s="7334">
        <v>35.0</v>
      </c>
      <c r="O372" s="7321"/>
      <c r="P372" s="7324"/>
      <c r="Q372" s="7324"/>
      <c r="R372" s="7324"/>
    </row>
    <row r="373" ht="18.75" customHeight="1">
      <c r="A373" s="7316"/>
      <c r="B373" s="7337" t="s">
        <v>591</v>
      </c>
      <c r="C373" s="7338" t="s">
        <v>2473</v>
      </c>
      <c r="D373" s="7339"/>
      <c r="E373" s="7338" t="s">
        <v>1848</v>
      </c>
      <c r="F373" s="7338" t="str">
        <f t="shared" si="26"/>
        <v/>
      </c>
      <c r="G373" s="7338" t="s">
        <v>1939</v>
      </c>
      <c r="H373" s="7338" t="str">
        <f t="shared" si="27"/>
        <v/>
      </c>
      <c r="I373" s="7338">
        <v>60.0</v>
      </c>
      <c r="J373" s="7338">
        <v>130.0</v>
      </c>
      <c r="K373" s="7338">
        <v>80.0</v>
      </c>
      <c r="L373" s="7338">
        <v>60.0</v>
      </c>
      <c r="M373" s="7338">
        <v>60.0</v>
      </c>
      <c r="N373" s="7340">
        <v>70.0</v>
      </c>
      <c r="O373" s="7321"/>
      <c r="P373" s="7324"/>
      <c r="Q373" s="7324"/>
      <c r="R373" s="7324"/>
    </row>
    <row r="374" ht="18.75" customHeight="1">
      <c r="A374" s="7316"/>
      <c r="B374" s="7331" t="s">
        <v>2474</v>
      </c>
      <c r="C374" s="7332" t="s">
        <v>2475</v>
      </c>
      <c r="D374" s="7333"/>
      <c r="E374" s="7332" t="s">
        <v>1901</v>
      </c>
      <c r="F374" s="7332" t="str">
        <f t="shared" si="26"/>
        <v/>
      </c>
      <c r="G374" s="7332"/>
      <c r="H374" s="7332" t="str">
        <f t="shared" si="27"/>
        <v/>
      </c>
      <c r="I374" s="7332">
        <v>60.0</v>
      </c>
      <c r="J374" s="7332">
        <v>60.0</v>
      </c>
      <c r="K374" s="7332">
        <v>60.0</v>
      </c>
      <c r="L374" s="7332">
        <v>35.0</v>
      </c>
      <c r="M374" s="7332">
        <v>35.0</v>
      </c>
      <c r="N374" s="7334">
        <v>30.0</v>
      </c>
      <c r="O374" s="7321"/>
      <c r="P374" s="7324"/>
      <c r="Q374" s="7324"/>
      <c r="R374" s="7324"/>
    </row>
    <row r="375" ht="18.75" customHeight="1">
      <c r="A375" s="7316"/>
      <c r="B375" s="7337" t="s">
        <v>2476</v>
      </c>
      <c r="C375" s="7338" t="s">
        <v>2477</v>
      </c>
      <c r="D375" s="7339"/>
      <c r="E375" s="7338" t="s">
        <v>1901</v>
      </c>
      <c r="F375" s="7338" t="str">
        <f t="shared" si="26"/>
        <v/>
      </c>
      <c r="G375" s="7338"/>
      <c r="H375" s="7338" t="str">
        <f t="shared" si="27"/>
        <v/>
      </c>
      <c r="I375" s="7338">
        <v>80.0</v>
      </c>
      <c r="J375" s="7338">
        <v>80.0</v>
      </c>
      <c r="K375" s="7338">
        <v>80.0</v>
      </c>
      <c r="L375" s="7338">
        <v>55.0</v>
      </c>
      <c r="M375" s="7338">
        <v>55.0</v>
      </c>
      <c r="N375" s="7340">
        <v>90.0</v>
      </c>
      <c r="O375" s="7321"/>
      <c r="P375" s="7324"/>
      <c r="Q375" s="7324"/>
      <c r="R375" s="7324"/>
    </row>
    <row r="376" ht="18.75" customHeight="1">
      <c r="A376" s="7316"/>
      <c r="B376" s="7331" t="s">
        <v>868</v>
      </c>
      <c r="C376" s="7332" t="s">
        <v>2478</v>
      </c>
      <c r="D376" s="7333"/>
      <c r="E376" s="7332" t="s">
        <v>1901</v>
      </c>
      <c r="F376" s="7332" t="str">
        <f t="shared" si="26"/>
        <v/>
      </c>
      <c r="G376" s="7332"/>
      <c r="H376" s="7332" t="str">
        <f t="shared" si="27"/>
        <v/>
      </c>
      <c r="I376" s="7332">
        <v>150.0</v>
      </c>
      <c r="J376" s="7332">
        <v>160.0</v>
      </c>
      <c r="K376" s="7332">
        <v>100.0</v>
      </c>
      <c r="L376" s="7332">
        <v>95.0</v>
      </c>
      <c r="M376" s="7332">
        <v>65.0</v>
      </c>
      <c r="N376" s="7334">
        <v>100.0</v>
      </c>
      <c r="O376" s="7321"/>
      <c r="P376" s="7324"/>
      <c r="Q376" s="7324"/>
      <c r="R376" s="7324"/>
    </row>
    <row r="377" ht="18.75" customHeight="1">
      <c r="A377" s="7316"/>
      <c r="B377" s="7337" t="s">
        <v>2479</v>
      </c>
      <c r="C377" s="7338" t="s">
        <v>2480</v>
      </c>
      <c r="D377" s="7339"/>
      <c r="E377" s="7338" t="s">
        <v>1882</v>
      </c>
      <c r="F377" s="7338" t="str">
        <f t="shared" si="26"/>
        <v/>
      </c>
      <c r="G377" s="7338" t="s">
        <v>1948</v>
      </c>
      <c r="H377" s="7338" t="str">
        <f t="shared" si="27"/>
        <v/>
      </c>
      <c r="I377" s="7338">
        <v>31.0</v>
      </c>
      <c r="J377" s="7338">
        <v>45.0</v>
      </c>
      <c r="K377" s="7338">
        <v>90.0</v>
      </c>
      <c r="L377" s="7338">
        <v>30.0</v>
      </c>
      <c r="M377" s="7338">
        <v>30.0</v>
      </c>
      <c r="N377" s="7340">
        <v>40.0</v>
      </c>
      <c r="O377" s="7321"/>
      <c r="P377" s="7324"/>
      <c r="Q377" s="7324"/>
      <c r="R377" s="7324"/>
    </row>
    <row r="378" ht="18.75" customHeight="1">
      <c r="A378" s="7316"/>
      <c r="B378" s="7331" t="s">
        <v>2481</v>
      </c>
      <c r="C378" s="7332" t="s">
        <v>2482</v>
      </c>
      <c r="D378" s="7333"/>
      <c r="E378" s="7332" t="s">
        <v>1882</v>
      </c>
      <c r="F378" s="7332" t="str">
        <f t="shared" si="26"/>
        <v/>
      </c>
      <c r="G378" s="7332" t="s">
        <v>1863</v>
      </c>
      <c r="H378" s="7332" t="str">
        <f t="shared" si="27"/>
        <v/>
      </c>
      <c r="I378" s="7332">
        <v>61.0</v>
      </c>
      <c r="J378" s="7332">
        <v>90.0</v>
      </c>
      <c r="K378" s="7332">
        <v>45.0</v>
      </c>
      <c r="L378" s="7332">
        <v>50.0</v>
      </c>
      <c r="M378" s="7332">
        <v>50.0</v>
      </c>
      <c r="N378" s="7334">
        <v>160.0</v>
      </c>
      <c r="O378" s="7321"/>
      <c r="P378" s="7324"/>
      <c r="Q378" s="7324"/>
      <c r="R378" s="7324"/>
    </row>
    <row r="379" ht="18.75" customHeight="1">
      <c r="A379" s="7316"/>
      <c r="B379" s="7337" t="s">
        <v>1270</v>
      </c>
      <c r="C379" s="7338" t="s">
        <v>2483</v>
      </c>
      <c r="D379" s="7339"/>
      <c r="E379" s="7338" t="s">
        <v>1882</v>
      </c>
      <c r="F379" s="7338" t="str">
        <f t="shared" si="26"/>
        <v/>
      </c>
      <c r="G379" s="7338" t="s">
        <v>2097</v>
      </c>
      <c r="H379" s="7338" t="str">
        <f t="shared" si="27"/>
        <v/>
      </c>
      <c r="I379" s="7338">
        <v>1.0</v>
      </c>
      <c r="J379" s="7338">
        <v>90.0</v>
      </c>
      <c r="K379" s="7338">
        <v>45.0</v>
      </c>
      <c r="L379" s="7338">
        <v>30.0</v>
      </c>
      <c r="M379" s="7338">
        <v>30.0</v>
      </c>
      <c r="N379" s="7340">
        <v>40.0</v>
      </c>
      <c r="O379" s="7321"/>
      <c r="P379" s="7324"/>
      <c r="Q379" s="7324"/>
      <c r="R379" s="7324"/>
    </row>
    <row r="380" ht="18.75" customHeight="1">
      <c r="A380" s="7316"/>
      <c r="B380" s="7331" t="s">
        <v>2484</v>
      </c>
      <c r="C380" s="7332" t="s">
        <v>2485</v>
      </c>
      <c r="D380" s="7333"/>
      <c r="E380" s="7332" t="s">
        <v>1901</v>
      </c>
      <c r="F380" s="7332" t="str">
        <f t="shared" si="26"/>
        <v/>
      </c>
      <c r="G380" s="7332"/>
      <c r="H380" s="7332" t="str">
        <f t="shared" si="27"/>
        <v/>
      </c>
      <c r="I380" s="7332">
        <v>64.0</v>
      </c>
      <c r="J380" s="7332">
        <v>51.0</v>
      </c>
      <c r="K380" s="7332">
        <v>23.0</v>
      </c>
      <c r="L380" s="7332">
        <v>51.0</v>
      </c>
      <c r="M380" s="7332">
        <v>23.0</v>
      </c>
      <c r="N380" s="7334">
        <v>28.0</v>
      </c>
      <c r="O380" s="7321"/>
      <c r="P380" s="7324"/>
      <c r="Q380" s="7324"/>
      <c r="R380" s="7324"/>
    </row>
    <row r="381" ht="18.75" customHeight="1">
      <c r="A381" s="7316"/>
      <c r="B381" s="7337" t="s">
        <v>729</v>
      </c>
      <c r="C381" s="7338" t="s">
        <v>2486</v>
      </c>
      <c r="D381" s="7339"/>
      <c r="E381" s="7342" t="s">
        <v>1901</v>
      </c>
      <c r="F381" s="7342" t="str">
        <f t="shared" si="26"/>
        <v/>
      </c>
      <c r="G381" s="7342"/>
      <c r="H381" s="7342" t="str">
        <f t="shared" si="27"/>
        <v/>
      </c>
      <c r="I381" s="7338">
        <v>84.0</v>
      </c>
      <c r="J381" s="7338">
        <v>71.0</v>
      </c>
      <c r="K381" s="7338">
        <v>43.0</v>
      </c>
      <c r="L381" s="7338">
        <v>71.0</v>
      </c>
      <c r="M381" s="7338">
        <v>43.0</v>
      </c>
      <c r="N381" s="7340">
        <v>48.0</v>
      </c>
      <c r="O381" s="7321"/>
      <c r="P381" s="7324"/>
      <c r="Q381" s="7324"/>
      <c r="R381" s="7324"/>
    </row>
    <row r="382" ht="18.75" customHeight="1">
      <c r="A382" s="7316"/>
      <c r="B382" s="7331" t="s">
        <v>760</v>
      </c>
      <c r="C382" s="7332" t="s">
        <v>2487</v>
      </c>
      <c r="D382" s="7333"/>
      <c r="E382" s="7332" t="s">
        <v>1901</v>
      </c>
      <c r="F382" s="7332" t="str">
        <f t="shared" si="26"/>
        <v/>
      </c>
      <c r="G382" s="7332"/>
      <c r="H382" s="7332" t="str">
        <f t="shared" si="27"/>
        <v/>
      </c>
      <c r="I382" s="7332">
        <v>104.0</v>
      </c>
      <c r="J382" s="7332">
        <v>81.0</v>
      </c>
      <c r="K382" s="7332">
        <v>63.0</v>
      </c>
      <c r="L382" s="7332">
        <v>91.0</v>
      </c>
      <c r="M382" s="7332">
        <v>73.0</v>
      </c>
      <c r="N382" s="7334">
        <v>73.0</v>
      </c>
      <c r="O382" s="7321"/>
      <c r="P382" s="7324"/>
      <c r="Q382" s="7324"/>
      <c r="R382" s="7324"/>
    </row>
    <row r="383" ht="18.75" customHeight="1">
      <c r="A383" s="7316"/>
      <c r="B383" s="7337" t="s">
        <v>2488</v>
      </c>
      <c r="C383" s="7338" t="s">
        <v>2489</v>
      </c>
      <c r="D383" s="7339"/>
      <c r="E383" s="7342" t="s">
        <v>1939</v>
      </c>
      <c r="F383" s="7342" t="str">
        <f t="shared" si="26"/>
        <v/>
      </c>
      <c r="G383" s="7342"/>
      <c r="H383" s="7342" t="str">
        <f t="shared" si="27"/>
        <v/>
      </c>
      <c r="I383" s="7338">
        <v>72.0</v>
      </c>
      <c r="J383" s="7338">
        <v>60.0</v>
      </c>
      <c r="K383" s="7338">
        <v>30.0</v>
      </c>
      <c r="L383" s="7338">
        <v>20.0</v>
      </c>
      <c r="M383" s="7338">
        <v>30.0</v>
      </c>
      <c r="N383" s="7340">
        <v>25.0</v>
      </c>
      <c r="O383" s="7321"/>
      <c r="P383" s="7324"/>
      <c r="Q383" s="7324"/>
      <c r="R383" s="7324"/>
    </row>
    <row r="384" ht="18.75" customHeight="1">
      <c r="A384" s="7316"/>
      <c r="B384" s="7331" t="s">
        <v>1183</v>
      </c>
      <c r="C384" s="7332" t="s">
        <v>2490</v>
      </c>
      <c r="D384" s="7333"/>
      <c r="E384" s="7332" t="s">
        <v>1939</v>
      </c>
      <c r="F384" s="7332" t="str">
        <f t="shared" si="26"/>
        <v/>
      </c>
      <c r="G384" s="7332"/>
      <c r="H384" s="7332" t="str">
        <f t="shared" si="27"/>
        <v/>
      </c>
      <c r="I384" s="7332">
        <v>144.0</v>
      </c>
      <c r="J384" s="7332">
        <v>120.0</v>
      </c>
      <c r="K384" s="7332">
        <v>60.0</v>
      </c>
      <c r="L384" s="7332">
        <v>40.0</v>
      </c>
      <c r="M384" s="7332">
        <v>60.0</v>
      </c>
      <c r="N384" s="7334">
        <v>50.0</v>
      </c>
      <c r="O384" s="7321"/>
      <c r="P384" s="7324"/>
      <c r="Q384" s="7324"/>
      <c r="R384" s="7324"/>
    </row>
    <row r="385" ht="18.75" customHeight="1">
      <c r="A385" s="7316"/>
      <c r="B385" s="7337" t="s">
        <v>2491</v>
      </c>
      <c r="C385" s="7338" t="s">
        <v>2492</v>
      </c>
      <c r="D385" s="7339"/>
      <c r="E385" s="7342" t="s">
        <v>1901</v>
      </c>
      <c r="F385" s="7342" t="str">
        <f t="shared" si="26"/>
        <v/>
      </c>
      <c r="G385" s="7342" t="s">
        <v>1935</v>
      </c>
      <c r="H385" s="7342" t="str">
        <f t="shared" si="27"/>
        <v/>
      </c>
      <c r="I385" s="7338">
        <v>50.0</v>
      </c>
      <c r="J385" s="7338">
        <v>20.0</v>
      </c>
      <c r="K385" s="7338">
        <v>40.0</v>
      </c>
      <c r="L385" s="7338">
        <v>20.0</v>
      </c>
      <c r="M385" s="7338">
        <v>40.0</v>
      </c>
      <c r="N385" s="7340">
        <v>20.0</v>
      </c>
      <c r="O385" s="7321"/>
      <c r="P385" s="7324"/>
      <c r="Q385" s="7324"/>
      <c r="R385" s="7324"/>
    </row>
    <row r="386" ht="18.75" customHeight="1">
      <c r="A386" s="7316"/>
      <c r="B386" s="7331" t="s">
        <v>2493</v>
      </c>
      <c r="C386" s="7332" t="s">
        <v>2494</v>
      </c>
      <c r="D386" s="7333"/>
      <c r="E386" s="7341" t="s">
        <v>2014</v>
      </c>
      <c r="F386" s="7341" t="str">
        <f t="shared" si="26"/>
        <v/>
      </c>
      <c r="G386" s="7341"/>
      <c r="H386" s="7341" t="str">
        <f t="shared" si="27"/>
        <v/>
      </c>
      <c r="I386" s="7332">
        <v>30.0</v>
      </c>
      <c r="J386" s="7332">
        <v>45.0</v>
      </c>
      <c r="K386" s="7332">
        <v>135.0</v>
      </c>
      <c r="L386" s="7332">
        <v>45.0</v>
      </c>
      <c r="M386" s="7332">
        <v>90.0</v>
      </c>
      <c r="N386" s="7334">
        <v>30.0</v>
      </c>
      <c r="O386" s="7321"/>
      <c r="P386" s="7324"/>
      <c r="Q386" s="7324"/>
      <c r="R386" s="7324"/>
    </row>
    <row r="387" ht="18.75" customHeight="1">
      <c r="A387" s="7316"/>
      <c r="B387" s="7337" t="s">
        <v>2495</v>
      </c>
      <c r="C387" s="7338" t="s">
        <v>2496</v>
      </c>
      <c r="D387" s="7339"/>
      <c r="E387" s="7338" t="s">
        <v>1901</v>
      </c>
      <c r="F387" s="7338" t="str">
        <f t="shared" si="26"/>
        <v/>
      </c>
      <c r="G387" s="7338"/>
      <c r="H387" s="7338" t="str">
        <f t="shared" si="27"/>
        <v/>
      </c>
      <c r="I387" s="7338">
        <v>50.0</v>
      </c>
      <c r="J387" s="7338">
        <v>45.0</v>
      </c>
      <c r="K387" s="7338">
        <v>45.0</v>
      </c>
      <c r="L387" s="7338">
        <v>35.0</v>
      </c>
      <c r="M387" s="7338">
        <v>35.0</v>
      </c>
      <c r="N387" s="7340">
        <v>50.0</v>
      </c>
      <c r="O387" s="7321"/>
      <c r="P387" s="7324"/>
      <c r="Q387" s="7324"/>
      <c r="R387" s="7324"/>
    </row>
    <row r="388" ht="18.75" customHeight="1">
      <c r="A388" s="7316"/>
      <c r="B388" s="7331" t="s">
        <v>2497</v>
      </c>
      <c r="C388" s="7332" t="s">
        <v>2498</v>
      </c>
      <c r="D388" s="7333"/>
      <c r="E388" s="7341" t="s">
        <v>1901</v>
      </c>
      <c r="F388" s="7341" t="str">
        <f t="shared" si="26"/>
        <v/>
      </c>
      <c r="G388" s="7341"/>
      <c r="H388" s="7341" t="str">
        <f t="shared" si="27"/>
        <v/>
      </c>
      <c r="I388" s="7332">
        <v>70.0</v>
      </c>
      <c r="J388" s="7332">
        <v>65.0</v>
      </c>
      <c r="K388" s="7332">
        <v>65.0</v>
      </c>
      <c r="L388" s="7332">
        <v>65.0</v>
      </c>
      <c r="M388" s="7332">
        <v>55.0</v>
      </c>
      <c r="N388" s="7334">
        <v>90.0</v>
      </c>
      <c r="O388" s="7321"/>
      <c r="P388" s="7324"/>
      <c r="Q388" s="7324"/>
      <c r="R388" s="7324"/>
    </row>
    <row r="389" ht="18.75" customHeight="1">
      <c r="A389" s="7316"/>
      <c r="B389" s="7337" t="s">
        <v>1000</v>
      </c>
      <c r="C389" s="7338" t="s">
        <v>2499</v>
      </c>
      <c r="D389" s="7339"/>
      <c r="E389" s="7338" t="s">
        <v>1911</v>
      </c>
      <c r="F389" s="7338" t="str">
        <f t="shared" si="26"/>
        <v/>
      </c>
      <c r="G389" s="7338" t="s">
        <v>2097</v>
      </c>
      <c r="H389" s="7338" t="str">
        <f t="shared" si="27"/>
        <v/>
      </c>
      <c r="I389" s="7338">
        <v>50.0</v>
      </c>
      <c r="J389" s="7338">
        <v>75.0</v>
      </c>
      <c r="K389" s="7338">
        <v>75.0</v>
      </c>
      <c r="L389" s="7338">
        <v>65.0</v>
      </c>
      <c r="M389" s="7338">
        <v>65.0</v>
      </c>
      <c r="N389" s="7340">
        <v>50.0</v>
      </c>
      <c r="O389" s="7321"/>
      <c r="P389" s="7324"/>
      <c r="Q389" s="7324"/>
      <c r="R389" s="7324"/>
    </row>
    <row r="390" ht="18.75" customHeight="1">
      <c r="A390" s="7316"/>
      <c r="B390" s="7331" t="s">
        <v>1803</v>
      </c>
      <c r="C390" s="7341" t="s">
        <v>2500</v>
      </c>
      <c r="D390" s="7333"/>
      <c r="E390" s="7332" t="s">
        <v>1911</v>
      </c>
      <c r="F390" s="7332" t="str">
        <f t="shared" si="26"/>
        <v/>
      </c>
      <c r="G390" s="7332" t="s">
        <v>2097</v>
      </c>
      <c r="H390" s="7332" t="str">
        <f t="shared" si="27"/>
        <v/>
      </c>
      <c r="I390" s="7332">
        <v>50.0</v>
      </c>
      <c r="J390" s="7332">
        <v>85.0</v>
      </c>
      <c r="K390" s="7332">
        <v>125.0</v>
      </c>
      <c r="L390" s="7332">
        <v>85.0</v>
      </c>
      <c r="M390" s="7332">
        <v>115.0</v>
      </c>
      <c r="N390" s="7334">
        <v>20.0</v>
      </c>
      <c r="O390" s="7321"/>
      <c r="P390" s="7324"/>
      <c r="Q390" s="7324"/>
      <c r="R390" s="7324"/>
    </row>
    <row r="391" ht="18.75" customHeight="1">
      <c r="A391" s="7316"/>
      <c r="B391" s="7337" t="s">
        <v>2501</v>
      </c>
      <c r="C391" s="7338" t="s">
        <v>2502</v>
      </c>
      <c r="D391" s="7339"/>
      <c r="E391" s="7338" t="s">
        <v>1929</v>
      </c>
      <c r="F391" s="7338" t="str">
        <f t="shared" si="26"/>
        <v/>
      </c>
      <c r="G391" s="7338" t="s">
        <v>1935</v>
      </c>
      <c r="H391" s="7338" t="str">
        <f t="shared" si="27"/>
        <v/>
      </c>
      <c r="I391" s="7338">
        <v>50.0</v>
      </c>
      <c r="J391" s="7338">
        <v>85.0</v>
      </c>
      <c r="K391" s="7338">
        <v>85.0</v>
      </c>
      <c r="L391" s="7338">
        <v>55.0</v>
      </c>
      <c r="M391" s="7338">
        <v>55.0</v>
      </c>
      <c r="N391" s="7340">
        <v>50.0</v>
      </c>
      <c r="O391" s="7321"/>
      <c r="P391" s="7324"/>
      <c r="Q391" s="7324"/>
      <c r="R391" s="7324"/>
    </row>
    <row r="392" ht="18.75" customHeight="1">
      <c r="A392" s="7316"/>
      <c r="B392" s="7331" t="s">
        <v>908</v>
      </c>
      <c r="C392" s="7341" t="s">
        <v>2503</v>
      </c>
      <c r="D392" s="7333"/>
      <c r="E392" s="7332" t="s">
        <v>1929</v>
      </c>
      <c r="F392" s="7332" t="str">
        <f t="shared" si="26"/>
        <v/>
      </c>
      <c r="G392" s="7332" t="s">
        <v>1935</v>
      </c>
      <c r="H392" s="7332" t="str">
        <f t="shared" si="27"/>
        <v/>
      </c>
      <c r="I392" s="7332">
        <v>50.0</v>
      </c>
      <c r="J392" s="7332">
        <v>105.0</v>
      </c>
      <c r="K392" s="7332">
        <v>125.0</v>
      </c>
      <c r="L392" s="7332">
        <v>55.0</v>
      </c>
      <c r="M392" s="7332">
        <v>95.0</v>
      </c>
      <c r="N392" s="7334">
        <v>50.0</v>
      </c>
      <c r="O392" s="7321"/>
      <c r="P392" s="7324"/>
      <c r="Q392" s="7324"/>
      <c r="R392" s="7324"/>
    </row>
    <row r="393" ht="18.75" customHeight="1">
      <c r="A393" s="7316"/>
      <c r="B393" s="7337" t="s">
        <v>1206</v>
      </c>
      <c r="C393" s="7338" t="s">
        <v>2504</v>
      </c>
      <c r="D393" s="7339"/>
      <c r="E393" s="7338" t="s">
        <v>1929</v>
      </c>
      <c r="F393" s="7338" t="str">
        <f t="shared" si="26"/>
        <v/>
      </c>
      <c r="G393" s="7338" t="s">
        <v>2014</v>
      </c>
      <c r="H393" s="7338" t="str">
        <f t="shared" si="27"/>
        <v/>
      </c>
      <c r="I393" s="7338">
        <v>50.0</v>
      </c>
      <c r="J393" s="7338">
        <v>70.0</v>
      </c>
      <c r="K393" s="7338">
        <v>100.0</v>
      </c>
      <c r="L393" s="7338">
        <v>40.0</v>
      </c>
      <c r="M393" s="7338">
        <v>40.0</v>
      </c>
      <c r="N393" s="7340">
        <v>30.0</v>
      </c>
      <c r="O393" s="7321"/>
      <c r="P393" s="7324"/>
      <c r="Q393" s="7324"/>
      <c r="R393" s="7324"/>
    </row>
    <row r="394" ht="18.75" customHeight="1">
      <c r="A394" s="7316"/>
      <c r="B394" s="7331" t="s">
        <v>2505</v>
      </c>
      <c r="C394" s="7332" t="s">
        <v>2506</v>
      </c>
      <c r="D394" s="7333"/>
      <c r="E394" s="7341" t="s">
        <v>1929</v>
      </c>
      <c r="F394" s="7341" t="str">
        <f t="shared" si="26"/>
        <v/>
      </c>
      <c r="G394" s="7341" t="s">
        <v>2014</v>
      </c>
      <c r="H394" s="7341" t="str">
        <f t="shared" si="27"/>
        <v/>
      </c>
      <c r="I394" s="7332">
        <v>60.0</v>
      </c>
      <c r="J394" s="7332">
        <v>90.0</v>
      </c>
      <c r="K394" s="7332">
        <v>140.0</v>
      </c>
      <c r="L394" s="7332">
        <v>50.0</v>
      </c>
      <c r="M394" s="7332">
        <v>50.0</v>
      </c>
      <c r="N394" s="7334">
        <v>40.0</v>
      </c>
      <c r="O394" s="7321"/>
      <c r="P394" s="7324"/>
      <c r="Q394" s="7324"/>
      <c r="R394" s="7324"/>
    </row>
    <row r="395" ht="18.75" customHeight="1">
      <c r="A395" s="7316"/>
      <c r="B395" s="7337" t="s">
        <v>2507</v>
      </c>
      <c r="C395" s="7338" t="s">
        <v>2508</v>
      </c>
      <c r="D395" s="7339"/>
      <c r="E395" s="7338" t="s">
        <v>1929</v>
      </c>
      <c r="F395" s="7338" t="str">
        <f t="shared" si="26"/>
        <v/>
      </c>
      <c r="G395" s="7338" t="s">
        <v>2014</v>
      </c>
      <c r="H395" s="7338" t="str">
        <f t="shared" si="27"/>
        <v/>
      </c>
      <c r="I395" s="7338">
        <v>70.0</v>
      </c>
      <c r="J395" s="7338">
        <v>110.0</v>
      </c>
      <c r="K395" s="7338">
        <v>180.0</v>
      </c>
      <c r="L395" s="7338">
        <v>60.0</v>
      </c>
      <c r="M395" s="7338">
        <v>60.0</v>
      </c>
      <c r="N395" s="7340">
        <v>50.0</v>
      </c>
      <c r="O395" s="7321"/>
      <c r="P395" s="7324"/>
      <c r="Q395" s="7324"/>
      <c r="R395" s="7324"/>
    </row>
    <row r="396" ht="18.75" customHeight="1">
      <c r="A396" s="7316"/>
      <c r="B396" s="7331" t="s">
        <v>650</v>
      </c>
      <c r="C396" s="7341" t="s">
        <v>2509</v>
      </c>
      <c r="D396" s="7333"/>
      <c r="E396" s="7332" t="s">
        <v>1929</v>
      </c>
      <c r="F396" s="7332" t="str">
        <f t="shared" si="26"/>
        <v/>
      </c>
      <c r="G396" s="7332"/>
      <c r="H396" s="7332" t="str">
        <f t="shared" si="27"/>
        <v/>
      </c>
      <c r="I396" s="7332">
        <v>70.0</v>
      </c>
      <c r="J396" s="7332">
        <v>140.0</v>
      </c>
      <c r="K396" s="7332">
        <v>230.0</v>
      </c>
      <c r="L396" s="7332">
        <v>60.0</v>
      </c>
      <c r="M396" s="7332">
        <v>80.0</v>
      </c>
      <c r="N396" s="7334">
        <v>50.0</v>
      </c>
      <c r="O396" s="7321"/>
      <c r="P396" s="7324"/>
      <c r="Q396" s="7324"/>
      <c r="R396" s="7324"/>
    </row>
    <row r="397" ht="18.75" customHeight="1">
      <c r="A397" s="7316"/>
      <c r="B397" s="7337" t="s">
        <v>2510</v>
      </c>
      <c r="C397" s="7338" t="s">
        <v>2511</v>
      </c>
      <c r="D397" s="7339"/>
      <c r="E397" s="7338" t="s">
        <v>1939</v>
      </c>
      <c r="F397" s="7338" t="str">
        <f t="shared" si="26"/>
        <v/>
      </c>
      <c r="G397" s="7338" t="s">
        <v>561</v>
      </c>
      <c r="H397" s="7338" t="str">
        <f t="shared" si="27"/>
        <v/>
      </c>
      <c r="I397" s="7338">
        <v>30.0</v>
      </c>
      <c r="J397" s="7338">
        <v>40.0</v>
      </c>
      <c r="K397" s="7338">
        <v>55.0</v>
      </c>
      <c r="L397" s="7338">
        <v>40.0</v>
      </c>
      <c r="M397" s="7338">
        <v>55.0</v>
      </c>
      <c r="N397" s="7340">
        <v>60.0</v>
      </c>
      <c r="O397" s="7321"/>
      <c r="P397" s="7324"/>
      <c r="Q397" s="7324"/>
      <c r="R397" s="7324"/>
    </row>
    <row r="398" ht="18.75" customHeight="1">
      <c r="A398" s="7316"/>
      <c r="B398" s="7331" t="s">
        <v>759</v>
      </c>
      <c r="C398" s="7332" t="s">
        <v>2512</v>
      </c>
      <c r="D398" s="7333"/>
      <c r="E398" s="7341" t="s">
        <v>1939</v>
      </c>
      <c r="F398" s="7341" t="str">
        <f t="shared" si="26"/>
        <v/>
      </c>
      <c r="G398" s="7341" t="s">
        <v>561</v>
      </c>
      <c r="H398" s="7341" t="str">
        <f t="shared" si="27"/>
        <v/>
      </c>
      <c r="I398" s="7332">
        <v>60.0</v>
      </c>
      <c r="J398" s="7332">
        <v>60.0</v>
      </c>
      <c r="K398" s="7332">
        <v>75.0</v>
      </c>
      <c r="L398" s="7332">
        <v>60.0</v>
      </c>
      <c r="M398" s="7332">
        <v>75.0</v>
      </c>
      <c r="N398" s="7334">
        <v>80.0</v>
      </c>
      <c r="O398" s="7321"/>
      <c r="P398" s="7324"/>
      <c r="Q398" s="7324"/>
      <c r="R398" s="7324"/>
    </row>
    <row r="399" ht="18.75" customHeight="1">
      <c r="A399" s="7316"/>
      <c r="B399" s="7337" t="s">
        <v>1675</v>
      </c>
      <c r="C399" s="7342" t="s">
        <v>2513</v>
      </c>
      <c r="D399" s="7339"/>
      <c r="E399" s="7338" t="s">
        <v>1939</v>
      </c>
      <c r="F399" s="7338" t="str">
        <f t="shared" si="26"/>
        <v/>
      </c>
      <c r="G399" s="7338" t="s">
        <v>561</v>
      </c>
      <c r="H399" s="7338" t="str">
        <f t="shared" si="27"/>
        <v/>
      </c>
      <c r="I399" s="7338">
        <v>60.0</v>
      </c>
      <c r="J399" s="7338">
        <v>100.0</v>
      </c>
      <c r="K399" s="7338">
        <v>85.0</v>
      </c>
      <c r="L399" s="7338">
        <v>80.0</v>
      </c>
      <c r="M399" s="7338">
        <v>85.0</v>
      </c>
      <c r="N399" s="7340">
        <v>100.0</v>
      </c>
      <c r="O399" s="7321"/>
      <c r="P399" s="7324"/>
      <c r="Q399" s="7324"/>
      <c r="R399" s="7324"/>
    </row>
    <row r="400" ht="18.75" customHeight="1">
      <c r="A400" s="7316"/>
      <c r="B400" s="7331" t="s">
        <v>1028</v>
      </c>
      <c r="C400" s="7332" t="s">
        <v>2514</v>
      </c>
      <c r="D400" s="7333"/>
      <c r="E400" s="7332" t="s">
        <v>1926</v>
      </c>
      <c r="F400" s="7332" t="str">
        <f t="shared" si="26"/>
        <v/>
      </c>
      <c r="G400" s="7332"/>
      <c r="H400" s="7332" t="str">
        <f t="shared" si="27"/>
        <v/>
      </c>
      <c r="I400" s="7332">
        <v>40.0</v>
      </c>
      <c r="J400" s="7332">
        <v>45.0</v>
      </c>
      <c r="K400" s="7332">
        <v>40.0</v>
      </c>
      <c r="L400" s="7332">
        <v>65.0</v>
      </c>
      <c r="M400" s="7332">
        <v>40.0</v>
      </c>
      <c r="N400" s="7334">
        <v>65.0</v>
      </c>
      <c r="O400" s="7321"/>
      <c r="P400" s="7324"/>
      <c r="Q400" s="7324"/>
      <c r="R400" s="7324"/>
    </row>
    <row r="401" ht="18.75" customHeight="1">
      <c r="A401" s="7316"/>
      <c r="B401" s="7337" t="s">
        <v>775</v>
      </c>
      <c r="C401" s="7338" t="s">
        <v>2515</v>
      </c>
      <c r="D401" s="7339"/>
      <c r="E401" s="7338" t="s">
        <v>1926</v>
      </c>
      <c r="F401" s="7338" t="str">
        <f t="shared" si="26"/>
        <v/>
      </c>
      <c r="G401" s="7338"/>
      <c r="H401" s="7338" t="str">
        <f t="shared" si="27"/>
        <v/>
      </c>
      <c r="I401" s="7338">
        <v>70.0</v>
      </c>
      <c r="J401" s="7338">
        <v>75.0</v>
      </c>
      <c r="K401" s="7338">
        <v>60.0</v>
      </c>
      <c r="L401" s="7338">
        <v>105.0</v>
      </c>
      <c r="M401" s="7338">
        <v>60.0</v>
      </c>
      <c r="N401" s="7340">
        <v>105.0</v>
      </c>
      <c r="O401" s="7321"/>
      <c r="P401" s="7324"/>
      <c r="Q401" s="7324"/>
      <c r="R401" s="7324"/>
    </row>
    <row r="402" ht="18.75" customHeight="1">
      <c r="A402" s="7316"/>
      <c r="B402" s="7331" t="s">
        <v>230</v>
      </c>
      <c r="C402" s="7341" t="s">
        <v>2516</v>
      </c>
      <c r="D402" s="7333"/>
      <c r="E402" s="7332" t="s">
        <v>1926</v>
      </c>
      <c r="F402" s="7332" t="str">
        <f t="shared" si="26"/>
        <v/>
      </c>
      <c r="G402" s="7332"/>
      <c r="H402" s="7332" t="str">
        <f t="shared" si="27"/>
        <v/>
      </c>
      <c r="I402" s="7332">
        <v>70.0</v>
      </c>
      <c r="J402" s="7332">
        <v>75.0</v>
      </c>
      <c r="K402" s="7332">
        <v>80.0</v>
      </c>
      <c r="L402" s="7332">
        <v>135.0</v>
      </c>
      <c r="M402" s="7332">
        <v>80.0</v>
      </c>
      <c r="N402" s="7334">
        <v>135.0</v>
      </c>
      <c r="O402" s="7321"/>
      <c r="P402" s="7324"/>
      <c r="Q402" s="7324"/>
      <c r="R402" s="7324"/>
    </row>
    <row r="403" ht="18.75" customHeight="1">
      <c r="A403" s="7316"/>
      <c r="B403" s="7337" t="s">
        <v>1027</v>
      </c>
      <c r="C403" s="7338" t="s">
        <v>2517</v>
      </c>
      <c r="D403" s="7339"/>
      <c r="E403" s="7338" t="s">
        <v>1926</v>
      </c>
      <c r="F403" s="7338" t="str">
        <f t="shared" si="26"/>
        <v/>
      </c>
      <c r="G403" s="7338"/>
      <c r="H403" s="7338" t="str">
        <f t="shared" si="27"/>
        <v/>
      </c>
      <c r="I403" s="7338">
        <v>60.0</v>
      </c>
      <c r="J403" s="7338">
        <v>50.0</v>
      </c>
      <c r="K403" s="7338">
        <v>40.0</v>
      </c>
      <c r="L403" s="7338">
        <v>85.0</v>
      </c>
      <c r="M403" s="7338">
        <v>75.0</v>
      </c>
      <c r="N403" s="7340">
        <v>110.0</v>
      </c>
      <c r="O403" s="7321"/>
      <c r="P403" s="7324"/>
      <c r="Q403" s="7324"/>
      <c r="R403" s="7324"/>
    </row>
    <row r="404" ht="18.75" customHeight="1">
      <c r="A404" s="7316"/>
      <c r="B404" s="7331" t="s">
        <v>1773</v>
      </c>
      <c r="C404" s="7332" t="s">
        <v>2518</v>
      </c>
      <c r="D404" s="7333"/>
      <c r="E404" s="7341" t="s">
        <v>1926</v>
      </c>
      <c r="F404" s="7341" t="str">
        <f t="shared" si="26"/>
        <v/>
      </c>
      <c r="G404" s="7341"/>
      <c r="H404" s="7341" t="str">
        <f t="shared" si="27"/>
        <v/>
      </c>
      <c r="I404" s="7332">
        <v>60.0</v>
      </c>
      <c r="J404" s="7332">
        <v>85.0</v>
      </c>
      <c r="K404" s="7332">
        <v>75.0</v>
      </c>
      <c r="L404" s="7332">
        <v>50.0</v>
      </c>
      <c r="M404" s="7332">
        <v>40.0</v>
      </c>
      <c r="N404" s="7334">
        <v>110.0</v>
      </c>
      <c r="O404" s="7321"/>
      <c r="P404" s="7324"/>
      <c r="Q404" s="7324"/>
      <c r="R404" s="7324"/>
    </row>
    <row r="405" ht="18.75" customHeight="1">
      <c r="A405" s="7316"/>
      <c r="B405" s="7337" t="s">
        <v>1771</v>
      </c>
      <c r="C405" s="7338" t="s">
        <v>2519</v>
      </c>
      <c r="D405" s="7339"/>
      <c r="E405" s="7338" t="s">
        <v>1882</v>
      </c>
      <c r="F405" s="7338" t="str">
        <f t="shared" si="26"/>
        <v/>
      </c>
      <c r="G405" s="7338" t="s">
        <v>1926</v>
      </c>
      <c r="H405" s="7338" t="str">
        <f t="shared" si="27"/>
        <v/>
      </c>
      <c r="I405" s="7338">
        <v>85.0</v>
      </c>
      <c r="J405" s="7338">
        <v>47.0</v>
      </c>
      <c r="K405" s="7338">
        <v>75.0</v>
      </c>
      <c r="L405" s="7338">
        <v>90.0</v>
      </c>
      <c r="M405" s="7338">
        <v>85.0</v>
      </c>
      <c r="N405" s="7340">
        <v>100.0</v>
      </c>
      <c r="O405" s="7321"/>
      <c r="P405" s="7324"/>
      <c r="Q405" s="7324"/>
      <c r="R405" s="7324"/>
    </row>
    <row r="406" ht="18.75" customHeight="1">
      <c r="A406" s="7316"/>
      <c r="B406" s="7331" t="s">
        <v>1772</v>
      </c>
      <c r="C406" s="7332" t="s">
        <v>2520</v>
      </c>
      <c r="D406" s="7333"/>
      <c r="E406" s="7332" t="s">
        <v>1882</v>
      </c>
      <c r="F406" s="7332" t="str">
        <f t="shared" si="26"/>
        <v/>
      </c>
      <c r="G406" s="7332" t="s">
        <v>1935</v>
      </c>
      <c r="H406" s="7332" t="str">
        <f t="shared" si="27"/>
        <v/>
      </c>
      <c r="I406" s="7332">
        <v>85.0</v>
      </c>
      <c r="J406" s="7332">
        <v>90.0</v>
      </c>
      <c r="K406" s="7332">
        <v>75.0</v>
      </c>
      <c r="L406" s="7332">
        <v>47.0</v>
      </c>
      <c r="M406" s="7332">
        <v>85.0</v>
      </c>
      <c r="N406" s="7334">
        <v>100.0</v>
      </c>
      <c r="O406" s="7321"/>
      <c r="P406" s="7324"/>
      <c r="Q406" s="7324"/>
      <c r="R406" s="7324"/>
    </row>
    <row r="407" ht="18.75" customHeight="1">
      <c r="A407" s="7316"/>
      <c r="B407" s="7337" t="s">
        <v>2521</v>
      </c>
      <c r="C407" s="7338" t="s">
        <v>2522</v>
      </c>
      <c r="D407" s="7339"/>
      <c r="E407" s="7338" t="s">
        <v>1848</v>
      </c>
      <c r="F407" s="7338" t="str">
        <f t="shared" si="26"/>
        <v/>
      </c>
      <c r="G407" s="7338" t="s">
        <v>1849</v>
      </c>
      <c r="H407" s="7338" t="str">
        <f t="shared" si="27"/>
        <v/>
      </c>
      <c r="I407" s="7338">
        <v>50.0</v>
      </c>
      <c r="J407" s="7338">
        <v>60.0</v>
      </c>
      <c r="K407" s="7338">
        <v>45.0</v>
      </c>
      <c r="L407" s="7338">
        <v>100.0</v>
      </c>
      <c r="M407" s="7338">
        <v>80.0</v>
      </c>
      <c r="N407" s="7340">
        <v>65.0</v>
      </c>
      <c r="O407" s="7321"/>
      <c r="P407" s="7324"/>
      <c r="Q407" s="7324"/>
      <c r="R407" s="7324"/>
    </row>
    <row r="408" ht="18.75" customHeight="1">
      <c r="A408" s="7316"/>
      <c r="B408" s="7331" t="s">
        <v>989</v>
      </c>
      <c r="C408" s="7332" t="s">
        <v>2523</v>
      </c>
      <c r="D408" s="7333"/>
      <c r="E408" s="7332" t="s">
        <v>1849</v>
      </c>
      <c r="F408" s="7332" t="str">
        <f t="shared" si="26"/>
        <v/>
      </c>
      <c r="G408" s="7332"/>
      <c r="H408" s="7332" t="str">
        <f t="shared" si="27"/>
        <v/>
      </c>
      <c r="I408" s="7332">
        <v>70.0</v>
      </c>
      <c r="J408" s="7332">
        <v>43.0</v>
      </c>
      <c r="K408" s="7332">
        <v>53.0</v>
      </c>
      <c r="L408" s="7332">
        <v>43.0</v>
      </c>
      <c r="M408" s="7332">
        <v>53.0</v>
      </c>
      <c r="N408" s="7334">
        <v>40.0</v>
      </c>
      <c r="O408" s="7321"/>
      <c r="P408" s="7324"/>
      <c r="Q408" s="7324"/>
      <c r="R408" s="7324"/>
    </row>
    <row r="409" ht="18.75" customHeight="1">
      <c r="A409" s="7316"/>
      <c r="B409" s="7337" t="s">
        <v>2524</v>
      </c>
      <c r="C409" s="7338" t="s">
        <v>2525</v>
      </c>
      <c r="D409" s="7339"/>
      <c r="E409" s="7338" t="s">
        <v>1849</v>
      </c>
      <c r="F409" s="7338" t="str">
        <f t="shared" si="26"/>
        <v/>
      </c>
      <c r="G409" s="7338"/>
      <c r="H409" s="7338" t="str">
        <f t="shared" si="27"/>
        <v/>
      </c>
      <c r="I409" s="7338">
        <v>100.0</v>
      </c>
      <c r="J409" s="7338">
        <v>53.0</v>
      </c>
      <c r="K409" s="7338">
        <v>88.0</v>
      </c>
      <c r="L409" s="7338">
        <v>93.0</v>
      </c>
      <c r="M409" s="7338">
        <v>88.0</v>
      </c>
      <c r="N409" s="7340">
        <v>55.0</v>
      </c>
      <c r="O409" s="7321"/>
      <c r="P409" s="7324"/>
      <c r="Q409" s="7324"/>
      <c r="R409" s="7324"/>
    </row>
    <row r="410" ht="18.75" customHeight="1">
      <c r="A410" s="7316"/>
      <c r="B410" s="7331" t="s">
        <v>2526</v>
      </c>
      <c r="C410" s="7332" t="s">
        <v>2527</v>
      </c>
      <c r="D410" s="7333"/>
      <c r="E410" s="7332" t="s">
        <v>1871</v>
      </c>
      <c r="F410" s="7332" t="str">
        <f t="shared" si="26"/>
        <v/>
      </c>
      <c r="G410" s="7332" t="s">
        <v>1911</v>
      </c>
      <c r="H410" s="7332" t="str">
        <f t="shared" si="27"/>
        <v/>
      </c>
      <c r="I410" s="7332">
        <v>45.0</v>
      </c>
      <c r="J410" s="7332">
        <v>90.0</v>
      </c>
      <c r="K410" s="7332">
        <v>20.0</v>
      </c>
      <c r="L410" s="7332">
        <v>65.0</v>
      </c>
      <c r="M410" s="7332">
        <v>20.0</v>
      </c>
      <c r="N410" s="7334">
        <v>65.0</v>
      </c>
      <c r="O410" s="7321"/>
      <c r="P410" s="7324"/>
      <c r="Q410" s="7324"/>
      <c r="R410" s="7324"/>
    </row>
    <row r="411" ht="18.75" customHeight="1">
      <c r="A411" s="7316"/>
      <c r="B411" s="7337" t="s">
        <v>2528</v>
      </c>
      <c r="C411" s="7338" t="s">
        <v>2529</v>
      </c>
      <c r="D411" s="7339"/>
      <c r="E411" s="7338" t="s">
        <v>1871</v>
      </c>
      <c r="F411" s="7338" t="str">
        <f t="shared" si="26"/>
        <v/>
      </c>
      <c r="G411" s="7338" t="s">
        <v>1911</v>
      </c>
      <c r="H411" s="7338" t="str">
        <f t="shared" si="27"/>
        <v/>
      </c>
      <c r="I411" s="7338">
        <v>70.0</v>
      </c>
      <c r="J411" s="7338">
        <v>120.0</v>
      </c>
      <c r="K411" s="7338">
        <v>40.0</v>
      </c>
      <c r="L411" s="7338">
        <v>95.0</v>
      </c>
      <c r="M411" s="7338">
        <v>40.0</v>
      </c>
      <c r="N411" s="7340">
        <v>95.0</v>
      </c>
      <c r="O411" s="7321"/>
      <c r="P411" s="7324"/>
      <c r="Q411" s="7324"/>
      <c r="R411" s="7324"/>
    </row>
    <row r="412" ht="18.75" customHeight="1">
      <c r="A412" s="7316"/>
      <c r="B412" s="7331" t="s">
        <v>1304</v>
      </c>
      <c r="C412" s="7341" t="s">
        <v>2530</v>
      </c>
      <c r="D412" s="7333"/>
      <c r="E412" s="7332" t="s">
        <v>1871</v>
      </c>
      <c r="F412" s="7332" t="str">
        <f t="shared" si="26"/>
        <v/>
      </c>
      <c r="G412" s="7332" t="s">
        <v>1911</v>
      </c>
      <c r="H412" s="7332" t="str">
        <f t="shared" si="27"/>
        <v/>
      </c>
      <c r="I412" s="7332">
        <v>70.0</v>
      </c>
      <c r="J412" s="7332">
        <v>140.0</v>
      </c>
      <c r="K412" s="7332">
        <v>70.0</v>
      </c>
      <c r="L412" s="7332">
        <v>110.0</v>
      </c>
      <c r="M412" s="7332">
        <v>65.0</v>
      </c>
      <c r="N412" s="7334">
        <v>105.0</v>
      </c>
      <c r="O412" s="7321"/>
      <c r="P412" s="7324"/>
      <c r="Q412" s="7324"/>
      <c r="R412" s="7324"/>
    </row>
    <row r="413" ht="18.75" customHeight="1">
      <c r="A413" s="7316"/>
      <c r="B413" s="7337" t="s">
        <v>2531</v>
      </c>
      <c r="C413" s="7338" t="s">
        <v>2532</v>
      </c>
      <c r="D413" s="7339"/>
      <c r="E413" s="7342" t="s">
        <v>1871</v>
      </c>
      <c r="F413" s="7342" t="str">
        <f t="shared" si="26"/>
        <v/>
      </c>
      <c r="G413" s="7342"/>
      <c r="H413" s="7342" t="str">
        <f t="shared" si="27"/>
        <v/>
      </c>
      <c r="I413" s="7338">
        <v>130.0</v>
      </c>
      <c r="J413" s="7338">
        <v>70.0</v>
      </c>
      <c r="K413" s="7338">
        <v>35.0</v>
      </c>
      <c r="L413" s="7338">
        <v>70.0</v>
      </c>
      <c r="M413" s="7338">
        <v>35.0</v>
      </c>
      <c r="N413" s="7340">
        <v>60.0</v>
      </c>
      <c r="O413" s="7321"/>
      <c r="P413" s="7324"/>
      <c r="Q413" s="7324"/>
      <c r="R413" s="7324"/>
    </row>
    <row r="414" ht="18.75" customHeight="1">
      <c r="A414" s="7316"/>
      <c r="B414" s="7331" t="s">
        <v>2533</v>
      </c>
      <c r="C414" s="7332" t="s">
        <v>2534</v>
      </c>
      <c r="D414" s="7333"/>
      <c r="E414" s="7332" t="s">
        <v>1871</v>
      </c>
      <c r="F414" s="7332" t="str">
        <f t="shared" si="26"/>
        <v/>
      </c>
      <c r="G414" s="7332"/>
      <c r="H414" s="7332" t="str">
        <f t="shared" si="27"/>
        <v/>
      </c>
      <c r="I414" s="7332">
        <v>150.0</v>
      </c>
      <c r="J414" s="7332">
        <v>50.0</v>
      </c>
      <c r="K414" s="7332">
        <v>80.0</v>
      </c>
      <c r="L414" s="7332">
        <v>105.0</v>
      </c>
      <c r="M414" s="7332">
        <v>80.0</v>
      </c>
      <c r="N414" s="7334">
        <v>50.0</v>
      </c>
      <c r="O414" s="7321"/>
      <c r="P414" s="7324"/>
      <c r="Q414" s="7324"/>
      <c r="R414" s="7324"/>
    </row>
    <row r="415" ht="18.75" customHeight="1">
      <c r="A415" s="7316"/>
      <c r="B415" s="7337" t="s">
        <v>2535</v>
      </c>
      <c r="C415" s="7338" t="s">
        <v>2536</v>
      </c>
      <c r="D415" s="7339"/>
      <c r="E415" s="7342" t="s">
        <v>1858</v>
      </c>
      <c r="F415" s="7342" t="str">
        <f t="shared" si="26"/>
        <v/>
      </c>
      <c r="G415" s="7342" t="s">
        <v>1948</v>
      </c>
      <c r="H415" s="7342" t="str">
        <f t="shared" si="27"/>
        <v/>
      </c>
      <c r="I415" s="7338">
        <v>60.0</v>
      </c>
      <c r="J415" s="7338">
        <v>60.0</v>
      </c>
      <c r="K415" s="7338">
        <v>40.0</v>
      </c>
      <c r="L415" s="7338">
        <v>65.0</v>
      </c>
      <c r="M415" s="7338">
        <v>45.0</v>
      </c>
      <c r="N415" s="7340">
        <v>35.0</v>
      </c>
      <c r="O415" s="7321"/>
      <c r="P415" s="7324"/>
      <c r="Q415" s="7324"/>
      <c r="R415" s="7324"/>
    </row>
    <row r="416" ht="18.75" customHeight="1">
      <c r="A416" s="7316"/>
      <c r="B416" s="7331" t="s">
        <v>2537</v>
      </c>
      <c r="C416" s="7332" t="s">
        <v>2538</v>
      </c>
      <c r="D416" s="7333"/>
      <c r="E416" s="7332" t="s">
        <v>1858</v>
      </c>
      <c r="F416" s="7332" t="str">
        <f t="shared" si="26"/>
        <v/>
      </c>
      <c r="G416" s="7332" t="s">
        <v>1948</v>
      </c>
      <c r="H416" s="7332" t="str">
        <f t="shared" si="27"/>
        <v/>
      </c>
      <c r="I416" s="7332">
        <v>90.0</v>
      </c>
      <c r="J416" s="7332">
        <v>100.0</v>
      </c>
      <c r="K416" s="7332">
        <v>70.0</v>
      </c>
      <c r="L416" s="7332">
        <v>105.0</v>
      </c>
      <c r="M416" s="7332">
        <v>75.0</v>
      </c>
      <c r="N416" s="7334">
        <v>40.0</v>
      </c>
      <c r="O416" s="7321"/>
      <c r="P416" s="7324"/>
      <c r="Q416" s="7324"/>
      <c r="R416" s="7324"/>
    </row>
    <row r="417" ht="18.75" customHeight="1">
      <c r="A417" s="7316"/>
      <c r="B417" s="7337" t="s">
        <v>1159</v>
      </c>
      <c r="C417" s="7342" t="s">
        <v>2539</v>
      </c>
      <c r="D417" s="7339"/>
      <c r="E417" s="7342" t="s">
        <v>1858</v>
      </c>
      <c r="F417" s="7342" t="str">
        <f t="shared" si="26"/>
        <v/>
      </c>
      <c r="G417" s="7342" t="s">
        <v>1948</v>
      </c>
      <c r="H417" s="7342" t="str">
        <f t="shared" si="27"/>
        <v/>
      </c>
      <c r="I417" s="7338">
        <v>90.0</v>
      </c>
      <c r="J417" s="7338">
        <v>100.0</v>
      </c>
      <c r="K417" s="7338">
        <v>110.0</v>
      </c>
      <c r="L417" s="7338">
        <v>145.0</v>
      </c>
      <c r="M417" s="7338">
        <v>115.0</v>
      </c>
      <c r="N417" s="7340">
        <v>20.0</v>
      </c>
      <c r="O417" s="7321"/>
      <c r="P417" s="7324"/>
      <c r="Q417" s="7324"/>
      <c r="R417" s="7324"/>
    </row>
    <row r="418" ht="18.75" customHeight="1">
      <c r="A418" s="7316"/>
      <c r="B418" s="7331" t="s">
        <v>1591</v>
      </c>
      <c r="C418" s="7332" t="s">
        <v>2540</v>
      </c>
      <c r="D418" s="7333"/>
      <c r="E418" s="7341" t="s">
        <v>1858</v>
      </c>
      <c r="F418" s="7341" t="str">
        <f t="shared" si="26"/>
        <v/>
      </c>
      <c r="G418" s="7341"/>
      <c r="H418" s="7341" t="str">
        <f t="shared" si="27"/>
        <v/>
      </c>
      <c r="I418" s="7332">
        <v>70.0</v>
      </c>
      <c r="J418" s="7332">
        <v>75.0</v>
      </c>
      <c r="K418" s="7332">
        <v>140.0</v>
      </c>
      <c r="L418" s="7332">
        <v>95.0</v>
      </c>
      <c r="M418" s="7332">
        <v>70.0</v>
      </c>
      <c r="N418" s="7334">
        <v>20.0</v>
      </c>
      <c r="O418" s="7321"/>
      <c r="P418" s="7324"/>
      <c r="Q418" s="7324"/>
      <c r="R418" s="7324"/>
    </row>
    <row r="419" ht="18.75" customHeight="1">
      <c r="A419" s="7316"/>
      <c r="B419" s="7337" t="s">
        <v>2541</v>
      </c>
      <c r="C419" s="7338" t="s">
        <v>2542</v>
      </c>
      <c r="D419" s="7339"/>
      <c r="E419" s="7338" t="s">
        <v>561</v>
      </c>
      <c r="F419" s="7338" t="str">
        <f t="shared" si="26"/>
        <v/>
      </c>
      <c r="G419" s="7338"/>
      <c r="H419" s="7338" t="str">
        <f t="shared" si="27"/>
        <v/>
      </c>
      <c r="I419" s="7338">
        <v>60.0</v>
      </c>
      <c r="J419" s="7338">
        <v>25.0</v>
      </c>
      <c r="K419" s="7338">
        <v>35.0</v>
      </c>
      <c r="L419" s="7338">
        <v>70.0</v>
      </c>
      <c r="M419" s="7338">
        <v>80.0</v>
      </c>
      <c r="N419" s="7340">
        <v>60.0</v>
      </c>
      <c r="O419" s="7321"/>
      <c r="P419" s="7324"/>
      <c r="Q419" s="7324"/>
      <c r="R419" s="7324"/>
    </row>
    <row r="420" ht="18.75" customHeight="1">
      <c r="A420" s="7316"/>
      <c r="B420" s="7331" t="s">
        <v>2543</v>
      </c>
      <c r="C420" s="7332" t="s">
        <v>2544</v>
      </c>
      <c r="D420" s="7333"/>
      <c r="E420" s="7341" t="s">
        <v>561</v>
      </c>
      <c r="F420" s="7341" t="str">
        <f t="shared" si="26"/>
        <v/>
      </c>
      <c r="G420" s="7341"/>
      <c r="H420" s="7341" t="str">
        <f t="shared" si="27"/>
        <v/>
      </c>
      <c r="I420" s="7332">
        <v>90.0</v>
      </c>
      <c r="J420" s="7332">
        <v>45.0</v>
      </c>
      <c r="K420" s="7332">
        <v>65.0</v>
      </c>
      <c r="L420" s="7332">
        <v>90.0</v>
      </c>
      <c r="M420" s="7332">
        <v>110.0</v>
      </c>
      <c r="N420" s="7334">
        <v>80.0</v>
      </c>
      <c r="O420" s="7321"/>
      <c r="P420" s="7324"/>
      <c r="Q420" s="7324"/>
      <c r="R420" s="7324"/>
    </row>
    <row r="421" ht="18.75" customHeight="1">
      <c r="A421" s="7316"/>
      <c r="B421" s="7337" t="s">
        <v>1076</v>
      </c>
      <c r="C421" s="7338" t="s">
        <v>2545</v>
      </c>
      <c r="D421" s="7339"/>
      <c r="E421" s="7338" t="s">
        <v>1901</v>
      </c>
      <c r="F421" s="7338" t="str">
        <f t="shared" si="26"/>
        <v/>
      </c>
      <c r="G421" s="7338"/>
      <c r="H421" s="7338" t="str">
        <f t="shared" si="27"/>
        <v/>
      </c>
      <c r="I421" s="7338">
        <v>80.0</v>
      </c>
      <c r="J421" s="7338">
        <v>80.0</v>
      </c>
      <c r="K421" s="7338">
        <v>80.0</v>
      </c>
      <c r="L421" s="7338">
        <v>80.0</v>
      </c>
      <c r="M421" s="7338">
        <v>80.0</v>
      </c>
      <c r="N421" s="7340">
        <v>80.0</v>
      </c>
      <c r="O421" s="7321"/>
      <c r="P421" s="7324"/>
      <c r="Q421" s="7324"/>
      <c r="R421" s="7324"/>
    </row>
    <row r="422" ht="18.75" customHeight="1">
      <c r="A422" s="7316"/>
      <c r="B422" s="7331" t="s">
        <v>2546</v>
      </c>
      <c r="C422" s="7332" t="s">
        <v>2547</v>
      </c>
      <c r="D422" s="7333"/>
      <c r="E422" s="7332" t="s">
        <v>1948</v>
      </c>
      <c r="F422" s="7332" t="str">
        <f t="shared" si="26"/>
        <v/>
      </c>
      <c r="G422" s="7332"/>
      <c r="H422" s="7332" t="str">
        <f t="shared" si="27"/>
        <v/>
      </c>
      <c r="I422" s="7332">
        <v>45.0</v>
      </c>
      <c r="J422" s="7332">
        <v>100.0</v>
      </c>
      <c r="K422" s="7332">
        <v>45.0</v>
      </c>
      <c r="L422" s="7332">
        <v>45.0</v>
      </c>
      <c r="M422" s="7332">
        <v>45.0</v>
      </c>
      <c r="N422" s="7334">
        <v>10.0</v>
      </c>
      <c r="O422" s="7321"/>
      <c r="P422" s="7324"/>
      <c r="Q422" s="7324"/>
      <c r="R422" s="7324"/>
    </row>
    <row r="423" ht="18.75" customHeight="1">
      <c r="A423" s="7316"/>
      <c r="B423" s="7337" t="s">
        <v>2548</v>
      </c>
      <c r="C423" s="7338" t="s">
        <v>2549</v>
      </c>
      <c r="D423" s="7339"/>
      <c r="E423" s="7338" t="s">
        <v>1948</v>
      </c>
      <c r="F423" s="7338" t="str">
        <f t="shared" si="26"/>
        <v/>
      </c>
      <c r="G423" s="7338" t="s">
        <v>1866</v>
      </c>
      <c r="H423" s="7338" t="str">
        <f t="shared" si="27"/>
        <v/>
      </c>
      <c r="I423" s="7338">
        <v>50.0</v>
      </c>
      <c r="J423" s="7338">
        <v>70.0</v>
      </c>
      <c r="K423" s="7338">
        <v>50.0</v>
      </c>
      <c r="L423" s="7338">
        <v>50.0</v>
      </c>
      <c r="M423" s="7338">
        <v>50.0</v>
      </c>
      <c r="N423" s="7340">
        <v>70.0</v>
      </c>
      <c r="O423" s="7321"/>
      <c r="P423" s="7324"/>
      <c r="Q423" s="7324"/>
      <c r="R423" s="7324"/>
    </row>
    <row r="424" ht="18.75" customHeight="1">
      <c r="A424" s="7316"/>
      <c r="B424" s="7331" t="s">
        <v>777</v>
      </c>
      <c r="C424" s="7332" t="s">
        <v>2550</v>
      </c>
      <c r="D424" s="7333"/>
      <c r="E424" s="7332" t="s">
        <v>1948</v>
      </c>
      <c r="F424" s="7332" t="str">
        <f t="shared" si="26"/>
        <v/>
      </c>
      <c r="G424" s="7332" t="s">
        <v>1866</v>
      </c>
      <c r="H424" s="7332" t="str">
        <f t="shared" si="27"/>
        <v/>
      </c>
      <c r="I424" s="7332">
        <v>100.0</v>
      </c>
      <c r="J424" s="7332">
        <v>100.0</v>
      </c>
      <c r="K424" s="7332">
        <v>80.0</v>
      </c>
      <c r="L424" s="7332">
        <v>100.0</v>
      </c>
      <c r="M424" s="7332">
        <v>80.0</v>
      </c>
      <c r="N424" s="7334">
        <v>100.0</v>
      </c>
      <c r="O424" s="7321"/>
      <c r="P424" s="7324"/>
      <c r="Q424" s="7324"/>
      <c r="R424" s="7324"/>
    </row>
    <row r="425" ht="18.75" customHeight="1">
      <c r="A425" s="7316"/>
      <c r="B425" s="7337" t="s">
        <v>2551</v>
      </c>
      <c r="C425" s="7338" t="s">
        <v>2552</v>
      </c>
      <c r="D425" s="7339"/>
      <c r="E425" s="7338" t="s">
        <v>1848</v>
      </c>
      <c r="F425" s="7338" t="str">
        <f t="shared" si="26"/>
        <v/>
      </c>
      <c r="G425" s="7338"/>
      <c r="H425" s="7338" t="str">
        <f t="shared" si="27"/>
        <v/>
      </c>
      <c r="I425" s="7338">
        <v>50.0</v>
      </c>
      <c r="J425" s="7338">
        <v>85.0</v>
      </c>
      <c r="K425" s="7338">
        <v>40.0</v>
      </c>
      <c r="L425" s="7338">
        <v>85.0</v>
      </c>
      <c r="M425" s="7338">
        <v>40.0</v>
      </c>
      <c r="N425" s="7340">
        <v>35.0</v>
      </c>
      <c r="O425" s="7321"/>
      <c r="P425" s="7324"/>
      <c r="Q425" s="7324"/>
      <c r="R425" s="7324"/>
    </row>
    <row r="426" ht="18.75" customHeight="1">
      <c r="A426" s="7316"/>
      <c r="B426" s="7331" t="s">
        <v>1195</v>
      </c>
      <c r="C426" s="7332" t="s">
        <v>2553</v>
      </c>
      <c r="D426" s="7333"/>
      <c r="E426" s="7341" t="s">
        <v>1848</v>
      </c>
      <c r="F426" s="7341" t="str">
        <f t="shared" si="26"/>
        <v/>
      </c>
      <c r="G426" s="7341" t="s">
        <v>1911</v>
      </c>
      <c r="H426" s="7341" t="str">
        <f t="shared" si="27"/>
        <v/>
      </c>
      <c r="I426" s="7332">
        <v>70.0</v>
      </c>
      <c r="J426" s="7332">
        <v>120.0</v>
      </c>
      <c r="K426" s="7332">
        <v>60.0</v>
      </c>
      <c r="L426" s="7332">
        <v>120.0</v>
      </c>
      <c r="M426" s="7332">
        <v>60.0</v>
      </c>
      <c r="N426" s="7334">
        <v>55.0</v>
      </c>
      <c r="O426" s="7321"/>
      <c r="P426" s="7324"/>
      <c r="Q426" s="7324"/>
      <c r="R426" s="7324"/>
    </row>
    <row r="427" ht="18.75" customHeight="1">
      <c r="A427" s="7316"/>
      <c r="B427" s="7337" t="s">
        <v>2554</v>
      </c>
      <c r="C427" s="7338" t="s">
        <v>2555</v>
      </c>
      <c r="D427" s="7339"/>
      <c r="E427" s="7338" t="s">
        <v>1901</v>
      </c>
      <c r="F427" s="7338" t="str">
        <f t="shared" si="26"/>
        <v/>
      </c>
      <c r="G427" s="7338" t="s">
        <v>1863</v>
      </c>
      <c r="H427" s="7338" t="str">
        <f t="shared" si="27"/>
        <v/>
      </c>
      <c r="I427" s="7338">
        <v>45.0</v>
      </c>
      <c r="J427" s="7338">
        <v>40.0</v>
      </c>
      <c r="K427" s="7338">
        <v>60.0</v>
      </c>
      <c r="L427" s="7338">
        <v>40.0</v>
      </c>
      <c r="M427" s="7338">
        <v>75.0</v>
      </c>
      <c r="N427" s="7340">
        <v>50.0</v>
      </c>
      <c r="O427" s="7321"/>
      <c r="P427" s="7324"/>
      <c r="Q427" s="7324"/>
      <c r="R427" s="7324"/>
    </row>
    <row r="428" ht="18.75" customHeight="1">
      <c r="A428" s="7316"/>
      <c r="B428" s="7331" t="s">
        <v>2556</v>
      </c>
      <c r="C428" s="7332" t="s">
        <v>2557</v>
      </c>
      <c r="D428" s="7333"/>
      <c r="E428" s="7332" t="s">
        <v>1866</v>
      </c>
      <c r="F428" s="7332" t="str">
        <f t="shared" si="26"/>
        <v/>
      </c>
      <c r="G428" s="7332" t="s">
        <v>1863</v>
      </c>
      <c r="H428" s="7332" t="str">
        <f t="shared" si="27"/>
        <v/>
      </c>
      <c r="I428" s="7332">
        <v>85.0</v>
      </c>
      <c r="J428" s="7332">
        <v>70.0</v>
      </c>
      <c r="K428" s="7332">
        <v>90.0</v>
      </c>
      <c r="L428" s="7332">
        <v>70.0</v>
      </c>
      <c r="M428" s="7332">
        <v>105.0</v>
      </c>
      <c r="N428" s="7334">
        <v>80.0</v>
      </c>
      <c r="O428" s="7321"/>
      <c r="P428" s="7324"/>
      <c r="Q428" s="7324"/>
      <c r="R428" s="7324"/>
    </row>
    <row r="429" ht="18.75" customHeight="1">
      <c r="A429" s="7316"/>
      <c r="B429" s="7337" t="s">
        <v>1131</v>
      </c>
      <c r="C429" s="7342" t="s">
        <v>2558</v>
      </c>
      <c r="D429" s="7339"/>
      <c r="E429" s="7338" t="s">
        <v>1866</v>
      </c>
      <c r="F429" s="7338" t="str">
        <f t="shared" si="26"/>
        <v/>
      </c>
      <c r="G429" s="7338" t="s">
        <v>1935</v>
      </c>
      <c r="H429" s="7338" t="str">
        <f t="shared" si="27"/>
        <v/>
      </c>
      <c r="I429" s="7338">
        <v>85.0</v>
      </c>
      <c r="J429" s="7338">
        <v>110.0</v>
      </c>
      <c r="K429" s="7338">
        <v>110.0</v>
      </c>
      <c r="L429" s="7338">
        <v>110.0</v>
      </c>
      <c r="M429" s="7338">
        <v>105.0</v>
      </c>
      <c r="N429" s="7340">
        <v>80.0</v>
      </c>
      <c r="O429" s="7321"/>
      <c r="P429" s="7324"/>
      <c r="Q429" s="7324"/>
      <c r="R429" s="7324"/>
    </row>
    <row r="430" ht="18.75" customHeight="1">
      <c r="A430" s="7316"/>
      <c r="B430" s="7331" t="s">
        <v>1743</v>
      </c>
      <c r="C430" s="7332" t="s">
        <v>2559</v>
      </c>
      <c r="D430" s="7333"/>
      <c r="E430" s="7341" t="s">
        <v>1901</v>
      </c>
      <c r="F430" s="7341" t="str">
        <f t="shared" si="26"/>
        <v/>
      </c>
      <c r="G430" s="7341"/>
      <c r="H430" s="7341" t="str">
        <f t="shared" si="27"/>
        <v/>
      </c>
      <c r="I430" s="7332">
        <v>73.0</v>
      </c>
      <c r="J430" s="7332">
        <v>115.0</v>
      </c>
      <c r="K430" s="7332">
        <v>70.0</v>
      </c>
      <c r="L430" s="7332">
        <v>60.0</v>
      </c>
      <c r="M430" s="7332">
        <v>70.0</v>
      </c>
      <c r="N430" s="7334">
        <v>100.0</v>
      </c>
      <c r="O430" s="7321"/>
      <c r="P430" s="7324"/>
      <c r="Q430" s="7324"/>
      <c r="R430" s="7324"/>
    </row>
    <row r="431" ht="18.75" customHeight="1">
      <c r="A431" s="7316"/>
      <c r="B431" s="7337" t="s">
        <v>2560</v>
      </c>
      <c r="C431" s="7338" t="s">
        <v>2561</v>
      </c>
      <c r="D431" s="7339"/>
      <c r="E431" s="7338" t="s">
        <v>1849</v>
      </c>
      <c r="F431" s="7338" t="str">
        <f t="shared" si="26"/>
        <v/>
      </c>
      <c r="G431" s="7338"/>
      <c r="H431" s="7338" t="str">
        <f t="shared" si="27"/>
        <v/>
      </c>
      <c r="I431" s="7338">
        <v>83.0</v>
      </c>
      <c r="J431" s="7338">
        <v>100.0</v>
      </c>
      <c r="K431" s="7338">
        <v>83.0</v>
      </c>
      <c r="L431" s="7338">
        <v>100.0</v>
      </c>
      <c r="M431" s="7338">
        <v>83.0</v>
      </c>
      <c r="N431" s="7340">
        <v>85.0</v>
      </c>
      <c r="O431" s="7321"/>
      <c r="P431" s="7324"/>
      <c r="Q431" s="7324"/>
      <c r="R431" s="7324"/>
    </row>
    <row r="432" ht="18.75" customHeight="1">
      <c r="A432" s="7316"/>
      <c r="B432" s="7331" t="s">
        <v>730</v>
      </c>
      <c r="C432" s="7332" t="s">
        <v>2562</v>
      </c>
      <c r="D432" s="7333"/>
      <c r="E432" s="7332" t="s">
        <v>2014</v>
      </c>
      <c r="F432" s="7332" t="str">
        <f t="shared" si="26"/>
        <v/>
      </c>
      <c r="G432" s="7332" t="s">
        <v>561</v>
      </c>
      <c r="H432" s="7332" t="str">
        <f t="shared" si="27"/>
        <v/>
      </c>
      <c r="I432" s="7332">
        <v>90.0</v>
      </c>
      <c r="J432" s="7332">
        <v>55.0</v>
      </c>
      <c r="K432" s="7332">
        <v>65.0</v>
      </c>
      <c r="L432" s="7332">
        <v>105.0</v>
      </c>
      <c r="M432" s="7332">
        <v>85.0</v>
      </c>
      <c r="N432" s="7334">
        <v>90.0</v>
      </c>
      <c r="O432" s="7321"/>
      <c r="P432" s="7324"/>
      <c r="Q432" s="7324"/>
      <c r="R432" s="7324"/>
    </row>
    <row r="433" ht="18.75" customHeight="1">
      <c r="A433" s="7316"/>
      <c r="B433" s="7337" t="s">
        <v>774</v>
      </c>
      <c r="C433" s="7338" t="s">
        <v>2563</v>
      </c>
      <c r="D433" s="7339"/>
      <c r="E433" s="7338" t="s">
        <v>2014</v>
      </c>
      <c r="F433" s="7338" t="str">
        <f t="shared" si="26"/>
        <v/>
      </c>
      <c r="G433" s="7338" t="s">
        <v>561</v>
      </c>
      <c r="H433" s="7338" t="str">
        <f t="shared" si="27"/>
        <v/>
      </c>
      <c r="I433" s="7338">
        <v>90.0</v>
      </c>
      <c r="J433" s="7338">
        <v>105.0</v>
      </c>
      <c r="K433" s="7338">
        <v>85.0</v>
      </c>
      <c r="L433" s="7338">
        <v>55.0</v>
      </c>
      <c r="M433" s="7338">
        <v>65.0</v>
      </c>
      <c r="N433" s="7340">
        <v>90.0</v>
      </c>
      <c r="O433" s="7321"/>
      <c r="P433" s="7324"/>
      <c r="Q433" s="7324"/>
      <c r="R433" s="7324"/>
    </row>
    <row r="434" ht="18.75" customHeight="1">
      <c r="A434" s="7316"/>
      <c r="B434" s="7331" t="s">
        <v>2564</v>
      </c>
      <c r="C434" s="7332" t="s">
        <v>2565</v>
      </c>
      <c r="D434" s="7333"/>
      <c r="E434" s="7332" t="s">
        <v>1871</v>
      </c>
      <c r="F434" s="7332" t="str">
        <f t="shared" si="26"/>
        <v/>
      </c>
      <c r="G434" s="7332" t="s">
        <v>1948</v>
      </c>
      <c r="H434" s="7332" t="str">
        <f t="shared" si="27"/>
        <v/>
      </c>
      <c r="I434" s="7332">
        <v>50.0</v>
      </c>
      <c r="J434" s="7332">
        <v>48.0</v>
      </c>
      <c r="K434" s="7332">
        <v>43.0</v>
      </c>
      <c r="L434" s="7332">
        <v>46.0</v>
      </c>
      <c r="M434" s="7332">
        <v>41.0</v>
      </c>
      <c r="N434" s="7334">
        <v>60.0</v>
      </c>
      <c r="O434" s="7321"/>
      <c r="P434" s="7324"/>
      <c r="Q434" s="7324"/>
      <c r="R434" s="7324"/>
    </row>
    <row r="435" ht="18.75" customHeight="1">
      <c r="A435" s="7316"/>
      <c r="B435" s="7337" t="s">
        <v>1215</v>
      </c>
      <c r="C435" s="7338" t="s">
        <v>2566</v>
      </c>
      <c r="D435" s="7339"/>
      <c r="E435" s="7338" t="s">
        <v>1871</v>
      </c>
      <c r="F435" s="7338" t="str">
        <f t="shared" si="26"/>
        <v/>
      </c>
      <c r="G435" s="7338" t="s">
        <v>1948</v>
      </c>
      <c r="H435" s="7338" t="str">
        <f t="shared" si="27"/>
        <v/>
      </c>
      <c r="I435" s="7338">
        <v>110.0</v>
      </c>
      <c r="J435" s="7338">
        <v>78.0</v>
      </c>
      <c r="K435" s="7338">
        <v>73.0</v>
      </c>
      <c r="L435" s="7338">
        <v>76.0</v>
      </c>
      <c r="M435" s="7338">
        <v>71.0</v>
      </c>
      <c r="N435" s="7340">
        <v>60.0</v>
      </c>
      <c r="O435" s="7321"/>
      <c r="P435" s="7324"/>
      <c r="Q435" s="7324"/>
      <c r="R435" s="7324"/>
    </row>
    <row r="436" ht="18.75" customHeight="1">
      <c r="A436" s="7316"/>
      <c r="B436" s="7331" t="s">
        <v>699</v>
      </c>
      <c r="C436" s="7332" t="s">
        <v>2567</v>
      </c>
      <c r="D436" s="7333"/>
      <c r="E436" s="7341" t="s">
        <v>1871</v>
      </c>
      <c r="F436" s="7341" t="str">
        <f t="shared" si="26"/>
        <v/>
      </c>
      <c r="G436" s="7341"/>
      <c r="H436" s="7341" t="str">
        <f t="shared" si="27"/>
        <v/>
      </c>
      <c r="I436" s="7332">
        <v>43.0</v>
      </c>
      <c r="J436" s="7332">
        <v>80.0</v>
      </c>
      <c r="K436" s="7332">
        <v>65.0</v>
      </c>
      <c r="L436" s="7332">
        <v>50.0</v>
      </c>
      <c r="M436" s="7332">
        <v>35.0</v>
      </c>
      <c r="N436" s="7334">
        <v>35.0</v>
      </c>
      <c r="O436" s="7321"/>
      <c r="P436" s="7324"/>
      <c r="Q436" s="7324"/>
      <c r="R436" s="7324"/>
    </row>
    <row r="437" ht="18.75" customHeight="1">
      <c r="A437" s="7316"/>
      <c r="B437" s="7337" t="s">
        <v>731</v>
      </c>
      <c r="C437" s="7338" t="s">
        <v>2568</v>
      </c>
      <c r="D437" s="7339"/>
      <c r="E437" s="7338" t="s">
        <v>1871</v>
      </c>
      <c r="F437" s="7338" t="str">
        <f t="shared" si="26"/>
        <v/>
      </c>
      <c r="G437" s="7338" t="s">
        <v>1911</v>
      </c>
      <c r="H437" s="7338" t="str">
        <f t="shared" si="27"/>
        <v/>
      </c>
      <c r="I437" s="7338">
        <v>63.0</v>
      </c>
      <c r="J437" s="7338">
        <v>120.0</v>
      </c>
      <c r="K437" s="7338">
        <v>85.0</v>
      </c>
      <c r="L437" s="7338">
        <v>90.0</v>
      </c>
      <c r="M437" s="7338">
        <v>55.0</v>
      </c>
      <c r="N437" s="7340">
        <v>55.0</v>
      </c>
      <c r="O437" s="7321"/>
      <c r="P437" s="7324"/>
      <c r="Q437" s="7324"/>
      <c r="R437" s="7324"/>
    </row>
    <row r="438" ht="18.75" customHeight="1">
      <c r="A438" s="7316"/>
      <c r="B438" s="7331" t="s">
        <v>2569</v>
      </c>
      <c r="C438" s="7332" t="s">
        <v>2570</v>
      </c>
      <c r="D438" s="7333"/>
      <c r="E438" s="7332" t="s">
        <v>1948</v>
      </c>
      <c r="F438" s="7332" t="str">
        <f t="shared" si="26"/>
        <v/>
      </c>
      <c r="G438" s="7332" t="s">
        <v>561</v>
      </c>
      <c r="H438" s="7332" t="str">
        <f t="shared" si="27"/>
        <v/>
      </c>
      <c r="I438" s="7332">
        <v>40.0</v>
      </c>
      <c r="J438" s="7332">
        <v>40.0</v>
      </c>
      <c r="K438" s="7332">
        <v>55.0</v>
      </c>
      <c r="L438" s="7332">
        <v>40.0</v>
      </c>
      <c r="M438" s="7332">
        <v>70.0</v>
      </c>
      <c r="N438" s="7334">
        <v>55.0</v>
      </c>
      <c r="O438" s="7321"/>
      <c r="P438" s="7324"/>
      <c r="Q438" s="7324"/>
      <c r="R438" s="7324"/>
    </row>
    <row r="439" ht="18.75" customHeight="1">
      <c r="A439" s="7316"/>
      <c r="B439" s="7337" t="s">
        <v>2571</v>
      </c>
      <c r="C439" s="7338" t="s">
        <v>2572</v>
      </c>
      <c r="D439" s="7339"/>
      <c r="E439" s="7338" t="s">
        <v>1948</v>
      </c>
      <c r="F439" s="7338" t="str">
        <f t="shared" si="26"/>
        <v/>
      </c>
      <c r="G439" s="7338" t="s">
        <v>561</v>
      </c>
      <c r="H439" s="7338" t="str">
        <f t="shared" si="27"/>
        <v/>
      </c>
      <c r="I439" s="7338">
        <v>60.0</v>
      </c>
      <c r="J439" s="7338">
        <v>70.0</v>
      </c>
      <c r="K439" s="7338">
        <v>105.0</v>
      </c>
      <c r="L439" s="7338">
        <v>80.0</v>
      </c>
      <c r="M439" s="7338">
        <v>120.0</v>
      </c>
      <c r="N439" s="7340">
        <v>75.0</v>
      </c>
      <c r="O439" s="7321"/>
      <c r="P439" s="7324"/>
      <c r="Q439" s="7324"/>
      <c r="R439" s="7324"/>
    </row>
    <row r="440" ht="18.75" customHeight="1">
      <c r="A440" s="7316"/>
      <c r="B440" s="7331" t="s">
        <v>1064</v>
      </c>
      <c r="C440" s="7332" t="s">
        <v>2573</v>
      </c>
      <c r="D440" s="7333"/>
      <c r="E440" s="7332" t="s">
        <v>2014</v>
      </c>
      <c r="F440" s="7332" t="str">
        <f t="shared" si="26"/>
        <v/>
      </c>
      <c r="G440" s="7332" t="s">
        <v>1848</v>
      </c>
      <c r="H440" s="7332" t="str">
        <f t="shared" si="27"/>
        <v/>
      </c>
      <c r="I440" s="7332">
        <v>66.0</v>
      </c>
      <c r="J440" s="7332">
        <v>41.0</v>
      </c>
      <c r="K440" s="7332">
        <v>77.0</v>
      </c>
      <c r="L440" s="7332">
        <v>61.0</v>
      </c>
      <c r="M440" s="7332">
        <v>87.0</v>
      </c>
      <c r="N440" s="7334">
        <v>23.0</v>
      </c>
      <c r="O440" s="7321"/>
      <c r="P440" s="7324"/>
      <c r="Q440" s="7324"/>
      <c r="R440" s="7324"/>
    </row>
    <row r="441" ht="18.75" customHeight="1">
      <c r="A441" s="7316"/>
      <c r="B441" s="7337" t="s">
        <v>2574</v>
      </c>
      <c r="C441" s="7338" t="s">
        <v>2575</v>
      </c>
      <c r="D441" s="7339"/>
      <c r="E441" s="7338" t="s">
        <v>2014</v>
      </c>
      <c r="F441" s="7338" t="str">
        <f t="shared" si="26"/>
        <v/>
      </c>
      <c r="G441" s="7338" t="s">
        <v>1848</v>
      </c>
      <c r="H441" s="7338" t="str">
        <f t="shared" si="27"/>
        <v/>
      </c>
      <c r="I441" s="7338">
        <v>86.0</v>
      </c>
      <c r="J441" s="7338">
        <v>81.0</v>
      </c>
      <c r="K441" s="7338">
        <v>97.0</v>
      </c>
      <c r="L441" s="7338">
        <v>81.0</v>
      </c>
      <c r="M441" s="7338">
        <v>107.0</v>
      </c>
      <c r="N441" s="7340">
        <v>43.0</v>
      </c>
      <c r="O441" s="7321"/>
      <c r="P441" s="7324"/>
      <c r="Q441" s="7324"/>
      <c r="R441" s="7324"/>
    </row>
    <row r="442" ht="18.75" customHeight="1">
      <c r="A442" s="7316"/>
      <c r="B442" s="7331" t="s">
        <v>2576</v>
      </c>
      <c r="C442" s="7332" t="s">
        <v>2577</v>
      </c>
      <c r="D442" s="7333"/>
      <c r="E442" s="7332" t="s">
        <v>2014</v>
      </c>
      <c r="F442" s="7332" t="str">
        <f t="shared" si="26"/>
        <v/>
      </c>
      <c r="G442" s="7332" t="s">
        <v>1882</v>
      </c>
      <c r="H442" s="7332" t="str">
        <f t="shared" si="27"/>
        <v/>
      </c>
      <c r="I442" s="7332">
        <v>45.0</v>
      </c>
      <c r="J442" s="7332">
        <v>95.0</v>
      </c>
      <c r="K442" s="7332">
        <v>50.0</v>
      </c>
      <c r="L442" s="7332">
        <v>40.0</v>
      </c>
      <c r="M442" s="7332">
        <v>50.0</v>
      </c>
      <c r="N442" s="7334">
        <v>75.0</v>
      </c>
      <c r="O442" s="7321"/>
      <c r="P442" s="7324"/>
      <c r="Q442" s="7324"/>
      <c r="R442" s="7324"/>
    </row>
    <row r="443" ht="18.75" customHeight="1">
      <c r="A443" s="7316"/>
      <c r="B443" s="7337" t="s">
        <v>2578</v>
      </c>
      <c r="C443" s="7338" t="s">
        <v>2579</v>
      </c>
      <c r="D443" s="7339"/>
      <c r="E443" s="7338" t="s">
        <v>2014</v>
      </c>
      <c r="F443" s="7338" t="str">
        <f t="shared" si="26"/>
        <v/>
      </c>
      <c r="G443" s="7338" t="s">
        <v>1882</v>
      </c>
      <c r="H443" s="7338" t="str">
        <f t="shared" si="27"/>
        <v/>
      </c>
      <c r="I443" s="7338">
        <v>100.0</v>
      </c>
      <c r="J443" s="7338">
        <v>125.0</v>
      </c>
      <c r="K443" s="7338">
        <v>100.0</v>
      </c>
      <c r="L443" s="7338">
        <v>45.0</v>
      </c>
      <c r="M443" s="7338">
        <v>80.0</v>
      </c>
      <c r="N443" s="7340">
        <v>45.0</v>
      </c>
      <c r="O443" s="7321"/>
      <c r="P443" s="7324"/>
      <c r="Q443" s="7324"/>
      <c r="R443" s="7324"/>
    </row>
    <row r="444" ht="18.75" customHeight="1">
      <c r="A444" s="7316"/>
      <c r="B444" s="7331" t="s">
        <v>2580</v>
      </c>
      <c r="C444" s="7332" t="s">
        <v>2581</v>
      </c>
      <c r="D444" s="7333"/>
      <c r="E444" s="7332" t="s">
        <v>1871</v>
      </c>
      <c r="F444" s="7332" t="str">
        <f t="shared" si="26"/>
        <v/>
      </c>
      <c r="G444" s="7332"/>
      <c r="H444" s="7332" t="str">
        <f t="shared" si="27"/>
        <v/>
      </c>
      <c r="I444" s="7332">
        <v>20.0</v>
      </c>
      <c r="J444" s="7332">
        <v>15.0</v>
      </c>
      <c r="K444" s="7332">
        <v>20.0</v>
      </c>
      <c r="L444" s="7332">
        <v>10.0</v>
      </c>
      <c r="M444" s="7332">
        <v>55.0</v>
      </c>
      <c r="N444" s="7334">
        <v>80.0</v>
      </c>
      <c r="O444" s="7321"/>
      <c r="P444" s="7324"/>
      <c r="Q444" s="7324"/>
      <c r="R444" s="7324"/>
    </row>
    <row r="445" ht="18.75" customHeight="1">
      <c r="A445" s="7316"/>
      <c r="B445" s="7337" t="s">
        <v>1227</v>
      </c>
      <c r="C445" s="7338" t="s">
        <v>2582</v>
      </c>
      <c r="D445" s="7339"/>
      <c r="E445" s="7342" t="s">
        <v>1871</v>
      </c>
      <c r="F445" s="7342" t="str">
        <f t="shared" si="26"/>
        <v/>
      </c>
      <c r="G445" s="7342"/>
      <c r="H445" s="7342" t="str">
        <f t="shared" si="27"/>
        <v/>
      </c>
      <c r="I445" s="7338">
        <v>95.0</v>
      </c>
      <c r="J445" s="7338">
        <v>60.0</v>
      </c>
      <c r="K445" s="7338">
        <v>84.0</v>
      </c>
      <c r="L445" s="7338">
        <v>100.0</v>
      </c>
      <c r="M445" s="7338">
        <v>125.0</v>
      </c>
      <c r="N445" s="7340">
        <v>86.0</v>
      </c>
      <c r="O445" s="7321"/>
      <c r="P445" s="7324"/>
      <c r="Q445" s="7324"/>
      <c r="R445" s="7324"/>
    </row>
    <row r="446" ht="18.75" customHeight="1">
      <c r="A446" s="7316"/>
      <c r="B446" s="7331" t="s">
        <v>2583</v>
      </c>
      <c r="C446" s="7332" t="s">
        <v>2584</v>
      </c>
      <c r="D446" s="7333"/>
      <c r="E446" s="7332" t="s">
        <v>1901</v>
      </c>
      <c r="F446" s="7332" t="str">
        <f t="shared" si="26"/>
        <v/>
      </c>
      <c r="G446" s="7332"/>
      <c r="H446" s="7332" t="str">
        <f t="shared" si="27"/>
        <v/>
      </c>
      <c r="I446" s="7332">
        <v>85.0</v>
      </c>
      <c r="J446" s="7332">
        <v>85.0</v>
      </c>
      <c r="K446" s="7332">
        <v>85.0</v>
      </c>
      <c r="L446" s="7332">
        <v>85.0</v>
      </c>
      <c r="M446" s="7332">
        <v>85.0</v>
      </c>
      <c r="N446" s="7334">
        <v>85.0</v>
      </c>
      <c r="O446" s="7321"/>
      <c r="P446" s="7324"/>
      <c r="Q446" s="7324"/>
      <c r="R446" s="7324"/>
    </row>
    <row r="447" ht="18.75" customHeight="1">
      <c r="A447" s="7316"/>
      <c r="B447" s="7337" t="s">
        <v>2585</v>
      </c>
      <c r="C447" s="7338" t="s">
        <v>2586</v>
      </c>
      <c r="D447" s="7339"/>
      <c r="E447" s="7342" t="s">
        <v>1901</v>
      </c>
      <c r="F447" s="7342" t="str">
        <f t="shared" si="26"/>
        <v/>
      </c>
      <c r="G447" s="7342"/>
      <c r="H447" s="7342" t="str">
        <f t="shared" si="27"/>
        <v/>
      </c>
      <c r="I447" s="7338">
        <v>85.0</v>
      </c>
      <c r="J447" s="7338">
        <v>100.0</v>
      </c>
      <c r="K447" s="7338">
        <v>70.0</v>
      </c>
      <c r="L447" s="7338">
        <v>60.0</v>
      </c>
      <c r="M447" s="7338">
        <v>120.0</v>
      </c>
      <c r="N447" s="7340">
        <v>40.0</v>
      </c>
      <c r="O447" s="7321"/>
      <c r="P447" s="7324"/>
      <c r="Q447" s="7324"/>
      <c r="R447" s="7324"/>
    </row>
    <row r="448" ht="18.75" customHeight="1">
      <c r="A448" s="7316"/>
      <c r="B448" s="7331" t="s">
        <v>2587</v>
      </c>
      <c r="C448" s="7332" t="s">
        <v>2588</v>
      </c>
      <c r="D448" s="7333"/>
      <c r="E448" s="7332" t="s">
        <v>2097</v>
      </c>
      <c r="F448" s="7332" t="str">
        <f t="shared" si="26"/>
        <v/>
      </c>
      <c r="G448" s="7332"/>
      <c r="H448" s="7332" t="str">
        <f t="shared" si="27"/>
        <v/>
      </c>
      <c r="I448" s="7332">
        <v>44.0</v>
      </c>
      <c r="J448" s="7332">
        <v>75.0</v>
      </c>
      <c r="K448" s="7332">
        <v>35.0</v>
      </c>
      <c r="L448" s="7332">
        <v>63.0</v>
      </c>
      <c r="M448" s="7332">
        <v>33.0</v>
      </c>
      <c r="N448" s="7334">
        <v>45.0</v>
      </c>
      <c r="O448" s="7321"/>
      <c r="P448" s="7324"/>
      <c r="Q448" s="7324"/>
      <c r="R448" s="7324"/>
    </row>
    <row r="449" ht="18.75" customHeight="1">
      <c r="A449" s="7316"/>
      <c r="B449" s="7337" t="s">
        <v>2589</v>
      </c>
      <c r="C449" s="7338" t="s">
        <v>2590</v>
      </c>
      <c r="D449" s="7339"/>
      <c r="E449" s="7342" t="s">
        <v>2097</v>
      </c>
      <c r="F449" s="7342" t="str">
        <f t="shared" si="26"/>
        <v/>
      </c>
      <c r="G449" s="7342"/>
      <c r="H449" s="7342" t="str">
        <f t="shared" si="27"/>
        <v/>
      </c>
      <c r="I449" s="7338">
        <v>64.0</v>
      </c>
      <c r="J449" s="7338">
        <v>115.0</v>
      </c>
      <c r="K449" s="7338">
        <v>65.0</v>
      </c>
      <c r="L449" s="7338">
        <v>83.0</v>
      </c>
      <c r="M449" s="7338">
        <v>63.0</v>
      </c>
      <c r="N449" s="7340">
        <v>65.0</v>
      </c>
      <c r="O449" s="7321"/>
      <c r="P449" s="7324"/>
      <c r="Q449" s="7324"/>
      <c r="R449" s="7324"/>
    </row>
    <row r="450" ht="18.75" customHeight="1">
      <c r="A450" s="7316"/>
      <c r="B450" s="7331" t="s">
        <v>2591</v>
      </c>
      <c r="C450" s="7341" t="s">
        <v>2592</v>
      </c>
      <c r="D450" s="7333"/>
      <c r="E450" s="7341" t="s">
        <v>2097</v>
      </c>
      <c r="F450" s="7341" t="str">
        <f t="shared" si="26"/>
        <v/>
      </c>
      <c r="G450" s="7341" t="s">
        <v>1901</v>
      </c>
      <c r="H450" s="7341" t="str">
        <f t="shared" si="27"/>
        <v/>
      </c>
      <c r="I450" s="7332">
        <v>64.0</v>
      </c>
      <c r="J450" s="7332">
        <v>165.0</v>
      </c>
      <c r="K450" s="7332">
        <v>75.0</v>
      </c>
      <c r="L450" s="7332">
        <v>93.0</v>
      </c>
      <c r="M450" s="7332">
        <v>83.0</v>
      </c>
      <c r="N450" s="7334">
        <v>75.0</v>
      </c>
      <c r="O450" s="7321"/>
      <c r="P450" s="7324"/>
      <c r="Q450" s="7324"/>
      <c r="R450" s="7324"/>
    </row>
    <row r="451" ht="18.75" customHeight="1">
      <c r="A451" s="7316"/>
      <c r="B451" s="7337" t="s">
        <v>2593</v>
      </c>
      <c r="C451" s="7338" t="s">
        <v>2594</v>
      </c>
      <c r="D451" s="7339"/>
      <c r="E451" s="7338" t="s">
        <v>2097</v>
      </c>
      <c r="F451" s="7338" t="str">
        <f t="shared" si="26"/>
        <v/>
      </c>
      <c r="G451" s="7338"/>
      <c r="H451" s="7338" t="str">
        <f t="shared" si="27"/>
        <v/>
      </c>
      <c r="I451" s="7338">
        <v>20.0</v>
      </c>
      <c r="J451" s="7338">
        <v>40.0</v>
      </c>
      <c r="K451" s="7338">
        <v>90.0</v>
      </c>
      <c r="L451" s="7338">
        <v>30.0</v>
      </c>
      <c r="M451" s="7338">
        <v>90.0</v>
      </c>
      <c r="N451" s="7340">
        <v>25.0</v>
      </c>
      <c r="O451" s="7321"/>
      <c r="P451" s="7324"/>
      <c r="Q451" s="7324"/>
      <c r="R451" s="7324"/>
    </row>
    <row r="452" ht="18.75" customHeight="1">
      <c r="A452" s="7316"/>
      <c r="B452" s="7331" t="s">
        <v>2595</v>
      </c>
      <c r="C452" s="7332" t="s">
        <v>2596</v>
      </c>
      <c r="D452" s="7333"/>
      <c r="E452" s="7341" t="s">
        <v>2097</v>
      </c>
      <c r="F452" s="7341" t="str">
        <f t="shared" si="26"/>
        <v/>
      </c>
      <c r="G452" s="7341"/>
      <c r="H452" s="7341" t="str">
        <f t="shared" si="27"/>
        <v/>
      </c>
      <c r="I452" s="7332">
        <v>40.0</v>
      </c>
      <c r="J452" s="7332">
        <v>70.0</v>
      </c>
      <c r="K452" s="7332">
        <v>130.0</v>
      </c>
      <c r="L452" s="7332">
        <v>60.0</v>
      </c>
      <c r="M452" s="7332">
        <v>130.0</v>
      </c>
      <c r="N452" s="7334">
        <v>25.0</v>
      </c>
      <c r="O452" s="7321"/>
      <c r="P452" s="7324"/>
      <c r="Q452" s="7324"/>
      <c r="R452" s="7324"/>
    </row>
    <row r="453" ht="18.75" customHeight="1">
      <c r="A453" s="7316"/>
      <c r="B453" s="7337" t="s">
        <v>1113</v>
      </c>
      <c r="C453" s="7338" t="s">
        <v>2597</v>
      </c>
      <c r="D453" s="7339"/>
      <c r="E453" s="7338" t="s">
        <v>1848</v>
      </c>
      <c r="F453" s="7338" t="str">
        <f t="shared" si="26"/>
        <v/>
      </c>
      <c r="G453" s="7338" t="s">
        <v>1866</v>
      </c>
      <c r="H453" s="7338" t="str">
        <f t="shared" si="27"/>
        <v/>
      </c>
      <c r="I453" s="7338">
        <v>99.0</v>
      </c>
      <c r="J453" s="7338">
        <v>68.0</v>
      </c>
      <c r="K453" s="7338">
        <v>83.0</v>
      </c>
      <c r="L453" s="7338">
        <v>92.0</v>
      </c>
      <c r="M453" s="7338">
        <v>87.0</v>
      </c>
      <c r="N453" s="7340">
        <v>81.0</v>
      </c>
      <c r="O453" s="7321"/>
      <c r="P453" s="7324"/>
      <c r="Q453" s="7324"/>
      <c r="R453" s="7324"/>
    </row>
    <row r="454" ht="18.75" customHeight="1">
      <c r="A454" s="7316"/>
      <c r="B454" s="7331" t="s">
        <v>2598</v>
      </c>
      <c r="C454" s="7332" t="s">
        <v>2599</v>
      </c>
      <c r="D454" s="7333"/>
      <c r="E454" s="7332" t="s">
        <v>561</v>
      </c>
      <c r="F454" s="7332" t="str">
        <f t="shared" si="26"/>
        <v/>
      </c>
      <c r="G454" s="7332"/>
      <c r="H454" s="7332" t="str">
        <f t="shared" si="27"/>
        <v/>
      </c>
      <c r="I454" s="7332">
        <v>90.0</v>
      </c>
      <c r="J454" s="7332">
        <v>50.0</v>
      </c>
      <c r="K454" s="7332">
        <v>80.0</v>
      </c>
      <c r="L454" s="7332">
        <v>95.0</v>
      </c>
      <c r="M454" s="7332">
        <v>90.0</v>
      </c>
      <c r="N454" s="7334">
        <v>80.0</v>
      </c>
      <c r="O454" s="7321"/>
      <c r="P454" s="7324"/>
      <c r="Q454" s="7324"/>
      <c r="R454" s="7324"/>
    </row>
    <row r="455" ht="18.75" customHeight="1">
      <c r="A455" s="7316"/>
      <c r="B455" s="7337" t="s">
        <v>2600</v>
      </c>
      <c r="C455" s="7338" t="s">
        <v>2601</v>
      </c>
      <c r="D455" s="7339"/>
      <c r="E455" s="7338" t="s">
        <v>1911</v>
      </c>
      <c r="F455" s="7338" t="str">
        <f t="shared" si="26"/>
        <v/>
      </c>
      <c r="G455" s="7338"/>
      <c r="H455" s="7338" t="str">
        <f t="shared" si="27"/>
        <v/>
      </c>
      <c r="I455" s="7338">
        <v>65.0</v>
      </c>
      <c r="J455" s="7338">
        <v>130.0</v>
      </c>
      <c r="K455" s="7338">
        <v>60.0</v>
      </c>
      <c r="L455" s="7338">
        <v>75.0</v>
      </c>
      <c r="M455" s="7338">
        <v>60.0</v>
      </c>
      <c r="N455" s="7340">
        <v>75.0</v>
      </c>
      <c r="O455" s="7321"/>
      <c r="P455" s="7324"/>
      <c r="Q455" s="7324"/>
      <c r="R455" s="7324"/>
    </row>
    <row r="456" ht="18.75" customHeight="1">
      <c r="A456" s="7316"/>
      <c r="B456" s="7331" t="s">
        <v>1271</v>
      </c>
      <c r="C456" s="7341" t="s">
        <v>2602</v>
      </c>
      <c r="D456" s="7333"/>
      <c r="E456" s="7332" t="s">
        <v>1911</v>
      </c>
      <c r="F456" s="7332" t="str">
        <f t="shared" si="26"/>
        <v/>
      </c>
      <c r="G456" s="7332" t="s">
        <v>1935</v>
      </c>
      <c r="H456" s="7332" t="str">
        <f t="shared" si="27"/>
        <v/>
      </c>
      <c r="I456" s="7332">
        <v>65.0</v>
      </c>
      <c r="J456" s="7332">
        <v>150.0</v>
      </c>
      <c r="K456" s="7332">
        <v>60.0</v>
      </c>
      <c r="L456" s="7332">
        <v>115.0</v>
      </c>
      <c r="M456" s="7332">
        <v>60.0</v>
      </c>
      <c r="N456" s="7334">
        <v>115.0</v>
      </c>
      <c r="O456" s="7321"/>
      <c r="P456" s="7324"/>
      <c r="Q456" s="7324"/>
      <c r="R456" s="7324"/>
    </row>
    <row r="457" ht="18.75" customHeight="1">
      <c r="A457" s="7316"/>
      <c r="B457" s="7337" t="s">
        <v>2603</v>
      </c>
      <c r="C457" s="7338" t="s">
        <v>2604</v>
      </c>
      <c r="D457" s="7339"/>
      <c r="E457" s="7338" t="s">
        <v>561</v>
      </c>
      <c r="F457" s="7338" t="str">
        <f t="shared" si="26"/>
        <v/>
      </c>
      <c r="G457" s="7338"/>
      <c r="H457" s="7338" t="str">
        <f t="shared" si="27"/>
        <v/>
      </c>
      <c r="I457" s="7338">
        <v>95.0</v>
      </c>
      <c r="J457" s="7338">
        <v>23.0</v>
      </c>
      <c r="K457" s="7338">
        <v>48.0</v>
      </c>
      <c r="L457" s="7338">
        <v>23.0</v>
      </c>
      <c r="M457" s="7338">
        <v>48.0</v>
      </c>
      <c r="N457" s="7340">
        <v>23.0</v>
      </c>
      <c r="O457" s="7321"/>
      <c r="P457" s="7324"/>
      <c r="Q457" s="7324"/>
      <c r="R457" s="7324"/>
    </row>
    <row r="458" ht="18.75" customHeight="1">
      <c r="A458" s="7316"/>
      <c r="B458" s="7331" t="s">
        <v>2605</v>
      </c>
      <c r="C458" s="7332" t="s">
        <v>2606</v>
      </c>
      <c r="D458" s="7333"/>
      <c r="E458" s="7341" t="s">
        <v>1932</v>
      </c>
      <c r="F458" s="7341" t="str">
        <f t="shared" si="26"/>
        <v/>
      </c>
      <c r="G458" s="7341"/>
      <c r="H458" s="7341" t="str">
        <f t="shared" si="27"/>
        <v/>
      </c>
      <c r="I458" s="7332">
        <v>50.0</v>
      </c>
      <c r="J458" s="7332">
        <v>50.0</v>
      </c>
      <c r="K458" s="7332">
        <v>50.0</v>
      </c>
      <c r="L458" s="7332">
        <v>50.0</v>
      </c>
      <c r="M458" s="7332">
        <v>50.0</v>
      </c>
      <c r="N458" s="7334">
        <v>50.0</v>
      </c>
      <c r="O458" s="7321"/>
      <c r="P458" s="7324"/>
      <c r="Q458" s="7324"/>
      <c r="R458" s="7324"/>
    </row>
    <row r="459" ht="18.75" customHeight="1">
      <c r="A459" s="7316"/>
      <c r="B459" s="7337" t="s">
        <v>2607</v>
      </c>
      <c r="C459" s="7338" t="s">
        <v>2608</v>
      </c>
      <c r="D459" s="7339"/>
      <c r="E459" s="7338" t="s">
        <v>1932</v>
      </c>
      <c r="F459" s="7338" t="str">
        <f t="shared" si="26"/>
        <v/>
      </c>
      <c r="G459" s="7338"/>
      <c r="H459" s="7338" t="str">
        <f t="shared" si="27"/>
        <v/>
      </c>
      <c r="I459" s="7338">
        <v>80.0</v>
      </c>
      <c r="J459" s="7338">
        <v>80.0</v>
      </c>
      <c r="K459" s="7338">
        <v>80.0</v>
      </c>
      <c r="L459" s="7338">
        <v>80.0</v>
      </c>
      <c r="M459" s="7338">
        <v>80.0</v>
      </c>
      <c r="N459" s="7340">
        <v>80.0</v>
      </c>
      <c r="O459" s="7321"/>
      <c r="P459" s="7324"/>
      <c r="Q459" s="7324"/>
      <c r="R459" s="7324"/>
    </row>
    <row r="460" ht="18.75" customHeight="1">
      <c r="A460" s="7316"/>
      <c r="B460" s="7331" t="s">
        <v>619</v>
      </c>
      <c r="C460" s="7341" t="s">
        <v>2609</v>
      </c>
      <c r="D460" s="7333"/>
      <c r="E460" s="7332" t="s">
        <v>1932</v>
      </c>
      <c r="F460" s="7332" t="str">
        <f t="shared" si="26"/>
        <v/>
      </c>
      <c r="G460" s="7332"/>
      <c r="H460" s="7332" t="str">
        <f t="shared" si="27"/>
        <v/>
      </c>
      <c r="I460" s="7332">
        <v>80.0</v>
      </c>
      <c r="J460" s="7332">
        <v>135.0</v>
      </c>
      <c r="K460" s="7332">
        <v>80.0</v>
      </c>
      <c r="L460" s="7332">
        <v>105.0</v>
      </c>
      <c r="M460" s="7332">
        <v>80.0</v>
      </c>
      <c r="N460" s="7334">
        <v>100.0</v>
      </c>
      <c r="O460" s="7321"/>
      <c r="P460" s="7324"/>
      <c r="Q460" s="7324"/>
      <c r="R460" s="7324"/>
    </row>
    <row r="461" ht="18.75" customHeight="1">
      <c r="A461" s="7316"/>
      <c r="B461" s="7337" t="s">
        <v>2610</v>
      </c>
      <c r="C461" s="7338" t="s">
        <v>2611</v>
      </c>
      <c r="D461" s="7339"/>
      <c r="E461" s="7338" t="s">
        <v>1932</v>
      </c>
      <c r="F461" s="7338" t="str">
        <f t="shared" si="26"/>
        <v/>
      </c>
      <c r="G461" s="7338" t="s">
        <v>1871</v>
      </c>
      <c r="H461" s="7338" t="str">
        <f t="shared" si="27"/>
        <v/>
      </c>
      <c r="I461" s="7338">
        <v>70.0</v>
      </c>
      <c r="J461" s="7338">
        <v>40.0</v>
      </c>
      <c r="K461" s="7338">
        <v>50.0</v>
      </c>
      <c r="L461" s="7338">
        <v>55.0</v>
      </c>
      <c r="M461" s="7338">
        <v>50.0</v>
      </c>
      <c r="N461" s="7340">
        <v>25.0</v>
      </c>
      <c r="O461" s="7321"/>
      <c r="P461" s="7324"/>
      <c r="Q461" s="7324"/>
      <c r="R461" s="7324"/>
    </row>
    <row r="462" ht="18.75" customHeight="1">
      <c r="A462" s="7316"/>
      <c r="B462" s="7331" t="s">
        <v>2612</v>
      </c>
      <c r="C462" s="7332" t="s">
        <v>2613</v>
      </c>
      <c r="D462" s="7333"/>
      <c r="E462" s="7341" t="s">
        <v>1932</v>
      </c>
      <c r="F462" s="7341" t="str">
        <f t="shared" si="26"/>
        <v/>
      </c>
      <c r="G462" s="7341" t="s">
        <v>1871</v>
      </c>
      <c r="H462" s="7341" t="str">
        <f t="shared" si="27"/>
        <v/>
      </c>
      <c r="I462" s="7332">
        <v>90.0</v>
      </c>
      <c r="J462" s="7332">
        <v>60.0</v>
      </c>
      <c r="K462" s="7332">
        <v>70.0</v>
      </c>
      <c r="L462" s="7332">
        <v>75.0</v>
      </c>
      <c r="M462" s="7332">
        <v>70.0</v>
      </c>
      <c r="N462" s="7334">
        <v>45.0</v>
      </c>
      <c r="O462" s="7321"/>
      <c r="P462" s="7324"/>
      <c r="Q462" s="7324"/>
      <c r="R462" s="7324"/>
    </row>
    <row r="463" ht="18.75" customHeight="1">
      <c r="A463" s="7316"/>
      <c r="B463" s="7337" t="s">
        <v>616</v>
      </c>
      <c r="C463" s="7338" t="s">
        <v>2614</v>
      </c>
      <c r="D463" s="7339"/>
      <c r="E463" s="7338" t="s">
        <v>1932</v>
      </c>
      <c r="F463" s="7338" t="str">
        <f t="shared" si="26"/>
        <v/>
      </c>
      <c r="G463" s="7338" t="s">
        <v>1871</v>
      </c>
      <c r="H463" s="7338" t="str">
        <f t="shared" si="27"/>
        <v/>
      </c>
      <c r="I463" s="7338">
        <v>90.0</v>
      </c>
      <c r="J463" s="7338">
        <v>80.0</v>
      </c>
      <c r="K463" s="7338">
        <v>90.0</v>
      </c>
      <c r="L463" s="7338">
        <v>95.0</v>
      </c>
      <c r="M463" s="7338">
        <v>90.0</v>
      </c>
      <c r="N463" s="7340">
        <v>65.0</v>
      </c>
      <c r="O463" s="7321"/>
      <c r="P463" s="7324"/>
      <c r="Q463" s="7324"/>
      <c r="R463" s="7324"/>
    </row>
    <row r="464" ht="18.75" customHeight="1">
      <c r="A464" s="7316"/>
      <c r="B464" s="7331" t="s">
        <v>1037</v>
      </c>
      <c r="C464" s="7332" t="s">
        <v>2615</v>
      </c>
      <c r="D464" s="7333"/>
      <c r="E464" s="7332" t="s">
        <v>1871</v>
      </c>
      <c r="F464" s="7332" t="str">
        <f t="shared" si="26"/>
        <v/>
      </c>
      <c r="G464" s="7332"/>
      <c r="H464" s="7332" t="str">
        <f t="shared" si="27"/>
        <v/>
      </c>
      <c r="I464" s="7332">
        <v>35.0</v>
      </c>
      <c r="J464" s="7332">
        <v>64.0</v>
      </c>
      <c r="K464" s="7332">
        <v>85.0</v>
      </c>
      <c r="L464" s="7332">
        <v>74.0</v>
      </c>
      <c r="M464" s="7332">
        <v>55.0</v>
      </c>
      <c r="N464" s="7334">
        <v>32.0</v>
      </c>
      <c r="O464" s="7321"/>
      <c r="P464" s="7324"/>
      <c r="Q464" s="7324"/>
      <c r="R464" s="7324"/>
    </row>
    <row r="465" ht="18.75" customHeight="1">
      <c r="A465" s="7316"/>
      <c r="B465" s="7337" t="s">
        <v>807</v>
      </c>
      <c r="C465" s="7338" t="s">
        <v>2616</v>
      </c>
      <c r="D465" s="7339"/>
      <c r="E465" s="7338" t="s">
        <v>1871</v>
      </c>
      <c r="F465" s="7338" t="str">
        <f t="shared" si="26"/>
        <v/>
      </c>
      <c r="G465" s="7338" t="s">
        <v>1911</v>
      </c>
      <c r="H465" s="7338" t="str">
        <f t="shared" si="27"/>
        <v/>
      </c>
      <c r="I465" s="7338">
        <v>55.0</v>
      </c>
      <c r="J465" s="7338">
        <v>104.0</v>
      </c>
      <c r="K465" s="7338">
        <v>105.0</v>
      </c>
      <c r="L465" s="7338">
        <v>94.0</v>
      </c>
      <c r="M465" s="7338">
        <v>75.0</v>
      </c>
      <c r="N465" s="7340">
        <v>52.0</v>
      </c>
      <c r="O465" s="7321"/>
      <c r="P465" s="7324"/>
      <c r="Q465" s="7324"/>
      <c r="R465" s="7324"/>
    </row>
    <row r="466" ht="18.75" customHeight="1">
      <c r="A466" s="7316"/>
      <c r="B466" s="7331" t="s">
        <v>446</v>
      </c>
      <c r="C466" s="7332" t="s">
        <v>2617</v>
      </c>
      <c r="D466" s="7333"/>
      <c r="E466" s="7341" t="s">
        <v>1871</v>
      </c>
      <c r="F466" s="7341" t="str">
        <f t="shared" si="26"/>
        <v/>
      </c>
      <c r="G466" s="7341" t="s">
        <v>1935</v>
      </c>
      <c r="H466" s="7341" t="str">
        <f t="shared" si="27"/>
        <v/>
      </c>
      <c r="I466" s="7332">
        <v>55.0</v>
      </c>
      <c r="J466" s="7332">
        <v>84.0</v>
      </c>
      <c r="K466" s="7332">
        <v>105.0</v>
      </c>
      <c r="L466" s="7332">
        <v>104.0</v>
      </c>
      <c r="M466" s="7332">
        <v>75.0</v>
      </c>
      <c r="N466" s="7334">
        <v>52.0</v>
      </c>
      <c r="O466" s="7321"/>
      <c r="P466" s="7324"/>
      <c r="Q466" s="7324"/>
      <c r="R466" s="7324"/>
    </row>
    <row r="467" ht="18.75" customHeight="1">
      <c r="A467" s="7316"/>
      <c r="B467" s="7337" t="s">
        <v>776</v>
      </c>
      <c r="C467" s="7338" t="s">
        <v>2618</v>
      </c>
      <c r="D467" s="7339"/>
      <c r="E467" s="7338" t="s">
        <v>1871</v>
      </c>
      <c r="F467" s="7338" t="str">
        <f t="shared" si="26"/>
        <v/>
      </c>
      <c r="G467" s="7338" t="s">
        <v>2014</v>
      </c>
      <c r="H467" s="7338" t="str">
        <f t="shared" si="27"/>
        <v/>
      </c>
      <c r="I467" s="7338">
        <v>100.0</v>
      </c>
      <c r="J467" s="7338">
        <v>105.0</v>
      </c>
      <c r="K467" s="7338">
        <v>115.0</v>
      </c>
      <c r="L467" s="7338">
        <v>45.0</v>
      </c>
      <c r="M467" s="7338">
        <v>65.0</v>
      </c>
      <c r="N467" s="7340">
        <v>55.0</v>
      </c>
      <c r="O467" s="7321"/>
      <c r="P467" s="7324"/>
      <c r="Q467" s="7324"/>
      <c r="R467" s="7324"/>
    </row>
    <row r="468" ht="18.75" customHeight="1">
      <c r="A468" s="7316"/>
      <c r="B468" s="7331" t="s">
        <v>1338</v>
      </c>
      <c r="C468" s="7332" t="s">
        <v>2619</v>
      </c>
      <c r="D468" s="7333"/>
      <c r="E468" s="7332" t="s">
        <v>1871</v>
      </c>
      <c r="F468" s="7332" t="str">
        <f t="shared" si="26"/>
        <v/>
      </c>
      <c r="G468" s="7332" t="s">
        <v>1935</v>
      </c>
      <c r="H468" s="7332" t="str">
        <f t="shared" si="27"/>
        <v/>
      </c>
      <c r="I468" s="7332">
        <v>43.0</v>
      </c>
      <c r="J468" s="7332">
        <v>30.0</v>
      </c>
      <c r="K468" s="7332">
        <v>55.0</v>
      </c>
      <c r="L468" s="7332">
        <v>100.0</v>
      </c>
      <c r="M468" s="7332">
        <v>65.0</v>
      </c>
      <c r="N468" s="7334">
        <v>97.0</v>
      </c>
      <c r="O468" s="7321"/>
      <c r="P468" s="7324"/>
      <c r="Q468" s="7324"/>
      <c r="R468" s="7324"/>
    </row>
    <row r="469" ht="18.75" customHeight="1">
      <c r="A469" s="7316"/>
      <c r="B469" s="7337" t="s">
        <v>2620</v>
      </c>
      <c r="C469" s="7338" t="s">
        <v>2621</v>
      </c>
      <c r="D469" s="7339"/>
      <c r="E469" s="7338" t="s">
        <v>1866</v>
      </c>
      <c r="F469" s="7338" t="str">
        <f t="shared" si="26"/>
        <v/>
      </c>
      <c r="G469" s="7338"/>
      <c r="H469" s="7338" t="str">
        <f t="shared" si="27"/>
        <v/>
      </c>
      <c r="I469" s="7338">
        <v>45.0</v>
      </c>
      <c r="J469" s="7338">
        <v>75.0</v>
      </c>
      <c r="K469" s="7338">
        <v>60.0</v>
      </c>
      <c r="L469" s="7338">
        <v>40.0</v>
      </c>
      <c r="M469" s="7338">
        <v>30.0</v>
      </c>
      <c r="N469" s="7340">
        <v>50.0</v>
      </c>
      <c r="O469" s="7321"/>
      <c r="P469" s="7324"/>
      <c r="Q469" s="7324"/>
      <c r="R469" s="7324"/>
    </row>
    <row r="470" ht="18.75" customHeight="1">
      <c r="A470" s="7316"/>
      <c r="B470" s="7331" t="s">
        <v>2622</v>
      </c>
      <c r="C470" s="7332" t="s">
        <v>2623</v>
      </c>
      <c r="D470" s="7333"/>
      <c r="E470" s="7341" t="s">
        <v>1866</v>
      </c>
      <c r="F470" s="7341" t="str">
        <f t="shared" si="26"/>
        <v/>
      </c>
      <c r="G470" s="7341"/>
      <c r="H470" s="7341" t="str">
        <f t="shared" si="27"/>
        <v/>
      </c>
      <c r="I470" s="7332">
        <v>65.0</v>
      </c>
      <c r="J470" s="7332">
        <v>95.0</v>
      </c>
      <c r="K470" s="7332">
        <v>100.0</v>
      </c>
      <c r="L470" s="7332">
        <v>60.0</v>
      </c>
      <c r="M470" s="7332">
        <v>50.0</v>
      </c>
      <c r="N470" s="7334">
        <v>50.0</v>
      </c>
      <c r="O470" s="7321"/>
      <c r="P470" s="7324"/>
      <c r="Q470" s="7324"/>
      <c r="R470" s="7324"/>
    </row>
    <row r="471" ht="18.75" customHeight="1">
      <c r="A471" s="7316"/>
      <c r="B471" s="7337" t="s">
        <v>1216</v>
      </c>
      <c r="C471" s="7338" t="s">
        <v>2624</v>
      </c>
      <c r="D471" s="7339"/>
      <c r="E471" s="7338" t="s">
        <v>1866</v>
      </c>
      <c r="F471" s="7338" t="str">
        <f t="shared" si="26"/>
        <v/>
      </c>
      <c r="G471" s="7338" t="s">
        <v>1863</v>
      </c>
      <c r="H471" s="7338" t="str">
        <f t="shared" si="27"/>
        <v/>
      </c>
      <c r="I471" s="7338">
        <v>95.0</v>
      </c>
      <c r="J471" s="7338">
        <v>135.0</v>
      </c>
      <c r="K471" s="7338">
        <v>80.0</v>
      </c>
      <c r="L471" s="7338">
        <v>110.0</v>
      </c>
      <c r="M471" s="7338">
        <v>80.0</v>
      </c>
      <c r="N471" s="7340">
        <v>100.0</v>
      </c>
      <c r="O471" s="7321"/>
      <c r="P471" s="7324"/>
      <c r="Q471" s="7324"/>
      <c r="R471" s="7324"/>
    </row>
    <row r="472" ht="18.75" customHeight="1">
      <c r="A472" s="7316"/>
      <c r="B472" s="7331" t="s">
        <v>967</v>
      </c>
      <c r="C472" s="7341" t="s">
        <v>2625</v>
      </c>
      <c r="D472" s="7333"/>
      <c r="E472" s="7332" t="s">
        <v>1866</v>
      </c>
      <c r="F472" s="7332" t="str">
        <f t="shared" si="26"/>
        <v/>
      </c>
      <c r="G472" s="7332" t="s">
        <v>1863</v>
      </c>
      <c r="H472" s="7332" t="str">
        <f t="shared" si="27"/>
        <v/>
      </c>
      <c r="I472" s="7332">
        <v>95.0</v>
      </c>
      <c r="J472" s="7332">
        <v>145.0</v>
      </c>
      <c r="K472" s="7332">
        <v>130.0</v>
      </c>
      <c r="L472" s="7332">
        <v>120.0</v>
      </c>
      <c r="M472" s="7332">
        <v>90.0</v>
      </c>
      <c r="N472" s="7334">
        <v>120.0</v>
      </c>
      <c r="O472" s="7321"/>
      <c r="P472" s="7324"/>
      <c r="Q472" s="7324"/>
      <c r="R472" s="7324"/>
    </row>
    <row r="473" ht="18.75" customHeight="1">
      <c r="A473" s="7316"/>
      <c r="B473" s="7337" t="s">
        <v>2626</v>
      </c>
      <c r="C473" s="7338" t="s">
        <v>2627</v>
      </c>
      <c r="D473" s="7339"/>
      <c r="E473" s="7338" t="s">
        <v>1929</v>
      </c>
      <c r="F473" s="7338" t="str">
        <f t="shared" si="26"/>
        <v/>
      </c>
      <c r="G473" s="7338" t="s">
        <v>561</v>
      </c>
      <c r="H473" s="7338" t="str">
        <f t="shared" si="27"/>
        <v/>
      </c>
      <c r="I473" s="7338">
        <v>40.0</v>
      </c>
      <c r="J473" s="7338">
        <v>55.0</v>
      </c>
      <c r="K473" s="7338">
        <v>80.0</v>
      </c>
      <c r="L473" s="7338">
        <v>35.0</v>
      </c>
      <c r="M473" s="7338">
        <v>60.0</v>
      </c>
      <c r="N473" s="7340">
        <v>30.0</v>
      </c>
      <c r="O473" s="7321"/>
      <c r="P473" s="7324"/>
      <c r="Q473" s="7324"/>
      <c r="R473" s="7324"/>
    </row>
    <row r="474" ht="18.75" customHeight="1">
      <c r="A474" s="7316"/>
      <c r="B474" s="7331" t="s">
        <v>2628</v>
      </c>
      <c r="C474" s="7332" t="s">
        <v>2629</v>
      </c>
      <c r="D474" s="7333"/>
      <c r="E474" s="7341" t="s">
        <v>1929</v>
      </c>
      <c r="F474" s="7341" t="str">
        <f t="shared" si="26"/>
        <v/>
      </c>
      <c r="G474" s="7341" t="s">
        <v>561</v>
      </c>
      <c r="H474" s="7341" t="str">
        <f t="shared" si="27"/>
        <v/>
      </c>
      <c r="I474" s="7332">
        <v>60.0</v>
      </c>
      <c r="J474" s="7332">
        <v>75.0</v>
      </c>
      <c r="K474" s="7332">
        <v>100.0</v>
      </c>
      <c r="L474" s="7332">
        <v>55.0</v>
      </c>
      <c r="M474" s="7332">
        <v>80.0</v>
      </c>
      <c r="N474" s="7334">
        <v>50.0</v>
      </c>
      <c r="O474" s="7321"/>
      <c r="P474" s="7324"/>
      <c r="Q474" s="7324"/>
      <c r="R474" s="7324"/>
    </row>
    <row r="475" ht="18.75" customHeight="1">
      <c r="A475" s="7316"/>
      <c r="B475" s="7337" t="s">
        <v>758</v>
      </c>
      <c r="C475" s="7338" t="s">
        <v>2630</v>
      </c>
      <c r="D475" s="7339"/>
      <c r="E475" s="7338" t="s">
        <v>1929</v>
      </c>
      <c r="F475" s="7338" t="str">
        <f t="shared" si="26"/>
        <v/>
      </c>
      <c r="G475" s="7338" t="s">
        <v>561</v>
      </c>
      <c r="H475" s="7338" t="str">
        <f t="shared" si="27"/>
        <v/>
      </c>
      <c r="I475" s="7338">
        <v>80.0</v>
      </c>
      <c r="J475" s="7338">
        <v>135.0</v>
      </c>
      <c r="K475" s="7338">
        <v>130.0</v>
      </c>
      <c r="L475" s="7338">
        <v>95.0</v>
      </c>
      <c r="M475" s="7338">
        <v>90.0</v>
      </c>
      <c r="N475" s="7340">
        <v>70.0</v>
      </c>
      <c r="O475" s="7321"/>
      <c r="P475" s="7324"/>
      <c r="Q475" s="7324"/>
      <c r="R475" s="7324"/>
    </row>
    <row r="476" ht="18.75" customHeight="1">
      <c r="A476" s="7316"/>
      <c r="B476" s="7331" t="s">
        <v>1473</v>
      </c>
      <c r="C476" s="7341" t="s">
        <v>2631</v>
      </c>
      <c r="D476" s="7333"/>
      <c r="E476" s="7332" t="s">
        <v>1929</v>
      </c>
      <c r="F476" s="7332" t="str">
        <f t="shared" si="26"/>
        <v/>
      </c>
      <c r="G476" s="7332" t="s">
        <v>561</v>
      </c>
      <c r="H476" s="7332" t="str">
        <f t="shared" si="27"/>
        <v/>
      </c>
      <c r="I476" s="7332">
        <v>80.0</v>
      </c>
      <c r="J476" s="7332">
        <v>145.0</v>
      </c>
      <c r="K476" s="7332">
        <v>150.0</v>
      </c>
      <c r="L476" s="7332">
        <v>105.0</v>
      </c>
      <c r="M476" s="7332">
        <v>110.0</v>
      </c>
      <c r="N476" s="7334">
        <v>110.0</v>
      </c>
      <c r="O476" s="7321"/>
      <c r="P476" s="7324"/>
      <c r="Q476" s="7324"/>
      <c r="R476" s="7324"/>
    </row>
    <row r="477" ht="18.75" customHeight="1">
      <c r="A477" s="7316"/>
      <c r="B477" s="7337" t="s">
        <v>2632</v>
      </c>
      <c r="C477" s="7338" t="s">
        <v>2633</v>
      </c>
      <c r="D477" s="7339"/>
      <c r="E477" s="7338" t="s">
        <v>2014</v>
      </c>
      <c r="F477" s="7338" t="str">
        <f t="shared" si="26"/>
        <v/>
      </c>
      <c r="G477" s="7338"/>
      <c r="H477" s="7338" t="str">
        <f t="shared" si="27"/>
        <v/>
      </c>
      <c r="I477" s="7338">
        <v>80.0</v>
      </c>
      <c r="J477" s="7338">
        <v>100.0</v>
      </c>
      <c r="K477" s="7338">
        <v>200.0</v>
      </c>
      <c r="L477" s="7338">
        <v>50.0</v>
      </c>
      <c r="M477" s="7338">
        <v>100.0</v>
      </c>
      <c r="N477" s="7340">
        <v>50.0</v>
      </c>
      <c r="O477" s="7321"/>
      <c r="P477" s="7324"/>
      <c r="Q477" s="7324"/>
      <c r="R477" s="7324"/>
    </row>
    <row r="478" ht="18.75" customHeight="1">
      <c r="A478" s="7316"/>
      <c r="B478" s="7331" t="s">
        <v>2634</v>
      </c>
      <c r="C478" s="7332" t="s">
        <v>2635</v>
      </c>
      <c r="D478" s="7333"/>
      <c r="E478" s="7341" t="s">
        <v>1932</v>
      </c>
      <c r="F478" s="7341" t="str">
        <f t="shared" ref="F478:F494" si="28">IFERROR(VLOOKUP(E478,P$3:Q496,2,False),"")</f>
        <v/>
      </c>
      <c r="G478" s="7341"/>
      <c r="H478" s="7341" t="str">
        <f t="shared" ref="H478:H494" si="29">IFERROR(VLOOKUP(G478,P$3:Q496,2,False),"")</f>
        <v/>
      </c>
      <c r="I478" s="7332">
        <v>80.0</v>
      </c>
      <c r="J478" s="7332">
        <v>50.0</v>
      </c>
      <c r="K478" s="7332">
        <v>100.0</v>
      </c>
      <c r="L478" s="7332">
        <v>100.0</v>
      </c>
      <c r="M478" s="7332">
        <v>200.0</v>
      </c>
      <c r="N478" s="7334">
        <v>50.0</v>
      </c>
      <c r="O478" s="7321"/>
      <c r="P478" s="7324"/>
      <c r="Q478" s="7324"/>
      <c r="R478" s="7324"/>
    </row>
    <row r="479" ht="18.75" customHeight="1">
      <c r="A479" s="7316"/>
      <c r="B479" s="7337" t="s">
        <v>2636</v>
      </c>
      <c r="C479" s="7338" t="s">
        <v>2637</v>
      </c>
      <c r="D479" s="7339"/>
      <c r="E479" s="7338" t="s">
        <v>1929</v>
      </c>
      <c r="F479" s="7338" t="str">
        <f t="shared" si="28"/>
        <v/>
      </c>
      <c r="G479" s="7338"/>
      <c r="H479" s="7338" t="str">
        <f t="shared" si="29"/>
        <v/>
      </c>
      <c r="I479" s="7338">
        <v>80.0</v>
      </c>
      <c r="J479" s="7338">
        <v>75.0</v>
      </c>
      <c r="K479" s="7338">
        <v>150.0</v>
      </c>
      <c r="L479" s="7338">
        <v>75.0</v>
      </c>
      <c r="M479" s="7338">
        <v>150.0</v>
      </c>
      <c r="N479" s="7340">
        <v>50.0</v>
      </c>
      <c r="O479" s="7321"/>
      <c r="P479" s="7324"/>
      <c r="Q479" s="7324"/>
      <c r="R479" s="7324"/>
    </row>
    <row r="480" ht="18.75" customHeight="1">
      <c r="A480" s="7316"/>
      <c r="B480" s="7331" t="s">
        <v>1814</v>
      </c>
      <c r="C480" s="7332" t="s">
        <v>2638</v>
      </c>
      <c r="D480" s="7333"/>
      <c r="E480" s="7332" t="s">
        <v>1866</v>
      </c>
      <c r="F480" s="7332" t="str">
        <f t="shared" si="28"/>
        <v/>
      </c>
      <c r="G480" s="7332" t="s">
        <v>561</v>
      </c>
      <c r="H480" s="7332" t="str">
        <f t="shared" si="29"/>
        <v/>
      </c>
      <c r="I480" s="7332">
        <v>80.0</v>
      </c>
      <c r="J480" s="7332">
        <v>80.0</v>
      </c>
      <c r="K480" s="7332">
        <v>90.0</v>
      </c>
      <c r="L480" s="7332">
        <v>110.0</v>
      </c>
      <c r="M480" s="7332">
        <v>130.0</v>
      </c>
      <c r="N480" s="7334">
        <v>110.0</v>
      </c>
      <c r="O480" s="7321"/>
      <c r="P480" s="7324"/>
      <c r="Q480" s="7324"/>
      <c r="R480" s="7324"/>
    </row>
    <row r="481" ht="18.75" customHeight="1">
      <c r="A481" s="7316"/>
      <c r="B481" s="7337" t="s">
        <v>1732</v>
      </c>
      <c r="C481" s="7342" t="s">
        <v>2639</v>
      </c>
      <c r="D481" s="7339"/>
      <c r="E481" s="7338" t="s">
        <v>1866</v>
      </c>
      <c r="F481" s="7338" t="str">
        <f t="shared" si="28"/>
        <v/>
      </c>
      <c r="G481" s="7338" t="s">
        <v>561</v>
      </c>
      <c r="H481" s="7338" t="str">
        <f t="shared" si="29"/>
        <v/>
      </c>
      <c r="I481" s="7338">
        <v>80.0</v>
      </c>
      <c r="J481" s="7338">
        <v>100.0</v>
      </c>
      <c r="K481" s="7338">
        <v>120.0</v>
      </c>
      <c r="L481" s="7338">
        <v>140.0</v>
      </c>
      <c r="M481" s="7338">
        <v>150.0</v>
      </c>
      <c r="N481" s="7340">
        <v>110.0</v>
      </c>
      <c r="O481" s="7321"/>
      <c r="P481" s="7324"/>
      <c r="Q481" s="7324"/>
      <c r="R481" s="7324"/>
    </row>
    <row r="482" ht="18.75" customHeight="1">
      <c r="A482" s="7316"/>
      <c r="B482" s="7331" t="s">
        <v>2640</v>
      </c>
      <c r="C482" s="7332" t="s">
        <v>2641</v>
      </c>
      <c r="D482" s="7333"/>
      <c r="E482" s="7341" t="s">
        <v>1866</v>
      </c>
      <c r="F482" s="7341" t="str">
        <f t="shared" si="28"/>
        <v/>
      </c>
      <c r="G482" s="7341" t="s">
        <v>561</v>
      </c>
      <c r="H482" s="7341" t="str">
        <f t="shared" si="29"/>
        <v/>
      </c>
      <c r="I482" s="7332">
        <v>80.0</v>
      </c>
      <c r="J482" s="7332">
        <v>90.0</v>
      </c>
      <c r="K482" s="7332">
        <v>80.0</v>
      </c>
      <c r="L482" s="7332">
        <v>130.0</v>
      </c>
      <c r="M482" s="7332">
        <v>110.0</v>
      </c>
      <c r="N482" s="7334">
        <v>110.0</v>
      </c>
      <c r="O482" s="7321"/>
      <c r="P482" s="7324"/>
      <c r="Q482" s="7324"/>
      <c r="R482" s="7324"/>
    </row>
    <row r="483" ht="18.75" customHeight="1">
      <c r="A483" s="7316"/>
      <c r="B483" s="7337" t="s">
        <v>2642</v>
      </c>
      <c r="C483" s="7342" t="s">
        <v>2643</v>
      </c>
      <c r="D483" s="7339"/>
      <c r="E483" s="7338" t="s">
        <v>1866</v>
      </c>
      <c r="F483" s="7338" t="str">
        <f t="shared" si="28"/>
        <v/>
      </c>
      <c r="G483" s="7338" t="s">
        <v>561</v>
      </c>
      <c r="H483" s="7338" t="str">
        <f t="shared" si="29"/>
        <v/>
      </c>
      <c r="I483" s="7338">
        <v>80.0</v>
      </c>
      <c r="J483" s="7338">
        <v>130.0</v>
      </c>
      <c r="K483" s="7338">
        <v>100.0</v>
      </c>
      <c r="L483" s="7338">
        <v>160.0</v>
      </c>
      <c r="M483" s="7338">
        <v>120.0</v>
      </c>
      <c r="N483" s="7340">
        <v>110.0</v>
      </c>
      <c r="O483" s="7321"/>
      <c r="P483" s="7324"/>
      <c r="Q483" s="7324"/>
      <c r="R483" s="7324"/>
    </row>
    <row r="484" ht="18.75" customHeight="1">
      <c r="A484" s="7316"/>
      <c r="B484" s="7331" t="s">
        <v>1536</v>
      </c>
      <c r="C484" s="7332" t="s">
        <v>2644</v>
      </c>
      <c r="D484" s="7333"/>
      <c r="E484" s="7332" t="s">
        <v>1871</v>
      </c>
      <c r="F484" s="7332" t="str">
        <f t="shared" si="28"/>
        <v/>
      </c>
      <c r="G484" s="7332"/>
      <c r="H484" s="7332" t="str">
        <f t="shared" si="29"/>
        <v/>
      </c>
      <c r="I484" s="7332">
        <v>100.0</v>
      </c>
      <c r="J484" s="7332">
        <v>100.0</v>
      </c>
      <c r="K484" s="7332">
        <v>90.0</v>
      </c>
      <c r="L484" s="7332">
        <v>150.0</v>
      </c>
      <c r="M484" s="7332">
        <v>140.0</v>
      </c>
      <c r="N484" s="7334">
        <v>90.0</v>
      </c>
      <c r="O484" s="7321"/>
      <c r="P484" s="7324"/>
      <c r="Q484" s="7324"/>
      <c r="R484" s="7324"/>
    </row>
    <row r="485" ht="18.75" customHeight="1">
      <c r="A485" s="7316"/>
      <c r="B485" s="7337" t="s">
        <v>1411</v>
      </c>
      <c r="C485" s="7342" t="s">
        <v>2645</v>
      </c>
      <c r="D485" s="7339"/>
      <c r="E485" s="7338" t="s">
        <v>1871</v>
      </c>
      <c r="F485" s="7338" t="str">
        <f t="shared" si="28"/>
        <v/>
      </c>
      <c r="G485" s="7338"/>
      <c r="H485" s="7338" t="str">
        <f t="shared" si="29"/>
        <v/>
      </c>
      <c r="I485" s="7338">
        <v>100.0</v>
      </c>
      <c r="J485" s="7338">
        <v>150.0</v>
      </c>
      <c r="K485" s="7338">
        <v>90.0</v>
      </c>
      <c r="L485" s="7338">
        <v>180.0</v>
      </c>
      <c r="M485" s="7338">
        <v>160.0</v>
      </c>
      <c r="N485" s="7340">
        <v>90.0</v>
      </c>
      <c r="O485" s="7321"/>
      <c r="P485" s="7324"/>
      <c r="Q485" s="7324"/>
      <c r="R485" s="7324"/>
    </row>
    <row r="486" ht="18.75" customHeight="1">
      <c r="A486" s="7316"/>
      <c r="B486" s="7331" t="s">
        <v>2646</v>
      </c>
      <c r="C486" s="7332" t="s">
        <v>2647</v>
      </c>
      <c r="D486" s="7333"/>
      <c r="E486" s="7332" t="s">
        <v>1948</v>
      </c>
      <c r="F486" s="7332" t="str">
        <f t="shared" si="28"/>
        <v/>
      </c>
      <c r="G486" s="7332"/>
      <c r="H486" s="7332" t="str">
        <f t="shared" si="29"/>
        <v/>
      </c>
      <c r="I486" s="7332">
        <v>100.0</v>
      </c>
      <c r="J486" s="7332">
        <v>150.0</v>
      </c>
      <c r="K486" s="7332">
        <v>140.0</v>
      </c>
      <c r="L486" s="7332">
        <v>100.0</v>
      </c>
      <c r="M486" s="7332">
        <v>90.0</v>
      </c>
      <c r="N486" s="7334">
        <v>90.0</v>
      </c>
      <c r="O486" s="7321"/>
      <c r="P486" s="7324"/>
      <c r="Q486" s="7324"/>
      <c r="R486" s="7324"/>
    </row>
    <row r="487" ht="18.75" customHeight="1">
      <c r="A487" s="7316"/>
      <c r="B487" s="7337" t="s">
        <v>2648</v>
      </c>
      <c r="C487" s="7342" t="s">
        <v>2649</v>
      </c>
      <c r="D487" s="7339"/>
      <c r="E487" s="7338" t="s">
        <v>1948</v>
      </c>
      <c r="F487" s="7338" t="str">
        <f t="shared" si="28"/>
        <v/>
      </c>
      <c r="G487" s="7338" t="s">
        <v>1858</v>
      </c>
      <c r="H487" s="7338" t="str">
        <f t="shared" si="29"/>
        <v/>
      </c>
      <c r="I487" s="7338">
        <v>100.0</v>
      </c>
      <c r="J487" s="7338">
        <v>180.0</v>
      </c>
      <c r="K487" s="7338">
        <v>160.0</v>
      </c>
      <c r="L487" s="7338">
        <v>150.0</v>
      </c>
      <c r="M487" s="7338">
        <v>90.0</v>
      </c>
      <c r="N487" s="7340">
        <v>90.0</v>
      </c>
      <c r="O487" s="7321"/>
      <c r="P487" s="7324"/>
      <c r="Q487" s="7324"/>
      <c r="R487" s="7324"/>
    </row>
    <row r="488" ht="18.75" customHeight="1">
      <c r="A488" s="7316"/>
      <c r="B488" s="7331" t="s">
        <v>2650</v>
      </c>
      <c r="C488" s="7332" t="s">
        <v>2651</v>
      </c>
      <c r="D488" s="7333"/>
      <c r="E488" s="7332" t="s">
        <v>1866</v>
      </c>
      <c r="F488" s="7332" t="str">
        <f t="shared" si="28"/>
        <v/>
      </c>
      <c r="G488" s="7332" t="s">
        <v>1863</v>
      </c>
      <c r="H488" s="7332" t="str">
        <f t="shared" si="29"/>
        <v/>
      </c>
      <c r="I488" s="7332">
        <v>105.0</v>
      </c>
      <c r="J488" s="7332">
        <v>150.0</v>
      </c>
      <c r="K488" s="7332">
        <v>90.0</v>
      </c>
      <c r="L488" s="7332">
        <v>150.0</v>
      </c>
      <c r="M488" s="7332">
        <v>90.0</v>
      </c>
      <c r="N488" s="7334">
        <v>95.0</v>
      </c>
      <c r="O488" s="7321"/>
      <c r="P488" s="7324"/>
      <c r="Q488" s="7324"/>
      <c r="R488" s="7324"/>
    </row>
    <row r="489" ht="18.75" customHeight="1">
      <c r="A489" s="7316"/>
      <c r="B489" s="7337" t="s">
        <v>2652</v>
      </c>
      <c r="C489" s="7342" t="s">
        <v>2653</v>
      </c>
      <c r="D489" s="7339"/>
      <c r="E489" s="7338" t="s">
        <v>1866</v>
      </c>
      <c r="F489" s="7338" t="str">
        <f t="shared" si="28"/>
        <v/>
      </c>
      <c r="G489" s="7338" t="s">
        <v>1863</v>
      </c>
      <c r="H489" s="7338" t="str">
        <f t="shared" si="29"/>
        <v/>
      </c>
      <c r="I489" s="7338">
        <v>105.0</v>
      </c>
      <c r="J489" s="7338">
        <v>180.0</v>
      </c>
      <c r="K489" s="7338">
        <v>100.0</v>
      </c>
      <c r="L489" s="7338">
        <v>180.0</v>
      </c>
      <c r="M489" s="7338">
        <v>100.0</v>
      </c>
      <c r="N489" s="7340">
        <v>115.0</v>
      </c>
      <c r="O489" s="7321"/>
      <c r="P489" s="7324"/>
      <c r="Q489" s="7324"/>
      <c r="R489" s="7324"/>
    </row>
    <row r="490" ht="18.75" customHeight="1">
      <c r="A490" s="7316"/>
      <c r="B490" s="7331" t="s">
        <v>804</v>
      </c>
      <c r="C490" s="7332" t="s">
        <v>2654</v>
      </c>
      <c r="D490" s="7333"/>
      <c r="E490" s="7341" t="s">
        <v>1929</v>
      </c>
      <c r="F490" s="7341" t="str">
        <f t="shared" si="28"/>
        <v/>
      </c>
      <c r="G490" s="7341" t="s">
        <v>561</v>
      </c>
      <c r="H490" s="7341" t="str">
        <f t="shared" si="29"/>
        <v/>
      </c>
      <c r="I490" s="7332">
        <v>100.0</v>
      </c>
      <c r="J490" s="7332">
        <v>100.0</v>
      </c>
      <c r="K490" s="7332">
        <v>100.0</v>
      </c>
      <c r="L490" s="7332">
        <v>100.0</v>
      </c>
      <c r="M490" s="7332">
        <v>100.0</v>
      </c>
      <c r="N490" s="7334">
        <v>100.0</v>
      </c>
      <c r="O490" s="7321"/>
      <c r="P490" s="7324"/>
      <c r="Q490" s="7324"/>
      <c r="R490" s="7324"/>
    </row>
    <row r="491" ht="18.75" customHeight="1">
      <c r="A491" s="7316"/>
      <c r="B491" s="7337" t="s">
        <v>2655</v>
      </c>
      <c r="C491" s="7338" t="s">
        <v>2656</v>
      </c>
      <c r="D491" s="7339"/>
      <c r="E491" s="7338" t="s">
        <v>561</v>
      </c>
      <c r="F491" s="7338" t="str">
        <f t="shared" si="28"/>
        <v/>
      </c>
      <c r="G491" s="7338"/>
      <c r="H491" s="7338" t="str">
        <f t="shared" si="29"/>
        <v/>
      </c>
      <c r="I491" s="7338">
        <v>50.0</v>
      </c>
      <c r="J491" s="7338">
        <v>150.0</v>
      </c>
      <c r="K491" s="7338">
        <v>50.0</v>
      </c>
      <c r="L491" s="7338">
        <v>150.0</v>
      </c>
      <c r="M491" s="7338">
        <v>50.0</v>
      </c>
      <c r="N491" s="7340">
        <v>150.0</v>
      </c>
      <c r="O491" s="7321"/>
      <c r="P491" s="7324"/>
      <c r="Q491" s="7324"/>
      <c r="R491" s="7324"/>
    </row>
    <row r="492" ht="18.75" customHeight="1">
      <c r="A492" s="7316"/>
      <c r="B492" s="7331" t="s">
        <v>803</v>
      </c>
      <c r="C492" s="7341" t="s">
        <v>2657</v>
      </c>
      <c r="D492" s="7333"/>
      <c r="E492" s="7332" t="s">
        <v>561</v>
      </c>
      <c r="F492" s="7332" t="str">
        <f t="shared" si="28"/>
        <v/>
      </c>
      <c r="G492" s="7332"/>
      <c r="H492" s="7332" t="str">
        <f t="shared" si="29"/>
        <v/>
      </c>
      <c r="I492" s="7332">
        <v>50.0</v>
      </c>
      <c r="J492" s="7332">
        <v>180.0</v>
      </c>
      <c r="K492" s="7332">
        <v>20.0</v>
      </c>
      <c r="L492" s="7332">
        <v>180.0</v>
      </c>
      <c r="M492" s="7332">
        <v>20.0</v>
      </c>
      <c r="N492" s="7334">
        <v>150.0</v>
      </c>
      <c r="O492" s="7321"/>
      <c r="P492" s="7324"/>
      <c r="Q492" s="7324"/>
      <c r="R492" s="7324"/>
    </row>
    <row r="493" ht="18.75" customHeight="1">
      <c r="A493" s="7316"/>
      <c r="B493" s="7337" t="s">
        <v>2658</v>
      </c>
      <c r="C493" s="7342" t="s">
        <v>2659</v>
      </c>
      <c r="D493" s="7339"/>
      <c r="E493" s="7338" t="s">
        <v>561</v>
      </c>
      <c r="F493" s="7338" t="str">
        <f t="shared" si="28"/>
        <v/>
      </c>
      <c r="G493" s="7338"/>
      <c r="H493" s="7338" t="str">
        <f t="shared" si="29"/>
        <v/>
      </c>
      <c r="I493" s="7338">
        <v>50.0</v>
      </c>
      <c r="J493" s="7338">
        <v>70.0</v>
      </c>
      <c r="K493" s="7338">
        <v>160.0</v>
      </c>
      <c r="L493" s="7338">
        <v>70.0</v>
      </c>
      <c r="M493" s="7338">
        <v>160.0</v>
      </c>
      <c r="N493" s="7340">
        <v>90.0</v>
      </c>
      <c r="O493" s="7321"/>
      <c r="P493" s="7324"/>
      <c r="Q493" s="7324"/>
      <c r="R493" s="7324"/>
    </row>
    <row r="494" ht="18.75" customHeight="1">
      <c r="A494" s="7316"/>
      <c r="B494" s="7349" t="s">
        <v>2660</v>
      </c>
      <c r="C494" s="7362" t="s">
        <v>2661</v>
      </c>
      <c r="D494" s="7351"/>
      <c r="E494" s="7362" t="s">
        <v>561</v>
      </c>
      <c r="F494" s="7362" t="str">
        <f t="shared" si="28"/>
        <v/>
      </c>
      <c r="G494" s="7362"/>
      <c r="H494" s="7362" t="str">
        <f t="shared" si="29"/>
        <v/>
      </c>
      <c r="I494" s="7350">
        <v>50.0</v>
      </c>
      <c r="J494" s="7350">
        <v>95.0</v>
      </c>
      <c r="K494" s="7350">
        <v>90.0</v>
      </c>
      <c r="L494" s="7350">
        <v>95.0</v>
      </c>
      <c r="M494" s="7350">
        <v>90.0</v>
      </c>
      <c r="N494" s="7352">
        <v>180.0</v>
      </c>
      <c r="O494" s="7321"/>
      <c r="P494" s="7324"/>
      <c r="Q494" s="7324"/>
      <c r="R494" s="7324"/>
    </row>
    <row r="495">
      <c r="A495" s="7316"/>
      <c r="B495" s="7315"/>
      <c r="C495" s="7315"/>
      <c r="D495" s="7315"/>
      <c r="E495" s="7315"/>
      <c r="F495" s="7315"/>
      <c r="G495" s="7315"/>
      <c r="H495" s="7315"/>
      <c r="I495" s="7315"/>
      <c r="J495" s="7315"/>
      <c r="K495" s="7315"/>
      <c r="L495" s="7315"/>
      <c r="M495" s="7315"/>
      <c r="N495" s="7315"/>
      <c r="O495" s="7316"/>
      <c r="P495" s="7316"/>
      <c r="Q495" s="7324"/>
      <c r="R495" s="7324"/>
    </row>
    <row r="496">
      <c r="A496" s="7316"/>
      <c r="B496" s="7317" t="s">
        <v>2662</v>
      </c>
      <c r="C496" s="7353"/>
      <c r="D496" s="7353"/>
      <c r="E496" s="7353"/>
      <c r="F496" s="7353"/>
      <c r="G496" s="7353"/>
      <c r="H496" s="7354"/>
      <c r="I496" s="7319" t="s">
        <v>192</v>
      </c>
      <c r="J496" s="7319" t="s">
        <v>193</v>
      </c>
      <c r="K496" s="7319" t="s">
        <v>194</v>
      </c>
      <c r="L496" s="7319" t="s">
        <v>195</v>
      </c>
      <c r="M496" s="7319" t="s">
        <v>196</v>
      </c>
      <c r="N496" s="7320" t="s">
        <v>197</v>
      </c>
      <c r="O496" s="7321"/>
      <c r="P496" s="7324"/>
      <c r="Q496" s="7324"/>
      <c r="R496" s="7324"/>
    </row>
    <row r="497" ht="18.75" customHeight="1">
      <c r="A497" s="7316"/>
      <c r="B497" s="7355" t="s">
        <v>2663</v>
      </c>
      <c r="C497" s="7356" t="s">
        <v>2664</v>
      </c>
      <c r="D497" s="7357"/>
      <c r="E497" s="7338" t="s">
        <v>1848</v>
      </c>
      <c r="F497" s="7338" t="str">
        <f t="shared" ref="F497:F591" si="30">IFERROR(VLOOKUP(E497,P$3:Q514,2,False),"")</f>
        <v/>
      </c>
      <c r="G497" s="7338"/>
      <c r="H497" s="7338" t="str">
        <f t="shared" ref="H497:H591" si="31">IFERROR(VLOOKUP(G497,P$3:Q514,2,False),"")</f>
        <v/>
      </c>
      <c r="I497" s="7338">
        <v>55.0</v>
      </c>
      <c r="J497" s="7338">
        <v>68.0</v>
      </c>
      <c r="K497" s="7338">
        <v>64.0</v>
      </c>
      <c r="L497" s="7338">
        <v>45.0</v>
      </c>
      <c r="M497" s="7338">
        <v>55.0</v>
      </c>
      <c r="N497" s="7340">
        <v>31.0</v>
      </c>
      <c r="O497" s="7321"/>
      <c r="P497" s="7324"/>
      <c r="Q497" s="7324"/>
      <c r="R497" s="7324"/>
    </row>
    <row r="498" ht="18.75" customHeight="1">
      <c r="A498" s="7316"/>
      <c r="B498" s="7331" t="s">
        <v>2665</v>
      </c>
      <c r="C498" s="7332" t="s">
        <v>2666</v>
      </c>
      <c r="D498" s="7333"/>
      <c r="E498" s="7341" t="s">
        <v>1848</v>
      </c>
      <c r="F498" s="7341" t="str">
        <f t="shared" si="30"/>
        <v/>
      </c>
      <c r="G498" s="7341"/>
      <c r="H498" s="7341" t="str">
        <f t="shared" si="31"/>
        <v/>
      </c>
      <c r="I498" s="7332">
        <v>75.0</v>
      </c>
      <c r="J498" s="7332">
        <v>89.0</v>
      </c>
      <c r="K498" s="7332">
        <v>85.0</v>
      </c>
      <c r="L498" s="7332">
        <v>55.0</v>
      </c>
      <c r="M498" s="7332">
        <v>65.0</v>
      </c>
      <c r="N498" s="7334">
        <v>36.0</v>
      </c>
      <c r="O498" s="7321"/>
      <c r="P498" s="7324"/>
      <c r="Q498" s="7324"/>
      <c r="R498" s="7324"/>
    </row>
    <row r="499" ht="18.75" customHeight="1">
      <c r="A499" s="7316"/>
      <c r="B499" s="7337" t="s">
        <v>933</v>
      </c>
      <c r="C499" s="7338" t="s">
        <v>2667</v>
      </c>
      <c r="D499" s="7339"/>
      <c r="E499" s="7338" t="s">
        <v>1848</v>
      </c>
      <c r="F499" s="7338" t="str">
        <f t="shared" si="30"/>
        <v/>
      </c>
      <c r="G499" s="7338" t="s">
        <v>1948</v>
      </c>
      <c r="H499" s="7338" t="str">
        <f t="shared" si="31"/>
        <v/>
      </c>
      <c r="I499" s="7338">
        <v>95.0</v>
      </c>
      <c r="J499" s="7338">
        <v>109.0</v>
      </c>
      <c r="K499" s="7338">
        <v>105.0</v>
      </c>
      <c r="L499" s="7338">
        <v>75.0</v>
      </c>
      <c r="M499" s="7338">
        <v>85.0</v>
      </c>
      <c r="N499" s="7340">
        <v>56.0</v>
      </c>
      <c r="O499" s="7321"/>
      <c r="P499" s="7324"/>
      <c r="Q499" s="7324"/>
      <c r="R499" s="7324"/>
    </row>
    <row r="500" ht="18.75" customHeight="1">
      <c r="A500" s="7316"/>
      <c r="B500" s="7331" t="s">
        <v>2668</v>
      </c>
      <c r="C500" s="7332" t="s">
        <v>2669</v>
      </c>
      <c r="D500" s="7333"/>
      <c r="E500" s="7332" t="s">
        <v>1858</v>
      </c>
      <c r="F500" s="7332" t="str">
        <f t="shared" si="30"/>
        <v/>
      </c>
      <c r="G500" s="7332"/>
      <c r="H500" s="7332" t="str">
        <f t="shared" si="31"/>
        <v/>
      </c>
      <c r="I500" s="7332">
        <v>44.0</v>
      </c>
      <c r="J500" s="7332">
        <v>58.0</v>
      </c>
      <c r="K500" s="7332">
        <v>44.0</v>
      </c>
      <c r="L500" s="7332">
        <v>58.0</v>
      </c>
      <c r="M500" s="7332">
        <v>44.0</v>
      </c>
      <c r="N500" s="7334">
        <v>61.0</v>
      </c>
      <c r="O500" s="7321"/>
      <c r="P500" s="7324"/>
      <c r="Q500" s="7324"/>
      <c r="R500" s="7324"/>
    </row>
    <row r="501" ht="18.75" customHeight="1">
      <c r="A501" s="7316"/>
      <c r="B501" s="7337" t="s">
        <v>2670</v>
      </c>
      <c r="C501" s="7338" t="s">
        <v>2671</v>
      </c>
      <c r="D501" s="7339"/>
      <c r="E501" s="7338" t="s">
        <v>1858</v>
      </c>
      <c r="F501" s="7338" t="str">
        <f t="shared" si="30"/>
        <v/>
      </c>
      <c r="G501" s="7338" t="s">
        <v>1939</v>
      </c>
      <c r="H501" s="7338" t="str">
        <f t="shared" si="31"/>
        <v/>
      </c>
      <c r="I501" s="7338">
        <v>64.0</v>
      </c>
      <c r="J501" s="7338">
        <v>78.0</v>
      </c>
      <c r="K501" s="7338">
        <v>52.0</v>
      </c>
      <c r="L501" s="7338">
        <v>78.0</v>
      </c>
      <c r="M501" s="7338">
        <v>52.0</v>
      </c>
      <c r="N501" s="7340">
        <v>81.0</v>
      </c>
      <c r="O501" s="7321"/>
      <c r="P501" s="7324"/>
      <c r="Q501" s="7324"/>
      <c r="R501" s="7324"/>
    </row>
    <row r="502" ht="18.75" customHeight="1">
      <c r="A502" s="7316"/>
      <c r="B502" s="7331" t="s">
        <v>890</v>
      </c>
      <c r="C502" s="7332" t="s">
        <v>2672</v>
      </c>
      <c r="D502" s="7333"/>
      <c r="E502" s="7341" t="s">
        <v>1858</v>
      </c>
      <c r="F502" s="7341" t="str">
        <f t="shared" si="30"/>
        <v/>
      </c>
      <c r="G502" s="7341" t="s">
        <v>1939</v>
      </c>
      <c r="H502" s="7341" t="str">
        <f t="shared" si="31"/>
        <v/>
      </c>
      <c r="I502" s="7332">
        <v>76.0</v>
      </c>
      <c r="J502" s="7332">
        <v>110.0</v>
      </c>
      <c r="K502" s="7332">
        <v>71.0</v>
      </c>
      <c r="L502" s="7332">
        <v>110.0</v>
      </c>
      <c r="M502" s="7332">
        <v>71.0</v>
      </c>
      <c r="N502" s="7334">
        <v>113.0</v>
      </c>
      <c r="O502" s="7321"/>
      <c r="P502" s="7324"/>
      <c r="Q502" s="7324"/>
      <c r="R502" s="7324"/>
    </row>
    <row r="503" ht="18.75" customHeight="1">
      <c r="A503" s="7316"/>
      <c r="B503" s="7337" t="s">
        <v>2673</v>
      </c>
      <c r="C503" s="7338" t="s">
        <v>2674</v>
      </c>
      <c r="D503" s="7339"/>
      <c r="E503" s="7338" t="s">
        <v>1871</v>
      </c>
      <c r="F503" s="7338" t="str">
        <f t="shared" si="30"/>
        <v/>
      </c>
      <c r="G503" s="7338"/>
      <c r="H503" s="7338" t="str">
        <f t="shared" si="31"/>
        <v/>
      </c>
      <c r="I503" s="7338">
        <v>53.0</v>
      </c>
      <c r="J503" s="7338">
        <v>51.0</v>
      </c>
      <c r="K503" s="7338">
        <v>53.0</v>
      </c>
      <c r="L503" s="7338">
        <v>61.0</v>
      </c>
      <c r="M503" s="7338">
        <v>56.0</v>
      </c>
      <c r="N503" s="7340">
        <v>40.0</v>
      </c>
      <c r="O503" s="7321"/>
      <c r="P503" s="7324"/>
      <c r="Q503" s="7324"/>
      <c r="R503" s="7324"/>
    </row>
    <row r="504" ht="18.75" customHeight="1">
      <c r="A504" s="7316"/>
      <c r="B504" s="7331" t="s">
        <v>2675</v>
      </c>
      <c r="C504" s="7332" t="s">
        <v>2676</v>
      </c>
      <c r="D504" s="7333"/>
      <c r="E504" s="7332" t="s">
        <v>1871</v>
      </c>
      <c r="F504" s="7332" t="str">
        <f t="shared" si="30"/>
        <v/>
      </c>
      <c r="G504" s="7332"/>
      <c r="H504" s="7332" t="str">
        <f t="shared" si="31"/>
        <v/>
      </c>
      <c r="I504" s="7332">
        <v>64.0</v>
      </c>
      <c r="J504" s="7332">
        <v>66.0</v>
      </c>
      <c r="K504" s="7332">
        <v>68.0</v>
      </c>
      <c r="L504" s="7332">
        <v>81.0</v>
      </c>
      <c r="M504" s="7332">
        <v>76.0</v>
      </c>
      <c r="N504" s="7334">
        <v>50.0</v>
      </c>
      <c r="O504" s="7321"/>
      <c r="P504" s="7324"/>
      <c r="Q504" s="7324"/>
      <c r="R504" s="7324"/>
    </row>
    <row r="505" ht="18.75" customHeight="1">
      <c r="A505" s="7316"/>
      <c r="B505" s="7337" t="s">
        <v>1305</v>
      </c>
      <c r="C505" s="7338" t="s">
        <v>2677</v>
      </c>
      <c r="D505" s="7339"/>
      <c r="E505" s="7338" t="s">
        <v>1871</v>
      </c>
      <c r="F505" s="7338" t="str">
        <f t="shared" si="30"/>
        <v/>
      </c>
      <c r="G505" s="7338" t="s">
        <v>1929</v>
      </c>
      <c r="H505" s="7338" t="str">
        <f t="shared" si="31"/>
        <v/>
      </c>
      <c r="I505" s="7338">
        <v>84.0</v>
      </c>
      <c r="J505" s="7338">
        <v>86.0</v>
      </c>
      <c r="K505" s="7338">
        <v>88.0</v>
      </c>
      <c r="L505" s="7338">
        <v>111.0</v>
      </c>
      <c r="M505" s="7338">
        <v>101.0</v>
      </c>
      <c r="N505" s="7340">
        <v>60.0</v>
      </c>
      <c r="O505" s="7321"/>
      <c r="P505" s="7324"/>
      <c r="Q505" s="7324"/>
      <c r="R505" s="7324"/>
    </row>
    <row r="506" ht="18.75" customHeight="1">
      <c r="A506" s="7316"/>
      <c r="B506" s="7331" t="s">
        <v>674</v>
      </c>
      <c r="C506" s="7332" t="s">
        <v>2678</v>
      </c>
      <c r="D506" s="7333"/>
      <c r="E506" s="7341" t="s">
        <v>1901</v>
      </c>
      <c r="F506" s="7341" t="str">
        <f t="shared" si="30"/>
        <v/>
      </c>
      <c r="G506" s="7341" t="s">
        <v>1863</v>
      </c>
      <c r="H506" s="7341" t="str">
        <f t="shared" si="31"/>
        <v/>
      </c>
      <c r="I506" s="7332">
        <v>40.0</v>
      </c>
      <c r="J506" s="7332">
        <v>55.0</v>
      </c>
      <c r="K506" s="7332">
        <v>30.0</v>
      </c>
      <c r="L506" s="7332">
        <v>30.0</v>
      </c>
      <c r="M506" s="7332">
        <v>30.0</v>
      </c>
      <c r="N506" s="7334">
        <v>60.0</v>
      </c>
      <c r="O506" s="7321"/>
      <c r="P506" s="7324"/>
      <c r="Q506" s="7324"/>
      <c r="R506" s="7324"/>
    </row>
    <row r="507" ht="18.75" customHeight="1">
      <c r="A507" s="7316"/>
      <c r="B507" s="7337" t="s">
        <v>711</v>
      </c>
      <c r="C507" s="7338" t="s">
        <v>2679</v>
      </c>
      <c r="D507" s="7339"/>
      <c r="E507" s="7338" t="s">
        <v>1901</v>
      </c>
      <c r="F507" s="7338" t="str">
        <f t="shared" si="30"/>
        <v/>
      </c>
      <c r="G507" s="7338" t="s">
        <v>1863</v>
      </c>
      <c r="H507" s="7338" t="str">
        <f t="shared" si="31"/>
        <v/>
      </c>
      <c r="I507" s="7338">
        <v>55.0</v>
      </c>
      <c r="J507" s="7338">
        <v>75.0</v>
      </c>
      <c r="K507" s="7338">
        <v>50.0</v>
      </c>
      <c r="L507" s="7338">
        <v>40.0</v>
      </c>
      <c r="M507" s="7338">
        <v>40.0</v>
      </c>
      <c r="N507" s="7340">
        <v>80.0</v>
      </c>
      <c r="O507" s="7321"/>
      <c r="P507" s="7324"/>
      <c r="Q507" s="7324"/>
      <c r="R507" s="7324"/>
    </row>
    <row r="508" ht="18.75" customHeight="1">
      <c r="A508" s="7316"/>
      <c r="B508" s="7331" t="s">
        <v>740</v>
      </c>
      <c r="C508" s="7332" t="s">
        <v>2680</v>
      </c>
      <c r="D508" s="7333"/>
      <c r="E508" s="7332" t="s">
        <v>1901</v>
      </c>
      <c r="F508" s="7332" t="str">
        <f t="shared" si="30"/>
        <v/>
      </c>
      <c r="G508" s="7332" t="s">
        <v>1863</v>
      </c>
      <c r="H508" s="7332" t="str">
        <f t="shared" si="31"/>
        <v/>
      </c>
      <c r="I508" s="7332">
        <v>85.0</v>
      </c>
      <c r="J508" s="7332">
        <v>120.0</v>
      </c>
      <c r="K508" s="7332">
        <v>70.0</v>
      </c>
      <c r="L508" s="7332">
        <v>50.0</v>
      </c>
      <c r="M508" s="7332">
        <v>60.0</v>
      </c>
      <c r="N508" s="7334">
        <v>100.0</v>
      </c>
      <c r="O508" s="7321"/>
      <c r="P508" s="7324"/>
      <c r="Q508" s="7324"/>
      <c r="R508" s="7324"/>
    </row>
    <row r="509" ht="18.75" customHeight="1">
      <c r="A509" s="7316"/>
      <c r="B509" s="7337" t="s">
        <v>2681</v>
      </c>
      <c r="C509" s="7338" t="s">
        <v>2682</v>
      </c>
      <c r="D509" s="7339"/>
      <c r="E509" s="7338" t="s">
        <v>1901</v>
      </c>
      <c r="F509" s="7338" t="str">
        <f t="shared" si="30"/>
        <v/>
      </c>
      <c r="G509" s="7338"/>
      <c r="H509" s="7338" t="str">
        <f t="shared" si="31"/>
        <v/>
      </c>
      <c r="I509" s="7338">
        <v>59.0</v>
      </c>
      <c r="J509" s="7338">
        <v>45.0</v>
      </c>
      <c r="K509" s="7338">
        <v>40.0</v>
      </c>
      <c r="L509" s="7338">
        <v>35.0</v>
      </c>
      <c r="M509" s="7338">
        <v>40.0</v>
      </c>
      <c r="N509" s="7340">
        <v>31.0</v>
      </c>
      <c r="O509" s="7321"/>
      <c r="P509" s="7324"/>
      <c r="Q509" s="7324"/>
      <c r="R509" s="7324"/>
    </row>
    <row r="510" ht="18.75" customHeight="1">
      <c r="A510" s="7316"/>
      <c r="B510" s="7331" t="s">
        <v>999</v>
      </c>
      <c r="C510" s="7332" t="s">
        <v>2683</v>
      </c>
      <c r="D510" s="7333"/>
      <c r="E510" s="7341" t="s">
        <v>1901</v>
      </c>
      <c r="F510" s="7341" t="str">
        <f t="shared" si="30"/>
        <v/>
      </c>
      <c r="G510" s="7341" t="s">
        <v>1871</v>
      </c>
      <c r="H510" s="7341" t="str">
        <f t="shared" si="31"/>
        <v/>
      </c>
      <c r="I510" s="7332">
        <v>79.0</v>
      </c>
      <c r="J510" s="7332">
        <v>85.0</v>
      </c>
      <c r="K510" s="7332">
        <v>80.0</v>
      </c>
      <c r="L510" s="7332">
        <v>55.0</v>
      </c>
      <c r="M510" s="7332">
        <v>80.0</v>
      </c>
      <c r="N510" s="7334">
        <v>50.0</v>
      </c>
      <c r="O510" s="7321"/>
      <c r="P510" s="7324"/>
      <c r="Q510" s="7324"/>
      <c r="R510" s="7324"/>
    </row>
    <row r="511" ht="18.75" customHeight="1">
      <c r="A511" s="7316"/>
      <c r="B511" s="7337" t="s">
        <v>2684</v>
      </c>
      <c r="C511" s="7338" t="s">
        <v>2685</v>
      </c>
      <c r="D511" s="7339"/>
      <c r="E511" s="7338" t="s">
        <v>1882</v>
      </c>
      <c r="F511" s="7338" t="str">
        <f t="shared" si="30"/>
        <v/>
      </c>
      <c r="G511" s="7338"/>
      <c r="H511" s="7338" t="str">
        <f t="shared" si="31"/>
        <v/>
      </c>
      <c r="I511" s="7338">
        <v>37.0</v>
      </c>
      <c r="J511" s="7338">
        <v>40.0</v>
      </c>
      <c r="K511" s="7338">
        <v>41.0</v>
      </c>
      <c r="L511" s="7338">
        <v>40.0</v>
      </c>
      <c r="M511" s="7338">
        <v>41.0</v>
      </c>
      <c r="N511" s="7340">
        <v>25.0</v>
      </c>
      <c r="O511" s="7321"/>
      <c r="P511" s="7324"/>
      <c r="Q511" s="7324"/>
      <c r="R511" s="7324"/>
    </row>
    <row r="512" ht="18.75" customHeight="1">
      <c r="A512" s="7316"/>
      <c r="B512" s="7331" t="s">
        <v>2686</v>
      </c>
      <c r="C512" s="7332" t="s">
        <v>2687</v>
      </c>
      <c r="D512" s="7333"/>
      <c r="E512" s="7332" t="s">
        <v>1882</v>
      </c>
      <c r="F512" s="7332" t="str">
        <f t="shared" si="30"/>
        <v/>
      </c>
      <c r="G512" s="7332"/>
      <c r="H512" s="7332" t="str">
        <f t="shared" si="31"/>
        <v/>
      </c>
      <c r="I512" s="7332">
        <v>77.0</v>
      </c>
      <c r="J512" s="7332">
        <v>95.0</v>
      </c>
      <c r="K512" s="7332">
        <v>71.0</v>
      </c>
      <c r="L512" s="7332">
        <v>55.0</v>
      </c>
      <c r="M512" s="7332">
        <v>71.0</v>
      </c>
      <c r="N512" s="7334">
        <v>80.0</v>
      </c>
      <c r="O512" s="7321"/>
      <c r="P512" s="7324"/>
      <c r="Q512" s="7324"/>
      <c r="R512" s="7324"/>
    </row>
    <row r="513" ht="18.75" customHeight="1">
      <c r="A513" s="7316"/>
      <c r="B513" s="7337" t="s">
        <v>2688</v>
      </c>
      <c r="C513" s="7338" t="s">
        <v>2689</v>
      </c>
      <c r="D513" s="7339"/>
      <c r="E513" s="7338" t="s">
        <v>1926</v>
      </c>
      <c r="F513" s="7338" t="str">
        <f t="shared" si="30"/>
        <v/>
      </c>
      <c r="G513" s="7338"/>
      <c r="H513" s="7338" t="str">
        <f t="shared" si="31"/>
        <v/>
      </c>
      <c r="I513" s="7338">
        <v>45.0</v>
      </c>
      <c r="J513" s="7338">
        <v>65.0</v>
      </c>
      <c r="K513" s="7338">
        <v>34.0</v>
      </c>
      <c r="L513" s="7338">
        <v>40.0</v>
      </c>
      <c r="M513" s="7338">
        <v>34.0</v>
      </c>
      <c r="N513" s="7340">
        <v>45.0</v>
      </c>
      <c r="O513" s="7321"/>
      <c r="P513" s="7324"/>
      <c r="Q513" s="7324"/>
      <c r="R513" s="7324"/>
    </row>
    <row r="514" ht="18.75" customHeight="1">
      <c r="A514" s="7316"/>
      <c r="B514" s="7331" t="s">
        <v>2690</v>
      </c>
      <c r="C514" s="7332" t="s">
        <v>2691</v>
      </c>
      <c r="D514" s="7333"/>
      <c r="E514" s="7341" t="s">
        <v>1926</v>
      </c>
      <c r="F514" s="7341" t="str">
        <f t="shared" si="30"/>
        <v/>
      </c>
      <c r="G514" s="7341"/>
      <c r="H514" s="7341" t="str">
        <f t="shared" si="31"/>
        <v/>
      </c>
      <c r="I514" s="7332">
        <v>60.0</v>
      </c>
      <c r="J514" s="7332">
        <v>85.0</v>
      </c>
      <c r="K514" s="7332">
        <v>49.0</v>
      </c>
      <c r="L514" s="7332">
        <v>60.0</v>
      </c>
      <c r="M514" s="7332">
        <v>49.0</v>
      </c>
      <c r="N514" s="7334">
        <v>60.0</v>
      </c>
      <c r="O514" s="7321"/>
      <c r="P514" s="7324"/>
      <c r="Q514" s="7324"/>
      <c r="R514" s="7324"/>
    </row>
    <row r="515" ht="18.75" customHeight="1">
      <c r="A515" s="7316"/>
      <c r="B515" s="7337" t="s">
        <v>2692</v>
      </c>
      <c r="C515" s="7338" t="s">
        <v>2693</v>
      </c>
      <c r="D515" s="7339"/>
      <c r="E515" s="7338" t="s">
        <v>1926</v>
      </c>
      <c r="F515" s="7338" t="str">
        <f t="shared" si="30"/>
        <v/>
      </c>
      <c r="G515" s="7338"/>
      <c r="H515" s="7338" t="str">
        <f t="shared" si="31"/>
        <v/>
      </c>
      <c r="I515" s="7338">
        <v>80.0</v>
      </c>
      <c r="J515" s="7338">
        <v>120.0</v>
      </c>
      <c r="K515" s="7338">
        <v>79.0</v>
      </c>
      <c r="L515" s="7338">
        <v>95.0</v>
      </c>
      <c r="M515" s="7338">
        <v>79.0</v>
      </c>
      <c r="N515" s="7340">
        <v>70.0</v>
      </c>
      <c r="O515" s="7321"/>
      <c r="P515" s="7324"/>
      <c r="Q515" s="7324"/>
      <c r="R515" s="7324"/>
    </row>
    <row r="516" ht="18.75" customHeight="1">
      <c r="A516" s="7316"/>
      <c r="B516" s="7331" t="s">
        <v>2694</v>
      </c>
      <c r="C516" s="7332" t="s">
        <v>2695</v>
      </c>
      <c r="D516" s="7333"/>
      <c r="E516" s="7332" t="s">
        <v>1848</v>
      </c>
      <c r="F516" s="7332" t="str">
        <f t="shared" si="30"/>
        <v/>
      </c>
      <c r="G516" s="7332" t="s">
        <v>1849</v>
      </c>
      <c r="H516" s="7332" t="str">
        <f t="shared" si="31"/>
        <v/>
      </c>
      <c r="I516" s="7332">
        <v>40.0</v>
      </c>
      <c r="J516" s="7332">
        <v>30.0</v>
      </c>
      <c r="K516" s="7332">
        <v>35.0</v>
      </c>
      <c r="L516" s="7332">
        <v>50.0</v>
      </c>
      <c r="M516" s="7332">
        <v>70.0</v>
      </c>
      <c r="N516" s="7334">
        <v>55.0</v>
      </c>
      <c r="O516" s="7321"/>
      <c r="P516" s="7324"/>
      <c r="Q516" s="7324"/>
      <c r="R516" s="7324"/>
    </row>
    <row r="517" ht="18.75" customHeight="1">
      <c r="A517" s="7316"/>
      <c r="B517" s="7337" t="s">
        <v>1188</v>
      </c>
      <c r="C517" s="7338" t="s">
        <v>2696</v>
      </c>
      <c r="D517" s="7339"/>
      <c r="E517" s="7338" t="s">
        <v>1848</v>
      </c>
      <c r="F517" s="7338" t="str">
        <f t="shared" si="30"/>
        <v/>
      </c>
      <c r="G517" s="7338" t="s">
        <v>1849</v>
      </c>
      <c r="H517" s="7338" t="str">
        <f t="shared" si="31"/>
        <v/>
      </c>
      <c r="I517" s="7338">
        <v>60.0</v>
      </c>
      <c r="J517" s="7338">
        <v>70.0</v>
      </c>
      <c r="K517" s="7338">
        <v>65.0</v>
      </c>
      <c r="L517" s="7338">
        <v>125.0</v>
      </c>
      <c r="M517" s="7338">
        <v>105.0</v>
      </c>
      <c r="N517" s="7340">
        <v>90.0</v>
      </c>
      <c r="O517" s="7321"/>
      <c r="P517" s="7324"/>
      <c r="Q517" s="7324"/>
      <c r="R517" s="7324"/>
    </row>
    <row r="518" ht="18.75" customHeight="1">
      <c r="A518" s="7316"/>
      <c r="B518" s="7331" t="s">
        <v>2697</v>
      </c>
      <c r="C518" s="7332" t="s">
        <v>2698</v>
      </c>
      <c r="D518" s="7333"/>
      <c r="E518" s="7341" t="s">
        <v>2014</v>
      </c>
      <c r="F518" s="7341" t="str">
        <f t="shared" si="30"/>
        <v/>
      </c>
      <c r="G518" s="7341"/>
      <c r="H518" s="7341" t="str">
        <f t="shared" si="31"/>
        <v/>
      </c>
      <c r="I518" s="7332">
        <v>67.0</v>
      </c>
      <c r="J518" s="7332">
        <v>125.0</v>
      </c>
      <c r="K518" s="7332">
        <v>40.0</v>
      </c>
      <c r="L518" s="7332">
        <v>30.0</v>
      </c>
      <c r="M518" s="7332">
        <v>30.0</v>
      </c>
      <c r="N518" s="7334">
        <v>58.0</v>
      </c>
      <c r="O518" s="7321"/>
      <c r="P518" s="7324"/>
      <c r="Q518" s="7324"/>
      <c r="R518" s="7324"/>
    </row>
    <row r="519" ht="18.75" customHeight="1">
      <c r="A519" s="7316"/>
      <c r="B519" s="7337" t="s">
        <v>2699</v>
      </c>
      <c r="C519" s="7338" t="s">
        <v>2700</v>
      </c>
      <c r="D519" s="7339"/>
      <c r="E519" s="7338" t="s">
        <v>2014</v>
      </c>
      <c r="F519" s="7338" t="str">
        <f t="shared" si="30"/>
        <v/>
      </c>
      <c r="G519" s="7338"/>
      <c r="H519" s="7338" t="str">
        <f t="shared" si="31"/>
        <v/>
      </c>
      <c r="I519" s="7338">
        <v>97.0</v>
      </c>
      <c r="J519" s="7338">
        <v>165.0</v>
      </c>
      <c r="K519" s="7338">
        <v>60.0</v>
      </c>
      <c r="L519" s="7338">
        <v>65.0</v>
      </c>
      <c r="M519" s="7338">
        <v>50.0</v>
      </c>
      <c r="N519" s="7340">
        <v>58.0</v>
      </c>
      <c r="O519" s="7321"/>
      <c r="P519" s="7324"/>
      <c r="Q519" s="7324"/>
      <c r="R519" s="7324"/>
    </row>
    <row r="520" ht="18.75" customHeight="1">
      <c r="A520" s="7316"/>
      <c r="B520" s="7331" t="s">
        <v>2701</v>
      </c>
      <c r="C520" s="7332" t="s">
        <v>2702</v>
      </c>
      <c r="D520" s="7333"/>
      <c r="E520" s="7332" t="s">
        <v>2014</v>
      </c>
      <c r="F520" s="7332" t="str">
        <f t="shared" si="30"/>
        <v/>
      </c>
      <c r="G520" s="7332" t="s">
        <v>1929</v>
      </c>
      <c r="H520" s="7332" t="str">
        <f t="shared" si="31"/>
        <v/>
      </c>
      <c r="I520" s="7332">
        <v>30.0</v>
      </c>
      <c r="J520" s="7332">
        <v>42.0</v>
      </c>
      <c r="K520" s="7332">
        <v>118.0</v>
      </c>
      <c r="L520" s="7332">
        <v>42.0</v>
      </c>
      <c r="M520" s="7332">
        <v>88.0</v>
      </c>
      <c r="N520" s="7334">
        <v>30.0</v>
      </c>
      <c r="O520" s="7321"/>
      <c r="P520" s="7324"/>
      <c r="Q520" s="7324"/>
      <c r="R520" s="7324"/>
    </row>
    <row r="521" ht="18.75" customHeight="1">
      <c r="A521" s="7316"/>
      <c r="B521" s="7337" t="s">
        <v>2703</v>
      </c>
      <c r="C521" s="7338" t="s">
        <v>2704</v>
      </c>
      <c r="D521" s="7339"/>
      <c r="E521" s="7338" t="s">
        <v>2014</v>
      </c>
      <c r="F521" s="7338" t="str">
        <f t="shared" si="30"/>
        <v/>
      </c>
      <c r="G521" s="7338" t="s">
        <v>1929</v>
      </c>
      <c r="H521" s="7338" t="str">
        <f t="shared" si="31"/>
        <v/>
      </c>
      <c r="I521" s="7338">
        <v>60.0</v>
      </c>
      <c r="J521" s="7338">
        <v>52.0</v>
      </c>
      <c r="K521" s="7338">
        <v>168.0</v>
      </c>
      <c r="L521" s="7338">
        <v>47.0</v>
      </c>
      <c r="M521" s="7338">
        <v>138.0</v>
      </c>
      <c r="N521" s="7340">
        <v>30.0</v>
      </c>
      <c r="O521" s="7321"/>
      <c r="P521" s="7324"/>
      <c r="Q521" s="7324"/>
      <c r="R521" s="7324"/>
    </row>
    <row r="522" ht="18.75" customHeight="1">
      <c r="A522" s="7316"/>
      <c r="B522" s="7331" t="s">
        <v>2705</v>
      </c>
      <c r="C522" s="7332" t="s">
        <v>2706</v>
      </c>
      <c r="D522" s="7333"/>
      <c r="E522" s="7341" t="s">
        <v>1882</v>
      </c>
      <c r="F522" s="7341" t="str">
        <f t="shared" si="30"/>
        <v/>
      </c>
      <c r="G522" s="7341"/>
      <c r="H522" s="7341" t="str">
        <f t="shared" si="31"/>
        <v/>
      </c>
      <c r="I522" s="7332">
        <v>40.0</v>
      </c>
      <c r="J522" s="7332">
        <v>29.0</v>
      </c>
      <c r="K522" s="7332">
        <v>45.0</v>
      </c>
      <c r="L522" s="7332">
        <v>29.0</v>
      </c>
      <c r="M522" s="7332">
        <v>45.0</v>
      </c>
      <c r="N522" s="7334">
        <v>36.0</v>
      </c>
      <c r="O522" s="7321"/>
      <c r="P522" s="7324"/>
      <c r="Q522" s="7324"/>
      <c r="R522" s="7324"/>
    </row>
    <row r="523" ht="18.75" customHeight="1">
      <c r="A523" s="7316"/>
      <c r="B523" s="7337" t="s">
        <v>2707</v>
      </c>
      <c r="C523" s="7342" t="s">
        <v>2708</v>
      </c>
      <c r="D523" s="7339"/>
      <c r="E523" s="7338" t="s">
        <v>1882</v>
      </c>
      <c r="F523" s="7338" t="str">
        <f t="shared" si="30"/>
        <v/>
      </c>
      <c r="G523" s="7338"/>
      <c r="H523" s="7338" t="str">
        <f t="shared" si="31"/>
        <v/>
      </c>
      <c r="I523" s="7338">
        <v>40.0</v>
      </c>
      <c r="J523" s="7338">
        <v>29.0</v>
      </c>
      <c r="K523" s="7338">
        <v>45.0</v>
      </c>
      <c r="L523" s="7338">
        <v>29.0</v>
      </c>
      <c r="M523" s="7338">
        <v>45.0</v>
      </c>
      <c r="N523" s="7340">
        <v>36.0</v>
      </c>
      <c r="O523" s="7321"/>
      <c r="P523" s="7324"/>
      <c r="Q523" s="7324"/>
      <c r="R523" s="7324"/>
    </row>
    <row r="524" ht="18.75" customHeight="1">
      <c r="A524" s="7316"/>
      <c r="B524" s="7331" t="s">
        <v>2709</v>
      </c>
      <c r="C524" s="7341" t="s">
        <v>2710</v>
      </c>
      <c r="D524" s="7333"/>
      <c r="E524" s="7332" t="s">
        <v>1882</v>
      </c>
      <c r="F524" s="7332" t="str">
        <f t="shared" si="30"/>
        <v/>
      </c>
      <c r="G524" s="7332"/>
      <c r="H524" s="7332" t="str">
        <f t="shared" si="31"/>
        <v/>
      </c>
      <c r="I524" s="7332">
        <v>40.0</v>
      </c>
      <c r="J524" s="7332">
        <v>29.0</v>
      </c>
      <c r="K524" s="7332">
        <v>45.0</v>
      </c>
      <c r="L524" s="7332">
        <v>29.0</v>
      </c>
      <c r="M524" s="7332">
        <v>45.0</v>
      </c>
      <c r="N524" s="7334">
        <v>36.0</v>
      </c>
      <c r="O524" s="7321"/>
      <c r="P524" s="7324"/>
      <c r="Q524" s="7324"/>
      <c r="R524" s="7324"/>
    </row>
    <row r="525" ht="18.75" customHeight="1">
      <c r="A525" s="7316"/>
      <c r="B525" s="7337" t="s">
        <v>2711</v>
      </c>
      <c r="C525" s="7338" t="s">
        <v>2712</v>
      </c>
      <c r="D525" s="7339"/>
      <c r="E525" s="7338" t="s">
        <v>1882</v>
      </c>
      <c r="F525" s="7338" t="str">
        <f t="shared" si="30"/>
        <v/>
      </c>
      <c r="G525" s="7338" t="s">
        <v>1848</v>
      </c>
      <c r="H525" s="7338" t="str">
        <f t="shared" si="31"/>
        <v/>
      </c>
      <c r="I525" s="7338">
        <v>60.0</v>
      </c>
      <c r="J525" s="7338">
        <v>59.0</v>
      </c>
      <c r="K525" s="7338">
        <v>85.0</v>
      </c>
      <c r="L525" s="7338">
        <v>79.0</v>
      </c>
      <c r="M525" s="7338">
        <v>105.0</v>
      </c>
      <c r="N525" s="7340">
        <v>36.0</v>
      </c>
      <c r="O525" s="7321"/>
      <c r="P525" s="7324"/>
      <c r="Q525" s="7324"/>
      <c r="R525" s="7324"/>
    </row>
    <row r="526" ht="18.75" customHeight="1">
      <c r="A526" s="7316"/>
      <c r="B526" s="7331" t="s">
        <v>1011</v>
      </c>
      <c r="C526" s="7341" t="s">
        <v>2713</v>
      </c>
      <c r="D526" s="7333"/>
      <c r="E526" s="7332" t="s">
        <v>1882</v>
      </c>
      <c r="F526" s="7332" t="str">
        <f t="shared" si="30"/>
        <v/>
      </c>
      <c r="G526" s="7332" t="s">
        <v>1948</v>
      </c>
      <c r="H526" s="7332" t="str">
        <f t="shared" si="31"/>
        <v/>
      </c>
      <c r="I526" s="7332">
        <v>60.0</v>
      </c>
      <c r="J526" s="7332">
        <v>59.0</v>
      </c>
      <c r="K526" s="7332">
        <v>105.0</v>
      </c>
      <c r="L526" s="7332">
        <v>79.0</v>
      </c>
      <c r="M526" s="7332">
        <v>85.0</v>
      </c>
      <c r="N526" s="7334">
        <v>36.0</v>
      </c>
      <c r="O526" s="7321"/>
      <c r="P526" s="7324"/>
      <c r="Q526" s="7324"/>
      <c r="R526" s="7324"/>
    </row>
    <row r="527" ht="18.75" customHeight="1">
      <c r="A527" s="7316"/>
      <c r="B527" s="7337" t="s">
        <v>2714</v>
      </c>
      <c r="C527" s="7342" t="s">
        <v>2715</v>
      </c>
      <c r="D527" s="7339"/>
      <c r="E527" s="7338" t="s">
        <v>1882</v>
      </c>
      <c r="F527" s="7338" t="str">
        <f t="shared" si="30"/>
        <v/>
      </c>
      <c r="G527" s="7338" t="s">
        <v>1929</v>
      </c>
      <c r="H527" s="7338" t="str">
        <f t="shared" si="31"/>
        <v/>
      </c>
      <c r="I527" s="7338">
        <v>60.0</v>
      </c>
      <c r="J527" s="7338">
        <v>59.0</v>
      </c>
      <c r="K527" s="7338">
        <v>95.0</v>
      </c>
      <c r="L527" s="7338">
        <v>79.0</v>
      </c>
      <c r="M527" s="7338">
        <v>95.0</v>
      </c>
      <c r="N527" s="7340">
        <v>36.0</v>
      </c>
      <c r="O527" s="7321"/>
      <c r="P527" s="7324"/>
      <c r="Q527" s="7324"/>
      <c r="R527" s="7324"/>
    </row>
    <row r="528" ht="18.75" customHeight="1">
      <c r="A528" s="7316"/>
      <c r="B528" s="7331" t="s">
        <v>2716</v>
      </c>
      <c r="C528" s="7332" t="s">
        <v>2717</v>
      </c>
      <c r="D528" s="7333"/>
      <c r="E528" s="7332" t="s">
        <v>1882</v>
      </c>
      <c r="F528" s="7332" t="str">
        <f t="shared" si="30"/>
        <v/>
      </c>
      <c r="G528" s="7332" t="s">
        <v>1863</v>
      </c>
      <c r="H528" s="7332" t="str">
        <f t="shared" si="31"/>
        <v/>
      </c>
      <c r="I528" s="7332">
        <v>70.0</v>
      </c>
      <c r="J528" s="7332">
        <v>84.0</v>
      </c>
      <c r="K528" s="7332">
        <v>50.0</v>
      </c>
      <c r="L528" s="7332">
        <v>94.0</v>
      </c>
      <c r="M528" s="7332">
        <v>50.0</v>
      </c>
      <c r="N528" s="7334">
        <v>80.0</v>
      </c>
      <c r="O528" s="7321"/>
      <c r="P528" s="7324"/>
      <c r="Q528" s="7324"/>
      <c r="R528" s="7324"/>
    </row>
    <row r="529" ht="18.75" customHeight="1">
      <c r="A529" s="7316"/>
      <c r="B529" s="7337" t="s">
        <v>2718</v>
      </c>
      <c r="C529" s="7338" t="s">
        <v>2719</v>
      </c>
      <c r="D529" s="7339"/>
      <c r="E529" s="7338" t="s">
        <v>1882</v>
      </c>
      <c r="F529" s="7338" t="str">
        <f t="shared" si="30"/>
        <v/>
      </c>
      <c r="G529" s="7338" t="s">
        <v>1863</v>
      </c>
      <c r="H529" s="7338" t="str">
        <f t="shared" si="31"/>
        <v/>
      </c>
      <c r="I529" s="7338">
        <v>30.0</v>
      </c>
      <c r="J529" s="7338">
        <v>30.0</v>
      </c>
      <c r="K529" s="7338">
        <v>42.0</v>
      </c>
      <c r="L529" s="7338">
        <v>30.0</v>
      </c>
      <c r="M529" s="7338">
        <v>42.0</v>
      </c>
      <c r="N529" s="7340">
        <v>70.0</v>
      </c>
      <c r="O529" s="7321"/>
      <c r="P529" s="7324"/>
      <c r="Q529" s="7324"/>
      <c r="R529" s="7324"/>
    </row>
    <row r="530" ht="18.75" customHeight="1">
      <c r="A530" s="7316"/>
      <c r="B530" s="7331" t="s">
        <v>2720</v>
      </c>
      <c r="C530" s="7332" t="s">
        <v>2721</v>
      </c>
      <c r="D530" s="7333"/>
      <c r="E530" s="7341" t="s">
        <v>1882</v>
      </c>
      <c r="F530" s="7341" t="str">
        <f t="shared" si="30"/>
        <v/>
      </c>
      <c r="G530" s="7341" t="s">
        <v>1863</v>
      </c>
      <c r="H530" s="7341" t="str">
        <f t="shared" si="31"/>
        <v/>
      </c>
      <c r="I530" s="7332">
        <v>85.0</v>
      </c>
      <c r="J530" s="7332">
        <v>80.0</v>
      </c>
      <c r="K530" s="7332">
        <v>102.0</v>
      </c>
      <c r="L530" s="7332">
        <v>80.0</v>
      </c>
      <c r="M530" s="7332">
        <v>102.0</v>
      </c>
      <c r="N530" s="7334">
        <v>40.0</v>
      </c>
      <c r="O530" s="7321"/>
      <c r="P530" s="7324"/>
      <c r="Q530" s="7324"/>
      <c r="R530" s="7324"/>
    </row>
    <row r="531" ht="18.75" customHeight="1">
      <c r="A531" s="7316"/>
      <c r="B531" s="7337" t="s">
        <v>2722</v>
      </c>
      <c r="C531" s="7338" t="s">
        <v>2723</v>
      </c>
      <c r="D531" s="7339"/>
      <c r="E531" s="7338" t="s">
        <v>1926</v>
      </c>
      <c r="F531" s="7338" t="str">
        <f t="shared" si="30"/>
        <v/>
      </c>
      <c r="G531" s="7338"/>
      <c r="H531" s="7338" t="str">
        <f t="shared" si="31"/>
        <v/>
      </c>
      <c r="I531" s="7338">
        <v>75.0</v>
      </c>
      <c r="J531" s="7338">
        <v>45.0</v>
      </c>
      <c r="K531" s="7338">
        <v>70.0</v>
      </c>
      <c r="L531" s="7338">
        <v>45.0</v>
      </c>
      <c r="M531" s="7338">
        <v>95.0</v>
      </c>
      <c r="N531" s="7340">
        <v>95.0</v>
      </c>
      <c r="O531" s="7321"/>
      <c r="P531" s="7324"/>
      <c r="Q531" s="7324"/>
      <c r="R531" s="7324"/>
    </row>
    <row r="532" ht="18.75" customHeight="1">
      <c r="A532" s="7316"/>
      <c r="B532" s="7331" t="s">
        <v>2724</v>
      </c>
      <c r="C532" s="7332" t="s">
        <v>2725</v>
      </c>
      <c r="D532" s="7333"/>
      <c r="E532" s="7332" t="s">
        <v>1871</v>
      </c>
      <c r="F532" s="7332" t="str">
        <f t="shared" si="30"/>
        <v/>
      </c>
      <c r="G532" s="7332"/>
      <c r="H532" s="7332" t="str">
        <f t="shared" si="31"/>
        <v/>
      </c>
      <c r="I532" s="7332">
        <v>55.0</v>
      </c>
      <c r="J532" s="7332">
        <v>65.0</v>
      </c>
      <c r="K532" s="7332">
        <v>35.0</v>
      </c>
      <c r="L532" s="7332">
        <v>60.0</v>
      </c>
      <c r="M532" s="7332">
        <v>30.0</v>
      </c>
      <c r="N532" s="7334">
        <v>85.0</v>
      </c>
      <c r="O532" s="7321"/>
      <c r="P532" s="7324"/>
      <c r="Q532" s="7324"/>
      <c r="R532" s="7324"/>
    </row>
    <row r="533" ht="18.75" customHeight="1">
      <c r="A533" s="7316"/>
      <c r="B533" s="7337" t="s">
        <v>201</v>
      </c>
      <c r="C533" s="7338" t="s">
        <v>2726</v>
      </c>
      <c r="D533" s="7339"/>
      <c r="E533" s="7338" t="s">
        <v>1871</v>
      </c>
      <c r="F533" s="7338" t="str">
        <f t="shared" si="30"/>
        <v/>
      </c>
      <c r="G533" s="7338"/>
      <c r="H533" s="7338" t="str">
        <f t="shared" si="31"/>
        <v/>
      </c>
      <c r="I533" s="7338">
        <v>85.0</v>
      </c>
      <c r="J533" s="7338">
        <v>90.0</v>
      </c>
      <c r="K533" s="7338">
        <v>55.0</v>
      </c>
      <c r="L533" s="7338">
        <v>95.0</v>
      </c>
      <c r="M533" s="7338">
        <v>50.0</v>
      </c>
      <c r="N533" s="7340">
        <v>115.0</v>
      </c>
      <c r="O533" s="7321"/>
      <c r="P533" s="7324"/>
      <c r="Q533" s="7324"/>
      <c r="R533" s="7324"/>
    </row>
    <row r="534" ht="18.75" customHeight="1">
      <c r="A534" s="7316"/>
      <c r="B534" s="7331" t="s">
        <v>2727</v>
      </c>
      <c r="C534" s="7332" t="s">
        <v>2728</v>
      </c>
      <c r="D534" s="7333"/>
      <c r="E534" s="7341" t="s">
        <v>1848</v>
      </c>
      <c r="F534" s="7341" t="str">
        <f t="shared" si="30"/>
        <v/>
      </c>
      <c r="G534" s="7341"/>
      <c r="H534" s="7341" t="str">
        <f t="shared" si="31"/>
        <v/>
      </c>
      <c r="I534" s="7332">
        <v>45.0</v>
      </c>
      <c r="J534" s="7332">
        <v>35.0</v>
      </c>
      <c r="K534" s="7332">
        <v>45.0</v>
      </c>
      <c r="L534" s="7332">
        <v>62.0</v>
      </c>
      <c r="M534" s="7332">
        <v>53.0</v>
      </c>
      <c r="N534" s="7334">
        <v>35.0</v>
      </c>
      <c r="O534" s="7321"/>
      <c r="P534" s="7324"/>
      <c r="Q534" s="7324"/>
      <c r="R534" s="7324"/>
    </row>
    <row r="535" ht="18.75" customHeight="1">
      <c r="A535" s="7316"/>
      <c r="B535" s="7337" t="s">
        <v>1139</v>
      </c>
      <c r="C535" s="7338" t="s">
        <v>2729</v>
      </c>
      <c r="D535" s="7339"/>
      <c r="E535" s="7338" t="s">
        <v>1848</v>
      </c>
      <c r="F535" s="7338" t="str">
        <f t="shared" si="30"/>
        <v/>
      </c>
      <c r="G535" s="7338"/>
      <c r="H535" s="7338" t="str">
        <f t="shared" si="31"/>
        <v/>
      </c>
      <c r="I535" s="7338">
        <v>70.0</v>
      </c>
      <c r="J535" s="7338">
        <v>100.0</v>
      </c>
      <c r="K535" s="7338">
        <v>70.0</v>
      </c>
      <c r="L535" s="7338">
        <v>60.0</v>
      </c>
      <c r="M535" s="7338">
        <v>78.0</v>
      </c>
      <c r="N535" s="7340">
        <v>85.0</v>
      </c>
      <c r="O535" s="7321"/>
      <c r="P535" s="7324"/>
      <c r="Q535" s="7324"/>
      <c r="R535" s="7324"/>
    </row>
    <row r="536" ht="18.75" customHeight="1">
      <c r="A536" s="7316"/>
      <c r="B536" s="7331" t="s">
        <v>2730</v>
      </c>
      <c r="C536" s="7332" t="s">
        <v>2731</v>
      </c>
      <c r="D536" s="7333"/>
      <c r="E536" s="7332" t="s">
        <v>1871</v>
      </c>
      <c r="F536" s="7332" t="str">
        <f t="shared" si="30"/>
        <v/>
      </c>
      <c r="G536" s="7332"/>
      <c r="H536" s="7332" t="str">
        <f t="shared" si="31"/>
        <v/>
      </c>
      <c r="I536" s="7332">
        <v>76.0</v>
      </c>
      <c r="J536" s="7332">
        <v>48.0</v>
      </c>
      <c r="K536" s="7332">
        <v>48.0</v>
      </c>
      <c r="L536" s="7332">
        <v>57.0</v>
      </c>
      <c r="M536" s="7332">
        <v>62.0</v>
      </c>
      <c r="N536" s="7334">
        <v>34.0</v>
      </c>
      <c r="O536" s="7321"/>
      <c r="P536" s="7324"/>
      <c r="Q536" s="7324"/>
      <c r="R536" s="7324"/>
    </row>
    <row r="537" ht="18.75" customHeight="1">
      <c r="A537" s="7316"/>
      <c r="B537" s="7337" t="s">
        <v>1321</v>
      </c>
      <c r="C537" s="7338" t="s">
        <v>2732</v>
      </c>
      <c r="D537" s="7339"/>
      <c r="E537" s="7338" t="s">
        <v>1871</v>
      </c>
      <c r="F537" s="7338" t="str">
        <f t="shared" si="30"/>
        <v/>
      </c>
      <c r="G537" s="7338" t="s">
        <v>1948</v>
      </c>
      <c r="H537" s="7338" t="str">
        <f t="shared" si="31"/>
        <v/>
      </c>
      <c r="I537" s="7338">
        <v>111.0</v>
      </c>
      <c r="J537" s="7338">
        <v>83.0</v>
      </c>
      <c r="K537" s="7338">
        <v>68.0</v>
      </c>
      <c r="L537" s="7338">
        <v>92.0</v>
      </c>
      <c r="M537" s="7338">
        <v>82.0</v>
      </c>
      <c r="N537" s="7340">
        <v>39.0</v>
      </c>
      <c r="O537" s="7321"/>
      <c r="P537" s="7324"/>
      <c r="Q537" s="7324"/>
      <c r="R537" s="7324"/>
    </row>
    <row r="538" ht="18.75" customHeight="1">
      <c r="A538" s="7316"/>
      <c r="B538" s="7331" t="s">
        <v>1717</v>
      </c>
      <c r="C538" s="7332" t="s">
        <v>2733</v>
      </c>
      <c r="D538" s="7333"/>
      <c r="E538" s="7341" t="s">
        <v>1901</v>
      </c>
      <c r="F538" s="7341" t="str">
        <f t="shared" si="30"/>
        <v/>
      </c>
      <c r="G538" s="7341"/>
      <c r="H538" s="7341" t="str">
        <f t="shared" si="31"/>
        <v/>
      </c>
      <c r="I538" s="7332">
        <v>75.0</v>
      </c>
      <c r="J538" s="7332">
        <v>100.0</v>
      </c>
      <c r="K538" s="7332">
        <v>66.0</v>
      </c>
      <c r="L538" s="7332">
        <v>60.0</v>
      </c>
      <c r="M538" s="7332">
        <v>66.0</v>
      </c>
      <c r="N538" s="7334">
        <v>115.0</v>
      </c>
      <c r="O538" s="7321"/>
      <c r="P538" s="7324"/>
      <c r="Q538" s="7324"/>
      <c r="R538" s="7324"/>
    </row>
    <row r="539" ht="18.75" customHeight="1">
      <c r="A539" s="7316"/>
      <c r="B539" s="7337" t="s">
        <v>2734</v>
      </c>
      <c r="C539" s="7338" t="s">
        <v>2735</v>
      </c>
      <c r="D539" s="7339"/>
      <c r="E539" s="7338" t="s">
        <v>2097</v>
      </c>
      <c r="F539" s="7338" t="str">
        <f t="shared" si="30"/>
        <v/>
      </c>
      <c r="G539" s="7338" t="s">
        <v>1863</v>
      </c>
      <c r="H539" s="7338" t="str">
        <f t="shared" si="31"/>
        <v/>
      </c>
      <c r="I539" s="7338">
        <v>90.0</v>
      </c>
      <c r="J539" s="7338">
        <v>50.0</v>
      </c>
      <c r="K539" s="7338">
        <v>34.0</v>
      </c>
      <c r="L539" s="7338">
        <v>60.0</v>
      </c>
      <c r="M539" s="7338">
        <v>44.0</v>
      </c>
      <c r="N539" s="7340">
        <v>70.0</v>
      </c>
      <c r="O539" s="7321"/>
      <c r="P539" s="7324"/>
      <c r="Q539" s="7324"/>
      <c r="R539" s="7324"/>
    </row>
    <row r="540" ht="18.75" customHeight="1">
      <c r="A540" s="7316"/>
      <c r="B540" s="7331" t="s">
        <v>2736</v>
      </c>
      <c r="C540" s="7332" t="s">
        <v>2737</v>
      </c>
      <c r="D540" s="7333"/>
      <c r="E540" s="7332" t="s">
        <v>2097</v>
      </c>
      <c r="F540" s="7332" t="str">
        <f t="shared" si="30"/>
        <v/>
      </c>
      <c r="G540" s="7332" t="s">
        <v>1863</v>
      </c>
      <c r="H540" s="7332" t="str">
        <f t="shared" si="31"/>
        <v/>
      </c>
      <c r="I540" s="7332">
        <v>150.0</v>
      </c>
      <c r="J540" s="7332">
        <v>80.0</v>
      </c>
      <c r="K540" s="7332">
        <v>44.0</v>
      </c>
      <c r="L540" s="7332">
        <v>90.0</v>
      </c>
      <c r="M540" s="7332">
        <v>54.0</v>
      </c>
      <c r="N540" s="7334">
        <v>80.0</v>
      </c>
      <c r="O540" s="7321"/>
      <c r="P540" s="7324"/>
      <c r="Q540" s="7324"/>
      <c r="R540" s="7324"/>
    </row>
    <row r="541" ht="18.75" customHeight="1">
      <c r="A541" s="7316"/>
      <c r="B541" s="7337" t="s">
        <v>2738</v>
      </c>
      <c r="C541" s="7338" t="s">
        <v>2739</v>
      </c>
      <c r="D541" s="7339"/>
      <c r="E541" s="7338" t="s">
        <v>1901</v>
      </c>
      <c r="F541" s="7338" t="str">
        <f t="shared" si="30"/>
        <v/>
      </c>
      <c r="G541" s="7338"/>
      <c r="H541" s="7338" t="str">
        <f t="shared" si="31"/>
        <v/>
      </c>
      <c r="I541" s="7338">
        <v>55.0</v>
      </c>
      <c r="J541" s="7338">
        <v>66.0</v>
      </c>
      <c r="K541" s="7338">
        <v>44.0</v>
      </c>
      <c r="L541" s="7338">
        <v>44.0</v>
      </c>
      <c r="M541" s="7338">
        <v>56.0</v>
      </c>
      <c r="N541" s="7340">
        <v>85.0</v>
      </c>
      <c r="O541" s="7321"/>
      <c r="P541" s="7324"/>
      <c r="Q541" s="7324"/>
      <c r="R541" s="7324"/>
    </row>
    <row r="542" ht="18.75" customHeight="1">
      <c r="A542" s="7316"/>
      <c r="B542" s="7331" t="s">
        <v>2740</v>
      </c>
      <c r="C542" s="7332" t="s">
        <v>2741</v>
      </c>
      <c r="D542" s="7333"/>
      <c r="E542" s="7341" t="s">
        <v>1901</v>
      </c>
      <c r="F542" s="7341" t="str">
        <f t="shared" si="30"/>
        <v/>
      </c>
      <c r="G542" s="7341"/>
      <c r="H542" s="7341" t="str">
        <f t="shared" si="31"/>
        <v/>
      </c>
      <c r="I542" s="7332">
        <v>65.0</v>
      </c>
      <c r="J542" s="7332">
        <v>76.0</v>
      </c>
      <c r="K542" s="7332">
        <v>84.0</v>
      </c>
      <c r="L542" s="7332">
        <v>54.0</v>
      </c>
      <c r="M542" s="7332">
        <v>96.0</v>
      </c>
      <c r="N542" s="7334">
        <v>105.0</v>
      </c>
      <c r="O542" s="7321"/>
      <c r="P542" s="7324"/>
      <c r="Q542" s="7324"/>
      <c r="R542" s="7324"/>
    </row>
    <row r="543" ht="18.75" customHeight="1">
      <c r="A543" s="7316"/>
      <c r="B543" s="7337" t="s">
        <v>1296</v>
      </c>
      <c r="C543" s="7342" t="s">
        <v>2742</v>
      </c>
      <c r="D543" s="7339"/>
      <c r="E543" s="7338" t="s">
        <v>1901</v>
      </c>
      <c r="F543" s="7338" t="str">
        <f t="shared" si="30"/>
        <v/>
      </c>
      <c r="G543" s="7338" t="s">
        <v>1939</v>
      </c>
      <c r="H543" s="7338" t="str">
        <f t="shared" si="31"/>
        <v/>
      </c>
      <c r="I543" s="7338">
        <v>65.0</v>
      </c>
      <c r="J543" s="7338">
        <v>136.0</v>
      </c>
      <c r="K543" s="7338">
        <v>94.0</v>
      </c>
      <c r="L543" s="7338">
        <v>54.0</v>
      </c>
      <c r="M543" s="7338">
        <v>96.0</v>
      </c>
      <c r="N543" s="7340">
        <v>135.0</v>
      </c>
      <c r="O543" s="7321"/>
      <c r="P543" s="7324"/>
      <c r="Q543" s="7324"/>
      <c r="R543" s="7324"/>
    </row>
    <row r="544" ht="18.75" customHeight="1">
      <c r="A544" s="7316"/>
      <c r="B544" s="7331" t="s">
        <v>1733</v>
      </c>
      <c r="C544" s="7332" t="s">
        <v>2743</v>
      </c>
      <c r="D544" s="7333"/>
      <c r="E544" s="7332" t="s">
        <v>2097</v>
      </c>
      <c r="F544" s="7332" t="str">
        <f t="shared" si="30"/>
        <v/>
      </c>
      <c r="G544" s="7332" t="s">
        <v>1935</v>
      </c>
      <c r="H544" s="7332" t="str">
        <f t="shared" si="31"/>
        <v/>
      </c>
      <c r="I544" s="7332">
        <v>70.0</v>
      </c>
      <c r="J544" s="7332">
        <v>60.0</v>
      </c>
      <c r="K544" s="7332">
        <v>70.0</v>
      </c>
      <c r="L544" s="7332">
        <v>105.0</v>
      </c>
      <c r="M544" s="7332">
        <v>105.0</v>
      </c>
      <c r="N544" s="7334">
        <v>105.0</v>
      </c>
      <c r="O544" s="7321"/>
      <c r="P544" s="7324"/>
      <c r="Q544" s="7324"/>
      <c r="R544" s="7324"/>
    </row>
    <row r="545" ht="18.75" customHeight="1">
      <c r="A545" s="7316"/>
      <c r="B545" s="7337" t="s">
        <v>889</v>
      </c>
      <c r="C545" s="7338" t="s">
        <v>2744</v>
      </c>
      <c r="D545" s="7339"/>
      <c r="E545" s="7338" t="s">
        <v>1911</v>
      </c>
      <c r="F545" s="7338" t="str">
        <f t="shared" si="30"/>
        <v/>
      </c>
      <c r="G545" s="7338" t="s">
        <v>1863</v>
      </c>
      <c r="H545" s="7338" t="str">
        <f t="shared" si="31"/>
        <v/>
      </c>
      <c r="I545" s="7338">
        <v>100.0</v>
      </c>
      <c r="J545" s="7338">
        <v>125.0</v>
      </c>
      <c r="K545" s="7338">
        <v>52.0</v>
      </c>
      <c r="L545" s="7338">
        <v>105.0</v>
      </c>
      <c r="M545" s="7338">
        <v>52.0</v>
      </c>
      <c r="N545" s="7340">
        <v>96.0</v>
      </c>
      <c r="O545" s="7321"/>
      <c r="P545" s="7324"/>
      <c r="Q545" s="7324"/>
      <c r="R545" s="7324"/>
    </row>
    <row r="546" ht="18.75" customHeight="1">
      <c r="A546" s="7316"/>
      <c r="B546" s="7331" t="s">
        <v>2745</v>
      </c>
      <c r="C546" s="7332" t="s">
        <v>2746</v>
      </c>
      <c r="D546" s="7333"/>
      <c r="E546" s="7341" t="s">
        <v>1901</v>
      </c>
      <c r="F546" s="7341" t="str">
        <f t="shared" si="30"/>
        <v/>
      </c>
      <c r="G546" s="7341"/>
      <c r="H546" s="7341" t="str">
        <f t="shared" si="31"/>
        <v/>
      </c>
      <c r="I546" s="7332">
        <v>49.0</v>
      </c>
      <c r="J546" s="7332">
        <v>55.0</v>
      </c>
      <c r="K546" s="7332">
        <v>42.0</v>
      </c>
      <c r="L546" s="7332">
        <v>42.0</v>
      </c>
      <c r="M546" s="7332">
        <v>37.0</v>
      </c>
      <c r="N546" s="7334">
        <v>85.0</v>
      </c>
      <c r="O546" s="7321"/>
      <c r="P546" s="7324"/>
      <c r="Q546" s="7324"/>
      <c r="R546" s="7324"/>
    </row>
    <row r="547" ht="18.75" customHeight="1">
      <c r="A547" s="7316"/>
      <c r="B547" s="7337" t="s">
        <v>2747</v>
      </c>
      <c r="C547" s="7338" t="s">
        <v>2748</v>
      </c>
      <c r="D547" s="7339"/>
      <c r="E547" s="7338" t="s">
        <v>1901</v>
      </c>
      <c r="F547" s="7338" t="str">
        <f t="shared" si="30"/>
        <v/>
      </c>
      <c r="G547" s="7338"/>
      <c r="H547" s="7338" t="str">
        <f t="shared" si="31"/>
        <v/>
      </c>
      <c r="I547" s="7338">
        <v>100.0</v>
      </c>
      <c r="J547" s="7338">
        <v>82.0</v>
      </c>
      <c r="K547" s="7338">
        <v>79.0</v>
      </c>
      <c r="L547" s="7338">
        <v>54.0</v>
      </c>
      <c r="M547" s="7338">
        <v>74.0</v>
      </c>
      <c r="N547" s="7340">
        <v>112.0</v>
      </c>
      <c r="O547" s="7321"/>
      <c r="P547" s="7324"/>
      <c r="Q547" s="7324"/>
      <c r="R547" s="7324"/>
    </row>
    <row r="548" ht="18.75" customHeight="1">
      <c r="A548" s="7316"/>
      <c r="B548" s="7331" t="s">
        <v>2749</v>
      </c>
      <c r="C548" s="7332" t="s">
        <v>2750</v>
      </c>
      <c r="D548" s="7333"/>
      <c r="E548" s="7332" t="s">
        <v>561</v>
      </c>
      <c r="F548" s="7332" t="str">
        <f t="shared" si="30"/>
        <v/>
      </c>
      <c r="G548" s="7332"/>
      <c r="H548" s="7332" t="str">
        <f t="shared" si="31"/>
        <v/>
      </c>
      <c r="I548" s="7332">
        <v>45.0</v>
      </c>
      <c r="J548" s="7332">
        <v>30.0</v>
      </c>
      <c r="K548" s="7332">
        <v>50.0</v>
      </c>
      <c r="L548" s="7332">
        <v>65.0</v>
      </c>
      <c r="M548" s="7332">
        <v>50.0</v>
      </c>
      <c r="N548" s="7334">
        <v>45.0</v>
      </c>
      <c r="O548" s="7321"/>
      <c r="P548" s="7324"/>
      <c r="Q548" s="7324"/>
      <c r="R548" s="7324"/>
    </row>
    <row r="549" ht="18.75" customHeight="1">
      <c r="A549" s="7316"/>
      <c r="B549" s="7337" t="s">
        <v>2751</v>
      </c>
      <c r="C549" s="7338" t="s">
        <v>2752</v>
      </c>
      <c r="D549" s="7339"/>
      <c r="E549" s="7338" t="s">
        <v>1849</v>
      </c>
      <c r="F549" s="7338" t="str">
        <f t="shared" si="30"/>
        <v/>
      </c>
      <c r="G549" s="7338" t="s">
        <v>1911</v>
      </c>
      <c r="H549" s="7338" t="str">
        <f t="shared" si="31"/>
        <v/>
      </c>
      <c r="I549" s="7338">
        <v>63.0</v>
      </c>
      <c r="J549" s="7338">
        <v>63.0</v>
      </c>
      <c r="K549" s="7338">
        <v>47.0</v>
      </c>
      <c r="L549" s="7338">
        <v>41.0</v>
      </c>
      <c r="M549" s="7338">
        <v>41.0</v>
      </c>
      <c r="N549" s="7340">
        <v>74.0</v>
      </c>
      <c r="O549" s="7321"/>
      <c r="P549" s="7324"/>
      <c r="Q549" s="7324"/>
      <c r="R549" s="7324"/>
    </row>
    <row r="550" ht="18.75" customHeight="1">
      <c r="A550" s="7316"/>
      <c r="B550" s="7331" t="s">
        <v>2753</v>
      </c>
      <c r="C550" s="7332" t="s">
        <v>2754</v>
      </c>
      <c r="D550" s="7333"/>
      <c r="E550" s="7341" t="s">
        <v>1849</v>
      </c>
      <c r="F550" s="7341" t="str">
        <f t="shared" si="30"/>
        <v/>
      </c>
      <c r="G550" s="7341" t="s">
        <v>1911</v>
      </c>
      <c r="H550" s="7341" t="str">
        <f t="shared" si="31"/>
        <v/>
      </c>
      <c r="I550" s="7332">
        <v>103.0</v>
      </c>
      <c r="J550" s="7332">
        <v>93.0</v>
      </c>
      <c r="K550" s="7332">
        <v>67.0</v>
      </c>
      <c r="L550" s="7332">
        <v>91.0</v>
      </c>
      <c r="M550" s="7332">
        <v>61.0</v>
      </c>
      <c r="N550" s="7334">
        <v>84.0</v>
      </c>
      <c r="O550" s="7321"/>
      <c r="P550" s="7324"/>
      <c r="Q550" s="7324"/>
      <c r="R550" s="7324"/>
    </row>
    <row r="551" ht="18.75" customHeight="1">
      <c r="A551" s="7316"/>
      <c r="B551" s="7337" t="s">
        <v>2755</v>
      </c>
      <c r="C551" s="7338" t="s">
        <v>2756</v>
      </c>
      <c r="D551" s="7339"/>
      <c r="E551" s="7338" t="s">
        <v>1929</v>
      </c>
      <c r="F551" s="7338" t="str">
        <f t="shared" si="30"/>
        <v/>
      </c>
      <c r="G551" s="7338" t="s">
        <v>561</v>
      </c>
      <c r="H551" s="7338" t="str">
        <f t="shared" si="31"/>
        <v/>
      </c>
      <c r="I551" s="7338">
        <v>57.0</v>
      </c>
      <c r="J551" s="7338">
        <v>24.0</v>
      </c>
      <c r="K551" s="7338">
        <v>86.0</v>
      </c>
      <c r="L551" s="7338">
        <v>24.0</v>
      </c>
      <c r="M551" s="7338">
        <v>86.0</v>
      </c>
      <c r="N551" s="7340">
        <v>23.0</v>
      </c>
      <c r="O551" s="7321"/>
      <c r="P551" s="7324"/>
      <c r="Q551" s="7324"/>
      <c r="R551" s="7324"/>
    </row>
    <row r="552" ht="18.75" customHeight="1">
      <c r="A552" s="7316"/>
      <c r="B552" s="7331" t="s">
        <v>662</v>
      </c>
      <c r="C552" s="7332" t="s">
        <v>2757</v>
      </c>
      <c r="D552" s="7333"/>
      <c r="E552" s="7332" t="s">
        <v>1929</v>
      </c>
      <c r="F552" s="7332" t="str">
        <f t="shared" si="30"/>
        <v/>
      </c>
      <c r="G552" s="7332" t="s">
        <v>561</v>
      </c>
      <c r="H552" s="7332" t="str">
        <f t="shared" si="31"/>
        <v/>
      </c>
      <c r="I552" s="7332">
        <v>67.0</v>
      </c>
      <c r="J552" s="7332">
        <v>89.0</v>
      </c>
      <c r="K552" s="7332">
        <v>116.0</v>
      </c>
      <c r="L552" s="7332">
        <v>79.0</v>
      </c>
      <c r="M552" s="7332">
        <v>116.0</v>
      </c>
      <c r="N552" s="7334">
        <v>33.0</v>
      </c>
      <c r="O552" s="7321"/>
      <c r="P552" s="7324"/>
      <c r="Q552" s="7324"/>
      <c r="R552" s="7324"/>
    </row>
    <row r="553" ht="18.75" customHeight="1">
      <c r="A553" s="7316"/>
      <c r="B553" s="7337" t="s">
        <v>2758</v>
      </c>
      <c r="C553" s="7338" t="s">
        <v>2759</v>
      </c>
      <c r="D553" s="7339"/>
      <c r="E553" s="7338" t="s">
        <v>2014</v>
      </c>
      <c r="F553" s="7338" t="str">
        <f t="shared" si="30"/>
        <v/>
      </c>
      <c r="G553" s="7338"/>
      <c r="H553" s="7338" t="str">
        <f t="shared" si="31"/>
        <v/>
      </c>
      <c r="I553" s="7338">
        <v>50.0</v>
      </c>
      <c r="J553" s="7338">
        <v>80.0</v>
      </c>
      <c r="K553" s="7338">
        <v>95.0</v>
      </c>
      <c r="L553" s="7338">
        <v>10.0</v>
      </c>
      <c r="M553" s="7338">
        <v>45.0</v>
      </c>
      <c r="N553" s="7340">
        <v>10.0</v>
      </c>
      <c r="O553" s="7321"/>
      <c r="P553" s="7324"/>
      <c r="Q553" s="7324"/>
      <c r="R553" s="7324"/>
    </row>
    <row r="554" ht="18.75" customHeight="1">
      <c r="A554" s="7316"/>
      <c r="B554" s="7331" t="s">
        <v>2760</v>
      </c>
      <c r="C554" s="7341" t="s">
        <v>2761</v>
      </c>
      <c r="D554" s="7333"/>
      <c r="E554" s="7341" t="s">
        <v>561</v>
      </c>
      <c r="F554" s="7341" t="str">
        <f t="shared" si="30"/>
        <v/>
      </c>
      <c r="G554" s="7341" t="s">
        <v>1935</v>
      </c>
      <c r="H554" s="7341" t="str">
        <f t="shared" si="31"/>
        <v/>
      </c>
      <c r="I554" s="7332">
        <v>20.0</v>
      </c>
      <c r="J554" s="7332">
        <v>25.0</v>
      </c>
      <c r="K554" s="7332">
        <v>45.0</v>
      </c>
      <c r="L554" s="7332">
        <v>70.0</v>
      </c>
      <c r="M554" s="7332">
        <v>90.0</v>
      </c>
      <c r="N554" s="7334">
        <v>60.0</v>
      </c>
      <c r="O554" s="7321"/>
      <c r="P554" s="7324"/>
      <c r="Q554" s="7324"/>
      <c r="R554" s="7324"/>
    </row>
    <row r="555" ht="18.75" customHeight="1">
      <c r="A555" s="7316"/>
      <c r="B555" s="7337" t="s">
        <v>2762</v>
      </c>
      <c r="C555" s="7338" t="s">
        <v>2763</v>
      </c>
      <c r="D555" s="7339"/>
      <c r="E555" s="7338" t="s">
        <v>1901</v>
      </c>
      <c r="F555" s="7338" t="str">
        <f t="shared" si="30"/>
        <v/>
      </c>
      <c r="G555" s="7338"/>
      <c r="H555" s="7338" t="str">
        <f t="shared" si="31"/>
        <v/>
      </c>
      <c r="I555" s="7338">
        <v>100.0</v>
      </c>
      <c r="J555" s="7338">
        <v>5.0</v>
      </c>
      <c r="K555" s="7338">
        <v>5.0</v>
      </c>
      <c r="L555" s="7338">
        <v>15.0</v>
      </c>
      <c r="M555" s="7338">
        <v>65.0</v>
      </c>
      <c r="N555" s="7340">
        <v>30.0</v>
      </c>
      <c r="O555" s="7321"/>
      <c r="P555" s="7324"/>
      <c r="Q555" s="7324"/>
      <c r="R555" s="7324"/>
    </row>
    <row r="556" ht="18.75" customHeight="1">
      <c r="A556" s="7316"/>
      <c r="B556" s="7331" t="s">
        <v>2764</v>
      </c>
      <c r="C556" s="7332" t="s">
        <v>2765</v>
      </c>
      <c r="D556" s="7333"/>
      <c r="E556" s="7332" t="s">
        <v>1901</v>
      </c>
      <c r="F556" s="7332" t="str">
        <f t="shared" si="30"/>
        <v/>
      </c>
      <c r="G556" s="7332" t="s">
        <v>1863</v>
      </c>
      <c r="H556" s="7332" t="str">
        <f t="shared" si="31"/>
        <v/>
      </c>
      <c r="I556" s="7332">
        <v>76.0</v>
      </c>
      <c r="J556" s="7332">
        <v>65.0</v>
      </c>
      <c r="K556" s="7332">
        <v>45.0</v>
      </c>
      <c r="L556" s="7332">
        <v>92.0</v>
      </c>
      <c r="M556" s="7332">
        <v>42.0</v>
      </c>
      <c r="N556" s="7334">
        <v>101.0</v>
      </c>
      <c r="O556" s="7321"/>
      <c r="P556" s="7324"/>
      <c r="Q556" s="7324"/>
      <c r="R556" s="7324"/>
    </row>
    <row r="557" ht="18.75" customHeight="1">
      <c r="A557" s="7316"/>
      <c r="B557" s="7337" t="s">
        <v>2766</v>
      </c>
      <c r="C557" s="7338" t="s">
        <v>2767</v>
      </c>
      <c r="D557" s="7339"/>
      <c r="E557" s="7338" t="s">
        <v>2097</v>
      </c>
      <c r="F557" s="7338" t="str">
        <f t="shared" si="30"/>
        <v/>
      </c>
      <c r="G557" s="7338" t="s">
        <v>1911</v>
      </c>
      <c r="H557" s="7338" t="str">
        <f t="shared" si="31"/>
        <v/>
      </c>
      <c r="I557" s="7338">
        <v>50.0</v>
      </c>
      <c r="J557" s="7338">
        <v>92.0</v>
      </c>
      <c r="K557" s="7338">
        <v>108.0</v>
      </c>
      <c r="L557" s="7338">
        <v>92.0</v>
      </c>
      <c r="M557" s="7338">
        <v>108.0</v>
      </c>
      <c r="N557" s="7340">
        <v>35.0</v>
      </c>
      <c r="O557" s="7321"/>
      <c r="P557" s="7324"/>
      <c r="Q557" s="7324"/>
      <c r="R557" s="7324"/>
    </row>
    <row r="558" ht="18.75" customHeight="1">
      <c r="A558" s="7316"/>
      <c r="B558" s="7331" t="s">
        <v>2768</v>
      </c>
      <c r="C558" s="7332" t="s">
        <v>2769</v>
      </c>
      <c r="D558" s="7333"/>
      <c r="E558" s="7341" t="s">
        <v>1866</v>
      </c>
      <c r="F558" s="7341" t="str">
        <f t="shared" si="30"/>
        <v/>
      </c>
      <c r="G558" s="7341" t="s">
        <v>1948</v>
      </c>
      <c r="H558" s="7341" t="str">
        <f t="shared" si="31"/>
        <v/>
      </c>
      <c r="I558" s="7332">
        <v>58.0</v>
      </c>
      <c r="J558" s="7332">
        <v>70.0</v>
      </c>
      <c r="K558" s="7332">
        <v>45.0</v>
      </c>
      <c r="L558" s="7332">
        <v>40.0</v>
      </c>
      <c r="M558" s="7332">
        <v>45.0</v>
      </c>
      <c r="N558" s="7334">
        <v>42.0</v>
      </c>
      <c r="O558" s="7321"/>
      <c r="P558" s="7324"/>
      <c r="Q558" s="7324"/>
      <c r="R558" s="7324"/>
    </row>
    <row r="559" ht="18.75" customHeight="1">
      <c r="A559" s="7316"/>
      <c r="B559" s="7337" t="s">
        <v>828</v>
      </c>
      <c r="C559" s="7338" t="s">
        <v>2770</v>
      </c>
      <c r="D559" s="7339"/>
      <c r="E559" s="7338" t="s">
        <v>1866</v>
      </c>
      <c r="F559" s="7338" t="str">
        <f t="shared" si="30"/>
        <v/>
      </c>
      <c r="G559" s="7338" t="s">
        <v>1948</v>
      </c>
      <c r="H559" s="7338" t="str">
        <f t="shared" si="31"/>
        <v/>
      </c>
      <c r="I559" s="7338">
        <v>68.0</v>
      </c>
      <c r="J559" s="7338">
        <v>90.0</v>
      </c>
      <c r="K559" s="7338">
        <v>65.0</v>
      </c>
      <c r="L559" s="7338">
        <v>50.0</v>
      </c>
      <c r="M559" s="7338">
        <v>55.0</v>
      </c>
      <c r="N559" s="7340">
        <v>82.0</v>
      </c>
      <c r="O559" s="7321"/>
      <c r="P559" s="7324"/>
      <c r="Q559" s="7324"/>
      <c r="R559" s="7324"/>
    </row>
    <row r="560" ht="18.75" customHeight="1">
      <c r="A560" s="7316"/>
      <c r="B560" s="7331" t="s">
        <v>932</v>
      </c>
      <c r="C560" s="7332" t="s">
        <v>2771</v>
      </c>
      <c r="D560" s="7333"/>
      <c r="E560" s="7332" t="s">
        <v>1866</v>
      </c>
      <c r="F560" s="7332" t="str">
        <f t="shared" si="30"/>
        <v/>
      </c>
      <c r="G560" s="7332" t="s">
        <v>1948</v>
      </c>
      <c r="H560" s="7332" t="str">
        <f t="shared" si="31"/>
        <v/>
      </c>
      <c r="I560" s="7332">
        <v>108.0</v>
      </c>
      <c r="J560" s="7332">
        <v>130.0</v>
      </c>
      <c r="K560" s="7332">
        <v>95.0</v>
      </c>
      <c r="L560" s="7332">
        <v>80.0</v>
      </c>
      <c r="M560" s="7332">
        <v>85.0</v>
      </c>
      <c r="N560" s="7334">
        <v>102.0</v>
      </c>
      <c r="O560" s="7321"/>
      <c r="P560" s="7324"/>
      <c r="Q560" s="7324"/>
      <c r="R560" s="7324"/>
    </row>
    <row r="561" ht="18.75" customHeight="1">
      <c r="A561" s="7316"/>
      <c r="B561" s="7337" t="s">
        <v>1593</v>
      </c>
      <c r="C561" s="7342" t="s">
        <v>2772</v>
      </c>
      <c r="D561" s="7339"/>
      <c r="E561" s="7338" t="s">
        <v>1866</v>
      </c>
      <c r="F561" s="7338" t="str">
        <f t="shared" si="30"/>
        <v/>
      </c>
      <c r="G561" s="7338" t="s">
        <v>1948</v>
      </c>
      <c r="H561" s="7338" t="str">
        <f t="shared" si="31"/>
        <v/>
      </c>
      <c r="I561" s="7338">
        <v>108.0</v>
      </c>
      <c r="J561" s="7338">
        <v>170.0</v>
      </c>
      <c r="K561" s="7338">
        <v>105.0</v>
      </c>
      <c r="L561" s="7338">
        <v>120.0</v>
      </c>
      <c r="M561" s="7338">
        <v>95.0</v>
      </c>
      <c r="N561" s="7340">
        <v>102.0</v>
      </c>
      <c r="O561" s="7321"/>
      <c r="P561" s="7324"/>
      <c r="Q561" s="7324"/>
      <c r="R561" s="7324"/>
    </row>
    <row r="562" ht="18.75" customHeight="1">
      <c r="A562" s="7316"/>
      <c r="B562" s="7331" t="s">
        <v>2773</v>
      </c>
      <c r="C562" s="7332" t="s">
        <v>2774</v>
      </c>
      <c r="D562" s="7333"/>
      <c r="E562" s="7332" t="s">
        <v>1901</v>
      </c>
      <c r="F562" s="7332" t="str">
        <f t="shared" si="30"/>
        <v/>
      </c>
      <c r="G562" s="7332"/>
      <c r="H562" s="7332" t="str">
        <f t="shared" si="31"/>
        <v/>
      </c>
      <c r="I562" s="7332">
        <v>135.0</v>
      </c>
      <c r="J562" s="7332">
        <v>85.0</v>
      </c>
      <c r="K562" s="7332">
        <v>40.0</v>
      </c>
      <c r="L562" s="7332">
        <v>40.0</v>
      </c>
      <c r="M562" s="7332">
        <v>85.0</v>
      </c>
      <c r="N562" s="7334">
        <v>5.0</v>
      </c>
      <c r="O562" s="7321"/>
      <c r="P562" s="7324"/>
      <c r="Q562" s="7324"/>
      <c r="R562" s="7324"/>
    </row>
    <row r="563" ht="18.75" customHeight="1">
      <c r="A563" s="7316"/>
      <c r="B563" s="7337" t="s">
        <v>2775</v>
      </c>
      <c r="C563" s="7338" t="s">
        <v>2776</v>
      </c>
      <c r="D563" s="7339"/>
      <c r="E563" s="7338" t="s">
        <v>1939</v>
      </c>
      <c r="F563" s="7338" t="str">
        <f t="shared" si="30"/>
        <v/>
      </c>
      <c r="G563" s="7338"/>
      <c r="H563" s="7338" t="str">
        <f t="shared" si="31"/>
        <v/>
      </c>
      <c r="I563" s="7338">
        <v>40.0</v>
      </c>
      <c r="J563" s="7338">
        <v>70.0</v>
      </c>
      <c r="K563" s="7338">
        <v>40.0</v>
      </c>
      <c r="L563" s="7338">
        <v>35.0</v>
      </c>
      <c r="M563" s="7338">
        <v>40.0</v>
      </c>
      <c r="N563" s="7340">
        <v>60.0</v>
      </c>
      <c r="O563" s="7321"/>
      <c r="P563" s="7324"/>
      <c r="Q563" s="7324"/>
      <c r="R563" s="7324"/>
    </row>
    <row r="564" ht="18.75" customHeight="1">
      <c r="A564" s="7316"/>
      <c r="B564" s="7331" t="s">
        <v>593</v>
      </c>
      <c r="C564" s="7332" t="s">
        <v>2777</v>
      </c>
      <c r="D564" s="7333"/>
      <c r="E564" s="7332" t="s">
        <v>1939</v>
      </c>
      <c r="F564" s="7332" t="str">
        <f t="shared" si="30"/>
        <v/>
      </c>
      <c r="G564" s="7332" t="s">
        <v>1929</v>
      </c>
      <c r="H564" s="7332" t="str">
        <f t="shared" si="31"/>
        <v/>
      </c>
      <c r="I564" s="7332">
        <v>70.0</v>
      </c>
      <c r="J564" s="7332">
        <v>110.0</v>
      </c>
      <c r="K564" s="7332">
        <v>70.0</v>
      </c>
      <c r="L564" s="7332">
        <v>115.0</v>
      </c>
      <c r="M564" s="7332">
        <v>70.0</v>
      </c>
      <c r="N564" s="7334">
        <v>90.0</v>
      </c>
      <c r="O564" s="7321"/>
      <c r="P564" s="7324"/>
      <c r="Q564" s="7324"/>
      <c r="R564" s="7324"/>
    </row>
    <row r="565" ht="18.75" customHeight="1">
      <c r="A565" s="7316"/>
      <c r="B565" s="7337" t="s">
        <v>1435</v>
      </c>
      <c r="C565" s="7342" t="s">
        <v>2778</v>
      </c>
      <c r="D565" s="7339"/>
      <c r="E565" s="7338" t="s">
        <v>1939</v>
      </c>
      <c r="F565" s="7338" t="str">
        <f t="shared" si="30"/>
        <v/>
      </c>
      <c r="G565" s="7338" t="s">
        <v>1929</v>
      </c>
      <c r="H565" s="7338" t="str">
        <f t="shared" si="31"/>
        <v/>
      </c>
      <c r="I565" s="7338">
        <v>70.0</v>
      </c>
      <c r="J565" s="7338">
        <v>145.0</v>
      </c>
      <c r="K565" s="7338">
        <v>88.0</v>
      </c>
      <c r="L565" s="7338">
        <v>140.0</v>
      </c>
      <c r="M565" s="7338">
        <v>70.0</v>
      </c>
      <c r="N565" s="7340">
        <v>112.0</v>
      </c>
      <c r="O565" s="7321"/>
      <c r="P565" s="7324"/>
      <c r="Q565" s="7324"/>
      <c r="R565" s="7324"/>
    </row>
    <row r="566" ht="18.75" customHeight="1">
      <c r="A566" s="7316"/>
      <c r="B566" s="7331" t="s">
        <v>2779</v>
      </c>
      <c r="C566" s="7332" t="s">
        <v>2780</v>
      </c>
      <c r="D566" s="7333"/>
      <c r="E566" s="7341" t="s">
        <v>1948</v>
      </c>
      <c r="F566" s="7341" t="str">
        <f t="shared" si="30"/>
        <v/>
      </c>
      <c r="G566" s="7341"/>
      <c r="H566" s="7341" t="str">
        <f t="shared" si="31"/>
        <v/>
      </c>
      <c r="I566" s="7332">
        <v>68.0</v>
      </c>
      <c r="J566" s="7332">
        <v>72.0</v>
      </c>
      <c r="K566" s="7332">
        <v>78.0</v>
      </c>
      <c r="L566" s="7332">
        <v>38.0</v>
      </c>
      <c r="M566" s="7332">
        <v>42.0</v>
      </c>
      <c r="N566" s="7334">
        <v>32.0</v>
      </c>
      <c r="O566" s="7321"/>
      <c r="P566" s="7324"/>
      <c r="Q566" s="7324"/>
      <c r="R566" s="7324"/>
    </row>
    <row r="567" ht="18.75" customHeight="1">
      <c r="A567" s="7316"/>
      <c r="B567" s="7337" t="s">
        <v>930</v>
      </c>
      <c r="C567" s="7338" t="s">
        <v>2781</v>
      </c>
      <c r="D567" s="7339"/>
      <c r="E567" s="7338" t="s">
        <v>1948</v>
      </c>
      <c r="F567" s="7338" t="str">
        <f t="shared" si="30"/>
        <v/>
      </c>
      <c r="G567" s="7338"/>
      <c r="H567" s="7338" t="str">
        <f t="shared" si="31"/>
        <v/>
      </c>
      <c r="I567" s="7338">
        <v>108.0</v>
      </c>
      <c r="J567" s="7338">
        <v>112.0</v>
      </c>
      <c r="K567" s="7338">
        <v>118.0</v>
      </c>
      <c r="L567" s="7338">
        <v>68.0</v>
      </c>
      <c r="M567" s="7338">
        <v>72.0</v>
      </c>
      <c r="N567" s="7340">
        <v>47.0</v>
      </c>
      <c r="O567" s="7321"/>
      <c r="P567" s="7324"/>
      <c r="Q567" s="7324"/>
      <c r="R567" s="7324"/>
    </row>
    <row r="568" ht="18.75" customHeight="1">
      <c r="A568" s="7316"/>
      <c r="B568" s="7331" t="s">
        <v>2782</v>
      </c>
      <c r="C568" s="7332" t="s">
        <v>2783</v>
      </c>
      <c r="D568" s="7333"/>
      <c r="E568" s="7332" t="s">
        <v>1849</v>
      </c>
      <c r="F568" s="7332" t="str">
        <f t="shared" si="30"/>
        <v/>
      </c>
      <c r="G568" s="7332" t="s">
        <v>1882</v>
      </c>
      <c r="H568" s="7332" t="str">
        <f t="shared" si="31"/>
        <v/>
      </c>
      <c r="I568" s="7332">
        <v>40.0</v>
      </c>
      <c r="J568" s="7332">
        <v>50.0</v>
      </c>
      <c r="K568" s="7332">
        <v>90.0</v>
      </c>
      <c r="L568" s="7332">
        <v>30.0</v>
      </c>
      <c r="M568" s="7332">
        <v>55.0</v>
      </c>
      <c r="N568" s="7334">
        <v>65.0</v>
      </c>
      <c r="O568" s="7321"/>
      <c r="P568" s="7324"/>
      <c r="Q568" s="7324"/>
      <c r="R568" s="7324"/>
    </row>
    <row r="569" ht="18.75" customHeight="1">
      <c r="A569" s="7316"/>
      <c r="B569" s="7337" t="s">
        <v>325</v>
      </c>
      <c r="C569" s="7338" t="s">
        <v>2784</v>
      </c>
      <c r="D569" s="7339"/>
      <c r="E569" s="7338" t="s">
        <v>1849</v>
      </c>
      <c r="F569" s="7338" t="str">
        <f t="shared" si="30"/>
        <v/>
      </c>
      <c r="G569" s="7338" t="s">
        <v>1911</v>
      </c>
      <c r="H569" s="7338" t="str">
        <f t="shared" si="31"/>
        <v/>
      </c>
      <c r="I569" s="7338">
        <v>70.0</v>
      </c>
      <c r="J569" s="7338">
        <v>80.0</v>
      </c>
      <c r="K569" s="7338">
        <v>110.0</v>
      </c>
      <c r="L569" s="7338">
        <v>60.0</v>
      </c>
      <c r="M569" s="7338">
        <v>75.0</v>
      </c>
      <c r="N569" s="7340">
        <v>95.0</v>
      </c>
      <c r="O569" s="7321"/>
      <c r="P569" s="7324"/>
      <c r="Q569" s="7324"/>
      <c r="R569" s="7324"/>
    </row>
    <row r="570" ht="18.75" customHeight="1">
      <c r="A570" s="7316"/>
      <c r="B570" s="7331" t="s">
        <v>2785</v>
      </c>
      <c r="C570" s="7332" t="s">
        <v>2786</v>
      </c>
      <c r="D570" s="7333"/>
      <c r="E570" s="7341" t="s">
        <v>1849</v>
      </c>
      <c r="F570" s="7341" t="str">
        <f t="shared" si="30"/>
        <v/>
      </c>
      <c r="G570" s="7341" t="s">
        <v>1939</v>
      </c>
      <c r="H570" s="7341" t="str">
        <f t="shared" si="31"/>
        <v/>
      </c>
      <c r="I570" s="7332">
        <v>48.0</v>
      </c>
      <c r="J570" s="7332">
        <v>61.0</v>
      </c>
      <c r="K570" s="7332">
        <v>40.0</v>
      </c>
      <c r="L570" s="7332">
        <v>61.0</v>
      </c>
      <c r="M570" s="7332">
        <v>40.0</v>
      </c>
      <c r="N570" s="7334">
        <v>50.0</v>
      </c>
      <c r="O570" s="7321"/>
      <c r="P570" s="7324"/>
      <c r="Q570" s="7324"/>
      <c r="R570" s="7324"/>
    </row>
    <row r="571" ht="18.75" customHeight="1">
      <c r="A571" s="7316"/>
      <c r="B571" s="7337" t="s">
        <v>880</v>
      </c>
      <c r="C571" s="7338" t="s">
        <v>2787</v>
      </c>
      <c r="D571" s="7339"/>
      <c r="E571" s="7338" t="s">
        <v>1849</v>
      </c>
      <c r="F571" s="7338" t="str">
        <f t="shared" si="30"/>
        <v/>
      </c>
      <c r="G571" s="7338" t="s">
        <v>1939</v>
      </c>
      <c r="H571" s="7338" t="str">
        <f t="shared" si="31"/>
        <v/>
      </c>
      <c r="I571" s="7338">
        <v>83.0</v>
      </c>
      <c r="J571" s="7338">
        <v>106.0</v>
      </c>
      <c r="K571" s="7338">
        <v>65.0</v>
      </c>
      <c r="L571" s="7338">
        <v>86.0</v>
      </c>
      <c r="M571" s="7338">
        <v>65.0</v>
      </c>
      <c r="N571" s="7340">
        <v>85.0</v>
      </c>
      <c r="O571" s="7321"/>
      <c r="P571" s="7324"/>
      <c r="Q571" s="7324"/>
      <c r="R571" s="7324"/>
    </row>
    <row r="572" ht="18.75" customHeight="1">
      <c r="A572" s="7316"/>
      <c r="B572" s="7331" t="s">
        <v>2788</v>
      </c>
      <c r="C572" s="7332" t="s">
        <v>2789</v>
      </c>
      <c r="D572" s="7333"/>
      <c r="E572" s="7332" t="s">
        <v>1848</v>
      </c>
      <c r="F572" s="7332" t="str">
        <f t="shared" si="30"/>
        <v/>
      </c>
      <c r="G572" s="7332"/>
      <c r="H572" s="7332" t="str">
        <f t="shared" si="31"/>
        <v/>
      </c>
      <c r="I572" s="7332">
        <v>89.0</v>
      </c>
      <c r="J572" s="7332">
        <v>100.0</v>
      </c>
      <c r="K572" s="7332">
        <v>82.0</v>
      </c>
      <c r="L572" s="7332">
        <v>55.0</v>
      </c>
      <c r="M572" s="7332">
        <v>82.0</v>
      </c>
      <c r="N572" s="7334">
        <v>46.0</v>
      </c>
      <c r="O572" s="7321"/>
      <c r="P572" s="7324"/>
      <c r="Q572" s="7324"/>
      <c r="R572" s="7324"/>
    </row>
    <row r="573" ht="18.75" customHeight="1">
      <c r="A573" s="7316"/>
      <c r="B573" s="7337" t="s">
        <v>2790</v>
      </c>
      <c r="C573" s="7338" t="s">
        <v>2791</v>
      </c>
      <c r="D573" s="7339"/>
      <c r="E573" s="7338" t="s">
        <v>1871</v>
      </c>
      <c r="F573" s="7338" t="str">
        <f t="shared" si="30"/>
        <v/>
      </c>
      <c r="G573" s="7338"/>
      <c r="H573" s="7338" t="str">
        <f t="shared" si="31"/>
        <v/>
      </c>
      <c r="I573" s="7338">
        <v>49.0</v>
      </c>
      <c r="J573" s="7338">
        <v>49.0</v>
      </c>
      <c r="K573" s="7338">
        <v>56.0</v>
      </c>
      <c r="L573" s="7338">
        <v>49.0</v>
      </c>
      <c r="M573" s="7338">
        <v>61.0</v>
      </c>
      <c r="N573" s="7340">
        <v>66.0</v>
      </c>
      <c r="O573" s="7321"/>
      <c r="P573" s="7324"/>
      <c r="Q573" s="7324"/>
      <c r="R573" s="7324"/>
    </row>
    <row r="574" ht="18.75" customHeight="1">
      <c r="A574" s="7316"/>
      <c r="B574" s="7331" t="s">
        <v>1065</v>
      </c>
      <c r="C574" s="7332" t="s">
        <v>2792</v>
      </c>
      <c r="D574" s="7333"/>
      <c r="E574" s="7341" t="s">
        <v>1871</v>
      </c>
      <c r="F574" s="7341" t="str">
        <f t="shared" si="30"/>
        <v/>
      </c>
      <c r="G574" s="7341"/>
      <c r="H574" s="7341" t="str">
        <f t="shared" si="31"/>
        <v/>
      </c>
      <c r="I574" s="7332">
        <v>79.0</v>
      </c>
      <c r="J574" s="7332">
        <v>59.0</v>
      </c>
      <c r="K574" s="7332">
        <v>76.0</v>
      </c>
      <c r="L574" s="7332">
        <v>96.0</v>
      </c>
      <c r="M574" s="7332">
        <v>69.0</v>
      </c>
      <c r="N574" s="7334">
        <v>101.0</v>
      </c>
      <c r="O574" s="7321"/>
      <c r="P574" s="7324"/>
      <c r="Q574" s="7324"/>
      <c r="R574" s="7324"/>
    </row>
    <row r="575" ht="18.75" customHeight="1">
      <c r="A575" s="7316"/>
      <c r="B575" s="7337" t="s">
        <v>2793</v>
      </c>
      <c r="C575" s="7338" t="s">
        <v>2794</v>
      </c>
      <c r="D575" s="7339"/>
      <c r="E575" s="7338" t="s">
        <v>1871</v>
      </c>
      <c r="F575" s="7338" t="str">
        <f t="shared" si="30"/>
        <v/>
      </c>
      <c r="G575" s="7338" t="s">
        <v>1863</v>
      </c>
      <c r="H575" s="7338" t="str">
        <f t="shared" si="31"/>
        <v/>
      </c>
      <c r="I575" s="7338">
        <v>45.0</v>
      </c>
      <c r="J575" s="7338">
        <v>20.0</v>
      </c>
      <c r="K575" s="7338">
        <v>50.0</v>
      </c>
      <c r="L575" s="7338">
        <v>60.0</v>
      </c>
      <c r="M575" s="7338">
        <v>120.0</v>
      </c>
      <c r="N575" s="7340">
        <v>50.0</v>
      </c>
      <c r="O575" s="7321"/>
      <c r="P575" s="7324"/>
      <c r="Q575" s="7324"/>
      <c r="R575" s="7324"/>
    </row>
    <row r="576" ht="18.75" customHeight="1">
      <c r="A576" s="7316"/>
      <c r="B576" s="7331" t="s">
        <v>1029</v>
      </c>
      <c r="C576" s="7332" t="s">
        <v>2795</v>
      </c>
      <c r="D576" s="7333"/>
      <c r="E576" s="7332" t="s">
        <v>1848</v>
      </c>
      <c r="F576" s="7332" t="str">
        <f t="shared" si="30"/>
        <v/>
      </c>
      <c r="G576" s="7332" t="s">
        <v>1932</v>
      </c>
      <c r="H576" s="7332" t="str">
        <f t="shared" si="31"/>
        <v/>
      </c>
      <c r="I576" s="7332">
        <v>60.0</v>
      </c>
      <c r="J576" s="7332">
        <v>62.0</v>
      </c>
      <c r="K576" s="7332">
        <v>50.0</v>
      </c>
      <c r="L576" s="7332">
        <v>62.0</v>
      </c>
      <c r="M576" s="7332">
        <v>60.0</v>
      </c>
      <c r="N576" s="7334">
        <v>40.0</v>
      </c>
      <c r="O576" s="7321"/>
      <c r="P576" s="7324"/>
      <c r="Q576" s="7324"/>
      <c r="R576" s="7324"/>
    </row>
    <row r="577" ht="18.75" customHeight="1">
      <c r="A577" s="7316"/>
      <c r="B577" s="7337" t="s">
        <v>2796</v>
      </c>
      <c r="C577" s="7338" t="s">
        <v>2797</v>
      </c>
      <c r="D577" s="7339"/>
      <c r="E577" s="7338" t="s">
        <v>1848</v>
      </c>
      <c r="F577" s="7338" t="str">
        <f t="shared" si="30"/>
        <v/>
      </c>
      <c r="G577" s="7338" t="s">
        <v>1932</v>
      </c>
      <c r="H577" s="7338" t="str">
        <f t="shared" si="31"/>
        <v/>
      </c>
      <c r="I577" s="7338">
        <v>90.0</v>
      </c>
      <c r="J577" s="7338">
        <v>92.0</v>
      </c>
      <c r="K577" s="7338">
        <v>75.0</v>
      </c>
      <c r="L577" s="7338">
        <v>92.0</v>
      </c>
      <c r="M577" s="7338">
        <v>85.0</v>
      </c>
      <c r="N577" s="7340">
        <v>60.0</v>
      </c>
      <c r="O577" s="7321"/>
      <c r="P577" s="7324"/>
      <c r="Q577" s="7324"/>
      <c r="R577" s="7324"/>
    </row>
    <row r="578" ht="18.75" customHeight="1">
      <c r="A578" s="7316"/>
      <c r="B578" s="7331" t="s">
        <v>1425</v>
      </c>
      <c r="C578" s="7341" t="s">
        <v>2798</v>
      </c>
      <c r="D578" s="7333"/>
      <c r="E578" s="7341" t="s">
        <v>1848</v>
      </c>
      <c r="F578" s="7341" t="str">
        <f t="shared" si="30"/>
        <v/>
      </c>
      <c r="G578" s="7341" t="s">
        <v>1932</v>
      </c>
      <c r="H578" s="7341" t="str">
        <f t="shared" si="31"/>
        <v/>
      </c>
      <c r="I578" s="7332">
        <v>90.0</v>
      </c>
      <c r="J578" s="7332">
        <v>132.0</v>
      </c>
      <c r="K578" s="7332">
        <v>105.0</v>
      </c>
      <c r="L578" s="7332">
        <v>132.0</v>
      </c>
      <c r="M578" s="7332">
        <v>105.0</v>
      </c>
      <c r="N578" s="7334">
        <v>60.0</v>
      </c>
      <c r="O578" s="7321"/>
      <c r="P578" s="7324"/>
      <c r="Q578" s="7324"/>
      <c r="R578" s="7324"/>
    </row>
    <row r="579" ht="18.75" customHeight="1">
      <c r="A579" s="7316"/>
      <c r="B579" s="7337" t="s">
        <v>1718</v>
      </c>
      <c r="C579" s="7338" t="s">
        <v>2799</v>
      </c>
      <c r="D579" s="7339"/>
      <c r="E579" s="7338" t="s">
        <v>1911</v>
      </c>
      <c r="F579" s="7338" t="str">
        <f t="shared" si="30"/>
        <v/>
      </c>
      <c r="G579" s="7338" t="s">
        <v>1932</v>
      </c>
      <c r="H579" s="7338" t="str">
        <f t="shared" si="31"/>
        <v/>
      </c>
      <c r="I579" s="7338">
        <v>70.0</v>
      </c>
      <c r="J579" s="7338">
        <v>120.0</v>
      </c>
      <c r="K579" s="7338">
        <v>65.0</v>
      </c>
      <c r="L579" s="7338">
        <v>45.0</v>
      </c>
      <c r="M579" s="7338">
        <v>85.0</v>
      </c>
      <c r="N579" s="7340">
        <v>125.0</v>
      </c>
      <c r="O579" s="7321"/>
      <c r="P579" s="7324"/>
      <c r="Q579" s="7324"/>
      <c r="R579" s="7324"/>
    </row>
    <row r="580" ht="18.75" customHeight="1">
      <c r="A580" s="7316"/>
      <c r="B580" s="7331" t="s">
        <v>663</v>
      </c>
      <c r="C580" s="7332" t="s">
        <v>2800</v>
      </c>
      <c r="D580" s="7333"/>
      <c r="E580" s="7332" t="s">
        <v>1926</v>
      </c>
      <c r="F580" s="7332" t="str">
        <f t="shared" si="30"/>
        <v/>
      </c>
      <c r="G580" s="7332" t="s">
        <v>1929</v>
      </c>
      <c r="H580" s="7332" t="str">
        <f t="shared" si="31"/>
        <v/>
      </c>
      <c r="I580" s="7332">
        <v>70.0</v>
      </c>
      <c r="J580" s="7332">
        <v>70.0</v>
      </c>
      <c r="K580" s="7332">
        <v>115.0</v>
      </c>
      <c r="L580" s="7332">
        <v>130.0</v>
      </c>
      <c r="M580" s="7332">
        <v>90.0</v>
      </c>
      <c r="N580" s="7334">
        <v>60.0</v>
      </c>
      <c r="O580" s="7321"/>
      <c r="P580" s="7324"/>
      <c r="Q580" s="7324"/>
      <c r="R580" s="7324"/>
    </row>
    <row r="581" ht="18.75" customHeight="1">
      <c r="A581" s="7316"/>
      <c r="B581" s="7337" t="s">
        <v>2801</v>
      </c>
      <c r="C581" s="7338" t="s">
        <v>2802</v>
      </c>
      <c r="D581" s="7339"/>
      <c r="E581" s="7338" t="s">
        <v>1901</v>
      </c>
      <c r="F581" s="7338" t="str">
        <f t="shared" si="30"/>
        <v/>
      </c>
      <c r="G581" s="7338"/>
      <c r="H581" s="7338" t="str">
        <f t="shared" si="31"/>
        <v/>
      </c>
      <c r="I581" s="7338">
        <v>110.0</v>
      </c>
      <c r="J581" s="7338">
        <v>95.0</v>
      </c>
      <c r="K581" s="7338">
        <v>95.0</v>
      </c>
      <c r="L581" s="7338">
        <v>80.0</v>
      </c>
      <c r="M581" s="7338">
        <v>95.0</v>
      </c>
      <c r="N581" s="7340">
        <v>30.0</v>
      </c>
      <c r="O581" s="7321"/>
      <c r="P581" s="7324"/>
      <c r="Q581" s="7324"/>
      <c r="R581" s="7324"/>
    </row>
    <row r="582" ht="18.75" customHeight="1">
      <c r="A582" s="7316"/>
      <c r="B582" s="7331" t="s">
        <v>951</v>
      </c>
      <c r="C582" s="7332" t="s">
        <v>2803</v>
      </c>
      <c r="D582" s="7333"/>
      <c r="E582" s="7341" t="s">
        <v>1948</v>
      </c>
      <c r="F582" s="7341" t="str">
        <f t="shared" si="30"/>
        <v/>
      </c>
      <c r="G582" s="7341" t="s">
        <v>2014</v>
      </c>
      <c r="H582" s="7341" t="str">
        <f t="shared" si="31"/>
        <v/>
      </c>
      <c r="I582" s="7332">
        <v>115.0</v>
      </c>
      <c r="J582" s="7332">
        <v>140.0</v>
      </c>
      <c r="K582" s="7332">
        <v>130.0</v>
      </c>
      <c r="L582" s="7332">
        <v>55.0</v>
      </c>
      <c r="M582" s="7332">
        <v>55.0</v>
      </c>
      <c r="N582" s="7334">
        <v>40.0</v>
      </c>
      <c r="O582" s="7321"/>
      <c r="P582" s="7324"/>
      <c r="Q582" s="7324"/>
      <c r="R582" s="7324"/>
    </row>
    <row r="583" ht="18.75" customHeight="1">
      <c r="A583" s="7316"/>
      <c r="B583" s="7337" t="s">
        <v>1128</v>
      </c>
      <c r="C583" s="7338" t="s">
        <v>2804</v>
      </c>
      <c r="D583" s="7339"/>
      <c r="E583" s="7338" t="s">
        <v>1848</v>
      </c>
      <c r="F583" s="7338" t="str">
        <f t="shared" si="30"/>
        <v/>
      </c>
      <c r="G583" s="7338"/>
      <c r="H583" s="7338" t="str">
        <f t="shared" si="31"/>
        <v/>
      </c>
      <c r="I583" s="7338">
        <v>100.0</v>
      </c>
      <c r="J583" s="7338">
        <v>100.0</v>
      </c>
      <c r="K583" s="7338">
        <v>125.0</v>
      </c>
      <c r="L583" s="7338">
        <v>110.0</v>
      </c>
      <c r="M583" s="7338">
        <v>50.0</v>
      </c>
      <c r="N583" s="7340">
        <v>50.0</v>
      </c>
      <c r="O583" s="7321"/>
      <c r="P583" s="7324"/>
      <c r="Q583" s="7324"/>
      <c r="R583" s="7324"/>
    </row>
    <row r="584" ht="18.75" customHeight="1">
      <c r="A584" s="7316"/>
      <c r="B584" s="7331" t="s">
        <v>2805</v>
      </c>
      <c r="C584" s="7332" t="s">
        <v>2806</v>
      </c>
      <c r="D584" s="7333"/>
      <c r="E584" s="7332" t="s">
        <v>1926</v>
      </c>
      <c r="F584" s="7332" t="str">
        <f t="shared" si="30"/>
        <v/>
      </c>
      <c r="G584" s="7332"/>
      <c r="H584" s="7332" t="str">
        <f t="shared" si="31"/>
        <v/>
      </c>
      <c r="I584" s="7332">
        <v>75.0</v>
      </c>
      <c r="J584" s="7332">
        <v>123.0</v>
      </c>
      <c r="K584" s="7332">
        <v>67.0</v>
      </c>
      <c r="L584" s="7332">
        <v>95.0</v>
      </c>
      <c r="M584" s="7332">
        <v>85.0</v>
      </c>
      <c r="N584" s="7334">
        <v>95.0</v>
      </c>
      <c r="O584" s="7321"/>
      <c r="P584" s="7324"/>
      <c r="Q584" s="7324"/>
      <c r="R584" s="7324"/>
    </row>
    <row r="585" ht="18.75" customHeight="1">
      <c r="A585" s="7316"/>
      <c r="B585" s="7337" t="s">
        <v>1353</v>
      </c>
      <c r="C585" s="7338" t="s">
        <v>2807</v>
      </c>
      <c r="D585" s="7339"/>
      <c r="E585" s="7338" t="s">
        <v>1858</v>
      </c>
      <c r="F585" s="7338" t="str">
        <f t="shared" si="30"/>
        <v/>
      </c>
      <c r="G585" s="7338"/>
      <c r="H585" s="7338" t="str">
        <f t="shared" si="31"/>
        <v/>
      </c>
      <c r="I585" s="7338">
        <v>75.0</v>
      </c>
      <c r="J585" s="7338">
        <v>80.0</v>
      </c>
      <c r="K585" s="7338">
        <v>67.0</v>
      </c>
      <c r="L585" s="7338">
        <v>125.0</v>
      </c>
      <c r="M585" s="7338">
        <v>95.0</v>
      </c>
      <c r="N585" s="7340">
        <v>98.0</v>
      </c>
      <c r="O585" s="7321"/>
      <c r="P585" s="7324"/>
      <c r="Q585" s="7324"/>
      <c r="R585" s="7324"/>
    </row>
    <row r="586" ht="18.75" customHeight="1">
      <c r="A586" s="7316"/>
      <c r="B586" s="7331" t="s">
        <v>1112</v>
      </c>
      <c r="C586" s="7332" t="s">
        <v>2808</v>
      </c>
      <c r="D586" s="7333"/>
      <c r="E586" s="7341" t="s">
        <v>1935</v>
      </c>
      <c r="F586" s="7341" t="str">
        <f t="shared" si="30"/>
        <v/>
      </c>
      <c r="G586" s="7341" t="s">
        <v>1863</v>
      </c>
      <c r="H586" s="7341" t="str">
        <f t="shared" si="31"/>
        <v/>
      </c>
      <c r="I586" s="7332">
        <v>85.0</v>
      </c>
      <c r="J586" s="7332">
        <v>50.0</v>
      </c>
      <c r="K586" s="7332">
        <v>95.0</v>
      </c>
      <c r="L586" s="7332">
        <v>120.0</v>
      </c>
      <c r="M586" s="7332">
        <v>115.0</v>
      </c>
      <c r="N586" s="7334">
        <v>80.0</v>
      </c>
      <c r="O586" s="7321"/>
      <c r="P586" s="7324"/>
      <c r="Q586" s="7324"/>
      <c r="R586" s="7324"/>
    </row>
    <row r="587" ht="18.75" customHeight="1">
      <c r="A587" s="7316"/>
      <c r="B587" s="7337" t="s">
        <v>1096</v>
      </c>
      <c r="C587" s="7338" t="s">
        <v>2809</v>
      </c>
      <c r="D587" s="7339"/>
      <c r="E587" s="7338" t="s">
        <v>1882</v>
      </c>
      <c r="F587" s="7338" t="str">
        <f t="shared" si="30"/>
        <v/>
      </c>
      <c r="G587" s="7338" t="s">
        <v>1863</v>
      </c>
      <c r="H587" s="7338" t="str">
        <f t="shared" si="31"/>
        <v/>
      </c>
      <c r="I587" s="7338">
        <v>86.0</v>
      </c>
      <c r="J587" s="7338">
        <v>76.0</v>
      </c>
      <c r="K587" s="7338">
        <v>86.0</v>
      </c>
      <c r="L587" s="7338">
        <v>116.0</v>
      </c>
      <c r="M587" s="7338">
        <v>56.0</v>
      </c>
      <c r="N587" s="7340">
        <v>95.0</v>
      </c>
      <c r="O587" s="7321"/>
      <c r="P587" s="7324"/>
      <c r="Q587" s="7324"/>
      <c r="R587" s="7324"/>
    </row>
    <row r="588" ht="18.75" customHeight="1">
      <c r="A588" s="7316"/>
      <c r="B588" s="7331" t="s">
        <v>2810</v>
      </c>
      <c r="C588" s="7332" t="s">
        <v>2811</v>
      </c>
      <c r="D588" s="7333"/>
      <c r="E588" s="7332" t="s">
        <v>1848</v>
      </c>
      <c r="F588" s="7332" t="str">
        <f t="shared" si="30"/>
        <v/>
      </c>
      <c r="G588" s="7332"/>
      <c r="H588" s="7332" t="str">
        <f t="shared" si="31"/>
        <v/>
      </c>
      <c r="I588" s="7332">
        <v>65.0</v>
      </c>
      <c r="J588" s="7332">
        <v>130.0</v>
      </c>
      <c r="K588" s="7332">
        <v>110.0</v>
      </c>
      <c r="L588" s="7332">
        <v>60.0</v>
      </c>
      <c r="M588" s="7332">
        <v>65.0</v>
      </c>
      <c r="N588" s="7334">
        <v>95.0</v>
      </c>
      <c r="O588" s="7321"/>
      <c r="P588" s="7324"/>
      <c r="Q588" s="7324"/>
      <c r="R588" s="7324"/>
    </row>
    <row r="589" ht="18.75" customHeight="1">
      <c r="A589" s="7316"/>
      <c r="B589" s="7337" t="s">
        <v>1423</v>
      </c>
      <c r="C589" s="7338" t="s">
        <v>2812</v>
      </c>
      <c r="D589" s="7339"/>
      <c r="E589" s="7338" t="s">
        <v>1932</v>
      </c>
      <c r="F589" s="7338" t="str">
        <f t="shared" si="30"/>
        <v/>
      </c>
      <c r="G589" s="7338"/>
      <c r="H589" s="7338" t="str">
        <f t="shared" si="31"/>
        <v/>
      </c>
      <c r="I589" s="7338">
        <v>80.0</v>
      </c>
      <c r="J589" s="7338">
        <v>45.0</v>
      </c>
      <c r="K589" s="7338">
        <v>100.0</v>
      </c>
      <c r="L589" s="7338">
        <v>130.0</v>
      </c>
      <c r="M589" s="7338">
        <v>95.0</v>
      </c>
      <c r="N589" s="7340">
        <v>75.0</v>
      </c>
      <c r="O589" s="7321"/>
      <c r="P589" s="7324"/>
      <c r="Q589" s="7324"/>
      <c r="R589" s="7324"/>
    </row>
    <row r="590" ht="18.75" customHeight="1">
      <c r="A590" s="7316"/>
      <c r="B590" s="7331" t="s">
        <v>1111</v>
      </c>
      <c r="C590" s="7332" t="s">
        <v>2813</v>
      </c>
      <c r="D590" s="7333"/>
      <c r="E590" s="7341" t="s">
        <v>1948</v>
      </c>
      <c r="F590" s="7341" t="str">
        <f t="shared" si="30"/>
        <v/>
      </c>
      <c r="G590" s="7341" t="s">
        <v>1863</v>
      </c>
      <c r="H590" s="7341" t="str">
        <f t="shared" si="31"/>
        <v/>
      </c>
      <c r="I590" s="7332">
        <v>75.0</v>
      </c>
      <c r="J590" s="7332">
        <v>95.0</v>
      </c>
      <c r="K590" s="7332">
        <v>125.0</v>
      </c>
      <c r="L590" s="7332">
        <v>45.0</v>
      </c>
      <c r="M590" s="7332">
        <v>75.0</v>
      </c>
      <c r="N590" s="7334">
        <v>95.0</v>
      </c>
      <c r="O590" s="7321"/>
      <c r="P590" s="7324"/>
      <c r="Q590" s="7324"/>
      <c r="R590" s="7324"/>
    </row>
    <row r="591" ht="18.75" customHeight="1">
      <c r="A591" s="7316"/>
      <c r="B591" s="7337" t="s">
        <v>944</v>
      </c>
      <c r="C591" s="7338" t="s">
        <v>2814</v>
      </c>
      <c r="D591" s="7339"/>
      <c r="E591" s="7338" t="s">
        <v>1932</v>
      </c>
      <c r="F591" s="7338" t="str">
        <f t="shared" si="30"/>
        <v/>
      </c>
      <c r="G591" s="7338" t="s">
        <v>1948</v>
      </c>
      <c r="H591" s="7338" t="str">
        <f t="shared" si="31"/>
        <v/>
      </c>
      <c r="I591" s="7338">
        <v>110.0</v>
      </c>
      <c r="J591" s="7338">
        <v>130.0</v>
      </c>
      <c r="K591" s="7338">
        <v>80.0</v>
      </c>
      <c r="L591" s="7338">
        <v>70.0</v>
      </c>
      <c r="M591" s="7338">
        <v>60.0</v>
      </c>
      <c r="N591" s="7340">
        <v>80.0</v>
      </c>
      <c r="O591" s="7321"/>
      <c r="P591" s="7324"/>
      <c r="Q591" s="7324"/>
      <c r="R591" s="7324"/>
    </row>
    <row r="592" ht="18.75" customHeight="1">
      <c r="A592" s="7316"/>
      <c r="B592" s="7331" t="s">
        <v>2815</v>
      </c>
      <c r="C592" s="7341" t="s">
        <v>2816</v>
      </c>
      <c r="D592" s="7333"/>
      <c r="E592" s="7332" t="s">
        <v>1901</v>
      </c>
      <c r="F592" s="7332" t="str">
        <f t="shared" ref="F592:F609" si="32">IFERROR(VLOOKUP(E592,P$3:Q610,2,False),"")</f>
        <v/>
      </c>
      <c r="G592" s="7332"/>
      <c r="H592" s="7332" t="str">
        <f t="shared" ref="H592:H609" si="33">IFERROR(VLOOKUP(G592,P$3:Q610,2,False),"")</f>
        <v/>
      </c>
      <c r="I592" s="7332">
        <v>85.0</v>
      </c>
      <c r="J592" s="7332">
        <v>80.0</v>
      </c>
      <c r="K592" s="7332">
        <v>70.0</v>
      </c>
      <c r="L592" s="7332">
        <v>135.0</v>
      </c>
      <c r="M592" s="7332">
        <v>75.0</v>
      </c>
      <c r="N592" s="7334">
        <v>90.0</v>
      </c>
      <c r="O592" s="7321"/>
      <c r="P592" s="7324"/>
      <c r="Q592" s="7324"/>
      <c r="R592" s="7324"/>
    </row>
    <row r="593" ht="18.75" customHeight="1">
      <c r="A593" s="7316"/>
      <c r="B593" s="7337" t="s">
        <v>2817</v>
      </c>
      <c r="C593" s="7338" t="s">
        <v>2818</v>
      </c>
      <c r="D593" s="7339"/>
      <c r="E593" s="7338" t="s">
        <v>561</v>
      </c>
      <c r="F593" s="7338" t="str">
        <f t="shared" si="32"/>
        <v/>
      </c>
      <c r="G593" s="7338" t="s">
        <v>1939</v>
      </c>
      <c r="H593" s="7338" t="str">
        <f t="shared" si="33"/>
        <v/>
      </c>
      <c r="I593" s="7338">
        <v>68.0</v>
      </c>
      <c r="J593" s="7338">
        <v>125.0</v>
      </c>
      <c r="K593" s="7338">
        <v>65.0</v>
      </c>
      <c r="L593" s="7338">
        <v>65.0</v>
      </c>
      <c r="M593" s="7338">
        <v>115.0</v>
      </c>
      <c r="N593" s="7340">
        <v>80.0</v>
      </c>
      <c r="O593" s="7321"/>
      <c r="P593" s="7324"/>
      <c r="Q593" s="7324"/>
      <c r="R593" s="7324"/>
    </row>
    <row r="594" ht="18.75" customHeight="1">
      <c r="A594" s="7316"/>
      <c r="B594" s="7331" t="s">
        <v>594</v>
      </c>
      <c r="C594" s="7341" t="s">
        <v>2819</v>
      </c>
      <c r="D594" s="7333"/>
      <c r="E594" s="7341" t="s">
        <v>561</v>
      </c>
      <c r="F594" s="7341" t="str">
        <f t="shared" si="32"/>
        <v/>
      </c>
      <c r="G594" s="7341" t="s">
        <v>1939</v>
      </c>
      <c r="H594" s="7341" t="str">
        <f t="shared" si="33"/>
        <v/>
      </c>
      <c r="I594" s="7332">
        <v>68.0</v>
      </c>
      <c r="J594" s="7332">
        <v>165.0</v>
      </c>
      <c r="K594" s="7332">
        <v>95.0</v>
      </c>
      <c r="L594" s="7332">
        <v>65.0</v>
      </c>
      <c r="M594" s="7332">
        <v>115.0</v>
      </c>
      <c r="N594" s="7334">
        <v>110.0</v>
      </c>
      <c r="O594" s="7321"/>
      <c r="P594" s="7324"/>
      <c r="Q594" s="7324"/>
      <c r="R594" s="7324"/>
    </row>
    <row r="595" ht="18.75" customHeight="1">
      <c r="A595" s="7316"/>
      <c r="B595" s="7337" t="s">
        <v>1671</v>
      </c>
      <c r="C595" s="7338" t="s">
        <v>2820</v>
      </c>
      <c r="D595" s="7339"/>
      <c r="E595" s="7338" t="s">
        <v>2014</v>
      </c>
      <c r="F595" s="7338" t="str">
        <f t="shared" si="32"/>
        <v/>
      </c>
      <c r="G595" s="7338" t="s">
        <v>1929</v>
      </c>
      <c r="H595" s="7338" t="str">
        <f t="shared" si="33"/>
        <v/>
      </c>
      <c r="I595" s="7338">
        <v>65.0</v>
      </c>
      <c r="J595" s="7338">
        <v>45.0</v>
      </c>
      <c r="K595" s="7338">
        <v>145.0</v>
      </c>
      <c r="L595" s="7338">
        <v>80.0</v>
      </c>
      <c r="M595" s="7338">
        <v>150.0</v>
      </c>
      <c r="N595" s="7340">
        <v>40.0</v>
      </c>
      <c r="O595" s="7321"/>
      <c r="P595" s="7324"/>
      <c r="Q595" s="7324"/>
      <c r="R595" s="7324"/>
    </row>
    <row r="596" ht="18.75" customHeight="1">
      <c r="A596" s="7316"/>
      <c r="B596" s="7331" t="s">
        <v>569</v>
      </c>
      <c r="C596" s="7332" t="s">
        <v>2821</v>
      </c>
      <c r="D596" s="7333"/>
      <c r="E596" s="7332" t="s">
        <v>2097</v>
      </c>
      <c r="F596" s="7332" t="str">
        <f t="shared" si="32"/>
        <v/>
      </c>
      <c r="G596" s="7332"/>
      <c r="H596" s="7332" t="str">
        <f t="shared" si="33"/>
        <v/>
      </c>
      <c r="I596" s="7332">
        <v>45.0</v>
      </c>
      <c r="J596" s="7332">
        <v>100.0</v>
      </c>
      <c r="K596" s="7332">
        <v>135.0</v>
      </c>
      <c r="L596" s="7332">
        <v>65.0</v>
      </c>
      <c r="M596" s="7332">
        <v>135.0</v>
      </c>
      <c r="N596" s="7334">
        <v>45.0</v>
      </c>
      <c r="O596" s="7321"/>
      <c r="P596" s="7324"/>
      <c r="Q596" s="7324"/>
      <c r="R596" s="7324"/>
    </row>
    <row r="597" ht="18.75" customHeight="1">
      <c r="A597" s="7316"/>
      <c r="B597" s="7337" t="s">
        <v>1106</v>
      </c>
      <c r="C597" s="7338" t="s">
        <v>2822</v>
      </c>
      <c r="D597" s="7339"/>
      <c r="E597" s="7338" t="s">
        <v>1932</v>
      </c>
      <c r="F597" s="7338" t="str">
        <f t="shared" si="32"/>
        <v/>
      </c>
      <c r="G597" s="7338" t="s">
        <v>2097</v>
      </c>
      <c r="H597" s="7338" t="str">
        <f t="shared" si="33"/>
        <v/>
      </c>
      <c r="I597" s="7338">
        <v>70.0</v>
      </c>
      <c r="J597" s="7338">
        <v>95.0</v>
      </c>
      <c r="K597" s="7338">
        <v>70.0</v>
      </c>
      <c r="L597" s="7338">
        <v>95.0</v>
      </c>
      <c r="M597" s="7338">
        <v>70.0</v>
      </c>
      <c r="N597" s="7340">
        <v>110.0</v>
      </c>
      <c r="O597" s="7321"/>
      <c r="P597" s="7324"/>
      <c r="Q597" s="7324"/>
      <c r="R597" s="7324"/>
    </row>
    <row r="598" ht="18.75" customHeight="1">
      <c r="A598" s="7316"/>
      <c r="B598" s="7331" t="s">
        <v>2823</v>
      </c>
      <c r="C598" s="7332" t="s">
        <v>2824</v>
      </c>
      <c r="D598" s="7333"/>
      <c r="E598" s="7332" t="s">
        <v>1926</v>
      </c>
      <c r="F598" s="7332" t="str">
        <f t="shared" si="32"/>
        <v/>
      </c>
      <c r="G598" s="7332" t="s">
        <v>2097</v>
      </c>
      <c r="H598" s="7332" t="str">
        <f t="shared" si="33"/>
        <v/>
      </c>
      <c r="I598" s="7332">
        <v>50.0</v>
      </c>
      <c r="J598" s="7332">
        <v>50.0</v>
      </c>
      <c r="K598" s="7332">
        <v>77.0</v>
      </c>
      <c r="L598" s="7332">
        <v>95.0</v>
      </c>
      <c r="M598" s="7332">
        <v>77.0</v>
      </c>
      <c r="N598" s="7334">
        <v>91.0</v>
      </c>
      <c r="O598" s="7321"/>
      <c r="P598" s="7324"/>
      <c r="Q598" s="7324"/>
      <c r="R598" s="7324"/>
    </row>
    <row r="599" ht="18.75" customHeight="1">
      <c r="A599" s="7316"/>
      <c r="B599" s="7337" t="s">
        <v>2825</v>
      </c>
      <c r="C599" s="7342" t="s">
        <v>2826</v>
      </c>
      <c r="D599" s="7339"/>
      <c r="E599" s="7338" t="s">
        <v>1926</v>
      </c>
      <c r="F599" s="7338" t="str">
        <f t="shared" si="32"/>
        <v/>
      </c>
      <c r="G599" s="7338" t="s">
        <v>1858</v>
      </c>
      <c r="H599" s="7338" t="str">
        <f t="shared" si="33"/>
        <v/>
      </c>
      <c r="I599" s="7338">
        <v>50.0</v>
      </c>
      <c r="J599" s="7338">
        <v>65.0</v>
      </c>
      <c r="K599" s="7338">
        <v>107.0</v>
      </c>
      <c r="L599" s="7338">
        <v>105.0</v>
      </c>
      <c r="M599" s="7338">
        <v>107.0</v>
      </c>
      <c r="N599" s="7340">
        <v>86.0</v>
      </c>
      <c r="O599" s="7321"/>
      <c r="P599" s="7324"/>
      <c r="Q599" s="7324"/>
      <c r="R599" s="7324"/>
    </row>
    <row r="600" ht="18.75" customHeight="1">
      <c r="A600" s="7316"/>
      <c r="B600" s="7331" t="s">
        <v>469</v>
      </c>
      <c r="C600" s="7341" t="s">
        <v>2827</v>
      </c>
      <c r="D600" s="7333"/>
      <c r="E600" s="7332" t="s">
        <v>1926</v>
      </c>
      <c r="F600" s="7332" t="str">
        <f t="shared" si="32"/>
        <v/>
      </c>
      <c r="G600" s="7332" t="s">
        <v>1871</v>
      </c>
      <c r="H600" s="7332" t="str">
        <f t="shared" si="33"/>
        <v/>
      </c>
      <c r="I600" s="7332">
        <v>50.0</v>
      </c>
      <c r="J600" s="7332">
        <v>65.0</v>
      </c>
      <c r="K600" s="7332">
        <v>107.0</v>
      </c>
      <c r="L600" s="7332">
        <v>105.0</v>
      </c>
      <c r="M600" s="7332">
        <v>107.0</v>
      </c>
      <c r="N600" s="7334">
        <v>86.0</v>
      </c>
      <c r="O600" s="7321"/>
      <c r="P600" s="7324"/>
      <c r="Q600" s="7324"/>
      <c r="R600" s="7324"/>
    </row>
    <row r="601" ht="18.75" customHeight="1">
      <c r="A601" s="7316"/>
      <c r="B601" s="7337" t="s">
        <v>2828</v>
      </c>
      <c r="C601" s="7342" t="s">
        <v>2829</v>
      </c>
      <c r="D601" s="7339"/>
      <c r="E601" s="7338" t="s">
        <v>1926</v>
      </c>
      <c r="F601" s="7338" t="str">
        <f t="shared" si="32"/>
        <v/>
      </c>
      <c r="G601" s="7338" t="s">
        <v>1932</v>
      </c>
      <c r="H601" s="7338" t="str">
        <f t="shared" si="33"/>
        <v/>
      </c>
      <c r="I601" s="7338">
        <v>50.0</v>
      </c>
      <c r="J601" s="7338">
        <v>65.0</v>
      </c>
      <c r="K601" s="7338">
        <v>107.0</v>
      </c>
      <c r="L601" s="7338">
        <v>105.0</v>
      </c>
      <c r="M601" s="7338">
        <v>107.0</v>
      </c>
      <c r="N601" s="7340">
        <v>86.0</v>
      </c>
      <c r="O601" s="7321"/>
      <c r="P601" s="7324"/>
      <c r="Q601" s="7324"/>
      <c r="R601" s="7324"/>
    </row>
    <row r="602" ht="18.75" customHeight="1">
      <c r="A602" s="7316"/>
      <c r="B602" s="7331" t="s">
        <v>2828</v>
      </c>
      <c r="C602" s="7341" t="s">
        <v>2830</v>
      </c>
      <c r="D602" s="7333"/>
      <c r="E602" s="7341" t="s">
        <v>1926</v>
      </c>
      <c r="F602" s="7341" t="str">
        <f t="shared" si="32"/>
        <v/>
      </c>
      <c r="G602" s="7341" t="s">
        <v>1863</v>
      </c>
      <c r="H602" s="7341" t="str">
        <f t="shared" si="33"/>
        <v/>
      </c>
      <c r="I602" s="7332">
        <v>50.0</v>
      </c>
      <c r="J602" s="7332">
        <v>65.0</v>
      </c>
      <c r="K602" s="7332">
        <v>107.0</v>
      </c>
      <c r="L602" s="7332">
        <v>105.0</v>
      </c>
      <c r="M602" s="7332">
        <v>107.0</v>
      </c>
      <c r="N602" s="7334">
        <v>86.0</v>
      </c>
      <c r="O602" s="7321"/>
      <c r="P602" s="7324"/>
      <c r="Q602" s="7324"/>
      <c r="R602" s="7324"/>
    </row>
    <row r="603" ht="18.75" customHeight="1">
      <c r="A603" s="7316"/>
      <c r="B603" s="7337" t="s">
        <v>2831</v>
      </c>
      <c r="C603" s="7342" t="s">
        <v>2832</v>
      </c>
      <c r="D603" s="7339"/>
      <c r="E603" s="7338" t="s">
        <v>1926</v>
      </c>
      <c r="F603" s="7338" t="str">
        <f t="shared" si="32"/>
        <v/>
      </c>
      <c r="G603" s="7338" t="s">
        <v>1848</v>
      </c>
      <c r="H603" s="7338" t="str">
        <f t="shared" si="33"/>
        <v/>
      </c>
      <c r="I603" s="7338">
        <v>50.0</v>
      </c>
      <c r="J603" s="7338">
        <v>65.0</v>
      </c>
      <c r="K603" s="7338">
        <v>107.0</v>
      </c>
      <c r="L603" s="7338">
        <v>105.0</v>
      </c>
      <c r="M603" s="7338">
        <v>107.0</v>
      </c>
      <c r="N603" s="7340">
        <v>86.0</v>
      </c>
      <c r="O603" s="7321"/>
      <c r="P603" s="7324"/>
      <c r="Q603" s="7324"/>
      <c r="R603" s="7324"/>
    </row>
    <row r="604" ht="18.75" customHeight="1">
      <c r="A604" s="7316"/>
      <c r="B604" s="7331" t="s">
        <v>2833</v>
      </c>
      <c r="C604" s="7332" t="s">
        <v>2834</v>
      </c>
      <c r="D604" s="7333"/>
      <c r="E604" s="7332" t="s">
        <v>561</v>
      </c>
      <c r="F604" s="7332" t="str">
        <f t="shared" si="32"/>
        <v/>
      </c>
      <c r="G604" s="7332"/>
      <c r="H604" s="7332" t="str">
        <f t="shared" si="33"/>
        <v/>
      </c>
      <c r="I604" s="7332">
        <v>75.0</v>
      </c>
      <c r="J604" s="7332">
        <v>75.0</v>
      </c>
      <c r="K604" s="7332">
        <v>130.0</v>
      </c>
      <c r="L604" s="7332">
        <v>75.0</v>
      </c>
      <c r="M604" s="7332">
        <v>130.0</v>
      </c>
      <c r="N604" s="7334">
        <v>95.0</v>
      </c>
      <c r="O604" s="7321"/>
      <c r="P604" s="7324"/>
      <c r="Q604" s="7324"/>
      <c r="R604" s="7324"/>
    </row>
    <row r="605" ht="18.75" customHeight="1">
      <c r="A605" s="7316"/>
      <c r="B605" s="7337" t="s">
        <v>2835</v>
      </c>
      <c r="C605" s="7338" t="s">
        <v>2836</v>
      </c>
      <c r="D605" s="7339"/>
      <c r="E605" s="7338" t="s">
        <v>561</v>
      </c>
      <c r="F605" s="7338" t="str">
        <f t="shared" si="32"/>
        <v/>
      </c>
      <c r="G605" s="7338"/>
      <c r="H605" s="7338" t="str">
        <f t="shared" si="33"/>
        <v/>
      </c>
      <c r="I605" s="7338">
        <v>80.0</v>
      </c>
      <c r="J605" s="7338">
        <v>105.0</v>
      </c>
      <c r="K605" s="7338">
        <v>105.0</v>
      </c>
      <c r="L605" s="7338">
        <v>105.0</v>
      </c>
      <c r="M605" s="7338">
        <v>105.0</v>
      </c>
      <c r="N605" s="7340">
        <v>80.0</v>
      </c>
      <c r="O605" s="7321"/>
      <c r="P605" s="7324"/>
      <c r="Q605" s="7324"/>
      <c r="R605" s="7324"/>
    </row>
    <row r="606" ht="18.75" customHeight="1">
      <c r="A606" s="7316"/>
      <c r="B606" s="7331" t="s">
        <v>2837</v>
      </c>
      <c r="C606" s="7332" t="s">
        <v>2838</v>
      </c>
      <c r="D606" s="7333"/>
      <c r="E606" s="7332" t="s">
        <v>561</v>
      </c>
      <c r="F606" s="7332" t="str">
        <f t="shared" si="32"/>
        <v/>
      </c>
      <c r="G606" s="7332"/>
      <c r="H606" s="7332" t="str">
        <f t="shared" si="33"/>
        <v/>
      </c>
      <c r="I606" s="7332">
        <v>75.0</v>
      </c>
      <c r="J606" s="7332">
        <v>125.0</v>
      </c>
      <c r="K606" s="7332">
        <v>70.0</v>
      </c>
      <c r="L606" s="7332">
        <v>125.0</v>
      </c>
      <c r="M606" s="7332">
        <v>70.0</v>
      </c>
      <c r="N606" s="7334">
        <v>115.0</v>
      </c>
      <c r="O606" s="7321"/>
      <c r="P606" s="7324"/>
      <c r="Q606" s="7324"/>
      <c r="R606" s="7324"/>
    </row>
    <row r="607" ht="18.75" customHeight="1">
      <c r="A607" s="7316"/>
      <c r="B607" s="7337" t="s">
        <v>966</v>
      </c>
      <c r="C607" s="7338" t="s">
        <v>2839</v>
      </c>
      <c r="D607" s="7339"/>
      <c r="E607" s="7342" t="s">
        <v>1929</v>
      </c>
      <c r="F607" s="7342" t="str">
        <f t="shared" si="32"/>
        <v/>
      </c>
      <c r="G607" s="7342" t="s">
        <v>1866</v>
      </c>
      <c r="H607" s="7342" t="str">
        <f t="shared" si="33"/>
        <v/>
      </c>
      <c r="I607" s="7338">
        <v>100.0</v>
      </c>
      <c r="J607" s="7338">
        <v>120.0</v>
      </c>
      <c r="K607" s="7338">
        <v>120.0</v>
      </c>
      <c r="L607" s="7338">
        <v>150.0</v>
      </c>
      <c r="M607" s="7338">
        <v>100.0</v>
      </c>
      <c r="N607" s="7340">
        <v>90.0</v>
      </c>
      <c r="O607" s="7321"/>
      <c r="P607" s="7324"/>
      <c r="Q607" s="7324"/>
      <c r="R607" s="7324"/>
    </row>
    <row r="608" ht="18.75" customHeight="1">
      <c r="A608" s="7316"/>
      <c r="B608" s="7331" t="s">
        <v>2840</v>
      </c>
      <c r="C608" s="7341" t="s">
        <v>2841</v>
      </c>
      <c r="D608" s="7333"/>
      <c r="E608" s="7332" t="s">
        <v>1929</v>
      </c>
      <c r="F608" s="7332" t="str">
        <f t="shared" si="32"/>
        <v/>
      </c>
      <c r="G608" s="7332" t="s">
        <v>1866</v>
      </c>
      <c r="H608" s="7332" t="str">
        <f t="shared" si="33"/>
        <v/>
      </c>
      <c r="I608" s="7332">
        <v>100.0</v>
      </c>
      <c r="J608" s="7332">
        <v>100.0</v>
      </c>
      <c r="K608" s="7332">
        <v>120.0</v>
      </c>
      <c r="L608" s="7332">
        <v>150.0</v>
      </c>
      <c r="M608" s="7332">
        <v>120.0</v>
      </c>
      <c r="N608" s="7334">
        <v>90.0</v>
      </c>
      <c r="O608" s="7321"/>
      <c r="P608" s="7324"/>
      <c r="Q608" s="7324"/>
      <c r="R608" s="7324"/>
    </row>
    <row r="609" ht="18.75" customHeight="1">
      <c r="A609" s="7316"/>
      <c r="B609" s="7337" t="s">
        <v>1462</v>
      </c>
      <c r="C609" s="7342" t="s">
        <v>2842</v>
      </c>
      <c r="D609" s="7339"/>
      <c r="E609" s="7338" t="s">
        <v>1929</v>
      </c>
      <c r="F609" s="7338" t="str">
        <f t="shared" si="32"/>
        <v/>
      </c>
      <c r="G609" s="7338" t="s">
        <v>1866</v>
      </c>
      <c r="H609" s="7338" t="str">
        <f t="shared" si="33"/>
        <v/>
      </c>
      <c r="I609" s="7342">
        <v>100.0</v>
      </c>
      <c r="J609" s="7342">
        <v>120.0</v>
      </c>
      <c r="K609" s="7342">
        <v>150.0</v>
      </c>
      <c r="L609" s="7342">
        <v>185.0</v>
      </c>
      <c r="M609" s="7342">
        <v>130.0</v>
      </c>
      <c r="N609" s="7363">
        <v>90.0</v>
      </c>
      <c r="O609" s="7321"/>
      <c r="P609" s="7324"/>
      <c r="Q609" s="7324"/>
      <c r="R609" s="7324"/>
    </row>
    <row r="610" ht="18.75" customHeight="1">
      <c r="A610" s="7316"/>
      <c r="B610" s="7331" t="s">
        <v>2843</v>
      </c>
      <c r="C610" s="7332" t="s">
        <v>2844</v>
      </c>
      <c r="D610" s="7333"/>
      <c r="E610" s="7332" t="s">
        <v>1871</v>
      </c>
      <c r="F610" s="7332" t="str">
        <f t="shared" ref="F610:F622" si="34">IFERROR(VLOOKUP(E610,P$3:Q627,2,False),"")</f>
        <v/>
      </c>
      <c r="G610" s="7332" t="s">
        <v>1866</v>
      </c>
      <c r="H610" s="7332" t="str">
        <f t="shared" ref="H610:H622" si="35">IFERROR(VLOOKUP(G610,P$3:Q627,2,False),"")</f>
        <v/>
      </c>
      <c r="I610" s="7332">
        <v>90.0</v>
      </c>
      <c r="J610" s="7332">
        <v>120.0</v>
      </c>
      <c r="K610" s="7332">
        <v>100.0</v>
      </c>
      <c r="L610" s="7332">
        <v>150.0</v>
      </c>
      <c r="M610" s="7332">
        <v>120.0</v>
      </c>
      <c r="N610" s="7334">
        <v>100.0</v>
      </c>
      <c r="O610" s="7321"/>
      <c r="P610" s="7324"/>
      <c r="Q610" s="7324"/>
      <c r="R610" s="7324"/>
    </row>
    <row r="611" ht="18.75" customHeight="1">
      <c r="A611" s="7316"/>
      <c r="B611" s="7337" t="s">
        <v>1555</v>
      </c>
      <c r="C611" s="7342" t="s">
        <v>2845</v>
      </c>
      <c r="D611" s="7339"/>
      <c r="E611" s="7338" t="s">
        <v>1871</v>
      </c>
      <c r="F611" s="7338" t="str">
        <f t="shared" si="34"/>
        <v/>
      </c>
      <c r="G611" s="7338" t="s">
        <v>1866</v>
      </c>
      <c r="H611" s="7338" t="str">
        <f t="shared" si="35"/>
        <v/>
      </c>
      <c r="I611" s="7338">
        <v>90.0</v>
      </c>
      <c r="J611" s="7338">
        <v>100.0</v>
      </c>
      <c r="K611" s="7338">
        <v>100.0</v>
      </c>
      <c r="L611" s="7338">
        <v>150.0</v>
      </c>
      <c r="M611" s="7338">
        <v>120.0</v>
      </c>
      <c r="N611" s="7340">
        <v>120.0</v>
      </c>
      <c r="O611" s="7321"/>
      <c r="P611" s="7324"/>
      <c r="Q611" s="7324"/>
      <c r="R611" s="7324"/>
    </row>
    <row r="612" ht="18.75" customHeight="1">
      <c r="A612" s="7316"/>
      <c r="B612" s="7331" t="s">
        <v>1734</v>
      </c>
      <c r="C612" s="7332" t="s">
        <v>2846</v>
      </c>
      <c r="D612" s="7333"/>
      <c r="E612" s="7332" t="s">
        <v>1858</v>
      </c>
      <c r="F612" s="7332" t="str">
        <f t="shared" si="34"/>
        <v/>
      </c>
      <c r="G612" s="7332" t="s">
        <v>1929</v>
      </c>
      <c r="H612" s="7332" t="str">
        <f t="shared" si="35"/>
        <v/>
      </c>
      <c r="I612" s="7332">
        <v>91.0</v>
      </c>
      <c r="J612" s="7332">
        <v>90.0</v>
      </c>
      <c r="K612" s="7332">
        <v>106.0</v>
      </c>
      <c r="L612" s="7332">
        <v>130.0</v>
      </c>
      <c r="M612" s="7332">
        <v>106.0</v>
      </c>
      <c r="N612" s="7334">
        <v>77.0</v>
      </c>
      <c r="O612" s="7321"/>
      <c r="P612" s="7324"/>
      <c r="Q612" s="7324"/>
      <c r="R612" s="7324"/>
    </row>
    <row r="613" ht="18.75" customHeight="1">
      <c r="A613" s="7316"/>
      <c r="B613" s="7337" t="s">
        <v>2847</v>
      </c>
      <c r="C613" s="7338" t="s">
        <v>2848</v>
      </c>
      <c r="D613" s="7339"/>
      <c r="E613" s="7338" t="s">
        <v>1901</v>
      </c>
      <c r="F613" s="7338" t="str">
        <f t="shared" si="34"/>
        <v/>
      </c>
      <c r="G613" s="7338"/>
      <c r="H613" s="7338" t="str">
        <f t="shared" si="35"/>
        <v/>
      </c>
      <c r="I613" s="7338">
        <v>110.0</v>
      </c>
      <c r="J613" s="7338">
        <v>160.0</v>
      </c>
      <c r="K613" s="7338">
        <v>110.0</v>
      </c>
      <c r="L613" s="7338">
        <v>80.0</v>
      </c>
      <c r="M613" s="7338">
        <v>110.0</v>
      </c>
      <c r="N613" s="7340">
        <v>100.0</v>
      </c>
      <c r="O613" s="7321"/>
      <c r="P613" s="7324"/>
      <c r="Q613" s="7324"/>
      <c r="R613" s="7324"/>
    </row>
    <row r="614" ht="18.75" customHeight="1">
      <c r="A614" s="7316"/>
      <c r="B614" s="7331" t="s">
        <v>2849</v>
      </c>
      <c r="C614" s="7332" t="s">
        <v>2850</v>
      </c>
      <c r="D614" s="7333"/>
      <c r="E614" s="7332" t="s">
        <v>2097</v>
      </c>
      <c r="F614" s="7332" t="str">
        <f t="shared" si="34"/>
        <v/>
      </c>
      <c r="G614" s="7332" t="s">
        <v>1866</v>
      </c>
      <c r="H614" s="7332" t="str">
        <f t="shared" si="35"/>
        <v/>
      </c>
      <c r="I614" s="7332">
        <v>150.0</v>
      </c>
      <c r="J614" s="7332">
        <v>100.0</v>
      </c>
      <c r="K614" s="7332">
        <v>120.0</v>
      </c>
      <c r="L614" s="7332">
        <v>100.0</v>
      </c>
      <c r="M614" s="7332">
        <v>120.0</v>
      </c>
      <c r="N614" s="7334">
        <v>90.0</v>
      </c>
      <c r="O614" s="7321"/>
      <c r="P614" s="7324"/>
      <c r="Q614" s="7324"/>
      <c r="R614" s="7324"/>
    </row>
    <row r="615" ht="18.75" customHeight="1">
      <c r="A615" s="7316"/>
      <c r="B615" s="7337" t="s">
        <v>1840</v>
      </c>
      <c r="C615" s="7342" t="s">
        <v>2851</v>
      </c>
      <c r="D615" s="7339"/>
      <c r="E615" s="7338" t="s">
        <v>2097</v>
      </c>
      <c r="F615" s="7338" t="str">
        <f t="shared" si="34"/>
        <v/>
      </c>
      <c r="G615" s="7338" t="s">
        <v>1866</v>
      </c>
      <c r="H615" s="7338" t="str">
        <f t="shared" si="35"/>
        <v/>
      </c>
      <c r="I615" s="7338">
        <v>150.0</v>
      </c>
      <c r="J615" s="7338">
        <v>120.0</v>
      </c>
      <c r="K615" s="7338">
        <v>100.0</v>
      </c>
      <c r="L615" s="7338">
        <v>120.0</v>
      </c>
      <c r="M615" s="7338">
        <v>100.0</v>
      </c>
      <c r="N615" s="7340">
        <v>90.0</v>
      </c>
      <c r="O615" s="7321"/>
      <c r="P615" s="7324"/>
      <c r="Q615" s="7324"/>
      <c r="R615" s="7324"/>
    </row>
    <row r="616" ht="18.75" customHeight="1">
      <c r="A616" s="7316"/>
      <c r="B616" s="7331" t="s">
        <v>2852</v>
      </c>
      <c r="C616" s="7332" t="s">
        <v>2853</v>
      </c>
      <c r="D616" s="7333"/>
      <c r="E616" s="7332" t="s">
        <v>561</v>
      </c>
      <c r="F616" s="7332" t="str">
        <f t="shared" si="34"/>
        <v/>
      </c>
      <c r="G616" s="7332"/>
      <c r="H616" s="7332" t="str">
        <f t="shared" si="35"/>
        <v/>
      </c>
      <c r="I616" s="7332">
        <v>120.0</v>
      </c>
      <c r="J616" s="7332">
        <v>70.0</v>
      </c>
      <c r="K616" s="7332">
        <v>110.0</v>
      </c>
      <c r="L616" s="7332">
        <v>75.0</v>
      </c>
      <c r="M616" s="7332">
        <v>120.0</v>
      </c>
      <c r="N616" s="7334">
        <v>85.0</v>
      </c>
      <c r="O616" s="7321"/>
      <c r="P616" s="7324"/>
      <c r="Q616" s="7324"/>
      <c r="R616" s="7324"/>
    </row>
    <row r="617" ht="18.75" customHeight="1">
      <c r="A617" s="7316"/>
      <c r="B617" s="7337" t="s">
        <v>2854</v>
      </c>
      <c r="C617" s="7338" t="s">
        <v>2855</v>
      </c>
      <c r="D617" s="7339"/>
      <c r="E617" s="7338" t="s">
        <v>1871</v>
      </c>
      <c r="F617" s="7338" t="str">
        <f t="shared" si="34"/>
        <v/>
      </c>
      <c r="G617" s="7338"/>
      <c r="H617" s="7338" t="str">
        <f t="shared" si="35"/>
        <v/>
      </c>
      <c r="I617" s="7338">
        <v>80.0</v>
      </c>
      <c r="J617" s="7338">
        <v>80.0</v>
      </c>
      <c r="K617" s="7338">
        <v>80.0</v>
      </c>
      <c r="L617" s="7338">
        <v>80.0</v>
      </c>
      <c r="M617" s="7338">
        <v>80.0</v>
      </c>
      <c r="N617" s="7340">
        <v>80.0</v>
      </c>
      <c r="O617" s="7321"/>
      <c r="P617" s="7324"/>
      <c r="Q617" s="7324"/>
      <c r="R617" s="7324"/>
    </row>
    <row r="618" ht="18.75" customHeight="1">
      <c r="A618" s="7316"/>
      <c r="B618" s="7331" t="s">
        <v>2856</v>
      </c>
      <c r="C618" s="7332" t="s">
        <v>2857</v>
      </c>
      <c r="D618" s="7333"/>
      <c r="E618" s="7332" t="s">
        <v>1871</v>
      </c>
      <c r="F618" s="7332" t="str">
        <f t="shared" si="34"/>
        <v/>
      </c>
      <c r="G618" s="7332"/>
      <c r="H618" s="7332" t="str">
        <f t="shared" si="35"/>
        <v/>
      </c>
      <c r="I618" s="7332">
        <v>100.0</v>
      </c>
      <c r="J618" s="7332">
        <v>100.0</v>
      </c>
      <c r="K618" s="7332">
        <v>100.0</v>
      </c>
      <c r="L618" s="7332">
        <v>100.0</v>
      </c>
      <c r="M618" s="7332">
        <v>100.0</v>
      </c>
      <c r="N618" s="7334">
        <v>100.0</v>
      </c>
      <c r="O618" s="7321"/>
      <c r="P618" s="7324"/>
      <c r="Q618" s="7324"/>
      <c r="R618" s="7324"/>
    </row>
    <row r="619" ht="18.75" customHeight="1">
      <c r="A619" s="7316"/>
      <c r="B619" s="7337" t="s">
        <v>2858</v>
      </c>
      <c r="C619" s="7338" t="s">
        <v>2859</v>
      </c>
      <c r="D619" s="7339"/>
      <c r="E619" s="7342" t="s">
        <v>1911</v>
      </c>
      <c r="F619" s="7342" t="str">
        <f t="shared" si="34"/>
        <v/>
      </c>
      <c r="G619" s="7342"/>
      <c r="H619" s="7342" t="str">
        <f t="shared" si="35"/>
        <v/>
      </c>
      <c r="I619" s="7338">
        <v>70.0</v>
      </c>
      <c r="J619" s="7338">
        <v>90.0</v>
      </c>
      <c r="K619" s="7338">
        <v>90.0</v>
      </c>
      <c r="L619" s="7338">
        <v>135.0</v>
      </c>
      <c r="M619" s="7338">
        <v>90.0</v>
      </c>
      <c r="N619" s="7340">
        <v>125.0</v>
      </c>
      <c r="O619" s="7321"/>
      <c r="P619" s="7324"/>
      <c r="Q619" s="7324"/>
      <c r="R619" s="7324"/>
    </row>
    <row r="620" ht="18.75" customHeight="1">
      <c r="A620" s="7316"/>
      <c r="B620" s="7331" t="s">
        <v>2860</v>
      </c>
      <c r="C620" s="7332" t="s">
        <v>2861</v>
      </c>
      <c r="D620" s="7333"/>
      <c r="E620" s="7332" t="s">
        <v>1848</v>
      </c>
      <c r="F620" s="7332" t="str">
        <f t="shared" si="34"/>
        <v/>
      </c>
      <c r="G620" s="7332"/>
      <c r="H620" s="7332" t="str">
        <f t="shared" si="35"/>
        <v/>
      </c>
      <c r="I620" s="7332">
        <v>100.0</v>
      </c>
      <c r="J620" s="7332">
        <v>100.0</v>
      </c>
      <c r="K620" s="7332">
        <v>100.0</v>
      </c>
      <c r="L620" s="7332">
        <v>100.0</v>
      </c>
      <c r="M620" s="7332">
        <v>100.0</v>
      </c>
      <c r="N620" s="7334">
        <v>100.0</v>
      </c>
      <c r="O620" s="7321"/>
      <c r="P620" s="7324"/>
      <c r="Q620" s="7324"/>
      <c r="R620" s="7324"/>
    </row>
    <row r="621" ht="18.75" customHeight="1">
      <c r="A621" s="7316"/>
      <c r="B621" s="7337" t="s">
        <v>1543</v>
      </c>
      <c r="C621" s="7342" t="s">
        <v>2862</v>
      </c>
      <c r="D621" s="7339"/>
      <c r="E621" s="7338" t="s">
        <v>1848</v>
      </c>
      <c r="F621" s="7338" t="str">
        <f t="shared" si="34"/>
        <v/>
      </c>
      <c r="G621" s="7338" t="s">
        <v>1863</v>
      </c>
      <c r="H621" s="7338" t="str">
        <f t="shared" si="35"/>
        <v/>
      </c>
      <c r="I621" s="7338">
        <v>100.0</v>
      </c>
      <c r="J621" s="7338">
        <v>103.0</v>
      </c>
      <c r="K621" s="7338">
        <v>75.0</v>
      </c>
      <c r="L621" s="7338">
        <v>120.0</v>
      </c>
      <c r="M621" s="7338">
        <v>75.0</v>
      </c>
      <c r="N621" s="7340">
        <v>127.0</v>
      </c>
      <c r="O621" s="7321"/>
      <c r="P621" s="7324"/>
      <c r="Q621" s="7324"/>
      <c r="R621" s="7324"/>
    </row>
    <row r="622" ht="18.75" customHeight="1">
      <c r="A622" s="7316"/>
      <c r="B622" s="7331" t="s">
        <v>2863</v>
      </c>
      <c r="C622" s="7332" t="s">
        <v>2864</v>
      </c>
      <c r="D622" s="7333"/>
      <c r="E622" s="7332" t="s">
        <v>1901</v>
      </c>
      <c r="F622" s="7332" t="str">
        <f t="shared" si="34"/>
        <v/>
      </c>
      <c r="G622" s="7332"/>
      <c r="H622" s="7332" t="str">
        <f t="shared" si="35"/>
        <v/>
      </c>
      <c r="I622" s="7332">
        <v>120.0</v>
      </c>
      <c r="J622" s="7332">
        <v>120.0</v>
      </c>
      <c r="K622" s="7332">
        <v>120.0</v>
      </c>
      <c r="L622" s="7332">
        <v>120.0</v>
      </c>
      <c r="M622" s="7332">
        <v>120.0</v>
      </c>
      <c r="N622" s="7334">
        <v>120.0</v>
      </c>
      <c r="O622" s="7321"/>
      <c r="P622" s="7324"/>
      <c r="Q622" s="7324"/>
      <c r="R622" s="7324"/>
    </row>
    <row r="623" ht="18.75" customHeight="1">
      <c r="A623" s="7316"/>
      <c r="B623" s="7337" t="s">
        <v>1702</v>
      </c>
      <c r="C623" s="7342" t="s">
        <v>2865</v>
      </c>
      <c r="D623" s="7339"/>
      <c r="E623" s="7338" t="s">
        <v>1882</v>
      </c>
      <c r="F623" s="7338" t="str">
        <f t="shared" ref="F623:F639" si="36">IFERROR(VLOOKUP(E623,P$3:Q641,2,False),"")</f>
        <v/>
      </c>
      <c r="G623" s="7338"/>
      <c r="H623" s="7338" t="str">
        <f t="shared" ref="H623:H639" si="37">IFERROR(VLOOKUP(G623,P$3:Q641,2,False),"")</f>
        <v/>
      </c>
      <c r="I623" s="7338">
        <v>120.0</v>
      </c>
      <c r="J623" s="7338">
        <v>120.0</v>
      </c>
      <c r="K623" s="7338">
        <v>120.0</v>
      </c>
      <c r="L623" s="7338">
        <v>120.0</v>
      </c>
      <c r="M623" s="7338">
        <v>120.0</v>
      </c>
      <c r="N623" s="7340">
        <v>120.0</v>
      </c>
      <c r="O623" s="7321"/>
      <c r="P623" s="7324"/>
      <c r="Q623" s="7324"/>
      <c r="R623" s="7324"/>
    </row>
    <row r="624" ht="18.75" customHeight="1">
      <c r="A624" s="7316"/>
      <c r="B624" s="7331" t="s">
        <v>2866</v>
      </c>
      <c r="C624" s="7341" t="s">
        <v>2867</v>
      </c>
      <c r="D624" s="7333"/>
      <c r="E624" s="7332" t="s">
        <v>1911</v>
      </c>
      <c r="F624" s="7332" t="str">
        <f t="shared" si="36"/>
        <v/>
      </c>
      <c r="G624" s="7332"/>
      <c r="H624" s="7332" t="str">
        <f t="shared" si="37"/>
        <v/>
      </c>
      <c r="I624" s="7332">
        <v>120.0</v>
      </c>
      <c r="J624" s="7332">
        <v>120.0</v>
      </c>
      <c r="K624" s="7332">
        <v>120.0</v>
      </c>
      <c r="L624" s="7332">
        <v>120.0</v>
      </c>
      <c r="M624" s="7332">
        <v>120.0</v>
      </c>
      <c r="N624" s="7334">
        <v>120.0</v>
      </c>
      <c r="O624" s="7321"/>
      <c r="P624" s="7324"/>
      <c r="Q624" s="7324"/>
      <c r="R624" s="7324"/>
    </row>
    <row r="625" ht="18.75" customHeight="1">
      <c r="A625" s="7316"/>
      <c r="B625" s="7337" t="s">
        <v>2868</v>
      </c>
      <c r="C625" s="7342" t="s">
        <v>2869</v>
      </c>
      <c r="D625" s="7339"/>
      <c r="E625" s="7338" t="s">
        <v>1866</v>
      </c>
      <c r="F625" s="7338" t="str">
        <f t="shared" si="36"/>
        <v/>
      </c>
      <c r="G625" s="7338"/>
      <c r="H625" s="7338" t="str">
        <f t="shared" si="37"/>
        <v/>
      </c>
      <c r="I625" s="7338">
        <v>120.0</v>
      </c>
      <c r="J625" s="7338">
        <v>120.0</v>
      </c>
      <c r="K625" s="7338">
        <v>120.0</v>
      </c>
      <c r="L625" s="7338">
        <v>120.0</v>
      </c>
      <c r="M625" s="7338">
        <v>120.0</v>
      </c>
      <c r="N625" s="7340">
        <v>120.0</v>
      </c>
      <c r="O625" s="7321"/>
      <c r="P625" s="7324"/>
      <c r="Q625" s="7324"/>
      <c r="R625" s="7324"/>
    </row>
    <row r="626" ht="18.75" customHeight="1">
      <c r="A626" s="7316"/>
      <c r="B626" s="7331" t="s">
        <v>2870</v>
      </c>
      <c r="C626" s="7341" t="s">
        <v>2871</v>
      </c>
      <c r="D626" s="7333"/>
      <c r="E626" s="7332" t="s">
        <v>1926</v>
      </c>
      <c r="F626" s="7332" t="str">
        <f t="shared" si="36"/>
        <v/>
      </c>
      <c r="G626" s="7332"/>
      <c r="H626" s="7332" t="str">
        <f t="shared" si="37"/>
        <v/>
      </c>
      <c r="I626" s="7332">
        <v>120.0</v>
      </c>
      <c r="J626" s="7332">
        <v>120.0</v>
      </c>
      <c r="K626" s="7332">
        <v>120.0</v>
      </c>
      <c r="L626" s="7332">
        <v>120.0</v>
      </c>
      <c r="M626" s="7332">
        <v>120.0</v>
      </c>
      <c r="N626" s="7334">
        <v>120.0</v>
      </c>
      <c r="O626" s="7321"/>
      <c r="P626" s="7324"/>
      <c r="Q626" s="7324"/>
      <c r="R626" s="7324"/>
    </row>
    <row r="627" ht="18.75" customHeight="1">
      <c r="A627" s="7316"/>
      <c r="B627" s="7337" t="s">
        <v>2872</v>
      </c>
      <c r="C627" s="7342" t="s">
        <v>2873</v>
      </c>
      <c r="D627" s="7339"/>
      <c r="E627" s="7338" t="s">
        <v>1935</v>
      </c>
      <c r="F627" s="7338" t="str">
        <f t="shared" si="36"/>
        <v/>
      </c>
      <c r="G627" s="7338"/>
      <c r="H627" s="7338" t="str">
        <f t="shared" si="37"/>
        <v/>
      </c>
      <c r="I627" s="7338">
        <v>120.0</v>
      </c>
      <c r="J627" s="7338">
        <v>120.0</v>
      </c>
      <c r="K627" s="7338">
        <v>120.0</v>
      </c>
      <c r="L627" s="7338">
        <v>120.0</v>
      </c>
      <c r="M627" s="7338">
        <v>120.0</v>
      </c>
      <c r="N627" s="7340">
        <v>120.0</v>
      </c>
      <c r="O627" s="7321"/>
      <c r="P627" s="7324"/>
      <c r="Q627" s="7324"/>
      <c r="R627" s="7324"/>
    </row>
    <row r="628" ht="18.75" customHeight="1">
      <c r="A628" s="7316"/>
      <c r="B628" s="7331" t="s">
        <v>2874</v>
      </c>
      <c r="C628" s="7341" t="s">
        <v>2875</v>
      </c>
      <c r="D628" s="7333"/>
      <c r="E628" s="7332" t="s">
        <v>1939</v>
      </c>
      <c r="F628" s="7332" t="str">
        <f t="shared" si="36"/>
        <v/>
      </c>
      <c r="G628" s="7332"/>
      <c r="H628" s="7332" t="str">
        <f t="shared" si="37"/>
        <v/>
      </c>
      <c r="I628" s="7332">
        <v>120.0</v>
      </c>
      <c r="J628" s="7332">
        <v>120.0</v>
      </c>
      <c r="K628" s="7332">
        <v>120.0</v>
      </c>
      <c r="L628" s="7332">
        <v>120.0</v>
      </c>
      <c r="M628" s="7332">
        <v>120.0</v>
      </c>
      <c r="N628" s="7334">
        <v>120.0</v>
      </c>
      <c r="O628" s="7321"/>
      <c r="P628" s="7324"/>
      <c r="Q628" s="7324"/>
      <c r="R628" s="7324"/>
    </row>
    <row r="629" ht="18.75" customHeight="1">
      <c r="A629" s="7316"/>
      <c r="B629" s="7337" t="s">
        <v>2876</v>
      </c>
      <c r="C629" s="7342" t="s">
        <v>2877</v>
      </c>
      <c r="D629" s="7339"/>
      <c r="E629" s="7338" t="s">
        <v>1858</v>
      </c>
      <c r="F629" s="7338" t="str">
        <f t="shared" si="36"/>
        <v/>
      </c>
      <c r="G629" s="7338"/>
      <c r="H629" s="7338" t="str">
        <f t="shared" si="37"/>
        <v/>
      </c>
      <c r="I629" s="7338">
        <v>120.0</v>
      </c>
      <c r="J629" s="7338">
        <v>120.0</v>
      </c>
      <c r="K629" s="7338">
        <v>120.0</v>
      </c>
      <c r="L629" s="7338">
        <v>120.0</v>
      </c>
      <c r="M629" s="7338">
        <v>120.0</v>
      </c>
      <c r="N629" s="7340">
        <v>120.0</v>
      </c>
      <c r="O629" s="7321"/>
      <c r="P629" s="7324"/>
      <c r="Q629" s="7324"/>
      <c r="R629" s="7324"/>
    </row>
    <row r="630" ht="18.75" customHeight="1">
      <c r="A630" s="7316"/>
      <c r="B630" s="7331" t="s">
        <v>2878</v>
      </c>
      <c r="C630" s="7341" t="s">
        <v>2879</v>
      </c>
      <c r="D630" s="7333"/>
      <c r="E630" s="7341" t="s">
        <v>1863</v>
      </c>
      <c r="F630" s="7341" t="str">
        <f t="shared" si="36"/>
        <v/>
      </c>
      <c r="G630" s="7341"/>
      <c r="H630" s="7341" t="str">
        <f t="shared" si="37"/>
        <v/>
      </c>
      <c r="I630" s="7332">
        <v>120.0</v>
      </c>
      <c r="J630" s="7332">
        <v>120.0</v>
      </c>
      <c r="K630" s="7332">
        <v>120.0</v>
      </c>
      <c r="L630" s="7332">
        <v>120.0</v>
      </c>
      <c r="M630" s="7332">
        <v>120.0</v>
      </c>
      <c r="N630" s="7334">
        <v>120.0</v>
      </c>
      <c r="O630" s="7321"/>
      <c r="P630" s="7324"/>
      <c r="Q630" s="7324"/>
      <c r="R630" s="7324"/>
    </row>
    <row r="631" ht="18.75" customHeight="1">
      <c r="A631" s="7316"/>
      <c r="B631" s="7337" t="s">
        <v>2880</v>
      </c>
      <c r="C631" s="7342" t="s">
        <v>2881</v>
      </c>
      <c r="D631" s="7339"/>
      <c r="E631" s="7338" t="s">
        <v>2097</v>
      </c>
      <c r="F631" s="7338" t="str">
        <f t="shared" si="36"/>
        <v/>
      </c>
      <c r="G631" s="7338"/>
      <c r="H631" s="7338" t="str">
        <f t="shared" si="37"/>
        <v/>
      </c>
      <c r="I631" s="7338">
        <v>120.0</v>
      </c>
      <c r="J631" s="7338">
        <v>120.0</v>
      </c>
      <c r="K631" s="7338">
        <v>120.0</v>
      </c>
      <c r="L631" s="7338">
        <v>120.0</v>
      </c>
      <c r="M631" s="7338">
        <v>120.0</v>
      </c>
      <c r="N631" s="7340">
        <v>120.0</v>
      </c>
      <c r="O631" s="7321"/>
      <c r="P631" s="7324"/>
      <c r="Q631" s="7324"/>
      <c r="R631" s="7324"/>
    </row>
    <row r="632" ht="18.75" customHeight="1">
      <c r="A632" s="7316"/>
      <c r="B632" s="7331" t="s">
        <v>2882</v>
      </c>
      <c r="C632" s="7341" t="s">
        <v>2883</v>
      </c>
      <c r="D632" s="7333"/>
      <c r="E632" s="7332" t="s">
        <v>1848</v>
      </c>
      <c r="F632" s="7332" t="str">
        <f t="shared" si="36"/>
        <v/>
      </c>
      <c r="G632" s="7332"/>
      <c r="H632" s="7332" t="str">
        <f t="shared" si="37"/>
        <v/>
      </c>
      <c r="I632" s="7332">
        <v>120.0</v>
      </c>
      <c r="J632" s="7332">
        <v>120.0</v>
      </c>
      <c r="K632" s="7332">
        <v>120.0</v>
      </c>
      <c r="L632" s="7332">
        <v>120.0</v>
      </c>
      <c r="M632" s="7332">
        <v>120.0</v>
      </c>
      <c r="N632" s="7334">
        <v>120.0</v>
      </c>
      <c r="O632" s="7321"/>
      <c r="P632" s="7324"/>
      <c r="Q632" s="7324"/>
      <c r="R632" s="7324"/>
    </row>
    <row r="633" ht="18.75" customHeight="1">
      <c r="A633" s="7316"/>
      <c r="B633" s="7337" t="s">
        <v>2884</v>
      </c>
      <c r="C633" s="7342" t="s">
        <v>2885</v>
      </c>
      <c r="D633" s="7339"/>
      <c r="E633" s="7338" t="s">
        <v>1948</v>
      </c>
      <c r="F633" s="7338" t="str">
        <f t="shared" si="36"/>
        <v/>
      </c>
      <c r="G633" s="7338"/>
      <c r="H633" s="7338" t="str">
        <f t="shared" si="37"/>
        <v/>
      </c>
      <c r="I633" s="7338">
        <v>120.0</v>
      </c>
      <c r="J633" s="7338">
        <v>120.0</v>
      </c>
      <c r="K633" s="7338">
        <v>120.0</v>
      </c>
      <c r="L633" s="7338">
        <v>120.0</v>
      </c>
      <c r="M633" s="7338">
        <v>120.0</v>
      </c>
      <c r="N633" s="7340">
        <v>120.0</v>
      </c>
      <c r="O633" s="7321"/>
      <c r="P633" s="7324"/>
      <c r="Q633" s="7324"/>
      <c r="R633" s="7324"/>
    </row>
    <row r="634" ht="18.75" customHeight="1">
      <c r="A634" s="7316"/>
      <c r="B634" s="7331" t="s">
        <v>2886</v>
      </c>
      <c r="C634" s="7341" t="s">
        <v>2887</v>
      </c>
      <c r="D634" s="7333"/>
      <c r="E634" s="7332" t="s">
        <v>1932</v>
      </c>
      <c r="F634" s="7332" t="str">
        <f t="shared" si="36"/>
        <v/>
      </c>
      <c r="G634" s="7332"/>
      <c r="H634" s="7332" t="str">
        <f t="shared" si="37"/>
        <v/>
      </c>
      <c r="I634" s="7332">
        <v>120.0</v>
      </c>
      <c r="J634" s="7332">
        <v>120.0</v>
      </c>
      <c r="K634" s="7332">
        <v>120.0</v>
      </c>
      <c r="L634" s="7332">
        <v>120.0</v>
      </c>
      <c r="M634" s="7332">
        <v>120.0</v>
      </c>
      <c r="N634" s="7334">
        <v>120.0</v>
      </c>
      <c r="O634" s="7321"/>
      <c r="P634" s="7324"/>
      <c r="Q634" s="7324"/>
      <c r="R634" s="7324"/>
    </row>
    <row r="635" ht="18.75" customHeight="1">
      <c r="A635" s="7316"/>
      <c r="B635" s="7337" t="s">
        <v>2888</v>
      </c>
      <c r="C635" s="7342" t="s">
        <v>2889</v>
      </c>
      <c r="D635" s="7339"/>
      <c r="E635" s="7338" t="s">
        <v>1849</v>
      </c>
      <c r="F635" s="7338" t="str">
        <f t="shared" si="36"/>
        <v/>
      </c>
      <c r="G635" s="7338"/>
      <c r="H635" s="7338" t="str">
        <f t="shared" si="37"/>
        <v/>
      </c>
      <c r="I635" s="7338">
        <v>120.0</v>
      </c>
      <c r="J635" s="7338">
        <v>120.0</v>
      </c>
      <c r="K635" s="7338">
        <v>120.0</v>
      </c>
      <c r="L635" s="7338">
        <v>120.0</v>
      </c>
      <c r="M635" s="7338">
        <v>120.0</v>
      </c>
      <c r="N635" s="7340">
        <v>120.0</v>
      </c>
      <c r="O635" s="7321"/>
      <c r="P635" s="7324"/>
      <c r="Q635" s="7324"/>
      <c r="R635" s="7324"/>
    </row>
    <row r="636" ht="18.75" customHeight="1">
      <c r="A636" s="7316"/>
      <c r="B636" s="7331" t="s">
        <v>2890</v>
      </c>
      <c r="C636" s="7341" t="s">
        <v>2891</v>
      </c>
      <c r="D636" s="7333"/>
      <c r="E636" s="7332" t="s">
        <v>561</v>
      </c>
      <c r="F636" s="7332" t="str">
        <f t="shared" si="36"/>
        <v/>
      </c>
      <c r="G636" s="7332"/>
      <c r="H636" s="7332" t="str">
        <f t="shared" si="37"/>
        <v/>
      </c>
      <c r="I636" s="7332">
        <v>120.0</v>
      </c>
      <c r="J636" s="7332">
        <v>120.0</v>
      </c>
      <c r="K636" s="7332">
        <v>120.0</v>
      </c>
      <c r="L636" s="7332">
        <v>120.0</v>
      </c>
      <c r="M636" s="7332">
        <v>120.0</v>
      </c>
      <c r="N636" s="7334">
        <v>120.0</v>
      </c>
      <c r="O636" s="7321"/>
      <c r="P636" s="7324"/>
      <c r="Q636" s="7324"/>
      <c r="R636" s="7324"/>
    </row>
    <row r="637" ht="18.75" customHeight="1">
      <c r="A637" s="7316"/>
      <c r="B637" s="7337" t="s">
        <v>2892</v>
      </c>
      <c r="C637" s="7342" t="s">
        <v>2893</v>
      </c>
      <c r="D637" s="7339"/>
      <c r="E637" s="7338" t="s">
        <v>2014</v>
      </c>
      <c r="F637" s="7338" t="str">
        <f t="shared" si="36"/>
        <v/>
      </c>
      <c r="G637" s="7338"/>
      <c r="H637" s="7338" t="str">
        <f t="shared" si="37"/>
        <v/>
      </c>
      <c r="I637" s="7338">
        <v>120.0</v>
      </c>
      <c r="J637" s="7338">
        <v>120.0</v>
      </c>
      <c r="K637" s="7338">
        <v>120.0</v>
      </c>
      <c r="L637" s="7338">
        <v>120.0</v>
      </c>
      <c r="M637" s="7338">
        <v>120.0</v>
      </c>
      <c r="N637" s="7340">
        <v>120.0</v>
      </c>
      <c r="O637" s="7321"/>
      <c r="P637" s="7324"/>
      <c r="Q637" s="7324"/>
      <c r="R637" s="7324"/>
    </row>
    <row r="638" ht="18.75" customHeight="1">
      <c r="A638" s="7316"/>
      <c r="B638" s="7331" t="s">
        <v>2894</v>
      </c>
      <c r="C638" s="7341" t="s">
        <v>2895</v>
      </c>
      <c r="D638" s="7333"/>
      <c r="E638" s="7332" t="s">
        <v>1929</v>
      </c>
      <c r="F638" s="7332" t="str">
        <f t="shared" si="36"/>
        <v/>
      </c>
      <c r="G638" s="7332"/>
      <c r="H638" s="7332" t="str">
        <f t="shared" si="37"/>
        <v/>
      </c>
      <c r="I638" s="7332">
        <v>120.0</v>
      </c>
      <c r="J638" s="7332">
        <v>120.0</v>
      </c>
      <c r="K638" s="7332">
        <v>120.0</v>
      </c>
      <c r="L638" s="7332">
        <v>120.0</v>
      </c>
      <c r="M638" s="7332">
        <v>120.0</v>
      </c>
      <c r="N638" s="7334">
        <v>120.0</v>
      </c>
      <c r="O638" s="7321"/>
      <c r="P638" s="7324"/>
      <c r="Q638" s="7324"/>
      <c r="R638" s="7324"/>
    </row>
    <row r="639" ht="18.75" customHeight="1">
      <c r="A639" s="7316"/>
      <c r="B639" s="7364" t="s">
        <v>2896</v>
      </c>
      <c r="C639" s="7365" t="s">
        <v>2897</v>
      </c>
      <c r="D639" s="7366"/>
      <c r="E639" s="7367" t="s">
        <v>1871</v>
      </c>
      <c r="F639" s="7367" t="str">
        <f t="shared" si="36"/>
        <v/>
      </c>
      <c r="G639" s="7367"/>
      <c r="H639" s="7367" t="str">
        <f t="shared" si="37"/>
        <v/>
      </c>
      <c r="I639" s="7367">
        <v>120.0</v>
      </c>
      <c r="J639" s="7367">
        <v>120.0</v>
      </c>
      <c r="K639" s="7367">
        <v>120.0</v>
      </c>
      <c r="L639" s="7367">
        <v>120.0</v>
      </c>
      <c r="M639" s="7367">
        <v>120.0</v>
      </c>
      <c r="N639" s="7368">
        <v>120.0</v>
      </c>
      <c r="O639" s="7321"/>
      <c r="P639" s="7324"/>
      <c r="Q639" s="7324"/>
      <c r="R639" s="7324"/>
    </row>
    <row r="640">
      <c r="A640" s="7316"/>
      <c r="B640" s="7315"/>
      <c r="C640" s="7315"/>
      <c r="D640" s="7315"/>
      <c r="E640" s="7315"/>
      <c r="F640" s="7315"/>
      <c r="G640" s="7315"/>
      <c r="H640" s="7315"/>
      <c r="I640" s="7315"/>
      <c r="J640" s="7315"/>
      <c r="K640" s="7315"/>
      <c r="L640" s="7315"/>
      <c r="M640" s="7315"/>
      <c r="N640" s="7315"/>
      <c r="O640" s="7316"/>
      <c r="P640" s="7316"/>
      <c r="Q640" s="7316"/>
      <c r="R640" s="7316"/>
    </row>
    <row r="641">
      <c r="A641" s="7316"/>
      <c r="B641" s="7369" t="s">
        <v>2898</v>
      </c>
      <c r="C641" s="7370"/>
      <c r="D641" s="7370"/>
      <c r="E641" s="7370"/>
      <c r="F641" s="7370"/>
      <c r="G641" s="7370"/>
      <c r="H641" s="7371"/>
      <c r="I641" s="7372" t="s">
        <v>192</v>
      </c>
      <c r="J641" s="7372" t="s">
        <v>193</v>
      </c>
      <c r="K641" s="7372" t="s">
        <v>194</v>
      </c>
      <c r="L641" s="7372" t="s">
        <v>195</v>
      </c>
      <c r="M641" s="7372" t="s">
        <v>196</v>
      </c>
      <c r="N641" s="7373" t="s">
        <v>197</v>
      </c>
      <c r="O641" s="7321"/>
      <c r="P641" s="7324"/>
      <c r="Q641" s="7324"/>
      <c r="R641" s="7324"/>
    </row>
    <row r="642" ht="18.75" customHeight="1">
      <c r="A642" s="7316"/>
      <c r="B642" s="7331" t="s">
        <v>1583</v>
      </c>
      <c r="C642" s="7332" t="s">
        <v>2899</v>
      </c>
      <c r="D642" s="7333"/>
      <c r="E642" s="7332" t="s">
        <v>561</v>
      </c>
      <c r="F642" s="7332" t="str">
        <f t="shared" ref="F642:F802" si="38">IFERROR(VLOOKUP(E642,P$3:Q659,2,False),"")</f>
        <v/>
      </c>
      <c r="G642" s="7332" t="s">
        <v>1858</v>
      </c>
      <c r="H642" s="7332" t="str">
        <f t="shared" ref="H642:H802" si="39">IFERROR(VLOOKUP(G642,P$3:Q659,2,False),"")</f>
        <v/>
      </c>
      <c r="I642" s="7332">
        <v>100.0</v>
      </c>
      <c r="J642" s="7332">
        <v>100.0</v>
      </c>
      <c r="K642" s="7332">
        <v>100.0</v>
      </c>
      <c r="L642" s="7332">
        <v>100.0</v>
      </c>
      <c r="M642" s="7332">
        <v>100.0</v>
      </c>
      <c r="N642" s="7334">
        <v>100.0</v>
      </c>
      <c r="O642" s="7321"/>
      <c r="P642" s="7324"/>
      <c r="Q642" s="7324"/>
      <c r="R642" s="7324"/>
    </row>
    <row r="643" ht="18.75" customHeight="1">
      <c r="A643" s="7316"/>
      <c r="B643" s="7337" t="s">
        <v>2900</v>
      </c>
      <c r="C643" s="7338" t="s">
        <v>2901</v>
      </c>
      <c r="D643" s="7339"/>
      <c r="E643" s="7338" t="s">
        <v>1848</v>
      </c>
      <c r="F643" s="7338" t="str">
        <f t="shared" si="38"/>
        <v/>
      </c>
      <c r="G643" s="7338"/>
      <c r="H643" s="7338" t="str">
        <f t="shared" si="39"/>
        <v/>
      </c>
      <c r="I643" s="7338">
        <v>45.0</v>
      </c>
      <c r="J643" s="7338">
        <v>45.0</v>
      </c>
      <c r="K643" s="7338">
        <v>55.0</v>
      </c>
      <c r="L643" s="7338">
        <v>45.0</v>
      </c>
      <c r="M643" s="7338">
        <v>55.0</v>
      </c>
      <c r="N643" s="7340">
        <v>63.0</v>
      </c>
      <c r="O643" s="7321"/>
      <c r="P643" s="7324"/>
      <c r="Q643" s="7324"/>
      <c r="R643" s="7324"/>
    </row>
    <row r="644" ht="18.75" customHeight="1">
      <c r="A644" s="7316"/>
      <c r="B644" s="7331" t="s">
        <v>2902</v>
      </c>
      <c r="C644" s="7332" t="s">
        <v>2903</v>
      </c>
      <c r="D644" s="7333"/>
      <c r="E644" s="7332" t="s">
        <v>1848</v>
      </c>
      <c r="F644" s="7332" t="str">
        <f t="shared" si="38"/>
        <v/>
      </c>
      <c r="G644" s="7332"/>
      <c r="H644" s="7332" t="str">
        <f t="shared" si="39"/>
        <v/>
      </c>
      <c r="I644" s="7332">
        <v>60.0</v>
      </c>
      <c r="J644" s="7332">
        <v>60.0</v>
      </c>
      <c r="K644" s="7332">
        <v>75.0</v>
      </c>
      <c r="L644" s="7332">
        <v>60.0</v>
      </c>
      <c r="M644" s="7332">
        <v>75.0</v>
      </c>
      <c r="N644" s="7334">
        <v>83.0</v>
      </c>
      <c r="O644" s="7321"/>
      <c r="P644" s="7324"/>
      <c r="Q644" s="7324"/>
      <c r="R644" s="7324"/>
    </row>
    <row r="645" ht="18.75" customHeight="1">
      <c r="A645" s="7316"/>
      <c r="B645" s="7337" t="s">
        <v>1821</v>
      </c>
      <c r="C645" s="7338" t="s">
        <v>2904</v>
      </c>
      <c r="D645" s="7339"/>
      <c r="E645" s="7338" t="s">
        <v>1848</v>
      </c>
      <c r="F645" s="7338" t="str">
        <f t="shared" si="38"/>
        <v/>
      </c>
      <c r="G645" s="7338"/>
      <c r="H645" s="7338" t="str">
        <f t="shared" si="39"/>
        <v/>
      </c>
      <c r="I645" s="7338">
        <v>75.0</v>
      </c>
      <c r="J645" s="7338">
        <v>75.0</v>
      </c>
      <c r="K645" s="7338">
        <v>95.0</v>
      </c>
      <c r="L645" s="7338">
        <v>75.0</v>
      </c>
      <c r="M645" s="7338">
        <v>95.0</v>
      </c>
      <c r="N645" s="7340">
        <v>113.0</v>
      </c>
      <c r="O645" s="7321"/>
      <c r="P645" s="7324"/>
      <c r="Q645" s="7324"/>
      <c r="R645" s="7324"/>
    </row>
    <row r="646" ht="18.75" customHeight="1">
      <c r="A646" s="7316"/>
      <c r="B646" s="7331" t="s">
        <v>2905</v>
      </c>
      <c r="C646" s="7332" t="s">
        <v>2906</v>
      </c>
      <c r="D646" s="7333"/>
      <c r="E646" s="7332" t="s">
        <v>1858</v>
      </c>
      <c r="F646" s="7332" t="str">
        <f t="shared" si="38"/>
        <v/>
      </c>
      <c r="G646" s="7332"/>
      <c r="H646" s="7332" t="str">
        <f t="shared" si="39"/>
        <v/>
      </c>
      <c r="I646" s="7332">
        <v>65.0</v>
      </c>
      <c r="J646" s="7332">
        <v>63.0</v>
      </c>
      <c r="K646" s="7332">
        <v>45.0</v>
      </c>
      <c r="L646" s="7332">
        <v>45.0</v>
      </c>
      <c r="M646" s="7332">
        <v>45.0</v>
      </c>
      <c r="N646" s="7334">
        <v>45.0</v>
      </c>
      <c r="O646" s="7321"/>
      <c r="P646" s="7324"/>
      <c r="Q646" s="7324"/>
      <c r="R646" s="7324"/>
    </row>
    <row r="647" ht="18.75" customHeight="1">
      <c r="A647" s="7316"/>
      <c r="B647" s="7337" t="s">
        <v>2907</v>
      </c>
      <c r="C647" s="7338" t="s">
        <v>2908</v>
      </c>
      <c r="D647" s="7339"/>
      <c r="E647" s="7338" t="s">
        <v>1858</v>
      </c>
      <c r="F647" s="7338" t="str">
        <f t="shared" si="38"/>
        <v/>
      </c>
      <c r="G647" s="7338" t="s">
        <v>1939</v>
      </c>
      <c r="H647" s="7338" t="str">
        <f t="shared" si="39"/>
        <v/>
      </c>
      <c r="I647" s="7338">
        <v>90.0</v>
      </c>
      <c r="J647" s="7338">
        <v>93.0</v>
      </c>
      <c r="K647" s="7338">
        <v>55.0</v>
      </c>
      <c r="L647" s="7338">
        <v>70.0</v>
      </c>
      <c r="M647" s="7338">
        <v>55.0</v>
      </c>
      <c r="N647" s="7340">
        <v>55.0</v>
      </c>
      <c r="O647" s="7321"/>
      <c r="P647" s="7324"/>
      <c r="Q647" s="7324"/>
      <c r="R647" s="7324"/>
    </row>
    <row r="648" ht="18.75" customHeight="1">
      <c r="A648" s="7316"/>
      <c r="B648" s="7331" t="s">
        <v>1168</v>
      </c>
      <c r="C648" s="7332" t="s">
        <v>2909</v>
      </c>
      <c r="D648" s="7333"/>
      <c r="E648" s="7332" t="s">
        <v>1858</v>
      </c>
      <c r="F648" s="7332" t="str">
        <f t="shared" si="38"/>
        <v/>
      </c>
      <c r="G648" s="7332" t="s">
        <v>1939</v>
      </c>
      <c r="H648" s="7332" t="str">
        <f t="shared" si="39"/>
        <v/>
      </c>
      <c r="I648" s="7332">
        <v>110.0</v>
      </c>
      <c r="J648" s="7332">
        <v>123.0</v>
      </c>
      <c r="K648" s="7332">
        <v>65.0</v>
      </c>
      <c r="L648" s="7332">
        <v>100.0</v>
      </c>
      <c r="M648" s="7332">
        <v>65.0</v>
      </c>
      <c r="N648" s="7334">
        <v>65.0</v>
      </c>
      <c r="O648" s="7321"/>
      <c r="P648" s="7324"/>
      <c r="Q648" s="7324"/>
      <c r="R648" s="7324"/>
    </row>
    <row r="649" ht="18.75" customHeight="1">
      <c r="A649" s="7316"/>
      <c r="B649" s="7337" t="s">
        <v>2910</v>
      </c>
      <c r="C649" s="7338" t="s">
        <v>2911</v>
      </c>
      <c r="D649" s="7339"/>
      <c r="E649" s="7342" t="s">
        <v>1871</v>
      </c>
      <c r="F649" s="7342" t="str">
        <f t="shared" si="38"/>
        <v/>
      </c>
      <c r="G649" s="7342"/>
      <c r="H649" s="7342" t="str">
        <f t="shared" si="39"/>
        <v/>
      </c>
      <c r="I649" s="7338">
        <v>55.0</v>
      </c>
      <c r="J649" s="7338">
        <v>55.0</v>
      </c>
      <c r="K649" s="7338">
        <v>45.0</v>
      </c>
      <c r="L649" s="7338">
        <v>63.0</v>
      </c>
      <c r="M649" s="7338">
        <v>45.0</v>
      </c>
      <c r="N649" s="7340">
        <v>45.0</v>
      </c>
      <c r="O649" s="7321"/>
      <c r="P649" s="7324"/>
      <c r="Q649" s="7324"/>
      <c r="R649" s="7324"/>
    </row>
    <row r="650" ht="18.75" customHeight="1">
      <c r="A650" s="7316"/>
      <c r="B650" s="7331" t="s">
        <v>1052</v>
      </c>
      <c r="C650" s="7332" t="s">
        <v>2912</v>
      </c>
      <c r="D650" s="7333"/>
      <c r="E650" s="7332" t="s">
        <v>1871</v>
      </c>
      <c r="F650" s="7332" t="str">
        <f t="shared" si="38"/>
        <v/>
      </c>
      <c r="G650" s="7332"/>
      <c r="H650" s="7332" t="str">
        <f t="shared" si="39"/>
        <v/>
      </c>
      <c r="I650" s="7332">
        <v>75.0</v>
      </c>
      <c r="J650" s="7332">
        <v>75.0</v>
      </c>
      <c r="K650" s="7332">
        <v>60.0</v>
      </c>
      <c r="L650" s="7332">
        <v>83.0</v>
      </c>
      <c r="M650" s="7332">
        <v>60.0</v>
      </c>
      <c r="N650" s="7334">
        <v>60.0</v>
      </c>
      <c r="O650" s="7321"/>
      <c r="P650" s="7324"/>
      <c r="Q650" s="7324"/>
      <c r="R650" s="7324"/>
    </row>
    <row r="651" ht="18.75" customHeight="1">
      <c r="A651" s="7316"/>
      <c r="B651" s="7337" t="s">
        <v>649</v>
      </c>
      <c r="C651" s="7338" t="s">
        <v>2913</v>
      </c>
      <c r="D651" s="7339"/>
      <c r="E651" s="7338" t="s">
        <v>1871</v>
      </c>
      <c r="F651" s="7338" t="str">
        <f t="shared" si="38"/>
        <v/>
      </c>
      <c r="G651" s="7338" t="s">
        <v>1929</v>
      </c>
      <c r="H651" s="7338" t="str">
        <f t="shared" si="39"/>
        <v/>
      </c>
      <c r="I651" s="7338">
        <v>95.0</v>
      </c>
      <c r="J651" s="7338">
        <v>108.0</v>
      </c>
      <c r="K651" s="7338">
        <v>85.0</v>
      </c>
      <c r="L651" s="7338">
        <v>95.0</v>
      </c>
      <c r="M651" s="7338">
        <v>70.0</v>
      </c>
      <c r="N651" s="7340">
        <v>90.0</v>
      </c>
      <c r="O651" s="7321"/>
      <c r="P651" s="7324"/>
      <c r="Q651" s="7324"/>
      <c r="R651" s="7324"/>
    </row>
    <row r="652" ht="18.75" customHeight="1">
      <c r="A652" s="7316"/>
      <c r="B652" s="7331" t="s">
        <v>1601</v>
      </c>
      <c r="C652" s="7341" t="s">
        <v>2914</v>
      </c>
      <c r="D652" s="7333"/>
      <c r="E652" s="7332" t="s">
        <v>1871</v>
      </c>
      <c r="F652" s="7332" t="str">
        <f t="shared" si="38"/>
        <v/>
      </c>
      <c r="G652" s="7332" t="s">
        <v>1911</v>
      </c>
      <c r="H652" s="7332" t="str">
        <f t="shared" si="39"/>
        <v/>
      </c>
      <c r="I652" s="7332">
        <v>95.0</v>
      </c>
      <c r="J652" s="7332">
        <v>108.0</v>
      </c>
      <c r="K652" s="7332">
        <v>85.0</v>
      </c>
      <c r="L652" s="7332">
        <v>95.0</v>
      </c>
      <c r="M652" s="7332">
        <v>70.0</v>
      </c>
      <c r="N652" s="7334">
        <v>90.0</v>
      </c>
      <c r="O652" s="7321"/>
      <c r="P652" s="7324"/>
      <c r="Q652" s="7324"/>
      <c r="R652" s="7324"/>
    </row>
    <row r="653" ht="18.75" customHeight="1">
      <c r="A653" s="7316"/>
      <c r="B653" s="7337" t="s">
        <v>2915</v>
      </c>
      <c r="C653" s="7338" t="s">
        <v>2916</v>
      </c>
      <c r="D653" s="7339"/>
      <c r="E653" s="7338" t="s">
        <v>1901</v>
      </c>
      <c r="F653" s="7338" t="str">
        <f t="shared" si="38"/>
        <v/>
      </c>
      <c r="G653" s="7338"/>
      <c r="H653" s="7338" t="str">
        <f t="shared" si="39"/>
        <v/>
      </c>
      <c r="I653" s="7338">
        <v>45.0</v>
      </c>
      <c r="J653" s="7338">
        <v>55.0</v>
      </c>
      <c r="K653" s="7338">
        <v>39.0</v>
      </c>
      <c r="L653" s="7338">
        <v>35.0</v>
      </c>
      <c r="M653" s="7338">
        <v>39.0</v>
      </c>
      <c r="N653" s="7340">
        <v>42.0</v>
      </c>
      <c r="O653" s="7321"/>
      <c r="P653" s="7324"/>
      <c r="Q653" s="7324"/>
      <c r="R653" s="7324"/>
    </row>
    <row r="654" ht="18.75" customHeight="1">
      <c r="A654" s="7316"/>
      <c r="B654" s="7331" t="s">
        <v>2917</v>
      </c>
      <c r="C654" s="7332" t="s">
        <v>2918</v>
      </c>
      <c r="D654" s="7333"/>
      <c r="E654" s="7332" t="s">
        <v>1901</v>
      </c>
      <c r="F654" s="7332" t="str">
        <f t="shared" si="38"/>
        <v/>
      </c>
      <c r="G654" s="7332"/>
      <c r="H654" s="7332" t="str">
        <f t="shared" si="39"/>
        <v/>
      </c>
      <c r="I654" s="7332">
        <v>85.0</v>
      </c>
      <c r="J654" s="7332">
        <v>100.0</v>
      </c>
      <c r="K654" s="7332">
        <v>69.0</v>
      </c>
      <c r="L654" s="7332">
        <v>60.0</v>
      </c>
      <c r="M654" s="7332">
        <v>69.0</v>
      </c>
      <c r="N654" s="7334">
        <v>77.0</v>
      </c>
      <c r="O654" s="7321"/>
      <c r="P654" s="7324"/>
      <c r="Q654" s="7324"/>
      <c r="R654" s="7324"/>
    </row>
    <row r="655" ht="18.75" customHeight="1">
      <c r="A655" s="7316"/>
      <c r="B655" s="7337" t="s">
        <v>2919</v>
      </c>
      <c r="C655" s="7338" t="s">
        <v>2920</v>
      </c>
      <c r="D655" s="7339"/>
      <c r="E655" s="7338" t="s">
        <v>1901</v>
      </c>
      <c r="F655" s="7338" t="str">
        <f t="shared" si="38"/>
        <v/>
      </c>
      <c r="G655" s="7338"/>
      <c r="H655" s="7338" t="str">
        <f t="shared" si="39"/>
        <v/>
      </c>
      <c r="I655" s="7338">
        <v>45.0</v>
      </c>
      <c r="J655" s="7338">
        <v>60.0</v>
      </c>
      <c r="K655" s="7338">
        <v>45.0</v>
      </c>
      <c r="L655" s="7338">
        <v>25.0</v>
      </c>
      <c r="M655" s="7338">
        <v>45.0</v>
      </c>
      <c r="N655" s="7340">
        <v>55.0</v>
      </c>
      <c r="O655" s="7321"/>
      <c r="P655" s="7324"/>
      <c r="Q655" s="7324"/>
      <c r="R655" s="7324"/>
    </row>
    <row r="656" ht="18.75" customHeight="1">
      <c r="A656" s="7316"/>
      <c r="B656" s="7331" t="s">
        <v>2921</v>
      </c>
      <c r="C656" s="7332" t="s">
        <v>2922</v>
      </c>
      <c r="D656" s="7333"/>
      <c r="E656" s="7332" t="s">
        <v>1901</v>
      </c>
      <c r="F656" s="7332" t="str">
        <f t="shared" si="38"/>
        <v/>
      </c>
      <c r="G656" s="7332"/>
      <c r="H656" s="7332" t="str">
        <f t="shared" si="39"/>
        <v/>
      </c>
      <c r="I656" s="7332">
        <v>65.0</v>
      </c>
      <c r="J656" s="7332">
        <v>80.0</v>
      </c>
      <c r="K656" s="7332">
        <v>65.0</v>
      </c>
      <c r="L656" s="7332">
        <v>35.0</v>
      </c>
      <c r="M656" s="7332">
        <v>65.0</v>
      </c>
      <c r="N656" s="7334">
        <v>60.0</v>
      </c>
      <c r="O656" s="7321"/>
      <c r="P656" s="7324"/>
      <c r="Q656" s="7324"/>
      <c r="R656" s="7324"/>
    </row>
    <row r="657" ht="18.75" customHeight="1">
      <c r="A657" s="7316"/>
      <c r="B657" s="7337" t="s">
        <v>2923</v>
      </c>
      <c r="C657" s="7338" t="s">
        <v>2924</v>
      </c>
      <c r="D657" s="7339"/>
      <c r="E657" s="7338" t="s">
        <v>1901</v>
      </c>
      <c r="F657" s="7338" t="str">
        <f t="shared" si="38"/>
        <v/>
      </c>
      <c r="G657" s="7338"/>
      <c r="H657" s="7338" t="str">
        <f t="shared" si="39"/>
        <v/>
      </c>
      <c r="I657" s="7338">
        <v>90.0</v>
      </c>
      <c r="J657" s="7338">
        <v>115.0</v>
      </c>
      <c r="K657" s="7338">
        <v>90.0</v>
      </c>
      <c r="L657" s="7338">
        <v>45.0</v>
      </c>
      <c r="M657" s="7338">
        <v>90.0</v>
      </c>
      <c r="N657" s="7340">
        <v>80.0</v>
      </c>
      <c r="O657" s="7321"/>
      <c r="P657" s="7324"/>
      <c r="Q657" s="7324"/>
      <c r="R657" s="7324"/>
    </row>
    <row r="658" ht="18.75" customHeight="1">
      <c r="A658" s="7316"/>
      <c r="B658" s="7331" t="s">
        <v>2925</v>
      </c>
      <c r="C658" s="7332" t="s">
        <v>2926</v>
      </c>
      <c r="D658" s="7333"/>
      <c r="E658" s="7332" t="s">
        <v>1911</v>
      </c>
      <c r="F658" s="7332" t="str">
        <f t="shared" si="38"/>
        <v/>
      </c>
      <c r="G658" s="7332"/>
      <c r="H658" s="7332" t="str">
        <f t="shared" si="39"/>
        <v/>
      </c>
      <c r="I658" s="7332">
        <v>41.0</v>
      </c>
      <c r="J658" s="7332">
        <v>50.0</v>
      </c>
      <c r="K658" s="7332">
        <v>37.0</v>
      </c>
      <c r="L658" s="7332">
        <v>50.0</v>
      </c>
      <c r="M658" s="7332">
        <v>37.0</v>
      </c>
      <c r="N658" s="7334">
        <v>66.0</v>
      </c>
      <c r="O658" s="7321"/>
      <c r="P658" s="7324"/>
      <c r="Q658" s="7324"/>
      <c r="R658" s="7324"/>
    </row>
    <row r="659" ht="18.75" customHeight="1">
      <c r="A659" s="7316"/>
      <c r="B659" s="7337" t="s">
        <v>1078</v>
      </c>
      <c r="C659" s="7338" t="s">
        <v>2927</v>
      </c>
      <c r="D659" s="7339"/>
      <c r="E659" s="7338" t="s">
        <v>1911</v>
      </c>
      <c r="F659" s="7338" t="str">
        <f t="shared" si="38"/>
        <v/>
      </c>
      <c r="G659" s="7338"/>
      <c r="H659" s="7338" t="str">
        <f t="shared" si="39"/>
        <v/>
      </c>
      <c r="I659" s="7338">
        <v>64.0</v>
      </c>
      <c r="J659" s="7338">
        <v>98.0</v>
      </c>
      <c r="K659" s="7338">
        <v>50.0</v>
      </c>
      <c r="L659" s="7338">
        <v>78.0</v>
      </c>
      <c r="M659" s="7338">
        <v>50.0</v>
      </c>
      <c r="N659" s="7340">
        <v>106.0</v>
      </c>
      <c r="O659" s="7321"/>
      <c r="P659" s="7324"/>
      <c r="Q659" s="7324"/>
      <c r="R659" s="7324"/>
    </row>
    <row r="660" ht="18.75" customHeight="1">
      <c r="A660" s="7316"/>
      <c r="B660" s="7331" t="s">
        <v>2928</v>
      </c>
      <c r="C660" s="7332" t="s">
        <v>2929</v>
      </c>
      <c r="D660" s="7333"/>
      <c r="E660" s="7332" t="s">
        <v>1848</v>
      </c>
      <c r="F660" s="7332" t="str">
        <f t="shared" si="38"/>
        <v/>
      </c>
      <c r="G660" s="7332"/>
      <c r="H660" s="7332" t="str">
        <f t="shared" si="39"/>
        <v/>
      </c>
      <c r="I660" s="7332">
        <v>50.0</v>
      </c>
      <c r="J660" s="7332">
        <v>53.0</v>
      </c>
      <c r="K660" s="7332">
        <v>48.0</v>
      </c>
      <c r="L660" s="7332">
        <v>53.0</v>
      </c>
      <c r="M660" s="7332">
        <v>48.0</v>
      </c>
      <c r="N660" s="7334">
        <v>64.0</v>
      </c>
      <c r="O660" s="7321"/>
      <c r="P660" s="7324"/>
      <c r="Q660" s="7324"/>
      <c r="R660" s="7324"/>
    </row>
    <row r="661" ht="18.75" customHeight="1">
      <c r="A661" s="7316"/>
      <c r="B661" s="7337" t="s">
        <v>1055</v>
      </c>
      <c r="C661" s="7338" t="s">
        <v>2930</v>
      </c>
      <c r="D661" s="7339"/>
      <c r="E661" s="7338" t="s">
        <v>1848</v>
      </c>
      <c r="F661" s="7338" t="str">
        <f t="shared" si="38"/>
        <v/>
      </c>
      <c r="G661" s="7338"/>
      <c r="H661" s="7338" t="str">
        <f t="shared" si="39"/>
        <v/>
      </c>
      <c r="I661" s="7338">
        <v>75.0</v>
      </c>
      <c r="J661" s="7338">
        <v>98.0</v>
      </c>
      <c r="K661" s="7338">
        <v>63.0</v>
      </c>
      <c r="L661" s="7338">
        <v>98.0</v>
      </c>
      <c r="M661" s="7338">
        <v>63.0</v>
      </c>
      <c r="N661" s="7340">
        <v>101.0</v>
      </c>
      <c r="O661" s="7321"/>
      <c r="P661" s="7324"/>
      <c r="Q661" s="7324"/>
      <c r="R661" s="7324"/>
    </row>
    <row r="662" ht="18.75" customHeight="1">
      <c r="A662" s="7316"/>
      <c r="B662" s="7331" t="s">
        <v>2931</v>
      </c>
      <c r="C662" s="7332" t="s">
        <v>2932</v>
      </c>
      <c r="D662" s="7333"/>
      <c r="E662" s="7332" t="s">
        <v>1858</v>
      </c>
      <c r="F662" s="7332" t="str">
        <f t="shared" si="38"/>
        <v/>
      </c>
      <c r="G662" s="7332"/>
      <c r="H662" s="7332" t="str">
        <f t="shared" si="39"/>
        <v/>
      </c>
      <c r="I662" s="7332">
        <v>50.0</v>
      </c>
      <c r="J662" s="7332">
        <v>53.0</v>
      </c>
      <c r="K662" s="7332">
        <v>48.0</v>
      </c>
      <c r="L662" s="7332">
        <v>53.0</v>
      </c>
      <c r="M662" s="7332">
        <v>48.0</v>
      </c>
      <c r="N662" s="7334">
        <v>64.0</v>
      </c>
      <c r="O662" s="7321"/>
      <c r="P662" s="7324"/>
      <c r="Q662" s="7324"/>
      <c r="R662" s="7324"/>
    </row>
    <row r="663" ht="18.75" customHeight="1">
      <c r="A663" s="7316"/>
      <c r="B663" s="7337" t="s">
        <v>1053</v>
      </c>
      <c r="C663" s="7338" t="s">
        <v>2933</v>
      </c>
      <c r="D663" s="7339"/>
      <c r="E663" s="7342" t="s">
        <v>1858</v>
      </c>
      <c r="F663" s="7342" t="str">
        <f t="shared" si="38"/>
        <v/>
      </c>
      <c r="G663" s="7342"/>
      <c r="H663" s="7342" t="str">
        <f t="shared" si="39"/>
        <v/>
      </c>
      <c r="I663" s="7338">
        <v>75.0</v>
      </c>
      <c r="J663" s="7338">
        <v>98.0</v>
      </c>
      <c r="K663" s="7338">
        <v>63.0</v>
      </c>
      <c r="L663" s="7338">
        <v>98.0</v>
      </c>
      <c r="M663" s="7338">
        <v>63.0</v>
      </c>
      <c r="N663" s="7340">
        <v>101.0</v>
      </c>
      <c r="O663" s="7321"/>
      <c r="P663" s="7324"/>
      <c r="Q663" s="7324"/>
      <c r="R663" s="7324"/>
    </row>
    <row r="664" ht="18.75" customHeight="1">
      <c r="A664" s="7316"/>
      <c r="B664" s="7331" t="s">
        <v>2934</v>
      </c>
      <c r="C664" s="7332" t="s">
        <v>2935</v>
      </c>
      <c r="D664" s="7333"/>
      <c r="E664" s="7332" t="s">
        <v>1871</v>
      </c>
      <c r="F664" s="7332" t="str">
        <f t="shared" si="38"/>
        <v/>
      </c>
      <c r="G664" s="7332"/>
      <c r="H664" s="7332" t="str">
        <f t="shared" si="39"/>
        <v/>
      </c>
      <c r="I664" s="7332">
        <v>50.0</v>
      </c>
      <c r="J664" s="7332">
        <v>53.0</v>
      </c>
      <c r="K664" s="7332">
        <v>48.0</v>
      </c>
      <c r="L664" s="7332">
        <v>53.0</v>
      </c>
      <c r="M664" s="7332">
        <v>48.0</v>
      </c>
      <c r="N664" s="7334">
        <v>64.0</v>
      </c>
      <c r="O664" s="7321"/>
      <c r="P664" s="7324"/>
      <c r="Q664" s="7324"/>
      <c r="R664" s="7324"/>
    </row>
    <row r="665" ht="18.75" customHeight="1">
      <c r="A665" s="7316"/>
      <c r="B665" s="7337" t="s">
        <v>2936</v>
      </c>
      <c r="C665" s="7338" t="s">
        <v>2937</v>
      </c>
      <c r="D665" s="7339"/>
      <c r="E665" s="7338" t="s">
        <v>1871</v>
      </c>
      <c r="F665" s="7338" t="str">
        <f t="shared" si="38"/>
        <v/>
      </c>
      <c r="G665" s="7338"/>
      <c r="H665" s="7338" t="str">
        <f t="shared" si="39"/>
        <v/>
      </c>
      <c r="I665" s="7338">
        <v>75.0</v>
      </c>
      <c r="J665" s="7338">
        <v>98.0</v>
      </c>
      <c r="K665" s="7338">
        <v>63.0</v>
      </c>
      <c r="L665" s="7338">
        <v>98.0</v>
      </c>
      <c r="M665" s="7338">
        <v>63.0</v>
      </c>
      <c r="N665" s="7340">
        <v>101.0</v>
      </c>
      <c r="O665" s="7321"/>
      <c r="P665" s="7324"/>
      <c r="Q665" s="7324"/>
      <c r="R665" s="7324"/>
    </row>
    <row r="666" ht="18.75" customHeight="1">
      <c r="A666" s="7316"/>
      <c r="B666" s="7331" t="s">
        <v>2938</v>
      </c>
      <c r="C666" s="7332" t="s">
        <v>2939</v>
      </c>
      <c r="D666" s="7333"/>
      <c r="E666" s="7332" t="s">
        <v>561</v>
      </c>
      <c r="F666" s="7332" t="str">
        <f t="shared" si="38"/>
        <v/>
      </c>
      <c r="G666" s="7332"/>
      <c r="H666" s="7332" t="str">
        <f t="shared" si="39"/>
        <v/>
      </c>
      <c r="I666" s="7332">
        <v>76.0</v>
      </c>
      <c r="J666" s="7332">
        <v>25.0</v>
      </c>
      <c r="K666" s="7332">
        <v>45.0</v>
      </c>
      <c r="L666" s="7332">
        <v>67.0</v>
      </c>
      <c r="M666" s="7332">
        <v>55.0</v>
      </c>
      <c r="N666" s="7334">
        <v>24.0</v>
      </c>
      <c r="O666" s="7321"/>
      <c r="P666" s="7324"/>
      <c r="Q666" s="7324"/>
      <c r="R666" s="7324"/>
    </row>
    <row r="667" ht="18.75" customHeight="1">
      <c r="A667" s="7316"/>
      <c r="B667" s="7337" t="s">
        <v>2940</v>
      </c>
      <c r="C667" s="7338" t="s">
        <v>2941</v>
      </c>
      <c r="D667" s="7339"/>
      <c r="E667" s="7338" t="s">
        <v>561</v>
      </c>
      <c r="F667" s="7338" t="str">
        <f t="shared" si="38"/>
        <v/>
      </c>
      <c r="G667" s="7338"/>
      <c r="H667" s="7338" t="str">
        <f t="shared" si="39"/>
        <v/>
      </c>
      <c r="I667" s="7338">
        <v>116.0</v>
      </c>
      <c r="J667" s="7338">
        <v>55.0</v>
      </c>
      <c r="K667" s="7338">
        <v>85.0</v>
      </c>
      <c r="L667" s="7338">
        <v>107.0</v>
      </c>
      <c r="M667" s="7338">
        <v>95.0</v>
      </c>
      <c r="N667" s="7340">
        <v>29.0</v>
      </c>
      <c r="O667" s="7321"/>
      <c r="P667" s="7324"/>
      <c r="Q667" s="7324"/>
      <c r="R667" s="7324"/>
    </row>
    <row r="668" ht="18.75" customHeight="1">
      <c r="A668" s="7316"/>
      <c r="B668" s="7331" t="s">
        <v>2942</v>
      </c>
      <c r="C668" s="7332" t="s">
        <v>2943</v>
      </c>
      <c r="D668" s="7333"/>
      <c r="E668" s="7332" t="s">
        <v>1901</v>
      </c>
      <c r="F668" s="7332" t="str">
        <f t="shared" si="38"/>
        <v/>
      </c>
      <c r="G668" s="7332" t="s">
        <v>1863</v>
      </c>
      <c r="H668" s="7332" t="str">
        <f t="shared" si="39"/>
        <v/>
      </c>
      <c r="I668" s="7332">
        <v>50.0</v>
      </c>
      <c r="J668" s="7332">
        <v>55.0</v>
      </c>
      <c r="K668" s="7332">
        <v>50.0</v>
      </c>
      <c r="L668" s="7332">
        <v>36.0</v>
      </c>
      <c r="M668" s="7332">
        <v>30.0</v>
      </c>
      <c r="N668" s="7334">
        <v>43.0</v>
      </c>
      <c r="O668" s="7321"/>
      <c r="P668" s="7324"/>
      <c r="Q668" s="7324"/>
      <c r="R668" s="7324"/>
    </row>
    <row r="669" ht="18.75" customHeight="1">
      <c r="A669" s="7316"/>
      <c r="B669" s="7337" t="s">
        <v>2944</v>
      </c>
      <c r="C669" s="7338" t="s">
        <v>2945</v>
      </c>
      <c r="D669" s="7339"/>
      <c r="E669" s="7338" t="s">
        <v>1901</v>
      </c>
      <c r="F669" s="7338" t="str">
        <f t="shared" si="38"/>
        <v/>
      </c>
      <c r="G669" s="7338" t="s">
        <v>1863</v>
      </c>
      <c r="H669" s="7338" t="str">
        <f t="shared" si="39"/>
        <v/>
      </c>
      <c r="I669" s="7338">
        <v>62.0</v>
      </c>
      <c r="J669" s="7338">
        <v>77.0</v>
      </c>
      <c r="K669" s="7338">
        <v>62.0</v>
      </c>
      <c r="L669" s="7338">
        <v>50.0</v>
      </c>
      <c r="M669" s="7338">
        <v>42.0</v>
      </c>
      <c r="N669" s="7340">
        <v>65.0</v>
      </c>
      <c r="O669" s="7321"/>
      <c r="P669" s="7324"/>
      <c r="Q669" s="7324"/>
      <c r="R669" s="7324"/>
    </row>
    <row r="670" ht="18.75" customHeight="1">
      <c r="A670" s="7316"/>
      <c r="B670" s="7331" t="s">
        <v>2946</v>
      </c>
      <c r="C670" s="7332" t="s">
        <v>2947</v>
      </c>
      <c r="D670" s="7333"/>
      <c r="E670" s="7332" t="s">
        <v>1901</v>
      </c>
      <c r="F670" s="7332" t="str">
        <f t="shared" si="38"/>
        <v/>
      </c>
      <c r="G670" s="7332" t="s">
        <v>1863</v>
      </c>
      <c r="H670" s="7332" t="str">
        <f t="shared" si="39"/>
        <v/>
      </c>
      <c r="I670" s="7332">
        <v>80.0</v>
      </c>
      <c r="J670" s="7332">
        <v>115.0</v>
      </c>
      <c r="K670" s="7332">
        <v>80.0</v>
      </c>
      <c r="L670" s="7332">
        <v>65.0</v>
      </c>
      <c r="M670" s="7332">
        <v>55.0</v>
      </c>
      <c r="N670" s="7334">
        <v>108.0</v>
      </c>
      <c r="O670" s="7321"/>
      <c r="P670" s="7324"/>
      <c r="Q670" s="7324"/>
      <c r="R670" s="7324"/>
    </row>
    <row r="671" ht="18.75" customHeight="1">
      <c r="A671" s="7316"/>
      <c r="B671" s="7337" t="s">
        <v>2948</v>
      </c>
      <c r="C671" s="7342" t="s">
        <v>2949</v>
      </c>
      <c r="D671" s="7339"/>
      <c r="E671" s="7338" t="s">
        <v>1901</v>
      </c>
      <c r="F671" s="7338" t="str">
        <f t="shared" si="38"/>
        <v/>
      </c>
      <c r="G671" s="7338" t="s">
        <v>1863</v>
      </c>
      <c r="H671" s="7338" t="str">
        <f t="shared" si="39"/>
        <v/>
      </c>
      <c r="I671" s="7342">
        <v>80.0</v>
      </c>
      <c r="J671" s="7342">
        <v>105.0</v>
      </c>
      <c r="K671" s="7342">
        <v>80.0</v>
      </c>
      <c r="L671" s="7342">
        <v>65.0</v>
      </c>
      <c r="M671" s="7342">
        <v>55.0</v>
      </c>
      <c r="N671" s="7363">
        <v>93.0</v>
      </c>
      <c r="O671" s="7321"/>
      <c r="P671" s="7324"/>
      <c r="Q671" s="7324"/>
      <c r="R671" s="7324"/>
    </row>
    <row r="672" ht="18.75" customHeight="1">
      <c r="A672" s="7316"/>
      <c r="B672" s="7331" t="s">
        <v>2950</v>
      </c>
      <c r="C672" s="7332" t="s">
        <v>2951</v>
      </c>
      <c r="D672" s="7333"/>
      <c r="E672" s="7332" t="s">
        <v>1926</v>
      </c>
      <c r="F672" s="7332" t="str">
        <f t="shared" si="38"/>
        <v/>
      </c>
      <c r="G672" s="7332"/>
      <c r="H672" s="7332" t="str">
        <f t="shared" si="39"/>
        <v/>
      </c>
      <c r="I672" s="7332">
        <v>45.0</v>
      </c>
      <c r="J672" s="7332">
        <v>60.0</v>
      </c>
      <c r="K672" s="7332">
        <v>32.0</v>
      </c>
      <c r="L672" s="7332">
        <v>50.0</v>
      </c>
      <c r="M672" s="7332">
        <v>32.0</v>
      </c>
      <c r="N672" s="7334">
        <v>76.0</v>
      </c>
      <c r="O672" s="7321"/>
      <c r="P672" s="7324"/>
      <c r="Q672" s="7324"/>
      <c r="R672" s="7324"/>
    </row>
    <row r="673" ht="18.75" customHeight="1">
      <c r="A673" s="7316"/>
      <c r="B673" s="7337" t="s">
        <v>1143</v>
      </c>
      <c r="C673" s="7338" t="s">
        <v>2952</v>
      </c>
      <c r="D673" s="7339"/>
      <c r="E673" s="7338" t="s">
        <v>1926</v>
      </c>
      <c r="F673" s="7338" t="str">
        <f t="shared" si="38"/>
        <v/>
      </c>
      <c r="G673" s="7338"/>
      <c r="H673" s="7338" t="str">
        <f t="shared" si="39"/>
        <v/>
      </c>
      <c r="I673" s="7338">
        <v>75.0</v>
      </c>
      <c r="J673" s="7338">
        <v>100.0</v>
      </c>
      <c r="K673" s="7338">
        <v>63.0</v>
      </c>
      <c r="L673" s="7338">
        <v>80.0</v>
      </c>
      <c r="M673" s="7338">
        <v>63.0</v>
      </c>
      <c r="N673" s="7340">
        <v>116.0</v>
      </c>
      <c r="O673" s="7321"/>
      <c r="P673" s="7324"/>
      <c r="Q673" s="7324"/>
      <c r="R673" s="7324"/>
    </row>
    <row r="674" ht="18.75" customHeight="1">
      <c r="A674" s="7316"/>
      <c r="B674" s="7331" t="s">
        <v>2953</v>
      </c>
      <c r="C674" s="7332" t="s">
        <v>2954</v>
      </c>
      <c r="D674" s="7333"/>
      <c r="E674" s="7332" t="s">
        <v>2014</v>
      </c>
      <c r="F674" s="7332" t="str">
        <f t="shared" si="38"/>
        <v/>
      </c>
      <c r="G674" s="7332"/>
      <c r="H674" s="7332" t="str">
        <f t="shared" si="39"/>
        <v/>
      </c>
      <c r="I674" s="7332">
        <v>55.0</v>
      </c>
      <c r="J674" s="7332">
        <v>75.0</v>
      </c>
      <c r="K674" s="7332">
        <v>85.0</v>
      </c>
      <c r="L674" s="7332">
        <v>25.0</v>
      </c>
      <c r="M674" s="7332">
        <v>25.0</v>
      </c>
      <c r="N674" s="7334">
        <v>15.0</v>
      </c>
      <c r="O674" s="7321"/>
      <c r="P674" s="7324"/>
      <c r="Q674" s="7324"/>
      <c r="R674" s="7324"/>
    </row>
    <row r="675" ht="18.75" customHeight="1">
      <c r="A675" s="7316"/>
      <c r="B675" s="7337" t="s">
        <v>2955</v>
      </c>
      <c r="C675" s="7338" t="s">
        <v>2956</v>
      </c>
      <c r="D675" s="7339"/>
      <c r="E675" s="7338" t="s">
        <v>2014</v>
      </c>
      <c r="F675" s="7338" t="str">
        <f t="shared" si="38"/>
        <v/>
      </c>
      <c r="G675" s="7338"/>
      <c r="H675" s="7338" t="str">
        <f t="shared" si="39"/>
        <v/>
      </c>
      <c r="I675" s="7338">
        <v>70.0</v>
      </c>
      <c r="J675" s="7338">
        <v>105.0</v>
      </c>
      <c r="K675" s="7338">
        <v>105.0</v>
      </c>
      <c r="L675" s="7338">
        <v>50.0</v>
      </c>
      <c r="M675" s="7338">
        <v>40.0</v>
      </c>
      <c r="N675" s="7340">
        <v>20.0</v>
      </c>
      <c r="O675" s="7321"/>
      <c r="P675" s="7324"/>
      <c r="Q675" s="7324"/>
      <c r="R675" s="7324"/>
    </row>
    <row r="676" ht="18.75" customHeight="1">
      <c r="A676" s="7316"/>
      <c r="B676" s="7331" t="s">
        <v>1187</v>
      </c>
      <c r="C676" s="7332" t="s">
        <v>2957</v>
      </c>
      <c r="D676" s="7333"/>
      <c r="E676" s="7332" t="s">
        <v>2014</v>
      </c>
      <c r="F676" s="7332" t="str">
        <f t="shared" si="38"/>
        <v/>
      </c>
      <c r="G676" s="7332"/>
      <c r="H676" s="7332" t="str">
        <f t="shared" si="39"/>
        <v/>
      </c>
      <c r="I676" s="7332">
        <v>85.0</v>
      </c>
      <c r="J676" s="7332">
        <v>135.0</v>
      </c>
      <c r="K676" s="7332">
        <v>130.0</v>
      </c>
      <c r="L676" s="7332">
        <v>60.0</v>
      </c>
      <c r="M676" s="7332">
        <v>80.0</v>
      </c>
      <c r="N676" s="7334">
        <v>25.0</v>
      </c>
      <c r="O676" s="7321"/>
      <c r="P676" s="7324"/>
      <c r="Q676" s="7324"/>
      <c r="R676" s="7324"/>
    </row>
    <row r="677" ht="18.75" customHeight="1">
      <c r="A677" s="7316"/>
      <c r="B677" s="7337" t="s">
        <v>2958</v>
      </c>
      <c r="C677" s="7338" t="s">
        <v>2959</v>
      </c>
      <c r="D677" s="7339"/>
      <c r="E677" s="7342" t="s">
        <v>561</v>
      </c>
      <c r="F677" s="7342" t="str">
        <f t="shared" si="38"/>
        <v/>
      </c>
      <c r="G677" s="7342" t="s">
        <v>1863</v>
      </c>
      <c r="H677" s="7342" t="str">
        <f t="shared" si="39"/>
        <v/>
      </c>
      <c r="I677" s="7338">
        <v>65.0</v>
      </c>
      <c r="J677" s="7338">
        <v>45.0</v>
      </c>
      <c r="K677" s="7338">
        <v>43.0</v>
      </c>
      <c r="L677" s="7338">
        <v>55.0</v>
      </c>
      <c r="M677" s="7338">
        <v>43.0</v>
      </c>
      <c r="N677" s="7340">
        <v>72.0</v>
      </c>
      <c r="O677" s="7321"/>
      <c r="P677" s="7324"/>
      <c r="Q677" s="7324"/>
      <c r="R677" s="7324"/>
    </row>
    <row r="678" ht="18.75" customHeight="1">
      <c r="A678" s="7316"/>
      <c r="B678" s="7331" t="s">
        <v>2960</v>
      </c>
      <c r="C678" s="7332" t="s">
        <v>2961</v>
      </c>
      <c r="D678" s="7333"/>
      <c r="E678" s="7332" t="s">
        <v>561</v>
      </c>
      <c r="F678" s="7332" t="str">
        <f t="shared" si="38"/>
        <v/>
      </c>
      <c r="G678" s="7332" t="s">
        <v>1863</v>
      </c>
      <c r="H678" s="7332" t="str">
        <f t="shared" si="39"/>
        <v/>
      </c>
      <c r="I678" s="7332">
        <v>75.0</v>
      </c>
      <c r="J678" s="7332">
        <v>57.0</v>
      </c>
      <c r="K678" s="7332">
        <v>65.0</v>
      </c>
      <c r="L678" s="7332">
        <v>77.0</v>
      </c>
      <c r="M678" s="7332">
        <v>55.0</v>
      </c>
      <c r="N678" s="7334">
        <v>114.0</v>
      </c>
      <c r="O678" s="7321"/>
      <c r="P678" s="7324"/>
      <c r="Q678" s="7324"/>
      <c r="R678" s="7324"/>
    </row>
    <row r="679" ht="18.75" customHeight="1">
      <c r="A679" s="7316"/>
      <c r="B679" s="7337" t="s">
        <v>2962</v>
      </c>
      <c r="C679" s="7338" t="s">
        <v>2963</v>
      </c>
      <c r="D679" s="7339"/>
      <c r="E679" s="7338" t="s">
        <v>1948</v>
      </c>
      <c r="F679" s="7338" t="str">
        <f t="shared" si="38"/>
        <v/>
      </c>
      <c r="G679" s="7338"/>
      <c r="H679" s="7338" t="str">
        <f t="shared" si="39"/>
        <v/>
      </c>
      <c r="I679" s="7338">
        <v>60.0</v>
      </c>
      <c r="J679" s="7338">
        <v>85.0</v>
      </c>
      <c r="K679" s="7338">
        <v>40.0</v>
      </c>
      <c r="L679" s="7338">
        <v>30.0</v>
      </c>
      <c r="M679" s="7338">
        <v>45.0</v>
      </c>
      <c r="N679" s="7340">
        <v>68.0</v>
      </c>
      <c r="O679" s="7321"/>
      <c r="P679" s="7324"/>
      <c r="Q679" s="7324"/>
      <c r="R679" s="7324"/>
    </row>
    <row r="680" ht="18.75" customHeight="1">
      <c r="A680" s="7316"/>
      <c r="B680" s="7331" t="s">
        <v>664</v>
      </c>
      <c r="C680" s="7332" t="s">
        <v>2964</v>
      </c>
      <c r="D680" s="7333"/>
      <c r="E680" s="7332" t="s">
        <v>1948</v>
      </c>
      <c r="F680" s="7332" t="str">
        <f t="shared" si="38"/>
        <v/>
      </c>
      <c r="G680" s="7332" t="s">
        <v>1929</v>
      </c>
      <c r="H680" s="7332" t="str">
        <f t="shared" si="39"/>
        <v/>
      </c>
      <c r="I680" s="7332">
        <v>110.0</v>
      </c>
      <c r="J680" s="7332">
        <v>135.0</v>
      </c>
      <c r="K680" s="7332">
        <v>60.0</v>
      </c>
      <c r="L680" s="7332">
        <v>50.0</v>
      </c>
      <c r="M680" s="7332">
        <v>65.0</v>
      </c>
      <c r="N680" s="7334">
        <v>88.0</v>
      </c>
      <c r="O680" s="7321"/>
      <c r="P680" s="7324"/>
      <c r="Q680" s="7324"/>
      <c r="R680" s="7324"/>
    </row>
    <row r="681" ht="18.75" customHeight="1">
      <c r="A681" s="7316"/>
      <c r="B681" s="7337" t="s">
        <v>977</v>
      </c>
      <c r="C681" s="7338" t="s">
        <v>2965</v>
      </c>
      <c r="D681" s="7339"/>
      <c r="E681" s="7338" t="s">
        <v>1901</v>
      </c>
      <c r="F681" s="7338" t="str">
        <f t="shared" si="38"/>
        <v/>
      </c>
      <c r="G681" s="7338"/>
      <c r="H681" s="7338" t="str">
        <f t="shared" si="39"/>
        <v/>
      </c>
      <c r="I681" s="7338">
        <v>103.0</v>
      </c>
      <c r="J681" s="7338">
        <v>60.0</v>
      </c>
      <c r="K681" s="7338">
        <v>86.0</v>
      </c>
      <c r="L681" s="7338">
        <v>60.0</v>
      </c>
      <c r="M681" s="7338">
        <v>86.0</v>
      </c>
      <c r="N681" s="7340">
        <v>50.0</v>
      </c>
      <c r="O681" s="7321"/>
      <c r="P681" s="7324"/>
      <c r="Q681" s="7324"/>
      <c r="R681" s="7324"/>
    </row>
    <row r="682" ht="18.75" customHeight="1">
      <c r="A682" s="7316"/>
      <c r="B682" s="7331" t="s">
        <v>1313</v>
      </c>
      <c r="C682" s="7341" t="s">
        <v>2966</v>
      </c>
      <c r="D682" s="7333"/>
      <c r="E682" s="7332" t="s">
        <v>1901</v>
      </c>
      <c r="F682" s="7332" t="str">
        <f t="shared" si="38"/>
        <v/>
      </c>
      <c r="G682" s="7332" t="s">
        <v>1935</v>
      </c>
      <c r="H682" s="7332" t="str">
        <f t="shared" si="39"/>
        <v/>
      </c>
      <c r="I682" s="7332">
        <v>103.0</v>
      </c>
      <c r="J682" s="7332">
        <v>60.0</v>
      </c>
      <c r="K682" s="7332">
        <v>126.0</v>
      </c>
      <c r="L682" s="7332">
        <v>80.0</v>
      </c>
      <c r="M682" s="7332">
        <v>126.0</v>
      </c>
      <c r="N682" s="7334">
        <v>50.0</v>
      </c>
      <c r="O682" s="7321"/>
      <c r="P682" s="7324"/>
      <c r="Q682" s="7324"/>
      <c r="R682" s="7324"/>
    </row>
    <row r="683" ht="18.75" customHeight="1">
      <c r="A683" s="7316"/>
      <c r="B683" s="7337" t="s">
        <v>2967</v>
      </c>
      <c r="C683" s="7338" t="s">
        <v>2968</v>
      </c>
      <c r="D683" s="7339"/>
      <c r="E683" s="7338" t="s">
        <v>1939</v>
      </c>
      <c r="F683" s="7338" t="str">
        <f t="shared" si="38"/>
        <v/>
      </c>
      <c r="G683" s="7338"/>
      <c r="H683" s="7338" t="str">
        <f t="shared" si="39"/>
        <v/>
      </c>
      <c r="I683" s="7338">
        <v>75.0</v>
      </c>
      <c r="J683" s="7338">
        <v>80.0</v>
      </c>
      <c r="K683" s="7338">
        <v>55.0</v>
      </c>
      <c r="L683" s="7338">
        <v>25.0</v>
      </c>
      <c r="M683" s="7338">
        <v>35.0</v>
      </c>
      <c r="N683" s="7340">
        <v>35.0</v>
      </c>
      <c r="O683" s="7321"/>
      <c r="P683" s="7324"/>
      <c r="Q683" s="7324"/>
      <c r="R683" s="7324"/>
    </row>
    <row r="684" ht="18.75" customHeight="1">
      <c r="A684" s="7316"/>
      <c r="B684" s="7331" t="s">
        <v>2969</v>
      </c>
      <c r="C684" s="7332" t="s">
        <v>2970</v>
      </c>
      <c r="D684" s="7333"/>
      <c r="E684" s="7332" t="s">
        <v>1939</v>
      </c>
      <c r="F684" s="7332" t="str">
        <f t="shared" si="38"/>
        <v/>
      </c>
      <c r="G684" s="7332"/>
      <c r="H684" s="7332" t="str">
        <f t="shared" si="39"/>
        <v/>
      </c>
      <c r="I684" s="7332">
        <v>85.0</v>
      </c>
      <c r="J684" s="7332">
        <v>105.0</v>
      </c>
      <c r="K684" s="7332">
        <v>85.0</v>
      </c>
      <c r="L684" s="7332">
        <v>40.0</v>
      </c>
      <c r="M684" s="7332">
        <v>50.0</v>
      </c>
      <c r="N684" s="7334">
        <v>40.0</v>
      </c>
      <c r="O684" s="7321"/>
      <c r="P684" s="7324"/>
      <c r="Q684" s="7324"/>
      <c r="R684" s="7324"/>
    </row>
    <row r="685" ht="18.75" customHeight="1">
      <c r="A685" s="7316"/>
      <c r="B685" s="7337" t="s">
        <v>1102</v>
      </c>
      <c r="C685" s="7338" t="s">
        <v>2971</v>
      </c>
      <c r="D685" s="7339"/>
      <c r="E685" s="7338" t="s">
        <v>1939</v>
      </c>
      <c r="F685" s="7338" t="str">
        <f t="shared" si="38"/>
        <v/>
      </c>
      <c r="G685" s="7338"/>
      <c r="H685" s="7338" t="str">
        <f t="shared" si="39"/>
        <v/>
      </c>
      <c r="I685" s="7338">
        <v>105.0</v>
      </c>
      <c r="J685" s="7338">
        <v>140.0</v>
      </c>
      <c r="K685" s="7338">
        <v>95.0</v>
      </c>
      <c r="L685" s="7338">
        <v>55.0</v>
      </c>
      <c r="M685" s="7338">
        <v>65.0</v>
      </c>
      <c r="N685" s="7340">
        <v>45.0</v>
      </c>
      <c r="O685" s="7321"/>
      <c r="P685" s="7324"/>
      <c r="Q685" s="7324"/>
      <c r="R685" s="7324"/>
    </row>
    <row r="686" ht="18.75" customHeight="1">
      <c r="A686" s="7316"/>
      <c r="B686" s="7331" t="s">
        <v>2972</v>
      </c>
      <c r="C686" s="7332" t="s">
        <v>2973</v>
      </c>
      <c r="D686" s="7333"/>
      <c r="E686" s="7332" t="s">
        <v>1871</v>
      </c>
      <c r="F686" s="7332" t="str">
        <f t="shared" si="38"/>
        <v/>
      </c>
      <c r="G686" s="7332"/>
      <c r="H686" s="7332" t="str">
        <f t="shared" si="39"/>
        <v/>
      </c>
      <c r="I686" s="7332">
        <v>50.0</v>
      </c>
      <c r="J686" s="7332">
        <v>50.0</v>
      </c>
      <c r="K686" s="7332">
        <v>40.0</v>
      </c>
      <c r="L686" s="7332">
        <v>50.0</v>
      </c>
      <c r="M686" s="7332">
        <v>40.0</v>
      </c>
      <c r="N686" s="7334">
        <v>64.0</v>
      </c>
      <c r="O686" s="7321"/>
      <c r="P686" s="7324"/>
      <c r="Q686" s="7324"/>
      <c r="R686" s="7324"/>
    </row>
    <row r="687" ht="18.75" customHeight="1">
      <c r="A687" s="7316"/>
      <c r="B687" s="7337" t="s">
        <v>2974</v>
      </c>
      <c r="C687" s="7338" t="s">
        <v>2975</v>
      </c>
      <c r="D687" s="7339"/>
      <c r="E687" s="7338" t="s">
        <v>1871</v>
      </c>
      <c r="F687" s="7338" t="str">
        <f t="shared" si="38"/>
        <v/>
      </c>
      <c r="G687" s="7338" t="s">
        <v>1948</v>
      </c>
      <c r="H687" s="7338" t="str">
        <f t="shared" si="39"/>
        <v/>
      </c>
      <c r="I687" s="7338">
        <v>75.0</v>
      </c>
      <c r="J687" s="7338">
        <v>65.0</v>
      </c>
      <c r="K687" s="7338">
        <v>55.0</v>
      </c>
      <c r="L687" s="7338">
        <v>65.0</v>
      </c>
      <c r="M687" s="7338">
        <v>55.0</v>
      </c>
      <c r="N687" s="7340">
        <v>69.0</v>
      </c>
      <c r="O687" s="7321"/>
      <c r="P687" s="7324"/>
      <c r="Q687" s="7324"/>
      <c r="R687" s="7324"/>
    </row>
    <row r="688" ht="18.75" customHeight="1">
      <c r="A688" s="7316"/>
      <c r="B688" s="7331" t="s">
        <v>1828</v>
      </c>
      <c r="C688" s="7332" t="s">
        <v>2976</v>
      </c>
      <c r="D688" s="7333"/>
      <c r="E688" s="7332" t="s">
        <v>1871</v>
      </c>
      <c r="F688" s="7332" t="str">
        <f t="shared" si="38"/>
        <v/>
      </c>
      <c r="G688" s="7332" t="s">
        <v>1948</v>
      </c>
      <c r="H688" s="7332" t="str">
        <f t="shared" si="39"/>
        <v/>
      </c>
      <c r="I688" s="7332">
        <v>105.0</v>
      </c>
      <c r="J688" s="7332">
        <v>95.0</v>
      </c>
      <c r="K688" s="7332">
        <v>75.0</v>
      </c>
      <c r="L688" s="7332">
        <v>85.0</v>
      </c>
      <c r="M688" s="7332">
        <v>75.0</v>
      </c>
      <c r="N688" s="7334">
        <v>74.0</v>
      </c>
      <c r="O688" s="7321"/>
      <c r="P688" s="7324"/>
      <c r="Q688" s="7324"/>
      <c r="R688" s="7324"/>
    </row>
    <row r="689" ht="18.75" customHeight="1">
      <c r="A689" s="7316"/>
      <c r="B689" s="7337" t="s">
        <v>2977</v>
      </c>
      <c r="C689" s="7338" t="s">
        <v>2978</v>
      </c>
      <c r="D689" s="7339"/>
      <c r="E689" s="7338" t="s">
        <v>1939</v>
      </c>
      <c r="F689" s="7338" t="str">
        <f t="shared" si="38"/>
        <v/>
      </c>
      <c r="G689" s="7338"/>
      <c r="H689" s="7338" t="str">
        <f t="shared" si="39"/>
        <v/>
      </c>
      <c r="I689" s="7338">
        <v>120.0</v>
      </c>
      <c r="J689" s="7338">
        <v>100.0</v>
      </c>
      <c r="K689" s="7338">
        <v>95.0</v>
      </c>
      <c r="L689" s="7338">
        <v>30.0</v>
      </c>
      <c r="M689" s="7338">
        <v>95.0</v>
      </c>
      <c r="N689" s="7340">
        <v>45.0</v>
      </c>
      <c r="O689" s="7321"/>
      <c r="P689" s="7324"/>
      <c r="Q689" s="7324"/>
      <c r="R689" s="7324"/>
    </row>
    <row r="690" ht="18.75" customHeight="1">
      <c r="A690" s="7316"/>
      <c r="B690" s="7331" t="s">
        <v>2979</v>
      </c>
      <c r="C690" s="7332" t="s">
        <v>2980</v>
      </c>
      <c r="D690" s="7333"/>
      <c r="E690" s="7332" t="s">
        <v>1939</v>
      </c>
      <c r="F690" s="7332" t="str">
        <f t="shared" si="38"/>
        <v/>
      </c>
      <c r="G690" s="7332"/>
      <c r="H690" s="7332" t="str">
        <f t="shared" si="39"/>
        <v/>
      </c>
      <c r="I690" s="7332">
        <v>75.0</v>
      </c>
      <c r="J690" s="7332">
        <v>125.0</v>
      </c>
      <c r="K690" s="7332">
        <v>75.0</v>
      </c>
      <c r="L690" s="7332">
        <v>30.0</v>
      </c>
      <c r="M690" s="7332">
        <v>75.0</v>
      </c>
      <c r="N690" s="7334">
        <v>85.0</v>
      </c>
      <c r="O690" s="7321"/>
      <c r="P690" s="7324"/>
      <c r="Q690" s="7324"/>
      <c r="R690" s="7324"/>
    </row>
    <row r="691" ht="18.75" customHeight="1">
      <c r="A691" s="7316"/>
      <c r="B691" s="7337" t="s">
        <v>2981</v>
      </c>
      <c r="C691" s="7338" t="s">
        <v>2982</v>
      </c>
      <c r="D691" s="7339"/>
      <c r="E691" s="7342" t="s">
        <v>1882</v>
      </c>
      <c r="F691" s="7342" t="str">
        <f t="shared" si="38"/>
        <v/>
      </c>
      <c r="G691" s="7342" t="s">
        <v>1848</v>
      </c>
      <c r="H691" s="7342" t="str">
        <f t="shared" si="39"/>
        <v/>
      </c>
      <c r="I691" s="7338">
        <v>45.0</v>
      </c>
      <c r="J691" s="7338">
        <v>53.0</v>
      </c>
      <c r="K691" s="7338">
        <v>70.0</v>
      </c>
      <c r="L691" s="7338">
        <v>40.0</v>
      </c>
      <c r="M691" s="7338">
        <v>60.0</v>
      </c>
      <c r="N691" s="7340">
        <v>42.0</v>
      </c>
      <c r="O691" s="7321"/>
      <c r="P691" s="7324"/>
      <c r="Q691" s="7324"/>
      <c r="R691" s="7324"/>
    </row>
    <row r="692" ht="18.75" customHeight="1">
      <c r="A692" s="7316"/>
      <c r="B692" s="7331" t="s">
        <v>2983</v>
      </c>
      <c r="C692" s="7332" t="s">
        <v>2984</v>
      </c>
      <c r="D692" s="7333"/>
      <c r="E692" s="7332" t="s">
        <v>1882</v>
      </c>
      <c r="F692" s="7332" t="str">
        <f t="shared" si="38"/>
        <v/>
      </c>
      <c r="G692" s="7332" t="s">
        <v>1848</v>
      </c>
      <c r="H692" s="7332" t="str">
        <f t="shared" si="39"/>
        <v/>
      </c>
      <c r="I692" s="7332">
        <v>55.0</v>
      </c>
      <c r="J692" s="7332">
        <v>63.0</v>
      </c>
      <c r="K692" s="7332">
        <v>90.0</v>
      </c>
      <c r="L692" s="7332">
        <v>50.0</v>
      </c>
      <c r="M692" s="7332">
        <v>80.0</v>
      </c>
      <c r="N692" s="7334">
        <v>42.0</v>
      </c>
      <c r="O692" s="7321"/>
      <c r="P692" s="7324"/>
      <c r="Q692" s="7324"/>
      <c r="R692" s="7324"/>
    </row>
    <row r="693" ht="18.75" customHeight="1">
      <c r="A693" s="7316"/>
      <c r="B693" s="7337" t="s">
        <v>1158</v>
      </c>
      <c r="C693" s="7338" t="s">
        <v>2985</v>
      </c>
      <c r="D693" s="7339"/>
      <c r="E693" s="7338" t="s">
        <v>1882</v>
      </c>
      <c r="F693" s="7338" t="str">
        <f t="shared" si="38"/>
        <v/>
      </c>
      <c r="G693" s="7338" t="s">
        <v>1848</v>
      </c>
      <c r="H693" s="7338" t="str">
        <f t="shared" si="39"/>
        <v/>
      </c>
      <c r="I693" s="7338">
        <v>75.0</v>
      </c>
      <c r="J693" s="7338">
        <v>103.0</v>
      </c>
      <c r="K693" s="7338">
        <v>80.0</v>
      </c>
      <c r="L693" s="7338">
        <v>70.0</v>
      </c>
      <c r="M693" s="7338">
        <v>80.0</v>
      </c>
      <c r="N693" s="7340">
        <v>92.0</v>
      </c>
      <c r="O693" s="7321"/>
      <c r="P693" s="7324"/>
      <c r="Q693" s="7324"/>
      <c r="R693" s="7324"/>
    </row>
    <row r="694" ht="18.75" customHeight="1">
      <c r="A694" s="7316"/>
      <c r="B694" s="7331" t="s">
        <v>2986</v>
      </c>
      <c r="C694" s="7332" t="s">
        <v>2987</v>
      </c>
      <c r="D694" s="7333"/>
      <c r="E694" s="7332" t="s">
        <v>1882</v>
      </c>
      <c r="F694" s="7332" t="str">
        <f t="shared" si="38"/>
        <v/>
      </c>
      <c r="G694" s="7332" t="s">
        <v>1849</v>
      </c>
      <c r="H694" s="7332" t="str">
        <f t="shared" si="39"/>
        <v/>
      </c>
      <c r="I694" s="7332">
        <v>30.0</v>
      </c>
      <c r="J694" s="7332">
        <v>45.0</v>
      </c>
      <c r="K694" s="7332">
        <v>59.0</v>
      </c>
      <c r="L694" s="7332">
        <v>30.0</v>
      </c>
      <c r="M694" s="7332">
        <v>39.0</v>
      </c>
      <c r="N694" s="7334">
        <v>57.0</v>
      </c>
      <c r="O694" s="7321"/>
      <c r="P694" s="7324"/>
      <c r="Q694" s="7324"/>
      <c r="R694" s="7324"/>
    </row>
    <row r="695" ht="18.75" customHeight="1">
      <c r="A695" s="7316"/>
      <c r="B695" s="7337" t="s">
        <v>2988</v>
      </c>
      <c r="C695" s="7338" t="s">
        <v>2989</v>
      </c>
      <c r="D695" s="7339"/>
      <c r="E695" s="7338" t="s">
        <v>1882</v>
      </c>
      <c r="F695" s="7338" t="str">
        <f t="shared" si="38"/>
        <v/>
      </c>
      <c r="G695" s="7338" t="s">
        <v>1849</v>
      </c>
      <c r="H695" s="7338" t="str">
        <f t="shared" si="39"/>
        <v/>
      </c>
      <c r="I695" s="7338">
        <v>40.0</v>
      </c>
      <c r="J695" s="7338">
        <v>55.0</v>
      </c>
      <c r="K695" s="7338">
        <v>99.0</v>
      </c>
      <c r="L695" s="7338">
        <v>40.0</v>
      </c>
      <c r="M695" s="7338">
        <v>79.0</v>
      </c>
      <c r="N695" s="7340">
        <v>47.0</v>
      </c>
      <c r="O695" s="7321"/>
      <c r="P695" s="7324"/>
      <c r="Q695" s="7324"/>
      <c r="R695" s="7324"/>
    </row>
    <row r="696" ht="18.75" customHeight="1">
      <c r="A696" s="7316"/>
      <c r="B696" s="7331" t="s">
        <v>2990</v>
      </c>
      <c r="C696" s="7332" t="s">
        <v>2991</v>
      </c>
      <c r="D696" s="7333"/>
      <c r="E696" s="7332" t="s">
        <v>1882</v>
      </c>
      <c r="F696" s="7332" t="str">
        <f t="shared" si="38"/>
        <v/>
      </c>
      <c r="G696" s="7332" t="s">
        <v>1849</v>
      </c>
      <c r="H696" s="7332" t="str">
        <f t="shared" si="39"/>
        <v/>
      </c>
      <c r="I696" s="7332">
        <v>60.0</v>
      </c>
      <c r="J696" s="7332">
        <v>100.0</v>
      </c>
      <c r="K696" s="7332">
        <v>89.0</v>
      </c>
      <c r="L696" s="7332">
        <v>55.0</v>
      </c>
      <c r="M696" s="7332">
        <v>69.0</v>
      </c>
      <c r="N696" s="7334">
        <v>112.0</v>
      </c>
      <c r="O696" s="7321"/>
      <c r="P696" s="7324"/>
      <c r="Q696" s="7324"/>
      <c r="R696" s="7324"/>
    </row>
    <row r="697" ht="18.75" customHeight="1">
      <c r="A697" s="7316"/>
      <c r="B697" s="7337" t="s">
        <v>2992</v>
      </c>
      <c r="C697" s="7338" t="s">
        <v>2993</v>
      </c>
      <c r="D697" s="7339"/>
      <c r="E697" s="7338" t="s">
        <v>1848</v>
      </c>
      <c r="F697" s="7338" t="str">
        <f t="shared" si="38"/>
        <v/>
      </c>
      <c r="G697" s="7338" t="s">
        <v>1935</v>
      </c>
      <c r="H697" s="7338" t="str">
        <f t="shared" si="39"/>
        <v/>
      </c>
      <c r="I697" s="7338">
        <v>40.0</v>
      </c>
      <c r="J697" s="7338">
        <v>27.0</v>
      </c>
      <c r="K697" s="7338">
        <v>60.0</v>
      </c>
      <c r="L697" s="7338">
        <v>37.0</v>
      </c>
      <c r="M697" s="7338">
        <v>50.0</v>
      </c>
      <c r="N697" s="7340">
        <v>66.0</v>
      </c>
      <c r="O697" s="7321"/>
      <c r="P697" s="7324"/>
      <c r="Q697" s="7324"/>
      <c r="R697" s="7324"/>
    </row>
    <row r="698" ht="18.75" customHeight="1">
      <c r="A698" s="7316"/>
      <c r="B698" s="7331" t="s">
        <v>2994</v>
      </c>
      <c r="C698" s="7332" t="s">
        <v>2995</v>
      </c>
      <c r="D698" s="7333"/>
      <c r="E698" s="7332" t="s">
        <v>1848</v>
      </c>
      <c r="F698" s="7332" t="str">
        <f t="shared" si="38"/>
        <v/>
      </c>
      <c r="G698" s="7332" t="s">
        <v>1935</v>
      </c>
      <c r="H698" s="7332" t="str">
        <f t="shared" si="39"/>
        <v/>
      </c>
      <c r="I698" s="7332">
        <v>60.0</v>
      </c>
      <c r="J698" s="7332">
        <v>67.0</v>
      </c>
      <c r="K698" s="7332">
        <v>85.0</v>
      </c>
      <c r="L698" s="7332">
        <v>77.0</v>
      </c>
      <c r="M698" s="7332">
        <v>75.0</v>
      </c>
      <c r="N698" s="7334">
        <v>116.0</v>
      </c>
      <c r="O698" s="7321"/>
      <c r="P698" s="7324"/>
      <c r="Q698" s="7324"/>
      <c r="R698" s="7324"/>
    </row>
    <row r="699" ht="18.75" customHeight="1">
      <c r="A699" s="7316"/>
      <c r="B699" s="7337" t="s">
        <v>2996</v>
      </c>
      <c r="C699" s="7338" t="s">
        <v>2997</v>
      </c>
      <c r="D699" s="7339"/>
      <c r="E699" s="7338" t="s">
        <v>1848</v>
      </c>
      <c r="F699" s="7338" t="str">
        <f t="shared" si="38"/>
        <v/>
      </c>
      <c r="G699" s="7338"/>
      <c r="H699" s="7338" t="str">
        <f t="shared" si="39"/>
        <v/>
      </c>
      <c r="I699" s="7338">
        <v>45.0</v>
      </c>
      <c r="J699" s="7338">
        <v>35.0</v>
      </c>
      <c r="K699" s="7338">
        <v>50.0</v>
      </c>
      <c r="L699" s="7338">
        <v>70.0</v>
      </c>
      <c r="M699" s="7338">
        <v>50.0</v>
      </c>
      <c r="N699" s="7340">
        <v>30.0</v>
      </c>
      <c r="O699" s="7321"/>
      <c r="P699" s="7324"/>
      <c r="Q699" s="7324"/>
      <c r="R699" s="7324"/>
    </row>
    <row r="700" ht="18.75" customHeight="1">
      <c r="A700" s="7316"/>
      <c r="B700" s="7331" t="s">
        <v>2998</v>
      </c>
      <c r="C700" s="7332" t="s">
        <v>2999</v>
      </c>
      <c r="D700" s="7333"/>
      <c r="E700" s="7332" t="s">
        <v>1848</v>
      </c>
      <c r="F700" s="7332" t="str">
        <f t="shared" si="38"/>
        <v/>
      </c>
      <c r="G700" s="7332"/>
      <c r="H700" s="7332" t="str">
        <f t="shared" si="39"/>
        <v/>
      </c>
      <c r="I700" s="7332">
        <v>70.0</v>
      </c>
      <c r="J700" s="7332">
        <v>60.0</v>
      </c>
      <c r="K700" s="7332">
        <v>75.0</v>
      </c>
      <c r="L700" s="7332">
        <v>110.0</v>
      </c>
      <c r="M700" s="7332">
        <v>75.0</v>
      </c>
      <c r="N700" s="7334">
        <v>90.0</v>
      </c>
      <c r="O700" s="7321"/>
      <c r="P700" s="7324"/>
      <c r="Q700" s="7324"/>
      <c r="R700" s="7324"/>
    </row>
    <row r="701" ht="18.75" customHeight="1">
      <c r="A701" s="7316"/>
      <c r="B701" s="7337" t="s">
        <v>482</v>
      </c>
      <c r="C701" s="7342" t="s">
        <v>3000</v>
      </c>
      <c r="D701" s="7339"/>
      <c r="E701" s="7338" t="s">
        <v>1848</v>
      </c>
      <c r="F701" s="7338" t="str">
        <f t="shared" si="38"/>
        <v/>
      </c>
      <c r="G701" s="7338" t="s">
        <v>1939</v>
      </c>
      <c r="H701" s="7338" t="str">
        <f t="shared" si="39"/>
        <v/>
      </c>
      <c r="I701" s="7338">
        <v>70.0</v>
      </c>
      <c r="J701" s="7338">
        <v>105.0</v>
      </c>
      <c r="K701" s="7338">
        <v>75.0</v>
      </c>
      <c r="L701" s="7338">
        <v>50.0</v>
      </c>
      <c r="M701" s="7338">
        <v>75.0</v>
      </c>
      <c r="N701" s="7340">
        <v>105.0</v>
      </c>
      <c r="O701" s="7321"/>
      <c r="P701" s="7324"/>
      <c r="Q701" s="7324"/>
      <c r="R701" s="7324"/>
    </row>
    <row r="702" ht="18.75" customHeight="1">
      <c r="A702" s="7316"/>
      <c r="B702" s="7331" t="s">
        <v>3001</v>
      </c>
      <c r="C702" s="7341" t="s">
        <v>3002</v>
      </c>
      <c r="D702" s="7333"/>
      <c r="E702" s="7332" t="s">
        <v>1871</v>
      </c>
      <c r="F702" s="7332" t="str">
        <f t="shared" si="38"/>
        <v/>
      </c>
      <c r="G702" s="7332"/>
      <c r="H702" s="7332" t="str">
        <f t="shared" si="39"/>
        <v/>
      </c>
      <c r="I702" s="7332">
        <v>70.0</v>
      </c>
      <c r="J702" s="7332">
        <v>92.0</v>
      </c>
      <c r="K702" s="7332">
        <v>65.0</v>
      </c>
      <c r="L702" s="7332">
        <v>80.0</v>
      </c>
      <c r="M702" s="7332">
        <v>55.0</v>
      </c>
      <c r="N702" s="7334">
        <v>98.0</v>
      </c>
      <c r="O702" s="7321"/>
      <c r="P702" s="7324"/>
      <c r="Q702" s="7324"/>
      <c r="R702" s="7324"/>
    </row>
    <row r="703" ht="18.75" customHeight="1">
      <c r="A703" s="7316"/>
      <c r="B703" s="7337" t="s">
        <v>3003</v>
      </c>
      <c r="C703" s="7342" t="s">
        <v>3004</v>
      </c>
      <c r="D703" s="7339"/>
      <c r="E703" s="7338" t="s">
        <v>1871</v>
      </c>
      <c r="F703" s="7338" t="str">
        <f t="shared" si="38"/>
        <v/>
      </c>
      <c r="G703" s="7338"/>
      <c r="H703" s="7338" t="str">
        <f t="shared" si="39"/>
        <v/>
      </c>
      <c r="I703" s="7338">
        <v>70.0</v>
      </c>
      <c r="J703" s="7338">
        <v>92.0</v>
      </c>
      <c r="K703" s="7338">
        <v>65.0</v>
      </c>
      <c r="L703" s="7338">
        <v>80.0</v>
      </c>
      <c r="M703" s="7338">
        <v>55.0</v>
      </c>
      <c r="N703" s="7340">
        <v>98.0</v>
      </c>
      <c r="O703" s="7321"/>
      <c r="P703" s="7324"/>
      <c r="Q703" s="7324"/>
      <c r="R703" s="7324"/>
    </row>
    <row r="704" ht="18.75" customHeight="1">
      <c r="A704" s="7316"/>
      <c r="B704" s="7331" t="s">
        <v>3005</v>
      </c>
      <c r="C704" s="7332" t="s">
        <v>3006</v>
      </c>
      <c r="D704" s="7333"/>
      <c r="E704" s="7332" t="s">
        <v>1948</v>
      </c>
      <c r="F704" s="7332" t="str">
        <f t="shared" si="38"/>
        <v/>
      </c>
      <c r="G704" s="7332" t="s">
        <v>1911</v>
      </c>
      <c r="H704" s="7332" t="str">
        <f t="shared" si="39"/>
        <v/>
      </c>
      <c r="I704" s="7332">
        <v>50.0</v>
      </c>
      <c r="J704" s="7332">
        <v>72.0</v>
      </c>
      <c r="K704" s="7332">
        <v>35.0</v>
      </c>
      <c r="L704" s="7332">
        <v>35.0</v>
      </c>
      <c r="M704" s="7332">
        <v>35.0</v>
      </c>
      <c r="N704" s="7334">
        <v>65.0</v>
      </c>
      <c r="O704" s="7321"/>
      <c r="P704" s="7324"/>
      <c r="Q704" s="7324"/>
      <c r="R704" s="7324"/>
    </row>
    <row r="705" ht="18.75" customHeight="1">
      <c r="A705" s="7316"/>
      <c r="B705" s="7337" t="s">
        <v>3007</v>
      </c>
      <c r="C705" s="7338" t="s">
        <v>3008</v>
      </c>
      <c r="D705" s="7339"/>
      <c r="E705" s="7342" t="s">
        <v>1948</v>
      </c>
      <c r="F705" s="7342" t="str">
        <f t="shared" si="38"/>
        <v/>
      </c>
      <c r="G705" s="7342" t="s">
        <v>1911</v>
      </c>
      <c r="H705" s="7342" t="str">
        <f t="shared" si="39"/>
        <v/>
      </c>
      <c r="I705" s="7338">
        <v>60.0</v>
      </c>
      <c r="J705" s="7338">
        <v>82.0</v>
      </c>
      <c r="K705" s="7338">
        <v>45.0</v>
      </c>
      <c r="L705" s="7338">
        <v>45.0</v>
      </c>
      <c r="M705" s="7338">
        <v>45.0</v>
      </c>
      <c r="N705" s="7340">
        <v>74.0</v>
      </c>
      <c r="O705" s="7321"/>
      <c r="P705" s="7324"/>
      <c r="Q705" s="7324"/>
      <c r="R705" s="7324"/>
    </row>
    <row r="706" ht="18.75" customHeight="1">
      <c r="A706" s="7316"/>
      <c r="B706" s="7331" t="s">
        <v>1582</v>
      </c>
      <c r="C706" s="7332" t="s">
        <v>3009</v>
      </c>
      <c r="D706" s="7333"/>
      <c r="E706" s="7332" t="s">
        <v>1948</v>
      </c>
      <c r="F706" s="7332" t="str">
        <f t="shared" si="38"/>
        <v/>
      </c>
      <c r="G706" s="7332" t="s">
        <v>1911</v>
      </c>
      <c r="H706" s="7332" t="str">
        <f t="shared" si="39"/>
        <v/>
      </c>
      <c r="I706" s="7332">
        <v>95.0</v>
      </c>
      <c r="J706" s="7332">
        <v>117.0</v>
      </c>
      <c r="K706" s="7332">
        <v>80.0</v>
      </c>
      <c r="L706" s="7332">
        <v>65.0</v>
      </c>
      <c r="M706" s="7332">
        <v>70.0</v>
      </c>
      <c r="N706" s="7334">
        <v>92.0</v>
      </c>
      <c r="O706" s="7321"/>
      <c r="P706" s="7324"/>
      <c r="Q706" s="7324"/>
      <c r="R706" s="7324"/>
    </row>
    <row r="707" ht="18.75" customHeight="1">
      <c r="A707" s="7316"/>
      <c r="B707" s="7337" t="s">
        <v>3010</v>
      </c>
      <c r="C707" s="7338" t="s">
        <v>3011</v>
      </c>
      <c r="D707" s="7339"/>
      <c r="E707" s="7338" t="s">
        <v>1858</v>
      </c>
      <c r="F707" s="7338" t="str">
        <f t="shared" si="38"/>
        <v/>
      </c>
      <c r="G707" s="7338"/>
      <c r="H707" s="7338" t="str">
        <f t="shared" si="39"/>
        <v/>
      </c>
      <c r="I707" s="7338">
        <v>70.0</v>
      </c>
      <c r="J707" s="7338">
        <v>90.0</v>
      </c>
      <c r="K707" s="7338">
        <v>45.0</v>
      </c>
      <c r="L707" s="7338">
        <v>15.0</v>
      </c>
      <c r="M707" s="7338">
        <v>45.0</v>
      </c>
      <c r="N707" s="7340">
        <v>50.0</v>
      </c>
      <c r="O707" s="7321"/>
      <c r="P707" s="7324"/>
      <c r="Q707" s="7324"/>
      <c r="R707" s="7324"/>
    </row>
    <row r="708" ht="18.75" customHeight="1">
      <c r="A708" s="7316"/>
      <c r="B708" s="7331" t="s">
        <v>3012</v>
      </c>
      <c r="C708" s="7341" t="s">
        <v>3013</v>
      </c>
      <c r="D708" s="7333"/>
      <c r="E708" s="7332" t="s">
        <v>1932</v>
      </c>
      <c r="F708" s="7332" t="str">
        <f t="shared" si="38"/>
        <v/>
      </c>
      <c r="G708" s="7332"/>
      <c r="H708" s="7332" t="str">
        <f t="shared" si="39"/>
        <v/>
      </c>
      <c r="I708" s="7332">
        <v>70.0</v>
      </c>
      <c r="J708" s="7332">
        <v>90.0</v>
      </c>
      <c r="K708" s="7332">
        <v>45.0</v>
      </c>
      <c r="L708" s="7332">
        <v>15.0</v>
      </c>
      <c r="M708" s="7332">
        <v>45.0</v>
      </c>
      <c r="N708" s="7334">
        <v>50.0</v>
      </c>
      <c r="O708" s="7321"/>
      <c r="P708" s="7324"/>
      <c r="Q708" s="7324"/>
      <c r="R708" s="7324"/>
    </row>
    <row r="709" ht="18.75" customHeight="1">
      <c r="A709" s="7316"/>
      <c r="B709" s="7337" t="s">
        <v>743</v>
      </c>
      <c r="C709" s="7338" t="s">
        <v>3014</v>
      </c>
      <c r="D709" s="7339"/>
      <c r="E709" s="7338" t="s">
        <v>1858</v>
      </c>
      <c r="F709" s="7338" t="str">
        <f t="shared" si="38"/>
        <v/>
      </c>
      <c r="G709" s="7338"/>
      <c r="H709" s="7338" t="str">
        <f t="shared" si="39"/>
        <v/>
      </c>
      <c r="I709" s="7338">
        <v>105.0</v>
      </c>
      <c r="J709" s="7338">
        <v>140.0</v>
      </c>
      <c r="K709" s="7338">
        <v>55.0</v>
      </c>
      <c r="L709" s="7338">
        <v>30.0</v>
      </c>
      <c r="M709" s="7338">
        <v>55.0</v>
      </c>
      <c r="N709" s="7340">
        <v>95.0</v>
      </c>
      <c r="O709" s="7321"/>
      <c r="P709" s="7324"/>
      <c r="Q709" s="7324"/>
      <c r="R709" s="7324"/>
    </row>
    <row r="710" ht="18.75" customHeight="1">
      <c r="A710" s="7316"/>
      <c r="B710" s="7331" t="s">
        <v>3015</v>
      </c>
      <c r="C710" s="7341" t="s">
        <v>3016</v>
      </c>
      <c r="D710" s="7333"/>
      <c r="E710" s="7332" t="s">
        <v>1858</v>
      </c>
      <c r="F710" s="7332" t="str">
        <f t="shared" si="38"/>
        <v/>
      </c>
      <c r="G710" s="7332" t="s">
        <v>561</v>
      </c>
      <c r="H710" s="7332" t="str">
        <f t="shared" si="39"/>
        <v/>
      </c>
      <c r="I710" s="7332">
        <v>105.0</v>
      </c>
      <c r="J710" s="7332">
        <v>140.0</v>
      </c>
      <c r="K710" s="7332">
        <v>55.0</v>
      </c>
      <c r="L710" s="7332">
        <v>30.0</v>
      </c>
      <c r="M710" s="7332">
        <v>55.0</v>
      </c>
      <c r="N710" s="7334">
        <v>95.0</v>
      </c>
      <c r="O710" s="7321"/>
      <c r="P710" s="7324"/>
      <c r="Q710" s="7324"/>
      <c r="R710" s="7324"/>
    </row>
    <row r="711" ht="18.75" customHeight="1">
      <c r="A711" s="7316"/>
      <c r="B711" s="7337" t="s">
        <v>1100</v>
      </c>
      <c r="C711" s="7342" t="s">
        <v>3017</v>
      </c>
      <c r="D711" s="7339"/>
      <c r="E711" s="7338" t="s">
        <v>1932</v>
      </c>
      <c r="F711" s="7338" t="str">
        <f t="shared" si="38"/>
        <v/>
      </c>
      <c r="G711" s="7338"/>
      <c r="H711" s="7338" t="str">
        <f t="shared" si="39"/>
        <v/>
      </c>
      <c r="I711" s="7338">
        <v>105.0</v>
      </c>
      <c r="J711" s="7338">
        <v>140.0</v>
      </c>
      <c r="K711" s="7338">
        <v>55.0</v>
      </c>
      <c r="L711" s="7338">
        <v>30.0</v>
      </c>
      <c r="M711" s="7338">
        <v>55.0</v>
      </c>
      <c r="N711" s="7340">
        <v>95.0</v>
      </c>
      <c r="O711" s="7321"/>
      <c r="P711" s="7324"/>
      <c r="Q711" s="7324"/>
      <c r="R711" s="7324"/>
    </row>
    <row r="712" ht="18.75" customHeight="1">
      <c r="A712" s="7316"/>
      <c r="B712" s="7331" t="s">
        <v>1254</v>
      </c>
      <c r="C712" s="7341" t="s">
        <v>3018</v>
      </c>
      <c r="D712" s="7333"/>
      <c r="E712" s="7332" t="s">
        <v>1932</v>
      </c>
      <c r="F712" s="7332" t="str">
        <f t="shared" si="38"/>
        <v/>
      </c>
      <c r="G712" s="7332" t="s">
        <v>1858</v>
      </c>
      <c r="H712" s="7332" t="str">
        <f t="shared" si="39"/>
        <v/>
      </c>
      <c r="I712" s="7332">
        <v>105.0</v>
      </c>
      <c r="J712" s="7332">
        <v>160.0</v>
      </c>
      <c r="K712" s="7332">
        <v>55.0</v>
      </c>
      <c r="L712" s="7332">
        <v>30.0</v>
      </c>
      <c r="M712" s="7332">
        <v>55.0</v>
      </c>
      <c r="N712" s="7334">
        <v>135.0</v>
      </c>
      <c r="O712" s="7321"/>
      <c r="P712" s="7324"/>
      <c r="Q712" s="7324"/>
      <c r="R712" s="7324"/>
    </row>
    <row r="713" ht="18.75" customHeight="1">
      <c r="A713" s="7316"/>
      <c r="B713" s="7337" t="s">
        <v>3019</v>
      </c>
      <c r="C713" s="7338" t="s">
        <v>3020</v>
      </c>
      <c r="D713" s="7339"/>
      <c r="E713" s="7338" t="s">
        <v>1848</v>
      </c>
      <c r="F713" s="7338" t="str">
        <f t="shared" si="38"/>
        <v/>
      </c>
      <c r="G713" s="7338"/>
      <c r="H713" s="7338" t="str">
        <f t="shared" si="39"/>
        <v/>
      </c>
      <c r="I713" s="7338">
        <v>75.0</v>
      </c>
      <c r="J713" s="7338">
        <v>106.0</v>
      </c>
      <c r="K713" s="7338">
        <v>67.0</v>
      </c>
      <c r="L713" s="7338">
        <v>85.0</v>
      </c>
      <c r="M713" s="7338">
        <v>67.0</v>
      </c>
      <c r="N713" s="7340">
        <v>60.0</v>
      </c>
      <c r="O713" s="7321"/>
      <c r="P713" s="7324"/>
      <c r="Q713" s="7324"/>
      <c r="R713" s="7324"/>
    </row>
    <row r="714" ht="18.75" customHeight="1">
      <c r="A714" s="7316"/>
      <c r="B714" s="7331" t="s">
        <v>3021</v>
      </c>
      <c r="C714" s="7332" t="s">
        <v>3022</v>
      </c>
      <c r="D714" s="7333"/>
      <c r="E714" s="7332" t="s">
        <v>1882</v>
      </c>
      <c r="F714" s="7332" t="str">
        <f t="shared" si="38"/>
        <v/>
      </c>
      <c r="G714" s="7332" t="s">
        <v>2014</v>
      </c>
      <c r="H714" s="7332" t="str">
        <f t="shared" si="39"/>
        <v/>
      </c>
      <c r="I714" s="7332">
        <v>50.0</v>
      </c>
      <c r="J714" s="7332">
        <v>65.0</v>
      </c>
      <c r="K714" s="7332">
        <v>85.0</v>
      </c>
      <c r="L714" s="7332">
        <v>35.0</v>
      </c>
      <c r="M714" s="7332">
        <v>35.0</v>
      </c>
      <c r="N714" s="7334">
        <v>55.0</v>
      </c>
      <c r="O714" s="7321"/>
      <c r="P714" s="7324"/>
      <c r="Q714" s="7324"/>
      <c r="R714" s="7324"/>
    </row>
    <row r="715" ht="18.75" customHeight="1">
      <c r="A715" s="7316"/>
      <c r="B715" s="7337" t="s">
        <v>1157</v>
      </c>
      <c r="C715" s="7338" t="s">
        <v>3023</v>
      </c>
      <c r="D715" s="7339"/>
      <c r="E715" s="7338" t="s">
        <v>1882</v>
      </c>
      <c r="F715" s="7338" t="str">
        <f t="shared" si="38"/>
        <v/>
      </c>
      <c r="G715" s="7338" t="s">
        <v>2014</v>
      </c>
      <c r="H715" s="7338" t="str">
        <f t="shared" si="39"/>
        <v/>
      </c>
      <c r="I715" s="7338">
        <v>70.0</v>
      </c>
      <c r="J715" s="7338">
        <v>105.0</v>
      </c>
      <c r="K715" s="7338">
        <v>125.0</v>
      </c>
      <c r="L715" s="7338">
        <v>65.0</v>
      </c>
      <c r="M715" s="7338">
        <v>75.0</v>
      </c>
      <c r="N715" s="7340">
        <v>55.0</v>
      </c>
      <c r="O715" s="7321"/>
      <c r="P715" s="7324"/>
      <c r="Q715" s="7324"/>
      <c r="R715" s="7324"/>
    </row>
    <row r="716" ht="18.75" customHeight="1">
      <c r="A716" s="7316"/>
      <c r="B716" s="7331" t="s">
        <v>3024</v>
      </c>
      <c r="C716" s="7332" t="s">
        <v>3025</v>
      </c>
      <c r="D716" s="7333"/>
      <c r="E716" s="7332" t="s">
        <v>1911</v>
      </c>
      <c r="F716" s="7332" t="str">
        <f t="shared" si="38"/>
        <v/>
      </c>
      <c r="G716" s="7332" t="s">
        <v>1939</v>
      </c>
      <c r="H716" s="7332" t="str">
        <f t="shared" si="39"/>
        <v/>
      </c>
      <c r="I716" s="7332">
        <v>50.0</v>
      </c>
      <c r="J716" s="7332">
        <v>75.0</v>
      </c>
      <c r="K716" s="7332">
        <v>70.0</v>
      </c>
      <c r="L716" s="7332">
        <v>35.0</v>
      </c>
      <c r="M716" s="7332">
        <v>70.0</v>
      </c>
      <c r="N716" s="7334">
        <v>48.0</v>
      </c>
      <c r="O716" s="7321"/>
      <c r="P716" s="7324"/>
      <c r="Q716" s="7324"/>
      <c r="R716" s="7324"/>
    </row>
    <row r="717" ht="18.75" customHeight="1">
      <c r="A717" s="7316"/>
      <c r="B717" s="7337" t="s">
        <v>958</v>
      </c>
      <c r="C717" s="7338" t="s">
        <v>3026</v>
      </c>
      <c r="D717" s="7339"/>
      <c r="E717" s="7338" t="s">
        <v>1911</v>
      </c>
      <c r="F717" s="7338" t="str">
        <f t="shared" si="38"/>
        <v/>
      </c>
      <c r="G717" s="7338" t="s">
        <v>1939</v>
      </c>
      <c r="H717" s="7338" t="str">
        <f t="shared" si="39"/>
        <v/>
      </c>
      <c r="I717" s="7338">
        <v>65.0</v>
      </c>
      <c r="J717" s="7338">
        <v>90.0</v>
      </c>
      <c r="K717" s="7338">
        <v>115.0</v>
      </c>
      <c r="L717" s="7338">
        <v>45.0</v>
      </c>
      <c r="M717" s="7338">
        <v>115.0</v>
      </c>
      <c r="N717" s="7340">
        <v>58.0</v>
      </c>
      <c r="O717" s="7321"/>
      <c r="P717" s="7324"/>
      <c r="Q717" s="7324"/>
      <c r="R717" s="7324"/>
    </row>
    <row r="718" ht="18.75" customHeight="1">
      <c r="A718" s="7316"/>
      <c r="B718" s="7331" t="s">
        <v>3027</v>
      </c>
      <c r="C718" s="7332" t="s">
        <v>3028</v>
      </c>
      <c r="D718" s="7333"/>
      <c r="E718" s="7332" t="s">
        <v>561</v>
      </c>
      <c r="F718" s="7332" t="str">
        <f t="shared" si="38"/>
        <v/>
      </c>
      <c r="G718" s="7332" t="s">
        <v>1863</v>
      </c>
      <c r="H718" s="7332" t="str">
        <f t="shared" si="39"/>
        <v/>
      </c>
      <c r="I718" s="7332">
        <v>72.0</v>
      </c>
      <c r="J718" s="7332">
        <v>58.0</v>
      </c>
      <c r="K718" s="7332">
        <v>80.0</v>
      </c>
      <c r="L718" s="7332">
        <v>103.0</v>
      </c>
      <c r="M718" s="7332">
        <v>80.0</v>
      </c>
      <c r="N718" s="7334">
        <v>97.0</v>
      </c>
      <c r="O718" s="7321"/>
      <c r="P718" s="7324"/>
      <c r="Q718" s="7324"/>
      <c r="R718" s="7324"/>
    </row>
    <row r="719" ht="18.75" customHeight="1">
      <c r="A719" s="7316"/>
      <c r="B719" s="7337" t="s">
        <v>3029</v>
      </c>
      <c r="C719" s="7338" t="s">
        <v>3030</v>
      </c>
      <c r="D719" s="7339"/>
      <c r="E719" s="7342" t="s">
        <v>2097</v>
      </c>
      <c r="F719" s="7342" t="str">
        <f t="shared" si="38"/>
        <v/>
      </c>
      <c r="G719" s="7342"/>
      <c r="H719" s="7342" t="str">
        <f t="shared" si="39"/>
        <v/>
      </c>
      <c r="I719" s="7338">
        <v>38.0</v>
      </c>
      <c r="J719" s="7338">
        <v>30.0</v>
      </c>
      <c r="K719" s="7338">
        <v>85.0</v>
      </c>
      <c r="L719" s="7338">
        <v>55.0</v>
      </c>
      <c r="M719" s="7338">
        <v>65.0</v>
      </c>
      <c r="N719" s="7340">
        <v>30.0</v>
      </c>
      <c r="O719" s="7321"/>
      <c r="P719" s="7324"/>
      <c r="Q719" s="7324"/>
      <c r="R719" s="7324"/>
    </row>
    <row r="720" ht="18.75" customHeight="1">
      <c r="A720" s="7316"/>
      <c r="B720" s="7331" t="s">
        <v>3031</v>
      </c>
      <c r="C720" s="7341" t="s">
        <v>3032</v>
      </c>
      <c r="D720" s="7333"/>
      <c r="E720" s="7332" t="s">
        <v>1948</v>
      </c>
      <c r="F720" s="7332" t="str">
        <f t="shared" si="38"/>
        <v/>
      </c>
      <c r="G720" s="7332" t="s">
        <v>2097</v>
      </c>
      <c r="H720" s="7332" t="str">
        <f t="shared" si="39"/>
        <v/>
      </c>
      <c r="I720" s="7332">
        <v>38.0</v>
      </c>
      <c r="J720" s="7332">
        <v>55.0</v>
      </c>
      <c r="K720" s="7332">
        <v>85.0</v>
      </c>
      <c r="L720" s="7332">
        <v>30.0</v>
      </c>
      <c r="M720" s="7332">
        <v>65.0</v>
      </c>
      <c r="N720" s="7334">
        <v>30.0</v>
      </c>
      <c r="O720" s="7321"/>
      <c r="P720" s="7324"/>
      <c r="Q720" s="7324"/>
      <c r="R720" s="7324"/>
    </row>
    <row r="721" ht="18.75" customHeight="1">
      <c r="A721" s="7316"/>
      <c r="B721" s="7337" t="s">
        <v>3033</v>
      </c>
      <c r="C721" s="7338" t="s">
        <v>3034</v>
      </c>
      <c r="D721" s="7339"/>
      <c r="E721" s="7338" t="s">
        <v>2097</v>
      </c>
      <c r="F721" s="7338" t="str">
        <f t="shared" si="38"/>
        <v/>
      </c>
      <c r="G721" s="7338"/>
      <c r="H721" s="7338" t="str">
        <f t="shared" si="39"/>
        <v/>
      </c>
      <c r="I721" s="7338">
        <v>58.0</v>
      </c>
      <c r="J721" s="7338">
        <v>50.0</v>
      </c>
      <c r="K721" s="7338">
        <v>145.0</v>
      </c>
      <c r="L721" s="7338">
        <v>95.0</v>
      </c>
      <c r="M721" s="7338">
        <v>105.0</v>
      </c>
      <c r="N721" s="7340">
        <v>30.0</v>
      </c>
      <c r="O721" s="7321"/>
      <c r="P721" s="7324"/>
      <c r="Q721" s="7324"/>
      <c r="R721" s="7324"/>
    </row>
    <row r="722" ht="18.75" customHeight="1">
      <c r="A722" s="7316"/>
      <c r="B722" s="7331" t="s">
        <v>3035</v>
      </c>
      <c r="C722" s="7332" t="s">
        <v>3036</v>
      </c>
      <c r="D722" s="7333"/>
      <c r="E722" s="7332" t="s">
        <v>1871</v>
      </c>
      <c r="F722" s="7332" t="str">
        <f t="shared" si="38"/>
        <v/>
      </c>
      <c r="G722" s="7332" t="s">
        <v>2014</v>
      </c>
      <c r="H722" s="7332" t="str">
        <f t="shared" si="39"/>
        <v/>
      </c>
      <c r="I722" s="7332">
        <v>54.0</v>
      </c>
      <c r="J722" s="7332">
        <v>78.0</v>
      </c>
      <c r="K722" s="7332">
        <v>103.0</v>
      </c>
      <c r="L722" s="7332">
        <v>53.0</v>
      </c>
      <c r="M722" s="7332">
        <v>45.0</v>
      </c>
      <c r="N722" s="7334">
        <v>22.0</v>
      </c>
      <c r="O722" s="7321"/>
      <c r="P722" s="7324"/>
      <c r="Q722" s="7324"/>
      <c r="R722" s="7324"/>
    </row>
    <row r="723" ht="18.75" customHeight="1">
      <c r="A723" s="7316"/>
      <c r="B723" s="7337" t="s">
        <v>1782</v>
      </c>
      <c r="C723" s="7338" t="s">
        <v>3037</v>
      </c>
      <c r="D723" s="7339"/>
      <c r="E723" s="7338" t="s">
        <v>1871</v>
      </c>
      <c r="F723" s="7338" t="str">
        <f t="shared" si="38"/>
        <v/>
      </c>
      <c r="G723" s="7338" t="s">
        <v>2014</v>
      </c>
      <c r="H723" s="7338" t="str">
        <f t="shared" si="39"/>
        <v/>
      </c>
      <c r="I723" s="7338">
        <v>74.0</v>
      </c>
      <c r="J723" s="7338">
        <v>108.0</v>
      </c>
      <c r="K723" s="7338">
        <v>133.0</v>
      </c>
      <c r="L723" s="7338">
        <v>83.0</v>
      </c>
      <c r="M723" s="7338">
        <v>65.0</v>
      </c>
      <c r="N723" s="7340">
        <v>32.0</v>
      </c>
      <c r="O723" s="7321"/>
      <c r="P723" s="7324"/>
      <c r="Q723" s="7324"/>
      <c r="R723" s="7324"/>
    </row>
    <row r="724" ht="18.75" customHeight="1">
      <c r="A724" s="7316"/>
      <c r="B724" s="7331" t="s">
        <v>168</v>
      </c>
      <c r="C724" s="7332" t="s">
        <v>3038</v>
      </c>
      <c r="D724" s="7333"/>
      <c r="E724" s="7332" t="s">
        <v>2014</v>
      </c>
      <c r="F724" s="7332" t="str">
        <f t="shared" si="38"/>
        <v/>
      </c>
      <c r="G724" s="7332" t="s">
        <v>1863</v>
      </c>
      <c r="H724" s="7332" t="str">
        <f t="shared" si="39"/>
        <v/>
      </c>
      <c r="I724" s="7332">
        <v>55.0</v>
      </c>
      <c r="J724" s="7332">
        <v>112.0</v>
      </c>
      <c r="K724" s="7332">
        <v>45.0</v>
      </c>
      <c r="L724" s="7332">
        <v>74.0</v>
      </c>
      <c r="M724" s="7332">
        <v>45.0</v>
      </c>
      <c r="N724" s="7334">
        <v>70.0</v>
      </c>
      <c r="O724" s="7321"/>
      <c r="P724" s="7324"/>
      <c r="Q724" s="7324"/>
      <c r="R724" s="7324"/>
    </row>
    <row r="725" ht="18.75" customHeight="1">
      <c r="A725" s="7316"/>
      <c r="B725" s="7337" t="s">
        <v>1167</v>
      </c>
      <c r="C725" s="7338" t="s">
        <v>3039</v>
      </c>
      <c r="D725" s="7339"/>
      <c r="E725" s="7338" t="s">
        <v>2014</v>
      </c>
      <c r="F725" s="7338" t="str">
        <f t="shared" si="38"/>
        <v/>
      </c>
      <c r="G725" s="7338" t="s">
        <v>1863</v>
      </c>
      <c r="H725" s="7338" t="str">
        <f t="shared" si="39"/>
        <v/>
      </c>
      <c r="I725" s="7338">
        <v>75.0</v>
      </c>
      <c r="J725" s="7338">
        <v>140.0</v>
      </c>
      <c r="K725" s="7338">
        <v>65.0</v>
      </c>
      <c r="L725" s="7338">
        <v>112.0</v>
      </c>
      <c r="M725" s="7338">
        <v>65.0</v>
      </c>
      <c r="N725" s="7340">
        <v>110.0</v>
      </c>
      <c r="O725" s="7321"/>
      <c r="P725" s="7324"/>
      <c r="Q725" s="7324"/>
      <c r="R725" s="7324"/>
    </row>
    <row r="726" ht="18.75" customHeight="1">
      <c r="A726" s="7316"/>
      <c r="B726" s="7331" t="s">
        <v>3040</v>
      </c>
      <c r="C726" s="7332" t="s">
        <v>3041</v>
      </c>
      <c r="D726" s="7333"/>
      <c r="E726" s="7332" t="s">
        <v>1849</v>
      </c>
      <c r="F726" s="7332" t="str">
        <f t="shared" si="38"/>
        <v/>
      </c>
      <c r="G726" s="7332"/>
      <c r="H726" s="7332" t="str">
        <f t="shared" si="39"/>
        <v/>
      </c>
      <c r="I726" s="7332">
        <v>50.0</v>
      </c>
      <c r="J726" s="7332">
        <v>50.0</v>
      </c>
      <c r="K726" s="7332">
        <v>62.0</v>
      </c>
      <c r="L726" s="7332">
        <v>40.0</v>
      </c>
      <c r="M726" s="7332">
        <v>62.0</v>
      </c>
      <c r="N726" s="7334">
        <v>65.0</v>
      </c>
      <c r="O726" s="7321"/>
      <c r="P726" s="7324"/>
      <c r="Q726" s="7324"/>
      <c r="R726" s="7324"/>
    </row>
    <row r="727" ht="18.75" customHeight="1">
      <c r="A727" s="7316"/>
      <c r="B727" s="7337" t="s">
        <v>3042</v>
      </c>
      <c r="C727" s="7338" t="s">
        <v>3043</v>
      </c>
      <c r="D727" s="7339"/>
      <c r="E727" s="7338" t="s">
        <v>1849</v>
      </c>
      <c r="F727" s="7338" t="str">
        <f t="shared" si="38"/>
        <v/>
      </c>
      <c r="G727" s="7338"/>
      <c r="H727" s="7338" t="str">
        <f t="shared" si="39"/>
        <v/>
      </c>
      <c r="I727" s="7338">
        <v>80.0</v>
      </c>
      <c r="J727" s="7338">
        <v>115.0</v>
      </c>
      <c r="K727" s="7338">
        <v>82.0</v>
      </c>
      <c r="L727" s="7338">
        <v>60.0</v>
      </c>
      <c r="M727" s="7338">
        <v>82.0</v>
      </c>
      <c r="N727" s="7340">
        <v>60.0</v>
      </c>
      <c r="O727" s="7321"/>
      <c r="P727" s="7324"/>
      <c r="Q727" s="7324"/>
      <c r="R727" s="7324"/>
    </row>
    <row r="728" ht="18.75" customHeight="1">
      <c r="A728" s="7316"/>
      <c r="B728" s="7331" t="s">
        <v>3044</v>
      </c>
      <c r="C728" s="7341" t="s">
        <v>3045</v>
      </c>
      <c r="D728" s="7333"/>
      <c r="E728" s="7332" t="s">
        <v>1849</v>
      </c>
      <c r="F728" s="7332" t="str">
        <f t="shared" si="38"/>
        <v/>
      </c>
      <c r="G728" s="7332"/>
      <c r="H728" s="7332" t="str">
        <f t="shared" si="39"/>
        <v/>
      </c>
      <c r="I728" s="7332">
        <v>80.0</v>
      </c>
      <c r="J728" s="7332">
        <v>135.0</v>
      </c>
      <c r="K728" s="7332">
        <v>105.0</v>
      </c>
      <c r="L728" s="7332">
        <v>105.0</v>
      </c>
      <c r="M728" s="7332">
        <v>105.0</v>
      </c>
      <c r="N728" s="7334">
        <v>75.0</v>
      </c>
      <c r="O728" s="7321"/>
      <c r="P728" s="7324"/>
      <c r="Q728" s="7324"/>
      <c r="R728" s="7324"/>
    </row>
    <row r="729" ht="18.75" customHeight="1">
      <c r="A729" s="7316"/>
      <c r="B729" s="7337" t="s">
        <v>3046</v>
      </c>
      <c r="C729" s="7338" t="s">
        <v>3047</v>
      </c>
      <c r="D729" s="7339"/>
      <c r="E729" s="7338" t="s">
        <v>1911</v>
      </c>
      <c r="F729" s="7338" t="str">
        <f t="shared" si="38"/>
        <v/>
      </c>
      <c r="G729" s="7338"/>
      <c r="H729" s="7338" t="str">
        <f t="shared" si="39"/>
        <v/>
      </c>
      <c r="I729" s="7338">
        <v>40.0</v>
      </c>
      <c r="J729" s="7338">
        <v>65.0</v>
      </c>
      <c r="K729" s="7338">
        <v>40.0</v>
      </c>
      <c r="L729" s="7338">
        <v>80.0</v>
      </c>
      <c r="M729" s="7338">
        <v>40.0</v>
      </c>
      <c r="N729" s="7340">
        <v>65.0</v>
      </c>
      <c r="O729" s="7321"/>
      <c r="P729" s="7324"/>
      <c r="Q729" s="7324"/>
      <c r="R729" s="7324"/>
    </row>
    <row r="730" ht="18.75" customHeight="1">
      <c r="A730" s="7316"/>
      <c r="B730" s="7331" t="s">
        <v>3048</v>
      </c>
      <c r="C730" s="7341" t="s">
        <v>3049</v>
      </c>
      <c r="D730" s="7333"/>
      <c r="E730" s="7332" t="s">
        <v>1901</v>
      </c>
      <c r="F730" s="7332" t="str">
        <f t="shared" si="38"/>
        <v/>
      </c>
      <c r="G730" s="7332" t="s">
        <v>2097</v>
      </c>
      <c r="H730" s="7332" t="str">
        <f t="shared" si="39"/>
        <v/>
      </c>
      <c r="I730" s="7332">
        <v>35.0</v>
      </c>
      <c r="J730" s="7332">
        <v>60.0</v>
      </c>
      <c r="K730" s="7332">
        <v>40.0</v>
      </c>
      <c r="L730" s="7332">
        <v>85.0</v>
      </c>
      <c r="M730" s="7332">
        <v>40.0</v>
      </c>
      <c r="N730" s="7334">
        <v>70.0</v>
      </c>
      <c r="O730" s="7321"/>
      <c r="P730" s="7324"/>
      <c r="Q730" s="7324"/>
      <c r="R730" s="7324"/>
    </row>
    <row r="731" ht="18.75" customHeight="1">
      <c r="A731" s="7316"/>
      <c r="B731" s="7337" t="s">
        <v>1454</v>
      </c>
      <c r="C731" s="7338" t="s">
        <v>3050</v>
      </c>
      <c r="D731" s="7339"/>
      <c r="E731" s="7338" t="s">
        <v>1911</v>
      </c>
      <c r="F731" s="7338" t="str">
        <f t="shared" si="38"/>
        <v/>
      </c>
      <c r="G731" s="7338"/>
      <c r="H731" s="7338" t="str">
        <f t="shared" si="39"/>
        <v/>
      </c>
      <c r="I731" s="7338">
        <v>60.0</v>
      </c>
      <c r="J731" s="7338">
        <v>105.0</v>
      </c>
      <c r="K731" s="7338">
        <v>60.0</v>
      </c>
      <c r="L731" s="7338">
        <v>120.0</v>
      </c>
      <c r="M731" s="7338">
        <v>60.0</v>
      </c>
      <c r="N731" s="7340">
        <v>105.0</v>
      </c>
      <c r="O731" s="7321"/>
      <c r="P731" s="7324"/>
      <c r="Q731" s="7324"/>
      <c r="R731" s="7324"/>
    </row>
    <row r="732" ht="18.75" customHeight="1">
      <c r="A732" s="7316"/>
      <c r="B732" s="7331" t="s">
        <v>570</v>
      </c>
      <c r="C732" s="7341" t="s">
        <v>3051</v>
      </c>
      <c r="D732" s="7333"/>
      <c r="E732" s="7332" t="s">
        <v>1901</v>
      </c>
      <c r="F732" s="7332" t="str">
        <f t="shared" si="38"/>
        <v/>
      </c>
      <c r="G732" s="7332" t="s">
        <v>2097</v>
      </c>
      <c r="H732" s="7332" t="str">
        <f t="shared" si="39"/>
        <v/>
      </c>
      <c r="I732" s="7332">
        <v>55.0</v>
      </c>
      <c r="J732" s="7332">
        <v>100.0</v>
      </c>
      <c r="K732" s="7332">
        <v>60.0</v>
      </c>
      <c r="L732" s="7332">
        <v>125.0</v>
      </c>
      <c r="M732" s="7332">
        <v>60.0</v>
      </c>
      <c r="N732" s="7334">
        <v>110.0</v>
      </c>
      <c r="O732" s="7321"/>
      <c r="P732" s="7324"/>
      <c r="Q732" s="7324"/>
      <c r="R732" s="7324"/>
    </row>
    <row r="733" ht="18.75" customHeight="1">
      <c r="A733" s="7316"/>
      <c r="B733" s="7337" t="s">
        <v>3052</v>
      </c>
      <c r="C733" s="7338" t="s">
        <v>3053</v>
      </c>
      <c r="D733" s="7339"/>
      <c r="E733" s="7342" t="s">
        <v>1901</v>
      </c>
      <c r="F733" s="7342" t="str">
        <f t="shared" si="38"/>
        <v/>
      </c>
      <c r="G733" s="7342"/>
      <c r="H733" s="7342" t="str">
        <f t="shared" si="39"/>
        <v/>
      </c>
      <c r="I733" s="7338">
        <v>55.0</v>
      </c>
      <c r="J733" s="7338">
        <v>50.0</v>
      </c>
      <c r="K733" s="7338">
        <v>40.0</v>
      </c>
      <c r="L733" s="7338">
        <v>40.0</v>
      </c>
      <c r="M733" s="7338">
        <v>40.0</v>
      </c>
      <c r="N733" s="7340">
        <v>75.0</v>
      </c>
      <c r="O733" s="7321"/>
      <c r="P733" s="7324"/>
      <c r="Q733" s="7324"/>
      <c r="R733" s="7324"/>
    </row>
    <row r="734" ht="18.75" customHeight="1">
      <c r="A734" s="7316"/>
      <c r="B734" s="7331" t="s">
        <v>1348</v>
      </c>
      <c r="C734" s="7332" t="s">
        <v>3054</v>
      </c>
      <c r="D734" s="7333"/>
      <c r="E734" s="7332" t="s">
        <v>1901</v>
      </c>
      <c r="F734" s="7332" t="str">
        <f t="shared" si="38"/>
        <v/>
      </c>
      <c r="G734" s="7332"/>
      <c r="H734" s="7332" t="str">
        <f t="shared" si="39"/>
        <v/>
      </c>
      <c r="I734" s="7332">
        <v>75.0</v>
      </c>
      <c r="J734" s="7332">
        <v>95.0</v>
      </c>
      <c r="K734" s="7332">
        <v>60.0</v>
      </c>
      <c r="L734" s="7332">
        <v>65.0</v>
      </c>
      <c r="M734" s="7332">
        <v>60.0</v>
      </c>
      <c r="N734" s="7334">
        <v>115.0</v>
      </c>
      <c r="O734" s="7321"/>
      <c r="P734" s="7324"/>
      <c r="Q734" s="7324"/>
      <c r="R734" s="7324"/>
    </row>
    <row r="735" ht="18.75" customHeight="1">
      <c r="A735" s="7316"/>
      <c r="B735" s="7337" t="s">
        <v>3055</v>
      </c>
      <c r="C735" s="7338" t="s">
        <v>3056</v>
      </c>
      <c r="D735" s="7339"/>
      <c r="E735" s="7338" t="s">
        <v>561</v>
      </c>
      <c r="F735" s="7338" t="str">
        <f t="shared" si="38"/>
        <v/>
      </c>
      <c r="G735" s="7338"/>
      <c r="H735" s="7338" t="str">
        <f t="shared" si="39"/>
        <v/>
      </c>
      <c r="I735" s="7338">
        <v>45.0</v>
      </c>
      <c r="J735" s="7338">
        <v>30.0</v>
      </c>
      <c r="K735" s="7338">
        <v>50.0</v>
      </c>
      <c r="L735" s="7338">
        <v>55.0</v>
      </c>
      <c r="M735" s="7338">
        <v>65.0</v>
      </c>
      <c r="N735" s="7340">
        <v>45.0</v>
      </c>
      <c r="O735" s="7321"/>
      <c r="P735" s="7324"/>
      <c r="Q735" s="7324"/>
      <c r="R735" s="7324"/>
    </row>
    <row r="736" ht="18.75" customHeight="1">
      <c r="A736" s="7316"/>
      <c r="B736" s="7331" t="s">
        <v>3057</v>
      </c>
      <c r="C736" s="7332" t="s">
        <v>3058</v>
      </c>
      <c r="D736" s="7333"/>
      <c r="E736" s="7332" t="s">
        <v>561</v>
      </c>
      <c r="F736" s="7332" t="str">
        <f t="shared" si="38"/>
        <v/>
      </c>
      <c r="G736" s="7332"/>
      <c r="H736" s="7332" t="str">
        <f t="shared" si="39"/>
        <v/>
      </c>
      <c r="I736" s="7332">
        <v>60.0</v>
      </c>
      <c r="J736" s="7332">
        <v>45.0</v>
      </c>
      <c r="K736" s="7332">
        <v>70.0</v>
      </c>
      <c r="L736" s="7332">
        <v>75.0</v>
      </c>
      <c r="M736" s="7332">
        <v>85.0</v>
      </c>
      <c r="N736" s="7334">
        <v>55.0</v>
      </c>
      <c r="O736" s="7321"/>
      <c r="P736" s="7324"/>
      <c r="Q736" s="7324"/>
      <c r="R736" s="7324"/>
    </row>
    <row r="737" ht="18.75" customHeight="1">
      <c r="A737" s="7316"/>
      <c r="B737" s="7337" t="s">
        <v>909</v>
      </c>
      <c r="C737" s="7338" t="s">
        <v>3059</v>
      </c>
      <c r="D737" s="7339"/>
      <c r="E737" s="7338" t="s">
        <v>561</v>
      </c>
      <c r="F737" s="7338" t="str">
        <f t="shared" si="38"/>
        <v/>
      </c>
      <c r="G737" s="7338"/>
      <c r="H737" s="7338" t="str">
        <f t="shared" si="39"/>
        <v/>
      </c>
      <c r="I737" s="7338">
        <v>70.0</v>
      </c>
      <c r="J737" s="7338">
        <v>55.0</v>
      </c>
      <c r="K737" s="7338">
        <v>95.0</v>
      </c>
      <c r="L737" s="7338">
        <v>95.0</v>
      </c>
      <c r="M737" s="7338">
        <v>110.0</v>
      </c>
      <c r="N737" s="7340">
        <v>65.0</v>
      </c>
      <c r="O737" s="7321"/>
      <c r="P737" s="7324"/>
      <c r="Q737" s="7324"/>
      <c r="R737" s="7324"/>
    </row>
    <row r="738" ht="18.75" customHeight="1">
      <c r="A738" s="7316"/>
      <c r="B738" s="7331" t="s">
        <v>3060</v>
      </c>
      <c r="C738" s="7332" t="s">
        <v>3061</v>
      </c>
      <c r="D738" s="7333"/>
      <c r="E738" s="7332" t="s">
        <v>561</v>
      </c>
      <c r="F738" s="7332" t="str">
        <f t="shared" si="38"/>
        <v/>
      </c>
      <c r="G738" s="7332"/>
      <c r="H738" s="7332" t="str">
        <f t="shared" si="39"/>
        <v/>
      </c>
      <c r="I738" s="7332">
        <v>45.0</v>
      </c>
      <c r="J738" s="7332">
        <v>30.0</v>
      </c>
      <c r="K738" s="7332">
        <v>40.0</v>
      </c>
      <c r="L738" s="7332">
        <v>105.0</v>
      </c>
      <c r="M738" s="7332">
        <v>50.0</v>
      </c>
      <c r="N738" s="7334">
        <v>20.0</v>
      </c>
      <c r="O738" s="7321"/>
      <c r="P738" s="7324"/>
      <c r="Q738" s="7324"/>
      <c r="R738" s="7324"/>
    </row>
    <row r="739" ht="18.75" customHeight="1">
      <c r="A739" s="7316"/>
      <c r="B739" s="7337" t="s">
        <v>3062</v>
      </c>
      <c r="C739" s="7338" t="s">
        <v>3063</v>
      </c>
      <c r="D739" s="7339"/>
      <c r="E739" s="7338" t="s">
        <v>561</v>
      </c>
      <c r="F739" s="7338" t="str">
        <f t="shared" si="38"/>
        <v/>
      </c>
      <c r="G739" s="7338"/>
      <c r="H739" s="7338" t="str">
        <f t="shared" si="39"/>
        <v/>
      </c>
      <c r="I739" s="7338">
        <v>65.0</v>
      </c>
      <c r="J739" s="7338">
        <v>40.0</v>
      </c>
      <c r="K739" s="7338">
        <v>50.0</v>
      </c>
      <c r="L739" s="7338">
        <v>125.0</v>
      </c>
      <c r="M739" s="7338">
        <v>60.0</v>
      </c>
      <c r="N739" s="7340">
        <v>30.0</v>
      </c>
      <c r="O739" s="7321"/>
      <c r="P739" s="7324"/>
      <c r="Q739" s="7324"/>
      <c r="R739" s="7324"/>
    </row>
    <row r="740" ht="18.75" customHeight="1">
      <c r="A740" s="7316"/>
      <c r="B740" s="7331" t="s">
        <v>1805</v>
      </c>
      <c r="C740" s="7332" t="s">
        <v>3064</v>
      </c>
      <c r="D740" s="7333"/>
      <c r="E740" s="7332" t="s">
        <v>561</v>
      </c>
      <c r="F740" s="7332" t="str">
        <f t="shared" si="38"/>
        <v/>
      </c>
      <c r="G740" s="7332"/>
      <c r="H740" s="7332" t="str">
        <f t="shared" si="39"/>
        <v/>
      </c>
      <c r="I740" s="7332">
        <v>110.0</v>
      </c>
      <c r="J740" s="7332">
        <v>65.0</v>
      </c>
      <c r="K740" s="7332">
        <v>75.0</v>
      </c>
      <c r="L740" s="7332">
        <v>125.0</v>
      </c>
      <c r="M740" s="7332">
        <v>85.0</v>
      </c>
      <c r="N740" s="7334">
        <v>30.0</v>
      </c>
      <c r="O740" s="7321"/>
      <c r="P740" s="7324"/>
      <c r="Q740" s="7324"/>
      <c r="R740" s="7324"/>
    </row>
    <row r="741" ht="18.75" customHeight="1">
      <c r="A741" s="7316"/>
      <c r="B741" s="7337" t="s">
        <v>3065</v>
      </c>
      <c r="C741" s="7338" t="s">
        <v>3066</v>
      </c>
      <c r="D741" s="7339"/>
      <c r="E741" s="7338" t="s">
        <v>1871</v>
      </c>
      <c r="F741" s="7338" t="str">
        <f t="shared" si="38"/>
        <v/>
      </c>
      <c r="G741" s="7338" t="s">
        <v>1863</v>
      </c>
      <c r="H741" s="7338" t="str">
        <f t="shared" si="39"/>
        <v/>
      </c>
      <c r="I741" s="7338">
        <v>62.0</v>
      </c>
      <c r="J741" s="7338">
        <v>44.0</v>
      </c>
      <c r="K741" s="7338">
        <v>50.0</v>
      </c>
      <c r="L741" s="7338">
        <v>44.0</v>
      </c>
      <c r="M741" s="7338">
        <v>50.0</v>
      </c>
      <c r="N741" s="7340">
        <v>55.0</v>
      </c>
      <c r="O741" s="7321"/>
      <c r="P741" s="7324"/>
      <c r="Q741" s="7324"/>
      <c r="R741" s="7324"/>
    </row>
    <row r="742" ht="18.75" customHeight="1">
      <c r="A742" s="7316"/>
      <c r="B742" s="7331" t="s">
        <v>1303</v>
      </c>
      <c r="C742" s="7332" t="s">
        <v>3067</v>
      </c>
      <c r="D742" s="7333"/>
      <c r="E742" s="7332" t="s">
        <v>1871</v>
      </c>
      <c r="F742" s="7332" t="str">
        <f t="shared" si="38"/>
        <v/>
      </c>
      <c r="G742" s="7332" t="s">
        <v>1863</v>
      </c>
      <c r="H742" s="7332" t="str">
        <f t="shared" si="39"/>
        <v/>
      </c>
      <c r="I742" s="7332">
        <v>75.0</v>
      </c>
      <c r="J742" s="7332">
        <v>77.0</v>
      </c>
      <c r="K742" s="7332">
        <v>63.0</v>
      </c>
      <c r="L742" s="7332">
        <v>97.0</v>
      </c>
      <c r="M742" s="7332">
        <v>63.0</v>
      </c>
      <c r="N742" s="7334">
        <v>108.0</v>
      </c>
      <c r="O742" s="7321"/>
      <c r="P742" s="7324"/>
      <c r="Q742" s="7324"/>
      <c r="R742" s="7324"/>
    </row>
    <row r="743" ht="18.75" customHeight="1">
      <c r="A743" s="7316"/>
      <c r="B743" s="7337" t="s">
        <v>3068</v>
      </c>
      <c r="C743" s="7338" t="s">
        <v>3069</v>
      </c>
      <c r="D743" s="7339"/>
      <c r="E743" s="7338" t="s">
        <v>1932</v>
      </c>
      <c r="F743" s="7338" t="str">
        <f t="shared" si="38"/>
        <v/>
      </c>
      <c r="G743" s="7338"/>
      <c r="H743" s="7338" t="str">
        <f t="shared" si="39"/>
        <v/>
      </c>
      <c r="I743" s="7338">
        <v>36.0</v>
      </c>
      <c r="J743" s="7338">
        <v>50.0</v>
      </c>
      <c r="K743" s="7338">
        <v>50.0</v>
      </c>
      <c r="L743" s="7338">
        <v>65.0</v>
      </c>
      <c r="M743" s="7338">
        <v>60.0</v>
      </c>
      <c r="N743" s="7340">
        <v>44.0</v>
      </c>
      <c r="O743" s="7321"/>
      <c r="P743" s="7324"/>
      <c r="Q743" s="7324"/>
      <c r="R743" s="7324"/>
    </row>
    <row r="744" ht="18.75" customHeight="1">
      <c r="A744" s="7316"/>
      <c r="B744" s="7331" t="s">
        <v>3070</v>
      </c>
      <c r="C744" s="7332" t="s">
        <v>3071</v>
      </c>
      <c r="D744" s="7333"/>
      <c r="E744" s="7332" t="s">
        <v>1932</v>
      </c>
      <c r="F744" s="7332" t="str">
        <f t="shared" si="38"/>
        <v/>
      </c>
      <c r="G744" s="7332"/>
      <c r="H744" s="7332" t="str">
        <f t="shared" si="39"/>
        <v/>
      </c>
      <c r="I744" s="7332">
        <v>51.0</v>
      </c>
      <c r="J744" s="7332">
        <v>65.0</v>
      </c>
      <c r="K744" s="7332">
        <v>65.0</v>
      </c>
      <c r="L744" s="7332">
        <v>80.0</v>
      </c>
      <c r="M744" s="7332">
        <v>75.0</v>
      </c>
      <c r="N744" s="7334">
        <v>59.0</v>
      </c>
      <c r="O744" s="7321"/>
      <c r="P744" s="7324"/>
      <c r="Q744" s="7324"/>
      <c r="R744" s="7324"/>
    </row>
    <row r="745" ht="18.75" customHeight="1">
      <c r="A745" s="7316"/>
      <c r="B745" s="7337" t="s">
        <v>3072</v>
      </c>
      <c r="C745" s="7338" t="s">
        <v>3073</v>
      </c>
      <c r="D745" s="7339"/>
      <c r="E745" s="7338" t="s">
        <v>1932</v>
      </c>
      <c r="F745" s="7338" t="str">
        <f t="shared" si="38"/>
        <v/>
      </c>
      <c r="G745" s="7338"/>
      <c r="H745" s="7338" t="str">
        <f t="shared" si="39"/>
        <v/>
      </c>
      <c r="I745" s="7338">
        <v>71.0</v>
      </c>
      <c r="J745" s="7338">
        <v>90.0</v>
      </c>
      <c r="K745" s="7338">
        <v>85.0</v>
      </c>
      <c r="L745" s="7338">
        <v>110.0</v>
      </c>
      <c r="M745" s="7338">
        <v>95.0</v>
      </c>
      <c r="N745" s="7340">
        <v>84.0</v>
      </c>
      <c r="O745" s="7321"/>
      <c r="P745" s="7324"/>
      <c r="Q745" s="7324"/>
      <c r="R745" s="7324"/>
    </row>
    <row r="746" ht="18.75" customHeight="1">
      <c r="A746" s="7316"/>
      <c r="B746" s="7331" t="s">
        <v>3074</v>
      </c>
      <c r="C746" s="7332" t="s">
        <v>3075</v>
      </c>
      <c r="D746" s="7333"/>
      <c r="E746" s="7332" t="s">
        <v>1901</v>
      </c>
      <c r="F746" s="7332" t="str">
        <f t="shared" si="38"/>
        <v/>
      </c>
      <c r="G746" s="7332" t="s">
        <v>1848</v>
      </c>
      <c r="H746" s="7332" t="str">
        <f t="shared" si="39"/>
        <v/>
      </c>
      <c r="I746" s="7332">
        <v>60.0</v>
      </c>
      <c r="J746" s="7332">
        <v>60.0</v>
      </c>
      <c r="K746" s="7332">
        <v>50.0</v>
      </c>
      <c r="L746" s="7332">
        <v>40.0</v>
      </c>
      <c r="M746" s="7332">
        <v>50.0</v>
      </c>
      <c r="N746" s="7334">
        <v>75.0</v>
      </c>
      <c r="O746" s="7321"/>
      <c r="P746" s="7324"/>
      <c r="Q746" s="7324"/>
      <c r="R746" s="7324"/>
    </row>
    <row r="747" ht="18.75" customHeight="1">
      <c r="A747" s="7316"/>
      <c r="B747" s="7337" t="s">
        <v>3076</v>
      </c>
      <c r="C747" s="7338" t="s">
        <v>3077</v>
      </c>
      <c r="D747" s="7339"/>
      <c r="E747" s="7342" t="s">
        <v>1901</v>
      </c>
      <c r="F747" s="7342" t="str">
        <f t="shared" si="38"/>
        <v/>
      </c>
      <c r="G747" s="7342" t="s">
        <v>1848</v>
      </c>
      <c r="H747" s="7342" t="str">
        <f t="shared" si="39"/>
        <v/>
      </c>
      <c r="I747" s="7338">
        <v>80.0</v>
      </c>
      <c r="J747" s="7338">
        <v>110.0</v>
      </c>
      <c r="K747" s="7338">
        <v>70.0</v>
      </c>
      <c r="L747" s="7338">
        <v>60.0</v>
      </c>
      <c r="M747" s="7338">
        <v>70.0</v>
      </c>
      <c r="N747" s="7340">
        <v>105.0</v>
      </c>
      <c r="O747" s="7321"/>
      <c r="P747" s="7324"/>
      <c r="Q747" s="7324"/>
      <c r="R747" s="7324"/>
    </row>
    <row r="748" ht="18.75" customHeight="1">
      <c r="A748" s="7316"/>
      <c r="B748" s="7331" t="s">
        <v>3078</v>
      </c>
      <c r="C748" s="7332" t="s">
        <v>3079</v>
      </c>
      <c r="D748" s="7333"/>
      <c r="E748" s="7332" t="s">
        <v>1926</v>
      </c>
      <c r="F748" s="7332" t="str">
        <f t="shared" si="38"/>
        <v/>
      </c>
      <c r="G748" s="7332" t="s">
        <v>1863</v>
      </c>
      <c r="H748" s="7332" t="str">
        <f t="shared" si="39"/>
        <v/>
      </c>
      <c r="I748" s="7332">
        <v>55.0</v>
      </c>
      <c r="J748" s="7332">
        <v>55.0</v>
      </c>
      <c r="K748" s="7332">
        <v>60.0</v>
      </c>
      <c r="L748" s="7332">
        <v>95.0</v>
      </c>
      <c r="M748" s="7332">
        <v>60.0</v>
      </c>
      <c r="N748" s="7334">
        <v>103.0</v>
      </c>
      <c r="O748" s="7321"/>
      <c r="P748" s="7324"/>
      <c r="Q748" s="7324"/>
      <c r="R748" s="7324"/>
    </row>
    <row r="749" ht="18.75" customHeight="1">
      <c r="A749" s="7316"/>
      <c r="B749" s="7337" t="s">
        <v>3080</v>
      </c>
      <c r="C749" s="7338" t="s">
        <v>3081</v>
      </c>
      <c r="D749" s="7339"/>
      <c r="E749" s="7338" t="s">
        <v>1882</v>
      </c>
      <c r="F749" s="7338" t="str">
        <f t="shared" si="38"/>
        <v/>
      </c>
      <c r="G749" s="7338"/>
      <c r="H749" s="7338" t="str">
        <f t="shared" si="39"/>
        <v/>
      </c>
      <c r="I749" s="7338">
        <v>50.0</v>
      </c>
      <c r="J749" s="7338">
        <v>75.0</v>
      </c>
      <c r="K749" s="7338">
        <v>45.0</v>
      </c>
      <c r="L749" s="7338">
        <v>40.0</v>
      </c>
      <c r="M749" s="7338">
        <v>45.0</v>
      </c>
      <c r="N749" s="7340">
        <v>60.0</v>
      </c>
      <c r="O749" s="7321"/>
      <c r="P749" s="7324"/>
      <c r="Q749" s="7324"/>
      <c r="R749" s="7324"/>
    </row>
    <row r="750" ht="18.75" customHeight="1">
      <c r="A750" s="7316"/>
      <c r="B750" s="7331" t="s">
        <v>3082</v>
      </c>
      <c r="C750" s="7332" t="s">
        <v>3083</v>
      </c>
      <c r="D750" s="7333"/>
      <c r="E750" s="7332" t="s">
        <v>1882</v>
      </c>
      <c r="F750" s="7332" t="str">
        <f t="shared" si="38"/>
        <v/>
      </c>
      <c r="G750" s="7332" t="s">
        <v>1929</v>
      </c>
      <c r="H750" s="7332" t="str">
        <f t="shared" si="39"/>
        <v/>
      </c>
      <c r="I750" s="7332">
        <v>70.0</v>
      </c>
      <c r="J750" s="7332">
        <v>135.0</v>
      </c>
      <c r="K750" s="7332">
        <v>105.0</v>
      </c>
      <c r="L750" s="7332">
        <v>60.0</v>
      </c>
      <c r="M750" s="7332">
        <v>105.0</v>
      </c>
      <c r="N750" s="7334">
        <v>20.0</v>
      </c>
      <c r="O750" s="7321"/>
      <c r="P750" s="7324"/>
      <c r="Q750" s="7324"/>
      <c r="R750" s="7324"/>
    </row>
    <row r="751" ht="18.75" customHeight="1">
      <c r="A751" s="7316"/>
      <c r="B751" s="7337" t="s">
        <v>3084</v>
      </c>
      <c r="C751" s="7338" t="s">
        <v>3085</v>
      </c>
      <c r="D751" s="7339"/>
      <c r="E751" s="7338" t="s">
        <v>1848</v>
      </c>
      <c r="F751" s="7338" t="str">
        <f t="shared" si="38"/>
        <v/>
      </c>
      <c r="G751" s="7338" t="s">
        <v>1849</v>
      </c>
      <c r="H751" s="7338" t="str">
        <f t="shared" si="39"/>
        <v/>
      </c>
      <c r="I751" s="7338">
        <v>69.0</v>
      </c>
      <c r="J751" s="7338">
        <v>55.0</v>
      </c>
      <c r="K751" s="7338">
        <v>45.0</v>
      </c>
      <c r="L751" s="7338">
        <v>55.0</v>
      </c>
      <c r="M751" s="7338">
        <v>55.0</v>
      </c>
      <c r="N751" s="7340">
        <v>15.0</v>
      </c>
      <c r="O751" s="7321"/>
      <c r="P751" s="7324"/>
      <c r="Q751" s="7324"/>
      <c r="R751" s="7324"/>
    </row>
    <row r="752" ht="18.75" customHeight="1">
      <c r="A752" s="7316"/>
      <c r="B752" s="7331" t="s">
        <v>1295</v>
      </c>
      <c r="C752" s="7332" t="s">
        <v>3086</v>
      </c>
      <c r="D752" s="7333"/>
      <c r="E752" s="7332" t="s">
        <v>1848</v>
      </c>
      <c r="F752" s="7332" t="str">
        <f t="shared" si="38"/>
        <v/>
      </c>
      <c r="G752" s="7332" t="s">
        <v>1849</v>
      </c>
      <c r="H752" s="7332" t="str">
        <f t="shared" si="39"/>
        <v/>
      </c>
      <c r="I752" s="7332">
        <v>114.0</v>
      </c>
      <c r="J752" s="7332">
        <v>85.0</v>
      </c>
      <c r="K752" s="7332">
        <v>70.0</v>
      </c>
      <c r="L752" s="7332">
        <v>85.0</v>
      </c>
      <c r="M752" s="7332">
        <v>80.0</v>
      </c>
      <c r="N752" s="7334">
        <v>30.0</v>
      </c>
      <c r="O752" s="7321"/>
      <c r="P752" s="7324"/>
      <c r="Q752" s="7324"/>
      <c r="R752" s="7324"/>
    </row>
    <row r="753" ht="18.75" customHeight="1">
      <c r="A753" s="7316"/>
      <c r="B753" s="7337" t="s">
        <v>3087</v>
      </c>
      <c r="C753" s="7338" t="s">
        <v>3088</v>
      </c>
      <c r="D753" s="7339"/>
      <c r="E753" s="7338" t="s">
        <v>1871</v>
      </c>
      <c r="F753" s="7338" t="str">
        <f t="shared" si="38"/>
        <v/>
      </c>
      <c r="G753" s="7338" t="s">
        <v>2097</v>
      </c>
      <c r="H753" s="7338" t="str">
        <f t="shared" si="39"/>
        <v/>
      </c>
      <c r="I753" s="7338">
        <v>55.0</v>
      </c>
      <c r="J753" s="7338">
        <v>40.0</v>
      </c>
      <c r="K753" s="7338">
        <v>50.0</v>
      </c>
      <c r="L753" s="7338">
        <v>65.0</v>
      </c>
      <c r="M753" s="7338">
        <v>85.0</v>
      </c>
      <c r="N753" s="7340">
        <v>40.0</v>
      </c>
      <c r="O753" s="7321"/>
      <c r="P753" s="7324"/>
      <c r="Q753" s="7324"/>
      <c r="R753" s="7324"/>
    </row>
    <row r="754" ht="18.75" customHeight="1">
      <c r="A754" s="7316"/>
      <c r="B754" s="7331" t="s">
        <v>3089</v>
      </c>
      <c r="C754" s="7341" t="s">
        <v>3090</v>
      </c>
      <c r="D754" s="7333"/>
      <c r="E754" s="7332" t="s">
        <v>1871</v>
      </c>
      <c r="F754" s="7332" t="str">
        <f t="shared" si="38"/>
        <v/>
      </c>
      <c r="G754" s="7332" t="s">
        <v>2097</v>
      </c>
      <c r="H754" s="7332" t="str">
        <f t="shared" si="39"/>
        <v/>
      </c>
      <c r="I754" s="7332">
        <v>55.0</v>
      </c>
      <c r="J754" s="7332">
        <v>40.0</v>
      </c>
      <c r="K754" s="7332">
        <v>50.0</v>
      </c>
      <c r="L754" s="7332">
        <v>65.0</v>
      </c>
      <c r="M754" s="7332">
        <v>85.0</v>
      </c>
      <c r="N754" s="7334">
        <v>40.0</v>
      </c>
      <c r="O754" s="7321"/>
      <c r="P754" s="7324"/>
      <c r="Q754" s="7324"/>
      <c r="R754" s="7324"/>
    </row>
    <row r="755" ht="18.75" customHeight="1">
      <c r="A755" s="7316"/>
      <c r="B755" s="7337" t="s">
        <v>3091</v>
      </c>
      <c r="C755" s="7338" t="s">
        <v>3092</v>
      </c>
      <c r="D755" s="7339"/>
      <c r="E755" s="7338" t="s">
        <v>1871</v>
      </c>
      <c r="F755" s="7338" t="str">
        <f t="shared" si="38"/>
        <v/>
      </c>
      <c r="G755" s="7338" t="s">
        <v>2097</v>
      </c>
      <c r="H755" s="7338" t="str">
        <f t="shared" si="39"/>
        <v/>
      </c>
      <c r="I755" s="7338">
        <v>100.0</v>
      </c>
      <c r="J755" s="7338">
        <v>60.0</v>
      </c>
      <c r="K755" s="7338">
        <v>80.0</v>
      </c>
      <c r="L755" s="7338">
        <v>75.0</v>
      </c>
      <c r="M755" s="7338">
        <v>105.0</v>
      </c>
      <c r="N755" s="7340">
        <v>60.0</v>
      </c>
      <c r="O755" s="7321"/>
      <c r="P755" s="7324"/>
      <c r="Q755" s="7324"/>
      <c r="R755" s="7324"/>
    </row>
    <row r="756" ht="18.75" customHeight="1">
      <c r="A756" s="7316"/>
      <c r="B756" s="7331" t="s">
        <v>3093</v>
      </c>
      <c r="C756" s="7341" t="s">
        <v>3094</v>
      </c>
      <c r="D756" s="7333"/>
      <c r="E756" s="7332" t="s">
        <v>1871</v>
      </c>
      <c r="F756" s="7332" t="str">
        <f t="shared" si="38"/>
        <v/>
      </c>
      <c r="G756" s="7332" t="s">
        <v>2097</v>
      </c>
      <c r="H756" s="7332" t="str">
        <f t="shared" si="39"/>
        <v/>
      </c>
      <c r="I756" s="7341">
        <v>100.0</v>
      </c>
      <c r="J756" s="7341">
        <v>60.0</v>
      </c>
      <c r="K756" s="7341">
        <v>70.0</v>
      </c>
      <c r="L756" s="7341">
        <v>85.0</v>
      </c>
      <c r="M756" s="7341">
        <v>105.0</v>
      </c>
      <c r="N756" s="7360">
        <v>60.0</v>
      </c>
      <c r="O756" s="7321"/>
      <c r="P756" s="7324"/>
      <c r="Q756" s="7324"/>
      <c r="R756" s="7324"/>
    </row>
    <row r="757" ht="18.75" customHeight="1">
      <c r="A757" s="7316"/>
      <c r="B757" s="7337" t="s">
        <v>3095</v>
      </c>
      <c r="C757" s="7338" t="s">
        <v>3096</v>
      </c>
      <c r="D757" s="7339"/>
      <c r="E757" s="7338" t="s">
        <v>1871</v>
      </c>
      <c r="F757" s="7338" t="str">
        <f t="shared" si="38"/>
        <v/>
      </c>
      <c r="G757" s="7338"/>
      <c r="H757" s="7338" t="str">
        <f t="shared" si="39"/>
        <v/>
      </c>
      <c r="I757" s="7338">
        <v>165.0</v>
      </c>
      <c r="J757" s="7338">
        <v>75.0</v>
      </c>
      <c r="K757" s="7338">
        <v>80.0</v>
      </c>
      <c r="L757" s="7338">
        <v>40.0</v>
      </c>
      <c r="M757" s="7338">
        <v>45.0</v>
      </c>
      <c r="N757" s="7340">
        <v>65.0</v>
      </c>
      <c r="O757" s="7321"/>
      <c r="P757" s="7324"/>
      <c r="Q757" s="7324"/>
      <c r="R757" s="7324"/>
    </row>
    <row r="758" ht="18.75" customHeight="1">
      <c r="A758" s="7316"/>
      <c r="B758" s="7331" t="s">
        <v>3097</v>
      </c>
      <c r="C758" s="7332" t="s">
        <v>3098</v>
      </c>
      <c r="D758" s="7333"/>
      <c r="E758" s="7332" t="s">
        <v>1882</v>
      </c>
      <c r="F758" s="7332" t="str">
        <f t="shared" si="38"/>
        <v/>
      </c>
      <c r="G758" s="7332" t="s">
        <v>1926</v>
      </c>
      <c r="H758" s="7332" t="str">
        <f t="shared" si="39"/>
        <v/>
      </c>
      <c r="I758" s="7332">
        <v>50.0</v>
      </c>
      <c r="J758" s="7332">
        <v>47.0</v>
      </c>
      <c r="K758" s="7332">
        <v>50.0</v>
      </c>
      <c r="L758" s="7332">
        <v>57.0</v>
      </c>
      <c r="M758" s="7332">
        <v>50.0</v>
      </c>
      <c r="N758" s="7334">
        <v>65.0</v>
      </c>
      <c r="O758" s="7321"/>
      <c r="P758" s="7324"/>
      <c r="Q758" s="7324"/>
      <c r="R758" s="7324"/>
    </row>
    <row r="759" ht="18.75" customHeight="1">
      <c r="A759" s="7316"/>
      <c r="B759" s="7337" t="s">
        <v>1272</v>
      </c>
      <c r="C759" s="7338" t="s">
        <v>3099</v>
      </c>
      <c r="D759" s="7339"/>
      <c r="E759" s="7338" t="s">
        <v>1882</v>
      </c>
      <c r="F759" s="7338" t="str">
        <f t="shared" si="38"/>
        <v/>
      </c>
      <c r="G759" s="7338" t="s">
        <v>1926</v>
      </c>
      <c r="H759" s="7338" t="str">
        <f t="shared" si="39"/>
        <v/>
      </c>
      <c r="I759" s="7338">
        <v>70.0</v>
      </c>
      <c r="J759" s="7338">
        <v>77.0</v>
      </c>
      <c r="K759" s="7338">
        <v>60.0</v>
      </c>
      <c r="L759" s="7338">
        <v>97.0</v>
      </c>
      <c r="M759" s="7338">
        <v>60.0</v>
      </c>
      <c r="N759" s="7340">
        <v>108.0</v>
      </c>
      <c r="O759" s="7321"/>
      <c r="P759" s="7324"/>
      <c r="Q759" s="7324"/>
      <c r="R759" s="7324"/>
    </row>
    <row r="760" ht="18.75" customHeight="1">
      <c r="A760" s="7316"/>
      <c r="B760" s="7331" t="s">
        <v>3100</v>
      </c>
      <c r="C760" s="7332" t="s">
        <v>3101</v>
      </c>
      <c r="D760" s="7333"/>
      <c r="E760" s="7332" t="s">
        <v>1848</v>
      </c>
      <c r="F760" s="7332" t="str">
        <f t="shared" si="38"/>
        <v/>
      </c>
      <c r="G760" s="7332" t="s">
        <v>1929</v>
      </c>
      <c r="H760" s="7332" t="str">
        <f t="shared" si="39"/>
        <v/>
      </c>
      <c r="I760" s="7332">
        <v>44.0</v>
      </c>
      <c r="J760" s="7332">
        <v>50.0</v>
      </c>
      <c r="K760" s="7332">
        <v>91.0</v>
      </c>
      <c r="L760" s="7332">
        <v>24.0</v>
      </c>
      <c r="M760" s="7332">
        <v>86.0</v>
      </c>
      <c r="N760" s="7334">
        <v>10.0</v>
      </c>
      <c r="O760" s="7321"/>
      <c r="P760" s="7324"/>
      <c r="Q760" s="7324"/>
      <c r="R760" s="7324"/>
    </row>
    <row r="761" ht="18.75" customHeight="1">
      <c r="A761" s="7316"/>
      <c r="B761" s="7337" t="s">
        <v>445</v>
      </c>
      <c r="C761" s="7338" t="s">
        <v>3102</v>
      </c>
      <c r="D761" s="7339"/>
      <c r="E761" s="7342" t="s">
        <v>1848</v>
      </c>
      <c r="F761" s="7342" t="str">
        <f t="shared" si="38"/>
        <v/>
      </c>
      <c r="G761" s="7342" t="s">
        <v>1929</v>
      </c>
      <c r="H761" s="7342" t="str">
        <f t="shared" si="39"/>
        <v/>
      </c>
      <c r="I761" s="7338">
        <v>74.0</v>
      </c>
      <c r="J761" s="7338">
        <v>94.0</v>
      </c>
      <c r="K761" s="7338">
        <v>131.0</v>
      </c>
      <c r="L761" s="7338">
        <v>54.0</v>
      </c>
      <c r="M761" s="7338">
        <v>116.0</v>
      </c>
      <c r="N761" s="7340">
        <v>20.0</v>
      </c>
      <c r="O761" s="7321"/>
      <c r="P761" s="7324"/>
      <c r="Q761" s="7324"/>
      <c r="R761" s="7324"/>
    </row>
    <row r="762" ht="18.75" customHeight="1">
      <c r="A762" s="7316"/>
      <c r="B762" s="7331" t="s">
        <v>3103</v>
      </c>
      <c r="C762" s="7332" t="s">
        <v>3104</v>
      </c>
      <c r="D762" s="7333"/>
      <c r="E762" s="7332" t="s">
        <v>1929</v>
      </c>
      <c r="F762" s="7332" t="str">
        <f t="shared" si="38"/>
        <v/>
      </c>
      <c r="G762" s="7332"/>
      <c r="H762" s="7332" t="str">
        <f t="shared" si="39"/>
        <v/>
      </c>
      <c r="I762" s="7332">
        <v>40.0</v>
      </c>
      <c r="J762" s="7332">
        <v>55.0</v>
      </c>
      <c r="K762" s="7332">
        <v>70.0</v>
      </c>
      <c r="L762" s="7332">
        <v>45.0</v>
      </c>
      <c r="M762" s="7332">
        <v>60.0</v>
      </c>
      <c r="N762" s="7334">
        <v>30.0</v>
      </c>
      <c r="O762" s="7321"/>
      <c r="P762" s="7324"/>
      <c r="Q762" s="7324"/>
      <c r="R762" s="7324"/>
    </row>
    <row r="763" ht="18.75" customHeight="1">
      <c r="A763" s="7316"/>
      <c r="B763" s="7337" t="s">
        <v>3105</v>
      </c>
      <c r="C763" s="7338" t="s">
        <v>3106</v>
      </c>
      <c r="D763" s="7339"/>
      <c r="E763" s="7338" t="s">
        <v>1929</v>
      </c>
      <c r="F763" s="7338" t="str">
        <f t="shared" si="38"/>
        <v/>
      </c>
      <c r="G763" s="7338"/>
      <c r="H763" s="7338" t="str">
        <f t="shared" si="39"/>
        <v/>
      </c>
      <c r="I763" s="7338">
        <v>60.0</v>
      </c>
      <c r="J763" s="7338">
        <v>80.0</v>
      </c>
      <c r="K763" s="7338">
        <v>95.0</v>
      </c>
      <c r="L763" s="7338">
        <v>70.0</v>
      </c>
      <c r="M763" s="7338">
        <v>85.0</v>
      </c>
      <c r="N763" s="7340">
        <v>50.0</v>
      </c>
      <c r="O763" s="7321"/>
      <c r="P763" s="7324"/>
      <c r="Q763" s="7324"/>
      <c r="R763" s="7324"/>
    </row>
    <row r="764" ht="18.75" customHeight="1">
      <c r="A764" s="7316"/>
      <c r="B764" s="7331" t="s">
        <v>3107</v>
      </c>
      <c r="C764" s="7332" t="s">
        <v>3108</v>
      </c>
      <c r="D764" s="7333"/>
      <c r="E764" s="7332" t="s">
        <v>1929</v>
      </c>
      <c r="F764" s="7332" t="str">
        <f t="shared" si="38"/>
        <v/>
      </c>
      <c r="G764" s="7332"/>
      <c r="H764" s="7332" t="str">
        <f t="shared" si="39"/>
        <v/>
      </c>
      <c r="I764" s="7332">
        <v>60.0</v>
      </c>
      <c r="J764" s="7332">
        <v>100.0</v>
      </c>
      <c r="K764" s="7332">
        <v>115.0</v>
      </c>
      <c r="L764" s="7332">
        <v>70.0</v>
      </c>
      <c r="M764" s="7332">
        <v>85.0</v>
      </c>
      <c r="N764" s="7334">
        <v>90.0</v>
      </c>
      <c r="O764" s="7321"/>
      <c r="P764" s="7324"/>
      <c r="Q764" s="7324"/>
      <c r="R764" s="7324"/>
    </row>
    <row r="765" ht="18.75" customHeight="1">
      <c r="A765" s="7316"/>
      <c r="B765" s="7337" t="s">
        <v>3109</v>
      </c>
      <c r="C765" s="7338" t="s">
        <v>3110</v>
      </c>
      <c r="D765" s="7339"/>
      <c r="E765" s="7338" t="s">
        <v>1926</v>
      </c>
      <c r="F765" s="7338" t="str">
        <f t="shared" si="38"/>
        <v/>
      </c>
      <c r="G765" s="7338"/>
      <c r="H765" s="7338" t="str">
        <f t="shared" si="39"/>
        <v/>
      </c>
      <c r="I765" s="7338">
        <v>35.0</v>
      </c>
      <c r="J765" s="7338">
        <v>55.0</v>
      </c>
      <c r="K765" s="7338">
        <v>40.0</v>
      </c>
      <c r="L765" s="7338">
        <v>45.0</v>
      </c>
      <c r="M765" s="7338">
        <v>40.0</v>
      </c>
      <c r="N765" s="7340">
        <v>60.0</v>
      </c>
      <c r="O765" s="7321"/>
      <c r="P765" s="7324"/>
      <c r="Q765" s="7324"/>
      <c r="R765" s="7324"/>
    </row>
    <row r="766" ht="18.75" customHeight="1">
      <c r="A766" s="7316"/>
      <c r="B766" s="7331" t="s">
        <v>3111</v>
      </c>
      <c r="C766" s="7332" t="s">
        <v>3112</v>
      </c>
      <c r="D766" s="7333"/>
      <c r="E766" s="7332" t="s">
        <v>1926</v>
      </c>
      <c r="F766" s="7332" t="str">
        <f t="shared" si="38"/>
        <v/>
      </c>
      <c r="G766" s="7332"/>
      <c r="H766" s="7332" t="str">
        <f t="shared" si="39"/>
        <v/>
      </c>
      <c r="I766" s="7332">
        <v>65.0</v>
      </c>
      <c r="J766" s="7332">
        <v>85.0</v>
      </c>
      <c r="K766" s="7332">
        <v>70.0</v>
      </c>
      <c r="L766" s="7332">
        <v>75.0</v>
      </c>
      <c r="M766" s="7332">
        <v>70.0</v>
      </c>
      <c r="N766" s="7334">
        <v>40.0</v>
      </c>
      <c r="O766" s="7321"/>
      <c r="P766" s="7324"/>
      <c r="Q766" s="7324"/>
      <c r="R766" s="7324"/>
    </row>
    <row r="767" ht="18.75" customHeight="1">
      <c r="A767" s="7316"/>
      <c r="B767" s="7337" t="s">
        <v>881</v>
      </c>
      <c r="C767" s="7338" t="s">
        <v>3113</v>
      </c>
      <c r="D767" s="7339"/>
      <c r="E767" s="7338" t="s">
        <v>1926</v>
      </c>
      <c r="F767" s="7338" t="str">
        <f t="shared" si="38"/>
        <v/>
      </c>
      <c r="G767" s="7338"/>
      <c r="H767" s="7338" t="str">
        <f t="shared" si="39"/>
        <v/>
      </c>
      <c r="I767" s="7338">
        <v>85.0</v>
      </c>
      <c r="J767" s="7338">
        <v>105.0</v>
      </c>
      <c r="K767" s="7338">
        <v>80.0</v>
      </c>
      <c r="L767" s="7338">
        <v>115.0</v>
      </c>
      <c r="M767" s="7338">
        <v>80.0</v>
      </c>
      <c r="N767" s="7340">
        <v>50.0</v>
      </c>
      <c r="O767" s="7321"/>
      <c r="P767" s="7324"/>
      <c r="Q767" s="7324"/>
      <c r="R767" s="7324"/>
    </row>
    <row r="768" ht="18.75" customHeight="1">
      <c r="A768" s="7316"/>
      <c r="B768" s="7331" t="s">
        <v>3114</v>
      </c>
      <c r="C768" s="7332" t="s">
        <v>3115</v>
      </c>
      <c r="D768" s="7333"/>
      <c r="E768" s="7332" t="s">
        <v>561</v>
      </c>
      <c r="F768" s="7332" t="str">
        <f t="shared" si="38"/>
        <v/>
      </c>
      <c r="G768" s="7332"/>
      <c r="H768" s="7332" t="str">
        <f t="shared" si="39"/>
        <v/>
      </c>
      <c r="I768" s="7332">
        <v>55.0</v>
      </c>
      <c r="J768" s="7332">
        <v>55.0</v>
      </c>
      <c r="K768" s="7332">
        <v>55.0</v>
      </c>
      <c r="L768" s="7332">
        <v>85.0</v>
      </c>
      <c r="M768" s="7332">
        <v>55.0</v>
      </c>
      <c r="N768" s="7334">
        <v>30.0</v>
      </c>
      <c r="O768" s="7321"/>
      <c r="P768" s="7324"/>
      <c r="Q768" s="7324"/>
      <c r="R768" s="7324"/>
    </row>
    <row r="769" ht="18.75" customHeight="1">
      <c r="A769" s="7316"/>
      <c r="B769" s="7337" t="s">
        <v>3116</v>
      </c>
      <c r="C769" s="7338" t="s">
        <v>3117</v>
      </c>
      <c r="D769" s="7339"/>
      <c r="E769" s="7338" t="s">
        <v>561</v>
      </c>
      <c r="F769" s="7338" t="str">
        <f t="shared" si="38"/>
        <v/>
      </c>
      <c r="G769" s="7338"/>
      <c r="H769" s="7338" t="str">
        <f t="shared" si="39"/>
        <v/>
      </c>
      <c r="I769" s="7338">
        <v>95.0</v>
      </c>
      <c r="J769" s="7338">
        <v>75.0</v>
      </c>
      <c r="K769" s="7338">
        <v>75.0</v>
      </c>
      <c r="L769" s="7338">
        <v>125.0</v>
      </c>
      <c r="M769" s="7338">
        <v>95.0</v>
      </c>
      <c r="N769" s="7340">
        <v>40.0</v>
      </c>
      <c r="O769" s="7321"/>
      <c r="P769" s="7324"/>
      <c r="Q769" s="7324"/>
      <c r="R769" s="7324"/>
    </row>
    <row r="770" ht="18.75" customHeight="1">
      <c r="A770" s="7316"/>
      <c r="B770" s="7331" t="s">
        <v>3118</v>
      </c>
      <c r="C770" s="7332" t="s">
        <v>3119</v>
      </c>
      <c r="D770" s="7333"/>
      <c r="E770" s="7332" t="s">
        <v>2097</v>
      </c>
      <c r="F770" s="7332" t="str">
        <f t="shared" si="38"/>
        <v/>
      </c>
      <c r="G770" s="7332" t="s">
        <v>1858</v>
      </c>
      <c r="H770" s="7332" t="str">
        <f t="shared" si="39"/>
        <v/>
      </c>
      <c r="I770" s="7332">
        <v>50.0</v>
      </c>
      <c r="J770" s="7332">
        <v>30.0</v>
      </c>
      <c r="K770" s="7332">
        <v>55.0</v>
      </c>
      <c r="L770" s="7332">
        <v>65.0</v>
      </c>
      <c r="M770" s="7332">
        <v>55.0</v>
      </c>
      <c r="N770" s="7334">
        <v>20.0</v>
      </c>
      <c r="O770" s="7321"/>
      <c r="P770" s="7324"/>
      <c r="Q770" s="7324"/>
      <c r="R770" s="7324"/>
    </row>
    <row r="771" ht="18.75" customHeight="1">
      <c r="A771" s="7316"/>
      <c r="B771" s="7337" t="s">
        <v>3120</v>
      </c>
      <c r="C771" s="7338" t="s">
        <v>3121</v>
      </c>
      <c r="D771" s="7339"/>
      <c r="E771" s="7338" t="s">
        <v>2097</v>
      </c>
      <c r="F771" s="7338" t="str">
        <f t="shared" si="38"/>
        <v/>
      </c>
      <c r="G771" s="7338" t="s">
        <v>1858</v>
      </c>
      <c r="H771" s="7338" t="str">
        <f t="shared" si="39"/>
        <v/>
      </c>
      <c r="I771" s="7338">
        <v>60.0</v>
      </c>
      <c r="J771" s="7338">
        <v>40.0</v>
      </c>
      <c r="K771" s="7338">
        <v>60.0</v>
      </c>
      <c r="L771" s="7338">
        <v>95.0</v>
      </c>
      <c r="M771" s="7338">
        <v>60.0</v>
      </c>
      <c r="N771" s="7340">
        <v>55.0</v>
      </c>
      <c r="O771" s="7321"/>
      <c r="P771" s="7324"/>
      <c r="Q771" s="7324"/>
      <c r="R771" s="7324"/>
    </row>
    <row r="772" ht="18.75" customHeight="1">
      <c r="A772" s="7316"/>
      <c r="B772" s="7331" t="s">
        <v>1130</v>
      </c>
      <c r="C772" s="7332" t="s">
        <v>3122</v>
      </c>
      <c r="D772" s="7333"/>
      <c r="E772" s="7332" t="s">
        <v>2097</v>
      </c>
      <c r="F772" s="7332" t="str">
        <f t="shared" si="38"/>
        <v/>
      </c>
      <c r="G772" s="7332" t="s">
        <v>1858</v>
      </c>
      <c r="H772" s="7332" t="str">
        <f t="shared" si="39"/>
        <v/>
      </c>
      <c r="I772" s="7332">
        <v>60.0</v>
      </c>
      <c r="J772" s="7332">
        <v>55.0</v>
      </c>
      <c r="K772" s="7332">
        <v>90.0</v>
      </c>
      <c r="L772" s="7332">
        <v>145.0</v>
      </c>
      <c r="M772" s="7332">
        <v>90.0</v>
      </c>
      <c r="N772" s="7334">
        <v>80.0</v>
      </c>
      <c r="O772" s="7321"/>
      <c r="P772" s="7324"/>
      <c r="Q772" s="7324"/>
      <c r="R772" s="7324"/>
    </row>
    <row r="773" ht="18.75" customHeight="1">
      <c r="A773" s="7316"/>
      <c r="B773" s="7337" t="s">
        <v>3123</v>
      </c>
      <c r="C773" s="7338" t="s">
        <v>3124</v>
      </c>
      <c r="D773" s="7339"/>
      <c r="E773" s="7338" t="s">
        <v>1866</v>
      </c>
      <c r="F773" s="7338" t="str">
        <f t="shared" si="38"/>
        <v/>
      </c>
      <c r="G773" s="7338"/>
      <c r="H773" s="7338" t="str">
        <f t="shared" si="39"/>
        <v/>
      </c>
      <c r="I773" s="7338">
        <v>46.0</v>
      </c>
      <c r="J773" s="7338">
        <v>87.0</v>
      </c>
      <c r="K773" s="7338">
        <v>60.0</v>
      </c>
      <c r="L773" s="7338">
        <v>30.0</v>
      </c>
      <c r="M773" s="7338">
        <v>40.0</v>
      </c>
      <c r="N773" s="7340">
        <v>57.0</v>
      </c>
      <c r="O773" s="7321"/>
      <c r="P773" s="7324"/>
      <c r="Q773" s="7324"/>
      <c r="R773" s="7324"/>
    </row>
    <row r="774" ht="18.75" customHeight="1">
      <c r="A774" s="7316"/>
      <c r="B774" s="7331" t="s">
        <v>3125</v>
      </c>
      <c r="C774" s="7332" t="s">
        <v>3126</v>
      </c>
      <c r="D774" s="7333"/>
      <c r="E774" s="7332" t="s">
        <v>1866</v>
      </c>
      <c r="F774" s="7332" t="str">
        <f t="shared" si="38"/>
        <v/>
      </c>
      <c r="G774" s="7332"/>
      <c r="H774" s="7332" t="str">
        <f t="shared" si="39"/>
        <v/>
      </c>
      <c r="I774" s="7332">
        <v>66.0</v>
      </c>
      <c r="J774" s="7332">
        <v>117.0</v>
      </c>
      <c r="K774" s="7332">
        <v>70.0</v>
      </c>
      <c r="L774" s="7332">
        <v>40.0</v>
      </c>
      <c r="M774" s="7332">
        <v>50.0</v>
      </c>
      <c r="N774" s="7334">
        <v>67.0</v>
      </c>
      <c r="O774" s="7321"/>
      <c r="P774" s="7324"/>
      <c r="Q774" s="7324"/>
      <c r="R774" s="7324"/>
    </row>
    <row r="775" ht="18.75" customHeight="1">
      <c r="A775" s="7316"/>
      <c r="B775" s="7337" t="s">
        <v>1709</v>
      </c>
      <c r="C775" s="7338" t="s">
        <v>3127</v>
      </c>
      <c r="D775" s="7339"/>
      <c r="E775" s="7342" t="s">
        <v>1866</v>
      </c>
      <c r="F775" s="7342" t="str">
        <f t="shared" si="38"/>
        <v/>
      </c>
      <c r="G775" s="7342"/>
      <c r="H775" s="7342" t="str">
        <f t="shared" si="39"/>
        <v/>
      </c>
      <c r="I775" s="7338">
        <v>76.0</v>
      </c>
      <c r="J775" s="7338">
        <v>147.0</v>
      </c>
      <c r="K775" s="7338">
        <v>90.0</v>
      </c>
      <c r="L775" s="7338">
        <v>60.0</v>
      </c>
      <c r="M775" s="7338">
        <v>70.0</v>
      </c>
      <c r="N775" s="7340">
        <v>97.0</v>
      </c>
      <c r="O775" s="7321"/>
      <c r="P775" s="7324"/>
      <c r="Q775" s="7324"/>
      <c r="R775" s="7324"/>
    </row>
    <row r="776" ht="18.75" customHeight="1">
      <c r="A776" s="7316"/>
      <c r="B776" s="7331" t="s">
        <v>3128</v>
      </c>
      <c r="C776" s="7332" t="s">
        <v>3129</v>
      </c>
      <c r="D776" s="7333"/>
      <c r="E776" s="7332" t="s">
        <v>1932</v>
      </c>
      <c r="F776" s="7332" t="str">
        <f t="shared" si="38"/>
        <v/>
      </c>
      <c r="G776" s="7332"/>
      <c r="H776" s="7332" t="str">
        <f t="shared" si="39"/>
        <v/>
      </c>
      <c r="I776" s="7332">
        <v>55.0</v>
      </c>
      <c r="J776" s="7332">
        <v>70.0</v>
      </c>
      <c r="K776" s="7332">
        <v>40.0</v>
      </c>
      <c r="L776" s="7332">
        <v>60.0</v>
      </c>
      <c r="M776" s="7332">
        <v>40.0</v>
      </c>
      <c r="N776" s="7334">
        <v>40.0</v>
      </c>
      <c r="O776" s="7321"/>
      <c r="P776" s="7324"/>
      <c r="Q776" s="7324"/>
      <c r="R776" s="7324"/>
    </row>
    <row r="777" ht="18.75" customHeight="1">
      <c r="A777" s="7316"/>
      <c r="B777" s="7337" t="s">
        <v>3130</v>
      </c>
      <c r="C777" s="7338" t="s">
        <v>3131</v>
      </c>
      <c r="D777" s="7339"/>
      <c r="E777" s="7338" t="s">
        <v>1932</v>
      </c>
      <c r="F777" s="7338" t="str">
        <f t="shared" si="38"/>
        <v/>
      </c>
      <c r="G777" s="7338" t="s">
        <v>1939</v>
      </c>
      <c r="H777" s="7338" t="str">
        <f t="shared" si="39"/>
        <v/>
      </c>
      <c r="I777" s="7338">
        <v>95.0</v>
      </c>
      <c r="J777" s="7338">
        <v>140.0</v>
      </c>
      <c r="K777" s="7338">
        <v>80.0</v>
      </c>
      <c r="L777" s="7338">
        <v>70.0</v>
      </c>
      <c r="M777" s="7338">
        <v>80.0</v>
      </c>
      <c r="N777" s="7340">
        <v>50.0</v>
      </c>
      <c r="O777" s="7321"/>
      <c r="P777" s="7324"/>
      <c r="Q777" s="7324"/>
      <c r="R777" s="7324"/>
    </row>
    <row r="778" ht="18.75" customHeight="1">
      <c r="A778" s="7316"/>
      <c r="B778" s="7331" t="s">
        <v>3132</v>
      </c>
      <c r="C778" s="7332" t="s">
        <v>3133</v>
      </c>
      <c r="D778" s="7333"/>
      <c r="E778" s="7332" t="s">
        <v>1932</v>
      </c>
      <c r="F778" s="7332" t="str">
        <f t="shared" si="38"/>
        <v/>
      </c>
      <c r="G778" s="7332"/>
      <c r="H778" s="7332" t="str">
        <f t="shared" si="39"/>
        <v/>
      </c>
      <c r="I778" s="7332">
        <v>80.0</v>
      </c>
      <c r="J778" s="7332">
        <v>50.0</v>
      </c>
      <c r="K778" s="7332">
        <v>50.0</v>
      </c>
      <c r="L778" s="7332">
        <v>110.0</v>
      </c>
      <c r="M778" s="7332">
        <v>135.0</v>
      </c>
      <c r="N778" s="7334">
        <v>105.0</v>
      </c>
      <c r="O778" s="7321"/>
      <c r="P778" s="7324"/>
      <c r="Q778" s="7324"/>
      <c r="R778" s="7324"/>
    </row>
    <row r="779" ht="18.75" customHeight="1">
      <c r="A779" s="7316"/>
      <c r="B779" s="7337" t="s">
        <v>3134</v>
      </c>
      <c r="C779" s="7338" t="s">
        <v>3135</v>
      </c>
      <c r="D779" s="7339"/>
      <c r="E779" s="7338" t="s">
        <v>1882</v>
      </c>
      <c r="F779" s="7338" t="str">
        <f t="shared" si="38"/>
        <v/>
      </c>
      <c r="G779" s="7338"/>
      <c r="H779" s="7338" t="str">
        <f t="shared" si="39"/>
        <v/>
      </c>
      <c r="I779" s="7338">
        <v>50.0</v>
      </c>
      <c r="J779" s="7338">
        <v>40.0</v>
      </c>
      <c r="K779" s="7338">
        <v>85.0</v>
      </c>
      <c r="L779" s="7338">
        <v>40.0</v>
      </c>
      <c r="M779" s="7338">
        <v>65.0</v>
      </c>
      <c r="N779" s="7340">
        <v>25.0</v>
      </c>
      <c r="O779" s="7321"/>
      <c r="P779" s="7324"/>
      <c r="Q779" s="7324"/>
      <c r="R779" s="7324"/>
    </row>
    <row r="780" ht="18.75" customHeight="1">
      <c r="A780" s="7316"/>
      <c r="B780" s="7331" t="s">
        <v>323</v>
      </c>
      <c r="C780" s="7332" t="s">
        <v>3136</v>
      </c>
      <c r="D780" s="7333"/>
      <c r="E780" s="7332" t="s">
        <v>1882</v>
      </c>
      <c r="F780" s="7332" t="str">
        <f t="shared" si="38"/>
        <v/>
      </c>
      <c r="G780" s="7332"/>
      <c r="H780" s="7332" t="str">
        <f t="shared" si="39"/>
        <v/>
      </c>
      <c r="I780" s="7332">
        <v>80.0</v>
      </c>
      <c r="J780" s="7332">
        <v>70.0</v>
      </c>
      <c r="K780" s="7332">
        <v>40.0</v>
      </c>
      <c r="L780" s="7332">
        <v>100.0</v>
      </c>
      <c r="M780" s="7332">
        <v>60.0</v>
      </c>
      <c r="N780" s="7334">
        <v>145.0</v>
      </c>
      <c r="O780" s="7321"/>
      <c r="P780" s="7324"/>
      <c r="Q780" s="7324"/>
      <c r="R780" s="7324"/>
    </row>
    <row r="781" ht="18.75" customHeight="1">
      <c r="A781" s="7316"/>
      <c r="B781" s="7337" t="s">
        <v>1203</v>
      </c>
      <c r="C781" s="7338" t="s">
        <v>3137</v>
      </c>
      <c r="D781" s="7339"/>
      <c r="E781" s="7338" t="s">
        <v>1948</v>
      </c>
      <c r="F781" s="7338" t="str">
        <f t="shared" si="38"/>
        <v/>
      </c>
      <c r="G781" s="7338" t="s">
        <v>1926</v>
      </c>
      <c r="H781" s="7338" t="str">
        <f t="shared" si="39"/>
        <v/>
      </c>
      <c r="I781" s="7338">
        <v>109.0</v>
      </c>
      <c r="J781" s="7338">
        <v>66.0</v>
      </c>
      <c r="K781" s="7338">
        <v>84.0</v>
      </c>
      <c r="L781" s="7338">
        <v>81.0</v>
      </c>
      <c r="M781" s="7338">
        <v>99.0</v>
      </c>
      <c r="N781" s="7340">
        <v>32.0</v>
      </c>
      <c r="O781" s="7321"/>
      <c r="P781" s="7324"/>
      <c r="Q781" s="7324"/>
      <c r="R781" s="7324"/>
    </row>
    <row r="782" ht="18.75" customHeight="1">
      <c r="A782" s="7316"/>
      <c r="B782" s="7331" t="s">
        <v>3138</v>
      </c>
      <c r="C782" s="7341" t="s">
        <v>3139</v>
      </c>
      <c r="D782" s="7333"/>
      <c r="E782" s="7332" t="s">
        <v>1948</v>
      </c>
      <c r="F782" s="7332" t="str">
        <f t="shared" si="38"/>
        <v/>
      </c>
      <c r="G782" s="7332" t="s">
        <v>1929</v>
      </c>
      <c r="H782" s="7332" t="str">
        <f t="shared" si="39"/>
        <v/>
      </c>
      <c r="I782" s="7332">
        <v>109.0</v>
      </c>
      <c r="J782" s="7332">
        <v>81.0</v>
      </c>
      <c r="K782" s="7332">
        <v>99.0</v>
      </c>
      <c r="L782" s="7332">
        <v>66.0</v>
      </c>
      <c r="M782" s="7332">
        <v>84.0</v>
      </c>
      <c r="N782" s="7334">
        <v>32.0</v>
      </c>
      <c r="O782" s="7321"/>
      <c r="P782" s="7324"/>
      <c r="Q782" s="7324"/>
      <c r="R782" s="7324"/>
    </row>
    <row r="783" ht="18.75" customHeight="1">
      <c r="A783" s="7316"/>
      <c r="B783" s="7337" t="s">
        <v>3140</v>
      </c>
      <c r="C783" s="7338" t="s">
        <v>3141</v>
      </c>
      <c r="D783" s="7339"/>
      <c r="E783" s="7338" t="s">
        <v>1939</v>
      </c>
      <c r="F783" s="7338" t="str">
        <f t="shared" si="38"/>
        <v/>
      </c>
      <c r="G783" s="7338"/>
      <c r="H783" s="7338" t="str">
        <f t="shared" si="39"/>
        <v/>
      </c>
      <c r="I783" s="7338">
        <v>45.0</v>
      </c>
      <c r="J783" s="7338">
        <v>85.0</v>
      </c>
      <c r="K783" s="7338">
        <v>50.0</v>
      </c>
      <c r="L783" s="7338">
        <v>55.0</v>
      </c>
      <c r="M783" s="7338">
        <v>50.0</v>
      </c>
      <c r="N783" s="7340">
        <v>65.0</v>
      </c>
      <c r="O783" s="7321"/>
      <c r="P783" s="7324"/>
      <c r="Q783" s="7324"/>
      <c r="R783" s="7324"/>
    </row>
    <row r="784" ht="18.75" customHeight="1">
      <c r="A784" s="7316"/>
      <c r="B784" s="7331" t="s">
        <v>1174</v>
      </c>
      <c r="C784" s="7332" t="s">
        <v>3142</v>
      </c>
      <c r="D784" s="7333"/>
      <c r="E784" s="7332" t="s">
        <v>1939</v>
      </c>
      <c r="F784" s="7332" t="str">
        <f t="shared" si="38"/>
        <v/>
      </c>
      <c r="G784" s="7332"/>
      <c r="H784" s="7332" t="str">
        <f t="shared" si="39"/>
        <v/>
      </c>
      <c r="I784" s="7332">
        <v>65.0</v>
      </c>
      <c r="J784" s="7332">
        <v>125.0</v>
      </c>
      <c r="K784" s="7332">
        <v>60.0</v>
      </c>
      <c r="L784" s="7332">
        <v>95.0</v>
      </c>
      <c r="M784" s="7332">
        <v>60.0</v>
      </c>
      <c r="N784" s="7334">
        <v>105.0</v>
      </c>
      <c r="O784" s="7321"/>
      <c r="P784" s="7324"/>
      <c r="Q784" s="7324"/>
      <c r="R784" s="7324"/>
    </row>
    <row r="785" ht="18.75" customHeight="1">
      <c r="A785" s="7316"/>
      <c r="B785" s="7337" t="s">
        <v>3143</v>
      </c>
      <c r="C785" s="7338" t="s">
        <v>3144</v>
      </c>
      <c r="D785" s="7339"/>
      <c r="E785" s="7338" t="s">
        <v>1866</v>
      </c>
      <c r="F785" s="7338" t="str">
        <f t="shared" si="38"/>
        <v/>
      </c>
      <c r="G785" s="7338"/>
      <c r="H785" s="7338" t="str">
        <f t="shared" si="39"/>
        <v/>
      </c>
      <c r="I785" s="7338">
        <v>90.0</v>
      </c>
      <c r="J785" s="7338">
        <v>120.0</v>
      </c>
      <c r="K785" s="7338">
        <v>90.0</v>
      </c>
      <c r="L785" s="7338">
        <v>60.0</v>
      </c>
      <c r="M785" s="7338">
        <v>90.0</v>
      </c>
      <c r="N785" s="7340">
        <v>41.0</v>
      </c>
      <c r="O785" s="7321"/>
      <c r="P785" s="7324"/>
      <c r="Q785" s="7324"/>
      <c r="R785" s="7324"/>
    </row>
    <row r="786" ht="18.75" customHeight="1">
      <c r="A786" s="7316"/>
      <c r="B786" s="7331" t="s">
        <v>3145</v>
      </c>
      <c r="C786" s="7332" t="s">
        <v>3146</v>
      </c>
      <c r="D786" s="7333"/>
      <c r="E786" s="7332" t="s">
        <v>1948</v>
      </c>
      <c r="F786" s="7332" t="str">
        <f t="shared" si="38"/>
        <v/>
      </c>
      <c r="G786" s="7332" t="s">
        <v>2097</v>
      </c>
      <c r="H786" s="7332" t="str">
        <f t="shared" si="39"/>
        <v/>
      </c>
      <c r="I786" s="7332">
        <v>59.0</v>
      </c>
      <c r="J786" s="7332">
        <v>74.0</v>
      </c>
      <c r="K786" s="7332">
        <v>50.0</v>
      </c>
      <c r="L786" s="7332">
        <v>35.0</v>
      </c>
      <c r="M786" s="7332">
        <v>50.0</v>
      </c>
      <c r="N786" s="7334">
        <v>35.0</v>
      </c>
      <c r="O786" s="7321"/>
      <c r="P786" s="7324"/>
      <c r="Q786" s="7324"/>
      <c r="R786" s="7324"/>
    </row>
    <row r="787" ht="18.75" customHeight="1">
      <c r="A787" s="7316"/>
      <c r="B787" s="7337" t="s">
        <v>3147</v>
      </c>
      <c r="C787" s="7338" t="s">
        <v>3148</v>
      </c>
      <c r="D787" s="7339"/>
      <c r="E787" s="7338" t="s">
        <v>1948</v>
      </c>
      <c r="F787" s="7338" t="str">
        <f t="shared" si="38"/>
        <v/>
      </c>
      <c r="G787" s="7338" t="s">
        <v>2097</v>
      </c>
      <c r="H787" s="7338" t="str">
        <f t="shared" si="39"/>
        <v/>
      </c>
      <c r="I787" s="7338">
        <v>100.0</v>
      </c>
      <c r="J787" s="7338">
        <v>124.0</v>
      </c>
      <c r="K787" s="7338">
        <v>90.0</v>
      </c>
      <c r="L787" s="7338">
        <v>55.0</v>
      </c>
      <c r="M787" s="7338">
        <v>90.0</v>
      </c>
      <c r="N787" s="7340">
        <v>55.0</v>
      </c>
      <c r="O787" s="7321"/>
      <c r="P787" s="7324"/>
      <c r="Q787" s="7324"/>
      <c r="R787" s="7324"/>
    </row>
    <row r="788" ht="18.75" customHeight="1">
      <c r="A788" s="7316"/>
      <c r="B788" s="7331" t="s">
        <v>712</v>
      </c>
      <c r="C788" s="7332" t="s">
        <v>3149</v>
      </c>
      <c r="D788" s="7333"/>
      <c r="E788" s="7332" t="s">
        <v>1911</v>
      </c>
      <c r="F788" s="7332" t="str">
        <f t="shared" si="38"/>
        <v/>
      </c>
      <c r="G788" s="7332" t="s">
        <v>1929</v>
      </c>
      <c r="H788" s="7332" t="str">
        <f t="shared" si="39"/>
        <v/>
      </c>
      <c r="I788" s="7332">
        <v>45.0</v>
      </c>
      <c r="J788" s="7332">
        <v>85.0</v>
      </c>
      <c r="K788" s="7332">
        <v>70.0</v>
      </c>
      <c r="L788" s="7332">
        <v>40.0</v>
      </c>
      <c r="M788" s="7332">
        <v>40.0</v>
      </c>
      <c r="N788" s="7334">
        <v>60.0</v>
      </c>
      <c r="O788" s="7321"/>
      <c r="P788" s="7324"/>
      <c r="Q788" s="7324"/>
      <c r="R788" s="7324"/>
    </row>
    <row r="789" ht="18.75" customHeight="1">
      <c r="A789" s="7316"/>
      <c r="B789" s="7337" t="s">
        <v>1653</v>
      </c>
      <c r="C789" s="7338" t="s">
        <v>3150</v>
      </c>
      <c r="D789" s="7339"/>
      <c r="E789" s="7342" t="s">
        <v>1911</v>
      </c>
      <c r="F789" s="7342" t="str">
        <f t="shared" si="38"/>
        <v/>
      </c>
      <c r="G789" s="7342" t="s">
        <v>1929</v>
      </c>
      <c r="H789" s="7342" t="str">
        <f t="shared" si="39"/>
        <v/>
      </c>
      <c r="I789" s="7338">
        <v>65.0</v>
      </c>
      <c r="J789" s="7338">
        <v>125.0</v>
      </c>
      <c r="K789" s="7338">
        <v>100.0</v>
      </c>
      <c r="L789" s="7338">
        <v>60.0</v>
      </c>
      <c r="M789" s="7338">
        <v>70.0</v>
      </c>
      <c r="N789" s="7340">
        <v>70.0</v>
      </c>
      <c r="O789" s="7321"/>
      <c r="P789" s="7324"/>
      <c r="Q789" s="7324"/>
      <c r="R789" s="7324"/>
    </row>
    <row r="790" ht="18.75" customHeight="1">
      <c r="A790" s="7316"/>
      <c r="B790" s="7331" t="s">
        <v>1142</v>
      </c>
      <c r="C790" s="7332" t="s">
        <v>3151</v>
      </c>
      <c r="D790" s="7333"/>
      <c r="E790" s="7332" t="s">
        <v>1901</v>
      </c>
      <c r="F790" s="7332" t="str">
        <f t="shared" si="38"/>
        <v/>
      </c>
      <c r="G790" s="7332"/>
      <c r="H790" s="7332" t="str">
        <f t="shared" si="39"/>
        <v/>
      </c>
      <c r="I790" s="7332">
        <v>100.0</v>
      </c>
      <c r="J790" s="7332">
        <v>110.0</v>
      </c>
      <c r="K790" s="7332">
        <v>95.0</v>
      </c>
      <c r="L790" s="7332">
        <v>40.0</v>
      </c>
      <c r="M790" s="7332">
        <v>95.0</v>
      </c>
      <c r="N790" s="7334">
        <v>65.0</v>
      </c>
      <c r="O790" s="7321"/>
      <c r="P790" s="7324"/>
      <c r="Q790" s="7324"/>
      <c r="R790" s="7324"/>
    </row>
    <row r="791" ht="18.75" customHeight="1">
      <c r="A791" s="7316"/>
      <c r="B791" s="7337" t="s">
        <v>499</v>
      </c>
      <c r="C791" s="7338" t="s">
        <v>3152</v>
      </c>
      <c r="D791" s="7339"/>
      <c r="E791" s="7338" t="s">
        <v>1901</v>
      </c>
      <c r="F791" s="7338" t="str">
        <f t="shared" si="38"/>
        <v/>
      </c>
      <c r="G791" s="7338" t="s">
        <v>1863</v>
      </c>
      <c r="H791" s="7338" t="str">
        <f t="shared" si="39"/>
        <v/>
      </c>
      <c r="I791" s="7338">
        <v>70.0</v>
      </c>
      <c r="J791" s="7338">
        <v>83.0</v>
      </c>
      <c r="K791" s="7338">
        <v>50.0</v>
      </c>
      <c r="L791" s="7338">
        <v>37.0</v>
      </c>
      <c r="M791" s="7338">
        <v>50.0</v>
      </c>
      <c r="N791" s="7340">
        <v>60.0</v>
      </c>
      <c r="O791" s="7321"/>
      <c r="P791" s="7324"/>
      <c r="Q791" s="7324"/>
      <c r="R791" s="7324"/>
    </row>
    <row r="792" ht="18.75" customHeight="1">
      <c r="A792" s="7316"/>
      <c r="B792" s="7331" t="s">
        <v>3153</v>
      </c>
      <c r="C792" s="7332" t="s">
        <v>3154</v>
      </c>
      <c r="D792" s="7333"/>
      <c r="E792" s="7332" t="s">
        <v>1901</v>
      </c>
      <c r="F792" s="7332" t="str">
        <f t="shared" si="38"/>
        <v/>
      </c>
      <c r="G792" s="7332" t="s">
        <v>1863</v>
      </c>
      <c r="H792" s="7332" t="str">
        <f t="shared" si="39"/>
        <v/>
      </c>
      <c r="I792" s="7332">
        <v>100.0</v>
      </c>
      <c r="J792" s="7332">
        <v>123.0</v>
      </c>
      <c r="K792" s="7332">
        <v>75.0</v>
      </c>
      <c r="L792" s="7332">
        <v>57.0</v>
      </c>
      <c r="M792" s="7332">
        <v>75.0</v>
      </c>
      <c r="N792" s="7334">
        <v>80.0</v>
      </c>
      <c r="O792" s="7321"/>
      <c r="P792" s="7324"/>
      <c r="Q792" s="7324"/>
      <c r="R792" s="7324"/>
    </row>
    <row r="793" ht="18.75" customHeight="1">
      <c r="A793" s="7316"/>
      <c r="B793" s="7337" t="s">
        <v>1263</v>
      </c>
      <c r="C793" s="7342" t="s">
        <v>3155</v>
      </c>
      <c r="D793" s="7339"/>
      <c r="E793" s="7338" t="s">
        <v>561</v>
      </c>
      <c r="F793" s="7338" t="str">
        <f t="shared" si="38"/>
        <v/>
      </c>
      <c r="G793" s="7338" t="s">
        <v>1863</v>
      </c>
      <c r="H793" s="7338" t="str">
        <f t="shared" si="39"/>
        <v/>
      </c>
      <c r="I793" s="7338">
        <v>115.0</v>
      </c>
      <c r="J793" s="7338">
        <v>58.0</v>
      </c>
      <c r="K793" s="7338">
        <v>80.0</v>
      </c>
      <c r="L793" s="7338">
        <v>112.0</v>
      </c>
      <c r="M793" s="7338">
        <v>80.0</v>
      </c>
      <c r="N793" s="7340">
        <v>65.0</v>
      </c>
      <c r="O793" s="7321"/>
      <c r="P793" s="7324"/>
      <c r="Q793" s="7324"/>
      <c r="R793" s="7324"/>
    </row>
    <row r="794" ht="18.75" customHeight="1">
      <c r="A794" s="7316"/>
      <c r="B794" s="7331" t="s">
        <v>3156</v>
      </c>
      <c r="C794" s="7332" t="s">
        <v>3157</v>
      </c>
      <c r="D794" s="7333"/>
      <c r="E794" s="7332" t="s">
        <v>1911</v>
      </c>
      <c r="F794" s="7332" t="str">
        <f t="shared" si="38"/>
        <v/>
      </c>
      <c r="G794" s="7332" t="s">
        <v>1863</v>
      </c>
      <c r="H794" s="7332" t="str">
        <f t="shared" si="39"/>
        <v/>
      </c>
      <c r="I794" s="7332">
        <v>70.0</v>
      </c>
      <c r="J794" s="7332">
        <v>55.0</v>
      </c>
      <c r="K794" s="7332">
        <v>75.0</v>
      </c>
      <c r="L794" s="7332">
        <v>45.0</v>
      </c>
      <c r="M794" s="7332">
        <v>65.0</v>
      </c>
      <c r="N794" s="7334">
        <v>60.0</v>
      </c>
      <c r="O794" s="7321"/>
      <c r="P794" s="7324"/>
      <c r="Q794" s="7324"/>
      <c r="R794" s="7324"/>
    </row>
    <row r="795" ht="18.75" customHeight="1">
      <c r="A795" s="7316"/>
      <c r="B795" s="7337" t="s">
        <v>3158</v>
      </c>
      <c r="C795" s="7338" t="s">
        <v>3159</v>
      </c>
      <c r="D795" s="7339"/>
      <c r="E795" s="7338" t="s">
        <v>1911</v>
      </c>
      <c r="F795" s="7338" t="str">
        <f t="shared" si="38"/>
        <v/>
      </c>
      <c r="G795" s="7338" t="s">
        <v>1863</v>
      </c>
      <c r="H795" s="7338" t="str">
        <f t="shared" si="39"/>
        <v/>
      </c>
      <c r="I795" s="7338">
        <v>110.0</v>
      </c>
      <c r="J795" s="7338">
        <v>65.0</v>
      </c>
      <c r="K795" s="7338">
        <v>105.0</v>
      </c>
      <c r="L795" s="7338">
        <v>55.0</v>
      </c>
      <c r="M795" s="7338">
        <v>95.0</v>
      </c>
      <c r="N795" s="7340">
        <v>80.0</v>
      </c>
      <c r="O795" s="7321"/>
      <c r="P795" s="7324"/>
      <c r="Q795" s="7324"/>
      <c r="R795" s="7324"/>
    </row>
    <row r="796" ht="18.75" customHeight="1">
      <c r="A796" s="7316"/>
      <c r="B796" s="7331" t="s">
        <v>3160</v>
      </c>
      <c r="C796" s="7332" t="s">
        <v>3161</v>
      </c>
      <c r="D796" s="7333"/>
      <c r="E796" s="7332" t="s">
        <v>1858</v>
      </c>
      <c r="F796" s="7332" t="str">
        <f t="shared" si="38"/>
        <v/>
      </c>
      <c r="G796" s="7332"/>
      <c r="H796" s="7332" t="str">
        <f t="shared" si="39"/>
        <v/>
      </c>
      <c r="I796" s="7332">
        <v>85.0</v>
      </c>
      <c r="J796" s="7332">
        <v>90.0</v>
      </c>
      <c r="K796" s="7332">
        <v>66.0</v>
      </c>
      <c r="L796" s="7332">
        <v>105.0</v>
      </c>
      <c r="M796" s="7332">
        <v>66.0</v>
      </c>
      <c r="N796" s="7334">
        <v>100.0</v>
      </c>
      <c r="O796" s="7321"/>
      <c r="P796" s="7324"/>
      <c r="Q796" s="7324"/>
      <c r="R796" s="7324"/>
    </row>
    <row r="797" ht="18.75" customHeight="1">
      <c r="A797" s="7316"/>
      <c r="B797" s="7337" t="s">
        <v>648</v>
      </c>
      <c r="C797" s="7338" t="s">
        <v>3162</v>
      </c>
      <c r="D797" s="7339"/>
      <c r="E797" s="7338" t="s">
        <v>1882</v>
      </c>
      <c r="F797" s="7338" t="str">
        <f t="shared" si="38"/>
        <v/>
      </c>
      <c r="G797" s="7338" t="s">
        <v>1929</v>
      </c>
      <c r="H797" s="7338" t="str">
        <f t="shared" si="39"/>
        <v/>
      </c>
      <c r="I797" s="7338">
        <v>58.0</v>
      </c>
      <c r="J797" s="7338">
        <v>109.0</v>
      </c>
      <c r="K797" s="7338">
        <v>112.0</v>
      </c>
      <c r="L797" s="7338">
        <v>48.0</v>
      </c>
      <c r="M797" s="7338">
        <v>48.0</v>
      </c>
      <c r="N797" s="7340">
        <v>109.0</v>
      </c>
      <c r="O797" s="7321"/>
      <c r="P797" s="7324"/>
      <c r="Q797" s="7324"/>
      <c r="R797" s="7324"/>
    </row>
    <row r="798" ht="18.75" customHeight="1">
      <c r="A798" s="7316"/>
      <c r="B798" s="7331" t="s">
        <v>3163</v>
      </c>
      <c r="C798" s="7332" t="s">
        <v>3164</v>
      </c>
      <c r="D798" s="7333"/>
      <c r="E798" s="7332" t="s">
        <v>1911</v>
      </c>
      <c r="F798" s="7332" t="str">
        <f t="shared" si="38"/>
        <v/>
      </c>
      <c r="G798" s="7332" t="s">
        <v>1866</v>
      </c>
      <c r="H798" s="7332" t="str">
        <f t="shared" si="39"/>
        <v/>
      </c>
      <c r="I798" s="7332">
        <v>52.0</v>
      </c>
      <c r="J798" s="7332">
        <v>65.0</v>
      </c>
      <c r="K798" s="7332">
        <v>50.0</v>
      </c>
      <c r="L798" s="7332">
        <v>45.0</v>
      </c>
      <c r="M798" s="7332">
        <v>50.0</v>
      </c>
      <c r="N798" s="7334">
        <v>38.0</v>
      </c>
      <c r="O798" s="7321"/>
      <c r="P798" s="7324"/>
      <c r="Q798" s="7324"/>
      <c r="R798" s="7324"/>
    </row>
    <row r="799" ht="18.75" customHeight="1">
      <c r="A799" s="7316"/>
      <c r="B799" s="7337" t="s">
        <v>3165</v>
      </c>
      <c r="C799" s="7338" t="s">
        <v>3166</v>
      </c>
      <c r="D799" s="7339"/>
      <c r="E799" s="7338" t="s">
        <v>1911</v>
      </c>
      <c r="F799" s="7338" t="str">
        <f t="shared" si="38"/>
        <v/>
      </c>
      <c r="G799" s="7338" t="s">
        <v>1866</v>
      </c>
      <c r="H799" s="7338" t="str">
        <f t="shared" si="39"/>
        <v/>
      </c>
      <c r="I799" s="7338">
        <v>72.0</v>
      </c>
      <c r="J799" s="7338">
        <v>85.0</v>
      </c>
      <c r="K799" s="7338">
        <v>70.0</v>
      </c>
      <c r="L799" s="7338">
        <v>65.0</v>
      </c>
      <c r="M799" s="7338">
        <v>70.0</v>
      </c>
      <c r="N799" s="7340">
        <v>58.0</v>
      </c>
      <c r="O799" s="7321"/>
      <c r="P799" s="7324"/>
      <c r="Q799" s="7324"/>
      <c r="R799" s="7324"/>
    </row>
    <row r="800" ht="18.75" customHeight="1">
      <c r="A800" s="7316"/>
      <c r="B800" s="7331" t="s">
        <v>1785</v>
      </c>
      <c r="C800" s="7332" t="s">
        <v>3167</v>
      </c>
      <c r="D800" s="7333"/>
      <c r="E800" s="7332" t="s">
        <v>1911</v>
      </c>
      <c r="F800" s="7332" t="str">
        <f t="shared" si="38"/>
        <v/>
      </c>
      <c r="G800" s="7332" t="s">
        <v>1866</v>
      </c>
      <c r="H800" s="7332" t="str">
        <f t="shared" si="39"/>
        <v/>
      </c>
      <c r="I800" s="7332">
        <v>92.0</v>
      </c>
      <c r="J800" s="7332">
        <v>105.0</v>
      </c>
      <c r="K800" s="7332">
        <v>90.0</v>
      </c>
      <c r="L800" s="7332">
        <v>125.0</v>
      </c>
      <c r="M800" s="7332">
        <v>90.0</v>
      </c>
      <c r="N800" s="7334">
        <v>98.0</v>
      </c>
      <c r="O800" s="7321"/>
      <c r="P800" s="7324"/>
      <c r="Q800" s="7324"/>
      <c r="R800" s="7324"/>
    </row>
    <row r="801" ht="18.75" customHeight="1">
      <c r="A801" s="7316"/>
      <c r="B801" s="7337" t="s">
        <v>3168</v>
      </c>
      <c r="C801" s="7338" t="s">
        <v>3169</v>
      </c>
      <c r="D801" s="7339"/>
      <c r="E801" s="7338" t="s">
        <v>1882</v>
      </c>
      <c r="F801" s="7338" t="str">
        <f t="shared" si="38"/>
        <v/>
      </c>
      <c r="G801" s="7338" t="s">
        <v>1858</v>
      </c>
      <c r="H801" s="7338" t="str">
        <f t="shared" si="39"/>
        <v/>
      </c>
      <c r="I801" s="7338">
        <v>55.0</v>
      </c>
      <c r="J801" s="7338">
        <v>85.0</v>
      </c>
      <c r="K801" s="7338">
        <v>55.0</v>
      </c>
      <c r="L801" s="7338">
        <v>50.0</v>
      </c>
      <c r="M801" s="7338">
        <v>55.0</v>
      </c>
      <c r="N801" s="7340">
        <v>60.0</v>
      </c>
      <c r="O801" s="7321"/>
      <c r="P801" s="7324"/>
      <c r="Q801" s="7324"/>
      <c r="R801" s="7324"/>
    </row>
    <row r="802" ht="18.75" customHeight="1">
      <c r="A802" s="7316"/>
      <c r="B802" s="7331" t="s">
        <v>1264</v>
      </c>
      <c r="C802" s="7332" t="s">
        <v>3170</v>
      </c>
      <c r="D802" s="7333"/>
      <c r="E802" s="7332" t="s">
        <v>1882</v>
      </c>
      <c r="F802" s="7332" t="str">
        <f t="shared" si="38"/>
        <v/>
      </c>
      <c r="G802" s="7332" t="s">
        <v>1858</v>
      </c>
      <c r="H802" s="7332" t="str">
        <f t="shared" si="39"/>
        <v/>
      </c>
      <c r="I802" s="7332">
        <v>85.0</v>
      </c>
      <c r="J802" s="7332">
        <v>60.0</v>
      </c>
      <c r="K802" s="7332">
        <v>65.0</v>
      </c>
      <c r="L802" s="7332">
        <v>135.0</v>
      </c>
      <c r="M802" s="7332">
        <v>105.0</v>
      </c>
      <c r="N802" s="7334">
        <v>100.0</v>
      </c>
      <c r="O802" s="7321"/>
      <c r="P802" s="7324"/>
      <c r="Q802" s="7324"/>
      <c r="R802" s="7324"/>
    </row>
    <row r="803" ht="18.75" customHeight="1">
      <c r="A803" s="7316"/>
      <c r="B803" s="7337" t="s">
        <v>3171</v>
      </c>
      <c r="C803" s="7338" t="s">
        <v>3172</v>
      </c>
      <c r="D803" s="7339"/>
      <c r="E803" s="7342" t="s">
        <v>1929</v>
      </c>
      <c r="F803" s="7342" t="str">
        <f>IFERROR(VLOOKUP(E803,P$3:Q824,2,False),"")</f>
        <v/>
      </c>
      <c r="G803" s="7342" t="s">
        <v>1939</v>
      </c>
      <c r="H803" s="7342" t="str">
        <f>IFERROR(VLOOKUP(G803,P$3:Q824,2,False),"")</f>
        <v/>
      </c>
      <c r="I803" s="7338">
        <v>91.0</v>
      </c>
      <c r="J803" s="7338">
        <v>90.0</v>
      </c>
      <c r="K803" s="7338">
        <v>129.0</v>
      </c>
      <c r="L803" s="7338">
        <v>90.0</v>
      </c>
      <c r="M803" s="7338">
        <v>72.0</v>
      </c>
      <c r="N803" s="7340">
        <v>108.0</v>
      </c>
      <c r="O803" s="7321"/>
      <c r="P803" s="7324"/>
      <c r="Q803" s="7324"/>
      <c r="R803" s="7324"/>
    </row>
    <row r="804" ht="18.75" customHeight="1">
      <c r="A804" s="7316"/>
      <c r="B804" s="7331" t="s">
        <v>3173</v>
      </c>
      <c r="C804" s="7332" t="s">
        <v>3174</v>
      </c>
      <c r="D804" s="7333"/>
      <c r="E804" s="7332" t="s">
        <v>2014</v>
      </c>
      <c r="F804" s="7332" t="str">
        <f t="shared" ref="F804:F819" si="40">IFERROR(VLOOKUP(E804,P$3:Q826,2,False),"")</f>
        <v/>
      </c>
      <c r="G804" s="7332" t="s">
        <v>1939</v>
      </c>
      <c r="H804" s="7332" t="str">
        <f t="shared" ref="H804:H819" si="41">IFERROR(VLOOKUP(G804,P$3:Q826,2,False),"")</f>
        <v/>
      </c>
      <c r="I804" s="7332">
        <v>91.0</v>
      </c>
      <c r="J804" s="7332">
        <v>129.0</v>
      </c>
      <c r="K804" s="7332">
        <v>90.0</v>
      </c>
      <c r="L804" s="7332">
        <v>72.0</v>
      </c>
      <c r="M804" s="7332">
        <v>90.0</v>
      </c>
      <c r="N804" s="7334">
        <v>108.0</v>
      </c>
      <c r="O804" s="7321"/>
      <c r="P804" s="7324"/>
      <c r="Q804" s="7324"/>
      <c r="R804" s="7324"/>
    </row>
    <row r="805" ht="18.75" customHeight="1">
      <c r="A805" s="7316"/>
      <c r="B805" s="7337" t="s">
        <v>3175</v>
      </c>
      <c r="C805" s="7338" t="s">
        <v>3176</v>
      </c>
      <c r="D805" s="7339"/>
      <c r="E805" s="7338" t="s">
        <v>1848</v>
      </c>
      <c r="F805" s="7338" t="str">
        <f t="shared" si="40"/>
        <v/>
      </c>
      <c r="G805" s="7338" t="s">
        <v>1939</v>
      </c>
      <c r="H805" s="7338" t="str">
        <f t="shared" si="41"/>
        <v/>
      </c>
      <c r="I805" s="7338">
        <v>91.0</v>
      </c>
      <c r="J805" s="7338">
        <v>90.0</v>
      </c>
      <c r="K805" s="7338">
        <v>72.0</v>
      </c>
      <c r="L805" s="7338">
        <v>90.0</v>
      </c>
      <c r="M805" s="7338">
        <v>129.0</v>
      </c>
      <c r="N805" s="7340">
        <v>108.0</v>
      </c>
      <c r="O805" s="7321"/>
      <c r="P805" s="7324"/>
      <c r="Q805" s="7324"/>
      <c r="R805" s="7324"/>
    </row>
    <row r="806" ht="18.75" customHeight="1">
      <c r="A806" s="7316"/>
      <c r="B806" s="7331" t="s">
        <v>3177</v>
      </c>
      <c r="C806" s="7341" t="s">
        <v>3178</v>
      </c>
      <c r="D806" s="7333"/>
      <c r="E806" s="7332" t="s">
        <v>1863</v>
      </c>
      <c r="F806" s="7332" t="str">
        <f t="shared" si="40"/>
        <v/>
      </c>
      <c r="G806" s="7332"/>
      <c r="H806" s="7332" t="str">
        <f t="shared" si="41"/>
        <v/>
      </c>
      <c r="I806" s="7332">
        <v>79.0</v>
      </c>
      <c r="J806" s="7332">
        <v>115.0</v>
      </c>
      <c r="K806" s="7332">
        <v>70.0</v>
      </c>
      <c r="L806" s="7332">
        <v>125.0</v>
      </c>
      <c r="M806" s="7332">
        <v>80.0</v>
      </c>
      <c r="N806" s="7334">
        <v>111.0</v>
      </c>
      <c r="O806" s="7321"/>
      <c r="P806" s="7324"/>
      <c r="Q806" s="7324"/>
      <c r="R806" s="7324"/>
    </row>
    <row r="807" ht="18.75" customHeight="1">
      <c r="A807" s="7316"/>
      <c r="B807" s="7337" t="s">
        <v>3179</v>
      </c>
      <c r="C807" s="7342" t="s">
        <v>3180</v>
      </c>
      <c r="D807" s="7339"/>
      <c r="E807" s="7338" t="s">
        <v>1863</v>
      </c>
      <c r="F807" s="7338" t="str">
        <f t="shared" si="40"/>
        <v/>
      </c>
      <c r="G807" s="7338"/>
      <c r="H807" s="7338" t="str">
        <f t="shared" si="41"/>
        <v/>
      </c>
      <c r="I807" s="7338">
        <v>79.0</v>
      </c>
      <c r="J807" s="7338">
        <v>100.0</v>
      </c>
      <c r="K807" s="7338">
        <v>80.0</v>
      </c>
      <c r="L807" s="7338">
        <v>110.0</v>
      </c>
      <c r="M807" s="7338">
        <v>90.0</v>
      </c>
      <c r="N807" s="7340">
        <v>121.0</v>
      </c>
      <c r="O807" s="7321"/>
      <c r="P807" s="7324"/>
      <c r="Q807" s="7324"/>
      <c r="R807" s="7324"/>
    </row>
    <row r="808" ht="18.75" customHeight="1">
      <c r="A808" s="7316"/>
      <c r="B808" s="7331" t="s">
        <v>3181</v>
      </c>
      <c r="C808" s="7341" t="s">
        <v>3182</v>
      </c>
      <c r="D808" s="7333"/>
      <c r="E808" s="7332" t="s">
        <v>1926</v>
      </c>
      <c r="F808" s="7332" t="str">
        <f t="shared" si="40"/>
        <v/>
      </c>
      <c r="G808" s="7332" t="s">
        <v>1863</v>
      </c>
      <c r="H808" s="7332" t="str">
        <f t="shared" si="41"/>
        <v/>
      </c>
      <c r="I808" s="7332">
        <v>79.0</v>
      </c>
      <c r="J808" s="7332">
        <v>115.0</v>
      </c>
      <c r="K808" s="7332">
        <v>70.0</v>
      </c>
      <c r="L808" s="7332">
        <v>125.0</v>
      </c>
      <c r="M808" s="7332">
        <v>80.0</v>
      </c>
      <c r="N808" s="7334">
        <v>111.0</v>
      </c>
      <c r="O808" s="7321"/>
      <c r="P808" s="7324"/>
      <c r="Q808" s="7324"/>
      <c r="R808" s="7324"/>
    </row>
    <row r="809" ht="18.75" customHeight="1">
      <c r="A809" s="7316"/>
      <c r="B809" s="7337" t="s">
        <v>3183</v>
      </c>
      <c r="C809" s="7342" t="s">
        <v>3184</v>
      </c>
      <c r="D809" s="7339"/>
      <c r="E809" s="7338" t="s">
        <v>1926</v>
      </c>
      <c r="F809" s="7338" t="str">
        <f t="shared" si="40"/>
        <v/>
      </c>
      <c r="G809" s="7338" t="s">
        <v>1863</v>
      </c>
      <c r="H809" s="7338" t="str">
        <f t="shared" si="41"/>
        <v/>
      </c>
      <c r="I809" s="7338">
        <v>79.0</v>
      </c>
      <c r="J809" s="7338">
        <v>105.0</v>
      </c>
      <c r="K809" s="7338">
        <v>70.0</v>
      </c>
      <c r="L809" s="7338">
        <v>145.0</v>
      </c>
      <c r="M809" s="7338">
        <v>80.0</v>
      </c>
      <c r="N809" s="7340">
        <v>101.0</v>
      </c>
      <c r="O809" s="7321"/>
      <c r="P809" s="7324"/>
      <c r="Q809" s="7324"/>
      <c r="R809" s="7324"/>
    </row>
    <row r="810" ht="18.75" customHeight="1">
      <c r="A810" s="7316"/>
      <c r="B810" s="7331" t="s">
        <v>3185</v>
      </c>
      <c r="C810" s="7332" t="s">
        <v>3186</v>
      </c>
      <c r="D810" s="7333"/>
      <c r="E810" s="7332" t="s">
        <v>1866</v>
      </c>
      <c r="F810" s="7332" t="str">
        <f t="shared" si="40"/>
        <v/>
      </c>
      <c r="G810" s="7332" t="s">
        <v>1858</v>
      </c>
      <c r="H810" s="7332" t="str">
        <f t="shared" si="41"/>
        <v/>
      </c>
      <c r="I810" s="7332">
        <v>100.0</v>
      </c>
      <c r="J810" s="7332">
        <v>120.0</v>
      </c>
      <c r="K810" s="7332">
        <v>100.0</v>
      </c>
      <c r="L810" s="7332">
        <v>150.0</v>
      </c>
      <c r="M810" s="7332">
        <v>120.0</v>
      </c>
      <c r="N810" s="7334">
        <v>90.0</v>
      </c>
      <c r="O810" s="7321"/>
      <c r="P810" s="7324"/>
      <c r="Q810" s="7324"/>
      <c r="R810" s="7324"/>
    </row>
    <row r="811" ht="18.75" customHeight="1">
      <c r="A811" s="7316"/>
      <c r="B811" s="7337" t="s">
        <v>3187</v>
      </c>
      <c r="C811" s="7338" t="s">
        <v>3188</v>
      </c>
      <c r="D811" s="7339"/>
      <c r="E811" s="7338" t="s">
        <v>1866</v>
      </c>
      <c r="F811" s="7338" t="str">
        <f t="shared" si="40"/>
        <v/>
      </c>
      <c r="G811" s="7338" t="s">
        <v>1926</v>
      </c>
      <c r="H811" s="7338" t="str">
        <f t="shared" si="41"/>
        <v/>
      </c>
      <c r="I811" s="7338">
        <v>100.0</v>
      </c>
      <c r="J811" s="7338">
        <v>150.0</v>
      </c>
      <c r="K811" s="7338">
        <v>120.0</v>
      </c>
      <c r="L811" s="7338">
        <v>120.0</v>
      </c>
      <c r="M811" s="7338">
        <v>100.0</v>
      </c>
      <c r="N811" s="7340">
        <v>90.0</v>
      </c>
      <c r="O811" s="7321"/>
      <c r="P811" s="7324"/>
      <c r="Q811" s="7324"/>
      <c r="R811" s="7324"/>
    </row>
    <row r="812" ht="18.75" customHeight="1">
      <c r="A812" s="7316"/>
      <c r="B812" s="7331" t="s">
        <v>805</v>
      </c>
      <c r="C812" s="7341" t="s">
        <v>3189</v>
      </c>
      <c r="D812" s="7333"/>
      <c r="E812" s="7332" t="s">
        <v>1948</v>
      </c>
      <c r="F812" s="7332" t="str">
        <f t="shared" si="40"/>
        <v/>
      </c>
      <c r="G812" s="7332" t="s">
        <v>1863</v>
      </c>
      <c r="H812" s="7332" t="str">
        <f t="shared" si="41"/>
        <v/>
      </c>
      <c r="I812" s="7332">
        <v>89.0</v>
      </c>
      <c r="J812" s="7332">
        <v>125.0</v>
      </c>
      <c r="K812" s="7332">
        <v>90.0</v>
      </c>
      <c r="L812" s="7332">
        <v>115.0</v>
      </c>
      <c r="M812" s="7332">
        <v>80.0</v>
      </c>
      <c r="N812" s="7334">
        <v>101.0</v>
      </c>
      <c r="O812" s="7321"/>
      <c r="P812" s="7324"/>
      <c r="Q812" s="7324"/>
      <c r="R812" s="7324"/>
    </row>
    <row r="813" ht="18.75" customHeight="1">
      <c r="A813" s="7316"/>
      <c r="B813" s="7337" t="s">
        <v>1811</v>
      </c>
      <c r="C813" s="7342" t="s">
        <v>3190</v>
      </c>
      <c r="D813" s="7339"/>
      <c r="E813" s="7338" t="s">
        <v>1948</v>
      </c>
      <c r="F813" s="7338" t="str">
        <f t="shared" si="40"/>
        <v/>
      </c>
      <c r="G813" s="7338" t="s">
        <v>1863</v>
      </c>
      <c r="H813" s="7338" t="str">
        <f t="shared" si="41"/>
        <v/>
      </c>
      <c r="I813" s="7338">
        <v>89.0</v>
      </c>
      <c r="J813" s="7338">
        <v>145.0</v>
      </c>
      <c r="K813" s="7338">
        <v>90.0</v>
      </c>
      <c r="L813" s="7338">
        <v>105.0</v>
      </c>
      <c r="M813" s="7338">
        <v>80.0</v>
      </c>
      <c r="N813" s="7340">
        <v>91.0</v>
      </c>
      <c r="O813" s="7321"/>
      <c r="P813" s="7324"/>
      <c r="Q813" s="7324"/>
      <c r="R813" s="7324"/>
    </row>
    <row r="814" ht="18.75" customHeight="1">
      <c r="A814" s="7316"/>
      <c r="B814" s="7331" t="s">
        <v>3191</v>
      </c>
      <c r="C814" s="7332" t="s">
        <v>3192</v>
      </c>
      <c r="D814" s="7333"/>
      <c r="E814" s="7332" t="s">
        <v>1866</v>
      </c>
      <c r="F814" s="7332" t="str">
        <f t="shared" si="40"/>
        <v/>
      </c>
      <c r="G814" s="7332" t="s">
        <v>1932</v>
      </c>
      <c r="H814" s="7332" t="str">
        <f t="shared" si="41"/>
        <v/>
      </c>
      <c r="I814" s="7332">
        <v>125.0</v>
      </c>
      <c r="J814" s="7332">
        <v>130.0</v>
      </c>
      <c r="K814" s="7332">
        <v>90.0</v>
      </c>
      <c r="L814" s="7332">
        <v>130.0</v>
      </c>
      <c r="M814" s="7332">
        <v>90.0</v>
      </c>
      <c r="N814" s="7334">
        <v>95.0</v>
      </c>
      <c r="O814" s="7321"/>
      <c r="P814" s="7324"/>
      <c r="Q814" s="7324"/>
      <c r="R814" s="7324"/>
    </row>
    <row r="815" ht="18.75" customHeight="1">
      <c r="A815" s="7316"/>
      <c r="B815" s="7337" t="s">
        <v>1524</v>
      </c>
      <c r="C815" s="7342" t="s">
        <v>3193</v>
      </c>
      <c r="D815" s="7339"/>
      <c r="E815" s="7338" t="s">
        <v>1866</v>
      </c>
      <c r="F815" s="7338" t="str">
        <f t="shared" si="40"/>
        <v/>
      </c>
      <c r="G815" s="7338" t="s">
        <v>1932</v>
      </c>
      <c r="H815" s="7338" t="str">
        <f t="shared" si="41"/>
        <v/>
      </c>
      <c r="I815" s="7338">
        <v>125.0</v>
      </c>
      <c r="J815" s="7338">
        <v>170.0</v>
      </c>
      <c r="K815" s="7338">
        <v>100.0</v>
      </c>
      <c r="L815" s="7338">
        <v>120.0</v>
      </c>
      <c r="M815" s="7338">
        <v>90.0</v>
      </c>
      <c r="N815" s="7340">
        <v>95.0</v>
      </c>
      <c r="O815" s="7321"/>
      <c r="P815" s="7324"/>
      <c r="Q815" s="7324"/>
      <c r="R815" s="7324"/>
    </row>
    <row r="816" ht="18.75" customHeight="1">
      <c r="A816" s="7316"/>
      <c r="B816" s="7331" t="s">
        <v>1566</v>
      </c>
      <c r="C816" s="7341" t="s">
        <v>3194</v>
      </c>
      <c r="D816" s="7333"/>
      <c r="E816" s="7332" t="s">
        <v>1866</v>
      </c>
      <c r="F816" s="7332" t="str">
        <f t="shared" si="40"/>
        <v/>
      </c>
      <c r="G816" s="7332" t="s">
        <v>1932</v>
      </c>
      <c r="H816" s="7332" t="str">
        <f t="shared" si="41"/>
        <v/>
      </c>
      <c r="I816" s="7332">
        <v>125.0</v>
      </c>
      <c r="J816" s="7332">
        <v>120.0</v>
      </c>
      <c r="K816" s="7332">
        <v>90.0</v>
      </c>
      <c r="L816" s="7332">
        <v>170.0</v>
      </c>
      <c r="M816" s="7332">
        <v>100.0</v>
      </c>
      <c r="N816" s="7334">
        <v>95.0</v>
      </c>
      <c r="O816" s="7321"/>
      <c r="P816" s="7324"/>
      <c r="Q816" s="7324"/>
      <c r="R816" s="7324"/>
    </row>
    <row r="817" ht="18.75" customHeight="1">
      <c r="A817" s="7316"/>
      <c r="B817" s="7337" t="s">
        <v>1584</v>
      </c>
      <c r="C817" s="7338" t="s">
        <v>3195</v>
      </c>
      <c r="D817" s="7339"/>
      <c r="E817" s="7338" t="s">
        <v>1871</v>
      </c>
      <c r="F817" s="7338" t="str">
        <f t="shared" si="40"/>
        <v/>
      </c>
      <c r="G817" s="7338" t="s">
        <v>1939</v>
      </c>
      <c r="H817" s="7338" t="str">
        <f t="shared" si="41"/>
        <v/>
      </c>
      <c r="I817" s="7338">
        <v>91.0</v>
      </c>
      <c r="J817" s="7338">
        <v>72.0</v>
      </c>
      <c r="K817" s="7338">
        <v>90.0</v>
      </c>
      <c r="L817" s="7338">
        <v>129.0</v>
      </c>
      <c r="M817" s="7338">
        <v>90.0</v>
      </c>
      <c r="N817" s="7340">
        <v>108.0</v>
      </c>
      <c r="O817" s="7321"/>
      <c r="P817" s="7324"/>
      <c r="Q817" s="7324"/>
      <c r="R817" s="7324"/>
    </row>
    <row r="818" ht="18.75" customHeight="1">
      <c r="A818" s="7316"/>
      <c r="B818" s="7331" t="s">
        <v>3196</v>
      </c>
      <c r="C818" s="7332" t="s">
        <v>3197</v>
      </c>
      <c r="D818" s="7333"/>
      <c r="E818" s="7332" t="s">
        <v>1901</v>
      </c>
      <c r="F818" s="7332" t="str">
        <f t="shared" si="40"/>
        <v/>
      </c>
      <c r="G818" s="7332" t="s">
        <v>561</v>
      </c>
      <c r="H818" s="7332" t="str">
        <f t="shared" si="41"/>
        <v/>
      </c>
      <c r="I818" s="7332">
        <v>100.0</v>
      </c>
      <c r="J818" s="7332">
        <v>77.0</v>
      </c>
      <c r="K818" s="7332">
        <v>77.0</v>
      </c>
      <c r="L818" s="7332">
        <v>128.0</v>
      </c>
      <c r="M818" s="7332">
        <v>128.0</v>
      </c>
      <c r="N818" s="7334">
        <v>90.0</v>
      </c>
      <c r="O818" s="7321"/>
      <c r="P818" s="7324"/>
      <c r="Q818" s="7324"/>
      <c r="R818" s="7324"/>
    </row>
    <row r="819" ht="18.75" customHeight="1">
      <c r="A819" s="7316"/>
      <c r="B819" s="7337" t="s">
        <v>1839</v>
      </c>
      <c r="C819" s="7342" t="s">
        <v>3198</v>
      </c>
      <c r="D819" s="7339"/>
      <c r="E819" s="7338" t="s">
        <v>1901</v>
      </c>
      <c r="F819" s="7338" t="str">
        <f t="shared" si="40"/>
        <v/>
      </c>
      <c r="G819" s="7338" t="s">
        <v>1939</v>
      </c>
      <c r="H819" s="7338" t="str">
        <f t="shared" si="41"/>
        <v/>
      </c>
      <c r="I819" s="7338">
        <v>100.0</v>
      </c>
      <c r="J819" s="7338">
        <v>128.0</v>
      </c>
      <c r="K819" s="7338">
        <v>90.0</v>
      </c>
      <c r="L819" s="7338">
        <v>77.0</v>
      </c>
      <c r="M819" s="7338">
        <v>77.0</v>
      </c>
      <c r="N819" s="7340">
        <v>128.0</v>
      </c>
      <c r="O819" s="7321"/>
      <c r="P819" s="7324"/>
      <c r="Q819" s="7324"/>
      <c r="R819" s="7324"/>
    </row>
    <row r="820" ht="18.75" customHeight="1">
      <c r="A820" s="7316"/>
      <c r="B820" s="7331" t="s">
        <v>1525</v>
      </c>
      <c r="C820" s="7332" t="s">
        <v>3199</v>
      </c>
      <c r="D820" s="7333"/>
      <c r="E820" s="7332" t="s">
        <v>1882</v>
      </c>
      <c r="F820" s="7332" t="str">
        <f t="shared" ref="F820:F824" si="42">IFERROR(VLOOKUP(E820,P$3:Q838,2,False),"")</f>
        <v/>
      </c>
      <c r="G820" s="7332" t="s">
        <v>1929</v>
      </c>
      <c r="H820" s="7332" t="str">
        <f t="shared" ref="H820:H824" si="43">IFERROR(VLOOKUP(G820,P$3:Q838,2,False),"")</f>
        <v/>
      </c>
      <c r="I820" s="7332">
        <v>71.0</v>
      </c>
      <c r="J820" s="7332">
        <v>120.0</v>
      </c>
      <c r="K820" s="7332">
        <v>95.0</v>
      </c>
      <c r="L820" s="7332">
        <v>120.0</v>
      </c>
      <c r="M820" s="7332">
        <v>95.0</v>
      </c>
      <c r="N820" s="7334">
        <v>99.0</v>
      </c>
      <c r="O820" s="7321"/>
      <c r="P820" s="7324"/>
      <c r="Q820" s="7324"/>
      <c r="R820" s="7324"/>
    </row>
    <row r="821" ht="18.75" customHeight="1">
      <c r="A821" s="7316"/>
      <c r="B821" s="7337" t="s">
        <v>3200</v>
      </c>
      <c r="C821" s="7342" t="s">
        <v>3199</v>
      </c>
      <c r="D821" s="7339"/>
      <c r="E821" s="7338" t="s">
        <v>1882</v>
      </c>
      <c r="F821" s="7338" t="str">
        <f t="shared" si="42"/>
        <v/>
      </c>
      <c r="G821" s="7338" t="s">
        <v>1929</v>
      </c>
      <c r="H821" s="7338" t="str">
        <f t="shared" si="43"/>
        <v/>
      </c>
      <c r="I821" s="7338">
        <v>71.0</v>
      </c>
      <c r="J821" s="7338">
        <v>120.0</v>
      </c>
      <c r="K821" s="7338">
        <v>95.0</v>
      </c>
      <c r="L821" s="7338">
        <v>120.0</v>
      </c>
      <c r="M821" s="7338">
        <v>95.0</v>
      </c>
      <c r="N821" s="7340">
        <v>99.0</v>
      </c>
      <c r="O821" s="7321"/>
      <c r="P821" s="7324"/>
      <c r="Q821" s="7324"/>
      <c r="R821" s="7324"/>
    </row>
    <row r="822" ht="18.75" customHeight="1">
      <c r="A822" s="7316"/>
      <c r="B822" s="7331" t="s">
        <v>3201</v>
      </c>
      <c r="C822" s="7332" t="s">
        <v>3199</v>
      </c>
      <c r="D822" s="7333"/>
      <c r="E822" s="7332" t="s">
        <v>1882</v>
      </c>
      <c r="F822" s="7332" t="str">
        <f t="shared" si="42"/>
        <v/>
      </c>
      <c r="G822" s="7332" t="s">
        <v>1929</v>
      </c>
      <c r="H822" s="7332" t="str">
        <f t="shared" si="43"/>
        <v/>
      </c>
      <c r="I822" s="7332">
        <v>71.0</v>
      </c>
      <c r="J822" s="7332">
        <v>120.0</v>
      </c>
      <c r="K822" s="7332">
        <v>95.0</v>
      </c>
      <c r="L822" s="7332">
        <v>120.0</v>
      </c>
      <c r="M822" s="7332">
        <v>95.0</v>
      </c>
      <c r="N822" s="7334">
        <v>99.0</v>
      </c>
      <c r="O822" s="7321"/>
      <c r="P822" s="7324"/>
      <c r="Q822" s="7324"/>
      <c r="R822" s="7324"/>
    </row>
    <row r="823" ht="18.75" customHeight="1">
      <c r="A823" s="7316"/>
      <c r="B823" s="7337" t="s">
        <v>1701</v>
      </c>
      <c r="C823" s="7342" t="s">
        <v>3199</v>
      </c>
      <c r="D823" s="7339"/>
      <c r="E823" s="7338" t="s">
        <v>1882</v>
      </c>
      <c r="F823" s="7338" t="str">
        <f t="shared" si="42"/>
        <v/>
      </c>
      <c r="G823" s="7338" t="s">
        <v>1929</v>
      </c>
      <c r="H823" s="7338" t="str">
        <f t="shared" si="43"/>
        <v/>
      </c>
      <c r="I823" s="7338">
        <v>71.0</v>
      </c>
      <c r="J823" s="7338">
        <v>120.0</v>
      </c>
      <c r="K823" s="7338">
        <v>95.0</v>
      </c>
      <c r="L823" s="7338">
        <v>120.0</v>
      </c>
      <c r="M823" s="7338">
        <v>95.0</v>
      </c>
      <c r="N823" s="7340">
        <v>99.0</v>
      </c>
      <c r="O823" s="7321"/>
      <c r="P823" s="7324"/>
      <c r="Q823" s="7324"/>
      <c r="R823" s="7324"/>
    </row>
    <row r="824" ht="18.75" customHeight="1">
      <c r="A824" s="7316"/>
      <c r="B824" s="7349" t="s">
        <v>3202</v>
      </c>
      <c r="C824" s="7350" t="s">
        <v>3199</v>
      </c>
      <c r="D824" s="7351"/>
      <c r="E824" s="7350" t="s">
        <v>1882</v>
      </c>
      <c r="F824" s="7350" t="str">
        <f t="shared" si="42"/>
        <v/>
      </c>
      <c r="G824" s="7350" t="s">
        <v>1929</v>
      </c>
      <c r="H824" s="7350" t="str">
        <f t="shared" si="43"/>
        <v/>
      </c>
      <c r="I824" s="7350">
        <v>71.0</v>
      </c>
      <c r="J824" s="7350">
        <v>120.0</v>
      </c>
      <c r="K824" s="7350">
        <v>95.0</v>
      </c>
      <c r="L824" s="7350">
        <v>120.0</v>
      </c>
      <c r="M824" s="7350">
        <v>95.0</v>
      </c>
      <c r="N824" s="7352">
        <v>99.0</v>
      </c>
      <c r="O824" s="7321"/>
      <c r="P824" s="7324"/>
      <c r="Q824" s="7324"/>
      <c r="R824" s="7324"/>
    </row>
    <row r="825">
      <c r="A825" s="7316"/>
      <c r="B825" s="7315"/>
      <c r="C825" s="7315"/>
      <c r="D825" s="7315"/>
      <c r="E825" s="7315"/>
      <c r="F825" s="7315"/>
      <c r="G825" s="7315"/>
      <c r="H825" s="7315"/>
      <c r="I825" s="7315"/>
      <c r="J825" s="7315"/>
      <c r="K825" s="7315"/>
      <c r="L825" s="7315"/>
      <c r="M825" s="7315"/>
      <c r="N825" s="7315"/>
      <c r="O825" s="7316"/>
      <c r="P825" s="7316"/>
      <c r="Q825" s="7316"/>
      <c r="R825" s="7316"/>
    </row>
    <row r="826">
      <c r="A826" s="7316"/>
      <c r="B826" s="7369" t="s">
        <v>3203</v>
      </c>
      <c r="C826" s="7374"/>
      <c r="D826" s="7374"/>
      <c r="E826" s="7374"/>
      <c r="F826" s="7374"/>
      <c r="G826" s="7374"/>
      <c r="H826" s="7375"/>
      <c r="I826" s="7372" t="s">
        <v>192</v>
      </c>
      <c r="J826" s="7372" t="s">
        <v>193</v>
      </c>
      <c r="K826" s="7372" t="s">
        <v>194</v>
      </c>
      <c r="L826" s="7372" t="s">
        <v>195</v>
      </c>
      <c r="M826" s="7372" t="s">
        <v>196</v>
      </c>
      <c r="N826" s="7373" t="s">
        <v>197</v>
      </c>
      <c r="O826" s="7321"/>
      <c r="P826" s="7324"/>
      <c r="Q826" s="7324"/>
      <c r="R826" s="7324"/>
    </row>
    <row r="827" ht="18.75" customHeight="1">
      <c r="A827" s="7316"/>
      <c r="B827" s="7355" t="s">
        <v>3204</v>
      </c>
      <c r="C827" s="7356" t="s">
        <v>3205</v>
      </c>
      <c r="D827" s="7357"/>
      <c r="E827" s="7361" t="s">
        <v>1848</v>
      </c>
      <c r="F827" s="7361" t="str">
        <f t="shared" ref="F827:F832" si="44">IFERROR(VLOOKUP(E827,P$3:Q844,2,False),"")</f>
        <v/>
      </c>
      <c r="G827" s="7361"/>
      <c r="H827" s="7361" t="str">
        <f t="shared" ref="H827:H832" si="45">IFERROR(VLOOKUP(G827,P$3:Q844,2,False),"")</f>
        <v/>
      </c>
      <c r="I827" s="7358">
        <v>56.0</v>
      </c>
      <c r="J827" s="7358">
        <v>61.0</v>
      </c>
      <c r="K827" s="7358">
        <v>65.0</v>
      </c>
      <c r="L827" s="7358">
        <v>48.0</v>
      </c>
      <c r="M827" s="7358">
        <v>45.0</v>
      </c>
      <c r="N827" s="7359">
        <v>38.0</v>
      </c>
      <c r="O827" s="7321"/>
      <c r="P827" s="7324"/>
      <c r="Q827" s="7324"/>
      <c r="R827" s="7324"/>
    </row>
    <row r="828" ht="18.75" customHeight="1">
      <c r="A828" s="7316"/>
      <c r="B828" s="7331" t="s">
        <v>3206</v>
      </c>
      <c r="C828" s="7332" t="s">
        <v>3207</v>
      </c>
      <c r="D828" s="7333"/>
      <c r="E828" s="7332" t="s">
        <v>1848</v>
      </c>
      <c r="F828" s="7332" t="str">
        <f t="shared" si="44"/>
        <v/>
      </c>
      <c r="G828" s="7332"/>
      <c r="H828" s="7332" t="str">
        <f t="shared" si="45"/>
        <v/>
      </c>
      <c r="I828" s="7332">
        <v>61.0</v>
      </c>
      <c r="J828" s="7332">
        <v>78.0</v>
      </c>
      <c r="K828" s="7332">
        <v>95.0</v>
      </c>
      <c r="L828" s="7332">
        <v>56.0</v>
      </c>
      <c r="M828" s="7332">
        <v>58.0</v>
      </c>
      <c r="N828" s="7334">
        <v>57.0</v>
      </c>
      <c r="O828" s="7321"/>
      <c r="P828" s="7324"/>
      <c r="Q828" s="7324"/>
      <c r="R828" s="7324"/>
    </row>
    <row r="829" ht="18.75" customHeight="1">
      <c r="A829" s="7316"/>
      <c r="B829" s="7337" t="s">
        <v>3208</v>
      </c>
      <c r="C829" s="7338" t="s">
        <v>3209</v>
      </c>
      <c r="D829" s="7339"/>
      <c r="E829" s="7338" t="s">
        <v>1848</v>
      </c>
      <c r="F829" s="7338" t="str">
        <f t="shared" si="44"/>
        <v/>
      </c>
      <c r="G829" s="7338" t="s">
        <v>1939</v>
      </c>
      <c r="H829" s="7338" t="str">
        <f t="shared" si="45"/>
        <v/>
      </c>
      <c r="I829" s="7338">
        <v>88.0</v>
      </c>
      <c r="J829" s="7338">
        <v>107.0</v>
      </c>
      <c r="K829" s="7338">
        <v>122.0</v>
      </c>
      <c r="L829" s="7338">
        <v>74.0</v>
      </c>
      <c r="M829" s="7338">
        <v>75.0</v>
      </c>
      <c r="N829" s="7340">
        <v>64.0</v>
      </c>
      <c r="O829" s="7321"/>
      <c r="P829" s="7324"/>
      <c r="Q829" s="7324"/>
      <c r="R829" s="7324"/>
    </row>
    <row r="830" ht="18.75" customHeight="1">
      <c r="A830" s="7316"/>
      <c r="B830" s="7331" t="s">
        <v>3210</v>
      </c>
      <c r="C830" s="7332" t="s">
        <v>3211</v>
      </c>
      <c r="D830" s="7333"/>
      <c r="E830" s="7332" t="s">
        <v>1858</v>
      </c>
      <c r="F830" s="7332" t="str">
        <f t="shared" si="44"/>
        <v/>
      </c>
      <c r="G830" s="7332"/>
      <c r="H830" s="7332" t="str">
        <f t="shared" si="45"/>
        <v/>
      </c>
      <c r="I830" s="7332">
        <v>40.0</v>
      </c>
      <c r="J830" s="7332">
        <v>45.0</v>
      </c>
      <c r="K830" s="7332">
        <v>40.0</v>
      </c>
      <c r="L830" s="7332">
        <v>62.0</v>
      </c>
      <c r="M830" s="7332">
        <v>60.0</v>
      </c>
      <c r="N830" s="7334">
        <v>60.0</v>
      </c>
      <c r="O830" s="7321"/>
      <c r="P830" s="7324"/>
      <c r="Q830" s="7324"/>
      <c r="R830" s="7324"/>
    </row>
    <row r="831" ht="18.75" customHeight="1">
      <c r="A831" s="7316"/>
      <c r="B831" s="7337" t="s">
        <v>3212</v>
      </c>
      <c r="C831" s="7338" t="s">
        <v>3213</v>
      </c>
      <c r="D831" s="7339"/>
      <c r="E831" s="7338" t="s">
        <v>1858</v>
      </c>
      <c r="F831" s="7338" t="str">
        <f t="shared" si="44"/>
        <v/>
      </c>
      <c r="G831" s="7338"/>
      <c r="H831" s="7338" t="str">
        <f t="shared" si="45"/>
        <v/>
      </c>
      <c r="I831" s="7338">
        <v>59.0</v>
      </c>
      <c r="J831" s="7338">
        <v>59.0</v>
      </c>
      <c r="K831" s="7338">
        <v>58.0</v>
      </c>
      <c r="L831" s="7338">
        <v>90.0</v>
      </c>
      <c r="M831" s="7338">
        <v>70.0</v>
      </c>
      <c r="N831" s="7340">
        <v>73.0</v>
      </c>
      <c r="O831" s="7321"/>
      <c r="P831" s="7324"/>
      <c r="Q831" s="7324"/>
      <c r="R831" s="7324"/>
    </row>
    <row r="832" ht="18.75" customHeight="1">
      <c r="A832" s="7316"/>
      <c r="B832" s="7331" t="s">
        <v>1655</v>
      </c>
      <c r="C832" s="7332" t="s">
        <v>3214</v>
      </c>
      <c r="D832" s="7333"/>
      <c r="E832" s="7332" t="s">
        <v>1858</v>
      </c>
      <c r="F832" s="7332" t="str">
        <f t="shared" si="44"/>
        <v/>
      </c>
      <c r="G832" s="7332" t="s">
        <v>561</v>
      </c>
      <c r="H832" s="7332" t="str">
        <f t="shared" si="45"/>
        <v/>
      </c>
      <c r="I832" s="7332">
        <v>75.0</v>
      </c>
      <c r="J832" s="7332">
        <v>69.0</v>
      </c>
      <c r="K832" s="7332">
        <v>72.0</v>
      </c>
      <c r="L832" s="7332">
        <v>114.0</v>
      </c>
      <c r="M832" s="7332">
        <v>100.0</v>
      </c>
      <c r="N832" s="7334">
        <v>104.0</v>
      </c>
      <c r="O832" s="7321"/>
      <c r="P832" s="7324"/>
      <c r="Q832" s="7324"/>
      <c r="R832" s="7324"/>
    </row>
    <row r="833" ht="18.75" customHeight="1">
      <c r="A833" s="7316"/>
      <c r="B833" s="7337" t="s">
        <v>3215</v>
      </c>
      <c r="C833" s="7338" t="s">
        <v>3216</v>
      </c>
      <c r="D833" s="7339"/>
      <c r="E833" s="7338" t="s">
        <v>1871</v>
      </c>
      <c r="F833" s="7338" t="str">
        <f t="shared" ref="F833:F850" si="46">IFERROR(VLOOKUP(E833,P$3:Q851,2,False),"")</f>
        <v/>
      </c>
      <c r="G833" s="7338"/>
      <c r="H833" s="7338" t="str">
        <f t="shared" ref="H833:H849" si="47">IFERROR(VLOOKUP(G833,P$3:Q851,2,False),"")</f>
        <v/>
      </c>
      <c r="I833" s="7338">
        <v>41.0</v>
      </c>
      <c r="J833" s="7338">
        <v>56.0</v>
      </c>
      <c r="K833" s="7338">
        <v>40.0</v>
      </c>
      <c r="L833" s="7338">
        <v>62.0</v>
      </c>
      <c r="M833" s="7338">
        <v>44.0</v>
      </c>
      <c r="N833" s="7340">
        <v>71.0</v>
      </c>
      <c r="O833" s="7321"/>
      <c r="P833" s="7324"/>
      <c r="Q833" s="7324"/>
      <c r="R833" s="7324"/>
    </row>
    <row r="834" ht="18.75" customHeight="1">
      <c r="A834" s="7316"/>
      <c r="B834" s="7331" t="s">
        <v>200</v>
      </c>
      <c r="C834" s="7332" t="s">
        <v>3217</v>
      </c>
      <c r="D834" s="7333"/>
      <c r="E834" s="7332" t="s">
        <v>1871</v>
      </c>
      <c r="F834" s="7332" t="str">
        <f t="shared" si="46"/>
        <v/>
      </c>
      <c r="G834" s="7332"/>
      <c r="H834" s="7332" t="str">
        <f t="shared" si="47"/>
        <v/>
      </c>
      <c r="I834" s="7332">
        <v>54.0</v>
      </c>
      <c r="J834" s="7332">
        <v>63.0</v>
      </c>
      <c r="K834" s="7332">
        <v>52.0</v>
      </c>
      <c r="L834" s="7332">
        <v>83.0</v>
      </c>
      <c r="M834" s="7332">
        <v>56.0</v>
      </c>
      <c r="N834" s="7334">
        <v>97.0</v>
      </c>
      <c r="O834" s="7321"/>
      <c r="P834" s="7324"/>
      <c r="Q834" s="7324"/>
      <c r="R834" s="7324"/>
    </row>
    <row r="835" ht="18.75" customHeight="1">
      <c r="A835" s="7316"/>
      <c r="B835" s="7337" t="s">
        <v>324</v>
      </c>
      <c r="C835" s="7338" t="s">
        <v>3218</v>
      </c>
      <c r="D835" s="7339"/>
      <c r="E835" s="7338" t="s">
        <v>1871</v>
      </c>
      <c r="F835" s="7338" t="str">
        <f t="shared" si="46"/>
        <v/>
      </c>
      <c r="G835" s="7338" t="s">
        <v>1911</v>
      </c>
      <c r="H835" s="7338" t="str">
        <f t="shared" si="47"/>
        <v/>
      </c>
      <c r="I835" s="7338">
        <v>72.0</v>
      </c>
      <c r="J835" s="7338">
        <v>95.0</v>
      </c>
      <c r="K835" s="7338">
        <v>67.0</v>
      </c>
      <c r="L835" s="7338">
        <v>103.0</v>
      </c>
      <c r="M835" s="7338">
        <v>71.0</v>
      </c>
      <c r="N835" s="7340">
        <v>122.0</v>
      </c>
      <c r="O835" s="7321"/>
      <c r="P835" s="7324"/>
      <c r="Q835" s="7324"/>
      <c r="R835" s="7324"/>
    </row>
    <row r="836" ht="18.75" customHeight="1">
      <c r="A836" s="7316"/>
      <c r="B836" s="7331" t="s">
        <v>1554</v>
      </c>
      <c r="C836" s="7341" t="s">
        <v>3219</v>
      </c>
      <c r="D836" s="7333"/>
      <c r="E836" s="7332" t="s">
        <v>1871</v>
      </c>
      <c r="F836" s="7332" t="str">
        <f t="shared" si="46"/>
        <v/>
      </c>
      <c r="G836" s="7332" t="s">
        <v>1911</v>
      </c>
      <c r="H836" s="7332" t="str">
        <f t="shared" si="47"/>
        <v/>
      </c>
      <c r="I836" s="7332">
        <v>72.0</v>
      </c>
      <c r="J836" s="7332">
        <v>145.0</v>
      </c>
      <c r="K836" s="7332">
        <v>67.0</v>
      </c>
      <c r="L836" s="7332">
        <v>153.0</v>
      </c>
      <c r="M836" s="7332">
        <v>71.0</v>
      </c>
      <c r="N836" s="7334">
        <v>132.0</v>
      </c>
      <c r="O836" s="7321"/>
      <c r="P836" s="7324"/>
      <c r="Q836" s="7324"/>
      <c r="R836" s="7324"/>
    </row>
    <row r="837" ht="18.75" customHeight="1">
      <c r="A837" s="7316"/>
      <c r="B837" s="7337" t="s">
        <v>3220</v>
      </c>
      <c r="C837" s="7338" t="s">
        <v>3221</v>
      </c>
      <c r="D837" s="7339"/>
      <c r="E837" s="7338" t="s">
        <v>1901</v>
      </c>
      <c r="F837" s="7338" t="str">
        <f t="shared" si="46"/>
        <v/>
      </c>
      <c r="G837" s="7338"/>
      <c r="H837" s="7338" t="str">
        <f t="shared" si="47"/>
        <v/>
      </c>
      <c r="I837" s="7338">
        <v>38.0</v>
      </c>
      <c r="J837" s="7338">
        <v>36.0</v>
      </c>
      <c r="K837" s="7338">
        <v>38.0</v>
      </c>
      <c r="L837" s="7338">
        <v>32.0</v>
      </c>
      <c r="M837" s="7338">
        <v>36.0</v>
      </c>
      <c r="N837" s="7340">
        <v>57.0</v>
      </c>
      <c r="O837" s="7321"/>
      <c r="P837" s="7324"/>
      <c r="Q837" s="7324"/>
      <c r="R837" s="7324"/>
    </row>
    <row r="838" ht="18.75" customHeight="1">
      <c r="A838" s="7316"/>
      <c r="B838" s="7331" t="s">
        <v>3222</v>
      </c>
      <c r="C838" s="7332" t="s">
        <v>3223</v>
      </c>
      <c r="D838" s="7333"/>
      <c r="E838" s="7332" t="s">
        <v>1901</v>
      </c>
      <c r="F838" s="7332" t="str">
        <f t="shared" si="46"/>
        <v/>
      </c>
      <c r="G838" s="7332" t="s">
        <v>1948</v>
      </c>
      <c r="H838" s="7332" t="str">
        <f t="shared" si="47"/>
        <v/>
      </c>
      <c r="I838" s="7332">
        <v>85.0</v>
      </c>
      <c r="J838" s="7332">
        <v>56.0</v>
      </c>
      <c r="K838" s="7332">
        <v>77.0</v>
      </c>
      <c r="L838" s="7332">
        <v>50.0</v>
      </c>
      <c r="M838" s="7332">
        <v>77.0</v>
      </c>
      <c r="N838" s="7334">
        <v>78.0</v>
      </c>
      <c r="O838" s="7321"/>
      <c r="P838" s="7324"/>
      <c r="Q838" s="7324"/>
      <c r="R838" s="7324"/>
    </row>
    <row r="839" ht="18.75" customHeight="1">
      <c r="A839" s="7316"/>
      <c r="B839" s="7337" t="s">
        <v>3224</v>
      </c>
      <c r="C839" s="7338" t="s">
        <v>3225</v>
      </c>
      <c r="D839" s="7339"/>
      <c r="E839" s="7338" t="s">
        <v>1901</v>
      </c>
      <c r="F839" s="7338" t="str">
        <f t="shared" si="46"/>
        <v/>
      </c>
      <c r="G839" s="7338" t="s">
        <v>1863</v>
      </c>
      <c r="H839" s="7338" t="str">
        <f t="shared" si="47"/>
        <v/>
      </c>
      <c r="I839" s="7338">
        <v>45.0</v>
      </c>
      <c r="J839" s="7338">
        <v>50.0</v>
      </c>
      <c r="K839" s="7338">
        <v>43.0</v>
      </c>
      <c r="L839" s="7338">
        <v>40.0</v>
      </c>
      <c r="M839" s="7338">
        <v>38.0</v>
      </c>
      <c r="N839" s="7340">
        <v>62.0</v>
      </c>
      <c r="O839" s="7321"/>
      <c r="P839" s="7324"/>
      <c r="Q839" s="7324"/>
      <c r="R839" s="7324"/>
    </row>
    <row r="840" ht="18.75" customHeight="1">
      <c r="A840" s="7316"/>
      <c r="B840" s="7331" t="s">
        <v>3226</v>
      </c>
      <c r="C840" s="7332" t="s">
        <v>3227</v>
      </c>
      <c r="D840" s="7333"/>
      <c r="E840" s="7332" t="s">
        <v>1858</v>
      </c>
      <c r="F840" s="7332" t="str">
        <f t="shared" si="46"/>
        <v/>
      </c>
      <c r="G840" s="7332" t="s">
        <v>1863</v>
      </c>
      <c r="H840" s="7332" t="str">
        <f t="shared" si="47"/>
        <v/>
      </c>
      <c r="I840" s="7332">
        <v>62.0</v>
      </c>
      <c r="J840" s="7332">
        <v>73.0</v>
      </c>
      <c r="K840" s="7332">
        <v>55.0</v>
      </c>
      <c r="L840" s="7332">
        <v>56.0</v>
      </c>
      <c r="M840" s="7332">
        <v>52.0</v>
      </c>
      <c r="N840" s="7334">
        <v>84.0</v>
      </c>
      <c r="O840" s="7321"/>
      <c r="P840" s="7324"/>
      <c r="Q840" s="7324"/>
      <c r="R840" s="7324"/>
    </row>
    <row r="841" ht="18.75" customHeight="1">
      <c r="A841" s="7316"/>
      <c r="B841" s="7337" t="s">
        <v>878</v>
      </c>
      <c r="C841" s="7338" t="s">
        <v>3228</v>
      </c>
      <c r="D841" s="7339"/>
      <c r="E841" s="7338" t="s">
        <v>1858</v>
      </c>
      <c r="F841" s="7338" t="str">
        <f t="shared" si="46"/>
        <v/>
      </c>
      <c r="G841" s="7338" t="s">
        <v>1863</v>
      </c>
      <c r="H841" s="7338" t="str">
        <f t="shared" si="47"/>
        <v/>
      </c>
      <c r="I841" s="7338">
        <v>78.0</v>
      </c>
      <c r="J841" s="7338">
        <v>91.0</v>
      </c>
      <c r="K841" s="7338">
        <v>71.0</v>
      </c>
      <c r="L841" s="7338">
        <v>74.0</v>
      </c>
      <c r="M841" s="7338">
        <v>69.0</v>
      </c>
      <c r="N841" s="7340">
        <v>126.0</v>
      </c>
      <c r="O841" s="7321"/>
      <c r="P841" s="7324"/>
      <c r="Q841" s="7324"/>
      <c r="R841" s="7324"/>
    </row>
    <row r="842" ht="18.75" customHeight="1">
      <c r="A842" s="7316"/>
      <c r="B842" s="7331" t="s">
        <v>3229</v>
      </c>
      <c r="C842" s="7332" t="s">
        <v>3230</v>
      </c>
      <c r="D842" s="7333"/>
      <c r="E842" s="7332" t="s">
        <v>1882</v>
      </c>
      <c r="F842" s="7332" t="str">
        <f t="shared" si="46"/>
        <v/>
      </c>
      <c r="G842" s="7332"/>
      <c r="H842" s="7332" t="str">
        <f t="shared" si="47"/>
        <v/>
      </c>
      <c r="I842" s="7332">
        <v>38.0</v>
      </c>
      <c r="J842" s="7332">
        <v>35.0</v>
      </c>
      <c r="K842" s="7332">
        <v>40.0</v>
      </c>
      <c r="L842" s="7332">
        <v>27.0</v>
      </c>
      <c r="M842" s="7332">
        <v>25.0</v>
      </c>
      <c r="N842" s="7334">
        <v>35.0</v>
      </c>
      <c r="O842" s="7321"/>
      <c r="P842" s="7324"/>
      <c r="Q842" s="7324"/>
      <c r="R842" s="7324"/>
    </row>
    <row r="843" ht="18.75" customHeight="1">
      <c r="A843" s="7316"/>
      <c r="B843" s="7337" t="s">
        <v>3231</v>
      </c>
      <c r="C843" s="7338" t="s">
        <v>3232</v>
      </c>
      <c r="D843" s="7339"/>
      <c r="E843" s="7338" t="s">
        <v>1882</v>
      </c>
      <c r="F843" s="7338" t="str">
        <f t="shared" si="46"/>
        <v/>
      </c>
      <c r="G843" s="7338"/>
      <c r="H843" s="7338" t="str">
        <f t="shared" si="47"/>
        <v/>
      </c>
      <c r="I843" s="7338">
        <v>45.0</v>
      </c>
      <c r="J843" s="7338">
        <v>22.0</v>
      </c>
      <c r="K843" s="7338">
        <v>60.0</v>
      </c>
      <c r="L843" s="7338">
        <v>27.0</v>
      </c>
      <c r="M843" s="7338">
        <v>30.0</v>
      </c>
      <c r="N843" s="7340">
        <v>29.0</v>
      </c>
      <c r="O843" s="7321"/>
      <c r="P843" s="7324"/>
      <c r="Q843" s="7324"/>
      <c r="R843" s="7324"/>
    </row>
    <row r="844" ht="18.75" customHeight="1">
      <c r="A844" s="7316"/>
      <c r="B844" s="7331" t="s">
        <v>1009</v>
      </c>
      <c r="C844" s="7332" t="s">
        <v>3233</v>
      </c>
      <c r="D844" s="7333"/>
      <c r="E844" s="7341" t="s">
        <v>1882</v>
      </c>
      <c r="F844" s="7341" t="str">
        <f t="shared" si="46"/>
        <v/>
      </c>
      <c r="G844" s="7341" t="s">
        <v>1863</v>
      </c>
      <c r="H844" s="7341" t="str">
        <f t="shared" si="47"/>
        <v/>
      </c>
      <c r="I844" s="7332">
        <v>80.0</v>
      </c>
      <c r="J844" s="7332">
        <v>52.0</v>
      </c>
      <c r="K844" s="7332">
        <v>50.0</v>
      </c>
      <c r="L844" s="7332">
        <v>90.0</v>
      </c>
      <c r="M844" s="7332">
        <v>50.0</v>
      </c>
      <c r="N844" s="7334">
        <v>89.0</v>
      </c>
      <c r="O844" s="7321"/>
      <c r="P844" s="7324"/>
      <c r="Q844" s="7324"/>
      <c r="R844" s="7324"/>
    </row>
    <row r="845" ht="18.75" customHeight="1">
      <c r="A845" s="7316"/>
      <c r="B845" s="7337" t="s">
        <v>3234</v>
      </c>
      <c r="C845" s="7338" t="s">
        <v>3235</v>
      </c>
      <c r="D845" s="7339"/>
      <c r="E845" s="7338" t="s">
        <v>1858</v>
      </c>
      <c r="F845" s="7338" t="str">
        <f t="shared" si="46"/>
        <v/>
      </c>
      <c r="G845" s="7338" t="s">
        <v>1901</v>
      </c>
      <c r="H845" s="7338" t="str">
        <f t="shared" si="47"/>
        <v/>
      </c>
      <c r="I845" s="7338">
        <v>62.0</v>
      </c>
      <c r="J845" s="7338">
        <v>50.0</v>
      </c>
      <c r="K845" s="7338">
        <v>58.0</v>
      </c>
      <c r="L845" s="7338">
        <v>73.0</v>
      </c>
      <c r="M845" s="7338">
        <v>54.0</v>
      </c>
      <c r="N845" s="7340">
        <v>72.0</v>
      </c>
      <c r="O845" s="7321"/>
      <c r="P845" s="7324"/>
      <c r="Q845" s="7324"/>
      <c r="R845" s="7324"/>
    </row>
    <row r="846" ht="18.75" customHeight="1">
      <c r="A846" s="7316"/>
      <c r="B846" s="7331" t="s">
        <v>3236</v>
      </c>
      <c r="C846" s="7332" t="s">
        <v>3237</v>
      </c>
      <c r="D846" s="7333"/>
      <c r="E846" s="7332" t="s">
        <v>1858</v>
      </c>
      <c r="F846" s="7332" t="str">
        <f t="shared" si="46"/>
        <v/>
      </c>
      <c r="G846" s="7332" t="s">
        <v>1901</v>
      </c>
      <c r="H846" s="7332" t="str">
        <f t="shared" si="47"/>
        <v/>
      </c>
      <c r="I846" s="7332">
        <v>86.0</v>
      </c>
      <c r="J846" s="7332">
        <v>68.0</v>
      </c>
      <c r="K846" s="7332">
        <v>72.0</v>
      </c>
      <c r="L846" s="7332">
        <v>109.0</v>
      </c>
      <c r="M846" s="7332">
        <v>66.0</v>
      </c>
      <c r="N846" s="7334">
        <v>106.0</v>
      </c>
      <c r="O846" s="7321"/>
      <c r="P846" s="7324"/>
      <c r="Q846" s="7324"/>
      <c r="R846" s="7324"/>
    </row>
    <row r="847" ht="18.75" customHeight="1">
      <c r="A847" s="7316"/>
      <c r="B847" s="7337" t="s">
        <v>3238</v>
      </c>
      <c r="C847" s="7342" t="s">
        <v>3239</v>
      </c>
      <c r="D847" s="7339"/>
      <c r="E847" s="7338" t="s">
        <v>1858</v>
      </c>
      <c r="F847" s="7338" t="str">
        <f t="shared" si="46"/>
        <v/>
      </c>
      <c r="G847" s="7338" t="s">
        <v>1901</v>
      </c>
      <c r="H847" s="7338" t="str">
        <f t="shared" si="47"/>
        <v/>
      </c>
      <c r="I847" s="7338">
        <v>86.0</v>
      </c>
      <c r="J847" s="7338">
        <v>68.0</v>
      </c>
      <c r="K847" s="7338">
        <v>72.0</v>
      </c>
      <c r="L847" s="7338">
        <v>109.0</v>
      </c>
      <c r="M847" s="7338">
        <v>66.0</v>
      </c>
      <c r="N847" s="7340">
        <v>106.0</v>
      </c>
      <c r="O847" s="7321"/>
      <c r="P847" s="7324"/>
      <c r="Q847" s="7324"/>
      <c r="R847" s="7324"/>
    </row>
    <row r="848" ht="18.75" customHeight="1">
      <c r="A848" s="7316"/>
      <c r="B848" s="7331" t="s">
        <v>3240</v>
      </c>
      <c r="C848" s="7332" t="s">
        <v>3241</v>
      </c>
      <c r="D848" s="7333"/>
      <c r="E848" s="7332" t="s">
        <v>1935</v>
      </c>
      <c r="F848" s="7332" t="str">
        <f t="shared" si="46"/>
        <v/>
      </c>
      <c r="G848" s="7332"/>
      <c r="H848" s="7332" t="str">
        <f t="shared" si="47"/>
        <v/>
      </c>
      <c r="I848" s="7332">
        <v>44.0</v>
      </c>
      <c r="J848" s="7332">
        <v>38.0</v>
      </c>
      <c r="K848" s="7332">
        <v>39.0</v>
      </c>
      <c r="L848" s="7332">
        <v>61.0</v>
      </c>
      <c r="M848" s="7332">
        <v>79.0</v>
      </c>
      <c r="N848" s="7334">
        <v>42.0</v>
      </c>
      <c r="O848" s="7321"/>
      <c r="P848" s="7324"/>
      <c r="Q848" s="7324"/>
      <c r="R848" s="7324"/>
    </row>
    <row r="849" ht="18.75" customHeight="1">
      <c r="A849" s="7316"/>
      <c r="B849" s="7337" t="s">
        <v>3242</v>
      </c>
      <c r="C849" s="7338" t="s">
        <v>3243</v>
      </c>
      <c r="D849" s="7339"/>
      <c r="E849" s="7338" t="s">
        <v>1935</v>
      </c>
      <c r="F849" s="7338" t="str">
        <f t="shared" si="46"/>
        <v/>
      </c>
      <c r="G849" s="7338"/>
      <c r="H849" s="7338" t="str">
        <f t="shared" si="47"/>
        <v/>
      </c>
      <c r="I849" s="7338">
        <v>54.0</v>
      </c>
      <c r="J849" s="7338">
        <v>45.0</v>
      </c>
      <c r="K849" s="7338">
        <v>47.0</v>
      </c>
      <c r="L849" s="7338">
        <v>75.0</v>
      </c>
      <c r="M849" s="7338">
        <v>98.0</v>
      </c>
      <c r="N849" s="7340">
        <v>52.0</v>
      </c>
      <c r="O849" s="7321"/>
      <c r="P849" s="7324"/>
      <c r="Q849" s="7324"/>
      <c r="R849" s="7324"/>
    </row>
    <row r="850" ht="18.75" customHeight="1">
      <c r="A850" s="7316"/>
      <c r="B850" s="7331" t="s">
        <v>3244</v>
      </c>
      <c r="C850" s="7341" t="s">
        <v>3243</v>
      </c>
      <c r="D850" s="7333"/>
      <c r="E850" s="7341" t="s">
        <v>1935</v>
      </c>
      <c r="F850" s="7332" t="str">
        <f t="shared" si="46"/>
        <v/>
      </c>
      <c r="G850" s="7332"/>
      <c r="H850" s="7332"/>
      <c r="I850" s="7341">
        <v>74.0</v>
      </c>
      <c r="J850" s="7341">
        <v>65.0</v>
      </c>
      <c r="K850" s="7341">
        <v>67.0</v>
      </c>
      <c r="L850" s="7341">
        <v>125.0</v>
      </c>
      <c r="M850" s="7341">
        <v>128.0</v>
      </c>
      <c r="N850" s="7360">
        <v>92.0</v>
      </c>
      <c r="O850" s="7321"/>
      <c r="P850" s="7324"/>
      <c r="Q850" s="7324"/>
      <c r="R850" s="7324"/>
    </row>
    <row r="851" ht="18.75" customHeight="1">
      <c r="A851" s="7316"/>
      <c r="B851" s="7337" t="s">
        <v>1141</v>
      </c>
      <c r="C851" s="7338" t="s">
        <v>3245</v>
      </c>
      <c r="D851" s="7339"/>
      <c r="E851" s="7338" t="s">
        <v>1935</v>
      </c>
      <c r="F851" s="7338" t="str">
        <f t="shared" ref="F851:F899" si="48">IFERROR(VLOOKUP(E851,P$3:Q868,2,False),"")</f>
        <v/>
      </c>
      <c r="G851" s="7338"/>
      <c r="H851" s="7338" t="str">
        <f t="shared" ref="H851:H899" si="49">IFERROR(VLOOKUP(G851,P$3:Q868,2,False),"")</f>
        <v/>
      </c>
      <c r="I851" s="7338">
        <v>78.0</v>
      </c>
      <c r="J851" s="7338">
        <v>65.0</v>
      </c>
      <c r="K851" s="7338">
        <v>68.0</v>
      </c>
      <c r="L851" s="7338">
        <v>112.0</v>
      </c>
      <c r="M851" s="7338">
        <v>154.0</v>
      </c>
      <c r="N851" s="7340">
        <v>75.0</v>
      </c>
      <c r="O851" s="7321"/>
      <c r="P851" s="7324"/>
      <c r="Q851" s="7324"/>
      <c r="R851" s="7324"/>
    </row>
    <row r="852" ht="18.75" customHeight="1">
      <c r="A852" s="7316"/>
      <c r="B852" s="7331" t="s">
        <v>3246</v>
      </c>
      <c r="C852" s="7332" t="s">
        <v>3247</v>
      </c>
      <c r="D852" s="7333"/>
      <c r="E852" s="7332" t="s">
        <v>1848</v>
      </c>
      <c r="F852" s="7332" t="str">
        <f t="shared" si="48"/>
        <v/>
      </c>
      <c r="G852" s="7332"/>
      <c r="H852" s="7332" t="str">
        <f t="shared" si="49"/>
        <v/>
      </c>
      <c r="I852" s="7332">
        <v>66.0</v>
      </c>
      <c r="J852" s="7332">
        <v>65.0</v>
      </c>
      <c r="K852" s="7332">
        <v>48.0</v>
      </c>
      <c r="L852" s="7332">
        <v>62.0</v>
      </c>
      <c r="M852" s="7332">
        <v>57.0</v>
      </c>
      <c r="N852" s="7334">
        <v>52.0</v>
      </c>
      <c r="O852" s="7321"/>
      <c r="P852" s="7324"/>
      <c r="Q852" s="7324"/>
      <c r="R852" s="7324"/>
    </row>
    <row r="853" ht="18.75" customHeight="1">
      <c r="A853" s="7316"/>
      <c r="B853" s="7337" t="s">
        <v>3248</v>
      </c>
      <c r="C853" s="7338" t="s">
        <v>3249</v>
      </c>
      <c r="D853" s="7339"/>
      <c r="E853" s="7338" t="s">
        <v>1848</v>
      </c>
      <c r="F853" s="7338" t="str">
        <f t="shared" si="48"/>
        <v/>
      </c>
      <c r="G853" s="7338"/>
      <c r="H853" s="7338" t="str">
        <f t="shared" si="49"/>
        <v/>
      </c>
      <c r="I853" s="7338">
        <v>123.0</v>
      </c>
      <c r="J853" s="7338">
        <v>100.0</v>
      </c>
      <c r="K853" s="7338">
        <v>72.0</v>
      </c>
      <c r="L853" s="7338">
        <v>67.0</v>
      </c>
      <c r="M853" s="7338">
        <v>87.0</v>
      </c>
      <c r="N853" s="7340">
        <v>74.0</v>
      </c>
      <c r="O853" s="7321"/>
      <c r="P853" s="7324"/>
      <c r="Q853" s="7324"/>
      <c r="R853" s="7324"/>
    </row>
    <row r="854" ht="18.75" customHeight="1">
      <c r="A854" s="7316"/>
      <c r="B854" s="7331" t="s">
        <v>3250</v>
      </c>
      <c r="C854" s="7332" t="s">
        <v>3251</v>
      </c>
      <c r="D854" s="7333"/>
      <c r="E854" s="7332" t="s">
        <v>1939</v>
      </c>
      <c r="F854" s="7332" t="str">
        <f t="shared" si="48"/>
        <v/>
      </c>
      <c r="G854" s="7332"/>
      <c r="H854" s="7332" t="str">
        <f t="shared" si="49"/>
        <v/>
      </c>
      <c r="I854" s="7332">
        <v>67.0</v>
      </c>
      <c r="J854" s="7332">
        <v>82.0</v>
      </c>
      <c r="K854" s="7332">
        <v>62.0</v>
      </c>
      <c r="L854" s="7332">
        <v>46.0</v>
      </c>
      <c r="M854" s="7332">
        <v>48.0</v>
      </c>
      <c r="N854" s="7334">
        <v>43.0</v>
      </c>
      <c r="O854" s="7321"/>
      <c r="P854" s="7324"/>
      <c r="Q854" s="7324"/>
      <c r="R854" s="7324"/>
    </row>
    <row r="855" ht="18.75" customHeight="1">
      <c r="A855" s="7316"/>
      <c r="B855" s="7337" t="s">
        <v>1649</v>
      </c>
      <c r="C855" s="7338" t="s">
        <v>3252</v>
      </c>
      <c r="D855" s="7339"/>
      <c r="E855" s="7338" t="s">
        <v>1939</v>
      </c>
      <c r="F855" s="7338" t="str">
        <f t="shared" si="48"/>
        <v/>
      </c>
      <c r="G855" s="7338" t="s">
        <v>1911</v>
      </c>
      <c r="H855" s="7338" t="str">
        <f t="shared" si="49"/>
        <v/>
      </c>
      <c r="I855" s="7338">
        <v>95.0</v>
      </c>
      <c r="J855" s="7338">
        <v>124.0</v>
      </c>
      <c r="K855" s="7338">
        <v>78.0</v>
      </c>
      <c r="L855" s="7338">
        <v>69.0</v>
      </c>
      <c r="M855" s="7338">
        <v>71.0</v>
      </c>
      <c r="N855" s="7340">
        <v>58.0</v>
      </c>
      <c r="O855" s="7321"/>
      <c r="P855" s="7324"/>
      <c r="Q855" s="7324"/>
      <c r="R855" s="7324"/>
    </row>
    <row r="856" ht="18.75" customHeight="1">
      <c r="A856" s="7316"/>
      <c r="B856" s="7331" t="s">
        <v>3253</v>
      </c>
      <c r="C856" s="7332" t="s">
        <v>3254</v>
      </c>
      <c r="D856" s="7333"/>
      <c r="E856" s="7332" t="s">
        <v>1901</v>
      </c>
      <c r="F856" s="7332" t="str">
        <f t="shared" si="48"/>
        <v/>
      </c>
      <c r="G856" s="7332"/>
      <c r="H856" s="7332" t="str">
        <f t="shared" si="49"/>
        <v/>
      </c>
      <c r="I856" s="7332">
        <v>75.0</v>
      </c>
      <c r="J856" s="7332">
        <v>90.0</v>
      </c>
      <c r="K856" s="7332">
        <v>60.0</v>
      </c>
      <c r="L856" s="7332">
        <v>65.0</v>
      </c>
      <c r="M856" s="7332">
        <v>90.0</v>
      </c>
      <c r="N856" s="7334">
        <v>102.0</v>
      </c>
      <c r="O856" s="7321"/>
      <c r="P856" s="7324"/>
      <c r="Q856" s="7324"/>
      <c r="R856" s="7324"/>
    </row>
    <row r="857" ht="18.75" customHeight="1">
      <c r="A857" s="7316"/>
      <c r="B857" s="7337" t="s">
        <v>3255</v>
      </c>
      <c r="C857" s="7338" t="s">
        <v>3256</v>
      </c>
      <c r="D857" s="7339"/>
      <c r="E857" s="7338" t="s">
        <v>561</v>
      </c>
      <c r="F857" s="7338" t="str">
        <f t="shared" si="48"/>
        <v/>
      </c>
      <c r="G857" s="7338"/>
      <c r="H857" s="7338" t="str">
        <f t="shared" si="49"/>
        <v/>
      </c>
      <c r="I857" s="7338">
        <v>62.0</v>
      </c>
      <c r="J857" s="7338">
        <v>48.0</v>
      </c>
      <c r="K857" s="7338">
        <v>54.0</v>
      </c>
      <c r="L857" s="7338">
        <v>63.0</v>
      </c>
      <c r="M857" s="7338">
        <v>60.0</v>
      </c>
      <c r="N857" s="7340">
        <v>68.0</v>
      </c>
      <c r="O857" s="7321"/>
      <c r="P857" s="7324"/>
      <c r="Q857" s="7324"/>
      <c r="R857" s="7324"/>
    </row>
    <row r="858" ht="18.75" customHeight="1">
      <c r="A858" s="7316"/>
      <c r="B858" s="7331" t="s">
        <v>3257</v>
      </c>
      <c r="C858" s="7332" t="s">
        <v>3258</v>
      </c>
      <c r="D858" s="7333"/>
      <c r="E858" s="7332" t="s">
        <v>561</v>
      </c>
      <c r="F858" s="7332" t="str">
        <f t="shared" si="48"/>
        <v/>
      </c>
      <c r="G858" s="7332"/>
      <c r="H858" s="7332" t="str">
        <f t="shared" si="49"/>
        <v/>
      </c>
      <c r="I858" s="7332">
        <v>74.0</v>
      </c>
      <c r="J858" s="7332">
        <v>48.0</v>
      </c>
      <c r="K858" s="7332">
        <v>76.0</v>
      </c>
      <c r="L858" s="7332">
        <v>63.0</v>
      </c>
      <c r="M858" s="7332">
        <v>81.0</v>
      </c>
      <c r="N858" s="7334">
        <v>104.0</v>
      </c>
      <c r="O858" s="7321"/>
      <c r="P858" s="7324"/>
      <c r="Q858" s="7324"/>
      <c r="R858" s="7324"/>
    </row>
    <row r="859" ht="18.75" customHeight="1">
      <c r="A859" s="7316"/>
      <c r="B859" s="7337" t="s">
        <v>3259</v>
      </c>
      <c r="C859" s="7342" t="s">
        <v>3260</v>
      </c>
      <c r="D859" s="7339"/>
      <c r="E859" s="7338" t="s">
        <v>561</v>
      </c>
      <c r="F859" s="7338" t="str">
        <f t="shared" si="48"/>
        <v/>
      </c>
      <c r="G859" s="7338"/>
      <c r="H859" s="7338" t="str">
        <f t="shared" si="49"/>
        <v/>
      </c>
      <c r="I859" s="7338">
        <v>74.0</v>
      </c>
      <c r="J859" s="7338">
        <v>48.0</v>
      </c>
      <c r="K859" s="7338">
        <v>76.0</v>
      </c>
      <c r="L859" s="7338">
        <v>63.0</v>
      </c>
      <c r="M859" s="7338">
        <v>81.0</v>
      </c>
      <c r="N859" s="7340">
        <v>104.0</v>
      </c>
      <c r="O859" s="7321"/>
      <c r="P859" s="7324"/>
      <c r="Q859" s="7324"/>
      <c r="R859" s="7324"/>
    </row>
    <row r="860" ht="18.75" customHeight="1">
      <c r="A860" s="7316"/>
      <c r="B860" s="7331" t="s">
        <v>3261</v>
      </c>
      <c r="C860" s="7332" t="s">
        <v>3262</v>
      </c>
      <c r="D860" s="7333"/>
      <c r="E860" s="7332" t="s">
        <v>1929</v>
      </c>
      <c r="F860" s="7332" t="str">
        <f t="shared" si="48"/>
        <v/>
      </c>
      <c r="G860" s="7332" t="s">
        <v>2097</v>
      </c>
      <c r="H860" s="7332" t="str">
        <f t="shared" si="49"/>
        <v/>
      </c>
      <c r="I860" s="7332">
        <v>45.0</v>
      </c>
      <c r="J860" s="7332">
        <v>80.0</v>
      </c>
      <c r="K860" s="7332">
        <v>100.0</v>
      </c>
      <c r="L860" s="7332">
        <v>35.0</v>
      </c>
      <c r="M860" s="7332">
        <v>37.0</v>
      </c>
      <c r="N860" s="7334">
        <v>28.0</v>
      </c>
      <c r="O860" s="7321"/>
      <c r="P860" s="7324"/>
      <c r="Q860" s="7324"/>
      <c r="R860" s="7324"/>
    </row>
    <row r="861" ht="18.75" customHeight="1">
      <c r="A861" s="7316"/>
      <c r="B861" s="7337" t="s">
        <v>3263</v>
      </c>
      <c r="C861" s="7338" t="s">
        <v>3264</v>
      </c>
      <c r="D861" s="7339"/>
      <c r="E861" s="7338" t="s">
        <v>1929</v>
      </c>
      <c r="F861" s="7338" t="str">
        <f t="shared" si="48"/>
        <v/>
      </c>
      <c r="G861" s="7338" t="s">
        <v>2097</v>
      </c>
      <c r="H861" s="7338" t="str">
        <f t="shared" si="49"/>
        <v/>
      </c>
      <c r="I861" s="7338">
        <v>59.0</v>
      </c>
      <c r="J861" s="7338">
        <v>110.0</v>
      </c>
      <c r="K861" s="7338">
        <v>150.0</v>
      </c>
      <c r="L861" s="7338">
        <v>45.0</v>
      </c>
      <c r="M861" s="7338">
        <v>49.0</v>
      </c>
      <c r="N861" s="7340">
        <v>35.0</v>
      </c>
      <c r="O861" s="7321"/>
      <c r="P861" s="7324"/>
      <c r="Q861" s="7324"/>
      <c r="R861" s="7324"/>
    </row>
    <row r="862" ht="18.75" customHeight="1">
      <c r="A862" s="7316"/>
      <c r="B862" s="7331" t="s">
        <v>3265</v>
      </c>
      <c r="C862" s="7332" t="s">
        <v>3266</v>
      </c>
      <c r="D862" s="7333"/>
      <c r="E862" s="7341" t="s">
        <v>1929</v>
      </c>
      <c r="F862" s="7341" t="str">
        <f t="shared" si="48"/>
        <v/>
      </c>
      <c r="G862" s="7341" t="s">
        <v>2097</v>
      </c>
      <c r="H862" s="7341" t="str">
        <f t="shared" si="49"/>
        <v/>
      </c>
      <c r="I862" s="7332">
        <v>60.0</v>
      </c>
      <c r="J862" s="7332">
        <v>50.0</v>
      </c>
      <c r="K862" s="7332">
        <v>140.0</v>
      </c>
      <c r="L862" s="7332">
        <v>50.0</v>
      </c>
      <c r="M862" s="7332">
        <v>140.0</v>
      </c>
      <c r="N862" s="7334">
        <v>60.0</v>
      </c>
      <c r="O862" s="7321"/>
      <c r="P862" s="7324"/>
      <c r="Q862" s="7324"/>
      <c r="R862" s="7324"/>
    </row>
    <row r="863" ht="18.75" customHeight="1">
      <c r="A863" s="7316"/>
      <c r="B863" s="7337" t="s">
        <v>1364</v>
      </c>
      <c r="C863" s="7342" t="s">
        <v>3267</v>
      </c>
      <c r="D863" s="7339"/>
      <c r="E863" s="7338" t="s">
        <v>1929</v>
      </c>
      <c r="F863" s="7338" t="str">
        <f t="shared" si="48"/>
        <v/>
      </c>
      <c r="G863" s="7338" t="s">
        <v>2097</v>
      </c>
      <c r="H863" s="7338" t="str">
        <f t="shared" si="49"/>
        <v/>
      </c>
      <c r="I863" s="7342">
        <v>60.0</v>
      </c>
      <c r="J863" s="7342">
        <v>140.0</v>
      </c>
      <c r="K863" s="7342">
        <v>50.0</v>
      </c>
      <c r="L863" s="7342">
        <v>140.0</v>
      </c>
      <c r="M863" s="7342">
        <v>50.0</v>
      </c>
      <c r="N863" s="7363">
        <v>60.0</v>
      </c>
      <c r="O863" s="7321"/>
      <c r="P863" s="7324"/>
      <c r="Q863" s="7324"/>
      <c r="R863" s="7324"/>
    </row>
    <row r="864" ht="18.75" customHeight="1">
      <c r="A864" s="7316"/>
      <c r="B864" s="7331" t="s">
        <v>3268</v>
      </c>
      <c r="C864" s="7332" t="s">
        <v>3269</v>
      </c>
      <c r="D864" s="7333"/>
      <c r="E864" s="7332" t="s">
        <v>1935</v>
      </c>
      <c r="F864" s="7332" t="str">
        <f t="shared" si="48"/>
        <v/>
      </c>
      <c r="G864" s="7332"/>
      <c r="H864" s="7332" t="str">
        <f t="shared" si="49"/>
        <v/>
      </c>
      <c r="I864" s="7332">
        <v>78.0</v>
      </c>
      <c r="J864" s="7332">
        <v>52.0</v>
      </c>
      <c r="K864" s="7332">
        <v>60.0</v>
      </c>
      <c r="L864" s="7332">
        <v>63.0</v>
      </c>
      <c r="M864" s="7332">
        <v>65.0</v>
      </c>
      <c r="N864" s="7334">
        <v>23.0</v>
      </c>
      <c r="O864" s="7321"/>
      <c r="P864" s="7324"/>
      <c r="Q864" s="7324"/>
      <c r="R864" s="7324"/>
    </row>
    <row r="865" ht="18.75" customHeight="1">
      <c r="A865" s="7316"/>
      <c r="B865" s="7337" t="s">
        <v>3270</v>
      </c>
      <c r="C865" s="7338" t="s">
        <v>3271</v>
      </c>
      <c r="D865" s="7339"/>
      <c r="E865" s="7338" t="s">
        <v>1935</v>
      </c>
      <c r="F865" s="7338" t="str">
        <f t="shared" si="48"/>
        <v/>
      </c>
      <c r="G865" s="7338"/>
      <c r="H865" s="7338" t="str">
        <f t="shared" si="49"/>
        <v/>
      </c>
      <c r="I865" s="7338">
        <v>101.0</v>
      </c>
      <c r="J865" s="7338">
        <v>62.0</v>
      </c>
      <c r="K865" s="7338">
        <v>82.0</v>
      </c>
      <c r="L865" s="7338">
        <v>99.0</v>
      </c>
      <c r="M865" s="7338">
        <v>89.0</v>
      </c>
      <c r="N865" s="7340">
        <v>29.0</v>
      </c>
      <c r="O865" s="7321"/>
      <c r="P865" s="7324"/>
      <c r="Q865" s="7324"/>
      <c r="R865" s="7324"/>
    </row>
    <row r="866" ht="18.75" customHeight="1">
      <c r="A866" s="7316"/>
      <c r="B866" s="7331" t="s">
        <v>3272</v>
      </c>
      <c r="C866" s="7332" t="s">
        <v>3273</v>
      </c>
      <c r="D866" s="7333"/>
      <c r="E866" s="7332" t="s">
        <v>1935</v>
      </c>
      <c r="F866" s="7332" t="str">
        <f t="shared" si="48"/>
        <v/>
      </c>
      <c r="G866" s="7332"/>
      <c r="H866" s="7332" t="str">
        <f t="shared" si="49"/>
        <v/>
      </c>
      <c r="I866" s="7332">
        <v>62.0</v>
      </c>
      <c r="J866" s="7332">
        <v>48.0</v>
      </c>
      <c r="K866" s="7332">
        <v>66.0</v>
      </c>
      <c r="L866" s="7332">
        <v>59.0</v>
      </c>
      <c r="M866" s="7332">
        <v>57.0</v>
      </c>
      <c r="N866" s="7334">
        <v>49.0</v>
      </c>
      <c r="O866" s="7321"/>
      <c r="P866" s="7324"/>
      <c r="Q866" s="7324"/>
      <c r="R866" s="7324"/>
    </row>
    <row r="867" ht="18.75" customHeight="1">
      <c r="A867" s="7316"/>
      <c r="B867" s="7337" t="s">
        <v>3274</v>
      </c>
      <c r="C867" s="7338" t="s">
        <v>3275</v>
      </c>
      <c r="D867" s="7339"/>
      <c r="E867" s="7338" t="s">
        <v>1935</v>
      </c>
      <c r="F867" s="7338" t="str">
        <f t="shared" si="48"/>
        <v/>
      </c>
      <c r="G867" s="7338"/>
      <c r="H867" s="7338" t="str">
        <f t="shared" si="49"/>
        <v/>
      </c>
      <c r="I867" s="7338">
        <v>82.0</v>
      </c>
      <c r="J867" s="7338">
        <v>90.0</v>
      </c>
      <c r="K867" s="7338">
        <v>86.0</v>
      </c>
      <c r="L867" s="7338">
        <v>75.0</v>
      </c>
      <c r="M867" s="7338">
        <v>75.0</v>
      </c>
      <c r="N867" s="7340">
        <v>72.0</v>
      </c>
      <c r="O867" s="7321"/>
      <c r="P867" s="7324"/>
      <c r="Q867" s="7324"/>
      <c r="R867" s="7324"/>
    </row>
    <row r="868" ht="18.75" customHeight="1">
      <c r="A868" s="7316"/>
      <c r="B868" s="7331" t="s">
        <v>3276</v>
      </c>
      <c r="C868" s="7332" t="s">
        <v>3277</v>
      </c>
      <c r="D868" s="7333"/>
      <c r="E868" s="7332" t="s">
        <v>1911</v>
      </c>
      <c r="F868" s="7332" t="str">
        <f t="shared" si="48"/>
        <v/>
      </c>
      <c r="G868" s="7332" t="s">
        <v>561</v>
      </c>
      <c r="H868" s="7332" t="str">
        <f t="shared" si="49"/>
        <v/>
      </c>
      <c r="I868" s="7332">
        <v>53.0</v>
      </c>
      <c r="J868" s="7332">
        <v>54.0</v>
      </c>
      <c r="K868" s="7332">
        <v>53.0</v>
      </c>
      <c r="L868" s="7332">
        <v>37.0</v>
      </c>
      <c r="M868" s="7332">
        <v>46.0</v>
      </c>
      <c r="N868" s="7334">
        <v>45.0</v>
      </c>
      <c r="O868" s="7321"/>
      <c r="P868" s="7324"/>
      <c r="Q868" s="7324"/>
      <c r="R868" s="7324"/>
    </row>
    <row r="869" ht="18.75" customHeight="1">
      <c r="A869" s="7316"/>
      <c r="B869" s="7337" t="s">
        <v>3278</v>
      </c>
      <c r="C869" s="7338" t="s">
        <v>3279</v>
      </c>
      <c r="D869" s="7339"/>
      <c r="E869" s="7338" t="s">
        <v>1911</v>
      </c>
      <c r="F869" s="7338" t="str">
        <f t="shared" si="48"/>
        <v/>
      </c>
      <c r="G869" s="7338" t="s">
        <v>561</v>
      </c>
      <c r="H869" s="7338" t="str">
        <f t="shared" si="49"/>
        <v/>
      </c>
      <c r="I869" s="7338">
        <v>86.0</v>
      </c>
      <c r="J869" s="7338">
        <v>92.0</v>
      </c>
      <c r="K869" s="7338">
        <v>88.0</v>
      </c>
      <c r="L869" s="7338">
        <v>68.0</v>
      </c>
      <c r="M869" s="7338">
        <v>75.0</v>
      </c>
      <c r="N869" s="7340">
        <v>73.0</v>
      </c>
      <c r="O869" s="7321"/>
      <c r="P869" s="7324"/>
      <c r="Q869" s="7324"/>
      <c r="R869" s="7324"/>
    </row>
    <row r="870" ht="18.75" customHeight="1">
      <c r="A870" s="7316"/>
      <c r="B870" s="7331" t="s">
        <v>3280</v>
      </c>
      <c r="C870" s="7332" t="s">
        <v>3281</v>
      </c>
      <c r="D870" s="7333"/>
      <c r="E870" s="7332" t="s">
        <v>2014</v>
      </c>
      <c r="F870" s="7332" t="str">
        <f t="shared" si="48"/>
        <v/>
      </c>
      <c r="G870" s="7332" t="s">
        <v>1871</v>
      </c>
      <c r="H870" s="7332" t="str">
        <f t="shared" si="49"/>
        <v/>
      </c>
      <c r="I870" s="7332">
        <v>42.0</v>
      </c>
      <c r="J870" s="7332">
        <v>52.0</v>
      </c>
      <c r="K870" s="7332">
        <v>67.0</v>
      </c>
      <c r="L870" s="7332">
        <v>39.0</v>
      </c>
      <c r="M870" s="7332">
        <v>56.0</v>
      </c>
      <c r="N870" s="7334">
        <v>50.0</v>
      </c>
      <c r="O870" s="7321"/>
      <c r="P870" s="7324"/>
      <c r="Q870" s="7324"/>
      <c r="R870" s="7324"/>
    </row>
    <row r="871" ht="18.75" customHeight="1">
      <c r="A871" s="7316"/>
      <c r="B871" s="7337" t="s">
        <v>3282</v>
      </c>
      <c r="C871" s="7338" t="s">
        <v>3283</v>
      </c>
      <c r="D871" s="7339"/>
      <c r="E871" s="7338" t="s">
        <v>2014</v>
      </c>
      <c r="F871" s="7338" t="str">
        <f t="shared" si="48"/>
        <v/>
      </c>
      <c r="G871" s="7338" t="s">
        <v>1871</v>
      </c>
      <c r="H871" s="7338" t="str">
        <f t="shared" si="49"/>
        <v/>
      </c>
      <c r="I871" s="7338">
        <v>72.0</v>
      </c>
      <c r="J871" s="7338">
        <v>105.0</v>
      </c>
      <c r="K871" s="7338">
        <v>115.0</v>
      </c>
      <c r="L871" s="7338">
        <v>54.0</v>
      </c>
      <c r="M871" s="7338">
        <v>86.0</v>
      </c>
      <c r="N871" s="7340">
        <v>68.0</v>
      </c>
      <c r="O871" s="7321"/>
      <c r="P871" s="7324"/>
      <c r="Q871" s="7324"/>
      <c r="R871" s="7324"/>
    </row>
    <row r="872" ht="18.75" customHeight="1">
      <c r="A872" s="7316"/>
      <c r="B872" s="7331" t="s">
        <v>3284</v>
      </c>
      <c r="C872" s="7332" t="s">
        <v>3285</v>
      </c>
      <c r="D872" s="7333"/>
      <c r="E872" s="7332" t="s">
        <v>1849</v>
      </c>
      <c r="F872" s="7332" t="str">
        <f t="shared" si="48"/>
        <v/>
      </c>
      <c r="G872" s="7332" t="s">
        <v>1871</v>
      </c>
      <c r="H872" s="7332" t="str">
        <f t="shared" si="49"/>
        <v/>
      </c>
      <c r="I872" s="7332">
        <v>50.0</v>
      </c>
      <c r="J872" s="7332">
        <v>60.0</v>
      </c>
      <c r="K872" s="7332">
        <v>60.0</v>
      </c>
      <c r="L872" s="7332">
        <v>60.0</v>
      </c>
      <c r="M872" s="7332">
        <v>60.0</v>
      </c>
      <c r="N872" s="7334">
        <v>30.0</v>
      </c>
      <c r="O872" s="7321"/>
      <c r="P872" s="7324"/>
      <c r="Q872" s="7324"/>
      <c r="R872" s="7324"/>
    </row>
    <row r="873" ht="18.75" customHeight="1">
      <c r="A873" s="7316"/>
      <c r="B873" s="7337" t="s">
        <v>1688</v>
      </c>
      <c r="C873" s="7338" t="s">
        <v>3286</v>
      </c>
      <c r="D873" s="7339"/>
      <c r="E873" s="7338" t="s">
        <v>1849</v>
      </c>
      <c r="F873" s="7338" t="str">
        <f t="shared" si="48"/>
        <v/>
      </c>
      <c r="G873" s="7338" t="s">
        <v>1866</v>
      </c>
      <c r="H873" s="7338" t="str">
        <f t="shared" si="49"/>
        <v/>
      </c>
      <c r="I873" s="7338">
        <v>65.0</v>
      </c>
      <c r="J873" s="7338">
        <v>75.0</v>
      </c>
      <c r="K873" s="7338">
        <v>90.0</v>
      </c>
      <c r="L873" s="7338">
        <v>97.0</v>
      </c>
      <c r="M873" s="7338">
        <v>123.0</v>
      </c>
      <c r="N873" s="7340">
        <v>44.0</v>
      </c>
      <c r="O873" s="7321"/>
      <c r="P873" s="7324"/>
      <c r="Q873" s="7324"/>
      <c r="R873" s="7324"/>
    </row>
    <row r="874" ht="18.75" customHeight="1">
      <c r="A874" s="7316"/>
      <c r="B874" s="7331" t="s">
        <v>3287</v>
      </c>
      <c r="C874" s="7332" t="s">
        <v>3288</v>
      </c>
      <c r="D874" s="7333"/>
      <c r="E874" s="7332" t="s">
        <v>1871</v>
      </c>
      <c r="F874" s="7332" t="str">
        <f t="shared" si="48"/>
        <v/>
      </c>
      <c r="G874" s="7332"/>
      <c r="H874" s="7332" t="str">
        <f t="shared" si="49"/>
        <v/>
      </c>
      <c r="I874" s="7332">
        <v>50.0</v>
      </c>
      <c r="J874" s="7332">
        <v>53.0</v>
      </c>
      <c r="K874" s="7332">
        <v>62.0</v>
      </c>
      <c r="L874" s="7332">
        <v>58.0</v>
      </c>
      <c r="M874" s="7332">
        <v>63.0</v>
      </c>
      <c r="N874" s="7334">
        <v>44.0</v>
      </c>
      <c r="O874" s="7321"/>
      <c r="P874" s="7324"/>
      <c r="Q874" s="7324"/>
      <c r="R874" s="7324"/>
    </row>
    <row r="875" ht="18.75" customHeight="1">
      <c r="A875" s="7316"/>
      <c r="B875" s="7337" t="s">
        <v>3289</v>
      </c>
      <c r="C875" s="7338" t="s">
        <v>3290</v>
      </c>
      <c r="D875" s="7339"/>
      <c r="E875" s="7338" t="s">
        <v>1871</v>
      </c>
      <c r="F875" s="7338" t="str">
        <f t="shared" si="48"/>
        <v/>
      </c>
      <c r="G875" s="7338"/>
      <c r="H875" s="7338" t="str">
        <f t="shared" si="49"/>
        <v/>
      </c>
      <c r="I875" s="7338">
        <v>71.0</v>
      </c>
      <c r="J875" s="7338">
        <v>73.0</v>
      </c>
      <c r="K875" s="7338">
        <v>88.0</v>
      </c>
      <c r="L875" s="7338">
        <v>120.0</v>
      </c>
      <c r="M875" s="7338">
        <v>89.0</v>
      </c>
      <c r="N875" s="7340">
        <v>72.0</v>
      </c>
      <c r="O875" s="7321"/>
      <c r="P875" s="7324"/>
      <c r="Q875" s="7324"/>
      <c r="R875" s="7324"/>
    </row>
    <row r="876" ht="18.75" customHeight="1">
      <c r="A876" s="7316"/>
      <c r="B876" s="7331" t="s">
        <v>3291</v>
      </c>
      <c r="C876" s="7332" t="s">
        <v>3292</v>
      </c>
      <c r="D876" s="7333"/>
      <c r="E876" s="7332" t="s">
        <v>1926</v>
      </c>
      <c r="F876" s="7332" t="str">
        <f t="shared" si="48"/>
        <v/>
      </c>
      <c r="G876" s="7332" t="s">
        <v>1901</v>
      </c>
      <c r="H876" s="7332" t="str">
        <f t="shared" si="49"/>
        <v/>
      </c>
      <c r="I876" s="7332">
        <v>44.0</v>
      </c>
      <c r="J876" s="7332">
        <v>38.0</v>
      </c>
      <c r="K876" s="7332">
        <v>33.0</v>
      </c>
      <c r="L876" s="7332">
        <v>61.0</v>
      </c>
      <c r="M876" s="7332">
        <v>43.0</v>
      </c>
      <c r="N876" s="7334">
        <v>70.0</v>
      </c>
      <c r="O876" s="7321"/>
      <c r="P876" s="7324"/>
      <c r="Q876" s="7324"/>
      <c r="R876" s="7324"/>
    </row>
    <row r="877" ht="18.75" customHeight="1">
      <c r="A877" s="7316"/>
      <c r="B877" s="7337" t="s">
        <v>1095</v>
      </c>
      <c r="C877" s="7338" t="s">
        <v>3293</v>
      </c>
      <c r="D877" s="7339"/>
      <c r="E877" s="7338" t="s">
        <v>1926</v>
      </c>
      <c r="F877" s="7338" t="str">
        <f t="shared" si="48"/>
        <v/>
      </c>
      <c r="G877" s="7338" t="s">
        <v>1901</v>
      </c>
      <c r="H877" s="7338" t="str">
        <f t="shared" si="49"/>
        <v/>
      </c>
      <c r="I877" s="7338">
        <v>62.0</v>
      </c>
      <c r="J877" s="7338">
        <v>55.0</v>
      </c>
      <c r="K877" s="7338">
        <v>52.0</v>
      </c>
      <c r="L877" s="7338">
        <v>109.0</v>
      </c>
      <c r="M877" s="7338">
        <v>94.0</v>
      </c>
      <c r="N877" s="7340">
        <v>109.0</v>
      </c>
      <c r="O877" s="7321"/>
      <c r="P877" s="7324"/>
      <c r="Q877" s="7324"/>
      <c r="R877" s="7324"/>
    </row>
    <row r="878" ht="18.75" customHeight="1">
      <c r="A878" s="7316"/>
      <c r="B878" s="7331" t="s">
        <v>3294</v>
      </c>
      <c r="C878" s="7332" t="s">
        <v>3295</v>
      </c>
      <c r="D878" s="7333"/>
      <c r="E878" s="7332" t="s">
        <v>2014</v>
      </c>
      <c r="F878" s="7332" t="str">
        <f t="shared" si="48"/>
        <v/>
      </c>
      <c r="G878" s="7332" t="s">
        <v>1866</v>
      </c>
      <c r="H878" s="7332" t="str">
        <f t="shared" si="49"/>
        <v/>
      </c>
      <c r="I878" s="7332">
        <v>58.0</v>
      </c>
      <c r="J878" s="7332">
        <v>89.0</v>
      </c>
      <c r="K878" s="7332">
        <v>77.0</v>
      </c>
      <c r="L878" s="7332">
        <v>45.0</v>
      </c>
      <c r="M878" s="7332">
        <v>45.0</v>
      </c>
      <c r="N878" s="7334">
        <v>48.0</v>
      </c>
      <c r="O878" s="7321"/>
      <c r="P878" s="7324"/>
      <c r="Q878" s="7324"/>
      <c r="R878" s="7324"/>
    </row>
    <row r="879" ht="18.75" customHeight="1">
      <c r="A879" s="7316"/>
      <c r="B879" s="7337" t="s">
        <v>1320</v>
      </c>
      <c r="C879" s="7338" t="s">
        <v>3296</v>
      </c>
      <c r="D879" s="7339"/>
      <c r="E879" s="7342" t="s">
        <v>2014</v>
      </c>
      <c r="F879" s="7342" t="str">
        <f t="shared" si="48"/>
        <v/>
      </c>
      <c r="G879" s="7342" t="s">
        <v>1866</v>
      </c>
      <c r="H879" s="7342" t="str">
        <f t="shared" si="49"/>
        <v/>
      </c>
      <c r="I879" s="7338">
        <v>82.0</v>
      </c>
      <c r="J879" s="7338">
        <v>121.0</v>
      </c>
      <c r="K879" s="7338">
        <v>119.0</v>
      </c>
      <c r="L879" s="7338">
        <v>69.0</v>
      </c>
      <c r="M879" s="7338">
        <v>59.0</v>
      </c>
      <c r="N879" s="7340">
        <v>71.0</v>
      </c>
      <c r="O879" s="7321"/>
      <c r="P879" s="7324"/>
      <c r="Q879" s="7324"/>
      <c r="R879" s="7324"/>
    </row>
    <row r="880" ht="18.75" customHeight="1">
      <c r="A880" s="7316"/>
      <c r="B880" s="7331" t="s">
        <v>1021</v>
      </c>
      <c r="C880" s="7332" t="s">
        <v>3297</v>
      </c>
      <c r="D880" s="7333"/>
      <c r="E880" s="7332" t="s">
        <v>2014</v>
      </c>
      <c r="F880" s="7332" t="str">
        <f t="shared" si="48"/>
        <v/>
      </c>
      <c r="G880" s="7332" t="s">
        <v>1932</v>
      </c>
      <c r="H880" s="7332" t="str">
        <f t="shared" si="49"/>
        <v/>
      </c>
      <c r="I880" s="7332">
        <v>77.0</v>
      </c>
      <c r="J880" s="7332">
        <v>59.0</v>
      </c>
      <c r="K880" s="7332">
        <v>50.0</v>
      </c>
      <c r="L880" s="7332">
        <v>67.0</v>
      </c>
      <c r="M880" s="7332">
        <v>63.0</v>
      </c>
      <c r="N880" s="7334">
        <v>46.0</v>
      </c>
      <c r="O880" s="7321"/>
      <c r="P880" s="7324"/>
      <c r="Q880" s="7324"/>
      <c r="R880" s="7324"/>
    </row>
    <row r="881" ht="18.75" customHeight="1">
      <c r="A881" s="7316"/>
      <c r="B881" s="7337" t="s">
        <v>3298</v>
      </c>
      <c r="C881" s="7338" t="s">
        <v>3299</v>
      </c>
      <c r="D881" s="7339"/>
      <c r="E881" s="7338" t="s">
        <v>2014</v>
      </c>
      <c r="F881" s="7338" t="str">
        <f t="shared" si="48"/>
        <v/>
      </c>
      <c r="G881" s="7338" t="s">
        <v>1932</v>
      </c>
      <c r="H881" s="7338" t="str">
        <f t="shared" si="49"/>
        <v/>
      </c>
      <c r="I881" s="7338">
        <v>123.0</v>
      </c>
      <c r="J881" s="7338">
        <v>77.0</v>
      </c>
      <c r="K881" s="7338">
        <v>72.0</v>
      </c>
      <c r="L881" s="7338">
        <v>99.0</v>
      </c>
      <c r="M881" s="7338">
        <v>92.0</v>
      </c>
      <c r="N881" s="7340">
        <v>58.0</v>
      </c>
      <c r="O881" s="7321"/>
      <c r="P881" s="7324"/>
      <c r="Q881" s="7324"/>
      <c r="R881" s="7324"/>
    </row>
    <row r="882" ht="18.75" customHeight="1">
      <c r="A882" s="7316"/>
      <c r="B882" s="7331" t="s">
        <v>3300</v>
      </c>
      <c r="C882" s="7332" t="s">
        <v>3301</v>
      </c>
      <c r="D882" s="7333"/>
      <c r="E882" s="7332" t="s">
        <v>1935</v>
      </c>
      <c r="F882" s="7332" t="str">
        <f t="shared" si="48"/>
        <v/>
      </c>
      <c r="G882" s="7332"/>
      <c r="H882" s="7332" t="str">
        <f t="shared" si="49"/>
        <v/>
      </c>
      <c r="I882" s="7332">
        <v>95.0</v>
      </c>
      <c r="J882" s="7332">
        <v>65.0</v>
      </c>
      <c r="K882" s="7332">
        <v>65.0</v>
      </c>
      <c r="L882" s="7332">
        <v>110.0</v>
      </c>
      <c r="M882" s="7332">
        <v>130.0</v>
      </c>
      <c r="N882" s="7334">
        <v>60.0</v>
      </c>
      <c r="O882" s="7321"/>
      <c r="P882" s="7324"/>
      <c r="Q882" s="7324"/>
      <c r="R882" s="7324"/>
    </row>
    <row r="883" ht="18.75" customHeight="1">
      <c r="A883" s="7316"/>
      <c r="B883" s="7337" t="s">
        <v>480</v>
      </c>
      <c r="C883" s="7338" t="s">
        <v>3302</v>
      </c>
      <c r="D883" s="7339"/>
      <c r="E883" s="7338" t="s">
        <v>1939</v>
      </c>
      <c r="F883" s="7338" t="str">
        <f t="shared" si="48"/>
        <v/>
      </c>
      <c r="G883" s="7338" t="s">
        <v>1863</v>
      </c>
      <c r="H883" s="7338" t="str">
        <f t="shared" si="49"/>
        <v/>
      </c>
      <c r="I883" s="7338">
        <v>78.0</v>
      </c>
      <c r="J883" s="7338">
        <v>92.0</v>
      </c>
      <c r="K883" s="7338">
        <v>75.0</v>
      </c>
      <c r="L883" s="7338">
        <v>74.0</v>
      </c>
      <c r="M883" s="7338">
        <v>63.0</v>
      </c>
      <c r="N883" s="7340">
        <v>118.0</v>
      </c>
      <c r="O883" s="7321"/>
      <c r="P883" s="7324"/>
      <c r="Q883" s="7324"/>
      <c r="R883" s="7324"/>
    </row>
    <row r="884" ht="18.75" customHeight="1">
      <c r="A884" s="7316"/>
      <c r="B884" s="7331" t="s">
        <v>3303</v>
      </c>
      <c r="C884" s="7332" t="s">
        <v>3304</v>
      </c>
      <c r="D884" s="7333"/>
      <c r="E884" s="7332" t="s">
        <v>1926</v>
      </c>
      <c r="F884" s="7332" t="str">
        <f t="shared" si="48"/>
        <v/>
      </c>
      <c r="G884" s="7332" t="s">
        <v>1935</v>
      </c>
      <c r="H884" s="7332" t="str">
        <f t="shared" si="49"/>
        <v/>
      </c>
      <c r="I884" s="7332">
        <v>67.0</v>
      </c>
      <c r="J884" s="7332">
        <v>58.0</v>
      </c>
      <c r="K884" s="7332">
        <v>57.0</v>
      </c>
      <c r="L884" s="7332">
        <v>91.0</v>
      </c>
      <c r="M884" s="7332">
        <v>67.0</v>
      </c>
      <c r="N884" s="7334">
        <v>101.0</v>
      </c>
      <c r="O884" s="7321"/>
      <c r="P884" s="7324"/>
      <c r="Q884" s="7324"/>
      <c r="R884" s="7324"/>
    </row>
    <row r="885" ht="18.75" customHeight="1">
      <c r="A885" s="7316"/>
      <c r="B885" s="7337" t="s">
        <v>3305</v>
      </c>
      <c r="C885" s="7338" t="s">
        <v>3306</v>
      </c>
      <c r="D885" s="7339"/>
      <c r="E885" s="7338" t="s">
        <v>2014</v>
      </c>
      <c r="F885" s="7338" t="str">
        <f t="shared" si="48"/>
        <v/>
      </c>
      <c r="G885" s="7338" t="s">
        <v>1935</v>
      </c>
      <c r="H885" s="7338" t="str">
        <f t="shared" si="49"/>
        <v/>
      </c>
      <c r="I885" s="7338">
        <v>50.0</v>
      </c>
      <c r="J885" s="7338">
        <v>50.0</v>
      </c>
      <c r="K885" s="7338">
        <v>150.0</v>
      </c>
      <c r="L885" s="7338">
        <v>50.0</v>
      </c>
      <c r="M885" s="7338">
        <v>150.0</v>
      </c>
      <c r="N885" s="7340">
        <v>50.0</v>
      </c>
      <c r="O885" s="7321"/>
      <c r="P885" s="7324"/>
      <c r="Q885" s="7324"/>
      <c r="R885" s="7324"/>
    </row>
    <row r="886" ht="18.75" customHeight="1">
      <c r="A886" s="7316"/>
      <c r="B886" s="7331" t="s">
        <v>3307</v>
      </c>
      <c r="C886" s="7332" t="s">
        <v>3308</v>
      </c>
      <c r="D886" s="7333"/>
      <c r="E886" s="7332" t="s">
        <v>1866</v>
      </c>
      <c r="F886" s="7332" t="str">
        <f t="shared" si="48"/>
        <v/>
      </c>
      <c r="G886" s="7332"/>
      <c r="H886" s="7332" t="str">
        <f t="shared" si="49"/>
        <v/>
      </c>
      <c r="I886" s="7332">
        <v>45.0</v>
      </c>
      <c r="J886" s="7332">
        <v>50.0</v>
      </c>
      <c r="K886" s="7332">
        <v>35.0</v>
      </c>
      <c r="L886" s="7332">
        <v>55.0</v>
      </c>
      <c r="M886" s="7332">
        <v>75.0</v>
      </c>
      <c r="N886" s="7334">
        <v>40.0</v>
      </c>
      <c r="O886" s="7321"/>
      <c r="P886" s="7324"/>
      <c r="Q886" s="7324"/>
      <c r="R886" s="7324"/>
    </row>
    <row r="887" ht="18.75" customHeight="1">
      <c r="A887" s="7316"/>
      <c r="B887" s="7337" t="s">
        <v>3309</v>
      </c>
      <c r="C887" s="7338" t="s">
        <v>3310</v>
      </c>
      <c r="D887" s="7339"/>
      <c r="E887" s="7338" t="s">
        <v>1866</v>
      </c>
      <c r="F887" s="7338" t="str">
        <f t="shared" si="48"/>
        <v/>
      </c>
      <c r="G887" s="7338"/>
      <c r="H887" s="7338" t="str">
        <f t="shared" si="49"/>
        <v/>
      </c>
      <c r="I887" s="7338">
        <v>68.0</v>
      </c>
      <c r="J887" s="7338">
        <v>75.0</v>
      </c>
      <c r="K887" s="7338">
        <v>53.0</v>
      </c>
      <c r="L887" s="7338">
        <v>83.0</v>
      </c>
      <c r="M887" s="7338">
        <v>113.0</v>
      </c>
      <c r="N887" s="7340">
        <v>60.0</v>
      </c>
      <c r="O887" s="7321"/>
      <c r="P887" s="7324"/>
      <c r="Q887" s="7324"/>
      <c r="R887" s="7324"/>
    </row>
    <row r="888" ht="18.75" customHeight="1">
      <c r="A888" s="7316"/>
      <c r="B888" s="7331" t="s">
        <v>3311</v>
      </c>
      <c r="C888" s="7341" t="s">
        <v>3312</v>
      </c>
      <c r="D888" s="7333"/>
      <c r="E888" s="7332" t="s">
        <v>1929</v>
      </c>
      <c r="F888" s="7332" t="str">
        <f t="shared" si="48"/>
        <v/>
      </c>
      <c r="G888" s="7332" t="s">
        <v>1866</v>
      </c>
      <c r="H888" s="7332" t="str">
        <f t="shared" si="49"/>
        <v/>
      </c>
      <c r="I888" s="7332">
        <v>58.0</v>
      </c>
      <c r="J888" s="7332">
        <v>75.0</v>
      </c>
      <c r="K888" s="7332">
        <v>83.0</v>
      </c>
      <c r="L888" s="7332">
        <v>83.0</v>
      </c>
      <c r="M888" s="7332">
        <v>113.0</v>
      </c>
      <c r="N888" s="7334">
        <v>40.0</v>
      </c>
      <c r="O888" s="7321"/>
      <c r="P888" s="7324"/>
      <c r="Q888" s="7324"/>
      <c r="R888" s="7324"/>
    </row>
    <row r="889" ht="18.75" customHeight="1">
      <c r="A889" s="7316"/>
      <c r="B889" s="7337" t="s">
        <v>1117</v>
      </c>
      <c r="C889" s="7338" t="s">
        <v>3313</v>
      </c>
      <c r="D889" s="7339"/>
      <c r="E889" s="7338" t="s">
        <v>1866</v>
      </c>
      <c r="F889" s="7338" t="str">
        <f t="shared" si="48"/>
        <v/>
      </c>
      <c r="G889" s="7338"/>
      <c r="H889" s="7338" t="str">
        <f t="shared" si="49"/>
        <v/>
      </c>
      <c r="I889" s="7338">
        <v>90.0</v>
      </c>
      <c r="J889" s="7338">
        <v>100.0</v>
      </c>
      <c r="K889" s="7338">
        <v>70.0</v>
      </c>
      <c r="L889" s="7338">
        <v>110.0</v>
      </c>
      <c r="M889" s="7338">
        <v>150.0</v>
      </c>
      <c r="N889" s="7340">
        <v>80.0</v>
      </c>
      <c r="O889" s="7321"/>
      <c r="P889" s="7324"/>
      <c r="Q889" s="7324"/>
      <c r="R889" s="7324"/>
    </row>
    <row r="890" ht="18.75" customHeight="1">
      <c r="A890" s="7316"/>
      <c r="B890" s="7331" t="s">
        <v>1229</v>
      </c>
      <c r="C890" s="7341" t="s">
        <v>3314</v>
      </c>
      <c r="D890" s="7333"/>
      <c r="E890" s="7332" t="s">
        <v>1929</v>
      </c>
      <c r="F890" s="7332" t="str">
        <f t="shared" si="48"/>
        <v/>
      </c>
      <c r="G890" s="7332" t="s">
        <v>1866</v>
      </c>
      <c r="H890" s="7332" t="str">
        <f t="shared" si="49"/>
        <v/>
      </c>
      <c r="I890" s="7332">
        <v>80.0</v>
      </c>
      <c r="J890" s="7332">
        <v>100.0</v>
      </c>
      <c r="K890" s="7332">
        <v>100.0</v>
      </c>
      <c r="L890" s="7332">
        <v>110.0</v>
      </c>
      <c r="M890" s="7332">
        <v>150.0</v>
      </c>
      <c r="N890" s="7334">
        <v>60.0</v>
      </c>
      <c r="O890" s="7321"/>
      <c r="P890" s="7324"/>
      <c r="Q890" s="7324"/>
      <c r="R890" s="7324"/>
    </row>
    <row r="891" ht="18.75" customHeight="1">
      <c r="A891" s="7316"/>
      <c r="B891" s="7337" t="s">
        <v>3315</v>
      </c>
      <c r="C891" s="7338" t="s">
        <v>3316</v>
      </c>
      <c r="D891" s="7339"/>
      <c r="E891" s="7338" t="s">
        <v>1929</v>
      </c>
      <c r="F891" s="7338" t="str">
        <f t="shared" si="48"/>
        <v/>
      </c>
      <c r="G891" s="7338" t="s">
        <v>1935</v>
      </c>
      <c r="H891" s="7338" t="str">
        <f t="shared" si="49"/>
        <v/>
      </c>
      <c r="I891" s="7338">
        <v>57.0</v>
      </c>
      <c r="J891" s="7338">
        <v>80.0</v>
      </c>
      <c r="K891" s="7338">
        <v>91.0</v>
      </c>
      <c r="L891" s="7338">
        <v>80.0</v>
      </c>
      <c r="M891" s="7338">
        <v>87.0</v>
      </c>
      <c r="N891" s="7340">
        <v>75.0</v>
      </c>
      <c r="O891" s="7321"/>
      <c r="P891" s="7324"/>
      <c r="Q891" s="7324"/>
      <c r="R891" s="7324"/>
    </row>
    <row r="892" ht="18.75" customHeight="1">
      <c r="A892" s="7316"/>
      <c r="B892" s="7331" t="s">
        <v>3317</v>
      </c>
      <c r="C892" s="7332" t="s">
        <v>3318</v>
      </c>
      <c r="D892" s="7333"/>
      <c r="E892" s="7332" t="s">
        <v>2097</v>
      </c>
      <c r="F892" s="7332" t="str">
        <f t="shared" si="48"/>
        <v/>
      </c>
      <c r="G892" s="7332" t="s">
        <v>1848</v>
      </c>
      <c r="H892" s="7332" t="str">
        <f t="shared" si="49"/>
        <v/>
      </c>
      <c r="I892" s="7332">
        <v>43.0</v>
      </c>
      <c r="J892" s="7332">
        <v>70.0</v>
      </c>
      <c r="K892" s="7332">
        <v>48.0</v>
      </c>
      <c r="L892" s="7332">
        <v>50.0</v>
      </c>
      <c r="M892" s="7332">
        <v>60.0</v>
      </c>
      <c r="N892" s="7334">
        <v>38.0</v>
      </c>
      <c r="O892" s="7321"/>
      <c r="P892" s="7324"/>
      <c r="Q892" s="7324"/>
      <c r="R892" s="7324"/>
    </row>
    <row r="893" ht="18.75" customHeight="1">
      <c r="A893" s="7316"/>
      <c r="B893" s="7337" t="s">
        <v>3319</v>
      </c>
      <c r="C893" s="7338" t="s">
        <v>3320</v>
      </c>
      <c r="D893" s="7339"/>
      <c r="E893" s="7338" t="s">
        <v>2097</v>
      </c>
      <c r="F893" s="7338" t="str">
        <f t="shared" si="48"/>
        <v/>
      </c>
      <c r="G893" s="7338" t="s">
        <v>1848</v>
      </c>
      <c r="H893" s="7338" t="str">
        <f t="shared" si="49"/>
        <v/>
      </c>
      <c r="I893" s="7338">
        <v>85.0</v>
      </c>
      <c r="J893" s="7338">
        <v>120.0</v>
      </c>
      <c r="K893" s="7338">
        <v>82.0</v>
      </c>
      <c r="L893" s="7338">
        <v>65.0</v>
      </c>
      <c r="M893" s="7338">
        <v>82.0</v>
      </c>
      <c r="N893" s="7340">
        <v>56.0</v>
      </c>
      <c r="O893" s="7321"/>
      <c r="P893" s="7324"/>
      <c r="Q893" s="7324"/>
      <c r="R893" s="7324"/>
    </row>
    <row r="894" ht="18.75" customHeight="1">
      <c r="A894" s="7316"/>
      <c r="B894" s="7331" t="s">
        <v>3321</v>
      </c>
      <c r="C894" s="7332" t="s">
        <v>3322</v>
      </c>
      <c r="D894" s="7333"/>
      <c r="E894" s="7332" t="s">
        <v>2097</v>
      </c>
      <c r="F894" s="7332" t="str">
        <f t="shared" si="48"/>
        <v/>
      </c>
      <c r="G894" s="7332" t="s">
        <v>1848</v>
      </c>
      <c r="H894" s="7332" t="str">
        <f t="shared" si="49"/>
        <v/>
      </c>
      <c r="I894" s="7332">
        <v>49.0</v>
      </c>
      <c r="J894" s="7332">
        <v>44.0</v>
      </c>
      <c r="K894" s="7332">
        <v>70.0</v>
      </c>
      <c r="L894" s="7332">
        <v>66.0</v>
      </c>
      <c r="M894" s="7332">
        <v>55.0</v>
      </c>
      <c r="N894" s="7334">
        <v>51.0</v>
      </c>
      <c r="O894" s="7321"/>
      <c r="P894" s="7324"/>
      <c r="Q894" s="7324"/>
      <c r="R894" s="7324"/>
    </row>
    <row r="895" ht="18.75" customHeight="1">
      <c r="A895" s="7316"/>
      <c r="B895" s="7337" t="s">
        <v>3323</v>
      </c>
      <c r="C895" s="7342" t="s">
        <v>3324</v>
      </c>
      <c r="D895" s="7339"/>
      <c r="E895" s="7338" t="s">
        <v>2097</v>
      </c>
      <c r="F895" s="7338" t="str">
        <f t="shared" si="48"/>
        <v/>
      </c>
      <c r="G895" s="7338" t="s">
        <v>1848</v>
      </c>
      <c r="H895" s="7338" t="str">
        <f t="shared" si="49"/>
        <v/>
      </c>
      <c r="I895" s="7342">
        <v>44.0</v>
      </c>
      <c r="J895" s="7342">
        <v>44.0</v>
      </c>
      <c r="K895" s="7342">
        <v>70.0</v>
      </c>
      <c r="L895" s="7342">
        <v>66.0</v>
      </c>
      <c r="M895" s="7342">
        <v>55.0</v>
      </c>
      <c r="N895" s="7363">
        <v>56.0</v>
      </c>
      <c r="O895" s="7321"/>
      <c r="P895" s="7324"/>
      <c r="Q895" s="7324"/>
      <c r="R895" s="7324"/>
    </row>
    <row r="896" ht="18.75" customHeight="1">
      <c r="A896" s="7316"/>
      <c r="B896" s="7331" t="s">
        <v>3325</v>
      </c>
      <c r="C896" s="7341" t="s">
        <v>3326</v>
      </c>
      <c r="D896" s="7333"/>
      <c r="E896" s="7341" t="s">
        <v>2097</v>
      </c>
      <c r="F896" s="7341" t="str">
        <f t="shared" si="48"/>
        <v/>
      </c>
      <c r="G896" s="7341" t="s">
        <v>1848</v>
      </c>
      <c r="H896" s="7341" t="str">
        <f t="shared" si="49"/>
        <v/>
      </c>
      <c r="I896" s="7341">
        <v>54.0</v>
      </c>
      <c r="J896" s="7341">
        <v>44.0</v>
      </c>
      <c r="K896" s="7341">
        <v>70.0</v>
      </c>
      <c r="L896" s="7341">
        <v>66.0</v>
      </c>
      <c r="M896" s="7341">
        <v>55.0</v>
      </c>
      <c r="N896" s="7360">
        <v>46.0</v>
      </c>
      <c r="O896" s="7321"/>
      <c r="P896" s="7324"/>
      <c r="Q896" s="7324"/>
      <c r="R896" s="7324"/>
    </row>
    <row r="897" ht="18.75" customHeight="1">
      <c r="A897" s="7316"/>
      <c r="B897" s="7337" t="s">
        <v>3327</v>
      </c>
      <c r="C897" s="7342" t="s">
        <v>3328</v>
      </c>
      <c r="D897" s="7339"/>
      <c r="E897" s="7338" t="s">
        <v>2097</v>
      </c>
      <c r="F897" s="7338" t="str">
        <f t="shared" si="48"/>
        <v/>
      </c>
      <c r="G897" s="7338" t="s">
        <v>1848</v>
      </c>
      <c r="H897" s="7338" t="str">
        <f t="shared" si="49"/>
        <v/>
      </c>
      <c r="I897" s="7342">
        <v>59.0</v>
      </c>
      <c r="J897" s="7342">
        <v>44.0</v>
      </c>
      <c r="K897" s="7342">
        <v>70.0</v>
      </c>
      <c r="L897" s="7342">
        <v>66.0</v>
      </c>
      <c r="M897" s="7342">
        <v>55.0</v>
      </c>
      <c r="N897" s="7363">
        <v>41.0</v>
      </c>
      <c r="O897" s="7321"/>
      <c r="P897" s="7324"/>
      <c r="Q897" s="7324"/>
      <c r="R897" s="7324"/>
    </row>
    <row r="898" ht="18.75" customHeight="1">
      <c r="A898" s="7316"/>
      <c r="B898" s="7331" t="s">
        <v>3329</v>
      </c>
      <c r="C898" s="7332" t="s">
        <v>3330</v>
      </c>
      <c r="D898" s="7333"/>
      <c r="E898" s="7332" t="s">
        <v>2097</v>
      </c>
      <c r="F898" s="7332" t="str">
        <f t="shared" si="48"/>
        <v/>
      </c>
      <c r="G898" s="7332" t="s">
        <v>1848</v>
      </c>
      <c r="H898" s="7332" t="str">
        <f t="shared" si="49"/>
        <v/>
      </c>
      <c r="I898" s="7341">
        <v>65.0</v>
      </c>
      <c r="J898" s="7332">
        <v>58.0</v>
      </c>
      <c r="K898" s="7332">
        <v>122.0</v>
      </c>
      <c r="L898" s="7341">
        <v>90.0</v>
      </c>
      <c r="M898" s="7332">
        <v>75.0</v>
      </c>
      <c r="N898" s="7360">
        <v>84.0</v>
      </c>
      <c r="O898" s="7321"/>
      <c r="P898" s="7324"/>
      <c r="Q898" s="7324"/>
      <c r="R898" s="7324"/>
    </row>
    <row r="899" ht="18.75" customHeight="1">
      <c r="A899" s="7316"/>
      <c r="B899" s="7337" t="s">
        <v>3331</v>
      </c>
      <c r="C899" s="7342" t="s">
        <v>3332</v>
      </c>
      <c r="D899" s="7339"/>
      <c r="E899" s="7338" t="s">
        <v>2097</v>
      </c>
      <c r="F899" s="7338" t="str">
        <f t="shared" si="48"/>
        <v/>
      </c>
      <c r="G899" s="7338" t="s">
        <v>1848</v>
      </c>
      <c r="H899" s="7338" t="str">
        <f t="shared" si="49"/>
        <v/>
      </c>
      <c r="I899" s="7342">
        <v>55.0</v>
      </c>
      <c r="J899" s="7342">
        <v>58.0</v>
      </c>
      <c r="K899" s="7342">
        <v>122.0</v>
      </c>
      <c r="L899" s="7342">
        <v>85.0</v>
      </c>
      <c r="M899" s="7342">
        <v>75.0</v>
      </c>
      <c r="N899" s="7363">
        <v>99.0</v>
      </c>
      <c r="O899" s="7321"/>
      <c r="P899" s="7324"/>
      <c r="Q899" s="7324"/>
      <c r="R899" s="7324"/>
    </row>
    <row r="900" ht="18.75" customHeight="1">
      <c r="A900" s="7316"/>
      <c r="B900" s="7331" t="s">
        <v>3333</v>
      </c>
      <c r="C900" s="7341" t="s">
        <v>3334</v>
      </c>
      <c r="D900" s="7333"/>
      <c r="E900" s="7332" t="s">
        <v>2097</v>
      </c>
      <c r="F900" s="7332" t="str">
        <f t="shared" ref="F900:F916" si="50">IFERROR(VLOOKUP(E900,P$3:Q918,2,False),"")</f>
        <v/>
      </c>
      <c r="G900" s="7332" t="s">
        <v>1848</v>
      </c>
      <c r="H900" s="7332" t="str">
        <f t="shared" ref="H900:H916" si="51">IFERROR(VLOOKUP(G900,P$3:Q918,2,False),"")</f>
        <v/>
      </c>
      <c r="I900" s="7341">
        <v>75.0</v>
      </c>
      <c r="J900" s="7341">
        <v>58.0</v>
      </c>
      <c r="K900" s="7341">
        <v>122.0</v>
      </c>
      <c r="L900" s="7341">
        <v>95.0</v>
      </c>
      <c r="M900" s="7341">
        <v>75.0</v>
      </c>
      <c r="N900" s="7360">
        <v>69.0</v>
      </c>
      <c r="O900" s="7321"/>
      <c r="P900" s="7324"/>
      <c r="Q900" s="7324"/>
      <c r="R900" s="7324"/>
    </row>
    <row r="901" ht="18.75" customHeight="1">
      <c r="A901" s="7316"/>
      <c r="B901" s="7337" t="s">
        <v>3335</v>
      </c>
      <c r="C901" s="7342" t="s">
        <v>3336</v>
      </c>
      <c r="D901" s="7339"/>
      <c r="E901" s="7338" t="s">
        <v>2097</v>
      </c>
      <c r="F901" s="7338" t="str">
        <f t="shared" si="50"/>
        <v/>
      </c>
      <c r="G901" s="7338" t="s">
        <v>1848</v>
      </c>
      <c r="H901" s="7338" t="str">
        <f t="shared" si="51"/>
        <v/>
      </c>
      <c r="I901" s="7342">
        <v>85.0</v>
      </c>
      <c r="J901" s="7342">
        <v>58.0</v>
      </c>
      <c r="K901" s="7342">
        <v>122.0</v>
      </c>
      <c r="L901" s="7342">
        <v>100.0</v>
      </c>
      <c r="M901" s="7342">
        <v>75.0</v>
      </c>
      <c r="N901" s="7363">
        <v>54.0</v>
      </c>
      <c r="O901" s="7321"/>
      <c r="P901" s="7324"/>
      <c r="Q901" s="7324"/>
      <c r="R901" s="7324"/>
    </row>
    <row r="902" ht="18.75" customHeight="1">
      <c r="A902" s="7316"/>
      <c r="B902" s="7331" t="s">
        <v>3337</v>
      </c>
      <c r="C902" s="7332" t="s">
        <v>3338</v>
      </c>
      <c r="D902" s="7333"/>
      <c r="E902" s="7332" t="s">
        <v>1932</v>
      </c>
      <c r="F902" s="7332" t="str">
        <f t="shared" si="50"/>
        <v/>
      </c>
      <c r="G902" s="7332"/>
      <c r="H902" s="7332" t="str">
        <f t="shared" si="51"/>
        <v/>
      </c>
      <c r="I902" s="7332">
        <v>55.0</v>
      </c>
      <c r="J902" s="7332">
        <v>69.0</v>
      </c>
      <c r="K902" s="7332">
        <v>85.0</v>
      </c>
      <c r="L902" s="7332">
        <v>32.0</v>
      </c>
      <c r="M902" s="7332">
        <v>35.0</v>
      </c>
      <c r="N902" s="7334">
        <v>28.0</v>
      </c>
      <c r="O902" s="7321"/>
      <c r="P902" s="7324"/>
      <c r="Q902" s="7324"/>
      <c r="R902" s="7324"/>
    </row>
    <row r="903" ht="18.75" customHeight="1">
      <c r="A903" s="7316"/>
      <c r="B903" s="7337" t="s">
        <v>3339</v>
      </c>
      <c r="C903" s="7338" t="s">
        <v>3340</v>
      </c>
      <c r="D903" s="7339"/>
      <c r="E903" s="7338" t="s">
        <v>1932</v>
      </c>
      <c r="F903" s="7338" t="str">
        <f t="shared" si="50"/>
        <v/>
      </c>
      <c r="G903" s="7338"/>
      <c r="H903" s="7338" t="str">
        <f t="shared" si="51"/>
        <v/>
      </c>
      <c r="I903" s="7338">
        <v>95.0</v>
      </c>
      <c r="J903" s="7338">
        <v>117.0</v>
      </c>
      <c r="K903" s="7338">
        <v>184.0</v>
      </c>
      <c r="L903" s="7338">
        <v>44.0</v>
      </c>
      <c r="M903" s="7338">
        <v>46.0</v>
      </c>
      <c r="N903" s="7340">
        <v>28.0</v>
      </c>
      <c r="O903" s="7321"/>
      <c r="P903" s="7324"/>
      <c r="Q903" s="7324"/>
      <c r="R903" s="7324"/>
    </row>
    <row r="904" ht="18.75" customHeight="1">
      <c r="A904" s="7316"/>
      <c r="B904" s="7331" t="s">
        <v>1764</v>
      </c>
      <c r="C904" s="7341" t="s">
        <v>3341</v>
      </c>
      <c r="D904" s="7333"/>
      <c r="E904" s="7332" t="s">
        <v>1932</v>
      </c>
      <c r="F904" s="7332" t="str">
        <f t="shared" si="50"/>
        <v/>
      </c>
      <c r="G904" s="7332" t="s">
        <v>2014</v>
      </c>
      <c r="H904" s="7332" t="str">
        <f t="shared" si="51"/>
        <v/>
      </c>
      <c r="I904" s="7332">
        <v>100.0</v>
      </c>
      <c r="J904" s="7332">
        <v>132.0</v>
      </c>
      <c r="K904" s="7332">
        <v>184.0</v>
      </c>
      <c r="L904" s="7332">
        <v>34.0</v>
      </c>
      <c r="M904" s="7332">
        <v>36.0</v>
      </c>
      <c r="N904" s="7334">
        <v>38.0</v>
      </c>
      <c r="O904" s="7321"/>
      <c r="P904" s="7324"/>
      <c r="Q904" s="7324"/>
      <c r="R904" s="7324"/>
    </row>
    <row r="905" ht="18.75" customHeight="1">
      <c r="A905" s="7316"/>
      <c r="B905" s="7337" t="s">
        <v>3342</v>
      </c>
      <c r="C905" s="7338" t="s">
        <v>3343</v>
      </c>
      <c r="D905" s="7339"/>
      <c r="E905" s="7338" t="s">
        <v>1863</v>
      </c>
      <c r="F905" s="7338" t="str">
        <f t="shared" si="50"/>
        <v/>
      </c>
      <c r="G905" s="7338" t="s">
        <v>1866</v>
      </c>
      <c r="H905" s="7338" t="str">
        <f t="shared" si="51"/>
        <v/>
      </c>
      <c r="I905" s="7338">
        <v>40.0</v>
      </c>
      <c r="J905" s="7338">
        <v>30.0</v>
      </c>
      <c r="K905" s="7338">
        <v>35.0</v>
      </c>
      <c r="L905" s="7338">
        <v>45.0</v>
      </c>
      <c r="M905" s="7338">
        <v>40.0</v>
      </c>
      <c r="N905" s="7340">
        <v>55.0</v>
      </c>
      <c r="O905" s="7321"/>
      <c r="P905" s="7324"/>
      <c r="Q905" s="7324"/>
      <c r="R905" s="7324"/>
    </row>
    <row r="906" ht="18.75" customHeight="1">
      <c r="A906" s="7316"/>
      <c r="B906" s="7331" t="s">
        <v>1262</v>
      </c>
      <c r="C906" s="7332" t="s">
        <v>3344</v>
      </c>
      <c r="D906" s="7333"/>
      <c r="E906" s="7332" t="s">
        <v>1863</v>
      </c>
      <c r="F906" s="7332" t="str">
        <f t="shared" si="50"/>
        <v/>
      </c>
      <c r="G906" s="7332" t="s">
        <v>1866</v>
      </c>
      <c r="H906" s="7332" t="str">
        <f t="shared" si="51"/>
        <v/>
      </c>
      <c r="I906" s="7332">
        <v>85.0</v>
      </c>
      <c r="J906" s="7332">
        <v>70.0</v>
      </c>
      <c r="K906" s="7332">
        <v>80.0</v>
      </c>
      <c r="L906" s="7332">
        <v>102.0</v>
      </c>
      <c r="M906" s="7332">
        <v>80.0</v>
      </c>
      <c r="N906" s="7334">
        <v>123.0</v>
      </c>
      <c r="O906" s="7321"/>
      <c r="P906" s="7324"/>
      <c r="Q906" s="7324"/>
      <c r="R906" s="7324"/>
    </row>
    <row r="907" ht="18.75" customHeight="1">
      <c r="A907" s="7316"/>
      <c r="B907" s="7337" t="s">
        <v>1720</v>
      </c>
      <c r="C907" s="7338" t="s">
        <v>3345</v>
      </c>
      <c r="D907" s="7339"/>
      <c r="E907" s="7338" t="s">
        <v>1935</v>
      </c>
      <c r="F907" s="7338" t="str">
        <f t="shared" si="50"/>
        <v/>
      </c>
      <c r="G907" s="7338"/>
      <c r="H907" s="7338" t="str">
        <f t="shared" si="51"/>
        <v/>
      </c>
      <c r="I907" s="7338">
        <v>126.0</v>
      </c>
      <c r="J907" s="7338">
        <v>131.0</v>
      </c>
      <c r="K907" s="7338">
        <v>95.0</v>
      </c>
      <c r="L907" s="7338">
        <v>131.0</v>
      </c>
      <c r="M907" s="7338">
        <v>98.0</v>
      </c>
      <c r="N907" s="7340">
        <v>99.0</v>
      </c>
      <c r="O907" s="7321"/>
      <c r="P907" s="7324"/>
      <c r="Q907" s="7324"/>
      <c r="R907" s="7324"/>
    </row>
    <row r="908" ht="18.75" customHeight="1">
      <c r="A908" s="7316"/>
      <c r="B908" s="7331" t="s">
        <v>1475</v>
      </c>
      <c r="C908" s="7332" t="s">
        <v>3346</v>
      </c>
      <c r="D908" s="7333"/>
      <c r="E908" s="7332" t="s">
        <v>1911</v>
      </c>
      <c r="F908" s="7332" t="str">
        <f t="shared" si="50"/>
        <v/>
      </c>
      <c r="G908" s="7332" t="s">
        <v>1863</v>
      </c>
      <c r="H908" s="7332" t="str">
        <f t="shared" si="51"/>
        <v/>
      </c>
      <c r="I908" s="7332">
        <v>126.0</v>
      </c>
      <c r="J908" s="7332">
        <v>131.0</v>
      </c>
      <c r="K908" s="7332">
        <v>95.0</v>
      </c>
      <c r="L908" s="7332">
        <v>131.0</v>
      </c>
      <c r="M908" s="7332">
        <v>98.0</v>
      </c>
      <c r="N908" s="7334">
        <v>99.0</v>
      </c>
      <c r="O908" s="7321"/>
      <c r="P908" s="7324"/>
      <c r="Q908" s="7324"/>
      <c r="R908" s="7324"/>
    </row>
    <row r="909" ht="18.75" customHeight="1">
      <c r="A909" s="7316"/>
      <c r="B909" s="7337" t="s">
        <v>3347</v>
      </c>
      <c r="C909" s="7338" t="s">
        <v>3348</v>
      </c>
      <c r="D909" s="7339"/>
      <c r="E909" s="7338" t="s">
        <v>1866</v>
      </c>
      <c r="F909" s="7338" t="str">
        <f t="shared" si="50"/>
        <v/>
      </c>
      <c r="G909" s="7338" t="s">
        <v>1948</v>
      </c>
      <c r="H909" s="7338" t="str">
        <f t="shared" si="51"/>
        <v/>
      </c>
      <c r="I909" s="7338">
        <v>108.0</v>
      </c>
      <c r="J909" s="7338">
        <v>100.0</v>
      </c>
      <c r="K909" s="7338">
        <v>121.0</v>
      </c>
      <c r="L909" s="7338">
        <v>81.0</v>
      </c>
      <c r="M909" s="7338">
        <v>95.0</v>
      </c>
      <c r="N909" s="7340">
        <v>95.0</v>
      </c>
      <c r="O909" s="7321"/>
      <c r="P909" s="7324"/>
      <c r="Q909" s="7324"/>
      <c r="R909" s="7324"/>
    </row>
    <row r="910" ht="18.75" customHeight="1">
      <c r="A910" s="7316"/>
      <c r="B910" s="7331" t="s">
        <v>3349</v>
      </c>
      <c r="C910" s="7341" t="s">
        <v>3350</v>
      </c>
      <c r="D910" s="7333"/>
      <c r="E910" s="7332" t="s">
        <v>1866</v>
      </c>
      <c r="F910" s="7332" t="str">
        <f t="shared" si="50"/>
        <v/>
      </c>
      <c r="G910" s="7332" t="s">
        <v>1948</v>
      </c>
      <c r="H910" s="7332" t="str">
        <f t="shared" si="51"/>
        <v/>
      </c>
      <c r="I910" s="7332">
        <v>54.0</v>
      </c>
      <c r="J910" s="7332">
        <v>100.0</v>
      </c>
      <c r="K910" s="7332">
        <v>71.0</v>
      </c>
      <c r="L910" s="7332">
        <v>61.0</v>
      </c>
      <c r="M910" s="7332">
        <v>85.0</v>
      </c>
      <c r="N910" s="7334">
        <v>115.0</v>
      </c>
      <c r="O910" s="7321"/>
      <c r="P910" s="7324"/>
      <c r="Q910" s="7324"/>
      <c r="R910" s="7324"/>
    </row>
    <row r="911" ht="18.75" customHeight="1">
      <c r="A911" s="7316"/>
      <c r="B911" s="7337" t="s">
        <v>3351</v>
      </c>
      <c r="C911" s="7342" t="s">
        <v>3352</v>
      </c>
      <c r="D911" s="7339"/>
      <c r="E911" s="7338" t="s">
        <v>1866</v>
      </c>
      <c r="F911" s="7338" t="str">
        <f t="shared" si="50"/>
        <v/>
      </c>
      <c r="G911" s="7338" t="s">
        <v>1948</v>
      </c>
      <c r="H911" s="7338" t="str">
        <f t="shared" si="51"/>
        <v/>
      </c>
      <c r="I911" s="7338">
        <v>216.0</v>
      </c>
      <c r="J911" s="7338">
        <v>100.0</v>
      </c>
      <c r="K911" s="7338">
        <v>121.0</v>
      </c>
      <c r="L911" s="7338">
        <v>91.0</v>
      </c>
      <c r="M911" s="7338">
        <v>95.0</v>
      </c>
      <c r="N911" s="7340">
        <v>85.0</v>
      </c>
      <c r="O911" s="7321"/>
      <c r="P911" s="7324"/>
      <c r="Q911" s="7324"/>
      <c r="R911" s="7324"/>
    </row>
    <row r="912" ht="18.75" customHeight="1">
      <c r="A912" s="7316"/>
      <c r="B912" s="7331" t="s">
        <v>3353</v>
      </c>
      <c r="C912" s="7332" t="s">
        <v>3354</v>
      </c>
      <c r="D912" s="7333"/>
      <c r="E912" s="7332" t="s">
        <v>2014</v>
      </c>
      <c r="F912" s="7332" t="str">
        <f t="shared" si="50"/>
        <v/>
      </c>
      <c r="G912" s="7332" t="s">
        <v>1935</v>
      </c>
      <c r="H912" s="7332" t="str">
        <f t="shared" si="51"/>
        <v/>
      </c>
      <c r="I912" s="7332">
        <v>50.0</v>
      </c>
      <c r="J912" s="7332">
        <v>100.0</v>
      </c>
      <c r="K912" s="7332">
        <v>150.0</v>
      </c>
      <c r="L912" s="7332">
        <v>100.0</v>
      </c>
      <c r="M912" s="7332">
        <v>150.0</v>
      </c>
      <c r="N912" s="7334">
        <v>50.0</v>
      </c>
      <c r="O912" s="7321"/>
      <c r="P912" s="7324"/>
      <c r="Q912" s="7324"/>
      <c r="R912" s="7324"/>
    </row>
    <row r="913" ht="18.75" customHeight="1">
      <c r="A913" s="7316"/>
      <c r="B913" s="7337" t="s">
        <v>3355</v>
      </c>
      <c r="C913" s="7342" t="s">
        <v>3356</v>
      </c>
      <c r="D913" s="7339"/>
      <c r="E913" s="7338" t="s">
        <v>2014</v>
      </c>
      <c r="F913" s="7338" t="str">
        <f t="shared" si="50"/>
        <v/>
      </c>
      <c r="G913" s="7338" t="s">
        <v>1935</v>
      </c>
      <c r="H913" s="7338" t="str">
        <f t="shared" si="51"/>
        <v/>
      </c>
      <c r="I913" s="7338">
        <v>50.0</v>
      </c>
      <c r="J913" s="7338">
        <v>160.0</v>
      </c>
      <c r="K913" s="7338">
        <v>110.0</v>
      </c>
      <c r="L913" s="7338">
        <v>160.0</v>
      </c>
      <c r="M913" s="7338">
        <v>110.0</v>
      </c>
      <c r="N913" s="7340">
        <v>110.0</v>
      </c>
      <c r="O913" s="7321"/>
      <c r="P913" s="7324"/>
      <c r="Q913" s="7324"/>
      <c r="R913" s="7324"/>
    </row>
    <row r="914" ht="18.75" customHeight="1">
      <c r="A914" s="7316"/>
      <c r="B914" s="7331" t="s">
        <v>3357</v>
      </c>
      <c r="C914" s="7332" t="s">
        <v>3358</v>
      </c>
      <c r="D914" s="7333"/>
      <c r="E914" s="7332" t="s">
        <v>561</v>
      </c>
      <c r="F914" s="7332" t="str">
        <f t="shared" si="50"/>
        <v/>
      </c>
      <c r="G914" s="7332" t="s">
        <v>2097</v>
      </c>
      <c r="H914" s="7332" t="str">
        <f t="shared" si="51"/>
        <v/>
      </c>
      <c r="I914" s="7332">
        <v>80.0</v>
      </c>
      <c r="J914" s="7332">
        <v>110.0</v>
      </c>
      <c r="K914" s="7332">
        <v>60.0</v>
      </c>
      <c r="L914" s="7332">
        <v>150.0</v>
      </c>
      <c r="M914" s="7332">
        <v>130.0</v>
      </c>
      <c r="N914" s="7334">
        <v>70.0</v>
      </c>
      <c r="O914" s="7321"/>
      <c r="P914" s="7324"/>
      <c r="Q914" s="7324"/>
      <c r="R914" s="7324"/>
    </row>
    <row r="915" ht="18.75" customHeight="1">
      <c r="A915" s="7316"/>
      <c r="B915" s="7337" t="s">
        <v>1363</v>
      </c>
      <c r="C915" s="7342" t="s">
        <v>3359</v>
      </c>
      <c r="D915" s="7339"/>
      <c r="E915" s="7338" t="s">
        <v>561</v>
      </c>
      <c r="F915" s="7338" t="str">
        <f t="shared" si="50"/>
        <v/>
      </c>
      <c r="G915" s="7338" t="s">
        <v>1911</v>
      </c>
      <c r="H915" s="7338" t="str">
        <f t="shared" si="51"/>
        <v/>
      </c>
      <c r="I915" s="7338">
        <v>80.0</v>
      </c>
      <c r="J915" s="7338">
        <v>160.0</v>
      </c>
      <c r="K915" s="7338">
        <v>60.0</v>
      </c>
      <c r="L915" s="7338">
        <v>170.0</v>
      </c>
      <c r="M915" s="7338">
        <v>130.0</v>
      </c>
      <c r="N915" s="7340">
        <v>80.0</v>
      </c>
      <c r="O915" s="7321"/>
      <c r="P915" s="7324"/>
      <c r="Q915" s="7324"/>
      <c r="R915" s="7324"/>
    </row>
    <row r="916" ht="18.75" customHeight="1">
      <c r="A916" s="7316"/>
      <c r="B916" s="7349" t="s">
        <v>3360</v>
      </c>
      <c r="C916" s="7350" t="s">
        <v>3361</v>
      </c>
      <c r="D916" s="7351"/>
      <c r="E916" s="7350" t="s">
        <v>1858</v>
      </c>
      <c r="F916" s="7350" t="str">
        <f t="shared" si="50"/>
        <v/>
      </c>
      <c r="G916" s="7350" t="s">
        <v>1871</v>
      </c>
      <c r="H916" s="7350" t="str">
        <f t="shared" si="51"/>
        <v/>
      </c>
      <c r="I916" s="7350">
        <v>80.0</v>
      </c>
      <c r="J916" s="7350">
        <v>110.0</v>
      </c>
      <c r="K916" s="7350">
        <v>120.0</v>
      </c>
      <c r="L916" s="7350">
        <v>130.0</v>
      </c>
      <c r="M916" s="7350">
        <v>90.0</v>
      </c>
      <c r="N916" s="7352">
        <v>70.0</v>
      </c>
      <c r="O916" s="7321"/>
      <c r="P916" s="7324"/>
      <c r="Q916" s="7324"/>
      <c r="R916" s="7324"/>
    </row>
    <row r="917">
      <c r="A917" s="7316"/>
      <c r="B917" s="7315"/>
      <c r="C917" s="7315"/>
      <c r="D917" s="7315"/>
      <c r="E917" s="7315"/>
      <c r="F917" s="7315"/>
      <c r="G917" s="7315"/>
      <c r="H917" s="7315"/>
      <c r="I917" s="7315"/>
      <c r="J917" s="7315"/>
      <c r="K917" s="7315"/>
      <c r="L917" s="7315"/>
      <c r="M917" s="7315"/>
      <c r="N917" s="7315"/>
      <c r="O917" s="7316"/>
      <c r="P917" s="7316"/>
      <c r="Q917" s="7316"/>
      <c r="R917" s="7316"/>
    </row>
    <row r="918">
      <c r="A918" s="7316"/>
      <c r="B918" s="7369" t="s">
        <v>3362</v>
      </c>
      <c r="C918" s="7374"/>
      <c r="D918" s="7374"/>
      <c r="E918" s="7374"/>
      <c r="F918" s="7374"/>
      <c r="G918" s="7374"/>
      <c r="H918" s="7375"/>
      <c r="I918" s="7372" t="s">
        <v>192</v>
      </c>
      <c r="J918" s="7372" t="s">
        <v>193</v>
      </c>
      <c r="K918" s="7372" t="s">
        <v>194</v>
      </c>
      <c r="L918" s="7372" t="s">
        <v>195</v>
      </c>
      <c r="M918" s="7372" t="s">
        <v>196</v>
      </c>
      <c r="N918" s="7373" t="s">
        <v>197</v>
      </c>
      <c r="O918" s="7321"/>
      <c r="P918" s="7324"/>
      <c r="Q918" s="7324"/>
      <c r="R918" s="7324"/>
    </row>
    <row r="919" ht="18.75" customHeight="1">
      <c r="A919" s="7316"/>
      <c r="B919" s="7355" t="s">
        <v>3363</v>
      </c>
      <c r="C919" s="7356" t="s">
        <v>3364</v>
      </c>
      <c r="D919" s="7357"/>
      <c r="E919" s="7358" t="s">
        <v>1848</v>
      </c>
      <c r="F919" s="7358" t="str">
        <f t="shared" ref="F919:F978" si="52">IFERROR(VLOOKUP(E919,P$3:Q936,2,False),"")</f>
        <v/>
      </c>
      <c r="G919" s="7358" t="s">
        <v>1863</v>
      </c>
      <c r="H919" s="7358" t="str">
        <f t="shared" ref="H919:H978" si="53">IFERROR(VLOOKUP(G919,P$3:Q936,2,False),"")</f>
        <v/>
      </c>
      <c r="I919" s="7358">
        <v>68.0</v>
      </c>
      <c r="J919" s="7358">
        <v>55.0</v>
      </c>
      <c r="K919" s="7358">
        <v>55.0</v>
      </c>
      <c r="L919" s="7358">
        <v>50.0</v>
      </c>
      <c r="M919" s="7358">
        <v>50.0</v>
      </c>
      <c r="N919" s="7359">
        <v>42.0</v>
      </c>
      <c r="O919" s="7321"/>
      <c r="P919" s="7324"/>
      <c r="Q919" s="7324"/>
      <c r="R919" s="7324"/>
    </row>
    <row r="920" ht="18.75" customHeight="1">
      <c r="A920" s="7316"/>
      <c r="B920" s="7331" t="s">
        <v>1054</v>
      </c>
      <c r="C920" s="7332" t="s">
        <v>3365</v>
      </c>
      <c r="D920" s="7333"/>
      <c r="E920" s="7332" t="s">
        <v>1848</v>
      </c>
      <c r="F920" s="7332" t="str">
        <f t="shared" si="52"/>
        <v/>
      </c>
      <c r="G920" s="7332" t="s">
        <v>1863</v>
      </c>
      <c r="H920" s="7332" t="str">
        <f t="shared" si="53"/>
        <v/>
      </c>
      <c r="I920" s="7332">
        <v>78.0</v>
      </c>
      <c r="J920" s="7332">
        <v>75.0</v>
      </c>
      <c r="K920" s="7332">
        <v>75.0</v>
      </c>
      <c r="L920" s="7332">
        <v>70.0</v>
      </c>
      <c r="M920" s="7332">
        <v>70.0</v>
      </c>
      <c r="N920" s="7334">
        <v>52.0</v>
      </c>
      <c r="O920" s="7321"/>
      <c r="P920" s="7324"/>
      <c r="Q920" s="7324"/>
      <c r="R920" s="7324"/>
    </row>
    <row r="921" ht="18.75" customHeight="1">
      <c r="A921" s="7316"/>
      <c r="B921" s="7337" t="s">
        <v>1221</v>
      </c>
      <c r="C921" s="7338" t="s">
        <v>3366</v>
      </c>
      <c r="D921" s="7339"/>
      <c r="E921" s="7338" t="s">
        <v>1848</v>
      </c>
      <c r="F921" s="7338" t="str">
        <f t="shared" si="52"/>
        <v/>
      </c>
      <c r="G921" s="7338" t="s">
        <v>2097</v>
      </c>
      <c r="H921" s="7338" t="str">
        <f t="shared" si="53"/>
        <v/>
      </c>
      <c r="I921" s="7338">
        <v>78.0</v>
      </c>
      <c r="J921" s="7338">
        <v>107.0</v>
      </c>
      <c r="K921" s="7338">
        <v>75.0</v>
      </c>
      <c r="L921" s="7338">
        <v>95.0</v>
      </c>
      <c r="M921" s="7338">
        <v>85.0</v>
      </c>
      <c r="N921" s="7340">
        <v>100.0</v>
      </c>
      <c r="O921" s="7321"/>
      <c r="P921" s="7324"/>
      <c r="Q921" s="7324"/>
      <c r="R921" s="7324"/>
    </row>
    <row r="922" ht="18.75" customHeight="1">
      <c r="A922" s="7316"/>
      <c r="B922" s="7331" t="s">
        <v>1602</v>
      </c>
      <c r="C922" s="7341" t="s">
        <v>3367</v>
      </c>
      <c r="D922" s="7333"/>
      <c r="E922" s="7332" t="s">
        <v>1848</v>
      </c>
      <c r="F922" s="7332" t="str">
        <f t="shared" si="52"/>
        <v/>
      </c>
      <c r="G922" s="7332" t="s">
        <v>1939</v>
      </c>
      <c r="H922" s="7332" t="str">
        <f t="shared" si="53"/>
        <v/>
      </c>
      <c r="I922" s="7332">
        <v>98.0</v>
      </c>
      <c r="J922" s="7332">
        <v>112.0</v>
      </c>
      <c r="K922" s="7332">
        <v>85.0</v>
      </c>
      <c r="L922" s="7332">
        <v>75.0</v>
      </c>
      <c r="M922" s="7332">
        <v>100.0</v>
      </c>
      <c r="N922" s="7334">
        <v>70.0</v>
      </c>
      <c r="O922" s="7321"/>
      <c r="P922" s="7324"/>
      <c r="Q922" s="7324"/>
      <c r="R922" s="7324"/>
    </row>
    <row r="923" ht="18.75" customHeight="1">
      <c r="A923" s="7316"/>
      <c r="B923" s="7337" t="s">
        <v>3368</v>
      </c>
      <c r="C923" s="7338" t="s">
        <v>3369</v>
      </c>
      <c r="D923" s="7339"/>
      <c r="E923" s="7338" t="s">
        <v>1858</v>
      </c>
      <c r="F923" s="7338" t="str">
        <f t="shared" si="52"/>
        <v/>
      </c>
      <c r="G923" s="7338"/>
      <c r="H923" s="7338" t="str">
        <f t="shared" si="53"/>
        <v/>
      </c>
      <c r="I923" s="7338">
        <v>45.0</v>
      </c>
      <c r="J923" s="7338">
        <v>65.0</v>
      </c>
      <c r="K923" s="7338">
        <v>40.0</v>
      </c>
      <c r="L923" s="7338">
        <v>60.0</v>
      </c>
      <c r="M923" s="7338">
        <v>40.0</v>
      </c>
      <c r="N923" s="7340">
        <v>70.0</v>
      </c>
      <c r="O923" s="7321"/>
      <c r="P923" s="7324"/>
      <c r="Q923" s="7324"/>
      <c r="R923" s="7324"/>
    </row>
    <row r="924" ht="18.75" customHeight="1">
      <c r="A924" s="7316"/>
      <c r="B924" s="7331" t="s">
        <v>3370</v>
      </c>
      <c r="C924" s="7332" t="s">
        <v>3371</v>
      </c>
      <c r="D924" s="7333"/>
      <c r="E924" s="7332" t="s">
        <v>1858</v>
      </c>
      <c r="F924" s="7332" t="str">
        <f t="shared" si="52"/>
        <v/>
      </c>
      <c r="G924" s="7332"/>
      <c r="H924" s="7332" t="str">
        <f t="shared" si="53"/>
        <v/>
      </c>
      <c r="I924" s="7332">
        <v>65.0</v>
      </c>
      <c r="J924" s="7332">
        <v>85.0</v>
      </c>
      <c r="K924" s="7332">
        <v>50.0</v>
      </c>
      <c r="L924" s="7332">
        <v>80.0</v>
      </c>
      <c r="M924" s="7332">
        <v>50.0</v>
      </c>
      <c r="N924" s="7334">
        <v>90.0</v>
      </c>
      <c r="O924" s="7321"/>
      <c r="P924" s="7324"/>
      <c r="Q924" s="7324"/>
      <c r="R924" s="7324"/>
    </row>
    <row r="925" ht="18.75" customHeight="1">
      <c r="A925" s="7316"/>
      <c r="B925" s="7337" t="s">
        <v>906</v>
      </c>
      <c r="C925" s="7338" t="s">
        <v>3372</v>
      </c>
      <c r="D925" s="7339"/>
      <c r="E925" s="7338" t="s">
        <v>1858</v>
      </c>
      <c r="F925" s="7338" t="str">
        <f t="shared" si="52"/>
        <v/>
      </c>
      <c r="G925" s="7338" t="s">
        <v>1911</v>
      </c>
      <c r="H925" s="7338" t="str">
        <f t="shared" si="53"/>
        <v/>
      </c>
      <c r="I925" s="7338">
        <v>95.0</v>
      </c>
      <c r="J925" s="7338">
        <v>115.0</v>
      </c>
      <c r="K925" s="7338">
        <v>90.0</v>
      </c>
      <c r="L925" s="7338">
        <v>80.0</v>
      </c>
      <c r="M925" s="7338">
        <v>90.0</v>
      </c>
      <c r="N925" s="7340">
        <v>60.0</v>
      </c>
      <c r="O925" s="7321"/>
      <c r="P925" s="7324"/>
      <c r="Q925" s="7324"/>
      <c r="R925" s="7324"/>
    </row>
    <row r="926" ht="18.75" customHeight="1">
      <c r="A926" s="7316"/>
      <c r="B926" s="7331" t="s">
        <v>3373</v>
      </c>
      <c r="C926" s="7332" t="s">
        <v>3374</v>
      </c>
      <c r="D926" s="7333"/>
      <c r="E926" s="7332" t="s">
        <v>1871</v>
      </c>
      <c r="F926" s="7332" t="str">
        <f t="shared" si="52"/>
        <v/>
      </c>
      <c r="G926" s="7332"/>
      <c r="H926" s="7332" t="str">
        <f t="shared" si="53"/>
        <v/>
      </c>
      <c r="I926" s="7332">
        <v>50.0</v>
      </c>
      <c r="J926" s="7332">
        <v>54.0</v>
      </c>
      <c r="K926" s="7332">
        <v>54.0</v>
      </c>
      <c r="L926" s="7332">
        <v>66.0</v>
      </c>
      <c r="M926" s="7332">
        <v>56.0</v>
      </c>
      <c r="N926" s="7334">
        <v>40.0</v>
      </c>
      <c r="O926" s="7321"/>
      <c r="P926" s="7324"/>
      <c r="Q926" s="7324"/>
      <c r="R926" s="7324"/>
    </row>
    <row r="927" ht="18.75" customHeight="1">
      <c r="A927" s="7316"/>
      <c r="B927" s="7337" t="s">
        <v>1022</v>
      </c>
      <c r="C927" s="7338" t="s">
        <v>3375</v>
      </c>
      <c r="D927" s="7339"/>
      <c r="E927" s="7338" t="s">
        <v>1871</v>
      </c>
      <c r="F927" s="7338" t="str">
        <f t="shared" si="52"/>
        <v/>
      </c>
      <c r="G927" s="7338"/>
      <c r="H927" s="7338" t="str">
        <f t="shared" si="53"/>
        <v/>
      </c>
      <c r="I927" s="7338">
        <v>60.0</v>
      </c>
      <c r="J927" s="7338">
        <v>69.0</v>
      </c>
      <c r="K927" s="7338">
        <v>69.0</v>
      </c>
      <c r="L927" s="7338">
        <v>91.0</v>
      </c>
      <c r="M927" s="7338">
        <v>81.0</v>
      </c>
      <c r="N927" s="7340">
        <v>50.0</v>
      </c>
      <c r="O927" s="7321"/>
      <c r="P927" s="7324"/>
      <c r="Q927" s="7324"/>
      <c r="R927" s="7324"/>
    </row>
    <row r="928" ht="18.75" customHeight="1">
      <c r="A928" s="7316"/>
      <c r="B928" s="7331" t="s">
        <v>907</v>
      </c>
      <c r="C928" s="7332" t="s">
        <v>3376</v>
      </c>
      <c r="D928" s="7333"/>
      <c r="E928" s="7332" t="s">
        <v>1871</v>
      </c>
      <c r="F928" s="7332" t="str">
        <f t="shared" si="52"/>
        <v/>
      </c>
      <c r="G928" s="7332" t="s">
        <v>1935</v>
      </c>
      <c r="H928" s="7332" t="str">
        <f t="shared" si="53"/>
        <v/>
      </c>
      <c r="I928" s="7332">
        <v>80.0</v>
      </c>
      <c r="J928" s="7332">
        <v>74.0</v>
      </c>
      <c r="K928" s="7332">
        <v>74.0</v>
      </c>
      <c r="L928" s="7332">
        <v>126.0</v>
      </c>
      <c r="M928" s="7332">
        <v>116.0</v>
      </c>
      <c r="N928" s="7334">
        <v>60.0</v>
      </c>
      <c r="O928" s="7321"/>
      <c r="P928" s="7324"/>
      <c r="Q928" s="7324"/>
      <c r="R928" s="7324"/>
    </row>
    <row r="929" ht="18.75" customHeight="1">
      <c r="A929" s="7316"/>
      <c r="B929" s="7337" t="s">
        <v>3377</v>
      </c>
      <c r="C929" s="7338" t="s">
        <v>3378</v>
      </c>
      <c r="D929" s="7339"/>
      <c r="E929" s="7338" t="s">
        <v>1901</v>
      </c>
      <c r="F929" s="7338" t="str">
        <f t="shared" si="52"/>
        <v/>
      </c>
      <c r="G929" s="7338" t="s">
        <v>1863</v>
      </c>
      <c r="H929" s="7338" t="str">
        <f t="shared" si="53"/>
        <v/>
      </c>
      <c r="I929" s="7338">
        <v>35.0</v>
      </c>
      <c r="J929" s="7338">
        <v>75.0</v>
      </c>
      <c r="K929" s="7338">
        <v>30.0</v>
      </c>
      <c r="L929" s="7338">
        <v>30.0</v>
      </c>
      <c r="M929" s="7338">
        <v>30.0</v>
      </c>
      <c r="N929" s="7340">
        <v>65.0</v>
      </c>
      <c r="O929" s="7321"/>
      <c r="P929" s="7324"/>
      <c r="Q929" s="7324"/>
      <c r="R929" s="7324"/>
    </row>
    <row r="930" ht="18.75" customHeight="1">
      <c r="A930" s="7316"/>
      <c r="B930" s="7331" t="s">
        <v>3379</v>
      </c>
      <c r="C930" s="7332" t="s">
        <v>3380</v>
      </c>
      <c r="D930" s="7333"/>
      <c r="E930" s="7332" t="s">
        <v>1901</v>
      </c>
      <c r="F930" s="7332" t="str">
        <f t="shared" si="52"/>
        <v/>
      </c>
      <c r="G930" s="7332" t="s">
        <v>1863</v>
      </c>
      <c r="H930" s="7332" t="str">
        <f t="shared" si="53"/>
        <v/>
      </c>
      <c r="I930" s="7332">
        <v>55.0</v>
      </c>
      <c r="J930" s="7332">
        <v>85.0</v>
      </c>
      <c r="K930" s="7332">
        <v>50.0</v>
      </c>
      <c r="L930" s="7332">
        <v>40.0</v>
      </c>
      <c r="M930" s="7332">
        <v>50.0</v>
      </c>
      <c r="N930" s="7334">
        <v>75.0</v>
      </c>
      <c r="O930" s="7321"/>
      <c r="P930" s="7324"/>
      <c r="Q930" s="7324"/>
      <c r="R930" s="7324"/>
    </row>
    <row r="931" ht="18.75" customHeight="1">
      <c r="A931" s="7316"/>
      <c r="B931" s="7337" t="s">
        <v>3381</v>
      </c>
      <c r="C931" s="7338" t="s">
        <v>3382</v>
      </c>
      <c r="D931" s="7339"/>
      <c r="E931" s="7338" t="s">
        <v>1901</v>
      </c>
      <c r="F931" s="7338" t="str">
        <f t="shared" si="52"/>
        <v/>
      </c>
      <c r="G931" s="7338" t="s">
        <v>1863</v>
      </c>
      <c r="H931" s="7338" t="str">
        <f t="shared" si="53"/>
        <v/>
      </c>
      <c r="I931" s="7338">
        <v>90.0</v>
      </c>
      <c r="J931" s="7338">
        <v>120.0</v>
      </c>
      <c r="K931" s="7338">
        <v>75.0</v>
      </c>
      <c r="L931" s="7338">
        <v>75.0</v>
      </c>
      <c r="M931" s="7338">
        <v>75.0</v>
      </c>
      <c r="N931" s="7340">
        <v>60.0</v>
      </c>
      <c r="O931" s="7321"/>
      <c r="P931" s="7324"/>
      <c r="Q931" s="7324"/>
      <c r="R931" s="7324"/>
    </row>
    <row r="932" ht="18.75" customHeight="1">
      <c r="A932" s="7316"/>
      <c r="B932" s="7331" t="s">
        <v>3383</v>
      </c>
      <c r="C932" s="7332" t="s">
        <v>3384</v>
      </c>
      <c r="D932" s="7333"/>
      <c r="E932" s="7332" t="s">
        <v>1901</v>
      </c>
      <c r="F932" s="7332" t="str">
        <f t="shared" si="52"/>
        <v/>
      </c>
      <c r="G932" s="7332"/>
      <c r="H932" s="7332" t="str">
        <f t="shared" si="53"/>
        <v/>
      </c>
      <c r="I932" s="7332">
        <v>48.0</v>
      </c>
      <c r="J932" s="7332">
        <v>70.0</v>
      </c>
      <c r="K932" s="7332">
        <v>30.0</v>
      </c>
      <c r="L932" s="7332">
        <v>30.0</v>
      </c>
      <c r="M932" s="7332">
        <v>30.0</v>
      </c>
      <c r="N932" s="7334">
        <v>45.0</v>
      </c>
      <c r="O932" s="7321"/>
      <c r="P932" s="7324"/>
      <c r="Q932" s="7324"/>
      <c r="R932" s="7324"/>
    </row>
    <row r="933" ht="18.75" customHeight="1">
      <c r="A933" s="7316"/>
      <c r="B933" s="7337" t="s">
        <v>3385</v>
      </c>
      <c r="C933" s="7338" t="s">
        <v>3386</v>
      </c>
      <c r="D933" s="7339"/>
      <c r="E933" s="7342" t="s">
        <v>1901</v>
      </c>
      <c r="F933" s="7342" t="str">
        <f t="shared" si="52"/>
        <v/>
      </c>
      <c r="G933" s="7342"/>
      <c r="H933" s="7342" t="str">
        <f t="shared" si="53"/>
        <v/>
      </c>
      <c r="I933" s="7338">
        <v>98.0</v>
      </c>
      <c r="J933" s="7338">
        <v>110.0</v>
      </c>
      <c r="K933" s="7338">
        <v>60.0</v>
      </c>
      <c r="L933" s="7338">
        <v>55.0</v>
      </c>
      <c r="M933" s="7338">
        <v>60.0</v>
      </c>
      <c r="N933" s="7340">
        <v>45.0</v>
      </c>
      <c r="O933" s="7321"/>
      <c r="P933" s="7324"/>
      <c r="Q933" s="7324"/>
      <c r="R933" s="7324"/>
    </row>
    <row r="934" ht="18.75" customHeight="1">
      <c r="A934" s="7316"/>
      <c r="B934" s="7331" t="s">
        <v>3387</v>
      </c>
      <c r="C934" s="7332" t="s">
        <v>3388</v>
      </c>
      <c r="D934" s="7333"/>
      <c r="E934" s="7332" t="s">
        <v>1882</v>
      </c>
      <c r="F934" s="7332" t="str">
        <f t="shared" si="52"/>
        <v/>
      </c>
      <c r="G934" s="7332"/>
      <c r="H934" s="7332" t="str">
        <f t="shared" si="53"/>
        <v/>
      </c>
      <c r="I934" s="7332">
        <v>47.0</v>
      </c>
      <c r="J934" s="7332">
        <v>62.0</v>
      </c>
      <c r="K934" s="7332">
        <v>45.0</v>
      </c>
      <c r="L934" s="7332">
        <v>55.0</v>
      </c>
      <c r="M934" s="7332">
        <v>45.0</v>
      </c>
      <c r="N934" s="7334">
        <v>46.0</v>
      </c>
      <c r="O934" s="7321"/>
      <c r="P934" s="7324"/>
      <c r="Q934" s="7324"/>
      <c r="R934" s="7324"/>
    </row>
    <row r="935" ht="18.75" customHeight="1">
      <c r="A935" s="7316"/>
      <c r="B935" s="7337" t="s">
        <v>3389</v>
      </c>
      <c r="C935" s="7338" t="s">
        <v>3390</v>
      </c>
      <c r="D935" s="7339"/>
      <c r="E935" s="7338" t="s">
        <v>1882</v>
      </c>
      <c r="F935" s="7338" t="str">
        <f t="shared" si="52"/>
        <v/>
      </c>
      <c r="G935" s="7338" t="s">
        <v>1926</v>
      </c>
      <c r="H935" s="7338" t="str">
        <f t="shared" si="53"/>
        <v/>
      </c>
      <c r="I935" s="7338">
        <v>57.0</v>
      </c>
      <c r="J935" s="7338">
        <v>82.0</v>
      </c>
      <c r="K935" s="7338">
        <v>95.0</v>
      </c>
      <c r="L935" s="7338">
        <v>55.0</v>
      </c>
      <c r="M935" s="7338">
        <v>75.0</v>
      </c>
      <c r="N935" s="7340">
        <v>36.0</v>
      </c>
      <c r="O935" s="7321"/>
      <c r="P935" s="7324"/>
      <c r="Q935" s="7324"/>
      <c r="R935" s="7324"/>
    </row>
    <row r="936" ht="18.75" customHeight="1">
      <c r="A936" s="7316"/>
      <c r="B936" s="7331" t="s">
        <v>227</v>
      </c>
      <c r="C936" s="7332" t="s">
        <v>3391</v>
      </c>
      <c r="D936" s="7333"/>
      <c r="E936" s="7332" t="s">
        <v>1882</v>
      </c>
      <c r="F936" s="7332" t="str">
        <f t="shared" si="52"/>
        <v/>
      </c>
      <c r="G936" s="7332" t="s">
        <v>1926</v>
      </c>
      <c r="H936" s="7332" t="str">
        <f t="shared" si="53"/>
        <v/>
      </c>
      <c r="I936" s="7332">
        <v>77.0</v>
      </c>
      <c r="J936" s="7332">
        <v>70.0</v>
      </c>
      <c r="K936" s="7332">
        <v>90.0</v>
      </c>
      <c r="L936" s="7332">
        <v>145.0</v>
      </c>
      <c r="M936" s="7332">
        <v>75.0</v>
      </c>
      <c r="N936" s="7334">
        <v>43.0</v>
      </c>
      <c r="O936" s="7321"/>
      <c r="P936" s="7324"/>
      <c r="Q936" s="7324"/>
      <c r="R936" s="7324"/>
    </row>
    <row r="937" ht="18.75" customHeight="1">
      <c r="A937" s="7316"/>
      <c r="B937" s="7337" t="s">
        <v>3392</v>
      </c>
      <c r="C937" s="7338" t="s">
        <v>3393</v>
      </c>
      <c r="D937" s="7339"/>
      <c r="E937" s="7338" t="s">
        <v>1939</v>
      </c>
      <c r="F937" s="7338" t="str">
        <f t="shared" si="52"/>
        <v/>
      </c>
      <c r="G937" s="7338"/>
      <c r="H937" s="7338" t="str">
        <f t="shared" si="53"/>
        <v/>
      </c>
      <c r="I937" s="7338">
        <v>47.0</v>
      </c>
      <c r="J937" s="7338">
        <v>82.0</v>
      </c>
      <c r="K937" s="7338">
        <v>57.0</v>
      </c>
      <c r="L937" s="7338">
        <v>42.0</v>
      </c>
      <c r="M937" s="7338">
        <v>47.0</v>
      </c>
      <c r="N937" s="7340">
        <v>63.0</v>
      </c>
      <c r="O937" s="7321"/>
      <c r="P937" s="7324"/>
      <c r="Q937" s="7324"/>
      <c r="R937" s="7324"/>
    </row>
    <row r="938" ht="18.75" customHeight="1">
      <c r="A938" s="7316"/>
      <c r="B938" s="7331" t="s">
        <v>3394</v>
      </c>
      <c r="C938" s="7332" t="s">
        <v>3395</v>
      </c>
      <c r="D938" s="7333"/>
      <c r="E938" s="7332" t="s">
        <v>1939</v>
      </c>
      <c r="F938" s="7332" t="str">
        <f t="shared" si="52"/>
        <v/>
      </c>
      <c r="G938" s="7332" t="s">
        <v>1932</v>
      </c>
      <c r="H938" s="7332" t="str">
        <f t="shared" si="53"/>
        <v/>
      </c>
      <c r="I938" s="7332">
        <v>97.0</v>
      </c>
      <c r="J938" s="7332">
        <v>132.0</v>
      </c>
      <c r="K938" s="7332">
        <v>77.0</v>
      </c>
      <c r="L938" s="7332">
        <v>62.0</v>
      </c>
      <c r="M938" s="7332">
        <v>67.0</v>
      </c>
      <c r="N938" s="7334">
        <v>43.0</v>
      </c>
      <c r="O938" s="7321"/>
      <c r="P938" s="7324"/>
      <c r="Q938" s="7324"/>
      <c r="R938" s="7324"/>
    </row>
    <row r="939" ht="18.75" customHeight="1">
      <c r="A939" s="7316"/>
      <c r="B939" s="7337" t="s">
        <v>3396</v>
      </c>
      <c r="C939" s="7338" t="s">
        <v>3397</v>
      </c>
      <c r="D939" s="7339"/>
      <c r="E939" s="7338" t="s">
        <v>1858</v>
      </c>
      <c r="F939" s="7338" t="str">
        <f t="shared" si="52"/>
        <v/>
      </c>
      <c r="G939" s="7338" t="s">
        <v>1863</v>
      </c>
      <c r="H939" s="7338" t="str">
        <f t="shared" si="53"/>
        <v/>
      </c>
      <c r="I939" s="7338">
        <v>75.0</v>
      </c>
      <c r="J939" s="7338">
        <v>70.0</v>
      </c>
      <c r="K939" s="7338">
        <v>70.0</v>
      </c>
      <c r="L939" s="7338">
        <v>98.0</v>
      </c>
      <c r="M939" s="7338">
        <v>70.0</v>
      </c>
      <c r="N939" s="7340">
        <v>93.0</v>
      </c>
      <c r="O939" s="7321"/>
      <c r="P939" s="7324"/>
      <c r="Q939" s="7324"/>
      <c r="R939" s="7324"/>
    </row>
    <row r="940" ht="18.75" customHeight="1">
      <c r="A940" s="7316"/>
      <c r="B940" s="7331" t="s">
        <v>3398</v>
      </c>
      <c r="C940" s="7341" t="s">
        <v>3399</v>
      </c>
      <c r="D940" s="7333"/>
      <c r="E940" s="7332" t="s">
        <v>1926</v>
      </c>
      <c r="F940" s="7332" t="str">
        <f t="shared" si="52"/>
        <v/>
      </c>
      <c r="G940" s="7332" t="s">
        <v>1863</v>
      </c>
      <c r="H940" s="7332" t="str">
        <f t="shared" si="53"/>
        <v/>
      </c>
      <c r="I940" s="7332">
        <v>75.0</v>
      </c>
      <c r="J940" s="7332">
        <v>70.0</v>
      </c>
      <c r="K940" s="7332">
        <v>70.0</v>
      </c>
      <c r="L940" s="7332">
        <v>98.0</v>
      </c>
      <c r="M940" s="7332">
        <v>70.0</v>
      </c>
      <c r="N940" s="7334">
        <v>93.0</v>
      </c>
      <c r="O940" s="7321"/>
      <c r="P940" s="7324"/>
      <c r="Q940" s="7324"/>
      <c r="R940" s="7324"/>
    </row>
    <row r="941" ht="18.75" customHeight="1">
      <c r="A941" s="7316"/>
      <c r="B941" s="7337" t="s">
        <v>3400</v>
      </c>
      <c r="C941" s="7342" t="s">
        <v>3401</v>
      </c>
      <c r="D941" s="7339"/>
      <c r="E941" s="7338" t="s">
        <v>561</v>
      </c>
      <c r="F941" s="7338" t="str">
        <f t="shared" si="52"/>
        <v/>
      </c>
      <c r="G941" s="7338" t="s">
        <v>1863</v>
      </c>
      <c r="H941" s="7338" t="str">
        <f t="shared" si="53"/>
        <v/>
      </c>
      <c r="I941" s="7338">
        <v>75.0</v>
      </c>
      <c r="J941" s="7338">
        <v>70.0</v>
      </c>
      <c r="K941" s="7338">
        <v>70.0</v>
      </c>
      <c r="L941" s="7338">
        <v>98.0</v>
      </c>
      <c r="M941" s="7338">
        <v>70.0</v>
      </c>
      <c r="N941" s="7340">
        <v>93.0</v>
      </c>
      <c r="O941" s="7321"/>
      <c r="P941" s="7324"/>
      <c r="Q941" s="7324"/>
      <c r="R941" s="7324"/>
    </row>
    <row r="942" ht="18.75" customHeight="1">
      <c r="A942" s="7316"/>
      <c r="B942" s="7331" t="s">
        <v>3402</v>
      </c>
      <c r="C942" s="7341" t="s">
        <v>3403</v>
      </c>
      <c r="D942" s="7333"/>
      <c r="E942" s="7332" t="s">
        <v>2097</v>
      </c>
      <c r="F942" s="7332" t="str">
        <f t="shared" si="52"/>
        <v/>
      </c>
      <c r="G942" s="7332" t="s">
        <v>1863</v>
      </c>
      <c r="H942" s="7332" t="str">
        <f t="shared" si="53"/>
        <v/>
      </c>
      <c r="I942" s="7332">
        <v>75.0</v>
      </c>
      <c r="J942" s="7332">
        <v>70.0</v>
      </c>
      <c r="K942" s="7332">
        <v>70.0</v>
      </c>
      <c r="L942" s="7332">
        <v>98.0</v>
      </c>
      <c r="M942" s="7332">
        <v>70.0</v>
      </c>
      <c r="N942" s="7334">
        <v>93.0</v>
      </c>
      <c r="O942" s="7321"/>
      <c r="P942" s="7324"/>
      <c r="Q942" s="7324"/>
      <c r="R942" s="7324"/>
    </row>
    <row r="943" ht="18.75" customHeight="1">
      <c r="A943" s="7316"/>
      <c r="B943" s="7337" t="s">
        <v>3404</v>
      </c>
      <c r="C943" s="7338" t="s">
        <v>3405</v>
      </c>
      <c r="D943" s="7339"/>
      <c r="E943" s="7338" t="s">
        <v>1882</v>
      </c>
      <c r="F943" s="7338" t="str">
        <f t="shared" si="52"/>
        <v/>
      </c>
      <c r="G943" s="7338" t="s">
        <v>1935</v>
      </c>
      <c r="H943" s="7338" t="str">
        <f t="shared" si="53"/>
        <v/>
      </c>
      <c r="I943" s="7338">
        <v>40.0</v>
      </c>
      <c r="J943" s="7338">
        <v>45.0</v>
      </c>
      <c r="K943" s="7338">
        <v>40.0</v>
      </c>
      <c r="L943" s="7338">
        <v>55.0</v>
      </c>
      <c r="M943" s="7338">
        <v>40.0</v>
      </c>
      <c r="N943" s="7340">
        <v>84.0</v>
      </c>
      <c r="O943" s="7321"/>
      <c r="P943" s="7324"/>
      <c r="Q943" s="7324"/>
      <c r="R943" s="7324"/>
    </row>
    <row r="944" ht="18.75" customHeight="1">
      <c r="A944" s="7316"/>
      <c r="B944" s="7331" t="s">
        <v>3406</v>
      </c>
      <c r="C944" s="7332" t="s">
        <v>3407</v>
      </c>
      <c r="D944" s="7333"/>
      <c r="E944" s="7332" t="s">
        <v>1882</v>
      </c>
      <c r="F944" s="7332" t="str">
        <f t="shared" si="52"/>
        <v/>
      </c>
      <c r="G944" s="7332" t="s">
        <v>1935</v>
      </c>
      <c r="H944" s="7332" t="str">
        <f t="shared" si="53"/>
        <v/>
      </c>
      <c r="I944" s="7332">
        <v>60.0</v>
      </c>
      <c r="J944" s="7332">
        <v>55.0</v>
      </c>
      <c r="K944" s="7332">
        <v>60.0</v>
      </c>
      <c r="L944" s="7332">
        <v>95.0</v>
      </c>
      <c r="M944" s="7332">
        <v>70.0</v>
      </c>
      <c r="N944" s="7334">
        <v>124.0</v>
      </c>
      <c r="O944" s="7321"/>
      <c r="P944" s="7324"/>
      <c r="Q944" s="7324"/>
      <c r="R944" s="7324"/>
    </row>
    <row r="945" ht="18.75" customHeight="1">
      <c r="A945" s="7316"/>
      <c r="B945" s="7337" t="s">
        <v>3408</v>
      </c>
      <c r="C945" s="7338" t="s">
        <v>3409</v>
      </c>
      <c r="D945" s="7339"/>
      <c r="E945" s="7338" t="s">
        <v>2014</v>
      </c>
      <c r="F945" s="7338" t="str">
        <f t="shared" si="52"/>
        <v/>
      </c>
      <c r="G945" s="7338"/>
      <c r="H945" s="7338" t="str">
        <f t="shared" si="53"/>
        <v/>
      </c>
      <c r="I945" s="7338">
        <v>45.0</v>
      </c>
      <c r="J945" s="7338">
        <v>65.0</v>
      </c>
      <c r="K945" s="7338">
        <v>40.0</v>
      </c>
      <c r="L945" s="7338">
        <v>30.0</v>
      </c>
      <c r="M945" s="7338">
        <v>40.0</v>
      </c>
      <c r="N945" s="7340">
        <v>60.0</v>
      </c>
      <c r="O945" s="7321"/>
      <c r="P945" s="7324"/>
      <c r="Q945" s="7324"/>
      <c r="R945" s="7324"/>
    </row>
    <row r="946" ht="18.75" customHeight="1">
      <c r="A946" s="7316"/>
      <c r="B946" s="7331" t="s">
        <v>1253</v>
      </c>
      <c r="C946" s="7332" t="s">
        <v>3410</v>
      </c>
      <c r="D946" s="7333"/>
      <c r="E946" s="7332" t="s">
        <v>2014</v>
      </c>
      <c r="F946" s="7332" t="str">
        <f t="shared" si="52"/>
        <v/>
      </c>
      <c r="G946" s="7332"/>
      <c r="H946" s="7332" t="str">
        <f t="shared" si="53"/>
        <v/>
      </c>
      <c r="I946" s="7332">
        <v>75.0</v>
      </c>
      <c r="J946" s="7332">
        <v>115.0</v>
      </c>
      <c r="K946" s="7332">
        <v>65.0</v>
      </c>
      <c r="L946" s="7332">
        <v>55.0</v>
      </c>
      <c r="M946" s="7332">
        <v>65.0</v>
      </c>
      <c r="N946" s="7334">
        <v>112.0</v>
      </c>
      <c r="O946" s="7321"/>
      <c r="P946" s="7324"/>
      <c r="Q946" s="7324"/>
      <c r="R946" s="7324"/>
    </row>
    <row r="947" ht="18.75" customHeight="1">
      <c r="A947" s="7316"/>
      <c r="B947" s="7337" t="s">
        <v>3411</v>
      </c>
      <c r="C947" s="7342" t="s">
        <v>3412</v>
      </c>
      <c r="D947" s="7339"/>
      <c r="E947" s="7338" t="s">
        <v>2014</v>
      </c>
      <c r="F947" s="7338" t="str">
        <f t="shared" si="52"/>
        <v/>
      </c>
      <c r="G947" s="7338"/>
      <c r="H947" s="7338" t="str">
        <f t="shared" si="53"/>
        <v/>
      </c>
      <c r="I947" s="7338">
        <v>85.0</v>
      </c>
      <c r="J947" s="7338">
        <v>115.0</v>
      </c>
      <c r="K947" s="7338">
        <v>75.0</v>
      </c>
      <c r="L947" s="7338">
        <v>55.0</v>
      </c>
      <c r="M947" s="7338">
        <v>75.0</v>
      </c>
      <c r="N947" s="7340">
        <v>82.0</v>
      </c>
      <c r="O947" s="7321"/>
      <c r="P947" s="7324"/>
      <c r="Q947" s="7324"/>
      <c r="R947" s="7324"/>
    </row>
    <row r="948" ht="18.75" customHeight="1">
      <c r="A948" s="7316"/>
      <c r="B948" s="7331" t="s">
        <v>1667</v>
      </c>
      <c r="C948" s="7341" t="s">
        <v>3413</v>
      </c>
      <c r="D948" s="7333"/>
      <c r="E948" s="7332" t="s">
        <v>2014</v>
      </c>
      <c r="F948" s="7332" t="str">
        <f t="shared" si="52"/>
        <v/>
      </c>
      <c r="G948" s="7332"/>
      <c r="H948" s="7332" t="str">
        <f t="shared" si="53"/>
        <v/>
      </c>
      <c r="I948" s="7332">
        <v>75.0</v>
      </c>
      <c r="J948" s="7332">
        <v>117.0</v>
      </c>
      <c r="K948" s="7332">
        <v>65.0</v>
      </c>
      <c r="L948" s="7332">
        <v>55.0</v>
      </c>
      <c r="M948" s="7332">
        <v>65.0</v>
      </c>
      <c r="N948" s="7334">
        <v>110.0</v>
      </c>
      <c r="O948" s="7321"/>
      <c r="P948" s="7324"/>
      <c r="Q948" s="7324"/>
      <c r="R948" s="7324"/>
    </row>
    <row r="949" ht="18.75" customHeight="1">
      <c r="A949" s="7316"/>
      <c r="B949" s="7337" t="s">
        <v>3414</v>
      </c>
      <c r="C949" s="7338" t="s">
        <v>3415</v>
      </c>
      <c r="D949" s="7339"/>
      <c r="E949" s="7338" t="s">
        <v>1871</v>
      </c>
      <c r="F949" s="7338" t="str">
        <f t="shared" si="52"/>
        <v/>
      </c>
      <c r="G949" s="7338"/>
      <c r="H949" s="7338" t="str">
        <f t="shared" si="53"/>
        <v/>
      </c>
      <c r="I949" s="7338">
        <v>55.0</v>
      </c>
      <c r="J949" s="7338">
        <v>20.0</v>
      </c>
      <c r="K949" s="7338">
        <v>20.0</v>
      </c>
      <c r="L949" s="7338">
        <v>25.0</v>
      </c>
      <c r="M949" s="7338">
        <v>25.0</v>
      </c>
      <c r="N949" s="7340">
        <v>40.0</v>
      </c>
      <c r="O949" s="7321"/>
      <c r="P949" s="7324"/>
      <c r="Q949" s="7324"/>
      <c r="R949" s="7324"/>
    </row>
    <row r="950" ht="18.75" customHeight="1">
      <c r="A950" s="7316"/>
      <c r="B950" s="7331" t="s">
        <v>1626</v>
      </c>
      <c r="C950" s="7341" t="s">
        <v>3416</v>
      </c>
      <c r="D950" s="7333"/>
      <c r="E950" s="7332" t="s">
        <v>1871</v>
      </c>
      <c r="F950" s="7332" t="str">
        <f t="shared" si="52"/>
        <v/>
      </c>
      <c r="G950" s="7332"/>
      <c r="H950" s="7332" t="str">
        <f t="shared" si="53"/>
        <v/>
      </c>
      <c r="I950" s="7332">
        <v>55.0</v>
      </c>
      <c r="J950" s="7332">
        <v>140.0</v>
      </c>
      <c r="K950" s="7332">
        <v>130.0</v>
      </c>
      <c r="L950" s="7332">
        <v>140.0</v>
      </c>
      <c r="M950" s="7332">
        <v>135.0</v>
      </c>
      <c r="N950" s="7334">
        <v>30.0</v>
      </c>
      <c r="O950" s="7321"/>
      <c r="P950" s="7324"/>
      <c r="Q950" s="7324"/>
      <c r="R950" s="7324"/>
    </row>
    <row r="951" ht="18.75" customHeight="1">
      <c r="A951" s="7316"/>
      <c r="B951" s="7337" t="s">
        <v>3417</v>
      </c>
      <c r="C951" s="7338" t="s">
        <v>3418</v>
      </c>
      <c r="D951" s="7339"/>
      <c r="E951" s="7338" t="s">
        <v>1849</v>
      </c>
      <c r="F951" s="7338" t="str">
        <f t="shared" si="52"/>
        <v/>
      </c>
      <c r="G951" s="7338" t="s">
        <v>1871</v>
      </c>
      <c r="H951" s="7338" t="str">
        <f t="shared" si="53"/>
        <v/>
      </c>
      <c r="I951" s="7338">
        <v>50.0</v>
      </c>
      <c r="J951" s="7338">
        <v>53.0</v>
      </c>
      <c r="K951" s="7338">
        <v>62.0</v>
      </c>
      <c r="L951" s="7338">
        <v>43.0</v>
      </c>
      <c r="M951" s="7338">
        <v>52.0</v>
      </c>
      <c r="N951" s="7340">
        <v>45.0</v>
      </c>
      <c r="O951" s="7321"/>
      <c r="P951" s="7324"/>
      <c r="Q951" s="7324"/>
      <c r="R951" s="7324"/>
    </row>
    <row r="952" ht="18.75" customHeight="1">
      <c r="A952" s="7316"/>
      <c r="B952" s="7331" t="s">
        <v>1719</v>
      </c>
      <c r="C952" s="7332" t="s">
        <v>3419</v>
      </c>
      <c r="D952" s="7333"/>
      <c r="E952" s="7332" t="s">
        <v>1849</v>
      </c>
      <c r="F952" s="7332" t="str">
        <f t="shared" si="52"/>
        <v/>
      </c>
      <c r="G952" s="7332" t="s">
        <v>1871</v>
      </c>
      <c r="H952" s="7332" t="str">
        <f t="shared" si="53"/>
        <v/>
      </c>
      <c r="I952" s="7332">
        <v>50.0</v>
      </c>
      <c r="J952" s="7332">
        <v>63.0</v>
      </c>
      <c r="K952" s="7332">
        <v>152.0</v>
      </c>
      <c r="L952" s="7332">
        <v>53.0</v>
      </c>
      <c r="M952" s="7332">
        <v>142.0</v>
      </c>
      <c r="N952" s="7334">
        <v>35.0</v>
      </c>
      <c r="O952" s="7321"/>
      <c r="P952" s="7324"/>
      <c r="Q952" s="7324"/>
      <c r="R952" s="7324"/>
    </row>
    <row r="953" ht="18.75" customHeight="1">
      <c r="A953" s="7316"/>
      <c r="B953" s="7337" t="s">
        <v>3420</v>
      </c>
      <c r="C953" s="7338" t="s">
        <v>3421</v>
      </c>
      <c r="D953" s="7339"/>
      <c r="E953" s="7338" t="s">
        <v>1948</v>
      </c>
      <c r="F953" s="7338" t="str">
        <f t="shared" si="52"/>
        <v/>
      </c>
      <c r="G953" s="7338"/>
      <c r="H953" s="7338" t="str">
        <f t="shared" si="53"/>
        <v/>
      </c>
      <c r="I953" s="7338">
        <v>70.0</v>
      </c>
      <c r="J953" s="7338">
        <v>100.0</v>
      </c>
      <c r="K953" s="7338">
        <v>70.0</v>
      </c>
      <c r="L953" s="7338">
        <v>45.0</v>
      </c>
      <c r="M953" s="7338">
        <v>55.0</v>
      </c>
      <c r="N953" s="7340">
        <v>45.0</v>
      </c>
      <c r="O953" s="7321"/>
      <c r="P953" s="7324"/>
      <c r="Q953" s="7324"/>
      <c r="R953" s="7324"/>
    </row>
    <row r="954" ht="18.75" customHeight="1">
      <c r="A954" s="7316"/>
      <c r="B954" s="7331" t="s">
        <v>3422</v>
      </c>
      <c r="C954" s="7332" t="s">
        <v>3423</v>
      </c>
      <c r="D954" s="7333"/>
      <c r="E954" s="7332" t="s">
        <v>1948</v>
      </c>
      <c r="F954" s="7332" t="str">
        <f t="shared" si="52"/>
        <v/>
      </c>
      <c r="G954" s="7332"/>
      <c r="H954" s="7332" t="str">
        <f t="shared" si="53"/>
        <v/>
      </c>
      <c r="I954" s="7332">
        <v>100.0</v>
      </c>
      <c r="J954" s="7332">
        <v>125.0</v>
      </c>
      <c r="K954" s="7332">
        <v>100.0</v>
      </c>
      <c r="L954" s="7332">
        <v>55.0</v>
      </c>
      <c r="M954" s="7332">
        <v>85.0</v>
      </c>
      <c r="N954" s="7334">
        <v>35.0</v>
      </c>
      <c r="O954" s="7321"/>
      <c r="P954" s="7324"/>
      <c r="Q954" s="7324"/>
      <c r="R954" s="7324"/>
    </row>
    <row r="955" ht="18.75" customHeight="1">
      <c r="A955" s="7316"/>
      <c r="B955" s="7337" t="s">
        <v>3424</v>
      </c>
      <c r="C955" s="7338" t="s">
        <v>3425</v>
      </c>
      <c r="D955" s="7339"/>
      <c r="E955" s="7338" t="s">
        <v>1871</v>
      </c>
      <c r="F955" s="7338" t="str">
        <f t="shared" si="52"/>
        <v/>
      </c>
      <c r="G955" s="7338" t="s">
        <v>1882</v>
      </c>
      <c r="H955" s="7338" t="str">
        <f t="shared" si="53"/>
        <v/>
      </c>
      <c r="I955" s="7338">
        <v>38.0</v>
      </c>
      <c r="J955" s="7338">
        <v>40.0</v>
      </c>
      <c r="K955" s="7338">
        <v>52.0</v>
      </c>
      <c r="L955" s="7338">
        <v>40.0</v>
      </c>
      <c r="M955" s="7338">
        <v>72.0</v>
      </c>
      <c r="N955" s="7340">
        <v>27.0</v>
      </c>
      <c r="O955" s="7321"/>
      <c r="P955" s="7324"/>
      <c r="Q955" s="7324"/>
      <c r="R955" s="7324"/>
    </row>
    <row r="956" ht="18.75" customHeight="1">
      <c r="A956" s="7316"/>
      <c r="B956" s="7331" t="s">
        <v>530</v>
      </c>
      <c r="C956" s="7332" t="s">
        <v>3426</v>
      </c>
      <c r="D956" s="7333"/>
      <c r="E956" s="7332" t="s">
        <v>1871</v>
      </c>
      <c r="F956" s="7332" t="str">
        <f t="shared" si="52"/>
        <v/>
      </c>
      <c r="G956" s="7332" t="s">
        <v>1882</v>
      </c>
      <c r="H956" s="7332" t="str">
        <f t="shared" si="53"/>
        <v/>
      </c>
      <c r="I956" s="7332">
        <v>68.0</v>
      </c>
      <c r="J956" s="7332">
        <v>70.0</v>
      </c>
      <c r="K956" s="7332">
        <v>92.0</v>
      </c>
      <c r="L956" s="7332">
        <v>50.0</v>
      </c>
      <c r="M956" s="7332">
        <v>132.0</v>
      </c>
      <c r="N956" s="7334">
        <v>42.0</v>
      </c>
      <c r="O956" s="7321"/>
      <c r="P956" s="7324"/>
      <c r="Q956" s="7324"/>
      <c r="R956" s="7324"/>
    </row>
    <row r="957" ht="18.75" customHeight="1">
      <c r="A957" s="7316"/>
      <c r="B957" s="7337" t="s">
        <v>3427</v>
      </c>
      <c r="C957" s="7338" t="s">
        <v>3428</v>
      </c>
      <c r="D957" s="7339"/>
      <c r="E957" s="7338" t="s">
        <v>1848</v>
      </c>
      <c r="F957" s="7338" t="str">
        <f t="shared" si="52"/>
        <v/>
      </c>
      <c r="G957" s="7338"/>
      <c r="H957" s="7338" t="str">
        <f t="shared" si="53"/>
        <v/>
      </c>
      <c r="I957" s="7338">
        <v>40.0</v>
      </c>
      <c r="J957" s="7338">
        <v>55.0</v>
      </c>
      <c r="K957" s="7338">
        <v>35.0</v>
      </c>
      <c r="L957" s="7338">
        <v>50.0</v>
      </c>
      <c r="M957" s="7338">
        <v>35.0</v>
      </c>
      <c r="N957" s="7340">
        <v>35.0</v>
      </c>
      <c r="O957" s="7321"/>
      <c r="P957" s="7324"/>
      <c r="Q957" s="7324"/>
      <c r="R957" s="7324"/>
    </row>
    <row r="958" ht="18.75" customHeight="1">
      <c r="A958" s="7316"/>
      <c r="B958" s="7331" t="s">
        <v>3429</v>
      </c>
      <c r="C958" s="7332" t="s">
        <v>3430</v>
      </c>
      <c r="D958" s="7333"/>
      <c r="E958" s="7332" t="s">
        <v>1848</v>
      </c>
      <c r="F958" s="7332" t="str">
        <f t="shared" si="52"/>
        <v/>
      </c>
      <c r="G958" s="7332"/>
      <c r="H958" s="7332" t="str">
        <f t="shared" si="53"/>
        <v/>
      </c>
      <c r="I958" s="7332">
        <v>70.0</v>
      </c>
      <c r="J958" s="7332">
        <v>105.0</v>
      </c>
      <c r="K958" s="7332">
        <v>90.0</v>
      </c>
      <c r="L958" s="7332">
        <v>80.0</v>
      </c>
      <c r="M958" s="7332">
        <v>90.0</v>
      </c>
      <c r="N958" s="7334">
        <v>55.0</v>
      </c>
      <c r="O958" s="7321"/>
      <c r="P958" s="7324"/>
      <c r="Q958" s="7324"/>
      <c r="R958" s="7324"/>
    </row>
    <row r="959" ht="18.75" customHeight="1">
      <c r="A959" s="7316"/>
      <c r="B959" s="7337" t="s">
        <v>3431</v>
      </c>
      <c r="C959" s="7338" t="s">
        <v>3432</v>
      </c>
      <c r="D959" s="7339"/>
      <c r="E959" s="7338" t="s">
        <v>1848</v>
      </c>
      <c r="F959" s="7338" t="str">
        <f t="shared" si="52"/>
        <v/>
      </c>
      <c r="G959" s="7338" t="s">
        <v>1935</v>
      </c>
      <c r="H959" s="7338" t="str">
        <f t="shared" si="53"/>
        <v/>
      </c>
      <c r="I959" s="7338">
        <v>40.0</v>
      </c>
      <c r="J959" s="7338">
        <v>35.0</v>
      </c>
      <c r="K959" s="7338">
        <v>55.0</v>
      </c>
      <c r="L959" s="7338">
        <v>65.0</v>
      </c>
      <c r="M959" s="7338">
        <v>75.0</v>
      </c>
      <c r="N959" s="7340">
        <v>15.0</v>
      </c>
      <c r="O959" s="7321"/>
      <c r="P959" s="7324"/>
      <c r="Q959" s="7324"/>
      <c r="R959" s="7324"/>
    </row>
    <row r="960" ht="18.75" customHeight="1">
      <c r="A960" s="7316"/>
      <c r="B960" s="7331" t="s">
        <v>3433</v>
      </c>
      <c r="C960" s="7332" t="s">
        <v>3434</v>
      </c>
      <c r="D960" s="7333"/>
      <c r="E960" s="7332" t="s">
        <v>1848</v>
      </c>
      <c r="F960" s="7332" t="str">
        <f t="shared" si="52"/>
        <v/>
      </c>
      <c r="G960" s="7332" t="s">
        <v>1935</v>
      </c>
      <c r="H960" s="7332" t="str">
        <f t="shared" si="53"/>
        <v/>
      </c>
      <c r="I960" s="7332">
        <v>75.0</v>
      </c>
      <c r="J960" s="7332">
        <v>45.0</v>
      </c>
      <c r="K960" s="7332">
        <v>80.0</v>
      </c>
      <c r="L960" s="7332">
        <v>90.0</v>
      </c>
      <c r="M960" s="7332">
        <v>100.0</v>
      </c>
      <c r="N960" s="7334">
        <v>30.0</v>
      </c>
      <c r="O960" s="7321"/>
      <c r="P960" s="7324"/>
      <c r="Q960" s="7324"/>
      <c r="R960" s="7324"/>
    </row>
    <row r="961" ht="18.75" customHeight="1">
      <c r="A961" s="7316"/>
      <c r="B961" s="7337" t="s">
        <v>1045</v>
      </c>
      <c r="C961" s="7338" t="s">
        <v>3435</v>
      </c>
      <c r="D961" s="7339"/>
      <c r="E961" s="7338" t="s">
        <v>1849</v>
      </c>
      <c r="F961" s="7338" t="str">
        <f t="shared" si="52"/>
        <v/>
      </c>
      <c r="G961" s="7338" t="s">
        <v>1858</v>
      </c>
      <c r="H961" s="7338" t="str">
        <f t="shared" si="53"/>
        <v/>
      </c>
      <c r="I961" s="7338">
        <v>48.0</v>
      </c>
      <c r="J961" s="7338">
        <v>44.0</v>
      </c>
      <c r="K961" s="7338">
        <v>40.0</v>
      </c>
      <c r="L961" s="7338">
        <v>71.0</v>
      </c>
      <c r="M961" s="7338">
        <v>40.0</v>
      </c>
      <c r="N961" s="7340">
        <v>77.0</v>
      </c>
      <c r="O961" s="7321"/>
      <c r="P961" s="7324"/>
      <c r="Q961" s="7324"/>
      <c r="R961" s="7324"/>
    </row>
    <row r="962" ht="18.75" customHeight="1">
      <c r="A962" s="7316"/>
      <c r="B962" s="7331" t="s">
        <v>3436</v>
      </c>
      <c r="C962" s="7332" t="s">
        <v>3437</v>
      </c>
      <c r="D962" s="7333"/>
      <c r="E962" s="7332" t="s">
        <v>1849</v>
      </c>
      <c r="F962" s="7332" t="str">
        <f t="shared" si="52"/>
        <v/>
      </c>
      <c r="G962" s="7332" t="s">
        <v>1858</v>
      </c>
      <c r="H962" s="7332" t="str">
        <f t="shared" si="53"/>
        <v/>
      </c>
      <c r="I962" s="7332">
        <v>68.0</v>
      </c>
      <c r="J962" s="7332">
        <v>64.0</v>
      </c>
      <c r="K962" s="7332">
        <v>60.0</v>
      </c>
      <c r="L962" s="7332">
        <v>111.0</v>
      </c>
      <c r="M962" s="7332">
        <v>60.0</v>
      </c>
      <c r="N962" s="7334">
        <v>117.0</v>
      </c>
      <c r="O962" s="7321"/>
      <c r="P962" s="7324"/>
      <c r="Q962" s="7324"/>
      <c r="R962" s="7324"/>
    </row>
    <row r="963" ht="18.75" customHeight="1">
      <c r="A963" s="7316"/>
      <c r="B963" s="7337" t="s">
        <v>975</v>
      </c>
      <c r="C963" s="7338" t="s">
        <v>3438</v>
      </c>
      <c r="D963" s="7339"/>
      <c r="E963" s="7338" t="s">
        <v>1901</v>
      </c>
      <c r="F963" s="7338" t="str">
        <f t="shared" si="52"/>
        <v/>
      </c>
      <c r="G963" s="7338" t="s">
        <v>1939</v>
      </c>
      <c r="H963" s="7338" t="str">
        <f t="shared" si="53"/>
        <v/>
      </c>
      <c r="I963" s="7338">
        <v>70.0</v>
      </c>
      <c r="J963" s="7338">
        <v>75.0</v>
      </c>
      <c r="K963" s="7338">
        <v>50.0</v>
      </c>
      <c r="L963" s="7338">
        <v>45.0</v>
      </c>
      <c r="M963" s="7338">
        <v>50.0</v>
      </c>
      <c r="N963" s="7340">
        <v>50.0</v>
      </c>
      <c r="O963" s="7321"/>
      <c r="P963" s="7324"/>
      <c r="Q963" s="7324"/>
      <c r="R963" s="7324"/>
    </row>
    <row r="964" ht="18.75" customHeight="1">
      <c r="A964" s="7316"/>
      <c r="B964" s="7331" t="s">
        <v>1650</v>
      </c>
      <c r="C964" s="7332" t="s">
        <v>3439</v>
      </c>
      <c r="D964" s="7333"/>
      <c r="E964" s="7332" t="s">
        <v>1901</v>
      </c>
      <c r="F964" s="7332" t="str">
        <f t="shared" si="52"/>
        <v/>
      </c>
      <c r="G964" s="7332" t="s">
        <v>1939</v>
      </c>
      <c r="H964" s="7332" t="str">
        <f t="shared" si="53"/>
        <v/>
      </c>
      <c r="I964" s="7332">
        <v>120.0</v>
      </c>
      <c r="J964" s="7332">
        <v>125.0</v>
      </c>
      <c r="K964" s="7332">
        <v>80.0</v>
      </c>
      <c r="L964" s="7332">
        <v>55.0</v>
      </c>
      <c r="M964" s="7332">
        <v>60.0</v>
      </c>
      <c r="N964" s="7334">
        <v>60.0</v>
      </c>
      <c r="O964" s="7321"/>
      <c r="P964" s="7324"/>
      <c r="Q964" s="7324"/>
      <c r="R964" s="7324"/>
    </row>
    <row r="965" ht="18.75" customHeight="1">
      <c r="A965" s="7316"/>
      <c r="B965" s="7337" t="s">
        <v>3440</v>
      </c>
      <c r="C965" s="7338" t="s">
        <v>3441</v>
      </c>
      <c r="D965" s="7339"/>
      <c r="E965" s="7338" t="s">
        <v>1848</v>
      </c>
      <c r="F965" s="7338" t="str">
        <f t="shared" si="52"/>
        <v/>
      </c>
      <c r="G965" s="7338"/>
      <c r="H965" s="7338" t="str">
        <f t="shared" si="53"/>
        <v/>
      </c>
      <c r="I965" s="7338">
        <v>42.0</v>
      </c>
      <c r="J965" s="7338">
        <v>30.0</v>
      </c>
      <c r="K965" s="7338">
        <v>38.0</v>
      </c>
      <c r="L965" s="7338">
        <v>30.0</v>
      </c>
      <c r="M965" s="7338">
        <v>38.0</v>
      </c>
      <c r="N965" s="7340">
        <v>32.0</v>
      </c>
      <c r="O965" s="7321"/>
      <c r="P965" s="7324"/>
      <c r="Q965" s="7324"/>
      <c r="R965" s="7324"/>
    </row>
    <row r="966" ht="18.75" customHeight="1">
      <c r="A966" s="7316"/>
      <c r="B966" s="7331" t="s">
        <v>3442</v>
      </c>
      <c r="C966" s="7332" t="s">
        <v>3443</v>
      </c>
      <c r="D966" s="7333"/>
      <c r="E966" s="7332" t="s">
        <v>1848</v>
      </c>
      <c r="F966" s="7332" t="str">
        <f t="shared" si="52"/>
        <v/>
      </c>
      <c r="G966" s="7332"/>
      <c r="H966" s="7332" t="str">
        <f t="shared" si="53"/>
        <v/>
      </c>
      <c r="I966" s="7332">
        <v>52.0</v>
      </c>
      <c r="J966" s="7332">
        <v>70.0</v>
      </c>
      <c r="K966" s="7332">
        <v>48.0</v>
      </c>
      <c r="L966" s="7332">
        <v>70.0</v>
      </c>
      <c r="M966" s="7332">
        <v>48.0</v>
      </c>
      <c r="N966" s="7334">
        <v>62.0</v>
      </c>
      <c r="O966" s="7321"/>
      <c r="P966" s="7324"/>
      <c r="Q966" s="7324"/>
      <c r="R966" s="7324"/>
    </row>
    <row r="967" ht="18.75" customHeight="1">
      <c r="A967" s="7316"/>
      <c r="B967" s="7337" t="s">
        <v>3444</v>
      </c>
      <c r="C967" s="7338" t="s">
        <v>3445</v>
      </c>
      <c r="D967" s="7339"/>
      <c r="E967" s="7338" t="s">
        <v>1848</v>
      </c>
      <c r="F967" s="7338" t="str">
        <f t="shared" si="52"/>
        <v/>
      </c>
      <c r="G967" s="7338"/>
      <c r="H967" s="7338" t="str">
        <f t="shared" si="53"/>
        <v/>
      </c>
      <c r="I967" s="7338">
        <v>72.0</v>
      </c>
      <c r="J967" s="7338">
        <v>120.0</v>
      </c>
      <c r="K967" s="7338">
        <v>98.0</v>
      </c>
      <c r="L967" s="7338">
        <v>50.0</v>
      </c>
      <c r="M967" s="7338">
        <v>98.0</v>
      </c>
      <c r="N967" s="7340">
        <v>72.0</v>
      </c>
      <c r="O967" s="7321"/>
      <c r="P967" s="7324"/>
      <c r="Q967" s="7324"/>
      <c r="R967" s="7324"/>
    </row>
    <row r="968" ht="18.75" customHeight="1">
      <c r="A968" s="7316"/>
      <c r="B968" s="7331" t="s">
        <v>3446</v>
      </c>
      <c r="C968" s="7332" t="s">
        <v>3447</v>
      </c>
      <c r="D968" s="7333"/>
      <c r="E968" s="7341" t="s">
        <v>1935</v>
      </c>
      <c r="F968" s="7341" t="str">
        <f t="shared" si="52"/>
        <v/>
      </c>
      <c r="G968" s="7341"/>
      <c r="H968" s="7341" t="str">
        <f t="shared" si="53"/>
        <v/>
      </c>
      <c r="I968" s="7332">
        <v>51.0</v>
      </c>
      <c r="J968" s="7332">
        <v>52.0</v>
      </c>
      <c r="K968" s="7332">
        <v>90.0</v>
      </c>
      <c r="L968" s="7332">
        <v>82.0</v>
      </c>
      <c r="M968" s="7332">
        <v>110.0</v>
      </c>
      <c r="N968" s="7334">
        <v>100.0</v>
      </c>
      <c r="O968" s="7321"/>
      <c r="P968" s="7324"/>
      <c r="Q968" s="7324"/>
      <c r="R968" s="7324"/>
    </row>
    <row r="969" ht="18.75" customHeight="1">
      <c r="A969" s="7316"/>
      <c r="B969" s="7337" t="s">
        <v>3448</v>
      </c>
      <c r="C969" s="7338" t="s">
        <v>3449</v>
      </c>
      <c r="D969" s="7339"/>
      <c r="E969" s="7338" t="s">
        <v>1901</v>
      </c>
      <c r="F969" s="7338" t="str">
        <f t="shared" si="52"/>
        <v/>
      </c>
      <c r="G969" s="7338" t="s">
        <v>561</v>
      </c>
      <c r="H969" s="7338" t="str">
        <f t="shared" si="53"/>
        <v/>
      </c>
      <c r="I969" s="7338">
        <v>90.0</v>
      </c>
      <c r="J969" s="7338">
        <v>60.0</v>
      </c>
      <c r="K969" s="7338">
        <v>110.0</v>
      </c>
      <c r="L969" s="7338">
        <v>90.0</v>
      </c>
      <c r="M969" s="7338">
        <v>80.0</v>
      </c>
      <c r="N969" s="7340">
        <v>60.0</v>
      </c>
      <c r="O969" s="7321"/>
      <c r="P969" s="7324"/>
      <c r="Q969" s="7324"/>
      <c r="R969" s="7324"/>
    </row>
    <row r="970" ht="18.75" customHeight="1">
      <c r="A970" s="7316"/>
      <c r="B970" s="7331" t="s">
        <v>3450</v>
      </c>
      <c r="C970" s="7332" t="s">
        <v>3451</v>
      </c>
      <c r="D970" s="7333"/>
      <c r="E970" s="7332" t="s">
        <v>1939</v>
      </c>
      <c r="F970" s="7332" t="str">
        <f t="shared" si="52"/>
        <v/>
      </c>
      <c r="G970" s="7332"/>
      <c r="H970" s="7332" t="str">
        <f t="shared" si="53"/>
        <v/>
      </c>
      <c r="I970" s="7332">
        <v>100.0</v>
      </c>
      <c r="J970" s="7332">
        <v>120.0</v>
      </c>
      <c r="K970" s="7332">
        <v>90.0</v>
      </c>
      <c r="L970" s="7332">
        <v>40.0</v>
      </c>
      <c r="M970" s="7332">
        <v>75.0</v>
      </c>
      <c r="N970" s="7334">
        <v>80.0</v>
      </c>
      <c r="O970" s="7321"/>
      <c r="P970" s="7324"/>
      <c r="Q970" s="7324"/>
      <c r="R970" s="7324"/>
    </row>
    <row r="971" ht="18.75" customHeight="1">
      <c r="A971" s="7316"/>
      <c r="B971" s="7337" t="s">
        <v>3452</v>
      </c>
      <c r="C971" s="7338" t="s">
        <v>3453</v>
      </c>
      <c r="D971" s="7339"/>
      <c r="E971" s="7338" t="s">
        <v>1882</v>
      </c>
      <c r="F971" s="7338" t="str">
        <f t="shared" si="52"/>
        <v/>
      </c>
      <c r="G971" s="7338" t="s">
        <v>1871</v>
      </c>
      <c r="H971" s="7338" t="str">
        <f t="shared" si="53"/>
        <v/>
      </c>
      <c r="I971" s="7338">
        <v>25.0</v>
      </c>
      <c r="J971" s="7338">
        <v>35.0</v>
      </c>
      <c r="K971" s="7338">
        <v>40.0</v>
      </c>
      <c r="L971" s="7338">
        <v>20.0</v>
      </c>
      <c r="M971" s="7338">
        <v>30.0</v>
      </c>
      <c r="N971" s="7340">
        <v>80.0</v>
      </c>
      <c r="O971" s="7321"/>
      <c r="P971" s="7324"/>
      <c r="Q971" s="7324"/>
      <c r="R971" s="7324"/>
    </row>
    <row r="972" ht="18.75" customHeight="1">
      <c r="A972" s="7316"/>
      <c r="B972" s="7331" t="s">
        <v>1625</v>
      </c>
      <c r="C972" s="7332" t="s">
        <v>3454</v>
      </c>
      <c r="D972" s="7333"/>
      <c r="E972" s="7332" t="s">
        <v>1882</v>
      </c>
      <c r="F972" s="7332" t="str">
        <f t="shared" si="52"/>
        <v/>
      </c>
      <c r="G972" s="7332" t="s">
        <v>1871</v>
      </c>
      <c r="H972" s="7332" t="str">
        <f t="shared" si="53"/>
        <v/>
      </c>
      <c r="I972" s="7332">
        <v>75.0</v>
      </c>
      <c r="J972" s="7332">
        <v>125.0</v>
      </c>
      <c r="K972" s="7332">
        <v>140.0</v>
      </c>
      <c r="L972" s="7332">
        <v>60.0</v>
      </c>
      <c r="M972" s="7332">
        <v>90.0</v>
      </c>
      <c r="N972" s="7334">
        <v>40.0</v>
      </c>
      <c r="O972" s="7321"/>
      <c r="P972" s="7324"/>
      <c r="Q972" s="7324"/>
      <c r="R972" s="7324"/>
    </row>
    <row r="973" ht="18.75" customHeight="1">
      <c r="A973" s="7316"/>
      <c r="B973" s="7337" t="s">
        <v>3455</v>
      </c>
      <c r="C973" s="7338" t="s">
        <v>3456</v>
      </c>
      <c r="D973" s="7339"/>
      <c r="E973" s="7338" t="s">
        <v>2097</v>
      </c>
      <c r="F973" s="7338" t="str">
        <f t="shared" si="52"/>
        <v/>
      </c>
      <c r="G973" s="7338" t="s">
        <v>1948</v>
      </c>
      <c r="H973" s="7338" t="str">
        <f t="shared" si="53"/>
        <v/>
      </c>
      <c r="I973" s="7338">
        <v>55.0</v>
      </c>
      <c r="J973" s="7338">
        <v>55.0</v>
      </c>
      <c r="K973" s="7338">
        <v>80.0</v>
      </c>
      <c r="L973" s="7338">
        <v>70.0</v>
      </c>
      <c r="M973" s="7338">
        <v>45.0</v>
      </c>
      <c r="N973" s="7340">
        <v>15.0</v>
      </c>
      <c r="O973" s="7321"/>
      <c r="P973" s="7324"/>
      <c r="Q973" s="7324"/>
      <c r="R973" s="7324"/>
    </row>
    <row r="974" ht="18.75" customHeight="1">
      <c r="A974" s="7316"/>
      <c r="B974" s="7331" t="s">
        <v>1798</v>
      </c>
      <c r="C974" s="7332" t="s">
        <v>3457</v>
      </c>
      <c r="D974" s="7333"/>
      <c r="E974" s="7332" t="s">
        <v>2097</v>
      </c>
      <c r="F974" s="7332" t="str">
        <f t="shared" si="52"/>
        <v/>
      </c>
      <c r="G974" s="7332" t="s">
        <v>1948</v>
      </c>
      <c r="H974" s="7332" t="str">
        <f t="shared" si="53"/>
        <v/>
      </c>
      <c r="I974" s="7332">
        <v>85.0</v>
      </c>
      <c r="J974" s="7332">
        <v>75.0</v>
      </c>
      <c r="K974" s="7332">
        <v>110.0</v>
      </c>
      <c r="L974" s="7332">
        <v>100.0</v>
      </c>
      <c r="M974" s="7332">
        <v>75.0</v>
      </c>
      <c r="N974" s="7334">
        <v>35.0</v>
      </c>
      <c r="O974" s="7321"/>
      <c r="P974" s="7324"/>
      <c r="Q974" s="7324"/>
      <c r="R974" s="7324"/>
    </row>
    <row r="975" ht="18.75" customHeight="1">
      <c r="A975" s="7316"/>
      <c r="B975" s="7337" t="s">
        <v>3458</v>
      </c>
      <c r="C975" s="7338" t="s">
        <v>3459</v>
      </c>
      <c r="D975" s="7339"/>
      <c r="E975" s="7338" t="s">
        <v>1871</v>
      </c>
      <c r="F975" s="7338" t="str">
        <f t="shared" si="52"/>
        <v/>
      </c>
      <c r="G975" s="7338"/>
      <c r="H975" s="7338" t="str">
        <f t="shared" si="53"/>
        <v/>
      </c>
      <c r="I975" s="7338">
        <v>55.0</v>
      </c>
      <c r="J975" s="7338">
        <v>60.0</v>
      </c>
      <c r="K975" s="7338">
        <v>130.0</v>
      </c>
      <c r="L975" s="7338">
        <v>30.0</v>
      </c>
      <c r="M975" s="7338">
        <v>130.0</v>
      </c>
      <c r="N975" s="7340">
        <v>5.0</v>
      </c>
      <c r="O975" s="7321"/>
      <c r="P975" s="7324"/>
      <c r="Q975" s="7324"/>
      <c r="R975" s="7324"/>
    </row>
    <row r="976" ht="18.75" customHeight="1">
      <c r="A976" s="7316"/>
      <c r="B976" s="7331" t="s">
        <v>3460</v>
      </c>
      <c r="C976" s="7341" t="s">
        <v>3461</v>
      </c>
      <c r="D976" s="7333"/>
      <c r="E976" s="7332" t="s">
        <v>1901</v>
      </c>
      <c r="F976" s="7332" t="str">
        <f t="shared" si="52"/>
        <v/>
      </c>
      <c r="G976" s="7332"/>
      <c r="H976" s="7332" t="str">
        <f t="shared" si="53"/>
        <v/>
      </c>
      <c r="I976" s="7332">
        <v>95.0</v>
      </c>
      <c r="J976" s="7332">
        <v>95.0</v>
      </c>
      <c r="K976" s="7332">
        <v>95.0</v>
      </c>
      <c r="L976" s="7332">
        <v>95.0</v>
      </c>
      <c r="M976" s="7332">
        <v>95.0</v>
      </c>
      <c r="N976" s="7334">
        <v>59.0</v>
      </c>
      <c r="O976" s="7321"/>
      <c r="P976" s="7324"/>
      <c r="Q976" s="7324"/>
      <c r="R976" s="7324"/>
    </row>
    <row r="977" ht="18.75" customHeight="1">
      <c r="A977" s="7316"/>
      <c r="B977" s="7337" t="s">
        <v>3462</v>
      </c>
      <c r="C977" s="7338" t="s">
        <v>3463</v>
      </c>
      <c r="D977" s="7339"/>
      <c r="E977" s="7338" t="s">
        <v>1901</v>
      </c>
      <c r="F977" s="7338" t="str">
        <f t="shared" si="52"/>
        <v/>
      </c>
      <c r="G977" s="7338"/>
      <c r="H977" s="7338" t="str">
        <f t="shared" si="53"/>
        <v/>
      </c>
      <c r="I977" s="7338">
        <v>100.0</v>
      </c>
      <c r="J977" s="7338">
        <v>100.0</v>
      </c>
      <c r="K977" s="7338">
        <v>100.0</v>
      </c>
      <c r="L977" s="7338">
        <v>100.0</v>
      </c>
      <c r="M977" s="7338">
        <v>100.0</v>
      </c>
      <c r="N977" s="7340">
        <v>100.0</v>
      </c>
      <c r="O977" s="7321"/>
      <c r="P977" s="7324"/>
      <c r="Q977" s="7324"/>
      <c r="R977" s="7324"/>
    </row>
    <row r="978" ht="18.75" customHeight="1">
      <c r="A978" s="7316"/>
      <c r="B978" s="7331" t="s">
        <v>3464</v>
      </c>
      <c r="C978" s="7341" t="s">
        <v>3465</v>
      </c>
      <c r="D978" s="7333"/>
      <c r="E978" s="7332" t="s">
        <v>1882</v>
      </c>
      <c r="F978" s="7332" t="str">
        <f t="shared" si="52"/>
        <v/>
      </c>
      <c r="G978" s="7332"/>
      <c r="H978" s="7332" t="str">
        <f t="shared" si="53"/>
        <v/>
      </c>
      <c r="I978" s="7332">
        <v>100.0</v>
      </c>
      <c r="J978" s="7332">
        <v>100.0</v>
      </c>
      <c r="K978" s="7332">
        <v>100.0</v>
      </c>
      <c r="L978" s="7332">
        <v>100.0</v>
      </c>
      <c r="M978" s="7332">
        <v>100.0</v>
      </c>
      <c r="N978" s="7334">
        <v>100.0</v>
      </c>
      <c r="O978" s="7321"/>
      <c r="P978" s="7324"/>
      <c r="Q978" s="7324"/>
      <c r="R978" s="7324"/>
    </row>
    <row r="979" ht="18.75" customHeight="1">
      <c r="A979" s="7316"/>
      <c r="B979" s="7337" t="s">
        <v>3466</v>
      </c>
      <c r="C979" s="7342" t="s">
        <v>3467</v>
      </c>
      <c r="D979" s="7339"/>
      <c r="E979" s="7338" t="s">
        <v>1911</v>
      </c>
      <c r="F979" s="7338" t="str">
        <f t="shared" ref="F979:F996" si="54">IFERROR(VLOOKUP(E979,P$3:Q997,2,False),"")</f>
        <v/>
      </c>
      <c r="G979" s="7338"/>
      <c r="H979" s="7338" t="str">
        <f t="shared" ref="H979:H996" si="55">IFERROR(VLOOKUP(G979,P$3:Q997,2,False),"")</f>
        <v/>
      </c>
      <c r="I979" s="7338">
        <v>100.0</v>
      </c>
      <c r="J979" s="7338">
        <v>100.0</v>
      </c>
      <c r="K979" s="7338">
        <v>100.0</v>
      </c>
      <c r="L979" s="7338">
        <v>100.0</v>
      </c>
      <c r="M979" s="7338">
        <v>100.0</v>
      </c>
      <c r="N979" s="7340">
        <v>100.0</v>
      </c>
      <c r="O979" s="7321"/>
      <c r="P979" s="7324"/>
      <c r="Q979" s="7324"/>
      <c r="R979" s="7324"/>
    </row>
    <row r="980" ht="18.75" customHeight="1">
      <c r="A980" s="7316"/>
      <c r="B980" s="7331" t="s">
        <v>3468</v>
      </c>
      <c r="C980" s="7341" t="s">
        <v>3469</v>
      </c>
      <c r="D980" s="7333"/>
      <c r="E980" s="7332" t="s">
        <v>1866</v>
      </c>
      <c r="F980" s="7332" t="str">
        <f t="shared" si="54"/>
        <v/>
      </c>
      <c r="G980" s="7332"/>
      <c r="H980" s="7332" t="str">
        <f t="shared" si="55"/>
        <v/>
      </c>
      <c r="I980" s="7332">
        <v>100.0</v>
      </c>
      <c r="J980" s="7332">
        <v>100.0</v>
      </c>
      <c r="K980" s="7332">
        <v>100.0</v>
      </c>
      <c r="L980" s="7332">
        <v>100.0</v>
      </c>
      <c r="M980" s="7332">
        <v>100.0</v>
      </c>
      <c r="N980" s="7334">
        <v>100.0</v>
      </c>
      <c r="O980" s="7321"/>
      <c r="P980" s="7324"/>
      <c r="Q980" s="7324"/>
      <c r="R980" s="7324"/>
    </row>
    <row r="981" ht="18.75" customHeight="1">
      <c r="A981" s="7316"/>
      <c r="B981" s="7337" t="s">
        <v>3470</v>
      </c>
      <c r="C981" s="7342" t="s">
        <v>3471</v>
      </c>
      <c r="D981" s="7339"/>
      <c r="E981" s="7338" t="s">
        <v>1926</v>
      </c>
      <c r="F981" s="7338" t="str">
        <f t="shared" si="54"/>
        <v/>
      </c>
      <c r="G981" s="7338"/>
      <c r="H981" s="7338" t="str">
        <f t="shared" si="55"/>
        <v/>
      </c>
      <c r="I981" s="7338">
        <v>100.0</v>
      </c>
      <c r="J981" s="7338">
        <v>100.0</v>
      </c>
      <c r="K981" s="7338">
        <v>100.0</v>
      </c>
      <c r="L981" s="7338">
        <v>100.0</v>
      </c>
      <c r="M981" s="7338">
        <v>100.0</v>
      </c>
      <c r="N981" s="7340">
        <v>100.0</v>
      </c>
      <c r="O981" s="7321"/>
      <c r="P981" s="7324"/>
      <c r="Q981" s="7324"/>
      <c r="R981" s="7324"/>
    </row>
    <row r="982" ht="18.75" customHeight="1">
      <c r="A982" s="7316"/>
      <c r="B982" s="7331" t="s">
        <v>1611</v>
      </c>
      <c r="C982" s="7341" t="s">
        <v>3472</v>
      </c>
      <c r="D982" s="7333"/>
      <c r="E982" s="7332" t="s">
        <v>1935</v>
      </c>
      <c r="F982" s="7332" t="str">
        <f t="shared" si="54"/>
        <v/>
      </c>
      <c r="G982" s="7332"/>
      <c r="H982" s="7332" t="str">
        <f t="shared" si="55"/>
        <v/>
      </c>
      <c r="I982" s="7332">
        <v>100.0</v>
      </c>
      <c r="J982" s="7332">
        <v>100.0</v>
      </c>
      <c r="K982" s="7332">
        <v>100.0</v>
      </c>
      <c r="L982" s="7332">
        <v>100.0</v>
      </c>
      <c r="M982" s="7332">
        <v>100.0</v>
      </c>
      <c r="N982" s="7334">
        <v>100.0</v>
      </c>
      <c r="O982" s="7321"/>
      <c r="P982" s="7324"/>
      <c r="Q982" s="7324"/>
      <c r="R982" s="7324"/>
    </row>
    <row r="983" ht="18.75" customHeight="1">
      <c r="A983" s="7316"/>
      <c r="B983" s="7337" t="s">
        <v>3473</v>
      </c>
      <c r="C983" s="7342" t="s">
        <v>3474</v>
      </c>
      <c r="D983" s="7339"/>
      <c r="E983" s="7338" t="s">
        <v>1939</v>
      </c>
      <c r="F983" s="7338" t="str">
        <f t="shared" si="54"/>
        <v/>
      </c>
      <c r="G983" s="7338"/>
      <c r="H983" s="7338" t="str">
        <f t="shared" si="55"/>
        <v/>
      </c>
      <c r="I983" s="7338">
        <v>100.0</v>
      </c>
      <c r="J983" s="7338">
        <v>100.0</v>
      </c>
      <c r="K983" s="7338">
        <v>100.0</v>
      </c>
      <c r="L983" s="7338">
        <v>100.0</v>
      </c>
      <c r="M983" s="7338">
        <v>100.0</v>
      </c>
      <c r="N983" s="7340">
        <v>100.0</v>
      </c>
      <c r="O983" s="7321"/>
      <c r="P983" s="7324"/>
      <c r="Q983" s="7324"/>
      <c r="R983" s="7324"/>
    </row>
    <row r="984" ht="18.75" customHeight="1">
      <c r="A984" s="7316"/>
      <c r="B984" s="7331" t="s">
        <v>3475</v>
      </c>
      <c r="C984" s="7341" t="s">
        <v>3476</v>
      </c>
      <c r="D984" s="7333"/>
      <c r="E984" s="7332" t="s">
        <v>1858</v>
      </c>
      <c r="F984" s="7332" t="str">
        <f t="shared" si="54"/>
        <v/>
      </c>
      <c r="G984" s="7332"/>
      <c r="H984" s="7332" t="str">
        <f t="shared" si="55"/>
        <v/>
      </c>
      <c r="I984" s="7332">
        <v>100.0</v>
      </c>
      <c r="J984" s="7332">
        <v>100.0</v>
      </c>
      <c r="K984" s="7332">
        <v>100.0</v>
      </c>
      <c r="L984" s="7332">
        <v>100.0</v>
      </c>
      <c r="M984" s="7332">
        <v>100.0</v>
      </c>
      <c r="N984" s="7334">
        <v>100.0</v>
      </c>
      <c r="O984" s="7321"/>
      <c r="P984" s="7324"/>
      <c r="Q984" s="7324"/>
      <c r="R984" s="7324"/>
    </row>
    <row r="985" ht="18.75" customHeight="1">
      <c r="A985" s="7316"/>
      <c r="B985" s="7337" t="s">
        <v>3477</v>
      </c>
      <c r="C985" s="7342" t="s">
        <v>3478</v>
      </c>
      <c r="D985" s="7339"/>
      <c r="E985" s="7338" t="s">
        <v>1863</v>
      </c>
      <c r="F985" s="7338" t="str">
        <f t="shared" si="54"/>
        <v/>
      </c>
      <c r="G985" s="7338"/>
      <c r="H985" s="7338" t="str">
        <f t="shared" si="55"/>
        <v/>
      </c>
      <c r="I985" s="7338">
        <v>100.0</v>
      </c>
      <c r="J985" s="7338">
        <v>100.0</v>
      </c>
      <c r="K985" s="7338">
        <v>100.0</v>
      </c>
      <c r="L985" s="7338">
        <v>100.0</v>
      </c>
      <c r="M985" s="7338">
        <v>100.0</v>
      </c>
      <c r="N985" s="7340">
        <v>100.0</v>
      </c>
      <c r="O985" s="7321"/>
      <c r="P985" s="7324"/>
      <c r="Q985" s="7324"/>
      <c r="R985" s="7324"/>
    </row>
    <row r="986" ht="18.75" customHeight="1">
      <c r="A986" s="7316"/>
      <c r="B986" s="7331" t="s">
        <v>3479</v>
      </c>
      <c r="C986" s="7341" t="s">
        <v>3480</v>
      </c>
      <c r="D986" s="7333"/>
      <c r="E986" s="7332" t="s">
        <v>2097</v>
      </c>
      <c r="F986" s="7332" t="str">
        <f t="shared" si="54"/>
        <v/>
      </c>
      <c r="G986" s="7332"/>
      <c r="H986" s="7332" t="str">
        <f t="shared" si="55"/>
        <v/>
      </c>
      <c r="I986" s="7332">
        <v>100.0</v>
      </c>
      <c r="J986" s="7332">
        <v>100.0</v>
      </c>
      <c r="K986" s="7332">
        <v>100.0</v>
      </c>
      <c r="L986" s="7332">
        <v>100.0</v>
      </c>
      <c r="M986" s="7332">
        <v>100.0</v>
      </c>
      <c r="N986" s="7334">
        <v>100.0</v>
      </c>
      <c r="O986" s="7321"/>
      <c r="P986" s="7324"/>
      <c r="Q986" s="7324"/>
      <c r="R986" s="7324"/>
    </row>
    <row r="987" ht="18.75" customHeight="1">
      <c r="A987" s="7316"/>
      <c r="B987" s="7337" t="s">
        <v>3481</v>
      </c>
      <c r="C987" s="7342" t="s">
        <v>3482</v>
      </c>
      <c r="D987" s="7339"/>
      <c r="E987" s="7338" t="s">
        <v>1848</v>
      </c>
      <c r="F987" s="7338" t="str">
        <f t="shared" si="54"/>
        <v/>
      </c>
      <c r="G987" s="7338"/>
      <c r="H987" s="7338" t="str">
        <f t="shared" si="55"/>
        <v/>
      </c>
      <c r="I987" s="7338">
        <v>100.0</v>
      </c>
      <c r="J987" s="7338">
        <v>100.0</v>
      </c>
      <c r="K987" s="7338">
        <v>100.0</v>
      </c>
      <c r="L987" s="7338">
        <v>100.0</v>
      </c>
      <c r="M987" s="7338">
        <v>100.0</v>
      </c>
      <c r="N987" s="7340">
        <v>100.0</v>
      </c>
      <c r="O987" s="7321"/>
      <c r="P987" s="7324"/>
      <c r="Q987" s="7324"/>
      <c r="R987" s="7324"/>
    </row>
    <row r="988" ht="18.75" customHeight="1">
      <c r="A988" s="7316"/>
      <c r="B988" s="7331" t="s">
        <v>3483</v>
      </c>
      <c r="C988" s="7341" t="s">
        <v>3484</v>
      </c>
      <c r="D988" s="7333"/>
      <c r="E988" s="7332" t="s">
        <v>1948</v>
      </c>
      <c r="F988" s="7332" t="str">
        <f t="shared" si="54"/>
        <v/>
      </c>
      <c r="G988" s="7332"/>
      <c r="H988" s="7332" t="str">
        <f t="shared" si="55"/>
        <v/>
      </c>
      <c r="I988" s="7332">
        <v>100.0</v>
      </c>
      <c r="J988" s="7332">
        <v>100.0</v>
      </c>
      <c r="K988" s="7332">
        <v>100.0</v>
      </c>
      <c r="L988" s="7332">
        <v>100.0</v>
      </c>
      <c r="M988" s="7332">
        <v>100.0</v>
      </c>
      <c r="N988" s="7334">
        <v>100.0</v>
      </c>
      <c r="O988" s="7321"/>
      <c r="P988" s="7324"/>
      <c r="Q988" s="7324"/>
      <c r="R988" s="7324"/>
    </row>
    <row r="989" ht="18.75" customHeight="1">
      <c r="A989" s="7316"/>
      <c r="B989" s="7337" t="s">
        <v>3485</v>
      </c>
      <c r="C989" s="7342" t="s">
        <v>3486</v>
      </c>
      <c r="D989" s="7339"/>
      <c r="E989" s="7338" t="s">
        <v>1932</v>
      </c>
      <c r="F989" s="7338" t="str">
        <f t="shared" si="54"/>
        <v/>
      </c>
      <c r="G989" s="7338"/>
      <c r="H989" s="7338" t="str">
        <f t="shared" si="55"/>
        <v/>
      </c>
      <c r="I989" s="7338">
        <v>100.0</v>
      </c>
      <c r="J989" s="7338">
        <v>100.0</v>
      </c>
      <c r="K989" s="7338">
        <v>100.0</v>
      </c>
      <c r="L989" s="7338">
        <v>100.0</v>
      </c>
      <c r="M989" s="7338">
        <v>100.0</v>
      </c>
      <c r="N989" s="7340">
        <v>100.0</v>
      </c>
      <c r="O989" s="7321"/>
      <c r="P989" s="7324"/>
      <c r="Q989" s="7324"/>
      <c r="R989" s="7324"/>
    </row>
    <row r="990" ht="18.75" customHeight="1">
      <c r="A990" s="7316"/>
      <c r="B990" s="7331" t="s">
        <v>3487</v>
      </c>
      <c r="C990" s="7341" t="s">
        <v>3488</v>
      </c>
      <c r="D990" s="7333"/>
      <c r="E990" s="7332" t="s">
        <v>1849</v>
      </c>
      <c r="F990" s="7332" t="str">
        <f t="shared" si="54"/>
        <v/>
      </c>
      <c r="G990" s="7332"/>
      <c r="H990" s="7332" t="str">
        <f t="shared" si="55"/>
        <v/>
      </c>
      <c r="I990" s="7332">
        <v>100.0</v>
      </c>
      <c r="J990" s="7332">
        <v>100.0</v>
      </c>
      <c r="K990" s="7332">
        <v>100.0</v>
      </c>
      <c r="L990" s="7332">
        <v>100.0</v>
      </c>
      <c r="M990" s="7332">
        <v>100.0</v>
      </c>
      <c r="N990" s="7334">
        <v>100.0</v>
      </c>
      <c r="O990" s="7321"/>
      <c r="P990" s="7324"/>
      <c r="Q990" s="7324"/>
      <c r="R990" s="7324"/>
    </row>
    <row r="991" ht="18.75" customHeight="1">
      <c r="A991" s="7316"/>
      <c r="B991" s="7337" t="s">
        <v>3489</v>
      </c>
      <c r="C991" s="7342" t="s">
        <v>3490</v>
      </c>
      <c r="D991" s="7339"/>
      <c r="E991" s="7338" t="s">
        <v>561</v>
      </c>
      <c r="F991" s="7338" t="str">
        <f t="shared" si="54"/>
        <v/>
      </c>
      <c r="G991" s="7338"/>
      <c r="H991" s="7338" t="str">
        <f t="shared" si="55"/>
        <v/>
      </c>
      <c r="I991" s="7338">
        <v>100.0</v>
      </c>
      <c r="J991" s="7338">
        <v>100.0</v>
      </c>
      <c r="K991" s="7338">
        <v>100.0</v>
      </c>
      <c r="L991" s="7338">
        <v>100.0</v>
      </c>
      <c r="M991" s="7338">
        <v>100.0</v>
      </c>
      <c r="N991" s="7340">
        <v>100.0</v>
      </c>
      <c r="O991" s="7321"/>
      <c r="P991" s="7324"/>
      <c r="Q991" s="7324"/>
      <c r="R991" s="7324"/>
    </row>
    <row r="992" ht="18.75" customHeight="1">
      <c r="A992" s="7316"/>
      <c r="B992" s="7331" t="s">
        <v>3491</v>
      </c>
      <c r="C992" s="7341" t="s">
        <v>3492</v>
      </c>
      <c r="D992" s="7333"/>
      <c r="E992" s="7332" t="s">
        <v>2014</v>
      </c>
      <c r="F992" s="7332" t="str">
        <f t="shared" si="54"/>
        <v/>
      </c>
      <c r="G992" s="7332"/>
      <c r="H992" s="7332" t="str">
        <f t="shared" si="55"/>
        <v/>
      </c>
      <c r="I992" s="7332">
        <v>100.0</v>
      </c>
      <c r="J992" s="7332">
        <v>100.0</v>
      </c>
      <c r="K992" s="7332">
        <v>100.0</v>
      </c>
      <c r="L992" s="7332">
        <v>100.0</v>
      </c>
      <c r="M992" s="7332">
        <v>100.0</v>
      </c>
      <c r="N992" s="7334">
        <v>100.0</v>
      </c>
      <c r="O992" s="7321"/>
      <c r="P992" s="7324"/>
      <c r="Q992" s="7324"/>
      <c r="R992" s="7324"/>
    </row>
    <row r="993" ht="18.75" customHeight="1">
      <c r="A993" s="7316"/>
      <c r="B993" s="7337" t="s">
        <v>3493</v>
      </c>
      <c r="C993" s="7342" t="s">
        <v>3494</v>
      </c>
      <c r="D993" s="7339"/>
      <c r="E993" s="7338" t="s">
        <v>1929</v>
      </c>
      <c r="F993" s="7338" t="str">
        <f t="shared" si="54"/>
        <v/>
      </c>
      <c r="G993" s="7338"/>
      <c r="H993" s="7338" t="str">
        <f t="shared" si="55"/>
        <v/>
      </c>
      <c r="I993" s="7338">
        <v>100.0</v>
      </c>
      <c r="J993" s="7338">
        <v>100.0</v>
      </c>
      <c r="K993" s="7338">
        <v>100.0</v>
      </c>
      <c r="L993" s="7338">
        <v>100.0</v>
      </c>
      <c r="M993" s="7338">
        <v>100.0</v>
      </c>
      <c r="N993" s="7340">
        <v>100.0</v>
      </c>
      <c r="O993" s="7321"/>
      <c r="P993" s="7324"/>
      <c r="Q993" s="7324"/>
      <c r="R993" s="7324"/>
    </row>
    <row r="994" ht="18.75" customHeight="1">
      <c r="A994" s="7316"/>
      <c r="B994" s="7331" t="s">
        <v>3495</v>
      </c>
      <c r="C994" s="7341" t="s">
        <v>3496</v>
      </c>
      <c r="D994" s="7333"/>
      <c r="E994" s="7332" t="s">
        <v>1871</v>
      </c>
      <c r="F994" s="7332" t="str">
        <f t="shared" si="54"/>
        <v/>
      </c>
      <c r="G994" s="7332"/>
      <c r="H994" s="7332" t="str">
        <f t="shared" si="55"/>
        <v/>
      </c>
      <c r="I994" s="7332">
        <v>100.0</v>
      </c>
      <c r="J994" s="7332">
        <v>100.0</v>
      </c>
      <c r="K994" s="7332">
        <v>100.0</v>
      </c>
      <c r="L994" s="7332">
        <v>100.0</v>
      </c>
      <c r="M994" s="7332">
        <v>100.0</v>
      </c>
      <c r="N994" s="7334">
        <v>100.0</v>
      </c>
      <c r="O994" s="7321"/>
      <c r="P994" s="7324"/>
      <c r="Q994" s="7324"/>
      <c r="R994" s="7324"/>
    </row>
    <row r="995" ht="18.75" customHeight="1">
      <c r="A995" s="7316"/>
      <c r="B995" s="7337" t="s">
        <v>3497</v>
      </c>
      <c r="C995" s="7342" t="s">
        <v>3498</v>
      </c>
      <c r="D995" s="7339"/>
      <c r="E995" s="7338" t="s">
        <v>2014</v>
      </c>
      <c r="F995" s="7338" t="str">
        <f t="shared" si="54"/>
        <v/>
      </c>
      <c r="G995" s="7338" t="s">
        <v>1863</v>
      </c>
      <c r="H995" s="7338" t="str">
        <f t="shared" si="55"/>
        <v/>
      </c>
      <c r="I995" s="7338">
        <v>60.0</v>
      </c>
      <c r="J995" s="7338">
        <v>100.0</v>
      </c>
      <c r="K995" s="7338">
        <v>60.0</v>
      </c>
      <c r="L995" s="7338">
        <v>100.0</v>
      </c>
      <c r="M995" s="7338">
        <v>60.0</v>
      </c>
      <c r="N995" s="7340">
        <v>120.0</v>
      </c>
      <c r="O995" s="7321"/>
      <c r="P995" s="7324"/>
      <c r="Q995" s="7324"/>
      <c r="R995" s="7324"/>
    </row>
    <row r="996" ht="18.75" customHeight="1">
      <c r="A996" s="7316"/>
      <c r="B996" s="7331" t="s">
        <v>3499</v>
      </c>
      <c r="C996" s="7341" t="s">
        <v>3500</v>
      </c>
      <c r="D996" s="7333"/>
      <c r="E996" s="7332" t="s">
        <v>2014</v>
      </c>
      <c r="F996" s="7332" t="str">
        <f t="shared" si="54"/>
        <v/>
      </c>
      <c r="G996" s="7332" t="s">
        <v>1863</v>
      </c>
      <c r="H996" s="7332" t="str">
        <f t="shared" si="55"/>
        <v/>
      </c>
      <c r="I996" s="7332">
        <v>60.0</v>
      </c>
      <c r="J996" s="7332">
        <v>60.0</v>
      </c>
      <c r="K996" s="7332">
        <v>100.0</v>
      </c>
      <c r="L996" s="7332">
        <v>60.0</v>
      </c>
      <c r="M996" s="7332">
        <v>100.0</v>
      </c>
      <c r="N996" s="7334">
        <v>60.0</v>
      </c>
      <c r="O996" s="7321"/>
      <c r="P996" s="7324"/>
      <c r="Q996" s="7324"/>
      <c r="R996" s="7324"/>
    </row>
    <row r="997" ht="18.75" customHeight="1">
      <c r="A997" s="7316"/>
      <c r="B997" s="7337" t="s">
        <v>830</v>
      </c>
      <c r="C997" s="7338" t="s">
        <v>3501</v>
      </c>
      <c r="D997" s="7339"/>
      <c r="E997" s="7338" t="s">
        <v>1901</v>
      </c>
      <c r="F997" s="7338" t="str">
        <f t="shared" ref="F997:F1009" si="56">IFERROR(VLOOKUP(E997,P$3:Q1014,2,False),"")</f>
        <v/>
      </c>
      <c r="G997" s="7338"/>
      <c r="H997" s="7338" t="str">
        <f t="shared" ref="H997:H1009" si="57">IFERROR(VLOOKUP(G997,P$3:Q1014,2,False),"")</f>
        <v/>
      </c>
      <c r="I997" s="7338">
        <v>75.0</v>
      </c>
      <c r="J997" s="7338">
        <v>115.0</v>
      </c>
      <c r="K997" s="7338">
        <v>65.0</v>
      </c>
      <c r="L997" s="7338">
        <v>75.0</v>
      </c>
      <c r="M997" s="7338">
        <v>95.0</v>
      </c>
      <c r="N997" s="7340">
        <v>65.0</v>
      </c>
      <c r="O997" s="7321"/>
      <c r="P997" s="7324"/>
      <c r="Q997" s="7324"/>
      <c r="R997" s="7324"/>
    </row>
    <row r="998" ht="18.75" customHeight="1">
      <c r="A998" s="7316"/>
      <c r="B998" s="7331" t="s">
        <v>3502</v>
      </c>
      <c r="C998" s="7332" t="s">
        <v>3503</v>
      </c>
      <c r="D998" s="7333"/>
      <c r="E998" s="7332" t="s">
        <v>1858</v>
      </c>
      <c r="F998" s="7332" t="str">
        <f t="shared" si="56"/>
        <v/>
      </c>
      <c r="G998" s="7332" t="s">
        <v>1866</v>
      </c>
      <c r="H998" s="7332" t="str">
        <f t="shared" si="57"/>
        <v/>
      </c>
      <c r="I998" s="7332">
        <v>70.0</v>
      </c>
      <c r="J998" s="7332">
        <v>58.0</v>
      </c>
      <c r="K998" s="7332">
        <v>135.0</v>
      </c>
      <c r="L998" s="7332">
        <v>91.0</v>
      </c>
      <c r="M998" s="7332">
        <v>85.0</v>
      </c>
      <c r="N998" s="7334">
        <v>36.0</v>
      </c>
      <c r="O998" s="7321"/>
      <c r="P998" s="7324"/>
      <c r="Q998" s="7324"/>
      <c r="R998" s="7324"/>
    </row>
    <row r="999" ht="18.75" customHeight="1">
      <c r="A999" s="7316"/>
      <c r="B999" s="7337" t="s">
        <v>829</v>
      </c>
      <c r="C999" s="7338" t="s">
        <v>3504</v>
      </c>
      <c r="D999" s="7339"/>
      <c r="E999" s="7338" t="s">
        <v>1926</v>
      </c>
      <c r="F999" s="7338" t="str">
        <f t="shared" si="56"/>
        <v/>
      </c>
      <c r="G999" s="7338" t="s">
        <v>1929</v>
      </c>
      <c r="H999" s="7338" t="str">
        <f t="shared" si="57"/>
        <v/>
      </c>
      <c r="I999" s="7338">
        <v>65.0</v>
      </c>
      <c r="J999" s="7338">
        <v>108.0</v>
      </c>
      <c r="K999" s="7338">
        <v>63.0</v>
      </c>
      <c r="L999" s="7338">
        <v>40.0</v>
      </c>
      <c r="M999" s="7338">
        <v>73.0</v>
      </c>
      <c r="N999" s="7340">
        <v>96.0</v>
      </c>
      <c r="O999" s="7321"/>
      <c r="P999" s="7324"/>
      <c r="Q999" s="7324"/>
      <c r="R999" s="7324"/>
    </row>
    <row r="1000" ht="18.75" customHeight="1">
      <c r="A1000" s="7316"/>
      <c r="B1000" s="7331" t="s">
        <v>568</v>
      </c>
      <c r="C1000" s="7332" t="s">
        <v>3505</v>
      </c>
      <c r="D1000" s="7333"/>
      <c r="E1000" s="7332" t="s">
        <v>2097</v>
      </c>
      <c r="F1000" s="7332" t="str">
        <f t="shared" si="56"/>
        <v/>
      </c>
      <c r="G1000" s="7332" t="s">
        <v>1935</v>
      </c>
      <c r="H1000" s="7332" t="str">
        <f t="shared" si="57"/>
        <v/>
      </c>
      <c r="I1000" s="7332">
        <v>55.0</v>
      </c>
      <c r="J1000" s="7332">
        <v>90.0</v>
      </c>
      <c r="K1000" s="7332">
        <v>80.0</v>
      </c>
      <c r="L1000" s="7332">
        <v>50.0</v>
      </c>
      <c r="M1000" s="7332">
        <v>105.0</v>
      </c>
      <c r="N1000" s="7334">
        <v>96.0</v>
      </c>
      <c r="O1000" s="7321"/>
      <c r="P1000" s="7324"/>
      <c r="Q1000" s="7324"/>
      <c r="R1000" s="7324"/>
    </row>
    <row r="1001" ht="18.75" customHeight="1">
      <c r="A1001" s="7316"/>
      <c r="B1001" s="7337" t="s">
        <v>3506</v>
      </c>
      <c r="C1001" s="7338" t="s">
        <v>3507</v>
      </c>
      <c r="D1001" s="7339"/>
      <c r="E1001" s="7338" t="s">
        <v>1871</v>
      </c>
      <c r="F1001" s="7338" t="str">
        <f t="shared" si="56"/>
        <v/>
      </c>
      <c r="G1001" s="7338" t="s">
        <v>561</v>
      </c>
      <c r="H1001" s="7338" t="str">
        <f t="shared" si="57"/>
        <v/>
      </c>
      <c r="I1001" s="7338">
        <v>68.0</v>
      </c>
      <c r="J1001" s="7338">
        <v>105.0</v>
      </c>
      <c r="K1001" s="7338">
        <v>70.0</v>
      </c>
      <c r="L1001" s="7338">
        <v>70.0</v>
      </c>
      <c r="M1001" s="7338">
        <v>70.0</v>
      </c>
      <c r="N1001" s="7340">
        <v>92.0</v>
      </c>
      <c r="O1001" s="7321"/>
      <c r="P1001" s="7324"/>
      <c r="Q1001" s="7324"/>
      <c r="R1001" s="7324"/>
    </row>
    <row r="1002" ht="18.75" customHeight="1">
      <c r="A1002" s="7316"/>
      <c r="B1002" s="7331" t="s">
        <v>547</v>
      </c>
      <c r="C1002" s="7332" t="s">
        <v>3508</v>
      </c>
      <c r="D1002" s="7333"/>
      <c r="E1002" s="7332" t="s">
        <v>1901</v>
      </c>
      <c r="F1002" s="7332" t="str">
        <f t="shared" si="56"/>
        <v/>
      </c>
      <c r="G1002" s="7332" t="s">
        <v>1866</v>
      </c>
      <c r="H1002" s="7332" t="str">
        <f t="shared" si="57"/>
        <v/>
      </c>
      <c r="I1002" s="7332">
        <v>103.0</v>
      </c>
      <c r="J1002" s="7332">
        <v>50.0</v>
      </c>
      <c r="K1002" s="7332">
        <v>85.0</v>
      </c>
      <c r="L1002" s="7332">
        <v>135.0</v>
      </c>
      <c r="M1002" s="7332">
        <v>91.0</v>
      </c>
      <c r="N1002" s="7334">
        <v>36.0</v>
      </c>
      <c r="O1002" s="7321"/>
      <c r="P1002" s="7324"/>
      <c r="Q1002" s="7324"/>
      <c r="R1002" s="7324"/>
    </row>
    <row r="1003" ht="18.75" customHeight="1">
      <c r="A1003" s="7316"/>
      <c r="B1003" s="7337" t="s">
        <v>3509</v>
      </c>
      <c r="C1003" s="7338" t="s">
        <v>3510</v>
      </c>
      <c r="D1003" s="7339"/>
      <c r="E1003" s="7338" t="s">
        <v>2097</v>
      </c>
      <c r="F1003" s="7338" t="str">
        <f t="shared" si="56"/>
        <v/>
      </c>
      <c r="G1003" s="7338" t="s">
        <v>1848</v>
      </c>
      <c r="H1003" s="7338" t="str">
        <f t="shared" si="57"/>
        <v/>
      </c>
      <c r="I1003" s="7338">
        <v>70.0</v>
      </c>
      <c r="J1003" s="7338">
        <v>131.0</v>
      </c>
      <c r="K1003" s="7338">
        <v>100.0</v>
      </c>
      <c r="L1003" s="7338">
        <v>86.0</v>
      </c>
      <c r="M1003" s="7338">
        <v>90.0</v>
      </c>
      <c r="N1003" s="7340">
        <v>40.0</v>
      </c>
      <c r="O1003" s="7321"/>
      <c r="P1003" s="7324"/>
      <c r="Q1003" s="7324"/>
      <c r="R1003" s="7324"/>
    </row>
    <row r="1004" ht="18.75" customHeight="1">
      <c r="A1004" s="7316"/>
      <c r="B1004" s="7331" t="s">
        <v>3511</v>
      </c>
      <c r="C1004" s="7341" t="s">
        <v>3512</v>
      </c>
      <c r="D1004" s="7333"/>
      <c r="E1004" s="7341" t="s">
        <v>1866</v>
      </c>
      <c r="F1004" s="7341" t="str">
        <f t="shared" si="56"/>
        <v/>
      </c>
      <c r="G1004" s="7341"/>
      <c r="H1004" s="7341" t="str">
        <f t="shared" si="57"/>
        <v/>
      </c>
      <c r="I1004" s="7332">
        <v>45.0</v>
      </c>
      <c r="J1004" s="7332">
        <v>55.0</v>
      </c>
      <c r="K1004" s="7332">
        <v>65.0</v>
      </c>
      <c r="L1004" s="7332">
        <v>45.0</v>
      </c>
      <c r="M1004" s="7332">
        <v>45.0</v>
      </c>
      <c r="N1004" s="7334">
        <v>45.0</v>
      </c>
      <c r="O1004" s="7321"/>
      <c r="P1004" s="7324"/>
      <c r="Q1004" s="7324"/>
      <c r="R1004" s="7324"/>
    </row>
    <row r="1005" ht="18.75" customHeight="1">
      <c r="A1005" s="7316"/>
      <c r="B1005" s="7337" t="s">
        <v>3513</v>
      </c>
      <c r="C1005" s="7342" t="s">
        <v>3514</v>
      </c>
      <c r="D1005" s="7339"/>
      <c r="E1005" s="7338" t="s">
        <v>1866</v>
      </c>
      <c r="F1005" s="7338" t="str">
        <f t="shared" si="56"/>
        <v/>
      </c>
      <c r="G1005" s="7338" t="s">
        <v>1939</v>
      </c>
      <c r="H1005" s="7338" t="str">
        <f t="shared" si="57"/>
        <v/>
      </c>
      <c r="I1005" s="7338">
        <v>55.0</v>
      </c>
      <c r="J1005" s="7338">
        <v>75.0</v>
      </c>
      <c r="K1005" s="7338">
        <v>90.0</v>
      </c>
      <c r="L1005" s="7338">
        <v>65.0</v>
      </c>
      <c r="M1005" s="7338">
        <v>70.0</v>
      </c>
      <c r="N1005" s="7340">
        <v>65.0</v>
      </c>
      <c r="O1005" s="7321"/>
      <c r="P1005" s="7324"/>
      <c r="Q1005" s="7324"/>
      <c r="R1005" s="7324"/>
    </row>
    <row r="1006" ht="18.75" customHeight="1">
      <c r="A1006" s="7316"/>
      <c r="B1006" s="7331" t="s">
        <v>1443</v>
      </c>
      <c r="C1006" s="7341" t="s">
        <v>3515</v>
      </c>
      <c r="D1006" s="7333"/>
      <c r="E1006" s="7332" t="s">
        <v>1866</v>
      </c>
      <c r="F1006" s="7332" t="str">
        <f t="shared" si="56"/>
        <v/>
      </c>
      <c r="G1006" s="7332" t="s">
        <v>1939</v>
      </c>
      <c r="H1006" s="7332" t="str">
        <f t="shared" si="57"/>
        <v/>
      </c>
      <c r="I1006" s="7332">
        <v>75.0</v>
      </c>
      <c r="J1006" s="7332">
        <v>110.0</v>
      </c>
      <c r="K1006" s="7332">
        <v>125.0</v>
      </c>
      <c r="L1006" s="7332">
        <v>100.0</v>
      </c>
      <c r="M1006" s="7332">
        <v>105.0</v>
      </c>
      <c r="N1006" s="7334">
        <v>85.0</v>
      </c>
      <c r="O1006" s="7321"/>
      <c r="P1006" s="7324"/>
      <c r="Q1006" s="7324"/>
      <c r="R1006" s="7324"/>
    </row>
    <row r="1007" ht="18.75" customHeight="1">
      <c r="A1007" s="7316"/>
      <c r="B1007" s="7337" t="s">
        <v>3516</v>
      </c>
      <c r="C1007" s="7342" t="s">
        <v>3517</v>
      </c>
      <c r="D1007" s="7339"/>
      <c r="E1007" s="7338" t="s">
        <v>1926</v>
      </c>
      <c r="F1007" s="7338" t="str">
        <f t="shared" si="56"/>
        <v/>
      </c>
      <c r="G1007" s="7338" t="s">
        <v>1935</v>
      </c>
      <c r="H1007" s="7338" t="str">
        <f t="shared" si="57"/>
        <v/>
      </c>
      <c r="I1007" s="7338">
        <v>70.0</v>
      </c>
      <c r="J1007" s="7338">
        <v>115.0</v>
      </c>
      <c r="K1007" s="7338">
        <v>85.0</v>
      </c>
      <c r="L1007" s="7338">
        <v>95.0</v>
      </c>
      <c r="M1007" s="7338">
        <v>75.0</v>
      </c>
      <c r="N1007" s="7340">
        <v>130.0</v>
      </c>
      <c r="O1007" s="7321"/>
      <c r="P1007" s="7324"/>
      <c r="Q1007" s="7324"/>
      <c r="R1007" s="7324"/>
    </row>
    <row r="1008" ht="18.75" customHeight="1">
      <c r="A1008" s="7316"/>
      <c r="B1008" s="7331" t="s">
        <v>957</v>
      </c>
      <c r="C1008" s="7341" t="s">
        <v>3518</v>
      </c>
      <c r="D1008" s="7333"/>
      <c r="E1008" s="7332" t="s">
        <v>561</v>
      </c>
      <c r="F1008" s="7332" t="str">
        <f t="shared" si="56"/>
        <v/>
      </c>
      <c r="G1008" s="7332" t="s">
        <v>1935</v>
      </c>
      <c r="H1008" s="7332" t="str">
        <f t="shared" si="57"/>
        <v/>
      </c>
      <c r="I1008" s="7332">
        <v>70.0</v>
      </c>
      <c r="J1008" s="7332">
        <v>85.0</v>
      </c>
      <c r="K1008" s="7332">
        <v>75.0</v>
      </c>
      <c r="L1008" s="7332">
        <v>130.0</v>
      </c>
      <c r="M1008" s="7332">
        <v>115.0</v>
      </c>
      <c r="N1008" s="7334">
        <v>95.0</v>
      </c>
      <c r="O1008" s="7321"/>
      <c r="P1008" s="7324"/>
      <c r="Q1008" s="7324"/>
      <c r="R1008" s="7324"/>
    </row>
    <row r="1009" ht="18.75" customHeight="1">
      <c r="A1009" s="7316"/>
      <c r="B1009" s="7337" t="s">
        <v>1385</v>
      </c>
      <c r="C1009" s="7342" t="s">
        <v>3519</v>
      </c>
      <c r="D1009" s="7339"/>
      <c r="E1009" s="7338" t="s">
        <v>1848</v>
      </c>
      <c r="F1009" s="7338" t="str">
        <f t="shared" si="56"/>
        <v/>
      </c>
      <c r="G1009" s="7338" t="s">
        <v>1935</v>
      </c>
      <c r="H1009" s="7338" t="str">
        <f t="shared" si="57"/>
        <v/>
      </c>
      <c r="I1009" s="7338">
        <v>70.0</v>
      </c>
      <c r="J1009" s="7338">
        <v>130.0</v>
      </c>
      <c r="K1009" s="7338">
        <v>115.0</v>
      </c>
      <c r="L1009" s="7338">
        <v>85.0</v>
      </c>
      <c r="M1009" s="7338">
        <v>95.0</v>
      </c>
      <c r="N1009" s="7340">
        <v>75.0</v>
      </c>
      <c r="O1009" s="7321"/>
      <c r="P1009" s="7324"/>
      <c r="Q1009" s="7324"/>
      <c r="R1009" s="7324"/>
    </row>
    <row r="1010" ht="18.75" customHeight="1">
      <c r="A1010" s="7316"/>
      <c r="B1010" s="7331" t="s">
        <v>3520</v>
      </c>
      <c r="C1010" s="7341" t="s">
        <v>3521</v>
      </c>
      <c r="D1010" s="7333"/>
      <c r="E1010" s="7332" t="s">
        <v>1871</v>
      </c>
      <c r="F1010" s="7332" t="str">
        <f t="shared" ref="F1010:F1017" si="58">IFERROR(VLOOKUP(E1010,P$3:Q1028,2,False),"")</f>
        <v/>
      </c>
      <c r="G1010" s="7332" t="s">
        <v>1935</v>
      </c>
      <c r="H1010" s="7332" t="str">
        <f t="shared" ref="H1010:H1017" si="59">IFERROR(VLOOKUP(G1010,P$3:Q1028,2,False),"")</f>
        <v/>
      </c>
      <c r="I1010" s="7332">
        <v>70.0</v>
      </c>
      <c r="J1010" s="7332">
        <v>75.0</v>
      </c>
      <c r="K1010" s="7332">
        <v>115.0</v>
      </c>
      <c r="L1010" s="7332">
        <v>95.0</v>
      </c>
      <c r="M1010" s="7332">
        <v>130.0</v>
      </c>
      <c r="N1010" s="7334">
        <v>85.0</v>
      </c>
      <c r="O1010" s="7321"/>
      <c r="P1010" s="7324"/>
      <c r="Q1010" s="7324"/>
      <c r="R1010" s="7324"/>
    </row>
    <row r="1011" ht="18.75" customHeight="1">
      <c r="A1011" s="7316"/>
      <c r="B1011" s="7337" t="s">
        <v>3522</v>
      </c>
      <c r="C1011" s="7338" t="s">
        <v>3523</v>
      </c>
      <c r="D1011" s="7339"/>
      <c r="E1011" s="7338" t="s">
        <v>561</v>
      </c>
      <c r="F1011" s="7338" t="str">
        <f t="shared" si="58"/>
        <v/>
      </c>
      <c r="G1011" s="7338"/>
      <c r="H1011" s="7338" t="str">
        <f t="shared" si="59"/>
        <v/>
      </c>
      <c r="I1011" s="7338">
        <v>43.0</v>
      </c>
      <c r="J1011" s="7338">
        <v>29.0</v>
      </c>
      <c r="K1011" s="7338">
        <v>31.0</v>
      </c>
      <c r="L1011" s="7338">
        <v>29.0</v>
      </c>
      <c r="M1011" s="7338">
        <v>31.0</v>
      </c>
      <c r="N1011" s="7340">
        <v>37.0</v>
      </c>
      <c r="O1011" s="7321"/>
      <c r="P1011" s="7324"/>
      <c r="Q1011" s="7324"/>
      <c r="R1011" s="7324"/>
    </row>
    <row r="1012" ht="18.75" customHeight="1">
      <c r="A1012" s="7316"/>
      <c r="B1012" s="7331" t="s">
        <v>3524</v>
      </c>
      <c r="C1012" s="7332" t="s">
        <v>3525</v>
      </c>
      <c r="D1012" s="7333"/>
      <c r="E1012" s="7332" t="s">
        <v>561</v>
      </c>
      <c r="F1012" s="7332" t="str">
        <f t="shared" si="58"/>
        <v/>
      </c>
      <c r="G1012" s="7332"/>
      <c r="H1012" s="7332" t="str">
        <f t="shared" si="59"/>
        <v/>
      </c>
      <c r="I1012" s="7332">
        <v>43.0</v>
      </c>
      <c r="J1012" s="7332">
        <v>29.0</v>
      </c>
      <c r="K1012" s="7332">
        <v>131.0</v>
      </c>
      <c r="L1012" s="7332">
        <v>29.0</v>
      </c>
      <c r="M1012" s="7332">
        <v>131.0</v>
      </c>
      <c r="N1012" s="7334">
        <v>37.0</v>
      </c>
      <c r="O1012" s="7321"/>
      <c r="P1012" s="7324"/>
      <c r="Q1012" s="7324"/>
      <c r="R1012" s="7324"/>
    </row>
    <row r="1013" ht="18.75" customHeight="1">
      <c r="A1013" s="7316"/>
      <c r="B1013" s="7337" t="s">
        <v>3526</v>
      </c>
      <c r="C1013" s="7338" t="s">
        <v>3527</v>
      </c>
      <c r="D1013" s="7339"/>
      <c r="E1013" s="7338" t="s">
        <v>561</v>
      </c>
      <c r="F1013" s="7338" t="str">
        <f t="shared" si="58"/>
        <v/>
      </c>
      <c r="G1013" s="7338" t="s">
        <v>1929</v>
      </c>
      <c r="H1013" s="7338" t="str">
        <f t="shared" si="59"/>
        <v/>
      </c>
      <c r="I1013" s="7338">
        <v>137.0</v>
      </c>
      <c r="J1013" s="7338">
        <v>137.0</v>
      </c>
      <c r="K1013" s="7338">
        <v>107.0</v>
      </c>
      <c r="L1013" s="7338">
        <v>113.0</v>
      </c>
      <c r="M1013" s="7338">
        <v>89.0</v>
      </c>
      <c r="N1013" s="7340">
        <v>97.0</v>
      </c>
      <c r="O1013" s="7321"/>
      <c r="P1013" s="7324"/>
      <c r="Q1013" s="7324"/>
      <c r="R1013" s="7324"/>
    </row>
    <row r="1014" ht="18.75" customHeight="1">
      <c r="A1014" s="7316"/>
      <c r="B1014" s="7331" t="s">
        <v>3528</v>
      </c>
      <c r="C1014" s="7332" t="s">
        <v>3529</v>
      </c>
      <c r="D1014" s="7333"/>
      <c r="E1014" s="7332" t="s">
        <v>561</v>
      </c>
      <c r="F1014" s="7332" t="str">
        <f t="shared" si="58"/>
        <v/>
      </c>
      <c r="G1014" s="7332" t="s">
        <v>2097</v>
      </c>
      <c r="H1014" s="7332" t="str">
        <f t="shared" si="59"/>
        <v/>
      </c>
      <c r="I1014" s="7332">
        <v>137.0</v>
      </c>
      <c r="J1014" s="7332">
        <v>113.0</v>
      </c>
      <c r="K1014" s="7332">
        <v>89.0</v>
      </c>
      <c r="L1014" s="7332">
        <v>137.0</v>
      </c>
      <c r="M1014" s="7332">
        <v>107.0</v>
      </c>
      <c r="N1014" s="7334">
        <v>97.0</v>
      </c>
      <c r="O1014" s="7321"/>
      <c r="P1014" s="7324"/>
      <c r="Q1014" s="7324"/>
      <c r="R1014" s="7324"/>
    </row>
    <row r="1015" ht="18.75" customHeight="1">
      <c r="A1015" s="7316"/>
      <c r="B1015" s="7337" t="s">
        <v>3530</v>
      </c>
      <c r="C1015" s="7338" t="s">
        <v>3531</v>
      </c>
      <c r="D1015" s="7339"/>
      <c r="E1015" s="7338" t="s">
        <v>2014</v>
      </c>
      <c r="F1015" s="7338" t="str">
        <f t="shared" si="58"/>
        <v/>
      </c>
      <c r="G1015" s="7338" t="s">
        <v>1849</v>
      </c>
      <c r="H1015" s="7338" t="str">
        <f t="shared" si="59"/>
        <v/>
      </c>
      <c r="I1015" s="7338">
        <v>109.0</v>
      </c>
      <c r="J1015" s="7338">
        <v>53.0</v>
      </c>
      <c r="K1015" s="7338">
        <v>47.0</v>
      </c>
      <c r="L1015" s="7338">
        <v>127.0</v>
      </c>
      <c r="M1015" s="7338">
        <v>131.0</v>
      </c>
      <c r="N1015" s="7340">
        <v>103.0</v>
      </c>
      <c r="O1015" s="7321"/>
      <c r="P1015" s="7324"/>
      <c r="Q1015" s="7324"/>
      <c r="R1015" s="7324"/>
    </row>
    <row r="1016" ht="18.75" customHeight="1">
      <c r="A1016" s="7316"/>
      <c r="B1016" s="7331" t="s">
        <v>3532</v>
      </c>
      <c r="C1016" s="7332" t="s">
        <v>3533</v>
      </c>
      <c r="D1016" s="7333"/>
      <c r="E1016" s="7332" t="s">
        <v>1882</v>
      </c>
      <c r="F1016" s="7332" t="str">
        <f t="shared" si="58"/>
        <v/>
      </c>
      <c r="G1016" s="7332" t="s">
        <v>1939</v>
      </c>
      <c r="H1016" s="7332" t="str">
        <f t="shared" si="59"/>
        <v/>
      </c>
      <c r="I1016" s="7332">
        <v>107.0</v>
      </c>
      <c r="J1016" s="7332">
        <v>139.0</v>
      </c>
      <c r="K1016" s="7332">
        <v>139.0</v>
      </c>
      <c r="L1016" s="7332">
        <v>53.0</v>
      </c>
      <c r="M1016" s="7332">
        <v>53.0</v>
      </c>
      <c r="N1016" s="7334">
        <v>79.0</v>
      </c>
      <c r="O1016" s="7321"/>
      <c r="P1016" s="7324"/>
      <c r="Q1016" s="7324"/>
      <c r="R1016" s="7324"/>
    </row>
    <row r="1017" ht="18.75" customHeight="1">
      <c r="A1017" s="7316"/>
      <c r="B1017" s="7337" t="s">
        <v>1472</v>
      </c>
      <c r="C1017" s="7338" t="s">
        <v>3534</v>
      </c>
      <c r="D1017" s="7339"/>
      <c r="E1017" s="7338" t="s">
        <v>1882</v>
      </c>
      <c r="F1017" s="7338" t="str">
        <f t="shared" si="58"/>
        <v/>
      </c>
      <c r="G1017" s="7338" t="s">
        <v>1939</v>
      </c>
      <c r="H1017" s="7338" t="str">
        <f t="shared" si="59"/>
        <v/>
      </c>
      <c r="I1017" s="7338">
        <v>71.0</v>
      </c>
      <c r="J1017" s="7338">
        <v>137.0</v>
      </c>
      <c r="K1017" s="7338">
        <v>37.0</v>
      </c>
      <c r="L1017" s="7338">
        <v>137.0</v>
      </c>
      <c r="M1017" s="7338">
        <v>37.0</v>
      </c>
      <c r="N1017" s="7340">
        <v>151.0</v>
      </c>
      <c r="O1017" s="7321"/>
      <c r="P1017" s="7324"/>
      <c r="Q1017" s="7324"/>
      <c r="R1017" s="7324"/>
    </row>
    <row r="1018" ht="18.75" customHeight="1">
      <c r="A1018" s="7316"/>
      <c r="B1018" s="7331" t="s">
        <v>3535</v>
      </c>
      <c r="C1018" s="7332" t="s">
        <v>3536</v>
      </c>
      <c r="D1018" s="7333"/>
      <c r="E1018" s="7332" t="s">
        <v>1926</v>
      </c>
      <c r="F1018" s="7332" t="str">
        <f t="shared" ref="F1018:F1027" si="60">IFERROR(VLOOKUP(E1018,P$3:Q1037,2,False),"")</f>
        <v/>
      </c>
      <c r="G1018" s="7332"/>
      <c r="H1018" s="7332" t="str">
        <f t="shared" ref="H1018:H1027" si="61">IFERROR(VLOOKUP(G1018,P$3:Q1037,2,False),"")</f>
        <v/>
      </c>
      <c r="I1018" s="7332">
        <v>83.0</v>
      </c>
      <c r="J1018" s="7332">
        <v>69.0</v>
      </c>
      <c r="K1018" s="7332">
        <v>71.0</v>
      </c>
      <c r="L1018" s="7332">
        <v>173.0</v>
      </c>
      <c r="M1018" s="7332">
        <v>71.0</v>
      </c>
      <c r="N1018" s="7334">
        <v>98.0</v>
      </c>
      <c r="O1018" s="7321"/>
      <c r="P1018" s="7324"/>
      <c r="Q1018" s="7324"/>
      <c r="R1018" s="7324"/>
    </row>
    <row r="1019" ht="18.75" customHeight="1">
      <c r="A1019" s="7316"/>
      <c r="B1019" s="7337" t="s">
        <v>959</v>
      </c>
      <c r="C1019" s="7338" t="s">
        <v>3537</v>
      </c>
      <c r="D1019" s="7339"/>
      <c r="E1019" s="7338" t="s">
        <v>1929</v>
      </c>
      <c r="F1019" s="7338" t="str">
        <f t="shared" si="60"/>
        <v/>
      </c>
      <c r="G1019" s="7338" t="s">
        <v>1863</v>
      </c>
      <c r="H1019" s="7338" t="str">
        <f t="shared" si="61"/>
        <v/>
      </c>
      <c r="I1019" s="7338">
        <v>97.0</v>
      </c>
      <c r="J1019" s="7338">
        <v>101.0</v>
      </c>
      <c r="K1019" s="7338">
        <v>103.0</v>
      </c>
      <c r="L1019" s="7338">
        <v>107.0</v>
      </c>
      <c r="M1019" s="7338">
        <v>101.0</v>
      </c>
      <c r="N1019" s="7340">
        <v>61.0</v>
      </c>
      <c r="O1019" s="7321"/>
      <c r="P1019" s="7324"/>
      <c r="Q1019" s="7324"/>
      <c r="R1019" s="7324"/>
    </row>
    <row r="1020" ht="18.75" customHeight="1">
      <c r="A1020" s="7316"/>
      <c r="B1020" s="7331" t="s">
        <v>3538</v>
      </c>
      <c r="C1020" s="7332" t="s">
        <v>3539</v>
      </c>
      <c r="D1020" s="7333"/>
      <c r="E1020" s="7332" t="s">
        <v>1848</v>
      </c>
      <c r="F1020" s="7332" t="str">
        <f t="shared" si="60"/>
        <v/>
      </c>
      <c r="G1020" s="7332" t="s">
        <v>1929</v>
      </c>
      <c r="H1020" s="7332" t="str">
        <f t="shared" si="61"/>
        <v/>
      </c>
      <c r="I1020" s="7332">
        <v>59.0</v>
      </c>
      <c r="J1020" s="7332">
        <v>181.0</v>
      </c>
      <c r="K1020" s="7332">
        <v>131.0</v>
      </c>
      <c r="L1020" s="7332">
        <v>59.0</v>
      </c>
      <c r="M1020" s="7332">
        <v>31.0</v>
      </c>
      <c r="N1020" s="7334">
        <v>109.0</v>
      </c>
      <c r="O1020" s="7321"/>
      <c r="P1020" s="7324"/>
      <c r="Q1020" s="7324"/>
      <c r="R1020" s="7324"/>
    </row>
    <row r="1021" ht="18.75" customHeight="1">
      <c r="A1021" s="7316"/>
      <c r="B1021" s="7337" t="s">
        <v>3540</v>
      </c>
      <c r="C1021" s="7338" t="s">
        <v>3541</v>
      </c>
      <c r="D1021" s="7339"/>
      <c r="E1021" s="7338" t="s">
        <v>1911</v>
      </c>
      <c r="F1021" s="7338" t="str">
        <f t="shared" si="60"/>
        <v/>
      </c>
      <c r="G1021" s="7338" t="s">
        <v>1866</v>
      </c>
      <c r="H1021" s="7338" t="str">
        <f t="shared" si="61"/>
        <v/>
      </c>
      <c r="I1021" s="7338">
        <v>203.0</v>
      </c>
      <c r="J1021" s="7338">
        <v>101.0</v>
      </c>
      <c r="K1021" s="7338">
        <v>73.0</v>
      </c>
      <c r="L1021" s="7338">
        <v>97.0</v>
      </c>
      <c r="M1021" s="7338">
        <v>73.0</v>
      </c>
      <c r="N1021" s="7340">
        <v>23.0</v>
      </c>
      <c r="O1021" s="7321"/>
      <c r="P1021" s="7324"/>
      <c r="Q1021" s="7324"/>
      <c r="R1021" s="7324"/>
    </row>
    <row r="1022" ht="18.75" customHeight="1">
      <c r="A1022" s="7316"/>
      <c r="B1022" s="7331" t="s">
        <v>3542</v>
      </c>
      <c r="C1022" s="7332" t="s">
        <v>3543</v>
      </c>
      <c r="D1022" s="7333"/>
      <c r="E1022" s="7332" t="s">
        <v>561</v>
      </c>
      <c r="F1022" s="7332" t="str">
        <f t="shared" si="60"/>
        <v/>
      </c>
      <c r="G1022" s="7332"/>
      <c r="H1022" s="7332" t="str">
        <f t="shared" si="61"/>
        <v/>
      </c>
      <c r="I1022" s="7332">
        <v>97.0</v>
      </c>
      <c r="J1022" s="7332">
        <v>107.0</v>
      </c>
      <c r="K1022" s="7332">
        <v>101.0</v>
      </c>
      <c r="L1022" s="7332">
        <v>127.0</v>
      </c>
      <c r="M1022" s="7332">
        <v>89.0</v>
      </c>
      <c r="N1022" s="7334">
        <v>79.0</v>
      </c>
      <c r="O1022" s="7321"/>
      <c r="P1022" s="7324"/>
      <c r="Q1022" s="7324"/>
      <c r="R1022" s="7324"/>
    </row>
    <row r="1023" ht="18.75" customHeight="1">
      <c r="A1023" s="7316"/>
      <c r="B1023" s="7337" t="s">
        <v>1553</v>
      </c>
      <c r="C1023" s="7342" t="s">
        <v>3544</v>
      </c>
      <c r="D1023" s="7339"/>
      <c r="E1023" s="7338" t="s">
        <v>561</v>
      </c>
      <c r="F1023" s="7338" t="str">
        <f t="shared" si="60"/>
        <v/>
      </c>
      <c r="G1023" s="7338" t="s">
        <v>1929</v>
      </c>
      <c r="H1023" s="7338" t="str">
        <f t="shared" si="61"/>
        <v/>
      </c>
      <c r="I1023" s="7338">
        <v>97.0</v>
      </c>
      <c r="J1023" s="7338">
        <v>157.0</v>
      </c>
      <c r="K1023" s="7338">
        <v>127.0</v>
      </c>
      <c r="L1023" s="7338">
        <v>113.0</v>
      </c>
      <c r="M1023" s="7338">
        <v>109.0</v>
      </c>
      <c r="N1023" s="7340">
        <v>77.0</v>
      </c>
      <c r="O1023" s="7321"/>
      <c r="P1023" s="7324"/>
      <c r="Q1023" s="7324"/>
      <c r="R1023" s="7324"/>
    </row>
    <row r="1024" ht="18.75" customHeight="1">
      <c r="A1024" s="7316"/>
      <c r="B1024" s="7331" t="s">
        <v>3545</v>
      </c>
      <c r="C1024" s="7341" t="s">
        <v>3546</v>
      </c>
      <c r="D1024" s="7333"/>
      <c r="E1024" s="7332" t="s">
        <v>561</v>
      </c>
      <c r="F1024" s="7332" t="str">
        <f t="shared" si="60"/>
        <v/>
      </c>
      <c r="G1024" s="7332" t="s">
        <v>2097</v>
      </c>
      <c r="H1024" s="7332" t="str">
        <f t="shared" si="61"/>
        <v/>
      </c>
      <c r="I1024" s="7332">
        <v>97.0</v>
      </c>
      <c r="J1024" s="7332">
        <v>113.0</v>
      </c>
      <c r="K1024" s="7332">
        <v>109.0</v>
      </c>
      <c r="L1024" s="7332">
        <v>157.0</v>
      </c>
      <c r="M1024" s="7332">
        <v>127.0</v>
      </c>
      <c r="N1024" s="7334">
        <v>77.0</v>
      </c>
      <c r="O1024" s="7321"/>
      <c r="P1024" s="7324"/>
      <c r="Q1024" s="7324"/>
      <c r="R1024" s="7324"/>
    </row>
    <row r="1025" ht="18.75" customHeight="1">
      <c r="A1025" s="7316"/>
      <c r="B1025" s="7337" t="s">
        <v>3547</v>
      </c>
      <c r="C1025" s="7342" t="s">
        <v>3548</v>
      </c>
      <c r="D1025" s="7339"/>
      <c r="E1025" s="7338" t="s">
        <v>561</v>
      </c>
      <c r="F1025" s="7338" t="str">
        <f t="shared" si="60"/>
        <v/>
      </c>
      <c r="G1025" s="7338" t="s">
        <v>1866</v>
      </c>
      <c r="H1025" s="7338" t="str">
        <f t="shared" si="61"/>
        <v/>
      </c>
      <c r="I1025" s="7338">
        <v>97.0</v>
      </c>
      <c r="J1025" s="7338">
        <v>167.0</v>
      </c>
      <c r="K1025" s="7338">
        <v>97.0</v>
      </c>
      <c r="L1025" s="7338">
        <v>167.0</v>
      </c>
      <c r="M1025" s="7338">
        <v>97.0</v>
      </c>
      <c r="N1025" s="7340">
        <v>129.0</v>
      </c>
      <c r="O1025" s="7321"/>
      <c r="P1025" s="7324"/>
      <c r="Q1025" s="7324"/>
      <c r="R1025" s="7324"/>
    </row>
    <row r="1026" ht="18.75" customHeight="1">
      <c r="A1026" s="7316"/>
      <c r="B1026" s="7331" t="s">
        <v>386</v>
      </c>
      <c r="C1026" s="7332" t="s">
        <v>3549</v>
      </c>
      <c r="D1026" s="7333"/>
      <c r="E1026" s="7332" t="s">
        <v>1929</v>
      </c>
      <c r="F1026" s="7332" t="str">
        <f t="shared" si="60"/>
        <v/>
      </c>
      <c r="G1026" s="7332" t="s">
        <v>1935</v>
      </c>
      <c r="H1026" s="7332" t="str">
        <f t="shared" si="61"/>
        <v/>
      </c>
      <c r="I1026" s="7332">
        <v>80.0</v>
      </c>
      <c r="J1026" s="7332">
        <v>95.0</v>
      </c>
      <c r="K1026" s="7332">
        <v>115.0</v>
      </c>
      <c r="L1026" s="7332">
        <v>130.0</v>
      </c>
      <c r="M1026" s="7332">
        <v>115.0</v>
      </c>
      <c r="N1026" s="7334">
        <v>65.0</v>
      </c>
      <c r="O1026" s="7321"/>
      <c r="P1026" s="7324"/>
      <c r="Q1026" s="7324"/>
      <c r="R1026" s="7324"/>
    </row>
    <row r="1027" ht="18.75" customHeight="1">
      <c r="A1027" s="7316"/>
      <c r="B1027" s="7337" t="s">
        <v>1552</v>
      </c>
      <c r="C1027" s="7338" t="s">
        <v>3549</v>
      </c>
      <c r="D1027" s="7339"/>
      <c r="E1027" s="7338" t="s">
        <v>1929</v>
      </c>
      <c r="F1027" s="7338" t="str">
        <f t="shared" si="60"/>
        <v/>
      </c>
      <c r="G1027" s="7338" t="s">
        <v>1935</v>
      </c>
      <c r="H1027" s="7338" t="str">
        <f t="shared" si="61"/>
        <v/>
      </c>
      <c r="I1027" s="7338">
        <v>80.0</v>
      </c>
      <c r="J1027" s="7338">
        <v>95.0</v>
      </c>
      <c r="K1027" s="7338">
        <v>115.0</v>
      </c>
      <c r="L1027" s="7338">
        <v>130.0</v>
      </c>
      <c r="M1027" s="7338">
        <v>115.0</v>
      </c>
      <c r="N1027" s="7340">
        <v>65.0</v>
      </c>
      <c r="O1027" s="7321"/>
      <c r="P1027" s="7324"/>
      <c r="Q1027" s="7324"/>
      <c r="R1027" s="7324"/>
    </row>
    <row r="1028" ht="18.75" customHeight="1">
      <c r="A1028" s="7316"/>
      <c r="B1028" s="7331" t="s">
        <v>1448</v>
      </c>
      <c r="C1028" s="7332" t="s">
        <v>3550</v>
      </c>
      <c r="D1028" s="7333"/>
      <c r="E1028" s="7332" t="s">
        <v>1939</v>
      </c>
      <c r="F1028" s="7332" t="str">
        <f t="shared" ref="F1028:F1035" si="62">IFERROR(VLOOKUP(E1028,P$3:Q1046,2,False),"")</f>
        <v/>
      </c>
      <c r="G1028" s="7332" t="s">
        <v>2097</v>
      </c>
      <c r="H1028" s="7332" t="str">
        <f t="shared" ref="H1028:H1035" si="63">IFERROR(VLOOKUP(G1028,P$3:Q1046,2,False),"")</f>
        <v/>
      </c>
      <c r="I1028" s="7332">
        <v>90.0</v>
      </c>
      <c r="J1028" s="7332">
        <v>125.0</v>
      </c>
      <c r="K1028" s="7332">
        <v>80.0</v>
      </c>
      <c r="L1028" s="7332">
        <v>90.0</v>
      </c>
      <c r="M1028" s="7332">
        <v>90.0</v>
      </c>
      <c r="N1028" s="7334">
        <v>125.0</v>
      </c>
      <c r="O1028" s="7321"/>
      <c r="P1028" s="7324"/>
      <c r="Q1028" s="7324"/>
      <c r="R1028" s="7324"/>
    </row>
    <row r="1029" ht="18.75" customHeight="1">
      <c r="A1029" s="7316"/>
      <c r="B1029" s="7337" t="s">
        <v>3551</v>
      </c>
      <c r="C1029" s="7338" t="s">
        <v>3552</v>
      </c>
      <c r="D1029" s="7339"/>
      <c r="E1029" s="7338" t="s">
        <v>1849</v>
      </c>
      <c r="F1029" s="7338" t="str">
        <f t="shared" si="62"/>
        <v/>
      </c>
      <c r="G1029" s="7338"/>
      <c r="H1029" s="7338" t="str">
        <f t="shared" si="63"/>
        <v/>
      </c>
      <c r="I1029" s="7338">
        <v>67.0</v>
      </c>
      <c r="J1029" s="7338">
        <v>73.0</v>
      </c>
      <c r="K1029" s="7338">
        <v>67.0</v>
      </c>
      <c r="L1029" s="7338">
        <v>73.0</v>
      </c>
      <c r="M1029" s="7338">
        <v>67.0</v>
      </c>
      <c r="N1029" s="7340">
        <v>73.0</v>
      </c>
      <c r="O1029" s="7321"/>
      <c r="P1029" s="7324"/>
      <c r="Q1029" s="7324"/>
      <c r="R1029" s="7324"/>
    </row>
    <row r="1030" ht="18.75" customHeight="1">
      <c r="A1030" s="7316"/>
      <c r="B1030" s="7331" t="s">
        <v>388</v>
      </c>
      <c r="C1030" s="7332" t="s">
        <v>3553</v>
      </c>
      <c r="D1030" s="7333"/>
      <c r="E1030" s="7332" t="s">
        <v>1849</v>
      </c>
      <c r="F1030" s="7332" t="str">
        <f t="shared" si="62"/>
        <v/>
      </c>
      <c r="G1030" s="7332" t="s">
        <v>1866</v>
      </c>
      <c r="H1030" s="7332" t="str">
        <f t="shared" si="63"/>
        <v/>
      </c>
      <c r="I1030" s="7332">
        <v>73.0</v>
      </c>
      <c r="J1030" s="7332">
        <v>73.0</v>
      </c>
      <c r="K1030" s="7332">
        <v>73.0</v>
      </c>
      <c r="L1030" s="7332">
        <v>127.0</v>
      </c>
      <c r="M1030" s="7332">
        <v>73.0</v>
      </c>
      <c r="N1030" s="7334">
        <v>121.0</v>
      </c>
      <c r="O1030" s="7321"/>
      <c r="P1030" s="7324"/>
      <c r="Q1030" s="7324"/>
      <c r="R1030" s="7324"/>
    </row>
    <row r="1031" ht="18.75" customHeight="1">
      <c r="A1031" s="7316"/>
      <c r="B1031" s="7337" t="s">
        <v>3554</v>
      </c>
      <c r="C1031" s="7338" t="s">
        <v>3555</v>
      </c>
      <c r="D1031" s="7339"/>
      <c r="E1031" s="7338" t="s">
        <v>2014</v>
      </c>
      <c r="F1031" s="7338" t="str">
        <f t="shared" si="62"/>
        <v/>
      </c>
      <c r="G1031" s="7338" t="s">
        <v>1929</v>
      </c>
      <c r="H1031" s="7338" t="str">
        <f t="shared" si="63"/>
        <v/>
      </c>
      <c r="I1031" s="7338">
        <v>61.0</v>
      </c>
      <c r="J1031" s="7338">
        <v>131.0</v>
      </c>
      <c r="K1031" s="7338">
        <v>211.0</v>
      </c>
      <c r="L1031" s="7338">
        <v>53.0</v>
      </c>
      <c r="M1031" s="7338">
        <v>101.0</v>
      </c>
      <c r="N1031" s="7340">
        <v>13.0</v>
      </c>
      <c r="O1031" s="7321"/>
      <c r="P1031" s="7324"/>
      <c r="Q1031" s="7324"/>
      <c r="R1031" s="7324"/>
    </row>
    <row r="1032" ht="18.75" customHeight="1">
      <c r="A1032" s="7316"/>
      <c r="B1032" s="7331" t="s">
        <v>3556</v>
      </c>
      <c r="C1032" s="7332" t="s">
        <v>3557</v>
      </c>
      <c r="D1032" s="7333"/>
      <c r="E1032" s="7332" t="s">
        <v>1858</v>
      </c>
      <c r="F1032" s="7332" t="str">
        <f t="shared" si="62"/>
        <v/>
      </c>
      <c r="G1032" s="7332" t="s">
        <v>2097</v>
      </c>
      <c r="H1032" s="7332" t="str">
        <f t="shared" si="63"/>
        <v/>
      </c>
      <c r="I1032" s="7332">
        <v>53.0</v>
      </c>
      <c r="J1032" s="7332">
        <v>127.0</v>
      </c>
      <c r="K1032" s="7332">
        <v>53.0</v>
      </c>
      <c r="L1032" s="7332">
        <v>151.0</v>
      </c>
      <c r="M1032" s="7332">
        <v>79.0</v>
      </c>
      <c r="N1032" s="7334">
        <v>107.0</v>
      </c>
      <c r="O1032" s="7321"/>
      <c r="P1032" s="7324"/>
      <c r="Q1032" s="7324"/>
      <c r="R1032" s="7324"/>
    </row>
    <row r="1033" ht="18.75" customHeight="1">
      <c r="A1033" s="7316"/>
      <c r="B1033" s="7337" t="s">
        <v>3558</v>
      </c>
      <c r="C1033" s="7338" t="s">
        <v>3559</v>
      </c>
      <c r="D1033" s="7339"/>
      <c r="E1033" s="7338" t="s">
        <v>1926</v>
      </c>
      <c r="F1033" s="7338" t="str">
        <f t="shared" si="62"/>
        <v/>
      </c>
      <c r="G1033" s="7338"/>
      <c r="H1033" s="7338" t="str">
        <f t="shared" si="63"/>
        <v/>
      </c>
      <c r="I1033" s="7338">
        <v>88.0</v>
      </c>
      <c r="J1033" s="7338">
        <v>112.0</v>
      </c>
      <c r="K1033" s="7338">
        <v>75.0</v>
      </c>
      <c r="L1033" s="7338">
        <v>102.0</v>
      </c>
      <c r="M1033" s="7338">
        <v>80.0</v>
      </c>
      <c r="N1033" s="7340">
        <v>143.0</v>
      </c>
      <c r="O1033" s="7321"/>
      <c r="P1033" s="7324"/>
      <c r="Q1033" s="7324"/>
      <c r="R1033" s="7324"/>
    </row>
    <row r="1034" ht="18.75" customHeight="1">
      <c r="A1034" s="7316"/>
      <c r="B1034" s="7331" t="s">
        <v>3560</v>
      </c>
      <c r="C1034" s="7332" t="s">
        <v>3561</v>
      </c>
      <c r="D1034" s="7333"/>
      <c r="E1034" s="7332" t="s">
        <v>1929</v>
      </c>
      <c r="F1034" s="7332" t="str">
        <f t="shared" si="62"/>
        <v/>
      </c>
      <c r="G1034" s="7332"/>
      <c r="H1034" s="7332" t="str">
        <f t="shared" si="63"/>
        <v/>
      </c>
      <c r="I1034" s="7332">
        <v>46.0</v>
      </c>
      <c r="J1034" s="7332">
        <v>65.0</v>
      </c>
      <c r="K1034" s="7332">
        <v>65.0</v>
      </c>
      <c r="L1034" s="7332">
        <v>55.0</v>
      </c>
      <c r="M1034" s="7332">
        <v>35.0</v>
      </c>
      <c r="N1034" s="7334">
        <v>34.0</v>
      </c>
      <c r="O1034" s="7321"/>
      <c r="P1034" s="7324"/>
      <c r="Q1034" s="7324"/>
      <c r="R1034" s="7324"/>
    </row>
    <row r="1035" ht="18.75" customHeight="1">
      <c r="A1035" s="7316"/>
      <c r="B1035" s="7364" t="s">
        <v>646</v>
      </c>
      <c r="C1035" s="7367" t="s">
        <v>3562</v>
      </c>
      <c r="D1035" s="7366"/>
      <c r="E1035" s="7367" t="s">
        <v>1929</v>
      </c>
      <c r="F1035" s="7367" t="str">
        <f t="shared" si="62"/>
        <v/>
      </c>
      <c r="G1035" s="7367"/>
      <c r="H1035" s="7367" t="str">
        <f t="shared" si="63"/>
        <v/>
      </c>
      <c r="I1035" s="7367">
        <v>135.0</v>
      </c>
      <c r="J1035" s="7367">
        <v>143.0</v>
      </c>
      <c r="K1035" s="7367">
        <v>143.0</v>
      </c>
      <c r="L1035" s="7367">
        <v>80.0</v>
      </c>
      <c r="M1035" s="7367">
        <v>65.0</v>
      </c>
      <c r="N1035" s="7368">
        <v>34.0</v>
      </c>
      <c r="O1035" s="7321"/>
      <c r="P1035" s="7324"/>
      <c r="Q1035" s="7324"/>
      <c r="R1035" s="7324"/>
    </row>
    <row r="1036">
      <c r="A1036" s="7316"/>
      <c r="B1036" s="7315"/>
      <c r="C1036" s="7315"/>
      <c r="D1036" s="7315"/>
      <c r="E1036" s="7315"/>
      <c r="F1036" s="7315"/>
      <c r="G1036" s="7315"/>
      <c r="H1036" s="7315"/>
      <c r="I1036" s="7315"/>
      <c r="J1036" s="7315"/>
      <c r="K1036" s="7315"/>
      <c r="L1036" s="7315"/>
      <c r="M1036" s="7315"/>
      <c r="N1036" s="7315"/>
      <c r="O1036" s="7316"/>
      <c r="P1036" s="7316"/>
      <c r="Q1036" s="7315"/>
      <c r="R1036" s="7324"/>
    </row>
    <row r="1037">
      <c r="A1037" s="7316"/>
      <c r="B1037" s="7369" t="s">
        <v>3563</v>
      </c>
      <c r="C1037" s="7370"/>
      <c r="D1037" s="7370"/>
      <c r="E1037" s="7370"/>
      <c r="F1037" s="7370"/>
      <c r="G1037" s="7370"/>
      <c r="H1037" s="7371"/>
      <c r="I1037" s="7372" t="s">
        <v>192</v>
      </c>
      <c r="J1037" s="7372" t="s">
        <v>193</v>
      </c>
      <c r="K1037" s="7372" t="s">
        <v>194</v>
      </c>
      <c r="L1037" s="7372" t="s">
        <v>195</v>
      </c>
      <c r="M1037" s="7372" t="s">
        <v>196</v>
      </c>
      <c r="N1037" s="7373" t="s">
        <v>197</v>
      </c>
      <c r="O1037" s="7321"/>
      <c r="P1037" s="7324"/>
      <c r="Q1037" s="7324"/>
      <c r="R1037" s="7324"/>
    </row>
    <row r="1038" ht="18.75" customHeight="1">
      <c r="A1038" s="7316"/>
      <c r="B1038" s="7376" t="s">
        <v>3564</v>
      </c>
      <c r="C1038" s="7377" t="s">
        <v>3565</v>
      </c>
      <c r="D1038" s="7378"/>
      <c r="E1038" s="7379" t="s">
        <v>1848</v>
      </c>
      <c r="F1038" s="7379" t="str">
        <f t="shared" ref="F1038:F1062" si="64">IFERROR(VLOOKUP(E1038,P$3:Q1055,2,False),"")</f>
        <v/>
      </c>
      <c r="G1038" s="7379"/>
      <c r="H1038" s="7379" t="str">
        <f t="shared" ref="H1038:H1062" si="65">IFERROR(VLOOKUP(G1038,P$3:Q1055,2,False),"")</f>
        <v/>
      </c>
      <c r="I1038" s="7379">
        <v>50.0</v>
      </c>
      <c r="J1038" s="7379">
        <v>65.0</v>
      </c>
      <c r="K1038" s="7379">
        <v>50.0</v>
      </c>
      <c r="L1038" s="7379">
        <v>40.0</v>
      </c>
      <c r="M1038" s="7379">
        <v>40.0</v>
      </c>
      <c r="N1038" s="7380">
        <v>65.0</v>
      </c>
      <c r="O1038" s="7321"/>
      <c r="P1038" s="7324"/>
      <c r="Q1038" s="7324"/>
      <c r="R1038" s="7324"/>
    </row>
    <row r="1039" ht="18.75" customHeight="1">
      <c r="A1039" s="7316"/>
      <c r="B1039" s="7337" t="s">
        <v>997</v>
      </c>
      <c r="C1039" s="7338" t="s">
        <v>3566</v>
      </c>
      <c r="D1039" s="7339"/>
      <c r="E1039" s="7338" t="s">
        <v>1848</v>
      </c>
      <c r="F1039" s="7338" t="str">
        <f t="shared" si="64"/>
        <v/>
      </c>
      <c r="G1039" s="7338"/>
      <c r="H1039" s="7338" t="str">
        <f t="shared" si="65"/>
        <v/>
      </c>
      <c r="I1039" s="7338">
        <v>70.0</v>
      </c>
      <c r="J1039" s="7338">
        <v>85.0</v>
      </c>
      <c r="K1039" s="7338">
        <v>70.0</v>
      </c>
      <c r="L1039" s="7338">
        <v>55.0</v>
      </c>
      <c r="M1039" s="7338">
        <v>60.0</v>
      </c>
      <c r="N1039" s="7340">
        <v>80.0</v>
      </c>
      <c r="O1039" s="7321"/>
      <c r="P1039" s="7324"/>
      <c r="Q1039" s="7324"/>
      <c r="R1039" s="7324"/>
    </row>
    <row r="1040" ht="18.75" customHeight="1">
      <c r="A1040" s="7316"/>
      <c r="B1040" s="7331" t="s">
        <v>258</v>
      </c>
      <c r="C1040" s="7332" t="s">
        <v>3567</v>
      </c>
      <c r="D1040" s="7333"/>
      <c r="E1040" s="7332" t="s">
        <v>1848</v>
      </c>
      <c r="F1040" s="7332" t="str">
        <f t="shared" si="64"/>
        <v/>
      </c>
      <c r="G1040" s="7332"/>
      <c r="H1040" s="7332" t="str">
        <f t="shared" si="65"/>
        <v/>
      </c>
      <c r="I1040" s="7332">
        <v>100.0</v>
      </c>
      <c r="J1040" s="7332">
        <v>125.0</v>
      </c>
      <c r="K1040" s="7332">
        <v>90.0</v>
      </c>
      <c r="L1040" s="7332">
        <v>60.0</v>
      </c>
      <c r="M1040" s="7332">
        <v>70.0</v>
      </c>
      <c r="N1040" s="7334">
        <v>85.0</v>
      </c>
      <c r="O1040" s="7321"/>
      <c r="P1040" s="7324"/>
      <c r="Q1040" s="7324"/>
      <c r="R1040" s="7324"/>
    </row>
    <row r="1041" ht="18.75" customHeight="1">
      <c r="A1041" s="7316"/>
      <c r="B1041" s="7337" t="s">
        <v>3568</v>
      </c>
      <c r="C1041" s="7338" t="s">
        <v>3569</v>
      </c>
      <c r="D1041" s="7339"/>
      <c r="E1041" s="7338" t="s">
        <v>1858</v>
      </c>
      <c r="F1041" s="7338" t="str">
        <f t="shared" si="64"/>
        <v/>
      </c>
      <c r="G1041" s="7338"/>
      <c r="H1041" s="7338" t="str">
        <f t="shared" si="65"/>
        <v/>
      </c>
      <c r="I1041" s="7338">
        <v>50.0</v>
      </c>
      <c r="J1041" s="7338">
        <v>71.0</v>
      </c>
      <c r="K1041" s="7338">
        <v>40.0</v>
      </c>
      <c r="L1041" s="7338">
        <v>40.0</v>
      </c>
      <c r="M1041" s="7338">
        <v>40.0</v>
      </c>
      <c r="N1041" s="7340">
        <v>69.0</v>
      </c>
      <c r="O1041" s="7321"/>
      <c r="P1041" s="7324"/>
      <c r="Q1041" s="7324"/>
      <c r="R1041" s="7324"/>
    </row>
    <row r="1042" ht="18.75" customHeight="1">
      <c r="A1042" s="7316"/>
      <c r="B1042" s="7331" t="s">
        <v>3570</v>
      </c>
      <c r="C1042" s="7332" t="s">
        <v>3571</v>
      </c>
      <c r="D1042" s="7333"/>
      <c r="E1042" s="7332" t="s">
        <v>1858</v>
      </c>
      <c r="F1042" s="7332" t="str">
        <f t="shared" si="64"/>
        <v/>
      </c>
      <c r="G1042" s="7332"/>
      <c r="H1042" s="7332" t="str">
        <f t="shared" si="65"/>
        <v/>
      </c>
      <c r="I1042" s="7332">
        <v>65.0</v>
      </c>
      <c r="J1042" s="7332">
        <v>86.0</v>
      </c>
      <c r="K1042" s="7332">
        <v>60.0</v>
      </c>
      <c r="L1042" s="7332">
        <v>55.0</v>
      </c>
      <c r="M1042" s="7332">
        <v>60.0</v>
      </c>
      <c r="N1042" s="7334">
        <v>94.0</v>
      </c>
      <c r="O1042" s="7321"/>
      <c r="P1042" s="7324"/>
      <c r="Q1042" s="7324"/>
      <c r="R1042" s="7324"/>
    </row>
    <row r="1043" ht="18.75" customHeight="1">
      <c r="A1043" s="7316"/>
      <c r="B1043" s="7337" t="s">
        <v>3572</v>
      </c>
      <c r="C1043" s="7338" t="s">
        <v>3573</v>
      </c>
      <c r="D1043" s="7339"/>
      <c r="E1043" s="7338" t="s">
        <v>1858</v>
      </c>
      <c r="F1043" s="7338" t="str">
        <f t="shared" si="64"/>
        <v/>
      </c>
      <c r="G1043" s="7338"/>
      <c r="H1043" s="7338" t="str">
        <f t="shared" si="65"/>
        <v/>
      </c>
      <c r="I1043" s="7338">
        <v>80.0</v>
      </c>
      <c r="J1043" s="7338">
        <v>116.0</v>
      </c>
      <c r="K1043" s="7338">
        <v>75.0</v>
      </c>
      <c r="L1043" s="7338">
        <v>65.0</v>
      </c>
      <c r="M1043" s="7338">
        <v>75.0</v>
      </c>
      <c r="N1043" s="7340">
        <v>119.0</v>
      </c>
      <c r="O1043" s="7321"/>
      <c r="P1043" s="7324"/>
      <c r="Q1043" s="7324"/>
      <c r="R1043" s="7324"/>
    </row>
    <row r="1044" ht="18.75" customHeight="1">
      <c r="A1044" s="7316"/>
      <c r="B1044" s="7331" t="s">
        <v>3574</v>
      </c>
      <c r="C1044" s="7332" t="s">
        <v>3575</v>
      </c>
      <c r="D1044" s="7333"/>
      <c r="E1044" s="7332" t="s">
        <v>1871</v>
      </c>
      <c r="F1044" s="7332" t="str">
        <f t="shared" si="64"/>
        <v/>
      </c>
      <c r="G1044" s="7332"/>
      <c r="H1044" s="7332" t="str">
        <f t="shared" si="65"/>
        <v/>
      </c>
      <c r="I1044" s="7332">
        <v>50.0</v>
      </c>
      <c r="J1044" s="7332">
        <v>40.0</v>
      </c>
      <c r="K1044" s="7332">
        <v>40.0</v>
      </c>
      <c r="L1044" s="7332">
        <v>70.0</v>
      </c>
      <c r="M1044" s="7332">
        <v>40.0</v>
      </c>
      <c r="N1044" s="7334">
        <v>70.0</v>
      </c>
      <c r="O1044" s="7321"/>
      <c r="P1044" s="7324"/>
      <c r="Q1044" s="7324"/>
      <c r="R1044" s="7324"/>
    </row>
    <row r="1045" ht="18.75" customHeight="1">
      <c r="A1045" s="7316"/>
      <c r="B1045" s="7337" t="s">
        <v>3576</v>
      </c>
      <c r="C1045" s="7338" t="s">
        <v>3577</v>
      </c>
      <c r="D1045" s="7339"/>
      <c r="E1045" s="7338" t="s">
        <v>1871</v>
      </c>
      <c r="F1045" s="7338" t="str">
        <f t="shared" si="64"/>
        <v/>
      </c>
      <c r="G1045" s="7338"/>
      <c r="H1045" s="7338" t="str">
        <f t="shared" si="65"/>
        <v/>
      </c>
      <c r="I1045" s="7338">
        <v>65.0</v>
      </c>
      <c r="J1045" s="7338">
        <v>60.0</v>
      </c>
      <c r="K1045" s="7338">
        <v>55.0</v>
      </c>
      <c r="L1045" s="7338">
        <v>95.0</v>
      </c>
      <c r="M1045" s="7338">
        <v>55.0</v>
      </c>
      <c r="N1045" s="7340">
        <v>90.0</v>
      </c>
      <c r="O1045" s="7321"/>
      <c r="P1045" s="7324"/>
      <c r="Q1045" s="7324"/>
      <c r="R1045" s="7324"/>
    </row>
    <row r="1046" ht="18.75" customHeight="1">
      <c r="A1046" s="7316"/>
      <c r="B1046" s="7331" t="s">
        <v>1687</v>
      </c>
      <c r="C1046" s="7332" t="s">
        <v>3578</v>
      </c>
      <c r="D1046" s="7333"/>
      <c r="E1046" s="7332" t="s">
        <v>1871</v>
      </c>
      <c r="F1046" s="7332" t="str">
        <f t="shared" si="64"/>
        <v/>
      </c>
      <c r="G1046" s="7332"/>
      <c r="H1046" s="7332" t="str">
        <f t="shared" si="65"/>
        <v/>
      </c>
      <c r="I1046" s="7332">
        <v>70.0</v>
      </c>
      <c r="J1046" s="7332">
        <v>85.0</v>
      </c>
      <c r="K1046" s="7332">
        <v>65.0</v>
      </c>
      <c r="L1046" s="7332">
        <v>125.0</v>
      </c>
      <c r="M1046" s="7332">
        <v>65.0</v>
      </c>
      <c r="N1046" s="7334">
        <v>120.0</v>
      </c>
      <c r="O1046" s="7321"/>
      <c r="P1046" s="7324"/>
      <c r="Q1046" s="7324"/>
      <c r="R1046" s="7324"/>
    </row>
    <row r="1047" ht="18.75" customHeight="1">
      <c r="A1047" s="7316"/>
      <c r="B1047" s="7337" t="s">
        <v>3579</v>
      </c>
      <c r="C1047" s="7338" t="s">
        <v>3580</v>
      </c>
      <c r="D1047" s="7339"/>
      <c r="E1047" s="7338" t="s">
        <v>1901</v>
      </c>
      <c r="F1047" s="7338" t="str">
        <f t="shared" si="64"/>
        <v/>
      </c>
      <c r="G1047" s="7338"/>
      <c r="H1047" s="7338" t="str">
        <f t="shared" si="65"/>
        <v/>
      </c>
      <c r="I1047" s="7338">
        <v>70.0</v>
      </c>
      <c r="J1047" s="7338">
        <v>55.0</v>
      </c>
      <c r="K1047" s="7338">
        <v>55.0</v>
      </c>
      <c r="L1047" s="7338">
        <v>35.0</v>
      </c>
      <c r="M1047" s="7338">
        <v>35.0</v>
      </c>
      <c r="N1047" s="7340">
        <v>25.0</v>
      </c>
      <c r="O1047" s="7321"/>
      <c r="P1047" s="7324"/>
      <c r="Q1047" s="7324"/>
      <c r="R1047" s="7324"/>
    </row>
    <row r="1048" ht="18.75" customHeight="1">
      <c r="A1048" s="7316"/>
      <c r="B1048" s="7331" t="s">
        <v>1035</v>
      </c>
      <c r="C1048" s="7332" t="s">
        <v>3581</v>
      </c>
      <c r="D1048" s="7333"/>
      <c r="E1048" s="7332" t="s">
        <v>1901</v>
      </c>
      <c r="F1048" s="7332" t="str">
        <f t="shared" si="64"/>
        <v/>
      </c>
      <c r="G1048" s="7332"/>
      <c r="H1048" s="7332" t="str">
        <f t="shared" si="65"/>
        <v/>
      </c>
      <c r="I1048" s="7332">
        <v>120.0</v>
      </c>
      <c r="J1048" s="7332">
        <v>95.0</v>
      </c>
      <c r="K1048" s="7332">
        <v>95.0</v>
      </c>
      <c r="L1048" s="7332">
        <v>55.0</v>
      </c>
      <c r="M1048" s="7332">
        <v>75.0</v>
      </c>
      <c r="N1048" s="7334">
        <v>20.0</v>
      </c>
      <c r="O1048" s="7321"/>
      <c r="P1048" s="7324"/>
      <c r="Q1048" s="7324"/>
      <c r="R1048" s="7324"/>
    </row>
    <row r="1049" ht="18.75" customHeight="1">
      <c r="A1049" s="7316"/>
      <c r="B1049" s="7337" t="s">
        <v>3582</v>
      </c>
      <c r="C1049" s="7338" t="s">
        <v>3583</v>
      </c>
      <c r="D1049" s="7339"/>
      <c r="E1049" s="7338" t="s">
        <v>1863</v>
      </c>
      <c r="F1049" s="7338" t="str">
        <f t="shared" si="64"/>
        <v/>
      </c>
      <c r="G1049" s="7338"/>
      <c r="H1049" s="7338" t="str">
        <f t="shared" si="65"/>
        <v/>
      </c>
      <c r="I1049" s="7338">
        <v>38.0</v>
      </c>
      <c r="J1049" s="7338">
        <v>47.0</v>
      </c>
      <c r="K1049" s="7338">
        <v>35.0</v>
      </c>
      <c r="L1049" s="7338">
        <v>33.0</v>
      </c>
      <c r="M1049" s="7338">
        <v>35.0</v>
      </c>
      <c r="N1049" s="7340">
        <v>57.0</v>
      </c>
      <c r="O1049" s="7321"/>
      <c r="P1049" s="7324"/>
      <c r="Q1049" s="7324"/>
      <c r="R1049" s="7324"/>
    </row>
    <row r="1050" ht="18.75" customHeight="1">
      <c r="A1050" s="7316"/>
      <c r="B1050" s="7331" t="s">
        <v>3584</v>
      </c>
      <c r="C1050" s="7332" t="s">
        <v>3585</v>
      </c>
      <c r="D1050" s="7333"/>
      <c r="E1050" s="7341" t="s">
        <v>1863</v>
      </c>
      <c r="F1050" s="7341" t="str">
        <f t="shared" si="64"/>
        <v/>
      </c>
      <c r="G1050" s="7341"/>
      <c r="H1050" s="7341" t="str">
        <f t="shared" si="65"/>
        <v/>
      </c>
      <c r="I1050" s="7332">
        <v>68.0</v>
      </c>
      <c r="J1050" s="7332">
        <v>67.0</v>
      </c>
      <c r="K1050" s="7332">
        <v>55.0</v>
      </c>
      <c r="L1050" s="7332">
        <v>43.0</v>
      </c>
      <c r="M1050" s="7332">
        <v>55.0</v>
      </c>
      <c r="N1050" s="7334">
        <v>77.0</v>
      </c>
      <c r="O1050" s="7321"/>
      <c r="P1050" s="7324"/>
      <c r="Q1050" s="7324"/>
      <c r="R1050" s="7324"/>
    </row>
    <row r="1051" ht="18.75" customHeight="1">
      <c r="A1051" s="7316"/>
      <c r="B1051" s="7337" t="s">
        <v>1812</v>
      </c>
      <c r="C1051" s="7338" t="s">
        <v>3586</v>
      </c>
      <c r="D1051" s="7339"/>
      <c r="E1051" s="7338" t="s">
        <v>1863</v>
      </c>
      <c r="F1051" s="7338" t="str">
        <f t="shared" si="64"/>
        <v/>
      </c>
      <c r="G1051" s="7338" t="s">
        <v>1929</v>
      </c>
      <c r="H1051" s="7338" t="str">
        <f t="shared" si="65"/>
        <v/>
      </c>
      <c r="I1051" s="7338">
        <v>98.0</v>
      </c>
      <c r="J1051" s="7338">
        <v>87.0</v>
      </c>
      <c r="K1051" s="7338">
        <v>105.0</v>
      </c>
      <c r="L1051" s="7338">
        <v>53.0</v>
      </c>
      <c r="M1051" s="7338">
        <v>85.0</v>
      </c>
      <c r="N1051" s="7340">
        <v>67.0</v>
      </c>
      <c r="O1051" s="7321"/>
      <c r="P1051" s="7324"/>
      <c r="Q1051" s="7324"/>
      <c r="R1051" s="7324"/>
    </row>
    <row r="1052" ht="18.75" customHeight="1">
      <c r="A1052" s="7316"/>
      <c r="B1052" s="7331" t="s">
        <v>3587</v>
      </c>
      <c r="C1052" s="7332" t="s">
        <v>3588</v>
      </c>
      <c r="D1052" s="7333"/>
      <c r="E1052" s="7332" t="s">
        <v>1882</v>
      </c>
      <c r="F1052" s="7332" t="str">
        <f t="shared" si="64"/>
        <v/>
      </c>
      <c r="G1052" s="7332"/>
      <c r="H1052" s="7332" t="str">
        <f t="shared" si="65"/>
        <v/>
      </c>
      <c r="I1052" s="7332">
        <v>25.0</v>
      </c>
      <c r="J1052" s="7332">
        <v>20.0</v>
      </c>
      <c r="K1052" s="7332">
        <v>20.0</v>
      </c>
      <c r="L1052" s="7332">
        <v>25.0</v>
      </c>
      <c r="M1052" s="7332">
        <v>45.0</v>
      </c>
      <c r="N1052" s="7334">
        <v>45.0</v>
      </c>
      <c r="O1052" s="7321"/>
      <c r="P1052" s="7324"/>
      <c r="Q1052" s="7324"/>
      <c r="R1052" s="7324"/>
    </row>
    <row r="1053" ht="18.75" customHeight="1">
      <c r="A1053" s="7316"/>
      <c r="B1053" s="7337" t="s">
        <v>3589</v>
      </c>
      <c r="C1053" s="7338" t="s">
        <v>3590</v>
      </c>
      <c r="D1053" s="7339"/>
      <c r="E1053" s="7338" t="s">
        <v>1882</v>
      </c>
      <c r="F1053" s="7338" t="str">
        <f t="shared" si="64"/>
        <v/>
      </c>
      <c r="G1053" s="7338" t="s">
        <v>561</v>
      </c>
      <c r="H1053" s="7338" t="str">
        <f t="shared" si="65"/>
        <v/>
      </c>
      <c r="I1053" s="7338">
        <v>50.0</v>
      </c>
      <c r="J1053" s="7338">
        <v>35.0</v>
      </c>
      <c r="K1053" s="7338">
        <v>80.0</v>
      </c>
      <c r="L1053" s="7338">
        <v>50.0</v>
      </c>
      <c r="M1053" s="7338">
        <v>90.0</v>
      </c>
      <c r="N1053" s="7340">
        <v>30.0</v>
      </c>
      <c r="O1053" s="7321"/>
      <c r="P1053" s="7324"/>
      <c r="Q1053" s="7324"/>
      <c r="R1053" s="7324"/>
    </row>
    <row r="1054" ht="18.75" customHeight="1">
      <c r="A1054" s="7316"/>
      <c r="B1054" s="7331" t="s">
        <v>3591</v>
      </c>
      <c r="C1054" s="7332" t="s">
        <v>3592</v>
      </c>
      <c r="D1054" s="7333"/>
      <c r="E1054" s="7332" t="s">
        <v>1882</v>
      </c>
      <c r="F1054" s="7332" t="str">
        <f t="shared" si="64"/>
        <v/>
      </c>
      <c r="G1054" s="7332" t="s">
        <v>561</v>
      </c>
      <c r="H1054" s="7332" t="str">
        <f t="shared" si="65"/>
        <v/>
      </c>
      <c r="I1054" s="7332">
        <v>60.0</v>
      </c>
      <c r="J1054" s="7332">
        <v>45.0</v>
      </c>
      <c r="K1054" s="7332">
        <v>110.0</v>
      </c>
      <c r="L1054" s="7332">
        <v>80.0</v>
      </c>
      <c r="M1054" s="7332">
        <v>120.0</v>
      </c>
      <c r="N1054" s="7334">
        <v>90.0</v>
      </c>
      <c r="O1054" s="7321"/>
      <c r="P1054" s="7324"/>
      <c r="Q1054" s="7324"/>
      <c r="R1054" s="7324"/>
    </row>
    <row r="1055" ht="18.75" customHeight="1">
      <c r="A1055" s="7316"/>
      <c r="B1055" s="7337" t="s">
        <v>3593</v>
      </c>
      <c r="C1055" s="7342" t="s">
        <v>3594</v>
      </c>
      <c r="D1055" s="7339"/>
      <c r="E1055" s="7338" t="s">
        <v>1882</v>
      </c>
      <c r="F1055" s="7338" t="str">
        <f t="shared" si="64"/>
        <v/>
      </c>
      <c r="G1055" s="7338" t="s">
        <v>561</v>
      </c>
      <c r="H1055" s="7338" t="str">
        <f t="shared" si="65"/>
        <v/>
      </c>
      <c r="I1055" s="7338">
        <v>60.0</v>
      </c>
      <c r="J1055" s="7338">
        <v>45.0</v>
      </c>
      <c r="K1055" s="7338">
        <v>125.0</v>
      </c>
      <c r="L1055" s="7338">
        <v>135.0</v>
      </c>
      <c r="M1055" s="7338">
        <v>130.0</v>
      </c>
      <c r="N1055" s="7340">
        <v>100.0</v>
      </c>
      <c r="O1055" s="7321"/>
      <c r="P1055" s="7324"/>
      <c r="Q1055" s="7324"/>
      <c r="R1055" s="7324"/>
    </row>
    <row r="1056" ht="18.75" customHeight="1">
      <c r="A1056" s="7316"/>
      <c r="B1056" s="7331" t="s">
        <v>3595</v>
      </c>
      <c r="C1056" s="7332" t="s">
        <v>3596</v>
      </c>
      <c r="D1056" s="7333"/>
      <c r="E1056" s="7332" t="s">
        <v>1911</v>
      </c>
      <c r="F1056" s="7332" t="str">
        <f t="shared" si="64"/>
        <v/>
      </c>
      <c r="G1056" s="7332"/>
      <c r="H1056" s="7332" t="str">
        <f t="shared" si="65"/>
        <v/>
      </c>
      <c r="I1056" s="7332">
        <v>40.0</v>
      </c>
      <c r="J1056" s="7332">
        <v>28.0</v>
      </c>
      <c r="K1056" s="7332">
        <v>28.0</v>
      </c>
      <c r="L1056" s="7332">
        <v>47.0</v>
      </c>
      <c r="M1056" s="7332">
        <v>52.0</v>
      </c>
      <c r="N1056" s="7334">
        <v>50.0</v>
      </c>
      <c r="O1056" s="7321"/>
      <c r="P1056" s="7324"/>
      <c r="Q1056" s="7324"/>
      <c r="R1056" s="7324"/>
    </row>
    <row r="1057" ht="18.75" customHeight="1">
      <c r="A1057" s="7316"/>
      <c r="B1057" s="7337" t="s">
        <v>3597</v>
      </c>
      <c r="C1057" s="7338" t="s">
        <v>3598</v>
      </c>
      <c r="D1057" s="7339"/>
      <c r="E1057" s="7338" t="s">
        <v>1911</v>
      </c>
      <c r="F1057" s="7338" t="str">
        <f t="shared" si="64"/>
        <v/>
      </c>
      <c r="G1057" s="7338"/>
      <c r="H1057" s="7338" t="str">
        <f t="shared" si="65"/>
        <v/>
      </c>
      <c r="I1057" s="7338">
        <v>70.0</v>
      </c>
      <c r="J1057" s="7338">
        <v>58.0</v>
      </c>
      <c r="K1057" s="7338">
        <v>58.0</v>
      </c>
      <c r="L1057" s="7338">
        <v>97.0</v>
      </c>
      <c r="M1057" s="7338">
        <v>92.0</v>
      </c>
      <c r="N1057" s="7340">
        <v>110.0</v>
      </c>
      <c r="O1057" s="7321"/>
      <c r="P1057" s="7324"/>
      <c r="Q1057" s="7324"/>
      <c r="R1057" s="7324"/>
    </row>
    <row r="1058" ht="18.75" customHeight="1">
      <c r="A1058" s="7316"/>
      <c r="B1058" s="7331" t="s">
        <v>3599</v>
      </c>
      <c r="C1058" s="7332" t="s">
        <v>3600</v>
      </c>
      <c r="D1058" s="7333"/>
      <c r="E1058" s="7332" t="s">
        <v>1848</v>
      </c>
      <c r="F1058" s="7332" t="str">
        <f t="shared" si="64"/>
        <v/>
      </c>
      <c r="G1058" s="7332"/>
      <c r="H1058" s="7332" t="str">
        <f t="shared" si="65"/>
        <v/>
      </c>
      <c r="I1058" s="7332">
        <v>40.0</v>
      </c>
      <c r="J1058" s="7332">
        <v>40.0</v>
      </c>
      <c r="K1058" s="7332">
        <v>60.0</v>
      </c>
      <c r="L1058" s="7332">
        <v>40.0</v>
      </c>
      <c r="M1058" s="7332">
        <v>60.0</v>
      </c>
      <c r="N1058" s="7334">
        <v>10.0</v>
      </c>
      <c r="O1058" s="7321"/>
      <c r="P1058" s="7324"/>
      <c r="Q1058" s="7324"/>
      <c r="R1058" s="7324"/>
    </row>
    <row r="1059" ht="18.75" customHeight="1">
      <c r="A1059" s="7316"/>
      <c r="B1059" s="7337" t="s">
        <v>3601</v>
      </c>
      <c r="C1059" s="7338" t="s">
        <v>3602</v>
      </c>
      <c r="D1059" s="7339"/>
      <c r="E1059" s="7338" t="s">
        <v>1848</v>
      </c>
      <c r="F1059" s="7338" t="str">
        <f t="shared" si="64"/>
        <v/>
      </c>
      <c r="G1059" s="7338"/>
      <c r="H1059" s="7338" t="str">
        <f t="shared" si="65"/>
        <v/>
      </c>
      <c r="I1059" s="7338">
        <v>75.0</v>
      </c>
      <c r="J1059" s="7338">
        <v>50.0</v>
      </c>
      <c r="K1059" s="7338">
        <v>90.0</v>
      </c>
      <c r="L1059" s="7338">
        <v>90.0</v>
      </c>
      <c r="M1059" s="7338">
        <v>120.0</v>
      </c>
      <c r="N1059" s="7340">
        <v>60.0</v>
      </c>
      <c r="O1059" s="7321"/>
      <c r="P1059" s="7324"/>
      <c r="Q1059" s="7324"/>
      <c r="R1059" s="7324"/>
    </row>
    <row r="1060" ht="18.75" customHeight="1">
      <c r="A1060" s="7316"/>
      <c r="B1060" s="7331" t="s">
        <v>3603</v>
      </c>
      <c r="C1060" s="7332" t="s">
        <v>3604</v>
      </c>
      <c r="D1060" s="7333"/>
      <c r="E1060" s="7332" t="s">
        <v>1901</v>
      </c>
      <c r="F1060" s="7332" t="str">
        <f t="shared" si="64"/>
        <v/>
      </c>
      <c r="G1060" s="7332"/>
      <c r="H1060" s="7332" t="str">
        <f t="shared" si="65"/>
        <v/>
      </c>
      <c r="I1060" s="7332">
        <v>42.0</v>
      </c>
      <c r="J1060" s="7332">
        <v>40.0</v>
      </c>
      <c r="K1060" s="7332">
        <v>55.0</v>
      </c>
      <c r="L1060" s="7332">
        <v>40.0</v>
      </c>
      <c r="M1060" s="7332">
        <v>45.0</v>
      </c>
      <c r="N1060" s="7334">
        <v>48.0</v>
      </c>
      <c r="O1060" s="7321"/>
      <c r="P1060" s="7324"/>
      <c r="Q1060" s="7324"/>
      <c r="R1060" s="7324"/>
    </row>
    <row r="1061" ht="18.75" customHeight="1">
      <c r="A1061" s="7316"/>
      <c r="B1061" s="7337" t="s">
        <v>3605</v>
      </c>
      <c r="C1061" s="7338" t="s">
        <v>3606</v>
      </c>
      <c r="D1061" s="7339"/>
      <c r="E1061" s="7338" t="s">
        <v>1901</v>
      </c>
      <c r="F1061" s="7338" t="str">
        <f t="shared" si="64"/>
        <v/>
      </c>
      <c r="G1061" s="7338"/>
      <c r="H1061" s="7338" t="str">
        <f t="shared" si="65"/>
        <v/>
      </c>
      <c r="I1061" s="7338">
        <v>82.0</v>
      </c>
      <c r="J1061" s="7338">
        <v>80.0</v>
      </c>
      <c r="K1061" s="7338">
        <v>100.0</v>
      </c>
      <c r="L1061" s="7338">
        <v>60.0</v>
      </c>
      <c r="M1061" s="7338">
        <v>90.0</v>
      </c>
      <c r="N1061" s="7340">
        <v>88.0</v>
      </c>
      <c r="O1061" s="7321"/>
      <c r="P1061" s="7324"/>
      <c r="Q1061" s="7324"/>
      <c r="R1061" s="7324"/>
    </row>
    <row r="1062" ht="18.75" customHeight="1">
      <c r="A1062" s="7316"/>
      <c r="B1062" s="7331" t="s">
        <v>3607</v>
      </c>
      <c r="C1062" s="7332" t="s">
        <v>3608</v>
      </c>
      <c r="D1062" s="7333"/>
      <c r="E1062" s="7332" t="s">
        <v>1871</v>
      </c>
      <c r="F1062" s="7332" t="str">
        <f t="shared" si="64"/>
        <v/>
      </c>
      <c r="G1062" s="7332"/>
      <c r="H1062" s="7332" t="str">
        <f t="shared" si="65"/>
        <v/>
      </c>
      <c r="I1062" s="7332">
        <v>50.0</v>
      </c>
      <c r="J1062" s="7332">
        <v>64.0</v>
      </c>
      <c r="K1062" s="7332">
        <v>50.0</v>
      </c>
      <c r="L1062" s="7332">
        <v>38.0</v>
      </c>
      <c r="M1062" s="7332">
        <v>38.0</v>
      </c>
      <c r="N1062" s="7334">
        <v>44.0</v>
      </c>
      <c r="O1062" s="7321"/>
      <c r="P1062" s="7324"/>
      <c r="Q1062" s="7324"/>
      <c r="R1062" s="7324"/>
    </row>
    <row r="1063" ht="18.75" customHeight="1">
      <c r="A1063" s="7316"/>
      <c r="B1063" s="7337" t="s">
        <v>3609</v>
      </c>
      <c r="C1063" s="7338" t="s">
        <v>3610</v>
      </c>
      <c r="D1063" s="7339"/>
      <c r="E1063" s="7338" t="s">
        <v>1871</v>
      </c>
      <c r="F1063" s="7338" t="str">
        <f t="shared" ref="F1063:F1081" si="66">IFERROR(VLOOKUP(E1063,P$3:Q1082,2,False),"")</f>
        <v/>
      </c>
      <c r="G1063" s="7338" t="s">
        <v>2014</v>
      </c>
      <c r="H1063" s="7338" t="str">
        <f t="shared" ref="H1063:H1081" si="67">IFERROR(VLOOKUP(G1063,P$3:Q1082,2,False),"")</f>
        <v/>
      </c>
      <c r="I1063" s="7338">
        <v>90.0</v>
      </c>
      <c r="J1063" s="7338">
        <v>115.0</v>
      </c>
      <c r="K1063" s="7338">
        <v>90.0</v>
      </c>
      <c r="L1063" s="7338">
        <v>48.0</v>
      </c>
      <c r="M1063" s="7338">
        <v>68.0</v>
      </c>
      <c r="N1063" s="7340">
        <v>74.0</v>
      </c>
      <c r="O1063" s="7321"/>
      <c r="P1063" s="7324"/>
      <c r="Q1063" s="7324"/>
      <c r="R1063" s="7324"/>
    </row>
    <row r="1064" ht="18.75" customHeight="1">
      <c r="A1064" s="7316"/>
      <c r="B1064" s="7331" t="s">
        <v>1537</v>
      </c>
      <c r="C1064" s="7341" t="s">
        <v>3611</v>
      </c>
      <c r="D1064" s="7333"/>
      <c r="E1064" s="7332" t="s">
        <v>1871</v>
      </c>
      <c r="F1064" s="7332" t="str">
        <f t="shared" si="66"/>
        <v/>
      </c>
      <c r="G1064" s="7332" t="s">
        <v>1939</v>
      </c>
      <c r="H1064" s="7332" t="str">
        <f t="shared" si="67"/>
        <v/>
      </c>
      <c r="I1064" s="7332">
        <v>90.0</v>
      </c>
      <c r="J1064" s="7332">
        <v>155.0</v>
      </c>
      <c r="K1064" s="7332">
        <v>125.0</v>
      </c>
      <c r="L1064" s="7332">
        <v>48.0</v>
      </c>
      <c r="M1064" s="7332">
        <v>98.0</v>
      </c>
      <c r="N1064" s="7334">
        <v>85.0</v>
      </c>
      <c r="O1064" s="7321"/>
      <c r="P1064" s="7324"/>
      <c r="Q1064" s="7324"/>
      <c r="R1064" s="7324"/>
    </row>
    <row r="1065" ht="18.75" customHeight="1">
      <c r="A1065" s="7316"/>
      <c r="B1065" s="7337" t="s">
        <v>3612</v>
      </c>
      <c r="C1065" s="7338" t="s">
        <v>3613</v>
      </c>
      <c r="D1065" s="7339"/>
      <c r="E1065" s="7338" t="s">
        <v>1926</v>
      </c>
      <c r="F1065" s="7338" t="str">
        <f t="shared" si="66"/>
        <v/>
      </c>
      <c r="G1065" s="7338"/>
      <c r="H1065" s="7338" t="str">
        <f t="shared" si="67"/>
        <v/>
      </c>
      <c r="I1065" s="7338">
        <v>59.0</v>
      </c>
      <c r="J1065" s="7338">
        <v>45.0</v>
      </c>
      <c r="K1065" s="7338">
        <v>50.0</v>
      </c>
      <c r="L1065" s="7338">
        <v>40.0</v>
      </c>
      <c r="M1065" s="7338">
        <v>50.0</v>
      </c>
      <c r="N1065" s="7340">
        <v>26.0</v>
      </c>
      <c r="O1065" s="7321"/>
      <c r="P1065" s="7324"/>
      <c r="Q1065" s="7324"/>
      <c r="R1065" s="7324"/>
    </row>
    <row r="1066" ht="18.75" customHeight="1">
      <c r="A1066" s="7316"/>
      <c r="B1066" s="7331" t="s">
        <v>3614</v>
      </c>
      <c r="C1066" s="7332" t="s">
        <v>3615</v>
      </c>
      <c r="D1066" s="7333"/>
      <c r="E1066" s="7332" t="s">
        <v>1926</v>
      </c>
      <c r="F1066" s="7332" t="str">
        <f t="shared" si="66"/>
        <v/>
      </c>
      <c r="G1066" s="7332"/>
      <c r="H1066" s="7332" t="str">
        <f t="shared" si="67"/>
        <v/>
      </c>
      <c r="I1066" s="7332">
        <v>69.0</v>
      </c>
      <c r="J1066" s="7332">
        <v>100.0</v>
      </c>
      <c r="K1066" s="7332">
        <v>60.0</v>
      </c>
      <c r="L1066" s="7332">
        <v>80.0</v>
      </c>
      <c r="M1066" s="7332">
        <v>60.0</v>
      </c>
      <c r="N1066" s="7334">
        <v>121.0</v>
      </c>
      <c r="O1066" s="7321"/>
      <c r="P1066" s="7324"/>
      <c r="Q1066" s="7324"/>
      <c r="R1066" s="7324"/>
    </row>
    <row r="1067" ht="18.75" customHeight="1">
      <c r="A1067" s="7316"/>
      <c r="B1067" s="7337" t="s">
        <v>3616</v>
      </c>
      <c r="C1067" s="7338" t="s">
        <v>3617</v>
      </c>
      <c r="D1067" s="7339"/>
      <c r="E1067" s="7338" t="s">
        <v>2014</v>
      </c>
      <c r="F1067" s="7338" t="str">
        <f t="shared" si="66"/>
        <v/>
      </c>
      <c r="G1067" s="7338"/>
      <c r="H1067" s="7338" t="str">
        <f t="shared" si="67"/>
        <v/>
      </c>
      <c r="I1067" s="7338">
        <v>30.0</v>
      </c>
      <c r="J1067" s="7338">
        <v>40.0</v>
      </c>
      <c r="K1067" s="7338">
        <v>50.0</v>
      </c>
      <c r="L1067" s="7338">
        <v>40.0</v>
      </c>
      <c r="M1067" s="7338">
        <v>50.0</v>
      </c>
      <c r="N1067" s="7340">
        <v>30.0</v>
      </c>
      <c r="O1067" s="7321"/>
      <c r="P1067" s="7324"/>
      <c r="Q1067" s="7324"/>
      <c r="R1067" s="7324"/>
    </row>
    <row r="1068" ht="18.75" customHeight="1">
      <c r="A1068" s="7316"/>
      <c r="B1068" s="7331" t="s">
        <v>3618</v>
      </c>
      <c r="C1068" s="7332" t="s">
        <v>3619</v>
      </c>
      <c r="D1068" s="7333"/>
      <c r="E1068" s="7332" t="s">
        <v>2014</v>
      </c>
      <c r="F1068" s="7332" t="str">
        <f t="shared" si="66"/>
        <v/>
      </c>
      <c r="G1068" s="7332" t="s">
        <v>1858</v>
      </c>
      <c r="H1068" s="7332" t="str">
        <f t="shared" si="67"/>
        <v/>
      </c>
      <c r="I1068" s="7332">
        <v>80.0</v>
      </c>
      <c r="J1068" s="7332">
        <v>60.0</v>
      </c>
      <c r="K1068" s="7332">
        <v>90.0</v>
      </c>
      <c r="L1068" s="7332">
        <v>60.0</v>
      </c>
      <c r="M1068" s="7332">
        <v>70.0</v>
      </c>
      <c r="N1068" s="7334">
        <v>50.0</v>
      </c>
      <c r="O1068" s="7321"/>
      <c r="P1068" s="7324"/>
      <c r="Q1068" s="7324"/>
      <c r="R1068" s="7324"/>
    </row>
    <row r="1069" ht="18.75" customHeight="1">
      <c r="A1069" s="7316"/>
      <c r="B1069" s="7337" t="s">
        <v>3620</v>
      </c>
      <c r="C1069" s="7338" t="s">
        <v>3621</v>
      </c>
      <c r="D1069" s="7339"/>
      <c r="E1069" s="7338" t="s">
        <v>2014</v>
      </c>
      <c r="F1069" s="7338" t="str">
        <f t="shared" si="66"/>
        <v/>
      </c>
      <c r="G1069" s="7338" t="s">
        <v>1858</v>
      </c>
      <c r="H1069" s="7338" t="str">
        <f t="shared" si="67"/>
        <v/>
      </c>
      <c r="I1069" s="7338">
        <v>110.0</v>
      </c>
      <c r="J1069" s="7338">
        <v>80.0</v>
      </c>
      <c r="K1069" s="7338">
        <v>120.0</v>
      </c>
      <c r="L1069" s="7338">
        <v>80.0</v>
      </c>
      <c r="M1069" s="7338">
        <v>90.0</v>
      </c>
      <c r="N1069" s="7340">
        <v>30.0</v>
      </c>
      <c r="O1069" s="7321"/>
      <c r="P1069" s="7324"/>
      <c r="Q1069" s="7324"/>
      <c r="R1069" s="7324"/>
    </row>
    <row r="1070" ht="18.75" customHeight="1">
      <c r="A1070" s="7316"/>
      <c r="B1070" s="7331" t="s">
        <v>3622</v>
      </c>
      <c r="C1070" s="7341" t="s">
        <v>3623</v>
      </c>
      <c r="D1070" s="7333"/>
      <c r="E1070" s="7332" t="s">
        <v>2014</v>
      </c>
      <c r="F1070" s="7332" t="str">
        <f t="shared" si="66"/>
        <v/>
      </c>
      <c r="G1070" s="7332" t="s">
        <v>1858</v>
      </c>
      <c r="H1070" s="7332" t="str">
        <f t="shared" si="67"/>
        <v/>
      </c>
      <c r="I1070" s="7332">
        <v>110.0</v>
      </c>
      <c r="J1070" s="7332">
        <v>80.0</v>
      </c>
      <c r="K1070" s="7332">
        <v>125.0</v>
      </c>
      <c r="L1070" s="7332">
        <v>125.0</v>
      </c>
      <c r="M1070" s="7332">
        <v>105.0</v>
      </c>
      <c r="N1070" s="7334">
        <v>45.0</v>
      </c>
      <c r="O1070" s="7321"/>
      <c r="P1070" s="7324"/>
      <c r="Q1070" s="7324"/>
      <c r="R1070" s="7324"/>
    </row>
    <row r="1071" ht="18.75" customHeight="1">
      <c r="A1071" s="7316"/>
      <c r="B1071" s="7337" t="s">
        <v>3624</v>
      </c>
      <c r="C1071" s="7338" t="s">
        <v>3625</v>
      </c>
      <c r="D1071" s="7339"/>
      <c r="E1071" s="7338" t="s">
        <v>1848</v>
      </c>
      <c r="F1071" s="7338" t="str">
        <f t="shared" si="66"/>
        <v/>
      </c>
      <c r="G1071" s="7338" t="s">
        <v>1866</v>
      </c>
      <c r="H1071" s="7338" t="str">
        <f t="shared" si="67"/>
        <v/>
      </c>
      <c r="I1071" s="7338">
        <v>40.0</v>
      </c>
      <c r="J1071" s="7338">
        <v>40.0</v>
      </c>
      <c r="K1071" s="7338">
        <v>80.0</v>
      </c>
      <c r="L1071" s="7338">
        <v>40.0</v>
      </c>
      <c r="M1071" s="7338">
        <v>40.0</v>
      </c>
      <c r="N1071" s="7340">
        <v>20.0</v>
      </c>
      <c r="O1071" s="7321"/>
      <c r="P1071" s="7324"/>
      <c r="Q1071" s="7324"/>
      <c r="R1071" s="7324"/>
    </row>
    <row r="1072" ht="18.75" customHeight="1">
      <c r="A1072" s="7316"/>
      <c r="B1072" s="7331" t="s">
        <v>3626</v>
      </c>
      <c r="C1072" s="7332" t="s">
        <v>3627</v>
      </c>
      <c r="D1072" s="7333"/>
      <c r="E1072" s="7332" t="s">
        <v>1848</v>
      </c>
      <c r="F1072" s="7332" t="str">
        <f t="shared" si="66"/>
        <v/>
      </c>
      <c r="G1072" s="7332" t="s">
        <v>1866</v>
      </c>
      <c r="H1072" s="7332" t="str">
        <f t="shared" si="67"/>
        <v/>
      </c>
      <c r="I1072" s="7332">
        <v>70.0</v>
      </c>
      <c r="J1072" s="7332">
        <v>110.0</v>
      </c>
      <c r="K1072" s="7332">
        <v>80.0</v>
      </c>
      <c r="L1072" s="7332">
        <v>95.0</v>
      </c>
      <c r="M1072" s="7332">
        <v>60.0</v>
      </c>
      <c r="N1072" s="7334">
        <v>70.0</v>
      </c>
      <c r="O1072" s="7321"/>
      <c r="P1072" s="7324"/>
      <c r="Q1072" s="7324"/>
      <c r="R1072" s="7324"/>
    </row>
    <row r="1073" ht="18.75" customHeight="1">
      <c r="A1073" s="7316"/>
      <c r="B1073" s="7337" t="s">
        <v>1339</v>
      </c>
      <c r="C1073" s="7342" t="s">
        <v>3628</v>
      </c>
      <c r="D1073" s="7339"/>
      <c r="E1073" s="7338" t="s">
        <v>1848</v>
      </c>
      <c r="F1073" s="7338" t="str">
        <f t="shared" si="66"/>
        <v/>
      </c>
      <c r="G1073" s="7338" t="s">
        <v>1866</v>
      </c>
      <c r="H1073" s="7338" t="str">
        <f t="shared" si="67"/>
        <v/>
      </c>
      <c r="I1073" s="7338">
        <v>70.0</v>
      </c>
      <c r="J1073" s="7338">
        <v>145.0</v>
      </c>
      <c r="K1073" s="7338">
        <v>90.0</v>
      </c>
      <c r="L1073" s="7338">
        <v>135.0</v>
      </c>
      <c r="M1073" s="7338">
        <v>70.0</v>
      </c>
      <c r="N1073" s="7340">
        <v>105.0</v>
      </c>
      <c r="O1073" s="7321"/>
      <c r="P1073" s="7324"/>
      <c r="Q1073" s="7324"/>
      <c r="R1073" s="7324"/>
    </row>
    <row r="1074" ht="18.75" customHeight="1">
      <c r="A1074" s="7316"/>
      <c r="B1074" s="7331" t="s">
        <v>3629</v>
      </c>
      <c r="C1074" s="7332" t="s">
        <v>3630</v>
      </c>
      <c r="D1074" s="7333"/>
      <c r="E1074" s="7332" t="s">
        <v>1848</v>
      </c>
      <c r="F1074" s="7332" t="str">
        <f t="shared" si="66"/>
        <v/>
      </c>
      <c r="G1074" s="7332" t="s">
        <v>1866</v>
      </c>
      <c r="H1074" s="7332" t="str">
        <f t="shared" si="67"/>
        <v/>
      </c>
      <c r="I1074" s="7332">
        <v>110.0</v>
      </c>
      <c r="J1074" s="7332">
        <v>85.0</v>
      </c>
      <c r="K1074" s="7332">
        <v>80.0</v>
      </c>
      <c r="L1074" s="7332">
        <v>100.0</v>
      </c>
      <c r="M1074" s="7332">
        <v>80.0</v>
      </c>
      <c r="N1074" s="7334">
        <v>30.0</v>
      </c>
      <c r="O1074" s="7321"/>
      <c r="P1074" s="7324"/>
      <c r="Q1074" s="7324"/>
      <c r="R1074" s="7324"/>
    </row>
    <row r="1075" ht="18.75" customHeight="1">
      <c r="A1075" s="7316"/>
      <c r="B1075" s="7337" t="s">
        <v>1347</v>
      </c>
      <c r="C1075" s="7342" t="s">
        <v>3631</v>
      </c>
      <c r="D1075" s="7339"/>
      <c r="E1075" s="7338" t="s">
        <v>1848</v>
      </c>
      <c r="F1075" s="7338" t="str">
        <f t="shared" si="66"/>
        <v/>
      </c>
      <c r="G1075" s="7338" t="s">
        <v>1866</v>
      </c>
      <c r="H1075" s="7338" t="str">
        <f t="shared" si="67"/>
        <v/>
      </c>
      <c r="I1075" s="7338">
        <v>110.0</v>
      </c>
      <c r="J1075" s="7338">
        <v>105.0</v>
      </c>
      <c r="K1075" s="7338">
        <v>100.0</v>
      </c>
      <c r="L1075" s="7338">
        <v>135.0</v>
      </c>
      <c r="M1075" s="7338">
        <v>100.0</v>
      </c>
      <c r="N1075" s="7340">
        <v>40.0</v>
      </c>
      <c r="O1075" s="7321"/>
      <c r="P1075" s="7324"/>
      <c r="Q1075" s="7324"/>
      <c r="R1075" s="7324"/>
    </row>
    <row r="1076" ht="18.75" customHeight="1">
      <c r="A1076" s="7316"/>
      <c r="B1076" s="7331" t="s">
        <v>3632</v>
      </c>
      <c r="C1076" s="7332" t="s">
        <v>3633</v>
      </c>
      <c r="D1076" s="7333"/>
      <c r="E1076" s="7332" t="s">
        <v>1948</v>
      </c>
      <c r="F1076" s="7332" t="str">
        <f t="shared" si="66"/>
        <v/>
      </c>
      <c r="G1076" s="7332"/>
      <c r="H1076" s="7332" t="str">
        <f t="shared" si="67"/>
        <v/>
      </c>
      <c r="I1076" s="7332">
        <v>52.0</v>
      </c>
      <c r="J1076" s="7332">
        <v>57.0</v>
      </c>
      <c r="K1076" s="7332">
        <v>75.0</v>
      </c>
      <c r="L1076" s="7332">
        <v>35.0</v>
      </c>
      <c r="M1076" s="7332">
        <v>50.0</v>
      </c>
      <c r="N1076" s="7334">
        <v>46.0</v>
      </c>
      <c r="O1076" s="7321"/>
      <c r="P1076" s="7324"/>
      <c r="Q1076" s="7324"/>
      <c r="R1076" s="7324"/>
    </row>
    <row r="1077" ht="18.75" customHeight="1">
      <c r="A1077" s="7316"/>
      <c r="B1077" s="7337" t="s">
        <v>3634</v>
      </c>
      <c r="C1077" s="7338" t="s">
        <v>3635</v>
      </c>
      <c r="D1077" s="7339"/>
      <c r="E1077" s="7338" t="s">
        <v>1948</v>
      </c>
      <c r="F1077" s="7338" t="str">
        <f t="shared" si="66"/>
        <v/>
      </c>
      <c r="G1077" s="7338"/>
      <c r="H1077" s="7338" t="str">
        <f t="shared" si="67"/>
        <v/>
      </c>
      <c r="I1077" s="7338">
        <v>72.0</v>
      </c>
      <c r="J1077" s="7338">
        <v>107.0</v>
      </c>
      <c r="K1077" s="7338">
        <v>125.0</v>
      </c>
      <c r="L1077" s="7338">
        <v>65.0</v>
      </c>
      <c r="M1077" s="7338">
        <v>70.0</v>
      </c>
      <c r="N1077" s="7340">
        <v>71.0</v>
      </c>
      <c r="O1077" s="7321"/>
      <c r="P1077" s="7324"/>
      <c r="Q1077" s="7324"/>
      <c r="R1077" s="7324"/>
    </row>
    <row r="1078" ht="18.75" customHeight="1">
      <c r="A1078" s="7316"/>
      <c r="B1078" s="7331" t="s">
        <v>1355</v>
      </c>
      <c r="C1078" s="7341" t="s">
        <v>3636</v>
      </c>
      <c r="D1078" s="7333"/>
      <c r="E1078" s="7341" t="s">
        <v>1948</v>
      </c>
      <c r="F1078" s="7332" t="str">
        <f t="shared" si="66"/>
        <v/>
      </c>
      <c r="G1078" s="7341" t="s">
        <v>1863</v>
      </c>
      <c r="H1078" s="7332" t="str">
        <f t="shared" si="67"/>
        <v/>
      </c>
      <c r="I1078" s="7332">
        <v>72.0</v>
      </c>
      <c r="J1078" s="7332">
        <v>140.0</v>
      </c>
      <c r="K1078" s="7332">
        <v>160.0</v>
      </c>
      <c r="L1078" s="7332">
        <v>85.0</v>
      </c>
      <c r="M1078" s="7332">
        <v>90.0</v>
      </c>
      <c r="N1078" s="7334">
        <v>81.0</v>
      </c>
      <c r="O1078" s="7321"/>
      <c r="P1078" s="7324"/>
      <c r="Q1078" s="7324"/>
      <c r="R1078" s="7324"/>
    </row>
    <row r="1079" ht="18.75" customHeight="1">
      <c r="A1079" s="7316"/>
      <c r="B1079" s="7337" t="s">
        <v>1067</v>
      </c>
      <c r="C1079" s="7338" t="s">
        <v>3637</v>
      </c>
      <c r="D1079" s="7339"/>
      <c r="E1079" s="7338" t="s">
        <v>1863</v>
      </c>
      <c r="F1079" s="7338" t="str">
        <f t="shared" si="66"/>
        <v/>
      </c>
      <c r="G1079" s="7338" t="s">
        <v>1871</v>
      </c>
      <c r="H1079" s="7338" t="str">
        <f t="shared" si="67"/>
        <v/>
      </c>
      <c r="I1079" s="7338">
        <v>85.0</v>
      </c>
      <c r="J1079" s="7338">
        <v>85.0</v>
      </c>
      <c r="K1079" s="7338">
        <v>65.0</v>
      </c>
      <c r="L1079" s="7338">
        <v>100.0</v>
      </c>
      <c r="M1079" s="7338">
        <v>95.0</v>
      </c>
      <c r="N1079" s="7340">
        <v>105.0</v>
      </c>
      <c r="O1079" s="7321"/>
      <c r="P1079" s="7324"/>
      <c r="Q1079" s="7324"/>
      <c r="R1079" s="7324"/>
    </row>
    <row r="1080" ht="18.75" customHeight="1">
      <c r="A1080" s="7316"/>
      <c r="B1080" s="7331" t="s">
        <v>3638</v>
      </c>
      <c r="C1080" s="7341" t="s">
        <v>3639</v>
      </c>
      <c r="D1080" s="7333"/>
      <c r="E1080" s="7332" t="s">
        <v>1863</v>
      </c>
      <c r="F1080" s="7332" t="str">
        <f t="shared" si="66"/>
        <v/>
      </c>
      <c r="G1080" s="7332" t="s">
        <v>1871</v>
      </c>
      <c r="H1080" s="7332" t="str">
        <f t="shared" si="67"/>
        <v/>
      </c>
      <c r="I1080" s="7332">
        <v>85.0</v>
      </c>
      <c r="J1080" s="7332">
        <v>85.0</v>
      </c>
      <c r="K1080" s="7332">
        <v>65.0</v>
      </c>
      <c r="L1080" s="7332">
        <v>100.0</v>
      </c>
      <c r="M1080" s="7332">
        <v>95.0</v>
      </c>
      <c r="N1080" s="7334">
        <v>105.0</v>
      </c>
      <c r="O1080" s="7321"/>
      <c r="P1080" s="7324"/>
      <c r="Q1080" s="7324"/>
      <c r="R1080" s="7324"/>
    </row>
    <row r="1081" ht="18.75" customHeight="1">
      <c r="A1081" s="7316"/>
      <c r="B1081" s="7337" t="s">
        <v>3640</v>
      </c>
      <c r="C1081" s="7342" t="s">
        <v>3641</v>
      </c>
      <c r="D1081" s="7339"/>
      <c r="E1081" s="7338" t="s">
        <v>1863</v>
      </c>
      <c r="F1081" s="7338" t="str">
        <f t="shared" si="66"/>
        <v/>
      </c>
      <c r="G1081" s="7338" t="s">
        <v>1871</v>
      </c>
      <c r="H1081" s="7338" t="str">
        <f t="shared" si="67"/>
        <v/>
      </c>
      <c r="I1081" s="7338">
        <v>85.0</v>
      </c>
      <c r="J1081" s="7338">
        <v>85.0</v>
      </c>
      <c r="K1081" s="7338">
        <v>65.0</v>
      </c>
      <c r="L1081" s="7338">
        <v>100.0</v>
      </c>
      <c r="M1081" s="7338">
        <v>95.0</v>
      </c>
      <c r="N1081" s="7340">
        <v>105.0</v>
      </c>
      <c r="O1081" s="7321"/>
      <c r="P1081" s="7324"/>
      <c r="Q1081" s="7324"/>
      <c r="R1081" s="7324"/>
    </row>
    <row r="1082" ht="18.75" customHeight="1">
      <c r="A1082" s="7316"/>
      <c r="B1082" s="7331" t="s">
        <v>3642</v>
      </c>
      <c r="C1082" s="7332" t="s">
        <v>3643</v>
      </c>
      <c r="D1082" s="7333"/>
      <c r="E1082" s="7332" t="s">
        <v>1871</v>
      </c>
      <c r="F1082" s="7332" t="str">
        <f t="shared" ref="F1082:F1139" si="68">IFERROR(VLOOKUP(E1082,P$3:Q1099,2,False),"")</f>
        <v/>
      </c>
      <c r="G1082" s="7332"/>
      <c r="H1082" s="7332" t="str">
        <f t="shared" ref="H1082:H1139" si="69">IFERROR(VLOOKUP(G1082,P$3:Q1099,2,False),"")</f>
        <v/>
      </c>
      <c r="I1082" s="7332">
        <v>41.0</v>
      </c>
      <c r="J1082" s="7332">
        <v>63.0</v>
      </c>
      <c r="K1082" s="7332">
        <v>40.0</v>
      </c>
      <c r="L1082" s="7332">
        <v>40.0</v>
      </c>
      <c r="M1082" s="7332">
        <v>30.0</v>
      </c>
      <c r="N1082" s="7334">
        <v>66.0</v>
      </c>
      <c r="O1082" s="7321"/>
      <c r="P1082" s="7324"/>
      <c r="Q1082" s="7324"/>
      <c r="R1082" s="7324"/>
    </row>
    <row r="1083" ht="18.75" customHeight="1">
      <c r="A1083" s="7316"/>
      <c r="B1083" s="7337" t="s">
        <v>1682</v>
      </c>
      <c r="C1083" s="7338" t="s">
        <v>3644</v>
      </c>
      <c r="D1083" s="7339"/>
      <c r="E1083" s="7338" t="s">
        <v>1871</v>
      </c>
      <c r="F1083" s="7338" t="str">
        <f t="shared" si="68"/>
        <v/>
      </c>
      <c r="G1083" s="7338"/>
      <c r="H1083" s="7338" t="str">
        <f t="shared" si="69"/>
        <v/>
      </c>
      <c r="I1083" s="7338">
        <v>61.0</v>
      </c>
      <c r="J1083" s="7338">
        <v>123.0</v>
      </c>
      <c r="K1083" s="7338">
        <v>60.0</v>
      </c>
      <c r="L1083" s="7338">
        <v>60.0</v>
      </c>
      <c r="M1083" s="7338">
        <v>50.0</v>
      </c>
      <c r="N1083" s="7340">
        <v>136.0</v>
      </c>
      <c r="O1083" s="7321"/>
      <c r="P1083" s="7324"/>
      <c r="Q1083" s="7324"/>
      <c r="R1083" s="7324"/>
    </row>
    <row r="1084" ht="18.75" customHeight="1">
      <c r="A1084" s="7316"/>
      <c r="B1084" s="7331" t="s">
        <v>3645</v>
      </c>
      <c r="C1084" s="7332" t="s">
        <v>3646</v>
      </c>
      <c r="D1084" s="7333"/>
      <c r="E1084" s="7332" t="s">
        <v>1926</v>
      </c>
      <c r="F1084" s="7332" t="str">
        <f t="shared" si="68"/>
        <v/>
      </c>
      <c r="G1084" s="7332" t="s">
        <v>1849</v>
      </c>
      <c r="H1084" s="7332" t="str">
        <f t="shared" si="69"/>
        <v/>
      </c>
      <c r="I1084" s="7332">
        <v>40.0</v>
      </c>
      <c r="J1084" s="7332">
        <v>38.0</v>
      </c>
      <c r="K1084" s="7332">
        <v>35.0</v>
      </c>
      <c r="L1084" s="7332">
        <v>54.0</v>
      </c>
      <c r="M1084" s="7332">
        <v>35.0</v>
      </c>
      <c r="N1084" s="7334">
        <v>40.0</v>
      </c>
      <c r="O1084" s="7321"/>
      <c r="P1084" s="7324"/>
      <c r="Q1084" s="7324"/>
      <c r="R1084" s="7324"/>
    </row>
    <row r="1085" ht="18.75" customHeight="1">
      <c r="A1085" s="7316"/>
      <c r="B1085" s="7337" t="s">
        <v>3647</v>
      </c>
      <c r="C1085" s="7338" t="s">
        <v>3648</v>
      </c>
      <c r="D1085" s="7339"/>
      <c r="E1085" s="7338" t="s">
        <v>1926</v>
      </c>
      <c r="F1085" s="7338" t="str">
        <f t="shared" si="68"/>
        <v/>
      </c>
      <c r="G1085" s="7338" t="s">
        <v>1849</v>
      </c>
      <c r="H1085" s="7338" t="str">
        <f t="shared" si="69"/>
        <v/>
      </c>
      <c r="I1085" s="7338">
        <v>75.0</v>
      </c>
      <c r="J1085" s="7338">
        <v>98.0</v>
      </c>
      <c r="K1085" s="7338">
        <v>70.0</v>
      </c>
      <c r="L1085" s="7338">
        <v>114.0</v>
      </c>
      <c r="M1085" s="7338">
        <v>70.0</v>
      </c>
      <c r="N1085" s="7340">
        <v>75.0</v>
      </c>
      <c r="O1085" s="7321"/>
      <c r="P1085" s="7324"/>
      <c r="Q1085" s="7324"/>
      <c r="R1085" s="7324"/>
    </row>
    <row r="1086" ht="18.75" customHeight="1">
      <c r="A1086" s="7316"/>
      <c r="B1086" s="7331" t="s">
        <v>327</v>
      </c>
      <c r="C1086" s="7341" t="s">
        <v>3649</v>
      </c>
      <c r="D1086" s="7333"/>
      <c r="E1086" s="7332" t="s">
        <v>1926</v>
      </c>
      <c r="F1086" s="7332" t="str">
        <f t="shared" si="68"/>
        <v/>
      </c>
      <c r="G1086" s="7332" t="s">
        <v>1849</v>
      </c>
      <c r="H1086" s="7332" t="str">
        <f t="shared" si="69"/>
        <v/>
      </c>
      <c r="I1086" s="7332">
        <v>75.0</v>
      </c>
      <c r="J1086" s="7332">
        <v>120.0</v>
      </c>
      <c r="K1086" s="7332">
        <v>80.0</v>
      </c>
      <c r="L1086" s="7332">
        <v>155.0</v>
      </c>
      <c r="M1086" s="7332">
        <v>80.0</v>
      </c>
      <c r="N1086" s="7334">
        <v>111.0</v>
      </c>
      <c r="O1086" s="7321"/>
      <c r="P1086" s="7324"/>
      <c r="Q1086" s="7324"/>
      <c r="R1086" s="7324"/>
    </row>
    <row r="1087" ht="18.75" customHeight="1">
      <c r="A1087" s="7316"/>
      <c r="B1087" s="7337" t="s">
        <v>3650</v>
      </c>
      <c r="C1087" s="7338" t="s">
        <v>3651</v>
      </c>
      <c r="D1087" s="7339"/>
      <c r="E1087" s="7338" t="s">
        <v>1858</v>
      </c>
      <c r="F1087" s="7338" t="str">
        <f t="shared" si="68"/>
        <v/>
      </c>
      <c r="G1087" s="7338" t="s">
        <v>1882</v>
      </c>
      <c r="H1087" s="7338" t="str">
        <f t="shared" si="69"/>
        <v/>
      </c>
      <c r="I1087" s="7338">
        <v>50.0</v>
      </c>
      <c r="J1087" s="7338">
        <v>65.0</v>
      </c>
      <c r="K1087" s="7338">
        <v>45.0</v>
      </c>
      <c r="L1087" s="7338">
        <v>50.0</v>
      </c>
      <c r="M1087" s="7338">
        <v>50.0</v>
      </c>
      <c r="N1087" s="7340">
        <v>45.0</v>
      </c>
      <c r="O1087" s="7321"/>
      <c r="P1087" s="7324"/>
      <c r="Q1087" s="7324"/>
      <c r="R1087" s="7324"/>
    </row>
    <row r="1088" ht="18.75" customHeight="1">
      <c r="A1088" s="7316"/>
      <c r="B1088" s="7331" t="s">
        <v>3652</v>
      </c>
      <c r="C1088" s="7332" t="s">
        <v>3653</v>
      </c>
      <c r="D1088" s="7333"/>
      <c r="E1088" s="7332" t="s">
        <v>1858</v>
      </c>
      <c r="F1088" s="7332" t="str">
        <f t="shared" si="68"/>
        <v/>
      </c>
      <c r="G1088" s="7332" t="s">
        <v>1882</v>
      </c>
      <c r="H1088" s="7332" t="str">
        <f t="shared" si="69"/>
        <v/>
      </c>
      <c r="I1088" s="7332">
        <v>100.0</v>
      </c>
      <c r="J1088" s="7332">
        <v>115.0</v>
      </c>
      <c r="K1088" s="7332">
        <v>65.0</v>
      </c>
      <c r="L1088" s="7332">
        <v>90.0</v>
      </c>
      <c r="M1088" s="7332">
        <v>90.0</v>
      </c>
      <c r="N1088" s="7334">
        <v>65.0</v>
      </c>
      <c r="O1088" s="7321"/>
      <c r="P1088" s="7324"/>
      <c r="Q1088" s="7324"/>
      <c r="R1088" s="7324"/>
    </row>
    <row r="1089" ht="18.75" customHeight="1">
      <c r="A1089" s="7316"/>
      <c r="B1089" s="7337" t="s">
        <v>1243</v>
      </c>
      <c r="C1089" s="7342" t="s">
        <v>3654</v>
      </c>
      <c r="D1089" s="7339"/>
      <c r="E1089" s="7338" t="s">
        <v>1858</v>
      </c>
      <c r="F1089" s="7338" t="str">
        <f t="shared" si="68"/>
        <v/>
      </c>
      <c r="G1089" s="7338" t="s">
        <v>1882</v>
      </c>
      <c r="H1089" s="7338" t="str">
        <f t="shared" si="69"/>
        <v/>
      </c>
      <c r="I1089" s="7338">
        <v>100.0</v>
      </c>
      <c r="J1089" s="7338">
        <v>150.0</v>
      </c>
      <c r="K1089" s="7338">
        <v>80.0</v>
      </c>
      <c r="L1089" s="7338">
        <v>90.0</v>
      </c>
      <c r="M1089" s="7338">
        <v>110.0</v>
      </c>
      <c r="N1089" s="7340">
        <v>85.0</v>
      </c>
      <c r="O1089" s="7321"/>
      <c r="P1089" s="7324"/>
      <c r="Q1089" s="7324"/>
      <c r="R1089" s="7324"/>
    </row>
    <row r="1090" ht="18.75" customHeight="1">
      <c r="A1090" s="7316"/>
      <c r="B1090" s="7331" t="s">
        <v>3655</v>
      </c>
      <c r="C1090" s="7332" t="s">
        <v>3656</v>
      </c>
      <c r="D1090" s="7333"/>
      <c r="E1090" s="7332" t="s">
        <v>1939</v>
      </c>
      <c r="F1090" s="7332" t="str">
        <f t="shared" si="68"/>
        <v/>
      </c>
      <c r="G1090" s="7332"/>
      <c r="H1090" s="7332" t="str">
        <f t="shared" si="69"/>
        <v/>
      </c>
      <c r="I1090" s="7332">
        <v>50.0</v>
      </c>
      <c r="J1090" s="7332">
        <v>68.0</v>
      </c>
      <c r="K1090" s="7332">
        <v>60.0</v>
      </c>
      <c r="L1090" s="7332">
        <v>50.0</v>
      </c>
      <c r="M1090" s="7332">
        <v>50.0</v>
      </c>
      <c r="N1090" s="7334">
        <v>32.0</v>
      </c>
      <c r="O1090" s="7321"/>
      <c r="P1090" s="7324"/>
      <c r="Q1090" s="7324"/>
      <c r="R1090" s="7324"/>
    </row>
    <row r="1091" ht="18.75" customHeight="1">
      <c r="A1091" s="7316"/>
      <c r="B1091" s="7337" t="s">
        <v>1666</v>
      </c>
      <c r="C1091" s="7338" t="s">
        <v>3657</v>
      </c>
      <c r="D1091" s="7339"/>
      <c r="E1091" s="7338" t="s">
        <v>1871</v>
      </c>
      <c r="F1091" s="7338" t="str">
        <f t="shared" si="68"/>
        <v/>
      </c>
      <c r="G1091" s="7338" t="s">
        <v>1939</v>
      </c>
      <c r="H1091" s="7338" t="str">
        <f t="shared" si="69"/>
        <v/>
      </c>
      <c r="I1091" s="7338">
        <v>80.0</v>
      </c>
      <c r="J1091" s="7338">
        <v>118.0</v>
      </c>
      <c r="K1091" s="7338">
        <v>90.0</v>
      </c>
      <c r="L1091" s="7338">
        <v>70.0</v>
      </c>
      <c r="M1091" s="7338">
        <v>80.0</v>
      </c>
      <c r="N1091" s="7340">
        <v>42.0</v>
      </c>
      <c r="O1091" s="7321"/>
      <c r="P1091" s="7324"/>
      <c r="Q1091" s="7324"/>
      <c r="R1091" s="7324"/>
    </row>
    <row r="1092" ht="18.75" customHeight="1">
      <c r="A1092" s="7316"/>
      <c r="B1092" s="7331" t="s">
        <v>3658</v>
      </c>
      <c r="C1092" s="7332" t="s">
        <v>3659</v>
      </c>
      <c r="D1092" s="7333"/>
      <c r="E1092" s="7332" t="s">
        <v>2097</v>
      </c>
      <c r="F1092" s="7332" t="str">
        <f t="shared" si="68"/>
        <v/>
      </c>
      <c r="G1092" s="7332"/>
      <c r="H1092" s="7332" t="str">
        <f t="shared" si="69"/>
        <v/>
      </c>
      <c r="I1092" s="7332">
        <v>40.0</v>
      </c>
      <c r="J1092" s="7332">
        <v>45.0</v>
      </c>
      <c r="K1092" s="7332">
        <v>45.0</v>
      </c>
      <c r="L1092" s="7332">
        <v>74.0</v>
      </c>
      <c r="M1092" s="7332">
        <v>54.0</v>
      </c>
      <c r="N1092" s="7334">
        <v>50.0</v>
      </c>
      <c r="O1092" s="7321"/>
      <c r="P1092" s="7324"/>
      <c r="Q1092" s="7324"/>
      <c r="R1092" s="7324"/>
    </row>
    <row r="1093" ht="18.75" customHeight="1">
      <c r="A1093" s="7316"/>
      <c r="B1093" s="7337" t="s">
        <v>3660</v>
      </c>
      <c r="C1093" s="7338" t="s">
        <v>3661</v>
      </c>
      <c r="D1093" s="7339"/>
      <c r="E1093" s="7338" t="s">
        <v>2097</v>
      </c>
      <c r="F1093" s="7338" t="str">
        <f t="shared" si="68"/>
        <v/>
      </c>
      <c r="G1093" s="7338"/>
      <c r="H1093" s="7338" t="str">
        <f t="shared" si="69"/>
        <v/>
      </c>
      <c r="I1093" s="7338">
        <v>60.0</v>
      </c>
      <c r="J1093" s="7338">
        <v>65.0</v>
      </c>
      <c r="K1093" s="7338">
        <v>65.0</v>
      </c>
      <c r="L1093" s="7338">
        <v>134.0</v>
      </c>
      <c r="M1093" s="7338">
        <v>114.0</v>
      </c>
      <c r="N1093" s="7340">
        <v>70.0</v>
      </c>
      <c r="O1093" s="7321"/>
      <c r="P1093" s="7324"/>
      <c r="Q1093" s="7324"/>
      <c r="R1093" s="7324"/>
    </row>
    <row r="1094" ht="18.75" customHeight="1">
      <c r="A1094" s="7316"/>
      <c r="B1094" s="7331" t="s">
        <v>3662</v>
      </c>
      <c r="C1094" s="7332" t="s">
        <v>3663</v>
      </c>
      <c r="D1094" s="7333"/>
      <c r="E1094" s="7332" t="s">
        <v>561</v>
      </c>
      <c r="F1094" s="7332" t="str">
        <f t="shared" si="68"/>
        <v/>
      </c>
      <c r="G1094" s="7332"/>
      <c r="H1094" s="7332" t="str">
        <f t="shared" si="69"/>
        <v/>
      </c>
      <c r="I1094" s="7332">
        <v>42.0</v>
      </c>
      <c r="J1094" s="7332">
        <v>30.0</v>
      </c>
      <c r="K1094" s="7332">
        <v>45.0</v>
      </c>
      <c r="L1094" s="7332">
        <v>56.0</v>
      </c>
      <c r="M1094" s="7332">
        <v>53.0</v>
      </c>
      <c r="N1094" s="7334">
        <v>39.0</v>
      </c>
      <c r="O1094" s="7321"/>
      <c r="P1094" s="7324"/>
      <c r="Q1094" s="7324"/>
      <c r="R1094" s="7324"/>
    </row>
    <row r="1095" ht="18.75" customHeight="1">
      <c r="A1095" s="7316"/>
      <c r="B1095" s="7337" t="s">
        <v>3664</v>
      </c>
      <c r="C1095" s="7338" t="s">
        <v>3665</v>
      </c>
      <c r="D1095" s="7339"/>
      <c r="E1095" s="7342" t="s">
        <v>561</v>
      </c>
      <c r="F1095" s="7342" t="str">
        <f t="shared" si="68"/>
        <v/>
      </c>
      <c r="G1095" s="7342"/>
      <c r="H1095" s="7342" t="str">
        <f t="shared" si="69"/>
        <v/>
      </c>
      <c r="I1095" s="7338">
        <v>57.0</v>
      </c>
      <c r="J1095" s="7338">
        <v>40.0</v>
      </c>
      <c r="K1095" s="7338">
        <v>65.0</v>
      </c>
      <c r="L1095" s="7338">
        <v>86.0</v>
      </c>
      <c r="M1095" s="7338">
        <v>73.0</v>
      </c>
      <c r="N1095" s="7340">
        <v>49.0</v>
      </c>
      <c r="O1095" s="7321"/>
      <c r="P1095" s="7324"/>
      <c r="Q1095" s="7324"/>
      <c r="R1095" s="7324"/>
    </row>
    <row r="1096" ht="18.75" customHeight="1">
      <c r="A1096" s="7316"/>
      <c r="B1096" s="7331" t="s">
        <v>291</v>
      </c>
      <c r="C1096" s="7332" t="s">
        <v>3666</v>
      </c>
      <c r="D1096" s="7333"/>
      <c r="E1096" s="7332" t="s">
        <v>561</v>
      </c>
      <c r="F1096" s="7332" t="str">
        <f t="shared" si="68"/>
        <v/>
      </c>
      <c r="G1096" s="7332" t="s">
        <v>1935</v>
      </c>
      <c r="H1096" s="7332" t="str">
        <f t="shared" si="69"/>
        <v/>
      </c>
      <c r="I1096" s="7332">
        <v>57.0</v>
      </c>
      <c r="J1096" s="7332">
        <v>90.0</v>
      </c>
      <c r="K1096" s="7332">
        <v>95.0</v>
      </c>
      <c r="L1096" s="7332">
        <v>136.0</v>
      </c>
      <c r="M1096" s="7332">
        <v>103.0</v>
      </c>
      <c r="N1096" s="7334">
        <v>29.0</v>
      </c>
      <c r="O1096" s="7321"/>
      <c r="P1096" s="7324"/>
      <c r="Q1096" s="7324"/>
      <c r="R1096" s="7324"/>
    </row>
    <row r="1097" ht="18.75" customHeight="1">
      <c r="A1097" s="7316"/>
      <c r="B1097" s="7337" t="s">
        <v>3667</v>
      </c>
      <c r="C1097" s="7338" t="s">
        <v>3668</v>
      </c>
      <c r="D1097" s="7339"/>
      <c r="E1097" s="7338" t="s">
        <v>1911</v>
      </c>
      <c r="F1097" s="7338" t="str">
        <f t="shared" si="68"/>
        <v/>
      </c>
      <c r="G1097" s="7338" t="s">
        <v>1935</v>
      </c>
      <c r="H1097" s="7338" t="str">
        <f t="shared" si="69"/>
        <v/>
      </c>
      <c r="I1097" s="7338">
        <v>45.0</v>
      </c>
      <c r="J1097" s="7338">
        <v>45.0</v>
      </c>
      <c r="K1097" s="7338">
        <v>30.0</v>
      </c>
      <c r="L1097" s="7338">
        <v>55.0</v>
      </c>
      <c r="M1097" s="7338">
        <v>40.0</v>
      </c>
      <c r="N1097" s="7340">
        <v>50.0</v>
      </c>
      <c r="O1097" s="7321"/>
      <c r="P1097" s="7324"/>
      <c r="Q1097" s="7324"/>
      <c r="R1097" s="7324"/>
    </row>
    <row r="1098" ht="18.75" customHeight="1">
      <c r="A1098" s="7316"/>
      <c r="B1098" s="7331" t="s">
        <v>3669</v>
      </c>
      <c r="C1098" s="7332" t="s">
        <v>3670</v>
      </c>
      <c r="D1098" s="7333"/>
      <c r="E1098" s="7332" t="s">
        <v>1911</v>
      </c>
      <c r="F1098" s="7332" t="str">
        <f t="shared" si="68"/>
        <v/>
      </c>
      <c r="G1098" s="7332" t="s">
        <v>1935</v>
      </c>
      <c r="H1098" s="7332" t="str">
        <f t="shared" si="69"/>
        <v/>
      </c>
      <c r="I1098" s="7332">
        <v>65.0</v>
      </c>
      <c r="J1098" s="7332">
        <v>60.0</v>
      </c>
      <c r="K1098" s="7332">
        <v>45.0</v>
      </c>
      <c r="L1098" s="7332">
        <v>75.0</v>
      </c>
      <c r="M1098" s="7332">
        <v>55.0</v>
      </c>
      <c r="N1098" s="7334">
        <v>70.0</v>
      </c>
      <c r="O1098" s="7321"/>
      <c r="P1098" s="7324"/>
      <c r="Q1098" s="7324"/>
      <c r="R1098" s="7324"/>
    </row>
    <row r="1099" ht="18.75" customHeight="1">
      <c r="A1099" s="7316"/>
      <c r="B1099" s="7337" t="s">
        <v>1751</v>
      </c>
      <c r="C1099" s="7338" t="s">
        <v>3671</v>
      </c>
      <c r="D1099" s="7339"/>
      <c r="E1099" s="7338" t="s">
        <v>1911</v>
      </c>
      <c r="F1099" s="7338" t="str">
        <f t="shared" si="68"/>
        <v/>
      </c>
      <c r="G1099" s="7338" t="s">
        <v>1935</v>
      </c>
      <c r="H1099" s="7338" t="str">
        <f t="shared" si="69"/>
        <v/>
      </c>
      <c r="I1099" s="7338">
        <v>95.0</v>
      </c>
      <c r="J1099" s="7338">
        <v>120.0</v>
      </c>
      <c r="K1099" s="7338">
        <v>65.0</v>
      </c>
      <c r="L1099" s="7338">
        <v>95.0</v>
      </c>
      <c r="M1099" s="7338">
        <v>75.0</v>
      </c>
      <c r="N1099" s="7340">
        <v>60.0</v>
      </c>
      <c r="O1099" s="7321"/>
      <c r="P1099" s="7324"/>
      <c r="Q1099" s="7324"/>
      <c r="R1099" s="7324"/>
    </row>
    <row r="1100" ht="18.75" customHeight="1">
      <c r="A1100" s="7316"/>
      <c r="B1100" s="7331" t="s">
        <v>858</v>
      </c>
      <c r="C1100" s="7332" t="s">
        <v>3672</v>
      </c>
      <c r="D1100" s="7333"/>
      <c r="E1100" s="7332" t="s">
        <v>1911</v>
      </c>
      <c r="F1100" s="7332" t="str">
        <f t="shared" si="68"/>
        <v/>
      </c>
      <c r="G1100" s="7332" t="s">
        <v>1901</v>
      </c>
      <c r="H1100" s="7332" t="str">
        <f t="shared" si="69"/>
        <v/>
      </c>
      <c r="I1100" s="7332">
        <v>93.0</v>
      </c>
      <c r="J1100" s="7332">
        <v>90.0</v>
      </c>
      <c r="K1100" s="7332">
        <v>101.0</v>
      </c>
      <c r="L1100" s="7332">
        <v>60.0</v>
      </c>
      <c r="M1100" s="7332">
        <v>81.0</v>
      </c>
      <c r="N1100" s="7334">
        <v>95.0</v>
      </c>
      <c r="O1100" s="7321"/>
      <c r="P1100" s="7324"/>
      <c r="Q1100" s="7324"/>
      <c r="R1100" s="7324"/>
    </row>
    <row r="1101" ht="18.75" customHeight="1">
      <c r="A1101" s="7316"/>
      <c r="B1101" s="7337" t="s">
        <v>3673</v>
      </c>
      <c r="C1101" s="7338" t="s">
        <v>3674</v>
      </c>
      <c r="D1101" s="7339"/>
      <c r="E1101" s="7338" t="s">
        <v>1929</v>
      </c>
      <c r="F1101" s="7338" t="str">
        <f t="shared" si="68"/>
        <v/>
      </c>
      <c r="G1101" s="7338"/>
      <c r="H1101" s="7338" t="str">
        <f t="shared" si="69"/>
        <v/>
      </c>
      <c r="I1101" s="7338">
        <v>90.0</v>
      </c>
      <c r="J1101" s="7338">
        <v>110.0</v>
      </c>
      <c r="K1101" s="7338">
        <v>100.0</v>
      </c>
      <c r="L1101" s="7338">
        <v>30.0</v>
      </c>
      <c r="M1101" s="7338">
        <v>60.0</v>
      </c>
      <c r="N1101" s="7340">
        <v>50.0</v>
      </c>
      <c r="O1101" s="7321"/>
      <c r="P1101" s="7324"/>
      <c r="Q1101" s="7324"/>
      <c r="R1101" s="7324"/>
    </row>
    <row r="1102" ht="18.75" customHeight="1">
      <c r="A1102" s="7316"/>
      <c r="B1102" s="7331" t="s">
        <v>1354</v>
      </c>
      <c r="C1102" s="7332" t="s">
        <v>3675</v>
      </c>
      <c r="D1102" s="7333"/>
      <c r="E1102" s="7332" t="s">
        <v>2097</v>
      </c>
      <c r="F1102" s="7332" t="str">
        <f t="shared" si="68"/>
        <v/>
      </c>
      <c r="G1102" s="7332"/>
      <c r="H1102" s="7332" t="str">
        <f t="shared" si="69"/>
        <v/>
      </c>
      <c r="I1102" s="7332">
        <v>80.0</v>
      </c>
      <c r="J1102" s="7332">
        <v>75.0</v>
      </c>
      <c r="K1102" s="7332">
        <v>50.0</v>
      </c>
      <c r="L1102" s="7332">
        <v>145.0</v>
      </c>
      <c r="M1102" s="7332">
        <v>130.0</v>
      </c>
      <c r="N1102" s="7334">
        <v>55.0</v>
      </c>
      <c r="O1102" s="7321"/>
      <c r="P1102" s="7324"/>
      <c r="Q1102" s="7324"/>
      <c r="R1102" s="7324"/>
    </row>
    <row r="1103" ht="18.75" customHeight="1">
      <c r="A1103" s="7316"/>
      <c r="B1103" s="7337" t="s">
        <v>3676</v>
      </c>
      <c r="C1103" s="7342" t="s">
        <v>3677</v>
      </c>
      <c r="D1103" s="7339"/>
      <c r="E1103" s="7338" t="s">
        <v>1939</v>
      </c>
      <c r="F1103" s="7338" t="str">
        <f t="shared" si="68"/>
        <v/>
      </c>
      <c r="G1103" s="7338"/>
      <c r="H1103" s="7338" t="str">
        <f t="shared" si="69"/>
        <v/>
      </c>
      <c r="I1103" s="7338">
        <v>82.0</v>
      </c>
      <c r="J1103" s="7338">
        <v>135.0</v>
      </c>
      <c r="K1103" s="7338">
        <v>95.0</v>
      </c>
      <c r="L1103" s="7338">
        <v>68.0</v>
      </c>
      <c r="M1103" s="7338">
        <v>82.0</v>
      </c>
      <c r="N1103" s="7340">
        <v>65.0</v>
      </c>
      <c r="O1103" s="7321"/>
      <c r="P1103" s="7324"/>
      <c r="Q1103" s="7324"/>
      <c r="R1103" s="7324"/>
    </row>
    <row r="1104" ht="18.75" customHeight="1">
      <c r="A1104" s="7316"/>
      <c r="B1104" s="7331" t="s">
        <v>3678</v>
      </c>
      <c r="C1104" s="7341" t="s">
        <v>3679</v>
      </c>
      <c r="D1104" s="7333"/>
      <c r="E1104" s="7332" t="s">
        <v>1932</v>
      </c>
      <c r="F1104" s="7332" t="str">
        <f t="shared" si="68"/>
        <v/>
      </c>
      <c r="G1104" s="7332" t="s">
        <v>561</v>
      </c>
      <c r="H1104" s="7332" t="str">
        <f t="shared" si="69"/>
        <v/>
      </c>
      <c r="I1104" s="7332">
        <v>80.0</v>
      </c>
      <c r="J1104" s="7332">
        <v>65.0</v>
      </c>
      <c r="K1104" s="7332">
        <v>75.0</v>
      </c>
      <c r="L1104" s="7332">
        <v>110.0</v>
      </c>
      <c r="M1104" s="7332">
        <v>90.0</v>
      </c>
      <c r="N1104" s="7334">
        <v>100.0</v>
      </c>
      <c r="O1104" s="7321"/>
      <c r="P1104" s="7324"/>
      <c r="Q1104" s="7324"/>
      <c r="R1104" s="7324"/>
    </row>
    <row r="1105" ht="18.75" customHeight="1">
      <c r="A1105" s="7316"/>
      <c r="B1105" s="7337" t="s">
        <v>3680</v>
      </c>
      <c r="C1105" s="7338" t="s">
        <v>3681</v>
      </c>
      <c r="D1105" s="7339"/>
      <c r="E1105" s="7338" t="s">
        <v>1948</v>
      </c>
      <c r="F1105" s="7338" t="str">
        <f t="shared" si="68"/>
        <v/>
      </c>
      <c r="G1105" s="7338" t="s">
        <v>2097</v>
      </c>
      <c r="H1105" s="7338" t="str">
        <f t="shared" si="69"/>
        <v/>
      </c>
      <c r="I1105" s="7338">
        <v>58.0</v>
      </c>
      <c r="J1105" s="7338">
        <v>95.0</v>
      </c>
      <c r="K1105" s="7338">
        <v>145.0</v>
      </c>
      <c r="L1105" s="7338">
        <v>50.0</v>
      </c>
      <c r="M1105" s="7338">
        <v>105.0</v>
      </c>
      <c r="N1105" s="7340">
        <v>30.0</v>
      </c>
      <c r="O1105" s="7321"/>
      <c r="P1105" s="7324"/>
      <c r="Q1105" s="7324"/>
      <c r="R1105" s="7324"/>
    </row>
    <row r="1106" ht="18.75" customHeight="1">
      <c r="A1106" s="7316"/>
      <c r="B1106" s="7331" t="s">
        <v>3682</v>
      </c>
      <c r="C1106" s="7332" t="s">
        <v>3683</v>
      </c>
      <c r="D1106" s="7333"/>
      <c r="E1106" s="7332" t="s">
        <v>1935</v>
      </c>
      <c r="F1106" s="7332" t="str">
        <f t="shared" si="68"/>
        <v/>
      </c>
      <c r="G1106" s="7332"/>
      <c r="H1106" s="7332" t="str">
        <f t="shared" si="69"/>
        <v/>
      </c>
      <c r="I1106" s="7332">
        <v>45.0</v>
      </c>
      <c r="J1106" s="7332">
        <v>40.0</v>
      </c>
      <c r="K1106" s="7332">
        <v>40.0</v>
      </c>
      <c r="L1106" s="7332">
        <v>50.0</v>
      </c>
      <c r="M1106" s="7332">
        <v>61.0</v>
      </c>
      <c r="N1106" s="7334">
        <v>34.0</v>
      </c>
      <c r="O1106" s="7321"/>
      <c r="P1106" s="7324"/>
      <c r="Q1106" s="7324"/>
      <c r="R1106" s="7324"/>
    </row>
    <row r="1107" ht="18.75" customHeight="1">
      <c r="A1107" s="7316"/>
      <c r="B1107" s="7337" t="s">
        <v>3684</v>
      </c>
      <c r="C1107" s="7342" t="s">
        <v>3685</v>
      </c>
      <c r="D1107" s="7339"/>
      <c r="E1107" s="7338" t="s">
        <v>1935</v>
      </c>
      <c r="F1107" s="7338" t="str">
        <f t="shared" si="68"/>
        <v/>
      </c>
      <c r="G1107" s="7338"/>
      <c r="H1107" s="7338" t="str">
        <f t="shared" si="69"/>
        <v/>
      </c>
      <c r="I1107" s="7338">
        <v>65.0</v>
      </c>
      <c r="J1107" s="7338">
        <v>60.0</v>
      </c>
      <c r="K1107" s="7338">
        <v>75.0</v>
      </c>
      <c r="L1107" s="7338">
        <v>110.0</v>
      </c>
      <c r="M1107" s="7338">
        <v>121.0</v>
      </c>
      <c r="N1107" s="7340">
        <v>64.0</v>
      </c>
      <c r="O1107" s="7321"/>
      <c r="P1107" s="7324"/>
      <c r="Q1107" s="7324"/>
      <c r="R1107" s="7324"/>
    </row>
    <row r="1108" ht="18.75" customHeight="1">
      <c r="A1108" s="7316"/>
      <c r="B1108" s="7331" t="s">
        <v>1119</v>
      </c>
      <c r="C1108" s="7341" t="s">
        <v>3686</v>
      </c>
      <c r="D1108" s="7333"/>
      <c r="E1108" s="7332" t="s">
        <v>1935</v>
      </c>
      <c r="F1108" s="7332" t="str">
        <f t="shared" si="68"/>
        <v/>
      </c>
      <c r="G1108" s="7332"/>
      <c r="H1108" s="7332" t="str">
        <f t="shared" si="69"/>
        <v/>
      </c>
      <c r="I1108" s="7332">
        <v>65.0</v>
      </c>
      <c r="J1108" s="7332">
        <v>70.0</v>
      </c>
      <c r="K1108" s="7332">
        <v>90.0</v>
      </c>
      <c r="L1108" s="7332">
        <v>140.0</v>
      </c>
      <c r="M1108" s="7332">
        <v>131.0</v>
      </c>
      <c r="N1108" s="7334">
        <v>84.0</v>
      </c>
      <c r="O1108" s="7321"/>
      <c r="P1108" s="7324"/>
      <c r="Q1108" s="7324"/>
      <c r="R1108" s="7324"/>
    </row>
    <row r="1109" ht="18.75" customHeight="1">
      <c r="A1109" s="7316"/>
      <c r="B1109" s="7337" t="s">
        <v>3687</v>
      </c>
      <c r="C1109" s="7338" t="s">
        <v>3688</v>
      </c>
      <c r="D1109" s="7339"/>
      <c r="E1109" s="7338" t="s">
        <v>1939</v>
      </c>
      <c r="F1109" s="7338" t="str">
        <f t="shared" si="68"/>
        <v/>
      </c>
      <c r="G1109" s="7338"/>
      <c r="H1109" s="7338" t="str">
        <f t="shared" si="69"/>
        <v/>
      </c>
      <c r="I1109" s="7338">
        <v>75.0</v>
      </c>
      <c r="J1109" s="7338">
        <v>100.0</v>
      </c>
      <c r="K1109" s="7338">
        <v>100.0</v>
      </c>
      <c r="L1109" s="7338">
        <v>60.0</v>
      </c>
      <c r="M1109" s="7338">
        <v>60.0</v>
      </c>
      <c r="N1109" s="7340">
        <v>75.0</v>
      </c>
      <c r="O1109" s="7321"/>
      <c r="P1109" s="7324"/>
      <c r="Q1109" s="7324"/>
      <c r="R1109" s="7324"/>
    </row>
    <row r="1110" ht="18.75" customHeight="1">
      <c r="A1110" s="7316"/>
      <c r="B1110" s="7331" t="s">
        <v>226</v>
      </c>
      <c r="C1110" s="7332" t="s">
        <v>3689</v>
      </c>
      <c r="D1110" s="7333"/>
      <c r="E1110" s="7332" t="s">
        <v>1926</v>
      </c>
      <c r="F1110" s="7332" t="str">
        <f t="shared" si="68"/>
        <v/>
      </c>
      <c r="G1110" s="7332" t="s">
        <v>1871</v>
      </c>
      <c r="H1110" s="7332" t="str">
        <f t="shared" si="69"/>
        <v/>
      </c>
      <c r="I1110" s="7333">
        <v>68.0</v>
      </c>
      <c r="J1110" s="7332">
        <v>81.0</v>
      </c>
      <c r="K1110" s="7332">
        <v>95.0</v>
      </c>
      <c r="L1110" s="7332">
        <v>91.0</v>
      </c>
      <c r="M1110" s="7332">
        <v>85.0</v>
      </c>
      <c r="N1110" s="7334">
        <v>15.0</v>
      </c>
      <c r="O1110" s="7321"/>
      <c r="P1110" s="7324"/>
      <c r="Q1110" s="7324"/>
      <c r="R1110" s="7324"/>
    </row>
    <row r="1111" ht="18.75" customHeight="1">
      <c r="A1111" s="7316"/>
      <c r="B1111" s="7337" t="s">
        <v>3690</v>
      </c>
      <c r="C1111" s="7338" t="s">
        <v>3691</v>
      </c>
      <c r="D1111" s="7339"/>
      <c r="E1111" s="7338" t="s">
        <v>1932</v>
      </c>
      <c r="F1111" s="7338" t="str">
        <f t="shared" si="68"/>
        <v/>
      </c>
      <c r="G1111" s="7338" t="s">
        <v>1882</v>
      </c>
      <c r="H1111" s="7338" t="str">
        <f t="shared" si="69"/>
        <v/>
      </c>
      <c r="I1111" s="7339">
        <v>30.0</v>
      </c>
      <c r="J1111" s="7338">
        <v>25.0</v>
      </c>
      <c r="K1111" s="7338">
        <v>35.0</v>
      </c>
      <c r="L1111" s="7338">
        <v>45.0</v>
      </c>
      <c r="M1111" s="7338">
        <v>30.0</v>
      </c>
      <c r="N1111" s="7340">
        <v>20.0</v>
      </c>
      <c r="O1111" s="7321"/>
      <c r="P1111" s="7324"/>
      <c r="Q1111" s="7324"/>
      <c r="R1111" s="7324"/>
    </row>
    <row r="1112" ht="18.75" customHeight="1">
      <c r="A1112" s="7316"/>
      <c r="B1112" s="7331" t="s">
        <v>1327</v>
      </c>
      <c r="C1112" s="7332" t="s">
        <v>3692</v>
      </c>
      <c r="D1112" s="7333"/>
      <c r="E1112" s="7332" t="s">
        <v>1932</v>
      </c>
      <c r="F1112" s="7332" t="str">
        <f t="shared" si="68"/>
        <v/>
      </c>
      <c r="G1112" s="7332" t="s">
        <v>1882</v>
      </c>
      <c r="H1112" s="7332" t="str">
        <f t="shared" si="69"/>
        <v/>
      </c>
      <c r="I1112" s="7333">
        <v>70.0</v>
      </c>
      <c r="J1112" s="7332">
        <v>65.0</v>
      </c>
      <c r="K1112" s="7332">
        <v>65.0</v>
      </c>
      <c r="L1112" s="7332">
        <v>125.0</v>
      </c>
      <c r="M1112" s="7332">
        <v>90.0</v>
      </c>
      <c r="N1112" s="7334">
        <v>65.0</v>
      </c>
      <c r="O1112" s="7321"/>
      <c r="P1112" s="7324"/>
      <c r="Q1112" s="7324"/>
      <c r="R1112" s="7324"/>
    </row>
    <row r="1113" ht="18.75" customHeight="1">
      <c r="A1113" s="7316"/>
      <c r="B1113" s="7337" t="s">
        <v>3693</v>
      </c>
      <c r="C1113" s="7338" t="s">
        <v>3694</v>
      </c>
      <c r="D1113" s="7339"/>
      <c r="E1113" s="7338" t="s">
        <v>2014</v>
      </c>
      <c r="F1113" s="7338" t="str">
        <f t="shared" si="68"/>
        <v/>
      </c>
      <c r="G1113" s="7338"/>
      <c r="H1113" s="7338" t="str">
        <f t="shared" si="69"/>
        <v/>
      </c>
      <c r="I1113" s="7339">
        <v>100.0</v>
      </c>
      <c r="J1113" s="7338">
        <v>125.0</v>
      </c>
      <c r="K1113" s="7338">
        <v>135.0</v>
      </c>
      <c r="L1113" s="7338">
        <v>20.0</v>
      </c>
      <c r="M1113" s="7338">
        <v>50.0</v>
      </c>
      <c r="N1113" s="7340">
        <v>80.0</v>
      </c>
      <c r="O1113" s="7321"/>
      <c r="P1113" s="7324"/>
      <c r="Q1113" s="7324"/>
      <c r="R1113" s="7324"/>
    </row>
    <row r="1114" ht="18.75" customHeight="1">
      <c r="A1114" s="7316"/>
      <c r="B1114" s="7331" t="s">
        <v>3695</v>
      </c>
      <c r="C1114" s="7332" t="s">
        <v>3696</v>
      </c>
      <c r="D1114" s="7333"/>
      <c r="E1114" s="7332" t="s">
        <v>1932</v>
      </c>
      <c r="F1114" s="7332" t="str">
        <f t="shared" si="68"/>
        <v/>
      </c>
      <c r="G1114" s="7332"/>
      <c r="H1114" s="7332" t="str">
        <f t="shared" si="69"/>
        <v/>
      </c>
      <c r="I1114" s="7333">
        <v>75.0</v>
      </c>
      <c r="J1114" s="7332">
        <v>100.0</v>
      </c>
      <c r="K1114" s="7332">
        <v>110.0</v>
      </c>
      <c r="L1114" s="7332">
        <v>45.0</v>
      </c>
      <c r="M1114" s="7332">
        <v>90.0</v>
      </c>
      <c r="N1114" s="7334">
        <v>50.0</v>
      </c>
      <c r="O1114" s="7321"/>
      <c r="P1114" s="7324"/>
      <c r="Q1114" s="7324"/>
      <c r="R1114" s="7324"/>
    </row>
    <row r="1115" ht="18.75" customHeight="1">
      <c r="A1115" s="7316"/>
      <c r="B1115" s="7337" t="s">
        <v>3697</v>
      </c>
      <c r="C1115" s="7342" t="s">
        <v>3698</v>
      </c>
      <c r="D1115" s="7339"/>
      <c r="E1115" s="7338" t="s">
        <v>1932</v>
      </c>
      <c r="F1115" s="7338" t="str">
        <f t="shared" si="68"/>
        <v/>
      </c>
      <c r="G1115" s="7338"/>
      <c r="H1115" s="7338" t="str">
        <f t="shared" si="69"/>
        <v/>
      </c>
      <c r="I1115" s="7339">
        <v>75.0</v>
      </c>
      <c r="J1115" s="7338">
        <v>100.0</v>
      </c>
      <c r="K1115" s="7338">
        <v>70.0</v>
      </c>
      <c r="L1115" s="7338">
        <v>45.0</v>
      </c>
      <c r="M1115" s="7338">
        <v>50.0</v>
      </c>
      <c r="N1115" s="7340">
        <v>130.0</v>
      </c>
      <c r="O1115" s="7321"/>
      <c r="P1115" s="7324"/>
      <c r="Q1115" s="7324"/>
      <c r="R1115" s="7324"/>
    </row>
    <row r="1116" ht="18.75" customHeight="1">
      <c r="A1116" s="7316"/>
      <c r="B1116" s="7331" t="s">
        <v>1641</v>
      </c>
      <c r="C1116" s="7332" t="s">
        <v>3699</v>
      </c>
      <c r="D1116" s="7333"/>
      <c r="E1116" s="7332" t="s">
        <v>561</v>
      </c>
      <c r="F1116" s="7332" t="str">
        <f t="shared" si="68"/>
        <v/>
      </c>
      <c r="G1116" s="7332" t="s">
        <v>1901</v>
      </c>
      <c r="H1116" s="7332" t="str">
        <f t="shared" si="69"/>
        <v/>
      </c>
      <c r="I1116" s="7333">
        <v>60.0</v>
      </c>
      <c r="J1116" s="7332">
        <v>65.0</v>
      </c>
      <c r="K1116" s="7332">
        <v>55.0</v>
      </c>
      <c r="L1116" s="7332">
        <v>105.0</v>
      </c>
      <c r="M1116" s="7332">
        <v>95.0</v>
      </c>
      <c r="N1116" s="7334">
        <v>95.0</v>
      </c>
      <c r="O1116" s="7321"/>
      <c r="P1116" s="7324"/>
      <c r="Q1116" s="7324"/>
      <c r="R1116" s="7324"/>
    </row>
    <row r="1117" ht="18.75" customHeight="1">
      <c r="A1117" s="7316"/>
      <c r="B1117" s="7337" t="s">
        <v>292</v>
      </c>
      <c r="C1117" s="7342" t="s">
        <v>3700</v>
      </c>
      <c r="D1117" s="7339"/>
      <c r="E1117" s="7338" t="s">
        <v>561</v>
      </c>
      <c r="F1117" s="7338" t="str">
        <f t="shared" si="68"/>
        <v/>
      </c>
      <c r="G1117" s="7338" t="s">
        <v>1901</v>
      </c>
      <c r="H1117" s="7338" t="str">
        <f t="shared" si="69"/>
        <v/>
      </c>
      <c r="I1117" s="7339">
        <v>70.0</v>
      </c>
      <c r="J1117" s="7338">
        <v>55.0</v>
      </c>
      <c r="K1117" s="7338">
        <v>65.0</v>
      </c>
      <c r="L1117" s="7338">
        <v>95.0</v>
      </c>
      <c r="M1117" s="7338">
        <v>105.0</v>
      </c>
      <c r="N1117" s="7340">
        <v>85.0</v>
      </c>
      <c r="O1117" s="7321"/>
      <c r="P1117" s="7324"/>
      <c r="Q1117" s="7324"/>
      <c r="R1117" s="7324"/>
    </row>
    <row r="1118" ht="18.75" customHeight="1">
      <c r="A1118" s="7316"/>
      <c r="B1118" s="7331" t="s">
        <v>3701</v>
      </c>
      <c r="C1118" s="7332" t="s">
        <v>3702</v>
      </c>
      <c r="D1118" s="7333"/>
      <c r="E1118" s="7332" t="s">
        <v>1926</v>
      </c>
      <c r="F1118" s="7332" t="str">
        <f t="shared" si="68"/>
        <v/>
      </c>
      <c r="G1118" s="7332" t="s">
        <v>1911</v>
      </c>
      <c r="H1118" s="7332" t="str">
        <f t="shared" si="69"/>
        <v/>
      </c>
      <c r="I1118" s="7333">
        <v>58.0</v>
      </c>
      <c r="J1118" s="7332">
        <v>110.0</v>
      </c>
      <c r="K1118" s="7332">
        <v>58.0</v>
      </c>
      <c r="L1118" s="7332">
        <v>70.0</v>
      </c>
      <c r="M1118" s="7332">
        <v>58.0</v>
      </c>
      <c r="N1118" s="7334">
        <v>97.0</v>
      </c>
      <c r="O1118" s="7321"/>
      <c r="P1118" s="7324"/>
      <c r="Q1118" s="7324"/>
      <c r="R1118" s="7324"/>
    </row>
    <row r="1119" ht="18.75" customHeight="1">
      <c r="A1119" s="7316"/>
      <c r="B1119" s="7337" t="s">
        <v>3703</v>
      </c>
      <c r="C1119" s="7338" t="s">
        <v>3704</v>
      </c>
      <c r="D1119" s="7339"/>
      <c r="E1119" s="7338" t="s">
        <v>1929</v>
      </c>
      <c r="F1119" s="7338" t="str">
        <f t="shared" si="68"/>
        <v/>
      </c>
      <c r="G1119" s="7338"/>
      <c r="H1119" s="7338" t="str">
        <f t="shared" si="69"/>
        <v/>
      </c>
      <c r="I1119" s="7339">
        <v>72.0</v>
      </c>
      <c r="J1119" s="7338">
        <v>80.0</v>
      </c>
      <c r="K1119" s="7338">
        <v>49.0</v>
      </c>
      <c r="L1119" s="7338">
        <v>40.0</v>
      </c>
      <c r="M1119" s="7338">
        <v>49.0</v>
      </c>
      <c r="N1119" s="7340">
        <v>40.0</v>
      </c>
      <c r="O1119" s="7321"/>
      <c r="P1119" s="7324"/>
      <c r="Q1119" s="7324"/>
      <c r="R1119" s="7324"/>
    </row>
    <row r="1120" ht="18.75" customHeight="1">
      <c r="A1120" s="7316"/>
      <c r="B1120" s="7331" t="s">
        <v>3705</v>
      </c>
      <c r="C1120" s="7332" t="s">
        <v>3706</v>
      </c>
      <c r="D1120" s="7333"/>
      <c r="E1120" s="7332" t="s">
        <v>1929</v>
      </c>
      <c r="F1120" s="7332" t="str">
        <f t="shared" si="68"/>
        <v/>
      </c>
      <c r="G1120" s="7332"/>
      <c r="H1120" s="7332" t="str">
        <f t="shared" si="69"/>
        <v/>
      </c>
      <c r="I1120" s="7333">
        <v>122.0</v>
      </c>
      <c r="J1120" s="7332">
        <v>130.0</v>
      </c>
      <c r="K1120" s="7332">
        <v>79.0</v>
      </c>
      <c r="L1120" s="7332">
        <v>80.0</v>
      </c>
      <c r="M1120" s="7332">
        <v>79.0</v>
      </c>
      <c r="N1120" s="7334">
        <v>30.0</v>
      </c>
      <c r="O1120" s="7321"/>
      <c r="P1120" s="7324"/>
      <c r="Q1120" s="7324"/>
      <c r="R1120" s="7324"/>
    </row>
    <row r="1121" ht="18.75" customHeight="1">
      <c r="A1121" s="7316"/>
      <c r="B1121" s="7337" t="s">
        <v>3707</v>
      </c>
      <c r="C1121" s="7342" t="s">
        <v>3708</v>
      </c>
      <c r="D1121" s="7339"/>
      <c r="E1121" s="7338" t="s">
        <v>1929</v>
      </c>
      <c r="F1121" s="7338" t="str">
        <f t="shared" si="68"/>
        <v/>
      </c>
      <c r="G1121" s="7338" t="s">
        <v>1939</v>
      </c>
      <c r="H1121" s="7338" t="str">
        <f t="shared" si="69"/>
        <v/>
      </c>
      <c r="I1121" s="7339">
        <v>122.0</v>
      </c>
      <c r="J1121" s="7339">
        <v>155.0</v>
      </c>
      <c r="K1121" s="7339">
        <v>94.0</v>
      </c>
      <c r="L1121" s="7339">
        <v>100.0</v>
      </c>
      <c r="M1121" s="7339">
        <v>94.0</v>
      </c>
      <c r="N1121" s="7381">
        <v>20.0</v>
      </c>
      <c r="O1121" s="7321"/>
      <c r="P1121" s="7324"/>
      <c r="Q1121" s="7324"/>
      <c r="R1121" s="7324"/>
    </row>
    <row r="1122" ht="18.75" customHeight="1">
      <c r="A1122" s="7316"/>
      <c r="B1122" s="7331" t="s">
        <v>1179</v>
      </c>
      <c r="C1122" s="7332" t="s">
        <v>3709</v>
      </c>
      <c r="D1122" s="7333"/>
      <c r="E1122" s="7332" t="s">
        <v>1926</v>
      </c>
      <c r="F1122" s="7332" t="str">
        <f t="shared" si="68"/>
        <v/>
      </c>
      <c r="G1122" s="7332" t="s">
        <v>1866</v>
      </c>
      <c r="H1122" s="7332" t="str">
        <f t="shared" si="69"/>
        <v/>
      </c>
      <c r="I1122" s="7333">
        <v>90.0</v>
      </c>
      <c r="J1122" s="7332">
        <v>100.0</v>
      </c>
      <c r="K1122" s="7332">
        <v>90.0</v>
      </c>
      <c r="L1122" s="7332">
        <v>80.0</v>
      </c>
      <c r="M1122" s="7332">
        <v>70.0</v>
      </c>
      <c r="N1122" s="7334">
        <v>75.0</v>
      </c>
      <c r="O1122" s="7321"/>
      <c r="P1122" s="7324"/>
      <c r="Q1122" s="7324"/>
      <c r="R1122" s="7324"/>
    </row>
    <row r="1123" ht="18.75" customHeight="1">
      <c r="A1123" s="7316"/>
      <c r="B1123" s="7337" t="s">
        <v>618</v>
      </c>
      <c r="C1123" s="7338" t="s">
        <v>3710</v>
      </c>
      <c r="D1123" s="7339"/>
      <c r="E1123" s="7338" t="s">
        <v>1926</v>
      </c>
      <c r="F1123" s="7338" t="str">
        <f t="shared" si="68"/>
        <v/>
      </c>
      <c r="G1123" s="7338" t="s">
        <v>1932</v>
      </c>
      <c r="H1123" s="7338" t="str">
        <f t="shared" si="69"/>
        <v/>
      </c>
      <c r="I1123" s="7339">
        <v>90.0</v>
      </c>
      <c r="J1123" s="7338">
        <v>100.0</v>
      </c>
      <c r="K1123" s="7338">
        <v>90.0</v>
      </c>
      <c r="L1123" s="7338">
        <v>90.0</v>
      </c>
      <c r="M1123" s="7338">
        <v>80.0</v>
      </c>
      <c r="N1123" s="7340">
        <v>55.0</v>
      </c>
      <c r="O1123" s="7321"/>
      <c r="P1123" s="7324"/>
      <c r="Q1123" s="7324"/>
      <c r="R1123" s="7324"/>
    </row>
    <row r="1124" ht="18.75" customHeight="1">
      <c r="A1124" s="7316"/>
      <c r="B1124" s="7331" t="s">
        <v>1204</v>
      </c>
      <c r="C1124" s="7332" t="s">
        <v>3711</v>
      </c>
      <c r="D1124" s="7333"/>
      <c r="E1124" s="7332" t="s">
        <v>1871</v>
      </c>
      <c r="F1124" s="7332" t="str">
        <f t="shared" si="68"/>
        <v/>
      </c>
      <c r="G1124" s="7332" t="s">
        <v>1866</v>
      </c>
      <c r="H1124" s="7332" t="str">
        <f t="shared" si="69"/>
        <v/>
      </c>
      <c r="I1124" s="7333">
        <v>90.0</v>
      </c>
      <c r="J1124" s="7332">
        <v>90.0</v>
      </c>
      <c r="K1124" s="7332">
        <v>100.0</v>
      </c>
      <c r="L1124" s="7332">
        <v>70.0</v>
      </c>
      <c r="M1124" s="7332">
        <v>80.0</v>
      </c>
      <c r="N1124" s="7334">
        <v>75.0</v>
      </c>
      <c r="O1124" s="7321"/>
      <c r="P1124" s="7324"/>
      <c r="Q1124" s="7324"/>
      <c r="R1124" s="7324"/>
    </row>
    <row r="1125" ht="18.75" customHeight="1">
      <c r="A1125" s="7316"/>
      <c r="B1125" s="7337" t="s">
        <v>3712</v>
      </c>
      <c r="C1125" s="7338" t="s">
        <v>3713</v>
      </c>
      <c r="D1125" s="7339"/>
      <c r="E1125" s="7338" t="s">
        <v>1871</v>
      </c>
      <c r="F1125" s="7338" t="str">
        <f t="shared" si="68"/>
        <v/>
      </c>
      <c r="G1125" s="7338" t="s">
        <v>1932</v>
      </c>
      <c r="H1125" s="7338" t="str">
        <f t="shared" si="69"/>
        <v/>
      </c>
      <c r="I1125" s="7339">
        <v>90.0</v>
      </c>
      <c r="J1125" s="7338">
        <v>90.0</v>
      </c>
      <c r="K1125" s="7338">
        <v>100.0</v>
      </c>
      <c r="L1125" s="7338">
        <v>55.0</v>
      </c>
      <c r="M1125" s="7338">
        <v>90.0</v>
      </c>
      <c r="N1125" s="7340">
        <v>80.0</v>
      </c>
      <c r="O1125" s="7321"/>
      <c r="P1125" s="7324"/>
      <c r="Q1125" s="7324"/>
      <c r="R1125" s="7324"/>
    </row>
    <row r="1126" ht="18.75" customHeight="1">
      <c r="A1126" s="7316"/>
      <c r="B1126" s="7331" t="s">
        <v>647</v>
      </c>
      <c r="C1126" s="7332" t="s">
        <v>3714</v>
      </c>
      <c r="D1126" s="7333"/>
      <c r="E1126" s="7332" t="s">
        <v>1929</v>
      </c>
      <c r="F1126" s="7332" t="str">
        <f t="shared" si="68"/>
        <v/>
      </c>
      <c r="G1126" s="7332" t="s">
        <v>1866</v>
      </c>
      <c r="H1126" s="7332" t="str">
        <f t="shared" si="69"/>
        <v/>
      </c>
      <c r="I1126" s="7333">
        <v>85.0</v>
      </c>
      <c r="J1126" s="7332">
        <v>95.0</v>
      </c>
      <c r="K1126" s="7332">
        <v>115.0</v>
      </c>
      <c r="L1126" s="7332">
        <v>120.0</v>
      </c>
      <c r="M1126" s="7332">
        <v>50.0</v>
      </c>
      <c r="N1126" s="7334">
        <v>85.0</v>
      </c>
      <c r="O1126" s="7321"/>
      <c r="P1126" s="7324"/>
      <c r="Q1126" s="7324"/>
      <c r="R1126" s="7324"/>
    </row>
    <row r="1127" ht="18.75" customHeight="1">
      <c r="A1127" s="7316"/>
      <c r="B1127" s="7337" t="s">
        <v>3715</v>
      </c>
      <c r="C1127" s="7338" t="s">
        <v>3716</v>
      </c>
      <c r="D1127" s="7339"/>
      <c r="E1127" s="7338" t="s">
        <v>1866</v>
      </c>
      <c r="F1127" s="7338" t="str">
        <f t="shared" si="68"/>
        <v/>
      </c>
      <c r="G1127" s="7338" t="s">
        <v>2097</v>
      </c>
      <c r="H1127" s="7338" t="str">
        <f t="shared" si="69"/>
        <v/>
      </c>
      <c r="I1127" s="7339">
        <v>28.0</v>
      </c>
      <c r="J1127" s="7338">
        <v>60.0</v>
      </c>
      <c r="K1127" s="7338">
        <v>30.0</v>
      </c>
      <c r="L1127" s="7338">
        <v>40.0</v>
      </c>
      <c r="M1127" s="7338">
        <v>30.0</v>
      </c>
      <c r="N1127" s="7340">
        <v>82.0</v>
      </c>
      <c r="O1127" s="7321"/>
      <c r="P1127" s="7324"/>
      <c r="Q1127" s="7324"/>
      <c r="R1127" s="7324"/>
    </row>
    <row r="1128" ht="18.75" customHeight="1">
      <c r="A1128" s="7316"/>
      <c r="B1128" s="7331" t="s">
        <v>3717</v>
      </c>
      <c r="C1128" s="7332" t="s">
        <v>3718</v>
      </c>
      <c r="D1128" s="7333"/>
      <c r="E1128" s="7332" t="s">
        <v>1866</v>
      </c>
      <c r="F1128" s="7332" t="str">
        <f t="shared" si="68"/>
        <v/>
      </c>
      <c r="G1128" s="7332" t="s">
        <v>2097</v>
      </c>
      <c r="H1128" s="7332" t="str">
        <f t="shared" si="69"/>
        <v/>
      </c>
      <c r="I1128" s="7333">
        <v>68.0</v>
      </c>
      <c r="J1128" s="7332">
        <v>80.0</v>
      </c>
      <c r="K1128" s="7332">
        <v>50.0</v>
      </c>
      <c r="L1128" s="7332">
        <v>60.0</v>
      </c>
      <c r="M1128" s="7332">
        <v>50.0</v>
      </c>
      <c r="N1128" s="7334">
        <v>102.0</v>
      </c>
      <c r="O1128" s="7321"/>
      <c r="P1128" s="7324"/>
      <c r="Q1128" s="7324"/>
      <c r="R1128" s="7324"/>
    </row>
    <row r="1129" ht="18.75" customHeight="1">
      <c r="A1129" s="7316"/>
      <c r="B1129" s="7337" t="s">
        <v>965</v>
      </c>
      <c r="C1129" s="7338" t="s">
        <v>3719</v>
      </c>
      <c r="D1129" s="7339"/>
      <c r="E1129" s="7338" t="s">
        <v>1866</v>
      </c>
      <c r="F1129" s="7338" t="str">
        <f t="shared" si="68"/>
        <v/>
      </c>
      <c r="G1129" s="7338" t="s">
        <v>2097</v>
      </c>
      <c r="H1129" s="7338" t="str">
        <f t="shared" si="69"/>
        <v/>
      </c>
      <c r="I1129" s="7339">
        <v>88.0</v>
      </c>
      <c r="J1129" s="7338">
        <v>120.0</v>
      </c>
      <c r="K1129" s="7338">
        <v>75.0</v>
      </c>
      <c r="L1129" s="7338">
        <v>100.0</v>
      </c>
      <c r="M1129" s="7338">
        <v>75.0</v>
      </c>
      <c r="N1129" s="7340">
        <v>142.0</v>
      </c>
      <c r="O1129" s="7321"/>
      <c r="P1129" s="7324"/>
      <c r="Q1129" s="7324"/>
      <c r="R1129" s="7324"/>
    </row>
    <row r="1130" ht="18.75" customHeight="1">
      <c r="A1130" s="7316"/>
      <c r="B1130" s="7331" t="s">
        <v>3720</v>
      </c>
      <c r="C1130" s="7332" t="s">
        <v>3721</v>
      </c>
      <c r="D1130" s="7333"/>
      <c r="E1130" s="7332" t="s">
        <v>1935</v>
      </c>
      <c r="F1130" s="7332" t="str">
        <f t="shared" si="68"/>
        <v/>
      </c>
      <c r="G1130" s="7332"/>
      <c r="H1130" s="7332" t="str">
        <f t="shared" si="69"/>
        <v/>
      </c>
      <c r="I1130" s="7333">
        <v>92.0</v>
      </c>
      <c r="J1130" s="7332">
        <v>120.0</v>
      </c>
      <c r="K1130" s="7332">
        <v>115.0</v>
      </c>
      <c r="L1130" s="7332">
        <v>80.0</v>
      </c>
      <c r="M1130" s="7332">
        <v>115.0</v>
      </c>
      <c r="N1130" s="7334">
        <v>138.0</v>
      </c>
      <c r="O1130" s="7321"/>
      <c r="P1130" s="7324"/>
      <c r="Q1130" s="7324"/>
      <c r="R1130" s="7324"/>
    </row>
    <row r="1131" ht="18.75" customHeight="1">
      <c r="A1131" s="7316"/>
      <c r="B1131" s="7337" t="s">
        <v>1434</v>
      </c>
      <c r="C1131" s="7342" t="s">
        <v>3722</v>
      </c>
      <c r="D1131" s="7339"/>
      <c r="E1131" s="7338" t="s">
        <v>1935</v>
      </c>
      <c r="F1131" s="7338" t="str">
        <f t="shared" si="68"/>
        <v/>
      </c>
      <c r="G1131" s="7338" t="s">
        <v>1929</v>
      </c>
      <c r="H1131" s="7338" t="str">
        <f t="shared" si="69"/>
        <v/>
      </c>
      <c r="I1131" s="7339">
        <v>92.0</v>
      </c>
      <c r="J1131" s="7338">
        <v>150.0</v>
      </c>
      <c r="K1131" s="7338">
        <v>115.0</v>
      </c>
      <c r="L1131" s="7338">
        <v>80.0</v>
      </c>
      <c r="M1131" s="7338">
        <v>115.0</v>
      </c>
      <c r="N1131" s="7340">
        <v>148.0</v>
      </c>
      <c r="O1131" s="7321"/>
      <c r="P1131" s="7324"/>
      <c r="Q1131" s="7324"/>
      <c r="R1131" s="7324"/>
    </row>
    <row r="1132" ht="18.75" customHeight="1">
      <c r="A1132" s="7316"/>
      <c r="B1132" s="7331" t="s">
        <v>3723</v>
      </c>
      <c r="C1132" s="7332" t="s">
        <v>3724</v>
      </c>
      <c r="D1132" s="7333"/>
      <c r="E1132" s="7332" t="s">
        <v>1939</v>
      </c>
      <c r="F1132" s="7332" t="str">
        <f t="shared" si="68"/>
        <v/>
      </c>
      <c r="G1132" s="7332"/>
      <c r="H1132" s="7332" t="str">
        <f t="shared" si="69"/>
        <v/>
      </c>
      <c r="I1132" s="7333">
        <v>92.0</v>
      </c>
      <c r="J1132" s="7332">
        <v>120.0</v>
      </c>
      <c r="K1132" s="7332">
        <v>115.0</v>
      </c>
      <c r="L1132" s="7332">
        <v>80.0</v>
      </c>
      <c r="M1132" s="7332">
        <v>115.0</v>
      </c>
      <c r="N1132" s="7334">
        <v>138.0</v>
      </c>
      <c r="O1132" s="7321"/>
      <c r="P1132" s="7324"/>
      <c r="Q1132" s="7324"/>
      <c r="R1132" s="7324"/>
    </row>
    <row r="1133" ht="18.75" customHeight="1">
      <c r="A1133" s="7316"/>
      <c r="B1133" s="7337" t="s">
        <v>3725</v>
      </c>
      <c r="C1133" s="7342" t="s">
        <v>3726</v>
      </c>
      <c r="D1133" s="7339"/>
      <c r="E1133" s="7338" t="s">
        <v>1939</v>
      </c>
      <c r="F1133" s="7338" t="str">
        <f t="shared" si="68"/>
        <v/>
      </c>
      <c r="G1133" s="7338" t="s">
        <v>1929</v>
      </c>
      <c r="H1133" s="7338" t="str">
        <f t="shared" si="69"/>
        <v/>
      </c>
      <c r="I1133" s="7339">
        <v>92.0</v>
      </c>
      <c r="J1133" s="7338">
        <v>120.0</v>
      </c>
      <c r="K1133" s="7338">
        <v>140.0</v>
      </c>
      <c r="L1133" s="7338">
        <v>80.0</v>
      </c>
      <c r="M1133" s="7338">
        <v>140.0</v>
      </c>
      <c r="N1133" s="7340">
        <v>128.0</v>
      </c>
      <c r="O1133" s="7321"/>
      <c r="P1133" s="7324"/>
      <c r="Q1133" s="7324"/>
      <c r="R1133" s="7324"/>
    </row>
    <row r="1134" ht="18.75" customHeight="1">
      <c r="A1134" s="7316"/>
      <c r="B1134" s="7331" t="s">
        <v>1476</v>
      </c>
      <c r="C1134" s="7332" t="s">
        <v>3727</v>
      </c>
      <c r="D1134" s="7333"/>
      <c r="E1134" s="7332" t="s">
        <v>1849</v>
      </c>
      <c r="F1134" s="7332" t="str">
        <f t="shared" si="68"/>
        <v/>
      </c>
      <c r="G1134" s="7332" t="s">
        <v>1866</v>
      </c>
      <c r="H1134" s="7332" t="str">
        <f t="shared" si="69"/>
        <v/>
      </c>
      <c r="I1134" s="7333">
        <v>140.0</v>
      </c>
      <c r="J1134" s="7332">
        <v>85.0</v>
      </c>
      <c r="K1134" s="7332">
        <v>95.0</v>
      </c>
      <c r="L1134" s="7332">
        <v>145.0</v>
      </c>
      <c r="M1134" s="7332">
        <v>95.0</v>
      </c>
      <c r="N1134" s="7334">
        <v>130.0</v>
      </c>
      <c r="O1134" s="7321"/>
      <c r="P1134" s="7324"/>
      <c r="Q1134" s="7324"/>
      <c r="R1134" s="7324"/>
    </row>
    <row r="1135" ht="18.75" customHeight="1">
      <c r="A1135" s="7316"/>
      <c r="B1135" s="7337" t="s">
        <v>3728</v>
      </c>
      <c r="C1135" s="7342" t="s">
        <v>3729</v>
      </c>
      <c r="D1135" s="7339"/>
      <c r="E1135" s="7338" t="s">
        <v>1849</v>
      </c>
      <c r="F1135" s="7338" t="str">
        <f t="shared" si="68"/>
        <v/>
      </c>
      <c r="G1135" s="7338" t="s">
        <v>1866</v>
      </c>
      <c r="H1135" s="7338" t="str">
        <f t="shared" si="69"/>
        <v/>
      </c>
      <c r="I1135" s="7339">
        <v>140.0</v>
      </c>
      <c r="J1135" s="7338">
        <v>105.0</v>
      </c>
      <c r="K1135" s="7338">
        <v>110.0</v>
      </c>
      <c r="L1135" s="7338">
        <v>185.0</v>
      </c>
      <c r="M1135" s="7338">
        <v>110.0</v>
      </c>
      <c r="N1135" s="7340">
        <v>140.0</v>
      </c>
      <c r="O1135" s="7321"/>
      <c r="P1135" s="7324"/>
      <c r="Q1135" s="7324"/>
      <c r="R1135" s="7324"/>
    </row>
    <row r="1136" ht="18.75" customHeight="1">
      <c r="A1136" s="7316"/>
      <c r="B1136" s="7331" t="s">
        <v>3730</v>
      </c>
      <c r="C1136" s="7332" t="s">
        <v>3731</v>
      </c>
      <c r="D1136" s="7333"/>
      <c r="E1136" s="7332" t="s">
        <v>1939</v>
      </c>
      <c r="F1136" s="7332" t="str">
        <f t="shared" si="68"/>
        <v/>
      </c>
      <c r="G1136" s="7332"/>
      <c r="H1136" s="7332" t="str">
        <f t="shared" si="69"/>
        <v/>
      </c>
      <c r="I1136" s="7333">
        <v>60.0</v>
      </c>
      <c r="J1136" s="7332">
        <v>90.0</v>
      </c>
      <c r="K1136" s="7332">
        <v>60.0</v>
      </c>
      <c r="L1136" s="7332">
        <v>53.0</v>
      </c>
      <c r="M1136" s="7332">
        <v>50.0</v>
      </c>
      <c r="N1136" s="7334">
        <v>72.0</v>
      </c>
      <c r="O1136" s="7321"/>
      <c r="P1136" s="7324"/>
      <c r="Q1136" s="7324"/>
      <c r="R1136" s="7324"/>
    </row>
    <row r="1137" ht="18.75" customHeight="1">
      <c r="A1137" s="7316"/>
      <c r="B1137" s="7337" t="s">
        <v>1376</v>
      </c>
      <c r="C1137" s="7342" t="s">
        <v>3732</v>
      </c>
      <c r="D1137" s="7339"/>
      <c r="E1137" s="7338" t="s">
        <v>1939</v>
      </c>
      <c r="F1137" s="7338" t="str">
        <f t="shared" si="68"/>
        <v/>
      </c>
      <c r="G1137" s="7338" t="s">
        <v>1911</v>
      </c>
      <c r="H1137" s="7338" t="str">
        <f t="shared" si="69"/>
        <v/>
      </c>
      <c r="I1137" s="7339">
        <v>100.0</v>
      </c>
      <c r="J1137" s="7338">
        <v>130.0</v>
      </c>
      <c r="K1137" s="7338">
        <v>100.0</v>
      </c>
      <c r="L1137" s="7338">
        <v>63.0</v>
      </c>
      <c r="M1137" s="7338">
        <v>60.0</v>
      </c>
      <c r="N1137" s="7340">
        <v>97.0</v>
      </c>
      <c r="O1137" s="7321"/>
      <c r="P1137" s="7324"/>
      <c r="Q1137" s="7324"/>
      <c r="R1137" s="7324"/>
    </row>
    <row r="1138" ht="18.75" customHeight="1">
      <c r="A1138" s="7316"/>
      <c r="B1138" s="7331" t="s">
        <v>1377</v>
      </c>
      <c r="C1138" s="7341" t="s">
        <v>3733</v>
      </c>
      <c r="D1138" s="7333"/>
      <c r="E1138" s="7332" t="s">
        <v>1939</v>
      </c>
      <c r="F1138" s="7332" t="str">
        <f t="shared" si="68"/>
        <v/>
      </c>
      <c r="G1138" s="7332" t="s">
        <v>1871</v>
      </c>
      <c r="H1138" s="7332" t="str">
        <f t="shared" si="69"/>
        <v/>
      </c>
      <c r="I1138" s="7333">
        <v>100.0</v>
      </c>
      <c r="J1138" s="7332">
        <v>130.0</v>
      </c>
      <c r="K1138" s="7332">
        <v>100.0</v>
      </c>
      <c r="L1138" s="7332">
        <v>63.0</v>
      </c>
      <c r="M1138" s="7332">
        <v>60.0</v>
      </c>
      <c r="N1138" s="7334">
        <v>97.0</v>
      </c>
      <c r="O1138" s="7321"/>
      <c r="P1138" s="7324"/>
      <c r="Q1138" s="7324"/>
      <c r="R1138" s="7324"/>
    </row>
    <row r="1139" ht="18.75" customHeight="1">
      <c r="A1139" s="7316"/>
      <c r="B1139" s="7337" t="s">
        <v>1612</v>
      </c>
      <c r="C1139" s="7338" t="s">
        <v>3734</v>
      </c>
      <c r="D1139" s="7339"/>
      <c r="E1139" s="7338" t="s">
        <v>1911</v>
      </c>
      <c r="F1139" s="7338" t="str">
        <f t="shared" si="68"/>
        <v/>
      </c>
      <c r="G1139" s="7338" t="s">
        <v>1848</v>
      </c>
      <c r="H1139" s="7338" t="str">
        <f t="shared" si="69"/>
        <v/>
      </c>
      <c r="I1139" s="7339">
        <v>105.0</v>
      </c>
      <c r="J1139" s="7338">
        <v>120.0</v>
      </c>
      <c r="K1139" s="7338">
        <v>105.0</v>
      </c>
      <c r="L1139" s="7338">
        <v>70.0</v>
      </c>
      <c r="M1139" s="7338">
        <v>95.0</v>
      </c>
      <c r="N1139" s="7340">
        <v>105.0</v>
      </c>
      <c r="O1139" s="7321"/>
      <c r="P1139" s="7324"/>
      <c r="Q1139" s="7324"/>
      <c r="R1139" s="7324"/>
    </row>
    <row r="1140" ht="18.75" customHeight="1">
      <c r="A1140" s="7316"/>
      <c r="B1140" s="7331" t="s">
        <v>3735</v>
      </c>
      <c r="C1140" s="7332" t="s">
        <v>3736</v>
      </c>
      <c r="D1140" s="7333"/>
      <c r="E1140" s="7332" t="s">
        <v>1926</v>
      </c>
      <c r="F1140" s="7332" t="str">
        <f t="shared" ref="F1140:F1156" si="70">IFERROR(VLOOKUP(E1140,P$3:Q1158,2,False),"")</f>
        <v/>
      </c>
      <c r="G1140" s="7332"/>
      <c r="H1140" s="7332" t="str">
        <f t="shared" ref="H1140:H1156" si="71">IFERROR(VLOOKUP(G1140,P$3:Q1158,2,False),"")</f>
        <v/>
      </c>
      <c r="I1140" s="7333">
        <v>80.0</v>
      </c>
      <c r="J1140" s="7332">
        <v>100.0</v>
      </c>
      <c r="K1140" s="7332">
        <v>50.0</v>
      </c>
      <c r="L1140" s="7332">
        <v>100.0</v>
      </c>
      <c r="M1140" s="7332">
        <v>50.0</v>
      </c>
      <c r="N1140" s="7334">
        <v>200.0</v>
      </c>
      <c r="O1140" s="7321"/>
      <c r="P1140" s="7324"/>
      <c r="Q1140" s="7324"/>
      <c r="R1140" s="7324"/>
    </row>
    <row r="1141" ht="18.75" customHeight="1">
      <c r="A1141" s="7316"/>
      <c r="B1141" s="7337" t="s">
        <v>3737</v>
      </c>
      <c r="C1141" s="7338" t="s">
        <v>3738</v>
      </c>
      <c r="D1141" s="7339"/>
      <c r="E1141" s="7338" t="s">
        <v>1866</v>
      </c>
      <c r="F1141" s="7338" t="str">
        <f t="shared" si="70"/>
        <v/>
      </c>
      <c r="G1141" s="7338"/>
      <c r="H1141" s="7338" t="str">
        <f t="shared" si="71"/>
        <v/>
      </c>
      <c r="I1141" s="7339">
        <v>200.0</v>
      </c>
      <c r="J1141" s="7338">
        <v>100.0</v>
      </c>
      <c r="K1141" s="7338">
        <v>50.0</v>
      </c>
      <c r="L1141" s="7338">
        <v>100.0</v>
      </c>
      <c r="M1141" s="7338">
        <v>50.0</v>
      </c>
      <c r="N1141" s="7340">
        <v>80.0</v>
      </c>
      <c r="O1141" s="7321"/>
      <c r="P1141" s="7324"/>
      <c r="Q1141" s="7324"/>
      <c r="R1141" s="7324"/>
    </row>
    <row r="1142" ht="18.75" customHeight="1">
      <c r="A1142" s="7316"/>
      <c r="B1142" s="7331" t="s">
        <v>3739</v>
      </c>
      <c r="C1142" s="7332" t="s">
        <v>3740</v>
      </c>
      <c r="D1142" s="7333"/>
      <c r="E1142" s="7332" t="s">
        <v>1932</v>
      </c>
      <c r="F1142" s="7332" t="str">
        <f t="shared" si="70"/>
        <v/>
      </c>
      <c r="G1142" s="7332"/>
      <c r="H1142" s="7332" t="str">
        <f t="shared" si="71"/>
        <v/>
      </c>
      <c r="I1142" s="7333">
        <v>100.0</v>
      </c>
      <c r="J1142" s="7332">
        <v>145.0</v>
      </c>
      <c r="K1142" s="7332">
        <v>130.0</v>
      </c>
      <c r="L1142" s="7332">
        <v>65.0</v>
      </c>
      <c r="M1142" s="7332">
        <v>110.0</v>
      </c>
      <c r="N1142" s="7334">
        <v>30.0</v>
      </c>
      <c r="O1142" s="7321"/>
      <c r="P1142" s="7324"/>
      <c r="Q1142" s="7324"/>
      <c r="R1142" s="7324"/>
    </row>
    <row r="1143" ht="18.75" customHeight="1">
      <c r="A1143" s="7316"/>
      <c r="B1143" s="7337" t="s">
        <v>3741</v>
      </c>
      <c r="C1143" s="7338" t="s">
        <v>3742</v>
      </c>
      <c r="D1143" s="7339"/>
      <c r="E1143" s="7338" t="s">
        <v>2097</v>
      </c>
      <c r="F1143" s="7338" t="str">
        <f t="shared" si="70"/>
        <v/>
      </c>
      <c r="G1143" s="7338"/>
      <c r="H1143" s="7338" t="str">
        <f t="shared" si="71"/>
        <v/>
      </c>
      <c r="I1143" s="7339">
        <v>100.0</v>
      </c>
      <c r="J1143" s="7338">
        <v>65.0</v>
      </c>
      <c r="K1143" s="7338">
        <v>60.0</v>
      </c>
      <c r="L1143" s="7338">
        <v>145.0</v>
      </c>
      <c r="M1143" s="7338">
        <v>80.0</v>
      </c>
      <c r="N1143" s="7340">
        <v>130.0</v>
      </c>
      <c r="O1143" s="7321"/>
      <c r="P1143" s="7324"/>
      <c r="Q1143" s="7324"/>
      <c r="R1143" s="7324"/>
    </row>
    <row r="1144" ht="18.75" customHeight="1">
      <c r="A1144" s="7316"/>
      <c r="B1144" s="7331" t="s">
        <v>3743</v>
      </c>
      <c r="C1144" s="7332" t="s">
        <v>3744</v>
      </c>
      <c r="D1144" s="7333"/>
      <c r="E1144" s="7332" t="s">
        <v>561</v>
      </c>
      <c r="F1144" s="7332" t="str">
        <f t="shared" si="70"/>
        <v/>
      </c>
      <c r="G1144" s="7332" t="s">
        <v>1848</v>
      </c>
      <c r="H1144" s="7332" t="str">
        <f t="shared" si="71"/>
        <v/>
      </c>
      <c r="I1144" s="7333">
        <v>100.0</v>
      </c>
      <c r="J1144" s="7332">
        <v>80.0</v>
      </c>
      <c r="K1144" s="7332">
        <v>80.0</v>
      </c>
      <c r="L1144" s="7332">
        <v>80.0</v>
      </c>
      <c r="M1144" s="7332">
        <v>80.0</v>
      </c>
      <c r="N1144" s="7334">
        <v>80.0</v>
      </c>
      <c r="O1144" s="7321"/>
      <c r="P1144" s="7324"/>
      <c r="Q1144" s="7324"/>
      <c r="R1144" s="7324"/>
    </row>
    <row r="1145" ht="18.75" customHeight="1">
      <c r="A1145" s="7316"/>
      <c r="B1145" s="7337" t="s">
        <v>1424</v>
      </c>
      <c r="C1145" s="7342" t="s">
        <v>3745</v>
      </c>
      <c r="D1145" s="7339"/>
      <c r="E1145" s="7338" t="s">
        <v>561</v>
      </c>
      <c r="F1145" s="7338" t="str">
        <f t="shared" si="70"/>
        <v/>
      </c>
      <c r="G1145" s="7338" t="s">
        <v>1932</v>
      </c>
      <c r="H1145" s="7338" t="str">
        <f t="shared" si="71"/>
        <v/>
      </c>
      <c r="I1145" s="7339">
        <v>100.0</v>
      </c>
      <c r="J1145" s="7338">
        <v>165.0</v>
      </c>
      <c r="K1145" s="7338">
        <v>150.0</v>
      </c>
      <c r="L1145" s="7338">
        <v>85.0</v>
      </c>
      <c r="M1145" s="7338">
        <v>130.0</v>
      </c>
      <c r="N1145" s="7340">
        <v>50.0</v>
      </c>
      <c r="O1145" s="7321"/>
      <c r="P1145" s="7324"/>
      <c r="Q1145" s="7324"/>
      <c r="R1145" s="7324"/>
    </row>
    <row r="1146" ht="18.75" customHeight="1">
      <c r="A1146" s="7316"/>
      <c r="B1146" s="7331" t="s">
        <v>3746</v>
      </c>
      <c r="C1146" s="7341" t="s">
        <v>3747</v>
      </c>
      <c r="D1146" s="7333"/>
      <c r="E1146" s="7332" t="s">
        <v>561</v>
      </c>
      <c r="F1146" s="7332" t="str">
        <f t="shared" si="70"/>
        <v/>
      </c>
      <c r="G1146" s="7332" t="s">
        <v>2097</v>
      </c>
      <c r="H1146" s="7332" t="str">
        <f t="shared" si="71"/>
        <v/>
      </c>
      <c r="I1146" s="7333">
        <v>100.0</v>
      </c>
      <c r="J1146" s="7332">
        <v>85.0</v>
      </c>
      <c r="K1146" s="7332">
        <v>80.0</v>
      </c>
      <c r="L1146" s="7332">
        <v>165.0</v>
      </c>
      <c r="M1146" s="7332">
        <v>100.0</v>
      </c>
      <c r="N1146" s="7334">
        <v>150.0</v>
      </c>
      <c r="O1146" s="7321"/>
      <c r="P1146" s="7324"/>
      <c r="Q1146" s="7324"/>
      <c r="R1146" s="7324"/>
    </row>
    <row r="1147" ht="18.75" customHeight="1">
      <c r="A1147" s="7316"/>
      <c r="B1147" s="7337" t="s">
        <v>3748</v>
      </c>
      <c r="C1147" s="7338" t="s">
        <v>3749</v>
      </c>
      <c r="D1147" s="7339"/>
      <c r="E1147" s="7338" t="s">
        <v>1901</v>
      </c>
      <c r="F1147" s="7338" t="str">
        <f t="shared" si="70"/>
        <v/>
      </c>
      <c r="G1147" s="7338" t="s">
        <v>561</v>
      </c>
      <c r="H1147" s="7338" t="str">
        <f t="shared" si="71"/>
        <v/>
      </c>
      <c r="I1147" s="7339">
        <v>103.0</v>
      </c>
      <c r="J1147" s="7338">
        <v>80.0</v>
      </c>
      <c r="K1147" s="7338">
        <v>82.0</v>
      </c>
      <c r="L1147" s="7338">
        <v>110.0</v>
      </c>
      <c r="M1147" s="7338">
        <v>85.0</v>
      </c>
      <c r="N1147" s="7340">
        <v>65.0</v>
      </c>
      <c r="O1147" s="7321"/>
      <c r="P1147" s="7324"/>
      <c r="Q1147" s="7324"/>
      <c r="R1147" s="7324"/>
    </row>
    <row r="1148" ht="18.75" customHeight="1">
      <c r="A1148" s="7316"/>
      <c r="B1148" s="7331" t="s">
        <v>528</v>
      </c>
      <c r="C1148" s="7332" t="s">
        <v>3750</v>
      </c>
      <c r="D1148" s="7333"/>
      <c r="E1148" s="7332" t="s">
        <v>1882</v>
      </c>
      <c r="F1148" s="7332" t="str">
        <f t="shared" si="70"/>
        <v/>
      </c>
      <c r="G1148" s="7332" t="s">
        <v>2014</v>
      </c>
      <c r="H1148" s="7332" t="str">
        <f t="shared" si="71"/>
        <v/>
      </c>
      <c r="I1148" s="7333">
        <v>85.0</v>
      </c>
      <c r="J1148" s="7332">
        <v>135.0</v>
      </c>
      <c r="K1148" s="7332">
        <v>95.0</v>
      </c>
      <c r="L1148" s="7332">
        <v>30.0</v>
      </c>
      <c r="M1148" s="7332">
        <v>70.0</v>
      </c>
      <c r="N1148" s="7334">
        <v>85.0</v>
      </c>
      <c r="O1148" s="7321"/>
      <c r="P1148" s="7324"/>
      <c r="Q1148" s="7324"/>
      <c r="R1148" s="7324"/>
    </row>
    <row r="1149" ht="18.75" customHeight="1">
      <c r="A1149" s="7316"/>
      <c r="B1149" s="7337" t="s">
        <v>295</v>
      </c>
      <c r="C1149" s="7338" t="s">
        <v>3751</v>
      </c>
      <c r="D1149" s="7339"/>
      <c r="E1149" s="7338" t="s">
        <v>1948</v>
      </c>
      <c r="F1149" s="7338" t="str">
        <f t="shared" si="70"/>
        <v/>
      </c>
      <c r="G1149" s="7338" t="s">
        <v>1901</v>
      </c>
      <c r="H1149" s="7338" t="str">
        <f t="shared" si="71"/>
        <v/>
      </c>
      <c r="I1149" s="7339">
        <v>130.0</v>
      </c>
      <c r="J1149" s="7338">
        <v>140.0</v>
      </c>
      <c r="K1149" s="7338">
        <v>105.0</v>
      </c>
      <c r="L1149" s="7338">
        <v>45.0</v>
      </c>
      <c r="M1149" s="7338">
        <v>80.0</v>
      </c>
      <c r="N1149" s="7340">
        <v>50.0</v>
      </c>
      <c r="O1149" s="7321"/>
      <c r="P1149" s="7324"/>
      <c r="Q1149" s="7324"/>
      <c r="R1149" s="7324"/>
    </row>
    <row r="1150" ht="18.75" customHeight="1">
      <c r="A1150" s="7316"/>
      <c r="B1150" s="7331" t="s">
        <v>416</v>
      </c>
      <c r="C1150" s="7341" t="s">
        <v>3752</v>
      </c>
      <c r="D1150" s="7333"/>
      <c r="E1150" s="7332" t="s">
        <v>1948</v>
      </c>
      <c r="F1150" s="7332" t="str">
        <f t="shared" si="70"/>
        <v/>
      </c>
      <c r="G1150" s="7332" t="s">
        <v>1901</v>
      </c>
      <c r="H1150" s="7332" t="str">
        <f t="shared" si="71"/>
        <v/>
      </c>
      <c r="I1150" s="7341">
        <v>113.0</v>
      </c>
      <c r="J1150" s="7341">
        <v>70.0</v>
      </c>
      <c r="K1150" s="7341">
        <v>120.0</v>
      </c>
      <c r="L1150" s="7341">
        <v>135.0</v>
      </c>
      <c r="M1150" s="7341">
        <v>65.0</v>
      </c>
      <c r="N1150" s="7360">
        <v>52.0</v>
      </c>
      <c r="O1150" s="7321"/>
      <c r="P1150" s="7324"/>
      <c r="Q1150" s="7324"/>
      <c r="R1150" s="7324"/>
    </row>
    <row r="1151" ht="18.75" customHeight="1">
      <c r="A1151" s="7316"/>
      <c r="B1151" s="7337" t="s">
        <v>1692</v>
      </c>
      <c r="C1151" s="7338" t="s">
        <v>3753</v>
      </c>
      <c r="D1151" s="7339"/>
      <c r="E1151" s="7338" t="s">
        <v>1871</v>
      </c>
      <c r="F1151" s="7338" t="str">
        <f t="shared" si="70"/>
        <v/>
      </c>
      <c r="G1151" s="7338" t="s">
        <v>2097</v>
      </c>
      <c r="H1151" s="7338" t="str">
        <f t="shared" si="71"/>
        <v/>
      </c>
      <c r="I1151" s="7339">
        <v>120.0</v>
      </c>
      <c r="J1151" s="7338">
        <v>112.0</v>
      </c>
      <c r="K1151" s="7338">
        <v>65.0</v>
      </c>
      <c r="L1151" s="7338">
        <v>80.0</v>
      </c>
      <c r="M1151" s="7338">
        <v>75.0</v>
      </c>
      <c r="N1151" s="7340">
        <v>78.0</v>
      </c>
      <c r="O1151" s="7321"/>
      <c r="P1151" s="7324"/>
      <c r="Q1151" s="7324"/>
      <c r="R1151" s="7324"/>
    </row>
    <row r="1152" ht="18.75" customHeight="1">
      <c r="A1152" s="7316"/>
      <c r="B1152" s="7331" t="s">
        <v>1689</v>
      </c>
      <c r="C1152" s="7341" t="s">
        <v>3754</v>
      </c>
      <c r="D1152" s="7333"/>
      <c r="E1152" s="7332" t="s">
        <v>1871</v>
      </c>
      <c r="F1152" s="7332" t="str">
        <f t="shared" si="70"/>
        <v/>
      </c>
      <c r="G1152" s="7332" t="s">
        <v>2097</v>
      </c>
      <c r="H1152" s="7332" t="str">
        <f t="shared" si="71"/>
        <v/>
      </c>
      <c r="I1152" s="7333">
        <v>120.0</v>
      </c>
      <c r="J1152" s="7332">
        <v>92.0</v>
      </c>
      <c r="K1152" s="7332">
        <v>65.0</v>
      </c>
      <c r="L1152" s="7332">
        <v>100.0</v>
      </c>
      <c r="M1152" s="7332">
        <v>75.0</v>
      </c>
      <c r="N1152" s="7334">
        <v>78.0</v>
      </c>
      <c r="O1152" s="7321"/>
      <c r="P1152" s="7324"/>
      <c r="Q1152" s="7324"/>
      <c r="R1152" s="7324"/>
    </row>
    <row r="1153" ht="18.75" customHeight="1">
      <c r="A1153" s="7316"/>
      <c r="B1153" s="7337" t="s">
        <v>590</v>
      </c>
      <c r="C1153" s="7338" t="s">
        <v>3755</v>
      </c>
      <c r="D1153" s="7339"/>
      <c r="E1153" s="7338" t="s">
        <v>1849</v>
      </c>
      <c r="F1153" s="7338" t="str">
        <f t="shared" si="70"/>
        <v/>
      </c>
      <c r="G1153" s="7338" t="s">
        <v>1939</v>
      </c>
      <c r="H1153" s="7338" t="str">
        <f t="shared" si="71"/>
        <v/>
      </c>
      <c r="I1153" s="7339">
        <v>80.0</v>
      </c>
      <c r="J1153" s="7338">
        <v>130.0</v>
      </c>
      <c r="K1153" s="7338">
        <v>60.0</v>
      </c>
      <c r="L1153" s="7338">
        <v>40.0</v>
      </c>
      <c r="M1153" s="7338">
        <v>80.0</v>
      </c>
      <c r="N1153" s="7340">
        <v>120.0</v>
      </c>
      <c r="O1153" s="7321"/>
      <c r="P1153" s="7324"/>
      <c r="Q1153" s="7324"/>
      <c r="R1153" s="7324"/>
    </row>
    <row r="1154" ht="18.75" customHeight="1">
      <c r="A1154" s="7316"/>
      <c r="B1154" s="7331" t="s">
        <v>1681</v>
      </c>
      <c r="C1154" s="7332" t="s">
        <v>3756</v>
      </c>
      <c r="D1154" s="7333"/>
      <c r="E1154" s="7332" t="s">
        <v>1911</v>
      </c>
      <c r="F1154" s="7332" t="str">
        <f t="shared" si="70"/>
        <v/>
      </c>
      <c r="G1154" s="7332" t="s">
        <v>1849</v>
      </c>
      <c r="H1154" s="7332" t="str">
        <f t="shared" si="71"/>
        <v/>
      </c>
      <c r="I1154" s="7333">
        <v>95.0</v>
      </c>
      <c r="J1154" s="7332">
        <v>115.0</v>
      </c>
      <c r="K1154" s="7332">
        <v>100.0</v>
      </c>
      <c r="L1154" s="7332">
        <v>55.0</v>
      </c>
      <c r="M1154" s="7332">
        <v>80.0</v>
      </c>
      <c r="N1154" s="7334">
        <v>85.0</v>
      </c>
      <c r="O1154" s="7321"/>
      <c r="P1154" s="7324"/>
      <c r="Q1154" s="7324"/>
      <c r="R1154" s="7324"/>
    </row>
    <row r="1155" ht="18.75" customHeight="1">
      <c r="A1155" s="7316"/>
      <c r="B1155" s="7337" t="s">
        <v>1544</v>
      </c>
      <c r="C1155" s="7342" t="s">
        <v>3757</v>
      </c>
      <c r="D1155" s="7339"/>
      <c r="E1155" s="7338" t="s">
        <v>1935</v>
      </c>
      <c r="F1155" s="7338" t="str">
        <f t="shared" si="70"/>
        <v/>
      </c>
      <c r="G1155" s="7338" t="s">
        <v>1863</v>
      </c>
      <c r="H1155" s="7338" t="str">
        <f t="shared" si="71"/>
        <v/>
      </c>
      <c r="I1155" s="7339">
        <v>74.0</v>
      </c>
      <c r="J1155" s="7338">
        <v>115.0</v>
      </c>
      <c r="K1155" s="7338">
        <v>70.0</v>
      </c>
      <c r="L1155" s="7338">
        <v>135.0</v>
      </c>
      <c r="M1155" s="7338">
        <v>80.0</v>
      </c>
      <c r="N1155" s="7340">
        <v>106.0</v>
      </c>
      <c r="O1155" s="7321"/>
      <c r="P1155" s="7324"/>
      <c r="Q1155" s="7324"/>
      <c r="R1155" s="7324"/>
    </row>
    <row r="1156" ht="18.75" customHeight="1">
      <c r="A1156" s="7316"/>
      <c r="B1156" s="7349" t="s">
        <v>1841</v>
      </c>
      <c r="C1156" s="7362" t="s">
        <v>3758</v>
      </c>
      <c r="D1156" s="7351"/>
      <c r="E1156" s="7350" t="s">
        <v>1935</v>
      </c>
      <c r="F1156" s="7350" t="str">
        <f t="shared" si="70"/>
        <v/>
      </c>
      <c r="G1156" s="7350" t="s">
        <v>1863</v>
      </c>
      <c r="H1156" s="7350" t="str">
        <f t="shared" si="71"/>
        <v/>
      </c>
      <c r="I1156" s="7351">
        <v>74.0</v>
      </c>
      <c r="J1156" s="7350">
        <v>115.0</v>
      </c>
      <c r="K1156" s="7350">
        <v>110.0</v>
      </c>
      <c r="L1156" s="7350">
        <v>135.0</v>
      </c>
      <c r="M1156" s="7350">
        <v>100.0</v>
      </c>
      <c r="N1156" s="7352">
        <v>46.0</v>
      </c>
      <c r="O1156" s="7321"/>
      <c r="P1156" s="7324"/>
      <c r="Q1156" s="7324"/>
      <c r="R1156" s="7324"/>
    </row>
    <row r="1157">
      <c r="A1157" s="7316"/>
      <c r="B1157" s="7315"/>
      <c r="C1157" s="7315"/>
      <c r="D1157" s="7315"/>
      <c r="E1157" s="7315"/>
      <c r="F1157" s="7315"/>
      <c r="G1157" s="7315"/>
      <c r="H1157" s="7315"/>
      <c r="I1157" s="7315"/>
      <c r="J1157" s="7315"/>
      <c r="K1157" s="7315"/>
      <c r="L1157" s="7315"/>
      <c r="M1157" s="7315"/>
      <c r="N1157" s="7315"/>
      <c r="O1157" s="7316"/>
      <c r="P1157" s="7316"/>
      <c r="Q1157" s="7316"/>
      <c r="R1157" s="7316"/>
    </row>
    <row r="1158">
      <c r="A1158" s="7316"/>
      <c r="B1158" s="7369" t="s">
        <v>3759</v>
      </c>
      <c r="C1158" s="7374"/>
      <c r="D1158" s="7374"/>
      <c r="E1158" s="7374"/>
      <c r="F1158" s="7374"/>
      <c r="G1158" s="7374"/>
      <c r="H1158" s="7375"/>
      <c r="I1158" s="7372" t="s">
        <v>192</v>
      </c>
      <c r="J1158" s="7372" t="s">
        <v>193</v>
      </c>
      <c r="K1158" s="7372" t="s">
        <v>194</v>
      </c>
      <c r="L1158" s="7372" t="s">
        <v>195</v>
      </c>
      <c r="M1158" s="7372" t="s">
        <v>196</v>
      </c>
      <c r="N1158" s="7373" t="s">
        <v>197</v>
      </c>
      <c r="O1158" s="7321"/>
      <c r="P1158" s="7324"/>
      <c r="Q1158" s="7324"/>
      <c r="R1158" s="7324"/>
    </row>
    <row r="1159" ht="18.75" customHeight="1">
      <c r="A1159" s="7316"/>
      <c r="B1159" s="7337" t="s">
        <v>3760</v>
      </c>
      <c r="C1159" s="7338" t="s">
        <v>3761</v>
      </c>
      <c r="D1159" s="7339"/>
      <c r="E1159" s="7338" t="s">
        <v>1848</v>
      </c>
      <c r="F1159" s="7338" t="str">
        <f t="shared" ref="F1159:F1267" si="72">IFERROR(VLOOKUP(E1159,P$3:Q1176,2,False),"")</f>
        <v/>
      </c>
      <c r="G1159" s="7338"/>
      <c r="H1159" s="7338" t="str">
        <f t="shared" ref="H1159:H1267" si="73">IFERROR(VLOOKUP(G1159,P$3:Q1176,2,False),"")</f>
        <v/>
      </c>
      <c r="I1159" s="7339">
        <v>40.0</v>
      </c>
      <c r="J1159" s="7338">
        <v>61.0</v>
      </c>
      <c r="K1159" s="7338">
        <v>54.0</v>
      </c>
      <c r="L1159" s="7338">
        <v>45.0</v>
      </c>
      <c r="M1159" s="7338">
        <v>45.0</v>
      </c>
      <c r="N1159" s="7340">
        <v>65.0</v>
      </c>
      <c r="O1159" s="7321"/>
      <c r="P1159" s="7324"/>
      <c r="Q1159" s="7324"/>
      <c r="R1159" s="7324"/>
    </row>
    <row r="1160" ht="18.75" customHeight="1">
      <c r="A1160" s="7316"/>
      <c r="B1160" s="7331" t="s">
        <v>3762</v>
      </c>
      <c r="C1160" s="7332" t="s">
        <v>3763</v>
      </c>
      <c r="D1160" s="7333"/>
      <c r="E1160" s="7332" t="s">
        <v>1848</v>
      </c>
      <c r="F1160" s="7332" t="str">
        <f t="shared" si="72"/>
        <v/>
      </c>
      <c r="G1160" s="7332"/>
      <c r="H1160" s="7332" t="str">
        <f t="shared" si="73"/>
        <v/>
      </c>
      <c r="I1160" s="7333">
        <v>61.0</v>
      </c>
      <c r="J1160" s="7332">
        <v>80.0</v>
      </c>
      <c r="K1160" s="7332">
        <v>63.0</v>
      </c>
      <c r="L1160" s="7332">
        <v>60.0</v>
      </c>
      <c r="M1160" s="7332">
        <v>63.0</v>
      </c>
      <c r="N1160" s="7334">
        <v>83.0</v>
      </c>
      <c r="O1160" s="7321"/>
      <c r="P1160" s="7324"/>
      <c r="Q1160" s="7324"/>
      <c r="R1160" s="7324"/>
    </row>
    <row r="1161" ht="18.75" customHeight="1">
      <c r="A1161" s="7316"/>
      <c r="B1161" s="7337" t="s">
        <v>259</v>
      </c>
      <c r="C1161" s="7338" t="s">
        <v>3764</v>
      </c>
      <c r="D1161" s="7339"/>
      <c r="E1161" s="7338" t="s">
        <v>1848</v>
      </c>
      <c r="F1161" s="7338" t="str">
        <f t="shared" si="72"/>
        <v/>
      </c>
      <c r="G1161" s="7338" t="s">
        <v>1911</v>
      </c>
      <c r="H1161" s="7338" t="str">
        <f t="shared" si="73"/>
        <v/>
      </c>
      <c r="I1161" s="7339">
        <v>76.0</v>
      </c>
      <c r="J1161" s="7338">
        <v>110.0</v>
      </c>
      <c r="K1161" s="7338">
        <v>70.0</v>
      </c>
      <c r="L1161" s="7338">
        <v>81.0</v>
      </c>
      <c r="M1161" s="7338">
        <v>70.0</v>
      </c>
      <c r="N1161" s="7340">
        <v>123.0</v>
      </c>
      <c r="O1161" s="7321"/>
      <c r="P1161" s="7324"/>
      <c r="Q1161" s="7324"/>
      <c r="R1161" s="7324"/>
    </row>
    <row r="1162" ht="18.75" customHeight="1">
      <c r="A1162" s="7316"/>
      <c r="B1162" s="7331" t="s">
        <v>3765</v>
      </c>
      <c r="C1162" s="7332" t="s">
        <v>3766</v>
      </c>
      <c r="D1162" s="7333"/>
      <c r="E1162" s="7332" t="s">
        <v>1858</v>
      </c>
      <c r="F1162" s="7332" t="str">
        <f t="shared" si="72"/>
        <v/>
      </c>
      <c r="G1162" s="7332"/>
      <c r="H1162" s="7332" t="str">
        <f t="shared" si="73"/>
        <v/>
      </c>
      <c r="I1162" s="7333">
        <v>67.0</v>
      </c>
      <c r="J1162" s="7332">
        <v>45.0</v>
      </c>
      <c r="K1162" s="7332">
        <v>59.0</v>
      </c>
      <c r="L1162" s="7332">
        <v>63.0</v>
      </c>
      <c r="M1162" s="7332">
        <v>40.0</v>
      </c>
      <c r="N1162" s="7334">
        <v>36.0</v>
      </c>
      <c r="O1162" s="7321"/>
      <c r="P1162" s="7324"/>
      <c r="Q1162" s="7324"/>
      <c r="R1162" s="7324"/>
    </row>
    <row r="1163" ht="18.75" customHeight="1">
      <c r="A1163" s="7316"/>
      <c r="B1163" s="7337" t="s">
        <v>3767</v>
      </c>
      <c r="C1163" s="7338" t="s">
        <v>3768</v>
      </c>
      <c r="D1163" s="7339"/>
      <c r="E1163" s="7338" t="s">
        <v>1858</v>
      </c>
      <c r="F1163" s="7338" t="str">
        <f t="shared" si="72"/>
        <v/>
      </c>
      <c r="G1163" s="7338"/>
      <c r="H1163" s="7338" t="str">
        <f t="shared" si="73"/>
        <v/>
      </c>
      <c r="I1163" s="7339">
        <v>81.0</v>
      </c>
      <c r="J1163" s="7338">
        <v>55.0</v>
      </c>
      <c r="K1163" s="7338">
        <v>78.0</v>
      </c>
      <c r="L1163" s="7338">
        <v>90.0</v>
      </c>
      <c r="M1163" s="7338">
        <v>58.0</v>
      </c>
      <c r="N1163" s="7340">
        <v>49.0</v>
      </c>
      <c r="O1163" s="7321"/>
      <c r="P1163" s="7324"/>
      <c r="Q1163" s="7324"/>
      <c r="R1163" s="7324"/>
    </row>
    <row r="1164" ht="18.75" customHeight="1">
      <c r="A1164" s="7316"/>
      <c r="B1164" s="7331" t="s">
        <v>571</v>
      </c>
      <c r="C1164" s="7332" t="s">
        <v>3769</v>
      </c>
      <c r="D1164" s="7333"/>
      <c r="E1164" s="7332" t="s">
        <v>1858</v>
      </c>
      <c r="F1164" s="7332" t="str">
        <f t="shared" si="72"/>
        <v/>
      </c>
      <c r="G1164" s="7332" t="s">
        <v>2097</v>
      </c>
      <c r="H1164" s="7332" t="str">
        <f t="shared" si="73"/>
        <v/>
      </c>
      <c r="I1164" s="7333">
        <v>104.0</v>
      </c>
      <c r="J1164" s="7332">
        <v>75.0</v>
      </c>
      <c r="K1164" s="7332">
        <v>100.0</v>
      </c>
      <c r="L1164" s="7332">
        <v>110.0</v>
      </c>
      <c r="M1164" s="7332">
        <v>75.0</v>
      </c>
      <c r="N1164" s="7334">
        <v>66.0</v>
      </c>
      <c r="O1164" s="7321"/>
      <c r="P1164" s="7324"/>
      <c r="Q1164" s="7324"/>
      <c r="R1164" s="7324"/>
    </row>
    <row r="1165" ht="18.75" customHeight="1">
      <c r="A1165" s="7316"/>
      <c r="B1165" s="7337" t="s">
        <v>3770</v>
      </c>
      <c r="C1165" s="7338" t="s">
        <v>3771</v>
      </c>
      <c r="D1165" s="7339"/>
      <c r="E1165" s="7338" t="s">
        <v>1871</v>
      </c>
      <c r="F1165" s="7338" t="str">
        <f t="shared" si="72"/>
        <v/>
      </c>
      <c r="G1165" s="7338"/>
      <c r="H1165" s="7338" t="str">
        <f t="shared" si="73"/>
        <v/>
      </c>
      <c r="I1165" s="7339">
        <v>55.0</v>
      </c>
      <c r="J1165" s="7338">
        <v>65.0</v>
      </c>
      <c r="K1165" s="7338">
        <v>45.0</v>
      </c>
      <c r="L1165" s="7338">
        <v>50.0</v>
      </c>
      <c r="M1165" s="7338">
        <v>45.0</v>
      </c>
      <c r="N1165" s="7340">
        <v>50.0</v>
      </c>
      <c r="O1165" s="7321"/>
      <c r="P1165" s="7324"/>
      <c r="Q1165" s="7324"/>
      <c r="R1165" s="7324"/>
    </row>
    <row r="1166" ht="18.75" customHeight="1">
      <c r="A1166" s="7316"/>
      <c r="B1166" s="7331" t="s">
        <v>3772</v>
      </c>
      <c r="C1166" s="7332" t="s">
        <v>3773</v>
      </c>
      <c r="D1166" s="7333"/>
      <c r="E1166" s="7332" t="s">
        <v>1871</v>
      </c>
      <c r="F1166" s="7332" t="str">
        <f t="shared" si="72"/>
        <v/>
      </c>
      <c r="G1166" s="7332"/>
      <c r="H1166" s="7332" t="str">
        <f t="shared" si="73"/>
        <v/>
      </c>
      <c r="I1166" s="7333">
        <v>70.0</v>
      </c>
      <c r="J1166" s="7332">
        <v>85.0</v>
      </c>
      <c r="K1166" s="7332">
        <v>65.0</v>
      </c>
      <c r="L1166" s="7332">
        <v>65.0</v>
      </c>
      <c r="M1166" s="7332">
        <v>60.0</v>
      </c>
      <c r="N1166" s="7334">
        <v>65.0</v>
      </c>
      <c r="O1166" s="7321"/>
      <c r="P1166" s="7324"/>
      <c r="Q1166" s="7324"/>
      <c r="R1166" s="7324"/>
    </row>
    <row r="1167" ht="18.75" customHeight="1">
      <c r="A1167" s="7316"/>
      <c r="B1167" s="7337" t="s">
        <v>592</v>
      </c>
      <c r="C1167" s="7338" t="s">
        <v>3774</v>
      </c>
      <c r="D1167" s="7339"/>
      <c r="E1167" s="7338" t="s">
        <v>1871</v>
      </c>
      <c r="F1167" s="7338" t="str">
        <f t="shared" si="72"/>
        <v/>
      </c>
      <c r="G1167" s="7338" t="s">
        <v>1939</v>
      </c>
      <c r="H1167" s="7338" t="str">
        <f t="shared" si="73"/>
        <v/>
      </c>
      <c r="I1167" s="7339">
        <v>85.0</v>
      </c>
      <c r="J1167" s="7338">
        <v>120.0</v>
      </c>
      <c r="K1167" s="7338">
        <v>80.0</v>
      </c>
      <c r="L1167" s="7338">
        <v>85.0</v>
      </c>
      <c r="M1167" s="7338">
        <v>75.0</v>
      </c>
      <c r="N1167" s="7340">
        <v>85.0</v>
      </c>
      <c r="O1167" s="7321"/>
      <c r="P1167" s="7324"/>
      <c r="Q1167" s="7324"/>
      <c r="R1167" s="7324"/>
    </row>
    <row r="1168" ht="18.75" customHeight="1">
      <c r="A1168" s="7316"/>
      <c r="B1168" s="7331" t="s">
        <v>3775</v>
      </c>
      <c r="C1168" s="7332" t="s">
        <v>3776</v>
      </c>
      <c r="D1168" s="7333"/>
      <c r="E1168" s="7332" t="s">
        <v>1901</v>
      </c>
      <c r="F1168" s="7332" t="str">
        <f t="shared" si="72"/>
        <v/>
      </c>
      <c r="G1168" s="7332"/>
      <c r="H1168" s="7332" t="str">
        <f t="shared" si="73"/>
        <v/>
      </c>
      <c r="I1168" s="7333">
        <v>54.0</v>
      </c>
      <c r="J1168" s="7332">
        <v>45.0</v>
      </c>
      <c r="K1168" s="7332">
        <v>40.0</v>
      </c>
      <c r="L1168" s="7332">
        <v>35.0</v>
      </c>
      <c r="M1168" s="7332">
        <v>45.0</v>
      </c>
      <c r="N1168" s="7334">
        <v>35.0</v>
      </c>
      <c r="O1168" s="7321"/>
      <c r="P1168" s="7324"/>
      <c r="Q1168" s="7324"/>
      <c r="R1168" s="7324"/>
    </row>
    <row r="1169" ht="18.75" customHeight="1">
      <c r="A1169" s="7316"/>
      <c r="B1169" s="7337" t="s">
        <v>3777</v>
      </c>
      <c r="C1169" s="7338" t="s">
        <v>3778</v>
      </c>
      <c r="D1169" s="7339"/>
      <c r="E1169" s="7338" t="s">
        <v>1901</v>
      </c>
      <c r="F1169" s="7338" t="str">
        <f t="shared" si="72"/>
        <v/>
      </c>
      <c r="G1169" s="7338"/>
      <c r="H1169" s="7338" t="str">
        <f t="shared" si="73"/>
        <v/>
      </c>
      <c r="I1169" s="7339">
        <v>110.0</v>
      </c>
      <c r="J1169" s="7338">
        <v>100.0</v>
      </c>
      <c r="K1169" s="7338">
        <v>75.0</v>
      </c>
      <c r="L1169" s="7338">
        <v>59.0</v>
      </c>
      <c r="M1169" s="7338">
        <v>80.0</v>
      </c>
      <c r="N1169" s="7340">
        <v>65.0</v>
      </c>
      <c r="O1169" s="7321"/>
      <c r="P1169" s="7324"/>
      <c r="Q1169" s="7324"/>
      <c r="R1169" s="7324"/>
    </row>
    <row r="1170" ht="18.75" customHeight="1">
      <c r="A1170" s="7316"/>
      <c r="B1170" s="7331" t="s">
        <v>841</v>
      </c>
      <c r="C1170" s="7341" t="s">
        <v>3779</v>
      </c>
      <c r="D1170" s="7333"/>
      <c r="E1170" s="7332" t="s">
        <v>1901</v>
      </c>
      <c r="F1170" s="7332" t="str">
        <f t="shared" si="72"/>
        <v/>
      </c>
      <c r="G1170" s="7332"/>
      <c r="H1170" s="7332" t="str">
        <f t="shared" si="73"/>
        <v/>
      </c>
      <c r="I1170" s="7333">
        <v>115.0</v>
      </c>
      <c r="J1170" s="7332">
        <v>90.0</v>
      </c>
      <c r="K1170" s="7332">
        <v>70.0</v>
      </c>
      <c r="L1170" s="7332">
        <v>59.0</v>
      </c>
      <c r="M1170" s="7332">
        <v>90.0</v>
      </c>
      <c r="N1170" s="7334">
        <v>65.0</v>
      </c>
      <c r="O1170" s="7321"/>
      <c r="P1170" s="7324"/>
      <c r="Q1170" s="7324"/>
      <c r="R1170" s="7324"/>
    </row>
    <row r="1171" ht="18.75" customHeight="1">
      <c r="A1171" s="7316"/>
      <c r="B1171" s="7337" t="s">
        <v>3780</v>
      </c>
      <c r="C1171" s="7338" t="s">
        <v>3781</v>
      </c>
      <c r="D1171" s="7339"/>
      <c r="E1171" s="7338" t="s">
        <v>1882</v>
      </c>
      <c r="F1171" s="7338" t="str">
        <f t="shared" si="72"/>
        <v/>
      </c>
      <c r="G1171" s="7338"/>
      <c r="H1171" s="7338" t="str">
        <f t="shared" si="73"/>
        <v/>
      </c>
      <c r="I1171" s="7339">
        <v>35.0</v>
      </c>
      <c r="J1171" s="7338">
        <v>41.0</v>
      </c>
      <c r="K1171" s="7338">
        <v>45.0</v>
      </c>
      <c r="L1171" s="7338">
        <v>29.0</v>
      </c>
      <c r="M1171" s="7338">
        <v>40.0</v>
      </c>
      <c r="N1171" s="7340">
        <v>20.0</v>
      </c>
      <c r="O1171" s="7321"/>
      <c r="P1171" s="7324"/>
      <c r="Q1171" s="7324"/>
      <c r="R1171" s="7324"/>
    </row>
    <row r="1172" ht="18.75" customHeight="1">
      <c r="A1172" s="7316"/>
      <c r="B1172" s="7331" t="s">
        <v>3782</v>
      </c>
      <c r="C1172" s="7332" t="s">
        <v>3783</v>
      </c>
      <c r="D1172" s="7333"/>
      <c r="E1172" s="7332" t="s">
        <v>1882</v>
      </c>
      <c r="F1172" s="7332" t="str">
        <f t="shared" si="72"/>
        <v/>
      </c>
      <c r="G1172" s="7332"/>
      <c r="H1172" s="7332" t="str">
        <f t="shared" si="73"/>
        <v/>
      </c>
      <c r="I1172" s="7333">
        <v>85.0</v>
      </c>
      <c r="J1172" s="7332">
        <v>89.0</v>
      </c>
      <c r="K1172" s="7332">
        <v>92.0</v>
      </c>
      <c r="L1172" s="7332">
        <v>32.0</v>
      </c>
      <c r="M1172" s="7332">
        <v>86.0</v>
      </c>
      <c r="N1172" s="7334">
        <v>35.0</v>
      </c>
      <c r="O1172" s="7321"/>
      <c r="P1172" s="7324"/>
      <c r="Q1172" s="7324"/>
      <c r="R1172" s="7324"/>
    </row>
    <row r="1173" ht="18.75" customHeight="1">
      <c r="A1173" s="7316"/>
      <c r="B1173" s="7337" t="s">
        <v>3784</v>
      </c>
      <c r="C1173" s="7338" t="s">
        <v>3785</v>
      </c>
      <c r="D1173" s="7339"/>
      <c r="E1173" s="7338" t="s">
        <v>1882</v>
      </c>
      <c r="F1173" s="7338" t="str">
        <f t="shared" si="72"/>
        <v/>
      </c>
      <c r="G1173" s="7338"/>
      <c r="H1173" s="7338" t="str">
        <f t="shared" si="73"/>
        <v/>
      </c>
      <c r="I1173" s="7339">
        <v>33.0</v>
      </c>
      <c r="J1173" s="7338">
        <v>46.0</v>
      </c>
      <c r="K1173" s="7338">
        <v>40.0</v>
      </c>
      <c r="L1173" s="7338">
        <v>21.0</v>
      </c>
      <c r="M1173" s="7338">
        <v>25.0</v>
      </c>
      <c r="N1173" s="7340">
        <v>45.0</v>
      </c>
      <c r="O1173" s="7321"/>
      <c r="P1173" s="7324"/>
      <c r="Q1173" s="7324"/>
      <c r="R1173" s="7324"/>
    </row>
    <row r="1174" ht="18.75" customHeight="1">
      <c r="A1174" s="7316"/>
      <c r="B1174" s="7331" t="s">
        <v>514</v>
      </c>
      <c r="C1174" s="7332" t="s">
        <v>3786</v>
      </c>
      <c r="D1174" s="7333"/>
      <c r="E1174" s="7332" t="s">
        <v>1882</v>
      </c>
      <c r="F1174" s="7332" t="str">
        <f t="shared" si="72"/>
        <v/>
      </c>
      <c r="G1174" s="7332" t="s">
        <v>1911</v>
      </c>
      <c r="H1174" s="7332" t="str">
        <f t="shared" si="73"/>
        <v/>
      </c>
      <c r="I1174" s="7333">
        <v>71.0</v>
      </c>
      <c r="J1174" s="7332">
        <v>102.0</v>
      </c>
      <c r="K1174" s="7332">
        <v>78.0</v>
      </c>
      <c r="L1174" s="7332">
        <v>52.0</v>
      </c>
      <c r="M1174" s="7332">
        <v>55.0</v>
      </c>
      <c r="N1174" s="7334">
        <v>92.0</v>
      </c>
      <c r="O1174" s="7321"/>
      <c r="P1174" s="7324"/>
      <c r="Q1174" s="7324"/>
      <c r="R1174" s="7324"/>
    </row>
    <row r="1175" ht="18.75" customHeight="1">
      <c r="A1175" s="7316"/>
      <c r="B1175" s="7337" t="s">
        <v>3787</v>
      </c>
      <c r="C1175" s="7338" t="s">
        <v>3788</v>
      </c>
      <c r="D1175" s="7339"/>
      <c r="E1175" s="7338" t="s">
        <v>1926</v>
      </c>
      <c r="F1175" s="7338" t="str">
        <f t="shared" si="72"/>
        <v/>
      </c>
      <c r="G1175" s="7338"/>
      <c r="H1175" s="7338" t="str">
        <f t="shared" si="73"/>
        <v/>
      </c>
      <c r="I1175" s="7339">
        <v>45.0</v>
      </c>
      <c r="J1175" s="7338">
        <v>50.0</v>
      </c>
      <c r="K1175" s="7338">
        <v>20.0</v>
      </c>
      <c r="L1175" s="7338">
        <v>40.0</v>
      </c>
      <c r="M1175" s="7338">
        <v>25.0</v>
      </c>
      <c r="N1175" s="7340">
        <v>60.0</v>
      </c>
      <c r="O1175" s="7321"/>
      <c r="P1175" s="7324"/>
      <c r="Q1175" s="7324"/>
      <c r="R1175" s="7324"/>
    </row>
    <row r="1176" ht="18.75" customHeight="1">
      <c r="A1176" s="7316"/>
      <c r="B1176" s="7331" t="s">
        <v>3789</v>
      </c>
      <c r="C1176" s="7332" t="s">
        <v>3790</v>
      </c>
      <c r="D1176" s="7333"/>
      <c r="E1176" s="7332" t="s">
        <v>1926</v>
      </c>
      <c r="F1176" s="7332" t="str">
        <f t="shared" si="72"/>
        <v/>
      </c>
      <c r="G1176" s="7332" t="s">
        <v>1939</v>
      </c>
      <c r="H1176" s="7332" t="str">
        <f t="shared" si="73"/>
        <v/>
      </c>
      <c r="I1176" s="7333">
        <v>60.0</v>
      </c>
      <c r="J1176" s="7332">
        <v>75.0</v>
      </c>
      <c r="K1176" s="7332">
        <v>40.0</v>
      </c>
      <c r="L1176" s="7332">
        <v>50.0</v>
      </c>
      <c r="M1176" s="7332">
        <v>40.0</v>
      </c>
      <c r="N1176" s="7334">
        <v>85.0</v>
      </c>
      <c r="O1176" s="7321"/>
      <c r="P1176" s="7324"/>
      <c r="Q1176" s="7324"/>
      <c r="R1176" s="7324"/>
    </row>
    <row r="1177" ht="18.75" customHeight="1">
      <c r="A1177" s="7316"/>
      <c r="B1177" s="7337" t="s">
        <v>229</v>
      </c>
      <c r="C1177" s="7338" t="s">
        <v>3791</v>
      </c>
      <c r="D1177" s="7339"/>
      <c r="E1177" s="7338" t="s">
        <v>1926</v>
      </c>
      <c r="F1177" s="7338" t="str">
        <f t="shared" si="72"/>
        <v/>
      </c>
      <c r="G1177" s="7338" t="s">
        <v>1939</v>
      </c>
      <c r="H1177" s="7338" t="str">
        <f t="shared" si="73"/>
        <v/>
      </c>
      <c r="I1177" s="7339">
        <v>70.0</v>
      </c>
      <c r="J1177" s="7338">
        <v>115.0</v>
      </c>
      <c r="K1177" s="7338">
        <v>70.0</v>
      </c>
      <c r="L1177" s="7338">
        <v>70.0</v>
      </c>
      <c r="M1177" s="7338">
        <v>60.0</v>
      </c>
      <c r="N1177" s="7340">
        <v>105.0</v>
      </c>
      <c r="O1177" s="7321"/>
      <c r="P1177" s="7324"/>
      <c r="Q1177" s="7324"/>
      <c r="R1177" s="7324"/>
    </row>
    <row r="1178" ht="18.75" customHeight="1">
      <c r="A1178" s="7316"/>
      <c r="B1178" s="7331" t="s">
        <v>3792</v>
      </c>
      <c r="C1178" s="7332" t="s">
        <v>3793</v>
      </c>
      <c r="D1178" s="7333"/>
      <c r="E1178" s="7332" t="s">
        <v>1901</v>
      </c>
      <c r="F1178" s="7332" t="str">
        <f t="shared" si="72"/>
        <v/>
      </c>
      <c r="G1178" s="7332"/>
      <c r="H1178" s="7332" t="str">
        <f t="shared" si="73"/>
        <v/>
      </c>
      <c r="I1178" s="7333">
        <v>50.0</v>
      </c>
      <c r="J1178" s="7332">
        <v>50.0</v>
      </c>
      <c r="K1178" s="7332">
        <v>45.0</v>
      </c>
      <c r="L1178" s="7332">
        <v>40.0</v>
      </c>
      <c r="M1178" s="7332">
        <v>45.0</v>
      </c>
      <c r="N1178" s="7334">
        <v>75.0</v>
      </c>
      <c r="O1178" s="7321"/>
      <c r="P1178" s="7324"/>
      <c r="Q1178" s="7324"/>
      <c r="R1178" s="7324"/>
    </row>
    <row r="1179" ht="18.75" customHeight="1">
      <c r="A1179" s="7316"/>
      <c r="B1179" s="7337" t="s">
        <v>1269</v>
      </c>
      <c r="C1179" s="7338" t="s">
        <v>3794</v>
      </c>
      <c r="D1179" s="7339"/>
      <c r="E1179" s="7338" t="s">
        <v>1901</v>
      </c>
      <c r="F1179" s="7338" t="str">
        <f t="shared" si="72"/>
        <v/>
      </c>
      <c r="G1179" s="7338"/>
      <c r="H1179" s="7338" t="str">
        <f t="shared" si="73"/>
        <v/>
      </c>
      <c r="I1179" s="7339">
        <v>74.0</v>
      </c>
      <c r="J1179" s="7338">
        <v>75.0</v>
      </c>
      <c r="K1179" s="7338">
        <v>70.0</v>
      </c>
      <c r="L1179" s="7338">
        <v>65.0</v>
      </c>
      <c r="M1179" s="7338">
        <v>75.0</v>
      </c>
      <c r="N1179" s="7340">
        <v>111.0</v>
      </c>
      <c r="O1179" s="7321"/>
      <c r="P1179" s="7324"/>
      <c r="Q1179" s="7324"/>
      <c r="R1179" s="7324"/>
    </row>
    <row r="1180" ht="18.75" customHeight="1">
      <c r="A1180" s="7316"/>
      <c r="B1180" s="7331" t="s">
        <v>3795</v>
      </c>
      <c r="C1180" s="7332" t="s">
        <v>3796</v>
      </c>
      <c r="D1180" s="7333"/>
      <c r="E1180" s="7332" t="s">
        <v>1935</v>
      </c>
      <c r="F1180" s="7332" t="str">
        <f t="shared" si="72"/>
        <v/>
      </c>
      <c r="G1180" s="7332"/>
      <c r="H1180" s="7332" t="str">
        <f t="shared" si="73"/>
        <v/>
      </c>
      <c r="I1180" s="7333">
        <v>37.0</v>
      </c>
      <c r="J1180" s="7332">
        <v>55.0</v>
      </c>
      <c r="K1180" s="7332">
        <v>70.0</v>
      </c>
      <c r="L1180" s="7332">
        <v>30.0</v>
      </c>
      <c r="M1180" s="7332">
        <v>55.0</v>
      </c>
      <c r="N1180" s="7334">
        <v>65.0</v>
      </c>
      <c r="O1180" s="7321"/>
      <c r="P1180" s="7324"/>
      <c r="Q1180" s="7324"/>
      <c r="R1180" s="7324"/>
    </row>
    <row r="1181" ht="18.75" customHeight="1">
      <c r="A1181" s="7316"/>
      <c r="B1181" s="7337" t="s">
        <v>3797</v>
      </c>
      <c r="C1181" s="7338" t="s">
        <v>3798</v>
      </c>
      <c r="D1181" s="7339"/>
      <c r="E1181" s="7338" t="s">
        <v>1935</v>
      </c>
      <c r="F1181" s="7338" t="str">
        <f t="shared" si="72"/>
        <v/>
      </c>
      <c r="G1181" s="7338"/>
      <c r="H1181" s="7338" t="str">
        <f t="shared" si="73"/>
        <v/>
      </c>
      <c r="I1181" s="7339">
        <v>57.0</v>
      </c>
      <c r="J1181" s="7338">
        <v>80.0</v>
      </c>
      <c r="K1181" s="7338">
        <v>115.0</v>
      </c>
      <c r="L1181" s="7338">
        <v>50.0</v>
      </c>
      <c r="M1181" s="7338">
        <v>80.0</v>
      </c>
      <c r="N1181" s="7340">
        <v>95.0</v>
      </c>
      <c r="O1181" s="7321"/>
      <c r="P1181" s="7324"/>
      <c r="Q1181" s="7324"/>
      <c r="R1181" s="7324"/>
    </row>
    <row r="1182" ht="18.75" customHeight="1">
      <c r="A1182" s="7316"/>
      <c r="B1182" s="7331" t="s">
        <v>3799</v>
      </c>
      <c r="C1182" s="7332" t="s">
        <v>3800</v>
      </c>
      <c r="D1182" s="7333"/>
      <c r="E1182" s="7332" t="s">
        <v>1848</v>
      </c>
      <c r="F1182" s="7332" t="str">
        <f t="shared" si="72"/>
        <v/>
      </c>
      <c r="G1182" s="7332"/>
      <c r="H1182" s="7332" t="str">
        <f t="shared" si="73"/>
        <v/>
      </c>
      <c r="I1182" s="7333">
        <v>41.0</v>
      </c>
      <c r="J1182" s="7332">
        <v>35.0</v>
      </c>
      <c r="K1182" s="7332">
        <v>45.0</v>
      </c>
      <c r="L1182" s="7332">
        <v>58.0</v>
      </c>
      <c r="M1182" s="7332">
        <v>51.0</v>
      </c>
      <c r="N1182" s="7334">
        <v>30.0</v>
      </c>
      <c r="O1182" s="7321"/>
      <c r="P1182" s="7324"/>
      <c r="Q1182" s="7324"/>
      <c r="R1182" s="7324"/>
    </row>
    <row r="1183" ht="18.75" customHeight="1">
      <c r="A1183" s="7316"/>
      <c r="B1183" s="7337" t="s">
        <v>3801</v>
      </c>
      <c r="C1183" s="7338" t="s">
        <v>3802</v>
      </c>
      <c r="D1183" s="7339"/>
      <c r="E1183" s="7338" t="s">
        <v>1848</v>
      </c>
      <c r="F1183" s="7338" t="str">
        <f t="shared" si="72"/>
        <v/>
      </c>
      <c r="G1183" s="7338"/>
      <c r="H1183" s="7338" t="str">
        <f t="shared" si="73"/>
        <v/>
      </c>
      <c r="I1183" s="7339">
        <v>52.0</v>
      </c>
      <c r="J1183" s="7338">
        <v>53.0</v>
      </c>
      <c r="K1183" s="7338">
        <v>60.0</v>
      </c>
      <c r="L1183" s="7338">
        <v>78.0</v>
      </c>
      <c r="M1183" s="7338">
        <v>78.0</v>
      </c>
      <c r="N1183" s="7340">
        <v>33.0</v>
      </c>
      <c r="O1183" s="7321"/>
      <c r="P1183" s="7324"/>
      <c r="Q1183" s="7324"/>
      <c r="R1183" s="7324"/>
    </row>
    <row r="1184" ht="18.75" customHeight="1">
      <c r="A1184" s="7316"/>
      <c r="B1184" s="7331" t="s">
        <v>3803</v>
      </c>
      <c r="C1184" s="7332" t="s">
        <v>3804</v>
      </c>
      <c r="D1184" s="7333"/>
      <c r="E1184" s="7332" t="s">
        <v>1848</v>
      </c>
      <c r="F1184" s="7332" t="str">
        <f t="shared" si="72"/>
        <v/>
      </c>
      <c r="G1184" s="7332"/>
      <c r="H1184" s="7332" t="str">
        <f t="shared" si="73"/>
        <v/>
      </c>
      <c r="I1184" s="7333">
        <v>78.0</v>
      </c>
      <c r="J1184" s="7332">
        <v>69.0</v>
      </c>
      <c r="K1184" s="7332">
        <v>90.0</v>
      </c>
      <c r="L1184" s="7332">
        <v>125.0</v>
      </c>
      <c r="M1184" s="7332">
        <v>109.0</v>
      </c>
      <c r="N1184" s="7334">
        <v>39.0</v>
      </c>
      <c r="O1184" s="7321"/>
      <c r="P1184" s="7324"/>
      <c r="Q1184" s="7324"/>
      <c r="R1184" s="7324"/>
    </row>
    <row r="1185" ht="18.75" customHeight="1">
      <c r="A1185" s="7316"/>
      <c r="B1185" s="7337" t="s">
        <v>3805</v>
      </c>
      <c r="C1185" s="7338" t="s">
        <v>3806</v>
      </c>
      <c r="D1185" s="7339"/>
      <c r="E1185" s="7338" t="s">
        <v>1901</v>
      </c>
      <c r="F1185" s="7338" t="str">
        <f t="shared" si="72"/>
        <v/>
      </c>
      <c r="G1185" s="7338" t="s">
        <v>1863</v>
      </c>
      <c r="H1185" s="7338" t="str">
        <f t="shared" si="73"/>
        <v/>
      </c>
      <c r="I1185" s="7339">
        <v>82.0</v>
      </c>
      <c r="J1185" s="7338">
        <v>96.0</v>
      </c>
      <c r="K1185" s="7338">
        <v>51.0</v>
      </c>
      <c r="L1185" s="7338">
        <v>45.0</v>
      </c>
      <c r="M1185" s="7338">
        <v>51.0</v>
      </c>
      <c r="N1185" s="7340">
        <v>92.0</v>
      </c>
      <c r="O1185" s="7321"/>
      <c r="P1185" s="7324"/>
      <c r="Q1185" s="7324"/>
      <c r="R1185" s="7324"/>
    </row>
    <row r="1186" ht="18.75" customHeight="1">
      <c r="A1186" s="7316"/>
      <c r="B1186" s="7331" t="s">
        <v>3807</v>
      </c>
      <c r="C1186" s="7341" t="s">
        <v>3808</v>
      </c>
      <c r="D1186" s="7333"/>
      <c r="E1186" s="7332" t="s">
        <v>1901</v>
      </c>
      <c r="F1186" s="7332" t="str">
        <f t="shared" si="72"/>
        <v/>
      </c>
      <c r="G1186" s="7332" t="s">
        <v>1863</v>
      </c>
      <c r="H1186" s="7332" t="str">
        <f t="shared" si="73"/>
        <v/>
      </c>
      <c r="I1186" s="7333">
        <v>82.0</v>
      </c>
      <c r="J1186" s="7332">
        <v>96.0</v>
      </c>
      <c r="K1186" s="7332">
        <v>51.0</v>
      </c>
      <c r="L1186" s="7332">
        <v>45.0</v>
      </c>
      <c r="M1186" s="7332">
        <v>51.0</v>
      </c>
      <c r="N1186" s="7334">
        <v>92.0</v>
      </c>
      <c r="O1186" s="7321"/>
      <c r="P1186" s="7324"/>
      <c r="Q1186" s="7324"/>
      <c r="R1186" s="7324"/>
    </row>
    <row r="1187" ht="18.75" customHeight="1">
      <c r="A1187" s="7316"/>
      <c r="B1187" s="7337" t="s">
        <v>3809</v>
      </c>
      <c r="C1187" s="7338" t="s">
        <v>3810</v>
      </c>
      <c r="D1187" s="7339"/>
      <c r="E1187" s="7338" t="s">
        <v>2014</v>
      </c>
      <c r="F1187" s="7338" t="str">
        <f t="shared" si="72"/>
        <v/>
      </c>
      <c r="G1187" s="7338"/>
      <c r="H1187" s="7338" t="str">
        <f t="shared" si="73"/>
        <v/>
      </c>
      <c r="I1187" s="7339">
        <v>55.0</v>
      </c>
      <c r="J1187" s="7338">
        <v>55.0</v>
      </c>
      <c r="K1187" s="7338">
        <v>75.0</v>
      </c>
      <c r="L1187" s="7338">
        <v>35.0</v>
      </c>
      <c r="M1187" s="7338">
        <v>35.0</v>
      </c>
      <c r="N1187" s="7340">
        <v>25.0</v>
      </c>
      <c r="O1187" s="7321"/>
      <c r="P1187" s="7324"/>
      <c r="Q1187" s="7324"/>
      <c r="R1187" s="7324"/>
    </row>
    <row r="1188" ht="18.75" customHeight="1">
      <c r="A1188" s="7316"/>
      <c r="B1188" s="7331" t="s">
        <v>3811</v>
      </c>
      <c r="C1188" s="7332" t="s">
        <v>3812</v>
      </c>
      <c r="D1188" s="7333"/>
      <c r="E1188" s="7332" t="s">
        <v>2014</v>
      </c>
      <c r="F1188" s="7332" t="str">
        <f t="shared" si="72"/>
        <v/>
      </c>
      <c r="G1188" s="7332"/>
      <c r="H1188" s="7332" t="str">
        <f t="shared" si="73"/>
        <v/>
      </c>
      <c r="I1188" s="7333">
        <v>60.0</v>
      </c>
      <c r="J1188" s="7332">
        <v>60.0</v>
      </c>
      <c r="K1188" s="7332">
        <v>100.0</v>
      </c>
      <c r="L1188" s="7332">
        <v>35.0</v>
      </c>
      <c r="M1188" s="7332">
        <v>65.0</v>
      </c>
      <c r="N1188" s="7334">
        <v>35.0</v>
      </c>
      <c r="O1188" s="7321"/>
      <c r="P1188" s="7324"/>
      <c r="Q1188" s="7324"/>
      <c r="R1188" s="7324"/>
    </row>
    <row r="1189" ht="18.75" customHeight="1">
      <c r="A1189" s="7316"/>
      <c r="B1189" s="7337" t="s">
        <v>931</v>
      </c>
      <c r="C1189" s="7338" t="s">
        <v>3813</v>
      </c>
      <c r="D1189" s="7339"/>
      <c r="E1189" s="7338" t="s">
        <v>2014</v>
      </c>
      <c r="F1189" s="7338" t="str">
        <f t="shared" si="72"/>
        <v/>
      </c>
      <c r="G1189" s="7338"/>
      <c r="H1189" s="7338" t="str">
        <f t="shared" si="73"/>
        <v/>
      </c>
      <c r="I1189" s="7339">
        <v>100.0</v>
      </c>
      <c r="J1189" s="7338">
        <v>100.0</v>
      </c>
      <c r="K1189" s="7338">
        <v>130.0</v>
      </c>
      <c r="L1189" s="7338">
        <v>45.0</v>
      </c>
      <c r="M1189" s="7338">
        <v>90.0</v>
      </c>
      <c r="N1189" s="7340">
        <v>35.0</v>
      </c>
      <c r="O1189" s="7321"/>
      <c r="P1189" s="7324"/>
      <c r="Q1189" s="7324"/>
      <c r="R1189" s="7324"/>
    </row>
    <row r="1190" ht="18.75" customHeight="1">
      <c r="A1190" s="7316"/>
      <c r="B1190" s="7331" t="s">
        <v>988</v>
      </c>
      <c r="C1190" s="7332" t="s">
        <v>3814</v>
      </c>
      <c r="D1190" s="7333"/>
      <c r="E1190" s="7332" t="s">
        <v>1858</v>
      </c>
      <c r="F1190" s="7332" t="str">
        <f t="shared" si="72"/>
        <v/>
      </c>
      <c r="G1190" s="7332"/>
      <c r="H1190" s="7332" t="str">
        <f t="shared" si="73"/>
        <v/>
      </c>
      <c r="I1190" s="7333">
        <v>40.0</v>
      </c>
      <c r="J1190" s="7332">
        <v>50.0</v>
      </c>
      <c r="K1190" s="7332">
        <v>40.0</v>
      </c>
      <c r="L1190" s="7332">
        <v>50.0</v>
      </c>
      <c r="M1190" s="7332">
        <v>40.0</v>
      </c>
      <c r="N1190" s="7334">
        <v>35.0</v>
      </c>
      <c r="O1190" s="7321"/>
      <c r="P1190" s="7324"/>
      <c r="Q1190" s="7324"/>
      <c r="R1190" s="7324"/>
    </row>
    <row r="1191" ht="18.75" customHeight="1">
      <c r="A1191" s="7316"/>
      <c r="B1191" s="7337" t="s">
        <v>352</v>
      </c>
      <c r="C1191" s="7338" t="s">
        <v>3815</v>
      </c>
      <c r="D1191" s="7339"/>
      <c r="E1191" s="7338" t="s">
        <v>1858</v>
      </c>
      <c r="F1191" s="7338" t="str">
        <f t="shared" si="72"/>
        <v/>
      </c>
      <c r="G1191" s="7338" t="s">
        <v>561</v>
      </c>
      <c r="H1191" s="7338" t="str">
        <f t="shared" si="73"/>
        <v/>
      </c>
      <c r="I1191" s="7339">
        <v>85.0</v>
      </c>
      <c r="J1191" s="7338">
        <v>60.0</v>
      </c>
      <c r="K1191" s="7338">
        <v>100.0</v>
      </c>
      <c r="L1191" s="7338">
        <v>125.0</v>
      </c>
      <c r="M1191" s="7338">
        <v>80.0</v>
      </c>
      <c r="N1191" s="7340">
        <v>75.0</v>
      </c>
      <c r="O1191" s="7321"/>
      <c r="P1191" s="7324"/>
      <c r="Q1191" s="7324"/>
      <c r="R1191" s="7324"/>
    </row>
    <row r="1192" ht="18.75" customHeight="1">
      <c r="A1192" s="7316"/>
      <c r="B1192" s="7331" t="s">
        <v>573</v>
      </c>
      <c r="C1192" s="7332" t="s">
        <v>3816</v>
      </c>
      <c r="D1192" s="7333"/>
      <c r="E1192" s="7332" t="s">
        <v>1858</v>
      </c>
      <c r="F1192" s="7332" t="str">
        <f t="shared" si="72"/>
        <v/>
      </c>
      <c r="G1192" s="7332" t="s">
        <v>2097</v>
      </c>
      <c r="H1192" s="7332" t="str">
        <f t="shared" si="73"/>
        <v/>
      </c>
      <c r="I1192" s="7333">
        <v>75.0</v>
      </c>
      <c r="J1192" s="7332">
        <v>125.0</v>
      </c>
      <c r="K1192" s="7332">
        <v>80.0</v>
      </c>
      <c r="L1192" s="7332">
        <v>60.0</v>
      </c>
      <c r="M1192" s="7332">
        <v>100.0</v>
      </c>
      <c r="N1192" s="7334">
        <v>85.0</v>
      </c>
      <c r="O1192" s="7321"/>
      <c r="P1192" s="7324"/>
      <c r="Q1192" s="7324"/>
      <c r="R1192" s="7324"/>
    </row>
    <row r="1193" ht="18.75" customHeight="1">
      <c r="A1193" s="7316"/>
      <c r="B1193" s="7337" t="s">
        <v>3817</v>
      </c>
      <c r="C1193" s="7338" t="s">
        <v>3818</v>
      </c>
      <c r="D1193" s="7339"/>
      <c r="E1193" s="7338" t="s">
        <v>1926</v>
      </c>
      <c r="F1193" s="7338" t="str">
        <f t="shared" si="72"/>
        <v/>
      </c>
      <c r="G1193" s="7338"/>
      <c r="H1193" s="7338" t="str">
        <f t="shared" si="73"/>
        <v/>
      </c>
      <c r="I1193" s="7339">
        <v>61.0</v>
      </c>
      <c r="J1193" s="7338">
        <v>31.0</v>
      </c>
      <c r="K1193" s="7338">
        <v>41.0</v>
      </c>
      <c r="L1193" s="7338">
        <v>59.0</v>
      </c>
      <c r="M1193" s="7338">
        <v>35.0</v>
      </c>
      <c r="N1193" s="7340">
        <v>45.0</v>
      </c>
      <c r="O1193" s="7321"/>
      <c r="P1193" s="7324"/>
      <c r="Q1193" s="7324"/>
      <c r="R1193" s="7324"/>
    </row>
    <row r="1194" ht="18.75" customHeight="1">
      <c r="A1194" s="7316"/>
      <c r="B1194" s="7331" t="s">
        <v>228</v>
      </c>
      <c r="C1194" s="7332" t="s">
        <v>3819</v>
      </c>
      <c r="D1194" s="7333"/>
      <c r="E1194" s="7332" t="s">
        <v>1926</v>
      </c>
      <c r="F1194" s="7332" t="str">
        <f t="shared" si="72"/>
        <v/>
      </c>
      <c r="G1194" s="7332"/>
      <c r="H1194" s="7332" t="str">
        <f t="shared" si="73"/>
        <v/>
      </c>
      <c r="I1194" s="7333">
        <v>109.0</v>
      </c>
      <c r="J1194" s="7332">
        <v>64.0</v>
      </c>
      <c r="K1194" s="7332">
        <v>91.0</v>
      </c>
      <c r="L1194" s="7332">
        <v>103.0</v>
      </c>
      <c r="M1194" s="7332">
        <v>83.0</v>
      </c>
      <c r="N1194" s="7334">
        <v>45.0</v>
      </c>
      <c r="O1194" s="7321"/>
      <c r="P1194" s="7324"/>
      <c r="Q1194" s="7324"/>
      <c r="R1194" s="7324"/>
    </row>
    <row r="1195" ht="18.75" customHeight="1">
      <c r="A1195" s="7316"/>
      <c r="B1195" s="7337" t="s">
        <v>500</v>
      </c>
      <c r="C1195" s="7338" t="s">
        <v>3820</v>
      </c>
      <c r="D1195" s="7339"/>
      <c r="E1195" s="7338" t="s">
        <v>1863</v>
      </c>
      <c r="F1195" s="7338" t="str">
        <f t="shared" si="72"/>
        <v/>
      </c>
      <c r="G1195" s="7338" t="s">
        <v>1926</v>
      </c>
      <c r="H1195" s="7338" t="str">
        <f t="shared" si="73"/>
        <v/>
      </c>
      <c r="I1195" s="7339">
        <v>40.0</v>
      </c>
      <c r="J1195" s="7338">
        <v>40.0</v>
      </c>
      <c r="K1195" s="7338">
        <v>35.0</v>
      </c>
      <c r="L1195" s="7338">
        <v>55.0</v>
      </c>
      <c r="M1195" s="7338">
        <v>40.0</v>
      </c>
      <c r="N1195" s="7340">
        <v>70.0</v>
      </c>
      <c r="O1195" s="7321"/>
      <c r="P1195" s="7324"/>
      <c r="Q1195" s="7324"/>
      <c r="R1195" s="7324"/>
    </row>
    <row r="1196" ht="18.75" customHeight="1">
      <c r="A1196" s="7316"/>
      <c r="B1196" s="7331" t="s">
        <v>1237</v>
      </c>
      <c r="C1196" s="7332" t="s">
        <v>3821</v>
      </c>
      <c r="D1196" s="7333"/>
      <c r="E1196" s="7332" t="s">
        <v>1863</v>
      </c>
      <c r="F1196" s="7332" t="str">
        <f t="shared" si="72"/>
        <v/>
      </c>
      <c r="G1196" s="7332" t="s">
        <v>1926</v>
      </c>
      <c r="H1196" s="7332" t="str">
        <f t="shared" si="73"/>
        <v/>
      </c>
      <c r="I1196" s="7333">
        <v>70.0</v>
      </c>
      <c r="J1196" s="7332">
        <v>70.0</v>
      </c>
      <c r="K1196" s="7332">
        <v>60.0</v>
      </c>
      <c r="L1196" s="7332">
        <v>105.0</v>
      </c>
      <c r="M1196" s="7332">
        <v>60.0</v>
      </c>
      <c r="N1196" s="7334">
        <v>125.0</v>
      </c>
      <c r="O1196" s="7321"/>
      <c r="P1196" s="7324"/>
      <c r="Q1196" s="7324"/>
      <c r="R1196" s="7324"/>
    </row>
    <row r="1197" ht="18.75" customHeight="1">
      <c r="A1197" s="7316"/>
      <c r="B1197" s="7337" t="s">
        <v>3822</v>
      </c>
      <c r="C1197" s="7338" t="s">
        <v>3823</v>
      </c>
      <c r="D1197" s="7339"/>
      <c r="E1197" s="7338" t="s">
        <v>1911</v>
      </c>
      <c r="F1197" s="7338" t="str">
        <f t="shared" si="72"/>
        <v/>
      </c>
      <c r="G1197" s="7338"/>
      <c r="H1197" s="7338" t="str">
        <f t="shared" si="73"/>
        <v/>
      </c>
      <c r="I1197" s="7339">
        <v>60.0</v>
      </c>
      <c r="J1197" s="7338">
        <v>78.0</v>
      </c>
      <c r="K1197" s="7338">
        <v>60.0</v>
      </c>
      <c r="L1197" s="7338">
        <v>40.0</v>
      </c>
      <c r="M1197" s="7338">
        <v>51.0</v>
      </c>
      <c r="N1197" s="7340">
        <v>51.0</v>
      </c>
      <c r="O1197" s="7321"/>
      <c r="P1197" s="7324"/>
      <c r="Q1197" s="7324"/>
      <c r="R1197" s="7324"/>
    </row>
    <row r="1198" ht="18.75" customHeight="1">
      <c r="A1198" s="7316"/>
      <c r="B1198" s="7331" t="s">
        <v>1044</v>
      </c>
      <c r="C1198" s="7332" t="s">
        <v>3824</v>
      </c>
      <c r="D1198" s="7333"/>
      <c r="E1198" s="7332" t="s">
        <v>1911</v>
      </c>
      <c r="F1198" s="7332" t="str">
        <f t="shared" si="72"/>
        <v/>
      </c>
      <c r="G1198" s="7332"/>
      <c r="H1198" s="7332" t="str">
        <f t="shared" si="73"/>
        <v/>
      </c>
      <c r="I1198" s="7333">
        <v>80.0</v>
      </c>
      <c r="J1198" s="7332">
        <v>120.0</v>
      </c>
      <c r="K1198" s="7332">
        <v>90.0</v>
      </c>
      <c r="L1198" s="7332">
        <v>60.0</v>
      </c>
      <c r="M1198" s="7332">
        <v>70.0</v>
      </c>
      <c r="N1198" s="7334">
        <v>85.0</v>
      </c>
      <c r="O1198" s="7321"/>
      <c r="P1198" s="7324"/>
      <c r="Q1198" s="7324"/>
      <c r="R1198" s="7324"/>
    </row>
    <row r="1199" ht="18.75" customHeight="1">
      <c r="A1199" s="7316"/>
      <c r="B1199" s="7337" t="s">
        <v>3825</v>
      </c>
      <c r="C1199" s="7338" t="s">
        <v>3826</v>
      </c>
      <c r="D1199" s="7339"/>
      <c r="E1199" s="7338" t="s">
        <v>1849</v>
      </c>
      <c r="F1199" s="7338" t="str">
        <f t="shared" si="72"/>
        <v/>
      </c>
      <c r="G1199" s="7338" t="s">
        <v>1901</v>
      </c>
      <c r="H1199" s="7338" t="str">
        <f t="shared" si="73"/>
        <v/>
      </c>
      <c r="I1199" s="7339">
        <v>40.0</v>
      </c>
      <c r="J1199" s="7338">
        <v>65.0</v>
      </c>
      <c r="K1199" s="7338">
        <v>35.0</v>
      </c>
      <c r="L1199" s="7338">
        <v>40.0</v>
      </c>
      <c r="M1199" s="7338">
        <v>35.0</v>
      </c>
      <c r="N1199" s="7340">
        <v>75.0</v>
      </c>
      <c r="O1199" s="7321"/>
      <c r="P1199" s="7324"/>
      <c r="Q1199" s="7324"/>
      <c r="R1199" s="7324"/>
    </row>
    <row r="1200" ht="18.75" customHeight="1">
      <c r="A1200" s="7316"/>
      <c r="B1200" s="7331" t="s">
        <v>3827</v>
      </c>
      <c r="C1200" s="7332" t="s">
        <v>3828</v>
      </c>
      <c r="D1200" s="7333"/>
      <c r="E1200" s="7332" t="s">
        <v>1849</v>
      </c>
      <c r="F1200" s="7332" t="str">
        <f t="shared" si="72"/>
        <v/>
      </c>
      <c r="G1200" s="7332" t="s">
        <v>1901</v>
      </c>
      <c r="H1200" s="7332" t="str">
        <f t="shared" si="73"/>
        <v/>
      </c>
      <c r="I1200" s="7333">
        <v>63.0</v>
      </c>
      <c r="J1200" s="7332">
        <v>95.0</v>
      </c>
      <c r="K1200" s="7332">
        <v>65.0</v>
      </c>
      <c r="L1200" s="7332">
        <v>80.0</v>
      </c>
      <c r="M1200" s="7332">
        <v>72.0</v>
      </c>
      <c r="N1200" s="7334">
        <v>110.0</v>
      </c>
      <c r="O1200" s="7321"/>
      <c r="P1200" s="7324"/>
      <c r="Q1200" s="7324"/>
      <c r="R1200" s="7324"/>
    </row>
    <row r="1201" ht="18.75" customHeight="1">
      <c r="A1201" s="7316"/>
      <c r="B1201" s="7337" t="s">
        <v>3829</v>
      </c>
      <c r="C1201" s="7338" t="s">
        <v>3830</v>
      </c>
      <c r="D1201" s="7339"/>
      <c r="E1201" s="7338" t="s">
        <v>1848</v>
      </c>
      <c r="F1201" s="7338" t="str">
        <f t="shared" si="72"/>
        <v/>
      </c>
      <c r="G1201" s="7338" t="s">
        <v>2097</v>
      </c>
      <c r="H1201" s="7338" t="str">
        <f t="shared" si="73"/>
        <v/>
      </c>
      <c r="I1201" s="7339">
        <v>40.0</v>
      </c>
      <c r="J1201" s="7338">
        <v>65.0</v>
      </c>
      <c r="K1201" s="7338">
        <v>30.0</v>
      </c>
      <c r="L1201" s="7338">
        <v>45.0</v>
      </c>
      <c r="M1201" s="7338">
        <v>35.0</v>
      </c>
      <c r="N1201" s="7340">
        <v>60.0</v>
      </c>
      <c r="O1201" s="7321"/>
      <c r="P1201" s="7324"/>
      <c r="Q1201" s="7324"/>
      <c r="R1201" s="7324"/>
    </row>
    <row r="1202" ht="18.75" customHeight="1">
      <c r="A1202" s="7316"/>
      <c r="B1202" s="7331" t="s">
        <v>3831</v>
      </c>
      <c r="C1202" s="7332" t="s">
        <v>3832</v>
      </c>
      <c r="D1202" s="7333"/>
      <c r="E1202" s="7332" t="s">
        <v>1848</v>
      </c>
      <c r="F1202" s="7332" t="str">
        <f t="shared" si="72"/>
        <v/>
      </c>
      <c r="G1202" s="7332" t="s">
        <v>2097</v>
      </c>
      <c r="H1202" s="7332" t="str">
        <f t="shared" si="73"/>
        <v/>
      </c>
      <c r="I1202" s="7333">
        <v>55.0</v>
      </c>
      <c r="J1202" s="7332">
        <v>115.0</v>
      </c>
      <c r="K1202" s="7332">
        <v>70.0</v>
      </c>
      <c r="L1202" s="7332">
        <v>80.0</v>
      </c>
      <c r="M1202" s="7332">
        <v>70.0</v>
      </c>
      <c r="N1202" s="7334">
        <v>90.0</v>
      </c>
      <c r="O1202" s="7321"/>
      <c r="P1202" s="7324"/>
      <c r="Q1202" s="7324"/>
      <c r="R1202" s="7324"/>
    </row>
    <row r="1203" ht="18.75" customHeight="1">
      <c r="A1203" s="7316"/>
      <c r="B1203" s="7337" t="s">
        <v>3833</v>
      </c>
      <c r="C1203" s="7338" t="s">
        <v>3834</v>
      </c>
      <c r="D1203" s="7339"/>
      <c r="E1203" s="7338" t="s">
        <v>1948</v>
      </c>
      <c r="F1203" s="7338" t="str">
        <f t="shared" si="72"/>
        <v/>
      </c>
      <c r="G1203" s="7338" t="s">
        <v>1848</v>
      </c>
      <c r="H1203" s="7338" t="str">
        <f t="shared" si="73"/>
        <v/>
      </c>
      <c r="I1203" s="7339">
        <v>40.0</v>
      </c>
      <c r="J1203" s="7338">
        <v>40.0</v>
      </c>
      <c r="K1203" s="7338">
        <v>35.0</v>
      </c>
      <c r="L1203" s="7338">
        <v>50.0</v>
      </c>
      <c r="M1203" s="7338">
        <v>100.0</v>
      </c>
      <c r="N1203" s="7340">
        <v>70.0</v>
      </c>
      <c r="O1203" s="7321"/>
      <c r="P1203" s="7324"/>
      <c r="Q1203" s="7324"/>
      <c r="R1203" s="7324"/>
    </row>
    <row r="1204" ht="18.75" customHeight="1">
      <c r="A1204" s="7316"/>
      <c r="B1204" s="7331" t="s">
        <v>3835</v>
      </c>
      <c r="C1204" s="7332" t="s">
        <v>3836</v>
      </c>
      <c r="D1204" s="7333"/>
      <c r="E1204" s="7332" t="s">
        <v>1948</v>
      </c>
      <c r="F1204" s="7332" t="str">
        <f t="shared" si="72"/>
        <v/>
      </c>
      <c r="G1204" s="7332" t="s">
        <v>1848</v>
      </c>
      <c r="H1204" s="7332" t="str">
        <f t="shared" si="73"/>
        <v/>
      </c>
      <c r="I1204" s="7333">
        <v>80.0</v>
      </c>
      <c r="J1204" s="7332">
        <v>60.0</v>
      </c>
      <c r="K1204" s="7332">
        <v>80.0</v>
      </c>
      <c r="L1204" s="7332">
        <v>90.0</v>
      </c>
      <c r="M1204" s="7332">
        <v>120.0</v>
      </c>
      <c r="N1204" s="7334">
        <v>100.0</v>
      </c>
      <c r="O1204" s="7321"/>
      <c r="P1204" s="7324"/>
      <c r="Q1204" s="7324"/>
      <c r="R1204" s="7324"/>
    </row>
    <row r="1205" ht="18.75" customHeight="1">
      <c r="A1205" s="7316"/>
      <c r="B1205" s="7337" t="s">
        <v>3837</v>
      </c>
      <c r="C1205" s="7338" t="s">
        <v>3838</v>
      </c>
      <c r="D1205" s="7339"/>
      <c r="E1205" s="7338" t="s">
        <v>2014</v>
      </c>
      <c r="F1205" s="7338" t="str">
        <f t="shared" si="72"/>
        <v/>
      </c>
      <c r="G1205" s="7338"/>
      <c r="H1205" s="7338" t="str">
        <f t="shared" si="73"/>
        <v/>
      </c>
      <c r="I1205" s="7339">
        <v>70.0</v>
      </c>
      <c r="J1205" s="7338">
        <v>100.0</v>
      </c>
      <c r="K1205" s="7338">
        <v>115.0</v>
      </c>
      <c r="L1205" s="7338">
        <v>35.0</v>
      </c>
      <c r="M1205" s="7338">
        <v>55.0</v>
      </c>
      <c r="N1205" s="7340">
        <v>75.0</v>
      </c>
      <c r="O1205" s="7321"/>
      <c r="P1205" s="7324"/>
      <c r="Q1205" s="7324"/>
      <c r="R1205" s="7324"/>
    </row>
    <row r="1206" ht="18.75" customHeight="1">
      <c r="A1206" s="7316"/>
      <c r="B1206" s="7331" t="s">
        <v>3839</v>
      </c>
      <c r="C1206" s="7332" t="s">
        <v>3840</v>
      </c>
      <c r="D1206" s="7333"/>
      <c r="E1206" s="7332" t="s">
        <v>1848</v>
      </c>
      <c r="F1206" s="7332" t="str">
        <f t="shared" si="72"/>
        <v/>
      </c>
      <c r="G1206" s="7332"/>
      <c r="H1206" s="7332" t="str">
        <f t="shared" si="73"/>
        <v/>
      </c>
      <c r="I1206" s="7333">
        <v>52.0</v>
      </c>
      <c r="J1206" s="7332">
        <v>62.0</v>
      </c>
      <c r="K1206" s="7332">
        <v>40.0</v>
      </c>
      <c r="L1206" s="7332">
        <v>62.0</v>
      </c>
      <c r="M1206" s="7332">
        <v>40.0</v>
      </c>
      <c r="N1206" s="7334">
        <v>50.0</v>
      </c>
      <c r="O1206" s="7321"/>
      <c r="P1206" s="7324"/>
      <c r="Q1206" s="7324"/>
      <c r="R1206" s="7324"/>
    </row>
    <row r="1207" ht="18.75" customHeight="1">
      <c r="A1207" s="7316"/>
      <c r="B1207" s="7337" t="s">
        <v>3841</v>
      </c>
      <c r="C1207" s="7338" t="s">
        <v>3842</v>
      </c>
      <c r="D1207" s="7339"/>
      <c r="E1207" s="7338" t="s">
        <v>1848</v>
      </c>
      <c r="F1207" s="7338" t="str">
        <f t="shared" si="72"/>
        <v/>
      </c>
      <c r="G1207" s="7338" t="s">
        <v>1858</v>
      </c>
      <c r="H1207" s="7338" t="str">
        <f t="shared" si="73"/>
        <v/>
      </c>
      <c r="I1207" s="7339">
        <v>85.0</v>
      </c>
      <c r="J1207" s="7338">
        <v>78.0</v>
      </c>
      <c r="K1207" s="7338">
        <v>65.0</v>
      </c>
      <c r="L1207" s="7338">
        <v>118.0</v>
      </c>
      <c r="M1207" s="7338">
        <v>65.0</v>
      </c>
      <c r="N1207" s="7340">
        <v>75.0</v>
      </c>
      <c r="O1207" s="7321"/>
      <c r="P1207" s="7324"/>
      <c r="Q1207" s="7324"/>
      <c r="R1207" s="7324"/>
    </row>
    <row r="1208" ht="18.75" customHeight="1">
      <c r="A1208" s="7316"/>
      <c r="B1208" s="7331" t="s">
        <v>3843</v>
      </c>
      <c r="C1208" s="7332" t="s">
        <v>3844</v>
      </c>
      <c r="D1208" s="7333"/>
      <c r="E1208" s="7332" t="s">
        <v>1882</v>
      </c>
      <c r="F1208" s="7332" t="str">
        <f t="shared" si="72"/>
        <v/>
      </c>
      <c r="G1208" s="7332"/>
      <c r="H1208" s="7332" t="str">
        <f t="shared" si="73"/>
        <v/>
      </c>
      <c r="I1208" s="7333">
        <v>41.0</v>
      </c>
      <c r="J1208" s="7332">
        <v>50.0</v>
      </c>
      <c r="K1208" s="7332">
        <v>60.0</v>
      </c>
      <c r="L1208" s="7332">
        <v>31.0</v>
      </c>
      <c r="M1208" s="7332">
        <v>58.0</v>
      </c>
      <c r="N1208" s="7334">
        <v>30.0</v>
      </c>
      <c r="O1208" s="7321"/>
      <c r="P1208" s="7324"/>
      <c r="Q1208" s="7324"/>
      <c r="R1208" s="7324"/>
    </row>
    <row r="1209" ht="18.75" customHeight="1">
      <c r="A1209" s="7316"/>
      <c r="B1209" s="7337" t="s">
        <v>3845</v>
      </c>
      <c r="C1209" s="7338" t="s">
        <v>3846</v>
      </c>
      <c r="D1209" s="7339"/>
      <c r="E1209" s="7338" t="s">
        <v>1882</v>
      </c>
      <c r="F1209" s="7338" t="str">
        <f t="shared" si="72"/>
        <v/>
      </c>
      <c r="G1209" s="7338" t="s">
        <v>561</v>
      </c>
      <c r="H1209" s="7338" t="str">
        <f t="shared" si="73"/>
        <v/>
      </c>
      <c r="I1209" s="7339">
        <v>75.0</v>
      </c>
      <c r="J1209" s="7338">
        <v>50.0</v>
      </c>
      <c r="K1209" s="7338">
        <v>85.0</v>
      </c>
      <c r="L1209" s="7338">
        <v>115.0</v>
      </c>
      <c r="M1209" s="7338">
        <v>100.0</v>
      </c>
      <c r="N1209" s="7340">
        <v>45.0</v>
      </c>
      <c r="O1209" s="7321"/>
      <c r="P1209" s="7324"/>
      <c r="Q1209" s="7324"/>
      <c r="R1209" s="7324"/>
    </row>
    <row r="1210" ht="18.75" customHeight="1">
      <c r="A1210" s="7316"/>
      <c r="B1210" s="7331" t="s">
        <v>501</v>
      </c>
      <c r="C1210" s="7332" t="s">
        <v>3847</v>
      </c>
      <c r="D1210" s="7333"/>
      <c r="E1210" s="7332" t="s">
        <v>561</v>
      </c>
      <c r="F1210" s="7332" t="str">
        <f t="shared" si="72"/>
        <v/>
      </c>
      <c r="G1210" s="7332"/>
      <c r="H1210" s="7332" t="str">
        <f t="shared" si="73"/>
        <v/>
      </c>
      <c r="I1210" s="7333">
        <v>30.0</v>
      </c>
      <c r="J1210" s="7332">
        <v>35.0</v>
      </c>
      <c r="K1210" s="7332">
        <v>30.0</v>
      </c>
      <c r="L1210" s="7332">
        <v>55.0</v>
      </c>
      <c r="M1210" s="7332">
        <v>30.0</v>
      </c>
      <c r="N1210" s="7334">
        <v>75.0</v>
      </c>
      <c r="O1210" s="7321"/>
      <c r="P1210" s="7324"/>
      <c r="Q1210" s="7324"/>
      <c r="R1210" s="7324"/>
    </row>
    <row r="1211" ht="18.75" customHeight="1">
      <c r="A1211" s="7316"/>
      <c r="B1211" s="7337" t="s">
        <v>3848</v>
      </c>
      <c r="C1211" s="7338" t="s">
        <v>3849</v>
      </c>
      <c r="D1211" s="7339"/>
      <c r="E1211" s="7338" t="s">
        <v>561</v>
      </c>
      <c r="F1211" s="7338" t="str">
        <f t="shared" si="72"/>
        <v/>
      </c>
      <c r="G1211" s="7338"/>
      <c r="H1211" s="7338" t="str">
        <f t="shared" si="73"/>
        <v/>
      </c>
      <c r="I1211" s="7339">
        <v>95.0</v>
      </c>
      <c r="J1211" s="7338">
        <v>60.0</v>
      </c>
      <c r="K1211" s="7338">
        <v>60.0</v>
      </c>
      <c r="L1211" s="7338">
        <v>101.0</v>
      </c>
      <c r="M1211" s="7338">
        <v>60.0</v>
      </c>
      <c r="N1211" s="7340">
        <v>105.0</v>
      </c>
      <c r="O1211" s="7321"/>
      <c r="P1211" s="7324"/>
      <c r="Q1211" s="7324"/>
      <c r="R1211" s="7324"/>
    </row>
    <row r="1212" ht="18.75" customHeight="1">
      <c r="A1212" s="7316"/>
      <c r="B1212" s="7331" t="s">
        <v>3850</v>
      </c>
      <c r="C1212" s="7332" t="s">
        <v>3851</v>
      </c>
      <c r="D1212" s="7333"/>
      <c r="E1212" s="7332" t="s">
        <v>1935</v>
      </c>
      <c r="F1212" s="7332" t="str">
        <f t="shared" si="72"/>
        <v/>
      </c>
      <c r="G1212" s="7332" t="s">
        <v>1929</v>
      </c>
      <c r="H1212" s="7332" t="str">
        <f t="shared" si="73"/>
        <v/>
      </c>
      <c r="I1212" s="7333">
        <v>50.0</v>
      </c>
      <c r="J1212" s="7332">
        <v>45.0</v>
      </c>
      <c r="K1212" s="7332">
        <v>45.0</v>
      </c>
      <c r="L1212" s="7332">
        <v>35.0</v>
      </c>
      <c r="M1212" s="7332">
        <v>64.0</v>
      </c>
      <c r="N1212" s="7334">
        <v>58.0</v>
      </c>
      <c r="O1212" s="7321"/>
      <c r="P1212" s="7324"/>
      <c r="Q1212" s="7324"/>
      <c r="R1212" s="7324"/>
    </row>
    <row r="1213" ht="18.75" customHeight="1">
      <c r="A1213" s="7316"/>
      <c r="B1213" s="7337" t="s">
        <v>3852</v>
      </c>
      <c r="C1213" s="7338" t="s">
        <v>3853</v>
      </c>
      <c r="D1213" s="7339"/>
      <c r="E1213" s="7338" t="s">
        <v>1935</v>
      </c>
      <c r="F1213" s="7338" t="str">
        <f t="shared" si="72"/>
        <v/>
      </c>
      <c r="G1213" s="7338" t="s">
        <v>1929</v>
      </c>
      <c r="H1213" s="7338" t="str">
        <f t="shared" si="73"/>
        <v/>
      </c>
      <c r="I1213" s="7339">
        <v>65.0</v>
      </c>
      <c r="J1213" s="7338">
        <v>55.0</v>
      </c>
      <c r="K1213" s="7338">
        <v>55.0</v>
      </c>
      <c r="L1213" s="7338">
        <v>45.0</v>
      </c>
      <c r="M1213" s="7338">
        <v>82.0</v>
      </c>
      <c r="N1213" s="7340">
        <v>78.0</v>
      </c>
      <c r="O1213" s="7321"/>
      <c r="P1213" s="7324"/>
      <c r="Q1213" s="7324"/>
      <c r="R1213" s="7324"/>
    </row>
    <row r="1214" ht="18.75" customHeight="1">
      <c r="A1214" s="7316"/>
      <c r="B1214" s="7331" t="s">
        <v>544</v>
      </c>
      <c r="C1214" s="7332" t="s">
        <v>3854</v>
      </c>
      <c r="D1214" s="7333"/>
      <c r="E1214" s="7332" t="s">
        <v>1935</v>
      </c>
      <c r="F1214" s="7332" t="str">
        <f t="shared" si="72"/>
        <v/>
      </c>
      <c r="G1214" s="7332" t="s">
        <v>1929</v>
      </c>
      <c r="H1214" s="7332" t="str">
        <f t="shared" si="73"/>
        <v/>
      </c>
      <c r="I1214" s="7333">
        <v>85.0</v>
      </c>
      <c r="J1214" s="7333">
        <v>85.0</v>
      </c>
      <c r="K1214" s="7333">
        <v>87.0</v>
      </c>
      <c r="L1214" s="7333">
        <v>70.0</v>
      </c>
      <c r="M1214" s="7333">
        <v>105.0</v>
      </c>
      <c r="N1214" s="7382">
        <v>94.0</v>
      </c>
      <c r="O1214" s="7321"/>
      <c r="P1214" s="7324"/>
      <c r="Q1214" s="7324"/>
      <c r="R1214" s="7324"/>
    </row>
    <row r="1215" ht="18.75" customHeight="1">
      <c r="A1215" s="7316"/>
      <c r="B1215" s="7337" t="s">
        <v>3855</v>
      </c>
      <c r="C1215" s="7338" t="s">
        <v>3856</v>
      </c>
      <c r="D1215" s="7339"/>
      <c r="E1215" s="7338" t="s">
        <v>1871</v>
      </c>
      <c r="F1215" s="7338" t="str">
        <f t="shared" si="72"/>
        <v/>
      </c>
      <c r="G1215" s="7338"/>
      <c r="H1215" s="7338" t="str">
        <f t="shared" si="73"/>
        <v/>
      </c>
      <c r="I1215" s="7339">
        <v>10.0</v>
      </c>
      <c r="J1215" s="7339">
        <v>55.0</v>
      </c>
      <c r="K1215" s="7339">
        <v>25.0</v>
      </c>
      <c r="L1215" s="7339">
        <v>35.0</v>
      </c>
      <c r="M1215" s="7339">
        <v>25.0</v>
      </c>
      <c r="N1215" s="7381">
        <v>95.0</v>
      </c>
      <c r="O1215" s="7321"/>
      <c r="P1215" s="7324"/>
      <c r="Q1215" s="7324"/>
      <c r="R1215" s="7324"/>
    </row>
    <row r="1216" ht="18.75" customHeight="1">
      <c r="A1216" s="7316"/>
      <c r="B1216" s="7331" t="s">
        <v>1390</v>
      </c>
      <c r="C1216" s="7332" t="s">
        <v>3857</v>
      </c>
      <c r="D1216" s="7333"/>
      <c r="E1216" s="7332" t="s">
        <v>1871</v>
      </c>
      <c r="F1216" s="7332" t="str">
        <f t="shared" si="72"/>
        <v/>
      </c>
      <c r="G1216" s="7332"/>
      <c r="H1216" s="7332" t="str">
        <f t="shared" si="73"/>
        <v/>
      </c>
      <c r="I1216" s="7333">
        <v>35.0</v>
      </c>
      <c r="J1216" s="7333">
        <v>115.0</v>
      </c>
      <c r="K1216" s="7333">
        <v>50.0</v>
      </c>
      <c r="L1216" s="7333">
        <v>35.0</v>
      </c>
      <c r="M1216" s="7333">
        <v>70.0</v>
      </c>
      <c r="N1216" s="7382">
        <v>120.0</v>
      </c>
      <c r="O1216" s="7321"/>
      <c r="P1216" s="7324"/>
      <c r="Q1216" s="7324"/>
      <c r="R1216" s="7324"/>
    </row>
    <row r="1217" ht="18.75" customHeight="1">
      <c r="A1217" s="7316"/>
      <c r="B1217" s="7337" t="s">
        <v>3858</v>
      </c>
      <c r="C1217" s="7338" t="s">
        <v>3859</v>
      </c>
      <c r="D1217" s="7339"/>
      <c r="E1217" s="7338" t="s">
        <v>1863</v>
      </c>
      <c r="F1217" s="7338" t="str">
        <f t="shared" si="72"/>
        <v/>
      </c>
      <c r="G1217" s="7338" t="s">
        <v>1911</v>
      </c>
      <c r="H1217" s="7338" t="str">
        <f t="shared" si="73"/>
        <v/>
      </c>
      <c r="I1217" s="7339">
        <v>85.0</v>
      </c>
      <c r="J1217" s="7339">
        <v>103.0</v>
      </c>
      <c r="K1217" s="7339">
        <v>85.0</v>
      </c>
      <c r="L1217" s="7339">
        <v>60.0</v>
      </c>
      <c r="M1217" s="7339">
        <v>85.0</v>
      </c>
      <c r="N1217" s="7381">
        <v>82.0</v>
      </c>
      <c r="O1217" s="7321"/>
      <c r="P1217" s="7324"/>
      <c r="Q1217" s="7324"/>
      <c r="R1217" s="7324"/>
    </row>
    <row r="1218" ht="18.75" customHeight="1">
      <c r="A1218" s="7316"/>
      <c r="B1218" s="7331" t="s">
        <v>3860</v>
      </c>
      <c r="C1218" s="7332" t="s">
        <v>3861</v>
      </c>
      <c r="D1218" s="7333"/>
      <c r="E1218" s="7332" t="s">
        <v>1871</v>
      </c>
      <c r="F1218" s="7332" t="str">
        <f t="shared" si="72"/>
        <v/>
      </c>
      <c r="G1218" s="7332"/>
      <c r="H1218" s="7332" t="str">
        <f t="shared" si="73"/>
        <v/>
      </c>
      <c r="I1218" s="7333">
        <v>70.0</v>
      </c>
      <c r="J1218" s="7333">
        <v>45.0</v>
      </c>
      <c r="K1218" s="7333">
        <v>40.0</v>
      </c>
      <c r="L1218" s="7333">
        <v>45.0</v>
      </c>
      <c r="M1218" s="7333">
        <v>40.0</v>
      </c>
      <c r="N1218" s="7382">
        <v>75.0</v>
      </c>
      <c r="O1218" s="7321"/>
      <c r="P1218" s="7324"/>
      <c r="Q1218" s="7324"/>
      <c r="R1218" s="7324"/>
    </row>
    <row r="1219" ht="18.75" customHeight="1">
      <c r="A1219" s="7316"/>
      <c r="B1219" s="7337" t="s">
        <v>3862</v>
      </c>
      <c r="C1219" s="7338" t="s">
        <v>3863</v>
      </c>
      <c r="D1219" s="7339"/>
      <c r="E1219" s="7338" t="s">
        <v>1871</v>
      </c>
      <c r="F1219" s="7338" t="str">
        <f t="shared" si="72"/>
        <v/>
      </c>
      <c r="G1219" s="7338"/>
      <c r="H1219" s="7338" t="str">
        <f t="shared" si="73"/>
        <v/>
      </c>
      <c r="I1219" s="7342">
        <v>100.0</v>
      </c>
      <c r="J1219" s="7342">
        <v>70.0</v>
      </c>
      <c r="K1219" s="7342">
        <v>72.0</v>
      </c>
      <c r="L1219" s="7342">
        <v>53.0</v>
      </c>
      <c r="M1219" s="7342">
        <v>62.0</v>
      </c>
      <c r="N1219" s="7363">
        <v>100.0</v>
      </c>
      <c r="O1219" s="7321"/>
      <c r="P1219" s="7324"/>
      <c r="Q1219" s="7324"/>
      <c r="R1219" s="7324"/>
    </row>
    <row r="1220" ht="18.75" customHeight="1">
      <c r="A1220" s="7316"/>
      <c r="B1220" s="7331" t="s">
        <v>441</v>
      </c>
      <c r="C1220" s="7341" t="s">
        <v>3864</v>
      </c>
      <c r="D1220" s="7333"/>
      <c r="E1220" s="7332" t="s">
        <v>1871</v>
      </c>
      <c r="F1220" s="7332" t="str">
        <f t="shared" si="72"/>
        <v/>
      </c>
      <c r="G1220" s="7332"/>
      <c r="H1220" s="7332" t="str">
        <f t="shared" si="73"/>
        <v/>
      </c>
      <c r="I1220" s="7333">
        <v>100.0</v>
      </c>
      <c r="J1220" s="7333">
        <v>160.0</v>
      </c>
      <c r="K1220" s="7333">
        <v>97.0</v>
      </c>
      <c r="L1220" s="7333">
        <v>106.0</v>
      </c>
      <c r="M1220" s="7333">
        <v>87.0</v>
      </c>
      <c r="N1220" s="7382">
        <v>100.0</v>
      </c>
      <c r="O1220" s="7321"/>
      <c r="P1220" s="7324"/>
      <c r="Q1220" s="7324"/>
      <c r="R1220" s="7324"/>
    </row>
    <row r="1221" ht="18.75" customHeight="1">
      <c r="A1221" s="7316"/>
      <c r="B1221" s="7337" t="s">
        <v>166</v>
      </c>
      <c r="C1221" s="7338" t="s">
        <v>3865</v>
      </c>
      <c r="D1221" s="7339"/>
      <c r="E1221" s="7338" t="s">
        <v>1929</v>
      </c>
      <c r="F1221" s="7338" t="str">
        <f t="shared" si="72"/>
        <v/>
      </c>
      <c r="G1221" s="7338" t="s">
        <v>1849</v>
      </c>
      <c r="H1221" s="7338" t="str">
        <f t="shared" si="73"/>
        <v/>
      </c>
      <c r="I1221" s="7339">
        <v>45.0</v>
      </c>
      <c r="J1221" s="7339">
        <v>70.0</v>
      </c>
      <c r="K1221" s="7339">
        <v>63.0</v>
      </c>
      <c r="L1221" s="7339">
        <v>30.0</v>
      </c>
      <c r="M1221" s="7339">
        <v>45.0</v>
      </c>
      <c r="N1221" s="7381">
        <v>47.0</v>
      </c>
      <c r="O1221" s="7321"/>
      <c r="P1221" s="7324"/>
      <c r="Q1221" s="7324"/>
      <c r="R1221" s="7324"/>
    </row>
    <row r="1222" ht="18.75" customHeight="1">
      <c r="A1222" s="7316"/>
      <c r="B1222" s="7331" t="s">
        <v>1194</v>
      </c>
      <c r="C1222" s="7332" t="s">
        <v>3866</v>
      </c>
      <c r="D1222" s="7333"/>
      <c r="E1222" s="7332" t="s">
        <v>1929</v>
      </c>
      <c r="F1222" s="7332" t="str">
        <f t="shared" si="72"/>
        <v/>
      </c>
      <c r="G1222" s="7332" t="s">
        <v>1849</v>
      </c>
      <c r="H1222" s="7332" t="str">
        <f t="shared" si="73"/>
        <v/>
      </c>
      <c r="I1222" s="7333">
        <v>80.0</v>
      </c>
      <c r="J1222" s="7333">
        <v>119.0</v>
      </c>
      <c r="K1222" s="7333">
        <v>90.0</v>
      </c>
      <c r="L1222" s="7333">
        <v>54.0</v>
      </c>
      <c r="M1222" s="7333">
        <v>67.0</v>
      </c>
      <c r="N1222" s="7382">
        <v>90.0</v>
      </c>
      <c r="O1222" s="7321"/>
      <c r="P1222" s="7324"/>
      <c r="Q1222" s="7324"/>
      <c r="R1222" s="7324"/>
    </row>
    <row r="1223" ht="18.75" customHeight="1">
      <c r="A1223" s="7316"/>
      <c r="B1223" s="7337" t="s">
        <v>1281</v>
      </c>
      <c r="C1223" s="7338" t="s">
        <v>3867</v>
      </c>
      <c r="D1223" s="7339"/>
      <c r="E1223" s="7338" t="s">
        <v>1866</v>
      </c>
      <c r="F1223" s="7338" t="str">
        <f t="shared" si="72"/>
        <v/>
      </c>
      <c r="G1223" s="7338" t="s">
        <v>1901</v>
      </c>
      <c r="H1223" s="7338" t="str">
        <f t="shared" si="73"/>
        <v/>
      </c>
      <c r="I1223" s="7339">
        <v>70.0</v>
      </c>
      <c r="J1223" s="7339">
        <v>95.0</v>
      </c>
      <c r="K1223" s="7339">
        <v>65.0</v>
      </c>
      <c r="L1223" s="7339">
        <v>85.0</v>
      </c>
      <c r="M1223" s="7339">
        <v>65.0</v>
      </c>
      <c r="N1223" s="7381">
        <v>121.0</v>
      </c>
      <c r="O1223" s="7321"/>
      <c r="P1223" s="7324"/>
      <c r="Q1223" s="7324"/>
      <c r="R1223" s="7324"/>
    </row>
    <row r="1224" ht="18.75" customHeight="1">
      <c r="A1224" s="7316"/>
      <c r="B1224" s="7331" t="s">
        <v>892</v>
      </c>
      <c r="C1224" s="7332" t="s">
        <v>3868</v>
      </c>
      <c r="D1224" s="7333"/>
      <c r="E1224" s="7332" t="s">
        <v>1929</v>
      </c>
      <c r="F1224" s="7332" t="str">
        <f t="shared" si="72"/>
        <v/>
      </c>
      <c r="G1224" s="7332"/>
      <c r="H1224" s="7332" t="str">
        <f t="shared" si="73"/>
        <v/>
      </c>
      <c r="I1224" s="7333">
        <v>70.0</v>
      </c>
      <c r="J1224" s="7333">
        <v>85.0</v>
      </c>
      <c r="K1224" s="7333">
        <v>145.0</v>
      </c>
      <c r="L1224" s="7333">
        <v>60.0</v>
      </c>
      <c r="M1224" s="7333">
        <v>55.0</v>
      </c>
      <c r="N1224" s="7382">
        <v>65.0</v>
      </c>
      <c r="O1224" s="7321"/>
      <c r="P1224" s="7324"/>
      <c r="Q1224" s="7324"/>
      <c r="R1224" s="7324"/>
    </row>
    <row r="1225" ht="18.75" customHeight="1">
      <c r="A1225" s="7316"/>
      <c r="B1225" s="7337" t="s">
        <v>815</v>
      </c>
      <c r="C1225" s="7338" t="s">
        <v>3869</v>
      </c>
      <c r="D1225" s="7339"/>
      <c r="E1225" s="7338" t="s">
        <v>2014</v>
      </c>
      <c r="F1225" s="7338" t="str">
        <f t="shared" si="72"/>
        <v/>
      </c>
      <c r="G1225" s="7338" t="s">
        <v>1849</v>
      </c>
      <c r="H1225" s="7338" t="str">
        <f t="shared" si="73"/>
        <v/>
      </c>
      <c r="I1225" s="7339">
        <v>48.0</v>
      </c>
      <c r="J1225" s="7339">
        <v>35.0</v>
      </c>
      <c r="K1225" s="7339">
        <v>42.0</v>
      </c>
      <c r="L1225" s="7339">
        <v>105.0</v>
      </c>
      <c r="M1225" s="7339">
        <v>60.0</v>
      </c>
      <c r="N1225" s="7381">
        <v>60.0</v>
      </c>
      <c r="O1225" s="7321"/>
      <c r="P1225" s="7324"/>
      <c r="Q1225" s="7324"/>
      <c r="R1225" s="7324"/>
    </row>
    <row r="1226" ht="18.75" customHeight="1">
      <c r="A1226" s="7316"/>
      <c r="B1226" s="7331" t="s">
        <v>3870</v>
      </c>
      <c r="C1226" s="7332" t="s">
        <v>3871</v>
      </c>
      <c r="D1226" s="7333"/>
      <c r="E1226" s="7332" t="s">
        <v>2014</v>
      </c>
      <c r="F1226" s="7332" t="str">
        <f t="shared" si="72"/>
        <v/>
      </c>
      <c r="G1226" s="7332" t="s">
        <v>1849</v>
      </c>
      <c r="H1226" s="7332" t="str">
        <f t="shared" si="73"/>
        <v/>
      </c>
      <c r="I1226" s="7333">
        <v>83.0</v>
      </c>
      <c r="J1226" s="7333">
        <v>55.0</v>
      </c>
      <c r="K1226" s="7333">
        <v>90.0</v>
      </c>
      <c r="L1226" s="7333">
        <v>130.0</v>
      </c>
      <c r="M1226" s="7333">
        <v>81.0</v>
      </c>
      <c r="N1226" s="7382">
        <v>86.0</v>
      </c>
      <c r="O1226" s="7321"/>
      <c r="P1226" s="7324"/>
      <c r="Q1226" s="7324"/>
      <c r="R1226" s="7324"/>
    </row>
    <row r="1227" ht="18.75" customHeight="1">
      <c r="A1227" s="7316"/>
      <c r="B1227" s="7337" t="s">
        <v>3872</v>
      </c>
      <c r="C1227" s="7338" t="s">
        <v>3873</v>
      </c>
      <c r="D1227" s="7339"/>
      <c r="E1227" s="7338" t="s">
        <v>2097</v>
      </c>
      <c r="F1227" s="7338" t="str">
        <f t="shared" si="72"/>
        <v/>
      </c>
      <c r="G1227" s="7338"/>
      <c r="H1227" s="7338" t="str">
        <f t="shared" si="73"/>
        <v/>
      </c>
      <c r="I1227" s="7339">
        <v>50.0</v>
      </c>
      <c r="J1227" s="7339">
        <v>61.0</v>
      </c>
      <c r="K1227" s="7339">
        <v>60.0</v>
      </c>
      <c r="L1227" s="7339">
        <v>30.0</v>
      </c>
      <c r="M1227" s="7339">
        <v>55.0</v>
      </c>
      <c r="N1227" s="7381">
        <v>34.0</v>
      </c>
      <c r="O1227" s="7321"/>
      <c r="P1227" s="7324"/>
      <c r="Q1227" s="7324"/>
      <c r="R1227" s="7324"/>
    </row>
    <row r="1228" ht="18.75" customHeight="1">
      <c r="A1228" s="7316"/>
      <c r="B1228" s="7331" t="s">
        <v>1189</v>
      </c>
      <c r="C1228" s="7332" t="s">
        <v>3874</v>
      </c>
      <c r="D1228" s="7333"/>
      <c r="E1228" s="7332" t="s">
        <v>2097</v>
      </c>
      <c r="F1228" s="7332" t="str">
        <f t="shared" si="72"/>
        <v/>
      </c>
      <c r="G1228" s="7332"/>
      <c r="H1228" s="7332" t="str">
        <f t="shared" si="73"/>
        <v/>
      </c>
      <c r="I1228" s="7333">
        <v>72.0</v>
      </c>
      <c r="J1228" s="7333">
        <v>101.0</v>
      </c>
      <c r="K1228" s="7333">
        <v>100.0</v>
      </c>
      <c r="L1228" s="7333">
        <v>50.0</v>
      </c>
      <c r="M1228" s="7333">
        <v>97.0</v>
      </c>
      <c r="N1228" s="7382">
        <v>68.0</v>
      </c>
      <c r="O1228" s="7321"/>
      <c r="P1228" s="7324"/>
      <c r="Q1228" s="7324"/>
      <c r="R1228" s="7324"/>
    </row>
    <row r="1229" ht="18.75" customHeight="1">
      <c r="A1229" s="7316"/>
      <c r="B1229" s="7337" t="s">
        <v>3875</v>
      </c>
      <c r="C1229" s="7338" t="s">
        <v>3876</v>
      </c>
      <c r="D1229" s="7339"/>
      <c r="E1229" s="7338" t="s">
        <v>1863</v>
      </c>
      <c r="F1229" s="7338" t="str">
        <f t="shared" si="72"/>
        <v/>
      </c>
      <c r="G1229" s="7338" t="s">
        <v>1939</v>
      </c>
      <c r="H1229" s="7338" t="str">
        <f t="shared" si="73"/>
        <v/>
      </c>
      <c r="I1229" s="7339">
        <v>92.0</v>
      </c>
      <c r="J1229" s="7339">
        <v>115.0</v>
      </c>
      <c r="K1229" s="7339">
        <v>74.0</v>
      </c>
      <c r="L1229" s="7339">
        <v>75.0</v>
      </c>
      <c r="M1229" s="7339">
        <v>74.0</v>
      </c>
      <c r="N1229" s="7381">
        <v>90.0</v>
      </c>
      <c r="O1229" s="7321"/>
      <c r="P1229" s="7324"/>
      <c r="Q1229" s="7324"/>
      <c r="R1229" s="7324"/>
    </row>
    <row r="1230" ht="18.75" customHeight="1">
      <c r="A1230" s="7316"/>
      <c r="B1230" s="7331" t="s">
        <v>3877</v>
      </c>
      <c r="C1230" s="7332" t="s">
        <v>3878</v>
      </c>
      <c r="D1230" s="7333"/>
      <c r="E1230" s="7332" t="s">
        <v>1932</v>
      </c>
      <c r="F1230" s="7332" t="str">
        <f t="shared" si="72"/>
        <v/>
      </c>
      <c r="G1230" s="7332"/>
      <c r="H1230" s="7332" t="str">
        <f t="shared" si="73"/>
        <v/>
      </c>
      <c r="I1230" s="7333">
        <v>108.0</v>
      </c>
      <c r="J1230" s="7333">
        <v>68.0</v>
      </c>
      <c r="K1230" s="7333">
        <v>45.0</v>
      </c>
      <c r="L1230" s="7333">
        <v>30.0</v>
      </c>
      <c r="M1230" s="7333">
        <v>40.0</v>
      </c>
      <c r="N1230" s="7382">
        <v>43.0</v>
      </c>
      <c r="O1230" s="7321"/>
      <c r="P1230" s="7324"/>
      <c r="Q1230" s="7324"/>
      <c r="R1230" s="7324"/>
    </row>
    <row r="1231" ht="18.75" customHeight="1">
      <c r="A1231" s="7316"/>
      <c r="B1231" s="7337" t="s">
        <v>3879</v>
      </c>
      <c r="C1231" s="7338" t="s">
        <v>3880</v>
      </c>
      <c r="D1231" s="7339"/>
      <c r="E1231" s="7338" t="s">
        <v>1932</v>
      </c>
      <c r="F1231" s="7338" t="str">
        <f t="shared" si="72"/>
        <v/>
      </c>
      <c r="G1231" s="7338"/>
      <c r="H1231" s="7338" t="str">
        <f t="shared" si="73"/>
        <v/>
      </c>
      <c r="I1231" s="7339">
        <v>170.0</v>
      </c>
      <c r="J1231" s="7339">
        <v>113.0</v>
      </c>
      <c r="K1231" s="7339">
        <v>65.0</v>
      </c>
      <c r="L1231" s="7339">
        <v>45.0</v>
      </c>
      <c r="M1231" s="7339">
        <v>55.0</v>
      </c>
      <c r="N1231" s="7381">
        <v>73.0</v>
      </c>
      <c r="O1231" s="7321"/>
      <c r="P1231" s="7324"/>
      <c r="Q1231" s="7324"/>
      <c r="R1231" s="7324"/>
    </row>
    <row r="1232" ht="18.75" customHeight="1">
      <c r="A1232" s="7316"/>
      <c r="B1232" s="7331" t="s">
        <v>893</v>
      </c>
      <c r="C1232" s="7332" t="s">
        <v>3881</v>
      </c>
      <c r="D1232" s="7333"/>
      <c r="E1232" s="7332" t="s">
        <v>1871</v>
      </c>
      <c r="F1232" s="7332" t="str">
        <f t="shared" si="72"/>
        <v/>
      </c>
      <c r="G1232" s="7332" t="s">
        <v>561</v>
      </c>
      <c r="H1232" s="7332" t="str">
        <f t="shared" si="73"/>
        <v/>
      </c>
      <c r="I1232" s="7333">
        <v>95.0</v>
      </c>
      <c r="J1232" s="7333">
        <v>102.0</v>
      </c>
      <c r="K1232" s="7333">
        <v>83.0</v>
      </c>
      <c r="L1232" s="7333">
        <v>78.0</v>
      </c>
      <c r="M1232" s="7333">
        <v>75.0</v>
      </c>
      <c r="N1232" s="7382">
        <v>70.0</v>
      </c>
      <c r="O1232" s="7321"/>
      <c r="P1232" s="7324"/>
      <c r="Q1232" s="7324"/>
      <c r="R1232" s="7324"/>
    </row>
    <row r="1233" ht="18.75" customHeight="1">
      <c r="A1233" s="7316"/>
      <c r="B1233" s="7337" t="s">
        <v>3882</v>
      </c>
      <c r="C1233" s="7338" t="s">
        <v>3883</v>
      </c>
      <c r="D1233" s="7339"/>
      <c r="E1233" s="7338" t="s">
        <v>1871</v>
      </c>
      <c r="F1233" s="7338" t="str">
        <f t="shared" si="72"/>
        <v/>
      </c>
      <c r="G1233" s="7338"/>
      <c r="H1233" s="7338" t="str">
        <f t="shared" si="73"/>
        <v/>
      </c>
      <c r="I1233" s="7339">
        <v>150.0</v>
      </c>
      <c r="J1233" s="7339">
        <v>100.0</v>
      </c>
      <c r="K1233" s="7339">
        <v>115.0</v>
      </c>
      <c r="L1233" s="7339">
        <v>65.0</v>
      </c>
      <c r="M1233" s="7339">
        <v>65.0</v>
      </c>
      <c r="N1233" s="7381">
        <v>35.0</v>
      </c>
      <c r="O1233" s="7321"/>
      <c r="P1233" s="7324"/>
      <c r="Q1233" s="7324"/>
      <c r="R1233" s="7324"/>
    </row>
    <row r="1234" ht="18.75" customHeight="1">
      <c r="A1234" s="7316"/>
      <c r="B1234" s="7331" t="s">
        <v>1066</v>
      </c>
      <c r="C1234" s="7332" t="s">
        <v>3884</v>
      </c>
      <c r="D1234" s="7333"/>
      <c r="E1234" s="7332" t="s">
        <v>1871</v>
      </c>
      <c r="F1234" s="7332" t="str">
        <f t="shared" si="72"/>
        <v/>
      </c>
      <c r="G1234" s="7332" t="s">
        <v>1866</v>
      </c>
      <c r="H1234" s="7332" t="str">
        <f t="shared" si="73"/>
        <v/>
      </c>
      <c r="I1234" s="7333">
        <v>78.0</v>
      </c>
      <c r="J1234" s="7333">
        <v>50.0</v>
      </c>
      <c r="K1234" s="7333">
        <v>70.0</v>
      </c>
      <c r="L1234" s="7333">
        <v>120.0</v>
      </c>
      <c r="M1234" s="7333">
        <v>95.0</v>
      </c>
      <c r="N1234" s="7382">
        <v>82.0</v>
      </c>
      <c r="O1234" s="7321"/>
      <c r="P1234" s="7324"/>
      <c r="Q1234" s="7324"/>
      <c r="R1234" s="7324"/>
    </row>
    <row r="1235" ht="18.75" customHeight="1">
      <c r="A1235" s="7316"/>
      <c r="B1235" s="7337" t="s">
        <v>3885</v>
      </c>
      <c r="C1235" s="7338" t="s">
        <v>3886</v>
      </c>
      <c r="D1235" s="7339"/>
      <c r="E1235" s="7338" t="s">
        <v>1939</v>
      </c>
      <c r="F1235" s="7338" t="str">
        <f t="shared" si="72"/>
        <v/>
      </c>
      <c r="G1235" s="7338" t="s">
        <v>2097</v>
      </c>
      <c r="H1235" s="7338" t="str">
        <f t="shared" si="73"/>
        <v/>
      </c>
      <c r="I1235" s="7339">
        <v>110.0</v>
      </c>
      <c r="J1235" s="7339">
        <v>115.0</v>
      </c>
      <c r="K1235" s="7339">
        <v>80.0</v>
      </c>
      <c r="L1235" s="7339">
        <v>50.0</v>
      </c>
      <c r="M1235" s="7339">
        <v>90.0</v>
      </c>
      <c r="N1235" s="7381">
        <v>90.0</v>
      </c>
      <c r="O1235" s="7321"/>
      <c r="P1235" s="7324"/>
      <c r="Q1235" s="7324"/>
      <c r="R1235" s="7324"/>
    </row>
    <row r="1236" ht="18.75" customHeight="1">
      <c r="A1236" s="7316"/>
      <c r="B1236" s="7331" t="s">
        <v>203</v>
      </c>
      <c r="C1236" s="7332" t="s">
        <v>3887</v>
      </c>
      <c r="D1236" s="7333"/>
      <c r="E1236" s="7332" t="s">
        <v>1849</v>
      </c>
      <c r="F1236" s="7332" t="str">
        <f t="shared" si="72"/>
        <v/>
      </c>
      <c r="G1236" s="7332" t="s">
        <v>1948</v>
      </c>
      <c r="H1236" s="7332" t="str">
        <f t="shared" si="73"/>
        <v/>
      </c>
      <c r="I1236" s="7333">
        <v>130.0</v>
      </c>
      <c r="J1236" s="7333">
        <v>75.0</v>
      </c>
      <c r="K1236" s="7333">
        <v>60.0</v>
      </c>
      <c r="L1236" s="7333">
        <v>45.0</v>
      </c>
      <c r="M1236" s="7333">
        <v>100.0</v>
      </c>
      <c r="N1236" s="7382">
        <v>20.0</v>
      </c>
      <c r="O1236" s="7321"/>
      <c r="P1236" s="7324"/>
      <c r="Q1236" s="7324"/>
      <c r="R1236" s="7324"/>
    </row>
    <row r="1237" ht="18.75" customHeight="1">
      <c r="A1237" s="7316"/>
      <c r="B1237" s="7337" t="s">
        <v>545</v>
      </c>
      <c r="C1237" s="7338" t="s">
        <v>3888</v>
      </c>
      <c r="D1237" s="7339"/>
      <c r="E1237" s="7338" t="s">
        <v>1901</v>
      </c>
      <c r="F1237" s="7338" t="str">
        <f t="shared" si="72"/>
        <v/>
      </c>
      <c r="G1237" s="7338" t="s">
        <v>561</v>
      </c>
      <c r="H1237" s="7338" t="str">
        <f t="shared" si="73"/>
        <v/>
      </c>
      <c r="I1237" s="7339">
        <v>120.0</v>
      </c>
      <c r="J1237" s="7339">
        <v>90.0</v>
      </c>
      <c r="K1237" s="7339">
        <v>70.0</v>
      </c>
      <c r="L1237" s="7339">
        <v>110.0</v>
      </c>
      <c r="M1237" s="7339">
        <v>70.0</v>
      </c>
      <c r="N1237" s="7381">
        <v>60.0</v>
      </c>
      <c r="O1237" s="7321"/>
      <c r="P1237" s="7324"/>
      <c r="Q1237" s="7324"/>
      <c r="R1237" s="7324"/>
    </row>
    <row r="1238" ht="18.75" customHeight="1">
      <c r="A1238" s="7316"/>
      <c r="B1238" s="7331" t="s">
        <v>548</v>
      </c>
      <c r="C1238" s="7332" t="s">
        <v>3889</v>
      </c>
      <c r="D1238" s="7333"/>
      <c r="E1238" s="7332" t="s">
        <v>1901</v>
      </c>
      <c r="F1238" s="7332" t="str">
        <f t="shared" si="72"/>
        <v/>
      </c>
      <c r="G1238" s="7332"/>
      <c r="H1238" s="7332" t="str">
        <f t="shared" si="73"/>
        <v/>
      </c>
      <c r="I1238" s="7333">
        <v>125.0</v>
      </c>
      <c r="J1238" s="7333">
        <v>100.0</v>
      </c>
      <c r="K1238" s="7333">
        <v>80.0</v>
      </c>
      <c r="L1238" s="7333">
        <v>85.0</v>
      </c>
      <c r="M1238" s="7333">
        <v>75.0</v>
      </c>
      <c r="N1238" s="7382">
        <v>55.0</v>
      </c>
      <c r="O1238" s="7321"/>
      <c r="P1238" s="7324"/>
      <c r="Q1238" s="7324"/>
      <c r="R1238" s="7324"/>
    </row>
    <row r="1239" ht="18.75" customHeight="1">
      <c r="A1239" s="7316"/>
      <c r="B1239" s="7337" t="s">
        <v>741</v>
      </c>
      <c r="C1239" s="7338" t="s">
        <v>3890</v>
      </c>
      <c r="D1239" s="7339"/>
      <c r="E1239" s="7338" t="s">
        <v>1911</v>
      </c>
      <c r="F1239" s="7338" t="str">
        <f t="shared" si="72"/>
        <v/>
      </c>
      <c r="G1239" s="7338" t="s">
        <v>1929</v>
      </c>
      <c r="H1239" s="7338" t="str">
        <f t="shared" si="73"/>
        <v/>
      </c>
      <c r="I1239" s="7339">
        <v>100.0</v>
      </c>
      <c r="J1239" s="7339">
        <v>135.0</v>
      </c>
      <c r="K1239" s="7339">
        <v>120.0</v>
      </c>
      <c r="L1239" s="7339">
        <v>60.0</v>
      </c>
      <c r="M1239" s="7339">
        <v>85.0</v>
      </c>
      <c r="N1239" s="7381">
        <v>50.0</v>
      </c>
      <c r="O1239" s="7321"/>
      <c r="P1239" s="7324"/>
      <c r="Q1239" s="7324"/>
      <c r="R1239" s="7324"/>
    </row>
    <row r="1240" ht="18.75" customHeight="1">
      <c r="A1240" s="7316"/>
      <c r="B1240" s="7331" t="s">
        <v>414</v>
      </c>
      <c r="C1240" s="7341" t="s">
        <v>3891</v>
      </c>
      <c r="D1240" s="7333"/>
      <c r="E1240" s="7332" t="s">
        <v>1948</v>
      </c>
      <c r="F1240" s="7332" t="str">
        <f t="shared" si="72"/>
        <v/>
      </c>
      <c r="G1240" s="7332" t="s">
        <v>1939</v>
      </c>
      <c r="H1240" s="7332" t="str">
        <f t="shared" si="73"/>
        <v/>
      </c>
      <c r="I1240" s="7333">
        <v>115.0</v>
      </c>
      <c r="J1240" s="7333">
        <v>131.0</v>
      </c>
      <c r="K1240" s="7333">
        <v>131.0</v>
      </c>
      <c r="L1240" s="7333">
        <v>53.0</v>
      </c>
      <c r="M1240" s="7333">
        <v>53.0</v>
      </c>
      <c r="N1240" s="7382">
        <v>87.0</v>
      </c>
      <c r="O1240" s="7321"/>
      <c r="P1240" s="7324"/>
      <c r="Q1240" s="7324"/>
      <c r="R1240" s="7324"/>
    </row>
    <row r="1241" ht="18.75" customHeight="1">
      <c r="A1241" s="7316"/>
      <c r="B1241" s="7337" t="s">
        <v>1403</v>
      </c>
      <c r="C1241" s="7342" t="s">
        <v>3892</v>
      </c>
      <c r="D1241" s="7339"/>
      <c r="E1241" s="7338" t="s">
        <v>1935</v>
      </c>
      <c r="F1241" s="7338" t="str">
        <f t="shared" si="72"/>
        <v/>
      </c>
      <c r="G1241" s="7338" t="s">
        <v>561</v>
      </c>
      <c r="H1241" s="7338" t="str">
        <f t="shared" si="73"/>
        <v/>
      </c>
      <c r="I1241" s="7339">
        <v>115.0</v>
      </c>
      <c r="J1241" s="7339">
        <v>65.0</v>
      </c>
      <c r="K1241" s="7339">
        <v>99.0</v>
      </c>
      <c r="L1241" s="7339">
        <v>85.0</v>
      </c>
      <c r="M1241" s="7339">
        <v>115.0</v>
      </c>
      <c r="N1241" s="7381">
        <v>111.0</v>
      </c>
      <c r="O1241" s="7321"/>
      <c r="P1241" s="7324"/>
      <c r="Q1241" s="7324"/>
      <c r="R1241" s="7324"/>
    </row>
    <row r="1242" ht="18.75" customHeight="1">
      <c r="A1242" s="7316"/>
      <c r="B1242" s="7331" t="s">
        <v>293</v>
      </c>
      <c r="C1242" s="7341" t="s">
        <v>3893</v>
      </c>
      <c r="D1242" s="7333"/>
      <c r="E1242" s="7332" t="s">
        <v>1848</v>
      </c>
      <c r="F1242" s="7332" t="str">
        <f t="shared" si="72"/>
        <v/>
      </c>
      <c r="G1242" s="7332" t="s">
        <v>1911</v>
      </c>
      <c r="H1242" s="7332" t="str">
        <f t="shared" si="73"/>
        <v/>
      </c>
      <c r="I1242" s="7333">
        <v>111.0</v>
      </c>
      <c r="J1242" s="7333">
        <v>127.0</v>
      </c>
      <c r="K1242" s="7333">
        <v>99.0</v>
      </c>
      <c r="L1242" s="7333">
        <v>79.0</v>
      </c>
      <c r="M1242" s="7333">
        <v>99.0</v>
      </c>
      <c r="N1242" s="7382">
        <v>55.0</v>
      </c>
      <c r="O1242" s="7321"/>
      <c r="P1242" s="7324"/>
      <c r="Q1242" s="7324"/>
      <c r="R1242" s="7324"/>
    </row>
    <row r="1243" ht="18.75" customHeight="1">
      <c r="A1243" s="7316"/>
      <c r="B1243" s="7337" t="s">
        <v>1455</v>
      </c>
      <c r="C1243" s="7342" t="s">
        <v>3894</v>
      </c>
      <c r="D1243" s="7339"/>
      <c r="E1243" s="7338" t="s">
        <v>2097</v>
      </c>
      <c r="F1243" s="7338" t="str">
        <f t="shared" si="72"/>
        <v/>
      </c>
      <c r="G1243" s="7338" t="s">
        <v>1935</v>
      </c>
      <c r="H1243" s="7338" t="str">
        <f t="shared" si="73"/>
        <v/>
      </c>
      <c r="I1243" s="7339">
        <v>55.0</v>
      </c>
      <c r="J1243" s="7339">
        <v>55.0</v>
      </c>
      <c r="K1243" s="7339">
        <v>55.0</v>
      </c>
      <c r="L1243" s="7339">
        <v>135.0</v>
      </c>
      <c r="M1243" s="7339">
        <v>135.0</v>
      </c>
      <c r="N1243" s="7381">
        <v>135.0</v>
      </c>
      <c r="O1243" s="7321"/>
      <c r="P1243" s="7324"/>
      <c r="Q1243" s="7324"/>
      <c r="R1243" s="7324"/>
    </row>
    <row r="1244" ht="18.75" customHeight="1">
      <c r="A1244" s="7316"/>
      <c r="B1244" s="7331" t="s">
        <v>353</v>
      </c>
      <c r="C1244" s="7341" t="s">
        <v>3895</v>
      </c>
      <c r="D1244" s="7333"/>
      <c r="E1244" s="7332" t="s">
        <v>1882</v>
      </c>
      <c r="F1244" s="7332" t="str">
        <f t="shared" si="72"/>
        <v/>
      </c>
      <c r="G1244" s="7332" t="s">
        <v>1939</v>
      </c>
      <c r="H1244" s="7332" t="str">
        <f t="shared" si="73"/>
        <v/>
      </c>
      <c r="I1244" s="7333">
        <v>85.0</v>
      </c>
      <c r="J1244" s="7333">
        <v>135.0</v>
      </c>
      <c r="K1244" s="7333">
        <v>79.0</v>
      </c>
      <c r="L1244" s="7333">
        <v>85.0</v>
      </c>
      <c r="M1244" s="7333">
        <v>105.0</v>
      </c>
      <c r="N1244" s="7382">
        <v>81.0</v>
      </c>
      <c r="O1244" s="7321"/>
      <c r="P1244" s="7324"/>
      <c r="Q1244" s="7324"/>
      <c r="R1244" s="7324"/>
    </row>
    <row r="1245" ht="18.75" customHeight="1">
      <c r="A1245" s="7316"/>
      <c r="B1245" s="7337" t="s">
        <v>795</v>
      </c>
      <c r="C1245" s="7342" t="s">
        <v>3896</v>
      </c>
      <c r="D1245" s="7339"/>
      <c r="E1245" s="7338" t="s">
        <v>1926</v>
      </c>
      <c r="F1245" s="7338" t="str">
        <f t="shared" si="72"/>
        <v/>
      </c>
      <c r="G1245" s="7338" t="s">
        <v>1948</v>
      </c>
      <c r="H1245" s="7338" t="str">
        <f t="shared" si="73"/>
        <v/>
      </c>
      <c r="I1245" s="7339">
        <v>85.0</v>
      </c>
      <c r="J1245" s="7339">
        <v>81.0</v>
      </c>
      <c r="K1245" s="7339">
        <v>97.0</v>
      </c>
      <c r="L1245" s="7339">
        <v>121.0</v>
      </c>
      <c r="M1245" s="7339">
        <v>85.0</v>
      </c>
      <c r="N1245" s="7381">
        <v>101.0</v>
      </c>
      <c r="O1245" s="7321"/>
      <c r="P1245" s="7324"/>
      <c r="Q1245" s="7324"/>
      <c r="R1245" s="7324"/>
    </row>
    <row r="1246" ht="18.75" customHeight="1">
      <c r="A1246" s="7316"/>
      <c r="B1246" s="7331" t="s">
        <v>468</v>
      </c>
      <c r="C1246" s="7341" t="s">
        <v>3897</v>
      </c>
      <c r="D1246" s="7333"/>
      <c r="E1246" s="7332" t="s">
        <v>1948</v>
      </c>
      <c r="F1246" s="7332" t="str">
        <f t="shared" si="72"/>
        <v/>
      </c>
      <c r="G1246" s="7332" t="s">
        <v>1929</v>
      </c>
      <c r="H1246" s="7332" t="str">
        <f t="shared" si="73"/>
        <v/>
      </c>
      <c r="I1246" s="7333">
        <v>90.0</v>
      </c>
      <c r="J1246" s="7333">
        <v>112.0</v>
      </c>
      <c r="K1246" s="7333">
        <v>120.0</v>
      </c>
      <c r="L1246" s="7333">
        <v>72.0</v>
      </c>
      <c r="M1246" s="7333">
        <v>70.0</v>
      </c>
      <c r="N1246" s="7382">
        <v>106.0</v>
      </c>
      <c r="O1246" s="7321"/>
      <c r="P1246" s="7324"/>
      <c r="Q1246" s="7324"/>
      <c r="R1246" s="7324"/>
    </row>
    <row r="1247" ht="18.75" customHeight="1">
      <c r="A1247" s="7316"/>
      <c r="B1247" s="7337" t="s">
        <v>800</v>
      </c>
      <c r="C1247" s="7342" t="s">
        <v>3898</v>
      </c>
      <c r="D1247" s="7339"/>
      <c r="E1247" s="7338" t="s">
        <v>1932</v>
      </c>
      <c r="F1247" s="7338" t="str">
        <f t="shared" si="72"/>
        <v/>
      </c>
      <c r="G1247" s="7338" t="s">
        <v>1871</v>
      </c>
      <c r="H1247" s="7338" t="str">
        <f t="shared" si="73"/>
        <v/>
      </c>
      <c r="I1247" s="7339">
        <v>56.0</v>
      </c>
      <c r="J1247" s="7339">
        <v>80.0</v>
      </c>
      <c r="K1247" s="7339">
        <v>114.0</v>
      </c>
      <c r="L1247" s="7339">
        <v>124.0</v>
      </c>
      <c r="M1247" s="7339">
        <v>60.0</v>
      </c>
      <c r="N1247" s="7381">
        <v>136.0</v>
      </c>
      <c r="O1247" s="7321"/>
      <c r="P1247" s="7324"/>
      <c r="Q1247" s="7324"/>
      <c r="R1247" s="7324"/>
    </row>
    <row r="1248" ht="18.75" customHeight="1">
      <c r="A1248" s="7316"/>
      <c r="B1248" s="7331" t="s">
        <v>470</v>
      </c>
      <c r="C1248" s="7341" t="s">
        <v>3899</v>
      </c>
      <c r="D1248" s="7333"/>
      <c r="E1248" s="7332" t="s">
        <v>1939</v>
      </c>
      <c r="F1248" s="7332" t="str">
        <f t="shared" si="72"/>
        <v/>
      </c>
      <c r="G1248" s="7332" t="s">
        <v>1926</v>
      </c>
      <c r="H1248" s="7332" t="str">
        <f t="shared" si="73"/>
        <v/>
      </c>
      <c r="I1248" s="7333">
        <v>154.0</v>
      </c>
      <c r="J1248" s="7333">
        <v>140.0</v>
      </c>
      <c r="K1248" s="7333">
        <v>108.0</v>
      </c>
      <c r="L1248" s="7333">
        <v>50.0</v>
      </c>
      <c r="M1248" s="7333">
        <v>68.0</v>
      </c>
      <c r="N1248" s="7382">
        <v>50.0</v>
      </c>
      <c r="O1248" s="7321"/>
      <c r="P1248" s="7324"/>
      <c r="Q1248" s="7324"/>
      <c r="R1248" s="7324"/>
    </row>
    <row r="1249" ht="18.75" customHeight="1">
      <c r="A1249" s="7316"/>
      <c r="B1249" s="7337" t="s">
        <v>1461</v>
      </c>
      <c r="C1249" s="7342" t="s">
        <v>3900</v>
      </c>
      <c r="D1249" s="7339"/>
      <c r="E1249" s="7338" t="s">
        <v>1911</v>
      </c>
      <c r="F1249" s="7338" t="str">
        <f t="shared" si="72"/>
        <v/>
      </c>
      <c r="G1249" s="7338" t="s">
        <v>1863</v>
      </c>
      <c r="H1249" s="7338" t="str">
        <f t="shared" si="73"/>
        <v/>
      </c>
      <c r="I1249" s="7339">
        <v>94.0</v>
      </c>
      <c r="J1249" s="7339">
        <v>80.0</v>
      </c>
      <c r="K1249" s="7339">
        <v>86.0</v>
      </c>
      <c r="L1249" s="7339">
        <v>122.0</v>
      </c>
      <c r="M1249" s="7339">
        <v>80.0</v>
      </c>
      <c r="N1249" s="7381">
        <v>108.0</v>
      </c>
      <c r="O1249" s="7321"/>
      <c r="P1249" s="7324"/>
      <c r="Q1249" s="7324"/>
      <c r="R1249" s="7324"/>
    </row>
    <row r="1250" ht="18.75" customHeight="1">
      <c r="A1250" s="7316"/>
      <c r="B1250" s="7331" t="s">
        <v>789</v>
      </c>
      <c r="C1250" s="7341" t="s">
        <v>3901</v>
      </c>
      <c r="D1250" s="7333"/>
      <c r="E1250" s="7332" t="s">
        <v>1858</v>
      </c>
      <c r="F1250" s="7332" t="str">
        <f t="shared" si="72"/>
        <v/>
      </c>
      <c r="G1250" s="7332" t="s">
        <v>1849</v>
      </c>
      <c r="H1250" s="7332" t="str">
        <f t="shared" si="73"/>
        <v/>
      </c>
      <c r="I1250" s="7333">
        <v>80.0</v>
      </c>
      <c r="J1250" s="7333">
        <v>70.0</v>
      </c>
      <c r="K1250" s="7333">
        <v>60.0</v>
      </c>
      <c r="L1250" s="7333">
        <v>140.0</v>
      </c>
      <c r="M1250" s="7333">
        <v>110.0</v>
      </c>
      <c r="N1250" s="7382">
        <v>110.0</v>
      </c>
      <c r="O1250" s="7321"/>
      <c r="P1250" s="7324"/>
      <c r="Q1250" s="7324"/>
      <c r="R1250" s="7324"/>
    </row>
    <row r="1251" ht="18.75" customHeight="1">
      <c r="A1251" s="7316"/>
      <c r="B1251" s="7337" t="s">
        <v>3902</v>
      </c>
      <c r="C1251" s="7342" t="s">
        <v>3903</v>
      </c>
      <c r="D1251" s="7339"/>
      <c r="E1251" s="7338" t="s">
        <v>2014</v>
      </c>
      <c r="F1251" s="7338" t="str">
        <f t="shared" si="72"/>
        <v/>
      </c>
      <c r="G1251" s="7338" t="s">
        <v>1926</v>
      </c>
      <c r="H1251" s="7338" t="str">
        <f t="shared" si="73"/>
        <v/>
      </c>
      <c r="I1251" s="7339">
        <v>110.0</v>
      </c>
      <c r="J1251" s="7339">
        <v>134.0</v>
      </c>
      <c r="K1251" s="7339">
        <v>110.0</v>
      </c>
      <c r="L1251" s="7339">
        <v>70.0</v>
      </c>
      <c r="M1251" s="7339">
        <v>84.0</v>
      </c>
      <c r="N1251" s="7381">
        <v>72.0</v>
      </c>
      <c r="O1251" s="7321"/>
      <c r="P1251" s="7324"/>
      <c r="Q1251" s="7324"/>
      <c r="R1251" s="7324"/>
    </row>
    <row r="1252" ht="18.75" customHeight="1">
      <c r="A1252" s="7316"/>
      <c r="B1252" s="7331" t="s">
        <v>3904</v>
      </c>
      <c r="C1252" s="7332" t="s">
        <v>3905</v>
      </c>
      <c r="D1252" s="7333"/>
      <c r="E1252" s="7332" t="s">
        <v>1866</v>
      </c>
      <c r="F1252" s="7332" t="str">
        <f t="shared" si="72"/>
        <v/>
      </c>
      <c r="G1252" s="7332" t="s">
        <v>1932</v>
      </c>
      <c r="H1252" s="7332" t="str">
        <f t="shared" si="73"/>
        <v/>
      </c>
      <c r="I1252" s="7333">
        <v>65.0</v>
      </c>
      <c r="J1252" s="7333">
        <v>75.0</v>
      </c>
      <c r="K1252" s="7333">
        <v>45.0</v>
      </c>
      <c r="L1252" s="7333">
        <v>35.0</v>
      </c>
      <c r="M1252" s="7333">
        <v>45.0</v>
      </c>
      <c r="N1252" s="7382">
        <v>55.0</v>
      </c>
      <c r="O1252" s="7321"/>
      <c r="P1252" s="7324"/>
      <c r="Q1252" s="7324"/>
      <c r="R1252" s="7324"/>
    </row>
    <row r="1253" ht="18.75" customHeight="1">
      <c r="A1253" s="7316"/>
      <c r="B1253" s="7337" t="s">
        <v>3906</v>
      </c>
      <c r="C1253" s="7338" t="s">
        <v>3907</v>
      </c>
      <c r="D1253" s="7339"/>
      <c r="E1253" s="7338" t="s">
        <v>1866</v>
      </c>
      <c r="F1253" s="7338" t="str">
        <f t="shared" si="72"/>
        <v/>
      </c>
      <c r="G1253" s="7338" t="s">
        <v>1932</v>
      </c>
      <c r="H1253" s="7338" t="str">
        <f t="shared" si="73"/>
        <v/>
      </c>
      <c r="I1253" s="7339">
        <v>90.0</v>
      </c>
      <c r="J1253" s="7339">
        <v>95.0</v>
      </c>
      <c r="K1253" s="7339">
        <v>66.0</v>
      </c>
      <c r="L1253" s="7339">
        <v>45.0</v>
      </c>
      <c r="M1253" s="7339">
        <v>65.0</v>
      </c>
      <c r="N1253" s="7381">
        <v>62.0</v>
      </c>
      <c r="O1253" s="7321"/>
      <c r="P1253" s="7324"/>
      <c r="Q1253" s="7324"/>
      <c r="R1253" s="7324"/>
    </row>
    <row r="1254" ht="18.75" customHeight="1">
      <c r="A1254" s="7316"/>
      <c r="B1254" s="7331" t="s">
        <v>617</v>
      </c>
      <c r="C1254" s="7332" t="s">
        <v>3908</v>
      </c>
      <c r="D1254" s="7333"/>
      <c r="E1254" s="7332" t="s">
        <v>1866</v>
      </c>
      <c r="F1254" s="7332" t="str">
        <f t="shared" si="72"/>
        <v/>
      </c>
      <c r="G1254" s="7341" t="s">
        <v>1932</v>
      </c>
      <c r="H1254" s="7332" t="str">
        <f t="shared" si="73"/>
        <v/>
      </c>
      <c r="I1254" s="7333">
        <v>115.0</v>
      </c>
      <c r="J1254" s="7333">
        <v>145.0</v>
      </c>
      <c r="K1254" s="7333">
        <v>92.0</v>
      </c>
      <c r="L1254" s="7333">
        <v>75.0</v>
      </c>
      <c r="M1254" s="7333">
        <v>86.0</v>
      </c>
      <c r="N1254" s="7382">
        <v>87.0</v>
      </c>
      <c r="O1254" s="7321"/>
      <c r="P1254" s="7324"/>
      <c r="Q1254" s="7324"/>
      <c r="R1254" s="7324"/>
    </row>
    <row r="1255" ht="18.75" customHeight="1">
      <c r="A1255" s="7316"/>
      <c r="B1255" s="7337" t="s">
        <v>3909</v>
      </c>
      <c r="C1255" s="7342" t="s">
        <v>3910</v>
      </c>
      <c r="D1255" s="7339"/>
      <c r="E1255" s="7338" t="s">
        <v>2097</v>
      </c>
      <c r="F1255" s="7338" t="str">
        <f t="shared" si="72"/>
        <v/>
      </c>
      <c r="G1255" s="7338"/>
      <c r="H1255" s="7338" t="str">
        <f t="shared" si="73"/>
        <v/>
      </c>
      <c r="I1255" s="7339">
        <v>45.0</v>
      </c>
      <c r="J1255" s="7339">
        <v>30.0</v>
      </c>
      <c r="K1255" s="7339">
        <v>25.0</v>
      </c>
      <c r="L1255" s="7339">
        <v>75.0</v>
      </c>
      <c r="M1255" s="7339">
        <v>45.0</v>
      </c>
      <c r="N1255" s="7381">
        <v>80.0</v>
      </c>
      <c r="O1255" s="7321"/>
      <c r="P1255" s="7324"/>
      <c r="Q1255" s="7324"/>
      <c r="R1255" s="7324"/>
    </row>
    <row r="1256" ht="18.75" customHeight="1">
      <c r="A1256" s="7316"/>
      <c r="B1256" s="7331" t="s">
        <v>910</v>
      </c>
      <c r="C1256" s="7332" t="s">
        <v>3911</v>
      </c>
      <c r="D1256" s="7333"/>
      <c r="E1256" s="7332" t="s">
        <v>1929</v>
      </c>
      <c r="F1256" s="7332" t="str">
        <f t="shared" si="72"/>
        <v/>
      </c>
      <c r="G1256" s="7332" t="s">
        <v>2097</v>
      </c>
      <c r="H1256" s="7332" t="str">
        <f t="shared" si="73"/>
        <v/>
      </c>
      <c r="I1256" s="7333">
        <v>87.0</v>
      </c>
      <c r="J1256" s="7333">
        <v>60.0</v>
      </c>
      <c r="K1256" s="7333">
        <v>95.0</v>
      </c>
      <c r="L1256" s="7333">
        <v>133.0</v>
      </c>
      <c r="M1256" s="7333">
        <v>91.0</v>
      </c>
      <c r="N1256" s="7382">
        <v>84.0</v>
      </c>
      <c r="O1256" s="7321"/>
      <c r="P1256" s="7324"/>
      <c r="Q1256" s="7324"/>
      <c r="R1256" s="7324"/>
    </row>
    <row r="1257" ht="18.75" customHeight="1">
      <c r="A1257" s="7316"/>
      <c r="B1257" s="7337" t="s">
        <v>3912</v>
      </c>
      <c r="C1257" s="7342" t="s">
        <v>3913</v>
      </c>
      <c r="D1257" s="7339"/>
      <c r="E1257" s="7338" t="s">
        <v>1911</v>
      </c>
      <c r="F1257" s="7338" t="str">
        <f t="shared" si="72"/>
        <v/>
      </c>
      <c r="G1257" s="7338" t="s">
        <v>1848</v>
      </c>
      <c r="H1257" s="7338" t="str">
        <f t="shared" si="73"/>
        <v/>
      </c>
      <c r="I1257" s="7339">
        <v>85.0</v>
      </c>
      <c r="J1257" s="7339">
        <v>85.0</v>
      </c>
      <c r="K1257" s="7339">
        <v>100.0</v>
      </c>
      <c r="L1257" s="7339">
        <v>95.0</v>
      </c>
      <c r="M1257" s="7339">
        <v>135.0</v>
      </c>
      <c r="N1257" s="7381">
        <v>70.0</v>
      </c>
      <c r="O1257" s="7321"/>
      <c r="P1257" s="7324"/>
      <c r="Q1257" s="7324"/>
      <c r="R1257" s="7324"/>
    </row>
    <row r="1258" ht="18.75" customHeight="1">
      <c r="A1258" s="7316"/>
      <c r="B1258" s="7331" t="s">
        <v>1456</v>
      </c>
      <c r="C1258" s="7341" t="s">
        <v>3914</v>
      </c>
      <c r="D1258" s="7333"/>
      <c r="E1258" s="7332" t="s">
        <v>1911</v>
      </c>
      <c r="F1258" s="7332" t="str">
        <f t="shared" si="72"/>
        <v/>
      </c>
      <c r="G1258" s="7332" t="s">
        <v>1932</v>
      </c>
      <c r="H1258" s="7332" t="str">
        <f t="shared" si="73"/>
        <v/>
      </c>
      <c r="I1258" s="7333">
        <v>80.0</v>
      </c>
      <c r="J1258" s="7333">
        <v>120.0</v>
      </c>
      <c r="K1258" s="7333">
        <v>80.0</v>
      </c>
      <c r="L1258" s="7333">
        <v>90.0</v>
      </c>
      <c r="M1258" s="7333">
        <v>65.0</v>
      </c>
      <c r="N1258" s="7382">
        <v>135.0</v>
      </c>
      <c r="O1258" s="7321"/>
      <c r="P1258" s="7324"/>
      <c r="Q1258" s="7324"/>
      <c r="R1258" s="7324"/>
    </row>
    <row r="1259" ht="18.75" customHeight="1">
      <c r="A1259" s="7316"/>
      <c r="B1259" s="7337" t="s">
        <v>3915</v>
      </c>
      <c r="C1259" s="7342" t="s">
        <v>3916</v>
      </c>
      <c r="D1259" s="7339"/>
      <c r="E1259" s="7338" t="s">
        <v>1911</v>
      </c>
      <c r="F1259" s="7338" t="str">
        <f t="shared" si="72"/>
        <v/>
      </c>
      <c r="G1259" s="7338" t="s">
        <v>1948</v>
      </c>
      <c r="H1259" s="7338" t="str">
        <f t="shared" si="73"/>
        <v/>
      </c>
      <c r="I1259" s="7339">
        <v>155.0</v>
      </c>
      <c r="J1259" s="7339">
        <v>110.0</v>
      </c>
      <c r="K1259" s="7339">
        <v>125.0</v>
      </c>
      <c r="L1259" s="7339">
        <v>55.0</v>
      </c>
      <c r="M1259" s="7339">
        <v>80.0</v>
      </c>
      <c r="N1259" s="7381">
        <v>45.0</v>
      </c>
      <c r="O1259" s="7321"/>
      <c r="P1259" s="7324"/>
      <c r="Q1259" s="7324"/>
      <c r="R1259" s="7324"/>
    </row>
    <row r="1260" ht="18.75" customHeight="1">
      <c r="A1260" s="7316"/>
      <c r="B1260" s="7331" t="s">
        <v>1449</v>
      </c>
      <c r="C1260" s="7341" t="s">
        <v>3917</v>
      </c>
      <c r="D1260" s="7333"/>
      <c r="E1260" s="7332" t="s">
        <v>1911</v>
      </c>
      <c r="F1260" s="7332" t="str">
        <f t="shared" si="72"/>
        <v/>
      </c>
      <c r="G1260" s="7332" t="s">
        <v>1858</v>
      </c>
      <c r="H1260" s="7332" t="str">
        <f t="shared" si="73"/>
        <v/>
      </c>
      <c r="I1260" s="7333">
        <v>55.0</v>
      </c>
      <c r="J1260" s="7333">
        <v>80.0</v>
      </c>
      <c r="K1260" s="7333">
        <v>80.0</v>
      </c>
      <c r="L1260" s="7333">
        <v>135.0</v>
      </c>
      <c r="M1260" s="7333">
        <v>120.0</v>
      </c>
      <c r="N1260" s="7382">
        <v>100.0</v>
      </c>
      <c r="O1260" s="7321"/>
      <c r="P1260" s="7324"/>
      <c r="Q1260" s="7324"/>
      <c r="R1260" s="7324"/>
    </row>
    <row r="1261" ht="18.75" customHeight="1">
      <c r="A1261" s="7316"/>
      <c r="B1261" s="7337" t="s">
        <v>384</v>
      </c>
      <c r="C1261" s="7342" t="s">
        <v>3918</v>
      </c>
      <c r="D1261" s="7339"/>
      <c r="E1261" s="7338" t="s">
        <v>1866</v>
      </c>
      <c r="F1261" s="7338" t="str">
        <f t="shared" si="72"/>
        <v/>
      </c>
      <c r="G1261" s="7338" t="s">
        <v>1911</v>
      </c>
      <c r="H1261" s="7338" t="str">
        <f t="shared" si="73"/>
        <v/>
      </c>
      <c r="I1261" s="7339">
        <v>105.0</v>
      </c>
      <c r="J1261" s="7339">
        <v>139.0</v>
      </c>
      <c r="K1261" s="7339">
        <v>71.0</v>
      </c>
      <c r="L1261" s="7339">
        <v>55.0</v>
      </c>
      <c r="M1261" s="7339">
        <v>101.0</v>
      </c>
      <c r="N1261" s="7381">
        <v>119.0</v>
      </c>
      <c r="O1261" s="7321"/>
      <c r="P1261" s="7324"/>
      <c r="Q1261" s="7324"/>
      <c r="R1261" s="7324"/>
    </row>
    <row r="1262" ht="18.75" customHeight="1">
      <c r="A1262" s="7316"/>
      <c r="B1262" s="7331" t="s">
        <v>326</v>
      </c>
      <c r="C1262" s="7341" t="s">
        <v>3919</v>
      </c>
      <c r="D1262" s="7333"/>
      <c r="E1262" s="7332" t="s">
        <v>1935</v>
      </c>
      <c r="F1262" s="7332" t="str">
        <f t="shared" si="72"/>
        <v/>
      </c>
      <c r="G1262" s="7332" t="s">
        <v>1939</v>
      </c>
      <c r="H1262" s="7332" t="str">
        <f t="shared" si="73"/>
        <v/>
      </c>
      <c r="I1262" s="7333">
        <v>74.0</v>
      </c>
      <c r="J1262" s="7333">
        <v>130.0</v>
      </c>
      <c r="K1262" s="7333">
        <v>90.0</v>
      </c>
      <c r="L1262" s="7333">
        <v>120.0</v>
      </c>
      <c r="M1262" s="7333">
        <v>60.0</v>
      </c>
      <c r="N1262" s="7382">
        <v>116.0</v>
      </c>
      <c r="O1262" s="7321"/>
      <c r="P1262" s="7324"/>
      <c r="Q1262" s="7324"/>
      <c r="R1262" s="7324"/>
    </row>
    <row r="1263" ht="18.75" customHeight="1">
      <c r="A1263" s="7316"/>
      <c r="B1263" s="7337" t="s">
        <v>1474</v>
      </c>
      <c r="C1263" s="7338" t="s">
        <v>3920</v>
      </c>
      <c r="D1263" s="7339"/>
      <c r="E1263" s="7338" t="s">
        <v>1939</v>
      </c>
      <c r="F1263" s="7338" t="str">
        <f t="shared" si="72"/>
        <v/>
      </c>
      <c r="G1263" s="7338" t="s">
        <v>1866</v>
      </c>
      <c r="H1263" s="7338" t="str">
        <f t="shared" si="73"/>
        <v/>
      </c>
      <c r="I1263" s="7339">
        <v>100.0</v>
      </c>
      <c r="J1263" s="7339">
        <v>135.0</v>
      </c>
      <c r="K1263" s="7339">
        <v>115.0</v>
      </c>
      <c r="L1263" s="7339">
        <v>85.0</v>
      </c>
      <c r="M1263" s="7339">
        <v>100.0</v>
      </c>
      <c r="N1263" s="7381">
        <v>135.0</v>
      </c>
      <c r="O1263" s="7321"/>
      <c r="P1263" s="7324"/>
      <c r="Q1263" s="7324"/>
      <c r="R1263" s="7324"/>
    </row>
    <row r="1264" ht="18.75" customHeight="1">
      <c r="A1264" s="7316"/>
      <c r="B1264" s="7331" t="s">
        <v>1491</v>
      </c>
      <c r="C1264" s="7332" t="s">
        <v>3921</v>
      </c>
      <c r="D1264" s="7333"/>
      <c r="E1264" s="7332" t="s">
        <v>1926</v>
      </c>
      <c r="F1264" s="7332" t="str">
        <f t="shared" si="72"/>
        <v/>
      </c>
      <c r="G1264" s="7332" t="s">
        <v>1866</v>
      </c>
      <c r="H1264" s="7332" t="str">
        <f t="shared" si="73"/>
        <v/>
      </c>
      <c r="I1264" s="7333">
        <v>100.0</v>
      </c>
      <c r="J1264" s="7333">
        <v>85.0</v>
      </c>
      <c r="K1264" s="7333">
        <v>100.0</v>
      </c>
      <c r="L1264" s="7333">
        <v>135.0</v>
      </c>
      <c r="M1264" s="7333">
        <v>115.0</v>
      </c>
      <c r="N1264" s="7382">
        <v>135.0</v>
      </c>
      <c r="O1264" s="7321"/>
      <c r="P1264" s="7324"/>
      <c r="Q1264" s="7324"/>
      <c r="R1264" s="7324"/>
    </row>
    <row r="1265" ht="18.75" customHeight="1">
      <c r="A1265" s="7316"/>
      <c r="B1265" s="7337" t="s">
        <v>1410</v>
      </c>
      <c r="C1265" s="7342" t="s">
        <v>3922</v>
      </c>
      <c r="D1265" s="7339"/>
      <c r="E1265" s="7338" t="s">
        <v>1871</v>
      </c>
      <c r="F1265" s="7338" t="str">
        <f t="shared" si="72"/>
        <v/>
      </c>
      <c r="G1265" s="7338" t="s">
        <v>1866</v>
      </c>
      <c r="H1265" s="7338" t="str">
        <f t="shared" si="73"/>
        <v/>
      </c>
      <c r="I1265" s="7339">
        <v>99.0</v>
      </c>
      <c r="J1265" s="7339">
        <v>83.0</v>
      </c>
      <c r="K1265" s="7339">
        <v>91.0</v>
      </c>
      <c r="L1265" s="7339">
        <v>125.0</v>
      </c>
      <c r="M1265" s="7339">
        <v>83.0</v>
      </c>
      <c r="N1265" s="7381">
        <v>109.0</v>
      </c>
      <c r="O1265" s="7321"/>
      <c r="P1265" s="7324"/>
      <c r="Q1265" s="7324"/>
      <c r="R1265" s="7324"/>
    </row>
    <row r="1266" ht="18.75" customHeight="1">
      <c r="A1266" s="7316"/>
      <c r="B1266" s="7331" t="s">
        <v>3923</v>
      </c>
      <c r="C1266" s="7341" t="s">
        <v>3924</v>
      </c>
      <c r="D1266" s="7333"/>
      <c r="E1266" s="7332" t="s">
        <v>1848</v>
      </c>
      <c r="F1266" s="7332" t="str">
        <f t="shared" si="72"/>
        <v/>
      </c>
      <c r="G1266" s="7332" t="s">
        <v>561</v>
      </c>
      <c r="H1266" s="7332" t="str">
        <f t="shared" si="73"/>
        <v/>
      </c>
      <c r="I1266" s="7333">
        <v>90.0</v>
      </c>
      <c r="J1266" s="7333">
        <v>130.0</v>
      </c>
      <c r="K1266" s="7333">
        <v>88.0</v>
      </c>
      <c r="L1266" s="7333">
        <v>70.0</v>
      </c>
      <c r="M1266" s="7333">
        <v>108.0</v>
      </c>
      <c r="N1266" s="7382">
        <v>104.0</v>
      </c>
      <c r="O1266" s="7321"/>
      <c r="P1266" s="7324"/>
      <c r="Q1266" s="7324"/>
      <c r="R1266" s="7324"/>
    </row>
    <row r="1267" ht="18.75" customHeight="1">
      <c r="A1267" s="7316"/>
      <c r="B1267" s="7337" t="s">
        <v>870</v>
      </c>
      <c r="C1267" s="7338" t="s">
        <v>3925</v>
      </c>
      <c r="D1267" s="7339"/>
      <c r="E1267" s="7338" t="s">
        <v>1848</v>
      </c>
      <c r="F1267" s="7338" t="str">
        <f t="shared" si="72"/>
        <v/>
      </c>
      <c r="G1267" s="7338" t="s">
        <v>1866</v>
      </c>
      <c r="H1267" s="7338" t="str">
        <f t="shared" si="73"/>
        <v/>
      </c>
      <c r="I1267" s="7342">
        <v>80.0</v>
      </c>
      <c r="J1267" s="7342">
        <v>80.0</v>
      </c>
      <c r="K1267" s="7342">
        <v>110.0</v>
      </c>
      <c r="L1267" s="7342">
        <v>95.0</v>
      </c>
      <c r="M1267" s="7342">
        <v>80.0</v>
      </c>
      <c r="N1267" s="7363">
        <v>40.0</v>
      </c>
      <c r="O1267" s="7321"/>
      <c r="P1267" s="7324"/>
      <c r="Q1267" s="7324"/>
      <c r="R1267" s="7324"/>
    </row>
    <row r="1268" ht="18.75" customHeight="1">
      <c r="A1268" s="7316"/>
      <c r="B1268" s="7331" t="s">
        <v>3926</v>
      </c>
      <c r="C1268" s="7332" t="s">
        <v>3927</v>
      </c>
      <c r="D1268" s="7333"/>
      <c r="E1268" s="7332" t="s">
        <v>1848</v>
      </c>
      <c r="F1268" s="7332" t="str">
        <f t="shared" ref="F1268:F1284" si="74">IFERROR(VLOOKUP(E1268,P$3:Q1286,2,False),"")</f>
        <v/>
      </c>
      <c r="G1268" s="7332" t="s">
        <v>2097</v>
      </c>
      <c r="H1268" s="7332" t="str">
        <f t="shared" ref="H1268:H1284" si="75">IFERROR(VLOOKUP(G1268,P$3:Q1286,2,False),"")</f>
        <v/>
      </c>
      <c r="I1268" s="7341">
        <v>40.0</v>
      </c>
      <c r="J1268" s="7341">
        <v>45.0</v>
      </c>
      <c r="K1268" s="7341">
        <v>45.0</v>
      </c>
      <c r="L1268" s="7341">
        <v>74.0</v>
      </c>
      <c r="M1268" s="7341">
        <v>54.0</v>
      </c>
      <c r="N1268" s="7360">
        <v>50.0</v>
      </c>
      <c r="O1268" s="7321"/>
      <c r="P1268" s="7324"/>
      <c r="Q1268" s="7324"/>
      <c r="R1268" s="7324"/>
    </row>
    <row r="1269" ht="18.75" customHeight="1">
      <c r="A1269" s="7316"/>
      <c r="B1269" s="7337" t="s">
        <v>481</v>
      </c>
      <c r="C1269" s="7338" t="s">
        <v>3928</v>
      </c>
      <c r="D1269" s="7339"/>
      <c r="E1269" s="7338" t="s">
        <v>1848</v>
      </c>
      <c r="F1269" s="7338" t="str">
        <f t="shared" si="74"/>
        <v/>
      </c>
      <c r="G1269" s="7338" t="s">
        <v>2097</v>
      </c>
      <c r="H1269" s="7338" t="str">
        <f t="shared" si="75"/>
        <v/>
      </c>
      <c r="I1269" s="7342">
        <v>71.0</v>
      </c>
      <c r="J1269" s="7342">
        <v>60.0</v>
      </c>
      <c r="K1269" s="7342">
        <v>106.0</v>
      </c>
      <c r="L1269" s="7342">
        <v>121.0</v>
      </c>
      <c r="M1269" s="7342">
        <v>80.0</v>
      </c>
      <c r="N1269" s="7363">
        <v>70.0</v>
      </c>
      <c r="O1269" s="7321"/>
      <c r="P1269" s="7324"/>
      <c r="Q1269" s="7324"/>
      <c r="R1269" s="7324"/>
    </row>
    <row r="1270" ht="18.75" customHeight="1">
      <c r="A1270" s="7316"/>
      <c r="B1270" s="7331" t="s">
        <v>1401</v>
      </c>
      <c r="C1270" s="7332" t="s">
        <v>3929</v>
      </c>
      <c r="D1270" s="7333"/>
      <c r="E1270" s="7332" t="s">
        <v>1849</v>
      </c>
      <c r="F1270" s="7332" t="str">
        <f t="shared" si="74"/>
        <v/>
      </c>
      <c r="G1270" s="7332" t="s">
        <v>1939</v>
      </c>
      <c r="H1270" s="7332" t="str">
        <f t="shared" si="75"/>
        <v/>
      </c>
      <c r="I1270" s="7341">
        <v>88.0</v>
      </c>
      <c r="J1270" s="7341">
        <v>128.0</v>
      </c>
      <c r="K1270" s="7341">
        <v>115.0</v>
      </c>
      <c r="L1270" s="7341">
        <v>58.0</v>
      </c>
      <c r="M1270" s="7341">
        <v>86.0</v>
      </c>
      <c r="N1270" s="7360">
        <v>80.0</v>
      </c>
      <c r="O1270" s="7321"/>
      <c r="P1270" s="7324"/>
      <c r="Q1270" s="7324"/>
      <c r="R1270" s="7324"/>
    </row>
    <row r="1271" ht="18.75" customHeight="1">
      <c r="A1271" s="7316"/>
      <c r="B1271" s="7337" t="s">
        <v>1402</v>
      </c>
      <c r="C1271" s="7338" t="s">
        <v>3930</v>
      </c>
      <c r="D1271" s="7339"/>
      <c r="E1271" s="7338" t="s">
        <v>1849</v>
      </c>
      <c r="F1271" s="7338" t="str">
        <f t="shared" si="74"/>
        <v/>
      </c>
      <c r="G1271" s="7338" t="s">
        <v>561</v>
      </c>
      <c r="H1271" s="7338" t="str">
        <f t="shared" si="75"/>
        <v/>
      </c>
      <c r="I1271" s="7342">
        <v>88.0</v>
      </c>
      <c r="J1271" s="7342">
        <v>75.0</v>
      </c>
      <c r="K1271" s="7342">
        <v>66.0</v>
      </c>
      <c r="L1271" s="7342">
        <v>130.0</v>
      </c>
      <c r="M1271" s="7342">
        <v>90.0</v>
      </c>
      <c r="N1271" s="7363">
        <v>106.0</v>
      </c>
      <c r="O1271" s="7321"/>
      <c r="P1271" s="7324"/>
      <c r="Q1271" s="7324"/>
      <c r="R1271" s="7324"/>
    </row>
    <row r="1272" ht="18.75" customHeight="1">
      <c r="A1272" s="7316"/>
      <c r="B1272" s="7331" t="s">
        <v>1393</v>
      </c>
      <c r="C1272" s="7332" t="s">
        <v>3931</v>
      </c>
      <c r="D1272" s="7333"/>
      <c r="E1272" s="7332" t="s">
        <v>1849</v>
      </c>
      <c r="F1272" s="7332" t="str">
        <f t="shared" si="74"/>
        <v/>
      </c>
      <c r="G1272" s="7332" t="s">
        <v>1935</v>
      </c>
      <c r="H1272" s="7332" t="str">
        <f t="shared" si="75"/>
        <v/>
      </c>
      <c r="I1272" s="7341">
        <v>88.0</v>
      </c>
      <c r="J1272" s="7341">
        <v>71.0</v>
      </c>
      <c r="K1272" s="7341">
        <v>82.0</v>
      </c>
      <c r="L1272" s="7341">
        <v>91.0</v>
      </c>
      <c r="M1272" s="7341">
        <v>125.0</v>
      </c>
      <c r="N1272" s="7360">
        <v>99.0</v>
      </c>
      <c r="O1272" s="7321"/>
      <c r="P1272" s="7324"/>
      <c r="Q1272" s="7324"/>
      <c r="R1272" s="7324"/>
    </row>
    <row r="1273" ht="18.75" customHeight="1">
      <c r="A1273" s="7316"/>
      <c r="B1273" s="7337" t="s">
        <v>3932</v>
      </c>
      <c r="C1273" s="7338" t="s">
        <v>3933</v>
      </c>
      <c r="D1273" s="7339"/>
      <c r="E1273" s="7338" t="s">
        <v>1848</v>
      </c>
      <c r="F1273" s="7338" t="str">
        <f t="shared" si="74"/>
        <v/>
      </c>
      <c r="G1273" s="7338"/>
      <c r="H1273" s="7338" t="str">
        <f t="shared" si="75"/>
        <v/>
      </c>
      <c r="I1273" s="7342">
        <v>80.0</v>
      </c>
      <c r="J1273" s="7342">
        <v>120.0</v>
      </c>
      <c r="K1273" s="7342">
        <v>84.0</v>
      </c>
      <c r="L1273" s="7342">
        <v>60.0</v>
      </c>
      <c r="M1273" s="7342">
        <v>96.0</v>
      </c>
      <c r="N1273" s="7363">
        <v>110.0</v>
      </c>
      <c r="O1273" s="7321"/>
      <c r="P1273" s="7324"/>
      <c r="Q1273" s="7324"/>
      <c r="R1273" s="7324"/>
    </row>
    <row r="1274" ht="18.75" customHeight="1">
      <c r="A1274" s="7316"/>
      <c r="B1274" s="7331" t="s">
        <v>1409</v>
      </c>
      <c r="C1274" s="7341" t="s">
        <v>3934</v>
      </c>
      <c r="D1274" s="7333"/>
      <c r="E1274" s="7332" t="s">
        <v>1848</v>
      </c>
      <c r="F1274" s="7332" t="str">
        <f t="shared" si="74"/>
        <v/>
      </c>
      <c r="G1274" s="7332" t="s">
        <v>1871</v>
      </c>
      <c r="H1274" s="7332" t="str">
        <f t="shared" si="75"/>
        <v/>
      </c>
      <c r="I1274" s="7341">
        <v>80.0</v>
      </c>
      <c r="J1274" s="7341">
        <v>120.0</v>
      </c>
      <c r="K1274" s="7341">
        <v>84.0</v>
      </c>
      <c r="L1274" s="7341">
        <v>60.0</v>
      </c>
      <c r="M1274" s="7341">
        <v>96.0</v>
      </c>
      <c r="N1274" s="7360">
        <v>110.0</v>
      </c>
      <c r="O1274" s="7321"/>
      <c r="P1274" s="7324"/>
      <c r="Q1274" s="7324"/>
      <c r="R1274" s="7324"/>
    </row>
    <row r="1275" ht="18.75" customHeight="1">
      <c r="A1275" s="7316"/>
      <c r="B1275" s="7337" t="s">
        <v>356</v>
      </c>
      <c r="C1275" s="7342" t="s">
        <v>3935</v>
      </c>
      <c r="D1275" s="7339"/>
      <c r="E1275" s="7338" t="s">
        <v>1848</v>
      </c>
      <c r="F1275" s="7338" t="str">
        <f t="shared" si="74"/>
        <v/>
      </c>
      <c r="G1275" s="7338" t="s">
        <v>1858</v>
      </c>
      <c r="H1275" s="7338" t="str">
        <f t="shared" si="75"/>
        <v/>
      </c>
      <c r="I1275" s="7342">
        <v>80.0</v>
      </c>
      <c r="J1275" s="7342">
        <v>120.0</v>
      </c>
      <c r="K1275" s="7342">
        <v>84.0</v>
      </c>
      <c r="L1275" s="7342">
        <v>60.0</v>
      </c>
      <c r="M1275" s="7342">
        <v>96.0</v>
      </c>
      <c r="N1275" s="7363">
        <v>110.0</v>
      </c>
      <c r="O1275" s="7321"/>
      <c r="P1275" s="7324"/>
      <c r="Q1275" s="7324"/>
      <c r="R1275" s="7324"/>
    </row>
    <row r="1276" ht="18.75" customHeight="1">
      <c r="A1276" s="7316"/>
      <c r="B1276" s="7331" t="s">
        <v>479</v>
      </c>
      <c r="C1276" s="7341" t="s">
        <v>3936</v>
      </c>
      <c r="D1276" s="7333"/>
      <c r="E1276" s="7332" t="s">
        <v>1848</v>
      </c>
      <c r="F1276" s="7332" t="str">
        <f t="shared" si="74"/>
        <v/>
      </c>
      <c r="G1276" s="7332" t="s">
        <v>2014</v>
      </c>
      <c r="H1276" s="7332" t="str">
        <f t="shared" si="75"/>
        <v/>
      </c>
      <c r="I1276" s="7341">
        <v>80.0</v>
      </c>
      <c r="J1276" s="7341">
        <v>120.0</v>
      </c>
      <c r="K1276" s="7341">
        <v>84.0</v>
      </c>
      <c r="L1276" s="7341">
        <v>60.0</v>
      </c>
      <c r="M1276" s="7341">
        <v>96.0</v>
      </c>
      <c r="N1276" s="7360">
        <v>110.0</v>
      </c>
      <c r="O1276" s="7321"/>
      <c r="P1276" s="7324"/>
      <c r="Q1276" s="7324"/>
      <c r="R1276" s="7324"/>
    </row>
    <row r="1277" ht="18.75" customHeight="1">
      <c r="A1277" s="7316"/>
      <c r="B1277" s="7337" t="s">
        <v>443</v>
      </c>
      <c r="C1277" s="7338" t="s">
        <v>3937</v>
      </c>
      <c r="D1277" s="7339"/>
      <c r="E1277" s="7338" t="s">
        <v>1929</v>
      </c>
      <c r="F1277" s="7338" t="str">
        <f t="shared" si="74"/>
        <v/>
      </c>
      <c r="G1277" s="7338" t="s">
        <v>1866</v>
      </c>
      <c r="H1277" s="7338" t="str">
        <f t="shared" si="75"/>
        <v/>
      </c>
      <c r="I1277" s="7342">
        <v>90.0</v>
      </c>
      <c r="J1277" s="7342">
        <v>105.0</v>
      </c>
      <c r="K1277" s="7342">
        <v>130.0</v>
      </c>
      <c r="L1277" s="7342">
        <v>125.0</v>
      </c>
      <c r="M1277" s="7342">
        <v>65.0</v>
      </c>
      <c r="N1277" s="7363">
        <v>85.0</v>
      </c>
      <c r="O1277" s="7321"/>
      <c r="P1277" s="7324"/>
      <c r="Q1277" s="7324"/>
      <c r="R1277" s="7324"/>
    </row>
    <row r="1278" ht="18.75" customHeight="1">
      <c r="A1278" s="7316"/>
      <c r="B1278" s="7331" t="s">
        <v>1392</v>
      </c>
      <c r="C1278" s="7332" t="s">
        <v>3938</v>
      </c>
      <c r="D1278" s="7333"/>
      <c r="E1278" s="7332" t="s">
        <v>1848</v>
      </c>
      <c r="F1278" s="7332" t="str">
        <f t="shared" si="74"/>
        <v/>
      </c>
      <c r="G1278" s="7332" t="s">
        <v>1866</v>
      </c>
      <c r="H1278" s="7332" t="str">
        <f t="shared" si="75"/>
        <v/>
      </c>
      <c r="I1278" s="7341">
        <v>106.0</v>
      </c>
      <c r="J1278" s="7341">
        <v>80.0</v>
      </c>
      <c r="K1278" s="7341">
        <v>110.0</v>
      </c>
      <c r="L1278" s="7341">
        <v>120.0</v>
      </c>
      <c r="M1278" s="7341">
        <v>80.0</v>
      </c>
      <c r="N1278" s="7360">
        <v>44.0</v>
      </c>
      <c r="O1278" s="7321"/>
      <c r="P1278" s="7324"/>
      <c r="Q1278" s="7324"/>
      <c r="R1278" s="7324"/>
    </row>
    <row r="1279" ht="18.75" customHeight="1">
      <c r="A1279" s="7316"/>
      <c r="B1279" s="7337" t="s">
        <v>387</v>
      </c>
      <c r="C1279" s="7342" t="s">
        <v>3939</v>
      </c>
      <c r="D1279" s="7339"/>
      <c r="E1279" s="7338" t="s">
        <v>1858</v>
      </c>
      <c r="F1279" s="7338" t="str">
        <f t="shared" si="74"/>
        <v/>
      </c>
      <c r="G1279" s="7338" t="s">
        <v>1866</v>
      </c>
      <c r="H1279" s="7338" t="str">
        <f t="shared" si="75"/>
        <v/>
      </c>
      <c r="I1279" s="7342">
        <v>105.0</v>
      </c>
      <c r="J1279" s="7342">
        <v>115.0</v>
      </c>
      <c r="K1279" s="7342">
        <v>121.0</v>
      </c>
      <c r="L1279" s="7342">
        <v>65.0</v>
      </c>
      <c r="M1279" s="7342">
        <v>93.0</v>
      </c>
      <c r="N1279" s="7363">
        <v>91.0</v>
      </c>
      <c r="O1279" s="7321"/>
      <c r="P1279" s="7324"/>
      <c r="Q1279" s="7324"/>
      <c r="R1279" s="7324"/>
    </row>
    <row r="1280" ht="18.75" customHeight="1">
      <c r="A1280" s="7316"/>
      <c r="B1280" s="7331" t="s">
        <v>3940</v>
      </c>
      <c r="C1280" s="7341" t="s">
        <v>3941</v>
      </c>
      <c r="D1280" s="7333"/>
      <c r="E1280" s="7332" t="s">
        <v>1926</v>
      </c>
      <c r="F1280" s="7332" t="str">
        <f t="shared" si="74"/>
        <v/>
      </c>
      <c r="G1280" s="7332" t="s">
        <v>1866</v>
      </c>
      <c r="H1280" s="7332" t="str">
        <f t="shared" si="75"/>
        <v/>
      </c>
      <c r="I1280" s="7341">
        <v>125.0</v>
      </c>
      <c r="J1280" s="7341">
        <v>73.0</v>
      </c>
      <c r="K1280" s="7341">
        <v>91.0</v>
      </c>
      <c r="L1280" s="7341">
        <v>137.0</v>
      </c>
      <c r="M1280" s="7341">
        <v>89.0</v>
      </c>
      <c r="N1280" s="7360">
        <v>75.0</v>
      </c>
      <c r="O1280" s="7321"/>
      <c r="P1280" s="7324"/>
      <c r="Q1280" s="7324"/>
      <c r="R1280" s="7383"/>
    </row>
    <row r="1281" ht="18.75" customHeight="1">
      <c r="A1281" s="7316"/>
      <c r="B1281" s="7337" t="s">
        <v>3942</v>
      </c>
      <c r="C1281" s="7342" t="s">
        <v>3943</v>
      </c>
      <c r="D1281" s="7339"/>
      <c r="E1281" s="7338" t="s">
        <v>2014</v>
      </c>
      <c r="F1281" s="7338" t="str">
        <f t="shared" si="74"/>
        <v/>
      </c>
      <c r="G1281" s="7338" t="s">
        <v>561</v>
      </c>
      <c r="H1281" s="7338" t="str">
        <f t="shared" si="75"/>
        <v/>
      </c>
      <c r="I1281" s="7342">
        <v>90.0</v>
      </c>
      <c r="J1281" s="7342">
        <v>120.0</v>
      </c>
      <c r="K1281" s="7342">
        <v>80.0</v>
      </c>
      <c r="L1281" s="7342">
        <v>68.0</v>
      </c>
      <c r="M1281" s="7342">
        <v>108.0</v>
      </c>
      <c r="N1281" s="7363">
        <v>124.0</v>
      </c>
      <c r="O1281" s="7321"/>
      <c r="P1281" s="7324"/>
      <c r="Q1281" s="7324"/>
      <c r="R1281" s="7324"/>
    </row>
    <row r="1282" ht="18.75" customHeight="1">
      <c r="A1282" s="7316"/>
      <c r="B1282" s="7331" t="s">
        <v>3944</v>
      </c>
      <c r="C1282" s="7341" t="s">
        <v>3945</v>
      </c>
      <c r="D1282" s="7333"/>
      <c r="E1282" s="7332" t="s">
        <v>1929</v>
      </c>
      <c r="F1282" s="7332" t="str">
        <f t="shared" si="74"/>
        <v/>
      </c>
      <c r="G1282" s="7332" t="s">
        <v>561</v>
      </c>
      <c r="H1282" s="7332" t="str">
        <f t="shared" si="75"/>
        <v/>
      </c>
      <c r="I1282" s="7341">
        <v>90.0</v>
      </c>
      <c r="J1282" s="7341">
        <v>72.0</v>
      </c>
      <c r="K1282" s="7341">
        <v>100.0</v>
      </c>
      <c r="L1282" s="7341">
        <v>122.0</v>
      </c>
      <c r="M1282" s="7341">
        <v>108.0</v>
      </c>
      <c r="N1282" s="7360">
        <v>98.0</v>
      </c>
      <c r="O1282" s="7321"/>
      <c r="P1282" s="7324"/>
      <c r="Q1282" s="7324"/>
      <c r="R1282" s="7324"/>
    </row>
    <row r="1283" ht="18.75" customHeight="1">
      <c r="A1283" s="7316"/>
      <c r="B1283" s="7337" t="s">
        <v>3946</v>
      </c>
      <c r="C1283" s="7338" t="s">
        <v>3947</v>
      </c>
      <c r="D1283" s="7339"/>
      <c r="E1283" s="7338" t="s">
        <v>1901</v>
      </c>
      <c r="F1283" s="7338" t="str">
        <f t="shared" si="74"/>
        <v/>
      </c>
      <c r="G1283" s="7338"/>
      <c r="H1283" s="7338" t="str">
        <f t="shared" si="75"/>
        <v/>
      </c>
      <c r="I1283" s="7342">
        <v>110.0</v>
      </c>
      <c r="J1283" s="7342">
        <v>95.0</v>
      </c>
      <c r="K1283" s="7342">
        <v>110.0</v>
      </c>
      <c r="L1283" s="7342">
        <v>105.0</v>
      </c>
      <c r="M1283" s="7342">
        <v>110.0</v>
      </c>
      <c r="N1283" s="7363">
        <v>85.0</v>
      </c>
      <c r="O1283" s="7321"/>
      <c r="P1283" s="7324"/>
      <c r="Q1283" s="7324"/>
      <c r="R1283" s="7324"/>
    </row>
    <row r="1284" ht="18.75" customHeight="1">
      <c r="A1284" s="7316"/>
      <c r="B1284" s="7349" t="s">
        <v>3948</v>
      </c>
      <c r="C1284" s="7350" t="s">
        <v>3949</v>
      </c>
      <c r="D1284" s="7351"/>
      <c r="E1284" s="7350" t="s">
        <v>1849</v>
      </c>
      <c r="F1284" s="7350" t="str">
        <f t="shared" si="74"/>
        <v/>
      </c>
      <c r="G1284" s="7350" t="s">
        <v>2097</v>
      </c>
      <c r="H1284" s="7350" t="str">
        <f t="shared" si="75"/>
        <v/>
      </c>
      <c r="I1284" s="7362">
        <v>88.0</v>
      </c>
      <c r="J1284" s="7362">
        <v>88.0</v>
      </c>
      <c r="K1284" s="7362">
        <v>160.0</v>
      </c>
      <c r="L1284" s="7362">
        <v>88.0</v>
      </c>
      <c r="M1284" s="7362">
        <v>88.0</v>
      </c>
      <c r="N1284" s="7384">
        <v>88.0</v>
      </c>
      <c r="O1284" s="7321"/>
      <c r="P1284" s="7324"/>
      <c r="Q1284" s="7324"/>
      <c r="R1284" s="7324"/>
    </row>
    <row r="1285">
      <c r="A1285" s="7316"/>
      <c r="B1285" s="7315"/>
      <c r="C1285" s="7315"/>
      <c r="D1285" s="7315"/>
      <c r="E1285" s="7315"/>
      <c r="F1285" s="7315"/>
      <c r="G1285" s="7315"/>
      <c r="H1285" s="7315"/>
      <c r="I1285" s="7315"/>
      <c r="J1285" s="7315"/>
      <c r="K1285" s="7315"/>
      <c r="L1285" s="7315"/>
      <c r="M1285" s="7315"/>
      <c r="N1285" s="7315"/>
      <c r="O1285" s="7316"/>
      <c r="P1285" s="7316"/>
      <c r="Q1285" s="7315"/>
      <c r="R1285" s="7315"/>
    </row>
    <row r="1286">
      <c r="A1286" s="7316"/>
      <c r="B1286" s="7369" t="s">
        <v>3950</v>
      </c>
      <c r="C1286" s="7374"/>
      <c r="D1286" s="7374"/>
      <c r="E1286" s="7374"/>
      <c r="F1286" s="7374"/>
      <c r="G1286" s="7374"/>
      <c r="H1286" s="7375"/>
      <c r="I1286" s="7372" t="s">
        <v>192</v>
      </c>
      <c r="J1286" s="7372" t="s">
        <v>193</v>
      </c>
      <c r="K1286" s="7372" t="s">
        <v>194</v>
      </c>
      <c r="L1286" s="7372" t="s">
        <v>195</v>
      </c>
      <c r="M1286" s="7372" t="s">
        <v>196</v>
      </c>
      <c r="N1286" s="7373" t="s">
        <v>197</v>
      </c>
      <c r="O1286" s="7321"/>
      <c r="P1286" s="7324"/>
      <c r="Q1286" s="7324"/>
      <c r="R1286" s="7324"/>
    </row>
    <row r="1287" ht="18.75" customHeight="1">
      <c r="A1287" s="7316"/>
      <c r="B1287" s="7355" t="s">
        <v>3951</v>
      </c>
      <c r="C1287" s="7385" t="s">
        <v>3952</v>
      </c>
      <c r="D1287" s="7357"/>
      <c r="E1287" s="7358" t="s">
        <v>1858</v>
      </c>
      <c r="F1287" s="7358" t="str">
        <f t="shared" ref="F1287:F1310" si="76">IFERROR(VLOOKUP(E1287,P$3:Q1304,2,False),"")</f>
        <v/>
      </c>
      <c r="G1287" s="7358" t="s">
        <v>1948</v>
      </c>
      <c r="H1287" s="7358" t="str">
        <f t="shared" ref="H1287:H1310" si="77">IFERROR(VLOOKUP(G1287,P$3:Q1304,2,False),"")</f>
        <v/>
      </c>
      <c r="I1287" s="7386">
        <v>40.0</v>
      </c>
      <c r="J1287" s="7386">
        <v>80.0</v>
      </c>
      <c r="K1287" s="7386">
        <v>45.0</v>
      </c>
      <c r="L1287" s="7386">
        <v>35.0</v>
      </c>
      <c r="M1287" s="7386">
        <v>35.0</v>
      </c>
      <c r="N1287" s="7387">
        <v>75.0</v>
      </c>
      <c r="O1287" s="7321"/>
      <c r="P1287" s="7324"/>
      <c r="Q1287" s="7324"/>
      <c r="R1287" s="7324"/>
    </row>
    <row r="1288" ht="18.75" customHeight="1">
      <c r="A1288" s="7316"/>
      <c r="B1288" s="7331" t="s">
        <v>1592</v>
      </c>
      <c r="C1288" s="7341" t="s">
        <v>3953</v>
      </c>
      <c r="D1288" s="7333"/>
      <c r="E1288" s="7332" t="s">
        <v>1858</v>
      </c>
      <c r="F1288" s="7332" t="str">
        <f t="shared" si="76"/>
        <v/>
      </c>
      <c r="G1288" s="7332" t="s">
        <v>1948</v>
      </c>
      <c r="H1288" s="7332" t="str">
        <f t="shared" si="77"/>
        <v/>
      </c>
      <c r="I1288" s="7333">
        <v>70.0</v>
      </c>
      <c r="J1288" s="7341">
        <v>125.0</v>
      </c>
      <c r="K1288" s="7333">
        <v>65.0</v>
      </c>
      <c r="L1288" s="7333">
        <v>50.0</v>
      </c>
      <c r="M1288" s="7333">
        <v>60.0</v>
      </c>
      <c r="N1288" s="7382">
        <v>110.0</v>
      </c>
      <c r="O1288" s="7321"/>
      <c r="P1288" s="7324"/>
      <c r="Q1288" s="7324"/>
      <c r="R1288" s="7324"/>
    </row>
    <row r="1289" ht="18.75" customHeight="1">
      <c r="A1289" s="7316"/>
      <c r="B1289" s="7337" t="s">
        <v>3954</v>
      </c>
      <c r="C1289" s="7342" t="s">
        <v>3955</v>
      </c>
      <c r="D1289" s="7339"/>
      <c r="E1289" s="7338" t="s">
        <v>2097</v>
      </c>
      <c r="F1289" s="7338" t="str">
        <f t="shared" si="76"/>
        <v/>
      </c>
      <c r="G1289" s="7338"/>
      <c r="H1289" s="7338" t="str">
        <f t="shared" si="77"/>
        <v/>
      </c>
      <c r="I1289" s="7339">
        <v>55.0</v>
      </c>
      <c r="J1289" s="7339">
        <v>80.0</v>
      </c>
      <c r="K1289" s="7339">
        <v>50.0</v>
      </c>
      <c r="L1289" s="7339">
        <v>45.0</v>
      </c>
      <c r="M1289" s="7339">
        <v>50.0</v>
      </c>
      <c r="N1289" s="7381">
        <v>50.0</v>
      </c>
      <c r="O1289" s="7321"/>
      <c r="P1289" s="7324"/>
      <c r="Q1289" s="7324"/>
      <c r="R1289" s="7324"/>
    </row>
    <row r="1290" ht="18.75" customHeight="1">
      <c r="A1290" s="7316"/>
      <c r="B1290" s="7331" t="s">
        <v>1651</v>
      </c>
      <c r="C1290" s="7341" t="s">
        <v>3956</v>
      </c>
      <c r="D1290" s="7333"/>
      <c r="E1290" s="7332" t="s">
        <v>2097</v>
      </c>
      <c r="F1290" s="7332" t="str">
        <f t="shared" si="76"/>
        <v/>
      </c>
      <c r="G1290" s="7332" t="s">
        <v>1939</v>
      </c>
      <c r="H1290" s="7332" t="str">
        <f t="shared" si="77"/>
        <v/>
      </c>
      <c r="I1290" s="7333">
        <v>100.0</v>
      </c>
      <c r="J1290" s="7333">
        <v>110.0</v>
      </c>
      <c r="K1290" s="7333">
        <v>90.0</v>
      </c>
      <c r="L1290" s="7333">
        <v>55.0</v>
      </c>
      <c r="M1290" s="7333">
        <v>90.0</v>
      </c>
      <c r="N1290" s="7382">
        <v>55.0</v>
      </c>
      <c r="O1290" s="7321"/>
      <c r="P1290" s="7324"/>
      <c r="Q1290" s="7324"/>
      <c r="R1290" s="7324"/>
    </row>
    <row r="1291" ht="18.75" customHeight="1">
      <c r="A1291" s="7316"/>
      <c r="B1291" s="7337" t="s">
        <v>3957</v>
      </c>
      <c r="C1291" s="7342" t="s">
        <v>3958</v>
      </c>
      <c r="D1291" s="7339"/>
      <c r="E1291" s="7338" t="s">
        <v>1926</v>
      </c>
      <c r="F1291" s="7338" t="str">
        <f t="shared" si="76"/>
        <v/>
      </c>
      <c r="G1291" s="7338" t="s">
        <v>1849</v>
      </c>
      <c r="H1291" s="7338" t="str">
        <f t="shared" si="77"/>
        <v/>
      </c>
      <c r="I1291" s="7339">
        <v>45.0</v>
      </c>
      <c r="J1291" s="7339">
        <v>20.0</v>
      </c>
      <c r="K1291" s="7339">
        <v>55.0</v>
      </c>
      <c r="L1291" s="7339">
        <v>70.0</v>
      </c>
      <c r="M1291" s="7339">
        <v>85.0</v>
      </c>
      <c r="N1291" s="7381">
        <v>70.0</v>
      </c>
      <c r="O1291" s="7321"/>
      <c r="P1291" s="7324"/>
      <c r="Q1291" s="7324"/>
      <c r="R1291" s="7324"/>
    </row>
    <row r="1292" ht="18.75" customHeight="1">
      <c r="A1292" s="7316"/>
      <c r="B1292" s="7331" t="s">
        <v>1662</v>
      </c>
      <c r="C1292" s="7341" t="s">
        <v>3959</v>
      </c>
      <c r="D1292" s="7333"/>
      <c r="E1292" s="7332" t="s">
        <v>1926</v>
      </c>
      <c r="F1292" s="7332" t="str">
        <f t="shared" si="76"/>
        <v/>
      </c>
      <c r="G1292" s="7332" t="s">
        <v>1849</v>
      </c>
      <c r="H1292" s="7332" t="str">
        <f t="shared" si="77"/>
        <v/>
      </c>
      <c r="I1292" s="7333">
        <v>80.0</v>
      </c>
      <c r="J1292" s="7333">
        <v>30.0</v>
      </c>
      <c r="K1292" s="7333">
        <v>70.0</v>
      </c>
      <c r="L1292" s="7333">
        <v>100.0</v>
      </c>
      <c r="M1292" s="7333">
        <v>120.0</v>
      </c>
      <c r="N1292" s="7382">
        <v>95.0</v>
      </c>
      <c r="O1292" s="7321"/>
      <c r="P1292" s="7324"/>
      <c r="Q1292" s="7324"/>
      <c r="R1292" s="7324"/>
    </row>
    <row r="1293" ht="18.75" customHeight="1">
      <c r="A1293" s="7316"/>
      <c r="B1293" s="7337" t="s">
        <v>3960</v>
      </c>
      <c r="C1293" s="7342" t="s">
        <v>3961</v>
      </c>
      <c r="D1293" s="7339"/>
      <c r="E1293" s="7338" t="s">
        <v>1871</v>
      </c>
      <c r="F1293" s="7338" t="str">
        <f t="shared" si="76"/>
        <v/>
      </c>
      <c r="G1293" s="7338" t="s">
        <v>1948</v>
      </c>
      <c r="H1293" s="7338" t="str">
        <f t="shared" si="77"/>
        <v/>
      </c>
      <c r="I1293" s="7339">
        <v>20.0</v>
      </c>
      <c r="J1293" s="7339">
        <v>15.0</v>
      </c>
      <c r="K1293" s="7339">
        <v>20.0</v>
      </c>
      <c r="L1293" s="7339">
        <v>10.0</v>
      </c>
      <c r="M1293" s="7339">
        <v>55.0</v>
      </c>
      <c r="N1293" s="7381">
        <v>80.0</v>
      </c>
      <c r="O1293" s="7321"/>
      <c r="P1293" s="7324"/>
      <c r="Q1293" s="7324"/>
      <c r="R1293" s="7324"/>
    </row>
    <row r="1294" ht="18.75" customHeight="1">
      <c r="A1294" s="7316"/>
      <c r="B1294" s="7331" t="s">
        <v>1621</v>
      </c>
      <c r="C1294" s="7341" t="s">
        <v>3962</v>
      </c>
      <c r="D1294" s="7333"/>
      <c r="E1294" s="7332" t="s">
        <v>1935</v>
      </c>
      <c r="F1294" s="7332" t="str">
        <f t="shared" si="76"/>
        <v/>
      </c>
      <c r="G1294" s="7332" t="s">
        <v>1948</v>
      </c>
      <c r="H1294" s="7332" t="str">
        <f t="shared" si="77"/>
        <v/>
      </c>
      <c r="I1294" s="7333">
        <v>95.0</v>
      </c>
      <c r="J1294" s="7333">
        <v>60.0</v>
      </c>
      <c r="K1294" s="7333">
        <v>84.0</v>
      </c>
      <c r="L1294" s="7333">
        <v>105.0</v>
      </c>
      <c r="M1294" s="7333">
        <v>125.0</v>
      </c>
      <c r="N1294" s="7382">
        <v>81.0</v>
      </c>
      <c r="O1294" s="7321"/>
      <c r="P1294" s="7324"/>
      <c r="Q1294" s="7324"/>
      <c r="R1294" s="7324"/>
    </row>
    <row r="1295" ht="18.75" customHeight="1">
      <c r="A1295" s="7316"/>
      <c r="B1295" s="7337" t="s">
        <v>3963</v>
      </c>
      <c r="C1295" s="7342" t="s">
        <v>3964</v>
      </c>
      <c r="D1295" s="7339"/>
      <c r="E1295" s="7338" t="s">
        <v>1849</v>
      </c>
      <c r="F1295" s="7338" t="str">
        <f t="shared" si="76"/>
        <v/>
      </c>
      <c r="G1295" s="7338" t="s">
        <v>1929</v>
      </c>
      <c r="H1295" s="7338" t="str">
        <f t="shared" si="77"/>
        <v/>
      </c>
      <c r="I1295" s="7339">
        <v>94.0</v>
      </c>
      <c r="J1295" s="7339">
        <v>100.0</v>
      </c>
      <c r="K1295" s="7339">
        <v>92.0</v>
      </c>
      <c r="L1295" s="7339">
        <v>55.0</v>
      </c>
      <c r="M1295" s="7339">
        <v>77.0</v>
      </c>
      <c r="N1295" s="7381">
        <v>36.0</v>
      </c>
      <c r="O1295" s="7321"/>
      <c r="P1295" s="7324"/>
      <c r="Q1295" s="7324"/>
      <c r="R1295" s="7324"/>
    </row>
    <row r="1296" ht="18.75" customHeight="1">
      <c r="A1296" s="7316"/>
      <c r="B1296" s="7331" t="s">
        <v>3965</v>
      </c>
      <c r="C1296" s="7341" t="s">
        <v>3966</v>
      </c>
      <c r="D1296" s="7333"/>
      <c r="E1296" s="7332" t="s">
        <v>1932</v>
      </c>
      <c r="F1296" s="7332" t="str">
        <f t="shared" si="76"/>
        <v/>
      </c>
      <c r="G1296" s="7332" t="s">
        <v>1926</v>
      </c>
      <c r="H1296" s="7332" t="str">
        <f t="shared" si="77"/>
        <v/>
      </c>
      <c r="I1296" s="7333">
        <v>45.0</v>
      </c>
      <c r="J1296" s="7333">
        <v>45.0</v>
      </c>
      <c r="K1296" s="7333">
        <v>32.0</v>
      </c>
      <c r="L1296" s="7333">
        <v>65.0</v>
      </c>
      <c r="M1296" s="7333">
        <v>32.0</v>
      </c>
      <c r="N1296" s="7382">
        <v>76.0</v>
      </c>
      <c r="O1296" s="7321"/>
      <c r="P1296" s="7324"/>
      <c r="Q1296" s="7324"/>
      <c r="R1296" s="7324"/>
    </row>
    <row r="1297" ht="18.75" customHeight="1">
      <c r="A1297" s="7316"/>
      <c r="B1297" s="7337" t="s">
        <v>1600</v>
      </c>
      <c r="C1297" s="7342" t="s">
        <v>3967</v>
      </c>
      <c r="D1297" s="7339"/>
      <c r="E1297" s="7338" t="s">
        <v>1932</v>
      </c>
      <c r="F1297" s="7338" t="str">
        <f t="shared" si="76"/>
        <v/>
      </c>
      <c r="G1297" s="7338" t="s">
        <v>1926</v>
      </c>
      <c r="H1297" s="7338" t="str">
        <f t="shared" si="77"/>
        <v/>
      </c>
      <c r="I1297" s="7339">
        <v>75.0</v>
      </c>
      <c r="J1297" s="7339">
        <v>70.0</v>
      </c>
      <c r="K1297" s="7339">
        <v>63.0</v>
      </c>
      <c r="L1297" s="7339">
        <v>110.0</v>
      </c>
      <c r="M1297" s="7339">
        <v>63.0</v>
      </c>
      <c r="N1297" s="7381">
        <v>116.0</v>
      </c>
      <c r="O1297" s="7321"/>
      <c r="P1297" s="7324"/>
      <c r="Q1297" s="7324"/>
      <c r="R1297" s="7324"/>
    </row>
    <row r="1298" ht="18.75" customHeight="1">
      <c r="A1298" s="7316"/>
      <c r="B1298" s="7331" t="s">
        <v>3968</v>
      </c>
      <c r="C1298" s="7341" t="s">
        <v>3969</v>
      </c>
      <c r="D1298" s="7333"/>
      <c r="E1298" s="7332" t="s">
        <v>1882</v>
      </c>
      <c r="F1298" s="7332" t="str">
        <f t="shared" si="76"/>
        <v/>
      </c>
      <c r="G1298" s="7332" t="s">
        <v>1911</v>
      </c>
      <c r="H1298" s="7332" t="str">
        <f t="shared" si="77"/>
        <v/>
      </c>
      <c r="I1298" s="7333">
        <v>50.0</v>
      </c>
      <c r="J1298" s="7333">
        <v>38.0</v>
      </c>
      <c r="K1298" s="7333">
        <v>62.0</v>
      </c>
      <c r="L1298" s="7333">
        <v>58.0</v>
      </c>
      <c r="M1298" s="7333">
        <v>63.0</v>
      </c>
      <c r="N1298" s="7382">
        <v>59.0</v>
      </c>
      <c r="O1298" s="7321"/>
      <c r="P1298" s="7324"/>
      <c r="Q1298" s="7324"/>
      <c r="R1298" s="7324"/>
    </row>
    <row r="1299" ht="18.75" customHeight="1">
      <c r="A1299" s="7316"/>
      <c r="B1299" s="7337" t="s">
        <v>1700</v>
      </c>
      <c r="C1299" s="7342" t="s">
        <v>3970</v>
      </c>
      <c r="D1299" s="7339"/>
      <c r="E1299" s="7338" t="s">
        <v>1882</v>
      </c>
      <c r="F1299" s="7338" t="str">
        <f t="shared" si="76"/>
        <v/>
      </c>
      <c r="G1299" s="7338" t="s">
        <v>1911</v>
      </c>
      <c r="H1299" s="7338" t="str">
        <f t="shared" si="77"/>
        <v/>
      </c>
      <c r="I1299" s="7339">
        <v>81.0</v>
      </c>
      <c r="J1299" s="7339">
        <v>63.0</v>
      </c>
      <c r="K1299" s="7339">
        <v>83.0</v>
      </c>
      <c r="L1299" s="7339">
        <v>110.0</v>
      </c>
      <c r="M1299" s="7339">
        <v>79.0</v>
      </c>
      <c r="N1299" s="7381">
        <v>97.0</v>
      </c>
      <c r="O1299" s="7321"/>
      <c r="P1299" s="7324"/>
      <c r="Q1299" s="7324"/>
      <c r="R1299" s="7324"/>
    </row>
    <row r="1300" ht="18.75" customHeight="1">
      <c r="A1300" s="7316"/>
      <c r="B1300" s="7331" t="s">
        <v>3971</v>
      </c>
      <c r="C1300" s="7341" t="s">
        <v>3972</v>
      </c>
      <c r="D1300" s="7333"/>
      <c r="E1300" s="7332" t="s">
        <v>2014</v>
      </c>
      <c r="F1300" s="7332" t="str">
        <f t="shared" si="76"/>
        <v/>
      </c>
      <c r="G1300" s="7332" t="s">
        <v>1866</v>
      </c>
      <c r="H1300" s="7332" t="str">
        <f t="shared" si="77"/>
        <v/>
      </c>
      <c r="I1300" s="7333">
        <v>40.0</v>
      </c>
      <c r="J1300" s="7333">
        <v>45.0</v>
      </c>
      <c r="K1300" s="7333">
        <v>35.0</v>
      </c>
      <c r="L1300" s="7333">
        <v>30.0</v>
      </c>
      <c r="M1300" s="7333">
        <v>40.0</v>
      </c>
      <c r="N1300" s="7382">
        <v>55.0</v>
      </c>
      <c r="O1300" s="7321"/>
      <c r="P1300" s="7324"/>
      <c r="Q1300" s="7324"/>
      <c r="R1300" s="7324"/>
    </row>
    <row r="1301" ht="18.75" customHeight="1">
      <c r="A1301" s="7316"/>
      <c r="B1301" s="7337" t="s">
        <v>3973</v>
      </c>
      <c r="C1301" s="7342" t="s">
        <v>3974</v>
      </c>
      <c r="D1301" s="7339"/>
      <c r="E1301" s="7338" t="s">
        <v>2014</v>
      </c>
      <c r="F1301" s="7338" t="str">
        <f t="shared" si="76"/>
        <v/>
      </c>
      <c r="G1301" s="7338" t="s">
        <v>1866</v>
      </c>
      <c r="H1301" s="7338" t="str">
        <f t="shared" si="77"/>
        <v/>
      </c>
      <c r="I1301" s="7339">
        <v>85.0</v>
      </c>
      <c r="J1301" s="7339">
        <v>102.0</v>
      </c>
      <c r="K1301" s="7339">
        <v>80.0</v>
      </c>
      <c r="L1301" s="7339">
        <v>70.0</v>
      </c>
      <c r="M1301" s="7339">
        <v>80.0</v>
      </c>
      <c r="N1301" s="7381">
        <v>123.0</v>
      </c>
      <c r="O1301" s="7321"/>
      <c r="P1301" s="7324"/>
      <c r="Q1301" s="7324"/>
      <c r="R1301" s="7324"/>
    </row>
    <row r="1302" ht="18.75" customHeight="1">
      <c r="A1302" s="7316"/>
      <c r="B1302" s="7331" t="s">
        <v>3975</v>
      </c>
      <c r="C1302" s="7341" t="s">
        <v>3976</v>
      </c>
      <c r="D1302" s="7333"/>
      <c r="E1302" s="7332" t="s">
        <v>2097</v>
      </c>
      <c r="F1302" s="7332" t="str">
        <f t="shared" si="76"/>
        <v/>
      </c>
      <c r="G1302" s="7332"/>
      <c r="H1302" s="7332" t="str">
        <f t="shared" si="77"/>
        <v/>
      </c>
      <c r="I1302" s="7333">
        <v>55.0</v>
      </c>
      <c r="J1302" s="7333">
        <v>20.0</v>
      </c>
      <c r="K1302" s="7333">
        <v>20.0</v>
      </c>
      <c r="L1302" s="7333">
        <v>25.0</v>
      </c>
      <c r="M1302" s="7333">
        <v>25.0</v>
      </c>
      <c r="N1302" s="7360">
        <v>35.0</v>
      </c>
      <c r="O1302" s="7321"/>
      <c r="P1302" s="7324"/>
      <c r="Q1302" s="7324"/>
      <c r="R1302" s="7324"/>
    </row>
    <row r="1303" ht="18.75" customHeight="1">
      <c r="A1303" s="7316"/>
      <c r="B1303" s="7337" t="s">
        <v>1567</v>
      </c>
      <c r="C1303" s="7342" t="s">
        <v>3977</v>
      </c>
      <c r="D1303" s="7339"/>
      <c r="E1303" s="7338" t="s">
        <v>2097</v>
      </c>
      <c r="F1303" s="7338" t="str">
        <f t="shared" si="76"/>
        <v/>
      </c>
      <c r="G1303" s="7338" t="s">
        <v>1866</v>
      </c>
      <c r="H1303" s="7338" t="str">
        <f t="shared" si="77"/>
        <v/>
      </c>
      <c r="I1303" s="7339">
        <v>55.0</v>
      </c>
      <c r="J1303" s="7339">
        <v>140.0</v>
      </c>
      <c r="K1303" s="7339">
        <v>130.0</v>
      </c>
      <c r="L1303" s="7339">
        <v>140.0</v>
      </c>
      <c r="M1303" s="7339">
        <v>135.0</v>
      </c>
      <c r="N1303" s="7363">
        <v>25.0</v>
      </c>
      <c r="O1303" s="7321"/>
      <c r="P1303" s="7324"/>
      <c r="Q1303" s="7324"/>
      <c r="R1303" s="7324"/>
    </row>
    <row r="1304" ht="18.75" customHeight="1">
      <c r="A1304" s="7316"/>
      <c r="B1304" s="7331" t="s">
        <v>3978</v>
      </c>
      <c r="C1304" s="7341" t="s">
        <v>3979</v>
      </c>
      <c r="D1304" s="7333"/>
      <c r="E1304" s="7332" t="s">
        <v>1871</v>
      </c>
      <c r="F1304" s="7332" t="str">
        <f t="shared" si="76"/>
        <v/>
      </c>
      <c r="G1304" s="7332" t="s">
        <v>1848</v>
      </c>
      <c r="H1304" s="7332" t="str">
        <f t="shared" si="77"/>
        <v/>
      </c>
      <c r="I1304" s="7333">
        <v>90.0</v>
      </c>
      <c r="J1304" s="7333">
        <v>81.0</v>
      </c>
      <c r="K1304" s="7333">
        <v>105.0</v>
      </c>
      <c r="L1304" s="7333">
        <v>106.0</v>
      </c>
      <c r="M1304" s="7333">
        <v>95.0</v>
      </c>
      <c r="N1304" s="7382">
        <v>40.0</v>
      </c>
      <c r="O1304" s="7321"/>
      <c r="P1304" s="7324"/>
      <c r="Q1304" s="7324"/>
      <c r="R1304" s="7324"/>
    </row>
    <row r="1305" ht="18.75" customHeight="1">
      <c r="A1305" s="7316"/>
      <c r="B1305" s="7337" t="s">
        <v>3980</v>
      </c>
      <c r="C1305" s="7342" t="s">
        <v>3981</v>
      </c>
      <c r="D1305" s="7339"/>
      <c r="E1305" s="7338" t="s">
        <v>1948</v>
      </c>
      <c r="F1305" s="7338" t="str">
        <f t="shared" si="76"/>
        <v/>
      </c>
      <c r="G1305" s="7338" t="s">
        <v>1882</v>
      </c>
      <c r="H1305" s="7338" t="str">
        <f t="shared" si="77"/>
        <v/>
      </c>
      <c r="I1305" s="7339">
        <v>50.0</v>
      </c>
      <c r="J1305" s="7339">
        <v>65.0</v>
      </c>
      <c r="K1305" s="7339">
        <v>45.0</v>
      </c>
      <c r="L1305" s="7339">
        <v>50.0</v>
      </c>
      <c r="M1305" s="7339">
        <v>50.0</v>
      </c>
      <c r="N1305" s="7381">
        <v>45.0</v>
      </c>
      <c r="O1305" s="7321"/>
      <c r="P1305" s="7324"/>
      <c r="Q1305" s="7324"/>
      <c r="R1305" s="7324"/>
    </row>
    <row r="1306" ht="18.75" customHeight="1">
      <c r="A1306" s="7316"/>
      <c r="B1306" s="7331" t="s">
        <v>3982</v>
      </c>
      <c r="C1306" s="7341" t="s">
        <v>3983</v>
      </c>
      <c r="D1306" s="7333"/>
      <c r="E1306" s="7332" t="s">
        <v>1948</v>
      </c>
      <c r="F1306" s="7332" t="str">
        <f t="shared" si="76"/>
        <v/>
      </c>
      <c r="G1306" s="7332" t="s">
        <v>1882</v>
      </c>
      <c r="H1306" s="7332" t="str">
        <f t="shared" si="77"/>
        <v/>
      </c>
      <c r="I1306" s="7333">
        <v>100.0</v>
      </c>
      <c r="J1306" s="7333">
        <v>115.0</v>
      </c>
      <c r="K1306" s="7333">
        <v>65.0</v>
      </c>
      <c r="L1306" s="7333">
        <v>65.0</v>
      </c>
      <c r="M1306" s="7333">
        <v>90.0</v>
      </c>
      <c r="N1306" s="7382">
        <v>90.0</v>
      </c>
      <c r="O1306" s="7321"/>
      <c r="P1306" s="7324"/>
      <c r="Q1306" s="7324"/>
      <c r="R1306" s="7324"/>
    </row>
    <row r="1307" ht="18.75" customHeight="1">
      <c r="A1307" s="7316"/>
      <c r="B1307" s="7337" t="s">
        <v>1767</v>
      </c>
      <c r="C1307" s="7342" t="s">
        <v>3984</v>
      </c>
      <c r="D1307" s="7339"/>
      <c r="E1307" s="7338" t="s">
        <v>1948</v>
      </c>
      <c r="F1307" s="7338" t="str">
        <f t="shared" si="76"/>
        <v/>
      </c>
      <c r="G1307" s="7338" t="s">
        <v>1882</v>
      </c>
      <c r="H1307" s="7338" t="str">
        <f t="shared" si="77"/>
        <v/>
      </c>
      <c r="I1307" s="7339">
        <v>100.0</v>
      </c>
      <c r="J1307" s="7339">
        <v>150.0</v>
      </c>
      <c r="K1307" s="7339">
        <v>80.0</v>
      </c>
      <c r="L1307" s="7339">
        <v>75.0</v>
      </c>
      <c r="M1307" s="7339">
        <v>100.0</v>
      </c>
      <c r="N1307" s="7381">
        <v>120.0</v>
      </c>
      <c r="O1307" s="7321"/>
      <c r="P1307" s="7324"/>
      <c r="Q1307" s="7324"/>
      <c r="R1307" s="7324"/>
    </row>
    <row r="1308" ht="18.75" customHeight="1">
      <c r="A1308" s="7316"/>
      <c r="B1308" s="7331" t="s">
        <v>3985</v>
      </c>
      <c r="C1308" s="7341" t="s">
        <v>3986</v>
      </c>
      <c r="D1308" s="7333"/>
      <c r="E1308" s="7332" t="s">
        <v>1882</v>
      </c>
      <c r="F1308" s="7332" t="str">
        <f t="shared" si="76"/>
        <v/>
      </c>
      <c r="G1308" s="7332" t="s">
        <v>1866</v>
      </c>
      <c r="H1308" s="7332" t="str">
        <f t="shared" si="77"/>
        <v/>
      </c>
      <c r="I1308" s="7333">
        <v>33.0</v>
      </c>
      <c r="J1308" s="7333">
        <v>46.0</v>
      </c>
      <c r="K1308" s="7333">
        <v>40.0</v>
      </c>
      <c r="L1308" s="7333">
        <v>21.0</v>
      </c>
      <c r="M1308" s="7333">
        <v>25.0</v>
      </c>
      <c r="N1308" s="7382">
        <v>45.0</v>
      </c>
      <c r="O1308" s="7321"/>
      <c r="P1308" s="7324"/>
      <c r="Q1308" s="7324"/>
      <c r="R1308" s="7324"/>
    </row>
    <row r="1309" ht="18.75" customHeight="1">
      <c r="A1309" s="7316"/>
      <c r="B1309" s="7337" t="s">
        <v>3987</v>
      </c>
      <c r="C1309" s="7342" t="s">
        <v>3988</v>
      </c>
      <c r="D1309" s="7339"/>
      <c r="E1309" s="7338" t="s">
        <v>1882</v>
      </c>
      <c r="F1309" s="7338" t="str">
        <f t="shared" si="76"/>
        <v/>
      </c>
      <c r="G1309" s="7338" t="s">
        <v>1866</v>
      </c>
      <c r="H1309" s="7338" t="str">
        <f t="shared" si="77"/>
        <v/>
      </c>
      <c r="I1309" s="7339">
        <v>71.0</v>
      </c>
      <c r="J1309" s="7339">
        <v>102.0</v>
      </c>
      <c r="K1309" s="7339">
        <v>78.0</v>
      </c>
      <c r="L1309" s="7339">
        <v>52.0</v>
      </c>
      <c r="M1309" s="7339">
        <v>55.0</v>
      </c>
      <c r="N1309" s="7381">
        <v>92.0</v>
      </c>
      <c r="O1309" s="7321"/>
      <c r="P1309" s="7324"/>
      <c r="Q1309" s="7324"/>
      <c r="R1309" s="7324"/>
    </row>
    <row r="1310" ht="18.75" customHeight="1">
      <c r="A1310" s="7316"/>
      <c r="B1310" s="7349" t="s">
        <v>3989</v>
      </c>
      <c r="C1310" s="7350" t="s">
        <v>3990</v>
      </c>
      <c r="D1310" s="7351"/>
      <c r="E1310" s="7350" t="s">
        <v>1932</v>
      </c>
      <c r="F1310" s="7350" t="str">
        <f t="shared" si="76"/>
        <v/>
      </c>
      <c r="G1310" s="7350" t="s">
        <v>1866</v>
      </c>
      <c r="H1310" s="7350" t="str">
        <f t="shared" si="77"/>
        <v/>
      </c>
      <c r="I1310" s="7362">
        <v>85.0</v>
      </c>
      <c r="J1310" s="7362">
        <v>100.0</v>
      </c>
      <c r="K1310" s="7362">
        <v>74.0</v>
      </c>
      <c r="L1310" s="7362">
        <v>45.0</v>
      </c>
      <c r="M1310" s="7362">
        <v>65.0</v>
      </c>
      <c r="N1310" s="7384">
        <v>111.0</v>
      </c>
      <c r="O1310" s="7321"/>
      <c r="P1310" s="7324"/>
      <c r="Q1310" s="7324"/>
      <c r="R1310" s="7324"/>
    </row>
    <row r="1311" ht="18.75" customHeight="1">
      <c r="A1311" s="7324"/>
      <c r="B1311" s="7346"/>
      <c r="C1311" s="7346"/>
      <c r="D1311" s="7346"/>
      <c r="E1311" s="7346"/>
      <c r="F1311" s="7346"/>
      <c r="G1311" s="7346"/>
      <c r="H1311" s="7346"/>
      <c r="I1311" s="7346"/>
      <c r="J1311" s="7346"/>
      <c r="K1311" s="7346"/>
      <c r="L1311" s="7346"/>
      <c r="M1311" s="7346"/>
      <c r="N1311" s="7346"/>
      <c r="O1311" s="7324"/>
      <c r="P1311" s="7324"/>
      <c r="Q1311" s="7324"/>
      <c r="R1311" s="7324"/>
    </row>
    <row r="1312" ht="18.75" customHeight="1">
      <c r="A1312" s="7324"/>
      <c r="B1312" s="7346"/>
      <c r="C1312" s="7346"/>
      <c r="D1312" s="7346"/>
      <c r="E1312" s="7346"/>
      <c r="F1312" s="7346"/>
      <c r="G1312" s="7346"/>
      <c r="H1312" s="7346"/>
      <c r="I1312" s="7346"/>
      <c r="J1312" s="7346"/>
      <c r="K1312" s="7346"/>
      <c r="L1312" s="7346"/>
      <c r="M1312" s="7346"/>
      <c r="N1312" s="7346"/>
      <c r="O1312" s="7324"/>
      <c r="P1312" s="7324"/>
      <c r="Q1312" s="7324"/>
      <c r="R1312" s="7324"/>
    </row>
    <row r="1313" ht="18.75" customHeight="1">
      <c r="A1313" s="7324"/>
      <c r="B1313" s="7346"/>
      <c r="C1313" s="7346"/>
      <c r="D1313" s="7346"/>
      <c r="E1313" s="7346"/>
      <c r="F1313" s="7346"/>
      <c r="G1313" s="7346"/>
      <c r="H1313" s="7346"/>
      <c r="I1313" s="7346"/>
      <c r="J1313" s="7346"/>
      <c r="K1313" s="7346"/>
      <c r="L1313" s="7346"/>
      <c r="M1313" s="7346"/>
      <c r="N1313" s="7346"/>
      <c r="O1313" s="7324"/>
      <c r="P1313" s="7324"/>
      <c r="Q1313" s="7324"/>
      <c r="R1313" s="7324"/>
    </row>
    <row r="1314" ht="18.75" customHeight="1">
      <c r="A1314" s="7324"/>
      <c r="B1314" s="7346"/>
      <c r="C1314" s="7346"/>
      <c r="D1314" s="7346"/>
      <c r="E1314" s="7346"/>
      <c r="F1314" s="7346"/>
      <c r="G1314" s="7346"/>
      <c r="H1314" s="7346"/>
      <c r="I1314" s="7346"/>
      <c r="J1314" s="7346"/>
      <c r="K1314" s="7346"/>
      <c r="L1314" s="7346"/>
      <c r="M1314" s="7346"/>
      <c r="N1314" s="7346"/>
      <c r="O1314" s="7324"/>
      <c r="P1314" s="7324"/>
      <c r="Q1314" s="7324"/>
      <c r="R1314" s="7324"/>
    </row>
    <row r="1315" ht="18.75" customHeight="1">
      <c r="A1315" s="7324"/>
      <c r="B1315" s="7346"/>
      <c r="C1315" s="7346"/>
      <c r="D1315" s="7346"/>
      <c r="E1315" s="7346"/>
      <c r="F1315" s="7346"/>
      <c r="G1315" s="7346"/>
      <c r="H1315" s="7346"/>
      <c r="I1315" s="7346"/>
      <c r="J1315" s="7346"/>
      <c r="K1315" s="7346"/>
      <c r="L1315" s="7346"/>
      <c r="M1315" s="7346"/>
      <c r="N1315" s="7346"/>
      <c r="O1315" s="7324"/>
      <c r="P1315" s="7324"/>
      <c r="Q1315" s="7324"/>
      <c r="R1315" s="7324"/>
    </row>
    <row r="1316" ht="18.75" customHeight="1">
      <c r="A1316" s="7324"/>
      <c r="B1316" s="7346"/>
      <c r="C1316" s="7346"/>
      <c r="D1316" s="7346"/>
      <c r="E1316" s="7346"/>
      <c r="F1316" s="7346"/>
      <c r="G1316" s="7346"/>
      <c r="H1316" s="7346"/>
      <c r="I1316" s="7346"/>
      <c r="J1316" s="7346"/>
      <c r="K1316" s="7346"/>
      <c r="L1316" s="7346"/>
      <c r="M1316" s="7346"/>
      <c r="N1316" s="7346"/>
      <c r="O1316" s="7324"/>
      <c r="P1316" s="7324"/>
      <c r="Q1316" s="7324"/>
      <c r="R1316" s="7324"/>
    </row>
    <row r="1317" ht="18.75" customHeight="1">
      <c r="A1317" s="7324"/>
      <c r="B1317" s="7346"/>
      <c r="C1317" s="7346"/>
      <c r="D1317" s="7346"/>
      <c r="E1317" s="7346"/>
      <c r="F1317" s="7346"/>
      <c r="G1317" s="7346"/>
      <c r="H1317" s="7346"/>
      <c r="I1317" s="7346"/>
      <c r="J1317" s="7346"/>
      <c r="K1317" s="7346"/>
      <c r="L1317" s="7346"/>
      <c r="M1317" s="7346"/>
      <c r="N1317" s="7346"/>
      <c r="O1317" s="7324"/>
      <c r="P1317" s="7324"/>
      <c r="Q1317" s="7324"/>
      <c r="R1317" s="7324"/>
    </row>
    <row r="1318" ht="18.75" customHeight="1">
      <c r="A1318" s="7324"/>
      <c r="B1318" s="7346"/>
      <c r="C1318" s="7346"/>
      <c r="D1318" s="7346"/>
      <c r="E1318" s="7346"/>
      <c r="F1318" s="7346"/>
      <c r="G1318" s="7346"/>
      <c r="H1318" s="7346"/>
      <c r="I1318" s="7346"/>
      <c r="J1318" s="7346"/>
      <c r="K1318" s="7346"/>
      <c r="L1318" s="7346"/>
      <c r="M1318" s="7346"/>
      <c r="N1318" s="7346"/>
      <c r="O1318" s="7324"/>
      <c r="P1318" s="7324"/>
      <c r="Q1318" s="7324"/>
      <c r="R1318" s="7324"/>
    </row>
    <row r="1319" ht="18.75" customHeight="1">
      <c r="A1319" s="7324"/>
      <c r="B1319" s="7346"/>
      <c r="C1319" s="7346"/>
      <c r="D1319" s="7346"/>
      <c r="E1319" s="7346"/>
      <c r="F1319" s="7346"/>
      <c r="G1319" s="7346"/>
      <c r="H1319" s="7346"/>
      <c r="I1319" s="7346"/>
      <c r="J1319" s="7346"/>
      <c r="K1319" s="7346"/>
      <c r="L1319" s="7346"/>
      <c r="M1319" s="7346"/>
      <c r="N1319" s="7346"/>
      <c r="O1319" s="7324"/>
      <c r="P1319" s="7324"/>
      <c r="Q1319" s="7324"/>
      <c r="R1319" s="7324"/>
    </row>
    <row r="1320" ht="18.75" customHeight="1">
      <c r="A1320" s="7324"/>
      <c r="B1320" s="7346"/>
      <c r="C1320" s="7346"/>
      <c r="D1320" s="7346"/>
      <c r="E1320" s="7346"/>
      <c r="F1320" s="7346"/>
      <c r="G1320" s="7346"/>
      <c r="H1320" s="7346"/>
      <c r="I1320" s="7346"/>
      <c r="J1320" s="7346"/>
      <c r="K1320" s="7346"/>
      <c r="L1320" s="7346"/>
      <c r="M1320" s="7346"/>
      <c r="N1320" s="7346"/>
      <c r="O1320" s="7324"/>
      <c r="P1320" s="7324"/>
      <c r="Q1320" s="7324"/>
      <c r="R1320" s="7324"/>
    </row>
    <row r="1321" ht="18.75" customHeight="1">
      <c r="A1321" s="7324"/>
      <c r="B1321" s="7346"/>
      <c r="C1321" s="7346"/>
      <c r="D1321" s="7346"/>
      <c r="E1321" s="7346"/>
      <c r="F1321" s="7346"/>
      <c r="G1321" s="7346"/>
      <c r="H1321" s="7346"/>
      <c r="I1321" s="7346"/>
      <c r="J1321" s="7346"/>
      <c r="K1321" s="7346"/>
      <c r="L1321" s="7346"/>
      <c r="M1321" s="7346"/>
      <c r="N1321" s="7346"/>
      <c r="O1321" s="7324"/>
      <c r="P1321" s="7324"/>
      <c r="Q1321" s="7324"/>
      <c r="R1321" s="7324"/>
    </row>
    <row r="1322" ht="18.75" customHeight="1">
      <c r="A1322" s="7324"/>
      <c r="B1322" s="7346"/>
      <c r="C1322" s="7346"/>
      <c r="D1322" s="7346"/>
      <c r="E1322" s="7346"/>
      <c r="F1322" s="7346"/>
      <c r="G1322" s="7346"/>
      <c r="H1322" s="7346"/>
      <c r="I1322" s="7346"/>
      <c r="J1322" s="7346"/>
      <c r="K1322" s="7346"/>
      <c r="L1322" s="7346"/>
      <c r="M1322" s="7346"/>
      <c r="N1322" s="7346"/>
      <c r="O1322" s="7324"/>
      <c r="P1322" s="7324"/>
      <c r="Q1322" s="7324"/>
      <c r="R1322" s="7324"/>
    </row>
  </sheetData>
  <mergeCells count="11">
    <mergeCell ref="B918:H918"/>
    <mergeCell ref="B1037:H1037"/>
    <mergeCell ref="B1158:H1158"/>
    <mergeCell ref="B1286:H1286"/>
    <mergeCell ref="B2:H2"/>
    <mergeCell ref="P2:Q2"/>
    <mergeCell ref="B218:H218"/>
    <mergeCell ref="B332:H332"/>
    <mergeCell ref="B496:H496"/>
    <mergeCell ref="B641:H641"/>
    <mergeCell ref="B826:H826"/>
  </mergeCells>
  <conditionalFormatting sqref="B3:N216 B219:N330 B333:N494 B497:N639 B642:N824 B827:N916 B919:N1035 B1038:N1156 B1159:N1284 B1287:N1310">
    <cfRule type="containsBlanks" dxfId="10" priority="1">
      <formula>LEN(TRIM(B3))=0</formula>
    </cfRule>
  </conditionalFormatting>
  <conditionalFormatting sqref="A1:N1322">
    <cfRule type="cellIs" dxfId="11" priority="2" operator="equal">
      <formula>"Fire"</formula>
    </cfRule>
  </conditionalFormatting>
  <conditionalFormatting sqref="A1:N1322">
    <cfRule type="cellIs" dxfId="12" priority="3" operator="equal">
      <formula>"Normal"</formula>
    </cfRule>
  </conditionalFormatting>
  <conditionalFormatting sqref="A1:N1322">
    <cfRule type="cellIs" dxfId="13" priority="4" operator="equal">
      <formula>"Water"</formula>
    </cfRule>
  </conditionalFormatting>
  <conditionalFormatting sqref="A1:N1322">
    <cfRule type="cellIs" dxfId="14" priority="5" operator="equal">
      <formula>"Electric"</formula>
    </cfRule>
  </conditionalFormatting>
  <conditionalFormatting sqref="A1:N1322">
    <cfRule type="cellIs" dxfId="15" priority="6" operator="equal">
      <formula>"Grass"</formula>
    </cfRule>
  </conditionalFormatting>
  <conditionalFormatting sqref="A1:N1322">
    <cfRule type="cellIs" dxfId="16" priority="7" operator="equal">
      <formula>"Ice"</formula>
    </cfRule>
  </conditionalFormatting>
  <conditionalFormatting sqref="A1:N1322">
    <cfRule type="cellIs" dxfId="17" priority="8" operator="equal">
      <formula>"Fighting"</formula>
    </cfRule>
  </conditionalFormatting>
  <conditionalFormatting sqref="A1:N1322">
    <cfRule type="cellIs" dxfId="18" priority="9" operator="equal">
      <formula>"Poison"</formula>
    </cfRule>
  </conditionalFormatting>
  <conditionalFormatting sqref="A1:N1322">
    <cfRule type="cellIs" dxfId="19" priority="10" operator="equal">
      <formula>"Ground"</formula>
    </cfRule>
  </conditionalFormatting>
  <conditionalFormatting sqref="A1:N1322">
    <cfRule type="cellIs" dxfId="20" priority="11" operator="equal">
      <formula>"Flying"</formula>
    </cfRule>
  </conditionalFormatting>
  <conditionalFormatting sqref="A1:N1322">
    <cfRule type="cellIs" dxfId="21" priority="12" operator="equal">
      <formula>"Psychic"</formula>
    </cfRule>
  </conditionalFormatting>
  <conditionalFormatting sqref="A1:N1322">
    <cfRule type="cellIs" dxfId="22" priority="13" operator="equal">
      <formula>"Bug"</formula>
    </cfRule>
  </conditionalFormatting>
  <conditionalFormatting sqref="A1:N1322">
    <cfRule type="cellIs" dxfId="23" priority="14" operator="equal">
      <formula>"Rock"</formula>
    </cfRule>
  </conditionalFormatting>
  <conditionalFormatting sqref="A1:N1322">
    <cfRule type="cellIs" dxfId="24" priority="15" operator="equal">
      <formula>"Ghost"</formula>
    </cfRule>
  </conditionalFormatting>
  <conditionalFormatting sqref="A1:N1322">
    <cfRule type="cellIs" dxfId="25" priority="16" operator="equal">
      <formula>"Dragon"</formula>
    </cfRule>
  </conditionalFormatting>
  <conditionalFormatting sqref="A1:N1322">
    <cfRule type="cellIs" dxfId="26" priority="17" operator="equal">
      <formula>"Dark"</formula>
    </cfRule>
  </conditionalFormatting>
  <conditionalFormatting sqref="A1:N1322">
    <cfRule type="cellIs" dxfId="27" priority="18" operator="equal">
      <formula>"Steel"</formula>
    </cfRule>
  </conditionalFormatting>
  <conditionalFormatting sqref="A1:N1322">
    <cfRule type="cellIs" dxfId="28" priority="19" operator="equal">
      <formula>"Fairy"</formula>
    </cfRule>
  </conditionalFormatting>
  <drawing r:id="rId1"/>
  <tableParts count="1">
    <tablePart r:id="rId3"/>
  </tableParts>
</worksheet>
</file>